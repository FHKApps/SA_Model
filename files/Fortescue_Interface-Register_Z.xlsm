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Admin\Downloads\"/>
    </mc:Choice>
  </mc:AlternateContent>
  <xr:revisionPtr revIDLastSave="0" documentId="13_ncr:1_{9876ECEA-B78D-404D-B3B6-F17671D61F28}" xr6:coauthVersionLast="47" xr6:coauthVersionMax="47" xr10:uidLastSave="{00000000-0000-0000-0000-000000000000}"/>
  <bookViews>
    <workbookView xWindow="-120" yWindow="-120" windowWidth="29040" windowHeight="15720" xr2:uid="{ADB9BC3D-D27E-43C1-83F4-764467FA5D7B}"/>
  </bookViews>
  <sheets>
    <sheet name="InterfaceRegister" sheetId="17" r:id="rId1"/>
    <sheet name="Revision Notes" sheetId="20" r:id="rId2"/>
    <sheet name="InterfaceRegisterFormulas" sheetId="3" r:id="rId3"/>
    <sheet name="Interface Types" sheetId="9" r:id="rId4"/>
    <sheet name="Interface Status Defintions" sheetId="22" r:id="rId5"/>
    <sheet name="Criticality" sheetId="11" r:id="rId6"/>
    <sheet name="Column Definitions" sheetId="12" r:id="rId7"/>
    <sheet name="EA-Fortescue_SDExport" sheetId="2" r:id="rId8"/>
    <sheet name="EA-ConnectorExport" sheetId="5" r:id="rId9"/>
    <sheet name="EA-Fortescue_InterfacesImport" sheetId="7" r:id="rId10"/>
    <sheet name="EA-Fortescue_SBSExport" sheetId="23" r:id="rId11"/>
    <sheet name="Glossary" sheetId="13" r:id="rId12"/>
    <sheet name="Lookups" sheetId="6" r:id="rId13"/>
  </sheets>
  <definedNames>
    <definedName name="_xlnm._FilterDatabase" localSheetId="9" hidden="1">'EA-Fortescue_InterfacesImport'!$A$1:$AK$360</definedName>
    <definedName name="_xlnm._FilterDatabase" localSheetId="7" hidden="1">'EA-Fortescue_SDExport'!$A$1:$AY$647</definedName>
    <definedName name="_xlnm._FilterDatabase" localSheetId="11" hidden="1">Glossary!$A$1:$B$1</definedName>
    <definedName name="_xlnm._FilterDatabase" localSheetId="2" hidden="1">InterfaceRegisterFormulas!$A$1:$AF$357</definedName>
    <definedName name="_xlnm._FilterDatabase" localSheetId="1" hidden="1">'Revision Notes'!$A$1:$H$41</definedName>
    <definedName name="_xlpm._list" hidden="1" xlm="1">#NAME?</definedName>
    <definedName name="_xlpm.isObject" hidden="1" xlm="1">#NAME?</definedName>
    <definedName name="_xlpm.lookupKey" hidden="1" xlm="1">#NAME?</definedName>
    <definedName name="_xlpm.result" hidden="1" xlm="1">#NAME?</definedName>
    <definedName name="_xlpm.status" hidden="1" xlm="1">#NAME?</definedName>
    <definedName name="InterfaceCriticality" localSheetId="1">#REF!</definedName>
    <definedName name="InterfaceCriticality">Lookups!$F$2:$F$6</definedName>
    <definedName name="InterfaceType" localSheetId="1">#REF!</definedName>
    <definedName name="InterfaceType">Lookups!$D$2:$D$13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6" l="1"/>
  <c r="E4" i="6"/>
  <c r="E5" i="6"/>
  <c r="E2" i="6"/>
  <c r="M2" i="6" l="1" a="1"/>
  <c r="M2" i="6" s="1"/>
  <c r="L2" i="6" a="1"/>
  <c r="L2" i="6" s="1"/>
  <c r="K2" i="6" a="1"/>
  <c r="K2" i="6" s="1"/>
  <c r="A2" i="7" l="1" a="1"/>
  <c r="B359" i="7" l="1"/>
  <c r="R359" i="7"/>
  <c r="AH359" i="7"/>
  <c r="N360" i="7"/>
  <c r="AD360" i="7"/>
  <c r="AF360" i="7"/>
  <c r="E359" i="7"/>
  <c r="AG360" i="7"/>
  <c r="V359" i="7"/>
  <c r="AH360" i="7"/>
  <c r="AI360" i="7"/>
  <c r="H359" i="7"/>
  <c r="T360" i="7"/>
  <c r="E360" i="7"/>
  <c r="U360" i="7"/>
  <c r="Z359" i="7"/>
  <c r="K359" i="7"/>
  <c r="AB359" i="7"/>
  <c r="AC359" i="7"/>
  <c r="N359" i="7"/>
  <c r="Z360" i="7"/>
  <c r="K360" i="7"/>
  <c r="L360" i="7"/>
  <c r="Q359" i="7"/>
  <c r="C359" i="7"/>
  <c r="S359" i="7"/>
  <c r="AI359" i="7"/>
  <c r="O360" i="7"/>
  <c r="AE360" i="7"/>
  <c r="P360" i="7"/>
  <c r="U359" i="7"/>
  <c r="Q360" i="7"/>
  <c r="F359" i="7"/>
  <c r="R360" i="7"/>
  <c r="G359" i="7"/>
  <c r="C360" i="7"/>
  <c r="D360" i="7"/>
  <c r="Y359" i="7"/>
  <c r="AK360" i="7"/>
  <c r="F360" i="7"/>
  <c r="V360" i="7"/>
  <c r="G360" i="7"/>
  <c r="L359" i="7"/>
  <c r="M359" i="7"/>
  <c r="Y360" i="7"/>
  <c r="J360" i="7"/>
  <c r="O359" i="7"/>
  <c r="AA360" i="7"/>
  <c r="AB360" i="7"/>
  <c r="M360" i="7"/>
  <c r="AC360" i="7"/>
  <c r="D359" i="7"/>
  <c r="T359" i="7"/>
  <c r="AJ359" i="7"/>
  <c r="AK359" i="7"/>
  <c r="B360" i="7"/>
  <c r="W359" i="7"/>
  <c r="S360" i="7"/>
  <c r="X359" i="7"/>
  <c r="AJ360" i="7"/>
  <c r="I359" i="7"/>
  <c r="J359" i="7"/>
  <c r="AA359" i="7"/>
  <c r="W360" i="7"/>
  <c r="H360" i="7"/>
  <c r="X360" i="7"/>
  <c r="I360" i="7"/>
  <c r="AD359" i="7"/>
  <c r="AE359" i="7"/>
  <c r="AF359" i="7"/>
  <c r="AG359" i="7"/>
  <c r="P359" i="7"/>
  <c r="B358" i="7"/>
  <c r="R358" i="7"/>
  <c r="AH358" i="7"/>
  <c r="T358" i="7"/>
  <c r="U358" i="7"/>
  <c r="V358" i="7"/>
  <c r="G358" i="7"/>
  <c r="I358" i="7"/>
  <c r="J358" i="7"/>
  <c r="AA358" i="7"/>
  <c r="AB358" i="7"/>
  <c r="AC358" i="7"/>
  <c r="AD358" i="7"/>
  <c r="AE358" i="7"/>
  <c r="AF358" i="7"/>
  <c r="AG358" i="7"/>
  <c r="C358" i="7"/>
  <c r="S358" i="7"/>
  <c r="AI358" i="7"/>
  <c r="AJ358" i="7"/>
  <c r="E358" i="7"/>
  <c r="AK358" i="7"/>
  <c r="W358" i="7"/>
  <c r="H358" i="7"/>
  <c r="X358" i="7"/>
  <c r="Y358" i="7"/>
  <c r="Z358" i="7"/>
  <c r="K358" i="7"/>
  <c r="L358" i="7"/>
  <c r="M358" i="7"/>
  <c r="N358" i="7"/>
  <c r="O358" i="7"/>
  <c r="P358" i="7"/>
  <c r="D358" i="7"/>
  <c r="Q358" i="7"/>
  <c r="F358" i="7"/>
  <c r="AD7" i="7"/>
  <c r="I356" i="7"/>
  <c r="Q356" i="7"/>
  <c r="Y356" i="7"/>
  <c r="AG356" i="7"/>
  <c r="E357" i="7"/>
  <c r="M357" i="7"/>
  <c r="U357" i="7"/>
  <c r="AC357" i="7"/>
  <c r="AK357" i="7"/>
  <c r="AK356" i="7"/>
  <c r="Q357" i="7"/>
  <c r="B356" i="7"/>
  <c r="J356" i="7"/>
  <c r="R356" i="7"/>
  <c r="Z356" i="7"/>
  <c r="AH356" i="7"/>
  <c r="F357" i="7"/>
  <c r="N357" i="7"/>
  <c r="V357" i="7"/>
  <c r="AD357" i="7"/>
  <c r="AC356" i="7"/>
  <c r="I357" i="7"/>
  <c r="AG357" i="7"/>
  <c r="C356" i="7"/>
  <c r="K356" i="7"/>
  <c r="S356" i="7"/>
  <c r="AA356" i="7"/>
  <c r="AI356" i="7"/>
  <c r="G357" i="7"/>
  <c r="O357" i="7"/>
  <c r="W357" i="7"/>
  <c r="AE357" i="7"/>
  <c r="U356" i="7"/>
  <c r="Y357" i="7"/>
  <c r="AJ357" i="7"/>
  <c r="D356" i="7"/>
  <c r="L356" i="7"/>
  <c r="T356" i="7"/>
  <c r="AB356" i="7"/>
  <c r="AJ356" i="7"/>
  <c r="H357" i="7"/>
  <c r="P357" i="7"/>
  <c r="X357" i="7"/>
  <c r="AF357" i="7"/>
  <c r="M356" i="7"/>
  <c r="AB357" i="7"/>
  <c r="E356" i="7"/>
  <c r="F356" i="7"/>
  <c r="N356" i="7"/>
  <c r="V356" i="7"/>
  <c r="AD356" i="7"/>
  <c r="B357" i="7"/>
  <c r="J357" i="7"/>
  <c r="R357" i="7"/>
  <c r="Z357" i="7"/>
  <c r="AH357" i="7"/>
  <c r="S357" i="7"/>
  <c r="D357" i="7"/>
  <c r="G356" i="7"/>
  <c r="O356" i="7"/>
  <c r="W356" i="7"/>
  <c r="AE356" i="7"/>
  <c r="C357" i="7"/>
  <c r="K357" i="7"/>
  <c r="AA357" i="7"/>
  <c r="AI357" i="7"/>
  <c r="T357" i="7"/>
  <c r="H356" i="7"/>
  <c r="P356" i="7"/>
  <c r="X356" i="7"/>
  <c r="AF356" i="7"/>
  <c r="L357" i="7"/>
  <c r="B344" i="7"/>
  <c r="J344" i="7"/>
  <c r="R344" i="7"/>
  <c r="Z344" i="7"/>
  <c r="AH344" i="7"/>
  <c r="F345" i="7"/>
  <c r="N345" i="7"/>
  <c r="V345" i="7"/>
  <c r="AD345" i="7"/>
  <c r="B346" i="7"/>
  <c r="J346" i="7"/>
  <c r="R346" i="7"/>
  <c r="Z346" i="7"/>
  <c r="AH346" i="7"/>
  <c r="F347" i="7"/>
  <c r="N347" i="7"/>
  <c r="V347" i="7"/>
  <c r="AD347" i="7"/>
  <c r="B348" i="7"/>
  <c r="J348" i="7"/>
  <c r="R348" i="7"/>
  <c r="Z348" i="7"/>
  <c r="AH348" i="7"/>
  <c r="F349" i="7"/>
  <c r="N349" i="7"/>
  <c r="V349" i="7"/>
  <c r="AD349" i="7"/>
  <c r="B350" i="7"/>
  <c r="J350" i="7"/>
  <c r="R350" i="7"/>
  <c r="Z350" i="7"/>
  <c r="AH350" i="7"/>
  <c r="F351" i="7"/>
  <c r="N351" i="7"/>
  <c r="V351" i="7"/>
  <c r="AD351" i="7"/>
  <c r="B352" i="7"/>
  <c r="J352" i="7"/>
  <c r="R352" i="7"/>
  <c r="Z352" i="7"/>
  <c r="AH352" i="7"/>
  <c r="F353" i="7"/>
  <c r="N353" i="7"/>
  <c r="V353" i="7"/>
  <c r="AD353" i="7"/>
  <c r="B354" i="7"/>
  <c r="J354" i="7"/>
  <c r="R354" i="7"/>
  <c r="Z354" i="7"/>
  <c r="AH354" i="7"/>
  <c r="F355" i="7"/>
  <c r="N355" i="7"/>
  <c r="V355" i="7"/>
  <c r="AD355" i="7"/>
  <c r="AC344" i="7"/>
  <c r="AK344" i="7"/>
  <c r="I345" i="7"/>
  <c r="Q345" i="7"/>
  <c r="E346" i="7"/>
  <c r="AC346" i="7"/>
  <c r="Q347" i="7"/>
  <c r="AG347" i="7"/>
  <c r="U348" i="7"/>
  <c r="I349" i="7"/>
  <c r="AG349" i="7"/>
  <c r="AC350" i="7"/>
  <c r="Q351" i="7"/>
  <c r="E352" i="7"/>
  <c r="AC352" i="7"/>
  <c r="Q353" i="7"/>
  <c r="U354" i="7"/>
  <c r="I355" i="7"/>
  <c r="AG355" i="7"/>
  <c r="C344" i="7"/>
  <c r="K344" i="7"/>
  <c r="S344" i="7"/>
  <c r="AA344" i="7"/>
  <c r="AI344" i="7"/>
  <c r="G345" i="7"/>
  <c r="O345" i="7"/>
  <c r="W345" i="7"/>
  <c r="AE345" i="7"/>
  <c r="C346" i="7"/>
  <c r="K346" i="7"/>
  <c r="S346" i="7"/>
  <c r="AA346" i="7"/>
  <c r="AI346" i="7"/>
  <c r="G347" i="7"/>
  <c r="O347" i="7"/>
  <c r="W347" i="7"/>
  <c r="AE347" i="7"/>
  <c r="C348" i="7"/>
  <c r="K348" i="7"/>
  <c r="S348" i="7"/>
  <c r="AA348" i="7"/>
  <c r="AI348" i="7"/>
  <c r="G349" i="7"/>
  <c r="O349" i="7"/>
  <c r="W349" i="7"/>
  <c r="AE349" i="7"/>
  <c r="C350" i="7"/>
  <c r="K350" i="7"/>
  <c r="S350" i="7"/>
  <c r="AA350" i="7"/>
  <c r="AI350" i="7"/>
  <c r="G351" i="7"/>
  <c r="O351" i="7"/>
  <c r="W351" i="7"/>
  <c r="AE351" i="7"/>
  <c r="C352" i="7"/>
  <c r="K352" i="7"/>
  <c r="S352" i="7"/>
  <c r="AA352" i="7"/>
  <c r="AI352" i="7"/>
  <c r="G353" i="7"/>
  <c r="O353" i="7"/>
  <c r="W353" i="7"/>
  <c r="AE353" i="7"/>
  <c r="C354" i="7"/>
  <c r="K354" i="7"/>
  <c r="S354" i="7"/>
  <c r="AA354" i="7"/>
  <c r="AI354" i="7"/>
  <c r="G355" i="7"/>
  <c r="O355" i="7"/>
  <c r="W355" i="7"/>
  <c r="AE355" i="7"/>
  <c r="M344" i="7"/>
  <c r="Y345" i="7"/>
  <c r="U346" i="7"/>
  <c r="I347" i="7"/>
  <c r="E348" i="7"/>
  <c r="AC348" i="7"/>
  <c r="Q349" i="7"/>
  <c r="M350" i="7"/>
  <c r="AK350" i="7"/>
  <c r="Y351" i="7"/>
  <c r="M352" i="7"/>
  <c r="I353" i="7"/>
  <c r="AG353" i="7"/>
  <c r="M354" i="7"/>
  <c r="AK354" i="7"/>
  <c r="Y355" i="7"/>
  <c r="D344" i="7"/>
  <c r="L344" i="7"/>
  <c r="T344" i="7"/>
  <c r="AB344" i="7"/>
  <c r="AJ344" i="7"/>
  <c r="H345" i="7"/>
  <c r="P345" i="7"/>
  <c r="X345" i="7"/>
  <c r="AF345" i="7"/>
  <c r="D346" i="7"/>
  <c r="L346" i="7"/>
  <c r="T346" i="7"/>
  <c r="AB346" i="7"/>
  <c r="AJ346" i="7"/>
  <c r="H347" i="7"/>
  <c r="P347" i="7"/>
  <c r="X347" i="7"/>
  <c r="AF347" i="7"/>
  <c r="D348" i="7"/>
  <c r="L348" i="7"/>
  <c r="T348" i="7"/>
  <c r="AB348" i="7"/>
  <c r="AJ348" i="7"/>
  <c r="H349" i="7"/>
  <c r="P349" i="7"/>
  <c r="X349" i="7"/>
  <c r="AF349" i="7"/>
  <c r="D350" i="7"/>
  <c r="L350" i="7"/>
  <c r="T350" i="7"/>
  <c r="AB350" i="7"/>
  <c r="AJ350" i="7"/>
  <c r="H351" i="7"/>
  <c r="P351" i="7"/>
  <c r="X351" i="7"/>
  <c r="AF351" i="7"/>
  <c r="D352" i="7"/>
  <c r="L352" i="7"/>
  <c r="T352" i="7"/>
  <c r="AB352" i="7"/>
  <c r="AJ352" i="7"/>
  <c r="H353" i="7"/>
  <c r="P353" i="7"/>
  <c r="X353" i="7"/>
  <c r="AF353" i="7"/>
  <c r="D354" i="7"/>
  <c r="L354" i="7"/>
  <c r="T354" i="7"/>
  <c r="AB354" i="7"/>
  <c r="AJ354" i="7"/>
  <c r="H355" i="7"/>
  <c r="P355" i="7"/>
  <c r="X355" i="7"/>
  <c r="AF355" i="7"/>
  <c r="U344" i="7"/>
  <c r="AG345" i="7"/>
  <c r="M346" i="7"/>
  <c r="AK346" i="7"/>
  <c r="Y347" i="7"/>
  <c r="M348" i="7"/>
  <c r="AK348" i="7"/>
  <c r="Y349" i="7"/>
  <c r="E350" i="7"/>
  <c r="U350" i="7"/>
  <c r="I351" i="7"/>
  <c r="AG351" i="7"/>
  <c r="U352" i="7"/>
  <c r="AK352" i="7"/>
  <c r="Y353" i="7"/>
  <c r="E354" i="7"/>
  <c r="AC354" i="7"/>
  <c r="Q355" i="7"/>
  <c r="E344" i="7"/>
  <c r="F344" i="7"/>
  <c r="N344" i="7"/>
  <c r="V344" i="7"/>
  <c r="AD344" i="7"/>
  <c r="B345" i="7"/>
  <c r="J345" i="7"/>
  <c r="R345" i="7"/>
  <c r="Z345" i="7"/>
  <c r="AH345" i="7"/>
  <c r="F346" i="7"/>
  <c r="N346" i="7"/>
  <c r="V346" i="7"/>
  <c r="AD346" i="7"/>
  <c r="B347" i="7"/>
  <c r="J347" i="7"/>
  <c r="R347" i="7"/>
  <c r="Z347" i="7"/>
  <c r="AH347" i="7"/>
  <c r="F348" i="7"/>
  <c r="N348" i="7"/>
  <c r="V348" i="7"/>
  <c r="AD348" i="7"/>
  <c r="B349" i="7"/>
  <c r="J349" i="7"/>
  <c r="R349" i="7"/>
  <c r="Z349" i="7"/>
  <c r="AH349" i="7"/>
  <c r="F350" i="7"/>
  <c r="N350" i="7"/>
  <c r="V350" i="7"/>
  <c r="AD350" i="7"/>
  <c r="B351" i="7"/>
  <c r="J351" i="7"/>
  <c r="R351" i="7"/>
  <c r="Z351" i="7"/>
  <c r="AH351" i="7"/>
  <c r="F352" i="7"/>
  <c r="N352" i="7"/>
  <c r="V352" i="7"/>
  <c r="AD352" i="7"/>
  <c r="B353" i="7"/>
  <c r="J353" i="7"/>
  <c r="R353" i="7"/>
  <c r="Z353" i="7"/>
  <c r="AH353" i="7"/>
  <c r="F354" i="7"/>
  <c r="N354" i="7"/>
  <c r="V354" i="7"/>
  <c r="AD354" i="7"/>
  <c r="B355" i="7"/>
  <c r="J355" i="7"/>
  <c r="R355" i="7"/>
  <c r="Z355" i="7"/>
  <c r="AH355" i="7"/>
  <c r="Y344" i="7"/>
  <c r="AG344" i="7"/>
  <c r="E345" i="7"/>
  <c r="U345" i="7"/>
  <c r="AK345" i="7"/>
  <c r="Q346" i="7"/>
  <c r="E347" i="7"/>
  <c r="AC347" i="7"/>
  <c r="Q348" i="7"/>
  <c r="E349" i="7"/>
  <c r="AC349" i="7"/>
  <c r="Q350" i="7"/>
  <c r="M351" i="7"/>
  <c r="AK351" i="7"/>
  <c r="Y352" i="7"/>
  <c r="M353" i="7"/>
  <c r="AK353" i="7"/>
  <c r="AG354" i="7"/>
  <c r="U355" i="7"/>
  <c r="AK355" i="7"/>
  <c r="G344" i="7"/>
  <c r="O344" i="7"/>
  <c r="W344" i="7"/>
  <c r="AE344" i="7"/>
  <c r="C345" i="7"/>
  <c r="K345" i="7"/>
  <c r="S345" i="7"/>
  <c r="AA345" i="7"/>
  <c r="AI345" i="7"/>
  <c r="G346" i="7"/>
  <c r="O346" i="7"/>
  <c r="W346" i="7"/>
  <c r="AE346" i="7"/>
  <c r="C347" i="7"/>
  <c r="K347" i="7"/>
  <c r="S347" i="7"/>
  <c r="AA347" i="7"/>
  <c r="AI347" i="7"/>
  <c r="G348" i="7"/>
  <c r="O348" i="7"/>
  <c r="W348" i="7"/>
  <c r="AE348" i="7"/>
  <c r="C349" i="7"/>
  <c r="K349" i="7"/>
  <c r="S349" i="7"/>
  <c r="AA349" i="7"/>
  <c r="AI349" i="7"/>
  <c r="G350" i="7"/>
  <c r="O350" i="7"/>
  <c r="W350" i="7"/>
  <c r="AE350" i="7"/>
  <c r="C351" i="7"/>
  <c r="K351" i="7"/>
  <c r="S351" i="7"/>
  <c r="AA351" i="7"/>
  <c r="AI351" i="7"/>
  <c r="G352" i="7"/>
  <c r="O352" i="7"/>
  <c r="W352" i="7"/>
  <c r="AE352" i="7"/>
  <c r="C353" i="7"/>
  <c r="K353" i="7"/>
  <c r="S353" i="7"/>
  <c r="AA353" i="7"/>
  <c r="AI353" i="7"/>
  <c r="G354" i="7"/>
  <c r="O354" i="7"/>
  <c r="W354" i="7"/>
  <c r="AE354" i="7"/>
  <c r="C355" i="7"/>
  <c r="K355" i="7"/>
  <c r="S355" i="7"/>
  <c r="AA355" i="7"/>
  <c r="AI355" i="7"/>
  <c r="Q344" i="7"/>
  <c r="M345" i="7"/>
  <c r="I346" i="7"/>
  <c r="AG346" i="7"/>
  <c r="U347" i="7"/>
  <c r="I348" i="7"/>
  <c r="AG348" i="7"/>
  <c r="U349" i="7"/>
  <c r="I350" i="7"/>
  <c r="AG350" i="7"/>
  <c r="U351" i="7"/>
  <c r="I352" i="7"/>
  <c r="AG352" i="7"/>
  <c r="U353" i="7"/>
  <c r="I354" i="7"/>
  <c r="Y354" i="7"/>
  <c r="M355" i="7"/>
  <c r="H344" i="7"/>
  <c r="P344" i="7"/>
  <c r="X344" i="7"/>
  <c r="AF344" i="7"/>
  <c r="D345" i="7"/>
  <c r="L345" i="7"/>
  <c r="T345" i="7"/>
  <c r="AB345" i="7"/>
  <c r="AJ345" i="7"/>
  <c r="H346" i="7"/>
  <c r="P346" i="7"/>
  <c r="X346" i="7"/>
  <c r="AF346" i="7"/>
  <c r="D347" i="7"/>
  <c r="L347" i="7"/>
  <c r="T347" i="7"/>
  <c r="AB347" i="7"/>
  <c r="AJ347" i="7"/>
  <c r="H348" i="7"/>
  <c r="P348" i="7"/>
  <c r="X348" i="7"/>
  <c r="AF348" i="7"/>
  <c r="D349" i="7"/>
  <c r="L349" i="7"/>
  <c r="T349" i="7"/>
  <c r="AB349" i="7"/>
  <c r="AJ349" i="7"/>
  <c r="H350" i="7"/>
  <c r="P350" i="7"/>
  <c r="X350" i="7"/>
  <c r="AF350" i="7"/>
  <c r="D351" i="7"/>
  <c r="L351" i="7"/>
  <c r="T351" i="7"/>
  <c r="AB351" i="7"/>
  <c r="AJ351" i="7"/>
  <c r="H352" i="7"/>
  <c r="P352" i="7"/>
  <c r="X352" i="7"/>
  <c r="AF352" i="7"/>
  <c r="D353" i="7"/>
  <c r="L353" i="7"/>
  <c r="T353" i="7"/>
  <c r="AB353" i="7"/>
  <c r="AJ353" i="7"/>
  <c r="H354" i="7"/>
  <c r="P354" i="7"/>
  <c r="X354" i="7"/>
  <c r="AF354" i="7"/>
  <c r="D355" i="7"/>
  <c r="L355" i="7"/>
  <c r="T355" i="7"/>
  <c r="AB355" i="7"/>
  <c r="AJ355" i="7"/>
  <c r="I344" i="7"/>
  <c r="AC345" i="7"/>
  <c r="Y346" i="7"/>
  <c r="M347" i="7"/>
  <c r="AK347" i="7"/>
  <c r="Y348" i="7"/>
  <c r="M349" i="7"/>
  <c r="AK349" i="7"/>
  <c r="Y350" i="7"/>
  <c r="E351" i="7"/>
  <c r="AC351" i="7"/>
  <c r="Q352" i="7"/>
  <c r="E353" i="7"/>
  <c r="AC353" i="7"/>
  <c r="Q354" i="7"/>
  <c r="E355" i="7"/>
  <c r="AC355" i="7"/>
  <c r="AH10" i="7"/>
  <c r="AH3" i="7"/>
  <c r="AH11" i="7"/>
  <c r="AH19" i="7"/>
  <c r="AH27" i="7"/>
  <c r="AH35" i="7"/>
  <c r="AH43" i="7"/>
  <c r="AH51" i="7"/>
  <c r="AH59" i="7"/>
  <c r="AH67" i="7"/>
  <c r="AH75" i="7"/>
  <c r="AH83" i="7"/>
  <c r="AH91" i="7"/>
  <c r="AH99" i="7"/>
  <c r="AH107" i="7"/>
  <c r="AH115" i="7"/>
  <c r="AH123" i="7"/>
  <c r="AH131" i="7"/>
  <c r="AH139" i="7"/>
  <c r="AH147" i="7"/>
  <c r="AH155" i="7"/>
  <c r="AH163" i="7"/>
  <c r="AH171" i="7"/>
  <c r="AH179" i="7"/>
  <c r="AH187" i="7"/>
  <c r="AH195" i="7"/>
  <c r="AH203" i="7"/>
  <c r="AH211" i="7"/>
  <c r="AH219" i="7"/>
  <c r="AH227" i="7"/>
  <c r="AH235" i="7"/>
  <c r="AH243" i="7"/>
  <c r="AH251" i="7"/>
  <c r="AH259" i="7"/>
  <c r="AH267" i="7"/>
  <c r="AH275" i="7"/>
  <c r="AH283" i="7"/>
  <c r="AH291" i="7"/>
  <c r="AH299" i="7"/>
  <c r="AH307" i="7"/>
  <c r="AH315" i="7"/>
  <c r="AH323" i="7"/>
  <c r="AH331" i="7"/>
  <c r="AH339" i="7"/>
  <c r="AG5" i="7"/>
  <c r="AH4" i="7"/>
  <c r="AH12" i="7"/>
  <c r="AH20" i="7"/>
  <c r="AH28" i="7"/>
  <c r="AH36" i="7"/>
  <c r="AH44" i="7"/>
  <c r="AH52" i="7"/>
  <c r="AH60" i="7"/>
  <c r="AH68" i="7"/>
  <c r="AH76" i="7"/>
  <c r="AH84" i="7"/>
  <c r="AH92" i="7"/>
  <c r="AH100" i="7"/>
  <c r="AH108" i="7"/>
  <c r="AH116" i="7"/>
  <c r="AH124" i="7"/>
  <c r="AH132" i="7"/>
  <c r="AH140" i="7"/>
  <c r="AH148" i="7"/>
  <c r="AH156" i="7"/>
  <c r="AH164" i="7"/>
  <c r="AH172" i="7"/>
  <c r="AH180" i="7"/>
  <c r="AH188" i="7"/>
  <c r="AH196" i="7"/>
  <c r="AH204" i="7"/>
  <c r="AH212" i="7"/>
  <c r="AH220" i="7"/>
  <c r="AH228" i="7"/>
  <c r="AH236" i="7"/>
  <c r="AH244" i="7"/>
  <c r="AH252" i="7"/>
  <c r="AH260" i="7"/>
  <c r="AH268" i="7"/>
  <c r="AH276" i="7"/>
  <c r="AH284" i="7"/>
  <c r="AH292" i="7"/>
  <c r="AH300" i="7"/>
  <c r="AH308" i="7"/>
  <c r="AH316" i="7"/>
  <c r="AH324" i="7"/>
  <c r="AH332" i="7"/>
  <c r="AH340" i="7"/>
  <c r="AG6" i="7"/>
  <c r="AG14" i="7"/>
  <c r="AG22" i="7"/>
  <c r="AG30" i="7"/>
  <c r="AG38" i="7"/>
  <c r="AG46" i="7"/>
  <c r="AG54" i="7"/>
  <c r="AG62" i="7"/>
  <c r="AG70" i="7"/>
  <c r="AG78" i="7"/>
  <c r="AG86" i="7"/>
  <c r="AG94" i="7"/>
  <c r="AG102" i="7"/>
  <c r="AG110" i="7"/>
  <c r="AG118" i="7"/>
  <c r="AG126" i="7"/>
  <c r="AG134" i="7"/>
  <c r="AG142" i="7"/>
  <c r="AG150" i="7"/>
  <c r="AG158" i="7"/>
  <c r="AG166" i="7"/>
  <c r="AG174" i="7"/>
  <c r="AG182" i="7"/>
  <c r="AG190" i="7"/>
  <c r="AG198" i="7"/>
  <c r="AH5" i="7"/>
  <c r="AH6" i="7"/>
  <c r="AH14" i="7"/>
  <c r="AH22" i="7"/>
  <c r="AH30" i="7"/>
  <c r="AH38" i="7"/>
  <c r="AH46" i="7"/>
  <c r="AH54" i="7"/>
  <c r="AH62" i="7"/>
  <c r="AH70" i="7"/>
  <c r="AH78" i="7"/>
  <c r="AH86" i="7"/>
  <c r="AH94" i="7"/>
  <c r="AH102" i="7"/>
  <c r="AH110" i="7"/>
  <c r="AH118" i="7"/>
  <c r="AH126" i="7"/>
  <c r="AH134" i="7"/>
  <c r="AH142" i="7"/>
  <c r="AH150" i="7"/>
  <c r="AH158" i="7"/>
  <c r="AH166" i="7"/>
  <c r="AH174" i="7"/>
  <c r="AH182" i="7"/>
  <c r="AH190" i="7"/>
  <c r="AH198" i="7"/>
  <c r="AH206" i="7"/>
  <c r="AH214" i="7"/>
  <c r="AH222" i="7"/>
  <c r="AH230" i="7"/>
  <c r="AH238" i="7"/>
  <c r="AH246" i="7"/>
  <c r="AH254" i="7"/>
  <c r="AH262" i="7"/>
  <c r="AH270" i="7"/>
  <c r="AH278" i="7"/>
  <c r="AH286" i="7"/>
  <c r="AH294" i="7"/>
  <c r="AH302" i="7"/>
  <c r="AH310" i="7"/>
  <c r="AH318" i="7"/>
  <c r="AH326" i="7"/>
  <c r="AH334" i="7"/>
  <c r="AH342" i="7"/>
  <c r="AG8" i="7"/>
  <c r="AG16" i="7"/>
  <c r="AG24" i="7"/>
  <c r="AG32" i="7"/>
  <c r="AG40" i="7"/>
  <c r="AG48" i="7"/>
  <c r="AG56" i="7"/>
  <c r="AG64" i="7"/>
  <c r="AG72" i="7"/>
  <c r="AG80" i="7"/>
  <c r="AG88" i="7"/>
  <c r="AG96" i="7"/>
  <c r="AG104" i="7"/>
  <c r="AG112" i="7"/>
  <c r="AG120" i="7"/>
  <c r="AG128" i="7"/>
  <c r="AG136" i="7"/>
  <c r="AG144" i="7"/>
  <c r="AG152" i="7"/>
  <c r="AG160" i="7"/>
  <c r="AG168" i="7"/>
  <c r="AG176" i="7"/>
  <c r="AG184" i="7"/>
  <c r="AG192" i="7"/>
  <c r="AG200" i="7"/>
  <c r="AG208" i="7"/>
  <c r="AG216" i="7"/>
  <c r="AG224" i="7"/>
  <c r="AG232" i="7"/>
  <c r="AG240" i="7"/>
  <c r="AG248" i="7"/>
  <c r="AG256" i="7"/>
  <c r="AG264" i="7"/>
  <c r="AG272" i="7"/>
  <c r="AG280" i="7"/>
  <c r="AG288" i="7"/>
  <c r="AG296" i="7"/>
  <c r="AG304" i="7"/>
  <c r="AG312" i="7"/>
  <c r="AG320" i="7"/>
  <c r="AG328" i="7"/>
  <c r="AG336" i="7"/>
  <c r="AH7" i="7"/>
  <c r="AH8" i="7"/>
  <c r="AH16" i="7"/>
  <c r="AH24" i="7"/>
  <c r="AH32" i="7"/>
  <c r="AH40" i="7"/>
  <c r="AH48" i="7"/>
  <c r="AH56" i="7"/>
  <c r="AH64" i="7"/>
  <c r="AH72" i="7"/>
  <c r="AH80" i="7"/>
  <c r="AH88" i="7"/>
  <c r="AH96" i="7"/>
  <c r="AH104" i="7"/>
  <c r="AH112" i="7"/>
  <c r="AH120" i="7"/>
  <c r="AH128" i="7"/>
  <c r="AH136" i="7"/>
  <c r="AH144" i="7"/>
  <c r="AH152" i="7"/>
  <c r="AH9" i="7"/>
  <c r="AH17" i="7"/>
  <c r="AH25" i="7"/>
  <c r="AH33" i="7"/>
  <c r="AH41" i="7"/>
  <c r="AH49" i="7"/>
  <c r="AH57" i="7"/>
  <c r="AH65" i="7"/>
  <c r="AH73" i="7"/>
  <c r="AH81" i="7"/>
  <c r="AH89" i="7"/>
  <c r="AH97" i="7"/>
  <c r="AH105" i="7"/>
  <c r="AH113" i="7"/>
  <c r="AH121" i="7"/>
  <c r="AH129" i="7"/>
  <c r="AH137" i="7"/>
  <c r="AH145" i="7"/>
  <c r="AH153" i="7"/>
  <c r="AH161" i="7"/>
  <c r="AH169" i="7"/>
  <c r="AH177" i="7"/>
  <c r="AH185" i="7"/>
  <c r="AH193" i="7"/>
  <c r="AH201" i="7"/>
  <c r="AH209" i="7"/>
  <c r="AH217" i="7"/>
  <c r="AH225" i="7"/>
  <c r="AH233" i="7"/>
  <c r="AH241" i="7"/>
  <c r="AH249" i="7"/>
  <c r="AH257" i="7"/>
  <c r="AH265" i="7"/>
  <c r="AH273" i="7"/>
  <c r="AH281" i="7"/>
  <c r="AH289" i="7"/>
  <c r="AH297" i="7"/>
  <c r="AH305" i="7"/>
  <c r="AH313" i="7"/>
  <c r="AH321" i="7"/>
  <c r="AH329" i="7"/>
  <c r="AH337" i="7"/>
  <c r="AG3" i="7"/>
  <c r="AG11" i="7"/>
  <c r="AG19" i="7"/>
  <c r="AG27" i="7"/>
  <c r="AG35" i="7"/>
  <c r="AG43" i="7"/>
  <c r="AG51" i="7"/>
  <c r="AG59" i="7"/>
  <c r="AG67" i="7"/>
  <c r="AG75" i="7"/>
  <c r="AG83" i="7"/>
  <c r="AG91" i="7"/>
  <c r="AG99" i="7"/>
  <c r="AG107" i="7"/>
  <c r="AG115" i="7"/>
  <c r="AG123" i="7"/>
  <c r="AG131" i="7"/>
  <c r="AG139" i="7"/>
  <c r="AG147" i="7"/>
  <c r="AG155" i="7"/>
  <c r="AG163" i="7"/>
  <c r="AG171" i="7"/>
  <c r="AG179" i="7"/>
  <c r="AG187" i="7"/>
  <c r="AG195" i="7"/>
  <c r="AG203" i="7"/>
  <c r="AG211" i="7"/>
  <c r="AG219" i="7"/>
  <c r="AG227" i="7"/>
  <c r="AG235" i="7"/>
  <c r="AG243" i="7"/>
  <c r="AG251" i="7"/>
  <c r="AG259" i="7"/>
  <c r="AG267" i="7"/>
  <c r="AG275" i="7"/>
  <c r="AG283" i="7"/>
  <c r="AG291" i="7"/>
  <c r="AG299" i="7"/>
  <c r="AG307" i="7"/>
  <c r="AG315" i="7"/>
  <c r="AG323" i="7"/>
  <c r="AG331" i="7"/>
  <c r="AG339" i="7"/>
  <c r="AH31" i="7"/>
  <c r="AH53" i="7"/>
  <c r="AH74" i="7"/>
  <c r="AH95" i="7"/>
  <c r="AH117" i="7"/>
  <c r="AH138" i="7"/>
  <c r="AH159" i="7"/>
  <c r="AH175" i="7"/>
  <c r="AH191" i="7"/>
  <c r="AH207" i="7"/>
  <c r="AH223" i="7"/>
  <c r="AH239" i="7"/>
  <c r="AH255" i="7"/>
  <c r="AH271" i="7"/>
  <c r="AH287" i="7"/>
  <c r="AH303" i="7"/>
  <c r="AH319" i="7"/>
  <c r="AH335" i="7"/>
  <c r="AG9" i="7"/>
  <c r="AG21" i="7"/>
  <c r="AG34" i="7"/>
  <c r="AG47" i="7"/>
  <c r="AG60" i="7"/>
  <c r="AG73" i="7"/>
  <c r="AG85" i="7"/>
  <c r="AG98" i="7"/>
  <c r="AG111" i="7"/>
  <c r="AG124" i="7"/>
  <c r="AG137" i="7"/>
  <c r="AG149" i="7"/>
  <c r="AG162" i="7"/>
  <c r="AG175" i="7"/>
  <c r="AG188" i="7"/>
  <c r="AG201" i="7"/>
  <c r="AG212" i="7"/>
  <c r="AG222" i="7"/>
  <c r="AG233" i="7"/>
  <c r="AG244" i="7"/>
  <c r="AG254" i="7"/>
  <c r="AG265" i="7"/>
  <c r="AG276" i="7"/>
  <c r="AG286" i="7"/>
  <c r="AG297" i="7"/>
  <c r="AG308" i="7"/>
  <c r="AG318" i="7"/>
  <c r="AG329" i="7"/>
  <c r="AG340" i="7"/>
  <c r="AF6" i="7"/>
  <c r="AF14" i="7"/>
  <c r="AF22" i="7"/>
  <c r="AF30" i="7"/>
  <c r="AF38" i="7"/>
  <c r="AF46" i="7"/>
  <c r="AF54" i="7"/>
  <c r="AF62" i="7"/>
  <c r="AF70" i="7"/>
  <c r="AF78" i="7"/>
  <c r="AF86" i="7"/>
  <c r="AF94" i="7"/>
  <c r="AF102" i="7"/>
  <c r="AF110" i="7"/>
  <c r="AF118" i="7"/>
  <c r="AF126" i="7"/>
  <c r="AF134" i="7"/>
  <c r="AF142" i="7"/>
  <c r="AF150" i="7"/>
  <c r="AF158" i="7"/>
  <c r="AF166" i="7"/>
  <c r="AF174" i="7"/>
  <c r="AF182" i="7"/>
  <c r="AF190" i="7"/>
  <c r="AF198" i="7"/>
  <c r="AH13" i="7"/>
  <c r="AH34" i="7"/>
  <c r="AH55" i="7"/>
  <c r="AH77" i="7"/>
  <c r="AH98" i="7"/>
  <c r="AH119" i="7"/>
  <c r="AH141" i="7"/>
  <c r="AH160" i="7"/>
  <c r="AH176" i="7"/>
  <c r="AH192" i="7"/>
  <c r="AH208" i="7"/>
  <c r="AH224" i="7"/>
  <c r="AH240" i="7"/>
  <c r="AH256" i="7"/>
  <c r="AH272" i="7"/>
  <c r="AH288" i="7"/>
  <c r="AH304" i="7"/>
  <c r="AH320" i="7"/>
  <c r="AH336" i="7"/>
  <c r="AG10" i="7"/>
  <c r="AG23" i="7"/>
  <c r="AG36" i="7"/>
  <c r="AG49" i="7"/>
  <c r="AG61" i="7"/>
  <c r="AG74" i="7"/>
  <c r="AG87" i="7"/>
  <c r="AG100" i="7"/>
  <c r="AG113" i="7"/>
  <c r="AG125" i="7"/>
  <c r="AG138" i="7"/>
  <c r="AG151" i="7"/>
  <c r="AG164" i="7"/>
  <c r="AG177" i="7"/>
  <c r="AG189" i="7"/>
  <c r="AG202" i="7"/>
  <c r="AG213" i="7"/>
  <c r="AG223" i="7"/>
  <c r="AG234" i="7"/>
  <c r="AG245" i="7"/>
  <c r="AG255" i="7"/>
  <c r="AG266" i="7"/>
  <c r="AG277" i="7"/>
  <c r="AG287" i="7"/>
  <c r="AG298" i="7"/>
  <c r="AG309" i="7"/>
  <c r="AG319" i="7"/>
  <c r="AG330" i="7"/>
  <c r="AG341" i="7"/>
  <c r="AF7" i="7"/>
  <c r="AF15" i="7"/>
  <c r="AF23" i="7"/>
  <c r="AF31" i="7"/>
  <c r="AF39" i="7"/>
  <c r="AF47" i="7"/>
  <c r="AF55" i="7"/>
  <c r="AF63" i="7"/>
  <c r="AF71" i="7"/>
  <c r="AF79" i="7"/>
  <c r="AF87" i="7"/>
  <c r="AF95" i="7"/>
  <c r="AF103" i="7"/>
  <c r="AF111" i="7"/>
  <c r="AF119" i="7"/>
  <c r="AF127" i="7"/>
  <c r="AF135" i="7"/>
  <c r="AF143" i="7"/>
  <c r="AF151" i="7"/>
  <c r="AF159" i="7"/>
  <c r="AF167" i="7"/>
  <c r="AF175" i="7"/>
  <c r="AF183" i="7"/>
  <c r="AF191" i="7"/>
  <c r="AF199" i="7"/>
  <c r="AF207" i="7"/>
  <c r="AF215" i="7"/>
  <c r="AF223" i="7"/>
  <c r="AF231" i="7"/>
  <c r="AF239" i="7"/>
  <c r="AF247" i="7"/>
  <c r="AF255" i="7"/>
  <c r="AF263" i="7"/>
  <c r="AF271" i="7"/>
  <c r="AF279" i="7"/>
  <c r="AF287" i="7"/>
  <c r="AF295" i="7"/>
  <c r="AH15" i="7"/>
  <c r="AH37" i="7"/>
  <c r="AH58" i="7"/>
  <c r="AH79" i="7"/>
  <c r="AH101" i="7"/>
  <c r="AH122" i="7"/>
  <c r="AH143" i="7"/>
  <c r="AH162" i="7"/>
  <c r="AH178" i="7"/>
  <c r="AH194" i="7"/>
  <c r="AH210" i="7"/>
  <c r="AH226" i="7"/>
  <c r="AH242" i="7"/>
  <c r="AH258" i="7"/>
  <c r="AH274" i="7"/>
  <c r="AH290" i="7"/>
  <c r="AH306" i="7"/>
  <c r="AH322" i="7"/>
  <c r="AH338" i="7"/>
  <c r="AG12" i="7"/>
  <c r="AG25" i="7"/>
  <c r="AG37" i="7"/>
  <c r="AG50" i="7"/>
  <c r="AG63" i="7"/>
  <c r="AG76" i="7"/>
  <c r="AG89" i="7"/>
  <c r="AG101" i="7"/>
  <c r="AG114" i="7"/>
  <c r="AG127" i="7"/>
  <c r="AG140" i="7"/>
  <c r="AG153" i="7"/>
  <c r="AG165" i="7"/>
  <c r="AG178" i="7"/>
  <c r="AG191" i="7"/>
  <c r="AG204" i="7"/>
  <c r="AG214" i="7"/>
  <c r="AG225" i="7"/>
  <c r="AG236" i="7"/>
  <c r="AG246" i="7"/>
  <c r="AG257" i="7"/>
  <c r="AG268" i="7"/>
  <c r="AG278" i="7"/>
  <c r="AG289" i="7"/>
  <c r="AG300" i="7"/>
  <c r="AG310" i="7"/>
  <c r="AG321" i="7"/>
  <c r="AG332" i="7"/>
  <c r="AG342" i="7"/>
  <c r="AF8" i="7"/>
  <c r="AF16" i="7"/>
  <c r="AF24" i="7"/>
  <c r="AF32" i="7"/>
  <c r="AF40" i="7"/>
  <c r="AF48" i="7"/>
  <c r="AF56" i="7"/>
  <c r="AF64" i="7"/>
  <c r="AF72" i="7"/>
  <c r="AF80" i="7"/>
  <c r="AF88" i="7"/>
  <c r="AF96" i="7"/>
  <c r="AF104" i="7"/>
  <c r="AF112" i="7"/>
  <c r="AF120" i="7"/>
  <c r="AF128" i="7"/>
  <c r="AF136" i="7"/>
  <c r="AF144" i="7"/>
  <c r="AF152" i="7"/>
  <c r="AF160" i="7"/>
  <c r="AF168" i="7"/>
  <c r="AF176" i="7"/>
  <c r="AF184" i="7"/>
  <c r="AF192" i="7"/>
  <c r="AF200" i="7"/>
  <c r="AF208" i="7"/>
  <c r="AF216" i="7"/>
  <c r="AF224" i="7"/>
  <c r="AF232" i="7"/>
  <c r="AF240" i="7"/>
  <c r="AF248" i="7"/>
  <c r="AF256" i="7"/>
  <c r="AF264" i="7"/>
  <c r="AF272" i="7"/>
  <c r="AF280" i="7"/>
  <c r="AF288" i="7"/>
  <c r="AF296" i="7"/>
  <c r="AH23" i="7"/>
  <c r="AH45" i="7"/>
  <c r="AH66" i="7"/>
  <c r="AH87" i="7"/>
  <c r="AH109" i="7"/>
  <c r="AH130" i="7"/>
  <c r="AH151" i="7"/>
  <c r="AH168" i="7"/>
  <c r="AH184" i="7"/>
  <c r="AH200" i="7"/>
  <c r="AH216" i="7"/>
  <c r="AH232" i="7"/>
  <c r="AH248" i="7"/>
  <c r="AH264" i="7"/>
  <c r="AH280" i="7"/>
  <c r="AH296" i="7"/>
  <c r="AH312" i="7"/>
  <c r="AH328" i="7"/>
  <c r="AG17" i="7"/>
  <c r="AG29" i="7"/>
  <c r="AG42" i="7"/>
  <c r="AG55" i="7"/>
  <c r="AG68" i="7"/>
  <c r="AG81" i="7"/>
  <c r="AG93" i="7"/>
  <c r="AG106" i="7"/>
  <c r="AG119" i="7"/>
  <c r="AG132" i="7"/>
  <c r="AG145" i="7"/>
  <c r="AG157" i="7"/>
  <c r="AG170" i="7"/>
  <c r="AG183" i="7"/>
  <c r="AG196" i="7"/>
  <c r="AG207" i="7"/>
  <c r="AG218" i="7"/>
  <c r="AG229" i="7"/>
  <c r="AG239" i="7"/>
  <c r="AG250" i="7"/>
  <c r="AG261" i="7"/>
  <c r="AG271" i="7"/>
  <c r="AG282" i="7"/>
  <c r="AG293" i="7"/>
  <c r="AG303" i="7"/>
  <c r="AG314" i="7"/>
  <c r="AG325" i="7"/>
  <c r="AG335" i="7"/>
  <c r="AF3" i="7"/>
  <c r="AF11" i="7"/>
  <c r="AF19" i="7"/>
  <c r="AF27" i="7"/>
  <c r="AF35" i="7"/>
  <c r="AF43" i="7"/>
  <c r="AF51" i="7"/>
  <c r="AF59" i="7"/>
  <c r="AF67" i="7"/>
  <c r="AF75" i="7"/>
  <c r="AF83" i="7"/>
  <c r="AF91" i="7"/>
  <c r="AF99" i="7"/>
  <c r="AF107" i="7"/>
  <c r="AF115" i="7"/>
  <c r="AF123" i="7"/>
  <c r="AF131" i="7"/>
  <c r="AF139" i="7"/>
  <c r="AF147" i="7"/>
  <c r="AF155" i="7"/>
  <c r="AF163" i="7"/>
  <c r="AF171" i="7"/>
  <c r="AF179" i="7"/>
  <c r="AF187" i="7"/>
  <c r="AF195" i="7"/>
  <c r="AF203" i="7"/>
  <c r="AF211" i="7"/>
  <c r="AF219" i="7"/>
  <c r="AF227" i="7"/>
  <c r="AF235" i="7"/>
  <c r="AF243" i="7"/>
  <c r="AF251" i="7"/>
  <c r="AF259" i="7"/>
  <c r="AF267" i="7"/>
  <c r="AF275" i="7"/>
  <c r="AF283" i="7"/>
  <c r="AF291" i="7"/>
  <c r="AF299" i="7"/>
  <c r="AH26" i="7"/>
  <c r="AH47" i="7"/>
  <c r="AH69" i="7"/>
  <c r="AH90" i="7"/>
  <c r="AH111" i="7"/>
  <c r="AH133" i="7"/>
  <c r="AH154" i="7"/>
  <c r="AH170" i="7"/>
  <c r="AH186" i="7"/>
  <c r="AH202" i="7"/>
  <c r="AH218" i="7"/>
  <c r="AH234" i="7"/>
  <c r="AH250" i="7"/>
  <c r="AH266" i="7"/>
  <c r="AH282" i="7"/>
  <c r="AH298" i="7"/>
  <c r="AH314" i="7"/>
  <c r="AH330" i="7"/>
  <c r="AG4" i="7"/>
  <c r="AG18" i="7"/>
  <c r="AG31" i="7"/>
  <c r="AG44" i="7"/>
  <c r="AG57" i="7"/>
  <c r="AG69" i="7"/>
  <c r="AG82" i="7"/>
  <c r="AG95" i="7"/>
  <c r="AG108" i="7"/>
  <c r="AG121" i="7"/>
  <c r="AG133" i="7"/>
  <c r="AG146" i="7"/>
  <c r="AG159" i="7"/>
  <c r="AG172" i="7"/>
  <c r="AG185" i="7"/>
  <c r="AG197" i="7"/>
  <c r="AG209" i="7"/>
  <c r="AG220" i="7"/>
  <c r="AG230" i="7"/>
  <c r="AG241" i="7"/>
  <c r="AG252" i="7"/>
  <c r="AG262" i="7"/>
  <c r="AG273" i="7"/>
  <c r="AG284" i="7"/>
  <c r="AG294" i="7"/>
  <c r="AG305" i="7"/>
  <c r="AG316" i="7"/>
  <c r="AG326" i="7"/>
  <c r="AG337" i="7"/>
  <c r="AF4" i="7"/>
  <c r="AF12" i="7"/>
  <c r="AF20" i="7"/>
  <c r="AF28" i="7"/>
  <c r="AF36" i="7"/>
  <c r="AF44" i="7"/>
  <c r="AF52" i="7"/>
  <c r="AF60" i="7"/>
  <c r="AF68" i="7"/>
  <c r="AF76" i="7"/>
  <c r="AF84" i="7"/>
  <c r="AF92" i="7"/>
  <c r="AF100" i="7"/>
  <c r="AF108" i="7"/>
  <c r="AF116" i="7"/>
  <c r="AF124" i="7"/>
  <c r="AF132" i="7"/>
  <c r="AF140" i="7"/>
  <c r="AF148" i="7"/>
  <c r="AF156" i="7"/>
  <c r="AF164" i="7"/>
  <c r="AF172" i="7"/>
  <c r="AF180" i="7"/>
  <c r="AF188" i="7"/>
  <c r="AF196" i="7"/>
  <c r="AF204" i="7"/>
  <c r="AF212" i="7"/>
  <c r="AF220" i="7"/>
  <c r="AF228" i="7"/>
  <c r="AF236" i="7"/>
  <c r="AF244" i="7"/>
  <c r="AF252" i="7"/>
  <c r="AF260" i="7"/>
  <c r="AF268" i="7"/>
  <c r="AF276" i="7"/>
  <c r="AF284" i="7"/>
  <c r="AF292" i="7"/>
  <c r="AF300" i="7"/>
  <c r="AH63" i="7"/>
  <c r="AH125" i="7"/>
  <c r="AH173" i="7"/>
  <c r="AH215" i="7"/>
  <c r="AH261" i="7"/>
  <c r="AH301" i="7"/>
  <c r="AH343" i="7"/>
  <c r="AG39" i="7"/>
  <c r="AG71" i="7"/>
  <c r="AG105" i="7"/>
  <c r="AG141" i="7"/>
  <c r="AG173" i="7"/>
  <c r="AG206" i="7"/>
  <c r="AG237" i="7"/>
  <c r="AG263" i="7"/>
  <c r="AG292" i="7"/>
  <c r="AG322" i="7"/>
  <c r="AF5" i="7"/>
  <c r="AF26" i="7"/>
  <c r="AF49" i="7"/>
  <c r="AF69" i="7"/>
  <c r="AF90" i="7"/>
  <c r="AF113" i="7"/>
  <c r="AF133" i="7"/>
  <c r="AF154" i="7"/>
  <c r="AF177" i="7"/>
  <c r="AF197" i="7"/>
  <c r="AF214" i="7"/>
  <c r="AF230" i="7"/>
  <c r="AF246" i="7"/>
  <c r="AF262" i="7"/>
  <c r="AF278" i="7"/>
  <c r="AF294" i="7"/>
  <c r="AF306" i="7"/>
  <c r="AF314" i="7"/>
  <c r="AF322" i="7"/>
  <c r="AF330" i="7"/>
  <c r="AF338" i="7"/>
  <c r="N4" i="7"/>
  <c r="N12" i="7"/>
  <c r="N20" i="7"/>
  <c r="N28" i="7"/>
  <c r="N36" i="7"/>
  <c r="N44" i="7"/>
  <c r="N52" i="7"/>
  <c r="N60" i="7"/>
  <c r="N68" i="7"/>
  <c r="N76" i="7"/>
  <c r="N84" i="7"/>
  <c r="N92" i="7"/>
  <c r="N100" i="7"/>
  <c r="N108" i="7"/>
  <c r="N116" i="7"/>
  <c r="N124" i="7"/>
  <c r="N132" i="7"/>
  <c r="N140" i="7"/>
  <c r="N148" i="7"/>
  <c r="N156" i="7"/>
  <c r="N164" i="7"/>
  <c r="N172" i="7"/>
  <c r="N180" i="7"/>
  <c r="N188" i="7"/>
  <c r="N196" i="7"/>
  <c r="N204" i="7"/>
  <c r="N212" i="7"/>
  <c r="N220" i="7"/>
  <c r="N228" i="7"/>
  <c r="N236" i="7"/>
  <c r="N244" i="7"/>
  <c r="N252" i="7"/>
  <c r="N260" i="7"/>
  <c r="N268" i="7"/>
  <c r="N276" i="7"/>
  <c r="N284" i="7"/>
  <c r="N292" i="7"/>
  <c r="N300" i="7"/>
  <c r="N308" i="7"/>
  <c r="N316" i="7"/>
  <c r="N324" i="7"/>
  <c r="N332" i="7"/>
  <c r="N340" i="7"/>
  <c r="D6" i="7"/>
  <c r="D14" i="7"/>
  <c r="D22" i="7"/>
  <c r="D30" i="7"/>
  <c r="AH18" i="7"/>
  <c r="AH71" i="7"/>
  <c r="AH127" i="7"/>
  <c r="AH181" i="7"/>
  <c r="AH221" i="7"/>
  <c r="AH263" i="7"/>
  <c r="AH309" i="7"/>
  <c r="AG7" i="7"/>
  <c r="AG41" i="7"/>
  <c r="AG77" i="7"/>
  <c r="AG109" i="7"/>
  <c r="AG143" i="7"/>
  <c r="AG180" i="7"/>
  <c r="AG210" i="7"/>
  <c r="AG238" i="7"/>
  <c r="AG269" i="7"/>
  <c r="AG295" i="7"/>
  <c r="AG324" i="7"/>
  <c r="AF9" i="7"/>
  <c r="AF29" i="7"/>
  <c r="AF50" i="7"/>
  <c r="AF73" i="7"/>
  <c r="AH21" i="7"/>
  <c r="AH82" i="7"/>
  <c r="AH135" i="7"/>
  <c r="AH183" i="7"/>
  <c r="AH229" i="7"/>
  <c r="AH269" i="7"/>
  <c r="AH311" i="7"/>
  <c r="AG13" i="7"/>
  <c r="AG45" i="7"/>
  <c r="AG79" i="7"/>
  <c r="AG116" i="7"/>
  <c r="AG148" i="7"/>
  <c r="AG181" i="7"/>
  <c r="AG215" i="7"/>
  <c r="AG242" i="7"/>
  <c r="AG270" i="7"/>
  <c r="AG301" i="7"/>
  <c r="AG327" i="7"/>
  <c r="AF10" i="7"/>
  <c r="AF33" i="7"/>
  <c r="AF53" i="7"/>
  <c r="AF74" i="7"/>
  <c r="AF97" i="7"/>
  <c r="AF117" i="7"/>
  <c r="AF138" i="7"/>
  <c r="AF161" i="7"/>
  <c r="AF181" i="7"/>
  <c r="AF202" i="7"/>
  <c r="AF218" i="7"/>
  <c r="AF234" i="7"/>
  <c r="AF250" i="7"/>
  <c r="AF266" i="7"/>
  <c r="AF282" i="7"/>
  <c r="AF298" i="7"/>
  <c r="AF308" i="7"/>
  <c r="AF316" i="7"/>
  <c r="AF324" i="7"/>
  <c r="AF332" i="7"/>
  <c r="AF340" i="7"/>
  <c r="N6" i="7"/>
  <c r="N14" i="7"/>
  <c r="N22" i="7"/>
  <c r="N30" i="7"/>
  <c r="N38" i="7"/>
  <c r="N46" i="7"/>
  <c r="N54" i="7"/>
  <c r="N62" i="7"/>
  <c r="N70" i="7"/>
  <c r="N78" i="7"/>
  <c r="N86" i="7"/>
  <c r="N94" i="7"/>
  <c r="N102" i="7"/>
  <c r="N110" i="7"/>
  <c r="N118" i="7"/>
  <c r="N126" i="7"/>
  <c r="N134" i="7"/>
  <c r="N142" i="7"/>
  <c r="N150" i="7"/>
  <c r="N158" i="7"/>
  <c r="N166" i="7"/>
  <c r="N174" i="7"/>
  <c r="N182" i="7"/>
  <c r="N190" i="7"/>
  <c r="N198" i="7"/>
  <c r="N206" i="7"/>
  <c r="N214" i="7"/>
  <c r="N222" i="7"/>
  <c r="N230" i="7"/>
  <c r="N238" i="7"/>
  <c r="N246" i="7"/>
  <c r="N254" i="7"/>
  <c r="N262" i="7"/>
  <c r="N270" i="7"/>
  <c r="N278" i="7"/>
  <c r="N286" i="7"/>
  <c r="N294" i="7"/>
  <c r="N302" i="7"/>
  <c r="N310" i="7"/>
  <c r="N318" i="7"/>
  <c r="N326" i="7"/>
  <c r="N334" i="7"/>
  <c r="AH42" i="7"/>
  <c r="AH103" i="7"/>
  <c r="AH157" i="7"/>
  <c r="AH199" i="7"/>
  <c r="AH245" i="7"/>
  <c r="AH285" i="7"/>
  <c r="AH327" i="7"/>
  <c r="AG26" i="7"/>
  <c r="AG58" i="7"/>
  <c r="AG92" i="7"/>
  <c r="AG129" i="7"/>
  <c r="AG161" i="7"/>
  <c r="AG194" i="7"/>
  <c r="AG226" i="7"/>
  <c r="AG253" i="7"/>
  <c r="AG281" i="7"/>
  <c r="AG311" i="7"/>
  <c r="AG338" i="7"/>
  <c r="AF18" i="7"/>
  <c r="AF41" i="7"/>
  <c r="AF61" i="7"/>
  <c r="AF82" i="7"/>
  <c r="AF105" i="7"/>
  <c r="AF125" i="7"/>
  <c r="AF146" i="7"/>
  <c r="AF169" i="7"/>
  <c r="AF189" i="7"/>
  <c r="AF209" i="7"/>
  <c r="AF225" i="7"/>
  <c r="AF241" i="7"/>
  <c r="AF257" i="7"/>
  <c r="AF273" i="7"/>
  <c r="AF289" i="7"/>
  <c r="AF303" i="7"/>
  <c r="AF311" i="7"/>
  <c r="AF319" i="7"/>
  <c r="AF327" i="7"/>
  <c r="AF335" i="7"/>
  <c r="AF343" i="7"/>
  <c r="N9" i="7"/>
  <c r="N17" i="7"/>
  <c r="N25" i="7"/>
  <c r="N33" i="7"/>
  <c r="N41" i="7"/>
  <c r="N49" i="7"/>
  <c r="N57" i="7"/>
  <c r="N65" i="7"/>
  <c r="N73" i="7"/>
  <c r="N81" i="7"/>
  <c r="N89" i="7"/>
  <c r="N97" i="7"/>
  <c r="N105" i="7"/>
  <c r="N113" i="7"/>
  <c r="N121" i="7"/>
  <c r="N129" i="7"/>
  <c r="N137" i="7"/>
  <c r="N145" i="7"/>
  <c r="N153" i="7"/>
  <c r="N161" i="7"/>
  <c r="N169" i="7"/>
  <c r="N177" i="7"/>
  <c r="N185" i="7"/>
  <c r="N193" i="7"/>
  <c r="N201" i="7"/>
  <c r="N209" i="7"/>
  <c r="N217" i="7"/>
  <c r="N225" i="7"/>
  <c r="N233" i="7"/>
  <c r="N241" i="7"/>
  <c r="N249" i="7"/>
  <c r="N257" i="7"/>
  <c r="N265" i="7"/>
  <c r="N273" i="7"/>
  <c r="N281" i="7"/>
  <c r="N289" i="7"/>
  <c r="N297" i="7"/>
  <c r="N305" i="7"/>
  <c r="N313" i="7"/>
  <c r="N321" i="7"/>
  <c r="N329" i="7"/>
  <c r="N337" i="7"/>
  <c r="D3" i="7"/>
  <c r="AH50" i="7"/>
  <c r="AH106" i="7"/>
  <c r="AH165" i="7"/>
  <c r="AH205" i="7"/>
  <c r="AH247" i="7"/>
  <c r="AH293" i="7"/>
  <c r="AH333" i="7"/>
  <c r="AG28" i="7"/>
  <c r="AG65" i="7"/>
  <c r="AG97" i="7"/>
  <c r="AG130" i="7"/>
  <c r="AG167" i="7"/>
  <c r="AG199" i="7"/>
  <c r="AG228" i="7"/>
  <c r="AG258" i="7"/>
  <c r="AG285" i="7"/>
  <c r="AG313" i="7"/>
  <c r="AG343" i="7"/>
  <c r="AF21" i="7"/>
  <c r="AF42" i="7"/>
  <c r="AF65" i="7"/>
  <c r="AF85" i="7"/>
  <c r="AF106" i="7"/>
  <c r="AF129" i="7"/>
  <c r="AF149" i="7"/>
  <c r="AF170" i="7"/>
  <c r="AF193" i="7"/>
  <c r="AF210" i="7"/>
  <c r="AF226" i="7"/>
  <c r="AF242" i="7"/>
  <c r="AF258" i="7"/>
  <c r="AF274" i="7"/>
  <c r="AF290" i="7"/>
  <c r="AF304" i="7"/>
  <c r="AF312" i="7"/>
  <c r="AF320" i="7"/>
  <c r="AF328" i="7"/>
  <c r="AF336" i="7"/>
  <c r="N10" i="7"/>
  <c r="N18" i="7"/>
  <c r="N26" i="7"/>
  <c r="N34" i="7"/>
  <c r="N42" i="7"/>
  <c r="N50" i="7"/>
  <c r="N58" i="7"/>
  <c r="N66" i="7"/>
  <c r="N74" i="7"/>
  <c r="N82" i="7"/>
  <c r="N90" i="7"/>
  <c r="N98" i="7"/>
  <c r="N106" i="7"/>
  <c r="N114" i="7"/>
  <c r="N122" i="7"/>
  <c r="N130" i="7"/>
  <c r="N138" i="7"/>
  <c r="N146" i="7"/>
  <c r="N154" i="7"/>
  <c r="N162" i="7"/>
  <c r="N170" i="7"/>
  <c r="N178" i="7"/>
  <c r="N186" i="7"/>
  <c r="N194" i="7"/>
  <c r="N202" i="7"/>
  <c r="N210" i="7"/>
  <c r="N218" i="7"/>
  <c r="N226" i="7"/>
  <c r="N234" i="7"/>
  <c r="N242" i="7"/>
  <c r="N250" i="7"/>
  <c r="AH149" i="7"/>
  <c r="AH277" i="7"/>
  <c r="AG33" i="7"/>
  <c r="AG122" i="7"/>
  <c r="AG217" i="7"/>
  <c r="AG290" i="7"/>
  <c r="AF17" i="7"/>
  <c r="AF77" i="7"/>
  <c r="AF121" i="7"/>
  <c r="AF162" i="7"/>
  <c r="AF205" i="7"/>
  <c r="AF237" i="7"/>
  <c r="AF269" i="7"/>
  <c r="AF301" i="7"/>
  <c r="AF317" i="7"/>
  <c r="AF333" i="7"/>
  <c r="N7" i="7"/>
  <c r="N23" i="7"/>
  <c r="N39" i="7"/>
  <c r="N55" i="7"/>
  <c r="N71" i="7"/>
  <c r="N87" i="7"/>
  <c r="N103" i="7"/>
  <c r="N119" i="7"/>
  <c r="N135" i="7"/>
  <c r="N151" i="7"/>
  <c r="N167" i="7"/>
  <c r="N183" i="7"/>
  <c r="N199" i="7"/>
  <c r="N215" i="7"/>
  <c r="N231" i="7"/>
  <c r="N247" i="7"/>
  <c r="N261" i="7"/>
  <c r="N274" i="7"/>
  <c r="N287" i="7"/>
  <c r="N299" i="7"/>
  <c r="N312" i="7"/>
  <c r="N325" i="7"/>
  <c r="N338" i="7"/>
  <c r="D7" i="7"/>
  <c r="D16" i="7"/>
  <c r="D25" i="7"/>
  <c r="D34" i="7"/>
  <c r="D42" i="7"/>
  <c r="D50" i="7"/>
  <c r="D58" i="7"/>
  <c r="D66" i="7"/>
  <c r="D74" i="7"/>
  <c r="D82" i="7"/>
  <c r="D90" i="7"/>
  <c r="D98" i="7"/>
  <c r="D106" i="7"/>
  <c r="D114" i="7"/>
  <c r="D122" i="7"/>
  <c r="D130" i="7"/>
  <c r="D138" i="7"/>
  <c r="D146" i="7"/>
  <c r="D154" i="7"/>
  <c r="D162" i="7"/>
  <c r="D170" i="7"/>
  <c r="D178" i="7"/>
  <c r="D186" i="7"/>
  <c r="D194" i="7"/>
  <c r="D202" i="7"/>
  <c r="D210" i="7"/>
  <c r="D218" i="7"/>
  <c r="D226" i="7"/>
  <c r="D234" i="7"/>
  <c r="D242" i="7"/>
  <c r="D250" i="7"/>
  <c r="D258" i="7"/>
  <c r="D266" i="7"/>
  <c r="D274" i="7"/>
  <c r="D282" i="7"/>
  <c r="D290" i="7"/>
  <c r="D298" i="7"/>
  <c r="D306" i="7"/>
  <c r="D314" i="7"/>
  <c r="D322" i="7"/>
  <c r="D330" i="7"/>
  <c r="D338" i="7"/>
  <c r="AH317" i="7"/>
  <c r="AG66" i="7"/>
  <c r="AG156" i="7"/>
  <c r="AG247" i="7"/>
  <c r="AG317" i="7"/>
  <c r="AF37" i="7"/>
  <c r="AF93" i="7"/>
  <c r="AF137" i="7"/>
  <c r="AF178" i="7"/>
  <c r="AF217" i="7"/>
  <c r="AF249" i="7"/>
  <c r="AF307" i="7"/>
  <c r="AF339" i="7"/>
  <c r="N13" i="7"/>
  <c r="N61" i="7"/>
  <c r="N93" i="7"/>
  <c r="N125" i="7"/>
  <c r="N173" i="7"/>
  <c r="N221" i="7"/>
  <c r="N266" i="7"/>
  <c r="N304" i="7"/>
  <c r="N342" i="7"/>
  <c r="D19" i="7"/>
  <c r="D37" i="7"/>
  <c r="D69" i="7"/>
  <c r="D93" i="7"/>
  <c r="D125" i="7"/>
  <c r="D149" i="7"/>
  <c r="D173" i="7"/>
  <c r="D205" i="7"/>
  <c r="D221" i="7"/>
  <c r="D253" i="7"/>
  <c r="D277" i="7"/>
  <c r="D301" i="7"/>
  <c r="D325" i="7"/>
  <c r="AH85" i="7"/>
  <c r="AF98" i="7"/>
  <c r="AF221" i="7"/>
  <c r="AF309" i="7"/>
  <c r="N15" i="7"/>
  <c r="N63" i="7"/>
  <c r="N111" i="7"/>
  <c r="N159" i="7"/>
  <c r="N239" i="7"/>
  <c r="N293" i="7"/>
  <c r="D11" i="7"/>
  <c r="D54" i="7"/>
  <c r="D78" i="7"/>
  <c r="D118" i="7"/>
  <c r="D158" i="7"/>
  <c r="D198" i="7"/>
  <c r="D238" i="7"/>
  <c r="D270" i="7"/>
  <c r="D310" i="7"/>
  <c r="D342" i="7"/>
  <c r="AH29" i="7"/>
  <c r="AH167" i="7"/>
  <c r="AH279" i="7"/>
  <c r="AG52" i="7"/>
  <c r="AG135" i="7"/>
  <c r="AG221" i="7"/>
  <c r="AG302" i="7"/>
  <c r="AF25" i="7"/>
  <c r="AF81" i="7"/>
  <c r="AF122" i="7"/>
  <c r="AF165" i="7"/>
  <c r="AF206" i="7"/>
  <c r="AF238" i="7"/>
  <c r="AF270" i="7"/>
  <c r="AF302" i="7"/>
  <c r="AF318" i="7"/>
  <c r="AF334" i="7"/>
  <c r="N8" i="7"/>
  <c r="N24" i="7"/>
  <c r="N40" i="7"/>
  <c r="N56" i="7"/>
  <c r="N72" i="7"/>
  <c r="N88" i="7"/>
  <c r="N104" i="7"/>
  <c r="N120" i="7"/>
  <c r="N136" i="7"/>
  <c r="N152" i="7"/>
  <c r="N168" i="7"/>
  <c r="N184" i="7"/>
  <c r="N200" i="7"/>
  <c r="N216" i="7"/>
  <c r="N232" i="7"/>
  <c r="N248" i="7"/>
  <c r="N263" i="7"/>
  <c r="N275" i="7"/>
  <c r="N288" i="7"/>
  <c r="N301" i="7"/>
  <c r="N314" i="7"/>
  <c r="N327" i="7"/>
  <c r="N339" i="7"/>
  <c r="D8" i="7"/>
  <c r="D17" i="7"/>
  <c r="D26" i="7"/>
  <c r="D35" i="7"/>
  <c r="D43" i="7"/>
  <c r="D51" i="7"/>
  <c r="D59" i="7"/>
  <c r="D67" i="7"/>
  <c r="D75" i="7"/>
  <c r="D83" i="7"/>
  <c r="D91" i="7"/>
  <c r="D99" i="7"/>
  <c r="D107" i="7"/>
  <c r="D115" i="7"/>
  <c r="D123" i="7"/>
  <c r="D131" i="7"/>
  <c r="D139" i="7"/>
  <c r="D147" i="7"/>
  <c r="D155" i="7"/>
  <c r="D163" i="7"/>
  <c r="D171" i="7"/>
  <c r="D179" i="7"/>
  <c r="D187" i="7"/>
  <c r="D195" i="7"/>
  <c r="D203" i="7"/>
  <c r="D211" i="7"/>
  <c r="D219" i="7"/>
  <c r="D227" i="7"/>
  <c r="D235" i="7"/>
  <c r="D243" i="7"/>
  <c r="D251" i="7"/>
  <c r="D259" i="7"/>
  <c r="D267" i="7"/>
  <c r="D275" i="7"/>
  <c r="D283" i="7"/>
  <c r="D291" i="7"/>
  <c r="D299" i="7"/>
  <c r="D307" i="7"/>
  <c r="D315" i="7"/>
  <c r="D323" i="7"/>
  <c r="D331" i="7"/>
  <c r="D339" i="7"/>
  <c r="AH197" i="7"/>
  <c r="AF281" i="7"/>
  <c r="N29" i="7"/>
  <c r="N77" i="7"/>
  <c r="N141" i="7"/>
  <c r="N205" i="7"/>
  <c r="N253" i="7"/>
  <c r="N291" i="7"/>
  <c r="N317" i="7"/>
  <c r="D10" i="7"/>
  <c r="D53" i="7"/>
  <c r="D77" i="7"/>
  <c r="D101" i="7"/>
  <c r="D117" i="7"/>
  <c r="D141" i="7"/>
  <c r="D165" i="7"/>
  <c r="D189" i="7"/>
  <c r="D213" i="7"/>
  <c r="D237" i="7"/>
  <c r="D261" i="7"/>
  <c r="D285" i="7"/>
  <c r="D309" i="7"/>
  <c r="D333" i="7"/>
  <c r="AH325" i="7"/>
  <c r="AF45" i="7"/>
  <c r="AF185" i="7"/>
  <c r="AF285" i="7"/>
  <c r="AF341" i="7"/>
  <c r="N47" i="7"/>
  <c r="N95" i="7"/>
  <c r="N143" i="7"/>
  <c r="N191" i="7"/>
  <c r="N255" i="7"/>
  <c r="N331" i="7"/>
  <c r="D38" i="7"/>
  <c r="D86" i="7"/>
  <c r="D134" i="7"/>
  <c r="D190" i="7"/>
  <c r="D230" i="7"/>
  <c r="D278" i="7"/>
  <c r="D318" i="7"/>
  <c r="AH39" i="7"/>
  <c r="AH189" i="7"/>
  <c r="AH295" i="7"/>
  <c r="AG53" i="7"/>
  <c r="AG154" i="7"/>
  <c r="AG231" i="7"/>
  <c r="AG306" i="7"/>
  <c r="AF34" i="7"/>
  <c r="AF89" i="7"/>
  <c r="AF130" i="7"/>
  <c r="AF173" i="7"/>
  <c r="AF213" i="7"/>
  <c r="AF245" i="7"/>
  <c r="AF277" i="7"/>
  <c r="AF305" i="7"/>
  <c r="AF321" i="7"/>
  <c r="AF337" i="7"/>
  <c r="N11" i="7"/>
  <c r="N27" i="7"/>
  <c r="N43" i="7"/>
  <c r="N59" i="7"/>
  <c r="N75" i="7"/>
  <c r="N91" i="7"/>
  <c r="N107" i="7"/>
  <c r="N123" i="7"/>
  <c r="N139" i="7"/>
  <c r="N155" i="7"/>
  <c r="N171" i="7"/>
  <c r="N187" i="7"/>
  <c r="N203" i="7"/>
  <c r="N219" i="7"/>
  <c r="N235" i="7"/>
  <c r="N251" i="7"/>
  <c r="N264" i="7"/>
  <c r="N277" i="7"/>
  <c r="N290" i="7"/>
  <c r="N303" i="7"/>
  <c r="N315" i="7"/>
  <c r="N328" i="7"/>
  <c r="N341" i="7"/>
  <c r="D9" i="7"/>
  <c r="D18" i="7"/>
  <c r="D27" i="7"/>
  <c r="D36" i="7"/>
  <c r="D44" i="7"/>
  <c r="D52" i="7"/>
  <c r="D60" i="7"/>
  <c r="D68" i="7"/>
  <c r="D76" i="7"/>
  <c r="D84" i="7"/>
  <c r="D92" i="7"/>
  <c r="D100" i="7"/>
  <c r="D108" i="7"/>
  <c r="D116" i="7"/>
  <c r="D124" i="7"/>
  <c r="D132" i="7"/>
  <c r="D140" i="7"/>
  <c r="D148" i="7"/>
  <c r="D156" i="7"/>
  <c r="D164" i="7"/>
  <c r="D172" i="7"/>
  <c r="D180" i="7"/>
  <c r="D188" i="7"/>
  <c r="D196" i="7"/>
  <c r="D204" i="7"/>
  <c r="D212" i="7"/>
  <c r="D220" i="7"/>
  <c r="D228" i="7"/>
  <c r="D236" i="7"/>
  <c r="D244" i="7"/>
  <c r="D252" i="7"/>
  <c r="D260" i="7"/>
  <c r="D268" i="7"/>
  <c r="D276" i="7"/>
  <c r="D284" i="7"/>
  <c r="D292" i="7"/>
  <c r="D300" i="7"/>
  <c r="D308" i="7"/>
  <c r="D316" i="7"/>
  <c r="D324" i="7"/>
  <c r="D332" i="7"/>
  <c r="D340" i="7"/>
  <c r="AH61" i="7"/>
  <c r="AF323" i="7"/>
  <c r="N45" i="7"/>
  <c r="N109" i="7"/>
  <c r="N157" i="7"/>
  <c r="N189" i="7"/>
  <c r="N237" i="7"/>
  <c r="N279" i="7"/>
  <c r="N330" i="7"/>
  <c r="D28" i="7"/>
  <c r="D45" i="7"/>
  <c r="D61" i="7"/>
  <c r="D85" i="7"/>
  <c r="D109" i="7"/>
  <c r="D133" i="7"/>
  <c r="D157" i="7"/>
  <c r="D181" i="7"/>
  <c r="D197" i="7"/>
  <c r="D229" i="7"/>
  <c r="D245" i="7"/>
  <c r="D269" i="7"/>
  <c r="D293" i="7"/>
  <c r="D317" i="7"/>
  <c r="D341" i="7"/>
  <c r="AH213" i="7"/>
  <c r="AG84" i="7"/>
  <c r="AG333" i="7"/>
  <c r="AF141" i="7"/>
  <c r="AF253" i="7"/>
  <c r="AF325" i="7"/>
  <c r="N31" i="7"/>
  <c r="N79" i="7"/>
  <c r="N127" i="7"/>
  <c r="N207" i="7"/>
  <c r="N267" i="7"/>
  <c r="N319" i="7"/>
  <c r="D20" i="7"/>
  <c r="D62" i="7"/>
  <c r="D102" i="7"/>
  <c r="D150" i="7"/>
  <c r="D182" i="7"/>
  <c r="D214" i="7"/>
  <c r="D246" i="7"/>
  <c r="D294" i="7"/>
  <c r="D326" i="7"/>
  <c r="AH93" i="7"/>
  <c r="AH231" i="7"/>
  <c r="AH341" i="7"/>
  <c r="AG90" i="7"/>
  <c r="AG186" i="7"/>
  <c r="AG260" i="7"/>
  <c r="AG334" i="7"/>
  <c r="AF57" i="7"/>
  <c r="AF101" i="7"/>
  <c r="AF145" i="7"/>
  <c r="AF186" i="7"/>
  <c r="AF222" i="7"/>
  <c r="AF254" i="7"/>
  <c r="AF286" i="7"/>
  <c r="AF310" i="7"/>
  <c r="AF326" i="7"/>
  <c r="AF342" i="7"/>
  <c r="N16" i="7"/>
  <c r="N32" i="7"/>
  <c r="N48" i="7"/>
  <c r="N64" i="7"/>
  <c r="N80" i="7"/>
  <c r="N96" i="7"/>
  <c r="N112" i="7"/>
  <c r="N128" i="7"/>
  <c r="N144" i="7"/>
  <c r="N160" i="7"/>
  <c r="N176" i="7"/>
  <c r="N192" i="7"/>
  <c r="N208" i="7"/>
  <c r="N224" i="7"/>
  <c r="N240" i="7"/>
  <c r="N256" i="7"/>
  <c r="N269" i="7"/>
  <c r="N282" i="7"/>
  <c r="N295" i="7"/>
  <c r="N307" i="7"/>
  <c r="N320" i="7"/>
  <c r="N333" i="7"/>
  <c r="D12" i="7"/>
  <c r="D21" i="7"/>
  <c r="D31" i="7"/>
  <c r="D39" i="7"/>
  <c r="D47" i="7"/>
  <c r="D55" i="7"/>
  <c r="D63" i="7"/>
  <c r="D71" i="7"/>
  <c r="D79" i="7"/>
  <c r="D87" i="7"/>
  <c r="D95" i="7"/>
  <c r="D103" i="7"/>
  <c r="D111" i="7"/>
  <c r="D119" i="7"/>
  <c r="D127" i="7"/>
  <c r="D135" i="7"/>
  <c r="D143" i="7"/>
  <c r="D151" i="7"/>
  <c r="D159" i="7"/>
  <c r="D167" i="7"/>
  <c r="D175" i="7"/>
  <c r="D183" i="7"/>
  <c r="D191" i="7"/>
  <c r="D199" i="7"/>
  <c r="D207" i="7"/>
  <c r="D215" i="7"/>
  <c r="D223" i="7"/>
  <c r="D231" i="7"/>
  <c r="D239" i="7"/>
  <c r="D247" i="7"/>
  <c r="D255" i="7"/>
  <c r="D263" i="7"/>
  <c r="D271" i="7"/>
  <c r="D279" i="7"/>
  <c r="D287" i="7"/>
  <c r="D295" i="7"/>
  <c r="D303" i="7"/>
  <c r="D311" i="7"/>
  <c r="D319" i="7"/>
  <c r="D327" i="7"/>
  <c r="D335" i="7"/>
  <c r="D343" i="7"/>
  <c r="AH146" i="7"/>
  <c r="AF315" i="7"/>
  <c r="N21" i="7"/>
  <c r="N53" i="7"/>
  <c r="N85" i="7"/>
  <c r="N117" i="7"/>
  <c r="N149" i="7"/>
  <c r="N181" i="7"/>
  <c r="N213" i="7"/>
  <c r="N259" i="7"/>
  <c r="N285" i="7"/>
  <c r="N311" i="7"/>
  <c r="N336" i="7"/>
  <c r="D15" i="7"/>
  <c r="D33" i="7"/>
  <c r="D49" i="7"/>
  <c r="D65" i="7"/>
  <c r="D81" i="7"/>
  <c r="D97" i="7"/>
  <c r="D113" i="7"/>
  <c r="D129" i="7"/>
  <c r="D137" i="7"/>
  <c r="D153" i="7"/>
  <c r="D169" i="7"/>
  <c r="D185" i="7"/>
  <c r="D201" i="7"/>
  <c r="D217" i="7"/>
  <c r="D233" i="7"/>
  <c r="D249" i="7"/>
  <c r="D265" i="7"/>
  <c r="D281" i="7"/>
  <c r="D297" i="7"/>
  <c r="D313" i="7"/>
  <c r="D329" i="7"/>
  <c r="AG249" i="7"/>
  <c r="N223" i="7"/>
  <c r="N306" i="7"/>
  <c r="D29" i="7"/>
  <c r="D70" i="7"/>
  <c r="D110" i="7"/>
  <c r="D142" i="7"/>
  <c r="D174" i="7"/>
  <c r="D206" i="7"/>
  <c r="D254" i="7"/>
  <c r="D286" i="7"/>
  <c r="D334" i="7"/>
  <c r="AH114" i="7"/>
  <c r="AH237" i="7"/>
  <c r="AG15" i="7"/>
  <c r="AG103" i="7"/>
  <c r="AG193" i="7"/>
  <c r="AG274" i="7"/>
  <c r="AF58" i="7"/>
  <c r="AF109" i="7"/>
  <c r="AF153" i="7"/>
  <c r="AF194" i="7"/>
  <c r="AF229" i="7"/>
  <c r="AF261" i="7"/>
  <c r="AF293" i="7"/>
  <c r="AF313" i="7"/>
  <c r="AF329" i="7"/>
  <c r="N3" i="7"/>
  <c r="N19" i="7"/>
  <c r="N35" i="7"/>
  <c r="N51" i="7"/>
  <c r="N67" i="7"/>
  <c r="N83" i="7"/>
  <c r="N99" i="7"/>
  <c r="N115" i="7"/>
  <c r="N131" i="7"/>
  <c r="N147" i="7"/>
  <c r="N163" i="7"/>
  <c r="N179" i="7"/>
  <c r="N195" i="7"/>
  <c r="N211" i="7"/>
  <c r="N227" i="7"/>
  <c r="N243" i="7"/>
  <c r="N258" i="7"/>
  <c r="N271" i="7"/>
  <c r="N283" i="7"/>
  <c r="N296" i="7"/>
  <c r="N309" i="7"/>
  <c r="N322" i="7"/>
  <c r="N335" i="7"/>
  <c r="D4" i="7"/>
  <c r="D13" i="7"/>
  <c r="D23" i="7"/>
  <c r="D32" i="7"/>
  <c r="D40" i="7"/>
  <c r="D48" i="7"/>
  <c r="D56" i="7"/>
  <c r="D64" i="7"/>
  <c r="D72" i="7"/>
  <c r="D80" i="7"/>
  <c r="D88" i="7"/>
  <c r="D96" i="7"/>
  <c r="D104" i="7"/>
  <c r="D112" i="7"/>
  <c r="D120" i="7"/>
  <c r="D128" i="7"/>
  <c r="D136" i="7"/>
  <c r="D144" i="7"/>
  <c r="D152" i="7"/>
  <c r="D160" i="7"/>
  <c r="D168" i="7"/>
  <c r="D176" i="7"/>
  <c r="D184" i="7"/>
  <c r="D192" i="7"/>
  <c r="D200" i="7"/>
  <c r="D208" i="7"/>
  <c r="D216" i="7"/>
  <c r="D224" i="7"/>
  <c r="D232" i="7"/>
  <c r="D240" i="7"/>
  <c r="D248" i="7"/>
  <c r="D256" i="7"/>
  <c r="D264" i="7"/>
  <c r="D272" i="7"/>
  <c r="D280" i="7"/>
  <c r="D288" i="7"/>
  <c r="D296" i="7"/>
  <c r="D304" i="7"/>
  <c r="D312" i="7"/>
  <c r="D320" i="7"/>
  <c r="D328" i="7"/>
  <c r="D336" i="7"/>
  <c r="AH253" i="7"/>
  <c r="AG20" i="7"/>
  <c r="AG117" i="7"/>
  <c r="AG205" i="7"/>
  <c r="AG279" i="7"/>
  <c r="AF13" i="7"/>
  <c r="AF66" i="7"/>
  <c r="AF114" i="7"/>
  <c r="AF157" i="7"/>
  <c r="AF201" i="7"/>
  <c r="AF233" i="7"/>
  <c r="AF265" i="7"/>
  <c r="AF297" i="7"/>
  <c r="AF331" i="7"/>
  <c r="N5" i="7"/>
  <c r="N37" i="7"/>
  <c r="N69" i="7"/>
  <c r="N101" i="7"/>
  <c r="N133" i="7"/>
  <c r="N165" i="7"/>
  <c r="N197" i="7"/>
  <c r="N229" i="7"/>
  <c r="N245" i="7"/>
  <c r="N272" i="7"/>
  <c r="N298" i="7"/>
  <c r="N323" i="7"/>
  <c r="D5" i="7"/>
  <c r="D24" i="7"/>
  <c r="D41" i="7"/>
  <c r="D57" i="7"/>
  <c r="D73" i="7"/>
  <c r="D89" i="7"/>
  <c r="D105" i="7"/>
  <c r="D121" i="7"/>
  <c r="D145" i="7"/>
  <c r="D161" i="7"/>
  <c r="D177" i="7"/>
  <c r="D193" i="7"/>
  <c r="D209" i="7"/>
  <c r="D225" i="7"/>
  <c r="D241" i="7"/>
  <c r="D257" i="7"/>
  <c r="D273" i="7"/>
  <c r="D289" i="7"/>
  <c r="D305" i="7"/>
  <c r="D321" i="7"/>
  <c r="D337" i="7"/>
  <c r="AG169" i="7"/>
  <c r="N175" i="7"/>
  <c r="N280" i="7"/>
  <c r="N343" i="7"/>
  <c r="D46" i="7"/>
  <c r="D94" i="7"/>
  <c r="D126" i="7"/>
  <c r="D166" i="7"/>
  <c r="D222" i="7"/>
  <c r="D262" i="7"/>
  <c r="D302" i="7"/>
  <c r="AE126" i="7"/>
  <c r="AE155" i="7"/>
  <c r="AE165" i="7"/>
  <c r="AA341" i="7"/>
  <c r="C339" i="7"/>
  <c r="L339" i="7"/>
  <c r="T339" i="7"/>
  <c r="AD339" i="7"/>
  <c r="H340" i="7"/>
  <c r="P340" i="7"/>
  <c r="X340" i="7"/>
  <c r="C341" i="7"/>
  <c r="L341" i="7"/>
  <c r="T341" i="7"/>
  <c r="AD341" i="7"/>
  <c r="H342" i="7"/>
  <c r="P342" i="7"/>
  <c r="X342" i="7"/>
  <c r="B343" i="7"/>
  <c r="K343" i="7"/>
  <c r="S343" i="7"/>
  <c r="AA343" i="7"/>
  <c r="J340" i="7"/>
  <c r="Z340" i="7"/>
  <c r="V341" i="7"/>
  <c r="R342" i="7"/>
  <c r="E343" i="7"/>
  <c r="AJ343" i="7"/>
  <c r="O339" i="7"/>
  <c r="AA340" i="7"/>
  <c r="W341" i="7"/>
  <c r="E339" i="7"/>
  <c r="M339" i="7"/>
  <c r="U339" i="7"/>
  <c r="AJ339" i="7"/>
  <c r="I340" i="7"/>
  <c r="Q340" i="7"/>
  <c r="Y340" i="7"/>
  <c r="E341" i="7"/>
  <c r="M341" i="7"/>
  <c r="U341" i="7"/>
  <c r="AJ341" i="7"/>
  <c r="I342" i="7"/>
  <c r="Q342" i="7"/>
  <c r="Y342" i="7"/>
  <c r="C343" i="7"/>
  <c r="L343" i="7"/>
  <c r="T343" i="7"/>
  <c r="AD343" i="7"/>
  <c r="V339" i="7"/>
  <c r="R340" i="7"/>
  <c r="AK341" i="7"/>
  <c r="Z342" i="7"/>
  <c r="M343" i="7"/>
  <c r="W339" i="7"/>
  <c r="K340" i="7"/>
  <c r="S340" i="7"/>
  <c r="G341" i="7"/>
  <c r="B342" i="7"/>
  <c r="V343" i="7"/>
  <c r="F339" i="7"/>
  <c r="AK339" i="7"/>
  <c r="F341" i="7"/>
  <c r="J342" i="7"/>
  <c r="U343" i="7"/>
  <c r="B340" i="7"/>
  <c r="O341" i="7"/>
  <c r="AA342" i="7"/>
  <c r="AK343" i="7"/>
  <c r="G339" i="7"/>
  <c r="F343" i="7"/>
  <c r="H339" i="7"/>
  <c r="P339" i="7"/>
  <c r="X339" i="7"/>
  <c r="C340" i="7"/>
  <c r="L340" i="7"/>
  <c r="T340" i="7"/>
  <c r="AD340" i="7"/>
  <c r="H341" i="7"/>
  <c r="P341" i="7"/>
  <c r="X341" i="7"/>
  <c r="C342" i="7"/>
  <c r="L342" i="7"/>
  <c r="T342" i="7"/>
  <c r="AD342" i="7"/>
  <c r="G343" i="7"/>
  <c r="O343" i="7"/>
  <c r="W343" i="7"/>
  <c r="I339" i="7"/>
  <c r="Q339" i="7"/>
  <c r="Y339" i="7"/>
  <c r="E340" i="7"/>
  <c r="M340" i="7"/>
  <c r="U340" i="7"/>
  <c r="AJ340" i="7"/>
  <c r="I341" i="7"/>
  <c r="Q341" i="7"/>
  <c r="Y341" i="7"/>
  <c r="E342" i="7"/>
  <c r="M342" i="7"/>
  <c r="U342" i="7"/>
  <c r="AE342" i="7"/>
  <c r="H343" i="7"/>
  <c r="P343" i="7"/>
  <c r="X343" i="7"/>
  <c r="K342" i="7"/>
  <c r="J339" i="7"/>
  <c r="R339" i="7"/>
  <c r="Z339" i="7"/>
  <c r="F340" i="7"/>
  <c r="V340" i="7"/>
  <c r="AK340" i="7"/>
  <c r="J341" i="7"/>
  <c r="R341" i="7"/>
  <c r="Z341" i="7"/>
  <c r="F342" i="7"/>
  <c r="V342" i="7"/>
  <c r="AJ342" i="7"/>
  <c r="I343" i="7"/>
  <c r="Q343" i="7"/>
  <c r="Y343" i="7"/>
  <c r="B339" i="7"/>
  <c r="K339" i="7"/>
  <c r="S339" i="7"/>
  <c r="AA339" i="7"/>
  <c r="G340" i="7"/>
  <c r="O340" i="7"/>
  <c r="W340" i="7"/>
  <c r="B341" i="7"/>
  <c r="K341" i="7"/>
  <c r="S341" i="7"/>
  <c r="G342" i="7"/>
  <c r="O342" i="7"/>
  <c r="W342" i="7"/>
  <c r="AK342" i="7"/>
  <c r="J343" i="7"/>
  <c r="R343" i="7"/>
  <c r="Z343" i="7"/>
  <c r="S342" i="7"/>
  <c r="AC341" i="7"/>
  <c r="AB343" i="7"/>
  <c r="AC340" i="7"/>
  <c r="AI340" i="7"/>
  <c r="AB342" i="7"/>
  <c r="AI339" i="7"/>
  <c r="AC343" i="7"/>
  <c r="AC342" i="7"/>
  <c r="AI342" i="7"/>
  <c r="AC339" i="7"/>
  <c r="AB341" i="7"/>
  <c r="AE343" i="7"/>
  <c r="AB340" i="7"/>
  <c r="AE341" i="7"/>
  <c r="AB339" i="7"/>
  <c r="AE340" i="7"/>
  <c r="AE339" i="7"/>
  <c r="AI343" i="7"/>
  <c r="AI341" i="7"/>
  <c r="AE234" i="7"/>
  <c r="AA18" i="7"/>
  <c r="AB47" i="7"/>
  <c r="AC52" i="7"/>
  <c r="AD57" i="7"/>
  <c r="AD82" i="7"/>
  <c r="AB136" i="7"/>
  <c r="AC338" i="7"/>
  <c r="AD338" i="7"/>
  <c r="AA4" i="7"/>
  <c r="AE8" i="7"/>
  <c r="AD11" i="7"/>
  <c r="AI12" i="7"/>
  <c r="AC14" i="7"/>
  <c r="AB17" i="7"/>
  <c r="AA20" i="7"/>
  <c r="AD27" i="7"/>
  <c r="AI28" i="7"/>
  <c r="AE338" i="7"/>
  <c r="AE3" i="7"/>
  <c r="AB4" i="7"/>
  <c r="AD6" i="7"/>
  <c r="AA7" i="7"/>
  <c r="AI7" i="7"/>
  <c r="AC9" i="7"/>
  <c r="AE11" i="7"/>
  <c r="AB12" i="7"/>
  <c r="AD14" i="7"/>
  <c r="AA15" i="7"/>
  <c r="AI15" i="7"/>
  <c r="AC17" i="7"/>
  <c r="AE19" i="7"/>
  <c r="AB20" i="7"/>
  <c r="AD22" i="7"/>
  <c r="AA23" i="7"/>
  <c r="AI23" i="7"/>
  <c r="AC25" i="7"/>
  <c r="AE27" i="7"/>
  <c r="AB28" i="7"/>
  <c r="AD30" i="7"/>
  <c r="AA31" i="7"/>
  <c r="AI31" i="7"/>
  <c r="AC33" i="7"/>
  <c r="AE35" i="7"/>
  <c r="AB36" i="7"/>
  <c r="AD38" i="7"/>
  <c r="AA39" i="7"/>
  <c r="AI39" i="7"/>
  <c r="AC41" i="7"/>
  <c r="AE43" i="7"/>
  <c r="AB44" i="7"/>
  <c r="AD46" i="7"/>
  <c r="AA47" i="7"/>
  <c r="AI47" i="7"/>
  <c r="AC49" i="7"/>
  <c r="AE51" i="7"/>
  <c r="AB52" i="7"/>
  <c r="AD54" i="7"/>
  <c r="AA55" i="7"/>
  <c r="AI55" i="7"/>
  <c r="AC57" i="7"/>
  <c r="AE59" i="7"/>
  <c r="AE66" i="7"/>
  <c r="AE70" i="7"/>
  <c r="AC72" i="7"/>
  <c r="AD74" i="7"/>
  <c r="AC76" i="7"/>
  <c r="AA78" i="7"/>
  <c r="AB80" i="7"/>
  <c r="AA82" i="7"/>
  <c r="AI91" i="7"/>
  <c r="AD101" i="7"/>
  <c r="AE103" i="7"/>
  <c r="AD105" i="7"/>
  <c r="AB107" i="7"/>
  <c r="AB112" i="7"/>
  <c r="AI123" i="7"/>
  <c r="AE135" i="7"/>
  <c r="AC141" i="7"/>
  <c r="AA147" i="7"/>
  <c r="AI160" i="7"/>
  <c r="AE176" i="7"/>
  <c r="AB202" i="7"/>
  <c r="AB7" i="7"/>
  <c r="AI10" i="7"/>
  <c r="AE14" i="7"/>
  <c r="AI18" i="7"/>
  <c r="AB23" i="7"/>
  <c r="AE38" i="7"/>
  <c r="AD41" i="7"/>
  <c r="AA50" i="7"/>
  <c r="AI58" i="7"/>
  <c r="AI66" i="7"/>
  <c r="AC80" i="7"/>
  <c r="AD4" i="7"/>
  <c r="AA5" i="7"/>
  <c r="AI5" i="7"/>
  <c r="AC7" i="7"/>
  <c r="AE9" i="7"/>
  <c r="AB10" i="7"/>
  <c r="AD12" i="7"/>
  <c r="AA13" i="7"/>
  <c r="AI13" i="7"/>
  <c r="AC15" i="7"/>
  <c r="AE17" i="7"/>
  <c r="AB18" i="7"/>
  <c r="AD20" i="7"/>
  <c r="AA21" i="7"/>
  <c r="AI21" i="7"/>
  <c r="AC23" i="7"/>
  <c r="AE25" i="7"/>
  <c r="AB26" i="7"/>
  <c r="AD28" i="7"/>
  <c r="AA29" i="7"/>
  <c r="AI29" i="7"/>
  <c r="AC31" i="7"/>
  <c r="AE33" i="7"/>
  <c r="AB34" i="7"/>
  <c r="AD36" i="7"/>
  <c r="AA37" i="7"/>
  <c r="AI37" i="7"/>
  <c r="AC39" i="7"/>
  <c r="AE41" i="7"/>
  <c r="AB42" i="7"/>
  <c r="AD44" i="7"/>
  <c r="AA45" i="7"/>
  <c r="AI45" i="7"/>
  <c r="AC47" i="7"/>
  <c r="AE49" i="7"/>
  <c r="AB50" i="7"/>
  <c r="AD52" i="7"/>
  <c r="AA53" i="7"/>
  <c r="AI53" i="7"/>
  <c r="AC55" i="7"/>
  <c r="AE57" i="7"/>
  <c r="AB58" i="7"/>
  <c r="AC61" i="7"/>
  <c r="AB63" i="7"/>
  <c r="AA67" i="7"/>
  <c r="AI70" i="7"/>
  <c r="AI74" i="7"/>
  <c r="AE82" i="7"/>
  <c r="AE86" i="7"/>
  <c r="AC88" i="7"/>
  <c r="AD90" i="7"/>
  <c r="AC92" i="7"/>
  <c r="AA94" i="7"/>
  <c r="AB96" i="7"/>
  <c r="AA98" i="7"/>
  <c r="AE119" i="7"/>
  <c r="AC125" i="7"/>
  <c r="AA131" i="7"/>
  <c r="AB149" i="7"/>
  <c r="AI164" i="7"/>
  <c r="AD180" i="7"/>
  <c r="AI213" i="7"/>
  <c r="AD9" i="7"/>
  <c r="AC12" i="7"/>
  <c r="AC28" i="7"/>
  <c r="AD33" i="7"/>
  <c r="AD49" i="7"/>
  <c r="AA58" i="7"/>
  <c r="AI62" i="7"/>
  <c r="AE74" i="7"/>
  <c r="AB88" i="7"/>
  <c r="AI107" i="7"/>
  <c r="AD130" i="7"/>
  <c r="AE4" i="7"/>
  <c r="AE12" i="7"/>
  <c r="AD15" i="7"/>
  <c r="AC18" i="7"/>
  <c r="AE20" i="7"/>
  <c r="AD23" i="7"/>
  <c r="AD31" i="7"/>
  <c r="AA32" i="7"/>
  <c r="AI32" i="7"/>
  <c r="AE36" i="7"/>
  <c r="AB37" i="7"/>
  <c r="AD39" i="7"/>
  <c r="AA40" i="7"/>
  <c r="AI40" i="7"/>
  <c r="AC42" i="7"/>
  <c r="AE44" i="7"/>
  <c r="AB45" i="7"/>
  <c r="AD47" i="7"/>
  <c r="AA48" i="7"/>
  <c r="AI48" i="7"/>
  <c r="AC50" i="7"/>
  <c r="AE52" i="7"/>
  <c r="AB53" i="7"/>
  <c r="AD55" i="7"/>
  <c r="AA56" i="7"/>
  <c r="AI56" i="7"/>
  <c r="AC58" i="7"/>
  <c r="AD61" i="7"/>
  <c r="AE63" i="7"/>
  <c r="AD65" i="7"/>
  <c r="AB67" i="7"/>
  <c r="AC69" i="7"/>
  <c r="AB71" i="7"/>
  <c r="AA75" i="7"/>
  <c r="AI78" i="7"/>
  <c r="AI82" i="7"/>
  <c r="AE90" i="7"/>
  <c r="AE94" i="7"/>
  <c r="AC96" i="7"/>
  <c r="AD98" i="7"/>
  <c r="AC100" i="7"/>
  <c r="AA102" i="7"/>
  <c r="AB104" i="7"/>
  <c r="AA106" i="7"/>
  <c r="AD114" i="7"/>
  <c r="AB120" i="7"/>
  <c r="AI131" i="7"/>
  <c r="AE143" i="7"/>
  <c r="AC151" i="7"/>
  <c r="AC182" i="7"/>
  <c r="AE6" i="7"/>
  <c r="AB15" i="7"/>
  <c r="AE22" i="7"/>
  <c r="AI26" i="7"/>
  <c r="AB31" i="7"/>
  <c r="AA34" i="7"/>
  <c r="AA42" i="7"/>
  <c r="AE46" i="7"/>
  <c r="AB55" i="7"/>
  <c r="AE78" i="7"/>
  <c r="AA90" i="7"/>
  <c r="AI99" i="7"/>
  <c r="AC178" i="7"/>
  <c r="AB5" i="7"/>
  <c r="AI8" i="7"/>
  <c r="AB13" i="7"/>
  <c r="AI16" i="7"/>
  <c r="AB21" i="7"/>
  <c r="AA24" i="7"/>
  <c r="AC26" i="7"/>
  <c r="AE28" i="7"/>
  <c r="AI338" i="7"/>
  <c r="AA3" i="7"/>
  <c r="AI3" i="7"/>
  <c r="AC5" i="7"/>
  <c r="AE7" i="7"/>
  <c r="AB8" i="7"/>
  <c r="AD10" i="7"/>
  <c r="AA11" i="7"/>
  <c r="AI11" i="7"/>
  <c r="AC13" i="7"/>
  <c r="AE15" i="7"/>
  <c r="AB16" i="7"/>
  <c r="AD18" i="7"/>
  <c r="AA19" i="7"/>
  <c r="AI19" i="7"/>
  <c r="AC21" i="7"/>
  <c r="AE23" i="7"/>
  <c r="AB24" i="7"/>
  <c r="AD26" i="7"/>
  <c r="AA27" i="7"/>
  <c r="AI27" i="7"/>
  <c r="AC29" i="7"/>
  <c r="AE31" i="7"/>
  <c r="AB32" i="7"/>
  <c r="AD34" i="7"/>
  <c r="AA35" i="7"/>
  <c r="AI35" i="7"/>
  <c r="AC37" i="7"/>
  <c r="AE39" i="7"/>
  <c r="AB40" i="7"/>
  <c r="AD42" i="7"/>
  <c r="AA43" i="7"/>
  <c r="AI43" i="7"/>
  <c r="AC45" i="7"/>
  <c r="AE47" i="7"/>
  <c r="AB48" i="7"/>
  <c r="AD50" i="7"/>
  <c r="AA51" i="7"/>
  <c r="AI51" i="7"/>
  <c r="AC53" i="7"/>
  <c r="AE55" i="7"/>
  <c r="AB56" i="7"/>
  <c r="AD58" i="7"/>
  <c r="AA59" i="7"/>
  <c r="AI59" i="7"/>
  <c r="AD69" i="7"/>
  <c r="AE71" i="7"/>
  <c r="AD73" i="7"/>
  <c r="AB75" i="7"/>
  <c r="AC77" i="7"/>
  <c r="AB79" i="7"/>
  <c r="AA83" i="7"/>
  <c r="AI86" i="7"/>
  <c r="AI90" i="7"/>
  <c r="AE98" i="7"/>
  <c r="AE102" i="7"/>
  <c r="AC104" i="7"/>
  <c r="AD106" i="7"/>
  <c r="AC109" i="7"/>
  <c r="AA115" i="7"/>
  <c r="AD138" i="7"/>
  <c r="AB144" i="7"/>
  <c r="AB153" i="7"/>
  <c r="AA184" i="7"/>
  <c r="AE225" i="7"/>
  <c r="AA10" i="7"/>
  <c r="AC20" i="7"/>
  <c r="AA26" i="7"/>
  <c r="AE30" i="7"/>
  <c r="AI34" i="7"/>
  <c r="AB39" i="7"/>
  <c r="AI42" i="7"/>
  <c r="AC84" i="7"/>
  <c r="AI147" i="7"/>
  <c r="AA8" i="7"/>
  <c r="AC10" i="7"/>
  <c r="AA16" i="7"/>
  <c r="AI24" i="7"/>
  <c r="AB29" i="7"/>
  <c r="AC34" i="7"/>
  <c r="AB338" i="7"/>
  <c r="A2" i="7"/>
  <c r="AB3" i="7"/>
  <c r="AD5" i="7"/>
  <c r="AA6" i="7"/>
  <c r="AI6" i="7"/>
  <c r="AC8" i="7"/>
  <c r="AE10" i="7"/>
  <c r="AB11" i="7"/>
  <c r="AD13" i="7"/>
  <c r="AA14" i="7"/>
  <c r="AI14" i="7"/>
  <c r="AC16" i="7"/>
  <c r="AE18" i="7"/>
  <c r="AB19" i="7"/>
  <c r="AD21" i="7"/>
  <c r="AA22" i="7"/>
  <c r="AI22" i="7"/>
  <c r="AC24" i="7"/>
  <c r="AE26" i="7"/>
  <c r="AB27" i="7"/>
  <c r="AD29" i="7"/>
  <c r="AA30" i="7"/>
  <c r="AI30" i="7"/>
  <c r="AC32" i="7"/>
  <c r="AE34" i="7"/>
  <c r="AB35" i="7"/>
  <c r="AD37" i="7"/>
  <c r="AA38" i="7"/>
  <c r="AI38" i="7"/>
  <c r="AC40" i="7"/>
  <c r="AE42" i="7"/>
  <c r="AB43" i="7"/>
  <c r="AD45" i="7"/>
  <c r="AA46" i="7"/>
  <c r="AI46" i="7"/>
  <c r="AC48" i="7"/>
  <c r="AE50" i="7"/>
  <c r="AB51" i="7"/>
  <c r="AD53" i="7"/>
  <c r="AA54" i="7"/>
  <c r="AI54" i="7"/>
  <c r="AC56" i="7"/>
  <c r="AE58" i="7"/>
  <c r="AB59" i="7"/>
  <c r="AI67" i="7"/>
  <c r="AD77" i="7"/>
  <c r="AE79" i="7"/>
  <c r="AD81" i="7"/>
  <c r="AB83" i="7"/>
  <c r="AC85" i="7"/>
  <c r="AB87" i="7"/>
  <c r="AA91" i="7"/>
  <c r="AI94" i="7"/>
  <c r="AI98" i="7"/>
  <c r="AE106" i="7"/>
  <c r="AI115" i="7"/>
  <c r="AE127" i="7"/>
  <c r="AC133" i="7"/>
  <c r="AA139" i="7"/>
  <c r="AB186" i="7"/>
  <c r="AA338" i="7"/>
  <c r="AD337" i="7"/>
  <c r="AB335" i="7"/>
  <c r="AE334" i="7"/>
  <c r="AC332" i="7"/>
  <c r="AI330" i="7"/>
  <c r="AA330" i="7"/>
  <c r="AD329" i="7"/>
  <c r="AB327" i="7"/>
  <c r="AE326" i="7"/>
  <c r="AC324" i="7"/>
  <c r="AI322" i="7"/>
  <c r="AA322" i="7"/>
  <c r="AD321" i="7"/>
  <c r="AB319" i="7"/>
  <c r="AE318" i="7"/>
  <c r="AC316" i="7"/>
  <c r="AI314" i="7"/>
  <c r="AA314" i="7"/>
  <c r="AD313" i="7"/>
  <c r="AB311" i="7"/>
  <c r="AE310" i="7"/>
  <c r="AC308" i="7"/>
  <c r="AI306" i="7"/>
  <c r="AA306" i="7"/>
  <c r="AD305" i="7"/>
  <c r="AB303" i="7"/>
  <c r="AE302" i="7"/>
  <c r="AC300" i="7"/>
  <c r="AI298" i="7"/>
  <c r="AA298" i="7"/>
  <c r="AD297" i="7"/>
  <c r="AB295" i="7"/>
  <c r="AE294" i="7"/>
  <c r="AC292" i="7"/>
  <c r="AI290" i="7"/>
  <c r="AA290" i="7"/>
  <c r="AD289" i="7"/>
  <c r="AB287" i="7"/>
  <c r="AE286" i="7"/>
  <c r="AC284" i="7"/>
  <c r="AI282" i="7"/>
  <c r="AA282" i="7"/>
  <c r="AD281" i="7"/>
  <c r="AB279" i="7"/>
  <c r="AE278" i="7"/>
  <c r="AC337" i="7"/>
  <c r="AI335" i="7"/>
  <c r="AA335" i="7"/>
  <c r="AD334" i="7"/>
  <c r="AB332" i="7"/>
  <c r="AE331" i="7"/>
  <c r="AC329" i="7"/>
  <c r="AI327" i="7"/>
  <c r="AA327" i="7"/>
  <c r="AD326" i="7"/>
  <c r="AB324" i="7"/>
  <c r="AE323" i="7"/>
  <c r="AC321" i="7"/>
  <c r="AI319" i="7"/>
  <c r="AA319" i="7"/>
  <c r="AD318" i="7"/>
  <c r="AB316" i="7"/>
  <c r="AE315" i="7"/>
  <c r="AC313" i="7"/>
  <c r="AI311" i="7"/>
  <c r="AA311" i="7"/>
  <c r="AD310" i="7"/>
  <c r="AB337" i="7"/>
  <c r="AE336" i="7"/>
  <c r="AC334" i="7"/>
  <c r="AI332" i="7"/>
  <c r="AA332" i="7"/>
  <c r="AD331" i="7"/>
  <c r="AB329" i="7"/>
  <c r="AE328" i="7"/>
  <c r="AC326" i="7"/>
  <c r="AI324" i="7"/>
  <c r="AA324" i="7"/>
  <c r="AD323" i="7"/>
  <c r="AB321" i="7"/>
  <c r="AE320" i="7"/>
  <c r="AC318" i="7"/>
  <c r="AI316" i="7"/>
  <c r="AA316" i="7"/>
  <c r="AD315" i="7"/>
  <c r="AB313" i="7"/>
  <c r="AE312" i="7"/>
  <c r="AC310" i="7"/>
  <c r="AI308" i="7"/>
  <c r="AA308" i="7"/>
  <c r="AD307" i="7"/>
  <c r="AB305" i="7"/>
  <c r="AE304" i="7"/>
  <c r="AC302" i="7"/>
  <c r="AI300" i="7"/>
  <c r="AA300" i="7"/>
  <c r="AD299" i="7"/>
  <c r="AB297" i="7"/>
  <c r="AE296" i="7"/>
  <c r="AC294" i="7"/>
  <c r="AI292" i="7"/>
  <c r="AA292" i="7"/>
  <c r="AD291" i="7"/>
  <c r="AB289" i="7"/>
  <c r="AE288" i="7"/>
  <c r="AC286" i="7"/>
  <c r="AI284" i="7"/>
  <c r="AA284" i="7"/>
  <c r="AD283" i="7"/>
  <c r="AB281" i="7"/>
  <c r="AE280" i="7"/>
  <c r="AC278" i="7"/>
  <c r="AI276" i="7"/>
  <c r="AI337" i="7"/>
  <c r="AA337" i="7"/>
  <c r="AD336" i="7"/>
  <c r="AB334" i="7"/>
  <c r="AE333" i="7"/>
  <c r="AC331" i="7"/>
  <c r="AI329" i="7"/>
  <c r="AA329" i="7"/>
  <c r="AD328" i="7"/>
  <c r="AB326" i="7"/>
  <c r="AE325" i="7"/>
  <c r="AC323" i="7"/>
  <c r="AI321" i="7"/>
  <c r="AA321" i="7"/>
  <c r="AD320" i="7"/>
  <c r="AB318" i="7"/>
  <c r="AE317" i="7"/>
  <c r="AC315" i="7"/>
  <c r="AI313" i="7"/>
  <c r="AA313" i="7"/>
  <c r="AD312" i="7"/>
  <c r="AB310" i="7"/>
  <c r="AE309" i="7"/>
  <c r="AC307" i="7"/>
  <c r="AI305" i="7"/>
  <c r="AA305" i="7"/>
  <c r="AD304" i="7"/>
  <c r="AB302" i="7"/>
  <c r="AE301" i="7"/>
  <c r="AC299" i="7"/>
  <c r="AI297" i="7"/>
  <c r="AA297" i="7"/>
  <c r="AD296" i="7"/>
  <c r="AB294" i="7"/>
  <c r="AE293" i="7"/>
  <c r="AC291" i="7"/>
  <c r="AI289" i="7"/>
  <c r="AA289" i="7"/>
  <c r="AD288" i="7"/>
  <c r="AB286" i="7"/>
  <c r="AE285" i="7"/>
  <c r="AC283" i="7"/>
  <c r="AI281" i="7"/>
  <c r="AA281" i="7"/>
  <c r="AD280" i="7"/>
  <c r="AB278" i="7"/>
  <c r="AE277" i="7"/>
  <c r="AC336" i="7"/>
  <c r="AI334" i="7"/>
  <c r="AA334" i="7"/>
  <c r="AD333" i="7"/>
  <c r="AB331" i="7"/>
  <c r="AE330" i="7"/>
  <c r="AC328" i="7"/>
  <c r="AI326" i="7"/>
  <c r="AA326" i="7"/>
  <c r="AD325" i="7"/>
  <c r="AB323" i="7"/>
  <c r="AE322" i="7"/>
  <c r="AC320" i="7"/>
  <c r="AI318" i="7"/>
  <c r="AA318" i="7"/>
  <c r="AD317" i="7"/>
  <c r="AB315" i="7"/>
  <c r="AE314" i="7"/>
  <c r="AC312" i="7"/>
  <c r="AI310" i="7"/>
  <c r="AA310" i="7"/>
  <c r="AD309" i="7"/>
  <c r="AB307" i="7"/>
  <c r="AE306" i="7"/>
  <c r="AC304" i="7"/>
  <c r="AI302" i="7"/>
  <c r="AA302" i="7"/>
  <c r="AD301" i="7"/>
  <c r="AB299" i="7"/>
  <c r="AE298" i="7"/>
  <c r="AC296" i="7"/>
  <c r="AI294" i="7"/>
  <c r="AA294" i="7"/>
  <c r="AD293" i="7"/>
  <c r="AB291" i="7"/>
  <c r="AE290" i="7"/>
  <c r="AC288" i="7"/>
  <c r="AI286" i="7"/>
  <c r="AA286" i="7"/>
  <c r="AD285" i="7"/>
  <c r="AB283" i="7"/>
  <c r="AE282" i="7"/>
  <c r="AC280" i="7"/>
  <c r="AI278" i="7"/>
  <c r="AA278" i="7"/>
  <c r="AD277" i="7"/>
  <c r="AB336" i="7"/>
  <c r="AE335" i="7"/>
  <c r="AC333" i="7"/>
  <c r="AI331" i="7"/>
  <c r="AA331" i="7"/>
  <c r="AD330" i="7"/>
  <c r="AB328" i="7"/>
  <c r="AE327" i="7"/>
  <c r="AC325" i="7"/>
  <c r="AI323" i="7"/>
  <c r="AA323" i="7"/>
  <c r="AD322" i="7"/>
  <c r="AB320" i="7"/>
  <c r="AE319" i="7"/>
  <c r="AC317" i="7"/>
  <c r="AI315" i="7"/>
  <c r="AA315" i="7"/>
  <c r="AD314" i="7"/>
  <c r="AB312" i="7"/>
  <c r="AE311" i="7"/>
  <c r="AE337" i="7"/>
  <c r="AC335" i="7"/>
  <c r="AI333" i="7"/>
  <c r="AA333" i="7"/>
  <c r="AD332" i="7"/>
  <c r="AB330" i="7"/>
  <c r="AE329" i="7"/>
  <c r="AC327" i="7"/>
  <c r="AI325" i="7"/>
  <c r="AA325" i="7"/>
  <c r="AD324" i="7"/>
  <c r="AB322" i="7"/>
  <c r="AE321" i="7"/>
  <c r="AC319" i="7"/>
  <c r="AI317" i="7"/>
  <c r="AA317" i="7"/>
  <c r="AD316" i="7"/>
  <c r="AB314" i="7"/>
  <c r="AE313" i="7"/>
  <c r="AC311" i="7"/>
  <c r="AI309" i="7"/>
  <c r="AA309" i="7"/>
  <c r="AD308" i="7"/>
  <c r="AB306" i="7"/>
  <c r="AE305" i="7"/>
  <c r="AC303" i="7"/>
  <c r="AI301" i="7"/>
  <c r="AA301" i="7"/>
  <c r="AD300" i="7"/>
  <c r="AB298" i="7"/>
  <c r="AE297" i="7"/>
  <c r="AC295" i="7"/>
  <c r="AI293" i="7"/>
  <c r="AA293" i="7"/>
  <c r="AD292" i="7"/>
  <c r="AB290" i="7"/>
  <c r="AE289" i="7"/>
  <c r="AC287" i="7"/>
  <c r="AI285" i="7"/>
  <c r="AA285" i="7"/>
  <c r="AD284" i="7"/>
  <c r="AB282" i="7"/>
  <c r="AE281" i="7"/>
  <c r="AC279" i="7"/>
  <c r="AI277" i="7"/>
  <c r="AA277" i="7"/>
  <c r="AD276" i="7"/>
  <c r="AA320" i="7"/>
  <c r="AC314" i="7"/>
  <c r="AI303" i="7"/>
  <c r="AI299" i="7"/>
  <c r="AA296" i="7"/>
  <c r="AB292" i="7"/>
  <c r="AC290" i="7"/>
  <c r="AB288" i="7"/>
  <c r="AD286" i="7"/>
  <c r="AE284" i="7"/>
  <c r="AD282" i="7"/>
  <c r="AC274" i="7"/>
  <c r="AI272" i="7"/>
  <c r="AA272" i="7"/>
  <c r="AD271" i="7"/>
  <c r="AB269" i="7"/>
  <c r="AE268" i="7"/>
  <c r="AC266" i="7"/>
  <c r="AI264" i="7"/>
  <c r="AA264" i="7"/>
  <c r="AD263" i="7"/>
  <c r="AB261" i="7"/>
  <c r="AE260" i="7"/>
  <c r="AC258" i="7"/>
  <c r="AI256" i="7"/>
  <c r="AA256" i="7"/>
  <c r="AD255" i="7"/>
  <c r="AB253" i="7"/>
  <c r="AE252" i="7"/>
  <c r="AC250" i="7"/>
  <c r="AI248" i="7"/>
  <c r="AA248" i="7"/>
  <c r="AD247" i="7"/>
  <c r="AB245" i="7"/>
  <c r="AE244" i="7"/>
  <c r="AC242" i="7"/>
  <c r="AI240" i="7"/>
  <c r="AA240" i="7"/>
  <c r="AD239" i="7"/>
  <c r="AB237" i="7"/>
  <c r="AE236" i="7"/>
  <c r="AC234" i="7"/>
  <c r="AI232" i="7"/>
  <c r="AA232" i="7"/>
  <c r="AD231" i="7"/>
  <c r="AB229" i="7"/>
  <c r="AI336" i="7"/>
  <c r="AB325" i="7"/>
  <c r="AD319" i="7"/>
  <c r="AC309" i="7"/>
  <c r="AE307" i="7"/>
  <c r="AE303" i="7"/>
  <c r="AI295" i="7"/>
  <c r="AI291" i="7"/>
  <c r="AA288" i="7"/>
  <c r="AB284" i="7"/>
  <c r="AC282" i="7"/>
  <c r="AB280" i="7"/>
  <c r="AD278" i="7"/>
  <c r="AE276" i="7"/>
  <c r="AB274" i="7"/>
  <c r="AE273" i="7"/>
  <c r="AA336" i="7"/>
  <c r="AC330" i="7"/>
  <c r="AE324" i="7"/>
  <c r="AI312" i="7"/>
  <c r="AB309" i="7"/>
  <c r="AA307" i="7"/>
  <c r="AC305" i="7"/>
  <c r="AD303" i="7"/>
  <c r="AC301" i="7"/>
  <c r="AE299" i="7"/>
  <c r="AE295" i="7"/>
  <c r="AI287" i="7"/>
  <c r="AI283" i="7"/>
  <c r="AA280" i="7"/>
  <c r="AC276" i="7"/>
  <c r="AI274" i="7"/>
  <c r="AA274" i="7"/>
  <c r="AD273" i="7"/>
  <c r="AB271" i="7"/>
  <c r="AE270" i="7"/>
  <c r="AC268" i="7"/>
  <c r="AI266" i="7"/>
  <c r="AA266" i="7"/>
  <c r="AD265" i="7"/>
  <c r="AB263" i="7"/>
  <c r="AE262" i="7"/>
  <c r="AC260" i="7"/>
  <c r="AI258" i="7"/>
  <c r="AA258" i="7"/>
  <c r="AD257" i="7"/>
  <c r="AB255" i="7"/>
  <c r="AE254" i="7"/>
  <c r="AC252" i="7"/>
  <c r="AI250" i="7"/>
  <c r="AA250" i="7"/>
  <c r="AD249" i="7"/>
  <c r="AB247" i="7"/>
  <c r="AE246" i="7"/>
  <c r="AC244" i="7"/>
  <c r="AI242" i="7"/>
  <c r="AA242" i="7"/>
  <c r="AD241" i="7"/>
  <c r="AB239" i="7"/>
  <c r="AE238" i="7"/>
  <c r="AC236" i="7"/>
  <c r="AI234" i="7"/>
  <c r="AA234" i="7"/>
  <c r="AD233" i="7"/>
  <c r="AB231" i="7"/>
  <c r="AE230" i="7"/>
  <c r="AD335" i="7"/>
  <c r="AA312" i="7"/>
  <c r="AA303" i="7"/>
  <c r="AB301" i="7"/>
  <c r="AA299" i="7"/>
  <c r="AC297" i="7"/>
  <c r="AD295" i="7"/>
  <c r="AC293" i="7"/>
  <c r="AE291" i="7"/>
  <c r="AE287" i="7"/>
  <c r="AI279" i="7"/>
  <c r="AB276" i="7"/>
  <c r="AE275" i="7"/>
  <c r="AC273" i="7"/>
  <c r="AI271" i="7"/>
  <c r="AA271" i="7"/>
  <c r="AD270" i="7"/>
  <c r="AB268" i="7"/>
  <c r="AE267" i="7"/>
  <c r="AC265" i="7"/>
  <c r="AI263" i="7"/>
  <c r="AA263" i="7"/>
  <c r="AD262" i="7"/>
  <c r="AB260" i="7"/>
  <c r="AE259" i="7"/>
  <c r="AC257" i="7"/>
  <c r="AI255" i="7"/>
  <c r="AA255" i="7"/>
  <c r="AD254" i="7"/>
  <c r="AB252" i="7"/>
  <c r="AE251" i="7"/>
  <c r="AC249" i="7"/>
  <c r="AI247" i="7"/>
  <c r="AA247" i="7"/>
  <c r="AD246" i="7"/>
  <c r="AB244" i="7"/>
  <c r="AE243" i="7"/>
  <c r="AC241" i="7"/>
  <c r="AI239" i="7"/>
  <c r="AA239" i="7"/>
  <c r="AD238" i="7"/>
  <c r="AB236" i="7"/>
  <c r="AE235" i="7"/>
  <c r="AC233" i="7"/>
  <c r="AI231" i="7"/>
  <c r="AA231" i="7"/>
  <c r="AD230" i="7"/>
  <c r="AI328" i="7"/>
  <c r="AB317" i="7"/>
  <c r="AD311" i="7"/>
  <c r="AI304" i="7"/>
  <c r="AA295" i="7"/>
  <c r="AB293" i="7"/>
  <c r="AA291" i="7"/>
  <c r="AC289" i="7"/>
  <c r="AD287" i="7"/>
  <c r="AC285" i="7"/>
  <c r="AE283" i="7"/>
  <c r="AE279" i="7"/>
  <c r="AA276" i="7"/>
  <c r="AD275" i="7"/>
  <c r="AB273" i="7"/>
  <c r="AE272" i="7"/>
  <c r="AC270" i="7"/>
  <c r="AI268" i="7"/>
  <c r="AA268" i="7"/>
  <c r="AD267" i="7"/>
  <c r="AB265" i="7"/>
  <c r="AE264" i="7"/>
  <c r="AC262" i="7"/>
  <c r="AI260" i="7"/>
  <c r="AA260" i="7"/>
  <c r="AD259" i="7"/>
  <c r="AB257" i="7"/>
  <c r="AE256" i="7"/>
  <c r="AC254" i="7"/>
  <c r="AI252" i="7"/>
  <c r="AA252" i="7"/>
  <c r="AD251" i="7"/>
  <c r="AB249" i="7"/>
  <c r="AE248" i="7"/>
  <c r="AC246" i="7"/>
  <c r="AI244" i="7"/>
  <c r="AA244" i="7"/>
  <c r="AD243" i="7"/>
  <c r="AB241" i="7"/>
  <c r="AE240" i="7"/>
  <c r="AC238" i="7"/>
  <c r="AI236" i="7"/>
  <c r="AA236" i="7"/>
  <c r="AD235" i="7"/>
  <c r="AB233" i="7"/>
  <c r="AE232" i="7"/>
  <c r="AC230" i="7"/>
  <c r="AA328" i="7"/>
  <c r="AC322" i="7"/>
  <c r="AE316" i="7"/>
  <c r="AE308" i="7"/>
  <c r="AD306" i="7"/>
  <c r="AI296" i="7"/>
  <c r="AA287" i="7"/>
  <c r="AB285" i="7"/>
  <c r="AA283" i="7"/>
  <c r="AC281" i="7"/>
  <c r="AD279" i="7"/>
  <c r="AC277" i="7"/>
  <c r="AC275" i="7"/>
  <c r="AI273" i="7"/>
  <c r="AA273" i="7"/>
  <c r="AD272" i="7"/>
  <c r="AE332" i="7"/>
  <c r="AI320" i="7"/>
  <c r="AI307" i="7"/>
  <c r="AA304" i="7"/>
  <c r="AB300" i="7"/>
  <c r="AC298" i="7"/>
  <c r="AB296" i="7"/>
  <c r="AD294" i="7"/>
  <c r="AE292" i="7"/>
  <c r="AD290" i="7"/>
  <c r="AI280" i="7"/>
  <c r="AI275" i="7"/>
  <c r="AA275" i="7"/>
  <c r="AD274" i="7"/>
  <c r="AB272" i="7"/>
  <c r="AE271" i="7"/>
  <c r="AC269" i="7"/>
  <c r="AI267" i="7"/>
  <c r="AA267" i="7"/>
  <c r="AD266" i="7"/>
  <c r="AB264" i="7"/>
  <c r="AE263" i="7"/>
  <c r="AC261" i="7"/>
  <c r="AI259" i="7"/>
  <c r="AA259" i="7"/>
  <c r="AD258" i="7"/>
  <c r="AB256" i="7"/>
  <c r="AE255" i="7"/>
  <c r="AC253" i="7"/>
  <c r="AI251" i="7"/>
  <c r="AA251" i="7"/>
  <c r="AD250" i="7"/>
  <c r="AB248" i="7"/>
  <c r="AE247" i="7"/>
  <c r="AC245" i="7"/>
  <c r="AI243" i="7"/>
  <c r="AA243" i="7"/>
  <c r="AD242" i="7"/>
  <c r="AB240" i="7"/>
  <c r="AE239" i="7"/>
  <c r="AC237" i="7"/>
  <c r="AI235" i="7"/>
  <c r="AA235" i="7"/>
  <c r="AD234" i="7"/>
  <c r="AB232" i="7"/>
  <c r="AE231" i="7"/>
  <c r="AB333" i="7"/>
  <c r="AD302" i="7"/>
  <c r="AE274" i="7"/>
  <c r="AI270" i="7"/>
  <c r="AA261" i="7"/>
  <c r="AB259" i="7"/>
  <c r="AA257" i="7"/>
  <c r="AC255" i="7"/>
  <c r="AD253" i="7"/>
  <c r="AC251" i="7"/>
  <c r="AE249" i="7"/>
  <c r="AE245" i="7"/>
  <c r="AI237" i="7"/>
  <c r="AI233" i="7"/>
  <c r="AA230" i="7"/>
  <c r="AB228" i="7"/>
  <c r="AE227" i="7"/>
  <c r="AC225" i="7"/>
  <c r="AI223" i="7"/>
  <c r="AA223" i="7"/>
  <c r="AD222" i="7"/>
  <c r="AB220" i="7"/>
  <c r="AE219" i="7"/>
  <c r="AC217" i="7"/>
  <c r="AI215" i="7"/>
  <c r="AA215" i="7"/>
  <c r="AD214" i="7"/>
  <c r="AB212" i="7"/>
  <c r="AE211" i="7"/>
  <c r="AC209" i="7"/>
  <c r="AI207" i="7"/>
  <c r="AA207" i="7"/>
  <c r="AD206" i="7"/>
  <c r="AB204" i="7"/>
  <c r="AE203" i="7"/>
  <c r="AC201" i="7"/>
  <c r="AI199" i="7"/>
  <c r="AA199" i="7"/>
  <c r="AD198" i="7"/>
  <c r="AB196" i="7"/>
  <c r="AE195" i="7"/>
  <c r="AC193" i="7"/>
  <c r="AI191" i="7"/>
  <c r="AA191" i="7"/>
  <c r="AD190" i="7"/>
  <c r="AB188" i="7"/>
  <c r="AE187" i="7"/>
  <c r="AC185" i="7"/>
  <c r="AI183" i="7"/>
  <c r="AA183" i="7"/>
  <c r="AD182" i="7"/>
  <c r="AB180" i="7"/>
  <c r="AE179" i="7"/>
  <c r="AC177" i="7"/>
  <c r="AI175" i="7"/>
  <c r="AA175" i="7"/>
  <c r="AD174" i="7"/>
  <c r="AB172" i="7"/>
  <c r="AE171" i="7"/>
  <c r="AC169" i="7"/>
  <c r="AI167" i="7"/>
  <c r="AA167" i="7"/>
  <c r="AD166" i="7"/>
  <c r="AB164" i="7"/>
  <c r="AE163" i="7"/>
  <c r="AC161" i="7"/>
  <c r="AI159" i="7"/>
  <c r="AA159" i="7"/>
  <c r="AD158" i="7"/>
  <c r="AB156" i="7"/>
  <c r="AC153" i="7"/>
  <c r="AI151" i="7"/>
  <c r="AA151" i="7"/>
  <c r="AD150" i="7"/>
  <c r="AB148" i="7"/>
  <c r="AD327" i="7"/>
  <c r="AE300" i="7"/>
  <c r="AI262" i="7"/>
  <c r="AA253" i="7"/>
  <c r="AB251" i="7"/>
  <c r="AA249" i="7"/>
  <c r="AC247" i="7"/>
  <c r="AD245" i="7"/>
  <c r="AC243" i="7"/>
  <c r="AE241" i="7"/>
  <c r="AE237" i="7"/>
  <c r="AI228" i="7"/>
  <c r="AA228" i="7"/>
  <c r="AD227" i="7"/>
  <c r="AB225" i="7"/>
  <c r="AE224" i="7"/>
  <c r="AC222" i="7"/>
  <c r="AI220" i="7"/>
  <c r="AA220" i="7"/>
  <c r="AD219" i="7"/>
  <c r="AB217" i="7"/>
  <c r="AE216" i="7"/>
  <c r="AC214" i="7"/>
  <c r="AI212" i="7"/>
  <c r="AA212" i="7"/>
  <c r="AD211" i="7"/>
  <c r="AB209" i="7"/>
  <c r="AE208" i="7"/>
  <c r="AC206" i="7"/>
  <c r="AI204" i="7"/>
  <c r="AA204" i="7"/>
  <c r="AD203" i="7"/>
  <c r="AB201" i="7"/>
  <c r="AE200" i="7"/>
  <c r="AC198" i="7"/>
  <c r="AI196" i="7"/>
  <c r="AA196" i="7"/>
  <c r="AD195" i="7"/>
  <c r="AB193" i="7"/>
  <c r="AE192" i="7"/>
  <c r="AC190" i="7"/>
  <c r="AI188" i="7"/>
  <c r="AA188" i="7"/>
  <c r="AD187" i="7"/>
  <c r="AD298" i="7"/>
  <c r="AB270" i="7"/>
  <c r="AD268" i="7"/>
  <c r="AE266" i="7"/>
  <c r="AD264" i="7"/>
  <c r="AI254" i="7"/>
  <c r="AA245" i="7"/>
  <c r="AB243" i="7"/>
  <c r="AA241" i="7"/>
  <c r="AC239" i="7"/>
  <c r="AD237" i="7"/>
  <c r="AC235" i="7"/>
  <c r="AE233" i="7"/>
  <c r="AI229" i="7"/>
  <c r="AC227" i="7"/>
  <c r="AI225" i="7"/>
  <c r="AA225" i="7"/>
  <c r="AD224" i="7"/>
  <c r="AB222" i="7"/>
  <c r="AE221" i="7"/>
  <c r="AC219" i="7"/>
  <c r="AI217" i="7"/>
  <c r="AA217" i="7"/>
  <c r="AD216" i="7"/>
  <c r="AB214" i="7"/>
  <c r="AE213" i="7"/>
  <c r="AC211" i="7"/>
  <c r="AI209" i="7"/>
  <c r="AA209" i="7"/>
  <c r="AD208" i="7"/>
  <c r="AB206" i="7"/>
  <c r="AE205" i="7"/>
  <c r="AC203" i="7"/>
  <c r="AI201" i="7"/>
  <c r="AA201" i="7"/>
  <c r="AD200" i="7"/>
  <c r="AB198" i="7"/>
  <c r="AE197" i="7"/>
  <c r="AC195" i="7"/>
  <c r="AI193" i="7"/>
  <c r="AA193" i="7"/>
  <c r="AD192" i="7"/>
  <c r="AB190" i="7"/>
  <c r="AE189" i="7"/>
  <c r="AC187" i="7"/>
  <c r="AI185" i="7"/>
  <c r="AA185" i="7"/>
  <c r="AD184" i="7"/>
  <c r="AB182" i="7"/>
  <c r="AE181" i="7"/>
  <c r="AC179" i="7"/>
  <c r="AI177" i="7"/>
  <c r="AA177" i="7"/>
  <c r="AD176" i="7"/>
  <c r="AB174" i="7"/>
  <c r="AE173" i="7"/>
  <c r="AC171" i="7"/>
  <c r="AI169" i="7"/>
  <c r="AA169" i="7"/>
  <c r="AD168" i="7"/>
  <c r="AB166" i="7"/>
  <c r="AC163" i="7"/>
  <c r="AI161" i="7"/>
  <c r="AA161" i="7"/>
  <c r="AD160" i="7"/>
  <c r="AB158" i="7"/>
  <c r="AE157" i="7"/>
  <c r="AC155" i="7"/>
  <c r="AI153" i="7"/>
  <c r="AA153" i="7"/>
  <c r="AD152" i="7"/>
  <c r="AB150" i="7"/>
  <c r="AE149" i="7"/>
  <c r="AC272" i="7"/>
  <c r="AA270" i="7"/>
  <c r="AB266" i="7"/>
  <c r="AC264" i="7"/>
  <c r="AB262" i="7"/>
  <c r="AD260" i="7"/>
  <c r="AE258" i="7"/>
  <c r="AD256" i="7"/>
  <c r="AI246" i="7"/>
  <c r="AA237" i="7"/>
  <c r="AB235" i="7"/>
  <c r="AA233" i="7"/>
  <c r="AC231" i="7"/>
  <c r="AE229" i="7"/>
  <c r="AB227" i="7"/>
  <c r="AE226" i="7"/>
  <c r="AC224" i="7"/>
  <c r="AI222" i="7"/>
  <c r="AA222" i="7"/>
  <c r="AD221" i="7"/>
  <c r="AB219" i="7"/>
  <c r="AE218" i="7"/>
  <c r="AC216" i="7"/>
  <c r="AI214" i="7"/>
  <c r="AA214" i="7"/>
  <c r="AD213" i="7"/>
  <c r="AB211" i="7"/>
  <c r="AE210" i="7"/>
  <c r="AC208" i="7"/>
  <c r="AI206" i="7"/>
  <c r="AA206" i="7"/>
  <c r="AD205" i="7"/>
  <c r="AB203" i="7"/>
  <c r="AE202" i="7"/>
  <c r="AC200" i="7"/>
  <c r="AI198" i="7"/>
  <c r="AA198" i="7"/>
  <c r="AD197" i="7"/>
  <c r="AB195" i="7"/>
  <c r="AE194" i="7"/>
  <c r="AC192" i="7"/>
  <c r="AI190" i="7"/>
  <c r="AA190" i="7"/>
  <c r="AD189" i="7"/>
  <c r="AB187" i="7"/>
  <c r="AE186" i="7"/>
  <c r="AC184" i="7"/>
  <c r="AI182" i="7"/>
  <c r="AA182" i="7"/>
  <c r="AD181" i="7"/>
  <c r="AB179" i="7"/>
  <c r="AE178" i="7"/>
  <c r="AC176" i="7"/>
  <c r="AI174" i="7"/>
  <c r="AA174" i="7"/>
  <c r="AD173" i="7"/>
  <c r="AB171" i="7"/>
  <c r="AE170" i="7"/>
  <c r="AC168" i="7"/>
  <c r="AI166" i="7"/>
  <c r="AA166" i="7"/>
  <c r="AD165" i="7"/>
  <c r="AB163" i="7"/>
  <c r="AE162" i="7"/>
  <c r="AC160" i="7"/>
  <c r="AI158" i="7"/>
  <c r="AA158" i="7"/>
  <c r="AD157" i="7"/>
  <c r="AB155" i="7"/>
  <c r="AE154" i="7"/>
  <c r="AC152" i="7"/>
  <c r="AI150" i="7"/>
  <c r="AA150" i="7"/>
  <c r="AD149" i="7"/>
  <c r="AA279" i="7"/>
  <c r="AI269" i="7"/>
  <c r="AI265" i="7"/>
  <c r="AA262" i="7"/>
  <c r="AB258" i="7"/>
  <c r="AC256" i="7"/>
  <c r="AB254" i="7"/>
  <c r="AD252" i="7"/>
  <c r="AE250" i="7"/>
  <c r="AD248" i="7"/>
  <c r="AI238" i="7"/>
  <c r="AD229" i="7"/>
  <c r="AI227" i="7"/>
  <c r="AA227" i="7"/>
  <c r="AD226" i="7"/>
  <c r="AB224" i="7"/>
  <c r="AE223" i="7"/>
  <c r="AC221" i="7"/>
  <c r="AI219" i="7"/>
  <c r="AA219" i="7"/>
  <c r="AD218" i="7"/>
  <c r="AB216" i="7"/>
  <c r="AE215" i="7"/>
  <c r="AC213" i="7"/>
  <c r="AI211" i="7"/>
  <c r="AA211" i="7"/>
  <c r="AD210" i="7"/>
  <c r="AB208" i="7"/>
  <c r="AE207" i="7"/>
  <c r="AC205" i="7"/>
  <c r="AI203" i="7"/>
  <c r="AA203" i="7"/>
  <c r="AD202" i="7"/>
  <c r="AB200" i="7"/>
  <c r="AE199" i="7"/>
  <c r="AC197" i="7"/>
  <c r="AI195" i="7"/>
  <c r="AA195" i="7"/>
  <c r="AD194" i="7"/>
  <c r="AB192" i="7"/>
  <c r="AE191" i="7"/>
  <c r="AC189" i="7"/>
  <c r="AI187" i="7"/>
  <c r="AA187" i="7"/>
  <c r="AD186" i="7"/>
  <c r="AB184" i="7"/>
  <c r="AE183" i="7"/>
  <c r="AC181" i="7"/>
  <c r="AI179" i="7"/>
  <c r="AA179" i="7"/>
  <c r="AD178" i="7"/>
  <c r="AB176" i="7"/>
  <c r="AE175" i="7"/>
  <c r="AC173" i="7"/>
  <c r="AI171" i="7"/>
  <c r="AA171" i="7"/>
  <c r="AD170" i="7"/>
  <c r="AB168" i="7"/>
  <c r="AE167" i="7"/>
  <c r="AC165" i="7"/>
  <c r="AI163" i="7"/>
  <c r="AA163" i="7"/>
  <c r="AD162" i="7"/>
  <c r="AB160" i="7"/>
  <c r="AE159" i="7"/>
  <c r="AC157" i="7"/>
  <c r="AI155" i="7"/>
  <c r="AA155" i="7"/>
  <c r="AD154" i="7"/>
  <c r="AB152" i="7"/>
  <c r="AE151" i="7"/>
  <c r="AC149" i="7"/>
  <c r="AB308" i="7"/>
  <c r="AB277" i="7"/>
  <c r="AE269" i="7"/>
  <c r="AI261" i="7"/>
  <c r="AI257" i="7"/>
  <c r="AA254" i="7"/>
  <c r="AB250" i="7"/>
  <c r="AC248" i="7"/>
  <c r="AB246" i="7"/>
  <c r="AD244" i="7"/>
  <c r="AE242" i="7"/>
  <c r="AD240" i="7"/>
  <c r="AI230" i="7"/>
  <c r="AC229" i="7"/>
  <c r="AE228" i="7"/>
  <c r="AC226" i="7"/>
  <c r="AI224" i="7"/>
  <c r="AA224" i="7"/>
  <c r="AD223" i="7"/>
  <c r="AB221" i="7"/>
  <c r="AE220" i="7"/>
  <c r="AC218" i="7"/>
  <c r="AI216" i="7"/>
  <c r="AA216" i="7"/>
  <c r="AD215" i="7"/>
  <c r="AB213" i="7"/>
  <c r="AE212" i="7"/>
  <c r="AC210" i="7"/>
  <c r="AI208" i="7"/>
  <c r="AA208" i="7"/>
  <c r="AD207" i="7"/>
  <c r="AB205" i="7"/>
  <c r="AE204" i="7"/>
  <c r="AC202" i="7"/>
  <c r="AI200" i="7"/>
  <c r="AA200" i="7"/>
  <c r="AD199" i="7"/>
  <c r="AB197" i="7"/>
  <c r="AE196" i="7"/>
  <c r="AC194" i="7"/>
  <c r="AI192" i="7"/>
  <c r="AA192" i="7"/>
  <c r="AD191" i="7"/>
  <c r="AB189" i="7"/>
  <c r="AE188" i="7"/>
  <c r="AB304" i="7"/>
  <c r="AI288" i="7"/>
  <c r="AB275" i="7"/>
  <c r="AA269" i="7"/>
  <c r="AB267" i="7"/>
  <c r="AA265" i="7"/>
  <c r="AC263" i="7"/>
  <c r="AD261" i="7"/>
  <c r="AC259" i="7"/>
  <c r="AE257" i="7"/>
  <c r="AE253" i="7"/>
  <c r="AI245" i="7"/>
  <c r="AI241" i="7"/>
  <c r="AA238" i="7"/>
  <c r="AB234" i="7"/>
  <c r="AC232" i="7"/>
  <c r="AB230" i="7"/>
  <c r="AC228" i="7"/>
  <c r="AI226" i="7"/>
  <c r="AA226" i="7"/>
  <c r="AD225" i="7"/>
  <c r="AB223" i="7"/>
  <c r="AE222" i="7"/>
  <c r="AC220" i="7"/>
  <c r="AI218" i="7"/>
  <c r="AA218" i="7"/>
  <c r="AD217" i="7"/>
  <c r="AB215" i="7"/>
  <c r="AE214" i="7"/>
  <c r="AC212" i="7"/>
  <c r="AI210" i="7"/>
  <c r="AA210" i="7"/>
  <c r="AD209" i="7"/>
  <c r="AB207" i="7"/>
  <c r="AE206" i="7"/>
  <c r="AC204" i="7"/>
  <c r="AI202" i="7"/>
  <c r="AA202" i="7"/>
  <c r="AD201" i="7"/>
  <c r="AB199" i="7"/>
  <c r="AE198" i="7"/>
  <c r="AC196" i="7"/>
  <c r="AI194" i="7"/>
  <c r="AA194" i="7"/>
  <c r="AD193" i="7"/>
  <c r="AB191" i="7"/>
  <c r="AE190" i="7"/>
  <c r="AC188" i="7"/>
  <c r="AI186" i="7"/>
  <c r="AA186" i="7"/>
  <c r="AD185" i="7"/>
  <c r="AB183" i="7"/>
  <c r="AE182" i="7"/>
  <c r="AC180" i="7"/>
  <c r="AI178" i="7"/>
  <c r="AA178" i="7"/>
  <c r="AD177" i="7"/>
  <c r="AB175" i="7"/>
  <c r="AE174" i="7"/>
  <c r="AC172" i="7"/>
  <c r="AI170" i="7"/>
  <c r="AA170" i="7"/>
  <c r="AD169" i="7"/>
  <c r="AB167" i="7"/>
  <c r="AE166" i="7"/>
  <c r="AC164" i="7"/>
  <c r="AI162" i="7"/>
  <c r="AA162" i="7"/>
  <c r="AD161" i="7"/>
  <c r="AB159" i="7"/>
  <c r="AE158" i="7"/>
  <c r="AC156" i="7"/>
  <c r="AI154" i="7"/>
  <c r="AA154" i="7"/>
  <c r="AD153" i="7"/>
  <c r="AB151" i="7"/>
  <c r="AE150" i="7"/>
  <c r="AC148" i="7"/>
  <c r="AC306" i="7"/>
  <c r="AE261" i="7"/>
  <c r="AA246" i="7"/>
  <c r="AB218" i="7"/>
  <c r="AD212" i="7"/>
  <c r="AA189" i="7"/>
  <c r="AI181" i="7"/>
  <c r="AA172" i="7"/>
  <c r="AB170" i="7"/>
  <c r="AA168" i="7"/>
  <c r="AC166" i="7"/>
  <c r="AD164" i="7"/>
  <c r="AC162" i="7"/>
  <c r="AE160" i="7"/>
  <c r="AE156" i="7"/>
  <c r="AI148" i="7"/>
  <c r="AB146" i="7"/>
  <c r="AE145" i="7"/>
  <c r="AC143" i="7"/>
  <c r="AI141" i="7"/>
  <c r="AA141" i="7"/>
  <c r="AD140" i="7"/>
  <c r="AB138" i="7"/>
  <c r="AE137" i="7"/>
  <c r="AC135" i="7"/>
  <c r="AI133" i="7"/>
  <c r="AA133" i="7"/>
  <c r="AD132" i="7"/>
  <c r="AB130" i="7"/>
  <c r="AE129" i="7"/>
  <c r="AC127" i="7"/>
  <c r="AI125" i="7"/>
  <c r="AA125" i="7"/>
  <c r="AD124" i="7"/>
  <c r="AB122" i="7"/>
  <c r="AE121" i="7"/>
  <c r="AC119" i="7"/>
  <c r="AI117" i="7"/>
  <c r="AA117" i="7"/>
  <c r="AD116" i="7"/>
  <c r="AB114" i="7"/>
  <c r="AE113" i="7"/>
  <c r="AC111" i="7"/>
  <c r="AI109" i="7"/>
  <c r="AA109" i="7"/>
  <c r="AD108" i="7"/>
  <c r="AB106" i="7"/>
  <c r="AE105" i="7"/>
  <c r="AC103" i="7"/>
  <c r="AI101" i="7"/>
  <c r="AA101" i="7"/>
  <c r="AD100" i="7"/>
  <c r="AB98" i="7"/>
  <c r="AE97" i="7"/>
  <c r="AC95" i="7"/>
  <c r="AI93" i="7"/>
  <c r="AA93" i="7"/>
  <c r="AD92" i="7"/>
  <c r="AB90" i="7"/>
  <c r="AE89" i="7"/>
  <c r="AC87" i="7"/>
  <c r="AI85" i="7"/>
  <c r="AA85" i="7"/>
  <c r="AD84" i="7"/>
  <c r="AB82" i="7"/>
  <c r="AE81" i="7"/>
  <c r="AC79" i="7"/>
  <c r="AI77" i="7"/>
  <c r="AA77" i="7"/>
  <c r="AD76" i="7"/>
  <c r="AB74" i="7"/>
  <c r="AE73" i="7"/>
  <c r="AC71" i="7"/>
  <c r="AI69" i="7"/>
  <c r="AA69" i="7"/>
  <c r="AD68" i="7"/>
  <c r="AB66" i="7"/>
  <c r="AE65" i="7"/>
  <c r="AC63" i="7"/>
  <c r="AI61" i="7"/>
  <c r="AA61" i="7"/>
  <c r="AD60" i="7"/>
  <c r="AA229" i="7"/>
  <c r="AC223" i="7"/>
  <c r="AE217" i="7"/>
  <c r="AI205" i="7"/>
  <c r="AB194" i="7"/>
  <c r="AD188" i="7"/>
  <c r="AE185" i="7"/>
  <c r="AD183" i="7"/>
  <c r="AI173" i="7"/>
  <c r="AA164" i="7"/>
  <c r="AB162" i="7"/>
  <c r="AA160" i="7"/>
  <c r="AC158" i="7"/>
  <c r="AD156" i="7"/>
  <c r="AC154" i="7"/>
  <c r="AE152" i="7"/>
  <c r="AE148" i="7"/>
  <c r="AI146" i="7"/>
  <c r="AA146" i="7"/>
  <c r="AD145" i="7"/>
  <c r="AB143" i="7"/>
  <c r="AE142" i="7"/>
  <c r="AC140" i="7"/>
  <c r="AI138" i="7"/>
  <c r="AA138" i="7"/>
  <c r="AD137" i="7"/>
  <c r="AB135" i="7"/>
  <c r="AE134" i="7"/>
  <c r="AC132" i="7"/>
  <c r="AI130" i="7"/>
  <c r="AA130" i="7"/>
  <c r="AD129" i="7"/>
  <c r="AB127" i="7"/>
  <c r="AC124" i="7"/>
  <c r="AI122" i="7"/>
  <c r="AA122" i="7"/>
  <c r="AD121" i="7"/>
  <c r="AB119" i="7"/>
  <c r="AE118" i="7"/>
  <c r="AC116" i="7"/>
  <c r="AI114" i="7"/>
  <c r="AA114" i="7"/>
  <c r="AD113" i="7"/>
  <c r="AB111" i="7"/>
  <c r="AE110" i="7"/>
  <c r="AC108" i="7"/>
  <c r="AB242" i="7"/>
  <c r="AD228" i="7"/>
  <c r="AA205" i="7"/>
  <c r="AC199" i="7"/>
  <c r="AE193" i="7"/>
  <c r="AB185" i="7"/>
  <c r="AC183" i="7"/>
  <c r="AB181" i="7"/>
  <c r="AD179" i="7"/>
  <c r="AE177" i="7"/>
  <c r="AD175" i="7"/>
  <c r="AI165" i="7"/>
  <c r="AA156" i="7"/>
  <c r="AB154" i="7"/>
  <c r="AA152" i="7"/>
  <c r="AC150" i="7"/>
  <c r="AD148" i="7"/>
  <c r="AE147" i="7"/>
  <c r="AC145" i="7"/>
  <c r="AI143" i="7"/>
  <c r="AA143" i="7"/>
  <c r="AD142" i="7"/>
  <c r="AB140" i="7"/>
  <c r="AE139" i="7"/>
  <c r="AC137" i="7"/>
  <c r="AI135" i="7"/>
  <c r="AA135" i="7"/>
  <c r="AD134" i="7"/>
  <c r="AB132" i="7"/>
  <c r="AE131" i="7"/>
  <c r="AC129" i="7"/>
  <c r="AI127" i="7"/>
  <c r="AA127" i="7"/>
  <c r="AD126" i="7"/>
  <c r="AB124" i="7"/>
  <c r="AE123" i="7"/>
  <c r="AC121" i="7"/>
  <c r="AI119" i="7"/>
  <c r="AA119" i="7"/>
  <c r="AD118" i="7"/>
  <c r="AB116" i="7"/>
  <c r="AE115" i="7"/>
  <c r="AC113" i="7"/>
  <c r="AI111" i="7"/>
  <c r="AA111" i="7"/>
  <c r="AD110" i="7"/>
  <c r="AB108" i="7"/>
  <c r="AE107" i="7"/>
  <c r="AC105" i="7"/>
  <c r="AI103" i="7"/>
  <c r="AA103" i="7"/>
  <c r="AD102" i="7"/>
  <c r="AB100" i="7"/>
  <c r="AE99" i="7"/>
  <c r="AC97" i="7"/>
  <c r="AI95" i="7"/>
  <c r="AA95" i="7"/>
  <c r="AD94" i="7"/>
  <c r="AB92" i="7"/>
  <c r="AE91" i="7"/>
  <c r="AC89" i="7"/>
  <c r="AI87" i="7"/>
  <c r="AA87" i="7"/>
  <c r="AD86" i="7"/>
  <c r="AB84" i="7"/>
  <c r="AE83" i="7"/>
  <c r="AC81" i="7"/>
  <c r="AI79" i="7"/>
  <c r="AA79" i="7"/>
  <c r="AD78" i="7"/>
  <c r="AB76" i="7"/>
  <c r="AE75" i="7"/>
  <c r="AC73" i="7"/>
  <c r="AI71" i="7"/>
  <c r="AA71" i="7"/>
  <c r="AD70" i="7"/>
  <c r="AB68" i="7"/>
  <c r="AE67" i="7"/>
  <c r="AC65" i="7"/>
  <c r="AI63" i="7"/>
  <c r="AA63" i="7"/>
  <c r="AD62" i="7"/>
  <c r="AB60" i="7"/>
  <c r="AC271" i="7"/>
  <c r="AC240" i="7"/>
  <c r="AI221" i="7"/>
  <c r="AB210" i="7"/>
  <c r="AD204" i="7"/>
  <c r="AI184" i="7"/>
  <c r="AA181" i="7"/>
  <c r="AB177" i="7"/>
  <c r="AC175" i="7"/>
  <c r="AB173" i="7"/>
  <c r="AD171" i="7"/>
  <c r="AE169" i="7"/>
  <c r="AD167" i="7"/>
  <c r="AI157" i="7"/>
  <c r="AA148" i="7"/>
  <c r="AD147" i="7"/>
  <c r="AB145" i="7"/>
  <c r="AE144" i="7"/>
  <c r="AC142" i="7"/>
  <c r="AI140" i="7"/>
  <c r="AA140" i="7"/>
  <c r="AD139" i="7"/>
  <c r="AB137" i="7"/>
  <c r="AE136" i="7"/>
  <c r="AC134" i="7"/>
  <c r="AI132" i="7"/>
  <c r="AA132" i="7"/>
  <c r="AD131" i="7"/>
  <c r="AB129" i="7"/>
  <c r="AE128" i="7"/>
  <c r="AC126" i="7"/>
  <c r="AI124" i="7"/>
  <c r="AA124" i="7"/>
  <c r="AD123" i="7"/>
  <c r="AB121" i="7"/>
  <c r="AE120" i="7"/>
  <c r="AC118" i="7"/>
  <c r="AI116" i="7"/>
  <c r="AA116" i="7"/>
  <c r="AD115" i="7"/>
  <c r="AB113" i="7"/>
  <c r="AE112" i="7"/>
  <c r="AC110" i="7"/>
  <c r="AI108" i="7"/>
  <c r="AA108" i="7"/>
  <c r="AD107" i="7"/>
  <c r="AB105" i="7"/>
  <c r="AE104" i="7"/>
  <c r="AC102" i="7"/>
  <c r="AI100" i="7"/>
  <c r="AA100" i="7"/>
  <c r="AD99" i="7"/>
  <c r="AB97" i="7"/>
  <c r="AE96" i="7"/>
  <c r="AC94" i="7"/>
  <c r="AI92" i="7"/>
  <c r="AA92" i="7"/>
  <c r="AD91" i="7"/>
  <c r="AB89" i="7"/>
  <c r="AE88" i="7"/>
  <c r="AC86" i="7"/>
  <c r="AI84" i="7"/>
  <c r="AA84" i="7"/>
  <c r="AD83" i="7"/>
  <c r="AB81" i="7"/>
  <c r="AE80" i="7"/>
  <c r="AC78" i="7"/>
  <c r="AI76" i="7"/>
  <c r="AA76" i="7"/>
  <c r="AD75" i="7"/>
  <c r="AB73" i="7"/>
  <c r="AE72" i="7"/>
  <c r="AC70" i="7"/>
  <c r="AI68" i="7"/>
  <c r="AA68" i="7"/>
  <c r="AD67" i="7"/>
  <c r="AB65" i="7"/>
  <c r="AE64" i="7"/>
  <c r="AC62" i="7"/>
  <c r="AI60" i="7"/>
  <c r="AA60" i="7"/>
  <c r="AD269" i="7"/>
  <c r="AI253" i="7"/>
  <c r="AB238" i="7"/>
  <c r="AA221" i="7"/>
  <c r="AC215" i="7"/>
  <c r="AE209" i="7"/>
  <c r="AI197" i="7"/>
  <c r="AI180" i="7"/>
  <c r="AI176" i="7"/>
  <c r="AA173" i="7"/>
  <c r="AB169" i="7"/>
  <c r="AC167" i="7"/>
  <c r="AB165" i="7"/>
  <c r="AD163" i="7"/>
  <c r="AE161" i="7"/>
  <c r="AD159" i="7"/>
  <c r="AI149" i="7"/>
  <c r="AC147" i="7"/>
  <c r="AI145" i="7"/>
  <c r="AA145" i="7"/>
  <c r="AD144" i="7"/>
  <c r="AB142" i="7"/>
  <c r="AE141" i="7"/>
  <c r="AC139" i="7"/>
  <c r="AI137" i="7"/>
  <c r="AA137" i="7"/>
  <c r="AD136" i="7"/>
  <c r="AB134" i="7"/>
  <c r="AE133" i="7"/>
  <c r="AC131" i="7"/>
  <c r="AI129" i="7"/>
  <c r="AA129" i="7"/>
  <c r="AD128" i="7"/>
  <c r="AB126" i="7"/>
  <c r="AE125" i="7"/>
  <c r="AC123" i="7"/>
  <c r="AI121" i="7"/>
  <c r="AA121" i="7"/>
  <c r="AD120" i="7"/>
  <c r="AB118" i="7"/>
  <c r="AE117" i="7"/>
  <c r="AC115" i="7"/>
  <c r="AI113" i="7"/>
  <c r="AA113" i="7"/>
  <c r="AD112" i="7"/>
  <c r="AB110" i="7"/>
  <c r="AE109" i="7"/>
  <c r="AC107" i="7"/>
  <c r="AI105" i="7"/>
  <c r="AA105" i="7"/>
  <c r="AD104" i="7"/>
  <c r="AB102" i="7"/>
  <c r="AE101" i="7"/>
  <c r="AC99" i="7"/>
  <c r="AI97" i="7"/>
  <c r="AA97" i="7"/>
  <c r="AD96" i="7"/>
  <c r="AB94" i="7"/>
  <c r="AE93" i="7"/>
  <c r="AC91" i="7"/>
  <c r="AI89" i="7"/>
  <c r="AA89" i="7"/>
  <c r="AD88" i="7"/>
  <c r="AB86" i="7"/>
  <c r="AE85" i="7"/>
  <c r="AC83" i="7"/>
  <c r="AI81" i="7"/>
  <c r="AA81" i="7"/>
  <c r="AD80" i="7"/>
  <c r="AB78" i="7"/>
  <c r="AE77" i="7"/>
  <c r="AC75" i="7"/>
  <c r="AI73" i="7"/>
  <c r="AA73" i="7"/>
  <c r="AD72" i="7"/>
  <c r="AB70" i="7"/>
  <c r="AE69" i="7"/>
  <c r="AC67" i="7"/>
  <c r="AI65" i="7"/>
  <c r="AA65" i="7"/>
  <c r="AD64" i="7"/>
  <c r="AB62" i="7"/>
  <c r="AE61" i="7"/>
  <c r="AC267" i="7"/>
  <c r="AD236" i="7"/>
  <c r="AB226" i="7"/>
  <c r="AD220" i="7"/>
  <c r="AA197" i="7"/>
  <c r="AC191" i="7"/>
  <c r="AC186" i="7"/>
  <c r="AE184" i="7"/>
  <c r="AE180" i="7"/>
  <c r="AI172" i="7"/>
  <c r="AI168" i="7"/>
  <c r="AA165" i="7"/>
  <c r="AB161" i="7"/>
  <c r="AC159" i="7"/>
  <c r="AB157" i="7"/>
  <c r="AD155" i="7"/>
  <c r="AE153" i="7"/>
  <c r="AD151" i="7"/>
  <c r="AB147" i="7"/>
  <c r="AE146" i="7"/>
  <c r="AC144" i="7"/>
  <c r="AI142" i="7"/>
  <c r="AA142" i="7"/>
  <c r="AD141" i="7"/>
  <c r="AB139" i="7"/>
  <c r="AE138" i="7"/>
  <c r="AC136" i="7"/>
  <c r="AI134" i="7"/>
  <c r="AA134" i="7"/>
  <c r="AD133" i="7"/>
  <c r="AB131" i="7"/>
  <c r="AE130" i="7"/>
  <c r="AC128" i="7"/>
  <c r="AI126" i="7"/>
  <c r="AA126" i="7"/>
  <c r="AD125" i="7"/>
  <c r="AB123" i="7"/>
  <c r="AE122" i="7"/>
  <c r="AC120" i="7"/>
  <c r="AI118" i="7"/>
  <c r="AA118" i="7"/>
  <c r="AD117" i="7"/>
  <c r="AB115" i="7"/>
  <c r="AE114" i="7"/>
  <c r="AC112" i="7"/>
  <c r="AI110" i="7"/>
  <c r="AA110" i="7"/>
  <c r="AD109" i="7"/>
  <c r="AD232" i="7"/>
  <c r="AA213" i="7"/>
  <c r="AC207" i="7"/>
  <c r="AE201" i="7"/>
  <c r="AI189" i="7"/>
  <c r="AA180" i="7"/>
  <c r="AB178" i="7"/>
  <c r="AA176" i="7"/>
  <c r="AC174" i="7"/>
  <c r="AD172" i="7"/>
  <c r="AC170" i="7"/>
  <c r="AE168" i="7"/>
  <c r="AE164" i="7"/>
  <c r="AI156" i="7"/>
  <c r="AI152" i="7"/>
  <c r="AA149" i="7"/>
  <c r="AC146" i="7"/>
  <c r="AI144" i="7"/>
  <c r="AA144" i="7"/>
  <c r="AD143" i="7"/>
  <c r="AB141" i="7"/>
  <c r="AE140" i="7"/>
  <c r="AC138" i="7"/>
  <c r="AI136" i="7"/>
  <c r="AA136" i="7"/>
  <c r="AD135" i="7"/>
  <c r="AB133" i="7"/>
  <c r="AE132" i="7"/>
  <c r="AC130" i="7"/>
  <c r="AI128" i="7"/>
  <c r="AA128" i="7"/>
  <c r="AD127" i="7"/>
  <c r="AB125" i="7"/>
  <c r="AE124" i="7"/>
  <c r="AC122" i="7"/>
  <c r="AI120" i="7"/>
  <c r="AA120" i="7"/>
  <c r="AD119" i="7"/>
  <c r="AB117" i="7"/>
  <c r="AE116" i="7"/>
  <c r="AC114" i="7"/>
  <c r="AI112" i="7"/>
  <c r="AA112" i="7"/>
  <c r="AD111" i="7"/>
  <c r="AB109" i="7"/>
  <c r="AE108" i="7"/>
  <c r="AC106" i="7"/>
  <c r="AI104" i="7"/>
  <c r="AA104" i="7"/>
  <c r="AD103" i="7"/>
  <c r="AB101" i="7"/>
  <c r="AE100" i="7"/>
  <c r="AC98" i="7"/>
  <c r="AI96" i="7"/>
  <c r="AA96" i="7"/>
  <c r="AD95" i="7"/>
  <c r="AB93" i="7"/>
  <c r="AE92" i="7"/>
  <c r="AC90" i="7"/>
  <c r="AI88" i="7"/>
  <c r="AA88" i="7"/>
  <c r="AD87" i="7"/>
  <c r="AB85" i="7"/>
  <c r="AE84" i="7"/>
  <c r="AC82" i="7"/>
  <c r="AI80" i="7"/>
  <c r="AA80" i="7"/>
  <c r="AD79" i="7"/>
  <c r="AB77" i="7"/>
  <c r="AE76" i="7"/>
  <c r="AC74" i="7"/>
  <c r="AI72" i="7"/>
  <c r="AA72" i="7"/>
  <c r="AD71" i="7"/>
  <c r="AB69" i="7"/>
  <c r="AE68" i="7"/>
  <c r="AC66" i="7"/>
  <c r="AI64" i="7"/>
  <c r="AA64" i="7"/>
  <c r="AD63" i="7"/>
  <c r="AB61" i="7"/>
  <c r="AE60" i="7"/>
  <c r="AC3" i="7"/>
  <c r="AE5" i="7"/>
  <c r="AB6" i="7"/>
  <c r="AD8" i="7"/>
  <c r="AA9" i="7"/>
  <c r="AI9" i="7"/>
  <c r="AC11" i="7"/>
  <c r="AE13" i="7"/>
  <c r="AB14" i="7"/>
  <c r="AD16" i="7"/>
  <c r="AA17" i="7"/>
  <c r="AI17" i="7"/>
  <c r="AC19" i="7"/>
  <c r="AE21" i="7"/>
  <c r="AB22" i="7"/>
  <c r="AD24" i="7"/>
  <c r="AA25" i="7"/>
  <c r="AI25" i="7"/>
  <c r="AC27" i="7"/>
  <c r="AE29" i="7"/>
  <c r="AB30" i="7"/>
  <c r="AD32" i="7"/>
  <c r="AA33" i="7"/>
  <c r="AI33" i="7"/>
  <c r="AC35" i="7"/>
  <c r="AE37" i="7"/>
  <c r="AB38" i="7"/>
  <c r="AD40" i="7"/>
  <c r="AA41" i="7"/>
  <c r="AI41" i="7"/>
  <c r="AC43" i="7"/>
  <c r="AE45" i="7"/>
  <c r="AB46" i="7"/>
  <c r="AD48" i="7"/>
  <c r="AA49" i="7"/>
  <c r="AI49" i="7"/>
  <c r="AC51" i="7"/>
  <c r="AE53" i="7"/>
  <c r="AB54" i="7"/>
  <c r="AD56" i="7"/>
  <c r="AA57" i="7"/>
  <c r="AI57" i="7"/>
  <c r="AC59" i="7"/>
  <c r="AC60" i="7"/>
  <c r="AA62" i="7"/>
  <c r="AB64" i="7"/>
  <c r="AA66" i="7"/>
  <c r="AI75" i="7"/>
  <c r="AD85" i="7"/>
  <c r="AE87" i="7"/>
  <c r="AD89" i="7"/>
  <c r="AB91" i="7"/>
  <c r="AC93" i="7"/>
  <c r="AB95" i="7"/>
  <c r="AA99" i="7"/>
  <c r="AI102" i="7"/>
  <c r="AI106" i="7"/>
  <c r="AD122" i="7"/>
  <c r="AB128" i="7"/>
  <c r="AI139" i="7"/>
  <c r="AA157" i="7"/>
  <c r="AE172" i="7"/>
  <c r="AI249" i="7"/>
  <c r="AC4" i="7"/>
  <c r="AD17" i="7"/>
  <c r="AD25" i="7"/>
  <c r="AC36" i="7"/>
  <c r="AC44" i="7"/>
  <c r="AI50" i="7"/>
  <c r="AE54" i="7"/>
  <c r="AA86" i="7"/>
  <c r="AD3" i="7"/>
  <c r="AI4" i="7"/>
  <c r="AC6" i="7"/>
  <c r="AB9" i="7"/>
  <c r="AA12" i="7"/>
  <c r="AE16" i="7"/>
  <c r="AD19" i="7"/>
  <c r="AI20" i="7"/>
  <c r="AC22" i="7"/>
  <c r="AE24" i="7"/>
  <c r="AB25" i="7"/>
  <c r="AA28" i="7"/>
  <c r="AC30" i="7"/>
  <c r="AE32" i="7"/>
  <c r="AB33" i="7"/>
  <c r="AD35" i="7"/>
  <c r="AA36" i="7"/>
  <c r="AI36" i="7"/>
  <c r="AC38" i="7"/>
  <c r="AE40" i="7"/>
  <c r="AB41" i="7"/>
  <c r="AD43" i="7"/>
  <c r="AA44" i="7"/>
  <c r="AI44" i="7"/>
  <c r="AC46" i="7"/>
  <c r="AE48" i="7"/>
  <c r="AB49" i="7"/>
  <c r="AD51" i="7"/>
  <c r="AA52" i="7"/>
  <c r="AI52" i="7"/>
  <c r="AC54" i="7"/>
  <c r="AE56" i="7"/>
  <c r="AB57" i="7"/>
  <c r="AD59" i="7"/>
  <c r="AE62" i="7"/>
  <c r="AC64" i="7"/>
  <c r="AD66" i="7"/>
  <c r="AC68" i="7"/>
  <c r="AA70" i="7"/>
  <c r="AB72" i="7"/>
  <c r="AA74" i="7"/>
  <c r="AI83" i="7"/>
  <c r="AD93" i="7"/>
  <c r="AE95" i="7"/>
  <c r="AD97" i="7"/>
  <c r="AB99" i="7"/>
  <c r="AC101" i="7"/>
  <c r="AB103" i="7"/>
  <c r="AA107" i="7"/>
  <c r="AE111" i="7"/>
  <c r="AC117" i="7"/>
  <c r="AA123" i="7"/>
  <c r="AD146" i="7"/>
  <c r="AD196" i="7"/>
  <c r="AE265" i="7"/>
  <c r="F5" i="6"/>
  <c r="F4" i="6"/>
  <c r="F3" i="6"/>
  <c r="F2" i="6"/>
  <c r="D11" i="6"/>
  <c r="D10" i="6"/>
  <c r="D9" i="6"/>
  <c r="D8" i="6"/>
  <c r="D7" i="6"/>
  <c r="D6" i="6"/>
  <c r="D5" i="6"/>
  <c r="D4" i="6"/>
  <c r="D3" i="6"/>
  <c r="D2" i="6"/>
  <c r="A2" i="3" a="1"/>
  <c r="P359" i="3" l="1"/>
  <c r="Q359" i="3"/>
  <c r="Y359" i="3"/>
  <c r="C359" i="3"/>
  <c r="M360" i="3"/>
  <c r="D359" i="3"/>
  <c r="N360" i="3"/>
  <c r="F359" i="3"/>
  <c r="F360" i="3"/>
  <c r="K360" i="3"/>
  <c r="O360" i="3"/>
  <c r="K359" i="3"/>
  <c r="P360" i="3"/>
  <c r="L359" i="3"/>
  <c r="Q360" i="3"/>
  <c r="M359" i="3"/>
  <c r="Y360" i="3"/>
  <c r="O359" i="3"/>
  <c r="C360" i="3"/>
  <c r="D360" i="3"/>
  <c r="N359" i="3"/>
  <c r="L360" i="3"/>
  <c r="C358" i="3"/>
  <c r="D358" i="3"/>
  <c r="F358" i="3"/>
  <c r="K358" i="3"/>
  <c r="L358" i="3"/>
  <c r="M358" i="3"/>
  <c r="N358" i="3"/>
  <c r="O358" i="3"/>
  <c r="P358" i="3"/>
  <c r="Q358" i="3"/>
  <c r="Y358" i="3"/>
  <c r="C356" i="3"/>
  <c r="P356" i="3"/>
  <c r="L357" i="3"/>
  <c r="Y356" i="3"/>
  <c r="D356" i="3"/>
  <c r="Q356" i="3"/>
  <c r="M357" i="3"/>
  <c r="F356" i="3"/>
  <c r="N357" i="3"/>
  <c r="K356" i="3"/>
  <c r="O357" i="3"/>
  <c r="N356" i="3"/>
  <c r="F357" i="3"/>
  <c r="Y357" i="3"/>
  <c r="O356" i="3"/>
  <c r="L356" i="3"/>
  <c r="C357" i="3"/>
  <c r="P357" i="3"/>
  <c r="M356" i="3"/>
  <c r="D357" i="3"/>
  <c r="Q357" i="3"/>
  <c r="K357" i="3"/>
  <c r="C3" i="3"/>
  <c r="P3" i="3"/>
  <c r="K4" i="3"/>
  <c r="F5" i="3"/>
  <c r="M6" i="3"/>
  <c r="F7" i="3"/>
  <c r="D8" i="3"/>
  <c r="Q8" i="3"/>
  <c r="F9" i="3"/>
  <c r="L10" i="3"/>
  <c r="M11" i="3"/>
  <c r="M12" i="3"/>
  <c r="L13" i="3"/>
  <c r="Y13" i="3"/>
  <c r="K14" i="3"/>
  <c r="L15" i="3"/>
  <c r="O16" i="3"/>
  <c r="O17" i="3"/>
  <c r="K18" i="3"/>
  <c r="N19" i="3"/>
  <c r="Q20" i="3"/>
  <c r="Y20" i="3"/>
  <c r="C21" i="3"/>
  <c r="P21" i="3"/>
  <c r="C22" i="3"/>
  <c r="O22" i="3"/>
  <c r="C23" i="3"/>
  <c r="P23" i="3"/>
  <c r="F24" i="3"/>
  <c r="K25" i="3"/>
  <c r="D26" i="3"/>
  <c r="Q26" i="3"/>
  <c r="O27" i="3"/>
  <c r="C28" i="3"/>
  <c r="M28" i="3"/>
  <c r="L29" i="3"/>
  <c r="D30" i="3"/>
  <c r="O30" i="3"/>
  <c r="C31" i="3"/>
  <c r="P31" i="3"/>
  <c r="D32" i="3"/>
  <c r="Q32" i="3"/>
  <c r="K3" i="3"/>
  <c r="N4" i="3"/>
  <c r="M5" i="3"/>
  <c r="C6" i="3"/>
  <c r="P6" i="3"/>
  <c r="M7" i="3"/>
  <c r="Y7" i="3"/>
  <c r="L8" i="3"/>
  <c r="Y8" i="3"/>
  <c r="M9" i="3"/>
  <c r="C10" i="3"/>
  <c r="O10" i="3"/>
  <c r="C11" i="3"/>
  <c r="P11" i="3"/>
  <c r="F12" i="3"/>
  <c r="P12" i="3"/>
  <c r="O13" i="3"/>
  <c r="N14" i="3"/>
  <c r="O15" i="3"/>
  <c r="Y15" i="3"/>
  <c r="F16" i="3"/>
  <c r="F17" i="3"/>
  <c r="N18" i="3"/>
  <c r="Y18" i="3"/>
  <c r="F19" i="3"/>
  <c r="Q19" i="3"/>
  <c r="L20" i="3"/>
  <c r="K21" i="3"/>
  <c r="K23" i="3"/>
  <c r="M24" i="3"/>
  <c r="N25" i="3"/>
  <c r="L26" i="3"/>
  <c r="F27" i="3"/>
  <c r="Y27" i="3"/>
  <c r="F28" i="3"/>
  <c r="P28" i="3"/>
  <c r="O29" i="3"/>
  <c r="Y29" i="3"/>
  <c r="K31" i="3"/>
  <c r="L32" i="3"/>
  <c r="D33" i="3"/>
  <c r="Q33" i="3"/>
  <c r="D34" i="3"/>
  <c r="Q34" i="3"/>
  <c r="K35" i="3"/>
  <c r="L36" i="3"/>
  <c r="O37" i="3"/>
  <c r="D38" i="3"/>
  <c r="P38" i="3"/>
  <c r="L3" i="3"/>
  <c r="C4" i="3"/>
  <c r="O4" i="3"/>
  <c r="N5" i="3"/>
  <c r="D6" i="3"/>
  <c r="Q6" i="3"/>
  <c r="N7" i="3"/>
  <c r="M8" i="3"/>
  <c r="N9" i="3"/>
  <c r="D10" i="3"/>
  <c r="P10" i="3"/>
  <c r="Y10" i="3"/>
  <c r="D11" i="3"/>
  <c r="Q11" i="3"/>
  <c r="Q12" i="3"/>
  <c r="Y12" i="3"/>
  <c r="C13" i="3"/>
  <c r="P13" i="3"/>
  <c r="C14" i="3"/>
  <c r="O14" i="3"/>
  <c r="C15" i="3"/>
  <c r="P15" i="3"/>
  <c r="K16" i="3"/>
  <c r="K17" i="3"/>
  <c r="O18" i="3"/>
  <c r="M20" i="3"/>
  <c r="L21" i="3"/>
  <c r="Y21" i="3"/>
  <c r="K22" i="3"/>
  <c r="L23" i="3"/>
  <c r="N24" i="3"/>
  <c r="Y24" i="3"/>
  <c r="O25" i="3"/>
  <c r="Y25" i="3"/>
  <c r="M26" i="3"/>
  <c r="Y26" i="3"/>
  <c r="K27" i="3"/>
  <c r="Q28" i="3"/>
  <c r="Y28" i="3"/>
  <c r="C29" i="3"/>
  <c r="P29" i="3"/>
  <c r="K30" i="3"/>
  <c r="L31" i="3"/>
  <c r="M32" i="3"/>
  <c r="F33" i="3"/>
  <c r="Y33" i="3"/>
  <c r="F34" i="3"/>
  <c r="Y34" i="3"/>
  <c r="L35" i="3"/>
  <c r="M36" i="3"/>
  <c r="C37" i="3"/>
  <c r="P37" i="3"/>
  <c r="M3" i="3"/>
  <c r="D4" i="3"/>
  <c r="P4" i="3"/>
  <c r="O5" i="3"/>
  <c r="Y5" i="3"/>
  <c r="F6" i="3"/>
  <c r="O7" i="3"/>
  <c r="N8" i="3"/>
  <c r="O9" i="3"/>
  <c r="F10" i="3"/>
  <c r="Q10" i="3"/>
  <c r="F11" i="3"/>
  <c r="D13" i="3"/>
  <c r="Q13" i="3"/>
  <c r="D14" i="3"/>
  <c r="P14" i="3"/>
  <c r="Y14" i="3"/>
  <c r="D15" i="3"/>
  <c r="Q15" i="3"/>
  <c r="L16" i="3"/>
  <c r="L17" i="3"/>
  <c r="C18" i="3"/>
  <c r="P18" i="3"/>
  <c r="K19" i="3"/>
  <c r="C20" i="3"/>
  <c r="N20" i="3"/>
  <c r="M21" i="3"/>
  <c r="L22" i="3"/>
  <c r="M23" i="3"/>
  <c r="O24" i="3"/>
  <c r="C25" i="3"/>
  <c r="P25" i="3"/>
  <c r="N26" i="3"/>
  <c r="L27" i="3"/>
  <c r="D29" i="3"/>
  <c r="Q29" i="3"/>
  <c r="L30" i="3"/>
  <c r="M31" i="3"/>
  <c r="Y31" i="3"/>
  <c r="N32" i="3"/>
  <c r="Y32" i="3"/>
  <c r="K33" i="3"/>
  <c r="K34" i="3"/>
  <c r="M35" i="3"/>
  <c r="Y35" i="3"/>
  <c r="N36" i="3"/>
  <c r="D37" i="3"/>
  <c r="Q37" i="3"/>
  <c r="F38" i="3"/>
  <c r="N3" i="3"/>
  <c r="F4" i="3"/>
  <c r="Q4" i="3"/>
  <c r="Y4" i="3"/>
  <c r="C5" i="3"/>
  <c r="P5" i="3"/>
  <c r="K6" i="3"/>
  <c r="C7" i="3"/>
  <c r="P7" i="3"/>
  <c r="O8" i="3"/>
  <c r="C9" i="3"/>
  <c r="P9" i="3"/>
  <c r="K11" i="3"/>
  <c r="K12" i="3"/>
  <c r="F13" i="3"/>
  <c r="F14" i="3"/>
  <c r="Q14" i="3"/>
  <c r="F15" i="3"/>
  <c r="M16" i="3"/>
  <c r="Y16" i="3"/>
  <c r="M17" i="3"/>
  <c r="D18" i="3"/>
  <c r="Q18" i="3"/>
  <c r="L19" i="3"/>
  <c r="D20" i="3"/>
  <c r="O20" i="3"/>
  <c r="N21" i="3"/>
  <c r="M22" i="3"/>
  <c r="N23" i="3"/>
  <c r="C24" i="3"/>
  <c r="P24" i="3"/>
  <c r="D25" i="3"/>
  <c r="Q25" i="3"/>
  <c r="O26" i="3"/>
  <c r="M27" i="3"/>
  <c r="K28" i="3"/>
  <c r="F29" i="3"/>
  <c r="M30" i="3"/>
  <c r="N31" i="3"/>
  <c r="O32" i="3"/>
  <c r="L33" i="3"/>
  <c r="L34" i="3"/>
  <c r="N35" i="3"/>
  <c r="O36" i="3"/>
  <c r="F37" i="3"/>
  <c r="Y37" i="3"/>
  <c r="K38" i="3"/>
  <c r="O3" i="3"/>
  <c r="D5" i="3"/>
  <c r="Q5" i="3"/>
  <c r="L6" i="3"/>
  <c r="D7" i="3"/>
  <c r="Q7" i="3"/>
  <c r="C8" i="3"/>
  <c r="P8" i="3"/>
  <c r="D9" i="3"/>
  <c r="Q9" i="3"/>
  <c r="K10" i="3"/>
  <c r="L11" i="3"/>
  <c r="Y11" i="3"/>
  <c r="L12" i="3"/>
  <c r="K13" i="3"/>
  <c r="K15" i="3"/>
  <c r="N16" i="3"/>
  <c r="N17" i="3"/>
  <c r="Y17" i="3"/>
  <c r="F18" i="3"/>
  <c r="M19" i="3"/>
  <c r="Y19" i="3"/>
  <c r="F20" i="3"/>
  <c r="P20" i="3"/>
  <c r="O21" i="3"/>
  <c r="N22" i="3"/>
  <c r="O23" i="3"/>
  <c r="D24" i="3"/>
  <c r="Q24" i="3"/>
  <c r="F25" i="3"/>
  <c r="C26" i="3"/>
  <c r="P26" i="3"/>
  <c r="N27" i="3"/>
  <c r="L28" i="3"/>
  <c r="K29" i="3"/>
  <c r="C30" i="3"/>
  <c r="N30" i="3"/>
  <c r="O31" i="3"/>
  <c r="C32" i="3"/>
  <c r="P32" i="3"/>
  <c r="M33" i="3"/>
  <c r="M34" i="3"/>
  <c r="O35" i="3"/>
  <c r="C36" i="3"/>
  <c r="P36" i="3"/>
  <c r="Y36" i="3"/>
  <c r="K37" i="3"/>
  <c r="L38" i="3"/>
  <c r="D3" i="3"/>
  <c r="N6" i="3"/>
  <c r="F8" i="3"/>
  <c r="M10" i="3"/>
  <c r="C12" i="3"/>
  <c r="M13" i="3"/>
  <c r="P16" i="3"/>
  <c r="L18" i="3"/>
  <c r="D21" i="3"/>
  <c r="Y22" i="3"/>
  <c r="N28" i="3"/>
  <c r="D31" i="3"/>
  <c r="N34" i="3"/>
  <c r="M38" i="3"/>
  <c r="O39" i="3"/>
  <c r="F40" i="3"/>
  <c r="Q40" i="3"/>
  <c r="P41" i="3"/>
  <c r="L42" i="3"/>
  <c r="O43" i="3"/>
  <c r="N44" i="3"/>
  <c r="M45" i="3"/>
  <c r="N46" i="3"/>
  <c r="K47" i="3"/>
  <c r="O48" i="3"/>
  <c r="Y48" i="3"/>
  <c r="F49" i="3"/>
  <c r="L50" i="3"/>
  <c r="N51" i="3"/>
  <c r="M52" i="3"/>
  <c r="L53" i="3"/>
  <c r="Y53" i="3"/>
  <c r="K54" i="3"/>
  <c r="O55" i="3"/>
  <c r="Y55" i="3"/>
  <c r="D56" i="3"/>
  <c r="Q56" i="3"/>
  <c r="F57" i="3"/>
  <c r="Y57" i="3"/>
  <c r="M58" i="3"/>
  <c r="L59" i="3"/>
  <c r="C60" i="3"/>
  <c r="N60" i="3"/>
  <c r="M61" i="3"/>
  <c r="N62" i="3"/>
  <c r="K63" i="3"/>
  <c r="D64" i="3"/>
  <c r="F3" i="3"/>
  <c r="O6" i="3"/>
  <c r="K8" i="3"/>
  <c r="N10" i="3"/>
  <c r="D12" i="3"/>
  <c r="N13" i="3"/>
  <c r="Q16" i="3"/>
  <c r="M18" i="3"/>
  <c r="F21" i="3"/>
  <c r="O28" i="3"/>
  <c r="F31" i="3"/>
  <c r="C33" i="3"/>
  <c r="O34" i="3"/>
  <c r="D36" i="3"/>
  <c r="N38" i="3"/>
  <c r="Y38" i="3"/>
  <c r="C39" i="3"/>
  <c r="P39" i="3"/>
  <c r="F41" i="3"/>
  <c r="Q41" i="3"/>
  <c r="M42" i="3"/>
  <c r="C43" i="3"/>
  <c r="P43" i="3"/>
  <c r="C44" i="3"/>
  <c r="O44" i="3"/>
  <c r="N45" i="3"/>
  <c r="O46" i="3"/>
  <c r="L47" i="3"/>
  <c r="C48" i="3"/>
  <c r="P48" i="3"/>
  <c r="K49" i="3"/>
  <c r="M50" i="3"/>
  <c r="O51" i="3"/>
  <c r="C52" i="3"/>
  <c r="N52" i="3"/>
  <c r="M53" i="3"/>
  <c r="L54" i="3"/>
  <c r="C55" i="3"/>
  <c r="P55" i="3"/>
  <c r="F56" i="3"/>
  <c r="K57" i="3"/>
  <c r="N58" i="3"/>
  <c r="Y58" i="3"/>
  <c r="M59" i="3"/>
  <c r="D60" i="3"/>
  <c r="O60" i="3"/>
  <c r="N61" i="3"/>
  <c r="O62" i="3"/>
  <c r="Y62" i="3"/>
  <c r="L63" i="3"/>
  <c r="Y63" i="3"/>
  <c r="F64" i="3"/>
  <c r="Q3" i="3"/>
  <c r="K5" i="3"/>
  <c r="Y6" i="3"/>
  <c r="N12" i="3"/>
  <c r="M15" i="3"/>
  <c r="C17" i="3"/>
  <c r="Q21" i="3"/>
  <c r="D23" i="3"/>
  <c r="L25" i="3"/>
  <c r="C27" i="3"/>
  <c r="F30" i="3"/>
  <c r="Q31" i="3"/>
  <c r="N33" i="3"/>
  <c r="P34" i="3"/>
  <c r="F36" i="3"/>
  <c r="L37" i="3"/>
  <c r="O38" i="3"/>
  <c r="D39" i="3"/>
  <c r="Q39" i="3"/>
  <c r="K40" i="3"/>
  <c r="N42" i="3"/>
  <c r="D43" i="3"/>
  <c r="Q43" i="3"/>
  <c r="D44" i="3"/>
  <c r="P44" i="3"/>
  <c r="O45" i="3"/>
  <c r="C46" i="3"/>
  <c r="P46" i="3"/>
  <c r="M47" i="3"/>
  <c r="D48" i="3"/>
  <c r="Q48" i="3"/>
  <c r="L49" i="3"/>
  <c r="Y49" i="3"/>
  <c r="N50" i="3"/>
  <c r="C51" i="3"/>
  <c r="P51" i="3"/>
  <c r="D52" i="3"/>
  <c r="O52" i="3"/>
  <c r="N53" i="3"/>
  <c r="M54" i="3"/>
  <c r="D55" i="3"/>
  <c r="Q55" i="3"/>
  <c r="K56" i="3"/>
  <c r="L57" i="3"/>
  <c r="O58" i="3"/>
  <c r="N59" i="3"/>
  <c r="F60" i="3"/>
  <c r="P60" i="3"/>
  <c r="O61" i="3"/>
  <c r="C62" i="3"/>
  <c r="P62" i="3"/>
  <c r="M63" i="3"/>
  <c r="K64" i="3"/>
  <c r="Y3" i="3"/>
  <c r="L5" i="3"/>
  <c r="O12" i="3"/>
  <c r="N15" i="3"/>
  <c r="D17" i="3"/>
  <c r="K20" i="3"/>
  <c r="F23" i="3"/>
  <c r="M25" i="3"/>
  <c r="D27" i="3"/>
  <c r="O33" i="3"/>
  <c r="C35" i="3"/>
  <c r="K36" i="3"/>
  <c r="M37" i="3"/>
  <c r="Q38" i="3"/>
  <c r="F39" i="3"/>
  <c r="Y39" i="3"/>
  <c r="L40" i="3"/>
  <c r="K41" i="3"/>
  <c r="O42" i="3"/>
  <c r="F43" i="3"/>
  <c r="F44" i="3"/>
  <c r="Q44" i="3"/>
  <c r="Y44" i="3"/>
  <c r="C45" i="3"/>
  <c r="P45" i="3"/>
  <c r="Y45" i="3"/>
  <c r="D46" i="3"/>
  <c r="Q46" i="3"/>
  <c r="N47" i="3"/>
  <c r="Y47" i="3"/>
  <c r="F48" i="3"/>
  <c r="M49" i="3"/>
  <c r="O50" i="3"/>
  <c r="D51" i="3"/>
  <c r="Q51" i="3"/>
  <c r="F52" i="3"/>
  <c r="P52" i="3"/>
  <c r="O53" i="3"/>
  <c r="N54" i="3"/>
  <c r="Y54" i="3"/>
  <c r="F55" i="3"/>
  <c r="L56" i="3"/>
  <c r="M57" i="3"/>
  <c r="C58" i="3"/>
  <c r="P58" i="3"/>
  <c r="O59" i="3"/>
  <c r="Y59" i="3"/>
  <c r="Q60" i="3"/>
  <c r="Y60" i="3"/>
  <c r="C61" i="3"/>
  <c r="P61" i="3"/>
  <c r="D62" i="3"/>
  <c r="Q62" i="3"/>
  <c r="N63" i="3"/>
  <c r="L64" i="3"/>
  <c r="Y64" i="3"/>
  <c r="L4" i="3"/>
  <c r="K7" i="3"/>
  <c r="K9" i="3"/>
  <c r="L14" i="3"/>
  <c r="P17" i="3"/>
  <c r="C19" i="3"/>
  <c r="D22" i="3"/>
  <c r="Q23" i="3"/>
  <c r="P27" i="3"/>
  <c r="P30" i="3"/>
  <c r="F32" i="3"/>
  <c r="P33" i="3"/>
  <c r="D35" i="3"/>
  <c r="Q36" i="3"/>
  <c r="N37" i="3"/>
  <c r="K39" i="3"/>
  <c r="M40" i="3"/>
  <c r="L41" i="3"/>
  <c r="C42" i="3"/>
  <c r="P42" i="3"/>
  <c r="K43" i="3"/>
  <c r="D45" i="3"/>
  <c r="Q45" i="3"/>
  <c r="F46" i="3"/>
  <c r="C47" i="3"/>
  <c r="O47" i="3"/>
  <c r="K48" i="3"/>
  <c r="N49" i="3"/>
  <c r="C50" i="3"/>
  <c r="P50" i="3"/>
  <c r="F51" i="3"/>
  <c r="Q52" i="3"/>
  <c r="Y52" i="3"/>
  <c r="C53" i="3"/>
  <c r="P53" i="3"/>
  <c r="C54" i="3"/>
  <c r="O54" i="3"/>
  <c r="K55" i="3"/>
  <c r="M56" i="3"/>
  <c r="N57" i="3"/>
  <c r="D58" i="3"/>
  <c r="Q58" i="3"/>
  <c r="C59" i="3"/>
  <c r="P59" i="3"/>
  <c r="O11" i="3"/>
  <c r="D16" i="3"/>
  <c r="P19" i="3"/>
  <c r="Q22" i="3"/>
  <c r="L24" i="3"/>
  <c r="K26" i="3"/>
  <c r="N29" i="3"/>
  <c r="C34" i="3"/>
  <c r="Q35" i="3"/>
  <c r="C38" i="3"/>
  <c r="N39" i="3"/>
  <c r="D40" i="3"/>
  <c r="P40" i="3"/>
  <c r="Y40" i="3"/>
  <c r="D41" i="3"/>
  <c r="O41" i="3"/>
  <c r="K42" i="3"/>
  <c r="N43" i="3"/>
  <c r="M44" i="3"/>
  <c r="L45" i="3"/>
  <c r="M46" i="3"/>
  <c r="Y46" i="3"/>
  <c r="F47" i="3"/>
  <c r="N48" i="3"/>
  <c r="D49" i="3"/>
  <c r="Q49" i="3"/>
  <c r="K50" i="3"/>
  <c r="Y50" i="3"/>
  <c r="M51" i="3"/>
  <c r="Y51" i="3"/>
  <c r="L52" i="3"/>
  <c r="K53" i="3"/>
  <c r="N55" i="3"/>
  <c r="C56" i="3"/>
  <c r="P56" i="3"/>
  <c r="Y56" i="3"/>
  <c r="D57" i="3"/>
  <c r="Q57" i="3"/>
  <c r="L58" i="3"/>
  <c r="K59" i="3"/>
  <c r="M60" i="3"/>
  <c r="L61" i="3"/>
  <c r="Y61" i="3"/>
  <c r="M62" i="3"/>
  <c r="F63" i="3"/>
  <c r="C64" i="3"/>
  <c r="P64" i="3"/>
  <c r="M4" i="3"/>
  <c r="Q17" i="3"/>
  <c r="Y23" i="3"/>
  <c r="Q30" i="3"/>
  <c r="L39" i="3"/>
  <c r="Q42" i="3"/>
  <c r="P47" i="3"/>
  <c r="K51" i="3"/>
  <c r="P54" i="3"/>
  <c r="O57" i="3"/>
  <c r="Q59" i="3"/>
  <c r="F62" i="3"/>
  <c r="D63" i="3"/>
  <c r="N64" i="3"/>
  <c r="C65" i="3"/>
  <c r="P65" i="3"/>
  <c r="Y65" i="3"/>
  <c r="F66" i="3"/>
  <c r="Y66" i="3"/>
  <c r="L67" i="3"/>
  <c r="K68" i="3"/>
  <c r="F69" i="3"/>
  <c r="M70" i="3"/>
  <c r="L71" i="3"/>
  <c r="Y71" i="3"/>
  <c r="L72" i="3"/>
  <c r="C73" i="3"/>
  <c r="P73" i="3"/>
  <c r="D74" i="3"/>
  <c r="Q74" i="3"/>
  <c r="M75" i="3"/>
  <c r="N76" i="3"/>
  <c r="M77" i="3"/>
  <c r="C78" i="3"/>
  <c r="P78" i="3"/>
  <c r="K79" i="3"/>
  <c r="C80" i="3"/>
  <c r="P80" i="3"/>
  <c r="K81" i="3"/>
  <c r="N82" i="3"/>
  <c r="M83" i="3"/>
  <c r="D84" i="3"/>
  <c r="O84" i="3"/>
  <c r="N85" i="3"/>
  <c r="C86" i="3"/>
  <c r="P86" i="3"/>
  <c r="C87" i="3"/>
  <c r="O87" i="3"/>
  <c r="N88" i="3"/>
  <c r="O89" i="3"/>
  <c r="C90" i="3"/>
  <c r="P90" i="3"/>
  <c r="N11" i="3"/>
  <c r="K24" i="3"/>
  <c r="Y30" i="3"/>
  <c r="M39" i="3"/>
  <c r="C41" i="3"/>
  <c r="Y42" i="3"/>
  <c r="Q47" i="3"/>
  <c r="C49" i="3"/>
  <c r="L51" i="3"/>
  <c r="Q54" i="3"/>
  <c r="P57" i="3"/>
  <c r="K62" i="3"/>
  <c r="O63" i="3"/>
  <c r="O64" i="3"/>
  <c r="D65" i="3"/>
  <c r="Q65" i="3"/>
  <c r="K66" i="3"/>
  <c r="M67" i="3"/>
  <c r="L68" i="3"/>
  <c r="K69" i="3"/>
  <c r="N70" i="3"/>
  <c r="M71" i="3"/>
  <c r="M72" i="3"/>
  <c r="D73" i="3"/>
  <c r="Q73" i="3"/>
  <c r="F74" i="3"/>
  <c r="N75" i="3"/>
  <c r="C76" i="3"/>
  <c r="O76" i="3"/>
  <c r="N77" i="3"/>
  <c r="D78" i="3"/>
  <c r="Q78" i="3"/>
  <c r="L79" i="3"/>
  <c r="D80" i="3"/>
  <c r="Q80" i="3"/>
  <c r="L81" i="3"/>
  <c r="O82" i="3"/>
  <c r="N83" i="3"/>
  <c r="F84" i="3"/>
  <c r="P84" i="3"/>
  <c r="O85" i="3"/>
  <c r="D86" i="3"/>
  <c r="Q86" i="3"/>
  <c r="D87" i="3"/>
  <c r="P87" i="3"/>
  <c r="C88" i="3"/>
  <c r="O88" i="3"/>
  <c r="C89" i="3"/>
  <c r="P89" i="3"/>
  <c r="D90" i="3"/>
  <c r="Q90" i="3"/>
  <c r="M91" i="3"/>
  <c r="D19" i="3"/>
  <c r="K32" i="3"/>
  <c r="M41" i="3"/>
  <c r="L43" i="3"/>
  <c r="K46" i="3"/>
  <c r="O49" i="3"/>
  <c r="D53" i="3"/>
  <c r="N56" i="3"/>
  <c r="F58" i="3"/>
  <c r="D61" i="3"/>
  <c r="L62" i="3"/>
  <c r="P63" i="3"/>
  <c r="Q64" i="3"/>
  <c r="F65" i="3"/>
  <c r="L66" i="3"/>
  <c r="N67" i="3"/>
  <c r="C68" i="3"/>
  <c r="M68" i="3"/>
  <c r="L69" i="3"/>
  <c r="O70" i="3"/>
  <c r="Y70" i="3"/>
  <c r="N71" i="3"/>
  <c r="N72" i="3"/>
  <c r="Y72" i="3"/>
  <c r="F73" i="3"/>
  <c r="K74" i="3"/>
  <c r="O75" i="3"/>
  <c r="D76" i="3"/>
  <c r="P76" i="3"/>
  <c r="O77" i="3"/>
  <c r="F78" i="3"/>
  <c r="M79" i="3"/>
  <c r="F80" i="3"/>
  <c r="Y80" i="3"/>
  <c r="M81" i="3"/>
  <c r="C82" i="3"/>
  <c r="P82" i="3"/>
  <c r="C83" i="3"/>
  <c r="O83" i="3"/>
  <c r="Y83" i="3"/>
  <c r="Q84" i="3"/>
  <c r="Y84" i="3"/>
  <c r="C85" i="3"/>
  <c r="P85" i="3"/>
  <c r="F86" i="3"/>
  <c r="Q87" i="3"/>
  <c r="Y87" i="3"/>
  <c r="D88" i="3"/>
  <c r="P88" i="3"/>
  <c r="Y88" i="3"/>
  <c r="D89" i="3"/>
  <c r="Q89" i="3"/>
  <c r="F90" i="3"/>
  <c r="O19" i="3"/>
  <c r="F26" i="3"/>
  <c r="C40" i="3"/>
  <c r="N41" i="3"/>
  <c r="M43" i="3"/>
  <c r="L46" i="3"/>
  <c r="P49" i="3"/>
  <c r="F53" i="3"/>
  <c r="O56" i="3"/>
  <c r="K58" i="3"/>
  <c r="F61" i="3"/>
  <c r="Q63" i="3"/>
  <c r="K65" i="3"/>
  <c r="M66" i="3"/>
  <c r="O67" i="3"/>
  <c r="D68" i="3"/>
  <c r="N68" i="3"/>
  <c r="M69" i="3"/>
  <c r="C70" i="3"/>
  <c r="P70" i="3"/>
  <c r="O71" i="3"/>
  <c r="O72" i="3"/>
  <c r="K73" i="3"/>
  <c r="Y73" i="3"/>
  <c r="L74" i="3"/>
  <c r="C75" i="3"/>
  <c r="P75" i="3"/>
  <c r="Q76" i="3"/>
  <c r="Y76" i="3"/>
  <c r="C77" i="3"/>
  <c r="P77" i="3"/>
  <c r="K78" i="3"/>
  <c r="N79" i="3"/>
  <c r="Y79" i="3"/>
  <c r="K80" i="3"/>
  <c r="N81" i="3"/>
  <c r="D82" i="3"/>
  <c r="Q82" i="3"/>
  <c r="D83" i="3"/>
  <c r="P83" i="3"/>
  <c r="D85" i="3"/>
  <c r="Q85" i="3"/>
  <c r="K86" i="3"/>
  <c r="F87" i="3"/>
  <c r="F88" i="3"/>
  <c r="Q88" i="3"/>
  <c r="F89" i="3"/>
  <c r="K90" i="3"/>
  <c r="L7" i="3"/>
  <c r="M14" i="3"/>
  <c r="Q27" i="3"/>
  <c r="N40" i="3"/>
  <c r="Y43" i="3"/>
  <c r="F45" i="3"/>
  <c r="L48" i="3"/>
  <c r="D50" i="3"/>
  <c r="Q53" i="3"/>
  <c r="L55" i="3"/>
  <c r="K60" i="3"/>
  <c r="K61" i="3"/>
  <c r="L65" i="3"/>
  <c r="N66" i="3"/>
  <c r="C67" i="3"/>
  <c r="P67" i="3"/>
  <c r="Y67" i="3"/>
  <c r="F68" i="3"/>
  <c r="O68" i="3"/>
  <c r="N69" i="3"/>
  <c r="D70" i="3"/>
  <c r="Q70" i="3"/>
  <c r="C71" i="3"/>
  <c r="P71" i="3"/>
  <c r="C72" i="3"/>
  <c r="P72" i="3"/>
  <c r="L73" i="3"/>
  <c r="M74" i="3"/>
  <c r="D75" i="3"/>
  <c r="Q75" i="3"/>
  <c r="F76" i="3"/>
  <c r="D77" i="3"/>
  <c r="Q77" i="3"/>
  <c r="L78" i="3"/>
  <c r="C79" i="3"/>
  <c r="O79" i="3"/>
  <c r="L80" i="3"/>
  <c r="O81" i="3"/>
  <c r="F82" i="3"/>
  <c r="F83" i="3"/>
  <c r="Q83" i="3"/>
  <c r="K84" i="3"/>
  <c r="F85" i="3"/>
  <c r="L86" i="3"/>
  <c r="K87" i="3"/>
  <c r="K89" i="3"/>
  <c r="L90" i="3"/>
  <c r="Y9" i="3"/>
  <c r="C16" i="3"/>
  <c r="P22" i="3"/>
  <c r="M29" i="3"/>
  <c r="P35" i="3"/>
  <c r="F42" i="3"/>
  <c r="L44" i="3"/>
  <c r="F54" i="3"/>
  <c r="C57" i="3"/>
  <c r="F59" i="3"/>
  <c r="C63" i="3"/>
  <c r="M64" i="3"/>
  <c r="O65" i="3"/>
  <c r="D66" i="3"/>
  <c r="Q66" i="3"/>
  <c r="K67" i="3"/>
  <c r="D69" i="3"/>
  <c r="Q69" i="3"/>
  <c r="L70" i="3"/>
  <c r="K71" i="3"/>
  <c r="K72" i="3"/>
  <c r="O73" i="3"/>
  <c r="C74" i="3"/>
  <c r="P74" i="3"/>
  <c r="L75" i="3"/>
  <c r="M76" i="3"/>
  <c r="L77" i="3"/>
  <c r="O78" i="3"/>
  <c r="O80" i="3"/>
  <c r="F81" i="3"/>
  <c r="M82" i="3"/>
  <c r="Y82" i="3"/>
  <c r="L83" i="3"/>
  <c r="C84" i="3"/>
  <c r="N84" i="3"/>
  <c r="M85" i="3"/>
  <c r="O86" i="3"/>
  <c r="N87" i="3"/>
  <c r="M88" i="3"/>
  <c r="N89" i="3"/>
  <c r="O90" i="3"/>
  <c r="F50" i="3"/>
  <c r="Q67" i="3"/>
  <c r="F70" i="3"/>
  <c r="D72" i="3"/>
  <c r="F77" i="3"/>
  <c r="D79" i="3"/>
  <c r="C81" i="3"/>
  <c r="L84" i="3"/>
  <c r="Y90" i="3"/>
  <c r="N92" i="3"/>
  <c r="C93" i="3"/>
  <c r="P93" i="3"/>
  <c r="C94" i="3"/>
  <c r="P94" i="3"/>
  <c r="K95" i="3"/>
  <c r="D96" i="3"/>
  <c r="P96" i="3"/>
  <c r="Y96" i="3"/>
  <c r="C97" i="3"/>
  <c r="N97" i="3"/>
  <c r="M98" i="3"/>
  <c r="K99" i="3"/>
  <c r="L100" i="3"/>
  <c r="Y100" i="3"/>
  <c r="M101" i="3"/>
  <c r="L102" i="3"/>
  <c r="O103" i="3"/>
  <c r="D104" i="3"/>
  <c r="P104" i="3"/>
  <c r="Y104" i="3"/>
  <c r="C105" i="3"/>
  <c r="O105" i="3"/>
  <c r="N106" i="3"/>
  <c r="F107" i="3"/>
  <c r="D108" i="3"/>
  <c r="Q108" i="3"/>
  <c r="K109" i="3"/>
  <c r="N110" i="3"/>
  <c r="K111" i="3"/>
  <c r="K112" i="3"/>
  <c r="M113" i="3"/>
  <c r="L114" i="3"/>
  <c r="C115" i="3"/>
  <c r="P115" i="3"/>
  <c r="F116" i="3"/>
  <c r="Q116" i="3"/>
  <c r="K117" i="3"/>
  <c r="F118" i="3"/>
  <c r="L9" i="3"/>
  <c r="F35" i="3"/>
  <c r="K44" i="3"/>
  <c r="Q50" i="3"/>
  <c r="Y68" i="3"/>
  <c r="K70" i="3"/>
  <c r="F72" i="3"/>
  <c r="Y75" i="3"/>
  <c r="K77" i="3"/>
  <c r="F79" i="3"/>
  <c r="D81" i="3"/>
  <c r="M84" i="3"/>
  <c r="Y85" i="3"/>
  <c r="K91" i="3"/>
  <c r="O92" i="3"/>
  <c r="D93" i="3"/>
  <c r="Q93" i="3"/>
  <c r="D94" i="3"/>
  <c r="Q94" i="3"/>
  <c r="L95" i="3"/>
  <c r="F96" i="3"/>
  <c r="Q96" i="3"/>
  <c r="D97" i="3"/>
  <c r="O97" i="3"/>
  <c r="N98" i="3"/>
  <c r="Y98" i="3"/>
  <c r="L99" i="3"/>
  <c r="M100" i="3"/>
  <c r="N101" i="3"/>
  <c r="M102" i="3"/>
  <c r="C103" i="3"/>
  <c r="P103" i="3"/>
  <c r="Q104" i="3"/>
  <c r="D105" i="3"/>
  <c r="P105" i="3"/>
  <c r="O106" i="3"/>
  <c r="K107" i="3"/>
  <c r="F108" i="3"/>
  <c r="Y108" i="3"/>
  <c r="L109" i="3"/>
  <c r="O110" i="3"/>
  <c r="L111" i="3"/>
  <c r="Y111" i="3"/>
  <c r="L112" i="3"/>
  <c r="N113" i="3"/>
  <c r="M114" i="3"/>
  <c r="D115" i="3"/>
  <c r="Q115" i="3"/>
  <c r="L117" i="3"/>
  <c r="K118" i="3"/>
  <c r="K45" i="3"/>
  <c r="K52" i="3"/>
  <c r="Q72" i="3"/>
  <c r="N74" i="3"/>
  <c r="K76" i="3"/>
  <c r="P79" i="3"/>
  <c r="P81" i="3"/>
  <c r="M86" i="3"/>
  <c r="L89" i="3"/>
  <c r="L91" i="3"/>
  <c r="C92" i="3"/>
  <c r="P92" i="3"/>
  <c r="F93" i="3"/>
  <c r="F94" i="3"/>
  <c r="M95" i="3"/>
  <c r="Y95" i="3"/>
  <c r="P97" i="3"/>
  <c r="O98" i="3"/>
  <c r="M99" i="3"/>
  <c r="Y99" i="3"/>
  <c r="N100" i="3"/>
  <c r="O101" i="3"/>
  <c r="N102" i="3"/>
  <c r="D103" i="3"/>
  <c r="Q103" i="3"/>
  <c r="F104" i="3"/>
  <c r="Q105" i="3"/>
  <c r="Y105" i="3"/>
  <c r="C106" i="3"/>
  <c r="P106" i="3"/>
  <c r="L107" i="3"/>
  <c r="Y107" i="3"/>
  <c r="K108" i="3"/>
  <c r="M109" i="3"/>
  <c r="C110" i="3"/>
  <c r="P110" i="3"/>
  <c r="M111" i="3"/>
  <c r="M112" i="3"/>
  <c r="C113" i="3"/>
  <c r="O113" i="3"/>
  <c r="N114" i="3"/>
  <c r="F115" i="3"/>
  <c r="K116" i="3"/>
  <c r="M117" i="3"/>
  <c r="L118" i="3"/>
  <c r="D59" i="3"/>
  <c r="C66" i="3"/>
  <c r="C69" i="3"/>
  <c r="O74" i="3"/>
  <c r="L76" i="3"/>
  <c r="Y77" i="3"/>
  <c r="Q79" i="3"/>
  <c r="Q81" i="3"/>
  <c r="K83" i="3"/>
  <c r="N86" i="3"/>
  <c r="M89" i="3"/>
  <c r="N91" i="3"/>
  <c r="D92" i="3"/>
  <c r="Q92" i="3"/>
  <c r="K93" i="3"/>
  <c r="K94" i="3"/>
  <c r="N95" i="3"/>
  <c r="K96" i="3"/>
  <c r="F97" i="3"/>
  <c r="Q97" i="3"/>
  <c r="Y97" i="3"/>
  <c r="C98" i="3"/>
  <c r="P98" i="3"/>
  <c r="N99" i="3"/>
  <c r="O100" i="3"/>
  <c r="C101" i="3"/>
  <c r="P101" i="3"/>
  <c r="C102" i="3"/>
  <c r="O102" i="3"/>
  <c r="Y102" i="3"/>
  <c r="F103" i="3"/>
  <c r="Y103" i="3"/>
  <c r="K104" i="3"/>
  <c r="F105" i="3"/>
  <c r="D106" i="3"/>
  <c r="Q106" i="3"/>
  <c r="M107" i="3"/>
  <c r="L108" i="3"/>
  <c r="N109" i="3"/>
  <c r="D110" i="3"/>
  <c r="Q110" i="3"/>
  <c r="N111" i="3"/>
  <c r="N112" i="3"/>
  <c r="D113" i="3"/>
  <c r="P113" i="3"/>
  <c r="O114" i="3"/>
  <c r="K115" i="3"/>
  <c r="L116" i="3"/>
  <c r="N117" i="3"/>
  <c r="M118" i="3"/>
  <c r="Y118" i="3"/>
  <c r="O40" i="3"/>
  <c r="L60" i="3"/>
  <c r="O66" i="3"/>
  <c r="O69" i="3"/>
  <c r="D71" i="3"/>
  <c r="M78" i="3"/>
  <c r="Y81" i="3"/>
  <c r="K88" i="3"/>
  <c r="O91" i="3"/>
  <c r="F92" i="3"/>
  <c r="L93" i="3"/>
  <c r="Y93" i="3"/>
  <c r="L94" i="3"/>
  <c r="O95" i="3"/>
  <c r="L96" i="3"/>
  <c r="D98" i="3"/>
  <c r="Q98" i="3"/>
  <c r="O99" i="3"/>
  <c r="C100" i="3"/>
  <c r="P100" i="3"/>
  <c r="D101" i="3"/>
  <c r="Q101" i="3"/>
  <c r="D102" i="3"/>
  <c r="P102" i="3"/>
  <c r="K103" i="3"/>
  <c r="L104" i="3"/>
  <c r="K105" i="3"/>
  <c r="F106" i="3"/>
  <c r="N107" i="3"/>
  <c r="M108" i="3"/>
  <c r="O109" i="3"/>
  <c r="Y109" i="3"/>
  <c r="F110" i="3"/>
  <c r="Y110" i="3"/>
  <c r="O111" i="3"/>
  <c r="O112" i="3"/>
  <c r="Q113" i="3"/>
  <c r="Y113" i="3"/>
  <c r="C114" i="3"/>
  <c r="P114" i="3"/>
  <c r="L115" i="3"/>
  <c r="Y115" i="3"/>
  <c r="M116" i="3"/>
  <c r="C117" i="3"/>
  <c r="O117" i="3"/>
  <c r="N118" i="3"/>
  <c r="F22" i="3"/>
  <c r="D47" i="3"/>
  <c r="D54" i="3"/>
  <c r="P66" i="3"/>
  <c r="P69" i="3"/>
  <c r="F71" i="3"/>
  <c r="Y74" i="3"/>
  <c r="N78" i="3"/>
  <c r="Y86" i="3"/>
  <c r="L88" i="3"/>
  <c r="Y89" i="3"/>
  <c r="C91" i="3"/>
  <c r="P91" i="3"/>
  <c r="Y91" i="3"/>
  <c r="K92" i="3"/>
  <c r="Y92" i="3"/>
  <c r="M93" i="3"/>
  <c r="M94" i="3"/>
  <c r="C95" i="3"/>
  <c r="P95" i="3"/>
  <c r="M96" i="3"/>
  <c r="K97" i="3"/>
  <c r="F98" i="3"/>
  <c r="C99" i="3"/>
  <c r="P99" i="3"/>
  <c r="D100" i="3"/>
  <c r="Q100" i="3"/>
  <c r="F101" i="3"/>
  <c r="Y101" i="3"/>
  <c r="F102" i="3"/>
  <c r="Q102" i="3"/>
  <c r="L103" i="3"/>
  <c r="M104" i="3"/>
  <c r="L105" i="3"/>
  <c r="K106" i="3"/>
  <c r="Y106" i="3"/>
  <c r="O107" i="3"/>
  <c r="N108" i="3"/>
  <c r="C109" i="3"/>
  <c r="P109" i="3"/>
  <c r="K110" i="3"/>
  <c r="C111" i="3"/>
  <c r="P111" i="3"/>
  <c r="C112" i="3"/>
  <c r="P112" i="3"/>
  <c r="F113" i="3"/>
  <c r="D114" i="3"/>
  <c r="Q114" i="3"/>
  <c r="M115" i="3"/>
  <c r="N116" i="3"/>
  <c r="D117" i="3"/>
  <c r="P117" i="3"/>
  <c r="O118" i="3"/>
  <c r="D28" i="3"/>
  <c r="Q61" i="3"/>
  <c r="Y69" i="3"/>
  <c r="M90" i="3"/>
  <c r="L92" i="3"/>
  <c r="N94" i="3"/>
  <c r="L97" i="3"/>
  <c r="N104" i="3"/>
  <c r="P107" i="3"/>
  <c r="Q109" i="3"/>
  <c r="Q111" i="3"/>
  <c r="N115" i="3"/>
  <c r="P118" i="3"/>
  <c r="C119" i="3"/>
  <c r="O119" i="3"/>
  <c r="K121" i="3"/>
  <c r="L122" i="3"/>
  <c r="Y122" i="3"/>
  <c r="O123" i="3"/>
  <c r="D124" i="3"/>
  <c r="P124" i="3"/>
  <c r="F125" i="3"/>
  <c r="D126" i="3"/>
  <c r="Q126" i="3"/>
  <c r="N127" i="3"/>
  <c r="Y127" i="3"/>
  <c r="F128" i="3"/>
  <c r="Q128" i="3"/>
  <c r="F129" i="3"/>
  <c r="N130" i="3"/>
  <c r="F131" i="3"/>
  <c r="Y131" i="3"/>
  <c r="M132" i="3"/>
  <c r="C133" i="3"/>
  <c r="O133" i="3"/>
  <c r="N134" i="3"/>
  <c r="L135" i="3"/>
  <c r="C136" i="3"/>
  <c r="O136" i="3"/>
  <c r="C137" i="3"/>
  <c r="P137" i="3"/>
  <c r="F138" i="3"/>
  <c r="L139" i="3"/>
  <c r="M140" i="3"/>
  <c r="N141" i="3"/>
  <c r="M142" i="3"/>
  <c r="N143" i="3"/>
  <c r="K144" i="3"/>
  <c r="L145" i="3"/>
  <c r="N146" i="3"/>
  <c r="N90" i="3"/>
  <c r="M92" i="3"/>
  <c r="O94" i="3"/>
  <c r="C96" i="3"/>
  <c r="M97" i="3"/>
  <c r="O104" i="3"/>
  <c r="Q107" i="3"/>
  <c r="O115" i="3"/>
  <c r="F117" i="3"/>
  <c r="Q118" i="3"/>
  <c r="D119" i="3"/>
  <c r="P119" i="3"/>
  <c r="K120" i="3"/>
  <c r="L121" i="3"/>
  <c r="Y121" i="3"/>
  <c r="M122" i="3"/>
  <c r="C123" i="3"/>
  <c r="P123" i="3"/>
  <c r="F124" i="3"/>
  <c r="Q124" i="3"/>
  <c r="K125" i="3"/>
  <c r="F126" i="3"/>
  <c r="C127" i="3"/>
  <c r="O127" i="3"/>
  <c r="K129" i="3"/>
  <c r="Y129" i="3"/>
  <c r="O130" i="3"/>
  <c r="K131" i="3"/>
  <c r="N132" i="3"/>
  <c r="D133" i="3"/>
  <c r="P133" i="3"/>
  <c r="O134" i="3"/>
  <c r="M135" i="3"/>
  <c r="D136" i="3"/>
  <c r="P136" i="3"/>
  <c r="Y136" i="3"/>
  <c r="D137" i="3"/>
  <c r="Q137" i="3"/>
  <c r="K138" i="3"/>
  <c r="M139" i="3"/>
  <c r="N140" i="3"/>
  <c r="C141" i="3"/>
  <c r="O141" i="3"/>
  <c r="N142" i="3"/>
  <c r="Y142" i="3"/>
  <c r="Y41" i="3"/>
  <c r="M65" i="3"/>
  <c r="Q71" i="3"/>
  <c r="Y78" i="3"/>
  <c r="K85" i="3"/>
  <c r="D91" i="3"/>
  <c r="N96" i="3"/>
  <c r="D99" i="3"/>
  <c r="K101" i="3"/>
  <c r="D112" i="3"/>
  <c r="C116" i="3"/>
  <c r="Q117" i="3"/>
  <c r="Q119" i="3"/>
  <c r="L120" i="3"/>
  <c r="M121" i="3"/>
  <c r="N122" i="3"/>
  <c r="D123" i="3"/>
  <c r="Q123" i="3"/>
  <c r="L125" i="3"/>
  <c r="K126" i="3"/>
  <c r="D127" i="3"/>
  <c r="P127" i="3"/>
  <c r="K128" i="3"/>
  <c r="L129" i="3"/>
  <c r="C130" i="3"/>
  <c r="P130" i="3"/>
  <c r="L131" i="3"/>
  <c r="C132" i="3"/>
  <c r="O132" i="3"/>
  <c r="Y132" i="3"/>
  <c r="Q133" i="3"/>
  <c r="Y133" i="3"/>
  <c r="C134" i="3"/>
  <c r="P134" i="3"/>
  <c r="N135" i="3"/>
  <c r="Y135" i="3"/>
  <c r="F136" i="3"/>
  <c r="Q136" i="3"/>
  <c r="F137" i="3"/>
  <c r="Y137" i="3"/>
  <c r="L138" i="3"/>
  <c r="N139" i="3"/>
  <c r="O140" i="3"/>
  <c r="Y140" i="3"/>
  <c r="D141" i="3"/>
  <c r="P141" i="3"/>
  <c r="O142" i="3"/>
  <c r="C143" i="3"/>
  <c r="P143" i="3"/>
  <c r="M144" i="3"/>
  <c r="D42" i="3"/>
  <c r="N65" i="3"/>
  <c r="L85" i="3"/>
  <c r="F91" i="3"/>
  <c r="Y94" i="3"/>
  <c r="O96" i="3"/>
  <c r="F99" i="3"/>
  <c r="L101" i="3"/>
  <c r="C108" i="3"/>
  <c r="F112" i="3"/>
  <c r="D116" i="3"/>
  <c r="F119" i="3"/>
  <c r="M120" i="3"/>
  <c r="N121" i="3"/>
  <c r="O122" i="3"/>
  <c r="F123" i="3"/>
  <c r="Y123" i="3"/>
  <c r="K124" i="3"/>
  <c r="M125" i="3"/>
  <c r="L126" i="3"/>
  <c r="Q127" i="3"/>
  <c r="L128" i="3"/>
  <c r="M129" i="3"/>
  <c r="D130" i="3"/>
  <c r="Q130" i="3"/>
  <c r="M131" i="3"/>
  <c r="D132" i="3"/>
  <c r="P132" i="3"/>
  <c r="F133" i="3"/>
  <c r="D134" i="3"/>
  <c r="Q134" i="3"/>
  <c r="O135" i="3"/>
  <c r="K137" i="3"/>
  <c r="M138" i="3"/>
  <c r="Y138" i="3"/>
  <c r="O139" i="3"/>
  <c r="C140" i="3"/>
  <c r="P140" i="3"/>
  <c r="F141" i="3"/>
  <c r="Q141" i="3"/>
  <c r="Y141" i="3"/>
  <c r="C142" i="3"/>
  <c r="P142" i="3"/>
  <c r="D143" i="3"/>
  <c r="Q143" i="3"/>
  <c r="M48" i="3"/>
  <c r="D67" i="3"/>
  <c r="M73" i="3"/>
  <c r="M80" i="3"/>
  <c r="L87" i="3"/>
  <c r="Q91" i="3"/>
  <c r="N93" i="3"/>
  <c r="D95" i="3"/>
  <c r="Q99" i="3"/>
  <c r="M103" i="3"/>
  <c r="L106" i="3"/>
  <c r="O108" i="3"/>
  <c r="L110" i="3"/>
  <c r="Q112" i="3"/>
  <c r="F114" i="3"/>
  <c r="O116" i="3"/>
  <c r="Y117" i="3"/>
  <c r="K119" i="3"/>
  <c r="N120" i="3"/>
  <c r="O121" i="3"/>
  <c r="C122" i="3"/>
  <c r="P122" i="3"/>
  <c r="K123" i="3"/>
  <c r="L124" i="3"/>
  <c r="N125" i="3"/>
  <c r="M126" i="3"/>
  <c r="Y126" i="3"/>
  <c r="F127" i="3"/>
  <c r="M128" i="3"/>
  <c r="N129" i="3"/>
  <c r="F130" i="3"/>
  <c r="Y130" i="3"/>
  <c r="N131" i="3"/>
  <c r="F132" i="3"/>
  <c r="Q132" i="3"/>
  <c r="K133" i="3"/>
  <c r="F134" i="3"/>
  <c r="C135" i="3"/>
  <c r="P135" i="3"/>
  <c r="K136" i="3"/>
  <c r="L137" i="3"/>
  <c r="N138" i="3"/>
  <c r="C139" i="3"/>
  <c r="P139" i="3"/>
  <c r="D140" i="3"/>
  <c r="Q140" i="3"/>
  <c r="D142" i="3"/>
  <c r="Q142" i="3"/>
  <c r="F143" i="3"/>
  <c r="C144" i="3"/>
  <c r="O144" i="3"/>
  <c r="C145" i="3"/>
  <c r="P145" i="3"/>
  <c r="K75" i="3"/>
  <c r="K100" i="3"/>
  <c r="M105" i="3"/>
  <c r="M110" i="3"/>
  <c r="Y114" i="3"/>
  <c r="C120" i="3"/>
  <c r="F122" i="3"/>
  <c r="Y124" i="3"/>
  <c r="K130" i="3"/>
  <c r="Q131" i="3"/>
  <c r="Y134" i="3"/>
  <c r="D138" i="3"/>
  <c r="Y139" i="3"/>
  <c r="Y143" i="3"/>
  <c r="P144" i="3"/>
  <c r="Q145" i="3"/>
  <c r="L146" i="3"/>
  <c r="L147" i="3"/>
  <c r="O148" i="3"/>
  <c r="Q149" i="3"/>
  <c r="Y149" i="3"/>
  <c r="C150" i="3"/>
  <c r="P150" i="3"/>
  <c r="M151" i="3"/>
  <c r="Y151" i="3"/>
  <c r="K152" i="3"/>
  <c r="D153" i="3"/>
  <c r="Q153" i="3"/>
  <c r="N154" i="3"/>
  <c r="D155" i="3"/>
  <c r="Q155" i="3"/>
  <c r="M156" i="3"/>
  <c r="C157" i="3"/>
  <c r="O157" i="3"/>
  <c r="N158" i="3"/>
  <c r="Y158" i="3"/>
  <c r="N159" i="3"/>
  <c r="N160" i="3"/>
  <c r="K161" i="3"/>
  <c r="O162" i="3"/>
  <c r="K163" i="3"/>
  <c r="Y163" i="3"/>
  <c r="N164" i="3"/>
  <c r="D165" i="3"/>
  <c r="N165" i="3"/>
  <c r="M166" i="3"/>
  <c r="O167" i="3"/>
  <c r="Y167" i="3"/>
  <c r="K168" i="3"/>
  <c r="C169" i="3"/>
  <c r="P169" i="3"/>
  <c r="M170" i="3"/>
  <c r="O171" i="3"/>
  <c r="F172" i="3"/>
  <c r="Q172" i="3"/>
  <c r="F173" i="3"/>
  <c r="Q173" i="3"/>
  <c r="F174" i="3"/>
  <c r="L175" i="3"/>
  <c r="O176" i="3"/>
  <c r="D177" i="3"/>
  <c r="Q177" i="3"/>
  <c r="K178" i="3"/>
  <c r="F179" i="3"/>
  <c r="K180" i="3"/>
  <c r="L181" i="3"/>
  <c r="M182" i="3"/>
  <c r="Y182" i="3"/>
  <c r="K183" i="3"/>
  <c r="K184" i="3"/>
  <c r="K185" i="3"/>
  <c r="D187" i="3"/>
  <c r="Q187" i="3"/>
  <c r="C188" i="3"/>
  <c r="P188" i="3"/>
  <c r="D189" i="3"/>
  <c r="Q189" i="3"/>
  <c r="M190" i="3"/>
  <c r="O191" i="3"/>
  <c r="K192" i="3"/>
  <c r="N193" i="3"/>
  <c r="Q194" i="3"/>
  <c r="Y194" i="3"/>
  <c r="C195" i="3"/>
  <c r="P195" i="3"/>
  <c r="Y195" i="3"/>
  <c r="M196" i="3"/>
  <c r="F197" i="3"/>
  <c r="Y197" i="3"/>
  <c r="M198" i="3"/>
  <c r="F199" i="3"/>
  <c r="Y199" i="3"/>
  <c r="O200" i="3"/>
  <c r="N201" i="3"/>
  <c r="Q202" i="3"/>
  <c r="Y202" i="3"/>
  <c r="N203" i="3"/>
  <c r="F204" i="3"/>
  <c r="M55" i="3"/>
  <c r="N80" i="3"/>
  <c r="N105" i="3"/>
  <c r="D111" i="3"/>
  <c r="P116" i="3"/>
  <c r="D120" i="3"/>
  <c r="C121" i="3"/>
  <c r="K122" i="3"/>
  <c r="C125" i="3"/>
  <c r="Y125" i="3"/>
  <c r="Y128" i="3"/>
  <c r="L130" i="3"/>
  <c r="D135" i="3"/>
  <c r="O138" i="3"/>
  <c r="Q144" i="3"/>
  <c r="Y145" i="3"/>
  <c r="M146" i="3"/>
  <c r="M147" i="3"/>
  <c r="C148" i="3"/>
  <c r="P148" i="3"/>
  <c r="D150" i="3"/>
  <c r="Q150" i="3"/>
  <c r="N151" i="3"/>
  <c r="L152" i="3"/>
  <c r="F153" i="3"/>
  <c r="O154" i="3"/>
  <c r="F155" i="3"/>
  <c r="N156" i="3"/>
  <c r="D157" i="3"/>
  <c r="P157" i="3"/>
  <c r="O158" i="3"/>
  <c r="O159" i="3"/>
  <c r="O160" i="3"/>
  <c r="L161" i="3"/>
  <c r="C162" i="3"/>
  <c r="P162" i="3"/>
  <c r="Y162" i="3"/>
  <c r="L163" i="3"/>
  <c r="O164" i="3"/>
  <c r="O165" i="3"/>
  <c r="N166" i="3"/>
  <c r="Y166" i="3"/>
  <c r="C167" i="3"/>
  <c r="P167" i="3"/>
  <c r="L168" i="3"/>
  <c r="D169" i="3"/>
  <c r="Q169" i="3"/>
  <c r="N170" i="3"/>
  <c r="C171" i="3"/>
  <c r="P171" i="3"/>
  <c r="Y171" i="3"/>
  <c r="K174" i="3"/>
  <c r="M175" i="3"/>
  <c r="C176" i="3"/>
  <c r="P176" i="3"/>
  <c r="F177" i="3"/>
  <c r="L178" i="3"/>
  <c r="K179" i="3"/>
  <c r="L180" i="3"/>
  <c r="M181" i="3"/>
  <c r="N182" i="3"/>
  <c r="L183" i="3"/>
  <c r="L184" i="3"/>
  <c r="L185" i="3"/>
  <c r="K186" i="3"/>
  <c r="F187" i="3"/>
  <c r="D188" i="3"/>
  <c r="Q188" i="3"/>
  <c r="F189" i="3"/>
  <c r="N190" i="3"/>
  <c r="C191" i="3"/>
  <c r="P191" i="3"/>
  <c r="L192" i="3"/>
  <c r="O193" i="3"/>
  <c r="D195" i="3"/>
  <c r="Q195" i="3"/>
  <c r="N196" i="3"/>
  <c r="Y196" i="3"/>
  <c r="K197" i="3"/>
  <c r="N198" i="3"/>
  <c r="Y198" i="3"/>
  <c r="K199" i="3"/>
  <c r="C200" i="3"/>
  <c r="P200" i="3"/>
  <c r="O201" i="3"/>
  <c r="F202" i="3"/>
  <c r="C203" i="3"/>
  <c r="O203" i="3"/>
  <c r="Y203" i="3"/>
  <c r="K204" i="3"/>
  <c r="K82" i="3"/>
  <c r="O93" i="3"/>
  <c r="M106" i="3"/>
  <c r="F111" i="3"/>
  <c r="Y116" i="3"/>
  <c r="L119" i="3"/>
  <c r="F120" i="3"/>
  <c r="D121" i="3"/>
  <c r="Q122" i="3"/>
  <c r="C124" i="3"/>
  <c r="D125" i="3"/>
  <c r="C128" i="3"/>
  <c r="M130" i="3"/>
  <c r="K132" i="3"/>
  <c r="L133" i="3"/>
  <c r="F135" i="3"/>
  <c r="L136" i="3"/>
  <c r="P138" i="3"/>
  <c r="F140" i="3"/>
  <c r="K143" i="3"/>
  <c r="D145" i="3"/>
  <c r="O146" i="3"/>
  <c r="Y146" i="3"/>
  <c r="N147" i="3"/>
  <c r="D148" i="3"/>
  <c r="Q148" i="3"/>
  <c r="K149" i="3"/>
  <c r="F150" i="3"/>
  <c r="O151" i="3"/>
  <c r="M152" i="3"/>
  <c r="K153" i="3"/>
  <c r="C154" i="3"/>
  <c r="P154" i="3"/>
  <c r="K155" i="3"/>
  <c r="O156" i="3"/>
  <c r="F157" i="3"/>
  <c r="Q157" i="3"/>
  <c r="Y157" i="3"/>
  <c r="C158" i="3"/>
  <c r="P158" i="3"/>
  <c r="C159" i="3"/>
  <c r="P159" i="3"/>
  <c r="C160" i="3"/>
  <c r="P160" i="3"/>
  <c r="M161" i="3"/>
  <c r="D162" i="3"/>
  <c r="Q162" i="3"/>
  <c r="M163" i="3"/>
  <c r="C164" i="3"/>
  <c r="P164" i="3"/>
  <c r="Y164" i="3"/>
  <c r="F165" i="3"/>
  <c r="P165" i="3"/>
  <c r="O166" i="3"/>
  <c r="D167" i="3"/>
  <c r="Q167" i="3"/>
  <c r="M168" i="3"/>
  <c r="F169" i="3"/>
  <c r="O170" i="3"/>
  <c r="D171" i="3"/>
  <c r="Q171" i="3"/>
  <c r="K172" i="3"/>
  <c r="K173" i="3"/>
  <c r="L174" i="3"/>
  <c r="N175" i="3"/>
  <c r="D176" i="3"/>
  <c r="Q176" i="3"/>
  <c r="K177" i="3"/>
  <c r="M178" i="3"/>
  <c r="L179" i="3"/>
  <c r="Y179" i="3"/>
  <c r="M180" i="3"/>
  <c r="N181" i="3"/>
  <c r="O182" i="3"/>
  <c r="M183" i="3"/>
  <c r="Y183" i="3"/>
  <c r="M184" i="3"/>
  <c r="Y184" i="3"/>
  <c r="M185" i="3"/>
  <c r="Y185" i="3"/>
  <c r="L186" i="3"/>
  <c r="K187" i="3"/>
  <c r="Y187" i="3"/>
  <c r="F188" i="3"/>
  <c r="K189" i="3"/>
  <c r="O190" i="3"/>
  <c r="D191" i="3"/>
  <c r="Q191" i="3"/>
  <c r="M192" i="3"/>
  <c r="C193" i="3"/>
  <c r="P193" i="3"/>
  <c r="K194" i="3"/>
  <c r="F195" i="3"/>
  <c r="O196" i="3"/>
  <c r="L197" i="3"/>
  <c r="O198" i="3"/>
  <c r="L199" i="3"/>
  <c r="D200" i="3"/>
  <c r="Q200" i="3"/>
  <c r="C201" i="3"/>
  <c r="P201" i="3"/>
  <c r="K202" i="3"/>
  <c r="D203" i="3"/>
  <c r="P203" i="3"/>
  <c r="L204" i="3"/>
  <c r="F67" i="3"/>
  <c r="L82" i="3"/>
  <c r="K102" i="3"/>
  <c r="C107" i="3"/>
  <c r="Y112" i="3"/>
  <c r="M119" i="3"/>
  <c r="O120" i="3"/>
  <c r="F121" i="3"/>
  <c r="M124" i="3"/>
  <c r="K127" i="3"/>
  <c r="D128" i="3"/>
  <c r="C129" i="3"/>
  <c r="L132" i="3"/>
  <c r="M133" i="3"/>
  <c r="K134" i="3"/>
  <c r="K135" i="3"/>
  <c r="M136" i="3"/>
  <c r="M137" i="3"/>
  <c r="Q138" i="3"/>
  <c r="K140" i="3"/>
  <c r="K141" i="3"/>
  <c r="L143" i="3"/>
  <c r="D144" i="3"/>
  <c r="F145" i="3"/>
  <c r="P146" i="3"/>
  <c r="O147" i="3"/>
  <c r="Y147" i="3"/>
  <c r="F148" i="3"/>
  <c r="L149" i="3"/>
  <c r="K150" i="3"/>
  <c r="C151" i="3"/>
  <c r="P151" i="3"/>
  <c r="N152" i="3"/>
  <c r="L153" i="3"/>
  <c r="D154" i="3"/>
  <c r="Q154" i="3"/>
  <c r="L155" i="3"/>
  <c r="C156" i="3"/>
  <c r="P156" i="3"/>
  <c r="D158" i="3"/>
  <c r="Q158" i="3"/>
  <c r="D159" i="3"/>
  <c r="Q159" i="3"/>
  <c r="D160" i="3"/>
  <c r="Q160" i="3"/>
  <c r="N161" i="3"/>
  <c r="F162" i="3"/>
  <c r="N163" i="3"/>
  <c r="D164" i="3"/>
  <c r="Q164" i="3"/>
  <c r="Q165" i="3"/>
  <c r="Y165" i="3"/>
  <c r="C166" i="3"/>
  <c r="P166" i="3"/>
  <c r="F167" i="3"/>
  <c r="N168" i="3"/>
  <c r="K169" i="3"/>
  <c r="C170" i="3"/>
  <c r="P170" i="3"/>
  <c r="F171" i="3"/>
  <c r="L172" i="3"/>
  <c r="L173" i="3"/>
  <c r="M174" i="3"/>
  <c r="Y174" i="3"/>
  <c r="O175" i="3"/>
  <c r="F176" i="3"/>
  <c r="L177" i="3"/>
  <c r="C178" i="3"/>
  <c r="N178" i="3"/>
  <c r="M179" i="3"/>
  <c r="N180" i="3"/>
  <c r="C181" i="3"/>
  <c r="O181" i="3"/>
  <c r="C182" i="3"/>
  <c r="P182" i="3"/>
  <c r="N183" i="3"/>
  <c r="N184" i="3"/>
  <c r="N185" i="3"/>
  <c r="M186" i="3"/>
  <c r="L187" i="3"/>
  <c r="K188" i="3"/>
  <c r="L189" i="3"/>
  <c r="C190" i="3"/>
  <c r="P190" i="3"/>
  <c r="F191" i="3"/>
  <c r="N192" i="3"/>
  <c r="D193" i="3"/>
  <c r="Q193" i="3"/>
  <c r="L194" i="3"/>
  <c r="K195" i="3"/>
  <c r="C196" i="3"/>
  <c r="P196" i="3"/>
  <c r="M197" i="3"/>
  <c r="C198" i="3"/>
  <c r="P198" i="3"/>
  <c r="M199" i="3"/>
  <c r="F200" i="3"/>
  <c r="D201" i="3"/>
  <c r="Q201" i="3"/>
  <c r="L202" i="3"/>
  <c r="Q203" i="3"/>
  <c r="M204" i="3"/>
  <c r="P68" i="3"/>
  <c r="M87" i="3"/>
  <c r="K98" i="3"/>
  <c r="N103" i="3"/>
  <c r="D107" i="3"/>
  <c r="K113" i="3"/>
  <c r="N119" i="3"/>
  <c r="P120" i="3"/>
  <c r="P121" i="3"/>
  <c r="N124" i="3"/>
  <c r="O125" i="3"/>
  <c r="C126" i="3"/>
  <c r="L127" i="3"/>
  <c r="N128" i="3"/>
  <c r="D129" i="3"/>
  <c r="C131" i="3"/>
  <c r="N133" i="3"/>
  <c r="L134" i="3"/>
  <c r="Q135" i="3"/>
  <c r="N136" i="3"/>
  <c r="N137" i="3"/>
  <c r="D139" i="3"/>
  <c r="L140" i="3"/>
  <c r="L141" i="3"/>
  <c r="F142" i="3"/>
  <c r="M143" i="3"/>
  <c r="F144" i="3"/>
  <c r="K145" i="3"/>
  <c r="C146" i="3"/>
  <c r="Q146" i="3"/>
  <c r="C147" i="3"/>
  <c r="P147" i="3"/>
  <c r="K148" i="3"/>
  <c r="C149" i="3"/>
  <c r="M149" i="3"/>
  <c r="L150" i="3"/>
  <c r="D151" i="3"/>
  <c r="Q151" i="3"/>
  <c r="O152" i="3"/>
  <c r="M153" i="3"/>
  <c r="Y153" i="3"/>
  <c r="F154" i="3"/>
  <c r="M155" i="3"/>
  <c r="D156" i="3"/>
  <c r="Q156" i="3"/>
  <c r="K157" i="3"/>
  <c r="F158" i="3"/>
  <c r="F159" i="3"/>
  <c r="F160" i="3"/>
  <c r="O161" i="3"/>
  <c r="K162" i="3"/>
  <c r="O163" i="3"/>
  <c r="F164" i="3"/>
  <c r="D166" i="3"/>
  <c r="Q166" i="3"/>
  <c r="K167" i="3"/>
  <c r="O168" i="3"/>
  <c r="L169" i="3"/>
  <c r="D170" i="3"/>
  <c r="Q170" i="3"/>
  <c r="K171" i="3"/>
  <c r="M172" i="3"/>
  <c r="M173" i="3"/>
  <c r="N174" i="3"/>
  <c r="C175" i="3"/>
  <c r="P175" i="3"/>
  <c r="K176" i="3"/>
  <c r="M177" i="3"/>
  <c r="D178" i="3"/>
  <c r="O178" i="3"/>
  <c r="N179" i="3"/>
  <c r="C180" i="3"/>
  <c r="O180" i="3"/>
  <c r="Y180" i="3"/>
  <c r="D181" i="3"/>
  <c r="P181" i="3"/>
  <c r="Y181" i="3"/>
  <c r="D182" i="3"/>
  <c r="Q182" i="3"/>
  <c r="O183" i="3"/>
  <c r="O184" i="3"/>
  <c r="O185" i="3"/>
  <c r="C186" i="3"/>
  <c r="N186" i="3"/>
  <c r="M187" i="3"/>
  <c r="L188" i="3"/>
  <c r="M189" i="3"/>
  <c r="D190" i="3"/>
  <c r="Q190" i="3"/>
  <c r="K191" i="3"/>
  <c r="O192" i="3"/>
  <c r="F193" i="3"/>
  <c r="M194" i="3"/>
  <c r="L195" i="3"/>
  <c r="D196" i="3"/>
  <c r="Q196" i="3"/>
  <c r="N197" i="3"/>
  <c r="D198" i="3"/>
  <c r="Q198" i="3"/>
  <c r="N199" i="3"/>
  <c r="K200" i="3"/>
  <c r="F201" i="3"/>
  <c r="Y201" i="3"/>
  <c r="M202" i="3"/>
  <c r="F203" i="3"/>
  <c r="N204" i="3"/>
  <c r="Q68" i="3"/>
  <c r="D109" i="3"/>
  <c r="D122" i="3"/>
  <c r="Q125" i="3"/>
  <c r="O128" i="3"/>
  <c r="P131" i="3"/>
  <c r="O137" i="3"/>
  <c r="M145" i="3"/>
  <c r="D149" i="3"/>
  <c r="Y150" i="3"/>
  <c r="C152" i="3"/>
  <c r="C153" i="3"/>
  <c r="L154" i="3"/>
  <c r="K159" i="3"/>
  <c r="M160" i="3"/>
  <c r="Q161" i="3"/>
  <c r="C163" i="3"/>
  <c r="M164" i="3"/>
  <c r="L165" i="3"/>
  <c r="F166" i="3"/>
  <c r="D168" i="3"/>
  <c r="Y169" i="3"/>
  <c r="C172" i="3"/>
  <c r="C173" i="3"/>
  <c r="Y173" i="3"/>
  <c r="F175" i="3"/>
  <c r="Y176" i="3"/>
  <c r="Y178" i="3"/>
  <c r="D180" i="3"/>
  <c r="C183" i="3"/>
  <c r="F184" i="3"/>
  <c r="Q185" i="3"/>
  <c r="P187" i="3"/>
  <c r="F190" i="3"/>
  <c r="N191" i="3"/>
  <c r="Q192" i="3"/>
  <c r="C194" i="3"/>
  <c r="L198" i="3"/>
  <c r="P199" i="3"/>
  <c r="K201" i="3"/>
  <c r="P202" i="3"/>
  <c r="L203" i="3"/>
  <c r="O204" i="3"/>
  <c r="M205" i="3"/>
  <c r="N206" i="3"/>
  <c r="D207" i="3"/>
  <c r="Q207" i="3"/>
  <c r="M208" i="3"/>
  <c r="K209" i="3"/>
  <c r="F210" i="3"/>
  <c r="D211" i="3"/>
  <c r="P211" i="3"/>
  <c r="L212" i="3"/>
  <c r="D213" i="3"/>
  <c r="O213" i="3"/>
  <c r="C214" i="3"/>
  <c r="P214" i="3"/>
  <c r="L215" i="3"/>
  <c r="C216" i="3"/>
  <c r="P216" i="3"/>
  <c r="C217" i="3"/>
  <c r="N217" i="3"/>
  <c r="M218" i="3"/>
  <c r="Y218" i="3"/>
  <c r="K219" i="3"/>
  <c r="N220" i="3"/>
  <c r="Y220" i="3"/>
  <c r="K222" i="3"/>
  <c r="Y222" i="3"/>
  <c r="M223" i="3"/>
  <c r="C224" i="3"/>
  <c r="P224" i="3"/>
  <c r="C225" i="3"/>
  <c r="N225" i="3"/>
  <c r="M226" i="3"/>
  <c r="Y226" i="3"/>
  <c r="K227" i="3"/>
  <c r="N228" i="3"/>
  <c r="Y228" i="3"/>
  <c r="F229" i="3"/>
  <c r="Q229" i="3"/>
  <c r="F230" i="3"/>
  <c r="N231" i="3"/>
  <c r="D232" i="3"/>
  <c r="Q232" i="3"/>
  <c r="D233" i="3"/>
  <c r="O233" i="3"/>
  <c r="N234" i="3"/>
  <c r="K235" i="3"/>
  <c r="N73" i="3"/>
  <c r="L98" i="3"/>
  <c r="F109" i="3"/>
  <c r="L123" i="3"/>
  <c r="P128" i="3"/>
  <c r="M141" i="3"/>
  <c r="N145" i="3"/>
  <c r="D147" i="3"/>
  <c r="F149" i="3"/>
  <c r="D152" i="3"/>
  <c r="N153" i="3"/>
  <c r="M154" i="3"/>
  <c r="L157" i="3"/>
  <c r="L159" i="3"/>
  <c r="Y161" i="3"/>
  <c r="D163" i="3"/>
  <c r="M165" i="3"/>
  <c r="K166" i="3"/>
  <c r="L167" i="3"/>
  <c r="F168" i="3"/>
  <c r="L171" i="3"/>
  <c r="D172" i="3"/>
  <c r="D173" i="3"/>
  <c r="K175" i="3"/>
  <c r="F180" i="3"/>
  <c r="D183" i="3"/>
  <c r="P184" i="3"/>
  <c r="C189" i="3"/>
  <c r="K190" i="3"/>
  <c r="Y192" i="3"/>
  <c r="D194" i="3"/>
  <c r="C197" i="3"/>
  <c r="Q199" i="3"/>
  <c r="L201" i="3"/>
  <c r="M203" i="3"/>
  <c r="P204" i="3"/>
  <c r="N205" i="3"/>
  <c r="O206" i="3"/>
  <c r="F207" i="3"/>
  <c r="Y207" i="3"/>
  <c r="N208" i="3"/>
  <c r="L209" i="3"/>
  <c r="K210" i="3"/>
  <c r="Q211" i="3"/>
  <c r="M212" i="3"/>
  <c r="F213" i="3"/>
  <c r="P213" i="3"/>
  <c r="Y213" i="3"/>
  <c r="D214" i="3"/>
  <c r="Q214" i="3"/>
  <c r="M215" i="3"/>
  <c r="D216" i="3"/>
  <c r="Q216" i="3"/>
  <c r="D217" i="3"/>
  <c r="O217" i="3"/>
  <c r="N218" i="3"/>
  <c r="L219" i="3"/>
  <c r="O220" i="3"/>
  <c r="K221" i="3"/>
  <c r="L222" i="3"/>
  <c r="N223" i="3"/>
  <c r="D224" i="3"/>
  <c r="Q224" i="3"/>
  <c r="D225" i="3"/>
  <c r="O225" i="3"/>
  <c r="N226" i="3"/>
  <c r="L227" i="3"/>
  <c r="O228" i="3"/>
  <c r="F75" i="3"/>
  <c r="L113" i="3"/>
  <c r="Y119" i="3"/>
  <c r="M123" i="3"/>
  <c r="N126" i="3"/>
  <c r="C138" i="3"/>
  <c r="O145" i="3"/>
  <c r="F147" i="3"/>
  <c r="L148" i="3"/>
  <c r="F151" i="3"/>
  <c r="F152" i="3"/>
  <c r="O153" i="3"/>
  <c r="Y154" i="3"/>
  <c r="Y155" i="3"/>
  <c r="M157" i="3"/>
  <c r="K158" i="3"/>
  <c r="M159" i="3"/>
  <c r="L162" i="3"/>
  <c r="F163" i="3"/>
  <c r="L166" i="3"/>
  <c r="M167" i="3"/>
  <c r="P168" i="3"/>
  <c r="M171" i="3"/>
  <c r="N172" i="3"/>
  <c r="C174" i="3"/>
  <c r="Q175" i="3"/>
  <c r="C177" i="3"/>
  <c r="F178" i="3"/>
  <c r="F181" i="3"/>
  <c r="F182" i="3"/>
  <c r="F183" i="3"/>
  <c r="Q184" i="3"/>
  <c r="D186" i="3"/>
  <c r="Y186" i="3"/>
  <c r="N189" i="3"/>
  <c r="L190" i="3"/>
  <c r="K193" i="3"/>
  <c r="F194" i="3"/>
  <c r="F196" i="3"/>
  <c r="D197" i="3"/>
  <c r="L200" i="3"/>
  <c r="M201" i="3"/>
  <c r="Q204" i="3"/>
  <c r="C205" i="3"/>
  <c r="O205" i="3"/>
  <c r="C206" i="3"/>
  <c r="P206" i="3"/>
  <c r="K207" i="3"/>
  <c r="O208" i="3"/>
  <c r="M209" i="3"/>
  <c r="L210" i="3"/>
  <c r="F211" i="3"/>
  <c r="N212" i="3"/>
  <c r="Y212" i="3"/>
  <c r="Q213" i="3"/>
  <c r="F214" i="3"/>
  <c r="Y214" i="3"/>
  <c r="N215" i="3"/>
  <c r="F216" i="3"/>
  <c r="F217" i="3"/>
  <c r="P217" i="3"/>
  <c r="O218" i="3"/>
  <c r="M219" i="3"/>
  <c r="C220" i="3"/>
  <c r="P220" i="3"/>
  <c r="L221" i="3"/>
  <c r="M222" i="3"/>
  <c r="O223" i="3"/>
  <c r="F224" i="3"/>
  <c r="F225" i="3"/>
  <c r="P225" i="3"/>
  <c r="O226" i="3"/>
  <c r="M227" i="3"/>
  <c r="C228" i="3"/>
  <c r="P228" i="3"/>
  <c r="K229" i="3"/>
  <c r="F100" i="3"/>
  <c r="K114" i="3"/>
  <c r="Q120" i="3"/>
  <c r="N123" i="3"/>
  <c r="O126" i="3"/>
  <c r="O129" i="3"/>
  <c r="F139" i="3"/>
  <c r="L144" i="3"/>
  <c r="D146" i="3"/>
  <c r="K147" i="3"/>
  <c r="M148" i="3"/>
  <c r="N149" i="3"/>
  <c r="K151" i="3"/>
  <c r="P152" i="3"/>
  <c r="P153" i="3"/>
  <c r="F156" i="3"/>
  <c r="N157" i="3"/>
  <c r="L158" i="3"/>
  <c r="Y159" i="3"/>
  <c r="Y160" i="3"/>
  <c r="M162" i="3"/>
  <c r="P163" i="3"/>
  <c r="N167" i="3"/>
  <c r="Q168" i="3"/>
  <c r="F170" i="3"/>
  <c r="N171" i="3"/>
  <c r="O172" i="3"/>
  <c r="N173" i="3"/>
  <c r="D174" i="3"/>
  <c r="Y175" i="3"/>
  <c r="N177" i="3"/>
  <c r="C179" i="3"/>
  <c r="P180" i="3"/>
  <c r="K181" i="3"/>
  <c r="K182" i="3"/>
  <c r="P183" i="3"/>
  <c r="O189" i="3"/>
  <c r="Y191" i="3"/>
  <c r="L193" i="3"/>
  <c r="N194" i="3"/>
  <c r="K196" i="3"/>
  <c r="O197" i="3"/>
  <c r="M200" i="3"/>
  <c r="D205" i="3"/>
  <c r="P205" i="3"/>
  <c r="Y205" i="3"/>
  <c r="D206" i="3"/>
  <c r="Q206" i="3"/>
  <c r="L207" i="3"/>
  <c r="C208" i="3"/>
  <c r="P208" i="3"/>
  <c r="C209" i="3"/>
  <c r="N209" i="3"/>
  <c r="M210" i="3"/>
  <c r="Y210" i="3"/>
  <c r="K211" i="3"/>
  <c r="O212" i="3"/>
  <c r="K214" i="3"/>
  <c r="O215" i="3"/>
  <c r="K216" i="3"/>
  <c r="Q217" i="3"/>
  <c r="Y217" i="3"/>
  <c r="C218" i="3"/>
  <c r="P218" i="3"/>
  <c r="N219" i="3"/>
  <c r="D220" i="3"/>
  <c r="Q220" i="3"/>
  <c r="M221" i="3"/>
  <c r="N222" i="3"/>
  <c r="C223" i="3"/>
  <c r="P223" i="3"/>
  <c r="K224" i="3"/>
  <c r="Q225" i="3"/>
  <c r="Y225" i="3"/>
  <c r="C226" i="3"/>
  <c r="P226" i="3"/>
  <c r="N227" i="3"/>
  <c r="D228" i="3"/>
  <c r="Q228" i="3"/>
  <c r="L229" i="3"/>
  <c r="O124" i="3"/>
  <c r="P126" i="3"/>
  <c r="P129" i="3"/>
  <c r="K139" i="3"/>
  <c r="K142" i="3"/>
  <c r="N144" i="3"/>
  <c r="F146" i="3"/>
  <c r="Q147" i="3"/>
  <c r="N148" i="3"/>
  <c r="O149" i="3"/>
  <c r="M150" i="3"/>
  <c r="L151" i="3"/>
  <c r="Q152" i="3"/>
  <c r="C155" i="3"/>
  <c r="K156" i="3"/>
  <c r="M158" i="3"/>
  <c r="C161" i="3"/>
  <c r="N162" i="3"/>
  <c r="Q163" i="3"/>
  <c r="Y168" i="3"/>
  <c r="K170" i="3"/>
  <c r="P172" i="3"/>
  <c r="O173" i="3"/>
  <c r="O174" i="3"/>
  <c r="O177" i="3"/>
  <c r="P178" i="3"/>
  <c r="D179" i="3"/>
  <c r="Q180" i="3"/>
  <c r="Q181" i="3"/>
  <c r="L182" i="3"/>
  <c r="Q183" i="3"/>
  <c r="C185" i="3"/>
  <c r="F186" i="3"/>
  <c r="M188" i="3"/>
  <c r="P189" i="3"/>
  <c r="Y190" i="3"/>
  <c r="C192" i="3"/>
  <c r="M193" i="3"/>
  <c r="O194" i="3"/>
  <c r="M195" i="3"/>
  <c r="L196" i="3"/>
  <c r="P197" i="3"/>
  <c r="N200" i="3"/>
  <c r="C202" i="3"/>
  <c r="F205" i="3"/>
  <c r="Q205" i="3"/>
  <c r="F206" i="3"/>
  <c r="M207" i="3"/>
  <c r="D208" i="3"/>
  <c r="Q208" i="3"/>
  <c r="D209" i="3"/>
  <c r="O209" i="3"/>
  <c r="N210" i="3"/>
  <c r="L211" i="3"/>
  <c r="C212" i="3"/>
  <c r="P212" i="3"/>
  <c r="K213" i="3"/>
  <c r="L214" i="3"/>
  <c r="C215" i="3"/>
  <c r="P215" i="3"/>
  <c r="L216" i="3"/>
  <c r="Y216" i="3"/>
  <c r="D218" i="3"/>
  <c r="Q218" i="3"/>
  <c r="C219" i="3"/>
  <c r="O219" i="3"/>
  <c r="Y219" i="3"/>
  <c r="F220" i="3"/>
  <c r="N221" i="3"/>
  <c r="O222" i="3"/>
  <c r="D223" i="3"/>
  <c r="Q223" i="3"/>
  <c r="L224" i="3"/>
  <c r="Y224" i="3"/>
  <c r="D226" i="3"/>
  <c r="Q226" i="3"/>
  <c r="C227" i="3"/>
  <c r="O227" i="3"/>
  <c r="Y227" i="3"/>
  <c r="F228" i="3"/>
  <c r="M229" i="3"/>
  <c r="N230" i="3"/>
  <c r="F231" i="3"/>
  <c r="M232" i="3"/>
  <c r="K233" i="3"/>
  <c r="F234" i="3"/>
  <c r="C235" i="3"/>
  <c r="Q95" i="3"/>
  <c r="P108" i="3"/>
  <c r="P125" i="3"/>
  <c r="O131" i="3"/>
  <c r="M134" i="3"/>
  <c r="O143" i="3"/>
  <c r="K154" i="3"/>
  <c r="P155" i="3"/>
  <c r="Y156" i="3"/>
  <c r="L160" i="3"/>
  <c r="P161" i="3"/>
  <c r="L164" i="3"/>
  <c r="K165" i="3"/>
  <c r="C168" i="3"/>
  <c r="O169" i="3"/>
  <c r="Y170" i="3"/>
  <c r="D175" i="3"/>
  <c r="N176" i="3"/>
  <c r="Q179" i="3"/>
  <c r="D184" i="3"/>
  <c r="P185" i="3"/>
  <c r="Q186" i="3"/>
  <c r="O187" i="3"/>
  <c r="Y188" i="3"/>
  <c r="Y189" i="3"/>
  <c r="M191" i="3"/>
  <c r="P192" i="3"/>
  <c r="Y193" i="3"/>
  <c r="K198" i="3"/>
  <c r="O199" i="3"/>
  <c r="O202" i="3"/>
  <c r="K203" i="3"/>
  <c r="D204" i="3"/>
  <c r="L205" i="3"/>
  <c r="M206" i="3"/>
  <c r="C207" i="3"/>
  <c r="P207" i="3"/>
  <c r="L208" i="3"/>
  <c r="Y208" i="3"/>
  <c r="D210" i="3"/>
  <c r="Q210" i="3"/>
  <c r="C211" i="3"/>
  <c r="O211" i="3"/>
  <c r="Y211" i="3"/>
  <c r="K212" i="3"/>
  <c r="C213" i="3"/>
  <c r="N213" i="3"/>
  <c r="K146" i="3"/>
  <c r="N150" i="3"/>
  <c r="N155" i="3"/>
  <c r="M169" i="3"/>
  <c r="P173" i="3"/>
  <c r="Q178" i="3"/>
  <c r="C187" i="3"/>
  <c r="D192" i="3"/>
  <c r="D202" i="3"/>
  <c r="Y206" i="3"/>
  <c r="F209" i="3"/>
  <c r="O210" i="3"/>
  <c r="D212" i="3"/>
  <c r="D215" i="3"/>
  <c r="O216" i="3"/>
  <c r="N224" i="3"/>
  <c r="L226" i="3"/>
  <c r="Q227" i="3"/>
  <c r="P229" i="3"/>
  <c r="D230" i="3"/>
  <c r="C231" i="3"/>
  <c r="Y231" i="3"/>
  <c r="P232" i="3"/>
  <c r="P234" i="3"/>
  <c r="D235" i="3"/>
  <c r="Q235" i="3"/>
  <c r="L236" i="3"/>
  <c r="D237" i="3"/>
  <c r="P237" i="3"/>
  <c r="Y237" i="3"/>
  <c r="D238" i="3"/>
  <c r="Q238" i="3"/>
  <c r="K239" i="3"/>
  <c r="Y239" i="3"/>
  <c r="O240" i="3"/>
  <c r="C241" i="3"/>
  <c r="N241" i="3"/>
  <c r="M242" i="3"/>
  <c r="Y242" i="3"/>
  <c r="M244" i="3"/>
  <c r="Y244" i="3"/>
  <c r="N245" i="3"/>
  <c r="O246" i="3"/>
  <c r="M247" i="3"/>
  <c r="Y247" i="3"/>
  <c r="L248" i="3"/>
  <c r="Y248" i="3"/>
  <c r="Q249" i="3"/>
  <c r="Y249" i="3"/>
  <c r="C250" i="3"/>
  <c r="P250" i="3"/>
  <c r="F251" i="3"/>
  <c r="K252" i="3"/>
  <c r="D253" i="3"/>
  <c r="Q253" i="3"/>
  <c r="F254" i="3"/>
  <c r="L255" i="3"/>
  <c r="Y255" i="3"/>
  <c r="M256" i="3"/>
  <c r="D258" i="3"/>
  <c r="Q258" i="3"/>
  <c r="K259" i="3"/>
  <c r="L260" i="3"/>
  <c r="O261" i="3"/>
  <c r="M262" i="3"/>
  <c r="L263" i="3"/>
  <c r="D264" i="3"/>
  <c r="Q264" i="3"/>
  <c r="C265" i="3"/>
  <c r="N265" i="3"/>
  <c r="M266" i="3"/>
  <c r="L267" i="3"/>
  <c r="F268" i="3"/>
  <c r="M269" i="3"/>
  <c r="K270" i="3"/>
  <c r="Y270" i="3"/>
  <c r="L271" i="3"/>
  <c r="M272" i="3"/>
  <c r="Q273" i="3"/>
  <c r="Y273" i="3"/>
  <c r="C274" i="3"/>
  <c r="P274" i="3"/>
  <c r="F275" i="3"/>
  <c r="M276" i="3"/>
  <c r="Y276" i="3"/>
  <c r="D277" i="3"/>
  <c r="Q277" i="3"/>
  <c r="N278" i="3"/>
  <c r="C279" i="3"/>
  <c r="P279" i="3"/>
  <c r="N280" i="3"/>
  <c r="N281" i="3"/>
  <c r="M282" i="3"/>
  <c r="Y282" i="3"/>
  <c r="L283" i="3"/>
  <c r="F284" i="3"/>
  <c r="Q284" i="3"/>
  <c r="M285" i="3"/>
  <c r="D286" i="3"/>
  <c r="Q286" i="3"/>
  <c r="M287" i="3"/>
  <c r="F95" i="3"/>
  <c r="O150" i="3"/>
  <c r="O155" i="3"/>
  <c r="K160" i="3"/>
  <c r="C165" i="3"/>
  <c r="N169" i="3"/>
  <c r="N187" i="3"/>
  <c r="F192" i="3"/>
  <c r="N202" i="3"/>
  <c r="K205" i="3"/>
  <c r="P210" i="3"/>
  <c r="F212" i="3"/>
  <c r="F215" i="3"/>
  <c r="Y221" i="3"/>
  <c r="F223" i="3"/>
  <c r="O224" i="3"/>
  <c r="K230" i="3"/>
  <c r="D231" i="3"/>
  <c r="Q234" i="3"/>
  <c r="M236" i="3"/>
  <c r="F237" i="3"/>
  <c r="Q237" i="3"/>
  <c r="F238" i="3"/>
  <c r="L239" i="3"/>
  <c r="C240" i="3"/>
  <c r="P240" i="3"/>
  <c r="D241" i="3"/>
  <c r="O241" i="3"/>
  <c r="N242" i="3"/>
  <c r="K243" i="3"/>
  <c r="N244" i="3"/>
  <c r="O245" i="3"/>
  <c r="C246" i="3"/>
  <c r="P246" i="3"/>
  <c r="N247" i="3"/>
  <c r="M248" i="3"/>
  <c r="D250" i="3"/>
  <c r="Q250" i="3"/>
  <c r="K251" i="3"/>
  <c r="L252" i="3"/>
  <c r="F253" i="3"/>
  <c r="K254" i="3"/>
  <c r="Y254" i="3"/>
  <c r="M255" i="3"/>
  <c r="N256" i="3"/>
  <c r="Y256" i="3"/>
  <c r="K257" i="3"/>
  <c r="F258" i="3"/>
  <c r="L259" i="3"/>
  <c r="M260" i="3"/>
  <c r="C261" i="3"/>
  <c r="P261" i="3"/>
  <c r="N262" i="3"/>
  <c r="M263" i="3"/>
  <c r="F264" i="3"/>
  <c r="D265" i="3"/>
  <c r="O265" i="3"/>
  <c r="N266" i="3"/>
  <c r="Y266" i="3"/>
  <c r="M267" i="3"/>
  <c r="K268" i="3"/>
  <c r="N269" i="3"/>
  <c r="L270" i="3"/>
  <c r="M271" i="3"/>
  <c r="N272" i="3"/>
  <c r="D274" i="3"/>
  <c r="Q274" i="3"/>
  <c r="K275" i="3"/>
  <c r="N276" i="3"/>
  <c r="F277" i="3"/>
  <c r="O278" i="3"/>
  <c r="D279" i="3"/>
  <c r="Q279" i="3"/>
  <c r="O280" i="3"/>
  <c r="Y280" i="3"/>
  <c r="F281" i="3"/>
  <c r="O281" i="3"/>
  <c r="N282" i="3"/>
  <c r="M283" i="3"/>
  <c r="N285" i="3"/>
  <c r="Y285" i="3"/>
  <c r="F286" i="3"/>
  <c r="N287" i="3"/>
  <c r="L288" i="3"/>
  <c r="C104" i="3"/>
  <c r="M127" i="3"/>
  <c r="Q139" i="3"/>
  <c r="L156" i="3"/>
  <c r="D161" i="3"/>
  <c r="L170" i="3"/>
  <c r="P174" i="3"/>
  <c r="O179" i="3"/>
  <c r="N188" i="3"/>
  <c r="Q197" i="3"/>
  <c r="N207" i="3"/>
  <c r="P209" i="3"/>
  <c r="Q212" i="3"/>
  <c r="K215" i="3"/>
  <c r="C221" i="3"/>
  <c r="K223" i="3"/>
  <c r="L230" i="3"/>
  <c r="K231" i="3"/>
  <c r="C232" i="3"/>
  <c r="L233" i="3"/>
  <c r="C234" i="3"/>
  <c r="F235" i="3"/>
  <c r="N236" i="3"/>
  <c r="Y236" i="3"/>
  <c r="K238" i="3"/>
  <c r="M239" i="3"/>
  <c r="D240" i="3"/>
  <c r="Q240" i="3"/>
  <c r="F241" i="3"/>
  <c r="P241" i="3"/>
  <c r="O242" i="3"/>
  <c r="L243" i="3"/>
  <c r="O244" i="3"/>
  <c r="C245" i="3"/>
  <c r="P245" i="3"/>
  <c r="Y245" i="3"/>
  <c r="D246" i="3"/>
  <c r="Q246" i="3"/>
  <c r="O247" i="3"/>
  <c r="N248" i="3"/>
  <c r="K249" i="3"/>
  <c r="F250" i="3"/>
  <c r="L251" i="3"/>
  <c r="Y251" i="3"/>
  <c r="M252" i="3"/>
  <c r="K253" i="3"/>
  <c r="L254" i="3"/>
  <c r="N255" i="3"/>
  <c r="C256" i="3"/>
  <c r="O256" i="3"/>
  <c r="L257" i="3"/>
  <c r="K258" i="3"/>
  <c r="M259" i="3"/>
  <c r="C260" i="3"/>
  <c r="N260" i="3"/>
  <c r="D261" i="3"/>
  <c r="Q261" i="3"/>
  <c r="O262" i="3"/>
  <c r="N263" i="3"/>
  <c r="K264" i="3"/>
  <c r="Y264" i="3"/>
  <c r="F265" i="3"/>
  <c r="P265" i="3"/>
  <c r="O266" i="3"/>
  <c r="N267" i="3"/>
  <c r="L268" i="3"/>
  <c r="O269" i="3"/>
  <c r="M270" i="3"/>
  <c r="N271" i="3"/>
  <c r="O272" i="3"/>
  <c r="K273" i="3"/>
  <c r="F274" i="3"/>
  <c r="L275" i="3"/>
  <c r="O276" i="3"/>
  <c r="K277" i="3"/>
  <c r="C278" i="3"/>
  <c r="P278" i="3"/>
  <c r="F279" i="3"/>
  <c r="C280" i="3"/>
  <c r="P280" i="3"/>
  <c r="P281" i="3"/>
  <c r="O282" i="3"/>
  <c r="N283" i="3"/>
  <c r="K284" i="3"/>
  <c r="C285" i="3"/>
  <c r="O285" i="3"/>
  <c r="K286" i="3"/>
  <c r="O287" i="3"/>
  <c r="F161" i="3"/>
  <c r="Q174" i="3"/>
  <c r="P179" i="3"/>
  <c r="C184" i="3"/>
  <c r="O188" i="3"/>
  <c r="F198" i="3"/>
  <c r="O207" i="3"/>
  <c r="Q209" i="3"/>
  <c r="Q215" i="3"/>
  <c r="D219" i="3"/>
  <c r="D221" i="3"/>
  <c r="C222" i="3"/>
  <c r="L223" i="3"/>
  <c r="Y229" i="3"/>
  <c r="M230" i="3"/>
  <c r="L231" i="3"/>
  <c r="F232" i="3"/>
  <c r="Y232" i="3"/>
  <c r="M233" i="3"/>
  <c r="D234" i="3"/>
  <c r="L235" i="3"/>
  <c r="O236" i="3"/>
  <c r="K237" i="3"/>
  <c r="L238" i="3"/>
  <c r="Y238" i="3"/>
  <c r="N239" i="3"/>
  <c r="F240" i="3"/>
  <c r="Q241" i="3"/>
  <c r="Y241" i="3"/>
  <c r="C242" i="3"/>
  <c r="P242" i="3"/>
  <c r="M243" i="3"/>
  <c r="C244" i="3"/>
  <c r="P244" i="3"/>
  <c r="D245" i="3"/>
  <c r="Q245" i="3"/>
  <c r="F246" i="3"/>
  <c r="C247" i="3"/>
  <c r="P247" i="3"/>
  <c r="O248" i="3"/>
  <c r="L249" i="3"/>
  <c r="K250" i="3"/>
  <c r="Y250" i="3"/>
  <c r="M251" i="3"/>
  <c r="N252" i="3"/>
  <c r="Y252" i="3"/>
  <c r="L253" i="3"/>
  <c r="M254" i="3"/>
  <c r="O255" i="3"/>
  <c r="D256" i="3"/>
  <c r="P256" i="3"/>
  <c r="M257" i="3"/>
  <c r="L258" i="3"/>
  <c r="Y258" i="3"/>
  <c r="N259" i="3"/>
  <c r="D260" i="3"/>
  <c r="O260" i="3"/>
  <c r="Y260" i="3"/>
  <c r="F261" i="3"/>
  <c r="C262" i="3"/>
  <c r="P262" i="3"/>
  <c r="O263" i="3"/>
  <c r="L264" i="3"/>
  <c r="Q265" i="3"/>
  <c r="Y265" i="3"/>
  <c r="C266" i="3"/>
  <c r="P266" i="3"/>
  <c r="O267" i="3"/>
  <c r="Y267" i="3"/>
  <c r="M268" i="3"/>
  <c r="Y268" i="3"/>
  <c r="C269" i="3"/>
  <c r="P269" i="3"/>
  <c r="N270" i="3"/>
  <c r="O271" i="3"/>
  <c r="C272" i="3"/>
  <c r="P272" i="3"/>
  <c r="C273" i="3"/>
  <c r="L273" i="3"/>
  <c r="K274" i="3"/>
  <c r="M275" i="3"/>
  <c r="C276" i="3"/>
  <c r="P276" i="3"/>
  <c r="L277" i="3"/>
  <c r="Y277" i="3"/>
  <c r="D278" i="3"/>
  <c r="Q278" i="3"/>
  <c r="K279" i="3"/>
  <c r="D280" i="3"/>
  <c r="Q280" i="3"/>
  <c r="Q281" i="3"/>
  <c r="Y281" i="3"/>
  <c r="C282" i="3"/>
  <c r="P282" i="3"/>
  <c r="O283" i="3"/>
  <c r="Y283" i="3"/>
  <c r="L284" i="3"/>
  <c r="D285" i="3"/>
  <c r="P285" i="3"/>
  <c r="L286" i="3"/>
  <c r="Y286" i="3"/>
  <c r="C287" i="3"/>
  <c r="P287" i="3"/>
  <c r="C118" i="3"/>
  <c r="Q129" i="3"/>
  <c r="L142" i="3"/>
  <c r="L176" i="3"/>
  <c r="D185" i="3"/>
  <c r="P194" i="3"/>
  <c r="C199" i="3"/>
  <c r="F208" i="3"/>
  <c r="M211" i="3"/>
  <c r="Y215" i="3"/>
  <c r="K217" i="3"/>
  <c r="K220" i="3"/>
  <c r="F221" i="3"/>
  <c r="D222" i="3"/>
  <c r="Y223" i="3"/>
  <c r="D227" i="3"/>
  <c r="C229" i="3"/>
  <c r="O230" i="3"/>
  <c r="M231" i="3"/>
  <c r="K232" i="3"/>
  <c r="N233" i="3"/>
  <c r="Y233" i="3"/>
  <c r="K234" i="3"/>
  <c r="Y234" i="3"/>
  <c r="M235" i="3"/>
  <c r="C236" i="3"/>
  <c r="P236" i="3"/>
  <c r="L237" i="3"/>
  <c r="M238" i="3"/>
  <c r="O239" i="3"/>
  <c r="K240" i="3"/>
  <c r="D242" i="3"/>
  <c r="Q242" i="3"/>
  <c r="N243" i="3"/>
  <c r="D244" i="3"/>
  <c r="Q244" i="3"/>
  <c r="F245" i="3"/>
  <c r="K246" i="3"/>
  <c r="D247" i="3"/>
  <c r="Q247" i="3"/>
  <c r="C248" i="3"/>
  <c r="P248" i="3"/>
  <c r="M249" i="3"/>
  <c r="L250" i="3"/>
  <c r="N251" i="3"/>
  <c r="O252" i="3"/>
  <c r="M253" i="3"/>
  <c r="N254" i="3"/>
  <c r="C255" i="3"/>
  <c r="P255" i="3"/>
  <c r="Q256" i="3"/>
  <c r="N257" i="3"/>
  <c r="M258" i="3"/>
  <c r="O259" i="3"/>
  <c r="P260" i="3"/>
  <c r="K261" i="3"/>
  <c r="Y261" i="3"/>
  <c r="D262" i="3"/>
  <c r="Q262" i="3"/>
  <c r="C263" i="3"/>
  <c r="P263" i="3"/>
  <c r="M264" i="3"/>
  <c r="D266" i="3"/>
  <c r="Q266" i="3"/>
  <c r="C267" i="3"/>
  <c r="P267" i="3"/>
  <c r="N268" i="3"/>
  <c r="D269" i="3"/>
  <c r="Q269" i="3"/>
  <c r="O270" i="3"/>
  <c r="C271" i="3"/>
  <c r="P271" i="3"/>
  <c r="D272" i="3"/>
  <c r="Q272" i="3"/>
  <c r="D273" i="3"/>
  <c r="M273" i="3"/>
  <c r="L274" i="3"/>
  <c r="Y274" i="3"/>
  <c r="N275" i="3"/>
  <c r="D276" i="3"/>
  <c r="Q276" i="3"/>
  <c r="M277" i="3"/>
  <c r="F278" i="3"/>
  <c r="L279" i="3"/>
  <c r="F280" i="3"/>
  <c r="D282" i="3"/>
  <c r="Q282" i="3"/>
  <c r="C283" i="3"/>
  <c r="P283" i="3"/>
  <c r="M284" i="3"/>
  <c r="F285" i="3"/>
  <c r="Q285" i="3"/>
  <c r="Q121" i="3"/>
  <c r="K164" i="3"/>
  <c r="Y172" i="3"/>
  <c r="Y177" i="3"/>
  <c r="P186" i="3"/>
  <c r="L191" i="3"/>
  <c r="O195" i="3"/>
  <c r="L206" i="3"/>
  <c r="C210" i="3"/>
  <c r="M213" i="3"/>
  <c r="O214" i="3"/>
  <c r="N216" i="3"/>
  <c r="L218" i="3"/>
  <c r="Q219" i="3"/>
  <c r="Q221" i="3"/>
  <c r="Q222" i="3"/>
  <c r="M224" i="3"/>
  <c r="M225" i="3"/>
  <c r="K226" i="3"/>
  <c r="P227" i="3"/>
  <c r="M228" i="3"/>
  <c r="O229" i="3"/>
  <c r="C230" i="3"/>
  <c r="Y230" i="3"/>
  <c r="Q231" i="3"/>
  <c r="O232" i="3"/>
  <c r="F233" i="3"/>
  <c r="O234" i="3"/>
  <c r="P235" i="3"/>
  <c r="K236" i="3"/>
  <c r="C237" i="3"/>
  <c r="O237" i="3"/>
  <c r="C238" i="3"/>
  <c r="P238" i="3"/>
  <c r="F239" i="3"/>
  <c r="N240" i="3"/>
  <c r="M241" i="3"/>
  <c r="L242" i="3"/>
  <c r="F243" i="3"/>
  <c r="Q243" i="3"/>
  <c r="L244" i="3"/>
  <c r="M245" i="3"/>
  <c r="N246" i="3"/>
  <c r="L247" i="3"/>
  <c r="K248" i="3"/>
  <c r="F249" i="3"/>
  <c r="P249" i="3"/>
  <c r="O250" i="3"/>
  <c r="D251" i="3"/>
  <c r="Q251" i="3"/>
  <c r="F252" i="3"/>
  <c r="C253" i="3"/>
  <c r="P253" i="3"/>
  <c r="Y253" i="3"/>
  <c r="D254" i="3"/>
  <c r="Q254" i="3"/>
  <c r="K255" i="3"/>
  <c r="L256" i="3"/>
  <c r="F257" i="3"/>
  <c r="Q257" i="3"/>
  <c r="Y257" i="3"/>
  <c r="C258" i="3"/>
  <c r="P258" i="3"/>
  <c r="F259" i="3"/>
  <c r="K260" i="3"/>
  <c r="N261" i="3"/>
  <c r="L262" i="3"/>
  <c r="Y262" i="3"/>
  <c r="K263" i="3"/>
  <c r="C264" i="3"/>
  <c r="P264" i="3"/>
  <c r="M265" i="3"/>
  <c r="L266" i="3"/>
  <c r="K267" i="3"/>
  <c r="D268" i="3"/>
  <c r="Q268" i="3"/>
  <c r="L269" i="3"/>
  <c r="Y269" i="3"/>
  <c r="F270" i="3"/>
  <c r="K271" i="3"/>
  <c r="Y271" i="3"/>
  <c r="L272" i="3"/>
  <c r="P273" i="3"/>
  <c r="O274" i="3"/>
  <c r="D275" i="3"/>
  <c r="Q275" i="3"/>
  <c r="L276" i="3"/>
  <c r="C277" i="3"/>
  <c r="P277" i="3"/>
  <c r="M278" i="3"/>
  <c r="Y278" i="3"/>
  <c r="O279" i="3"/>
  <c r="M280" i="3"/>
  <c r="D281" i="3"/>
  <c r="M281" i="3"/>
  <c r="L282" i="3"/>
  <c r="K283" i="3"/>
  <c r="D284" i="3"/>
  <c r="P284" i="3"/>
  <c r="Y284" i="3"/>
  <c r="L285" i="3"/>
  <c r="C286" i="3"/>
  <c r="P286" i="3"/>
  <c r="L287" i="3"/>
  <c r="F288" i="3"/>
  <c r="Y288" i="3"/>
  <c r="D118" i="3"/>
  <c r="Y152" i="3"/>
  <c r="F218" i="3"/>
  <c r="F222" i="3"/>
  <c r="P230" i="3"/>
  <c r="P233" i="3"/>
  <c r="N235" i="3"/>
  <c r="N238" i="3"/>
  <c r="Y240" i="3"/>
  <c r="F242" i="3"/>
  <c r="Y243" i="3"/>
  <c r="F247" i="3"/>
  <c r="C249" i="3"/>
  <c r="M250" i="3"/>
  <c r="P252" i="3"/>
  <c r="F256" i="3"/>
  <c r="P259" i="3"/>
  <c r="F266" i="3"/>
  <c r="Q271" i="3"/>
  <c r="N273" i="3"/>
  <c r="K278" i="3"/>
  <c r="K280" i="3"/>
  <c r="D283" i="3"/>
  <c r="M286" i="3"/>
  <c r="K287" i="3"/>
  <c r="C288" i="3"/>
  <c r="D289" i="3"/>
  <c r="N289" i="3"/>
  <c r="M290" i="3"/>
  <c r="C291" i="3"/>
  <c r="P291" i="3"/>
  <c r="N292" i="3"/>
  <c r="K293" i="3"/>
  <c r="D294" i="3"/>
  <c r="Q294" i="3"/>
  <c r="C295" i="3"/>
  <c r="P295" i="3"/>
  <c r="M296" i="3"/>
  <c r="Y296" i="3"/>
  <c r="D298" i="3"/>
  <c r="Q298" i="3"/>
  <c r="O299" i="3"/>
  <c r="Y299" i="3"/>
  <c r="K300" i="3"/>
  <c r="L301" i="3"/>
  <c r="Y301" i="3"/>
  <c r="M302" i="3"/>
  <c r="C303" i="3"/>
  <c r="P303" i="3"/>
  <c r="M304" i="3"/>
  <c r="D305" i="3"/>
  <c r="N305" i="3"/>
  <c r="M306" i="3"/>
  <c r="C307" i="3"/>
  <c r="P307" i="3"/>
  <c r="K309" i="3"/>
  <c r="M311" i="3"/>
  <c r="D312" i="3"/>
  <c r="Q312" i="3"/>
  <c r="D314" i="3"/>
  <c r="Q314" i="3"/>
  <c r="F315" i="3"/>
  <c r="P316" i="3"/>
  <c r="Y316" i="3"/>
  <c r="D317" i="3"/>
  <c r="Q317" i="3"/>
  <c r="D318" i="3"/>
  <c r="P318" i="3"/>
  <c r="K319" i="3"/>
  <c r="M320" i="3"/>
  <c r="K321" i="3"/>
  <c r="F322" i="3"/>
  <c r="D323" i="3"/>
  <c r="Q323" i="3"/>
  <c r="C324" i="3"/>
  <c r="N324" i="3"/>
  <c r="O325" i="3"/>
  <c r="N326" i="3"/>
  <c r="F327" i="3"/>
  <c r="M328" i="3"/>
  <c r="P329" i="3"/>
  <c r="O330" i="3"/>
  <c r="Y330" i="3"/>
  <c r="O331" i="3"/>
  <c r="N332" i="3"/>
  <c r="O333" i="3"/>
  <c r="C334" i="3"/>
  <c r="P334" i="3"/>
  <c r="K335" i="3"/>
  <c r="F336" i="3"/>
  <c r="D337" i="3"/>
  <c r="O337" i="3"/>
  <c r="N338" i="3"/>
  <c r="M339" i="3"/>
  <c r="K340" i="3"/>
  <c r="L341" i="3"/>
  <c r="Y120" i="3"/>
  <c r="K206" i="3"/>
  <c r="L213" i="3"/>
  <c r="K218" i="3"/>
  <c r="P222" i="3"/>
  <c r="F227" i="3"/>
  <c r="Q230" i="3"/>
  <c r="Q233" i="3"/>
  <c r="O235" i="3"/>
  <c r="O238" i="3"/>
  <c r="K242" i="3"/>
  <c r="K247" i="3"/>
  <c r="D249" i="3"/>
  <c r="N250" i="3"/>
  <c r="Q252" i="3"/>
  <c r="C254" i="3"/>
  <c r="K256" i="3"/>
  <c r="Q259" i="3"/>
  <c r="K266" i="3"/>
  <c r="C268" i="3"/>
  <c r="O273" i="3"/>
  <c r="C275" i="3"/>
  <c r="L278" i="3"/>
  <c r="L280" i="3"/>
  <c r="F283" i="3"/>
  <c r="N286" i="3"/>
  <c r="Q287" i="3"/>
  <c r="D288" i="3"/>
  <c r="O289" i="3"/>
  <c r="N290" i="3"/>
  <c r="D291" i="3"/>
  <c r="Q291" i="3"/>
  <c r="C292" i="3"/>
  <c r="O292" i="3"/>
  <c r="L293" i="3"/>
  <c r="F294" i="3"/>
  <c r="D295" i="3"/>
  <c r="Q295" i="3"/>
  <c r="N296" i="3"/>
  <c r="K297" i="3"/>
  <c r="F298" i="3"/>
  <c r="C299" i="3"/>
  <c r="P299" i="3"/>
  <c r="L300" i="3"/>
  <c r="M301" i="3"/>
  <c r="N302" i="3"/>
  <c r="D303" i="3"/>
  <c r="Q303" i="3"/>
  <c r="N304" i="3"/>
  <c r="Y304" i="3"/>
  <c r="O305" i="3"/>
  <c r="N306" i="3"/>
  <c r="D307" i="3"/>
  <c r="Q307" i="3"/>
  <c r="K308" i="3"/>
  <c r="L309" i="3"/>
  <c r="Y309" i="3"/>
  <c r="K310" i="3"/>
  <c r="N311" i="3"/>
  <c r="F312" i="3"/>
  <c r="K313" i="3"/>
  <c r="F314" i="3"/>
  <c r="K315" i="3"/>
  <c r="F316" i="3"/>
  <c r="Q316" i="3"/>
  <c r="F317" i="3"/>
  <c r="F318" i="3"/>
  <c r="Q318" i="3"/>
  <c r="L319" i="3"/>
  <c r="Y319" i="3"/>
  <c r="N320" i="3"/>
  <c r="Y320" i="3"/>
  <c r="L321" i="3"/>
  <c r="K322" i="3"/>
  <c r="F323" i="3"/>
  <c r="D324" i="3"/>
  <c r="O324" i="3"/>
  <c r="C325" i="3"/>
  <c r="P325" i="3"/>
  <c r="C326" i="3"/>
  <c r="O326" i="3"/>
  <c r="Y326" i="3"/>
  <c r="K327" i="3"/>
  <c r="Y327" i="3"/>
  <c r="N328" i="3"/>
  <c r="F329" i="3"/>
  <c r="Q329" i="3"/>
  <c r="Y329" i="3"/>
  <c r="C330" i="3"/>
  <c r="P330" i="3"/>
  <c r="C331" i="3"/>
  <c r="P331" i="3"/>
  <c r="C332" i="3"/>
  <c r="O332" i="3"/>
  <c r="C333" i="3"/>
  <c r="P333" i="3"/>
  <c r="D334" i="3"/>
  <c r="Q334" i="3"/>
  <c r="L335" i="3"/>
  <c r="K336" i="3"/>
  <c r="F337" i="3"/>
  <c r="P337" i="3"/>
  <c r="O338" i="3"/>
  <c r="N339" i="3"/>
  <c r="Y339" i="3"/>
  <c r="L340" i="3"/>
  <c r="D131" i="3"/>
  <c r="M176" i="3"/>
  <c r="K208" i="3"/>
  <c r="M214" i="3"/>
  <c r="F219" i="3"/>
  <c r="K228" i="3"/>
  <c r="O231" i="3"/>
  <c r="M237" i="3"/>
  <c r="C239" i="3"/>
  <c r="K241" i="3"/>
  <c r="F244" i="3"/>
  <c r="N249" i="3"/>
  <c r="O254" i="3"/>
  <c r="Y259" i="3"/>
  <c r="L261" i="3"/>
  <c r="D263" i="3"/>
  <c r="K265" i="3"/>
  <c r="O268" i="3"/>
  <c r="C270" i="3"/>
  <c r="F272" i="3"/>
  <c r="O275" i="3"/>
  <c r="Q283" i="3"/>
  <c r="O286" i="3"/>
  <c r="K288" i="3"/>
  <c r="F289" i="3"/>
  <c r="P289" i="3"/>
  <c r="O290" i="3"/>
  <c r="F291" i="3"/>
  <c r="D292" i="3"/>
  <c r="P292" i="3"/>
  <c r="M293" i="3"/>
  <c r="K294" i="3"/>
  <c r="F295" i="3"/>
  <c r="O296" i="3"/>
  <c r="L297" i="3"/>
  <c r="K298" i="3"/>
  <c r="D299" i="3"/>
  <c r="Q299" i="3"/>
  <c r="M300" i="3"/>
  <c r="N301" i="3"/>
  <c r="C302" i="3"/>
  <c r="O302" i="3"/>
  <c r="Y302" i="3"/>
  <c r="F303" i="3"/>
  <c r="C304" i="3"/>
  <c r="O304" i="3"/>
  <c r="F305" i="3"/>
  <c r="P305" i="3"/>
  <c r="O306" i="3"/>
  <c r="F307" i="3"/>
  <c r="Y307" i="3"/>
  <c r="L308" i="3"/>
  <c r="M309" i="3"/>
  <c r="L310" i="3"/>
  <c r="O311" i="3"/>
  <c r="K312" i="3"/>
  <c r="L313" i="3"/>
  <c r="K314" i="3"/>
  <c r="L315" i="3"/>
  <c r="K317" i="3"/>
  <c r="M319" i="3"/>
  <c r="O320" i="3"/>
  <c r="M321" i="3"/>
  <c r="L322" i="3"/>
  <c r="Y322" i="3"/>
  <c r="K323" i="3"/>
  <c r="F324" i="3"/>
  <c r="P324" i="3"/>
  <c r="Y324" i="3"/>
  <c r="D325" i="3"/>
  <c r="Q325" i="3"/>
  <c r="D326" i="3"/>
  <c r="P326" i="3"/>
  <c r="L327" i="3"/>
  <c r="O328" i="3"/>
  <c r="D330" i="3"/>
  <c r="Q330" i="3"/>
  <c r="D331" i="3"/>
  <c r="Q331" i="3"/>
  <c r="D332" i="3"/>
  <c r="P332" i="3"/>
  <c r="Y332" i="3"/>
  <c r="D333" i="3"/>
  <c r="Q333" i="3"/>
  <c r="F334" i="3"/>
  <c r="M335" i="3"/>
  <c r="L336" i="3"/>
  <c r="P177" i="3"/>
  <c r="N195" i="3"/>
  <c r="N214" i="3"/>
  <c r="P219" i="3"/>
  <c r="L228" i="3"/>
  <c r="P231" i="3"/>
  <c r="Y235" i="3"/>
  <c r="N237" i="3"/>
  <c r="D239" i="3"/>
  <c r="L241" i="3"/>
  <c r="K244" i="3"/>
  <c r="O249" i="3"/>
  <c r="C251" i="3"/>
  <c r="P254" i="3"/>
  <c r="M261" i="3"/>
  <c r="F263" i="3"/>
  <c r="L265" i="3"/>
  <c r="P268" i="3"/>
  <c r="D270" i="3"/>
  <c r="K272" i="3"/>
  <c r="P275" i="3"/>
  <c r="K285" i="3"/>
  <c r="M288" i="3"/>
  <c r="Q289" i="3"/>
  <c r="Y289" i="3"/>
  <c r="C290" i="3"/>
  <c r="P290" i="3"/>
  <c r="K291" i="3"/>
  <c r="F292" i="3"/>
  <c r="Q292" i="3"/>
  <c r="N293" i="3"/>
  <c r="L294" i="3"/>
  <c r="K295" i="3"/>
  <c r="Y295" i="3"/>
  <c r="C296" i="3"/>
  <c r="P296" i="3"/>
  <c r="M297" i="3"/>
  <c r="L298" i="3"/>
  <c r="F299" i="3"/>
  <c r="C300" i="3"/>
  <c r="N300" i="3"/>
  <c r="O301" i="3"/>
  <c r="D302" i="3"/>
  <c r="P302" i="3"/>
  <c r="K303" i="3"/>
  <c r="D304" i="3"/>
  <c r="P304" i="3"/>
  <c r="Q305" i="3"/>
  <c r="Y305" i="3"/>
  <c r="C306" i="3"/>
  <c r="P306" i="3"/>
  <c r="K307" i="3"/>
  <c r="M308" i="3"/>
  <c r="N309" i="3"/>
  <c r="M310" i="3"/>
  <c r="C311" i="3"/>
  <c r="P311" i="3"/>
  <c r="L312" i="3"/>
  <c r="C313" i="3"/>
  <c r="M313" i="3"/>
  <c r="L314" i="3"/>
  <c r="M315" i="3"/>
  <c r="Y315" i="3"/>
  <c r="K316" i="3"/>
  <c r="L317" i="3"/>
  <c r="K318" i="3"/>
  <c r="N319" i="3"/>
  <c r="C320" i="3"/>
  <c r="P320" i="3"/>
  <c r="C321" i="3"/>
  <c r="N321" i="3"/>
  <c r="M322" i="3"/>
  <c r="L323" i="3"/>
  <c r="Y323" i="3"/>
  <c r="Q324" i="3"/>
  <c r="F325" i="3"/>
  <c r="F326" i="3"/>
  <c r="Q326" i="3"/>
  <c r="M327" i="3"/>
  <c r="C328" i="3"/>
  <c r="P328" i="3"/>
  <c r="K329" i="3"/>
  <c r="F330" i="3"/>
  <c r="F331" i="3"/>
  <c r="Q332" i="3"/>
  <c r="F333" i="3"/>
  <c r="Y333" i="3"/>
  <c r="K334" i="3"/>
  <c r="Y334" i="3"/>
  <c r="N335" i="3"/>
  <c r="D199" i="3"/>
  <c r="Y209" i="3"/>
  <c r="L220" i="3"/>
  <c r="K225" i="3"/>
  <c r="D229" i="3"/>
  <c r="L232" i="3"/>
  <c r="L234" i="3"/>
  <c r="D236" i="3"/>
  <c r="P239" i="3"/>
  <c r="C243" i="3"/>
  <c r="L246" i="3"/>
  <c r="D248" i="3"/>
  <c r="O251" i="3"/>
  <c r="N253" i="3"/>
  <c r="D255" i="3"/>
  <c r="C257" i="3"/>
  <c r="N258" i="3"/>
  <c r="F260" i="3"/>
  <c r="Q263" i="3"/>
  <c r="D267" i="3"/>
  <c r="P270" i="3"/>
  <c r="N277" i="3"/>
  <c r="M279" i="3"/>
  <c r="F282" i="3"/>
  <c r="Y287" i="3"/>
  <c r="N288" i="3"/>
  <c r="D290" i="3"/>
  <c r="Q290" i="3"/>
  <c r="L291" i="3"/>
  <c r="Y291" i="3"/>
  <c r="O293" i="3"/>
  <c r="M294" i="3"/>
  <c r="Y294" i="3"/>
  <c r="L295" i="3"/>
  <c r="D296" i="3"/>
  <c r="Q296" i="3"/>
  <c r="N297" i="3"/>
  <c r="M298" i="3"/>
  <c r="K299" i="3"/>
  <c r="D300" i="3"/>
  <c r="O300" i="3"/>
  <c r="C301" i="3"/>
  <c r="P301" i="3"/>
  <c r="F302" i="3"/>
  <c r="Q302" i="3"/>
  <c r="L303" i="3"/>
  <c r="F304" i="3"/>
  <c r="Q304" i="3"/>
  <c r="D306" i="3"/>
  <c r="Q306" i="3"/>
  <c r="L307" i="3"/>
  <c r="C308" i="3"/>
  <c r="N308" i="3"/>
  <c r="O309" i="3"/>
  <c r="N310" i="3"/>
  <c r="D311" i="3"/>
  <c r="Q311" i="3"/>
  <c r="M312" i="3"/>
  <c r="D313" i="3"/>
  <c r="N313" i="3"/>
  <c r="M314" i="3"/>
  <c r="Y314" i="3"/>
  <c r="N315" i="3"/>
  <c r="L316" i="3"/>
  <c r="M317" i="3"/>
  <c r="Y317" i="3"/>
  <c r="L318" i="3"/>
  <c r="O319" i="3"/>
  <c r="D320" i="3"/>
  <c r="Q320" i="3"/>
  <c r="D321" i="3"/>
  <c r="O321" i="3"/>
  <c r="N322" i="3"/>
  <c r="M323" i="3"/>
  <c r="K325" i="3"/>
  <c r="Y325" i="3"/>
  <c r="N327" i="3"/>
  <c r="D328" i="3"/>
  <c r="Q328" i="3"/>
  <c r="L329" i="3"/>
  <c r="K330" i="3"/>
  <c r="K331" i="3"/>
  <c r="Y331" i="3"/>
  <c r="F332" i="3"/>
  <c r="K333" i="3"/>
  <c r="L334" i="3"/>
  <c r="O335" i="3"/>
  <c r="Y335" i="3"/>
  <c r="N336" i="3"/>
  <c r="Y336" i="3"/>
  <c r="K337" i="3"/>
  <c r="F338" i="3"/>
  <c r="D339" i="3"/>
  <c r="Q339" i="3"/>
  <c r="C340" i="3"/>
  <c r="O340" i="3"/>
  <c r="C341" i="3"/>
  <c r="Y144" i="3"/>
  <c r="O186" i="3"/>
  <c r="L217" i="3"/>
  <c r="N229" i="3"/>
  <c r="L240" i="3"/>
  <c r="O258" i="3"/>
  <c r="K262" i="3"/>
  <c r="Q267" i="3"/>
  <c r="Y272" i="3"/>
  <c r="K276" i="3"/>
  <c r="K281" i="3"/>
  <c r="L289" i="3"/>
  <c r="F290" i="3"/>
  <c r="O291" i="3"/>
  <c r="Y293" i="3"/>
  <c r="K296" i="3"/>
  <c r="O297" i="3"/>
  <c r="C298" i="3"/>
  <c r="M299" i="3"/>
  <c r="P300" i="3"/>
  <c r="K301" i="3"/>
  <c r="Y303" i="3"/>
  <c r="D309" i="3"/>
  <c r="O310" i="3"/>
  <c r="L311" i="3"/>
  <c r="P314" i="3"/>
  <c r="C316" i="3"/>
  <c r="C318" i="3"/>
  <c r="D319" i="3"/>
  <c r="P322" i="3"/>
  <c r="L328" i="3"/>
  <c r="N329" i="3"/>
  <c r="L330" i="3"/>
  <c r="N331" i="3"/>
  <c r="F335" i="3"/>
  <c r="O336" i="3"/>
  <c r="L337" i="3"/>
  <c r="Y337" i="3"/>
  <c r="L338" i="3"/>
  <c r="C339" i="3"/>
  <c r="P340" i="3"/>
  <c r="O341" i="3"/>
  <c r="C342" i="3"/>
  <c r="P342" i="3"/>
  <c r="N343" i="3"/>
  <c r="Y343" i="3"/>
  <c r="F344" i="3"/>
  <c r="Y344" i="3"/>
  <c r="F345" i="3"/>
  <c r="Q345" i="3"/>
  <c r="Y345" i="3"/>
  <c r="C346" i="3"/>
  <c r="P346" i="3"/>
  <c r="N347" i="3"/>
  <c r="N349" i="3"/>
  <c r="M350" i="3"/>
  <c r="N351" i="3"/>
  <c r="C352" i="3"/>
  <c r="P352" i="3"/>
  <c r="C353" i="3"/>
  <c r="N353" i="3"/>
  <c r="M354" i="3"/>
  <c r="O355" i="3"/>
  <c r="Y355" i="3"/>
  <c r="M292" i="3"/>
  <c r="K306" i="3"/>
  <c r="Q315" i="3"/>
  <c r="L331" i="3"/>
  <c r="D338" i="3"/>
  <c r="L343" i="3"/>
  <c r="O345" i="3"/>
  <c r="Y346" i="3"/>
  <c r="K354" i="3"/>
  <c r="F226" i="3"/>
  <c r="F262" i="3"/>
  <c r="F297" i="3"/>
  <c r="O303" i="3"/>
  <c r="C309" i="3"/>
  <c r="O322" i="3"/>
  <c r="O342" i="3"/>
  <c r="Q344" i="3"/>
  <c r="M347" i="3"/>
  <c r="M349" i="3"/>
  <c r="O352" i="3"/>
  <c r="N355" i="3"/>
  <c r="Y148" i="3"/>
  <c r="Y200" i="3"/>
  <c r="M217" i="3"/>
  <c r="F236" i="3"/>
  <c r="M240" i="3"/>
  <c r="K245" i="3"/>
  <c r="C259" i="3"/>
  <c r="Y263" i="3"/>
  <c r="O277" i="3"/>
  <c r="L281" i="3"/>
  <c r="O288" i="3"/>
  <c r="M289" i="3"/>
  <c r="K290" i="3"/>
  <c r="Y292" i="3"/>
  <c r="M295" i="3"/>
  <c r="L296" i="3"/>
  <c r="P297" i="3"/>
  <c r="N298" i="3"/>
  <c r="N299" i="3"/>
  <c r="Q300" i="3"/>
  <c r="Q301" i="3"/>
  <c r="O308" i="3"/>
  <c r="F309" i="3"/>
  <c r="P310" i="3"/>
  <c r="Y311" i="3"/>
  <c r="D316" i="3"/>
  <c r="M318" i="3"/>
  <c r="F319" i="3"/>
  <c r="Q322" i="3"/>
  <c r="C327" i="3"/>
  <c r="O329" i="3"/>
  <c r="M330" i="3"/>
  <c r="P335" i="3"/>
  <c r="P336" i="3"/>
  <c r="M337" i="3"/>
  <c r="M338" i="3"/>
  <c r="F339" i="3"/>
  <c r="Q340" i="3"/>
  <c r="P341" i="3"/>
  <c r="D342" i="3"/>
  <c r="Q342" i="3"/>
  <c r="O343" i="3"/>
  <c r="K344" i="3"/>
  <c r="D346" i="3"/>
  <c r="Q346" i="3"/>
  <c r="C347" i="3"/>
  <c r="O347" i="3"/>
  <c r="Y347" i="3"/>
  <c r="K348" i="3"/>
  <c r="O349" i="3"/>
  <c r="N350" i="3"/>
  <c r="O351" i="3"/>
  <c r="D352" i="3"/>
  <c r="Q352" i="3"/>
  <c r="D353" i="3"/>
  <c r="O353" i="3"/>
  <c r="N354" i="3"/>
  <c r="C355" i="3"/>
  <c r="P355" i="3"/>
  <c r="P353" i="3"/>
  <c r="O354" i="3"/>
  <c r="Q355" i="3"/>
  <c r="Y353" i="3"/>
  <c r="F355" i="3"/>
  <c r="N303" i="3"/>
  <c r="P313" i="3"/>
  <c r="Y318" i="3"/>
  <c r="O323" i="3"/>
  <c r="F328" i="3"/>
  <c r="M332" i="3"/>
  <c r="D336" i="3"/>
  <c r="N342" i="3"/>
  <c r="C345" i="3"/>
  <c r="Y349" i="3"/>
  <c r="N352" i="3"/>
  <c r="Q248" i="3"/>
  <c r="F271" i="3"/>
  <c r="K289" i="3"/>
  <c r="F296" i="3"/>
  <c r="F301" i="3"/>
  <c r="F308" i="3"/>
  <c r="O314" i="3"/>
  <c r="C319" i="3"/>
  <c r="P323" i="3"/>
  <c r="K328" i="3"/>
  <c r="N333" i="3"/>
  <c r="K338" i="3"/>
  <c r="N341" i="3"/>
  <c r="D344" i="3"/>
  <c r="Q348" i="3"/>
  <c r="M351" i="3"/>
  <c r="P149" i="3"/>
  <c r="C204" i="3"/>
  <c r="M220" i="3"/>
  <c r="Q236" i="3"/>
  <c r="L245" i="3"/>
  <c r="F255" i="3"/>
  <c r="D259" i="3"/>
  <c r="N264" i="3"/>
  <c r="F273" i="3"/>
  <c r="K282" i="3"/>
  <c r="P288" i="3"/>
  <c r="L290" i="3"/>
  <c r="C293" i="3"/>
  <c r="C294" i="3"/>
  <c r="N295" i="3"/>
  <c r="Q297" i="3"/>
  <c r="O298" i="3"/>
  <c r="Y306" i="3"/>
  <c r="P308" i="3"/>
  <c r="P309" i="3"/>
  <c r="Q310" i="3"/>
  <c r="Y313" i="3"/>
  <c r="C315" i="3"/>
  <c r="M316" i="3"/>
  <c r="C317" i="3"/>
  <c r="N318" i="3"/>
  <c r="P319" i="3"/>
  <c r="Y321" i="3"/>
  <c r="K326" i="3"/>
  <c r="D327" i="3"/>
  <c r="N330" i="3"/>
  <c r="Q335" i="3"/>
  <c r="Q336" i="3"/>
  <c r="N337" i="3"/>
  <c r="P338" i="3"/>
  <c r="K339" i="3"/>
  <c r="Q341" i="3"/>
  <c r="F342" i="3"/>
  <c r="C343" i="3"/>
  <c r="P343" i="3"/>
  <c r="L344" i="3"/>
  <c r="K345" i="3"/>
  <c r="F346" i="3"/>
  <c r="D347" i="3"/>
  <c r="P347" i="3"/>
  <c r="L348" i="3"/>
  <c r="C349" i="3"/>
  <c r="P349" i="3"/>
  <c r="O350" i="3"/>
  <c r="C351" i="3"/>
  <c r="P351" i="3"/>
  <c r="F352" i="3"/>
  <c r="Y352" i="3"/>
  <c r="D355" i="3"/>
  <c r="C354" i="3"/>
  <c r="F354" i="3"/>
  <c r="Q293" i="3"/>
  <c r="D301" i="3"/>
  <c r="M305" i="3"/>
  <c r="P312" i="3"/>
  <c r="N325" i="3"/>
  <c r="C335" i="3"/>
  <c r="P344" i="3"/>
  <c r="D348" i="3"/>
  <c r="F185" i="3"/>
  <c r="F267" i="3"/>
  <c r="F310" i="3"/>
  <c r="Y341" i="3"/>
  <c r="D345" i="3"/>
  <c r="L354" i="3"/>
  <c r="Y204" i="3"/>
  <c r="O221" i="3"/>
  <c r="N232" i="3"/>
  <c r="M246" i="3"/>
  <c r="Q255" i="3"/>
  <c r="O264" i="3"/>
  <c r="F269" i="3"/>
  <c r="Q288" i="3"/>
  <c r="Y290" i="3"/>
  <c r="D293" i="3"/>
  <c r="N294" i="3"/>
  <c r="O295" i="3"/>
  <c r="P298" i="3"/>
  <c r="Y300" i="3"/>
  <c r="C305" i="3"/>
  <c r="M307" i="3"/>
  <c r="Q308" i="3"/>
  <c r="Q309" i="3"/>
  <c r="Y310" i="3"/>
  <c r="C312" i="3"/>
  <c r="F313" i="3"/>
  <c r="D315" i="3"/>
  <c r="N316" i="3"/>
  <c r="N317" i="3"/>
  <c r="O318" i="3"/>
  <c r="Q319" i="3"/>
  <c r="K324" i="3"/>
  <c r="L326" i="3"/>
  <c r="O327" i="3"/>
  <c r="Y328" i="3"/>
  <c r="M334" i="3"/>
  <c r="Q337" i="3"/>
  <c r="Q338" i="3"/>
  <c r="L339" i="3"/>
  <c r="D340" i="3"/>
  <c r="D341" i="3"/>
  <c r="K342" i="3"/>
  <c r="D343" i="3"/>
  <c r="Q343" i="3"/>
  <c r="M344" i="3"/>
  <c r="L345" i="3"/>
  <c r="K346" i="3"/>
  <c r="F347" i="3"/>
  <c r="Q347" i="3"/>
  <c r="M348" i="3"/>
  <c r="D349" i="3"/>
  <c r="Q349" i="3"/>
  <c r="C350" i="3"/>
  <c r="P350" i="3"/>
  <c r="D351" i="3"/>
  <c r="Q351" i="3"/>
  <c r="K352" i="3"/>
  <c r="F353" i="3"/>
  <c r="Q353" i="3"/>
  <c r="P354" i="3"/>
  <c r="L355" i="3"/>
  <c r="M291" i="3"/>
  <c r="D308" i="3"/>
  <c r="N314" i="3"/>
  <c r="D322" i="3"/>
  <c r="M340" i="3"/>
  <c r="C344" i="3"/>
  <c r="N346" i="3"/>
  <c r="L349" i="3"/>
  <c r="P243" i="3"/>
  <c r="F276" i="3"/>
  <c r="N291" i="3"/>
  <c r="Q313" i="3"/>
  <c r="Q321" i="3"/>
  <c r="M329" i="3"/>
  <c r="M336" i="3"/>
  <c r="O346" i="3"/>
  <c r="Y354" i="3"/>
  <c r="P221" i="3"/>
  <c r="Y246" i="3"/>
  <c r="P251" i="3"/>
  <c r="Q260" i="3"/>
  <c r="K269" i="3"/>
  <c r="M274" i="3"/>
  <c r="N279" i="3"/>
  <c r="D287" i="3"/>
  <c r="K292" i="3"/>
  <c r="F293" i="3"/>
  <c r="O294" i="3"/>
  <c r="Y298" i="3"/>
  <c r="K304" i="3"/>
  <c r="K305" i="3"/>
  <c r="N307" i="3"/>
  <c r="N312" i="3"/>
  <c r="O315" i="3"/>
  <c r="O316" i="3"/>
  <c r="O317" i="3"/>
  <c r="F321" i="3"/>
  <c r="C323" i="3"/>
  <c r="L324" i="3"/>
  <c r="L325" i="3"/>
  <c r="M326" i="3"/>
  <c r="P327" i="3"/>
  <c r="K332" i="3"/>
  <c r="N334" i="3"/>
  <c r="Y338" i="3"/>
  <c r="O339" i="3"/>
  <c r="F340" i="3"/>
  <c r="F341" i="3"/>
  <c r="L342" i="3"/>
  <c r="F343" i="3"/>
  <c r="N344" i="3"/>
  <c r="M345" i="3"/>
  <c r="L346" i="3"/>
  <c r="N348" i="3"/>
  <c r="Y348" i="3"/>
  <c r="F349" i="3"/>
  <c r="D350" i="3"/>
  <c r="Q350" i="3"/>
  <c r="F351" i="3"/>
  <c r="L352" i="3"/>
  <c r="D354" i="3"/>
  <c r="Q354" i="3"/>
  <c r="K355" i="3"/>
  <c r="Y350" i="3"/>
  <c r="M352" i="3"/>
  <c r="K353" i="3"/>
  <c r="M234" i="3"/>
  <c r="D297" i="3"/>
  <c r="F311" i="3"/>
  <c r="P321" i="3"/>
  <c r="M333" i="3"/>
  <c r="C337" i="3"/>
  <c r="M341" i="3"/>
  <c r="P348" i="3"/>
  <c r="L351" i="3"/>
  <c r="M355" i="3"/>
  <c r="M216" i="3"/>
  <c r="O253" i="3"/>
  <c r="O284" i="3"/>
  <c r="L306" i="3"/>
  <c r="Y312" i="3"/>
  <c r="M331" i="3"/>
  <c r="Y342" i="3"/>
  <c r="P345" i="3"/>
  <c r="N211" i="3"/>
  <c r="L225" i="3"/>
  <c r="C233" i="3"/>
  <c r="D243" i="3"/>
  <c r="C252" i="3"/>
  <c r="D257" i="3"/>
  <c r="Q270" i="3"/>
  <c r="N274" i="3"/>
  <c r="Y279" i="3"/>
  <c r="C284" i="3"/>
  <c r="F287" i="3"/>
  <c r="L292" i="3"/>
  <c r="P293" i="3"/>
  <c r="P294" i="3"/>
  <c r="C297" i="3"/>
  <c r="Y297" i="3"/>
  <c r="F300" i="3"/>
  <c r="K302" i="3"/>
  <c r="M303" i="3"/>
  <c r="L304" i="3"/>
  <c r="L305" i="3"/>
  <c r="F306" i="3"/>
  <c r="O307" i="3"/>
  <c r="Y308" i="3"/>
  <c r="C310" i="3"/>
  <c r="O312" i="3"/>
  <c r="O313" i="3"/>
  <c r="C314" i="3"/>
  <c r="P315" i="3"/>
  <c r="P317" i="3"/>
  <c r="F320" i="3"/>
  <c r="C322" i="3"/>
  <c r="N323" i="3"/>
  <c r="M324" i="3"/>
  <c r="M325" i="3"/>
  <c r="Q327" i="3"/>
  <c r="C329" i="3"/>
  <c r="L332" i="3"/>
  <c r="L333" i="3"/>
  <c r="O334" i="3"/>
  <c r="C336" i="3"/>
  <c r="C338" i="3"/>
  <c r="P339" i="3"/>
  <c r="Y340" i="3"/>
  <c r="K341" i="3"/>
  <c r="M342" i="3"/>
  <c r="K343" i="3"/>
  <c r="O344" i="3"/>
  <c r="N345" i="3"/>
  <c r="M346" i="3"/>
  <c r="K347" i="3"/>
  <c r="C348" i="3"/>
  <c r="O348" i="3"/>
  <c r="K349" i="3"/>
  <c r="F350" i="3"/>
  <c r="K351" i="3"/>
  <c r="Y351" i="3"/>
  <c r="O243" i="3"/>
  <c r="F248" i="3"/>
  <c r="D252" i="3"/>
  <c r="O257" i="3"/>
  <c r="D271" i="3"/>
  <c r="Y275" i="3"/>
  <c r="N284" i="3"/>
  <c r="C289" i="3"/>
  <c r="L302" i="3"/>
  <c r="D310" i="3"/>
  <c r="K320" i="3"/>
  <c r="D329" i="3"/>
  <c r="L347" i="3"/>
  <c r="K350" i="3"/>
  <c r="L353" i="3"/>
  <c r="Q239" i="3"/>
  <c r="P257" i="3"/>
  <c r="C281" i="3"/>
  <c r="L299" i="3"/>
  <c r="K311" i="3"/>
  <c r="L320" i="3"/>
  <c r="D335" i="3"/>
  <c r="N340" i="3"/>
  <c r="M343" i="3"/>
  <c r="F348" i="3"/>
  <c r="L350" i="3"/>
  <c r="M353" i="3"/>
  <c r="AH2" i="7"/>
  <c r="AF2" i="7"/>
  <c r="N2" i="7"/>
  <c r="AG2" i="7"/>
  <c r="D2" i="7"/>
  <c r="AE2" i="7"/>
  <c r="AB2" i="7"/>
  <c r="AD2" i="7"/>
  <c r="AI2" i="7"/>
  <c r="AC2" i="7"/>
  <c r="AA2" i="7"/>
  <c r="A2" i="3"/>
  <c r="F2" i="3" s="1"/>
  <c r="S360" i="3" l="1"/>
  <c r="W360" i="3"/>
  <c r="R360" i="3"/>
  <c r="V360" i="3"/>
  <c r="U360" i="3"/>
  <c r="T360" i="3"/>
  <c r="X360" i="3"/>
  <c r="B360" i="3"/>
  <c r="AC359" i="3"/>
  <c r="AF359" i="3"/>
  <c r="AD359" i="3"/>
  <c r="AB359" i="3"/>
  <c r="Z359" i="3"/>
  <c r="AA359" i="3"/>
  <c r="AE359" i="3"/>
  <c r="B359" i="3"/>
  <c r="V359" i="3"/>
  <c r="U359" i="3"/>
  <c r="T359" i="3"/>
  <c r="S359" i="3"/>
  <c r="R359" i="3"/>
  <c r="X359" i="3"/>
  <c r="W359" i="3"/>
  <c r="AF360" i="3"/>
  <c r="AE360" i="3"/>
  <c r="AD360" i="3"/>
  <c r="AC360" i="3"/>
  <c r="AB360" i="3"/>
  <c r="AA360" i="3"/>
  <c r="Z360" i="3"/>
  <c r="AC358" i="3"/>
  <c r="AB358" i="3"/>
  <c r="AA358" i="3"/>
  <c r="AF358" i="3"/>
  <c r="Z358" i="3"/>
  <c r="AE358" i="3"/>
  <c r="AD358" i="3"/>
  <c r="B358" i="3"/>
  <c r="W358" i="3"/>
  <c r="S358" i="3"/>
  <c r="V358" i="3"/>
  <c r="U358" i="3"/>
  <c r="R358" i="3"/>
  <c r="X358" i="3"/>
  <c r="T358" i="3"/>
  <c r="AA357" i="3"/>
  <c r="AB357" i="3"/>
  <c r="AD357" i="3"/>
  <c r="AE357" i="3"/>
  <c r="AF357" i="3"/>
  <c r="AC357" i="3"/>
  <c r="Z357" i="3"/>
  <c r="S356" i="3"/>
  <c r="W356" i="3"/>
  <c r="X356" i="3"/>
  <c r="B356" i="3"/>
  <c r="R356" i="3"/>
  <c r="V356" i="3"/>
  <c r="T356" i="3"/>
  <c r="U356" i="3"/>
  <c r="S357" i="3"/>
  <c r="R357" i="3"/>
  <c r="B357" i="3"/>
  <c r="U357" i="3"/>
  <c r="T357" i="3"/>
  <c r="W357" i="3"/>
  <c r="V357" i="3"/>
  <c r="X357" i="3"/>
  <c r="Z356" i="3"/>
  <c r="AA356" i="3"/>
  <c r="AF356" i="3"/>
  <c r="AC356" i="3"/>
  <c r="AE356" i="3"/>
  <c r="AD356" i="3"/>
  <c r="AB356" i="3"/>
  <c r="W351" i="3"/>
  <c r="U351" i="3"/>
  <c r="V351" i="3"/>
  <c r="R351" i="3"/>
  <c r="T351" i="3"/>
  <c r="S351" i="3"/>
  <c r="B351" i="3"/>
  <c r="X351" i="3"/>
  <c r="AA317" i="3"/>
  <c r="AE317" i="3"/>
  <c r="AC317" i="3"/>
  <c r="AF317" i="3"/>
  <c r="AD317" i="3"/>
  <c r="AB317" i="3"/>
  <c r="Z317" i="3"/>
  <c r="AB260" i="3"/>
  <c r="AF260" i="3"/>
  <c r="Z260" i="3"/>
  <c r="AE260" i="3"/>
  <c r="AA260" i="3"/>
  <c r="AC260" i="3"/>
  <c r="AD260" i="3"/>
  <c r="AC221" i="3"/>
  <c r="AA221" i="3"/>
  <c r="AB221" i="3"/>
  <c r="AD221" i="3"/>
  <c r="AE221" i="3"/>
  <c r="AF221" i="3"/>
  <c r="Z221" i="3"/>
  <c r="AE154" i="3"/>
  <c r="AD154" i="3"/>
  <c r="Z154" i="3"/>
  <c r="AA154" i="3"/>
  <c r="AB154" i="3"/>
  <c r="AC154" i="3"/>
  <c r="AF154" i="3"/>
  <c r="X239" i="3"/>
  <c r="R239" i="3"/>
  <c r="S239" i="3"/>
  <c r="T239" i="3"/>
  <c r="V239" i="3"/>
  <c r="W239" i="3"/>
  <c r="U239" i="3"/>
  <c r="B239" i="3"/>
  <c r="AE351" i="3"/>
  <c r="Z351" i="3"/>
  <c r="AD351" i="3"/>
  <c r="AC351" i="3"/>
  <c r="AB351" i="3"/>
  <c r="AA351" i="3"/>
  <c r="AF351" i="3"/>
  <c r="AE279" i="3"/>
  <c r="AD279" i="3"/>
  <c r="AF279" i="3"/>
  <c r="AB279" i="3"/>
  <c r="Z279" i="3"/>
  <c r="AA279" i="3"/>
  <c r="AC279" i="3"/>
  <c r="AC338" i="3"/>
  <c r="AD338" i="3"/>
  <c r="AF338" i="3"/>
  <c r="AB338" i="3"/>
  <c r="AA338" i="3"/>
  <c r="AE338" i="3"/>
  <c r="Z338" i="3"/>
  <c r="Z298" i="3"/>
  <c r="AE298" i="3"/>
  <c r="AD298" i="3"/>
  <c r="AB298" i="3"/>
  <c r="AA298" i="3"/>
  <c r="AF298" i="3"/>
  <c r="AC298" i="3"/>
  <c r="T260" i="3"/>
  <c r="V260" i="3"/>
  <c r="B260" i="3"/>
  <c r="W260" i="3"/>
  <c r="X260" i="3"/>
  <c r="S260" i="3"/>
  <c r="R260" i="3"/>
  <c r="U260" i="3"/>
  <c r="S321" i="3"/>
  <c r="T321" i="3"/>
  <c r="B321" i="3"/>
  <c r="U321" i="3"/>
  <c r="V321" i="3"/>
  <c r="W321" i="3"/>
  <c r="R321" i="3"/>
  <c r="X321" i="3"/>
  <c r="R255" i="3"/>
  <c r="V255" i="3"/>
  <c r="U255" i="3"/>
  <c r="B255" i="3"/>
  <c r="S255" i="3"/>
  <c r="X255" i="3"/>
  <c r="W255" i="3"/>
  <c r="T255" i="3"/>
  <c r="S355" i="3"/>
  <c r="B355" i="3"/>
  <c r="U355" i="3"/>
  <c r="R355" i="3"/>
  <c r="W355" i="3"/>
  <c r="T355" i="3"/>
  <c r="X355" i="3"/>
  <c r="V355" i="3"/>
  <c r="X352" i="3"/>
  <c r="U352" i="3"/>
  <c r="W352" i="3"/>
  <c r="S352" i="3"/>
  <c r="B352" i="3"/>
  <c r="V352" i="3"/>
  <c r="R352" i="3"/>
  <c r="T352" i="3"/>
  <c r="T340" i="3"/>
  <c r="S340" i="3"/>
  <c r="U340" i="3"/>
  <c r="X340" i="3"/>
  <c r="B340" i="3"/>
  <c r="R340" i="3"/>
  <c r="V340" i="3"/>
  <c r="W340" i="3"/>
  <c r="AB292" i="3"/>
  <c r="Z292" i="3"/>
  <c r="AA292" i="3"/>
  <c r="AC292" i="3"/>
  <c r="AD292" i="3"/>
  <c r="AF292" i="3"/>
  <c r="AE292" i="3"/>
  <c r="R315" i="3"/>
  <c r="T315" i="3"/>
  <c r="W315" i="3"/>
  <c r="S315" i="3"/>
  <c r="V315" i="3"/>
  <c r="X315" i="3"/>
  <c r="B315" i="3"/>
  <c r="U315" i="3"/>
  <c r="Z345" i="3"/>
  <c r="AF345" i="3"/>
  <c r="AA345" i="3"/>
  <c r="AB345" i="3"/>
  <c r="AC345" i="3"/>
  <c r="AE345" i="3"/>
  <c r="AD345" i="3"/>
  <c r="AB325" i="3"/>
  <c r="AD325" i="3"/>
  <c r="AA325" i="3"/>
  <c r="AC325" i="3"/>
  <c r="AF325" i="3"/>
  <c r="Z325" i="3"/>
  <c r="AE325" i="3"/>
  <c r="X296" i="3"/>
  <c r="B296" i="3"/>
  <c r="S296" i="3"/>
  <c r="U296" i="3"/>
  <c r="V296" i="3"/>
  <c r="T296" i="3"/>
  <c r="R296" i="3"/>
  <c r="W296" i="3"/>
  <c r="W290" i="3"/>
  <c r="X290" i="3"/>
  <c r="B290" i="3"/>
  <c r="R290" i="3"/>
  <c r="S290" i="3"/>
  <c r="T290" i="3"/>
  <c r="U290" i="3"/>
  <c r="V290" i="3"/>
  <c r="V326" i="3"/>
  <c r="B326" i="3"/>
  <c r="X326" i="3"/>
  <c r="R326" i="3"/>
  <c r="U326" i="3"/>
  <c r="T326" i="3"/>
  <c r="W326" i="3"/>
  <c r="S326" i="3"/>
  <c r="T292" i="3"/>
  <c r="U292" i="3"/>
  <c r="X292" i="3"/>
  <c r="W292" i="3"/>
  <c r="V292" i="3"/>
  <c r="S292" i="3"/>
  <c r="R292" i="3"/>
  <c r="B292" i="3"/>
  <c r="S330" i="3"/>
  <c r="T330" i="3"/>
  <c r="U330" i="3"/>
  <c r="V330" i="3"/>
  <c r="X330" i="3"/>
  <c r="R330" i="3"/>
  <c r="W330" i="3"/>
  <c r="B330" i="3"/>
  <c r="AB324" i="3"/>
  <c r="AF324" i="3"/>
  <c r="Z324" i="3"/>
  <c r="AA324" i="3"/>
  <c r="AC324" i="3"/>
  <c r="AD324" i="3"/>
  <c r="AE324" i="3"/>
  <c r="X329" i="3"/>
  <c r="R329" i="3"/>
  <c r="S329" i="3"/>
  <c r="T329" i="3"/>
  <c r="U329" i="3"/>
  <c r="V329" i="3"/>
  <c r="B329" i="3"/>
  <c r="W329" i="3"/>
  <c r="U252" i="3"/>
  <c r="S252" i="3"/>
  <c r="V252" i="3"/>
  <c r="W252" i="3"/>
  <c r="B252" i="3"/>
  <c r="R252" i="3"/>
  <c r="T252" i="3"/>
  <c r="X252" i="3"/>
  <c r="X230" i="3"/>
  <c r="V230" i="3"/>
  <c r="W230" i="3"/>
  <c r="B230" i="3"/>
  <c r="R230" i="3"/>
  <c r="S230" i="3"/>
  <c r="T230" i="3"/>
  <c r="U230" i="3"/>
  <c r="AF296" i="3"/>
  <c r="AB296" i="3"/>
  <c r="AD296" i="3"/>
  <c r="AE296" i="3"/>
  <c r="Z296" i="3"/>
  <c r="AC296" i="3"/>
  <c r="AA296" i="3"/>
  <c r="AA271" i="3"/>
  <c r="Z271" i="3"/>
  <c r="AC271" i="3"/>
  <c r="AD271" i="3"/>
  <c r="AF271" i="3"/>
  <c r="AE271" i="3"/>
  <c r="AB271" i="3"/>
  <c r="R231" i="3"/>
  <c r="V231" i="3"/>
  <c r="W231" i="3"/>
  <c r="U231" i="3"/>
  <c r="X231" i="3"/>
  <c r="B231" i="3"/>
  <c r="T231" i="3"/>
  <c r="S231" i="3"/>
  <c r="X121" i="3"/>
  <c r="W121" i="3"/>
  <c r="V121" i="3"/>
  <c r="B121" i="3"/>
  <c r="R121" i="3"/>
  <c r="U121" i="3"/>
  <c r="T121" i="3"/>
  <c r="S121" i="3"/>
  <c r="R269" i="3"/>
  <c r="B269" i="3"/>
  <c r="S269" i="3"/>
  <c r="V269" i="3"/>
  <c r="U269" i="3"/>
  <c r="T269" i="3"/>
  <c r="W269" i="3"/>
  <c r="X269" i="3"/>
  <c r="AD281" i="3"/>
  <c r="AE281" i="3"/>
  <c r="AF281" i="3"/>
  <c r="Z281" i="3"/>
  <c r="AC281" i="3"/>
  <c r="AA281" i="3"/>
  <c r="AB281" i="3"/>
  <c r="U245" i="3"/>
  <c r="W245" i="3"/>
  <c r="B245" i="3"/>
  <c r="X245" i="3"/>
  <c r="R245" i="3"/>
  <c r="V245" i="3"/>
  <c r="S245" i="3"/>
  <c r="T245" i="3"/>
  <c r="V241" i="3"/>
  <c r="W241" i="3"/>
  <c r="X241" i="3"/>
  <c r="R241" i="3"/>
  <c r="B241" i="3"/>
  <c r="U241" i="3"/>
  <c r="S241" i="3"/>
  <c r="T241" i="3"/>
  <c r="Z251" i="3"/>
  <c r="AA251" i="3"/>
  <c r="AB251" i="3"/>
  <c r="AC251" i="3"/>
  <c r="AD251" i="3"/>
  <c r="AF251" i="3"/>
  <c r="AE251" i="3"/>
  <c r="AC245" i="3"/>
  <c r="AF245" i="3"/>
  <c r="Z245" i="3"/>
  <c r="AA245" i="3"/>
  <c r="AE245" i="3"/>
  <c r="AB245" i="3"/>
  <c r="AD245" i="3"/>
  <c r="R240" i="3"/>
  <c r="S240" i="3"/>
  <c r="T240" i="3"/>
  <c r="U240" i="3"/>
  <c r="V240" i="3"/>
  <c r="W240" i="3"/>
  <c r="X240" i="3"/>
  <c r="B240" i="3"/>
  <c r="AB276" i="3"/>
  <c r="Z276" i="3"/>
  <c r="AA276" i="3"/>
  <c r="AC276" i="3"/>
  <c r="AE276" i="3"/>
  <c r="AF276" i="3"/>
  <c r="AD276" i="3"/>
  <c r="S258" i="3"/>
  <c r="U258" i="3"/>
  <c r="X258" i="3"/>
  <c r="W258" i="3"/>
  <c r="T258" i="3"/>
  <c r="B258" i="3"/>
  <c r="V258" i="3"/>
  <c r="R258" i="3"/>
  <c r="Z247" i="3"/>
  <c r="AB247" i="3"/>
  <c r="AD247" i="3"/>
  <c r="AF247" i="3"/>
  <c r="AA247" i="3"/>
  <c r="AE247" i="3"/>
  <c r="AC247" i="3"/>
  <c r="AE211" i="3"/>
  <c r="Z211" i="3"/>
  <c r="AB211" i="3"/>
  <c r="AC211" i="3"/>
  <c r="AD211" i="3"/>
  <c r="AA211" i="3"/>
  <c r="AF211" i="3"/>
  <c r="AF193" i="3"/>
  <c r="Z193" i="3"/>
  <c r="AB193" i="3"/>
  <c r="AC193" i="3"/>
  <c r="AD193" i="3"/>
  <c r="AA193" i="3"/>
  <c r="AE193" i="3"/>
  <c r="AE219" i="3"/>
  <c r="AD219" i="3"/>
  <c r="AF219" i="3"/>
  <c r="Z219" i="3"/>
  <c r="AB219" i="3"/>
  <c r="AC219" i="3"/>
  <c r="AA219" i="3"/>
  <c r="W163" i="3"/>
  <c r="X163" i="3"/>
  <c r="B163" i="3"/>
  <c r="R163" i="3"/>
  <c r="V163" i="3"/>
  <c r="U163" i="3"/>
  <c r="T163" i="3"/>
  <c r="S163" i="3"/>
  <c r="X220" i="3"/>
  <c r="S220" i="3"/>
  <c r="V220" i="3"/>
  <c r="W220" i="3"/>
  <c r="U220" i="3"/>
  <c r="T220" i="3"/>
  <c r="R220" i="3"/>
  <c r="B220" i="3"/>
  <c r="AA159" i="3"/>
  <c r="AC159" i="3"/>
  <c r="AF159" i="3"/>
  <c r="Z159" i="3"/>
  <c r="AB159" i="3"/>
  <c r="AE159" i="3"/>
  <c r="AD159" i="3"/>
  <c r="T120" i="3"/>
  <c r="R120" i="3"/>
  <c r="S120" i="3"/>
  <c r="U120" i="3"/>
  <c r="V120" i="3"/>
  <c r="B120" i="3"/>
  <c r="W120" i="3"/>
  <c r="X120" i="3"/>
  <c r="U213" i="3"/>
  <c r="X213" i="3"/>
  <c r="R213" i="3"/>
  <c r="S213" i="3"/>
  <c r="W213" i="3"/>
  <c r="T213" i="3"/>
  <c r="V213" i="3"/>
  <c r="B213" i="3"/>
  <c r="AD226" i="3"/>
  <c r="AB226" i="3"/>
  <c r="AC226" i="3"/>
  <c r="Z226" i="3"/>
  <c r="AF226" i="3"/>
  <c r="AE226" i="3"/>
  <c r="AA226" i="3"/>
  <c r="B192" i="3"/>
  <c r="S192" i="3"/>
  <c r="T192" i="3"/>
  <c r="U192" i="3"/>
  <c r="V192" i="3"/>
  <c r="W192" i="3"/>
  <c r="R192" i="3"/>
  <c r="X192" i="3"/>
  <c r="AA178" i="3"/>
  <c r="AB178" i="3"/>
  <c r="AC178" i="3"/>
  <c r="AD178" i="3"/>
  <c r="AE178" i="3"/>
  <c r="Z178" i="3"/>
  <c r="AF178" i="3"/>
  <c r="R125" i="3"/>
  <c r="S125" i="3"/>
  <c r="T125" i="3"/>
  <c r="U125" i="3"/>
  <c r="B125" i="3"/>
  <c r="V125" i="3"/>
  <c r="X125" i="3"/>
  <c r="W125" i="3"/>
  <c r="B151" i="3"/>
  <c r="U151" i="3"/>
  <c r="R151" i="3"/>
  <c r="T151" i="3"/>
  <c r="S151" i="3"/>
  <c r="W151" i="3"/>
  <c r="V151" i="3"/>
  <c r="X151" i="3"/>
  <c r="W146" i="3"/>
  <c r="X146" i="3"/>
  <c r="U146" i="3"/>
  <c r="T146" i="3"/>
  <c r="R146" i="3"/>
  <c r="B146" i="3"/>
  <c r="S146" i="3"/>
  <c r="V146" i="3"/>
  <c r="AD165" i="3"/>
  <c r="AE165" i="3"/>
  <c r="AF165" i="3"/>
  <c r="Z165" i="3"/>
  <c r="AC165" i="3"/>
  <c r="AA165" i="3"/>
  <c r="AB165" i="3"/>
  <c r="V154" i="3"/>
  <c r="X154" i="3"/>
  <c r="U154" i="3"/>
  <c r="T154" i="3"/>
  <c r="W154" i="3"/>
  <c r="R154" i="3"/>
  <c r="B154" i="3"/>
  <c r="S154" i="3"/>
  <c r="W171" i="3"/>
  <c r="B171" i="3"/>
  <c r="X171" i="3"/>
  <c r="R171" i="3"/>
  <c r="S171" i="3"/>
  <c r="T171" i="3"/>
  <c r="U171" i="3"/>
  <c r="V171" i="3"/>
  <c r="W157" i="3"/>
  <c r="X157" i="3"/>
  <c r="R157" i="3"/>
  <c r="S157" i="3"/>
  <c r="B157" i="3"/>
  <c r="T157" i="3"/>
  <c r="U157" i="3"/>
  <c r="V157" i="3"/>
  <c r="AC116" i="3"/>
  <c r="AA116" i="3"/>
  <c r="AB116" i="3"/>
  <c r="AE116" i="3"/>
  <c r="Z116" i="3"/>
  <c r="AF116" i="3"/>
  <c r="AD116" i="3"/>
  <c r="U169" i="3"/>
  <c r="T169" i="3"/>
  <c r="V169" i="3"/>
  <c r="W169" i="3"/>
  <c r="R169" i="3"/>
  <c r="B169" i="3"/>
  <c r="X169" i="3"/>
  <c r="S169" i="3"/>
  <c r="T144" i="3"/>
  <c r="S144" i="3"/>
  <c r="V144" i="3"/>
  <c r="X144" i="3"/>
  <c r="B144" i="3"/>
  <c r="R144" i="3"/>
  <c r="U144" i="3"/>
  <c r="W144" i="3"/>
  <c r="AB197" i="3"/>
  <c r="Z197" i="3"/>
  <c r="AA197" i="3"/>
  <c r="AF197" i="3"/>
  <c r="AD197" i="3"/>
  <c r="AE197" i="3"/>
  <c r="AC197" i="3"/>
  <c r="S187" i="3"/>
  <c r="W187" i="3"/>
  <c r="X187" i="3"/>
  <c r="U187" i="3"/>
  <c r="B187" i="3"/>
  <c r="R187" i="3"/>
  <c r="T187" i="3"/>
  <c r="V187" i="3"/>
  <c r="T173" i="3"/>
  <c r="R173" i="3"/>
  <c r="S173" i="3"/>
  <c r="U173" i="3"/>
  <c r="B173" i="3"/>
  <c r="V173" i="3"/>
  <c r="X173" i="3"/>
  <c r="W173" i="3"/>
  <c r="Z151" i="3"/>
  <c r="AB151" i="3"/>
  <c r="AC151" i="3"/>
  <c r="AD151" i="3"/>
  <c r="AE151" i="3"/>
  <c r="AF151" i="3"/>
  <c r="AA151" i="3"/>
  <c r="U140" i="3"/>
  <c r="V140" i="3"/>
  <c r="W140" i="3"/>
  <c r="B140" i="3"/>
  <c r="T140" i="3"/>
  <c r="S140" i="3"/>
  <c r="R140" i="3"/>
  <c r="X140" i="3"/>
  <c r="T112" i="3"/>
  <c r="U112" i="3"/>
  <c r="V112" i="3"/>
  <c r="W112" i="3"/>
  <c r="X112" i="3"/>
  <c r="S112" i="3"/>
  <c r="R112" i="3"/>
  <c r="B112" i="3"/>
  <c r="U91" i="3"/>
  <c r="S91" i="3"/>
  <c r="T91" i="3"/>
  <c r="V91" i="3"/>
  <c r="W91" i="3"/>
  <c r="B91" i="3"/>
  <c r="X91" i="3"/>
  <c r="R91" i="3"/>
  <c r="Z138" i="3"/>
  <c r="AC138" i="3"/>
  <c r="AD138" i="3"/>
  <c r="AE138" i="3"/>
  <c r="AF138" i="3"/>
  <c r="AB138" i="3"/>
  <c r="AA138" i="3"/>
  <c r="X119" i="3"/>
  <c r="R119" i="3"/>
  <c r="U119" i="3"/>
  <c r="B119" i="3"/>
  <c r="V119" i="3"/>
  <c r="W119" i="3"/>
  <c r="T119" i="3"/>
  <c r="S119" i="3"/>
  <c r="AB129" i="3"/>
  <c r="AE129" i="3"/>
  <c r="Z129" i="3"/>
  <c r="AA129" i="3"/>
  <c r="AF129" i="3"/>
  <c r="AC129" i="3"/>
  <c r="AD129" i="3"/>
  <c r="W118" i="3"/>
  <c r="U118" i="3"/>
  <c r="T118" i="3"/>
  <c r="V118" i="3"/>
  <c r="R118" i="3"/>
  <c r="B118" i="3"/>
  <c r="X118" i="3"/>
  <c r="S118" i="3"/>
  <c r="T128" i="3"/>
  <c r="R128" i="3"/>
  <c r="S128" i="3"/>
  <c r="U128" i="3"/>
  <c r="V128" i="3"/>
  <c r="X128" i="3"/>
  <c r="B128" i="3"/>
  <c r="W128" i="3"/>
  <c r="Z86" i="3"/>
  <c r="AF86" i="3"/>
  <c r="AA86" i="3"/>
  <c r="AB86" i="3"/>
  <c r="AD86" i="3"/>
  <c r="AE86" i="3"/>
  <c r="AC86" i="3"/>
  <c r="AD81" i="3"/>
  <c r="AE81" i="3"/>
  <c r="AF81" i="3"/>
  <c r="AC81" i="3"/>
  <c r="AB81" i="3"/>
  <c r="Z81" i="3"/>
  <c r="AA81" i="3"/>
  <c r="X104" i="3"/>
  <c r="R104" i="3"/>
  <c r="S104" i="3"/>
  <c r="T104" i="3"/>
  <c r="U104" i="3"/>
  <c r="V104" i="3"/>
  <c r="W104" i="3"/>
  <c r="B104" i="3"/>
  <c r="T93" i="3"/>
  <c r="R93" i="3"/>
  <c r="S93" i="3"/>
  <c r="B93" i="3"/>
  <c r="V93" i="3"/>
  <c r="U93" i="3"/>
  <c r="X93" i="3"/>
  <c r="W93" i="3"/>
  <c r="AB90" i="3"/>
  <c r="AD90" i="3"/>
  <c r="Z90" i="3"/>
  <c r="AA90" i="3"/>
  <c r="AC90" i="3"/>
  <c r="AF90" i="3"/>
  <c r="AE90" i="3"/>
  <c r="S69" i="3"/>
  <c r="T69" i="3"/>
  <c r="U69" i="3"/>
  <c r="V69" i="3"/>
  <c r="X69" i="3"/>
  <c r="B69" i="3"/>
  <c r="W69" i="3"/>
  <c r="R69" i="3"/>
  <c r="X83" i="3"/>
  <c r="V83" i="3"/>
  <c r="W83" i="3"/>
  <c r="U83" i="3"/>
  <c r="S83" i="3"/>
  <c r="T83" i="3"/>
  <c r="B83" i="3"/>
  <c r="R83" i="3"/>
  <c r="X77" i="3"/>
  <c r="B77" i="3"/>
  <c r="R77" i="3"/>
  <c r="T77" i="3"/>
  <c r="U77" i="3"/>
  <c r="V77" i="3"/>
  <c r="W77" i="3"/>
  <c r="S77" i="3"/>
  <c r="AF67" i="3"/>
  <c r="AE67" i="3"/>
  <c r="AD67" i="3"/>
  <c r="AB67" i="3"/>
  <c r="AC67" i="3"/>
  <c r="Z67" i="3"/>
  <c r="AA67" i="3"/>
  <c r="S53" i="3"/>
  <c r="U53" i="3"/>
  <c r="T53" i="3"/>
  <c r="X53" i="3"/>
  <c r="W53" i="3"/>
  <c r="V53" i="3"/>
  <c r="B53" i="3"/>
  <c r="R53" i="3"/>
  <c r="W87" i="3"/>
  <c r="X87" i="3"/>
  <c r="R87" i="3"/>
  <c r="S87" i="3"/>
  <c r="B87" i="3"/>
  <c r="V87" i="3"/>
  <c r="T87" i="3"/>
  <c r="U87" i="3"/>
  <c r="W54" i="3"/>
  <c r="T54" i="3"/>
  <c r="U54" i="3"/>
  <c r="V54" i="3"/>
  <c r="B54" i="3"/>
  <c r="R54" i="3"/>
  <c r="S54" i="3"/>
  <c r="X54" i="3"/>
  <c r="W74" i="3"/>
  <c r="S74" i="3"/>
  <c r="T74" i="3"/>
  <c r="U74" i="3"/>
  <c r="V74" i="3"/>
  <c r="B74" i="3"/>
  <c r="X74" i="3"/>
  <c r="R74" i="3"/>
  <c r="R42" i="3"/>
  <c r="B42" i="3"/>
  <c r="T42" i="3"/>
  <c r="X42" i="3"/>
  <c r="V42" i="3"/>
  <c r="S42" i="3"/>
  <c r="U42" i="3"/>
  <c r="W42" i="3"/>
  <c r="AC52" i="3"/>
  <c r="AD52" i="3"/>
  <c r="AE52" i="3"/>
  <c r="AF52" i="3"/>
  <c r="AB52" i="3"/>
  <c r="Z52" i="3"/>
  <c r="AA52" i="3"/>
  <c r="AD60" i="3"/>
  <c r="AE60" i="3"/>
  <c r="AF60" i="3"/>
  <c r="Z60" i="3"/>
  <c r="AC60" i="3"/>
  <c r="AA60" i="3"/>
  <c r="AB60" i="3"/>
  <c r="AF3" i="3"/>
  <c r="Z3" i="3"/>
  <c r="AA3" i="3"/>
  <c r="AD3" i="3"/>
  <c r="AB3" i="3"/>
  <c r="AC3" i="3"/>
  <c r="AE3" i="3"/>
  <c r="S40" i="3"/>
  <c r="R40" i="3"/>
  <c r="T40" i="3"/>
  <c r="U40" i="3"/>
  <c r="V40" i="3"/>
  <c r="B40" i="3"/>
  <c r="X40" i="3"/>
  <c r="W40" i="3"/>
  <c r="AB32" i="3"/>
  <c r="AF32" i="3"/>
  <c r="Z32" i="3"/>
  <c r="AE32" i="3"/>
  <c r="AD32" i="3"/>
  <c r="AA32" i="3"/>
  <c r="AC32" i="3"/>
  <c r="AA14" i="3"/>
  <c r="AC14" i="3"/>
  <c r="AF14" i="3"/>
  <c r="Z14" i="3"/>
  <c r="AB14" i="3"/>
  <c r="AD14" i="3"/>
  <c r="AE14" i="3"/>
  <c r="AA29" i="3"/>
  <c r="AD29" i="3"/>
  <c r="AE29" i="3"/>
  <c r="AB29" i="3"/>
  <c r="AF29" i="3"/>
  <c r="AC29" i="3"/>
  <c r="Z29" i="3"/>
  <c r="X26" i="3"/>
  <c r="R26" i="3"/>
  <c r="S26" i="3"/>
  <c r="U26" i="3"/>
  <c r="W26" i="3"/>
  <c r="V26" i="3"/>
  <c r="T26" i="3"/>
  <c r="B26" i="3"/>
  <c r="W8" i="3"/>
  <c r="V8" i="3"/>
  <c r="X8" i="3"/>
  <c r="T8" i="3"/>
  <c r="S8" i="3"/>
  <c r="R8" i="3"/>
  <c r="B8" i="3"/>
  <c r="U8" i="3"/>
  <c r="AD310" i="3"/>
  <c r="AC310" i="3"/>
  <c r="AE310" i="3"/>
  <c r="AF310" i="3"/>
  <c r="Z310" i="3"/>
  <c r="AB310" i="3"/>
  <c r="AA310" i="3"/>
  <c r="AA272" i="3"/>
  <c r="AC272" i="3"/>
  <c r="AD272" i="3"/>
  <c r="Z272" i="3"/>
  <c r="AF272" i="3"/>
  <c r="AB272" i="3"/>
  <c r="AE272" i="3"/>
  <c r="S314" i="3"/>
  <c r="T314" i="3"/>
  <c r="X314" i="3"/>
  <c r="W314" i="3"/>
  <c r="V314" i="3"/>
  <c r="B314" i="3"/>
  <c r="R314" i="3"/>
  <c r="U314" i="3"/>
  <c r="S250" i="3"/>
  <c r="V250" i="3"/>
  <c r="B250" i="3"/>
  <c r="R250" i="3"/>
  <c r="T250" i="3"/>
  <c r="X250" i="3"/>
  <c r="U250" i="3"/>
  <c r="W250" i="3"/>
  <c r="R199" i="3"/>
  <c r="S199" i="3"/>
  <c r="T199" i="3"/>
  <c r="U199" i="3"/>
  <c r="W199" i="3"/>
  <c r="V199" i="3"/>
  <c r="B199" i="3"/>
  <c r="X199" i="3"/>
  <c r="AB308" i="3"/>
  <c r="AA308" i="3"/>
  <c r="AC308" i="3"/>
  <c r="AD308" i="3"/>
  <c r="AE308" i="3"/>
  <c r="AF308" i="3"/>
  <c r="Z308" i="3"/>
  <c r="Z297" i="3"/>
  <c r="AA297" i="3"/>
  <c r="AB297" i="3"/>
  <c r="AC297" i="3"/>
  <c r="AD297" i="3"/>
  <c r="AF297" i="3"/>
  <c r="AE297" i="3"/>
  <c r="R313" i="3"/>
  <c r="S313" i="3"/>
  <c r="B313" i="3"/>
  <c r="T313" i="3"/>
  <c r="U313" i="3"/>
  <c r="V313" i="3"/>
  <c r="W313" i="3"/>
  <c r="X313" i="3"/>
  <c r="S347" i="3"/>
  <c r="B347" i="3"/>
  <c r="X347" i="3"/>
  <c r="V347" i="3"/>
  <c r="R347" i="3"/>
  <c r="W347" i="3"/>
  <c r="T347" i="3"/>
  <c r="U347" i="3"/>
  <c r="AD306" i="3"/>
  <c r="AE306" i="3"/>
  <c r="AF306" i="3"/>
  <c r="Z306" i="3"/>
  <c r="AA306" i="3"/>
  <c r="AB306" i="3"/>
  <c r="AC306" i="3"/>
  <c r="S346" i="3"/>
  <c r="T346" i="3"/>
  <c r="U346" i="3"/>
  <c r="X346" i="3"/>
  <c r="B346" i="3"/>
  <c r="R346" i="3"/>
  <c r="W346" i="3"/>
  <c r="V346" i="3"/>
  <c r="T322" i="3"/>
  <c r="V322" i="3"/>
  <c r="R322" i="3"/>
  <c r="U322" i="3"/>
  <c r="W322" i="3"/>
  <c r="S322" i="3"/>
  <c r="X322" i="3"/>
  <c r="B322" i="3"/>
  <c r="S301" i="3"/>
  <c r="T301" i="3"/>
  <c r="R301" i="3"/>
  <c r="U301" i="3"/>
  <c r="V301" i="3"/>
  <c r="W301" i="3"/>
  <c r="X301" i="3"/>
  <c r="B301" i="3"/>
  <c r="R345" i="3"/>
  <c r="S345" i="3"/>
  <c r="W345" i="3"/>
  <c r="T345" i="3"/>
  <c r="U345" i="3"/>
  <c r="B345" i="3"/>
  <c r="V345" i="3"/>
  <c r="X345" i="3"/>
  <c r="AC331" i="3"/>
  <c r="Z331" i="3"/>
  <c r="AB331" i="3"/>
  <c r="AE331" i="3"/>
  <c r="AA331" i="3"/>
  <c r="AF331" i="3"/>
  <c r="AD331" i="3"/>
  <c r="S263" i="3"/>
  <c r="T263" i="3"/>
  <c r="V263" i="3"/>
  <c r="X263" i="3"/>
  <c r="U263" i="3"/>
  <c r="W263" i="3"/>
  <c r="R263" i="3"/>
  <c r="B263" i="3"/>
  <c r="T332" i="3"/>
  <c r="B332" i="3"/>
  <c r="W332" i="3"/>
  <c r="X332" i="3"/>
  <c r="R332" i="3"/>
  <c r="U332" i="3"/>
  <c r="V332" i="3"/>
  <c r="S332" i="3"/>
  <c r="S333" i="3"/>
  <c r="T333" i="3"/>
  <c r="U333" i="3"/>
  <c r="B333" i="3"/>
  <c r="W333" i="3"/>
  <c r="R333" i="3"/>
  <c r="V333" i="3"/>
  <c r="X333" i="3"/>
  <c r="AA319" i="3"/>
  <c r="AF319" i="3"/>
  <c r="AB319" i="3"/>
  <c r="AC319" i="3"/>
  <c r="AE319" i="3"/>
  <c r="Z319" i="3"/>
  <c r="AD319" i="3"/>
  <c r="R307" i="3"/>
  <c r="B307" i="3"/>
  <c r="T307" i="3"/>
  <c r="W307" i="3"/>
  <c r="U307" i="3"/>
  <c r="V307" i="3"/>
  <c r="X307" i="3"/>
  <c r="S307" i="3"/>
  <c r="X295" i="3"/>
  <c r="S295" i="3"/>
  <c r="R295" i="3"/>
  <c r="T295" i="3"/>
  <c r="U295" i="3"/>
  <c r="V295" i="3"/>
  <c r="W295" i="3"/>
  <c r="B295" i="3"/>
  <c r="AA301" i="3"/>
  <c r="AE301" i="3"/>
  <c r="AF301" i="3"/>
  <c r="Z301" i="3"/>
  <c r="AB301" i="3"/>
  <c r="AC301" i="3"/>
  <c r="AD301" i="3"/>
  <c r="S254" i="3"/>
  <c r="B254" i="3"/>
  <c r="R254" i="3"/>
  <c r="V254" i="3"/>
  <c r="T254" i="3"/>
  <c r="U254" i="3"/>
  <c r="W254" i="3"/>
  <c r="X254" i="3"/>
  <c r="W243" i="3"/>
  <c r="R243" i="3"/>
  <c r="T243" i="3"/>
  <c r="U243" i="3"/>
  <c r="V243" i="3"/>
  <c r="B243" i="3"/>
  <c r="X243" i="3"/>
  <c r="S243" i="3"/>
  <c r="AB230" i="3"/>
  <c r="AC230" i="3"/>
  <c r="AD230" i="3"/>
  <c r="AE230" i="3"/>
  <c r="AF230" i="3"/>
  <c r="AA230" i="3"/>
  <c r="Z230" i="3"/>
  <c r="X222" i="3"/>
  <c r="V222" i="3"/>
  <c r="W222" i="3"/>
  <c r="B222" i="3"/>
  <c r="R222" i="3"/>
  <c r="S222" i="3"/>
  <c r="T222" i="3"/>
  <c r="U222" i="3"/>
  <c r="U285" i="3"/>
  <c r="X285" i="3"/>
  <c r="W285" i="3"/>
  <c r="R285" i="3"/>
  <c r="T285" i="3"/>
  <c r="B285" i="3"/>
  <c r="V285" i="3"/>
  <c r="S285" i="3"/>
  <c r="V244" i="3"/>
  <c r="W244" i="3"/>
  <c r="S244" i="3"/>
  <c r="U244" i="3"/>
  <c r="B244" i="3"/>
  <c r="R244" i="3"/>
  <c r="X244" i="3"/>
  <c r="T244" i="3"/>
  <c r="V281" i="3"/>
  <c r="W281" i="3"/>
  <c r="X281" i="3"/>
  <c r="R281" i="3"/>
  <c r="U281" i="3"/>
  <c r="S281" i="3"/>
  <c r="T281" i="3"/>
  <c r="B281" i="3"/>
  <c r="AA250" i="3"/>
  <c r="AB250" i="3"/>
  <c r="AC250" i="3"/>
  <c r="AE250" i="3"/>
  <c r="Z250" i="3"/>
  <c r="AD250" i="3"/>
  <c r="AF250" i="3"/>
  <c r="R139" i="3"/>
  <c r="V139" i="3"/>
  <c r="T139" i="3"/>
  <c r="U139" i="3"/>
  <c r="W139" i="3"/>
  <c r="S139" i="3"/>
  <c r="X139" i="3"/>
  <c r="B139" i="3"/>
  <c r="R286" i="3"/>
  <c r="X286" i="3"/>
  <c r="W286" i="3"/>
  <c r="B286" i="3"/>
  <c r="V286" i="3"/>
  <c r="S286" i="3"/>
  <c r="T286" i="3"/>
  <c r="U286" i="3"/>
  <c r="AA270" i="3"/>
  <c r="Z270" i="3"/>
  <c r="AC270" i="3"/>
  <c r="AE270" i="3"/>
  <c r="AB270" i="3"/>
  <c r="AF270" i="3"/>
  <c r="AD270" i="3"/>
  <c r="T264" i="3"/>
  <c r="X264" i="3"/>
  <c r="V264" i="3"/>
  <c r="W264" i="3"/>
  <c r="R264" i="3"/>
  <c r="U264" i="3"/>
  <c r="B264" i="3"/>
  <c r="S264" i="3"/>
  <c r="T179" i="3"/>
  <c r="U179" i="3"/>
  <c r="V179" i="3"/>
  <c r="W179" i="3"/>
  <c r="S179" i="3"/>
  <c r="R179" i="3"/>
  <c r="X179" i="3"/>
  <c r="B179" i="3"/>
  <c r="AB224" i="3"/>
  <c r="Z224" i="3"/>
  <c r="AA224" i="3"/>
  <c r="AD224" i="3"/>
  <c r="AF224" i="3"/>
  <c r="AE224" i="3"/>
  <c r="AC224" i="3"/>
  <c r="T208" i="3"/>
  <c r="B208" i="3"/>
  <c r="S208" i="3"/>
  <c r="R208" i="3"/>
  <c r="X208" i="3"/>
  <c r="V208" i="3"/>
  <c r="W208" i="3"/>
  <c r="U208" i="3"/>
  <c r="AD225" i="3"/>
  <c r="AE225" i="3"/>
  <c r="AF225" i="3"/>
  <c r="Z225" i="3"/>
  <c r="AA225" i="3"/>
  <c r="AB225" i="3"/>
  <c r="AC225" i="3"/>
  <c r="AF212" i="3"/>
  <c r="AA212" i="3"/>
  <c r="AD212" i="3"/>
  <c r="AE212" i="3"/>
  <c r="AB212" i="3"/>
  <c r="Z212" i="3"/>
  <c r="AC212" i="3"/>
  <c r="AE155" i="3"/>
  <c r="AB155" i="3"/>
  <c r="AC155" i="3"/>
  <c r="AD155" i="3"/>
  <c r="AA155" i="3"/>
  <c r="AF155" i="3"/>
  <c r="Z155" i="3"/>
  <c r="X214" i="3"/>
  <c r="U214" i="3"/>
  <c r="V214" i="3"/>
  <c r="B214" i="3"/>
  <c r="T214" i="3"/>
  <c r="W214" i="3"/>
  <c r="S214" i="3"/>
  <c r="R214" i="3"/>
  <c r="AF220" i="3"/>
  <c r="AA220" i="3"/>
  <c r="AD220" i="3"/>
  <c r="AE220" i="3"/>
  <c r="AC220" i="3"/>
  <c r="Z220" i="3"/>
  <c r="AB220" i="3"/>
  <c r="Z176" i="3"/>
  <c r="AF176" i="3"/>
  <c r="AA176" i="3"/>
  <c r="AD176" i="3"/>
  <c r="AB176" i="3"/>
  <c r="AC176" i="3"/>
  <c r="AE176" i="3"/>
  <c r="AB181" i="3"/>
  <c r="AD181" i="3"/>
  <c r="AE181" i="3"/>
  <c r="AF181" i="3"/>
  <c r="AA181" i="3"/>
  <c r="AC181" i="3"/>
  <c r="Z181" i="3"/>
  <c r="X156" i="3"/>
  <c r="W156" i="3"/>
  <c r="V156" i="3"/>
  <c r="T156" i="3"/>
  <c r="R156" i="3"/>
  <c r="S156" i="3"/>
  <c r="B156" i="3"/>
  <c r="U156" i="3"/>
  <c r="S201" i="3"/>
  <c r="T201" i="3"/>
  <c r="U201" i="3"/>
  <c r="V201" i="3"/>
  <c r="W201" i="3"/>
  <c r="X201" i="3"/>
  <c r="R201" i="3"/>
  <c r="B201" i="3"/>
  <c r="V165" i="3"/>
  <c r="W165" i="3"/>
  <c r="X165" i="3"/>
  <c r="R165" i="3"/>
  <c r="S165" i="3"/>
  <c r="T165" i="3"/>
  <c r="U165" i="3"/>
  <c r="H165" i="3" s="1"/>
  <c r="B165" i="3"/>
  <c r="R159" i="3"/>
  <c r="W159" i="3"/>
  <c r="X159" i="3"/>
  <c r="B159" i="3"/>
  <c r="S159" i="3"/>
  <c r="T159" i="3"/>
  <c r="U159" i="3"/>
  <c r="H159" i="3" s="1"/>
  <c r="V159" i="3"/>
  <c r="AA147" i="3"/>
  <c r="Z147" i="3"/>
  <c r="AD147" i="3"/>
  <c r="AF147" i="3"/>
  <c r="AC147" i="3"/>
  <c r="AB147" i="3"/>
  <c r="AE147" i="3"/>
  <c r="R138" i="3"/>
  <c r="U138" i="3"/>
  <c r="X138" i="3"/>
  <c r="B138" i="3"/>
  <c r="V138" i="3"/>
  <c r="W138" i="3"/>
  <c r="T138" i="3"/>
  <c r="S138" i="3"/>
  <c r="Z183" i="3"/>
  <c r="AF183" i="3"/>
  <c r="AD183" i="3"/>
  <c r="AC183" i="3"/>
  <c r="AB183" i="3"/>
  <c r="AA183" i="3"/>
  <c r="AE183" i="3"/>
  <c r="AA196" i="3"/>
  <c r="Z196" i="3"/>
  <c r="AC196" i="3"/>
  <c r="AE196" i="3"/>
  <c r="AF196" i="3"/>
  <c r="AD196" i="3"/>
  <c r="AB196" i="3"/>
  <c r="S150" i="3"/>
  <c r="T150" i="3"/>
  <c r="U150" i="3"/>
  <c r="V150" i="3"/>
  <c r="X150" i="3"/>
  <c r="R150" i="3"/>
  <c r="W150" i="3"/>
  <c r="B150" i="3"/>
  <c r="Z202" i="3"/>
  <c r="AA202" i="3"/>
  <c r="AB202" i="3"/>
  <c r="AC202" i="3"/>
  <c r="AD202" i="3"/>
  <c r="AE202" i="3"/>
  <c r="AF202" i="3"/>
  <c r="AA167" i="3"/>
  <c r="AB167" i="3"/>
  <c r="AD167" i="3"/>
  <c r="AE167" i="3"/>
  <c r="AF167" i="3"/>
  <c r="AC167" i="3"/>
  <c r="Z167" i="3"/>
  <c r="V145" i="3"/>
  <c r="B145" i="3"/>
  <c r="X145" i="3"/>
  <c r="R145" i="3"/>
  <c r="U145" i="3"/>
  <c r="W145" i="3"/>
  <c r="S145" i="3"/>
  <c r="T145" i="3"/>
  <c r="AC124" i="3"/>
  <c r="Z124" i="3"/>
  <c r="AA124" i="3"/>
  <c r="AB124" i="3"/>
  <c r="AE124" i="3"/>
  <c r="AF124" i="3"/>
  <c r="AD124" i="3"/>
  <c r="AC140" i="3"/>
  <c r="Z140" i="3"/>
  <c r="AA140" i="3"/>
  <c r="AB140" i="3"/>
  <c r="AD140" i="3"/>
  <c r="AE140" i="3"/>
  <c r="AF140" i="3"/>
  <c r="AF135" i="3"/>
  <c r="Z135" i="3"/>
  <c r="AC135" i="3"/>
  <c r="AE135" i="3"/>
  <c r="AD135" i="3"/>
  <c r="AB135" i="3"/>
  <c r="AA135" i="3"/>
  <c r="S117" i="3"/>
  <c r="T117" i="3"/>
  <c r="U117" i="3"/>
  <c r="B117" i="3"/>
  <c r="V117" i="3"/>
  <c r="W117" i="3"/>
  <c r="X117" i="3"/>
  <c r="R117" i="3"/>
  <c r="AA78" i="3"/>
  <c r="AC78" i="3"/>
  <c r="AD78" i="3"/>
  <c r="AE78" i="3"/>
  <c r="AF78" i="3"/>
  <c r="AB78" i="3"/>
  <c r="Z78" i="3"/>
  <c r="W111" i="3"/>
  <c r="U111" i="3"/>
  <c r="T111" i="3"/>
  <c r="S111" i="3"/>
  <c r="B111" i="3"/>
  <c r="X111" i="3"/>
  <c r="V111" i="3"/>
  <c r="R111" i="3"/>
  <c r="Z69" i="3"/>
  <c r="AC69" i="3"/>
  <c r="AD69" i="3"/>
  <c r="AE69" i="3"/>
  <c r="AB69" i="3"/>
  <c r="AA69" i="3"/>
  <c r="AF69" i="3"/>
  <c r="S114" i="3"/>
  <c r="X114" i="3"/>
  <c r="T114" i="3"/>
  <c r="U114" i="3"/>
  <c r="B114" i="3"/>
  <c r="V114" i="3"/>
  <c r="W114" i="3"/>
  <c r="R114" i="3"/>
  <c r="Z92" i="3"/>
  <c r="AF92" i="3"/>
  <c r="AA92" i="3"/>
  <c r="AB92" i="3"/>
  <c r="AE92" i="3"/>
  <c r="AC92" i="3"/>
  <c r="AD92" i="3"/>
  <c r="AC113" i="3"/>
  <c r="AD113" i="3"/>
  <c r="AE113" i="3"/>
  <c r="AF113" i="3"/>
  <c r="Z113" i="3"/>
  <c r="AA113" i="3"/>
  <c r="AB113" i="3"/>
  <c r="X101" i="3"/>
  <c r="R101" i="3"/>
  <c r="S101" i="3"/>
  <c r="V101" i="3"/>
  <c r="B101" i="3"/>
  <c r="U101" i="3"/>
  <c r="T101" i="3"/>
  <c r="W101" i="3"/>
  <c r="U110" i="3"/>
  <c r="V110" i="3"/>
  <c r="R110" i="3"/>
  <c r="S110" i="3"/>
  <c r="T110" i="3"/>
  <c r="W110" i="3"/>
  <c r="X110" i="3"/>
  <c r="B110" i="3"/>
  <c r="R115" i="3"/>
  <c r="S115" i="3"/>
  <c r="U115" i="3"/>
  <c r="V115" i="3"/>
  <c r="W115" i="3"/>
  <c r="X115" i="3"/>
  <c r="T115" i="3"/>
  <c r="B115" i="3"/>
  <c r="Z75" i="3"/>
  <c r="AA75" i="3"/>
  <c r="AE75" i="3"/>
  <c r="AC75" i="3"/>
  <c r="AD75" i="3"/>
  <c r="AF75" i="3"/>
  <c r="AB75" i="3"/>
  <c r="Z100" i="3"/>
  <c r="AA100" i="3"/>
  <c r="AE100" i="3"/>
  <c r="AD100" i="3"/>
  <c r="AF100" i="3"/>
  <c r="AC100" i="3"/>
  <c r="AB100" i="3"/>
  <c r="AE9" i="3"/>
  <c r="AF9" i="3"/>
  <c r="Z9" i="3"/>
  <c r="AB9" i="3"/>
  <c r="AC9" i="3"/>
  <c r="AA9" i="3"/>
  <c r="AD9" i="3"/>
  <c r="AD73" i="3"/>
  <c r="Z73" i="3"/>
  <c r="AA73" i="3"/>
  <c r="AE73" i="3"/>
  <c r="AB73" i="3"/>
  <c r="AF73" i="3"/>
  <c r="AC73" i="3"/>
  <c r="AC70" i="3"/>
  <c r="AD70" i="3"/>
  <c r="AF70" i="3"/>
  <c r="AB70" i="3"/>
  <c r="AA70" i="3"/>
  <c r="Z70" i="3"/>
  <c r="AE70" i="3"/>
  <c r="U64" i="3"/>
  <c r="R64" i="3"/>
  <c r="S64" i="3"/>
  <c r="T64" i="3"/>
  <c r="V64" i="3"/>
  <c r="B64" i="3"/>
  <c r="X64" i="3"/>
  <c r="W64" i="3"/>
  <c r="R73" i="3"/>
  <c r="B73" i="3"/>
  <c r="X73" i="3"/>
  <c r="U73" i="3"/>
  <c r="V73" i="3"/>
  <c r="S73" i="3"/>
  <c r="T73" i="3"/>
  <c r="W73" i="3"/>
  <c r="AC56" i="3"/>
  <c r="Z56" i="3"/>
  <c r="AA56" i="3"/>
  <c r="AB56" i="3"/>
  <c r="AD56" i="3"/>
  <c r="AE56" i="3"/>
  <c r="AF56" i="3"/>
  <c r="Z50" i="3"/>
  <c r="AF50" i="3"/>
  <c r="AB50" i="3"/>
  <c r="AC50" i="3"/>
  <c r="AD50" i="3"/>
  <c r="AE50" i="3"/>
  <c r="AA50" i="3"/>
  <c r="S22" i="3"/>
  <c r="X22" i="3"/>
  <c r="R22" i="3"/>
  <c r="T22" i="3"/>
  <c r="U22" i="3"/>
  <c r="V22" i="3"/>
  <c r="B22" i="3"/>
  <c r="W22" i="3"/>
  <c r="B52" i="3"/>
  <c r="U52" i="3"/>
  <c r="V52" i="3"/>
  <c r="W52" i="3"/>
  <c r="X52" i="3"/>
  <c r="T52" i="3"/>
  <c r="S52" i="3"/>
  <c r="R52" i="3"/>
  <c r="U23" i="3"/>
  <c r="S23" i="3"/>
  <c r="B23" i="3"/>
  <c r="R23" i="3"/>
  <c r="W23" i="3"/>
  <c r="V23" i="3"/>
  <c r="T23" i="3"/>
  <c r="X23" i="3"/>
  <c r="AC64" i="3"/>
  <c r="AA64" i="3"/>
  <c r="AB64" i="3"/>
  <c r="Z64" i="3"/>
  <c r="AF64" i="3"/>
  <c r="AE64" i="3"/>
  <c r="AD64" i="3"/>
  <c r="V60" i="3"/>
  <c r="W60" i="3"/>
  <c r="X60" i="3"/>
  <c r="R60" i="3"/>
  <c r="B60" i="3"/>
  <c r="U60" i="3"/>
  <c r="T60" i="3"/>
  <c r="S60" i="3"/>
  <c r="AE54" i="3"/>
  <c r="Z54" i="3"/>
  <c r="AD54" i="3"/>
  <c r="AB54" i="3"/>
  <c r="AC54" i="3"/>
  <c r="AF54" i="3"/>
  <c r="AA54" i="3"/>
  <c r="AA39" i="3"/>
  <c r="AB39" i="3"/>
  <c r="Z39" i="3"/>
  <c r="AC39" i="3"/>
  <c r="AF39" i="3"/>
  <c r="AD39" i="3"/>
  <c r="AE39" i="3"/>
  <c r="Z62" i="3"/>
  <c r="AD62" i="3"/>
  <c r="AF62" i="3"/>
  <c r="AE62" i="3"/>
  <c r="AA62" i="3"/>
  <c r="AC62" i="3"/>
  <c r="AB62" i="3"/>
  <c r="AA53" i="3"/>
  <c r="AB53" i="3"/>
  <c r="AF53" i="3"/>
  <c r="AC53" i="3"/>
  <c r="AD53" i="3"/>
  <c r="AE53" i="3"/>
  <c r="Z53" i="3"/>
  <c r="R18" i="3"/>
  <c r="T18" i="3"/>
  <c r="B18" i="3"/>
  <c r="S18" i="3"/>
  <c r="V18" i="3"/>
  <c r="X18" i="3"/>
  <c r="U18" i="3"/>
  <c r="W18" i="3"/>
  <c r="R37" i="3"/>
  <c r="T37" i="3"/>
  <c r="X37" i="3"/>
  <c r="B37" i="3"/>
  <c r="S37" i="3"/>
  <c r="V37" i="3"/>
  <c r="U37" i="3"/>
  <c r="W37" i="3"/>
  <c r="Z26" i="3"/>
  <c r="AF26" i="3"/>
  <c r="AA26" i="3"/>
  <c r="AB26" i="3"/>
  <c r="AD26" i="3"/>
  <c r="AE26" i="3"/>
  <c r="AC26" i="3"/>
  <c r="AA21" i="3"/>
  <c r="AB21" i="3"/>
  <c r="AE21" i="3"/>
  <c r="AF21" i="3"/>
  <c r="AC21" i="3"/>
  <c r="Z21" i="3"/>
  <c r="AD21" i="3"/>
  <c r="AE10" i="3"/>
  <c r="AC10" i="3"/>
  <c r="Z10" i="3"/>
  <c r="AA10" i="3"/>
  <c r="AB10" i="3"/>
  <c r="AD10" i="3"/>
  <c r="AF10" i="3"/>
  <c r="R336" i="3"/>
  <c r="S336" i="3"/>
  <c r="T336" i="3"/>
  <c r="W336" i="3"/>
  <c r="X336" i="3"/>
  <c r="U336" i="3"/>
  <c r="B336" i="3"/>
  <c r="V336" i="3"/>
  <c r="Z307" i="3"/>
  <c r="AA307" i="3"/>
  <c r="AB307" i="3"/>
  <c r="AC307" i="3"/>
  <c r="AD307" i="3"/>
  <c r="AF307" i="3"/>
  <c r="AE307" i="3"/>
  <c r="AB232" i="3"/>
  <c r="Z232" i="3"/>
  <c r="AA232" i="3"/>
  <c r="AC232" i="3"/>
  <c r="AE232" i="3"/>
  <c r="AF232" i="3"/>
  <c r="AD232" i="3"/>
  <c r="AA150" i="3"/>
  <c r="AD150" i="3"/>
  <c r="AF150" i="3"/>
  <c r="AB150" i="3"/>
  <c r="Z150" i="3"/>
  <c r="AC150" i="3"/>
  <c r="AE150" i="3"/>
  <c r="AF164" i="3"/>
  <c r="AB164" i="3"/>
  <c r="AC164" i="3"/>
  <c r="AD164" i="3"/>
  <c r="AE164" i="3"/>
  <c r="AA164" i="3"/>
  <c r="Z164" i="3"/>
  <c r="R202" i="3"/>
  <c r="S202" i="3"/>
  <c r="T202" i="3"/>
  <c r="U202" i="3"/>
  <c r="V202" i="3"/>
  <c r="W202" i="3"/>
  <c r="B202" i="3"/>
  <c r="X202" i="3"/>
  <c r="W155" i="3"/>
  <c r="R155" i="3"/>
  <c r="S155" i="3"/>
  <c r="T155" i="3"/>
  <c r="U155" i="3"/>
  <c r="V155" i="3"/>
  <c r="X155" i="3"/>
  <c r="B155" i="3"/>
  <c r="AD141" i="3"/>
  <c r="AE141" i="3"/>
  <c r="AF141" i="3"/>
  <c r="Z141" i="3"/>
  <c r="AA141" i="3"/>
  <c r="AB141" i="3"/>
  <c r="AC141" i="3"/>
  <c r="U130" i="3"/>
  <c r="V130" i="3"/>
  <c r="X130" i="3"/>
  <c r="B130" i="3"/>
  <c r="T130" i="3"/>
  <c r="W130" i="3"/>
  <c r="R130" i="3"/>
  <c r="S130" i="3"/>
  <c r="Z123" i="3"/>
  <c r="AA123" i="3"/>
  <c r="AE123" i="3"/>
  <c r="AF123" i="3"/>
  <c r="AD123" i="3"/>
  <c r="AB123" i="3"/>
  <c r="AC123" i="3"/>
  <c r="T71" i="3"/>
  <c r="B71" i="3"/>
  <c r="S71" i="3"/>
  <c r="R71" i="3"/>
  <c r="U71" i="3"/>
  <c r="X71" i="3"/>
  <c r="W71" i="3"/>
  <c r="V71" i="3"/>
  <c r="AF127" i="3"/>
  <c r="Z127" i="3"/>
  <c r="AC127" i="3"/>
  <c r="AD127" i="3"/>
  <c r="AE127" i="3"/>
  <c r="AB127" i="3"/>
  <c r="AA127" i="3"/>
  <c r="AA122" i="3"/>
  <c r="AB122" i="3"/>
  <c r="AF122" i="3"/>
  <c r="Z122" i="3"/>
  <c r="AC122" i="3"/>
  <c r="AD122" i="3"/>
  <c r="AE122" i="3"/>
  <c r="U109" i="3"/>
  <c r="T109" i="3"/>
  <c r="V109" i="3"/>
  <c r="W109" i="3"/>
  <c r="X109" i="3"/>
  <c r="R109" i="3"/>
  <c r="S109" i="3"/>
  <c r="B109" i="3"/>
  <c r="S61" i="3"/>
  <c r="X61" i="3"/>
  <c r="W61" i="3"/>
  <c r="T61" i="3"/>
  <c r="U61" i="3"/>
  <c r="B61" i="3"/>
  <c r="V61" i="3"/>
  <c r="R61" i="3"/>
  <c r="V102" i="3"/>
  <c r="T102" i="3"/>
  <c r="U102" i="3"/>
  <c r="B102" i="3"/>
  <c r="X102" i="3"/>
  <c r="R102" i="3"/>
  <c r="S102" i="3"/>
  <c r="W102" i="3"/>
  <c r="AE74" i="3"/>
  <c r="AC74" i="3"/>
  <c r="AD74" i="3"/>
  <c r="AF74" i="3"/>
  <c r="AB74" i="3"/>
  <c r="AA74" i="3"/>
  <c r="Z74" i="3"/>
  <c r="U113" i="3"/>
  <c r="B113" i="3"/>
  <c r="V113" i="3"/>
  <c r="W113" i="3"/>
  <c r="X113" i="3"/>
  <c r="R113" i="3"/>
  <c r="S113" i="3"/>
  <c r="T113" i="3"/>
  <c r="Z103" i="3"/>
  <c r="AA103" i="3"/>
  <c r="AD103" i="3"/>
  <c r="AE103" i="3"/>
  <c r="AC103" i="3"/>
  <c r="AB103" i="3"/>
  <c r="AF103" i="3"/>
  <c r="V81" i="3"/>
  <c r="S81" i="3"/>
  <c r="T81" i="3"/>
  <c r="U81" i="3"/>
  <c r="W81" i="3"/>
  <c r="X81" i="3"/>
  <c r="R81" i="3"/>
  <c r="B81" i="3"/>
  <c r="AB108" i="3"/>
  <c r="Z108" i="3"/>
  <c r="AA108" i="3"/>
  <c r="AF108" i="3"/>
  <c r="AC108" i="3"/>
  <c r="AE108" i="3"/>
  <c r="AD108" i="3"/>
  <c r="Z82" i="3"/>
  <c r="AA82" i="3"/>
  <c r="AD82" i="3"/>
  <c r="AF82" i="3"/>
  <c r="AB82" i="3"/>
  <c r="AE82" i="3"/>
  <c r="AC82" i="3"/>
  <c r="S89" i="3"/>
  <c r="U89" i="3"/>
  <c r="W89" i="3"/>
  <c r="X89" i="3"/>
  <c r="V89" i="3"/>
  <c r="T89" i="3"/>
  <c r="R89" i="3"/>
  <c r="B89" i="3"/>
  <c r="S78" i="3"/>
  <c r="R78" i="3"/>
  <c r="T78" i="3"/>
  <c r="U78" i="3"/>
  <c r="B78" i="3"/>
  <c r="V78" i="3"/>
  <c r="X78" i="3"/>
  <c r="W78" i="3"/>
  <c r="V65" i="3"/>
  <c r="R65" i="3"/>
  <c r="S65" i="3"/>
  <c r="T65" i="3"/>
  <c r="B65" i="3"/>
  <c r="X65" i="3"/>
  <c r="U65" i="3"/>
  <c r="W65" i="3"/>
  <c r="S30" i="3"/>
  <c r="X30" i="3"/>
  <c r="R30" i="3"/>
  <c r="T30" i="3"/>
  <c r="U30" i="3"/>
  <c r="B30" i="3"/>
  <c r="V30" i="3"/>
  <c r="W30" i="3"/>
  <c r="AA61" i="3"/>
  <c r="AD61" i="3"/>
  <c r="Z61" i="3"/>
  <c r="AB61" i="3"/>
  <c r="AE61" i="3"/>
  <c r="AC61" i="3"/>
  <c r="AF61" i="3"/>
  <c r="B45" i="3"/>
  <c r="V45" i="3"/>
  <c r="W45" i="3"/>
  <c r="X45" i="3"/>
  <c r="U45" i="3"/>
  <c r="T45" i="3"/>
  <c r="S45" i="3"/>
  <c r="R45" i="3"/>
  <c r="Z59" i="3"/>
  <c r="AC59" i="3"/>
  <c r="AD59" i="3"/>
  <c r="AE59" i="3"/>
  <c r="AB59" i="3"/>
  <c r="AA59" i="3"/>
  <c r="AF59" i="3"/>
  <c r="AD44" i="3"/>
  <c r="AE44" i="3"/>
  <c r="AF44" i="3"/>
  <c r="Z44" i="3"/>
  <c r="AC44" i="3"/>
  <c r="AA44" i="3"/>
  <c r="AB44" i="3"/>
  <c r="U31" i="3"/>
  <c r="W31" i="3"/>
  <c r="X31" i="3"/>
  <c r="S31" i="3"/>
  <c r="V31" i="3"/>
  <c r="B31" i="3"/>
  <c r="R31" i="3"/>
  <c r="T31" i="3"/>
  <c r="AF38" i="3"/>
  <c r="Z38" i="3"/>
  <c r="AA38" i="3"/>
  <c r="AB38" i="3"/>
  <c r="AE38" i="3"/>
  <c r="AD38" i="3"/>
  <c r="AC38" i="3"/>
  <c r="AA57" i="3"/>
  <c r="AB57" i="3"/>
  <c r="AC57" i="3"/>
  <c r="AF57" i="3"/>
  <c r="AD57" i="3"/>
  <c r="Z57" i="3"/>
  <c r="AE57" i="3"/>
  <c r="AF37" i="3"/>
  <c r="Z37" i="3"/>
  <c r="AA37" i="3"/>
  <c r="AE37" i="3"/>
  <c r="AB37" i="3"/>
  <c r="AD37" i="3"/>
  <c r="AC37" i="3"/>
  <c r="AF31" i="3"/>
  <c r="AD31" i="3"/>
  <c r="AE31" i="3"/>
  <c r="Z31" i="3"/>
  <c r="AB31" i="3"/>
  <c r="AA31" i="3"/>
  <c r="AC31" i="3"/>
  <c r="U34" i="3"/>
  <c r="V34" i="3"/>
  <c r="B34" i="3"/>
  <c r="T34" i="3"/>
  <c r="X34" i="3"/>
  <c r="W34" i="3"/>
  <c r="R34" i="3"/>
  <c r="S34" i="3"/>
  <c r="Z15" i="3"/>
  <c r="AF15" i="3"/>
  <c r="AA15" i="3"/>
  <c r="AC15" i="3"/>
  <c r="AD15" i="3"/>
  <c r="AE15" i="3"/>
  <c r="AB15" i="3"/>
  <c r="AB20" i="3"/>
  <c r="AC20" i="3"/>
  <c r="AD20" i="3"/>
  <c r="AE20" i="3"/>
  <c r="AF20" i="3"/>
  <c r="AA20" i="3"/>
  <c r="Z20" i="3"/>
  <c r="AA13" i="3"/>
  <c r="AC13" i="3"/>
  <c r="Z13" i="3"/>
  <c r="AD13" i="3"/>
  <c r="AB13" i="3"/>
  <c r="AE13" i="3"/>
  <c r="AF13" i="3"/>
  <c r="R270" i="3"/>
  <c r="S270" i="3"/>
  <c r="X270" i="3"/>
  <c r="T270" i="3"/>
  <c r="B270" i="3"/>
  <c r="V270" i="3"/>
  <c r="W270" i="3"/>
  <c r="U270" i="3"/>
  <c r="R248" i="3"/>
  <c r="W248" i="3"/>
  <c r="U248" i="3"/>
  <c r="X248" i="3"/>
  <c r="S248" i="3"/>
  <c r="T248" i="3"/>
  <c r="B248" i="3"/>
  <c r="V248" i="3"/>
  <c r="AA209" i="3"/>
  <c r="AB209" i="3"/>
  <c r="AC209" i="3"/>
  <c r="AD209" i="3"/>
  <c r="AE209" i="3"/>
  <c r="Z209" i="3"/>
  <c r="AF209" i="3"/>
  <c r="AA187" i="3"/>
  <c r="AB187" i="3"/>
  <c r="AC187" i="3"/>
  <c r="AD187" i="3"/>
  <c r="AF187" i="3"/>
  <c r="Z187" i="3"/>
  <c r="AE187" i="3"/>
  <c r="X172" i="3"/>
  <c r="R172" i="3"/>
  <c r="T172" i="3"/>
  <c r="U172" i="3"/>
  <c r="V172" i="3"/>
  <c r="B172" i="3"/>
  <c r="W172" i="3"/>
  <c r="S172" i="3"/>
  <c r="V350" i="3"/>
  <c r="R350" i="3"/>
  <c r="U350" i="3"/>
  <c r="B350" i="3"/>
  <c r="W350" i="3"/>
  <c r="T350" i="3"/>
  <c r="X350" i="3"/>
  <c r="S350" i="3"/>
  <c r="U319" i="3"/>
  <c r="X319" i="3"/>
  <c r="S319" i="3"/>
  <c r="B319" i="3"/>
  <c r="R319" i="3"/>
  <c r="T319" i="3"/>
  <c r="V319" i="3"/>
  <c r="W319" i="3"/>
  <c r="T309" i="3"/>
  <c r="S309" i="3"/>
  <c r="R309" i="3"/>
  <c r="U309" i="3"/>
  <c r="V309" i="3"/>
  <c r="W309" i="3"/>
  <c r="X309" i="3"/>
  <c r="B309" i="3"/>
  <c r="S335" i="3"/>
  <c r="U335" i="3"/>
  <c r="V335" i="3"/>
  <c r="X335" i="3"/>
  <c r="R335" i="3"/>
  <c r="W335" i="3"/>
  <c r="T335" i="3"/>
  <c r="B335" i="3"/>
  <c r="R297" i="3"/>
  <c r="S297" i="3"/>
  <c r="T297" i="3"/>
  <c r="U297" i="3"/>
  <c r="B297" i="3"/>
  <c r="V297" i="3"/>
  <c r="W297" i="3"/>
  <c r="X297" i="3"/>
  <c r="AD318" i="3"/>
  <c r="Z318" i="3"/>
  <c r="AB318" i="3"/>
  <c r="AC318" i="3"/>
  <c r="AE318" i="3"/>
  <c r="AF318" i="3"/>
  <c r="AA318" i="3"/>
  <c r="Z346" i="3"/>
  <c r="AD346" i="3"/>
  <c r="AA346" i="3"/>
  <c r="AC346" i="3"/>
  <c r="H346" i="3" s="1"/>
  <c r="AF346" i="3"/>
  <c r="AE346" i="3"/>
  <c r="AB346" i="3"/>
  <c r="AA355" i="3"/>
  <c r="Z355" i="3"/>
  <c r="AB355" i="3"/>
  <c r="AC355" i="3"/>
  <c r="AD355" i="3"/>
  <c r="AE355" i="3"/>
  <c r="AF355" i="3"/>
  <c r="Z344" i="3"/>
  <c r="AA344" i="3"/>
  <c r="AB344" i="3"/>
  <c r="AE344" i="3"/>
  <c r="AD344" i="3"/>
  <c r="AC344" i="3"/>
  <c r="AF344" i="3"/>
  <c r="S267" i="3"/>
  <c r="U267" i="3"/>
  <c r="W267" i="3"/>
  <c r="X267" i="3"/>
  <c r="B267" i="3"/>
  <c r="T267" i="3"/>
  <c r="R267" i="3"/>
  <c r="V267" i="3"/>
  <c r="R311" i="3"/>
  <c r="T311" i="3"/>
  <c r="U311" i="3"/>
  <c r="W311" i="3"/>
  <c r="S311" i="3"/>
  <c r="X311" i="3"/>
  <c r="V311" i="3"/>
  <c r="B311" i="3"/>
  <c r="AD294" i="3"/>
  <c r="AF294" i="3"/>
  <c r="AE294" i="3"/>
  <c r="AB294" i="3"/>
  <c r="AC294" i="3"/>
  <c r="AA294" i="3"/>
  <c r="Z294" i="3"/>
  <c r="AE287" i="3"/>
  <c r="Z287" i="3"/>
  <c r="AF287" i="3"/>
  <c r="AD287" i="3"/>
  <c r="AB287" i="3"/>
  <c r="AC287" i="3"/>
  <c r="AA287" i="3"/>
  <c r="T324" i="3"/>
  <c r="W324" i="3"/>
  <c r="X324" i="3"/>
  <c r="R324" i="3"/>
  <c r="E324" i="3" s="1"/>
  <c r="V324" i="3"/>
  <c r="S324" i="3"/>
  <c r="B324" i="3"/>
  <c r="U324" i="3"/>
  <c r="AB332" i="3"/>
  <c r="AF332" i="3"/>
  <c r="Z332" i="3"/>
  <c r="AA332" i="3"/>
  <c r="AC332" i="3"/>
  <c r="AD332" i="3"/>
  <c r="AE332" i="3"/>
  <c r="AA327" i="3"/>
  <c r="AD327" i="3"/>
  <c r="AF327" i="3"/>
  <c r="AC327" i="3"/>
  <c r="Z327" i="3"/>
  <c r="AB327" i="3"/>
  <c r="AE327" i="3"/>
  <c r="V318" i="3"/>
  <c r="R318" i="3"/>
  <c r="T318" i="3"/>
  <c r="U318" i="3"/>
  <c r="W318" i="3"/>
  <c r="B318" i="3"/>
  <c r="X318" i="3"/>
  <c r="S318" i="3"/>
  <c r="S275" i="3"/>
  <c r="R275" i="3"/>
  <c r="T275" i="3"/>
  <c r="U275" i="3"/>
  <c r="V275" i="3"/>
  <c r="W275" i="3"/>
  <c r="B275" i="3"/>
  <c r="X275" i="3"/>
  <c r="AC269" i="3"/>
  <c r="Z269" i="3"/>
  <c r="AA269" i="3"/>
  <c r="AB269" i="3"/>
  <c r="AE269" i="3"/>
  <c r="AF269" i="3"/>
  <c r="AD269" i="3"/>
  <c r="AC253" i="3"/>
  <c r="Z253" i="3"/>
  <c r="AA253" i="3"/>
  <c r="AB253" i="3"/>
  <c r="AD253" i="3"/>
  <c r="AE253" i="3"/>
  <c r="AF253" i="3"/>
  <c r="W219" i="3"/>
  <c r="T219" i="3"/>
  <c r="U219" i="3"/>
  <c r="V219" i="3"/>
  <c r="B219" i="3"/>
  <c r="X219" i="3"/>
  <c r="R219" i="3"/>
  <c r="S219" i="3"/>
  <c r="R272" i="3"/>
  <c r="B272" i="3"/>
  <c r="S272" i="3"/>
  <c r="W272" i="3"/>
  <c r="V272" i="3"/>
  <c r="U272" i="3"/>
  <c r="T272" i="3"/>
  <c r="X272" i="3"/>
  <c r="Z215" i="3"/>
  <c r="AB215" i="3"/>
  <c r="AC215" i="3"/>
  <c r="AE215" i="3"/>
  <c r="AF215" i="3"/>
  <c r="AA215" i="3"/>
  <c r="AD215" i="3"/>
  <c r="W129" i="3"/>
  <c r="X129" i="3"/>
  <c r="B129" i="3"/>
  <c r="R129" i="3"/>
  <c r="S129" i="3"/>
  <c r="V129" i="3"/>
  <c r="T129" i="3"/>
  <c r="U129" i="3"/>
  <c r="AD265" i="3"/>
  <c r="AE265" i="3"/>
  <c r="AF265" i="3"/>
  <c r="Z265" i="3"/>
  <c r="AC265" i="3"/>
  <c r="AA265" i="3"/>
  <c r="AB265" i="3"/>
  <c r="AF238" i="3"/>
  <c r="AE238" i="3"/>
  <c r="AC238" i="3"/>
  <c r="AD238" i="3"/>
  <c r="Z238" i="3"/>
  <c r="AA238" i="3"/>
  <c r="AB238" i="3"/>
  <c r="R215" i="3"/>
  <c r="B215" i="3"/>
  <c r="U215" i="3"/>
  <c r="V215" i="3"/>
  <c r="X215" i="3"/>
  <c r="S215" i="3"/>
  <c r="T215" i="3"/>
  <c r="W215" i="3"/>
  <c r="R261" i="3"/>
  <c r="U261" i="3"/>
  <c r="B261" i="3"/>
  <c r="S261" i="3"/>
  <c r="T261" i="3"/>
  <c r="V261" i="3"/>
  <c r="W261" i="3"/>
  <c r="X261" i="3"/>
  <c r="Z255" i="3"/>
  <c r="AC255" i="3"/>
  <c r="AD255" i="3"/>
  <c r="AF255" i="3"/>
  <c r="AA255" i="3"/>
  <c r="AE255" i="3"/>
  <c r="AB255" i="3"/>
  <c r="Z239" i="3"/>
  <c r="AA239" i="3"/>
  <c r="AB239" i="3"/>
  <c r="AC239" i="3"/>
  <c r="AD239" i="3"/>
  <c r="AE239" i="3"/>
  <c r="AF239" i="3"/>
  <c r="W235" i="3"/>
  <c r="R235" i="3"/>
  <c r="T235" i="3"/>
  <c r="U235" i="3"/>
  <c r="V235" i="3"/>
  <c r="B235" i="3"/>
  <c r="X235" i="3"/>
  <c r="S235" i="3"/>
  <c r="W227" i="3"/>
  <c r="T227" i="3"/>
  <c r="U227" i="3"/>
  <c r="V227" i="3"/>
  <c r="B227" i="3"/>
  <c r="X227" i="3"/>
  <c r="R227" i="3"/>
  <c r="S227" i="3"/>
  <c r="AF206" i="3"/>
  <c r="Z206" i="3"/>
  <c r="AB206" i="3"/>
  <c r="AC206" i="3"/>
  <c r="AA206" i="3"/>
  <c r="AD206" i="3"/>
  <c r="AE206" i="3"/>
  <c r="V210" i="3"/>
  <c r="S210" i="3"/>
  <c r="T210" i="3"/>
  <c r="U210" i="3"/>
  <c r="X210" i="3"/>
  <c r="B210" i="3"/>
  <c r="W210" i="3"/>
  <c r="R210" i="3"/>
  <c r="AB189" i="3"/>
  <c r="AD189" i="3"/>
  <c r="AE189" i="3"/>
  <c r="AF189" i="3"/>
  <c r="Z189" i="3"/>
  <c r="AC189" i="3"/>
  <c r="AA189" i="3"/>
  <c r="AC156" i="3"/>
  <c r="AB156" i="3"/>
  <c r="AD156" i="3"/>
  <c r="AE156" i="3"/>
  <c r="AA156" i="3"/>
  <c r="AF156" i="3"/>
  <c r="Z156" i="3"/>
  <c r="V95" i="3"/>
  <c r="T95" i="3"/>
  <c r="U95" i="3"/>
  <c r="S95" i="3"/>
  <c r="B95" i="3"/>
  <c r="R95" i="3"/>
  <c r="W95" i="3"/>
  <c r="X95" i="3"/>
  <c r="R223" i="3"/>
  <c r="B223" i="3"/>
  <c r="V223" i="3"/>
  <c r="W223" i="3"/>
  <c r="U223" i="3"/>
  <c r="X223" i="3"/>
  <c r="T223" i="3"/>
  <c r="S223" i="3"/>
  <c r="V218" i="3"/>
  <c r="S218" i="3"/>
  <c r="T218" i="3"/>
  <c r="U218" i="3"/>
  <c r="B218" i="3"/>
  <c r="W218" i="3"/>
  <c r="R218" i="3"/>
  <c r="X218" i="3"/>
  <c r="U147" i="3"/>
  <c r="V147" i="3"/>
  <c r="X147" i="3"/>
  <c r="B147" i="3"/>
  <c r="R147" i="3"/>
  <c r="S147" i="3"/>
  <c r="T147" i="3"/>
  <c r="W147" i="3"/>
  <c r="X206" i="3"/>
  <c r="B206" i="3"/>
  <c r="S206" i="3"/>
  <c r="T206" i="3"/>
  <c r="W206" i="3"/>
  <c r="V206" i="3"/>
  <c r="R206" i="3"/>
  <c r="U206" i="3"/>
  <c r="B168" i="3"/>
  <c r="W168" i="3"/>
  <c r="X168" i="3"/>
  <c r="T168" i="3"/>
  <c r="R168" i="3"/>
  <c r="V168" i="3"/>
  <c r="S168" i="3"/>
  <c r="U168" i="3"/>
  <c r="AC213" i="3"/>
  <c r="Z213" i="3"/>
  <c r="AA213" i="3"/>
  <c r="AB213" i="3"/>
  <c r="AD213" i="3"/>
  <c r="AE213" i="3"/>
  <c r="AF213" i="3"/>
  <c r="Z207" i="3"/>
  <c r="AF207" i="3"/>
  <c r="AA207" i="3"/>
  <c r="AB207" i="3"/>
  <c r="AE207" i="3"/>
  <c r="AD207" i="3"/>
  <c r="AC207" i="3"/>
  <c r="U229" i="3"/>
  <c r="R229" i="3"/>
  <c r="S229" i="3"/>
  <c r="T229" i="3"/>
  <c r="V229" i="3"/>
  <c r="W229" i="3"/>
  <c r="X229" i="3"/>
  <c r="B229" i="3"/>
  <c r="AB173" i="3"/>
  <c r="Z173" i="3"/>
  <c r="AA173" i="3"/>
  <c r="AC173" i="3"/>
  <c r="AD173" i="3"/>
  <c r="AE173" i="3"/>
  <c r="AF173" i="3"/>
  <c r="S68" i="3"/>
  <c r="B68" i="3"/>
  <c r="T68" i="3"/>
  <c r="U68" i="3"/>
  <c r="V68" i="3"/>
  <c r="W68" i="3"/>
  <c r="R68" i="3"/>
  <c r="X68" i="3"/>
  <c r="U198" i="3"/>
  <c r="W198" i="3"/>
  <c r="R198" i="3"/>
  <c r="T198" i="3"/>
  <c r="V198" i="3"/>
  <c r="S198" i="3"/>
  <c r="B198" i="3"/>
  <c r="X198" i="3"/>
  <c r="X135" i="3"/>
  <c r="V135" i="3"/>
  <c r="W135" i="3"/>
  <c r="B135" i="3"/>
  <c r="R135" i="3"/>
  <c r="U135" i="3"/>
  <c r="S135" i="3"/>
  <c r="T135" i="3"/>
  <c r="S158" i="3"/>
  <c r="T158" i="3"/>
  <c r="X158" i="3"/>
  <c r="W158" i="3"/>
  <c r="V158" i="3"/>
  <c r="R158" i="3"/>
  <c r="U158" i="3"/>
  <c r="B158" i="3"/>
  <c r="B148" i="3"/>
  <c r="R148" i="3"/>
  <c r="S148" i="3"/>
  <c r="T148" i="3"/>
  <c r="U148" i="3"/>
  <c r="X148" i="3"/>
  <c r="V148" i="3"/>
  <c r="W148" i="3"/>
  <c r="S195" i="3"/>
  <c r="T195" i="3"/>
  <c r="U195" i="3"/>
  <c r="W195" i="3"/>
  <c r="X195" i="3"/>
  <c r="V195" i="3"/>
  <c r="B195" i="3"/>
  <c r="R195" i="3"/>
  <c r="B188" i="3"/>
  <c r="R188" i="3"/>
  <c r="U188" i="3"/>
  <c r="W188" i="3"/>
  <c r="X188" i="3"/>
  <c r="S188" i="3"/>
  <c r="V188" i="3"/>
  <c r="T188" i="3"/>
  <c r="Z195" i="3"/>
  <c r="AC195" i="3"/>
  <c r="AD195" i="3"/>
  <c r="AB195" i="3"/>
  <c r="AA195" i="3"/>
  <c r="AF195" i="3"/>
  <c r="AE195" i="3"/>
  <c r="U177" i="3"/>
  <c r="R177" i="3"/>
  <c r="S177" i="3"/>
  <c r="T177" i="3"/>
  <c r="W177" i="3"/>
  <c r="B177" i="3"/>
  <c r="V177" i="3"/>
  <c r="X177" i="3"/>
  <c r="Z143" i="3"/>
  <c r="AB143" i="3"/>
  <c r="AE143" i="3"/>
  <c r="AD143" i="3"/>
  <c r="AF143" i="3"/>
  <c r="AC143" i="3"/>
  <c r="AA143" i="3"/>
  <c r="U132" i="3"/>
  <c r="V132" i="3"/>
  <c r="B132" i="3"/>
  <c r="W132" i="3"/>
  <c r="R132" i="3"/>
  <c r="S132" i="3"/>
  <c r="T132" i="3"/>
  <c r="X132" i="3"/>
  <c r="AE126" i="3"/>
  <c r="AB126" i="3"/>
  <c r="AC126" i="3"/>
  <c r="AD126" i="3"/>
  <c r="AA126" i="3"/>
  <c r="Z126" i="3"/>
  <c r="AF126" i="3"/>
  <c r="B141" i="3"/>
  <c r="V141" i="3"/>
  <c r="W141" i="3"/>
  <c r="X141" i="3"/>
  <c r="R141" i="3"/>
  <c r="U141" i="3"/>
  <c r="S141" i="3"/>
  <c r="T141" i="3"/>
  <c r="S123" i="3"/>
  <c r="T123" i="3"/>
  <c r="U123" i="3"/>
  <c r="V123" i="3"/>
  <c r="W123" i="3"/>
  <c r="X123" i="3"/>
  <c r="B123" i="3"/>
  <c r="R123" i="3"/>
  <c r="AE121" i="3"/>
  <c r="AF121" i="3"/>
  <c r="Z121" i="3"/>
  <c r="AA121" i="3"/>
  <c r="AB121" i="3"/>
  <c r="AC121" i="3"/>
  <c r="AD121" i="3"/>
  <c r="B107" i="3"/>
  <c r="V107" i="3"/>
  <c r="W107" i="3"/>
  <c r="X107" i="3"/>
  <c r="U107" i="3"/>
  <c r="R107" i="3"/>
  <c r="S107" i="3"/>
  <c r="T107" i="3"/>
  <c r="AC91" i="3"/>
  <c r="AF91" i="3"/>
  <c r="AB91" i="3"/>
  <c r="AE91" i="3"/>
  <c r="Z91" i="3"/>
  <c r="AD91" i="3"/>
  <c r="I91" i="3" s="1"/>
  <c r="AA91" i="3"/>
  <c r="AB93" i="3"/>
  <c r="Z93" i="3"/>
  <c r="AA93" i="3"/>
  <c r="AF93" i="3"/>
  <c r="AC93" i="3"/>
  <c r="AD93" i="3"/>
  <c r="AE93" i="3"/>
  <c r="T79" i="3"/>
  <c r="V79" i="3"/>
  <c r="W79" i="3"/>
  <c r="X79" i="3"/>
  <c r="U79" i="3"/>
  <c r="S79" i="3"/>
  <c r="B79" i="3"/>
  <c r="R79" i="3"/>
  <c r="AE105" i="3"/>
  <c r="AF105" i="3"/>
  <c r="Z105" i="3"/>
  <c r="AA105" i="3"/>
  <c r="AB105" i="3"/>
  <c r="AC105" i="3"/>
  <c r="AD105" i="3"/>
  <c r="Z99" i="3"/>
  <c r="AA99" i="3"/>
  <c r="AB99" i="3"/>
  <c r="AD99" i="3"/>
  <c r="AC99" i="3"/>
  <c r="AF99" i="3"/>
  <c r="AE99" i="3"/>
  <c r="X96" i="3"/>
  <c r="R96" i="3"/>
  <c r="S96" i="3"/>
  <c r="T96" i="3"/>
  <c r="U96" i="3"/>
  <c r="B96" i="3"/>
  <c r="V96" i="3"/>
  <c r="W96" i="3"/>
  <c r="U116" i="3"/>
  <c r="R116" i="3"/>
  <c r="S116" i="3"/>
  <c r="T116" i="3"/>
  <c r="V116" i="3"/>
  <c r="B116" i="3"/>
  <c r="W116" i="3"/>
  <c r="X116" i="3"/>
  <c r="AF104" i="3"/>
  <c r="Z104" i="3"/>
  <c r="AA104" i="3"/>
  <c r="AB104" i="3"/>
  <c r="AC104" i="3"/>
  <c r="AD104" i="3"/>
  <c r="AE104" i="3"/>
  <c r="R66" i="3"/>
  <c r="X66" i="3"/>
  <c r="U66" i="3"/>
  <c r="W66" i="3"/>
  <c r="B66" i="3"/>
  <c r="S66" i="3"/>
  <c r="T66" i="3"/>
  <c r="V66" i="3"/>
  <c r="R75" i="3"/>
  <c r="B75" i="3"/>
  <c r="T75" i="3"/>
  <c r="U75" i="3"/>
  <c r="V75" i="3"/>
  <c r="W75" i="3"/>
  <c r="X75" i="3"/>
  <c r="S75" i="3"/>
  <c r="S70" i="3"/>
  <c r="W70" i="3"/>
  <c r="X70" i="3"/>
  <c r="V70" i="3"/>
  <c r="R70" i="3"/>
  <c r="U70" i="3"/>
  <c r="B70" i="3"/>
  <c r="T70" i="3"/>
  <c r="B88" i="3"/>
  <c r="W88" i="3"/>
  <c r="X88" i="3"/>
  <c r="S88" i="3"/>
  <c r="V88" i="3"/>
  <c r="T88" i="3"/>
  <c r="U88" i="3"/>
  <c r="R88" i="3"/>
  <c r="R82" i="3"/>
  <c r="T82" i="3"/>
  <c r="X82" i="3"/>
  <c r="V82" i="3"/>
  <c r="W82" i="3"/>
  <c r="B82" i="3"/>
  <c r="U82" i="3"/>
  <c r="S82" i="3"/>
  <c r="X47" i="3"/>
  <c r="U47" i="3"/>
  <c r="V47" i="3"/>
  <c r="W47" i="3"/>
  <c r="B47" i="3"/>
  <c r="R47" i="3"/>
  <c r="S47" i="3"/>
  <c r="T47" i="3"/>
  <c r="AE66" i="3"/>
  <c r="Z66" i="3"/>
  <c r="AA66" i="3"/>
  <c r="AC66" i="3"/>
  <c r="AD66" i="3"/>
  <c r="AF66" i="3"/>
  <c r="AB66" i="3"/>
  <c r="U59" i="3"/>
  <c r="V59" i="3"/>
  <c r="W59" i="3"/>
  <c r="B59" i="3"/>
  <c r="S59" i="3"/>
  <c r="R59" i="3"/>
  <c r="T59" i="3"/>
  <c r="G59" i="3" s="1"/>
  <c r="X59" i="3"/>
  <c r="AA23" i="3"/>
  <c r="AC23" i="3"/>
  <c r="AF23" i="3"/>
  <c r="AD23" i="3"/>
  <c r="Z23" i="3"/>
  <c r="AB23" i="3"/>
  <c r="AE23" i="3"/>
  <c r="W49" i="3"/>
  <c r="X49" i="3"/>
  <c r="B49" i="3"/>
  <c r="U49" i="3"/>
  <c r="V49" i="3"/>
  <c r="R49" i="3"/>
  <c r="S49" i="3"/>
  <c r="T49" i="3"/>
  <c r="W36" i="3"/>
  <c r="T36" i="3"/>
  <c r="U36" i="3"/>
  <c r="V36" i="3"/>
  <c r="B36" i="3"/>
  <c r="X36" i="3"/>
  <c r="R36" i="3"/>
  <c r="S36" i="3"/>
  <c r="AF47" i="3"/>
  <c r="Z47" i="3"/>
  <c r="AE47" i="3"/>
  <c r="AC47" i="3"/>
  <c r="AD47" i="3"/>
  <c r="AB47" i="3"/>
  <c r="AA47" i="3"/>
  <c r="B44" i="3"/>
  <c r="V44" i="3"/>
  <c r="W44" i="3"/>
  <c r="X44" i="3"/>
  <c r="R44" i="3"/>
  <c r="U44" i="3"/>
  <c r="S44" i="3"/>
  <c r="T44" i="3"/>
  <c r="X38" i="3"/>
  <c r="T38" i="3"/>
  <c r="W38" i="3"/>
  <c r="R38" i="3"/>
  <c r="V38" i="3"/>
  <c r="B38" i="3"/>
  <c r="S38" i="3"/>
  <c r="U38" i="3"/>
  <c r="B39" i="3"/>
  <c r="W39" i="3"/>
  <c r="S39" i="3"/>
  <c r="T39" i="3"/>
  <c r="U39" i="3"/>
  <c r="V39" i="3"/>
  <c r="X39" i="3"/>
  <c r="R39" i="3"/>
  <c r="AC6" i="3"/>
  <c r="AD6" i="3"/>
  <c r="AE6" i="3"/>
  <c r="AF6" i="3"/>
  <c r="AB6" i="3"/>
  <c r="AA6" i="3"/>
  <c r="Z6" i="3"/>
  <c r="T16" i="3"/>
  <c r="V16" i="3"/>
  <c r="W16" i="3"/>
  <c r="X16" i="3"/>
  <c r="B16" i="3"/>
  <c r="S16" i="3"/>
  <c r="R16" i="3"/>
  <c r="U16" i="3"/>
  <c r="AE36" i="3"/>
  <c r="AF36" i="3"/>
  <c r="AC36" i="3"/>
  <c r="AD36" i="3"/>
  <c r="Z36" i="3"/>
  <c r="AA36" i="3"/>
  <c r="AB36" i="3"/>
  <c r="Z19" i="3"/>
  <c r="AA19" i="3"/>
  <c r="AE19" i="3"/>
  <c r="AB19" i="3"/>
  <c r="AC19" i="3"/>
  <c r="AD19" i="3"/>
  <c r="AF19" i="3"/>
  <c r="V7" i="3"/>
  <c r="U7" i="3"/>
  <c r="X7" i="3"/>
  <c r="W7" i="3"/>
  <c r="T7" i="3"/>
  <c r="S7" i="3"/>
  <c r="R7" i="3"/>
  <c r="B7" i="3"/>
  <c r="S13" i="3"/>
  <c r="U13" i="3"/>
  <c r="T13" i="3"/>
  <c r="V13" i="3"/>
  <c r="W13" i="3"/>
  <c r="X13" i="3"/>
  <c r="R13" i="3"/>
  <c r="B13" i="3"/>
  <c r="Z25" i="3"/>
  <c r="AE25" i="3"/>
  <c r="AF25" i="3"/>
  <c r="AA25" i="3"/>
  <c r="AD25" i="3"/>
  <c r="AC25" i="3"/>
  <c r="AB25" i="3"/>
  <c r="T20" i="3"/>
  <c r="B20" i="3"/>
  <c r="U20" i="3"/>
  <c r="H20" i="3" s="1"/>
  <c r="V20" i="3"/>
  <c r="I20" i="3" s="1"/>
  <c r="W20" i="3"/>
  <c r="J20" i="3" s="1"/>
  <c r="X20" i="3"/>
  <c r="R20" i="3"/>
  <c r="S20" i="3"/>
  <c r="U293" i="3"/>
  <c r="S293" i="3"/>
  <c r="T293" i="3"/>
  <c r="V293" i="3"/>
  <c r="W293" i="3"/>
  <c r="X293" i="3"/>
  <c r="R293" i="3"/>
  <c r="B293" i="3"/>
  <c r="V306" i="3"/>
  <c r="X306" i="3"/>
  <c r="B306" i="3"/>
  <c r="R306" i="3"/>
  <c r="S306" i="3"/>
  <c r="T306" i="3"/>
  <c r="U306" i="3"/>
  <c r="W306" i="3"/>
  <c r="W280" i="3"/>
  <c r="R280" i="3"/>
  <c r="V280" i="3"/>
  <c r="T280" i="3"/>
  <c r="U280" i="3"/>
  <c r="X280" i="3"/>
  <c r="B280" i="3"/>
  <c r="S280" i="3"/>
  <c r="R197" i="3"/>
  <c r="S197" i="3"/>
  <c r="U197" i="3"/>
  <c r="W197" i="3"/>
  <c r="X197" i="3"/>
  <c r="T197" i="3"/>
  <c r="B197" i="3"/>
  <c r="V197" i="3"/>
  <c r="V170" i="3"/>
  <c r="X170" i="3"/>
  <c r="U170" i="3"/>
  <c r="S170" i="3"/>
  <c r="R170" i="3"/>
  <c r="B170" i="3"/>
  <c r="W170" i="3"/>
  <c r="T170" i="3"/>
  <c r="R176" i="3"/>
  <c r="S176" i="3"/>
  <c r="T176" i="3"/>
  <c r="U176" i="3"/>
  <c r="V176" i="3"/>
  <c r="W176" i="3"/>
  <c r="X176" i="3"/>
  <c r="B176" i="3"/>
  <c r="AD162" i="3"/>
  <c r="AB162" i="3"/>
  <c r="AC162" i="3"/>
  <c r="AE162" i="3"/>
  <c r="Z162" i="3"/>
  <c r="AF162" i="3"/>
  <c r="AA162" i="3"/>
  <c r="AF312" i="3"/>
  <c r="AD312" i="3"/>
  <c r="AE312" i="3"/>
  <c r="Z312" i="3"/>
  <c r="AB312" i="3"/>
  <c r="AC312" i="3"/>
  <c r="AA312" i="3"/>
  <c r="Z354" i="3"/>
  <c r="AB354" i="3"/>
  <c r="AA354" i="3"/>
  <c r="AE354" i="3"/>
  <c r="AD354" i="3"/>
  <c r="AF354" i="3"/>
  <c r="AC354" i="3"/>
  <c r="S338" i="3"/>
  <c r="V338" i="3"/>
  <c r="X338" i="3"/>
  <c r="U338" i="3"/>
  <c r="B338" i="3"/>
  <c r="T338" i="3"/>
  <c r="R338" i="3"/>
  <c r="W338" i="3"/>
  <c r="T308" i="3"/>
  <c r="R308" i="3"/>
  <c r="E308" i="3" s="1"/>
  <c r="S308" i="3"/>
  <c r="U308" i="3"/>
  <c r="B308" i="3"/>
  <c r="V308" i="3"/>
  <c r="W308" i="3"/>
  <c r="X308" i="3"/>
  <c r="AA290" i="3"/>
  <c r="AF290" i="3"/>
  <c r="Z290" i="3"/>
  <c r="AB290" i="3"/>
  <c r="AC290" i="3"/>
  <c r="AE290" i="3"/>
  <c r="AD290" i="3"/>
  <c r="AF204" i="3"/>
  <c r="AE204" i="3"/>
  <c r="AD204" i="3"/>
  <c r="AA204" i="3"/>
  <c r="Z204" i="3"/>
  <c r="AC204" i="3"/>
  <c r="AB204" i="3"/>
  <c r="T348" i="3"/>
  <c r="R348" i="3"/>
  <c r="S348" i="3"/>
  <c r="V348" i="3"/>
  <c r="W348" i="3"/>
  <c r="B348" i="3"/>
  <c r="U348" i="3"/>
  <c r="X348" i="3"/>
  <c r="AC349" i="3"/>
  <c r="AA349" i="3"/>
  <c r="AE349" i="3"/>
  <c r="AF349" i="3"/>
  <c r="Z349" i="3"/>
  <c r="AB349" i="3"/>
  <c r="AD349" i="3"/>
  <c r="AE200" i="3"/>
  <c r="AC200" i="3"/>
  <c r="AD200" i="3"/>
  <c r="AB200" i="3"/>
  <c r="Z200" i="3"/>
  <c r="AF200" i="3"/>
  <c r="AA200" i="3"/>
  <c r="AB293" i="3"/>
  <c r="Z293" i="3"/>
  <c r="AA293" i="3"/>
  <c r="AC293" i="3"/>
  <c r="AD293" i="3"/>
  <c r="AE293" i="3"/>
  <c r="AF293" i="3"/>
  <c r="Z335" i="3"/>
  <c r="AF335" i="3"/>
  <c r="AA335" i="3"/>
  <c r="AC335" i="3"/>
  <c r="AD335" i="3"/>
  <c r="AE335" i="3"/>
  <c r="AB335" i="3"/>
  <c r="X304" i="3"/>
  <c r="W304" i="3"/>
  <c r="B304" i="3"/>
  <c r="V304" i="3"/>
  <c r="R304" i="3"/>
  <c r="T304" i="3"/>
  <c r="U304" i="3"/>
  <c r="S304" i="3"/>
  <c r="Z323" i="3"/>
  <c r="AB323" i="3"/>
  <c r="AC323" i="3"/>
  <c r="AA323" i="3"/>
  <c r="AE323" i="3"/>
  <c r="AD323" i="3"/>
  <c r="AF323" i="3"/>
  <c r="AE295" i="3"/>
  <c r="AD295" i="3"/>
  <c r="AF295" i="3"/>
  <c r="Z295" i="3"/>
  <c r="AC295" i="3"/>
  <c r="AA295" i="3"/>
  <c r="AB295" i="3"/>
  <c r="AA322" i="3"/>
  <c r="AB322" i="3"/>
  <c r="AD322" i="3"/>
  <c r="AF322" i="3"/>
  <c r="Z322" i="3"/>
  <c r="AC322" i="3"/>
  <c r="AE322" i="3"/>
  <c r="W287" i="3"/>
  <c r="B287" i="3"/>
  <c r="V287" i="3"/>
  <c r="S287" i="3"/>
  <c r="U287" i="3"/>
  <c r="X287" i="3"/>
  <c r="T287" i="3"/>
  <c r="R287" i="3"/>
  <c r="AA330" i="3"/>
  <c r="Z330" i="3"/>
  <c r="AE330" i="3"/>
  <c r="AC330" i="3"/>
  <c r="AB330" i="3"/>
  <c r="AF330" i="3"/>
  <c r="AD330" i="3"/>
  <c r="X312" i="3"/>
  <c r="R312" i="3"/>
  <c r="T312" i="3"/>
  <c r="V312" i="3"/>
  <c r="W312" i="3"/>
  <c r="B312" i="3"/>
  <c r="U312" i="3"/>
  <c r="S312" i="3"/>
  <c r="AE299" i="3"/>
  <c r="AC299" i="3"/>
  <c r="AD299" i="3"/>
  <c r="AF299" i="3"/>
  <c r="AA299" i="3"/>
  <c r="Z299" i="3"/>
  <c r="AB299" i="3"/>
  <c r="V294" i="3"/>
  <c r="S294" i="3"/>
  <c r="U294" i="3"/>
  <c r="W294" i="3"/>
  <c r="X294" i="3"/>
  <c r="T294" i="3"/>
  <c r="R294" i="3"/>
  <c r="B294" i="3"/>
  <c r="R271" i="3"/>
  <c r="T271" i="3"/>
  <c r="W271" i="3"/>
  <c r="X271" i="3"/>
  <c r="V271" i="3"/>
  <c r="U271" i="3"/>
  <c r="S271" i="3"/>
  <c r="B271" i="3"/>
  <c r="AE243" i="3"/>
  <c r="AC243" i="3"/>
  <c r="AD243" i="3"/>
  <c r="AF243" i="3"/>
  <c r="AB243" i="3"/>
  <c r="Z243" i="3"/>
  <c r="AA243" i="3"/>
  <c r="Z257" i="3"/>
  <c r="AA257" i="3"/>
  <c r="AB257" i="3"/>
  <c r="AC257" i="3"/>
  <c r="AD257" i="3"/>
  <c r="AE257" i="3"/>
  <c r="AF257" i="3"/>
  <c r="B276" i="3"/>
  <c r="W276" i="3"/>
  <c r="R276" i="3"/>
  <c r="V276" i="3"/>
  <c r="T276" i="3"/>
  <c r="U276" i="3"/>
  <c r="H276" i="3" s="1"/>
  <c r="X276" i="3"/>
  <c r="S276" i="3"/>
  <c r="AC261" i="3"/>
  <c r="AD261" i="3"/>
  <c r="AE261" i="3"/>
  <c r="AF261" i="3"/>
  <c r="AB261" i="3"/>
  <c r="Z261" i="3"/>
  <c r="AA261" i="3"/>
  <c r="T242" i="3"/>
  <c r="W242" i="3"/>
  <c r="S242" i="3"/>
  <c r="U242" i="3"/>
  <c r="V242" i="3"/>
  <c r="R242" i="3"/>
  <c r="B242" i="3"/>
  <c r="X242" i="3"/>
  <c r="AE283" i="3"/>
  <c r="AA283" i="3"/>
  <c r="Z283" i="3"/>
  <c r="AB283" i="3"/>
  <c r="AC283" i="3"/>
  <c r="AD283" i="3"/>
  <c r="AF283" i="3"/>
  <c r="V265" i="3"/>
  <c r="W265" i="3"/>
  <c r="X265" i="3"/>
  <c r="R265" i="3"/>
  <c r="B265" i="3"/>
  <c r="U265" i="3"/>
  <c r="S265" i="3"/>
  <c r="T265" i="3"/>
  <c r="S209" i="3"/>
  <c r="T209" i="3"/>
  <c r="B209" i="3"/>
  <c r="U209" i="3"/>
  <c r="H209" i="3" s="1"/>
  <c r="V209" i="3"/>
  <c r="I209" i="3" s="1"/>
  <c r="W209" i="3"/>
  <c r="J209" i="3" s="1"/>
  <c r="R209" i="3"/>
  <c r="E209" i="3" s="1"/>
  <c r="X209" i="3"/>
  <c r="AF236" i="3"/>
  <c r="AC236" i="3"/>
  <c r="AD236" i="3"/>
  <c r="AE236" i="3"/>
  <c r="AA236" i="3"/>
  <c r="Z236" i="3"/>
  <c r="AB236" i="3"/>
  <c r="T284" i="3"/>
  <c r="R284" i="3"/>
  <c r="S284" i="3"/>
  <c r="U284" i="3"/>
  <c r="V284" i="3"/>
  <c r="W284" i="3"/>
  <c r="X284" i="3"/>
  <c r="B284" i="3"/>
  <c r="Z249" i="3"/>
  <c r="AA249" i="3"/>
  <c r="AB249" i="3"/>
  <c r="AC249" i="3"/>
  <c r="AF249" i="3"/>
  <c r="AD249" i="3"/>
  <c r="AE249" i="3"/>
  <c r="AD244" i="3"/>
  <c r="AE244" i="3"/>
  <c r="AF244" i="3"/>
  <c r="Z244" i="3"/>
  <c r="AA244" i="3"/>
  <c r="AC244" i="3"/>
  <c r="AB244" i="3"/>
  <c r="Z188" i="3"/>
  <c r="AA188" i="3"/>
  <c r="AE188" i="3"/>
  <c r="AF188" i="3"/>
  <c r="AB188" i="3"/>
  <c r="AD188" i="3"/>
  <c r="AC188" i="3"/>
  <c r="Z170" i="3"/>
  <c r="AB170" i="3"/>
  <c r="AF170" i="3"/>
  <c r="AE170" i="3"/>
  <c r="AC170" i="3"/>
  <c r="AD170" i="3"/>
  <c r="AA170" i="3"/>
  <c r="AE227" i="3"/>
  <c r="AD227" i="3"/>
  <c r="AF227" i="3"/>
  <c r="Z227" i="3"/>
  <c r="AB227" i="3"/>
  <c r="AC227" i="3"/>
  <c r="AA227" i="3"/>
  <c r="U183" i="3"/>
  <c r="W183" i="3"/>
  <c r="B183" i="3"/>
  <c r="R183" i="3"/>
  <c r="V183" i="3"/>
  <c r="T183" i="3"/>
  <c r="S183" i="3"/>
  <c r="X183" i="3"/>
  <c r="X228" i="3"/>
  <c r="S228" i="3"/>
  <c r="U228" i="3"/>
  <c r="V228" i="3"/>
  <c r="W228" i="3"/>
  <c r="T228" i="3"/>
  <c r="R228" i="3"/>
  <c r="B228" i="3"/>
  <c r="AD210" i="3"/>
  <c r="AB210" i="3"/>
  <c r="AC210" i="3"/>
  <c r="AE210" i="3"/>
  <c r="AF210" i="3"/>
  <c r="AA210" i="3"/>
  <c r="Z210" i="3"/>
  <c r="X204" i="3"/>
  <c r="S204" i="3"/>
  <c r="V204" i="3"/>
  <c r="U204" i="3"/>
  <c r="W204" i="3"/>
  <c r="T204" i="3"/>
  <c r="R204" i="3"/>
  <c r="B204" i="3"/>
  <c r="AF119" i="3"/>
  <c r="Z119" i="3"/>
  <c r="AC119" i="3"/>
  <c r="AD119" i="3"/>
  <c r="AE119" i="3"/>
  <c r="AB119" i="3"/>
  <c r="AA119" i="3"/>
  <c r="T224" i="3"/>
  <c r="R224" i="3"/>
  <c r="S224" i="3"/>
  <c r="B224" i="3"/>
  <c r="U224" i="3"/>
  <c r="V224" i="3"/>
  <c r="X224" i="3"/>
  <c r="W224" i="3"/>
  <c r="Z161" i="3"/>
  <c r="AB161" i="3"/>
  <c r="AF161" i="3"/>
  <c r="AC161" i="3"/>
  <c r="AA161" i="3"/>
  <c r="AD161" i="3"/>
  <c r="AE161" i="3"/>
  <c r="AD218" i="3"/>
  <c r="AB218" i="3"/>
  <c r="AC218" i="3"/>
  <c r="Z218" i="3"/>
  <c r="AA218" i="3"/>
  <c r="AE218" i="3"/>
  <c r="AF218" i="3"/>
  <c r="S185" i="3"/>
  <c r="T185" i="3"/>
  <c r="W185" i="3"/>
  <c r="R185" i="3"/>
  <c r="V185" i="3"/>
  <c r="U185" i="3"/>
  <c r="X185" i="3"/>
  <c r="B185" i="3"/>
  <c r="S161" i="3"/>
  <c r="W161" i="3"/>
  <c r="U161" i="3"/>
  <c r="R161" i="3"/>
  <c r="B161" i="3"/>
  <c r="X161" i="3"/>
  <c r="T161" i="3"/>
  <c r="V161" i="3"/>
  <c r="AF180" i="3"/>
  <c r="AD180" i="3"/>
  <c r="AE180" i="3"/>
  <c r="AC180" i="3"/>
  <c r="AB180" i="3"/>
  <c r="Z180" i="3"/>
  <c r="AA180" i="3"/>
  <c r="X193" i="3"/>
  <c r="B193" i="3"/>
  <c r="S193" i="3"/>
  <c r="T193" i="3"/>
  <c r="U193" i="3"/>
  <c r="W193" i="3"/>
  <c r="V193" i="3"/>
  <c r="R193" i="3"/>
  <c r="Z174" i="3"/>
  <c r="AA174" i="3"/>
  <c r="AC174" i="3"/>
  <c r="AD174" i="3"/>
  <c r="AB174" i="3"/>
  <c r="AE174" i="3"/>
  <c r="AF174" i="3"/>
  <c r="R122" i="3"/>
  <c r="X122" i="3"/>
  <c r="W122" i="3"/>
  <c r="J122" i="3" s="1"/>
  <c r="S122" i="3"/>
  <c r="V122" i="3"/>
  <c r="T122" i="3"/>
  <c r="B122" i="3"/>
  <c r="U122" i="3"/>
  <c r="AE171" i="3"/>
  <c r="AB171" i="3"/>
  <c r="AC171" i="3"/>
  <c r="AD171" i="3"/>
  <c r="Z171" i="3"/>
  <c r="AF171" i="3"/>
  <c r="AA171" i="3"/>
  <c r="AB128" i="3"/>
  <c r="Z128" i="3"/>
  <c r="AA128" i="3"/>
  <c r="AC128" i="3"/>
  <c r="AD128" i="3"/>
  <c r="AE128" i="3"/>
  <c r="AF128" i="3"/>
  <c r="T189" i="3"/>
  <c r="R189" i="3"/>
  <c r="S189" i="3"/>
  <c r="U189" i="3"/>
  <c r="V189" i="3"/>
  <c r="W189" i="3"/>
  <c r="X189" i="3"/>
  <c r="B189" i="3"/>
  <c r="Z149" i="3"/>
  <c r="AA149" i="3"/>
  <c r="AB149" i="3"/>
  <c r="AC149" i="3"/>
  <c r="AD149" i="3"/>
  <c r="AE149" i="3"/>
  <c r="AF149" i="3"/>
  <c r="AA139" i="3"/>
  <c r="AD139" i="3"/>
  <c r="Z139" i="3"/>
  <c r="AB139" i="3"/>
  <c r="AC139" i="3"/>
  <c r="AE139" i="3"/>
  <c r="AF139" i="3"/>
  <c r="AE114" i="3"/>
  <c r="AD114" i="3"/>
  <c r="AF114" i="3"/>
  <c r="Z114" i="3"/>
  <c r="AC114" i="3"/>
  <c r="AA114" i="3"/>
  <c r="AB114" i="3"/>
  <c r="W134" i="3"/>
  <c r="T134" i="3"/>
  <c r="U134" i="3"/>
  <c r="V134" i="3"/>
  <c r="X134" i="3"/>
  <c r="R134" i="3"/>
  <c r="B134" i="3"/>
  <c r="S134" i="3"/>
  <c r="AB41" i="3"/>
  <c r="AA41" i="3"/>
  <c r="AE41" i="3"/>
  <c r="AF41" i="3"/>
  <c r="Z41" i="3"/>
  <c r="AD41" i="3"/>
  <c r="AC41" i="3"/>
  <c r="X137" i="3"/>
  <c r="T137" i="3"/>
  <c r="R137" i="3"/>
  <c r="S137" i="3"/>
  <c r="B137" i="3"/>
  <c r="U137" i="3"/>
  <c r="V137" i="3"/>
  <c r="W137" i="3"/>
  <c r="Z131" i="3"/>
  <c r="AE131" i="3"/>
  <c r="AA131" i="3"/>
  <c r="AF131" i="3"/>
  <c r="AD131" i="3"/>
  <c r="AB131" i="3"/>
  <c r="AC131" i="3"/>
  <c r="W126" i="3"/>
  <c r="T126" i="3"/>
  <c r="U126" i="3"/>
  <c r="V126" i="3"/>
  <c r="S126" i="3"/>
  <c r="R126" i="3"/>
  <c r="B126" i="3"/>
  <c r="X126" i="3"/>
  <c r="AB101" i="3"/>
  <c r="AE101" i="3"/>
  <c r="Z101" i="3"/>
  <c r="AA101" i="3"/>
  <c r="AF101" i="3"/>
  <c r="AD101" i="3"/>
  <c r="AC101" i="3"/>
  <c r="AD102" i="3"/>
  <c r="AF102" i="3"/>
  <c r="Z102" i="3"/>
  <c r="AA102" i="3"/>
  <c r="AB102" i="3"/>
  <c r="AC102" i="3"/>
  <c r="AE102" i="3"/>
  <c r="B92" i="3"/>
  <c r="R92" i="3"/>
  <c r="X92" i="3"/>
  <c r="S92" i="3"/>
  <c r="T92" i="3"/>
  <c r="W92" i="3"/>
  <c r="U92" i="3"/>
  <c r="V92" i="3"/>
  <c r="AD77" i="3"/>
  <c r="AE77" i="3"/>
  <c r="AA77" i="3"/>
  <c r="AC77" i="3"/>
  <c r="Z77" i="3"/>
  <c r="AB77" i="3"/>
  <c r="AF77" i="3"/>
  <c r="W105" i="3"/>
  <c r="X105" i="3"/>
  <c r="R105" i="3"/>
  <c r="S105" i="3"/>
  <c r="T105" i="3"/>
  <c r="U105" i="3"/>
  <c r="V105" i="3"/>
  <c r="B105" i="3"/>
  <c r="U72" i="3"/>
  <c r="W72" i="3"/>
  <c r="X72" i="3"/>
  <c r="V72" i="3"/>
  <c r="T72" i="3"/>
  <c r="B72" i="3"/>
  <c r="R72" i="3"/>
  <c r="S72" i="3"/>
  <c r="Z85" i="3"/>
  <c r="AC85" i="3"/>
  <c r="AB85" i="3"/>
  <c r="AF85" i="3"/>
  <c r="AA85" i="3"/>
  <c r="AD85" i="3"/>
  <c r="AE85" i="3"/>
  <c r="AA68" i="3"/>
  <c r="AB68" i="3"/>
  <c r="AC68" i="3"/>
  <c r="AD68" i="3"/>
  <c r="AE68" i="3"/>
  <c r="Z68" i="3"/>
  <c r="AF68" i="3"/>
  <c r="AB43" i="3"/>
  <c r="AA43" i="3"/>
  <c r="Z43" i="3"/>
  <c r="AF43" i="3"/>
  <c r="AD43" i="3"/>
  <c r="AE43" i="3"/>
  <c r="AC43" i="3"/>
  <c r="AD76" i="3"/>
  <c r="AE76" i="3"/>
  <c r="AF76" i="3"/>
  <c r="Z76" i="3"/>
  <c r="AC76" i="3"/>
  <c r="AA76" i="3"/>
  <c r="AB76" i="3"/>
  <c r="Z88" i="3"/>
  <c r="AF88" i="3"/>
  <c r="AA88" i="3"/>
  <c r="AB88" i="3"/>
  <c r="AE88" i="3"/>
  <c r="AC88" i="3"/>
  <c r="AD88" i="3"/>
  <c r="AE84" i="3"/>
  <c r="AF84" i="3"/>
  <c r="Z84" i="3"/>
  <c r="AA84" i="3"/>
  <c r="AD84" i="3"/>
  <c r="AB84" i="3"/>
  <c r="AC84" i="3"/>
  <c r="Z80" i="3"/>
  <c r="AA80" i="3"/>
  <c r="AB80" i="3"/>
  <c r="AE80" i="3"/>
  <c r="AC80" i="3"/>
  <c r="AD80" i="3"/>
  <c r="AF80" i="3"/>
  <c r="Z42" i="3"/>
  <c r="AD42" i="3"/>
  <c r="AE42" i="3"/>
  <c r="AF42" i="3"/>
  <c r="AB42" i="3"/>
  <c r="AA42" i="3"/>
  <c r="AC42" i="3"/>
  <c r="B17" i="3"/>
  <c r="R17" i="3"/>
  <c r="U17" i="3"/>
  <c r="W17" i="3"/>
  <c r="X17" i="3"/>
  <c r="T17" i="3"/>
  <c r="V17" i="3"/>
  <c r="S17" i="3"/>
  <c r="U35" i="3"/>
  <c r="W35" i="3"/>
  <c r="R35" i="3"/>
  <c r="X35" i="3"/>
  <c r="S35" i="3"/>
  <c r="B35" i="3"/>
  <c r="T35" i="3"/>
  <c r="V35" i="3"/>
  <c r="X62" i="3"/>
  <c r="B62" i="3"/>
  <c r="V62" i="3"/>
  <c r="R62" i="3"/>
  <c r="T62" i="3"/>
  <c r="U62" i="3"/>
  <c r="S62" i="3"/>
  <c r="W62" i="3"/>
  <c r="X55" i="3"/>
  <c r="B55" i="3"/>
  <c r="R55" i="3"/>
  <c r="S55" i="3"/>
  <c r="W55" i="3"/>
  <c r="V55" i="3"/>
  <c r="U55" i="3"/>
  <c r="T55" i="3"/>
  <c r="U56" i="3"/>
  <c r="R56" i="3"/>
  <c r="S56" i="3"/>
  <c r="T56" i="3"/>
  <c r="V56" i="3"/>
  <c r="B56" i="3"/>
  <c r="W56" i="3"/>
  <c r="X56" i="3"/>
  <c r="V24" i="3"/>
  <c r="R24" i="3"/>
  <c r="X24" i="3"/>
  <c r="T24" i="3"/>
  <c r="W24" i="3"/>
  <c r="B24" i="3"/>
  <c r="S24" i="3"/>
  <c r="U24" i="3"/>
  <c r="AC11" i="3"/>
  <c r="AD11" i="3"/>
  <c r="AA11" i="3"/>
  <c r="AF11" i="3"/>
  <c r="AE11" i="3"/>
  <c r="Z11" i="3"/>
  <c r="AB11" i="3"/>
  <c r="AB16" i="3"/>
  <c r="AD16" i="3"/>
  <c r="AC16" i="3"/>
  <c r="AF16" i="3"/>
  <c r="AE16" i="3"/>
  <c r="Z16" i="3"/>
  <c r="AA16" i="3"/>
  <c r="AA4" i="3"/>
  <c r="AD4" i="3"/>
  <c r="AE4" i="3"/>
  <c r="AF4" i="3"/>
  <c r="Z4" i="3"/>
  <c r="AB4" i="3"/>
  <c r="AC4" i="3"/>
  <c r="Z35" i="3"/>
  <c r="AA35" i="3"/>
  <c r="AC35" i="3"/>
  <c r="AF35" i="3"/>
  <c r="AE35" i="3"/>
  <c r="J35" i="3" s="1"/>
  <c r="AD35" i="3"/>
  <c r="AB35" i="3"/>
  <c r="AB5" i="3"/>
  <c r="AD5" i="3"/>
  <c r="AA5" i="3"/>
  <c r="AC5" i="3"/>
  <c r="AF5" i="3"/>
  <c r="AE5" i="3"/>
  <c r="Z5" i="3"/>
  <c r="R33" i="3"/>
  <c r="B33" i="3"/>
  <c r="W33" i="3"/>
  <c r="V33" i="3"/>
  <c r="S33" i="3"/>
  <c r="U33" i="3"/>
  <c r="X33" i="3"/>
  <c r="T33" i="3"/>
  <c r="Z27" i="3"/>
  <c r="AA27" i="3"/>
  <c r="AE27" i="3"/>
  <c r="AD27" i="3"/>
  <c r="AC27" i="3"/>
  <c r="AF27" i="3"/>
  <c r="AB27" i="3"/>
  <c r="B19" i="3"/>
  <c r="R19" i="3"/>
  <c r="S19" i="3"/>
  <c r="W19" i="3"/>
  <c r="V19" i="3"/>
  <c r="X19" i="3"/>
  <c r="U19" i="3"/>
  <c r="T19" i="3"/>
  <c r="AC275" i="3"/>
  <c r="AD275" i="3"/>
  <c r="AF275" i="3"/>
  <c r="AB275" i="3"/>
  <c r="AA275" i="3"/>
  <c r="AE275" i="3"/>
  <c r="Z275" i="3"/>
  <c r="T300" i="3"/>
  <c r="S300" i="3"/>
  <c r="U300" i="3"/>
  <c r="B300" i="3"/>
  <c r="V300" i="3"/>
  <c r="W300" i="3"/>
  <c r="X300" i="3"/>
  <c r="R300" i="3"/>
  <c r="AB144" i="3"/>
  <c r="AC144" i="3"/>
  <c r="AE144" i="3"/>
  <c r="AD144" i="3"/>
  <c r="AF144" i="3"/>
  <c r="AA144" i="3"/>
  <c r="Z144" i="3"/>
  <c r="V262" i="3"/>
  <c r="T262" i="3"/>
  <c r="U262" i="3"/>
  <c r="R262" i="3"/>
  <c r="X262" i="3"/>
  <c r="W262" i="3"/>
  <c r="S262" i="3"/>
  <c r="B262" i="3"/>
  <c r="U237" i="3"/>
  <c r="R237" i="3"/>
  <c r="S237" i="3"/>
  <c r="T237" i="3"/>
  <c r="X237" i="3"/>
  <c r="B237" i="3"/>
  <c r="V237" i="3"/>
  <c r="W237" i="3"/>
  <c r="AB340" i="3"/>
  <c r="AC340" i="3"/>
  <c r="AD340" i="3"/>
  <c r="Z340" i="3"/>
  <c r="AE340" i="3"/>
  <c r="AF340" i="3"/>
  <c r="AA340" i="3"/>
  <c r="AD350" i="3"/>
  <c r="AC350" i="3"/>
  <c r="AE350" i="3"/>
  <c r="Z350" i="3"/>
  <c r="AA350" i="3"/>
  <c r="AF350" i="3"/>
  <c r="AB350" i="3"/>
  <c r="R288" i="3"/>
  <c r="V288" i="3"/>
  <c r="W288" i="3"/>
  <c r="X288" i="3"/>
  <c r="B288" i="3"/>
  <c r="S288" i="3"/>
  <c r="T288" i="3"/>
  <c r="U288" i="3"/>
  <c r="Z313" i="3"/>
  <c r="AA313" i="3"/>
  <c r="AB313" i="3"/>
  <c r="AC313" i="3"/>
  <c r="AD313" i="3"/>
  <c r="AE313" i="3"/>
  <c r="AF313" i="3"/>
  <c r="R342" i="3"/>
  <c r="T342" i="3"/>
  <c r="U342" i="3"/>
  <c r="W342" i="3"/>
  <c r="X342" i="3"/>
  <c r="B342" i="3"/>
  <c r="V342" i="3"/>
  <c r="S342" i="3"/>
  <c r="AA311" i="3"/>
  <c r="AD311" i="3"/>
  <c r="AE311" i="3"/>
  <c r="AF311" i="3"/>
  <c r="Z311" i="3"/>
  <c r="AB311" i="3"/>
  <c r="AC311" i="3"/>
  <c r="Z148" i="3"/>
  <c r="AB148" i="3"/>
  <c r="AD148" i="3"/>
  <c r="AE148" i="3"/>
  <c r="AA148" i="3"/>
  <c r="AC148" i="3"/>
  <c r="AF148" i="3"/>
  <c r="Z343" i="3"/>
  <c r="AA343" i="3"/>
  <c r="AC343" i="3"/>
  <c r="AD343" i="3"/>
  <c r="AF343" i="3"/>
  <c r="AE343" i="3"/>
  <c r="AB343" i="3"/>
  <c r="AE337" i="3"/>
  <c r="AF337" i="3"/>
  <c r="AA337" i="3"/>
  <c r="Z337" i="3"/>
  <c r="AB337" i="3"/>
  <c r="AC337" i="3"/>
  <c r="AD337" i="3"/>
  <c r="AE303" i="3"/>
  <c r="AD303" i="3"/>
  <c r="AA303" i="3"/>
  <c r="AC303" i="3"/>
  <c r="Z303" i="3"/>
  <c r="AB303" i="3"/>
  <c r="AF303" i="3"/>
  <c r="R328" i="3"/>
  <c r="V328" i="3"/>
  <c r="W328" i="3"/>
  <c r="B328" i="3"/>
  <c r="X328" i="3"/>
  <c r="S328" i="3"/>
  <c r="U328" i="3"/>
  <c r="T328" i="3"/>
  <c r="AB334" i="3"/>
  <c r="Z334" i="3"/>
  <c r="AC334" i="3"/>
  <c r="AD334" i="3"/>
  <c r="AF334" i="3"/>
  <c r="AA334" i="3"/>
  <c r="AE334" i="3"/>
  <c r="AD305" i="3"/>
  <c r="AE305" i="3"/>
  <c r="AF305" i="3"/>
  <c r="Z305" i="3"/>
  <c r="AA305" i="3"/>
  <c r="AB305" i="3"/>
  <c r="AC305" i="3"/>
  <c r="AD289" i="3"/>
  <c r="AE289" i="3"/>
  <c r="AF289" i="3"/>
  <c r="Z289" i="3"/>
  <c r="AC289" i="3"/>
  <c r="AA289" i="3"/>
  <c r="AB289" i="3"/>
  <c r="B334" i="3"/>
  <c r="X334" i="3"/>
  <c r="R334" i="3"/>
  <c r="U334" i="3"/>
  <c r="W334" i="3"/>
  <c r="T334" i="3"/>
  <c r="V334" i="3"/>
  <c r="S334" i="3"/>
  <c r="Z326" i="3"/>
  <c r="AB326" i="3"/>
  <c r="AE326" i="3"/>
  <c r="AF326" i="3"/>
  <c r="AD326" i="3"/>
  <c r="AA326" i="3"/>
  <c r="AC326" i="3"/>
  <c r="AF304" i="3"/>
  <c r="Z304" i="3"/>
  <c r="AB304" i="3"/>
  <c r="AD304" i="3"/>
  <c r="AE304" i="3"/>
  <c r="AA304" i="3"/>
  <c r="AC304" i="3"/>
  <c r="S259" i="3"/>
  <c r="T259" i="3"/>
  <c r="U259" i="3"/>
  <c r="V259" i="3"/>
  <c r="W259" i="3"/>
  <c r="B259" i="3"/>
  <c r="X259" i="3"/>
  <c r="R259" i="3"/>
  <c r="T323" i="3"/>
  <c r="U323" i="3"/>
  <c r="B323" i="3"/>
  <c r="R323" i="3"/>
  <c r="S323" i="3"/>
  <c r="W323" i="3"/>
  <c r="V323" i="3"/>
  <c r="X323" i="3"/>
  <c r="S317" i="3"/>
  <c r="T317" i="3"/>
  <c r="W317" i="3"/>
  <c r="U317" i="3"/>
  <c r="X317" i="3"/>
  <c r="B317" i="3"/>
  <c r="V317" i="3"/>
  <c r="I317" i="3" s="1"/>
  <c r="R317" i="3"/>
  <c r="Z152" i="3"/>
  <c r="AF152" i="3"/>
  <c r="AD152" i="3"/>
  <c r="AE152" i="3"/>
  <c r="AB152" i="3"/>
  <c r="AC152" i="3"/>
  <c r="AA152" i="3"/>
  <c r="AA284" i="3"/>
  <c r="AC284" i="3"/>
  <c r="AB284" i="3"/>
  <c r="AD284" i="3"/>
  <c r="AE284" i="3"/>
  <c r="AF284" i="3"/>
  <c r="Z284" i="3"/>
  <c r="R268" i="3"/>
  <c r="S268" i="3"/>
  <c r="W268" i="3"/>
  <c r="X268" i="3"/>
  <c r="V268" i="3"/>
  <c r="B268" i="3"/>
  <c r="U268" i="3"/>
  <c r="T268" i="3"/>
  <c r="AD262" i="3"/>
  <c r="Z262" i="3"/>
  <c r="AC262" i="3"/>
  <c r="AE262" i="3"/>
  <c r="AF262" i="3"/>
  <c r="AB262" i="3"/>
  <c r="AA262" i="3"/>
  <c r="R257" i="3"/>
  <c r="S257" i="3"/>
  <c r="T257" i="3"/>
  <c r="U257" i="3"/>
  <c r="B257" i="3"/>
  <c r="V257" i="3"/>
  <c r="W257" i="3"/>
  <c r="X257" i="3"/>
  <c r="AC177" i="3"/>
  <c r="AB177" i="3"/>
  <c r="AE177" i="3"/>
  <c r="AA177" i="3"/>
  <c r="Z177" i="3"/>
  <c r="AD177" i="3"/>
  <c r="AF177" i="3"/>
  <c r="S266" i="3"/>
  <c r="X266" i="3"/>
  <c r="V266" i="3"/>
  <c r="T266" i="3"/>
  <c r="U266" i="3"/>
  <c r="B266" i="3"/>
  <c r="R266" i="3"/>
  <c r="W266" i="3"/>
  <c r="T247" i="3"/>
  <c r="B247" i="3"/>
  <c r="X247" i="3"/>
  <c r="R247" i="3"/>
  <c r="V247" i="3"/>
  <c r="S247" i="3"/>
  <c r="W247" i="3"/>
  <c r="U247" i="3"/>
  <c r="AD234" i="3"/>
  <c r="AA234" i="3"/>
  <c r="AC234" i="3"/>
  <c r="AB234" i="3"/>
  <c r="Z234" i="3"/>
  <c r="AF234" i="3"/>
  <c r="AE234" i="3"/>
  <c r="T278" i="3"/>
  <c r="R278" i="3"/>
  <c r="U278" i="3"/>
  <c r="X278" i="3"/>
  <c r="V278" i="3"/>
  <c r="W278" i="3"/>
  <c r="S278" i="3"/>
  <c r="B278" i="3"/>
  <c r="AB268" i="3"/>
  <c r="AE268" i="3"/>
  <c r="AF268" i="3"/>
  <c r="Z268" i="3"/>
  <c r="AD268" i="3"/>
  <c r="AA268" i="3"/>
  <c r="AC268" i="3"/>
  <c r="AA280" i="3"/>
  <c r="Z280" i="3"/>
  <c r="AC280" i="3"/>
  <c r="AD280" i="3"/>
  <c r="AF280" i="3"/>
  <c r="AB280" i="3"/>
  <c r="AE280" i="3"/>
  <c r="T274" i="3"/>
  <c r="U274" i="3"/>
  <c r="X274" i="3"/>
  <c r="R274" i="3"/>
  <c r="S274" i="3"/>
  <c r="W274" i="3"/>
  <c r="B274" i="3"/>
  <c r="V274" i="3"/>
  <c r="AC266" i="3"/>
  <c r="AD266" i="3"/>
  <c r="AE266" i="3"/>
  <c r="Z266" i="3"/>
  <c r="AF266" i="3"/>
  <c r="AA266" i="3"/>
  <c r="AB266" i="3"/>
  <c r="AA254" i="3"/>
  <c r="AB254" i="3"/>
  <c r="AC254" i="3"/>
  <c r="AD254" i="3"/>
  <c r="AE254" i="3"/>
  <c r="Z254" i="3"/>
  <c r="AF254" i="3"/>
  <c r="V234" i="3"/>
  <c r="S234" i="3"/>
  <c r="T234" i="3"/>
  <c r="U234" i="3"/>
  <c r="X234" i="3"/>
  <c r="B234" i="3"/>
  <c r="R234" i="3"/>
  <c r="W234" i="3"/>
  <c r="Z273" i="3"/>
  <c r="AA273" i="3"/>
  <c r="AB273" i="3"/>
  <c r="AC273" i="3"/>
  <c r="AF273" i="3"/>
  <c r="AD273" i="3"/>
  <c r="AE273" i="3"/>
  <c r="R249" i="3"/>
  <c r="S249" i="3"/>
  <c r="T249" i="3"/>
  <c r="B249" i="3"/>
  <c r="U249" i="3"/>
  <c r="X249" i="3"/>
  <c r="V249" i="3"/>
  <c r="W249" i="3"/>
  <c r="W238" i="3"/>
  <c r="X238" i="3"/>
  <c r="B238" i="3"/>
  <c r="S238" i="3"/>
  <c r="T238" i="3"/>
  <c r="V238" i="3"/>
  <c r="R238" i="3"/>
  <c r="U238" i="3"/>
  <c r="AB208" i="3"/>
  <c r="Z208" i="3"/>
  <c r="AA208" i="3"/>
  <c r="AE208" i="3"/>
  <c r="AF208" i="3"/>
  <c r="AD208" i="3"/>
  <c r="AC208" i="3"/>
  <c r="AB216" i="3"/>
  <c r="Z216" i="3"/>
  <c r="AA216" i="3"/>
  <c r="AC216" i="3"/>
  <c r="AF216" i="3"/>
  <c r="AD216" i="3"/>
  <c r="AE216" i="3"/>
  <c r="U205" i="3"/>
  <c r="V205" i="3"/>
  <c r="B205" i="3"/>
  <c r="W205" i="3"/>
  <c r="X205" i="3"/>
  <c r="T205" i="3"/>
  <c r="R205" i="3"/>
  <c r="S205" i="3"/>
  <c r="AD217" i="3"/>
  <c r="AE217" i="3"/>
  <c r="AF217" i="3"/>
  <c r="Z217" i="3"/>
  <c r="AA217" i="3"/>
  <c r="AB217" i="3"/>
  <c r="AC217" i="3"/>
  <c r="AC205" i="3"/>
  <c r="AE205" i="3"/>
  <c r="AF205" i="3"/>
  <c r="Z205" i="3"/>
  <c r="AD205" i="3"/>
  <c r="AA205" i="3"/>
  <c r="AB205" i="3"/>
  <c r="AD191" i="3"/>
  <c r="Z191" i="3"/>
  <c r="AB191" i="3"/>
  <c r="AC191" i="3"/>
  <c r="AE191" i="3"/>
  <c r="AF191" i="3"/>
  <c r="AA191" i="3"/>
  <c r="AC175" i="3"/>
  <c r="Z175" i="3"/>
  <c r="AA175" i="3"/>
  <c r="AE175" i="3"/>
  <c r="AF175" i="3"/>
  <c r="AB175" i="3"/>
  <c r="AD175" i="3"/>
  <c r="Z186" i="3"/>
  <c r="AA186" i="3"/>
  <c r="AB186" i="3"/>
  <c r="AC186" i="3"/>
  <c r="AD186" i="3"/>
  <c r="AE186" i="3"/>
  <c r="AF186" i="3"/>
  <c r="R175" i="3"/>
  <c r="X175" i="3"/>
  <c r="B175" i="3"/>
  <c r="V175" i="3"/>
  <c r="W175" i="3"/>
  <c r="U175" i="3"/>
  <c r="T175" i="3"/>
  <c r="S175" i="3"/>
  <c r="AE192" i="3"/>
  <c r="Z192" i="3"/>
  <c r="AC192" i="3"/>
  <c r="AD192" i="3"/>
  <c r="AA192" i="3"/>
  <c r="AB192" i="3"/>
  <c r="AF192" i="3"/>
  <c r="AF228" i="3"/>
  <c r="AA228" i="3"/>
  <c r="AC228" i="3"/>
  <c r="AD228" i="3"/>
  <c r="AE228" i="3"/>
  <c r="Z228" i="3"/>
  <c r="AB228" i="3"/>
  <c r="R207" i="3"/>
  <c r="B207" i="3"/>
  <c r="X207" i="3"/>
  <c r="S207" i="3"/>
  <c r="T207" i="3"/>
  <c r="U207" i="3"/>
  <c r="V207" i="3"/>
  <c r="W207" i="3"/>
  <c r="U190" i="3"/>
  <c r="R190" i="3"/>
  <c r="X190" i="3"/>
  <c r="W190" i="3"/>
  <c r="V190" i="3"/>
  <c r="S190" i="3"/>
  <c r="B190" i="3"/>
  <c r="T190" i="3"/>
  <c r="AC153" i="3"/>
  <c r="AE153" i="3"/>
  <c r="AF153" i="3"/>
  <c r="Z153" i="3"/>
  <c r="AD153" i="3"/>
  <c r="AB153" i="3"/>
  <c r="AA153" i="3"/>
  <c r="V191" i="3"/>
  <c r="S191" i="3"/>
  <c r="T191" i="3"/>
  <c r="U191" i="3"/>
  <c r="X191" i="3"/>
  <c r="B191" i="3"/>
  <c r="W191" i="3"/>
  <c r="R191" i="3"/>
  <c r="AD185" i="3"/>
  <c r="AF185" i="3"/>
  <c r="AA185" i="3"/>
  <c r="AB185" i="3"/>
  <c r="AC185" i="3"/>
  <c r="Z185" i="3"/>
  <c r="AE185" i="3"/>
  <c r="S167" i="3"/>
  <c r="B167" i="3"/>
  <c r="R167" i="3"/>
  <c r="U167" i="3"/>
  <c r="V167" i="3"/>
  <c r="X167" i="3"/>
  <c r="W167" i="3"/>
  <c r="T167" i="3"/>
  <c r="G167" i="3" s="1"/>
  <c r="Z166" i="3"/>
  <c r="AA166" i="3"/>
  <c r="AB166" i="3"/>
  <c r="AC166" i="3"/>
  <c r="AF166" i="3"/>
  <c r="AE166" i="3"/>
  <c r="AD166" i="3"/>
  <c r="Z125" i="3"/>
  <c r="AA125" i="3"/>
  <c r="AB125" i="3"/>
  <c r="AC125" i="3"/>
  <c r="AD125" i="3"/>
  <c r="AE125" i="3"/>
  <c r="AF125" i="3"/>
  <c r="Z199" i="3"/>
  <c r="AA199" i="3"/>
  <c r="AB199" i="3"/>
  <c r="AE199" i="3"/>
  <c r="AF199" i="3"/>
  <c r="AD199" i="3"/>
  <c r="AC199" i="3"/>
  <c r="AF182" i="3"/>
  <c r="AB182" i="3"/>
  <c r="AD182" i="3"/>
  <c r="AE182" i="3"/>
  <c r="AA182" i="3"/>
  <c r="AC182" i="3"/>
  <c r="Z182" i="3"/>
  <c r="Z158" i="3"/>
  <c r="AF158" i="3"/>
  <c r="AE158" i="3"/>
  <c r="AC158" i="3"/>
  <c r="AB158" i="3"/>
  <c r="AD158" i="3"/>
  <c r="AA158" i="3"/>
  <c r="U153" i="3"/>
  <c r="T153" i="3"/>
  <c r="V153" i="3"/>
  <c r="W153" i="3"/>
  <c r="R153" i="3"/>
  <c r="S153" i="3"/>
  <c r="X153" i="3"/>
  <c r="B153" i="3"/>
  <c r="R149" i="3"/>
  <c r="S149" i="3"/>
  <c r="B149" i="3"/>
  <c r="T149" i="3"/>
  <c r="U149" i="3"/>
  <c r="X149" i="3"/>
  <c r="W149" i="3"/>
  <c r="V149" i="3"/>
  <c r="AA117" i="3"/>
  <c r="AB117" i="3"/>
  <c r="AC117" i="3"/>
  <c r="AD117" i="3"/>
  <c r="AE117" i="3"/>
  <c r="AF117" i="3"/>
  <c r="Z117" i="3"/>
  <c r="W99" i="3"/>
  <c r="U99" i="3"/>
  <c r="X99" i="3"/>
  <c r="R99" i="3"/>
  <c r="V99" i="3"/>
  <c r="S99" i="3"/>
  <c r="T99" i="3"/>
  <c r="B99" i="3"/>
  <c r="AE137" i="3"/>
  <c r="AB137" i="3"/>
  <c r="AF137" i="3"/>
  <c r="Z137" i="3"/>
  <c r="AA137" i="3"/>
  <c r="AC137" i="3"/>
  <c r="AD137" i="3"/>
  <c r="AE133" i="3"/>
  <c r="AF133" i="3"/>
  <c r="Z133" i="3"/>
  <c r="AA133" i="3"/>
  <c r="AB133" i="3"/>
  <c r="AC133" i="3"/>
  <c r="AD133" i="3"/>
  <c r="Z142" i="3"/>
  <c r="AF142" i="3"/>
  <c r="AA142" i="3"/>
  <c r="AE142" i="3"/>
  <c r="AD142" i="3"/>
  <c r="AC142" i="3"/>
  <c r="AB142" i="3"/>
  <c r="AB106" i="3"/>
  <c r="AD106" i="3"/>
  <c r="AE106" i="3"/>
  <c r="AF106" i="3"/>
  <c r="AC106" i="3"/>
  <c r="Z106" i="3"/>
  <c r="AA106" i="3"/>
  <c r="AB115" i="3"/>
  <c r="AC115" i="3"/>
  <c r="AD115" i="3"/>
  <c r="AA115" i="3"/>
  <c r="AE115" i="3"/>
  <c r="AF115" i="3"/>
  <c r="Z115" i="3"/>
  <c r="AC110" i="3"/>
  <c r="AE110" i="3"/>
  <c r="AF110" i="3"/>
  <c r="AB110" i="3"/>
  <c r="AD110" i="3"/>
  <c r="AA110" i="3"/>
  <c r="Z110" i="3"/>
  <c r="AD97" i="3"/>
  <c r="AE97" i="3"/>
  <c r="AF97" i="3"/>
  <c r="Z97" i="3"/>
  <c r="AA97" i="3"/>
  <c r="AB97" i="3"/>
  <c r="AC97" i="3"/>
  <c r="X50" i="3"/>
  <c r="R50" i="3"/>
  <c r="S50" i="3"/>
  <c r="T50" i="3"/>
  <c r="U50" i="3"/>
  <c r="W50" i="3"/>
  <c r="B50" i="3"/>
  <c r="V50" i="3"/>
  <c r="R108" i="3"/>
  <c r="S108" i="3"/>
  <c r="U108" i="3"/>
  <c r="V108" i="3"/>
  <c r="W108" i="3"/>
  <c r="X108" i="3"/>
  <c r="T108" i="3"/>
  <c r="B108" i="3"/>
  <c r="B76" i="3"/>
  <c r="V76" i="3"/>
  <c r="W76" i="3"/>
  <c r="X76" i="3"/>
  <c r="R76" i="3"/>
  <c r="U76" i="3"/>
  <c r="S76" i="3"/>
  <c r="T76" i="3"/>
  <c r="R63" i="3"/>
  <c r="U63" i="3"/>
  <c r="S63" i="3"/>
  <c r="B63" i="3"/>
  <c r="T63" i="3"/>
  <c r="X63" i="3"/>
  <c r="W63" i="3"/>
  <c r="V63" i="3"/>
  <c r="W84" i="3"/>
  <c r="X84" i="3"/>
  <c r="R84" i="3"/>
  <c r="S84" i="3"/>
  <c r="V84" i="3"/>
  <c r="T84" i="3"/>
  <c r="U84" i="3"/>
  <c r="B84" i="3"/>
  <c r="AB71" i="3"/>
  <c r="Z71" i="3"/>
  <c r="AA71" i="3"/>
  <c r="AC71" i="3"/>
  <c r="AD71" i="3"/>
  <c r="AF71" i="3"/>
  <c r="AE71" i="3"/>
  <c r="AD65" i="3"/>
  <c r="AA65" i="3"/>
  <c r="AB65" i="3"/>
  <c r="AC65" i="3"/>
  <c r="AE65" i="3"/>
  <c r="AF65" i="3"/>
  <c r="Z65" i="3"/>
  <c r="W46" i="3"/>
  <c r="T46" i="3"/>
  <c r="U46" i="3"/>
  <c r="V46" i="3"/>
  <c r="R46" i="3"/>
  <c r="B46" i="3"/>
  <c r="X46" i="3"/>
  <c r="S46" i="3"/>
  <c r="AF49" i="3"/>
  <c r="AE49" i="3"/>
  <c r="AB49" i="3"/>
  <c r="AC49" i="3"/>
  <c r="AD49" i="3"/>
  <c r="Z49" i="3"/>
  <c r="AA49" i="3"/>
  <c r="B3" i="3"/>
  <c r="R3" i="3"/>
  <c r="S3" i="3"/>
  <c r="T3" i="3"/>
  <c r="U3" i="3"/>
  <c r="V3" i="3"/>
  <c r="W3" i="3"/>
  <c r="X3" i="3"/>
  <c r="S4" i="3"/>
  <c r="B4" i="3"/>
  <c r="V4" i="3"/>
  <c r="W4" i="3"/>
  <c r="X4" i="3"/>
  <c r="R4" i="3"/>
  <c r="U4" i="3"/>
  <c r="T4" i="3"/>
  <c r="U29" i="3"/>
  <c r="S29" i="3"/>
  <c r="T29" i="3"/>
  <c r="V29" i="3"/>
  <c r="W29" i="3"/>
  <c r="B29" i="3"/>
  <c r="X29" i="3"/>
  <c r="R29" i="3"/>
  <c r="Z34" i="3"/>
  <c r="AA34" i="3"/>
  <c r="AF34" i="3"/>
  <c r="AD34" i="3"/>
  <c r="AB34" i="3"/>
  <c r="AC34" i="3"/>
  <c r="AE34" i="3"/>
  <c r="AA24" i="3"/>
  <c r="AC24" i="3"/>
  <c r="AE24" i="3"/>
  <c r="AD24" i="3"/>
  <c r="I24" i="3" s="1"/>
  <c r="AF24" i="3"/>
  <c r="AB24" i="3"/>
  <c r="Z24" i="3"/>
  <c r="AC12" i="3"/>
  <c r="AF12" i="3"/>
  <c r="Z12" i="3"/>
  <c r="AA12" i="3"/>
  <c r="AB12" i="3"/>
  <c r="AE12" i="3"/>
  <c r="AD12" i="3"/>
  <c r="AE8" i="3"/>
  <c r="AD8" i="3"/>
  <c r="AF8" i="3"/>
  <c r="Z8" i="3"/>
  <c r="AC8" i="3"/>
  <c r="AA8" i="3"/>
  <c r="AB8" i="3"/>
  <c r="Z342" i="3"/>
  <c r="AF342" i="3"/>
  <c r="AC342" i="3"/>
  <c r="AD342" i="3"/>
  <c r="AA342" i="3"/>
  <c r="AB342" i="3"/>
  <c r="AE342" i="3"/>
  <c r="J342" i="3" s="1"/>
  <c r="R344" i="3"/>
  <c r="T344" i="3"/>
  <c r="B344" i="3"/>
  <c r="W344" i="3"/>
  <c r="V344" i="3"/>
  <c r="X344" i="3"/>
  <c r="U344" i="3"/>
  <c r="S344" i="3"/>
  <c r="AD302" i="3"/>
  <c r="Z302" i="3"/>
  <c r="AB302" i="3"/>
  <c r="AC302" i="3"/>
  <c r="AE302" i="3"/>
  <c r="AF302" i="3"/>
  <c r="AA302" i="3"/>
  <c r="U256" i="3"/>
  <c r="W256" i="3"/>
  <c r="B256" i="3"/>
  <c r="V256" i="3"/>
  <c r="R256" i="3"/>
  <c r="S256" i="3"/>
  <c r="T256" i="3"/>
  <c r="X256" i="3"/>
  <c r="T174" i="3"/>
  <c r="W174" i="3"/>
  <c r="X174" i="3"/>
  <c r="V174" i="3"/>
  <c r="B174" i="3"/>
  <c r="R174" i="3"/>
  <c r="S174" i="3"/>
  <c r="U174" i="3"/>
  <c r="V225" i="3"/>
  <c r="W225" i="3"/>
  <c r="X225" i="3"/>
  <c r="R225" i="3"/>
  <c r="S225" i="3"/>
  <c r="T225" i="3"/>
  <c r="U225" i="3"/>
  <c r="B225" i="3"/>
  <c r="W200" i="3"/>
  <c r="T200" i="3"/>
  <c r="U200" i="3"/>
  <c r="S200" i="3"/>
  <c r="X200" i="3"/>
  <c r="B200" i="3"/>
  <c r="V200" i="3"/>
  <c r="R200" i="3"/>
  <c r="R327" i="3"/>
  <c r="X327" i="3"/>
  <c r="T327" i="3"/>
  <c r="V327" i="3"/>
  <c r="S327" i="3"/>
  <c r="B327" i="3"/>
  <c r="U327" i="3"/>
  <c r="W327" i="3"/>
  <c r="W337" i="3"/>
  <c r="X337" i="3"/>
  <c r="S337" i="3"/>
  <c r="R337" i="3"/>
  <c r="V337" i="3"/>
  <c r="B337" i="3"/>
  <c r="T337" i="3"/>
  <c r="G337" i="3" s="1"/>
  <c r="U337" i="3"/>
  <c r="H337" i="3" s="1"/>
  <c r="AB348" i="3"/>
  <c r="AE348" i="3"/>
  <c r="AA348" i="3"/>
  <c r="AF348" i="3"/>
  <c r="AC348" i="3"/>
  <c r="Z348" i="3"/>
  <c r="AD348" i="3"/>
  <c r="I348" i="3" s="1"/>
  <c r="U349" i="3"/>
  <c r="R349" i="3"/>
  <c r="W349" i="3"/>
  <c r="X349" i="3"/>
  <c r="V349" i="3"/>
  <c r="S349" i="3"/>
  <c r="B349" i="3"/>
  <c r="T349" i="3"/>
  <c r="B343" i="3"/>
  <c r="X343" i="3"/>
  <c r="R343" i="3"/>
  <c r="V343" i="3"/>
  <c r="S343" i="3"/>
  <c r="W343" i="3"/>
  <c r="T343" i="3"/>
  <c r="U343" i="3"/>
  <c r="AF352" i="3"/>
  <c r="AC352" i="3"/>
  <c r="Z352" i="3"/>
  <c r="AD352" i="3"/>
  <c r="AA352" i="3"/>
  <c r="AB352" i="3"/>
  <c r="AE352" i="3"/>
  <c r="V341" i="3"/>
  <c r="X341" i="3"/>
  <c r="S341" i="3"/>
  <c r="T341" i="3"/>
  <c r="W341" i="3"/>
  <c r="U341" i="3"/>
  <c r="B341" i="3"/>
  <c r="R341" i="3"/>
  <c r="V310" i="3"/>
  <c r="R310" i="3"/>
  <c r="T310" i="3"/>
  <c r="U310" i="3"/>
  <c r="W310" i="3"/>
  <c r="B310" i="3"/>
  <c r="X310" i="3"/>
  <c r="S310" i="3"/>
  <c r="AA347" i="3"/>
  <c r="AB347" i="3"/>
  <c r="AC347" i="3"/>
  <c r="AF347" i="3"/>
  <c r="Z347" i="3"/>
  <c r="AE347" i="3"/>
  <c r="AD347" i="3"/>
  <c r="Z263" i="3"/>
  <c r="AD263" i="3"/>
  <c r="AE263" i="3"/>
  <c r="AA263" i="3"/>
  <c r="AB263" i="3"/>
  <c r="AC263" i="3"/>
  <c r="AF263" i="3"/>
  <c r="W339" i="3"/>
  <c r="U339" i="3"/>
  <c r="T339" i="3"/>
  <c r="R339" i="3"/>
  <c r="B339" i="3"/>
  <c r="S339" i="3"/>
  <c r="V339" i="3"/>
  <c r="X339" i="3"/>
  <c r="W320" i="3"/>
  <c r="R320" i="3"/>
  <c r="T320" i="3"/>
  <c r="V320" i="3"/>
  <c r="S320" i="3"/>
  <c r="U320" i="3"/>
  <c r="B320" i="3"/>
  <c r="X320" i="3"/>
  <c r="AA314" i="3"/>
  <c r="AF314" i="3"/>
  <c r="AC314" i="3"/>
  <c r="AE314" i="3"/>
  <c r="AD314" i="3"/>
  <c r="AB314" i="3"/>
  <c r="G314" i="3" s="1"/>
  <c r="Z314" i="3"/>
  <c r="AA291" i="3"/>
  <c r="AF291" i="3"/>
  <c r="Z291" i="3"/>
  <c r="AC291" i="3"/>
  <c r="AD291" i="3"/>
  <c r="AE291" i="3"/>
  <c r="AB291" i="3"/>
  <c r="V305" i="3"/>
  <c r="W305" i="3"/>
  <c r="X305" i="3"/>
  <c r="R305" i="3"/>
  <c r="T305" i="3"/>
  <c r="U305" i="3"/>
  <c r="B305" i="3"/>
  <c r="S305" i="3"/>
  <c r="V289" i="3"/>
  <c r="W289" i="3"/>
  <c r="X289" i="3"/>
  <c r="R289" i="3"/>
  <c r="S289" i="3"/>
  <c r="T289" i="3"/>
  <c r="U289" i="3"/>
  <c r="B289" i="3"/>
  <c r="R331" i="3"/>
  <c r="V331" i="3"/>
  <c r="T331" i="3"/>
  <c r="B331" i="3"/>
  <c r="W331" i="3"/>
  <c r="S331" i="3"/>
  <c r="U331" i="3"/>
  <c r="X331" i="3"/>
  <c r="T325" i="3"/>
  <c r="U325" i="3"/>
  <c r="X325" i="3"/>
  <c r="B325" i="3"/>
  <c r="R325" i="3"/>
  <c r="E325" i="3" s="1"/>
  <c r="W325" i="3"/>
  <c r="J325" i="3" s="1"/>
  <c r="V325" i="3"/>
  <c r="S325" i="3"/>
  <c r="Z339" i="3"/>
  <c r="AD339" i="3"/>
  <c r="AB339" i="3"/>
  <c r="AA339" i="3"/>
  <c r="AF339" i="3"/>
  <c r="AC339" i="3"/>
  <c r="AE339" i="3"/>
  <c r="T316" i="3"/>
  <c r="R316" i="3"/>
  <c r="S316" i="3"/>
  <c r="U316" i="3"/>
  <c r="B316" i="3"/>
  <c r="X316" i="3"/>
  <c r="W316" i="3"/>
  <c r="V316" i="3"/>
  <c r="AA309" i="3"/>
  <c r="AB309" i="3"/>
  <c r="AC309" i="3"/>
  <c r="AD309" i="3"/>
  <c r="AE309" i="3"/>
  <c r="AF309" i="3"/>
  <c r="Z309" i="3"/>
  <c r="AB120" i="3"/>
  <c r="AA120" i="3"/>
  <c r="AC120" i="3"/>
  <c r="AD120" i="3"/>
  <c r="AE120" i="3"/>
  <c r="AF120" i="3"/>
  <c r="Z120" i="3"/>
  <c r="T298" i="3"/>
  <c r="G298" i="3" s="1"/>
  <c r="S298" i="3"/>
  <c r="U298" i="3"/>
  <c r="V298" i="3"/>
  <c r="X298" i="3"/>
  <c r="B298" i="3"/>
  <c r="W298" i="3"/>
  <c r="R298" i="3"/>
  <c r="Z240" i="3"/>
  <c r="AA240" i="3"/>
  <c r="AF240" i="3"/>
  <c r="AB240" i="3"/>
  <c r="AC240" i="3"/>
  <c r="AD240" i="3"/>
  <c r="AE240" i="3"/>
  <c r="AB278" i="3"/>
  <c r="G278" i="3" s="1"/>
  <c r="Z278" i="3"/>
  <c r="E278" i="3" s="1"/>
  <c r="AA278" i="3"/>
  <c r="AC278" i="3"/>
  <c r="AE278" i="3"/>
  <c r="AD278" i="3"/>
  <c r="AF278" i="3"/>
  <c r="AF172" i="3"/>
  <c r="AB172" i="3"/>
  <c r="AC172" i="3"/>
  <c r="AD172" i="3"/>
  <c r="AE172" i="3"/>
  <c r="Z172" i="3"/>
  <c r="AA172" i="3"/>
  <c r="T282" i="3"/>
  <c r="V282" i="3"/>
  <c r="S282" i="3"/>
  <c r="U282" i="3"/>
  <c r="B282" i="3"/>
  <c r="R282" i="3"/>
  <c r="W282" i="3"/>
  <c r="X282" i="3"/>
  <c r="Z223" i="3"/>
  <c r="AB223" i="3"/>
  <c r="AC223" i="3"/>
  <c r="AF223" i="3"/>
  <c r="AE223" i="3"/>
  <c r="AA223" i="3"/>
  <c r="AD223" i="3"/>
  <c r="AD258" i="3"/>
  <c r="AE258" i="3"/>
  <c r="AF258" i="3"/>
  <c r="Z258" i="3"/>
  <c r="AA258" i="3"/>
  <c r="AB258" i="3"/>
  <c r="AC258" i="3"/>
  <c r="Z252" i="3"/>
  <c r="AC252" i="3"/>
  <c r="AD252" i="3"/>
  <c r="AA252" i="3"/>
  <c r="AE252" i="3"/>
  <c r="AF252" i="3"/>
  <c r="AB252" i="3"/>
  <c r="AC229" i="3"/>
  <c r="Z229" i="3"/>
  <c r="AB229" i="3"/>
  <c r="AE229" i="3"/>
  <c r="AA229" i="3"/>
  <c r="AD229" i="3"/>
  <c r="AF229" i="3"/>
  <c r="S246" i="3"/>
  <c r="U246" i="3"/>
  <c r="W246" i="3"/>
  <c r="T246" i="3"/>
  <c r="V246" i="3"/>
  <c r="X246" i="3"/>
  <c r="B246" i="3"/>
  <c r="R246" i="3"/>
  <c r="U277" i="3"/>
  <c r="S277" i="3"/>
  <c r="T277" i="3"/>
  <c r="B277" i="3"/>
  <c r="V277" i="3"/>
  <c r="R277" i="3"/>
  <c r="W277" i="3"/>
  <c r="X277" i="3"/>
  <c r="R273" i="3"/>
  <c r="B273" i="3"/>
  <c r="S273" i="3"/>
  <c r="T273" i="3"/>
  <c r="U273" i="3"/>
  <c r="X273" i="3"/>
  <c r="V273" i="3"/>
  <c r="W273" i="3"/>
  <c r="U253" i="3"/>
  <c r="R253" i="3"/>
  <c r="S253" i="3"/>
  <c r="T253" i="3"/>
  <c r="V253" i="3"/>
  <c r="B253" i="3"/>
  <c r="W253" i="3"/>
  <c r="X253" i="3"/>
  <c r="Z248" i="3"/>
  <c r="AA248" i="3"/>
  <c r="AC248" i="3"/>
  <c r="AE248" i="3"/>
  <c r="AB248" i="3"/>
  <c r="AF248" i="3"/>
  <c r="AD248" i="3"/>
  <c r="AA242" i="3"/>
  <c r="AB242" i="3"/>
  <c r="AC242" i="3"/>
  <c r="AE242" i="3"/>
  <c r="AD242" i="3"/>
  <c r="AF242" i="3"/>
  <c r="Z242" i="3"/>
  <c r="R186" i="3"/>
  <c r="S186" i="3"/>
  <c r="T186" i="3"/>
  <c r="B186" i="3"/>
  <c r="U186" i="3"/>
  <c r="V186" i="3"/>
  <c r="W186" i="3"/>
  <c r="X186" i="3"/>
  <c r="T181" i="3"/>
  <c r="U181" i="3"/>
  <c r="V181" i="3"/>
  <c r="B181" i="3"/>
  <c r="W181" i="3"/>
  <c r="X181" i="3"/>
  <c r="S181" i="3"/>
  <c r="R181" i="3"/>
  <c r="T152" i="3"/>
  <c r="S152" i="3"/>
  <c r="U152" i="3"/>
  <c r="V152" i="3"/>
  <c r="W152" i="3"/>
  <c r="X152" i="3"/>
  <c r="R152" i="3"/>
  <c r="B152" i="3"/>
  <c r="V217" i="3"/>
  <c r="W217" i="3"/>
  <c r="X217" i="3"/>
  <c r="R217" i="3"/>
  <c r="T217" i="3"/>
  <c r="U217" i="3"/>
  <c r="B217" i="3"/>
  <c r="S217" i="3"/>
  <c r="AF214" i="3"/>
  <c r="AC214" i="3"/>
  <c r="AD214" i="3"/>
  <c r="Z214" i="3"/>
  <c r="AA214" i="3"/>
  <c r="AB214" i="3"/>
  <c r="AE214" i="3"/>
  <c r="T216" i="3"/>
  <c r="R216" i="3"/>
  <c r="S216" i="3"/>
  <c r="B216" i="3"/>
  <c r="V216" i="3"/>
  <c r="X216" i="3"/>
  <c r="U216" i="3"/>
  <c r="W216" i="3"/>
  <c r="AC169" i="3"/>
  <c r="AD169" i="3"/>
  <c r="AE169" i="3"/>
  <c r="AF169" i="3"/>
  <c r="Z169" i="3"/>
  <c r="AB169" i="3"/>
  <c r="AA169" i="3"/>
  <c r="S196" i="3"/>
  <c r="X196" i="3"/>
  <c r="W196" i="3"/>
  <c r="T196" i="3"/>
  <c r="V196" i="3"/>
  <c r="U196" i="3"/>
  <c r="R196" i="3"/>
  <c r="B196" i="3"/>
  <c r="AF179" i="3"/>
  <c r="Z179" i="3"/>
  <c r="AB179" i="3"/>
  <c r="AC179" i="3"/>
  <c r="AE179" i="3"/>
  <c r="AA179" i="3"/>
  <c r="AD179" i="3"/>
  <c r="V162" i="3"/>
  <c r="X162" i="3"/>
  <c r="R162" i="3"/>
  <c r="S162" i="3"/>
  <c r="W162" i="3"/>
  <c r="T162" i="3"/>
  <c r="U162" i="3"/>
  <c r="B162" i="3"/>
  <c r="Z146" i="3"/>
  <c r="AF146" i="3"/>
  <c r="AC146" i="3"/>
  <c r="AB146" i="3"/>
  <c r="AD146" i="3"/>
  <c r="AE146" i="3"/>
  <c r="AA146" i="3"/>
  <c r="AE203" i="3"/>
  <c r="Z203" i="3"/>
  <c r="AB203" i="3"/>
  <c r="AC203" i="3"/>
  <c r="AD203" i="3"/>
  <c r="AA203" i="3"/>
  <c r="AF203" i="3"/>
  <c r="AC198" i="3"/>
  <c r="AA198" i="3"/>
  <c r="AD198" i="3"/>
  <c r="AE198" i="3"/>
  <c r="AF198" i="3"/>
  <c r="Z198" i="3"/>
  <c r="AB198" i="3"/>
  <c r="Z194" i="3"/>
  <c r="AA194" i="3"/>
  <c r="AB194" i="3"/>
  <c r="AC194" i="3"/>
  <c r="AD194" i="3"/>
  <c r="AE194" i="3"/>
  <c r="AF194" i="3"/>
  <c r="AE134" i="3"/>
  <c r="AB134" i="3"/>
  <c r="AC134" i="3"/>
  <c r="AD134" i="3"/>
  <c r="Z134" i="3"/>
  <c r="AA134" i="3"/>
  <c r="AF134" i="3"/>
  <c r="S142" i="3"/>
  <c r="X142" i="3"/>
  <c r="U142" i="3"/>
  <c r="V142" i="3"/>
  <c r="T142" i="3"/>
  <c r="B142" i="3"/>
  <c r="R142" i="3"/>
  <c r="W142" i="3"/>
  <c r="Z130" i="3"/>
  <c r="AF130" i="3"/>
  <c r="AC130" i="3"/>
  <c r="AD130" i="3"/>
  <c r="AE130" i="3"/>
  <c r="AB130" i="3"/>
  <c r="AA130" i="3"/>
  <c r="R143" i="3"/>
  <c r="U143" i="3"/>
  <c r="V143" i="3"/>
  <c r="W143" i="3"/>
  <c r="X143" i="3"/>
  <c r="T143" i="3"/>
  <c r="S143" i="3"/>
  <c r="B143" i="3"/>
  <c r="X127" i="3"/>
  <c r="B127" i="3"/>
  <c r="R127" i="3"/>
  <c r="W127" i="3"/>
  <c r="V127" i="3"/>
  <c r="U127" i="3"/>
  <c r="T127" i="3"/>
  <c r="S127" i="3"/>
  <c r="AD94" i="3"/>
  <c r="Z94" i="3"/>
  <c r="AA94" i="3"/>
  <c r="AB94" i="3"/>
  <c r="AC94" i="3"/>
  <c r="AF94" i="3"/>
  <c r="AE94" i="3"/>
  <c r="W133" i="3"/>
  <c r="X133" i="3"/>
  <c r="R133" i="3"/>
  <c r="S133" i="3"/>
  <c r="B133" i="3"/>
  <c r="T133" i="3"/>
  <c r="V133" i="3"/>
  <c r="U133" i="3"/>
  <c r="AB136" i="3"/>
  <c r="Z136" i="3"/>
  <c r="AA136" i="3"/>
  <c r="AC136" i="3"/>
  <c r="AD136" i="3"/>
  <c r="AE136" i="3"/>
  <c r="AF136" i="3"/>
  <c r="U124" i="3"/>
  <c r="H124" i="3" s="1"/>
  <c r="R124" i="3"/>
  <c r="E124" i="3" s="1"/>
  <c r="S124" i="3"/>
  <c r="T124" i="3"/>
  <c r="G124" i="3" s="1"/>
  <c r="B124" i="3"/>
  <c r="V124" i="3"/>
  <c r="W124" i="3"/>
  <c r="X124" i="3"/>
  <c r="R100" i="3"/>
  <c r="E100" i="3" s="1"/>
  <c r="B100" i="3"/>
  <c r="S100" i="3"/>
  <c r="V100" i="3"/>
  <c r="X100" i="3"/>
  <c r="T100" i="3"/>
  <c r="U100" i="3"/>
  <c r="W100" i="3"/>
  <c r="Z89" i="3"/>
  <c r="AB89" i="3"/>
  <c r="AC89" i="3"/>
  <c r="AD89" i="3"/>
  <c r="AE89" i="3"/>
  <c r="AA89" i="3"/>
  <c r="AF89" i="3"/>
  <c r="B98" i="3"/>
  <c r="X98" i="3"/>
  <c r="T98" i="3"/>
  <c r="V98" i="3"/>
  <c r="W98" i="3"/>
  <c r="U98" i="3"/>
  <c r="S98" i="3"/>
  <c r="R98" i="3"/>
  <c r="T106" i="3"/>
  <c r="V106" i="3"/>
  <c r="U106" i="3"/>
  <c r="B106" i="3"/>
  <c r="X106" i="3"/>
  <c r="W106" i="3"/>
  <c r="R106" i="3"/>
  <c r="S106" i="3"/>
  <c r="V97" i="3"/>
  <c r="W97" i="3"/>
  <c r="X97" i="3"/>
  <c r="R97" i="3"/>
  <c r="S97" i="3"/>
  <c r="T97" i="3"/>
  <c r="U97" i="3"/>
  <c r="B97" i="3"/>
  <c r="S103" i="3"/>
  <c r="W103" i="3"/>
  <c r="U103" i="3"/>
  <c r="T103" i="3"/>
  <c r="R103" i="3"/>
  <c r="X103" i="3"/>
  <c r="V103" i="3"/>
  <c r="B103" i="3"/>
  <c r="AE111" i="3"/>
  <c r="Z111" i="3"/>
  <c r="AC111" i="3"/>
  <c r="AD111" i="3"/>
  <c r="AB111" i="3"/>
  <c r="AF111" i="3"/>
  <c r="AA111" i="3"/>
  <c r="V94" i="3"/>
  <c r="R94" i="3"/>
  <c r="S94" i="3"/>
  <c r="T94" i="3"/>
  <c r="U94" i="3"/>
  <c r="X94" i="3"/>
  <c r="B94" i="3"/>
  <c r="W94" i="3"/>
  <c r="S27" i="3"/>
  <c r="B27" i="3"/>
  <c r="V27" i="3"/>
  <c r="U27" i="3"/>
  <c r="R27" i="3"/>
  <c r="T27" i="3"/>
  <c r="X27" i="3"/>
  <c r="W27" i="3"/>
  <c r="AB83" i="3"/>
  <c r="AC83" i="3"/>
  <c r="AD83" i="3"/>
  <c r="AE83" i="3"/>
  <c r="AF83" i="3"/>
  <c r="AA83" i="3"/>
  <c r="Z83" i="3"/>
  <c r="AC72" i="3"/>
  <c r="Z72" i="3"/>
  <c r="AD72" i="3"/>
  <c r="AE72" i="3"/>
  <c r="AF72" i="3"/>
  <c r="AA72" i="3"/>
  <c r="AB72" i="3"/>
  <c r="R51" i="3"/>
  <c r="S51" i="3"/>
  <c r="W51" i="3"/>
  <c r="B51" i="3"/>
  <c r="X51" i="3"/>
  <c r="U51" i="3"/>
  <c r="T51" i="3"/>
  <c r="V51" i="3"/>
  <c r="T41" i="3"/>
  <c r="R41" i="3"/>
  <c r="V41" i="3"/>
  <c r="W41" i="3"/>
  <c r="B41" i="3"/>
  <c r="X41" i="3"/>
  <c r="U41" i="3"/>
  <c r="S41" i="3"/>
  <c r="AF55" i="3"/>
  <c r="Z55" i="3"/>
  <c r="AA55" i="3"/>
  <c r="AC55" i="3"/>
  <c r="AD55" i="3"/>
  <c r="AE55" i="3"/>
  <c r="J55" i="3" s="1"/>
  <c r="AB55" i="3"/>
  <c r="Z17" i="3"/>
  <c r="AF17" i="3"/>
  <c r="AE17" i="3"/>
  <c r="AC17" i="3"/>
  <c r="AB17" i="3"/>
  <c r="AA17" i="3"/>
  <c r="AD17" i="3"/>
  <c r="T5" i="3"/>
  <c r="S5" i="3"/>
  <c r="W5" i="3"/>
  <c r="X5" i="3"/>
  <c r="U5" i="3"/>
  <c r="V5" i="3"/>
  <c r="R5" i="3"/>
  <c r="B5" i="3"/>
  <c r="B15" i="3"/>
  <c r="V15" i="3"/>
  <c r="S15" i="3"/>
  <c r="U15" i="3"/>
  <c r="W15" i="3"/>
  <c r="X15" i="3"/>
  <c r="R15" i="3"/>
  <c r="T15" i="3"/>
  <c r="W10" i="3"/>
  <c r="T10" i="3"/>
  <c r="X10" i="3"/>
  <c r="R10" i="3"/>
  <c r="S10" i="3"/>
  <c r="U10" i="3"/>
  <c r="V10" i="3"/>
  <c r="B10" i="3"/>
  <c r="AC28" i="3"/>
  <c r="AF28" i="3"/>
  <c r="Z28" i="3"/>
  <c r="AA28" i="3"/>
  <c r="AB28" i="3"/>
  <c r="AD28" i="3"/>
  <c r="AE28" i="3"/>
  <c r="B12" i="3"/>
  <c r="U12" i="3"/>
  <c r="X12" i="3"/>
  <c r="R12" i="3"/>
  <c r="S12" i="3"/>
  <c r="T12" i="3"/>
  <c r="V12" i="3"/>
  <c r="W12" i="3"/>
  <c r="AB18" i="3"/>
  <c r="Z18" i="3"/>
  <c r="AA18" i="3"/>
  <c r="AD18" i="3"/>
  <c r="AF18" i="3"/>
  <c r="AC18" i="3"/>
  <c r="AE18" i="3"/>
  <c r="R32" i="3"/>
  <c r="W32" i="3"/>
  <c r="X32" i="3"/>
  <c r="B32" i="3"/>
  <c r="V32" i="3"/>
  <c r="T32" i="3"/>
  <c r="S32" i="3"/>
  <c r="U32" i="3"/>
  <c r="AE246" i="3"/>
  <c r="AF246" i="3"/>
  <c r="AC246" i="3"/>
  <c r="AA246" i="3"/>
  <c r="AB246" i="3"/>
  <c r="AD246" i="3"/>
  <c r="Z246" i="3"/>
  <c r="Z336" i="3"/>
  <c r="AD336" i="3"/>
  <c r="AF336" i="3"/>
  <c r="AE336" i="3"/>
  <c r="AB336" i="3"/>
  <c r="AC336" i="3"/>
  <c r="AA336" i="3"/>
  <c r="U221" i="3"/>
  <c r="H221" i="3" s="1"/>
  <c r="R221" i="3"/>
  <c r="E221" i="3" s="1"/>
  <c r="S221" i="3"/>
  <c r="T221" i="3"/>
  <c r="V221" i="3"/>
  <c r="B221" i="3"/>
  <c r="W221" i="3"/>
  <c r="X221" i="3"/>
  <c r="Z256" i="3"/>
  <c r="AC256" i="3"/>
  <c r="AD256" i="3"/>
  <c r="AF256" i="3"/>
  <c r="AE256" i="3"/>
  <c r="AA256" i="3"/>
  <c r="AB256" i="3"/>
  <c r="X164" i="3"/>
  <c r="V164" i="3"/>
  <c r="B164" i="3"/>
  <c r="W164" i="3"/>
  <c r="R164" i="3"/>
  <c r="S164" i="3"/>
  <c r="T164" i="3"/>
  <c r="U164" i="3"/>
  <c r="U354" i="3"/>
  <c r="T354" i="3"/>
  <c r="W354" i="3"/>
  <c r="X354" i="3"/>
  <c r="S354" i="3"/>
  <c r="B354" i="3"/>
  <c r="R354" i="3"/>
  <c r="V354" i="3"/>
  <c r="V353" i="3"/>
  <c r="W353" i="3"/>
  <c r="X353" i="3"/>
  <c r="B353" i="3"/>
  <c r="R353" i="3"/>
  <c r="T353" i="3"/>
  <c r="U353" i="3"/>
  <c r="S353" i="3"/>
  <c r="Z328" i="3"/>
  <c r="AA328" i="3"/>
  <c r="AB328" i="3"/>
  <c r="AD328" i="3"/>
  <c r="AE328" i="3"/>
  <c r="AF328" i="3"/>
  <c r="AC328" i="3"/>
  <c r="AB300" i="3"/>
  <c r="AC300" i="3"/>
  <c r="AD300" i="3"/>
  <c r="AE300" i="3"/>
  <c r="AF300" i="3"/>
  <c r="Z300" i="3"/>
  <c r="AA300" i="3"/>
  <c r="AE341" i="3"/>
  <c r="AF341" i="3"/>
  <c r="AB341" i="3"/>
  <c r="AD341" i="3"/>
  <c r="AC341" i="3"/>
  <c r="Z341" i="3"/>
  <c r="AA341" i="3"/>
  <c r="AA321" i="3"/>
  <c r="AB321" i="3"/>
  <c r="AC321" i="3"/>
  <c r="AD321" i="3"/>
  <c r="AE321" i="3"/>
  <c r="Z321" i="3"/>
  <c r="AF321" i="3"/>
  <c r="X236" i="3"/>
  <c r="V236" i="3"/>
  <c r="W236" i="3"/>
  <c r="U236" i="3"/>
  <c r="H236" i="3" s="1"/>
  <c r="S236" i="3"/>
  <c r="R236" i="3"/>
  <c r="B236" i="3"/>
  <c r="T236" i="3"/>
  <c r="AD353" i="3"/>
  <c r="AE353" i="3"/>
  <c r="AA353" i="3"/>
  <c r="AC353" i="3"/>
  <c r="AF353" i="3"/>
  <c r="AB353" i="3"/>
  <c r="Z353" i="3"/>
  <c r="V302" i="3"/>
  <c r="W302" i="3"/>
  <c r="B302" i="3"/>
  <c r="X302" i="3"/>
  <c r="T302" i="3"/>
  <c r="U302" i="3"/>
  <c r="R302" i="3"/>
  <c r="S302" i="3"/>
  <c r="AA333" i="3"/>
  <c r="AB333" i="3"/>
  <c r="AD333" i="3"/>
  <c r="AF333" i="3"/>
  <c r="AE333" i="3"/>
  <c r="AC333" i="3"/>
  <c r="Z333" i="3"/>
  <c r="Z315" i="3"/>
  <c r="AE315" i="3"/>
  <c r="AC315" i="3"/>
  <c r="AA315" i="3"/>
  <c r="AB315" i="3"/>
  <c r="AD315" i="3"/>
  <c r="AF315" i="3"/>
  <c r="AE235" i="3"/>
  <c r="AB235" i="3"/>
  <c r="AC235" i="3"/>
  <c r="AD235" i="3"/>
  <c r="AF235" i="3"/>
  <c r="Z235" i="3"/>
  <c r="AA235" i="3"/>
  <c r="S299" i="3"/>
  <c r="R299" i="3"/>
  <c r="T299" i="3"/>
  <c r="U299" i="3"/>
  <c r="V299" i="3"/>
  <c r="X299" i="3"/>
  <c r="W299" i="3"/>
  <c r="B299" i="3"/>
  <c r="S283" i="3"/>
  <c r="U283" i="3"/>
  <c r="V283" i="3"/>
  <c r="X283" i="3"/>
  <c r="T283" i="3"/>
  <c r="R283" i="3"/>
  <c r="B283" i="3"/>
  <c r="W283" i="3"/>
  <c r="J283" i="3" s="1"/>
  <c r="AA259" i="3"/>
  <c r="AD259" i="3"/>
  <c r="AC259" i="3"/>
  <c r="AB259" i="3"/>
  <c r="AE259" i="3"/>
  <c r="AF259" i="3"/>
  <c r="Z259" i="3"/>
  <c r="AF329" i="3"/>
  <c r="Z329" i="3"/>
  <c r="AA329" i="3"/>
  <c r="AB329" i="3"/>
  <c r="AE329" i="3"/>
  <c r="AD329" i="3"/>
  <c r="AC329" i="3"/>
  <c r="Z320" i="3"/>
  <c r="AF320" i="3"/>
  <c r="AA320" i="3"/>
  <c r="AE320" i="3"/>
  <c r="AC320" i="3"/>
  <c r="AB320" i="3"/>
  <c r="AD320" i="3"/>
  <c r="W303" i="3"/>
  <c r="S303" i="3"/>
  <c r="U303" i="3"/>
  <c r="V303" i="3"/>
  <c r="R303" i="3"/>
  <c r="T303" i="3"/>
  <c r="B303" i="3"/>
  <c r="X303" i="3"/>
  <c r="T291" i="3"/>
  <c r="U291" i="3"/>
  <c r="H291" i="3" s="1"/>
  <c r="S291" i="3"/>
  <c r="V291" i="3"/>
  <c r="W291" i="3"/>
  <c r="X291" i="3"/>
  <c r="B291" i="3"/>
  <c r="R291" i="3"/>
  <c r="W233" i="3"/>
  <c r="S233" i="3"/>
  <c r="T233" i="3"/>
  <c r="U233" i="3"/>
  <c r="V233" i="3"/>
  <c r="X233" i="3"/>
  <c r="R233" i="3"/>
  <c r="B233" i="3"/>
  <c r="AB316" i="3"/>
  <c r="Z316" i="3"/>
  <c r="AA316" i="3"/>
  <c r="AC316" i="3"/>
  <c r="AD316" i="3"/>
  <c r="AE316" i="3"/>
  <c r="AF316" i="3"/>
  <c r="AF288" i="3"/>
  <c r="Z288" i="3"/>
  <c r="AA288" i="3"/>
  <c r="AB288" i="3"/>
  <c r="AC288" i="3"/>
  <c r="AD288" i="3"/>
  <c r="AE288" i="3"/>
  <c r="R251" i="3"/>
  <c r="U251" i="3"/>
  <c r="V251" i="3"/>
  <c r="X251" i="3"/>
  <c r="T251" i="3"/>
  <c r="W251" i="3"/>
  <c r="S251" i="3"/>
  <c r="B251" i="3"/>
  <c r="Z274" i="3"/>
  <c r="AB274" i="3"/>
  <c r="AF274" i="3"/>
  <c r="AA274" i="3"/>
  <c r="AC274" i="3"/>
  <c r="AE274" i="3"/>
  <c r="AD274" i="3"/>
  <c r="AE233" i="3"/>
  <c r="AA233" i="3"/>
  <c r="AD233" i="3"/>
  <c r="AF233" i="3"/>
  <c r="AC233" i="3"/>
  <c r="Z233" i="3"/>
  <c r="AB233" i="3"/>
  <c r="AD286" i="3"/>
  <c r="AE286" i="3"/>
  <c r="AF286" i="3"/>
  <c r="AC286" i="3"/>
  <c r="Z286" i="3"/>
  <c r="AA286" i="3"/>
  <c r="AB286" i="3"/>
  <c r="AC277" i="3"/>
  <c r="AE277" i="3"/>
  <c r="AF277" i="3"/>
  <c r="Z277" i="3"/>
  <c r="AD277" i="3"/>
  <c r="AA277" i="3"/>
  <c r="AB277" i="3"/>
  <c r="AC267" i="3"/>
  <c r="AB267" i="3"/>
  <c r="AF267" i="3"/>
  <c r="Z267" i="3"/>
  <c r="AD267" i="3"/>
  <c r="AE267" i="3"/>
  <c r="AA267" i="3"/>
  <c r="AD241" i="3"/>
  <c r="AE241" i="3"/>
  <c r="AF241" i="3"/>
  <c r="Z241" i="3"/>
  <c r="AC241" i="3"/>
  <c r="AA241" i="3"/>
  <c r="AB241" i="3"/>
  <c r="AF264" i="3"/>
  <c r="Z264" i="3"/>
  <c r="AC264" i="3"/>
  <c r="AD264" i="3"/>
  <c r="AE264" i="3"/>
  <c r="AA264" i="3"/>
  <c r="AB264" i="3"/>
  <c r="X212" i="3"/>
  <c r="V212" i="3"/>
  <c r="W212" i="3"/>
  <c r="U212" i="3"/>
  <c r="S212" i="3"/>
  <c r="B212" i="3"/>
  <c r="R212" i="3"/>
  <c r="T212" i="3"/>
  <c r="AC285" i="3"/>
  <c r="Z285" i="3"/>
  <c r="AA285" i="3"/>
  <c r="AB285" i="3"/>
  <c r="AD285" i="3"/>
  <c r="AF285" i="3"/>
  <c r="AE285" i="3"/>
  <c r="B279" i="3"/>
  <c r="R279" i="3"/>
  <c r="T279" i="3"/>
  <c r="U279" i="3"/>
  <c r="S279" i="3"/>
  <c r="X279" i="3"/>
  <c r="V279" i="3"/>
  <c r="W279" i="3"/>
  <c r="Z282" i="3"/>
  <c r="AB282" i="3"/>
  <c r="AD282" i="3"/>
  <c r="AE282" i="3"/>
  <c r="AA282" i="3"/>
  <c r="AC282" i="3"/>
  <c r="AF282" i="3"/>
  <c r="AC237" i="3"/>
  <c r="Z237" i="3"/>
  <c r="AA237" i="3"/>
  <c r="AB237" i="3"/>
  <c r="AD237" i="3"/>
  <c r="AF237" i="3"/>
  <c r="AE237" i="3"/>
  <c r="AC231" i="3"/>
  <c r="AD231" i="3"/>
  <c r="AE231" i="3"/>
  <c r="AF231" i="3"/>
  <c r="Z231" i="3"/>
  <c r="AA231" i="3"/>
  <c r="AB231" i="3"/>
  <c r="S178" i="3"/>
  <c r="T178" i="3"/>
  <c r="B178" i="3"/>
  <c r="U178" i="3"/>
  <c r="V178" i="3"/>
  <c r="W178" i="3"/>
  <c r="X178" i="3"/>
  <c r="R178" i="3"/>
  <c r="V226" i="3"/>
  <c r="S226" i="3"/>
  <c r="T226" i="3"/>
  <c r="U226" i="3"/>
  <c r="R226" i="3"/>
  <c r="W226" i="3"/>
  <c r="X226" i="3"/>
  <c r="B226" i="3"/>
  <c r="AC190" i="3"/>
  <c r="AA190" i="3"/>
  <c r="Z190" i="3"/>
  <c r="AF190" i="3"/>
  <c r="AE190" i="3"/>
  <c r="AD190" i="3"/>
  <c r="AB190" i="3"/>
  <c r="X180" i="3"/>
  <c r="T180" i="3"/>
  <c r="U180" i="3"/>
  <c r="V180" i="3"/>
  <c r="B180" i="3"/>
  <c r="W180" i="3"/>
  <c r="R180" i="3"/>
  <c r="S180" i="3"/>
  <c r="Z168" i="3"/>
  <c r="AE168" i="3"/>
  <c r="AB168" i="3"/>
  <c r="AA168" i="3"/>
  <c r="AF168" i="3"/>
  <c r="AC168" i="3"/>
  <c r="AD168" i="3"/>
  <c r="AB160" i="3"/>
  <c r="Z160" i="3"/>
  <c r="AC160" i="3"/>
  <c r="AD160" i="3"/>
  <c r="AE160" i="3"/>
  <c r="AF160" i="3"/>
  <c r="AA160" i="3"/>
  <c r="R184" i="3"/>
  <c r="V184" i="3"/>
  <c r="X184" i="3"/>
  <c r="B184" i="3"/>
  <c r="S184" i="3"/>
  <c r="U184" i="3"/>
  <c r="W184" i="3"/>
  <c r="T184" i="3"/>
  <c r="W211" i="3"/>
  <c r="R211" i="3"/>
  <c r="T211" i="3"/>
  <c r="U211" i="3"/>
  <c r="B211" i="3"/>
  <c r="X211" i="3"/>
  <c r="V211" i="3"/>
  <c r="S211" i="3"/>
  <c r="T232" i="3"/>
  <c r="B232" i="3"/>
  <c r="R232" i="3"/>
  <c r="S232" i="3"/>
  <c r="W232" i="3"/>
  <c r="X232" i="3"/>
  <c r="V232" i="3"/>
  <c r="U232" i="3"/>
  <c r="AF222" i="3"/>
  <c r="Z222" i="3"/>
  <c r="AA222" i="3"/>
  <c r="AC222" i="3"/>
  <c r="AD222" i="3"/>
  <c r="AB222" i="3"/>
  <c r="AE222" i="3"/>
  <c r="AF201" i="3"/>
  <c r="AA201" i="3"/>
  <c r="AB201" i="3"/>
  <c r="AC201" i="3"/>
  <c r="AD201" i="3"/>
  <c r="Z201" i="3"/>
  <c r="AE201" i="3"/>
  <c r="T182" i="3"/>
  <c r="X182" i="3"/>
  <c r="V182" i="3"/>
  <c r="W182" i="3"/>
  <c r="S182" i="3"/>
  <c r="B182" i="3"/>
  <c r="R182" i="3"/>
  <c r="U182" i="3"/>
  <c r="X166" i="3"/>
  <c r="S166" i="3"/>
  <c r="T166" i="3"/>
  <c r="U166" i="3"/>
  <c r="B166" i="3"/>
  <c r="R166" i="3"/>
  <c r="V166" i="3"/>
  <c r="W166" i="3"/>
  <c r="W203" i="3"/>
  <c r="B203" i="3"/>
  <c r="X203" i="3"/>
  <c r="R203" i="3"/>
  <c r="T203" i="3"/>
  <c r="U203" i="3"/>
  <c r="V203" i="3"/>
  <c r="S203" i="3"/>
  <c r="T160" i="3"/>
  <c r="U160" i="3"/>
  <c r="V160" i="3"/>
  <c r="W160" i="3"/>
  <c r="R160" i="3"/>
  <c r="B160" i="3"/>
  <c r="X160" i="3"/>
  <c r="S160" i="3"/>
  <c r="Z112" i="3"/>
  <c r="AE112" i="3"/>
  <c r="AF112" i="3"/>
  <c r="AA112" i="3"/>
  <c r="AD112" i="3"/>
  <c r="AB112" i="3"/>
  <c r="AC112" i="3"/>
  <c r="AA184" i="3"/>
  <c r="Z184" i="3"/>
  <c r="AD184" i="3"/>
  <c r="AB184" i="3"/>
  <c r="AC184" i="3"/>
  <c r="AE184" i="3"/>
  <c r="AF184" i="3"/>
  <c r="AE157" i="3"/>
  <c r="AF157" i="3"/>
  <c r="Z157" i="3"/>
  <c r="AA157" i="3"/>
  <c r="AC157" i="3"/>
  <c r="AD157" i="3"/>
  <c r="AB157" i="3"/>
  <c r="AB145" i="3"/>
  <c r="AA145" i="3"/>
  <c r="AD145" i="3"/>
  <c r="AE145" i="3"/>
  <c r="Z145" i="3"/>
  <c r="AC145" i="3"/>
  <c r="AF145" i="3"/>
  <c r="R194" i="3"/>
  <c r="S194" i="3"/>
  <c r="T194" i="3"/>
  <c r="B194" i="3"/>
  <c r="U194" i="3"/>
  <c r="H194" i="3" s="1"/>
  <c r="X194" i="3"/>
  <c r="W194" i="3"/>
  <c r="J194" i="3" s="1"/>
  <c r="V194" i="3"/>
  <c r="AD163" i="3"/>
  <c r="AF163" i="3"/>
  <c r="AE163" i="3"/>
  <c r="Z163" i="3"/>
  <c r="AC163" i="3"/>
  <c r="AB163" i="3"/>
  <c r="AA163" i="3"/>
  <c r="R131" i="3"/>
  <c r="S131" i="3"/>
  <c r="B131" i="3"/>
  <c r="T131" i="3"/>
  <c r="U131" i="3"/>
  <c r="X131" i="3"/>
  <c r="V131" i="3"/>
  <c r="W131" i="3"/>
  <c r="J131" i="3" s="1"/>
  <c r="T136" i="3"/>
  <c r="X136" i="3"/>
  <c r="R136" i="3"/>
  <c r="S136" i="3"/>
  <c r="B136" i="3"/>
  <c r="W136" i="3"/>
  <c r="U136" i="3"/>
  <c r="V136" i="3"/>
  <c r="AC132" i="3"/>
  <c r="Z132" i="3"/>
  <c r="AA132" i="3"/>
  <c r="AE132" i="3"/>
  <c r="AB132" i="3"/>
  <c r="AD132" i="3"/>
  <c r="AF132" i="3"/>
  <c r="AC109" i="3"/>
  <c r="AE109" i="3"/>
  <c r="AF109" i="3"/>
  <c r="Z109" i="3"/>
  <c r="AA109" i="3"/>
  <c r="AD109" i="3"/>
  <c r="AB109" i="3"/>
  <c r="AE118" i="3"/>
  <c r="AB118" i="3"/>
  <c r="AD118" i="3"/>
  <c r="AC118" i="3"/>
  <c r="AA118" i="3"/>
  <c r="Z118" i="3"/>
  <c r="AF118" i="3"/>
  <c r="AD107" i="3"/>
  <c r="Z107" i="3"/>
  <c r="AC107" i="3"/>
  <c r="AE107" i="3"/>
  <c r="AF107" i="3"/>
  <c r="AA107" i="3"/>
  <c r="AB107" i="3"/>
  <c r="AD95" i="3"/>
  <c r="AA95" i="3"/>
  <c r="AB95" i="3"/>
  <c r="AC95" i="3"/>
  <c r="AE95" i="3"/>
  <c r="Z95" i="3"/>
  <c r="AF95" i="3"/>
  <c r="AB98" i="3"/>
  <c r="AD98" i="3"/>
  <c r="AE98" i="3"/>
  <c r="Z98" i="3"/>
  <c r="AA98" i="3"/>
  <c r="AC98" i="3"/>
  <c r="AF98" i="3"/>
  <c r="AF96" i="3"/>
  <c r="Z96" i="3"/>
  <c r="AA96" i="3"/>
  <c r="AB96" i="3"/>
  <c r="AC96" i="3"/>
  <c r="AD96" i="3"/>
  <c r="AE96" i="3"/>
  <c r="X67" i="3"/>
  <c r="T67" i="3"/>
  <c r="U67" i="3"/>
  <c r="V67" i="3"/>
  <c r="B67" i="3"/>
  <c r="W67" i="3"/>
  <c r="S67" i="3"/>
  <c r="R67" i="3"/>
  <c r="R85" i="3"/>
  <c r="U85" i="3"/>
  <c r="X85" i="3"/>
  <c r="V85" i="3"/>
  <c r="S85" i="3"/>
  <c r="B85" i="3"/>
  <c r="T85" i="3"/>
  <c r="W85" i="3"/>
  <c r="AB79" i="3"/>
  <c r="Z79" i="3"/>
  <c r="AF79" i="3"/>
  <c r="AD79" i="3"/>
  <c r="AE79" i="3"/>
  <c r="AC79" i="3"/>
  <c r="AA79" i="3"/>
  <c r="AF87" i="3"/>
  <c r="AE87" i="3"/>
  <c r="Z87" i="3"/>
  <c r="AA87" i="3"/>
  <c r="AD87" i="3"/>
  <c r="AB87" i="3"/>
  <c r="AC87" i="3"/>
  <c r="T90" i="3"/>
  <c r="R90" i="3"/>
  <c r="S90" i="3"/>
  <c r="X90" i="3"/>
  <c r="B90" i="3"/>
  <c r="U90" i="3"/>
  <c r="W90" i="3"/>
  <c r="V90" i="3"/>
  <c r="R86" i="3"/>
  <c r="S86" i="3"/>
  <c r="T86" i="3"/>
  <c r="V86" i="3"/>
  <c r="W86" i="3"/>
  <c r="B86" i="3"/>
  <c r="X86" i="3"/>
  <c r="U86" i="3"/>
  <c r="R80" i="3"/>
  <c r="B80" i="3"/>
  <c r="W80" i="3"/>
  <c r="T80" i="3"/>
  <c r="V80" i="3"/>
  <c r="X80" i="3"/>
  <c r="S80" i="3"/>
  <c r="U80" i="3"/>
  <c r="AA30" i="3"/>
  <c r="AB30" i="3"/>
  <c r="AC30" i="3"/>
  <c r="AD30" i="3"/>
  <c r="AE30" i="3"/>
  <c r="AF30" i="3"/>
  <c r="Z30" i="3"/>
  <c r="S57" i="3"/>
  <c r="B57" i="3"/>
  <c r="W57" i="3"/>
  <c r="X57" i="3"/>
  <c r="T57" i="3"/>
  <c r="R57" i="3"/>
  <c r="V57" i="3"/>
  <c r="U57" i="3"/>
  <c r="Z51" i="3"/>
  <c r="AB51" i="3"/>
  <c r="AC51" i="3"/>
  <c r="AE51" i="3"/>
  <c r="AA51" i="3"/>
  <c r="AD51" i="3"/>
  <c r="AF51" i="3"/>
  <c r="AE46" i="3"/>
  <c r="AB46" i="3"/>
  <c r="AC46" i="3"/>
  <c r="AD46" i="3"/>
  <c r="Z46" i="3"/>
  <c r="AF46" i="3"/>
  <c r="AA46" i="3"/>
  <c r="AA40" i="3"/>
  <c r="AB40" i="3"/>
  <c r="AC40" i="3"/>
  <c r="AD40" i="3"/>
  <c r="AE40" i="3"/>
  <c r="AF40" i="3"/>
  <c r="Z40" i="3"/>
  <c r="B58" i="3"/>
  <c r="X58" i="3"/>
  <c r="V58" i="3"/>
  <c r="R58" i="3"/>
  <c r="U58" i="3"/>
  <c r="S58" i="3"/>
  <c r="W58" i="3"/>
  <c r="T58" i="3"/>
  <c r="Z45" i="3"/>
  <c r="AE45" i="3"/>
  <c r="AF45" i="3"/>
  <c r="AA45" i="3"/>
  <c r="AD45" i="3"/>
  <c r="AB45" i="3"/>
  <c r="AC45" i="3"/>
  <c r="T48" i="3"/>
  <c r="B48" i="3"/>
  <c r="R48" i="3"/>
  <c r="S48" i="3"/>
  <c r="X48" i="3"/>
  <c r="W48" i="3"/>
  <c r="V48" i="3"/>
  <c r="U48" i="3"/>
  <c r="T43" i="3"/>
  <c r="B43" i="3"/>
  <c r="R43" i="3"/>
  <c r="S43" i="3"/>
  <c r="X43" i="3"/>
  <c r="V43" i="3"/>
  <c r="U43" i="3"/>
  <c r="W43" i="3"/>
  <c r="S21" i="3"/>
  <c r="W21" i="3"/>
  <c r="V21" i="3"/>
  <c r="U21" i="3"/>
  <c r="B21" i="3"/>
  <c r="X21" i="3"/>
  <c r="T21" i="3"/>
  <c r="R21" i="3"/>
  <c r="Z63" i="3"/>
  <c r="AA63" i="3"/>
  <c r="AC63" i="3"/>
  <c r="AD63" i="3"/>
  <c r="AE63" i="3"/>
  <c r="AB63" i="3"/>
  <c r="AF63" i="3"/>
  <c r="Z58" i="3"/>
  <c r="AC58" i="3"/>
  <c r="AE58" i="3"/>
  <c r="AB58" i="3"/>
  <c r="AD58" i="3"/>
  <c r="AF58" i="3"/>
  <c r="AA58" i="3"/>
  <c r="AB48" i="3"/>
  <c r="Z48" i="3"/>
  <c r="AA48" i="3"/>
  <c r="AD48" i="3"/>
  <c r="AE48" i="3"/>
  <c r="AF48" i="3"/>
  <c r="AC48" i="3"/>
  <c r="AA22" i="3"/>
  <c r="AB22" i="3"/>
  <c r="AC22" i="3"/>
  <c r="AD22" i="3"/>
  <c r="AE22" i="3"/>
  <c r="AF22" i="3"/>
  <c r="Z22" i="3"/>
  <c r="W9" i="3"/>
  <c r="B9" i="3"/>
  <c r="R9" i="3"/>
  <c r="S9" i="3"/>
  <c r="T9" i="3"/>
  <c r="V9" i="3"/>
  <c r="U9" i="3"/>
  <c r="X9" i="3"/>
  <c r="S25" i="3"/>
  <c r="X25" i="3"/>
  <c r="R25" i="3"/>
  <c r="U25" i="3"/>
  <c r="W25" i="3"/>
  <c r="T25" i="3"/>
  <c r="V25" i="3"/>
  <c r="B25" i="3"/>
  <c r="S14" i="3"/>
  <c r="T14" i="3"/>
  <c r="B14" i="3"/>
  <c r="W14" i="3"/>
  <c r="X14" i="3"/>
  <c r="R14" i="3"/>
  <c r="V14" i="3"/>
  <c r="U14" i="3"/>
  <c r="Z33" i="3"/>
  <c r="AA33" i="3"/>
  <c r="AC33" i="3"/>
  <c r="AE33" i="3"/>
  <c r="AF33" i="3"/>
  <c r="AD33" i="3"/>
  <c r="AB33" i="3"/>
  <c r="U28" i="3"/>
  <c r="X28" i="3"/>
  <c r="R28" i="3"/>
  <c r="S28" i="3"/>
  <c r="B28" i="3"/>
  <c r="T28" i="3"/>
  <c r="V28" i="3"/>
  <c r="W28" i="3"/>
  <c r="S11" i="3"/>
  <c r="W11" i="3"/>
  <c r="B11" i="3"/>
  <c r="R11" i="3"/>
  <c r="T11" i="3"/>
  <c r="X11" i="3"/>
  <c r="U11" i="3"/>
  <c r="V11" i="3"/>
  <c r="U6" i="3"/>
  <c r="X6" i="3"/>
  <c r="T6" i="3"/>
  <c r="V6" i="3"/>
  <c r="W6" i="3"/>
  <c r="S6" i="3"/>
  <c r="R6" i="3"/>
  <c r="B6" i="3"/>
  <c r="AD7" i="3"/>
  <c r="AC7" i="3"/>
  <c r="AE7" i="3"/>
  <c r="AF7" i="3"/>
  <c r="AB7" i="3"/>
  <c r="AA7" i="3"/>
  <c r="Z7" i="3"/>
  <c r="N2" i="3"/>
  <c r="Q2" i="3"/>
  <c r="L2" i="3"/>
  <c r="P2" i="3"/>
  <c r="O2" i="3"/>
  <c r="Y2" i="3"/>
  <c r="AF2" i="3" s="1"/>
  <c r="C2" i="3"/>
  <c r="D2" i="3"/>
  <c r="M2" i="3"/>
  <c r="K2" i="3"/>
  <c r="G338" i="3" l="1"/>
  <c r="J345" i="3"/>
  <c r="I338" i="3"/>
  <c r="I318" i="3"/>
  <c r="E359" i="3"/>
  <c r="E318" i="3"/>
  <c r="E226" i="3"/>
  <c r="G358" i="3"/>
  <c r="E212" i="3"/>
  <c r="I15" i="3"/>
  <c r="J359" i="3"/>
  <c r="I279" i="3"/>
  <c r="G86" i="3"/>
  <c r="J306" i="3"/>
  <c r="J178" i="3"/>
  <c r="I212" i="3"/>
  <c r="J298" i="3"/>
  <c r="G360" i="3"/>
  <c r="H232" i="3"/>
  <c r="G359" i="3"/>
  <c r="I154" i="3"/>
  <c r="H358" i="3"/>
  <c r="I358" i="3"/>
  <c r="H360" i="3"/>
  <c r="I360" i="3"/>
  <c r="E360" i="3"/>
  <c r="H359" i="3"/>
  <c r="J360" i="3"/>
  <c r="I359" i="3"/>
  <c r="J182" i="3"/>
  <c r="G154" i="3"/>
  <c r="H21" i="3"/>
  <c r="G116" i="3"/>
  <c r="I81" i="3"/>
  <c r="J97" i="3"/>
  <c r="E219" i="3"/>
  <c r="E358" i="3"/>
  <c r="J358" i="3"/>
  <c r="I182" i="3"/>
  <c r="E52" i="3"/>
  <c r="I247" i="3"/>
  <c r="E338" i="3"/>
  <c r="G73" i="3"/>
  <c r="I97" i="3"/>
  <c r="E191" i="3"/>
  <c r="G131" i="3"/>
  <c r="E319" i="3"/>
  <c r="E113" i="3"/>
  <c r="H97" i="3"/>
  <c r="E64" i="3"/>
  <c r="E159" i="3"/>
  <c r="E32" i="3"/>
  <c r="G253" i="3"/>
  <c r="I327" i="3"/>
  <c r="E183" i="3"/>
  <c r="J21" i="3"/>
  <c r="J86" i="3"/>
  <c r="E96" i="3"/>
  <c r="E182" i="3"/>
  <c r="G238" i="3"/>
  <c r="J11" i="3"/>
  <c r="G331" i="3"/>
  <c r="I99" i="3"/>
  <c r="H57" i="3"/>
  <c r="J90" i="3"/>
  <c r="I10" i="3"/>
  <c r="J103" i="3"/>
  <c r="H108" i="3"/>
  <c r="I334" i="3"/>
  <c r="I161" i="3"/>
  <c r="H176" i="3"/>
  <c r="H131" i="3"/>
  <c r="I12" i="3"/>
  <c r="G266" i="3"/>
  <c r="E160" i="3"/>
  <c r="H344" i="3"/>
  <c r="E3" i="3"/>
  <c r="G122" i="3"/>
  <c r="E38" i="3"/>
  <c r="J113" i="3"/>
  <c r="J85" i="3"/>
  <c r="E354" i="3"/>
  <c r="J257" i="3"/>
  <c r="H81" i="3"/>
  <c r="I113" i="3"/>
  <c r="E97" i="3"/>
  <c r="E143" i="3"/>
  <c r="E181" i="3"/>
  <c r="I257" i="3"/>
  <c r="J357" i="3"/>
  <c r="J347" i="3"/>
  <c r="E347" i="3"/>
  <c r="G264" i="3"/>
  <c r="J356" i="3"/>
  <c r="G357" i="3"/>
  <c r="I357" i="3"/>
  <c r="H7" i="3"/>
  <c r="H357" i="3"/>
  <c r="E86" i="3"/>
  <c r="G232" i="3"/>
  <c r="I221" i="3"/>
  <c r="J317" i="3"/>
  <c r="E357" i="3"/>
  <c r="H356" i="3"/>
  <c r="G356" i="3"/>
  <c r="I356" i="3"/>
  <c r="E356" i="3"/>
  <c r="G310" i="3"/>
  <c r="E349" i="3"/>
  <c r="H56" i="3"/>
  <c r="H9" i="3"/>
  <c r="H90" i="3"/>
  <c r="J279" i="3"/>
  <c r="E267" i="3"/>
  <c r="G303" i="3"/>
  <c r="H10" i="3"/>
  <c r="J41" i="3"/>
  <c r="E196" i="3"/>
  <c r="H186" i="3"/>
  <c r="E172" i="3"/>
  <c r="I298" i="3"/>
  <c r="E331" i="3"/>
  <c r="I289" i="3"/>
  <c r="I305" i="3"/>
  <c r="I343" i="3"/>
  <c r="E50" i="3"/>
  <c r="I167" i="3"/>
  <c r="E92" i="3"/>
  <c r="E193" i="3"/>
  <c r="E271" i="3"/>
  <c r="G176" i="3"/>
  <c r="H197" i="3"/>
  <c r="H75" i="3"/>
  <c r="H141" i="3"/>
  <c r="J147" i="3"/>
  <c r="G346" i="3"/>
  <c r="G319" i="3"/>
  <c r="J281" i="3"/>
  <c r="H11" i="3"/>
  <c r="E14" i="3"/>
  <c r="G25" i="3"/>
  <c r="I9" i="3"/>
  <c r="I80" i="3"/>
  <c r="J232" i="3"/>
  <c r="H180" i="3"/>
  <c r="J15" i="3"/>
  <c r="H5" i="3"/>
  <c r="H100" i="3"/>
  <c r="J124" i="3"/>
  <c r="H198" i="3"/>
  <c r="H196" i="3"/>
  <c r="J225" i="3"/>
  <c r="I326" i="3"/>
  <c r="J336" i="3"/>
  <c r="I84" i="3"/>
  <c r="J108" i="3"/>
  <c r="E129" i="3"/>
  <c r="E297" i="3"/>
  <c r="G81" i="3"/>
  <c r="G14" i="3"/>
  <c r="J211" i="3"/>
  <c r="H136" i="3"/>
  <c r="J259" i="3"/>
  <c r="J32" i="3"/>
  <c r="G15" i="3"/>
  <c r="H27" i="3"/>
  <c r="H103" i="3"/>
  <c r="J133" i="3"/>
  <c r="H342" i="3"/>
  <c r="G50" i="3"/>
  <c r="J167" i="3"/>
  <c r="G62" i="3"/>
  <c r="G126" i="3"/>
  <c r="I335" i="3"/>
  <c r="I116" i="3"/>
  <c r="I60" i="3"/>
  <c r="G182" i="3"/>
  <c r="J315" i="3"/>
  <c r="I25" i="3"/>
  <c r="I21" i="3"/>
  <c r="I85" i="3"/>
  <c r="I180" i="3"/>
  <c r="G226" i="3"/>
  <c r="I5" i="3"/>
  <c r="G106" i="3"/>
  <c r="J100" i="3"/>
  <c r="E252" i="3"/>
  <c r="J310" i="3"/>
  <c r="J29" i="3"/>
  <c r="H224" i="3"/>
  <c r="G60" i="3"/>
  <c r="H6" i="3"/>
  <c r="H67" i="3"/>
  <c r="E116" i="3"/>
  <c r="I226" i="3"/>
  <c r="H14" i="3"/>
  <c r="E251" i="3"/>
  <c r="G178" i="3"/>
  <c r="I164" i="3"/>
  <c r="J349" i="3"/>
  <c r="G200" i="3"/>
  <c r="H255" i="3"/>
  <c r="G67" i="3"/>
  <c r="I211" i="3"/>
  <c r="H178" i="3"/>
  <c r="G236" i="3"/>
  <c r="G127" i="3"/>
  <c r="E303" i="3"/>
  <c r="E253" i="3"/>
  <c r="H99" i="3"/>
  <c r="E9" i="3"/>
  <c r="G21" i="3"/>
  <c r="G30" i="3"/>
  <c r="E90" i="3"/>
  <c r="J212" i="3"/>
  <c r="G336" i="3"/>
  <c r="E103" i="3"/>
  <c r="E298" i="3"/>
  <c r="J331" i="3"/>
  <c r="I207" i="3"/>
  <c r="H247" i="3"/>
  <c r="E323" i="3"/>
  <c r="I19" i="3"/>
  <c r="G224" i="3"/>
  <c r="E20" i="3"/>
  <c r="J272" i="3"/>
  <c r="I219" i="3"/>
  <c r="H325" i="3"/>
  <c r="H326" i="3"/>
  <c r="G271" i="3"/>
  <c r="J308" i="3"/>
  <c r="H15" i="3"/>
  <c r="E21" i="3"/>
  <c r="J80" i="3"/>
  <c r="E232" i="3"/>
  <c r="E178" i="3"/>
  <c r="H164" i="3"/>
  <c r="J221" i="3"/>
  <c r="G41" i="3"/>
  <c r="E127" i="3"/>
  <c r="H174" i="3"/>
  <c r="E238" i="3"/>
  <c r="J62" i="3"/>
  <c r="H271" i="3"/>
  <c r="G9" i="3"/>
  <c r="G32" i="3"/>
  <c r="H331" i="3"/>
  <c r="I6" i="3"/>
  <c r="E11" i="3"/>
  <c r="G146" i="3"/>
  <c r="H29" i="3"/>
  <c r="H317" i="3"/>
  <c r="I90" i="3"/>
  <c r="J267" i="3"/>
  <c r="G221" i="3"/>
  <c r="E152" i="3"/>
  <c r="J344" i="3"/>
  <c r="J158" i="3"/>
  <c r="I217" i="3"/>
  <c r="I273" i="3"/>
  <c r="I58" i="3"/>
  <c r="J28" i="3"/>
  <c r="I67" i="3"/>
  <c r="J166" i="3"/>
  <c r="J285" i="3"/>
  <c r="I283" i="3"/>
  <c r="H32" i="3"/>
  <c r="J181" i="3"/>
  <c r="G327" i="3"/>
  <c r="H200" i="3"/>
  <c r="G24" i="3"/>
  <c r="H3" i="3"/>
  <c r="E115" i="3"/>
  <c r="G257" i="3"/>
  <c r="I62" i="3"/>
  <c r="E276" i="3"/>
  <c r="I330" i="3"/>
  <c r="I308" i="3"/>
  <c r="I255" i="3"/>
  <c r="I297" i="3"/>
  <c r="E343" i="3"/>
  <c r="I193" i="3"/>
  <c r="H44" i="3"/>
  <c r="H60" i="3"/>
  <c r="J165" i="3"/>
  <c r="E236" i="3"/>
  <c r="G80" i="3"/>
  <c r="H302" i="3"/>
  <c r="J127" i="3"/>
  <c r="H142" i="3"/>
  <c r="H253" i="3"/>
  <c r="G76" i="3"/>
  <c r="I149" i="3"/>
  <c r="H238" i="3"/>
  <c r="J249" i="3"/>
  <c r="J323" i="3"/>
  <c r="I92" i="3"/>
  <c r="H310" i="3"/>
  <c r="H211" i="3"/>
  <c r="J43" i="3"/>
  <c r="G302" i="3"/>
  <c r="J89" i="3"/>
  <c r="G198" i="3"/>
  <c r="H349" i="3"/>
  <c r="J327" i="3"/>
  <c r="G108" i="3"/>
  <c r="H92" i="3"/>
  <c r="J265" i="3"/>
  <c r="I129" i="3"/>
  <c r="I272" i="3"/>
  <c r="I159" i="3"/>
  <c r="G281" i="3"/>
  <c r="I166" i="3"/>
  <c r="J84" i="3"/>
  <c r="H43" i="3"/>
  <c r="J57" i="3"/>
  <c r="E131" i="3"/>
  <c r="E203" i="3"/>
  <c r="J299" i="3"/>
  <c r="G315" i="3"/>
  <c r="G164" i="3"/>
  <c r="G72" i="3"/>
  <c r="E186" i="3"/>
  <c r="I200" i="3"/>
  <c r="H225" i="3"/>
  <c r="J50" i="3"/>
  <c r="G99" i="3"/>
  <c r="I238" i="3"/>
  <c r="I122" i="3"/>
  <c r="I287" i="3"/>
  <c r="G70" i="3"/>
  <c r="H324" i="3"/>
  <c r="H41" i="3"/>
  <c r="E27" i="3"/>
  <c r="G225" i="3"/>
  <c r="E174" i="3"/>
  <c r="G4" i="3"/>
  <c r="E326" i="3"/>
  <c r="J224" i="3"/>
  <c r="G183" i="3"/>
  <c r="J188" i="3"/>
  <c r="J294" i="3"/>
  <c r="G306" i="3"/>
  <c r="H135" i="3"/>
  <c r="H219" i="3"/>
  <c r="G138" i="3"/>
  <c r="I56" i="3"/>
  <c r="J271" i="3"/>
  <c r="I13" i="3"/>
  <c r="H296" i="3"/>
  <c r="I11" i="3"/>
  <c r="I14" i="3"/>
  <c r="I57" i="3"/>
  <c r="J354" i="3"/>
  <c r="H127" i="3"/>
  <c r="I179" i="3"/>
  <c r="G325" i="3"/>
  <c r="E247" i="3"/>
  <c r="E317" i="3"/>
  <c r="J171" i="3"/>
  <c r="G123" i="3"/>
  <c r="G287" i="3"/>
  <c r="I82" i="3"/>
  <c r="H215" i="3"/>
  <c r="G270" i="3"/>
  <c r="G52" i="3"/>
  <c r="H351" i="3"/>
  <c r="J291" i="3"/>
  <c r="J174" i="3"/>
  <c r="G19" i="3"/>
  <c r="E56" i="3"/>
  <c r="E265" i="3"/>
  <c r="H312" i="3"/>
  <c r="I39" i="3"/>
  <c r="I135" i="3"/>
  <c r="G147" i="3"/>
  <c r="E202" i="3"/>
  <c r="I281" i="3"/>
  <c r="E260" i="3"/>
  <c r="H303" i="3"/>
  <c r="E224" i="3"/>
  <c r="I197" i="3"/>
  <c r="E36" i="3"/>
  <c r="G39" i="3"/>
  <c r="E75" i="3"/>
  <c r="J206" i="3"/>
  <c r="G324" i="3"/>
  <c r="E292" i="3"/>
  <c r="J260" i="3"/>
  <c r="G13" i="3"/>
  <c r="H38" i="3"/>
  <c r="H147" i="3"/>
  <c r="E272" i="3"/>
  <c r="E339" i="3"/>
  <c r="I155" i="3"/>
  <c r="E211" i="3"/>
  <c r="G10" i="3"/>
  <c r="G181" i="3"/>
  <c r="I310" i="3"/>
  <c r="G193" i="3"/>
  <c r="I271" i="3"/>
  <c r="J226" i="3"/>
  <c r="G279" i="3"/>
  <c r="E29" i="3"/>
  <c r="G212" i="3"/>
  <c r="G12" i="3"/>
  <c r="H278" i="3"/>
  <c r="J140" i="3"/>
  <c r="E198" i="3"/>
  <c r="E65" i="3"/>
  <c r="J44" i="3"/>
  <c r="H52" i="3"/>
  <c r="J176" i="3"/>
  <c r="G197" i="3"/>
  <c r="I44" i="3"/>
  <c r="J270" i="3"/>
  <c r="G165" i="3"/>
  <c r="J154" i="3"/>
  <c r="J319" i="3"/>
  <c r="H202" i="3"/>
  <c r="E281" i="3"/>
  <c r="H245" i="3"/>
  <c r="I75" i="3"/>
  <c r="I269" i="3"/>
  <c r="I138" i="3"/>
  <c r="I345" i="3"/>
  <c r="I133" i="3"/>
  <c r="G344" i="3"/>
  <c r="J116" i="3"/>
  <c r="E28" i="3"/>
  <c r="G98" i="3"/>
  <c r="G133" i="3"/>
  <c r="E108" i="3"/>
  <c r="E249" i="3"/>
  <c r="I293" i="3"/>
  <c r="G308" i="3"/>
  <c r="J13" i="3"/>
  <c r="H82" i="3"/>
  <c r="G195" i="3"/>
  <c r="J318" i="3"/>
  <c r="J106" i="3"/>
  <c r="H216" i="3"/>
  <c r="G318" i="3"/>
  <c r="I76" i="3"/>
  <c r="H306" i="3"/>
  <c r="J195" i="3"/>
  <c r="J320" i="3"/>
  <c r="I216" i="3"/>
  <c r="H149" i="3"/>
  <c r="I323" i="3"/>
  <c r="H105" i="3"/>
  <c r="J189" i="3"/>
  <c r="G180" i="3"/>
  <c r="E10" i="3"/>
  <c r="I253" i="3"/>
  <c r="J3" i="3"/>
  <c r="E126" i="3"/>
  <c r="I38" i="3"/>
  <c r="J59" i="3"/>
  <c r="E123" i="3"/>
  <c r="G97" i="3"/>
  <c r="I158" i="3"/>
  <c r="G209" i="3"/>
  <c r="J81" i="3"/>
  <c r="G113" i="3"/>
  <c r="J56" i="3"/>
  <c r="E105" i="3"/>
  <c r="I66" i="3"/>
  <c r="J60" i="3"/>
  <c r="I299" i="3"/>
  <c r="H4" i="3"/>
  <c r="G294" i="3"/>
  <c r="J151" i="3"/>
  <c r="E342" i="3"/>
  <c r="G153" i="3"/>
  <c r="E175" i="3"/>
  <c r="I195" i="3"/>
  <c r="J353" i="3"/>
  <c r="I94" i="3"/>
  <c r="J234" i="3"/>
  <c r="I266" i="3"/>
  <c r="H343" i="3"/>
  <c r="I28" i="3"/>
  <c r="E57" i="3"/>
  <c r="E302" i="3"/>
  <c r="J238" i="3"/>
  <c r="H188" i="3"/>
  <c r="J276" i="3"/>
  <c r="J123" i="3"/>
  <c r="G272" i="3"/>
  <c r="H345" i="3"/>
  <c r="H292" i="3"/>
  <c r="E6" i="3"/>
  <c r="I127" i="3"/>
  <c r="E217" i="3"/>
  <c r="H298" i="3"/>
  <c r="E344" i="3"/>
  <c r="G3" i="3"/>
  <c r="G177" i="3"/>
  <c r="H122" i="3"/>
  <c r="G75" i="3"/>
  <c r="H129" i="3"/>
  <c r="G43" i="3"/>
  <c r="E40" i="3"/>
  <c r="G57" i="3"/>
  <c r="E136" i="3"/>
  <c r="H203" i="3"/>
  <c r="E166" i="3"/>
  <c r="H282" i="3"/>
  <c r="G267" i="3"/>
  <c r="J251" i="3"/>
  <c r="I291" i="3"/>
  <c r="I303" i="3"/>
  <c r="J27" i="3"/>
  <c r="J94" i="3"/>
  <c r="I103" i="3"/>
  <c r="I181" i="3"/>
  <c r="G186" i="3"/>
  <c r="I325" i="3"/>
  <c r="J200" i="3"/>
  <c r="I225" i="3"/>
  <c r="I4" i="3"/>
  <c r="I50" i="3"/>
  <c r="E207" i="3"/>
  <c r="E234" i="3"/>
  <c r="E275" i="3"/>
  <c r="J193" i="3"/>
  <c r="E294" i="3"/>
  <c r="H308" i="3"/>
  <c r="H338" i="3"/>
  <c r="E176" i="3"/>
  <c r="E197" i="3"/>
  <c r="I306" i="3"/>
  <c r="H116" i="3"/>
  <c r="E91" i="3"/>
  <c r="I123" i="3"/>
  <c r="I206" i="3"/>
  <c r="E215" i="3"/>
  <c r="G129" i="3"/>
  <c r="H272" i="3"/>
  <c r="J324" i="3"/>
  <c r="J78" i="3"/>
  <c r="G345" i="3"/>
  <c r="G292" i="3"/>
  <c r="G194" i="3"/>
  <c r="H162" i="3"/>
  <c r="J6" i="3"/>
  <c r="G11" i="3"/>
  <c r="J14" i="3"/>
  <c r="G211" i="3"/>
  <c r="H267" i="3"/>
  <c r="G251" i="3"/>
  <c r="I354" i="3"/>
  <c r="I143" i="3"/>
  <c r="H305" i="3"/>
  <c r="E200" i="3"/>
  <c r="J149" i="3"/>
  <c r="J207" i="3"/>
  <c r="G247" i="3"/>
  <c r="J275" i="3"/>
  <c r="H193" i="3"/>
  <c r="H330" i="3"/>
  <c r="G135" i="3"/>
  <c r="E138" i="3"/>
  <c r="G301" i="3"/>
  <c r="J92" i="3"/>
  <c r="G90" i="3"/>
  <c r="J247" i="3"/>
  <c r="H155" i="3"/>
  <c r="E259" i="3"/>
  <c r="I43" i="3"/>
  <c r="E80" i="3"/>
  <c r="H89" i="3"/>
  <c r="H86" i="3"/>
  <c r="J67" i="3"/>
  <c r="E291" i="3"/>
  <c r="J302" i="3"/>
  <c r="H273" i="3"/>
  <c r="I347" i="3"/>
  <c r="G207" i="3"/>
  <c r="G284" i="3"/>
  <c r="J340" i="3"/>
  <c r="I244" i="3"/>
  <c r="G276" i="3"/>
  <c r="J338" i="3"/>
  <c r="I176" i="3"/>
  <c r="H91" i="3"/>
  <c r="G219" i="3"/>
  <c r="I270" i="3"/>
  <c r="I292" i="3"/>
  <c r="G85" i="3"/>
  <c r="E305" i="3"/>
  <c r="I344" i="3"/>
  <c r="J9" i="3"/>
  <c r="H80" i="3"/>
  <c r="H79" i="3"/>
  <c r="J180" i="3"/>
  <c r="I178" i="3"/>
  <c r="E279" i="3"/>
  <c r="H28" i="3"/>
  <c r="G109" i="3"/>
  <c r="I232" i="3"/>
  <c r="H226" i="3"/>
  <c r="E15" i="3"/>
  <c r="E5" i="3"/>
  <c r="I27" i="3"/>
  <c r="E146" i="3"/>
  <c r="H217" i="3"/>
  <c r="I186" i="3"/>
  <c r="J289" i="3"/>
  <c r="E337" i="3"/>
  <c r="E225" i="3"/>
  <c r="I3" i="3"/>
  <c r="E84" i="3"/>
  <c r="G249" i="3"/>
  <c r="G56" i="3"/>
  <c r="I224" i="3"/>
  <c r="J197" i="3"/>
  <c r="E39" i="3"/>
  <c r="G44" i="3"/>
  <c r="J82" i="3"/>
  <c r="J219" i="3"/>
  <c r="I324" i="3"/>
  <c r="J297" i="3"/>
  <c r="E165" i="3"/>
  <c r="H154" i="3"/>
  <c r="J159" i="3"/>
  <c r="H85" i="3"/>
  <c r="G341" i="3"/>
  <c r="E41" i="3"/>
  <c r="E106" i="3"/>
  <c r="G100" i="3"/>
  <c r="J143" i="3"/>
  <c r="G162" i="3"/>
  <c r="E273" i="3"/>
  <c r="H289" i="3"/>
  <c r="J337" i="3"/>
  <c r="E257" i="3"/>
  <c r="J105" i="3"/>
  <c r="G20" i="3"/>
  <c r="E44" i="3"/>
  <c r="H297" i="3"/>
  <c r="J52" i="3"/>
  <c r="I249" i="3"/>
  <c r="E13" i="3"/>
  <c r="I59" i="3"/>
  <c r="E82" i="3"/>
  <c r="J141" i="3"/>
  <c r="E60" i="3"/>
  <c r="E25" i="3"/>
  <c r="J236" i="3"/>
  <c r="G111" i="3"/>
  <c r="J196" i="3"/>
  <c r="H327" i="3"/>
  <c r="J284" i="3"/>
  <c r="I265" i="3"/>
  <c r="J38" i="3"/>
  <c r="H270" i="3"/>
  <c r="I78" i="3"/>
  <c r="J202" i="3"/>
  <c r="G103" i="3"/>
  <c r="H50" i="3"/>
  <c r="E345" i="3"/>
  <c r="I108" i="3"/>
  <c r="H323" i="3"/>
  <c r="I183" i="3"/>
  <c r="E135" i="3"/>
  <c r="I147" i="3"/>
  <c r="H113" i="3"/>
  <c r="G155" i="3"/>
  <c r="J203" i="3"/>
  <c r="E4" i="3"/>
  <c r="E19" i="3"/>
  <c r="J204" i="3"/>
  <c r="G78" i="3"/>
  <c r="H64" i="3"/>
  <c r="J64" i="3"/>
  <c r="E61" i="3"/>
  <c r="E78" i="3"/>
  <c r="I341" i="3"/>
  <c r="I204" i="3"/>
  <c r="G293" i="3"/>
  <c r="H66" i="3"/>
  <c r="G175" i="3"/>
  <c r="I205" i="3"/>
  <c r="H334" i="3"/>
  <c r="H19" i="3"/>
  <c r="H39" i="3"/>
  <c r="G82" i="3"/>
  <c r="J70" i="3"/>
  <c r="I165" i="3"/>
  <c r="I151" i="3"/>
  <c r="E245" i="3"/>
  <c r="I203" i="3"/>
  <c r="E12" i="3"/>
  <c r="G342" i="3"/>
  <c r="I191" i="3"/>
  <c r="H36" i="3"/>
  <c r="H123" i="3"/>
  <c r="J215" i="3"/>
  <c r="J61" i="3"/>
  <c r="E73" i="3"/>
  <c r="E154" i="3"/>
  <c r="J185" i="3"/>
  <c r="E142" i="3"/>
  <c r="J216" i="3"/>
  <c r="G149" i="3"/>
  <c r="G234" i="3"/>
  <c r="G105" i="3"/>
  <c r="I189" i="3"/>
  <c r="G204" i="3"/>
  <c r="E312" i="3"/>
  <c r="J75" i="3"/>
  <c r="G141" i="3"/>
  <c r="G320" i="3"/>
  <c r="I174" i="3"/>
  <c r="J76" i="3"/>
  <c r="J126" i="3"/>
  <c r="H265" i="3"/>
  <c r="H335" i="3"/>
  <c r="I319" i="3"/>
  <c r="G260" i="3"/>
  <c r="E48" i="3"/>
  <c r="H184" i="3"/>
  <c r="E94" i="3"/>
  <c r="I233" i="3"/>
  <c r="H94" i="3"/>
  <c r="G191" i="3"/>
  <c r="J334" i="3"/>
  <c r="E206" i="3"/>
  <c r="H31" i="3"/>
  <c r="H61" i="3"/>
  <c r="H58" i="3"/>
  <c r="G48" i="3"/>
  <c r="G58" i="3"/>
  <c r="H233" i="3"/>
  <c r="I353" i="3"/>
  <c r="G268" i="3"/>
  <c r="I36" i="3"/>
  <c r="E161" i="3"/>
  <c r="J296" i="3"/>
  <c r="E47" i="3"/>
  <c r="E31" i="3"/>
  <c r="I339" i="3"/>
  <c r="J51" i="3"/>
  <c r="E98" i="3"/>
  <c r="H246" i="3"/>
  <c r="E282" i="3"/>
  <c r="G316" i="3"/>
  <c r="G291" i="3"/>
  <c r="H320" i="3"/>
  <c r="H46" i="3"/>
  <c r="E190" i="3"/>
  <c r="I328" i="3"/>
  <c r="E237" i="3"/>
  <c r="G300" i="3"/>
  <c r="E24" i="3"/>
  <c r="E17" i="3"/>
  <c r="J72" i="3"/>
  <c r="H137" i="3"/>
  <c r="H185" i="3"/>
  <c r="E283" i="3"/>
  <c r="E280" i="3"/>
  <c r="I49" i="3"/>
  <c r="E99" i="3"/>
  <c r="I227" i="3"/>
  <c r="I275" i="3"/>
  <c r="E122" i="3"/>
  <c r="G37" i="3"/>
  <c r="I70" i="3"/>
  <c r="H114" i="3"/>
  <c r="J156" i="3"/>
  <c r="J295" i="3"/>
  <c r="H332" i="3"/>
  <c r="J322" i="3"/>
  <c r="I250" i="3"/>
  <c r="G54" i="3"/>
  <c r="H53" i="3"/>
  <c r="G213" i="3"/>
  <c r="H269" i="3"/>
  <c r="J230" i="3"/>
  <c r="J292" i="3"/>
  <c r="J255" i="3"/>
  <c r="H256" i="3"/>
  <c r="G46" i="3"/>
  <c r="I63" i="3"/>
  <c r="J288" i="3"/>
  <c r="H237" i="3"/>
  <c r="I262" i="3"/>
  <c r="E300" i="3"/>
  <c r="H33" i="3"/>
  <c r="I134" i="3"/>
  <c r="I185" i="3"/>
  <c r="H284" i="3"/>
  <c r="J242" i="3"/>
  <c r="G323" i="3"/>
  <c r="I170" i="3"/>
  <c r="H49" i="3"/>
  <c r="H107" i="3"/>
  <c r="E177" i="3"/>
  <c r="I168" i="3"/>
  <c r="J218" i="3"/>
  <c r="E95" i="3"/>
  <c r="H210" i="3"/>
  <c r="H227" i="3"/>
  <c r="G235" i="3"/>
  <c r="E261" i="3"/>
  <c r="H275" i="3"/>
  <c r="I267" i="3"/>
  <c r="H318" i="3"/>
  <c r="I35" i="3"/>
  <c r="E301" i="3"/>
  <c r="G184" i="3"/>
  <c r="E353" i="3"/>
  <c r="H51" i="3"/>
  <c r="G339" i="3"/>
  <c r="I190" i="3"/>
  <c r="G259" i="3"/>
  <c r="J228" i="3"/>
  <c r="G304" i="3"/>
  <c r="E348" i="3"/>
  <c r="E170" i="3"/>
  <c r="H280" i="3"/>
  <c r="G88" i="3"/>
  <c r="I316" i="3"/>
  <c r="J186" i="3"/>
  <c r="E43" i="3"/>
  <c r="H182" i="3"/>
  <c r="G143" i="3"/>
  <c r="G142" i="3"/>
  <c r="G217" i="3"/>
  <c r="G277" i="3"/>
  <c r="J246" i="3"/>
  <c r="J282" i="3"/>
  <c r="E316" i="3"/>
  <c r="J341" i="3"/>
  <c r="I46" i="3"/>
  <c r="H63" i="3"/>
  <c r="I142" i="3"/>
  <c r="H191" i="3"/>
  <c r="J205" i="3"/>
  <c r="I234" i="3"/>
  <c r="I278" i="3"/>
  <c r="G334" i="3"/>
  <c r="J328" i="3"/>
  <c r="H262" i="3"/>
  <c r="G33" i="3"/>
  <c r="E55" i="3"/>
  <c r="H17" i="3"/>
  <c r="I137" i="3"/>
  <c r="I41" i="3"/>
  <c r="E134" i="3"/>
  <c r="G161" i="3"/>
  <c r="H204" i="3"/>
  <c r="H228" i="3"/>
  <c r="G283" i="3"/>
  <c r="H242" i="3"/>
  <c r="I294" i="3"/>
  <c r="I304" i="3"/>
  <c r="H170" i="3"/>
  <c r="I280" i="3"/>
  <c r="J25" i="3"/>
  <c r="H13" i="3"/>
  <c r="H16" i="3"/>
  <c r="E49" i="3"/>
  <c r="J47" i="3"/>
  <c r="J66" i="3"/>
  <c r="G79" i="3"/>
  <c r="E132" i="3"/>
  <c r="H195" i="3"/>
  <c r="G68" i="3"/>
  <c r="E229" i="3"/>
  <c r="H168" i="3"/>
  <c r="H206" i="3"/>
  <c r="H189" i="3"/>
  <c r="I235" i="3"/>
  <c r="E327" i="3"/>
  <c r="G311" i="3"/>
  <c r="J335" i="3"/>
  <c r="J309" i="3"/>
  <c r="G350" i="3"/>
  <c r="H34" i="3"/>
  <c r="I31" i="3"/>
  <c r="J45" i="3"/>
  <c r="E102" i="3"/>
  <c r="E109" i="3"/>
  <c r="E71" i="3"/>
  <c r="H336" i="3"/>
  <c r="E62" i="3"/>
  <c r="I23" i="3"/>
  <c r="I22" i="3"/>
  <c r="H73" i="3"/>
  <c r="G64" i="3"/>
  <c r="G115" i="3"/>
  <c r="G101" i="3"/>
  <c r="H117" i="3"/>
  <c r="G145" i="3"/>
  <c r="E167" i="3"/>
  <c r="E150" i="3"/>
  <c r="H183" i="3"/>
  <c r="H201" i="3"/>
  <c r="I156" i="3"/>
  <c r="E214" i="3"/>
  <c r="E155" i="3"/>
  <c r="J179" i="3"/>
  <c r="J264" i="3"/>
  <c r="J286" i="3"/>
  <c r="G139" i="3"/>
  <c r="J244" i="3"/>
  <c r="I222" i="3"/>
  <c r="J243" i="3"/>
  <c r="I333" i="3"/>
  <c r="I332" i="3"/>
  <c r="E263" i="3"/>
  <c r="J301" i="3"/>
  <c r="E346" i="3"/>
  <c r="H313" i="3"/>
  <c r="G199" i="3"/>
  <c r="J8" i="3"/>
  <c r="G42" i="3"/>
  <c r="G74" i="3"/>
  <c r="H54" i="3"/>
  <c r="E87" i="3"/>
  <c r="G53" i="3"/>
  <c r="I83" i="3"/>
  <c r="G69" i="3"/>
  <c r="G93" i="3"/>
  <c r="J119" i="3"/>
  <c r="J91" i="3"/>
  <c r="G140" i="3"/>
  <c r="H173" i="3"/>
  <c r="H187" i="3"/>
  <c r="I144" i="3"/>
  <c r="I169" i="3"/>
  <c r="J146" i="3"/>
  <c r="E125" i="3"/>
  <c r="I213" i="3"/>
  <c r="J120" i="3"/>
  <c r="G220" i="3"/>
  <c r="H163" i="3"/>
  <c r="H258" i="3"/>
  <c r="E240" i="3"/>
  <c r="G269" i="3"/>
  <c r="H121" i="3"/>
  <c r="J252" i="3"/>
  <c r="G329" i="3"/>
  <c r="E315" i="3"/>
  <c r="G352" i="3"/>
  <c r="I355" i="3"/>
  <c r="G255" i="3"/>
  <c r="H260" i="3"/>
  <c r="G239" i="3"/>
  <c r="J4" i="3"/>
  <c r="E63" i="3"/>
  <c r="E149" i="3"/>
  <c r="H153" i="3"/>
  <c r="J274" i="3"/>
  <c r="E268" i="3"/>
  <c r="E180" i="3"/>
  <c r="G299" i="3"/>
  <c r="H348" i="3"/>
  <c r="I7" i="3"/>
  <c r="E16" i="3"/>
  <c r="I47" i="3"/>
  <c r="E79" i="3"/>
  <c r="E107" i="3"/>
  <c r="J132" i="3"/>
  <c r="E148" i="3"/>
  <c r="J198" i="3"/>
  <c r="H229" i="3"/>
  <c r="E218" i="3"/>
  <c r="G223" i="3"/>
  <c r="J95" i="3"/>
  <c r="E189" i="3"/>
  <c r="H235" i="3"/>
  <c r="H261" i="3"/>
  <c r="J253" i="3"/>
  <c r="E311" i="3"/>
  <c r="E335" i="3"/>
  <c r="I309" i="3"/>
  <c r="J350" i="3"/>
  <c r="I172" i="3"/>
  <c r="H248" i="3"/>
  <c r="I45" i="3"/>
  <c r="I65" i="3"/>
  <c r="I130" i="3"/>
  <c r="G18" i="3"/>
  <c r="J23" i="3"/>
  <c r="H22" i="3"/>
  <c r="J110" i="3"/>
  <c r="H101" i="3"/>
  <c r="G117" i="3"/>
  <c r="I124" i="3"/>
  <c r="H167" i="3"/>
  <c r="G201" i="3"/>
  <c r="E208" i="3"/>
  <c r="I264" i="3"/>
  <c r="I139" i="3"/>
  <c r="H285" i="3"/>
  <c r="E333" i="3"/>
  <c r="J263" i="3"/>
  <c r="I301" i="3"/>
  <c r="G313" i="3"/>
  <c r="H8" i="3"/>
  <c r="I32" i="3"/>
  <c r="I40" i="3"/>
  <c r="J93" i="3"/>
  <c r="I119" i="3"/>
  <c r="J112" i="3"/>
  <c r="G169" i="3"/>
  <c r="J157" i="3"/>
  <c r="I146" i="3"/>
  <c r="J125" i="3"/>
  <c r="E192" i="3"/>
  <c r="I163" i="3"/>
  <c r="H241" i="3"/>
  <c r="I245" i="3"/>
  <c r="E121" i="3"/>
  <c r="I252" i="3"/>
  <c r="G330" i="3"/>
  <c r="H315" i="3"/>
  <c r="I340" i="3"/>
  <c r="E352" i="3"/>
  <c r="E321" i="3"/>
  <c r="H309" i="3"/>
  <c r="H172" i="3"/>
  <c r="J248" i="3"/>
  <c r="E34" i="3"/>
  <c r="E59" i="3"/>
  <c r="J30" i="3"/>
  <c r="J65" i="3"/>
  <c r="G61" i="3"/>
  <c r="J109" i="3"/>
  <c r="H130" i="3"/>
  <c r="E164" i="3"/>
  <c r="H150" i="3"/>
  <c r="E37" i="3"/>
  <c r="E18" i="3"/>
  <c r="E23" i="3"/>
  <c r="G22" i="3"/>
  <c r="H70" i="3"/>
  <c r="J115" i="3"/>
  <c r="G110" i="3"/>
  <c r="G114" i="3"/>
  <c r="H111" i="3"/>
  <c r="J145" i="3"/>
  <c r="I150" i="3"/>
  <c r="J214" i="3"/>
  <c r="H179" i="3"/>
  <c r="E286" i="3"/>
  <c r="E139" i="3"/>
  <c r="G244" i="3"/>
  <c r="H222" i="3"/>
  <c r="J254" i="3"/>
  <c r="I295" i="3"/>
  <c r="I307" i="3"/>
  <c r="J333" i="3"/>
  <c r="E332" i="3"/>
  <c r="H263" i="3"/>
  <c r="H301" i="3"/>
  <c r="H322" i="3"/>
  <c r="E199" i="3"/>
  <c r="G26" i="3"/>
  <c r="H40" i="3"/>
  <c r="E42" i="3"/>
  <c r="J74" i="3"/>
  <c r="J54" i="3"/>
  <c r="J87" i="3"/>
  <c r="E83" i="3"/>
  <c r="E69" i="3"/>
  <c r="J104" i="3"/>
  <c r="E81" i="3"/>
  <c r="I86" i="3"/>
  <c r="I128" i="3"/>
  <c r="E118" i="3"/>
  <c r="G91" i="3"/>
  <c r="I112" i="3"/>
  <c r="E173" i="3"/>
  <c r="J187" i="3"/>
  <c r="G144" i="3"/>
  <c r="H169" i="3"/>
  <c r="I157" i="3"/>
  <c r="I171" i="3"/>
  <c r="J192" i="3"/>
  <c r="J213" i="3"/>
  <c r="I120" i="3"/>
  <c r="J220" i="3"/>
  <c r="E163" i="3"/>
  <c r="E258" i="3"/>
  <c r="I276" i="3"/>
  <c r="I251" i="3"/>
  <c r="H231" i="3"/>
  <c r="I230" i="3"/>
  <c r="E329" i="3"/>
  <c r="J290" i="3"/>
  <c r="E340" i="3"/>
  <c r="I352" i="3"/>
  <c r="G355" i="3"/>
  <c r="J321" i="3"/>
  <c r="E239" i="3"/>
  <c r="I260" i="3"/>
  <c r="G317" i="3"/>
  <c r="H47" i="3"/>
  <c r="E58" i="3"/>
  <c r="H48" i="3"/>
  <c r="J58" i="3"/>
  <c r="E85" i="3"/>
  <c r="E194" i="3"/>
  <c r="G203" i="3"/>
  <c r="G233" i="3"/>
  <c r="J5" i="3"/>
  <c r="E51" i="3"/>
  <c r="H98" i="3"/>
  <c r="J217" i="3"/>
  <c r="J273" i="3"/>
  <c r="E246" i="3"/>
  <c r="J316" i="3"/>
  <c r="G289" i="3"/>
  <c r="I320" i="3"/>
  <c r="J24" i="3"/>
  <c r="J46" i="3"/>
  <c r="H84" i="3"/>
  <c r="J63" i="3"/>
  <c r="G190" i="3"/>
  <c r="H175" i="3"/>
  <c r="E274" i="3"/>
  <c r="H268" i="3"/>
  <c r="G152" i="3"/>
  <c r="E334" i="3"/>
  <c r="G328" i="3"/>
  <c r="I288" i="3"/>
  <c r="J237" i="3"/>
  <c r="H35" i="3"/>
  <c r="H24" i="3"/>
  <c r="G55" i="3"/>
  <c r="H134" i="3"/>
  <c r="G174" i="3"/>
  <c r="E185" i="3"/>
  <c r="G242" i="3"/>
  <c r="J312" i="3"/>
  <c r="J348" i="3"/>
  <c r="G354" i="3"/>
  <c r="G170" i="3"/>
  <c r="E7" i="3"/>
  <c r="E66" i="3"/>
  <c r="J96" i="3"/>
  <c r="J99" i="3"/>
  <c r="I132" i="3"/>
  <c r="H177" i="3"/>
  <c r="G188" i="3"/>
  <c r="E195" i="3"/>
  <c r="J148" i="3"/>
  <c r="E168" i="3"/>
  <c r="E147" i="3"/>
  <c r="H223" i="3"/>
  <c r="G210" i="3"/>
  <c r="G227" i="3"/>
  <c r="E235" i="3"/>
  <c r="G275" i="3"/>
  <c r="I311" i="3"/>
  <c r="G297" i="3"/>
  <c r="E309" i="3"/>
  <c r="H350" i="3"/>
  <c r="G172" i="3"/>
  <c r="E248" i="3"/>
  <c r="E270" i="3"/>
  <c r="J34" i="3"/>
  <c r="E45" i="3"/>
  <c r="I30" i="3"/>
  <c r="H65" i="3"/>
  <c r="E89" i="3"/>
  <c r="H102" i="3"/>
  <c r="I109" i="3"/>
  <c r="G71" i="3"/>
  <c r="J37" i="3"/>
  <c r="J18" i="3"/>
  <c r="H62" i="3"/>
  <c r="I52" i="3"/>
  <c r="E22" i="3"/>
  <c r="I115" i="3"/>
  <c r="I101" i="3"/>
  <c r="J111" i="3"/>
  <c r="E117" i="3"/>
  <c r="H145" i="3"/>
  <c r="H156" i="3"/>
  <c r="H220" i="3"/>
  <c r="G214" i="3"/>
  <c r="G179" i="3"/>
  <c r="H286" i="3"/>
  <c r="I285" i="3"/>
  <c r="G222" i="3"/>
  <c r="H254" i="3"/>
  <c r="H295" i="3"/>
  <c r="H307" i="3"/>
  <c r="H319" i="3"/>
  <c r="E322" i="3"/>
  <c r="J250" i="3"/>
  <c r="H314" i="3"/>
  <c r="E8" i="3"/>
  <c r="I26" i="3"/>
  <c r="G40" i="3"/>
  <c r="J42" i="3"/>
  <c r="E74" i="3"/>
  <c r="H87" i="3"/>
  <c r="E53" i="3"/>
  <c r="J77" i="3"/>
  <c r="J69" i="3"/>
  <c r="H93" i="3"/>
  <c r="I104" i="3"/>
  <c r="H128" i="3"/>
  <c r="I118" i="3"/>
  <c r="H119" i="3"/>
  <c r="H138" i="3"/>
  <c r="H112" i="3"/>
  <c r="I140" i="3"/>
  <c r="G173" i="3"/>
  <c r="J144" i="3"/>
  <c r="H157" i="3"/>
  <c r="H171" i="3"/>
  <c r="I125" i="3"/>
  <c r="I192" i="3"/>
  <c r="H120" i="3"/>
  <c r="I220" i="3"/>
  <c r="I258" i="3"/>
  <c r="J240" i="3"/>
  <c r="H251" i="3"/>
  <c r="E241" i="3"/>
  <c r="I121" i="3"/>
  <c r="J231" i="3"/>
  <c r="H252" i="3"/>
  <c r="I290" i="3"/>
  <c r="J355" i="3"/>
  <c r="I321" i="3"/>
  <c r="G351" i="3"/>
  <c r="H72" i="3"/>
  <c r="I48" i="3"/>
  <c r="G136" i="3"/>
  <c r="I194" i="3"/>
  <c r="J160" i="3"/>
  <c r="H166" i="3"/>
  <c r="I184" i="3"/>
  <c r="H353" i="3"/>
  <c r="I51" i="3"/>
  <c r="G27" i="3"/>
  <c r="J98" i="3"/>
  <c r="E133" i="3"/>
  <c r="E216" i="3"/>
  <c r="J277" i="3"/>
  <c r="G305" i="3"/>
  <c r="G349" i="3"/>
  <c r="G256" i="3"/>
  <c r="G84" i="3"/>
  <c r="H76" i="3"/>
  <c r="I106" i="3"/>
  <c r="G158" i="3"/>
  <c r="J175" i="3"/>
  <c r="H205" i="3"/>
  <c r="J266" i="3"/>
  <c r="G262" i="3"/>
  <c r="J152" i="3"/>
  <c r="I259" i="3"/>
  <c r="H328" i="3"/>
  <c r="E288" i="3"/>
  <c r="I237" i="3"/>
  <c r="J300" i="3"/>
  <c r="I33" i="3"/>
  <c r="H55" i="3"/>
  <c r="G35" i="3"/>
  <c r="I17" i="3"/>
  <c r="E72" i="3"/>
  <c r="I105" i="3"/>
  <c r="I126" i="3"/>
  <c r="E137" i="3"/>
  <c r="G134" i="3"/>
  <c r="H161" i="3"/>
  <c r="E228" i="3"/>
  <c r="E284" i="3"/>
  <c r="I312" i="3"/>
  <c r="J293" i="3"/>
  <c r="J170" i="3"/>
  <c r="E293" i="3"/>
  <c r="H25" i="3"/>
  <c r="G36" i="3"/>
  <c r="H59" i="3"/>
  <c r="G47" i="3"/>
  <c r="E88" i="3"/>
  <c r="I96" i="3"/>
  <c r="J107" i="3"/>
  <c r="I141" i="3"/>
  <c r="H132" i="3"/>
  <c r="I188" i="3"/>
  <c r="I148" i="3"/>
  <c r="H158" i="3"/>
  <c r="E68" i="3"/>
  <c r="J229" i="3"/>
  <c r="G168" i="3"/>
  <c r="G206" i="3"/>
  <c r="H218" i="3"/>
  <c r="J223" i="3"/>
  <c r="J227" i="3"/>
  <c r="J235" i="3"/>
  <c r="J261" i="3"/>
  <c r="G215" i="3"/>
  <c r="E350" i="3"/>
  <c r="I248" i="3"/>
  <c r="G89" i="3"/>
  <c r="G102" i="3"/>
  <c r="I71" i="3"/>
  <c r="E130" i="3"/>
  <c r="J164" i="3"/>
  <c r="J10" i="3"/>
  <c r="H37" i="3"/>
  <c r="H18" i="3"/>
  <c r="J73" i="3"/>
  <c r="I100" i="3"/>
  <c r="H115" i="3"/>
  <c r="E110" i="3"/>
  <c r="E111" i="3"/>
  <c r="E145" i="3"/>
  <c r="G150" i="3"/>
  <c r="E201" i="3"/>
  <c r="H181" i="3"/>
  <c r="G208" i="3"/>
  <c r="G286" i="3"/>
  <c r="E244" i="3"/>
  <c r="I243" i="3"/>
  <c r="G254" i="3"/>
  <c r="G295" i="3"/>
  <c r="J307" i="3"/>
  <c r="H333" i="3"/>
  <c r="J332" i="3"/>
  <c r="I263" i="3"/>
  <c r="I322" i="3"/>
  <c r="E313" i="3"/>
  <c r="H250" i="3"/>
  <c r="E314" i="3"/>
  <c r="E310" i="3"/>
  <c r="J26" i="3"/>
  <c r="G29" i="3"/>
  <c r="H42" i="3"/>
  <c r="G87" i="3"/>
  <c r="E67" i="3"/>
  <c r="I77" i="3"/>
  <c r="G83" i="3"/>
  <c r="I93" i="3"/>
  <c r="H104" i="3"/>
  <c r="G118" i="3"/>
  <c r="J129" i="3"/>
  <c r="E119" i="3"/>
  <c r="G112" i="3"/>
  <c r="H140" i="3"/>
  <c r="J173" i="3"/>
  <c r="I187" i="3"/>
  <c r="H144" i="3"/>
  <c r="G157" i="3"/>
  <c r="G171" i="3"/>
  <c r="H192" i="3"/>
  <c r="E213" i="3"/>
  <c r="I240" i="3"/>
  <c r="J121" i="3"/>
  <c r="I231" i="3"/>
  <c r="H230" i="3"/>
  <c r="J329" i="3"/>
  <c r="J330" i="3"/>
  <c r="J326" i="3"/>
  <c r="H290" i="3"/>
  <c r="E296" i="3"/>
  <c r="I315" i="3"/>
  <c r="E355" i="3"/>
  <c r="H321" i="3"/>
  <c r="E351" i="3"/>
  <c r="E328" i="3"/>
  <c r="E299" i="3"/>
  <c r="J304" i="3"/>
  <c r="J88" i="3"/>
  <c r="G6" i="3"/>
  <c r="J48" i="3"/>
  <c r="I136" i="3"/>
  <c r="I160" i="3"/>
  <c r="G166" i="3"/>
  <c r="E184" i="3"/>
  <c r="J233" i="3"/>
  <c r="J303" i="3"/>
  <c r="I236" i="3"/>
  <c r="G353" i="3"/>
  <c r="J256" i="3"/>
  <c r="H12" i="3"/>
  <c r="G5" i="3"/>
  <c r="G51" i="3"/>
  <c r="I98" i="3"/>
  <c r="J142" i="3"/>
  <c r="G216" i="3"/>
  <c r="E277" i="3"/>
  <c r="I282" i="3"/>
  <c r="E289" i="3"/>
  <c r="E320" i="3"/>
  <c r="H339" i="3"/>
  <c r="E341" i="3"/>
  <c r="G343" i="3"/>
  <c r="G63" i="3"/>
  <c r="E76" i="3"/>
  <c r="E153" i="3"/>
  <c r="J191" i="3"/>
  <c r="H207" i="3"/>
  <c r="I175" i="3"/>
  <c r="E205" i="3"/>
  <c r="H249" i="3"/>
  <c r="H234" i="3"/>
  <c r="H274" i="3"/>
  <c r="E266" i="3"/>
  <c r="I268" i="3"/>
  <c r="I284" i="3"/>
  <c r="I152" i="3"/>
  <c r="H259" i="3"/>
  <c r="H288" i="3"/>
  <c r="J262" i="3"/>
  <c r="I300" i="3"/>
  <c r="J19" i="3"/>
  <c r="J33" i="3"/>
  <c r="E35" i="3"/>
  <c r="I55" i="3"/>
  <c r="G17" i="3"/>
  <c r="G92" i="3"/>
  <c r="H126" i="3"/>
  <c r="G137" i="3"/>
  <c r="J134" i="3"/>
  <c r="J161" i="3"/>
  <c r="G185" i="3"/>
  <c r="E204" i="3"/>
  <c r="G228" i="3"/>
  <c r="G265" i="3"/>
  <c r="H304" i="3"/>
  <c r="G7" i="3"/>
  <c r="J16" i="3"/>
  <c r="J39" i="3"/>
  <c r="G38" i="3"/>
  <c r="J36" i="3"/>
  <c r="J49" i="3"/>
  <c r="H88" i="3"/>
  <c r="G66" i="3"/>
  <c r="I107" i="3"/>
  <c r="I177" i="3"/>
  <c r="E158" i="3"/>
  <c r="J68" i="3"/>
  <c r="I229" i="3"/>
  <c r="G218" i="3"/>
  <c r="I223" i="3"/>
  <c r="H95" i="3"/>
  <c r="G189" i="3"/>
  <c r="I210" i="3"/>
  <c r="I261" i="3"/>
  <c r="H287" i="3"/>
  <c r="H294" i="3"/>
  <c r="G309" i="3"/>
  <c r="I350" i="3"/>
  <c r="G34" i="3"/>
  <c r="J31" i="3"/>
  <c r="G31" i="3"/>
  <c r="G45" i="3"/>
  <c r="H30" i="3"/>
  <c r="I89" i="3"/>
  <c r="I102" i="3"/>
  <c r="H109" i="3"/>
  <c r="J71" i="3"/>
  <c r="J130" i="3"/>
  <c r="I202" i="3"/>
  <c r="E336" i="3"/>
  <c r="I37" i="3"/>
  <c r="H23" i="3"/>
  <c r="E70" i="3"/>
  <c r="I110" i="3"/>
  <c r="E101" i="3"/>
  <c r="E114" i="3"/>
  <c r="I111" i="3"/>
  <c r="J117" i="3"/>
  <c r="J183" i="3"/>
  <c r="G159" i="3"/>
  <c r="I214" i="3"/>
  <c r="H208" i="3"/>
  <c r="H281" i="3"/>
  <c r="G285" i="3"/>
  <c r="E222" i="3"/>
  <c r="H243" i="3"/>
  <c r="I254" i="3"/>
  <c r="E295" i="3"/>
  <c r="G307" i="3"/>
  <c r="G333" i="3"/>
  <c r="G263" i="3"/>
  <c r="G322" i="3"/>
  <c r="H347" i="3"/>
  <c r="I199" i="3"/>
  <c r="G8" i="3"/>
  <c r="H26" i="3"/>
  <c r="E54" i="3"/>
  <c r="I87" i="3"/>
  <c r="I53" i="3"/>
  <c r="H77" i="3"/>
  <c r="G104" i="3"/>
  <c r="E128" i="3"/>
  <c r="H118" i="3"/>
  <c r="G187" i="3"/>
  <c r="E144" i="3"/>
  <c r="G151" i="3"/>
  <c r="H125" i="3"/>
  <c r="G192" i="3"/>
  <c r="E120" i="3"/>
  <c r="J163" i="3"/>
  <c r="G258" i="3"/>
  <c r="H240" i="3"/>
  <c r="J241" i="3"/>
  <c r="J245" i="3"/>
  <c r="E269" i="3"/>
  <c r="E231" i="3"/>
  <c r="G230" i="3"/>
  <c r="G252" i="3"/>
  <c r="E330" i="3"/>
  <c r="G326" i="3"/>
  <c r="G290" i="3"/>
  <c r="G296" i="3"/>
  <c r="H340" i="3"/>
  <c r="J352" i="3"/>
  <c r="H355" i="3"/>
  <c r="H239" i="3"/>
  <c r="I351" i="3"/>
  <c r="H277" i="3"/>
  <c r="H190" i="3"/>
  <c r="I277" i="3"/>
  <c r="I337" i="3"/>
  <c r="E256" i="3"/>
  <c r="J153" i="3"/>
  <c r="G205" i="3"/>
  <c r="G274" i="3"/>
  <c r="G288" i="3"/>
  <c r="E242" i="3"/>
  <c r="H299" i="3"/>
  <c r="J287" i="3"/>
  <c r="H293" i="3"/>
  <c r="H354" i="3"/>
  <c r="E162" i="3"/>
  <c r="J7" i="3"/>
  <c r="I16" i="3"/>
  <c r="G49" i="3"/>
  <c r="H96" i="3"/>
  <c r="J79" i="3"/>
  <c r="G132" i="3"/>
  <c r="H143" i="3"/>
  <c r="H148" i="3"/>
  <c r="I198" i="3"/>
  <c r="I68" i="3"/>
  <c r="G229" i="3"/>
  <c r="J168" i="3"/>
  <c r="G95" i="3"/>
  <c r="E210" i="3"/>
  <c r="E227" i="3"/>
  <c r="G261" i="3"/>
  <c r="J311" i="3"/>
  <c r="G248" i="3"/>
  <c r="H45" i="3"/>
  <c r="G65" i="3"/>
  <c r="H78" i="3"/>
  <c r="J102" i="3"/>
  <c r="G130" i="3"/>
  <c r="E141" i="3"/>
  <c r="I336" i="3"/>
  <c r="I18" i="3"/>
  <c r="J22" i="3"/>
  <c r="H110" i="3"/>
  <c r="J114" i="3"/>
  <c r="I117" i="3"/>
  <c r="J135" i="3"/>
  <c r="G196" i="3"/>
  <c r="J138" i="3"/>
  <c r="J201" i="3"/>
  <c r="E156" i="3"/>
  <c r="H214" i="3"/>
  <c r="J155" i="3"/>
  <c r="J208" i="3"/>
  <c r="E179" i="3"/>
  <c r="H264" i="3"/>
  <c r="I286" i="3"/>
  <c r="J139" i="3"/>
  <c r="H244" i="3"/>
  <c r="E285" i="3"/>
  <c r="G243" i="3"/>
  <c r="E254" i="3"/>
  <c r="G332" i="3"/>
  <c r="I346" i="3"/>
  <c r="G347" i="3"/>
  <c r="J313" i="3"/>
  <c r="J199" i="3"/>
  <c r="G250" i="3"/>
  <c r="I314" i="3"/>
  <c r="I29" i="3"/>
  <c r="J40" i="3"/>
  <c r="I42" i="3"/>
  <c r="I74" i="3"/>
  <c r="J53" i="3"/>
  <c r="G77" i="3"/>
  <c r="H83" i="3"/>
  <c r="I69" i="3"/>
  <c r="G128" i="3"/>
  <c r="J118" i="3"/>
  <c r="E112" i="3"/>
  <c r="E140" i="3"/>
  <c r="I173" i="3"/>
  <c r="E187" i="3"/>
  <c r="E169" i="3"/>
  <c r="E171" i="3"/>
  <c r="H146" i="3"/>
  <c r="E151" i="3"/>
  <c r="G125" i="3"/>
  <c r="H213" i="3"/>
  <c r="G120" i="3"/>
  <c r="J258" i="3"/>
  <c r="G240" i="3"/>
  <c r="I241" i="3"/>
  <c r="I329" i="3"/>
  <c r="I296" i="3"/>
  <c r="H352" i="3"/>
  <c r="G321" i="3"/>
  <c r="H279" i="3"/>
  <c r="J239" i="3"/>
  <c r="G28" i="3"/>
  <c r="H152" i="3"/>
  <c r="I131" i="3"/>
  <c r="H160" i="3"/>
  <c r="G94" i="3"/>
  <c r="H106" i="3"/>
  <c r="I246" i="3"/>
  <c r="G282" i="3"/>
  <c r="H316" i="3"/>
  <c r="J339" i="3"/>
  <c r="J343" i="3"/>
  <c r="J136" i="3"/>
  <c r="G160" i="3"/>
  <c r="J184" i="3"/>
  <c r="E233" i="3"/>
  <c r="I302" i="3"/>
  <c r="J12" i="3"/>
  <c r="H133" i="3"/>
  <c r="I162" i="3"/>
  <c r="G273" i="3"/>
  <c r="G246" i="3"/>
  <c r="J305" i="3"/>
  <c r="H341" i="3"/>
  <c r="I349" i="3"/>
  <c r="I256" i="3"/>
  <c r="E46" i="3"/>
  <c r="I153" i="3"/>
  <c r="J190" i="3"/>
  <c r="I274" i="3"/>
  <c r="J280" i="3"/>
  <c r="J278" i="3"/>
  <c r="H266" i="3"/>
  <c r="H257" i="3"/>
  <c r="J268" i="3"/>
  <c r="I342" i="3"/>
  <c r="G237" i="3"/>
  <c r="E262" i="3"/>
  <c r="H300" i="3"/>
  <c r="E33" i="3"/>
  <c r="J17" i="3"/>
  <c r="I72" i="3"/>
  <c r="J137" i="3"/>
  <c r="I228" i="3"/>
  <c r="E188" i="3"/>
  <c r="H283" i="3"/>
  <c r="I242" i="3"/>
  <c r="E287" i="3"/>
  <c r="E304" i="3"/>
  <c r="G348" i="3"/>
  <c r="G312" i="3"/>
  <c r="J162" i="3"/>
  <c r="G280" i="3"/>
  <c r="E306" i="3"/>
  <c r="G16" i="3"/>
  <c r="I88" i="3"/>
  <c r="G96" i="3"/>
  <c r="I79" i="3"/>
  <c r="G107" i="3"/>
  <c r="J177" i="3"/>
  <c r="G148" i="3"/>
  <c r="H68" i="3"/>
  <c r="I218" i="3"/>
  <c r="E223" i="3"/>
  <c r="I95" i="3"/>
  <c r="J210" i="3"/>
  <c r="I215" i="3"/>
  <c r="H311" i="3"/>
  <c r="G335" i="3"/>
  <c r="J172" i="3"/>
  <c r="I34" i="3"/>
  <c r="E30" i="3"/>
  <c r="I61" i="3"/>
  <c r="H71" i="3"/>
  <c r="G202" i="3"/>
  <c r="G23" i="3"/>
  <c r="I73" i="3"/>
  <c r="I64" i="3"/>
  <c r="J101" i="3"/>
  <c r="I114" i="3"/>
  <c r="I145" i="3"/>
  <c r="J150" i="3"/>
  <c r="I196" i="3"/>
  <c r="I201" i="3"/>
  <c r="G156" i="3"/>
  <c r="H212" i="3"/>
  <c r="I208" i="3"/>
  <c r="E264" i="3"/>
  <c r="H139" i="3"/>
  <c r="J222" i="3"/>
  <c r="E243" i="3"/>
  <c r="E307" i="3"/>
  <c r="I331" i="3"/>
  <c r="J346" i="3"/>
  <c r="I313" i="3"/>
  <c r="H199" i="3"/>
  <c r="E250" i="3"/>
  <c r="J314" i="3"/>
  <c r="I8" i="3"/>
  <c r="E26" i="3"/>
  <c r="H74" i="3"/>
  <c r="I54" i="3"/>
  <c r="E77" i="3"/>
  <c r="J83" i="3"/>
  <c r="H69" i="3"/>
  <c r="E93" i="3"/>
  <c r="E104" i="3"/>
  <c r="J128" i="3"/>
  <c r="G119" i="3"/>
  <c r="J169" i="3"/>
  <c r="E157" i="3"/>
  <c r="H151" i="3"/>
  <c r="E220" i="3"/>
  <c r="G163" i="3"/>
  <c r="G241" i="3"/>
  <c r="G245" i="3"/>
  <c r="J269" i="3"/>
  <c r="G121" i="3"/>
  <c r="G231" i="3"/>
  <c r="E230" i="3"/>
  <c r="H329" i="3"/>
  <c r="E290" i="3"/>
  <c r="G340" i="3"/>
  <c r="E255" i="3"/>
  <c r="I239" i="3"/>
  <c r="J351" i="3"/>
  <c r="AK7" i="7"/>
  <c r="AK15" i="7"/>
  <c r="AK23" i="7"/>
  <c r="AK31" i="7"/>
  <c r="AK39" i="7"/>
  <c r="AK47" i="7"/>
  <c r="AK55" i="7"/>
  <c r="AK63" i="7"/>
  <c r="AK71" i="7"/>
  <c r="AK79" i="7"/>
  <c r="AK87" i="7"/>
  <c r="AK95" i="7"/>
  <c r="AK103" i="7"/>
  <c r="AK111" i="7"/>
  <c r="AK119" i="7"/>
  <c r="AK127" i="7"/>
  <c r="AK135" i="7"/>
  <c r="AK143" i="7"/>
  <c r="AK151" i="7"/>
  <c r="AK159" i="7"/>
  <c r="AK167" i="7"/>
  <c r="AK175" i="7"/>
  <c r="AK183" i="7"/>
  <c r="AK191" i="7"/>
  <c r="AK199" i="7"/>
  <c r="AK207" i="7"/>
  <c r="AK215" i="7"/>
  <c r="AK223" i="7"/>
  <c r="AK231" i="7"/>
  <c r="AK239" i="7"/>
  <c r="AK8" i="7"/>
  <c r="AK16" i="7"/>
  <c r="AK24" i="7"/>
  <c r="AK32" i="7"/>
  <c r="AK40" i="7"/>
  <c r="AK48" i="7"/>
  <c r="AK56" i="7"/>
  <c r="AK64" i="7"/>
  <c r="AK72" i="7"/>
  <c r="AK80" i="7"/>
  <c r="AK88" i="7"/>
  <c r="AK96" i="7"/>
  <c r="AK104" i="7"/>
  <c r="AK112" i="7"/>
  <c r="AK120" i="7"/>
  <c r="AK128" i="7"/>
  <c r="AK136" i="7"/>
  <c r="AK144" i="7"/>
  <c r="AK152" i="7"/>
  <c r="AK160" i="7"/>
  <c r="AK168" i="7"/>
  <c r="AK176" i="7"/>
  <c r="AK184" i="7"/>
  <c r="AK192" i="7"/>
  <c r="AK200" i="7"/>
  <c r="AK208" i="7"/>
  <c r="AK216" i="7"/>
  <c r="AK224" i="7"/>
  <c r="AK232" i="7"/>
  <c r="AK240" i="7"/>
  <c r="AK248" i="7"/>
  <c r="AK256" i="7"/>
  <c r="AK264" i="7"/>
  <c r="AK272" i="7"/>
  <c r="AK280" i="7"/>
  <c r="AK288" i="7"/>
  <c r="AK296" i="7"/>
  <c r="AK304" i="7"/>
  <c r="AK312" i="7"/>
  <c r="AK320" i="7"/>
  <c r="AK328" i="7"/>
  <c r="AK336" i="7"/>
  <c r="AK50" i="7"/>
  <c r="AK106" i="7"/>
  <c r="AK130" i="7"/>
  <c r="AK138" i="7"/>
  <c r="AK154" i="7"/>
  <c r="AK170" i="7"/>
  <c r="AK186" i="7"/>
  <c r="AK210" i="7"/>
  <c r="AK226" i="7"/>
  <c r="AK242" i="7"/>
  <c r="AK258" i="7"/>
  <c r="AK266" i="7"/>
  <c r="AK282" i="7"/>
  <c r="AK298" i="7"/>
  <c r="AK314" i="7"/>
  <c r="AK330" i="7"/>
  <c r="AK338" i="7"/>
  <c r="AK11" i="7"/>
  <c r="AK35" i="7"/>
  <c r="AK59" i="7"/>
  <c r="AK75" i="7"/>
  <c r="AK83" i="7"/>
  <c r="AK99" i="7"/>
  <c r="AK115" i="7"/>
  <c r="AK139" i="7"/>
  <c r="AK155" i="7"/>
  <c r="AK163" i="7"/>
  <c r="AK179" i="7"/>
  <c r="AK187" i="7"/>
  <c r="AK203" i="7"/>
  <c r="AK219" i="7"/>
  <c r="AK235" i="7"/>
  <c r="AK243" i="7"/>
  <c r="AK259" i="7"/>
  <c r="AK275" i="7"/>
  <c r="AK9" i="7"/>
  <c r="AK17" i="7"/>
  <c r="AK25" i="7"/>
  <c r="AK33" i="7"/>
  <c r="AK41" i="7"/>
  <c r="AK49" i="7"/>
  <c r="AK57" i="7"/>
  <c r="AK65" i="7"/>
  <c r="AK73" i="7"/>
  <c r="AK81" i="7"/>
  <c r="AK89" i="7"/>
  <c r="AK97" i="7"/>
  <c r="AK105" i="7"/>
  <c r="AK113" i="7"/>
  <c r="AK121" i="7"/>
  <c r="AK129" i="7"/>
  <c r="AK137" i="7"/>
  <c r="AK145" i="7"/>
  <c r="AK153" i="7"/>
  <c r="AK161" i="7"/>
  <c r="AK169" i="7"/>
  <c r="AK177" i="7"/>
  <c r="AK185" i="7"/>
  <c r="AK193" i="7"/>
  <c r="AK201" i="7"/>
  <c r="AK209" i="7"/>
  <c r="AK217" i="7"/>
  <c r="AK225" i="7"/>
  <c r="AK233" i="7"/>
  <c r="AK241" i="7"/>
  <c r="AK249" i="7"/>
  <c r="AK257" i="7"/>
  <c r="AK265" i="7"/>
  <c r="AK273" i="7"/>
  <c r="AK281" i="7"/>
  <c r="AK289" i="7"/>
  <c r="AK297" i="7"/>
  <c r="AK305" i="7"/>
  <c r="AK313" i="7"/>
  <c r="AK321" i="7"/>
  <c r="AK329" i="7"/>
  <c r="AK337" i="7"/>
  <c r="AK10" i="7"/>
  <c r="AK18" i="7"/>
  <c r="AK26" i="7"/>
  <c r="AK34" i="7"/>
  <c r="AK42" i="7"/>
  <c r="AK58" i="7"/>
  <c r="AK66" i="7"/>
  <c r="AK74" i="7"/>
  <c r="AK82" i="7"/>
  <c r="AK90" i="7"/>
  <c r="AK98" i="7"/>
  <c r="AK114" i="7"/>
  <c r="AK122" i="7"/>
  <c r="AK146" i="7"/>
  <c r="AK162" i="7"/>
  <c r="AK178" i="7"/>
  <c r="AK194" i="7"/>
  <c r="AK202" i="7"/>
  <c r="AK218" i="7"/>
  <c r="AK234" i="7"/>
  <c r="AK250" i="7"/>
  <c r="AK274" i="7"/>
  <c r="AK290" i="7"/>
  <c r="AK306" i="7"/>
  <c r="AK322" i="7"/>
  <c r="AK3" i="7"/>
  <c r="AK19" i="7"/>
  <c r="AK27" i="7"/>
  <c r="AK43" i="7"/>
  <c r="AK51" i="7"/>
  <c r="AK67" i="7"/>
  <c r="AK91" i="7"/>
  <c r="AK107" i="7"/>
  <c r="AK123" i="7"/>
  <c r="AK131" i="7"/>
  <c r="AK147" i="7"/>
  <c r="AK171" i="7"/>
  <c r="AK195" i="7"/>
  <c r="AK211" i="7"/>
  <c r="AK227" i="7"/>
  <c r="AK251" i="7"/>
  <c r="AK267" i="7"/>
  <c r="AK4" i="7"/>
  <c r="AK22" i="7"/>
  <c r="AK45" i="7"/>
  <c r="AK68" i="7"/>
  <c r="AK86" i="7"/>
  <c r="AK109" i="7"/>
  <c r="AK132" i="7"/>
  <c r="AK150" i="7"/>
  <c r="AK173" i="7"/>
  <c r="AK196" i="7"/>
  <c r="AK214" i="7"/>
  <c r="AK237" i="7"/>
  <c r="AK254" i="7"/>
  <c r="AK270" i="7"/>
  <c r="AK285" i="7"/>
  <c r="AK299" i="7"/>
  <c r="AK310" i="7"/>
  <c r="AK324" i="7"/>
  <c r="AK335" i="7"/>
  <c r="AK36" i="7"/>
  <c r="AK100" i="7"/>
  <c r="AK164" i="7"/>
  <c r="AK228" i="7"/>
  <c r="AK292" i="7"/>
  <c r="AK323" i="7"/>
  <c r="AK5" i="7"/>
  <c r="AK28" i="7"/>
  <c r="AK46" i="7"/>
  <c r="AK69" i="7"/>
  <c r="AK92" i="7"/>
  <c r="AK110" i="7"/>
  <c r="AK133" i="7"/>
  <c r="AK156" i="7"/>
  <c r="AK174" i="7"/>
  <c r="AK197" i="7"/>
  <c r="AK220" i="7"/>
  <c r="AK238" i="7"/>
  <c r="AK255" i="7"/>
  <c r="AK271" i="7"/>
  <c r="AK286" i="7"/>
  <c r="AK300" i="7"/>
  <c r="AK311" i="7"/>
  <c r="AK325" i="7"/>
  <c r="AK77" i="7"/>
  <c r="AK118" i="7"/>
  <c r="AK205" i="7"/>
  <c r="AK278" i="7"/>
  <c r="AK331" i="7"/>
  <c r="AK6" i="7"/>
  <c r="AK29" i="7"/>
  <c r="AK52" i="7"/>
  <c r="AK70" i="7"/>
  <c r="AK93" i="7"/>
  <c r="AK116" i="7"/>
  <c r="AK134" i="7"/>
  <c r="AK157" i="7"/>
  <c r="AK180" i="7"/>
  <c r="AK198" i="7"/>
  <c r="AK221" i="7"/>
  <c r="AK244" i="7"/>
  <c r="AK260" i="7"/>
  <c r="AK276" i="7"/>
  <c r="AK287" i="7"/>
  <c r="AK301" i="7"/>
  <c r="AK315" i="7"/>
  <c r="AK326" i="7"/>
  <c r="AK54" i="7"/>
  <c r="AK182" i="7"/>
  <c r="AK262" i="7"/>
  <c r="AK317" i="7"/>
  <c r="AK12" i="7"/>
  <c r="AK30" i="7"/>
  <c r="AK53" i="7"/>
  <c r="AK76" i="7"/>
  <c r="AK94" i="7"/>
  <c r="AK117" i="7"/>
  <c r="AK140" i="7"/>
  <c r="AK158" i="7"/>
  <c r="AK181" i="7"/>
  <c r="AK204" i="7"/>
  <c r="AK222" i="7"/>
  <c r="AK245" i="7"/>
  <c r="AK261" i="7"/>
  <c r="AK277" i="7"/>
  <c r="AK291" i="7"/>
  <c r="AK302" i="7"/>
  <c r="AK316" i="7"/>
  <c r="AK327" i="7"/>
  <c r="AK13" i="7"/>
  <c r="AK141" i="7"/>
  <c r="AK246" i="7"/>
  <c r="AK303" i="7"/>
  <c r="AK14" i="7"/>
  <c r="AK37" i="7"/>
  <c r="AK60" i="7"/>
  <c r="AK78" i="7"/>
  <c r="AK101" i="7"/>
  <c r="AK124" i="7"/>
  <c r="AK142" i="7"/>
  <c r="AK165" i="7"/>
  <c r="AK188" i="7"/>
  <c r="AK206" i="7"/>
  <c r="AK229" i="7"/>
  <c r="AK247" i="7"/>
  <c r="AK263" i="7"/>
  <c r="AK279" i="7"/>
  <c r="AK293" i="7"/>
  <c r="AK307" i="7"/>
  <c r="AK318" i="7"/>
  <c r="AK332" i="7"/>
  <c r="AK44" i="7"/>
  <c r="AK126" i="7"/>
  <c r="AK190" i="7"/>
  <c r="AK236" i="7"/>
  <c r="AK269" i="7"/>
  <c r="AK295" i="7"/>
  <c r="AK334" i="7"/>
  <c r="AK20" i="7"/>
  <c r="AK38" i="7"/>
  <c r="AK61" i="7"/>
  <c r="AK84" i="7"/>
  <c r="AK102" i="7"/>
  <c r="AK125" i="7"/>
  <c r="AK148" i="7"/>
  <c r="AK166" i="7"/>
  <c r="AK189" i="7"/>
  <c r="AK212" i="7"/>
  <c r="AK230" i="7"/>
  <c r="AK252" i="7"/>
  <c r="AK268" i="7"/>
  <c r="AK283" i="7"/>
  <c r="AK294" i="7"/>
  <c r="AK308" i="7"/>
  <c r="AK319" i="7"/>
  <c r="AK333" i="7"/>
  <c r="AK21" i="7"/>
  <c r="AK62" i="7"/>
  <c r="AK85" i="7"/>
  <c r="AK108" i="7"/>
  <c r="AK149" i="7"/>
  <c r="AK172" i="7"/>
  <c r="AK213" i="7"/>
  <c r="AK253" i="7"/>
  <c r="AK284" i="7"/>
  <c r="AK309" i="7"/>
  <c r="R2" i="3"/>
  <c r="U2" i="3"/>
  <c r="S2" i="3"/>
  <c r="T2" i="3"/>
  <c r="B227" i="7"/>
  <c r="C227" i="7"/>
  <c r="K227" i="7"/>
  <c r="S227" i="7"/>
  <c r="I228" i="7"/>
  <c r="Q228" i="7"/>
  <c r="Y228" i="7"/>
  <c r="G229" i="7"/>
  <c r="O229" i="7"/>
  <c r="W229" i="7"/>
  <c r="E230" i="7"/>
  <c r="M230" i="7"/>
  <c r="U230" i="7"/>
  <c r="C231" i="7"/>
  <c r="K231" i="7"/>
  <c r="S231" i="7"/>
  <c r="I232" i="7"/>
  <c r="Q232" i="7"/>
  <c r="Y232" i="7"/>
  <c r="G233" i="7"/>
  <c r="O233" i="7"/>
  <c r="W233" i="7"/>
  <c r="E234" i="7"/>
  <c r="M234" i="7"/>
  <c r="U234" i="7"/>
  <c r="C235" i="7"/>
  <c r="K235" i="7"/>
  <c r="S235" i="7"/>
  <c r="I236" i="7"/>
  <c r="Q236" i="7"/>
  <c r="Y236" i="7"/>
  <c r="G237" i="7"/>
  <c r="O237" i="7"/>
  <c r="W237" i="7"/>
  <c r="E238" i="7"/>
  <c r="M238" i="7"/>
  <c r="U238" i="7"/>
  <c r="C239" i="7"/>
  <c r="K239" i="7"/>
  <c r="S239" i="7"/>
  <c r="I240" i="7"/>
  <c r="Q240" i="7"/>
  <c r="Y240" i="7"/>
  <c r="G241" i="7"/>
  <c r="O241" i="7"/>
  <c r="W241" i="7"/>
  <c r="E242" i="7"/>
  <c r="M242" i="7"/>
  <c r="U242" i="7"/>
  <c r="C243" i="7"/>
  <c r="K243" i="7"/>
  <c r="S243" i="7"/>
  <c r="I244" i="7"/>
  <c r="Q244" i="7"/>
  <c r="Y244" i="7"/>
  <c r="G245" i="7"/>
  <c r="O245" i="7"/>
  <c r="W245" i="7"/>
  <c r="E246" i="7"/>
  <c r="M246" i="7"/>
  <c r="U246" i="7"/>
  <c r="L227" i="7"/>
  <c r="T227" i="7"/>
  <c r="B228" i="7"/>
  <c r="J228" i="7"/>
  <c r="R228" i="7"/>
  <c r="Z228" i="7"/>
  <c r="AJ228" i="7"/>
  <c r="H229" i="7"/>
  <c r="P229" i="7"/>
  <c r="X229" i="7"/>
  <c r="F230" i="7"/>
  <c r="V230" i="7"/>
  <c r="L231" i="7"/>
  <c r="T231" i="7"/>
  <c r="B232" i="7"/>
  <c r="J232" i="7"/>
  <c r="R232" i="7"/>
  <c r="Z232" i="7"/>
  <c r="AJ232" i="7"/>
  <c r="H233" i="7"/>
  <c r="P233" i="7"/>
  <c r="X233" i="7"/>
  <c r="F234" i="7"/>
  <c r="V234" i="7"/>
  <c r="L235" i="7"/>
  <c r="T235" i="7"/>
  <c r="B236" i="7"/>
  <c r="J236" i="7"/>
  <c r="R236" i="7"/>
  <c r="Z236" i="7"/>
  <c r="AJ236" i="7"/>
  <c r="H237" i="7"/>
  <c r="P237" i="7"/>
  <c r="X237" i="7"/>
  <c r="F238" i="7"/>
  <c r="V238" i="7"/>
  <c r="L239" i="7"/>
  <c r="T239" i="7"/>
  <c r="B240" i="7"/>
  <c r="J240" i="7"/>
  <c r="R240" i="7"/>
  <c r="Z240" i="7"/>
  <c r="AJ240" i="7"/>
  <c r="H241" i="7"/>
  <c r="P241" i="7"/>
  <c r="X241" i="7"/>
  <c r="F242" i="7"/>
  <c r="V242" i="7"/>
  <c r="L243" i="7"/>
  <c r="T243" i="7"/>
  <c r="B244" i="7"/>
  <c r="J244" i="7"/>
  <c r="R244" i="7"/>
  <c r="Z244" i="7"/>
  <c r="AJ244" i="7"/>
  <c r="H245" i="7"/>
  <c r="P245" i="7"/>
  <c r="X245" i="7"/>
  <c r="F246" i="7"/>
  <c r="V246" i="7"/>
  <c r="E227" i="7"/>
  <c r="F227" i="7"/>
  <c r="V227" i="7"/>
  <c r="L228" i="7"/>
  <c r="T228" i="7"/>
  <c r="B229" i="7"/>
  <c r="J229" i="7"/>
  <c r="R229" i="7"/>
  <c r="Z229" i="7"/>
  <c r="AJ229" i="7"/>
  <c r="H230" i="7"/>
  <c r="P230" i="7"/>
  <c r="X230" i="7"/>
  <c r="F231" i="7"/>
  <c r="V231" i="7"/>
  <c r="L232" i="7"/>
  <c r="T232" i="7"/>
  <c r="B233" i="7"/>
  <c r="J233" i="7"/>
  <c r="R233" i="7"/>
  <c r="Z233" i="7"/>
  <c r="AJ233" i="7"/>
  <c r="H234" i="7"/>
  <c r="P234" i="7"/>
  <c r="X234" i="7"/>
  <c r="F235" i="7"/>
  <c r="V235" i="7"/>
  <c r="L236" i="7"/>
  <c r="T236" i="7"/>
  <c r="B237" i="7"/>
  <c r="J237" i="7"/>
  <c r="R237" i="7"/>
  <c r="Z237" i="7"/>
  <c r="AJ237" i="7"/>
  <c r="H238" i="7"/>
  <c r="P238" i="7"/>
  <c r="X238" i="7"/>
  <c r="F239" i="7"/>
  <c r="V239" i="7"/>
  <c r="L240" i="7"/>
  <c r="T240" i="7"/>
  <c r="B241" i="7"/>
  <c r="J241" i="7"/>
  <c r="R241" i="7"/>
  <c r="Z241" i="7"/>
  <c r="AJ241" i="7"/>
  <c r="H242" i="7"/>
  <c r="P242" i="7"/>
  <c r="X242" i="7"/>
  <c r="F243" i="7"/>
  <c r="V243" i="7"/>
  <c r="L244" i="7"/>
  <c r="T244" i="7"/>
  <c r="B245" i="7"/>
  <c r="J245" i="7"/>
  <c r="R245" i="7"/>
  <c r="Z245" i="7"/>
  <c r="AJ245" i="7"/>
  <c r="H246" i="7"/>
  <c r="P246" i="7"/>
  <c r="X246" i="7"/>
  <c r="G227" i="7"/>
  <c r="O227" i="7"/>
  <c r="W227" i="7"/>
  <c r="E228" i="7"/>
  <c r="M228" i="7"/>
  <c r="U228" i="7"/>
  <c r="C229" i="7"/>
  <c r="K229" i="7"/>
  <c r="S229" i="7"/>
  <c r="I230" i="7"/>
  <c r="Q230" i="7"/>
  <c r="Y230" i="7"/>
  <c r="G231" i="7"/>
  <c r="O231" i="7"/>
  <c r="W231" i="7"/>
  <c r="E232" i="7"/>
  <c r="M232" i="7"/>
  <c r="U232" i="7"/>
  <c r="C233" i="7"/>
  <c r="K233" i="7"/>
  <c r="S233" i="7"/>
  <c r="I234" i="7"/>
  <c r="Q234" i="7"/>
  <c r="Y234" i="7"/>
  <c r="G235" i="7"/>
  <c r="O235" i="7"/>
  <c r="W235" i="7"/>
  <c r="E236" i="7"/>
  <c r="M236" i="7"/>
  <c r="U236" i="7"/>
  <c r="C237" i="7"/>
  <c r="K237" i="7"/>
  <c r="S237" i="7"/>
  <c r="I238" i="7"/>
  <c r="Q238" i="7"/>
  <c r="Y238" i="7"/>
  <c r="G239" i="7"/>
  <c r="O239" i="7"/>
  <c r="W239" i="7"/>
  <c r="E240" i="7"/>
  <c r="M240" i="7"/>
  <c r="U240" i="7"/>
  <c r="C241" i="7"/>
  <c r="K241" i="7"/>
  <c r="S241" i="7"/>
  <c r="I242" i="7"/>
  <c r="Q242" i="7"/>
  <c r="Y242" i="7"/>
  <c r="G243" i="7"/>
  <c r="O243" i="7"/>
  <c r="W243" i="7"/>
  <c r="E244" i="7"/>
  <c r="M244" i="7"/>
  <c r="U244" i="7"/>
  <c r="C245" i="7"/>
  <c r="K245" i="7"/>
  <c r="S245" i="7"/>
  <c r="I246" i="7"/>
  <c r="Q246" i="7"/>
  <c r="Y246" i="7"/>
  <c r="H227" i="7"/>
  <c r="P227" i="7"/>
  <c r="X227" i="7"/>
  <c r="F228" i="7"/>
  <c r="V228" i="7"/>
  <c r="L229" i="7"/>
  <c r="T229" i="7"/>
  <c r="B230" i="7"/>
  <c r="J230" i="7"/>
  <c r="R230" i="7"/>
  <c r="Z230" i="7"/>
  <c r="AJ230" i="7"/>
  <c r="H231" i="7"/>
  <c r="P231" i="7"/>
  <c r="X231" i="7"/>
  <c r="F232" i="7"/>
  <c r="V232" i="7"/>
  <c r="L233" i="7"/>
  <c r="T233" i="7"/>
  <c r="B234" i="7"/>
  <c r="J234" i="7"/>
  <c r="R234" i="7"/>
  <c r="Z234" i="7"/>
  <c r="AJ234" i="7"/>
  <c r="H235" i="7"/>
  <c r="P235" i="7"/>
  <c r="X235" i="7"/>
  <c r="F236" i="7"/>
  <c r="V236" i="7"/>
  <c r="L237" i="7"/>
  <c r="T237" i="7"/>
  <c r="B238" i="7"/>
  <c r="J238" i="7"/>
  <c r="R238" i="7"/>
  <c r="Z238" i="7"/>
  <c r="AJ238" i="7"/>
  <c r="H239" i="7"/>
  <c r="P239" i="7"/>
  <c r="X239" i="7"/>
  <c r="F240" i="7"/>
  <c r="V240" i="7"/>
  <c r="L241" i="7"/>
  <c r="T241" i="7"/>
  <c r="B242" i="7"/>
  <c r="J242" i="7"/>
  <c r="R242" i="7"/>
  <c r="Z242" i="7"/>
  <c r="AJ242" i="7"/>
  <c r="H243" i="7"/>
  <c r="P243" i="7"/>
  <c r="X243" i="7"/>
  <c r="F244" i="7"/>
  <c r="V244" i="7"/>
  <c r="L245" i="7"/>
  <c r="T245" i="7"/>
  <c r="B246" i="7"/>
  <c r="J246" i="7"/>
  <c r="R246" i="7"/>
  <c r="Z246" i="7"/>
  <c r="AJ246" i="7"/>
  <c r="I227" i="7"/>
  <c r="Q227" i="7"/>
  <c r="Y227" i="7"/>
  <c r="G228" i="7"/>
  <c r="O228" i="7"/>
  <c r="W228" i="7"/>
  <c r="E229" i="7"/>
  <c r="M229" i="7"/>
  <c r="U229" i="7"/>
  <c r="C230" i="7"/>
  <c r="K230" i="7"/>
  <c r="S230" i="7"/>
  <c r="I231" i="7"/>
  <c r="Q231" i="7"/>
  <c r="Y231" i="7"/>
  <c r="G232" i="7"/>
  <c r="O232" i="7"/>
  <c r="W232" i="7"/>
  <c r="E233" i="7"/>
  <c r="M233" i="7"/>
  <c r="U233" i="7"/>
  <c r="C234" i="7"/>
  <c r="K234" i="7"/>
  <c r="S234" i="7"/>
  <c r="I235" i="7"/>
  <c r="Q235" i="7"/>
  <c r="Y235" i="7"/>
  <c r="G236" i="7"/>
  <c r="O236" i="7"/>
  <c r="W236" i="7"/>
  <c r="E237" i="7"/>
  <c r="M237" i="7"/>
  <c r="U237" i="7"/>
  <c r="C238" i="7"/>
  <c r="K238" i="7"/>
  <c r="S238" i="7"/>
  <c r="I239" i="7"/>
  <c r="Q239" i="7"/>
  <c r="Y239" i="7"/>
  <c r="G240" i="7"/>
  <c r="O240" i="7"/>
  <c r="W240" i="7"/>
  <c r="E241" i="7"/>
  <c r="M241" i="7"/>
  <c r="U241" i="7"/>
  <c r="C242" i="7"/>
  <c r="K242" i="7"/>
  <c r="S242" i="7"/>
  <c r="I243" i="7"/>
  <c r="Q243" i="7"/>
  <c r="Y243" i="7"/>
  <c r="G244" i="7"/>
  <c r="O244" i="7"/>
  <c r="W244" i="7"/>
  <c r="E245" i="7"/>
  <c r="M245" i="7"/>
  <c r="U245" i="7"/>
  <c r="C246" i="7"/>
  <c r="K246" i="7"/>
  <c r="S246" i="7"/>
  <c r="J227" i="7"/>
  <c r="H228" i="7"/>
  <c r="F229" i="7"/>
  <c r="B231" i="7"/>
  <c r="AJ231" i="7"/>
  <c r="Z235" i="7"/>
  <c r="X236" i="7"/>
  <c r="V237" i="7"/>
  <c r="T238" i="7"/>
  <c r="R239" i="7"/>
  <c r="P240" i="7"/>
  <c r="L242" i="7"/>
  <c r="J243" i="7"/>
  <c r="H244" i="7"/>
  <c r="F245" i="7"/>
  <c r="B247" i="7"/>
  <c r="J247" i="7"/>
  <c r="R247" i="7"/>
  <c r="Z247" i="7"/>
  <c r="AJ247" i="7"/>
  <c r="H248" i="7"/>
  <c r="P248" i="7"/>
  <c r="X248" i="7"/>
  <c r="F249" i="7"/>
  <c r="V249" i="7"/>
  <c r="L250" i="7"/>
  <c r="T250" i="7"/>
  <c r="B251" i="7"/>
  <c r="J251" i="7"/>
  <c r="R251" i="7"/>
  <c r="Z251" i="7"/>
  <c r="AJ251" i="7"/>
  <c r="H252" i="7"/>
  <c r="P252" i="7"/>
  <c r="X252" i="7"/>
  <c r="F253" i="7"/>
  <c r="V253" i="7"/>
  <c r="L254" i="7"/>
  <c r="T254" i="7"/>
  <c r="B255" i="7"/>
  <c r="J255" i="7"/>
  <c r="R255" i="7"/>
  <c r="Z255" i="7"/>
  <c r="AJ255" i="7"/>
  <c r="H256" i="7"/>
  <c r="P256" i="7"/>
  <c r="X256" i="7"/>
  <c r="F257" i="7"/>
  <c r="V257" i="7"/>
  <c r="L258" i="7"/>
  <c r="T258" i="7"/>
  <c r="B259" i="7"/>
  <c r="J259" i="7"/>
  <c r="R259" i="7"/>
  <c r="Z259" i="7"/>
  <c r="AJ259" i="7"/>
  <c r="H260" i="7"/>
  <c r="P260" i="7"/>
  <c r="X260" i="7"/>
  <c r="F261" i="7"/>
  <c r="V261" i="7"/>
  <c r="M227" i="7"/>
  <c r="K228" i="7"/>
  <c r="I229" i="7"/>
  <c r="G230" i="7"/>
  <c r="E231" i="7"/>
  <c r="C232" i="7"/>
  <c r="Y237" i="7"/>
  <c r="W238" i="7"/>
  <c r="U239" i="7"/>
  <c r="S240" i="7"/>
  <c r="Q241" i="7"/>
  <c r="O242" i="7"/>
  <c r="M243" i="7"/>
  <c r="K244" i="7"/>
  <c r="I245" i="7"/>
  <c r="G246" i="7"/>
  <c r="C247" i="7"/>
  <c r="K247" i="7"/>
  <c r="S247" i="7"/>
  <c r="I248" i="7"/>
  <c r="Q248" i="7"/>
  <c r="Y248" i="7"/>
  <c r="G249" i="7"/>
  <c r="O249" i="7"/>
  <c r="W249" i="7"/>
  <c r="E250" i="7"/>
  <c r="M250" i="7"/>
  <c r="U250" i="7"/>
  <c r="C251" i="7"/>
  <c r="K251" i="7"/>
  <c r="S251" i="7"/>
  <c r="I252" i="7"/>
  <c r="Q252" i="7"/>
  <c r="Y252" i="7"/>
  <c r="G253" i="7"/>
  <c r="O253" i="7"/>
  <c r="W253" i="7"/>
  <c r="E254" i="7"/>
  <c r="M254" i="7"/>
  <c r="U254" i="7"/>
  <c r="C255" i="7"/>
  <c r="K255" i="7"/>
  <c r="S255" i="7"/>
  <c r="I256" i="7"/>
  <c r="Q256" i="7"/>
  <c r="Y256" i="7"/>
  <c r="G257" i="7"/>
  <c r="O257" i="7"/>
  <c r="W257" i="7"/>
  <c r="E258" i="7"/>
  <c r="M258" i="7"/>
  <c r="U258" i="7"/>
  <c r="C259" i="7"/>
  <c r="K259" i="7"/>
  <c r="S259" i="7"/>
  <c r="I260" i="7"/>
  <c r="Q260" i="7"/>
  <c r="Y260" i="7"/>
  <c r="G261" i="7"/>
  <c r="O261" i="7"/>
  <c r="W261" i="7"/>
  <c r="E262" i="7"/>
  <c r="R227" i="7"/>
  <c r="P228" i="7"/>
  <c r="L230" i="7"/>
  <c r="J231" i="7"/>
  <c r="H232" i="7"/>
  <c r="F233" i="7"/>
  <c r="B235" i="7"/>
  <c r="AJ235" i="7"/>
  <c r="Z239" i="7"/>
  <c r="X240" i="7"/>
  <c r="V241" i="7"/>
  <c r="T242" i="7"/>
  <c r="R243" i="7"/>
  <c r="P244" i="7"/>
  <c r="L246" i="7"/>
  <c r="L247" i="7"/>
  <c r="T247" i="7"/>
  <c r="B248" i="7"/>
  <c r="J248" i="7"/>
  <c r="R248" i="7"/>
  <c r="Z248" i="7"/>
  <c r="AJ248" i="7"/>
  <c r="H249" i="7"/>
  <c r="P249" i="7"/>
  <c r="X249" i="7"/>
  <c r="F250" i="7"/>
  <c r="V250" i="7"/>
  <c r="L251" i="7"/>
  <c r="T251" i="7"/>
  <c r="B252" i="7"/>
  <c r="J252" i="7"/>
  <c r="R252" i="7"/>
  <c r="Z252" i="7"/>
  <c r="AJ252" i="7"/>
  <c r="H253" i="7"/>
  <c r="P253" i="7"/>
  <c r="X253" i="7"/>
  <c r="F254" i="7"/>
  <c r="V254" i="7"/>
  <c r="L255" i="7"/>
  <c r="T255" i="7"/>
  <c r="B256" i="7"/>
  <c r="J256" i="7"/>
  <c r="R256" i="7"/>
  <c r="Z256" i="7"/>
  <c r="AJ256" i="7"/>
  <c r="H257" i="7"/>
  <c r="P257" i="7"/>
  <c r="X257" i="7"/>
  <c r="F258" i="7"/>
  <c r="V258" i="7"/>
  <c r="L259" i="7"/>
  <c r="T259" i="7"/>
  <c r="B260" i="7"/>
  <c r="J260" i="7"/>
  <c r="R260" i="7"/>
  <c r="Z260" i="7"/>
  <c r="AJ260" i="7"/>
  <c r="H261" i="7"/>
  <c r="P261" i="7"/>
  <c r="X261" i="7"/>
  <c r="U227" i="7"/>
  <c r="S228" i="7"/>
  <c r="Q229" i="7"/>
  <c r="O230" i="7"/>
  <c r="M231" i="7"/>
  <c r="K232" i="7"/>
  <c r="I233" i="7"/>
  <c r="G234" i="7"/>
  <c r="E235" i="7"/>
  <c r="C236" i="7"/>
  <c r="Y241" i="7"/>
  <c r="W242" i="7"/>
  <c r="U243" i="7"/>
  <c r="S244" i="7"/>
  <c r="Q245" i="7"/>
  <c r="O246" i="7"/>
  <c r="E247" i="7"/>
  <c r="M247" i="7"/>
  <c r="U247" i="7"/>
  <c r="C248" i="7"/>
  <c r="K248" i="7"/>
  <c r="S248" i="7"/>
  <c r="I249" i="7"/>
  <c r="Q249" i="7"/>
  <c r="Y249" i="7"/>
  <c r="G250" i="7"/>
  <c r="O250" i="7"/>
  <c r="W250" i="7"/>
  <c r="E251" i="7"/>
  <c r="M251" i="7"/>
  <c r="U251" i="7"/>
  <c r="C252" i="7"/>
  <c r="K252" i="7"/>
  <c r="S252" i="7"/>
  <c r="I253" i="7"/>
  <c r="Q253" i="7"/>
  <c r="Y253" i="7"/>
  <c r="G254" i="7"/>
  <c r="O254" i="7"/>
  <c r="W254" i="7"/>
  <c r="E255" i="7"/>
  <c r="M255" i="7"/>
  <c r="U255" i="7"/>
  <c r="C256" i="7"/>
  <c r="K256" i="7"/>
  <c r="S256" i="7"/>
  <c r="I257" i="7"/>
  <c r="Q257" i="7"/>
  <c r="Y257" i="7"/>
  <c r="G258" i="7"/>
  <c r="O258" i="7"/>
  <c r="W258" i="7"/>
  <c r="E259" i="7"/>
  <c r="M259" i="7"/>
  <c r="U259" i="7"/>
  <c r="C260" i="7"/>
  <c r="K260" i="7"/>
  <c r="S260" i="7"/>
  <c r="Z227" i="7"/>
  <c r="X228" i="7"/>
  <c r="V229" i="7"/>
  <c r="T230" i="7"/>
  <c r="R231" i="7"/>
  <c r="P232" i="7"/>
  <c r="L234" i="7"/>
  <c r="J235" i="7"/>
  <c r="H236" i="7"/>
  <c r="F237" i="7"/>
  <c r="B239" i="7"/>
  <c r="AJ239" i="7"/>
  <c r="Z243" i="7"/>
  <c r="X244" i="7"/>
  <c r="V245" i="7"/>
  <c r="T246" i="7"/>
  <c r="F247" i="7"/>
  <c r="V247" i="7"/>
  <c r="L248" i="7"/>
  <c r="T248" i="7"/>
  <c r="B249" i="7"/>
  <c r="J249" i="7"/>
  <c r="R249" i="7"/>
  <c r="Z249" i="7"/>
  <c r="AJ249" i="7"/>
  <c r="H250" i="7"/>
  <c r="P250" i="7"/>
  <c r="X250" i="7"/>
  <c r="F251" i="7"/>
  <c r="V251" i="7"/>
  <c r="L252" i="7"/>
  <c r="T252" i="7"/>
  <c r="B253" i="7"/>
  <c r="J253" i="7"/>
  <c r="R253" i="7"/>
  <c r="Z253" i="7"/>
  <c r="AJ253" i="7"/>
  <c r="H254" i="7"/>
  <c r="P254" i="7"/>
  <c r="X254" i="7"/>
  <c r="F255" i="7"/>
  <c r="V255" i="7"/>
  <c r="L256" i="7"/>
  <c r="T256" i="7"/>
  <c r="B257" i="7"/>
  <c r="J257" i="7"/>
  <c r="R257" i="7"/>
  <c r="Z257" i="7"/>
  <c r="AJ257" i="7"/>
  <c r="H258" i="7"/>
  <c r="P258" i="7"/>
  <c r="X258" i="7"/>
  <c r="F259" i="7"/>
  <c r="V259" i="7"/>
  <c r="L260" i="7"/>
  <c r="T260" i="7"/>
  <c r="B261" i="7"/>
  <c r="J261" i="7"/>
  <c r="R261" i="7"/>
  <c r="Z261" i="7"/>
  <c r="Y229" i="7"/>
  <c r="W230" i="7"/>
  <c r="U231" i="7"/>
  <c r="S232" i="7"/>
  <c r="Q233" i="7"/>
  <c r="O234" i="7"/>
  <c r="M235" i="7"/>
  <c r="K236" i="7"/>
  <c r="I237" i="7"/>
  <c r="G238" i="7"/>
  <c r="E239" i="7"/>
  <c r="C240" i="7"/>
  <c r="Y245" i="7"/>
  <c r="W246" i="7"/>
  <c r="G247" i="7"/>
  <c r="O247" i="7"/>
  <c r="W247" i="7"/>
  <c r="E248" i="7"/>
  <c r="M248" i="7"/>
  <c r="U248" i="7"/>
  <c r="C249" i="7"/>
  <c r="K249" i="7"/>
  <c r="S249" i="7"/>
  <c r="I250" i="7"/>
  <c r="Q250" i="7"/>
  <c r="Y250" i="7"/>
  <c r="G251" i="7"/>
  <c r="O251" i="7"/>
  <c r="W251" i="7"/>
  <c r="E252" i="7"/>
  <c r="M252" i="7"/>
  <c r="U252" i="7"/>
  <c r="C253" i="7"/>
  <c r="K253" i="7"/>
  <c r="S253" i="7"/>
  <c r="I254" i="7"/>
  <c r="Q254" i="7"/>
  <c r="Y254" i="7"/>
  <c r="G255" i="7"/>
  <c r="O255" i="7"/>
  <c r="W255" i="7"/>
  <c r="E256" i="7"/>
  <c r="M256" i="7"/>
  <c r="U256" i="7"/>
  <c r="C257" i="7"/>
  <c r="K257" i="7"/>
  <c r="S257" i="7"/>
  <c r="I258" i="7"/>
  <c r="Q258" i="7"/>
  <c r="Y258" i="7"/>
  <c r="G259" i="7"/>
  <c r="O259" i="7"/>
  <c r="W259" i="7"/>
  <c r="E260" i="7"/>
  <c r="M260" i="7"/>
  <c r="U260" i="7"/>
  <c r="AJ227" i="7"/>
  <c r="Z231" i="7"/>
  <c r="R235" i="7"/>
  <c r="J239" i="7"/>
  <c r="B243" i="7"/>
  <c r="Z250" i="7"/>
  <c r="X251" i="7"/>
  <c r="V252" i="7"/>
  <c r="T253" i="7"/>
  <c r="R254" i="7"/>
  <c r="P255" i="7"/>
  <c r="L257" i="7"/>
  <c r="J258" i="7"/>
  <c r="H259" i="7"/>
  <c r="F260" i="7"/>
  <c r="C261" i="7"/>
  <c r="S261" i="7"/>
  <c r="H262" i="7"/>
  <c r="P262" i="7"/>
  <c r="X262" i="7"/>
  <c r="F263" i="7"/>
  <c r="V263" i="7"/>
  <c r="L264" i="7"/>
  <c r="T264" i="7"/>
  <c r="B265" i="7"/>
  <c r="J265" i="7"/>
  <c r="R265" i="7"/>
  <c r="Z265" i="7"/>
  <c r="AJ265" i="7"/>
  <c r="H266" i="7"/>
  <c r="P266" i="7"/>
  <c r="X266" i="7"/>
  <c r="F267" i="7"/>
  <c r="V267" i="7"/>
  <c r="L268" i="7"/>
  <c r="T268" i="7"/>
  <c r="B269" i="7"/>
  <c r="J269" i="7"/>
  <c r="R269" i="7"/>
  <c r="Z269" i="7"/>
  <c r="AJ269" i="7"/>
  <c r="H270" i="7"/>
  <c r="P270" i="7"/>
  <c r="X270" i="7"/>
  <c r="F271" i="7"/>
  <c r="V271" i="7"/>
  <c r="L272" i="7"/>
  <c r="T272" i="7"/>
  <c r="B273" i="7"/>
  <c r="J273" i="7"/>
  <c r="R273" i="7"/>
  <c r="Z273" i="7"/>
  <c r="AJ273" i="7"/>
  <c r="H274" i="7"/>
  <c r="P274" i="7"/>
  <c r="X274" i="7"/>
  <c r="F275" i="7"/>
  <c r="V275" i="7"/>
  <c r="L276" i="7"/>
  <c r="T276" i="7"/>
  <c r="B277" i="7"/>
  <c r="J277" i="7"/>
  <c r="R277" i="7"/>
  <c r="Z277" i="7"/>
  <c r="C228" i="7"/>
  <c r="U235" i="7"/>
  <c r="M239" i="7"/>
  <c r="E243" i="7"/>
  <c r="Y251" i="7"/>
  <c r="W252" i="7"/>
  <c r="U253" i="7"/>
  <c r="S254" i="7"/>
  <c r="Q255" i="7"/>
  <c r="O256" i="7"/>
  <c r="M257" i="7"/>
  <c r="K258" i="7"/>
  <c r="I259" i="7"/>
  <c r="G260" i="7"/>
  <c r="T261" i="7"/>
  <c r="AJ261" i="7"/>
  <c r="I262" i="7"/>
  <c r="Q262" i="7"/>
  <c r="Y262" i="7"/>
  <c r="G263" i="7"/>
  <c r="O263" i="7"/>
  <c r="W263" i="7"/>
  <c r="E264" i="7"/>
  <c r="M264" i="7"/>
  <c r="U264" i="7"/>
  <c r="C265" i="7"/>
  <c r="K265" i="7"/>
  <c r="S265" i="7"/>
  <c r="I266" i="7"/>
  <c r="Q266" i="7"/>
  <c r="Y266" i="7"/>
  <c r="G267" i="7"/>
  <c r="O267" i="7"/>
  <c r="W267" i="7"/>
  <c r="E268" i="7"/>
  <c r="M268" i="7"/>
  <c r="U268" i="7"/>
  <c r="C269" i="7"/>
  <c r="K269" i="7"/>
  <c r="S269" i="7"/>
  <c r="I270" i="7"/>
  <c r="Q270" i="7"/>
  <c r="Y270" i="7"/>
  <c r="G271" i="7"/>
  <c r="O271" i="7"/>
  <c r="W271" i="7"/>
  <c r="E272" i="7"/>
  <c r="M272" i="7"/>
  <c r="U272" i="7"/>
  <c r="C273" i="7"/>
  <c r="K273" i="7"/>
  <c r="S273" i="7"/>
  <c r="I274" i="7"/>
  <c r="Q274" i="7"/>
  <c r="Y274" i="7"/>
  <c r="G275" i="7"/>
  <c r="O275" i="7"/>
  <c r="W275" i="7"/>
  <c r="E276" i="7"/>
  <c r="M276" i="7"/>
  <c r="U276" i="7"/>
  <c r="C277" i="7"/>
  <c r="K277" i="7"/>
  <c r="S277" i="7"/>
  <c r="I278" i="7"/>
  <c r="X232" i="7"/>
  <c r="P236" i="7"/>
  <c r="H240" i="7"/>
  <c r="AJ243" i="7"/>
  <c r="H247" i="7"/>
  <c r="F248" i="7"/>
  <c r="B250" i="7"/>
  <c r="AJ250" i="7"/>
  <c r="Z254" i="7"/>
  <c r="X255" i="7"/>
  <c r="V256" i="7"/>
  <c r="T257" i="7"/>
  <c r="R258" i="7"/>
  <c r="P259" i="7"/>
  <c r="E261" i="7"/>
  <c r="U261" i="7"/>
  <c r="J262" i="7"/>
  <c r="R262" i="7"/>
  <c r="Z262" i="7"/>
  <c r="AJ262" i="7"/>
  <c r="H263" i="7"/>
  <c r="P263" i="7"/>
  <c r="X263" i="7"/>
  <c r="F264" i="7"/>
  <c r="V264" i="7"/>
  <c r="L265" i="7"/>
  <c r="T265" i="7"/>
  <c r="B266" i="7"/>
  <c r="J266" i="7"/>
  <c r="R266" i="7"/>
  <c r="Z266" i="7"/>
  <c r="AJ266" i="7"/>
  <c r="H267" i="7"/>
  <c r="P267" i="7"/>
  <c r="X267" i="7"/>
  <c r="F268" i="7"/>
  <c r="V268" i="7"/>
  <c r="L269" i="7"/>
  <c r="T269" i="7"/>
  <c r="B270" i="7"/>
  <c r="J270" i="7"/>
  <c r="R270" i="7"/>
  <c r="Z270" i="7"/>
  <c r="AJ270" i="7"/>
  <c r="H271" i="7"/>
  <c r="P271" i="7"/>
  <c r="X271" i="7"/>
  <c r="F272" i="7"/>
  <c r="V272" i="7"/>
  <c r="L273" i="7"/>
  <c r="T273" i="7"/>
  <c r="B274" i="7"/>
  <c r="J274" i="7"/>
  <c r="R274" i="7"/>
  <c r="Z274" i="7"/>
  <c r="AJ274" i="7"/>
  <c r="H275" i="7"/>
  <c r="P275" i="7"/>
  <c r="X275" i="7"/>
  <c r="F276" i="7"/>
  <c r="V276" i="7"/>
  <c r="L277" i="7"/>
  <c r="T277" i="7"/>
  <c r="B278" i="7"/>
  <c r="J278" i="7"/>
  <c r="R278" i="7"/>
  <c r="Z278" i="7"/>
  <c r="AJ278" i="7"/>
  <c r="H279" i="7"/>
  <c r="P279" i="7"/>
  <c r="X279" i="7"/>
  <c r="S236" i="7"/>
  <c r="K240" i="7"/>
  <c r="C244" i="7"/>
  <c r="I247" i="7"/>
  <c r="G248" i="7"/>
  <c r="E249" i="7"/>
  <c r="C250" i="7"/>
  <c r="Y255" i="7"/>
  <c r="W256" i="7"/>
  <c r="U257" i="7"/>
  <c r="S258" i="7"/>
  <c r="Q259" i="7"/>
  <c r="O260" i="7"/>
  <c r="I261" i="7"/>
  <c r="Y261" i="7"/>
  <c r="B262" i="7"/>
  <c r="K262" i="7"/>
  <c r="S262" i="7"/>
  <c r="I263" i="7"/>
  <c r="Q263" i="7"/>
  <c r="Y263" i="7"/>
  <c r="G264" i="7"/>
  <c r="O264" i="7"/>
  <c r="W264" i="7"/>
  <c r="E265" i="7"/>
  <c r="M265" i="7"/>
  <c r="U265" i="7"/>
  <c r="C266" i="7"/>
  <c r="K266" i="7"/>
  <c r="S266" i="7"/>
  <c r="I267" i="7"/>
  <c r="Q267" i="7"/>
  <c r="Y267" i="7"/>
  <c r="G268" i="7"/>
  <c r="O268" i="7"/>
  <c r="W268" i="7"/>
  <c r="E269" i="7"/>
  <c r="M269" i="7"/>
  <c r="U269" i="7"/>
  <c r="C270" i="7"/>
  <c r="K270" i="7"/>
  <c r="S270" i="7"/>
  <c r="I271" i="7"/>
  <c r="Q271" i="7"/>
  <c r="Y271" i="7"/>
  <c r="G272" i="7"/>
  <c r="O272" i="7"/>
  <c r="W272" i="7"/>
  <c r="E273" i="7"/>
  <c r="M273" i="7"/>
  <c r="U273" i="7"/>
  <c r="C274" i="7"/>
  <c r="K274" i="7"/>
  <c r="S274" i="7"/>
  <c r="I275" i="7"/>
  <c r="Q275" i="7"/>
  <c r="Y275" i="7"/>
  <c r="G276" i="7"/>
  <c r="O276" i="7"/>
  <c r="W276" i="7"/>
  <c r="V233" i="7"/>
  <c r="F241" i="7"/>
  <c r="P247" i="7"/>
  <c r="L249" i="7"/>
  <c r="J250" i="7"/>
  <c r="H251" i="7"/>
  <c r="F252" i="7"/>
  <c r="B254" i="7"/>
  <c r="AJ254" i="7"/>
  <c r="Z258" i="7"/>
  <c r="X259" i="7"/>
  <c r="V260" i="7"/>
  <c r="K261" i="7"/>
  <c r="C262" i="7"/>
  <c r="L262" i="7"/>
  <c r="T262" i="7"/>
  <c r="B263" i="7"/>
  <c r="J263" i="7"/>
  <c r="R263" i="7"/>
  <c r="Z263" i="7"/>
  <c r="AJ263" i="7"/>
  <c r="H264" i="7"/>
  <c r="P264" i="7"/>
  <c r="X264" i="7"/>
  <c r="F265" i="7"/>
  <c r="V265" i="7"/>
  <c r="L266" i="7"/>
  <c r="T266" i="7"/>
  <c r="B267" i="7"/>
  <c r="J267" i="7"/>
  <c r="R267" i="7"/>
  <c r="Z267" i="7"/>
  <c r="AJ267" i="7"/>
  <c r="H268" i="7"/>
  <c r="P268" i="7"/>
  <c r="X268" i="7"/>
  <c r="F269" i="7"/>
  <c r="V269" i="7"/>
  <c r="L270" i="7"/>
  <c r="T270" i="7"/>
  <c r="B271" i="7"/>
  <c r="J271" i="7"/>
  <c r="R271" i="7"/>
  <c r="Z271" i="7"/>
  <c r="AJ271" i="7"/>
  <c r="H272" i="7"/>
  <c r="P272" i="7"/>
  <c r="X272" i="7"/>
  <c r="F273" i="7"/>
  <c r="V273" i="7"/>
  <c r="Y233" i="7"/>
  <c r="Q237" i="7"/>
  <c r="I241" i="7"/>
  <c r="Q247" i="7"/>
  <c r="O248" i="7"/>
  <c r="M249" i="7"/>
  <c r="K250" i="7"/>
  <c r="I251" i="7"/>
  <c r="G252" i="7"/>
  <c r="E253" i="7"/>
  <c r="C254" i="7"/>
  <c r="Y259" i="7"/>
  <c r="W260" i="7"/>
  <c r="L261" i="7"/>
  <c r="M262" i="7"/>
  <c r="U262" i="7"/>
  <c r="C263" i="7"/>
  <c r="K263" i="7"/>
  <c r="S263" i="7"/>
  <c r="I264" i="7"/>
  <c r="Q264" i="7"/>
  <c r="Y264" i="7"/>
  <c r="G265" i="7"/>
  <c r="O265" i="7"/>
  <c r="W265" i="7"/>
  <c r="E266" i="7"/>
  <c r="M266" i="7"/>
  <c r="U266" i="7"/>
  <c r="C267" i="7"/>
  <c r="K267" i="7"/>
  <c r="S267" i="7"/>
  <c r="I268" i="7"/>
  <c r="Q268" i="7"/>
  <c r="Y268" i="7"/>
  <c r="G269" i="7"/>
  <c r="O269" i="7"/>
  <c r="W269" i="7"/>
  <c r="E270" i="7"/>
  <c r="M270" i="7"/>
  <c r="U270" i="7"/>
  <c r="C271" i="7"/>
  <c r="K271" i="7"/>
  <c r="S271" i="7"/>
  <c r="I272" i="7"/>
  <c r="Q272" i="7"/>
  <c r="Y272" i="7"/>
  <c r="G273" i="7"/>
  <c r="O273" i="7"/>
  <c r="W273" i="7"/>
  <c r="E274" i="7"/>
  <c r="M274" i="7"/>
  <c r="U274" i="7"/>
  <c r="C275" i="7"/>
  <c r="K275" i="7"/>
  <c r="S275" i="7"/>
  <c r="I276" i="7"/>
  <c r="Q276" i="7"/>
  <c r="Y276" i="7"/>
  <c r="G277" i="7"/>
  <c r="O277" i="7"/>
  <c r="W277" i="7"/>
  <c r="E278" i="7"/>
  <c r="M278" i="7"/>
  <c r="U278" i="7"/>
  <c r="C279" i="7"/>
  <c r="K279" i="7"/>
  <c r="S279" i="7"/>
  <c r="R250" i="7"/>
  <c r="J254" i="7"/>
  <c r="B258" i="7"/>
  <c r="M261" i="7"/>
  <c r="V262" i="7"/>
  <c r="T263" i="7"/>
  <c r="R264" i="7"/>
  <c r="P265" i="7"/>
  <c r="L267" i="7"/>
  <c r="J268" i="7"/>
  <c r="H269" i="7"/>
  <c r="F270" i="7"/>
  <c r="B272" i="7"/>
  <c r="AJ272" i="7"/>
  <c r="V274" i="7"/>
  <c r="J275" i="7"/>
  <c r="R276" i="7"/>
  <c r="Q277" i="7"/>
  <c r="L278" i="7"/>
  <c r="W278" i="7"/>
  <c r="J279" i="7"/>
  <c r="U279" i="7"/>
  <c r="F280" i="7"/>
  <c r="V280" i="7"/>
  <c r="L281" i="7"/>
  <c r="T281" i="7"/>
  <c r="B282" i="7"/>
  <c r="J282" i="7"/>
  <c r="R282" i="7"/>
  <c r="Z282" i="7"/>
  <c r="AJ282" i="7"/>
  <c r="H283" i="7"/>
  <c r="P283" i="7"/>
  <c r="X283" i="7"/>
  <c r="F284" i="7"/>
  <c r="V284" i="7"/>
  <c r="L285" i="7"/>
  <c r="T285" i="7"/>
  <c r="B286" i="7"/>
  <c r="J286" i="7"/>
  <c r="R286" i="7"/>
  <c r="Z286" i="7"/>
  <c r="AJ286" i="7"/>
  <c r="H287" i="7"/>
  <c r="P287" i="7"/>
  <c r="X287" i="7"/>
  <c r="F288" i="7"/>
  <c r="V288" i="7"/>
  <c r="L289" i="7"/>
  <c r="T289" i="7"/>
  <c r="B290" i="7"/>
  <c r="J290" i="7"/>
  <c r="R290" i="7"/>
  <c r="Z290" i="7"/>
  <c r="AJ290" i="7"/>
  <c r="H291" i="7"/>
  <c r="P291" i="7"/>
  <c r="X291" i="7"/>
  <c r="F292" i="7"/>
  <c r="V292" i="7"/>
  <c r="L293" i="7"/>
  <c r="T293" i="7"/>
  <c r="B294" i="7"/>
  <c r="J294" i="7"/>
  <c r="R294" i="7"/>
  <c r="Z294" i="7"/>
  <c r="AJ294" i="7"/>
  <c r="H295" i="7"/>
  <c r="P295" i="7"/>
  <c r="X295" i="7"/>
  <c r="F296" i="7"/>
  <c r="V296" i="7"/>
  <c r="L297" i="7"/>
  <c r="T297" i="7"/>
  <c r="B298" i="7"/>
  <c r="J298" i="7"/>
  <c r="R298" i="7"/>
  <c r="Z298" i="7"/>
  <c r="AJ298" i="7"/>
  <c r="H299" i="7"/>
  <c r="P299" i="7"/>
  <c r="X299" i="7"/>
  <c r="F300" i="7"/>
  <c r="V300" i="7"/>
  <c r="L301" i="7"/>
  <c r="T301" i="7"/>
  <c r="B302" i="7"/>
  <c r="J302" i="7"/>
  <c r="R302" i="7"/>
  <c r="Z302" i="7"/>
  <c r="AJ302" i="7"/>
  <c r="H303" i="7"/>
  <c r="P303" i="7"/>
  <c r="X303" i="7"/>
  <c r="F304" i="7"/>
  <c r="V304" i="7"/>
  <c r="L305" i="7"/>
  <c r="T305" i="7"/>
  <c r="B306" i="7"/>
  <c r="J306" i="7"/>
  <c r="R306" i="7"/>
  <c r="Z306" i="7"/>
  <c r="AJ306" i="7"/>
  <c r="H307" i="7"/>
  <c r="P307" i="7"/>
  <c r="X307" i="7"/>
  <c r="F308" i="7"/>
  <c r="V308" i="7"/>
  <c r="L309" i="7"/>
  <c r="T309" i="7"/>
  <c r="B310" i="7"/>
  <c r="J310" i="7"/>
  <c r="R310" i="7"/>
  <c r="Z310" i="7"/>
  <c r="AJ310" i="7"/>
  <c r="H311" i="7"/>
  <c r="P311" i="7"/>
  <c r="X311" i="7"/>
  <c r="F312" i="7"/>
  <c r="S250" i="7"/>
  <c r="K254" i="7"/>
  <c r="C258" i="7"/>
  <c r="Q261" i="7"/>
  <c r="W262" i="7"/>
  <c r="U263" i="7"/>
  <c r="S264" i="7"/>
  <c r="Q265" i="7"/>
  <c r="O266" i="7"/>
  <c r="M267" i="7"/>
  <c r="K268" i="7"/>
  <c r="I269" i="7"/>
  <c r="G270" i="7"/>
  <c r="E271" i="7"/>
  <c r="C272" i="7"/>
  <c r="W274" i="7"/>
  <c r="L275" i="7"/>
  <c r="AJ275" i="7"/>
  <c r="S276" i="7"/>
  <c r="E277" i="7"/>
  <c r="U277" i="7"/>
  <c r="AJ277" i="7"/>
  <c r="X278" i="7"/>
  <c r="L279" i="7"/>
  <c r="V279" i="7"/>
  <c r="G280" i="7"/>
  <c r="O280" i="7"/>
  <c r="W280" i="7"/>
  <c r="E281" i="7"/>
  <c r="M281" i="7"/>
  <c r="U281" i="7"/>
  <c r="C282" i="7"/>
  <c r="K282" i="7"/>
  <c r="S282" i="7"/>
  <c r="I283" i="7"/>
  <c r="Q283" i="7"/>
  <c r="Y283" i="7"/>
  <c r="G284" i="7"/>
  <c r="O284" i="7"/>
  <c r="W284" i="7"/>
  <c r="E285" i="7"/>
  <c r="M285" i="7"/>
  <c r="U285" i="7"/>
  <c r="C286" i="7"/>
  <c r="K286" i="7"/>
  <c r="S286" i="7"/>
  <c r="I287" i="7"/>
  <c r="Q287" i="7"/>
  <c r="Y287" i="7"/>
  <c r="G288" i="7"/>
  <c r="O288" i="7"/>
  <c r="W288" i="7"/>
  <c r="E289" i="7"/>
  <c r="M289" i="7"/>
  <c r="U289" i="7"/>
  <c r="C290" i="7"/>
  <c r="K290" i="7"/>
  <c r="S290" i="7"/>
  <c r="I291" i="7"/>
  <c r="Q291" i="7"/>
  <c r="Y291" i="7"/>
  <c r="G292" i="7"/>
  <c r="O292" i="7"/>
  <c r="W292" i="7"/>
  <c r="E293" i="7"/>
  <c r="M293" i="7"/>
  <c r="U293" i="7"/>
  <c r="C294" i="7"/>
  <c r="K294" i="7"/>
  <c r="S294" i="7"/>
  <c r="I295" i="7"/>
  <c r="Q295" i="7"/>
  <c r="Y295" i="7"/>
  <c r="G296" i="7"/>
  <c r="O296" i="7"/>
  <c r="W296" i="7"/>
  <c r="E297" i="7"/>
  <c r="M297" i="7"/>
  <c r="U297" i="7"/>
  <c r="C298" i="7"/>
  <c r="K298" i="7"/>
  <c r="S298" i="7"/>
  <c r="I299" i="7"/>
  <c r="Q299" i="7"/>
  <c r="Y299" i="7"/>
  <c r="G300" i="7"/>
  <c r="O300" i="7"/>
  <c r="W300" i="7"/>
  <c r="E301" i="7"/>
  <c r="M301" i="7"/>
  <c r="U301" i="7"/>
  <c r="C302" i="7"/>
  <c r="K302" i="7"/>
  <c r="S302" i="7"/>
  <c r="I303" i="7"/>
  <c r="Q303" i="7"/>
  <c r="Y303" i="7"/>
  <c r="G304" i="7"/>
  <c r="O304" i="7"/>
  <c r="W304" i="7"/>
  <c r="E305" i="7"/>
  <c r="M305" i="7"/>
  <c r="U305" i="7"/>
  <c r="C306" i="7"/>
  <c r="K306" i="7"/>
  <c r="S306" i="7"/>
  <c r="I307" i="7"/>
  <c r="Q307" i="7"/>
  <c r="Y307" i="7"/>
  <c r="G308" i="7"/>
  <c r="O308" i="7"/>
  <c r="W308" i="7"/>
  <c r="E309" i="7"/>
  <c r="M309" i="7"/>
  <c r="U309" i="7"/>
  <c r="C310" i="7"/>
  <c r="K310" i="7"/>
  <c r="S310" i="7"/>
  <c r="I311" i="7"/>
  <c r="Q311" i="7"/>
  <c r="Y311" i="7"/>
  <c r="T234" i="7"/>
  <c r="X247" i="7"/>
  <c r="P251" i="7"/>
  <c r="H255" i="7"/>
  <c r="AJ258" i="7"/>
  <c r="Z264" i="7"/>
  <c r="X265" i="7"/>
  <c r="V266" i="7"/>
  <c r="T267" i="7"/>
  <c r="R268" i="7"/>
  <c r="P269" i="7"/>
  <c r="L271" i="7"/>
  <c r="J272" i="7"/>
  <c r="H273" i="7"/>
  <c r="F274" i="7"/>
  <c r="M275" i="7"/>
  <c r="B276" i="7"/>
  <c r="X276" i="7"/>
  <c r="F277" i="7"/>
  <c r="V277" i="7"/>
  <c r="C278" i="7"/>
  <c r="O278" i="7"/>
  <c r="Y278" i="7"/>
  <c r="B279" i="7"/>
  <c r="M279" i="7"/>
  <c r="W279" i="7"/>
  <c r="AJ279" i="7"/>
  <c r="H280" i="7"/>
  <c r="P280" i="7"/>
  <c r="X280" i="7"/>
  <c r="F281" i="7"/>
  <c r="V281" i="7"/>
  <c r="L282" i="7"/>
  <c r="T282" i="7"/>
  <c r="B283" i="7"/>
  <c r="J283" i="7"/>
  <c r="R283" i="7"/>
  <c r="Z283" i="7"/>
  <c r="AJ283" i="7"/>
  <c r="H284" i="7"/>
  <c r="P284" i="7"/>
  <c r="X284" i="7"/>
  <c r="F285" i="7"/>
  <c r="V285" i="7"/>
  <c r="L286" i="7"/>
  <c r="T286" i="7"/>
  <c r="B287" i="7"/>
  <c r="J287" i="7"/>
  <c r="R287" i="7"/>
  <c r="Z287" i="7"/>
  <c r="AJ287" i="7"/>
  <c r="H288" i="7"/>
  <c r="P288" i="7"/>
  <c r="X288" i="7"/>
  <c r="F289" i="7"/>
  <c r="V289" i="7"/>
  <c r="L290" i="7"/>
  <c r="T290" i="7"/>
  <c r="B291" i="7"/>
  <c r="J291" i="7"/>
  <c r="R291" i="7"/>
  <c r="Z291" i="7"/>
  <c r="AJ291" i="7"/>
  <c r="H292" i="7"/>
  <c r="P292" i="7"/>
  <c r="X292" i="7"/>
  <c r="F293" i="7"/>
  <c r="V293" i="7"/>
  <c r="L294" i="7"/>
  <c r="T294" i="7"/>
  <c r="B295" i="7"/>
  <c r="J295" i="7"/>
  <c r="R295" i="7"/>
  <c r="Z295" i="7"/>
  <c r="AJ295" i="7"/>
  <c r="H296" i="7"/>
  <c r="P296" i="7"/>
  <c r="X296" i="7"/>
  <c r="F297" i="7"/>
  <c r="V297" i="7"/>
  <c r="L298" i="7"/>
  <c r="T298" i="7"/>
  <c r="B299" i="7"/>
  <c r="J299" i="7"/>
  <c r="R299" i="7"/>
  <c r="Z299" i="7"/>
  <c r="AJ299" i="7"/>
  <c r="H300" i="7"/>
  <c r="P300" i="7"/>
  <c r="X300" i="7"/>
  <c r="F301" i="7"/>
  <c r="V301" i="7"/>
  <c r="L302" i="7"/>
  <c r="T302" i="7"/>
  <c r="B303" i="7"/>
  <c r="J303" i="7"/>
  <c r="R303" i="7"/>
  <c r="Z303" i="7"/>
  <c r="AJ303" i="7"/>
  <c r="H304" i="7"/>
  <c r="P304" i="7"/>
  <c r="X304" i="7"/>
  <c r="F305" i="7"/>
  <c r="V305" i="7"/>
  <c r="L306" i="7"/>
  <c r="T306" i="7"/>
  <c r="B307" i="7"/>
  <c r="J307" i="7"/>
  <c r="R307" i="7"/>
  <c r="Z307" i="7"/>
  <c r="AJ307" i="7"/>
  <c r="H308" i="7"/>
  <c r="P308" i="7"/>
  <c r="X308" i="7"/>
  <c r="F309" i="7"/>
  <c r="V309" i="7"/>
  <c r="L310" i="7"/>
  <c r="T310" i="7"/>
  <c r="B311" i="7"/>
  <c r="J311" i="7"/>
  <c r="R311" i="7"/>
  <c r="Z311" i="7"/>
  <c r="AJ311" i="7"/>
  <c r="H312" i="7"/>
  <c r="P312" i="7"/>
  <c r="W234" i="7"/>
  <c r="Y247" i="7"/>
  <c r="Q251" i="7"/>
  <c r="I255" i="7"/>
  <c r="Y265" i="7"/>
  <c r="W266" i="7"/>
  <c r="U267" i="7"/>
  <c r="S268" i="7"/>
  <c r="Q269" i="7"/>
  <c r="O270" i="7"/>
  <c r="M271" i="7"/>
  <c r="K272" i="7"/>
  <c r="I273" i="7"/>
  <c r="G274" i="7"/>
  <c r="R275" i="7"/>
  <c r="C276" i="7"/>
  <c r="Z276" i="7"/>
  <c r="H277" i="7"/>
  <c r="X277" i="7"/>
  <c r="P278" i="7"/>
  <c r="Y279" i="7"/>
  <c r="I280" i="7"/>
  <c r="Q280" i="7"/>
  <c r="Y280" i="7"/>
  <c r="G281" i="7"/>
  <c r="O281" i="7"/>
  <c r="W281" i="7"/>
  <c r="E282" i="7"/>
  <c r="M282" i="7"/>
  <c r="U282" i="7"/>
  <c r="C283" i="7"/>
  <c r="K283" i="7"/>
  <c r="S283" i="7"/>
  <c r="I284" i="7"/>
  <c r="Q284" i="7"/>
  <c r="Y284" i="7"/>
  <c r="G285" i="7"/>
  <c r="O285" i="7"/>
  <c r="W285" i="7"/>
  <c r="E286" i="7"/>
  <c r="M286" i="7"/>
  <c r="U286" i="7"/>
  <c r="C287" i="7"/>
  <c r="K287" i="7"/>
  <c r="S287" i="7"/>
  <c r="I288" i="7"/>
  <c r="Q288" i="7"/>
  <c r="Y288" i="7"/>
  <c r="G289" i="7"/>
  <c r="O289" i="7"/>
  <c r="W289" i="7"/>
  <c r="E290" i="7"/>
  <c r="M290" i="7"/>
  <c r="U290" i="7"/>
  <c r="C291" i="7"/>
  <c r="K291" i="7"/>
  <c r="S291" i="7"/>
  <c r="I292" i="7"/>
  <c r="Q292" i="7"/>
  <c r="Y292" i="7"/>
  <c r="G293" i="7"/>
  <c r="O293" i="7"/>
  <c r="W293" i="7"/>
  <c r="E294" i="7"/>
  <c r="M294" i="7"/>
  <c r="U294" i="7"/>
  <c r="C295" i="7"/>
  <c r="K295" i="7"/>
  <c r="S295" i="7"/>
  <c r="I296" i="7"/>
  <c r="Q296" i="7"/>
  <c r="Y296" i="7"/>
  <c r="G297" i="7"/>
  <c r="O297" i="7"/>
  <c r="W297" i="7"/>
  <c r="E298" i="7"/>
  <c r="M298" i="7"/>
  <c r="U298" i="7"/>
  <c r="C299" i="7"/>
  <c r="K299" i="7"/>
  <c r="S299" i="7"/>
  <c r="I300" i="7"/>
  <c r="Q300" i="7"/>
  <c r="Y300" i="7"/>
  <c r="G301" i="7"/>
  <c r="O301" i="7"/>
  <c r="W301" i="7"/>
  <c r="E302" i="7"/>
  <c r="M302" i="7"/>
  <c r="U302" i="7"/>
  <c r="C303" i="7"/>
  <c r="K303" i="7"/>
  <c r="S303" i="7"/>
  <c r="I304" i="7"/>
  <c r="Q304" i="7"/>
  <c r="Y304" i="7"/>
  <c r="G305" i="7"/>
  <c r="O305" i="7"/>
  <c r="W305" i="7"/>
  <c r="E306" i="7"/>
  <c r="M306" i="7"/>
  <c r="U306" i="7"/>
  <c r="C307" i="7"/>
  <c r="K307" i="7"/>
  <c r="S307" i="7"/>
  <c r="I308" i="7"/>
  <c r="Q308" i="7"/>
  <c r="Y308" i="7"/>
  <c r="G309" i="7"/>
  <c r="O309" i="7"/>
  <c r="W309" i="7"/>
  <c r="E310" i="7"/>
  <c r="M310" i="7"/>
  <c r="U310" i="7"/>
  <c r="C311" i="7"/>
  <c r="K311" i="7"/>
  <c r="S311" i="7"/>
  <c r="I312" i="7"/>
  <c r="L238" i="7"/>
  <c r="V248" i="7"/>
  <c r="F256" i="7"/>
  <c r="F262" i="7"/>
  <c r="B264" i="7"/>
  <c r="AJ264" i="7"/>
  <c r="Z268" i="7"/>
  <c r="X269" i="7"/>
  <c r="V270" i="7"/>
  <c r="T271" i="7"/>
  <c r="R272" i="7"/>
  <c r="P273" i="7"/>
  <c r="L274" i="7"/>
  <c r="T275" i="7"/>
  <c r="H276" i="7"/>
  <c r="I277" i="7"/>
  <c r="Y277" i="7"/>
  <c r="F278" i="7"/>
  <c r="Q278" i="7"/>
  <c r="E279" i="7"/>
  <c r="O279" i="7"/>
  <c r="Z279" i="7"/>
  <c r="B280" i="7"/>
  <c r="J280" i="7"/>
  <c r="R280" i="7"/>
  <c r="Z280" i="7"/>
  <c r="AJ280" i="7"/>
  <c r="H281" i="7"/>
  <c r="P281" i="7"/>
  <c r="X281" i="7"/>
  <c r="F282" i="7"/>
  <c r="V282" i="7"/>
  <c r="L283" i="7"/>
  <c r="T283" i="7"/>
  <c r="B284" i="7"/>
  <c r="J284" i="7"/>
  <c r="R284" i="7"/>
  <c r="Z284" i="7"/>
  <c r="AJ284" i="7"/>
  <c r="H285" i="7"/>
  <c r="P285" i="7"/>
  <c r="X285" i="7"/>
  <c r="F286" i="7"/>
  <c r="V286" i="7"/>
  <c r="L287" i="7"/>
  <c r="T287" i="7"/>
  <c r="B288" i="7"/>
  <c r="J288" i="7"/>
  <c r="R288" i="7"/>
  <c r="Z288" i="7"/>
  <c r="AJ288" i="7"/>
  <c r="H289" i="7"/>
  <c r="P289" i="7"/>
  <c r="X289" i="7"/>
  <c r="F290" i="7"/>
  <c r="V290" i="7"/>
  <c r="L291" i="7"/>
  <c r="T291" i="7"/>
  <c r="B292" i="7"/>
  <c r="J292" i="7"/>
  <c r="R292" i="7"/>
  <c r="Z292" i="7"/>
  <c r="AJ292" i="7"/>
  <c r="H293" i="7"/>
  <c r="P293" i="7"/>
  <c r="X293" i="7"/>
  <c r="F294" i="7"/>
  <c r="V294" i="7"/>
  <c r="L295" i="7"/>
  <c r="T295" i="7"/>
  <c r="B296" i="7"/>
  <c r="J296" i="7"/>
  <c r="R296" i="7"/>
  <c r="Z296" i="7"/>
  <c r="AJ296" i="7"/>
  <c r="H297" i="7"/>
  <c r="P297" i="7"/>
  <c r="X297" i="7"/>
  <c r="F298" i="7"/>
  <c r="V298" i="7"/>
  <c r="L299" i="7"/>
  <c r="T299" i="7"/>
  <c r="B300" i="7"/>
  <c r="J300" i="7"/>
  <c r="R300" i="7"/>
  <c r="Z300" i="7"/>
  <c r="AJ300" i="7"/>
  <c r="H301" i="7"/>
  <c r="P301" i="7"/>
  <c r="X301" i="7"/>
  <c r="F302" i="7"/>
  <c r="V302" i="7"/>
  <c r="L303" i="7"/>
  <c r="T303" i="7"/>
  <c r="B304" i="7"/>
  <c r="J304" i="7"/>
  <c r="R304" i="7"/>
  <c r="Z304" i="7"/>
  <c r="AJ304" i="7"/>
  <c r="H305" i="7"/>
  <c r="P305" i="7"/>
  <c r="X305" i="7"/>
  <c r="F306" i="7"/>
  <c r="V306" i="7"/>
  <c r="L307" i="7"/>
  <c r="T307" i="7"/>
  <c r="B308" i="7"/>
  <c r="J308" i="7"/>
  <c r="R308" i="7"/>
  <c r="Z308" i="7"/>
  <c r="AJ308" i="7"/>
  <c r="H309" i="7"/>
  <c r="P309" i="7"/>
  <c r="X309" i="7"/>
  <c r="F310" i="7"/>
  <c r="V310" i="7"/>
  <c r="L311" i="7"/>
  <c r="T311" i="7"/>
  <c r="B312" i="7"/>
  <c r="O238" i="7"/>
  <c r="W248" i="7"/>
  <c r="O252" i="7"/>
  <c r="G256" i="7"/>
  <c r="G262" i="7"/>
  <c r="E263" i="7"/>
  <c r="C264" i="7"/>
  <c r="Y269" i="7"/>
  <c r="W270" i="7"/>
  <c r="U271" i="7"/>
  <c r="S272" i="7"/>
  <c r="Q273" i="7"/>
  <c r="B275" i="7"/>
  <c r="U275" i="7"/>
  <c r="J276" i="7"/>
  <c r="M277" i="7"/>
  <c r="G278" i="7"/>
  <c r="S278" i="7"/>
  <c r="F279" i="7"/>
  <c r="Q279" i="7"/>
  <c r="C280" i="7"/>
  <c r="K280" i="7"/>
  <c r="S280" i="7"/>
  <c r="I281" i="7"/>
  <c r="Q281" i="7"/>
  <c r="Y281" i="7"/>
  <c r="G282" i="7"/>
  <c r="O282" i="7"/>
  <c r="W282" i="7"/>
  <c r="E283" i="7"/>
  <c r="M283" i="7"/>
  <c r="U283" i="7"/>
  <c r="C284" i="7"/>
  <c r="K284" i="7"/>
  <c r="S284" i="7"/>
  <c r="I285" i="7"/>
  <c r="Q285" i="7"/>
  <c r="Y285" i="7"/>
  <c r="G286" i="7"/>
  <c r="O286" i="7"/>
  <c r="W286" i="7"/>
  <c r="E287" i="7"/>
  <c r="M287" i="7"/>
  <c r="U287" i="7"/>
  <c r="C288" i="7"/>
  <c r="K288" i="7"/>
  <c r="S288" i="7"/>
  <c r="I289" i="7"/>
  <c r="Q289" i="7"/>
  <c r="Y289" i="7"/>
  <c r="G290" i="7"/>
  <c r="O290" i="7"/>
  <c r="W290" i="7"/>
  <c r="E291" i="7"/>
  <c r="M291" i="7"/>
  <c r="U291" i="7"/>
  <c r="C292" i="7"/>
  <c r="K292" i="7"/>
  <c r="S292" i="7"/>
  <c r="I293" i="7"/>
  <c r="Q293" i="7"/>
  <c r="Y293" i="7"/>
  <c r="G294" i="7"/>
  <c r="O294" i="7"/>
  <c r="W294" i="7"/>
  <c r="E295" i="7"/>
  <c r="M295" i="7"/>
  <c r="U295" i="7"/>
  <c r="C296" i="7"/>
  <c r="K296" i="7"/>
  <c r="S296" i="7"/>
  <c r="I297" i="7"/>
  <c r="Q297" i="7"/>
  <c r="Y297" i="7"/>
  <c r="G298" i="7"/>
  <c r="O298" i="7"/>
  <c r="W298" i="7"/>
  <c r="E299" i="7"/>
  <c r="M299" i="7"/>
  <c r="U299" i="7"/>
  <c r="C300" i="7"/>
  <c r="K300" i="7"/>
  <c r="S300" i="7"/>
  <c r="I301" i="7"/>
  <c r="Q301" i="7"/>
  <c r="Y301" i="7"/>
  <c r="G302" i="7"/>
  <c r="O302" i="7"/>
  <c r="W302" i="7"/>
  <c r="E303" i="7"/>
  <c r="M303" i="7"/>
  <c r="U303" i="7"/>
  <c r="C304" i="7"/>
  <c r="K304" i="7"/>
  <c r="S304" i="7"/>
  <c r="I305" i="7"/>
  <c r="Q305" i="7"/>
  <c r="Y305" i="7"/>
  <c r="G306" i="7"/>
  <c r="O306" i="7"/>
  <c r="W306" i="7"/>
  <c r="E307" i="7"/>
  <c r="M307" i="7"/>
  <c r="U307" i="7"/>
  <c r="C308" i="7"/>
  <c r="K308" i="7"/>
  <c r="S308" i="7"/>
  <c r="I309" i="7"/>
  <c r="Q309" i="7"/>
  <c r="Y309" i="7"/>
  <c r="G310" i="7"/>
  <c r="O310" i="7"/>
  <c r="W310" i="7"/>
  <c r="E311" i="7"/>
  <c r="M311" i="7"/>
  <c r="U311" i="7"/>
  <c r="C312" i="7"/>
  <c r="K312" i="7"/>
  <c r="S312" i="7"/>
  <c r="G242" i="7"/>
  <c r="U249" i="7"/>
  <c r="M253" i="7"/>
  <c r="E257" i="7"/>
  <c r="O262" i="7"/>
  <c r="M263" i="7"/>
  <c r="K264" i="7"/>
  <c r="I265" i="7"/>
  <c r="G266" i="7"/>
  <c r="E267" i="7"/>
  <c r="C268" i="7"/>
  <c r="Y273" i="7"/>
  <c r="T274" i="7"/>
  <c r="E275" i="7"/>
  <c r="P276" i="7"/>
  <c r="AJ276" i="7"/>
  <c r="P277" i="7"/>
  <c r="K278" i="7"/>
  <c r="V278" i="7"/>
  <c r="I279" i="7"/>
  <c r="T279" i="7"/>
  <c r="E280" i="7"/>
  <c r="M280" i="7"/>
  <c r="U280" i="7"/>
  <c r="C281" i="7"/>
  <c r="K281" i="7"/>
  <c r="S281" i="7"/>
  <c r="I282" i="7"/>
  <c r="Q282" i="7"/>
  <c r="Y282" i="7"/>
  <c r="G283" i="7"/>
  <c r="O283" i="7"/>
  <c r="W283" i="7"/>
  <c r="E284" i="7"/>
  <c r="M284" i="7"/>
  <c r="U284" i="7"/>
  <c r="C285" i="7"/>
  <c r="K285" i="7"/>
  <c r="S285" i="7"/>
  <c r="I286" i="7"/>
  <c r="Q286" i="7"/>
  <c r="Y286" i="7"/>
  <c r="G287" i="7"/>
  <c r="O287" i="7"/>
  <c r="W287" i="7"/>
  <c r="E288" i="7"/>
  <c r="M288" i="7"/>
  <c r="U288" i="7"/>
  <c r="C289" i="7"/>
  <c r="K289" i="7"/>
  <c r="S289" i="7"/>
  <c r="I290" i="7"/>
  <c r="Q290" i="7"/>
  <c r="Y290" i="7"/>
  <c r="G291" i="7"/>
  <c r="O291" i="7"/>
  <c r="W291" i="7"/>
  <c r="E292" i="7"/>
  <c r="M292" i="7"/>
  <c r="U292" i="7"/>
  <c r="C293" i="7"/>
  <c r="K293" i="7"/>
  <c r="S293" i="7"/>
  <c r="I294" i="7"/>
  <c r="Q294" i="7"/>
  <c r="Y294" i="7"/>
  <c r="G295" i="7"/>
  <c r="O295" i="7"/>
  <c r="W295" i="7"/>
  <c r="E296" i="7"/>
  <c r="M296" i="7"/>
  <c r="U296" i="7"/>
  <c r="C297" i="7"/>
  <c r="K297" i="7"/>
  <c r="S297" i="7"/>
  <c r="I298" i="7"/>
  <c r="Q298" i="7"/>
  <c r="Y298" i="7"/>
  <c r="G299" i="7"/>
  <c r="O299" i="7"/>
  <c r="W299" i="7"/>
  <c r="E300" i="7"/>
  <c r="M300" i="7"/>
  <c r="U300" i="7"/>
  <c r="C301" i="7"/>
  <c r="K301" i="7"/>
  <c r="S301" i="7"/>
  <c r="I302" i="7"/>
  <c r="Q302" i="7"/>
  <c r="Y302" i="7"/>
  <c r="G303" i="7"/>
  <c r="O303" i="7"/>
  <c r="W303" i="7"/>
  <c r="H265" i="7"/>
  <c r="Z272" i="7"/>
  <c r="L280" i="7"/>
  <c r="H282" i="7"/>
  <c r="AJ285" i="7"/>
  <c r="Z289" i="7"/>
  <c r="V291" i="7"/>
  <c r="R293" i="7"/>
  <c r="J297" i="7"/>
  <c r="F299" i="7"/>
  <c r="B301" i="7"/>
  <c r="M304" i="7"/>
  <c r="K305" i="7"/>
  <c r="I306" i="7"/>
  <c r="G307" i="7"/>
  <c r="E308" i="7"/>
  <c r="C309" i="7"/>
  <c r="Q312" i="7"/>
  <c r="Z312" i="7"/>
  <c r="AJ312" i="7"/>
  <c r="H313" i="7"/>
  <c r="P313" i="7"/>
  <c r="X313" i="7"/>
  <c r="F314" i="7"/>
  <c r="V314" i="7"/>
  <c r="L315" i="7"/>
  <c r="T315" i="7"/>
  <c r="B316" i="7"/>
  <c r="J316" i="7"/>
  <c r="R316" i="7"/>
  <c r="Z316" i="7"/>
  <c r="AJ316" i="7"/>
  <c r="H317" i="7"/>
  <c r="P317" i="7"/>
  <c r="X317" i="7"/>
  <c r="F318" i="7"/>
  <c r="V318" i="7"/>
  <c r="L319" i="7"/>
  <c r="T319" i="7"/>
  <c r="B320" i="7"/>
  <c r="J320" i="7"/>
  <c r="R320" i="7"/>
  <c r="Z320" i="7"/>
  <c r="AJ320" i="7"/>
  <c r="H321" i="7"/>
  <c r="P321" i="7"/>
  <c r="X321" i="7"/>
  <c r="F322" i="7"/>
  <c r="V322" i="7"/>
  <c r="L323" i="7"/>
  <c r="T323" i="7"/>
  <c r="B324" i="7"/>
  <c r="J324" i="7"/>
  <c r="R324" i="7"/>
  <c r="Z324" i="7"/>
  <c r="AJ324" i="7"/>
  <c r="H325" i="7"/>
  <c r="P325" i="7"/>
  <c r="X325" i="7"/>
  <c r="F326" i="7"/>
  <c r="V326" i="7"/>
  <c r="L327" i="7"/>
  <c r="T327" i="7"/>
  <c r="B328" i="7"/>
  <c r="J328" i="7"/>
  <c r="R328" i="7"/>
  <c r="Z328" i="7"/>
  <c r="AJ328" i="7"/>
  <c r="H329" i="7"/>
  <c r="P329" i="7"/>
  <c r="X329" i="7"/>
  <c r="F330" i="7"/>
  <c r="V330" i="7"/>
  <c r="L331" i="7"/>
  <c r="T331" i="7"/>
  <c r="T249" i="7"/>
  <c r="F266" i="7"/>
  <c r="X273" i="7"/>
  <c r="H278" i="7"/>
  <c r="T280" i="7"/>
  <c r="P282" i="7"/>
  <c r="L284" i="7"/>
  <c r="H286" i="7"/>
  <c r="AJ289" i="7"/>
  <c r="Z293" i="7"/>
  <c r="V295" i="7"/>
  <c r="R297" i="7"/>
  <c r="J301" i="7"/>
  <c r="F303" i="7"/>
  <c r="T304" i="7"/>
  <c r="R305" i="7"/>
  <c r="P306" i="7"/>
  <c r="L308" i="7"/>
  <c r="J309" i="7"/>
  <c r="H310" i="7"/>
  <c r="F311" i="7"/>
  <c r="R312" i="7"/>
  <c r="I313" i="7"/>
  <c r="Q313" i="7"/>
  <c r="Y313" i="7"/>
  <c r="G314" i="7"/>
  <c r="O314" i="7"/>
  <c r="W314" i="7"/>
  <c r="E315" i="7"/>
  <c r="M315" i="7"/>
  <c r="U315" i="7"/>
  <c r="C316" i="7"/>
  <c r="K316" i="7"/>
  <c r="S316" i="7"/>
  <c r="I317" i="7"/>
  <c r="Q317" i="7"/>
  <c r="Y317" i="7"/>
  <c r="G318" i="7"/>
  <c r="O318" i="7"/>
  <c r="W318" i="7"/>
  <c r="E319" i="7"/>
  <c r="M319" i="7"/>
  <c r="U319" i="7"/>
  <c r="C320" i="7"/>
  <c r="K320" i="7"/>
  <c r="S320" i="7"/>
  <c r="I321" i="7"/>
  <c r="Q321" i="7"/>
  <c r="Y321" i="7"/>
  <c r="G322" i="7"/>
  <c r="O322" i="7"/>
  <c r="W322" i="7"/>
  <c r="E323" i="7"/>
  <c r="M323" i="7"/>
  <c r="U323" i="7"/>
  <c r="C324" i="7"/>
  <c r="K324" i="7"/>
  <c r="S324" i="7"/>
  <c r="I325" i="7"/>
  <c r="Q325" i="7"/>
  <c r="Y325" i="7"/>
  <c r="G326" i="7"/>
  <c r="O326" i="7"/>
  <c r="W326" i="7"/>
  <c r="E327" i="7"/>
  <c r="M327" i="7"/>
  <c r="U327" i="7"/>
  <c r="C328" i="7"/>
  <c r="K328" i="7"/>
  <c r="S328" i="7"/>
  <c r="I329" i="7"/>
  <c r="Q329" i="7"/>
  <c r="Y329" i="7"/>
  <c r="G330" i="7"/>
  <c r="O330" i="7"/>
  <c r="W330" i="7"/>
  <c r="E331" i="7"/>
  <c r="M331" i="7"/>
  <c r="U331" i="7"/>
  <c r="C332" i="7"/>
  <c r="K332" i="7"/>
  <c r="S332" i="7"/>
  <c r="I333" i="7"/>
  <c r="Q333" i="7"/>
  <c r="Y333" i="7"/>
  <c r="G334" i="7"/>
  <c r="O334" i="7"/>
  <c r="W334" i="7"/>
  <c r="E335" i="7"/>
  <c r="M335" i="7"/>
  <c r="U335" i="7"/>
  <c r="C336" i="7"/>
  <c r="K336" i="7"/>
  <c r="S336" i="7"/>
  <c r="I337" i="7"/>
  <c r="Q337" i="7"/>
  <c r="Y337" i="7"/>
  <c r="G338" i="7"/>
  <c r="O338" i="7"/>
  <c r="W338" i="7"/>
  <c r="L253" i="7"/>
  <c r="O274" i="7"/>
  <c r="T278" i="7"/>
  <c r="X282" i="7"/>
  <c r="T284" i="7"/>
  <c r="P286" i="7"/>
  <c r="L288" i="7"/>
  <c r="H290" i="7"/>
  <c r="AJ293" i="7"/>
  <c r="Z297" i="7"/>
  <c r="V299" i="7"/>
  <c r="R301" i="7"/>
  <c r="U304" i="7"/>
  <c r="S305" i="7"/>
  <c r="Q306" i="7"/>
  <c r="O307" i="7"/>
  <c r="M308" i="7"/>
  <c r="K309" i="7"/>
  <c r="I310" i="7"/>
  <c r="G311" i="7"/>
  <c r="E312" i="7"/>
  <c r="T312" i="7"/>
  <c r="B313" i="7"/>
  <c r="J313" i="7"/>
  <c r="R313" i="7"/>
  <c r="Z313" i="7"/>
  <c r="AJ313" i="7"/>
  <c r="H314" i="7"/>
  <c r="P314" i="7"/>
  <c r="X314" i="7"/>
  <c r="F315" i="7"/>
  <c r="V315" i="7"/>
  <c r="L316" i="7"/>
  <c r="T316" i="7"/>
  <c r="B317" i="7"/>
  <c r="J317" i="7"/>
  <c r="R317" i="7"/>
  <c r="Z317" i="7"/>
  <c r="AJ317" i="7"/>
  <c r="H318" i="7"/>
  <c r="P318" i="7"/>
  <c r="X318" i="7"/>
  <c r="F319" i="7"/>
  <c r="V319" i="7"/>
  <c r="L320" i="7"/>
  <c r="T320" i="7"/>
  <c r="B321" i="7"/>
  <c r="J321" i="7"/>
  <c r="R321" i="7"/>
  <c r="Z321" i="7"/>
  <c r="AJ321" i="7"/>
  <c r="H322" i="7"/>
  <c r="P322" i="7"/>
  <c r="X322" i="7"/>
  <c r="F323" i="7"/>
  <c r="V323" i="7"/>
  <c r="L324" i="7"/>
  <c r="T324" i="7"/>
  <c r="B325" i="7"/>
  <c r="J325" i="7"/>
  <c r="R325" i="7"/>
  <c r="Z325" i="7"/>
  <c r="AJ325" i="7"/>
  <c r="H326" i="7"/>
  <c r="P326" i="7"/>
  <c r="X326" i="7"/>
  <c r="F327" i="7"/>
  <c r="V327" i="7"/>
  <c r="L328" i="7"/>
  <c r="T328" i="7"/>
  <c r="B329" i="7"/>
  <c r="J329" i="7"/>
  <c r="R329" i="7"/>
  <c r="Z329" i="7"/>
  <c r="AJ329" i="7"/>
  <c r="H330" i="7"/>
  <c r="P330" i="7"/>
  <c r="X330" i="7"/>
  <c r="F331" i="7"/>
  <c r="V331" i="7"/>
  <c r="B268" i="7"/>
  <c r="B281" i="7"/>
  <c r="X286" i="7"/>
  <c r="T288" i="7"/>
  <c r="P290" i="7"/>
  <c r="L292" i="7"/>
  <c r="H294" i="7"/>
  <c r="AJ297" i="7"/>
  <c r="Z301" i="7"/>
  <c r="V303" i="7"/>
  <c r="Z305" i="7"/>
  <c r="X306" i="7"/>
  <c r="V307" i="7"/>
  <c r="T308" i="7"/>
  <c r="R309" i="7"/>
  <c r="P310" i="7"/>
  <c r="G312" i="7"/>
  <c r="U312" i="7"/>
  <c r="C313" i="7"/>
  <c r="K313" i="7"/>
  <c r="S313" i="7"/>
  <c r="I314" i="7"/>
  <c r="Q314" i="7"/>
  <c r="Y314" i="7"/>
  <c r="G315" i="7"/>
  <c r="O315" i="7"/>
  <c r="W315" i="7"/>
  <c r="E316" i="7"/>
  <c r="M316" i="7"/>
  <c r="U316" i="7"/>
  <c r="C317" i="7"/>
  <c r="K317" i="7"/>
  <c r="S317" i="7"/>
  <c r="I318" i="7"/>
  <c r="Q318" i="7"/>
  <c r="Y318" i="7"/>
  <c r="G319" i="7"/>
  <c r="O319" i="7"/>
  <c r="W319" i="7"/>
  <c r="E320" i="7"/>
  <c r="M320" i="7"/>
  <c r="U320" i="7"/>
  <c r="C321" i="7"/>
  <c r="K321" i="7"/>
  <c r="S321" i="7"/>
  <c r="I322" i="7"/>
  <c r="Q322" i="7"/>
  <c r="Y322" i="7"/>
  <c r="G323" i="7"/>
  <c r="O323" i="7"/>
  <c r="W323" i="7"/>
  <c r="E324" i="7"/>
  <c r="M324" i="7"/>
  <c r="U324" i="7"/>
  <c r="C325" i="7"/>
  <c r="K325" i="7"/>
  <c r="S325" i="7"/>
  <c r="I326" i="7"/>
  <c r="Q326" i="7"/>
  <c r="Y326" i="7"/>
  <c r="G327" i="7"/>
  <c r="O327" i="7"/>
  <c r="W327" i="7"/>
  <c r="E328" i="7"/>
  <c r="M328" i="7"/>
  <c r="U328" i="7"/>
  <c r="C329" i="7"/>
  <c r="K329" i="7"/>
  <c r="S329" i="7"/>
  <c r="I330" i="7"/>
  <c r="Q330" i="7"/>
  <c r="Y330" i="7"/>
  <c r="G331" i="7"/>
  <c r="O331" i="7"/>
  <c r="W331" i="7"/>
  <c r="E332" i="7"/>
  <c r="M332" i="7"/>
  <c r="U332" i="7"/>
  <c r="C333" i="7"/>
  <c r="K333" i="7"/>
  <c r="S333" i="7"/>
  <c r="I334" i="7"/>
  <c r="Q334" i="7"/>
  <c r="Y334" i="7"/>
  <c r="G335" i="7"/>
  <c r="O335" i="7"/>
  <c r="W335" i="7"/>
  <c r="E336" i="7"/>
  <c r="M336" i="7"/>
  <c r="U336" i="7"/>
  <c r="C337" i="7"/>
  <c r="K337" i="7"/>
  <c r="S337" i="7"/>
  <c r="I338" i="7"/>
  <c r="Q338" i="7"/>
  <c r="Y338" i="7"/>
  <c r="AJ268" i="7"/>
  <c r="Z275" i="7"/>
  <c r="G279" i="7"/>
  <c r="J281" i="7"/>
  <c r="F283" i="7"/>
  <c r="B285" i="7"/>
  <c r="X290" i="7"/>
  <c r="T292" i="7"/>
  <c r="P294" i="7"/>
  <c r="L296" i="7"/>
  <c r="H298" i="7"/>
  <c r="AJ301" i="7"/>
  <c r="Y306" i="7"/>
  <c r="W307" i="7"/>
  <c r="U308" i="7"/>
  <c r="S309" i="7"/>
  <c r="Q310" i="7"/>
  <c r="O311" i="7"/>
  <c r="J312" i="7"/>
  <c r="V312" i="7"/>
  <c r="L313" i="7"/>
  <c r="T313" i="7"/>
  <c r="B314" i="7"/>
  <c r="J314" i="7"/>
  <c r="R314" i="7"/>
  <c r="Z314" i="7"/>
  <c r="AJ314" i="7"/>
  <c r="H315" i="7"/>
  <c r="P315" i="7"/>
  <c r="X315" i="7"/>
  <c r="F316" i="7"/>
  <c r="V316" i="7"/>
  <c r="L317" i="7"/>
  <c r="T317" i="7"/>
  <c r="B318" i="7"/>
  <c r="J318" i="7"/>
  <c r="R318" i="7"/>
  <c r="Z318" i="7"/>
  <c r="AJ318" i="7"/>
  <c r="H319" i="7"/>
  <c r="P319" i="7"/>
  <c r="X319" i="7"/>
  <c r="F320" i="7"/>
  <c r="V320" i="7"/>
  <c r="L321" i="7"/>
  <c r="T321" i="7"/>
  <c r="B322" i="7"/>
  <c r="J322" i="7"/>
  <c r="R322" i="7"/>
  <c r="Z322" i="7"/>
  <c r="AJ322" i="7"/>
  <c r="H323" i="7"/>
  <c r="P323" i="7"/>
  <c r="X323" i="7"/>
  <c r="F324" i="7"/>
  <c r="V324" i="7"/>
  <c r="L325" i="7"/>
  <c r="T325" i="7"/>
  <c r="B326" i="7"/>
  <c r="J326" i="7"/>
  <c r="R326" i="7"/>
  <c r="Z326" i="7"/>
  <c r="AJ326" i="7"/>
  <c r="H327" i="7"/>
  <c r="P327" i="7"/>
  <c r="X327" i="7"/>
  <c r="F328" i="7"/>
  <c r="V328" i="7"/>
  <c r="L329" i="7"/>
  <c r="T329" i="7"/>
  <c r="B330" i="7"/>
  <c r="J330" i="7"/>
  <c r="R330" i="7"/>
  <c r="Z330" i="7"/>
  <c r="AJ330" i="7"/>
  <c r="H331" i="7"/>
  <c r="P331" i="7"/>
  <c r="X331" i="7"/>
  <c r="F332" i="7"/>
  <c r="V332" i="7"/>
  <c r="L333" i="7"/>
  <c r="T333" i="7"/>
  <c r="B334" i="7"/>
  <c r="J334" i="7"/>
  <c r="R334" i="7"/>
  <c r="Z334" i="7"/>
  <c r="AJ334" i="7"/>
  <c r="H335" i="7"/>
  <c r="P335" i="7"/>
  <c r="X335" i="7"/>
  <c r="F336" i="7"/>
  <c r="V336" i="7"/>
  <c r="L337" i="7"/>
  <c r="T337" i="7"/>
  <c r="B338" i="7"/>
  <c r="J338" i="7"/>
  <c r="R338" i="7"/>
  <c r="Z338" i="7"/>
  <c r="AJ338" i="7"/>
  <c r="J264" i="7"/>
  <c r="AJ281" i="7"/>
  <c r="Z285" i="7"/>
  <c r="V287" i="7"/>
  <c r="R289" i="7"/>
  <c r="J293" i="7"/>
  <c r="F295" i="7"/>
  <c r="B297" i="7"/>
  <c r="X302" i="7"/>
  <c r="L304" i="7"/>
  <c r="J305" i="7"/>
  <c r="H306" i="7"/>
  <c r="F307" i="7"/>
  <c r="B309" i="7"/>
  <c r="AJ309" i="7"/>
  <c r="O312" i="7"/>
  <c r="Y312" i="7"/>
  <c r="G313" i="7"/>
  <c r="O313" i="7"/>
  <c r="W313" i="7"/>
  <c r="E314" i="7"/>
  <c r="M314" i="7"/>
  <c r="U314" i="7"/>
  <c r="C315" i="7"/>
  <c r="K315" i="7"/>
  <c r="S315" i="7"/>
  <c r="I316" i="7"/>
  <c r="Q316" i="7"/>
  <c r="Y316" i="7"/>
  <c r="G317" i="7"/>
  <c r="O317" i="7"/>
  <c r="W317" i="7"/>
  <c r="E318" i="7"/>
  <c r="M318" i="7"/>
  <c r="U318" i="7"/>
  <c r="C319" i="7"/>
  <c r="K319" i="7"/>
  <c r="S319" i="7"/>
  <c r="I320" i="7"/>
  <c r="Q320" i="7"/>
  <c r="Y320" i="7"/>
  <c r="G321" i="7"/>
  <c r="O321" i="7"/>
  <c r="W321" i="7"/>
  <c r="E322" i="7"/>
  <c r="M322" i="7"/>
  <c r="U322" i="7"/>
  <c r="C323" i="7"/>
  <c r="K323" i="7"/>
  <c r="S323" i="7"/>
  <c r="I324" i="7"/>
  <c r="Q324" i="7"/>
  <c r="Y324" i="7"/>
  <c r="G325" i="7"/>
  <c r="O325" i="7"/>
  <c r="W325" i="7"/>
  <c r="E326" i="7"/>
  <c r="M326" i="7"/>
  <c r="U326" i="7"/>
  <c r="C327" i="7"/>
  <c r="K327" i="7"/>
  <c r="S327" i="7"/>
  <c r="I328" i="7"/>
  <c r="Q328" i="7"/>
  <c r="Y328" i="7"/>
  <c r="G329" i="7"/>
  <c r="O329" i="7"/>
  <c r="W329" i="7"/>
  <c r="E330" i="7"/>
  <c r="M330" i="7"/>
  <c r="U330" i="7"/>
  <c r="C331" i="7"/>
  <c r="K331" i="7"/>
  <c r="S331" i="7"/>
  <c r="I332" i="7"/>
  <c r="Q332" i="7"/>
  <c r="Y332" i="7"/>
  <c r="G333" i="7"/>
  <c r="O333" i="7"/>
  <c r="W333" i="7"/>
  <c r="E334" i="7"/>
  <c r="M334" i="7"/>
  <c r="U334" i="7"/>
  <c r="C335" i="7"/>
  <c r="K335" i="7"/>
  <c r="S335" i="7"/>
  <c r="I336" i="7"/>
  <c r="Q336" i="7"/>
  <c r="Y336" i="7"/>
  <c r="G337" i="7"/>
  <c r="O337" i="7"/>
  <c r="W337" i="7"/>
  <c r="E338" i="7"/>
  <c r="M338" i="7"/>
  <c r="U338" i="7"/>
  <c r="R281" i="7"/>
  <c r="B289" i="7"/>
  <c r="T296" i="7"/>
  <c r="V311" i="7"/>
  <c r="E313" i="7"/>
  <c r="C314" i="7"/>
  <c r="Y319" i="7"/>
  <c r="W320" i="7"/>
  <c r="U321" i="7"/>
  <c r="S322" i="7"/>
  <c r="Q323" i="7"/>
  <c r="O324" i="7"/>
  <c r="M325" i="7"/>
  <c r="K326" i="7"/>
  <c r="I327" i="7"/>
  <c r="G328" i="7"/>
  <c r="E329" i="7"/>
  <c r="C330" i="7"/>
  <c r="O332" i="7"/>
  <c r="M333" i="7"/>
  <c r="K334" i="7"/>
  <c r="I335" i="7"/>
  <c r="Y335" i="7"/>
  <c r="G336" i="7"/>
  <c r="W336" i="7"/>
  <c r="E337" i="7"/>
  <c r="U337" i="7"/>
  <c r="C338" i="7"/>
  <c r="S338" i="7"/>
  <c r="L263" i="7"/>
  <c r="Z281" i="7"/>
  <c r="J289" i="7"/>
  <c r="E304" i="7"/>
  <c r="W311" i="7"/>
  <c r="F313" i="7"/>
  <c r="B315" i="7"/>
  <c r="AJ315" i="7"/>
  <c r="Z319" i="7"/>
  <c r="X320" i="7"/>
  <c r="V321" i="7"/>
  <c r="T322" i="7"/>
  <c r="R323" i="7"/>
  <c r="P324" i="7"/>
  <c r="L326" i="7"/>
  <c r="J327" i="7"/>
  <c r="H328" i="7"/>
  <c r="F329" i="7"/>
  <c r="B331" i="7"/>
  <c r="AJ331" i="7"/>
  <c r="P332" i="7"/>
  <c r="L334" i="7"/>
  <c r="J335" i="7"/>
  <c r="Z335" i="7"/>
  <c r="H336" i="7"/>
  <c r="X336" i="7"/>
  <c r="F337" i="7"/>
  <c r="V337" i="7"/>
  <c r="T338" i="7"/>
  <c r="P298" i="7"/>
  <c r="B305" i="7"/>
  <c r="L312" i="7"/>
  <c r="M313" i="7"/>
  <c r="K314" i="7"/>
  <c r="I315" i="7"/>
  <c r="G316" i="7"/>
  <c r="E317" i="7"/>
  <c r="C318" i="7"/>
  <c r="Y323" i="7"/>
  <c r="W324" i="7"/>
  <c r="U325" i="7"/>
  <c r="S326" i="7"/>
  <c r="Q327" i="7"/>
  <c r="O328" i="7"/>
  <c r="M329" i="7"/>
  <c r="K330" i="7"/>
  <c r="I331" i="7"/>
  <c r="B332" i="7"/>
  <c r="R332" i="7"/>
  <c r="AJ332" i="7"/>
  <c r="P333" i="7"/>
  <c r="L335" i="7"/>
  <c r="J336" i="7"/>
  <c r="Z336" i="7"/>
  <c r="H337" i="7"/>
  <c r="X337" i="7"/>
  <c r="F338" i="7"/>
  <c r="V338" i="7"/>
  <c r="V283" i="7"/>
  <c r="F291" i="7"/>
  <c r="X298" i="7"/>
  <c r="C305" i="7"/>
  <c r="M312" i="7"/>
  <c r="L314" i="7"/>
  <c r="J315" i="7"/>
  <c r="H316" i="7"/>
  <c r="F317" i="7"/>
  <c r="B319" i="7"/>
  <c r="AJ319" i="7"/>
  <c r="Z323" i="7"/>
  <c r="X324" i="7"/>
  <c r="V325" i="7"/>
  <c r="T326" i="7"/>
  <c r="R327" i="7"/>
  <c r="P328" i="7"/>
  <c r="L330" i="7"/>
  <c r="J331" i="7"/>
  <c r="T332" i="7"/>
  <c r="B333" i="7"/>
  <c r="R333" i="7"/>
  <c r="AJ333" i="7"/>
  <c r="P334" i="7"/>
  <c r="L336" i="7"/>
  <c r="J337" i="7"/>
  <c r="Z337" i="7"/>
  <c r="H338" i="7"/>
  <c r="X338" i="7"/>
  <c r="R285" i="7"/>
  <c r="B293" i="7"/>
  <c r="T300" i="7"/>
  <c r="X312" i="7"/>
  <c r="V313" i="7"/>
  <c r="T314" i="7"/>
  <c r="R315" i="7"/>
  <c r="P316" i="7"/>
  <c r="L318" i="7"/>
  <c r="J319" i="7"/>
  <c r="H320" i="7"/>
  <c r="F321" i="7"/>
  <c r="B323" i="7"/>
  <c r="AJ323" i="7"/>
  <c r="Z327" i="7"/>
  <c r="X328" i="7"/>
  <c r="V329" i="7"/>
  <c r="T330" i="7"/>
  <c r="R331" i="7"/>
  <c r="H332" i="7"/>
  <c r="X332" i="7"/>
  <c r="F333" i="7"/>
  <c r="V333" i="7"/>
  <c r="T334" i="7"/>
  <c r="B335" i="7"/>
  <c r="R335" i="7"/>
  <c r="AJ335" i="7"/>
  <c r="P336" i="7"/>
  <c r="L338" i="7"/>
  <c r="R279" i="7"/>
  <c r="F287" i="7"/>
  <c r="X294" i="7"/>
  <c r="H302" i="7"/>
  <c r="X310" i="7"/>
  <c r="Y315" i="7"/>
  <c r="W316" i="7"/>
  <c r="U317" i="7"/>
  <c r="S318" i="7"/>
  <c r="Q319" i="7"/>
  <c r="O320" i="7"/>
  <c r="M321" i="7"/>
  <c r="K322" i="7"/>
  <c r="I323" i="7"/>
  <c r="G324" i="7"/>
  <c r="E325" i="7"/>
  <c r="C326" i="7"/>
  <c r="Y331" i="7"/>
  <c r="J332" i="7"/>
  <c r="Z332" i="7"/>
  <c r="H333" i="7"/>
  <c r="X333" i="7"/>
  <c r="F334" i="7"/>
  <c r="V334" i="7"/>
  <c r="T335" i="7"/>
  <c r="B336" i="7"/>
  <c r="R336" i="7"/>
  <c r="AJ336" i="7"/>
  <c r="P337" i="7"/>
  <c r="K276" i="7"/>
  <c r="AJ305" i="7"/>
  <c r="S314" i="7"/>
  <c r="K318" i="7"/>
  <c r="C322" i="7"/>
  <c r="U329" i="7"/>
  <c r="W332" i="7"/>
  <c r="S334" i="7"/>
  <c r="O336" i="7"/>
  <c r="K338" i="7"/>
  <c r="Y310" i="7"/>
  <c r="Z315" i="7"/>
  <c r="R319" i="7"/>
  <c r="J323" i="7"/>
  <c r="B327" i="7"/>
  <c r="J333" i="7"/>
  <c r="F335" i="7"/>
  <c r="B337" i="7"/>
  <c r="L300" i="7"/>
  <c r="U313" i="7"/>
  <c r="M317" i="7"/>
  <c r="E321" i="7"/>
  <c r="W328" i="7"/>
  <c r="G332" i="7"/>
  <c r="C334" i="7"/>
  <c r="P302" i="7"/>
  <c r="V317" i="7"/>
  <c r="F325" i="7"/>
  <c r="L332" i="7"/>
  <c r="H334" i="7"/>
  <c r="AJ337" i="7"/>
  <c r="L322" i="7"/>
  <c r="X334" i="7"/>
  <c r="P338" i="7"/>
  <c r="J285" i="7"/>
  <c r="Q315" i="7"/>
  <c r="S330" i="7"/>
  <c r="O316" i="7"/>
  <c r="Q331" i="7"/>
  <c r="Q335" i="7"/>
  <c r="X316" i="7"/>
  <c r="H324" i="7"/>
  <c r="Z331" i="7"/>
  <c r="V335" i="7"/>
  <c r="T318" i="7"/>
  <c r="T336" i="7"/>
  <c r="Z309" i="7"/>
  <c r="I319" i="7"/>
  <c r="E333" i="7"/>
  <c r="W312" i="7"/>
  <c r="G320" i="7"/>
  <c r="Y327" i="7"/>
  <c r="U333" i="7"/>
  <c r="M337" i="7"/>
  <c r="P320" i="7"/>
  <c r="AJ327" i="7"/>
  <c r="Z333" i="7"/>
  <c r="R337" i="7"/>
  <c r="AC2" i="3"/>
  <c r="Z2" i="3"/>
  <c r="AD2" i="3"/>
  <c r="AE2" i="3"/>
  <c r="W2" i="3"/>
  <c r="X2" i="3"/>
  <c r="V2" i="3"/>
  <c r="AJ220" i="7"/>
  <c r="AJ189" i="7"/>
  <c r="AJ123" i="7"/>
  <c r="AJ217" i="7"/>
  <c r="AJ102" i="7"/>
  <c r="AJ202" i="7"/>
  <c r="AJ96" i="7"/>
  <c r="AJ172" i="7"/>
  <c r="AJ157" i="7"/>
  <c r="AJ29" i="7"/>
  <c r="AJ219" i="7"/>
  <c r="AJ91" i="7"/>
  <c r="AJ170" i="7"/>
  <c r="AJ42" i="7"/>
  <c r="AJ76" i="7"/>
  <c r="AJ8" i="7"/>
  <c r="AJ23" i="7"/>
  <c r="AJ200" i="7"/>
  <c r="AJ92" i="7"/>
  <c r="AJ119" i="7"/>
  <c r="AJ70" i="7"/>
  <c r="AJ180" i="7"/>
  <c r="AJ136" i="7"/>
  <c r="AJ48" i="7"/>
  <c r="AJ153" i="7"/>
  <c r="AJ25" i="7"/>
  <c r="AJ215" i="7"/>
  <c r="AJ87" i="7"/>
  <c r="AJ166" i="7"/>
  <c r="AJ38" i="7"/>
  <c r="AJ151" i="7"/>
  <c r="AJ32" i="7"/>
  <c r="AJ185" i="7"/>
  <c r="AJ16" i="7"/>
  <c r="AJ10" i="7"/>
  <c r="AJ224" i="7"/>
  <c r="AJ61" i="7"/>
  <c r="AJ74" i="7"/>
  <c r="AJ198" i="7"/>
  <c r="AJ164" i="7"/>
  <c r="AJ116" i="7"/>
  <c r="AJ100" i="7"/>
  <c r="AJ152" i="7"/>
  <c r="AJ128" i="7"/>
  <c r="AJ121" i="7"/>
  <c r="AJ183" i="7"/>
  <c r="AJ55" i="7"/>
  <c r="AJ134" i="7"/>
  <c r="AJ6" i="7"/>
  <c r="AJ89" i="7"/>
  <c r="AJ204" i="7"/>
  <c r="AJ57" i="7"/>
  <c r="AJ125" i="7"/>
  <c r="AJ187" i="7"/>
  <c r="AJ59" i="7"/>
  <c r="AJ138" i="7"/>
  <c r="AJ20" i="7"/>
  <c r="AJ108" i="7"/>
  <c r="AJ208" i="7"/>
  <c r="AJ24" i="7"/>
  <c r="AJ221" i="7"/>
  <c r="AJ93" i="7"/>
  <c r="AJ155" i="7"/>
  <c r="AJ27" i="7"/>
  <c r="AJ106" i="7"/>
  <c r="AJ84" i="7"/>
  <c r="AJ124" i="7"/>
  <c r="AJ12" i="7"/>
  <c r="AJ60" i="7"/>
  <c r="AJ184" i="7"/>
  <c r="AJ213" i="7"/>
  <c r="AJ181" i="7"/>
  <c r="AJ149" i="7"/>
  <c r="AJ117" i="7"/>
  <c r="AJ85" i="7"/>
  <c r="AJ53" i="7"/>
  <c r="AJ21" i="7"/>
  <c r="AJ211" i="7"/>
  <c r="AJ179" i="7"/>
  <c r="AJ147" i="7"/>
  <c r="AJ115" i="7"/>
  <c r="AJ83" i="7"/>
  <c r="AJ51" i="7"/>
  <c r="AJ19" i="7"/>
  <c r="AJ226" i="7"/>
  <c r="AJ194" i="7"/>
  <c r="AJ162" i="7"/>
  <c r="AJ130" i="7"/>
  <c r="AJ98" i="7"/>
  <c r="AJ66" i="7"/>
  <c r="AJ34" i="7"/>
  <c r="AK2" i="7"/>
  <c r="AJ132" i="7"/>
  <c r="AJ148" i="7"/>
  <c r="AJ168" i="7"/>
  <c r="AJ68" i="7"/>
  <c r="AJ216" i="7"/>
  <c r="AJ28" i="7"/>
  <c r="AJ192" i="7"/>
  <c r="AJ104" i="7"/>
  <c r="AJ209" i="7"/>
  <c r="AJ177" i="7"/>
  <c r="AJ145" i="7"/>
  <c r="AJ113" i="7"/>
  <c r="AJ81" i="7"/>
  <c r="AJ49" i="7"/>
  <c r="AJ17" i="7"/>
  <c r="AJ207" i="7"/>
  <c r="AJ175" i="7"/>
  <c r="AJ143" i="7"/>
  <c r="AJ111" i="7"/>
  <c r="AJ79" i="7"/>
  <c r="AJ47" i="7"/>
  <c r="AJ15" i="7"/>
  <c r="AJ222" i="7"/>
  <c r="AJ190" i="7"/>
  <c r="AJ158" i="7"/>
  <c r="AJ126" i="7"/>
  <c r="AJ94" i="7"/>
  <c r="AJ62" i="7"/>
  <c r="AJ30" i="7"/>
  <c r="AJ52" i="7"/>
  <c r="AJ188" i="7"/>
  <c r="AJ176" i="7"/>
  <c r="AJ140" i="7"/>
  <c r="AJ88" i="7"/>
  <c r="AJ205" i="7"/>
  <c r="AJ173" i="7"/>
  <c r="AJ141" i="7"/>
  <c r="AJ77" i="7"/>
  <c r="AJ13" i="7"/>
  <c r="AJ203" i="7"/>
  <c r="AJ75" i="7"/>
  <c r="AJ11" i="7"/>
  <c r="AJ186" i="7"/>
  <c r="AJ122" i="7"/>
  <c r="AJ58" i="7"/>
  <c r="AJ109" i="7"/>
  <c r="AJ45" i="7"/>
  <c r="AJ171" i="7"/>
  <c r="AJ139" i="7"/>
  <c r="AJ107" i="7"/>
  <c r="AJ43" i="7"/>
  <c r="AJ218" i="7"/>
  <c r="AJ154" i="7"/>
  <c r="AJ90" i="7"/>
  <c r="AJ26" i="7"/>
  <c r="AJ196" i="7"/>
  <c r="AJ212" i="7"/>
  <c r="AJ36" i="7"/>
  <c r="AJ144" i="7"/>
  <c r="AJ112" i="7"/>
  <c r="AJ120" i="7"/>
  <c r="AJ72" i="7"/>
  <c r="AJ201" i="7"/>
  <c r="AJ169" i="7"/>
  <c r="AJ137" i="7"/>
  <c r="AJ105" i="7"/>
  <c r="AJ73" i="7"/>
  <c r="AJ41" i="7"/>
  <c r="AJ9" i="7"/>
  <c r="AJ199" i="7"/>
  <c r="AJ167" i="7"/>
  <c r="AJ135" i="7"/>
  <c r="AJ103" i="7"/>
  <c r="AJ71" i="7"/>
  <c r="AJ39" i="7"/>
  <c r="AJ7" i="7"/>
  <c r="AJ214" i="7"/>
  <c r="AJ182" i="7"/>
  <c r="AJ150" i="7"/>
  <c r="AJ118" i="7"/>
  <c r="AJ86" i="7"/>
  <c r="AJ54" i="7"/>
  <c r="AJ22" i="7"/>
  <c r="AJ56" i="7"/>
  <c r="AJ197" i="7"/>
  <c r="AJ101" i="7"/>
  <c r="AJ37" i="7"/>
  <c r="AJ195" i="7"/>
  <c r="AJ99" i="7"/>
  <c r="AJ146" i="7"/>
  <c r="AJ160" i="7"/>
  <c r="AJ165" i="7"/>
  <c r="AJ133" i="7"/>
  <c r="AJ69" i="7"/>
  <c r="AJ5" i="7"/>
  <c r="AJ163" i="7"/>
  <c r="AJ131" i="7"/>
  <c r="AJ67" i="7"/>
  <c r="AJ35" i="7"/>
  <c r="AJ3" i="7"/>
  <c r="AJ210" i="7"/>
  <c r="AJ178" i="7"/>
  <c r="AJ114" i="7"/>
  <c r="AJ82" i="7"/>
  <c r="AJ50" i="7"/>
  <c r="AJ18" i="7"/>
  <c r="AJ4" i="7"/>
  <c r="AJ156" i="7"/>
  <c r="AJ80" i="7"/>
  <c r="AJ64" i="7"/>
  <c r="AJ44" i="7"/>
  <c r="AJ40" i="7"/>
  <c r="AJ225" i="7"/>
  <c r="AJ193" i="7"/>
  <c r="AJ161" i="7"/>
  <c r="AJ129" i="7"/>
  <c r="AJ97" i="7"/>
  <c r="AJ65" i="7"/>
  <c r="AJ33" i="7"/>
  <c r="AJ223" i="7"/>
  <c r="AJ191" i="7"/>
  <c r="AJ159" i="7"/>
  <c r="AJ127" i="7"/>
  <c r="AJ95" i="7"/>
  <c r="AJ63" i="7"/>
  <c r="AJ31" i="7"/>
  <c r="AJ206" i="7"/>
  <c r="AJ174" i="7"/>
  <c r="AJ142" i="7"/>
  <c r="AJ110" i="7"/>
  <c r="AJ78" i="7"/>
  <c r="AJ46" i="7"/>
  <c r="AJ14" i="7"/>
  <c r="B2" i="3"/>
  <c r="H3" i="7"/>
  <c r="Q3" i="7"/>
  <c r="Y3" i="7"/>
  <c r="J4" i="7"/>
  <c r="S4" i="7"/>
  <c r="B5" i="7"/>
  <c r="K5" i="7"/>
  <c r="T5" i="7"/>
  <c r="C6" i="7"/>
  <c r="L6" i="7"/>
  <c r="U6" i="7"/>
  <c r="E7" i="7"/>
  <c r="M7" i="7"/>
  <c r="V7" i="7"/>
  <c r="F8" i="7"/>
  <c r="O8" i="7"/>
  <c r="W8" i="7"/>
  <c r="G9" i="7"/>
  <c r="P9" i="7"/>
  <c r="X9" i="7"/>
  <c r="H10" i="7"/>
  <c r="I3" i="7"/>
  <c r="R3" i="7"/>
  <c r="Z3" i="7"/>
  <c r="B4" i="7"/>
  <c r="K4" i="7"/>
  <c r="T4" i="7"/>
  <c r="C5" i="7"/>
  <c r="L5" i="7"/>
  <c r="U5" i="7"/>
  <c r="E6" i="7"/>
  <c r="M6" i="7"/>
  <c r="V6" i="7"/>
  <c r="F7" i="7"/>
  <c r="O7" i="7"/>
  <c r="W7" i="7"/>
  <c r="B3" i="7"/>
  <c r="K3" i="7"/>
  <c r="T3" i="7"/>
  <c r="E4" i="7"/>
  <c r="M4" i="7"/>
  <c r="V4" i="7"/>
  <c r="F5" i="7"/>
  <c r="O5" i="7"/>
  <c r="W5" i="7"/>
  <c r="G6" i="7"/>
  <c r="P6" i="7"/>
  <c r="X6" i="7"/>
  <c r="H7" i="7"/>
  <c r="Q7" i="7"/>
  <c r="Y7" i="7"/>
  <c r="I8" i="7"/>
  <c r="R8" i="7"/>
  <c r="Z8" i="7"/>
  <c r="J9" i="7"/>
  <c r="S9" i="7"/>
  <c r="B10" i="7"/>
  <c r="K10" i="7"/>
  <c r="C3" i="7"/>
  <c r="L3" i="7"/>
  <c r="U3" i="7"/>
  <c r="F4" i="7"/>
  <c r="O4" i="7"/>
  <c r="W4" i="7"/>
  <c r="G5" i="7"/>
  <c r="P5" i="7"/>
  <c r="X5" i="7"/>
  <c r="H6" i="7"/>
  <c r="Q6" i="7"/>
  <c r="Y6" i="7"/>
  <c r="I7" i="7"/>
  <c r="R7" i="7"/>
  <c r="Z7" i="7"/>
  <c r="J8" i="7"/>
  <c r="S8" i="7"/>
  <c r="B9" i="7"/>
  <c r="K9" i="7"/>
  <c r="T9" i="7"/>
  <c r="C10" i="7"/>
  <c r="L10" i="7"/>
  <c r="E3" i="7"/>
  <c r="M3" i="7"/>
  <c r="V3" i="7"/>
  <c r="G4" i="7"/>
  <c r="P4" i="7"/>
  <c r="X4" i="7"/>
  <c r="H5" i="7"/>
  <c r="Q5" i="7"/>
  <c r="Y5" i="7"/>
  <c r="I6" i="7"/>
  <c r="R6" i="7"/>
  <c r="Z6" i="7"/>
  <c r="J7" i="7"/>
  <c r="S7" i="7"/>
  <c r="F3" i="7"/>
  <c r="O3" i="7"/>
  <c r="W3" i="7"/>
  <c r="H4" i="7"/>
  <c r="Q4" i="7"/>
  <c r="Y4" i="7"/>
  <c r="I5" i="7"/>
  <c r="R5" i="7"/>
  <c r="Z5" i="7"/>
  <c r="J6" i="7"/>
  <c r="S6" i="7"/>
  <c r="B7" i="7"/>
  <c r="K7" i="7"/>
  <c r="T7" i="7"/>
  <c r="C8" i="7"/>
  <c r="L8" i="7"/>
  <c r="U8" i="7"/>
  <c r="E9" i="7"/>
  <c r="M9" i="7"/>
  <c r="V9" i="7"/>
  <c r="F10" i="7"/>
  <c r="G3" i="7"/>
  <c r="P3" i="7"/>
  <c r="X3" i="7"/>
  <c r="I4" i="7"/>
  <c r="R4" i="7"/>
  <c r="Z4" i="7"/>
  <c r="J5" i="7"/>
  <c r="S5" i="7"/>
  <c r="B6" i="7"/>
  <c r="K6" i="7"/>
  <c r="T6" i="7"/>
  <c r="C7" i="7"/>
  <c r="L7" i="7"/>
  <c r="U7" i="7"/>
  <c r="E8" i="7"/>
  <c r="M8" i="7"/>
  <c r="V8" i="7"/>
  <c r="F9" i="7"/>
  <c r="O9" i="7"/>
  <c r="W9" i="7"/>
  <c r="G10" i="7"/>
  <c r="J3" i="7"/>
  <c r="M5" i="7"/>
  <c r="P7" i="7"/>
  <c r="P8" i="7"/>
  <c r="C9" i="7"/>
  <c r="Z9" i="7"/>
  <c r="O10" i="7"/>
  <c r="W10" i="7"/>
  <c r="G11" i="7"/>
  <c r="P11" i="7"/>
  <c r="X11" i="7"/>
  <c r="H12" i="7"/>
  <c r="Q12" i="7"/>
  <c r="Y12" i="7"/>
  <c r="I13" i="7"/>
  <c r="R13" i="7"/>
  <c r="Z13" i="7"/>
  <c r="J14" i="7"/>
  <c r="S14" i="7"/>
  <c r="B15" i="7"/>
  <c r="K15" i="7"/>
  <c r="T15" i="7"/>
  <c r="C16" i="7"/>
  <c r="L16" i="7"/>
  <c r="U16" i="7"/>
  <c r="E17" i="7"/>
  <c r="M17" i="7"/>
  <c r="V17" i="7"/>
  <c r="F18" i="7"/>
  <c r="O18" i="7"/>
  <c r="W18" i="7"/>
  <c r="G19" i="7"/>
  <c r="P19" i="7"/>
  <c r="X19" i="7"/>
  <c r="H20" i="7"/>
  <c r="Q20" i="7"/>
  <c r="Y20" i="7"/>
  <c r="I21" i="7"/>
  <c r="R21" i="7"/>
  <c r="Z21" i="7"/>
  <c r="J22" i="7"/>
  <c r="S22" i="7"/>
  <c r="B23" i="7"/>
  <c r="K23" i="7"/>
  <c r="T23" i="7"/>
  <c r="C24" i="7"/>
  <c r="L24" i="7"/>
  <c r="U24" i="7"/>
  <c r="E25" i="7"/>
  <c r="M25" i="7"/>
  <c r="V25" i="7"/>
  <c r="F26" i="7"/>
  <c r="O26" i="7"/>
  <c r="W26" i="7"/>
  <c r="G27" i="7"/>
  <c r="P27" i="7"/>
  <c r="X27" i="7"/>
  <c r="H28" i="7"/>
  <c r="Q28" i="7"/>
  <c r="Y28" i="7"/>
  <c r="S3" i="7"/>
  <c r="V5" i="7"/>
  <c r="X7" i="7"/>
  <c r="Q8" i="7"/>
  <c r="H9" i="7"/>
  <c r="P10" i="7"/>
  <c r="X10" i="7"/>
  <c r="H11" i="7"/>
  <c r="Q11" i="7"/>
  <c r="Y11" i="7"/>
  <c r="I12" i="7"/>
  <c r="R12" i="7"/>
  <c r="Z12" i="7"/>
  <c r="J13" i="7"/>
  <c r="S13" i="7"/>
  <c r="B14" i="7"/>
  <c r="K14" i="7"/>
  <c r="T14" i="7"/>
  <c r="C15" i="7"/>
  <c r="L15" i="7"/>
  <c r="U15" i="7"/>
  <c r="E16" i="7"/>
  <c r="M16" i="7"/>
  <c r="V16" i="7"/>
  <c r="F17" i="7"/>
  <c r="O17" i="7"/>
  <c r="W17" i="7"/>
  <c r="G18" i="7"/>
  <c r="P18" i="7"/>
  <c r="X18" i="7"/>
  <c r="H19" i="7"/>
  <c r="Q19" i="7"/>
  <c r="Y19" i="7"/>
  <c r="I20" i="7"/>
  <c r="R20" i="7"/>
  <c r="Z20" i="7"/>
  <c r="J21" i="7"/>
  <c r="S21" i="7"/>
  <c r="B22" i="7"/>
  <c r="K22" i="7"/>
  <c r="T22" i="7"/>
  <c r="C23" i="7"/>
  <c r="L23" i="7"/>
  <c r="U23" i="7"/>
  <c r="E24" i="7"/>
  <c r="M24" i="7"/>
  <c r="V24" i="7"/>
  <c r="F25" i="7"/>
  <c r="O25" i="7"/>
  <c r="W25" i="7"/>
  <c r="G26" i="7"/>
  <c r="P26" i="7"/>
  <c r="T8" i="7"/>
  <c r="I9" i="7"/>
  <c r="Q10" i="7"/>
  <c r="Y10" i="7"/>
  <c r="I11" i="7"/>
  <c r="R11" i="7"/>
  <c r="Z11" i="7"/>
  <c r="J12" i="7"/>
  <c r="S12" i="7"/>
  <c r="B13" i="7"/>
  <c r="K13" i="7"/>
  <c r="T13" i="7"/>
  <c r="C14" i="7"/>
  <c r="C4" i="7"/>
  <c r="F6" i="7"/>
  <c r="X8" i="7"/>
  <c r="L9" i="7"/>
  <c r="R10" i="7"/>
  <c r="Z10" i="7"/>
  <c r="J11" i="7"/>
  <c r="S11" i="7"/>
  <c r="B12" i="7"/>
  <c r="K12" i="7"/>
  <c r="T12" i="7"/>
  <c r="C13" i="7"/>
  <c r="L13" i="7"/>
  <c r="U13" i="7"/>
  <c r="E14" i="7"/>
  <c r="M14" i="7"/>
  <c r="V14" i="7"/>
  <c r="F15" i="7"/>
  <c r="O15" i="7"/>
  <c r="W15" i="7"/>
  <c r="G16" i="7"/>
  <c r="P16" i="7"/>
  <c r="X16" i="7"/>
  <c r="H17" i="7"/>
  <c r="Q17" i="7"/>
  <c r="Y17" i="7"/>
  <c r="I18" i="7"/>
  <c r="R18" i="7"/>
  <c r="Z18" i="7"/>
  <c r="J19" i="7"/>
  <c r="S19" i="7"/>
  <c r="B20" i="7"/>
  <c r="K20" i="7"/>
  <c r="T20" i="7"/>
  <c r="C21" i="7"/>
  <c r="L21" i="7"/>
  <c r="U21" i="7"/>
  <c r="E22" i="7"/>
  <c r="M22" i="7"/>
  <c r="V22" i="7"/>
  <c r="F23" i="7"/>
  <c r="O23" i="7"/>
  <c r="W23" i="7"/>
  <c r="G24" i="7"/>
  <c r="P24" i="7"/>
  <c r="X24" i="7"/>
  <c r="L4" i="7"/>
  <c r="O6" i="7"/>
  <c r="B8" i="7"/>
  <c r="Y8" i="7"/>
  <c r="Q9" i="7"/>
  <c r="E10" i="7"/>
  <c r="S10" i="7"/>
  <c r="B11" i="7"/>
  <c r="K11" i="7"/>
  <c r="T11" i="7"/>
  <c r="C12" i="7"/>
  <c r="L12" i="7"/>
  <c r="U12" i="7"/>
  <c r="E13" i="7"/>
  <c r="M13" i="7"/>
  <c r="V13" i="7"/>
  <c r="F14" i="7"/>
  <c r="O14" i="7"/>
  <c r="W14" i="7"/>
  <c r="G15" i="7"/>
  <c r="P15" i="7"/>
  <c r="X15" i="7"/>
  <c r="H16" i="7"/>
  <c r="Q16" i="7"/>
  <c r="Y16" i="7"/>
  <c r="I17" i="7"/>
  <c r="R17" i="7"/>
  <c r="Z17" i="7"/>
  <c r="J18" i="7"/>
  <c r="S18" i="7"/>
  <c r="B19" i="7"/>
  <c r="K19" i="7"/>
  <c r="T19" i="7"/>
  <c r="C20" i="7"/>
  <c r="L20" i="7"/>
  <c r="U20" i="7"/>
  <c r="E21" i="7"/>
  <c r="M21" i="7"/>
  <c r="V21" i="7"/>
  <c r="F22" i="7"/>
  <c r="O22" i="7"/>
  <c r="W22" i="7"/>
  <c r="G23" i="7"/>
  <c r="P23" i="7"/>
  <c r="X23" i="7"/>
  <c r="H24" i="7"/>
  <c r="Q24" i="7"/>
  <c r="Y24" i="7"/>
  <c r="I25" i="7"/>
  <c r="R25" i="7"/>
  <c r="Z25" i="7"/>
  <c r="J26" i="7"/>
  <c r="S26" i="7"/>
  <c r="B27" i="7"/>
  <c r="K27" i="7"/>
  <c r="T27" i="7"/>
  <c r="C28" i="7"/>
  <c r="L28" i="7"/>
  <c r="U28" i="7"/>
  <c r="U4" i="7"/>
  <c r="W6" i="7"/>
  <c r="G8" i="7"/>
  <c r="R9" i="7"/>
  <c r="I10" i="7"/>
  <c r="T10" i="7"/>
  <c r="C11" i="7"/>
  <c r="L11" i="7"/>
  <c r="U11" i="7"/>
  <c r="E12" i="7"/>
  <c r="M12" i="7"/>
  <c r="V12" i="7"/>
  <c r="F13" i="7"/>
  <c r="O13" i="7"/>
  <c r="W13" i="7"/>
  <c r="G14" i="7"/>
  <c r="P14" i="7"/>
  <c r="X14" i="7"/>
  <c r="H15" i="7"/>
  <c r="Q15" i="7"/>
  <c r="Y15" i="7"/>
  <c r="I16" i="7"/>
  <c r="R16" i="7"/>
  <c r="Z16" i="7"/>
  <c r="J17" i="7"/>
  <c r="S17" i="7"/>
  <c r="B18" i="7"/>
  <c r="K18" i="7"/>
  <c r="T18" i="7"/>
  <c r="C19" i="7"/>
  <c r="L19" i="7"/>
  <c r="U19" i="7"/>
  <c r="E20" i="7"/>
  <c r="M20" i="7"/>
  <c r="V20" i="7"/>
  <c r="F21" i="7"/>
  <c r="O21" i="7"/>
  <c r="W21" i="7"/>
  <c r="G22" i="7"/>
  <c r="P22" i="7"/>
  <c r="X22" i="7"/>
  <c r="H23" i="7"/>
  <c r="Q23" i="7"/>
  <c r="Y23" i="7"/>
  <c r="I24" i="7"/>
  <c r="R24" i="7"/>
  <c r="Z24" i="7"/>
  <c r="J25" i="7"/>
  <c r="S25" i="7"/>
  <c r="B26" i="7"/>
  <c r="K26" i="7"/>
  <c r="E5" i="7"/>
  <c r="G7" i="7"/>
  <c r="K8" i="7"/>
  <c r="Y9" i="7"/>
  <c r="M10" i="7"/>
  <c r="V10" i="7"/>
  <c r="F11" i="7"/>
  <c r="O11" i="7"/>
  <c r="W11" i="7"/>
  <c r="G12" i="7"/>
  <c r="P12" i="7"/>
  <c r="X12" i="7"/>
  <c r="H13" i="7"/>
  <c r="Q13" i="7"/>
  <c r="Y13" i="7"/>
  <c r="I14" i="7"/>
  <c r="R14" i="7"/>
  <c r="Z14" i="7"/>
  <c r="J15" i="7"/>
  <c r="S15" i="7"/>
  <c r="B16" i="7"/>
  <c r="K16" i="7"/>
  <c r="T16" i="7"/>
  <c r="C17" i="7"/>
  <c r="L17" i="7"/>
  <c r="U17" i="7"/>
  <c r="E18" i="7"/>
  <c r="M18" i="7"/>
  <c r="V18" i="7"/>
  <c r="F19" i="7"/>
  <c r="O19" i="7"/>
  <c r="W19" i="7"/>
  <c r="G20" i="7"/>
  <c r="P20" i="7"/>
  <c r="X20" i="7"/>
  <c r="H21" i="7"/>
  <c r="Q21" i="7"/>
  <c r="Y21" i="7"/>
  <c r="I22" i="7"/>
  <c r="R22" i="7"/>
  <c r="Z22" i="7"/>
  <c r="J23" i="7"/>
  <c r="S23" i="7"/>
  <c r="B24" i="7"/>
  <c r="K24" i="7"/>
  <c r="T24" i="7"/>
  <c r="C25" i="7"/>
  <c r="L25" i="7"/>
  <c r="U25" i="7"/>
  <c r="E26" i="7"/>
  <c r="M26" i="7"/>
  <c r="V26" i="7"/>
  <c r="F27" i="7"/>
  <c r="O27" i="7"/>
  <c r="W27" i="7"/>
  <c r="M11" i="7"/>
  <c r="P13" i="7"/>
  <c r="B21" i="7"/>
  <c r="C22" i="7"/>
  <c r="E23" i="7"/>
  <c r="F24" i="7"/>
  <c r="B25" i="7"/>
  <c r="Y25" i="7"/>
  <c r="Q26" i="7"/>
  <c r="J27" i="7"/>
  <c r="Y27" i="7"/>
  <c r="E28" i="7"/>
  <c r="P28" i="7"/>
  <c r="E29" i="7"/>
  <c r="M29" i="7"/>
  <c r="V29" i="7"/>
  <c r="F30" i="7"/>
  <c r="O30" i="7"/>
  <c r="W30" i="7"/>
  <c r="G31" i="7"/>
  <c r="P31" i="7"/>
  <c r="X31" i="7"/>
  <c r="H32" i="7"/>
  <c r="Q32" i="7"/>
  <c r="Y32" i="7"/>
  <c r="I33" i="7"/>
  <c r="R33" i="7"/>
  <c r="Z33" i="7"/>
  <c r="J34" i="7"/>
  <c r="S34" i="7"/>
  <c r="B35" i="7"/>
  <c r="K35" i="7"/>
  <c r="T35" i="7"/>
  <c r="C36" i="7"/>
  <c r="L36" i="7"/>
  <c r="U36" i="7"/>
  <c r="E37" i="7"/>
  <c r="M37" i="7"/>
  <c r="V37" i="7"/>
  <c r="F38" i="7"/>
  <c r="O38" i="7"/>
  <c r="W38" i="7"/>
  <c r="G39" i="7"/>
  <c r="P39" i="7"/>
  <c r="X39" i="7"/>
  <c r="H40" i="7"/>
  <c r="Q40" i="7"/>
  <c r="Y40" i="7"/>
  <c r="I41" i="7"/>
  <c r="R41" i="7"/>
  <c r="Z41" i="7"/>
  <c r="J42" i="7"/>
  <c r="S42" i="7"/>
  <c r="B43" i="7"/>
  <c r="K43" i="7"/>
  <c r="T43" i="7"/>
  <c r="C44" i="7"/>
  <c r="L44" i="7"/>
  <c r="U44" i="7"/>
  <c r="E45" i="7"/>
  <c r="H8" i="7"/>
  <c r="V11" i="7"/>
  <c r="X13" i="7"/>
  <c r="B17" i="7"/>
  <c r="C18" i="7"/>
  <c r="E19" i="7"/>
  <c r="F20" i="7"/>
  <c r="G21" i="7"/>
  <c r="H22" i="7"/>
  <c r="I23" i="7"/>
  <c r="J24" i="7"/>
  <c r="G25" i="7"/>
  <c r="R26" i="7"/>
  <c r="L27" i="7"/>
  <c r="Z27" i="7"/>
  <c r="F28" i="7"/>
  <c r="R28" i="7"/>
  <c r="F29" i="7"/>
  <c r="O29" i="7"/>
  <c r="W29" i="7"/>
  <c r="G30" i="7"/>
  <c r="P30" i="7"/>
  <c r="X30" i="7"/>
  <c r="H31" i="7"/>
  <c r="Q31" i="7"/>
  <c r="Y31" i="7"/>
  <c r="I32" i="7"/>
  <c r="R32" i="7"/>
  <c r="Z32" i="7"/>
  <c r="J33" i="7"/>
  <c r="S33" i="7"/>
  <c r="B34" i="7"/>
  <c r="K34" i="7"/>
  <c r="T34" i="7"/>
  <c r="C35" i="7"/>
  <c r="L35" i="7"/>
  <c r="U35" i="7"/>
  <c r="E36" i="7"/>
  <c r="M36" i="7"/>
  <c r="V36" i="7"/>
  <c r="F37" i="7"/>
  <c r="O37" i="7"/>
  <c r="W37" i="7"/>
  <c r="G38" i="7"/>
  <c r="P38" i="7"/>
  <c r="X38" i="7"/>
  <c r="H39" i="7"/>
  <c r="Q39" i="7"/>
  <c r="Y39" i="7"/>
  <c r="I40" i="7"/>
  <c r="R40" i="7"/>
  <c r="Z40" i="7"/>
  <c r="J41" i="7"/>
  <c r="S41" i="7"/>
  <c r="B42" i="7"/>
  <c r="K42" i="7"/>
  <c r="T42" i="7"/>
  <c r="C43" i="7"/>
  <c r="L43" i="7"/>
  <c r="U43" i="7"/>
  <c r="E44" i="7"/>
  <c r="M44" i="7"/>
  <c r="V44" i="7"/>
  <c r="E15" i="7"/>
  <c r="F16" i="7"/>
  <c r="G17" i="7"/>
  <c r="H18" i="7"/>
  <c r="I19" i="7"/>
  <c r="J20" i="7"/>
  <c r="K21" i="7"/>
  <c r="L22" i="7"/>
  <c r="M23" i="7"/>
  <c r="O24" i="7"/>
  <c r="H25" i="7"/>
  <c r="T26" i="7"/>
  <c r="U9" i="7"/>
  <c r="F12" i="7"/>
  <c r="H14" i="7"/>
  <c r="I15" i="7"/>
  <c r="J16" i="7"/>
  <c r="K17" i="7"/>
  <c r="L18" i="7"/>
  <c r="M19" i="7"/>
  <c r="O20" i="7"/>
  <c r="P21" i="7"/>
  <c r="Q22" i="7"/>
  <c r="R23" i="7"/>
  <c r="S24" i="7"/>
  <c r="K25" i="7"/>
  <c r="U26" i="7"/>
  <c r="Q27" i="7"/>
  <c r="I28" i="7"/>
  <c r="T28" i="7"/>
  <c r="H29" i="7"/>
  <c r="Q29" i="7"/>
  <c r="Y29" i="7"/>
  <c r="I30" i="7"/>
  <c r="R30" i="7"/>
  <c r="Z30" i="7"/>
  <c r="J31" i="7"/>
  <c r="S31" i="7"/>
  <c r="B32" i="7"/>
  <c r="K32" i="7"/>
  <c r="T32" i="7"/>
  <c r="C33" i="7"/>
  <c r="L33" i="7"/>
  <c r="U33" i="7"/>
  <c r="E34" i="7"/>
  <c r="M34" i="7"/>
  <c r="V34" i="7"/>
  <c r="J10" i="7"/>
  <c r="O12" i="7"/>
  <c r="L14" i="7"/>
  <c r="M15" i="7"/>
  <c r="O16" i="7"/>
  <c r="P17" i="7"/>
  <c r="Q18" i="7"/>
  <c r="R19" i="7"/>
  <c r="S20" i="7"/>
  <c r="T21" i="7"/>
  <c r="U22" i="7"/>
  <c r="V23" i="7"/>
  <c r="W24" i="7"/>
  <c r="P25" i="7"/>
  <c r="C26" i="7"/>
  <c r="X26" i="7"/>
  <c r="C27" i="7"/>
  <c r="R27" i="7"/>
  <c r="J28" i="7"/>
  <c r="V28" i="7"/>
  <c r="I29" i="7"/>
  <c r="R29" i="7"/>
  <c r="Z29" i="7"/>
  <c r="J30" i="7"/>
  <c r="S30" i="7"/>
  <c r="B31" i="7"/>
  <c r="K31" i="7"/>
  <c r="T31" i="7"/>
  <c r="C32" i="7"/>
  <c r="L32" i="7"/>
  <c r="U32" i="7"/>
  <c r="E33" i="7"/>
  <c r="M33" i="7"/>
  <c r="V33" i="7"/>
  <c r="F34" i="7"/>
  <c r="O34" i="7"/>
  <c r="W34" i="7"/>
  <c r="G35" i="7"/>
  <c r="P35" i="7"/>
  <c r="X35" i="7"/>
  <c r="H36" i="7"/>
  <c r="Q36" i="7"/>
  <c r="Y36" i="7"/>
  <c r="I37" i="7"/>
  <c r="R37" i="7"/>
  <c r="Z37" i="7"/>
  <c r="J38" i="7"/>
  <c r="S38" i="7"/>
  <c r="B39" i="7"/>
  <c r="K39" i="7"/>
  <c r="T39" i="7"/>
  <c r="C40" i="7"/>
  <c r="L40" i="7"/>
  <c r="U40" i="7"/>
  <c r="E41" i="7"/>
  <c r="M41" i="7"/>
  <c r="V41" i="7"/>
  <c r="F42" i="7"/>
  <c r="O42" i="7"/>
  <c r="W42" i="7"/>
  <c r="G43" i="7"/>
  <c r="P43" i="7"/>
  <c r="X43" i="7"/>
  <c r="H44" i="7"/>
  <c r="Q44" i="7"/>
  <c r="Y44" i="7"/>
  <c r="I45" i="7"/>
  <c r="U10" i="7"/>
  <c r="W12" i="7"/>
  <c r="Q14" i="7"/>
  <c r="R15" i="7"/>
  <c r="S16" i="7"/>
  <c r="T17" i="7"/>
  <c r="U18" i="7"/>
  <c r="V19" i="7"/>
  <c r="W20" i="7"/>
  <c r="X21" i="7"/>
  <c r="Y22" i="7"/>
  <c r="Z23" i="7"/>
  <c r="Q25" i="7"/>
  <c r="H26" i="7"/>
  <c r="Y26" i="7"/>
  <c r="E27" i="7"/>
  <c r="S27" i="7"/>
  <c r="K28" i="7"/>
  <c r="W28" i="7"/>
  <c r="J29" i="7"/>
  <c r="S29" i="7"/>
  <c r="B30" i="7"/>
  <c r="K30" i="7"/>
  <c r="T30" i="7"/>
  <c r="C31" i="7"/>
  <c r="L31" i="7"/>
  <c r="U31" i="7"/>
  <c r="E32" i="7"/>
  <c r="M32" i="7"/>
  <c r="V32" i="7"/>
  <c r="F33" i="7"/>
  <c r="O33" i="7"/>
  <c r="W33" i="7"/>
  <c r="G34" i="7"/>
  <c r="P34" i="7"/>
  <c r="X34" i="7"/>
  <c r="H35" i="7"/>
  <c r="Q35" i="7"/>
  <c r="Y35" i="7"/>
  <c r="I36" i="7"/>
  <c r="R36" i="7"/>
  <c r="Z36" i="7"/>
  <c r="J37" i="7"/>
  <c r="S37" i="7"/>
  <c r="B38" i="7"/>
  <c r="K38" i="7"/>
  <c r="T38" i="7"/>
  <c r="C39" i="7"/>
  <c r="L39" i="7"/>
  <c r="U39" i="7"/>
  <c r="E40" i="7"/>
  <c r="M40" i="7"/>
  <c r="V40" i="7"/>
  <c r="F41" i="7"/>
  <c r="O41" i="7"/>
  <c r="W41" i="7"/>
  <c r="G42" i="7"/>
  <c r="P42" i="7"/>
  <c r="X42" i="7"/>
  <c r="H43" i="7"/>
  <c r="Q43" i="7"/>
  <c r="Y43" i="7"/>
  <c r="I44" i="7"/>
  <c r="R44" i="7"/>
  <c r="Z44" i="7"/>
  <c r="U14" i="7"/>
  <c r="V15" i="7"/>
  <c r="W16" i="7"/>
  <c r="X17" i="7"/>
  <c r="L26" i="7"/>
  <c r="Z28" i="7"/>
  <c r="T29" i="7"/>
  <c r="H30" i="7"/>
  <c r="V31" i="7"/>
  <c r="J32" i="7"/>
  <c r="X33" i="7"/>
  <c r="L34" i="7"/>
  <c r="S35" i="7"/>
  <c r="B36" i="7"/>
  <c r="T36" i="7"/>
  <c r="C37" i="7"/>
  <c r="U37" i="7"/>
  <c r="E38" i="7"/>
  <c r="V38" i="7"/>
  <c r="F39" i="7"/>
  <c r="W39" i="7"/>
  <c r="G40" i="7"/>
  <c r="X40" i="7"/>
  <c r="H41" i="7"/>
  <c r="Y41" i="7"/>
  <c r="I42" i="7"/>
  <c r="Z42" i="7"/>
  <c r="J43" i="7"/>
  <c r="K44" i="7"/>
  <c r="J45" i="7"/>
  <c r="S45" i="7"/>
  <c r="B46" i="7"/>
  <c r="K46" i="7"/>
  <c r="T46" i="7"/>
  <c r="C47" i="7"/>
  <c r="L47" i="7"/>
  <c r="U47" i="7"/>
  <c r="E48" i="7"/>
  <c r="M48" i="7"/>
  <c r="V48" i="7"/>
  <c r="F49" i="7"/>
  <c r="O49" i="7"/>
  <c r="W49" i="7"/>
  <c r="G50" i="7"/>
  <c r="P50" i="7"/>
  <c r="X50" i="7"/>
  <c r="H51" i="7"/>
  <c r="Q51" i="7"/>
  <c r="Y51" i="7"/>
  <c r="I52" i="7"/>
  <c r="R52" i="7"/>
  <c r="Z52" i="7"/>
  <c r="J53" i="7"/>
  <c r="S53" i="7"/>
  <c r="B54" i="7"/>
  <c r="K54" i="7"/>
  <c r="T54" i="7"/>
  <c r="C55" i="7"/>
  <c r="L55" i="7"/>
  <c r="U55" i="7"/>
  <c r="E56" i="7"/>
  <c r="M56" i="7"/>
  <c r="V56" i="7"/>
  <c r="F57" i="7"/>
  <c r="O57" i="7"/>
  <c r="W57" i="7"/>
  <c r="G58" i="7"/>
  <c r="P58" i="7"/>
  <c r="X58" i="7"/>
  <c r="E11" i="7"/>
  <c r="Z19" i="7"/>
  <c r="Z26" i="7"/>
  <c r="U29" i="7"/>
  <c r="L30" i="7"/>
  <c r="W31" i="7"/>
  <c r="O32" i="7"/>
  <c r="B33" i="7"/>
  <c r="Y33" i="7"/>
  <c r="Q34" i="7"/>
  <c r="E35" i="7"/>
  <c r="V35" i="7"/>
  <c r="F36" i="7"/>
  <c r="W36" i="7"/>
  <c r="G37" i="7"/>
  <c r="X37" i="7"/>
  <c r="H38" i="7"/>
  <c r="Y38" i="7"/>
  <c r="I39" i="7"/>
  <c r="Z39" i="7"/>
  <c r="J40" i="7"/>
  <c r="K41" i="7"/>
  <c r="L42" i="7"/>
  <c r="M43" i="7"/>
  <c r="O44" i="7"/>
  <c r="K45" i="7"/>
  <c r="T45" i="7"/>
  <c r="C46" i="7"/>
  <c r="L46" i="7"/>
  <c r="U46" i="7"/>
  <c r="E47" i="7"/>
  <c r="M47" i="7"/>
  <c r="V47" i="7"/>
  <c r="F48" i="7"/>
  <c r="O48" i="7"/>
  <c r="W48" i="7"/>
  <c r="G49" i="7"/>
  <c r="P49" i="7"/>
  <c r="X49" i="7"/>
  <c r="H50" i="7"/>
  <c r="Q50" i="7"/>
  <c r="Y50" i="7"/>
  <c r="I51" i="7"/>
  <c r="R51" i="7"/>
  <c r="Z51" i="7"/>
  <c r="J52" i="7"/>
  <c r="S52" i="7"/>
  <c r="B53" i="7"/>
  <c r="K53" i="7"/>
  <c r="T53" i="7"/>
  <c r="C54" i="7"/>
  <c r="L54" i="7"/>
  <c r="U54" i="7"/>
  <c r="E55" i="7"/>
  <c r="M55" i="7"/>
  <c r="V55" i="7"/>
  <c r="F56" i="7"/>
  <c r="O56" i="7"/>
  <c r="W56" i="7"/>
  <c r="G57" i="7"/>
  <c r="P57" i="7"/>
  <c r="X57" i="7"/>
  <c r="H58" i="7"/>
  <c r="Q58" i="7"/>
  <c r="Y58" i="7"/>
  <c r="G13" i="7"/>
  <c r="B28" i="7"/>
  <c r="B29" i="7"/>
  <c r="X29" i="7"/>
  <c r="M30" i="7"/>
  <c r="E31" i="7"/>
  <c r="Z31" i="7"/>
  <c r="P32" i="7"/>
  <c r="G33" i="7"/>
  <c r="R34" i="7"/>
  <c r="F35" i="7"/>
  <c r="W35" i="7"/>
  <c r="G36" i="7"/>
  <c r="X36" i="7"/>
  <c r="H37" i="7"/>
  <c r="Y37" i="7"/>
  <c r="I38" i="7"/>
  <c r="Z38" i="7"/>
  <c r="J39" i="7"/>
  <c r="K40" i="7"/>
  <c r="L41" i="7"/>
  <c r="M42" i="7"/>
  <c r="O43" i="7"/>
  <c r="P44" i="7"/>
  <c r="L45" i="7"/>
  <c r="U45" i="7"/>
  <c r="E46" i="7"/>
  <c r="M46" i="7"/>
  <c r="V46" i="7"/>
  <c r="F47" i="7"/>
  <c r="O47" i="7"/>
  <c r="W47" i="7"/>
  <c r="G48" i="7"/>
  <c r="P48" i="7"/>
  <c r="X48" i="7"/>
  <c r="H49" i="7"/>
  <c r="Q49" i="7"/>
  <c r="Y49" i="7"/>
  <c r="I50" i="7"/>
  <c r="R50" i="7"/>
  <c r="Z50" i="7"/>
  <c r="J51" i="7"/>
  <c r="S51" i="7"/>
  <c r="B52" i="7"/>
  <c r="K52" i="7"/>
  <c r="T52" i="7"/>
  <c r="C53" i="7"/>
  <c r="L53" i="7"/>
  <c r="U53" i="7"/>
  <c r="E54" i="7"/>
  <c r="M54" i="7"/>
  <c r="V54" i="7"/>
  <c r="F55" i="7"/>
  <c r="O55" i="7"/>
  <c r="W55" i="7"/>
  <c r="G56" i="7"/>
  <c r="P56" i="7"/>
  <c r="X56" i="7"/>
  <c r="H57" i="7"/>
  <c r="Q57" i="7"/>
  <c r="Y57" i="7"/>
  <c r="I58" i="7"/>
  <c r="Y14" i="7"/>
  <c r="H27" i="7"/>
  <c r="G28" i="7"/>
  <c r="C29" i="7"/>
  <c r="Q30" i="7"/>
  <c r="F31" i="7"/>
  <c r="S32" i="7"/>
  <c r="H33" i="7"/>
  <c r="U34" i="7"/>
  <c r="I35" i="7"/>
  <c r="Z35" i="7"/>
  <c r="J36" i="7"/>
  <c r="K37" i="7"/>
  <c r="L38" i="7"/>
  <c r="M39" i="7"/>
  <c r="O40" i="7"/>
  <c r="P41" i="7"/>
  <c r="Q42" i="7"/>
  <c r="R43" i="7"/>
  <c r="S44" i="7"/>
  <c r="B45" i="7"/>
  <c r="M45" i="7"/>
  <c r="V45" i="7"/>
  <c r="F46" i="7"/>
  <c r="O46" i="7"/>
  <c r="W46" i="7"/>
  <c r="G47" i="7"/>
  <c r="P47" i="7"/>
  <c r="X47" i="7"/>
  <c r="H48" i="7"/>
  <c r="Q48" i="7"/>
  <c r="Y48" i="7"/>
  <c r="I49" i="7"/>
  <c r="R49" i="7"/>
  <c r="Z49" i="7"/>
  <c r="J50" i="7"/>
  <c r="S50" i="7"/>
  <c r="B51" i="7"/>
  <c r="K51" i="7"/>
  <c r="T51" i="7"/>
  <c r="C52" i="7"/>
  <c r="L52" i="7"/>
  <c r="U52" i="7"/>
  <c r="E53" i="7"/>
  <c r="M53" i="7"/>
  <c r="V53" i="7"/>
  <c r="F54" i="7"/>
  <c r="O54" i="7"/>
  <c r="W54" i="7"/>
  <c r="G55" i="7"/>
  <c r="P55" i="7"/>
  <c r="X55" i="7"/>
  <c r="H56" i="7"/>
  <c r="Q56" i="7"/>
  <c r="Y56" i="7"/>
  <c r="I57" i="7"/>
  <c r="T25" i="7"/>
  <c r="M27" i="7"/>
  <c r="O28" i="7"/>
  <c r="K29" i="7"/>
  <c r="V30" i="7"/>
  <c r="M31" i="7"/>
  <c r="X32" i="7"/>
  <c r="P33" i="7"/>
  <c r="C34" i="7"/>
  <c r="Z34" i="7"/>
  <c r="M35" i="7"/>
  <c r="O36" i="7"/>
  <c r="P37" i="7"/>
  <c r="Q38" i="7"/>
  <c r="R39" i="7"/>
  <c r="S40" i="7"/>
  <c r="B41" i="7"/>
  <c r="T41" i="7"/>
  <c r="C42" i="7"/>
  <c r="U42" i="7"/>
  <c r="E43" i="7"/>
  <c r="V43" i="7"/>
  <c r="F44" i="7"/>
  <c r="W44" i="7"/>
  <c r="F45" i="7"/>
  <c r="P45" i="7"/>
  <c r="X45" i="7"/>
  <c r="H46" i="7"/>
  <c r="Q46" i="7"/>
  <c r="Y46" i="7"/>
  <c r="I47" i="7"/>
  <c r="R47" i="7"/>
  <c r="Z47" i="7"/>
  <c r="J48" i="7"/>
  <c r="S48" i="7"/>
  <c r="B49" i="7"/>
  <c r="K49" i="7"/>
  <c r="T49" i="7"/>
  <c r="C50" i="7"/>
  <c r="L50" i="7"/>
  <c r="U50" i="7"/>
  <c r="E51" i="7"/>
  <c r="M51" i="7"/>
  <c r="V51" i="7"/>
  <c r="F52" i="7"/>
  <c r="O52" i="7"/>
  <c r="W52" i="7"/>
  <c r="G53" i="7"/>
  <c r="P53" i="7"/>
  <c r="X53" i="7"/>
  <c r="H54" i="7"/>
  <c r="Q54" i="7"/>
  <c r="Y54" i="7"/>
  <c r="I55" i="7"/>
  <c r="R55" i="7"/>
  <c r="Z55" i="7"/>
  <c r="J56" i="7"/>
  <c r="S56" i="7"/>
  <c r="B57" i="7"/>
  <c r="K57" i="7"/>
  <c r="T57" i="7"/>
  <c r="C58" i="7"/>
  <c r="L58" i="7"/>
  <c r="U58" i="7"/>
  <c r="Z15" i="7"/>
  <c r="I26" i="7"/>
  <c r="L29" i="7"/>
  <c r="I31" i="7"/>
  <c r="K36" i="7"/>
  <c r="T37" i="7"/>
  <c r="P40" i="7"/>
  <c r="X41" i="7"/>
  <c r="F43" i="7"/>
  <c r="T44" i="7"/>
  <c r="R45" i="7"/>
  <c r="I46" i="7"/>
  <c r="T47" i="7"/>
  <c r="K48" i="7"/>
  <c r="V49" i="7"/>
  <c r="M50" i="7"/>
  <c r="C51" i="7"/>
  <c r="X51" i="7"/>
  <c r="P52" i="7"/>
  <c r="F53" i="7"/>
  <c r="Z53" i="7"/>
  <c r="R54" i="7"/>
  <c r="H55" i="7"/>
  <c r="T56" i="7"/>
  <c r="J57" i="7"/>
  <c r="K58" i="7"/>
  <c r="Z58" i="7"/>
  <c r="B59" i="7"/>
  <c r="K59" i="7"/>
  <c r="T59" i="7"/>
  <c r="C60" i="7"/>
  <c r="L60" i="7"/>
  <c r="U60" i="7"/>
  <c r="E61" i="7"/>
  <c r="M61" i="7"/>
  <c r="V61" i="7"/>
  <c r="F62" i="7"/>
  <c r="O62" i="7"/>
  <c r="W62" i="7"/>
  <c r="G63" i="7"/>
  <c r="P63" i="7"/>
  <c r="X63" i="7"/>
  <c r="H64" i="7"/>
  <c r="Q64" i="7"/>
  <c r="Y64" i="7"/>
  <c r="I65" i="7"/>
  <c r="R65" i="7"/>
  <c r="Z65" i="7"/>
  <c r="J66" i="7"/>
  <c r="S66" i="7"/>
  <c r="B67" i="7"/>
  <c r="K67" i="7"/>
  <c r="T67" i="7"/>
  <c r="C68" i="7"/>
  <c r="L68" i="7"/>
  <c r="U68" i="7"/>
  <c r="E69" i="7"/>
  <c r="M69" i="7"/>
  <c r="V69" i="7"/>
  <c r="F70" i="7"/>
  <c r="O70" i="7"/>
  <c r="W70" i="7"/>
  <c r="G71" i="7"/>
  <c r="P71" i="7"/>
  <c r="X71" i="7"/>
  <c r="H72" i="7"/>
  <c r="Q72" i="7"/>
  <c r="Y72" i="7"/>
  <c r="I73" i="7"/>
  <c r="R73" i="7"/>
  <c r="Z73" i="7"/>
  <c r="J74" i="7"/>
  <c r="S74" i="7"/>
  <c r="B75" i="7"/>
  <c r="K75" i="7"/>
  <c r="T75" i="7"/>
  <c r="C76" i="7"/>
  <c r="I27" i="7"/>
  <c r="P29" i="7"/>
  <c r="O31" i="7"/>
  <c r="K33" i="7"/>
  <c r="P36" i="7"/>
  <c r="E39" i="7"/>
  <c r="T40" i="7"/>
  <c r="I43" i="7"/>
  <c r="X44" i="7"/>
  <c r="W45" i="7"/>
  <c r="J46" i="7"/>
  <c r="Y47" i="7"/>
  <c r="L48" i="7"/>
  <c r="C49" i="7"/>
  <c r="O50" i="7"/>
  <c r="F51" i="7"/>
  <c r="Q52" i="7"/>
  <c r="H53" i="7"/>
  <c r="S54" i="7"/>
  <c r="J55" i="7"/>
  <c r="U56" i="7"/>
  <c r="L57" i="7"/>
  <c r="M58" i="7"/>
  <c r="C59" i="7"/>
  <c r="L59" i="7"/>
  <c r="U59" i="7"/>
  <c r="E60" i="7"/>
  <c r="M60" i="7"/>
  <c r="V60" i="7"/>
  <c r="F61" i="7"/>
  <c r="O61" i="7"/>
  <c r="W61" i="7"/>
  <c r="G62" i="7"/>
  <c r="P62" i="7"/>
  <c r="X62" i="7"/>
  <c r="H63" i="7"/>
  <c r="Q63" i="7"/>
  <c r="Y63" i="7"/>
  <c r="I64" i="7"/>
  <c r="R64" i="7"/>
  <c r="Z64" i="7"/>
  <c r="J65" i="7"/>
  <c r="S65" i="7"/>
  <c r="B66" i="7"/>
  <c r="K66" i="7"/>
  <c r="T66" i="7"/>
  <c r="C67" i="7"/>
  <c r="L67" i="7"/>
  <c r="U67" i="7"/>
  <c r="E68" i="7"/>
  <c r="M68" i="7"/>
  <c r="V68" i="7"/>
  <c r="F69" i="7"/>
  <c r="O69" i="7"/>
  <c r="W69" i="7"/>
  <c r="G70" i="7"/>
  <c r="P70" i="7"/>
  <c r="X70" i="7"/>
  <c r="H71" i="7"/>
  <c r="Q71" i="7"/>
  <c r="Y71" i="7"/>
  <c r="I72" i="7"/>
  <c r="Y18" i="7"/>
  <c r="U27" i="7"/>
  <c r="R31" i="7"/>
  <c r="Q33" i="7"/>
  <c r="J35" i="7"/>
  <c r="S36" i="7"/>
  <c r="O39" i="7"/>
  <c r="W40" i="7"/>
  <c r="E42" i="7"/>
  <c r="S43" i="7"/>
  <c r="Y45" i="7"/>
  <c r="P46" i="7"/>
  <c r="B47" i="7"/>
  <c r="R48" i="7"/>
  <c r="E49" i="7"/>
  <c r="T50" i="7"/>
  <c r="G51" i="7"/>
  <c r="V52" i="7"/>
  <c r="I53" i="7"/>
  <c r="X54" i="7"/>
  <c r="K55" i="7"/>
  <c r="B56" i="7"/>
  <c r="Z56" i="7"/>
  <c r="M57" i="7"/>
  <c r="O58" i="7"/>
  <c r="E59" i="7"/>
  <c r="M59" i="7"/>
  <c r="V59" i="7"/>
  <c r="F60" i="7"/>
  <c r="O60" i="7"/>
  <c r="W60" i="7"/>
  <c r="G61" i="7"/>
  <c r="P61" i="7"/>
  <c r="X61" i="7"/>
  <c r="H62" i="7"/>
  <c r="Q62" i="7"/>
  <c r="Y62" i="7"/>
  <c r="I63" i="7"/>
  <c r="R63" i="7"/>
  <c r="Z63" i="7"/>
  <c r="J64" i="7"/>
  <c r="S64" i="7"/>
  <c r="B65" i="7"/>
  <c r="K65" i="7"/>
  <c r="T65" i="7"/>
  <c r="C66" i="7"/>
  <c r="L66" i="7"/>
  <c r="U66" i="7"/>
  <c r="E67" i="7"/>
  <c r="M67" i="7"/>
  <c r="V67" i="7"/>
  <c r="F68" i="7"/>
  <c r="O68" i="7"/>
  <c r="W68" i="7"/>
  <c r="G69" i="7"/>
  <c r="P69" i="7"/>
  <c r="X69" i="7"/>
  <c r="H70" i="7"/>
  <c r="Q70" i="7"/>
  <c r="Y70" i="7"/>
  <c r="I71" i="7"/>
  <c r="R71" i="7"/>
  <c r="Z71" i="7"/>
  <c r="J72" i="7"/>
  <c r="V27" i="7"/>
  <c r="C30" i="7"/>
  <c r="T33" i="7"/>
  <c r="O35" i="7"/>
  <c r="C38" i="7"/>
  <c r="S39" i="7"/>
  <c r="H42" i="7"/>
  <c r="W43" i="7"/>
  <c r="C45" i="7"/>
  <c r="Z45" i="7"/>
  <c r="R46" i="7"/>
  <c r="H47" i="7"/>
  <c r="T48" i="7"/>
  <c r="J49" i="7"/>
  <c r="V50" i="7"/>
  <c r="L51" i="7"/>
  <c r="X52" i="7"/>
  <c r="O53" i="7"/>
  <c r="Z54" i="7"/>
  <c r="Q55" i="7"/>
  <c r="C56" i="7"/>
  <c r="R57" i="7"/>
  <c r="R58" i="7"/>
  <c r="F59" i="7"/>
  <c r="O59" i="7"/>
  <c r="W59" i="7"/>
  <c r="G60" i="7"/>
  <c r="P60" i="7"/>
  <c r="X60" i="7"/>
  <c r="H61" i="7"/>
  <c r="Q61" i="7"/>
  <c r="Y61" i="7"/>
  <c r="I62" i="7"/>
  <c r="R62" i="7"/>
  <c r="Z62" i="7"/>
  <c r="J63" i="7"/>
  <c r="S63" i="7"/>
  <c r="B64" i="7"/>
  <c r="K64" i="7"/>
  <c r="T64" i="7"/>
  <c r="C65" i="7"/>
  <c r="L65" i="7"/>
  <c r="U65" i="7"/>
  <c r="E66" i="7"/>
  <c r="M66" i="7"/>
  <c r="V66" i="7"/>
  <c r="F67" i="7"/>
  <c r="O67" i="7"/>
  <c r="W67" i="7"/>
  <c r="G68" i="7"/>
  <c r="P68" i="7"/>
  <c r="X68" i="7"/>
  <c r="H69" i="7"/>
  <c r="Q69" i="7"/>
  <c r="Y69" i="7"/>
  <c r="I70" i="7"/>
  <c r="R70" i="7"/>
  <c r="Z70" i="7"/>
  <c r="J71" i="7"/>
  <c r="S71" i="7"/>
  <c r="B72" i="7"/>
  <c r="S28" i="7"/>
  <c r="U30" i="7"/>
  <c r="G32" i="7"/>
  <c r="H34" i="7"/>
  <c r="B37" i="7"/>
  <c r="R38" i="7"/>
  <c r="G41" i="7"/>
  <c r="V42" i="7"/>
  <c r="B44" i="7"/>
  <c r="H45" i="7"/>
  <c r="X46" i="7"/>
  <c r="K47" i="7"/>
  <c r="B48" i="7"/>
  <c r="Z48" i="7"/>
  <c r="M49" i="7"/>
  <c r="E50" i="7"/>
  <c r="P51" i="7"/>
  <c r="G52" i="7"/>
  <c r="R53" i="7"/>
  <c r="I54" i="7"/>
  <c r="T55" i="7"/>
  <c r="K56" i="7"/>
  <c r="U57" i="7"/>
  <c r="E58" i="7"/>
  <c r="T58" i="7"/>
  <c r="H59" i="7"/>
  <c r="Q59" i="7"/>
  <c r="Y59" i="7"/>
  <c r="I60" i="7"/>
  <c r="R60" i="7"/>
  <c r="Z60" i="7"/>
  <c r="J61" i="7"/>
  <c r="S61" i="7"/>
  <c r="B62" i="7"/>
  <c r="K62" i="7"/>
  <c r="T62" i="7"/>
  <c r="C63" i="7"/>
  <c r="L63" i="7"/>
  <c r="U63" i="7"/>
  <c r="E64" i="7"/>
  <c r="M64" i="7"/>
  <c r="V64" i="7"/>
  <c r="F65" i="7"/>
  <c r="O65" i="7"/>
  <c r="W65" i="7"/>
  <c r="G66" i="7"/>
  <c r="P66" i="7"/>
  <c r="X66" i="7"/>
  <c r="H67" i="7"/>
  <c r="Q67" i="7"/>
  <c r="Y67" i="7"/>
  <c r="I68" i="7"/>
  <c r="R68" i="7"/>
  <c r="Z68" i="7"/>
  <c r="J69" i="7"/>
  <c r="S69" i="7"/>
  <c r="B70" i="7"/>
  <c r="K70" i="7"/>
  <c r="T70" i="7"/>
  <c r="C71" i="7"/>
  <c r="L71" i="7"/>
  <c r="U71" i="7"/>
  <c r="E72" i="7"/>
  <c r="M72" i="7"/>
  <c r="V72" i="7"/>
  <c r="V39" i="7"/>
  <c r="U49" i="7"/>
  <c r="U51" i="7"/>
  <c r="Q53" i="7"/>
  <c r="B55" i="7"/>
  <c r="C57" i="7"/>
  <c r="S58" i="7"/>
  <c r="J59" i="7"/>
  <c r="Y60" i="7"/>
  <c r="L61" i="7"/>
  <c r="C62" i="7"/>
  <c r="O63" i="7"/>
  <c r="F64" i="7"/>
  <c r="Q65" i="7"/>
  <c r="H66" i="7"/>
  <c r="S67" i="7"/>
  <c r="J68" i="7"/>
  <c r="U69" i="7"/>
  <c r="L70" i="7"/>
  <c r="B71" i="7"/>
  <c r="W71" i="7"/>
  <c r="L72" i="7"/>
  <c r="X72" i="7"/>
  <c r="K73" i="7"/>
  <c r="U73" i="7"/>
  <c r="G74" i="7"/>
  <c r="Q74" i="7"/>
  <c r="Z74" i="7"/>
  <c r="C75" i="7"/>
  <c r="M75" i="7"/>
  <c r="W75" i="7"/>
  <c r="I76" i="7"/>
  <c r="R76" i="7"/>
  <c r="Z76" i="7"/>
  <c r="J77" i="7"/>
  <c r="S77" i="7"/>
  <c r="B78" i="7"/>
  <c r="K78" i="7"/>
  <c r="T78" i="7"/>
  <c r="C79" i="7"/>
  <c r="L79" i="7"/>
  <c r="U79" i="7"/>
  <c r="E80" i="7"/>
  <c r="M80" i="7"/>
  <c r="V80" i="7"/>
  <c r="F81" i="7"/>
  <c r="O81" i="7"/>
  <c r="W81" i="7"/>
  <c r="G82" i="7"/>
  <c r="P82" i="7"/>
  <c r="X82" i="7"/>
  <c r="H83" i="7"/>
  <c r="Q83" i="7"/>
  <c r="Y83" i="7"/>
  <c r="I84" i="7"/>
  <c r="R84" i="7"/>
  <c r="Z84" i="7"/>
  <c r="J85" i="7"/>
  <c r="S85" i="7"/>
  <c r="B86" i="7"/>
  <c r="K86" i="7"/>
  <c r="T86" i="7"/>
  <c r="C87" i="7"/>
  <c r="L87" i="7"/>
  <c r="U87" i="7"/>
  <c r="E88" i="7"/>
  <c r="M88" i="7"/>
  <c r="V88" i="7"/>
  <c r="F89" i="7"/>
  <c r="O89" i="7"/>
  <c r="W89" i="7"/>
  <c r="G90" i="7"/>
  <c r="P90" i="7"/>
  <c r="X90" i="7"/>
  <c r="H91" i="7"/>
  <c r="Q91" i="7"/>
  <c r="Y91" i="7"/>
  <c r="I92" i="7"/>
  <c r="R92" i="7"/>
  <c r="Z92" i="7"/>
  <c r="J93" i="7"/>
  <c r="S93" i="7"/>
  <c r="B94" i="7"/>
  <c r="K94" i="7"/>
  <c r="T94" i="7"/>
  <c r="C95" i="7"/>
  <c r="L95" i="7"/>
  <c r="U95" i="7"/>
  <c r="E96" i="7"/>
  <c r="M96" i="7"/>
  <c r="V96" i="7"/>
  <c r="F97" i="7"/>
  <c r="O97" i="7"/>
  <c r="W97" i="7"/>
  <c r="G98" i="7"/>
  <c r="P98" i="7"/>
  <c r="X98" i="7"/>
  <c r="H99" i="7"/>
  <c r="Q99" i="7"/>
  <c r="Y99" i="7"/>
  <c r="I100" i="7"/>
  <c r="R100" i="7"/>
  <c r="Z100" i="7"/>
  <c r="J101" i="7"/>
  <c r="S101" i="7"/>
  <c r="B102" i="7"/>
  <c r="K102" i="7"/>
  <c r="T102" i="7"/>
  <c r="C103" i="7"/>
  <c r="L103" i="7"/>
  <c r="U103" i="7"/>
  <c r="E104" i="7"/>
  <c r="M104" i="7"/>
  <c r="V104" i="7"/>
  <c r="F105" i="7"/>
  <c r="O105" i="7"/>
  <c r="W105" i="7"/>
  <c r="G106" i="7"/>
  <c r="P106" i="7"/>
  <c r="X106" i="7"/>
  <c r="H107" i="7"/>
  <c r="Q107" i="7"/>
  <c r="Y107" i="7"/>
  <c r="I108" i="7"/>
  <c r="F32" i="7"/>
  <c r="B40" i="7"/>
  <c r="Z43" i="7"/>
  <c r="G46" i="7"/>
  <c r="C48" i="7"/>
  <c r="B50" i="7"/>
  <c r="W51" i="7"/>
  <c r="W53" i="7"/>
  <c r="S55" i="7"/>
  <c r="E57" i="7"/>
  <c r="V58" i="7"/>
  <c r="P59" i="7"/>
  <c r="M28" i="7"/>
  <c r="L37" i="7"/>
  <c r="C41" i="7"/>
  <c r="J44" i="7"/>
  <c r="Z46" i="7"/>
  <c r="U48" i="7"/>
  <c r="K50" i="7"/>
  <c r="H52" i="7"/>
  <c r="G54" i="7"/>
  <c r="V57" i="7"/>
  <c r="S59" i="7"/>
  <c r="J60" i="7"/>
  <c r="U61" i="7"/>
  <c r="L62" i="7"/>
  <c r="B63" i="7"/>
  <c r="W63" i="7"/>
  <c r="O64" i="7"/>
  <c r="E65" i="7"/>
  <c r="Y65" i="7"/>
  <c r="Q66" i="7"/>
  <c r="G67" i="7"/>
  <c r="S68" i="7"/>
  <c r="I69" i="7"/>
  <c r="U70" i="7"/>
  <c r="K71" i="7"/>
  <c r="R72" i="7"/>
  <c r="E73" i="7"/>
  <c r="O73" i="7"/>
  <c r="X73" i="7"/>
  <c r="K74" i="7"/>
  <c r="U74" i="7"/>
  <c r="G75" i="7"/>
  <c r="Q75" i="7"/>
  <c r="Z75" i="7"/>
  <c r="B76" i="7"/>
  <c r="L76" i="7"/>
  <c r="U76" i="7"/>
  <c r="E77" i="7"/>
  <c r="M77" i="7"/>
  <c r="V77" i="7"/>
  <c r="F78" i="7"/>
  <c r="O78" i="7"/>
  <c r="W78" i="7"/>
  <c r="G79" i="7"/>
  <c r="P79" i="7"/>
  <c r="X79" i="7"/>
  <c r="H80" i="7"/>
  <c r="Q80" i="7"/>
  <c r="Y80" i="7"/>
  <c r="I81" i="7"/>
  <c r="R81" i="7"/>
  <c r="Z81" i="7"/>
  <c r="J82" i="7"/>
  <c r="S82" i="7"/>
  <c r="B83" i="7"/>
  <c r="K83" i="7"/>
  <c r="T83" i="7"/>
  <c r="C84" i="7"/>
  <c r="L84" i="7"/>
  <c r="U84" i="7"/>
  <c r="E85" i="7"/>
  <c r="M85" i="7"/>
  <c r="V85" i="7"/>
  <c r="F86" i="7"/>
  <c r="O86" i="7"/>
  <c r="W86" i="7"/>
  <c r="G87" i="7"/>
  <c r="P87" i="7"/>
  <c r="X87" i="7"/>
  <c r="H88" i="7"/>
  <c r="Q88" i="7"/>
  <c r="Y88" i="7"/>
  <c r="I89" i="7"/>
  <c r="R89" i="7"/>
  <c r="Z89" i="7"/>
  <c r="J90" i="7"/>
  <c r="S90" i="7"/>
  <c r="B91" i="7"/>
  <c r="K91" i="7"/>
  <c r="T91" i="7"/>
  <c r="C92" i="7"/>
  <c r="L92" i="7"/>
  <c r="U92" i="7"/>
  <c r="E93" i="7"/>
  <c r="M93" i="7"/>
  <c r="V93" i="7"/>
  <c r="F94" i="7"/>
  <c r="O94" i="7"/>
  <c r="W94" i="7"/>
  <c r="G95" i="7"/>
  <c r="P95" i="7"/>
  <c r="X95" i="7"/>
  <c r="H96" i="7"/>
  <c r="Q96" i="7"/>
  <c r="Y96" i="7"/>
  <c r="I97" i="7"/>
  <c r="R97" i="7"/>
  <c r="Z97" i="7"/>
  <c r="J98" i="7"/>
  <c r="S98" i="7"/>
  <c r="B99" i="7"/>
  <c r="K99" i="7"/>
  <c r="T99" i="7"/>
  <c r="C100" i="7"/>
  <c r="L100" i="7"/>
  <c r="U100" i="7"/>
  <c r="E101" i="7"/>
  <c r="M101" i="7"/>
  <c r="V101" i="7"/>
  <c r="F102" i="7"/>
  <c r="O102" i="7"/>
  <c r="W102" i="7"/>
  <c r="G103" i="7"/>
  <c r="P103" i="7"/>
  <c r="X103" i="7"/>
  <c r="H104" i="7"/>
  <c r="Q104" i="7"/>
  <c r="Y104" i="7"/>
  <c r="I105" i="7"/>
  <c r="R105" i="7"/>
  <c r="Z105" i="7"/>
  <c r="J106" i="7"/>
  <c r="S106" i="7"/>
  <c r="B107" i="7"/>
  <c r="K107" i="7"/>
  <c r="T107" i="7"/>
  <c r="X28" i="7"/>
  <c r="Q37" i="7"/>
  <c r="Q41" i="7"/>
  <c r="G45" i="7"/>
  <c r="W50" i="7"/>
  <c r="M52" i="7"/>
  <c r="J54" i="7"/>
  <c r="I56" i="7"/>
  <c r="Z57" i="7"/>
  <c r="X59" i="7"/>
  <c r="K60" i="7"/>
  <c r="B61" i="7"/>
  <c r="Z61" i="7"/>
  <c r="M62" i="7"/>
  <c r="E63" i="7"/>
  <c r="P64" i="7"/>
  <c r="G65" i="7"/>
  <c r="R66" i="7"/>
  <c r="I67" i="7"/>
  <c r="T68" i="7"/>
  <c r="K69" i="7"/>
  <c r="V70" i="7"/>
  <c r="M71" i="7"/>
  <c r="C72" i="7"/>
  <c r="S72" i="7"/>
  <c r="F73" i="7"/>
  <c r="P73" i="7"/>
  <c r="Y73" i="7"/>
  <c r="B74" i="7"/>
  <c r="L74" i="7"/>
  <c r="V74" i="7"/>
  <c r="H75" i="7"/>
  <c r="R75" i="7"/>
  <c r="E76" i="7"/>
  <c r="M76" i="7"/>
  <c r="V76" i="7"/>
  <c r="F77" i="7"/>
  <c r="O77" i="7"/>
  <c r="W77" i="7"/>
  <c r="G78" i="7"/>
  <c r="P78" i="7"/>
  <c r="X78" i="7"/>
  <c r="H79" i="7"/>
  <c r="Q79" i="7"/>
  <c r="Y79" i="7"/>
  <c r="I80" i="7"/>
  <c r="R80" i="7"/>
  <c r="Z80" i="7"/>
  <c r="J81" i="7"/>
  <c r="S81" i="7"/>
  <c r="B82" i="7"/>
  <c r="K82" i="7"/>
  <c r="T82" i="7"/>
  <c r="C83" i="7"/>
  <c r="L83" i="7"/>
  <c r="U83" i="7"/>
  <c r="E84" i="7"/>
  <c r="M84" i="7"/>
  <c r="V84" i="7"/>
  <c r="F85" i="7"/>
  <c r="O85" i="7"/>
  <c r="W85" i="7"/>
  <c r="G86" i="7"/>
  <c r="P86" i="7"/>
  <c r="X86" i="7"/>
  <c r="H87" i="7"/>
  <c r="Q87" i="7"/>
  <c r="Y87" i="7"/>
  <c r="I88" i="7"/>
  <c r="R88" i="7"/>
  <c r="Z88" i="7"/>
  <c r="J89" i="7"/>
  <c r="S89" i="7"/>
  <c r="B90" i="7"/>
  <c r="K90" i="7"/>
  <c r="T90" i="7"/>
  <c r="C91" i="7"/>
  <c r="L91" i="7"/>
  <c r="U91" i="7"/>
  <c r="E92" i="7"/>
  <c r="M92" i="7"/>
  <c r="V92" i="7"/>
  <c r="F93" i="7"/>
  <c r="O93" i="7"/>
  <c r="W93" i="7"/>
  <c r="G94" i="7"/>
  <c r="P94" i="7"/>
  <c r="X94" i="7"/>
  <c r="H95" i="7"/>
  <c r="Q95" i="7"/>
  <c r="Y95" i="7"/>
  <c r="I96" i="7"/>
  <c r="R96" i="7"/>
  <c r="Z96" i="7"/>
  <c r="J97" i="7"/>
  <c r="S97" i="7"/>
  <c r="B98" i="7"/>
  <c r="K98" i="7"/>
  <c r="T98" i="7"/>
  <c r="C99" i="7"/>
  <c r="L99" i="7"/>
  <c r="U99" i="7"/>
  <c r="E100" i="7"/>
  <c r="M100" i="7"/>
  <c r="V100" i="7"/>
  <c r="F101" i="7"/>
  <c r="O101" i="7"/>
  <c r="W101" i="7"/>
  <c r="G102" i="7"/>
  <c r="P102" i="7"/>
  <c r="X102" i="7"/>
  <c r="H103" i="7"/>
  <c r="Q103" i="7"/>
  <c r="Y103" i="7"/>
  <c r="I104" i="7"/>
  <c r="R104" i="7"/>
  <c r="Z104" i="7"/>
  <c r="J105" i="7"/>
  <c r="S105" i="7"/>
  <c r="B106" i="7"/>
  <c r="K106" i="7"/>
  <c r="T106" i="7"/>
  <c r="C107" i="7"/>
  <c r="L107" i="7"/>
  <c r="U107" i="7"/>
  <c r="E108" i="7"/>
  <c r="M108" i="7"/>
  <c r="Y30" i="7"/>
  <c r="R35" i="7"/>
  <c r="Y42" i="7"/>
  <c r="S47" i="7"/>
  <c r="S49" i="7"/>
  <c r="O51" i="7"/>
  <c r="J58" i="7"/>
  <c r="I59" i="7"/>
  <c r="T60" i="7"/>
  <c r="K61" i="7"/>
  <c r="V62" i="7"/>
  <c r="M63" i="7"/>
  <c r="C64" i="7"/>
  <c r="X64" i="7"/>
  <c r="P65" i="7"/>
  <c r="F66" i="7"/>
  <c r="Z66" i="7"/>
  <c r="R67" i="7"/>
  <c r="H68" i="7"/>
  <c r="T69" i="7"/>
  <c r="J70" i="7"/>
  <c r="V71" i="7"/>
  <c r="K72" i="7"/>
  <c r="W72" i="7"/>
  <c r="J73" i="7"/>
  <c r="T73" i="7"/>
  <c r="F74" i="7"/>
  <c r="P74" i="7"/>
  <c r="Y74" i="7"/>
  <c r="L75" i="7"/>
  <c r="V75" i="7"/>
  <c r="H76" i="7"/>
  <c r="Q76" i="7"/>
  <c r="Y76" i="7"/>
  <c r="I77" i="7"/>
  <c r="R77" i="7"/>
  <c r="Z77" i="7"/>
  <c r="J78" i="7"/>
  <c r="S78" i="7"/>
  <c r="B79" i="7"/>
  <c r="K79" i="7"/>
  <c r="T79" i="7"/>
  <c r="C80" i="7"/>
  <c r="L80" i="7"/>
  <c r="U80" i="7"/>
  <c r="E81" i="7"/>
  <c r="M81" i="7"/>
  <c r="V81" i="7"/>
  <c r="F82" i="7"/>
  <c r="O82" i="7"/>
  <c r="W82" i="7"/>
  <c r="G83" i="7"/>
  <c r="X25" i="7"/>
  <c r="U38" i="7"/>
  <c r="J47" i="7"/>
  <c r="E52" i="7"/>
  <c r="R56" i="7"/>
  <c r="Z59" i="7"/>
  <c r="C61" i="7"/>
  <c r="S62" i="7"/>
  <c r="H65" i="7"/>
  <c r="W66" i="7"/>
  <c r="L69" i="7"/>
  <c r="F72" i="7"/>
  <c r="Q73" i="7"/>
  <c r="C74" i="7"/>
  <c r="W74" i="7"/>
  <c r="I75" i="7"/>
  <c r="O76" i="7"/>
  <c r="P77" i="7"/>
  <c r="Q78" i="7"/>
  <c r="R79" i="7"/>
  <c r="S80" i="7"/>
  <c r="B81" i="7"/>
  <c r="T81" i="7"/>
  <c r="C82" i="7"/>
  <c r="U82" i="7"/>
  <c r="E83" i="7"/>
  <c r="S83" i="7"/>
  <c r="O84" i="7"/>
  <c r="H85" i="7"/>
  <c r="U85" i="7"/>
  <c r="Q86" i="7"/>
  <c r="J87" i="7"/>
  <c r="W87" i="7"/>
  <c r="C88" i="7"/>
  <c r="S88" i="7"/>
  <c r="L89" i="7"/>
  <c r="Y89" i="7"/>
  <c r="F90" i="7"/>
  <c r="U90" i="7"/>
  <c r="O91" i="7"/>
  <c r="H92" i="7"/>
  <c r="W92" i="7"/>
  <c r="B93" i="7"/>
  <c r="Q93" i="7"/>
  <c r="J94" i="7"/>
  <c r="Y94" i="7"/>
  <c r="E95" i="7"/>
  <c r="S95" i="7"/>
  <c r="L96" i="7"/>
  <c r="G97" i="7"/>
  <c r="U97" i="7"/>
  <c r="O98" i="7"/>
  <c r="I99" i="7"/>
  <c r="W99" i="7"/>
  <c r="B100" i="7"/>
  <c r="Q100" i="7"/>
  <c r="K101" i="7"/>
  <c r="Y101" i="7"/>
  <c r="E102" i="7"/>
  <c r="S102" i="7"/>
  <c r="M103" i="7"/>
  <c r="G104" i="7"/>
  <c r="U104" i="7"/>
  <c r="B105" i="7"/>
  <c r="P105" i="7"/>
  <c r="I106" i="7"/>
  <c r="W106" i="7"/>
  <c r="E107" i="7"/>
  <c r="R107" i="7"/>
  <c r="J108" i="7"/>
  <c r="T108" i="7"/>
  <c r="C109" i="7"/>
  <c r="L109" i="7"/>
  <c r="U109" i="7"/>
  <c r="E110" i="7"/>
  <c r="M110" i="7"/>
  <c r="V110" i="7"/>
  <c r="F111" i="7"/>
  <c r="O111" i="7"/>
  <c r="W111" i="7"/>
  <c r="G112" i="7"/>
  <c r="P112" i="7"/>
  <c r="X112" i="7"/>
  <c r="H113" i="7"/>
  <c r="Q113" i="7"/>
  <c r="Y113" i="7"/>
  <c r="I114" i="7"/>
  <c r="R114" i="7"/>
  <c r="Z114" i="7"/>
  <c r="J115" i="7"/>
  <c r="S115" i="7"/>
  <c r="B116" i="7"/>
  <c r="K116" i="7"/>
  <c r="T116" i="7"/>
  <c r="C117" i="7"/>
  <c r="L117" i="7"/>
  <c r="U117" i="7"/>
  <c r="E118" i="7"/>
  <c r="M118" i="7"/>
  <c r="V118" i="7"/>
  <c r="F119" i="7"/>
  <c r="O119" i="7"/>
  <c r="W119" i="7"/>
  <c r="G120" i="7"/>
  <c r="P120" i="7"/>
  <c r="X120" i="7"/>
  <c r="H121" i="7"/>
  <c r="Q121" i="7"/>
  <c r="Y121" i="7"/>
  <c r="I122" i="7"/>
  <c r="R122" i="7"/>
  <c r="Z122" i="7"/>
  <c r="J123" i="7"/>
  <c r="S123" i="7"/>
  <c r="B124" i="7"/>
  <c r="K124" i="7"/>
  <c r="T124" i="7"/>
  <c r="C125" i="7"/>
  <c r="L125" i="7"/>
  <c r="U125" i="7"/>
  <c r="E126" i="7"/>
  <c r="M126" i="7"/>
  <c r="V126" i="7"/>
  <c r="F127" i="7"/>
  <c r="O127" i="7"/>
  <c r="G29" i="7"/>
  <c r="F40" i="7"/>
  <c r="Q47" i="7"/>
  <c r="Y52" i="7"/>
  <c r="S57" i="7"/>
  <c r="I61" i="7"/>
  <c r="U62" i="7"/>
  <c r="M65" i="7"/>
  <c r="Y66" i="7"/>
  <c r="B68" i="7"/>
  <c r="R69" i="7"/>
  <c r="G72" i="7"/>
  <c r="S73" i="7"/>
  <c r="E74" i="7"/>
  <c r="X74" i="7"/>
  <c r="J75" i="7"/>
  <c r="P76" i="7"/>
  <c r="Q77" i="7"/>
  <c r="R78" i="7"/>
  <c r="S79" i="7"/>
  <c r="B80" i="7"/>
  <c r="T80" i="7"/>
  <c r="C81" i="7"/>
  <c r="U81" i="7"/>
  <c r="E82" i="7"/>
  <c r="V82" i="7"/>
  <c r="F83" i="7"/>
  <c r="V83" i="7"/>
  <c r="P84" i="7"/>
  <c r="I85" i="7"/>
  <c r="X85" i="7"/>
  <c r="C86" i="7"/>
  <c r="R86" i="7"/>
  <c r="K87" i="7"/>
  <c r="Z87" i="7"/>
  <c r="F88" i="7"/>
  <c r="T88" i="7"/>
  <c r="M89" i="7"/>
  <c r="H90" i="7"/>
  <c r="V90" i="7"/>
  <c r="P91" i="7"/>
  <c r="J92" i="7"/>
  <c r="X92" i="7"/>
  <c r="C93" i="7"/>
  <c r="R93" i="7"/>
  <c r="L94" i="7"/>
  <c r="Z94" i="7"/>
  <c r="F95" i="7"/>
  <c r="T95" i="7"/>
  <c r="O96" i="7"/>
  <c r="H97" i="7"/>
  <c r="V97" i="7"/>
  <c r="C98" i="7"/>
  <c r="Q98" i="7"/>
  <c r="J99" i="7"/>
  <c r="X99" i="7"/>
  <c r="F100" i="7"/>
  <c r="S100" i="7"/>
  <c r="L101" i="7"/>
  <c r="Z101" i="7"/>
  <c r="H102" i="7"/>
  <c r="U102" i="7"/>
  <c r="O103" i="7"/>
  <c r="J104" i="7"/>
  <c r="W104" i="7"/>
  <c r="C105" i="7"/>
  <c r="Q105" i="7"/>
  <c r="L106" i="7"/>
  <c r="Y106" i="7"/>
  <c r="F107" i="7"/>
  <c r="S107" i="7"/>
  <c r="K108" i="7"/>
  <c r="U108" i="7"/>
  <c r="E109" i="7"/>
  <c r="M109" i="7"/>
  <c r="V109" i="7"/>
  <c r="F110" i="7"/>
  <c r="O110" i="7"/>
  <c r="W110" i="7"/>
  <c r="G111" i="7"/>
  <c r="P111" i="7"/>
  <c r="X111" i="7"/>
  <c r="H112" i="7"/>
  <c r="Q112" i="7"/>
  <c r="Y112" i="7"/>
  <c r="I113" i="7"/>
  <c r="R113" i="7"/>
  <c r="Z113" i="7"/>
  <c r="J114" i="7"/>
  <c r="S114" i="7"/>
  <c r="B115" i="7"/>
  <c r="K115" i="7"/>
  <c r="T115" i="7"/>
  <c r="C116" i="7"/>
  <c r="L116" i="7"/>
  <c r="U116" i="7"/>
  <c r="E117" i="7"/>
  <c r="M117" i="7"/>
  <c r="V117" i="7"/>
  <c r="F118" i="7"/>
  <c r="O118" i="7"/>
  <c r="W118" i="7"/>
  <c r="G119" i="7"/>
  <c r="P119" i="7"/>
  <c r="X119" i="7"/>
  <c r="H120" i="7"/>
  <c r="Q120" i="7"/>
  <c r="Y120" i="7"/>
  <c r="I121" i="7"/>
  <c r="R121" i="7"/>
  <c r="Z121" i="7"/>
  <c r="J122" i="7"/>
  <c r="S122" i="7"/>
  <c r="B123" i="7"/>
  <c r="K123" i="7"/>
  <c r="T123" i="7"/>
  <c r="C124" i="7"/>
  <c r="L124" i="7"/>
  <c r="U124" i="7"/>
  <c r="E125" i="7"/>
  <c r="M125" i="7"/>
  <c r="V125" i="7"/>
  <c r="F126" i="7"/>
  <c r="O126" i="7"/>
  <c r="W126" i="7"/>
  <c r="G127" i="7"/>
  <c r="P127" i="7"/>
  <c r="W32" i="7"/>
  <c r="R42" i="7"/>
  <c r="Y53" i="7"/>
  <c r="F58" i="7"/>
  <c r="H60" i="7"/>
  <c r="T61" i="7"/>
  <c r="L64" i="7"/>
  <c r="X65" i="7"/>
  <c r="Q68" i="7"/>
  <c r="F71" i="7"/>
  <c r="P72" i="7"/>
  <c r="C73" i="7"/>
  <c r="W73" i="7"/>
  <c r="I74" i="7"/>
  <c r="P75" i="7"/>
  <c r="T76" i="7"/>
  <c r="C77" i="7"/>
  <c r="U77" i="7"/>
  <c r="E78" i="7"/>
  <c r="V78" i="7"/>
  <c r="F79" i="7"/>
  <c r="W79" i="7"/>
  <c r="G80" i="7"/>
  <c r="X80" i="7"/>
  <c r="H81" i="7"/>
  <c r="Y81" i="7"/>
  <c r="I82" i="7"/>
  <c r="Z82" i="7"/>
  <c r="J83" i="7"/>
  <c r="X83" i="7"/>
  <c r="F84" i="7"/>
  <c r="S84" i="7"/>
  <c r="L85" i="7"/>
  <c r="Z85" i="7"/>
  <c r="H86" i="7"/>
  <c r="U86" i="7"/>
  <c r="I34" i="7"/>
  <c r="G44" i="7"/>
  <c r="L49" i="7"/>
  <c r="P54" i="7"/>
  <c r="W58" i="7"/>
  <c r="Q60" i="7"/>
  <c r="F63" i="7"/>
  <c r="U64" i="7"/>
  <c r="J67" i="7"/>
  <c r="Y68" i="7"/>
  <c r="C70" i="7"/>
  <c r="E30" i="7"/>
  <c r="I48" i="7"/>
  <c r="B58" i="7"/>
  <c r="R61" i="7"/>
  <c r="G64" i="7"/>
  <c r="Z69" i="7"/>
  <c r="H73" i="7"/>
  <c r="H74" i="7"/>
  <c r="E75" i="7"/>
  <c r="F76" i="7"/>
  <c r="Y77" i="7"/>
  <c r="U78" i="7"/>
  <c r="M79" i="7"/>
  <c r="J80" i="7"/>
  <c r="Y82" i="7"/>
  <c r="P83" i="7"/>
  <c r="G84" i="7"/>
  <c r="Y84" i="7"/>
  <c r="Q85" i="7"/>
  <c r="E86" i="7"/>
  <c r="Z86" i="7"/>
  <c r="O87" i="7"/>
  <c r="P88" i="7"/>
  <c r="C89" i="7"/>
  <c r="U89" i="7"/>
  <c r="E90" i="7"/>
  <c r="Y90" i="7"/>
  <c r="I91" i="7"/>
  <c r="Z91" i="7"/>
  <c r="O92" i="7"/>
  <c r="P93" i="7"/>
  <c r="S94" i="7"/>
  <c r="B95" i="7"/>
  <c r="W95" i="7"/>
  <c r="G96" i="7"/>
  <c r="X96" i="7"/>
  <c r="L97" i="7"/>
  <c r="M98" i="7"/>
  <c r="R99" i="7"/>
  <c r="W100" i="7"/>
  <c r="G101" i="7"/>
  <c r="X101" i="7"/>
  <c r="J102" i="7"/>
  <c r="K103" i="7"/>
  <c r="P104" i="7"/>
  <c r="U105" i="7"/>
  <c r="E106" i="7"/>
  <c r="V106" i="7"/>
  <c r="I107" i="7"/>
  <c r="Z107" i="7"/>
  <c r="H108" i="7"/>
  <c r="W108" i="7"/>
  <c r="K109" i="7"/>
  <c r="X109" i="7"/>
  <c r="L110" i="7"/>
  <c r="Y110" i="7"/>
  <c r="B111" i="7"/>
  <c r="M111" i="7"/>
  <c r="Z111" i="7"/>
  <c r="C112" i="7"/>
  <c r="O112" i="7"/>
  <c r="E113" i="7"/>
  <c r="P113" i="7"/>
  <c r="F114" i="7"/>
  <c r="Q114" i="7"/>
  <c r="G115" i="7"/>
  <c r="R115" i="7"/>
  <c r="H116" i="7"/>
  <c r="S116" i="7"/>
  <c r="I117" i="7"/>
  <c r="T117" i="7"/>
  <c r="J118" i="7"/>
  <c r="U118" i="7"/>
  <c r="K119" i="7"/>
  <c r="V119" i="7"/>
  <c r="L120" i="7"/>
  <c r="W120" i="7"/>
  <c r="B121" i="7"/>
  <c r="M121" i="7"/>
  <c r="X121" i="7"/>
  <c r="C122" i="7"/>
  <c r="O122" i="7"/>
  <c r="Y122" i="7"/>
  <c r="E123" i="7"/>
  <c r="P123" i="7"/>
  <c r="Z123" i="7"/>
  <c r="F124" i="7"/>
  <c r="Q124" i="7"/>
  <c r="G125" i="7"/>
  <c r="R125" i="7"/>
  <c r="H126" i="7"/>
  <c r="S126" i="7"/>
  <c r="I127" i="7"/>
  <c r="T127" i="7"/>
  <c r="C128" i="7"/>
  <c r="L128" i="7"/>
  <c r="U128" i="7"/>
  <c r="E129" i="7"/>
  <c r="M129" i="7"/>
  <c r="V129" i="7"/>
  <c r="F130" i="7"/>
  <c r="O130" i="7"/>
  <c r="W130" i="7"/>
  <c r="G131" i="7"/>
  <c r="P131" i="7"/>
  <c r="X131" i="7"/>
  <c r="H132" i="7"/>
  <c r="Q132" i="7"/>
  <c r="Y132" i="7"/>
  <c r="I133" i="7"/>
  <c r="R133" i="7"/>
  <c r="Z133" i="7"/>
  <c r="J134" i="7"/>
  <c r="S134" i="7"/>
  <c r="B135" i="7"/>
  <c r="K135" i="7"/>
  <c r="T135" i="7"/>
  <c r="C136" i="7"/>
  <c r="L136" i="7"/>
  <c r="U136" i="7"/>
  <c r="E137" i="7"/>
  <c r="M137" i="7"/>
  <c r="V137" i="7"/>
  <c r="F138" i="7"/>
  <c r="O138" i="7"/>
  <c r="W138" i="7"/>
  <c r="G139" i="7"/>
  <c r="P139" i="7"/>
  <c r="X139" i="7"/>
  <c r="H140" i="7"/>
  <c r="Q140" i="7"/>
  <c r="Y34" i="7"/>
  <c r="F50" i="7"/>
  <c r="W64" i="7"/>
  <c r="P67" i="7"/>
  <c r="E70" i="7"/>
  <c r="O72" i="7"/>
  <c r="L73" i="7"/>
  <c r="M74" i="7"/>
  <c r="F75" i="7"/>
  <c r="G76" i="7"/>
  <c r="B77" i="7"/>
  <c r="Y78" i="7"/>
  <c r="O79" i="7"/>
  <c r="K80" i="7"/>
  <c r="G81" i="7"/>
  <c r="R83" i="7"/>
  <c r="H84" i="7"/>
  <c r="R85" i="7"/>
  <c r="I86" i="7"/>
  <c r="R87" i="7"/>
  <c r="U88" i="7"/>
  <c r="E89" i="7"/>
  <c r="V89" i="7"/>
  <c r="I90" i="7"/>
  <c r="Z90" i="7"/>
  <c r="J91" i="7"/>
  <c r="P92" i="7"/>
  <c r="T93" i="7"/>
  <c r="C94" i="7"/>
  <c r="U94" i="7"/>
  <c r="I95" i="7"/>
  <c r="Z95" i="7"/>
  <c r="J96" i="7"/>
  <c r="M97" i="7"/>
  <c r="R98" i="7"/>
  <c r="S99" i="7"/>
  <c r="G100" i="7"/>
  <c r="X100" i="7"/>
  <c r="H101" i="7"/>
  <c r="L102" i="7"/>
  <c r="R103" i="7"/>
  <c r="S104" i="7"/>
  <c r="E105" i="7"/>
  <c r="V105" i="7"/>
  <c r="F106" i="7"/>
  <c r="Z106" i="7"/>
  <c r="J107" i="7"/>
  <c r="G59" i="7"/>
  <c r="E62" i="7"/>
  <c r="X67" i="7"/>
  <c r="M70" i="7"/>
  <c r="T72" i="7"/>
  <c r="M73" i="7"/>
  <c r="O74" i="7"/>
  <c r="O75" i="7"/>
  <c r="J76" i="7"/>
  <c r="G77" i="7"/>
  <c r="Z78" i="7"/>
  <c r="V79" i="7"/>
  <c r="O80" i="7"/>
  <c r="K81" i="7"/>
  <c r="W83" i="7"/>
  <c r="J84" i="7"/>
  <c r="T85" i="7"/>
  <c r="J86" i="7"/>
  <c r="S87" i="7"/>
  <c r="B88" i="7"/>
  <c r="W88" i="7"/>
  <c r="G89" i="7"/>
  <c r="X89" i="7"/>
  <c r="L90" i="7"/>
  <c r="M91" i="7"/>
  <c r="Q92" i="7"/>
  <c r="U93" i="7"/>
  <c r="E94" i="7"/>
  <c r="V94" i="7"/>
  <c r="J95" i="7"/>
  <c r="K96" i="7"/>
  <c r="P97" i="7"/>
  <c r="U98" i="7"/>
  <c r="E99" i="7"/>
  <c r="V99" i="7"/>
  <c r="H100" i="7"/>
  <c r="Y100" i="7"/>
  <c r="I101" i="7"/>
  <c r="M102" i="7"/>
  <c r="S103" i="7"/>
  <c r="B104" i="7"/>
  <c r="T104" i="7"/>
  <c r="G105" i="7"/>
  <c r="X105" i="7"/>
  <c r="H106" i="7"/>
  <c r="M107" i="7"/>
  <c r="O108" i="7"/>
  <c r="Y108" i="7"/>
  <c r="B109" i="7"/>
  <c r="P109" i="7"/>
  <c r="Z109" i="7"/>
  <c r="C110" i="7"/>
  <c r="Q110" i="7"/>
  <c r="E111" i="7"/>
  <c r="R111" i="7"/>
  <c r="F112" i="7"/>
  <c r="S112" i="7"/>
  <c r="G113" i="7"/>
  <c r="T113" i="7"/>
  <c r="H114" i="7"/>
  <c r="U114" i="7"/>
  <c r="I115" i="7"/>
  <c r="V115" i="7"/>
  <c r="J116" i="7"/>
  <c r="W116" i="7"/>
  <c r="K117" i="7"/>
  <c r="X117" i="7"/>
  <c r="L118" i="7"/>
  <c r="Y118" i="7"/>
  <c r="B119" i="7"/>
  <c r="M119" i="7"/>
  <c r="M38" i="7"/>
  <c r="R59" i="7"/>
  <c r="J62" i="7"/>
  <c r="Z67" i="7"/>
  <c r="S70" i="7"/>
  <c r="U72" i="7"/>
  <c r="V73" i="7"/>
  <c r="R74" i="7"/>
  <c r="S75" i="7"/>
  <c r="K76" i="7"/>
  <c r="H77" i="7"/>
  <c r="C78" i="7"/>
  <c r="Z79" i="7"/>
  <c r="P80" i="7"/>
  <c r="L81" i="7"/>
  <c r="H82" i="7"/>
  <c r="Z83" i="7"/>
  <c r="K84" i="7"/>
  <c r="B85" i="7"/>
  <c r="Y85" i="7"/>
  <c r="L86" i="7"/>
  <c r="B87" i="7"/>
  <c r="T87" i="7"/>
  <c r="G88" i="7"/>
  <c r="X88" i="7"/>
  <c r="H89" i="7"/>
  <c r="M90" i="7"/>
  <c r="R91" i="7"/>
  <c r="S92" i="7"/>
  <c r="G93" i="7"/>
  <c r="X93" i="7"/>
  <c r="H94" i="7"/>
  <c r="K95" i="7"/>
  <c r="P96" i="7"/>
  <c r="Q97" i="7"/>
  <c r="E98" i="7"/>
  <c r="V98" i="7"/>
  <c r="F99" i="7"/>
  <c r="Z99" i="7"/>
  <c r="J100" i="7"/>
  <c r="P101" i="7"/>
  <c r="Q102" i="7"/>
  <c r="B103" i="7"/>
  <c r="T103" i="7"/>
  <c r="C104" i="7"/>
  <c r="X104" i="7"/>
  <c r="H105" i="7"/>
  <c r="Y105" i="7"/>
  <c r="M106" i="7"/>
  <c r="O107" i="7"/>
  <c r="P108" i="7"/>
  <c r="Z108" i="7"/>
  <c r="F109" i="7"/>
  <c r="Q109" i="7"/>
  <c r="G110" i="7"/>
  <c r="R110" i="7"/>
  <c r="H111" i="7"/>
  <c r="S111" i="7"/>
  <c r="I112" i="7"/>
  <c r="T112" i="7"/>
  <c r="J113" i="7"/>
  <c r="U113" i="7"/>
  <c r="K114" i="7"/>
  <c r="V114" i="7"/>
  <c r="L115" i="7"/>
  <c r="W115" i="7"/>
  <c r="M116" i="7"/>
  <c r="X116" i="7"/>
  <c r="O117" i="7"/>
  <c r="Y117" i="7"/>
  <c r="B118" i="7"/>
  <c r="P118" i="7"/>
  <c r="Z118" i="7"/>
  <c r="C119" i="7"/>
  <c r="Q119" i="7"/>
  <c r="E120" i="7"/>
  <c r="R120" i="7"/>
  <c r="F121" i="7"/>
  <c r="S121" i="7"/>
  <c r="G122" i="7"/>
  <c r="T122" i="7"/>
  <c r="H123" i="7"/>
  <c r="U123" i="7"/>
  <c r="I124" i="7"/>
  <c r="V124" i="7"/>
  <c r="J125" i="7"/>
  <c r="W125" i="7"/>
  <c r="K126" i="7"/>
  <c r="X126" i="7"/>
  <c r="L127" i="7"/>
  <c r="W127" i="7"/>
  <c r="G128" i="7"/>
  <c r="P128" i="7"/>
  <c r="X128" i="7"/>
  <c r="H129" i="7"/>
  <c r="Q129" i="7"/>
  <c r="Y129" i="7"/>
  <c r="I130" i="7"/>
  <c r="R130" i="7"/>
  <c r="Z130" i="7"/>
  <c r="J131" i="7"/>
  <c r="S131" i="7"/>
  <c r="B132" i="7"/>
  <c r="K132" i="7"/>
  <c r="T132" i="7"/>
  <c r="C133" i="7"/>
  <c r="L133" i="7"/>
  <c r="U133" i="7"/>
  <c r="E134" i="7"/>
  <c r="M134" i="7"/>
  <c r="V134" i="7"/>
  <c r="F135" i="7"/>
  <c r="O135" i="7"/>
  <c r="W135" i="7"/>
  <c r="G136" i="7"/>
  <c r="P136" i="7"/>
  <c r="X136" i="7"/>
  <c r="H137" i="7"/>
  <c r="Q137" i="7"/>
  <c r="Y137" i="7"/>
  <c r="I138" i="7"/>
  <c r="R138" i="7"/>
  <c r="Z138" i="7"/>
  <c r="J139" i="7"/>
  <c r="S139" i="7"/>
  <c r="B140" i="7"/>
  <c r="K140" i="7"/>
  <c r="U41" i="7"/>
  <c r="B60" i="7"/>
  <c r="V65" i="7"/>
  <c r="K68" i="7"/>
  <c r="E71" i="7"/>
  <c r="Z72" i="7"/>
  <c r="T74" i="7"/>
  <c r="U75" i="7"/>
  <c r="S76" i="7"/>
  <c r="K77" i="7"/>
  <c r="H78" i="7"/>
  <c r="O45" i="7"/>
  <c r="S60" i="7"/>
  <c r="K63" i="7"/>
  <c r="O71" i="7"/>
  <c r="X75" i="7"/>
  <c r="W76" i="7"/>
  <c r="L77" i="7"/>
  <c r="I78" i="7"/>
  <c r="E79" i="7"/>
  <c r="Q81" i="7"/>
  <c r="M82" i="7"/>
  <c r="I83" i="7"/>
  <c r="T84" i="7"/>
  <c r="G85" i="7"/>
  <c r="S86" i="7"/>
  <c r="F87" i="7"/>
  <c r="K88" i="7"/>
  <c r="P89" i="7"/>
  <c r="Q90" i="7"/>
  <c r="E91" i="7"/>
  <c r="V91" i="7"/>
  <c r="F92" i="7"/>
  <c r="Y92" i="7"/>
  <c r="I93" i="7"/>
  <c r="Z93" i="7"/>
  <c r="M94" i="7"/>
  <c r="O95" i="7"/>
  <c r="B96" i="7"/>
  <c r="T96" i="7"/>
  <c r="C97" i="7"/>
  <c r="X97" i="7"/>
  <c r="H98" i="7"/>
  <c r="Y98" i="7"/>
  <c r="M99" i="7"/>
  <c r="O100" i="7"/>
  <c r="R101" i="7"/>
  <c r="V102" i="7"/>
  <c r="F103" i="7"/>
  <c r="W103" i="7"/>
  <c r="K104" i="7"/>
  <c r="L105" i="7"/>
  <c r="Q106" i="7"/>
  <c r="V107" i="7"/>
  <c r="C108" i="7"/>
  <c r="R108" i="7"/>
  <c r="H109" i="7"/>
  <c r="S109" i="7"/>
  <c r="I110" i="7"/>
  <c r="T110" i="7"/>
  <c r="J111" i="7"/>
  <c r="U111" i="7"/>
  <c r="K112" i="7"/>
  <c r="V112" i="7"/>
  <c r="L113" i="7"/>
  <c r="W113" i="7"/>
  <c r="B114" i="7"/>
  <c r="M114" i="7"/>
  <c r="X114" i="7"/>
  <c r="C115" i="7"/>
  <c r="O115" i="7"/>
  <c r="Y115" i="7"/>
  <c r="E116" i="7"/>
  <c r="P116" i="7"/>
  <c r="Z116" i="7"/>
  <c r="F117" i="7"/>
  <c r="Q117" i="7"/>
  <c r="G118" i="7"/>
  <c r="R118" i="7"/>
  <c r="H119" i="7"/>
  <c r="S119" i="7"/>
  <c r="I120" i="7"/>
  <c r="T120" i="7"/>
  <c r="J121" i="7"/>
  <c r="U121" i="7"/>
  <c r="K122" i="7"/>
  <c r="V122" i="7"/>
  <c r="L123" i="7"/>
  <c r="W123" i="7"/>
  <c r="M124" i="7"/>
  <c r="X124" i="7"/>
  <c r="O125" i="7"/>
  <c r="Y125" i="7"/>
  <c r="B126" i="7"/>
  <c r="P126" i="7"/>
  <c r="Z126" i="7"/>
  <c r="C127" i="7"/>
  <c r="Q127" i="7"/>
  <c r="Y127" i="7"/>
  <c r="I128" i="7"/>
  <c r="R128" i="7"/>
  <c r="Z128" i="7"/>
  <c r="J129" i="7"/>
  <c r="S129" i="7"/>
  <c r="B130" i="7"/>
  <c r="K130" i="7"/>
  <c r="T130" i="7"/>
  <c r="C131" i="7"/>
  <c r="L131" i="7"/>
  <c r="U131" i="7"/>
  <c r="E132" i="7"/>
  <c r="M132" i="7"/>
  <c r="V132" i="7"/>
  <c r="F133" i="7"/>
  <c r="O133" i="7"/>
  <c r="W133" i="7"/>
  <c r="G134" i="7"/>
  <c r="P134" i="7"/>
  <c r="X134" i="7"/>
  <c r="H135" i="7"/>
  <c r="Q135" i="7"/>
  <c r="Y135" i="7"/>
  <c r="I136" i="7"/>
  <c r="R136" i="7"/>
  <c r="Z136" i="7"/>
  <c r="J137" i="7"/>
  <c r="S137" i="7"/>
  <c r="B138" i="7"/>
  <c r="K138" i="7"/>
  <c r="T138" i="7"/>
  <c r="C139" i="7"/>
  <c r="L139" i="7"/>
  <c r="U139" i="7"/>
  <c r="E140" i="7"/>
  <c r="M140" i="7"/>
  <c r="Q45" i="7"/>
  <c r="I66" i="7"/>
  <c r="T77" i="7"/>
  <c r="L82" i="7"/>
  <c r="B84" i="7"/>
  <c r="V87" i="7"/>
  <c r="B89" i="7"/>
  <c r="R90" i="7"/>
  <c r="B92" i="7"/>
  <c r="L93" i="7"/>
  <c r="S96" i="7"/>
  <c r="O99" i="7"/>
  <c r="I102" i="7"/>
  <c r="Z103" i="7"/>
  <c r="K105" i="7"/>
  <c r="U106" i="7"/>
  <c r="B108" i="7"/>
  <c r="R109" i="7"/>
  <c r="H110" i="7"/>
  <c r="T111" i="7"/>
  <c r="J112" i="7"/>
  <c r="V113" i="7"/>
  <c r="L114" i="7"/>
  <c r="X115" i="7"/>
  <c r="O116" i="7"/>
  <c r="B117" i="7"/>
  <c r="Z117" i="7"/>
  <c r="Q118" i="7"/>
  <c r="E119" i="7"/>
  <c r="Z119" i="7"/>
  <c r="K120" i="7"/>
  <c r="O121" i="7"/>
  <c r="Q122" i="7"/>
  <c r="C123" i="7"/>
  <c r="V123" i="7"/>
  <c r="G124" i="7"/>
  <c r="Y124" i="7"/>
  <c r="I125" i="7"/>
  <c r="L126" i="7"/>
  <c r="R127" i="7"/>
  <c r="K128" i="7"/>
  <c r="Y128" i="7"/>
  <c r="F129" i="7"/>
  <c r="T129" i="7"/>
  <c r="M130" i="7"/>
  <c r="H131" i="7"/>
  <c r="V131" i="7"/>
  <c r="P132" i="7"/>
  <c r="J133" i="7"/>
  <c r="X133" i="7"/>
  <c r="C134" i="7"/>
  <c r="R134" i="7"/>
  <c r="L135" i="7"/>
  <c r="Z135" i="7"/>
  <c r="F136" i="7"/>
  <c r="T136" i="7"/>
  <c r="O137" i="7"/>
  <c r="H138" i="7"/>
  <c r="V138" i="7"/>
  <c r="B139" i="7"/>
  <c r="Q139" i="7"/>
  <c r="J140" i="7"/>
  <c r="V140" i="7"/>
  <c r="F141" i="7"/>
  <c r="O141" i="7"/>
  <c r="W141" i="7"/>
  <c r="G142" i="7"/>
  <c r="P142" i="7"/>
  <c r="X142" i="7"/>
  <c r="H143" i="7"/>
  <c r="Q143" i="7"/>
  <c r="Y143" i="7"/>
  <c r="I144" i="7"/>
  <c r="R144" i="7"/>
  <c r="Z144" i="7"/>
  <c r="J145" i="7"/>
  <c r="S145" i="7"/>
  <c r="B146" i="7"/>
  <c r="K146" i="7"/>
  <c r="T146" i="7"/>
  <c r="C147" i="7"/>
  <c r="L147" i="7"/>
  <c r="U147" i="7"/>
  <c r="E148" i="7"/>
  <c r="M148" i="7"/>
  <c r="V148" i="7"/>
  <c r="F149" i="7"/>
  <c r="O149" i="7"/>
  <c r="W149" i="7"/>
  <c r="G150" i="7"/>
  <c r="P150" i="7"/>
  <c r="X150" i="7"/>
  <c r="H151" i="7"/>
  <c r="Q151" i="7"/>
  <c r="Y151" i="7"/>
  <c r="I152" i="7"/>
  <c r="R152" i="7"/>
  <c r="Z152" i="7"/>
  <c r="J153" i="7"/>
  <c r="S153" i="7"/>
  <c r="B154" i="7"/>
  <c r="K154" i="7"/>
  <c r="T154" i="7"/>
  <c r="C155" i="7"/>
  <c r="L155" i="7"/>
  <c r="U155" i="7"/>
  <c r="E156" i="7"/>
  <c r="M156" i="7"/>
  <c r="V156" i="7"/>
  <c r="F157" i="7"/>
  <c r="O157" i="7"/>
  <c r="W157" i="7"/>
  <c r="G158" i="7"/>
  <c r="P158" i="7"/>
  <c r="X158" i="7"/>
  <c r="H159" i="7"/>
  <c r="Q159" i="7"/>
  <c r="Y159" i="7"/>
  <c r="I160" i="7"/>
  <c r="R160" i="7"/>
  <c r="Z160" i="7"/>
  <c r="J161" i="7"/>
  <c r="S161" i="7"/>
  <c r="B162" i="7"/>
  <c r="K162" i="7"/>
  <c r="T162" i="7"/>
  <c r="C163" i="7"/>
  <c r="L163" i="7"/>
  <c r="U163" i="7"/>
  <c r="E164" i="7"/>
  <c r="M164" i="7"/>
  <c r="V164" i="7"/>
  <c r="F165" i="7"/>
  <c r="O165" i="7"/>
  <c r="W165" i="7"/>
  <c r="G166" i="7"/>
  <c r="P166" i="7"/>
  <c r="X166" i="7"/>
  <c r="H167" i="7"/>
  <c r="Q167" i="7"/>
  <c r="Y167" i="7"/>
  <c r="I168" i="7"/>
  <c r="R168" i="7"/>
  <c r="S46" i="7"/>
  <c r="O66" i="7"/>
  <c r="X77" i="7"/>
  <c r="F80" i="7"/>
  <c r="Q82" i="7"/>
  <c r="Q84" i="7"/>
  <c r="K89" i="7"/>
  <c r="W90" i="7"/>
  <c r="G92" i="7"/>
  <c r="Y93" i="7"/>
  <c r="U96" i="7"/>
  <c r="F98" i="7"/>
  <c r="P99" i="7"/>
  <c r="B101" i="7"/>
  <c r="R102" i="7"/>
  <c r="M105" i="7"/>
  <c r="F108" i="7"/>
  <c r="T109" i="7"/>
  <c r="J110" i="7"/>
  <c r="V111" i="7"/>
  <c r="L112" i="7"/>
  <c r="B113" i="7"/>
  <c r="X113" i="7"/>
  <c r="O114" i="7"/>
  <c r="E115" i="7"/>
  <c r="Z115" i="7"/>
  <c r="Q116" i="7"/>
  <c r="G117" i="7"/>
  <c r="S118" i="7"/>
  <c r="I119" i="7"/>
  <c r="M120" i="7"/>
  <c r="P121" i="7"/>
  <c r="B122" i="7"/>
  <c r="U122" i="7"/>
  <c r="F123" i="7"/>
  <c r="X123" i="7"/>
  <c r="H124" i="7"/>
  <c r="Z124" i="7"/>
  <c r="K125" i="7"/>
  <c r="Q126" i="7"/>
  <c r="S127" i="7"/>
  <c r="M128" i="7"/>
  <c r="G129" i="7"/>
  <c r="U129" i="7"/>
  <c r="P130" i="7"/>
  <c r="I131" i="7"/>
  <c r="W131" i="7"/>
  <c r="C132" i="7"/>
  <c r="R132" i="7"/>
  <c r="K133" i="7"/>
  <c r="Y133" i="7"/>
  <c r="F134" i="7"/>
  <c r="T134" i="7"/>
  <c r="M135" i="7"/>
  <c r="H136" i="7"/>
  <c r="V136" i="7"/>
  <c r="B137" i="7"/>
  <c r="P137" i="7"/>
  <c r="J138" i="7"/>
  <c r="X138" i="7"/>
  <c r="E139" i="7"/>
  <c r="R139" i="7"/>
  <c r="L140" i="7"/>
  <c r="W140" i="7"/>
  <c r="G141" i="7"/>
  <c r="P141" i="7"/>
  <c r="X141" i="7"/>
  <c r="H142" i="7"/>
  <c r="Q142" i="7"/>
  <c r="Y142" i="7"/>
  <c r="I143" i="7"/>
  <c r="R143" i="7"/>
  <c r="Z143" i="7"/>
  <c r="J144" i="7"/>
  <c r="S144" i="7"/>
  <c r="B145" i="7"/>
  <c r="K145" i="7"/>
  <c r="T145" i="7"/>
  <c r="C146" i="7"/>
  <c r="L146" i="7"/>
  <c r="U146" i="7"/>
  <c r="E147" i="7"/>
  <c r="M147" i="7"/>
  <c r="V147" i="7"/>
  <c r="F148" i="7"/>
  <c r="O148" i="7"/>
  <c r="W148" i="7"/>
  <c r="G149" i="7"/>
  <c r="P149" i="7"/>
  <c r="X149" i="7"/>
  <c r="H150" i="7"/>
  <c r="Q150" i="7"/>
  <c r="Y150" i="7"/>
  <c r="I151" i="7"/>
  <c r="R151" i="7"/>
  <c r="Z151" i="7"/>
  <c r="J152" i="7"/>
  <c r="S152" i="7"/>
  <c r="B153" i="7"/>
  <c r="K153" i="7"/>
  <c r="T153" i="7"/>
  <c r="C154" i="7"/>
  <c r="L154" i="7"/>
  <c r="U154" i="7"/>
  <c r="E155" i="7"/>
  <c r="M155" i="7"/>
  <c r="V155" i="7"/>
  <c r="F156" i="7"/>
  <c r="O156" i="7"/>
  <c r="W156" i="7"/>
  <c r="G157" i="7"/>
  <c r="P157" i="7"/>
  <c r="X157" i="7"/>
  <c r="H158" i="7"/>
  <c r="Q158" i="7"/>
  <c r="Y158" i="7"/>
  <c r="I159" i="7"/>
  <c r="R159" i="7"/>
  <c r="Z159" i="7"/>
  <c r="J160" i="7"/>
  <c r="S160" i="7"/>
  <c r="B161" i="7"/>
  <c r="K161" i="7"/>
  <c r="T161" i="7"/>
  <c r="C162" i="7"/>
  <c r="L162" i="7"/>
  <c r="U162" i="7"/>
  <c r="E163" i="7"/>
  <c r="M163" i="7"/>
  <c r="V163" i="7"/>
  <c r="F164" i="7"/>
  <c r="O164" i="7"/>
  <c r="W164" i="7"/>
  <c r="G165" i="7"/>
  <c r="P165" i="7"/>
  <c r="X165" i="7"/>
  <c r="H166" i="7"/>
  <c r="Q166" i="7"/>
  <c r="Y166" i="7"/>
  <c r="I167" i="7"/>
  <c r="R167" i="7"/>
  <c r="Z167" i="7"/>
  <c r="J168" i="7"/>
  <c r="S168" i="7"/>
  <c r="B169" i="7"/>
  <c r="K169" i="7"/>
  <c r="Y55" i="7"/>
  <c r="B69" i="7"/>
  <c r="L78" i="7"/>
  <c r="W80" i="7"/>
  <c r="R82" i="7"/>
  <c r="W84" i="7"/>
  <c r="M86" i="7"/>
  <c r="Q89" i="7"/>
  <c r="K92" i="7"/>
  <c r="M95" i="7"/>
  <c r="W96" i="7"/>
  <c r="I98" i="7"/>
  <c r="C101" i="7"/>
  <c r="Y102" i="7"/>
  <c r="F104" i="7"/>
  <c r="T105" i="7"/>
  <c r="G108" i="7"/>
  <c r="W109" i="7"/>
  <c r="K110" i="7"/>
  <c r="Y111" i="7"/>
  <c r="M112" i="7"/>
  <c r="C113" i="7"/>
  <c r="P114" i="7"/>
  <c r="F115" i="7"/>
  <c r="R116" i="7"/>
  <c r="H117" i="7"/>
  <c r="T118" i="7"/>
  <c r="J119" i="7"/>
  <c r="O120" i="7"/>
  <c r="T121" i="7"/>
  <c r="E122" i="7"/>
  <c r="W122" i="7"/>
  <c r="G123" i="7"/>
  <c r="Y123" i="7"/>
  <c r="J124" i="7"/>
  <c r="P125" i="7"/>
  <c r="R126" i="7"/>
  <c r="B127" i="7"/>
  <c r="U127" i="7"/>
  <c r="O128" i="7"/>
  <c r="I129" i="7"/>
  <c r="L56" i="7"/>
  <c r="C69" i="7"/>
  <c r="M78" i="7"/>
  <c r="X84" i="7"/>
  <c r="V86" i="7"/>
  <c r="J88" i="7"/>
  <c r="T89" i="7"/>
  <c r="F91" i="7"/>
  <c r="T92" i="7"/>
  <c r="R95" i="7"/>
  <c r="B97" i="7"/>
  <c r="L98" i="7"/>
  <c r="Q101" i="7"/>
  <c r="Z102" i="7"/>
  <c r="L104" i="7"/>
  <c r="G107" i="7"/>
  <c r="L108" i="7"/>
  <c r="Y109" i="7"/>
  <c r="P110" i="7"/>
  <c r="C111" i="7"/>
  <c r="R112" i="7"/>
  <c r="F113" i="7"/>
  <c r="T114" i="7"/>
  <c r="H115" i="7"/>
  <c r="V116" i="7"/>
  <c r="J117" i="7"/>
  <c r="X118" i="7"/>
  <c r="L119" i="7"/>
  <c r="S120" i="7"/>
  <c r="C121" i="7"/>
  <c r="V121" i="7"/>
  <c r="F122" i="7"/>
  <c r="X122" i="7"/>
  <c r="I123" i="7"/>
  <c r="O124" i="7"/>
  <c r="Q125" i="7"/>
  <c r="T126" i="7"/>
  <c r="E127" i="7"/>
  <c r="V127" i="7"/>
  <c r="B128" i="7"/>
  <c r="Q128" i="7"/>
  <c r="K129" i="7"/>
  <c r="X129" i="7"/>
  <c r="E130" i="7"/>
  <c r="S130" i="7"/>
  <c r="M131" i="7"/>
  <c r="Z131" i="7"/>
  <c r="G132" i="7"/>
  <c r="U132" i="7"/>
  <c r="P133" i="7"/>
  <c r="I134" i="7"/>
  <c r="W134" i="7"/>
  <c r="C135" i="7"/>
  <c r="R135" i="7"/>
  <c r="K136" i="7"/>
  <c r="Y136" i="7"/>
  <c r="F137" i="7"/>
  <c r="T137" i="7"/>
  <c r="M138" i="7"/>
  <c r="H139" i="7"/>
  <c r="V139" i="7"/>
  <c r="P140" i="7"/>
  <c r="Y140" i="7"/>
  <c r="I141" i="7"/>
  <c r="R141" i="7"/>
  <c r="T71" i="7"/>
  <c r="Y75" i="7"/>
  <c r="M83" i="7"/>
  <c r="C85" i="7"/>
  <c r="Y86" i="7"/>
  <c r="L88" i="7"/>
  <c r="G91" i="7"/>
  <c r="I94" i="7"/>
  <c r="V95" i="7"/>
  <c r="E97" i="7"/>
  <c r="W98" i="7"/>
  <c r="T101" i="7"/>
  <c r="E103" i="7"/>
  <c r="O104" i="7"/>
  <c r="P107" i="7"/>
  <c r="Q108" i="7"/>
  <c r="G109" i="7"/>
  <c r="S110" i="7"/>
  <c r="I111" i="7"/>
  <c r="U112" i="7"/>
  <c r="K113" i="7"/>
  <c r="W114" i="7"/>
  <c r="M115" i="7"/>
  <c r="Y116" i="7"/>
  <c r="P117" i="7"/>
  <c r="C118" i="7"/>
  <c r="R119" i="7"/>
  <c r="B120" i="7"/>
  <c r="U120" i="7"/>
  <c r="E121" i="7"/>
  <c r="W121" i="7"/>
  <c r="H122" i="7"/>
  <c r="M123" i="7"/>
  <c r="P124" i="7"/>
  <c r="S125" i="7"/>
  <c r="C126" i="7"/>
  <c r="U126" i="7"/>
  <c r="H127" i="7"/>
  <c r="X127" i="7"/>
  <c r="E128" i="7"/>
  <c r="S128" i="7"/>
  <c r="L129" i="7"/>
  <c r="Z129" i="7"/>
  <c r="G130" i="7"/>
  <c r="U130" i="7"/>
  <c r="O131" i="7"/>
  <c r="I132" i="7"/>
  <c r="W132" i="7"/>
  <c r="B133" i="7"/>
  <c r="Q133" i="7"/>
  <c r="K134" i="7"/>
  <c r="Y134" i="7"/>
  <c r="E135" i="7"/>
  <c r="S135" i="7"/>
  <c r="M136" i="7"/>
  <c r="G137" i="7"/>
  <c r="U137" i="7"/>
  <c r="P138" i="7"/>
  <c r="I139" i="7"/>
  <c r="W139" i="7"/>
  <c r="C140" i="7"/>
  <c r="R140" i="7"/>
  <c r="Z140" i="7"/>
  <c r="J141" i="7"/>
  <c r="S141" i="7"/>
  <c r="B142" i="7"/>
  <c r="K142" i="7"/>
  <c r="T142" i="7"/>
  <c r="V63" i="7"/>
  <c r="G73" i="7"/>
  <c r="M87" i="7"/>
  <c r="O90" i="7"/>
  <c r="X91" i="7"/>
  <c r="K93" i="7"/>
  <c r="F96" i="7"/>
  <c r="Y97" i="7"/>
  <c r="G99" i="7"/>
  <c r="T100" i="7"/>
  <c r="C102" i="7"/>
  <c r="V103" i="7"/>
  <c r="R106" i="7"/>
  <c r="X108" i="7"/>
  <c r="O109" i="7"/>
  <c r="B110" i="7"/>
  <c r="Z110" i="7"/>
  <c r="Q111" i="7"/>
  <c r="E112" i="7"/>
  <c r="S113" i="7"/>
  <c r="G114" i="7"/>
  <c r="U115" i="7"/>
  <c r="I116" i="7"/>
  <c r="W117" i="7"/>
  <c r="K118" i="7"/>
  <c r="Y119" i="7"/>
  <c r="J120" i="7"/>
  <c r="L121" i="7"/>
  <c r="P122" i="7"/>
  <c r="R123" i="7"/>
  <c r="E124" i="7"/>
  <c r="W124" i="7"/>
  <c r="H125" i="7"/>
  <c r="Z125" i="7"/>
  <c r="J126" i="7"/>
  <c r="M127" i="7"/>
  <c r="J128" i="7"/>
  <c r="W128" i="7"/>
  <c r="C129" i="7"/>
  <c r="R129" i="7"/>
  <c r="L130" i="7"/>
  <c r="Y130" i="7"/>
  <c r="F131" i="7"/>
  <c r="T131" i="7"/>
  <c r="O132" i="7"/>
  <c r="H133" i="7"/>
  <c r="V133" i="7"/>
  <c r="B134" i="7"/>
  <c r="Q134" i="7"/>
  <c r="J135" i="7"/>
  <c r="X135" i="7"/>
  <c r="E136" i="7"/>
  <c r="S136" i="7"/>
  <c r="L137" i="7"/>
  <c r="Z137" i="7"/>
  <c r="G138" i="7"/>
  <c r="U138" i="7"/>
  <c r="O139" i="7"/>
  <c r="I140" i="7"/>
  <c r="U140" i="7"/>
  <c r="P81" i="7"/>
  <c r="O88" i="7"/>
  <c r="Q94" i="7"/>
  <c r="K100" i="7"/>
  <c r="C106" i="7"/>
  <c r="W112" i="7"/>
  <c r="P115" i="7"/>
  <c r="H118" i="7"/>
  <c r="V120" i="7"/>
  <c r="B125" i="7"/>
  <c r="J127" i="7"/>
  <c r="H130" i="7"/>
  <c r="K131" i="7"/>
  <c r="L132" i="7"/>
  <c r="S133" i="7"/>
  <c r="U134" i="7"/>
  <c r="V135" i="7"/>
  <c r="F140" i="7"/>
  <c r="M141" i="7"/>
  <c r="J142" i="7"/>
  <c r="W142" i="7"/>
  <c r="C143" i="7"/>
  <c r="O143" i="7"/>
  <c r="E144" i="7"/>
  <c r="P144" i="7"/>
  <c r="F145" i="7"/>
  <c r="Q145" i="7"/>
  <c r="G146" i="7"/>
  <c r="R146" i="7"/>
  <c r="H147" i="7"/>
  <c r="S147" i="7"/>
  <c r="I148" i="7"/>
  <c r="T148" i="7"/>
  <c r="J149" i="7"/>
  <c r="U149" i="7"/>
  <c r="K150" i="7"/>
  <c r="V150" i="7"/>
  <c r="L151" i="7"/>
  <c r="W151" i="7"/>
  <c r="B152" i="7"/>
  <c r="M152" i="7"/>
  <c r="X152" i="7"/>
  <c r="C153" i="7"/>
  <c r="O153" i="7"/>
  <c r="Y153" i="7"/>
  <c r="E154" i="7"/>
  <c r="P154" i="7"/>
  <c r="Z154" i="7"/>
  <c r="F155" i="7"/>
  <c r="Q155" i="7"/>
  <c r="G156" i="7"/>
  <c r="R156" i="7"/>
  <c r="H157" i="7"/>
  <c r="S157" i="7"/>
  <c r="I158" i="7"/>
  <c r="T158" i="7"/>
  <c r="J159" i="7"/>
  <c r="U159" i="7"/>
  <c r="K160" i="7"/>
  <c r="V160" i="7"/>
  <c r="L161" i="7"/>
  <c r="W161" i="7"/>
  <c r="M162" i="7"/>
  <c r="X162" i="7"/>
  <c r="O163" i="7"/>
  <c r="Y163" i="7"/>
  <c r="B164" i="7"/>
  <c r="P164" i="7"/>
  <c r="Z164" i="7"/>
  <c r="C165" i="7"/>
  <c r="Q165" i="7"/>
  <c r="E166" i="7"/>
  <c r="R166" i="7"/>
  <c r="F167" i="7"/>
  <c r="S167" i="7"/>
  <c r="G168" i="7"/>
  <c r="T168" i="7"/>
  <c r="F169" i="7"/>
  <c r="P169" i="7"/>
  <c r="X169" i="7"/>
  <c r="H170" i="7"/>
  <c r="Q170" i="7"/>
  <c r="Y170" i="7"/>
  <c r="I171" i="7"/>
  <c r="R171" i="7"/>
  <c r="Z171" i="7"/>
  <c r="J172" i="7"/>
  <c r="S172" i="7"/>
  <c r="B173" i="7"/>
  <c r="K173" i="7"/>
  <c r="T173" i="7"/>
  <c r="C174" i="7"/>
  <c r="L174" i="7"/>
  <c r="U174" i="7"/>
  <c r="E175" i="7"/>
  <c r="M175" i="7"/>
  <c r="V175" i="7"/>
  <c r="F176" i="7"/>
  <c r="O176" i="7"/>
  <c r="W176" i="7"/>
  <c r="G177" i="7"/>
  <c r="P177" i="7"/>
  <c r="X177" i="7"/>
  <c r="H178" i="7"/>
  <c r="Q178" i="7"/>
  <c r="Y178" i="7"/>
  <c r="I179" i="7"/>
  <c r="R179" i="7"/>
  <c r="Z179" i="7"/>
  <c r="J180" i="7"/>
  <c r="S180" i="7"/>
  <c r="B181" i="7"/>
  <c r="K181" i="7"/>
  <c r="T181" i="7"/>
  <c r="C182" i="7"/>
  <c r="L182" i="7"/>
  <c r="U182" i="7"/>
  <c r="E183" i="7"/>
  <c r="M183" i="7"/>
  <c r="V183" i="7"/>
  <c r="F184" i="7"/>
  <c r="O184" i="7"/>
  <c r="W184" i="7"/>
  <c r="G185" i="7"/>
  <c r="P185" i="7"/>
  <c r="X185" i="7"/>
  <c r="T63" i="7"/>
  <c r="X81" i="7"/>
  <c r="R94" i="7"/>
  <c r="P100" i="7"/>
  <c r="O106" i="7"/>
  <c r="Z112" i="7"/>
  <c r="Q115" i="7"/>
  <c r="I118" i="7"/>
  <c r="Z120" i="7"/>
  <c r="F125" i="7"/>
  <c r="K127" i="7"/>
  <c r="B129" i="7"/>
  <c r="J130" i="7"/>
  <c r="Q131" i="7"/>
  <c r="S132" i="7"/>
  <c r="T133" i="7"/>
  <c r="Z134" i="7"/>
  <c r="C138" i="7"/>
  <c r="F139" i="7"/>
  <c r="G140" i="7"/>
  <c r="Q141" i="7"/>
  <c r="L142" i="7"/>
  <c r="Z142" i="7"/>
  <c r="E143" i="7"/>
  <c r="P143" i="7"/>
  <c r="F144" i="7"/>
  <c r="Q144" i="7"/>
  <c r="G145" i="7"/>
  <c r="R145" i="7"/>
  <c r="H146" i="7"/>
  <c r="S146" i="7"/>
  <c r="I147" i="7"/>
  <c r="T147" i="7"/>
  <c r="J148" i="7"/>
  <c r="U148" i="7"/>
  <c r="K149" i="7"/>
  <c r="V149" i="7"/>
  <c r="L150" i="7"/>
  <c r="W150" i="7"/>
  <c r="B151" i="7"/>
  <c r="M151" i="7"/>
  <c r="X151" i="7"/>
  <c r="C152" i="7"/>
  <c r="O152" i="7"/>
  <c r="Y152" i="7"/>
  <c r="E153" i="7"/>
  <c r="P153" i="7"/>
  <c r="Z153" i="7"/>
  <c r="F154" i="7"/>
  <c r="Q154" i="7"/>
  <c r="G155" i="7"/>
  <c r="R155" i="7"/>
  <c r="H156" i="7"/>
  <c r="S156" i="7"/>
  <c r="I157" i="7"/>
  <c r="T157" i="7"/>
  <c r="J158" i="7"/>
  <c r="U158" i="7"/>
  <c r="K159" i="7"/>
  <c r="V159" i="7"/>
  <c r="L160" i="7"/>
  <c r="W160" i="7"/>
  <c r="M161" i="7"/>
  <c r="X161" i="7"/>
  <c r="O162" i="7"/>
  <c r="Y162" i="7"/>
  <c r="B163" i="7"/>
  <c r="P163" i="7"/>
  <c r="Z163" i="7"/>
  <c r="C164" i="7"/>
  <c r="Q164" i="7"/>
  <c r="E165" i="7"/>
  <c r="R165" i="7"/>
  <c r="F166" i="7"/>
  <c r="S166" i="7"/>
  <c r="G167" i="7"/>
  <c r="T167" i="7"/>
  <c r="H168" i="7"/>
  <c r="U168" i="7"/>
  <c r="G169" i="7"/>
  <c r="Q169" i="7"/>
  <c r="Y169" i="7"/>
  <c r="I170" i="7"/>
  <c r="R170" i="7"/>
  <c r="Z170" i="7"/>
  <c r="J171" i="7"/>
  <c r="S171" i="7"/>
  <c r="B172" i="7"/>
  <c r="K172" i="7"/>
  <c r="T172" i="7"/>
  <c r="C173" i="7"/>
  <c r="L173" i="7"/>
  <c r="U173" i="7"/>
  <c r="E174" i="7"/>
  <c r="M174" i="7"/>
  <c r="V174" i="7"/>
  <c r="F175" i="7"/>
  <c r="O175" i="7"/>
  <c r="W175" i="7"/>
  <c r="G176" i="7"/>
  <c r="P176" i="7"/>
  <c r="X176" i="7"/>
  <c r="H177" i="7"/>
  <c r="Q177" i="7"/>
  <c r="Y177" i="7"/>
  <c r="I178" i="7"/>
  <c r="R178" i="7"/>
  <c r="Z178" i="7"/>
  <c r="J179" i="7"/>
  <c r="S179" i="7"/>
  <c r="B180" i="7"/>
  <c r="K180" i="7"/>
  <c r="T180" i="7"/>
  <c r="C181" i="7"/>
  <c r="L181" i="7"/>
  <c r="U181" i="7"/>
  <c r="E182" i="7"/>
  <c r="M182" i="7"/>
  <c r="V182" i="7"/>
  <c r="F183" i="7"/>
  <c r="O183" i="7"/>
  <c r="W183" i="7"/>
  <c r="O83" i="7"/>
  <c r="U101" i="7"/>
  <c r="W107" i="7"/>
  <c r="U110" i="7"/>
  <c r="M113" i="7"/>
  <c r="F116" i="7"/>
  <c r="G121" i="7"/>
  <c r="O123" i="7"/>
  <c r="T125" i="7"/>
  <c r="Z127" i="7"/>
  <c r="O129" i="7"/>
  <c r="Q130" i="7"/>
  <c r="R131" i="7"/>
  <c r="X132" i="7"/>
  <c r="C137" i="7"/>
  <c r="E138" i="7"/>
  <c r="K139" i="7"/>
  <c r="O140" i="7"/>
  <c r="B141" i="7"/>
  <c r="T141" i="7"/>
  <c r="M142" i="7"/>
  <c r="F143" i="7"/>
  <c r="S143" i="7"/>
  <c r="G144" i="7"/>
  <c r="T144" i="7"/>
  <c r="H145" i="7"/>
  <c r="U145" i="7"/>
  <c r="I146" i="7"/>
  <c r="V146" i="7"/>
  <c r="J147" i="7"/>
  <c r="W147" i="7"/>
  <c r="K148" i="7"/>
  <c r="X148" i="7"/>
  <c r="L149" i="7"/>
  <c r="Y149" i="7"/>
  <c r="B150" i="7"/>
  <c r="M150" i="7"/>
  <c r="Z150" i="7"/>
  <c r="C151" i="7"/>
  <c r="O151" i="7"/>
  <c r="E152" i="7"/>
  <c r="P152" i="7"/>
  <c r="F153" i="7"/>
  <c r="Q153" i="7"/>
  <c r="G154" i="7"/>
  <c r="R154" i="7"/>
  <c r="H155" i="7"/>
  <c r="S155" i="7"/>
  <c r="I156" i="7"/>
  <c r="T156" i="7"/>
  <c r="J157" i="7"/>
  <c r="U157" i="7"/>
  <c r="K158" i="7"/>
  <c r="V158" i="7"/>
  <c r="L159" i="7"/>
  <c r="W159" i="7"/>
  <c r="B73" i="7"/>
  <c r="C90" i="7"/>
  <c r="C96" i="7"/>
  <c r="X107" i="7"/>
  <c r="X110" i="7"/>
  <c r="O113" i="7"/>
  <c r="G116" i="7"/>
  <c r="K121" i="7"/>
  <c r="Q123" i="7"/>
  <c r="X125" i="7"/>
  <c r="P129" i="7"/>
  <c r="V130" i="7"/>
  <c r="Y131" i="7"/>
  <c r="Z132" i="7"/>
  <c r="B136" i="7"/>
  <c r="I137" i="7"/>
  <c r="L138" i="7"/>
  <c r="M139" i="7"/>
  <c r="S140" i="7"/>
  <c r="C141" i="7"/>
  <c r="U141" i="7"/>
  <c r="O142" i="7"/>
  <c r="G143" i="7"/>
  <c r="T143" i="7"/>
  <c r="H144" i="7"/>
  <c r="U144" i="7"/>
  <c r="I145" i="7"/>
  <c r="V145" i="7"/>
  <c r="J146" i="7"/>
  <c r="W146" i="7"/>
  <c r="K147" i="7"/>
  <c r="X147" i="7"/>
  <c r="L148" i="7"/>
  <c r="Y148" i="7"/>
  <c r="B149" i="7"/>
  <c r="M149" i="7"/>
  <c r="Z149" i="7"/>
  <c r="C150" i="7"/>
  <c r="K85" i="7"/>
  <c r="S91" i="7"/>
  <c r="K97" i="7"/>
  <c r="I103" i="7"/>
  <c r="S108" i="7"/>
  <c r="K111" i="7"/>
  <c r="C114" i="7"/>
  <c r="T119" i="7"/>
  <c r="G126" i="7"/>
  <c r="F128" i="7"/>
  <c r="W129" i="7"/>
  <c r="X130" i="7"/>
  <c r="G135" i="7"/>
  <c r="J136" i="7"/>
  <c r="K137" i="7"/>
  <c r="Q138" i="7"/>
  <c r="T139" i="7"/>
  <c r="T140" i="7"/>
  <c r="E141" i="7"/>
  <c r="V141" i="7"/>
  <c r="C142" i="7"/>
  <c r="R142" i="7"/>
  <c r="J143" i="7"/>
  <c r="U143" i="7"/>
  <c r="K144" i="7"/>
  <c r="V144" i="7"/>
  <c r="L145" i="7"/>
  <c r="W145" i="7"/>
  <c r="M146" i="7"/>
  <c r="X146" i="7"/>
  <c r="O147" i="7"/>
  <c r="Y147" i="7"/>
  <c r="B148" i="7"/>
  <c r="P148" i="7"/>
  <c r="Z148" i="7"/>
  <c r="C149" i="7"/>
  <c r="Q149" i="7"/>
  <c r="E150" i="7"/>
  <c r="R150" i="7"/>
  <c r="F151" i="7"/>
  <c r="S151" i="7"/>
  <c r="G152" i="7"/>
  <c r="T152" i="7"/>
  <c r="H153" i="7"/>
  <c r="U153" i="7"/>
  <c r="I154" i="7"/>
  <c r="V154" i="7"/>
  <c r="J155" i="7"/>
  <c r="W155" i="7"/>
  <c r="K156" i="7"/>
  <c r="X156" i="7"/>
  <c r="L157" i="7"/>
  <c r="Y157" i="7"/>
  <c r="B158" i="7"/>
  <c r="M158" i="7"/>
  <c r="Z158" i="7"/>
  <c r="C159" i="7"/>
  <c r="O159" i="7"/>
  <c r="E160" i="7"/>
  <c r="P160" i="7"/>
  <c r="F161" i="7"/>
  <c r="Q161" i="7"/>
  <c r="G162" i="7"/>
  <c r="R162" i="7"/>
  <c r="H163" i="7"/>
  <c r="S163" i="7"/>
  <c r="I164" i="7"/>
  <c r="T164" i="7"/>
  <c r="J165" i="7"/>
  <c r="U165" i="7"/>
  <c r="K166" i="7"/>
  <c r="V166" i="7"/>
  <c r="L167" i="7"/>
  <c r="W167" i="7"/>
  <c r="B168" i="7"/>
  <c r="M168" i="7"/>
  <c r="X168" i="7"/>
  <c r="J169" i="7"/>
  <c r="T169" i="7"/>
  <c r="C170" i="7"/>
  <c r="L170" i="7"/>
  <c r="U170" i="7"/>
  <c r="E171" i="7"/>
  <c r="M171" i="7"/>
  <c r="V171" i="7"/>
  <c r="F172" i="7"/>
  <c r="O172" i="7"/>
  <c r="W172" i="7"/>
  <c r="G173" i="7"/>
  <c r="P173" i="7"/>
  <c r="X173" i="7"/>
  <c r="H174" i="7"/>
  <c r="Q174" i="7"/>
  <c r="Y174" i="7"/>
  <c r="I175" i="7"/>
  <c r="R175" i="7"/>
  <c r="Z175" i="7"/>
  <c r="J176" i="7"/>
  <c r="S176" i="7"/>
  <c r="B177" i="7"/>
  <c r="K177" i="7"/>
  <c r="T177" i="7"/>
  <c r="C178" i="7"/>
  <c r="L178" i="7"/>
  <c r="U178" i="7"/>
  <c r="E179" i="7"/>
  <c r="M179" i="7"/>
  <c r="V179" i="7"/>
  <c r="F180" i="7"/>
  <c r="O180" i="7"/>
  <c r="W180" i="7"/>
  <c r="G181" i="7"/>
  <c r="P181" i="7"/>
  <c r="X181" i="7"/>
  <c r="H182" i="7"/>
  <c r="Q182" i="7"/>
  <c r="Y182" i="7"/>
  <c r="I183" i="7"/>
  <c r="R183" i="7"/>
  <c r="Z183" i="7"/>
  <c r="J184" i="7"/>
  <c r="S184" i="7"/>
  <c r="B185" i="7"/>
  <c r="K185" i="7"/>
  <c r="T185" i="7"/>
  <c r="X76" i="7"/>
  <c r="P85" i="7"/>
  <c r="W91" i="7"/>
  <c r="T97" i="7"/>
  <c r="J103" i="7"/>
  <c r="V108" i="7"/>
  <c r="L111" i="7"/>
  <c r="E114" i="7"/>
  <c r="U119" i="7"/>
  <c r="I126" i="7"/>
  <c r="H128" i="7"/>
  <c r="E133" i="7"/>
  <c r="H134" i="7"/>
  <c r="I135" i="7"/>
  <c r="O136" i="7"/>
  <c r="R137" i="7"/>
  <c r="S138" i="7"/>
  <c r="Y139" i="7"/>
  <c r="X140" i="7"/>
  <c r="H141" i="7"/>
  <c r="Y141" i="7"/>
  <c r="E142" i="7"/>
  <c r="S142" i="7"/>
  <c r="I79" i="7"/>
  <c r="R117" i="7"/>
  <c r="Y126" i="7"/>
  <c r="F132" i="7"/>
  <c r="Q136" i="7"/>
  <c r="U142" i="7"/>
  <c r="V143" i="7"/>
  <c r="O144" i="7"/>
  <c r="O145" i="7"/>
  <c r="O146" i="7"/>
  <c r="G147" i="7"/>
  <c r="G148" i="7"/>
  <c r="E149" i="7"/>
  <c r="P151" i="7"/>
  <c r="F152" i="7"/>
  <c r="R153" i="7"/>
  <c r="H154" i="7"/>
  <c r="T155" i="7"/>
  <c r="J156" i="7"/>
  <c r="V157" i="7"/>
  <c r="L158" i="7"/>
  <c r="B159" i="7"/>
  <c r="X159" i="7"/>
  <c r="H160" i="7"/>
  <c r="O161" i="7"/>
  <c r="Q162" i="7"/>
  <c r="T163" i="7"/>
  <c r="G164" i="7"/>
  <c r="X164" i="7"/>
  <c r="I165" i="7"/>
  <c r="Z165" i="7"/>
  <c r="L166" i="7"/>
  <c r="O167" i="7"/>
  <c r="Q168" i="7"/>
  <c r="R169" i="7"/>
  <c r="K170" i="7"/>
  <c r="X170" i="7"/>
  <c r="F171" i="7"/>
  <c r="T171" i="7"/>
  <c r="M172" i="7"/>
  <c r="Z172" i="7"/>
  <c r="H173" i="7"/>
  <c r="V173" i="7"/>
  <c r="P174" i="7"/>
  <c r="J175" i="7"/>
  <c r="X175" i="7"/>
  <c r="C176" i="7"/>
  <c r="R176" i="7"/>
  <c r="L177" i="7"/>
  <c r="Z177" i="7"/>
  <c r="F178" i="7"/>
  <c r="T178" i="7"/>
  <c r="O179" i="7"/>
  <c r="H180" i="7"/>
  <c r="V180" i="7"/>
  <c r="Q181" i="7"/>
  <c r="J182" i="7"/>
  <c r="X182" i="7"/>
  <c r="C183" i="7"/>
  <c r="S183" i="7"/>
  <c r="I184" i="7"/>
  <c r="U184" i="7"/>
  <c r="J185" i="7"/>
  <c r="V185" i="7"/>
  <c r="H186" i="7"/>
  <c r="Q186" i="7"/>
  <c r="Y186" i="7"/>
  <c r="I187" i="7"/>
  <c r="R187" i="7"/>
  <c r="Z187" i="7"/>
  <c r="J188" i="7"/>
  <c r="S188" i="7"/>
  <c r="B189" i="7"/>
  <c r="K189" i="7"/>
  <c r="T189" i="7"/>
  <c r="C190" i="7"/>
  <c r="L190" i="7"/>
  <c r="U190" i="7"/>
  <c r="E191" i="7"/>
  <c r="M191" i="7"/>
  <c r="V191" i="7"/>
  <c r="F192" i="7"/>
  <c r="O192" i="7"/>
  <c r="W192" i="7"/>
  <c r="G193" i="7"/>
  <c r="P193" i="7"/>
  <c r="X193" i="7"/>
  <c r="H194" i="7"/>
  <c r="Q194" i="7"/>
  <c r="Y194" i="7"/>
  <c r="I195" i="7"/>
  <c r="R195" i="7"/>
  <c r="Z195" i="7"/>
  <c r="J196" i="7"/>
  <c r="S196" i="7"/>
  <c r="B197" i="7"/>
  <c r="K197" i="7"/>
  <c r="T197" i="7"/>
  <c r="C198" i="7"/>
  <c r="L198" i="7"/>
  <c r="U198" i="7"/>
  <c r="E199" i="7"/>
  <c r="M199" i="7"/>
  <c r="V199" i="7"/>
  <c r="F200" i="7"/>
  <c r="O200" i="7"/>
  <c r="W200" i="7"/>
  <c r="G201" i="7"/>
  <c r="P201" i="7"/>
  <c r="X201" i="7"/>
  <c r="H202" i="7"/>
  <c r="Q202" i="7"/>
  <c r="Y202" i="7"/>
  <c r="I203" i="7"/>
  <c r="R203" i="7"/>
  <c r="Z203" i="7"/>
  <c r="J204" i="7"/>
  <c r="S204" i="7"/>
  <c r="B205" i="7"/>
  <c r="K205" i="7"/>
  <c r="T205" i="7"/>
  <c r="C206" i="7"/>
  <c r="L206" i="7"/>
  <c r="U206" i="7"/>
  <c r="J79" i="7"/>
  <c r="S117" i="7"/>
  <c r="J132" i="7"/>
  <c r="W136" i="7"/>
  <c r="V142" i="7"/>
  <c r="W143" i="7"/>
  <c r="W144" i="7"/>
  <c r="P145" i="7"/>
  <c r="P146" i="7"/>
  <c r="P147" i="7"/>
  <c r="H148" i="7"/>
  <c r="H149" i="7"/>
  <c r="F150" i="7"/>
  <c r="T151" i="7"/>
  <c r="H152" i="7"/>
  <c r="V153" i="7"/>
  <c r="J154" i="7"/>
  <c r="X155" i="7"/>
  <c r="L156" i="7"/>
  <c r="B157" i="7"/>
  <c r="Z157" i="7"/>
  <c r="O158" i="7"/>
  <c r="E159" i="7"/>
  <c r="M160" i="7"/>
  <c r="P161" i="7"/>
  <c r="S162" i="7"/>
  <c r="F163" i="7"/>
  <c r="W163" i="7"/>
  <c r="H164" i="7"/>
  <c r="Y164" i="7"/>
  <c r="K165" i="7"/>
  <c r="M166" i="7"/>
  <c r="P167" i="7"/>
  <c r="C168" i="7"/>
  <c r="V168" i="7"/>
  <c r="C169" i="7"/>
  <c r="S169" i="7"/>
  <c r="M170" i="7"/>
  <c r="G171" i="7"/>
  <c r="U171" i="7"/>
  <c r="P172" i="7"/>
  <c r="I173" i="7"/>
  <c r="W173" i="7"/>
  <c r="B174" i="7"/>
  <c r="R174" i="7"/>
  <c r="K175" i="7"/>
  <c r="Y175" i="7"/>
  <c r="E176" i="7"/>
  <c r="T176" i="7"/>
  <c r="M177" i="7"/>
  <c r="G178" i="7"/>
  <c r="V178" i="7"/>
  <c r="B179" i="7"/>
  <c r="P179" i="7"/>
  <c r="I180" i="7"/>
  <c r="X180" i="7"/>
  <c r="E181" i="7"/>
  <c r="R181" i="7"/>
  <c r="K182" i="7"/>
  <c r="Z182" i="7"/>
  <c r="G183" i="7"/>
  <c r="T183" i="7"/>
  <c r="K184" i="7"/>
  <c r="V184" i="7"/>
  <c r="L185" i="7"/>
  <c r="W185" i="7"/>
  <c r="I186" i="7"/>
  <c r="R186" i="7"/>
  <c r="Z186" i="7"/>
  <c r="J187" i="7"/>
  <c r="S187" i="7"/>
  <c r="B188" i="7"/>
  <c r="K188" i="7"/>
  <c r="T188" i="7"/>
  <c r="C189" i="7"/>
  <c r="L189" i="7"/>
  <c r="U189" i="7"/>
  <c r="E190" i="7"/>
  <c r="M190" i="7"/>
  <c r="V190" i="7"/>
  <c r="F191" i="7"/>
  <c r="O191" i="7"/>
  <c r="W191" i="7"/>
  <c r="G192" i="7"/>
  <c r="P192" i="7"/>
  <c r="X192" i="7"/>
  <c r="H193" i="7"/>
  <c r="Q193" i="7"/>
  <c r="Y193" i="7"/>
  <c r="I194" i="7"/>
  <c r="R194" i="7"/>
  <c r="Z194" i="7"/>
  <c r="J195" i="7"/>
  <c r="S195" i="7"/>
  <c r="B196" i="7"/>
  <c r="K196" i="7"/>
  <c r="T196" i="7"/>
  <c r="C197" i="7"/>
  <c r="L197" i="7"/>
  <c r="U197" i="7"/>
  <c r="E198" i="7"/>
  <c r="M198" i="7"/>
  <c r="V198" i="7"/>
  <c r="F199" i="7"/>
  <c r="O199" i="7"/>
  <c r="W199" i="7"/>
  <c r="G200" i="7"/>
  <c r="P200" i="7"/>
  <c r="X200" i="7"/>
  <c r="H201" i="7"/>
  <c r="Q201" i="7"/>
  <c r="Y201" i="7"/>
  <c r="I202" i="7"/>
  <c r="R202" i="7"/>
  <c r="Z202" i="7"/>
  <c r="J203" i="7"/>
  <c r="S203" i="7"/>
  <c r="B204" i="7"/>
  <c r="K204" i="7"/>
  <c r="T204" i="7"/>
  <c r="C205" i="7"/>
  <c r="L205" i="7"/>
  <c r="U205" i="7"/>
  <c r="E206" i="7"/>
  <c r="M206" i="7"/>
  <c r="V206" i="7"/>
  <c r="F207" i="7"/>
  <c r="O207" i="7"/>
  <c r="W207" i="7"/>
  <c r="E87" i="7"/>
  <c r="I109" i="7"/>
  <c r="C120" i="7"/>
  <c r="T128" i="7"/>
  <c r="G133" i="7"/>
  <c r="W137" i="7"/>
  <c r="K141" i="7"/>
  <c r="X143" i="7"/>
  <c r="X144" i="7"/>
  <c r="X145" i="7"/>
  <c r="Q146" i="7"/>
  <c r="Q147" i="7"/>
  <c r="Q148" i="7"/>
  <c r="I149" i="7"/>
  <c r="I150" i="7"/>
  <c r="U151" i="7"/>
  <c r="K152" i="7"/>
  <c r="W153" i="7"/>
  <c r="M154" i="7"/>
  <c r="Y155" i="7"/>
  <c r="P156" i="7"/>
  <c r="C157" i="7"/>
  <c r="R158" i="7"/>
  <c r="F159" i="7"/>
  <c r="O160" i="7"/>
  <c r="R161" i="7"/>
  <c r="E162" i="7"/>
  <c r="V162" i="7"/>
  <c r="G163" i="7"/>
  <c r="X163" i="7"/>
  <c r="J164" i="7"/>
  <c r="L165" i="7"/>
  <c r="O166" i="7"/>
  <c r="B167" i="7"/>
  <c r="U167" i="7"/>
  <c r="E168" i="7"/>
  <c r="W168" i="7"/>
  <c r="E169" i="7"/>
  <c r="U169" i="7"/>
  <c r="O170" i="7"/>
  <c r="H171" i="7"/>
  <c r="W171" i="7"/>
  <c r="C172" i="7"/>
  <c r="Q172" i="7"/>
  <c r="J173" i="7"/>
  <c r="Y173" i="7"/>
  <c r="F174" i="7"/>
  <c r="S174" i="7"/>
  <c r="L175" i="7"/>
  <c r="H176" i="7"/>
  <c r="U176" i="7"/>
  <c r="O177" i="7"/>
  <c r="J178" i="7"/>
  <c r="W178" i="7"/>
  <c r="C179" i="7"/>
  <c r="Q179" i="7"/>
  <c r="L180" i="7"/>
  <c r="Y180" i="7"/>
  <c r="F181" i="7"/>
  <c r="S181" i="7"/>
  <c r="O182" i="7"/>
  <c r="H183" i="7"/>
  <c r="U183" i="7"/>
  <c r="L184" i="7"/>
  <c r="X184" i="7"/>
  <c r="M185" i="7"/>
  <c r="Y185" i="7"/>
  <c r="J186" i="7"/>
  <c r="S186" i="7"/>
  <c r="B187" i="7"/>
  <c r="K187" i="7"/>
  <c r="T187" i="7"/>
  <c r="C188" i="7"/>
  <c r="L188" i="7"/>
  <c r="U188" i="7"/>
  <c r="E189" i="7"/>
  <c r="M189" i="7"/>
  <c r="V189" i="7"/>
  <c r="F190" i="7"/>
  <c r="O190" i="7"/>
  <c r="W190" i="7"/>
  <c r="G191" i="7"/>
  <c r="P191" i="7"/>
  <c r="X191" i="7"/>
  <c r="H192" i="7"/>
  <c r="Q192" i="7"/>
  <c r="Y192" i="7"/>
  <c r="I193" i="7"/>
  <c r="R193" i="7"/>
  <c r="Z193" i="7"/>
  <c r="J194" i="7"/>
  <c r="S194" i="7"/>
  <c r="B195" i="7"/>
  <c r="K195" i="7"/>
  <c r="T195" i="7"/>
  <c r="C196" i="7"/>
  <c r="L196" i="7"/>
  <c r="U196" i="7"/>
  <c r="E197" i="7"/>
  <c r="M197" i="7"/>
  <c r="V197" i="7"/>
  <c r="F198" i="7"/>
  <c r="O198" i="7"/>
  <c r="W198" i="7"/>
  <c r="G199" i="7"/>
  <c r="P199" i="7"/>
  <c r="X199" i="7"/>
  <c r="H200" i="7"/>
  <c r="Q200" i="7"/>
  <c r="Y200" i="7"/>
  <c r="I201" i="7"/>
  <c r="R201" i="7"/>
  <c r="Z201" i="7"/>
  <c r="J202" i="7"/>
  <c r="S202" i="7"/>
  <c r="B203" i="7"/>
  <c r="K203" i="7"/>
  <c r="T203" i="7"/>
  <c r="C204" i="7"/>
  <c r="L204" i="7"/>
  <c r="U204" i="7"/>
  <c r="E205" i="7"/>
  <c r="M205" i="7"/>
  <c r="V205" i="7"/>
  <c r="F206" i="7"/>
  <c r="O206" i="7"/>
  <c r="W206" i="7"/>
  <c r="I87" i="7"/>
  <c r="J109" i="7"/>
  <c r="F120" i="7"/>
  <c r="V128" i="7"/>
  <c r="M133" i="7"/>
  <c r="X137" i="7"/>
  <c r="L141" i="7"/>
  <c r="Y144" i="7"/>
  <c r="Y145" i="7"/>
  <c r="Y146" i="7"/>
  <c r="R147" i="7"/>
  <c r="R148" i="7"/>
  <c r="R149" i="7"/>
  <c r="J150" i="7"/>
  <c r="V151" i="7"/>
  <c r="L152" i="7"/>
  <c r="X153" i="7"/>
  <c r="O154" i="7"/>
  <c r="B155" i="7"/>
  <c r="Z155" i="7"/>
  <c r="Q156" i="7"/>
  <c r="E157" i="7"/>
  <c r="S158" i="7"/>
  <c r="G159" i="7"/>
  <c r="Q160" i="7"/>
  <c r="C161" i="7"/>
  <c r="U161" i="7"/>
  <c r="F162" i="7"/>
  <c r="W162" i="7"/>
  <c r="I163" i="7"/>
  <c r="K164" i="7"/>
  <c r="M165" i="7"/>
  <c r="T166" i="7"/>
  <c r="C167" i="7"/>
  <c r="V167" i="7"/>
  <c r="F168" i="7"/>
  <c r="Y168" i="7"/>
  <c r="H169" i="7"/>
  <c r="V169" i="7"/>
  <c r="B170" i="7"/>
  <c r="P170" i="7"/>
  <c r="K171" i="7"/>
  <c r="X171" i="7"/>
  <c r="E172" i="7"/>
  <c r="R172" i="7"/>
  <c r="M173" i="7"/>
  <c r="Z173" i="7"/>
  <c r="G174" i="7"/>
  <c r="T174" i="7"/>
  <c r="P175" i="7"/>
  <c r="I176" i="7"/>
  <c r="V176" i="7"/>
  <c r="C177" i="7"/>
  <c r="R177" i="7"/>
  <c r="K178" i="7"/>
  <c r="X178" i="7"/>
  <c r="F179" i="7"/>
  <c r="T179" i="7"/>
  <c r="M180" i="7"/>
  <c r="Z180" i="7"/>
  <c r="H181" i="7"/>
  <c r="V181" i="7"/>
  <c r="P182" i="7"/>
  <c r="J183" i="7"/>
  <c r="X183" i="7"/>
  <c r="B184" i="7"/>
  <c r="M184" i="7"/>
  <c r="Y184" i="7"/>
  <c r="C185" i="7"/>
  <c r="O185" i="7"/>
  <c r="Z185" i="7"/>
  <c r="B186" i="7"/>
  <c r="K186" i="7"/>
  <c r="T186" i="7"/>
  <c r="C187" i="7"/>
  <c r="L187" i="7"/>
  <c r="U187" i="7"/>
  <c r="E188" i="7"/>
  <c r="M188" i="7"/>
  <c r="V188" i="7"/>
  <c r="F189" i="7"/>
  <c r="O189" i="7"/>
  <c r="W189" i="7"/>
  <c r="G190" i="7"/>
  <c r="P190" i="7"/>
  <c r="X190" i="7"/>
  <c r="H191" i="7"/>
  <c r="Q191" i="7"/>
  <c r="Y191" i="7"/>
  <c r="I192" i="7"/>
  <c r="R192" i="7"/>
  <c r="Z192" i="7"/>
  <c r="J193" i="7"/>
  <c r="S193" i="7"/>
  <c r="B194" i="7"/>
  <c r="K194" i="7"/>
  <c r="T194" i="7"/>
  <c r="C195" i="7"/>
  <c r="L195" i="7"/>
  <c r="U195" i="7"/>
  <c r="E196" i="7"/>
  <c r="M196" i="7"/>
  <c r="V196" i="7"/>
  <c r="F197" i="7"/>
  <c r="O197" i="7"/>
  <c r="W197" i="7"/>
  <c r="G198" i="7"/>
  <c r="P198" i="7"/>
  <c r="X198" i="7"/>
  <c r="H199" i="7"/>
  <c r="Q199" i="7"/>
  <c r="Y199" i="7"/>
  <c r="I200" i="7"/>
  <c r="R200" i="7"/>
  <c r="Z200" i="7"/>
  <c r="J201" i="7"/>
  <c r="S201" i="7"/>
  <c r="B202" i="7"/>
  <c r="K202" i="7"/>
  <c r="T202" i="7"/>
  <c r="C203" i="7"/>
  <c r="L203" i="7"/>
  <c r="U203" i="7"/>
  <c r="E204" i="7"/>
  <c r="M204" i="7"/>
  <c r="V204" i="7"/>
  <c r="F205" i="7"/>
  <c r="O205" i="7"/>
  <c r="W205" i="7"/>
  <c r="G206" i="7"/>
  <c r="P206" i="7"/>
  <c r="X206" i="7"/>
  <c r="L122" i="7"/>
  <c r="L134" i="7"/>
  <c r="Y138" i="7"/>
  <c r="Z141" i="7"/>
  <c r="B143" i="7"/>
  <c r="B144" i="7"/>
  <c r="Z145" i="7"/>
  <c r="Z146" i="7"/>
  <c r="Z147" i="7"/>
  <c r="S148" i="7"/>
  <c r="S149" i="7"/>
  <c r="O150" i="7"/>
  <c r="E151" i="7"/>
  <c r="Q152" i="7"/>
  <c r="G153" i="7"/>
  <c r="S154" i="7"/>
  <c r="I155" i="7"/>
  <c r="U156" i="7"/>
  <c r="K157" i="7"/>
  <c r="W158" i="7"/>
  <c r="M159" i="7"/>
  <c r="B160" i="7"/>
  <c r="T160" i="7"/>
  <c r="E161" i="7"/>
  <c r="V161" i="7"/>
  <c r="H162" i="7"/>
  <c r="Z162" i="7"/>
  <c r="J163" i="7"/>
  <c r="L164" i="7"/>
  <c r="S165" i="7"/>
  <c r="B166" i="7"/>
  <c r="U166" i="7"/>
  <c r="E167" i="7"/>
  <c r="X167" i="7"/>
  <c r="K168" i="7"/>
  <c r="Z168" i="7"/>
  <c r="I169" i="7"/>
  <c r="W169" i="7"/>
  <c r="E170" i="7"/>
  <c r="S170" i="7"/>
  <c r="L171" i="7"/>
  <c r="Y171" i="7"/>
  <c r="G172" i="7"/>
  <c r="U172" i="7"/>
  <c r="O173" i="7"/>
  <c r="I174" i="7"/>
  <c r="W174" i="7"/>
  <c r="B175" i="7"/>
  <c r="Q175" i="7"/>
  <c r="K176" i="7"/>
  <c r="Y176" i="7"/>
  <c r="E177" i="7"/>
  <c r="S177" i="7"/>
  <c r="M178" i="7"/>
  <c r="G179" i="7"/>
  <c r="U179" i="7"/>
  <c r="P180" i="7"/>
  <c r="I181" i="7"/>
  <c r="W181" i="7"/>
  <c r="B182" i="7"/>
  <c r="R182" i="7"/>
  <c r="K183" i="7"/>
  <c r="Y183" i="7"/>
  <c r="C184" i="7"/>
  <c r="P184" i="7"/>
  <c r="Z184" i="7"/>
  <c r="E185" i="7"/>
  <c r="Q185" i="7"/>
  <c r="C186" i="7"/>
  <c r="L186" i="7"/>
  <c r="U186" i="7"/>
  <c r="E187" i="7"/>
  <c r="M187" i="7"/>
  <c r="V187" i="7"/>
  <c r="F188" i="7"/>
  <c r="O188" i="7"/>
  <c r="W188" i="7"/>
  <c r="G189" i="7"/>
  <c r="P189" i="7"/>
  <c r="X189" i="7"/>
  <c r="H190" i="7"/>
  <c r="Q190" i="7"/>
  <c r="Y190" i="7"/>
  <c r="I191" i="7"/>
  <c r="R191" i="7"/>
  <c r="Z191" i="7"/>
  <c r="J192" i="7"/>
  <c r="S192" i="7"/>
  <c r="B193" i="7"/>
  <c r="K193" i="7"/>
  <c r="T193" i="7"/>
  <c r="C194" i="7"/>
  <c r="L194" i="7"/>
  <c r="U194" i="7"/>
  <c r="E195" i="7"/>
  <c r="M195" i="7"/>
  <c r="V195" i="7"/>
  <c r="F196" i="7"/>
  <c r="O196" i="7"/>
  <c r="W196" i="7"/>
  <c r="G197" i="7"/>
  <c r="P197" i="7"/>
  <c r="X197" i="7"/>
  <c r="H198" i="7"/>
  <c r="Q198" i="7"/>
  <c r="Y198" i="7"/>
  <c r="I199" i="7"/>
  <c r="R199" i="7"/>
  <c r="Z199" i="7"/>
  <c r="J200" i="7"/>
  <c r="S200" i="7"/>
  <c r="B201" i="7"/>
  <c r="K201" i="7"/>
  <c r="T201" i="7"/>
  <c r="C202" i="7"/>
  <c r="L202" i="7"/>
  <c r="U202" i="7"/>
  <c r="E203" i="7"/>
  <c r="M203" i="7"/>
  <c r="V203" i="7"/>
  <c r="F204" i="7"/>
  <c r="O204" i="7"/>
  <c r="W204" i="7"/>
  <c r="G205" i="7"/>
  <c r="P205" i="7"/>
  <c r="X205" i="7"/>
  <c r="H93" i="7"/>
  <c r="S124" i="7"/>
  <c r="Z139" i="7"/>
  <c r="C144" i="7"/>
  <c r="F146" i="7"/>
  <c r="G151" i="7"/>
  <c r="W152" i="7"/>
  <c r="X154" i="7"/>
  <c r="Y156" i="7"/>
  <c r="F158" i="7"/>
  <c r="F160" i="7"/>
  <c r="Y161" i="7"/>
  <c r="S164" i="7"/>
  <c r="C166" i="7"/>
  <c r="M167" i="7"/>
  <c r="F170" i="7"/>
  <c r="C171" i="7"/>
  <c r="I172" i="7"/>
  <c r="Q173" i="7"/>
  <c r="O174" i="7"/>
  <c r="T175" i="7"/>
  <c r="Z176" i="7"/>
  <c r="W177" i="7"/>
  <c r="C180" i="7"/>
  <c r="G182" i="7"/>
  <c r="L183" i="7"/>
  <c r="H184" i="7"/>
  <c r="H185" i="7"/>
  <c r="E186" i="7"/>
  <c r="X186" i="7"/>
  <c r="P187" i="7"/>
  <c r="G188" i="7"/>
  <c r="Z188" i="7"/>
  <c r="R189" i="7"/>
  <c r="I190" i="7"/>
  <c r="T191" i="7"/>
  <c r="K192" i="7"/>
  <c r="V193" i="7"/>
  <c r="M194" i="7"/>
  <c r="X195" i="7"/>
  <c r="P196" i="7"/>
  <c r="Z197" i="7"/>
  <c r="R198" i="7"/>
  <c r="C199" i="7"/>
  <c r="T200" i="7"/>
  <c r="F201" i="7"/>
  <c r="V202" i="7"/>
  <c r="H203" i="7"/>
  <c r="X204" i="7"/>
  <c r="J205" i="7"/>
  <c r="R206" i="7"/>
  <c r="J207" i="7"/>
  <c r="T207" i="7"/>
  <c r="E208" i="7"/>
  <c r="M208" i="7"/>
  <c r="V208" i="7"/>
  <c r="F209" i="7"/>
  <c r="O209" i="7"/>
  <c r="W209" i="7"/>
  <c r="G210" i="7"/>
  <c r="P210" i="7"/>
  <c r="X210" i="7"/>
  <c r="H211" i="7"/>
  <c r="Q211" i="7"/>
  <c r="Y211" i="7"/>
  <c r="I212" i="7"/>
  <c r="R212" i="7"/>
  <c r="Z212" i="7"/>
  <c r="J213" i="7"/>
  <c r="S213" i="7"/>
  <c r="B214" i="7"/>
  <c r="K214" i="7"/>
  <c r="T214" i="7"/>
  <c r="C215" i="7"/>
  <c r="L215" i="7"/>
  <c r="U215" i="7"/>
  <c r="E216" i="7"/>
  <c r="M216" i="7"/>
  <c r="V216" i="7"/>
  <c r="F217" i="7"/>
  <c r="O217" i="7"/>
  <c r="W217" i="7"/>
  <c r="G218" i="7"/>
  <c r="P218" i="7"/>
  <c r="X218" i="7"/>
  <c r="H219" i="7"/>
  <c r="Q219" i="7"/>
  <c r="Y219" i="7"/>
  <c r="I220" i="7"/>
  <c r="R220" i="7"/>
  <c r="Z220" i="7"/>
  <c r="J221" i="7"/>
  <c r="S221" i="7"/>
  <c r="B222" i="7"/>
  <c r="K222" i="7"/>
  <c r="T222" i="7"/>
  <c r="C223" i="7"/>
  <c r="L223" i="7"/>
  <c r="U223" i="7"/>
  <c r="E224" i="7"/>
  <c r="M224" i="7"/>
  <c r="V224" i="7"/>
  <c r="F225" i="7"/>
  <c r="O225" i="7"/>
  <c r="W225" i="7"/>
  <c r="G226" i="7"/>
  <c r="P226" i="7"/>
  <c r="X226" i="7"/>
  <c r="T150" i="7"/>
  <c r="E184" i="7"/>
  <c r="Z190" i="7"/>
  <c r="H196" i="7"/>
  <c r="C201" i="7"/>
  <c r="H205" i="7"/>
  <c r="V210" i="7"/>
  <c r="Y213" i="7"/>
  <c r="J215" i="7"/>
  <c r="L217" i="7"/>
  <c r="X220" i="7"/>
  <c r="Z98" i="7"/>
  <c r="C130" i="7"/>
  <c r="L144" i="7"/>
  <c r="J151" i="7"/>
  <c r="I153" i="7"/>
  <c r="Y154" i="7"/>
  <c r="Z156" i="7"/>
  <c r="G160" i="7"/>
  <c r="Z161" i="7"/>
  <c r="K163" i="7"/>
  <c r="U164" i="7"/>
  <c r="I166" i="7"/>
  <c r="G170" i="7"/>
  <c r="O171" i="7"/>
  <c r="L172" i="7"/>
  <c r="R173" i="7"/>
  <c r="X174" i="7"/>
  <c r="U175" i="7"/>
  <c r="E180" i="7"/>
  <c r="J181" i="7"/>
  <c r="I182" i="7"/>
  <c r="P183" i="7"/>
  <c r="Q184" i="7"/>
  <c r="I185" i="7"/>
  <c r="F186" i="7"/>
  <c r="Q187" i="7"/>
  <c r="H188" i="7"/>
  <c r="S189" i="7"/>
  <c r="J190" i="7"/>
  <c r="U191" i="7"/>
  <c r="L192" i="7"/>
  <c r="C193" i="7"/>
  <c r="W193" i="7"/>
  <c r="O194" i="7"/>
  <c r="F195" i="7"/>
  <c r="Y195" i="7"/>
  <c r="Q196" i="7"/>
  <c r="H197" i="7"/>
  <c r="S198" i="7"/>
  <c r="J199" i="7"/>
  <c r="U200" i="7"/>
  <c r="L201" i="7"/>
  <c r="W202" i="7"/>
  <c r="O203" i="7"/>
  <c r="Y204" i="7"/>
  <c r="Q205" i="7"/>
  <c r="S206" i="7"/>
  <c r="K207" i="7"/>
  <c r="U207" i="7"/>
  <c r="F208" i="7"/>
  <c r="O208" i="7"/>
  <c r="W208" i="7"/>
  <c r="G209" i="7"/>
  <c r="P209" i="7"/>
  <c r="X209" i="7"/>
  <c r="H210" i="7"/>
  <c r="Q210" i="7"/>
  <c r="Y210" i="7"/>
  <c r="I211" i="7"/>
  <c r="R211" i="7"/>
  <c r="Z211" i="7"/>
  <c r="J212" i="7"/>
  <c r="S212" i="7"/>
  <c r="B213" i="7"/>
  <c r="K213" i="7"/>
  <c r="T213" i="7"/>
  <c r="C214" i="7"/>
  <c r="L214" i="7"/>
  <c r="U214" i="7"/>
  <c r="E215" i="7"/>
  <c r="M215" i="7"/>
  <c r="V215" i="7"/>
  <c r="F216" i="7"/>
  <c r="O216" i="7"/>
  <c r="W216" i="7"/>
  <c r="G217" i="7"/>
  <c r="P217" i="7"/>
  <c r="X217" i="7"/>
  <c r="H218" i="7"/>
  <c r="Q218" i="7"/>
  <c r="Y218" i="7"/>
  <c r="I219" i="7"/>
  <c r="R219" i="7"/>
  <c r="Z219" i="7"/>
  <c r="J220" i="7"/>
  <c r="S220" i="7"/>
  <c r="B221" i="7"/>
  <c r="K221" i="7"/>
  <c r="T221" i="7"/>
  <c r="C222" i="7"/>
  <c r="L222" i="7"/>
  <c r="U222" i="7"/>
  <c r="E223" i="7"/>
  <c r="M223" i="7"/>
  <c r="V223" i="7"/>
  <c r="F224" i="7"/>
  <c r="O224" i="7"/>
  <c r="W224" i="7"/>
  <c r="G225" i="7"/>
  <c r="P225" i="7"/>
  <c r="X225" i="7"/>
  <c r="H226" i="7"/>
  <c r="Q226" i="7"/>
  <c r="Y226" i="7"/>
  <c r="I226" i="7"/>
  <c r="Z226" i="7"/>
  <c r="F203" i="7"/>
  <c r="H207" i="7"/>
  <c r="U209" i="7"/>
  <c r="T216" i="7"/>
  <c r="F219" i="7"/>
  <c r="P220" i="7"/>
  <c r="B131" i="7"/>
  <c r="M144" i="7"/>
  <c r="B147" i="7"/>
  <c r="T149" i="7"/>
  <c r="K151" i="7"/>
  <c r="L153" i="7"/>
  <c r="K155" i="7"/>
  <c r="U160" i="7"/>
  <c r="Q163" i="7"/>
  <c r="J166" i="7"/>
  <c r="L169" i="7"/>
  <c r="J170" i="7"/>
  <c r="P171" i="7"/>
  <c r="V172" i="7"/>
  <c r="S173" i="7"/>
  <c r="Z174" i="7"/>
  <c r="B178" i="7"/>
  <c r="H179" i="7"/>
  <c r="G180" i="7"/>
  <c r="M181" i="7"/>
  <c r="S182" i="7"/>
  <c r="Q183" i="7"/>
  <c r="R184" i="7"/>
  <c r="R185" i="7"/>
  <c r="G186" i="7"/>
  <c r="W187" i="7"/>
  <c r="I188" i="7"/>
  <c r="Y189" i="7"/>
  <c r="K190" i="7"/>
  <c r="B191" i="7"/>
  <c r="M192" i="7"/>
  <c r="E193" i="7"/>
  <c r="P194" i="7"/>
  <c r="G195" i="7"/>
  <c r="R196" i="7"/>
  <c r="I197" i="7"/>
  <c r="T198" i="7"/>
  <c r="K199" i="7"/>
  <c r="B200" i="7"/>
  <c r="V200" i="7"/>
  <c r="M201" i="7"/>
  <c r="E202" i="7"/>
  <c r="X202" i="7"/>
  <c r="P203" i="7"/>
  <c r="G204" i="7"/>
  <c r="Z204" i="7"/>
  <c r="R205" i="7"/>
  <c r="B206" i="7"/>
  <c r="T206" i="7"/>
  <c r="B207" i="7"/>
  <c r="L207" i="7"/>
  <c r="V207" i="7"/>
  <c r="G208" i="7"/>
  <c r="P208" i="7"/>
  <c r="X208" i="7"/>
  <c r="H209" i="7"/>
  <c r="Q209" i="7"/>
  <c r="Y209" i="7"/>
  <c r="I210" i="7"/>
  <c r="R210" i="7"/>
  <c r="Z210" i="7"/>
  <c r="J211" i="7"/>
  <c r="S211" i="7"/>
  <c r="B212" i="7"/>
  <c r="K212" i="7"/>
  <c r="T212" i="7"/>
  <c r="C213" i="7"/>
  <c r="L213" i="7"/>
  <c r="U213" i="7"/>
  <c r="E214" i="7"/>
  <c r="M214" i="7"/>
  <c r="V214" i="7"/>
  <c r="F215" i="7"/>
  <c r="O215" i="7"/>
  <c r="W215" i="7"/>
  <c r="G216" i="7"/>
  <c r="P216" i="7"/>
  <c r="X216" i="7"/>
  <c r="H217" i="7"/>
  <c r="Q217" i="7"/>
  <c r="Y217" i="7"/>
  <c r="I218" i="7"/>
  <c r="R218" i="7"/>
  <c r="Z218" i="7"/>
  <c r="J219" i="7"/>
  <c r="S219" i="7"/>
  <c r="B220" i="7"/>
  <c r="K220" i="7"/>
  <c r="T220" i="7"/>
  <c r="C221" i="7"/>
  <c r="L221" i="7"/>
  <c r="U221" i="7"/>
  <c r="E222" i="7"/>
  <c r="M222" i="7"/>
  <c r="V222" i="7"/>
  <c r="F223" i="7"/>
  <c r="O223" i="7"/>
  <c r="W223" i="7"/>
  <c r="G224" i="7"/>
  <c r="P224" i="7"/>
  <c r="X224" i="7"/>
  <c r="H225" i="7"/>
  <c r="Q225" i="7"/>
  <c r="Y225" i="7"/>
  <c r="R226" i="7"/>
  <c r="C148" i="7"/>
  <c r="C192" i="7"/>
  <c r="L200" i="7"/>
  <c r="Q204" i="7"/>
  <c r="K206" i="7"/>
  <c r="B208" i="7"/>
  <c r="C209" i="7"/>
  <c r="M210" i="7"/>
  <c r="G212" i="7"/>
  <c r="Q213" i="7"/>
  <c r="Z214" i="7"/>
  <c r="K216" i="7"/>
  <c r="E218" i="7"/>
  <c r="W219" i="7"/>
  <c r="H221" i="7"/>
  <c r="B112" i="7"/>
  <c r="E131" i="7"/>
  <c r="F142" i="7"/>
  <c r="C145" i="7"/>
  <c r="F147" i="7"/>
  <c r="M153" i="7"/>
  <c r="O155" i="7"/>
  <c r="M157" i="7"/>
  <c r="X160" i="7"/>
  <c r="I162" i="7"/>
  <c r="R163" i="7"/>
  <c r="B165" i="7"/>
  <c r="W166" i="7"/>
  <c r="M169" i="7"/>
  <c r="T170" i="7"/>
  <c r="Q171" i="7"/>
  <c r="X172" i="7"/>
  <c r="F177" i="7"/>
  <c r="E178" i="7"/>
  <c r="K179" i="7"/>
  <c r="Q180" i="7"/>
  <c r="O181" i="7"/>
  <c r="T182" i="7"/>
  <c r="T184" i="7"/>
  <c r="S185" i="7"/>
  <c r="M186" i="7"/>
  <c r="X187" i="7"/>
  <c r="P188" i="7"/>
  <c r="Z189" i="7"/>
  <c r="R190" i="7"/>
  <c r="C191" i="7"/>
  <c r="T192" i="7"/>
  <c r="F193" i="7"/>
  <c r="V194" i="7"/>
  <c r="H195" i="7"/>
  <c r="X196" i="7"/>
  <c r="J197" i="7"/>
  <c r="Z198" i="7"/>
  <c r="L199" i="7"/>
  <c r="C200" i="7"/>
  <c r="O201" i="7"/>
  <c r="F202" i="7"/>
  <c r="Q203" i="7"/>
  <c r="H204" i="7"/>
  <c r="S205" i="7"/>
  <c r="H206" i="7"/>
  <c r="Y206" i="7"/>
  <c r="C207" i="7"/>
  <c r="M207" i="7"/>
  <c r="X207" i="7"/>
  <c r="H208" i="7"/>
  <c r="Q208" i="7"/>
  <c r="Y208" i="7"/>
  <c r="I209" i="7"/>
  <c r="R209" i="7"/>
  <c r="Z209" i="7"/>
  <c r="J210" i="7"/>
  <c r="S210" i="7"/>
  <c r="B211" i="7"/>
  <c r="K211" i="7"/>
  <c r="T211" i="7"/>
  <c r="C212" i="7"/>
  <c r="L212" i="7"/>
  <c r="U212" i="7"/>
  <c r="E213" i="7"/>
  <c r="M213" i="7"/>
  <c r="V213" i="7"/>
  <c r="F214" i="7"/>
  <c r="O214" i="7"/>
  <c r="W214" i="7"/>
  <c r="G215" i="7"/>
  <c r="P215" i="7"/>
  <c r="X215" i="7"/>
  <c r="H216" i="7"/>
  <c r="Q216" i="7"/>
  <c r="Y216" i="7"/>
  <c r="I217" i="7"/>
  <c r="R217" i="7"/>
  <c r="Z217" i="7"/>
  <c r="J218" i="7"/>
  <c r="S218" i="7"/>
  <c r="B219" i="7"/>
  <c r="K219" i="7"/>
  <c r="T219" i="7"/>
  <c r="C220" i="7"/>
  <c r="L220" i="7"/>
  <c r="U220" i="7"/>
  <c r="E221" i="7"/>
  <c r="M221" i="7"/>
  <c r="V221" i="7"/>
  <c r="F222" i="7"/>
  <c r="O222" i="7"/>
  <c r="W222" i="7"/>
  <c r="G223" i="7"/>
  <c r="P223" i="7"/>
  <c r="X223" i="7"/>
  <c r="H224" i="7"/>
  <c r="Q224" i="7"/>
  <c r="Y224" i="7"/>
  <c r="I225" i="7"/>
  <c r="R225" i="7"/>
  <c r="Z225" i="7"/>
  <c r="J226" i="7"/>
  <c r="S226" i="7"/>
  <c r="L143" i="7"/>
  <c r="B156" i="7"/>
  <c r="T159" i="7"/>
  <c r="J167" i="7"/>
  <c r="J174" i="7"/>
  <c r="M176" i="7"/>
  <c r="X179" i="7"/>
  <c r="V186" i="7"/>
  <c r="X188" i="7"/>
  <c r="L191" i="7"/>
  <c r="F194" i="7"/>
  <c r="S197" i="7"/>
  <c r="W201" i="7"/>
  <c r="K208" i="7"/>
  <c r="O211" i="7"/>
  <c r="P212" i="7"/>
  <c r="I214" i="7"/>
  <c r="S215" i="7"/>
  <c r="C217" i="7"/>
  <c r="M218" i="7"/>
  <c r="Y114" i="7"/>
  <c r="O134" i="7"/>
  <c r="I142" i="7"/>
  <c r="E145" i="7"/>
  <c r="P155" i="7"/>
  <c r="Q157" i="7"/>
  <c r="P159" i="7"/>
  <c r="Y160" i="7"/>
  <c r="J162" i="7"/>
  <c r="H165" i="7"/>
  <c r="Z166" i="7"/>
  <c r="L168" i="7"/>
  <c r="O169" i="7"/>
  <c r="V170" i="7"/>
  <c r="Y172" i="7"/>
  <c r="C175" i="7"/>
  <c r="B176" i="7"/>
  <c r="I177" i="7"/>
  <c r="O178" i="7"/>
  <c r="L179" i="7"/>
  <c r="R180" i="7"/>
  <c r="Y181" i="7"/>
  <c r="W182" i="7"/>
  <c r="U185" i="7"/>
  <c r="O186" i="7"/>
  <c r="F187" i="7"/>
  <c r="Y187" i="7"/>
  <c r="Q188" i="7"/>
  <c r="H189" i="7"/>
  <c r="S190" i="7"/>
  <c r="J191" i="7"/>
  <c r="U192" i="7"/>
  <c r="L193" i="7"/>
  <c r="W194" i="7"/>
  <c r="O195" i="7"/>
  <c r="Y196" i="7"/>
  <c r="Q197" i="7"/>
  <c r="B198" i="7"/>
  <c r="S199" i="7"/>
  <c r="E200" i="7"/>
  <c r="U201" i="7"/>
  <c r="G202" i="7"/>
  <c r="W203" i="7"/>
  <c r="I204" i="7"/>
  <c r="Y205" i="7"/>
  <c r="I206" i="7"/>
  <c r="Z206" i="7"/>
  <c r="E207" i="7"/>
  <c r="P207" i="7"/>
  <c r="Y207" i="7"/>
  <c r="I208" i="7"/>
  <c r="R208" i="7"/>
  <c r="Z208" i="7"/>
  <c r="J209" i="7"/>
  <c r="S209" i="7"/>
  <c r="B210" i="7"/>
  <c r="K210" i="7"/>
  <c r="T210" i="7"/>
  <c r="C211" i="7"/>
  <c r="L211" i="7"/>
  <c r="U211" i="7"/>
  <c r="E212" i="7"/>
  <c r="M212" i="7"/>
  <c r="V212" i="7"/>
  <c r="F213" i="7"/>
  <c r="O213" i="7"/>
  <c r="W213" i="7"/>
  <c r="G214" i="7"/>
  <c r="P214" i="7"/>
  <c r="X214" i="7"/>
  <c r="H215" i="7"/>
  <c r="Q215" i="7"/>
  <c r="Y215" i="7"/>
  <c r="I216" i="7"/>
  <c r="R216" i="7"/>
  <c r="Z216" i="7"/>
  <c r="J217" i="7"/>
  <c r="S217" i="7"/>
  <c r="B218" i="7"/>
  <c r="K218" i="7"/>
  <c r="T218" i="7"/>
  <c r="C219" i="7"/>
  <c r="L219" i="7"/>
  <c r="U219" i="7"/>
  <c r="E220" i="7"/>
  <c r="M220" i="7"/>
  <c r="V220" i="7"/>
  <c r="F221" i="7"/>
  <c r="O221" i="7"/>
  <c r="W221" i="7"/>
  <c r="G222" i="7"/>
  <c r="P222" i="7"/>
  <c r="X222" i="7"/>
  <c r="H223" i="7"/>
  <c r="Q223" i="7"/>
  <c r="Y223" i="7"/>
  <c r="I224" i="7"/>
  <c r="R224" i="7"/>
  <c r="Z224" i="7"/>
  <c r="J225" i="7"/>
  <c r="S225" i="7"/>
  <c r="B226" i="7"/>
  <c r="K226" i="7"/>
  <c r="T226" i="7"/>
  <c r="U226" i="7"/>
  <c r="M122" i="7"/>
  <c r="H187" i="7"/>
  <c r="O193" i="7"/>
  <c r="J198" i="7"/>
  <c r="O202" i="7"/>
  <c r="L209" i="7"/>
  <c r="F211" i="7"/>
  <c r="H213" i="7"/>
  <c r="R214" i="7"/>
  <c r="B216" i="7"/>
  <c r="U217" i="7"/>
  <c r="O219" i="7"/>
  <c r="P135" i="7"/>
  <c r="K143" i="7"/>
  <c r="M145" i="7"/>
  <c r="S150" i="7"/>
  <c r="R157" i="7"/>
  <c r="S159" i="7"/>
  <c r="G161" i="7"/>
  <c r="P162" i="7"/>
  <c r="T165" i="7"/>
  <c r="O168" i="7"/>
  <c r="Z169" i="7"/>
  <c r="W170" i="7"/>
  <c r="G175" i="7"/>
  <c r="L176" i="7"/>
  <c r="J177" i="7"/>
  <c r="P178" i="7"/>
  <c r="W179" i="7"/>
  <c r="U180" i="7"/>
  <c r="Z181" i="7"/>
  <c r="P186" i="7"/>
  <c r="G187" i="7"/>
  <c r="R188" i="7"/>
  <c r="I189" i="7"/>
  <c r="T190" i="7"/>
  <c r="K191" i="7"/>
  <c r="B192" i="7"/>
  <c r="V192" i="7"/>
  <c r="M193" i="7"/>
  <c r="E194" i="7"/>
  <c r="X194" i="7"/>
  <c r="P195" i="7"/>
  <c r="G196" i="7"/>
  <c r="Z196" i="7"/>
  <c r="R197" i="7"/>
  <c r="I198" i="7"/>
  <c r="T199" i="7"/>
  <c r="K200" i="7"/>
  <c r="V201" i="7"/>
  <c r="M202" i="7"/>
  <c r="X203" i="7"/>
  <c r="P204" i="7"/>
  <c r="Z205" i="7"/>
  <c r="J206" i="7"/>
  <c r="G207" i="7"/>
  <c r="Q207" i="7"/>
  <c r="Z207" i="7"/>
  <c r="J208" i="7"/>
  <c r="S208" i="7"/>
  <c r="B209" i="7"/>
  <c r="K209" i="7"/>
  <c r="T209" i="7"/>
  <c r="C210" i="7"/>
  <c r="L210" i="7"/>
  <c r="U210" i="7"/>
  <c r="E211" i="7"/>
  <c r="M211" i="7"/>
  <c r="V211" i="7"/>
  <c r="F212" i="7"/>
  <c r="O212" i="7"/>
  <c r="W212" i="7"/>
  <c r="G213" i="7"/>
  <c r="P213" i="7"/>
  <c r="X213" i="7"/>
  <c r="H214" i="7"/>
  <c r="Q214" i="7"/>
  <c r="Y214" i="7"/>
  <c r="I215" i="7"/>
  <c r="R215" i="7"/>
  <c r="Z215" i="7"/>
  <c r="J216" i="7"/>
  <c r="S216" i="7"/>
  <c r="B217" i="7"/>
  <c r="K217" i="7"/>
  <c r="T217" i="7"/>
  <c r="C218" i="7"/>
  <c r="L218" i="7"/>
  <c r="U218" i="7"/>
  <c r="E219" i="7"/>
  <c r="M219" i="7"/>
  <c r="V219" i="7"/>
  <c r="F220" i="7"/>
  <c r="O220" i="7"/>
  <c r="W220" i="7"/>
  <c r="G221" i="7"/>
  <c r="P221" i="7"/>
  <c r="X221" i="7"/>
  <c r="H222" i="7"/>
  <c r="Q222" i="7"/>
  <c r="Y222" i="7"/>
  <c r="I223" i="7"/>
  <c r="R223" i="7"/>
  <c r="Z223" i="7"/>
  <c r="J224" i="7"/>
  <c r="S224" i="7"/>
  <c r="B225" i="7"/>
  <c r="K225" i="7"/>
  <c r="T225" i="7"/>
  <c r="C226" i="7"/>
  <c r="L226" i="7"/>
  <c r="U135" i="7"/>
  <c r="U152" i="7"/>
  <c r="C158" i="7"/>
  <c r="H161" i="7"/>
  <c r="V165" i="7"/>
  <c r="P168" i="7"/>
  <c r="E173" i="7"/>
  <c r="H175" i="7"/>
  <c r="U177" i="7"/>
  <c r="S178" i="7"/>
  <c r="J189" i="7"/>
  <c r="Q195" i="7"/>
  <c r="U199" i="7"/>
  <c r="Y203" i="7"/>
  <c r="R207" i="7"/>
  <c r="T208" i="7"/>
  <c r="E210" i="7"/>
  <c r="W211" i="7"/>
  <c r="X212" i="7"/>
  <c r="V218" i="7"/>
  <c r="G220" i="7"/>
  <c r="Q221" i="7"/>
  <c r="R124" i="7"/>
  <c r="C156" i="7"/>
  <c r="V177" i="7"/>
  <c r="S191" i="7"/>
  <c r="P202" i="7"/>
  <c r="I207" i="7"/>
  <c r="M209" i="7"/>
  <c r="P211" i="7"/>
  <c r="R213" i="7"/>
  <c r="T215" i="7"/>
  <c r="V217" i="7"/>
  <c r="X219" i="7"/>
  <c r="Y221" i="7"/>
  <c r="Z222" i="7"/>
  <c r="U208" i="7"/>
  <c r="L224" i="7"/>
  <c r="W195" i="7"/>
  <c r="B215" i="7"/>
  <c r="U225" i="7"/>
  <c r="E158" i="7"/>
  <c r="W186" i="7"/>
  <c r="E192" i="7"/>
  <c r="Y197" i="7"/>
  <c r="G203" i="7"/>
  <c r="S207" i="7"/>
  <c r="V209" i="7"/>
  <c r="X211" i="7"/>
  <c r="Z213" i="7"/>
  <c r="Z221" i="7"/>
  <c r="B183" i="7"/>
  <c r="K223" i="7"/>
  <c r="S175" i="7"/>
  <c r="S223" i="7"/>
  <c r="M143" i="7"/>
  <c r="C160" i="7"/>
  <c r="B171" i="7"/>
  <c r="Y179" i="7"/>
  <c r="O187" i="7"/>
  <c r="K198" i="7"/>
  <c r="C216" i="7"/>
  <c r="F218" i="7"/>
  <c r="H220" i="7"/>
  <c r="B224" i="7"/>
  <c r="C225" i="7"/>
  <c r="E226" i="7"/>
  <c r="R204" i="7"/>
  <c r="H212" i="7"/>
  <c r="L216" i="7"/>
  <c r="Q220" i="7"/>
  <c r="B223" i="7"/>
  <c r="E225" i="7"/>
  <c r="R164" i="7"/>
  <c r="Q189" i="7"/>
  <c r="M200" i="7"/>
  <c r="W210" i="7"/>
  <c r="J222" i="7"/>
  <c r="V152" i="7"/>
  <c r="E201" i="7"/>
  <c r="E217" i="7"/>
  <c r="V226" i="7"/>
  <c r="E146" i="7"/>
  <c r="I161" i="7"/>
  <c r="H172" i="7"/>
  <c r="U193" i="7"/>
  <c r="B199" i="7"/>
  <c r="C208" i="7"/>
  <c r="F210" i="7"/>
  <c r="J214" i="7"/>
  <c r="O218" i="7"/>
  <c r="C224" i="7"/>
  <c r="F226" i="7"/>
  <c r="K174" i="7"/>
  <c r="Y212" i="7"/>
  <c r="M225" i="7"/>
  <c r="Y165" i="7"/>
  <c r="R222" i="7"/>
  <c r="F173" i="7"/>
  <c r="F182" i="7"/>
  <c r="Y188" i="7"/>
  <c r="G194" i="7"/>
  <c r="I205" i="7"/>
  <c r="L208" i="7"/>
  <c r="O210" i="7"/>
  <c r="Q212" i="7"/>
  <c r="S214" i="7"/>
  <c r="U216" i="7"/>
  <c r="W218" i="7"/>
  <c r="Y220" i="7"/>
  <c r="I222" i="7"/>
  <c r="J223" i="7"/>
  <c r="K224" i="7"/>
  <c r="L225" i="7"/>
  <c r="M226" i="7"/>
  <c r="U150" i="7"/>
  <c r="G184" i="7"/>
  <c r="Q206" i="7"/>
  <c r="G219" i="7"/>
  <c r="T224" i="7"/>
  <c r="W154" i="7"/>
  <c r="K167" i="7"/>
  <c r="Q176" i="7"/>
  <c r="F185" i="7"/>
  <c r="I196" i="7"/>
  <c r="E209" i="7"/>
  <c r="G211" i="7"/>
  <c r="I213" i="7"/>
  <c r="K215" i="7"/>
  <c r="M217" i="7"/>
  <c r="P219" i="7"/>
  <c r="R221" i="7"/>
  <c r="S222" i="7"/>
  <c r="T223" i="7"/>
  <c r="U224" i="7"/>
  <c r="V225" i="7"/>
  <c r="W226" i="7"/>
  <c r="O226" i="7"/>
  <c r="B190" i="7"/>
  <c r="I221" i="7"/>
  <c r="AB2" i="3"/>
  <c r="AA2" i="3"/>
  <c r="G2" i="3" l="1"/>
  <c r="AJ2" i="7"/>
  <c r="B2" i="7"/>
  <c r="E2" i="3"/>
  <c r="U2" i="7"/>
  <c r="L2" i="7"/>
  <c r="C2" i="7"/>
  <c r="T2" i="7"/>
  <c r="K2" i="7"/>
  <c r="J2" i="7"/>
  <c r="Z2" i="7"/>
  <c r="R2" i="7"/>
  <c r="I2" i="7"/>
  <c r="S2" i="7"/>
  <c r="Y2" i="7"/>
  <c r="Q2" i="7"/>
  <c r="H2" i="7"/>
  <c r="P2" i="7"/>
  <c r="G2" i="7"/>
  <c r="X2" i="7"/>
  <c r="F2" i="7"/>
  <c r="E2" i="7"/>
  <c r="W2" i="7"/>
  <c r="V2" i="7"/>
  <c r="M2" i="7"/>
  <c r="O2" i="7"/>
  <c r="H2" i="3"/>
  <c r="I2" i="3"/>
  <c r="J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<sst xmlns="http://schemas.openxmlformats.org/spreadsheetml/2006/main" count="30834" uniqueCount="4243">
  <si>
    <t>Group Filters:</t>
  </si>
  <si>
    <t>Filter Program Level Group</t>
  </si>
  <si>
    <t>Filter System Level Group</t>
  </si>
  <si>
    <t>Interface ID</t>
  </si>
  <si>
    <t>Interface Name</t>
  </si>
  <si>
    <t>Interface Lead</t>
  </si>
  <si>
    <t>Interface Contributor(s)</t>
  </si>
  <si>
    <t>Interface Level</t>
  </si>
  <si>
    <t>Interface Type</t>
  </si>
  <si>
    <t>Location Specific Interface</t>
  </si>
  <si>
    <t>Interface Program Level Group</t>
  </si>
  <si>
    <t>Interface System Level Group</t>
  </si>
  <si>
    <t>Interface Project Level Group</t>
  </si>
  <si>
    <t>Interface Status</t>
  </si>
  <si>
    <t>Interface Description (Interface Purpose)</t>
  </si>
  <si>
    <t>Interface Criticality</t>
  </si>
  <si>
    <t>Interface Criticality Explanation</t>
  </si>
  <si>
    <t>Interface Flow</t>
  </si>
  <si>
    <t>Remarks</t>
  </si>
  <si>
    <t>Element A Name</t>
  </si>
  <si>
    <t>Element A Type</t>
  </si>
  <si>
    <t>Element A Owner</t>
  </si>
  <si>
    <t>Element A Location</t>
  </si>
  <si>
    <t>Element A Program</t>
  </si>
  <si>
    <t>Element A System</t>
  </si>
  <si>
    <t>Element A Project</t>
  </si>
  <si>
    <t>Element A Subsystem</t>
  </si>
  <si>
    <t>Element B Name</t>
  </si>
  <si>
    <t>Element B Type</t>
  </si>
  <si>
    <t>Element B Owner</t>
  </si>
  <si>
    <t>Element B Location</t>
  </si>
  <si>
    <t>Element B Program</t>
  </si>
  <si>
    <t>Element B System</t>
  </si>
  <si>
    <t>Element B Project</t>
  </si>
  <si>
    <t>Element B Subsystem</t>
  </si>
  <si>
    <t>Version Baseline Date</t>
  </si>
  <si>
    <t>DGS-I_0001</t>
  </si>
  <si>
    <t>Abby Buters</t>
  </si>
  <si>
    <t/>
  </si>
  <si>
    <t>External Software - Project Interface</t>
  </si>
  <si>
    <t>No</t>
  </si>
  <si>
    <t>Deleted</t>
  </si>
  <si>
    <t>Interface Review 25/11/2025: Delete - This interface has multiple sources; therefore, it has been split into separate interfaces.</t>
  </si>
  <si>
    <t>Weather Forecasting (External)</t>
  </si>
  <si>
    <t>External Software</t>
  </si>
  <si>
    <t>Project</t>
  </si>
  <si>
    <t>Energy Operations</t>
  </si>
  <si>
    <t>DGS-I_0002</t>
  </si>
  <si>
    <t>Project - Project Interface</t>
  </si>
  <si>
    <t>Functional-Operational</t>
  </si>
  <si>
    <t>Proposed</t>
  </si>
  <si>
    <t>LOW</t>
  </si>
  <si>
    <t>The criticality level is LOW because failure at this interface does not impact real-time production, safety, or operational control. It only affects the precision of strategic planning simulations, leading to a minor degradation in planning accuracy that can be corrected in subsequent planning cycles.</t>
  </si>
  <si>
    <t>Vendor Cloud</t>
  </si>
  <si>
    <t>DGS-I_0003</t>
  </si>
  <si>
    <t>External Physical Asset - System Interface</t>
  </si>
  <si>
    <t>External Physical Asset|N/A</t>
  </si>
  <si>
    <t>Non FMG Power Assets</t>
  </si>
  <si>
    <t>External Physical Asset</t>
  </si>
  <si>
    <t>System</t>
  </si>
  <si>
    <t>Generic Physical Asset</t>
  </si>
  <si>
    <t>DGS-I_0004</t>
  </si>
  <si>
    <t>Technical-Data/Software</t>
  </si>
  <si>
    <t>SAP Work Orders - Equipment Downtime &amp; Maintenance (Snowflake Integration)_x000D_
The purpose of this interface is to surface work order data from SAP in Snowflake so Eclipse can query and understand when in-field equipment (e.g., solar arrays, sensors) is down due to planned or unplanned events. This enables better correlation between asset performance, weather conditions, and operational constraints, including generation outages, planned maintenance, and sensor cleaning._x000D_
Intermediate Elements: Snowflake (storage and query layer for SAP work order and downtime history).</t>
  </si>
  <si>
    <t>The criticality level is HIGH because accurate visibility of equipment downtime is essential for interpreting production impacts and improving forecast accuracy. Failure risks inaccurate energy balance predictions, leading to inefficient generation control.</t>
  </si>
  <si>
    <t>SAP work orders / notifications -&gt; SAP database (TBC) -&gt; Delphi Snowflake (uni-directional).</t>
  </si>
  <si>
    <t>DGS-I_0005</t>
  </si>
  <si>
    <t>N/A</t>
  </si>
  <si>
    <t>Interface Review 25/11/2025: Meco functionality of load forecasting might now be a subsystem of Delphi.</t>
  </si>
  <si>
    <t>DGS-I_0006</t>
  </si>
  <si>
    <t>DGS-I_0007</t>
  </si>
  <si>
    <t>Ervin Goen</t>
  </si>
  <si>
    <t>LiveWire - Asset Tracking, Usage History &amp; Stock Availability (SAP Integration)_x000D_
This interface provides LiveWire with visibility of asset locations, usage history, and operational status for equipment such as cable couplers, adapters, and related field hardware. It sources asset stock availability from SAP, including work order allocations, close-out dates, and remaining inventory, while usage history may be supplied by LiveWire directly based on field movements and connection records to allow for a more accurate operational view of asset utilisation in near real time._x000D_
Intermediate Elements: SAP (inventory &amp; work orders), LiveWire (asset location &amp; usage history), and optional two-way integration for synchronising asset status.</t>
  </si>
  <si>
    <t>MEDIUM</t>
  </si>
  <si>
    <t>The criticality level is MEDIUM because accurate asset tracking and availability data is essential for field operations and maintenance planning. Failure degrades efficient electrical network management and may cause delays due to unavailable equipment.</t>
  </si>
  <si>
    <t>Data Flow:_x000D_
SAP (stock availability, work order status) -&gt; LiveWire (asset usage history &amp; tracking)</t>
  </si>
  <si>
    <t>Interface Review 02/12/2025: Maintenance planning and history, preventative and corrective maintenance, and cable availability. Asset allocations are more from GPS Sensors. _x000D_
LiveWire will provide SAP if the cable changes site at the FLOC level. If it moves from site to site, the cost centre will change. _x000D_
The current state is just information on the status of the cable. Notification summary from SAP can provide a cable that has been physically inspected and marked not fit for purpose._x000D_
Future state LiveWire might be aware of Cable conditions before SAP is. The cable crew might be able to mark this in LiveWire. Commentary can potentially capture commentary as well and then provide it to SAP.</t>
  </si>
  <si>
    <t>Operations Planning</t>
  </si>
  <si>
    <t>AWS Fortescue Cloud</t>
  </si>
  <si>
    <t>DGS-I_0008</t>
  </si>
  <si>
    <t>AWS Fortescue Infrastructure</t>
  </si>
  <si>
    <t>DGS-I_0009</t>
  </si>
  <si>
    <t>Interface Review 25/11/2025: Delete (more eclipse and still working through integration requirements)</t>
  </si>
  <si>
    <t>DGS-I_0010</t>
  </si>
  <si>
    <t>Interface Review 25/11/2025: Delete</t>
  </si>
  <si>
    <t>DGS-I_0011</t>
  </si>
  <si>
    <t>Sam Hedgcock</t>
  </si>
  <si>
    <t>Simplified Interface</t>
  </si>
  <si>
    <t>CSMS data transfer to Eclipse for charger availability and usage._x000D_
This interface allows Eclipse to receive charger availability and usage data for SCUC near-term planning._x000D_
Intermediate Elements: Snowflake (TBC).</t>
  </si>
  <si>
    <t>HIGH</t>
  </si>
  <si>
    <t>The criticality level is HIGH because failure to send reliable and timely charger availability data to Eclipse for near-term planning will cause inaccuracies in the plans. This could result in poor scheduling decisions, impacting energy supply stability and production throughput.</t>
  </si>
  <si>
    <t>TBC: uni-directional or bi-directional.</t>
  </si>
  <si>
    <t>Interface Review 25/11/2025: Future state integration which still needs to be defined by the project team. This is specifically for the SCUC</t>
  </si>
  <si>
    <t>DGS-I_0012</t>
  </si>
  <si>
    <t>Under Review</t>
  </si>
  <si>
    <t>TBC</t>
  </si>
  <si>
    <t>DGS-I_0013</t>
  </si>
  <si>
    <t>Sri Molugu (Supertintendent Production Systems &amp; Reporting), Anchal Bawa (Data Product Owner), Gareth Hart (Principal Data Engineer), (Operations BAZ owners for Snowflake)</t>
  </si>
  <si>
    <t>Alastri Planning Data Transfer (to Eclipse via TAG)_x000D_
The purpose of this interface is to transfer long-term energy balance, production targets, and fleet projection scenarios generated in Alastri into the Operations Management data layer (BAZ), making this critical planning data available for use by the Eclipse planning module._x000D_
Intermediate Elements: TAG Planning Module (Receives Excel upload and processes data), and the Snowflake Data Platform (Stores data). _x000D_
Additional information related to this interface:_x000D_
Element B (Source): Alastri (Master source of long-term planning scenarios: 2-year and 10-year)._x000D_
BAZ: AA_OPERATIONS_MANAGEMENT.SELFSERVICE.PLANNING_PLAN_DAT (Final table for consumption)._x000D_
Element A (Sink): Eclipse Platform (Consumes planning data for short-term scheduling and scenario analysis).</t>
  </si>
  <si>
    <t>The criticality level is HIGH because failure impacts the accuracy and alignment of Eclipse's short-term plans with strategic long-term goals. This risks incorrect resource forecasting and production scheduling.</t>
  </si>
  <si>
    <t>Uni-directional: Alastri-&gt; TAG Planning Module-&gt; Snowflake/Business Analaytics Zone-&gt; Eclipse.</t>
  </si>
  <si>
    <t>DGS-I_0014</t>
  </si>
  <si>
    <t>Kareema Ramli (Senior Engineer - Energy Data Systems &amp; Governance)</t>
  </si>
  <si>
    <t>Interface Review 25/11/2025: Energy Operations has an API in the corporate environment. The plan is to read it from there. State of charge percentage data for BESS (maybe site-level aggregate for trucks). Through Delphi._x000D_
Interface Review 02/12/2025: Delete (This information has been described in the Eclipse | Delphi interface).</t>
  </si>
  <si>
    <t>DGS-I_0015</t>
  </si>
  <si>
    <t>This interface allows Eclipse to share operational context, operator inputs, or planning-related information with HaulX so haulage activity aligns with upstream operational systems.</t>
  </si>
  <si>
    <t>The criticality level is MEDIUM because, although failure may reduce coordination quality or cause planning misalignment, HaulX can continue operation. The impact affects optimisation rather than core control or safety.</t>
  </si>
  <si>
    <t>DGS-I_0016</t>
  </si>
  <si>
    <t>The purpose of this interface is to transfer daily 24-hour charging profiles from Plexos to Monarch via the internal EGC pipeline.</t>
  </si>
  <si>
    <t>The criticality level is HIGH because Monarch depends on these schedules for fleet-wide charging management. Failure directly impacts the ability to coordinate charging load, risking network instability or production delays.</t>
  </si>
  <si>
    <t>Plexos (Corporate IT) -&gt; EGC Pipeline -&gt; Monarch</t>
  </si>
  <si>
    <t>Interface Review 25/11/2025: Future state integration, which still needs to be defined by the project team. Only involved with the short-term dispatch of energy.</t>
  </si>
  <si>
    <t>DGS-I_0017</t>
  </si>
  <si>
    <t>Shaun Batcock</t>
  </si>
  <si>
    <t>The purpose of this interface is to send train schedule data from Snowflake to the Eclipse database for short-term mine planning. This data originates from ALF and is intended for use in a future state development.</t>
  </si>
  <si>
    <t>Uni-directional -&gt; ALF -&gt; Snowflake -&gt; Eclipse</t>
  </si>
  <si>
    <t>DGS-I_0018</t>
  </si>
  <si>
    <t>This interface allows FLO to exchange operational logic, configuration data, or workflow context with Eclipse to keep both systems aligned for reporting, planning, or task coordination.</t>
  </si>
  <si>
    <t>The criticality level is LOW because failure at this interface does not impact real-time production, safety, or operational control. It only limits integrated insight and causes delayed updates, which can be handled manually.</t>
  </si>
  <si>
    <t>DGS-I_0019</t>
  </si>
  <si>
    <t>Glen Carruthers</t>
  </si>
  <si>
    <t>The purpose of this interface is to allow Eclipse to pull aggregated forecast and actual data from Delphi for short-term and historical data for long-term planning. This data includes wind and solar data, rain, and lightning, and it also supports sending Elysia's State of Charge actuals for the BESS to Delphi to assist in determining where and when to charge, send power, and curtail._x000D_
Intermediate Elements: Snowflake.</t>
  </si>
  <si>
    <t>The criticality level is HIGH because failure to receive timely forecast and actual weather data from Delphi will cause near- and long-term mine plans to be inaccurate. This severely compromises planning feasibility and execution.</t>
  </si>
  <si>
    <t>Uni-directional -&gt; Delphi Snowflake database -&gt; Eclipse Snowflake database.</t>
  </si>
  <si>
    <t>DGS-I_0020</t>
  </si>
  <si>
    <t>This interface provides Cimplicity with data from Eclipse for visualisation, supervisory functions, or operational context across site systems.</t>
  </si>
  <si>
    <t>The criticality level is LOW because failure at this interface does not impact real-time production, safety, or operational control. It only affects integrated visibility, and underlying electrical systems can continue functioning normally.</t>
  </si>
  <si>
    <t>DGS-I_0021</t>
  </si>
  <si>
    <t>DGS-I_0022</t>
  </si>
  <si>
    <t>The purpose of this interface is to serve as a human-machine interface between personnel in Mine Services and the Charge Station Management System (CSMS), allowing them to execute remote commands, access historical data, as well as remotely monitor, diagnose, and manage the state of the charging network.</t>
  </si>
  <si>
    <t>DGS-I_0023</t>
  </si>
  <si>
    <t>DGS-I_0024</t>
  </si>
  <si>
    <t>Mine Services</t>
  </si>
  <si>
    <t>DGS-I_0025</t>
  </si>
  <si>
    <t>Alastri -&gt; LiveWire - Pit Elevation, Block Progression &amp; Cable Path Integration_x000D_
The purpose of this interface is to allow LiveWire to consume pit elevation models, digger block progression, drill patterns, and high-level cable path designs from Alastri to support operational planning and electrical network management. LiveWire uses this information to visualise equipment movement, update spatial constraints, and guide safe and efficient cable routing decisions. Elevation data is sourced from Alastri's 3D model and transferred to a predetermined location for ingestion, with most data made available via Snowflake, and the process targets DXF 3D transfer with the possibility of exposing a DXF layer as an export back to Alastri._x000D_
Intermediate Elements: Alastri 3D model, Snowflake datasets, controlled file transfer location, LiveWire visualisation and spatial tools, and Mine planner (staff) 2-week mine plan.</t>
  </si>
  <si>
    <t>The criticality level is MEDIUM because accurate elevation and block progression information is essential for safe cable routing and avoiding physical conflicts. Failure may degrade planning safety and network design quality, but it does not immediately halt production.</t>
  </si>
  <si>
    <t>Data Flow:_x000D_
Alastri (3D elevation model, block progression, drill patterns, cable path designs) -&gt; File transfer / Snowflake -&gt; LiveWire (visualisation &amp; operational layers).</t>
  </si>
  <si>
    <t>DGS-I_0026</t>
  </si>
  <si>
    <t>DGS-I_0027</t>
  </si>
  <si>
    <t>This interface enables FAST to receive planning, haulage, and production inputs from the broader Alastri suite so simulations reflect current mine plans and haulage requirements.</t>
  </si>
  <si>
    <t>The criticality level is MEDIUM because failure affects the accuracy of simulations, making scenario testing and planning optimisation less reliable. This impacts the quality of planning analysis but does not affect real-time haulage or production systems.</t>
  </si>
  <si>
    <t>DGS-I_0028</t>
  </si>
  <si>
    <t>DGS-I_0029</t>
  </si>
  <si>
    <t>DGS-I_0030</t>
  </si>
  <si>
    <t>DGS-I_0031</t>
  </si>
  <si>
    <t>This interface links HaulX with the Alastri planning tools to ensure autonomous and manual haulage operations align with current mine designs, tactical schedules, and short-term plan changes.</t>
  </si>
  <si>
    <t>The criticality level is MEDIUM because failure means operations may become inefficient or misaligned with priorities. An outage reduces optimisation and planning alignment, but does not stop haulage or compromise safety.</t>
  </si>
  <si>
    <t>DGS-I_0032</t>
  </si>
  <si>
    <t>vCharm Edge / CSMS &lt;-&gt; Monarch AGC -  Setpoint &amp; Control Integration (Under Evaluation)_x000D_
The purpose of this interface is to allow Monarch Automatic Generation Control (AGC) to adjust EV charging setpoints dynamically, coordinating charging demand with real-time generation and system stability requirements. This integration between the Charging Station Management System (CSMS, via vCharm Edge) and Monarch AGC is currently under investigation, with communication potentially occurring directly via API or indirectly through the GMS PLC acting as an intermediary control layer._x000D_
Intermediate Elements: Monarch AGC, vCharm Edge (CSMS), possible GMS PLC, charger control interfaces, API or PLC communications, depending on final ICD design.</t>
  </si>
  <si>
    <t>The criticality level is HIGH because coordinated charging load control is essential for balancing demand with available generation and preventing overload. Failure risks system instability and compromises AGC-driven responsiveness across the power network.</t>
  </si>
  <si>
    <t>Option 1: Monarch AGC -&gt; API -&gt; CSMS (vCharm Edge) -&gt; Chargers._x000D_
_x000D_
Option 2: Monarch AGC -&gt; GMS PLC -&gt; CSMS (vCharm Edge) -&gt; Chargers.</t>
  </si>
  <si>
    <t>CSMS Review 30/10/2025: Integration between vCharm edges and Monarch AGC is still being looked at. ICD? adjustment of setpoints. May go via GMS PLC, or may go directly from AGC to CSMS via API. Potential owner Energy Ops._x000D_
_x000D_
Interface Review 08/12/2025: Delete, CSMS integrates to LMS.</t>
  </si>
  <si>
    <t>DGS-I_0033</t>
  </si>
  <si>
    <t>Load Management System - PLC-Controlled Integration with vCharm Vector (Charging Station Management System)_x000D_
The purpose of this interface is to allow the load management system to use PLCs to control and coordinate electrical loads on site, ensuring safe and efficient distribution of available power. This system integrates with the vCharm Vector Charging Station Management System to manage EV and equipment charging demand, balancing charging schedules with real-time site load conditions and operational priorities._x000D_
Intermediate Elements: PLCs, Load Management System, and vCharm Vector Charging Station Management System.</t>
  </si>
  <si>
    <t>The criticality level is HIGH because accurate coordination between PLC-controlled loads and the charging management system is essential for avoiding overloads and maintaining power stability. Failure risks production delays by disrupting vehicle charging when required for operations.</t>
  </si>
  <si>
    <t>PLCs (load controllers) -&gt; Load Management System -&gt; vCharm Vector (charging management) -&gt; Operational systems.</t>
  </si>
  <si>
    <t>LMS Review 30/10/2025: Modbus TCP._x000D_
Fault data, CSMS Requesting Power, LMS Sending response (Power can be switched on). Commands from LMS to clear the devices that are requesting Power. Clear Faults. WatchDog Data.</t>
  </si>
  <si>
    <t>DGS-I_0034</t>
  </si>
  <si>
    <t>The purpose of this interface is to allow the Load Management System (LMS) to coordinate site electrical loads to maintain system stability and ensure power is distributed safely and efficiently. LMS achieves this by integrating with the Mine Electrification SCADA system (Ignition SCADA) to receive real-time electrical status, breaker positions, load measurements, and network health, enabling it to make informed decisions on shedding, prioritising, or restoring loads across the electrified mine</t>
  </si>
  <si>
    <t>The criticality level is HIGH because reliable integration between LMS and Ignition SCADA is essential for safe mine operations and preventing overloads. Failure compromises the ability to ensure critical loads remain energised and stable.</t>
  </si>
  <si>
    <t>Ignition SCADA (real-time electrical data) -&gt;LMS (load optimisation &amp; control logic) -&gt; PLCs / site electrical equipment.</t>
  </si>
  <si>
    <t>DGS-I_0035</t>
  </si>
  <si>
    <t>DGS-I_0036</t>
  </si>
  <si>
    <t>System - Project Interface</t>
  </si>
  <si>
    <t>Technical-Electrical</t>
  </si>
  <si>
    <t>The purpose of this interface is to connect thermal power generators to the Monarch energy management and monitoring system.</t>
  </si>
  <si>
    <t>The criticality level is MEDIUM because a failure impairs coordination between thermal generation and the wider system, which may require manual intervention. Loss of visibility may affect power stability and planned responses, but this remains manageable within a shift.</t>
  </si>
  <si>
    <t>DGS-I_0037</t>
  </si>
  <si>
    <t>The purpose of this interface is to allow HaulX to receive charger availability, status, and capacity information, enabling effective truck scheduling for charging.</t>
  </si>
  <si>
    <t>The criticality level is MEDIUM because failure leads to less coordinated charging, resulting in delays and reduced haulage efficiency. The loss of optimisation may impact performance, but does not directly prevent safe equipment operation.</t>
  </si>
  <si>
    <t>DGS-I_0038</t>
  </si>
  <si>
    <t>This interface enables the Load Management System to communicate electrical load constraints and supply conditions to drill rigs.</t>
  </si>
  <si>
    <t>The criticality level is MEDIUM because an outage may lead to overloading risks, or cause the rig to halt operation to prevent electrical issues. This can result in operational delays or equipment protection events that necessitate shutdowns or restricted operation.</t>
  </si>
  <si>
    <t>DGS-I_0039</t>
  </si>
  <si>
    <t>This interface connects site substations to the Monarch energy monitoring and management platform.</t>
  </si>
  <si>
    <t>The criticality level is HIGH because losing visibility or control of a substation can cause site-wide electrical risks or unplanned power loss. This may lead to production stoppages or safety issues, as substations are critical electrical nodes.</t>
  </si>
  <si>
    <t>DGS-I_0040</t>
  </si>
  <si>
    <t>DGS-I_0041</t>
  </si>
  <si>
    <t>DGS-I_0042</t>
  </si>
  <si>
    <t>Program - Project Interface</t>
  </si>
  <si>
    <t>Program</t>
  </si>
  <si>
    <t>DGS-I_0043</t>
  </si>
  <si>
    <t>DGS-I_0044</t>
  </si>
  <si>
    <t>The interface allows Support Mobile Equipment to exchange basic operational status and location information with HaulX so the fleet management system can incorporate SME movements into haulage planning and situational awareness.</t>
  </si>
  <si>
    <t>DGS-I_0045</t>
  </si>
  <si>
    <t>This interface links Heavy Mobile Equipment (HME) assets, such as loaders, dozers, and graders to HaulX so their operational status, availability, and location can influence haulage dispatch decisions.</t>
  </si>
  <si>
    <t>The criticality level is MEDIUM because although haulage can continue, failure will decrease efficiency, increasing the risk of misaligned assignments. Losing the connection impacts performance due to misalignment but does not threaten safety-critical controls.</t>
  </si>
  <si>
    <t>DGS-I_0046</t>
  </si>
  <si>
    <t>This interface links energy storage systems (such as battery installations) with Monarch for monitoring and dispatch control.</t>
  </si>
  <si>
    <t>The criticality level is MEDIUM because the loss of interface reduces the ability to coordinate stored energy with the network, degrading power stability. This reduces efficiency, but is generally manageable in the short term.</t>
  </si>
  <si>
    <t>DGS-I_0047</t>
  </si>
  <si>
    <t>This interface links site energy generation assets, such as renewable or conventional generation systems, with the Monarch platform for monitoring, forecasting, and operational coordination.</t>
  </si>
  <si>
    <t>The criticality level is HIGH because losing this interface reduces visibility and control of generation sources that support the mine's electrical network. This can lead to power instability, forced load reductions, or interruptions to critical mining systems. Energy generation is fundamental to site operations, and a failure in the interface risks major production losses or safety concerns if generation cannot be coordinated correctly.</t>
  </si>
  <si>
    <t>DGS-I_0048</t>
  </si>
  <si>
    <t>System - System Interface</t>
  </si>
  <si>
    <t>DGS-I_0049</t>
  </si>
  <si>
    <t>DGS-I_0050</t>
  </si>
  <si>
    <t>DGS-I_0051</t>
  </si>
  <si>
    <t>DGS-I_0052</t>
  </si>
  <si>
    <t>DGS-I_0053</t>
  </si>
  <si>
    <t>DGS-I_0054</t>
  </si>
  <si>
    <t>DGS-I_0055</t>
  </si>
  <si>
    <t>DGS-I_0056</t>
  </si>
  <si>
    <t>DGS-I_0057</t>
  </si>
  <si>
    <t>DGS-I_0058</t>
  </si>
  <si>
    <t>DGS-I_0059</t>
  </si>
  <si>
    <t>DGS-I_0060</t>
  </si>
  <si>
    <t>DGS-I_0061</t>
  </si>
  <si>
    <t>DGS-I_0062</t>
  </si>
  <si>
    <t>DGS-I_0063</t>
  </si>
  <si>
    <t>This interface connects the gas power station to Monarch for live monitoring, operational control, and energy dispatch management.</t>
  </si>
  <si>
    <t>The criticality level is HIGH because a failure could disrupt the coordination of gas generation, potentially destabilising the electrical network and impacting vital mining operations.The gas power station is a key contributor to site power supply, and loss of communication removes the ability to track output, manage faults, or optimise supply, which could lead to significant operational impacts.</t>
  </si>
  <si>
    <t>DGS-I_0064</t>
  </si>
  <si>
    <t>This interface allows Monarch to monitor and manage the condition, loading, and status of the high-voltage transmission network.</t>
  </si>
  <si>
    <t>The criticality level is HIGH because losing visibility of HV transmission lines results in serious electrical risks and the inability to respond to faults. This affects key operational areas and production-critical infrastructure, compromising power security.</t>
  </si>
  <si>
    <t>DGS-I_0065</t>
  </si>
  <si>
    <t>This interface shares status or positional data from Light Mobile Equipment (LME) with HaulX to support traffic awareness and coordination around the haul circuit.</t>
  </si>
  <si>
    <t>The criticality level is LOW because failure at this interface does not impact real-time production, safety, or core operational control. LME does not significantly restrict haulage, and outages affect efficiency only marginally.</t>
  </si>
  <si>
    <t>DGS-I_0066</t>
  </si>
  <si>
    <t>This interface links the drill rig system with HaulX for location information, operational status, or integration into autonomous haulage awareness (depending on deployment).</t>
  </si>
  <si>
    <t>DGS-I_0067</t>
  </si>
  <si>
    <t>DGS-I_0068</t>
  </si>
  <si>
    <t>DGS-I_0069</t>
  </si>
  <si>
    <t>DGS-I_0070</t>
  </si>
  <si>
    <t>DGS-I_0071</t>
  </si>
  <si>
    <t>DGS-I_0072</t>
  </si>
  <si>
    <t>DGS-I_0073</t>
  </si>
  <si>
    <t>This interface allows Sub Kiosks to provide switching status, electrical measurements, alarms, and breaker positions into Mine Electrification SCADA for real-time monitoring and control.</t>
  </si>
  <si>
    <t>The criticality level is HIGH because losing visibility or control of sub-kiosk equipment can delay fault isolation, hinder switching operations, and increase the likelihood of electrical outages affecting production. The sub-kiosks are an essential part of the site's electrical distribution network, and SCADA must maintain uninterrupted communication to ensure safe and stable power operations.</t>
  </si>
  <si>
    <t>DGS-I_0074</t>
  </si>
  <si>
    <t>Rhys Jasper</t>
  </si>
  <si>
    <t>This interface connects the site's substations with the Charge Station Management System (CSMS), so CSMS has accurate information about power availability, energisation status, and electrical conditions supplying the charger network.</t>
  </si>
  <si>
    <t>The criticality level is HIGH because charger systems rely on accurate substation data to operate safely. Losing this interface can lead to charging disruptions, incorrect electrical behaviour, or delayed fault responses. The reason for the criticality is that substations are essential electrical assets, and if CSMS cannot monitor their status, safe coordination of high-power charging cannot be guaranteed.</t>
  </si>
  <si>
    <t>DGS-I_0075</t>
  </si>
  <si>
    <t>This interface links substations to Mine Electrification SCADA so operators can monitor high-voltage equipment, respond to alarms, and perform remote switching.</t>
  </si>
  <si>
    <t>The criticality level is HIGH because substations are essential to site power delivery, and a loss of SCADA connectivity reduces situational awareness, slows fault response, and increases the risk of widespread outages. Safe, reliable operation of the HV network depends on real-time SCADA visibility, increasing the importance of this interface.</t>
  </si>
  <si>
    <t>DGS-I_0076</t>
  </si>
  <si>
    <t>This interface provides SCADA with electrical status and operational information from Heavy Mobile Equipment (HME) Chargers, including load conditions, protection states, and alarms.</t>
  </si>
  <si>
    <t>The criticality level is HIGH because charger infrastructure draws a significant electrical load, and SCADA oversight is required to prevent overloads, manage faults, and maintain power system safety. Loss of this interface can lead to unsafe conditions or prolonged charger outages, directly affecting haulage productivity.</t>
  </si>
  <si>
    <t>DGS-I_0077</t>
  </si>
  <si>
    <t>This interface allows Mine Electrification SCADA to monitor and operate field switches across the site, ensuring safe isolation, load transfer, and protection coordination.</t>
  </si>
  <si>
    <t>The criticality level is HIGH because field switching is essential for electrical safety, maintenance coordination, and fault response. Without SCADA visibility, operators cannot promptly detect faults or safely reconfigure the network, creating both operational and safety risks.</t>
  </si>
  <si>
    <t>DGS-I_0078</t>
  </si>
  <si>
    <t>vCharm Edge &lt;-&gt; EV Chargers - OCPP Integration for Charging Control &amp; Status_x000D_
The purpose of this interface is to allow vCharm Edge to communicate with EV chargers using OCPP to manage charging sessions and retrieve real-time charger information. This includes charger state, current and voltage levels, plug-in status, and vehicle connection details. The system also receives charge authorisation and rate profiles, and can send commands such as setting or adjusting the charge rate. Some charger models may additionally connect to the manufacturer's cloud.._x000D_
Intermediate Elements: vCharm Edge gateway, OCPP protocol, charger manufacturer cloud (where required), charger telemetry and control interfaces.</t>
  </si>
  <si>
    <t>The criticality level is HIGH because reliable OCPP communication is essential for managing EV charging loads, ensuring safe power distribution, and enabling coordinated charging behaviour across the site.</t>
  </si>
  <si>
    <t>Data Flow:_x000D_
EV Chargers &lt;-&gt; OCPP &lt;-&gt; vCharm Edge (status, telemetry, control) -&gt; Local energy systems (LMS/SCADA where applicable).</t>
  </si>
  <si>
    <t>DGS-I_0079</t>
  </si>
  <si>
    <t>DGS-I_0080</t>
  </si>
  <si>
    <t>DGS-I_0081</t>
  </si>
  <si>
    <t>DGS-I_0082</t>
  </si>
  <si>
    <t>DGS-I_0083</t>
  </si>
  <si>
    <t>DGS-I_0084</t>
  </si>
  <si>
    <t>DGS-I_0085</t>
  </si>
  <si>
    <t>DGS-I_0086</t>
  </si>
  <si>
    <t>DGS-I_0087</t>
  </si>
  <si>
    <t>DGS-I_0088</t>
  </si>
  <si>
    <t>DGS-I_0089</t>
  </si>
  <si>
    <t>DGS-I_0090</t>
  </si>
  <si>
    <t>DGS-I_0091</t>
  </si>
  <si>
    <t>DGS-I_0092</t>
  </si>
  <si>
    <t>DGS-I_0093</t>
  </si>
  <si>
    <t>DGS-I_0094</t>
  </si>
  <si>
    <t>DGS-I_0095</t>
  </si>
  <si>
    <t>DGS-I_0096</t>
  </si>
  <si>
    <t>DGS-I_0097</t>
  </si>
  <si>
    <t>DGS-I_0098</t>
  </si>
  <si>
    <t>DGS-I_0099</t>
  </si>
  <si>
    <t>DGS-I_0100</t>
  </si>
  <si>
    <t>DGS-I_0101</t>
  </si>
  <si>
    <t>DGS-I_0102</t>
  </si>
  <si>
    <t>This interface supplies mine planning data, dig locations, and operational polygons from Mineplan into HaulX to ensure autonomous haulage routes and boundaries remain aligned with the current mine design.</t>
  </si>
  <si>
    <t>The criticality level is MEDIUM because incorrect or outdated mine design data can cause operational slowdowns or misalignment in autonomous fleet behaviour. Failure may reduce productivity, but it will not immediately halt production.</t>
  </si>
  <si>
    <t>DGS-I_0103</t>
  </si>
  <si>
    <t>A.03.02 Load Management System (LMS) - Integration with A.02.04 Monarch (Energy Operations Power Distribution System)_x000D_
The purpose of this interface is to allow the Load Management System (LMS) to integrate with Monarch, the system used by Energy Operations to manage and distribute power across the network in response to load requests. Monarch communicates required power allocations, constraints, and prioritisation rules to LMS, allowing LMS to coordinate load adjustments, charging, and shedding actions in alignment with operational needs._x000D_
Intermediate Elements: Monarch system, LMS, PLCs, and the site electrical network.</t>
  </si>
  <si>
    <t>The criticality level is HIGH because accurate communication between Monarch and LMS is essential to safely distribute power and prevent overload conditions. Failure compromises system stability and the ability to meet operational demands across the network.</t>
  </si>
  <si>
    <t>Monarch (power distribution requests &amp; constraints) -&gt; LMS -&gt; PLCs / site loads.</t>
  </si>
  <si>
    <t>DGS-I_0104</t>
  </si>
  <si>
    <t>Stakeholder - Project Interface</t>
  </si>
  <si>
    <t>The purpose of this interface is to allow Energy Operations (EO) personnel to interface with Eclipse data to assist in short and long-term planning and predicting energy/power distribution across the network. It is a Human interface for decision-making, where the EO staff member makes a decision after analysing outputs from Eclipse and then controls power distribution through Monarch._x000D_
Intermediate Elements: an EO staff member making a decision after analysing outputs from Eclipse and controlling power distribution through Monarch.</t>
  </si>
  <si>
    <t>Stakeholder</t>
  </si>
  <si>
    <t>DGS-I_0105</t>
  </si>
  <si>
    <t>Integrated Planning</t>
  </si>
  <si>
    <t>DGS-I_0106</t>
  </si>
  <si>
    <t>Interface Review 25/11/2025: Delete (Energy Operations sit in the HIVE)</t>
  </si>
  <si>
    <t>HIVE</t>
  </si>
  <si>
    <t>Charlotte Lavin (Ops Readiness)</t>
  </si>
  <si>
    <t>DGS-I_0107</t>
  </si>
  <si>
    <t>This interface allows personnel to interact with Eclipse to run plans and weather scenarios (including 10-year and life-of-mine plans) and process those plans through Eclipse to optimise them.</t>
  </si>
  <si>
    <t>Technical Services</t>
  </si>
  <si>
    <t>DGS-I_0108</t>
  </si>
  <si>
    <t>Eclipse HMI - Operational Run Plans &amp; Weather Scenario Interface_x000D_
The purpose of this interface is to provide the Operations Planning team with a central workspace through the Eclipse Human-Machine Interface (HMI) to create, review, and adjust run plans while visualising live and forecasted weather scenarios. This allows planners to understand how weather, equipment status, and energy conditions impact operational plans in the short and medium term._x000D_
Intermediate Elements: an HMI visual layer connected to Eclipse planning tools,  and Snowflake datasets.</t>
  </si>
  <si>
    <t>The criticality level is HIGH because the HMI is essential for informed decision-making, enabling planners to evaluate multiple scenarios and adjust operations based on real-time and forecasted conditions, thereby maintaining operational alignment.</t>
  </si>
  <si>
    <t>Eclipse planning engine -&gt; Eclipse HMI -&gt; Operators/Planners.</t>
  </si>
  <si>
    <t>DGS-I_0109</t>
  </si>
  <si>
    <t>Site based contributors per site</t>
  </si>
  <si>
    <t>Mine Services Cable Crews &lt;-&gt; LiveWire - Human Stakeholder Interaction_x000D_
The purpose of this interface is to allow cable crews from the Mine Services team to directly interact with the LiveWire system to manage cable movements, update field conditions, and ensure accurate representation of electrical infrastructure across the site. Mine Services is the operational owner of LiveWire at each site, using the system to record cable locations, perform manual updates when sensors or telemetry are unavailable, and validate real-time spatial information before field activities._x000D_
Intermediate Elements: LiveWire web UI, tablets or field devices, LiveWire backend services, SCADA/GPS integrations supporting crew decision-making.</t>
  </si>
  <si>
    <t>The criticality level is HIGH because LiveWire serves as the authoritative tool for cable-related field operations. Accurate human input and validation are essential for safety, preventing cable strikes, and maintaining reliable operational data.</t>
  </si>
  <si>
    <t>Information Flow:_x000D_
Mine Services cable crews -&gt; LiveWire UI (manual updates, confirmations, field data entry) -&gt; LiveWire backend &amp; spatial layers.</t>
  </si>
  <si>
    <t>Meeting Remarks 02/12/2025: Cable Crews from the mine services team will be interfacing with the LiveWire system. Mine services will be the owners of the application per site.</t>
  </si>
  <si>
    <t>DGS-I_0110</t>
  </si>
  <si>
    <t>LiveWire -&gt; Asset Health - Data Exposure for Maintenance &amp; Reliability_x000D_
The purpose of this interface is to allow LiveWire to expose operational and spatial data to Snowflake to support the Asset Health stakeholder group. This data can be used for maintenance and reliability analysis, helping identify patterns such as repeated cable movements, high-risk locations, sensor failures, or infrastructure degradation._x000D_
Intermediate Elements: LiveWire backend, Snowflake dataset, and Asset Health analytics tools.</t>
  </si>
  <si>
    <t>The criticality level is LOW because failure at this interface does not impact real-time production, safety, or operational control. It only delays the availability of data for maintenance and reliability analysis, which can be corrected in the next data cycle.</t>
  </si>
  <si>
    <t>Data Flow:_x000D_
LiveWire operational data -&gt; Snowflake (shared dataset) -&gt; Asset Health team analytics.</t>
  </si>
  <si>
    <t>Meeting Remarks 02/12/2025: LiveWire could potentially expose data to Snowflake for Asset Health for maintenance and reliability.</t>
  </si>
  <si>
    <t>Asset Health</t>
  </si>
  <si>
    <t>DGS-I_0111</t>
  </si>
  <si>
    <t>Different planners across different sites (TBC)</t>
  </si>
  <si>
    <t>Operations Planning &lt;-&gt; LiveWire - Cable Routing &amp; Planning Interface_x000D_
The purpose of this interface is to allow Operations Planning to use LiveWire to communicate preferred cable routing and operational constraints back to Mine Planning. LiveWire provides an interactive interface where planners can design, review, and adjust proposed cable paths alongside spatial data from Alastri. This supports alignment between operational needs and long-term mining plans, ensuring cables are routed safely and efficiently as the pit evolves._x000D_
Intermediate Elements: LiveWire planning interface, Alastri spatial datasets, and Snowflake shared data (optional).</t>
  </si>
  <si>
    <t>The criticality level is HIGH because effective coordination between Operations Planning and Mine Planning via LiveWire ensures cable routes are practical, safe, and aligned to current and future mining activities. Failure may result in misaligned infrastructure placement, significantly increasing the risk of safety incidents, equipment damage, and operational delays caused by unplanned rework.</t>
  </si>
  <si>
    <t>Data Flow:_x000D_
Operations Planning inputs (preferred cable routes, constraints) -&gt; LiveWire planning interface -&gt; Shared outputs to Mine Planning.</t>
  </si>
  <si>
    <t>Meeting Remarks 02/12/2025: LiveWire could be used by operations planning to communicate back to mine planning how they would like to runthe cables. Interface used in the planning process alongside Alastri. End users planning inside the LiveWire application.</t>
  </si>
  <si>
    <t>DGS-I_0112</t>
  </si>
  <si>
    <t>Project - Subsystem Interface</t>
  </si>
  <si>
    <t>The purpose of this interface is to allow Eclipse to receive charger availability and usage data from the CSMS for SCUC near-term planning._x000D_
Intermediate Elements: Snowflake (TBC).</t>
  </si>
  <si>
    <t>The criticality level is HIGH because failure to send reliable and timely charger availability data to Eclipse for near-term planning will reduce planning accuracy, risking energy supply instability and production delays.</t>
  </si>
  <si>
    <t>Subsystem</t>
  </si>
  <si>
    <t>DGS-I_0113</t>
  </si>
  <si>
    <t>This interface allows SCUC to exchange energy system constraints, generation schedules, and optimisation inputs with the Site Energy AI Optimiser.</t>
  </si>
  <si>
    <t>The criticality level is HIGH because inaccurate or missing optimisation data can cause poor generation scheduling and power instability. Failure risks costly curtailments or safety risks in the electrical network.</t>
  </si>
  <si>
    <t>DGS-I_0114</t>
  </si>
  <si>
    <t>Subsystem - Subsystem Interface</t>
  </si>
  <si>
    <t>This interface enables the Planning system to transfer medium- and long-term production and sequencing data into ATS, ensuring that tactical schedules align with the broader mine plan.</t>
  </si>
  <si>
    <t>The criticality level is LOW because failure at this interface does not impact operational haulage or energy systems. It only reduces planning accuracy, which can be mitigated by using alternative inputs.</t>
  </si>
  <si>
    <t>DGS-I_0115</t>
  </si>
  <si>
    <t>Alastri Planning Data Transfer (to Eclipse via TAG)_x000D_
The purpose of this interface is to transfer long-term energy balance, production targets, and fleet projection scenarios generated in Alastri into the Operations Management data layer (BAZ), making this critical planning data available for use by the Eclipse planning module. _x000D_
Intermediate Elements: TAG Planning Module (Receives Excel upload and processes data). Snowflake Data Platform (Stores data). _x000D_
Additional information related to this interface:_x000D_
Element B (Source): Alastri (Master source of long-term planning scenarios: 2-year and 10-year)._x000D_
BAZ: AA_OPERATIONS_MANAGEMENT.SELFSERVICE.PLANNING_PLAN_DAT (Final table for consumption)._x000D_
Element A (Sink): Eclipse Platform (Consumes planning data for short-term scheduling and scenario analysis).</t>
  </si>
  <si>
    <t>DGS-I_0116</t>
  </si>
  <si>
    <t>This interface transmits battery performance data, capacity forecasts, and operational limits from Elysia to SCUC for energy scheduling purposes.</t>
  </si>
  <si>
    <t>The criticality level is MEDIUM because SCUC can still operate without detailed battery intelligence, but its decisions may be less efficient and result in suboptimal battery utilisation. Failure affects efficiency rather than immediate operations</t>
  </si>
  <si>
    <t>DGS-I_0117</t>
  </si>
  <si>
    <t>The interface sends high-level energy constraints or power availability information from SCUC into HaulX Dispatch so haulage operations can be adjusted based on electrical system conditions.</t>
  </si>
  <si>
    <t>The criticality level is MEDIUM because a temporary loss of this interface typically leads to reduced optimisation and planning efficiency rather than a shutdown of operations. Safe haulage can continue using local logic.</t>
  </si>
  <si>
    <t>DGS-I_0118</t>
  </si>
  <si>
    <t>This interface synchronises key energy system data between Monarch and SCUC, ensuring generation, storage, and load information used in optimisation is correct.</t>
  </si>
  <si>
    <t>The criticality level is HIGH because SCUC relies on accurate network information to make safe and optimal dispatch decisions. Losing this interface results in scheduling decisions based on outdated data, which can destabilise the network and affect production.</t>
  </si>
  <si>
    <t>DGS-I_0119</t>
  </si>
  <si>
    <t>The purpose of this interface is to send train schedule data (from ALF, stored in a table in Snowflake) to the Eclipse database for short-term mine planning. This is identified as a future state development for Eclipse.</t>
  </si>
  <si>
    <t>DGS-I_0120</t>
  </si>
  <si>
    <t>This interface links the high-level Planning system to FLO, enabling forecasts, production plans, or fleet usage expectations to be shared for optimisation or analysis.</t>
  </si>
  <si>
    <t>The criticality level is LOW because failure at this interface does not impact real-time production, safety, or operational control. It only affects planning accuracy, and planning work can be done offline if needed.</t>
  </si>
  <si>
    <t>DGS-I_0121</t>
  </si>
  <si>
    <t>Interface Review 25/11/2025: Delete (more eclipse)</t>
  </si>
  <si>
    <t>DGS-I_0122</t>
  </si>
  <si>
    <t>This interface feeds supervisory control and monitoring data from Cimplicity into SCUC to support informed energy scheduling decisions.</t>
  </si>
  <si>
    <t>The criticality level is MEDIUM because SCUC can operate with reduced accuracy, but a higher risk of selecting suboptimal unit commitments exists. This interface enhances situational awareness, but redundancy prevents a complete operational shutdown.</t>
  </si>
  <si>
    <t>DGS-I_0123</t>
  </si>
  <si>
    <t>DGS-I_0124</t>
  </si>
  <si>
    <t>DGS-I_0125</t>
  </si>
  <si>
    <t>This interface allows HaulX Dispatch to receive charger availability, status, and capacity information from HME Chargers, enabling the fleet management system to schedule haul trucks for charging at the right time.</t>
  </si>
  <si>
    <t>The criticality level is MEDIUM because losing this interface disrupts optimal charge planning, causing queueing and lower productivity. Failure may result in efficiency losses, but not a complete operational stoppage.</t>
  </si>
  <si>
    <t>DGS-I_0126</t>
  </si>
  <si>
    <t>System - Subsystem Interface</t>
  </si>
  <si>
    <t>This interface provides SCUC with gas supply constraints, pipeline capacity, and availability information to support generation dispatch decisions.</t>
  </si>
  <si>
    <t>The criticality level is HIGH because incorrect gas supply information can lead to overestimating gas-fired generation, which could destabilise the energy system and affect site operations, necessitating costly corrective measures.</t>
  </si>
  <si>
    <t>DGS-I_0127</t>
  </si>
  <si>
    <t>Stakeholder - Subsystem Interface</t>
  </si>
  <si>
    <t>The purpose of this interface is to allow Energy Operations (EO) personnel to interact with Eclipse data to assist in short and long-term planning and predicting energy/power distribution across the network. It is a Human interface for decision-making, where the EO staff member makes a decision after analysing outputs from Eclipse and then controls power distribution through Monarch.</t>
  </si>
  <si>
    <t>DGS-I_0128</t>
  </si>
  <si>
    <t>DGS-I_0129</t>
  </si>
  <si>
    <t>Eclipse HMI - Operational Run Plans &amp; Weather Scenario Interface_x000D_
The purpose of this interface is to provide the Operations Planning team with a central workspace through the Eclipse Human-Machine Interface (HMI) to create, review, and adjust run plans while visualising live and forecasted weather scenarios. This allows planners to understand how weather, equipment status, and energy conditions impact operational plans in the short and medium term._x000D_
Intermediate Elements: an HMI visual layer connected to Eclipse planning tools and Snowflake datasets.</t>
  </si>
  <si>
    <t>DGS-I_0130</t>
  </si>
  <si>
    <t>DGS-I_0131</t>
  </si>
  <si>
    <t>DGS-I_0132</t>
  </si>
  <si>
    <t>Project-Contractual/Organisational</t>
  </si>
  <si>
    <t>This interface connects the site-level Planning system with the wider Integrated Planning process so that production, energy, and operational plans can be coordinated across departments.</t>
  </si>
  <si>
    <t>The criticality level is LOW because failure at this interface does not impact real-time production, safety, or operational control. It only affects planning coordination and workflow efficiency, which can be managed manually.</t>
  </si>
  <si>
    <t>DGS-I_0133</t>
  </si>
  <si>
    <t>This interface sends charger status, load information, and electrical alarms from all charger types (HME, LME, auxiliary chargers) into Mine Electrification SCADA.</t>
  </si>
  <si>
    <t>The criticality level is MEDIUM because SCADA visibility enhances safety and coordination across the charging network, though basic charging can still occur without full SCADA telemetry. A failure decreases electrical situational awareness and may delay responses to faults or overloads. However, chargers generally fail-safe and do not immediately cease operation.</t>
  </si>
  <si>
    <t>DGS-I_0134</t>
  </si>
  <si>
    <t>Program - System Interface</t>
  </si>
  <si>
    <t>DGS-I_0135</t>
  </si>
  <si>
    <t>DGS-I_0136</t>
  </si>
  <si>
    <t>DGS-I_0137</t>
  </si>
  <si>
    <t>Program - Subsystem Interface</t>
  </si>
  <si>
    <t>This interface allows HaulX Dispatch to update SMEs with tasking information, operational context, or priorities, aligning SME actions with haulage requirements.</t>
  </si>
  <si>
    <t>The criticality level is LOW because SMEs offer support rather than core production output, and dispatching for primary haul trucks remains unaffected. Losing this interface decreases SME utilisation efficiency but does not affect safety or production continuity.</t>
  </si>
  <si>
    <t>DGS-I_0138</t>
  </si>
  <si>
    <t>DGS-I_0139</t>
  </si>
  <si>
    <t>This interface provides HIVE with real-time load data and operating statuses from LMS, enabling HIVE to align operational decisions with site-wide electrical constraints.</t>
  </si>
  <si>
    <t>The criticality level is LOW because HIVE can continue operating using static or historical data in the short term, and the temporary loss of electrical load visibility does not affect immediate production. While this link improves coordination and decision-making, it does not impact safety systems or the equipment's ability to function.</t>
  </si>
  <si>
    <t>DGS-I_0140</t>
  </si>
  <si>
    <t>This interface enables LMS to deliver live load profiles and power-demand data to Energy Operations, allowing energy controllers to balance supply and prevent overloads.</t>
  </si>
  <si>
    <t>The criticality level is MEDIUM because losing this interface diminishes the energy team's capacity to respond to load fluctuations, increasing the risk of localised overloads or forced load-shedding. Although the wider electrical network is typically resilient enough to handle short-term issues, reduced visibility heightens operational risk and could result in unnecessary shutdowns.</t>
  </si>
  <si>
    <t>DGS-I_0141</t>
  </si>
  <si>
    <t>This interface provides Mining Operations with visibility into electrical load constraints and real-time consumption data from LMS, helping supervisors make informed decisions about equipment scheduling and power-intensive activities.</t>
  </si>
  <si>
    <t>The criticality level is LOW because Mining Operations can still function, though with less awareness of available power margins and potential constraints. Loss of the interface reduces planning quality but does not directly stop equipment or impact electrical safety, as LMS continues to enforce limits independently.</t>
  </si>
  <si>
    <t>Mining Operations</t>
  </si>
  <si>
    <t>Sam Ward</t>
  </si>
  <si>
    <t>DGS-I_0142</t>
  </si>
  <si>
    <t>This interface allows LMS to share load limits and electrical capacity data with Mine Services, ensuring that supporting infrastructure (such as dewatering, ventilation, pumps, or lighting) operates safely within network limits.</t>
  </si>
  <si>
    <t>The criticality level is MEDIUM because Mine Services equipment often runs continuously, and power imbalances can disrupt critical support systems, although basic operations can continue briefly without real-time visibility. Awareness of electrical load is vital for safe and efficient use of supporting infrastructure, and losing the interface increases the risk of unplanned constraints or equipment shutdowns.</t>
  </si>
  <si>
    <t>DGS-I_0143</t>
  </si>
  <si>
    <t>This interface provides electrical load constraints and power availability information from the Load Management System (LMS) to Heavy Mobile Equipment (HME) operators or control systems, helping ensure HME operates safely within the site's electrical limits, particularly during high-draw activities like charging or auxiliary load use.</t>
  </si>
  <si>
    <t>The criticality level is MEDIUM because while HME can continue to operate, a loss of load-management visibility may force operational slowdowns or require conservative charging behaviour to avoid electrical overloads. LMS supports safe and efficient coordination between large mobile equipment and electrical systems, and outages may increase operational risk, but do not immediately halt equipment.</t>
  </si>
  <si>
    <t>LMS Review 30/10/2025: PLC is on the interlock sequence of the Excavator. Delete. Duplicate of the LMS to Excavator.</t>
  </si>
  <si>
    <t>DGS-I_0144</t>
  </si>
  <si>
    <t>This interface enables the Load Management System (LMS) to control and coordinate the electrical supply to the electric excavator through the excavator's PLC-based interlock sequence. The PLC acts as the safety and operational gatekeeper ensuring the excavator only draws power when system conditions allow, and that the load is removed safely when constraints arise.</t>
  </si>
  <si>
    <t>The criticality level is HIGH because failure may halt mining operations due to incorrect load control or interlock failure. This risks equipment damage, network instability, or safety issues, as excavators are core production assets.</t>
  </si>
  <si>
    <t>LMS -&gt; Interface PLC -&gt; Excavator Interlock PLC -&gt; Excavator Drive Systems</t>
  </si>
  <si>
    <t>DGS-I_0145</t>
  </si>
  <si>
    <t>Load Management System (PLCs) &lt;-&gt; vCharm Edge - Modbus TCP Power Requests &amp; Control_x000D_
The purpose of this interface is to allow the Load Management System (LMS), operating through a set of PLCs, to integrate with vCharm Edge via Modbus TCP to coordinate power availability for EV chargers and associated equipment. vCharm Edge sends power requests to the LMS, including charger status and fault indicators. LMS responds with permissions to energise loads, sends clearing commands, and manages fault resets. Watchdog data is exchanged to ensure both systems remain synchronised and fail-safe._x000D_
Intermediate Elements: LMS PLCs, Modbus TCP communication layer, vCharm Edge, and charger power request/control logic.</t>
  </si>
  <si>
    <t>The criticality level is HIGH because accurate, real-time communication is essential for safely managing charger power and clearing faults. Failure risks that charging loads are not correctly energised when the network requires it.</t>
  </si>
  <si>
    <t>Data Flow:_x000D_
vCharm Edge (power requests, fault data) &lt;-&gt; Modbus TCP &lt;-&gt; LMS PLCs (power authorisation, clear commands, watchdog signals).</t>
  </si>
  <si>
    <t>DGS-I_0146</t>
  </si>
  <si>
    <t>This interface links a 33kV substation with vCharM.Edge to supply the system with status, energisation state, and power availability for heavy mobile equipment charging operations.</t>
  </si>
  <si>
    <t>The criticality level is HIGH because loss of this interface can lead to incorrect assumptions about charger energisation, resulting in charging downtime or electrical safety risks and possible production delays.</t>
  </si>
  <si>
    <t>DGS-I_0147</t>
  </si>
  <si>
    <t>This interface enables vCharM to manage, monitor, and coordinate HME Chargers, including scheduling, load balancing, and charger health reporting.</t>
  </si>
  <si>
    <t>The criticality level is MEDIUM because losing this interface decreases efficiency, extends charging times, and complicates charge scheduling. Outages typically do not halt haulage operations entirely but reduce charger utilisation efficiency.</t>
  </si>
  <si>
    <t>DGS-I_0148</t>
  </si>
  <si>
    <t>This interface supports communication between vCharM and auxiliary chargers to monitor availability, coordinate usage, and optimise charging of auxiliary equipment.</t>
  </si>
  <si>
    <t>The criticality level is LOW because failure at this interface does not impact real-time production, safety, or core energy systems. It only improves operational efficiency, and manual charging processes can be used.</t>
  </si>
  <si>
    <t>DGS-I_0149</t>
  </si>
  <si>
    <t>This interface links vCharM to the Light/Small Mobile Equipment (LME/SME) chargers so the system can monitor charger status, manage charging sessions, and optimise load distribution.</t>
  </si>
  <si>
    <t>The criticality level is LOW because, although the interface enhances operational efficiency, LME/SME charging can usually be managed manually without significant impact on production or safety.</t>
  </si>
  <si>
    <t>DGS-I_0150</t>
  </si>
  <si>
    <t>vCharm Edge / CSMS &lt;-&gt; Monarch AGC - Setpoint &amp; Control Integration (Under Evaluation)_x000D_
The purpose of this interface is to allow Monarch Automatic Generation Control (AGC) to adjust EV charging setpoints dynamically - coordinating charging demand with real-time generation and system stability requirements. This integration between the Charging Station Management System (CSMS, via vCharm Edge) and Monarch AGC is under investigation, and communication may occur directly between AGC and the CSMS via API, or indirectly through the GMS PLC acting as an intermediary control layer._x000D_
Intermediate Elements: Monarch AGC, vCharm Edge (CSMS), possible GMS PLC, charger control interfaces, API or PLC communications, depending on final ICD design.</t>
  </si>
  <si>
    <t>The criticality level is HIGH because coordinated charging load control is essential for balancing demand with available generation, preventing overload, and enabling AGC-driven responsiveness across the power network.</t>
  </si>
  <si>
    <t>CSMS Review 30/10/2025: Integration between vCharm edges and Monarch AGC is still being looked at. ICD? adjustment of setpoints. May go via GMS PLC, or may go directly from AGC to CSMS via API. Potential owner Energy Ops._x000D_
_x000D_
Delete, CSMS integrates to LMS.</t>
  </si>
  <si>
    <t>DGS-I_0151</t>
  </si>
  <si>
    <t>The purpose of this interface is to allow the Load Management System (LMS) to integrate with the Mine Electrification SCADA system (Ignition SCADA) to receive real-time electrical status, breaker positions, load measurements, and network health. This enables LMS to make informed decisions on shedding, prioritising, or restoring loads across the electrified mine, thereby coordinating site electrical loads to maintain system stability and ensure power is distributed safely and efficiently.</t>
  </si>
  <si>
    <t>The criticality level is HIGH because reliable integration between LMS and Ignition SCADA is essential for safe mine operations, preventing overloads, and ensuring critical loads remain energised. Failure compromises the real-time visibility required for load shedding, risking widespread electrical instability, equipment damage, or an unplanned site-wide power outage.</t>
  </si>
  <si>
    <t>Ignition SCADA (real-time electrical data) -&gt; LMS (load optimisation &amp; control logic) -&gt; PLCs / site electrical equipment.</t>
  </si>
  <si>
    <t>DGS-I_0152</t>
  </si>
  <si>
    <t>Ignition SCADA &lt;-&gt; 33 kV Substations - Remote Switching, Status &amp; Sensor Integration_x000D_
The purpose of this interface is to integrate with 33 kV substations and sub-kiosks using Ignition SCADA to provide real-time visibility and control of electrical equipment. This includes monitoring circuit breaker status, remote switching capabilities, temperature sensors, and other protective device readings. Communication is handled primarily through OPC/UA, ensuring secure and reliable data exchange between the field equipment and SCADA._x000D_
Intermediate Elements: OPC/UA comms layer, Ignition SCADA, sub-kiosk protection and control devices, integration points to Energy Operations where required.</t>
  </si>
  <si>
    <t>The criticality level is MEDIUM because failure reduces accuracy and reliability in fault isolation and remote switching operations. This may degrade stability across the distribution network, but typically does not cause an immediate shutdown.</t>
  </si>
  <si>
    <t>DGS-I_0153</t>
  </si>
  <si>
    <t>Ignition SCADA &lt;-&gt; Field Switches - PLC Status, Telemetry &amp; HV Switching Control_x000D_
The purpose of this interface is that Ignition SCADA integrates with field switches via PLCs using OPC/UA to provide real-time operational data and two-way control. The system collects SCADA tag statuses, circuit breaker positions, temperature readings, and other switch telemetry. It also supports remote high-voltage (HV) switching operations, allowing authorised operators to open or close breakers safely from the control environment._x000D_
Intermediate Elements: Field switch PLCs, OPC/UA communications, Ignition SCADA, HV switching control logic and interlocks.</t>
  </si>
  <si>
    <t>The criticality level is HIGH because reliable two-way control and accurate telemetry from field switches are essential for safe HV operations, isolations, and maintaining electrical network stability across the mine. Failure impairs the ability to safely isolate equipment and promptly perform remote switching during a fault, increasing the risk of prolonged outages, equipment damage, or electrical hazards.</t>
  </si>
  <si>
    <t>Field switch PLCs (breaker status, temperature, telemetry) &lt;-&gt; OPC/UA &lt;-&gt; Ignition SCADA (monitoring &amp; HV control).</t>
  </si>
  <si>
    <t>LMS Review 30/10/2025: PLC in a field switch OPC/UA._x000D_
Status for SCADA tags, circuit breaker statuses, temp data. _x000D_
_x000D_
Two way (control as well for HV Switching)._x000D_
_x000D_
SCADA Review 30/10/2025: Similar interface and functionality to GSS.</t>
  </si>
  <si>
    <t>DGS-I_0154</t>
  </si>
  <si>
    <t>Project - Function Interface</t>
  </si>
  <si>
    <t>This interface transmits fire system alarms, zone isolation signals, and equipment status from Fire SCADA to the HME Chargers, ensuring chargers respond correctly to fire conditions.</t>
  </si>
  <si>
    <t>The criticality level is HIGH because failure could prevent chargers from shutting down or isolating circuits during a fire event. Insufficient response to fire alarms poses significant safety risks and compromises emergency response capabilities.</t>
  </si>
  <si>
    <t>DGS-I_0155</t>
  </si>
  <si>
    <t>Nick Lane, Sam Hedgcock, Welly Yang</t>
  </si>
  <si>
    <t>LiveWire - Cable Coupler Connection Tracking via Ignition SCADA_x000D_
The purpose of this interface is to display real-time connection information for cable couplers across substations and switches within the LiveWire system. Since the original intent to use sensors to automatically identify a coupler's connected outlet may not be achievable, Ignition SCADA will instead provide an interface for operators to manually update the cable-to-outlet assignments. LiveWire then consumes this SCADA-sourced data to present accurate connection details to operations and planning teams._x000D_
Intermediate Elements: Ignition SCADA, SCADA operator interface for manual updates, and the LiveWire visualisation system.</t>
  </si>
  <si>
    <t>The criticality level is MEDIUM because accurate coupler connection information is essential for safe switching operations and network planning. Failure may degrade safety and planning quality, but is not immediately production-critical.</t>
  </si>
  <si>
    <t>Data Flow:_x000D_
Cable coupler sensors (where available) or manual entry in Ignition SCADA -&gt; SCADA data model -&gt; LiveWire visualisation layer.</t>
  </si>
  <si>
    <t>LMS Review 30/10/2025: Potential MQTT Integration (July roll out?)_x000D_
_x000D_
Status of when a cable is live. Logic in PLC for curent breaker status and data._x000D_
_x000D_
Interface Review 02/12/2025: Cable util metrics _x000D_
_x000D_
Ignition back to LiveWire for cable metrics will be done via MQTT/Kafka.</t>
  </si>
  <si>
    <t>DGS-I_0156</t>
  </si>
  <si>
    <t>This interface provides NPI SCADA visibility and control signals to HME Chargers, including building services, auxiliary power, and environmental conditions.</t>
  </si>
  <si>
    <t>The criticality level is MEDIUM because losing this link reduces operational visibility and may affect charger room support systems. Outages may disrupt support services, but typically do not compromise core charger unit function.</t>
  </si>
  <si>
    <t>DGS-I_0157</t>
  </si>
  <si>
    <t>This interface allows Ignition SCADA to monitor and control the substations housed in sub kiosks, providing status, alarms, and switching capability.</t>
  </si>
  <si>
    <t>The criticality level is HIGH because losing this interface removes essential visibility and control of electrical distribution nodes. This could delay fault isolation or cause widespread outages, compromising site power continuity.</t>
  </si>
  <si>
    <t>SCADA Review 30/10/2025:Green substation (in pit sub). 33/6.6kv. Delete, part of substations. To be confirmed._x000D_
05/12/2025: Deleted due to previous comment.</t>
  </si>
  <si>
    <t>DGS-I_0158</t>
  </si>
  <si>
    <t>This interface delivers real-time electrical network data and status information from Mine Electrification SCADA into HIVE, enabling operational oversight and decision support.</t>
  </si>
  <si>
    <t>The criticality level is MEDIUM because, although HIVE enhances operational coordination, its loss does not impede the SCADA system itself or halt electrical operations. HIVE functions as a consumer of SCADA data rather than a controller, so outages reduce visibility for planning and supervision but do not compromise safety.</t>
  </si>
  <si>
    <t>DGS-I_0159</t>
  </si>
  <si>
    <t>This interface allows Energy Operations to receive real-time SCADA data for monitoring site electrical loads, power stability, and equipment status.</t>
  </si>
  <si>
    <t>The criticality level is MEDIUM because, without this link, Energy Operations loses oversight and may respond more slowly to electrical incidents, although SCADA itself continues functioning. Energy Operations relies on SCADA data for coordination and decision-making but does not directly control electrical equipment, so outages affect efficiency rather than the physical safety of the network.</t>
  </si>
  <si>
    <t>DGS-I_0160</t>
  </si>
  <si>
    <t>Deleted: Power Infrastructure SCADA Review 20251030</t>
  </si>
  <si>
    <t>DGS-I_0161</t>
  </si>
  <si>
    <t>This interface provides Mine Services with real-time electrical network and equipment status sourced from Mine Electrification SCADA, helping them manage pumps, ventilation, lighting, and other supporting systems safely.</t>
  </si>
  <si>
    <t>The criticality level is MEDIUM because Mine Services can continue operating for short periods without live SCADA data, but their ability to plan and respond to electrical conditions is reduced. A loss of this interface limits situational awareness and may delay corrective actions, but does not directly interrupt power distribution or safety-critical systems.</t>
  </si>
  <si>
    <t>DGS-I_0162</t>
  </si>
  <si>
    <t>This interface provides the operational link between Mine Services Process Control (the backend control logic, PLCs, telemetry, sequencing, and interlocks governing mine services infrastructure) and the Ignition SCADA HMI, which operators use to supervise, monitor, and interact with those systems.</t>
  </si>
  <si>
    <t>The criticality level is MEDIUM because loss of visibility or control impacts mine services continuity (dewatering, power distribution, water supply, etc). This affects operational situational awareness and rapid incident response, potentially causing production delays.</t>
  </si>
  <si>
    <t>Mine Services Process Control</t>
  </si>
  <si>
    <t>DGS-I_0163</t>
  </si>
  <si>
    <t>This interface gives the NPI Maintenance Controller access to NPI SCADA data so maintenance staff can diagnose equipment faults, track alarms, and plan corrective actions.</t>
  </si>
  <si>
    <t>The criticality level is LOW because SCADA can continue to operate normally, even if the maintenance controller loses access. Failure only affects maintenance efficiency, which can be corrected in subsequent maintenance cycles.</t>
  </si>
  <si>
    <t>Non-Process Infrastructure (NPI) Maintenance Controller</t>
  </si>
  <si>
    <t>DGS-I_0164</t>
  </si>
  <si>
    <t>Stakeholder - Function Interface</t>
  </si>
  <si>
    <t>This interface delivers fire system alarms, suppression status, and emergency notifications from Fire SCADA to ESO (Emergency Support/Services Operations), ensuring timely incident response.</t>
  </si>
  <si>
    <t>The criticality level is HIGH because emergency teams need accurate and immediate fire information to safeguard personnel and electrical assets. Fire incidents require quick responses, and delays caused by missing or incorrect data can significantly increase safety risks and the severity of incidents.</t>
  </si>
  <si>
    <t>ESO</t>
  </si>
  <si>
    <t>DGS-I_0165</t>
  </si>
  <si>
    <t>This interface allows the NPI Maintenance Controller to access SCADA data on NPI-managed electrical equipment, enabling fault diagnosis and effective maintenance coordination.</t>
  </si>
  <si>
    <t>The criticality level is LOW because it supports maintenance workflows rather than real-time electrical control. SCADA can remain operational independently, and outages only reduce maintenance efficiency, rather than affecting electrical safety or production uptime.</t>
  </si>
  <si>
    <t>DGS-I_0166</t>
  </si>
  <si>
    <t>This interface provides ESO with electrical network alarms, breaker states, and equipment conditions from Mine Electrification SCADA, enabling emergency personnel or responders to act safely around energised infrastructure.</t>
  </si>
  <si>
    <t>The criticality level is HIGH because emergency responders rely on accurate SCADA information to prevent live electrical hazards and respond appropriately during incidents. Losing this interface jeopardises the safety of personnel during emergency situations, especially around HV equipment.</t>
  </si>
  <si>
    <t>DGS-I_0167</t>
  </si>
  <si>
    <t>This interface allows vCharM.Edge to coordinate directly with HME Chargers for low-latency control, monitoring, and optimisation of charging operations.</t>
  </si>
  <si>
    <t>The criticality level is MEDIUM because failure decreases charger utilization efficiency and may cause charging delays, but core charging can still occur through manual or less-optimised processes.</t>
  </si>
  <si>
    <t>DGS-I_0168</t>
  </si>
  <si>
    <t>Charlotte Lavin (Ops Readiness), Sam Ward (Technical Architect), Karen Ball (Training), Matt Talbot (Training)</t>
  </si>
  <si>
    <t>This is a Human-Machine Interface (HMI) designed to provide authorised Mine Services Personnel with the tools necessary to interact with and manage the Central Services Management System (CSMS). The interface serves as the primary control and diagnostics gateway, supporting tasks such as monitoring system health, executing remote commands, and accessing historical data._x000D_
The interface design must be agnostic to the final organisational structure (centralised HIVE vs. decentralised Site services), ensuring the exact same functional capabilities and security access controls are applied whether the user is located centrally or locally. This ensures operational resilience regardless of organizational staging.</t>
  </si>
  <si>
    <t>The criticality level is LOW because failure at this interface does not impact real-time production, safety, or power system stability. All critical functions can still be performed via existing interfaces, limiting the impact to reduced efficiency.</t>
  </si>
  <si>
    <t>DGS-I_0169</t>
  </si>
  <si>
    <t>This is a Data/Software (HMI) interface that enables Mine Services personnel to remotely monitor, diagnose, and manage the state of the LME/SME Charger network. Its primary function is to provide real-time status and remote control capabilities, significantly reducing the time and cost associated with site visits for troubleshooting and initial fault resolution.</t>
  </si>
  <si>
    <t>The criticality level is LOW because failure at this interface does not impact real-time production, safety, or core charging operations. All required activities can be performed through manual processes, with no impact to operational continuity.</t>
  </si>
  <si>
    <t>DGS-I_0170</t>
  </si>
  <si>
    <t>Deleted: Interface Register Review 11/11/2025. No human Energy Ops interface with CSMS. Energy Ops interface is via Monarch.</t>
  </si>
  <si>
    <t>DGS-I_0171</t>
  </si>
  <si>
    <t>Deleted: Interface Register Review 11/11/2025. No human Mining Ops interface with CSMS.</t>
  </si>
  <si>
    <t>DGS-I_0172</t>
  </si>
  <si>
    <t>Deleted: Interface Register Review 11/11/2025. Duplicate of DGS-I_0169_TP. NPI is now Mine Services.</t>
  </si>
  <si>
    <t>DGS-I_0173</t>
  </si>
  <si>
    <t>The purpose of this interface is to provide the Security-Constrained Unit Commitment (SCUC) process and short-term planning with generator availability data for the next 24 hours, which is efficiently pulled from the Snowflake data platform.</t>
  </si>
  <si>
    <t>DGS-I_0174</t>
  </si>
  <si>
    <t>The interface provides charger status, availability, and operational details from vCharM within the ORCA mobile app, enabling users to check charger availability in real time.</t>
  </si>
  <si>
    <t>The criticality level is LOW because failure at this interface does not impact production or safety. The ORCA app is an informational tool and only affects user convenience, which can be managed via alternative systems.</t>
  </si>
  <si>
    <t>DGS-I_0175</t>
  </si>
  <si>
    <t>The interface links vCharM.Edge with the AC1 automated connection system, enabling safe and automated plug-in, authorisation, and charging initiation for T264 trucks.</t>
  </si>
  <si>
    <t>The criticality level is HIGH because failures can hinder automated charging from starting or cause unsafe electrical behaviour during automated connection events. AC1 systems must receive accurate commands and charger states to manage high-power automated charging safely; loss of the interface may stop automated charging or necessitate unsafe manual workarounds.</t>
  </si>
  <si>
    <t>DGS-I_0176</t>
  </si>
  <si>
    <t>This interface allows the main vCharM system to coordinate charger readiness and authorisation signals with the AC1 automated charging units.</t>
  </si>
  <si>
    <t>The criticality level is HIGH because automated charging of large haul trucks requires precise coordination between control logic and automated hardware. Incorrect or missing data might cause automated systems to fail docking, fail energising, or create unsafe states, which could directly affect production-critical trucks.</t>
  </si>
  <si>
    <t>DGS-I_0177</t>
  </si>
  <si>
    <t>This interface provides HaulX Shield with SME position, proximity, and sensor data to support collision-avoidance logic across mixed traffic.</t>
  </si>
  <si>
    <t>The criticality level is HIGH because incorrect or missing positional data from SMEs may compromise safe autonomous or assisted haulage operations, increasing the risk of vehicle interactions. Collision-avoidance systems depend on reliable position and movement data from all equipment types to ensure safe operation, making this interface safety-critical.</t>
  </si>
  <si>
    <t>DGS-I_0178</t>
  </si>
  <si>
    <t>This interface connects HaulX Control with Heavy Mobile Equipment, enabling autonomous haulage to recognise HME locations, status, and movement patterns when planning and executing safe truck paths.</t>
  </si>
  <si>
    <t>The criticality level is HIGH because autonomous trucks must reliably detect and account for HME to prevent collisions, unsafe routing, or operational blockages. A failure of this interface undermines the situational awareness necessary for autonomous operations, potentially forcing a shutdown of AHS activity.</t>
  </si>
  <si>
    <t>DGS-I_0179</t>
  </si>
  <si>
    <t>This interface enables HaulX Dispatch to receive operational status and availability information from HME to ensure truck assignments, slotting, and cycle planning consider real-time loader and dozer readiness.</t>
  </si>
  <si>
    <t>The criticality level is MEDIUM because, although dispatching can continue without HME data, the quality of assignments decreases, leading to cycle delays and reduced productivity. HME significantly influences haulage throughput, so misalignment may reduce performance, but it does not threaten safety or lead to immediate shutdowns.</t>
  </si>
  <si>
    <t>DGS-I_0180</t>
  </si>
  <si>
    <t>This interface supplies HaulX Shield with LME location, direction, and identification data to keep LME visible within the collision-avoidance system.</t>
  </si>
  <si>
    <t>The criticality level is HIGH because missing or incorrect LME positional data may cause blind spots in safety coverage for autonomous or assisted haulage operations. LME frequently travel through shared areas with haul trucks, and loss of visibility introduces unacceptable collision risk.</t>
  </si>
  <si>
    <t>DGS-I_0181</t>
  </si>
  <si>
    <t>This interface connects HaulX Shield with HME, so collision-avoidance logic can incorporate accurate HME positional, velocity, and sensor data.</t>
  </si>
  <si>
    <t>The criticality level is HIGH because HME regularly interacts with haul trucks during loading, dumping, and maintenance, and failing to detect them accurately could lead to serious safety incidents. Collision-avoidance must integrate both truck and HME movements to ensure safe clearances and prevent vehicle interactions.</t>
  </si>
  <si>
    <t>DGS-I_0182</t>
  </si>
  <si>
    <t>This interface provides precision-guidance data to HME from HaulX Precision, supporting accurate positioning, dump location targeting, and operational efficiency for HME working alongside haul fleets.</t>
  </si>
  <si>
    <t>The criticality level is MEDIUM because precision guidance enhances performance, but does not prevent HME from functioning safely if the link fails. Without the interface, HME operators may experience reduced accuracy or slower cycle performance, but production and safety remain intact.</t>
  </si>
  <si>
    <t>DGS-I_0183</t>
  </si>
  <si>
    <t>This interface provides Support Mobile Equipment with positional or guidance data from HaulX Precision to enhance accuracy during tasks such as clean-up, auxiliary loading, or support operations.</t>
  </si>
  <si>
    <t>The criticality level is LOW because SME can continue performing tasks safely without precision guidance, though with reduced efficiency. While the interface enhances productivity and accuracy, it is not essential for maintaining safe or continuous operations.</t>
  </si>
  <si>
    <t>DGS-I_0184</t>
  </si>
  <si>
    <t>This interface links the drill rig to HaulX Precision so that high-accuracy positional data, drilling parameters, and machine guidance information can be exchanged.</t>
  </si>
  <si>
    <t>The criticality level is MEDIUM because failure results in decreased productivity and accuracy, potentially impacting blasting outcomes. The impact is on precision and efficiency, but safety-critical functions remain operational.</t>
  </si>
  <si>
    <t>DGS-I_0185</t>
  </si>
  <si>
    <t>This interface provides HaulX Dispatch with medium-term production schedules and required haulage movements from APS so the FMS can structure assignments that align with production targets.</t>
  </si>
  <si>
    <t>The criticality level is MEDIUM because failure reduces alignment with production goals and risks mis-prioritisation. The outage may hamper efficiency and planning accuracy, but it does not cause an immediate halt to haulage.</t>
  </si>
  <si>
    <t>DGS-I_0186</t>
  </si>
  <si>
    <t>This interface allows Haul Infinity to send optimised haulage and cycle-time expectations to HaulX Dispatch so the FMS can assign trucks based on the latest planning simulations.</t>
  </si>
  <si>
    <t>The criticality level is MEDIUM because, although the FMS can still dispatch trucks, the process is not optimised. Failure may reduce efficiency, but it does not stop production continuity.</t>
  </si>
  <si>
    <t>DGS-I_0187</t>
  </si>
  <si>
    <t>DGS-I_0188</t>
  </si>
  <si>
    <t>DGS-I_0189</t>
  </si>
  <si>
    <t>DGS-I_0190</t>
  </si>
  <si>
    <t>This interface enables ATS to transmit tactical schedules, production expectations, and operational constraints into LiveWire so the system can represent upcoming operational priorities.</t>
  </si>
  <si>
    <t>The criticality level is LOW because the interface supports planning awareness rather than real-time execution, and outages do not impact immediate production. Without the link, LiveWire loses some context for decision support, but planners can still operate and provide updates manually if needed.</t>
  </si>
  <si>
    <t>DGS-I_0191</t>
  </si>
  <si>
    <t>This interface provides LiveWire with long-term production schedules and sequencing data from APS, helping align its analytics and optimisation with the planned mine output.</t>
  </si>
  <si>
    <t>The criticality level is LOW because APS and LiveWire both continue to operate independently, and any impact is limited to planning accuracy rather than operational continuity. Failure limits automated visibility of planned pathways, which can be managed manually.</t>
  </si>
  <si>
    <t>DGS-I_0192</t>
  </si>
  <si>
    <t>This interface allows Plexos to deliver long-term modelling, forecasted generation schedules, and market-style optimisation inputs to OpenAGC, which oversees short-interval automatic generation control.</t>
  </si>
  <si>
    <t>The criticality level is MEDIUM because although OpenAGC can still operate independently without forward-looking data, the lack of Plexos inputs diminishes optimisation quality and can result in less stable or less efficient generation behaviour. Failure may increase operational costs, but it does not cause immediate outages.</t>
  </si>
  <si>
    <t>DGS-I_0193</t>
  </si>
  <si>
    <t>DGS-I_0194</t>
  </si>
  <si>
    <t>Interface Review 25/11/2025: Delete, energy ops will be interfacting with Delphi</t>
  </si>
  <si>
    <t>DGS-I_0195</t>
  </si>
  <si>
    <t>DGS-I_0196</t>
  </si>
  <si>
    <t>DGS-I_0197</t>
  </si>
  <si>
    <t>Interface Review 25/11/2025: Delete, Plexos is a subsystem of Eclipse and won't be interfacing with Delphi</t>
  </si>
  <si>
    <t>DGS-I_0198</t>
  </si>
  <si>
    <t>This interface provides Energy Operations with real-time power system visibility and operational data from Monarch, enabling the team to oversee generation, storage, and distribution conditions.</t>
  </si>
  <si>
    <t>The criticality level is MEDIUM because Energy Operations relies on the data for situational awareness, but Monarch remains able to operate independently even if the link is lost. Loss of visibility may hamper decision-making and increase the risk of delayed responses to electrical instability, but it does not directly impact energy system control.</t>
  </si>
  <si>
    <t>DGS-I_0199</t>
  </si>
  <si>
    <t>This interface allows Power Projects to provide design, configuration, or commissioning data to Monarch for new or upgraded electrical assets.</t>
  </si>
  <si>
    <t>The criticality level is LOW because failure at this interface does not impact real-time production, safety, or core operational control. It only delays project integration workflows.</t>
  </si>
  <si>
    <t>Power Projects</t>
  </si>
  <si>
    <t>DGS-I_0200</t>
  </si>
  <si>
    <t>The criticality level is HIGH because BESS units are essential for stabilising the electrical network. Failure risks voltage instability, affecting production and safety due to the inability to see and control stored energy.</t>
  </si>
  <si>
    <t>DGS-I_0201</t>
  </si>
  <si>
    <t>This interface provides Monarch with DC-side storage data and operational control inputs for battery units involved in DC energy systems or hybrid energy configurations.</t>
  </si>
  <si>
    <t>The criticality level is MEDIUM because, while BESS-DC still influences energy stability, its effect tends to be more localised or specific to subsystems compared to AC-side BESS. A loss of communication may reduce system insight and responsiveness, but AC systems normally carry a greater load, which limits the immediate operational impact.</t>
  </si>
  <si>
    <t>DGS-I_0202</t>
  </si>
  <si>
    <t>This interface connects long-duration energy storage systems to Monarch so the platform can monitor their capacity, discharge profiles, and availability for extended support during low-generation periods.</t>
  </si>
  <si>
    <t>The criticality level is MEDIUM because, while these systems enhance resilience and decrease dependence on gas or diesel peakers, their temporary failure does not immediately destabilise the electrical network. An outage diminishes the site's capacity to effectively manage extensive energy deficits or peak smoothing, but the short-term power supply usually remains stable through other generation sources.</t>
  </si>
  <si>
    <t>DGS-I_0203</t>
  </si>
  <si>
    <t>This interface provides operational data from mobile battery banks into Monarch, enabling the system to understand available mobile storage capacity and deploy it where needed.</t>
  </si>
  <si>
    <t>The criticality level is LOW because mobile battery banks are supplementary assets, and their loss does not significantly impact site-wide energy stability or production. Failure only reduces flexibility in deploying mobile power.</t>
  </si>
  <si>
    <t>DGS-I_0204</t>
  </si>
  <si>
    <t>This interface links wind generation assets with Monarch, providing real-time generation output, turbine status, and availability.</t>
  </si>
  <si>
    <t>The criticality level is MEDIUM because, although wind significantly contributes to renewable energy supply, its inherent variability means the grid is designed to operate without it temporarily. Failure may affect efficiency, but other sources can typically cover the gap.</t>
  </si>
  <si>
    <t>DGS-I_0205</t>
  </si>
  <si>
    <t>This interface provides Monarch with visibility and performance data from solar PV assets.</t>
  </si>
  <si>
    <t>The criticality level is MEDIUM because the system can operate temporarily without solar input. However, a loss of visibility may decrease energy optimisation quality and result in higher operational costs or increased load on thermal generation, affecting planning accuracy and renewable utilisation, but not immediately threatening the power system.</t>
  </si>
  <si>
    <t>DGS-I_0206</t>
  </si>
  <si>
    <t>This interface allows Monarch to monitor and receive status updates from an 11kV substation, enabling safe and coordinated distribution of electrical power at the low end of the HV network.</t>
  </si>
  <si>
    <t>The criticality level is HIGH because loss of visibility or incorrect data from a substation can impact localised power distribution, disrupt operations, or hinder rapid fault isolation. Substations are vital assets, and communication failures may cause operational downtime or electrical safety issues.</t>
  </si>
  <si>
    <t>DGS-I_0207</t>
  </si>
  <si>
    <t>This interface connects the 22kV substation to Monarch, allowing the system to receive live electrical status, alarms, and operational data used for safe power distribution management.</t>
  </si>
  <si>
    <t>The criticality level is HIGH because losing visibility of a substation at this voltage affects the essential site electrical supply and delays fault response, potentially disrupting production. Substations are key electrical assets, and any loss of monitoring or control can undermine power reliability and operational safety.</t>
  </si>
  <si>
    <t>DGS-I_0208</t>
  </si>
  <si>
    <t>This interface provides Monarch with status and operational data from the 66kV substation, which supports major site electrical loads and distribution feeders.</t>
  </si>
  <si>
    <t>The criticality level is HIGH because the 66kV network supplies major sections of the mine, and the loss of this interface limits visibility into system health and load conditions. Missing or outdated substation data can cause delays in fault management, increase the risk of overload, or lead to unplanned outages affecting vital mining systems.</t>
  </si>
  <si>
    <t>DGS-I_0209</t>
  </si>
  <si>
    <t>This interface links Monarch to the 132kV substation, a primary high-voltage distribution node that feeds major mine infrastructure.</t>
  </si>
  <si>
    <t>The criticality level is HIGH because a failure of this interface removes essential situational awareness of the backbone power supply, increasing the risk of widespread outages. High-voltage substations require constant monitoring to maintain electrical safety and system stability; without this interface, the site cannot effectively manage grid disturbances.</t>
  </si>
  <si>
    <t>DGS-I_0210</t>
  </si>
  <si>
    <t>This interface provides critical 220kV substation data to Monarch, enabling the system to monitor the incoming high-voltage supply that feeds the rest of the mining operation.</t>
  </si>
  <si>
    <t>The criticality level is HIGH because any failure in monitoring or control at this level could affect the entire network, causing widespread operational shutdowns. The 220kV substation is a top-tier electrical asset, and loss of interface visibility significantly increases the risk to the site's power stability and safety.</t>
  </si>
  <si>
    <t>DGS-I_0211</t>
  </si>
  <si>
    <t>This interface connects the 33kV substation to Monarch for monitoring, alarm handling, and operational coordination.</t>
  </si>
  <si>
    <t>The criticality level is HIGH because the 33kV line typically supplies essential operational facilities, workshops, and distributed mining infrastructure; losing this connection may hamper the response to electrical faults and risk unplanned outages. Substation data is vital for safe and stable electrical operations, and its loss raises both operational and safety risks.</t>
  </si>
  <si>
    <t>DGS-I_0212</t>
  </si>
  <si>
    <t>The purpose of this interface is to enable Ignition SCADA to monitor, diagnose, and potentially control the Heavy Mobile Equipment (HME) charging infrastructure across the mine. Through real-time data acquisition, SCADA provides operators with visibility of charger availability, health, electrical conditions, and operational states. Furthermore, depending on the specific charger model and site requirements, this integration may also support remote start/stop commands, the clearing of basic faults, and confirmational feedback on whether the chargers are drawing power as expected._x000D_
Intermediate Elements: HME Charger PLC or gateway, Protocol mapping (registers -&gt; SCADA tags), Ignition SCADA data model, and Alarm engine &amp; historian (optional).</t>
  </si>
  <si>
    <t>The criticality level is MEDIUM because failure affects efficiency and situational awareness; however, depending on whether remote control is enabled, the core charger function may not be impacted. If remote control is enabled, the criticality is HIGH.</t>
  </si>
  <si>
    <t>Data Flow:_x000D_
_x000D_
HME Chargers -&gt; PLC/Protocol Gateway -&gt; OPC/UA (or Modbus TCP, depending on vendor) -&gt; Ignition SCADA_x000D_
_x000D_
Optional (if control enabled):_x000D_
Ignition SCADA -&gt; OPC/UA -&gt; Charger Control Logic (start/stop, reset, availability signalling)</t>
  </si>
  <si>
    <t>NH 11/12/2025: If remote control is enabled, the criticality is HIGH, therefore this interface should be rated as HIGH.</t>
  </si>
  <si>
    <t>DGS-I_0213</t>
  </si>
  <si>
    <t>Delphi - Aggregated Weather Platform for Actuals &amp; Forecasts (HIVE Display)_x000D_
The purpose of this interface is for Delphi to serve as the central aggregated weather platform, combining actual measured weather data and multiple forecast sources into a single operational view. Energy Operations uses Delphi to monitor real-time and near-term weather conditions - such as wind, irradiance, rainfall, and lightning - via a dedicated display screen in the HIVE control room._x000D_
Intermediate Elements: the Delphi weather aggregation platform, Snowflake datasets, and the HIVE visualisation screen.</t>
  </si>
  <si>
    <t>The criticality level is HIGH because reliable, consolidated weather visibility is essential for operational decision-making, forecasting accuracy, and reacting to rapidly changing conditions that affect generation, safety, and dispatch. Failure of this interface causes immediate blindness to changing conditions (e.g., wind gusts or solar drops), risking system instability, inaccurate generation curtailment, or compromising safety protocols (e.g., lightning warnings).</t>
  </si>
  <si>
    <t>Weather APIs &amp; sensors (actuals + forecasts) -&gt; Delphi aggregation platform -&gt; HIVE display for Energy Operations.</t>
  </si>
  <si>
    <t>DGS-I_0214</t>
  </si>
  <si>
    <t>The purpose of this interface is to provide the generator availability for the next 24 hours, which is pulled from Snowflake, specifically for use in short-term planning and the Security-Constrained Unit Commitment (SCUC) process.</t>
  </si>
  <si>
    <t>DGS-I_0215</t>
  </si>
  <si>
    <t>DGS-I_0216</t>
  </si>
  <si>
    <t>The criticality level is MEDIUM because inaccurate simulation inputs can impact planning quality and cause inefficiencies, but they do not affect real-time operations. System failure in this context does not hinder operational dispatch or safety-critical tasks.</t>
  </si>
  <si>
    <t>DGS-I_0217</t>
  </si>
  <si>
    <t>The criticality level is MEDIUM because this interface supports tactical decision-making but is not vital for daily operations. Losing simulation capabilities diminishes planning accuracy and may lead to inefficiencies, although operational fleets can still function normally based on existing plans.</t>
  </si>
  <si>
    <t>DGS-I_0218</t>
  </si>
  <si>
    <t>DGS-I_0219</t>
  </si>
  <si>
    <t>This interface supplies AC1 with environmental and facility-related SCADA data from NPI SCADA, including the status of ventilation, lighting, and auxiliary systems necessary for safe automated charging.</t>
  </si>
  <si>
    <t>The criticality level is MEDIUM because AC1 automated charging can still occur, but without full NPI context, certain safety preconditions (such as ventilation status) may not be verifiable, which can slow down or prevent automated charging sequences. The AC1 depends on NPI SCADA for safe facility conditions, and losing the interface may lead to conservative behaviour or fallback to manual processes.</t>
  </si>
  <si>
    <t>DGS-I_0220</t>
  </si>
  <si>
    <t>This interface allows HaulX Dispatch to receive switchroom status or energisation information relevant to truck charging or operational readiness in areas supplied by SW1+AP1.</t>
  </si>
  <si>
    <t>The criticality level is MEDIUM because, although haulage can continue, the loss of switchroom data might affect charging coordination or route availability. Incorrect or missing electrical-state information can delay charging operations or require manual workarounds, but does not compromise haulage safety.</t>
  </si>
  <si>
    <t>DGS-I_0221</t>
  </si>
  <si>
    <t>DGS-I_0222</t>
  </si>
  <si>
    <t>DGS-I_0223</t>
  </si>
  <si>
    <t>Subsystem - Function Interface</t>
  </si>
  <si>
    <t>This interface transmits fire alarms, suppression system activations, and emergency isolation commands from Fire SCADA to the SW1+AP1 switchroom systems.</t>
  </si>
  <si>
    <t>The criticality level is HIGH because switchrooms contain high-voltage equipment and must respond immediately to fire conditions to prevent catastrophic equipment failure and protect personnel. The significance of this is that missing fire signals could prevent switchrooms from isolating circuits or activating emergency protocols, creating serious electrical and life-safety risks.</t>
  </si>
  <si>
    <t>DGS-I_0224</t>
  </si>
  <si>
    <t>This interface connects the Haulage system with HaulX Control to issue high-level haulage instructions while receiving autonomous truck status, safety events, and mission progress updates.</t>
  </si>
  <si>
    <t>The criticality level is HIGH because if the interface fails, autonomous trucks may lose direction or enter safe-halt states, disrupting haulage activities and potentially blocking main routes. HaulX Control depends on this interface to perform safe autonomous movements aligned with haulage requirements, and a failure could have immediate operational impacts.</t>
  </si>
  <si>
    <t>DGS-I_0225</t>
  </si>
  <si>
    <t>DGS-I_0226</t>
  </si>
  <si>
    <t>Yes</t>
  </si>
  <si>
    <t>Solomon Mine Hub: Thermal Generators</t>
  </si>
  <si>
    <t>Solomon Mine Hub</t>
  </si>
  <si>
    <t>DGS-I_0227</t>
  </si>
  <si>
    <t>Solomon Mine Hub: Substation (33kV)|Solomon Mine Hub: Thermal Generators</t>
  </si>
  <si>
    <t>The criticality level is MEDIUM because this data is essential for simulation accuracy; without it, scenario testing and planning optimisation become less dependable. Losing this interface affects the quality of planning and forecast analysis, but does not impact real-time haulage or production systems.</t>
  </si>
  <si>
    <t>Solomon Mine Hub: Substation (33kV)</t>
  </si>
  <si>
    <t>DGS-I_0228</t>
  </si>
  <si>
    <t>Solomon Mine Hub: Substation (11kV)</t>
  </si>
  <si>
    <t>DGS-I_0229</t>
  </si>
  <si>
    <t>DGS-I_0230</t>
  </si>
  <si>
    <t>Solomon Mine Hub: Substation (132kV)</t>
  </si>
  <si>
    <t>DGS-I_0231</t>
  </si>
  <si>
    <t>Solomon Mine Hub: Substation (220kV)</t>
  </si>
  <si>
    <t>DGS-I_0232</t>
  </si>
  <si>
    <t>Solomon Mine Hub: Substation (33kV)|Solomon Mine Hub: Field Switches</t>
  </si>
  <si>
    <t>Solomon Mine Hub: Field Switches</t>
  </si>
  <si>
    <t>DGS-I_0233</t>
  </si>
  <si>
    <t>This interface supplies vCharM.Edge with power status and energisation information from the Solomon Hub 33kV substation to safely manage local HME charging operations.</t>
  </si>
  <si>
    <t>The criticality level is HIGH because substation visibility is essential for ensuring chargers receive stable power and that fault or outage conditions can be managed safely. Loss of substation data risks unsafe charging conditions or unexpected outages that directly impact fleet charging availability.</t>
  </si>
  <si>
    <t>DGS-I_0234</t>
  </si>
  <si>
    <t>This interface connects the Solomon 33kV substation to Ignition SCADA so operators can monitor its condition, alarms, and switching states.</t>
  </si>
  <si>
    <t>The criticality level is HIGH because substations are essential parts of the HV network, and SCADA visibility is vital for safe electrical operations, quick fault isolation, and maintaining stable power supplies. Without this interface, operators lose real-time awareness of substation conditions, which raises the risk of prolonged outages or unsafe handling of electrical faults.</t>
  </si>
  <si>
    <t>DGS-I_0235</t>
  </si>
  <si>
    <t>Solomon Mine Hub: Field Switches|Solomon Mine Hub: Sub Kiosks</t>
  </si>
  <si>
    <t>Solomon Mine Hub: Sub Kiosks</t>
  </si>
  <si>
    <t>DGS-I_0236</t>
  </si>
  <si>
    <t>This interface allows Ignition SCADA to monitor and control the sub kiosks at Solomon, giving access to breaker states, alarms, and electrical measurements.</t>
  </si>
  <si>
    <t>The criticality level is HIGH because loss of SCADA connectivity can hamper the ability to detect and respond to electrical issues, potentially resulting in unsafe conditions or prolonged downtime. The sub kiosks form part of the essential electrical distribution system, and SCADA visibility is required for safe switching and coordination during faults.</t>
  </si>
  <si>
    <t>From DGS-I_0157 (interface with generic Sub- Kiosk): SCADA Review 30/10/2025:Green substation (in pit sub). 33/6.6kv. Delete, part of substations. To be confirmed._x000D_
05/12/2025: Deleted due to previous comment.</t>
  </si>
  <si>
    <t>DGS-I_0237</t>
  </si>
  <si>
    <t>This interface provides Ignition SCADA with live status and control of field switches at the Solomon Hub, enabling operators to remotely isolate faults, reroute power, and maintain system stability.</t>
  </si>
  <si>
    <t>The criticality level is HIGH because field switches are essential for protecting equipment and maintaining the safety and stability of the power network. Losing this interface may impair the ability to safely isolate equipment and respond to electrical events, increasing the risk of outages or unsafe work conditions.</t>
  </si>
  <si>
    <t>DGS-I_0238</t>
  </si>
  <si>
    <t>DGS-I_0239</t>
  </si>
  <si>
    <t>Solomon Mine Hub: AC Solar Inverter|Solomon Mine Hub: Solar Photovoltaic (PV) Farms</t>
  </si>
  <si>
    <t>Solomon Mine Hub: AC Solar Inverter</t>
  </si>
  <si>
    <t>Solomon Mine Hub: Solar Photovoltaic (PV) Farms</t>
  </si>
  <si>
    <t>DGS-I_0240</t>
  </si>
  <si>
    <t>DGS-I_0241</t>
  </si>
  <si>
    <t>Solomon Mine Hub: Battery Energy Storage Systems (BESS) - AC</t>
  </si>
  <si>
    <t>DGS-I_0242</t>
  </si>
  <si>
    <t>Solomon Mine Hub: Battery Energy Storage Systems (BESS) - DC</t>
  </si>
  <si>
    <t>DGS-I_0243</t>
  </si>
  <si>
    <t>Solomon Mine Hub: Mobile Battery Bank</t>
  </si>
  <si>
    <t>DGS-I_0244</t>
  </si>
  <si>
    <t>Solomon Mine Hub: Battery Energy Storage Systems (BESS) - AC|Solomon Mine Hub: Substation (132kV)</t>
  </si>
  <si>
    <t>DGS-I_0245</t>
  </si>
  <si>
    <t>DGS-I_0246</t>
  </si>
  <si>
    <t>DGS-I_0247</t>
  </si>
  <si>
    <t>DGS-I_0248</t>
  </si>
  <si>
    <t>DGS-I_0249</t>
  </si>
  <si>
    <t>DGS-I_0250</t>
  </si>
  <si>
    <t>Solomon Mine Hub: Solar Photovoltaic (PV) Farms|Solomon Mine Hub: Substation (220kV)</t>
  </si>
  <si>
    <t>DGS-I_0251</t>
  </si>
  <si>
    <t>Solomon Mine Hub: Battery Energy Storage Systems (BESS) - AC|Solomon Mine Hub: Substation (220kV)</t>
  </si>
  <si>
    <t>DGS-I_0252</t>
  </si>
  <si>
    <t>Solomon Mine Hub: Substation (33kV)|Solomon Mine Hub: Mobile Battery Bank</t>
  </si>
  <si>
    <t>DGS-I_0253</t>
  </si>
  <si>
    <t>DGS-I_0254</t>
  </si>
  <si>
    <t>DGS-I_0255</t>
  </si>
  <si>
    <t>DGS-I_0256</t>
  </si>
  <si>
    <t>DGS-I_0257</t>
  </si>
  <si>
    <t>Solomon Mine Hub: Sub Kiosks|Solomon Mine Hub: CCTV</t>
  </si>
  <si>
    <t>Solomon Mine Hub: CCTV</t>
  </si>
  <si>
    <t>DGS-I_0258</t>
  </si>
  <si>
    <t>Solomon Mine Hub: Sub Kiosks|Solomon Mine Hub: Trailing Cable</t>
  </si>
  <si>
    <t>Solomon Mine Hub: Trailing Cable</t>
  </si>
  <si>
    <t>DGS-I_0259</t>
  </si>
  <si>
    <t>Solomon Mine Hub: CCTV|Solomon Mine Hub: AC1</t>
  </si>
  <si>
    <t>Solomon Mine Hub: AC1</t>
  </si>
  <si>
    <t>DGS-I_0260</t>
  </si>
  <si>
    <t>Solomon Mine Hub: Trailing Cable|Solomon Mine Hub: Dewatering Pumps</t>
  </si>
  <si>
    <t>Solomon Mine Hub: Dewatering Pumps</t>
  </si>
  <si>
    <t>DGS-I_0261</t>
  </si>
  <si>
    <t>DGS-I_0262</t>
  </si>
  <si>
    <t>Solomon Mine Hub: Drill Rig|Solomon Mine Hub: Trailing Cable</t>
  </si>
  <si>
    <t>Solomon Mine Hub: Drill Rig</t>
  </si>
  <si>
    <t>DGS-I_0263</t>
  </si>
  <si>
    <t>Solomon Mine Hub: Trailing Cable|Solomon Mine Hub: Excavator [&gt;110t]</t>
  </si>
  <si>
    <t>Solomon Mine Hub: Excavator [&gt;110t]</t>
  </si>
  <si>
    <t>DGS-I_0264</t>
  </si>
  <si>
    <t>Solomon Mine Hub: Trailing Cable|Solomon Mine Hub: HME Chargers</t>
  </si>
  <si>
    <t>Solomon Mine Hub: HME Chargers</t>
  </si>
  <si>
    <t>DGS-I_0265</t>
  </si>
  <si>
    <t>Solomon Mine Hub: Trailing Cable|Solomon Mine Hub: HME Auxilary Chargers</t>
  </si>
  <si>
    <t>Solomon Mine Hub: HME Auxilary Chargers</t>
  </si>
  <si>
    <t>DGS-I_0266</t>
  </si>
  <si>
    <t>Solomon Mine Hub: Trailing Cable|Solomon Mine Hub: LME / SME Chargers</t>
  </si>
  <si>
    <t>Solomon Mine Hub: LME / SME Chargers</t>
  </si>
  <si>
    <t>DGS-I_0267</t>
  </si>
  <si>
    <t>This interface passes fire alarms, suppression events, and emergency isolation commands from Fire SCADA to the SW1+AP1 switchroom at the Solomon Hub.</t>
  </si>
  <si>
    <t>The criticality level is HIGH because switchrooms contain high-voltage equipment and must respond immediately to fire conditions to prevent electrical faults, equipment damage, or danger to personnel. Without fire-system signals, the switchroom may fail to isolate circuits or activate emergency procedures during a fire event, creating significant safety and operational risks.</t>
  </si>
  <si>
    <t>Solomon Mine Hub: SW1+AP1</t>
  </si>
  <si>
    <t>DGS-I_0268</t>
  </si>
  <si>
    <t>Solomon Mine Hub: Haulage</t>
  </si>
  <si>
    <t>DGS-I_0269</t>
  </si>
  <si>
    <t>This interface allows Haulage to exchange operational parameters, routing intentions, and fleet-level decisions with HaulX Dispatch to ensure that trucks are dispatched effectively and aligned with production needs.</t>
  </si>
  <si>
    <t>The criticality level is HIGH because dispatch is a vital operational system. Losing this interface disrupts haul assignment flows and production coordination, causing haulage operations to slow down or become fragmented.</t>
  </si>
  <si>
    <t>DGS-I_0270</t>
  </si>
  <si>
    <t>DGS-I_0271</t>
  </si>
  <si>
    <t>DGS-I_0272</t>
  </si>
  <si>
    <t>Solomon Mine Hub: Heavy Mobile Equipment (HME)</t>
  </si>
  <si>
    <t>DGS-I_0273</t>
  </si>
  <si>
    <t>DGS-I_0274</t>
  </si>
  <si>
    <t>Solomon Mine Hub: Support Mobile Equipment (SME)</t>
  </si>
  <si>
    <t>DGS-I_0275</t>
  </si>
  <si>
    <t>Solomon Mine Hub: Light Mobile Equipment (LME)</t>
  </si>
  <si>
    <t>DGS-I_0276</t>
  </si>
  <si>
    <t>DGS-I_0277</t>
  </si>
  <si>
    <t>DGS-I_0278</t>
  </si>
  <si>
    <t>DGS-I_0279</t>
  </si>
  <si>
    <t>DGS-I_0280</t>
  </si>
  <si>
    <t>Solomon Mine Hub: AC1|Solomon Mine Hub: Haulage</t>
  </si>
  <si>
    <t>DGS-I_0281</t>
  </si>
  <si>
    <t>Solomon Mine Hub: Heavy Mobile Equipment (HME)|Solomon Mine Hub: HME Chargers</t>
  </si>
  <si>
    <t>DGS-I_0282</t>
  </si>
  <si>
    <t>Solomon Mine Hub: Support Mobile Equipment (SME)|Solomon Mine Hub: HME Auxilary Chargers</t>
  </si>
  <si>
    <t>DGS-I_0283</t>
  </si>
  <si>
    <t>Solomon Mine Hub: Light Mobile Equipment (LME)|Solomon Mine Hub: LME / SME Chargers</t>
  </si>
  <si>
    <t>DGS-I_0284</t>
  </si>
  <si>
    <t>This interface connects vCharM.Edge to the AC1 automated charging system at the Solomon Mine Hub, providing the real-time control signals and charger status required for automated plug-in and charging operations.</t>
  </si>
  <si>
    <t>The criticality level is HIGH because the AC1 system relies on accurate, live data from vCharM.Edge to safely start and manage high-power automated charging. Failure could prevent automated charging from beginning, force trucks into manual charging procedures, or create electrical safety hazards during automated connection.</t>
  </si>
  <si>
    <t>From DGS-I_0175 (interface with generic AC1): CSMS Review 30/10/2025: Speak OCPP to a vCharm Edge._x000D_
State, current voltage, car plugged in?_x000D_
Getting back charge auth, charge rate profiles. set charge rate._x000D_
Depending on charger the charger, potentially phoning home to manufacturers cloud.</t>
  </si>
  <si>
    <t>DGS-I_0285</t>
  </si>
  <si>
    <t>This interface allows vCharM to coordinate with the AC1 automated charging hardware at Solomon, controlling charger readiness, authorisation, and energy delivery to haul trucks.</t>
  </si>
  <si>
    <t>The criticality level is HIGH because the AC1 system requires correct instructions from vCharM to dock, energise, and manage charging cycles safely. Incorrect or missing data can result in failed automated charging sequences, production losses, or unsafe electrical states affecting critical equipment.</t>
  </si>
  <si>
    <t>From DGS-I_0176 (interface with generic AC1): CSMS Review 30/10/2025: Standard OCPP Comms between (Open Charge Point Protocol).</t>
  </si>
  <si>
    <t>DGS-I_0286</t>
  </si>
  <si>
    <t>Solomon Mine Hub: Chargers</t>
  </si>
  <si>
    <t>DGS-I_0287</t>
  </si>
  <si>
    <t>Solomon Mine Hub: Run of Mine (ROM)|Solomon Mine Hub: Primary Crusher</t>
  </si>
  <si>
    <t>Solomon Mine Hub: Run of Mine (ROM)</t>
  </si>
  <si>
    <t>Solomon Mine Hub: Primary Crusher</t>
  </si>
  <si>
    <t>DGS-I_0288</t>
  </si>
  <si>
    <t>Solomon Mine Hub: Primary Crusher|Solomon Mine Hub: Coarse Ore Stockpile (COS)</t>
  </si>
  <si>
    <t>Solomon Mine Hub: Coarse Ore Stockpile (COS)</t>
  </si>
  <si>
    <t>DGS-I_0289</t>
  </si>
  <si>
    <t>Solomon Mine Hub: Coarse Ore Stockpile (COS)|Solomon Mine Hub: Ore Processing Facility (OPF)</t>
  </si>
  <si>
    <t>Solomon Mine Hub: Ore Processing Facility (OPF)</t>
  </si>
  <si>
    <t>DGS-I_0290</t>
  </si>
  <si>
    <t>Solomon Mine Hub: Ore Stockpile|Solomon Mine Hub: Ore Processing Facility (OPF)</t>
  </si>
  <si>
    <t>Solomon Mine Hub: Ore Stockpile</t>
  </si>
  <si>
    <t>DGS-I_0291</t>
  </si>
  <si>
    <t>Solomon Mine Hub: Ore Stockpile|Solomon Mine Hub: Train Load Out (TLO)</t>
  </si>
  <si>
    <t>Solomon Mine Hub: Train Load Out (TLO)</t>
  </si>
  <si>
    <t>DGS-I_0292</t>
  </si>
  <si>
    <t>This interface connects large excavators at the Solomon Mine Hub to LMS so the machines receive real-time electrical load constraints and power availability information, ensuring operation within safe network limits.</t>
  </si>
  <si>
    <t>The criticality level is MEDIUM because the loss of this interface may require operators to reduce auxiliary power use or temporarily limit operations, but excavation and loading can still continue. The interface helps balance heavy electrical load demands, but failure does not prevent excavators from working; it only reduces efficiency and situational awareness.</t>
  </si>
  <si>
    <t>DGS-I_0293</t>
  </si>
  <si>
    <t>DGS-I_0294</t>
  </si>
  <si>
    <t>DGS-I_0295</t>
  </si>
  <si>
    <t>DGS-I_0296</t>
  </si>
  <si>
    <t>HV Transmission lines PEC # [W. Hub - SOL]|Eliwana Mine: Substation (33kV)</t>
  </si>
  <si>
    <t>HV Transmission lines PEC # [W. Hub - SOL]</t>
  </si>
  <si>
    <t>PEC # [W. Hub - SOL]</t>
  </si>
  <si>
    <t>Eliwana Mine: Substation (33kV)</t>
  </si>
  <si>
    <t>Eliwana Mine</t>
  </si>
  <si>
    <t>DGS-I_0297</t>
  </si>
  <si>
    <t>HV Transmission lines PEC # [W. Hub - SOL]|Solomon Mine Hub: Substation (220kV)</t>
  </si>
  <si>
    <t>DGS-I_0298</t>
  </si>
  <si>
    <t>HV Transmission lines PEC # [SOL - LBD]|Solomon Mine Hub: Substation (220kV)</t>
  </si>
  <si>
    <t>HV Transmission lines PEC # [SOL - LBD]</t>
  </si>
  <si>
    <t>PEC # [SOL - LBD]</t>
  </si>
  <si>
    <t>DGS-I_0299</t>
  </si>
  <si>
    <t>This interface provides drill rigs at the Solomon Mine Hub with real-time load limits and power-availability signals from LMS so drilling activities do not exceed electrical capacity.</t>
  </si>
  <si>
    <t>The criticality level is MEDIUM because, while drilling can continue, it may need to be throttled or paused if power conditions cannot be verified. LMS prevents electrical overloading and helps maintain safe operating conditions for drill rigs; losing the interface reduces safety margins and may cause operational inefficiencies, but not a complete loss of production.</t>
  </si>
  <si>
    <t>DGS-I_0300</t>
  </si>
  <si>
    <t>This interface provides the AC1 automated charging system at Solomon with NPI SCADA data, such as ventilation, building services, and auxiliary facility conditions that must be verified before high-power automated charging occurs.</t>
  </si>
  <si>
    <t>The criticality level is MEDIUM because the loss of this interface may prevent AC1 from completing automated charging cycles or cause it to switch to conservative fallback modes, but manual charging is still possible. NPI conditions affect safe charging procedures, and without this data, AC1 might stop or delay automated sequences to prevent risk.</t>
  </si>
  <si>
    <t>DGS-I_0301</t>
  </si>
  <si>
    <t>HV Transmission lines PEC # [W. Hub - SOL]|Flying Fish Mine: Substation (33kV)</t>
  </si>
  <si>
    <t>Flying Fish Mine: Substation (33kV)</t>
  </si>
  <si>
    <t>Flying Fish Mine</t>
  </si>
  <si>
    <t>DGS-I_0302</t>
  </si>
  <si>
    <t>HV Transmission lines PEC # [Iron Bridge - Port]|Iron Bridge Mine: Substation (220kV)</t>
  </si>
  <si>
    <t>HV Transmission lines PEC # [Iron Bridge - Port]</t>
  </si>
  <si>
    <t>PEC # [Iron Bridge - Port Hedland]</t>
  </si>
  <si>
    <t>Iron Bridge Mine: Substation (220kV)</t>
  </si>
  <si>
    <t>Iron Bridge Mine</t>
  </si>
  <si>
    <t>DGS-I_0303</t>
  </si>
  <si>
    <t>HV Transmission lines PEC # [SOL - LBD]|Lambda Junction (LBD): Substation (220kV)</t>
  </si>
  <si>
    <t>Lambda Junction (LBD): Substation (220kV)</t>
  </si>
  <si>
    <t>Lambda Junction (LBD)</t>
  </si>
  <si>
    <t>DGS-I_0304</t>
  </si>
  <si>
    <t>HV Transmission lines PEC # [LBD - Iron Bridge]|Iron Bridge Mine: Substation (220kV)</t>
  </si>
  <si>
    <t>HV Transmission lines PEC # [LBD - Iron Bridge]</t>
  </si>
  <si>
    <t>PEC # [LBD - Iron Bridge]</t>
  </si>
  <si>
    <t>DGS-I_0305</t>
  </si>
  <si>
    <t>HV Transmission lines PEC # [Iron Bridge - Port]|Port Hedland: Substation (220kV)</t>
  </si>
  <si>
    <t>Port Hedland: Substation (220kV)</t>
  </si>
  <si>
    <t>Port Hedland</t>
  </si>
  <si>
    <t>DGS-I_0306</t>
  </si>
  <si>
    <t>HV Transmission lines PEC # [LBD - Iron Bridge]|Lambda Junction (LBD): Substation (220kV)</t>
  </si>
  <si>
    <t>DGS-I_0307</t>
  </si>
  <si>
    <t>Lambda Junction (LBD): Substation (220kV)|HV Transmission lines PEC # [LBD - CLB]</t>
  </si>
  <si>
    <t>HV Transmission lines PEC # [LBD - CLB]</t>
  </si>
  <si>
    <t>PEC # [LBD - CLB]</t>
  </si>
  <si>
    <t>DGS-I_0308</t>
  </si>
  <si>
    <t>HV Transmission lines PEC # [LBD - CLB]|Cloudbreak Mine: Substation (220kV)</t>
  </si>
  <si>
    <t>Cloudbreak Mine: Substation (220kV)</t>
  </si>
  <si>
    <t>Cloudbreak Mine</t>
  </si>
  <si>
    <t>DGS-I_0309</t>
  </si>
  <si>
    <t>HV Transmission lines PEC # [CLB - CCK]|Cloudbreak Mine: Substation (220kV)</t>
  </si>
  <si>
    <t>HV Transmission lines PEC # [CLB - CCK]</t>
  </si>
  <si>
    <t>PEC # [CLB - CCK]</t>
  </si>
  <si>
    <t>DGS-I_0310</t>
  </si>
  <si>
    <t>HV Transmission lines PEC # [CLB - CCK]|Christmas Creek Mine: Substation (220kV)</t>
  </si>
  <si>
    <t>Christmas Creek Mine: Substation (220kV)</t>
  </si>
  <si>
    <t>Christmas Creek Mine</t>
  </si>
  <si>
    <t>DGS-I_0311</t>
  </si>
  <si>
    <t>HV Transmission lines PEC # [CCK - BDN]|Christmas Creek Mine: Substation (220kV)</t>
  </si>
  <si>
    <t>HV Transmission lines PEC # [CCK - BDN]</t>
  </si>
  <si>
    <t>PEC # [CCK - BDN]</t>
  </si>
  <si>
    <t>DGS-I_0312</t>
  </si>
  <si>
    <t>HV Transmission lines PEC # [CCK - BDN]|Bonney Downs: Substation (220kV)</t>
  </si>
  <si>
    <t>Bonney Downs: Substation (220kV)</t>
  </si>
  <si>
    <t>Bonney Downs</t>
  </si>
  <si>
    <t>DGS-I_0313</t>
  </si>
  <si>
    <t>HV Transmission lines PEC # [NYD - CLB]|Cloudbreak Mine: Substation (220kV)</t>
  </si>
  <si>
    <t>HV Transmission lines PEC # [NYD - CLB]</t>
  </si>
  <si>
    <t>PEC # [NYD - CLB]</t>
  </si>
  <si>
    <t>DGS-I_0314</t>
  </si>
  <si>
    <t>HV Transmission lines PEC # [NYD - CLB]|Nyidinghu Hub: Substation (33kV)</t>
  </si>
  <si>
    <t>Nyidinghu Hub: Substation (33kV)</t>
  </si>
  <si>
    <t>Nyidinghu Hub</t>
  </si>
  <si>
    <t>DGS-I_0315</t>
  </si>
  <si>
    <t>DGS-I_0316</t>
  </si>
  <si>
    <t>DGS-I_0317</t>
  </si>
  <si>
    <t>DGS-I_0318</t>
  </si>
  <si>
    <t>Decarbonisation Delivery</t>
  </si>
  <si>
    <t>DGS-I_0319</t>
  </si>
  <si>
    <t>DGS-I_0320</t>
  </si>
  <si>
    <t>DGS-I_0321</t>
  </si>
  <si>
    <t>This interface provides Mining Operations with operational visibility, production insights, and real-time haulage status from HaulX so supervisors can coordinate dig, dump, and fleet priorities.</t>
  </si>
  <si>
    <t>The criticality level is MEDIUM because, while the link is vital for efficient coordination, haulage can continue even if Mining Operations temporarily lose visibility. An outage affects decision-making speed and alignment with production goals, rather than safety or the continuous operation of the haul fleet.</t>
  </si>
  <si>
    <t>DGS-I_0322</t>
  </si>
  <si>
    <t>This interface allows HaulX to share real-time haulage performance, fleet locations, production status, and operational insights with HIVE so supervisors and planners can monitor fleet behaviour and make informed decisions.</t>
  </si>
  <si>
    <t>The criticality level is LOW because this interface supports visibility and decision support rather than direct operational control. If the interface fails, haulage continues normally, but HIVE users lose live oversight, reducing coordination efficiency and situational awareness.</t>
  </si>
  <si>
    <t>DGS-I_0323</t>
  </si>
  <si>
    <t>Functional</t>
  </si>
  <si>
    <t>This interface enables Operations Planning to provide HaulX with medium-term production expectations, dig priorities, and operational targets so fleet dispatch aligns with the upcoming plan.</t>
  </si>
  <si>
    <t>The criticality level is LOW because, while alignment with medium-term production goals will be reduced, dispatching can continue without planning context. Loss of this interface affects planning accuracy and operational efficiency but does not interrupt haulage or create safety risks.</t>
  </si>
  <si>
    <t>DGS-I_0324</t>
  </si>
  <si>
    <t>DGS-I_0325</t>
  </si>
  <si>
    <t>Snowflake BAZ TBC</t>
  </si>
  <si>
    <t>Weather Actuals - 15-Year Historical Weather Dataset (Snowflake)_x000D_
The purpose of this interface is to provide up to 15 years of historical weather data - including rain, wind, lightning, and other key variables - via Snowflake through the Weather Actuals system. Eclipse uses this long-term dataset to train and validate forecasting models, analyse historical patterns, and support long-term operational and strategic planning.</t>
  </si>
  <si>
    <t>The criticality level is HIGH because a deep and accurate historical weather record is essential for building reliable forecasting models. Failure compromises long-term operational and strategic planning decisions.</t>
  </si>
  <si>
    <t>Weather Actuals Snowflake dataset -&gt; Delphi/Eclipse Snowflake (uni-directional).</t>
  </si>
  <si>
    <t>DGS-I_0326</t>
  </si>
  <si>
    <t>External Government</t>
  </si>
  <si>
    <t>Delphi data transfer through Snowflake (BOM API)_x000D_
The purpose of this interface is to provide Eclipse with up-to-date Bureau of Meteorology (BOM) weather forecasts and actuals to support the short-term planning cycle (up to 48 hours ahead) and to build long-term planning models from historical data. This weather data includes wind, solar, rain, and lightning. Additionally, Elysia Battery Energy Storage System (BESS) state of charge (SoC) actuals are provided to Delphi to support operational decisions regarding charging, discharging, and curtailment.</t>
  </si>
  <si>
    <t>The criticality level is HIGH because failure to receive timely BOM forecast and actual weather data will cause near- and long-term mine plans to be inaccurate, severely compromising planning feasibility.</t>
  </si>
  <si>
    <t>BOM API -&gt; Delphi (ingest/aggregation) -&gt; Delphi Snowflake database -&gt; Eclipse Snowflake database (uni-directional).</t>
  </si>
  <si>
    <t>DGS-I_0327</t>
  </si>
  <si>
    <t>External Vendor</t>
  </si>
  <si>
    <t>Solstice AI - North Star Junction Irradiance Forecasting_x000D_
The purpose of this interface is for Solstice AI to provide high-resolution solar irradiance forecasting for the North Star Junction site to support short-term operational decision-making. These forecasts will specifically help operators to anticipate changes in solar generation, adjust dispatch, and manage Battery Energy Storage System (BESS) behaviour proactively.</t>
  </si>
  <si>
    <t>The criticality level is HIGH because accurate near-term irradiance forecasts are essential for reliable solar output planning and maintaining stability of site operations. Failure risks incorrect dispatch and management of BESS behaviour.</t>
  </si>
  <si>
    <t>Solstice AI service -&gt; Solstice AI Snowflake dataset -&gt; Delphi/Eclipse Snowflake (uni-directional).</t>
  </si>
  <si>
    <t>DGS-I_0328</t>
  </si>
  <si>
    <t>Weatherzone Snowflake BAZ owner</t>
  </si>
  <si>
    <t>The criticality level is HIGH because timely rain and lightning forecasts are essential for maintaining safe and reliable operational planning. Failure risks safety and prevents proactive adjustment of site activities during volatile weather.</t>
  </si>
  <si>
    <t>Weatherzone Snowflake dataset -&gt; Delphi/Eclipse Snowflake (uni-directional).</t>
  </si>
  <si>
    <t>251125 NH: same as DGS-I_0001?</t>
  </si>
  <si>
    <t>DGS-I_0329</t>
  </si>
  <si>
    <t>Energy Operations Kareema Ramli</t>
  </si>
  <si>
    <t>Atevia PI - North Star Junction Solar Irradiance Actuals_x000D_
The purpose of this interface is for Eclipse to consume real-time and historical irradiance (W/m2) measurements provided by the Atevia PI web API from the North Star Junction solar farm. Eclipse uses this data to understand actual solar resource availability, validate forecast performance, and support short-term operational decisions for solar generation and Battery Energy Storage System (BESS) management.</t>
  </si>
  <si>
    <t>The criticality level is HIGH because accurate irradiance actuals are essential for near-term operational awareness, forecast validation, and reliable solar generation planning. Failure can compromise short-term operational decisions.</t>
  </si>
  <si>
    <t>Atevia PI Web API -&gt; Delphi ingestion -&gt; Delphi Snowflake (uni-directional).</t>
  </si>
  <si>
    <t>DGS-I_0330</t>
  </si>
  <si>
    <t>The criticality level is HIGH because accurate and timely wind forecasts are essential for maintaining reliable operational planning. Failure risks safety considerations and prevents proactive management of wind-sensitive generation.</t>
  </si>
  <si>
    <t>Vaisala Wind Forecast API -&gt; Delphi ingest -&gt; Delphi Snowflake (uni-directional).</t>
  </si>
  <si>
    <t>Vaisala</t>
  </si>
  <si>
    <t>DGS-I_0331</t>
  </si>
  <si>
    <t>Steve Alilovic, Wind engineering team</t>
  </si>
  <si>
    <t>Wind Actuals - Field Measurement Data (Multiple Heights)_x000D_
The purpose of this interface is to allow Delphi to collect wind actuals from on-site field instruments, which provide measured wind speeds at multiple heights. Delphi uses this data to validate wind forecasts, support operational decision-making, and improve modelling accuracy for short-term planning.</t>
  </si>
  <si>
    <t>The criticality level is HIGH because accurate multi-height wind measurements are essential for validating forecast models and supporting reliable near-term operational planning. Failure compromises modelling accuracy.</t>
  </si>
  <si>
    <t>Field wind measurement systems -&gt; Wind Actuals Snowflake -&gt; Delphi ingest -&gt; Delphi Snowflake (uni-directional).</t>
  </si>
  <si>
    <t>DGS-I_0332</t>
  </si>
  <si>
    <t>The criticality level is HIGH because independent, high-quality wind forecasts are important for validating internal models and reducing forecast risk. Failure impacts the reliability of generation and curtailment strategies.</t>
  </si>
  <si>
    <t>DNV wind forecast feed/API -&gt; Delphi ingest -&gt; Delphi Snowflake (uni-directional).</t>
  </si>
  <si>
    <t>DNV</t>
  </si>
  <si>
    <t>DGS-I_0333</t>
  </si>
  <si>
    <t>The criticality level is HIGH because accurate and timely SoC information is essential for safe and efficient BESS operation, energy optimisation, and maintaining system stability. Failure compromises operational decision-making.</t>
  </si>
  <si>
    <t>Atevia Web API (Elysia BESS data) -&gt; Delphi ingest -&gt; Delphi Snowflake (uni-directional).</t>
  </si>
  <si>
    <t>DGS-I_0334</t>
  </si>
  <si>
    <t>DGS-I_0335</t>
  </si>
  <si>
    <t>MECO data transfer through Snowflake _x000D_
The purpose of this interface is to facilitate the transfer of MECO data through Snowflake to understand the amount of power required to run the Optimal Power Flow (OPF). Specifically, the data transferred includes OPF Coefficients and upcoming loads necessary for the OPF calculation. Additionally, NPI-related loads are also included in this data transfer._x000D_
Intermediate Elements: Snowflake.</t>
  </si>
  <si>
    <t>The criticality level is HIGH because failure to receive timely OPF load data will cause near and long-term mine plans to be inaccurate. This severely compromises planning feasibility and execution.</t>
  </si>
  <si>
    <t>Uni-directional -&gt; MECO Snowflake database -&gt; Eclipse Snowflake database.</t>
  </si>
  <si>
    <t>DGS-I_0336</t>
  </si>
  <si>
    <t>Energy Operations - Gas Usage Data for Forecasting &amp; Future Modelling_x000D_
The purpose of this interface is to enable Energy Operations to provide gas usage data to Eclipse to support the modelling of current and future gas demand. This dataset enables planners to understand how much gas is being consumed, identify usage trends, and forecast future requirements for both operational and strategic planning._x000D_
Intermediate Elements: Snowflake (storage and analysis layer for gas usage data).</t>
  </si>
  <si>
    <t>The criticality level is HIGH because accurate gas usage information is essential for forecasting future demand and ensuring adequate supply. Failure compromises long-term energy planning across the site.</t>
  </si>
  <si>
    <t>Energy Operations gas usage data -&gt; Eclipse ingest -&gt; Eclipse Snowflake (uni-directional).</t>
  </si>
  <si>
    <t>DGS-I_0337</t>
  </si>
  <si>
    <t>Mining Operations - Site Shutdown Calendar Data_x000D_
The purpose of this interface is to allow Eclipse to receive shutdown calendar data from Mining Operations so that planners can accurately account for site-wide shutdowns, maintenance windows, and operational restrictions. This information ensures that forecasting, energy planning, and production modelling accurately reflect periods when generation, access, or equipment availability is reduced or halted._x000D_
Intermediate Elements: Snowflake (storage and query layer for shutdown calendar events).</t>
  </si>
  <si>
    <t>The criticality level is HIGH because accurate shutdown schedules are essential for realistic planning and production modelling. Failure leads to overestimation of production and misalignment with actual site availability.</t>
  </si>
  <si>
    <t>Mining Operations shutdown calendar -&gt; Eclipse ingest -&gt; Eclipse Snowflake (uni-directional).</t>
  </si>
  <si>
    <t>DGS-I_0338</t>
  </si>
  <si>
    <t>Load Management System - PLC-Controlled Integration with vCharm Vector (Charging Station Management System)_x000D_
The purpose of this interface is to allow the load management system, which uses PLCs to control and coordinate electrical loads on site, to integrate with the vCharm Vector Charging Station Management System to ensure safe and efficient distribution of available power. This integration manages EV and equipment charging demand by balancing charging schedules with real-time site load conditions and operational priorities._x000D_
Intermediate Elements: PLCs, Load Management System, vCharm Vector Charging Station Management System.</t>
  </si>
  <si>
    <t>The criticality level is HIGH because accurate coordination between PLC-controlled loads and the charging system is essential for avoiding overloads and maintaining power stability. Failure risks production delays by disrupting vehicle charging when required.</t>
  </si>
  <si>
    <t>DGS-I_0339</t>
  </si>
  <si>
    <t>Alex Weston</t>
  </si>
  <si>
    <t>LiveWire -&gt; Fortescue Maps (GIS) - ArcGIS Token &amp; Map Tile Integration_x000D_
The purpose of this interface is to facilitate LiveWire's integration with Fortescue Maps (ArcGIS) to provide geospatial visualisations such as network layouts, cable paths, equipment locations, and pit spatial data. The UI requires secure access to ArcGIS map tiles, which is managed through token-based authentication handled by the LiveWire backend._x000D_
Intermediate Elements: LiveWire backend (token broker), ArcGIS API (Fortescue Maps), and LiveWire UI map viewer.</t>
  </si>
  <si>
    <t>The criticality level is HIGH because reliable map tile access is essential for accurate spatial awareness, visualising network infrastructure, and supporting operational safety and planning within LiveWire. Failure may cause immediate loss of positional context for all cable assets and prevent safe, coordinated field operations.</t>
  </si>
  <si>
    <t>Data Flow (HTTP Requests):_x000D_
_x000D_
LiveWire UI requests an ArcGIS access token from the LiveWire API._x000D_
_x000D_
LiveWire backend acquires a valid token from the ArcGIS API and returns it to the UI._x000D_
_x000D_
UI requests ArcGIS map tiles (TileLayer) directly from the ArcGIS API using this token until expiry._x000D_
_x000D_
When the token expires, the UI requests a refreshed token from the LiveWire API.</t>
  </si>
  <si>
    <t>Meeting Remarks 02/12/2025: A degree of redundancy may be required, with the option to revert to the Google Maps API view. The existing interface can still be used in this fallback mode. If ArcGIS becomes unavailable, operations will shift to the Google Maps API view to maintain continuity.</t>
  </si>
  <si>
    <t>DGS-I_0340</t>
  </si>
  <si>
    <t>Michael Chambers (Technical)</t>
  </si>
  <si>
    <t>LiveWire -&gt; HaulX - Asset Position &amp; Exclusion Zone Data (Snowflake Integration)_x000D_
The purpose of this interface is for LiveWire to consume the real-time asset position data and defined exclusion zones provided by HaulX, the autonomous driving system, which supports operational safety and spatial awareness. If HaulX exposes these datasets through Snowflake, LiveWire can use them to display live autonomous vehicle locations and identify restricted areas, thereby supporting safe cable routing, switching operations, and field planning._x000D_
Intermediate Elements: HaulX Snowflake shared dataset, LiveWire spatial layer, GIS map overlays.</t>
  </si>
  <si>
    <t>The criticality level is MEDIUM because accurate vehicle positions and exclusion zones are essential for field safety and preventing conflicts. Failure may degrade reliable situational awareness, but it is not immediately production-critical.</t>
  </si>
  <si>
    <t>Data Flow:_x000D_
HaulX Snowflake table/view (asset positions, exclusion zones) -&gt; LiveWire ingest -&gt; LiveWire geospatial visualisation.</t>
  </si>
  <si>
    <t>Meeting Remarks 02/12/2025: There is an emerging idea for LiveWire to expose cable run information back into MineStar and HaulX, enabling cross-system checks and balances. A hazard assessment will be required for this part of the process, particularly for any workflow in which a person is responsible for approving the ingestion and use of data exchanged between the systems.</t>
  </si>
  <si>
    <t>DGS-I_0341</t>
  </si>
  <si>
    <t>Nicolas Alberto</t>
  </si>
  <si>
    <t>GPS Sensors &lt;-&gt; LiveWire - Cable Coupler &amp; Infrastructure Location Tracking_x000D_
The purpose of this interface is to use GPS sensors, mounted on cable couplers and potentially on key assets such as towers, in-pit switches, and other cable infrastructure, to provide accurate real-time location tracking. LiveWire consumes this GPS data to maintain an up-to-date spatial view of cable positions across the site. If GPS sensors fail or communications drop, operators can manually update cable locations directly in LiveWire. LiveWire will also assist in diagnosing failure modes by identifying whether a specific gateway, sensor, or wider network segment has gone offline._x000D_
Intermediate Elements: GPS sensor hardware, telemetry/gateway network, LiveWire ingest service, and LiveWire spatial map.</t>
  </si>
  <si>
    <t>The criticality level is HIGH because accurate cable location tracking is essential for safe pit operations, avoiding cable strikes, and supporting switching operations. Failure compromises safety and rapid fault detection.</t>
  </si>
  <si>
    <t>Data Flow:_x000D_
GPS sensors (couplers, infra, switches) -&gt; Gateway/telemetry layer -&gt; LiveWire ingest -&gt; LiveWire geospatial visualisation._x000D_
Fallback: manual location updates in LiveWire UI.</t>
  </si>
  <si>
    <t>DGS-I_0342</t>
  </si>
  <si>
    <t>LiveWire &lt;-&gt; MineStar - Cable Layers, Exclusion Zones &amp; Cavity Visibility_x000D_
The purpose of this interface is to integrate LiveWire with MineStar to access cable layer data, exclusion zones, and geospatial safety information, specifically concerning areas like cavity or surface instability areas where ground crust may not support personnel. This data provides operators and planners with accurate spatial awareness, thereby improving safety when routing cables, planning field work, and managing electrical infrastructure around active mining areas._x000D_
Intermediate Elements: MineStar API, MineStar Snowflake database, LiveWire spatial and safety visualisation layers.</t>
  </si>
  <si>
    <t>The criticality level is HIGH because reliable MineStar data is essential for ensuring cables are routed safely and maintaining exclusion zone compliance. Failure risks serious safety incidents and the need for major operational replanning.</t>
  </si>
  <si>
    <t>Data Flow:_x000D_
MineStar APIs / Snowflake datasets (cable layers, exclusion zones, cavity/surface integrity data) -&gt; LiveWire ingest -&gt; LiveWire geospatial visualisation.</t>
  </si>
  <si>
    <t>Meeting Remarks 02/12/2025: A potential safety risk arises from MineStar rather than LiveWire, as vehicles may be notified of a no-go zone._x000D_
For the time being, the team has pivoted to focus on MineStar, including extracting the cable layer data from MineStar, integrating exclusion zones, working with available APIs, and connecting to the Snowflake databases._x000D_
Improved visibility of the cavity is required, as the surface crust is not strong enough to safely support personnel._x000D_
_x000D_
NH 04/12/2025: Note MineStar was archived as a result of the comment 'Archive - N/A for current SA' from DGS_SBS-WBS_Comparison_20251001(JV2025.10.06). MineStar is now reinstated, and DGS-I_0342 was created between it and LiveWire.</t>
  </si>
  <si>
    <t>DGS-I_0343</t>
  </si>
  <si>
    <t>This interface provides real-time operational data from fixed plant control systems for calculating actual loads.</t>
  </si>
  <si>
    <t>The criticality level is HIGH because failure prevents accurate real-time load assessment, which is essential for load curtailment and control decisions. Failure risks serious safety incidents and the need for major operational replanning.</t>
  </si>
  <si>
    <t>DGS-I_0344</t>
  </si>
  <si>
    <t>This interface supplies operational data for ground-truth load for plan/forecast vs. actual load calculations.</t>
  </si>
  <si>
    <t>DGS-I_0345</t>
  </si>
  <si>
    <t>DGS-I_0346</t>
  </si>
  <si>
    <t>This interface supplies data for calculating HME load profiles (fleet simulations).</t>
  </si>
  <si>
    <t>The criticality level is MEDIUM because failure means Eclipse cannot run energy feasibility checks, and Mine Controllers cannot manage curtailment, directly preventing Mission Success. While serious, failure does not immediately risk a major safety incident.</t>
  </si>
  <si>
    <t>DGS-I_0347</t>
  </si>
  <si>
    <t>This interface supplies aggregated results warehoused in Snowflake, making them available for consumption by other applications and reporting users.</t>
  </si>
  <si>
    <t>The criticality level is LOW because failure impacts the ability of external teams to perform secondary analysis but has no measurable immediate impact on planning or control functions.</t>
  </si>
  <si>
    <t>DGS-I_0348</t>
  </si>
  <si>
    <t>This interface sources the 10-Year long-term mine plan from a local file when running the long-term horizon scenario.</t>
  </si>
  <si>
    <t>The criticality level is MEDIUM because its failure primarily impacts strategic studies, not the immediate reliability of the system, forcing planners to use outdated data. While serious for long-term strategic planning, failure does not immediately risk a major safety incident.</t>
  </si>
  <si>
    <t>DGS-I_0349</t>
  </si>
  <si>
    <t>This interface sources synthesised weather data (wind, solar) as capacity factors (CFs). This time-series data is used to generate the hourly renewable generation profiles for Sienna.</t>
  </si>
  <si>
    <t>DGS-I_0350</t>
  </si>
  <si>
    <t>This interface provides data on Overhead Lines before substations for visualisation and context on the map interface.</t>
  </si>
  <si>
    <t>The criticality level is LOW because it supports visualisation and contextual awareness, but does not impact core cable planning or safety functions directly.</t>
  </si>
  <si>
    <t>DGS-I_0351</t>
  </si>
  <si>
    <t>This interface exposes the entire Livewire database via HVR replication to Snowflake, enabling downstream reporting and view creation.</t>
  </si>
  <si>
    <t>The criticality level is LOW because failure impacts external analytics but does not halt the operation or management of cabled assets.</t>
  </si>
  <si>
    <t>DGS-I_0352</t>
  </si>
  <si>
    <t>DGS-I_0353</t>
  </si>
  <si>
    <t>DGS-I_0354</t>
  </si>
  <si>
    <t>ID</t>
  </si>
  <si>
    <t>Version</t>
  </si>
  <si>
    <t>Date</t>
  </si>
  <si>
    <t>Author</t>
  </si>
  <si>
    <t>Update / Issue</t>
  </si>
  <si>
    <t>Update / Issue Summary</t>
  </si>
  <si>
    <t>Issue Response</t>
  </si>
  <si>
    <t>Issue Status</t>
  </si>
  <si>
    <t>0.13.1</t>
  </si>
  <si>
    <t>Neil Hall</t>
  </si>
  <si>
    <t>Update</t>
  </si>
  <si>
    <t>Checked the register, made corrections, and updated affected diagrams.</t>
  </si>
  <si>
    <t>-</t>
  </si>
  <si>
    <t xml:space="preserve">Taken off the Status filter, so all deleted and simplified interfaces are showing. 
Without the filter, users should consider that if an interface is simplified, there will be other interface(s) sitting below it. </t>
  </si>
  <si>
    <t>Glossary updated.</t>
  </si>
  <si>
    <t>Issue</t>
  </si>
  <si>
    <t>DGS-I_0019: A.01.03 Delphi|A.01.01 Eclipse has been given a detailed description, but the related detailed interfaces DGS-I_0121, DGS-I_0196, and DGS-I_0197 are deleted.</t>
  </si>
  <si>
    <t>Open</t>
  </si>
  <si>
    <t xml:space="preserve">DGS-I_0022: (CSMS) was flagged for deletion in the diagram, but described in the register.
</t>
  </si>
  <si>
    <t>DGS-I_0022 confirmed as deleted.</t>
  </si>
  <si>
    <t>Resolved</t>
  </si>
  <si>
    <t>New interfaces added: DGS-I_0339, DGS-I_0340, DGS-I_0341 &amp; DGS-I_0342.</t>
  </si>
  <si>
    <t>Confirmed interfaces added</t>
  </si>
  <si>
    <t>Interfaces deleted: DGS-I_0014, DGS-I_0022 &amp; DGS-I_0024.</t>
  </si>
  <si>
    <t>Confirmed interfaces deleted</t>
  </si>
  <si>
    <t>A new column, 'Location Specific Interface', has been added to the Interface Register to enable filtering of location-specific interfaces.</t>
  </si>
  <si>
    <t>Confirmed column added</t>
  </si>
  <si>
    <r>
      <t xml:space="preserve">A new row has been added to the top of the Interface Register to allow for filter cells, enabling the user to filter for all interfaces relating to any number of Program Level Groups, System Level Groups, or Project Level Groups. E.g. The Project Level Group Filter (cell J1) will enable the user to filter for all interfaces relating to A.01.01 Eclipse. Instructions for use are as follows:
</t>
    </r>
    <r>
      <rPr>
        <b/>
        <sz val="11"/>
        <color theme="1"/>
        <rFont val="Aptos Narrow"/>
        <family val="2"/>
        <scheme val="minor"/>
      </rPr>
      <t>How to use the Level Group Filters</t>
    </r>
    <r>
      <rPr>
        <sz val="11"/>
        <color theme="1"/>
        <rFont val="Aptos Narrow"/>
        <family val="2"/>
        <scheme val="minor"/>
      </rPr>
      <t xml:space="preserve">
Select an Item: Click the dropdown arrow in cells H1, I1, or J1 and select an option. The list will filter to show rows containing that item.
Select Multiple Items: To add more items, open the dropdown again and select a different option.
</t>
    </r>
    <r>
      <rPr>
        <b/>
        <sz val="11"/>
        <color theme="1"/>
        <rFont val="Aptos Narrow"/>
        <family val="2"/>
        <scheme val="minor"/>
      </rPr>
      <t>How to Remove an Item</t>
    </r>
    <r>
      <rPr>
        <sz val="11"/>
        <color theme="1"/>
        <rFont val="Aptos Narrow"/>
        <family val="2"/>
        <scheme val="minor"/>
      </rPr>
      <t xml:space="preserve">
To remove a single item from your selection, open the dropdown and click that item again. It will be removed from the list, and the filter will update automatically.
</t>
    </r>
    <r>
      <rPr>
        <b/>
        <sz val="11"/>
        <color theme="1"/>
        <rFont val="Aptos Narrow"/>
        <family val="2"/>
        <scheme val="minor"/>
      </rPr>
      <t xml:space="preserve">How to Clear a Filter (Reset)
</t>
    </r>
    <r>
      <rPr>
        <sz val="11"/>
        <color theme="1"/>
        <rFont val="Aptos Narrow"/>
        <family val="2"/>
        <scheme val="minor"/>
      </rPr>
      <t xml:space="preserve">To reset a filter completely, click the cell (H1, I1, or J1) and press the Delete key on your keyboard.
This will unhide all rows associated with that column.
</t>
    </r>
    <r>
      <rPr>
        <b/>
        <sz val="11"/>
        <color theme="1"/>
        <rFont val="Aptos Narrow"/>
        <family val="2"/>
        <scheme val="minor"/>
      </rPr>
      <t>How the Columns Work Together</t>
    </r>
    <r>
      <rPr>
        <sz val="11"/>
        <color theme="1"/>
        <rFont val="Aptos Narrow"/>
        <family val="2"/>
        <scheme val="minor"/>
      </rPr>
      <t xml:space="preserve">
Within one filter (e.g., H1): The logic is OR. (Shows rows matching Item 1 OR Item 2).
Between filters (e.g., H1 &amp; I1): The logic is AND. If you have selections in both H1 and I1, the row must match both criteria to appear.
</t>
    </r>
    <r>
      <rPr>
        <b/>
        <sz val="11"/>
        <color theme="1"/>
        <rFont val="Aptos Narrow"/>
        <family val="2"/>
        <scheme val="minor"/>
      </rPr>
      <t>Note</t>
    </r>
    <r>
      <rPr>
        <sz val="11"/>
        <color theme="1"/>
        <rFont val="Aptos Narrow"/>
        <family val="2"/>
        <scheme val="minor"/>
      </rPr>
      <t xml:space="preserve">
Clear all the filters before exiting the file.</t>
    </r>
  </si>
  <si>
    <t>Confirmed filtering functionality added to the register and works as described</t>
  </si>
  <si>
    <t>Affecting all interfaces with A.02.08 Pit Power Capacity Planning Tool - Capacity Check and A.01.04 Pit Power Capacity Planning Tool - Design Optimisation:
Interface Review 02/12/2025: Move Pit Power Capacity to retired systems and delete associated interfaces.
NH 04/12/2025: A.02.08 Pit Power Capacity Planning Tool - Capacity Check is the secondary interface between Green Systems and many physical assets. If it is removed, the physical assets will be removed from the diagrams. 
See Diagram A.03.01 Charge Station Management System (CSMS), A.03.02 Load Management System (LMS), and A.02.03 Mine Electrification SCADA: e.g. F.01 Ore Processing Facility (OPF) and F.03 Dewatering Pumps;
See Diagram A.02.02 MECO, A.02.04 Monarch, A.01.01 Eclipse, and A.01.03 Delphi: e.g. F.01 Ore Processing Facility (OPF), F.03 Dewatering Pumps, G.02 Field Switches, and G.03 Sub Kiosks;
See Diagram A.01.02 LiveWire: e.g. F.01 Ore Processing Facility (OPF), F.03 Dewatering Pumps, G.02 Field Switches, G.03 Sub Kiosks, G.01 Chargers, and B. Heavy Mobile Equipment (HME).</t>
  </si>
  <si>
    <t>Affecting all interfaces with A.02.03 Mine Electrification SCADA:
Remark 02/12/2025: Move mine electrification SCADA to retired systems and delete associated interfaces.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t>
  </si>
  <si>
    <t>Affecting newly created interface DGS-I_0342:
NH 04/12/2025: Note MineStar was archived as a result of the comment 'Archive - N/A for current SA' from DGS_SBS-WBS_Comparison_20251001(JV2025.10.06). MineStar is now reinstated, and DGS-I_0342 was created between it and LiveWire.</t>
  </si>
  <si>
    <t>Confirmed Minestar reinstated as interface with Livewire</t>
  </si>
  <si>
    <t>Interfaces added: DGS-I_0343, DGS-I_0344, DGS-I_0345, DGS-I_0346, DGS-I_0347, DGS-I_0348, DGS-I_0349, DGS-I_0350, DGS-I_0351, DGS-I_0352, DGS-I_0353, and DGS-I_0354.</t>
  </si>
  <si>
    <t>Interfaces confirmed added but missing leads and contributors</t>
  </si>
  <si>
    <t>Interfaces deleted: DGS-I_0032, DGS-I_0143, DGS-I_0150, DGS-I_0157, and DGS-I_0236.</t>
  </si>
  <si>
    <t>Version Baseline Date column added: Records the date of the latest version baseline. If any changes are made to the row contents, then the date must be deleted and the cell left blank, so as to clearly identify changes to be imported into the system architecture.
Once the IR has been exported as a minor or major revision, the date in this column should be updated to reflect the revision baseline date.</t>
  </si>
  <si>
    <t>Confirmed baseline date column added</t>
  </si>
  <si>
    <t>Data Validation reinstated on Interface Type and Interface Criticality columns, and added to Interface Status column.</t>
  </si>
  <si>
    <t>Interface Descriptions and Criticality Explanations improved for consistency. Column Definitions updated.</t>
  </si>
  <si>
    <t>Affecting DGS-I_0212:
NH 11/12/2025: If remote control is enabled, the criticality is HIGH, therefore this interface should be rated as HIGH.</t>
  </si>
  <si>
    <t>Confirmed addition of criticality explanation</t>
  </si>
  <si>
    <t>Status</t>
  </si>
  <si>
    <t>Category</t>
  </si>
  <si>
    <t>Description</t>
  </si>
  <si>
    <t>Key Focus Areas</t>
  </si>
  <si>
    <t>Technical</t>
  </si>
  <si>
    <t>Technical-Physical/Mechanical</t>
  </si>
  <si>
    <t>Defines the structural, geometric, and material interaction between two components.</t>
  </si>
  <si>
    <t>Tolerances, load transfer, fasteners, material compatibility.</t>
  </si>
  <si>
    <t>Defines the transmission of power or hard-wired signals.</t>
  </si>
  <si>
    <t>Voltage, current, grounding, pin-outs, connectors, shielding.</t>
  </si>
  <si>
    <t>Defines the rules, format, and protocol for exchanging information between systems.</t>
  </si>
  <si>
    <t>APIs, protocols (TCP/IP, CAN), data formats (JSON, XML), data dictionary.</t>
  </si>
  <si>
    <t>Technical-Thermal</t>
  </si>
  <si>
    <t>Defines the transfer of heat between elements, critical for temperature management.</t>
  </si>
  <si>
    <t>Conduction paths, heat sinks, fluid loops, insulation.</t>
  </si>
  <si>
    <t>Technical-Fluid/Pneumatic</t>
  </si>
  <si>
    <t>Defines the exchange of liquids or gases (pressure, flow).</t>
  </si>
  <si>
    <t>Hydraulic lines, fuel lines, valves, chemical compatibility.</t>
  </si>
  <si>
    <t>Defines the exchange of control, commands, or functional effects to achieve a shared objective.</t>
  </si>
  <si>
    <t>Commands, control signals, mission sequence dependencies.</t>
  </si>
  <si>
    <t>Defines the necessary interactions between human operators and the system or operational procedures.</t>
  </si>
  <si>
    <t>HMI design, control panel layouts, handover procedures.</t>
  </si>
  <si>
    <t>Functional-Environmental</t>
  </si>
  <si>
    <t>Defines how a system interacts with its surrounding environment (not another system).</t>
  </si>
  <si>
    <t>Temperature, vibration, humidity, dust, and particulate ingress.</t>
  </si>
  <si>
    <t>Defines the formal agreement, responsibility, and scope boundaries between different teams or suppliers.</t>
  </si>
  <si>
    <t>Statement of Work (SOW), delivery scope, testing responsibilities.</t>
  </si>
  <si>
    <t>Project-Legacy/External</t>
  </si>
  <si>
    <t>Defines compatibility and exchange with systems outside the current project's direct control.</t>
  </si>
  <si>
    <t>Existing infrastructure, regulatory reporting, legacy data formats.</t>
  </si>
  <si>
    <t>Definition</t>
  </si>
  <si>
    <t>An interface that is believed to exist based on available project information, but is not yet validated by Fortescue. It is a placeholder status used until the interface is fully described and reviewed. Once validated, it transitions to Confirmed or Deleted.</t>
  </si>
  <si>
    <t>Confirmed</t>
  </si>
  <si>
    <t>An interface that Fortescue has validated as existing and is now fully described.</t>
  </si>
  <si>
    <t>An interface initially identified as Proposed, but later verified as not existing. It remains in the register for traceability but is marked as deleted and removed from the model diagrams.</t>
  </si>
  <si>
    <t>An interface recorded at the system level where one or more lower-level interfaces exist between nested elements (such as subsystems or functions) within those systems. A Simplified interface represents the high-level relationship only.</t>
  </si>
  <si>
    <t>Interface Criticality Categories</t>
  </si>
  <si>
    <t>The classification is based on the immediate and long-term impact on the integrated mining value chain if there are issues defining, designing and delivering the interface: Pit -&gt; Processing -&gt; Rail -&gt; Port -&gt; Shipments.</t>
  </si>
  <si>
    <t>Criticality</t>
  </si>
  <si>
    <t>Category Focus</t>
  </si>
  <si>
    <t>Production Impact</t>
  </si>
  <si>
    <t>ICD Required?</t>
  </si>
  <si>
    <t xml:space="preserve">HIGH </t>
  </si>
  <si>
    <t>Throughput &amp; Safety</t>
  </si>
  <si>
    <t>An interface issue that shuts down a major choke point (e.g., Crusher, Train Loader, Automated Haulage System (AHS) block) for more than 4 hours, or compromises a Safety-Critical Function (e.g., collision avoidance, emergency stop system, blast control). This category includes any external interface (e.g., utility, regulatory) that prevents material movement or export.</t>
  </si>
  <si>
    <t>Direct, measurable loss of annualised production volume (Mt) or poses an immediate threat to personnel or major fixed assets.</t>
  </si>
  <si>
    <t>Decarbonisation</t>
  </si>
  <si>
    <t>Any issue that critically delays the Real Zero 2030 initiatives, such as the deployment of renewable energy infrastructure or the integration of new electric equipment.</t>
  </si>
  <si>
    <t>Long-term strategic risk to corporate commitment and license to operate.</t>
  </si>
  <si>
    <t>Efficiency &amp; Asset Health</t>
  </si>
  <si>
    <t>An interface issue that degrades processing or logistics efficiency (e.g., blending failure leading to off-spec ore, rail network congestion, Fleet Management System (FMS)/Automated Haulage System (AHS) partial system degradation) or requires an unplanned major maintenance intervention. This results in a sustained operational rate reduction of 10%-25% for a shift.</t>
  </si>
  <si>
    <t>Requires the activation of a pre-planned production contingency (e.g., using a stockpile bypass, reducing train speed, re-routing ore). Causes a moderate, trackable deviation from the monthly plan.</t>
  </si>
  <si>
    <t>Maybe</t>
  </si>
  <si>
    <t>Cost</t>
  </si>
  <si>
    <t>Requires a significant, unbudgeted expenditure (e.g., 5% of the relevant project or operating budget) to resolve.</t>
  </si>
  <si>
    <t>Minor Process &amp; Support</t>
  </si>
  <si>
    <t>An interface issue that causes a minor, localised interruption that can be resolved by frontline teams within a single shift (e.g., I.T. network lag in a non-critical area, minor civil/drainage issue, small data incompatibility between two non-critical systems). Operational rate reduction is less than 10% and quickly recovered.</t>
  </si>
  <si>
    <t>Minor impact on daily targets but does not jeopardise the weekly or monthly plan.</t>
  </si>
  <si>
    <t>No measurable impact on safety, production, cost, or schedule, or the interface is fully defined, verified and validated.</t>
  </si>
  <si>
    <t>None.</t>
  </si>
  <si>
    <t>Column</t>
  </si>
  <si>
    <t>Unique reference for each interface.</t>
  </si>
  <si>
    <t>Interface Identification &amp; Ownership</t>
  </si>
  <si>
    <t>A unique, descriptive name or identifier for the specific interface made up the interfacing element names.</t>
  </si>
  <si>
    <t>The name or role of the primary person/team responsible for the definition, agreement, and management of this interface. This person is the decision-maker. Usually the same as Element A Owner.</t>
  </si>
  <si>
    <t>The name or role of the person/team that assists the Lead or provides necessary information/design inputs to define the interface. Usually the same as Element B Owner. However, in some circumstances could be the same as Element A.</t>
  </si>
  <si>
    <t>The hierarchical level at which the interface occurs. Categories include System-to-System, Element-to-Element, and Subsystem-to-Component. To be refined.</t>
  </si>
  <si>
    <t>Interface Classification &amp; Grouping</t>
  </si>
  <si>
    <t>The nature of the interaction. This includes Physical, Functional, Electrical, Data/Software, Operational, and Contractual. SeeInterface Types sheet for interface type definitions.</t>
  </si>
  <si>
    <t>Indicates if the interface is location specific or not. This column maybe retired in future.</t>
  </si>
  <si>
    <t>Categorisation of the interface according to the overall Program it belongs to.</t>
  </si>
  <si>
    <t xml:space="preserve">Categorisation of the interface according to the major System it is allocated to in the system architecture (e.g., External Software|A.01 Planning and Forecast Systems) it is part of. </t>
  </si>
  <si>
    <t>Categorisation of the interface according to the specific Project or Contract it falls under.</t>
  </si>
  <si>
    <t>The current state of the interface definition. Categories include Proposed, Confirmed, Deleted, Simplified Interface. See Interface Status Defintions sheet for interface status definitions.</t>
  </si>
  <si>
    <t xml:space="preserve">A high-level summary detailing what the interface does, how the elements interact, and why the interface is necessary. </t>
  </si>
  <si>
    <t>Interface Definition</t>
  </si>
  <si>
    <t>This defines the criticality levels for an interface to classify its importance to the overall project. Categories include HIGH, MEDIUM, LOW or N/A. See the Criticality Categories sheet for criticality category definitions.</t>
  </si>
  <si>
    <t>Provides and explanation of the Interface Criticality</t>
  </si>
  <si>
    <t>Column describes the specific data, signals, commands, or materials that pass across the interface between two systems. It explains what is being exchanged and in which direction, providing a clear statement of the functional interaction. This column ensures that every interface has a defined purpose and traceable flow that can be converted into interface requirements.</t>
  </si>
  <si>
    <t>Captures review comments from authors and reviewers.</t>
  </si>
  <si>
    <t>ICD Reference</t>
  </si>
  <si>
    <t xml:space="preserve">Reference to the Interface Control Document (ICD). An ICD may not always be required and will depend on the interface . </t>
  </si>
  <si>
    <t>The specific name or identifier of the first element involved in the interface.</t>
  </si>
  <si>
    <t>Interface Elements (Element A and Element B)
These columns define the two elements (Element A and Element B) that interact to form the interface.
Element A (The Initiating/Primary Element)</t>
  </si>
  <si>
    <t>The classification of the element (e.g., Program, Project, System, Subsystem).</t>
  </si>
  <si>
    <t>The individual or team responsible for the design and delivery of Element A.</t>
  </si>
  <si>
    <t>The overall Program to which Element A belongs.</t>
  </si>
  <si>
    <t>The major System Element A is a part of.</t>
  </si>
  <si>
    <t>The specific Project responsible for Element A.</t>
  </si>
  <si>
    <t>The detailed Subsystem within which Element A resides.</t>
  </si>
  <si>
    <t>The specific name or identifier of the second element involved in the interface.</t>
  </si>
  <si>
    <t>Interface Elements (Element A and Element B)
These columns define the two elements (Element A and Element B) that interact to form the interface.
Element B (The Terminating/Secondary Element)</t>
  </si>
  <si>
    <t>The individual or team responsible for the design and delivery of Element B.</t>
  </si>
  <si>
    <t>The overall Program to which Element B belongs.</t>
  </si>
  <si>
    <t>The major System Element B is a part of.</t>
  </si>
  <si>
    <t>The specific Project responsible for Element B.</t>
  </si>
  <si>
    <t>The detailed Subsystem within which Element B resides.</t>
  </si>
  <si>
    <t>Records the date of the latest version baseline. If any changes are made to the row contents, then the date must be deleted and the cell left blank, so as to clearly identify changes to be imported into the system architecture.
Once the IR has been exported as a minor or major revision, the date in this column should be updated to reflect the revision baseline date.</t>
  </si>
  <si>
    <t>Interface Configuration Management</t>
  </si>
  <si>
    <t>Name</t>
  </si>
  <si>
    <t>Type</t>
  </si>
  <si>
    <t>GUID</t>
  </si>
  <si>
    <t>Notes</t>
  </si>
  <si>
    <t>Phase</t>
  </si>
  <si>
    <t>Priority</t>
  </si>
  <si>
    <t>Stereotype</t>
  </si>
  <si>
    <t>Fully Qualified Stereotype</t>
  </si>
  <si>
    <t>Language</t>
  </si>
  <si>
    <t>Scope</t>
  </si>
  <si>
    <t>Alias</t>
  </si>
  <si>
    <t>Complexity</t>
  </si>
  <si>
    <t>Keywords</t>
  </si>
  <si>
    <t>Is Abstract</t>
  </si>
  <si>
    <t>Is Leaf</t>
  </si>
  <si>
    <t>Is Root</t>
  </si>
  <si>
    <t>Is Specification</t>
  </si>
  <si>
    <t>Created Date</t>
  </si>
  <si>
    <t>Modified Date</t>
  </si>
  <si>
    <t>Requirement Difficulty</t>
  </si>
  <si>
    <t>Requirement Priority</t>
  </si>
  <si>
    <t>GenFile</t>
  </si>
  <si>
    <t>Profile Metatype</t>
  </si>
  <si>
    <t>TagValue_Element Type</t>
  </si>
  <si>
    <t>TagValue_Owner</t>
  </si>
  <si>
    <t>TagValue_Location</t>
  </si>
  <si>
    <t>TagValue_Program</t>
  </si>
  <si>
    <t>TagValue_System</t>
  </si>
  <si>
    <t>TagValue_Project</t>
  </si>
  <si>
    <t>TagValue_Subsystem</t>
  </si>
  <si>
    <t>TagValue_Program Code</t>
  </si>
  <si>
    <t>TagValue_Project Code</t>
  </si>
  <si>
    <t>TagValue_Facility Code</t>
  </si>
  <si>
    <t>TagValue_WBS Code</t>
  </si>
  <si>
    <t>TagValue_1. Interface Name</t>
  </si>
  <si>
    <t>TagValue_2. Interface Lead</t>
  </si>
  <si>
    <t>TagValue_3. Interface Contributor(s)</t>
  </si>
  <si>
    <t>TagValue_4. Interface Level</t>
  </si>
  <si>
    <t>TagValue_5. Interface Type</t>
  </si>
  <si>
    <t>TagValue_6. Interface Description</t>
  </si>
  <si>
    <t>TagValue_7. Interface Criticality</t>
  </si>
  <si>
    <t>TagValue_Rationale</t>
  </si>
  <si>
    <t>TagValue_Allocation</t>
  </si>
  <si>
    <t>TagValue_Element</t>
  </si>
  <si>
    <t>TagValue_8. Interface Flow</t>
  </si>
  <si>
    <t>TagValue_9. Interface Criticality Justification</t>
  </si>
  <si>
    <t>CSV_KEY</t>
  </si>
  <si>
    <t>CSV_PARENT_KEY</t>
  </si>
  <si>
    <t>Class</t>
  </si>
  <si>
    <t>{5472B521-19E5-431e-BC11-96AB6E2214CE}</t>
  </si>
  <si>
    <t>block</t>
  </si>
  <si>
    <t>SysML1.4::block</t>
  </si>
  <si>
    <t>Java</t>
  </si>
  <si>
    <t>Admin</t>
  </si>
  <si>
    <t>Public</t>
  </si>
  <si>
    <t>SysML1.4::Block</t>
  </si>
  <si>
    <t>Portfolio</t>
  </si>
  <si>
    <t>{C144907B-34F6-4566-9237-769FA67F950F}</t>
  </si>
  <si>
    <t>&lt;none&gt;</t>
  </si>
  <si>
    <t>855DC</t>
  </si>
  <si>
    <t>{F26728CC-B520-41b1-BF38-58A66EAC7DF8}</t>
  </si>
  <si>
    <t>{8107BB54-ABDE-46d2-8B13-6D185E45D758}</t>
  </si>
  <si>
    <t>{4757AF3F-2F39-47c9-BD2B-2F080C68769F}</t>
  </si>
  <si>
    <t>{2E9C4B8B-1014-4b47-97C6-82BA9660ED67}</t>
  </si>
  <si>
    <t>{77280A3D-E64B-4422-8FDB-7986126174DF}</t>
  </si>
  <si>
    <t>{A9F191CD-0125-414d-82C0-E09626F88275}</t>
  </si>
  <si>
    <t>{27002CDD-C076-4158-8057-8BF69E4DA6B9}</t>
  </si>
  <si>
    <t>{B3E4D92D-CBB5-4d36-96E8-678F4672B690}</t>
  </si>
  <si>
    <t>{8D54DD3D-583F-4958-9C92-1371CA243034}</t>
  </si>
  <si>
    <t>{38CC29F9-5F3B-47e4-8A7B-BDE4625CD160}</t>
  </si>
  <si>
    <t>{7BF5AA75-4A9F-41a5-8B32-7D4F5CE28851}</t>
  </si>
  <si>
    <t>{25F380A4-59A8-4acd-A83E-04ECC1F276F6}</t>
  </si>
  <si>
    <t>{8757A9C4-2317-4b3d-A03A-05685B701271}</t>
  </si>
  <si>
    <t>{27ABF1BC-A9D3-4e7a-9EC3-86D65B0C2CE3}</t>
  </si>
  <si>
    <t>{1F2950CB-37AD-4032-A4DA-E4F6D1BCC238}</t>
  </si>
  <si>
    <t>{AABAC0E3-FB52-49fd-B575-754A06184BB6}</t>
  </si>
  <si>
    <t>{1E048D66-DBA5-4999-ADA3-68E7EC5B5FC4}</t>
  </si>
  <si>
    <t>{DB4417B2-448C-4df6-823B-4A244951B376}</t>
  </si>
  <si>
    <t>{9BC3EE7E-8204-4390-BE40-A5924C9C5BE6}</t>
  </si>
  <si>
    <t>{84CDCFB4-361E-4001-9790-21A4D90EB86E}</t>
  </si>
  <si>
    <t>{0FF26FBE-C456-4fd8-B5DB-949BAE4A8D93}</t>
  </si>
  <si>
    <t>{D4C1667C-C7BA-4ee7-9FC6-093CCF1F8489}</t>
  </si>
  <si>
    <t>{ECE55CED-D274-47a5-B074-84F66C4988F5}</t>
  </si>
  <si>
    <t>{6D3D6B17-9BB7-4946-90ED-B77589793C36}</t>
  </si>
  <si>
    <t>{32649DFB-3B2F-47d0-8AEE-6C9481D9A655}</t>
  </si>
  <si>
    <t>{B61A1A59-864A-41a7-B7A5-20F2D3B61B3F}</t>
  </si>
  <si>
    <t>{AE9FF301-4B6E-4bea-AC15-828923668977}</t>
  </si>
  <si>
    <t>{4E6313EB-872D-46e2-9B98-86238B555539}</t>
  </si>
  <si>
    <t>{F74B73E4-2D0A-4372-8871-6022B297EEEE}</t>
  </si>
  <si>
    <t>{CE32B422-94FA-4b07-94C1-E201EAD567D9}</t>
  </si>
  <si>
    <t>{9F8CBB7D-885B-4a38-BCFD-D8E6E4D287A8}</t>
  </si>
  <si>
    <t>{2FDC425C-C25E-4f0b-A8D9-4F3B6F451561}</t>
  </si>
  <si>
    <t>{9A1613C6-BD0F-4fad-9969-35D0B7D2F099}</t>
  </si>
  <si>
    <t>{4DC4B9DE-FD39-4ab6-A6FA-BA74D198DEE0}</t>
  </si>
  <si>
    <t>{B4F5FB8F-F832-451e-9AAD-3437CFBC69AD}</t>
  </si>
  <si>
    <t>{14932C11-06F5-444e-A8D1-77D0A7208614}</t>
  </si>
  <si>
    <t>{E06E0EA3-CFBA-42c7-AA19-048CAADC9C45}</t>
  </si>
  <si>
    <t>{3713D524-83A6-4a91-9111-CBD126052CE4}</t>
  </si>
  <si>
    <t>{44554E32-1316-4c67-86AF-60639942D309}</t>
  </si>
  <si>
    <t>{DEFCFC2F-0349-48ad-B754-7F8B8EA4ABC9}</t>
  </si>
  <si>
    <t>{8D1C22BE-8B79-4cbc-9EC1-FBB4F2CC0658}</t>
  </si>
  <si>
    <t>{5EE08BCA-9B83-4bcf-A109-660B75911BEF}</t>
  </si>
  <si>
    <t>{12F1AF03-92F3-4be6-9D8B-461C3FBA57C3}</t>
  </si>
  <si>
    <t>{06221E70-1366-4977-A725-E5EB02961C22}</t>
  </si>
  <si>
    <t>{2515A599-DF18-43ca-A08F-E87D99871047}</t>
  </si>
  <si>
    <t>{D2423617-072B-4c18-B91D-32BC06DCEA10}</t>
  </si>
  <si>
    <t>{B3AF6AE2-B6AE-40ec-9DC5-FF3558D563ED}</t>
  </si>
  <si>
    <t>{BD90DA50-5DB6-440e-87CE-E0707843DCBC}</t>
  </si>
  <si>
    <t>{F2728AF0-2673-4dda-8366-DB6D4CF330EF}</t>
  </si>
  <si>
    <t>{6723E1F6-1CB2-494c-98F7-1774D02BAF4B}</t>
  </si>
  <si>
    <t>{DD480475-159C-483c-991A-DDDA9DAE402C}</t>
  </si>
  <si>
    <t>{7F733A02-004C-464b-BCE4-FB01F58DCA9F}</t>
  </si>
  <si>
    <t>{B7240608-A699-4dc1-95E2-ACA572A0DED6}</t>
  </si>
  <si>
    <t>{031B780F-83F8-4eb7-8BAB-7E8E8CD6A5BD}</t>
  </si>
  <si>
    <t>{95D6441B-C4D9-4815-92E4-16DDAEC26563}</t>
  </si>
  <si>
    <t>{85209D1A-0DE8-4ec3-B387-35091AE35D1B}</t>
  </si>
  <si>
    <t>{BD606A65-D46B-48aa-B28D-A15ADC21C712}</t>
  </si>
  <si>
    <t>{DF79300C-8F51-48e0-9D1A-3996AF731881}</t>
  </si>
  <si>
    <t>{31FF7379-3679-42bd-BDB0-75844E2E00D4}</t>
  </si>
  <si>
    <t>{59634D3E-13F2-4fb8-8246-9CB8DA91A819}</t>
  </si>
  <si>
    <t>{B93AB571-22E8-49a0-9CA8-A666A1C220F3}</t>
  </si>
  <si>
    <t>{F4949EDA-3A73-4eda-93DA-3FC12E385084}</t>
  </si>
  <si>
    <t>{ECA7827B-3E31-491a-A6A0-D5CC4E2E1249}</t>
  </si>
  <si>
    <t>{26346C6B-DA84-4e07-8251-84D1AAE79223}</t>
  </si>
  <si>
    <t>{CE6630C1-C6CD-472e-9032-CA442BF3B2D2}</t>
  </si>
  <si>
    <t>{E0029E6D-A298-48e7-8249-C4B3CA780B7D}</t>
  </si>
  <si>
    <t>Approved</t>
  </si>
  <si>
    <t>{82705C89-6D66-49a2-81FC-346DBA511976}</t>
  </si>
  <si>
    <t>{9360E365-FC7C-4b5f-B1EC-80A0B7D0792D}</t>
  </si>
  <si>
    <t>{3AC65EC9-B513-4d14-9F91-B6216C1FAF0F}</t>
  </si>
  <si>
    <t>{06B25C2E-3738-42cb-95F0-A10FD0A99A19}</t>
  </si>
  <si>
    <t>{9289BD96-94AD-4c3b-8A8A-971A8DEED5F5}</t>
  </si>
  <si>
    <t>{B00C4515-4636-428a-AE29-5B8BA7D1BAE1}</t>
  </si>
  <si>
    <t>{E0A4B07D-6FEA-4da9-A65A-59B8DCBB2897}</t>
  </si>
  <si>
    <t>{5ABEC9FE-C68C-4ab8-AEC1-6579F3978D9C}</t>
  </si>
  <si>
    <t>{73CD82CD-EDA2-4b33-893C-74C33AE87CA3}</t>
  </si>
  <si>
    <t>ALINTA 66kV</t>
  </si>
  <si>
    <t>{BAA85BFA-35E8-4512-90CD-5A99922CB118}</t>
  </si>
  <si>
    <t>Actor</t>
  </si>
  <si>
    <t>{CEA6C921-2FF7-48bf-8B6D-3F038E4C8CC7}</t>
  </si>
  <si>
    <t>{5545954E-174B-4210-96B2-196EA9212010}</t>
  </si>
  <si>
    <t>851DC</t>
  </si>
  <si>
    <t>{C50B0B3E-E11E-4d47-A226-0BEFF8129DF1}</t>
  </si>
  <si>
    <t>{11719461-C658-47b8-BED4-0B70DF24EC62}</t>
  </si>
  <si>
    <t>{05F47999-9214-46ba-A5D2-F2C65D10A270}</t>
  </si>
  <si>
    <t>{73A7FA96-D81D-49a3-B434-79B4F611D2EE}</t>
  </si>
  <si>
    <t>{B3404EC6-440F-48ab-8B5B-81C9FCD6984D}</t>
  </si>
  <si>
    <t>{CA86C984-4DB3-4cd3-942C-047C8CCC529F}</t>
  </si>
  <si>
    <t>{EDB78E54-1C5B-456a-A971-C1E7614A09D9}</t>
  </si>
  <si>
    <t>Object</t>
  </si>
  <si>
    <t>{742E63E0-194F-4734-A25B-4094768C25AF}</t>
  </si>
  <si>
    <t>{886059F3-A68D-446b-9C8C-9C58E53CD1CC}</t>
  </si>
  <si>
    <t>852DC</t>
  </si>
  <si>
    <t>{CA9245E1-C43C-4771-89B5-522114FD6FD4}</t>
  </si>
  <si>
    <t>{E819D5DD-E22B-49c5-B309-63F0871336C7}</t>
  </si>
  <si>
    <t>{D9645B6D-943F-4d37-91F4-BCCAD4EA1532}</t>
  </si>
  <si>
    <t>{27B32B9C-797A-45d9-979C-BEB25E1D4064}</t>
  </si>
  <si>
    <t>{33B000EF-CD1B-4190-9894-A9222348BC4F}</t>
  </si>
  <si>
    <t>{AC2923BC-7257-4e93-8844-D6F4B2174B00}</t>
  </si>
  <si>
    <t>{3FBB98EE-923C-4a24-8719-D52525CC31B0}</t>
  </si>
  <si>
    <t>{77634059-D9A7-4282-8072-B1A51A4AB90A}</t>
  </si>
  <si>
    <t>{F43D8B99-10F1-4a9b-B835-AB55D77004DF}</t>
  </si>
  <si>
    <t>Christmas Creek Mine: Substation (11kV)</t>
  </si>
  <si>
    <t>{ABA84480-41A1-8A3D-9158-AB2CF7A1EC5F}</t>
  </si>
  <si>
    <t>{8D335A74-6823-657B-AA81-91071FDF449F}</t>
  </si>
  <si>
    <t>Christmas Creek Mine: Substation (33kV)</t>
  </si>
  <si>
    <t>{875F5E65-10B7-E3FC-99AA-39B3CB30D67B}</t>
  </si>
  <si>
    <t>Christmas Creek Mine: Substations</t>
  </si>
  <si>
    <t>{B012E374-7F3E-0FF2-89BC-4B9529C907D0}</t>
  </si>
  <si>
    <t>Cloudbreak Mine: Substation (11kV)</t>
  </si>
  <si>
    <t>{B9124ED3-299C-DF83-ABA8-448041A18A3D}</t>
  </si>
  <si>
    <t>{9908BC87-F3BB-0FD7-8D33-5A746823657B}</t>
  </si>
  <si>
    <t>Cloudbreak Mine: Substation (22kV)</t>
  </si>
  <si>
    <t>{B16A0C05-099E-4bfc-9D00-6FB8525C9C56}</t>
  </si>
  <si>
    <t>Cloudbreak Mine: Substation (33kV)</t>
  </si>
  <si>
    <t>{89EA4F99-4313-4C88-875F-5E6510B7E3FC}</t>
  </si>
  <si>
    <t>Cloudbreak Mine: Substations</t>
  </si>
  <si>
    <t>{99A7AF4C-1334-7FBB-B012-E3747F3E0FF2}</t>
  </si>
  <si>
    <t>{1411BDE2-ABB1-4a95-BCD5-9B857BEC7694}</t>
  </si>
  <si>
    <t>{BEAE43A3-4FB9-47b2-B093-F6EF70A90136}</t>
  </si>
  <si>
    <t>{0003B440-0FD5-4126-888C-21ECD833EE6E}</t>
  </si>
  <si>
    <t>{4224CCD9-4590-4fb6-BFF3-788FEB852579}</t>
  </si>
  <si>
    <t>{90DE7029-E7D4-4041-9CCB-30B8A3A20395}</t>
  </si>
  <si>
    <t>{8B9D0AE6-FA72-47fa-872A-AB2AA349C9A5}</t>
  </si>
  <si>
    <t>{395317AE-B1D6-4e33-AABE-E8E1D46124FC}</t>
  </si>
  <si>
    <t>{B59D529A-03E1-44c3-BAAA-CA015500D9CC}</t>
  </si>
  <si>
    <t>{BECBCDD0-315E-4d96-89C3-DADE60F3A424}</t>
  </si>
  <si>
    <t>InterfaceBlock</t>
  </si>
  <si>
    <t>SysML1.4::InterfaceBlock</t>
  </si>
  <si>
    <t>External - Project Interface</t>
  </si>
  <si>
    <t>{48490C47-091B-4a97-8BA5-5065E7B1E2A9}</t>
  </si>
  <si>
    <t>{BA163946-1124-4928-885D-7918226AF9F5}</t>
  </si>
  <si>
    <t>External - System Interface</t>
  </si>
  <si>
    <t>{FFA7A063-689D-4a0a-87E0-54CBEA36ACE4}</t>
  </si>
  <si>
    <t>{E1B97E67-038F-4982-B2D1-8180C769B479}</t>
  </si>
  <si>
    <t>{C9BCF35C-2B46-48b6-8EF6-F3535A39F8EE}</t>
  </si>
  <si>
    <t>{4EFD3D58-32BC-4eb6-96E2-292EB50E6C6C}</t>
  </si>
  <si>
    <t>{01B609AA-C63D-4d6b-81AE-28D34B83BDD0}</t>
  </si>
  <si>
    <t>{30473F73-F6BD-42b5-AB09-55A9D4468282}</t>
  </si>
  <si>
    <t>{F4FEFD09-675E-4574-8788-E53981B04E36}</t>
  </si>
  <si>
    <t>{FAE11EFC-44C7-456d-8122-3C32790F0545}</t>
  </si>
  <si>
    <t>{2A656876-50D8-4c0c-8BE4-DC0CC8BCD5EF}</t>
  </si>
  <si>
    <t>{FBE5735B-33B7-4eef-8207-6B1813D1F4C7}</t>
  </si>
  <si>
    <t>{226EDC5C-F2E0-48fd-BD62-75096D7E29B0}</t>
  </si>
  <si>
    <t>{123F33B1-6FFD-4406-92AE-BC1F2F6819AB}</t>
  </si>
  <si>
    <t>{9B3C4452-CC9F-4185-A008-AF75B44604F0}</t>
  </si>
  <si>
    <t>{8F0CAD1F-0678-4ec2-AC09-A1803C7F45AF}</t>
  </si>
  <si>
    <t>{856BF97F-101F-43cb-A60F-23EEB7EA3FCB}</t>
  </si>
  <si>
    <t>{4ABF10F3-B498-4d73-87CA-A05FF8C595A4}</t>
  </si>
  <si>
    <t>{49FCDB0E-9036-40c9-9544-9E8D3FFB0002}</t>
  </si>
  <si>
    <t>{B8878595-AC09-422c-9EF3-9AE2A42D7C42}</t>
  </si>
  <si>
    <t>{F823C1ED-408B-4677-BC5B-CDD0209A3679}</t>
  </si>
  <si>
    <t>{64A6D7CD-E761-420b-9707-23C798573461}</t>
  </si>
  <si>
    <t>{9C490054-A628-472a-BD2A-DB879797FFF5}</t>
  </si>
  <si>
    <t>{F9E96971-9488-40fc-8BA8-A8588732A78B}</t>
  </si>
  <si>
    <t>{80FD0AB1-8640-49f9-B5DF-BFD97E20D720}</t>
  </si>
  <si>
    <t>{A35331E8-51DB-4d25-80EF-E46678AB0615}</t>
  </si>
  <si>
    <t>{0E91B0D8-A5F9-4a54-9277-9AA45F493838}</t>
  </si>
  <si>
    <t>{A4238E3F-995E-4985-A653-35EBFE17EFBB}</t>
  </si>
  <si>
    <t>{078D54EC-FB8A-43c9-A5BF-8ACCD89BF964}</t>
  </si>
  <si>
    <t>{8FE6E14F-ADF7-4e7e-AF99-CB500C86BCCD}</t>
  </si>
  <si>
    <t>{80E70FE0-4D75-46e7-8AA6-88FD189C7CF9}</t>
  </si>
  <si>
    <t>{63BCA208-732A-4ce0-A786-9F095284D800}</t>
  </si>
  <si>
    <t>{78F85192-D483-4c8b-A2D7-D9DAC906E79F}</t>
  </si>
  <si>
    <t>{00161F20-F591-4321-9EC4-48CB30577BC4}</t>
  </si>
  <si>
    <t>{221980FC-DACD-429d-A06A-8C738255325F}</t>
  </si>
  <si>
    <t>{58ADD47D-E060-4d0f-81F0-295A69AED88E}</t>
  </si>
  <si>
    <t>{FE0D37E7-EB75-4a2e-B4D7-DF12711657AC}</t>
  </si>
  <si>
    <t>Green systems Project team</t>
  </si>
  <si>
    <t>{035712A2-BBF9-4c8e-819A-AB269FA2972B}</t>
  </si>
  <si>
    <t>{F30C2DEA-FC2A-4a40-8A94-9DA36D9EC2BA}</t>
  </si>
  <si>
    <t>{9344BA32-D171-4ac2-9A3D-3AD8935F7040}</t>
  </si>
  <si>
    <t>{38BC918A-92F2-410e-B461-D4DC83FFF00A}</t>
  </si>
  <si>
    <t>{34D7CBA6-4F33-4e9b-8CC9-8B29CFC7E9A5}</t>
  </si>
  <si>
    <t>{13C316B9-AF65-41ce-A6E5-7BC8078A5C4C}</t>
  </si>
  <si>
    <t>{ED539546-0AC4-4db7-9B4E-F996855D8F71}</t>
  </si>
  <si>
    <t>{C5C18E77-5D4E-4e07-AA29-D251EA7C8A9B}</t>
  </si>
  <si>
    <t>{7CC8E77F-23B0-4a3d-BF96-7BA8C54536CE}</t>
  </si>
  <si>
    <t>{0C28804F-FB24-422d-8DA3-15E5F621F20E}</t>
  </si>
  <si>
    <t>{CF6675A7-F133-44ae-A403-FF8AACDF3B65}</t>
  </si>
  <si>
    <t>{E62E17C8-D16F-4dab-ACB3-61E68439ED02}</t>
  </si>
  <si>
    <t>{ECEE98F2-83E1-41b6-8705-886CAE84243C}</t>
  </si>
  <si>
    <t>{CBD36CA4-0996-4f09-8097-1E8F73BE7394}</t>
  </si>
  <si>
    <t>{A9A17CBF-D72E-4c17-85E5-C88EFC35B467}</t>
  </si>
  <si>
    <t>{B0E3FD74-A6BB-491c-9F47-FF41B69226F1}</t>
  </si>
  <si>
    <t>{11443778-2F51-43b2-997B-2345D9452F70}</t>
  </si>
  <si>
    <t>{FD229DDD-163A-40fd-926D-92922ACE7555}</t>
  </si>
  <si>
    <t>{F193ADA1-E06E-4a64-89A4-6F7CA5542FB6}</t>
  </si>
  <si>
    <t>{77AB7E19-4259-4699-BF51-C403DA112B40}</t>
  </si>
  <si>
    <t>{EF4DC3C2-CDAF-4b60-AC0F-CA4D05212440}</t>
  </si>
  <si>
    <t>{5BC8C059-DD4E-42e8-A306-9970AA7AAC5A}</t>
  </si>
  <si>
    <t>{C6C21006-844A-47df-A0FA-DA8D799BBD56}</t>
  </si>
  <si>
    <t>{838FFF2C-DBB6-4815-8D88-1E288586681C}</t>
  </si>
  <si>
    <t>{2F86D6A3-A95B-4dd7-A5DD-508E11A1968C}</t>
  </si>
  <si>
    <t>{1E3AC883-E258-4268-B456-EF92E9BD898D}</t>
  </si>
  <si>
    <t>{6EF4B417-38BB-4535-8917-49FC138A510B}</t>
  </si>
  <si>
    <t>{F68F2B87-6626-4364-89D0-956B6D531581}</t>
  </si>
  <si>
    <t>{8CC2114A-FDA7-4362-9035-2B05E1E94D5B}</t>
  </si>
  <si>
    <t>{40A4A403-0D32-444e-B834-AC8195F40CF4}</t>
  </si>
  <si>
    <t>{65FA4E38-7646-45b9-8DA7-D166064F87C5}</t>
  </si>
  <si>
    <t>{E5099F97-C7B7-4a4c-AC11-683CBA656E6F}</t>
  </si>
  <si>
    <t>{7C014479-C6C2-4f5b-A099-6C896A5C8128}</t>
  </si>
  <si>
    <t>{E61D4DAB-B645-4bcd-A091-A29D6B1632E4}</t>
  </si>
  <si>
    <t>{DD4AFCA8-1621-42bf-9C04-56EB9595D555}</t>
  </si>
  <si>
    <t>{4007C7CA-FF0A-46b8-810D-9D0BF7A91845}</t>
  </si>
  <si>
    <t>{7CDA2052-3678-45ba-A469-45F7600E44A1}</t>
  </si>
  <si>
    <t>{5C847DDB-8286-4baf-8F4C-C7C39970201B}</t>
  </si>
  <si>
    <t>{CD69AA90-0CD3-44e0-A368-EEC621D1383F}</t>
  </si>
  <si>
    <t>{797178F6-6344-444a-98CC-2D991B04CE7E}</t>
  </si>
  <si>
    <t>{0903EA9A-0489-4fe7-800E-DCDE4E3F9BDF}</t>
  </si>
  <si>
    <t>{BE25445A-33BB-48a0-BBDD-E515D42B5CDA}</t>
  </si>
  <si>
    <t>{2BA7BA90-2001-4750-A4DF-C8F4AC9E9ED2}</t>
  </si>
  <si>
    <t>{CAEB0B14-D196-4a4f-8F93-DBCED2FC377A}</t>
  </si>
  <si>
    <t>{3118CEBF-79B7-44c8-A6BD-6E59F8F191B7}</t>
  </si>
  <si>
    <t>{E3B694BF-5F6A-4ba9-9334-E212EBF6A689}</t>
  </si>
  <si>
    <t>{53CAC240-FEE7-43d8-9872-50D2B1D6965E}</t>
  </si>
  <si>
    <t>{FD084979-3EC3-4202-8EE1-FDA98FCE01BE}</t>
  </si>
  <si>
    <t>{E2E923D1-E3FB-415e-8C86-D77C2D57675A}</t>
  </si>
  <si>
    <t>{600528C6-F284-434f-9DAE-2AC72811BD6D}</t>
  </si>
  <si>
    <t>{913D38A0-E53E-4406-8D2F-9F05DFB57EF6}</t>
  </si>
  <si>
    <t>{5CCCB72E-78C0-4f49-98AE-628D01673A32}</t>
  </si>
  <si>
    <t>{4EDA2DA6-A410-426b-9C88-C5995C6F2BF4}</t>
  </si>
  <si>
    <t>{BF19BB8A-3C37-4363-A564-96A15A4BA4FC}</t>
  </si>
  <si>
    <t>{BFCC16B7-B826-44d0-B6C3-0D2C42197D50}</t>
  </si>
  <si>
    <t>{1737F136-E567-4a8b-9C16-4FA40AEFD766}</t>
  </si>
  <si>
    <t>{6993F1BB-BF55-45f4-9D87-28F742079719}</t>
  </si>
  <si>
    <t>{56BA27AB-F43F-4cfe-9888-DAC6EE738D3D}</t>
  </si>
  <si>
    <t>{808257F8-AC7D-47b2-8059-C856E4D9A1D4}</t>
  </si>
  <si>
    <t>{EE90F56C-E0DA-4e1c-AD3E-07AB473B6F20}</t>
  </si>
  <si>
    <t>{9E6F9C6C-48E7-401c-A709-668ED76DD514}</t>
  </si>
  <si>
    <t>{66DD458E-1361-46e5-9CBA-0D0D85C606EE}</t>
  </si>
  <si>
    <t>{71F654D7-1F96-4259-AC07-0D4C8CAA8C21}</t>
  </si>
  <si>
    <t>{32A99927-9776-4178-874F-A8557680EE9E}</t>
  </si>
  <si>
    <t>{65E582A2-C63C-4e08-903C-97CAA7F92D96}</t>
  </si>
  <si>
    <t>{D71BA3A1-8156-40f6-BD7D-0714E71CD97A}</t>
  </si>
  <si>
    <t>{23BBEACA-E09E-4469-869A-3B982B933BBB}</t>
  </si>
  <si>
    <t>{BAFD9A20-9FD8-4470-9EE8-E672C7265E0E}</t>
  </si>
  <si>
    <t>{78F8AE6F-8A17-4918-93F6-4D219416242A}</t>
  </si>
  <si>
    <t>{18E55E43-CA6D-46f0-8BFC-6C2DBFFF739A}</t>
  </si>
  <si>
    <t>{5A441382-9547-44e6-B3F3-D21AE9E2D468}</t>
  </si>
  <si>
    <t>{4D5155EB-E50C-44f3-876A-5D0E59A76DA8}</t>
  </si>
  <si>
    <t>{204CD8D2-B3BA-4de9-ADD2-979F95ECCF4B}</t>
  </si>
  <si>
    <t>{04400930-FA28-4c3d-A866-03EBB6E7E3AC}</t>
  </si>
  <si>
    <t>{1A01A844-2B3D-4893-960A-D51683389273}</t>
  </si>
  <si>
    <t>{59F085EF-A197-4d08-B874-770C0BA259A7}</t>
  </si>
  <si>
    <t>{5A15B1BA-001B-4a30-9C3E-B5D86CEEAA0E}</t>
  </si>
  <si>
    <t>{7EFC7C10-E619-40a8-B510-D8B57AB42599}</t>
  </si>
  <si>
    <t>{AA683756-62CC-475f-8FDB-A8531BAC1DA9}</t>
  </si>
  <si>
    <t>{8B4B4DB2-7CD3-407e-B4F8-9E691494A6BE}</t>
  </si>
  <si>
    <t>{6E0DC9BC-9681-49db-A41E-B47F8F9999D8}</t>
  </si>
  <si>
    <t>{9E493403-3C58-4733-A5DC-1CFCC9BBF1A2}</t>
  </si>
  <si>
    <t>{B5859F4E-2299-44f5-B505-E30C33CEB575}</t>
  </si>
  <si>
    <t>{D01426BA-FAFD-4ebc-B5BE-A9AC2C301F2E}</t>
  </si>
  <si>
    <t>{128208BD-2F9E-4e05-A0B8-002234685A33}</t>
  </si>
  <si>
    <t>{05D8FF55-4CBF-493d-B872-6ECFCA8741EB}</t>
  </si>
  <si>
    <t>{443AE9B3-6434-4813-9B00-BC8C083F7015}</t>
  </si>
  <si>
    <t>{7D6D9A6B-AB98-42ca-9B53-3E01E122738F}</t>
  </si>
  <si>
    <t>{A9FEDB76-1F95-4cb7-BEDD-20AB0D3BC5E0}</t>
  </si>
  <si>
    <t>{1F8698FC-34E3-4bfd-A9FE-9E50AF3F5390}</t>
  </si>
  <si>
    <t>{714273C2-3C2A-491e-8110-2EBA14F922F8}</t>
  </si>
  <si>
    <t>{41FFD933-9B05-4953-B678-454F1AF5CC06}</t>
  </si>
  <si>
    <t>{964EB12A-FE7B-4ed9-931F-B5727FDFC935}</t>
  </si>
  <si>
    <t>{0F5AB031-1B51-40e0-B846-BAD5FB892B25}</t>
  </si>
  <si>
    <t>{0FE14682-FE45-4d8d-A071-82E79BF41D2C}</t>
  </si>
  <si>
    <t>{1F8243F1-1CD4-47f3-AF77-E36D4B75DA74}</t>
  </si>
  <si>
    <t>{62E0CC14-9ABD-4b96-8261-3DDFA3EBC5BA}</t>
  </si>
  <si>
    <t>{7EE7DC58-4BBF-4bc1-A4E3-E3FEC18EFA44}</t>
  </si>
  <si>
    <t>{A360C0FF-ACC2-4630-98CC-0484C94727C6}</t>
  </si>
  <si>
    <t>{4B50FF52-4121-44bf-9F43-7D2530B096E7}</t>
  </si>
  <si>
    <t>{4E959ED9-F697-4d7a-AE55-D906526E6D4C}</t>
  </si>
  <si>
    <t>{F81884CD-A666-4ab2-9452-6C1C0C6DF7C9}</t>
  </si>
  <si>
    <t>{38792A9D-56EC-485b-AAF6-B6FC2363CAC9}</t>
  </si>
  <si>
    <t>{D3A1961F-0700-491d-B873-9F2BDDD91424}</t>
  </si>
  <si>
    <t>{646E838A-D6A9-481d-97FD-0C1680F9DCEF}</t>
  </si>
  <si>
    <t>{7866C7DA-55AF-45dc-AB51-9D03E3EC3254}</t>
  </si>
  <si>
    <t>{486B96AA-B8F4-4b43-B726-37D75C114973}</t>
  </si>
  <si>
    <t>{257C564A-FC42-4fe9-9097-39315F8C0F48}</t>
  </si>
  <si>
    <t>{13AF9984-D675-42ee-8045-4824DA2DF5EB}</t>
  </si>
  <si>
    <t>{ACF9964D-F942-4cb0-A003-CA995F475593}</t>
  </si>
  <si>
    <t>{0932DE3D-204E-4e1e-9A8D-F6A6B24CFF36}</t>
  </si>
  <si>
    <t>{EB620A23-5898-4712-A95A-022B17EC615A}</t>
  </si>
  <si>
    <t>{126A00CD-4B9D-4fcd-8529-FA3A7B8F8AAB}</t>
  </si>
  <si>
    <t>{89003738-203E-4199-A35D-029E798C6027}</t>
  </si>
  <si>
    <t>{E6D6F8DC-137F-4f56-BAEF-2335F5BCAB7F}</t>
  </si>
  <si>
    <t>{7EDC6C83-49AD-4696-BE90-AF91FBDDF008}</t>
  </si>
  <si>
    <t>{07BEC49A-A7F6-41ea-95D8-B2D1DDB096D4}</t>
  </si>
  <si>
    <t>{7EDC8932-1668-414b-8501-2F8ADC2A2839}</t>
  </si>
  <si>
    <t>{E5B37BD9-4553-4c14-BBCD-383F3015C085}</t>
  </si>
  <si>
    <t>{B1A7B5EF-4FF4-4e9e-A842-10352B13A54A}</t>
  </si>
  <si>
    <t>{C73A75D3-7DD4-416b-9D45-75F8CA96892A}</t>
  </si>
  <si>
    <t>{13E119E7-DD0C-4257-B551-43121120B058}</t>
  </si>
  <si>
    <t>{4C106857-EA20-4e96-88F2-C1552F0E9C2B}</t>
  </si>
  <si>
    <t>{C4F9FC43-6EB6-4bfb-A19F-F08AB70D0897}</t>
  </si>
  <si>
    <t>{F9770FDA-BFE4-4d5f-937E-082534F8946F}</t>
  </si>
  <si>
    <t>{47E2D166-9566-4f6b-A21D-6D3808735548}</t>
  </si>
  <si>
    <t>{EEE3CB76-D619-4e86-8F90-E84F7EB2914A}</t>
  </si>
  <si>
    <t>{868EC46C-F3F2-41da-BAD3-3A590AE32225}</t>
  </si>
  <si>
    <t>{848BC473-EDD3-4086-9917-3CBAF80AEBE4}</t>
  </si>
  <si>
    <t>{0783B9F3-58A9-4274-8981-E9C9381D086A}</t>
  </si>
  <si>
    <t>{B5CF5B11-EA4F-40b3-987D-91383EE8EF2C}</t>
  </si>
  <si>
    <t>{6BBDC7EF-6F90-4bb8-AF20-BA60D84A506C}</t>
  </si>
  <si>
    <t>{CC4EDB66-054E-44b0-A554-C37C2E948563}</t>
  </si>
  <si>
    <t>{A99A42B6-19A0-460f-8D2B-5D998288D395}</t>
  </si>
  <si>
    <t>{001A4CFD-ED1A-493e-AEFE-023720F22350}</t>
  </si>
  <si>
    <t>{2DC0E74E-5CDC-49de-8E87-BCC6A5DB2AE9}</t>
  </si>
  <si>
    <t>{1840C480-D8A4-43d7-B5E9-557F493DDC24}</t>
  </si>
  <si>
    <t>{4B148634-0D11-4775-B15A-A054D42CF57F}</t>
  </si>
  <si>
    <t>{DAB1A2AA-472A-4991-9C71-ACBC1E44DECF}</t>
  </si>
  <si>
    <t>{5E03B19B-FF4F-4d05-A884-E768B6D97D60}</t>
  </si>
  <si>
    <t>{0B02E987-4D78-41d7-9C75-6311D7D2CE77}</t>
  </si>
  <si>
    <t>{D916E451-1599-43fd-A5D5-9C5801A0E9BE}</t>
  </si>
  <si>
    <t>{B9B237B7-F472-4995-BBF4-50171B1FB510}</t>
  </si>
  <si>
    <t>{128BE391-2750-4e27-950E-28D8B0892566}</t>
  </si>
  <si>
    <t>{3C0CB5AC-ABD8-4f12-8894-E2083AEF31E9}</t>
  </si>
  <si>
    <t>{675E13F0-F5F6-4bcf-8AA8-AC4741014B43}</t>
  </si>
  <si>
    <t>{F1FC0418-E469-4c77-BDC0-49CF56B2A90C}</t>
  </si>
  <si>
    <t>{3B8C5749-D973-4135-9B02-CAFB5B177F1B}</t>
  </si>
  <si>
    <t>{6E5A0BCF-C32C-47a6-9649-CB6BD5A59BF6}</t>
  </si>
  <si>
    <t>{0BA2F6A1-7AB8-40b8-ABE6-91AA6F3547AE}</t>
  </si>
  <si>
    <t>{1368B8A4-C956-422b-AB47-E56684EAA793}</t>
  </si>
  <si>
    <t>{9232020C-3254-4cd5-872E-C0A634B9AEF9}</t>
  </si>
  <si>
    <t>{AE42C4CA-A79B-449c-9880-90A3A3DE3E60}</t>
  </si>
  <si>
    <t>{EBB4E328-0889-439e-AC8C-6DB775CC97F1}</t>
  </si>
  <si>
    <t>{12CC5FC1-1A75-42d9-9B1B-6D695BB85CF8}</t>
  </si>
  <si>
    <t>{50C73665-D92B-47e5-A4A5-93CDB3514408}</t>
  </si>
  <si>
    <t>{FC0FEC9D-572A-422c-9EEF-3099A98B8172}</t>
  </si>
  <si>
    <t>{85CE3225-7203-4900-BC01-49F3396BAC0F}</t>
  </si>
  <si>
    <t>{72385917-D268-414f-BCF8-E3D0A7618391}</t>
  </si>
  <si>
    <t>{97F1B23A-7E8C-43d4-990D-98D2CD420F15}</t>
  </si>
  <si>
    <t>{4B0A1E69-7083-41b0-A537-ACD2B0AB7272}</t>
  </si>
  <si>
    <t>{50199B8B-35E2-48e1-A55A-2898BDF081A1}</t>
  </si>
  <si>
    <t>{A53C29E8-C25D-4315-8D45-3DDF3D5BF33D}</t>
  </si>
  <si>
    <t>{E29F7FD6-4F1C-4c4d-ADFA-C89730B7B15C}</t>
  </si>
  <si>
    <t>{14E1BA25-7051-4efa-84DD-7D525F9E1778}</t>
  </si>
  <si>
    <t>{6B743318-23D0-4da3-A9D0-DB0ADF86989D}</t>
  </si>
  <si>
    <t>{231AE94D-2671-4f01-A2DB-52813A6CCB1C}</t>
  </si>
  <si>
    <t>{BD475B7B-4D28-4cd7-B4D5-5BF150EE6964}</t>
  </si>
  <si>
    <t>{BD4DA6DE-0993-412d-809D-4DFFE46F390E}</t>
  </si>
  <si>
    <t>{1C2D8BF5-BC59-4bf8-9044-16806AD72F88}</t>
  </si>
  <si>
    <t>{BD54AAFA-0D94-4b81-A0E6-961037362E8E}</t>
  </si>
  <si>
    <t>{20D477C3-A81E-4999-9FAF-E2BADE070836}</t>
  </si>
  <si>
    <t>{479D4BA1-E3DC-4781-A2F7-D94D4AE1116E}</t>
  </si>
  <si>
    <t>{4124847D-4A92-43a3-88E8-98CC34892CDD}</t>
  </si>
  <si>
    <t>{CC602965-DB55-4c11-B568-497478C3783B}</t>
  </si>
  <si>
    <t>{36431F52-5564-4877-81FE-CF2E4844D16D}</t>
  </si>
  <si>
    <t>{E710216F-D3C2-413d-85F5-D3D34B13795F}</t>
  </si>
  <si>
    <t>{A3644B94-37E2-4141-8884-98E24CDF5E6E}</t>
  </si>
  <si>
    <t>{D2EAAC27-1C36-4da5-A62E-A10681762C88}</t>
  </si>
  <si>
    <t>{E5EFAA3A-B5CD-4252-B619-1E426544E569}</t>
  </si>
  <si>
    <t>{ECDC35E8-AC94-40fc-9D1F-0F189255FC2D}</t>
  </si>
  <si>
    <t>{6BC2CB4E-C494-4e06-B130-7052A1D8F656}</t>
  </si>
  <si>
    <t>{F32D37A7-228D-4c3e-9687-E98C9524748F}</t>
  </si>
  <si>
    <t>{8063044F-7AB2-4803-808A-E8AA95CF77D9}</t>
  </si>
  <si>
    <t>{FE5E6DF8-034E-4557-9279-FC5BE2823F01}</t>
  </si>
  <si>
    <t>{96E39083-04A2-427d-8CC4-95FD0F53BAAF}</t>
  </si>
  <si>
    <t>{E6E285E6-F353-41d0-8B0E-F173BEC409BD}</t>
  </si>
  <si>
    <t>{C9CA91EC-E401-4182-B462-236C3B8194CD}</t>
  </si>
  <si>
    <t>{4684D029-CB01-42a9-8AD1-23CDFA78DF97}</t>
  </si>
  <si>
    <t>{BC82D897-7B68-4e3f-851C-1089664C9B01}</t>
  </si>
  <si>
    <t>{B3EE1BEC-AA3D-4e91-97FB-92513146639F}</t>
  </si>
  <si>
    <t>{011CA4BB-2F7E-4b21-977E-2F836EDCF737}</t>
  </si>
  <si>
    <t>{2EC00153-8F97-4ccb-9B1E-1B01CF47A8BF}</t>
  </si>
  <si>
    <t>{C5E1B140-075D-42f7-BA26-C0ACDBB0F18F}</t>
  </si>
  <si>
    <t>{08D15B8D-A2A6-43df-908D-C3DC27C8AA74}</t>
  </si>
  <si>
    <t>{B757E501-3B65-476e-81B9-312C7F9FD319}</t>
  </si>
  <si>
    <t>{8318C774-9390-4a35-9823-EC4F8C864BE4}</t>
  </si>
  <si>
    <t>{6CDAA65B-2946-4be2-965D-C2AF364F42E5}</t>
  </si>
  <si>
    <t>{4F3F8C75-0DA5-4fa6-B71A-FA524EE1EB00}</t>
  </si>
  <si>
    <t>{8F2A8CF3-BDDD-4723-8E27-4F2DBA9D0403}</t>
  </si>
  <si>
    <t>{5927CFE5-9D17-4b05-A29D-5C41320B905B}</t>
  </si>
  <si>
    <t>{0B186B24-F3D4-49e0-9C7C-017672690464}</t>
  </si>
  <si>
    <t>{0AC9E401-8EB1-4bdd-BA53-DC7F427D888C}</t>
  </si>
  <si>
    <t>{D80F78D5-1680-4ce2-88FE-B34B80D445E3}</t>
  </si>
  <si>
    <t>{E2BEE526-8CCD-4afc-A68B-9784D12B3ED9}</t>
  </si>
  <si>
    <t>{EA0E9068-7328-4fac-9C76-4A0C3B9DC9BB}</t>
  </si>
  <si>
    <t>{8B58AE3A-C285-40d2-B4E0-A67FBDC70677}</t>
  </si>
  <si>
    <t>{BE024873-B6F1-4342-B04C-6D28B30A9FD9}</t>
  </si>
  <si>
    <t>{F86AEA70-F74F-4364-9E36-A6821BE4C81D}</t>
  </si>
  <si>
    <t>{51376727-05F0-4a2d-B109-3524CD66AB49}</t>
  </si>
  <si>
    <t>{CA364C50-640F-4afe-AAE4-ACBF14BDFCEA}</t>
  </si>
  <si>
    <t>{C140DFA0-16C9-4f44-BEE1-5E72D9781F32}</t>
  </si>
  <si>
    <t>{EFC2B413-C822-43d8-94EF-6E710E42F393}</t>
  </si>
  <si>
    <t>{2404D719-A1A1-4793-8280-6E258B384BE4}</t>
  </si>
  <si>
    <t>{8BC778E2-CF09-491a-BB3A-C5872AAC0FF5}</t>
  </si>
  <si>
    <t>{D3EE8AAA-21E8-41e5-B74D-3CAC23FA6133}</t>
  </si>
  <si>
    <t>{5A589B8B-72AF-4939-8C06-2CF66156591B}</t>
  </si>
  <si>
    <t>{CFB8AD54-7DBC-4efd-944D-8BCE986C4E74}</t>
  </si>
  <si>
    <t>{F85E25F7-CAE1-4985-99DF-D43C8528029E}</t>
  </si>
  <si>
    <t>{1E5FA4F2-55FA-4cb8-9880-21C62FFA5427}</t>
  </si>
  <si>
    <t>{58DEEE4A-AA8F-4bbe-B930-11D734E59E9A}</t>
  </si>
  <si>
    <t>{C80EEDD1-8455-4753-BC04-DFF56850BD1A}</t>
  </si>
  <si>
    <t>{41D2FE7D-E1E3-4b87-B4A8-5F429D8A5043}</t>
  </si>
  <si>
    <t>{0C532F36-97CA-439d-B301-BD069858029B}</t>
  </si>
  <si>
    <t>{C7065BDB-FD4F-4bab-8CF8-A58C06ED3F9C}</t>
  </si>
  <si>
    <t>{5771C96F-9D53-4127-8DB1-1BFEBAFEFBF7}</t>
  </si>
  <si>
    <t>{B3E72958-D2F4-45bc-B8F0-A8DC2AE722A2}</t>
  </si>
  <si>
    <t>{85BB2853-41EB-4a30-92DC-1B6AFF41D666}</t>
  </si>
  <si>
    <t>{9344D606-B361-4456-A208-0B506E0FFD67}</t>
  </si>
  <si>
    <t>{0F0A633F-88E5-4f9b-883C-B2E1C54900F2}</t>
  </si>
  <si>
    <t>{1B8DA7EA-CEFC-4891-9FAE-CDCF91504B89}</t>
  </si>
  <si>
    <t>{4F858472-528A-44e1-B40F-F889F41A9479}</t>
  </si>
  <si>
    <t>{6D6AA2F2-E312-477f-9250-A90A797CDBF2}</t>
  </si>
  <si>
    <t>{BA9227BA-2F29-4f5c-AB1F-F0D38E437FEF}</t>
  </si>
  <si>
    <t>{27E9978E-64A4-4a4c-87A6-F55733F8C9E3}</t>
  </si>
  <si>
    <t>{34274D53-D84F-4066-BD90-5352C1F3C081}</t>
  </si>
  <si>
    <t>{8339924B-64E6-43ee-A2F6-C5958CBAA454}</t>
  </si>
  <si>
    <t>{A81B06D8-24A6-4cc8-8986-367003BA3B09}</t>
  </si>
  <si>
    <t>{6A389A1E-D725-4cd1-9EF7-FF6EB38B5234}</t>
  </si>
  <si>
    <t>{F4C2D98D-4B8E-40aa-AEB5-137E9A4E7DCC}</t>
  </si>
  <si>
    <t>{3166BFA4-4E13-40dc-9617-F390A8DDD90C}</t>
  </si>
  <si>
    <t>{DC3CA999-4624-4284-86B0-FCFD5755091A}</t>
  </si>
  <si>
    <t>{51031384-335E-4891-BE5A-9379CCA72C2C}</t>
  </si>
  <si>
    <t>{3D08006A-38ED-40a2-952E-C89EEB04EC32}</t>
  </si>
  <si>
    <t>{E365E36E-4DC6-413f-A1F6-A73F8DE1AC62}</t>
  </si>
  <si>
    <t>{41090570-2796-465b-AA8C-8ECFA84DE128}</t>
  </si>
  <si>
    <t>{8A7A35B4-5657-4ffe-AE74-902D415C02C9}</t>
  </si>
  <si>
    <t>{34827602-4A06-448d-B621-771F98AD6C37}</t>
  </si>
  <si>
    <t>{30B4E53E-D55B-451c-B3BD-A132FE0FC46A}</t>
  </si>
  <si>
    <t>{AE11BE70-0E27-4a2f-96BE-55E96D19BCE8}</t>
  </si>
  <si>
    <t>{8D791135-E11B-4363-8405-F957875BB841}</t>
  </si>
  <si>
    <t>{18FD27CF-BE49-4e8b-B9A0-BF059BB921AC}</t>
  </si>
  <si>
    <t>{AAADC0C2-9BC2-4c8c-A11B-37960C1BFE1B}</t>
  </si>
  <si>
    <t>{C2FA0D2F-20D9-4e69-9F51-FD2274DB852B}</t>
  </si>
  <si>
    <t>{F671C94A-E74C-41d4-8BDE-018F5EDAC0EB}</t>
  </si>
  <si>
    <t>{F2811329-F142-4bb0-885C-57340AA11C6A}</t>
  </si>
  <si>
    <t>{3595BF70-1AA3-447e-B297-3797CCF34121}</t>
  </si>
  <si>
    <t>{1B124738-2734-4813-8683-B4C043822D43}</t>
  </si>
  <si>
    <t>{0C9B3F18-D6BC-4257-860E-59AF5C2533E1}</t>
  </si>
  <si>
    <t>{B48B78BE-1C0B-4968-B0B6-C73FDC4716D7}</t>
  </si>
  <si>
    <t>{24D98F32-A161-4f15-A793-330AC616BE36}</t>
  </si>
  <si>
    <t>{32AB6244-F4DB-42f4-B09C-029D479B6F3A}</t>
  </si>
  <si>
    <t>{9D132406-C1CF-4eaa-B638-7BFA5536B6F9}</t>
  </si>
  <si>
    <t>{572088B9-3F3D-4c3c-BAD7-7A08CEA93CC2}</t>
  </si>
  <si>
    <t>{7340B381-D4C8-40e1-84D8-EF3B687A1730}</t>
  </si>
  <si>
    <t>{CB907270-807C-47d3-B779-2A151DE134BD}</t>
  </si>
  <si>
    <t>{8B148887-656C-4338-B2A6-5BC472F597C1}</t>
  </si>
  <si>
    <t>{7B37CEA0-8CF7-4a18-9BE3-9E3EC13A79A7}</t>
  </si>
  <si>
    <t>{C39AD777-97D0-4b2c-B33B-69B93A0243EE}</t>
  </si>
  <si>
    <t>{73226786-900A-4adf-B161-A058BC833D65}</t>
  </si>
  <si>
    <t>{808276CA-E84B-44f9-8EAF-D9835E8512F2}</t>
  </si>
  <si>
    <t>{3D7718F6-9890-4b32-B8C3-838258C68353}</t>
  </si>
  <si>
    <t>{5BF0F2AC-63D1-4489-A002-98B9116AEE8D}</t>
  </si>
  <si>
    <t>{7B0EA603-4161-4ae2-B000-43963CEE8F49}</t>
  </si>
  <si>
    <t>{FC68A966-BBC0-417a-92BB-723046A29337}</t>
  </si>
  <si>
    <t>{F30610B3-DC54-4fe4-A907-2EB74AB3626B}</t>
  </si>
  <si>
    <t>{97FB9251-3146-639F-8823-7913ECC0D6D9}</t>
  </si>
  <si>
    <t>{CDF3A366-896B-4ab0-BCAC-EF76A2E5E7EB}</t>
  </si>
  <si>
    <t>{DCB02BF2-536A-4492-8D93-239E4F196C1F}</t>
  </si>
  <si>
    <t>{5F3F4DC5-2D0D-48b4-9C26-A266CB88F00B}</t>
  </si>
  <si>
    <t>{85EBDC88-043D-47a2-B048-0E1E41DC4015}</t>
  </si>
  <si>
    <t>{14AF8345-CC15-4998-BEB8-D20E9DCCFC02}</t>
  </si>
  <si>
    <t>{A9A2C758-9329-4930-9BF8-01227720A733}</t>
  </si>
  <si>
    <t>{2462E366-03B3-4d08-8DF7-E96C578F1C05}</t>
  </si>
  <si>
    <t>{6AF2C538-AEAE-4433-8E95-A7BB10973AEA}</t>
  </si>
  <si>
    <t>{BE336FC3-C2C9-429d-807F-CD3589CBF757}</t>
  </si>
  <si>
    <t>{21DF6376-2595-4e9b-9BE6-7EB46015221E}</t>
  </si>
  <si>
    <t>{C4CBB4FD-A818-4725-83F6-9C3E40830970}</t>
  </si>
  <si>
    <t>{2F4C6D44-D007-487f-9C09-9B169C995600}</t>
  </si>
  <si>
    <t>{81871DF3-819F-44a1-A539-B9C1C62111FE}</t>
  </si>
  <si>
    <t>{C2887C62-211E-4b1f-B173-9F81D459E711}</t>
  </si>
  <si>
    <t>{95CA7A0B-EC49-4b9c-AF48-0DBE0BB465CE}</t>
  </si>
  <si>
    <t>{2D95D764-E738-4f23-A55B-8C7A2AD21821}</t>
  </si>
  <si>
    <t>{AFB7927E-4DAE-4f83-84DF-F9BF2D323EB8}</t>
  </si>
  <si>
    <t>{898A79CC-825C-4939-AB03-96203DFC817B}</t>
  </si>
  <si>
    <t>{34519962-AC27-4cd3-BDEF-F4332EB1CFCE}</t>
  </si>
  <si>
    <t>{CD762E74-0AD8-4f39-926A-021A1B4C3077}</t>
  </si>
  <si>
    <t>{999B0C5B-BCD0-4e47-86CE-BA00FA61F5ED}</t>
  </si>
  <si>
    <t>{57EC861B-3412-4191-8C66-AF80BC6A781B}</t>
  </si>
  <si>
    <t>{1F26BEED-9969-408b-BE52-7E94841B721D}</t>
  </si>
  <si>
    <t>{3D114949-7B50-4519-9E64-6CF0E16DD649}</t>
  </si>
  <si>
    <t>{4A5B6E0C-434E-4513-9F2F-014CEAB98668}</t>
  </si>
  <si>
    <t>{B25AEEE6-5AD9-4b71-B0F3-31C9935194C0}</t>
  </si>
  <si>
    <t>{F83242B6-8DA3-4518-835A-D5337DC6327A}</t>
  </si>
  <si>
    <t>{BE991419-B895-4c58-B0B9-F071B6FD1CC2}</t>
  </si>
  <si>
    <t>{DC863863-852D-4aa4-9408-FF844C660587}</t>
  </si>
  <si>
    <t>{834DB857-9A17-403f-A6FE-BB19614841D1}</t>
  </si>
  <si>
    <t>{0025A673-4FB5-4a47-A721-7448D2262F4B}</t>
  </si>
  <si>
    <t>{3D3BAFCE-C803-42be-9CCD-29F803C59AC0}</t>
  </si>
  <si>
    <t>{2CD5322F-3A97-4b96-81F5-307072B76134}</t>
  </si>
  <si>
    <t>{6D269113-6B67-4a26-AB2E-EB196608598F}</t>
  </si>
  <si>
    <t>{46C72D7E-5F10-49d0-89A2-0A96A11AA7BB}</t>
  </si>
  <si>
    <t>{5876A29B-5C3B-4745-9612-4216706E7E47}</t>
  </si>
  <si>
    <t>{A2B53E07-476E-4ad3-8834-76E73163BC1A}</t>
  </si>
  <si>
    <t>{1312C190-9235-4411-A9AA-5099181D0144}</t>
  </si>
  <si>
    <t>{C3F8ED3F-10E3-4d5e-A77C-4ABBB64843A0}</t>
  </si>
  <si>
    <t>{911EAE8F-3721-451c-9455-6D2636640769}</t>
  </si>
  <si>
    <t>{06074BA1-6D09-4e7c-8ED6-279999FE934F}</t>
  </si>
  <si>
    <t>853DC</t>
  </si>
  <si>
    <t>{EF323DBD-99B3-4cc7-A4C5-A100ED5FA2EB}</t>
  </si>
  <si>
    <t>{89EA4F99-4313-4C88-8CA7-83699C62782D}</t>
  </si>
  <si>
    <t>Eliwana Mine: Substations</t>
  </si>
  <si>
    <t>{99A7AF4C-1334-7FBB-AF5D-C521A61AC8FE}</t>
  </si>
  <si>
    <t>{965C86F1-8980-4706-98BE-9B2792B073B4}</t>
  </si>
  <si>
    <t>{D259A973-2B3E-4a07-8A0B-0C1BC2C2215F}</t>
  </si>
  <si>
    <t>{4EB0ECF3-CED5-450b-9ECF-21C551149B3B}</t>
  </si>
  <si>
    <t>{03246CE4-320B-4447-BA5B-70B5F400C5A5}</t>
  </si>
  <si>
    <t>{60B2C602-41FA-48f2-9624-B7A2CC75E8C7}</t>
  </si>
  <si>
    <t>{77B304EF-19FA-479a-81E7-DC6A614F3BCF}</t>
  </si>
  <si>
    <t>{D0A00A9F-AD68-4704-AB0B-F67985108238}</t>
  </si>
  <si>
    <t>{6763A74A-4A3D-4ef6-82C9-417F18526F09}</t>
  </si>
  <si>
    <t>{2FA23BFC-38E5-4909-843E-78762F32DC76}</t>
  </si>
  <si>
    <t>{2EF45BDA-4495-4978-8FCC-734B355C09EC}</t>
  </si>
  <si>
    <t>{A538B443-031D-4ee6-A4F9-7DB5AC8F5767}</t>
  </si>
  <si>
    <t>{01F4B8C5-3D27-4094-BDC6-D5293EF40FC6}</t>
  </si>
  <si>
    <t>{57875F46-F216-4bb6-853C-BA6D1214305C}</t>
  </si>
  <si>
    <t>{604D87C8-26F8-46a0-9087-F00F119C33DF}</t>
  </si>
  <si>
    <t>{1D0DA214-5769-47bf-8ECB-684DF5FD4FC5}</t>
  </si>
  <si>
    <t>{E343A824-7846-42a8-91B2-CE4F1A4DD8A2}</t>
  </si>
  <si>
    <t>{BE1C8026-1A28-4594-95D4-23CDD57F244A}</t>
  </si>
  <si>
    <t>{660A0D07-28D5-4ecb-9987-680A4DDEAE47}</t>
  </si>
  <si>
    <t>{7DE40418-4B8F-4f05-9562-970161168F30}</t>
  </si>
  <si>
    <t>{D0F0935A-8855-4a75-A4B2-17F8AC40CB82}</t>
  </si>
  <si>
    <t>{C08462F3-74F3-45c8-9F1E-247DB65E3990}</t>
  </si>
  <si>
    <t>{8CA78369-9C62-782D-980D-12EAE6C15C48}</t>
  </si>
  <si>
    <t>Flying Fish Mine: Substations</t>
  </si>
  <si>
    <t>{AF5DC521-A61A-C8FE-9E73-9B9803CCD159}</t>
  </si>
  <si>
    <t>{DF284B29-2737-4e40-8A55-8B65C7EE4FDE}</t>
  </si>
  <si>
    <t>{FAB1BCAC-6398-4c77-AEE9-397EE2BBA338}</t>
  </si>
  <si>
    <t>{6E04F572-7670-4fad-945F-A3A63BD221EB}</t>
  </si>
  <si>
    <t>{43ABB499-8758-41c9-9EE5-BB4FD6C6816B}</t>
  </si>
  <si>
    <t>{7D70F32E-5EC0-485c-88BF-D195F490EA14}</t>
  </si>
  <si>
    <t>{9362A6C3-58E4-48f1-A502-11257263FA46}</t>
  </si>
  <si>
    <t>{08279551-9167-464a-B31F-BA74EF894756}</t>
  </si>
  <si>
    <t>{3281A751-7E0B-4a84-A265-6DEF253095B8}</t>
  </si>
  <si>
    <t>{C452EFFB-534A-424c-9893-6DC944406013}</t>
  </si>
  <si>
    <t>{3E0351FD-CD40-4b30-97EB-F6759BD62837}</t>
  </si>
  <si>
    <t>{684A7F63-CBF4-4197-8991-DBD92F3BFBBB}</t>
  </si>
  <si>
    <t>{8D87A3A3-2A5D-4296-BD91-3C81DD161948}</t>
  </si>
  <si>
    <t>{CA292602-767C-433c-9728-9D2BF31350E8}</t>
  </si>
  <si>
    <t>{4ACAD2AB-B23F-4dab-969B-670858483064}</t>
  </si>
  <si>
    <t>{92005547-2EF5-4bbe-A155-86BB699F1C47}</t>
  </si>
  <si>
    <t>{0EF655E6-9E6F-4fc9-B31B-C1A334837D4B}</t>
  </si>
  <si>
    <t>{D48F9831-25DC-4f2b-8021-C5B77DC77F5F}</t>
  </si>
  <si>
    <t>{9778B2AE-FCB1-4c66-A0A5-99711A326231}</t>
  </si>
  <si>
    <t>{F4436DBC-E921-4740-8385-DC3C3EBC5085}</t>
  </si>
  <si>
    <t>{B991BC5B-0C44-4275-B509-0DC9AB527B47}</t>
  </si>
  <si>
    <t>{45A102FE-C62F-4cb3-BB9F-37486A586F24}</t>
  </si>
  <si>
    <t>{816557EC-FD8A-4de9-81B6-6DBB6C1D1EED}</t>
  </si>
  <si>
    <t>{0138BBA4-F3F3-4cdb-9E54-36A7DF3195E8}</t>
  </si>
  <si>
    <t>{3BC2E82B-90CB-4e18-AB49-31661F13D33C}</t>
  </si>
  <si>
    <t>{9A1A1EB0-C896-457f-8CA2-D11721E2D5EC}</t>
  </si>
  <si>
    <t>{B1D3BA55-714C-4946-A592-4B39FCFE606F}</t>
  </si>
  <si>
    <t>{40A2F987-1E9D-484a-81A9-418CE48AD5F5}</t>
  </si>
  <si>
    <t>{AEB10326-18DF-4ed6-B8AD-7473FF1AA516}</t>
  </si>
  <si>
    <t>{44E7B1E1-CC73-4e99-BE93-5802FF1AC98E}</t>
  </si>
  <si>
    <t>{5750AAD1-6602-40fb-BA62-373C44EF2B6B}</t>
  </si>
  <si>
    <t>{C4D8B495-0A61-4ebe-AF2A-9383DB7EF0A3}</t>
  </si>
  <si>
    <t>{C80388AD-D4A2-4863-9B14-5E8DAB45CE17}</t>
  </si>
  <si>
    <t>{14878544-C650-48fb-B6E2-167B6D2AB14E}</t>
  </si>
  <si>
    <t>HRZ66kV</t>
  </si>
  <si>
    <t>{6F772ACB-647E-44ba-B0BD-A9DAFE822E82}</t>
  </si>
  <si>
    <t>{7762C76A-AED5-489a-A02F-888A8F663C02}</t>
  </si>
  <si>
    <t>{F4D8359A-FB14-4b37-BDB1-493758D4CACE}</t>
  </si>
  <si>
    <t>HV Transmission lines PEC # [HRZ/ALINTA - Port]</t>
  </si>
  <si>
    <t>{15F7C288-7E82-4659-B2A0-94DC28BEB63B}</t>
  </si>
  <si>
    <t>PEC # [HRZ/ALINTA - Port]</t>
  </si>
  <si>
    <t>{26F1F67D-22C9-46fe-9E2B-E98560E3C20F}</t>
  </si>
  <si>
    <t>{327A3EFA-8FB6-4eb6-9165-9EC9497982D5}</t>
  </si>
  <si>
    <t>{0A904645-3667-417e-9587-2D927F18BB23}</t>
  </si>
  <si>
    <t>HV Transmission lines PEC # [NPS/RHIO - CCK]</t>
  </si>
  <si>
    <t>{3E2D8256-DE61-48c4-B688-EE30C0E706E7}</t>
  </si>
  <si>
    <t>PEC # [NPS/RHIO - CCK]</t>
  </si>
  <si>
    <t>{581A9F01-04CF-4143-97F3-5A6104D9B27F}</t>
  </si>
  <si>
    <t>{2CF8339B-D377-429b-82DC-C9F943988934}</t>
  </si>
  <si>
    <t>{7BF9E986-243E-4f49-B57F-30C6F637CE78}</t>
  </si>
  <si>
    <t>{06373E8B-5F15-44f3-A55A-335270F821C1}</t>
  </si>
  <si>
    <t>{AD346453-665D-4377-8804-9A6176145ED4}</t>
  </si>
  <si>
    <t>{C7663083-10D0-4db9-B0F5-B4865F9FAAB7}</t>
  </si>
  <si>
    <t>{4FD2EF59-7926-49cf-BFA0-B94B2D7D42CB}</t>
  </si>
  <si>
    <t>{9908BC87-F3BB-0FD7-B392-DBC2D79D5F56}</t>
  </si>
  <si>
    <t>Iron Bridge Mine: Substation (33kV)</t>
  </si>
  <si>
    <t>{89EA4F99-4313-4C88-BF74-2410F77C9437}</t>
  </si>
  <si>
    <t>Iron Bridge Mine: Substations</t>
  </si>
  <si>
    <t>{99A7AF4C-1334-7FBB-9869-D41F97DD0665}</t>
  </si>
  <si>
    <t>{2C2463DD-D857-4edc-B84E-04AEB22E89CD}</t>
  </si>
  <si>
    <t>{91138760-C4EE-4a69-9BD2-FF9A7DE285D6}</t>
  </si>
  <si>
    <t>{B2CE942B-AD1B-4807-B924-3C575E3C5CCE}</t>
  </si>
  <si>
    <t>{F9ADA331-7FC5-4ac0-952A-074DF7BEB23C}</t>
  </si>
  <si>
    <t>{BADC5398-4B9C-4369-8445-2E5B498F03D5}</t>
  </si>
  <si>
    <t>{D1A6E161-32C2-4c9b-8BF2-C25F472C4A3F}</t>
  </si>
  <si>
    <t>{87186224-F2C6-422c-A2A6-44E6F2BC4168}</t>
  </si>
  <si>
    <t>{B93618E0-EC09-472f-A163-B4896DE22B43}</t>
  </si>
  <si>
    <t>{2CC38C14-846C-4524-BB73-2FE4D153ED3C}</t>
  </si>
  <si>
    <t>{4616C70E-DE12-4206-A7C8-77CE0A2B1E3A}</t>
  </si>
  <si>
    <t>{9B7F1C5F-DA18-49e6-919F-389A365A9552}</t>
  </si>
  <si>
    <t>{4C07DA9C-8F64-4568-996C-DF20B1AF5AA5}</t>
  </si>
  <si>
    <t>{7BB6DA60-4259-42e4-96A5-B8E941AB491A}</t>
  </si>
  <si>
    <t>{D1B1E879-8312-434c-9011-47C204236605}</t>
  </si>
  <si>
    <t>{114B2B6A-36A8-4ffe-A359-EA66B29AEA38}</t>
  </si>
  <si>
    <t>{8BF2731F-333F-4b84-8C14-A047F51CCE87}</t>
  </si>
  <si>
    <t>{7B158F7F-966B-4983-81D7-ABEE320BE129}</t>
  </si>
  <si>
    <t>{A9E792F6-2F50-4893-BE74-F00506958A51}</t>
  </si>
  <si>
    <t>{43416206-8E46-4a94-9DF2-3CDB169EDBCE}</t>
  </si>
  <si>
    <t>{8C6075DC-FD99-4695-AA67-4DF7D1FB95AB}</t>
  </si>
  <si>
    <t>{F61FF8B7-461C-4ae7-A8E9-83B7A7B3C161}</t>
  </si>
  <si>
    <t>{CC328732-2E25-42f2-82F6-9F26F9B68D92}</t>
  </si>
  <si>
    <t>NPS 220kV</t>
  </si>
  <si>
    <t>{FC48FEBA-00E8-41ee-8F35-BB0485DC2736}</t>
  </si>
  <si>
    <t>{EA7C9630-1D11-4ceb-B5FC-9F1B224A7B14}</t>
  </si>
  <si>
    <t>{9E5982BB-8B54-4f66-B04F-1195D9C57749}</t>
  </si>
  <si>
    <t>{9908BC87-F3BB-0FD7-9542-907AA3BFD5D7}</t>
  </si>
  <si>
    <t>Port Hedland: Substation (22kV)</t>
  </si>
  <si>
    <t>{1EA2A07B-1C97-46d8-ACEC-AD6CABC656F7}</t>
  </si>
  <si>
    <t>Port Hedland: Substation (66kV)</t>
  </si>
  <si>
    <t>{A87F4CB2-817C-452e-8F46-6598DCD80DF8}</t>
  </si>
  <si>
    <t>Port Hedland: Substations</t>
  </si>
  <si>
    <t>{99A7AF4C-1334-7FBB-85BF-6B9A0E4EB993}</t>
  </si>
  <si>
    <t>{C3957D4F-6A76-4ebf-9D7B-3F925FCB00C1}</t>
  </si>
  <si>
    <t>RHIO 220kV</t>
  </si>
  <si>
    <t>{11F4CF0D-1D05-407a-9F4E-37F33838D201}</t>
  </si>
  <si>
    <t>{B2131F7D-57F5-49a1-8AC0-8872E551CBBD}</t>
  </si>
  <si>
    <t>{EC3FAFD9-3046-497a-BD2D-52F07FC34E3C}</t>
  </si>
  <si>
    <t>Solomon Mine Hub: ATV</t>
  </si>
  <si>
    <t>{B699E726-B436-4c50-BCAB-75BA0A9D1A3B}</t>
  </si>
  <si>
    <t>{1A71AB01-E44B-4cf5-89EF-DA2E0CE1A3A8}</t>
  </si>
  <si>
    <t>{01869E36-AF2F-4c99-8E7C-63EE3FC2978F}</t>
  </si>
  <si>
    <t>{FA4799E1-8ED2-4b7c-AF09-D5F195F60CDA}</t>
  </si>
  <si>
    <t>{C74ECD0F-F2B3-4833-A48B-97C0489912DF}</t>
  </si>
  <si>
    <t>{5E034E08-DC91-46ed-AA3D-4A36A8604190}</t>
  </si>
  <si>
    <t>Solomon Mine Hub: Decarb Ancillary</t>
  </si>
  <si>
    <t>{8D3EC5DF-C7C7-4e56-B77B-DCE7B0911344}</t>
  </si>
  <si>
    <t>{5382A5AF-51C0-425d-AC3B-052A6C955320}</t>
  </si>
  <si>
    <t>Solomon Mine Hub: Dozer [ &gt;40t]</t>
  </si>
  <si>
    <t>{E518612B-8082-4ec9-AFB8-653047859BEA}</t>
  </si>
  <si>
    <t>Solomon Mine Hub: Dozer [&lt;40t]</t>
  </si>
  <si>
    <t>{73618BFA-4D36-47cf-8B9D-612C66DDD24A}</t>
  </si>
  <si>
    <t>{A825F7C9-3801-4d37-B581-B931389B0AFF}</t>
  </si>
  <si>
    <t>Solomon Mine Hub: Dump Truck [45t]</t>
  </si>
  <si>
    <t>{0F17CA45-1FD8-4bb6-A558-BA2900720C20}</t>
  </si>
  <si>
    <t>Solomon Mine Hub: Energy Generation</t>
  </si>
  <si>
    <t>{C0F79872-1359-4786-A0A7-2223962203C2}</t>
  </si>
  <si>
    <t>Solomon Mine Hub: Energy Storage Systems</t>
  </si>
  <si>
    <t>{057A2CBE-919C-45a0-9252-F838BA05A6B9}</t>
  </si>
  <si>
    <t>Solomon Mine Hub: ESO Vehicles</t>
  </si>
  <si>
    <t>{1188D4DE-3857-450a-AC91-A033304D0495}</t>
  </si>
  <si>
    <t>{D11648F6-400B-40b8-9452-C9F2E9D41D8D}</t>
  </si>
  <si>
    <t>Solomon Mine Hub: Excavators [&lt;110t]</t>
  </si>
  <si>
    <t>{2F8AB4BC-EBE1-46c9-AA62-CBF713FBD4EA}</t>
  </si>
  <si>
    <t>{F77B5941-39CB-4aaa-9904-862D128BE124}</t>
  </si>
  <si>
    <t>Solomon Mine Hub: Grader [&lt;15ft]</t>
  </si>
  <si>
    <t>{B5E1548C-632A-428d-8F51-D9F2989A5A75}</t>
  </si>
  <si>
    <t>Solomon Mine Hub: Grader [&gt;15ft]</t>
  </si>
  <si>
    <t>{5775A0E6-A323-4b90-BA16-7A9B66E8948D}</t>
  </si>
  <si>
    <t>{3807A016-8F3B-4276-BC07-3862CA26DF10}</t>
  </si>
  <si>
    <t>{E4AE52C8-D048-4d9f-B527-D5B1CDAC3893}</t>
  </si>
  <si>
    <t>{C7841D71-CE51-495f-A525-953D82801F5B}</t>
  </si>
  <si>
    <t>{8909C640-86CD-46a9-940E-F36C73DDB0FC}</t>
  </si>
  <si>
    <t>Solomon Mine Hub: HME Loader</t>
  </si>
  <si>
    <t>{7C87C899-B912-491d-A461-4C9073545CAA}</t>
  </si>
  <si>
    <t>Solomon Mine Hub: Lifting / Access Equipment</t>
  </si>
  <si>
    <t>{729FCCB6-934A-427c-8EB3-186A77B5B004}</t>
  </si>
  <si>
    <t>{1CF44BE8-944F-449f-873D-47C5FEC72E20}</t>
  </si>
  <si>
    <t>Solomon Mine Hub: Light Truck [&lt;4.5t]</t>
  </si>
  <si>
    <t>{14E121AE-D919-4849-B38D-7B4F898DDE86}</t>
  </si>
  <si>
    <t>{D3214B50-0A60-4cf5-A313-0C2F2EE2EC5B}</t>
  </si>
  <si>
    <t>Solomon Mine Hub: LVs</t>
  </si>
  <si>
    <t>{9672F691-A971-49e6-AD77-A1EE412D577D}</t>
  </si>
  <si>
    <t>{1B011C9E-F804-484e-AD31-5284A735E93F}</t>
  </si>
  <si>
    <t>Solomon Mine Hub: Non-Process Infrastructure (NPI)</t>
  </si>
  <si>
    <t>{AB7AE67E-0496-8605-A245-9D7F2CAA2F2C}</t>
  </si>
  <si>
    <t>{A52B4905-3213-7C6B-91B2-AE315223F14B}</t>
  </si>
  <si>
    <t>{3BC46F33-F481-45e6-9429-7C220BECDEDB}</t>
  </si>
  <si>
    <t>Solomon Mine Hub: People Movers (Buses &amp; Coaches)</t>
  </si>
  <si>
    <t>{5DC6D96D-3A91-4fe7-AA4A-0789D9E567A6}</t>
  </si>
  <si>
    <t>{9ADBBE4E-58F3-4c84-9D17-0D5F14C0BD0E}</t>
  </si>
  <si>
    <t>Solomon Mine Hub: Prime Movers &amp; Trucks [&gt;4.5t]</t>
  </si>
  <si>
    <t>{C9115B5F-8F2D-484a-A873-3835B33D294E}</t>
  </si>
  <si>
    <t>Solomon Mine Hub: Process Plant</t>
  </si>
  <si>
    <t>{A0F23B38-D4CF-F76D-8078-C03B365B3B8F}</t>
  </si>
  <si>
    <t>Solomon Mine Hub: Roller</t>
  </si>
  <si>
    <t>{B1E5C1E6-2AB8-492e-86D9-6D737916AA1E}</t>
  </si>
  <si>
    <t>{9E4600E0-A5D1-4090-A967-A94DAC6DD760}</t>
  </si>
  <si>
    <t>Solomon Mine Hub: SME Loader</t>
  </si>
  <si>
    <t>{745AC139-7D63-492c-9D56-EB151AB56AC1}</t>
  </si>
  <si>
    <t>{DD69A4A2-AC98-4a33-A100-8D1E7D49B6CD}</t>
  </si>
  <si>
    <t>{6E387C3F-2075-4410-9DA3-99685CBA1993}</t>
  </si>
  <si>
    <t>{2D97A61F-9BDB-4a2b-B912-4ED3299CDF83}</t>
  </si>
  <si>
    <t>{0B1A2424-176A-4e3d-A85D-F86C60A15EA0}</t>
  </si>
  <si>
    <t>{24EF182E-6C35-4929-9908-BC87F3BB0FD7}</t>
  </si>
  <si>
    <t>{DEFD9A57-7753-4761-89EA-4F9943134C88}</t>
  </si>
  <si>
    <t>Solomon Mine Hub: Substations</t>
  </si>
  <si>
    <t>{A088E011-78C1-4a53-99A7-AF4C13347FBB}</t>
  </si>
  <si>
    <t>{FB5EBAF3-C7AE-489e-97C3-155E2B6D4684}</t>
  </si>
  <si>
    <t>{DEF8F360-7EF2-4c8f-970C-AE6DA41ACC3C}</t>
  </si>
  <si>
    <t>{B63469E0-5077-4abb-B215-9FCD6D0CCDD5}</t>
  </si>
  <si>
    <t>{9D21985A-2662-4f85-B379-FC983D14C9F9}</t>
  </si>
  <si>
    <t>{0DDB5D5F-ACD8-44c7-A656-7EB4FA92015E}</t>
  </si>
  <si>
    <t>Solomon Mine Hub: Transmission</t>
  </si>
  <si>
    <t>{A2567029-3AA8-FCD5-B5A8-448AA078C29B}</t>
  </si>
  <si>
    <t>Solomon Mine Hub: Watercarts</t>
  </si>
  <si>
    <t>{06561A43-D48C-43d7-AD7E-6F7E31CA3573}</t>
  </si>
  <si>
    <t>Solomon Mine Hub: Wheel Tractor</t>
  </si>
  <si>
    <t>{C31AD76D-B49B-4543-89D7-A79510CFFF20}</t>
  </si>
  <si>
    <t>{0624D6A6-8B29-4e84-A42E-7E059A84FF53}</t>
  </si>
  <si>
    <t>{5DA76C8D-D2FA-4272-A223-661A574E5F8B}</t>
  </si>
  <si>
    <t>{62B0A70F-FCA1-4027-9DCC-CD894491087D}</t>
  </si>
  <si>
    <t>Target1_Name</t>
  </si>
  <si>
    <t>Target1_Type</t>
  </si>
  <si>
    <t>Target1_Classifier</t>
  </si>
  <si>
    <t>Connector1_Type</t>
  </si>
  <si>
    <t>Connector1_Direction</t>
  </si>
  <si>
    <t>Connector1_Stereotype</t>
  </si>
  <si>
    <t>Target2_Name</t>
  </si>
  <si>
    <t>Target2_Type</t>
  </si>
  <si>
    <t>Target2_Classifier</t>
  </si>
  <si>
    <t>Connector2_Type</t>
  </si>
  <si>
    <t>Connector2_Direction</t>
  </si>
  <si>
    <t>Connector2_Stereotype</t>
  </si>
  <si>
    <t xml:space="preserve"> </t>
  </si>
  <si>
    <t>Abstraction</t>
  </si>
  <si>
    <t>Source -&gt; Destination</t>
  </si>
  <si>
    <t>allocate</t>
  </si>
  <si>
    <t>Term/Abbreviation</t>
  </si>
  <si>
    <t>ACSS</t>
  </si>
  <si>
    <t>AGC</t>
  </si>
  <si>
    <t>Automatic Generation Control</t>
  </si>
  <si>
    <t>APS</t>
  </si>
  <si>
    <t>Alastri Production Scheduler</t>
  </si>
  <si>
    <t>ATS</t>
  </si>
  <si>
    <t>Alastri Tactical Scheduler</t>
  </si>
  <si>
    <t>BESS</t>
  </si>
  <si>
    <t>Battery Energy Storage Systems</t>
  </si>
  <si>
    <t>BEST</t>
  </si>
  <si>
    <t>CHF</t>
  </si>
  <si>
    <t>Concentrate Handling Facility</t>
  </si>
  <si>
    <t>COS</t>
  </si>
  <si>
    <t>Coarse Ore Stockpile</t>
  </si>
  <si>
    <t>CSMS</t>
  </si>
  <si>
    <t>Charge Station Management System</t>
  </si>
  <si>
    <t>FAST</t>
  </si>
  <si>
    <t>Fleet Advanced Simulation Tool</t>
  </si>
  <si>
    <t>FLO</t>
  </si>
  <si>
    <t>FMS</t>
  </si>
  <si>
    <t>Fleet Management System</t>
  </si>
  <si>
    <t>HME</t>
  </si>
  <si>
    <t>Heavy Mobile Equipment</t>
  </si>
  <si>
    <t>LME</t>
  </si>
  <si>
    <t>Light Mobile Equipment</t>
  </si>
  <si>
    <t>LMS</t>
  </si>
  <si>
    <t>Load Management System</t>
  </si>
  <si>
    <t>MECO</t>
  </si>
  <si>
    <t>NPI</t>
  </si>
  <si>
    <t>Non-Process Infrastructure</t>
  </si>
  <si>
    <t>OPF</t>
  </si>
  <si>
    <t>Ore Processing Facility</t>
  </si>
  <si>
    <t>ORCA</t>
  </si>
  <si>
    <t>PLC</t>
  </si>
  <si>
    <t>Programmable Logic Controller</t>
  </si>
  <si>
    <t>PV</t>
  </si>
  <si>
    <t>Photovoltaic</t>
  </si>
  <si>
    <t>ROM</t>
  </si>
  <si>
    <t>Run of Mine</t>
  </si>
  <si>
    <t>SCADA</t>
  </si>
  <si>
    <t>Supervisory Control and Data Acquisition</t>
  </si>
  <si>
    <t>SCUC</t>
  </si>
  <si>
    <t>Security Constrained Unit Commitment</t>
  </si>
  <si>
    <t>SME</t>
  </si>
  <si>
    <t>Support Mobile Equipment</t>
  </si>
  <si>
    <t>TLO</t>
  </si>
  <si>
    <t>Train Load Out</t>
  </si>
  <si>
    <t>TUL</t>
  </si>
  <si>
    <t>Train Unloader</t>
  </si>
  <si>
    <t>InterfaceLevelLookup</t>
  </si>
  <si>
    <t>Location Specific Interfaces</t>
  </si>
  <si>
    <t>Programs</t>
  </si>
  <si>
    <t>Systems</t>
  </si>
  <si>
    <t>Projects</t>
  </si>
  <si>
    <t>ProgramProject</t>
  </si>
  <si>
    <t>ProjectProgram</t>
  </si>
  <si>
    <t>ProgramSystem</t>
  </si>
  <si>
    <t>SystemProgram</t>
  </si>
  <si>
    <t>SubsystemProgram</t>
  </si>
  <si>
    <t>ProgramSubsystem</t>
  </si>
  <si>
    <t>External Physical AssetProject</t>
  </si>
  <si>
    <t>External Physical Asset - Project Interface</t>
  </si>
  <si>
    <t>ProjectExternal Physical Asset</t>
  </si>
  <si>
    <t>External Physical AssetSystem</t>
  </si>
  <si>
    <t>SystemExternal Physical Asset</t>
  </si>
  <si>
    <t>External SoftwareProject</t>
  </si>
  <si>
    <t>Other</t>
  </si>
  <si>
    <t>PEC</t>
  </si>
  <si>
    <t>ProjectExternal Software</t>
  </si>
  <si>
    <t>External SoftwareSystem</t>
  </si>
  <si>
    <t>External Software - System Interface</t>
  </si>
  <si>
    <t>SystemExternal Software</t>
  </si>
  <si>
    <t>ProjectProject</t>
  </si>
  <si>
    <t>SystemProject</t>
  </si>
  <si>
    <t>ProjectSystem</t>
  </si>
  <si>
    <t>SystemSystem</t>
  </si>
  <si>
    <t>ProjectStakeholder</t>
  </si>
  <si>
    <t>StakeholderProject</t>
  </si>
  <si>
    <t>SubsystemProject</t>
  </si>
  <si>
    <t>ProjectSubsystem</t>
  </si>
  <si>
    <t>SubsystemSubsystem</t>
  </si>
  <si>
    <t>SubsystemSystem</t>
  </si>
  <si>
    <t>SystemSubsystem</t>
  </si>
  <si>
    <t>StakeholderSubsystem</t>
  </si>
  <si>
    <t>SubsystemStakeholder</t>
  </si>
  <si>
    <t>SubsystemFunction</t>
  </si>
  <si>
    <t>FunctionSubsystem</t>
  </si>
  <si>
    <t>FunctionStakeholder</t>
  </si>
  <si>
    <t>StakeholderFunction</t>
  </si>
  <si>
    <t>ProjectFunction</t>
  </si>
  <si>
    <t>FunctionProject</t>
  </si>
  <si>
    <t>CSM</t>
  </si>
  <si>
    <t>LIV</t>
  </si>
  <si>
    <t>DEL</t>
  </si>
  <si>
    <t>BLO</t>
  </si>
  <si>
    <t>854DC</t>
  </si>
  <si>
    <t>857DC</t>
  </si>
  <si>
    <t>856DC</t>
  </si>
  <si>
    <t>859DC</t>
  </si>
  <si>
    <t>WBS codes have been moved to the beginning of the element names. WBS codes have been generated, which are shown in the tab EA-Fortescue_SBSExport.</t>
  </si>
  <si>
    <t>TagValue_Portfolio</t>
  </si>
  <si>
    <t>TagValue_Portfolio Code</t>
  </si>
  <si>
    <t>TagValue_Subsystem Code</t>
  </si>
  <si>
    <t>TagValue_Old SBS ID</t>
  </si>
  <si>
    <t>855DC-1542-CSM Charge Station Management System (CSMS)</t>
  </si>
  <si>
    <t>Decarbonisation Portfolio</t>
  </si>
  <si>
    <t>855DC Decarb Green Systems</t>
  </si>
  <si>
    <t>855DC-1542 Control &amp; Monitoring Systems</t>
  </si>
  <si>
    <t>DC</t>
  </si>
  <si>
    <t>[BLANK]</t>
  </si>
  <si>
    <t>855DC-1542-CSM</t>
  </si>
  <si>
    <t>A.03.01</t>
  </si>
  <si>
    <t>855DC-1543-007 MECO</t>
  </si>
  <si>
    <t>855DC-1543 Existing Systems - Green Enhancement</t>
  </si>
  <si>
    <t>007</t>
  </si>
  <si>
    <t>855DC-1543-007</t>
  </si>
  <si>
    <t>A.02.02</t>
  </si>
  <si>
    <t>855DC-1541-005 HaulAI</t>
  </si>
  <si>
    <t>855DC-1541 Planning and Forecast Systems</t>
  </si>
  <si>
    <t>005</t>
  </si>
  <si>
    <t>855DC-1541-005</t>
  </si>
  <si>
    <t>A.01.08</t>
  </si>
  <si>
    <t>855DC-1541-LIV LiveWire</t>
  </si>
  <si>
    <t>855DC-1541-LIV</t>
  </si>
  <si>
    <t>A.01.02</t>
  </si>
  <si>
    <t>855DC-1542-LMS Load Management System (LMS)</t>
  </si>
  <si>
    <t>855DC-1542-LMS</t>
  </si>
  <si>
    <t>A.03.02</t>
  </si>
  <si>
    <t>855DC-1541-DEL Delphi</t>
  </si>
  <si>
    <t>855DC-1541-DEL</t>
  </si>
  <si>
    <t>A.01.03</t>
  </si>
  <si>
    <t>855DC-1542-009 Elysia</t>
  </si>
  <si>
    <t>009</t>
  </si>
  <si>
    <t>855DC-1542-009</t>
  </si>
  <si>
    <t>A.03.03</t>
  </si>
  <si>
    <t>A.</t>
  </si>
  <si>
    <t>855DC-1541-ECL-004 Sienna</t>
  </si>
  <si>
    <t>855DC-1541-ECL Eclipse</t>
  </si>
  <si>
    <t>ECL</t>
  </si>
  <si>
    <t>004</t>
  </si>
  <si>
    <t>855DC-1541-ECL-004</t>
  </si>
  <si>
    <t>A.01.01.04</t>
  </si>
  <si>
    <t>855DC-1542-008 Mine Electrification SCADA</t>
  </si>
  <si>
    <t>008</t>
  </si>
  <si>
    <t>855DC-1542-008</t>
  </si>
  <si>
    <t>A.02.03</t>
  </si>
  <si>
    <t>855DC-1541-ECL-003 Plexos</t>
  </si>
  <si>
    <t>003</t>
  </si>
  <si>
    <t>855DC-1541-ECL-003</t>
  </si>
  <si>
    <t>A.01.01.03</t>
  </si>
  <si>
    <t>855DC-1541-ECL</t>
  </si>
  <si>
    <t>A.01.01</t>
  </si>
  <si>
    <t>005OP-0000-001 Atlas</t>
  </si>
  <si>
    <t>Fortescue Operations Portfolio</t>
  </si>
  <si>
    <t>005OP IT/OT Systems</t>
  </si>
  <si>
    <t>OP</t>
  </si>
  <si>
    <t>005OP</t>
  </si>
  <si>
    <t>0000</t>
  </si>
  <si>
    <t>001</t>
  </si>
  <si>
    <t>005OP-0000-001</t>
  </si>
  <si>
    <t>A.02.05</t>
  </si>
  <si>
    <t>855DC-1544-011 Health Monitoring &amp; Analytics</t>
  </si>
  <si>
    <t>855DC-1544 Unassigned / TBC</t>
  </si>
  <si>
    <t>011</t>
  </si>
  <si>
    <t>855DC-1544-011</t>
  </si>
  <si>
    <t>A.03.04</t>
  </si>
  <si>
    <t>005OP-0000-016 Nitro</t>
  </si>
  <si>
    <t>016</t>
  </si>
  <si>
    <t>005OP-0000-016</t>
  </si>
  <si>
    <t>A.02.12</t>
  </si>
  <si>
    <t>855DC-1543-008 Monarch</t>
  </si>
  <si>
    <t>855DC-1543-008</t>
  </si>
  <si>
    <t>A.02.04</t>
  </si>
  <si>
    <t>855DC-1542-010 WAMS</t>
  </si>
  <si>
    <t>010</t>
  </si>
  <si>
    <t>855DC-1542-010</t>
  </si>
  <si>
    <t>A.03.05</t>
  </si>
  <si>
    <t>859DC-1410-001 HaulX</t>
  </si>
  <si>
    <t>859DC HaulX</t>
  </si>
  <si>
    <t>859DC-1410-001</t>
  </si>
  <si>
    <t>A.02.11</t>
  </si>
  <si>
    <t>005OP-0000-015 Rail &amp; Port SCADA</t>
  </si>
  <si>
    <t>015</t>
  </si>
  <si>
    <t>005OP-0000-015</t>
  </si>
  <si>
    <t>A.02.01</t>
  </si>
  <si>
    <t>005OP-0000-BLO Blocksmith</t>
  </si>
  <si>
    <t>005OP-0000-BLO</t>
  </si>
  <si>
    <t>A.04.02</t>
  </si>
  <si>
    <t>855DC-1544-020 BET/DET Model</t>
  </si>
  <si>
    <t>020</t>
  </si>
  <si>
    <t>855DC-1544-020</t>
  </si>
  <si>
    <t>A.04.03</t>
  </si>
  <si>
    <t>005OP-0000-014 Talos</t>
  </si>
  <si>
    <t>014</t>
  </si>
  <si>
    <t>005OP-0000-014</t>
  </si>
  <si>
    <t>A.02.13</t>
  </si>
  <si>
    <t>003OP-1800 Gas pipeline</t>
  </si>
  <si>
    <t>003OP Power Generation &amp; Transmission</t>
  </si>
  <si>
    <t>003OP</t>
  </si>
  <si>
    <t>003OP-1800</t>
  </si>
  <si>
    <t>F.11</t>
  </si>
  <si>
    <t>005OP-0000-013 Cimplicity</t>
  </si>
  <si>
    <t>013</t>
  </si>
  <si>
    <t>005OP-0000-013</t>
  </si>
  <si>
    <t>A.04.07</t>
  </si>
  <si>
    <t>855DC-1541-ECL-002 Online Security Constrained Unit Commitment (SCUC)</t>
  </si>
  <si>
    <t>002</t>
  </si>
  <si>
    <t>855DC-1541-ECL-002</t>
  </si>
  <si>
    <t>A.01.01.01</t>
  </si>
  <si>
    <t>855DC-1541-ECL-001 Eclipse Planning</t>
  </si>
  <si>
    <t>855DC-1541-ECL-001</t>
  </si>
  <si>
    <t>A.01.01.02</t>
  </si>
  <si>
    <t>005OP-0000-004-003 Alastri Tactical Scheduler (ATS)</t>
  </si>
  <si>
    <t>005OP-0000-004 Alastri</t>
  </si>
  <si>
    <t>005OP-0000-004-003</t>
  </si>
  <si>
    <t>005OP-0000-002 ALF</t>
  </si>
  <si>
    <t>005OP-0000-002</t>
  </si>
  <si>
    <t>A.02.06</t>
  </si>
  <si>
    <t>855DC-1542-CSM-001 vCharM by Vector</t>
  </si>
  <si>
    <t>855DC-1542-CSM-001</t>
  </si>
  <si>
    <t>A.03.01.01</t>
  </si>
  <si>
    <t>855DC-1542-CSM-002 vCharM.Edge</t>
  </si>
  <si>
    <t>855DC-1542-CSM-002</t>
  </si>
  <si>
    <t>A.03.01.02</t>
  </si>
  <si>
    <t>854DC-1521-0001 Substation (33kV)</t>
  </si>
  <si>
    <t>854DC Green Power</t>
  </si>
  <si>
    <t>854DC-1521 HV Substations</t>
  </si>
  <si>
    <t>0001</t>
  </si>
  <si>
    <t>854DC-1521-0001</t>
  </si>
  <si>
    <t>H.01.03</t>
  </si>
  <si>
    <t>854DC-1521-0002 Substation (66kV)</t>
  </si>
  <si>
    <t>0002</t>
  </si>
  <si>
    <t>854DC-1521-0002</t>
  </si>
  <si>
    <t>H.01.04</t>
  </si>
  <si>
    <t>850DC-1513-0002 HME Auxilary Chargers</t>
  </si>
  <si>
    <t>850DC Decarb Infrastructure</t>
  </si>
  <si>
    <t>850DC-1510 Chargers</t>
  </si>
  <si>
    <t>850DC</t>
  </si>
  <si>
    <t>850DC-1513-0002</t>
  </si>
  <si>
    <t>G.01.02</t>
  </si>
  <si>
    <t>005OP-0000-012 SAP</t>
  </si>
  <si>
    <t>012</t>
  </si>
  <si>
    <t>005OP-0000-012</t>
  </si>
  <si>
    <t>A.04.08</t>
  </si>
  <si>
    <t>855DC-1543-008-001 GMS PLC</t>
  </si>
  <si>
    <t>855DC-1543-008-001</t>
  </si>
  <si>
    <t>A.02.04.01</t>
  </si>
  <si>
    <t>855DC-1543-008-002 Planner Pro</t>
  </si>
  <si>
    <t>855DC-1543-008-002</t>
  </si>
  <si>
    <t>A.02.04.02</t>
  </si>
  <si>
    <t>855DC-1543-008-003 OpenAGC (Automatic Generation Control)</t>
  </si>
  <si>
    <t>855DC-1543-008-003</t>
  </si>
  <si>
    <t>A.02.04.03</t>
  </si>
  <si>
    <t>005OP-0000-004-002 Alastri Production Scheduler (APS)</t>
  </si>
  <si>
    <t>005OP-0000-004-002</t>
  </si>
  <si>
    <t>A.02.09.02</t>
  </si>
  <si>
    <t>850DC-1512-0001-001 SW1+AP1 (Switchroom)</t>
  </si>
  <si>
    <t>850DC-1512-0001 HME Chargers - Gen1</t>
  </si>
  <si>
    <t>850DC-1512-0001-001</t>
  </si>
  <si>
    <t>G.01.01.05</t>
  </si>
  <si>
    <t>850DC-1512-0001-002 ACSS (Services Skid)</t>
  </si>
  <si>
    <t>850DC-1512-0001-002</t>
  </si>
  <si>
    <t>G.01.01.02</t>
  </si>
  <si>
    <t>850DC-1512-0001-003 PC2 (Power Conversion)</t>
  </si>
  <si>
    <t>850DC-1512-0001-003</t>
  </si>
  <si>
    <t>G.01.01.03</t>
  </si>
  <si>
    <t>850DC-1512-0001-004 AC1 (Automated Connection) for T264 Charging Loads</t>
  </si>
  <si>
    <t>850DC-1512-0001-004</t>
  </si>
  <si>
    <t>G.01.01.01</t>
  </si>
  <si>
    <t>850DC-1512-0001-005 PC3 (DC Switchgear)</t>
  </si>
  <si>
    <t>850DC-1512-0001-005</t>
  </si>
  <si>
    <t>G.01.01.04</t>
  </si>
  <si>
    <t>859DC-1410-001-001 HaulX Dispatch (Fleet Management System (FMS))</t>
  </si>
  <si>
    <t>859DC-1410-001-001</t>
  </si>
  <si>
    <t>A.02.11.01</t>
  </si>
  <si>
    <t>859DC-1410-001-003 HaulX Precision (High Precision Machine Guidance)</t>
  </si>
  <si>
    <t>859DC-1410-001-003</t>
  </si>
  <si>
    <t>A.02.11.03</t>
  </si>
  <si>
    <t>859DC-1410-001-002 HaulX Control (Autonomous Haulage System)</t>
  </si>
  <si>
    <t>859DC-1410-001-002</t>
  </si>
  <si>
    <t>A.02.11.02</t>
  </si>
  <si>
    <t>859DC-1410-001-004 HaulX Shield (Collision Avoidance System)</t>
  </si>
  <si>
    <t>859DC-1410-001-004</t>
  </si>
  <si>
    <t>A.02.11.04</t>
  </si>
  <si>
    <t>005OP-0000-017-002 Fire SCADA</t>
  </si>
  <si>
    <t>017</t>
  </si>
  <si>
    <t>005OP-0000-017-002</t>
  </si>
  <si>
    <t>A.02.03.01.01</t>
  </si>
  <si>
    <t>005OP-0000-017-001 Non-Process Infrastructure (NPI) SCADA</t>
  </si>
  <si>
    <t>005OP-0000-017-001</t>
  </si>
  <si>
    <t>A.02.03.02</t>
  </si>
  <si>
    <t>002OP-1800 CCTV</t>
  </si>
  <si>
    <t>002OP Non-Process Infrastructure (NPI)</t>
  </si>
  <si>
    <t>002OP</t>
  </si>
  <si>
    <t>002OP-1800</t>
  </si>
  <si>
    <t>F.06</t>
  </si>
  <si>
    <t>005OP-0000-017</t>
  </si>
  <si>
    <t>A.02.03.01</t>
  </si>
  <si>
    <t>005OP-0000-011 Fortescue Maps (ArcGIS) Geographical Information System (GIS)</t>
  </si>
  <si>
    <t>005OP-0000-011</t>
  </si>
  <si>
    <t>A.04.14</t>
  </si>
  <si>
    <t>005OP-0000-003 FLO</t>
  </si>
  <si>
    <t>005OP-0000-003</t>
  </si>
  <si>
    <t>A.02.07</t>
  </si>
  <si>
    <t>855DC-1541-004 ORCA</t>
  </si>
  <si>
    <t>855DC-1541-004</t>
  </si>
  <si>
    <t>A.03.01.03</t>
  </si>
  <si>
    <t>003OP-5612 Diesel Generators</t>
  </si>
  <si>
    <t>003OP-5612</t>
  </si>
  <si>
    <t>K.04</t>
  </si>
  <si>
    <t>854DC-5680-0003 Long Duration Energy Storage</t>
  </si>
  <si>
    <t>854DC-5680 Battery Energy Storage System (BESS)</t>
  </si>
  <si>
    <t>0003</t>
  </si>
  <si>
    <t>854DC-5680-0003</t>
  </si>
  <si>
    <t>H.03.03</t>
  </si>
  <si>
    <t>854DC-5680-0001 Battery Energy Storage Systems (BESS)</t>
  </si>
  <si>
    <t>854DC-5680-0001</t>
  </si>
  <si>
    <t>H.03.01</t>
  </si>
  <si>
    <t>854DC-5690-0001 Wind Farms</t>
  </si>
  <si>
    <t>854DC-5690 Energy Generation - Wind</t>
  </si>
  <si>
    <t>854DC-5690-0001</t>
  </si>
  <si>
    <t>H.04.02</t>
  </si>
  <si>
    <t>854DC-5670-0001 Solar Photovoltaic (PV) Farms</t>
  </si>
  <si>
    <t>854DC-5670 Energy Generation - Solar</t>
  </si>
  <si>
    <t>854DC-5670-0001</t>
  </si>
  <si>
    <t>H.04.01</t>
  </si>
  <si>
    <t>854DC-1521</t>
  </si>
  <si>
    <t>H.01</t>
  </si>
  <si>
    <t>855DC-1543-008-004 OpenUC</t>
  </si>
  <si>
    <t>855DC-1543-008-004</t>
  </si>
  <si>
    <t>A.02.04.04</t>
  </si>
  <si>
    <t>855DC-1543-008-005 OpenNET</t>
  </si>
  <si>
    <t>855DC-1543-008-005</t>
  </si>
  <si>
    <t>A.02.04.05</t>
  </si>
  <si>
    <t>850DC-1512-0001</t>
  </si>
  <si>
    <t>G.01.01</t>
  </si>
  <si>
    <t>854DC-1521-0003 Substation (132kV)</t>
  </si>
  <si>
    <t>854DC-1521-0003</t>
  </si>
  <si>
    <t>H.01.05</t>
  </si>
  <si>
    <t>854DC-1521-0004 Substation (220kV)</t>
  </si>
  <si>
    <t>0004</t>
  </si>
  <si>
    <t>854DC-1521-0004</t>
  </si>
  <si>
    <t>H.01.06</t>
  </si>
  <si>
    <t>854DC-1521-0005 Substation (22kV)</t>
  </si>
  <si>
    <t>0005</t>
  </si>
  <si>
    <t>854DC-1521-0005</t>
  </si>
  <si>
    <t>H.01.02</t>
  </si>
  <si>
    <t>854DC-1521-0006 Substation (11kV)</t>
  </si>
  <si>
    <t>0006</t>
  </si>
  <si>
    <t>854DC-1521-0006</t>
  </si>
  <si>
    <t>H.01.01</t>
  </si>
  <si>
    <t>854DC-5670-0001-0001 AC Solar Inverter</t>
  </si>
  <si>
    <t>854DC-5670-0001-001</t>
  </si>
  <si>
    <t>H.03.02.01</t>
  </si>
  <si>
    <t>851DC-1592 Haulage</t>
  </si>
  <si>
    <t>851DC Heavy Mobile Equipment (HME)</t>
  </si>
  <si>
    <t>851DC-1592</t>
  </si>
  <si>
    <t>B.01</t>
  </si>
  <si>
    <t>852DC-1585 SME Loader</t>
  </si>
  <si>
    <t>852DC Light Mobile Equipment (LME) &amp; Support Mobile Equipment (SME)</t>
  </si>
  <si>
    <t>852DC-1585</t>
  </si>
  <si>
    <t>C.07</t>
  </si>
  <si>
    <t>852DC-1583 Dozer (&lt;40t)</t>
  </si>
  <si>
    <t>852DC-1583</t>
  </si>
  <si>
    <t>C.01</t>
  </si>
  <si>
    <t>853DC-1561 Drill Rig</t>
  </si>
  <si>
    <t>853DC Decarb Ancillary</t>
  </si>
  <si>
    <t>853DC-1561</t>
  </si>
  <si>
    <t>E.01</t>
  </si>
  <si>
    <t>850DC-1514-0003 LME / SME Chargers</t>
  </si>
  <si>
    <t>850DC-1514-0003</t>
  </si>
  <si>
    <t>G.01.03</t>
  </si>
  <si>
    <t>854DC-5660 HV Transmission lines</t>
  </si>
  <si>
    <t>854DC-5660</t>
  </si>
  <si>
    <t>H.02</t>
  </si>
  <si>
    <t>850DC-1520 Trailing Cable</t>
  </si>
  <si>
    <t>850DC-1520</t>
  </si>
  <si>
    <t>G.04</t>
  </si>
  <si>
    <t>002OP-2000 Dewatering Pumps</t>
  </si>
  <si>
    <t>002OP-2000</t>
  </si>
  <si>
    <t>F.03</t>
  </si>
  <si>
    <t>854DC-5680-0002 Mobile Battery Bank</t>
  </si>
  <si>
    <t>854DC-5680-0002</t>
  </si>
  <si>
    <t>H.03.04</t>
  </si>
  <si>
    <t>003OP-5611 Gas Power Station</t>
  </si>
  <si>
    <t>003OP-5611</t>
  </si>
  <si>
    <t>K.02</t>
  </si>
  <si>
    <t>003OP-5611-001 GE Turbines</t>
  </si>
  <si>
    <t>003OP-5611-001</t>
  </si>
  <si>
    <t>K.02.03</t>
  </si>
  <si>
    <t>003OP-5611-003 Solar Titan Turbines</t>
  </si>
  <si>
    <t>003OP-5611-003</t>
  </si>
  <si>
    <t>K.02.01</t>
  </si>
  <si>
    <t>003OP-5611-002 Bergen Engines</t>
  </si>
  <si>
    <t>003OP-5611-002</t>
  </si>
  <si>
    <t>K.02.02</t>
  </si>
  <si>
    <t>004OP-1301 Run of Mine (ROM)</t>
  </si>
  <si>
    <t>004OP Product Storage</t>
  </si>
  <si>
    <t>004OP</t>
  </si>
  <si>
    <t>004OP-1301</t>
  </si>
  <si>
    <t>L.01</t>
  </si>
  <si>
    <t>004OP-1302 Coarse Ore Stockpile (COS)</t>
  </si>
  <si>
    <t>004OP-1302</t>
  </si>
  <si>
    <t>L.02</t>
  </si>
  <si>
    <t>002OP-5700 Water Supply (West Canning)</t>
  </si>
  <si>
    <t>002OP-5700</t>
  </si>
  <si>
    <t>K.03</t>
  </si>
  <si>
    <t>001OP-2003 Concentrate Handling Facility (CHF)</t>
  </si>
  <si>
    <t>001OP Fixed Process Plant</t>
  </si>
  <si>
    <t>001OP</t>
  </si>
  <si>
    <t>001OP-2003</t>
  </si>
  <si>
    <t>F.05</t>
  </si>
  <si>
    <t>005OP-0000-004-001 Alastri Haul Infinity</t>
  </si>
  <si>
    <t>005OP-0000-004-001</t>
  </si>
  <si>
    <t>A.02.09.01</t>
  </si>
  <si>
    <t>E.</t>
  </si>
  <si>
    <t>F.</t>
  </si>
  <si>
    <t>850DC-1510</t>
  </si>
  <si>
    <t>G.01</t>
  </si>
  <si>
    <t>001OP-2110 Primary Crusher</t>
  </si>
  <si>
    <t>001OP-2110</t>
  </si>
  <si>
    <t>F.07</t>
  </si>
  <si>
    <t>004OP-1303 Train Loadout (TLO) Ore Stockpile</t>
  </si>
  <si>
    <t>004OP-1303</t>
  </si>
  <si>
    <t>L.03</t>
  </si>
  <si>
    <t>001OP-2001 Ore Processing Facility (OPF)</t>
  </si>
  <si>
    <t>001OP-2001</t>
  </si>
  <si>
    <t>F.01</t>
  </si>
  <si>
    <t>001OP-4160 Train Unloader (TUL)</t>
  </si>
  <si>
    <t>001OP-4160</t>
  </si>
  <si>
    <t>F.09</t>
  </si>
  <si>
    <t>001OP-2700 Material Handling Equipment</t>
  </si>
  <si>
    <t>001OP-2700</t>
  </si>
  <si>
    <t>F.04</t>
  </si>
  <si>
    <t>001OP-2920 Train Load Out (TLO)</t>
  </si>
  <si>
    <t>001OP-2920</t>
  </si>
  <si>
    <t>F.08</t>
  </si>
  <si>
    <t>G.</t>
  </si>
  <si>
    <t>L.</t>
  </si>
  <si>
    <t>850DC-1522 Field Switches</t>
  </si>
  <si>
    <t>850DC-1522</t>
  </si>
  <si>
    <t>G.02</t>
  </si>
  <si>
    <t>854DC-5680</t>
  </si>
  <si>
    <t>H.03</t>
  </si>
  <si>
    <t>001OP-3720 Concentrate Pipeline</t>
  </si>
  <si>
    <t>001OP-3720</t>
  </si>
  <si>
    <t>F.10</t>
  </si>
  <si>
    <t>855DC-1541</t>
  </si>
  <si>
    <t>A.01</t>
  </si>
  <si>
    <t>00.Fortescue</t>
  </si>
  <si>
    <t>855DC-1543</t>
  </si>
  <si>
    <t>A.02</t>
  </si>
  <si>
    <t>855DC-1542</t>
  </si>
  <si>
    <t>A.03</t>
  </si>
  <si>
    <t>005OP-0000-004</t>
  </si>
  <si>
    <t>A.02.09</t>
  </si>
  <si>
    <t>005OP-0000-010 10YP &amp; LOM Tool</t>
  </si>
  <si>
    <t>005OP-0000-010</t>
  </si>
  <si>
    <t>A.02.10</t>
  </si>
  <si>
    <t>855DC-1544</t>
  </si>
  <si>
    <t>A.04</t>
  </si>
  <si>
    <t>B.</t>
  </si>
  <si>
    <t>851DC-1594 Dozer ( &gt;40t)</t>
  </si>
  <si>
    <t>851DC-1594</t>
  </si>
  <si>
    <t>B.03</t>
  </si>
  <si>
    <t>C.</t>
  </si>
  <si>
    <t>851DC-1591 Excavator (&gt;110t)</t>
  </si>
  <si>
    <t>851DC-1591</t>
  </si>
  <si>
    <t>B.02</t>
  </si>
  <si>
    <t>851DC-1595 Grader (&gt;15ft)</t>
  </si>
  <si>
    <t>851DC-1595</t>
  </si>
  <si>
    <t>B.04</t>
  </si>
  <si>
    <t>851DC-1593 HME Loader</t>
  </si>
  <si>
    <t>851DC-1593</t>
  </si>
  <si>
    <t>B.05</t>
  </si>
  <si>
    <t>851DC-1596 Watercarts</t>
  </si>
  <si>
    <t>851DC-1596</t>
  </si>
  <si>
    <t>B.06</t>
  </si>
  <si>
    <t>852DC-1582 Dump Truck (45t)</t>
  </si>
  <si>
    <t>852DC-1582</t>
  </si>
  <si>
    <t>C.02</t>
  </si>
  <si>
    <t>852DC-1586 Roller</t>
  </si>
  <si>
    <t>852DC-1586</t>
  </si>
  <si>
    <t>C.06</t>
  </si>
  <si>
    <t>852DC-1587 Prime Movers &amp; Trucks (&gt;4.5t)</t>
  </si>
  <si>
    <t>852DC-1587</t>
  </si>
  <si>
    <t>C.05</t>
  </si>
  <si>
    <t>852DC-1584 Grader (&lt;15ft)</t>
  </si>
  <si>
    <t>852DC-1584</t>
  </si>
  <si>
    <t>C.04</t>
  </si>
  <si>
    <t>852DC-1588 Wheel Tractor</t>
  </si>
  <si>
    <t>852DC-1588</t>
  </si>
  <si>
    <t>C.08</t>
  </si>
  <si>
    <t>852DC-1581 Excavators (&lt;110t)</t>
  </si>
  <si>
    <t>852DC-1581</t>
  </si>
  <si>
    <t>C.03</t>
  </si>
  <si>
    <t>852DC-1571 ATV</t>
  </si>
  <si>
    <t>852DC-1571</t>
  </si>
  <si>
    <t>D.01</t>
  </si>
  <si>
    <t>852DC-1572 Light Truck (&lt;4.5t)</t>
  </si>
  <si>
    <t>852DC-1572</t>
  </si>
  <si>
    <t>D.02</t>
  </si>
  <si>
    <t>852DC-1575 ESO Vehicles</t>
  </si>
  <si>
    <t>852DC-1575</t>
  </si>
  <si>
    <t>D.05</t>
  </si>
  <si>
    <t>852DC-1574 People Movers (Buses &amp; Coaches)</t>
  </si>
  <si>
    <t>852DC-1574</t>
  </si>
  <si>
    <t>D.04</t>
  </si>
  <si>
    <t>852DC-1573 LVs</t>
  </si>
  <si>
    <t>852DC-1573</t>
  </si>
  <si>
    <t>D.03</t>
  </si>
  <si>
    <t>001OP-4000 Port Facilities</t>
  </si>
  <si>
    <t>001OP-4000</t>
  </si>
  <si>
    <t>F.02</t>
  </si>
  <si>
    <t>H.</t>
  </si>
  <si>
    <t>850DC-1523 Sub Kiosks</t>
  </si>
  <si>
    <t>850DC-1523</t>
  </si>
  <si>
    <t>G.03</t>
  </si>
  <si>
    <t>856DC Green Rail</t>
  </si>
  <si>
    <t>I.</t>
  </si>
  <si>
    <t>857DC Green Marine</t>
  </si>
  <si>
    <t>J.</t>
  </si>
  <si>
    <t>856DC-1551 Locomotive</t>
  </si>
  <si>
    <t>856DC-1551</t>
  </si>
  <si>
    <t>I.01</t>
  </si>
  <si>
    <t>857DC-1568 Shipping (VLOC)</t>
  </si>
  <si>
    <t>857DC-1568</t>
  </si>
  <si>
    <t>J.01</t>
  </si>
  <si>
    <t>857DC-1569 Towage</t>
  </si>
  <si>
    <t>857DC-1569</t>
  </si>
  <si>
    <t>J.02</t>
  </si>
  <si>
    <t>006OP Ancillary/Other</t>
  </si>
  <si>
    <t>006OP</t>
  </si>
  <si>
    <t>K.</t>
  </si>
  <si>
    <t>853DC-1562 Blasting</t>
  </si>
  <si>
    <t>853DC-1562</t>
  </si>
  <si>
    <t>K.01</t>
  </si>
  <si>
    <t>854DC-5670</t>
  </si>
  <si>
    <t>H.04</t>
  </si>
  <si>
    <t>004OP-1304 Port Ore Stockpile</t>
  </si>
  <si>
    <t>004OP-1304</t>
  </si>
  <si>
    <t>L.04</t>
  </si>
  <si>
    <t>855DC-1544-021 GAF24</t>
  </si>
  <si>
    <t>021</t>
  </si>
  <si>
    <t>855DC-1544-021</t>
  </si>
  <si>
    <t>A.04.09</t>
  </si>
  <si>
    <t>006</t>
  </si>
  <si>
    <t>005OP-0000-006</t>
  </si>
  <si>
    <t>A.04.10</t>
  </si>
  <si>
    <t>855DC-1544-022 Genotech</t>
  </si>
  <si>
    <t>022</t>
  </si>
  <si>
    <t>855DC-1544-022</t>
  </si>
  <si>
    <t>A.04.11</t>
  </si>
  <si>
    <t>005OP-0000-005 Weather Forecasting</t>
  </si>
  <si>
    <t>005OP-0000-005-004</t>
  </si>
  <si>
    <t>A.04.17.04</t>
  </si>
  <si>
    <t>005OP-0000-005-005 Weatherzone</t>
  </si>
  <si>
    <t>005OP-0000-005-005</t>
  </si>
  <si>
    <t>A.04.17.05</t>
  </si>
  <si>
    <t>005OP-0000-005-003</t>
  </si>
  <si>
    <t>A.04.17.03</t>
  </si>
  <si>
    <t>005OP-0000-005-006</t>
  </si>
  <si>
    <t>A.04.17.06</t>
  </si>
  <si>
    <t>005OP-0000-005-002</t>
  </si>
  <si>
    <t>A.04.17.01</t>
  </si>
  <si>
    <t>005OP-0000-007 Shuthub</t>
  </si>
  <si>
    <t>005OP-0000-007</t>
  </si>
  <si>
    <t>A.04.12</t>
  </si>
  <si>
    <t>850DC-1520-0004 Cable Coupler GPS Sensors (LORA)</t>
  </si>
  <si>
    <t>850DC-1520-0004</t>
  </si>
  <si>
    <t>G.04.01</t>
  </si>
  <si>
    <t>005OP-0000-008 MineStar</t>
  </si>
  <si>
    <t>005OP-0000-008</t>
  </si>
  <si>
    <t>A.04.15</t>
  </si>
  <si>
    <t>005OP-0000-009 OrePath</t>
  </si>
  <si>
    <t>005OP-0000-009</t>
  </si>
  <si>
    <t>005OP-0000-005-001 Weather data</t>
  </si>
  <si>
    <t>005OP-0000-005-001</t>
  </si>
  <si>
    <t>A.04.10.01</t>
  </si>
  <si>
    <t>005OP-0000-005</t>
  </si>
  <si>
    <t>A.04.17</t>
  </si>
  <si>
    <t>{312F4FC1-A6F6-44d8-9A85-ED48F3B0E9E0}</t>
  </si>
  <si>
    <t>{B6B3F515-0A11-4687-83DF-2957C078B358}</t>
  </si>
  <si>
    <t>{E22D6A52-9AAE-4b0f-88CB-DC461D91DA25}</t>
  </si>
  <si>
    <t>{98A7899F-6628-4095-8064-1F5F60FC0E81}</t>
  </si>
  <si>
    <t>{2DDC2E63-09AA-4e15-8175-DDB46681F6CA}</t>
  </si>
  <si>
    <t>{B9FF26E5-0A1C-44eb-93BD-8A82A1698DE9}</t>
  </si>
  <si>
    <t>Interface Review 25/11/2025: TBC._x000D_
SBS-WBS Mapping 02/01/2026: Site Energy AI Optimiser to be removed - Not an identified system. Interface deleted.</t>
  </si>
  <si>
    <t>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t>
  </si>
  <si>
    <t>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See Diagram A.03.01 Charge Station Management System (CSMS), A.03.02 Load Management System (LMS), and A.02.03 Mine Electrification SCADA: e.g. F.01 Ore Processing Facility (OPF) and F.03 Dewatering Pumps;_x000D_
See Diagram A.02.02 MECO, A.02.04 Monarch, A.01.01 Eclipse, and A.01.03 Delphi: e.g. F.01 Ore Processing Facility (OPF), F.03 Dewatering Pumps, G.02 Field Switches, and G.03 Sub Kiosks;_x000D_
See Diagram A.01.02 LiveWire: e.g. F.01 Ore Processing Facility (OPF), F.03 Dewatering Pumps, G.02 Field Switches, G.03 Sub Kiosks, G.01 Chargers, and B. Heavy Mobile Equipment (HME)._x000D_
SBS-WBS Mapping 02/01/2026: Delete LME &amp;amp; Merge LME &amp;amp; SME to combined Program Level - Interface deleted.</t>
  </si>
  <si>
    <t>SBSWBS Mapping 02/01/2026: To be deleted - MinePlan is an general term not a separate system</t>
  </si>
  <si>
    <t>SBS-WBS Mapping 02/01/2026: Energy Generation changed to Energy Generation - Solar. Interface covered by DGS-I_0205. Interface deleted.</t>
  </si>
  <si>
    <t>SBS-WBS Mapping 02/01/2026: Delete LME &amp;amp; Merge LME &amp;amp; SME to combined Program Level - Interface deleted.</t>
  </si>
  <si>
    <t>This interface links BESS units to Monarch, enabling the system to monitor storage capacity, state of charge, charge/discharge behaviour, and availability for power dispatch.</t>
  </si>
  <si>
    <t>SBS-WBS Mapping 02/01/2026: Remove this Item [Battery Energy Storage Systems (BESS) - DC] &amp;amp; Merge all links to above item (854DC-5680-0001) - For simplicity of System Architecture Project level to group BESS together (no reference to AC or DC). This interface is covered by DGS-I_0200 - Interface deleted.</t>
  </si>
  <si>
    <t>SBS-WBS Mapping 02/01/2026: Gas Usage to be removed - Not an identified system. Interface deleted.</t>
  </si>
  <si>
    <t>DGS-I_0355</t>
  </si>
  <si>
    <t>{D779FC2F-2F28-4ac2-9EA5-06F687690F1B}</t>
  </si>
  <si>
    <t>DGS-I_0356</t>
  </si>
  <si>
    <t>{0C4E7A0A-385B-4ef4-B022-A6C2E1DE46C6}</t>
  </si>
  <si>
    <t>Archive - 855DC-1544-026 Solar and Wind Modelling Gen-AI</t>
  </si>
  <si>
    <t>Archive - 855DC-1544-025 Site Energy AI Optimiser</t>
  </si>
  <si>
    <t>Archive - 854DC-5680-- Battery Energy Storage Systems (BESS) - DC</t>
  </si>
  <si>
    <t>Archive - 852DC Light Mobile Equipment (LME)</t>
  </si>
  <si>
    <t>Archive - 005OP-0000-- Mineplan [A.04.06]</t>
  </si>
  <si>
    <t>Archive - 855DC-1544-023 Gas usage</t>
  </si>
  <si>
    <t>Weather Forecasting (External)|855DC-1541-DEL Delphi</t>
  </si>
  <si>
    <t>External Software|855DC Decarb Green Systems</t>
  </si>
  <si>
    <t>External Software|855DC-1541 Planning and Forecast Systems</t>
  </si>
  <si>
    <t>External Software|855DC-1541-DEL Delphi</t>
  </si>
  <si>
    <t>005OP-0000-011 Fortescue Maps (ArcGIS) Geographical Information System (GIS)|855DC-1541-005 HaulAI</t>
  </si>
  <si>
    <t>005OP IT/OT Systems|855DC Decarb Green Systems</t>
  </si>
  <si>
    <t>N/A|855DC-1541 Planning and Forecast Systems</t>
  </si>
  <si>
    <t>Non FMG Power Assets|854DC-5660 HV Transmission lines</t>
  </si>
  <si>
    <t>External Physical Asset|854DC Green Power</t>
  </si>
  <si>
    <t>External Physical Asset|854DC-5660 HV Transmission lines</t>
  </si>
  <si>
    <t>005OP-0000-012 SAP|855DC-1541-DEL Delphi</t>
  </si>
  <si>
    <t>855DC-1541-DEL Delphi|855DC-1543-007 MECO</t>
  </si>
  <si>
    <t>855DC Decarb Green Systems|855DC Decarb Green Systems</t>
  </si>
  <si>
    <t>855DC-1541 Planning and Forecast Systems|855DC-1543 Existing Systems - Green Enhancement</t>
  </si>
  <si>
    <t>855DC-1541-DEL Delphi|Archive - 855DC-1544-026 Solar and Wind Modelling Gen-AI</t>
  </si>
  <si>
    <t>005OP-0000-012 SAP|855DC-1541-LIV LiveWire</t>
  </si>
  <si>
    <t>005OP-0000-002 ALF|855DC-1541-DEL Delphi</t>
  </si>
  <si>
    <t>005OP-0000-003 FLO|855DC-1541-DEL Delphi</t>
  </si>
  <si>
    <t>855DC-1541-ECL Eclipse|855DC-1542-CSM Charge Station Management System (CSMS)</t>
  </si>
  <si>
    <t>855DC-1541 Planning and Forecast Systems|855DC-1542 Control &amp; Monitoring Systems</t>
  </si>
  <si>
    <t>855DC-1541-ECL Eclipse|Archive - 855DC-1544-025 Site Energy AI Optimiser</t>
  </si>
  <si>
    <t>855DC-1541-ECL Eclipse|005OP-0000-004 Alastri</t>
  </si>
  <si>
    <t>855DC Decarb Green Systems|005OP IT/OT Systems</t>
  </si>
  <si>
    <t>855DC-1541 Planning and Forecast Systems|N/A</t>
  </si>
  <si>
    <t>855DC-1541-ECL Eclipse|855DC-1542-009 Elysia</t>
  </si>
  <si>
    <t>855DC-1541-ECL Eclipse|859DC-1410-001 HaulX</t>
  </si>
  <si>
    <t>855DC Decarb Green Systems|859DC HaulX</t>
  </si>
  <si>
    <t>855DC-1541-ECL Eclipse|855DC-1543-008 Monarch</t>
  </si>
  <si>
    <t>005OP-0000-002 ALF|855DC-1541-ECL Eclipse</t>
  </si>
  <si>
    <t>005OP-0000-003 FLO|855DC-1541-ECL Eclipse</t>
  </si>
  <si>
    <t>855DC-1541-DEL Delphi|855DC-1541-ECL Eclipse</t>
  </si>
  <si>
    <t>855DC-1541 Planning and Forecast Systems|855DC-1541 Planning and Forecast Systems</t>
  </si>
  <si>
    <t>855DC-1541-ECL Eclipse|005OP-0000-013 Cimplicity</t>
  </si>
  <si>
    <t>855DC-1541-DEL Delphi|005OP-0000-004 Alastri</t>
  </si>
  <si>
    <t>855DC-1542-CSM Charge Station Management System (CSMS)|855DC-1541-DEL Delphi</t>
  </si>
  <si>
    <t>855DC-1542 Control &amp; Monitoring Systems|855DC-1541 Planning and Forecast Systems</t>
  </si>
  <si>
    <t>859DC-1410-001 HaulX|855DC-1541-DEL Delphi</t>
  </si>
  <si>
    <t>859DC HaulX|855DC Decarb Green Systems</t>
  </si>
  <si>
    <t>855DC-1541-LIV LiveWire|855DC-1542-008 Mine Electrification SCADA</t>
  </si>
  <si>
    <t>855DC-1541-LIV LiveWire|005OP-0000-004 Alastri</t>
  </si>
  <si>
    <t>855DC-1541-005 HaulAI|005OP-0000-004 Alastri</t>
  </si>
  <si>
    <t>855DC-1541-005 HaulAI|859DC-1410-001 HaulX</t>
  </si>
  <si>
    <t>859DC-1410-001 HaulX|005OP-0000-004 Alastri</t>
  </si>
  <si>
    <t>859DC HaulX|005OP IT/OT Systems</t>
  </si>
  <si>
    <t>855DC-1543-008 Monarch|855DC-1542-CSM Charge Station Management System (CSMS)</t>
  </si>
  <si>
    <t>855DC-1543 Existing Systems - Green Enhancement|855DC-1542 Control &amp; Monitoring Systems</t>
  </si>
  <si>
    <t>855DC-1542-LMS Load Management System (LMS)|855DC-1542-CSM Charge Station Management System (CSMS)</t>
  </si>
  <si>
    <t>855DC-1542 Control &amp; Monitoring Systems|855DC-1542 Control &amp; Monitoring Systems</t>
  </si>
  <si>
    <t>855DC-1542-LMS Load Management System (LMS)|855DC-1542-008 Mine Electrification SCADA</t>
  </si>
  <si>
    <t>855DC-1542 Control &amp; Monitoring Systems|855DC-1543 Existing Systems - Green Enhancement</t>
  </si>
  <si>
    <t>854DC-5670-0001 Solar Photovoltaic (PV) Farms|Archive - 854DC-5680-- Battery Energy Storage Systems (BESS) - DC</t>
  </si>
  <si>
    <t>003OP-5612 Diesel Generators|855DC-1543-008 Monarch</t>
  </si>
  <si>
    <t>003OP Power Generation &amp; Transmission|855DC Decarb Green Systems</t>
  </si>
  <si>
    <t>003OP-5612 Diesel Generators|855DC-1543 Existing Systems - Green Enhancement</t>
  </si>
  <si>
    <t>N/A|855DC-1543-008 Monarch</t>
  </si>
  <si>
    <t>850DC-1510 Chargers|859DC-1410-001 HaulX</t>
  </si>
  <si>
    <t>850DC Decarb Infrastructure|859DC HaulX</t>
  </si>
  <si>
    <t>850DC-1510 Chargers|N/A</t>
  </si>
  <si>
    <t>N/A|859DC-1410-001 HaulX</t>
  </si>
  <si>
    <t>855DC-1542-LMS Load Management System (LMS)|853DC-1561 Drill Rig</t>
  </si>
  <si>
    <t>855DC Decarb Green Systems|853DC Decarb Ancillary</t>
  </si>
  <si>
    <t>855DC-1542 Control &amp; Monitoring Systems|853DC-1561 Drill Rig</t>
  </si>
  <si>
    <t>855DC-1542-LMS Load Management System (LMS)|N/A</t>
  </si>
  <si>
    <t>854DC-1521 HV Substations|855DC-1543-008 Monarch</t>
  </si>
  <si>
    <t>854DC Green Power|855DC Decarb Green Systems</t>
  </si>
  <si>
    <t>854DC-1521 HV Substations|855DC-1543 Existing Systems - Green Enhancement</t>
  </si>
  <si>
    <t>855DC-1541-ECL Eclipse|003OP-1800 Gas pipeline</t>
  </si>
  <si>
    <t>855DC Decarb Green Systems|003OP Power Generation &amp; Transmission</t>
  </si>
  <si>
    <t>855DC-1541 Planning and Forecast Systems|003OP-1800 Gas pipeline</t>
  </si>
  <si>
    <t>855DC-1541-ECL Eclipse|N/A</t>
  </si>
  <si>
    <t>852DC Light Mobile Equipment (LME) &amp; Support Mobile Equipment (SME)|859DC-1410-001 HaulX</t>
  </si>
  <si>
    <t>852DC Light Mobile Equipment (LME) &amp; Support Mobile Equipment (SME)|859DC HaulX</t>
  </si>
  <si>
    <t>851DC Heavy Mobile Equipment (HME)|859DC-1410-001 HaulX</t>
  </si>
  <si>
    <t>851DC Heavy Mobile Equipment (HME)|859DC HaulX</t>
  </si>
  <si>
    <t>854DC-5680 Battery Energy Storage System (BESS)|855DC-1543-008 Monarch</t>
  </si>
  <si>
    <t>854DC-5680 Battery Energy Storage System (BESS)|855DC-1543 Existing Systems - Green Enhancement</t>
  </si>
  <si>
    <t>854DC-5670 Energy Generation - Solar|855DC-1543-008 Monarch</t>
  </si>
  <si>
    <t>854DC-5670 Energy Generation - Solar|855DC-1543 Existing Systems - Green Enhancement</t>
  </si>
  <si>
    <t>854DC-1521 HV Substations|850DC-1522 Field Switches</t>
  </si>
  <si>
    <t>854DC Green Power|850DC Decarb Infrastructure</t>
  </si>
  <si>
    <t>850DC-1510 Chargers|850DC-1520 Trailing Cable</t>
  </si>
  <si>
    <t>850DC Decarb Infrastructure|850DC Decarb Infrastructure</t>
  </si>
  <si>
    <t>852DC Light Mobile Equipment (LME) &amp; Support Mobile Equipment (SME)|850DC-1514-0003 LME / SME Chargers</t>
  </si>
  <si>
    <t>852DC Light Mobile Equipment (LME) &amp; Support Mobile Equipment (SME)|850DC Decarb Infrastructure</t>
  </si>
  <si>
    <t>N/A|850DC-1510 Chargers</t>
  </si>
  <si>
    <t>N/A|850DC-1514-0003 LME / SME Chargers</t>
  </si>
  <si>
    <t>852DC Light Mobile Equipment (LME) &amp; Support Mobile Equipment (SME)|850DC-1513-0002 HME Auxilary Chargers</t>
  </si>
  <si>
    <t>N/A|850DC-1513-0002 HME Auxilary Chargers</t>
  </si>
  <si>
    <t>851DC Heavy Mobile Equipment (HME)|850DC-1512-0001 HME Chargers - Gen1</t>
  </si>
  <si>
    <t>851DC Heavy Mobile Equipment (HME)|850DC Decarb Infrastructure</t>
  </si>
  <si>
    <t>N/A|850DC-1512-0001 HME Chargers - Gen1</t>
  </si>
  <si>
    <t>003OP-5611 Gas Power Station|855DC-1543-008 Monarch</t>
  </si>
  <si>
    <t>003OP-5611 Gas Power Station|855DC-1543 Existing Systems - Green Enhancement</t>
  </si>
  <si>
    <t>854DC-5660 HV Transmission lines|855DC-1543-008 Monarch</t>
  </si>
  <si>
    <t>854DC-5660 HV Transmission lines|855DC-1543 Existing Systems - Green Enhancement</t>
  </si>
  <si>
    <t>Archive - 852DC Light Mobile Equipment (LME)|859DC-1410-001 HaulX</t>
  </si>
  <si>
    <t>853DC-1561 Drill Rig|859DC-1410-001 HaulX</t>
  </si>
  <si>
    <t>853DC Decarb Ancillary|859DC HaulX</t>
  </si>
  <si>
    <t>853DC-1561 Drill Rig|N/A</t>
  </si>
  <si>
    <t>850DC-1523 Sub Kiosks|855DC-1542-008 Mine Electrification SCADA</t>
  </si>
  <si>
    <t>850DC Decarb Infrastructure|855DC Decarb Green Systems</t>
  </si>
  <si>
    <t>N/A|855DC-1542-008 Mine Electrification SCADA</t>
  </si>
  <si>
    <t>854DC-1521 HV Substations|855DC-1542-CSM Charge Station Management System (CSMS)</t>
  </si>
  <si>
    <t>854DC-1521 HV Substations|855DC-1542 Control &amp; Monitoring Systems</t>
  </si>
  <si>
    <t>N/A|855DC-1542-CSM Charge Station Management System (CSMS)</t>
  </si>
  <si>
    <t>854DC-1521 HV Substations|855DC-1542-008 Mine Electrification SCADA</t>
  </si>
  <si>
    <t>850DC-1512-0001 HME Chargers - Gen1|855DC-1542-008 Mine Electrification SCADA</t>
  </si>
  <si>
    <t>850DC-1522 Field Switches|855DC-1542-008 Mine Electrification SCADA</t>
  </si>
  <si>
    <t>850DC-1510 Chargers|855DC-1542-CSM Charge Station Management System (CSMS)</t>
  </si>
  <si>
    <t>850DC-1510 Chargers|855DC-1542 Control &amp; Monitoring Systems</t>
  </si>
  <si>
    <t>854DC-1521 HV Substations|854DC-5660 HV Transmission lines</t>
  </si>
  <si>
    <t>854DC Green Power|854DC Green Power</t>
  </si>
  <si>
    <t>854DC-5680 Battery Energy Storage System (BESS)|854DC-1521 HV Substations</t>
  </si>
  <si>
    <t>854DC-5670 Energy Generation - Solar|854DC-1521 HV Substations</t>
  </si>
  <si>
    <t>850DC-1522 Field Switches|850DC-1523 Sub Kiosks</t>
  </si>
  <si>
    <t>850DC-1523 Sub Kiosks|850DC-1520 Trailing Cable</t>
  </si>
  <si>
    <t>853DC-1561 Drill Rig|850DC-1520 Trailing Cable</t>
  </si>
  <si>
    <t>853DC Decarb Ancillary|850DC Decarb Infrastructure</t>
  </si>
  <si>
    <t>003OP-5612 Diesel Generators|854DC-1521 HV Substations</t>
  </si>
  <si>
    <t>003OP Power Generation &amp; Transmission|854DC Green Power</t>
  </si>
  <si>
    <t>003OP-1800 Gas pipeline|003OP-5611 Gas Power Station</t>
  </si>
  <si>
    <t>003OP Power Generation &amp; Transmission|003OP Power Generation &amp; Transmission</t>
  </si>
  <si>
    <t>003OP-5611 Gas Power Station|854DC-1521 HV Substations</t>
  </si>
  <si>
    <t>004OP-1301 Run of Mine (ROM)|001OP-2110 Primary Crusher</t>
  </si>
  <si>
    <t>004OP Product Storage|001OP Fixed Process Plant</t>
  </si>
  <si>
    <t>001OP-2110 Primary Crusher|004OP-1302 Coarse Ore Stockpile (COS)</t>
  </si>
  <si>
    <t>001OP Fixed Process Plant|004OP Product Storage</t>
  </si>
  <si>
    <t>002OP-1800 CCTV|850DC-1523 Sub Kiosks</t>
  </si>
  <si>
    <t>002OP Non-Process Infrastructure (NPI)|850DC Decarb Infrastructure</t>
  </si>
  <si>
    <t>002OP-2000 Dewatering Pumps|850DC-1520 Trailing Cable</t>
  </si>
  <si>
    <t>004OP-1302 Coarse Ore Stockpile (COS)|001OP-2003 Concentrate Handling Facility (CHF)</t>
  </si>
  <si>
    <t>001OP-2001 Ore Processing Facility (OPF)|004OP-1303 Train Loadout (TLO) Ore Stockpile</t>
  </si>
  <si>
    <t>004OP-1302 Coarse Ore Stockpile (COS)|001OP-2001 Ore Processing Facility (OPF)</t>
  </si>
  <si>
    <t>004OP-1303 Train Loadout (TLO) Ore Stockpile|001OP-2920 Train Load Out (TLO)</t>
  </si>
  <si>
    <t>001OP-2003 Concentrate Handling Facility (CHF)|004OP-1304 Port Ore Stockpile</t>
  </si>
  <si>
    <t>004OP-1304 Port Ore Stockpile|001OP-3720 Concentrate Pipeline</t>
  </si>
  <si>
    <t>001OP-2920 Train Load Out (TLO)|001OP-4160 Train Unloader (TUL)</t>
  </si>
  <si>
    <t>001OP Fixed Process Plant|001OP Fixed Process Plant</t>
  </si>
  <si>
    <t>001OP-4160 Train Unloader (TUL)|001OP-4000 Port Facilities</t>
  </si>
  <si>
    <t>001OP-4000 Port Facilities|001OP-2700 Material Handling Equipment</t>
  </si>
  <si>
    <t>001OP-3720 Concentrate Pipeline|001OP-4000 Port Facilities</t>
  </si>
  <si>
    <t>Archive - 005OP-0000-- Mineplan [A.04.06]|859DC-1410-001 HaulX</t>
  </si>
  <si>
    <t>855DC-1542-LMS Load Management System (LMS)|855DC-1543-008 Monarch</t>
  </si>
  <si>
    <t>855DC Decarb Green Systems|N/A</t>
  </si>
  <si>
    <t>Integrated Planning|855DC-1541-ECL Eclipse</t>
  </si>
  <si>
    <t>N/A|855DC Decarb Green Systems</t>
  </si>
  <si>
    <t>N/A|855DC-1541-ECL Eclipse</t>
  </si>
  <si>
    <t>HIVE|855DC-1541-ECL Eclipse</t>
  </si>
  <si>
    <t>Technical Services|855DC-1541-ECL Eclipse</t>
  </si>
  <si>
    <t>Operations Planning|855DC-1541-ECL Eclipse</t>
  </si>
  <si>
    <t>855DC-1541-LIV LiveWire|Mine Services</t>
  </si>
  <si>
    <t>855DC-1541-LIV LiveWire|N/A</t>
  </si>
  <si>
    <t>Asset Health|855DC-1541-LIV LiveWire</t>
  </si>
  <si>
    <t>N/A|855DC-1541-LIV LiveWire</t>
  </si>
  <si>
    <t>855DC-1541-LIV LiveWire|Operations Planning</t>
  </si>
  <si>
    <t>855DC-1541-ECL-002 Online Security Constrained Unit Commitment (SCUC)|855DC-1542-CSM Charge Station Management System (CSMS)</t>
  </si>
  <si>
    <t>855DC-1541-ECL-002 Online Security Constrained Unit Commitment (SCUC)|Archive - 855DC-1544-025 Site Energy AI Optimiser</t>
  </si>
  <si>
    <t>855DC-1542-009 Elysia|855DC-1541-ECL-002 Online Security Constrained Unit Commitment (SCUC)</t>
  </si>
  <si>
    <t>855DC-1542-009 Elysia|855DC-1541-ECL Eclipse</t>
  </si>
  <si>
    <t>855DC-1541-ECL-002 Online Security Constrained Unit Commitment (SCUC)|859DC-1410-001-001 HaulX Dispatch (Fleet Management System (FMS))</t>
  </si>
  <si>
    <t>855DC-1543-008 Monarch|855DC-1541-ECL-002 Online Security Constrained Unit Commitment (SCUC)</t>
  </si>
  <si>
    <t>855DC-1543 Existing Systems - Green Enhancement|855DC-1541 Planning and Forecast Systems</t>
  </si>
  <si>
    <t>855DC-1543-008 Monarch|855DC-1541-ECL Eclipse</t>
  </si>
  <si>
    <t>855DC-1541-ECL-001 Eclipse Planning|005OP-0000-002 ALF</t>
  </si>
  <si>
    <t>855DC-1541-ECL Eclipse|005OP-0000-002 ALF</t>
  </si>
  <si>
    <t>855DC-1541-ECL-001 Eclipse Planning|005OP-0000-003 FLO</t>
  </si>
  <si>
    <t>855DC-1541-ECL Eclipse|005OP-0000-003 FLO</t>
  </si>
  <si>
    <t>855DC-1541-ECL-002 Online Security Constrained Unit Commitment (SCUC)|855DC-1541-DEL Delphi</t>
  </si>
  <si>
    <t>855DC-1541-ECL Eclipse|855DC-1541-DEL Delphi</t>
  </si>
  <si>
    <t>005OP-0000-013 Cimplicity|855DC-1541-ECL-002 Online Security Constrained Unit Commitment (SCUC)</t>
  </si>
  <si>
    <t>005OP-0000-013 Cimplicity|855DC-1541-ECL Eclipse</t>
  </si>
  <si>
    <t>850DC-1512-0001 HME Chargers - Gen1|859DC-1410-001-001 HaulX Dispatch (Fleet Management System (FMS))</t>
  </si>
  <si>
    <t>850DC-1512-0001 HME Chargers - Gen1|859DC-1410-001 HaulX</t>
  </si>
  <si>
    <t>855DC-1541-ECL-002 Online Security Constrained Unit Commitment (SCUC)|003OP-1800 Gas pipeline</t>
  </si>
  <si>
    <t>855DC-1541-ECL-001 Eclipse Planning|Operations Planning</t>
  </si>
  <si>
    <t>HIVE|855DC-1541-ECL-002 Online Security Constrained Unit Commitment (SCUC)</t>
  </si>
  <si>
    <t>855DC-1541-ECL-001 Eclipse Planning|Technical Services</t>
  </si>
  <si>
    <t>855DC-1541-ECL-001 Eclipse Planning|Integrated Planning</t>
  </si>
  <si>
    <t>850DC-1510 Chargers|855DC-1542-008 Mine Electrification SCADA</t>
  </si>
  <si>
    <t>Archive - 852DC Light Mobile Equipment (LME)|850DC-1510 Chargers</t>
  </si>
  <si>
    <t>852DC Light Mobile Equipment (LME) &amp; Support Mobile Equipment (SME)|850DC-1510 Chargers</t>
  </si>
  <si>
    <t>851DC Heavy Mobile Equipment (HME)|850DC-1510 Chargers</t>
  </si>
  <si>
    <t>859DC-1410-001-001 HaulX Dispatch (Fleet Management System (FMS))|852DC Light Mobile Equipment (LME) &amp; Support Mobile Equipment (SME)</t>
  </si>
  <si>
    <t>859DC HaulX|852DC Light Mobile Equipment (LME) &amp; Support Mobile Equipment (SME)</t>
  </si>
  <si>
    <t>859DC-1410-001 HaulX|N/A</t>
  </si>
  <si>
    <t>854DC-5670 Energy Generation - Solar|854DC-5680 Battery Energy Storage System (BESS)</t>
  </si>
  <si>
    <t>855DC-1542-LMS Load Management System (LMS)|HIVE</t>
  </si>
  <si>
    <t>855DC-1542 Control &amp; Monitoring Systems|N/A</t>
  </si>
  <si>
    <t>Mining Operations|855DC-1542-LMS Load Management System (LMS)</t>
  </si>
  <si>
    <t>N/A|855DC-1542 Control &amp; Monitoring Systems</t>
  </si>
  <si>
    <t>N/A|855DC-1542-LMS Load Management System (LMS)</t>
  </si>
  <si>
    <t>855DC-1542-LMS Load Management System (LMS)|Mine Services</t>
  </si>
  <si>
    <t>851DC Heavy Mobile Equipment (HME)|855DC-1542-LMS Load Management System (LMS)</t>
  </si>
  <si>
    <t>851DC Heavy Mobile Equipment (HME)|855DC Decarb Green Systems</t>
  </si>
  <si>
    <t>855DC-1542-LMS Load Management System (LMS)|851DC-1591 Excavator (&gt;110t)</t>
  </si>
  <si>
    <t>855DC Decarb Green Systems|851DC Heavy Mobile Equipment (HME)</t>
  </si>
  <si>
    <t>855DC-1542 Control &amp; Monitoring Systems|851DC-1591 Excavator (&gt;110t)</t>
  </si>
  <si>
    <t>855DC-1542-LMS Load Management System (LMS)|855DC-1542-CSM-002 vCharM.Edge</t>
  </si>
  <si>
    <t>854DC-1521-0001 Substation (33kV)|855DC-1542-CSM-002 vCharM.Edge</t>
  </si>
  <si>
    <t>854DC-1521-0001 Substation (33kV)|855DC-1542-CSM Charge Station Management System (CSMS)</t>
  </si>
  <si>
    <t>855DC-1542-CSM-001 vCharM by Vector|850DC-1512-0001 HME Chargers - Gen1</t>
  </si>
  <si>
    <t>855DC Decarb Green Systems|850DC Decarb Infrastructure</t>
  </si>
  <si>
    <t>855DC-1542 Control &amp; Monitoring Systems|850DC-1510 Chargers</t>
  </si>
  <si>
    <t>855DC-1542-CSM Charge Station Management System (CSMS)|850DC-1512-0001 HME Chargers - Gen1</t>
  </si>
  <si>
    <t>855DC-1542-CSM-001 vCharM by Vector|850DC-1513-0002 HME Auxilary Chargers</t>
  </si>
  <si>
    <t>855DC-1542-CSM Charge Station Management System (CSMS)|850DC-1513-0002 HME Auxilary Chargers</t>
  </si>
  <si>
    <t>855DC-1542-CSM-001 vCharM by Vector|850DC-1514-0003 LME / SME Chargers</t>
  </si>
  <si>
    <t>855DC-1542-CSM Charge Station Management System (CSMS)|850DC-1514-0003 LME / SME Chargers</t>
  </si>
  <si>
    <t>855DC-1543-008 Monarch|855DC-1542-CSM-001 vCharM by Vector</t>
  </si>
  <si>
    <t>005OP IT/OT Systems|854DC Green Power</t>
  </si>
  <si>
    <t>N/A|854DC-1521 HV Substations</t>
  </si>
  <si>
    <t>005OP IT/OT Systems|850DC Decarb Infrastructure</t>
  </si>
  <si>
    <t>N/A|850DC-1522 Field Switches</t>
  </si>
  <si>
    <t>005OP-0000-017-002 Fire SCADA|850DC-1512-0001 HME Chargers - Gen1</t>
  </si>
  <si>
    <t>005OP-0000-017-001 Non-Process Infrastructure (NPI) SCADA|850DC-1512-0001 HME Chargers - Gen1</t>
  </si>
  <si>
    <t>N/A|850DC-1523 Sub Kiosks</t>
  </si>
  <si>
    <t>855DC-1542-008 Mine Electrification SCADA|HIVE</t>
  </si>
  <si>
    <t>855DC-1543 Existing Systems - Green Enhancement|N/A</t>
  </si>
  <si>
    <t>855DC-1542-008 Mine Electrification SCADA|N/A</t>
  </si>
  <si>
    <t>Mining Operations|855DC-1542-008 Mine Electrification SCADA</t>
  </si>
  <si>
    <t>N/A|855DC-1543 Existing Systems - Green Enhancement</t>
  </si>
  <si>
    <t>855DC-1542-008 Mine Electrification SCADA|Mine Services</t>
  </si>
  <si>
    <t>005OP IT/OT Systems|N/A</t>
  </si>
  <si>
    <t>005OP-0000-017-001 Non-Process Infrastructure (NPI) SCADA|Non-Process Infrastructure (NPI) Maintenance Controller</t>
  </si>
  <si>
    <t>005OP-0000-017-002 Fire SCADA|ESO</t>
  </si>
  <si>
    <t>Non-Process Infrastructure (NPI) Maintenance Controller|855DC-1542-008 Mine Electrification SCADA</t>
  </si>
  <si>
    <t>ESO|855DC-1542-008 Mine Electrification SCADA</t>
  </si>
  <si>
    <t>855DC-1542-CSM-002 vCharM.Edge|850DC-1512-0001 HME Chargers - Gen1</t>
  </si>
  <si>
    <t>855DC-1542-CSM Charge Station Management System (CSMS)|HIVE</t>
  </si>
  <si>
    <t>855DC-1542-CSM Charge Station Management System (CSMS)|N/A</t>
  </si>
  <si>
    <t>855DC-1542-CSM Charge Station Management System (CSMS)|Mine Services</t>
  </si>
  <si>
    <t>855DC-1542-CSM Charge Station Management System (CSMS)|Mining Operations</t>
  </si>
  <si>
    <t>855DC-1542-CSM Charge Station Management System (CSMS)|Non-Process Infrastructure (NPI) Maintenance Controller</t>
  </si>
  <si>
    <t>855DC-1541-ECL-003 Plexos|855DC-1544-021 GAF24</t>
  </si>
  <si>
    <t>855DC-1541 Planning and Forecast Systems|855DC-1544 Unassigned / TBC</t>
  </si>
  <si>
    <t>855DC-1541-ECL Eclipse|855DC-1544-021 GAF24</t>
  </si>
  <si>
    <t>855DC-1542-CSM-001 vCharM by Vector|855DC-1541-004 ORCA</t>
  </si>
  <si>
    <t>855DC-1542-CSM Charge Station Management System (CSMS)|855DC-1541-004 ORCA</t>
  </si>
  <si>
    <t>855DC-1542-CSM-002 vCharM.Edge|850DC-1512-0001-004 AC1 (Automated Connection) for T264 Charging Loads</t>
  </si>
  <si>
    <t>855DC-1542-CSM-001 vCharM by Vector|850DC-1512-0001-004 AC1 (Automated Connection) for T264 Charging Loads</t>
  </si>
  <si>
    <t>859DC-1410-001-004 HaulX Shield (Collision Avoidance System)|852DC Light Mobile Equipment (LME) &amp; Support Mobile Equipment (SME)</t>
  </si>
  <si>
    <t>859DC-1410-001-002 HaulX Control (Autonomous Haulage System)|851DC Heavy Mobile Equipment (HME)</t>
  </si>
  <si>
    <t>859DC HaulX|851DC Heavy Mobile Equipment (HME)</t>
  </si>
  <si>
    <t>859DC-1410-001-001 HaulX Dispatch (Fleet Management System (FMS))|851DC Heavy Mobile Equipment (HME)</t>
  </si>
  <si>
    <t>Archive - 852DC Light Mobile Equipment (LME)|859DC-1410-001-004 HaulX Shield (Collision Avoidance System)</t>
  </si>
  <si>
    <t>859DC-1410-001-004 HaulX Shield (Collision Avoidance System)|851DC Heavy Mobile Equipment (HME)</t>
  </si>
  <si>
    <t>859DC-1410-001-003 HaulX Precision (High Precision Machine Guidance)|851DC Heavy Mobile Equipment (HME)</t>
  </si>
  <si>
    <t>852DC Light Mobile Equipment (LME) &amp; Support Mobile Equipment (SME)|859DC-1410-001-003 HaulX Precision (High Precision Machine Guidance)</t>
  </si>
  <si>
    <t>853DC-1561 Drill Rig|859DC-1410-001-003 HaulX Precision (High Precision Machine Guidance)</t>
  </si>
  <si>
    <t>005OP IT/OT Systems|859DC HaulX</t>
  </si>
  <si>
    <t>005OP-0000-004 Alastri|859DC-1410-001 HaulX</t>
  </si>
  <si>
    <t>005OP-0000-004-001 Alastri Haul Infinity|859DC-1410-001-001 HaulX Dispatch (Fleet Management System (FMS))</t>
  </si>
  <si>
    <t>855DC-1541-DEL Delphi|859DC-1410-001-001 HaulX Dispatch (Fleet Management System (FMS))</t>
  </si>
  <si>
    <t>855DC-1541-DEL Delphi|859DC-1410-001 HaulX</t>
  </si>
  <si>
    <t>005OP-0000-004 Alastri|855DC-1541-DEL Delphi</t>
  </si>
  <si>
    <t>005OP-0000-004 Alastri|855DC-1541-LIV LiveWire</t>
  </si>
  <si>
    <t>855DC-1541-ECL-003 Plexos|855DC-1543-008-003 OpenAGC (Automatic Generation Control)</t>
  </si>
  <si>
    <t>855DC-1541-DEL Delphi|HIVE</t>
  </si>
  <si>
    <t>855DC-1541-DEL Delphi|N/A</t>
  </si>
  <si>
    <t>855DC-1541-DEL Delphi|Integrated Planning</t>
  </si>
  <si>
    <t>855DC-1541-DEL Delphi|Operations Planning</t>
  </si>
  <si>
    <t>855DC-1541-ECL-001 Eclipse Planning|855DC-1541-DEL Delphi</t>
  </si>
  <si>
    <t>855DC-1541-ECL-003 Plexos|855DC-1541-DEL Delphi</t>
  </si>
  <si>
    <t>855DC-1543-008 Monarch|N/A</t>
  </si>
  <si>
    <t>Power Projects|855DC-1543-008 Monarch</t>
  </si>
  <si>
    <t>854DC-5680-0001 Battery Energy Storage Systems (BESS)|855DC-1543-008 Monarch</t>
  </si>
  <si>
    <t>Archive - 854DC-5680-- Battery Energy Storage Systems (BESS) - DC|855DC-1543-008 Monarch</t>
  </si>
  <si>
    <t>854DC-5680-0003 Long Duration Energy Storage|855DC-1543-008 Monarch</t>
  </si>
  <si>
    <t>854DC-5680-0002 Mobile Battery Bank|855DC-1543-008 Monarch</t>
  </si>
  <si>
    <t>854DC-5690-0001 Wind Farms|855DC-1543-008 Monarch</t>
  </si>
  <si>
    <t>854DC-5690 Energy Generation - Wind|855DC-1543 Existing Systems - Green Enhancement</t>
  </si>
  <si>
    <t>854DC-5670-0001 Solar Photovoltaic (PV) Farms|855DC-1543-008 Monarch</t>
  </si>
  <si>
    <t>854DC-1521-0006 Substation (11kV)|855DC-1543-008 Monarch</t>
  </si>
  <si>
    <t>854DC-1521-0005 Substation (22kV)|855DC-1543-008 Monarch</t>
  </si>
  <si>
    <t>854DC-1521-0002 Substation (66kV)|855DC-1543-008 Monarch</t>
  </si>
  <si>
    <t>854DC-1521-0003 Substation (132kV)|855DC-1543-008 Monarch</t>
  </si>
  <si>
    <t>854DC-1521-0004 Substation (220kV)|855DC-1543-008 Monarch</t>
  </si>
  <si>
    <t>854DC-1521-0001 Substation (33kV)|855DC-1543-008 Monarch</t>
  </si>
  <si>
    <t>850DC Decarb Infrastructure|005OP IT/OT Systems</t>
  </si>
  <si>
    <t>N/A|855DC-1541-DEL Delphi</t>
  </si>
  <si>
    <t>855DC-1544-021 GAF24|855DC-1541-ECL Eclipse</t>
  </si>
  <si>
    <t>855DC-1544 Unassigned / TBC|855DC-1541 Planning and Forecast Systems</t>
  </si>
  <si>
    <t>855DC-1541-005 HaulAI|859DC-1410-001-001 HaulX Dispatch (Fleet Management System (FMS))</t>
  </si>
  <si>
    <t>005OP-0000-004 Alastri|855DC-1541-005 HaulAI</t>
  </si>
  <si>
    <t>005OP-0000-017-001 Non-Process Infrastructure (NPI) SCADA|850DC-1512-0001-004 AC1 (Automated Connection) for T264 Charging Loads</t>
  </si>
  <si>
    <t>859DC-1410-001-001 HaulX Dispatch (Fleet Management System (FMS))|850DC-1512-0001-001 SW1+AP1 (Switchroom)</t>
  </si>
  <si>
    <t>859DC HaulX|850DC Decarb Infrastructure</t>
  </si>
  <si>
    <t>859DC-1410-001 HaulX|850DC-1512-0001 HME Chargers - Gen1</t>
  </si>
  <si>
    <t>002OP-1800 CCTV|850DC-1512-0001-004 AC1 (Automated Connection) for T264 Charging Loads</t>
  </si>
  <si>
    <t>002OP-1800 CCTV|850DC-1510 Chargers</t>
  </si>
  <si>
    <t>851DC-1592 Haulage|850DC-1512-0001-004 AC1 (Automated Connection) for T264 Charging Loads</t>
  </si>
  <si>
    <t>851DC-1592 Haulage|850DC-1510 Chargers</t>
  </si>
  <si>
    <t>005OP-0000-017-002 Fire SCADA|850DC-1512-0001-001 SW1+AP1 (Switchroom)</t>
  </si>
  <si>
    <t>851DC-1592 Haulage|859DC-1410-001-002 HaulX Control (Autonomous Haulage System)</t>
  </si>
  <si>
    <t>851DC-1592 Haulage|N/A</t>
  </si>
  <si>
    <t>850DC-1520 Trailing Cable|851DC-1591 Excavator (&gt;110t)</t>
  </si>
  <si>
    <t>850DC Decarb Infrastructure|851DC Heavy Mobile Equipment (HME)</t>
  </si>
  <si>
    <t>Solomon Mine Hub: Thermal Generators|855DC-1543-008 Monarch</t>
  </si>
  <si>
    <t>854DC Green Power|003OP Power Generation &amp; Transmission</t>
  </si>
  <si>
    <t>854DC-1521 HV Substations|003OP-5612 Diesel Generators</t>
  </si>
  <si>
    <t>854DC-1521-0001 Substation (33kV)|N/A</t>
  </si>
  <si>
    <t>Solomon Mine Hub: Substation (11kV)|855DC-1543-008 Monarch</t>
  </si>
  <si>
    <t>Solomon Mine Hub: Substation (33kV)|855DC-1543-008 Monarch</t>
  </si>
  <si>
    <t>Solomon Mine Hub: Substation (132kV)|855DC-1543-008 Monarch</t>
  </si>
  <si>
    <t>Solomon Mine Hub: Substation (220kV)|855DC-1543-008 Monarch</t>
  </si>
  <si>
    <t>Solomon Mine Hub: Substation (33kV)|855DC-1542-CSM-002 vCharM.Edge</t>
  </si>
  <si>
    <t>854DC Green Power|005OP IT/OT Systems</t>
  </si>
  <si>
    <t>854DC-1521 HV Substations|N/A</t>
  </si>
  <si>
    <t>850DC-1523 Sub Kiosks|N/A</t>
  </si>
  <si>
    <t>850DC-1522 Field Switches|N/A</t>
  </si>
  <si>
    <t>854DC-5670-0001 Solar Photovoltaic (PV) Farms|854DC-5680-0001 Battery Energy Storage Systems (BESS)</t>
  </si>
  <si>
    <t>854DC-5670 Energy Generation - Solar|854DC-5670 Energy Generation - Solar</t>
  </si>
  <si>
    <t>854DC-5670-0001 Solar Photovoltaic (PV) Farms|854DC-5670-0001 Solar Photovoltaic (PV) Farms</t>
  </si>
  <si>
    <t>Solomon Mine Hub: Solar Photovoltaic (PV) Farms|855DC-1543-008 Monarch</t>
  </si>
  <si>
    <t>Solomon Mine Hub: Battery Energy Storage Systems (BESS) - AC|855DC-1543-008 Monarch</t>
  </si>
  <si>
    <t>Solomon Mine Hub: Battery Energy Storage Systems (BESS) - DC|855DC-1543-008 Monarch</t>
  </si>
  <si>
    <t>Solomon Mine Hub: Mobile Battery Bank|855DC-1543-008 Monarch</t>
  </si>
  <si>
    <t>854DC-5680-0001 Battery Energy Storage Systems (BESS)|854DC-1521-0003 Substation (132kV)</t>
  </si>
  <si>
    <t>854DC-5670-0001 Solar Photovoltaic (PV) Farms|854DC-1521-0004 Substation (220kV)</t>
  </si>
  <si>
    <t>854DC-5680-0001 Battery Energy Storage Systems (BESS)|854DC-1521-0004 Substation (220kV)</t>
  </si>
  <si>
    <t>854DC-1521 HV Substations|854DC-5680 Battery Energy Storage System (BESS)</t>
  </si>
  <si>
    <t>854DC-1521-0001 Substation (33kV)|854DC-5680-0002 Mobile Battery Bank</t>
  </si>
  <si>
    <t>850DC Decarb Infrastructure|002OP Non-Process Infrastructure (NPI)</t>
  </si>
  <si>
    <t>850DC-1523 Sub Kiosks|002OP-1800 CCTV</t>
  </si>
  <si>
    <t>850DC-1520 Trailing Cable|002OP-2000 Dewatering Pumps</t>
  </si>
  <si>
    <t>850DC-1520 Trailing Cable|850DC-1510 Chargers</t>
  </si>
  <si>
    <t>005OP-0000-017-002 Fire SCADA|Solomon Mine Hub: SW1+AP1</t>
  </si>
  <si>
    <t>Solomon Mine Hub: Haulage|859DC-1410-001-002 HaulX Control (Autonomous Haulage System)</t>
  </si>
  <si>
    <t>851DC-1592 Haulage|859DC-1410-001-001 HaulX Dispatch (Fleet Management System (FMS))</t>
  </si>
  <si>
    <t>859DC-1410-001-001 HaulX Dispatch (Fleet Management System (FMS))|Solomon Mine Hub: Haulage</t>
  </si>
  <si>
    <t>N/A|851DC-1592 Haulage</t>
  </si>
  <si>
    <t>859DC-1410-001-003 HaulX Precision (High Precision Machine Guidance)|Solomon Mine Hub: Drill Rig</t>
  </si>
  <si>
    <t>859DC HaulX|853DC Decarb Ancillary</t>
  </si>
  <si>
    <t>N/A|853DC-1561 Drill Rig</t>
  </si>
  <si>
    <t>859DC-1410-001-003 HaulX Precision (High Precision Machine Guidance)|Solomon Mine Hub: Heavy Mobile Equipment (HME)</t>
  </si>
  <si>
    <t>Solomon Mine Hub: Heavy Mobile Equipment (HME)|859DC-1410-001-004 HaulX Shield (Collision Avoidance System)</t>
  </si>
  <si>
    <t>Solomon Mine Hub: Support Mobile Equipment (SME)|859DC-1410-001-004 HaulX Shield (Collision Avoidance System)</t>
  </si>
  <si>
    <t>Solomon Mine Hub: Light Mobile Equipment (LME)|859DC-1410-001-004 HaulX Shield (Collision Avoidance System)</t>
  </si>
  <si>
    <t>850DC-1510 Chargers|851DC-1592 Haulage</t>
  </si>
  <si>
    <t>850DC-1512-0001 HME Chargers - Gen1|N/A</t>
  </si>
  <si>
    <t>855DC-1542-CSM-002 vCharM.Edge|Solomon Mine Hub: AC1</t>
  </si>
  <si>
    <t>855DC-1542-CSM-001 vCharM by Vector|Solomon Mine Hub: AC1</t>
  </si>
  <si>
    <t>004OP-1303 Train Loadout (TLO) Ore Stockpile|001OP-2001 Ore Processing Facility (OPF)</t>
  </si>
  <si>
    <t>Solomon Mine Hub: Excavator [&gt;110t]|855DC-1542-LMS Load Management System (LMS)</t>
  </si>
  <si>
    <t>851DC-1591 Excavator (&gt;110t)|855DC-1542 Control &amp; Monitoring Systems</t>
  </si>
  <si>
    <t>854DC-5660 HV Transmission lines|854DC-1521 HV Substations</t>
  </si>
  <si>
    <t>N/A|854DC-1521-0001 Substation (33kV)</t>
  </si>
  <si>
    <t>N/A|854DC-1521-0004 Substation (220kV)</t>
  </si>
  <si>
    <t>855DC-1542-LMS Load Management System (LMS)|Solomon Mine Hub: Drill Rig</t>
  </si>
  <si>
    <t>005OP-0000-017-001 Non-Process Infrastructure (NPI) SCADA|Solomon Mine Hub: AC1</t>
  </si>
  <si>
    <t>854DC-1521-0004 Substation (220kV)|N/A</t>
  </si>
  <si>
    <t>855DC-1543-008 Monarch|Eliwana Mine: Substation (33kV)</t>
  </si>
  <si>
    <t>855DC Decarb Green Systems|854DC Green Power</t>
  </si>
  <si>
    <t>855DC-1543 Existing Systems - Green Enhancement|854DC-1521 HV Substations</t>
  </si>
  <si>
    <t>855DC-1543-008 Monarch|854DC-1521-0001 Substation (33kV)</t>
  </si>
  <si>
    <t>855DC-1543-008 Monarch|Flying Fish Mine: Substation (33kV)</t>
  </si>
  <si>
    <t>859DC-1410-001 HaulX|Mining Operations</t>
  </si>
  <si>
    <t>859DC HaulX|N/A</t>
  </si>
  <si>
    <t>859DC-1410-001 HaulX|HIVE</t>
  </si>
  <si>
    <t>Operations Planning|859DC-1410-001 HaulX</t>
  </si>
  <si>
    <t>N/A|859DC HaulX</t>
  </si>
  <si>
    <t>005OP-0000-005 Weather Forecasting|855DC-1541-DEL Delphi</t>
  </si>
  <si>
    <t>005OP-0000-005-005 Weatherzone|855DC-1541-DEL Delphi</t>
  </si>
  <si>
    <t>Vaisala|855DC-1541-DEL Delphi</t>
  </si>
  <si>
    <t>DNV|855DC-1541-DEL Delphi</t>
  </si>
  <si>
    <t>855DC-1541-DEL Delphi|855DC-1542-009 Elysia</t>
  </si>
  <si>
    <t>005OP-0000-001 Atlas|855DC-1541-ECL Eclipse</t>
  </si>
  <si>
    <t>855DC-1543-007 MECO|855DC-1541-ECL Eclipse</t>
  </si>
  <si>
    <t>Archive - 855DC-1544-023 Gas usage|855DC-1541-ECL Eclipse</t>
  </si>
  <si>
    <t>005OP-0000-007 Shuthub|855DC-1541-ECL Eclipse</t>
  </si>
  <si>
    <t>855DC-1542-CSM-001 vCharM by Vector|855DC-1542-LMS Load Management System (LMS)</t>
  </si>
  <si>
    <t>855DC-1542-CSM Charge Station Management System (CSMS)|855DC-1542-LMS Load Management System (LMS)</t>
  </si>
  <si>
    <t>005OP-0000-011 Fortescue Maps (ArcGIS) Geographical Information System (GIS)|855DC-1541-LIV LiveWire</t>
  </si>
  <si>
    <t>859DC-1410-001 HaulX|855DC-1541-LIV LiveWire</t>
  </si>
  <si>
    <t>850DC-1520-0004 Cable Coupler GPS Sensors (LORA)|855DC-1541-LIV LiveWire</t>
  </si>
  <si>
    <t>850DC-1520 Trailing Cable|855DC-1541 Planning and Forecast Systems</t>
  </si>
  <si>
    <t>005OP-0000-008 MineStar|855DC-1541-LIV LiveWire</t>
  </si>
  <si>
    <t>005OP-0000-013 Cimplicity|855DC-1541-DEL Delphi</t>
  </si>
  <si>
    <t>005OP-0000-009 OrePath|855DC-1541-DEL Delphi</t>
  </si>
  <si>
    <t>005OP-0000-010 10YP &amp; LOM Tool|855DC-1541-ECL-001 Eclipse Planning</t>
  </si>
  <si>
    <t>005OP-0000-010 10YP &amp; LOM Tool|855DC-1541-ECL Eclipse</t>
  </si>
  <si>
    <t>005OP-0000-005-001 Weather data|855DC-1541-ECL-001 Eclipse Planning</t>
  </si>
  <si>
    <t>005OP-0000-005 Weather Forecasting|855DC-1541-ECL Eclipse</t>
  </si>
  <si>
    <t>855DC-1541-LIV LiveWire|855DC-1543-008 Monarch</t>
  </si>
  <si>
    <t>005OP IT/OT Systems|005OP IT/OT Systems</t>
  </si>
  <si>
    <t>005OP-0000-010 10YP &amp; LOM Tool|005OP-0000-004 Alastri</t>
  </si>
  <si>
    <t>005OP-0000-001 Atlas|005OP-0000-004 Alastri</t>
  </si>
  <si>
    <t>005OP-0000-010 10YP &amp; LOM Tool|005OP-0000-001 Atlas</t>
  </si>
  <si>
    <t>854DC-5690 Energy Generation - Wind|854DC-1521 HV Substations</t>
  </si>
  <si>
    <t>855DC-1542-010 WAMS|855DC-1541-DEL Delphi</t>
  </si>
  <si>
    <t>Archive - 855DC-1544-FLE Fleet Power Draw Data (BEST)</t>
  </si>
  <si>
    <t>Archive - 855DC-1544-ENE Energy Valuation Tool</t>
  </si>
  <si>
    <t>Archive - 855DC-1544-PSP Power System Protection System</t>
  </si>
  <si>
    <t>Archive - 002OP-2000/5000-NPI Non-Process Infrastructure (NPI) [F.01.03]</t>
  </si>
  <si>
    <t>Archive - 852DC-1576/1589 Lifting / Access Equipment</t>
  </si>
  <si>
    <t>Archive - 001OP-2000-PRP Process Plant [F.01.01]</t>
  </si>
  <si>
    <t>Archive - 002OP-2000/5000-TRA Transmission [F.01.02]</t>
  </si>
  <si>
    <t>Archive - 002OP-4000/5000-PNP Non-Process Infrastructure (NPI) [F.02.03]</t>
  </si>
  <si>
    <t>Archive - 001OP-4000-PPR Process Plant [F.02.01]</t>
  </si>
  <si>
    <t>Archive - 002OP-4000/5000-PTR Transmission [F.02.02]</t>
  </si>
  <si>
    <t>Archive - 856DC-1551 Rolling Stock Locomotive</t>
  </si>
  <si>
    <t>Archive - 002OP-4000/5000-PSY Port Stock Yard [F.02.04]</t>
  </si>
  <si>
    <t>Archive - 855DC-1544-024 Elysia BESS - State of Charge Actuals (Atevia Web API)</t>
  </si>
  <si>
    <t>SBS-WBS Mapping 02/01/2026: For simplicity of System Architecture Project level to group BESS together (no reference to AC or DC).  Battery Energy Storage Systems (BESS) - DC removed. Interface deleted.</t>
  </si>
  <si>
    <t>854DC Green Power|N/A</t>
  </si>
  <si>
    <t>854DC-5670 Energy Generation - Solar|N/A</t>
  </si>
  <si>
    <t>854DC-5670-0001 Solar Photovoltaic (PV) Farms|N/A</t>
  </si>
  <si>
    <t>854DC-5660 HV Transmission lines|N/A</t>
  </si>
  <si>
    <t>854DC-5680 Battery Energy Storage System (BESS)|N/A</t>
  </si>
  <si>
    <t>001OP-4000 Port Facilities|N/A</t>
  </si>
  <si>
    <t>001OP-4160 Train Unloader (TUL)|N/A</t>
  </si>
  <si>
    <t>001OP-2920 Train Load Out (TLO)|N/A</t>
  </si>
  <si>
    <t>001OP-2001 Ore Processing Facility (OPF)|N/A</t>
  </si>
  <si>
    <t>001OP-2110 Primary Crusher|N/A</t>
  </si>
  <si>
    <t>001OP-2003 Concentrate Handling Facility (CHF)|N/A</t>
  </si>
  <si>
    <t>001OP-3720 Concentrate Pipeline|N/A</t>
  </si>
  <si>
    <t>001OP-2700 Material Handling Equipment|N/A</t>
  </si>
  <si>
    <t>002OP-2000 Dewatering Pumps|N/A</t>
  </si>
  <si>
    <t>N/A|850DC Decarb Infrastructure</t>
  </si>
  <si>
    <t>N/A|001OP-2001 Ore Processing Facility (OPF)</t>
  </si>
  <si>
    <t>WBS codes updated according to SBS-WBS Mapping _2026.01.02</t>
  </si>
  <si>
    <t>Interfaces deleted due to restructuring of SBS: DGS-I_0008, DGS-I_0012, DGS-I_0035, DGS-I_0047, DGS-I_0065, DGS-I_0102, DGS-I_0113, DGS-I_0134, DGS-I_0180, DGS-I_0189, DGS-I_0201, DGS-I_0218, DGS-I_0275, DGS-I_0283, DGS-I_0319, DGS-I_0320, DGS-I_0324, and DGS-I_0336.</t>
  </si>
  <si>
    <t>Interfaces created due to restructuring of SBS: DGS-I_0355 and DGS-I_0356.</t>
  </si>
  <si>
    <t>Grey conditional formatting added to deleted interfaces.</t>
  </si>
  <si>
    <t>The deletion of the above interfaces results in the following physical assets with no connections to the system:
001OP-2110 Primary Crusher;
001OP-2001 Ore Processing Facility (OPF);
001OP-2003 Concentrate Handling Facility (CHF);
001OP-2920 Train Load Out (TLO);
001OP-4160 Train Unloader (TUL);
001OP-3720 Concentrate Pipeline;
001OP-4000 Port Facilities;
001OP-2700 Material Handling Equipment.</t>
  </si>
  <si>
    <t>This interface provides HaulAI with spatial data, site layouts, haul routes, and terrain information from Fortescue Maps. The interface type is Functional, as it supports planning and modelling rather than operational control.</t>
  </si>
  <si>
    <t>This interface enables HaulAI to receive planning, haulage, and production inputs from the broader Alastri suite so simulations reflect current mine plans and haulage requirements.</t>
  </si>
  <si>
    <t>The purpose of this interface is to allow HaulAI to supply HaulX with simulated fleet behaviour, predicted cycle times, or haulage performance insights to support planning and optimisation.</t>
  </si>
  <si>
    <t>This interface enables HaulAI to supply HaulX Dispatch with simulated haulage performance, cycle-time predictions, and route congestion forecasts, ensuring dispatch decisions mirror real operational conditions.</t>
  </si>
  <si>
    <t>This interface supplies HaulAI with the production schedule and haulage requirements generated in APS, enabling simulation of planned fleet performance against production targets.</t>
  </si>
  <si>
    <t>This interface passes tactical schedules and short-term operational plans from ATS into HaulAI for high-fidelity modelling and scenario analysis.</t>
  </si>
  <si>
    <t>The criticality level is LOW because HaulAI does not control real-time operations, and HaulX continues working even if simulation data is missing. This interface supports decision-making but does not impact production continuity or safety.</t>
  </si>
  <si>
    <t>The criticality level is LOW because HaulAI supports planning and optimisation rather than real-time execution. If the interface fails, HaulX Dispatch can continue operating normally, though with less forecasting insight. The link improves decision quality but does not impact truck safety or daily production continuity.</t>
  </si>
  <si>
    <t>The purpose of this interface is to provide Atlas data via a Snowflake database.</t>
  </si>
  <si>
    <t>Weatherzone - Rain &amp; Lightning Forecasting (Snowflake Integration)_x000D_
The purpose of this interface is to allow Delphi to consume near-term rain and lightning forecast data provided by Weatherzone through Snowflake to support operator awareness and short-horizon planning. This information helps operators anticipate weather-driven impacts on operations, producing energy, manage risk, and adjust site activities proactively.</t>
  </si>
  <si>
    <t>Vaisala -Wind Forecast API Integration_x000D_
The purpose of this interface is to allow Delphi to consume the high-resolution wind forecasting provided by Vaisala via API to support short-term operational planning. These forecasts - covering wind speed, direction, and gust information - help operators anticipate generation impacts, manage variability, and adjust site operations proactively.</t>
  </si>
  <si>
    <t>DNV - External Wind Forecast Provider_x000D_
The purpose of this interface is for Delphi to integrate with DNV to receive external wind forecast data in support of short-term and medium-term operational planning. These forecasts include wind speed, direction, and related metrics, enabling comparison against internal forecasts, improving confidence in planning decisions, and informing generation and curtailment strategies._x000D_
Intermediate Elements: Snowflake (storage and distribution of DNV wind forecast data).</t>
  </si>
  <si>
    <t>Elysia BESS -State of Charge Actuals (Atevia Web API)_x000D_
The purpose of this interface is for Delphi to consume the real-time state of charge (SoC) and related battery performance metrics for the BESS via the Atevia Web API used by Energy Operations. These SoC actuals support short-term operational decision-making, including when to charge, discharge, or curtail based on site conditions and energy demand._x000D_
Intermediate Elements: Snowflake (storage and distribution of BESS SoC actuals).</t>
  </si>
  <si>
    <t>Delphi Requirements Review 19/01/2026: Retire OrePath and replace/link to HaulX.</t>
  </si>
  <si>
    <t>SBS-WBS Mapping 20260201: Move to Orphaned/retired Artifact &amp;amp; Hide/remove all interfaces.</t>
  </si>
  <si>
    <t>SBS-WBS Mapping 20260201: Artifact to be removed - Not a separate system.</t>
  </si>
  <si>
    <t>SBS-WBS Mapping 20260201: Artifact to be removed - Not an identified system.</t>
  </si>
  <si>
    <t>SBS-WBS Mapping 20260201: Is this an identified System? Or just a thought? - to be removed.</t>
  </si>
  <si>
    <t>SBS-WBS Mapping 20260201: Artifact Item to be removed - Not an identified system.</t>
  </si>
  <si>
    <t>SBS-WBS Mapping 20260201: Remove this Item &amp;amp; Merge all links to above item (854DC-5680-0001) - For simplicity of System Architecture Project level to group BESS together (no reference to AC or DC).</t>
  </si>
  <si>
    <t>SBS-WBS Mapping 20260201: Delete Item &amp;amp; Merge LME &amp;amp; SME to combined Program Level.</t>
  </si>
  <si>
    <t>SBS-WBS Mapping 20260201: Remove artifact item - Double Up item.</t>
  </si>
  <si>
    <t>SBS-WBS Mapping 20260201: To be deleted - This is an general term not a separate system.</t>
  </si>
  <si>
    <t>SBS-WBS Mapping 20260201: Remove Artifact item - Not relevant to current SA.</t>
  </si>
  <si>
    <t>SBS-WBS Mapping 20260201: To Delete Artifact item - Duplicate/Generic Item.</t>
  </si>
  <si>
    <t>SBS-WBS Mapping 20260201: Remove Artifact Item - Rolled up to above (Locomotive).</t>
  </si>
  <si>
    <t>SBS-WBS Mapping 20260201: Duplicated Artifact to be removed - Move all links (if any) to Elysia.</t>
  </si>
  <si>
    <t>SBS-WBS Mapping 20260201: Not a current identified system - to be removed.</t>
  </si>
  <si>
    <t>Archive - 005OP-0000-009 OrePath</t>
  </si>
  <si>
    <t>Archive - 005OP-0000-009 OrePath|855DC-1541-DEL Delphi</t>
  </si>
  <si>
    <t>W</t>
  </si>
  <si>
    <t>Interface DGS-I_0346 deleted due to comment from Delphi Requirements Review 19/01/2026: Retire OrePath and replace/link to HaulX.</t>
  </si>
  <si>
    <t>Re: Comment from Delphi Requirements Review 19/01/2026: "Retire OrePath and replace/link to HaulX." DGS-I_0023 (859DC-1410-001 HaulX|855DC-1541-DEL Delphi) was deleted due to a comment from Interface Review 25/11/2025: "Delete (more Eclipse)". Should this interface be reinstated?</t>
  </si>
  <si>
    <t>005OP-0000-017 Ignition</t>
  </si>
  <si>
    <t>855DC-1541-PPC Pit Power Capacity Planning Tool - Design Optimisation</t>
  </si>
  <si>
    <t>SBS-WBS Mapping 20260201: Move to Orphaned/retired Artifact &amp;amp; Hide/remove all interfaces._x000D_
GSP Context diagram 27/01/2026: Pit Power Capacity Planning and Design to be added back to the system architecture.</t>
  </si>
  <si>
    <t>PPC</t>
  </si>
  <si>
    <t>855DC-1541-PPC</t>
  </si>
  <si>
    <t>855DC-1543-PPC Pit Power Capacity Planning Tool - Capacity Check</t>
  </si>
  <si>
    <t>005OP-0000-006 Snowflake (General)</t>
  </si>
  <si>
    <t>005OP-0000-005-004 Solstice</t>
  </si>
  <si>
    <t>005OP-0000-005-003 Snowflake (Weather)</t>
  </si>
  <si>
    <t>005OP-0000-005-006 Atevia (Solar NSJ)</t>
  </si>
  <si>
    <t>005OP-0000-005-002 Snowflake (Wind)</t>
  </si>
  <si>
    <t>Energy Operations (HIVE)</t>
  </si>
  <si>
    <t>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t>
  </si>
  <si>
    <t>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 Interface covered by DGS-I_0123 &amp;amp; DGS-I_0124.</t>
  </si>
  <si>
    <t>DGS-I_0357</t>
  </si>
  <si>
    <t>{641649D7-4A69-4a92-897E-6431EDDE8F78}</t>
  </si>
  <si>
    <t>BoM</t>
  </si>
  <si>
    <t>855DC-1541-PPC Pit Power Capacity Planning Tool - Design Optimisation|855DC-1541-005 HaulAI</t>
  </si>
  <si>
    <t>855DC-1541-LIV LiveWire|855DC-1543-PPC Pit Power Capacity Planning Tool - Capacity Check</t>
  </si>
  <si>
    <t>855DC-1541-PPC Pit Power Capacity Planning Tool - Design Optimisation|005OP-0000-004 Alastri</t>
  </si>
  <si>
    <t>855DC-1543-PPC Pit Power Capacity Planning Tool - Capacity Check|005OP-0000-004 Alastri</t>
  </si>
  <si>
    <t>854DC-5660 HV Transmission lines|855DC-1543-PPC Pit Power Capacity Planning Tool - Capacity Check</t>
  </si>
  <si>
    <t>N/A|855DC-1543-PPC Pit Power Capacity Planning Tool - Capacity Check</t>
  </si>
  <si>
    <t>853DC-1561 Drill Rig|855DC-1543-PPC Pit Power Capacity Planning Tool - Capacity Check</t>
  </si>
  <si>
    <t>853DC Decarb Ancillary|855DC Decarb Green Systems</t>
  </si>
  <si>
    <t>Archive - 852DC Light Mobile Equipment (LME)|855DC-1543-PPC Pit Power Capacity Planning Tool - Capacity Check</t>
  </si>
  <si>
    <t>854DC-1521 HV Substations|855DC-1543-PPC Pit Power Capacity Planning Tool - Capacity Check</t>
  </si>
  <si>
    <t>854DC-5680 Battery Energy Storage System (BESS)|855DC-1543-PPC Pit Power Capacity Planning Tool - Capacity Check</t>
  </si>
  <si>
    <t>001OP-4000 Port Facilities|855DC-1543-PPC Pit Power Capacity Planning Tool - Capacity Check</t>
  </si>
  <si>
    <t>001OP Fixed Process Plant|855DC Decarb Green Systems</t>
  </si>
  <si>
    <t>001OP-4160 Train Unloader (TUL)|855DC-1543-PPC Pit Power Capacity Planning Tool - Capacity Check</t>
  </si>
  <si>
    <t>001OP-2920 Train Load Out (TLO)|855DC-1543-PPC Pit Power Capacity Planning Tool - Capacity Check</t>
  </si>
  <si>
    <t>001OP-2001 Ore Processing Facility (OPF)|855DC-1543-PPC Pit Power Capacity Planning Tool - Capacity Check</t>
  </si>
  <si>
    <t>001OP-2110 Primary Crusher|855DC-1543-PPC Pit Power Capacity Planning Tool - Capacity Check</t>
  </si>
  <si>
    <t>001OP-2003 Concentrate Handling Facility (CHF)|855DC-1543-PPC Pit Power Capacity Planning Tool - Capacity Check</t>
  </si>
  <si>
    <t>001OP-3720 Concentrate Pipeline|855DC-1543-PPC Pit Power Capacity Planning Tool - Capacity Check</t>
  </si>
  <si>
    <t>001OP-2700 Material Handling Equipment|855DC-1543-PPC Pit Power Capacity Planning Tool - Capacity Check</t>
  </si>
  <si>
    <t>002OP-2000 Dewatering Pumps|855DC-1543-PPC Pit Power Capacity Planning Tool - Capacity Check</t>
  </si>
  <si>
    <t>002OP Non-Process Infrastructure (NPI)|855DC Decarb Green Systems</t>
  </si>
  <si>
    <t>850DC-1510 Chargers|855DC-1543-PPC Pit Power Capacity Planning Tool - Capacity Check</t>
  </si>
  <si>
    <t>850DC-1522 Field Switches|855DC-1543-PPC Pit Power Capacity Planning Tool - Capacity Check</t>
  </si>
  <si>
    <t>850DC-1523 Sub Kiosks|855DC-1543-PPC Pit Power Capacity Planning Tool - Capacity Check</t>
  </si>
  <si>
    <t>851DC Heavy Mobile Equipment (HME)|855DC-1543-PPC Pit Power Capacity Planning Tool - Capacity Check</t>
  </si>
  <si>
    <t>852DC Light Mobile Equipment (LME) &amp; Support Mobile Equipment (SME)|855DC-1543-PPC Pit Power Capacity Planning Tool - Capacity Check</t>
  </si>
  <si>
    <t>852DC Light Mobile Equipment (LME) &amp; Support Mobile Equipment (SME)|855DC Decarb Green Systems</t>
  </si>
  <si>
    <t>850DC-1523 Sub Kiosks|855DC-1542 Control &amp; Monitoring Systems</t>
  </si>
  <si>
    <t>850DC-1522 Field Switches|855DC-1542 Control &amp; Monitoring Systems</t>
  </si>
  <si>
    <t>855DC-1541-ECL Eclipse|Energy Operations (HIVE)</t>
  </si>
  <si>
    <t>Energy Operations (HIVE)|855DC-1541-ECL-002 Online Security Constrained Unit Commitment (SCUC)</t>
  </si>
  <si>
    <t>Energy Operations (HIVE)|855DC-1541-ECL-001 Eclipse Planning</t>
  </si>
  <si>
    <t>855DC-1542-LMS Load Management System (LMS)|Energy Operations (HIVE)</t>
  </si>
  <si>
    <t>005OP-0000-017 Ignition|855DC-1542-LMS Load Management System (LMS)</t>
  </si>
  <si>
    <t>005OP-0000-017 Ignition|854DC-1521-0001 Substation (33kV)</t>
  </si>
  <si>
    <t>005OP-0000-017 Ignition|850DC-1522 Field Switches</t>
  </si>
  <si>
    <t>005OP-0000-017 Ignition|N/A</t>
  </si>
  <si>
    <t>005OP-0000-017 Ignition|850DC-1512-0001 HME Chargers - Gen1</t>
  </si>
  <si>
    <t>005OP-0000-017 Ignition|855DC-1541-LIV LiveWire</t>
  </si>
  <si>
    <t>005OP-0000-017 Ignition|850DC-1523 Sub Kiosks</t>
  </si>
  <si>
    <t>855DC-1542-008 Mine Electrification SCADA|Energy Operations (HIVE)</t>
  </si>
  <si>
    <t>005OP-0000-017 Ignition|Mine Services Process Control</t>
  </si>
  <si>
    <t>855DC-1542-CSM Charge Station Management System (CSMS)|Energy Operations (HIVE)</t>
  </si>
  <si>
    <t>855DC-1541-PPC Pit Power Capacity Planning Tool - Design Optimisation|005OP-0000-011 Fortescue Maps (ArcGIS) Geographical Information System (GIS)</t>
  </si>
  <si>
    <t>855DC-1543-008 Monarch|Energy Operations (HIVE)</t>
  </si>
  <si>
    <t>850DC-1512-0001 HME Chargers - Gen1|005OP-0000-017 Ignition</t>
  </si>
  <si>
    <t>Energy Operations (HIVE)|855DC-1541-DEL Delphi</t>
  </si>
  <si>
    <t>Solomon Mine Hub: Substation (33kV)|005OP-0000-017 Ignition</t>
  </si>
  <si>
    <t>854DC-1521-0001 Substation (33kV)|005OP-0000-017 Ignition</t>
  </si>
  <si>
    <t>Solomon Mine Hub: Sub Kiosks|005OP-0000-017 Ignition</t>
  </si>
  <si>
    <t>N/A|005OP-0000-017 Ignition</t>
  </si>
  <si>
    <t>Solomon Mine Hub: Field Switches|005OP-0000-017 Ignition</t>
  </si>
  <si>
    <t>Solomon Mine Hub: Battery Energy Storage Systems (BESS) - AC|855DC-1543-PPC Pit Power Capacity Planning Tool - Capacity Check</t>
  </si>
  <si>
    <t>854DC-5680-0001 Battery Energy Storage Systems (BESS)|855DC-1543-PPC Pit Power Capacity Planning Tool - Capacity Check</t>
  </si>
  <si>
    <t>Solomon Mine Hub: Mobile Battery Bank|855DC-1543-PPC Pit Power Capacity Planning Tool - Capacity Check</t>
  </si>
  <si>
    <t>854DC-5680-0002 Mobile Battery Bank|855DC-1543-PPC Pit Power Capacity Planning Tool - Capacity Check</t>
  </si>
  <si>
    <t>Solomon Mine Hub: Battery Energy Storage Systems (BESS) - DC|855DC-1543-PPC Pit Power Capacity Planning Tool - Capacity Check</t>
  </si>
  <si>
    <t>855DC-1543-PPC Pit Power Capacity Planning Tool - Capacity Check|Solomon Mine Hub: Substation (220kV)</t>
  </si>
  <si>
    <t>855DC-1543-PPC Pit Power Capacity Planning Tool - Capacity Check|854DC-1521-0004 Substation (220kV)</t>
  </si>
  <si>
    <t>Solomon Mine Hub: Substation (33kV)|855DC-1543-PPC Pit Power Capacity Planning Tool - Capacity Check</t>
  </si>
  <si>
    <t>854DC-1521-0001 Substation (33kV)|855DC-1543-PPC Pit Power Capacity Planning Tool - Capacity Check</t>
  </si>
  <si>
    <t>Solomon Mine Hub: Field Switches|855DC-1543-PPC Pit Power Capacity Planning Tool - Capacity Check</t>
  </si>
  <si>
    <t>855DC-1543-PPC Pit Power Capacity Planning Tool - Capacity Check|Solomon Mine Hub: Substation (132kV)</t>
  </si>
  <si>
    <t>855DC-1543-PPC Pit Power Capacity Planning Tool - Capacity Check|854DC-1521-0003 Substation (132kV)</t>
  </si>
  <si>
    <t>Solomon Mine Hub: Substation (11kV)|855DC-1543-PPC Pit Power Capacity Planning Tool - Capacity Check</t>
  </si>
  <si>
    <t>854DC-1521-0006 Substation (11kV)|855DC-1543-PPC Pit Power Capacity Planning Tool - Capacity Check</t>
  </si>
  <si>
    <t>Solomon Mine Hub: Sub Kiosks|855DC-1543-PPC Pit Power Capacity Planning Tool - Capacity Check</t>
  </si>
  <si>
    <t>Solomon Mine Hub: Dewatering Pumps|855DC-1543-PPC Pit Power Capacity Planning Tool - Capacity Check</t>
  </si>
  <si>
    <t>855DC-1543-PPC Pit Power Capacity Planning Tool - Capacity Check|Solomon Mine Hub: Heavy Mobile Equipment (HME)</t>
  </si>
  <si>
    <t>855DC-1543-PPC Pit Power Capacity Planning Tool - Capacity Check|N/A</t>
  </si>
  <si>
    <t>855DC-1543-PPC Pit Power Capacity Planning Tool - Capacity Check|Solomon Mine Hub: Support Mobile Equipment (SME)</t>
  </si>
  <si>
    <t>855DC Decarb Green Systems|852DC Light Mobile Equipment (LME) &amp; Support Mobile Equipment (SME)</t>
  </si>
  <si>
    <t>855DC-1543-PPC Pit Power Capacity Planning Tool - Capacity Check|Solomon Mine Hub: Light Mobile Equipment (LME)</t>
  </si>
  <si>
    <t>855DC-1543-PPC Pit Power Capacity Planning Tool - Capacity Check|Solomon Mine Hub: Drill Rig</t>
  </si>
  <si>
    <t>Solomon Mine Hub: Chargers|855DC-1543-PPC Pit Power Capacity Planning Tool - Capacity Check</t>
  </si>
  <si>
    <t>Solomon Mine Hub: Primary Crusher|855DC-1543-PPC Pit Power Capacity Planning Tool - Capacity Check</t>
  </si>
  <si>
    <t>855DC-1543-PPC Pit Power Capacity Planning Tool - Capacity Check|Solomon Mine Hub: Ore Processing Facility (OPF)</t>
  </si>
  <si>
    <t>855DC Decarb Green Systems|001OP Fixed Process Plant</t>
  </si>
  <si>
    <t>Solomon Mine Hub: Train Load Out (TLO)|855DC-1543-PPC Pit Power Capacity Planning Tool - Capacity Check</t>
  </si>
  <si>
    <t>Decarbonisation Delivery|855DC-1543-PPC Pit Power Capacity Planning Tool - Capacity Check</t>
  </si>
  <si>
    <t>855DC-1541-PPC Pit Power Capacity Planning Tool - Design Optimisation|Decarbonisation Delivery</t>
  </si>
  <si>
    <t>855DC-1541-PPC Pit Power Capacity Planning Tool - Design Optimisation|N/A</t>
  </si>
  <si>
    <t>Operations Planning|855DC-1541-PPC Pit Power Capacity Planning Tool - Design Optimisation</t>
  </si>
  <si>
    <t>N/A|855DC-1541-PPC Pit Power Capacity Planning Tool - Design Optimisation</t>
  </si>
  <si>
    <t>005OP-0000-005-003 Snowflake (Weather)|855DC-1541-DEL Delphi</t>
  </si>
  <si>
    <t>BoM|855DC-1541-DEL Delphi</t>
  </si>
  <si>
    <t>005OP-0000-005-004 Solstice|855DC-1541-DEL Delphi</t>
  </si>
  <si>
    <t>005OP-0000-005-006 Atevia (Solar NSJ)|855DC-1541-DEL Delphi</t>
  </si>
  <si>
    <t>005OP-0000-005-002 Snowflake (Wind)|855DC-1541-DEL Delphi</t>
  </si>
  <si>
    <t>005OP-0000-017 Ignition|855DC-1541-DEL Delphi</t>
  </si>
  <si>
    <t>005OP-0000-006 Snowflake (General)|855DC-1541-DEL Delphi</t>
  </si>
  <si>
    <t>005OP-0000-006 Snowflake (General)|855DC-1541-ECL-001 Eclipse Planning</t>
  </si>
  <si>
    <t>005OP-0000-006 Snowflake (General)|855DC-1541-ECL Eclipse</t>
  </si>
  <si>
    <t>005OP-0000-006 Snowflake (General)|855DC-1541-LIV LiveWire</t>
  </si>
  <si>
    <t>855DC-1541-DEL Delphi|855DC-1541-PPC Pit Power Capacity Planning Tool - Design Optimisation</t>
  </si>
  <si>
    <t>This interface provides a near-term forecast of fleet energy consumption. This depends on the HaulX forecast horizon, based on a dispatch plan and mine plan. 30-40% of load based on mobile asset energy consumption. Frequency, resolution and horizon need to be determined for truck and excavator fleet on charge. State of charge, estimated time of completion.</t>
  </si>
  <si>
    <t>HaulX-&gt;Delphi</t>
  </si>
  <si>
    <t>This interface collects general actuals and historical data residing in Snowflake. Snowflake provides a 'time travel' function, which is from 1 day (default) up to a maximum of 90 days.</t>
  </si>
  <si>
    <t>Reinstated due to comment from GSP Context diagram 27/01/2026: 855DC-1543-PPC Pit Power Capacity Planning Tool - Capacity Check
Related interfaces reinstated: DGS-I_0026, DGS-I_0040, DGS-I_0041, DGS-I_0050, DGS-I_0051, DGS-I_0055, DGS-I_0056, DGS-I_0057, DGS-I_0058, DGS-I_0059, DGS-I_0060, DGS-I_0061, DGS-I_0062, DGS-I_0067, DGS-I_0068, DGS-I_0069, DGS-I_0070, DGS-I_0071, DGS-I_0072, DGS-I_0123, DGS-I_0124, DGS-I_0245, DGS-I_0246, DGS-I_0247, DGS-I_0248, DGS-I_0249, DGS-I_0253, DGS-I_0254, DGS-I_0255, DGS-I_0256, DGS-I_0261, DGS-I_0276, DGS-I_0277, DGS-I_0278, DGS-I_0279, DGS-I_0286, DGS-I_0293, DGS-I_0294, DGS-I_0295, DGS-I_0317 &amp; DGS-I_0318.</t>
  </si>
  <si>
    <t>Reinstated due to comment from GSP Context diagram 27/01/2026: Reinstated: 855DC-1541-PPC Pit Power Capacity Planning Tool - Design Optimisation
Related interfaces reinstated: DGS-I_0008, DGS-I_0028, DGS-I_0189, DGS-I_0218, DGS-I_0319, DGS-I_0320 &amp; DGS-I_0324
Interface DGS-I_0357 to Delphi and added to register.</t>
  </si>
  <si>
    <t>Reinstated due to comment from GSP Context diagram 27/01/2026: DGS-I_0121 (Online Security Constrained Unit Commitment (SCUC)|855DC-1541-DEL Delphi). Previously deleted due to following comment: Interface Review 25/11/2025: Delete (more eclipse).</t>
  </si>
  <si>
    <t>Interface reinstated.</t>
  </si>
  <si>
    <t>Reinstated due to comment from 855DC-1540-MX-IT-0006 Decarb Green Systems - Delphi - Interface Requirements Verification and Acceptance Matrix (RVAM) (1): DGS-I_0023 (859DC-1410-001 HaulX|855DC-1541-DEL Delphi).</t>
  </si>
  <si>
    <t>X</t>
  </si>
  <si>
    <t>A.01.04</t>
  </si>
  <si>
    <t>A.02.08</t>
  </si>
  <si>
    <t>EA-Fortescue_SBSExport updated with above changes.</t>
  </si>
  <si>
    <t>005OP-0000-004-002 Alastri Production Scheduler (APS) / Alastri Tactical Scheduler (ATS)</t>
  </si>
  <si>
    <t>855DC-1544-023 Superblock</t>
  </si>
  <si>
    <t>{3EA9F6DF-0186-42ba-8E6D-221EF81A49DD}</t>
  </si>
  <si>
    <t>855DC-1544-024 Demand Response (DR) Playbook</t>
  </si>
  <si>
    <t>{3E74464A-9C16-4b7e-A388-C8C25FA4E29F}</t>
  </si>
  <si>
    <t>855DC-1544-025 Constraints Library</t>
  </si>
  <si>
    <t>{2612A5D5-828D-4cb3-A542-A8947BC33204}</t>
  </si>
  <si>
    <t>DGS-I_0358</t>
  </si>
  <si>
    <t>{B2729CFB-F8F9-4993-9BC4-67658986179D}</t>
  </si>
  <si>
    <t>DGS-I_0359</t>
  </si>
  <si>
    <t>{C45E4361-0419-4939-B2CF-23CCD3C7DF81}</t>
  </si>
  <si>
    <t>Archive - 005OP-0000-004-003 Alastri Tactical Scheduler (ATS)</t>
  </si>
  <si>
    <t>Filter Project Level Group</t>
  </si>
  <si>
    <t>855DC-1541-DEL Delphi|855DC-1541-DEL Delphi</t>
  </si>
  <si>
    <t>855DC-1541-ECL-001 Eclipse Planning|Archive - 005OP-0000-004-003 Alastri Tactical Scheduler (ATS)</t>
  </si>
  <si>
    <t>855DC-1541-ECL-001 Eclipse Planning|005OP-0000-004-002 Alastri Production Scheduler (APS) / Alastri Tactical Scheduler (ATS)</t>
  </si>
  <si>
    <t>855DC-1543-PPC Pit Power Capacity Planning Tool - Capacity Check|005OP-0000-004-002 Alastri Production Scheduler (APS) / Alastri Tactical Scheduler (ATS)</t>
  </si>
  <si>
    <t>855DC-1543-PPC Pit Power Capacity Planning Tool - Capacity Check|Archive - 005OP-0000-004-003 Alastri Tactical Scheduler (ATS)</t>
  </si>
  <si>
    <t>005OP-0000-004-002 Alastri Production Scheduler (APS) / Alastri Tactical Scheduler (ATS)|859DC-1410-001-001 HaulX Dispatch (Fleet Management System (FMS))</t>
  </si>
  <si>
    <t>005OP-0000-004-002 Alastri Production Scheduler (APS) / Alastri Tactical Scheduler (ATS)|855DC-1541-DEL Delphi</t>
  </si>
  <si>
    <t>Archive - 005OP-0000-004-003 Alastri Tactical Scheduler (ATS)|855DC-1541-LIV LiveWire</t>
  </si>
  <si>
    <t>005OP-0000-004-002 Alastri Production Scheduler (APS) / Alastri Tactical Scheduler (ATS)|855DC-1541-LIV LiveWire</t>
  </si>
  <si>
    <t>005OP-0000-004-002 Alastri Production Scheduler (APS) / Alastri Tactical Scheduler (ATS)|855DC-1541-005 HaulAI</t>
  </si>
  <si>
    <t>Archive - 005OP-0000-004-003 Alastri Tactical Scheduler (ATS)|855DC-1541-005 HaulAI</t>
  </si>
  <si>
    <t>855DC-1541-PPC Pit Power Capacity Planning Tool - Design Optimisation|005OP-0000-004-002 Alastri Production Scheduler (APS) / Alastri Tactical Scheduler (ATS)</t>
  </si>
  <si>
    <t>854DC-5670-0001-0001 AC Solar Inverter|854DC-5680-0001 Battery Energy Storage Systems (BESS)</t>
  </si>
  <si>
    <t>005OP-0000-010 10YP &amp; LOM Tool|005OP-0000-004-002 Alastri Production Scheduler (APS) / Alastri Tactical Scheduler (ATS)</t>
  </si>
  <si>
    <t>005OP-0000-001 Atlas|005OP-0000-004-002 Alastri Production Scheduler (APS) / Alastri Tactical Scheduler (ATS)</t>
  </si>
  <si>
    <t>005OP-0000-002 ALF|855DC-1541-ECL-002 Online Security Constrained Unit Commitment (SCUC)</t>
  </si>
  <si>
    <t>855DC-1541-ECL-002 Online Security Constrained Unit Commitment (SCUC)|005OP-0000-004-002 Alastri Production Scheduler (APS) / Alastri Tactical Scheduler (ATS)</t>
  </si>
  <si>
    <t>The criticality level is LOW because this interface supports planning and design optimisation only. Failure would reduce modelling accuracy but would not affect real-time operations, production continuity, or safety-critical systems.</t>
  </si>
  <si>
    <t>The purpose of this interface is to exchange production schedules and equipment demand assumptions from APS/ATS into the Pit Power Capacity Planning Tool to support power capacity design and optimisation activities aligned with planned mining operations.</t>
  </si>
  <si>
    <t>The criticality level is LOW because this interface supports planning and design optimisation rather than real-time execution. Failure would reduce the accuracy of power capacity modelling against planned production schedules, but it would not impact operational dispatch, safety-critical systems, or daily production continuity.</t>
  </si>
  <si>
    <t>The purpose of this interface is to exchange authoritative spatial mapping data from Fortescue Maps (ArcGIS) into the Pit Power Capacity Planning Tool to support electrical network modelling, infrastructure siting, and cable routing assessments aligned with planned pit layouts and asset locations.</t>
  </si>
  <si>
    <t>The criticality level is LOW because this interface provides spatial reference data to support planning and modelling activities only. Failure would reduce mapping accuracy and spatial context within simulations but would not impact real-time operations, safety, or production systems.</t>
  </si>
  <si>
    <t>The criticality level is MEDIUM because this interface supports energy-aware planning accuracy and alignment with governed forecasts, but it does not affect real-time dispatch, control systems, or safety-critical operations. Failure would reduce planning confidence and consistency but would not interrupt production continuity.</t>
  </si>
  <si>
    <t>NH 18/02/2026: Fields updated: Interface Type, Interface Description (Interface Purpose), Interface Criticality, Interface Criticality Explanation, Interface Flow.</t>
  </si>
  <si>
    <t>The criticality level is MEDIUM because inaccurate or unavailable drill rig load data may lead to incorrect capacity assessments or infrastructure sizing decisions. However, this interface does not affect real-time drill rig control, protection systems, or operational safety.</t>
  </si>
  <si>
    <t>The criticality is HIGH because accurate HV substation data is essential for reliable capacity assessment. Missing or incorrect data could lead to under- or over-estimation of available network capacity, potentially affecting planning decisions.</t>
  </si>
  <si>
    <t>The criticality is HIGH because BESS data is essential for accurate assessment of short-term network flexibility and capacity. Inaccurate or missing data could lead to incorrect capacity planning and compromise operational reliability.</t>
  </si>
  <si>
    <t>The criticality is HIGH because port power consumption can significantly impact overall network capacity. Accurate data is essential for planning pit operations without overloading the network.</t>
  </si>
  <si>
    <t>The criticality is MEDIUM because inaccurate or unavailable transmission data may result in incorrect capacity assessments and planning decisions. However, this interface does not directly impact real-time protection, control, or system safety, and physical network operation remains independent of the planning tool.</t>
  </si>
  <si>
    <t>The criticality is HIGH because the OPF represents a major electrical load in the pit network. Accurate demand data is essential for the tool to prevent overloads and optimise power distribution.</t>
  </si>
  <si>
    <t>The criticality is HIGH because the Primary Crusher is a significant electrical load in the pit. Accurate, timely data is required to prevent overloads and support reliable power management in the pit network.</t>
  </si>
  <si>
    <t>Technical - Data/Software</t>
  </si>
  <si>
    <t>HV Transmission Lines -&gt; Pit Power Capacity Planning Tool - Capacity Check</t>
  </si>
  <si>
    <t>This interface enables Pit Power Capacity Planning Tool - Capacity Check to reference load demand characteristics and operating profiles of the Drill Rig fleet. The tool uses this information to assess peak demand, diversity, and network capacity impacts during power system capacity validation studies. The interface is analytical only and does not control or influence drill rig operation.</t>
  </si>
  <si>
    <t>Drill Rig -&gt; Pit Power Capacity Planning Tool - Capacity Check</t>
  </si>
  <si>
    <t>This interface allows Pit Power Capacity Planning Tool - Capacity Check to ingest electrical parameters, connectivity, and capacity data from HV Substations. The tool uses this data to model substation constraints, evaluate network loading, and ensure sufficient capacity for pit operations. This is a read-only analytical interface; it does not operate or control substations.</t>
  </si>
  <si>
    <t>HV Substations -&gt; Pit Power Capacity Planning Tool - Capacity Check</t>
  </si>
  <si>
    <t>This interface allows the Pit Power Capacity Planning Tool - Capacity Check to ingest data from the Battery Energy Storage System (BESS), including state of charge, available capacity, and operational constraints. The tool uses this data to evaluate network flexibility, support load balancing, and ensure sufficient capacity for pit operations. This is a read-only analytical interface; it does not control the BESS.</t>
  </si>
  <si>
    <t>Battery Energy Storage System (BESS) -&gt; Pit Power Capacity Planning Tool - Capacity Check</t>
  </si>
  <si>
    <t>This interface allows the Pit Power Capacity Planning Tool - Capacity Check to access operational and electrical data from the Port Facilities, including power availability, load profiles, and peak demand forecasts. The tool uses this information to assess overall network capacity and ensure sufficient power allocation for pit operations. This is a read-only analytical interface; it does not control port systems.</t>
  </si>
  <si>
    <t>Port Facilities -&gt; Pit Power Capacity Planning Tool - Capacity Check</t>
  </si>
  <si>
    <t>This interface allows the Pit Power Capacity Planning Tool - Capacity Check to access power demand and operational data from the Train Unloader (TUL), including electrical load profiles, peak usage times, and equipment availability. The tool uses this information to evaluate pit network capacity and ensure power supply adequacy for mining operations. This is a read-only analytical interface; it does not control the TUL.</t>
  </si>
  <si>
    <t>Train Unloader (TUL) -&gt; Pit Power Capacity Planning Tool - Capacity Check</t>
  </si>
  <si>
    <t>This interface provides the Pit Power Capacity Planning Tool - Capacity Check with power demand and operational data from the Train Load Out (TLO), including load profiles, peak consumption, and availability. The tool uses this data to assess pit network capacity and ensure safe and reliable power allocation. This interface is read-only and purely analytical; it does not control the TLO.</t>
  </si>
  <si>
    <t>Train Load Out (TLO) -&gt; Pit Power Capacity Planning Tool - Capacity Check</t>
  </si>
  <si>
    <t>This interface provides the Pit Power Capacity Planning Tool - Capacity Check with electrical demand and operational data from the Ore Processing Facility (OPF), including load profiles, peak consumption, and equipment availability. The tool uses this information to evaluate pit network capacity and ensure safe, reliable power allocation. This interface is read-only and does not control the OPF.</t>
  </si>
  <si>
    <t>Ore Processing Facility (OPF) -&gt; Pit Power Capacity Planning Tool - Capacity Check</t>
  </si>
  <si>
    <t>This interface provides the Pit Power Capacity Planning Tool - Capacity Check with electrical load and operational data from the Primary Crusher, including throughput-dependent power demand, peak consumption periods, and equipment availability. The tool uses this data to assess pit network capacity and maintain safe power allocation. This interface is read-only and does not control the Primary Crusher.</t>
  </si>
  <si>
    <t>Primary Crusher -&gt; Pit Power Capacity Planning Tool - Capacity Check</t>
  </si>
  <si>
    <t>The criticality is HIGH because the CHF represents a substantial and variable electrical load. Accurate, timely data is essential to prevent pit network overloads and maintain operational reliability.</t>
  </si>
  <si>
    <t>Concentrate Handling Facility (CHF) -&gt; Pit Power Capacity Planning Tool - Capacity Check</t>
  </si>
  <si>
    <t>This interface provides the Pit Power Capacity Planning Tool - Capacity Check with electrical load and operational data from the Concentrate Handling Facility (CHF), including material handling systems, and peak power demands. The tool uses this information to assess pit network capacity and support safe, reliable power allocation. This interface is read-only and does not control the CHF.</t>
  </si>
  <si>
    <t>This interface provides the Pit Power Capacity Planning Tool - Capacity Check with electrical load and operational data from the Concentrate Pipeline, including pumping system demand, flow rates, and peak power requirements. The tool uses this information to evaluate pit network capacity and ensure safe, reliable power allocation. This interface is read-only and does not control the Concentrate Pipeline.</t>
  </si>
  <si>
    <t>The criticality is MEDIUM because the Concentrate Pipeline represents a significant electrical load in the pit network. Accurate demand data is required for the tool to prevent network overloads and support reliable power allocation.</t>
  </si>
  <si>
    <t>This interface provides the Pit Power Capacity Planning Tool - Capacity Check with electrical load and operational data from the Material Handling Equipment, including conveyors, stackers, reclaimers, and peak power demands. The tool uses this information to assess pit network capacity and support safe, reliable power allocation. This interface is read-only and does not control the Material Handling Equipment.</t>
  </si>
  <si>
    <t>The criticality is HIGH because the Material Handling Equipment constitutes a large and variable electrical load. Accurate data is essential for the tool to prevent network overloads and ensure reliable operation of pit power systems.</t>
  </si>
  <si>
    <t>Material Handling Equipment -&gt; Pit Power Capacity Planning Tool - Capacity Check</t>
  </si>
  <si>
    <t>This interface provides the Pit Power Capacity Planning Tool - Capacity Check with electrical load and operational data from the Dewatering Pumps, including flow rates, pump status, and peak power demands. The tool uses this information to assess pit network capacity and support safe, reliable power allocation. This interface is read-only and does not control the Dewatering Pumps.</t>
  </si>
  <si>
    <t>The criticality is HIGH because the Dewatering Pumps represent a significant and continuous electrical load. Accurate and timely data is essential for the tool to prevent network overloads and ensure reliable pit power system operation.</t>
  </si>
  <si>
    <t>Dewatering Pumps -&gt; Pit Power Capacity Planning Tool - Capacity Check</t>
  </si>
  <si>
    <t>This interface provides the Pit Power Capacity Planning Tool - Capacity Check with electrical load and operational data from the Chargers, including charging schedules, power draw, and peak demand. The tool uses this information to assess pit network capacity and support safe, reliable power allocation. This interface is read-only and does not control the Chargers.</t>
  </si>
  <si>
    <t>The criticality is HIGH because the Chargers constitute a large and variable electrical load. Accurate and timely data is essential for the tool to prevent network overloads and ensure reliable operation of pit power systems.</t>
  </si>
  <si>
    <t>Chargers -&gt; Pit Power Capacity Planning Tool - Capacity Check</t>
  </si>
  <si>
    <t>This interface provides the Pit Power Capacity Planning Tool - Capacity Check with electrical status and operational data from the Field Switches, including switch positions, load state, and fault indications. The tool uses this information to assess pit network capacity and support safe, reliable power allocation. This interface is read-only and does not control the Field Switches.</t>
  </si>
  <si>
    <t>The criticality is MEDIUM because the Field Switches provide essential visibility into the distribution network state. Accurate data is important to detect potential overloads and ensure safe power allocation, though transient errors have lower immediate operational impact compared to major load sources.</t>
  </si>
  <si>
    <t>Field Switches -&gt; Pit Power Capacity Planning Tool - Capacity Check</t>
  </si>
  <si>
    <t>This interface provides the Pit Power Capacity Planning Tool - Capacity Check with electrical status and operational data from the Sub Kiosks, including load readings, switch positions, and fault indicators. The tool uses this information to assess pit network capacity and support safe, reliable power allocation. This interface is read-only and does not control the Sub Kiosks.</t>
  </si>
  <si>
    <t>The criticality is MEDIUM because Sub Kiosks offer visibility into local distribution points. Accurate data supports network capacity assessments and reliable power allocation, though errors have lower immediate operational impact compared to primary loads.</t>
  </si>
  <si>
    <t>Sub Kiosks -&gt; Pit Power Capacity Planning Tool - Capacity Check</t>
  </si>
  <si>
    <t>This interface provides the Pit Power Capacity Planning Tool - Capacity Check with electrical load and operational data from the Heavy Mobile Equipment (HME), including traction power demands, operational schedules, and peak load events. The tool uses this information to assess pit network capacity and support safe, reliable power allocation. This interface is read-only and does not control the HME.</t>
  </si>
  <si>
    <t>The criticality is HIGH because Heavy Mobile Equipment constitutes a significant and variable electrical load. Accurate data is essential for the tool to prevent network overloads and ensure reliable operation of pit power systems.</t>
  </si>
  <si>
    <t>Heavy Mobile Equipment -&gt; Pit Power Capacity Planning Tool - Capacity Check</t>
  </si>
  <si>
    <t>This interface provides the Pit Power Capacity Planning Tool - Capacity Check with electrical load and operational data from the Light Mobile Equipment (LME) and Support Mobile Equipment (SME), including traction and auxiliary power demands, operational schedules, and peak load events. The tool uses this information to assess pit network capacity and support safe, reliable power allocation. This interface is read-only and does not control the LME or SME.</t>
  </si>
  <si>
    <t>The criticality is HIGH because LME and SME constitute a variable and dispersed electrical load. Accurate data is essential for the tool to prevent network overloads and ensure reliable operation of pit power systems.</t>
  </si>
  <si>
    <t>This interface provides the Alastri Production Scheduler (APS) and Alastri Tactical Scheduler (ATS) with electrical load, peak demand, and network capacity data from the Pit Power Capacity Planning Tool - Capacity Check. APS/ATS uses this information to schedule production activities and sequences that remain within available pit power limits. This interface is read-only and does not control the Pit Power Capacity Planning Tool - Capacity Check.</t>
  </si>
  <si>
    <t>The criticality is HIGH because accurate power and load information is essential for APS/ATS to plan production without exceeding network capacity. Inaccurate or missing data could lead to unsafe operating conditions or production interruptions.</t>
  </si>
  <si>
    <t>LME &amp; SME -&gt; Pit Power Capacity Planning Tool - Capacity Check</t>
  </si>
  <si>
    <t>Pit Power Capacity Planning Tool - Capacity Check -&gt; APS/ATS</t>
  </si>
  <si>
    <t>The criticality is HIGH because accurate and current network topology and connectivity data is essential for correct capacity analysis. If topology data is missing or incorrect, the capacity check could produce unsafe or infeasible network assessments, leading to poor planning outcomes.</t>
  </si>
  <si>
    <t>LiveWire -&gt; Pit Power Capacity Planning Tool - Capacity Check</t>
  </si>
  <si>
    <t>The criticality is MEDIUM because APS/ATS schedules influence forecast accuracy and scenario realism within Delphi, but they do not directly affect real-time dispatch, control systems, or safety-critical operations. Failure would reduce forecast quality and planning alignment but would not interrupt operational continuity.</t>
  </si>
  <si>
    <t>Alastri Production Scheduler (APS) / Alastri Tactical Scheduler (ATS) -&gt; Delphi</t>
  </si>
  <si>
    <t>Alastri -&gt; Delphi</t>
  </si>
  <si>
    <t>This interface enables bidirectional integration between the Online Security Constrained Unit Commitment (SCUC) and Delphi. Delphi provides time-aligned renewable generation forecasts, load forecasts, scenario ensembles, BESS SOC uncertainty data, and related planning signals to SCUC. SCUC returns committed near-term generator commitments, long-lead demand response notices, gas nomination and renomination recommendations, forward-looking SOC and linepack envelopes P10-P50-P90, risk indicators, trigger points, and operating mode classifications. The interface maintains forecast consistency, supports visualisation, and records decisions within the formal commitment ledger. The interface supports data exchange only and does not directly execute control actions.</t>
  </si>
  <si>
    <t>The criticality is HIGH because this interface connects the operational forecasting platform with the intra-shift risk-aware optimisation engine responsible for binding commitment decisions. Inaccurate, delayed, or inconsistent data exchange could result in incorrect generator commitments, gas nominations, SOC reserve breaches, or misalignment between planning and operations.</t>
  </si>
  <si>
    <t>Online Security Constrained Unit Commitment (SCUC) &lt;-&gt; Delphi</t>
  </si>
  <si>
    <t>Eclipse Planning &lt;-&gt; Delphi</t>
  </si>
  <si>
    <t>This interface enables the transfer of train schedule data originating from ALF to Online Security Constrained Unit Commitment (SCUC). Train movement schedules stored in Snowflake are provided to SCUC to inform short-term operational forecasting, load projections, and power system scheduling decisions across the 72-hour optimisation horizon. The interface supports data exchange only and does not initiate control actions.</t>
  </si>
  <si>
    <t>The criticality is HIGH because train schedules materially influence short-term load forecasts and operational demand profiles used within the risk-aware optimisation process. Inaccurate or missing schedule data could result in misforecasted load, increased SOC reserve breach risk, inefficient gas nominations, or suboptimal commitment decisions affecting grid stability and production continuity.</t>
  </si>
  <si>
    <t>ALF -&gt; Online Security Constrained Unit Commitment (SCUC)</t>
  </si>
  <si>
    <t>This interface enables bidirectional data exchange between Eclipse Planning and Delphi. Eclipse Planning provides multi-horizon planning outputs including operating mode guidance Long - Balanced - Short, Demand Response Playbooks, gas strategy assumptions, emissions posture guidance, and constraint boundary conditions. Delphi provides time-aligned renewable generation forecasts, load forecasts, scenario ensembles, and forecast updates to support planning analysis, visualisation, and alignment across the energy-aware planning framework. The interface supports forecast consistency, scenario management, and integrated reporting. The interface exchanges data only and does not execute operational control actions.</t>
  </si>
  <si>
    <t>The criticality is HIGH because this interface connects the enterprise forecasting platform with the strategic and tactical energy planning layer that sets operational modes, Demand Response availability, and gas strategy assumptions. Inaccurate or inconsistent data exchange could result in misaligned planning assumptions, inappropriate operating mode selection, or downstream impacts to intra-shift optimisation and grid stability.</t>
  </si>
  <si>
    <t>This interface enables the transfer of wide-area power system monitoring data from WAMS to Delphi. WAMS provides high-resolution grid stability measurements, including voltage, frequency, phase angle, oscillation, and other synchrophasor-derived metrics. Delphi ingests this time-aligned operational data for storage, visualisation, analytics, and integration with forecasting and planning systems. The interface supports monitoring and analysis only and does not perform control or protection functions.</t>
  </si>
  <si>
    <t>This interface enables bidirectional data exchange between  Online Security Constrained Unit Commitment (SCUC) and Alastri Production Scheduler APS / Alastri Tactical Scheduler ATS. Alastri provides production schedules, haulage plans, mining sequences, and fleet utilisation forecasts that inform load projections, demand response availability, and operational constraints within the 72-hour risk-aware optimisation horizon. SCUC returns operating mode classifications Long - Balanced - Short, demand response trigger points, and power system constraint signals to ensure alignment between energy availability and mining production plans. The interface supports planning and optimisation alignment only and does not directly execute control actions.</t>
  </si>
  <si>
    <t>The criticality is HIGH because this interface aligns mine production scheduling with power system commitment decisions in a high-renewable, islanded grid environment. Inaccurate or delayed exchange of production schedules or energy constraint signals could result in misaligned haulage demand, increased SOC reserve breach risk, inefficient gas utilisation, or elevated probability of non recoverable load shedding impacting production continuity.</t>
  </si>
  <si>
    <t>Online Security Constrained Unit Commitment (SCUC) &lt;-&gt; Alastri Production Scheduler APS / Alastri Tactical Scheduler ATS</t>
  </si>
  <si>
    <t>Pit Power Capacity Planning Tool - Design Optimisation &lt;-&gt; HaulAI</t>
  </si>
  <si>
    <t>Fortescue Maps (ArcGIS) GIS -&gt; Pit Power Capacity Planning Tool - Design Optimisation</t>
  </si>
  <si>
    <t>APS / ATS -&gt; Pit Power Capacity Planning Tool - Design Optimisation</t>
  </si>
  <si>
    <t>Delphi -&gt; Pit Power Capacity Planning Tool - Design Optimisation</t>
  </si>
  <si>
    <t>This interface enables Pit Power Capacity Planning Tool - Capacity Check to reference and assess the capacity, constraints, and operational limits of the HV Transmission Lines. The tool uses network ratings and configuration data to evaluate power transfer capability and identify potential bottlenecks or overload risks during capacity validation studies. The interface supports engineering assessment but does not directly control or operate the physical assets.</t>
  </si>
  <si>
    <t>DocStack-SAComparison_Delphi 18/02/2026: APS and ATS to be combined - Interface deleted.</t>
  </si>
  <si>
    <t>DocStack-SAComparison_Delphi 18/02/2026: APS and ATS to be combined - Interface now with 005OP-0000-004-002 Alastri Production Scheduler (APS) / Alastri Tactical Scheduler (ATS)</t>
  </si>
  <si>
    <t>DocStack-SAComparison_SCUC 18/02/2026: Add planning systems to SCUC interface (Just Alastri and ALF). Atlas is more long-term planning and not for SCUC. Interfaces DGS-I_0358 &amp; DGS-I_0359 created.</t>
  </si>
  <si>
    <t>DocStack-SAComparison_Delphi 18/02/2026: APS and ATS to be combined - Interface deleted</t>
  </si>
  <si>
    <t>DocStack-SAComparison_Delphi 18/02/2026: Separate Atlas, FLO, Superblock - 855DC-1544-023 Superblock created</t>
  </si>
  <si>
    <t>DocStack-SAComparison_Delphi 18/02/2026: Palceholder assumption is a different system. Priority list development can be produced by DR and sent to Delphi for visualisation. Add as placeholder to the SA Artifact: 855DC-1544-024 Demand Response (DR) Playbook  created.</t>
  </si>
  <si>
    <t>DocStack-SAComparison_SCUC 18/02/2026: Add contstraints library as placeholder artifact - commentary placeholder unidentified system: 855DC-1544-025 Constraints Library created.</t>
  </si>
  <si>
    <t>Interface Review 25/11/2025: Delete (more eclipse)_x000D_
GSPContext 28/01/2026: Reinstated_x000D_
NH 18/02/2026: Fields updated: Interface Type, Interface Description (Interface Purpose), Interface Criticality, Interface Criticality Explanation, Interface Flow.</t>
  </si>
  <si>
    <t>Interface Review 25/11/2025: Delete, energy ops will be interfacting with Delphi_x000D_
DocStack-SAComparison_Delphi 18/02/2026: Reinstate into SA._x000D_
NH 18/02/2026: Fields updated: Interface Type, Interface Description (Interface Purpose), Interface Criticality, Interface Criticality Explanation, Interface Flow.</t>
  </si>
  <si>
    <t>Interface Review 25/11/2025: Delete no integration_x000D_
DocStack-SAComparison_Delphi 18/02/2026: Reinstate DGS-I_0021, DGS-I_0188._x000D_
NH 18/02/2026: Fields updated: Interface Type, Interface Description (Interface Purpose), Interface Criticality, Interface Criticality Explanation, Interface Flow.</t>
  </si>
  <si>
    <t>Interface Review 25/11/2025: Meco functionality of load forecasting might now be a subsystem of Delphi._x000D_
DocStack-SAComparison_SCUC 18/02/2026: MECO Should now be considered a sub-system of Delphi as the MECO data will sit in the Delphi database. Interface Deleted</t>
  </si>
  <si>
    <t>Interface Review 202/12/2025: For later review, as this is the more detailed solution. Refer to Interface ID DGS-I_0025._x000D_
DocStack-SAComparison_Delphi 18/02/2026: APS and ATS to be combined - Interface deleted.</t>
  </si>
  <si>
    <t>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DocStack-SAComparison_Delphi 18/02/2026: APS and ATS to be combined - Interface now with 005OP-0000-004-002 Alastri Production Scheduler (APS) / Alastri Tactical Scheduler (ATS)_x000D_
NH 18/02/2026: Fields updated: Interface Type, Interface Description (Interface Purpose), Interface Criticality, Interface Criticality Explanation, Interface Flow.</t>
  </si>
  <si>
    <t>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DocStack-SAComparison_Delphi 18/02/2026: APS and ATS to be combined - Interface deleted.</t>
  </si>
  <si>
    <t>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t>
  </si>
  <si>
    <t>Interface Review 25/11/2025: Delete, agreed with Mark and Abby that there is no integration with Alastri_x000D_
DocStack-SAComparison_Delphi 18/02/2026: Reinstate DGS-I_0021, DGS-I_0188._x000D_
NH 18/02/2026: Fields updated: Interface Type, Interface Description (Interface Purpose), Interface Criticality, Interface Criticality Explanation, Interface Flow.</t>
  </si>
  <si>
    <t>Interface Review 02/12/2025: Planned to be a subsystem of Livewire FY27/28. Remove from model and move to retired section._x000D_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t>
  </si>
  <si>
    <t>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Duplicate of DGS-I_0218: 855DC-1541-PPC Pit Power Capacity Planning Tool - Design Optimisation|005OP-0000-004-002 Alastri Production Scheduler (APS) / Alastri Tactical Scheduler (ATS)</t>
  </si>
  <si>
    <t>The purpose of this interface is to enable HaulAI to share simulated fleet behaviour and haulage demand insights with the PPCP Design Optimisation tool to support electrical load modelling and infrastructure design studies. PPCP may provide high-level capacity assumptions or constraints, so haulage simulations reflect feasible electrical network conditions during planning._x000D_
This interface supports planning and optimisation activities only and does not enable real-time operational control.</t>
  </si>
  <si>
    <t>DocStack-SAComparison_Delphi 18/02/2026: APS and ATS to be combined - ATS Archived</t>
  </si>
  <si>
    <t>Changes made as a result of DocStack-SAComparison_Delphi 18/02/2026:
Interfaces reinstated:
DGS-I_0010: 005OP-0000-003 FLO|855DC-1541-DEL Delphi
DGS-I_0021: 855DC-1541-DEL Delphi|005OP-0000-004 Alastri
DGS-I_0022: 855DC-1542-CSM Charge Station Management System (CSMS)|855DC-1541-DEL Delphi
DGS-I_0188: 005OP-0000-004-002 Alastri Production Scheduler (APS)|855DC-1541-DEL Delphi
DGS-I_0196: 855DC-1541-ECL-001 Eclipse Planning|855DC-1541-DEL Delphi
Element deleted:
005OP-0000-004-003 Alastri Tactical Scheduler (ATS)
Element updated:
005OP-0000-004-002 Alastri Production Scheduler (APS) / Alastri Tactical Scheduler (ATS)
Related interfaces deleted as there are interfaces with the updated element above:
DGS-I_0114: 855DC-1541-ECL-001 Eclipse Planning|005OP-0000-004-003 Alastri Tactical Scheduler (ATS)
DGS-I_0124: 855DC-1543-PPC Pit Power Capacity Planning Tool - Capacity Check|005OP-0000-004-003 Alastri Tactical Scheduler (ATS)
DGS-I_0190: 005OP-0000-004-003 Alastri Tactical Scheduler (ATS)|855DC-1541-LIV LiveWire
DGS-I_0217: 005OP-0000-004-003 Alastri Tactical Scheduler (ATS)|855DC-1541-005 HaulAI</t>
  </si>
  <si>
    <t xml:space="preserve">Changes made as a result of DocStack-SAComparison_SCUC 18/02/2026:
Interfaces Created:
DGS-I_0358: 005OP-0000-002 ALF|855DC-1541-ECL-002 Online Security Constrained Unit Commitment (SCUC)
DGS-I_0359: 855DC-1541-ECL-002 Online Security Constrained Unit Commitment (SCUC)|005OP-0000-004-002 Alastri Production Scheduler (APS) / Alastri Tactical Scheduler (ATS)
SBS Updated:
855DC-1543-007 MECO updated to Subsystem under 855DC Decarb Green Systems&gt;855DC-1541 Planning and Forecast Systems&gt;855DC-1541-DEL Delphi. (Note: WBS number should be updated to 855DC-1541-DEL-001.)
Related interface deleted:
DGS-I_0005: 855DC-1541-DEL Delphi|855DC-1543-007 MECO (Interface now internal to Delphi).
</t>
  </si>
  <si>
    <t>Y</t>
  </si>
  <si>
    <t>Updated fields - Interface Type, Interface Description (Interface Purpose), Interface Criticality, Interface Criticality Explanation, and Interface Flow for: DGS-I_0008, DGS-I_0021, DGS-I_0026, DGS-I_0028, DGS-I_0040, DGS-I_0041, DGS-I_0050, DGS-I_0051, DGS-I_0055, DGS-I_0056, DGS-I_0057, DGS-I_0058, DGS-I_0059, DGS-I_0060, DGS-I_0061, DGS-I_0062, DGS-I_0067, DGS-I_0068, DGS-I_0069, DGS-I_0070, DGS-I_0071, DGS-I_0072, DGS-I_0121, DGS-I_0123, DGS-I_0188, DGS-I_0196, DGS-I_0218, DGS-I_0356, and DGS-I_0357.</t>
  </si>
  <si>
    <t>This interface is rated HIGH because Energy Operations relies on accurate and timely optimisation outputs from Eclipse to make safe and economically optimal dispatch decisions. Loss of access to planning data or scenario outputs may result in suboptimal scheduling, increased operational risk, inefficient fuel or storage utilisation, and potential network instability if decisions are made using outdated information. While physical control is exercised through Monarch, the quality and safety of those decisions depend heavily on this interface.</t>
  </si>
  <si>
    <t>This interface is rated HIGH because Energy Operations depends on accurate optimisation outputs from Eclipse to make safe, stable, and economically efficient dispatch decisions. Loss of access may result in decisions based on outdated or incomplete information, increasing the risk of suboptimal generation scheduling, storage mismanagement, or network instability. While physical control is executed through Monarch, the integrity and quality of operational decisions rely heavily on this interface.</t>
  </si>
  <si>
    <t>This interface is rated HIGH because it enables strategic and operational optimisation across short- and long-term planning horizons. Inability to run or analyse scenarios limits forecasting accuracy, reduces confidence in capacity planning, and may lead to inefficient generation, storage, and infrastructure investment decisions. While real-time control systems remain operational, the quality and safety margin of future dispatch and infrastructure decisions depend heavily on this interface.</t>
  </si>
  <si>
    <t>The interface is rated HIGH because Eclipse relies on accurate and current Atlas data to produce valid optimisation and planning outcomes. Incorrect, incomplete, or unavailable data can lead to flawed long-term planning decisions, inaccurate production forecasts, and suboptimal capital or energy strategies. While it may not immediately impact real-time operations, errors at this level can propagate into strategic decision-making, creating significant operational and financial risk.</t>
  </si>
  <si>
    <t>This interface is rated HIGH because it provides the authoritative operational load data required to maintain an accurate view of total system demand. Loss, delay, or corruption of this data undermines the integrity of load calculations and forecasting models, increasing the risk of overload conditions, incorrect dispatch or curtailment decisions, and potential safety incidents. Reliable ground-truth data is essential for maintaining power system stability and operational assurance.</t>
  </si>
  <si>
    <t>This interface is rated HIGH because accurate historical and actual data underpins short-term forecasting, model validation, and operational planning accuracy. Loss or corruption of this data materially degrades forecast reliability, increasing the risk of incorrect generation dispatch, inefficient curtailment decisions, and potential instability in power management. Reliable historical data is essential for maintaining confidence in optimisation and planning outputs.</t>
  </si>
  <si>
    <t>This interface is rated HIGH because weather-derived capacity factors form the foundational input for renewable generation modelling. Loss, delay, or inaccuracy in this data prevents the optimisation model from correctly representing renewable variability and uncertainty. This undermines dispatch planning, reserve calculations, and curtailment strategies, increasing the risk of instability, inefficient generation decisions, and potential safety impacts arising from misaligned supply-demand forecasts.</t>
  </si>
  <si>
    <t>This interface is rated LOW because it supports traffic awareness rather than direct operational or safety control. Loss of the interface may reduce situational visibility and marginally affect traffic efficiency, but it does not impact core haulage control, autonomous truck safety logic, or production continuity.</t>
  </si>
  <si>
    <t>This interface is rated LOW because it supports situational awareness rather than direct operational control or safety interlocking. Failure may reduce coordination efficiency or visibility of drill locations but does not directly affect production continuity, safety systems, or core haulage control. Manual coordination processes can mitigate the impact.</t>
  </si>
  <si>
    <t>NH 20/02/2026: Fields updated: Interface Type, Interface Criticality Explanation, Interface Flow.</t>
  </si>
  <si>
    <t>NH 20/02/2026: Fields updated: Interface Type, Interface Flow.</t>
  </si>
  <si>
    <t>NH 20/02/2026: Fields updated: Interface Criticality Explanation, Interface Flow.</t>
  </si>
  <si>
    <t>NH 20/02/2026: Fields updated: Interface Flow.</t>
  </si>
  <si>
    <t>Data Flow: Load Management System -&gt; Drill Rigs (electrical load limits, supply availability, demand response signals, curtailment instructions, network status) to manage power consumption within system constraints.</t>
  </si>
  <si>
    <t>Data Flow: HME -&gt; HaulX (asset location, operational status, availability, utilisation, fault alarms) to support real-time dispatch optimisation and task allocation.</t>
  </si>
  <si>
    <t>Data Flow: HV Transmission Lines / Protection Systems -&gt; Monarch (line status, power flows, voltage/current measurements, loading levels, protection relay status, fault indications, alarms) for real-time monitoring and network condition assessment.</t>
  </si>
  <si>
    <t>Data Flow: Elysia -&gt; SCUC (ECL Eclipse) (battery state of charge, available capacity, charge/discharge limits, degradation status, capacity forecasts, operational constraints, alarms) to support energy scheduling and unit commitment optimisation.</t>
  </si>
  <si>
    <t>Data Flow: SCUC (Eclipse) -&gt; HaulX Dispatch (high-level energy constraints, power availability limits, curtailment signals, network capacity status) to enable haulage scheduling adjustments based on electrical system conditions.</t>
  </si>
  <si>
    <t>Data Flow: Monarch -&gt; SCUC (ECL Eclipse) (real-time generation output, storage status, network loading, available capacity, demand data, operational constraints, alarms) to support accurate scheduling and optimisation.</t>
  </si>
  <si>
    <t>Data Flow: HME Chargers -&gt; HaulX Dispatch (charger availability, operational status, capacity, state of charge progress, fault alarms) to enable optimised charge scheduling and fleet coordination.</t>
  </si>
  <si>
    <t>Data Flow: Load Management System (LMS) -&gt; Energy Operations (live load profiles, real-time power demand, load forecasts, network status, overload alarms) to support balancing decisions and prevent electrical overloads.</t>
  </si>
  <si>
    <t>Data Flow: Load Management System (LMS) -&gt; Mine Services (load limits, available electrical capacity, curtailment signals, network status, overload warnings) to ensure supporting infrastructure operates within network constraints.</t>
  </si>
  <si>
    <t>Data Flow: 33 kV Substation -&gt; vCharM.Edge / CSMS (energisation status, feeder availability, breaker positions, transformer status, voltage/current measurements, available capacity, alarms, fault events) to confirm charger supply readiness and power availability.</t>
  </si>
  <si>
    <t>Data Flow: HME Chargers -&gt; CSMS (vCharM) (charger status, availability, power draw, state of charge progress, fault alarms, health metrics) for monitoring and coordination.</t>
  </si>
  <si>
    <t>Data Flow: Fire SCADA (Ignition) -&gt; HME Chargers (fire alarms, zone isolation signals, suppression system status, emergency stop signals, equipment status) to trigger charger shutdown, isolation, or safe-state actions during fire events.</t>
  </si>
  <si>
    <t>Data Flow: HME Chargers / Building Services -&gt; Ignition SCADA (NPI SCADA) (auxiliary power status, environmental conditions, HVAC status, room temperature, alarms, equipment health) for monitoring and situational awareness.</t>
  </si>
  <si>
    <t>Data Flow: Mine Electrification SCADA -&gt; HIVE (network status, breaker status, voltage/current measurements, load data, alarms, equipment health, event logs) to support operational oversight and decision-making.</t>
  </si>
  <si>
    <t>Data Flow: Mine Electrification SCADA -&gt; Energy Operations (real-time electrical load data, network stability metrics, breaker and equipment status, alarms, fault events) to support monitoring, coordination, and operational decision-making.</t>
  </si>
  <si>
    <t>Data Flow: Mine Electrification SCADA -&gt; Mine Services (real-time network status, voltage/current data, breaker status, equipment availability, alarms, fault notifications) to support safe operation of pumps, ventilation, lighting, and other support systems.</t>
  </si>
  <si>
    <t>Data Flow: Mine Services PLCs / Process Control Layer -&gt; Ignition SCADA HMI (process status, telemetry, equipment state, alarms, interlock status, fault events) for operator monitoring and supervision.</t>
  </si>
  <si>
    <t>Data Flow: SME (Light &amp; Support Mobile Equipment) -&gt; HaulX Shield (real-time position, speed, heading, proximity data, equipment ID, status, sensor health, geofence alerts) to support collision-avoidance logic and mixed-traffic coordination.</t>
  </si>
  <si>
    <t>Data Flow: HME -&gt; HaulX Dispatch (operational status, availability, readiness state, utilisation, location, fault alarms) to support real-time truck assignment, slotting, and cycle planning.</t>
  </si>
  <si>
    <t>Data Flow: Heavy Mobile Equipment (HME) -&gt; HaulX Shield (real-time position, speed, heading, trajectory, proximity sensor data, equipment ID, operational status, sensor health) to support collision-avoidance and mixed-traffic safety logic.</t>
  </si>
  <si>
    <t>Data Flow: HaulX Precision -&gt; HME (precision guidance coordinates, dump location targets, positioning corrections, task updates, operational guidance data) to support accurate equipment positioning and cycle optimisation.</t>
  </si>
  <si>
    <t>Data Flow: Alastri (APS) -&gt; HaulX Dispatch (medium-term production schedules, required haulage movements, material targets, sequencing priorities, forecast volumes) to align fleet assignments with production objectives.</t>
  </si>
  <si>
    <t>Data Flow: HaulInfinity (Alastri) -&gt; HaulX Dispatch (optimised haulage plans, cycle-time expectations, truck allocation recommendations, routing guidance, performance forecasts) to enable dispatch decisions based on latest simulation outputs.</t>
  </si>
  <si>
    <t>Data Flow: Monarch -&gt; Energy Operations (real-time generation output, storage status, distribution network conditions, load balance metrics, alarms, equipment status, event notifications) to support operational oversight and coordination.</t>
  </si>
  <si>
    <t>Data Flow: 132 kV Substation -&gt; Monarch, transmitting breaker and isolator status, busbar configuration, transformer loading, voltage and current measurements, protection relay status, alarms, fault indications, and feeder power flows to provide real-time visibility of the primary backbone supply node feeding major mine infrastructure.</t>
  </si>
  <si>
    <t>Data Flow: 220 kV Substation -&gt; Monarch, transmitting breaker and isolator positions, busbar configuration, transformer status and loading, voltage and current measurements, protection relay indications, alarms, fault events, and incoming supply conditions to provide real-time visibility of the primary grid connection supplying the mining operation.</t>
  </si>
  <si>
    <t>Data Flow: Alastri (APS) -&gt; HaulAI (production schedules, haulage requirements, material movement targets, sequencing priorities, forecast volumes, operational constraints) to enable simulation and optimisation of planned fleet performance.</t>
  </si>
  <si>
    <t>Data Flow: Ignition (NPI SCADA) -&gt; AC1 / HME Chargers (ventilation status, lighting status, auxiliary power availability, environmental conditions, alarms, facility readiness signals) to verify safe preconditions for automated charging.</t>
  </si>
  <si>
    <t>Data Flow: HME Chargers / Switchroom (SW1+AP1) -&gt; HaulX Dispatch (switchroom energisation status, feeder availability, breaker status, charger supply availability, electrical fault/lockout conditions) to inform charging coordination and operational readiness.</t>
  </si>
  <si>
    <t>Data Flow: Alastri Suite -&gt; FAST (planning inputs, haulage schedules, production targets, fleet parameters, scenario assumptions, forecast volumes) to enable simulation and optimisation aligned with current mine plans.</t>
  </si>
  <si>
    <t>Data Flow: Load Management System (LMS) -&gt; Excavators (&gt;110t) (real-time electrical load limits, available capacity, curtailment signals, network status, overload warnings) to ensure operation within network constraints.</t>
  </si>
  <si>
    <t>Data Flow: Load Management System (LMS) -&gt; Drill Rigs (real-time load limits, available electrical capacity, curtailment signals, network status, overload warnings) to ensure drilling operations remain within safe network constraints.</t>
  </si>
  <si>
    <t>Data Flow: HaulX -&gt; Mining Operations (real-time haulage status, fleet locations, truck assignments, cycle times, production metrics, priority updates, exceptions/alarms) to support supervisory coordination and decision-making.</t>
  </si>
  <si>
    <t>Data Flow: 10YP &amp; LOM Tool -&gt; Planning and Forecast Systems (ECL Eclipse) (10-year mine plan data, production forecasts, resource schedules, long-term haulage volumes, strategic assumptions) sourced from local files for long-horizon scenario modelling.</t>
  </si>
  <si>
    <t>The criticality level is LOW because, although Delphi receives fleet energy forecasts from HaulX to support planning and optimisation, the interface does not affect real-time haulage operations, safety, or production continuity. If the interface fails, Haulage and mine operations continue normally, though forecast accuracy and decision-making may be reduced.</t>
  </si>
  <si>
    <t>Eclipse -&gt; HaulX</t>
  </si>
  <si>
    <t>HaulAI -&gt; HaulX</t>
  </si>
  <si>
    <t>Eclipse -&gt; GAF24</t>
  </si>
  <si>
    <t>Plexos -&gt; GAF24</t>
  </si>
  <si>
    <t>The criticality is MEDIUM because, although the interface failure does not prevent system operation, it reduces the effectiveness of short-term planning and the SCUC process by limiting access to generator availability data. This can cause moderate deviations from optimal dispatch and planning outcomes, impacting overall operational efficiency. The effect is system-wide and sustained, rather than minor and quickly recoverable, supporting a MEDIUM classification rather than LOW.</t>
  </si>
  <si>
    <t>WAMS -&gt; Delphi</t>
  </si>
  <si>
    <t>The criticality level is LOW because a failure of this interface only affects the transfer of high-resolution monitoring data to Delphi for visualisation, analytics, and planning support. Core power system control, protection, and grid stability are not impacted, and operational teams can continue monitoring and forecasting using alternative sources or delayed data.</t>
  </si>
  <si>
    <t>The criticality is HIGH because the Train Unloader's power consumption can significantly influence pit network load. Accurate load data is required to avoid exceeding network capacity and to optimise power allocation.</t>
  </si>
  <si>
    <t>The criticality is HIGH because the TLO's electrical demand directly impacts the pit network's capacity planning. Accurate data ensures the tool can predict and manage potential overloads, optimising power distribution.</t>
  </si>
  <si>
    <t>This interface enables Pit Power Capacity Planning Tool - Design Optimisation to exchange forecast and energy system data with Delphi, Fortescue's forecasting and forecast-governance platform. Delphi provides governed load and generation forecasts, scenario sets, and trust-state context to support energy-aware planning and optimisation within PPCP. The interface ensures planning studies align with the same authoritative forecast logic used in operational scheduling, while preserving traceability and consistency of forecast assumptions.</t>
  </si>
  <si>
    <t>This interface enables Delphi to receive production schedules and activity sequencing data from the Alastri Production Scheduler (APS) and Alastri Tactical Scheduler (ATS). The scheduling data informs Delphi's load forecasting, scenario construction, and energy modelling by reflecting planned production intensity, equipment utilisation, and timing. This interface supports forecast alignment with operational intent and is read-only from Delphi's perspective.</t>
  </si>
  <si>
    <t>Eclipse -&gt; Cimplicity</t>
  </si>
  <si>
    <t>The criticality is N/A because this interface primarily provides a human-machine interface for monitoring, diagnosing, and managing the charging network. It does not control or protect core mine operations, and any delay or failure would not immediately affect production, safety, or throughput. Operational personnel can continue to manage charging activities manually or through alternate systems, and the interface mainly supports data visibility and efficiency.</t>
  </si>
  <si>
    <t>CSMS - &gt; Delphi</t>
  </si>
  <si>
    <t>This criticality is HIGH because Energy Operations depends on accurate optimisation outputs from Eclipse to make safe, stable, and economically efficient dispatch decisions. Loss of access may result in decisions based on outdated or incomplete information, increasing the risk of suboptimal generation scheduling, storage mismanagement, or network instability. While physical control is executed through Monarch, the integrity and quality of operational decisions rely heavily on this interface.</t>
  </si>
  <si>
    <t>Eclipse -&gt; Energy Operations (HIVE)</t>
  </si>
  <si>
    <t>Eclipse &lt;-&gt; Technical Services</t>
  </si>
  <si>
    <t>Eclipse -&gt; FLO</t>
  </si>
  <si>
    <t>Alastri -&gt; HaulAI</t>
  </si>
  <si>
    <t>HV Substations-&gt; CSMS</t>
  </si>
  <si>
    <t>HME Chargers - Gen1 -&gt; Mine Electrification SCADA</t>
  </si>
  <si>
    <t>Chargers -&gt; Mine Electrification SCADA</t>
  </si>
  <si>
    <t>NH 25/02/2026: Fields updated:Interface Type, Interface Flow</t>
  </si>
  <si>
    <t>NH 25/02/2026: Fields updated:Interface Criticality Explanation</t>
  </si>
  <si>
    <t>NH 25/02/2026: Fields updated:Interface Type</t>
  </si>
  <si>
    <t>NH 25/02/2026: Fields updated:Interface Type, Interface Criticality Explanation, Interface Flow</t>
  </si>
  <si>
    <t>NH 25/02/2026: Fields updated:Interface Type, Interface Criticality, Interface Criticality Explanation, Interface Flow</t>
  </si>
  <si>
    <t>Data Flow: Gas Pipeline -&gt; SCUC (ECL Eclipse) (gas supply availability, pipeline capacity limits, pressure constraints, maintenance outages, contractual limits, forecast availability) to inform generation dispatch and unit commitment decisions._x000D_
Primarily one-way constraint and availability data; operational control of the pipeline occurs via separate systems.</t>
  </si>
  <si>
    <t>Interface Review 25/11/2025: Future state integration which still needs to be defined by the project team._x000D_
NH 20/02/2026: Fields updated: Interface Flow.</t>
  </si>
  <si>
    <t>Interface Review 25/11/2025: Future state integration, which still needs to be defined by the project team. Only involved with the short-term dispatch of energy._x000D_
NH 20/02/2026: Fields updated: Interface Flow.</t>
  </si>
  <si>
    <t>CSMS Review 30/10/2025: Standard OCPP Comms between (Open Charge Point Protocol)._x000D_
NH 20/02/2026: Fields updated: Interface Flow.</t>
  </si>
  <si>
    <t>Data Flow: vCharM (CSMS Core) -&gt; AC1 Automated Charging Units (charger readiness, authorisation signals, charge enable commands, scheduling priorities, safety interlock validation, energisation permissions) to coordinate automated charging initiation._x000D_
Data Flow: AC1 -&gt; vCharM (CSMS Core) (dock/connection confirmation, charging state, energisation status, fault alarms, interlock feedback, emergency stop status) to confirm safe and synchronised operation.</t>
  </si>
  <si>
    <t>LMS Review 30/10/2025: Modbus TCP._x000D_
Fault data, CSMS Requesting Power, LMS Sending response (Power can be switched on). Commands from LMS to clear the devices that are requesting Power. Clear Faults. WatchDog Data._x000D_
NH 25/02/2026: Fields updated:Interface Type</t>
  </si>
  <si>
    <t>CSMS Review 30/10/2025: Potential measuring from 132kv. Dynamic load management function._x000D_
NH 20/02/2026: Fields updated: Interface Type, Interface Flow.</t>
  </si>
  <si>
    <t>CSMS Review 30/10/2025: Open Charge Point Protocol (OCPP) for all chargers if the charger supports OCPP._x000D_
NH 20/02/2026: Fields updated: Interface Flow.</t>
  </si>
  <si>
    <t>Data Flow:_x000D_
855DC-1542-CSM Charge Station Management System (CSMS) -&gt; 850DC-1513-0002 HME Auxiliary Chargers, transmitting charger availability status, utilisation data, scheduling information, and optimisation parameters to coordinate auxiliary equipment charging._x000D_
850DC-1513-0002 HME Auxiliary Chargers -&gt; CSMS, providing charger state, connection status, energy consumption, fault alarms, and operational health data for monitoring and optimisation._x000D_
Control Flow:_x000D_
CSMS -&gt; Auxiliary Chargers, issuing configuration updates, charging enable/disable commands, scheduling controls, and operational setpoints to manage auxiliary charging activities.</t>
  </si>
  <si>
    <t>NH 26/11/2025: Interface Criticality LOW, but Interface Criticality Justification suggests HIGH._x000D_
NH 20/02/2026: Fields updated: Interface Criticality.</t>
  </si>
  <si>
    <t>LMS Review 30/10/2025: OPC/UA. _x000D_
Two way communication._x000D_
Status of all equipment connected to LMS. Exc, Drills, CSMS. _x000D_
Drills and diggers are copy and paste from CSMS, same commands. Permissive, requests_x000D_
NH 25/02/2026: Fields updated:Interface Type</t>
  </si>
  <si>
    <t>LMS Review 30/10/2025: Trending data from chargers, diagnostics. OPC/UA_x000D_
NH 20/02/2026: Fields updated: Interface Type, Interface Flow.</t>
  </si>
  <si>
    <t>LMS Review 30/10/2025: Circuit breaker statuses, remote switching controls. Temperature censors._x000D_
OPC/UA._x000D_
In reference to Sub kiosks, not so much 220/33KV subs. That is with Energy Ops._x000D_
NH 20/02/2026: Fields updated: Interface Type, Interface Flow.</t>
  </si>
  <si>
    <t>Data Flow: 33 kV Substations &amp; Sub-kiosk Devices -&gt; Ignition SCADA (breaker status, protection relay status, voltage/current measurements, temperature readings, alarms, device health) via OPC/UA for real-time monitoring._x000D_
Control Flow: Ignition SCADA -&gt; 33 kV Substations (remote switching commands, open/close breaker commands, reset instructions, control setpoints) for supervised control._x000D_
Upstream Integration (where applicable): Ignition SCADA -&gt; Operations / LiveWire (aggregated status, events, alarms, operational data).</t>
  </si>
  <si>
    <t>CSMS Review 30/10/2025: Speak OCPP to a vCharm Edge._x000D_
State, current voltage, car plugged in?_x000D_
Getting back charge auth, charge rate profiles. set charge rate._x000D_
Depending on charger the charger, potentially phoning home to manufacturers cloud._x000D_
NH 20/02/2026: Fields updated: Interface Flow.</t>
  </si>
  <si>
    <t>Data Flow: vCharM.Edge (CSMS) -&gt; AC1 Automated Connection System (authorisation signals, charge enable commands, truck identification, charging parameters, safety interlock status) to initiate and control automated plug-in and charging sequences._x000D_
Data Flow: AC1 -&gt; vCharM.Edge (CSMS) (connection status, latch/plug confirmation, charging state, fault alarms, interlock confirmations) to verify safe engagement and monitor charging progress.</t>
  </si>
  <si>
    <t>LMS Review 30/10/2025: PLC is on the interlock sequence of the Excavator._x000D_
NH 25/02/2026: Fields updated:Interface Type</t>
  </si>
  <si>
    <t>This is a COTS software product produced by Vector. No UI changes are envisaged._x000D_
Interface requirements to be defined for usability and training._x000D_
NH 20/02/2026: Fields updated: Interface Flow.</t>
  </si>
  <si>
    <t>Data Flow:_x000D_
855DC-1542-CSM Charge Station Management System (CSMS) -&gt; Mine Services Personnel (via HMI), transmitting real-time charger status, session data, alarms, diagnostics, and network health information for the LME/SME charger fleet._x000D_
Mine Services Personnel -&gt; CSMS (via HMI), providing user inputs including monitoring queries, configuration updates, and authorised remote action requests._x000D_
Control Flow:_x000D_
Mine Services Personnel -&gt; CSMS, issuing remote control commands such as charger enable/disable, session termination, reset actions, and configuration adjustments through the HMI, subject to access permissions and system safeguards.</t>
  </si>
  <si>
    <t>Data Flow:_x000D_
855DC-1541-005 HaulAI -&gt; 859DC-1410-001 HaulX. This interface supplies HaulX Dispatch with simulated haulage performance data, including cycle-time predictions and route congestion forecasts. This ensures that dispatch decisions are informed by simulated operational conditions to improve decision quality.</t>
  </si>
  <si>
    <t>Interface Review 202/12/2025: For later review, as this is the more detailed solution. Refer to Interface ID DGS-I_0025._x000D_
NH 20/02/2026: Fields updated: Interface Type, Interface Flow.</t>
  </si>
  <si>
    <t>Data Flow:_x000D_
005OP-0000-004 AlastrI (APS) -&gt; 855DC-1541-IV LiveWire, transmitting long-term production schedules, sequencing plans, planned output profiles, and optimisation parameters for analytics and alignment with forecast production targets._x000D_
LiveWire -&gt; APS (where applicable), providing feedback outputs such as analytics results, optimisation insights, or scenario evaluation data to inform planning refinement.</t>
  </si>
  <si>
    <t>CSMS Review 30/10/2025: Proposed to be confirmed for future deployment to the HIVE._x000D_
Interface Register Review 11/11/2025: This is a COTS software product produced by Vector. No UI changes are envisaged._x000D_
Interface requirements to be defined for usability and training._x000D_
NH 20/02/2026: Fields updated: Interface Flow.</t>
  </si>
  <si>
    <t>Data Flow:_x000D_
855DC-1542-CSM Charge Station Management System (CSMS) -&gt; Mine Services Personnel (via HMI), presenting system status, charger availability, alarms, session data, diagnostics, and historical performance information._x000D_
Mine Services Personnel -&gt; CSMS (via HMI), inputting configuration updates, remote commands, user queries, and administrative actions._x000D_
Control Flow:_x000D_
Mine Services Personnel -&gt; CSMS, issuing authorised remote commands, operational overrides, configuration changes, and control actions through the HMI, subject to role-based access controls.</t>
  </si>
  <si>
    <t>Data Flow:_x000D_
855DC-1542-LMS Load Management System (LMS) -&gt; Mining Operations, transmitting electrical load constraints, real-time consumption data, available capacity margins, and system status information to support equipment scheduling and power-intensive activity planning.</t>
  </si>
  <si>
    <t>Data Flow:_x000D_
855DC-1542-LMS Load Management System (LMS) -&gt; HIVE, transmitting real-time electrical load data, system operating status, and constraint information to support operational alignment with site-wide electrical capacity and limitations.</t>
  </si>
  <si>
    <t>Data Flow:_x000D_
859DC-1410-001 HaulX -&gt; HIVE. This interface allows HaulX to share real-time haulage performance data, fleet locations, production status, and operational insights with the HIVE. This provides supervisors and planners with the necessary visibility to monitor fleet behaviour and make informed decisions._x000D_
Control Flow:_x000D_
This interface is for visibility and decision support rather than direct operational control. In the event of a failure, haulage operations continue as normal, though HIVE users lose live oversight, which reduces coordination efficiency and situational awareness.</t>
  </si>
  <si>
    <t>Data Flow:_x000D_
Operations Planning -&gt; 859DC-1410-001 HaulX. This interface enables Operations Planning to provide HaulX with medium-term production expectations, dig priorities, and operational targets so fleet dispatch aligns with the upcoming plan.</t>
  </si>
  <si>
    <t>Interface Review 25/11/2025: FLO is the AI optimiser for ALF and scheduling._x000D_
NH 20/02/2026: Fields updated: Interface Flow.</t>
  </si>
  <si>
    <t>Data Flow:_x000D_
855DC-1541 ECL Eclipse (Planning &amp; Forecast System) -&gt; 0050P-0000-003 FLO, transmitting production forecasts, fleet utilisation assumptions, operational plans, scheduling parameters, and optimisation inputs to support planning analysis and fleet usage modelling.</t>
  </si>
  <si>
    <t>Data Flow:_x000D_
855DC-1541 ECL Eclipse (Site Planning System) -&gt; Integrated Planning process (cross-department coordination), transmitting production plans, energy forecasts, and operational schedules to support enterprise-level planning alignment across departments.</t>
  </si>
  <si>
    <t>Data Flow: Users -&gt; ECL Eclipse (mine plans, weather scenarios, long-term assumptions, input parameters, planning constraints) to execute optimisation runs._x000D_
Data Flow: ECL Eclipse -&gt; Users (optimised plans, scenario outputs, generation schedules, performance forecasts, sensitivity analyses) for review and decision-making.</t>
  </si>
  <si>
    <t>Data Flow: Fire SCADA -&gt; SW1+AP1 Switchroom Systems, transmitting fire alarms, suppression system activation status, zone isolation signals, smoke/heat detection status, and emergency isolation commands to initiate protective responses within high-voltage switchrooms._x000D_
Control / Interlock Response: SW1+AP1 Switchroom Systems -&gt; Local Electrical Equipment, executing automatic trip signals, breaker isolation, ventilation shutdown, or suppression activation based on validated fire inputs to ensure safe equipment isolation and personnel protection.</t>
  </si>
  <si>
    <t>SCADA Review 30/10/2025:Potential to track fire alarms through Ignition for all sites. (interface on hold)._x000D_
NH 20/02/2026: Fields updated: Interface Type, Interface Flow.</t>
  </si>
  <si>
    <t>Data Flow: Fire SCADA (Ignition) -&gt; ESO (Emergency Support/Services Operations) (fire alarms, suppression system status, zone isolation status, emergency notifications, equipment status, fault events) to enable rapid incident response and coordination._x000D_
Primarily one-way emergency notification interface; acknowledgements may be logged via separate operational systems.</t>
  </si>
  <si>
    <t>Data Flow:_x000D_
005OP-0000-017 Ignition SCADA -&gt; NPI Maintenance Controller, transmitting equipment status, alarm logs, fault events, suppression activations, and historical trend data to support diagnostics and maintenance planning.</t>
  </si>
  <si>
    <t>Data Flow:_x000D_
855DC-1542-CSM Charge Station Management System (CSMS) -&gt; 855DC-1541-004 ORCA (Mobile App), transmitting real-time charger availability, operational status, energisation state, session progress, and alarm/fault indicators to support user visibility.</t>
  </si>
  <si>
    <t>LMS Review 30/10/2025: Planning to connect with Drill rig platform. _x000D_
Unknown platform to interface with. talking directly to the PLC for the first drill. _x000D_
Sam Ward is closer to Drill Rig platform. _x000D_
Owner of interface (Green systems Project team)._x000D_
NH 20/02/2026: Fields updated: Interface Flow._x000D_
NH 25/02/2026: Fields updated:Interface Type</t>
  </si>
  <si>
    <t>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t>
  </si>
  <si>
    <t>CSMS Review 30/10/2025: Speak to Energy Ops for this one._x000D_
NH 20/02/2026: Fields updated: Interface Type, Interface Flow.</t>
  </si>
  <si>
    <t>Data Flow: HV Substations -&gt; Monarch (breaker status, protection relay status, voltage/current measurements, power flows, transformer status, alarms, fault events) for real-time monitoring and situational awareness._x000D_
Control Flow: Monarch -&gt; HV Substations (remote switching commands, open/close breaker commands, load transfer instructions, operating constraints) for supervisory control of distribution assets.</t>
  </si>
  <si>
    <t>Data Flow: Thermal Generators -&gt; Monarch (real-time generation output, status, alarms, fuel usage, availability, operational limits) for monitoring and coordination._x000D_
Control Flow: Monarch -&gt; Thermal Generators (dispatch setpoints, start/stop commands, load adjustments, operational constraints) to manage generation in line with system demand and stability requirements.</t>
  </si>
  <si>
    <t>Data Flow:_x000D_
Fortescue Maps (005OP-0000-011 ArcGIS GIS) -&gt; HaulAI (855DC-1541-005), transmitting spatial datasets including site layouts, haul road alignments, pit boundaries, dump locations, elevation models, terrain profiles, exclusion zones, and infrastructure constraints._x000D_
Data is used for route modelling, traffic simulation, terrain-aware optimisation, and long-term haulage planning scenarios._x000D_
Control / Query Flow:_x000D_
HaulAI -&gt; GIS (read/query only), retrieving spatial layers and updates for modelling runs. No operational control commands are issued to GIS through this interface.</t>
  </si>
  <si>
    <t>Data Flow:_x000D_
855DC-1542-CSM Charge Station Management System (CSMS) -&gt; 850DC-1514-0003 LME/SME Chargers, transmitting charging session commands, load allocation instructions, authorisation status, and scheduling information._x000D_
850DC-1514-0003 LME/SME Chargers -&gt; CSMS, providing charger availability, connection status, energy consumption data, session progress, and fault/alarm information for monitoring and optimisation._x000D_
Control Flow:_x000D_
CSMS -&gt; LME/SME Chargers, issuing start/stop charging commands, session authorisation, configuration updates, and load management setpoints to coordinate charging operations.</t>
  </si>
  <si>
    <t>Data Flow:_x000D_
Haulage System (851DC-1592) -&gt; HaulX Control (859DC-1410-001), transmitting high-level haulage instructions, task allocations, route plans, priority rules, and operational constraints for autonomous truck execution._x000D_
HaulX Control -&gt; Haulage System, providing truck status, mission progress, health and diagnostic data, safety events, exception handling notifications, and task completion confirmations._x000D_
Control Flow:_x000D_
HaulX Control issues low-level motion commands and execution logic to Heavy Mobile Equipment (HME), while receiving supervisory dispatch instructions from the Haulage system to maintain alignment with production objectives.</t>
  </si>
  <si>
    <t>From DGS-I_0146 (interface with generic Substation (33kV)): CSMS Review 30/10/2025: Potential measuring from 132kv. Dynamic load management function._x000D_
NH 20/02/2026: Fields updated: Interface Type, Interface Flow.</t>
  </si>
  <si>
    <t>Data Flow:_x000D_
33 kV Substation (854DC-1521-0001) -&gt; vCharM.Edge / CSMS (855DC-1542-CSM), transmitting breaker status, energisation state, feeder availability, transformer loading, voltage and current measurements, alarms, and fault indications to confirm charger power availability and network health._x000D_
Control / Coordination Flow:_x000D_
vCharM.Edge / CSMS -&gt; Charging Infrastructure, using validated substation status to enable or inhibit charger energisation, manage load allocation, and coordinate safe plug-in and charging sequences for HME units.</t>
  </si>
  <si>
    <t>Data Flow:_x000D_
33 kV Substation (854DC-1521-0001) -&gt; Ignition SCADA (005OP-0000-017), transmitting breaker and isolator status, busbar configuration, transformer loading, feeder status, voltage and current measurements, protection relay indications, alarms, and fault events to provide real-time operational visibility of the 33 kV network._x000D_
Control Flow:_x000D_
Ignition SCADA -&gt; 33 kV Substation, issuing remote switching commands, breaker open/close instructions, reset signals, and load transfer commands to enable safe isolation, alarm response, and coordinated network operations.</t>
  </si>
  <si>
    <t>Interface Review 25/11/2025: Future state integration which still needs to be defined by the project team._x000D_
NH 25/02/2026: Fields updated:Interface Type, Interface Flow</t>
  </si>
  <si>
    <t>Interface Review 25/11/2025: FLO is the AI optimiser for ALF and scheduling._x000D_
NH 25/02/2026: Fields updated:Interface Type, Interface Flow</t>
  </si>
  <si>
    <t>Interface Review 25/11/2025: To be confirmed whether this functionality is required to stop a black out situation. Information from Eclipse would be sent through Engery Operations Cimplicity SCADA to slow OPF rates._x000D_
NH 25/02/2026: Fields updated:Interface Type, Interface Flow</t>
  </si>
  <si>
    <t>Interface Review 25/11/2025: Delete (more Eclipse)_x000D_
Delphi RVAM 28/01/2026: Reinstated_x000D_
NH 25/02/2026: Fields updated:Interface Type, Interface Criticality, Interface Criticality Explanation</t>
  </si>
  <si>
    <t>Data Flow:_x000D_
Light Mobile Equipment (LME) &amp; Support Mobile Equipment (SME) -&gt; HaulX Control (859DC-1410-001), transmitting basic operational status, GPS position, heading, speed, and availability state to support traffic awareness and fleet coordination._x000D_
HaulX -&gt; LME / SME (where applicable), providing advisory routing information, proximity alerts, and traffic coordination messages to improve situational awareness within mixed traffic environments._x000D_
Control Flow:_x000D_
No direct motion control is exercised over LME/SME. The interface supports monitoring and advisory coordination only.</t>
  </si>
  <si>
    <t>Data Flow: Energy Storage Systems -&gt; Monarch (state of charge, available capacity, charge/discharge status, alarms, operational limits) for monitoring and coordination._x000D_
Control Flow: Monarch -&gt; Energy Storage Systems (charge/discharge setpoints, dispatch instructions, start/stop commands, operating constraints) to balance supply, demand, and network stability.</t>
  </si>
  <si>
    <t>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Flow._x000D_
NH 20/02/2026: Fields updated: Interface Flow.</t>
  </si>
  <si>
    <t>Data Flow: Gas Power Station -&gt; Monarch (real-time generation output, unit status, available capacity, fuel consumption, emissions data, alarms, fault events) for monitoring and coordination._x000D_
Control Flow: Monarch -&gt; Gas Power Station (dispatch setpoints, start/stop commands, load adjustments, operational constraints) to manage generation in line with demand and network stability requirements.</t>
  </si>
  <si>
    <t>Data Flow:_x000D_
Drill Rig (853DC-1561) -&gt; HaulX Control (859DC-1410-001), transmitting location (GPS), operational status (active/idle/maintenance), working zone boundaries, and basic activity state to support haulage situational awareness and traffic coordination._x000D_
HaulX -&gt; Drill Rig (where implemented), providing advisory proximity notifications or awareness information related to nearby haulage movements._x000D_
Control Flow:_x000D_
No direct control of drilling operations is exercised by HaulX. The interface supports awareness and optional integration into autonomous haulage logic.</t>
  </si>
  <si>
    <t>SCADA Review 30/10/2025: Green substation (in pit sub). 33/6.6kv. Delete, part of substations. To be confirmed._x000D_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t>
  </si>
  <si>
    <t>Data Flow: Sub Kiosks -&gt; Mine Electrification SCADA (switching status, breaker positions, voltage/current measurements, feeder status, protection relay indications, alarms, fault events) for real-time monitoring and fault management._x000D_
Control Flow: Mine Electrification SCADA -&gt; Sub Kiosks (remote switching commands, open/close breaker commands, reset instructions, operational constraints) to support safe isolation and network control.</t>
  </si>
  <si>
    <t>CSMS Review 30/10/2025: Potential measuring from 132kv. Dynamic load management function._x000D_
NH 25/02/2026: Fields updated:Interface Type, Interface Flow</t>
  </si>
  <si>
    <t>LMS Review 30/10/2025: Circuit breaker statuses, remote switching controls. Temperature censors._x000D_
OPC/UA._x000D_
In reference to Sub kiosks, not so much 220/33KV subs. That is with Energy Ops._x000D_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t>
  </si>
  <si>
    <t>Data Flow: HV Substations -&gt; Mine Electrification SCADA (breaker status, transformer status, voltage/current measurements, power flows, protection relay status, alarms, fault events) for real-time monitoring and alarm management._x000D_
Control Flow: Mine Electrification SCADA -&gt; HV Substations (remote switching commands, open/close breaker commands, load transfer instructions, reset commands) to enable safe operation and fault isolation.</t>
  </si>
  <si>
    <t>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Fields updated:Interface Type, Interface Flow</t>
  </si>
  <si>
    <t>LMS Review 30/10/2025: PLC in a field switch OPC/UA._x000D_
Status for SCADA tags, circuit breaker statuses, temp data. _x000D_
_x000D_
Two way (control as well for HV Switching)._x000D_
_x000D_
SCADA Review 30/10/2025: Similar interface and functionality to GSS._x000D_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t>
  </si>
  <si>
    <t>Data Flow: Field Switches -&gt; Mine Electrification SCADA (switch position, feeder status, voltage/current measurements where applicable, protection indications, alarms, fault events) for real-time monitoring and network status visibility._x000D_
Control Flow: Mine Electrification SCADA -&gt; Field Switches (remote open/close commands, isolation instructions, load transfer commands, reset signals) to enable safe switching and fault isolation.</t>
  </si>
  <si>
    <t>CSMS Review 30/10/2025: Speak OCPP to a vCharm Edge._x000D_
State, current voltage, car plugged in?_x000D_
Getting back charge auth, charge rate profiles. set charge rate._x000D_
Depending on the charger, potentially phoning home to the manufacturers' cloud._x000D_
NH 25/02/2026: Fields updated:Interface Type</t>
  </si>
  <si>
    <t>Data Flow: ECL Eclipse -&gt; Energy Operations (EO) Users (optimisation outputs, dispatch schedules, load forecasts, constraint violations, scenario results, performance analytics) presented via user interface for analysis and decision-making._x000D_
Human-in-the-Loop Control: EO Users -&gt; Monarch (approved dispatch decisions, operational adjustments, scheduling overrides) executed through separate operational control interfaces.</t>
  </si>
  <si>
    <t>Data Flow: ECL Eclipse -&gt; Energy Operations (EO) Users (dispatch schedules, optimisation outputs, load forecasts, constraint alerts, scenario results, performance metrics) via user interface for review and analysis._x000D_
Human Decision Path: EO Users -&gt; Monarch (approved dispatch instructions, scheduling adjustments, operational directives) implemented through operational control systems.</t>
  </si>
  <si>
    <t>LMS Review 30/10/2025: Trending data from chargers, diagnostics. OPC/UA_x000D_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Fields updated:Interface Type, Interface Flow</t>
  </si>
  <si>
    <t>Data Flow:_x000D_
859DC-1410-001 HaulX Dispatch -&gt; 852DC Light Mobile Equipment (LME) &amp; Support Mobile Equipment (SME), transmitting tasking information, operational context, work locations, routing guidance, and priority updates to align SME activities with haulage operations._x000D_
852DC LME &amp; SME -&gt; 859DC-1410-001 HaulX, transmitting location (GPS), availability status, task progress, and basic operational state to support dispatch visibility and coordination.</t>
  </si>
  <si>
    <t>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This interface is covered by DGS-I_0163: 005OP-0000-017-001 Non-Process Infrastructure (NPI) SCADA|Non-Process Infrastructure (NPI) Maintenance Controller. This interface is deleted.</t>
  </si>
  <si>
    <t>SCADA Review 30/10/2025:Potential to track fire alarms through Ignition for all sites. (interface on hold)._x000D_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This interface is covered by DGS-I_0164: 005OP-0000-017-002 Fire SCADA|ESO</t>
  </si>
  <si>
    <t>Data Flow: Heavy Mobile Equipment (HME) -&gt; HaulX Control (real-time position, speed, heading, trajectory, operational status, payload status, fault alarms, sensor health, geofence status) to support autonomous haulage planning and safe path execution._x000D_
Data Flow: HaulX Control -&gt; HME (route assignments, speed commands, path updates, stop/go commands, hazard alerts, exclusion zone updates) to coordinate safe autonomous movement.</t>
  </si>
  <si>
    <t>Data Flow:_x000D_
859DC-1410-001 HaulX -&gt; 852DC Light Mobile Equipment (LME) &amp; Support Mobile Equipment (SME), transmitting positional guidance data, routing cues, proximity awareness information, and operational context to support precision tasks (e.g. clean-up, auxiliary loading, support activities)._x000D_
LME/SME -&gt; HaulX, providing current position (GPS), heading, movement status, and basic operational state to enable guidance calculations and situational awareness.</t>
  </si>
  <si>
    <t>Data Flow: Drill Rig -&gt; HaulX Precision (high-accuracy positional data, drilling parameters, hole depth/status, machine health, operational status) for precision monitoring and alignment._x000D_
Data Flow: HaulX Precision -&gt; Drill Rig (machine guidance data, drill plan coordinates, pattern updates, positioning corrections, task instructions).</t>
  </si>
  <si>
    <t>Data Flow: Battery Energy Storage Systems (BESS) -&gt; Monarch (state of charge, available capacity, charge/discharge rates, inverter status, alarms, fault events, availability windows) for real-time monitoring and dispatch coordination._x000D_
Control Flow: Monarch -&gt; BESS (charge/discharge setpoints, dispatch instructions, start/stop commands, operational constraints) to stabilise voltage and balance supply and demand.</t>
  </si>
  <si>
    <t>Data Flow: Long Duration Energy Storage -&gt; Monarch (state of charge, available capacity, discharge/charge rates, operational status, alarms, availability windows) for monitoring and planning support._x000D_
Control Flow: Monarch -&gt; Long Duration Energy Storage (dispatch instructions, charge/discharge setpoints, start/stop commands, operating constraints) to coordinate extended energy support during low-generation periods.</t>
  </si>
  <si>
    <t>Data Flow:_x000D_
854DC-5680-0002 Mobile Battery Bank -&gt; 855DC-1543-008 Monarch. This interface transmits operational data, including real-time available storage capacity and state-of-charge from mobile battery banks, into the Monarch system to enable coordinated deployment of mobile power assets across the site.</t>
  </si>
  <si>
    <t>Data Flow: Wind Farms -&gt; Monarch (real-time generation output, turbine status, availability, wind conditions, alarms, performance metrics) for monitoring and system coordination._x000D_
Control Flow (where applicable): Monarch -&gt; Wind Farms (curtailment commands, generation setpoints, operational constraints) to support grid balancing and stability.</t>
  </si>
  <si>
    <t>Data Flow: Solar PV Farms -&gt; Monarch (real-time generation output, inverter status, availability, irradiance data, alarms, performance metrics) for monitoring and optimisation._x000D_
Control Flow (where applicable): Monarch -&gt; Solar PV Farms (curtailment commands, generation setpoints, operational constraints) to support load balancing and network stability.</t>
  </si>
  <si>
    <t>Data Flow: 11 kV Substation -&gt; Monarch (breaker status, feeder status, transformer status, voltage/current measurements, power flows, protection relay indications, alarms, fault events) for real-time monitoring and coordinated distribution control._x000D_
Control Flow: Monarch -&gt; 11 kV Substation (remote switching commands, open/close breaker instructions, load transfer commands, reset signals) to enable safe isolation and local network reconfiguration.</t>
  </si>
  <si>
    <t>Data Flow: 22 kV Substation -&gt; Monarch (breaker positions, feeder status, transformer loading, voltage/current measurements, protection relay status, alarms, fault indications) to provide live operational visibility of the medium-voltage network._x000D_
Control Flow: Monarch -&gt; 22 kV Substation (remote switching commands, breaker open/close instructions, load transfer and isolation commands) to support coordinated distribution management and fault response.</t>
  </si>
  <si>
    <t>Data Flow: 66 kV Substation -&gt; Monarch (breaker and isolator status, busbar configuration, transformer loading, voltage/current measurements, protection relay status, alarms, fault events, feeder loading) to provide visibility of major distribution assets and high-load feeders._x000D_
Control Flow: Monarch -&gt; 66 kV Substation (remote switching commands, breaker open/close operations, load transfer instructions, fault isolation commands) to support coordinated network management and restoration activities.</t>
  </si>
  <si>
    <t>Data Flow: 33 kV Substation -&gt; Monarch, transmitting breaker and isolator status, busbar configuration, transformer loading, feeder status, voltage and current measurements, protection relay indications, alarms, and fault events to provide operational visibility of essential distribution assets._x000D_
Control Flow: Monarch -&gt; 33 kV Substation, issuing remote switching commands, breaker open/close instructions, load transfer commands, and fault isolation signals to enable coordinated distribution management and timely fault response.</t>
  </si>
  <si>
    <t>CSMS Review 30/10/2025: Not integrated with CSMS. Delphi feeds Eclipse and Monarch. Energy Ops (Confirm with Abby)_x000D_
Interface Review 02/12/2025: Confirmed Delete_x000D_
DocStack-SAComparison_Delphi 18/02/2026: Reinstate DGS-I_0022._x000D_
NH 25/02/2026: Fields updated:Interface Criticality Explanation, Interface Flow</t>
  </si>
  <si>
    <t>From DGS-I_0153 (interface with generic Field Switches): LMS Review 30/10/2025: PLC in a field switch OPC/UA._x000D_
Status for SCADA tags, circuit breaker statuses, temp data. _x000D_
_x000D_
Two way (control as well for HV Switching)._x000D_
_x000D_
SCADA Review 30/10/2025: Similar interface and functionality to GSS._x000D_
NH 20/02/2026: Fields updated: Interface Type, Interface Flow.</t>
  </si>
  <si>
    <t>Data Flow:_x000D_
Field Switches (850DC-1522) -&gt; Ignition SCADA (005OP-0000-017), transmitting switch position (open/closed), load current, voltage presence, protection indications, alarms, and fault status to provide real-time visibility of distribution network topology and condition._x000D_
Control Flow:_x000D_
Ignition SCADA -&gt; Field Switches, issuing remote open/close commands, isolation instructions, reset signals, and reconfiguration commands to enable safe fault isolation, load transfer, and network stabilisation.</t>
  </si>
  <si>
    <t>From DGS-I_0154 (interface with generic HME Chargers): LMS Review 30/10/2025: Trending data from chargers, diagnostics. OPC/UA_x000D_
NH 20/02/2026: Fields updated: Interface Type, Interface Flow.</t>
  </si>
  <si>
    <t>Data Flow:_x000D_
Fire SCADA (005OP-0000-017 Ignition) -&gt; SW1+AP1 Switchroom Systems, transmitting fire alarms, suppression activation status, zone detection signals, smoke/heat alarms, and emergency isolation commands to initiate protective actions within the high-voltage switchroom._x000D_
Control / Interlock Response:_x000D_
SW1+AP1 Switchroom Systems -&gt; Local Electrical Infrastructure, executing automatic breaker trips, circuit isolation, ventilation shutdown, suppression release confirmation, and safety interlocks in response to validated fire events to protect personnel and equipment.</t>
  </si>
  <si>
    <t>Data Flow:_x000D_
Haulage System (851DC-1592) -&gt; HaulX Dispatch (859DC-1410-001), transmitting production targets, routing intentions, assignment rules, fleet priorities, and operational constraints to align dispatch logic with mine plans._x000D_
HaulX Dispatch -&gt; Haulage System, providing truck allocations, task execution status, mission progress, queue states, cycle performance metrics, and exception notifications to maintain coordination and production visibility._x000D_
Control Flow:_x000D_
HaulX Dispatch issues assignment and routing instructions to Heavy Mobile Equipment (HME), ensuring autonomous or assisted haulage movements comply with production schedules and traffic management logic.</t>
  </si>
  <si>
    <t>Data Flow:_x000D_
vCharM.Edge / CSMS (855DC-1542) -&gt; AC1 Automated Charging System (850DC-1512-0001), transmitting charger availability, energisation status, authorisation signals, load limits, fault states, and interlock confirmations required for automated plug-in and charging initiation._x000D_
AC1 Automated Charging System -&gt; vCharM.Edge / CSMS, returning charger status, connection state, charging progress, power draw, alarms, and exception conditions to support real-time monitoring and load coordination._x000D_
Control Flow:_x000D_
vCharM.Edge issues start/stop commands, charging setpoints, authorisation approvals, and load management instructions to AC1 units to ensure safe, coordinated, high-power charging operations.</t>
  </si>
  <si>
    <t>Data Flow:_x000D_
vCharM / CSMS (855DC-1542) -&gt; AC1 Automated Charging Hardware (850DC-1512-0001), transmitting charger readiness status, authorisation signals, energisation commands, load limits, charging setpoints, and safety interlock conditions required to initiate and control automated charging cycles._x000D_
AC1 Automated Charging Hardware -&gt; vCharM / CSMS, returning connection status, dock confirmation, charging progress, real-time power draw, fault states, alarms, and completion notifications to enable monitoring and coordinated load management._x000D_
Control Flow:_x000D_
vCharM issues start/stop commands, charging profiles, authorisation approvals, and dynamic load control instructions to ensure safe energisation and controlled high-power energy delivery to haul trucks.</t>
  </si>
  <si>
    <t>From DGS-I_0144 (interface with generic Excavator): LMS Review 30/10/2025: PLC is on the interlock sequence of the Excavator._x000D_
NH 20/02/2026: Fields updated: Interface Type, Interface Flow.</t>
  </si>
  <si>
    <t>From DGS-I_0038 (interface with generic Drill Rig): LMS Review 30/10/2025: Planning to connect with Drill rig platform. _x000D_
Unknown platform to interface with. talking directly to the PLC for the first drill. _x000D_
Sam Ward is closer to Drill Rig platform._x000D_
Owner of interface (Green systems Project team)_x000D_
NH 20/02/2026: Fields updated: Interface Type, Interface Flow.</t>
  </si>
  <si>
    <t>Data Flow: Ignition (NPI SCADA) -&gt; AC1 Automated Charging System (ventilation status, building services status, auxiliary power availability, environmental conditions, safety interlock status, alarms) to verify facility readiness before high-power automated charging._x000D_
Optional return flow (if applicable): AC1 -&gt; Ignition SCADA (charging state, interlock confirmations, fault notifications, cycle completion status).</t>
  </si>
  <si>
    <t>Data Flow:_x000D_
Atlas (005OP-0000-001) -&gt; Snowflake Data Platform -&gt; Eclipse (855DC-1541-ECL), transmitting structured planning, operational, and production datasets required to support forecasting, optimisation modelling, and long-term scenario analysis._x000D_
Data includes mine plan parameters, production forecasts, resource models, asset constraints, cost assumptions, and other structured inputs required by Eclipse for optimisation processing._x000D_
Control / Query Flow:_x000D_
Eclipse -&gt; Snowflake, executing read/query operations to retrieve validated Atlas datasets for planning runs and scenario simulations. No direct control commands are issued back to Atlas.</t>
  </si>
  <si>
    <t>Meeting Remarks 02/12/2025: GPS sensors will be mounted on the cable couplers to enable accurate cable location tracking. Chance will also assess options for installing GPS units on the supporting cable infrastructure, including towers and in-pit switch locations._x000D_
If the system becomes unavailable, the fallback process will be to update cable locations manually in LiveWire. LiveWire will also support fault diagnosis by indicating whether a specific gateway, sensor, or an entire site has gone offline._x000D_
NH 25/02/2026: Fields updated:Interface Type</t>
  </si>
  <si>
    <t>Data Flow:_x000D_
Simplicity (005OP-0000-013) -&gt; Delphi (855DC-1541-DEL) / Planning &amp; Forecast Systems (855DC-1541), transmitting real-time fixed plant operational data including active load measurements, feeder currents, equipment status, power consumption, process demand, alarms, and availability signals used for calculating actual site electrical loads._x000D_
Data supports load monitoring, curtailment decisions, constraint modelling, and short-term operational optimisation._x000D_
Control / Query Flow:_x000D_
Planning &amp; Forecast Systems -&gt; Simplicity (read/query only), retrieving validated operational data for load calculations and forecasting. No direct control commands are issued to plant control systems via this interface.</t>
  </si>
  <si>
    <t>Data Flow:_x000D_
Ignition (005OP-0000-017) -&gt; Delphi (855DC-1541-DEL) / Planning &amp; Forecast Systems (855DC-1541), transmitting operational electrical data including feeder loads, equipment status, breaker states, alarms, and real-time demand measurements to provide ground-truth inputs for plan-versus-actual load reconciliation and forecasting accuracy._x000D_
Data supports validation of forecast models, load balancing analysis, curtailment planning, and operational performance assessment._x000D_
Control / Query Flow:_x000D_
Planning &amp; Forecast Systems -&gt; Ignition (read/query only), retrieving validated operational data for analytical processing. No direct control commands are issued to field equipment through this interface.</t>
  </si>
  <si>
    <t>Data Flow:_x000D_
005OP-0000-006 Snowflake (General) -&gt; 855DC-1541-ECL Eclipse. This interface supplies aggregated results warehoused in Snowflake, making them available for consumption by other applications and reporting users.</t>
  </si>
  <si>
    <t>Data Flow:_x000D_
855DC-1541-LIV LiveWire -&gt; 855DC-1543-008 Monarch. This interface provides data on Overhead Lines before substations for visualisation and context on the map interface.</t>
  </si>
  <si>
    <t>Data Flow:_x000D_
855DC-1541-LIV LiveWire -&gt; 005OP-0000-006 Snowflake (General). This interface exposes the entire Livewire database via HVR replication to Snowflake, enabling downstream reporting and view creation.</t>
  </si>
  <si>
    <t>Data Flow:_x000D_
Weather Forecasting System (005OP-0000-005) -&gt; Eclipse (855DC-1541-ECL), transmitting synthesised time-series weather data including wind speed, solar irradiance, temperature, and derived capacity factors (CFs)._x000D_
These datasets are used to generate hourly renewable generation profiles (e.g. wind and solar) for optimisation modelling, dispatch simulation, and scenario analysis within Eclipse._x000D_
Control / Query Flow:_x000D_
Eclipse -&gt; Weather Data Source (read/query only), retrieving validated forecast and historical weather datasets for model execution. No operational control commands are issued through this interface.</t>
  </si>
  <si>
    <t>NH 18/02/2026: Fields updated: Interface Type, Interface Description (Interface Purpose), Interface Criticality, Interface Criticality Explanation, Interface Flow._x000D_
NH 25/02/2026: Fields updated:Interface Criticality, Interface Criticality Explanation, Interface Flow</t>
  </si>
  <si>
    <t>DocStack-SAComparison_SCUC 18/02/2026: Add planning systems to SCUC interface (Just Alastri and ALF). Atlas is more long-term planning and not for SCUC. Interfaces DGS-I_0358 &amp; DGS-I_0359 created._x000D_
NH 25/02/2026: Fields updated:Interface Criticality</t>
  </si>
  <si>
    <t>Decarbonisation Site Infrastructure Projects</t>
  </si>
  <si>
    <t>Decarbonisation Site Infrastructure Projects|855DC-1543-PPC Pit Power Capacity Planning Tool - Capacity Check</t>
  </si>
  <si>
    <t>855DC-1541-PPC Pit Power Capacity Planning Tool - Design Optimisation|Decarbonisation Site Infrastructure Projects</t>
  </si>
  <si>
    <t>Z</t>
  </si>
  <si>
    <t xml:space="preserve">Updated fields - Interface Type, Interface Criticality Explanation, Interface Flow for: DGS-I_0002, DGS-I_0004, DGS-I_0036, DGS-I_0038, DGS-I_0039, DGS-I_0044, DGS-I_0061, DGS-I_0063, DGS-I_0064, DGS-I_0073, DGS-I_0075, DGS-I_0077, DGS-I_0116, DGS-I_0117, DGS-I_0118, DGS-I_0120, DGS-I_0122, DGS-I_0125, DGS-I_0126, DGS-I_0127, DGS-I_0128, DGS-I_0131, DGS-I_0137, DGS-I_0139, DGS-I_0140, DGS-I_0141, DGS-I_0142, DGS-I_0146, DGS-I_0147, DGS-I_0148, DGS-I_0149, DGS-I_0152, DGS-I_0154, DGS-I_0156, DGS-I_0158, DGS-I_0159, DGS-I_0161, DGS-I_0162, DGS-I_0164, DGS-I_0167, DGS-I_0168, DGS-I_0169, DGS-I_0174, DGS-I_0175, DGS-I_0176, DGS-I_0179, DGS-I_0184, DGS-I_0185, DGS-I_0186, DGS-I_0191, DGS-I_0192, DGS-I_0198, DGS-I_0200, DGS-I_0203, DGS-I_0204, DGS-I_0205, DGS-I_0206, DGS-I_0207, DGS-I_0208, DGS-I_0209, DGS-I_0210, DGS-I_0211, DGS-I_0215, DGS-I_0216, DGS-I_0219, DGS-I_0220, DGS-I_0223, DGS-I_0224, DGS-I_0227, DGS-I_0233, DGS-I_0234, DGS-I_0237, DGS-I_0267, DGS-I_0292, DGS-I_0299, DGS-I_0300, DGS-I_0321, DGS-I_0334, DGS-I_0344, DGS-I_0345, and DGS-I_0349.
</t>
  </si>
  <si>
    <t>Updated fields - Interface Type, Interface Criticality, Interface Criticality Explanation, Interface Flow for: 
DGS-I_0015, DGS-I_0017, DGS-I_0018, DGS-I_0020, DGS-I_0022, DGS-I_0023, DGS-I_0027, DGS-I_0030, DGS-I_0038, DGS-I_0046, DGS-I_0074, DGS-I_0076, DGS-I_0078, DGS-I_0103, DGS-I_0104, DGS-I_0107, DGS-I_0108, DGS-I_0119, DGS-I_0129, DGS-I_0133, DGS-I_0144, DGS-I_0145, DGS-I_0151, DGS-I_0165, DGS-I_0166, DGS-I_0173, DGS-I_0213, DGS-I_0214, DGS-I_0338, DGS-I_0341, DGS-I_0356, and DGS-I_0359.</t>
  </si>
  <si>
    <t>Data Flow: SCUC -&gt; Cimplicity  (supervisory monitoring data, generation status, load measurements, alarms, operational constraints) to support energy scheduling and unit commitment decisions.</t>
  </si>
  <si>
    <t>The purpose of this interface is to provide LiveWire with real-time electrical connectivity and energisation status information from Mine Electrification SCADA. This includes live/dead state of cables, breakers, switches, and associated network segments, enabling LiveWire to accurately represent which assets and circuits are energised across the pit. This integration supports safe cable routing, switching coordination, and field planning by ensuring spatial visualisations reflect the true electrical state of the network.</t>
  </si>
  <si>
    <t>Mine Electrification SCADA -&gt; LiveWire</t>
  </si>
  <si>
    <t>LMS Review 30/10/2025: Potential MQTT Integration (July roll out?)
Status of when a cable is live. Logic in PLC for curent breaker status and data.
Interface Review 02/12/2025: Confirm if duplication. Confirmed Delete.
Remark 02/12/2025: Move mine electrification SCADA to retired systems and delete associated interfaces.
JV 13/01/2026: Mine Electrification SCADA is a live project - retain in the System Architecture and Interface Register. 
NH 25/02/2026 As Mine Electrification SCADA is separate from Ignition, it is not a duplication. This interface is reinstated.
NH 25/02/2026: Fields updated: Interface Type, Interface Description (Interface Purpose), Interface Criticality, Interface Criticality Explanation, Interface Flow.</t>
  </si>
  <si>
    <t>Interface reinstated: DGS-I_0024. Updated fields - Interface Type, Interface Description (Interface Purpose), Interface Criticality, Interface Criticality Explanation, and Interface Flow.</t>
  </si>
  <si>
    <t>This interface provides the Pit Power Capacity Planning Tool - Capacity Check with up-to-date network topology and physical connectivity data from LiveWire, including cable routes, switch states, substation connectivity, and port/circuit capacity information. The tool uses this topology data to model the pit distribution network, identify capacity constraints, and validate network feasibility for planned loads. This interface is read-only and does not control LiveWire.</t>
  </si>
  <si>
    <t>Data Flow: HME Chargers &lt;-&gt; vCharM.Edge (charger status, availability, power draw, session data, fault alarms, health metrics) for real-time monitoring and optimisation.</t>
  </si>
  <si>
    <t>Interface Review 25/11/2025: To be confirmed whether this functionality is required to stop a black out situation. Information from Eclipse would be sent through Engery Operations Cimplicity SCADA to slow OPF rates._x000D_
NH 20/02/2026: Fields updated: Interface Flow._x000D_
NH 25/02/2026: Fields updated: Interface Flow.</t>
  </si>
  <si>
    <t>LMS Review 30/10/2025: Potential MQTT Integration (July roll out?)_x000D_
_x000D_
Status of when a cable is live. Logic in PLC for curent breaker status and data._x000D_
_x000D_
Interface Review 02/12/2025: Confirm if duplication. Confirmed Delete._x000D_
_x000D_
Remark 02/12/2025: Move mine electrification SCADA to retired systems and delete associated interfaces._x000D_
JV 13/01/2026: Mine Electrification SCADA is a live project - retain in the System Architecture and Interface Register. _x000D_
NH 25/02/2026 As Mine Electrification SCADA is separate from Ignition, it is not a duplication. This interface is reinstated._x000D_
NH 25/02/2026: Fields updated: Interface Type, Interface Description (Interface Purpose), Interface Criticality, Interface Criticality Explanation, Interface Flow.</t>
  </si>
  <si>
    <t>The criticality level is HIGH because this interface provides the authoritative live/dead and electrical connectivity status of cables, breakers, and network segments from Mine Electrification SCADA into LiveWire. Accurate energisation status is fundamental to safe switching, cable handling, and field operations._x000D_
_x000D_
If this interface fails or provides incorrect data, LiveWire may display an incorrect electrical state, creating a credible risk of personnel exposure to energised infrastructure or unsafe switching decisions, thereby compromising a safety-critical function. In addition, loss of reliable connectivity status may require suspension of cable moves and electrical reconfiguration activities until state is manually verified, potentially constraining pit electrification operations and impacting production throughput.</t>
  </si>
  <si>
    <t>Data Flow:_x000D_
Snowflake (005OP-0000-006 General) -&gt; Delphi (855DC-1541-DEL) / Planning &amp; Forecast Systems (855DC-1541), transmitting general actuals and historical datasets including load history, generation output, asset performance metrics, operational events, and forecast reference data._x000D_
Snowflake provides time-travel capability (default 1 day, configurable up to 90 days) to enable retrieval of historical data snapshots for reconciliation, back-testing, and scenario analysis._x000D_
Control / Query Flow:_x000D_
Delphi / Planning Systems -&gt; Snowflake (read/query only), executing structured queries to retrieve validated actuals and historical data for short-term forecasting, trend analysis, and model calibration. No operational control is issued via this interface.</t>
  </si>
  <si>
    <t>CSVB9814B07</t>
  </si>
  <si>
    <t>CSV8456B780</t>
  </si>
  <si>
    <t>CSVDA0A95CE</t>
  </si>
  <si>
    <t>CSV8A6BE616</t>
  </si>
  <si>
    <t>CSV0463A5E3</t>
  </si>
  <si>
    <t>CSVAD1012C4</t>
  </si>
  <si>
    <t>CSV27F6880C</t>
  </si>
  <si>
    <t>CSVA5F2E1CC</t>
  </si>
  <si>
    <t>CSVE902B2FF</t>
  </si>
  <si>
    <t>CSVA4774F9D</t>
  </si>
  <si>
    <t>CSV900892B8</t>
  </si>
  <si>
    <t>CSV9AF7FA99</t>
  </si>
  <si>
    <t>CSV6D1A0E00</t>
  </si>
  <si>
    <t>CSVDB875900</t>
  </si>
  <si>
    <t>CSV3D3BA651</t>
  </si>
  <si>
    <t>CSVD0BB9940</t>
  </si>
  <si>
    <t>CSVE40F9861</t>
  </si>
  <si>
    <t>CSV3399634E</t>
  </si>
  <si>
    <t>CSV57847058</t>
  </si>
  <si>
    <t>CSVDDF8E60B</t>
  </si>
  <si>
    <t>CSV81E495B7</t>
  </si>
  <si>
    <t>CSV1A8EF944</t>
  </si>
  <si>
    <t>CSV001699FA</t>
  </si>
  <si>
    <t>CSVEC1C91EF</t>
  </si>
  <si>
    <t>CSVBA87883E</t>
  </si>
  <si>
    <t>CSVE8FD0808</t>
  </si>
  <si>
    <t>CSVE81F4D1D</t>
  </si>
  <si>
    <t>CSVB5E08126</t>
  </si>
  <si>
    <t>CSV11554DD4</t>
  </si>
  <si>
    <t>CSV2E228B73</t>
  </si>
  <si>
    <t>CSVC10FE97B</t>
  </si>
  <si>
    <t>CSV090AE99A</t>
  </si>
  <si>
    <t>CSV4E56158B</t>
  </si>
  <si>
    <t>CSV4E47278E</t>
  </si>
  <si>
    <t>CSV3042517B</t>
  </si>
  <si>
    <t>CSV560781D9</t>
  </si>
  <si>
    <t>CSV27DA87EE</t>
  </si>
  <si>
    <t>CSVAB722759</t>
  </si>
  <si>
    <t>CSVA9300364</t>
  </si>
  <si>
    <t>CSVF65B2A34</t>
  </si>
  <si>
    <t>CSVD62C24C8</t>
  </si>
  <si>
    <t>CSVE2334618</t>
  </si>
  <si>
    <t>CSVABEA2471</t>
  </si>
  <si>
    <t>CSV2FB1CC5B</t>
  </si>
  <si>
    <t>CSVA6544BF5</t>
  </si>
  <si>
    <t>CSVC5E862F3</t>
  </si>
  <si>
    <t>CSV254A3BE9</t>
  </si>
  <si>
    <t>CSVF65AC923</t>
  </si>
  <si>
    <t>CSV4611D48B</t>
  </si>
  <si>
    <t>CSV33D40CFE</t>
  </si>
  <si>
    <t>CSVB03EDAAC</t>
  </si>
  <si>
    <t>CSVE88A4FF7</t>
  </si>
  <si>
    <t>CSVA0F99D57</t>
  </si>
  <si>
    <t>CSVC7376E1E</t>
  </si>
  <si>
    <t>CSV6688473D</t>
  </si>
  <si>
    <t>CSV21CAE306</t>
  </si>
  <si>
    <t>CSV57F9C969</t>
  </si>
  <si>
    <t>CSVC330DB15</t>
  </si>
  <si>
    <t>CSV3C0EBB32</t>
  </si>
  <si>
    <t>CSVA60B2179</t>
  </si>
  <si>
    <t>CSV1EEB9E20</t>
  </si>
  <si>
    <t>CSVE8289DA7</t>
  </si>
  <si>
    <t>CSV745AFA32</t>
  </si>
  <si>
    <t>CSV51E9FA41</t>
  </si>
  <si>
    <t>CSV0A0711A8</t>
  </si>
  <si>
    <t>CSVB64B6C63</t>
  </si>
  <si>
    <t>CSVE6B47631</t>
  </si>
  <si>
    <t>CSVC3D10206</t>
  </si>
  <si>
    <t>CSV36437EF0</t>
  </si>
  <si>
    <t>CSVFB2765AD</t>
  </si>
  <si>
    <t>CSV36C3F311</t>
  </si>
  <si>
    <t>CSV247B23D6</t>
  </si>
  <si>
    <t>CSV663C5AC7</t>
  </si>
  <si>
    <t>CSV020E6C78</t>
  </si>
  <si>
    <t>CSVD67A6878</t>
  </si>
  <si>
    <t>CSV644C756B</t>
  </si>
  <si>
    <t>CSV38CF2618</t>
  </si>
  <si>
    <t>CSV7BA4654B</t>
  </si>
  <si>
    <t>CSVC5A851BF</t>
  </si>
  <si>
    <t>CSVD41DF2C3</t>
  </si>
  <si>
    <t>CSVA41F8BB9</t>
  </si>
  <si>
    <t>CSV42CC6F17</t>
  </si>
  <si>
    <t>CSVF6BBA214</t>
  </si>
  <si>
    <t>CSV87C6B0AC</t>
  </si>
  <si>
    <t>CSV074ABE07</t>
  </si>
  <si>
    <t>CSVD0A58445</t>
  </si>
  <si>
    <t>CSV6C0AC764</t>
  </si>
  <si>
    <t>CSVE0C05996</t>
  </si>
  <si>
    <t>CSV54BE5596</t>
  </si>
  <si>
    <t>CSV82864399</t>
  </si>
  <si>
    <t>CSV6B01A1BE</t>
  </si>
  <si>
    <t>CSVAA29CE73</t>
  </si>
  <si>
    <t>CSV4882BFB8</t>
  </si>
  <si>
    <t>CSV6CCA9220</t>
  </si>
  <si>
    <t>CSVF96604D5</t>
  </si>
  <si>
    <t>CSVBB47D554</t>
  </si>
  <si>
    <t>CSV79068314</t>
  </si>
  <si>
    <t>CSVAE9C934A</t>
  </si>
  <si>
    <t>CSV99366EEF</t>
  </si>
  <si>
    <t>CSVCB5208A5</t>
  </si>
  <si>
    <t>CSVBC77BFEB</t>
  </si>
  <si>
    <t>CSVB0FBD5CE</t>
  </si>
  <si>
    <t>CSV141AE2BA</t>
  </si>
  <si>
    <t>CSVEE067A98</t>
  </si>
  <si>
    <t>CSV0D529245</t>
  </si>
  <si>
    <t>CSV0E3A1AE9</t>
  </si>
  <si>
    <t>CSV4ABA2EB1</t>
  </si>
  <si>
    <t>CSV5AF2FDB7</t>
  </si>
  <si>
    <t>CSV27C83BE8</t>
  </si>
  <si>
    <t>CSVDA9ABE4C</t>
  </si>
  <si>
    <t>CSV52FD8053</t>
  </si>
  <si>
    <t>CSVD644F743</t>
  </si>
  <si>
    <t>CSVF401DB3F</t>
  </si>
  <si>
    <t>CSV83E2BDA1</t>
  </si>
  <si>
    <t>CSV007A65DF</t>
  </si>
  <si>
    <t>CSVA32E335A</t>
  </si>
  <si>
    <t>CSV3BE32F5D</t>
  </si>
  <si>
    <t>CSVD771B24A</t>
  </si>
  <si>
    <t>CSV2E93937A</t>
  </si>
  <si>
    <t>CSV9E63E7C6</t>
  </si>
  <si>
    <t>CSV5F40A594</t>
  </si>
  <si>
    <t>CSV12064F5B</t>
  </si>
  <si>
    <t>CSV41D42846</t>
  </si>
  <si>
    <t>CSVB46FF7BA</t>
  </si>
  <si>
    <t>CSVDF06199F</t>
  </si>
  <si>
    <t>CSVF8B1808E</t>
  </si>
  <si>
    <t>CSV5D7CFBC0</t>
  </si>
  <si>
    <t>CSV34BE696E</t>
  </si>
  <si>
    <t>CSV96717970</t>
  </si>
  <si>
    <t>CSVE586FD40</t>
  </si>
  <si>
    <t>CSVEBB5280F</t>
  </si>
  <si>
    <t>CSV6CDFD4CB</t>
  </si>
  <si>
    <t>CSV4C480A3A</t>
  </si>
  <si>
    <t>CSVABCECE7C</t>
  </si>
  <si>
    <t>CSV95C7CAAE</t>
  </si>
  <si>
    <t>CSV2113A5B8</t>
  </si>
  <si>
    <t>CSV5AF6E71B</t>
  </si>
  <si>
    <t>CSV6D401237</t>
  </si>
  <si>
    <t>CSVF13604F2</t>
  </si>
  <si>
    <t>CSV40B64930</t>
  </si>
  <si>
    <t>CSV028879B2</t>
  </si>
  <si>
    <t>CSV5FA2DACA</t>
  </si>
  <si>
    <t>CSV6666DB10</t>
  </si>
  <si>
    <t>CSV3C9D6B8D</t>
  </si>
  <si>
    <t>CSV1BB92D3D</t>
  </si>
  <si>
    <t>CSV0E04C8FF</t>
  </si>
  <si>
    <t>CSV1F2F27CD</t>
  </si>
  <si>
    <t>CSVC6CF17EB</t>
  </si>
  <si>
    <t>CSV734B6FD9</t>
  </si>
  <si>
    <t>CSVA68ACD48</t>
  </si>
  <si>
    <t>CSVC23E5268</t>
  </si>
  <si>
    <t>CSV131E3383</t>
  </si>
  <si>
    <t>CSV6C242B76</t>
  </si>
  <si>
    <t>CSVDDF48B00</t>
  </si>
  <si>
    <t>CSV9C642523</t>
  </si>
  <si>
    <t>CSVFE9FC187</t>
  </si>
  <si>
    <t>CSVABB726A9</t>
  </si>
  <si>
    <t>CSV8A1C4D30</t>
  </si>
  <si>
    <t>CSV1435CA01</t>
  </si>
  <si>
    <t>CSV081388CE</t>
  </si>
  <si>
    <t>CSVEB1DD0D5</t>
  </si>
  <si>
    <t>CSVB8DDA6BC</t>
  </si>
  <si>
    <t>CSV1DAE6DC4</t>
  </si>
  <si>
    <t>CSV19246CEB</t>
  </si>
  <si>
    <t>CSV41C78095</t>
  </si>
  <si>
    <t>CSV424C46FA</t>
  </si>
  <si>
    <t>CSV2824B95E</t>
  </si>
  <si>
    <t>CSV8668CC7C</t>
  </si>
  <si>
    <t>CSV25884F11</t>
  </si>
  <si>
    <t>CSVCEE858A7</t>
  </si>
  <si>
    <t>CSVA40F2AD6</t>
  </si>
  <si>
    <t>CSV76DE49FE</t>
  </si>
  <si>
    <t>CSV635F7541</t>
  </si>
  <si>
    <t>CSV5B6FD800</t>
  </si>
  <si>
    <t>CSVA2702B04</t>
  </si>
  <si>
    <t>CSVA29F46BB</t>
  </si>
  <si>
    <t>CSV41786542</t>
  </si>
  <si>
    <t>CSV8449277B</t>
  </si>
  <si>
    <t>CSV558B0574</t>
  </si>
  <si>
    <t>CSV55DEFBC3</t>
  </si>
  <si>
    <t>CSVFDF40551</t>
  </si>
  <si>
    <t>CSVC8FD918D</t>
  </si>
  <si>
    <t>CSV8A66D432</t>
  </si>
  <si>
    <t>CSV531C6032</t>
  </si>
  <si>
    <t>CSV98AF635D</t>
  </si>
  <si>
    <t>CSVDC5C3D06</t>
  </si>
  <si>
    <t>CSVF6328ACE</t>
  </si>
  <si>
    <t>CSV7EC3133B</t>
  </si>
  <si>
    <t>CSVC9BE54A0</t>
  </si>
  <si>
    <t>CSV73A23060</t>
  </si>
  <si>
    <t>CSV56E10BF4</t>
  </si>
  <si>
    <t>CSV69B2A019</t>
  </si>
  <si>
    <t>CSVBAFFD52F</t>
  </si>
  <si>
    <t>CSVCBB467BC</t>
  </si>
  <si>
    <t>CSV43E731A2</t>
  </si>
  <si>
    <t>CSV2D19C894</t>
  </si>
  <si>
    <t>CSVB41FFFB2</t>
  </si>
  <si>
    <t>CSV6314AA19</t>
  </si>
  <si>
    <t>CSVDB11075F</t>
  </si>
  <si>
    <t>CSV9267CF6F</t>
  </si>
  <si>
    <t>CSVC4EA710F</t>
  </si>
  <si>
    <t>CSV921E3CCF</t>
  </si>
  <si>
    <t>CSV5787B7C4</t>
  </si>
  <si>
    <t>CSV2ADCA3CE</t>
  </si>
  <si>
    <t>CSV3CEFCEAB</t>
  </si>
  <si>
    <t>CSV61560981</t>
  </si>
  <si>
    <t>CSV8EA0E60F</t>
  </si>
  <si>
    <t>CSV2675FDC3</t>
  </si>
  <si>
    <t>CSVE8BDBFCF</t>
  </si>
  <si>
    <t>CSV39CB780F</t>
  </si>
  <si>
    <t>CSV35032A7B</t>
  </si>
  <si>
    <t>CSVCC5358ED</t>
  </si>
  <si>
    <t>CSV51C8FD89</t>
  </si>
  <si>
    <t>CSVB93BA2CF</t>
  </si>
  <si>
    <t>CSV78BAC33F</t>
  </si>
  <si>
    <t>CSVBD71ED05</t>
  </si>
  <si>
    <t>CSV1C96F349</t>
  </si>
  <si>
    <t>CSVEEF7F3FA</t>
  </si>
  <si>
    <t>CSV4AAAA83F</t>
  </si>
  <si>
    <t>CSVA2ED0456</t>
  </si>
  <si>
    <t>CSV9AEDA9A6</t>
  </si>
  <si>
    <t>CSVA6C6EFC3</t>
  </si>
  <si>
    <t>CSVE6A62C6E</t>
  </si>
  <si>
    <t>CSV2053E0BA</t>
  </si>
  <si>
    <t>CSVC6641FF5</t>
  </si>
  <si>
    <t>Data Flow:_x000D_
Power Projects / 855DC-1543 Existing Systems - Green Enhancement -&gt; 855DC-1543-008 Monarch, transmitting design data, configuration parameters, asset models, commissioning settings, and updated network topology information for new or modified electrical assets._x000D_
Monarch -&gt; Power Projects (where applicable), providing validation feedback, integration status, configuration acceptance results, or data quality queries during commissioning and handover.</t>
  </si>
  <si>
    <t>CSV9BA1904B</t>
  </si>
  <si>
    <t>CSV4F79CE50</t>
  </si>
  <si>
    <t>CSVD3E60D52</t>
  </si>
  <si>
    <t>CSV6681EF11</t>
  </si>
  <si>
    <t>CSVAD059BA1</t>
  </si>
  <si>
    <t>CSV381327B3</t>
  </si>
  <si>
    <t>CSVC4ED85D1</t>
  </si>
  <si>
    <t>CSV8DE118D4</t>
  </si>
  <si>
    <t>CSVA8A38CBB</t>
  </si>
  <si>
    <t>CSV57267A7A</t>
  </si>
  <si>
    <t>CSV344B2053</t>
  </si>
  <si>
    <t>CSVC8A14841</t>
  </si>
  <si>
    <t>CSVFE12D57F</t>
  </si>
  <si>
    <t>CSVFD2412C8</t>
  </si>
  <si>
    <t>CSV3FB1D99F</t>
  </si>
  <si>
    <t>CSVACDAE25C</t>
  </si>
  <si>
    <t>CSV98C4FE22</t>
  </si>
  <si>
    <t>CSV4260B620</t>
  </si>
  <si>
    <t>CSVC188AAC2</t>
  </si>
  <si>
    <t>CSV3A3F2A32</t>
  </si>
  <si>
    <t>CSV739487AF</t>
  </si>
  <si>
    <t>CSVC0DACB7E</t>
  </si>
  <si>
    <t>CSVC5A98FC7</t>
  </si>
  <si>
    <t>CSVE8C0F796</t>
  </si>
  <si>
    <t>CSV9D0C152D</t>
  </si>
  <si>
    <t>CSV9805F7B0</t>
  </si>
  <si>
    <t>CSVD2655A69</t>
  </si>
  <si>
    <t>CSVD584F922</t>
  </si>
  <si>
    <t>CSVCC5D452F</t>
  </si>
  <si>
    <t>CSV285186F0</t>
  </si>
  <si>
    <t>CSV09B5583D</t>
  </si>
  <si>
    <t>CSV16AFE866</t>
  </si>
  <si>
    <t>CSV01DD9BBD</t>
  </si>
  <si>
    <t>CSV1701A7DB</t>
  </si>
  <si>
    <t>CSV336D152A</t>
  </si>
  <si>
    <t>CSV6E82EC40</t>
  </si>
  <si>
    <t>CSV8ABB8162</t>
  </si>
  <si>
    <t>CSV85F0BB4A</t>
  </si>
  <si>
    <t>CSVE22A8A31</t>
  </si>
  <si>
    <t>CSV8190534B</t>
  </si>
  <si>
    <t>CSV45E6BCC9</t>
  </si>
  <si>
    <t>CSVA04EF9D3</t>
  </si>
  <si>
    <t>CSV0B5B0A73</t>
  </si>
  <si>
    <t>CSVFC8DD10D</t>
  </si>
  <si>
    <t>CSVD078C065</t>
  </si>
  <si>
    <t>CSV877ED276</t>
  </si>
  <si>
    <t>CSVAA9CF82D</t>
  </si>
  <si>
    <t>CSV2D5E834D</t>
  </si>
  <si>
    <t>CSVCD11644C</t>
  </si>
  <si>
    <t>CSV24D82D82</t>
  </si>
  <si>
    <t>CSVEB12E0ED</t>
  </si>
  <si>
    <t>CSV6980E8D4</t>
  </si>
  <si>
    <t>CSVF1F245FC</t>
  </si>
  <si>
    <t>CSVB61FC209</t>
  </si>
  <si>
    <t>CSV9FF0C5FD</t>
  </si>
  <si>
    <t>CSVE1DA532F</t>
  </si>
  <si>
    <t>CSVAA89EEED</t>
  </si>
  <si>
    <t>CSVEF2C8343</t>
  </si>
  <si>
    <t>CSV0457A23A</t>
  </si>
  <si>
    <t>CSV52EDE5D7</t>
  </si>
  <si>
    <t>CSV0EAE55CB</t>
  </si>
  <si>
    <t>CSVE0FB2D7A</t>
  </si>
  <si>
    <t>CSV91F87437</t>
  </si>
  <si>
    <t>CSVE21AE04A</t>
  </si>
  <si>
    <t>CSVB63202D2</t>
  </si>
  <si>
    <t>CSVBDBEA868</t>
  </si>
  <si>
    <t>CSV8E2646BD</t>
  </si>
  <si>
    <t>CSV7136CFA1</t>
  </si>
  <si>
    <t>CSVE5A5DE52</t>
  </si>
  <si>
    <t>CSV34926AD5</t>
  </si>
  <si>
    <t>CSV1777EE25</t>
  </si>
  <si>
    <t>CSV2B00DC75</t>
  </si>
  <si>
    <t>CSV1190E6D0</t>
  </si>
  <si>
    <t>CSV5F78BC8D</t>
  </si>
  <si>
    <t>CSV6528AE79</t>
  </si>
  <si>
    <t>CSV5BADEA30</t>
  </si>
  <si>
    <t>CSV9AE1C7C3</t>
  </si>
  <si>
    <t>CSV95F29CC7</t>
  </si>
  <si>
    <t>CSVFB4BDD54</t>
  </si>
  <si>
    <t>CSVE349A233</t>
  </si>
  <si>
    <t>CSV810B9061</t>
  </si>
  <si>
    <t>CSV1CD45610</t>
  </si>
  <si>
    <t>CSVFBA868D2</t>
  </si>
  <si>
    <t>CSVD773660D</t>
  </si>
  <si>
    <t>CSV2526901E</t>
  </si>
  <si>
    <t>CSV6A56A5C8</t>
  </si>
  <si>
    <t>CSV8765EC2E</t>
  </si>
  <si>
    <t>CSV08629CC5</t>
  </si>
  <si>
    <t>CSV497DAD7A</t>
  </si>
  <si>
    <t>CSV6ED6D3CF</t>
  </si>
  <si>
    <t>CSVEFC873A1</t>
  </si>
  <si>
    <t>CSV164A084B</t>
  </si>
  <si>
    <t>CSV5CC12D26</t>
  </si>
  <si>
    <t>CSV742C6E2F</t>
  </si>
  <si>
    <t>CSVA27E86B0</t>
  </si>
  <si>
    <t>CSVD244FFE7</t>
  </si>
  <si>
    <t>CSVBEADD5A1</t>
  </si>
  <si>
    <t>CSV8A788B70</t>
  </si>
  <si>
    <t>CSVB4C247E4</t>
  </si>
  <si>
    <t>CSVA2260657</t>
  </si>
  <si>
    <t>CSV4F8086AA</t>
  </si>
  <si>
    <t>CSV5CEDF805</t>
  </si>
  <si>
    <t>CSV21F0B36C</t>
  </si>
  <si>
    <t>CSVB0F80C6E</t>
  </si>
  <si>
    <t>CSVFFB91947</t>
  </si>
  <si>
    <t>CSV954390E0</t>
  </si>
  <si>
    <t>CSVA97CA3AF</t>
  </si>
  <si>
    <t>CSV1C555650</t>
  </si>
  <si>
    <t>CSV4F380D22</t>
  </si>
  <si>
    <t>CSV506F180C</t>
  </si>
  <si>
    <t>CSV4B4302C0</t>
  </si>
  <si>
    <t>CSVEA0792E1</t>
  </si>
  <si>
    <t>CSVCCA2531F</t>
  </si>
  <si>
    <t>CSVC26538FF</t>
  </si>
  <si>
    <t>CSV500E5574</t>
  </si>
  <si>
    <t>CSV4BF9848D</t>
  </si>
  <si>
    <t>CSV50794CF0</t>
  </si>
  <si>
    <t>CSVAD17B4DB</t>
  </si>
  <si>
    <t>CSV2DBA8410</t>
  </si>
  <si>
    <t>CSV57CB7B20</t>
  </si>
  <si>
    <t>CSV56579AD0</t>
  </si>
  <si>
    <t>CSV7AAC7A1C</t>
  </si>
  <si>
    <t>CSVB07094CF</t>
  </si>
  <si>
    <t>Data Flow: Concentrate Pipeline -&gt; Pit Power Capacity Planning Tool (Capacity Check) (pumping system load demand, real-time power consumption, peak power requirements, flow rates, operational status) for capacity assessment and power allocation analysis._x000D_
Read-only interface -  no control flow from the Capacity Planning Tool to the Concentrate Pipeline.</t>
  </si>
  <si>
    <t>CSV53342E93</t>
  </si>
  <si>
    <t>CSVB298E1F9</t>
  </si>
  <si>
    <t>CSV510082BB</t>
  </si>
  <si>
    <t>CSV3A32AE5B</t>
  </si>
  <si>
    <t>CSV82B22C5C</t>
  </si>
  <si>
    <t>CSVA717D5B4</t>
  </si>
  <si>
    <t>CSV32AD220F</t>
  </si>
  <si>
    <t>CSV54BAD23D</t>
  </si>
  <si>
    <t>CSVB584F4D1</t>
  </si>
  <si>
    <t>CSV74D20587</t>
  </si>
  <si>
    <t>CSVFCFF93CE</t>
  </si>
  <si>
    <t>CSVDA5202D4</t>
  </si>
  <si>
    <t>CSV567281CF</t>
  </si>
  <si>
    <t>CSV8C94A818</t>
  </si>
  <si>
    <t>CSV27BC7718</t>
  </si>
  <si>
    <t>CSV3A220BD5</t>
  </si>
  <si>
    <t>CSV14FFD1AC</t>
  </si>
  <si>
    <t>CSV4D9B102A</t>
  </si>
  <si>
    <t>CSVF4C8E583</t>
  </si>
  <si>
    <t>CSVA85E0239</t>
  </si>
  <si>
    <t>CSV7CC1B8F7</t>
  </si>
  <si>
    <t>CSVDE969A29</t>
  </si>
  <si>
    <t>CSVD47D5C4E</t>
  </si>
  <si>
    <t>CSV551647EA</t>
  </si>
  <si>
    <t>CSVC35D3EB4</t>
  </si>
  <si>
    <t>CSV23F0279B</t>
  </si>
  <si>
    <t>CSV2FC517D3</t>
  </si>
  <si>
    <t>CSVD6E5C594</t>
  </si>
  <si>
    <t>CSV7714ADE1</t>
  </si>
  <si>
    <t>CSV156F8B49</t>
  </si>
  <si>
    <t>CSV23494E65</t>
  </si>
  <si>
    <t>CSV6757BE1C</t>
  </si>
  <si>
    <t>CSV2D1A383C</t>
  </si>
  <si>
    <t>CSVCDEBC819</t>
  </si>
  <si>
    <t>CSV8939291B</t>
  </si>
  <si>
    <t>CSVCD98E081</t>
  </si>
  <si>
    <t>CSV980A512F</t>
  </si>
  <si>
    <t>CSV06AD2022</t>
  </si>
  <si>
    <t>CSV0FCE147A</t>
  </si>
  <si>
    <t>CSVCF882165</t>
  </si>
  <si>
    <t>CSV955FA75A</t>
  </si>
  <si>
    <t>CSV3FEFC0DC</t>
  </si>
  <si>
    <t>CSVF71312F1</t>
  </si>
  <si>
    <t>CSV7DD0C1F5</t>
  </si>
  <si>
    <t>CSV258BA6D2</t>
  </si>
  <si>
    <t>CSV7A5B1CE3</t>
  </si>
  <si>
    <t>CSVC39A52CA</t>
  </si>
  <si>
    <t>CSV2DF6B046</t>
  </si>
  <si>
    <t>Data Flow: Monarch -&gt; Energy Operations (real-time generation output, storage state, network status, load balance, alarms, equipment availability, event notifications) to provide system-wide situational awareness and oversight._x000D_
Read-only interface - no control flow from Energy Operations to Monarch via this link.</t>
  </si>
  <si>
    <t>CSV45EA31B3</t>
  </si>
  <si>
    <t>CSVC04AC9F1</t>
  </si>
  <si>
    <t>CSV30D4E6BE</t>
  </si>
  <si>
    <t>CSVE357D923</t>
  </si>
  <si>
    <t>CSV3FAA7CEE</t>
  </si>
  <si>
    <t>CSV0258B429</t>
  </si>
  <si>
    <t>CSV2D1E2C67</t>
  </si>
  <si>
    <t>CSVA351CB7E</t>
  </si>
  <si>
    <t>CSV4B695E07</t>
  </si>
  <si>
    <t>CSVD1B89D43</t>
  </si>
  <si>
    <t>CSV654C8DA8</t>
  </si>
  <si>
    <t>CSV1EBD33A3</t>
  </si>
  <si>
    <t>CSV55672EC1</t>
  </si>
  <si>
    <t>CSV2D8CBE5C</t>
  </si>
  <si>
    <t>CSV03BBD881</t>
  </si>
  <si>
    <t>CSVD1E117DC</t>
  </si>
  <si>
    <t>CSV76ADF130</t>
  </si>
  <si>
    <t>CSV7F57C3E9</t>
  </si>
  <si>
    <t>CSV0EF69911</t>
  </si>
  <si>
    <t>CSV6FA8C479</t>
  </si>
  <si>
    <t>CSV23DD0A99</t>
  </si>
  <si>
    <t>CSVF6B77638</t>
  </si>
  <si>
    <t>CSVB68B5181</t>
  </si>
  <si>
    <t>CSV18C64EA6</t>
  </si>
  <si>
    <t>CSV1DA363BD</t>
  </si>
  <si>
    <t>CSV8584BE3D</t>
  </si>
  <si>
    <t>CSVE268C7B3</t>
  </si>
  <si>
    <t>CSVBACB793F</t>
  </si>
  <si>
    <t>CSVC1F18389</t>
  </si>
  <si>
    <t>CSV3D13C575</t>
  </si>
  <si>
    <t>CSV5FFBE7D6</t>
  </si>
  <si>
    <t>CSV1B24283C</t>
  </si>
  <si>
    <t>CSV07AC3A77</t>
  </si>
  <si>
    <t>CSVD52D45F0</t>
  </si>
  <si>
    <t>CSV8D8F2087</t>
  </si>
  <si>
    <t>CSV4CA562BA</t>
  </si>
  <si>
    <t>CSVC4CB2DD4</t>
  </si>
  <si>
    <t>CSV26A3A30F</t>
  </si>
  <si>
    <t>CSVE718CD00</t>
  </si>
  <si>
    <t>CSV06B98F7A</t>
  </si>
  <si>
    <t>CSVE75B2150</t>
  </si>
  <si>
    <t>CSVEDC303B8</t>
  </si>
  <si>
    <t>CSVB564A6DE</t>
  </si>
  <si>
    <t>CSV9BF5CA95</t>
  </si>
  <si>
    <t>CSV94B2E93D</t>
  </si>
  <si>
    <t>CSV0C9ACD0F</t>
  </si>
  <si>
    <t>CSV7DE191A8</t>
  </si>
  <si>
    <t>CSV89DF6B07</t>
  </si>
  <si>
    <t>CSV79FB240B</t>
  </si>
  <si>
    <t>CSV7F5F1E6A</t>
  </si>
  <si>
    <t>CSV5AF46F00</t>
  </si>
  <si>
    <t>CSV68AD7778</t>
  </si>
  <si>
    <t>CSV1D720D80</t>
  </si>
  <si>
    <t>CSV30EAA634</t>
  </si>
  <si>
    <t>CSVA61BD36A</t>
  </si>
  <si>
    <t>CSV405E7C43</t>
  </si>
  <si>
    <t>CSV2314188B</t>
  </si>
  <si>
    <t>CSV4D52FDFD</t>
  </si>
  <si>
    <t>CSVC30FACAE</t>
  </si>
  <si>
    <t>CSV949F4726</t>
  </si>
  <si>
    <t>CSV5A807ABF</t>
  </si>
  <si>
    <t>CSV0AD0AEDB</t>
  </si>
  <si>
    <t>CSV0C79F6C5</t>
  </si>
  <si>
    <t>CSV0DAA214E</t>
  </si>
  <si>
    <t>CSV7396F894</t>
  </si>
  <si>
    <t>CSV3F4C4509</t>
  </si>
  <si>
    <t>CSV129AA8B1</t>
  </si>
  <si>
    <t>CSVD7A60107</t>
  </si>
  <si>
    <t>CSVFE668CE8</t>
  </si>
  <si>
    <t>CSVE9A96065</t>
  </si>
  <si>
    <t>CSVF2B35A88</t>
  </si>
  <si>
    <t>CSVE1D4B0C2</t>
  </si>
  <si>
    <t>CSVDC2307CE</t>
  </si>
  <si>
    <t>CSV0718997C</t>
  </si>
  <si>
    <t>CSV939717A5</t>
  </si>
  <si>
    <t>CSV8F80FAFE</t>
  </si>
  <si>
    <t>CSVC4206E39</t>
  </si>
  <si>
    <t>CSVADC052EE</t>
  </si>
  <si>
    <t>CSVC2E78F54</t>
  </si>
  <si>
    <t>CSVCDD2D4D9</t>
  </si>
  <si>
    <t>CSV7F4B72C6</t>
  </si>
  <si>
    <t>CSVBAF6FB58</t>
  </si>
  <si>
    <t>CSV697758C5</t>
  </si>
  <si>
    <t>CSV40F61D00</t>
  </si>
  <si>
    <t>CSV8B67A6DD</t>
  </si>
  <si>
    <t>CSVD2C6EAEF</t>
  </si>
  <si>
    <t>CSVFC7D8FFD</t>
  </si>
  <si>
    <t>CSVA7DBF243</t>
  </si>
  <si>
    <t>CSV40867A33</t>
  </si>
  <si>
    <t>CSV5CC5395B</t>
  </si>
  <si>
    <t>CSV34FE9637</t>
  </si>
  <si>
    <t>CSVBB378768</t>
  </si>
  <si>
    <t>CSV177AA798</t>
  </si>
  <si>
    <t>CSVFA87FC37</t>
  </si>
  <si>
    <t>CSV86528D49</t>
  </si>
  <si>
    <t>CSV1D08D642</t>
  </si>
  <si>
    <t>CSV1865553E</t>
  </si>
  <si>
    <t>CSVFAC3697F</t>
  </si>
  <si>
    <t>CSVD8568A3B</t>
  </si>
  <si>
    <t>CSVDB4960A1</t>
  </si>
  <si>
    <t>CSV2668037F</t>
  </si>
  <si>
    <t>CSVAE95EDF0</t>
  </si>
  <si>
    <t>CSV903A2E77</t>
  </si>
  <si>
    <t>CSVCBD21F67</t>
  </si>
  <si>
    <t>CSVDB6AE5CE</t>
  </si>
  <si>
    <t>CSVE1145658</t>
  </si>
  <si>
    <t>CSVF6D58862</t>
  </si>
  <si>
    <t>CSVAB842596</t>
  </si>
  <si>
    <t>CSVF66DE4DD</t>
  </si>
  <si>
    <t>CSVED3F293A</t>
  </si>
  <si>
    <t>CSV43265D8B</t>
  </si>
  <si>
    <t>CSVF9CC077A</t>
  </si>
  <si>
    <t>CSVC801F901</t>
  </si>
  <si>
    <t>CSV6DA3D2FA</t>
  </si>
  <si>
    <t>CSV4C7D84C7</t>
  </si>
  <si>
    <t>CSV4096E1C3</t>
  </si>
  <si>
    <t>CSV8F3A4884</t>
  </si>
  <si>
    <t>CSV086895EF</t>
  </si>
  <si>
    <t>CSV0BC79DE8</t>
  </si>
  <si>
    <t>CSV5F538587</t>
  </si>
  <si>
    <t>CSV548EEBF1</t>
  </si>
  <si>
    <t>CSV2FAA7301</t>
  </si>
  <si>
    <t>CSV811E519F</t>
  </si>
  <si>
    <t>CSVE16B6BDB</t>
  </si>
  <si>
    <t>CSVEE62CE7C</t>
  </si>
  <si>
    <t>CSV00D8631B</t>
  </si>
  <si>
    <t>CSV81121DD8</t>
  </si>
  <si>
    <t>CSV37C78ADC</t>
  </si>
  <si>
    <t>CSVDCE9C5F9</t>
  </si>
  <si>
    <t>CSV5520FF12</t>
  </si>
  <si>
    <t>CSV5ACE71F0</t>
  </si>
  <si>
    <t>CSV7E419D28</t>
  </si>
  <si>
    <t>CSVE1FC4D7A</t>
  </si>
  <si>
    <t>CSV4D6C0C87</t>
  </si>
  <si>
    <t>CSV058C7E87</t>
  </si>
  <si>
    <t>CSVC2A8D3C9</t>
  </si>
  <si>
    <t>CSV67FFED18</t>
  </si>
  <si>
    <t>CSV0832FC8F</t>
  </si>
  <si>
    <t>CSV5E37B06E</t>
  </si>
  <si>
    <t>CSVA9757D77</t>
  </si>
  <si>
    <t>CSVEF6D17C8</t>
  </si>
  <si>
    <t>CSV12E417C3</t>
  </si>
  <si>
    <t>CSV6AFED7AA</t>
  </si>
  <si>
    <t>CSV813FF494</t>
  </si>
  <si>
    <t>CSV48EA4816</t>
  </si>
  <si>
    <t>CSV294B82B6</t>
  </si>
  <si>
    <t>CSV4FADDBAD</t>
  </si>
  <si>
    <t>CSVF6E0ABBE</t>
  </si>
  <si>
    <t>CSV7BA8E68A</t>
  </si>
  <si>
    <t>CSV2484B732</t>
  </si>
  <si>
    <t>CSV779FCA97</t>
  </si>
  <si>
    <t>CSVFCC2403F</t>
  </si>
  <si>
    <t>CSV71490934</t>
  </si>
  <si>
    <t>CSV3E68C0CE</t>
  </si>
  <si>
    <t>CSV8071FC37</t>
  </si>
  <si>
    <t>CSV673FD914</t>
  </si>
  <si>
    <t>CSVE83324AD</t>
  </si>
  <si>
    <t>CSVDD5459B5</t>
  </si>
  <si>
    <t>CSV9C96660D</t>
  </si>
  <si>
    <t>CSVA5DD89CE</t>
  </si>
  <si>
    <t>CSV5DBAD19C</t>
  </si>
  <si>
    <t>CSVDF0B1990</t>
  </si>
  <si>
    <t>CSVBAB08613</t>
  </si>
  <si>
    <t>CSV47A81142</t>
  </si>
  <si>
    <t>CSV581F3D84</t>
  </si>
  <si>
    <t>CSVDC60AC3E</t>
  </si>
  <si>
    <t>CSV0F923BD5</t>
  </si>
  <si>
    <t>CSV25D7F40C</t>
  </si>
  <si>
    <t>CSV215D483E</t>
  </si>
  <si>
    <t>CSVEE086187</t>
  </si>
  <si>
    <t>CSV5F967002</t>
  </si>
  <si>
    <t>CSV238FEDE7</t>
  </si>
  <si>
    <t>CSV57F28DD7</t>
  </si>
  <si>
    <t>CSV77EBB8EE</t>
  </si>
  <si>
    <t>CSV26CBCDE1</t>
  </si>
  <si>
    <t>CSVC1BC37DC</t>
  </si>
  <si>
    <t>CSVE7A950D8</t>
  </si>
  <si>
    <t>CSVCEE119E8</t>
  </si>
  <si>
    <t>CSVB0777E37</t>
  </si>
  <si>
    <t>CSVD9AA3288</t>
  </si>
  <si>
    <t>CSVDC316953</t>
  </si>
  <si>
    <t>CSV5E537F0A</t>
  </si>
  <si>
    <t>CSVE7B19182</t>
  </si>
  <si>
    <t>CSV1951C297</t>
  </si>
  <si>
    <t>CSVE9CFFB18</t>
  </si>
  <si>
    <t>CSVC696453B</t>
  </si>
  <si>
    <t>CSVD8D4B217</t>
  </si>
  <si>
    <t>CSVD510548B</t>
  </si>
  <si>
    <t>CSV17ABBE7F</t>
  </si>
  <si>
    <t>CSVEDD84AF7</t>
  </si>
  <si>
    <t>CSV221632D7</t>
  </si>
  <si>
    <t>CSV2C893128</t>
  </si>
  <si>
    <t>CSVBBA464BB</t>
  </si>
  <si>
    <t>CSV10722A3F</t>
  </si>
  <si>
    <t>CSV3CB77CA6</t>
  </si>
  <si>
    <t>CSVC2FA73B9</t>
  </si>
  <si>
    <t>CSVDEE12018</t>
  </si>
  <si>
    <t>CSVCF828205</t>
  </si>
  <si>
    <t>CSV4A52D867</t>
  </si>
  <si>
    <t>CSV89C3720A</t>
  </si>
  <si>
    <t>CSV3A91D8DF</t>
  </si>
  <si>
    <t>CSVCC1209F2</t>
  </si>
  <si>
    <t>CSV37ABF784</t>
  </si>
  <si>
    <t>CSV5F5803BC</t>
  </si>
  <si>
    <t>CSV4B8D6D5F</t>
  </si>
  <si>
    <t>CSVD9C99694</t>
  </si>
  <si>
    <t>CSVF2F3D889</t>
  </si>
  <si>
    <t>CSV7CE89D67</t>
  </si>
  <si>
    <t>CSV8663CF1F</t>
  </si>
  <si>
    <t>CSV2BD8CB63</t>
  </si>
  <si>
    <t>CSVCB4DEEAF</t>
  </si>
  <si>
    <t>CSV50892AB0</t>
  </si>
  <si>
    <t>CSVE44A708E</t>
  </si>
  <si>
    <t>CSVBE9B5F92</t>
  </si>
  <si>
    <t>CSV92C6E7F3</t>
  </si>
  <si>
    <t>CSV69BFDC6B</t>
  </si>
  <si>
    <t>CSV3413A532</t>
  </si>
  <si>
    <t>CSV0B73A095</t>
  </si>
  <si>
    <t>CSV668A0A62</t>
  </si>
  <si>
    <t>CSV1E54BF1D</t>
  </si>
  <si>
    <t>CSVE579284A</t>
  </si>
  <si>
    <t>CSV246DE482</t>
  </si>
  <si>
    <t>CSV65DD11C3</t>
  </si>
  <si>
    <t>CSV3F76DE34</t>
  </si>
  <si>
    <t>CSV88B6AD76</t>
  </si>
  <si>
    <t>CSV27304CD4</t>
  </si>
  <si>
    <t>CSV0695E793</t>
  </si>
  <si>
    <t>CSV45646808</t>
  </si>
  <si>
    <t>CSV78FC5503</t>
  </si>
  <si>
    <t>CSV3663E90E</t>
  </si>
  <si>
    <t>CSVB35BD272</t>
  </si>
  <si>
    <t>CSV8FC1000D</t>
  </si>
  <si>
    <t>CSV82D577BD</t>
  </si>
  <si>
    <t>CSVB3E585F4</t>
  </si>
  <si>
    <t>CSV0210FC2B</t>
  </si>
  <si>
    <t>CSV2A77D7E7</t>
  </si>
  <si>
    <t>CSV76855937</t>
  </si>
  <si>
    <t>CSV1F52F59F</t>
  </si>
  <si>
    <t>CSV791D0C1E</t>
  </si>
  <si>
    <t>CSVA0470AA1</t>
  </si>
  <si>
    <t>CSVDE2ED04B</t>
  </si>
  <si>
    <t>CSVADFEA2A3</t>
  </si>
  <si>
    <t>CSV4C874EED</t>
  </si>
  <si>
    <t>CSV5B256680</t>
  </si>
  <si>
    <t>CSVB86641C2</t>
  </si>
  <si>
    <t>CSVB9DA7C54</t>
  </si>
  <si>
    <t>CSV820BAB22</t>
  </si>
  <si>
    <t>CSVAF2B65A4</t>
  </si>
  <si>
    <t>CSV075F4E55</t>
  </si>
  <si>
    <t>CSV90D84648</t>
  </si>
  <si>
    <t>CSVEE8017DD</t>
  </si>
  <si>
    <t>CSVD1645CBC</t>
  </si>
  <si>
    <t>CSV0E95E477</t>
  </si>
  <si>
    <t>CSVA4ECFE47</t>
  </si>
  <si>
    <t>CSVF568DFC1</t>
  </si>
  <si>
    <t>CSVEAD93658</t>
  </si>
  <si>
    <t>CSVD434400B</t>
  </si>
  <si>
    <t>CSV980D9E4D</t>
  </si>
  <si>
    <t>CSV1FFB172F</t>
  </si>
  <si>
    <t>CSVA23EA938</t>
  </si>
  <si>
    <t>CSV1FDB793D</t>
  </si>
  <si>
    <t>CSV5A15BDA6</t>
  </si>
  <si>
    <t>CSV59167311</t>
  </si>
  <si>
    <t>CSV8E3F973B</t>
  </si>
  <si>
    <t>CSVBC418EA4</t>
  </si>
  <si>
    <t>CSV1291E537</t>
  </si>
  <si>
    <t>CSV65A752D7</t>
  </si>
  <si>
    <t>CSV74D214B1</t>
  </si>
  <si>
    <t>CSV5E634866</t>
  </si>
  <si>
    <t>CSV34D1A5A9</t>
  </si>
  <si>
    <t>CSVDF30832D</t>
  </si>
  <si>
    <t>CSVF52C6771</t>
  </si>
  <si>
    <t>CSVD76DED6A</t>
  </si>
  <si>
    <t>CSV5C98746C</t>
  </si>
  <si>
    <t>CSV4AA8FBD0</t>
  </si>
  <si>
    <t>CSV98F0A468</t>
  </si>
  <si>
    <t>CSV98BF2D0B</t>
  </si>
  <si>
    <t>CSVEEFD8210</t>
  </si>
  <si>
    <t>CSV5BC88D4D</t>
  </si>
  <si>
    <t>CSVDF9D77FA</t>
  </si>
  <si>
    <t>CSV7B7D6EA6</t>
  </si>
  <si>
    <t>CSV43189C87</t>
  </si>
  <si>
    <t>CSVE05D1A29</t>
  </si>
  <si>
    <t>CSV9F145B64</t>
  </si>
  <si>
    <t>CSV5B94AFE1</t>
  </si>
  <si>
    <t>CSVE8761B14</t>
  </si>
  <si>
    <t>CSV92E766AE</t>
  </si>
  <si>
    <t>CSV1C64C447</t>
  </si>
  <si>
    <t>CSV0A42DA4F</t>
  </si>
  <si>
    <t>CSVEA45F6C6</t>
  </si>
  <si>
    <t>CSVDC5CB31C</t>
  </si>
  <si>
    <t>CSVBACAF484</t>
  </si>
  <si>
    <t>CSVC26002A6</t>
  </si>
  <si>
    <t>CSV3E60C498</t>
  </si>
  <si>
    <t>CSVE916919D</t>
  </si>
  <si>
    <t>CSV84950410</t>
  </si>
  <si>
    <t>CSV163A66A0</t>
  </si>
  <si>
    <t>CSV36F7F27C</t>
  </si>
  <si>
    <t>CSVC1F57B26</t>
  </si>
  <si>
    <t>CSV14674A22</t>
  </si>
  <si>
    <t>CSV8B098E7B</t>
  </si>
  <si>
    <t>CSVA6E1FAF1</t>
  </si>
  <si>
    <t>CSV837443BC</t>
  </si>
  <si>
    <t>CSVAD31555C</t>
  </si>
  <si>
    <t>CSVC0C8DC61</t>
  </si>
  <si>
    <t>CSVE08A7556</t>
  </si>
  <si>
    <t>CSV42645C27</t>
  </si>
  <si>
    <t>CSVA38805A7</t>
  </si>
  <si>
    <t>CSVC99537C6</t>
  </si>
  <si>
    <t>CSVDC8C791E</t>
  </si>
  <si>
    <t>CSVBD2297DE</t>
  </si>
  <si>
    <t>CSV7B786F88</t>
  </si>
  <si>
    <t>CSVDF28F0AC</t>
  </si>
  <si>
    <t>CSV1A189D69</t>
  </si>
  <si>
    <t>CSVFB7204FF</t>
  </si>
  <si>
    <t>CSV5FBD9F5F</t>
  </si>
  <si>
    <t>CSV132BABC6</t>
  </si>
  <si>
    <t>CSVA3BF1AE5</t>
  </si>
  <si>
    <t>CSV55C1D4D9</t>
  </si>
  <si>
    <t>CSVD5BCC7FF</t>
  </si>
  <si>
    <t>CSVE5DFBCE8</t>
  </si>
  <si>
    <t>CSVE38F8AD7</t>
  </si>
  <si>
    <t>CSV3CF5E1B1</t>
  </si>
  <si>
    <t>CSV9B8E3EEA</t>
  </si>
  <si>
    <t>CSV807B3E05</t>
  </si>
  <si>
    <t>CSV57E057BA</t>
  </si>
  <si>
    <t>CSV57E2C83C</t>
  </si>
  <si>
    <t>CSVAB01501B</t>
  </si>
  <si>
    <t>CSVB735EEF2</t>
  </si>
  <si>
    <t>CSV7DDABB30</t>
  </si>
  <si>
    <t>CSV761CE6F7</t>
  </si>
  <si>
    <t>CSV605294CA</t>
  </si>
  <si>
    <t>CSV05DAE6C3</t>
  </si>
  <si>
    <t>CSV745573F0</t>
  </si>
  <si>
    <t>CSVE2B0B98F</t>
  </si>
  <si>
    <t>CSVF7ADC74C</t>
  </si>
  <si>
    <t>CSV9C079B95</t>
  </si>
  <si>
    <t>CSVFE6CD423</t>
  </si>
  <si>
    <t>CSV0519D79F</t>
  </si>
  <si>
    <t>CSV93D8FA42</t>
  </si>
  <si>
    <t>CSV88B46387</t>
  </si>
  <si>
    <t>CSV3F321E37</t>
  </si>
  <si>
    <t>CSV8F329FFD</t>
  </si>
  <si>
    <t>CSVE09A5E04</t>
  </si>
  <si>
    <t>CSV06993F6D</t>
  </si>
  <si>
    <t>CSVDEDA8354</t>
  </si>
  <si>
    <t>CSVA4151CB8</t>
  </si>
  <si>
    <t>CSV5C759F27</t>
  </si>
  <si>
    <t>CSV3E33E605</t>
  </si>
  <si>
    <t>CSVF75AE255</t>
  </si>
  <si>
    <t>CSVDBABF0C0</t>
  </si>
  <si>
    <t>CSVA9BCDAD8</t>
  </si>
  <si>
    <t>CSV96F082AE</t>
  </si>
  <si>
    <t>CSV56DB0007</t>
  </si>
  <si>
    <t>CSVCB9F368A</t>
  </si>
  <si>
    <t>CSV6812A886</t>
  </si>
  <si>
    <t>CSV1D732B97</t>
  </si>
  <si>
    <t>CSVD54ABB83</t>
  </si>
  <si>
    <t>CSV9E7BEA6A</t>
  </si>
  <si>
    <t>CSVCCBFAB48</t>
  </si>
  <si>
    <t>CSV9843BDBD</t>
  </si>
  <si>
    <t>CSVA168F6BE</t>
  </si>
  <si>
    <t>CSV9F335BE3</t>
  </si>
  <si>
    <t>CSVF7C86516</t>
  </si>
  <si>
    <t>CSVB7970C99</t>
  </si>
  <si>
    <t>CSV04F675DD</t>
  </si>
  <si>
    <t>CSV77EA0233</t>
  </si>
  <si>
    <t>CSVB62C5D99</t>
  </si>
  <si>
    <t>CSV9AD9EDEE</t>
  </si>
  <si>
    <t>CSV8B951007</t>
  </si>
  <si>
    <t>CSV397185F0</t>
  </si>
  <si>
    <t>CSV527AFCAC</t>
  </si>
  <si>
    <t>CSV3468C261</t>
  </si>
  <si>
    <t>CSVE0C53BCC</t>
  </si>
  <si>
    <t>CSV60A79AD9</t>
  </si>
  <si>
    <t>CSV3130B787</t>
  </si>
  <si>
    <t>CSV0247A19D</t>
  </si>
  <si>
    <t>CSVC612678E</t>
  </si>
  <si>
    <t>CSVC29559C7</t>
  </si>
  <si>
    <t>CSVFC096583</t>
  </si>
  <si>
    <t>CSVACB31EF7</t>
  </si>
  <si>
    <t>CSV7217A6D5</t>
  </si>
  <si>
    <t>CSVDCCBA894</t>
  </si>
  <si>
    <t>CSVF45D9EB6</t>
  </si>
  <si>
    <t>CSV011E497B</t>
  </si>
  <si>
    <t>CSV191BC09F</t>
  </si>
  <si>
    <t>CSV1920A45B</t>
  </si>
  <si>
    <t>CSV76116EE6</t>
  </si>
  <si>
    <t>CSVB5BFB777</t>
  </si>
  <si>
    <t>CSV8CD19D66</t>
  </si>
  <si>
    <t>CSV34390BBD</t>
  </si>
  <si>
    <t>CSVB61B97E5</t>
  </si>
  <si>
    <t>CSV0053CC64</t>
  </si>
  <si>
    <t>CSV70DDF091</t>
  </si>
  <si>
    <t>CSVA866E994</t>
  </si>
  <si>
    <t>CSVDDD1E975</t>
  </si>
  <si>
    <t>CSVF08B82A6</t>
  </si>
  <si>
    <t>CSVB0101156</t>
  </si>
  <si>
    <t>CSVA8751AF3</t>
  </si>
  <si>
    <t>CSV225791F6</t>
  </si>
  <si>
    <t>CSV06471384</t>
  </si>
  <si>
    <t>CSV11D01C54</t>
  </si>
  <si>
    <t>CSV935C35C3</t>
  </si>
  <si>
    <t>CSV2A61B46D</t>
  </si>
  <si>
    <t>CSVCED970A6</t>
  </si>
  <si>
    <t>CSV21638592</t>
  </si>
  <si>
    <t>CSV728D77D8</t>
  </si>
  <si>
    <t>CSV983C5F3C</t>
  </si>
  <si>
    <t>CSV5EE1A5B9</t>
  </si>
  <si>
    <t>CSV4D1A6217</t>
  </si>
  <si>
    <t>CSV6FD94A31</t>
  </si>
  <si>
    <t>CSV763769AD</t>
  </si>
  <si>
    <t>CSV88BCCED2</t>
  </si>
  <si>
    <t>CSVA30160B7</t>
  </si>
  <si>
    <t>CSV6108EE0C</t>
  </si>
  <si>
    <t>CSV3FAF0B77</t>
  </si>
  <si>
    <t>CSV30FB64DB</t>
  </si>
  <si>
    <t>CSV606A73DD</t>
  </si>
  <si>
    <t>CSMS data transfer to Eclipse for charger availability and usage.
This interface allows Eclipse to receive charger availability and usage data for SCUC near-term planning.
Intermediate Elements: Snowflake (TBC).</t>
  </si>
  <si>
    <t>Interface Description (Interface Purpose) contains "Intermediate Elements: Snowflake (TBC)" and Interface Flow contains "TBC: uni-directional or bi-directional" for the following interfaces:
DGS-I_0011: 855DC-1541-ECL Eclipse|855DC-1542-CSM Charge Station Management System (CSMS)
DGS-I_0112: 855DC-1541-ECL-002 Online Security Constrained Unit Commitment (SCUC)|855DC-1542-CSM Charge Station Management System (CSMS)</t>
  </si>
  <si>
    <t>Interface Flow contains "SAP work orders / notifications -&gt; SAP database (TBC) -&gt; Delphi Snowflake (uni-directional)." for DGS-I_0004: 005OP-0000-012 SAP|855DC-1541-DEL Delphi</t>
  </si>
  <si>
    <t>DGS-I_0121 and DGS-I_0196 reinstated.</t>
  </si>
  <si>
    <t>Interface Review 02/12/2025: Move Pit Power Capacity to retired systems and delete associated interfaces.
NH 04/12/2025: A.02.08 Pit Power Capacity Planning Tool - Capacity Check is the secondary interface between Green Systems and many physical assets. If it is removed, the physical assets will be removed from the diagrams. 
SBS-WBS Mapping 01/02/2026: Move Pit Power Capacity to Orphaned/retired Artifact &amp;amp; Hide/remove all interfaces - Interface deleted.
GSP Context diagram 27/01/2026: Pit Power Capacity Planning and Design to be added back to the system architecture.
NH 18/02/2026: Fields updated: Interface Type, Interface Description (Interface Purpose), Interface Criticality, Interface Criticality Explanation, Interface Flow.</t>
  </si>
  <si>
    <t>GSP Context diagram 27/01/2026: Pit Power Capacity Planning and Design to be added back to the system architecture.</t>
  </si>
  <si>
    <t xml:space="preserve">JV 13/01/2026: Mine Electrification SCADA is a live project - retain in the System Architecture and Interface Register. </t>
  </si>
  <si>
    <t>Interfaces reinstated</t>
  </si>
  <si>
    <t>WBS codes added to element and interface names. WBS codes require updating to match proper coding. i.e. Livewire is 855DC-LIV-1541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</si>
</sst>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b/>
      <sz val="11"/>
      <color theme="0"/>
      <name val="Aptos Narrow"/>
      <family val="2"/>
      <scheme val="minor"/>
    </font>
    <font>
      <sz val="11"/>
      <color theme="1"/>
      <name val="Aptos Display"/>
      <family val="2"/>
      <scheme val="major"/>
    </font>
    <font>
      <sz val="11"/>
      <color rgb="FF1B1C1D"/>
      <name val="Aptos Display"/>
      <family val="2"/>
      <scheme val="major"/>
    </font>
    <font>
      <b/>
      <sz val="11"/>
      <color theme="1"/>
      <name val="Aptos Display"/>
      <family val="2"/>
      <scheme val="major"/>
    </font>
    <font>
      <b/>
      <sz val="11"/>
      <color rgb="FF1B1C1D"/>
      <name val="Aptos Display"/>
      <family val="2"/>
      <scheme val="major"/>
    </font>
    <font>
      <b/>
      <sz val="11"/>
      <color theme="1"/>
      <name val="Aptos Narrow"/>
      <family val="2"/>
      <scheme val="minor"/>
    </font>
    <font>
      <sz val="11"/>
      <color theme="1"/>
      <name val="Aptos Narrow"/>
      <family val="2"/>
      <scheme val="minor"/>
    </font>
    <font>
      <sz val="12"/>
      <color rgb="FF9C0006"/>
      <name val="Aptos Narrow"/>
      <family val="2"/>
      <scheme val="minor"/>
    </font>
    <font>
      <sz val="11"/>
      <color rgb="FF000000"/>
      <name val="Aptos Narrow"/>
      <family val="2"/>
      <scheme val="minor"/>
    </font>
    <font>
      <sz val="8"/>
      <name val="Aptos Narrow"/>
      <family val="2"/>
      <scheme val="minor"/>
    </font>
  </fonts>
  <fills count="9">
    <fill>
      <patternFill patternType="none"/>
    </fill>
    <fill>
      <patternFill patternType="gray125"/>
    </fill>
    <fill>
      <patternFill patternType="solid">
        <fgColor theme="1"/>
        <bgColor indexed="64"/>
      </patternFill>
    </fill>
    <fill>
      <patternFill patternType="solid">
        <fgColor rgb="FFFFC7CE"/>
      </patternFill>
    </fill>
    <fill>
      <patternFill patternType="solid">
        <fgColor rgb="FFFF7E79"/>
        <bgColor indexed="64"/>
      </patternFill>
    </fill>
    <fill>
      <patternFill patternType="solid">
        <fgColor rgb="FFFFD579"/>
        <bgColor indexed="64"/>
      </patternFill>
    </fill>
    <fill>
      <patternFill patternType="solid">
        <fgColor rgb="FFD5FC79"/>
        <bgColor indexed="64"/>
      </patternFill>
    </fill>
    <fill>
      <patternFill patternType="solid">
        <fgColor theme="8" tint="0.59999389629810485"/>
        <bgColor indexed="64"/>
      </patternFill>
    </fill>
    <fill>
      <patternFill patternType="solid">
        <fgColor theme="5"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8" fillId="3" borderId="0" applyNumberFormat="0" applyBorder="0" applyAlignment="0" applyProtection="0"/>
  </cellStyleXfs>
  <cellXfs count="42">
    <xf numFmtId="0" fontId="0" fillId="0" borderId="0" xfId="0"/>
    <xf numFmtId="0" fontId="1" fillId="2" borderId="0" xfId="0" applyFont="1" applyFill="1" applyAlignment="1">
      <alignment vertical="top" wrapText="1"/>
    </xf>
    <xf numFmtId="0" fontId="0" fillId="0" borderId="0" xfId="0" applyAlignment="1">
      <alignment vertical="top" wrapText="1"/>
    </xf>
    <xf numFmtId="0" fontId="2" fillId="0" borderId="0" xfId="0" applyFont="1" applyAlignment="1">
      <alignment horizontal="left" vertical="top" wrapText="1"/>
    </xf>
    <xf numFmtId="0" fontId="3" fillId="0" borderId="0" xfId="0" applyFont="1" applyAlignment="1">
      <alignment horizontal="left" vertical="top" wrapText="1"/>
    </xf>
    <xf numFmtId="0" fontId="4" fillId="0" borderId="0" xfId="0" applyFont="1" applyAlignment="1">
      <alignment horizontal="left" vertical="top" wrapText="1"/>
    </xf>
    <xf numFmtId="0" fontId="5"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vertical="top"/>
    </xf>
    <xf numFmtId="0" fontId="6" fillId="0" borderId="1" xfId="0" applyFon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1" xfId="0" applyBorder="1" applyAlignment="1">
      <alignment horizontal="center" vertical="top"/>
    </xf>
    <xf numFmtId="0" fontId="6" fillId="6" borderId="1" xfId="0" applyFont="1" applyFill="1" applyBorder="1" applyAlignment="1">
      <alignment horizontal="left" vertical="top"/>
    </xf>
    <xf numFmtId="0" fontId="6" fillId="0" borderId="0" xfId="0" applyFont="1" applyAlignment="1">
      <alignment horizontal="left" vertical="top" wrapText="1"/>
    </xf>
    <xf numFmtId="0" fontId="7" fillId="0" borderId="0" xfId="0" applyFont="1" applyAlignment="1">
      <alignment horizontal="left" vertical="top" wrapText="1"/>
    </xf>
    <xf numFmtId="0" fontId="0" fillId="0" borderId="0" xfId="0" applyAlignment="1">
      <alignment vertical="top"/>
    </xf>
    <xf numFmtId="0" fontId="7" fillId="0" borderId="0" xfId="0" applyFont="1" applyAlignment="1">
      <alignment horizontal="left" vertical="top"/>
    </xf>
    <xf numFmtId="0" fontId="7" fillId="0" borderId="0" xfId="1" applyFont="1" applyFill="1" applyAlignment="1">
      <alignment horizontal="left" vertical="top" wrapText="1"/>
    </xf>
    <xf numFmtId="0" fontId="6" fillId="0" borderId="0" xfId="0" applyFont="1"/>
    <xf numFmtId="22" fontId="0" fillId="0" borderId="0" xfId="0" applyNumberFormat="1"/>
    <xf numFmtId="0" fontId="0" fillId="0" borderId="0" xfId="0" applyAlignment="1">
      <alignment horizontal="left" vertical="top" wrapText="1"/>
    </xf>
    <xf numFmtId="0" fontId="0" fillId="0" borderId="0" xfId="0" quotePrefix="1"/>
    <xf numFmtId="14" fontId="0" fillId="0" borderId="0" xfId="0" applyNumberFormat="1" applyAlignment="1">
      <alignment horizontal="left" vertical="top" wrapText="1"/>
    </xf>
    <xf numFmtId="0" fontId="6" fillId="7" borderId="0" xfId="0" applyFont="1" applyFill="1" applyAlignment="1">
      <alignment vertical="top" wrapText="1"/>
    </xf>
    <xf numFmtId="0" fontId="1" fillId="2" borderId="1" xfId="0" applyFont="1" applyFill="1" applyBorder="1" applyAlignment="1">
      <alignment horizontal="left" vertical="top"/>
    </xf>
    <xf numFmtId="0" fontId="2" fillId="0" borderId="0" xfId="0" applyFont="1"/>
    <xf numFmtId="0" fontId="4" fillId="0" borderId="0" xfId="0" applyFont="1" applyAlignment="1">
      <alignment vertical="top" wrapText="1"/>
    </xf>
    <xf numFmtId="0" fontId="2" fillId="0" borderId="0" xfId="0" applyFont="1" applyAlignment="1">
      <alignment vertical="top" wrapText="1"/>
    </xf>
    <xf numFmtId="0" fontId="6" fillId="8" borderId="0" xfId="0" applyFont="1" applyFill="1"/>
    <xf numFmtId="0" fontId="0" fillId="8" borderId="0" xfId="0" applyFill="1"/>
    <xf numFmtId="2" fontId="6" fillId="0" borderId="0" xfId="0" applyNumberFormat="1" applyFont="1" applyAlignment="1">
      <alignment horizontal="left" vertical="top" wrapText="1"/>
    </xf>
    <xf numFmtId="2" fontId="0" fillId="0" borderId="0" xfId="0" applyNumberFormat="1" applyAlignment="1">
      <alignment horizontal="left" vertical="top" wrapText="1"/>
    </xf>
    <xf numFmtId="2" fontId="0" fillId="0" borderId="0" xfId="0" quotePrefix="1" applyNumberFormat="1" applyAlignment="1">
      <alignment horizontal="left" vertical="top" wrapText="1"/>
    </xf>
    <xf numFmtId="14" fontId="0" fillId="0" borderId="0" xfId="0" applyNumberFormat="1" applyAlignment="1">
      <alignment vertical="top" wrapText="1"/>
    </xf>
    <xf numFmtId="0" fontId="9" fillId="0" borderId="0" xfId="0" applyFont="1" applyAlignment="1">
      <alignment horizontal="left" vertical="top" wrapText="1"/>
    </xf>
    <xf numFmtId="0" fontId="6" fillId="0" borderId="0" xfId="0" applyFont="1" applyAlignment="1">
      <alignment horizontal="right" vertical="top" wrapText="1"/>
    </xf>
    <xf numFmtId="0" fontId="0" fillId="0" borderId="0" xfId="0" applyAlignment="1">
      <alignment horizontal="left" vertical="top" wrapText="1"/>
    </xf>
    <xf numFmtId="0" fontId="6" fillId="4" borderId="1" xfId="0" applyFont="1" applyFill="1" applyBorder="1" applyAlignment="1">
      <alignment horizontal="left" vertical="top" wrapText="1"/>
    </xf>
    <xf numFmtId="0" fontId="0" fillId="0" borderId="1" xfId="0" applyBorder="1" applyAlignment="1">
      <alignment horizontal="center" vertical="top"/>
    </xf>
    <xf numFmtId="0" fontId="6" fillId="5" borderId="1" xfId="0" applyFont="1" applyFill="1" applyBorder="1" applyAlignment="1">
      <alignment horizontal="left" vertical="top"/>
    </xf>
    <xf numFmtId="0" fontId="0" fillId="0" borderId="1" xfId="0" applyBorder="1" applyAlignment="1">
      <alignment horizontal="left" vertical="top" wrapText="1"/>
    </xf>
  </cellXfs>
  <cellStyles count="2">
    <cellStyle name="Bad 2" xfId="1" xr:uid="{220BD9F2-ACDC-4586-8386-FEF8BEFF417A}"/>
    <cellStyle name="Normal" xfId="0" builtinId="0"/>
  </cellStyles>
  <dxfs count="36">
    <dxf>
      <font>
        <color theme="0" tint="-0.34998626667073579"/>
      </font>
    </dxf>
    <dxf>
      <numFmt numFmtId="19" formatCode="dd/mm/yyyy"/>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numFmt numFmtId="0" formatCode="General"/>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numFmt numFmtId="0" formatCode="General"/>
      <fill>
        <patternFill patternType="none">
          <fgColor indexed="64"/>
          <bgColor auto="1"/>
        </patternFill>
      </fill>
      <alignment horizontal="general" vertical="top" textRotation="0" wrapText="1" indent="0" justifyLastLine="0" shrinkToFit="0" readingOrder="0"/>
    </dxf>
    <dxf>
      <numFmt numFmtId="0" formatCode="General"/>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CD578E-2550-4DF2-A9A8-62E3DBD7143F}" name="Table1" displayName="Table1" ref="A2:AG361" totalsRowShown="0" headerRowDxfId="35" dataDxfId="34">
  <tableColumns count="33">
    <tableColumn id="1" xr3:uid="{AB933223-CE68-41C1-8C9C-AAC7E54AE169}" name="Interface ID" dataDxfId="33"/>
    <tableColumn id="2" xr3:uid="{CA1D10FA-EFA0-4AF4-AE3D-1A83D9B57CFD}" name="Interface Name" dataDxfId="32"/>
    <tableColumn id="3" xr3:uid="{EF67C471-011D-46B7-A940-06FFE0833A72}" name="Interface Lead" dataDxfId="31"/>
    <tableColumn id="4" xr3:uid="{4FF752DC-2ED9-41B2-A4C4-0FF10939995E}" name="Interface Contributor(s)" dataDxfId="30"/>
    <tableColumn id="5" xr3:uid="{CBC048F8-7121-4AE9-A77C-5D7CBB2FACB5}" name="Interface Level" dataDxfId="29"/>
    <tableColumn id="6" xr3:uid="{2AA17DF5-29E1-4730-BD2C-A697958AEEEE}" name="Interface Type" dataDxfId="28"/>
    <tableColumn id="7" xr3:uid="{E1EA3B5D-14E9-49CC-BC7E-EC2E0BA473F3}" name="Location Specific Interface" dataDxfId="27"/>
    <tableColumn id="8" xr3:uid="{10DD3A57-6120-43A0-A7E1-0B8DE30887B1}" name="Interface Program Level Group" dataDxfId="26"/>
    <tableColumn id="9" xr3:uid="{D76EE01F-8582-4714-AEE8-BC87B1D7DD10}" name="Interface System Level Group" dataDxfId="25"/>
    <tableColumn id="10" xr3:uid="{EB16B71F-2B91-49BE-90BE-03B2CD75D9E1}" name="Interface Project Level Group" dataDxfId="24"/>
    <tableColumn id="11" xr3:uid="{9E5E18FE-B4E7-4A63-9585-BBDB020B125C}" name="Interface Status" dataDxfId="23"/>
    <tableColumn id="12" xr3:uid="{2F69A99E-3EE8-4E37-8DBA-81921BFF154B}" name="Interface Description (Interface Purpose)" dataDxfId="22"/>
    <tableColumn id="13" xr3:uid="{E7C5C427-9746-422B-8875-519C4A34436A}" name="Interface Criticality" dataDxfId="21"/>
    <tableColumn id="14" xr3:uid="{3180B71E-3DC4-4B38-B222-5D11D3DC1A4D}" name="Interface Criticality Explanation" dataDxfId="20"/>
    <tableColumn id="15" xr3:uid="{DC4E63A3-E7C8-4090-A377-B94AA9411A86}" name="Interface Flow" dataDxfId="19"/>
    <tableColumn id="16" xr3:uid="{D74D2176-6A36-4775-BDE5-5F330B0AAE4B}" name="Remarks" dataDxfId="18"/>
    <tableColumn id="17" xr3:uid="{648061FE-45DE-40ED-AD55-743750998DDC}" name="Element A Name" dataDxfId="17"/>
    <tableColumn id="18" xr3:uid="{000A40D3-927B-48E5-830C-1860E0C9B4A4}" name="Element A Type" dataDxfId="16"/>
    <tableColumn id="19" xr3:uid="{044DE60A-5834-4565-B7DE-D2FBD9355525}" name="Element A Owner" dataDxfId="15"/>
    <tableColumn id="20" xr3:uid="{3A478FC3-B629-4835-923B-7C7E72A553F3}" name="Element A Location" dataDxfId="14"/>
    <tableColumn id="21" xr3:uid="{97595FD0-7819-4D84-A9C2-E7C04A5F3273}" name="Element A Program" dataDxfId="13"/>
    <tableColumn id="22" xr3:uid="{401EDBFD-31FF-478D-ABBF-2EAB690FF873}" name="Element A System" dataDxfId="12"/>
    <tableColumn id="23" xr3:uid="{DEEAE233-70DB-400D-85FA-BB244234288C}" name="Element A Project" dataDxfId="11"/>
    <tableColumn id="24" xr3:uid="{9EBEB1B2-8E92-4B62-A999-AEEC70D50901}" name="Element A Subsystem" dataDxfId="10"/>
    <tableColumn id="25" xr3:uid="{D6028F06-463F-4518-BED6-1C41C5F7B914}" name="Element B Name" dataDxfId="9"/>
    <tableColumn id="26" xr3:uid="{A2EFC2B9-618D-4D60-9FCC-CCB913D340E1}" name="Element B Type" dataDxfId="8"/>
    <tableColumn id="27" xr3:uid="{9AFE786E-8425-4F1A-860D-D72121379267}" name="Element B Owner" dataDxfId="7"/>
    <tableColumn id="28" xr3:uid="{0DE8FDBF-7DD9-4DDB-9EA3-A288A84C46F5}" name="Element B Location" dataDxfId="6"/>
    <tableColumn id="29" xr3:uid="{6354395A-F3B3-4125-9900-D39D5C21971D}" name="Element B Program" dataDxfId="5"/>
    <tableColumn id="30" xr3:uid="{1DB103CF-0405-44A3-9297-E75D3222A941}" name="Element B System" dataDxfId="4"/>
    <tableColumn id="31" xr3:uid="{657967B4-C3C7-477A-B902-503CF7F5475F}" name="Element B Project" dataDxfId="3"/>
    <tableColumn id="32" xr3:uid="{3AD6D0F3-7046-4EA7-99A5-882079B90F4C}" name="Element B Subsystem" dataDxfId="2"/>
    <tableColumn id="33" xr3:uid="{D6BA02EE-878F-9949-91FF-4618CB7491C3}" name="Version Baseline Date" dataDxfId="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6586-7A19-42BB-BC10-C1A683FF0338}">
  <sheetPr codeName="Sheet1"/>
  <dimension ref="A1:AG361"/>
  <sheetViews>
    <sheetView tabSelected="1" zoomScaleNormal="115" workbookViewId="0">
      <pane xSplit="1" ySplit="2" topLeftCell="B26" activePane="bottomRight" state="frozen"/>
      <selection pane="topRight" activeCell="B1" sqref="B1"/>
      <selection pane="bottomLeft" activeCell="A3" sqref="A3"/>
      <selection pane="bottomRight" sqref="A1:G1"/>
    </sheetView>
  </sheetViews>
  <sheetFormatPr defaultColWidth="9.140625" defaultRowHeight="15" x14ac:dyDescent="0.25"/>
  <cols>
    <col min="1" max="1" width="15.42578125" style="2" customWidth="1"/>
    <col min="2" max="2" width="60.28515625" style="2" customWidth="1"/>
    <col min="3" max="3" width="15.42578125" style="2" customWidth="1"/>
    <col min="4" max="4" width="23.7109375" style="2" customWidth="1"/>
    <col min="5" max="5" width="27.28515625" style="2" customWidth="1"/>
    <col min="6" max="6" width="25.42578125" style="2" customWidth="1"/>
    <col min="7" max="7" width="25.140625" style="2" customWidth="1"/>
    <col min="8" max="8" width="28" style="2" customWidth="1"/>
    <col min="9" max="9" width="31" style="2" customWidth="1"/>
    <col min="10" max="10" width="29.28515625" style="2" customWidth="1"/>
    <col min="11" max="11" width="18" style="2" customWidth="1"/>
    <col min="12" max="12" width="52.140625" style="2" customWidth="1"/>
    <col min="13" max="13" width="18.7109375" style="2" customWidth="1"/>
    <col min="14" max="14" width="41.140625" style="2" customWidth="1"/>
    <col min="15" max="15" width="44.7109375" style="2" customWidth="1"/>
    <col min="16" max="17" width="70.7109375" style="2" customWidth="1"/>
    <col min="18" max="18" width="16.140625" style="2" customWidth="1"/>
    <col min="19" max="19" width="17.85546875" style="2" customWidth="1"/>
    <col min="20" max="21" width="19.7109375" style="2" customWidth="1"/>
    <col min="22" max="23" width="18.28515625" style="2" customWidth="1"/>
    <col min="24" max="24" width="21.42578125" style="2" customWidth="1"/>
    <col min="25" max="25" width="23.7109375" style="2" customWidth="1"/>
    <col min="26" max="26" width="16.140625" style="2" customWidth="1"/>
    <col min="27" max="27" width="17.85546875" style="2" customWidth="1"/>
    <col min="28" max="29" width="19.7109375" style="2" customWidth="1"/>
    <col min="30" max="31" width="18.28515625" style="2" customWidth="1"/>
    <col min="32" max="32" width="21.42578125" style="2" customWidth="1"/>
    <col min="33" max="33" width="31.42578125" style="2" customWidth="1"/>
    <col min="34" max="16384" width="9.140625" style="2"/>
  </cols>
  <sheetData>
    <row r="1" spans="1:33" x14ac:dyDescent="0.25">
      <c r="A1" s="36" t="s">
        <v>0</v>
      </c>
      <c r="B1" s="36"/>
      <c r="C1" s="36"/>
      <c r="D1" s="36"/>
      <c r="E1" s="36"/>
      <c r="F1" s="36"/>
      <c r="G1" s="36"/>
      <c r="H1" s="24" t="s">
        <v>1</v>
      </c>
      <c r="I1" s="24" t="s">
        <v>2</v>
      </c>
      <c r="J1" s="24" t="s">
        <v>3094</v>
      </c>
    </row>
    <row r="2" spans="1:33" ht="30" customHeight="1" x14ac:dyDescent="0.25">
      <c r="A2" s="2" t="s">
        <v>3</v>
      </c>
      <c r="B2" s="2" t="s">
        <v>4</v>
      </c>
      <c r="C2" s="2" t="s">
        <v>5</v>
      </c>
      <c r="D2" s="2" t="s">
        <v>6</v>
      </c>
      <c r="E2" s="2" t="s">
        <v>7</v>
      </c>
      <c r="F2" s="2" t="s">
        <v>8</v>
      </c>
      <c r="G2" s="2" t="s">
        <v>9</v>
      </c>
      <c r="H2" s="2" t="s">
        <v>10</v>
      </c>
      <c r="I2" s="2" t="s">
        <v>11</v>
      </c>
      <c r="J2" s="2" t="s">
        <v>12</v>
      </c>
      <c r="K2" s="2" t="s">
        <v>13</v>
      </c>
      <c r="L2" s="2" t="s">
        <v>14</v>
      </c>
      <c r="M2" s="2" t="s">
        <v>15</v>
      </c>
      <c r="N2" s="2" t="s">
        <v>16</v>
      </c>
      <c r="O2" s="2" t="s">
        <v>17</v>
      </c>
      <c r="P2" s="2" t="s">
        <v>18</v>
      </c>
      <c r="Q2" s="2" t="s">
        <v>19</v>
      </c>
      <c r="R2" s="2" t="s">
        <v>20</v>
      </c>
      <c r="S2" s="2" t="s">
        <v>21</v>
      </c>
      <c r="T2" s="2" t="s">
        <v>22</v>
      </c>
      <c r="U2" s="2" t="s">
        <v>23</v>
      </c>
      <c r="V2" s="2" t="s">
        <v>24</v>
      </c>
      <c r="W2" s="2" t="s">
        <v>25</v>
      </c>
      <c r="X2" s="2" t="s">
        <v>26</v>
      </c>
      <c r="Y2" s="2" t="s">
        <v>27</v>
      </c>
      <c r="Z2" s="2" t="s">
        <v>28</v>
      </c>
      <c r="AA2" s="2" t="s">
        <v>29</v>
      </c>
      <c r="AB2" s="2" t="s">
        <v>30</v>
      </c>
      <c r="AC2" s="2" t="s">
        <v>31</v>
      </c>
      <c r="AD2" s="2" t="s">
        <v>32</v>
      </c>
      <c r="AE2" s="2" t="s">
        <v>33</v>
      </c>
      <c r="AF2" s="2" t="s">
        <v>34</v>
      </c>
      <c r="AG2" s="2" t="s">
        <v>35</v>
      </c>
    </row>
    <row r="3" spans="1:33" ht="45" x14ac:dyDescent="0.25">
      <c r="A3" s="2" t="s">
        <v>36</v>
      </c>
      <c r="B3" s="2" t="s">
        <v>2499</v>
      </c>
      <c r="C3" s="2" t="s">
        <v>37</v>
      </c>
      <c r="D3" s="2" t="s">
        <v>38</v>
      </c>
      <c r="E3" s="2" t="s">
        <v>39</v>
      </c>
      <c r="F3" s="2" t="s">
        <v>38</v>
      </c>
      <c r="G3" s="2" t="s">
        <v>40</v>
      </c>
      <c r="H3" s="2" t="s">
        <v>2500</v>
      </c>
      <c r="I3" s="2" t="s">
        <v>2501</v>
      </c>
      <c r="J3" s="2" t="s">
        <v>2502</v>
      </c>
      <c r="K3" s="2" t="s">
        <v>41</v>
      </c>
      <c r="L3" s="2" t="s">
        <v>38</v>
      </c>
      <c r="M3" s="2" t="s">
        <v>38</v>
      </c>
      <c r="N3" s="2" t="s">
        <v>38</v>
      </c>
      <c r="O3" s="2" t="s">
        <v>38</v>
      </c>
      <c r="P3" s="2" t="s">
        <v>42</v>
      </c>
      <c r="Q3" s="2" t="s">
        <v>43</v>
      </c>
      <c r="R3" s="2" t="s">
        <v>44</v>
      </c>
      <c r="S3" s="2" t="s">
        <v>38</v>
      </c>
      <c r="T3" s="2" t="s">
        <v>38</v>
      </c>
      <c r="U3" s="2" t="s">
        <v>44</v>
      </c>
      <c r="V3" s="2" t="s">
        <v>44</v>
      </c>
      <c r="W3" s="2" t="s">
        <v>44</v>
      </c>
      <c r="X3" s="2" t="s">
        <v>44</v>
      </c>
      <c r="Y3" s="2" t="s">
        <v>2021</v>
      </c>
      <c r="Z3" s="2" t="s">
        <v>45</v>
      </c>
      <c r="AA3" s="2" t="s">
        <v>46</v>
      </c>
      <c r="AB3" s="2" t="s">
        <v>38</v>
      </c>
      <c r="AC3" s="2" t="s">
        <v>1999</v>
      </c>
      <c r="AD3" s="2" t="s">
        <v>2011</v>
      </c>
      <c r="AE3" s="2" t="s">
        <v>2021</v>
      </c>
      <c r="AF3" s="2" t="s">
        <v>38</v>
      </c>
      <c r="AG3" s="34">
        <v>46078</v>
      </c>
    </row>
    <row r="4" spans="1:33" ht="225" x14ac:dyDescent="0.25">
      <c r="A4" s="2" t="s">
        <v>47</v>
      </c>
      <c r="B4" s="2" t="s">
        <v>2503</v>
      </c>
      <c r="C4" s="2" t="s">
        <v>38</v>
      </c>
      <c r="D4" s="2" t="s">
        <v>38</v>
      </c>
      <c r="E4" s="2" t="s">
        <v>48</v>
      </c>
      <c r="F4" s="2" t="s">
        <v>62</v>
      </c>
      <c r="G4" s="2" t="s">
        <v>40</v>
      </c>
      <c r="H4" s="2" t="s">
        <v>2504</v>
      </c>
      <c r="I4" s="2" t="s">
        <v>2505</v>
      </c>
      <c r="J4" s="2" t="s">
        <v>2503</v>
      </c>
      <c r="K4" s="2" t="s">
        <v>50</v>
      </c>
      <c r="L4" s="2" t="s">
        <v>2924</v>
      </c>
      <c r="M4" s="2" t="s">
        <v>51</v>
      </c>
      <c r="N4" s="2" t="s">
        <v>52</v>
      </c>
      <c r="O4" s="2" t="s">
        <v>3337</v>
      </c>
      <c r="P4" s="2" t="s">
        <v>3230</v>
      </c>
      <c r="Q4" s="2" t="s">
        <v>2191</v>
      </c>
      <c r="R4" s="2" t="s">
        <v>45</v>
      </c>
      <c r="S4" s="2" t="s">
        <v>38</v>
      </c>
      <c r="T4" s="2" t="s">
        <v>38</v>
      </c>
      <c r="U4" s="2" t="s">
        <v>2047</v>
      </c>
      <c r="V4" s="2" t="s">
        <v>38</v>
      </c>
      <c r="W4" s="2" t="s">
        <v>2191</v>
      </c>
      <c r="X4" s="2" t="s">
        <v>38</v>
      </c>
      <c r="Y4" s="2" t="s">
        <v>2010</v>
      </c>
      <c r="Z4" s="2" t="s">
        <v>45</v>
      </c>
      <c r="AA4" s="2" t="s">
        <v>38</v>
      </c>
      <c r="AB4" s="2" t="s">
        <v>53</v>
      </c>
      <c r="AC4" s="2" t="s">
        <v>1999</v>
      </c>
      <c r="AD4" s="2" t="s">
        <v>2011</v>
      </c>
      <c r="AE4" s="2" t="s">
        <v>2010</v>
      </c>
      <c r="AF4" s="2" t="s">
        <v>38</v>
      </c>
      <c r="AG4" s="34">
        <v>46078</v>
      </c>
    </row>
    <row r="5" spans="1:33" ht="30" x14ac:dyDescent="0.25">
      <c r="A5" s="2" t="s">
        <v>54</v>
      </c>
      <c r="B5" s="2" t="s">
        <v>2506</v>
      </c>
      <c r="C5" s="2" t="s">
        <v>38</v>
      </c>
      <c r="D5" s="2" t="s">
        <v>38</v>
      </c>
      <c r="E5" s="2" t="s">
        <v>55</v>
      </c>
      <c r="F5" s="2" t="s">
        <v>38</v>
      </c>
      <c r="G5" s="2" t="s">
        <v>40</v>
      </c>
      <c r="H5" s="2" t="s">
        <v>2507</v>
      </c>
      <c r="I5" s="2" t="s">
        <v>2508</v>
      </c>
      <c r="J5" s="2" t="s">
        <v>56</v>
      </c>
      <c r="K5" s="2" t="s">
        <v>50</v>
      </c>
      <c r="L5" s="2" t="s">
        <v>38</v>
      </c>
      <c r="M5" s="2" t="s">
        <v>38</v>
      </c>
      <c r="N5" s="2" t="s">
        <v>38</v>
      </c>
      <c r="O5" s="2" t="s">
        <v>38</v>
      </c>
      <c r="P5" s="2" t="s">
        <v>38</v>
      </c>
      <c r="Q5" s="2" t="s">
        <v>57</v>
      </c>
      <c r="R5" s="2" t="s">
        <v>58</v>
      </c>
      <c r="S5" s="2" t="s">
        <v>38</v>
      </c>
      <c r="T5" s="2" t="s">
        <v>38</v>
      </c>
      <c r="U5" s="2" t="s">
        <v>58</v>
      </c>
      <c r="V5" s="2" t="s">
        <v>58</v>
      </c>
      <c r="W5" s="2" t="s">
        <v>58</v>
      </c>
      <c r="X5" s="2" t="s">
        <v>58</v>
      </c>
      <c r="Y5" s="2" t="s">
        <v>2265</v>
      </c>
      <c r="Z5" s="2" t="s">
        <v>59</v>
      </c>
      <c r="AA5" s="2" t="s">
        <v>38</v>
      </c>
      <c r="AB5" s="2" t="s">
        <v>60</v>
      </c>
      <c r="AC5" s="2" t="s">
        <v>2118</v>
      </c>
      <c r="AD5" s="2" t="s">
        <v>2265</v>
      </c>
      <c r="AE5" s="2" t="s">
        <v>38</v>
      </c>
      <c r="AF5" s="2" t="s">
        <v>38</v>
      </c>
      <c r="AG5" s="34">
        <v>46078</v>
      </c>
    </row>
    <row r="6" spans="1:33" ht="180" x14ac:dyDescent="0.25">
      <c r="A6" s="2" t="s">
        <v>61</v>
      </c>
      <c r="B6" s="2" t="s">
        <v>2509</v>
      </c>
      <c r="C6" s="2" t="s">
        <v>37</v>
      </c>
      <c r="D6" s="2" t="s">
        <v>46</v>
      </c>
      <c r="E6" s="2" t="s">
        <v>48</v>
      </c>
      <c r="F6" s="2" t="s">
        <v>62</v>
      </c>
      <c r="G6" s="2" t="s">
        <v>40</v>
      </c>
      <c r="H6" s="2" t="s">
        <v>2504</v>
      </c>
      <c r="I6" s="2" t="s">
        <v>2505</v>
      </c>
      <c r="J6" s="2" t="s">
        <v>2509</v>
      </c>
      <c r="K6" s="2" t="s">
        <v>50</v>
      </c>
      <c r="L6" s="2" t="s">
        <v>63</v>
      </c>
      <c r="M6" s="2" t="s">
        <v>89</v>
      </c>
      <c r="N6" s="2" t="s">
        <v>64</v>
      </c>
      <c r="O6" s="2" t="s">
        <v>65</v>
      </c>
      <c r="P6" s="2" t="s">
        <v>3304</v>
      </c>
      <c r="Q6" s="2" t="s">
        <v>2133</v>
      </c>
      <c r="R6" s="2" t="s">
        <v>45</v>
      </c>
      <c r="S6" s="2" t="s">
        <v>38</v>
      </c>
      <c r="T6" s="2" t="s">
        <v>38</v>
      </c>
      <c r="U6" s="2" t="s">
        <v>2047</v>
      </c>
      <c r="V6" s="2" t="s">
        <v>38</v>
      </c>
      <c r="W6" s="2" t="s">
        <v>2133</v>
      </c>
      <c r="X6" s="2" t="s">
        <v>38</v>
      </c>
      <c r="Y6" s="2" t="s">
        <v>2021</v>
      </c>
      <c r="Z6" s="2" t="s">
        <v>45</v>
      </c>
      <c r="AA6" s="2" t="s">
        <v>46</v>
      </c>
      <c r="AB6" s="2" t="s">
        <v>38</v>
      </c>
      <c r="AC6" s="2" t="s">
        <v>1999</v>
      </c>
      <c r="AD6" s="2" t="s">
        <v>2011</v>
      </c>
      <c r="AE6" s="2" t="s">
        <v>2021</v>
      </c>
      <c r="AF6" s="2" t="s">
        <v>38</v>
      </c>
      <c r="AG6" s="34">
        <v>46078</v>
      </c>
    </row>
    <row r="7" spans="1:33" ht="75" x14ac:dyDescent="0.25">
      <c r="A7" s="2" t="s">
        <v>66</v>
      </c>
      <c r="B7" s="2" t="s">
        <v>2510</v>
      </c>
      <c r="C7" s="2" t="s">
        <v>67</v>
      </c>
      <c r="D7" s="2" t="s">
        <v>67</v>
      </c>
      <c r="E7" s="2" t="s">
        <v>312</v>
      </c>
      <c r="F7" s="2" t="s">
        <v>38</v>
      </c>
      <c r="G7" s="2" t="s">
        <v>40</v>
      </c>
      <c r="H7" s="2" t="s">
        <v>2511</v>
      </c>
      <c r="I7" s="2" t="s">
        <v>2530</v>
      </c>
      <c r="J7" s="2" t="s">
        <v>3095</v>
      </c>
      <c r="K7" s="2" t="s">
        <v>41</v>
      </c>
      <c r="L7" s="2" t="s">
        <v>68</v>
      </c>
      <c r="M7" s="2" t="s">
        <v>67</v>
      </c>
      <c r="N7" s="2" t="s">
        <v>67</v>
      </c>
      <c r="O7" s="2" t="s">
        <v>67</v>
      </c>
      <c r="P7" s="2" t="s">
        <v>3206</v>
      </c>
      <c r="Q7" s="2" t="s">
        <v>2021</v>
      </c>
      <c r="R7" s="2" t="s">
        <v>45</v>
      </c>
      <c r="S7" s="2" t="s">
        <v>46</v>
      </c>
      <c r="T7" s="2" t="s">
        <v>38</v>
      </c>
      <c r="U7" s="2" t="s">
        <v>1999</v>
      </c>
      <c r="V7" s="2" t="s">
        <v>2011</v>
      </c>
      <c r="W7" s="2" t="s">
        <v>2021</v>
      </c>
      <c r="X7" s="2" t="s">
        <v>38</v>
      </c>
      <c r="Y7" s="2" t="s">
        <v>2005</v>
      </c>
      <c r="Z7" s="2" t="s">
        <v>315</v>
      </c>
      <c r="AA7" s="2" t="s">
        <v>38</v>
      </c>
      <c r="AB7" s="2" t="s">
        <v>38</v>
      </c>
      <c r="AC7" s="2" t="s">
        <v>1999</v>
      </c>
      <c r="AD7" s="2" t="s">
        <v>2011</v>
      </c>
      <c r="AE7" s="2" t="s">
        <v>2021</v>
      </c>
      <c r="AF7" s="2" t="s">
        <v>2005</v>
      </c>
      <c r="AG7" s="34">
        <v>46078</v>
      </c>
    </row>
    <row r="8" spans="1:33" ht="45" x14ac:dyDescent="0.25">
      <c r="A8" s="2" t="s">
        <v>69</v>
      </c>
      <c r="B8" s="2" t="s">
        <v>2513</v>
      </c>
      <c r="C8" s="2" t="s">
        <v>38</v>
      </c>
      <c r="D8" s="2" t="s">
        <v>38</v>
      </c>
      <c r="E8" s="2" t="s">
        <v>48</v>
      </c>
      <c r="F8" s="2" t="s">
        <v>38</v>
      </c>
      <c r="G8" s="2" t="s">
        <v>40</v>
      </c>
      <c r="H8" s="2" t="s">
        <v>2642</v>
      </c>
      <c r="I8" s="2" t="s">
        <v>2522</v>
      </c>
      <c r="J8" s="2" t="s">
        <v>2757</v>
      </c>
      <c r="K8" s="2" t="s">
        <v>41</v>
      </c>
      <c r="L8" s="2" t="s">
        <v>38</v>
      </c>
      <c r="M8" s="2" t="s">
        <v>38</v>
      </c>
      <c r="N8" s="2" t="s">
        <v>38</v>
      </c>
      <c r="O8" s="2" t="s">
        <v>38</v>
      </c>
      <c r="P8" s="2" t="s">
        <v>42</v>
      </c>
      <c r="Q8" s="2" t="s">
        <v>2021</v>
      </c>
      <c r="R8" s="2" t="s">
        <v>45</v>
      </c>
      <c r="S8" s="2" t="s">
        <v>46</v>
      </c>
      <c r="T8" s="2" t="s">
        <v>38</v>
      </c>
      <c r="U8" s="2" t="s">
        <v>1999</v>
      </c>
      <c r="V8" s="2" t="s">
        <v>2011</v>
      </c>
      <c r="W8" s="2" t="s">
        <v>2021</v>
      </c>
      <c r="X8" s="2" t="s">
        <v>38</v>
      </c>
      <c r="Y8" s="2" t="s">
        <v>2493</v>
      </c>
      <c r="Z8" s="2" t="s">
        <v>45</v>
      </c>
      <c r="AA8" s="2" t="s">
        <v>38</v>
      </c>
      <c r="AB8" s="2" t="s">
        <v>38</v>
      </c>
      <c r="AC8" s="2" t="s">
        <v>38</v>
      </c>
      <c r="AD8" s="2" t="s">
        <v>38</v>
      </c>
      <c r="AE8" s="2" t="s">
        <v>38</v>
      </c>
      <c r="AF8" s="2" t="s">
        <v>38</v>
      </c>
      <c r="AG8" s="34">
        <v>46078</v>
      </c>
    </row>
    <row r="9" spans="1:33" ht="225" x14ac:dyDescent="0.25">
      <c r="A9" s="2" t="s">
        <v>70</v>
      </c>
      <c r="B9" s="2" t="s">
        <v>2514</v>
      </c>
      <c r="C9" s="2" t="s">
        <v>37</v>
      </c>
      <c r="D9" s="2" t="s">
        <v>71</v>
      </c>
      <c r="E9" s="2" t="s">
        <v>48</v>
      </c>
      <c r="F9" s="2" t="s">
        <v>62</v>
      </c>
      <c r="G9" s="2" t="s">
        <v>40</v>
      </c>
      <c r="H9" s="2" t="s">
        <v>2504</v>
      </c>
      <c r="I9" s="2" t="s">
        <v>2505</v>
      </c>
      <c r="J9" s="2" t="s">
        <v>2514</v>
      </c>
      <c r="K9" s="2" t="s">
        <v>50</v>
      </c>
      <c r="L9" s="2" t="s">
        <v>72</v>
      </c>
      <c r="M9" s="2" t="s">
        <v>73</v>
      </c>
      <c r="N9" s="2" t="s">
        <v>74</v>
      </c>
      <c r="O9" s="2" t="s">
        <v>75</v>
      </c>
      <c r="P9" s="2" t="s">
        <v>76</v>
      </c>
      <c r="Q9" s="2" t="s">
        <v>2133</v>
      </c>
      <c r="R9" s="2" t="s">
        <v>45</v>
      </c>
      <c r="S9" s="2" t="s">
        <v>38</v>
      </c>
      <c r="T9" s="2" t="s">
        <v>38</v>
      </c>
      <c r="U9" s="2" t="s">
        <v>2047</v>
      </c>
      <c r="V9" s="2" t="s">
        <v>38</v>
      </c>
      <c r="W9" s="2" t="s">
        <v>2133</v>
      </c>
      <c r="X9" s="2" t="s">
        <v>38</v>
      </c>
      <c r="Y9" s="2" t="s">
        <v>2015</v>
      </c>
      <c r="Z9" s="2" t="s">
        <v>45</v>
      </c>
      <c r="AA9" s="2" t="s">
        <v>77</v>
      </c>
      <c r="AB9" s="2" t="s">
        <v>78</v>
      </c>
      <c r="AC9" s="2" t="s">
        <v>1999</v>
      </c>
      <c r="AD9" s="2" t="s">
        <v>2011</v>
      </c>
      <c r="AE9" s="2" t="s">
        <v>2015</v>
      </c>
      <c r="AF9" s="2" t="s">
        <v>38</v>
      </c>
      <c r="AG9" s="34">
        <v>46078</v>
      </c>
    </row>
    <row r="10" spans="1:33" ht="180" x14ac:dyDescent="0.25">
      <c r="A10" s="2" t="s">
        <v>79</v>
      </c>
      <c r="B10" s="2" t="s">
        <v>2974</v>
      </c>
      <c r="C10" s="2" t="s">
        <v>38</v>
      </c>
      <c r="D10" s="2" t="s">
        <v>38</v>
      </c>
      <c r="E10" s="2" t="s">
        <v>48</v>
      </c>
      <c r="F10" s="2" t="s">
        <v>62</v>
      </c>
      <c r="G10" s="2" t="s">
        <v>40</v>
      </c>
      <c r="H10" s="2" t="s">
        <v>2511</v>
      </c>
      <c r="I10" s="2" t="s">
        <v>2530</v>
      </c>
      <c r="J10" s="2" t="s">
        <v>2974</v>
      </c>
      <c r="K10" s="2" t="s">
        <v>50</v>
      </c>
      <c r="L10" s="2" t="s">
        <v>3214</v>
      </c>
      <c r="M10" s="2" t="s">
        <v>51</v>
      </c>
      <c r="N10" s="2" t="s">
        <v>3112</v>
      </c>
      <c r="O10" s="2" t="s">
        <v>3191</v>
      </c>
      <c r="P10" s="2" t="s">
        <v>4238</v>
      </c>
      <c r="Q10" s="2" t="s">
        <v>2958</v>
      </c>
      <c r="R10" s="2" t="s">
        <v>45</v>
      </c>
      <c r="S10" s="2" t="s">
        <v>38</v>
      </c>
      <c r="T10" s="2" t="s">
        <v>80</v>
      </c>
      <c r="U10" s="2" t="s">
        <v>1999</v>
      </c>
      <c r="V10" s="2" t="s">
        <v>2011</v>
      </c>
      <c r="W10" s="2" t="s">
        <v>2958</v>
      </c>
      <c r="X10" s="2" t="s">
        <v>38</v>
      </c>
      <c r="Y10" s="2" t="s">
        <v>2010</v>
      </c>
      <c r="Z10" s="2" t="s">
        <v>45</v>
      </c>
      <c r="AA10" s="2" t="s">
        <v>38</v>
      </c>
      <c r="AB10" s="2" t="s">
        <v>53</v>
      </c>
      <c r="AC10" s="2" t="s">
        <v>1999</v>
      </c>
      <c r="AD10" s="2" t="s">
        <v>2011</v>
      </c>
      <c r="AE10" s="2" t="s">
        <v>2010</v>
      </c>
      <c r="AF10" s="2" t="s">
        <v>38</v>
      </c>
      <c r="AG10" s="34">
        <v>46078</v>
      </c>
    </row>
    <row r="11" spans="1:33" ht="45" customHeight="1" x14ac:dyDescent="0.25">
      <c r="A11" s="2" t="s">
        <v>81</v>
      </c>
      <c r="B11" s="2" t="s">
        <v>2515</v>
      </c>
      <c r="C11" s="2" t="s">
        <v>38</v>
      </c>
      <c r="D11" s="2" t="s">
        <v>38</v>
      </c>
      <c r="E11" s="2" t="s">
        <v>48</v>
      </c>
      <c r="F11" s="2" t="s">
        <v>38</v>
      </c>
      <c r="G11" s="2" t="s">
        <v>40</v>
      </c>
      <c r="H11" s="2" t="s">
        <v>2504</v>
      </c>
      <c r="I11" s="2" t="s">
        <v>2505</v>
      </c>
      <c r="J11" s="2" t="s">
        <v>2515</v>
      </c>
      <c r="K11" s="2" t="s">
        <v>41</v>
      </c>
      <c r="L11" s="2" t="s">
        <v>38</v>
      </c>
      <c r="M11" s="2" t="s">
        <v>38</v>
      </c>
      <c r="N11" s="2" t="s">
        <v>38</v>
      </c>
      <c r="O11" s="2" t="s">
        <v>38</v>
      </c>
      <c r="P11" s="2" t="s">
        <v>82</v>
      </c>
      <c r="Q11" s="2" t="s">
        <v>2108</v>
      </c>
      <c r="R11" s="2" t="s">
        <v>45</v>
      </c>
      <c r="S11" s="2" t="s">
        <v>38</v>
      </c>
      <c r="T11" s="2" t="s">
        <v>38</v>
      </c>
      <c r="U11" s="2" t="s">
        <v>2047</v>
      </c>
      <c r="V11" s="2" t="s">
        <v>38</v>
      </c>
      <c r="W11" s="2" t="s">
        <v>2108</v>
      </c>
      <c r="X11" s="2" t="s">
        <v>38</v>
      </c>
      <c r="Y11" s="2" t="s">
        <v>2021</v>
      </c>
      <c r="Z11" s="2" t="s">
        <v>45</v>
      </c>
      <c r="AA11" s="2" t="s">
        <v>46</v>
      </c>
      <c r="AB11" s="2" t="s">
        <v>38</v>
      </c>
      <c r="AC11" s="2" t="s">
        <v>1999</v>
      </c>
      <c r="AD11" s="2" t="s">
        <v>2011</v>
      </c>
      <c r="AE11" s="2" t="s">
        <v>2021</v>
      </c>
      <c r="AF11" s="2" t="s">
        <v>38</v>
      </c>
      <c r="AG11" s="34">
        <v>46078</v>
      </c>
    </row>
    <row r="12" spans="1:33" ht="45" x14ac:dyDescent="0.25">
      <c r="A12" s="2" t="s">
        <v>83</v>
      </c>
      <c r="B12" s="2" t="s">
        <v>2516</v>
      </c>
      <c r="C12" s="2" t="s">
        <v>38</v>
      </c>
      <c r="D12" s="2" t="s">
        <v>38</v>
      </c>
      <c r="E12" s="2" t="s">
        <v>48</v>
      </c>
      <c r="F12" s="2" t="s">
        <v>38</v>
      </c>
      <c r="G12" s="2" t="s">
        <v>40</v>
      </c>
      <c r="H12" s="2" t="s">
        <v>2504</v>
      </c>
      <c r="I12" s="2" t="s">
        <v>2505</v>
      </c>
      <c r="J12" s="2" t="s">
        <v>2516</v>
      </c>
      <c r="K12" s="2" t="s">
        <v>41</v>
      </c>
      <c r="L12" s="2" t="s">
        <v>38</v>
      </c>
      <c r="M12" s="2" t="s">
        <v>38</v>
      </c>
      <c r="N12" s="2" t="s">
        <v>38</v>
      </c>
      <c r="O12" s="2" t="s">
        <v>38</v>
      </c>
      <c r="P12" s="2" t="s">
        <v>84</v>
      </c>
      <c r="Q12" s="2" t="s">
        <v>2194</v>
      </c>
      <c r="R12" s="2" t="s">
        <v>45</v>
      </c>
      <c r="S12" s="2" t="s">
        <v>38</v>
      </c>
      <c r="T12" s="2" t="s">
        <v>38</v>
      </c>
      <c r="U12" s="2" t="s">
        <v>2047</v>
      </c>
      <c r="V12" s="2" t="s">
        <v>38</v>
      </c>
      <c r="W12" s="2" t="s">
        <v>2194</v>
      </c>
      <c r="X12" s="2" t="s">
        <v>38</v>
      </c>
      <c r="Y12" s="2" t="s">
        <v>2021</v>
      </c>
      <c r="Z12" s="2" t="s">
        <v>45</v>
      </c>
      <c r="AA12" s="2" t="s">
        <v>46</v>
      </c>
      <c r="AB12" s="2" t="s">
        <v>38</v>
      </c>
      <c r="AC12" s="2" t="s">
        <v>1999</v>
      </c>
      <c r="AD12" s="2" t="s">
        <v>2011</v>
      </c>
      <c r="AE12" s="2" t="s">
        <v>2021</v>
      </c>
      <c r="AF12" s="2" t="s">
        <v>38</v>
      </c>
      <c r="AG12" s="34">
        <v>46078</v>
      </c>
    </row>
    <row r="13" spans="1:33" ht="105" x14ac:dyDescent="0.25">
      <c r="A13" s="2" t="s">
        <v>85</v>
      </c>
      <c r="B13" s="2" t="s">
        <v>2517</v>
      </c>
      <c r="C13" s="2" t="s">
        <v>37</v>
      </c>
      <c r="D13" s="2" t="s">
        <v>86</v>
      </c>
      <c r="E13" s="2" t="s">
        <v>48</v>
      </c>
      <c r="F13" s="2" t="s">
        <v>62</v>
      </c>
      <c r="G13" s="2" t="s">
        <v>40</v>
      </c>
      <c r="H13" s="2" t="s">
        <v>2511</v>
      </c>
      <c r="I13" s="2" t="s">
        <v>2518</v>
      </c>
      <c r="J13" s="2" t="s">
        <v>2517</v>
      </c>
      <c r="K13" s="2" t="s">
        <v>87</v>
      </c>
      <c r="L13" s="2" t="s">
        <v>4234</v>
      </c>
      <c r="M13" s="2" t="s">
        <v>89</v>
      </c>
      <c r="N13" s="2" t="s">
        <v>90</v>
      </c>
      <c r="O13" s="2" t="s">
        <v>91</v>
      </c>
      <c r="P13" s="2" t="s">
        <v>92</v>
      </c>
      <c r="Q13" s="2" t="s">
        <v>2030</v>
      </c>
      <c r="R13" s="2" t="s">
        <v>45</v>
      </c>
      <c r="S13" s="2" t="s">
        <v>46</v>
      </c>
      <c r="T13" s="2" t="s">
        <v>38</v>
      </c>
      <c r="U13" s="2" t="s">
        <v>1999</v>
      </c>
      <c r="V13" s="2" t="s">
        <v>2011</v>
      </c>
      <c r="W13" s="2" t="s">
        <v>2030</v>
      </c>
      <c r="X13" s="2" t="s">
        <v>38</v>
      </c>
      <c r="Y13" s="2" t="s">
        <v>1997</v>
      </c>
      <c r="Z13" s="2" t="s">
        <v>45</v>
      </c>
      <c r="AA13" s="2" t="s">
        <v>86</v>
      </c>
      <c r="AB13" s="2" t="s">
        <v>38</v>
      </c>
      <c r="AC13" s="2" t="s">
        <v>1999</v>
      </c>
      <c r="AD13" s="2" t="s">
        <v>2000</v>
      </c>
      <c r="AE13" s="2" t="s">
        <v>1997</v>
      </c>
      <c r="AF13" s="2" t="s">
        <v>38</v>
      </c>
      <c r="AG13" s="34">
        <v>46078</v>
      </c>
    </row>
    <row r="14" spans="1:33" ht="45" x14ac:dyDescent="0.25">
      <c r="A14" s="2" t="s">
        <v>93</v>
      </c>
      <c r="B14" s="2" t="s">
        <v>2519</v>
      </c>
      <c r="C14" s="2" t="s">
        <v>37</v>
      </c>
      <c r="D14" s="2" t="s">
        <v>94</v>
      </c>
      <c r="E14" s="2" t="s">
        <v>48</v>
      </c>
      <c r="F14" s="2" t="s">
        <v>38</v>
      </c>
      <c r="G14" s="2" t="s">
        <v>40</v>
      </c>
      <c r="H14" s="2" t="s">
        <v>2642</v>
      </c>
      <c r="I14" s="2" t="s">
        <v>2522</v>
      </c>
      <c r="J14" s="2" t="s">
        <v>2568</v>
      </c>
      <c r="K14" s="2" t="s">
        <v>41</v>
      </c>
      <c r="L14" s="2" t="s">
        <v>95</v>
      </c>
      <c r="M14" s="2" t="s">
        <v>38</v>
      </c>
      <c r="N14" s="2" t="s">
        <v>38</v>
      </c>
      <c r="O14" s="2" t="s">
        <v>38</v>
      </c>
      <c r="P14" s="2" t="s">
        <v>2480</v>
      </c>
      <c r="Q14" s="2" t="s">
        <v>2030</v>
      </c>
      <c r="R14" s="2" t="s">
        <v>45</v>
      </c>
      <c r="S14" s="2" t="s">
        <v>46</v>
      </c>
      <c r="T14" s="2" t="s">
        <v>38</v>
      </c>
      <c r="U14" s="2" t="s">
        <v>1999</v>
      </c>
      <c r="V14" s="2" t="s">
        <v>2011</v>
      </c>
      <c r="W14" s="2" t="s">
        <v>2030</v>
      </c>
      <c r="X14" s="2" t="s">
        <v>38</v>
      </c>
      <c r="Y14" s="2" t="s">
        <v>2494</v>
      </c>
      <c r="Z14" s="2" t="s">
        <v>45</v>
      </c>
      <c r="AA14" s="2" t="s">
        <v>38</v>
      </c>
      <c r="AB14" s="2" t="s">
        <v>38</v>
      </c>
      <c r="AC14" s="2" t="s">
        <v>38</v>
      </c>
      <c r="AD14" s="2" t="s">
        <v>38</v>
      </c>
      <c r="AE14" s="2" t="s">
        <v>38</v>
      </c>
      <c r="AF14" s="2" t="s">
        <v>38</v>
      </c>
      <c r="AG14" s="34">
        <v>46078</v>
      </c>
    </row>
    <row r="15" spans="1:33" ht="270" x14ac:dyDescent="0.25">
      <c r="A15" s="2" t="s">
        <v>96</v>
      </c>
      <c r="B15" s="2" t="s">
        <v>2520</v>
      </c>
      <c r="C15" s="2" t="s">
        <v>37</v>
      </c>
      <c r="D15" s="2" t="s">
        <v>97</v>
      </c>
      <c r="E15" s="2" t="s">
        <v>48</v>
      </c>
      <c r="F15" s="2" t="s">
        <v>62</v>
      </c>
      <c r="G15" s="2" t="s">
        <v>40</v>
      </c>
      <c r="H15" s="2" t="s">
        <v>2521</v>
      </c>
      <c r="I15" s="2" t="s">
        <v>2522</v>
      </c>
      <c r="J15" s="2" t="s">
        <v>2520</v>
      </c>
      <c r="K15" s="2" t="s">
        <v>87</v>
      </c>
      <c r="L15" s="2" t="s">
        <v>98</v>
      </c>
      <c r="M15" s="2" t="s">
        <v>89</v>
      </c>
      <c r="N15" s="2" t="s">
        <v>99</v>
      </c>
      <c r="O15" s="2" t="s">
        <v>100</v>
      </c>
      <c r="P15" s="2" t="s">
        <v>38</v>
      </c>
      <c r="Q15" s="2" t="s">
        <v>2030</v>
      </c>
      <c r="R15" s="2" t="s">
        <v>45</v>
      </c>
      <c r="S15" s="2" t="s">
        <v>46</v>
      </c>
      <c r="T15" s="2" t="s">
        <v>38</v>
      </c>
      <c r="U15" s="2" t="s">
        <v>1999</v>
      </c>
      <c r="V15" s="2" t="s">
        <v>2011</v>
      </c>
      <c r="W15" s="2" t="s">
        <v>2030</v>
      </c>
      <c r="X15" s="2" t="s">
        <v>38</v>
      </c>
      <c r="Y15" s="2" t="s">
        <v>2106</v>
      </c>
      <c r="Z15" s="2" t="s">
        <v>45</v>
      </c>
      <c r="AA15" s="2" t="s">
        <v>38</v>
      </c>
      <c r="AB15" s="2" t="s">
        <v>38</v>
      </c>
      <c r="AC15" s="2" t="s">
        <v>2047</v>
      </c>
      <c r="AD15" s="2" t="s">
        <v>38</v>
      </c>
      <c r="AE15" s="2" t="s">
        <v>2106</v>
      </c>
      <c r="AF15" s="2" t="s">
        <v>38</v>
      </c>
      <c r="AG15" s="34">
        <v>46078</v>
      </c>
    </row>
    <row r="16" spans="1:33" ht="75" x14ac:dyDescent="0.25">
      <c r="A16" s="2" t="s">
        <v>101</v>
      </c>
      <c r="B16" s="2" t="s">
        <v>2523</v>
      </c>
      <c r="C16" s="2" t="s">
        <v>37</v>
      </c>
      <c r="D16" s="2" t="s">
        <v>102</v>
      </c>
      <c r="E16" s="2" t="s">
        <v>48</v>
      </c>
      <c r="F16" s="2" t="s">
        <v>62</v>
      </c>
      <c r="G16" s="2" t="s">
        <v>40</v>
      </c>
      <c r="H16" s="2" t="s">
        <v>2511</v>
      </c>
      <c r="I16" s="2" t="s">
        <v>2518</v>
      </c>
      <c r="J16" s="2" t="s">
        <v>2523</v>
      </c>
      <c r="K16" s="2" t="s">
        <v>41</v>
      </c>
      <c r="L16" s="2" t="s">
        <v>38</v>
      </c>
      <c r="M16" s="2" t="s">
        <v>89</v>
      </c>
      <c r="N16" s="2" t="s">
        <v>38</v>
      </c>
      <c r="O16" s="2" t="s">
        <v>38</v>
      </c>
      <c r="P16" s="2" t="s">
        <v>103</v>
      </c>
      <c r="Q16" s="2" t="s">
        <v>2030</v>
      </c>
      <c r="R16" s="2" t="s">
        <v>45</v>
      </c>
      <c r="S16" s="2" t="s">
        <v>46</v>
      </c>
      <c r="T16" s="2" t="s">
        <v>38</v>
      </c>
      <c r="U16" s="2" t="s">
        <v>1999</v>
      </c>
      <c r="V16" s="2" t="s">
        <v>2011</v>
      </c>
      <c r="W16" s="2" t="s">
        <v>2030</v>
      </c>
      <c r="X16" s="2" t="s">
        <v>38</v>
      </c>
      <c r="Y16" s="2" t="s">
        <v>2024</v>
      </c>
      <c r="Z16" s="2" t="s">
        <v>45</v>
      </c>
      <c r="AA16" s="2" t="s">
        <v>38</v>
      </c>
      <c r="AB16" s="2" t="s">
        <v>38</v>
      </c>
      <c r="AC16" s="2" t="s">
        <v>1999</v>
      </c>
      <c r="AD16" s="2" t="s">
        <v>2000</v>
      </c>
      <c r="AE16" s="2" t="s">
        <v>2024</v>
      </c>
      <c r="AF16" s="2" t="s">
        <v>38</v>
      </c>
      <c r="AG16" s="34">
        <v>46078</v>
      </c>
    </row>
    <row r="17" spans="1:33" ht="90" x14ac:dyDescent="0.25">
      <c r="A17" s="2" t="s">
        <v>104</v>
      </c>
      <c r="B17" s="2" t="s">
        <v>2524</v>
      </c>
      <c r="C17" s="2" t="s">
        <v>37</v>
      </c>
      <c r="D17" s="2" t="s">
        <v>95</v>
      </c>
      <c r="E17" s="2" t="s">
        <v>48</v>
      </c>
      <c r="F17" s="2" t="s">
        <v>62</v>
      </c>
      <c r="G17" s="2" t="s">
        <v>40</v>
      </c>
      <c r="H17" s="2" t="s">
        <v>2525</v>
      </c>
      <c r="I17" s="2" t="s">
        <v>2522</v>
      </c>
      <c r="J17" s="2" t="s">
        <v>2524</v>
      </c>
      <c r="K17" s="2" t="s">
        <v>87</v>
      </c>
      <c r="L17" s="2" t="s">
        <v>105</v>
      </c>
      <c r="M17" s="2" t="s">
        <v>73</v>
      </c>
      <c r="N17" s="2" t="s">
        <v>106</v>
      </c>
      <c r="O17" s="2" t="s">
        <v>3268</v>
      </c>
      <c r="P17" s="2" t="s">
        <v>3343</v>
      </c>
      <c r="Q17" s="2" t="s">
        <v>2030</v>
      </c>
      <c r="R17" s="2" t="s">
        <v>45</v>
      </c>
      <c r="S17" s="2" t="s">
        <v>46</v>
      </c>
      <c r="T17" s="2" t="s">
        <v>38</v>
      </c>
      <c r="U17" s="2" t="s">
        <v>1999</v>
      </c>
      <c r="V17" s="2" t="s">
        <v>2011</v>
      </c>
      <c r="W17" s="2" t="s">
        <v>2030</v>
      </c>
      <c r="X17" s="2" t="s">
        <v>38</v>
      </c>
      <c r="Y17" s="2" t="s">
        <v>2070</v>
      </c>
      <c r="Z17" s="2" t="s">
        <v>45</v>
      </c>
      <c r="AA17" s="2" t="s">
        <v>38</v>
      </c>
      <c r="AB17" s="2" t="s">
        <v>38</v>
      </c>
      <c r="AC17" s="2" t="s">
        <v>2071</v>
      </c>
      <c r="AD17" s="2" t="s">
        <v>38</v>
      </c>
      <c r="AE17" s="2" t="s">
        <v>2070</v>
      </c>
      <c r="AF17" s="2" t="s">
        <v>38</v>
      </c>
      <c r="AG17" s="34">
        <v>46078</v>
      </c>
    </row>
    <row r="18" spans="1:33" ht="90" x14ac:dyDescent="0.25">
      <c r="A18" s="2" t="s">
        <v>107</v>
      </c>
      <c r="B18" s="2" t="s">
        <v>2526</v>
      </c>
      <c r="C18" s="2" t="s">
        <v>37</v>
      </c>
      <c r="D18" s="2" t="s">
        <v>102</v>
      </c>
      <c r="E18" s="2" t="s">
        <v>48</v>
      </c>
      <c r="F18" s="2" t="s">
        <v>62</v>
      </c>
      <c r="G18" s="2" t="s">
        <v>40</v>
      </c>
      <c r="H18" s="2" t="s">
        <v>2511</v>
      </c>
      <c r="I18" s="2" t="s">
        <v>2512</v>
      </c>
      <c r="J18" s="2" t="s">
        <v>2526</v>
      </c>
      <c r="K18" s="2" t="s">
        <v>87</v>
      </c>
      <c r="L18" s="2" t="s">
        <v>108</v>
      </c>
      <c r="M18" s="2" t="s">
        <v>89</v>
      </c>
      <c r="N18" s="2" t="s">
        <v>109</v>
      </c>
      <c r="O18" s="2" t="s">
        <v>110</v>
      </c>
      <c r="P18" s="2" t="s">
        <v>111</v>
      </c>
      <c r="Q18" s="2" t="s">
        <v>2030</v>
      </c>
      <c r="R18" s="2" t="s">
        <v>45</v>
      </c>
      <c r="S18" s="2" t="s">
        <v>46</v>
      </c>
      <c r="T18" s="2" t="s">
        <v>38</v>
      </c>
      <c r="U18" s="2" t="s">
        <v>1999</v>
      </c>
      <c r="V18" s="2" t="s">
        <v>2011</v>
      </c>
      <c r="W18" s="2" t="s">
        <v>2030</v>
      </c>
      <c r="X18" s="2" t="s">
        <v>38</v>
      </c>
      <c r="Y18" s="2" t="s">
        <v>2063</v>
      </c>
      <c r="Z18" s="2" t="s">
        <v>45</v>
      </c>
      <c r="AA18" s="2" t="s">
        <v>46</v>
      </c>
      <c r="AB18" s="2" t="s">
        <v>38</v>
      </c>
      <c r="AC18" s="2" t="s">
        <v>1999</v>
      </c>
      <c r="AD18" s="2" t="s">
        <v>2006</v>
      </c>
      <c r="AE18" s="2" t="s">
        <v>2063</v>
      </c>
      <c r="AF18" s="2" t="s">
        <v>38</v>
      </c>
      <c r="AG18" s="34">
        <v>46078</v>
      </c>
    </row>
    <row r="19" spans="1:33" ht="150" x14ac:dyDescent="0.25">
      <c r="A19" s="2" t="s">
        <v>112</v>
      </c>
      <c r="B19" s="2" t="s">
        <v>2527</v>
      </c>
      <c r="C19" s="2" t="s">
        <v>37</v>
      </c>
      <c r="D19" s="2" t="s">
        <v>113</v>
      </c>
      <c r="E19" s="2" t="s">
        <v>48</v>
      </c>
      <c r="F19" s="2" t="s">
        <v>62</v>
      </c>
      <c r="G19" s="2" t="s">
        <v>40</v>
      </c>
      <c r="H19" s="2" t="s">
        <v>2504</v>
      </c>
      <c r="I19" s="2" t="s">
        <v>2505</v>
      </c>
      <c r="J19" s="2" t="s">
        <v>2527</v>
      </c>
      <c r="K19" s="2" t="s">
        <v>87</v>
      </c>
      <c r="L19" s="2" t="s">
        <v>114</v>
      </c>
      <c r="M19" s="2" t="s">
        <v>89</v>
      </c>
      <c r="N19" s="2" t="s">
        <v>3183</v>
      </c>
      <c r="O19" s="2" t="s">
        <v>115</v>
      </c>
      <c r="P19" s="2" t="s">
        <v>3291</v>
      </c>
      <c r="Q19" s="2" t="s">
        <v>2108</v>
      </c>
      <c r="R19" s="2" t="s">
        <v>45</v>
      </c>
      <c r="S19" s="2" t="s">
        <v>38</v>
      </c>
      <c r="T19" s="2" t="s">
        <v>38</v>
      </c>
      <c r="U19" s="2" t="s">
        <v>2047</v>
      </c>
      <c r="V19" s="2" t="s">
        <v>38</v>
      </c>
      <c r="W19" s="2" t="s">
        <v>2108</v>
      </c>
      <c r="X19" s="2" t="s">
        <v>38</v>
      </c>
      <c r="Y19" s="2" t="s">
        <v>2030</v>
      </c>
      <c r="Z19" s="2" t="s">
        <v>45</v>
      </c>
      <c r="AA19" s="2" t="s">
        <v>46</v>
      </c>
      <c r="AB19" s="2" t="s">
        <v>38</v>
      </c>
      <c r="AC19" s="2" t="s">
        <v>1999</v>
      </c>
      <c r="AD19" s="2" t="s">
        <v>2011</v>
      </c>
      <c r="AE19" s="2" t="s">
        <v>2030</v>
      </c>
      <c r="AF19" s="2" t="s">
        <v>38</v>
      </c>
      <c r="AG19" s="34">
        <v>46078</v>
      </c>
    </row>
    <row r="20" spans="1:33" ht="90" x14ac:dyDescent="0.25">
      <c r="A20" s="2" t="s">
        <v>116</v>
      </c>
      <c r="B20" s="2" t="s">
        <v>2528</v>
      </c>
      <c r="C20" s="2" t="s">
        <v>37</v>
      </c>
      <c r="D20" s="2" t="s">
        <v>113</v>
      </c>
      <c r="E20" s="2" t="s">
        <v>48</v>
      </c>
      <c r="F20" s="2" t="s">
        <v>62</v>
      </c>
      <c r="G20" s="2" t="s">
        <v>40</v>
      </c>
      <c r="H20" s="2" t="s">
        <v>2504</v>
      </c>
      <c r="I20" s="2" t="s">
        <v>2505</v>
      </c>
      <c r="J20" s="2" t="s">
        <v>2528</v>
      </c>
      <c r="K20" s="2" t="s">
        <v>87</v>
      </c>
      <c r="L20" s="2" t="s">
        <v>117</v>
      </c>
      <c r="M20" s="2" t="s">
        <v>51</v>
      </c>
      <c r="N20" s="2" t="s">
        <v>118</v>
      </c>
      <c r="O20" s="2" t="s">
        <v>3285</v>
      </c>
      <c r="P20" s="2" t="s">
        <v>3344</v>
      </c>
      <c r="Q20" s="2" t="s">
        <v>2194</v>
      </c>
      <c r="R20" s="2" t="s">
        <v>45</v>
      </c>
      <c r="S20" s="2" t="s">
        <v>38</v>
      </c>
      <c r="T20" s="2" t="s">
        <v>38</v>
      </c>
      <c r="U20" s="2" t="s">
        <v>2047</v>
      </c>
      <c r="V20" s="2" t="s">
        <v>38</v>
      </c>
      <c r="W20" s="2" t="s">
        <v>2194</v>
      </c>
      <c r="X20" s="2" t="s">
        <v>38</v>
      </c>
      <c r="Y20" s="2" t="s">
        <v>2030</v>
      </c>
      <c r="Z20" s="2" t="s">
        <v>45</v>
      </c>
      <c r="AA20" s="2" t="s">
        <v>46</v>
      </c>
      <c r="AB20" s="2" t="s">
        <v>38</v>
      </c>
      <c r="AC20" s="2" t="s">
        <v>1999</v>
      </c>
      <c r="AD20" s="2" t="s">
        <v>2011</v>
      </c>
      <c r="AE20" s="2" t="s">
        <v>2030</v>
      </c>
      <c r="AF20" s="2" t="s">
        <v>38</v>
      </c>
      <c r="AG20" s="34">
        <v>46078</v>
      </c>
    </row>
    <row r="21" spans="1:33" ht="135" x14ac:dyDescent="0.25">
      <c r="A21" s="2" t="s">
        <v>119</v>
      </c>
      <c r="B21" s="2" t="s">
        <v>2529</v>
      </c>
      <c r="C21" s="2" t="s">
        <v>37</v>
      </c>
      <c r="D21" s="2" t="s">
        <v>120</v>
      </c>
      <c r="E21" s="2" t="s">
        <v>48</v>
      </c>
      <c r="F21" s="2" t="s">
        <v>62</v>
      </c>
      <c r="G21" s="2" t="s">
        <v>40</v>
      </c>
      <c r="H21" s="2" t="s">
        <v>2511</v>
      </c>
      <c r="I21" s="2" t="s">
        <v>2530</v>
      </c>
      <c r="J21" s="2" t="s">
        <v>2529</v>
      </c>
      <c r="K21" s="2" t="s">
        <v>87</v>
      </c>
      <c r="L21" s="2" t="s">
        <v>121</v>
      </c>
      <c r="M21" s="2" t="s">
        <v>89</v>
      </c>
      <c r="N21" s="2" t="s">
        <v>122</v>
      </c>
      <c r="O21" s="2" t="s">
        <v>123</v>
      </c>
      <c r="P21" s="2" t="s">
        <v>38</v>
      </c>
      <c r="Q21" s="2" t="s">
        <v>2021</v>
      </c>
      <c r="R21" s="2" t="s">
        <v>45</v>
      </c>
      <c r="S21" s="2" t="s">
        <v>46</v>
      </c>
      <c r="T21" s="2" t="s">
        <v>38</v>
      </c>
      <c r="U21" s="2" t="s">
        <v>1999</v>
      </c>
      <c r="V21" s="2" t="s">
        <v>2011</v>
      </c>
      <c r="W21" s="2" t="s">
        <v>2021</v>
      </c>
      <c r="X21" s="2" t="s">
        <v>38</v>
      </c>
      <c r="Y21" s="2" t="s">
        <v>2030</v>
      </c>
      <c r="Z21" s="2" t="s">
        <v>45</v>
      </c>
      <c r="AA21" s="2" t="s">
        <v>46</v>
      </c>
      <c r="AB21" s="2" t="s">
        <v>38</v>
      </c>
      <c r="AC21" s="2" t="s">
        <v>1999</v>
      </c>
      <c r="AD21" s="2" t="s">
        <v>2011</v>
      </c>
      <c r="AE21" s="2" t="s">
        <v>2030</v>
      </c>
      <c r="AF21" s="2" t="s">
        <v>38</v>
      </c>
      <c r="AG21" s="34">
        <v>46078</v>
      </c>
    </row>
    <row r="22" spans="1:33" ht="90" x14ac:dyDescent="0.25">
      <c r="A22" s="2" t="s">
        <v>124</v>
      </c>
      <c r="B22" s="2" t="s">
        <v>2531</v>
      </c>
      <c r="C22" s="2" t="s">
        <v>37</v>
      </c>
      <c r="D22" s="2" t="s">
        <v>120</v>
      </c>
      <c r="E22" s="2" t="s">
        <v>48</v>
      </c>
      <c r="F22" s="2" t="s">
        <v>62</v>
      </c>
      <c r="G22" s="2" t="s">
        <v>40</v>
      </c>
      <c r="H22" s="2" t="s">
        <v>2521</v>
      </c>
      <c r="I22" s="2" t="s">
        <v>2522</v>
      </c>
      <c r="J22" s="2" t="s">
        <v>2531</v>
      </c>
      <c r="K22" s="2" t="s">
        <v>87</v>
      </c>
      <c r="L22" s="2" t="s">
        <v>125</v>
      </c>
      <c r="M22" s="2" t="s">
        <v>51</v>
      </c>
      <c r="N22" s="2" t="s">
        <v>126</v>
      </c>
      <c r="O22" s="2" t="s">
        <v>3279</v>
      </c>
      <c r="P22" s="2" t="s">
        <v>3345</v>
      </c>
      <c r="Q22" s="2" t="s">
        <v>2030</v>
      </c>
      <c r="R22" s="2" t="s">
        <v>45</v>
      </c>
      <c r="S22" s="2" t="s">
        <v>46</v>
      </c>
      <c r="T22" s="2" t="s">
        <v>38</v>
      </c>
      <c r="U22" s="2" t="s">
        <v>1999</v>
      </c>
      <c r="V22" s="2" t="s">
        <v>2011</v>
      </c>
      <c r="W22" s="2" t="s">
        <v>2030</v>
      </c>
      <c r="X22" s="2" t="s">
        <v>38</v>
      </c>
      <c r="Y22" s="2" t="s">
        <v>2094</v>
      </c>
      <c r="Z22" s="2" t="s">
        <v>45</v>
      </c>
      <c r="AA22" s="2" t="s">
        <v>38</v>
      </c>
      <c r="AB22" s="2" t="s">
        <v>38</v>
      </c>
      <c r="AC22" s="2" t="s">
        <v>2047</v>
      </c>
      <c r="AD22" s="2" t="s">
        <v>38</v>
      </c>
      <c r="AE22" s="2" t="s">
        <v>2094</v>
      </c>
      <c r="AF22" s="2" t="s">
        <v>38</v>
      </c>
      <c r="AG22" s="34">
        <v>46078</v>
      </c>
    </row>
    <row r="23" spans="1:33" ht="135" x14ac:dyDescent="0.25">
      <c r="A23" s="2" t="s">
        <v>127</v>
      </c>
      <c r="B23" s="2" t="s">
        <v>2532</v>
      </c>
      <c r="C23" s="2" t="s">
        <v>38</v>
      </c>
      <c r="D23" s="2" t="s">
        <v>38</v>
      </c>
      <c r="E23" s="2" t="s">
        <v>48</v>
      </c>
      <c r="F23" s="2" t="s">
        <v>62</v>
      </c>
      <c r="G23" s="2" t="s">
        <v>40</v>
      </c>
      <c r="H23" s="2" t="s">
        <v>2521</v>
      </c>
      <c r="I23" s="2" t="s">
        <v>2522</v>
      </c>
      <c r="J23" s="2" t="s">
        <v>2532</v>
      </c>
      <c r="K23" s="2" t="s">
        <v>87</v>
      </c>
      <c r="L23" s="2" t="s">
        <v>3278</v>
      </c>
      <c r="M23" s="2" t="s">
        <v>73</v>
      </c>
      <c r="N23" s="2" t="s">
        <v>3175</v>
      </c>
      <c r="O23" s="2" t="s">
        <v>3177</v>
      </c>
      <c r="P23" s="2" t="s">
        <v>3211</v>
      </c>
      <c r="Q23" s="2" t="s">
        <v>2021</v>
      </c>
      <c r="R23" s="2" t="s">
        <v>45</v>
      </c>
      <c r="S23" s="2" t="s">
        <v>46</v>
      </c>
      <c r="T23" s="2" t="s">
        <v>38</v>
      </c>
      <c r="U23" s="2" t="s">
        <v>1999</v>
      </c>
      <c r="V23" s="2" t="s">
        <v>2011</v>
      </c>
      <c r="W23" s="2" t="s">
        <v>2021</v>
      </c>
      <c r="X23" s="2" t="s">
        <v>38</v>
      </c>
      <c r="Y23" s="2" t="s">
        <v>2106</v>
      </c>
      <c r="Z23" s="2" t="s">
        <v>45</v>
      </c>
      <c r="AA23" s="2" t="s">
        <v>38</v>
      </c>
      <c r="AB23" s="2" t="s">
        <v>38</v>
      </c>
      <c r="AC23" s="2" t="s">
        <v>2047</v>
      </c>
      <c r="AD23" s="2" t="s">
        <v>38</v>
      </c>
      <c r="AE23" s="2" t="s">
        <v>2106</v>
      </c>
      <c r="AF23" s="2" t="s">
        <v>38</v>
      </c>
      <c r="AG23" s="34">
        <v>46078</v>
      </c>
    </row>
    <row r="24" spans="1:33" ht="180" x14ac:dyDescent="0.25">
      <c r="A24" s="2" t="s">
        <v>128</v>
      </c>
      <c r="B24" s="2" t="s">
        <v>2533</v>
      </c>
      <c r="C24" s="2" t="s">
        <v>86</v>
      </c>
      <c r="D24" s="2" t="s">
        <v>37</v>
      </c>
      <c r="E24" s="2" t="s">
        <v>48</v>
      </c>
      <c r="F24" s="2" t="s">
        <v>49</v>
      </c>
      <c r="G24" s="2" t="s">
        <v>40</v>
      </c>
      <c r="H24" s="2" t="s">
        <v>2511</v>
      </c>
      <c r="I24" s="2" t="s">
        <v>2534</v>
      </c>
      <c r="J24" s="2" t="s">
        <v>2533</v>
      </c>
      <c r="K24" s="2" t="s">
        <v>50</v>
      </c>
      <c r="L24" s="2" t="s">
        <v>129</v>
      </c>
      <c r="M24" s="2" t="s">
        <v>67</v>
      </c>
      <c r="N24" s="2" t="s">
        <v>3280</v>
      </c>
      <c r="O24" s="2" t="s">
        <v>3281</v>
      </c>
      <c r="P24" s="2" t="s">
        <v>3379</v>
      </c>
      <c r="Q24" s="2" t="s">
        <v>1997</v>
      </c>
      <c r="R24" s="2" t="s">
        <v>45</v>
      </c>
      <c r="S24" s="2" t="s">
        <v>86</v>
      </c>
      <c r="T24" s="2" t="s">
        <v>38</v>
      </c>
      <c r="U24" s="2" t="s">
        <v>1999</v>
      </c>
      <c r="V24" s="2" t="s">
        <v>2000</v>
      </c>
      <c r="W24" s="2" t="s">
        <v>1997</v>
      </c>
      <c r="X24" s="2" t="s">
        <v>38</v>
      </c>
      <c r="Y24" s="2" t="s">
        <v>2021</v>
      </c>
      <c r="Z24" s="2" t="s">
        <v>45</v>
      </c>
      <c r="AA24" s="2" t="s">
        <v>46</v>
      </c>
      <c r="AB24" s="2" t="s">
        <v>38</v>
      </c>
      <c r="AC24" s="2" t="s">
        <v>1999</v>
      </c>
      <c r="AD24" s="2" t="s">
        <v>2011</v>
      </c>
      <c r="AE24" s="2" t="s">
        <v>2021</v>
      </c>
      <c r="AF24" s="2" t="s">
        <v>38</v>
      </c>
      <c r="AG24" s="34">
        <v>46078</v>
      </c>
    </row>
    <row r="25" spans="1:33" ht="135" x14ac:dyDescent="0.25">
      <c r="A25" s="2" t="s">
        <v>130</v>
      </c>
      <c r="B25" s="2" t="s">
        <v>2535</v>
      </c>
      <c r="C25" s="2" t="s">
        <v>38</v>
      </c>
      <c r="D25" s="2" t="s">
        <v>38</v>
      </c>
      <c r="E25" s="2" t="s">
        <v>48</v>
      </c>
      <c r="F25" s="2" t="s">
        <v>62</v>
      </c>
      <c r="G25" s="2" t="s">
        <v>40</v>
      </c>
      <c r="H25" s="2" t="s">
        <v>2536</v>
      </c>
      <c r="I25" s="2" t="s">
        <v>2505</v>
      </c>
      <c r="J25" s="2" t="s">
        <v>2535</v>
      </c>
      <c r="K25" s="2" t="s">
        <v>50</v>
      </c>
      <c r="L25" s="2" t="s">
        <v>3070</v>
      </c>
      <c r="M25" s="2" t="s">
        <v>51</v>
      </c>
      <c r="N25" s="2" t="s">
        <v>3267</v>
      </c>
      <c r="O25" s="2" t="s">
        <v>3071</v>
      </c>
      <c r="P25" s="2" t="s">
        <v>3346</v>
      </c>
      <c r="Q25" s="2" t="s">
        <v>2070</v>
      </c>
      <c r="R25" s="2" t="s">
        <v>45</v>
      </c>
      <c r="S25" s="2" t="s">
        <v>38</v>
      </c>
      <c r="T25" s="2" t="s">
        <v>38</v>
      </c>
      <c r="U25" s="2" t="s">
        <v>2071</v>
      </c>
      <c r="V25" s="2" t="s">
        <v>38</v>
      </c>
      <c r="W25" s="2" t="s">
        <v>2070</v>
      </c>
      <c r="X25" s="2" t="s">
        <v>38</v>
      </c>
      <c r="Y25" s="2" t="s">
        <v>2021</v>
      </c>
      <c r="Z25" s="2" t="s">
        <v>45</v>
      </c>
      <c r="AA25" s="2" t="s">
        <v>46</v>
      </c>
      <c r="AB25" s="2" t="s">
        <v>38</v>
      </c>
      <c r="AC25" s="2" t="s">
        <v>1999</v>
      </c>
      <c r="AD25" s="2" t="s">
        <v>2011</v>
      </c>
      <c r="AE25" s="2" t="s">
        <v>2021</v>
      </c>
      <c r="AF25" s="2" t="s">
        <v>38</v>
      </c>
      <c r="AG25" s="34">
        <v>46078</v>
      </c>
    </row>
    <row r="26" spans="1:33" ht="330" x14ac:dyDescent="0.25">
      <c r="A26" s="2" t="s">
        <v>131</v>
      </c>
      <c r="B26" s="2" t="s">
        <v>2537</v>
      </c>
      <c r="C26" s="2" t="s">
        <v>38</v>
      </c>
      <c r="D26" s="2" t="s">
        <v>38</v>
      </c>
      <c r="E26" s="2" t="s">
        <v>48</v>
      </c>
      <c r="F26" s="2" t="s">
        <v>62</v>
      </c>
      <c r="G26" s="2" t="s">
        <v>40</v>
      </c>
      <c r="H26" s="2" t="s">
        <v>2511</v>
      </c>
      <c r="I26" s="2" t="s">
        <v>2518</v>
      </c>
      <c r="J26" s="2" t="s">
        <v>2537</v>
      </c>
      <c r="K26" s="2" t="s">
        <v>50</v>
      </c>
      <c r="L26" s="2" t="s">
        <v>3407</v>
      </c>
      <c r="M26" s="2" t="s">
        <v>89</v>
      </c>
      <c r="N26" s="2" t="s">
        <v>3415</v>
      </c>
      <c r="O26" s="2" t="s">
        <v>3408</v>
      </c>
      <c r="P26" s="2" t="s">
        <v>3409</v>
      </c>
      <c r="Q26" s="2" t="s">
        <v>2015</v>
      </c>
      <c r="R26" s="2" t="s">
        <v>45</v>
      </c>
      <c r="S26" s="2" t="s">
        <v>77</v>
      </c>
      <c r="T26" s="2" t="s">
        <v>78</v>
      </c>
      <c r="U26" s="2" t="s">
        <v>1999</v>
      </c>
      <c r="V26" s="2" t="s">
        <v>2011</v>
      </c>
      <c r="W26" s="2" t="s">
        <v>2015</v>
      </c>
      <c r="X26" s="2" t="s">
        <v>38</v>
      </c>
      <c r="Y26" s="2" t="s">
        <v>2035</v>
      </c>
      <c r="Z26" s="2" t="s">
        <v>45</v>
      </c>
      <c r="AA26" s="2" t="s">
        <v>132</v>
      </c>
      <c r="AB26" s="2" t="s">
        <v>38</v>
      </c>
      <c r="AC26" s="2" t="s">
        <v>1999</v>
      </c>
      <c r="AD26" s="2" t="s">
        <v>2000</v>
      </c>
      <c r="AE26" s="2" t="s">
        <v>2035</v>
      </c>
      <c r="AF26" s="2" t="s">
        <v>38</v>
      </c>
      <c r="AG26" s="34">
        <v>46078</v>
      </c>
    </row>
    <row r="27" spans="1:33" ht="285" x14ac:dyDescent="0.25">
      <c r="A27" s="2" t="s">
        <v>133</v>
      </c>
      <c r="B27" s="2" t="s">
        <v>2538</v>
      </c>
      <c r="C27" s="2" t="s">
        <v>37</v>
      </c>
      <c r="D27" s="2" t="s">
        <v>113</v>
      </c>
      <c r="E27" s="2" t="s">
        <v>48</v>
      </c>
      <c r="F27" s="2" t="s">
        <v>62</v>
      </c>
      <c r="G27" s="2" t="s">
        <v>40</v>
      </c>
      <c r="H27" s="2" t="s">
        <v>2521</v>
      </c>
      <c r="I27" s="2" t="s">
        <v>2522</v>
      </c>
      <c r="J27" s="2" t="s">
        <v>2538</v>
      </c>
      <c r="K27" s="2" t="s">
        <v>87</v>
      </c>
      <c r="L27" s="2" t="s">
        <v>134</v>
      </c>
      <c r="M27" s="2" t="s">
        <v>73</v>
      </c>
      <c r="N27" s="2" t="s">
        <v>135</v>
      </c>
      <c r="O27" s="2" t="s">
        <v>136</v>
      </c>
      <c r="P27" s="2" t="s">
        <v>38</v>
      </c>
      <c r="Q27" s="2" t="s">
        <v>2015</v>
      </c>
      <c r="R27" s="2" t="s">
        <v>45</v>
      </c>
      <c r="S27" s="2" t="s">
        <v>77</v>
      </c>
      <c r="T27" s="2" t="s">
        <v>78</v>
      </c>
      <c r="U27" s="2" t="s">
        <v>1999</v>
      </c>
      <c r="V27" s="2" t="s">
        <v>2011</v>
      </c>
      <c r="W27" s="2" t="s">
        <v>2015</v>
      </c>
      <c r="X27" s="2" t="s">
        <v>38</v>
      </c>
      <c r="Y27" s="2" t="s">
        <v>2106</v>
      </c>
      <c r="Z27" s="2" t="s">
        <v>45</v>
      </c>
      <c r="AA27" s="2" t="s">
        <v>38</v>
      </c>
      <c r="AB27" s="2" t="s">
        <v>38</v>
      </c>
      <c r="AC27" s="2" t="s">
        <v>2047</v>
      </c>
      <c r="AD27" s="2" t="s">
        <v>38</v>
      </c>
      <c r="AE27" s="2" t="s">
        <v>2106</v>
      </c>
      <c r="AF27" s="2" t="s">
        <v>38</v>
      </c>
      <c r="AG27" s="34">
        <v>46078</v>
      </c>
    </row>
    <row r="28" spans="1:33" ht="180" x14ac:dyDescent="0.25">
      <c r="A28" s="2" t="s">
        <v>137</v>
      </c>
      <c r="B28" s="2" t="s">
        <v>2975</v>
      </c>
      <c r="C28" s="2" t="s">
        <v>37</v>
      </c>
      <c r="D28" s="2" t="s">
        <v>38</v>
      </c>
      <c r="E28" s="2" t="s">
        <v>48</v>
      </c>
      <c r="F28" s="2" t="s">
        <v>3126</v>
      </c>
      <c r="G28" s="2" t="s">
        <v>40</v>
      </c>
      <c r="H28" s="2" t="s">
        <v>2511</v>
      </c>
      <c r="I28" s="2" t="s">
        <v>2522</v>
      </c>
      <c r="J28" s="2" t="s">
        <v>2975</v>
      </c>
      <c r="K28" s="2" t="s">
        <v>50</v>
      </c>
      <c r="L28" s="2" t="s">
        <v>3411</v>
      </c>
      <c r="M28" s="2" t="s">
        <v>89</v>
      </c>
      <c r="N28" s="2" t="s">
        <v>3173</v>
      </c>
      <c r="O28" s="2" t="s">
        <v>3174</v>
      </c>
      <c r="P28" s="2" t="s">
        <v>3212</v>
      </c>
      <c r="Q28" s="2" t="s">
        <v>2015</v>
      </c>
      <c r="R28" s="2" t="s">
        <v>45</v>
      </c>
      <c r="S28" s="2" t="s">
        <v>77</v>
      </c>
      <c r="T28" s="2" t="s">
        <v>78</v>
      </c>
      <c r="U28" s="2" t="s">
        <v>1999</v>
      </c>
      <c r="V28" s="2" t="s">
        <v>2011</v>
      </c>
      <c r="W28" s="2" t="s">
        <v>2015</v>
      </c>
      <c r="X28" s="2" t="s">
        <v>38</v>
      </c>
      <c r="Y28" s="2" t="s">
        <v>2962</v>
      </c>
      <c r="Z28" s="2" t="s">
        <v>45</v>
      </c>
      <c r="AA28" s="2" t="s">
        <v>77</v>
      </c>
      <c r="AB28" s="2" t="s">
        <v>80</v>
      </c>
      <c r="AC28" s="2" t="s">
        <v>1999</v>
      </c>
      <c r="AD28" s="2" t="s">
        <v>38</v>
      </c>
      <c r="AE28" s="2" t="s">
        <v>2962</v>
      </c>
      <c r="AF28" s="2" t="s">
        <v>38</v>
      </c>
      <c r="AG28" s="34">
        <v>46078</v>
      </c>
    </row>
    <row r="29" spans="1:33" ht="105" x14ac:dyDescent="0.25">
      <c r="A29" s="2" t="s">
        <v>138</v>
      </c>
      <c r="B29" s="2" t="s">
        <v>2539</v>
      </c>
      <c r="C29" s="2" t="s">
        <v>38</v>
      </c>
      <c r="D29" s="2" t="s">
        <v>38</v>
      </c>
      <c r="E29" s="2" t="s">
        <v>48</v>
      </c>
      <c r="F29" s="2" t="s">
        <v>62</v>
      </c>
      <c r="G29" s="2" t="s">
        <v>40</v>
      </c>
      <c r="H29" s="2" t="s">
        <v>2521</v>
      </c>
      <c r="I29" s="2" t="s">
        <v>2522</v>
      </c>
      <c r="J29" s="2" t="s">
        <v>2539</v>
      </c>
      <c r="K29" s="2" t="s">
        <v>87</v>
      </c>
      <c r="L29" s="2" t="s">
        <v>2925</v>
      </c>
      <c r="M29" s="2" t="s">
        <v>73</v>
      </c>
      <c r="N29" s="2" t="s">
        <v>140</v>
      </c>
      <c r="O29" s="2" t="s">
        <v>3286</v>
      </c>
      <c r="P29" s="2" t="s">
        <v>3290</v>
      </c>
      <c r="Q29" s="2" t="s">
        <v>2010</v>
      </c>
      <c r="R29" s="2" t="s">
        <v>45</v>
      </c>
      <c r="S29" s="2" t="s">
        <v>38</v>
      </c>
      <c r="T29" s="2" t="s">
        <v>53</v>
      </c>
      <c r="U29" s="2" t="s">
        <v>1999</v>
      </c>
      <c r="V29" s="2" t="s">
        <v>2011</v>
      </c>
      <c r="W29" s="2" t="s">
        <v>2010</v>
      </c>
      <c r="X29" s="2" t="s">
        <v>38</v>
      </c>
      <c r="Y29" s="2" t="s">
        <v>2106</v>
      </c>
      <c r="Z29" s="2" t="s">
        <v>45</v>
      </c>
      <c r="AA29" s="2" t="s">
        <v>38</v>
      </c>
      <c r="AB29" s="2" t="s">
        <v>38</v>
      </c>
      <c r="AC29" s="2" t="s">
        <v>2047</v>
      </c>
      <c r="AD29" s="2" t="s">
        <v>38</v>
      </c>
      <c r="AE29" s="2" t="s">
        <v>2106</v>
      </c>
      <c r="AF29" s="2" t="s">
        <v>38</v>
      </c>
      <c r="AG29" s="34">
        <v>46078</v>
      </c>
    </row>
    <row r="30" spans="1:33" ht="180" x14ac:dyDescent="0.25">
      <c r="A30" s="2" t="s">
        <v>141</v>
      </c>
      <c r="B30" s="2" t="s">
        <v>2976</v>
      </c>
      <c r="C30" s="2" t="s">
        <v>38</v>
      </c>
      <c r="D30" s="2" t="s">
        <v>38</v>
      </c>
      <c r="E30" s="2" t="s">
        <v>48</v>
      </c>
      <c r="F30" s="2" t="s">
        <v>62</v>
      </c>
      <c r="G30" s="2" t="s">
        <v>40</v>
      </c>
      <c r="H30" s="2" t="s">
        <v>2521</v>
      </c>
      <c r="I30" s="2" t="s">
        <v>2522</v>
      </c>
      <c r="J30" s="2" t="s">
        <v>2976</v>
      </c>
      <c r="K30" s="2" t="s">
        <v>41</v>
      </c>
      <c r="L30" s="2" t="s">
        <v>38</v>
      </c>
      <c r="M30" s="2" t="s">
        <v>38</v>
      </c>
      <c r="N30" s="2" t="s">
        <v>38</v>
      </c>
      <c r="O30" s="2" t="s">
        <v>38</v>
      </c>
      <c r="P30" s="2" t="s">
        <v>3213</v>
      </c>
      <c r="Q30" s="2" t="s">
        <v>2958</v>
      </c>
      <c r="R30" s="2" t="s">
        <v>45</v>
      </c>
      <c r="S30" s="2" t="s">
        <v>38</v>
      </c>
      <c r="T30" s="2" t="s">
        <v>80</v>
      </c>
      <c r="U30" s="2" t="s">
        <v>1999</v>
      </c>
      <c r="V30" s="2" t="s">
        <v>2011</v>
      </c>
      <c r="W30" s="2" t="s">
        <v>2958</v>
      </c>
      <c r="X30" s="2" t="s">
        <v>38</v>
      </c>
      <c r="Y30" s="2" t="s">
        <v>2106</v>
      </c>
      <c r="Z30" s="2" t="s">
        <v>45</v>
      </c>
      <c r="AA30" s="2" t="s">
        <v>38</v>
      </c>
      <c r="AB30" s="2" t="s">
        <v>38</v>
      </c>
      <c r="AC30" s="2" t="s">
        <v>2047</v>
      </c>
      <c r="AD30" s="2" t="s">
        <v>38</v>
      </c>
      <c r="AE30" s="2" t="s">
        <v>2106</v>
      </c>
      <c r="AF30" s="2" t="s">
        <v>38</v>
      </c>
      <c r="AG30" s="34">
        <v>46078</v>
      </c>
    </row>
    <row r="31" spans="1:33" ht="150" x14ac:dyDescent="0.25">
      <c r="A31" s="2" t="s">
        <v>142</v>
      </c>
      <c r="B31" s="2" t="s">
        <v>2977</v>
      </c>
      <c r="C31" s="2" t="s">
        <v>38</v>
      </c>
      <c r="D31" s="2" t="s">
        <v>38</v>
      </c>
      <c r="E31" s="2" t="s">
        <v>48</v>
      </c>
      <c r="F31" s="2" t="s">
        <v>38</v>
      </c>
      <c r="G31" s="2" t="s">
        <v>40</v>
      </c>
      <c r="H31" s="2" t="s">
        <v>2521</v>
      </c>
      <c r="I31" s="2" t="s">
        <v>67</v>
      </c>
      <c r="J31" s="2" t="s">
        <v>2977</v>
      </c>
      <c r="K31" s="2" t="s">
        <v>41</v>
      </c>
      <c r="L31" s="2" t="s">
        <v>38</v>
      </c>
      <c r="M31" s="2" t="s">
        <v>38</v>
      </c>
      <c r="N31" s="2" t="s">
        <v>38</v>
      </c>
      <c r="O31" s="2" t="s">
        <v>38</v>
      </c>
      <c r="P31" s="2" t="s">
        <v>2970</v>
      </c>
      <c r="Q31" s="2" t="s">
        <v>2962</v>
      </c>
      <c r="R31" s="2" t="s">
        <v>45</v>
      </c>
      <c r="S31" s="2" t="s">
        <v>77</v>
      </c>
      <c r="T31" s="2" t="s">
        <v>80</v>
      </c>
      <c r="U31" s="2" t="s">
        <v>1999</v>
      </c>
      <c r="V31" s="2" t="s">
        <v>38</v>
      </c>
      <c r="W31" s="2" t="s">
        <v>2962</v>
      </c>
      <c r="X31" s="2" t="s">
        <v>38</v>
      </c>
      <c r="Y31" s="2" t="s">
        <v>2106</v>
      </c>
      <c r="Z31" s="2" t="s">
        <v>45</v>
      </c>
      <c r="AA31" s="2" t="s">
        <v>38</v>
      </c>
      <c r="AB31" s="2" t="s">
        <v>38</v>
      </c>
      <c r="AC31" s="2" t="s">
        <v>2047</v>
      </c>
      <c r="AD31" s="2" t="s">
        <v>38</v>
      </c>
      <c r="AE31" s="2" t="s">
        <v>2106</v>
      </c>
      <c r="AF31" s="2" t="s">
        <v>38</v>
      </c>
      <c r="AG31" s="34">
        <v>46078</v>
      </c>
    </row>
    <row r="32" spans="1:33" ht="90" x14ac:dyDescent="0.25">
      <c r="A32" s="2" t="s">
        <v>143</v>
      </c>
      <c r="B32" s="2" t="s">
        <v>2540</v>
      </c>
      <c r="C32" s="2" t="s">
        <v>38</v>
      </c>
      <c r="D32" s="2" t="s">
        <v>38</v>
      </c>
      <c r="E32" s="2" t="s">
        <v>48</v>
      </c>
      <c r="F32" s="2" t="s">
        <v>62</v>
      </c>
      <c r="G32" s="2" t="s">
        <v>40</v>
      </c>
      <c r="H32" s="2" t="s">
        <v>2525</v>
      </c>
      <c r="I32" s="2" t="s">
        <v>2522</v>
      </c>
      <c r="J32" s="2" t="s">
        <v>2540</v>
      </c>
      <c r="K32" s="2" t="s">
        <v>87</v>
      </c>
      <c r="L32" s="2" t="s">
        <v>2926</v>
      </c>
      <c r="M32" s="2" t="s">
        <v>51</v>
      </c>
      <c r="N32" s="2" t="s">
        <v>2930</v>
      </c>
      <c r="O32" s="2" t="s">
        <v>3269</v>
      </c>
      <c r="P32" s="2" t="s">
        <v>3290</v>
      </c>
      <c r="Q32" s="2" t="s">
        <v>2010</v>
      </c>
      <c r="R32" s="2" t="s">
        <v>45</v>
      </c>
      <c r="S32" s="2" t="s">
        <v>38</v>
      </c>
      <c r="T32" s="2" t="s">
        <v>53</v>
      </c>
      <c r="U32" s="2" t="s">
        <v>1999</v>
      </c>
      <c r="V32" s="2" t="s">
        <v>2011</v>
      </c>
      <c r="W32" s="2" t="s">
        <v>2010</v>
      </c>
      <c r="X32" s="2" t="s">
        <v>38</v>
      </c>
      <c r="Y32" s="2" t="s">
        <v>2070</v>
      </c>
      <c r="Z32" s="2" t="s">
        <v>45</v>
      </c>
      <c r="AA32" s="2" t="s">
        <v>38</v>
      </c>
      <c r="AB32" s="2" t="s">
        <v>38</v>
      </c>
      <c r="AC32" s="2" t="s">
        <v>2071</v>
      </c>
      <c r="AD32" s="2" t="s">
        <v>38</v>
      </c>
      <c r="AE32" s="2" t="s">
        <v>2070</v>
      </c>
      <c r="AF32" s="2" t="s">
        <v>38</v>
      </c>
      <c r="AG32" s="34">
        <v>46078</v>
      </c>
    </row>
    <row r="33" spans="1:33" ht="90" x14ac:dyDescent="0.25">
      <c r="A33" s="2" t="s">
        <v>144</v>
      </c>
      <c r="B33" s="2" t="s">
        <v>2541</v>
      </c>
      <c r="C33" s="2" t="s">
        <v>38</v>
      </c>
      <c r="D33" s="2" t="s">
        <v>38</v>
      </c>
      <c r="E33" s="2" t="s">
        <v>48</v>
      </c>
      <c r="F33" s="2" t="s">
        <v>38</v>
      </c>
      <c r="G33" s="2" t="s">
        <v>40</v>
      </c>
      <c r="H33" s="2" t="s">
        <v>2542</v>
      </c>
      <c r="I33" s="2" t="s">
        <v>67</v>
      </c>
      <c r="J33" s="2" t="s">
        <v>2541</v>
      </c>
      <c r="K33" s="2" t="s">
        <v>87</v>
      </c>
      <c r="L33" s="2" t="s">
        <v>145</v>
      </c>
      <c r="M33" s="2" t="s">
        <v>73</v>
      </c>
      <c r="N33" s="2" t="s">
        <v>146</v>
      </c>
      <c r="O33" s="2" t="s">
        <v>38</v>
      </c>
      <c r="P33" s="2" t="s">
        <v>38</v>
      </c>
      <c r="Q33" s="2" t="s">
        <v>2070</v>
      </c>
      <c r="R33" s="2" t="s">
        <v>45</v>
      </c>
      <c r="S33" s="2" t="s">
        <v>38</v>
      </c>
      <c r="T33" s="2" t="s">
        <v>38</v>
      </c>
      <c r="U33" s="2" t="s">
        <v>2071</v>
      </c>
      <c r="V33" s="2" t="s">
        <v>38</v>
      </c>
      <c r="W33" s="2" t="s">
        <v>2070</v>
      </c>
      <c r="X33" s="2" t="s">
        <v>38</v>
      </c>
      <c r="Y33" s="2" t="s">
        <v>2106</v>
      </c>
      <c r="Z33" s="2" t="s">
        <v>45</v>
      </c>
      <c r="AA33" s="2" t="s">
        <v>38</v>
      </c>
      <c r="AB33" s="2" t="s">
        <v>38</v>
      </c>
      <c r="AC33" s="2" t="s">
        <v>2047</v>
      </c>
      <c r="AD33" s="2" t="s">
        <v>38</v>
      </c>
      <c r="AE33" s="2" t="s">
        <v>2106</v>
      </c>
      <c r="AF33" s="2" t="s">
        <v>38</v>
      </c>
      <c r="AG33" s="34">
        <v>46078</v>
      </c>
    </row>
    <row r="34" spans="1:33" ht="240" x14ac:dyDescent="0.25">
      <c r="A34" s="2" t="s">
        <v>147</v>
      </c>
      <c r="B34" s="2" t="s">
        <v>2543</v>
      </c>
      <c r="C34" s="35" t="s">
        <v>46</v>
      </c>
      <c r="D34" s="35" t="s">
        <v>86</v>
      </c>
      <c r="E34" s="2" t="s">
        <v>48</v>
      </c>
      <c r="F34" s="2" t="s">
        <v>38</v>
      </c>
      <c r="G34" s="2" t="s">
        <v>40</v>
      </c>
      <c r="H34" s="2" t="s">
        <v>2511</v>
      </c>
      <c r="I34" s="2" t="s">
        <v>2544</v>
      </c>
      <c r="J34" s="2" t="s">
        <v>2543</v>
      </c>
      <c r="K34" s="2" t="s">
        <v>41</v>
      </c>
      <c r="L34" s="35" t="s">
        <v>148</v>
      </c>
      <c r="M34" s="2" t="s">
        <v>89</v>
      </c>
      <c r="N34" s="35" t="s">
        <v>149</v>
      </c>
      <c r="O34" s="35" t="s">
        <v>150</v>
      </c>
      <c r="P34" s="35" t="s">
        <v>151</v>
      </c>
      <c r="Q34" s="35" t="s">
        <v>2063</v>
      </c>
      <c r="R34" s="35" t="s">
        <v>45</v>
      </c>
      <c r="S34" s="35" t="s">
        <v>46</v>
      </c>
      <c r="T34" s="35" t="s">
        <v>38</v>
      </c>
      <c r="U34" s="35" t="s">
        <v>1999</v>
      </c>
      <c r="V34" s="35" t="s">
        <v>2006</v>
      </c>
      <c r="W34" s="35" t="s">
        <v>2063</v>
      </c>
      <c r="X34" s="35" t="s">
        <v>38</v>
      </c>
      <c r="Y34" s="35" t="s">
        <v>1997</v>
      </c>
      <c r="Z34" s="35" t="s">
        <v>45</v>
      </c>
      <c r="AA34" s="35" t="s">
        <v>86</v>
      </c>
      <c r="AB34" s="35" t="s">
        <v>38</v>
      </c>
      <c r="AC34" s="35" t="s">
        <v>1999</v>
      </c>
      <c r="AD34" s="35" t="s">
        <v>2000</v>
      </c>
      <c r="AE34" s="35" t="s">
        <v>1997</v>
      </c>
      <c r="AF34" s="35" t="s">
        <v>38</v>
      </c>
      <c r="AG34" s="34">
        <v>46078</v>
      </c>
    </row>
    <row r="35" spans="1:33" ht="210" x14ac:dyDescent="0.25">
      <c r="A35" s="2" t="s">
        <v>152</v>
      </c>
      <c r="B35" s="2" t="s">
        <v>2545</v>
      </c>
      <c r="C35" s="2" t="s">
        <v>86</v>
      </c>
      <c r="D35" s="2" t="s">
        <v>120</v>
      </c>
      <c r="E35" s="2" t="s">
        <v>48</v>
      </c>
      <c r="F35" s="2" t="s">
        <v>62</v>
      </c>
      <c r="G35" s="2" t="s">
        <v>40</v>
      </c>
      <c r="H35" s="2" t="s">
        <v>2511</v>
      </c>
      <c r="I35" s="2" t="s">
        <v>2546</v>
      </c>
      <c r="J35" s="2" t="s">
        <v>2545</v>
      </c>
      <c r="K35" s="2" t="s">
        <v>87</v>
      </c>
      <c r="L35" s="2" t="s">
        <v>153</v>
      </c>
      <c r="M35" s="2" t="s">
        <v>89</v>
      </c>
      <c r="N35" s="2" t="s">
        <v>154</v>
      </c>
      <c r="O35" s="2" t="s">
        <v>155</v>
      </c>
      <c r="P35" s="2" t="s">
        <v>156</v>
      </c>
      <c r="Q35" s="2" t="s">
        <v>2018</v>
      </c>
      <c r="R35" s="2" t="s">
        <v>45</v>
      </c>
      <c r="S35" s="2" t="s">
        <v>132</v>
      </c>
      <c r="T35" s="2" t="s">
        <v>38</v>
      </c>
      <c r="U35" s="2" t="s">
        <v>1999</v>
      </c>
      <c r="V35" s="2" t="s">
        <v>2000</v>
      </c>
      <c r="W35" s="2" t="s">
        <v>2018</v>
      </c>
      <c r="X35" s="2" t="s">
        <v>38</v>
      </c>
      <c r="Y35" s="2" t="s">
        <v>1997</v>
      </c>
      <c r="Z35" s="2" t="s">
        <v>45</v>
      </c>
      <c r="AA35" s="2" t="s">
        <v>86</v>
      </c>
      <c r="AB35" s="2" t="s">
        <v>38</v>
      </c>
      <c r="AC35" s="2" t="s">
        <v>1999</v>
      </c>
      <c r="AD35" s="2" t="s">
        <v>2000</v>
      </c>
      <c r="AE35" s="2" t="s">
        <v>1997</v>
      </c>
      <c r="AF35" s="2" t="s">
        <v>38</v>
      </c>
      <c r="AG35" s="34">
        <v>46078</v>
      </c>
    </row>
    <row r="36" spans="1:33" ht="165" x14ac:dyDescent="0.25">
      <c r="A36" s="2" t="s">
        <v>157</v>
      </c>
      <c r="B36" s="2" t="s">
        <v>2547</v>
      </c>
      <c r="C36" s="2" t="s">
        <v>86</v>
      </c>
      <c r="D36" s="2" t="s">
        <v>120</v>
      </c>
      <c r="E36" s="2" t="s">
        <v>48</v>
      </c>
      <c r="F36" s="2" t="s">
        <v>62</v>
      </c>
      <c r="G36" s="2" t="s">
        <v>40</v>
      </c>
      <c r="H36" s="2" t="s">
        <v>2511</v>
      </c>
      <c r="I36" s="2" t="s">
        <v>2546</v>
      </c>
      <c r="J36" s="2" t="s">
        <v>2547</v>
      </c>
      <c r="K36" s="2" t="s">
        <v>50</v>
      </c>
      <c r="L36" s="2" t="s">
        <v>158</v>
      </c>
      <c r="M36" s="2" t="s">
        <v>89</v>
      </c>
      <c r="N36" s="2" t="s">
        <v>159</v>
      </c>
      <c r="O36" s="2" t="s">
        <v>160</v>
      </c>
      <c r="P36" s="2" t="s">
        <v>2481</v>
      </c>
      <c r="Q36" s="2" t="s">
        <v>2018</v>
      </c>
      <c r="R36" s="2" t="s">
        <v>45</v>
      </c>
      <c r="S36" s="2" t="s">
        <v>132</v>
      </c>
      <c r="T36" s="2" t="s">
        <v>38</v>
      </c>
      <c r="U36" s="2" t="s">
        <v>1999</v>
      </c>
      <c r="V36" s="2" t="s">
        <v>2000</v>
      </c>
      <c r="W36" s="2" t="s">
        <v>2018</v>
      </c>
      <c r="X36" s="2" t="s">
        <v>38</v>
      </c>
      <c r="Y36" s="2" t="s">
        <v>2035</v>
      </c>
      <c r="Z36" s="2" t="s">
        <v>45</v>
      </c>
      <c r="AA36" s="2" t="s">
        <v>132</v>
      </c>
      <c r="AB36" s="2" t="s">
        <v>38</v>
      </c>
      <c r="AC36" s="2" t="s">
        <v>1999</v>
      </c>
      <c r="AD36" s="2" t="s">
        <v>2000</v>
      </c>
      <c r="AE36" s="2" t="s">
        <v>2035</v>
      </c>
      <c r="AF36" s="2" t="s">
        <v>38</v>
      </c>
      <c r="AG36" s="34">
        <v>46078</v>
      </c>
    </row>
    <row r="37" spans="1:33" ht="45" x14ac:dyDescent="0.25">
      <c r="A37" s="2" t="s">
        <v>161</v>
      </c>
      <c r="B37" s="2" t="s">
        <v>2549</v>
      </c>
      <c r="C37" s="2" t="s">
        <v>38</v>
      </c>
      <c r="D37" s="2" t="s">
        <v>38</v>
      </c>
      <c r="E37" s="2" t="s">
        <v>48</v>
      </c>
      <c r="F37" s="2" t="s">
        <v>38</v>
      </c>
      <c r="G37" s="2" t="s">
        <v>40</v>
      </c>
      <c r="H37" s="2" t="s">
        <v>2903</v>
      </c>
      <c r="I37" s="2" t="s">
        <v>2904</v>
      </c>
      <c r="J37" s="2" t="s">
        <v>2905</v>
      </c>
      <c r="K37" s="2" t="s">
        <v>41</v>
      </c>
      <c r="L37" s="2" t="s">
        <v>38</v>
      </c>
      <c r="M37" s="2" t="s">
        <v>38</v>
      </c>
      <c r="N37" s="2" t="s">
        <v>38</v>
      </c>
      <c r="O37" s="2" t="s">
        <v>38</v>
      </c>
      <c r="P37" s="2" t="s">
        <v>2902</v>
      </c>
      <c r="Q37" s="2" t="s">
        <v>2215</v>
      </c>
      <c r="R37" s="2" t="s">
        <v>45</v>
      </c>
      <c r="S37" s="2" t="s">
        <v>38</v>
      </c>
      <c r="T37" s="2" t="s">
        <v>60</v>
      </c>
      <c r="U37" s="2" t="s">
        <v>2118</v>
      </c>
      <c r="V37" s="2" t="s">
        <v>2216</v>
      </c>
      <c r="W37" s="2" t="s">
        <v>2215</v>
      </c>
      <c r="X37" s="2" t="s">
        <v>38</v>
      </c>
      <c r="Y37" s="2" t="s">
        <v>2495</v>
      </c>
      <c r="Z37" s="2" t="s">
        <v>45</v>
      </c>
      <c r="AA37" s="2" t="s">
        <v>38</v>
      </c>
      <c r="AB37" s="2" t="s">
        <v>60</v>
      </c>
      <c r="AC37" s="2" t="s">
        <v>38</v>
      </c>
      <c r="AD37" s="2" t="s">
        <v>38</v>
      </c>
      <c r="AE37" s="2" t="s">
        <v>38</v>
      </c>
      <c r="AF37" s="2" t="s">
        <v>38</v>
      </c>
      <c r="AG37" s="34">
        <v>46078</v>
      </c>
    </row>
    <row r="38" spans="1:33" ht="135" x14ac:dyDescent="0.25">
      <c r="A38" s="2" t="s">
        <v>162</v>
      </c>
      <c r="B38" s="2" t="s">
        <v>2550</v>
      </c>
      <c r="C38" s="2" t="s">
        <v>38</v>
      </c>
      <c r="D38" s="2" t="s">
        <v>38</v>
      </c>
      <c r="E38" s="2" t="s">
        <v>163</v>
      </c>
      <c r="F38" s="2" t="s">
        <v>164</v>
      </c>
      <c r="G38" s="2" t="s">
        <v>40</v>
      </c>
      <c r="H38" s="2" t="s">
        <v>2551</v>
      </c>
      <c r="I38" s="2" t="s">
        <v>2552</v>
      </c>
      <c r="J38" s="2" t="s">
        <v>2553</v>
      </c>
      <c r="K38" s="2" t="s">
        <v>50</v>
      </c>
      <c r="L38" s="2" t="s">
        <v>165</v>
      </c>
      <c r="M38" s="2" t="s">
        <v>73</v>
      </c>
      <c r="N38" s="2" t="s">
        <v>166</v>
      </c>
      <c r="O38" s="2" t="s">
        <v>3336</v>
      </c>
      <c r="P38" s="2" t="s">
        <v>3232</v>
      </c>
      <c r="Q38" s="2" t="s">
        <v>2200</v>
      </c>
      <c r="R38" s="2" t="s">
        <v>59</v>
      </c>
      <c r="S38" s="2" t="s">
        <v>38</v>
      </c>
      <c r="T38" s="2" t="s">
        <v>60</v>
      </c>
      <c r="U38" s="2" t="s">
        <v>2090</v>
      </c>
      <c r="V38" s="2" t="s">
        <v>2200</v>
      </c>
      <c r="W38" s="2" t="s">
        <v>38</v>
      </c>
      <c r="X38" s="2" t="s">
        <v>38</v>
      </c>
      <c r="Y38" s="2" t="s">
        <v>2063</v>
      </c>
      <c r="Z38" s="2" t="s">
        <v>45</v>
      </c>
      <c r="AA38" s="2" t="s">
        <v>46</v>
      </c>
      <c r="AB38" s="2" t="s">
        <v>38</v>
      </c>
      <c r="AC38" s="2" t="s">
        <v>1999</v>
      </c>
      <c r="AD38" s="2" t="s">
        <v>2006</v>
      </c>
      <c r="AE38" s="2" t="s">
        <v>2063</v>
      </c>
      <c r="AF38" s="2" t="s">
        <v>38</v>
      </c>
      <c r="AG38" s="34">
        <v>46078</v>
      </c>
    </row>
    <row r="39" spans="1:33" ht="90" x14ac:dyDescent="0.25">
      <c r="A39" s="2" t="s">
        <v>167</v>
      </c>
      <c r="B39" s="2" t="s">
        <v>2554</v>
      </c>
      <c r="C39" s="2" t="s">
        <v>38</v>
      </c>
      <c r="D39" s="2" t="s">
        <v>38</v>
      </c>
      <c r="E39" s="2" t="s">
        <v>163</v>
      </c>
      <c r="F39" s="2" t="s">
        <v>38</v>
      </c>
      <c r="G39" s="2" t="s">
        <v>40</v>
      </c>
      <c r="H39" s="2" t="s">
        <v>2555</v>
      </c>
      <c r="I39" s="2" t="s">
        <v>2556</v>
      </c>
      <c r="J39" s="2" t="s">
        <v>2557</v>
      </c>
      <c r="K39" s="2" t="s">
        <v>87</v>
      </c>
      <c r="L39" s="2" t="s">
        <v>168</v>
      </c>
      <c r="M39" s="2" t="s">
        <v>73</v>
      </c>
      <c r="N39" s="2" t="s">
        <v>169</v>
      </c>
      <c r="O39" s="2" t="s">
        <v>38</v>
      </c>
      <c r="P39" s="2" t="s">
        <v>38</v>
      </c>
      <c r="Q39" s="2" t="s">
        <v>2129</v>
      </c>
      <c r="R39" s="2" t="s">
        <v>59</v>
      </c>
      <c r="S39" s="2" t="s">
        <v>38</v>
      </c>
      <c r="T39" s="2" t="s">
        <v>60</v>
      </c>
      <c r="U39" s="2" t="s">
        <v>2128</v>
      </c>
      <c r="V39" s="2" t="s">
        <v>2129</v>
      </c>
      <c r="W39" s="2" t="s">
        <v>38</v>
      </c>
      <c r="X39" s="2" t="s">
        <v>38</v>
      </c>
      <c r="Y39" s="2" t="s">
        <v>2070</v>
      </c>
      <c r="Z39" s="2" t="s">
        <v>45</v>
      </c>
      <c r="AA39" s="2" t="s">
        <v>38</v>
      </c>
      <c r="AB39" s="2" t="s">
        <v>38</v>
      </c>
      <c r="AC39" s="2" t="s">
        <v>2071</v>
      </c>
      <c r="AD39" s="2" t="s">
        <v>38</v>
      </c>
      <c r="AE39" s="2" t="s">
        <v>2070</v>
      </c>
      <c r="AF39" s="2" t="s">
        <v>38</v>
      </c>
      <c r="AG39" s="34">
        <v>46078</v>
      </c>
    </row>
    <row r="40" spans="1:33" ht="105" x14ac:dyDescent="0.25">
      <c r="A40" s="2" t="s">
        <v>170</v>
      </c>
      <c r="B40" s="2" t="s">
        <v>2558</v>
      </c>
      <c r="C40" s="2" t="s">
        <v>86</v>
      </c>
      <c r="D40" s="2" t="s">
        <v>95</v>
      </c>
      <c r="E40" s="2" t="s">
        <v>163</v>
      </c>
      <c r="F40" s="2" t="s">
        <v>164</v>
      </c>
      <c r="G40" s="2" t="s">
        <v>40</v>
      </c>
      <c r="H40" s="2" t="s">
        <v>2559</v>
      </c>
      <c r="I40" s="2" t="s">
        <v>2560</v>
      </c>
      <c r="J40" s="2" t="s">
        <v>2561</v>
      </c>
      <c r="K40" s="2" t="s">
        <v>50</v>
      </c>
      <c r="L40" s="2" t="s">
        <v>171</v>
      </c>
      <c r="M40" s="2" t="s">
        <v>73</v>
      </c>
      <c r="N40" s="2" t="s">
        <v>172</v>
      </c>
      <c r="O40" s="2" t="s">
        <v>3233</v>
      </c>
      <c r="P40" s="2" t="s">
        <v>3332</v>
      </c>
      <c r="Q40" s="2" t="s">
        <v>2018</v>
      </c>
      <c r="R40" s="2" t="s">
        <v>45</v>
      </c>
      <c r="S40" s="2" t="s">
        <v>132</v>
      </c>
      <c r="T40" s="2" t="s">
        <v>38</v>
      </c>
      <c r="U40" s="2" t="s">
        <v>1999</v>
      </c>
      <c r="V40" s="2" t="s">
        <v>2000</v>
      </c>
      <c r="W40" s="2" t="s">
        <v>2018</v>
      </c>
      <c r="X40" s="2" t="s">
        <v>38</v>
      </c>
      <c r="Y40" s="2" t="s">
        <v>2258</v>
      </c>
      <c r="Z40" s="2" t="s">
        <v>59</v>
      </c>
      <c r="AA40" s="2" t="s">
        <v>38</v>
      </c>
      <c r="AB40" s="2" t="s">
        <v>60</v>
      </c>
      <c r="AC40" s="2" t="s">
        <v>2259</v>
      </c>
      <c r="AD40" s="2" t="s">
        <v>2258</v>
      </c>
      <c r="AE40" s="2" t="s">
        <v>38</v>
      </c>
      <c r="AF40" s="2" t="s">
        <v>38</v>
      </c>
      <c r="AG40" s="34">
        <v>46078</v>
      </c>
    </row>
    <row r="41" spans="1:33" ht="150" x14ac:dyDescent="0.25">
      <c r="A41" s="2" t="s">
        <v>173</v>
      </c>
      <c r="B41" s="2" t="s">
        <v>2562</v>
      </c>
      <c r="C41" s="2" t="s">
        <v>38</v>
      </c>
      <c r="D41" s="2" t="s">
        <v>38</v>
      </c>
      <c r="E41" s="2" t="s">
        <v>163</v>
      </c>
      <c r="F41" s="2" t="s">
        <v>164</v>
      </c>
      <c r="G41" s="2" t="s">
        <v>40</v>
      </c>
      <c r="H41" s="2" t="s">
        <v>2563</v>
      </c>
      <c r="I41" s="2" t="s">
        <v>2564</v>
      </c>
      <c r="J41" s="2" t="s">
        <v>2553</v>
      </c>
      <c r="K41" s="2" t="s">
        <v>50</v>
      </c>
      <c r="L41" s="2" t="s">
        <v>174</v>
      </c>
      <c r="M41" s="2" t="s">
        <v>89</v>
      </c>
      <c r="N41" s="2" t="s">
        <v>175</v>
      </c>
      <c r="O41" s="2" t="s">
        <v>3335</v>
      </c>
      <c r="P41" s="2" t="s">
        <v>3334</v>
      </c>
      <c r="Q41" s="2" t="s">
        <v>2119</v>
      </c>
      <c r="R41" s="2" t="s">
        <v>59</v>
      </c>
      <c r="S41" s="2" t="s">
        <v>38</v>
      </c>
      <c r="T41" s="2" t="s">
        <v>60</v>
      </c>
      <c r="U41" s="2" t="s">
        <v>2118</v>
      </c>
      <c r="V41" s="2" t="s">
        <v>2119</v>
      </c>
      <c r="W41" s="2" t="s">
        <v>38</v>
      </c>
      <c r="X41" s="2" t="s">
        <v>38</v>
      </c>
      <c r="Y41" s="2" t="s">
        <v>2063</v>
      </c>
      <c r="Z41" s="2" t="s">
        <v>45</v>
      </c>
      <c r="AA41" s="2" t="s">
        <v>46</v>
      </c>
      <c r="AB41" s="2" t="s">
        <v>38</v>
      </c>
      <c r="AC41" s="2" t="s">
        <v>1999</v>
      </c>
      <c r="AD41" s="2" t="s">
        <v>2006</v>
      </c>
      <c r="AE41" s="2" t="s">
        <v>2063</v>
      </c>
      <c r="AF41" s="2" t="s">
        <v>38</v>
      </c>
      <c r="AG41" s="34">
        <v>46078</v>
      </c>
    </row>
    <row r="42" spans="1:33" ht="180" x14ac:dyDescent="0.25">
      <c r="A42" s="2" t="s">
        <v>176</v>
      </c>
      <c r="B42" s="2" t="s">
        <v>2978</v>
      </c>
      <c r="C42" s="2" t="s">
        <v>38</v>
      </c>
      <c r="D42" s="2" t="s">
        <v>38</v>
      </c>
      <c r="E42" s="2" t="s">
        <v>163</v>
      </c>
      <c r="F42" s="2" t="s">
        <v>3126</v>
      </c>
      <c r="G42" s="2" t="s">
        <v>40</v>
      </c>
      <c r="H42" s="2" t="s">
        <v>2563</v>
      </c>
      <c r="I42" s="2" t="s">
        <v>2906</v>
      </c>
      <c r="J42" s="2" t="s">
        <v>2979</v>
      </c>
      <c r="K42" s="2" t="s">
        <v>50</v>
      </c>
      <c r="L42" s="2" t="s">
        <v>3195</v>
      </c>
      <c r="M42" s="2" t="s">
        <v>73</v>
      </c>
      <c r="N42" s="2" t="s">
        <v>3123</v>
      </c>
      <c r="O42" s="2" t="s">
        <v>3127</v>
      </c>
      <c r="P42" s="2" t="s">
        <v>3210</v>
      </c>
      <c r="Q42" s="2" t="s">
        <v>2265</v>
      </c>
      <c r="R42" s="2" t="s">
        <v>59</v>
      </c>
      <c r="S42" s="2" t="s">
        <v>38</v>
      </c>
      <c r="T42" s="2" t="s">
        <v>60</v>
      </c>
      <c r="U42" s="2" t="s">
        <v>2118</v>
      </c>
      <c r="V42" s="2" t="s">
        <v>2265</v>
      </c>
      <c r="W42" s="2" t="s">
        <v>38</v>
      </c>
      <c r="X42" s="2" t="s">
        <v>38</v>
      </c>
      <c r="Y42" s="2" t="s">
        <v>2962</v>
      </c>
      <c r="Z42" s="2" t="s">
        <v>45</v>
      </c>
      <c r="AA42" s="2" t="s">
        <v>77</v>
      </c>
      <c r="AB42" s="2" t="s">
        <v>80</v>
      </c>
      <c r="AC42" s="2" t="s">
        <v>1999</v>
      </c>
      <c r="AD42" s="2" t="s">
        <v>38</v>
      </c>
      <c r="AE42" s="2" t="s">
        <v>2962</v>
      </c>
      <c r="AF42" s="2" t="s">
        <v>38</v>
      </c>
      <c r="AG42" s="34">
        <v>46078</v>
      </c>
    </row>
    <row r="43" spans="1:33" ht="180" x14ac:dyDescent="0.25">
      <c r="A43" s="2" t="s">
        <v>177</v>
      </c>
      <c r="B43" s="2" t="s">
        <v>2980</v>
      </c>
      <c r="C43" s="2" t="s">
        <v>38</v>
      </c>
      <c r="D43" s="2" t="s">
        <v>38</v>
      </c>
      <c r="E43" s="2" t="s">
        <v>163</v>
      </c>
      <c r="F43" s="2" t="s">
        <v>3126</v>
      </c>
      <c r="G43" s="2" t="s">
        <v>40</v>
      </c>
      <c r="H43" s="2" t="s">
        <v>2981</v>
      </c>
      <c r="I43" s="2" t="s">
        <v>2597</v>
      </c>
      <c r="J43" s="2" t="s">
        <v>2979</v>
      </c>
      <c r="K43" s="2" t="s">
        <v>50</v>
      </c>
      <c r="L43" s="2" t="s">
        <v>3128</v>
      </c>
      <c r="M43" s="2" t="s">
        <v>73</v>
      </c>
      <c r="N43" s="2" t="s">
        <v>3119</v>
      </c>
      <c r="O43" s="2" t="s">
        <v>3129</v>
      </c>
      <c r="P43" s="2" t="s">
        <v>3210</v>
      </c>
      <c r="Q43" s="2" t="s">
        <v>2258</v>
      </c>
      <c r="R43" s="2" t="s">
        <v>59</v>
      </c>
      <c r="S43" s="2" t="s">
        <v>38</v>
      </c>
      <c r="T43" s="2" t="s">
        <v>60</v>
      </c>
      <c r="U43" s="2" t="s">
        <v>2259</v>
      </c>
      <c r="V43" s="2" t="s">
        <v>2258</v>
      </c>
      <c r="W43" s="2" t="s">
        <v>38</v>
      </c>
      <c r="X43" s="2" t="s">
        <v>38</v>
      </c>
      <c r="Y43" s="2" t="s">
        <v>2962</v>
      </c>
      <c r="Z43" s="2" t="s">
        <v>45</v>
      </c>
      <c r="AA43" s="2" t="s">
        <v>77</v>
      </c>
      <c r="AB43" s="2" t="s">
        <v>80</v>
      </c>
      <c r="AC43" s="2" t="s">
        <v>1999</v>
      </c>
      <c r="AD43" s="2" t="s">
        <v>38</v>
      </c>
      <c r="AE43" s="2" t="s">
        <v>2962</v>
      </c>
      <c r="AF43" s="2" t="s">
        <v>38</v>
      </c>
      <c r="AG43" s="34">
        <v>46078</v>
      </c>
    </row>
    <row r="44" spans="1:33" ht="240" x14ac:dyDescent="0.25">
      <c r="A44" s="2" t="s">
        <v>178</v>
      </c>
      <c r="B44" s="2" t="s">
        <v>2982</v>
      </c>
      <c r="C44" s="2" t="s">
        <v>38</v>
      </c>
      <c r="D44" s="2" t="s">
        <v>38</v>
      </c>
      <c r="E44" s="2" t="s">
        <v>179</v>
      </c>
      <c r="F44" s="2" t="s">
        <v>38</v>
      </c>
      <c r="G44" s="2" t="s">
        <v>40</v>
      </c>
      <c r="H44" s="2" t="s">
        <v>2644</v>
      </c>
      <c r="I44" s="2" t="s">
        <v>67</v>
      </c>
      <c r="J44" s="2" t="s">
        <v>2979</v>
      </c>
      <c r="K44" s="2" t="s">
        <v>41</v>
      </c>
      <c r="L44" s="2" t="s">
        <v>38</v>
      </c>
      <c r="M44" s="2" t="s">
        <v>38</v>
      </c>
      <c r="N44" s="2" t="s">
        <v>38</v>
      </c>
      <c r="O44" s="2" t="s">
        <v>38</v>
      </c>
      <c r="P44" s="2" t="s">
        <v>2482</v>
      </c>
      <c r="Q44" s="2" t="s">
        <v>2496</v>
      </c>
      <c r="R44" s="2" t="s">
        <v>180</v>
      </c>
      <c r="S44" s="2" t="s">
        <v>38</v>
      </c>
      <c r="T44" s="2" t="s">
        <v>60</v>
      </c>
      <c r="U44" s="2" t="s">
        <v>38</v>
      </c>
      <c r="V44" s="2" t="s">
        <v>38</v>
      </c>
      <c r="W44" s="2" t="s">
        <v>38</v>
      </c>
      <c r="X44" s="2" t="s">
        <v>38</v>
      </c>
      <c r="Y44" s="2" t="s">
        <v>2962</v>
      </c>
      <c r="Z44" s="2" t="s">
        <v>45</v>
      </c>
      <c r="AA44" s="2" t="s">
        <v>77</v>
      </c>
      <c r="AB44" s="2" t="s">
        <v>80</v>
      </c>
      <c r="AC44" s="2" t="s">
        <v>1999</v>
      </c>
      <c r="AD44" s="2" t="s">
        <v>38</v>
      </c>
      <c r="AE44" s="2" t="s">
        <v>2962</v>
      </c>
      <c r="AF44" s="2" t="s">
        <v>38</v>
      </c>
      <c r="AG44" s="34">
        <v>46078</v>
      </c>
    </row>
    <row r="45" spans="1:33" ht="45" x14ac:dyDescent="0.25">
      <c r="A45" s="2" t="s">
        <v>181</v>
      </c>
      <c r="B45" s="2" t="s">
        <v>2565</v>
      </c>
      <c r="C45" s="2" t="s">
        <v>38</v>
      </c>
      <c r="D45" s="2" t="s">
        <v>38</v>
      </c>
      <c r="E45" s="2" t="s">
        <v>163</v>
      </c>
      <c r="F45" s="2" t="s">
        <v>38</v>
      </c>
      <c r="G45" s="2" t="s">
        <v>40</v>
      </c>
      <c r="H45" s="2" t="s">
        <v>2566</v>
      </c>
      <c r="I45" s="2" t="s">
        <v>2567</v>
      </c>
      <c r="J45" s="2" t="s">
        <v>2568</v>
      </c>
      <c r="K45" s="2" t="s">
        <v>41</v>
      </c>
      <c r="L45" s="2" t="s">
        <v>38</v>
      </c>
      <c r="M45" s="2" t="s">
        <v>38</v>
      </c>
      <c r="N45" s="2" t="s">
        <v>38</v>
      </c>
      <c r="O45" s="2" t="s">
        <v>38</v>
      </c>
      <c r="P45" s="2" t="s">
        <v>84</v>
      </c>
      <c r="Q45" s="2" t="s">
        <v>2030</v>
      </c>
      <c r="R45" s="2" t="s">
        <v>45</v>
      </c>
      <c r="S45" s="2" t="s">
        <v>46</v>
      </c>
      <c r="T45" s="2" t="s">
        <v>38</v>
      </c>
      <c r="U45" s="2" t="s">
        <v>1999</v>
      </c>
      <c r="V45" s="2" t="s">
        <v>2011</v>
      </c>
      <c r="W45" s="2" t="s">
        <v>2030</v>
      </c>
      <c r="X45" s="2" t="s">
        <v>38</v>
      </c>
      <c r="Y45" s="2" t="s">
        <v>2089</v>
      </c>
      <c r="Z45" s="2" t="s">
        <v>59</v>
      </c>
      <c r="AA45" s="2" t="s">
        <v>38</v>
      </c>
      <c r="AB45" s="2" t="s">
        <v>60</v>
      </c>
      <c r="AC45" s="2" t="s">
        <v>2090</v>
      </c>
      <c r="AD45" s="2" t="s">
        <v>2089</v>
      </c>
      <c r="AE45" s="2" t="s">
        <v>38</v>
      </c>
      <c r="AF45" s="2" t="s">
        <v>38</v>
      </c>
      <c r="AG45" s="34">
        <v>46078</v>
      </c>
    </row>
    <row r="46" spans="1:33" ht="240" x14ac:dyDescent="0.25">
      <c r="A46" s="2" t="s">
        <v>182</v>
      </c>
      <c r="B46" s="2" t="s">
        <v>2569</v>
      </c>
      <c r="C46" s="2" t="s">
        <v>38</v>
      </c>
      <c r="D46" s="2" t="s">
        <v>38</v>
      </c>
      <c r="E46" s="2" t="s">
        <v>179</v>
      </c>
      <c r="F46" s="2" t="s">
        <v>62</v>
      </c>
      <c r="G46" s="2" t="s">
        <v>40</v>
      </c>
      <c r="H46" s="2" t="s">
        <v>2570</v>
      </c>
      <c r="I46" s="2" t="s">
        <v>67</v>
      </c>
      <c r="J46" s="2" t="s">
        <v>2557</v>
      </c>
      <c r="K46" s="2" t="s">
        <v>50</v>
      </c>
      <c r="L46" s="2" t="s">
        <v>183</v>
      </c>
      <c r="M46" s="2" t="s">
        <v>51</v>
      </c>
      <c r="N46" s="2" t="s">
        <v>3227</v>
      </c>
      <c r="O46" s="2" t="s">
        <v>3347</v>
      </c>
      <c r="P46" s="2" t="s">
        <v>3229</v>
      </c>
      <c r="Q46" s="2" t="s">
        <v>2252</v>
      </c>
      <c r="R46" s="2" t="s">
        <v>180</v>
      </c>
      <c r="S46" s="2" t="s">
        <v>38</v>
      </c>
      <c r="T46" s="2" t="s">
        <v>60</v>
      </c>
      <c r="U46" s="2" t="s">
        <v>2252</v>
      </c>
      <c r="V46" s="2" t="s">
        <v>38</v>
      </c>
      <c r="W46" s="2" t="s">
        <v>38</v>
      </c>
      <c r="X46" s="2" t="s">
        <v>38</v>
      </c>
      <c r="Y46" s="2" t="s">
        <v>2070</v>
      </c>
      <c r="Z46" s="2" t="s">
        <v>45</v>
      </c>
      <c r="AA46" s="2" t="s">
        <v>38</v>
      </c>
      <c r="AB46" s="2" t="s">
        <v>38</v>
      </c>
      <c r="AC46" s="2" t="s">
        <v>2071</v>
      </c>
      <c r="AD46" s="2" t="s">
        <v>38</v>
      </c>
      <c r="AE46" s="2" t="s">
        <v>2070</v>
      </c>
      <c r="AF46" s="2" t="s">
        <v>38</v>
      </c>
      <c r="AG46" s="34">
        <v>46078</v>
      </c>
    </row>
    <row r="47" spans="1:33" ht="105" x14ac:dyDescent="0.25">
      <c r="A47" s="2" t="s">
        <v>184</v>
      </c>
      <c r="B47" s="2" t="s">
        <v>2571</v>
      </c>
      <c r="C47" s="2" t="s">
        <v>38</v>
      </c>
      <c r="D47" s="2" t="s">
        <v>38</v>
      </c>
      <c r="E47" s="2" t="s">
        <v>179</v>
      </c>
      <c r="F47" s="2" t="s">
        <v>38</v>
      </c>
      <c r="G47" s="2" t="s">
        <v>40</v>
      </c>
      <c r="H47" s="2" t="s">
        <v>2572</v>
      </c>
      <c r="I47" s="2" t="s">
        <v>67</v>
      </c>
      <c r="J47" s="2" t="s">
        <v>2557</v>
      </c>
      <c r="K47" s="2" t="s">
        <v>50</v>
      </c>
      <c r="L47" s="2" t="s">
        <v>185</v>
      </c>
      <c r="M47" s="2" t="s">
        <v>73</v>
      </c>
      <c r="N47" s="2" t="s">
        <v>186</v>
      </c>
      <c r="O47" s="2" t="s">
        <v>3234</v>
      </c>
      <c r="P47" s="2" t="s">
        <v>38</v>
      </c>
      <c r="Q47" s="2" t="s">
        <v>2248</v>
      </c>
      <c r="R47" s="2" t="s">
        <v>180</v>
      </c>
      <c r="S47" s="2" t="s">
        <v>38</v>
      </c>
      <c r="T47" s="2" t="s">
        <v>60</v>
      </c>
      <c r="U47" s="2" t="s">
        <v>2248</v>
      </c>
      <c r="V47" s="2" t="s">
        <v>38</v>
      </c>
      <c r="W47" s="2" t="s">
        <v>38</v>
      </c>
      <c r="X47" s="2" t="s">
        <v>38</v>
      </c>
      <c r="Y47" s="2" t="s">
        <v>2070</v>
      </c>
      <c r="Z47" s="2" t="s">
        <v>45</v>
      </c>
      <c r="AA47" s="2" t="s">
        <v>38</v>
      </c>
      <c r="AB47" s="2" t="s">
        <v>38</v>
      </c>
      <c r="AC47" s="2" t="s">
        <v>2071</v>
      </c>
      <c r="AD47" s="2" t="s">
        <v>38</v>
      </c>
      <c r="AE47" s="2" t="s">
        <v>2070</v>
      </c>
      <c r="AF47" s="2" t="s">
        <v>38</v>
      </c>
      <c r="AG47" s="34">
        <v>46078</v>
      </c>
    </row>
    <row r="48" spans="1:33" ht="135" x14ac:dyDescent="0.25">
      <c r="A48" s="2" t="s">
        <v>187</v>
      </c>
      <c r="B48" s="2" t="s">
        <v>2573</v>
      </c>
      <c r="C48" s="2" t="s">
        <v>38</v>
      </c>
      <c r="D48" s="2" t="s">
        <v>38</v>
      </c>
      <c r="E48" s="2" t="s">
        <v>163</v>
      </c>
      <c r="F48" s="2" t="s">
        <v>164</v>
      </c>
      <c r="G48" s="2" t="s">
        <v>40</v>
      </c>
      <c r="H48" s="2" t="s">
        <v>2563</v>
      </c>
      <c r="I48" s="2" t="s">
        <v>2574</v>
      </c>
      <c r="J48" s="2" t="s">
        <v>2553</v>
      </c>
      <c r="K48" s="2" t="s">
        <v>50</v>
      </c>
      <c r="L48" s="2" t="s">
        <v>188</v>
      </c>
      <c r="M48" s="2" t="s">
        <v>73</v>
      </c>
      <c r="N48" s="2" t="s">
        <v>189</v>
      </c>
      <c r="O48" s="2" t="s">
        <v>3348</v>
      </c>
      <c r="P48" s="2" t="s">
        <v>3292</v>
      </c>
      <c r="Q48" s="2" t="s">
        <v>2204</v>
      </c>
      <c r="R48" s="2" t="s">
        <v>59</v>
      </c>
      <c r="S48" s="2" t="s">
        <v>38</v>
      </c>
      <c r="T48" s="2" t="s">
        <v>60</v>
      </c>
      <c r="U48" s="2" t="s">
        <v>2118</v>
      </c>
      <c r="V48" s="2" t="s">
        <v>2204</v>
      </c>
      <c r="W48" s="2" t="s">
        <v>38</v>
      </c>
      <c r="X48" s="2" t="s">
        <v>38</v>
      </c>
      <c r="Y48" s="2" t="s">
        <v>2063</v>
      </c>
      <c r="Z48" s="2" t="s">
        <v>45</v>
      </c>
      <c r="AA48" s="2" t="s">
        <v>46</v>
      </c>
      <c r="AB48" s="2" t="s">
        <v>38</v>
      </c>
      <c r="AC48" s="2" t="s">
        <v>1999</v>
      </c>
      <c r="AD48" s="2" t="s">
        <v>2006</v>
      </c>
      <c r="AE48" s="2" t="s">
        <v>2063</v>
      </c>
      <c r="AF48" s="2" t="s">
        <v>38</v>
      </c>
      <c r="AG48" s="34">
        <v>46078</v>
      </c>
    </row>
    <row r="49" spans="1:33" ht="165" x14ac:dyDescent="0.25">
      <c r="A49" s="2" t="s">
        <v>190</v>
      </c>
      <c r="B49" s="2" t="s">
        <v>2575</v>
      </c>
      <c r="C49" s="2" t="s">
        <v>38</v>
      </c>
      <c r="D49" s="2" t="s">
        <v>38</v>
      </c>
      <c r="E49" s="2" t="s">
        <v>163</v>
      </c>
      <c r="F49" s="2" t="s">
        <v>38</v>
      </c>
      <c r="G49" s="2" t="s">
        <v>40</v>
      </c>
      <c r="H49" s="2" t="s">
        <v>2563</v>
      </c>
      <c r="I49" s="2" t="s">
        <v>2576</v>
      </c>
      <c r="J49" s="2" t="s">
        <v>2553</v>
      </c>
      <c r="K49" s="2" t="s">
        <v>41</v>
      </c>
      <c r="L49" s="2" t="s">
        <v>191</v>
      </c>
      <c r="M49" s="2" t="s">
        <v>89</v>
      </c>
      <c r="N49" s="2" t="s">
        <v>192</v>
      </c>
      <c r="O49" s="2" t="s">
        <v>38</v>
      </c>
      <c r="P49" s="2" t="s">
        <v>2484</v>
      </c>
      <c r="Q49" s="2" t="s">
        <v>2216</v>
      </c>
      <c r="R49" s="2" t="s">
        <v>59</v>
      </c>
      <c r="S49" s="2" t="s">
        <v>38</v>
      </c>
      <c r="T49" s="2" t="s">
        <v>60</v>
      </c>
      <c r="U49" s="2" t="s">
        <v>2118</v>
      </c>
      <c r="V49" s="2" t="s">
        <v>2216</v>
      </c>
      <c r="W49" s="2" t="s">
        <v>38</v>
      </c>
      <c r="X49" s="2" t="s">
        <v>38</v>
      </c>
      <c r="Y49" s="2" t="s">
        <v>2063</v>
      </c>
      <c r="Z49" s="2" t="s">
        <v>45</v>
      </c>
      <c r="AA49" s="2" t="s">
        <v>46</v>
      </c>
      <c r="AB49" s="2" t="s">
        <v>38</v>
      </c>
      <c r="AC49" s="2" t="s">
        <v>1999</v>
      </c>
      <c r="AD49" s="2" t="s">
        <v>2006</v>
      </c>
      <c r="AE49" s="2" t="s">
        <v>2063</v>
      </c>
      <c r="AF49" s="2" t="s">
        <v>38</v>
      </c>
      <c r="AG49" s="34">
        <v>46078</v>
      </c>
    </row>
    <row r="50" spans="1:33" ht="45" x14ac:dyDescent="0.25">
      <c r="A50" s="2" t="s">
        <v>193</v>
      </c>
      <c r="B50" s="2" t="s">
        <v>2577</v>
      </c>
      <c r="C50" s="2" t="s">
        <v>38</v>
      </c>
      <c r="D50" s="2" t="s">
        <v>38</v>
      </c>
      <c r="E50" s="2" t="s">
        <v>194</v>
      </c>
      <c r="F50" s="2" t="s">
        <v>38</v>
      </c>
      <c r="G50" s="2" t="s">
        <v>40</v>
      </c>
      <c r="H50" s="2" t="s">
        <v>2578</v>
      </c>
      <c r="I50" s="2" t="s">
        <v>2577</v>
      </c>
      <c r="J50" s="2" t="s">
        <v>67</v>
      </c>
      <c r="K50" s="2" t="s">
        <v>50</v>
      </c>
      <c r="L50" s="2" t="s">
        <v>38</v>
      </c>
      <c r="M50" s="2" t="s">
        <v>38</v>
      </c>
      <c r="N50" s="2" t="s">
        <v>38</v>
      </c>
      <c r="O50" s="2" t="s">
        <v>38</v>
      </c>
      <c r="P50" s="2" t="s">
        <v>38</v>
      </c>
      <c r="Q50" s="2" t="s">
        <v>2119</v>
      </c>
      <c r="R50" s="2" t="s">
        <v>59</v>
      </c>
      <c r="S50" s="2" t="s">
        <v>38</v>
      </c>
      <c r="T50" s="2" t="s">
        <v>60</v>
      </c>
      <c r="U50" s="2" t="s">
        <v>2118</v>
      </c>
      <c r="V50" s="2" t="s">
        <v>2119</v>
      </c>
      <c r="W50" s="2" t="s">
        <v>38</v>
      </c>
      <c r="X50" s="2" t="s">
        <v>38</v>
      </c>
      <c r="Y50" s="2" t="s">
        <v>2332</v>
      </c>
      <c r="Z50" s="2" t="s">
        <v>59</v>
      </c>
      <c r="AA50" s="2" t="s">
        <v>38</v>
      </c>
      <c r="AB50" s="2" t="s">
        <v>60</v>
      </c>
      <c r="AC50" s="2" t="s">
        <v>2128</v>
      </c>
      <c r="AD50" s="2" t="s">
        <v>2332</v>
      </c>
      <c r="AE50" s="2" t="s">
        <v>38</v>
      </c>
      <c r="AF50" s="2" t="s">
        <v>38</v>
      </c>
      <c r="AG50" s="34">
        <v>46078</v>
      </c>
    </row>
    <row r="51" spans="1:33" ht="45" x14ac:dyDescent="0.25">
      <c r="A51" s="2" t="s">
        <v>195</v>
      </c>
      <c r="B51" s="2" t="s">
        <v>2579</v>
      </c>
      <c r="C51" s="2" t="s">
        <v>38</v>
      </c>
      <c r="D51" s="2" t="s">
        <v>38</v>
      </c>
      <c r="E51" s="2" t="s">
        <v>194</v>
      </c>
      <c r="F51" s="2" t="s">
        <v>38</v>
      </c>
      <c r="G51" s="2" t="s">
        <v>40</v>
      </c>
      <c r="H51" s="2" t="s">
        <v>2580</v>
      </c>
      <c r="I51" s="2" t="s">
        <v>2579</v>
      </c>
      <c r="J51" s="2" t="s">
        <v>67</v>
      </c>
      <c r="K51" s="2" t="s">
        <v>50</v>
      </c>
      <c r="L51" s="2" t="s">
        <v>38</v>
      </c>
      <c r="M51" s="2" t="s">
        <v>38</v>
      </c>
      <c r="N51" s="2" t="s">
        <v>38</v>
      </c>
      <c r="O51" s="2" t="s">
        <v>38</v>
      </c>
      <c r="P51" s="2" t="s">
        <v>38</v>
      </c>
      <c r="Q51" s="2" t="s">
        <v>2129</v>
      </c>
      <c r="R51" s="2" t="s">
        <v>59</v>
      </c>
      <c r="S51" s="2" t="s">
        <v>38</v>
      </c>
      <c r="T51" s="2" t="s">
        <v>60</v>
      </c>
      <c r="U51" s="2" t="s">
        <v>2128</v>
      </c>
      <c r="V51" s="2" t="s">
        <v>2129</v>
      </c>
      <c r="W51" s="2" t="s">
        <v>38</v>
      </c>
      <c r="X51" s="2" t="s">
        <v>38</v>
      </c>
      <c r="Y51" s="2" t="s">
        <v>2268</v>
      </c>
      <c r="Z51" s="2" t="s">
        <v>59</v>
      </c>
      <c r="AA51" s="2" t="s">
        <v>38</v>
      </c>
      <c r="AB51" s="2" t="s">
        <v>60</v>
      </c>
      <c r="AC51" s="2" t="s">
        <v>2128</v>
      </c>
      <c r="AD51" s="2" t="s">
        <v>2268</v>
      </c>
      <c r="AE51" s="2" t="s">
        <v>38</v>
      </c>
      <c r="AF51" s="2" t="s">
        <v>38</v>
      </c>
      <c r="AG51" s="34">
        <v>46078</v>
      </c>
    </row>
    <row r="52" spans="1:33" ht="180" x14ac:dyDescent="0.25">
      <c r="A52" s="2" t="s">
        <v>196</v>
      </c>
      <c r="B52" s="2" t="s">
        <v>2983</v>
      </c>
      <c r="C52" s="2" t="s">
        <v>38</v>
      </c>
      <c r="D52" s="2" t="s">
        <v>38</v>
      </c>
      <c r="E52" s="2" t="s">
        <v>163</v>
      </c>
      <c r="F52" s="2" t="s">
        <v>3126</v>
      </c>
      <c r="G52" s="2" t="s">
        <v>40</v>
      </c>
      <c r="H52" s="2" t="s">
        <v>2563</v>
      </c>
      <c r="I52" s="2" t="s">
        <v>2806</v>
      </c>
      <c r="J52" s="2" t="s">
        <v>2979</v>
      </c>
      <c r="K52" s="2" t="s">
        <v>50</v>
      </c>
      <c r="L52" s="2" t="s">
        <v>3130</v>
      </c>
      <c r="M52" s="2" t="s">
        <v>89</v>
      </c>
      <c r="N52" s="2" t="s">
        <v>3120</v>
      </c>
      <c r="O52" s="2" t="s">
        <v>3131</v>
      </c>
      <c r="P52" s="2" t="s">
        <v>3210</v>
      </c>
      <c r="Q52" s="2" t="s">
        <v>2119</v>
      </c>
      <c r="R52" s="2" t="s">
        <v>59</v>
      </c>
      <c r="S52" s="2" t="s">
        <v>38</v>
      </c>
      <c r="T52" s="2" t="s">
        <v>60</v>
      </c>
      <c r="U52" s="2" t="s">
        <v>2118</v>
      </c>
      <c r="V52" s="2" t="s">
        <v>2119</v>
      </c>
      <c r="W52" s="2" t="s">
        <v>38</v>
      </c>
      <c r="X52" s="2" t="s">
        <v>38</v>
      </c>
      <c r="Y52" s="2" t="s">
        <v>2962</v>
      </c>
      <c r="Z52" s="2" t="s">
        <v>45</v>
      </c>
      <c r="AA52" s="2" t="s">
        <v>77</v>
      </c>
      <c r="AB52" s="2" t="s">
        <v>80</v>
      </c>
      <c r="AC52" s="2" t="s">
        <v>1999</v>
      </c>
      <c r="AD52" s="2" t="s">
        <v>38</v>
      </c>
      <c r="AE52" s="2" t="s">
        <v>2962</v>
      </c>
      <c r="AF52" s="2" t="s">
        <v>38</v>
      </c>
      <c r="AG52" s="34">
        <v>46078</v>
      </c>
    </row>
    <row r="53" spans="1:33" ht="180" x14ac:dyDescent="0.25">
      <c r="A53" s="2" t="s">
        <v>197</v>
      </c>
      <c r="B53" s="2" t="s">
        <v>2984</v>
      </c>
      <c r="C53" s="2" t="s">
        <v>38</v>
      </c>
      <c r="D53" s="2" t="s">
        <v>38</v>
      </c>
      <c r="E53" s="2" t="s">
        <v>163</v>
      </c>
      <c r="F53" s="2" t="s">
        <v>3126</v>
      </c>
      <c r="G53" s="2" t="s">
        <v>40</v>
      </c>
      <c r="H53" s="2" t="s">
        <v>2563</v>
      </c>
      <c r="I53" s="2" t="s">
        <v>2907</v>
      </c>
      <c r="J53" s="2" t="s">
        <v>2979</v>
      </c>
      <c r="K53" s="2" t="s">
        <v>50</v>
      </c>
      <c r="L53" s="2" t="s">
        <v>3132</v>
      </c>
      <c r="M53" s="2" t="s">
        <v>89</v>
      </c>
      <c r="N53" s="2" t="s">
        <v>3121</v>
      </c>
      <c r="O53" s="2" t="s">
        <v>3133</v>
      </c>
      <c r="P53" s="2" t="s">
        <v>3210</v>
      </c>
      <c r="Q53" s="2" t="s">
        <v>2204</v>
      </c>
      <c r="R53" s="2" t="s">
        <v>59</v>
      </c>
      <c r="S53" s="2" t="s">
        <v>38</v>
      </c>
      <c r="T53" s="2" t="s">
        <v>60</v>
      </c>
      <c r="U53" s="2" t="s">
        <v>2118</v>
      </c>
      <c r="V53" s="2" t="s">
        <v>2204</v>
      </c>
      <c r="W53" s="2" t="s">
        <v>38</v>
      </c>
      <c r="X53" s="2" t="s">
        <v>38</v>
      </c>
      <c r="Y53" s="2" t="s">
        <v>2962</v>
      </c>
      <c r="Z53" s="2" t="s">
        <v>45</v>
      </c>
      <c r="AA53" s="2" t="s">
        <v>77</v>
      </c>
      <c r="AB53" s="2" t="s">
        <v>80</v>
      </c>
      <c r="AC53" s="2" t="s">
        <v>1999</v>
      </c>
      <c r="AD53" s="2" t="s">
        <v>38</v>
      </c>
      <c r="AE53" s="2" t="s">
        <v>2962</v>
      </c>
      <c r="AF53" s="2" t="s">
        <v>38</v>
      </c>
      <c r="AG53" s="34">
        <v>46078</v>
      </c>
    </row>
    <row r="54" spans="1:33" ht="60" x14ac:dyDescent="0.25">
      <c r="A54" s="2" t="s">
        <v>198</v>
      </c>
      <c r="B54" s="2" t="s">
        <v>2581</v>
      </c>
      <c r="C54" s="2" t="s">
        <v>38</v>
      </c>
      <c r="D54" s="2" t="s">
        <v>38</v>
      </c>
      <c r="E54" s="2" t="s">
        <v>179</v>
      </c>
      <c r="F54" s="2" t="s">
        <v>38</v>
      </c>
      <c r="G54" s="2" t="s">
        <v>40</v>
      </c>
      <c r="H54" s="2" t="s">
        <v>2582</v>
      </c>
      <c r="I54" s="2" t="s">
        <v>2583</v>
      </c>
      <c r="J54" s="2" t="s">
        <v>2584</v>
      </c>
      <c r="K54" s="2" t="s">
        <v>50</v>
      </c>
      <c r="L54" s="2" t="s">
        <v>38</v>
      </c>
      <c r="M54" s="2" t="s">
        <v>38</v>
      </c>
      <c r="N54" s="2" t="s">
        <v>38</v>
      </c>
      <c r="O54" s="2" t="s">
        <v>38</v>
      </c>
      <c r="P54" s="2" t="s">
        <v>38</v>
      </c>
      <c r="Q54" s="2" t="s">
        <v>2252</v>
      </c>
      <c r="R54" s="2" t="s">
        <v>180</v>
      </c>
      <c r="S54" s="2" t="s">
        <v>38</v>
      </c>
      <c r="T54" s="2" t="s">
        <v>60</v>
      </c>
      <c r="U54" s="2" t="s">
        <v>2252</v>
      </c>
      <c r="V54" s="2" t="s">
        <v>38</v>
      </c>
      <c r="W54" s="2" t="s">
        <v>38</v>
      </c>
      <c r="X54" s="2" t="s">
        <v>38</v>
      </c>
      <c r="Y54" s="2" t="s">
        <v>2262</v>
      </c>
      <c r="Z54" s="2" t="s">
        <v>45</v>
      </c>
      <c r="AA54" s="2" t="s">
        <v>38</v>
      </c>
      <c r="AB54" s="2" t="s">
        <v>60</v>
      </c>
      <c r="AC54" s="2" t="s">
        <v>2128</v>
      </c>
      <c r="AD54" s="2" t="s">
        <v>2129</v>
      </c>
      <c r="AE54" s="2" t="s">
        <v>2262</v>
      </c>
      <c r="AF54" s="2" t="s">
        <v>38</v>
      </c>
      <c r="AG54" s="34">
        <v>46078</v>
      </c>
    </row>
    <row r="55" spans="1:33" ht="60" x14ac:dyDescent="0.25">
      <c r="A55" s="2" t="s">
        <v>199</v>
      </c>
      <c r="B55" s="2" t="s">
        <v>2585</v>
      </c>
      <c r="C55" s="2" t="s">
        <v>38</v>
      </c>
      <c r="D55" s="2" t="s">
        <v>38</v>
      </c>
      <c r="E55" s="2" t="s">
        <v>179</v>
      </c>
      <c r="F55" s="2" t="s">
        <v>38</v>
      </c>
      <c r="G55" s="2" t="s">
        <v>40</v>
      </c>
      <c r="H55" s="2" t="s">
        <v>2582</v>
      </c>
      <c r="I55" s="2" t="s">
        <v>2583</v>
      </c>
      <c r="J55" s="2" t="s">
        <v>2586</v>
      </c>
      <c r="K55" s="2" t="s">
        <v>50</v>
      </c>
      <c r="L55" s="2" t="s">
        <v>38</v>
      </c>
      <c r="M55" s="2" t="s">
        <v>38</v>
      </c>
      <c r="N55" s="2" t="s">
        <v>38</v>
      </c>
      <c r="O55" s="2" t="s">
        <v>38</v>
      </c>
      <c r="P55" s="2" t="s">
        <v>38</v>
      </c>
      <c r="Q55" s="2" t="s">
        <v>2252</v>
      </c>
      <c r="R55" s="2" t="s">
        <v>180</v>
      </c>
      <c r="S55" s="2" t="s">
        <v>38</v>
      </c>
      <c r="T55" s="2" t="s">
        <v>60</v>
      </c>
      <c r="U55" s="2" t="s">
        <v>2252</v>
      </c>
      <c r="V55" s="2" t="s">
        <v>38</v>
      </c>
      <c r="W55" s="2" t="s">
        <v>38</v>
      </c>
      <c r="X55" s="2" t="s">
        <v>38</v>
      </c>
      <c r="Y55" s="2" t="s">
        <v>2127</v>
      </c>
      <c r="Z55" s="2" t="s">
        <v>45</v>
      </c>
      <c r="AA55" s="2" t="s">
        <v>38</v>
      </c>
      <c r="AB55" s="2" t="s">
        <v>60</v>
      </c>
      <c r="AC55" s="2" t="s">
        <v>2128</v>
      </c>
      <c r="AD55" s="2" t="s">
        <v>2129</v>
      </c>
      <c r="AE55" s="2" t="s">
        <v>2127</v>
      </c>
      <c r="AF55" s="2" t="s">
        <v>38</v>
      </c>
      <c r="AG55" s="34">
        <v>46078</v>
      </c>
    </row>
    <row r="56" spans="1:33" ht="45" x14ac:dyDescent="0.25">
      <c r="A56" s="2" t="s">
        <v>200</v>
      </c>
      <c r="B56" s="2" t="s">
        <v>2587</v>
      </c>
      <c r="C56" s="2" t="s">
        <v>38</v>
      </c>
      <c r="D56" s="2" t="s">
        <v>38</v>
      </c>
      <c r="E56" s="2" t="s">
        <v>179</v>
      </c>
      <c r="F56" s="2" t="s">
        <v>38</v>
      </c>
      <c r="G56" s="2" t="s">
        <v>40</v>
      </c>
      <c r="H56" s="2" t="s">
        <v>2588</v>
      </c>
      <c r="I56" s="2" t="s">
        <v>2583</v>
      </c>
      <c r="J56" s="2" t="s">
        <v>2589</v>
      </c>
      <c r="K56" s="2" t="s">
        <v>50</v>
      </c>
      <c r="L56" s="2" t="s">
        <v>38</v>
      </c>
      <c r="M56" s="2" t="s">
        <v>38</v>
      </c>
      <c r="N56" s="2" t="s">
        <v>38</v>
      </c>
      <c r="O56" s="2" t="s">
        <v>38</v>
      </c>
      <c r="P56" s="2" t="s">
        <v>38</v>
      </c>
      <c r="Q56" s="2" t="s">
        <v>2248</v>
      </c>
      <c r="R56" s="2" t="s">
        <v>180</v>
      </c>
      <c r="S56" s="2" t="s">
        <v>38</v>
      </c>
      <c r="T56" s="2" t="s">
        <v>60</v>
      </c>
      <c r="U56" s="2" t="s">
        <v>2248</v>
      </c>
      <c r="V56" s="2" t="s">
        <v>38</v>
      </c>
      <c r="W56" s="2" t="s">
        <v>38</v>
      </c>
      <c r="X56" s="2" t="s">
        <v>38</v>
      </c>
      <c r="Y56" s="2" t="s">
        <v>2150</v>
      </c>
      <c r="Z56" s="2" t="s">
        <v>45</v>
      </c>
      <c r="AA56" s="2" t="s">
        <v>38</v>
      </c>
      <c r="AB56" s="2" t="s">
        <v>60</v>
      </c>
      <c r="AC56" s="2" t="s">
        <v>2128</v>
      </c>
      <c r="AD56" s="2" t="s">
        <v>2129</v>
      </c>
      <c r="AE56" s="2" t="s">
        <v>2150</v>
      </c>
      <c r="AF56" s="2" t="s">
        <v>38</v>
      </c>
      <c r="AG56" s="34">
        <v>46078</v>
      </c>
    </row>
    <row r="57" spans="1:33" ht="180" x14ac:dyDescent="0.25">
      <c r="A57" s="2" t="s">
        <v>201</v>
      </c>
      <c r="B57" s="2" t="s">
        <v>2985</v>
      </c>
      <c r="C57" s="2" t="s">
        <v>38</v>
      </c>
      <c r="D57" s="2" t="s">
        <v>38</v>
      </c>
      <c r="E57" s="2" t="s">
        <v>163</v>
      </c>
      <c r="F57" s="2" t="s">
        <v>3126</v>
      </c>
      <c r="G57" s="2" t="s">
        <v>40</v>
      </c>
      <c r="H57" s="2" t="s">
        <v>2986</v>
      </c>
      <c r="I57" s="2" t="s">
        <v>2908</v>
      </c>
      <c r="J57" s="2" t="s">
        <v>2979</v>
      </c>
      <c r="K57" s="2" t="s">
        <v>50</v>
      </c>
      <c r="L57" s="2" t="s">
        <v>3134</v>
      </c>
      <c r="M57" s="2" t="s">
        <v>89</v>
      </c>
      <c r="N57" s="2" t="s">
        <v>3122</v>
      </c>
      <c r="O57" s="2" t="s">
        <v>3135</v>
      </c>
      <c r="P57" s="2" t="s">
        <v>3210</v>
      </c>
      <c r="Q57" s="2" t="s">
        <v>2404</v>
      </c>
      <c r="R57" s="2" t="s">
        <v>59</v>
      </c>
      <c r="S57" s="2" t="s">
        <v>38</v>
      </c>
      <c r="T57" s="2" t="s">
        <v>60</v>
      </c>
      <c r="U57" s="2" t="s">
        <v>2301</v>
      </c>
      <c r="V57" s="2" t="s">
        <v>2404</v>
      </c>
      <c r="W57" s="2" t="s">
        <v>38</v>
      </c>
      <c r="X57" s="2" t="s">
        <v>38</v>
      </c>
      <c r="Y57" s="2" t="s">
        <v>2962</v>
      </c>
      <c r="Z57" s="2" t="s">
        <v>45</v>
      </c>
      <c r="AA57" s="2" t="s">
        <v>77</v>
      </c>
      <c r="AB57" s="2" t="s">
        <v>80</v>
      </c>
      <c r="AC57" s="2" t="s">
        <v>1999</v>
      </c>
      <c r="AD57" s="2" t="s">
        <v>38</v>
      </c>
      <c r="AE57" s="2" t="s">
        <v>2962</v>
      </c>
      <c r="AF57" s="2" t="s">
        <v>38</v>
      </c>
      <c r="AG57" s="34">
        <v>46078</v>
      </c>
    </row>
    <row r="58" spans="1:33" ht="180" x14ac:dyDescent="0.25">
      <c r="A58" s="2" t="s">
        <v>202</v>
      </c>
      <c r="B58" s="2" t="s">
        <v>2987</v>
      </c>
      <c r="C58" s="2" t="s">
        <v>38</v>
      </c>
      <c r="D58" s="2" t="s">
        <v>38</v>
      </c>
      <c r="E58" s="2" t="s">
        <v>163</v>
      </c>
      <c r="F58" s="2" t="s">
        <v>3126</v>
      </c>
      <c r="G58" s="2" t="s">
        <v>40</v>
      </c>
      <c r="H58" s="2" t="s">
        <v>2986</v>
      </c>
      <c r="I58" s="2" t="s">
        <v>2909</v>
      </c>
      <c r="J58" s="2" t="s">
        <v>2979</v>
      </c>
      <c r="K58" s="2" t="s">
        <v>50</v>
      </c>
      <c r="L58" s="2" t="s">
        <v>3136</v>
      </c>
      <c r="M58" s="2" t="s">
        <v>89</v>
      </c>
      <c r="N58" s="2" t="s">
        <v>3275</v>
      </c>
      <c r="O58" s="2" t="s">
        <v>3137</v>
      </c>
      <c r="P58" s="2" t="s">
        <v>3210</v>
      </c>
      <c r="Q58" s="2" t="s">
        <v>2321</v>
      </c>
      <c r="R58" s="2" t="s">
        <v>59</v>
      </c>
      <c r="S58" s="2" t="s">
        <v>38</v>
      </c>
      <c r="T58" s="2" t="s">
        <v>60</v>
      </c>
      <c r="U58" s="2" t="s">
        <v>2301</v>
      </c>
      <c r="V58" s="2" t="s">
        <v>2321</v>
      </c>
      <c r="W58" s="2" t="s">
        <v>38</v>
      </c>
      <c r="X58" s="2" t="s">
        <v>38</v>
      </c>
      <c r="Y58" s="2" t="s">
        <v>2962</v>
      </c>
      <c r="Z58" s="2" t="s">
        <v>45</v>
      </c>
      <c r="AA58" s="2" t="s">
        <v>77</v>
      </c>
      <c r="AB58" s="2" t="s">
        <v>80</v>
      </c>
      <c r="AC58" s="2" t="s">
        <v>1999</v>
      </c>
      <c r="AD58" s="2" t="s">
        <v>38</v>
      </c>
      <c r="AE58" s="2" t="s">
        <v>2962</v>
      </c>
      <c r="AF58" s="2" t="s">
        <v>38</v>
      </c>
      <c r="AG58" s="34">
        <v>46078</v>
      </c>
    </row>
    <row r="59" spans="1:33" ht="180" x14ac:dyDescent="0.25">
      <c r="A59" s="2" t="s">
        <v>203</v>
      </c>
      <c r="B59" s="2" t="s">
        <v>2988</v>
      </c>
      <c r="C59" s="2" t="s">
        <v>38</v>
      </c>
      <c r="D59" s="2" t="s">
        <v>38</v>
      </c>
      <c r="E59" s="2" t="s">
        <v>163</v>
      </c>
      <c r="F59" s="2" t="s">
        <v>3126</v>
      </c>
      <c r="G59" s="2" t="s">
        <v>40</v>
      </c>
      <c r="H59" s="2" t="s">
        <v>2986</v>
      </c>
      <c r="I59" s="2" t="s">
        <v>2910</v>
      </c>
      <c r="J59" s="2" t="s">
        <v>2979</v>
      </c>
      <c r="K59" s="2" t="s">
        <v>50</v>
      </c>
      <c r="L59" s="2" t="s">
        <v>3138</v>
      </c>
      <c r="M59" s="2" t="s">
        <v>89</v>
      </c>
      <c r="N59" s="2" t="s">
        <v>3276</v>
      </c>
      <c r="O59" s="2" t="s">
        <v>3139</v>
      </c>
      <c r="P59" s="2" t="s">
        <v>3210</v>
      </c>
      <c r="Q59" s="2" t="s">
        <v>2327</v>
      </c>
      <c r="R59" s="2" t="s">
        <v>59</v>
      </c>
      <c r="S59" s="2" t="s">
        <v>38</v>
      </c>
      <c r="T59" s="2" t="s">
        <v>60</v>
      </c>
      <c r="U59" s="2" t="s">
        <v>2301</v>
      </c>
      <c r="V59" s="2" t="s">
        <v>2327</v>
      </c>
      <c r="W59" s="2" t="s">
        <v>38</v>
      </c>
      <c r="X59" s="2" t="s">
        <v>38</v>
      </c>
      <c r="Y59" s="2" t="s">
        <v>2962</v>
      </c>
      <c r="Z59" s="2" t="s">
        <v>45</v>
      </c>
      <c r="AA59" s="2" t="s">
        <v>77</v>
      </c>
      <c r="AB59" s="2" t="s">
        <v>80</v>
      </c>
      <c r="AC59" s="2" t="s">
        <v>1999</v>
      </c>
      <c r="AD59" s="2" t="s">
        <v>38</v>
      </c>
      <c r="AE59" s="2" t="s">
        <v>2962</v>
      </c>
      <c r="AF59" s="2" t="s">
        <v>38</v>
      </c>
      <c r="AG59" s="34">
        <v>46078</v>
      </c>
    </row>
    <row r="60" spans="1:33" ht="180" x14ac:dyDescent="0.25">
      <c r="A60" s="2" t="s">
        <v>204</v>
      </c>
      <c r="B60" s="2" t="s">
        <v>2989</v>
      </c>
      <c r="C60" s="2" t="s">
        <v>38</v>
      </c>
      <c r="D60" s="2" t="s">
        <v>38</v>
      </c>
      <c r="E60" s="2" t="s">
        <v>163</v>
      </c>
      <c r="F60" s="2" t="s">
        <v>3126</v>
      </c>
      <c r="G60" s="2" t="s">
        <v>40</v>
      </c>
      <c r="H60" s="2" t="s">
        <v>2986</v>
      </c>
      <c r="I60" s="2" t="s">
        <v>2911</v>
      </c>
      <c r="J60" s="2" t="s">
        <v>2979</v>
      </c>
      <c r="K60" s="2" t="s">
        <v>50</v>
      </c>
      <c r="L60" s="2" t="s">
        <v>3140</v>
      </c>
      <c r="M60" s="2" t="s">
        <v>89</v>
      </c>
      <c r="N60" s="2" t="s">
        <v>3124</v>
      </c>
      <c r="O60" s="2" t="s">
        <v>3141</v>
      </c>
      <c r="P60" s="2" t="s">
        <v>3210</v>
      </c>
      <c r="Q60" s="2" t="s">
        <v>2318</v>
      </c>
      <c r="R60" s="2" t="s">
        <v>59</v>
      </c>
      <c r="S60" s="2" t="s">
        <v>38</v>
      </c>
      <c r="T60" s="2" t="s">
        <v>60</v>
      </c>
      <c r="U60" s="2" t="s">
        <v>2301</v>
      </c>
      <c r="V60" s="2" t="s">
        <v>2318</v>
      </c>
      <c r="W60" s="2" t="s">
        <v>38</v>
      </c>
      <c r="X60" s="2" t="s">
        <v>38</v>
      </c>
      <c r="Y60" s="2" t="s">
        <v>2962</v>
      </c>
      <c r="Z60" s="2" t="s">
        <v>45</v>
      </c>
      <c r="AA60" s="2" t="s">
        <v>77</v>
      </c>
      <c r="AB60" s="2" t="s">
        <v>80</v>
      </c>
      <c r="AC60" s="2" t="s">
        <v>1999</v>
      </c>
      <c r="AD60" s="2" t="s">
        <v>38</v>
      </c>
      <c r="AE60" s="2" t="s">
        <v>2962</v>
      </c>
      <c r="AF60" s="2" t="s">
        <v>38</v>
      </c>
      <c r="AG60" s="34">
        <v>46078</v>
      </c>
    </row>
    <row r="61" spans="1:33" ht="180" x14ac:dyDescent="0.25">
      <c r="A61" s="2" t="s">
        <v>205</v>
      </c>
      <c r="B61" s="2" t="s">
        <v>2990</v>
      </c>
      <c r="C61" s="2" t="s">
        <v>38</v>
      </c>
      <c r="D61" s="2" t="s">
        <v>38</v>
      </c>
      <c r="E61" s="2" t="s">
        <v>163</v>
      </c>
      <c r="F61" s="2" t="s">
        <v>3126</v>
      </c>
      <c r="G61" s="2" t="s">
        <v>40</v>
      </c>
      <c r="H61" s="2" t="s">
        <v>2986</v>
      </c>
      <c r="I61" s="2" t="s">
        <v>2912</v>
      </c>
      <c r="J61" s="2" t="s">
        <v>2979</v>
      </c>
      <c r="K61" s="2" t="s">
        <v>50</v>
      </c>
      <c r="L61" s="2" t="s">
        <v>3142</v>
      </c>
      <c r="M61" s="2" t="s">
        <v>89</v>
      </c>
      <c r="N61" s="2" t="s">
        <v>3125</v>
      </c>
      <c r="O61" s="2" t="s">
        <v>3143</v>
      </c>
      <c r="P61" s="2" t="s">
        <v>3210</v>
      </c>
      <c r="Q61" s="2" t="s">
        <v>2312</v>
      </c>
      <c r="R61" s="2" t="s">
        <v>59</v>
      </c>
      <c r="S61" s="2" t="s">
        <v>38</v>
      </c>
      <c r="T61" s="2" t="s">
        <v>60</v>
      </c>
      <c r="U61" s="2" t="s">
        <v>2301</v>
      </c>
      <c r="V61" s="2" t="s">
        <v>2312</v>
      </c>
      <c r="W61" s="2" t="s">
        <v>38</v>
      </c>
      <c r="X61" s="2" t="s">
        <v>38</v>
      </c>
      <c r="Y61" s="2" t="s">
        <v>2962</v>
      </c>
      <c r="Z61" s="2" t="s">
        <v>45</v>
      </c>
      <c r="AA61" s="2" t="s">
        <v>77</v>
      </c>
      <c r="AB61" s="2" t="s">
        <v>80</v>
      </c>
      <c r="AC61" s="2" t="s">
        <v>1999</v>
      </c>
      <c r="AD61" s="2" t="s">
        <v>38</v>
      </c>
      <c r="AE61" s="2" t="s">
        <v>2962</v>
      </c>
      <c r="AF61" s="2" t="s">
        <v>38</v>
      </c>
      <c r="AG61" s="34">
        <v>46078</v>
      </c>
    </row>
    <row r="62" spans="1:33" ht="180" x14ac:dyDescent="0.25">
      <c r="A62" s="2" t="s">
        <v>206</v>
      </c>
      <c r="B62" s="2" t="s">
        <v>2991</v>
      </c>
      <c r="C62" s="2" t="s">
        <v>38</v>
      </c>
      <c r="D62" s="2" t="s">
        <v>38</v>
      </c>
      <c r="E62" s="2" t="s">
        <v>163</v>
      </c>
      <c r="F62" s="2" t="s">
        <v>3126</v>
      </c>
      <c r="G62" s="2" t="s">
        <v>40</v>
      </c>
      <c r="H62" s="2" t="s">
        <v>2986</v>
      </c>
      <c r="I62" s="2" t="s">
        <v>2913</v>
      </c>
      <c r="J62" s="2" t="s">
        <v>2979</v>
      </c>
      <c r="K62" s="2" t="s">
        <v>50</v>
      </c>
      <c r="L62" s="2" t="s">
        <v>3146</v>
      </c>
      <c r="M62" s="2" t="s">
        <v>89</v>
      </c>
      <c r="N62" s="2" t="s">
        <v>3144</v>
      </c>
      <c r="O62" s="2" t="s">
        <v>3145</v>
      </c>
      <c r="P62" s="2" t="s">
        <v>3210</v>
      </c>
      <c r="Q62" s="2" t="s">
        <v>2300</v>
      </c>
      <c r="R62" s="2" t="s">
        <v>59</v>
      </c>
      <c r="S62" s="2" t="s">
        <v>38</v>
      </c>
      <c r="T62" s="2" t="s">
        <v>60</v>
      </c>
      <c r="U62" s="2" t="s">
        <v>2301</v>
      </c>
      <c r="V62" s="2" t="s">
        <v>2300</v>
      </c>
      <c r="W62" s="2" t="s">
        <v>38</v>
      </c>
      <c r="X62" s="2" t="s">
        <v>38</v>
      </c>
      <c r="Y62" s="2" t="s">
        <v>2962</v>
      </c>
      <c r="Z62" s="2" t="s">
        <v>45</v>
      </c>
      <c r="AA62" s="2" t="s">
        <v>77</v>
      </c>
      <c r="AB62" s="2" t="s">
        <v>80</v>
      </c>
      <c r="AC62" s="2" t="s">
        <v>1999</v>
      </c>
      <c r="AD62" s="2" t="s">
        <v>38</v>
      </c>
      <c r="AE62" s="2" t="s">
        <v>2962</v>
      </c>
      <c r="AF62" s="2" t="s">
        <v>38</v>
      </c>
      <c r="AG62" s="34">
        <v>46078</v>
      </c>
    </row>
    <row r="63" spans="1:33" ht="195" x14ac:dyDescent="0.25">
      <c r="A63" s="2" t="s">
        <v>207</v>
      </c>
      <c r="B63" s="2" t="s">
        <v>2992</v>
      </c>
      <c r="C63" s="2" t="s">
        <v>38</v>
      </c>
      <c r="D63" s="2" t="s">
        <v>38</v>
      </c>
      <c r="E63" s="2" t="s">
        <v>163</v>
      </c>
      <c r="F63" s="2" t="s">
        <v>3126</v>
      </c>
      <c r="G63" s="2" t="s">
        <v>40</v>
      </c>
      <c r="H63" s="2" t="s">
        <v>2986</v>
      </c>
      <c r="I63" s="2" t="s">
        <v>2914</v>
      </c>
      <c r="J63" s="2" t="s">
        <v>2979</v>
      </c>
      <c r="K63" s="2" t="s">
        <v>50</v>
      </c>
      <c r="L63" s="2" t="s">
        <v>3147</v>
      </c>
      <c r="M63" s="2" t="s">
        <v>73</v>
      </c>
      <c r="N63" s="2" t="s">
        <v>3148</v>
      </c>
      <c r="O63" s="2" t="s">
        <v>3766</v>
      </c>
      <c r="P63" s="2" t="s">
        <v>3349</v>
      </c>
      <c r="Q63" s="2" t="s">
        <v>2337</v>
      </c>
      <c r="R63" s="2" t="s">
        <v>59</v>
      </c>
      <c r="S63" s="2" t="s">
        <v>38</v>
      </c>
      <c r="T63" s="2" t="s">
        <v>60</v>
      </c>
      <c r="U63" s="2" t="s">
        <v>2301</v>
      </c>
      <c r="V63" s="2" t="s">
        <v>2337</v>
      </c>
      <c r="W63" s="2" t="s">
        <v>38</v>
      </c>
      <c r="X63" s="2" t="s">
        <v>38</v>
      </c>
      <c r="Y63" s="2" t="s">
        <v>2962</v>
      </c>
      <c r="Z63" s="2" t="s">
        <v>45</v>
      </c>
      <c r="AA63" s="2" t="s">
        <v>77</v>
      </c>
      <c r="AB63" s="2" t="s">
        <v>80</v>
      </c>
      <c r="AC63" s="2" t="s">
        <v>1999</v>
      </c>
      <c r="AD63" s="2" t="s">
        <v>38</v>
      </c>
      <c r="AE63" s="2" t="s">
        <v>2962</v>
      </c>
      <c r="AF63" s="2" t="s">
        <v>38</v>
      </c>
      <c r="AG63" s="34">
        <v>46078</v>
      </c>
    </row>
    <row r="64" spans="1:33" ht="180" x14ac:dyDescent="0.25">
      <c r="A64" s="2" t="s">
        <v>208</v>
      </c>
      <c r="B64" s="2" t="s">
        <v>2993</v>
      </c>
      <c r="C64" s="2" t="s">
        <v>38</v>
      </c>
      <c r="D64" s="2" t="s">
        <v>38</v>
      </c>
      <c r="E64" s="2" t="s">
        <v>163</v>
      </c>
      <c r="F64" s="2" t="s">
        <v>3126</v>
      </c>
      <c r="G64" s="2" t="s">
        <v>40</v>
      </c>
      <c r="H64" s="2" t="s">
        <v>2986</v>
      </c>
      <c r="I64" s="2" t="s">
        <v>2915</v>
      </c>
      <c r="J64" s="2" t="s">
        <v>2979</v>
      </c>
      <c r="K64" s="2" t="s">
        <v>50</v>
      </c>
      <c r="L64" s="2" t="s">
        <v>3149</v>
      </c>
      <c r="M64" s="2" t="s">
        <v>89</v>
      </c>
      <c r="N64" s="2" t="s">
        <v>3150</v>
      </c>
      <c r="O64" s="2" t="s">
        <v>3151</v>
      </c>
      <c r="P64" s="2" t="s">
        <v>3210</v>
      </c>
      <c r="Q64" s="2" t="s">
        <v>2324</v>
      </c>
      <c r="R64" s="2" t="s">
        <v>59</v>
      </c>
      <c r="S64" s="2" t="s">
        <v>38</v>
      </c>
      <c r="T64" s="2" t="s">
        <v>60</v>
      </c>
      <c r="U64" s="2" t="s">
        <v>2301</v>
      </c>
      <c r="V64" s="2" t="s">
        <v>2324</v>
      </c>
      <c r="W64" s="2" t="s">
        <v>38</v>
      </c>
      <c r="X64" s="2" t="s">
        <v>38</v>
      </c>
      <c r="Y64" s="2" t="s">
        <v>2962</v>
      </c>
      <c r="Z64" s="2" t="s">
        <v>45</v>
      </c>
      <c r="AA64" s="2" t="s">
        <v>77</v>
      </c>
      <c r="AB64" s="2" t="s">
        <v>80</v>
      </c>
      <c r="AC64" s="2" t="s">
        <v>1999</v>
      </c>
      <c r="AD64" s="2" t="s">
        <v>38</v>
      </c>
      <c r="AE64" s="2" t="s">
        <v>2962</v>
      </c>
      <c r="AF64" s="2" t="s">
        <v>38</v>
      </c>
      <c r="AG64" s="34">
        <v>46078</v>
      </c>
    </row>
    <row r="65" spans="1:33" ht="150" x14ac:dyDescent="0.25">
      <c r="A65" s="2" t="s">
        <v>209</v>
      </c>
      <c r="B65" s="2" t="s">
        <v>2590</v>
      </c>
      <c r="C65" s="2" t="s">
        <v>46</v>
      </c>
      <c r="D65" s="2" t="s">
        <v>38</v>
      </c>
      <c r="E65" s="2" t="s">
        <v>163</v>
      </c>
      <c r="F65" s="2" t="s">
        <v>164</v>
      </c>
      <c r="G65" s="2" t="s">
        <v>40</v>
      </c>
      <c r="H65" s="2" t="s">
        <v>2551</v>
      </c>
      <c r="I65" s="2" t="s">
        <v>2591</v>
      </c>
      <c r="J65" s="2" t="s">
        <v>2553</v>
      </c>
      <c r="K65" s="2" t="s">
        <v>50</v>
      </c>
      <c r="L65" s="2" t="s">
        <v>210</v>
      </c>
      <c r="M65" s="2" t="s">
        <v>89</v>
      </c>
      <c r="N65" s="2" t="s">
        <v>211</v>
      </c>
      <c r="O65" s="2" t="s">
        <v>3350</v>
      </c>
      <c r="P65" s="2" t="s">
        <v>3230</v>
      </c>
      <c r="Q65" s="2" t="s">
        <v>2277</v>
      </c>
      <c r="R65" s="2" t="s">
        <v>59</v>
      </c>
      <c r="S65" s="2" t="s">
        <v>38</v>
      </c>
      <c r="T65" s="2" t="s">
        <v>60</v>
      </c>
      <c r="U65" s="2" t="s">
        <v>2090</v>
      </c>
      <c r="V65" s="2" t="s">
        <v>2277</v>
      </c>
      <c r="W65" s="2" t="s">
        <v>38</v>
      </c>
      <c r="X65" s="2" t="s">
        <v>38</v>
      </c>
      <c r="Y65" s="2" t="s">
        <v>2063</v>
      </c>
      <c r="Z65" s="2" t="s">
        <v>45</v>
      </c>
      <c r="AA65" s="2" t="s">
        <v>46</v>
      </c>
      <c r="AB65" s="2" t="s">
        <v>38</v>
      </c>
      <c r="AC65" s="2" t="s">
        <v>1999</v>
      </c>
      <c r="AD65" s="2" t="s">
        <v>2006</v>
      </c>
      <c r="AE65" s="2" t="s">
        <v>2063</v>
      </c>
      <c r="AF65" s="2" t="s">
        <v>38</v>
      </c>
      <c r="AG65" s="34">
        <v>46078</v>
      </c>
    </row>
    <row r="66" spans="1:33" ht="105" x14ac:dyDescent="0.25">
      <c r="A66" s="2" t="s">
        <v>212</v>
      </c>
      <c r="B66" s="2" t="s">
        <v>2592</v>
      </c>
      <c r="C66" s="2" t="s">
        <v>46</v>
      </c>
      <c r="D66" s="2" t="s">
        <v>38</v>
      </c>
      <c r="E66" s="2" t="s">
        <v>163</v>
      </c>
      <c r="F66" s="2" t="s">
        <v>164</v>
      </c>
      <c r="G66" s="2" t="s">
        <v>40</v>
      </c>
      <c r="H66" s="2" t="s">
        <v>2563</v>
      </c>
      <c r="I66" s="2" t="s">
        <v>2593</v>
      </c>
      <c r="J66" s="2" t="s">
        <v>2553</v>
      </c>
      <c r="K66" s="2" t="s">
        <v>50</v>
      </c>
      <c r="L66" s="2" t="s">
        <v>213</v>
      </c>
      <c r="M66" s="2" t="s">
        <v>89</v>
      </c>
      <c r="N66" s="2" t="s">
        <v>214</v>
      </c>
      <c r="O66" s="2" t="s">
        <v>3235</v>
      </c>
      <c r="P66" s="2" t="s">
        <v>3230</v>
      </c>
      <c r="Q66" s="2" t="s">
        <v>2265</v>
      </c>
      <c r="R66" s="2" t="s">
        <v>59</v>
      </c>
      <c r="S66" s="2" t="s">
        <v>38</v>
      </c>
      <c r="T66" s="2" t="s">
        <v>60</v>
      </c>
      <c r="U66" s="2" t="s">
        <v>2118</v>
      </c>
      <c r="V66" s="2" t="s">
        <v>2265</v>
      </c>
      <c r="W66" s="2" t="s">
        <v>38</v>
      </c>
      <c r="X66" s="2" t="s">
        <v>38</v>
      </c>
      <c r="Y66" s="2" t="s">
        <v>2063</v>
      </c>
      <c r="Z66" s="2" t="s">
        <v>45</v>
      </c>
      <c r="AA66" s="2" t="s">
        <v>46</v>
      </c>
      <c r="AB66" s="2" t="s">
        <v>38</v>
      </c>
      <c r="AC66" s="2" t="s">
        <v>1999</v>
      </c>
      <c r="AD66" s="2" t="s">
        <v>2006</v>
      </c>
      <c r="AE66" s="2" t="s">
        <v>2063</v>
      </c>
      <c r="AF66" s="2" t="s">
        <v>38</v>
      </c>
      <c r="AG66" s="34">
        <v>46078</v>
      </c>
    </row>
    <row r="67" spans="1:33" ht="90" x14ac:dyDescent="0.25">
      <c r="A67" s="2" t="s">
        <v>215</v>
      </c>
      <c r="B67" s="2" t="s">
        <v>2594</v>
      </c>
      <c r="C67" s="2" t="s">
        <v>38</v>
      </c>
      <c r="D67" s="2" t="s">
        <v>38</v>
      </c>
      <c r="E67" s="2" t="s">
        <v>179</v>
      </c>
      <c r="F67" s="2" t="s">
        <v>38</v>
      </c>
      <c r="G67" s="2" t="s">
        <v>40</v>
      </c>
      <c r="H67" s="2" t="s">
        <v>2859</v>
      </c>
      <c r="I67" s="2" t="s">
        <v>67</v>
      </c>
      <c r="J67" s="2" t="s">
        <v>2557</v>
      </c>
      <c r="K67" s="2" t="s">
        <v>41</v>
      </c>
      <c r="L67" s="2" t="s">
        <v>216</v>
      </c>
      <c r="M67" s="2" t="s">
        <v>51</v>
      </c>
      <c r="N67" s="2" t="s">
        <v>217</v>
      </c>
      <c r="O67" s="2" t="s">
        <v>38</v>
      </c>
      <c r="P67" s="2" t="s">
        <v>2485</v>
      </c>
      <c r="Q67" s="2" t="s">
        <v>2496</v>
      </c>
      <c r="R67" s="2" t="s">
        <v>180</v>
      </c>
      <c r="S67" s="2" t="s">
        <v>38</v>
      </c>
      <c r="T67" s="2" t="s">
        <v>60</v>
      </c>
      <c r="U67" s="2" t="s">
        <v>38</v>
      </c>
      <c r="V67" s="2" t="s">
        <v>38</v>
      </c>
      <c r="W67" s="2" t="s">
        <v>38</v>
      </c>
      <c r="X67" s="2" t="s">
        <v>38</v>
      </c>
      <c r="Y67" s="2" t="s">
        <v>2070</v>
      </c>
      <c r="Z67" s="2" t="s">
        <v>45</v>
      </c>
      <c r="AA67" s="2" t="s">
        <v>38</v>
      </c>
      <c r="AB67" s="2" t="s">
        <v>38</v>
      </c>
      <c r="AC67" s="2" t="s">
        <v>2071</v>
      </c>
      <c r="AD67" s="2" t="s">
        <v>38</v>
      </c>
      <c r="AE67" s="2" t="s">
        <v>2070</v>
      </c>
      <c r="AF67" s="2" t="s">
        <v>38</v>
      </c>
      <c r="AG67" s="34">
        <v>46078</v>
      </c>
    </row>
    <row r="68" spans="1:33" ht="240" x14ac:dyDescent="0.25">
      <c r="A68" s="2" t="s">
        <v>218</v>
      </c>
      <c r="B68" s="2" t="s">
        <v>2595</v>
      </c>
      <c r="C68" s="2" t="s">
        <v>38</v>
      </c>
      <c r="D68" s="2" t="s">
        <v>38</v>
      </c>
      <c r="E68" s="2" t="s">
        <v>163</v>
      </c>
      <c r="F68" s="2" t="s">
        <v>49</v>
      </c>
      <c r="G68" s="2" t="s">
        <v>40</v>
      </c>
      <c r="H68" s="2" t="s">
        <v>2596</v>
      </c>
      <c r="I68" s="2" t="s">
        <v>2597</v>
      </c>
      <c r="J68" s="2" t="s">
        <v>2557</v>
      </c>
      <c r="K68" s="2" t="s">
        <v>50</v>
      </c>
      <c r="L68" s="2" t="s">
        <v>219</v>
      </c>
      <c r="M68" s="2" t="s">
        <v>51</v>
      </c>
      <c r="N68" s="2" t="s">
        <v>3228</v>
      </c>
      <c r="O68" s="2" t="s">
        <v>3351</v>
      </c>
      <c r="P68" s="2" t="s">
        <v>38</v>
      </c>
      <c r="Q68" s="2" t="s">
        <v>2258</v>
      </c>
      <c r="R68" s="2" t="s">
        <v>59</v>
      </c>
      <c r="S68" s="2" t="s">
        <v>38</v>
      </c>
      <c r="T68" s="2" t="s">
        <v>60</v>
      </c>
      <c r="U68" s="2" t="s">
        <v>2259</v>
      </c>
      <c r="V68" s="2" t="s">
        <v>2258</v>
      </c>
      <c r="W68" s="2" t="s">
        <v>38</v>
      </c>
      <c r="X68" s="2" t="s">
        <v>38</v>
      </c>
      <c r="Y68" s="2" t="s">
        <v>2070</v>
      </c>
      <c r="Z68" s="2" t="s">
        <v>45</v>
      </c>
      <c r="AA68" s="2" t="s">
        <v>38</v>
      </c>
      <c r="AB68" s="2" t="s">
        <v>38</v>
      </c>
      <c r="AC68" s="2" t="s">
        <v>2071</v>
      </c>
      <c r="AD68" s="2" t="s">
        <v>38</v>
      </c>
      <c r="AE68" s="2" t="s">
        <v>2070</v>
      </c>
      <c r="AF68" s="2" t="s">
        <v>38</v>
      </c>
      <c r="AG68" s="34">
        <v>46078</v>
      </c>
    </row>
    <row r="69" spans="1:33" ht="180" x14ac:dyDescent="0.25">
      <c r="A69" s="2" t="s">
        <v>220</v>
      </c>
      <c r="B69" s="2" t="s">
        <v>2994</v>
      </c>
      <c r="C69" s="2" t="s">
        <v>38</v>
      </c>
      <c r="D69" s="2" t="s">
        <v>38</v>
      </c>
      <c r="E69" s="2" t="s">
        <v>163</v>
      </c>
      <c r="F69" s="2" t="s">
        <v>3126</v>
      </c>
      <c r="G69" s="2" t="s">
        <v>40</v>
      </c>
      <c r="H69" s="2" t="s">
        <v>2995</v>
      </c>
      <c r="I69" s="2" t="s">
        <v>2916</v>
      </c>
      <c r="J69" s="2" t="s">
        <v>2979</v>
      </c>
      <c r="K69" s="2" t="s">
        <v>50</v>
      </c>
      <c r="L69" s="2" t="s">
        <v>3152</v>
      </c>
      <c r="M69" s="2" t="s">
        <v>89</v>
      </c>
      <c r="N69" s="2" t="s">
        <v>3153</v>
      </c>
      <c r="O69" s="2" t="s">
        <v>3154</v>
      </c>
      <c r="P69" s="2" t="s">
        <v>3210</v>
      </c>
      <c r="Q69" s="2" t="s">
        <v>2271</v>
      </c>
      <c r="R69" s="2" t="s">
        <v>59</v>
      </c>
      <c r="S69" s="2" t="s">
        <v>38</v>
      </c>
      <c r="T69" s="2" t="s">
        <v>60</v>
      </c>
      <c r="U69" s="2" t="s">
        <v>2185</v>
      </c>
      <c r="V69" s="2" t="s">
        <v>2271</v>
      </c>
      <c r="W69" s="2" t="s">
        <v>38</v>
      </c>
      <c r="X69" s="2" t="s">
        <v>38</v>
      </c>
      <c r="Y69" s="2" t="s">
        <v>2962</v>
      </c>
      <c r="Z69" s="2" t="s">
        <v>45</v>
      </c>
      <c r="AA69" s="2" t="s">
        <v>77</v>
      </c>
      <c r="AB69" s="2" t="s">
        <v>80</v>
      </c>
      <c r="AC69" s="2" t="s">
        <v>1999</v>
      </c>
      <c r="AD69" s="2" t="s">
        <v>38</v>
      </c>
      <c r="AE69" s="2" t="s">
        <v>2962</v>
      </c>
      <c r="AF69" s="2" t="s">
        <v>38</v>
      </c>
      <c r="AG69" s="34">
        <v>46078</v>
      </c>
    </row>
    <row r="70" spans="1:33" ht="180" x14ac:dyDescent="0.25">
      <c r="A70" s="2" t="s">
        <v>221</v>
      </c>
      <c r="B70" s="2" t="s">
        <v>2996</v>
      </c>
      <c r="C70" s="2" t="s">
        <v>38</v>
      </c>
      <c r="D70" s="2" t="s">
        <v>38</v>
      </c>
      <c r="E70" s="2" t="s">
        <v>163</v>
      </c>
      <c r="F70" s="2" t="s">
        <v>3126</v>
      </c>
      <c r="G70" s="2" t="s">
        <v>40</v>
      </c>
      <c r="H70" s="2" t="s">
        <v>2599</v>
      </c>
      <c r="I70" s="2" t="s">
        <v>2556</v>
      </c>
      <c r="J70" s="2" t="s">
        <v>2979</v>
      </c>
      <c r="K70" s="2" t="s">
        <v>50</v>
      </c>
      <c r="L70" s="2" t="s">
        <v>3155</v>
      </c>
      <c r="M70" s="2" t="s">
        <v>89</v>
      </c>
      <c r="N70" s="2" t="s">
        <v>3156</v>
      </c>
      <c r="O70" s="2" t="s">
        <v>3157</v>
      </c>
      <c r="P70" s="2" t="s">
        <v>3210</v>
      </c>
      <c r="Q70" s="2" t="s">
        <v>2129</v>
      </c>
      <c r="R70" s="2" t="s">
        <v>59</v>
      </c>
      <c r="S70" s="2" t="s">
        <v>38</v>
      </c>
      <c r="T70" s="2" t="s">
        <v>60</v>
      </c>
      <c r="U70" s="2" t="s">
        <v>2128</v>
      </c>
      <c r="V70" s="2" t="s">
        <v>2129</v>
      </c>
      <c r="W70" s="2" t="s">
        <v>38</v>
      </c>
      <c r="X70" s="2" t="s">
        <v>38</v>
      </c>
      <c r="Y70" s="2" t="s">
        <v>2962</v>
      </c>
      <c r="Z70" s="2" t="s">
        <v>45</v>
      </c>
      <c r="AA70" s="2" t="s">
        <v>77</v>
      </c>
      <c r="AB70" s="2" t="s">
        <v>80</v>
      </c>
      <c r="AC70" s="2" t="s">
        <v>1999</v>
      </c>
      <c r="AD70" s="2" t="s">
        <v>38</v>
      </c>
      <c r="AE70" s="2" t="s">
        <v>2962</v>
      </c>
      <c r="AF70" s="2" t="s">
        <v>38</v>
      </c>
      <c r="AG70" s="34">
        <v>46078</v>
      </c>
    </row>
    <row r="71" spans="1:33" ht="180" x14ac:dyDescent="0.25">
      <c r="A71" s="2" t="s">
        <v>222</v>
      </c>
      <c r="B71" s="2" t="s">
        <v>2997</v>
      </c>
      <c r="C71" s="2" t="s">
        <v>38</v>
      </c>
      <c r="D71" s="2" t="s">
        <v>38</v>
      </c>
      <c r="E71" s="2" t="s">
        <v>163</v>
      </c>
      <c r="F71" s="2" t="s">
        <v>3126</v>
      </c>
      <c r="G71" s="2" t="s">
        <v>40</v>
      </c>
      <c r="H71" s="2" t="s">
        <v>2599</v>
      </c>
      <c r="I71" s="2" t="s">
        <v>2808</v>
      </c>
      <c r="J71" s="2" t="s">
        <v>2979</v>
      </c>
      <c r="K71" s="2" t="s">
        <v>50</v>
      </c>
      <c r="L71" s="2" t="s">
        <v>3158</v>
      </c>
      <c r="M71" s="2" t="s">
        <v>73</v>
      </c>
      <c r="N71" s="2" t="s">
        <v>3159</v>
      </c>
      <c r="O71" s="2" t="s">
        <v>3160</v>
      </c>
      <c r="P71" s="2" t="s">
        <v>3210</v>
      </c>
      <c r="Q71" s="2" t="s">
        <v>2332</v>
      </c>
      <c r="R71" s="2" t="s">
        <v>59</v>
      </c>
      <c r="S71" s="2" t="s">
        <v>38</v>
      </c>
      <c r="T71" s="2" t="s">
        <v>60</v>
      </c>
      <c r="U71" s="2" t="s">
        <v>2128</v>
      </c>
      <c r="V71" s="2" t="s">
        <v>2332</v>
      </c>
      <c r="W71" s="2" t="s">
        <v>38</v>
      </c>
      <c r="X71" s="2" t="s">
        <v>38</v>
      </c>
      <c r="Y71" s="2" t="s">
        <v>2962</v>
      </c>
      <c r="Z71" s="2" t="s">
        <v>45</v>
      </c>
      <c r="AA71" s="2" t="s">
        <v>77</v>
      </c>
      <c r="AB71" s="2" t="s">
        <v>80</v>
      </c>
      <c r="AC71" s="2" t="s">
        <v>1999</v>
      </c>
      <c r="AD71" s="2" t="s">
        <v>38</v>
      </c>
      <c r="AE71" s="2" t="s">
        <v>2962</v>
      </c>
      <c r="AF71" s="2" t="s">
        <v>38</v>
      </c>
      <c r="AG71" s="34">
        <v>46078</v>
      </c>
    </row>
    <row r="72" spans="1:33" ht="180" x14ac:dyDescent="0.25">
      <c r="A72" s="2" t="s">
        <v>223</v>
      </c>
      <c r="B72" s="2" t="s">
        <v>2998</v>
      </c>
      <c r="C72" s="2" t="s">
        <v>38</v>
      </c>
      <c r="D72" s="2" t="s">
        <v>38</v>
      </c>
      <c r="E72" s="2" t="s">
        <v>163</v>
      </c>
      <c r="F72" s="2" t="s">
        <v>3126</v>
      </c>
      <c r="G72" s="2" t="s">
        <v>40</v>
      </c>
      <c r="H72" s="2" t="s">
        <v>2599</v>
      </c>
      <c r="I72" s="2" t="s">
        <v>2807</v>
      </c>
      <c r="J72" s="2" t="s">
        <v>2979</v>
      </c>
      <c r="K72" s="2" t="s">
        <v>50</v>
      </c>
      <c r="L72" s="2" t="s">
        <v>3161</v>
      </c>
      <c r="M72" s="2" t="s">
        <v>73</v>
      </c>
      <c r="N72" s="2" t="s">
        <v>3162</v>
      </c>
      <c r="O72" s="2" t="s">
        <v>3163</v>
      </c>
      <c r="P72" s="2" t="s">
        <v>3210</v>
      </c>
      <c r="Q72" s="2" t="s">
        <v>2408</v>
      </c>
      <c r="R72" s="2" t="s">
        <v>59</v>
      </c>
      <c r="S72" s="2" t="s">
        <v>38</v>
      </c>
      <c r="T72" s="2" t="s">
        <v>60</v>
      </c>
      <c r="U72" s="2" t="s">
        <v>2128</v>
      </c>
      <c r="V72" s="2" t="s">
        <v>2408</v>
      </c>
      <c r="W72" s="2" t="s">
        <v>38</v>
      </c>
      <c r="X72" s="2" t="s">
        <v>38</v>
      </c>
      <c r="Y72" s="2" t="s">
        <v>2962</v>
      </c>
      <c r="Z72" s="2" t="s">
        <v>45</v>
      </c>
      <c r="AA72" s="2" t="s">
        <v>77</v>
      </c>
      <c r="AB72" s="2" t="s">
        <v>80</v>
      </c>
      <c r="AC72" s="2" t="s">
        <v>1999</v>
      </c>
      <c r="AD72" s="2" t="s">
        <v>38</v>
      </c>
      <c r="AE72" s="2" t="s">
        <v>2962</v>
      </c>
      <c r="AF72" s="2" t="s">
        <v>38</v>
      </c>
      <c r="AG72" s="34">
        <v>46078</v>
      </c>
    </row>
    <row r="73" spans="1:33" ht="180" x14ac:dyDescent="0.25">
      <c r="A73" s="2" t="s">
        <v>224</v>
      </c>
      <c r="B73" s="2" t="s">
        <v>2999</v>
      </c>
      <c r="C73" s="2" t="s">
        <v>38</v>
      </c>
      <c r="D73" s="2" t="s">
        <v>38</v>
      </c>
      <c r="E73" s="2" t="s">
        <v>179</v>
      </c>
      <c r="F73" s="2" t="s">
        <v>3126</v>
      </c>
      <c r="G73" s="2" t="s">
        <v>40</v>
      </c>
      <c r="H73" s="2" t="s">
        <v>2692</v>
      </c>
      <c r="I73" s="2" t="s">
        <v>67</v>
      </c>
      <c r="J73" s="2" t="s">
        <v>2979</v>
      </c>
      <c r="K73" s="2" t="s">
        <v>50</v>
      </c>
      <c r="L73" s="2" t="s">
        <v>3164</v>
      </c>
      <c r="M73" s="2" t="s">
        <v>89</v>
      </c>
      <c r="N73" s="2" t="s">
        <v>3165</v>
      </c>
      <c r="O73" s="2" t="s">
        <v>3166</v>
      </c>
      <c r="P73" s="2" t="s">
        <v>3210</v>
      </c>
      <c r="Q73" s="2" t="s">
        <v>2248</v>
      </c>
      <c r="R73" s="2" t="s">
        <v>180</v>
      </c>
      <c r="S73" s="2" t="s">
        <v>38</v>
      </c>
      <c r="T73" s="2" t="s">
        <v>60</v>
      </c>
      <c r="U73" s="2" t="s">
        <v>2248</v>
      </c>
      <c r="V73" s="2" t="s">
        <v>38</v>
      </c>
      <c r="W73" s="2" t="s">
        <v>38</v>
      </c>
      <c r="X73" s="2" t="s">
        <v>38</v>
      </c>
      <c r="Y73" s="2" t="s">
        <v>2962</v>
      </c>
      <c r="Z73" s="2" t="s">
        <v>45</v>
      </c>
      <c r="AA73" s="2" t="s">
        <v>77</v>
      </c>
      <c r="AB73" s="2" t="s">
        <v>80</v>
      </c>
      <c r="AC73" s="2" t="s">
        <v>1999</v>
      </c>
      <c r="AD73" s="2" t="s">
        <v>38</v>
      </c>
      <c r="AE73" s="2" t="s">
        <v>2962</v>
      </c>
      <c r="AF73" s="2" t="s">
        <v>38</v>
      </c>
      <c r="AG73" s="34">
        <v>46078</v>
      </c>
    </row>
    <row r="74" spans="1:33" ht="180" x14ac:dyDescent="0.25">
      <c r="A74" s="2" t="s">
        <v>225</v>
      </c>
      <c r="B74" s="2" t="s">
        <v>3000</v>
      </c>
      <c r="C74" s="2" t="s">
        <v>38</v>
      </c>
      <c r="D74" s="2" t="s">
        <v>38</v>
      </c>
      <c r="E74" s="2" t="s">
        <v>179</v>
      </c>
      <c r="F74" s="2" t="s">
        <v>3126</v>
      </c>
      <c r="G74" s="2" t="s">
        <v>40</v>
      </c>
      <c r="H74" s="2" t="s">
        <v>3001</v>
      </c>
      <c r="I74" s="2" t="s">
        <v>67</v>
      </c>
      <c r="J74" s="2" t="s">
        <v>2979</v>
      </c>
      <c r="K74" s="2" t="s">
        <v>50</v>
      </c>
      <c r="L74" s="2" t="s">
        <v>3167</v>
      </c>
      <c r="M74" s="2" t="s">
        <v>89</v>
      </c>
      <c r="N74" s="2" t="s">
        <v>3168</v>
      </c>
      <c r="O74" s="2" t="s">
        <v>3171</v>
      </c>
      <c r="P74" s="2" t="s">
        <v>3210</v>
      </c>
      <c r="Q74" s="2" t="s">
        <v>2252</v>
      </c>
      <c r="R74" s="2" t="s">
        <v>180</v>
      </c>
      <c r="S74" s="2" t="s">
        <v>38</v>
      </c>
      <c r="T74" s="2" t="s">
        <v>60</v>
      </c>
      <c r="U74" s="2" t="s">
        <v>2252</v>
      </c>
      <c r="V74" s="2" t="s">
        <v>38</v>
      </c>
      <c r="W74" s="2" t="s">
        <v>38</v>
      </c>
      <c r="X74" s="2" t="s">
        <v>38</v>
      </c>
      <c r="Y74" s="2" t="s">
        <v>2962</v>
      </c>
      <c r="Z74" s="2" t="s">
        <v>45</v>
      </c>
      <c r="AA74" s="2" t="s">
        <v>77</v>
      </c>
      <c r="AB74" s="2" t="s">
        <v>80</v>
      </c>
      <c r="AC74" s="2" t="s">
        <v>1999</v>
      </c>
      <c r="AD74" s="2" t="s">
        <v>38</v>
      </c>
      <c r="AE74" s="2" t="s">
        <v>2962</v>
      </c>
      <c r="AF74" s="2" t="s">
        <v>38</v>
      </c>
      <c r="AG74" s="34">
        <v>46078</v>
      </c>
    </row>
    <row r="75" spans="1:33" ht="225" x14ac:dyDescent="0.25">
      <c r="A75" s="2" t="s">
        <v>226</v>
      </c>
      <c r="B75" s="2" t="s">
        <v>2598</v>
      </c>
      <c r="C75" s="2" t="s">
        <v>38</v>
      </c>
      <c r="D75" s="2" t="s">
        <v>38</v>
      </c>
      <c r="E75" s="2" t="s">
        <v>163</v>
      </c>
      <c r="F75" s="2" t="s">
        <v>164</v>
      </c>
      <c r="G75" s="2" t="s">
        <v>40</v>
      </c>
      <c r="H75" s="2" t="s">
        <v>2599</v>
      </c>
      <c r="I75" s="2" t="s">
        <v>3002</v>
      </c>
      <c r="J75" s="2" t="s">
        <v>2600</v>
      </c>
      <c r="K75" s="2" t="s">
        <v>50</v>
      </c>
      <c r="L75" s="2" t="s">
        <v>227</v>
      </c>
      <c r="M75" s="2" t="s">
        <v>89</v>
      </c>
      <c r="N75" s="2" t="s">
        <v>228</v>
      </c>
      <c r="O75" s="2" t="s">
        <v>3353</v>
      </c>
      <c r="P75" s="2" t="s">
        <v>3352</v>
      </c>
      <c r="Q75" s="2" t="s">
        <v>2408</v>
      </c>
      <c r="R75" s="2" t="s">
        <v>59</v>
      </c>
      <c r="S75" s="2" t="s">
        <v>38</v>
      </c>
      <c r="T75" s="2" t="s">
        <v>60</v>
      </c>
      <c r="U75" s="2" t="s">
        <v>2128</v>
      </c>
      <c r="V75" s="2" t="s">
        <v>2408</v>
      </c>
      <c r="W75" s="2" t="s">
        <v>38</v>
      </c>
      <c r="X75" s="2" t="s">
        <v>38</v>
      </c>
      <c r="Y75" s="2" t="s">
        <v>2035</v>
      </c>
      <c r="Z75" s="2" t="s">
        <v>45</v>
      </c>
      <c r="AA75" s="2" t="s">
        <v>132</v>
      </c>
      <c r="AB75" s="2" t="s">
        <v>38</v>
      </c>
      <c r="AC75" s="2" t="s">
        <v>1999</v>
      </c>
      <c r="AD75" s="2" t="s">
        <v>2000</v>
      </c>
      <c r="AE75" s="2" t="s">
        <v>2035</v>
      </c>
      <c r="AF75" s="2" t="s">
        <v>38</v>
      </c>
      <c r="AG75" s="34">
        <v>46078</v>
      </c>
    </row>
    <row r="76" spans="1:33" ht="150" x14ac:dyDescent="0.25">
      <c r="A76" s="2" t="s">
        <v>229</v>
      </c>
      <c r="B76" s="2" t="s">
        <v>2601</v>
      </c>
      <c r="C76" s="2" t="s">
        <v>86</v>
      </c>
      <c r="D76" s="2" t="s">
        <v>230</v>
      </c>
      <c r="E76" s="2" t="s">
        <v>163</v>
      </c>
      <c r="F76" s="2" t="s">
        <v>164</v>
      </c>
      <c r="G76" s="2" t="s">
        <v>40</v>
      </c>
      <c r="H76" s="2" t="s">
        <v>2563</v>
      </c>
      <c r="I76" s="2" t="s">
        <v>2602</v>
      </c>
      <c r="J76" s="2" t="s">
        <v>2603</v>
      </c>
      <c r="K76" s="2" t="s">
        <v>87</v>
      </c>
      <c r="L76" s="2" t="s">
        <v>231</v>
      </c>
      <c r="M76" s="2" t="s">
        <v>89</v>
      </c>
      <c r="N76" s="2" t="s">
        <v>232</v>
      </c>
      <c r="O76" s="2" t="s">
        <v>3287</v>
      </c>
      <c r="P76" s="2" t="s">
        <v>3354</v>
      </c>
      <c r="Q76" s="2" t="s">
        <v>2119</v>
      </c>
      <c r="R76" s="2" t="s">
        <v>59</v>
      </c>
      <c r="S76" s="2" t="s">
        <v>38</v>
      </c>
      <c r="T76" s="2" t="s">
        <v>60</v>
      </c>
      <c r="U76" s="2" t="s">
        <v>2118</v>
      </c>
      <c r="V76" s="2" t="s">
        <v>2119</v>
      </c>
      <c r="W76" s="2" t="s">
        <v>38</v>
      </c>
      <c r="X76" s="2" t="s">
        <v>38</v>
      </c>
      <c r="Y76" s="2" t="s">
        <v>1997</v>
      </c>
      <c r="Z76" s="2" t="s">
        <v>45</v>
      </c>
      <c r="AA76" s="2" t="s">
        <v>86</v>
      </c>
      <c r="AB76" s="2" t="s">
        <v>38</v>
      </c>
      <c r="AC76" s="2" t="s">
        <v>1999</v>
      </c>
      <c r="AD76" s="2" t="s">
        <v>2000</v>
      </c>
      <c r="AE76" s="2" t="s">
        <v>1997</v>
      </c>
      <c r="AF76" s="2" t="s">
        <v>38</v>
      </c>
      <c r="AG76" s="34">
        <v>46078</v>
      </c>
    </row>
    <row r="77" spans="1:33" ht="270" x14ac:dyDescent="0.25">
      <c r="A77" s="2" t="s">
        <v>233</v>
      </c>
      <c r="B77" s="2" t="s">
        <v>2604</v>
      </c>
      <c r="C77" s="2" t="s">
        <v>38</v>
      </c>
      <c r="D77" s="2" t="s">
        <v>38</v>
      </c>
      <c r="E77" s="2" t="s">
        <v>163</v>
      </c>
      <c r="F77" s="2" t="s">
        <v>164</v>
      </c>
      <c r="G77" s="2" t="s">
        <v>40</v>
      </c>
      <c r="H77" s="2" t="s">
        <v>2563</v>
      </c>
      <c r="I77" s="2" t="s">
        <v>2602</v>
      </c>
      <c r="J77" s="2" t="s">
        <v>2600</v>
      </c>
      <c r="K77" s="2" t="s">
        <v>50</v>
      </c>
      <c r="L77" s="2" t="s">
        <v>234</v>
      </c>
      <c r="M77" s="2" t="s">
        <v>89</v>
      </c>
      <c r="N77" s="2" t="s">
        <v>235</v>
      </c>
      <c r="O77" s="2" t="s">
        <v>3356</v>
      </c>
      <c r="P77" s="2" t="s">
        <v>3355</v>
      </c>
      <c r="Q77" s="2" t="s">
        <v>2119</v>
      </c>
      <c r="R77" s="2" t="s">
        <v>59</v>
      </c>
      <c r="S77" s="2" t="s">
        <v>38</v>
      </c>
      <c r="T77" s="2" t="s">
        <v>60</v>
      </c>
      <c r="U77" s="2" t="s">
        <v>2118</v>
      </c>
      <c r="V77" s="2" t="s">
        <v>2119</v>
      </c>
      <c r="W77" s="2" t="s">
        <v>38</v>
      </c>
      <c r="X77" s="2" t="s">
        <v>38</v>
      </c>
      <c r="Y77" s="2" t="s">
        <v>2035</v>
      </c>
      <c r="Z77" s="2" t="s">
        <v>45</v>
      </c>
      <c r="AA77" s="2" t="s">
        <v>132</v>
      </c>
      <c r="AB77" s="2" t="s">
        <v>38</v>
      </c>
      <c r="AC77" s="2" t="s">
        <v>1999</v>
      </c>
      <c r="AD77" s="2" t="s">
        <v>2000</v>
      </c>
      <c r="AE77" s="2" t="s">
        <v>2035</v>
      </c>
      <c r="AF77" s="2" t="s">
        <v>38</v>
      </c>
      <c r="AG77" s="34">
        <v>46078</v>
      </c>
    </row>
    <row r="78" spans="1:33" ht="180" x14ac:dyDescent="0.25">
      <c r="A78" s="2" t="s">
        <v>236</v>
      </c>
      <c r="B78" s="2" t="s">
        <v>2605</v>
      </c>
      <c r="C78" s="2" t="s">
        <v>38</v>
      </c>
      <c r="D78" s="2" t="s">
        <v>38</v>
      </c>
      <c r="E78" s="2" t="s">
        <v>48</v>
      </c>
      <c r="F78" s="2" t="s">
        <v>164</v>
      </c>
      <c r="G78" s="2" t="s">
        <v>40</v>
      </c>
      <c r="H78" s="2" t="s">
        <v>2599</v>
      </c>
      <c r="I78" s="2" t="s">
        <v>2608</v>
      </c>
      <c r="J78" s="2" t="s">
        <v>2605</v>
      </c>
      <c r="K78" s="2" t="s">
        <v>87</v>
      </c>
      <c r="L78" s="2" t="s">
        <v>237</v>
      </c>
      <c r="M78" s="2" t="s">
        <v>89</v>
      </c>
      <c r="N78" s="2" t="s">
        <v>238</v>
      </c>
      <c r="O78" s="2" t="s">
        <v>3288</v>
      </c>
      <c r="P78" s="2" t="s">
        <v>3357</v>
      </c>
      <c r="Q78" s="2" t="s">
        <v>2150</v>
      </c>
      <c r="R78" s="2" t="s">
        <v>45</v>
      </c>
      <c r="S78" s="2" t="s">
        <v>38</v>
      </c>
      <c r="T78" s="2" t="s">
        <v>60</v>
      </c>
      <c r="U78" s="2" t="s">
        <v>2128</v>
      </c>
      <c r="V78" s="2" t="s">
        <v>2129</v>
      </c>
      <c r="W78" s="2" t="s">
        <v>2150</v>
      </c>
      <c r="X78" s="2" t="s">
        <v>38</v>
      </c>
      <c r="Y78" s="2" t="s">
        <v>2035</v>
      </c>
      <c r="Z78" s="2" t="s">
        <v>45</v>
      </c>
      <c r="AA78" s="2" t="s">
        <v>132</v>
      </c>
      <c r="AB78" s="2" t="s">
        <v>38</v>
      </c>
      <c r="AC78" s="2" t="s">
        <v>1999</v>
      </c>
      <c r="AD78" s="2" t="s">
        <v>2000</v>
      </c>
      <c r="AE78" s="2" t="s">
        <v>2035</v>
      </c>
      <c r="AF78" s="2" t="s">
        <v>38</v>
      </c>
      <c r="AG78" s="34">
        <v>46078</v>
      </c>
    </row>
    <row r="79" spans="1:33" ht="285" x14ac:dyDescent="0.25">
      <c r="A79" s="2" t="s">
        <v>239</v>
      </c>
      <c r="B79" s="2" t="s">
        <v>2606</v>
      </c>
      <c r="C79" s="2" t="s">
        <v>38</v>
      </c>
      <c r="D79" s="2" t="s">
        <v>38</v>
      </c>
      <c r="E79" s="2" t="s">
        <v>163</v>
      </c>
      <c r="F79" s="2" t="s">
        <v>164</v>
      </c>
      <c r="G79" s="2" t="s">
        <v>40</v>
      </c>
      <c r="H79" s="2" t="s">
        <v>2599</v>
      </c>
      <c r="I79" s="2" t="s">
        <v>3003</v>
      </c>
      <c r="J79" s="2" t="s">
        <v>2600</v>
      </c>
      <c r="K79" s="2" t="s">
        <v>50</v>
      </c>
      <c r="L79" s="2" t="s">
        <v>240</v>
      </c>
      <c r="M79" s="2" t="s">
        <v>89</v>
      </c>
      <c r="N79" s="2" t="s">
        <v>241</v>
      </c>
      <c r="O79" s="2" t="s">
        <v>3359</v>
      </c>
      <c r="P79" s="2" t="s">
        <v>3358</v>
      </c>
      <c r="Q79" s="2" t="s">
        <v>2332</v>
      </c>
      <c r="R79" s="2" t="s">
        <v>59</v>
      </c>
      <c r="S79" s="2" t="s">
        <v>38</v>
      </c>
      <c r="T79" s="2" t="s">
        <v>60</v>
      </c>
      <c r="U79" s="2" t="s">
        <v>2128</v>
      </c>
      <c r="V79" s="2" t="s">
        <v>2332</v>
      </c>
      <c r="W79" s="2" t="s">
        <v>38</v>
      </c>
      <c r="X79" s="2" t="s">
        <v>38</v>
      </c>
      <c r="Y79" s="2" t="s">
        <v>2035</v>
      </c>
      <c r="Z79" s="2" t="s">
        <v>45</v>
      </c>
      <c r="AA79" s="2" t="s">
        <v>132</v>
      </c>
      <c r="AB79" s="2" t="s">
        <v>38</v>
      </c>
      <c r="AC79" s="2" t="s">
        <v>1999</v>
      </c>
      <c r="AD79" s="2" t="s">
        <v>2000</v>
      </c>
      <c r="AE79" s="2" t="s">
        <v>2035</v>
      </c>
      <c r="AF79" s="2" t="s">
        <v>38</v>
      </c>
      <c r="AG79" s="34">
        <v>46078</v>
      </c>
    </row>
    <row r="80" spans="1:33" ht="225" x14ac:dyDescent="0.25">
      <c r="A80" s="2" t="s">
        <v>242</v>
      </c>
      <c r="B80" s="2" t="s">
        <v>2607</v>
      </c>
      <c r="C80" s="2" t="s">
        <v>86</v>
      </c>
      <c r="D80" s="2" t="s">
        <v>230</v>
      </c>
      <c r="E80" s="2" t="s">
        <v>163</v>
      </c>
      <c r="F80" s="2" t="s">
        <v>62</v>
      </c>
      <c r="G80" s="2" t="s">
        <v>40</v>
      </c>
      <c r="H80" s="2" t="s">
        <v>2599</v>
      </c>
      <c r="I80" s="2" t="s">
        <v>2608</v>
      </c>
      <c r="J80" s="2" t="s">
        <v>2603</v>
      </c>
      <c r="K80" s="2" t="s">
        <v>87</v>
      </c>
      <c r="L80" s="2" t="s">
        <v>243</v>
      </c>
      <c r="M80" s="2" t="s">
        <v>89</v>
      </c>
      <c r="N80" s="2" t="s">
        <v>244</v>
      </c>
      <c r="O80" s="2" t="s">
        <v>245</v>
      </c>
      <c r="P80" s="2" t="s">
        <v>3360</v>
      </c>
      <c r="Q80" s="2" t="s">
        <v>2129</v>
      </c>
      <c r="R80" s="2" t="s">
        <v>59</v>
      </c>
      <c r="S80" s="2" t="s">
        <v>38</v>
      </c>
      <c r="T80" s="2" t="s">
        <v>60</v>
      </c>
      <c r="U80" s="2" t="s">
        <v>2128</v>
      </c>
      <c r="V80" s="2" t="s">
        <v>2129</v>
      </c>
      <c r="W80" s="2" t="s">
        <v>38</v>
      </c>
      <c r="X80" s="2" t="s">
        <v>38</v>
      </c>
      <c r="Y80" s="2" t="s">
        <v>1997</v>
      </c>
      <c r="Z80" s="2" t="s">
        <v>45</v>
      </c>
      <c r="AA80" s="2" t="s">
        <v>86</v>
      </c>
      <c r="AB80" s="2" t="s">
        <v>38</v>
      </c>
      <c r="AC80" s="2" t="s">
        <v>1999</v>
      </c>
      <c r="AD80" s="2" t="s">
        <v>2000</v>
      </c>
      <c r="AE80" s="2" t="s">
        <v>1997</v>
      </c>
      <c r="AF80" s="2" t="s">
        <v>38</v>
      </c>
      <c r="AG80" s="34">
        <v>46078</v>
      </c>
    </row>
    <row r="81" spans="1:33" ht="45" x14ac:dyDescent="0.25">
      <c r="A81" s="2" t="s">
        <v>246</v>
      </c>
      <c r="B81" s="2" t="s">
        <v>2609</v>
      </c>
      <c r="C81" s="2" t="s">
        <v>38</v>
      </c>
      <c r="D81" s="2" t="s">
        <v>38</v>
      </c>
      <c r="E81" s="2" t="s">
        <v>194</v>
      </c>
      <c r="F81" s="2" t="s">
        <v>38</v>
      </c>
      <c r="G81" s="2" t="s">
        <v>40</v>
      </c>
      <c r="H81" s="2" t="s">
        <v>2610</v>
      </c>
      <c r="I81" s="2" t="s">
        <v>2609</v>
      </c>
      <c r="J81" s="2" t="s">
        <v>67</v>
      </c>
      <c r="K81" s="2" t="s">
        <v>50</v>
      </c>
      <c r="L81" s="2" t="s">
        <v>38</v>
      </c>
      <c r="M81" s="2" t="s">
        <v>38</v>
      </c>
      <c r="N81" s="2" t="s">
        <v>38</v>
      </c>
      <c r="O81" s="2" t="s">
        <v>38</v>
      </c>
      <c r="P81" s="2" t="s">
        <v>38</v>
      </c>
      <c r="Q81" s="2" t="s">
        <v>2119</v>
      </c>
      <c r="R81" s="2" t="s">
        <v>59</v>
      </c>
      <c r="S81" s="2" t="s">
        <v>38</v>
      </c>
      <c r="T81" s="2" t="s">
        <v>60</v>
      </c>
      <c r="U81" s="2" t="s">
        <v>2118</v>
      </c>
      <c r="V81" s="2" t="s">
        <v>2119</v>
      </c>
      <c r="W81" s="2" t="s">
        <v>38</v>
      </c>
      <c r="X81" s="2" t="s">
        <v>38</v>
      </c>
      <c r="Y81" s="2" t="s">
        <v>2265</v>
      </c>
      <c r="Z81" s="2" t="s">
        <v>59</v>
      </c>
      <c r="AA81" s="2" t="s">
        <v>38</v>
      </c>
      <c r="AB81" s="2" t="s">
        <v>60</v>
      </c>
      <c r="AC81" s="2" t="s">
        <v>2118</v>
      </c>
      <c r="AD81" s="2" t="s">
        <v>2265</v>
      </c>
      <c r="AE81" s="2" t="s">
        <v>38</v>
      </c>
      <c r="AF81" s="2" t="s">
        <v>38</v>
      </c>
      <c r="AG81" s="34">
        <v>46078</v>
      </c>
    </row>
    <row r="82" spans="1:33" ht="45" x14ac:dyDescent="0.25">
      <c r="A82" s="2" t="s">
        <v>247</v>
      </c>
      <c r="B82" s="2" t="s">
        <v>2611</v>
      </c>
      <c r="C82" s="2" t="s">
        <v>38</v>
      </c>
      <c r="D82" s="2" t="s">
        <v>38</v>
      </c>
      <c r="E82" s="2" t="s">
        <v>194</v>
      </c>
      <c r="F82" s="2" t="s">
        <v>38</v>
      </c>
      <c r="G82" s="2" t="s">
        <v>40</v>
      </c>
      <c r="H82" s="2" t="s">
        <v>2610</v>
      </c>
      <c r="I82" s="2" t="s">
        <v>2611</v>
      </c>
      <c r="J82" s="2" t="s">
        <v>67</v>
      </c>
      <c r="K82" s="2" t="s">
        <v>50</v>
      </c>
      <c r="L82" s="2" t="s">
        <v>38</v>
      </c>
      <c r="M82" s="2" t="s">
        <v>38</v>
      </c>
      <c r="N82" s="2" t="s">
        <v>38</v>
      </c>
      <c r="O82" s="2" t="s">
        <v>38</v>
      </c>
      <c r="P82" s="2" t="s">
        <v>38</v>
      </c>
      <c r="Q82" s="2" t="s">
        <v>2204</v>
      </c>
      <c r="R82" s="2" t="s">
        <v>59</v>
      </c>
      <c r="S82" s="2" t="s">
        <v>38</v>
      </c>
      <c r="T82" s="2" t="s">
        <v>60</v>
      </c>
      <c r="U82" s="2" t="s">
        <v>2118</v>
      </c>
      <c r="V82" s="2" t="s">
        <v>2204</v>
      </c>
      <c r="W82" s="2" t="s">
        <v>38</v>
      </c>
      <c r="X82" s="2" t="s">
        <v>38</v>
      </c>
      <c r="Y82" s="2" t="s">
        <v>2119</v>
      </c>
      <c r="Z82" s="2" t="s">
        <v>59</v>
      </c>
      <c r="AA82" s="2" t="s">
        <v>38</v>
      </c>
      <c r="AB82" s="2" t="s">
        <v>60</v>
      </c>
      <c r="AC82" s="2" t="s">
        <v>2118</v>
      </c>
      <c r="AD82" s="2" t="s">
        <v>2119</v>
      </c>
      <c r="AE82" s="2" t="s">
        <v>38</v>
      </c>
      <c r="AF82" s="2" t="s">
        <v>38</v>
      </c>
      <c r="AG82" s="34">
        <v>46078</v>
      </c>
    </row>
    <row r="83" spans="1:33" ht="45" x14ac:dyDescent="0.25">
      <c r="A83" s="2" t="s">
        <v>248</v>
      </c>
      <c r="B83" s="2" t="s">
        <v>2612</v>
      </c>
      <c r="C83" s="2" t="s">
        <v>38</v>
      </c>
      <c r="D83" s="2" t="s">
        <v>38</v>
      </c>
      <c r="E83" s="2" t="s">
        <v>194</v>
      </c>
      <c r="F83" s="2" t="s">
        <v>38</v>
      </c>
      <c r="G83" s="2" t="s">
        <v>40</v>
      </c>
      <c r="H83" s="2" t="s">
        <v>2610</v>
      </c>
      <c r="I83" s="2" t="s">
        <v>2612</v>
      </c>
      <c r="J83" s="2" t="s">
        <v>67</v>
      </c>
      <c r="K83" s="2" t="s">
        <v>50</v>
      </c>
      <c r="L83" s="2" t="s">
        <v>38</v>
      </c>
      <c r="M83" s="2" t="s">
        <v>38</v>
      </c>
      <c r="N83" s="2" t="s">
        <v>38</v>
      </c>
      <c r="O83" s="2" t="s">
        <v>38</v>
      </c>
      <c r="P83" s="2" t="s">
        <v>38</v>
      </c>
      <c r="Q83" s="2" t="s">
        <v>2216</v>
      </c>
      <c r="R83" s="2" t="s">
        <v>59</v>
      </c>
      <c r="S83" s="2" t="s">
        <v>38</v>
      </c>
      <c r="T83" s="2" t="s">
        <v>60</v>
      </c>
      <c r="U83" s="2" t="s">
        <v>2118</v>
      </c>
      <c r="V83" s="2" t="s">
        <v>2216</v>
      </c>
      <c r="W83" s="2" t="s">
        <v>38</v>
      </c>
      <c r="X83" s="2" t="s">
        <v>38</v>
      </c>
      <c r="Y83" s="2" t="s">
        <v>2119</v>
      </c>
      <c r="Z83" s="2" t="s">
        <v>59</v>
      </c>
      <c r="AA83" s="2" t="s">
        <v>38</v>
      </c>
      <c r="AB83" s="2" t="s">
        <v>60</v>
      </c>
      <c r="AC83" s="2" t="s">
        <v>2118</v>
      </c>
      <c r="AD83" s="2" t="s">
        <v>2119</v>
      </c>
      <c r="AE83" s="2" t="s">
        <v>38</v>
      </c>
      <c r="AF83" s="2" t="s">
        <v>38</v>
      </c>
      <c r="AG83" s="34">
        <v>46078</v>
      </c>
    </row>
    <row r="84" spans="1:33" ht="45" x14ac:dyDescent="0.25">
      <c r="A84" s="2" t="s">
        <v>249</v>
      </c>
      <c r="B84" s="2" t="s">
        <v>2613</v>
      </c>
      <c r="C84" s="2" t="s">
        <v>38</v>
      </c>
      <c r="D84" s="2" t="s">
        <v>38</v>
      </c>
      <c r="E84" s="2" t="s">
        <v>194</v>
      </c>
      <c r="F84" s="2" t="s">
        <v>38</v>
      </c>
      <c r="G84" s="2" t="s">
        <v>40</v>
      </c>
      <c r="H84" s="2" t="s">
        <v>2580</v>
      </c>
      <c r="I84" s="2" t="s">
        <v>2613</v>
      </c>
      <c r="J84" s="2" t="s">
        <v>67</v>
      </c>
      <c r="K84" s="2" t="s">
        <v>50</v>
      </c>
      <c r="L84" s="2" t="s">
        <v>38</v>
      </c>
      <c r="M84" s="2" t="s">
        <v>38</v>
      </c>
      <c r="N84" s="2" t="s">
        <v>38</v>
      </c>
      <c r="O84" s="2" t="s">
        <v>38</v>
      </c>
      <c r="P84" s="2" t="s">
        <v>38</v>
      </c>
      <c r="Q84" s="2" t="s">
        <v>2332</v>
      </c>
      <c r="R84" s="2" t="s">
        <v>59</v>
      </c>
      <c r="S84" s="2" t="s">
        <v>38</v>
      </c>
      <c r="T84" s="2" t="s">
        <v>60</v>
      </c>
      <c r="U84" s="2" t="s">
        <v>2128</v>
      </c>
      <c r="V84" s="2" t="s">
        <v>2332</v>
      </c>
      <c r="W84" s="2" t="s">
        <v>38</v>
      </c>
      <c r="X84" s="2" t="s">
        <v>38</v>
      </c>
      <c r="Y84" s="2" t="s">
        <v>2408</v>
      </c>
      <c r="Z84" s="2" t="s">
        <v>59</v>
      </c>
      <c r="AA84" s="2" t="s">
        <v>38</v>
      </c>
      <c r="AB84" s="2" t="s">
        <v>60</v>
      </c>
      <c r="AC84" s="2" t="s">
        <v>2128</v>
      </c>
      <c r="AD84" s="2" t="s">
        <v>2408</v>
      </c>
      <c r="AE84" s="2" t="s">
        <v>38</v>
      </c>
      <c r="AF84" s="2" t="s">
        <v>38</v>
      </c>
      <c r="AG84" s="34">
        <v>46078</v>
      </c>
    </row>
    <row r="85" spans="1:33" ht="45" x14ac:dyDescent="0.25">
      <c r="A85" s="2" t="s">
        <v>250</v>
      </c>
      <c r="B85" s="2" t="s">
        <v>2614</v>
      </c>
      <c r="C85" s="2" t="s">
        <v>38</v>
      </c>
      <c r="D85" s="2" t="s">
        <v>38</v>
      </c>
      <c r="E85" s="2" t="s">
        <v>194</v>
      </c>
      <c r="F85" s="2" t="s">
        <v>38</v>
      </c>
      <c r="G85" s="2" t="s">
        <v>40</v>
      </c>
      <c r="H85" s="2" t="s">
        <v>2580</v>
      </c>
      <c r="I85" s="2" t="s">
        <v>2614</v>
      </c>
      <c r="J85" s="2" t="s">
        <v>67</v>
      </c>
      <c r="K85" s="2" t="s">
        <v>50</v>
      </c>
      <c r="L85" s="2" t="s">
        <v>38</v>
      </c>
      <c r="M85" s="2" t="s">
        <v>38</v>
      </c>
      <c r="N85" s="2" t="s">
        <v>38</v>
      </c>
      <c r="O85" s="2" t="s">
        <v>38</v>
      </c>
      <c r="P85" s="2" t="s">
        <v>38</v>
      </c>
      <c r="Q85" s="2" t="s">
        <v>2408</v>
      </c>
      <c r="R85" s="2" t="s">
        <v>59</v>
      </c>
      <c r="S85" s="2" t="s">
        <v>38</v>
      </c>
      <c r="T85" s="2" t="s">
        <v>60</v>
      </c>
      <c r="U85" s="2" t="s">
        <v>2128</v>
      </c>
      <c r="V85" s="2" t="s">
        <v>2408</v>
      </c>
      <c r="W85" s="2" t="s">
        <v>38</v>
      </c>
      <c r="X85" s="2" t="s">
        <v>38</v>
      </c>
      <c r="Y85" s="2" t="s">
        <v>2268</v>
      </c>
      <c r="Z85" s="2" t="s">
        <v>59</v>
      </c>
      <c r="AA85" s="2" t="s">
        <v>38</v>
      </c>
      <c r="AB85" s="2" t="s">
        <v>60</v>
      </c>
      <c r="AC85" s="2" t="s">
        <v>2128</v>
      </c>
      <c r="AD85" s="2" t="s">
        <v>2268</v>
      </c>
      <c r="AE85" s="2" t="s">
        <v>38</v>
      </c>
      <c r="AF85" s="2" t="s">
        <v>38</v>
      </c>
      <c r="AG85" s="34">
        <v>46078</v>
      </c>
    </row>
    <row r="86" spans="1:33" ht="45" x14ac:dyDescent="0.25">
      <c r="A86" s="2" t="s">
        <v>251</v>
      </c>
      <c r="B86" s="2" t="s">
        <v>2615</v>
      </c>
      <c r="C86" s="2" t="s">
        <v>38</v>
      </c>
      <c r="D86" s="2" t="s">
        <v>38</v>
      </c>
      <c r="E86" s="2" t="s">
        <v>194</v>
      </c>
      <c r="F86" s="2" t="s">
        <v>38</v>
      </c>
      <c r="G86" s="2" t="s">
        <v>40</v>
      </c>
      <c r="H86" s="2" t="s">
        <v>2616</v>
      </c>
      <c r="I86" s="2" t="s">
        <v>2615</v>
      </c>
      <c r="J86" s="2" t="s">
        <v>67</v>
      </c>
      <c r="K86" s="2" t="s">
        <v>50</v>
      </c>
      <c r="L86" s="2" t="s">
        <v>38</v>
      </c>
      <c r="M86" s="2" t="s">
        <v>38</v>
      </c>
      <c r="N86" s="2" t="s">
        <v>38</v>
      </c>
      <c r="O86" s="2" t="s">
        <v>38</v>
      </c>
      <c r="P86" s="2" t="s">
        <v>38</v>
      </c>
      <c r="Q86" s="2" t="s">
        <v>2258</v>
      </c>
      <c r="R86" s="2" t="s">
        <v>59</v>
      </c>
      <c r="S86" s="2" t="s">
        <v>38</v>
      </c>
      <c r="T86" s="2" t="s">
        <v>60</v>
      </c>
      <c r="U86" s="2" t="s">
        <v>2259</v>
      </c>
      <c r="V86" s="2" t="s">
        <v>2258</v>
      </c>
      <c r="W86" s="2" t="s">
        <v>38</v>
      </c>
      <c r="X86" s="2" t="s">
        <v>38</v>
      </c>
      <c r="Y86" s="2" t="s">
        <v>2268</v>
      </c>
      <c r="Z86" s="2" t="s">
        <v>59</v>
      </c>
      <c r="AA86" s="2" t="s">
        <v>38</v>
      </c>
      <c r="AB86" s="2" t="s">
        <v>60</v>
      </c>
      <c r="AC86" s="2" t="s">
        <v>2128</v>
      </c>
      <c r="AD86" s="2" t="s">
        <v>2268</v>
      </c>
      <c r="AE86" s="2" t="s">
        <v>38</v>
      </c>
      <c r="AF86" s="2" t="s">
        <v>38</v>
      </c>
      <c r="AG86" s="34">
        <v>46078</v>
      </c>
    </row>
    <row r="87" spans="1:33" ht="45" x14ac:dyDescent="0.25">
      <c r="A87" s="2" t="s">
        <v>252</v>
      </c>
      <c r="B87" s="2" t="s">
        <v>2617</v>
      </c>
      <c r="C87" s="2" t="s">
        <v>38</v>
      </c>
      <c r="D87" s="2" t="s">
        <v>38</v>
      </c>
      <c r="E87" s="2" t="s">
        <v>194</v>
      </c>
      <c r="F87" s="2" t="s">
        <v>38</v>
      </c>
      <c r="G87" s="2" t="s">
        <v>40</v>
      </c>
      <c r="H87" s="2" t="s">
        <v>2618</v>
      </c>
      <c r="I87" s="2" t="s">
        <v>2617</v>
      </c>
      <c r="J87" s="2" t="s">
        <v>67</v>
      </c>
      <c r="K87" s="2" t="s">
        <v>50</v>
      </c>
      <c r="L87" s="2" t="s">
        <v>38</v>
      </c>
      <c r="M87" s="2" t="s">
        <v>38</v>
      </c>
      <c r="N87" s="2" t="s">
        <v>38</v>
      </c>
      <c r="O87" s="2" t="s">
        <v>38</v>
      </c>
      <c r="P87" s="2" t="s">
        <v>38</v>
      </c>
      <c r="Q87" s="2" t="s">
        <v>2200</v>
      </c>
      <c r="R87" s="2" t="s">
        <v>59</v>
      </c>
      <c r="S87" s="2" t="s">
        <v>38</v>
      </c>
      <c r="T87" s="2" t="s">
        <v>60</v>
      </c>
      <c r="U87" s="2" t="s">
        <v>2090</v>
      </c>
      <c r="V87" s="2" t="s">
        <v>2200</v>
      </c>
      <c r="W87" s="2" t="s">
        <v>38</v>
      </c>
      <c r="X87" s="2" t="s">
        <v>38</v>
      </c>
      <c r="Y87" s="2" t="s">
        <v>2119</v>
      </c>
      <c r="Z87" s="2" t="s">
        <v>59</v>
      </c>
      <c r="AA87" s="2" t="s">
        <v>38</v>
      </c>
      <c r="AB87" s="2" t="s">
        <v>60</v>
      </c>
      <c r="AC87" s="2" t="s">
        <v>2118</v>
      </c>
      <c r="AD87" s="2" t="s">
        <v>2119</v>
      </c>
      <c r="AE87" s="2" t="s">
        <v>38</v>
      </c>
      <c r="AF87" s="2" t="s">
        <v>38</v>
      </c>
      <c r="AG87" s="34">
        <v>46078</v>
      </c>
    </row>
    <row r="88" spans="1:33" ht="45" x14ac:dyDescent="0.25">
      <c r="A88" s="2" t="s">
        <v>253</v>
      </c>
      <c r="B88" s="2" t="s">
        <v>2619</v>
      </c>
      <c r="C88" s="2" t="s">
        <v>38</v>
      </c>
      <c r="D88" s="2" t="s">
        <v>38</v>
      </c>
      <c r="E88" s="2" t="s">
        <v>194</v>
      </c>
      <c r="F88" s="2" t="s">
        <v>38</v>
      </c>
      <c r="G88" s="2" t="s">
        <v>40</v>
      </c>
      <c r="H88" s="2" t="s">
        <v>2620</v>
      </c>
      <c r="I88" s="2" t="s">
        <v>2619</v>
      </c>
      <c r="J88" s="2" t="s">
        <v>67</v>
      </c>
      <c r="K88" s="2" t="s">
        <v>50</v>
      </c>
      <c r="L88" s="2" t="s">
        <v>38</v>
      </c>
      <c r="M88" s="2" t="s">
        <v>38</v>
      </c>
      <c r="N88" s="2" t="s">
        <v>38</v>
      </c>
      <c r="O88" s="2" t="s">
        <v>38</v>
      </c>
      <c r="P88" s="2" t="s">
        <v>38</v>
      </c>
      <c r="Q88" s="2" t="s">
        <v>2089</v>
      </c>
      <c r="R88" s="2" t="s">
        <v>59</v>
      </c>
      <c r="S88" s="2" t="s">
        <v>38</v>
      </c>
      <c r="T88" s="2" t="s">
        <v>60</v>
      </c>
      <c r="U88" s="2" t="s">
        <v>2090</v>
      </c>
      <c r="V88" s="2" t="s">
        <v>2089</v>
      </c>
      <c r="W88" s="2" t="s">
        <v>38</v>
      </c>
      <c r="X88" s="2" t="s">
        <v>38</v>
      </c>
      <c r="Y88" s="2" t="s">
        <v>2277</v>
      </c>
      <c r="Z88" s="2" t="s">
        <v>59</v>
      </c>
      <c r="AA88" s="2" t="s">
        <v>38</v>
      </c>
      <c r="AB88" s="2" t="s">
        <v>60</v>
      </c>
      <c r="AC88" s="2" t="s">
        <v>2090</v>
      </c>
      <c r="AD88" s="2" t="s">
        <v>2277</v>
      </c>
      <c r="AE88" s="2" t="s">
        <v>38</v>
      </c>
      <c r="AF88" s="2" t="s">
        <v>38</v>
      </c>
      <c r="AG88" s="34">
        <v>46078</v>
      </c>
    </row>
    <row r="89" spans="1:33" ht="45" x14ac:dyDescent="0.25">
      <c r="A89" s="2" t="s">
        <v>254</v>
      </c>
      <c r="B89" s="2" t="s">
        <v>2621</v>
      </c>
      <c r="C89" s="2" t="s">
        <v>38</v>
      </c>
      <c r="D89" s="2" t="s">
        <v>38</v>
      </c>
      <c r="E89" s="2" t="s">
        <v>194</v>
      </c>
      <c r="F89" s="2" t="s">
        <v>38</v>
      </c>
      <c r="G89" s="2" t="s">
        <v>40</v>
      </c>
      <c r="H89" s="2" t="s">
        <v>2618</v>
      </c>
      <c r="I89" s="2" t="s">
        <v>2621</v>
      </c>
      <c r="J89" s="2" t="s">
        <v>67</v>
      </c>
      <c r="K89" s="2" t="s">
        <v>50</v>
      </c>
      <c r="L89" s="2" t="s">
        <v>38</v>
      </c>
      <c r="M89" s="2" t="s">
        <v>38</v>
      </c>
      <c r="N89" s="2" t="s">
        <v>38</v>
      </c>
      <c r="O89" s="2" t="s">
        <v>38</v>
      </c>
      <c r="P89" s="2" t="s">
        <v>38</v>
      </c>
      <c r="Q89" s="2" t="s">
        <v>2277</v>
      </c>
      <c r="R89" s="2" t="s">
        <v>59</v>
      </c>
      <c r="S89" s="2" t="s">
        <v>38</v>
      </c>
      <c r="T89" s="2" t="s">
        <v>60</v>
      </c>
      <c r="U89" s="2" t="s">
        <v>2090</v>
      </c>
      <c r="V89" s="2" t="s">
        <v>2277</v>
      </c>
      <c r="W89" s="2" t="s">
        <v>38</v>
      </c>
      <c r="X89" s="2" t="s">
        <v>38</v>
      </c>
      <c r="Y89" s="2" t="s">
        <v>2119</v>
      </c>
      <c r="Z89" s="2" t="s">
        <v>59</v>
      </c>
      <c r="AA89" s="2" t="s">
        <v>38</v>
      </c>
      <c r="AB89" s="2" t="s">
        <v>60</v>
      </c>
      <c r="AC89" s="2" t="s">
        <v>2118</v>
      </c>
      <c r="AD89" s="2" t="s">
        <v>2119</v>
      </c>
      <c r="AE89" s="2" t="s">
        <v>38</v>
      </c>
      <c r="AF89" s="2" t="s">
        <v>38</v>
      </c>
      <c r="AG89" s="34">
        <v>46078</v>
      </c>
    </row>
    <row r="90" spans="1:33" ht="45" x14ac:dyDescent="0.25">
      <c r="A90" s="2" t="s">
        <v>255</v>
      </c>
      <c r="B90" s="2" t="s">
        <v>2622</v>
      </c>
      <c r="C90" s="2" t="s">
        <v>38</v>
      </c>
      <c r="D90" s="2" t="s">
        <v>38</v>
      </c>
      <c r="E90" s="2" t="s">
        <v>194</v>
      </c>
      <c r="F90" s="2" t="s">
        <v>38</v>
      </c>
      <c r="G90" s="2" t="s">
        <v>40</v>
      </c>
      <c r="H90" s="2" t="s">
        <v>2623</v>
      </c>
      <c r="I90" s="2" t="s">
        <v>2622</v>
      </c>
      <c r="J90" s="2" t="s">
        <v>67</v>
      </c>
      <c r="K90" s="2" t="s">
        <v>50</v>
      </c>
      <c r="L90" s="2" t="s">
        <v>38</v>
      </c>
      <c r="M90" s="2" t="s">
        <v>38</v>
      </c>
      <c r="N90" s="2" t="s">
        <v>38</v>
      </c>
      <c r="O90" s="2" t="s">
        <v>38</v>
      </c>
      <c r="P90" s="2" t="s">
        <v>38</v>
      </c>
      <c r="Q90" s="2" t="s">
        <v>2289</v>
      </c>
      <c r="R90" s="2" t="s">
        <v>59</v>
      </c>
      <c r="S90" s="2" t="s">
        <v>38</v>
      </c>
      <c r="T90" s="2" t="s">
        <v>60</v>
      </c>
      <c r="U90" s="2" t="s">
        <v>2290</v>
      </c>
      <c r="V90" s="2" t="s">
        <v>2289</v>
      </c>
      <c r="W90" s="2" t="s">
        <v>38</v>
      </c>
      <c r="X90" s="2" t="s">
        <v>38</v>
      </c>
      <c r="Y90" s="2" t="s">
        <v>2312</v>
      </c>
      <c r="Z90" s="2" t="s">
        <v>59</v>
      </c>
      <c r="AA90" s="2" t="s">
        <v>38</v>
      </c>
      <c r="AB90" s="2" t="s">
        <v>60</v>
      </c>
      <c r="AC90" s="2" t="s">
        <v>2301</v>
      </c>
      <c r="AD90" s="2" t="s">
        <v>2312</v>
      </c>
      <c r="AE90" s="2" t="s">
        <v>38</v>
      </c>
      <c r="AF90" s="2" t="s">
        <v>38</v>
      </c>
      <c r="AG90" s="34">
        <v>46078</v>
      </c>
    </row>
    <row r="91" spans="1:33" ht="45" x14ac:dyDescent="0.25">
      <c r="A91" s="2" t="s">
        <v>256</v>
      </c>
      <c r="B91" s="2" t="s">
        <v>2624</v>
      </c>
      <c r="C91" s="2" t="s">
        <v>38</v>
      </c>
      <c r="D91" s="2" t="s">
        <v>38</v>
      </c>
      <c r="E91" s="2" t="s">
        <v>194</v>
      </c>
      <c r="F91" s="2" t="s">
        <v>38</v>
      </c>
      <c r="G91" s="2" t="s">
        <v>40</v>
      </c>
      <c r="H91" s="2" t="s">
        <v>2625</v>
      </c>
      <c r="I91" s="2" t="s">
        <v>2624</v>
      </c>
      <c r="J91" s="2" t="s">
        <v>67</v>
      </c>
      <c r="K91" s="2" t="s">
        <v>50</v>
      </c>
      <c r="L91" s="2" t="s">
        <v>38</v>
      </c>
      <c r="M91" s="2" t="s">
        <v>38</v>
      </c>
      <c r="N91" s="2" t="s">
        <v>38</v>
      </c>
      <c r="O91" s="2" t="s">
        <v>38</v>
      </c>
      <c r="P91" s="2" t="s">
        <v>38</v>
      </c>
      <c r="Q91" s="2" t="s">
        <v>2312</v>
      </c>
      <c r="R91" s="2" t="s">
        <v>59</v>
      </c>
      <c r="S91" s="2" t="s">
        <v>38</v>
      </c>
      <c r="T91" s="2" t="s">
        <v>60</v>
      </c>
      <c r="U91" s="2" t="s">
        <v>2301</v>
      </c>
      <c r="V91" s="2" t="s">
        <v>2312</v>
      </c>
      <c r="W91" s="2" t="s">
        <v>38</v>
      </c>
      <c r="X91" s="2" t="s">
        <v>38</v>
      </c>
      <c r="Y91" s="2" t="s">
        <v>2294</v>
      </c>
      <c r="Z91" s="2" t="s">
        <v>59</v>
      </c>
      <c r="AA91" s="2" t="s">
        <v>38</v>
      </c>
      <c r="AB91" s="2" t="s">
        <v>60</v>
      </c>
      <c r="AC91" s="2" t="s">
        <v>2290</v>
      </c>
      <c r="AD91" s="2" t="s">
        <v>2294</v>
      </c>
      <c r="AE91" s="2" t="s">
        <v>38</v>
      </c>
      <c r="AF91" s="2" t="s">
        <v>38</v>
      </c>
      <c r="AG91" s="34">
        <v>46078</v>
      </c>
    </row>
    <row r="92" spans="1:33" ht="45" x14ac:dyDescent="0.25">
      <c r="A92" s="2" t="s">
        <v>257</v>
      </c>
      <c r="B92" s="2" t="s">
        <v>2626</v>
      </c>
      <c r="C92" s="2" t="s">
        <v>38</v>
      </c>
      <c r="D92" s="2" t="s">
        <v>38</v>
      </c>
      <c r="E92" s="2" t="s">
        <v>194</v>
      </c>
      <c r="F92" s="2" t="s">
        <v>38</v>
      </c>
      <c r="G92" s="2" t="s">
        <v>40</v>
      </c>
      <c r="H92" s="2" t="s">
        <v>2627</v>
      </c>
      <c r="I92" s="2" t="s">
        <v>2626</v>
      </c>
      <c r="J92" s="2" t="s">
        <v>67</v>
      </c>
      <c r="K92" s="2" t="s">
        <v>50</v>
      </c>
      <c r="L92" s="2" t="s">
        <v>38</v>
      </c>
      <c r="M92" s="2" t="s">
        <v>38</v>
      </c>
      <c r="N92" s="2" t="s">
        <v>38</v>
      </c>
      <c r="O92" s="2" t="s">
        <v>38</v>
      </c>
      <c r="P92" s="2" t="s">
        <v>38</v>
      </c>
      <c r="Q92" s="2" t="s">
        <v>2184</v>
      </c>
      <c r="R92" s="2" t="s">
        <v>59</v>
      </c>
      <c r="S92" s="2" t="s">
        <v>38</v>
      </c>
      <c r="T92" s="2" t="s">
        <v>60</v>
      </c>
      <c r="U92" s="2" t="s">
        <v>2185</v>
      </c>
      <c r="V92" s="2" t="s">
        <v>2184</v>
      </c>
      <c r="W92" s="2" t="s">
        <v>38</v>
      </c>
      <c r="X92" s="2" t="s">
        <v>38</v>
      </c>
      <c r="Y92" s="2" t="s">
        <v>2408</v>
      </c>
      <c r="Z92" s="2" t="s">
        <v>59</v>
      </c>
      <c r="AA92" s="2" t="s">
        <v>38</v>
      </c>
      <c r="AB92" s="2" t="s">
        <v>60</v>
      </c>
      <c r="AC92" s="2" t="s">
        <v>2128</v>
      </c>
      <c r="AD92" s="2" t="s">
        <v>2408</v>
      </c>
      <c r="AE92" s="2" t="s">
        <v>38</v>
      </c>
      <c r="AF92" s="2" t="s">
        <v>38</v>
      </c>
      <c r="AG92" s="34">
        <v>46078</v>
      </c>
    </row>
    <row r="93" spans="1:33" ht="45" x14ac:dyDescent="0.25">
      <c r="A93" s="2" t="s">
        <v>258</v>
      </c>
      <c r="B93" s="2" t="s">
        <v>2628</v>
      </c>
      <c r="C93" s="2" t="s">
        <v>38</v>
      </c>
      <c r="D93" s="2" t="s">
        <v>38</v>
      </c>
      <c r="E93" s="2" t="s">
        <v>194</v>
      </c>
      <c r="F93" s="2" t="s">
        <v>38</v>
      </c>
      <c r="G93" s="2" t="s">
        <v>40</v>
      </c>
      <c r="H93" s="2" t="s">
        <v>2627</v>
      </c>
      <c r="I93" s="2" t="s">
        <v>2628</v>
      </c>
      <c r="J93" s="2" t="s">
        <v>67</v>
      </c>
      <c r="K93" s="2" t="s">
        <v>50</v>
      </c>
      <c r="L93" s="2" t="s">
        <v>38</v>
      </c>
      <c r="M93" s="2" t="s">
        <v>38</v>
      </c>
      <c r="N93" s="2" t="s">
        <v>38</v>
      </c>
      <c r="O93" s="2" t="s">
        <v>38</v>
      </c>
      <c r="P93" s="2" t="s">
        <v>38</v>
      </c>
      <c r="Q93" s="2" t="s">
        <v>2271</v>
      </c>
      <c r="R93" s="2" t="s">
        <v>59</v>
      </c>
      <c r="S93" s="2" t="s">
        <v>38</v>
      </c>
      <c r="T93" s="2" t="s">
        <v>60</v>
      </c>
      <c r="U93" s="2" t="s">
        <v>2185</v>
      </c>
      <c r="V93" s="2" t="s">
        <v>2271</v>
      </c>
      <c r="W93" s="2" t="s">
        <v>38</v>
      </c>
      <c r="X93" s="2" t="s">
        <v>38</v>
      </c>
      <c r="Y93" s="2" t="s">
        <v>2268</v>
      </c>
      <c r="Z93" s="2" t="s">
        <v>59</v>
      </c>
      <c r="AA93" s="2" t="s">
        <v>38</v>
      </c>
      <c r="AB93" s="2" t="s">
        <v>60</v>
      </c>
      <c r="AC93" s="2" t="s">
        <v>2128</v>
      </c>
      <c r="AD93" s="2" t="s">
        <v>2268</v>
      </c>
      <c r="AE93" s="2" t="s">
        <v>38</v>
      </c>
      <c r="AF93" s="2" t="s">
        <v>38</v>
      </c>
      <c r="AG93" s="34">
        <v>46078</v>
      </c>
    </row>
    <row r="94" spans="1:33" ht="60" x14ac:dyDescent="0.25">
      <c r="A94" s="2" t="s">
        <v>259</v>
      </c>
      <c r="B94" s="2" t="s">
        <v>2629</v>
      </c>
      <c r="C94" s="2" t="s">
        <v>38</v>
      </c>
      <c r="D94" s="2" t="s">
        <v>38</v>
      </c>
      <c r="E94" s="2" t="s">
        <v>194</v>
      </c>
      <c r="F94" s="2" t="s">
        <v>38</v>
      </c>
      <c r="G94" s="2" t="s">
        <v>40</v>
      </c>
      <c r="H94" s="2" t="s">
        <v>2623</v>
      </c>
      <c r="I94" s="2" t="s">
        <v>2629</v>
      </c>
      <c r="J94" s="2" t="s">
        <v>67</v>
      </c>
      <c r="K94" s="2" t="s">
        <v>50</v>
      </c>
      <c r="L94" s="2" t="s">
        <v>38</v>
      </c>
      <c r="M94" s="2" t="s">
        <v>38</v>
      </c>
      <c r="N94" s="2" t="s">
        <v>38</v>
      </c>
      <c r="O94" s="2" t="s">
        <v>38</v>
      </c>
      <c r="P94" s="2" t="s">
        <v>38</v>
      </c>
      <c r="Q94" s="2" t="s">
        <v>2294</v>
      </c>
      <c r="R94" s="2" t="s">
        <v>59</v>
      </c>
      <c r="S94" s="2" t="s">
        <v>38</v>
      </c>
      <c r="T94" s="2" t="s">
        <v>60</v>
      </c>
      <c r="U94" s="2" t="s">
        <v>2290</v>
      </c>
      <c r="V94" s="2" t="s">
        <v>2294</v>
      </c>
      <c r="W94" s="2" t="s">
        <v>38</v>
      </c>
      <c r="X94" s="2" t="s">
        <v>38</v>
      </c>
      <c r="Y94" s="2" t="s">
        <v>2300</v>
      </c>
      <c r="Z94" s="2" t="s">
        <v>59</v>
      </c>
      <c r="AA94" s="2" t="s">
        <v>38</v>
      </c>
      <c r="AB94" s="2" t="s">
        <v>60</v>
      </c>
      <c r="AC94" s="2" t="s">
        <v>2301</v>
      </c>
      <c r="AD94" s="2" t="s">
        <v>2300</v>
      </c>
      <c r="AE94" s="2" t="s">
        <v>38</v>
      </c>
      <c r="AF94" s="2" t="s">
        <v>38</v>
      </c>
      <c r="AG94" s="34">
        <v>46078</v>
      </c>
    </row>
    <row r="95" spans="1:33" ht="45" x14ac:dyDescent="0.25">
      <c r="A95" s="2" t="s">
        <v>260</v>
      </c>
      <c r="B95" s="2" t="s">
        <v>2630</v>
      </c>
      <c r="C95" s="2" t="s">
        <v>38</v>
      </c>
      <c r="D95" s="2" t="s">
        <v>38</v>
      </c>
      <c r="E95" s="2" t="s">
        <v>194</v>
      </c>
      <c r="F95" s="2" t="s">
        <v>38</v>
      </c>
      <c r="G95" s="2" t="s">
        <v>40</v>
      </c>
      <c r="H95" s="2" t="s">
        <v>2625</v>
      </c>
      <c r="I95" s="2" t="s">
        <v>2630</v>
      </c>
      <c r="J95" s="2" t="s">
        <v>67</v>
      </c>
      <c r="K95" s="2" t="s">
        <v>50</v>
      </c>
      <c r="L95" s="2" t="s">
        <v>38</v>
      </c>
      <c r="M95" s="2" t="s">
        <v>38</v>
      </c>
      <c r="N95" s="2" t="s">
        <v>38</v>
      </c>
      <c r="O95" s="2" t="s">
        <v>38</v>
      </c>
      <c r="P95" s="2" t="s">
        <v>38</v>
      </c>
      <c r="Q95" s="2" t="s">
        <v>2318</v>
      </c>
      <c r="R95" s="2" t="s">
        <v>59</v>
      </c>
      <c r="S95" s="2" t="s">
        <v>38</v>
      </c>
      <c r="T95" s="2" t="s">
        <v>60</v>
      </c>
      <c r="U95" s="2" t="s">
        <v>2301</v>
      </c>
      <c r="V95" s="2" t="s">
        <v>2318</v>
      </c>
      <c r="W95" s="2" t="s">
        <v>38</v>
      </c>
      <c r="X95" s="2" t="s">
        <v>38</v>
      </c>
      <c r="Y95" s="2" t="s">
        <v>2315</v>
      </c>
      <c r="Z95" s="2" t="s">
        <v>59</v>
      </c>
      <c r="AA95" s="2" t="s">
        <v>38</v>
      </c>
      <c r="AB95" s="2" t="s">
        <v>60</v>
      </c>
      <c r="AC95" s="2" t="s">
        <v>2290</v>
      </c>
      <c r="AD95" s="2" t="s">
        <v>2315</v>
      </c>
      <c r="AE95" s="2" t="s">
        <v>38</v>
      </c>
      <c r="AF95" s="2" t="s">
        <v>38</v>
      </c>
      <c r="AG95" s="34">
        <v>46078</v>
      </c>
    </row>
    <row r="96" spans="1:33" ht="45" x14ac:dyDescent="0.25">
      <c r="A96" s="2" t="s">
        <v>261</v>
      </c>
      <c r="B96" s="2" t="s">
        <v>2631</v>
      </c>
      <c r="C96" s="2" t="s">
        <v>38</v>
      </c>
      <c r="D96" s="2" t="s">
        <v>38</v>
      </c>
      <c r="E96" s="2" t="s">
        <v>194</v>
      </c>
      <c r="F96" s="2" t="s">
        <v>38</v>
      </c>
      <c r="G96" s="2" t="s">
        <v>40</v>
      </c>
      <c r="H96" s="2" t="s">
        <v>2623</v>
      </c>
      <c r="I96" s="2" t="s">
        <v>2631</v>
      </c>
      <c r="J96" s="2" t="s">
        <v>67</v>
      </c>
      <c r="K96" s="2" t="s">
        <v>50</v>
      </c>
      <c r="L96" s="2" t="s">
        <v>38</v>
      </c>
      <c r="M96" s="2" t="s">
        <v>38</v>
      </c>
      <c r="N96" s="2" t="s">
        <v>38</v>
      </c>
      <c r="O96" s="2" t="s">
        <v>38</v>
      </c>
      <c r="P96" s="2" t="s">
        <v>38</v>
      </c>
      <c r="Q96" s="2" t="s">
        <v>2294</v>
      </c>
      <c r="R96" s="2" t="s">
        <v>59</v>
      </c>
      <c r="S96" s="2" t="s">
        <v>38</v>
      </c>
      <c r="T96" s="2" t="s">
        <v>60</v>
      </c>
      <c r="U96" s="2" t="s">
        <v>2290</v>
      </c>
      <c r="V96" s="2" t="s">
        <v>2294</v>
      </c>
      <c r="W96" s="2" t="s">
        <v>38</v>
      </c>
      <c r="X96" s="2" t="s">
        <v>38</v>
      </c>
      <c r="Y96" s="2" t="s">
        <v>2318</v>
      </c>
      <c r="Z96" s="2" t="s">
        <v>59</v>
      </c>
      <c r="AA96" s="2" t="s">
        <v>38</v>
      </c>
      <c r="AB96" s="2" t="s">
        <v>60</v>
      </c>
      <c r="AC96" s="2" t="s">
        <v>2301</v>
      </c>
      <c r="AD96" s="2" t="s">
        <v>2318</v>
      </c>
      <c r="AE96" s="2" t="s">
        <v>38</v>
      </c>
      <c r="AF96" s="2" t="s">
        <v>38</v>
      </c>
      <c r="AG96" s="34">
        <v>46078</v>
      </c>
    </row>
    <row r="97" spans="1:33" ht="45" x14ac:dyDescent="0.25">
      <c r="A97" s="2" t="s">
        <v>262</v>
      </c>
      <c r="B97" s="2" t="s">
        <v>2632</v>
      </c>
      <c r="C97" s="2" t="s">
        <v>38</v>
      </c>
      <c r="D97" s="2" t="s">
        <v>38</v>
      </c>
      <c r="E97" s="2" t="s">
        <v>194</v>
      </c>
      <c r="F97" s="2" t="s">
        <v>38</v>
      </c>
      <c r="G97" s="2" t="s">
        <v>40</v>
      </c>
      <c r="H97" s="2" t="s">
        <v>2623</v>
      </c>
      <c r="I97" s="2" t="s">
        <v>2632</v>
      </c>
      <c r="J97" s="2" t="s">
        <v>67</v>
      </c>
      <c r="K97" s="2" t="s">
        <v>50</v>
      </c>
      <c r="L97" s="2" t="s">
        <v>38</v>
      </c>
      <c r="M97" s="2" t="s">
        <v>38</v>
      </c>
      <c r="N97" s="2" t="s">
        <v>38</v>
      </c>
      <c r="O97" s="2" t="s">
        <v>38</v>
      </c>
      <c r="P97" s="2" t="s">
        <v>38</v>
      </c>
      <c r="Q97" s="2" t="s">
        <v>2315</v>
      </c>
      <c r="R97" s="2" t="s">
        <v>59</v>
      </c>
      <c r="S97" s="2" t="s">
        <v>38</v>
      </c>
      <c r="T97" s="2" t="s">
        <v>60</v>
      </c>
      <c r="U97" s="2" t="s">
        <v>2290</v>
      </c>
      <c r="V97" s="2" t="s">
        <v>2315</v>
      </c>
      <c r="W97" s="2" t="s">
        <v>38</v>
      </c>
      <c r="X97" s="2" t="s">
        <v>38</v>
      </c>
      <c r="Y97" s="2" t="s">
        <v>2327</v>
      </c>
      <c r="Z97" s="2" t="s">
        <v>59</v>
      </c>
      <c r="AA97" s="2" t="s">
        <v>38</v>
      </c>
      <c r="AB97" s="2" t="s">
        <v>60</v>
      </c>
      <c r="AC97" s="2" t="s">
        <v>2301</v>
      </c>
      <c r="AD97" s="2" t="s">
        <v>2327</v>
      </c>
      <c r="AE97" s="2" t="s">
        <v>38</v>
      </c>
      <c r="AF97" s="2" t="s">
        <v>38</v>
      </c>
      <c r="AG97" s="34">
        <v>46078</v>
      </c>
    </row>
    <row r="98" spans="1:33" ht="60" x14ac:dyDescent="0.25">
      <c r="A98" s="2" t="s">
        <v>263</v>
      </c>
      <c r="B98" s="2" t="s">
        <v>2633</v>
      </c>
      <c r="C98" s="2" t="s">
        <v>38</v>
      </c>
      <c r="D98" s="2" t="s">
        <v>38</v>
      </c>
      <c r="E98" s="2" t="s">
        <v>194</v>
      </c>
      <c r="F98" s="2" t="s">
        <v>38</v>
      </c>
      <c r="G98" s="2" t="s">
        <v>40</v>
      </c>
      <c r="H98" s="2" t="s">
        <v>2625</v>
      </c>
      <c r="I98" s="2" t="s">
        <v>2633</v>
      </c>
      <c r="J98" s="2" t="s">
        <v>67</v>
      </c>
      <c r="K98" s="2" t="s">
        <v>50</v>
      </c>
      <c r="L98" s="2" t="s">
        <v>38</v>
      </c>
      <c r="M98" s="2" t="s">
        <v>38</v>
      </c>
      <c r="N98" s="2" t="s">
        <v>38</v>
      </c>
      <c r="O98" s="2" t="s">
        <v>38</v>
      </c>
      <c r="P98" s="2" t="s">
        <v>38</v>
      </c>
      <c r="Q98" s="2" t="s">
        <v>2300</v>
      </c>
      <c r="R98" s="2" t="s">
        <v>59</v>
      </c>
      <c r="S98" s="2" t="s">
        <v>38</v>
      </c>
      <c r="T98" s="2" t="s">
        <v>60</v>
      </c>
      <c r="U98" s="2" t="s">
        <v>2301</v>
      </c>
      <c r="V98" s="2" t="s">
        <v>2300</v>
      </c>
      <c r="W98" s="2" t="s">
        <v>38</v>
      </c>
      <c r="X98" s="2" t="s">
        <v>38</v>
      </c>
      <c r="Y98" s="2" t="s">
        <v>2432</v>
      </c>
      <c r="Z98" s="2" t="s">
        <v>59</v>
      </c>
      <c r="AA98" s="2" t="s">
        <v>38</v>
      </c>
      <c r="AB98" s="2" t="s">
        <v>60</v>
      </c>
      <c r="AC98" s="2" t="s">
        <v>2290</v>
      </c>
      <c r="AD98" s="2" t="s">
        <v>2432</v>
      </c>
      <c r="AE98" s="2" t="s">
        <v>38</v>
      </c>
      <c r="AF98" s="2" t="s">
        <v>38</v>
      </c>
      <c r="AG98" s="34">
        <v>46078</v>
      </c>
    </row>
    <row r="99" spans="1:33" ht="45" x14ac:dyDescent="0.25">
      <c r="A99" s="2" t="s">
        <v>264</v>
      </c>
      <c r="B99" s="2" t="s">
        <v>2634</v>
      </c>
      <c r="C99" s="2" t="s">
        <v>38</v>
      </c>
      <c r="D99" s="2" t="s">
        <v>38</v>
      </c>
      <c r="E99" s="2" t="s">
        <v>194</v>
      </c>
      <c r="F99" s="2" t="s">
        <v>38</v>
      </c>
      <c r="G99" s="2" t="s">
        <v>40</v>
      </c>
      <c r="H99" s="2" t="s">
        <v>2623</v>
      </c>
      <c r="I99" s="2" t="s">
        <v>2634</v>
      </c>
      <c r="J99" s="2" t="s">
        <v>67</v>
      </c>
      <c r="K99" s="2" t="s">
        <v>50</v>
      </c>
      <c r="L99" s="2" t="s">
        <v>38</v>
      </c>
      <c r="M99" s="2" t="s">
        <v>38</v>
      </c>
      <c r="N99" s="2" t="s">
        <v>38</v>
      </c>
      <c r="O99" s="2" t="s">
        <v>38</v>
      </c>
      <c r="P99" s="2" t="s">
        <v>38</v>
      </c>
      <c r="Q99" s="2" t="s">
        <v>2432</v>
      </c>
      <c r="R99" s="2" t="s">
        <v>59</v>
      </c>
      <c r="S99" s="2" t="s">
        <v>38</v>
      </c>
      <c r="T99" s="2" t="s">
        <v>60</v>
      </c>
      <c r="U99" s="2" t="s">
        <v>2290</v>
      </c>
      <c r="V99" s="2" t="s">
        <v>2432</v>
      </c>
      <c r="W99" s="2" t="s">
        <v>38</v>
      </c>
      <c r="X99" s="2" t="s">
        <v>38</v>
      </c>
      <c r="Y99" s="2" t="s">
        <v>2337</v>
      </c>
      <c r="Z99" s="2" t="s">
        <v>59</v>
      </c>
      <c r="AA99" s="2" t="s">
        <v>38</v>
      </c>
      <c r="AB99" s="2" t="s">
        <v>60</v>
      </c>
      <c r="AC99" s="2" t="s">
        <v>2301</v>
      </c>
      <c r="AD99" s="2" t="s">
        <v>2337</v>
      </c>
      <c r="AE99" s="2" t="s">
        <v>38</v>
      </c>
      <c r="AF99" s="2" t="s">
        <v>38</v>
      </c>
      <c r="AG99" s="34">
        <v>46078</v>
      </c>
    </row>
    <row r="100" spans="1:33" ht="45" x14ac:dyDescent="0.25">
      <c r="A100" s="2" t="s">
        <v>265</v>
      </c>
      <c r="B100" s="2" t="s">
        <v>2635</v>
      </c>
      <c r="C100" s="2" t="s">
        <v>38</v>
      </c>
      <c r="D100" s="2" t="s">
        <v>38</v>
      </c>
      <c r="E100" s="2" t="s">
        <v>194</v>
      </c>
      <c r="F100" s="2" t="s">
        <v>38</v>
      </c>
      <c r="G100" s="2" t="s">
        <v>40</v>
      </c>
      <c r="H100" s="2" t="s">
        <v>2636</v>
      </c>
      <c r="I100" s="2" t="s">
        <v>2635</v>
      </c>
      <c r="J100" s="2" t="s">
        <v>67</v>
      </c>
      <c r="K100" s="2" t="s">
        <v>50</v>
      </c>
      <c r="L100" s="2" t="s">
        <v>38</v>
      </c>
      <c r="M100" s="2" t="s">
        <v>38</v>
      </c>
      <c r="N100" s="2" t="s">
        <v>38</v>
      </c>
      <c r="O100" s="2" t="s">
        <v>38</v>
      </c>
      <c r="P100" s="2" t="s">
        <v>38</v>
      </c>
      <c r="Q100" s="2" t="s">
        <v>2327</v>
      </c>
      <c r="R100" s="2" t="s">
        <v>59</v>
      </c>
      <c r="S100" s="2" t="s">
        <v>38</v>
      </c>
      <c r="T100" s="2" t="s">
        <v>60</v>
      </c>
      <c r="U100" s="2" t="s">
        <v>2301</v>
      </c>
      <c r="V100" s="2" t="s">
        <v>2327</v>
      </c>
      <c r="W100" s="2" t="s">
        <v>38</v>
      </c>
      <c r="X100" s="2" t="s">
        <v>38</v>
      </c>
      <c r="Y100" s="2" t="s">
        <v>2321</v>
      </c>
      <c r="Z100" s="2" t="s">
        <v>59</v>
      </c>
      <c r="AA100" s="2" t="s">
        <v>38</v>
      </c>
      <c r="AB100" s="2" t="s">
        <v>60</v>
      </c>
      <c r="AC100" s="2" t="s">
        <v>2301</v>
      </c>
      <c r="AD100" s="2" t="s">
        <v>2321</v>
      </c>
      <c r="AE100" s="2" t="s">
        <v>38</v>
      </c>
      <c r="AF100" s="2" t="s">
        <v>38</v>
      </c>
      <c r="AG100" s="34">
        <v>46078</v>
      </c>
    </row>
    <row r="101" spans="1:33" ht="45" x14ac:dyDescent="0.25">
      <c r="A101" s="2" t="s">
        <v>266</v>
      </c>
      <c r="B101" s="2" t="s">
        <v>2637</v>
      </c>
      <c r="C101" s="2" t="s">
        <v>38</v>
      </c>
      <c r="D101" s="2" t="s">
        <v>38</v>
      </c>
      <c r="E101" s="2" t="s">
        <v>194</v>
      </c>
      <c r="F101" s="2" t="s">
        <v>38</v>
      </c>
      <c r="G101" s="2" t="s">
        <v>40</v>
      </c>
      <c r="H101" s="2" t="s">
        <v>2636</v>
      </c>
      <c r="I101" s="2" t="s">
        <v>2637</v>
      </c>
      <c r="J101" s="2" t="s">
        <v>67</v>
      </c>
      <c r="K101" s="2" t="s">
        <v>50</v>
      </c>
      <c r="L101" s="2" t="s">
        <v>38</v>
      </c>
      <c r="M101" s="2" t="s">
        <v>38</v>
      </c>
      <c r="N101" s="2" t="s">
        <v>38</v>
      </c>
      <c r="O101" s="2" t="s">
        <v>38</v>
      </c>
      <c r="P101" s="2" t="s">
        <v>38</v>
      </c>
      <c r="Q101" s="2" t="s">
        <v>2321</v>
      </c>
      <c r="R101" s="2" t="s">
        <v>59</v>
      </c>
      <c r="S101" s="2" t="s">
        <v>38</v>
      </c>
      <c r="T101" s="2" t="s">
        <v>60</v>
      </c>
      <c r="U101" s="2" t="s">
        <v>2301</v>
      </c>
      <c r="V101" s="2" t="s">
        <v>2321</v>
      </c>
      <c r="W101" s="2" t="s">
        <v>38</v>
      </c>
      <c r="X101" s="2" t="s">
        <v>38</v>
      </c>
      <c r="Y101" s="2" t="s">
        <v>2404</v>
      </c>
      <c r="Z101" s="2" t="s">
        <v>59</v>
      </c>
      <c r="AA101" s="2" t="s">
        <v>38</v>
      </c>
      <c r="AB101" s="2" t="s">
        <v>60</v>
      </c>
      <c r="AC101" s="2" t="s">
        <v>2301</v>
      </c>
      <c r="AD101" s="2" t="s">
        <v>2404</v>
      </c>
      <c r="AE101" s="2" t="s">
        <v>38</v>
      </c>
      <c r="AF101" s="2" t="s">
        <v>38</v>
      </c>
      <c r="AG101" s="34">
        <v>46078</v>
      </c>
    </row>
    <row r="102" spans="1:33" ht="45" x14ac:dyDescent="0.25">
      <c r="A102" s="2" t="s">
        <v>267</v>
      </c>
      <c r="B102" s="2" t="s">
        <v>2638</v>
      </c>
      <c r="C102" s="2" t="s">
        <v>38</v>
      </c>
      <c r="D102" s="2" t="s">
        <v>38</v>
      </c>
      <c r="E102" s="2" t="s">
        <v>194</v>
      </c>
      <c r="F102" s="2" t="s">
        <v>38</v>
      </c>
      <c r="G102" s="2" t="s">
        <v>40</v>
      </c>
      <c r="H102" s="2" t="s">
        <v>2636</v>
      </c>
      <c r="I102" s="2" t="s">
        <v>2638</v>
      </c>
      <c r="J102" s="2" t="s">
        <v>67</v>
      </c>
      <c r="K102" s="2" t="s">
        <v>50</v>
      </c>
      <c r="L102" s="2" t="s">
        <v>38</v>
      </c>
      <c r="M102" s="2" t="s">
        <v>38</v>
      </c>
      <c r="N102" s="2" t="s">
        <v>38</v>
      </c>
      <c r="O102" s="2" t="s">
        <v>38</v>
      </c>
      <c r="P102" s="2" t="s">
        <v>38</v>
      </c>
      <c r="Q102" s="2" t="s">
        <v>2404</v>
      </c>
      <c r="R102" s="2" t="s">
        <v>59</v>
      </c>
      <c r="S102" s="2" t="s">
        <v>38</v>
      </c>
      <c r="T102" s="2" t="s">
        <v>60</v>
      </c>
      <c r="U102" s="2" t="s">
        <v>2301</v>
      </c>
      <c r="V102" s="2" t="s">
        <v>2404</v>
      </c>
      <c r="W102" s="2" t="s">
        <v>38</v>
      </c>
      <c r="X102" s="2" t="s">
        <v>38</v>
      </c>
      <c r="Y102" s="2" t="s">
        <v>2324</v>
      </c>
      <c r="Z102" s="2" t="s">
        <v>59</v>
      </c>
      <c r="AA102" s="2" t="s">
        <v>38</v>
      </c>
      <c r="AB102" s="2" t="s">
        <v>60</v>
      </c>
      <c r="AC102" s="2" t="s">
        <v>2301</v>
      </c>
      <c r="AD102" s="2" t="s">
        <v>2324</v>
      </c>
      <c r="AE102" s="2" t="s">
        <v>38</v>
      </c>
      <c r="AF102" s="2" t="s">
        <v>38</v>
      </c>
      <c r="AG102" s="34">
        <v>46078</v>
      </c>
    </row>
    <row r="103" spans="1:33" ht="45" x14ac:dyDescent="0.25">
      <c r="A103" s="2" t="s">
        <v>268</v>
      </c>
      <c r="B103" s="2" t="s">
        <v>2639</v>
      </c>
      <c r="C103" s="2" t="s">
        <v>38</v>
      </c>
      <c r="D103" s="2" t="s">
        <v>38</v>
      </c>
      <c r="E103" s="2" t="s">
        <v>194</v>
      </c>
      <c r="F103" s="2" t="s">
        <v>38</v>
      </c>
      <c r="G103" s="2" t="s">
        <v>40</v>
      </c>
      <c r="H103" s="2" t="s">
        <v>2636</v>
      </c>
      <c r="I103" s="2" t="s">
        <v>2639</v>
      </c>
      <c r="J103" s="2" t="s">
        <v>67</v>
      </c>
      <c r="K103" s="2" t="s">
        <v>50</v>
      </c>
      <c r="L103" s="2" t="s">
        <v>38</v>
      </c>
      <c r="M103" s="2" t="s">
        <v>38</v>
      </c>
      <c r="N103" s="2" t="s">
        <v>38</v>
      </c>
      <c r="O103" s="2" t="s">
        <v>38</v>
      </c>
      <c r="P103" s="2" t="s">
        <v>38</v>
      </c>
      <c r="Q103" s="2" t="s">
        <v>2337</v>
      </c>
      <c r="R103" s="2" t="s">
        <v>59</v>
      </c>
      <c r="S103" s="2" t="s">
        <v>38</v>
      </c>
      <c r="T103" s="2" t="s">
        <v>60</v>
      </c>
      <c r="U103" s="2" t="s">
        <v>2301</v>
      </c>
      <c r="V103" s="2" t="s">
        <v>2337</v>
      </c>
      <c r="W103" s="2" t="s">
        <v>38</v>
      </c>
      <c r="X103" s="2" t="s">
        <v>38</v>
      </c>
      <c r="Y103" s="2" t="s">
        <v>2404</v>
      </c>
      <c r="Z103" s="2" t="s">
        <v>59</v>
      </c>
      <c r="AA103" s="2" t="s">
        <v>38</v>
      </c>
      <c r="AB103" s="2" t="s">
        <v>60</v>
      </c>
      <c r="AC103" s="2" t="s">
        <v>2301</v>
      </c>
      <c r="AD103" s="2" t="s">
        <v>2404</v>
      </c>
      <c r="AE103" s="2" t="s">
        <v>38</v>
      </c>
      <c r="AF103" s="2" t="s">
        <v>38</v>
      </c>
      <c r="AG103" s="34">
        <v>46078</v>
      </c>
    </row>
    <row r="104" spans="1:33" ht="90" x14ac:dyDescent="0.25">
      <c r="A104" s="2" t="s">
        <v>269</v>
      </c>
      <c r="B104" s="2" t="s">
        <v>2640</v>
      </c>
      <c r="C104" s="2" t="s">
        <v>38</v>
      </c>
      <c r="D104" s="2" t="s">
        <v>38</v>
      </c>
      <c r="E104" s="2" t="s">
        <v>48</v>
      </c>
      <c r="F104" s="2" t="s">
        <v>62</v>
      </c>
      <c r="G104" s="2" t="s">
        <v>40</v>
      </c>
      <c r="H104" s="2" t="s">
        <v>2859</v>
      </c>
      <c r="I104" s="2" t="s">
        <v>67</v>
      </c>
      <c r="J104" s="2" t="s">
        <v>2557</v>
      </c>
      <c r="K104" s="2" t="s">
        <v>41</v>
      </c>
      <c r="L104" s="2" t="s">
        <v>270</v>
      </c>
      <c r="M104" s="2" t="s">
        <v>73</v>
      </c>
      <c r="N104" s="2" t="s">
        <v>271</v>
      </c>
      <c r="O104" s="2" t="s">
        <v>38</v>
      </c>
      <c r="P104" s="2" t="s">
        <v>2483</v>
      </c>
      <c r="Q104" s="2" t="s">
        <v>2497</v>
      </c>
      <c r="R104" s="2" t="s">
        <v>45</v>
      </c>
      <c r="S104" s="2" t="s">
        <v>38</v>
      </c>
      <c r="T104" s="2" t="s">
        <v>38</v>
      </c>
      <c r="U104" s="2" t="s">
        <v>38</v>
      </c>
      <c r="V104" s="2" t="s">
        <v>38</v>
      </c>
      <c r="W104" s="2" t="s">
        <v>38</v>
      </c>
      <c r="X104" s="2" t="s">
        <v>38</v>
      </c>
      <c r="Y104" s="2" t="s">
        <v>2070</v>
      </c>
      <c r="Z104" s="2" t="s">
        <v>45</v>
      </c>
      <c r="AA104" s="2" t="s">
        <v>38</v>
      </c>
      <c r="AB104" s="2" t="s">
        <v>38</v>
      </c>
      <c r="AC104" s="2" t="s">
        <v>2071</v>
      </c>
      <c r="AD104" s="2" t="s">
        <v>38</v>
      </c>
      <c r="AE104" s="2" t="s">
        <v>2070</v>
      </c>
      <c r="AF104" s="2" t="s">
        <v>38</v>
      </c>
      <c r="AG104" s="34">
        <v>46078</v>
      </c>
    </row>
    <row r="105" spans="1:33" ht="210" x14ac:dyDescent="0.25">
      <c r="A105" s="2" t="s">
        <v>272</v>
      </c>
      <c r="B105" s="2" t="s">
        <v>2641</v>
      </c>
      <c r="C105" s="2" t="s">
        <v>86</v>
      </c>
      <c r="D105" s="2" t="s">
        <v>120</v>
      </c>
      <c r="E105" s="2" t="s">
        <v>48</v>
      </c>
      <c r="F105" s="2" t="s">
        <v>62</v>
      </c>
      <c r="G105" s="2" t="s">
        <v>40</v>
      </c>
      <c r="H105" s="2" t="s">
        <v>2511</v>
      </c>
      <c r="I105" s="2" t="s">
        <v>2548</v>
      </c>
      <c r="J105" s="2" t="s">
        <v>2641</v>
      </c>
      <c r="K105" s="2" t="s">
        <v>50</v>
      </c>
      <c r="L105" s="2" t="s">
        <v>273</v>
      </c>
      <c r="M105" s="2" t="s">
        <v>89</v>
      </c>
      <c r="N105" s="2" t="s">
        <v>274</v>
      </c>
      <c r="O105" s="2" t="s">
        <v>275</v>
      </c>
      <c r="P105" s="2" t="s">
        <v>3292</v>
      </c>
      <c r="Q105" s="2" t="s">
        <v>2018</v>
      </c>
      <c r="R105" s="2" t="s">
        <v>45</v>
      </c>
      <c r="S105" s="2" t="s">
        <v>132</v>
      </c>
      <c r="T105" s="2" t="s">
        <v>38</v>
      </c>
      <c r="U105" s="2" t="s">
        <v>1999</v>
      </c>
      <c r="V105" s="2" t="s">
        <v>2000</v>
      </c>
      <c r="W105" s="2" t="s">
        <v>2018</v>
      </c>
      <c r="X105" s="2" t="s">
        <v>38</v>
      </c>
      <c r="Y105" s="2" t="s">
        <v>2063</v>
      </c>
      <c r="Z105" s="2" t="s">
        <v>45</v>
      </c>
      <c r="AA105" s="2" t="s">
        <v>46</v>
      </c>
      <c r="AB105" s="2" t="s">
        <v>38</v>
      </c>
      <c r="AC105" s="2" t="s">
        <v>1999</v>
      </c>
      <c r="AD105" s="2" t="s">
        <v>2006</v>
      </c>
      <c r="AE105" s="2" t="s">
        <v>2063</v>
      </c>
      <c r="AF105" s="2" t="s">
        <v>38</v>
      </c>
      <c r="AG105" s="34">
        <v>46078</v>
      </c>
    </row>
    <row r="106" spans="1:33" ht="195" x14ac:dyDescent="0.25">
      <c r="A106" s="2" t="s">
        <v>276</v>
      </c>
      <c r="B106" s="2" t="s">
        <v>3004</v>
      </c>
      <c r="C106" s="2" t="s">
        <v>37</v>
      </c>
      <c r="D106" s="2" t="s">
        <v>120</v>
      </c>
      <c r="E106" s="2" t="s">
        <v>277</v>
      </c>
      <c r="F106" s="2" t="s">
        <v>49</v>
      </c>
      <c r="G106" s="2" t="s">
        <v>40</v>
      </c>
      <c r="H106" s="2" t="s">
        <v>2642</v>
      </c>
      <c r="I106" s="2" t="s">
        <v>2522</v>
      </c>
      <c r="J106" s="2" t="s">
        <v>2568</v>
      </c>
      <c r="K106" s="2" t="s">
        <v>87</v>
      </c>
      <c r="L106" s="2" t="s">
        <v>278</v>
      </c>
      <c r="M106" s="2" t="s">
        <v>89</v>
      </c>
      <c r="N106" s="2" t="s">
        <v>3282</v>
      </c>
      <c r="O106" s="2" t="s">
        <v>3283</v>
      </c>
      <c r="P106" s="2" t="s">
        <v>3293</v>
      </c>
      <c r="Q106" s="2" t="s">
        <v>2030</v>
      </c>
      <c r="R106" s="2" t="s">
        <v>45</v>
      </c>
      <c r="S106" s="2" t="s">
        <v>46</v>
      </c>
      <c r="T106" s="2" t="s">
        <v>38</v>
      </c>
      <c r="U106" s="2" t="s">
        <v>1999</v>
      </c>
      <c r="V106" s="2" t="s">
        <v>2011</v>
      </c>
      <c r="W106" s="2" t="s">
        <v>2030</v>
      </c>
      <c r="X106" s="2" t="s">
        <v>38</v>
      </c>
      <c r="Y106" s="2" t="s">
        <v>2968</v>
      </c>
      <c r="Z106" s="2" t="s">
        <v>279</v>
      </c>
      <c r="AA106" s="2" t="s">
        <v>38</v>
      </c>
      <c r="AB106" s="2" t="s">
        <v>38</v>
      </c>
      <c r="AC106" s="2" t="s">
        <v>38</v>
      </c>
      <c r="AD106" s="2" t="s">
        <v>38</v>
      </c>
      <c r="AE106" s="2" t="s">
        <v>38</v>
      </c>
      <c r="AF106" s="2" t="s">
        <v>38</v>
      </c>
      <c r="AG106" s="34">
        <v>46078</v>
      </c>
    </row>
    <row r="107" spans="1:33" ht="45" x14ac:dyDescent="0.25">
      <c r="A107" s="2" t="s">
        <v>280</v>
      </c>
      <c r="B107" s="2" t="s">
        <v>2643</v>
      </c>
      <c r="C107" s="2" t="s">
        <v>38</v>
      </c>
      <c r="D107" s="2" t="s">
        <v>38</v>
      </c>
      <c r="E107" s="2" t="s">
        <v>277</v>
      </c>
      <c r="F107" s="2" t="s">
        <v>38</v>
      </c>
      <c r="G107" s="2" t="s">
        <v>40</v>
      </c>
      <c r="H107" s="2" t="s">
        <v>2644</v>
      </c>
      <c r="I107" s="2" t="s">
        <v>2505</v>
      </c>
      <c r="J107" s="2" t="s">
        <v>2645</v>
      </c>
      <c r="K107" s="2" t="s">
        <v>41</v>
      </c>
      <c r="L107" s="2" t="s">
        <v>38</v>
      </c>
      <c r="M107" s="2" t="s">
        <v>38</v>
      </c>
      <c r="N107" s="2" t="s">
        <v>38</v>
      </c>
      <c r="O107" s="2" t="s">
        <v>38</v>
      </c>
      <c r="P107" s="2" t="s">
        <v>84</v>
      </c>
      <c r="Q107" s="2" t="s">
        <v>281</v>
      </c>
      <c r="R107" s="2" t="s">
        <v>279</v>
      </c>
      <c r="S107" s="2" t="s">
        <v>38</v>
      </c>
      <c r="T107" s="2" t="s">
        <v>38</v>
      </c>
      <c r="U107" s="2" t="s">
        <v>38</v>
      </c>
      <c r="V107" s="2" t="s">
        <v>38</v>
      </c>
      <c r="W107" s="2" t="s">
        <v>38</v>
      </c>
      <c r="X107" s="2" t="s">
        <v>38</v>
      </c>
      <c r="Y107" s="2" t="s">
        <v>2030</v>
      </c>
      <c r="Z107" s="2" t="s">
        <v>45</v>
      </c>
      <c r="AA107" s="2" t="s">
        <v>46</v>
      </c>
      <c r="AB107" s="2" t="s">
        <v>38</v>
      </c>
      <c r="AC107" s="2" t="s">
        <v>1999</v>
      </c>
      <c r="AD107" s="2" t="s">
        <v>2011</v>
      </c>
      <c r="AE107" s="2" t="s">
        <v>2030</v>
      </c>
      <c r="AF107" s="2" t="s">
        <v>38</v>
      </c>
      <c r="AG107" s="34">
        <v>46078</v>
      </c>
    </row>
    <row r="108" spans="1:33" ht="45" x14ac:dyDescent="0.25">
      <c r="A108" s="2" t="s">
        <v>282</v>
      </c>
      <c r="B108" s="2" t="s">
        <v>2646</v>
      </c>
      <c r="C108" s="2" t="s">
        <v>38</v>
      </c>
      <c r="D108" s="2" t="s">
        <v>38</v>
      </c>
      <c r="E108" s="2" t="s">
        <v>277</v>
      </c>
      <c r="F108" s="2" t="s">
        <v>38</v>
      </c>
      <c r="G108" s="2" t="s">
        <v>40</v>
      </c>
      <c r="H108" s="2" t="s">
        <v>2644</v>
      </c>
      <c r="I108" s="2" t="s">
        <v>2505</v>
      </c>
      <c r="J108" s="2" t="s">
        <v>2645</v>
      </c>
      <c r="K108" s="2" t="s">
        <v>41</v>
      </c>
      <c r="L108" s="2" t="s">
        <v>38</v>
      </c>
      <c r="M108" s="2" t="s">
        <v>38</v>
      </c>
      <c r="N108" s="2" t="s">
        <v>38</v>
      </c>
      <c r="O108" s="2" t="s">
        <v>38</v>
      </c>
      <c r="P108" s="2" t="s">
        <v>283</v>
      </c>
      <c r="Q108" s="2" t="s">
        <v>284</v>
      </c>
      <c r="R108" s="2" t="s">
        <v>279</v>
      </c>
      <c r="S108" s="2" t="s">
        <v>285</v>
      </c>
      <c r="T108" s="2" t="s">
        <v>38</v>
      </c>
      <c r="U108" s="2" t="s">
        <v>38</v>
      </c>
      <c r="V108" s="2" t="s">
        <v>38</v>
      </c>
      <c r="W108" s="2" t="s">
        <v>38</v>
      </c>
      <c r="X108" s="2" t="s">
        <v>38</v>
      </c>
      <c r="Y108" s="2" t="s">
        <v>2030</v>
      </c>
      <c r="Z108" s="2" t="s">
        <v>45</v>
      </c>
      <c r="AA108" s="2" t="s">
        <v>46</v>
      </c>
      <c r="AB108" s="2" t="s">
        <v>38</v>
      </c>
      <c r="AC108" s="2" t="s">
        <v>1999</v>
      </c>
      <c r="AD108" s="2" t="s">
        <v>2011</v>
      </c>
      <c r="AE108" s="2" t="s">
        <v>2030</v>
      </c>
      <c r="AF108" s="2" t="s">
        <v>38</v>
      </c>
      <c r="AG108" s="34">
        <v>46078</v>
      </c>
    </row>
    <row r="109" spans="1:33" ht="195" x14ac:dyDescent="0.25">
      <c r="A109" s="2" t="s">
        <v>286</v>
      </c>
      <c r="B109" s="2" t="s">
        <v>2647</v>
      </c>
      <c r="C109" s="2" t="s">
        <v>37</v>
      </c>
      <c r="D109" s="2" t="s">
        <v>95</v>
      </c>
      <c r="E109" s="2" t="s">
        <v>277</v>
      </c>
      <c r="F109" s="2" t="s">
        <v>49</v>
      </c>
      <c r="G109" s="2" t="s">
        <v>40</v>
      </c>
      <c r="H109" s="2" t="s">
        <v>2644</v>
      </c>
      <c r="I109" s="2" t="s">
        <v>2505</v>
      </c>
      <c r="J109" s="2" t="s">
        <v>2645</v>
      </c>
      <c r="K109" s="2" t="s">
        <v>87</v>
      </c>
      <c r="L109" s="2" t="s">
        <v>287</v>
      </c>
      <c r="M109" s="2" t="s">
        <v>89</v>
      </c>
      <c r="N109" s="2" t="s">
        <v>3222</v>
      </c>
      <c r="O109" s="2" t="s">
        <v>3284</v>
      </c>
      <c r="P109" s="2" t="s">
        <v>3293</v>
      </c>
      <c r="Q109" s="2" t="s">
        <v>288</v>
      </c>
      <c r="R109" s="2" t="s">
        <v>279</v>
      </c>
      <c r="S109" s="2" t="s">
        <v>38</v>
      </c>
      <c r="T109" s="2" t="s">
        <v>38</v>
      </c>
      <c r="U109" s="2" t="s">
        <v>38</v>
      </c>
      <c r="V109" s="2" t="s">
        <v>38</v>
      </c>
      <c r="W109" s="2" t="s">
        <v>38</v>
      </c>
      <c r="X109" s="2" t="s">
        <v>38</v>
      </c>
      <c r="Y109" s="2" t="s">
        <v>2030</v>
      </c>
      <c r="Z109" s="2" t="s">
        <v>45</v>
      </c>
      <c r="AA109" s="2" t="s">
        <v>46</v>
      </c>
      <c r="AB109" s="2" t="s">
        <v>38</v>
      </c>
      <c r="AC109" s="2" t="s">
        <v>1999</v>
      </c>
      <c r="AD109" s="2" t="s">
        <v>2011</v>
      </c>
      <c r="AE109" s="2" t="s">
        <v>2030</v>
      </c>
      <c r="AF109" s="2" t="s">
        <v>38</v>
      </c>
      <c r="AG109" s="34">
        <v>46078</v>
      </c>
    </row>
    <row r="110" spans="1:33" ht="180" x14ac:dyDescent="0.25">
      <c r="A110" s="2" t="s">
        <v>289</v>
      </c>
      <c r="B110" s="2" t="s">
        <v>2648</v>
      </c>
      <c r="C110" s="2" t="s">
        <v>37</v>
      </c>
      <c r="D110" s="2" t="s">
        <v>95</v>
      </c>
      <c r="E110" s="2" t="s">
        <v>277</v>
      </c>
      <c r="F110" s="2" t="s">
        <v>49</v>
      </c>
      <c r="G110" s="2" t="s">
        <v>40</v>
      </c>
      <c r="H110" s="2" t="s">
        <v>2644</v>
      </c>
      <c r="I110" s="2" t="s">
        <v>2505</v>
      </c>
      <c r="J110" s="2" t="s">
        <v>2645</v>
      </c>
      <c r="K110" s="2" t="s">
        <v>87</v>
      </c>
      <c r="L110" s="2" t="s">
        <v>290</v>
      </c>
      <c r="M110" s="2" t="s">
        <v>89</v>
      </c>
      <c r="N110" s="2" t="s">
        <v>291</v>
      </c>
      <c r="O110" s="2" t="s">
        <v>292</v>
      </c>
      <c r="P110" s="2" t="s">
        <v>3292</v>
      </c>
      <c r="Q110" s="2" t="s">
        <v>77</v>
      </c>
      <c r="R110" s="2" t="s">
        <v>279</v>
      </c>
      <c r="S110" s="2" t="s">
        <v>38</v>
      </c>
      <c r="T110" s="2" t="s">
        <v>38</v>
      </c>
      <c r="U110" s="2" t="s">
        <v>38</v>
      </c>
      <c r="V110" s="2" t="s">
        <v>38</v>
      </c>
      <c r="W110" s="2" t="s">
        <v>38</v>
      </c>
      <c r="X110" s="2" t="s">
        <v>38</v>
      </c>
      <c r="Y110" s="2" t="s">
        <v>2030</v>
      </c>
      <c r="Z110" s="2" t="s">
        <v>45</v>
      </c>
      <c r="AA110" s="2" t="s">
        <v>46</v>
      </c>
      <c r="AB110" s="2" t="s">
        <v>38</v>
      </c>
      <c r="AC110" s="2" t="s">
        <v>1999</v>
      </c>
      <c r="AD110" s="2" t="s">
        <v>2011</v>
      </c>
      <c r="AE110" s="2" t="s">
        <v>2030</v>
      </c>
      <c r="AF110" s="2" t="s">
        <v>38</v>
      </c>
      <c r="AG110" s="34">
        <v>46078</v>
      </c>
    </row>
    <row r="111" spans="1:33" ht="225" x14ac:dyDescent="0.25">
      <c r="A111" s="2" t="s">
        <v>293</v>
      </c>
      <c r="B111" s="2" t="s">
        <v>2649</v>
      </c>
      <c r="C111" s="2" t="s">
        <v>37</v>
      </c>
      <c r="D111" s="2" t="s">
        <v>294</v>
      </c>
      <c r="E111" s="2" t="s">
        <v>277</v>
      </c>
      <c r="F111" s="2" t="s">
        <v>49</v>
      </c>
      <c r="G111" s="2" t="s">
        <v>40</v>
      </c>
      <c r="H111" s="2" t="s">
        <v>2642</v>
      </c>
      <c r="I111" s="2" t="s">
        <v>2522</v>
      </c>
      <c r="J111" s="2" t="s">
        <v>2650</v>
      </c>
      <c r="K111" s="2" t="s">
        <v>50</v>
      </c>
      <c r="L111" s="2" t="s">
        <v>295</v>
      </c>
      <c r="M111" s="2" t="s">
        <v>89</v>
      </c>
      <c r="N111" s="2" t="s">
        <v>296</v>
      </c>
      <c r="O111" s="2" t="s">
        <v>297</v>
      </c>
      <c r="P111" s="2" t="s">
        <v>298</v>
      </c>
      <c r="Q111" s="2" t="s">
        <v>2015</v>
      </c>
      <c r="R111" s="2" t="s">
        <v>45</v>
      </c>
      <c r="S111" s="2" t="s">
        <v>77</v>
      </c>
      <c r="T111" s="2" t="s">
        <v>78</v>
      </c>
      <c r="U111" s="2" t="s">
        <v>1999</v>
      </c>
      <c r="V111" s="2" t="s">
        <v>2011</v>
      </c>
      <c r="W111" s="2" t="s">
        <v>2015</v>
      </c>
      <c r="X111" s="2" t="s">
        <v>38</v>
      </c>
      <c r="Y111" s="2" t="s">
        <v>132</v>
      </c>
      <c r="Z111" s="2" t="s">
        <v>279</v>
      </c>
      <c r="AA111" s="2" t="s">
        <v>285</v>
      </c>
      <c r="AB111" s="2" t="s">
        <v>38</v>
      </c>
      <c r="AC111" s="2" t="s">
        <v>38</v>
      </c>
      <c r="AD111" s="2" t="s">
        <v>38</v>
      </c>
      <c r="AE111" s="2" t="s">
        <v>38</v>
      </c>
      <c r="AF111" s="2" t="s">
        <v>38</v>
      </c>
      <c r="AG111" s="34">
        <v>46078</v>
      </c>
    </row>
    <row r="112" spans="1:33" ht="165" x14ac:dyDescent="0.25">
      <c r="A112" s="2" t="s">
        <v>299</v>
      </c>
      <c r="B112" s="2" t="s">
        <v>2651</v>
      </c>
      <c r="C112" s="2" t="s">
        <v>37</v>
      </c>
      <c r="D112" s="2" t="s">
        <v>95</v>
      </c>
      <c r="E112" s="2" t="s">
        <v>277</v>
      </c>
      <c r="F112" s="2" t="s">
        <v>49</v>
      </c>
      <c r="G112" s="2" t="s">
        <v>40</v>
      </c>
      <c r="H112" s="2" t="s">
        <v>2644</v>
      </c>
      <c r="I112" s="2" t="s">
        <v>2505</v>
      </c>
      <c r="J112" s="2" t="s">
        <v>2652</v>
      </c>
      <c r="K112" s="2" t="s">
        <v>50</v>
      </c>
      <c r="L112" s="2" t="s">
        <v>300</v>
      </c>
      <c r="M112" s="2" t="s">
        <v>51</v>
      </c>
      <c r="N112" s="2" t="s">
        <v>301</v>
      </c>
      <c r="O112" s="2" t="s">
        <v>302</v>
      </c>
      <c r="P112" s="2" t="s">
        <v>303</v>
      </c>
      <c r="Q112" s="2" t="s">
        <v>304</v>
      </c>
      <c r="R112" s="2" t="s">
        <v>279</v>
      </c>
      <c r="S112" s="2" t="s">
        <v>38</v>
      </c>
      <c r="T112" s="2" t="s">
        <v>38</v>
      </c>
      <c r="U112" s="2" t="s">
        <v>38</v>
      </c>
      <c r="V112" s="2" t="s">
        <v>38</v>
      </c>
      <c r="W112" s="2" t="s">
        <v>38</v>
      </c>
      <c r="X112" s="2" t="s">
        <v>38</v>
      </c>
      <c r="Y112" s="2" t="s">
        <v>2015</v>
      </c>
      <c r="Z112" s="2" t="s">
        <v>45</v>
      </c>
      <c r="AA112" s="2" t="s">
        <v>77</v>
      </c>
      <c r="AB112" s="2" t="s">
        <v>78</v>
      </c>
      <c r="AC112" s="2" t="s">
        <v>1999</v>
      </c>
      <c r="AD112" s="2" t="s">
        <v>2011</v>
      </c>
      <c r="AE112" s="2" t="s">
        <v>2015</v>
      </c>
      <c r="AF112" s="2" t="s">
        <v>38</v>
      </c>
      <c r="AG112" s="34">
        <v>46078</v>
      </c>
    </row>
    <row r="113" spans="1:33" ht="210" x14ac:dyDescent="0.25">
      <c r="A113" s="2" t="s">
        <v>305</v>
      </c>
      <c r="B113" s="2" t="s">
        <v>2653</v>
      </c>
      <c r="C113" s="2" t="s">
        <v>37</v>
      </c>
      <c r="D113" s="2" t="s">
        <v>306</v>
      </c>
      <c r="E113" s="2" t="s">
        <v>277</v>
      </c>
      <c r="F113" s="2" t="s">
        <v>49</v>
      </c>
      <c r="G113" s="2" t="s">
        <v>40</v>
      </c>
      <c r="H113" s="2" t="s">
        <v>2642</v>
      </c>
      <c r="I113" s="2" t="s">
        <v>2522</v>
      </c>
      <c r="J113" s="2" t="s">
        <v>2650</v>
      </c>
      <c r="K113" s="2" t="s">
        <v>50</v>
      </c>
      <c r="L113" s="2" t="s">
        <v>307</v>
      </c>
      <c r="M113" s="2" t="s">
        <v>89</v>
      </c>
      <c r="N113" s="2" t="s">
        <v>308</v>
      </c>
      <c r="O113" s="2" t="s">
        <v>309</v>
      </c>
      <c r="P113" s="2" t="s">
        <v>310</v>
      </c>
      <c r="Q113" s="2" t="s">
        <v>2015</v>
      </c>
      <c r="R113" s="2" t="s">
        <v>45</v>
      </c>
      <c r="S113" s="2" t="s">
        <v>77</v>
      </c>
      <c r="T113" s="2" t="s">
        <v>78</v>
      </c>
      <c r="U113" s="2" t="s">
        <v>1999</v>
      </c>
      <c r="V113" s="2" t="s">
        <v>2011</v>
      </c>
      <c r="W113" s="2" t="s">
        <v>2015</v>
      </c>
      <c r="X113" s="2" t="s">
        <v>38</v>
      </c>
      <c r="Y113" s="2" t="s">
        <v>77</v>
      </c>
      <c r="Z113" s="2" t="s">
        <v>279</v>
      </c>
      <c r="AA113" s="2" t="s">
        <v>38</v>
      </c>
      <c r="AB113" s="2" t="s">
        <v>38</v>
      </c>
      <c r="AC113" s="2" t="s">
        <v>38</v>
      </c>
      <c r="AD113" s="2" t="s">
        <v>38</v>
      </c>
      <c r="AE113" s="2" t="s">
        <v>38</v>
      </c>
      <c r="AF113" s="2" t="s">
        <v>38</v>
      </c>
      <c r="AG113" s="34">
        <v>46078</v>
      </c>
    </row>
    <row r="114" spans="1:33" ht="75" x14ac:dyDescent="0.25">
      <c r="A114" s="2" t="s">
        <v>311</v>
      </c>
      <c r="B114" s="2" t="s">
        <v>2654</v>
      </c>
      <c r="C114" s="2" t="s">
        <v>37</v>
      </c>
      <c r="D114" s="2" t="s">
        <v>86</v>
      </c>
      <c r="E114" s="2" t="s">
        <v>312</v>
      </c>
      <c r="F114" s="2" t="s">
        <v>62</v>
      </c>
      <c r="G114" s="2" t="s">
        <v>40</v>
      </c>
      <c r="H114" s="2" t="s">
        <v>2511</v>
      </c>
      <c r="I114" s="2" t="s">
        <v>2518</v>
      </c>
      <c r="J114" s="2" t="s">
        <v>2517</v>
      </c>
      <c r="K114" s="2" t="s">
        <v>50</v>
      </c>
      <c r="L114" s="2" t="s">
        <v>313</v>
      </c>
      <c r="M114" s="2" t="s">
        <v>89</v>
      </c>
      <c r="N114" s="2" t="s">
        <v>314</v>
      </c>
      <c r="O114" s="2" t="s">
        <v>91</v>
      </c>
      <c r="P114" s="2" t="s">
        <v>92</v>
      </c>
      <c r="Q114" s="2" t="s">
        <v>2098</v>
      </c>
      <c r="R114" s="2" t="s">
        <v>315</v>
      </c>
      <c r="S114" s="2" t="s">
        <v>38</v>
      </c>
      <c r="T114" s="2" t="s">
        <v>38</v>
      </c>
      <c r="U114" s="2" t="s">
        <v>1999</v>
      </c>
      <c r="V114" s="2" t="s">
        <v>2011</v>
      </c>
      <c r="W114" s="2" t="s">
        <v>2030</v>
      </c>
      <c r="X114" s="2" t="s">
        <v>2098</v>
      </c>
      <c r="Y114" s="2" t="s">
        <v>1997</v>
      </c>
      <c r="Z114" s="2" t="s">
        <v>45</v>
      </c>
      <c r="AA114" s="2" t="s">
        <v>86</v>
      </c>
      <c r="AB114" s="2" t="s">
        <v>38</v>
      </c>
      <c r="AC114" s="2" t="s">
        <v>1999</v>
      </c>
      <c r="AD114" s="2" t="s">
        <v>2000</v>
      </c>
      <c r="AE114" s="2" t="s">
        <v>1997</v>
      </c>
      <c r="AF114" s="2" t="s">
        <v>38</v>
      </c>
      <c r="AG114" s="34">
        <v>46078</v>
      </c>
    </row>
    <row r="115" spans="1:33" ht="90" x14ac:dyDescent="0.25">
      <c r="A115" s="2" t="s">
        <v>316</v>
      </c>
      <c r="B115" s="2" t="s">
        <v>2655</v>
      </c>
      <c r="C115" s="2" t="s">
        <v>38</v>
      </c>
      <c r="D115" s="2" t="s">
        <v>38</v>
      </c>
      <c r="E115" s="2" t="s">
        <v>312</v>
      </c>
      <c r="F115" s="2" t="s">
        <v>62</v>
      </c>
      <c r="G115" s="2" t="s">
        <v>40</v>
      </c>
      <c r="H115" s="2" t="s">
        <v>2642</v>
      </c>
      <c r="I115" s="2" t="s">
        <v>2522</v>
      </c>
      <c r="J115" s="2" t="s">
        <v>2568</v>
      </c>
      <c r="K115" s="2" t="s">
        <v>41</v>
      </c>
      <c r="L115" s="2" t="s">
        <v>317</v>
      </c>
      <c r="M115" s="2" t="s">
        <v>89</v>
      </c>
      <c r="N115" s="2" t="s">
        <v>318</v>
      </c>
      <c r="O115" s="2" t="s">
        <v>38</v>
      </c>
      <c r="P115" s="2" t="s">
        <v>2480</v>
      </c>
      <c r="Q115" s="2" t="s">
        <v>2098</v>
      </c>
      <c r="R115" s="2" t="s">
        <v>315</v>
      </c>
      <c r="S115" s="2" t="s">
        <v>38</v>
      </c>
      <c r="T115" s="2" t="s">
        <v>38</v>
      </c>
      <c r="U115" s="2" t="s">
        <v>1999</v>
      </c>
      <c r="V115" s="2" t="s">
        <v>2011</v>
      </c>
      <c r="W115" s="2" t="s">
        <v>2030</v>
      </c>
      <c r="X115" s="2" t="s">
        <v>2098</v>
      </c>
      <c r="Y115" s="2" t="s">
        <v>2494</v>
      </c>
      <c r="Z115" s="2" t="s">
        <v>45</v>
      </c>
      <c r="AA115" s="2" t="s">
        <v>38</v>
      </c>
      <c r="AB115" s="2" t="s">
        <v>38</v>
      </c>
      <c r="AC115" s="2" t="s">
        <v>38</v>
      </c>
      <c r="AD115" s="2" t="s">
        <v>38</v>
      </c>
      <c r="AE115" s="2" t="s">
        <v>38</v>
      </c>
      <c r="AF115" s="2" t="s">
        <v>38</v>
      </c>
      <c r="AG115" s="34">
        <v>46078</v>
      </c>
    </row>
    <row r="116" spans="1:33" ht="75" x14ac:dyDescent="0.25">
      <c r="A116" s="2" t="s">
        <v>319</v>
      </c>
      <c r="B116" s="2" t="s">
        <v>3096</v>
      </c>
      <c r="C116" s="2" t="s">
        <v>38</v>
      </c>
      <c r="D116" s="2" t="s">
        <v>38</v>
      </c>
      <c r="E116" s="2" t="s">
        <v>320</v>
      </c>
      <c r="F116" s="2" t="s">
        <v>38</v>
      </c>
      <c r="G116" s="2" t="s">
        <v>40</v>
      </c>
      <c r="H116" s="2" t="s">
        <v>2521</v>
      </c>
      <c r="I116" s="2" t="s">
        <v>2522</v>
      </c>
      <c r="J116" s="2" t="s">
        <v>2520</v>
      </c>
      <c r="K116" s="2" t="s">
        <v>41</v>
      </c>
      <c r="L116" s="2" t="s">
        <v>321</v>
      </c>
      <c r="M116" s="2" t="s">
        <v>51</v>
      </c>
      <c r="N116" s="2" t="s">
        <v>322</v>
      </c>
      <c r="O116" s="2" t="s">
        <v>38</v>
      </c>
      <c r="P116" s="2" t="s">
        <v>3199</v>
      </c>
      <c r="Q116" s="2" t="s">
        <v>2102</v>
      </c>
      <c r="R116" s="2" t="s">
        <v>315</v>
      </c>
      <c r="S116" s="2" t="s">
        <v>38</v>
      </c>
      <c r="T116" s="2" t="s">
        <v>38</v>
      </c>
      <c r="U116" s="2" t="s">
        <v>1999</v>
      </c>
      <c r="V116" s="2" t="s">
        <v>2011</v>
      </c>
      <c r="W116" s="2" t="s">
        <v>2030</v>
      </c>
      <c r="X116" s="2" t="s">
        <v>2102</v>
      </c>
      <c r="Y116" s="2" t="s">
        <v>3093</v>
      </c>
      <c r="Z116" s="2" t="s">
        <v>315</v>
      </c>
      <c r="AA116" s="2" t="s">
        <v>38</v>
      </c>
      <c r="AB116" s="2" t="s">
        <v>38</v>
      </c>
      <c r="AC116" s="2" t="s">
        <v>2047</v>
      </c>
      <c r="AD116" s="2" t="s">
        <v>38</v>
      </c>
      <c r="AE116" s="2" t="s">
        <v>2106</v>
      </c>
      <c r="AF116" s="2" t="s">
        <v>2105</v>
      </c>
      <c r="AG116" s="34">
        <v>46078</v>
      </c>
    </row>
    <row r="117" spans="1:33" ht="270" x14ac:dyDescent="0.25">
      <c r="A117" s="2" t="s">
        <v>323</v>
      </c>
      <c r="B117" s="2" t="s">
        <v>3097</v>
      </c>
      <c r="C117" s="2" t="s">
        <v>37</v>
      </c>
      <c r="D117" s="2" t="s">
        <v>97</v>
      </c>
      <c r="E117" s="2" t="s">
        <v>320</v>
      </c>
      <c r="F117" s="2" t="s">
        <v>62</v>
      </c>
      <c r="G117" s="2" t="s">
        <v>40</v>
      </c>
      <c r="H117" s="2" t="s">
        <v>2521</v>
      </c>
      <c r="I117" s="2" t="s">
        <v>2522</v>
      </c>
      <c r="J117" s="2" t="s">
        <v>2520</v>
      </c>
      <c r="K117" s="2" t="s">
        <v>50</v>
      </c>
      <c r="L117" s="2" t="s">
        <v>324</v>
      </c>
      <c r="M117" s="2" t="s">
        <v>89</v>
      </c>
      <c r="N117" s="2" t="s">
        <v>99</v>
      </c>
      <c r="O117" s="2" t="s">
        <v>100</v>
      </c>
      <c r="P117" s="2" t="s">
        <v>38</v>
      </c>
      <c r="Q117" s="2" t="s">
        <v>2102</v>
      </c>
      <c r="R117" s="2" t="s">
        <v>315</v>
      </c>
      <c r="S117" s="2" t="s">
        <v>38</v>
      </c>
      <c r="T117" s="2" t="s">
        <v>38</v>
      </c>
      <c r="U117" s="2" t="s">
        <v>1999</v>
      </c>
      <c r="V117" s="2" t="s">
        <v>2011</v>
      </c>
      <c r="W117" s="2" t="s">
        <v>2030</v>
      </c>
      <c r="X117" s="2" t="s">
        <v>2102</v>
      </c>
      <c r="Y117" s="2" t="s">
        <v>3082</v>
      </c>
      <c r="Z117" s="2" t="s">
        <v>315</v>
      </c>
      <c r="AA117" s="2" t="s">
        <v>38</v>
      </c>
      <c r="AB117" s="2" t="s">
        <v>38</v>
      </c>
      <c r="AC117" s="2" t="s">
        <v>2047</v>
      </c>
      <c r="AD117" s="2" t="s">
        <v>38</v>
      </c>
      <c r="AE117" s="2" t="s">
        <v>2106</v>
      </c>
      <c r="AF117" s="2" t="s">
        <v>2146</v>
      </c>
      <c r="AG117" s="34">
        <v>46078</v>
      </c>
    </row>
    <row r="118" spans="1:33" ht="90" x14ac:dyDescent="0.25">
      <c r="A118" s="2" t="s">
        <v>325</v>
      </c>
      <c r="B118" s="2" t="s">
        <v>2656</v>
      </c>
      <c r="C118" s="2" t="s">
        <v>37</v>
      </c>
      <c r="D118" s="2" t="s">
        <v>102</v>
      </c>
      <c r="E118" s="2" t="s">
        <v>312</v>
      </c>
      <c r="F118" s="2" t="s">
        <v>62</v>
      </c>
      <c r="G118" s="2" t="s">
        <v>40</v>
      </c>
      <c r="H118" s="2" t="s">
        <v>2511</v>
      </c>
      <c r="I118" s="2" t="s">
        <v>2534</v>
      </c>
      <c r="J118" s="2" t="s">
        <v>2657</v>
      </c>
      <c r="K118" s="2" t="s">
        <v>50</v>
      </c>
      <c r="L118" s="2" t="s">
        <v>326</v>
      </c>
      <c r="M118" s="2" t="s">
        <v>89</v>
      </c>
      <c r="N118" s="2" t="s">
        <v>327</v>
      </c>
      <c r="O118" s="2" t="s">
        <v>3236</v>
      </c>
      <c r="P118" s="2" t="s">
        <v>3296</v>
      </c>
      <c r="Q118" s="2" t="s">
        <v>2024</v>
      </c>
      <c r="R118" s="2" t="s">
        <v>45</v>
      </c>
      <c r="S118" s="2" t="s">
        <v>38</v>
      </c>
      <c r="T118" s="2" t="s">
        <v>38</v>
      </c>
      <c r="U118" s="2" t="s">
        <v>1999</v>
      </c>
      <c r="V118" s="2" t="s">
        <v>2000</v>
      </c>
      <c r="W118" s="2" t="s">
        <v>2024</v>
      </c>
      <c r="X118" s="2" t="s">
        <v>38</v>
      </c>
      <c r="Y118" s="2" t="s">
        <v>2098</v>
      </c>
      <c r="Z118" s="2" t="s">
        <v>315</v>
      </c>
      <c r="AA118" s="2" t="s">
        <v>38</v>
      </c>
      <c r="AB118" s="2" t="s">
        <v>38</v>
      </c>
      <c r="AC118" s="2" t="s">
        <v>1999</v>
      </c>
      <c r="AD118" s="2" t="s">
        <v>2011</v>
      </c>
      <c r="AE118" s="2" t="s">
        <v>2030</v>
      </c>
      <c r="AF118" s="2" t="s">
        <v>2098</v>
      </c>
      <c r="AG118" s="34">
        <v>46078</v>
      </c>
    </row>
    <row r="119" spans="1:33" ht="90" x14ac:dyDescent="0.25">
      <c r="A119" s="2" t="s">
        <v>328</v>
      </c>
      <c r="B119" s="2" t="s">
        <v>2658</v>
      </c>
      <c r="C119" s="2" t="s">
        <v>38</v>
      </c>
      <c r="D119" s="2" t="s">
        <v>38</v>
      </c>
      <c r="E119" s="2" t="s">
        <v>320</v>
      </c>
      <c r="F119" s="2" t="s">
        <v>62</v>
      </c>
      <c r="G119" s="2" t="s">
        <v>40</v>
      </c>
      <c r="H119" s="2" t="s">
        <v>2525</v>
      </c>
      <c r="I119" s="2" t="s">
        <v>2522</v>
      </c>
      <c r="J119" s="2" t="s">
        <v>2524</v>
      </c>
      <c r="K119" s="2" t="s">
        <v>50</v>
      </c>
      <c r="L119" s="2" t="s">
        <v>329</v>
      </c>
      <c r="M119" s="2" t="s">
        <v>73</v>
      </c>
      <c r="N119" s="2" t="s">
        <v>330</v>
      </c>
      <c r="O119" s="2" t="s">
        <v>3237</v>
      </c>
      <c r="P119" s="2" t="s">
        <v>3230</v>
      </c>
      <c r="Q119" s="2" t="s">
        <v>2098</v>
      </c>
      <c r="R119" s="2" t="s">
        <v>315</v>
      </c>
      <c r="S119" s="2" t="s">
        <v>38</v>
      </c>
      <c r="T119" s="2" t="s">
        <v>38</v>
      </c>
      <c r="U119" s="2" t="s">
        <v>1999</v>
      </c>
      <c r="V119" s="2" t="s">
        <v>2011</v>
      </c>
      <c r="W119" s="2" t="s">
        <v>2030</v>
      </c>
      <c r="X119" s="2" t="s">
        <v>2098</v>
      </c>
      <c r="Y119" s="2" t="s">
        <v>2165</v>
      </c>
      <c r="Z119" s="2" t="s">
        <v>315</v>
      </c>
      <c r="AA119" s="2" t="s">
        <v>38</v>
      </c>
      <c r="AB119" s="2" t="s">
        <v>38</v>
      </c>
      <c r="AC119" s="2" t="s">
        <v>2071</v>
      </c>
      <c r="AD119" s="2" t="s">
        <v>38</v>
      </c>
      <c r="AE119" s="2" t="s">
        <v>2070</v>
      </c>
      <c r="AF119" s="2" t="s">
        <v>2165</v>
      </c>
      <c r="AG119" s="34">
        <v>46078</v>
      </c>
    </row>
    <row r="120" spans="1:33" ht="105" x14ac:dyDescent="0.25">
      <c r="A120" s="2" t="s">
        <v>331</v>
      </c>
      <c r="B120" s="2" t="s">
        <v>2659</v>
      </c>
      <c r="C120" s="2" t="s">
        <v>38</v>
      </c>
      <c r="D120" s="2" t="s">
        <v>102</v>
      </c>
      <c r="E120" s="2" t="s">
        <v>312</v>
      </c>
      <c r="F120" s="2" t="s">
        <v>62</v>
      </c>
      <c r="G120" s="2" t="s">
        <v>40</v>
      </c>
      <c r="H120" s="2" t="s">
        <v>2511</v>
      </c>
      <c r="I120" s="2" t="s">
        <v>2660</v>
      </c>
      <c r="J120" s="2" t="s">
        <v>2661</v>
      </c>
      <c r="K120" s="2" t="s">
        <v>50</v>
      </c>
      <c r="L120" s="2" t="s">
        <v>332</v>
      </c>
      <c r="M120" s="2" t="s">
        <v>89</v>
      </c>
      <c r="N120" s="2" t="s">
        <v>333</v>
      </c>
      <c r="O120" s="2" t="s">
        <v>3238</v>
      </c>
      <c r="P120" s="2" t="s">
        <v>3297</v>
      </c>
      <c r="Q120" s="2" t="s">
        <v>2063</v>
      </c>
      <c r="R120" s="2" t="s">
        <v>45</v>
      </c>
      <c r="S120" s="2" t="s">
        <v>46</v>
      </c>
      <c r="T120" s="2" t="s">
        <v>38</v>
      </c>
      <c r="U120" s="2" t="s">
        <v>1999</v>
      </c>
      <c r="V120" s="2" t="s">
        <v>2006</v>
      </c>
      <c r="W120" s="2" t="s">
        <v>2063</v>
      </c>
      <c r="X120" s="2" t="s">
        <v>38</v>
      </c>
      <c r="Y120" s="2" t="s">
        <v>2098</v>
      </c>
      <c r="Z120" s="2" t="s">
        <v>315</v>
      </c>
      <c r="AA120" s="2" t="s">
        <v>38</v>
      </c>
      <c r="AB120" s="2" t="s">
        <v>38</v>
      </c>
      <c r="AC120" s="2" t="s">
        <v>1999</v>
      </c>
      <c r="AD120" s="2" t="s">
        <v>2011</v>
      </c>
      <c r="AE120" s="2" t="s">
        <v>2030</v>
      </c>
      <c r="AF120" s="2" t="s">
        <v>2098</v>
      </c>
      <c r="AG120" s="34">
        <v>46078</v>
      </c>
    </row>
    <row r="121" spans="1:33" ht="150" x14ac:dyDescent="0.25">
      <c r="A121" s="2" t="s">
        <v>334</v>
      </c>
      <c r="B121" s="2" t="s">
        <v>2662</v>
      </c>
      <c r="C121" s="2" t="s">
        <v>38</v>
      </c>
      <c r="D121" s="2" t="s">
        <v>38</v>
      </c>
      <c r="E121" s="2" t="s">
        <v>312</v>
      </c>
      <c r="F121" s="2" t="s">
        <v>62</v>
      </c>
      <c r="G121" s="2" t="s">
        <v>40</v>
      </c>
      <c r="H121" s="2" t="s">
        <v>2521</v>
      </c>
      <c r="I121" s="2" t="s">
        <v>2522</v>
      </c>
      <c r="J121" s="2" t="s">
        <v>2663</v>
      </c>
      <c r="K121" s="2" t="s">
        <v>50</v>
      </c>
      <c r="L121" s="2" t="s">
        <v>335</v>
      </c>
      <c r="M121" s="2" t="s">
        <v>89</v>
      </c>
      <c r="N121" s="2" t="s">
        <v>3183</v>
      </c>
      <c r="O121" s="2" t="s">
        <v>115</v>
      </c>
      <c r="P121" s="2" t="s">
        <v>3291</v>
      </c>
      <c r="Q121" s="2" t="s">
        <v>2102</v>
      </c>
      <c r="R121" s="2" t="s">
        <v>315</v>
      </c>
      <c r="S121" s="2" t="s">
        <v>38</v>
      </c>
      <c r="T121" s="2" t="s">
        <v>38</v>
      </c>
      <c r="U121" s="2" t="s">
        <v>1999</v>
      </c>
      <c r="V121" s="2" t="s">
        <v>2011</v>
      </c>
      <c r="W121" s="2" t="s">
        <v>2030</v>
      </c>
      <c r="X121" s="2" t="s">
        <v>2102</v>
      </c>
      <c r="Y121" s="2" t="s">
        <v>2108</v>
      </c>
      <c r="Z121" s="2" t="s">
        <v>45</v>
      </c>
      <c r="AA121" s="2" t="s">
        <v>38</v>
      </c>
      <c r="AB121" s="2" t="s">
        <v>38</v>
      </c>
      <c r="AC121" s="2" t="s">
        <v>2047</v>
      </c>
      <c r="AD121" s="2" t="s">
        <v>38</v>
      </c>
      <c r="AE121" s="2" t="s">
        <v>2108</v>
      </c>
      <c r="AF121" s="2" t="s">
        <v>38</v>
      </c>
      <c r="AG121" s="34">
        <v>46078</v>
      </c>
    </row>
    <row r="122" spans="1:33" ht="105" x14ac:dyDescent="0.25">
      <c r="A122" s="2" t="s">
        <v>336</v>
      </c>
      <c r="B122" s="2" t="s">
        <v>2664</v>
      </c>
      <c r="C122" s="2" t="s">
        <v>38</v>
      </c>
      <c r="D122" s="2" t="s">
        <v>38</v>
      </c>
      <c r="E122" s="2" t="s">
        <v>312</v>
      </c>
      <c r="F122" s="2" t="s">
        <v>49</v>
      </c>
      <c r="G122" s="2" t="s">
        <v>40</v>
      </c>
      <c r="H122" s="2" t="s">
        <v>2521</v>
      </c>
      <c r="I122" s="2" t="s">
        <v>2522</v>
      </c>
      <c r="J122" s="2" t="s">
        <v>2665</v>
      </c>
      <c r="K122" s="2" t="s">
        <v>50</v>
      </c>
      <c r="L122" s="2" t="s">
        <v>337</v>
      </c>
      <c r="M122" s="2" t="s">
        <v>51</v>
      </c>
      <c r="N122" s="2" t="s">
        <v>338</v>
      </c>
      <c r="O122" s="2" t="s">
        <v>3324</v>
      </c>
      <c r="P122" s="2" t="s">
        <v>3323</v>
      </c>
      <c r="Q122" s="2" t="s">
        <v>2102</v>
      </c>
      <c r="R122" s="2" t="s">
        <v>315</v>
      </c>
      <c r="S122" s="2" t="s">
        <v>38</v>
      </c>
      <c r="T122" s="2" t="s">
        <v>38</v>
      </c>
      <c r="U122" s="2" t="s">
        <v>1999</v>
      </c>
      <c r="V122" s="2" t="s">
        <v>2011</v>
      </c>
      <c r="W122" s="2" t="s">
        <v>2030</v>
      </c>
      <c r="X122" s="2" t="s">
        <v>2102</v>
      </c>
      <c r="Y122" s="2" t="s">
        <v>2194</v>
      </c>
      <c r="Z122" s="2" t="s">
        <v>45</v>
      </c>
      <c r="AA122" s="2" t="s">
        <v>38</v>
      </c>
      <c r="AB122" s="2" t="s">
        <v>38</v>
      </c>
      <c r="AC122" s="2" t="s">
        <v>2047</v>
      </c>
      <c r="AD122" s="2" t="s">
        <v>38</v>
      </c>
      <c r="AE122" s="2" t="s">
        <v>2194</v>
      </c>
      <c r="AF122" s="2" t="s">
        <v>38</v>
      </c>
      <c r="AG122" s="34">
        <v>46078</v>
      </c>
    </row>
    <row r="123" spans="1:33" ht="225" x14ac:dyDescent="0.25">
      <c r="A123" s="2" t="s">
        <v>339</v>
      </c>
      <c r="B123" s="2" t="s">
        <v>2666</v>
      </c>
      <c r="C123" s="2" t="s">
        <v>38</v>
      </c>
      <c r="D123" s="2" t="s">
        <v>38</v>
      </c>
      <c r="E123" s="2" t="s">
        <v>312</v>
      </c>
      <c r="F123" s="2" t="s">
        <v>62</v>
      </c>
      <c r="G123" s="2" t="s">
        <v>40</v>
      </c>
      <c r="H123" s="2" t="s">
        <v>2511</v>
      </c>
      <c r="I123" s="2" t="s">
        <v>2530</v>
      </c>
      <c r="J123" s="2" t="s">
        <v>2667</v>
      </c>
      <c r="K123" s="2" t="s">
        <v>50</v>
      </c>
      <c r="L123" s="2" t="s">
        <v>3178</v>
      </c>
      <c r="M123" s="2" t="s">
        <v>89</v>
      </c>
      <c r="N123" s="2" t="s">
        <v>3179</v>
      </c>
      <c r="O123" s="2" t="s">
        <v>3180</v>
      </c>
      <c r="P123" s="2" t="s">
        <v>3203</v>
      </c>
      <c r="Q123" s="2" t="s">
        <v>2098</v>
      </c>
      <c r="R123" s="2" t="s">
        <v>315</v>
      </c>
      <c r="S123" s="2" t="s">
        <v>38</v>
      </c>
      <c r="T123" s="2" t="s">
        <v>38</v>
      </c>
      <c r="U123" s="2" t="s">
        <v>1999</v>
      </c>
      <c r="V123" s="2" t="s">
        <v>2011</v>
      </c>
      <c r="W123" s="2" t="s">
        <v>2030</v>
      </c>
      <c r="X123" s="2" t="s">
        <v>2098</v>
      </c>
      <c r="Y123" s="2" t="s">
        <v>2021</v>
      </c>
      <c r="Z123" s="2" t="s">
        <v>45</v>
      </c>
      <c r="AA123" s="2" t="s">
        <v>46</v>
      </c>
      <c r="AB123" s="2" t="s">
        <v>38</v>
      </c>
      <c r="AC123" s="2" t="s">
        <v>1999</v>
      </c>
      <c r="AD123" s="2" t="s">
        <v>2011</v>
      </c>
      <c r="AE123" s="2" t="s">
        <v>2021</v>
      </c>
      <c r="AF123" s="2" t="s">
        <v>38</v>
      </c>
      <c r="AG123" s="34">
        <v>46078</v>
      </c>
    </row>
    <row r="124" spans="1:33" ht="105" x14ac:dyDescent="0.25">
      <c r="A124" s="2" t="s">
        <v>341</v>
      </c>
      <c r="B124" s="2" t="s">
        <v>2668</v>
      </c>
      <c r="C124" s="2" t="s">
        <v>38</v>
      </c>
      <c r="D124" s="2" t="s">
        <v>38</v>
      </c>
      <c r="E124" s="2" t="s">
        <v>312</v>
      </c>
      <c r="F124" s="2" t="s">
        <v>62</v>
      </c>
      <c r="G124" s="2" t="s">
        <v>40</v>
      </c>
      <c r="H124" s="2" t="s">
        <v>2504</v>
      </c>
      <c r="I124" s="2" t="s">
        <v>2505</v>
      </c>
      <c r="J124" s="2" t="s">
        <v>2669</v>
      </c>
      <c r="K124" s="2" t="s">
        <v>50</v>
      </c>
      <c r="L124" s="2" t="s">
        <v>342</v>
      </c>
      <c r="M124" s="2" t="s">
        <v>73</v>
      </c>
      <c r="N124" s="2" t="s">
        <v>343</v>
      </c>
      <c r="O124" s="2" t="s">
        <v>3406</v>
      </c>
      <c r="P124" s="2" t="s">
        <v>3413</v>
      </c>
      <c r="Q124" s="2" t="s">
        <v>2094</v>
      </c>
      <c r="R124" s="2" t="s">
        <v>45</v>
      </c>
      <c r="S124" s="2" t="s">
        <v>38</v>
      </c>
      <c r="T124" s="2" t="s">
        <v>38</v>
      </c>
      <c r="U124" s="2" t="s">
        <v>2047</v>
      </c>
      <c r="V124" s="2" t="s">
        <v>38</v>
      </c>
      <c r="W124" s="2" t="s">
        <v>2094</v>
      </c>
      <c r="X124" s="2" t="s">
        <v>38</v>
      </c>
      <c r="Y124" s="2" t="s">
        <v>2098</v>
      </c>
      <c r="Z124" s="2" t="s">
        <v>315</v>
      </c>
      <c r="AA124" s="2" t="s">
        <v>38</v>
      </c>
      <c r="AB124" s="2" t="s">
        <v>38</v>
      </c>
      <c r="AC124" s="2" t="s">
        <v>1999</v>
      </c>
      <c r="AD124" s="2" t="s">
        <v>2011</v>
      </c>
      <c r="AE124" s="2" t="s">
        <v>2030</v>
      </c>
      <c r="AF124" s="2" t="s">
        <v>2098</v>
      </c>
      <c r="AG124" s="34">
        <v>46078</v>
      </c>
    </row>
    <row r="125" spans="1:33" ht="180" x14ac:dyDescent="0.25">
      <c r="A125" s="2" t="s">
        <v>344</v>
      </c>
      <c r="B125" s="2" t="s">
        <v>3098</v>
      </c>
      <c r="C125" s="2" t="s">
        <v>38</v>
      </c>
      <c r="D125" s="2" t="s">
        <v>38</v>
      </c>
      <c r="E125" s="2" t="s">
        <v>312</v>
      </c>
      <c r="F125" s="2" t="s">
        <v>3126</v>
      </c>
      <c r="G125" s="2" t="s">
        <v>40</v>
      </c>
      <c r="H125" s="2" t="s">
        <v>2521</v>
      </c>
      <c r="I125" s="2" t="s">
        <v>67</v>
      </c>
      <c r="J125" s="2" t="s">
        <v>2977</v>
      </c>
      <c r="K125" s="2" t="s">
        <v>50</v>
      </c>
      <c r="L125" s="2" t="s">
        <v>3169</v>
      </c>
      <c r="M125" s="2" t="s">
        <v>89</v>
      </c>
      <c r="N125" s="2" t="s">
        <v>3170</v>
      </c>
      <c r="O125" s="2" t="s">
        <v>3172</v>
      </c>
      <c r="P125" s="2" t="s">
        <v>3210</v>
      </c>
      <c r="Q125" s="2" t="s">
        <v>2962</v>
      </c>
      <c r="R125" s="2" t="s">
        <v>45</v>
      </c>
      <c r="S125" s="2" t="s">
        <v>77</v>
      </c>
      <c r="T125" s="2" t="s">
        <v>80</v>
      </c>
      <c r="U125" s="2" t="s">
        <v>1999</v>
      </c>
      <c r="V125" s="2" t="s">
        <v>38</v>
      </c>
      <c r="W125" s="2" t="s">
        <v>2962</v>
      </c>
      <c r="X125" s="2" t="s">
        <v>38</v>
      </c>
      <c r="Y125" s="2" t="s">
        <v>3082</v>
      </c>
      <c r="Z125" s="2" t="s">
        <v>315</v>
      </c>
      <c r="AA125" s="2" t="s">
        <v>38</v>
      </c>
      <c r="AB125" s="2" t="s">
        <v>38</v>
      </c>
      <c r="AC125" s="2" t="s">
        <v>2047</v>
      </c>
      <c r="AD125" s="2" t="s">
        <v>38</v>
      </c>
      <c r="AE125" s="2" t="s">
        <v>2106</v>
      </c>
      <c r="AF125" s="2" t="s">
        <v>2146</v>
      </c>
      <c r="AG125" s="34">
        <v>46078</v>
      </c>
    </row>
    <row r="126" spans="1:33" ht="165" x14ac:dyDescent="0.25">
      <c r="A126" s="2" t="s">
        <v>345</v>
      </c>
      <c r="B126" s="2" t="s">
        <v>3099</v>
      </c>
      <c r="C126" s="2" t="s">
        <v>38</v>
      </c>
      <c r="D126" s="2" t="s">
        <v>38</v>
      </c>
      <c r="E126" s="2" t="s">
        <v>312</v>
      </c>
      <c r="F126" s="2" t="s">
        <v>38</v>
      </c>
      <c r="G126" s="2" t="s">
        <v>40</v>
      </c>
      <c r="H126" s="2" t="s">
        <v>2521</v>
      </c>
      <c r="I126" s="2" t="s">
        <v>67</v>
      </c>
      <c r="J126" s="2" t="s">
        <v>2977</v>
      </c>
      <c r="K126" s="2" t="s">
        <v>41</v>
      </c>
      <c r="L126" s="2" t="s">
        <v>38</v>
      </c>
      <c r="M126" s="2" t="s">
        <v>38</v>
      </c>
      <c r="N126" s="2" t="s">
        <v>38</v>
      </c>
      <c r="O126" s="2" t="s">
        <v>38</v>
      </c>
      <c r="P126" s="2" t="s">
        <v>3209</v>
      </c>
      <c r="Q126" s="2" t="s">
        <v>2962</v>
      </c>
      <c r="R126" s="2" t="s">
        <v>45</v>
      </c>
      <c r="S126" s="2" t="s">
        <v>77</v>
      </c>
      <c r="T126" s="2" t="s">
        <v>80</v>
      </c>
      <c r="U126" s="2" t="s">
        <v>1999</v>
      </c>
      <c r="V126" s="2" t="s">
        <v>38</v>
      </c>
      <c r="W126" s="2" t="s">
        <v>2962</v>
      </c>
      <c r="X126" s="2" t="s">
        <v>38</v>
      </c>
      <c r="Y126" s="2" t="s">
        <v>3093</v>
      </c>
      <c r="Z126" s="2" t="s">
        <v>315</v>
      </c>
      <c r="AA126" s="2" t="s">
        <v>38</v>
      </c>
      <c r="AB126" s="2" t="s">
        <v>38</v>
      </c>
      <c r="AC126" s="2" t="s">
        <v>2047</v>
      </c>
      <c r="AD126" s="2" t="s">
        <v>38</v>
      </c>
      <c r="AE126" s="2" t="s">
        <v>2106</v>
      </c>
      <c r="AF126" s="2" t="s">
        <v>2105</v>
      </c>
      <c r="AG126" s="34">
        <v>46078</v>
      </c>
    </row>
    <row r="127" spans="1:33" ht="90" x14ac:dyDescent="0.25">
      <c r="A127" s="2" t="s">
        <v>346</v>
      </c>
      <c r="B127" s="2" t="s">
        <v>2670</v>
      </c>
      <c r="C127" s="2" t="s">
        <v>38</v>
      </c>
      <c r="D127" s="2" t="s">
        <v>38</v>
      </c>
      <c r="E127" s="2" t="s">
        <v>312</v>
      </c>
      <c r="F127" s="2" t="s">
        <v>62</v>
      </c>
      <c r="G127" s="2" t="s">
        <v>40</v>
      </c>
      <c r="H127" s="2" t="s">
        <v>2555</v>
      </c>
      <c r="I127" s="2" t="s">
        <v>2556</v>
      </c>
      <c r="J127" s="2" t="s">
        <v>2671</v>
      </c>
      <c r="K127" s="2" t="s">
        <v>50</v>
      </c>
      <c r="L127" s="2" t="s">
        <v>347</v>
      </c>
      <c r="M127" s="2" t="s">
        <v>73</v>
      </c>
      <c r="N127" s="2" t="s">
        <v>348</v>
      </c>
      <c r="O127" s="2" t="s">
        <v>3239</v>
      </c>
      <c r="P127" s="2" t="s">
        <v>3230</v>
      </c>
      <c r="Q127" s="2" t="s">
        <v>2150</v>
      </c>
      <c r="R127" s="2" t="s">
        <v>45</v>
      </c>
      <c r="S127" s="2" t="s">
        <v>38</v>
      </c>
      <c r="T127" s="2" t="s">
        <v>60</v>
      </c>
      <c r="U127" s="2" t="s">
        <v>2128</v>
      </c>
      <c r="V127" s="2" t="s">
        <v>2129</v>
      </c>
      <c r="W127" s="2" t="s">
        <v>2150</v>
      </c>
      <c r="X127" s="2" t="s">
        <v>38</v>
      </c>
      <c r="Y127" s="2" t="s">
        <v>2165</v>
      </c>
      <c r="Z127" s="2" t="s">
        <v>315</v>
      </c>
      <c r="AA127" s="2" t="s">
        <v>38</v>
      </c>
      <c r="AB127" s="2" t="s">
        <v>38</v>
      </c>
      <c r="AC127" s="2" t="s">
        <v>2071</v>
      </c>
      <c r="AD127" s="2" t="s">
        <v>38</v>
      </c>
      <c r="AE127" s="2" t="s">
        <v>2070</v>
      </c>
      <c r="AF127" s="2" t="s">
        <v>2165</v>
      </c>
      <c r="AG127" s="34">
        <v>46078</v>
      </c>
    </row>
    <row r="128" spans="1:33" ht="135" x14ac:dyDescent="0.25">
      <c r="A128" s="2" t="s">
        <v>349</v>
      </c>
      <c r="B128" s="2" t="s">
        <v>2672</v>
      </c>
      <c r="C128" s="2" t="s">
        <v>38</v>
      </c>
      <c r="D128" s="2" t="s">
        <v>38</v>
      </c>
      <c r="E128" s="2" t="s">
        <v>350</v>
      </c>
      <c r="F128" s="2" t="s">
        <v>62</v>
      </c>
      <c r="G128" s="2" t="s">
        <v>40</v>
      </c>
      <c r="H128" s="2" t="s">
        <v>2566</v>
      </c>
      <c r="I128" s="2" t="s">
        <v>2567</v>
      </c>
      <c r="J128" s="2" t="s">
        <v>2568</v>
      </c>
      <c r="K128" s="2" t="s">
        <v>50</v>
      </c>
      <c r="L128" s="2" t="s">
        <v>351</v>
      </c>
      <c r="M128" s="2" t="s">
        <v>89</v>
      </c>
      <c r="N128" s="2" t="s">
        <v>352</v>
      </c>
      <c r="O128" s="2" t="s">
        <v>3295</v>
      </c>
      <c r="P128" s="2" t="s">
        <v>3230</v>
      </c>
      <c r="Q128" s="2" t="s">
        <v>2098</v>
      </c>
      <c r="R128" s="2" t="s">
        <v>315</v>
      </c>
      <c r="S128" s="2" t="s">
        <v>38</v>
      </c>
      <c r="T128" s="2" t="s">
        <v>38</v>
      </c>
      <c r="U128" s="2" t="s">
        <v>1999</v>
      </c>
      <c r="V128" s="2" t="s">
        <v>2011</v>
      </c>
      <c r="W128" s="2" t="s">
        <v>2030</v>
      </c>
      <c r="X128" s="2" t="s">
        <v>2098</v>
      </c>
      <c r="Y128" s="2" t="s">
        <v>2089</v>
      </c>
      <c r="Z128" s="2" t="s">
        <v>59</v>
      </c>
      <c r="AA128" s="2" t="s">
        <v>38</v>
      </c>
      <c r="AB128" s="2" t="s">
        <v>60</v>
      </c>
      <c r="AC128" s="2" t="s">
        <v>2090</v>
      </c>
      <c r="AD128" s="2" t="s">
        <v>2089</v>
      </c>
      <c r="AE128" s="2" t="s">
        <v>38</v>
      </c>
      <c r="AF128" s="2" t="s">
        <v>38</v>
      </c>
      <c r="AG128" s="34">
        <v>46078</v>
      </c>
    </row>
    <row r="129" spans="1:33" ht="210" x14ac:dyDescent="0.25">
      <c r="A129" s="2" t="s">
        <v>353</v>
      </c>
      <c r="B129" s="2" t="s">
        <v>3005</v>
      </c>
      <c r="C129" s="2" t="s">
        <v>38</v>
      </c>
      <c r="D129" s="2" t="s">
        <v>38</v>
      </c>
      <c r="E129" s="2" t="s">
        <v>354</v>
      </c>
      <c r="F129" s="2" t="s">
        <v>49</v>
      </c>
      <c r="G129" s="2" t="s">
        <v>40</v>
      </c>
      <c r="H129" s="2" t="s">
        <v>2644</v>
      </c>
      <c r="I129" s="2" t="s">
        <v>2505</v>
      </c>
      <c r="J129" s="2" t="s">
        <v>2645</v>
      </c>
      <c r="K129" s="2" t="s">
        <v>50</v>
      </c>
      <c r="L129" s="2" t="s">
        <v>355</v>
      </c>
      <c r="M129" s="2" t="s">
        <v>89</v>
      </c>
      <c r="N129" s="2" t="s">
        <v>3220</v>
      </c>
      <c r="O129" s="2" t="s">
        <v>3361</v>
      </c>
      <c r="P129" s="2" t="s">
        <v>3229</v>
      </c>
      <c r="Q129" s="2" t="s">
        <v>2968</v>
      </c>
      <c r="R129" s="2" t="s">
        <v>279</v>
      </c>
      <c r="S129" s="2" t="s">
        <v>38</v>
      </c>
      <c r="T129" s="2" t="s">
        <v>38</v>
      </c>
      <c r="U129" s="2" t="s">
        <v>38</v>
      </c>
      <c r="V129" s="2" t="s">
        <v>38</v>
      </c>
      <c r="W129" s="2" t="s">
        <v>38</v>
      </c>
      <c r="X129" s="2" t="s">
        <v>38</v>
      </c>
      <c r="Y129" s="2" t="s">
        <v>2098</v>
      </c>
      <c r="Z129" s="2" t="s">
        <v>315</v>
      </c>
      <c r="AA129" s="2" t="s">
        <v>38</v>
      </c>
      <c r="AB129" s="2" t="s">
        <v>38</v>
      </c>
      <c r="AC129" s="2" t="s">
        <v>1999</v>
      </c>
      <c r="AD129" s="2" t="s">
        <v>2011</v>
      </c>
      <c r="AE129" s="2" t="s">
        <v>2030</v>
      </c>
      <c r="AF129" s="2" t="s">
        <v>2098</v>
      </c>
      <c r="AG129" s="34">
        <v>46078</v>
      </c>
    </row>
    <row r="130" spans="1:33" ht="195" x14ac:dyDescent="0.25">
      <c r="A130" s="2" t="s">
        <v>356</v>
      </c>
      <c r="B130" s="2" t="s">
        <v>3006</v>
      </c>
      <c r="C130" s="2" t="s">
        <v>38</v>
      </c>
      <c r="D130" s="2" t="s">
        <v>38</v>
      </c>
      <c r="E130" s="2" t="s">
        <v>354</v>
      </c>
      <c r="F130" s="2" t="s">
        <v>49</v>
      </c>
      <c r="G130" s="2" t="s">
        <v>40</v>
      </c>
      <c r="H130" s="2" t="s">
        <v>2644</v>
      </c>
      <c r="I130" s="2" t="s">
        <v>2505</v>
      </c>
      <c r="J130" s="2" t="s">
        <v>2645</v>
      </c>
      <c r="K130" s="2" t="s">
        <v>50</v>
      </c>
      <c r="L130" s="2" t="s">
        <v>355</v>
      </c>
      <c r="M130" s="2" t="s">
        <v>89</v>
      </c>
      <c r="N130" s="2" t="s">
        <v>3221</v>
      </c>
      <c r="O130" s="2" t="s">
        <v>3362</v>
      </c>
      <c r="P130" s="2" t="s">
        <v>3229</v>
      </c>
      <c r="Q130" s="2" t="s">
        <v>2968</v>
      </c>
      <c r="R130" s="2" t="s">
        <v>279</v>
      </c>
      <c r="S130" s="2" t="s">
        <v>38</v>
      </c>
      <c r="T130" s="2" t="s">
        <v>38</v>
      </c>
      <c r="U130" s="2" t="s">
        <v>38</v>
      </c>
      <c r="V130" s="2" t="s">
        <v>38</v>
      </c>
      <c r="W130" s="2" t="s">
        <v>38</v>
      </c>
      <c r="X130" s="2" t="s">
        <v>38</v>
      </c>
      <c r="Y130" s="2" t="s">
        <v>2102</v>
      </c>
      <c r="Z130" s="2" t="s">
        <v>315</v>
      </c>
      <c r="AA130" s="2" t="s">
        <v>38</v>
      </c>
      <c r="AB130" s="2" t="s">
        <v>38</v>
      </c>
      <c r="AC130" s="2" t="s">
        <v>1999</v>
      </c>
      <c r="AD130" s="2" t="s">
        <v>2011</v>
      </c>
      <c r="AE130" s="2" t="s">
        <v>2030</v>
      </c>
      <c r="AF130" s="2" t="s">
        <v>2102</v>
      </c>
      <c r="AG130" s="34">
        <v>46078</v>
      </c>
    </row>
    <row r="131" spans="1:33" ht="180" x14ac:dyDescent="0.25">
      <c r="A131" s="2" t="s">
        <v>357</v>
      </c>
      <c r="B131" s="2" t="s">
        <v>2673</v>
      </c>
      <c r="C131" s="2" t="s">
        <v>38</v>
      </c>
      <c r="D131" s="2" t="s">
        <v>38</v>
      </c>
      <c r="E131" s="2" t="s">
        <v>354</v>
      </c>
      <c r="F131" s="2" t="s">
        <v>49</v>
      </c>
      <c r="G131" s="2" t="s">
        <v>40</v>
      </c>
      <c r="H131" s="2" t="s">
        <v>2642</v>
      </c>
      <c r="I131" s="2" t="s">
        <v>2522</v>
      </c>
      <c r="J131" s="2" t="s">
        <v>2568</v>
      </c>
      <c r="K131" s="2" t="s">
        <v>50</v>
      </c>
      <c r="L131" s="2" t="s">
        <v>358</v>
      </c>
      <c r="M131" s="2" t="s">
        <v>89</v>
      </c>
      <c r="N131" s="2" t="s">
        <v>291</v>
      </c>
      <c r="O131" s="2" t="s">
        <v>292</v>
      </c>
      <c r="P131" s="2" t="s">
        <v>3292</v>
      </c>
      <c r="Q131" s="2" t="s">
        <v>2102</v>
      </c>
      <c r="R131" s="2" t="s">
        <v>315</v>
      </c>
      <c r="S131" s="2" t="s">
        <v>38</v>
      </c>
      <c r="T131" s="2" t="s">
        <v>38</v>
      </c>
      <c r="U131" s="2" t="s">
        <v>1999</v>
      </c>
      <c r="V131" s="2" t="s">
        <v>2011</v>
      </c>
      <c r="W131" s="2" t="s">
        <v>2030</v>
      </c>
      <c r="X131" s="2" t="s">
        <v>2102</v>
      </c>
      <c r="Y131" s="2" t="s">
        <v>77</v>
      </c>
      <c r="Z131" s="2" t="s">
        <v>279</v>
      </c>
      <c r="AA131" s="2" t="s">
        <v>38</v>
      </c>
      <c r="AB131" s="2" t="s">
        <v>38</v>
      </c>
      <c r="AC131" s="2" t="s">
        <v>38</v>
      </c>
      <c r="AD131" s="2" t="s">
        <v>38</v>
      </c>
      <c r="AE131" s="2" t="s">
        <v>38</v>
      </c>
      <c r="AF131" s="2" t="s">
        <v>38</v>
      </c>
      <c r="AG131" s="34">
        <v>46078</v>
      </c>
    </row>
    <row r="132" spans="1:33" ht="60" x14ac:dyDescent="0.25">
      <c r="A132" s="2" t="s">
        <v>359</v>
      </c>
      <c r="B132" s="2" t="s">
        <v>2674</v>
      </c>
      <c r="C132" s="2" t="s">
        <v>38</v>
      </c>
      <c r="D132" s="2" t="s">
        <v>38</v>
      </c>
      <c r="E132" s="2" t="s">
        <v>354</v>
      </c>
      <c r="F132" s="2" t="s">
        <v>38</v>
      </c>
      <c r="G132" s="2" t="s">
        <v>40</v>
      </c>
      <c r="H132" s="2" t="s">
        <v>2644</v>
      </c>
      <c r="I132" s="2" t="s">
        <v>2505</v>
      </c>
      <c r="J132" s="2" t="s">
        <v>2645</v>
      </c>
      <c r="K132" s="2" t="s">
        <v>41</v>
      </c>
      <c r="L132" s="2" t="s">
        <v>38</v>
      </c>
      <c r="M132" s="2" t="s">
        <v>38</v>
      </c>
      <c r="N132" s="2" t="s">
        <v>38</v>
      </c>
      <c r="O132" s="2" t="s">
        <v>38</v>
      </c>
      <c r="P132" s="2" t="s">
        <v>283</v>
      </c>
      <c r="Q132" s="2" t="s">
        <v>284</v>
      </c>
      <c r="R132" s="2" t="s">
        <v>279</v>
      </c>
      <c r="S132" s="2" t="s">
        <v>285</v>
      </c>
      <c r="T132" s="2" t="s">
        <v>38</v>
      </c>
      <c r="U132" s="2" t="s">
        <v>38</v>
      </c>
      <c r="V132" s="2" t="s">
        <v>38</v>
      </c>
      <c r="W132" s="2" t="s">
        <v>38</v>
      </c>
      <c r="X132" s="2" t="s">
        <v>38</v>
      </c>
      <c r="Y132" s="2" t="s">
        <v>2098</v>
      </c>
      <c r="Z132" s="2" t="s">
        <v>315</v>
      </c>
      <c r="AA132" s="2" t="s">
        <v>38</v>
      </c>
      <c r="AB132" s="2" t="s">
        <v>38</v>
      </c>
      <c r="AC132" s="2" t="s">
        <v>1999</v>
      </c>
      <c r="AD132" s="2" t="s">
        <v>2011</v>
      </c>
      <c r="AE132" s="2" t="s">
        <v>2030</v>
      </c>
      <c r="AF132" s="2" t="s">
        <v>2098</v>
      </c>
      <c r="AG132" s="34">
        <v>46078</v>
      </c>
    </row>
    <row r="133" spans="1:33" ht="195" x14ac:dyDescent="0.25">
      <c r="A133" s="2" t="s">
        <v>360</v>
      </c>
      <c r="B133" s="2" t="s">
        <v>2675</v>
      </c>
      <c r="C133" s="2" t="s">
        <v>38</v>
      </c>
      <c r="D133" s="2" t="s">
        <v>38</v>
      </c>
      <c r="E133" s="2" t="s">
        <v>354</v>
      </c>
      <c r="F133" s="2" t="s">
        <v>49</v>
      </c>
      <c r="G133" s="2" t="s">
        <v>40</v>
      </c>
      <c r="H133" s="2" t="s">
        <v>2642</v>
      </c>
      <c r="I133" s="2" t="s">
        <v>2522</v>
      </c>
      <c r="J133" s="2" t="s">
        <v>2568</v>
      </c>
      <c r="K133" s="2" t="s">
        <v>50</v>
      </c>
      <c r="L133" s="2" t="s">
        <v>287</v>
      </c>
      <c r="M133" s="2" t="s">
        <v>89</v>
      </c>
      <c r="N133" s="2" t="s">
        <v>3222</v>
      </c>
      <c r="O133" s="2" t="s">
        <v>3326</v>
      </c>
      <c r="P133" s="2" t="s">
        <v>3229</v>
      </c>
      <c r="Q133" s="2" t="s">
        <v>2102</v>
      </c>
      <c r="R133" s="2" t="s">
        <v>315</v>
      </c>
      <c r="S133" s="2" t="s">
        <v>38</v>
      </c>
      <c r="T133" s="2" t="s">
        <v>38</v>
      </c>
      <c r="U133" s="2" t="s">
        <v>1999</v>
      </c>
      <c r="V133" s="2" t="s">
        <v>2011</v>
      </c>
      <c r="W133" s="2" t="s">
        <v>2030</v>
      </c>
      <c r="X133" s="2" t="s">
        <v>2102</v>
      </c>
      <c r="Y133" s="2" t="s">
        <v>288</v>
      </c>
      <c r="Z133" s="2" t="s">
        <v>279</v>
      </c>
      <c r="AA133" s="2" t="s">
        <v>38</v>
      </c>
      <c r="AB133" s="2" t="s">
        <v>38</v>
      </c>
      <c r="AC133" s="2" t="s">
        <v>38</v>
      </c>
      <c r="AD133" s="2" t="s">
        <v>38</v>
      </c>
      <c r="AE133" s="2" t="s">
        <v>38</v>
      </c>
      <c r="AF133" s="2" t="s">
        <v>38</v>
      </c>
      <c r="AG133" s="34">
        <v>46078</v>
      </c>
    </row>
    <row r="134" spans="1:33" ht="105" x14ac:dyDescent="0.25">
      <c r="A134" s="2" t="s">
        <v>361</v>
      </c>
      <c r="B134" s="2" t="s">
        <v>2676</v>
      </c>
      <c r="C134" s="2" t="s">
        <v>38</v>
      </c>
      <c r="D134" s="2" t="s">
        <v>38</v>
      </c>
      <c r="E134" s="2" t="s">
        <v>354</v>
      </c>
      <c r="F134" s="2" t="s">
        <v>362</v>
      </c>
      <c r="G134" s="2" t="s">
        <v>40</v>
      </c>
      <c r="H134" s="2" t="s">
        <v>2642</v>
      </c>
      <c r="I134" s="2" t="s">
        <v>2522</v>
      </c>
      <c r="J134" s="2" t="s">
        <v>2568</v>
      </c>
      <c r="K134" s="2" t="s">
        <v>50</v>
      </c>
      <c r="L134" s="2" t="s">
        <v>363</v>
      </c>
      <c r="M134" s="2" t="s">
        <v>51</v>
      </c>
      <c r="N134" s="2" t="s">
        <v>364</v>
      </c>
      <c r="O134" s="2" t="s">
        <v>3325</v>
      </c>
      <c r="P134" s="2" t="s">
        <v>38</v>
      </c>
      <c r="Q134" s="2" t="s">
        <v>2102</v>
      </c>
      <c r="R134" s="2" t="s">
        <v>315</v>
      </c>
      <c r="S134" s="2" t="s">
        <v>38</v>
      </c>
      <c r="T134" s="2" t="s">
        <v>38</v>
      </c>
      <c r="U134" s="2" t="s">
        <v>1999</v>
      </c>
      <c r="V134" s="2" t="s">
        <v>2011</v>
      </c>
      <c r="W134" s="2" t="s">
        <v>2030</v>
      </c>
      <c r="X134" s="2" t="s">
        <v>2102</v>
      </c>
      <c r="Y134" s="2" t="s">
        <v>281</v>
      </c>
      <c r="Z134" s="2" t="s">
        <v>279</v>
      </c>
      <c r="AA134" s="2" t="s">
        <v>38</v>
      </c>
      <c r="AB134" s="2" t="s">
        <v>38</v>
      </c>
      <c r="AC134" s="2" t="s">
        <v>38</v>
      </c>
      <c r="AD134" s="2" t="s">
        <v>38</v>
      </c>
      <c r="AE134" s="2" t="s">
        <v>38</v>
      </c>
      <c r="AF134" s="2" t="s">
        <v>38</v>
      </c>
      <c r="AG134" s="34">
        <v>46078</v>
      </c>
    </row>
    <row r="135" spans="1:33" ht="210" x14ac:dyDescent="0.25">
      <c r="A135" s="2" t="s">
        <v>365</v>
      </c>
      <c r="B135" s="2" t="s">
        <v>2677</v>
      </c>
      <c r="C135" s="2" t="s">
        <v>38</v>
      </c>
      <c r="D135" s="2" t="s">
        <v>38</v>
      </c>
      <c r="E135" s="2" t="s">
        <v>163</v>
      </c>
      <c r="F135" s="2" t="s">
        <v>164</v>
      </c>
      <c r="G135" s="2" t="s">
        <v>40</v>
      </c>
      <c r="H135" s="2" t="s">
        <v>2599</v>
      </c>
      <c r="I135" s="2" t="s">
        <v>2608</v>
      </c>
      <c r="J135" s="2" t="s">
        <v>2600</v>
      </c>
      <c r="K135" s="2" t="s">
        <v>87</v>
      </c>
      <c r="L135" s="2" t="s">
        <v>366</v>
      </c>
      <c r="M135" s="2" t="s">
        <v>73</v>
      </c>
      <c r="N135" s="2" t="s">
        <v>367</v>
      </c>
      <c r="O135" s="2" t="s">
        <v>3289</v>
      </c>
      <c r="P135" s="2" t="s">
        <v>3363</v>
      </c>
      <c r="Q135" s="2" t="s">
        <v>2129</v>
      </c>
      <c r="R135" s="2" t="s">
        <v>59</v>
      </c>
      <c r="S135" s="2" t="s">
        <v>38</v>
      </c>
      <c r="T135" s="2" t="s">
        <v>60</v>
      </c>
      <c r="U135" s="2" t="s">
        <v>2128</v>
      </c>
      <c r="V135" s="2" t="s">
        <v>2129</v>
      </c>
      <c r="W135" s="2" t="s">
        <v>38</v>
      </c>
      <c r="X135" s="2" t="s">
        <v>38</v>
      </c>
      <c r="Y135" s="2" t="s">
        <v>2035</v>
      </c>
      <c r="Z135" s="2" t="s">
        <v>45</v>
      </c>
      <c r="AA135" s="2" t="s">
        <v>132</v>
      </c>
      <c r="AB135" s="2" t="s">
        <v>38</v>
      </c>
      <c r="AC135" s="2" t="s">
        <v>1999</v>
      </c>
      <c r="AD135" s="2" t="s">
        <v>2000</v>
      </c>
      <c r="AE135" s="2" t="s">
        <v>2035</v>
      </c>
      <c r="AF135" s="2" t="s">
        <v>38</v>
      </c>
      <c r="AG135" s="34">
        <v>46078</v>
      </c>
    </row>
    <row r="136" spans="1:33" ht="30" x14ac:dyDescent="0.25">
      <c r="A136" s="2" t="s">
        <v>368</v>
      </c>
      <c r="B136" s="2" t="s">
        <v>2678</v>
      </c>
      <c r="C136" s="2" t="s">
        <v>38</v>
      </c>
      <c r="D136" s="2" t="s">
        <v>38</v>
      </c>
      <c r="E136" s="2" t="s">
        <v>369</v>
      </c>
      <c r="F136" s="2" t="s">
        <v>38</v>
      </c>
      <c r="G136" s="2" t="s">
        <v>40</v>
      </c>
      <c r="H136" s="2" t="s">
        <v>2917</v>
      </c>
      <c r="I136" s="2" t="s">
        <v>2583</v>
      </c>
      <c r="J136" s="2" t="s">
        <v>67</v>
      </c>
      <c r="K136" s="2" t="s">
        <v>41</v>
      </c>
      <c r="L136" s="2" t="s">
        <v>38</v>
      </c>
      <c r="M136" s="2" t="s">
        <v>38</v>
      </c>
      <c r="N136" s="2" t="s">
        <v>38</v>
      </c>
      <c r="O136" s="2" t="s">
        <v>38</v>
      </c>
      <c r="P136" s="2" t="s">
        <v>2485</v>
      </c>
      <c r="Q136" s="2" t="s">
        <v>2496</v>
      </c>
      <c r="R136" s="2" t="s">
        <v>180</v>
      </c>
      <c r="S136" s="2" t="s">
        <v>38</v>
      </c>
      <c r="T136" s="2" t="s">
        <v>60</v>
      </c>
      <c r="U136" s="2" t="s">
        <v>38</v>
      </c>
      <c r="V136" s="2" t="s">
        <v>38</v>
      </c>
      <c r="W136" s="2" t="s">
        <v>38</v>
      </c>
      <c r="X136" s="2" t="s">
        <v>38</v>
      </c>
      <c r="Y136" s="2" t="s">
        <v>2129</v>
      </c>
      <c r="Z136" s="2" t="s">
        <v>59</v>
      </c>
      <c r="AA136" s="2" t="s">
        <v>38</v>
      </c>
      <c r="AB136" s="2" t="s">
        <v>60</v>
      </c>
      <c r="AC136" s="2" t="s">
        <v>2128</v>
      </c>
      <c r="AD136" s="2" t="s">
        <v>2129</v>
      </c>
      <c r="AE136" s="2" t="s">
        <v>38</v>
      </c>
      <c r="AF136" s="2" t="s">
        <v>38</v>
      </c>
      <c r="AG136" s="34">
        <v>46078</v>
      </c>
    </row>
    <row r="137" spans="1:33" ht="60" x14ac:dyDescent="0.25">
      <c r="A137" s="2" t="s">
        <v>370</v>
      </c>
      <c r="B137" s="2" t="s">
        <v>2679</v>
      </c>
      <c r="C137" s="2" t="s">
        <v>38</v>
      </c>
      <c r="D137" s="2" t="s">
        <v>38</v>
      </c>
      <c r="E137" s="2" t="s">
        <v>369</v>
      </c>
      <c r="F137" s="2" t="s">
        <v>38</v>
      </c>
      <c r="G137" s="2" t="s">
        <v>40</v>
      </c>
      <c r="H137" s="2" t="s">
        <v>2582</v>
      </c>
      <c r="I137" s="2" t="s">
        <v>2583</v>
      </c>
      <c r="J137" s="2" t="s">
        <v>67</v>
      </c>
      <c r="K137" s="2" t="s">
        <v>87</v>
      </c>
      <c r="L137" s="2" t="s">
        <v>38</v>
      </c>
      <c r="M137" s="2" t="s">
        <v>38</v>
      </c>
      <c r="N137" s="2" t="s">
        <v>38</v>
      </c>
      <c r="O137" s="2" t="s">
        <v>38</v>
      </c>
      <c r="P137" s="2" t="s">
        <v>38</v>
      </c>
      <c r="Q137" s="2" t="s">
        <v>2252</v>
      </c>
      <c r="R137" s="2" t="s">
        <v>180</v>
      </c>
      <c r="S137" s="2" t="s">
        <v>38</v>
      </c>
      <c r="T137" s="2" t="s">
        <v>60</v>
      </c>
      <c r="U137" s="2" t="s">
        <v>2252</v>
      </c>
      <c r="V137" s="2" t="s">
        <v>38</v>
      </c>
      <c r="W137" s="2" t="s">
        <v>38</v>
      </c>
      <c r="X137" s="2" t="s">
        <v>38</v>
      </c>
      <c r="Y137" s="2" t="s">
        <v>2129</v>
      </c>
      <c r="Z137" s="2" t="s">
        <v>59</v>
      </c>
      <c r="AA137" s="2" t="s">
        <v>38</v>
      </c>
      <c r="AB137" s="2" t="s">
        <v>60</v>
      </c>
      <c r="AC137" s="2" t="s">
        <v>2128</v>
      </c>
      <c r="AD137" s="2" t="s">
        <v>2129</v>
      </c>
      <c r="AE137" s="2" t="s">
        <v>38</v>
      </c>
      <c r="AF137" s="2" t="s">
        <v>38</v>
      </c>
      <c r="AG137" s="34">
        <v>46078</v>
      </c>
    </row>
    <row r="138" spans="1:33" ht="45" x14ac:dyDescent="0.25">
      <c r="A138" s="2" t="s">
        <v>371</v>
      </c>
      <c r="B138" s="2" t="s">
        <v>2680</v>
      </c>
      <c r="C138" s="2" t="s">
        <v>38</v>
      </c>
      <c r="D138" s="2" t="s">
        <v>38</v>
      </c>
      <c r="E138" s="2" t="s">
        <v>369</v>
      </c>
      <c r="F138" s="2" t="s">
        <v>38</v>
      </c>
      <c r="G138" s="2" t="s">
        <v>40</v>
      </c>
      <c r="H138" s="2" t="s">
        <v>2588</v>
      </c>
      <c r="I138" s="2" t="s">
        <v>2583</v>
      </c>
      <c r="J138" s="2" t="s">
        <v>67</v>
      </c>
      <c r="K138" s="2" t="s">
        <v>87</v>
      </c>
      <c r="L138" s="2" t="s">
        <v>38</v>
      </c>
      <c r="M138" s="2" t="s">
        <v>38</v>
      </c>
      <c r="N138" s="2" t="s">
        <v>38</v>
      </c>
      <c r="O138" s="2" t="s">
        <v>38</v>
      </c>
      <c r="P138" s="2" t="s">
        <v>38</v>
      </c>
      <c r="Q138" s="2" t="s">
        <v>2248</v>
      </c>
      <c r="R138" s="2" t="s">
        <v>180</v>
      </c>
      <c r="S138" s="2" t="s">
        <v>38</v>
      </c>
      <c r="T138" s="2" t="s">
        <v>60</v>
      </c>
      <c r="U138" s="2" t="s">
        <v>2248</v>
      </c>
      <c r="V138" s="2" t="s">
        <v>38</v>
      </c>
      <c r="W138" s="2" t="s">
        <v>38</v>
      </c>
      <c r="X138" s="2" t="s">
        <v>38</v>
      </c>
      <c r="Y138" s="2" t="s">
        <v>2129</v>
      </c>
      <c r="Z138" s="2" t="s">
        <v>59</v>
      </c>
      <c r="AA138" s="2" t="s">
        <v>38</v>
      </c>
      <c r="AB138" s="2" t="s">
        <v>60</v>
      </c>
      <c r="AC138" s="2" t="s">
        <v>2128</v>
      </c>
      <c r="AD138" s="2" t="s">
        <v>2129</v>
      </c>
      <c r="AE138" s="2" t="s">
        <v>38</v>
      </c>
      <c r="AF138" s="2" t="s">
        <v>38</v>
      </c>
      <c r="AG138" s="34">
        <v>46078</v>
      </c>
    </row>
    <row r="139" spans="1:33" ht="180" x14ac:dyDescent="0.25">
      <c r="A139" s="2" t="s">
        <v>372</v>
      </c>
      <c r="B139" s="2" t="s">
        <v>2681</v>
      </c>
      <c r="C139" s="2" t="s">
        <v>38</v>
      </c>
      <c r="D139" s="2" t="s">
        <v>38</v>
      </c>
      <c r="E139" s="2" t="s">
        <v>373</v>
      </c>
      <c r="F139" s="2" t="s">
        <v>62</v>
      </c>
      <c r="G139" s="2" t="s">
        <v>40</v>
      </c>
      <c r="H139" s="2" t="s">
        <v>2682</v>
      </c>
      <c r="I139" s="2" t="s">
        <v>67</v>
      </c>
      <c r="J139" s="2" t="s">
        <v>2683</v>
      </c>
      <c r="K139" s="2" t="s">
        <v>50</v>
      </c>
      <c r="L139" s="2" t="s">
        <v>374</v>
      </c>
      <c r="M139" s="2" t="s">
        <v>51</v>
      </c>
      <c r="N139" s="2" t="s">
        <v>375</v>
      </c>
      <c r="O139" s="2" t="s">
        <v>3364</v>
      </c>
      <c r="P139" s="2" t="s">
        <v>3230</v>
      </c>
      <c r="Q139" s="2" t="s">
        <v>2165</v>
      </c>
      <c r="R139" s="2" t="s">
        <v>315</v>
      </c>
      <c r="S139" s="2" t="s">
        <v>38</v>
      </c>
      <c r="T139" s="2" t="s">
        <v>38</v>
      </c>
      <c r="U139" s="2" t="s">
        <v>2071</v>
      </c>
      <c r="V139" s="2" t="s">
        <v>38</v>
      </c>
      <c r="W139" s="2" t="s">
        <v>2070</v>
      </c>
      <c r="X139" s="2" t="s">
        <v>2165</v>
      </c>
      <c r="Y139" s="2" t="s">
        <v>2252</v>
      </c>
      <c r="Z139" s="2" t="s">
        <v>180</v>
      </c>
      <c r="AA139" s="2" t="s">
        <v>38</v>
      </c>
      <c r="AB139" s="2" t="s">
        <v>60</v>
      </c>
      <c r="AC139" s="2" t="s">
        <v>2252</v>
      </c>
      <c r="AD139" s="2" t="s">
        <v>38</v>
      </c>
      <c r="AE139" s="2" t="s">
        <v>38</v>
      </c>
      <c r="AF139" s="2" t="s">
        <v>38</v>
      </c>
      <c r="AG139" s="34">
        <v>46078</v>
      </c>
    </row>
    <row r="140" spans="1:33" ht="45" x14ac:dyDescent="0.25">
      <c r="A140" s="2" t="s">
        <v>376</v>
      </c>
      <c r="B140" s="2" t="s">
        <v>2684</v>
      </c>
      <c r="C140" s="2" t="s">
        <v>38</v>
      </c>
      <c r="D140" s="2" t="s">
        <v>38</v>
      </c>
      <c r="E140" s="2" t="s">
        <v>194</v>
      </c>
      <c r="F140" s="2" t="s">
        <v>38</v>
      </c>
      <c r="G140" s="2" t="s">
        <v>40</v>
      </c>
      <c r="H140" s="2" t="s">
        <v>2610</v>
      </c>
      <c r="I140" s="2" t="s">
        <v>2684</v>
      </c>
      <c r="J140" s="2" t="s">
        <v>67</v>
      </c>
      <c r="K140" s="2" t="s">
        <v>87</v>
      </c>
      <c r="L140" s="2" t="s">
        <v>38</v>
      </c>
      <c r="M140" s="2" t="s">
        <v>38</v>
      </c>
      <c r="N140" s="2" t="s">
        <v>38</v>
      </c>
      <c r="O140" s="2" t="s">
        <v>38</v>
      </c>
      <c r="P140" s="2" t="s">
        <v>38</v>
      </c>
      <c r="Q140" s="2" t="s">
        <v>2216</v>
      </c>
      <c r="R140" s="2" t="s">
        <v>59</v>
      </c>
      <c r="S140" s="2" t="s">
        <v>38</v>
      </c>
      <c r="T140" s="2" t="s">
        <v>60</v>
      </c>
      <c r="U140" s="2" t="s">
        <v>2118</v>
      </c>
      <c r="V140" s="2" t="s">
        <v>2216</v>
      </c>
      <c r="W140" s="2" t="s">
        <v>38</v>
      </c>
      <c r="X140" s="2" t="s">
        <v>38</v>
      </c>
      <c r="Y140" s="2" t="s">
        <v>2204</v>
      </c>
      <c r="Z140" s="2" t="s">
        <v>59</v>
      </c>
      <c r="AA140" s="2" t="s">
        <v>38</v>
      </c>
      <c r="AB140" s="2" t="s">
        <v>60</v>
      </c>
      <c r="AC140" s="2" t="s">
        <v>2118</v>
      </c>
      <c r="AD140" s="2" t="s">
        <v>2204</v>
      </c>
      <c r="AE140" s="2" t="s">
        <v>38</v>
      </c>
      <c r="AF140" s="2" t="s">
        <v>38</v>
      </c>
      <c r="AG140" s="34">
        <v>46078</v>
      </c>
    </row>
    <row r="141" spans="1:33" ht="120" x14ac:dyDescent="0.25">
      <c r="A141" s="2" t="s">
        <v>377</v>
      </c>
      <c r="B141" s="2" t="s">
        <v>2685</v>
      </c>
      <c r="C141" s="2" t="s">
        <v>86</v>
      </c>
      <c r="D141" s="2" t="s">
        <v>95</v>
      </c>
      <c r="E141" s="2" t="s">
        <v>277</v>
      </c>
      <c r="F141" s="2" t="s">
        <v>62</v>
      </c>
      <c r="G141" s="2" t="s">
        <v>40</v>
      </c>
      <c r="H141" s="2" t="s">
        <v>2642</v>
      </c>
      <c r="I141" s="2" t="s">
        <v>2686</v>
      </c>
      <c r="J141" s="2" t="s">
        <v>2561</v>
      </c>
      <c r="K141" s="2" t="s">
        <v>50</v>
      </c>
      <c r="L141" s="2" t="s">
        <v>378</v>
      </c>
      <c r="M141" s="2" t="s">
        <v>51</v>
      </c>
      <c r="N141" s="2" t="s">
        <v>379</v>
      </c>
      <c r="O141" s="2" t="s">
        <v>3320</v>
      </c>
      <c r="P141" s="2" t="s">
        <v>3230</v>
      </c>
      <c r="Q141" s="2" t="s">
        <v>2018</v>
      </c>
      <c r="R141" s="2" t="s">
        <v>45</v>
      </c>
      <c r="S141" s="2" t="s">
        <v>132</v>
      </c>
      <c r="T141" s="2" t="s">
        <v>38</v>
      </c>
      <c r="U141" s="2" t="s">
        <v>1999</v>
      </c>
      <c r="V141" s="2" t="s">
        <v>2000</v>
      </c>
      <c r="W141" s="2" t="s">
        <v>2018</v>
      </c>
      <c r="X141" s="2" t="s">
        <v>38</v>
      </c>
      <c r="Y141" s="2" t="s">
        <v>284</v>
      </c>
      <c r="Z141" s="2" t="s">
        <v>279</v>
      </c>
      <c r="AA141" s="2" t="s">
        <v>285</v>
      </c>
      <c r="AB141" s="2" t="s">
        <v>38</v>
      </c>
      <c r="AC141" s="2" t="s">
        <v>38</v>
      </c>
      <c r="AD141" s="2" t="s">
        <v>38</v>
      </c>
      <c r="AE141" s="2" t="s">
        <v>38</v>
      </c>
      <c r="AF141" s="2" t="s">
        <v>38</v>
      </c>
      <c r="AG141" s="34">
        <v>46078</v>
      </c>
    </row>
    <row r="142" spans="1:33" ht="150" x14ac:dyDescent="0.25">
      <c r="A142" s="2" t="s">
        <v>380</v>
      </c>
      <c r="B142" s="2" t="s">
        <v>3007</v>
      </c>
      <c r="C142" s="2" t="s">
        <v>86</v>
      </c>
      <c r="D142" s="2" t="s">
        <v>95</v>
      </c>
      <c r="E142" s="2" t="s">
        <v>277</v>
      </c>
      <c r="F142" s="2" t="s">
        <v>62</v>
      </c>
      <c r="G142" s="2" t="s">
        <v>40</v>
      </c>
      <c r="H142" s="2" t="s">
        <v>2642</v>
      </c>
      <c r="I142" s="2" t="s">
        <v>2686</v>
      </c>
      <c r="J142" s="2" t="s">
        <v>2561</v>
      </c>
      <c r="K142" s="2" t="s">
        <v>50</v>
      </c>
      <c r="L142" s="2" t="s">
        <v>381</v>
      </c>
      <c r="M142" s="2" t="s">
        <v>73</v>
      </c>
      <c r="N142" s="2" t="s">
        <v>382</v>
      </c>
      <c r="O142" s="2" t="s">
        <v>3240</v>
      </c>
      <c r="P142" s="2" t="s">
        <v>3230</v>
      </c>
      <c r="Q142" s="2" t="s">
        <v>2018</v>
      </c>
      <c r="R142" s="2" t="s">
        <v>45</v>
      </c>
      <c r="S142" s="2" t="s">
        <v>132</v>
      </c>
      <c r="T142" s="2" t="s">
        <v>38</v>
      </c>
      <c r="U142" s="2" t="s">
        <v>1999</v>
      </c>
      <c r="V142" s="2" t="s">
        <v>2000</v>
      </c>
      <c r="W142" s="2" t="s">
        <v>2018</v>
      </c>
      <c r="X142" s="2" t="s">
        <v>38</v>
      </c>
      <c r="Y142" s="2" t="s">
        <v>2968</v>
      </c>
      <c r="Z142" s="2" t="s">
        <v>279</v>
      </c>
      <c r="AA142" s="2" t="s">
        <v>38</v>
      </c>
      <c r="AB142" s="2" t="s">
        <v>38</v>
      </c>
      <c r="AC142" s="2" t="s">
        <v>38</v>
      </c>
      <c r="AD142" s="2" t="s">
        <v>38</v>
      </c>
      <c r="AE142" s="2" t="s">
        <v>38</v>
      </c>
      <c r="AF142" s="2" t="s">
        <v>38</v>
      </c>
      <c r="AG142" s="34">
        <v>46078</v>
      </c>
    </row>
    <row r="143" spans="1:33" ht="120" x14ac:dyDescent="0.25">
      <c r="A143" s="2" t="s">
        <v>383</v>
      </c>
      <c r="B143" s="2" t="s">
        <v>2687</v>
      </c>
      <c r="C143" s="2" t="s">
        <v>86</v>
      </c>
      <c r="D143" s="2" t="s">
        <v>95</v>
      </c>
      <c r="E143" s="2" t="s">
        <v>277</v>
      </c>
      <c r="F143" s="2" t="s">
        <v>62</v>
      </c>
      <c r="G143" s="2" t="s">
        <v>40</v>
      </c>
      <c r="H143" s="2" t="s">
        <v>2644</v>
      </c>
      <c r="I143" s="2" t="s">
        <v>2688</v>
      </c>
      <c r="J143" s="2" t="s">
        <v>2689</v>
      </c>
      <c r="K143" s="2" t="s">
        <v>50</v>
      </c>
      <c r="L143" s="2" t="s">
        <v>384</v>
      </c>
      <c r="M143" s="2" t="s">
        <v>51</v>
      </c>
      <c r="N143" s="2" t="s">
        <v>385</v>
      </c>
      <c r="O143" s="2" t="s">
        <v>3319</v>
      </c>
      <c r="P143" s="2" t="s">
        <v>3230</v>
      </c>
      <c r="Q143" s="2" t="s">
        <v>386</v>
      </c>
      <c r="R143" s="2" t="s">
        <v>279</v>
      </c>
      <c r="S143" s="2" t="s">
        <v>387</v>
      </c>
      <c r="T143" s="2" t="s">
        <v>38</v>
      </c>
      <c r="U143" s="2" t="s">
        <v>38</v>
      </c>
      <c r="V143" s="2" t="s">
        <v>38</v>
      </c>
      <c r="W143" s="2" t="s">
        <v>38</v>
      </c>
      <c r="X143" s="2" t="s">
        <v>38</v>
      </c>
      <c r="Y143" s="2" t="s">
        <v>2018</v>
      </c>
      <c r="Z143" s="2" t="s">
        <v>45</v>
      </c>
      <c r="AA143" s="2" t="s">
        <v>132</v>
      </c>
      <c r="AB143" s="2" t="s">
        <v>38</v>
      </c>
      <c r="AC143" s="2" t="s">
        <v>1999</v>
      </c>
      <c r="AD143" s="2" t="s">
        <v>2000</v>
      </c>
      <c r="AE143" s="2" t="s">
        <v>2018</v>
      </c>
      <c r="AF143" s="2" t="s">
        <v>38</v>
      </c>
      <c r="AG143" s="34">
        <v>46078</v>
      </c>
    </row>
    <row r="144" spans="1:33" ht="150" x14ac:dyDescent="0.25">
      <c r="A144" s="2" t="s">
        <v>388</v>
      </c>
      <c r="B144" s="2" t="s">
        <v>2690</v>
      </c>
      <c r="C144" s="2" t="s">
        <v>86</v>
      </c>
      <c r="D144" s="2" t="s">
        <v>95</v>
      </c>
      <c r="E144" s="2" t="s">
        <v>277</v>
      </c>
      <c r="F144" s="2" t="s">
        <v>62</v>
      </c>
      <c r="G144" s="2" t="s">
        <v>40</v>
      </c>
      <c r="H144" s="2" t="s">
        <v>2642</v>
      </c>
      <c r="I144" s="2" t="s">
        <v>2686</v>
      </c>
      <c r="J144" s="2" t="s">
        <v>2561</v>
      </c>
      <c r="K144" s="2" t="s">
        <v>50</v>
      </c>
      <c r="L144" s="2" t="s">
        <v>389</v>
      </c>
      <c r="M144" s="2" t="s">
        <v>73</v>
      </c>
      <c r="N144" s="2" t="s">
        <v>390</v>
      </c>
      <c r="O144" s="2" t="s">
        <v>3241</v>
      </c>
      <c r="P144" s="2" t="s">
        <v>3230</v>
      </c>
      <c r="Q144" s="2" t="s">
        <v>2018</v>
      </c>
      <c r="R144" s="2" t="s">
        <v>45</v>
      </c>
      <c r="S144" s="2" t="s">
        <v>132</v>
      </c>
      <c r="T144" s="2" t="s">
        <v>38</v>
      </c>
      <c r="U144" s="2" t="s">
        <v>1999</v>
      </c>
      <c r="V144" s="2" t="s">
        <v>2000</v>
      </c>
      <c r="W144" s="2" t="s">
        <v>2018</v>
      </c>
      <c r="X144" s="2" t="s">
        <v>38</v>
      </c>
      <c r="Y144" s="2" t="s">
        <v>132</v>
      </c>
      <c r="Z144" s="2" t="s">
        <v>279</v>
      </c>
      <c r="AA144" s="2" t="s">
        <v>285</v>
      </c>
      <c r="AB144" s="2" t="s">
        <v>38</v>
      </c>
      <c r="AC144" s="2" t="s">
        <v>38</v>
      </c>
      <c r="AD144" s="2" t="s">
        <v>38</v>
      </c>
      <c r="AE144" s="2" t="s">
        <v>38</v>
      </c>
      <c r="AF144" s="2" t="s">
        <v>38</v>
      </c>
      <c r="AG144" s="34">
        <v>46078</v>
      </c>
    </row>
    <row r="145" spans="1:33" ht="150" x14ac:dyDescent="0.25">
      <c r="A145" s="2" t="s">
        <v>391</v>
      </c>
      <c r="B145" s="2" t="s">
        <v>2691</v>
      </c>
      <c r="C145" s="2" t="s">
        <v>86</v>
      </c>
      <c r="D145" s="2" t="s">
        <v>95</v>
      </c>
      <c r="E145" s="2" t="s">
        <v>179</v>
      </c>
      <c r="F145" s="2" t="s">
        <v>38</v>
      </c>
      <c r="G145" s="2" t="s">
        <v>40</v>
      </c>
      <c r="H145" s="2" t="s">
        <v>2692</v>
      </c>
      <c r="I145" s="2" t="s">
        <v>2688</v>
      </c>
      <c r="J145" s="2" t="s">
        <v>2689</v>
      </c>
      <c r="K145" s="2" t="s">
        <v>41</v>
      </c>
      <c r="L145" s="2" t="s">
        <v>392</v>
      </c>
      <c r="M145" s="2" t="s">
        <v>73</v>
      </c>
      <c r="N145" s="2" t="s">
        <v>393</v>
      </c>
      <c r="O145" s="2" t="s">
        <v>38</v>
      </c>
      <c r="P145" s="2" t="s">
        <v>394</v>
      </c>
      <c r="Q145" s="2" t="s">
        <v>2248</v>
      </c>
      <c r="R145" s="2" t="s">
        <v>180</v>
      </c>
      <c r="S145" s="2" t="s">
        <v>38</v>
      </c>
      <c r="T145" s="2" t="s">
        <v>60</v>
      </c>
      <c r="U145" s="2" t="s">
        <v>2248</v>
      </c>
      <c r="V145" s="2" t="s">
        <v>38</v>
      </c>
      <c r="W145" s="2" t="s">
        <v>38</v>
      </c>
      <c r="X145" s="2" t="s">
        <v>38</v>
      </c>
      <c r="Y145" s="2" t="s">
        <v>2018</v>
      </c>
      <c r="Z145" s="2" t="s">
        <v>45</v>
      </c>
      <c r="AA145" s="2" t="s">
        <v>132</v>
      </c>
      <c r="AB145" s="2" t="s">
        <v>38</v>
      </c>
      <c r="AC145" s="2" t="s">
        <v>1999</v>
      </c>
      <c r="AD145" s="2" t="s">
        <v>2000</v>
      </c>
      <c r="AE145" s="2" t="s">
        <v>2018</v>
      </c>
      <c r="AF145" s="2" t="s">
        <v>38</v>
      </c>
      <c r="AG145" s="34">
        <v>46078</v>
      </c>
    </row>
    <row r="146" spans="1:33" ht="105" x14ac:dyDescent="0.25">
      <c r="A146" s="2" t="s">
        <v>395</v>
      </c>
      <c r="B146" s="2" t="s">
        <v>2693</v>
      </c>
      <c r="C146" s="2" t="s">
        <v>86</v>
      </c>
      <c r="D146" s="2" t="s">
        <v>120</v>
      </c>
      <c r="E146" s="2" t="s">
        <v>163</v>
      </c>
      <c r="F146" s="2" t="s">
        <v>164</v>
      </c>
      <c r="G146" s="2" t="s">
        <v>40</v>
      </c>
      <c r="H146" s="2" t="s">
        <v>2694</v>
      </c>
      <c r="I146" s="2" t="s">
        <v>2695</v>
      </c>
      <c r="J146" s="2" t="s">
        <v>2561</v>
      </c>
      <c r="K146" s="2" t="s">
        <v>50</v>
      </c>
      <c r="L146" s="2" t="s">
        <v>396</v>
      </c>
      <c r="M146" s="2" t="s">
        <v>89</v>
      </c>
      <c r="N146" s="2" t="s">
        <v>397</v>
      </c>
      <c r="O146" s="2" t="s">
        <v>398</v>
      </c>
      <c r="P146" s="2" t="s">
        <v>3311</v>
      </c>
      <c r="Q146" s="2" t="s">
        <v>2018</v>
      </c>
      <c r="R146" s="2" t="s">
        <v>45</v>
      </c>
      <c r="S146" s="2" t="s">
        <v>132</v>
      </c>
      <c r="T146" s="2" t="s">
        <v>38</v>
      </c>
      <c r="U146" s="2" t="s">
        <v>1999</v>
      </c>
      <c r="V146" s="2" t="s">
        <v>2000</v>
      </c>
      <c r="W146" s="2" t="s">
        <v>2018</v>
      </c>
      <c r="X146" s="2" t="s">
        <v>38</v>
      </c>
      <c r="Y146" s="2" t="s">
        <v>2359</v>
      </c>
      <c r="Z146" s="2" t="s">
        <v>59</v>
      </c>
      <c r="AA146" s="2" t="s">
        <v>38</v>
      </c>
      <c r="AB146" s="2" t="s">
        <v>60</v>
      </c>
      <c r="AC146" s="2" t="s">
        <v>2248</v>
      </c>
      <c r="AD146" s="2" t="s">
        <v>2359</v>
      </c>
      <c r="AE146" s="2" t="s">
        <v>38</v>
      </c>
      <c r="AF146" s="2" t="s">
        <v>38</v>
      </c>
      <c r="AG146" s="34">
        <v>46078</v>
      </c>
    </row>
    <row r="147" spans="1:33" ht="225" x14ac:dyDescent="0.25">
      <c r="A147" s="2" t="s">
        <v>399</v>
      </c>
      <c r="B147" s="2" t="s">
        <v>2696</v>
      </c>
      <c r="C147" s="2" t="s">
        <v>86</v>
      </c>
      <c r="D147" s="2" t="s">
        <v>120</v>
      </c>
      <c r="E147" s="2" t="s">
        <v>312</v>
      </c>
      <c r="F147" s="2" t="s">
        <v>62</v>
      </c>
      <c r="G147" s="2" t="s">
        <v>40</v>
      </c>
      <c r="H147" s="2" t="s">
        <v>2511</v>
      </c>
      <c r="I147" s="2" t="s">
        <v>2546</v>
      </c>
      <c r="J147" s="2" t="s">
        <v>2545</v>
      </c>
      <c r="K147" s="2" t="s">
        <v>50</v>
      </c>
      <c r="L147" s="2" t="s">
        <v>400</v>
      </c>
      <c r="M147" s="2" t="s">
        <v>89</v>
      </c>
      <c r="N147" s="2" t="s">
        <v>401</v>
      </c>
      <c r="O147" s="2" t="s">
        <v>402</v>
      </c>
      <c r="P147" s="2" t="s">
        <v>3300</v>
      </c>
      <c r="Q147" s="2" t="s">
        <v>2018</v>
      </c>
      <c r="R147" s="2" t="s">
        <v>45</v>
      </c>
      <c r="S147" s="2" t="s">
        <v>132</v>
      </c>
      <c r="T147" s="2" t="s">
        <v>38</v>
      </c>
      <c r="U147" s="2" t="s">
        <v>1999</v>
      </c>
      <c r="V147" s="2" t="s">
        <v>2000</v>
      </c>
      <c r="W147" s="2" t="s">
        <v>2018</v>
      </c>
      <c r="X147" s="2" t="s">
        <v>38</v>
      </c>
      <c r="Y147" s="2" t="s">
        <v>2114</v>
      </c>
      <c r="Z147" s="2" t="s">
        <v>315</v>
      </c>
      <c r="AA147" s="2" t="s">
        <v>38</v>
      </c>
      <c r="AB147" s="2" t="s">
        <v>38</v>
      </c>
      <c r="AC147" s="2" t="s">
        <v>1999</v>
      </c>
      <c r="AD147" s="2" t="s">
        <v>2000</v>
      </c>
      <c r="AE147" s="2" t="s">
        <v>1997</v>
      </c>
      <c r="AF147" s="2" t="s">
        <v>2114</v>
      </c>
      <c r="AG147" s="34">
        <v>46078</v>
      </c>
    </row>
    <row r="148" spans="1:33" ht="90" x14ac:dyDescent="0.25">
      <c r="A148" s="2" t="s">
        <v>403</v>
      </c>
      <c r="B148" s="2" t="s">
        <v>2697</v>
      </c>
      <c r="C148" s="2" t="s">
        <v>38</v>
      </c>
      <c r="D148" s="2" t="s">
        <v>38</v>
      </c>
      <c r="E148" s="2" t="s">
        <v>312</v>
      </c>
      <c r="F148" s="2" t="s">
        <v>164</v>
      </c>
      <c r="G148" s="2" t="s">
        <v>40</v>
      </c>
      <c r="H148" s="2" t="s">
        <v>2563</v>
      </c>
      <c r="I148" s="2" t="s">
        <v>2602</v>
      </c>
      <c r="J148" s="2" t="s">
        <v>2698</v>
      </c>
      <c r="K148" s="2" t="s">
        <v>50</v>
      </c>
      <c r="L148" s="2" t="s">
        <v>404</v>
      </c>
      <c r="M148" s="2" t="s">
        <v>89</v>
      </c>
      <c r="N148" s="2" t="s">
        <v>405</v>
      </c>
      <c r="O148" s="2" t="s">
        <v>3242</v>
      </c>
      <c r="P148" s="2" t="s">
        <v>3301</v>
      </c>
      <c r="Q148" s="2" t="s">
        <v>2117</v>
      </c>
      <c r="R148" s="2" t="s">
        <v>45</v>
      </c>
      <c r="S148" s="2" t="s">
        <v>38</v>
      </c>
      <c r="T148" s="2" t="s">
        <v>60</v>
      </c>
      <c r="U148" s="2" t="s">
        <v>2118</v>
      </c>
      <c r="V148" s="2" t="s">
        <v>2119</v>
      </c>
      <c r="W148" s="2" t="s">
        <v>2117</v>
      </c>
      <c r="X148" s="2" t="s">
        <v>38</v>
      </c>
      <c r="Y148" s="2" t="s">
        <v>2114</v>
      </c>
      <c r="Z148" s="2" t="s">
        <v>315</v>
      </c>
      <c r="AA148" s="2" t="s">
        <v>38</v>
      </c>
      <c r="AB148" s="2" t="s">
        <v>38</v>
      </c>
      <c r="AC148" s="2" t="s">
        <v>1999</v>
      </c>
      <c r="AD148" s="2" t="s">
        <v>2000</v>
      </c>
      <c r="AE148" s="2" t="s">
        <v>1997</v>
      </c>
      <c r="AF148" s="2" t="s">
        <v>2114</v>
      </c>
      <c r="AG148" s="34">
        <v>46078</v>
      </c>
    </row>
    <row r="149" spans="1:33" ht="90" x14ac:dyDescent="0.25">
      <c r="A149" s="2" t="s">
        <v>406</v>
      </c>
      <c r="B149" s="2" t="s">
        <v>2699</v>
      </c>
      <c r="C149" s="2" t="s">
        <v>38</v>
      </c>
      <c r="D149" s="2" t="s">
        <v>38</v>
      </c>
      <c r="E149" s="2" t="s">
        <v>312</v>
      </c>
      <c r="F149" s="2" t="s">
        <v>62</v>
      </c>
      <c r="G149" s="2" t="s">
        <v>40</v>
      </c>
      <c r="H149" s="2" t="s">
        <v>2700</v>
      </c>
      <c r="I149" s="2" t="s">
        <v>2701</v>
      </c>
      <c r="J149" s="2" t="s">
        <v>2702</v>
      </c>
      <c r="K149" s="2" t="s">
        <v>50</v>
      </c>
      <c r="L149" s="2" t="s">
        <v>407</v>
      </c>
      <c r="M149" s="2" t="s">
        <v>73</v>
      </c>
      <c r="N149" s="2" t="s">
        <v>408</v>
      </c>
      <c r="O149" s="2" t="s">
        <v>3243</v>
      </c>
      <c r="P149" s="2" t="s">
        <v>3302</v>
      </c>
      <c r="Q149" s="2" t="s">
        <v>2111</v>
      </c>
      <c r="R149" s="2" t="s">
        <v>315</v>
      </c>
      <c r="S149" s="2" t="s">
        <v>38</v>
      </c>
      <c r="T149" s="2" t="s">
        <v>38</v>
      </c>
      <c r="U149" s="2" t="s">
        <v>1999</v>
      </c>
      <c r="V149" s="2" t="s">
        <v>2000</v>
      </c>
      <c r="W149" s="2" t="s">
        <v>1997</v>
      </c>
      <c r="X149" s="2" t="s">
        <v>2111</v>
      </c>
      <c r="Y149" s="2" t="s">
        <v>2150</v>
      </c>
      <c r="Z149" s="2" t="s">
        <v>45</v>
      </c>
      <c r="AA149" s="2" t="s">
        <v>38</v>
      </c>
      <c r="AB149" s="2" t="s">
        <v>60</v>
      </c>
      <c r="AC149" s="2" t="s">
        <v>2128</v>
      </c>
      <c r="AD149" s="2" t="s">
        <v>2129</v>
      </c>
      <c r="AE149" s="2" t="s">
        <v>2150</v>
      </c>
      <c r="AF149" s="2" t="s">
        <v>38</v>
      </c>
      <c r="AG149" s="34">
        <v>46078</v>
      </c>
    </row>
    <row r="150" spans="1:33" ht="270" x14ac:dyDescent="0.25">
      <c r="A150" s="2" t="s">
        <v>409</v>
      </c>
      <c r="B150" s="2" t="s">
        <v>2703</v>
      </c>
      <c r="C150" s="2" t="s">
        <v>38</v>
      </c>
      <c r="D150" s="2" t="s">
        <v>38</v>
      </c>
      <c r="E150" s="2" t="s">
        <v>312</v>
      </c>
      <c r="F150" s="2" t="s">
        <v>62</v>
      </c>
      <c r="G150" s="2" t="s">
        <v>40</v>
      </c>
      <c r="H150" s="2" t="s">
        <v>2700</v>
      </c>
      <c r="I150" s="2" t="s">
        <v>2701</v>
      </c>
      <c r="J150" s="2" t="s">
        <v>2704</v>
      </c>
      <c r="K150" s="2" t="s">
        <v>50</v>
      </c>
      <c r="L150" s="2" t="s">
        <v>410</v>
      </c>
      <c r="M150" s="2" t="s">
        <v>51</v>
      </c>
      <c r="N150" s="2" t="s">
        <v>411</v>
      </c>
      <c r="O150" s="2" t="s">
        <v>3303</v>
      </c>
      <c r="P150" s="2" t="s">
        <v>3302</v>
      </c>
      <c r="Q150" s="2" t="s">
        <v>2111</v>
      </c>
      <c r="R150" s="2" t="s">
        <v>315</v>
      </c>
      <c r="S150" s="2" t="s">
        <v>38</v>
      </c>
      <c r="T150" s="2" t="s">
        <v>38</v>
      </c>
      <c r="U150" s="2" t="s">
        <v>1999</v>
      </c>
      <c r="V150" s="2" t="s">
        <v>2000</v>
      </c>
      <c r="W150" s="2" t="s">
        <v>1997</v>
      </c>
      <c r="X150" s="2" t="s">
        <v>2111</v>
      </c>
      <c r="Y150" s="2" t="s">
        <v>2127</v>
      </c>
      <c r="Z150" s="2" t="s">
        <v>45</v>
      </c>
      <c r="AA150" s="2" t="s">
        <v>38</v>
      </c>
      <c r="AB150" s="2" t="s">
        <v>60</v>
      </c>
      <c r="AC150" s="2" t="s">
        <v>2128</v>
      </c>
      <c r="AD150" s="2" t="s">
        <v>2129</v>
      </c>
      <c r="AE150" s="2" t="s">
        <v>2127</v>
      </c>
      <c r="AF150" s="2" t="s">
        <v>38</v>
      </c>
      <c r="AG150" s="34">
        <v>46078</v>
      </c>
    </row>
    <row r="151" spans="1:33" ht="255" x14ac:dyDescent="0.25">
      <c r="A151" s="2" t="s">
        <v>412</v>
      </c>
      <c r="B151" s="2" t="s">
        <v>2705</v>
      </c>
      <c r="C151" s="2" t="s">
        <v>38</v>
      </c>
      <c r="D151" s="2" t="s">
        <v>38</v>
      </c>
      <c r="E151" s="2" t="s">
        <v>312</v>
      </c>
      <c r="F151" s="2" t="s">
        <v>62</v>
      </c>
      <c r="G151" s="2" t="s">
        <v>40</v>
      </c>
      <c r="H151" s="2" t="s">
        <v>2700</v>
      </c>
      <c r="I151" s="2" t="s">
        <v>2701</v>
      </c>
      <c r="J151" s="2" t="s">
        <v>2706</v>
      </c>
      <c r="K151" s="2" t="s">
        <v>50</v>
      </c>
      <c r="L151" s="2" t="s">
        <v>413</v>
      </c>
      <c r="M151" s="2" t="s">
        <v>51</v>
      </c>
      <c r="N151" s="2" t="s">
        <v>414</v>
      </c>
      <c r="O151" s="2" t="s">
        <v>3338</v>
      </c>
      <c r="P151" s="2" t="s">
        <v>3302</v>
      </c>
      <c r="Q151" s="2" t="s">
        <v>2111</v>
      </c>
      <c r="R151" s="2" t="s">
        <v>315</v>
      </c>
      <c r="S151" s="2" t="s">
        <v>38</v>
      </c>
      <c r="T151" s="2" t="s">
        <v>38</v>
      </c>
      <c r="U151" s="2" t="s">
        <v>1999</v>
      </c>
      <c r="V151" s="2" t="s">
        <v>2000</v>
      </c>
      <c r="W151" s="2" t="s">
        <v>1997</v>
      </c>
      <c r="X151" s="2" t="s">
        <v>2111</v>
      </c>
      <c r="Y151" s="2" t="s">
        <v>2262</v>
      </c>
      <c r="Z151" s="2" t="s">
        <v>45</v>
      </c>
      <c r="AA151" s="2" t="s">
        <v>38</v>
      </c>
      <c r="AB151" s="2" t="s">
        <v>60</v>
      </c>
      <c r="AC151" s="2" t="s">
        <v>2128</v>
      </c>
      <c r="AD151" s="2" t="s">
        <v>2129</v>
      </c>
      <c r="AE151" s="2" t="s">
        <v>2262</v>
      </c>
      <c r="AF151" s="2" t="s">
        <v>38</v>
      </c>
      <c r="AG151" s="34">
        <v>46078</v>
      </c>
    </row>
    <row r="152" spans="1:33" ht="240" x14ac:dyDescent="0.25">
      <c r="A152" s="2" t="s">
        <v>415</v>
      </c>
      <c r="B152" s="2" t="s">
        <v>2707</v>
      </c>
      <c r="C152" s="2" t="s">
        <v>46</v>
      </c>
      <c r="D152" s="35" t="s">
        <v>86</v>
      </c>
      <c r="E152" s="2" t="s">
        <v>312</v>
      </c>
      <c r="F152" s="2" t="s">
        <v>38</v>
      </c>
      <c r="G152" s="2" t="s">
        <v>40</v>
      </c>
      <c r="H152" s="2" t="s">
        <v>2511</v>
      </c>
      <c r="I152" s="2" t="s">
        <v>2544</v>
      </c>
      <c r="J152" s="2" t="s">
        <v>2543</v>
      </c>
      <c r="K152" s="2" t="s">
        <v>41</v>
      </c>
      <c r="L152" s="2" t="s">
        <v>416</v>
      </c>
      <c r="M152" s="2" t="s">
        <v>89</v>
      </c>
      <c r="N152" s="35" t="s">
        <v>417</v>
      </c>
      <c r="O152" s="35" t="s">
        <v>150</v>
      </c>
      <c r="P152" s="2" t="s">
        <v>418</v>
      </c>
      <c r="Q152" s="2" t="s">
        <v>2063</v>
      </c>
      <c r="R152" s="2" t="s">
        <v>45</v>
      </c>
      <c r="S152" s="2" t="s">
        <v>46</v>
      </c>
      <c r="T152" s="2" t="s">
        <v>38</v>
      </c>
      <c r="U152" s="2" t="s">
        <v>1999</v>
      </c>
      <c r="V152" s="2" t="s">
        <v>2006</v>
      </c>
      <c r="W152" s="2" t="s">
        <v>2063</v>
      </c>
      <c r="X152" s="2" t="s">
        <v>38</v>
      </c>
      <c r="Y152" s="2" t="s">
        <v>2111</v>
      </c>
      <c r="Z152" s="2" t="s">
        <v>315</v>
      </c>
      <c r="AA152" s="2" t="s">
        <v>38</v>
      </c>
      <c r="AB152" s="2" t="s">
        <v>38</v>
      </c>
      <c r="AC152" s="2" t="s">
        <v>1999</v>
      </c>
      <c r="AD152" s="2" t="s">
        <v>2000</v>
      </c>
      <c r="AE152" s="2" t="s">
        <v>1997</v>
      </c>
      <c r="AF152" s="2" t="s">
        <v>2111</v>
      </c>
      <c r="AG152" s="34">
        <v>46078</v>
      </c>
    </row>
    <row r="153" spans="1:33" ht="150" x14ac:dyDescent="0.25">
      <c r="A153" s="2" t="s">
        <v>419</v>
      </c>
      <c r="B153" s="2" t="s">
        <v>3008</v>
      </c>
      <c r="C153" s="2" t="s">
        <v>86</v>
      </c>
      <c r="D153" s="2" t="s">
        <v>120</v>
      </c>
      <c r="E153" s="2" t="s">
        <v>48</v>
      </c>
      <c r="F153" s="2" t="s">
        <v>62</v>
      </c>
      <c r="G153" s="2" t="s">
        <v>40</v>
      </c>
      <c r="H153" s="2" t="s">
        <v>2504</v>
      </c>
      <c r="I153" s="2" t="s">
        <v>2688</v>
      </c>
      <c r="J153" s="2" t="s">
        <v>3008</v>
      </c>
      <c r="K153" s="2" t="s">
        <v>50</v>
      </c>
      <c r="L153" s="2" t="s">
        <v>420</v>
      </c>
      <c r="M153" s="2" t="s">
        <v>89</v>
      </c>
      <c r="N153" s="2" t="s">
        <v>421</v>
      </c>
      <c r="O153" s="2" t="s">
        <v>422</v>
      </c>
      <c r="P153" s="2" t="s">
        <v>3305</v>
      </c>
      <c r="Q153" s="2" t="s">
        <v>2957</v>
      </c>
      <c r="R153" s="2" t="s">
        <v>45</v>
      </c>
      <c r="S153" s="2" t="s">
        <v>38</v>
      </c>
      <c r="T153" s="2" t="s">
        <v>38</v>
      </c>
      <c r="U153" s="2" t="s">
        <v>2047</v>
      </c>
      <c r="V153" s="2" t="s">
        <v>38</v>
      </c>
      <c r="W153" s="2" t="s">
        <v>2957</v>
      </c>
      <c r="X153" s="2" t="s">
        <v>38</v>
      </c>
      <c r="Y153" s="2" t="s">
        <v>2018</v>
      </c>
      <c r="Z153" s="2" t="s">
        <v>45</v>
      </c>
      <c r="AA153" s="2" t="s">
        <v>132</v>
      </c>
      <c r="AB153" s="2" t="s">
        <v>38</v>
      </c>
      <c r="AC153" s="2" t="s">
        <v>1999</v>
      </c>
      <c r="AD153" s="2" t="s">
        <v>2000</v>
      </c>
      <c r="AE153" s="2" t="s">
        <v>2018</v>
      </c>
      <c r="AF153" s="2" t="s">
        <v>38</v>
      </c>
      <c r="AG153" s="34">
        <v>46078</v>
      </c>
    </row>
    <row r="154" spans="1:33" ht="225" x14ac:dyDescent="0.25">
      <c r="A154" s="2" t="s">
        <v>423</v>
      </c>
      <c r="B154" s="2" t="s">
        <v>3009</v>
      </c>
      <c r="C154" s="2" t="s">
        <v>86</v>
      </c>
      <c r="D154" s="2" t="s">
        <v>120</v>
      </c>
      <c r="E154" s="2" t="s">
        <v>48</v>
      </c>
      <c r="F154" s="2" t="s">
        <v>62</v>
      </c>
      <c r="G154" s="2" t="s">
        <v>40</v>
      </c>
      <c r="H154" s="2" t="s">
        <v>2708</v>
      </c>
      <c r="I154" s="2" t="s">
        <v>2709</v>
      </c>
      <c r="J154" s="2" t="s">
        <v>3009</v>
      </c>
      <c r="K154" s="2" t="s">
        <v>50</v>
      </c>
      <c r="L154" s="2" t="s">
        <v>424</v>
      </c>
      <c r="M154" s="2" t="s">
        <v>73</v>
      </c>
      <c r="N154" s="2" t="s">
        <v>425</v>
      </c>
      <c r="O154" s="2" t="s">
        <v>3308</v>
      </c>
      <c r="P154" s="2" t="s">
        <v>3307</v>
      </c>
      <c r="Q154" s="2" t="s">
        <v>2957</v>
      </c>
      <c r="R154" s="2" t="s">
        <v>45</v>
      </c>
      <c r="S154" s="2" t="s">
        <v>38</v>
      </c>
      <c r="T154" s="2" t="s">
        <v>38</v>
      </c>
      <c r="U154" s="2" t="s">
        <v>2047</v>
      </c>
      <c r="V154" s="2" t="s">
        <v>38</v>
      </c>
      <c r="W154" s="2" t="s">
        <v>2957</v>
      </c>
      <c r="X154" s="2" t="s">
        <v>38</v>
      </c>
      <c r="Y154" s="2" t="s">
        <v>2117</v>
      </c>
      <c r="Z154" s="2" t="s">
        <v>45</v>
      </c>
      <c r="AA154" s="2" t="s">
        <v>38</v>
      </c>
      <c r="AB154" s="2" t="s">
        <v>60</v>
      </c>
      <c r="AC154" s="2" t="s">
        <v>2118</v>
      </c>
      <c r="AD154" s="2" t="s">
        <v>2119</v>
      </c>
      <c r="AE154" s="2" t="s">
        <v>2117</v>
      </c>
      <c r="AF154" s="2" t="s">
        <v>38</v>
      </c>
      <c r="AG154" s="34">
        <v>46078</v>
      </c>
    </row>
    <row r="155" spans="1:33" ht="210" x14ac:dyDescent="0.25">
      <c r="A155" s="2" t="s">
        <v>426</v>
      </c>
      <c r="B155" s="2" t="s">
        <v>3010</v>
      </c>
      <c r="C155" s="2" t="s">
        <v>86</v>
      </c>
      <c r="D155" s="2" t="s">
        <v>120</v>
      </c>
      <c r="E155" s="2" t="s">
        <v>163</v>
      </c>
      <c r="F155" s="2" t="s">
        <v>38</v>
      </c>
      <c r="G155" s="2" t="s">
        <v>40</v>
      </c>
      <c r="H155" s="2" t="s">
        <v>2710</v>
      </c>
      <c r="I155" s="2" t="s">
        <v>2711</v>
      </c>
      <c r="J155" s="2" t="s">
        <v>3011</v>
      </c>
      <c r="K155" s="2" t="s">
        <v>50</v>
      </c>
      <c r="L155" s="2" t="s">
        <v>427</v>
      </c>
      <c r="M155" s="2" t="s">
        <v>89</v>
      </c>
      <c r="N155" s="2" t="s">
        <v>428</v>
      </c>
      <c r="O155" s="2" t="s">
        <v>429</v>
      </c>
      <c r="P155" s="2" t="s">
        <v>430</v>
      </c>
      <c r="Q155" s="2" t="s">
        <v>2957</v>
      </c>
      <c r="R155" s="2" t="s">
        <v>45</v>
      </c>
      <c r="S155" s="2" t="s">
        <v>38</v>
      </c>
      <c r="T155" s="2" t="s">
        <v>38</v>
      </c>
      <c r="U155" s="2" t="s">
        <v>2047</v>
      </c>
      <c r="V155" s="2" t="s">
        <v>38</v>
      </c>
      <c r="W155" s="2" t="s">
        <v>2957</v>
      </c>
      <c r="X155" s="2" t="s">
        <v>38</v>
      </c>
      <c r="Y155" s="2" t="s">
        <v>2332</v>
      </c>
      <c r="Z155" s="2" t="s">
        <v>59</v>
      </c>
      <c r="AA155" s="2" t="s">
        <v>38</v>
      </c>
      <c r="AB155" s="2" t="s">
        <v>60</v>
      </c>
      <c r="AC155" s="2" t="s">
        <v>2128</v>
      </c>
      <c r="AD155" s="2" t="s">
        <v>2332</v>
      </c>
      <c r="AE155" s="2" t="s">
        <v>38</v>
      </c>
      <c r="AF155" s="2" t="s">
        <v>38</v>
      </c>
      <c r="AG155" s="34">
        <v>46078</v>
      </c>
    </row>
    <row r="156" spans="1:33" ht="90" x14ac:dyDescent="0.25">
      <c r="A156" s="2" t="s">
        <v>431</v>
      </c>
      <c r="B156" s="2" t="s">
        <v>2712</v>
      </c>
      <c r="C156" s="2" t="s">
        <v>38</v>
      </c>
      <c r="D156" s="2" t="s">
        <v>38</v>
      </c>
      <c r="E156" s="2" t="s">
        <v>312</v>
      </c>
      <c r="F156" s="2" t="s">
        <v>62</v>
      </c>
      <c r="G156" s="2" t="s">
        <v>40</v>
      </c>
      <c r="H156" s="2" t="s">
        <v>2710</v>
      </c>
      <c r="I156" s="2" t="s">
        <v>2583</v>
      </c>
      <c r="J156" s="2" t="s">
        <v>3012</v>
      </c>
      <c r="K156" s="2" t="s">
        <v>50</v>
      </c>
      <c r="L156" s="2" t="s">
        <v>433</v>
      </c>
      <c r="M156" s="2" t="s">
        <v>89</v>
      </c>
      <c r="N156" s="2" t="s">
        <v>434</v>
      </c>
      <c r="O156" s="2" t="s">
        <v>3244</v>
      </c>
      <c r="P156" s="2" t="s">
        <v>3306</v>
      </c>
      <c r="Q156" s="2" t="s">
        <v>2177</v>
      </c>
      <c r="R156" s="2" t="s">
        <v>315</v>
      </c>
      <c r="S156" s="2" t="s">
        <v>38</v>
      </c>
      <c r="T156" s="2" t="s">
        <v>38</v>
      </c>
      <c r="U156" s="2" t="s">
        <v>2047</v>
      </c>
      <c r="V156" s="2" t="s">
        <v>38</v>
      </c>
      <c r="W156" s="2" t="s">
        <v>2957</v>
      </c>
      <c r="X156" s="2" t="s">
        <v>2177</v>
      </c>
      <c r="Y156" s="2" t="s">
        <v>2150</v>
      </c>
      <c r="Z156" s="2" t="s">
        <v>45</v>
      </c>
      <c r="AA156" s="2" t="s">
        <v>38</v>
      </c>
      <c r="AB156" s="2" t="s">
        <v>60</v>
      </c>
      <c r="AC156" s="2" t="s">
        <v>2128</v>
      </c>
      <c r="AD156" s="2" t="s">
        <v>2129</v>
      </c>
      <c r="AE156" s="2" t="s">
        <v>2150</v>
      </c>
      <c r="AF156" s="2" t="s">
        <v>38</v>
      </c>
      <c r="AG156" s="34">
        <v>46078</v>
      </c>
    </row>
    <row r="157" spans="1:33" ht="225" x14ac:dyDescent="0.25">
      <c r="A157" s="2" t="s">
        <v>435</v>
      </c>
      <c r="B157" s="2" t="s">
        <v>3013</v>
      </c>
      <c r="C157" s="2" t="s">
        <v>37</v>
      </c>
      <c r="D157" s="2" t="s">
        <v>436</v>
      </c>
      <c r="E157" s="2" t="s">
        <v>48</v>
      </c>
      <c r="F157" s="2" t="s">
        <v>62</v>
      </c>
      <c r="G157" s="2" t="s">
        <v>40</v>
      </c>
      <c r="H157" s="2" t="s">
        <v>2504</v>
      </c>
      <c r="I157" s="2" t="s">
        <v>2505</v>
      </c>
      <c r="J157" s="2" t="s">
        <v>3013</v>
      </c>
      <c r="K157" s="2" t="s">
        <v>50</v>
      </c>
      <c r="L157" s="2" t="s">
        <v>437</v>
      </c>
      <c r="M157" s="2" t="s">
        <v>73</v>
      </c>
      <c r="N157" s="2" t="s">
        <v>438</v>
      </c>
      <c r="O157" s="2" t="s">
        <v>439</v>
      </c>
      <c r="P157" s="2" t="s">
        <v>440</v>
      </c>
      <c r="Q157" s="2" t="s">
        <v>2957</v>
      </c>
      <c r="R157" s="2" t="s">
        <v>45</v>
      </c>
      <c r="S157" s="2" t="s">
        <v>38</v>
      </c>
      <c r="T157" s="2" t="s">
        <v>38</v>
      </c>
      <c r="U157" s="2" t="s">
        <v>2047</v>
      </c>
      <c r="V157" s="2" t="s">
        <v>38</v>
      </c>
      <c r="W157" s="2" t="s">
        <v>2957</v>
      </c>
      <c r="X157" s="2" t="s">
        <v>38</v>
      </c>
      <c r="Y157" s="2" t="s">
        <v>2015</v>
      </c>
      <c r="Z157" s="2" t="s">
        <v>45</v>
      </c>
      <c r="AA157" s="2" t="s">
        <v>77</v>
      </c>
      <c r="AB157" s="2" t="s">
        <v>78</v>
      </c>
      <c r="AC157" s="2" t="s">
        <v>1999</v>
      </c>
      <c r="AD157" s="2" t="s">
        <v>2011</v>
      </c>
      <c r="AE157" s="2" t="s">
        <v>2015</v>
      </c>
      <c r="AF157" s="2" t="s">
        <v>38</v>
      </c>
      <c r="AG157" s="34">
        <v>46078</v>
      </c>
    </row>
    <row r="158" spans="1:33" ht="90" x14ac:dyDescent="0.25">
      <c r="A158" s="2" t="s">
        <v>441</v>
      </c>
      <c r="B158" s="2" t="s">
        <v>2713</v>
      </c>
      <c r="C158" s="2" t="s">
        <v>38</v>
      </c>
      <c r="D158" s="2" t="s">
        <v>38</v>
      </c>
      <c r="E158" s="2" t="s">
        <v>312</v>
      </c>
      <c r="F158" s="2" t="s">
        <v>62</v>
      </c>
      <c r="G158" s="2" t="s">
        <v>40</v>
      </c>
      <c r="H158" s="2" t="s">
        <v>2710</v>
      </c>
      <c r="I158" s="2" t="s">
        <v>2583</v>
      </c>
      <c r="J158" s="2" t="s">
        <v>3012</v>
      </c>
      <c r="K158" s="2" t="s">
        <v>50</v>
      </c>
      <c r="L158" s="2" t="s">
        <v>442</v>
      </c>
      <c r="M158" s="2" t="s">
        <v>73</v>
      </c>
      <c r="N158" s="2" t="s">
        <v>443</v>
      </c>
      <c r="O158" s="2" t="s">
        <v>3245</v>
      </c>
      <c r="P158" s="2" t="s">
        <v>3306</v>
      </c>
      <c r="Q158" s="2" t="s">
        <v>2181</v>
      </c>
      <c r="R158" s="2" t="s">
        <v>315</v>
      </c>
      <c r="S158" s="2" t="s">
        <v>38</v>
      </c>
      <c r="T158" s="2" t="s">
        <v>38</v>
      </c>
      <c r="U158" s="2" t="s">
        <v>2047</v>
      </c>
      <c r="V158" s="2" t="s">
        <v>38</v>
      </c>
      <c r="W158" s="2" t="s">
        <v>2957</v>
      </c>
      <c r="X158" s="2" t="s">
        <v>2181</v>
      </c>
      <c r="Y158" s="2" t="s">
        <v>2150</v>
      </c>
      <c r="Z158" s="2" t="s">
        <v>45</v>
      </c>
      <c r="AA158" s="2" t="s">
        <v>38</v>
      </c>
      <c r="AB158" s="2" t="s">
        <v>60</v>
      </c>
      <c r="AC158" s="2" t="s">
        <v>2128</v>
      </c>
      <c r="AD158" s="2" t="s">
        <v>2129</v>
      </c>
      <c r="AE158" s="2" t="s">
        <v>2150</v>
      </c>
      <c r="AF158" s="2" t="s">
        <v>38</v>
      </c>
      <c r="AG158" s="34">
        <v>46078</v>
      </c>
    </row>
    <row r="159" spans="1:33" ht="20.25" customHeight="1" x14ac:dyDescent="0.25">
      <c r="A159" s="2" t="s">
        <v>444</v>
      </c>
      <c r="B159" s="2" t="s">
        <v>3014</v>
      </c>
      <c r="C159" s="2" t="s">
        <v>38</v>
      </c>
      <c r="D159" s="2" t="s">
        <v>38</v>
      </c>
      <c r="E159" s="2" t="s">
        <v>163</v>
      </c>
      <c r="F159" s="2" t="s">
        <v>38</v>
      </c>
      <c r="G159" s="2" t="s">
        <v>40</v>
      </c>
      <c r="H159" s="2" t="s">
        <v>2710</v>
      </c>
      <c r="I159" s="2" t="s">
        <v>2714</v>
      </c>
      <c r="J159" s="2" t="s">
        <v>3011</v>
      </c>
      <c r="K159" s="2" t="s">
        <v>41</v>
      </c>
      <c r="L159" s="2" t="s">
        <v>445</v>
      </c>
      <c r="M159" s="2" t="s">
        <v>89</v>
      </c>
      <c r="N159" s="2" t="s">
        <v>446</v>
      </c>
      <c r="O159" s="2" t="s">
        <v>38</v>
      </c>
      <c r="P159" s="2" t="s">
        <v>447</v>
      </c>
      <c r="Q159" s="2" t="s">
        <v>2957</v>
      </c>
      <c r="R159" s="2" t="s">
        <v>45</v>
      </c>
      <c r="S159" s="2" t="s">
        <v>38</v>
      </c>
      <c r="T159" s="2" t="s">
        <v>38</v>
      </c>
      <c r="U159" s="2" t="s">
        <v>2047</v>
      </c>
      <c r="V159" s="2" t="s">
        <v>38</v>
      </c>
      <c r="W159" s="2" t="s">
        <v>2957</v>
      </c>
      <c r="X159" s="2" t="s">
        <v>38</v>
      </c>
      <c r="Y159" s="2" t="s">
        <v>2408</v>
      </c>
      <c r="Z159" s="2" t="s">
        <v>59</v>
      </c>
      <c r="AA159" s="2" t="s">
        <v>38</v>
      </c>
      <c r="AB159" s="2" t="s">
        <v>60</v>
      </c>
      <c r="AC159" s="2" t="s">
        <v>2128</v>
      </c>
      <c r="AD159" s="2" t="s">
        <v>2408</v>
      </c>
      <c r="AE159" s="2" t="s">
        <v>38</v>
      </c>
      <c r="AF159" s="2" t="s">
        <v>38</v>
      </c>
      <c r="AG159" s="34">
        <v>46078</v>
      </c>
    </row>
    <row r="160" spans="1:33" ht="180" x14ac:dyDescent="0.25">
      <c r="A160" s="2" t="s">
        <v>448</v>
      </c>
      <c r="B160" s="2" t="s">
        <v>2715</v>
      </c>
      <c r="C160" s="2" t="s">
        <v>38</v>
      </c>
      <c r="D160" s="2" t="s">
        <v>38</v>
      </c>
      <c r="E160" s="2" t="s">
        <v>277</v>
      </c>
      <c r="F160" s="2" t="s">
        <v>62</v>
      </c>
      <c r="G160" s="2" t="s">
        <v>40</v>
      </c>
      <c r="H160" s="2" t="s">
        <v>2642</v>
      </c>
      <c r="I160" s="2" t="s">
        <v>2686</v>
      </c>
      <c r="J160" s="2" t="s">
        <v>2717</v>
      </c>
      <c r="K160" s="2" t="s">
        <v>50</v>
      </c>
      <c r="L160" s="2" t="s">
        <v>449</v>
      </c>
      <c r="M160" s="2" t="s">
        <v>73</v>
      </c>
      <c r="N160" s="2" t="s">
        <v>450</v>
      </c>
      <c r="O160" s="2" t="s">
        <v>3246</v>
      </c>
      <c r="P160" s="2" t="s">
        <v>3333</v>
      </c>
      <c r="Q160" s="2" t="s">
        <v>2035</v>
      </c>
      <c r="R160" s="2" t="s">
        <v>45</v>
      </c>
      <c r="S160" s="2" t="s">
        <v>132</v>
      </c>
      <c r="T160" s="2" t="s">
        <v>38</v>
      </c>
      <c r="U160" s="2" t="s">
        <v>1999</v>
      </c>
      <c r="V160" s="2" t="s">
        <v>2000</v>
      </c>
      <c r="W160" s="2" t="s">
        <v>2035</v>
      </c>
      <c r="X160" s="2" t="s">
        <v>38</v>
      </c>
      <c r="Y160" s="2" t="s">
        <v>284</v>
      </c>
      <c r="Z160" s="2" t="s">
        <v>279</v>
      </c>
      <c r="AA160" s="2" t="s">
        <v>285</v>
      </c>
      <c r="AB160" s="2" t="s">
        <v>38</v>
      </c>
      <c r="AC160" s="2" t="s">
        <v>38</v>
      </c>
      <c r="AD160" s="2" t="s">
        <v>38</v>
      </c>
      <c r="AE160" s="2" t="s">
        <v>38</v>
      </c>
      <c r="AF160" s="2" t="s">
        <v>38</v>
      </c>
      <c r="AG160" s="34">
        <v>46078</v>
      </c>
    </row>
    <row r="161" spans="1:33" ht="180" x14ac:dyDescent="0.25">
      <c r="A161" s="2" t="s">
        <v>451</v>
      </c>
      <c r="B161" s="2" t="s">
        <v>3015</v>
      </c>
      <c r="C161" s="2" t="s">
        <v>38</v>
      </c>
      <c r="D161" s="2" t="s">
        <v>38</v>
      </c>
      <c r="E161" s="2" t="s">
        <v>277</v>
      </c>
      <c r="F161" s="2" t="s">
        <v>62</v>
      </c>
      <c r="G161" s="2" t="s">
        <v>40</v>
      </c>
      <c r="H161" s="2" t="s">
        <v>2642</v>
      </c>
      <c r="I161" s="2" t="s">
        <v>2686</v>
      </c>
      <c r="J161" s="2" t="s">
        <v>2717</v>
      </c>
      <c r="K161" s="2" t="s">
        <v>50</v>
      </c>
      <c r="L161" s="2" t="s">
        <v>452</v>
      </c>
      <c r="M161" s="2" t="s">
        <v>73</v>
      </c>
      <c r="N161" s="2" t="s">
        <v>453</v>
      </c>
      <c r="O161" s="2" t="s">
        <v>3247</v>
      </c>
      <c r="P161" s="2" t="s">
        <v>3333</v>
      </c>
      <c r="Q161" s="2" t="s">
        <v>2035</v>
      </c>
      <c r="R161" s="2" t="s">
        <v>45</v>
      </c>
      <c r="S161" s="2" t="s">
        <v>132</v>
      </c>
      <c r="T161" s="2" t="s">
        <v>38</v>
      </c>
      <c r="U161" s="2" t="s">
        <v>1999</v>
      </c>
      <c r="V161" s="2" t="s">
        <v>2000</v>
      </c>
      <c r="W161" s="2" t="s">
        <v>2035</v>
      </c>
      <c r="X161" s="2" t="s">
        <v>38</v>
      </c>
      <c r="Y161" s="2" t="s">
        <v>2968</v>
      </c>
      <c r="Z161" s="2" t="s">
        <v>279</v>
      </c>
      <c r="AA161" s="2" t="s">
        <v>38</v>
      </c>
      <c r="AB161" s="2" t="s">
        <v>38</v>
      </c>
      <c r="AC161" s="2" t="s">
        <v>38</v>
      </c>
      <c r="AD161" s="2" t="s">
        <v>38</v>
      </c>
      <c r="AE161" s="2" t="s">
        <v>38</v>
      </c>
      <c r="AF161" s="2" t="s">
        <v>38</v>
      </c>
      <c r="AG161" s="34">
        <v>46078</v>
      </c>
    </row>
    <row r="162" spans="1:33" ht="45" x14ac:dyDescent="0.25">
      <c r="A162" s="2" t="s">
        <v>454</v>
      </c>
      <c r="B162" s="2" t="s">
        <v>2718</v>
      </c>
      <c r="C162" s="2" t="s">
        <v>38</v>
      </c>
      <c r="D162" s="2" t="s">
        <v>38</v>
      </c>
      <c r="E162" s="2" t="s">
        <v>277</v>
      </c>
      <c r="F162" s="2" t="s">
        <v>38</v>
      </c>
      <c r="G162" s="2" t="s">
        <v>40</v>
      </c>
      <c r="H162" s="2" t="s">
        <v>2644</v>
      </c>
      <c r="I162" s="2" t="s">
        <v>2688</v>
      </c>
      <c r="J162" s="2" t="s">
        <v>2600</v>
      </c>
      <c r="K162" s="2" t="s">
        <v>41</v>
      </c>
      <c r="L162" s="2" t="s">
        <v>38</v>
      </c>
      <c r="M162" s="2" t="s">
        <v>38</v>
      </c>
      <c r="N162" s="2" t="s">
        <v>38</v>
      </c>
      <c r="O162" s="2" t="s">
        <v>38</v>
      </c>
      <c r="P162" s="2" t="s">
        <v>455</v>
      </c>
      <c r="Q162" s="2" t="s">
        <v>386</v>
      </c>
      <c r="R162" s="2" t="s">
        <v>279</v>
      </c>
      <c r="S162" s="2" t="s">
        <v>387</v>
      </c>
      <c r="T162" s="2" t="s">
        <v>38</v>
      </c>
      <c r="U162" s="2" t="s">
        <v>38</v>
      </c>
      <c r="V162" s="2" t="s">
        <v>38</v>
      </c>
      <c r="W162" s="2" t="s">
        <v>38</v>
      </c>
      <c r="X162" s="2" t="s">
        <v>38</v>
      </c>
      <c r="Y162" s="2" t="s">
        <v>2035</v>
      </c>
      <c r="Z162" s="2" t="s">
        <v>45</v>
      </c>
      <c r="AA162" s="2" t="s">
        <v>132</v>
      </c>
      <c r="AB162" s="2" t="s">
        <v>38</v>
      </c>
      <c r="AC162" s="2" t="s">
        <v>1999</v>
      </c>
      <c r="AD162" s="2" t="s">
        <v>2000</v>
      </c>
      <c r="AE162" s="2" t="s">
        <v>2035</v>
      </c>
      <c r="AF162" s="2" t="s">
        <v>38</v>
      </c>
      <c r="AG162" s="34">
        <v>46078</v>
      </c>
    </row>
    <row r="163" spans="1:33" ht="180" x14ac:dyDescent="0.25">
      <c r="A163" s="2" t="s">
        <v>456</v>
      </c>
      <c r="B163" s="2" t="s">
        <v>2720</v>
      </c>
      <c r="C163" s="2" t="s">
        <v>38</v>
      </c>
      <c r="D163" s="2" t="s">
        <v>38</v>
      </c>
      <c r="E163" s="2" t="s">
        <v>277</v>
      </c>
      <c r="F163" s="2" t="s">
        <v>62</v>
      </c>
      <c r="G163" s="2" t="s">
        <v>40</v>
      </c>
      <c r="H163" s="2" t="s">
        <v>2642</v>
      </c>
      <c r="I163" s="2" t="s">
        <v>2686</v>
      </c>
      <c r="J163" s="2" t="s">
        <v>2717</v>
      </c>
      <c r="K163" s="2" t="s">
        <v>50</v>
      </c>
      <c r="L163" s="2" t="s">
        <v>457</v>
      </c>
      <c r="M163" s="2" t="s">
        <v>73</v>
      </c>
      <c r="N163" s="2" t="s">
        <v>458</v>
      </c>
      <c r="O163" s="2" t="s">
        <v>3248</v>
      </c>
      <c r="P163" s="2" t="s">
        <v>3333</v>
      </c>
      <c r="Q163" s="2" t="s">
        <v>2035</v>
      </c>
      <c r="R163" s="2" t="s">
        <v>45</v>
      </c>
      <c r="S163" s="2" t="s">
        <v>132</v>
      </c>
      <c r="T163" s="2" t="s">
        <v>38</v>
      </c>
      <c r="U163" s="2" t="s">
        <v>1999</v>
      </c>
      <c r="V163" s="2" t="s">
        <v>2000</v>
      </c>
      <c r="W163" s="2" t="s">
        <v>2035</v>
      </c>
      <c r="X163" s="2" t="s">
        <v>38</v>
      </c>
      <c r="Y163" s="2" t="s">
        <v>132</v>
      </c>
      <c r="Z163" s="2" t="s">
        <v>279</v>
      </c>
      <c r="AA163" s="2" t="s">
        <v>285</v>
      </c>
      <c r="AB163" s="2" t="s">
        <v>38</v>
      </c>
      <c r="AC163" s="2" t="s">
        <v>38</v>
      </c>
      <c r="AD163" s="2" t="s">
        <v>38</v>
      </c>
      <c r="AE163" s="2" t="s">
        <v>38</v>
      </c>
      <c r="AF163" s="2" t="s">
        <v>38</v>
      </c>
      <c r="AG163" s="34">
        <v>46078</v>
      </c>
    </row>
    <row r="164" spans="1:33" ht="105" x14ac:dyDescent="0.25">
      <c r="A164" s="2" t="s">
        <v>459</v>
      </c>
      <c r="B164" s="2" t="s">
        <v>3016</v>
      </c>
      <c r="C164" s="2" t="s">
        <v>86</v>
      </c>
      <c r="D164" s="2" t="s">
        <v>95</v>
      </c>
      <c r="E164" s="2" t="s">
        <v>277</v>
      </c>
      <c r="F164" s="2" t="s">
        <v>62</v>
      </c>
      <c r="G164" s="2" t="s">
        <v>40</v>
      </c>
      <c r="H164" s="2" t="s">
        <v>2721</v>
      </c>
      <c r="I164" s="2" t="s">
        <v>67</v>
      </c>
      <c r="J164" s="2" t="s">
        <v>3011</v>
      </c>
      <c r="K164" s="2" t="s">
        <v>50</v>
      </c>
      <c r="L164" s="2" t="s">
        <v>460</v>
      </c>
      <c r="M164" s="2" t="s">
        <v>73</v>
      </c>
      <c r="N164" s="2" t="s">
        <v>461</v>
      </c>
      <c r="O164" s="2" t="s">
        <v>3249</v>
      </c>
      <c r="P164" s="2" t="s">
        <v>3230</v>
      </c>
      <c r="Q164" s="2" t="s">
        <v>2957</v>
      </c>
      <c r="R164" s="2" t="s">
        <v>45</v>
      </c>
      <c r="S164" s="2" t="s">
        <v>38</v>
      </c>
      <c r="T164" s="2" t="s">
        <v>38</v>
      </c>
      <c r="U164" s="2" t="s">
        <v>2047</v>
      </c>
      <c r="V164" s="2" t="s">
        <v>38</v>
      </c>
      <c r="W164" s="2" t="s">
        <v>2957</v>
      </c>
      <c r="X164" s="2" t="s">
        <v>38</v>
      </c>
      <c r="Y164" s="2" t="s">
        <v>462</v>
      </c>
      <c r="Z164" s="2" t="s">
        <v>279</v>
      </c>
      <c r="AA164" s="2" t="s">
        <v>38</v>
      </c>
      <c r="AB164" s="2" t="s">
        <v>38</v>
      </c>
      <c r="AC164" s="2" t="s">
        <v>38</v>
      </c>
      <c r="AD164" s="2" t="s">
        <v>38</v>
      </c>
      <c r="AE164" s="2" t="s">
        <v>38</v>
      </c>
      <c r="AF164" s="2" t="s">
        <v>38</v>
      </c>
      <c r="AG164" s="34">
        <v>46078</v>
      </c>
    </row>
    <row r="165" spans="1:33" ht="90" x14ac:dyDescent="0.25">
      <c r="A165" s="2" t="s">
        <v>463</v>
      </c>
      <c r="B165" s="2" t="s">
        <v>2722</v>
      </c>
      <c r="C165" s="2" t="s">
        <v>38</v>
      </c>
      <c r="D165" s="2" t="s">
        <v>38</v>
      </c>
      <c r="E165" s="2" t="s">
        <v>354</v>
      </c>
      <c r="F165" s="2" t="s">
        <v>49</v>
      </c>
      <c r="G165" s="2" t="s">
        <v>40</v>
      </c>
      <c r="H165" s="2" t="s">
        <v>2721</v>
      </c>
      <c r="I165" s="2" t="s">
        <v>67</v>
      </c>
      <c r="J165" s="2" t="s">
        <v>3011</v>
      </c>
      <c r="K165" s="2" t="s">
        <v>50</v>
      </c>
      <c r="L165" s="2" t="s">
        <v>464</v>
      </c>
      <c r="M165" s="2" t="s">
        <v>51</v>
      </c>
      <c r="N165" s="2" t="s">
        <v>465</v>
      </c>
      <c r="O165" s="2" t="s">
        <v>3330</v>
      </c>
      <c r="P165" s="2" t="s">
        <v>38</v>
      </c>
      <c r="Q165" s="2" t="s">
        <v>2181</v>
      </c>
      <c r="R165" s="2" t="s">
        <v>315</v>
      </c>
      <c r="S165" s="2" t="s">
        <v>38</v>
      </c>
      <c r="T165" s="2" t="s">
        <v>38</v>
      </c>
      <c r="U165" s="2" t="s">
        <v>2047</v>
      </c>
      <c r="V165" s="2" t="s">
        <v>38</v>
      </c>
      <c r="W165" s="2" t="s">
        <v>2957</v>
      </c>
      <c r="X165" s="2" t="s">
        <v>2181</v>
      </c>
      <c r="Y165" s="2" t="s">
        <v>466</v>
      </c>
      <c r="Z165" s="2" t="s">
        <v>279</v>
      </c>
      <c r="AA165" s="2" t="s">
        <v>387</v>
      </c>
      <c r="AB165" s="2" t="s">
        <v>38</v>
      </c>
      <c r="AC165" s="2" t="s">
        <v>38</v>
      </c>
      <c r="AD165" s="2" t="s">
        <v>38</v>
      </c>
      <c r="AE165" s="2" t="s">
        <v>38</v>
      </c>
      <c r="AF165" s="2" t="s">
        <v>38</v>
      </c>
      <c r="AG165" s="34">
        <v>46078</v>
      </c>
    </row>
    <row r="166" spans="1:33" ht="135" x14ac:dyDescent="0.25">
      <c r="A166" s="2" t="s">
        <v>467</v>
      </c>
      <c r="B166" s="2" t="s">
        <v>2723</v>
      </c>
      <c r="C166" s="2" t="s">
        <v>38</v>
      </c>
      <c r="D166" s="2" t="s">
        <v>38</v>
      </c>
      <c r="E166" s="2" t="s">
        <v>354</v>
      </c>
      <c r="F166" s="2" t="s">
        <v>62</v>
      </c>
      <c r="G166" s="2" t="s">
        <v>40</v>
      </c>
      <c r="H166" s="2" t="s">
        <v>2721</v>
      </c>
      <c r="I166" s="2" t="s">
        <v>67</v>
      </c>
      <c r="J166" s="2" t="s">
        <v>3011</v>
      </c>
      <c r="K166" s="2" t="s">
        <v>50</v>
      </c>
      <c r="L166" s="2" t="s">
        <v>469</v>
      </c>
      <c r="M166" s="2" t="s">
        <v>89</v>
      </c>
      <c r="N166" s="2" t="s">
        <v>470</v>
      </c>
      <c r="O166" s="2" t="s">
        <v>3329</v>
      </c>
      <c r="P166" s="2" t="s">
        <v>3328</v>
      </c>
      <c r="Q166" s="2" t="s">
        <v>2177</v>
      </c>
      <c r="R166" s="2" t="s">
        <v>315</v>
      </c>
      <c r="S166" s="2" t="s">
        <v>38</v>
      </c>
      <c r="T166" s="2" t="s">
        <v>38</v>
      </c>
      <c r="U166" s="2" t="s">
        <v>2047</v>
      </c>
      <c r="V166" s="2" t="s">
        <v>38</v>
      </c>
      <c r="W166" s="2" t="s">
        <v>2957</v>
      </c>
      <c r="X166" s="2" t="s">
        <v>2177</v>
      </c>
      <c r="Y166" s="2" t="s">
        <v>471</v>
      </c>
      <c r="Z166" s="2" t="s">
        <v>279</v>
      </c>
      <c r="AA166" s="2" t="s">
        <v>38</v>
      </c>
      <c r="AB166" s="2" t="s">
        <v>38</v>
      </c>
      <c r="AC166" s="2" t="s">
        <v>38</v>
      </c>
      <c r="AD166" s="2" t="s">
        <v>38</v>
      </c>
      <c r="AE166" s="2" t="s">
        <v>38</v>
      </c>
      <c r="AF166" s="2" t="s">
        <v>38</v>
      </c>
      <c r="AG166" s="34">
        <v>46078</v>
      </c>
    </row>
    <row r="167" spans="1:33" ht="210" x14ac:dyDescent="0.25">
      <c r="A167" s="2" t="s">
        <v>472</v>
      </c>
      <c r="B167" s="2" t="s">
        <v>2724</v>
      </c>
      <c r="C167" s="2" t="s">
        <v>38</v>
      </c>
      <c r="D167" s="2" t="s">
        <v>38</v>
      </c>
      <c r="E167" s="2" t="s">
        <v>277</v>
      </c>
      <c r="F167" s="2" t="s">
        <v>38</v>
      </c>
      <c r="G167" s="2" t="s">
        <v>40</v>
      </c>
      <c r="H167" s="2" t="s">
        <v>2644</v>
      </c>
      <c r="I167" s="2" t="s">
        <v>2688</v>
      </c>
      <c r="J167" s="2" t="s">
        <v>2600</v>
      </c>
      <c r="K167" s="2" t="s">
        <v>41</v>
      </c>
      <c r="L167" s="2" t="s">
        <v>473</v>
      </c>
      <c r="M167" s="2" t="s">
        <v>51</v>
      </c>
      <c r="N167" s="2" t="s">
        <v>474</v>
      </c>
      <c r="O167" s="2" t="s">
        <v>38</v>
      </c>
      <c r="P167" s="2" t="s">
        <v>3365</v>
      </c>
      <c r="Q167" s="2" t="s">
        <v>466</v>
      </c>
      <c r="R167" s="2" t="s">
        <v>279</v>
      </c>
      <c r="S167" s="2" t="s">
        <v>387</v>
      </c>
      <c r="T167" s="2" t="s">
        <v>38</v>
      </c>
      <c r="U167" s="2" t="s">
        <v>38</v>
      </c>
      <c r="V167" s="2" t="s">
        <v>38</v>
      </c>
      <c r="W167" s="2" t="s">
        <v>38</v>
      </c>
      <c r="X167" s="2" t="s">
        <v>38</v>
      </c>
      <c r="Y167" s="2" t="s">
        <v>2035</v>
      </c>
      <c r="Z167" s="2" t="s">
        <v>45</v>
      </c>
      <c r="AA167" s="2" t="s">
        <v>132</v>
      </c>
      <c r="AB167" s="2" t="s">
        <v>38</v>
      </c>
      <c r="AC167" s="2" t="s">
        <v>1999</v>
      </c>
      <c r="AD167" s="2" t="s">
        <v>2000</v>
      </c>
      <c r="AE167" s="2" t="s">
        <v>2035</v>
      </c>
      <c r="AF167" s="2" t="s">
        <v>38</v>
      </c>
      <c r="AG167" s="34">
        <v>46078</v>
      </c>
    </row>
    <row r="168" spans="1:33" ht="240" x14ac:dyDescent="0.25">
      <c r="A168" s="2" t="s">
        <v>475</v>
      </c>
      <c r="B168" s="2" t="s">
        <v>2725</v>
      </c>
      <c r="C168" s="2" t="s">
        <v>38</v>
      </c>
      <c r="D168" s="2" t="s">
        <v>38</v>
      </c>
      <c r="E168" s="2" t="s">
        <v>277</v>
      </c>
      <c r="F168" s="2" t="s">
        <v>62</v>
      </c>
      <c r="G168" s="2" t="s">
        <v>40</v>
      </c>
      <c r="H168" s="2" t="s">
        <v>2644</v>
      </c>
      <c r="I168" s="2" t="s">
        <v>2688</v>
      </c>
      <c r="J168" s="2" t="s">
        <v>2600</v>
      </c>
      <c r="K168" s="2" t="s">
        <v>41</v>
      </c>
      <c r="L168" s="2" t="s">
        <v>476</v>
      </c>
      <c r="M168" s="2" t="s">
        <v>89</v>
      </c>
      <c r="N168" s="2" t="s">
        <v>477</v>
      </c>
      <c r="O168" s="2" t="s">
        <v>38</v>
      </c>
      <c r="P168" s="2" t="s">
        <v>3366</v>
      </c>
      <c r="Q168" s="2" t="s">
        <v>471</v>
      </c>
      <c r="R168" s="2" t="s">
        <v>279</v>
      </c>
      <c r="S168" s="2" t="s">
        <v>38</v>
      </c>
      <c r="T168" s="2" t="s">
        <v>38</v>
      </c>
      <c r="U168" s="2" t="s">
        <v>38</v>
      </c>
      <c r="V168" s="2" t="s">
        <v>38</v>
      </c>
      <c r="W168" s="2" t="s">
        <v>38</v>
      </c>
      <c r="X168" s="2" t="s">
        <v>38</v>
      </c>
      <c r="Y168" s="2" t="s">
        <v>2035</v>
      </c>
      <c r="Z168" s="2" t="s">
        <v>45</v>
      </c>
      <c r="AA168" s="2" t="s">
        <v>132</v>
      </c>
      <c r="AB168" s="2" t="s">
        <v>38</v>
      </c>
      <c r="AC168" s="2" t="s">
        <v>1999</v>
      </c>
      <c r="AD168" s="2" t="s">
        <v>2000</v>
      </c>
      <c r="AE168" s="2" t="s">
        <v>2035</v>
      </c>
      <c r="AF168" s="2" t="s">
        <v>38</v>
      </c>
      <c r="AG168" s="34">
        <v>46078</v>
      </c>
    </row>
    <row r="169" spans="1:33" ht="90" x14ac:dyDescent="0.25">
      <c r="A169" s="2" t="s">
        <v>478</v>
      </c>
      <c r="B169" s="2" t="s">
        <v>2726</v>
      </c>
      <c r="C169" s="2" t="s">
        <v>38</v>
      </c>
      <c r="D169" s="2" t="s">
        <v>38</v>
      </c>
      <c r="E169" s="2" t="s">
        <v>312</v>
      </c>
      <c r="F169" s="2" t="s">
        <v>62</v>
      </c>
      <c r="G169" s="2" t="s">
        <v>40</v>
      </c>
      <c r="H169" s="2" t="s">
        <v>2700</v>
      </c>
      <c r="I169" s="2" t="s">
        <v>2701</v>
      </c>
      <c r="J169" s="2" t="s">
        <v>2702</v>
      </c>
      <c r="K169" s="2" t="s">
        <v>50</v>
      </c>
      <c r="L169" s="2" t="s">
        <v>479</v>
      </c>
      <c r="M169" s="2" t="s">
        <v>73</v>
      </c>
      <c r="N169" s="2" t="s">
        <v>480</v>
      </c>
      <c r="O169" s="2" t="s">
        <v>3412</v>
      </c>
      <c r="P169" s="2" t="s">
        <v>3309</v>
      </c>
      <c r="Q169" s="2" t="s">
        <v>2114</v>
      </c>
      <c r="R169" s="2" t="s">
        <v>315</v>
      </c>
      <c r="S169" s="2" t="s">
        <v>38</v>
      </c>
      <c r="T169" s="2" t="s">
        <v>38</v>
      </c>
      <c r="U169" s="2" t="s">
        <v>1999</v>
      </c>
      <c r="V169" s="2" t="s">
        <v>2000</v>
      </c>
      <c r="W169" s="2" t="s">
        <v>1997</v>
      </c>
      <c r="X169" s="2" t="s">
        <v>2114</v>
      </c>
      <c r="Y169" s="2" t="s">
        <v>2150</v>
      </c>
      <c r="Z169" s="2" t="s">
        <v>45</v>
      </c>
      <c r="AA169" s="2" t="s">
        <v>38</v>
      </c>
      <c r="AB169" s="2" t="s">
        <v>60</v>
      </c>
      <c r="AC169" s="2" t="s">
        <v>2128</v>
      </c>
      <c r="AD169" s="2" t="s">
        <v>2129</v>
      </c>
      <c r="AE169" s="2" t="s">
        <v>2150</v>
      </c>
      <c r="AF169" s="2" t="s">
        <v>38</v>
      </c>
      <c r="AG169" s="34">
        <v>46078</v>
      </c>
    </row>
    <row r="170" spans="1:33" ht="240" x14ac:dyDescent="0.25">
      <c r="A170" s="2" t="s">
        <v>481</v>
      </c>
      <c r="B170" s="2" t="s">
        <v>2727</v>
      </c>
      <c r="C170" s="2" t="s">
        <v>86</v>
      </c>
      <c r="D170" s="2" t="s">
        <v>482</v>
      </c>
      <c r="E170" s="2" t="s">
        <v>277</v>
      </c>
      <c r="F170" s="2" t="s">
        <v>62</v>
      </c>
      <c r="G170" s="2" t="s">
        <v>40</v>
      </c>
      <c r="H170" s="2" t="s">
        <v>2642</v>
      </c>
      <c r="I170" s="2" t="s">
        <v>2686</v>
      </c>
      <c r="J170" s="2" t="s">
        <v>2728</v>
      </c>
      <c r="K170" s="2" t="s">
        <v>50</v>
      </c>
      <c r="L170" s="2" t="s">
        <v>483</v>
      </c>
      <c r="M170" s="2" t="s">
        <v>51</v>
      </c>
      <c r="N170" s="2" t="s">
        <v>484</v>
      </c>
      <c r="O170" s="2" t="s">
        <v>3318</v>
      </c>
      <c r="P170" s="2" t="s">
        <v>3317</v>
      </c>
      <c r="Q170" s="2" t="s">
        <v>1997</v>
      </c>
      <c r="R170" s="2" t="s">
        <v>45</v>
      </c>
      <c r="S170" s="2" t="s">
        <v>86</v>
      </c>
      <c r="T170" s="2" t="s">
        <v>38</v>
      </c>
      <c r="U170" s="2" t="s">
        <v>1999</v>
      </c>
      <c r="V170" s="2" t="s">
        <v>2000</v>
      </c>
      <c r="W170" s="2" t="s">
        <v>1997</v>
      </c>
      <c r="X170" s="2" t="s">
        <v>38</v>
      </c>
      <c r="Y170" s="2" t="s">
        <v>284</v>
      </c>
      <c r="Z170" s="2" t="s">
        <v>279</v>
      </c>
      <c r="AA170" s="2" t="s">
        <v>285</v>
      </c>
      <c r="AB170" s="2" t="s">
        <v>38</v>
      </c>
      <c r="AC170" s="2" t="s">
        <v>38</v>
      </c>
      <c r="AD170" s="2" t="s">
        <v>38</v>
      </c>
      <c r="AE170" s="2" t="s">
        <v>38</v>
      </c>
      <c r="AF170" s="2" t="s">
        <v>38</v>
      </c>
      <c r="AG170" s="34">
        <v>46078</v>
      </c>
    </row>
    <row r="171" spans="1:33" ht="255" x14ac:dyDescent="0.25">
      <c r="A171" s="2" t="s">
        <v>485</v>
      </c>
      <c r="B171" s="2" t="s">
        <v>2729</v>
      </c>
      <c r="C171" s="2" t="s">
        <v>86</v>
      </c>
      <c r="D171" s="2" t="s">
        <v>482</v>
      </c>
      <c r="E171" s="2" t="s">
        <v>277</v>
      </c>
      <c r="F171" s="2" t="s">
        <v>62</v>
      </c>
      <c r="G171" s="2" t="s">
        <v>40</v>
      </c>
      <c r="H171" s="2" t="s">
        <v>2642</v>
      </c>
      <c r="I171" s="2" t="s">
        <v>2686</v>
      </c>
      <c r="J171" s="2" t="s">
        <v>2728</v>
      </c>
      <c r="K171" s="2" t="s">
        <v>50</v>
      </c>
      <c r="L171" s="2" t="s">
        <v>486</v>
      </c>
      <c r="M171" s="2" t="s">
        <v>51</v>
      </c>
      <c r="N171" s="2" t="s">
        <v>487</v>
      </c>
      <c r="O171" s="2" t="s">
        <v>3313</v>
      </c>
      <c r="P171" s="2" t="s">
        <v>3312</v>
      </c>
      <c r="Q171" s="2" t="s">
        <v>1997</v>
      </c>
      <c r="R171" s="2" t="s">
        <v>45</v>
      </c>
      <c r="S171" s="2" t="s">
        <v>86</v>
      </c>
      <c r="T171" s="2" t="s">
        <v>38</v>
      </c>
      <c r="U171" s="2" t="s">
        <v>1999</v>
      </c>
      <c r="V171" s="2" t="s">
        <v>2000</v>
      </c>
      <c r="W171" s="2" t="s">
        <v>1997</v>
      </c>
      <c r="X171" s="2" t="s">
        <v>38</v>
      </c>
      <c r="Y171" s="2" t="s">
        <v>132</v>
      </c>
      <c r="Z171" s="2" t="s">
        <v>279</v>
      </c>
      <c r="AA171" s="2" t="s">
        <v>285</v>
      </c>
      <c r="AB171" s="2" t="s">
        <v>38</v>
      </c>
      <c r="AC171" s="2" t="s">
        <v>38</v>
      </c>
      <c r="AD171" s="2" t="s">
        <v>38</v>
      </c>
      <c r="AE171" s="2" t="s">
        <v>38</v>
      </c>
      <c r="AF171" s="2" t="s">
        <v>38</v>
      </c>
      <c r="AG171" s="34">
        <v>46078</v>
      </c>
    </row>
    <row r="172" spans="1:33" ht="60" x14ac:dyDescent="0.25">
      <c r="A172" s="2" t="s">
        <v>488</v>
      </c>
      <c r="B172" s="2" t="s">
        <v>3017</v>
      </c>
      <c r="C172" s="2" t="s">
        <v>86</v>
      </c>
      <c r="D172" s="2" t="s">
        <v>387</v>
      </c>
      <c r="E172" s="2" t="s">
        <v>277</v>
      </c>
      <c r="F172" s="2" t="s">
        <v>38</v>
      </c>
      <c r="G172" s="2" t="s">
        <v>40</v>
      </c>
      <c r="H172" s="2" t="s">
        <v>2642</v>
      </c>
      <c r="I172" s="2" t="s">
        <v>2686</v>
      </c>
      <c r="J172" s="2" t="s">
        <v>2728</v>
      </c>
      <c r="K172" s="2" t="s">
        <v>41</v>
      </c>
      <c r="L172" s="2" t="s">
        <v>38</v>
      </c>
      <c r="M172" s="2" t="s">
        <v>67</v>
      </c>
      <c r="N172" s="2" t="s">
        <v>38</v>
      </c>
      <c r="O172" s="2" t="s">
        <v>38</v>
      </c>
      <c r="P172" s="2" t="s">
        <v>489</v>
      </c>
      <c r="Q172" s="2" t="s">
        <v>1997</v>
      </c>
      <c r="R172" s="2" t="s">
        <v>45</v>
      </c>
      <c r="S172" s="2" t="s">
        <v>86</v>
      </c>
      <c r="T172" s="2" t="s">
        <v>38</v>
      </c>
      <c r="U172" s="2" t="s">
        <v>1999</v>
      </c>
      <c r="V172" s="2" t="s">
        <v>2000</v>
      </c>
      <c r="W172" s="2" t="s">
        <v>1997</v>
      </c>
      <c r="X172" s="2" t="s">
        <v>38</v>
      </c>
      <c r="Y172" s="2" t="s">
        <v>2968</v>
      </c>
      <c r="Z172" s="2" t="s">
        <v>279</v>
      </c>
      <c r="AA172" s="2" t="s">
        <v>38</v>
      </c>
      <c r="AB172" s="2" t="s">
        <v>38</v>
      </c>
      <c r="AC172" s="2" t="s">
        <v>38</v>
      </c>
      <c r="AD172" s="2" t="s">
        <v>38</v>
      </c>
      <c r="AE172" s="2" t="s">
        <v>38</v>
      </c>
      <c r="AF172" s="2" t="s">
        <v>38</v>
      </c>
      <c r="AG172" s="34">
        <v>46078</v>
      </c>
    </row>
    <row r="173" spans="1:33" ht="60" x14ac:dyDescent="0.25">
      <c r="A173" s="2" t="s">
        <v>490</v>
      </c>
      <c r="B173" s="2" t="s">
        <v>2730</v>
      </c>
      <c r="C173" s="2" t="s">
        <v>86</v>
      </c>
      <c r="D173" s="2" t="s">
        <v>387</v>
      </c>
      <c r="E173" s="2" t="s">
        <v>277</v>
      </c>
      <c r="F173" s="2" t="s">
        <v>38</v>
      </c>
      <c r="G173" s="2" t="s">
        <v>40</v>
      </c>
      <c r="H173" s="2" t="s">
        <v>2642</v>
      </c>
      <c r="I173" s="2" t="s">
        <v>2686</v>
      </c>
      <c r="J173" s="2" t="s">
        <v>2728</v>
      </c>
      <c r="K173" s="2" t="s">
        <v>41</v>
      </c>
      <c r="L173" s="2" t="s">
        <v>38</v>
      </c>
      <c r="M173" s="2" t="s">
        <v>67</v>
      </c>
      <c r="N173" s="2" t="s">
        <v>38</v>
      </c>
      <c r="O173" s="2" t="s">
        <v>38</v>
      </c>
      <c r="P173" s="2" t="s">
        <v>491</v>
      </c>
      <c r="Q173" s="2" t="s">
        <v>1997</v>
      </c>
      <c r="R173" s="2" t="s">
        <v>45</v>
      </c>
      <c r="S173" s="2" t="s">
        <v>86</v>
      </c>
      <c r="T173" s="2" t="s">
        <v>38</v>
      </c>
      <c r="U173" s="2" t="s">
        <v>1999</v>
      </c>
      <c r="V173" s="2" t="s">
        <v>2000</v>
      </c>
      <c r="W173" s="2" t="s">
        <v>1997</v>
      </c>
      <c r="X173" s="2" t="s">
        <v>38</v>
      </c>
      <c r="Y173" s="2" t="s">
        <v>386</v>
      </c>
      <c r="Z173" s="2" t="s">
        <v>279</v>
      </c>
      <c r="AA173" s="2" t="s">
        <v>387</v>
      </c>
      <c r="AB173" s="2" t="s">
        <v>38</v>
      </c>
      <c r="AC173" s="2" t="s">
        <v>38</v>
      </c>
      <c r="AD173" s="2" t="s">
        <v>38</v>
      </c>
      <c r="AE173" s="2" t="s">
        <v>38</v>
      </c>
      <c r="AF173" s="2" t="s">
        <v>38</v>
      </c>
      <c r="AG173" s="34">
        <v>46078</v>
      </c>
    </row>
    <row r="174" spans="1:33" ht="60" x14ac:dyDescent="0.25">
      <c r="A174" s="2" t="s">
        <v>492</v>
      </c>
      <c r="B174" s="2" t="s">
        <v>2731</v>
      </c>
      <c r="C174" s="2" t="s">
        <v>86</v>
      </c>
      <c r="D174" s="2" t="s">
        <v>387</v>
      </c>
      <c r="E174" s="2" t="s">
        <v>277</v>
      </c>
      <c r="F174" s="2" t="s">
        <v>38</v>
      </c>
      <c r="G174" s="2" t="s">
        <v>40</v>
      </c>
      <c r="H174" s="2" t="s">
        <v>2642</v>
      </c>
      <c r="I174" s="2" t="s">
        <v>2686</v>
      </c>
      <c r="J174" s="2" t="s">
        <v>2728</v>
      </c>
      <c r="K174" s="2" t="s">
        <v>41</v>
      </c>
      <c r="L174" s="2" t="s">
        <v>38</v>
      </c>
      <c r="M174" s="2" t="s">
        <v>67</v>
      </c>
      <c r="N174" s="2" t="s">
        <v>38</v>
      </c>
      <c r="O174" s="2" t="s">
        <v>38</v>
      </c>
      <c r="P174" s="2" t="s">
        <v>493</v>
      </c>
      <c r="Q174" s="2" t="s">
        <v>1997</v>
      </c>
      <c r="R174" s="2" t="s">
        <v>45</v>
      </c>
      <c r="S174" s="2" t="s">
        <v>86</v>
      </c>
      <c r="T174" s="2" t="s">
        <v>38</v>
      </c>
      <c r="U174" s="2" t="s">
        <v>1999</v>
      </c>
      <c r="V174" s="2" t="s">
        <v>2000</v>
      </c>
      <c r="W174" s="2" t="s">
        <v>1997</v>
      </c>
      <c r="X174" s="2" t="s">
        <v>38</v>
      </c>
      <c r="Y174" s="2" t="s">
        <v>466</v>
      </c>
      <c r="Z174" s="2" t="s">
        <v>279</v>
      </c>
      <c r="AA174" s="2" t="s">
        <v>387</v>
      </c>
      <c r="AB174" s="2" t="s">
        <v>38</v>
      </c>
      <c r="AC174" s="2" t="s">
        <v>38</v>
      </c>
      <c r="AD174" s="2" t="s">
        <v>38</v>
      </c>
      <c r="AE174" s="2" t="s">
        <v>38</v>
      </c>
      <c r="AF174" s="2" t="s">
        <v>38</v>
      </c>
      <c r="AG174" s="34">
        <v>46078</v>
      </c>
    </row>
    <row r="175" spans="1:33" ht="180" x14ac:dyDescent="0.25">
      <c r="A175" s="2" t="s">
        <v>494</v>
      </c>
      <c r="B175" s="2" t="s">
        <v>2732</v>
      </c>
      <c r="C175" s="2" t="s">
        <v>38</v>
      </c>
      <c r="D175" s="2" t="s">
        <v>38</v>
      </c>
      <c r="E175" s="2" t="s">
        <v>312</v>
      </c>
      <c r="F175" s="2" t="s">
        <v>62</v>
      </c>
      <c r="G175" s="2" t="s">
        <v>40</v>
      </c>
      <c r="H175" s="2" t="s">
        <v>2511</v>
      </c>
      <c r="I175" s="2" t="s">
        <v>2733</v>
      </c>
      <c r="J175" s="2" t="s">
        <v>2734</v>
      </c>
      <c r="K175" s="2" t="s">
        <v>50</v>
      </c>
      <c r="L175" s="2" t="s">
        <v>495</v>
      </c>
      <c r="M175" s="2" t="s">
        <v>73</v>
      </c>
      <c r="N175" s="2" t="s">
        <v>3272</v>
      </c>
      <c r="O175" s="2" t="s">
        <v>3271</v>
      </c>
      <c r="P175" s="2" t="s">
        <v>3294</v>
      </c>
      <c r="Q175" s="2" t="s">
        <v>2039</v>
      </c>
      <c r="R175" s="2" t="s">
        <v>315</v>
      </c>
      <c r="S175" s="2" t="s">
        <v>38</v>
      </c>
      <c r="T175" s="2" t="s">
        <v>38</v>
      </c>
      <c r="U175" s="2" t="s">
        <v>1999</v>
      </c>
      <c r="V175" s="2" t="s">
        <v>2011</v>
      </c>
      <c r="W175" s="2" t="s">
        <v>2030</v>
      </c>
      <c r="X175" s="2" t="s">
        <v>2039</v>
      </c>
      <c r="Y175" s="2" t="s">
        <v>2435</v>
      </c>
      <c r="Z175" s="2" t="s">
        <v>45</v>
      </c>
      <c r="AA175" s="2" t="s">
        <v>38</v>
      </c>
      <c r="AB175" s="2" t="s">
        <v>38</v>
      </c>
      <c r="AC175" s="2" t="s">
        <v>1999</v>
      </c>
      <c r="AD175" s="2" t="s">
        <v>2055</v>
      </c>
      <c r="AE175" s="2" t="s">
        <v>2435</v>
      </c>
      <c r="AF175" s="2" t="s">
        <v>38</v>
      </c>
      <c r="AG175" s="34">
        <v>46078</v>
      </c>
    </row>
    <row r="176" spans="1:33" ht="105" x14ac:dyDescent="0.25">
      <c r="A176" s="2" t="s">
        <v>496</v>
      </c>
      <c r="B176" s="2" t="s">
        <v>2735</v>
      </c>
      <c r="C176" s="2" t="s">
        <v>38</v>
      </c>
      <c r="D176" s="2" t="s">
        <v>38</v>
      </c>
      <c r="E176" s="2" t="s">
        <v>312</v>
      </c>
      <c r="F176" s="2" t="s">
        <v>62</v>
      </c>
      <c r="G176" s="2" t="s">
        <v>40</v>
      </c>
      <c r="H176" s="2" t="s">
        <v>2511</v>
      </c>
      <c r="I176" s="2" t="s">
        <v>2534</v>
      </c>
      <c r="J176" s="2" t="s">
        <v>2736</v>
      </c>
      <c r="K176" s="2" t="s">
        <v>50</v>
      </c>
      <c r="L176" s="2" t="s">
        <v>497</v>
      </c>
      <c r="M176" s="2" t="s">
        <v>51</v>
      </c>
      <c r="N176" s="2" t="s">
        <v>498</v>
      </c>
      <c r="O176" s="2" t="s">
        <v>3331</v>
      </c>
      <c r="P176" s="2" t="s">
        <v>3230</v>
      </c>
      <c r="Q176" s="2" t="s">
        <v>2111</v>
      </c>
      <c r="R176" s="2" t="s">
        <v>315</v>
      </c>
      <c r="S176" s="2" t="s">
        <v>38</v>
      </c>
      <c r="T176" s="2" t="s">
        <v>38</v>
      </c>
      <c r="U176" s="2" t="s">
        <v>1999</v>
      </c>
      <c r="V176" s="2" t="s">
        <v>2000</v>
      </c>
      <c r="W176" s="2" t="s">
        <v>1997</v>
      </c>
      <c r="X176" s="2" t="s">
        <v>2111</v>
      </c>
      <c r="Y176" s="2" t="s">
        <v>2197</v>
      </c>
      <c r="Z176" s="2" t="s">
        <v>45</v>
      </c>
      <c r="AA176" s="2" t="s">
        <v>38</v>
      </c>
      <c r="AB176" s="2" t="s">
        <v>38</v>
      </c>
      <c r="AC176" s="2" t="s">
        <v>1999</v>
      </c>
      <c r="AD176" s="2" t="s">
        <v>2011</v>
      </c>
      <c r="AE176" s="2" t="s">
        <v>2197</v>
      </c>
      <c r="AF176" s="2" t="s">
        <v>38</v>
      </c>
      <c r="AG176" s="34">
        <v>46078</v>
      </c>
    </row>
    <row r="177" spans="1:33" ht="165" x14ac:dyDescent="0.25">
      <c r="A177" s="2" t="s">
        <v>499</v>
      </c>
      <c r="B177" s="2" t="s">
        <v>2737</v>
      </c>
      <c r="C177" s="2" t="s">
        <v>38</v>
      </c>
      <c r="D177" s="2" t="s">
        <v>38</v>
      </c>
      <c r="E177" s="2" t="s">
        <v>320</v>
      </c>
      <c r="F177" s="2" t="s">
        <v>62</v>
      </c>
      <c r="G177" s="2" t="s">
        <v>40</v>
      </c>
      <c r="H177" s="2" t="s">
        <v>2700</v>
      </c>
      <c r="I177" s="2" t="s">
        <v>2701</v>
      </c>
      <c r="J177" s="2" t="s">
        <v>2702</v>
      </c>
      <c r="K177" s="2" t="s">
        <v>50</v>
      </c>
      <c r="L177" s="2" t="s">
        <v>500</v>
      </c>
      <c r="M177" s="2" t="s">
        <v>89</v>
      </c>
      <c r="N177" s="2" t="s">
        <v>501</v>
      </c>
      <c r="O177" s="2" t="s">
        <v>3310</v>
      </c>
      <c r="P177" s="2" t="s">
        <v>3309</v>
      </c>
      <c r="Q177" s="2" t="s">
        <v>2114</v>
      </c>
      <c r="R177" s="2" t="s">
        <v>315</v>
      </c>
      <c r="S177" s="2" t="s">
        <v>38</v>
      </c>
      <c r="T177" s="2" t="s">
        <v>38</v>
      </c>
      <c r="U177" s="2" t="s">
        <v>1999</v>
      </c>
      <c r="V177" s="2" t="s">
        <v>2000</v>
      </c>
      <c r="W177" s="2" t="s">
        <v>1997</v>
      </c>
      <c r="X177" s="2" t="s">
        <v>2114</v>
      </c>
      <c r="Y177" s="2" t="s">
        <v>2159</v>
      </c>
      <c r="Z177" s="2" t="s">
        <v>315</v>
      </c>
      <c r="AA177" s="2" t="s">
        <v>38</v>
      </c>
      <c r="AB177" s="2" t="s">
        <v>60</v>
      </c>
      <c r="AC177" s="2" t="s">
        <v>2128</v>
      </c>
      <c r="AD177" s="2" t="s">
        <v>2129</v>
      </c>
      <c r="AE177" s="2" t="s">
        <v>2150</v>
      </c>
      <c r="AF177" s="2" t="s">
        <v>2159</v>
      </c>
      <c r="AG177" s="34">
        <v>46078</v>
      </c>
    </row>
    <row r="178" spans="1:33" ht="165" x14ac:dyDescent="0.25">
      <c r="A178" s="2" t="s">
        <v>502</v>
      </c>
      <c r="B178" s="2" t="s">
        <v>2738</v>
      </c>
      <c r="C178" s="2" t="s">
        <v>38</v>
      </c>
      <c r="D178" s="2" t="s">
        <v>38</v>
      </c>
      <c r="E178" s="2" t="s">
        <v>320</v>
      </c>
      <c r="F178" s="2" t="s">
        <v>62</v>
      </c>
      <c r="G178" s="2" t="s">
        <v>40</v>
      </c>
      <c r="H178" s="2" t="s">
        <v>2700</v>
      </c>
      <c r="I178" s="2" t="s">
        <v>2701</v>
      </c>
      <c r="J178" s="2" t="s">
        <v>2702</v>
      </c>
      <c r="K178" s="2" t="s">
        <v>50</v>
      </c>
      <c r="L178" s="2" t="s">
        <v>503</v>
      </c>
      <c r="M178" s="2" t="s">
        <v>89</v>
      </c>
      <c r="N178" s="2" t="s">
        <v>504</v>
      </c>
      <c r="O178" s="2" t="s">
        <v>3299</v>
      </c>
      <c r="P178" s="2" t="s">
        <v>3298</v>
      </c>
      <c r="Q178" s="2" t="s">
        <v>2111</v>
      </c>
      <c r="R178" s="2" t="s">
        <v>315</v>
      </c>
      <c r="S178" s="2" t="s">
        <v>38</v>
      </c>
      <c r="T178" s="2" t="s">
        <v>38</v>
      </c>
      <c r="U178" s="2" t="s">
        <v>1999</v>
      </c>
      <c r="V178" s="2" t="s">
        <v>2000</v>
      </c>
      <c r="W178" s="2" t="s">
        <v>1997</v>
      </c>
      <c r="X178" s="2" t="s">
        <v>2111</v>
      </c>
      <c r="Y178" s="2" t="s">
        <v>2159</v>
      </c>
      <c r="Z178" s="2" t="s">
        <v>315</v>
      </c>
      <c r="AA178" s="2" t="s">
        <v>38</v>
      </c>
      <c r="AB178" s="2" t="s">
        <v>60</v>
      </c>
      <c r="AC178" s="2" t="s">
        <v>2128</v>
      </c>
      <c r="AD178" s="2" t="s">
        <v>2129</v>
      </c>
      <c r="AE178" s="2" t="s">
        <v>2150</v>
      </c>
      <c r="AF178" s="2" t="s">
        <v>2159</v>
      </c>
      <c r="AG178" s="34">
        <v>46078</v>
      </c>
    </row>
    <row r="179" spans="1:33" ht="135" x14ac:dyDescent="0.25">
      <c r="A179" s="2" t="s">
        <v>505</v>
      </c>
      <c r="B179" s="2" t="s">
        <v>2739</v>
      </c>
      <c r="C179" s="2" t="s">
        <v>38</v>
      </c>
      <c r="D179" s="2" t="s">
        <v>38</v>
      </c>
      <c r="E179" s="2" t="s">
        <v>373</v>
      </c>
      <c r="F179" s="2" t="s">
        <v>62</v>
      </c>
      <c r="G179" s="2" t="s">
        <v>40</v>
      </c>
      <c r="H179" s="2" t="s">
        <v>2682</v>
      </c>
      <c r="I179" s="2" t="s">
        <v>67</v>
      </c>
      <c r="J179" s="2" t="s">
        <v>2683</v>
      </c>
      <c r="K179" s="2" t="s">
        <v>50</v>
      </c>
      <c r="L179" s="2" t="s">
        <v>506</v>
      </c>
      <c r="M179" s="2" t="s">
        <v>89</v>
      </c>
      <c r="N179" s="2" t="s">
        <v>507</v>
      </c>
      <c r="O179" s="2" t="s">
        <v>3250</v>
      </c>
      <c r="P179" s="2" t="s">
        <v>38</v>
      </c>
      <c r="Q179" s="2" t="s">
        <v>2174</v>
      </c>
      <c r="R179" s="2" t="s">
        <v>315</v>
      </c>
      <c r="S179" s="2" t="s">
        <v>38</v>
      </c>
      <c r="T179" s="2" t="s">
        <v>38</v>
      </c>
      <c r="U179" s="2" t="s">
        <v>2071</v>
      </c>
      <c r="V179" s="2" t="s">
        <v>38</v>
      </c>
      <c r="W179" s="2" t="s">
        <v>2070</v>
      </c>
      <c r="X179" s="2" t="s">
        <v>2174</v>
      </c>
      <c r="Y179" s="2" t="s">
        <v>2252</v>
      </c>
      <c r="Z179" s="2" t="s">
        <v>180</v>
      </c>
      <c r="AA179" s="2" t="s">
        <v>38</v>
      </c>
      <c r="AB179" s="2" t="s">
        <v>60</v>
      </c>
      <c r="AC179" s="2" t="s">
        <v>2252</v>
      </c>
      <c r="AD179" s="2" t="s">
        <v>38</v>
      </c>
      <c r="AE179" s="2" t="s">
        <v>38</v>
      </c>
      <c r="AF179" s="2" t="s">
        <v>38</v>
      </c>
      <c r="AG179" s="34">
        <v>46078</v>
      </c>
    </row>
    <row r="180" spans="1:33" ht="165" x14ac:dyDescent="0.25">
      <c r="A180" s="2" t="s">
        <v>508</v>
      </c>
      <c r="B180" s="2" t="s">
        <v>2740</v>
      </c>
      <c r="C180" s="2" t="s">
        <v>38</v>
      </c>
      <c r="D180" s="2" t="s">
        <v>38</v>
      </c>
      <c r="E180" s="2" t="s">
        <v>373</v>
      </c>
      <c r="F180" s="2" t="s">
        <v>62</v>
      </c>
      <c r="G180" s="2" t="s">
        <v>40</v>
      </c>
      <c r="H180" s="2" t="s">
        <v>2741</v>
      </c>
      <c r="I180" s="2" t="s">
        <v>67</v>
      </c>
      <c r="J180" s="2" t="s">
        <v>2683</v>
      </c>
      <c r="K180" s="2" t="s">
        <v>50</v>
      </c>
      <c r="L180" s="2" t="s">
        <v>509</v>
      </c>
      <c r="M180" s="2" t="s">
        <v>89</v>
      </c>
      <c r="N180" s="2" t="s">
        <v>510</v>
      </c>
      <c r="O180" s="2" t="s">
        <v>3367</v>
      </c>
      <c r="P180" s="2" t="s">
        <v>38</v>
      </c>
      <c r="Q180" s="2" t="s">
        <v>2171</v>
      </c>
      <c r="R180" s="2" t="s">
        <v>315</v>
      </c>
      <c r="S180" s="2" t="s">
        <v>38</v>
      </c>
      <c r="T180" s="2" t="s">
        <v>38</v>
      </c>
      <c r="U180" s="2" t="s">
        <v>2071</v>
      </c>
      <c r="V180" s="2" t="s">
        <v>38</v>
      </c>
      <c r="W180" s="2" t="s">
        <v>2070</v>
      </c>
      <c r="X180" s="2" t="s">
        <v>2171</v>
      </c>
      <c r="Y180" s="2" t="s">
        <v>2248</v>
      </c>
      <c r="Z180" s="2" t="s">
        <v>180</v>
      </c>
      <c r="AA180" s="2" t="s">
        <v>38</v>
      </c>
      <c r="AB180" s="2" t="s">
        <v>60</v>
      </c>
      <c r="AC180" s="2" t="s">
        <v>2248</v>
      </c>
      <c r="AD180" s="2" t="s">
        <v>38</v>
      </c>
      <c r="AE180" s="2" t="s">
        <v>38</v>
      </c>
      <c r="AF180" s="2" t="s">
        <v>38</v>
      </c>
      <c r="AG180" s="34">
        <v>46078</v>
      </c>
    </row>
    <row r="181" spans="1:33" ht="135" x14ac:dyDescent="0.25">
      <c r="A181" s="2" t="s">
        <v>511</v>
      </c>
      <c r="B181" s="2" t="s">
        <v>2742</v>
      </c>
      <c r="C181" s="2" t="s">
        <v>38</v>
      </c>
      <c r="D181" s="2" t="s">
        <v>38</v>
      </c>
      <c r="E181" s="2" t="s">
        <v>373</v>
      </c>
      <c r="F181" s="2" t="s">
        <v>62</v>
      </c>
      <c r="G181" s="2" t="s">
        <v>40</v>
      </c>
      <c r="H181" s="2" t="s">
        <v>2741</v>
      </c>
      <c r="I181" s="2" t="s">
        <v>67</v>
      </c>
      <c r="J181" s="2" t="s">
        <v>2683</v>
      </c>
      <c r="K181" s="2" t="s">
        <v>50</v>
      </c>
      <c r="L181" s="2" t="s">
        <v>512</v>
      </c>
      <c r="M181" s="2" t="s">
        <v>73</v>
      </c>
      <c r="N181" s="2" t="s">
        <v>513</v>
      </c>
      <c r="O181" s="2" t="s">
        <v>3251</v>
      </c>
      <c r="P181" s="2" t="s">
        <v>3230</v>
      </c>
      <c r="Q181" s="2" t="s">
        <v>2165</v>
      </c>
      <c r="R181" s="2" t="s">
        <v>315</v>
      </c>
      <c r="S181" s="2" t="s">
        <v>38</v>
      </c>
      <c r="T181" s="2" t="s">
        <v>38</v>
      </c>
      <c r="U181" s="2" t="s">
        <v>2071</v>
      </c>
      <c r="V181" s="2" t="s">
        <v>38</v>
      </c>
      <c r="W181" s="2" t="s">
        <v>2070</v>
      </c>
      <c r="X181" s="2" t="s">
        <v>2165</v>
      </c>
      <c r="Y181" s="2" t="s">
        <v>2248</v>
      </c>
      <c r="Z181" s="2" t="s">
        <v>180</v>
      </c>
      <c r="AA181" s="2" t="s">
        <v>38</v>
      </c>
      <c r="AB181" s="2" t="s">
        <v>60</v>
      </c>
      <c r="AC181" s="2" t="s">
        <v>2248</v>
      </c>
      <c r="AD181" s="2" t="s">
        <v>38</v>
      </c>
      <c r="AE181" s="2" t="s">
        <v>38</v>
      </c>
      <c r="AF181" s="2" t="s">
        <v>38</v>
      </c>
      <c r="AG181" s="34">
        <v>46078</v>
      </c>
    </row>
    <row r="182" spans="1:33" ht="120" x14ac:dyDescent="0.25">
      <c r="A182" s="2" t="s">
        <v>514</v>
      </c>
      <c r="B182" s="2" t="s">
        <v>2743</v>
      </c>
      <c r="C182" s="2" t="s">
        <v>38</v>
      </c>
      <c r="D182" s="2" t="s">
        <v>38</v>
      </c>
      <c r="E182" s="2" t="s">
        <v>373</v>
      </c>
      <c r="F182" s="2" t="s">
        <v>62</v>
      </c>
      <c r="G182" s="2" t="s">
        <v>40</v>
      </c>
      <c r="H182" s="2" t="s">
        <v>2859</v>
      </c>
      <c r="I182" s="2" t="s">
        <v>67</v>
      </c>
      <c r="J182" s="2" t="s">
        <v>2557</v>
      </c>
      <c r="K182" s="2" t="s">
        <v>41</v>
      </c>
      <c r="L182" s="2" t="s">
        <v>515</v>
      </c>
      <c r="M182" s="2" t="s">
        <v>89</v>
      </c>
      <c r="N182" s="2" t="s">
        <v>516</v>
      </c>
      <c r="O182" s="2" t="s">
        <v>38</v>
      </c>
      <c r="P182" s="2" t="s">
        <v>2485</v>
      </c>
      <c r="Q182" s="2" t="s">
        <v>2496</v>
      </c>
      <c r="R182" s="2" t="s">
        <v>180</v>
      </c>
      <c r="S182" s="2" t="s">
        <v>38</v>
      </c>
      <c r="T182" s="2" t="s">
        <v>60</v>
      </c>
      <c r="U182" s="2" t="s">
        <v>38</v>
      </c>
      <c r="V182" s="2" t="s">
        <v>38</v>
      </c>
      <c r="W182" s="2" t="s">
        <v>38</v>
      </c>
      <c r="X182" s="2" t="s">
        <v>38</v>
      </c>
      <c r="Y182" s="2" t="s">
        <v>2174</v>
      </c>
      <c r="Z182" s="2" t="s">
        <v>315</v>
      </c>
      <c r="AA182" s="2" t="s">
        <v>38</v>
      </c>
      <c r="AB182" s="2" t="s">
        <v>38</v>
      </c>
      <c r="AC182" s="2" t="s">
        <v>2071</v>
      </c>
      <c r="AD182" s="2" t="s">
        <v>38</v>
      </c>
      <c r="AE182" s="2" t="s">
        <v>2070</v>
      </c>
      <c r="AF182" s="2" t="s">
        <v>2174</v>
      </c>
      <c r="AG182" s="34">
        <v>46078</v>
      </c>
    </row>
    <row r="183" spans="1:33" ht="120" x14ac:dyDescent="0.25">
      <c r="A183" s="2" t="s">
        <v>517</v>
      </c>
      <c r="B183" s="2" t="s">
        <v>2744</v>
      </c>
      <c r="C183" s="2" t="s">
        <v>38</v>
      </c>
      <c r="D183" s="2" t="s">
        <v>38</v>
      </c>
      <c r="E183" s="2" t="s">
        <v>373</v>
      </c>
      <c r="F183" s="2" t="s">
        <v>62</v>
      </c>
      <c r="G183" s="2" t="s">
        <v>40</v>
      </c>
      <c r="H183" s="2" t="s">
        <v>2741</v>
      </c>
      <c r="I183" s="2" t="s">
        <v>67</v>
      </c>
      <c r="J183" s="2" t="s">
        <v>2683</v>
      </c>
      <c r="K183" s="2" t="s">
        <v>50</v>
      </c>
      <c r="L183" s="2" t="s">
        <v>518</v>
      </c>
      <c r="M183" s="2" t="s">
        <v>89</v>
      </c>
      <c r="N183" s="2" t="s">
        <v>519</v>
      </c>
      <c r="O183" s="2" t="s">
        <v>3252</v>
      </c>
      <c r="P183" s="2" t="s">
        <v>38</v>
      </c>
      <c r="Q183" s="2" t="s">
        <v>2174</v>
      </c>
      <c r="R183" s="2" t="s">
        <v>315</v>
      </c>
      <c r="S183" s="2" t="s">
        <v>38</v>
      </c>
      <c r="T183" s="2" t="s">
        <v>38</v>
      </c>
      <c r="U183" s="2" t="s">
        <v>2071</v>
      </c>
      <c r="V183" s="2" t="s">
        <v>38</v>
      </c>
      <c r="W183" s="2" t="s">
        <v>2070</v>
      </c>
      <c r="X183" s="2" t="s">
        <v>2174</v>
      </c>
      <c r="Y183" s="2" t="s">
        <v>2248</v>
      </c>
      <c r="Z183" s="2" t="s">
        <v>180</v>
      </c>
      <c r="AA183" s="2" t="s">
        <v>38</v>
      </c>
      <c r="AB183" s="2" t="s">
        <v>60</v>
      </c>
      <c r="AC183" s="2" t="s">
        <v>2248</v>
      </c>
      <c r="AD183" s="2" t="s">
        <v>38</v>
      </c>
      <c r="AE183" s="2" t="s">
        <v>38</v>
      </c>
      <c r="AF183" s="2" t="s">
        <v>38</v>
      </c>
      <c r="AG183" s="34">
        <v>46078</v>
      </c>
    </row>
    <row r="184" spans="1:33" ht="105" x14ac:dyDescent="0.25">
      <c r="A184" s="2" t="s">
        <v>520</v>
      </c>
      <c r="B184" s="2" t="s">
        <v>2745</v>
      </c>
      <c r="C184" s="2" t="s">
        <v>38</v>
      </c>
      <c r="D184" s="2" t="s">
        <v>38</v>
      </c>
      <c r="E184" s="2" t="s">
        <v>373</v>
      </c>
      <c r="F184" s="2" t="s">
        <v>62</v>
      </c>
      <c r="G184" s="2" t="s">
        <v>40</v>
      </c>
      <c r="H184" s="2" t="s">
        <v>2741</v>
      </c>
      <c r="I184" s="2" t="s">
        <v>67</v>
      </c>
      <c r="J184" s="2" t="s">
        <v>2683</v>
      </c>
      <c r="K184" s="2" t="s">
        <v>50</v>
      </c>
      <c r="L184" s="2" t="s">
        <v>521</v>
      </c>
      <c r="M184" s="2" t="s">
        <v>73</v>
      </c>
      <c r="N184" s="2" t="s">
        <v>522</v>
      </c>
      <c r="O184" s="2" t="s">
        <v>3253</v>
      </c>
      <c r="P184" s="2" t="s">
        <v>38</v>
      </c>
      <c r="Q184" s="2" t="s">
        <v>2168</v>
      </c>
      <c r="R184" s="2" t="s">
        <v>315</v>
      </c>
      <c r="S184" s="2" t="s">
        <v>38</v>
      </c>
      <c r="T184" s="2" t="s">
        <v>38</v>
      </c>
      <c r="U184" s="2" t="s">
        <v>2071</v>
      </c>
      <c r="V184" s="2" t="s">
        <v>38</v>
      </c>
      <c r="W184" s="2" t="s">
        <v>2070</v>
      </c>
      <c r="X184" s="2" t="s">
        <v>2168</v>
      </c>
      <c r="Y184" s="2" t="s">
        <v>2248</v>
      </c>
      <c r="Z184" s="2" t="s">
        <v>180</v>
      </c>
      <c r="AA184" s="2" t="s">
        <v>38</v>
      </c>
      <c r="AB184" s="2" t="s">
        <v>60</v>
      </c>
      <c r="AC184" s="2" t="s">
        <v>2248</v>
      </c>
      <c r="AD184" s="2" t="s">
        <v>38</v>
      </c>
      <c r="AE184" s="2" t="s">
        <v>38</v>
      </c>
      <c r="AF184" s="2" t="s">
        <v>38</v>
      </c>
      <c r="AG184" s="34">
        <v>46078</v>
      </c>
    </row>
    <row r="185" spans="1:33" ht="180" x14ac:dyDescent="0.25">
      <c r="A185" s="2" t="s">
        <v>523</v>
      </c>
      <c r="B185" s="2" t="s">
        <v>2746</v>
      </c>
      <c r="C185" s="2" t="s">
        <v>38</v>
      </c>
      <c r="D185" s="2" t="s">
        <v>38</v>
      </c>
      <c r="E185" s="2" t="s">
        <v>373</v>
      </c>
      <c r="F185" s="2" t="s">
        <v>62</v>
      </c>
      <c r="G185" s="2" t="s">
        <v>40</v>
      </c>
      <c r="H185" s="2" t="s">
        <v>2570</v>
      </c>
      <c r="I185" s="2" t="s">
        <v>67</v>
      </c>
      <c r="J185" s="2" t="s">
        <v>2557</v>
      </c>
      <c r="K185" s="2" t="s">
        <v>50</v>
      </c>
      <c r="L185" s="2" t="s">
        <v>524</v>
      </c>
      <c r="M185" s="2" t="s">
        <v>51</v>
      </c>
      <c r="N185" s="2" t="s">
        <v>525</v>
      </c>
      <c r="O185" s="2" t="s">
        <v>3368</v>
      </c>
      <c r="P185" s="2" t="s">
        <v>38</v>
      </c>
      <c r="Q185" s="2" t="s">
        <v>2252</v>
      </c>
      <c r="R185" s="2" t="s">
        <v>180</v>
      </c>
      <c r="S185" s="2" t="s">
        <v>38</v>
      </c>
      <c r="T185" s="2" t="s">
        <v>60</v>
      </c>
      <c r="U185" s="2" t="s">
        <v>2252</v>
      </c>
      <c r="V185" s="2" t="s">
        <v>38</v>
      </c>
      <c r="W185" s="2" t="s">
        <v>38</v>
      </c>
      <c r="X185" s="2" t="s">
        <v>38</v>
      </c>
      <c r="Y185" s="2" t="s">
        <v>2168</v>
      </c>
      <c r="Z185" s="2" t="s">
        <v>315</v>
      </c>
      <c r="AA185" s="2" t="s">
        <v>38</v>
      </c>
      <c r="AB185" s="2" t="s">
        <v>38</v>
      </c>
      <c r="AC185" s="2" t="s">
        <v>2071</v>
      </c>
      <c r="AD185" s="2" t="s">
        <v>38</v>
      </c>
      <c r="AE185" s="2" t="s">
        <v>2070</v>
      </c>
      <c r="AF185" s="2" t="s">
        <v>2168</v>
      </c>
      <c r="AG185" s="34">
        <v>46078</v>
      </c>
    </row>
    <row r="186" spans="1:33" ht="120" x14ac:dyDescent="0.25">
      <c r="A186" s="2" t="s">
        <v>526</v>
      </c>
      <c r="B186" s="2" t="s">
        <v>2747</v>
      </c>
      <c r="C186" s="2" t="s">
        <v>38</v>
      </c>
      <c r="D186" s="2" t="s">
        <v>38</v>
      </c>
      <c r="E186" s="2" t="s">
        <v>350</v>
      </c>
      <c r="F186" s="2" t="s">
        <v>62</v>
      </c>
      <c r="G186" s="2" t="s">
        <v>40</v>
      </c>
      <c r="H186" s="2" t="s">
        <v>2596</v>
      </c>
      <c r="I186" s="2" t="s">
        <v>2597</v>
      </c>
      <c r="J186" s="2" t="s">
        <v>2557</v>
      </c>
      <c r="K186" s="2" t="s">
        <v>50</v>
      </c>
      <c r="L186" s="2" t="s">
        <v>527</v>
      </c>
      <c r="M186" s="2" t="s">
        <v>73</v>
      </c>
      <c r="N186" s="2" t="s">
        <v>528</v>
      </c>
      <c r="O186" s="2" t="s">
        <v>3369</v>
      </c>
      <c r="P186" s="2" t="s">
        <v>3230</v>
      </c>
      <c r="Q186" s="2" t="s">
        <v>2258</v>
      </c>
      <c r="R186" s="2" t="s">
        <v>59</v>
      </c>
      <c r="S186" s="2" t="s">
        <v>38</v>
      </c>
      <c r="T186" s="2" t="s">
        <v>60</v>
      </c>
      <c r="U186" s="2" t="s">
        <v>2259</v>
      </c>
      <c r="V186" s="2" t="s">
        <v>2258</v>
      </c>
      <c r="W186" s="2" t="s">
        <v>38</v>
      </c>
      <c r="X186" s="2" t="s">
        <v>38</v>
      </c>
      <c r="Y186" s="2" t="s">
        <v>2168</v>
      </c>
      <c r="Z186" s="2" t="s">
        <v>315</v>
      </c>
      <c r="AA186" s="2" t="s">
        <v>38</v>
      </c>
      <c r="AB186" s="2" t="s">
        <v>38</v>
      </c>
      <c r="AC186" s="2" t="s">
        <v>2071</v>
      </c>
      <c r="AD186" s="2" t="s">
        <v>38</v>
      </c>
      <c r="AE186" s="2" t="s">
        <v>2070</v>
      </c>
      <c r="AF186" s="2" t="s">
        <v>2168</v>
      </c>
      <c r="AG186" s="34">
        <v>46078</v>
      </c>
    </row>
    <row r="187" spans="1:33" ht="90" x14ac:dyDescent="0.25">
      <c r="A187" s="2" t="s">
        <v>529</v>
      </c>
      <c r="B187" s="2" t="s">
        <v>3100</v>
      </c>
      <c r="C187" s="2" t="s">
        <v>38</v>
      </c>
      <c r="D187" s="2" t="s">
        <v>38</v>
      </c>
      <c r="E187" s="2" t="s">
        <v>320</v>
      </c>
      <c r="F187" s="2" t="s">
        <v>62</v>
      </c>
      <c r="G187" s="2" t="s">
        <v>40</v>
      </c>
      <c r="H187" s="2" t="s">
        <v>2748</v>
      </c>
      <c r="I187" s="2" t="s">
        <v>67</v>
      </c>
      <c r="J187" s="2" t="s">
        <v>2749</v>
      </c>
      <c r="K187" s="2" t="s">
        <v>50</v>
      </c>
      <c r="L187" s="2" t="s">
        <v>530</v>
      </c>
      <c r="M187" s="2" t="s">
        <v>73</v>
      </c>
      <c r="N187" s="2" t="s">
        <v>531</v>
      </c>
      <c r="O187" s="2" t="s">
        <v>3254</v>
      </c>
      <c r="P187" s="2" t="s">
        <v>3230</v>
      </c>
      <c r="Q187" s="2" t="s">
        <v>3082</v>
      </c>
      <c r="R187" s="2" t="s">
        <v>315</v>
      </c>
      <c r="S187" s="2" t="s">
        <v>38</v>
      </c>
      <c r="T187" s="2" t="s">
        <v>38</v>
      </c>
      <c r="U187" s="2" t="s">
        <v>2047</v>
      </c>
      <c r="V187" s="2" t="s">
        <v>38</v>
      </c>
      <c r="W187" s="2" t="s">
        <v>2106</v>
      </c>
      <c r="X187" s="2" t="s">
        <v>2146</v>
      </c>
      <c r="Y187" s="2" t="s">
        <v>2165</v>
      </c>
      <c r="Z187" s="2" t="s">
        <v>315</v>
      </c>
      <c r="AA187" s="2" t="s">
        <v>38</v>
      </c>
      <c r="AB187" s="2" t="s">
        <v>38</v>
      </c>
      <c r="AC187" s="2" t="s">
        <v>2071</v>
      </c>
      <c r="AD187" s="2" t="s">
        <v>38</v>
      </c>
      <c r="AE187" s="2" t="s">
        <v>2070</v>
      </c>
      <c r="AF187" s="2" t="s">
        <v>2165</v>
      </c>
      <c r="AG187" s="34">
        <v>46078</v>
      </c>
    </row>
    <row r="188" spans="1:33" ht="90" x14ac:dyDescent="0.25">
      <c r="A188" s="2" t="s">
        <v>532</v>
      </c>
      <c r="B188" s="2" t="s">
        <v>2750</v>
      </c>
      <c r="C188" s="2" t="s">
        <v>38</v>
      </c>
      <c r="D188" s="2" t="s">
        <v>38</v>
      </c>
      <c r="E188" s="2" t="s">
        <v>320</v>
      </c>
      <c r="F188" s="2" t="s">
        <v>62</v>
      </c>
      <c r="G188" s="2" t="s">
        <v>40</v>
      </c>
      <c r="H188" s="2" t="s">
        <v>2748</v>
      </c>
      <c r="I188" s="2" t="s">
        <v>67</v>
      </c>
      <c r="J188" s="2" t="s">
        <v>2749</v>
      </c>
      <c r="K188" s="2" t="s">
        <v>50</v>
      </c>
      <c r="L188" s="2" t="s">
        <v>533</v>
      </c>
      <c r="M188" s="2" t="s">
        <v>73</v>
      </c>
      <c r="N188" s="2" t="s">
        <v>534</v>
      </c>
      <c r="O188" s="2" t="s">
        <v>3255</v>
      </c>
      <c r="P188" s="2" t="s">
        <v>3230</v>
      </c>
      <c r="Q188" s="2" t="s">
        <v>2305</v>
      </c>
      <c r="R188" s="2" t="s">
        <v>315</v>
      </c>
      <c r="S188" s="2" t="s">
        <v>38</v>
      </c>
      <c r="T188" s="2" t="s">
        <v>38</v>
      </c>
      <c r="U188" s="2" t="s">
        <v>2047</v>
      </c>
      <c r="V188" s="2" t="s">
        <v>38</v>
      </c>
      <c r="W188" s="2" t="s">
        <v>2106</v>
      </c>
      <c r="X188" s="2" t="s">
        <v>2305</v>
      </c>
      <c r="Y188" s="2" t="s">
        <v>2165</v>
      </c>
      <c r="Z188" s="2" t="s">
        <v>315</v>
      </c>
      <c r="AA188" s="2" t="s">
        <v>38</v>
      </c>
      <c r="AB188" s="2" t="s">
        <v>38</v>
      </c>
      <c r="AC188" s="2" t="s">
        <v>2071</v>
      </c>
      <c r="AD188" s="2" t="s">
        <v>38</v>
      </c>
      <c r="AE188" s="2" t="s">
        <v>2070</v>
      </c>
      <c r="AF188" s="2" t="s">
        <v>2165</v>
      </c>
      <c r="AG188" s="34">
        <v>46078</v>
      </c>
    </row>
    <row r="189" spans="1:33" ht="60" x14ac:dyDescent="0.25">
      <c r="A189" s="2" t="s">
        <v>535</v>
      </c>
      <c r="B189" s="2" t="s">
        <v>2751</v>
      </c>
      <c r="C189" s="2" t="s">
        <v>38</v>
      </c>
      <c r="D189" s="2" t="s">
        <v>38</v>
      </c>
      <c r="E189" s="2" t="s">
        <v>312</v>
      </c>
      <c r="F189" s="2" t="s">
        <v>38</v>
      </c>
      <c r="G189" s="2" t="s">
        <v>40</v>
      </c>
      <c r="H189" s="2" t="s">
        <v>2525</v>
      </c>
      <c r="I189" s="2" t="s">
        <v>2522</v>
      </c>
      <c r="J189" s="2" t="s">
        <v>2752</v>
      </c>
      <c r="K189" s="2" t="s">
        <v>41</v>
      </c>
      <c r="L189" s="2" t="s">
        <v>38</v>
      </c>
      <c r="M189" s="2" t="s">
        <v>38</v>
      </c>
      <c r="N189" s="2" t="s">
        <v>38</v>
      </c>
      <c r="O189" s="2" t="s">
        <v>38</v>
      </c>
      <c r="P189" s="2" t="s">
        <v>340</v>
      </c>
      <c r="Q189" s="2" t="s">
        <v>2021</v>
      </c>
      <c r="R189" s="2" t="s">
        <v>45</v>
      </c>
      <c r="S189" s="2" t="s">
        <v>46</v>
      </c>
      <c r="T189" s="2" t="s">
        <v>38</v>
      </c>
      <c r="U189" s="2" t="s">
        <v>1999</v>
      </c>
      <c r="V189" s="2" t="s">
        <v>2011</v>
      </c>
      <c r="W189" s="2" t="s">
        <v>2021</v>
      </c>
      <c r="X189" s="2" t="s">
        <v>38</v>
      </c>
      <c r="Y189" s="2" t="s">
        <v>2165</v>
      </c>
      <c r="Z189" s="2" t="s">
        <v>315</v>
      </c>
      <c r="AA189" s="2" t="s">
        <v>38</v>
      </c>
      <c r="AB189" s="2" t="s">
        <v>38</v>
      </c>
      <c r="AC189" s="2" t="s">
        <v>2071</v>
      </c>
      <c r="AD189" s="2" t="s">
        <v>38</v>
      </c>
      <c r="AE189" s="2" t="s">
        <v>2070</v>
      </c>
      <c r="AF189" s="2" t="s">
        <v>2165</v>
      </c>
      <c r="AG189" s="34">
        <v>46078</v>
      </c>
    </row>
    <row r="190" spans="1:33" ht="135" x14ac:dyDescent="0.25">
      <c r="A190" s="2" t="s">
        <v>536</v>
      </c>
      <c r="B190" s="2" t="s">
        <v>3101</v>
      </c>
      <c r="C190" s="2" t="s">
        <v>38</v>
      </c>
      <c r="D190" s="2" t="s">
        <v>38</v>
      </c>
      <c r="E190" s="2" t="s">
        <v>312</v>
      </c>
      <c r="F190" s="2" t="s">
        <v>62</v>
      </c>
      <c r="G190" s="2" t="s">
        <v>40</v>
      </c>
      <c r="H190" s="2" t="s">
        <v>2504</v>
      </c>
      <c r="I190" s="2" t="s">
        <v>2505</v>
      </c>
      <c r="J190" s="2" t="s">
        <v>2753</v>
      </c>
      <c r="K190" s="2" t="s">
        <v>50</v>
      </c>
      <c r="L190" s="2" t="s">
        <v>3278</v>
      </c>
      <c r="M190" s="2" t="s">
        <v>73</v>
      </c>
      <c r="N190" s="2" t="s">
        <v>3175</v>
      </c>
      <c r="O190" s="2" t="s">
        <v>3176</v>
      </c>
      <c r="P190" s="2" t="s">
        <v>3205</v>
      </c>
      <c r="Q190" s="2" t="s">
        <v>3082</v>
      </c>
      <c r="R190" s="2" t="s">
        <v>315</v>
      </c>
      <c r="S190" s="2" t="s">
        <v>38</v>
      </c>
      <c r="T190" s="2" t="s">
        <v>38</v>
      </c>
      <c r="U190" s="2" t="s">
        <v>2047</v>
      </c>
      <c r="V190" s="2" t="s">
        <v>38</v>
      </c>
      <c r="W190" s="2" t="s">
        <v>2106</v>
      </c>
      <c r="X190" s="2" t="s">
        <v>2146</v>
      </c>
      <c r="Y190" s="2" t="s">
        <v>2021</v>
      </c>
      <c r="Z190" s="2" t="s">
        <v>45</v>
      </c>
      <c r="AA190" s="2" t="s">
        <v>46</v>
      </c>
      <c r="AB190" s="2" t="s">
        <v>38</v>
      </c>
      <c r="AC190" s="2" t="s">
        <v>1999</v>
      </c>
      <c r="AD190" s="2" t="s">
        <v>2011</v>
      </c>
      <c r="AE190" s="2" t="s">
        <v>2021</v>
      </c>
      <c r="AF190" s="2" t="s">
        <v>38</v>
      </c>
      <c r="AG190" s="34">
        <v>46078</v>
      </c>
    </row>
    <row r="191" spans="1:33" ht="135" x14ac:dyDescent="0.25">
      <c r="A191" s="2" t="s">
        <v>537</v>
      </c>
      <c r="B191" s="2" t="s">
        <v>3018</v>
      </c>
      <c r="C191" s="2" t="s">
        <v>38</v>
      </c>
      <c r="D191" s="2" t="s">
        <v>38</v>
      </c>
      <c r="E191" s="2" t="s">
        <v>48</v>
      </c>
      <c r="F191" s="2" t="s">
        <v>62</v>
      </c>
      <c r="G191" s="2" t="s">
        <v>40</v>
      </c>
      <c r="H191" s="2" t="s">
        <v>2521</v>
      </c>
      <c r="I191" s="2" t="s">
        <v>2522</v>
      </c>
      <c r="J191" s="2" t="s">
        <v>3018</v>
      </c>
      <c r="K191" s="2" t="s">
        <v>50</v>
      </c>
      <c r="L191" s="2" t="s">
        <v>3115</v>
      </c>
      <c r="M191" s="2" t="s">
        <v>51</v>
      </c>
      <c r="N191" s="2" t="s">
        <v>3116</v>
      </c>
      <c r="O191" s="2" t="s">
        <v>3192</v>
      </c>
      <c r="P191" s="2" t="s">
        <v>2969</v>
      </c>
      <c r="Q191" s="2" t="s">
        <v>2958</v>
      </c>
      <c r="R191" s="2" t="s">
        <v>45</v>
      </c>
      <c r="S191" s="2" t="s">
        <v>38</v>
      </c>
      <c r="T191" s="2" t="s">
        <v>80</v>
      </c>
      <c r="U191" s="2" t="s">
        <v>1999</v>
      </c>
      <c r="V191" s="2" t="s">
        <v>2011</v>
      </c>
      <c r="W191" s="2" t="s">
        <v>2958</v>
      </c>
      <c r="X191" s="2" t="s">
        <v>38</v>
      </c>
      <c r="Y191" s="2" t="s">
        <v>2191</v>
      </c>
      <c r="Z191" s="2" t="s">
        <v>45</v>
      </c>
      <c r="AA191" s="2" t="s">
        <v>38</v>
      </c>
      <c r="AB191" s="2" t="s">
        <v>38</v>
      </c>
      <c r="AC191" s="2" t="s">
        <v>2047</v>
      </c>
      <c r="AD191" s="2" t="s">
        <v>38</v>
      </c>
      <c r="AE191" s="2" t="s">
        <v>2191</v>
      </c>
      <c r="AF191" s="2" t="s">
        <v>38</v>
      </c>
      <c r="AG191" s="34">
        <v>46078</v>
      </c>
    </row>
    <row r="192" spans="1:33" ht="120" x14ac:dyDescent="0.25">
      <c r="A192" s="2" t="s">
        <v>538</v>
      </c>
      <c r="B192" s="2" t="s">
        <v>3102</v>
      </c>
      <c r="C192" s="2" t="s">
        <v>37</v>
      </c>
      <c r="D192" s="2" t="s">
        <v>113</v>
      </c>
      <c r="E192" s="2" t="s">
        <v>312</v>
      </c>
      <c r="F192" s="2" t="s">
        <v>38</v>
      </c>
      <c r="G192" s="2" t="s">
        <v>40</v>
      </c>
      <c r="H192" s="2" t="s">
        <v>2504</v>
      </c>
      <c r="I192" s="2" t="s">
        <v>2505</v>
      </c>
      <c r="J192" s="2" t="s">
        <v>2754</v>
      </c>
      <c r="K192" s="2" t="s">
        <v>41</v>
      </c>
      <c r="L192" s="2" t="s">
        <v>539</v>
      </c>
      <c r="M192" s="2" t="s">
        <v>51</v>
      </c>
      <c r="N192" s="2" t="s">
        <v>540</v>
      </c>
      <c r="O192" s="2" t="s">
        <v>38</v>
      </c>
      <c r="P192" s="2" t="s">
        <v>3207</v>
      </c>
      <c r="Q192" s="2" t="s">
        <v>3093</v>
      </c>
      <c r="R192" s="2" t="s">
        <v>315</v>
      </c>
      <c r="S192" s="2" t="s">
        <v>38</v>
      </c>
      <c r="T192" s="2" t="s">
        <v>38</v>
      </c>
      <c r="U192" s="2" t="s">
        <v>2047</v>
      </c>
      <c r="V192" s="2" t="s">
        <v>38</v>
      </c>
      <c r="W192" s="2" t="s">
        <v>2106</v>
      </c>
      <c r="X192" s="2" t="s">
        <v>2105</v>
      </c>
      <c r="Y192" s="2" t="s">
        <v>2015</v>
      </c>
      <c r="Z192" s="2" t="s">
        <v>45</v>
      </c>
      <c r="AA192" s="2" t="s">
        <v>77</v>
      </c>
      <c r="AB192" s="2" t="s">
        <v>78</v>
      </c>
      <c r="AC192" s="2" t="s">
        <v>1999</v>
      </c>
      <c r="AD192" s="2" t="s">
        <v>2011</v>
      </c>
      <c r="AE192" s="2" t="s">
        <v>2015</v>
      </c>
      <c r="AF192" s="2" t="s">
        <v>38</v>
      </c>
      <c r="AG192" s="34">
        <v>46078</v>
      </c>
    </row>
    <row r="193" spans="1:33" ht="165" x14ac:dyDescent="0.25">
      <c r="A193" s="2" t="s">
        <v>541</v>
      </c>
      <c r="B193" s="2" t="s">
        <v>3103</v>
      </c>
      <c r="C193" s="2" t="s">
        <v>37</v>
      </c>
      <c r="D193" s="2" t="s">
        <v>113</v>
      </c>
      <c r="E193" s="2" t="s">
        <v>312</v>
      </c>
      <c r="F193" s="2" t="s">
        <v>62</v>
      </c>
      <c r="G193" s="2" t="s">
        <v>40</v>
      </c>
      <c r="H193" s="2" t="s">
        <v>2504</v>
      </c>
      <c r="I193" s="2" t="s">
        <v>2505</v>
      </c>
      <c r="J193" s="2" t="s">
        <v>2754</v>
      </c>
      <c r="K193" s="2" t="s">
        <v>50</v>
      </c>
      <c r="L193" s="2" t="s">
        <v>542</v>
      </c>
      <c r="M193" s="2" t="s">
        <v>51</v>
      </c>
      <c r="N193" s="2" t="s">
        <v>543</v>
      </c>
      <c r="O193" s="2" t="s">
        <v>3316</v>
      </c>
      <c r="P193" s="2" t="s">
        <v>3315</v>
      </c>
      <c r="Q193" s="2" t="s">
        <v>3082</v>
      </c>
      <c r="R193" s="2" t="s">
        <v>315</v>
      </c>
      <c r="S193" s="2" t="s">
        <v>38</v>
      </c>
      <c r="T193" s="2" t="s">
        <v>38</v>
      </c>
      <c r="U193" s="2" t="s">
        <v>2047</v>
      </c>
      <c r="V193" s="2" t="s">
        <v>38</v>
      </c>
      <c r="W193" s="2" t="s">
        <v>2106</v>
      </c>
      <c r="X193" s="2" t="s">
        <v>2146</v>
      </c>
      <c r="Y193" s="2" t="s">
        <v>2015</v>
      </c>
      <c r="Z193" s="2" t="s">
        <v>45</v>
      </c>
      <c r="AA193" s="2" t="s">
        <v>77</v>
      </c>
      <c r="AB193" s="2" t="s">
        <v>78</v>
      </c>
      <c r="AC193" s="2" t="s">
        <v>1999</v>
      </c>
      <c r="AD193" s="2" t="s">
        <v>2011</v>
      </c>
      <c r="AE193" s="2" t="s">
        <v>2015</v>
      </c>
      <c r="AF193" s="2" t="s">
        <v>38</v>
      </c>
      <c r="AG193" s="34">
        <v>46078</v>
      </c>
    </row>
    <row r="194" spans="1:33" ht="120" x14ac:dyDescent="0.25">
      <c r="A194" s="2" t="s">
        <v>544</v>
      </c>
      <c r="B194" s="2" t="s">
        <v>2755</v>
      </c>
      <c r="C194" s="2" t="s">
        <v>38</v>
      </c>
      <c r="D194" s="2" t="s">
        <v>38</v>
      </c>
      <c r="E194" s="2" t="s">
        <v>320</v>
      </c>
      <c r="F194" s="2" t="s">
        <v>62</v>
      </c>
      <c r="G194" s="2" t="s">
        <v>40</v>
      </c>
      <c r="H194" s="2" t="s">
        <v>2511</v>
      </c>
      <c r="I194" s="2" t="s">
        <v>2512</v>
      </c>
      <c r="J194" s="2" t="s">
        <v>2526</v>
      </c>
      <c r="K194" s="2" t="s">
        <v>50</v>
      </c>
      <c r="L194" s="2" t="s">
        <v>545</v>
      </c>
      <c r="M194" s="2" t="s">
        <v>73</v>
      </c>
      <c r="N194" s="2" t="s">
        <v>546</v>
      </c>
      <c r="O194" s="2" t="s">
        <v>3815</v>
      </c>
      <c r="P194" s="2" t="s">
        <v>3230</v>
      </c>
      <c r="Q194" s="2" t="s">
        <v>2039</v>
      </c>
      <c r="R194" s="2" t="s">
        <v>315</v>
      </c>
      <c r="S194" s="2" t="s">
        <v>38</v>
      </c>
      <c r="T194" s="2" t="s">
        <v>38</v>
      </c>
      <c r="U194" s="2" t="s">
        <v>1999</v>
      </c>
      <c r="V194" s="2" t="s">
        <v>2011</v>
      </c>
      <c r="W194" s="2" t="s">
        <v>2030</v>
      </c>
      <c r="X194" s="2" t="s">
        <v>2039</v>
      </c>
      <c r="Y194" s="2" t="s">
        <v>2143</v>
      </c>
      <c r="Z194" s="2" t="s">
        <v>315</v>
      </c>
      <c r="AA194" s="2" t="s">
        <v>38</v>
      </c>
      <c r="AB194" s="2" t="s">
        <v>38</v>
      </c>
      <c r="AC194" s="2" t="s">
        <v>1999</v>
      </c>
      <c r="AD194" s="2" t="s">
        <v>2006</v>
      </c>
      <c r="AE194" s="2" t="s">
        <v>2063</v>
      </c>
      <c r="AF194" s="2" t="s">
        <v>2143</v>
      </c>
      <c r="AG194" s="34">
        <v>46078</v>
      </c>
    </row>
    <row r="195" spans="1:33" ht="45" x14ac:dyDescent="0.25">
      <c r="A195" s="2" t="s">
        <v>547</v>
      </c>
      <c r="B195" s="2" t="s">
        <v>2756</v>
      </c>
      <c r="C195" s="2" t="s">
        <v>38</v>
      </c>
      <c r="D195" s="2" t="s">
        <v>38</v>
      </c>
      <c r="E195" s="2" t="s">
        <v>277</v>
      </c>
      <c r="F195" s="2" t="s">
        <v>38</v>
      </c>
      <c r="G195" s="2" t="s">
        <v>40</v>
      </c>
      <c r="H195" s="2" t="s">
        <v>2642</v>
      </c>
      <c r="I195" s="2" t="s">
        <v>2522</v>
      </c>
      <c r="J195" s="2" t="s">
        <v>2757</v>
      </c>
      <c r="K195" s="2" t="s">
        <v>41</v>
      </c>
      <c r="L195" s="2" t="s">
        <v>38</v>
      </c>
      <c r="M195" s="2" t="s">
        <v>38</v>
      </c>
      <c r="N195" s="2" t="s">
        <v>38</v>
      </c>
      <c r="O195" s="2" t="s">
        <v>38</v>
      </c>
      <c r="P195" s="2" t="s">
        <v>84</v>
      </c>
      <c r="Q195" s="2" t="s">
        <v>2021</v>
      </c>
      <c r="R195" s="2" t="s">
        <v>45</v>
      </c>
      <c r="S195" s="2" t="s">
        <v>46</v>
      </c>
      <c r="T195" s="2" t="s">
        <v>38</v>
      </c>
      <c r="U195" s="2" t="s">
        <v>1999</v>
      </c>
      <c r="V195" s="2" t="s">
        <v>2011</v>
      </c>
      <c r="W195" s="2" t="s">
        <v>2021</v>
      </c>
      <c r="X195" s="2" t="s">
        <v>38</v>
      </c>
      <c r="Y195" s="2" t="s">
        <v>284</v>
      </c>
      <c r="Z195" s="2" t="s">
        <v>279</v>
      </c>
      <c r="AA195" s="2" t="s">
        <v>285</v>
      </c>
      <c r="AB195" s="2" t="s">
        <v>38</v>
      </c>
      <c r="AC195" s="2" t="s">
        <v>38</v>
      </c>
      <c r="AD195" s="2" t="s">
        <v>38</v>
      </c>
      <c r="AE195" s="2" t="s">
        <v>38</v>
      </c>
      <c r="AF195" s="2" t="s">
        <v>38</v>
      </c>
      <c r="AG195" s="34">
        <v>46078</v>
      </c>
    </row>
    <row r="196" spans="1:33" ht="45" x14ac:dyDescent="0.25">
      <c r="A196" s="2" t="s">
        <v>548</v>
      </c>
      <c r="B196" s="2" t="s">
        <v>2758</v>
      </c>
      <c r="C196" s="2" t="s">
        <v>38</v>
      </c>
      <c r="D196" s="2" t="s">
        <v>38</v>
      </c>
      <c r="E196" s="2" t="s">
        <v>277</v>
      </c>
      <c r="F196" s="2" t="s">
        <v>38</v>
      </c>
      <c r="G196" s="2" t="s">
        <v>40</v>
      </c>
      <c r="H196" s="2" t="s">
        <v>2642</v>
      </c>
      <c r="I196" s="2" t="s">
        <v>2522</v>
      </c>
      <c r="J196" s="2" t="s">
        <v>2757</v>
      </c>
      <c r="K196" s="2" t="s">
        <v>41</v>
      </c>
      <c r="L196" s="2" t="s">
        <v>38</v>
      </c>
      <c r="M196" s="2" t="s">
        <v>38</v>
      </c>
      <c r="N196" s="2" t="s">
        <v>38</v>
      </c>
      <c r="O196" s="2" t="s">
        <v>38</v>
      </c>
      <c r="P196" s="2" t="s">
        <v>549</v>
      </c>
      <c r="Q196" s="2" t="s">
        <v>2021</v>
      </c>
      <c r="R196" s="2" t="s">
        <v>45</v>
      </c>
      <c r="S196" s="2" t="s">
        <v>46</v>
      </c>
      <c r="T196" s="2" t="s">
        <v>38</v>
      </c>
      <c r="U196" s="2" t="s">
        <v>1999</v>
      </c>
      <c r="V196" s="2" t="s">
        <v>2011</v>
      </c>
      <c r="W196" s="2" t="s">
        <v>2021</v>
      </c>
      <c r="X196" s="2" t="s">
        <v>38</v>
      </c>
      <c r="Y196" s="2" t="s">
        <v>281</v>
      </c>
      <c r="Z196" s="2" t="s">
        <v>279</v>
      </c>
      <c r="AA196" s="2" t="s">
        <v>38</v>
      </c>
      <c r="AB196" s="2" t="s">
        <v>38</v>
      </c>
      <c r="AC196" s="2" t="s">
        <v>38</v>
      </c>
      <c r="AD196" s="2" t="s">
        <v>38</v>
      </c>
      <c r="AE196" s="2" t="s">
        <v>38</v>
      </c>
      <c r="AF196" s="2" t="s">
        <v>38</v>
      </c>
      <c r="AG196" s="34">
        <v>46078</v>
      </c>
    </row>
    <row r="197" spans="1:33" ht="45" x14ac:dyDescent="0.25">
      <c r="A197" s="2" t="s">
        <v>550</v>
      </c>
      <c r="B197" s="2" t="s">
        <v>2759</v>
      </c>
      <c r="C197" s="2" t="s">
        <v>38</v>
      </c>
      <c r="D197" s="2" t="s">
        <v>38</v>
      </c>
      <c r="E197" s="2" t="s">
        <v>277</v>
      </c>
      <c r="F197" s="2" t="s">
        <v>38</v>
      </c>
      <c r="G197" s="2" t="s">
        <v>40</v>
      </c>
      <c r="H197" s="2" t="s">
        <v>2642</v>
      </c>
      <c r="I197" s="2" t="s">
        <v>2522</v>
      </c>
      <c r="J197" s="2" t="s">
        <v>2757</v>
      </c>
      <c r="K197" s="2" t="s">
        <v>41</v>
      </c>
      <c r="L197" s="2" t="s">
        <v>38</v>
      </c>
      <c r="M197" s="2" t="s">
        <v>38</v>
      </c>
      <c r="N197" s="2" t="s">
        <v>38</v>
      </c>
      <c r="O197" s="2" t="s">
        <v>38</v>
      </c>
      <c r="P197" s="2" t="s">
        <v>549</v>
      </c>
      <c r="Q197" s="2" t="s">
        <v>2021</v>
      </c>
      <c r="R197" s="2" t="s">
        <v>45</v>
      </c>
      <c r="S197" s="2" t="s">
        <v>46</v>
      </c>
      <c r="T197" s="2" t="s">
        <v>38</v>
      </c>
      <c r="U197" s="2" t="s">
        <v>1999</v>
      </c>
      <c r="V197" s="2" t="s">
        <v>2011</v>
      </c>
      <c r="W197" s="2" t="s">
        <v>2021</v>
      </c>
      <c r="X197" s="2" t="s">
        <v>38</v>
      </c>
      <c r="Y197" s="2" t="s">
        <v>77</v>
      </c>
      <c r="Z197" s="2" t="s">
        <v>279</v>
      </c>
      <c r="AA197" s="2" t="s">
        <v>38</v>
      </c>
      <c r="AB197" s="2" t="s">
        <v>38</v>
      </c>
      <c r="AC197" s="2" t="s">
        <v>38</v>
      </c>
      <c r="AD197" s="2" t="s">
        <v>38</v>
      </c>
      <c r="AE197" s="2" t="s">
        <v>38</v>
      </c>
      <c r="AF197" s="2" t="s">
        <v>38</v>
      </c>
      <c r="AG197" s="34">
        <v>46078</v>
      </c>
    </row>
    <row r="198" spans="1:33" ht="210" x14ac:dyDescent="0.25">
      <c r="A198" s="2" t="s">
        <v>551</v>
      </c>
      <c r="B198" s="2" t="s">
        <v>2760</v>
      </c>
      <c r="C198" s="2" t="s">
        <v>38</v>
      </c>
      <c r="D198" s="2" t="s">
        <v>38</v>
      </c>
      <c r="E198" s="2" t="s">
        <v>312</v>
      </c>
      <c r="F198" s="2" t="s">
        <v>62</v>
      </c>
      <c r="G198" s="2" t="s">
        <v>40</v>
      </c>
      <c r="H198" s="2" t="s">
        <v>2511</v>
      </c>
      <c r="I198" s="2" t="s">
        <v>2530</v>
      </c>
      <c r="J198" s="2" t="s">
        <v>2667</v>
      </c>
      <c r="K198" s="2" t="s">
        <v>50</v>
      </c>
      <c r="L198" s="2" t="s">
        <v>3185</v>
      </c>
      <c r="M198" s="2" t="s">
        <v>89</v>
      </c>
      <c r="N198" s="2" t="s">
        <v>3186</v>
      </c>
      <c r="O198" s="2" t="s">
        <v>3181</v>
      </c>
      <c r="P198" s="2" t="s">
        <v>3204</v>
      </c>
      <c r="Q198" s="2" t="s">
        <v>2102</v>
      </c>
      <c r="R198" s="2" t="s">
        <v>315</v>
      </c>
      <c r="S198" s="2" t="s">
        <v>38</v>
      </c>
      <c r="T198" s="2" t="s">
        <v>38</v>
      </c>
      <c r="U198" s="2" t="s">
        <v>1999</v>
      </c>
      <c r="V198" s="2" t="s">
        <v>2011</v>
      </c>
      <c r="W198" s="2" t="s">
        <v>2030</v>
      </c>
      <c r="X198" s="2" t="s">
        <v>2102</v>
      </c>
      <c r="Y198" s="2" t="s">
        <v>2021</v>
      </c>
      <c r="Z198" s="2" t="s">
        <v>45</v>
      </c>
      <c r="AA198" s="2" t="s">
        <v>46</v>
      </c>
      <c r="AB198" s="2" t="s">
        <v>38</v>
      </c>
      <c r="AC198" s="2" t="s">
        <v>1999</v>
      </c>
      <c r="AD198" s="2" t="s">
        <v>2011</v>
      </c>
      <c r="AE198" s="2" t="s">
        <v>2021</v>
      </c>
      <c r="AF198" s="2" t="s">
        <v>38</v>
      </c>
      <c r="AG198" s="34">
        <v>46078</v>
      </c>
    </row>
    <row r="199" spans="1:33" ht="45" x14ac:dyDescent="0.25">
      <c r="A199" s="2" t="s">
        <v>552</v>
      </c>
      <c r="B199" s="2" t="s">
        <v>2761</v>
      </c>
      <c r="C199" s="2" t="s">
        <v>38</v>
      </c>
      <c r="D199" s="2" t="s">
        <v>38</v>
      </c>
      <c r="E199" s="2" t="s">
        <v>312</v>
      </c>
      <c r="F199" s="2" t="s">
        <v>38</v>
      </c>
      <c r="G199" s="2" t="s">
        <v>40</v>
      </c>
      <c r="H199" s="2" t="s">
        <v>2511</v>
      </c>
      <c r="I199" s="2" t="s">
        <v>2530</v>
      </c>
      <c r="J199" s="2" t="s">
        <v>2667</v>
      </c>
      <c r="K199" s="2" t="s">
        <v>41</v>
      </c>
      <c r="L199" s="2" t="s">
        <v>38</v>
      </c>
      <c r="M199" s="2" t="s">
        <v>38</v>
      </c>
      <c r="N199" s="2" t="s">
        <v>38</v>
      </c>
      <c r="O199" s="2" t="s">
        <v>38</v>
      </c>
      <c r="P199" s="2" t="s">
        <v>553</v>
      </c>
      <c r="Q199" s="2" t="s">
        <v>2039</v>
      </c>
      <c r="R199" s="2" t="s">
        <v>315</v>
      </c>
      <c r="S199" s="2" t="s">
        <v>38</v>
      </c>
      <c r="T199" s="2" t="s">
        <v>38</v>
      </c>
      <c r="U199" s="2" t="s">
        <v>1999</v>
      </c>
      <c r="V199" s="2" t="s">
        <v>2011</v>
      </c>
      <c r="W199" s="2" t="s">
        <v>2030</v>
      </c>
      <c r="X199" s="2" t="s">
        <v>2039</v>
      </c>
      <c r="Y199" s="2" t="s">
        <v>2021</v>
      </c>
      <c r="Z199" s="2" t="s">
        <v>45</v>
      </c>
      <c r="AA199" s="2" t="s">
        <v>46</v>
      </c>
      <c r="AB199" s="2" t="s">
        <v>38</v>
      </c>
      <c r="AC199" s="2" t="s">
        <v>1999</v>
      </c>
      <c r="AD199" s="2" t="s">
        <v>2011</v>
      </c>
      <c r="AE199" s="2" t="s">
        <v>2021</v>
      </c>
      <c r="AF199" s="2" t="s">
        <v>38</v>
      </c>
      <c r="AG199" s="34">
        <v>46078</v>
      </c>
    </row>
    <row r="200" spans="1:33" ht="135" x14ac:dyDescent="0.25">
      <c r="A200" s="2" t="s">
        <v>554</v>
      </c>
      <c r="B200" s="2" t="s">
        <v>3019</v>
      </c>
      <c r="C200" s="2" t="s">
        <v>46</v>
      </c>
      <c r="D200" s="2" t="s">
        <v>38</v>
      </c>
      <c r="E200" s="2" t="s">
        <v>277</v>
      </c>
      <c r="F200" s="2" t="s">
        <v>62</v>
      </c>
      <c r="G200" s="2" t="s">
        <v>40</v>
      </c>
      <c r="H200" s="2" t="s">
        <v>2642</v>
      </c>
      <c r="I200" s="2" t="s">
        <v>2716</v>
      </c>
      <c r="J200" s="2" t="s">
        <v>2762</v>
      </c>
      <c r="K200" s="2" t="s">
        <v>50</v>
      </c>
      <c r="L200" s="2" t="s">
        <v>555</v>
      </c>
      <c r="M200" s="2" t="s">
        <v>73</v>
      </c>
      <c r="N200" s="2" t="s">
        <v>556</v>
      </c>
      <c r="O200" s="2" t="s">
        <v>3256</v>
      </c>
      <c r="P200" s="2" t="s">
        <v>3230</v>
      </c>
      <c r="Q200" s="2" t="s">
        <v>2063</v>
      </c>
      <c r="R200" s="2" t="s">
        <v>45</v>
      </c>
      <c r="S200" s="2" t="s">
        <v>46</v>
      </c>
      <c r="T200" s="2" t="s">
        <v>38</v>
      </c>
      <c r="U200" s="2" t="s">
        <v>1999</v>
      </c>
      <c r="V200" s="2" t="s">
        <v>2006</v>
      </c>
      <c r="W200" s="2" t="s">
        <v>2063</v>
      </c>
      <c r="X200" s="2" t="s">
        <v>38</v>
      </c>
      <c r="Y200" s="2" t="s">
        <v>2968</v>
      </c>
      <c r="Z200" s="2" t="s">
        <v>279</v>
      </c>
      <c r="AA200" s="2" t="s">
        <v>38</v>
      </c>
      <c r="AB200" s="2" t="s">
        <v>38</v>
      </c>
      <c r="AC200" s="2" t="s">
        <v>38</v>
      </c>
      <c r="AD200" s="2" t="s">
        <v>38</v>
      </c>
      <c r="AE200" s="2" t="s">
        <v>38</v>
      </c>
      <c r="AF200" s="2" t="s">
        <v>38</v>
      </c>
      <c r="AG200" s="34">
        <v>46078</v>
      </c>
    </row>
    <row r="201" spans="1:33" ht="195" x14ac:dyDescent="0.25">
      <c r="A201" s="2" t="s">
        <v>557</v>
      </c>
      <c r="B201" s="2" t="s">
        <v>2763</v>
      </c>
      <c r="C201" s="2" t="s">
        <v>46</v>
      </c>
      <c r="D201" s="2" t="s">
        <v>38</v>
      </c>
      <c r="E201" s="2" t="s">
        <v>277</v>
      </c>
      <c r="F201" s="2" t="s">
        <v>362</v>
      </c>
      <c r="G201" s="2" t="s">
        <v>40</v>
      </c>
      <c r="H201" s="2" t="s">
        <v>2644</v>
      </c>
      <c r="I201" s="2" t="s">
        <v>2719</v>
      </c>
      <c r="J201" s="2" t="s">
        <v>2553</v>
      </c>
      <c r="K201" s="2" t="s">
        <v>50</v>
      </c>
      <c r="L201" s="2" t="s">
        <v>558</v>
      </c>
      <c r="M201" s="2" t="s">
        <v>51</v>
      </c>
      <c r="N201" s="2" t="s">
        <v>559</v>
      </c>
      <c r="O201" s="2" t="s">
        <v>3642</v>
      </c>
      <c r="P201" s="2" t="s">
        <v>38</v>
      </c>
      <c r="Q201" s="2" t="s">
        <v>560</v>
      </c>
      <c r="R201" s="2" t="s">
        <v>279</v>
      </c>
      <c r="S201" s="2" t="s">
        <v>38</v>
      </c>
      <c r="T201" s="2" t="s">
        <v>38</v>
      </c>
      <c r="U201" s="2" t="s">
        <v>38</v>
      </c>
      <c r="V201" s="2" t="s">
        <v>38</v>
      </c>
      <c r="W201" s="2" t="s">
        <v>38</v>
      </c>
      <c r="X201" s="2" t="s">
        <v>38</v>
      </c>
      <c r="Y201" s="2" t="s">
        <v>2063</v>
      </c>
      <c r="Z201" s="2" t="s">
        <v>45</v>
      </c>
      <c r="AA201" s="2" t="s">
        <v>46</v>
      </c>
      <c r="AB201" s="2" t="s">
        <v>38</v>
      </c>
      <c r="AC201" s="2" t="s">
        <v>1999</v>
      </c>
      <c r="AD201" s="2" t="s">
        <v>2006</v>
      </c>
      <c r="AE201" s="2" t="s">
        <v>2063</v>
      </c>
      <c r="AF201" s="2" t="s">
        <v>38</v>
      </c>
      <c r="AG201" s="34">
        <v>46078</v>
      </c>
    </row>
    <row r="202" spans="1:33" ht="150" x14ac:dyDescent="0.25">
      <c r="A202" s="2" t="s">
        <v>561</v>
      </c>
      <c r="B202" s="2" t="s">
        <v>2764</v>
      </c>
      <c r="C202" s="2" t="s">
        <v>38</v>
      </c>
      <c r="D202" s="2" t="s">
        <v>38</v>
      </c>
      <c r="E202" s="2" t="s">
        <v>48</v>
      </c>
      <c r="F202" s="2" t="s">
        <v>164</v>
      </c>
      <c r="G202" s="2" t="s">
        <v>40</v>
      </c>
      <c r="H202" s="2" t="s">
        <v>2563</v>
      </c>
      <c r="I202" s="2" t="s">
        <v>2574</v>
      </c>
      <c r="J202" s="2" t="s">
        <v>2764</v>
      </c>
      <c r="K202" s="2" t="s">
        <v>50</v>
      </c>
      <c r="L202" s="2" t="s">
        <v>2486</v>
      </c>
      <c r="M202" s="2" t="s">
        <v>89</v>
      </c>
      <c r="N202" s="2" t="s">
        <v>562</v>
      </c>
      <c r="O202" s="2" t="s">
        <v>3370</v>
      </c>
      <c r="P202" s="2" t="s">
        <v>3230</v>
      </c>
      <c r="Q202" s="2" t="s">
        <v>2208</v>
      </c>
      <c r="R202" s="2" t="s">
        <v>45</v>
      </c>
      <c r="S202" s="2" t="s">
        <v>38</v>
      </c>
      <c r="T202" s="2" t="s">
        <v>60</v>
      </c>
      <c r="U202" s="2" t="s">
        <v>2118</v>
      </c>
      <c r="V202" s="2" t="s">
        <v>2204</v>
      </c>
      <c r="W202" s="2" t="s">
        <v>2208</v>
      </c>
      <c r="X202" s="2" t="s">
        <v>38</v>
      </c>
      <c r="Y202" s="2" t="s">
        <v>2063</v>
      </c>
      <c r="Z202" s="2" t="s">
        <v>45</v>
      </c>
      <c r="AA202" s="2" t="s">
        <v>46</v>
      </c>
      <c r="AB202" s="2" t="s">
        <v>38</v>
      </c>
      <c r="AC202" s="2" t="s">
        <v>1999</v>
      </c>
      <c r="AD202" s="2" t="s">
        <v>2006</v>
      </c>
      <c r="AE202" s="2" t="s">
        <v>2063</v>
      </c>
      <c r="AF202" s="2" t="s">
        <v>38</v>
      </c>
      <c r="AG202" s="34">
        <v>46078</v>
      </c>
    </row>
    <row r="203" spans="1:33" ht="135" x14ac:dyDescent="0.25">
      <c r="A203" s="2" t="s">
        <v>563</v>
      </c>
      <c r="B203" s="2" t="s">
        <v>2765</v>
      </c>
      <c r="C203" s="2" t="s">
        <v>38</v>
      </c>
      <c r="D203" s="2" t="s">
        <v>38</v>
      </c>
      <c r="E203" s="2" t="s">
        <v>48</v>
      </c>
      <c r="F203" s="2" t="s">
        <v>38</v>
      </c>
      <c r="G203" s="2" t="s">
        <v>40</v>
      </c>
      <c r="H203" s="2" t="s">
        <v>2644</v>
      </c>
      <c r="I203" s="2" t="s">
        <v>2719</v>
      </c>
      <c r="J203" s="2" t="s">
        <v>2553</v>
      </c>
      <c r="K203" s="2" t="s">
        <v>41</v>
      </c>
      <c r="L203" s="2" t="s">
        <v>564</v>
      </c>
      <c r="M203" s="2" t="s">
        <v>73</v>
      </c>
      <c r="N203" s="2" t="s">
        <v>565</v>
      </c>
      <c r="O203" s="2" t="s">
        <v>38</v>
      </c>
      <c r="P203" s="2" t="s">
        <v>2487</v>
      </c>
      <c r="Q203" s="2" t="s">
        <v>2495</v>
      </c>
      <c r="R203" s="2" t="s">
        <v>45</v>
      </c>
      <c r="S203" s="2" t="s">
        <v>38</v>
      </c>
      <c r="T203" s="2" t="s">
        <v>60</v>
      </c>
      <c r="U203" s="2" t="s">
        <v>38</v>
      </c>
      <c r="V203" s="2" t="s">
        <v>38</v>
      </c>
      <c r="W203" s="2" t="s">
        <v>38</v>
      </c>
      <c r="X203" s="2" t="s">
        <v>38</v>
      </c>
      <c r="Y203" s="2" t="s">
        <v>2063</v>
      </c>
      <c r="Z203" s="2" t="s">
        <v>45</v>
      </c>
      <c r="AA203" s="2" t="s">
        <v>46</v>
      </c>
      <c r="AB203" s="2" t="s">
        <v>38</v>
      </c>
      <c r="AC203" s="2" t="s">
        <v>1999</v>
      </c>
      <c r="AD203" s="2" t="s">
        <v>2006</v>
      </c>
      <c r="AE203" s="2" t="s">
        <v>2063</v>
      </c>
      <c r="AF203" s="2" t="s">
        <v>38</v>
      </c>
      <c r="AG203" s="34">
        <v>46078</v>
      </c>
    </row>
    <row r="204" spans="1:33" ht="165" x14ac:dyDescent="0.25">
      <c r="A204" s="2" t="s">
        <v>566</v>
      </c>
      <c r="B204" s="2" t="s">
        <v>2766</v>
      </c>
      <c r="C204" s="2" t="s">
        <v>38</v>
      </c>
      <c r="D204" s="2" t="s">
        <v>38</v>
      </c>
      <c r="E204" s="2" t="s">
        <v>48</v>
      </c>
      <c r="F204" s="2" t="s">
        <v>164</v>
      </c>
      <c r="G204" s="2" t="s">
        <v>40</v>
      </c>
      <c r="H204" s="2" t="s">
        <v>2563</v>
      </c>
      <c r="I204" s="2" t="s">
        <v>2574</v>
      </c>
      <c r="J204" s="2" t="s">
        <v>2766</v>
      </c>
      <c r="K204" s="2" t="s">
        <v>50</v>
      </c>
      <c r="L204" s="2" t="s">
        <v>567</v>
      </c>
      <c r="M204" s="2" t="s">
        <v>73</v>
      </c>
      <c r="N204" s="2" t="s">
        <v>568</v>
      </c>
      <c r="O204" s="2" t="s">
        <v>3371</v>
      </c>
      <c r="P204" s="2" t="s">
        <v>38</v>
      </c>
      <c r="Q204" s="2" t="s">
        <v>2203</v>
      </c>
      <c r="R204" s="2" t="s">
        <v>45</v>
      </c>
      <c r="S204" s="2" t="s">
        <v>38</v>
      </c>
      <c r="T204" s="2" t="s">
        <v>60</v>
      </c>
      <c r="U204" s="2" t="s">
        <v>2118</v>
      </c>
      <c r="V204" s="2" t="s">
        <v>2204</v>
      </c>
      <c r="W204" s="2" t="s">
        <v>2203</v>
      </c>
      <c r="X204" s="2" t="s">
        <v>38</v>
      </c>
      <c r="Y204" s="2" t="s">
        <v>2063</v>
      </c>
      <c r="Z204" s="2" t="s">
        <v>45</v>
      </c>
      <c r="AA204" s="2" t="s">
        <v>46</v>
      </c>
      <c r="AB204" s="2" t="s">
        <v>38</v>
      </c>
      <c r="AC204" s="2" t="s">
        <v>1999</v>
      </c>
      <c r="AD204" s="2" t="s">
        <v>2006</v>
      </c>
      <c r="AE204" s="2" t="s">
        <v>2063</v>
      </c>
      <c r="AF204" s="2" t="s">
        <v>38</v>
      </c>
      <c r="AG204" s="34">
        <v>46078</v>
      </c>
    </row>
    <row r="205" spans="1:33" ht="120" x14ac:dyDescent="0.25">
      <c r="A205" s="2" t="s">
        <v>569</v>
      </c>
      <c r="B205" s="2" t="s">
        <v>2767</v>
      </c>
      <c r="C205" s="2" t="s">
        <v>38</v>
      </c>
      <c r="D205" s="2" t="s">
        <v>38</v>
      </c>
      <c r="E205" s="2" t="s">
        <v>48</v>
      </c>
      <c r="F205" s="2" t="s">
        <v>62</v>
      </c>
      <c r="G205" s="2" t="s">
        <v>40</v>
      </c>
      <c r="H205" s="2" t="s">
        <v>2563</v>
      </c>
      <c r="I205" s="2" t="s">
        <v>2574</v>
      </c>
      <c r="J205" s="2" t="s">
        <v>2767</v>
      </c>
      <c r="K205" s="2" t="s">
        <v>50</v>
      </c>
      <c r="L205" s="2" t="s">
        <v>570</v>
      </c>
      <c r="M205" s="2" t="s">
        <v>51</v>
      </c>
      <c r="N205" s="2" t="s">
        <v>571</v>
      </c>
      <c r="O205" s="2" t="s">
        <v>3372</v>
      </c>
      <c r="P205" s="2" t="s">
        <v>3230</v>
      </c>
      <c r="Q205" s="2" t="s">
        <v>2274</v>
      </c>
      <c r="R205" s="2" t="s">
        <v>45</v>
      </c>
      <c r="S205" s="2" t="s">
        <v>38</v>
      </c>
      <c r="T205" s="2" t="s">
        <v>60</v>
      </c>
      <c r="U205" s="2" t="s">
        <v>2118</v>
      </c>
      <c r="V205" s="2" t="s">
        <v>2204</v>
      </c>
      <c r="W205" s="2" t="s">
        <v>2274</v>
      </c>
      <c r="X205" s="2" t="s">
        <v>38</v>
      </c>
      <c r="Y205" s="2" t="s">
        <v>2063</v>
      </c>
      <c r="Z205" s="2" t="s">
        <v>45</v>
      </c>
      <c r="AA205" s="2" t="s">
        <v>46</v>
      </c>
      <c r="AB205" s="2" t="s">
        <v>38</v>
      </c>
      <c r="AC205" s="2" t="s">
        <v>1999</v>
      </c>
      <c r="AD205" s="2" t="s">
        <v>2006</v>
      </c>
      <c r="AE205" s="2" t="s">
        <v>2063</v>
      </c>
      <c r="AF205" s="2" t="s">
        <v>38</v>
      </c>
      <c r="AG205" s="34">
        <v>46078</v>
      </c>
    </row>
    <row r="206" spans="1:33" ht="120" x14ac:dyDescent="0.25">
      <c r="A206" s="2" t="s">
        <v>572</v>
      </c>
      <c r="B206" s="2" t="s">
        <v>2768</v>
      </c>
      <c r="C206" s="2" t="s">
        <v>38</v>
      </c>
      <c r="D206" s="2" t="s">
        <v>38</v>
      </c>
      <c r="E206" s="2" t="s">
        <v>48</v>
      </c>
      <c r="F206" s="2" t="s">
        <v>164</v>
      </c>
      <c r="G206" s="2" t="s">
        <v>40</v>
      </c>
      <c r="H206" s="2" t="s">
        <v>2563</v>
      </c>
      <c r="I206" s="2" t="s">
        <v>2769</v>
      </c>
      <c r="J206" s="2" t="s">
        <v>2768</v>
      </c>
      <c r="K206" s="2" t="s">
        <v>50</v>
      </c>
      <c r="L206" s="2" t="s">
        <v>573</v>
      </c>
      <c r="M206" s="2" t="s">
        <v>73</v>
      </c>
      <c r="N206" s="2" t="s">
        <v>574</v>
      </c>
      <c r="O206" s="2" t="s">
        <v>3373</v>
      </c>
      <c r="P206" s="2" t="s">
        <v>3230</v>
      </c>
      <c r="Q206" s="2" t="s">
        <v>2211</v>
      </c>
      <c r="R206" s="2" t="s">
        <v>45</v>
      </c>
      <c r="S206" s="2" t="s">
        <v>38</v>
      </c>
      <c r="T206" s="2" t="s">
        <v>60</v>
      </c>
      <c r="U206" s="2" t="s">
        <v>2118</v>
      </c>
      <c r="V206" s="2" t="s">
        <v>2212</v>
      </c>
      <c r="W206" s="2" t="s">
        <v>2211</v>
      </c>
      <c r="X206" s="2" t="s">
        <v>38</v>
      </c>
      <c r="Y206" s="2" t="s">
        <v>2063</v>
      </c>
      <c r="Z206" s="2" t="s">
        <v>45</v>
      </c>
      <c r="AA206" s="2" t="s">
        <v>46</v>
      </c>
      <c r="AB206" s="2" t="s">
        <v>38</v>
      </c>
      <c r="AC206" s="2" t="s">
        <v>1999</v>
      </c>
      <c r="AD206" s="2" t="s">
        <v>2006</v>
      </c>
      <c r="AE206" s="2" t="s">
        <v>2063</v>
      </c>
      <c r="AF206" s="2" t="s">
        <v>38</v>
      </c>
      <c r="AG206" s="34">
        <v>46078</v>
      </c>
    </row>
    <row r="207" spans="1:33" ht="135" x14ac:dyDescent="0.25">
      <c r="A207" s="2" t="s">
        <v>575</v>
      </c>
      <c r="B207" s="2" t="s">
        <v>2770</v>
      </c>
      <c r="C207" s="2" t="s">
        <v>38</v>
      </c>
      <c r="D207" s="2" t="s">
        <v>38</v>
      </c>
      <c r="E207" s="2" t="s">
        <v>48</v>
      </c>
      <c r="F207" s="2" t="s">
        <v>164</v>
      </c>
      <c r="G207" s="2" t="s">
        <v>40</v>
      </c>
      <c r="H207" s="2" t="s">
        <v>2563</v>
      </c>
      <c r="I207" s="2" t="s">
        <v>2576</v>
      </c>
      <c r="J207" s="2" t="s">
        <v>2770</v>
      </c>
      <c r="K207" s="2" t="s">
        <v>50</v>
      </c>
      <c r="L207" s="2" t="s">
        <v>576</v>
      </c>
      <c r="M207" s="2" t="s">
        <v>73</v>
      </c>
      <c r="N207" s="2" t="s">
        <v>577</v>
      </c>
      <c r="O207" s="2" t="s">
        <v>3374</v>
      </c>
      <c r="P207" s="2" t="s">
        <v>3230</v>
      </c>
      <c r="Q207" s="2" t="s">
        <v>2215</v>
      </c>
      <c r="R207" s="2" t="s">
        <v>45</v>
      </c>
      <c r="S207" s="2" t="s">
        <v>38</v>
      </c>
      <c r="T207" s="2" t="s">
        <v>60</v>
      </c>
      <c r="U207" s="2" t="s">
        <v>2118</v>
      </c>
      <c r="V207" s="2" t="s">
        <v>2216</v>
      </c>
      <c r="W207" s="2" t="s">
        <v>2215</v>
      </c>
      <c r="X207" s="2" t="s">
        <v>38</v>
      </c>
      <c r="Y207" s="2" t="s">
        <v>2063</v>
      </c>
      <c r="Z207" s="2" t="s">
        <v>45</v>
      </c>
      <c r="AA207" s="2" t="s">
        <v>46</v>
      </c>
      <c r="AB207" s="2" t="s">
        <v>38</v>
      </c>
      <c r="AC207" s="2" t="s">
        <v>1999</v>
      </c>
      <c r="AD207" s="2" t="s">
        <v>2006</v>
      </c>
      <c r="AE207" s="2" t="s">
        <v>2063</v>
      </c>
      <c r="AF207" s="2" t="s">
        <v>38</v>
      </c>
      <c r="AG207" s="34">
        <v>46078</v>
      </c>
    </row>
    <row r="208" spans="1:33" ht="165" x14ac:dyDescent="0.25">
      <c r="A208" s="2" t="s">
        <v>578</v>
      </c>
      <c r="B208" s="2" t="s">
        <v>2771</v>
      </c>
      <c r="C208" s="2" t="s">
        <v>38</v>
      </c>
      <c r="D208" s="2" t="s">
        <v>38</v>
      </c>
      <c r="E208" s="2" t="s">
        <v>48</v>
      </c>
      <c r="F208" s="2" t="s">
        <v>164</v>
      </c>
      <c r="G208" s="2" t="s">
        <v>40</v>
      </c>
      <c r="H208" s="2" t="s">
        <v>2563</v>
      </c>
      <c r="I208" s="2" t="s">
        <v>2564</v>
      </c>
      <c r="J208" s="2" t="s">
        <v>2771</v>
      </c>
      <c r="K208" s="2" t="s">
        <v>50</v>
      </c>
      <c r="L208" s="2" t="s">
        <v>579</v>
      </c>
      <c r="M208" s="2" t="s">
        <v>89</v>
      </c>
      <c r="N208" s="2" t="s">
        <v>580</v>
      </c>
      <c r="O208" s="2" t="s">
        <v>3375</v>
      </c>
      <c r="P208" s="2" t="s">
        <v>3230</v>
      </c>
      <c r="Q208" s="2" t="s">
        <v>2240</v>
      </c>
      <c r="R208" s="2" t="s">
        <v>45</v>
      </c>
      <c r="S208" s="2" t="s">
        <v>38</v>
      </c>
      <c r="T208" s="2" t="s">
        <v>60</v>
      </c>
      <c r="U208" s="2" t="s">
        <v>2118</v>
      </c>
      <c r="V208" s="2" t="s">
        <v>2119</v>
      </c>
      <c r="W208" s="2" t="s">
        <v>2240</v>
      </c>
      <c r="X208" s="2" t="s">
        <v>38</v>
      </c>
      <c r="Y208" s="2" t="s">
        <v>2063</v>
      </c>
      <c r="Z208" s="2" t="s">
        <v>45</v>
      </c>
      <c r="AA208" s="2" t="s">
        <v>46</v>
      </c>
      <c r="AB208" s="2" t="s">
        <v>38</v>
      </c>
      <c r="AC208" s="2" t="s">
        <v>1999</v>
      </c>
      <c r="AD208" s="2" t="s">
        <v>2006</v>
      </c>
      <c r="AE208" s="2" t="s">
        <v>2063</v>
      </c>
      <c r="AF208" s="2" t="s">
        <v>38</v>
      </c>
      <c r="AG208" s="34">
        <v>46078</v>
      </c>
    </row>
    <row r="209" spans="1:33" ht="165" x14ac:dyDescent="0.25">
      <c r="A209" s="2" t="s">
        <v>581</v>
      </c>
      <c r="B209" s="2" t="s">
        <v>2772</v>
      </c>
      <c r="C209" s="2" t="s">
        <v>38</v>
      </c>
      <c r="D209" s="2" t="s">
        <v>38</v>
      </c>
      <c r="E209" s="2" t="s">
        <v>48</v>
      </c>
      <c r="F209" s="2" t="s">
        <v>164</v>
      </c>
      <c r="G209" s="2" t="s">
        <v>40</v>
      </c>
      <c r="H209" s="2" t="s">
        <v>2563</v>
      </c>
      <c r="I209" s="2" t="s">
        <v>2564</v>
      </c>
      <c r="J209" s="2" t="s">
        <v>2772</v>
      </c>
      <c r="K209" s="2" t="s">
        <v>50</v>
      </c>
      <c r="L209" s="2" t="s">
        <v>582</v>
      </c>
      <c r="M209" s="2" t="s">
        <v>89</v>
      </c>
      <c r="N209" s="2" t="s">
        <v>583</v>
      </c>
      <c r="O209" s="2" t="s">
        <v>3376</v>
      </c>
      <c r="P209" s="2" t="s">
        <v>3230</v>
      </c>
      <c r="Q209" s="2" t="s">
        <v>2236</v>
      </c>
      <c r="R209" s="2" t="s">
        <v>45</v>
      </c>
      <c r="S209" s="2" t="s">
        <v>38</v>
      </c>
      <c r="T209" s="2" t="s">
        <v>60</v>
      </c>
      <c r="U209" s="2" t="s">
        <v>2118</v>
      </c>
      <c r="V209" s="2" t="s">
        <v>2119</v>
      </c>
      <c r="W209" s="2" t="s">
        <v>2236</v>
      </c>
      <c r="X209" s="2" t="s">
        <v>38</v>
      </c>
      <c r="Y209" s="2" t="s">
        <v>2063</v>
      </c>
      <c r="Z209" s="2" t="s">
        <v>45</v>
      </c>
      <c r="AA209" s="2" t="s">
        <v>46</v>
      </c>
      <c r="AB209" s="2" t="s">
        <v>38</v>
      </c>
      <c r="AC209" s="2" t="s">
        <v>1999</v>
      </c>
      <c r="AD209" s="2" t="s">
        <v>2006</v>
      </c>
      <c r="AE209" s="2" t="s">
        <v>2063</v>
      </c>
      <c r="AF209" s="2" t="s">
        <v>38</v>
      </c>
      <c r="AG209" s="34">
        <v>46078</v>
      </c>
    </row>
    <row r="210" spans="1:33" ht="195" x14ac:dyDescent="0.25">
      <c r="A210" s="2" t="s">
        <v>584</v>
      </c>
      <c r="B210" s="2" t="s">
        <v>2773</v>
      </c>
      <c r="C210" s="2" t="s">
        <v>38</v>
      </c>
      <c r="D210" s="2" t="s">
        <v>38</v>
      </c>
      <c r="E210" s="2" t="s">
        <v>48</v>
      </c>
      <c r="F210" s="2" t="s">
        <v>164</v>
      </c>
      <c r="G210" s="2" t="s">
        <v>40</v>
      </c>
      <c r="H210" s="2" t="s">
        <v>2563</v>
      </c>
      <c r="I210" s="2" t="s">
        <v>2564</v>
      </c>
      <c r="J210" s="2" t="s">
        <v>2773</v>
      </c>
      <c r="K210" s="2" t="s">
        <v>50</v>
      </c>
      <c r="L210" s="2" t="s">
        <v>585</v>
      </c>
      <c r="M210" s="2" t="s">
        <v>89</v>
      </c>
      <c r="N210" s="2" t="s">
        <v>586</v>
      </c>
      <c r="O210" s="2" t="s">
        <v>3377</v>
      </c>
      <c r="P210" s="2" t="s">
        <v>3230</v>
      </c>
      <c r="Q210" s="2" t="s">
        <v>2123</v>
      </c>
      <c r="R210" s="2" t="s">
        <v>45</v>
      </c>
      <c r="S210" s="2" t="s">
        <v>38</v>
      </c>
      <c r="T210" s="2" t="s">
        <v>60</v>
      </c>
      <c r="U210" s="2" t="s">
        <v>2118</v>
      </c>
      <c r="V210" s="2" t="s">
        <v>2119</v>
      </c>
      <c r="W210" s="2" t="s">
        <v>2123</v>
      </c>
      <c r="X210" s="2" t="s">
        <v>38</v>
      </c>
      <c r="Y210" s="2" t="s">
        <v>2063</v>
      </c>
      <c r="Z210" s="2" t="s">
        <v>45</v>
      </c>
      <c r="AA210" s="2" t="s">
        <v>46</v>
      </c>
      <c r="AB210" s="2" t="s">
        <v>38</v>
      </c>
      <c r="AC210" s="2" t="s">
        <v>1999</v>
      </c>
      <c r="AD210" s="2" t="s">
        <v>2006</v>
      </c>
      <c r="AE210" s="2" t="s">
        <v>2063</v>
      </c>
      <c r="AF210" s="2" t="s">
        <v>38</v>
      </c>
      <c r="AG210" s="34">
        <v>46078</v>
      </c>
    </row>
    <row r="211" spans="1:33" ht="135" x14ac:dyDescent="0.25">
      <c r="A211" s="2" t="s">
        <v>587</v>
      </c>
      <c r="B211" s="2" t="s">
        <v>2774</v>
      </c>
      <c r="C211" s="2" t="s">
        <v>38</v>
      </c>
      <c r="D211" s="2" t="s">
        <v>38</v>
      </c>
      <c r="E211" s="2" t="s">
        <v>48</v>
      </c>
      <c r="F211" s="2" t="s">
        <v>164</v>
      </c>
      <c r="G211" s="2" t="s">
        <v>40</v>
      </c>
      <c r="H211" s="2" t="s">
        <v>2563</v>
      </c>
      <c r="I211" s="2" t="s">
        <v>2564</v>
      </c>
      <c r="J211" s="2" t="s">
        <v>2774</v>
      </c>
      <c r="K211" s="2" t="s">
        <v>50</v>
      </c>
      <c r="L211" s="2" t="s">
        <v>588</v>
      </c>
      <c r="M211" s="2" t="s">
        <v>89</v>
      </c>
      <c r="N211" s="2" t="s">
        <v>589</v>
      </c>
      <c r="O211" s="2" t="s">
        <v>3257</v>
      </c>
      <c r="P211" s="2" t="s">
        <v>3230</v>
      </c>
      <c r="Q211" s="2" t="s">
        <v>2229</v>
      </c>
      <c r="R211" s="2" t="s">
        <v>45</v>
      </c>
      <c r="S211" s="2" t="s">
        <v>38</v>
      </c>
      <c r="T211" s="2" t="s">
        <v>60</v>
      </c>
      <c r="U211" s="2" t="s">
        <v>2118</v>
      </c>
      <c r="V211" s="2" t="s">
        <v>2119</v>
      </c>
      <c r="W211" s="2" t="s">
        <v>2229</v>
      </c>
      <c r="X211" s="2" t="s">
        <v>38</v>
      </c>
      <c r="Y211" s="2" t="s">
        <v>2063</v>
      </c>
      <c r="Z211" s="2" t="s">
        <v>45</v>
      </c>
      <c r="AA211" s="2" t="s">
        <v>46</v>
      </c>
      <c r="AB211" s="2" t="s">
        <v>38</v>
      </c>
      <c r="AC211" s="2" t="s">
        <v>1999</v>
      </c>
      <c r="AD211" s="2" t="s">
        <v>2006</v>
      </c>
      <c r="AE211" s="2" t="s">
        <v>2063</v>
      </c>
      <c r="AF211" s="2" t="s">
        <v>38</v>
      </c>
      <c r="AG211" s="34">
        <v>46078</v>
      </c>
    </row>
    <row r="212" spans="1:33" ht="120" x14ac:dyDescent="0.25">
      <c r="A212" s="2" t="s">
        <v>590</v>
      </c>
      <c r="B212" s="2" t="s">
        <v>2775</v>
      </c>
      <c r="C212" s="2" t="s">
        <v>38</v>
      </c>
      <c r="D212" s="2" t="s">
        <v>38</v>
      </c>
      <c r="E212" s="2" t="s">
        <v>48</v>
      </c>
      <c r="F212" s="2" t="s">
        <v>164</v>
      </c>
      <c r="G212" s="2" t="s">
        <v>40</v>
      </c>
      <c r="H212" s="2" t="s">
        <v>2563</v>
      </c>
      <c r="I212" s="2" t="s">
        <v>2564</v>
      </c>
      <c r="J212" s="2" t="s">
        <v>2775</v>
      </c>
      <c r="K212" s="2" t="s">
        <v>50</v>
      </c>
      <c r="L212" s="2" t="s">
        <v>591</v>
      </c>
      <c r="M212" s="2" t="s">
        <v>89</v>
      </c>
      <c r="N212" s="2" t="s">
        <v>592</v>
      </c>
      <c r="O212" s="2" t="s">
        <v>3258</v>
      </c>
      <c r="P212" s="2" t="s">
        <v>3230</v>
      </c>
      <c r="Q212" s="2" t="s">
        <v>2232</v>
      </c>
      <c r="R212" s="2" t="s">
        <v>45</v>
      </c>
      <c r="S212" s="2" t="s">
        <v>38</v>
      </c>
      <c r="T212" s="2" t="s">
        <v>60</v>
      </c>
      <c r="U212" s="2" t="s">
        <v>2118</v>
      </c>
      <c r="V212" s="2" t="s">
        <v>2119</v>
      </c>
      <c r="W212" s="2" t="s">
        <v>2232</v>
      </c>
      <c r="X212" s="2" t="s">
        <v>38</v>
      </c>
      <c r="Y212" s="2" t="s">
        <v>2063</v>
      </c>
      <c r="Z212" s="2" t="s">
        <v>45</v>
      </c>
      <c r="AA212" s="2" t="s">
        <v>46</v>
      </c>
      <c r="AB212" s="2" t="s">
        <v>38</v>
      </c>
      <c r="AC212" s="2" t="s">
        <v>1999</v>
      </c>
      <c r="AD212" s="2" t="s">
        <v>2006</v>
      </c>
      <c r="AE212" s="2" t="s">
        <v>2063</v>
      </c>
      <c r="AF212" s="2" t="s">
        <v>38</v>
      </c>
      <c r="AG212" s="34">
        <v>46078</v>
      </c>
    </row>
    <row r="213" spans="1:33" ht="195" x14ac:dyDescent="0.25">
      <c r="A213" s="2" t="s">
        <v>593</v>
      </c>
      <c r="B213" s="2" t="s">
        <v>2776</v>
      </c>
      <c r="C213" s="2" t="s">
        <v>38</v>
      </c>
      <c r="D213" s="2" t="s">
        <v>38</v>
      </c>
      <c r="E213" s="2" t="s">
        <v>48</v>
      </c>
      <c r="F213" s="2" t="s">
        <v>164</v>
      </c>
      <c r="G213" s="2" t="s">
        <v>40</v>
      </c>
      <c r="H213" s="2" t="s">
        <v>2563</v>
      </c>
      <c r="I213" s="2" t="s">
        <v>2564</v>
      </c>
      <c r="J213" s="2" t="s">
        <v>2776</v>
      </c>
      <c r="K213" s="2" t="s">
        <v>50</v>
      </c>
      <c r="L213" s="2" t="s">
        <v>594</v>
      </c>
      <c r="M213" s="2" t="s">
        <v>89</v>
      </c>
      <c r="N213" s="2" t="s">
        <v>595</v>
      </c>
      <c r="O213" s="2" t="s">
        <v>3378</v>
      </c>
      <c r="P213" s="2" t="s">
        <v>3230</v>
      </c>
      <c r="Q213" s="2" t="s">
        <v>2117</v>
      </c>
      <c r="R213" s="2" t="s">
        <v>45</v>
      </c>
      <c r="S213" s="2" t="s">
        <v>38</v>
      </c>
      <c r="T213" s="2" t="s">
        <v>60</v>
      </c>
      <c r="U213" s="2" t="s">
        <v>2118</v>
      </c>
      <c r="V213" s="2" t="s">
        <v>2119</v>
      </c>
      <c r="W213" s="2" t="s">
        <v>2117</v>
      </c>
      <c r="X213" s="2" t="s">
        <v>38</v>
      </c>
      <c r="Y213" s="2" t="s">
        <v>2063</v>
      </c>
      <c r="Z213" s="2" t="s">
        <v>45</v>
      </c>
      <c r="AA213" s="2" t="s">
        <v>46</v>
      </c>
      <c r="AB213" s="2" t="s">
        <v>38</v>
      </c>
      <c r="AC213" s="2" t="s">
        <v>1999</v>
      </c>
      <c r="AD213" s="2" t="s">
        <v>2006</v>
      </c>
      <c r="AE213" s="2" t="s">
        <v>2063</v>
      </c>
      <c r="AF213" s="2" t="s">
        <v>38</v>
      </c>
      <c r="AG213" s="34">
        <v>46078</v>
      </c>
    </row>
    <row r="214" spans="1:33" ht="225" x14ac:dyDescent="0.25">
      <c r="A214" s="2" t="s">
        <v>596</v>
      </c>
      <c r="B214" s="2" t="s">
        <v>3020</v>
      </c>
      <c r="C214" s="2" t="s">
        <v>86</v>
      </c>
      <c r="D214" s="2" t="s">
        <v>95</v>
      </c>
      <c r="E214" s="2" t="s">
        <v>48</v>
      </c>
      <c r="F214" s="2" t="s">
        <v>38</v>
      </c>
      <c r="G214" s="2" t="s">
        <v>40</v>
      </c>
      <c r="H214" s="2" t="s">
        <v>2777</v>
      </c>
      <c r="I214" s="2" t="s">
        <v>2556</v>
      </c>
      <c r="J214" s="2" t="s">
        <v>3020</v>
      </c>
      <c r="K214" s="2" t="s">
        <v>50</v>
      </c>
      <c r="L214" s="2" t="s">
        <v>597</v>
      </c>
      <c r="M214" s="2" t="s">
        <v>73</v>
      </c>
      <c r="N214" s="2" t="s">
        <v>598</v>
      </c>
      <c r="O214" s="2" t="s">
        <v>599</v>
      </c>
      <c r="P214" s="2" t="s">
        <v>600</v>
      </c>
      <c r="Q214" s="2" t="s">
        <v>2150</v>
      </c>
      <c r="R214" s="2" t="s">
        <v>45</v>
      </c>
      <c r="S214" s="2" t="s">
        <v>38</v>
      </c>
      <c r="T214" s="2" t="s">
        <v>60</v>
      </c>
      <c r="U214" s="2" t="s">
        <v>2128</v>
      </c>
      <c r="V214" s="2" t="s">
        <v>2129</v>
      </c>
      <c r="W214" s="2" t="s">
        <v>2150</v>
      </c>
      <c r="X214" s="2" t="s">
        <v>38</v>
      </c>
      <c r="Y214" s="2" t="s">
        <v>2957</v>
      </c>
      <c r="Z214" s="2" t="s">
        <v>45</v>
      </c>
      <c r="AA214" s="2" t="s">
        <v>38</v>
      </c>
      <c r="AB214" s="2" t="s">
        <v>38</v>
      </c>
      <c r="AC214" s="2" t="s">
        <v>2047</v>
      </c>
      <c r="AD214" s="2" t="s">
        <v>38</v>
      </c>
      <c r="AE214" s="2" t="s">
        <v>2957</v>
      </c>
      <c r="AF214" s="2" t="s">
        <v>38</v>
      </c>
      <c r="AG214" s="34">
        <v>46078</v>
      </c>
    </row>
    <row r="215" spans="1:33" ht="195" x14ac:dyDescent="0.25">
      <c r="A215" s="2" t="s">
        <v>601</v>
      </c>
      <c r="B215" s="2" t="s">
        <v>3021</v>
      </c>
      <c r="C215" s="2" t="s">
        <v>37</v>
      </c>
      <c r="D215" s="2" t="s">
        <v>46</v>
      </c>
      <c r="E215" s="2" t="s">
        <v>277</v>
      </c>
      <c r="F215" s="2" t="s">
        <v>62</v>
      </c>
      <c r="G215" s="2" t="s">
        <v>40</v>
      </c>
      <c r="H215" s="2" t="s">
        <v>2644</v>
      </c>
      <c r="I215" s="2" t="s">
        <v>2505</v>
      </c>
      <c r="J215" s="2" t="s">
        <v>2778</v>
      </c>
      <c r="K215" s="2" t="s">
        <v>50</v>
      </c>
      <c r="L215" s="2" t="s">
        <v>602</v>
      </c>
      <c r="M215" s="2" t="s">
        <v>89</v>
      </c>
      <c r="N215" s="2" t="s">
        <v>603</v>
      </c>
      <c r="O215" s="2" t="s">
        <v>604</v>
      </c>
      <c r="P215" s="2" t="s">
        <v>3292</v>
      </c>
      <c r="Q215" s="2" t="s">
        <v>2968</v>
      </c>
      <c r="R215" s="2" t="s">
        <v>279</v>
      </c>
      <c r="S215" s="2" t="s">
        <v>38</v>
      </c>
      <c r="T215" s="2" t="s">
        <v>38</v>
      </c>
      <c r="U215" s="2" t="s">
        <v>38</v>
      </c>
      <c r="V215" s="2" t="s">
        <v>38</v>
      </c>
      <c r="W215" s="2" t="s">
        <v>38</v>
      </c>
      <c r="X215" s="2" t="s">
        <v>38</v>
      </c>
      <c r="Y215" s="2" t="s">
        <v>2021</v>
      </c>
      <c r="Z215" s="2" t="s">
        <v>45</v>
      </c>
      <c r="AA215" s="2" t="s">
        <v>46</v>
      </c>
      <c r="AB215" s="2" t="s">
        <v>38</v>
      </c>
      <c r="AC215" s="2" t="s">
        <v>1999</v>
      </c>
      <c r="AD215" s="2" t="s">
        <v>2011</v>
      </c>
      <c r="AE215" s="2" t="s">
        <v>2021</v>
      </c>
      <c r="AF215" s="2" t="s">
        <v>38</v>
      </c>
      <c r="AG215" s="34">
        <v>46078</v>
      </c>
    </row>
    <row r="216" spans="1:33" ht="180" x14ac:dyDescent="0.25">
      <c r="A216" s="2" t="s">
        <v>605</v>
      </c>
      <c r="B216" s="2" t="s">
        <v>2779</v>
      </c>
      <c r="C216" s="2" t="s">
        <v>37</v>
      </c>
      <c r="D216" s="2" t="s">
        <v>120</v>
      </c>
      <c r="E216" s="2" t="s">
        <v>48</v>
      </c>
      <c r="F216" s="2" t="s">
        <v>62</v>
      </c>
      <c r="G216" s="2" t="s">
        <v>40</v>
      </c>
      <c r="H216" s="2" t="s">
        <v>2511</v>
      </c>
      <c r="I216" s="2" t="s">
        <v>2780</v>
      </c>
      <c r="J216" s="2" t="s">
        <v>2779</v>
      </c>
      <c r="K216" s="2" t="s">
        <v>87</v>
      </c>
      <c r="L216" s="2" t="s">
        <v>606</v>
      </c>
      <c r="M216" s="2" t="s">
        <v>73</v>
      </c>
      <c r="N216" s="2" t="s">
        <v>3272</v>
      </c>
      <c r="O216" s="2" t="s">
        <v>3270</v>
      </c>
      <c r="P216" s="2" t="s">
        <v>3294</v>
      </c>
      <c r="Q216" s="2" t="s">
        <v>2435</v>
      </c>
      <c r="R216" s="2" t="s">
        <v>45</v>
      </c>
      <c r="S216" s="2" t="s">
        <v>38</v>
      </c>
      <c r="T216" s="2" t="s">
        <v>38</v>
      </c>
      <c r="U216" s="2" t="s">
        <v>1999</v>
      </c>
      <c r="V216" s="2" t="s">
        <v>2055</v>
      </c>
      <c r="W216" s="2" t="s">
        <v>2435</v>
      </c>
      <c r="X216" s="2" t="s">
        <v>38</v>
      </c>
      <c r="Y216" s="2" t="s">
        <v>2030</v>
      </c>
      <c r="Z216" s="2" t="s">
        <v>45</v>
      </c>
      <c r="AA216" s="2" t="s">
        <v>46</v>
      </c>
      <c r="AB216" s="2" t="s">
        <v>38</v>
      </c>
      <c r="AC216" s="2" t="s">
        <v>1999</v>
      </c>
      <c r="AD216" s="2" t="s">
        <v>2011</v>
      </c>
      <c r="AE216" s="2" t="s">
        <v>2030</v>
      </c>
      <c r="AF216" s="2" t="s">
        <v>38</v>
      </c>
      <c r="AG216" s="34">
        <v>46078</v>
      </c>
    </row>
    <row r="217" spans="1:33" ht="135" x14ac:dyDescent="0.25">
      <c r="A217" s="2" t="s">
        <v>607</v>
      </c>
      <c r="B217" s="2" t="s">
        <v>2781</v>
      </c>
      <c r="C217" s="2" t="s">
        <v>38</v>
      </c>
      <c r="D217" s="2" t="s">
        <v>38</v>
      </c>
      <c r="E217" s="2" t="s">
        <v>312</v>
      </c>
      <c r="F217" s="2" t="s">
        <v>62</v>
      </c>
      <c r="G217" s="2" t="s">
        <v>40</v>
      </c>
      <c r="H217" s="2" t="s">
        <v>2525</v>
      </c>
      <c r="I217" s="2" t="s">
        <v>2522</v>
      </c>
      <c r="J217" s="2" t="s">
        <v>2540</v>
      </c>
      <c r="K217" s="2" t="s">
        <v>50</v>
      </c>
      <c r="L217" s="2" t="s">
        <v>2927</v>
      </c>
      <c r="M217" s="2" t="s">
        <v>51</v>
      </c>
      <c r="N217" s="2" t="s">
        <v>2931</v>
      </c>
      <c r="O217" s="2" t="s">
        <v>3314</v>
      </c>
      <c r="P217" s="2" t="s">
        <v>3230</v>
      </c>
      <c r="Q217" s="2" t="s">
        <v>2010</v>
      </c>
      <c r="R217" s="2" t="s">
        <v>45</v>
      </c>
      <c r="S217" s="2" t="s">
        <v>38</v>
      </c>
      <c r="T217" s="2" t="s">
        <v>53</v>
      </c>
      <c r="U217" s="2" t="s">
        <v>1999</v>
      </c>
      <c r="V217" s="2" t="s">
        <v>2011</v>
      </c>
      <c r="W217" s="2" t="s">
        <v>2010</v>
      </c>
      <c r="X217" s="2" t="s">
        <v>38</v>
      </c>
      <c r="Y217" s="2" t="s">
        <v>2165</v>
      </c>
      <c r="Z217" s="2" t="s">
        <v>315</v>
      </c>
      <c r="AA217" s="2" t="s">
        <v>38</v>
      </c>
      <c r="AB217" s="2" t="s">
        <v>38</v>
      </c>
      <c r="AC217" s="2" t="s">
        <v>2071</v>
      </c>
      <c r="AD217" s="2" t="s">
        <v>38</v>
      </c>
      <c r="AE217" s="2" t="s">
        <v>2070</v>
      </c>
      <c r="AF217" s="2" t="s">
        <v>2165</v>
      </c>
      <c r="AG217" s="34">
        <v>46078</v>
      </c>
    </row>
    <row r="218" spans="1:33" ht="90" x14ac:dyDescent="0.25">
      <c r="A218" s="2" t="s">
        <v>608</v>
      </c>
      <c r="B218" s="2" t="s">
        <v>3104</v>
      </c>
      <c r="C218" s="2" t="s">
        <v>38</v>
      </c>
      <c r="D218" s="2" t="s">
        <v>38</v>
      </c>
      <c r="E218" s="2" t="s">
        <v>312</v>
      </c>
      <c r="F218" s="2" t="s">
        <v>62</v>
      </c>
      <c r="G218" s="2" t="s">
        <v>40</v>
      </c>
      <c r="H218" s="2" t="s">
        <v>2504</v>
      </c>
      <c r="I218" s="2" t="s">
        <v>2505</v>
      </c>
      <c r="J218" s="2" t="s">
        <v>2782</v>
      </c>
      <c r="K218" s="2" t="s">
        <v>50</v>
      </c>
      <c r="L218" s="2" t="s">
        <v>2928</v>
      </c>
      <c r="M218" s="2" t="s">
        <v>73</v>
      </c>
      <c r="N218" s="2" t="s">
        <v>609</v>
      </c>
      <c r="O218" s="2" t="s">
        <v>3259</v>
      </c>
      <c r="P218" s="2" t="s">
        <v>3230</v>
      </c>
      <c r="Q218" s="2" t="s">
        <v>3082</v>
      </c>
      <c r="R218" s="2" t="s">
        <v>315</v>
      </c>
      <c r="S218" s="2" t="s">
        <v>38</v>
      </c>
      <c r="T218" s="2" t="s">
        <v>38</v>
      </c>
      <c r="U218" s="2" t="s">
        <v>2047</v>
      </c>
      <c r="V218" s="2" t="s">
        <v>38</v>
      </c>
      <c r="W218" s="2" t="s">
        <v>2106</v>
      </c>
      <c r="X218" s="2" t="s">
        <v>2146</v>
      </c>
      <c r="Y218" s="2" t="s">
        <v>2010</v>
      </c>
      <c r="Z218" s="2" t="s">
        <v>45</v>
      </c>
      <c r="AA218" s="2" t="s">
        <v>38</v>
      </c>
      <c r="AB218" s="2" t="s">
        <v>53</v>
      </c>
      <c r="AC218" s="2" t="s">
        <v>1999</v>
      </c>
      <c r="AD218" s="2" t="s">
        <v>2011</v>
      </c>
      <c r="AE218" s="2" t="s">
        <v>2010</v>
      </c>
      <c r="AF218" s="2" t="s">
        <v>38</v>
      </c>
      <c r="AG218" s="34">
        <v>46078</v>
      </c>
    </row>
    <row r="219" spans="1:33" ht="105" x14ac:dyDescent="0.25">
      <c r="A219" s="2" t="s">
        <v>610</v>
      </c>
      <c r="B219" s="2" t="s">
        <v>3105</v>
      </c>
      <c r="C219" s="2" t="s">
        <v>38</v>
      </c>
      <c r="D219" s="2" t="s">
        <v>38</v>
      </c>
      <c r="E219" s="2" t="s">
        <v>312</v>
      </c>
      <c r="F219" s="2" t="s">
        <v>38</v>
      </c>
      <c r="G219" s="2" t="s">
        <v>40</v>
      </c>
      <c r="H219" s="2" t="s">
        <v>2504</v>
      </c>
      <c r="I219" s="2" t="s">
        <v>2505</v>
      </c>
      <c r="J219" s="2" t="s">
        <v>2782</v>
      </c>
      <c r="K219" s="2" t="s">
        <v>41</v>
      </c>
      <c r="L219" s="2" t="s">
        <v>2929</v>
      </c>
      <c r="M219" s="2" t="s">
        <v>73</v>
      </c>
      <c r="N219" s="2" t="s">
        <v>611</v>
      </c>
      <c r="O219" s="2" t="s">
        <v>38</v>
      </c>
      <c r="P219" s="2" t="s">
        <v>3196</v>
      </c>
      <c r="Q219" s="2" t="s">
        <v>3093</v>
      </c>
      <c r="R219" s="2" t="s">
        <v>315</v>
      </c>
      <c r="S219" s="2" t="s">
        <v>38</v>
      </c>
      <c r="T219" s="2" t="s">
        <v>38</v>
      </c>
      <c r="U219" s="2" t="s">
        <v>2047</v>
      </c>
      <c r="V219" s="2" t="s">
        <v>38</v>
      </c>
      <c r="W219" s="2" t="s">
        <v>2106</v>
      </c>
      <c r="X219" s="2" t="s">
        <v>2105</v>
      </c>
      <c r="Y219" s="2" t="s">
        <v>2010</v>
      </c>
      <c r="Z219" s="2" t="s">
        <v>45</v>
      </c>
      <c r="AA219" s="2" t="s">
        <v>38</v>
      </c>
      <c r="AB219" s="2" t="s">
        <v>53</v>
      </c>
      <c r="AC219" s="2" t="s">
        <v>1999</v>
      </c>
      <c r="AD219" s="2" t="s">
        <v>2011</v>
      </c>
      <c r="AE219" s="2" t="s">
        <v>2010</v>
      </c>
      <c r="AF219" s="2" t="s">
        <v>38</v>
      </c>
      <c r="AG219" s="34">
        <v>46078</v>
      </c>
    </row>
    <row r="220" spans="1:33" ht="225" x14ac:dyDescent="0.25">
      <c r="A220" s="2" t="s">
        <v>612</v>
      </c>
      <c r="B220" s="2" t="s">
        <v>3106</v>
      </c>
      <c r="C220" s="2" t="s">
        <v>38</v>
      </c>
      <c r="D220" s="2" t="s">
        <v>38</v>
      </c>
      <c r="E220" s="2" t="s">
        <v>312</v>
      </c>
      <c r="F220" s="2" t="s">
        <v>62</v>
      </c>
      <c r="G220" s="2" t="s">
        <v>40</v>
      </c>
      <c r="H220" s="2" t="s">
        <v>2521</v>
      </c>
      <c r="I220" s="2" t="s">
        <v>2522</v>
      </c>
      <c r="J220" s="2" t="s">
        <v>2976</v>
      </c>
      <c r="K220" s="2" t="s">
        <v>50</v>
      </c>
      <c r="L220" s="2" t="s">
        <v>3113</v>
      </c>
      <c r="M220" s="2" t="s">
        <v>51</v>
      </c>
      <c r="N220" s="2" t="s">
        <v>3114</v>
      </c>
      <c r="O220" s="2" t="s">
        <v>3193</v>
      </c>
      <c r="P220" s="2" t="s">
        <v>3208</v>
      </c>
      <c r="Q220" s="2" t="s">
        <v>2958</v>
      </c>
      <c r="R220" s="2" t="s">
        <v>45</v>
      </c>
      <c r="S220" s="2" t="s">
        <v>38</v>
      </c>
      <c r="T220" s="2" t="s">
        <v>80</v>
      </c>
      <c r="U220" s="2" t="s">
        <v>1999</v>
      </c>
      <c r="V220" s="2" t="s">
        <v>2011</v>
      </c>
      <c r="W220" s="2" t="s">
        <v>2958</v>
      </c>
      <c r="X220" s="2" t="s">
        <v>38</v>
      </c>
      <c r="Y220" s="2" t="s">
        <v>3082</v>
      </c>
      <c r="Z220" s="2" t="s">
        <v>315</v>
      </c>
      <c r="AA220" s="2" t="s">
        <v>38</v>
      </c>
      <c r="AB220" s="2" t="s">
        <v>38</v>
      </c>
      <c r="AC220" s="2" t="s">
        <v>2047</v>
      </c>
      <c r="AD220" s="2" t="s">
        <v>38</v>
      </c>
      <c r="AE220" s="2" t="s">
        <v>2106</v>
      </c>
      <c r="AF220" s="2" t="s">
        <v>2146</v>
      </c>
      <c r="AG220" s="34">
        <v>46078</v>
      </c>
    </row>
    <row r="221" spans="1:33" ht="150" x14ac:dyDescent="0.25">
      <c r="A221" s="2" t="s">
        <v>613</v>
      </c>
      <c r="B221" s="2" t="s">
        <v>2783</v>
      </c>
      <c r="C221" s="2" t="s">
        <v>38</v>
      </c>
      <c r="D221" s="2" t="s">
        <v>38</v>
      </c>
      <c r="E221" s="2" t="s">
        <v>320</v>
      </c>
      <c r="F221" s="2" t="s">
        <v>62</v>
      </c>
      <c r="G221" s="2" t="s">
        <v>40</v>
      </c>
      <c r="H221" s="2" t="s">
        <v>2710</v>
      </c>
      <c r="I221" s="2" t="s">
        <v>2583</v>
      </c>
      <c r="J221" s="2" t="s">
        <v>3012</v>
      </c>
      <c r="K221" s="2" t="s">
        <v>50</v>
      </c>
      <c r="L221" s="2" t="s">
        <v>614</v>
      </c>
      <c r="M221" s="2" t="s">
        <v>73</v>
      </c>
      <c r="N221" s="2" t="s">
        <v>615</v>
      </c>
      <c r="O221" s="2" t="s">
        <v>3260</v>
      </c>
      <c r="P221" s="2" t="s">
        <v>3306</v>
      </c>
      <c r="Q221" s="2" t="s">
        <v>2181</v>
      </c>
      <c r="R221" s="2" t="s">
        <v>315</v>
      </c>
      <c r="S221" s="2" t="s">
        <v>38</v>
      </c>
      <c r="T221" s="2" t="s">
        <v>38</v>
      </c>
      <c r="U221" s="2" t="s">
        <v>2047</v>
      </c>
      <c r="V221" s="2" t="s">
        <v>38</v>
      </c>
      <c r="W221" s="2" t="s">
        <v>2957</v>
      </c>
      <c r="X221" s="2" t="s">
        <v>2181</v>
      </c>
      <c r="Y221" s="2" t="s">
        <v>2159</v>
      </c>
      <c r="Z221" s="2" t="s">
        <v>315</v>
      </c>
      <c r="AA221" s="2" t="s">
        <v>38</v>
      </c>
      <c r="AB221" s="2" t="s">
        <v>60</v>
      </c>
      <c r="AC221" s="2" t="s">
        <v>2128</v>
      </c>
      <c r="AD221" s="2" t="s">
        <v>2129</v>
      </c>
      <c r="AE221" s="2" t="s">
        <v>2150</v>
      </c>
      <c r="AF221" s="2" t="s">
        <v>2159</v>
      </c>
      <c r="AG221" s="34">
        <v>46078</v>
      </c>
    </row>
    <row r="222" spans="1:33" ht="120" x14ac:dyDescent="0.25">
      <c r="A222" s="2" t="s">
        <v>616</v>
      </c>
      <c r="B222" s="2" t="s">
        <v>2784</v>
      </c>
      <c r="C222" s="2" t="s">
        <v>38</v>
      </c>
      <c r="D222" s="2" t="s">
        <v>38</v>
      </c>
      <c r="E222" s="2" t="s">
        <v>320</v>
      </c>
      <c r="F222" s="2" t="s">
        <v>164</v>
      </c>
      <c r="G222" s="2" t="s">
        <v>40</v>
      </c>
      <c r="H222" s="2" t="s">
        <v>2785</v>
      </c>
      <c r="I222" s="2" t="s">
        <v>2583</v>
      </c>
      <c r="J222" s="2" t="s">
        <v>2786</v>
      </c>
      <c r="K222" s="2" t="s">
        <v>50</v>
      </c>
      <c r="L222" s="2" t="s">
        <v>617</v>
      </c>
      <c r="M222" s="2" t="s">
        <v>73</v>
      </c>
      <c r="N222" s="2" t="s">
        <v>618</v>
      </c>
      <c r="O222" s="2" t="s">
        <v>3261</v>
      </c>
      <c r="P222" s="2" t="s">
        <v>3230</v>
      </c>
      <c r="Q222" s="2" t="s">
        <v>2165</v>
      </c>
      <c r="R222" s="2" t="s">
        <v>315</v>
      </c>
      <c r="S222" s="2" t="s">
        <v>38</v>
      </c>
      <c r="T222" s="2" t="s">
        <v>38</v>
      </c>
      <c r="U222" s="2" t="s">
        <v>2071</v>
      </c>
      <c r="V222" s="2" t="s">
        <v>38</v>
      </c>
      <c r="W222" s="2" t="s">
        <v>2070</v>
      </c>
      <c r="X222" s="2" t="s">
        <v>2165</v>
      </c>
      <c r="Y222" s="2" t="s">
        <v>2149</v>
      </c>
      <c r="Z222" s="2" t="s">
        <v>315</v>
      </c>
      <c r="AA222" s="2" t="s">
        <v>38</v>
      </c>
      <c r="AB222" s="2" t="s">
        <v>60</v>
      </c>
      <c r="AC222" s="2" t="s">
        <v>2128</v>
      </c>
      <c r="AD222" s="2" t="s">
        <v>2129</v>
      </c>
      <c r="AE222" s="2" t="s">
        <v>2150</v>
      </c>
      <c r="AF222" s="2" t="s">
        <v>2149</v>
      </c>
      <c r="AG222" s="34">
        <v>46078</v>
      </c>
    </row>
    <row r="223" spans="1:33" ht="60" x14ac:dyDescent="0.25">
      <c r="A223" s="2" t="s">
        <v>619</v>
      </c>
      <c r="B223" s="2" t="s">
        <v>2787</v>
      </c>
      <c r="C223" s="2" t="s">
        <v>38</v>
      </c>
      <c r="D223" s="2" t="s">
        <v>38</v>
      </c>
      <c r="E223" s="2" t="s">
        <v>350</v>
      </c>
      <c r="F223" s="2" t="s">
        <v>38</v>
      </c>
      <c r="G223" s="2" t="s">
        <v>40</v>
      </c>
      <c r="H223" s="2" t="s">
        <v>2627</v>
      </c>
      <c r="I223" s="2" t="s">
        <v>2788</v>
      </c>
      <c r="J223" s="2" t="s">
        <v>2589</v>
      </c>
      <c r="K223" s="2" t="s">
        <v>50</v>
      </c>
      <c r="L223" s="2" t="s">
        <v>38</v>
      </c>
      <c r="M223" s="2" t="s">
        <v>38</v>
      </c>
      <c r="N223" s="2" t="s">
        <v>38</v>
      </c>
      <c r="O223" s="2" t="s">
        <v>38</v>
      </c>
      <c r="P223" s="2" t="s">
        <v>38</v>
      </c>
      <c r="Q223" s="2" t="s">
        <v>2184</v>
      </c>
      <c r="R223" s="2" t="s">
        <v>59</v>
      </c>
      <c r="S223" s="2" t="s">
        <v>38</v>
      </c>
      <c r="T223" s="2" t="s">
        <v>60</v>
      </c>
      <c r="U223" s="2" t="s">
        <v>2185</v>
      </c>
      <c r="V223" s="2" t="s">
        <v>2184</v>
      </c>
      <c r="W223" s="2" t="s">
        <v>38</v>
      </c>
      <c r="X223" s="2" t="s">
        <v>38</v>
      </c>
      <c r="Y223" s="2" t="s">
        <v>2159</v>
      </c>
      <c r="Z223" s="2" t="s">
        <v>315</v>
      </c>
      <c r="AA223" s="2" t="s">
        <v>38</v>
      </c>
      <c r="AB223" s="2" t="s">
        <v>60</v>
      </c>
      <c r="AC223" s="2" t="s">
        <v>2128</v>
      </c>
      <c r="AD223" s="2" t="s">
        <v>2129</v>
      </c>
      <c r="AE223" s="2" t="s">
        <v>2150</v>
      </c>
      <c r="AF223" s="2" t="s">
        <v>2159</v>
      </c>
      <c r="AG223" s="34">
        <v>46078</v>
      </c>
    </row>
    <row r="224" spans="1:33" ht="60" x14ac:dyDescent="0.25">
      <c r="A224" s="2" t="s">
        <v>620</v>
      </c>
      <c r="B224" s="2" t="s">
        <v>2789</v>
      </c>
      <c r="C224" s="2" t="s">
        <v>38</v>
      </c>
      <c r="D224" s="2" t="s">
        <v>38</v>
      </c>
      <c r="E224" s="2" t="s">
        <v>350</v>
      </c>
      <c r="F224" s="2" t="s">
        <v>38</v>
      </c>
      <c r="G224" s="2" t="s">
        <v>40</v>
      </c>
      <c r="H224" s="2" t="s">
        <v>2588</v>
      </c>
      <c r="I224" s="2" t="s">
        <v>2790</v>
      </c>
      <c r="J224" s="2" t="s">
        <v>2589</v>
      </c>
      <c r="K224" s="2" t="s">
        <v>50</v>
      </c>
      <c r="L224" s="2" t="s">
        <v>38</v>
      </c>
      <c r="M224" s="2" t="s">
        <v>38</v>
      </c>
      <c r="N224" s="2" t="s">
        <v>38</v>
      </c>
      <c r="O224" s="2" t="s">
        <v>38</v>
      </c>
      <c r="P224" s="2" t="s">
        <v>38</v>
      </c>
      <c r="Q224" s="2" t="s">
        <v>2247</v>
      </c>
      <c r="R224" s="2" t="s">
        <v>59</v>
      </c>
      <c r="S224" s="2" t="s">
        <v>38</v>
      </c>
      <c r="T224" s="2" t="s">
        <v>60</v>
      </c>
      <c r="U224" s="2" t="s">
        <v>2248</v>
      </c>
      <c r="V224" s="2" t="s">
        <v>2247</v>
      </c>
      <c r="W224" s="2" t="s">
        <v>38</v>
      </c>
      <c r="X224" s="2" t="s">
        <v>38</v>
      </c>
      <c r="Y224" s="2" t="s">
        <v>2159</v>
      </c>
      <c r="Z224" s="2" t="s">
        <v>315</v>
      </c>
      <c r="AA224" s="2" t="s">
        <v>38</v>
      </c>
      <c r="AB224" s="2" t="s">
        <v>60</v>
      </c>
      <c r="AC224" s="2" t="s">
        <v>2128</v>
      </c>
      <c r="AD224" s="2" t="s">
        <v>2129</v>
      </c>
      <c r="AE224" s="2" t="s">
        <v>2150</v>
      </c>
      <c r="AF224" s="2" t="s">
        <v>2159</v>
      </c>
      <c r="AG224" s="34">
        <v>46078</v>
      </c>
    </row>
    <row r="225" spans="1:33" ht="195" x14ac:dyDescent="0.25">
      <c r="A225" s="2" t="s">
        <v>621</v>
      </c>
      <c r="B225" s="2" t="s">
        <v>2791</v>
      </c>
      <c r="C225" s="2" t="s">
        <v>38</v>
      </c>
      <c r="D225" s="2" t="s">
        <v>38</v>
      </c>
      <c r="E225" s="2" t="s">
        <v>320</v>
      </c>
      <c r="F225" s="2" t="s">
        <v>62</v>
      </c>
      <c r="G225" s="2" t="s">
        <v>40</v>
      </c>
      <c r="H225" s="2" t="s">
        <v>2710</v>
      </c>
      <c r="I225" s="2" t="s">
        <v>2583</v>
      </c>
      <c r="J225" s="2" t="s">
        <v>3012</v>
      </c>
      <c r="K225" s="2" t="s">
        <v>50</v>
      </c>
      <c r="L225" s="2" t="s">
        <v>623</v>
      </c>
      <c r="M225" s="2" t="s">
        <v>89</v>
      </c>
      <c r="N225" s="2" t="s">
        <v>624</v>
      </c>
      <c r="O225" s="2" t="s">
        <v>3327</v>
      </c>
      <c r="P225" s="2" t="s">
        <v>3306</v>
      </c>
      <c r="Q225" s="2" t="s">
        <v>2177</v>
      </c>
      <c r="R225" s="2" t="s">
        <v>315</v>
      </c>
      <c r="S225" s="2" t="s">
        <v>38</v>
      </c>
      <c r="T225" s="2" t="s">
        <v>38</v>
      </c>
      <c r="U225" s="2" t="s">
        <v>2047</v>
      </c>
      <c r="V225" s="2" t="s">
        <v>38</v>
      </c>
      <c r="W225" s="2" t="s">
        <v>2957</v>
      </c>
      <c r="X225" s="2" t="s">
        <v>2177</v>
      </c>
      <c r="Y225" s="2" t="s">
        <v>2149</v>
      </c>
      <c r="Z225" s="2" t="s">
        <v>315</v>
      </c>
      <c r="AA225" s="2" t="s">
        <v>38</v>
      </c>
      <c r="AB225" s="2" t="s">
        <v>60</v>
      </c>
      <c r="AC225" s="2" t="s">
        <v>2128</v>
      </c>
      <c r="AD225" s="2" t="s">
        <v>2129</v>
      </c>
      <c r="AE225" s="2" t="s">
        <v>2150</v>
      </c>
      <c r="AF225" s="2" t="s">
        <v>2149</v>
      </c>
      <c r="AG225" s="34">
        <v>46078</v>
      </c>
    </row>
    <row r="226" spans="1:33" ht="270" x14ac:dyDescent="0.25">
      <c r="A226" s="2" t="s">
        <v>625</v>
      </c>
      <c r="B226" s="2" t="s">
        <v>2792</v>
      </c>
      <c r="C226" s="2" t="s">
        <v>38</v>
      </c>
      <c r="D226" s="2" t="s">
        <v>38</v>
      </c>
      <c r="E226" s="2" t="s">
        <v>350</v>
      </c>
      <c r="F226" s="2" t="s">
        <v>62</v>
      </c>
      <c r="G226" s="2" t="s">
        <v>40</v>
      </c>
      <c r="H226" s="2" t="s">
        <v>2572</v>
      </c>
      <c r="I226" s="2" t="s">
        <v>2793</v>
      </c>
      <c r="J226" s="2" t="s">
        <v>2557</v>
      </c>
      <c r="K226" s="2" t="s">
        <v>50</v>
      </c>
      <c r="L226" s="2" t="s">
        <v>626</v>
      </c>
      <c r="M226" s="2" t="s">
        <v>89</v>
      </c>
      <c r="N226" s="2" t="s">
        <v>627</v>
      </c>
      <c r="O226" s="2" t="s">
        <v>3339</v>
      </c>
      <c r="P226" s="2" t="s">
        <v>3230</v>
      </c>
      <c r="Q226" s="2" t="s">
        <v>2247</v>
      </c>
      <c r="R226" s="2" t="s">
        <v>59</v>
      </c>
      <c r="S226" s="2" t="s">
        <v>38</v>
      </c>
      <c r="T226" s="2" t="s">
        <v>60</v>
      </c>
      <c r="U226" s="2" t="s">
        <v>2248</v>
      </c>
      <c r="V226" s="2" t="s">
        <v>2247</v>
      </c>
      <c r="W226" s="2" t="s">
        <v>38</v>
      </c>
      <c r="X226" s="2" t="s">
        <v>38</v>
      </c>
      <c r="Y226" s="2" t="s">
        <v>2171</v>
      </c>
      <c r="Z226" s="2" t="s">
        <v>315</v>
      </c>
      <c r="AA226" s="2" t="s">
        <v>38</v>
      </c>
      <c r="AB226" s="2" t="s">
        <v>38</v>
      </c>
      <c r="AC226" s="2" t="s">
        <v>2071</v>
      </c>
      <c r="AD226" s="2" t="s">
        <v>38</v>
      </c>
      <c r="AE226" s="2" t="s">
        <v>2070</v>
      </c>
      <c r="AF226" s="2" t="s">
        <v>2171</v>
      </c>
      <c r="AG226" s="34">
        <v>46078</v>
      </c>
    </row>
    <row r="227" spans="1:33" ht="45" x14ac:dyDescent="0.25">
      <c r="A227" s="2" t="s">
        <v>628</v>
      </c>
      <c r="B227" s="2" t="s">
        <v>2794</v>
      </c>
      <c r="C227" s="2" t="s">
        <v>38</v>
      </c>
      <c r="D227" s="2" t="s">
        <v>38</v>
      </c>
      <c r="E227" s="2" t="s">
        <v>194</v>
      </c>
      <c r="F227" s="2" t="s">
        <v>38</v>
      </c>
      <c r="G227" s="2" t="s">
        <v>40</v>
      </c>
      <c r="H227" s="2" t="s">
        <v>2795</v>
      </c>
      <c r="I227" s="2" t="s">
        <v>2794</v>
      </c>
      <c r="J227" s="2" t="s">
        <v>67</v>
      </c>
      <c r="K227" s="2" t="s">
        <v>50</v>
      </c>
      <c r="L227" s="2" t="s">
        <v>38</v>
      </c>
      <c r="M227" s="2" t="s">
        <v>38</v>
      </c>
      <c r="N227" s="2" t="s">
        <v>38</v>
      </c>
      <c r="O227" s="2" t="s">
        <v>38</v>
      </c>
      <c r="P227" s="2" t="s">
        <v>38</v>
      </c>
      <c r="Q227" s="2" t="s">
        <v>2268</v>
      </c>
      <c r="R227" s="2" t="s">
        <v>59</v>
      </c>
      <c r="S227" s="2" t="s">
        <v>38</v>
      </c>
      <c r="T227" s="2" t="s">
        <v>60</v>
      </c>
      <c r="U227" s="2" t="s">
        <v>2128</v>
      </c>
      <c r="V227" s="2" t="s">
        <v>2268</v>
      </c>
      <c r="W227" s="2" t="s">
        <v>38</v>
      </c>
      <c r="X227" s="2" t="s">
        <v>38</v>
      </c>
      <c r="Y227" s="2" t="s">
        <v>2359</v>
      </c>
      <c r="Z227" s="2" t="s">
        <v>59</v>
      </c>
      <c r="AA227" s="2" t="s">
        <v>38</v>
      </c>
      <c r="AB227" s="2" t="s">
        <v>60</v>
      </c>
      <c r="AC227" s="2" t="s">
        <v>2248</v>
      </c>
      <c r="AD227" s="2" t="s">
        <v>2359</v>
      </c>
      <c r="AE227" s="2" t="s">
        <v>38</v>
      </c>
      <c r="AF227" s="2" t="s">
        <v>38</v>
      </c>
      <c r="AG227" s="34">
        <v>46078</v>
      </c>
    </row>
    <row r="228" spans="1:33" ht="60" x14ac:dyDescent="0.25">
      <c r="A228" s="2" t="s">
        <v>629</v>
      </c>
      <c r="B228" s="2" t="s">
        <v>2796</v>
      </c>
      <c r="C228" s="2" t="s">
        <v>38</v>
      </c>
      <c r="D228" s="2" t="s">
        <v>38</v>
      </c>
      <c r="E228" s="2" t="s">
        <v>163</v>
      </c>
      <c r="F228" s="2" t="s">
        <v>38</v>
      </c>
      <c r="G228" s="2" t="s">
        <v>630</v>
      </c>
      <c r="H228" s="2" t="s">
        <v>2551</v>
      </c>
      <c r="I228" s="2" t="s">
        <v>2552</v>
      </c>
      <c r="J228" s="2" t="s">
        <v>2553</v>
      </c>
      <c r="K228" s="2" t="s">
        <v>50</v>
      </c>
      <c r="L228" s="2" t="s">
        <v>38</v>
      </c>
      <c r="M228" s="2" t="s">
        <v>38</v>
      </c>
      <c r="N228" s="2" t="s">
        <v>38</v>
      </c>
      <c r="O228" s="2" t="s">
        <v>38</v>
      </c>
      <c r="P228" s="2" t="s">
        <v>38</v>
      </c>
      <c r="Q228" s="2" t="s">
        <v>631</v>
      </c>
      <c r="R228" s="2" t="s">
        <v>59</v>
      </c>
      <c r="S228" s="2" t="s">
        <v>38</v>
      </c>
      <c r="T228" s="2" t="s">
        <v>632</v>
      </c>
      <c r="U228" s="2" t="s">
        <v>2090</v>
      </c>
      <c r="V228" s="2" t="s">
        <v>2200</v>
      </c>
      <c r="W228" s="2" t="s">
        <v>38</v>
      </c>
      <c r="X228" s="2" t="s">
        <v>38</v>
      </c>
      <c r="Y228" s="2" t="s">
        <v>2063</v>
      </c>
      <c r="Z228" s="2" t="s">
        <v>45</v>
      </c>
      <c r="AA228" s="2" t="s">
        <v>46</v>
      </c>
      <c r="AB228" s="2" t="s">
        <v>38</v>
      </c>
      <c r="AC228" s="2" t="s">
        <v>1999</v>
      </c>
      <c r="AD228" s="2" t="s">
        <v>2006</v>
      </c>
      <c r="AE228" s="2" t="s">
        <v>2063</v>
      </c>
      <c r="AF228" s="2" t="s">
        <v>38</v>
      </c>
      <c r="AG228" s="34">
        <v>46078</v>
      </c>
    </row>
    <row r="229" spans="1:33" ht="120" x14ac:dyDescent="0.25">
      <c r="A229" s="2" t="s">
        <v>633</v>
      </c>
      <c r="B229" s="2" t="s">
        <v>634</v>
      </c>
      <c r="C229" s="2" t="s">
        <v>38</v>
      </c>
      <c r="D229" s="2" t="s">
        <v>38</v>
      </c>
      <c r="E229" s="2" t="s">
        <v>163</v>
      </c>
      <c r="F229" s="2" t="s">
        <v>62</v>
      </c>
      <c r="G229" s="2" t="s">
        <v>630</v>
      </c>
      <c r="H229" s="2" t="s">
        <v>2797</v>
      </c>
      <c r="I229" s="2" t="s">
        <v>2798</v>
      </c>
      <c r="J229" s="2" t="s">
        <v>2799</v>
      </c>
      <c r="K229" s="2" t="s">
        <v>50</v>
      </c>
      <c r="L229" s="2" t="s">
        <v>139</v>
      </c>
      <c r="M229" s="2" t="s">
        <v>73</v>
      </c>
      <c r="N229" s="2" t="s">
        <v>635</v>
      </c>
      <c r="O229" s="2" t="s">
        <v>3262</v>
      </c>
      <c r="P229" s="2" t="s">
        <v>3230</v>
      </c>
      <c r="Q229" s="2" t="s">
        <v>636</v>
      </c>
      <c r="R229" s="2" t="s">
        <v>45</v>
      </c>
      <c r="S229" s="2" t="s">
        <v>38</v>
      </c>
      <c r="T229" s="2" t="s">
        <v>632</v>
      </c>
      <c r="U229" s="2" t="s">
        <v>2118</v>
      </c>
      <c r="V229" s="2" t="s">
        <v>2119</v>
      </c>
      <c r="W229" s="2" t="s">
        <v>2117</v>
      </c>
      <c r="X229" s="2" t="s">
        <v>38</v>
      </c>
      <c r="Y229" s="2" t="s">
        <v>631</v>
      </c>
      <c r="Z229" s="2" t="s">
        <v>59</v>
      </c>
      <c r="AA229" s="2" t="s">
        <v>38</v>
      </c>
      <c r="AB229" s="2" t="s">
        <v>632</v>
      </c>
      <c r="AC229" s="2" t="s">
        <v>2090</v>
      </c>
      <c r="AD229" s="2" t="s">
        <v>2200</v>
      </c>
      <c r="AE229" s="2" t="s">
        <v>38</v>
      </c>
      <c r="AF229" s="2" t="s">
        <v>38</v>
      </c>
      <c r="AG229" s="34">
        <v>46078</v>
      </c>
    </row>
    <row r="230" spans="1:33" ht="60" x14ac:dyDescent="0.25">
      <c r="A230" s="2" t="s">
        <v>637</v>
      </c>
      <c r="B230" s="2" t="s">
        <v>2800</v>
      </c>
      <c r="C230" s="2" t="s">
        <v>38</v>
      </c>
      <c r="D230" s="2" t="s">
        <v>38</v>
      </c>
      <c r="E230" s="2" t="s">
        <v>48</v>
      </c>
      <c r="F230" s="2" t="s">
        <v>38</v>
      </c>
      <c r="G230" s="2" t="s">
        <v>630</v>
      </c>
      <c r="H230" s="2" t="s">
        <v>2563</v>
      </c>
      <c r="I230" s="2" t="s">
        <v>2564</v>
      </c>
      <c r="J230" s="2" t="s">
        <v>2771</v>
      </c>
      <c r="K230" s="2" t="s">
        <v>50</v>
      </c>
      <c r="L230" s="2" t="s">
        <v>38</v>
      </c>
      <c r="M230" s="2" t="s">
        <v>38</v>
      </c>
      <c r="N230" s="2" t="s">
        <v>38</v>
      </c>
      <c r="O230" s="2" t="s">
        <v>38</v>
      </c>
      <c r="P230" s="2" t="s">
        <v>38</v>
      </c>
      <c r="Q230" s="2" t="s">
        <v>638</v>
      </c>
      <c r="R230" s="2" t="s">
        <v>45</v>
      </c>
      <c r="S230" s="2" t="s">
        <v>38</v>
      </c>
      <c r="T230" s="2" t="s">
        <v>632</v>
      </c>
      <c r="U230" s="2" t="s">
        <v>2118</v>
      </c>
      <c r="V230" s="2" t="s">
        <v>2119</v>
      </c>
      <c r="W230" s="2" t="s">
        <v>2240</v>
      </c>
      <c r="X230" s="2" t="s">
        <v>38</v>
      </c>
      <c r="Y230" s="2" t="s">
        <v>2063</v>
      </c>
      <c r="Z230" s="2" t="s">
        <v>45</v>
      </c>
      <c r="AA230" s="2" t="s">
        <v>46</v>
      </c>
      <c r="AB230" s="2" t="s">
        <v>38</v>
      </c>
      <c r="AC230" s="2" t="s">
        <v>1999</v>
      </c>
      <c r="AD230" s="2" t="s">
        <v>2006</v>
      </c>
      <c r="AE230" s="2" t="s">
        <v>2063</v>
      </c>
      <c r="AF230" s="2" t="s">
        <v>38</v>
      </c>
      <c r="AG230" s="34">
        <v>46078</v>
      </c>
    </row>
    <row r="231" spans="1:33" ht="60" x14ac:dyDescent="0.25">
      <c r="A231" s="2" t="s">
        <v>639</v>
      </c>
      <c r="B231" s="2" t="s">
        <v>2801</v>
      </c>
      <c r="C231" s="2" t="s">
        <v>38</v>
      </c>
      <c r="D231" s="2" t="s">
        <v>38</v>
      </c>
      <c r="E231" s="2" t="s">
        <v>48</v>
      </c>
      <c r="F231" s="2" t="s">
        <v>38</v>
      </c>
      <c r="G231" s="2" t="s">
        <v>630</v>
      </c>
      <c r="H231" s="2" t="s">
        <v>2563</v>
      </c>
      <c r="I231" s="2" t="s">
        <v>2564</v>
      </c>
      <c r="J231" s="2" t="s">
        <v>2776</v>
      </c>
      <c r="K231" s="2" t="s">
        <v>50</v>
      </c>
      <c r="L231" s="2" t="s">
        <v>38</v>
      </c>
      <c r="M231" s="2" t="s">
        <v>38</v>
      </c>
      <c r="N231" s="2" t="s">
        <v>38</v>
      </c>
      <c r="O231" s="2" t="s">
        <v>38</v>
      </c>
      <c r="P231" s="2" t="s">
        <v>38</v>
      </c>
      <c r="Q231" s="2" t="s">
        <v>636</v>
      </c>
      <c r="R231" s="2" t="s">
        <v>45</v>
      </c>
      <c r="S231" s="2" t="s">
        <v>38</v>
      </c>
      <c r="T231" s="2" t="s">
        <v>632</v>
      </c>
      <c r="U231" s="2" t="s">
        <v>2118</v>
      </c>
      <c r="V231" s="2" t="s">
        <v>2119</v>
      </c>
      <c r="W231" s="2" t="s">
        <v>2117</v>
      </c>
      <c r="X231" s="2" t="s">
        <v>38</v>
      </c>
      <c r="Y231" s="2" t="s">
        <v>2063</v>
      </c>
      <c r="Z231" s="2" t="s">
        <v>45</v>
      </c>
      <c r="AA231" s="2" t="s">
        <v>46</v>
      </c>
      <c r="AB231" s="2" t="s">
        <v>38</v>
      </c>
      <c r="AC231" s="2" t="s">
        <v>1999</v>
      </c>
      <c r="AD231" s="2" t="s">
        <v>2006</v>
      </c>
      <c r="AE231" s="2" t="s">
        <v>2063</v>
      </c>
      <c r="AF231" s="2" t="s">
        <v>38</v>
      </c>
      <c r="AG231" s="34">
        <v>46078</v>
      </c>
    </row>
    <row r="232" spans="1:33" ht="60" x14ac:dyDescent="0.25">
      <c r="A232" s="2" t="s">
        <v>640</v>
      </c>
      <c r="B232" s="2" t="s">
        <v>2802</v>
      </c>
      <c r="C232" s="2" t="s">
        <v>38</v>
      </c>
      <c r="D232" s="2" t="s">
        <v>38</v>
      </c>
      <c r="E232" s="2" t="s">
        <v>48</v>
      </c>
      <c r="F232" s="2" t="s">
        <v>38</v>
      </c>
      <c r="G232" s="2" t="s">
        <v>630</v>
      </c>
      <c r="H232" s="2" t="s">
        <v>2563</v>
      </c>
      <c r="I232" s="2" t="s">
        <v>2564</v>
      </c>
      <c r="J232" s="2" t="s">
        <v>2774</v>
      </c>
      <c r="K232" s="2" t="s">
        <v>50</v>
      </c>
      <c r="L232" s="2" t="s">
        <v>38</v>
      </c>
      <c r="M232" s="2" t="s">
        <v>38</v>
      </c>
      <c r="N232" s="2" t="s">
        <v>38</v>
      </c>
      <c r="O232" s="2" t="s">
        <v>38</v>
      </c>
      <c r="P232" s="2" t="s">
        <v>38</v>
      </c>
      <c r="Q232" s="2" t="s">
        <v>641</v>
      </c>
      <c r="R232" s="2" t="s">
        <v>45</v>
      </c>
      <c r="S232" s="2" t="s">
        <v>38</v>
      </c>
      <c r="T232" s="2" t="s">
        <v>632</v>
      </c>
      <c r="U232" s="2" t="s">
        <v>2118</v>
      </c>
      <c r="V232" s="2" t="s">
        <v>2119</v>
      </c>
      <c r="W232" s="2" t="s">
        <v>2229</v>
      </c>
      <c r="X232" s="2" t="s">
        <v>38</v>
      </c>
      <c r="Y232" s="2" t="s">
        <v>2063</v>
      </c>
      <c r="Z232" s="2" t="s">
        <v>45</v>
      </c>
      <c r="AA232" s="2" t="s">
        <v>46</v>
      </c>
      <c r="AB232" s="2" t="s">
        <v>38</v>
      </c>
      <c r="AC232" s="2" t="s">
        <v>1999</v>
      </c>
      <c r="AD232" s="2" t="s">
        <v>2006</v>
      </c>
      <c r="AE232" s="2" t="s">
        <v>2063</v>
      </c>
      <c r="AF232" s="2" t="s">
        <v>38</v>
      </c>
      <c r="AG232" s="34">
        <v>46078</v>
      </c>
    </row>
    <row r="233" spans="1:33" ht="60" x14ac:dyDescent="0.25">
      <c r="A233" s="2" t="s">
        <v>642</v>
      </c>
      <c r="B233" s="2" t="s">
        <v>2803</v>
      </c>
      <c r="C233" s="2" t="s">
        <v>38</v>
      </c>
      <c r="D233" s="2" t="s">
        <v>38</v>
      </c>
      <c r="E233" s="2" t="s">
        <v>48</v>
      </c>
      <c r="F233" s="2" t="s">
        <v>38</v>
      </c>
      <c r="G233" s="2" t="s">
        <v>630</v>
      </c>
      <c r="H233" s="2" t="s">
        <v>2563</v>
      </c>
      <c r="I233" s="2" t="s">
        <v>2564</v>
      </c>
      <c r="J233" s="2" t="s">
        <v>2775</v>
      </c>
      <c r="K233" s="2" t="s">
        <v>50</v>
      </c>
      <c r="L233" s="2" t="s">
        <v>38</v>
      </c>
      <c r="M233" s="2" t="s">
        <v>38</v>
      </c>
      <c r="N233" s="2" t="s">
        <v>38</v>
      </c>
      <c r="O233" s="2" t="s">
        <v>38</v>
      </c>
      <c r="P233" s="2" t="s">
        <v>38</v>
      </c>
      <c r="Q233" s="2" t="s">
        <v>643</v>
      </c>
      <c r="R233" s="2" t="s">
        <v>45</v>
      </c>
      <c r="S233" s="2" t="s">
        <v>38</v>
      </c>
      <c r="T233" s="2" t="s">
        <v>632</v>
      </c>
      <c r="U233" s="2" t="s">
        <v>2118</v>
      </c>
      <c r="V233" s="2" t="s">
        <v>2119</v>
      </c>
      <c r="W233" s="2" t="s">
        <v>2232</v>
      </c>
      <c r="X233" s="2" t="s">
        <v>38</v>
      </c>
      <c r="Y233" s="2" t="s">
        <v>2063</v>
      </c>
      <c r="Z233" s="2" t="s">
        <v>45</v>
      </c>
      <c r="AA233" s="2" t="s">
        <v>46</v>
      </c>
      <c r="AB233" s="2" t="s">
        <v>38</v>
      </c>
      <c r="AC233" s="2" t="s">
        <v>1999</v>
      </c>
      <c r="AD233" s="2" t="s">
        <v>2006</v>
      </c>
      <c r="AE233" s="2" t="s">
        <v>2063</v>
      </c>
      <c r="AF233" s="2" t="s">
        <v>38</v>
      </c>
      <c r="AG233" s="34">
        <v>46078</v>
      </c>
    </row>
    <row r="234" spans="1:33" ht="45" x14ac:dyDescent="0.25">
      <c r="A234" s="2" t="s">
        <v>644</v>
      </c>
      <c r="B234" s="2" t="s">
        <v>645</v>
      </c>
      <c r="C234" s="2" t="s">
        <v>38</v>
      </c>
      <c r="D234" s="2" t="s">
        <v>38</v>
      </c>
      <c r="E234" s="2" t="s">
        <v>163</v>
      </c>
      <c r="F234" s="2" t="s">
        <v>38</v>
      </c>
      <c r="G234" s="2" t="s">
        <v>630</v>
      </c>
      <c r="H234" s="2" t="s">
        <v>2578</v>
      </c>
      <c r="I234" s="2" t="s">
        <v>2577</v>
      </c>
      <c r="J234" s="2" t="s">
        <v>2799</v>
      </c>
      <c r="K234" s="2" t="s">
        <v>50</v>
      </c>
      <c r="L234" s="2" t="s">
        <v>38</v>
      </c>
      <c r="M234" s="2" t="s">
        <v>38</v>
      </c>
      <c r="N234" s="2" t="s">
        <v>38</v>
      </c>
      <c r="O234" s="2" t="s">
        <v>38</v>
      </c>
      <c r="P234" s="2" t="s">
        <v>38</v>
      </c>
      <c r="Q234" s="2" t="s">
        <v>636</v>
      </c>
      <c r="R234" s="2" t="s">
        <v>45</v>
      </c>
      <c r="S234" s="2" t="s">
        <v>38</v>
      </c>
      <c r="T234" s="2" t="s">
        <v>632</v>
      </c>
      <c r="U234" s="2" t="s">
        <v>2118</v>
      </c>
      <c r="V234" s="2" t="s">
        <v>2119</v>
      </c>
      <c r="W234" s="2" t="s">
        <v>2117</v>
      </c>
      <c r="X234" s="2" t="s">
        <v>38</v>
      </c>
      <c r="Y234" s="2" t="s">
        <v>646</v>
      </c>
      <c r="Z234" s="2" t="s">
        <v>59</v>
      </c>
      <c r="AA234" s="2" t="s">
        <v>38</v>
      </c>
      <c r="AB234" s="2" t="s">
        <v>632</v>
      </c>
      <c r="AC234" s="2" t="s">
        <v>2128</v>
      </c>
      <c r="AD234" s="2" t="s">
        <v>2332</v>
      </c>
      <c r="AE234" s="2" t="s">
        <v>38</v>
      </c>
      <c r="AF234" s="2" t="s">
        <v>38</v>
      </c>
      <c r="AG234" s="34">
        <v>46078</v>
      </c>
    </row>
    <row r="235" spans="1:33" ht="210" x14ac:dyDescent="0.25">
      <c r="A235" s="2" t="s">
        <v>647</v>
      </c>
      <c r="B235" s="2" t="s">
        <v>2804</v>
      </c>
      <c r="C235" s="2" t="s">
        <v>38</v>
      </c>
      <c r="D235" s="2" t="s">
        <v>38</v>
      </c>
      <c r="E235" s="2" t="s">
        <v>312</v>
      </c>
      <c r="F235" s="2" t="s">
        <v>164</v>
      </c>
      <c r="G235" s="2" t="s">
        <v>630</v>
      </c>
      <c r="H235" s="2" t="s">
        <v>2563</v>
      </c>
      <c r="I235" s="2" t="s">
        <v>2602</v>
      </c>
      <c r="J235" s="2" t="s">
        <v>2698</v>
      </c>
      <c r="K235" s="2" t="s">
        <v>50</v>
      </c>
      <c r="L235" s="2" t="s">
        <v>648</v>
      </c>
      <c r="M235" s="2" t="s">
        <v>89</v>
      </c>
      <c r="N235" s="2" t="s">
        <v>649</v>
      </c>
      <c r="O235" s="2" t="s">
        <v>3341</v>
      </c>
      <c r="P235" s="2" t="s">
        <v>3340</v>
      </c>
      <c r="Q235" s="2" t="s">
        <v>636</v>
      </c>
      <c r="R235" s="2" t="s">
        <v>45</v>
      </c>
      <c r="S235" s="2" t="s">
        <v>38</v>
      </c>
      <c r="T235" s="2" t="s">
        <v>632</v>
      </c>
      <c r="U235" s="2" t="s">
        <v>2118</v>
      </c>
      <c r="V235" s="2" t="s">
        <v>2119</v>
      </c>
      <c r="W235" s="2" t="s">
        <v>2117</v>
      </c>
      <c r="X235" s="2" t="s">
        <v>38</v>
      </c>
      <c r="Y235" s="2" t="s">
        <v>2114</v>
      </c>
      <c r="Z235" s="2" t="s">
        <v>315</v>
      </c>
      <c r="AA235" s="2" t="s">
        <v>38</v>
      </c>
      <c r="AB235" s="2" t="s">
        <v>38</v>
      </c>
      <c r="AC235" s="2" t="s">
        <v>1999</v>
      </c>
      <c r="AD235" s="2" t="s">
        <v>2000</v>
      </c>
      <c r="AE235" s="2" t="s">
        <v>1997</v>
      </c>
      <c r="AF235" s="2" t="s">
        <v>2114</v>
      </c>
      <c r="AG235" s="34">
        <v>46078</v>
      </c>
    </row>
    <row r="236" spans="1:33" ht="240" x14ac:dyDescent="0.25">
      <c r="A236" s="2" t="s">
        <v>650</v>
      </c>
      <c r="B236" s="2" t="s">
        <v>3022</v>
      </c>
      <c r="C236" s="2" t="s">
        <v>38</v>
      </c>
      <c r="D236" s="2" t="s">
        <v>38</v>
      </c>
      <c r="E236" s="2" t="s">
        <v>48</v>
      </c>
      <c r="F236" s="2" t="s">
        <v>164</v>
      </c>
      <c r="G236" s="2" t="s">
        <v>630</v>
      </c>
      <c r="H236" s="2" t="s">
        <v>2805</v>
      </c>
      <c r="I236" s="2" t="s">
        <v>2806</v>
      </c>
      <c r="J236" s="2" t="s">
        <v>3023</v>
      </c>
      <c r="K236" s="2" t="s">
        <v>50</v>
      </c>
      <c r="L236" s="2" t="s">
        <v>651</v>
      </c>
      <c r="M236" s="2" t="s">
        <v>89</v>
      </c>
      <c r="N236" s="2" t="s">
        <v>652</v>
      </c>
      <c r="O236" s="2" t="s">
        <v>3342</v>
      </c>
      <c r="P236" s="2" t="s">
        <v>3230</v>
      </c>
      <c r="Q236" s="2" t="s">
        <v>636</v>
      </c>
      <c r="R236" s="2" t="s">
        <v>45</v>
      </c>
      <c r="S236" s="2" t="s">
        <v>38</v>
      </c>
      <c r="T236" s="2" t="s">
        <v>632</v>
      </c>
      <c r="U236" s="2" t="s">
        <v>2118</v>
      </c>
      <c r="V236" s="2" t="s">
        <v>2119</v>
      </c>
      <c r="W236" s="2" t="s">
        <v>2117</v>
      </c>
      <c r="X236" s="2" t="s">
        <v>38</v>
      </c>
      <c r="Y236" s="2" t="s">
        <v>2957</v>
      </c>
      <c r="Z236" s="2" t="s">
        <v>45</v>
      </c>
      <c r="AA236" s="2" t="s">
        <v>38</v>
      </c>
      <c r="AB236" s="2" t="s">
        <v>38</v>
      </c>
      <c r="AC236" s="2" t="s">
        <v>2047</v>
      </c>
      <c r="AD236" s="2" t="s">
        <v>38</v>
      </c>
      <c r="AE236" s="2" t="s">
        <v>2957</v>
      </c>
      <c r="AF236" s="2" t="s">
        <v>38</v>
      </c>
      <c r="AG236" s="34">
        <v>46078</v>
      </c>
    </row>
    <row r="237" spans="1:33" ht="45" x14ac:dyDescent="0.25">
      <c r="A237" s="2" t="s">
        <v>653</v>
      </c>
      <c r="B237" s="2" t="s">
        <v>654</v>
      </c>
      <c r="C237" s="2" t="s">
        <v>38</v>
      </c>
      <c r="D237" s="2" t="s">
        <v>38</v>
      </c>
      <c r="E237" s="2" t="s">
        <v>194</v>
      </c>
      <c r="F237" s="2" t="s">
        <v>38</v>
      </c>
      <c r="G237" s="2" t="s">
        <v>630</v>
      </c>
      <c r="H237" s="2" t="s">
        <v>2580</v>
      </c>
      <c r="I237" s="2" t="s">
        <v>2613</v>
      </c>
      <c r="J237" s="2" t="s">
        <v>67</v>
      </c>
      <c r="K237" s="2" t="s">
        <v>50</v>
      </c>
      <c r="L237" s="2" t="s">
        <v>38</v>
      </c>
      <c r="M237" s="2" t="s">
        <v>38</v>
      </c>
      <c r="N237" s="2" t="s">
        <v>38</v>
      </c>
      <c r="O237" s="2" t="s">
        <v>38</v>
      </c>
      <c r="P237" s="2" t="s">
        <v>38</v>
      </c>
      <c r="Q237" s="2" t="s">
        <v>646</v>
      </c>
      <c r="R237" s="2" t="s">
        <v>59</v>
      </c>
      <c r="S237" s="2" t="s">
        <v>38</v>
      </c>
      <c r="T237" s="2" t="s">
        <v>632</v>
      </c>
      <c r="U237" s="2" t="s">
        <v>2128</v>
      </c>
      <c r="V237" s="2" t="s">
        <v>2332</v>
      </c>
      <c r="W237" s="2" t="s">
        <v>38</v>
      </c>
      <c r="X237" s="2" t="s">
        <v>38</v>
      </c>
      <c r="Y237" s="2" t="s">
        <v>655</v>
      </c>
      <c r="Z237" s="2" t="s">
        <v>59</v>
      </c>
      <c r="AA237" s="2" t="s">
        <v>38</v>
      </c>
      <c r="AB237" s="2" t="s">
        <v>632</v>
      </c>
      <c r="AC237" s="2" t="s">
        <v>2128</v>
      </c>
      <c r="AD237" s="2" t="s">
        <v>2408</v>
      </c>
      <c r="AE237" s="2" t="s">
        <v>38</v>
      </c>
      <c r="AF237" s="2" t="s">
        <v>38</v>
      </c>
      <c r="AG237" s="34">
        <v>46078</v>
      </c>
    </row>
    <row r="238" spans="1:33" ht="135" x14ac:dyDescent="0.25">
      <c r="A238" s="2" t="s">
        <v>656</v>
      </c>
      <c r="B238" s="2" t="s">
        <v>3024</v>
      </c>
      <c r="C238" s="2" t="s">
        <v>38</v>
      </c>
      <c r="D238" s="2" t="s">
        <v>38</v>
      </c>
      <c r="E238" s="2" t="s">
        <v>163</v>
      </c>
      <c r="F238" s="2" t="s">
        <v>38</v>
      </c>
      <c r="G238" s="2" t="s">
        <v>630</v>
      </c>
      <c r="H238" s="2" t="s">
        <v>2777</v>
      </c>
      <c r="I238" s="2" t="s">
        <v>2807</v>
      </c>
      <c r="J238" s="2" t="s">
        <v>3025</v>
      </c>
      <c r="K238" s="2" t="s">
        <v>41</v>
      </c>
      <c r="L238" s="2" t="s">
        <v>657</v>
      </c>
      <c r="M238" s="2" t="s">
        <v>89</v>
      </c>
      <c r="N238" s="2" t="s">
        <v>658</v>
      </c>
      <c r="O238" s="2" t="s">
        <v>38</v>
      </c>
      <c r="P238" s="2" t="s">
        <v>659</v>
      </c>
      <c r="Q238" s="2" t="s">
        <v>655</v>
      </c>
      <c r="R238" s="2" t="s">
        <v>59</v>
      </c>
      <c r="S238" s="2" t="s">
        <v>38</v>
      </c>
      <c r="T238" s="2" t="s">
        <v>632</v>
      </c>
      <c r="U238" s="2" t="s">
        <v>2128</v>
      </c>
      <c r="V238" s="2" t="s">
        <v>2408</v>
      </c>
      <c r="W238" s="2" t="s">
        <v>38</v>
      </c>
      <c r="X238" s="2" t="s">
        <v>38</v>
      </c>
      <c r="Y238" s="2" t="s">
        <v>2957</v>
      </c>
      <c r="Z238" s="2" t="s">
        <v>45</v>
      </c>
      <c r="AA238" s="2" t="s">
        <v>38</v>
      </c>
      <c r="AB238" s="2" t="s">
        <v>38</v>
      </c>
      <c r="AC238" s="2" t="s">
        <v>2047</v>
      </c>
      <c r="AD238" s="2" t="s">
        <v>38</v>
      </c>
      <c r="AE238" s="2" t="s">
        <v>2957</v>
      </c>
      <c r="AF238" s="2" t="s">
        <v>38</v>
      </c>
      <c r="AG238" s="34">
        <v>46078</v>
      </c>
    </row>
    <row r="239" spans="1:33" ht="195" x14ac:dyDescent="0.25">
      <c r="A239" s="2" t="s">
        <v>660</v>
      </c>
      <c r="B239" s="2" t="s">
        <v>3026</v>
      </c>
      <c r="C239" s="2" t="s">
        <v>38</v>
      </c>
      <c r="D239" s="2" t="s">
        <v>38</v>
      </c>
      <c r="E239" s="2" t="s">
        <v>163</v>
      </c>
      <c r="F239" s="2" t="s">
        <v>164</v>
      </c>
      <c r="G239" s="2" t="s">
        <v>630</v>
      </c>
      <c r="H239" s="2" t="s">
        <v>2777</v>
      </c>
      <c r="I239" s="2" t="s">
        <v>2808</v>
      </c>
      <c r="J239" s="2" t="s">
        <v>3025</v>
      </c>
      <c r="K239" s="2" t="s">
        <v>50</v>
      </c>
      <c r="L239" s="2" t="s">
        <v>661</v>
      </c>
      <c r="M239" s="2" t="s">
        <v>89</v>
      </c>
      <c r="N239" s="2" t="s">
        <v>662</v>
      </c>
      <c r="O239" s="2" t="s">
        <v>3381</v>
      </c>
      <c r="P239" s="2" t="s">
        <v>3380</v>
      </c>
      <c r="Q239" s="2" t="s">
        <v>646</v>
      </c>
      <c r="R239" s="2" t="s">
        <v>59</v>
      </c>
      <c r="S239" s="2" t="s">
        <v>38</v>
      </c>
      <c r="T239" s="2" t="s">
        <v>632</v>
      </c>
      <c r="U239" s="2" t="s">
        <v>2128</v>
      </c>
      <c r="V239" s="2" t="s">
        <v>2332</v>
      </c>
      <c r="W239" s="2" t="s">
        <v>38</v>
      </c>
      <c r="X239" s="2" t="s">
        <v>38</v>
      </c>
      <c r="Y239" s="2" t="s">
        <v>2957</v>
      </c>
      <c r="Z239" s="2" t="s">
        <v>45</v>
      </c>
      <c r="AA239" s="2" t="s">
        <v>38</v>
      </c>
      <c r="AB239" s="2" t="s">
        <v>38</v>
      </c>
      <c r="AC239" s="2" t="s">
        <v>2047</v>
      </c>
      <c r="AD239" s="2" t="s">
        <v>38</v>
      </c>
      <c r="AE239" s="2" t="s">
        <v>2957</v>
      </c>
      <c r="AF239" s="2" t="s">
        <v>38</v>
      </c>
      <c r="AG239" s="34">
        <v>46078</v>
      </c>
    </row>
    <row r="240" spans="1:33" ht="60" x14ac:dyDescent="0.25">
      <c r="A240" s="2" t="s">
        <v>663</v>
      </c>
      <c r="B240" s="2" t="s">
        <v>3107</v>
      </c>
      <c r="C240" s="2" t="s">
        <v>38</v>
      </c>
      <c r="D240" s="2" t="s">
        <v>38</v>
      </c>
      <c r="E240" s="2" t="s">
        <v>312</v>
      </c>
      <c r="F240" s="2" t="s">
        <v>38</v>
      </c>
      <c r="G240" s="2" t="s">
        <v>40</v>
      </c>
      <c r="H240" s="2" t="s">
        <v>2610</v>
      </c>
      <c r="I240" s="2" t="s">
        <v>2684</v>
      </c>
      <c r="J240" s="2" t="s">
        <v>2809</v>
      </c>
      <c r="K240" s="2" t="s">
        <v>50</v>
      </c>
      <c r="L240" s="2" t="s">
        <v>38</v>
      </c>
      <c r="M240" s="2" t="s">
        <v>38</v>
      </c>
      <c r="N240" s="2" t="s">
        <v>38</v>
      </c>
      <c r="O240" s="2" t="s">
        <v>38</v>
      </c>
      <c r="P240" s="2" t="s">
        <v>38</v>
      </c>
      <c r="Q240" s="2" t="s">
        <v>2244</v>
      </c>
      <c r="R240" s="2" t="s">
        <v>315</v>
      </c>
      <c r="S240" s="2" t="s">
        <v>38</v>
      </c>
      <c r="T240" s="2" t="s">
        <v>60</v>
      </c>
      <c r="U240" s="2" t="s">
        <v>2118</v>
      </c>
      <c r="V240" s="2" t="s">
        <v>2216</v>
      </c>
      <c r="W240" s="2" t="s">
        <v>2215</v>
      </c>
      <c r="X240" s="2" t="s">
        <v>2244</v>
      </c>
      <c r="Y240" s="2" t="s">
        <v>2208</v>
      </c>
      <c r="Z240" s="2" t="s">
        <v>45</v>
      </c>
      <c r="AA240" s="2" t="s">
        <v>38</v>
      </c>
      <c r="AB240" s="2" t="s">
        <v>60</v>
      </c>
      <c r="AC240" s="2" t="s">
        <v>2118</v>
      </c>
      <c r="AD240" s="2" t="s">
        <v>2204</v>
      </c>
      <c r="AE240" s="2" t="s">
        <v>2208</v>
      </c>
      <c r="AF240" s="2" t="s">
        <v>38</v>
      </c>
      <c r="AG240" s="34">
        <v>46078</v>
      </c>
    </row>
    <row r="241" spans="1:33" ht="60" x14ac:dyDescent="0.25">
      <c r="A241" s="2" t="s">
        <v>664</v>
      </c>
      <c r="B241" s="2" t="s">
        <v>665</v>
      </c>
      <c r="C241" s="2" t="s">
        <v>38</v>
      </c>
      <c r="D241" s="2" t="s">
        <v>38</v>
      </c>
      <c r="E241" s="2" t="s">
        <v>312</v>
      </c>
      <c r="F241" s="2" t="s">
        <v>38</v>
      </c>
      <c r="G241" s="2" t="s">
        <v>630</v>
      </c>
      <c r="H241" s="2" t="s">
        <v>2610</v>
      </c>
      <c r="I241" s="2" t="s">
        <v>2810</v>
      </c>
      <c r="J241" s="2" t="s">
        <v>2811</v>
      </c>
      <c r="K241" s="2" t="s">
        <v>50</v>
      </c>
      <c r="L241" s="2" t="s">
        <v>38</v>
      </c>
      <c r="M241" s="2" t="s">
        <v>38</v>
      </c>
      <c r="N241" s="2" t="s">
        <v>38</v>
      </c>
      <c r="O241" s="2" t="s">
        <v>38</v>
      </c>
      <c r="P241" s="2" t="s">
        <v>38</v>
      </c>
      <c r="Q241" s="2" t="s">
        <v>666</v>
      </c>
      <c r="R241" s="2" t="s">
        <v>315</v>
      </c>
      <c r="S241" s="2" t="s">
        <v>38</v>
      </c>
      <c r="T241" s="2" t="s">
        <v>632</v>
      </c>
      <c r="U241" s="2" t="s">
        <v>2118</v>
      </c>
      <c r="V241" s="2" t="s">
        <v>2216</v>
      </c>
      <c r="W241" s="2" t="s">
        <v>2215</v>
      </c>
      <c r="X241" s="2" t="s">
        <v>2244</v>
      </c>
      <c r="Y241" s="2" t="s">
        <v>667</v>
      </c>
      <c r="Z241" s="2" t="s">
        <v>45</v>
      </c>
      <c r="AA241" s="2" t="s">
        <v>38</v>
      </c>
      <c r="AB241" s="2" t="s">
        <v>632</v>
      </c>
      <c r="AC241" s="2" t="s">
        <v>2118</v>
      </c>
      <c r="AD241" s="2" t="s">
        <v>2216</v>
      </c>
      <c r="AE241" s="2" t="s">
        <v>2215</v>
      </c>
      <c r="AF241" s="2" t="s">
        <v>38</v>
      </c>
      <c r="AG241" s="34">
        <v>46078</v>
      </c>
    </row>
    <row r="242" spans="1:33" ht="60" x14ac:dyDescent="0.25">
      <c r="A242" s="2" t="s">
        <v>668</v>
      </c>
      <c r="B242" s="2" t="s">
        <v>2812</v>
      </c>
      <c r="C242" s="2" t="s">
        <v>38</v>
      </c>
      <c r="D242" s="2" t="s">
        <v>38</v>
      </c>
      <c r="E242" s="2" t="s">
        <v>48</v>
      </c>
      <c r="F242" s="2" t="s">
        <v>38</v>
      </c>
      <c r="G242" s="2" t="s">
        <v>630</v>
      </c>
      <c r="H242" s="2" t="s">
        <v>2563</v>
      </c>
      <c r="I242" s="2" t="s">
        <v>2576</v>
      </c>
      <c r="J242" s="2" t="s">
        <v>2770</v>
      </c>
      <c r="K242" s="2" t="s">
        <v>50</v>
      </c>
      <c r="L242" s="2" t="s">
        <v>38</v>
      </c>
      <c r="M242" s="2" t="s">
        <v>38</v>
      </c>
      <c r="N242" s="2" t="s">
        <v>38</v>
      </c>
      <c r="O242" s="2" t="s">
        <v>38</v>
      </c>
      <c r="P242" s="2" t="s">
        <v>38</v>
      </c>
      <c r="Q242" s="2" t="s">
        <v>667</v>
      </c>
      <c r="R242" s="2" t="s">
        <v>45</v>
      </c>
      <c r="S242" s="2" t="s">
        <v>38</v>
      </c>
      <c r="T242" s="2" t="s">
        <v>632</v>
      </c>
      <c r="U242" s="2" t="s">
        <v>2118</v>
      </c>
      <c r="V242" s="2" t="s">
        <v>2216</v>
      </c>
      <c r="W242" s="2" t="s">
        <v>2215</v>
      </c>
      <c r="X242" s="2" t="s">
        <v>38</v>
      </c>
      <c r="Y242" s="2" t="s">
        <v>2063</v>
      </c>
      <c r="Z242" s="2" t="s">
        <v>45</v>
      </c>
      <c r="AA242" s="2" t="s">
        <v>46</v>
      </c>
      <c r="AB242" s="2" t="s">
        <v>38</v>
      </c>
      <c r="AC242" s="2" t="s">
        <v>1999</v>
      </c>
      <c r="AD242" s="2" t="s">
        <v>2006</v>
      </c>
      <c r="AE242" s="2" t="s">
        <v>2063</v>
      </c>
      <c r="AF242" s="2" t="s">
        <v>38</v>
      </c>
      <c r="AG242" s="34">
        <v>46078</v>
      </c>
    </row>
    <row r="243" spans="1:33" ht="60" x14ac:dyDescent="0.25">
      <c r="A243" s="2" t="s">
        <v>669</v>
      </c>
      <c r="B243" s="2" t="s">
        <v>2813</v>
      </c>
      <c r="C243" s="2" t="s">
        <v>38</v>
      </c>
      <c r="D243" s="2" t="s">
        <v>38</v>
      </c>
      <c r="E243" s="2" t="s">
        <v>48</v>
      </c>
      <c r="F243" s="2" t="s">
        <v>38</v>
      </c>
      <c r="G243" s="2" t="s">
        <v>630</v>
      </c>
      <c r="H243" s="2" t="s">
        <v>2563</v>
      </c>
      <c r="I243" s="2" t="s">
        <v>2574</v>
      </c>
      <c r="J243" s="2" t="s">
        <v>2764</v>
      </c>
      <c r="K243" s="2" t="s">
        <v>50</v>
      </c>
      <c r="L243" s="2" t="s">
        <v>38</v>
      </c>
      <c r="M243" s="2" t="s">
        <v>38</v>
      </c>
      <c r="N243" s="2" t="s">
        <v>38</v>
      </c>
      <c r="O243" s="2" t="s">
        <v>38</v>
      </c>
      <c r="P243" s="2" t="s">
        <v>38</v>
      </c>
      <c r="Q243" s="2" t="s">
        <v>670</v>
      </c>
      <c r="R243" s="2" t="s">
        <v>45</v>
      </c>
      <c r="S243" s="2" t="s">
        <v>38</v>
      </c>
      <c r="T243" s="2" t="s">
        <v>632</v>
      </c>
      <c r="U243" s="2" t="s">
        <v>2118</v>
      </c>
      <c r="V243" s="2" t="s">
        <v>2204</v>
      </c>
      <c r="W243" s="2" t="s">
        <v>2208</v>
      </c>
      <c r="X243" s="2" t="s">
        <v>38</v>
      </c>
      <c r="Y243" s="2" t="s">
        <v>2063</v>
      </c>
      <c r="Z243" s="2" t="s">
        <v>45</v>
      </c>
      <c r="AA243" s="2" t="s">
        <v>46</v>
      </c>
      <c r="AB243" s="2" t="s">
        <v>38</v>
      </c>
      <c r="AC243" s="2" t="s">
        <v>1999</v>
      </c>
      <c r="AD243" s="2" t="s">
        <v>2006</v>
      </c>
      <c r="AE243" s="2" t="s">
        <v>2063</v>
      </c>
      <c r="AF243" s="2" t="s">
        <v>38</v>
      </c>
      <c r="AG243" s="34">
        <v>46078</v>
      </c>
    </row>
    <row r="244" spans="1:33" ht="60" x14ac:dyDescent="0.25">
      <c r="A244" s="2" t="s">
        <v>671</v>
      </c>
      <c r="B244" s="2" t="s">
        <v>2814</v>
      </c>
      <c r="C244" s="2" t="s">
        <v>38</v>
      </c>
      <c r="D244" s="2" t="s">
        <v>38</v>
      </c>
      <c r="E244" s="2" t="s">
        <v>48</v>
      </c>
      <c r="F244" s="2" t="s">
        <v>38</v>
      </c>
      <c r="G244" s="2" t="s">
        <v>630</v>
      </c>
      <c r="H244" s="2" t="s">
        <v>2644</v>
      </c>
      <c r="I244" s="2" t="s">
        <v>2719</v>
      </c>
      <c r="J244" s="2" t="s">
        <v>2553</v>
      </c>
      <c r="K244" s="2" t="s">
        <v>41</v>
      </c>
      <c r="L244" s="2" t="s">
        <v>38</v>
      </c>
      <c r="M244" s="2" t="s">
        <v>38</v>
      </c>
      <c r="N244" s="2" t="s">
        <v>38</v>
      </c>
      <c r="O244" s="2" t="s">
        <v>38</v>
      </c>
      <c r="P244" s="2" t="s">
        <v>2902</v>
      </c>
      <c r="Q244" s="2" t="s">
        <v>672</v>
      </c>
      <c r="R244" s="2" t="s">
        <v>45</v>
      </c>
      <c r="S244" s="2" t="s">
        <v>38</v>
      </c>
      <c r="T244" s="2" t="s">
        <v>632</v>
      </c>
      <c r="U244" s="2" t="s">
        <v>38</v>
      </c>
      <c r="V244" s="2" t="s">
        <v>38</v>
      </c>
      <c r="W244" s="2" t="s">
        <v>38</v>
      </c>
      <c r="X244" s="2" t="s">
        <v>38</v>
      </c>
      <c r="Y244" s="2" t="s">
        <v>2063</v>
      </c>
      <c r="Z244" s="2" t="s">
        <v>45</v>
      </c>
      <c r="AA244" s="2" t="s">
        <v>46</v>
      </c>
      <c r="AB244" s="2" t="s">
        <v>38</v>
      </c>
      <c r="AC244" s="2" t="s">
        <v>1999</v>
      </c>
      <c r="AD244" s="2" t="s">
        <v>2006</v>
      </c>
      <c r="AE244" s="2" t="s">
        <v>2063</v>
      </c>
      <c r="AF244" s="2" t="s">
        <v>38</v>
      </c>
      <c r="AG244" s="34">
        <v>46078</v>
      </c>
    </row>
    <row r="245" spans="1:33" ht="60" x14ac:dyDescent="0.25">
      <c r="A245" s="2" t="s">
        <v>673</v>
      </c>
      <c r="B245" s="2" t="s">
        <v>2815</v>
      </c>
      <c r="C245" s="2" t="s">
        <v>38</v>
      </c>
      <c r="D245" s="2" t="s">
        <v>38</v>
      </c>
      <c r="E245" s="2" t="s">
        <v>48</v>
      </c>
      <c r="F245" s="2" t="s">
        <v>38</v>
      </c>
      <c r="G245" s="2" t="s">
        <v>630</v>
      </c>
      <c r="H245" s="2" t="s">
        <v>2563</v>
      </c>
      <c r="I245" s="2" t="s">
        <v>2574</v>
      </c>
      <c r="J245" s="2" t="s">
        <v>2767</v>
      </c>
      <c r="K245" s="2" t="s">
        <v>50</v>
      </c>
      <c r="L245" s="2" t="s">
        <v>38</v>
      </c>
      <c r="M245" s="2" t="s">
        <v>38</v>
      </c>
      <c r="N245" s="2" t="s">
        <v>38</v>
      </c>
      <c r="O245" s="2" t="s">
        <v>38</v>
      </c>
      <c r="P245" s="2" t="s">
        <v>38</v>
      </c>
      <c r="Q245" s="2" t="s">
        <v>674</v>
      </c>
      <c r="R245" s="2" t="s">
        <v>45</v>
      </c>
      <c r="S245" s="2" t="s">
        <v>38</v>
      </c>
      <c r="T245" s="2" t="s">
        <v>632</v>
      </c>
      <c r="U245" s="2" t="s">
        <v>2118</v>
      </c>
      <c r="V245" s="2" t="s">
        <v>2204</v>
      </c>
      <c r="W245" s="2" t="s">
        <v>2274</v>
      </c>
      <c r="X245" s="2" t="s">
        <v>38</v>
      </c>
      <c r="Y245" s="2" t="s">
        <v>2063</v>
      </c>
      <c r="Z245" s="2" t="s">
        <v>45</v>
      </c>
      <c r="AA245" s="2" t="s">
        <v>46</v>
      </c>
      <c r="AB245" s="2" t="s">
        <v>38</v>
      </c>
      <c r="AC245" s="2" t="s">
        <v>1999</v>
      </c>
      <c r="AD245" s="2" t="s">
        <v>2006</v>
      </c>
      <c r="AE245" s="2" t="s">
        <v>2063</v>
      </c>
      <c r="AF245" s="2" t="s">
        <v>38</v>
      </c>
      <c r="AG245" s="34">
        <v>46078</v>
      </c>
    </row>
    <row r="246" spans="1:33" ht="60" x14ac:dyDescent="0.25">
      <c r="A246" s="2" t="s">
        <v>675</v>
      </c>
      <c r="B246" s="2" t="s">
        <v>676</v>
      </c>
      <c r="C246" s="2" t="s">
        <v>38</v>
      </c>
      <c r="D246" s="2" t="s">
        <v>38</v>
      </c>
      <c r="E246" s="2" t="s">
        <v>48</v>
      </c>
      <c r="F246" s="2" t="s">
        <v>38</v>
      </c>
      <c r="G246" s="2" t="s">
        <v>630</v>
      </c>
      <c r="H246" s="2" t="s">
        <v>2610</v>
      </c>
      <c r="I246" s="2" t="s">
        <v>2611</v>
      </c>
      <c r="J246" s="2" t="s">
        <v>2816</v>
      </c>
      <c r="K246" s="2" t="s">
        <v>50</v>
      </c>
      <c r="L246" s="2" t="s">
        <v>38</v>
      </c>
      <c r="M246" s="2" t="s">
        <v>38</v>
      </c>
      <c r="N246" s="2" t="s">
        <v>38</v>
      </c>
      <c r="O246" s="2" t="s">
        <v>38</v>
      </c>
      <c r="P246" s="2" t="s">
        <v>38</v>
      </c>
      <c r="Q246" s="2" t="s">
        <v>670</v>
      </c>
      <c r="R246" s="2" t="s">
        <v>45</v>
      </c>
      <c r="S246" s="2" t="s">
        <v>38</v>
      </c>
      <c r="T246" s="2" t="s">
        <v>632</v>
      </c>
      <c r="U246" s="2" t="s">
        <v>2118</v>
      </c>
      <c r="V246" s="2" t="s">
        <v>2204</v>
      </c>
      <c r="W246" s="2" t="s">
        <v>2208</v>
      </c>
      <c r="X246" s="2" t="s">
        <v>38</v>
      </c>
      <c r="Y246" s="2" t="s">
        <v>641</v>
      </c>
      <c r="Z246" s="2" t="s">
        <v>45</v>
      </c>
      <c r="AA246" s="2" t="s">
        <v>38</v>
      </c>
      <c r="AB246" s="2" t="s">
        <v>632</v>
      </c>
      <c r="AC246" s="2" t="s">
        <v>2118</v>
      </c>
      <c r="AD246" s="2" t="s">
        <v>2119</v>
      </c>
      <c r="AE246" s="2" t="s">
        <v>2229</v>
      </c>
      <c r="AF246" s="2" t="s">
        <v>38</v>
      </c>
      <c r="AG246" s="34">
        <v>46078</v>
      </c>
    </row>
    <row r="247" spans="1:33" ht="135" x14ac:dyDescent="0.25">
      <c r="A247" s="2" t="s">
        <v>677</v>
      </c>
      <c r="B247" s="2" t="s">
        <v>3027</v>
      </c>
      <c r="C247" s="2" t="s">
        <v>38</v>
      </c>
      <c r="D247" s="2" t="s">
        <v>38</v>
      </c>
      <c r="E247" s="2" t="s">
        <v>48</v>
      </c>
      <c r="F247" s="2" t="s">
        <v>38</v>
      </c>
      <c r="G247" s="2" t="s">
        <v>630</v>
      </c>
      <c r="H247" s="2" t="s">
        <v>2563</v>
      </c>
      <c r="I247" s="2" t="s">
        <v>2907</v>
      </c>
      <c r="J247" s="2" t="s">
        <v>3028</v>
      </c>
      <c r="K247" s="2" t="s">
        <v>50</v>
      </c>
      <c r="L247" s="2" t="s">
        <v>38</v>
      </c>
      <c r="M247" s="2" t="s">
        <v>38</v>
      </c>
      <c r="N247" s="2" t="s">
        <v>38</v>
      </c>
      <c r="O247" s="2" t="s">
        <v>38</v>
      </c>
      <c r="P247" s="2" t="s">
        <v>2969</v>
      </c>
      <c r="Q247" s="2" t="s">
        <v>670</v>
      </c>
      <c r="R247" s="2" t="s">
        <v>45</v>
      </c>
      <c r="S247" s="2" t="s">
        <v>38</v>
      </c>
      <c r="T247" s="2" t="s">
        <v>632</v>
      </c>
      <c r="U247" s="2" t="s">
        <v>2118</v>
      </c>
      <c r="V247" s="2" t="s">
        <v>2204</v>
      </c>
      <c r="W247" s="2" t="s">
        <v>2208</v>
      </c>
      <c r="X247" s="2" t="s">
        <v>38</v>
      </c>
      <c r="Y247" s="2" t="s">
        <v>2962</v>
      </c>
      <c r="Z247" s="2" t="s">
        <v>45</v>
      </c>
      <c r="AA247" s="2" t="s">
        <v>77</v>
      </c>
      <c r="AB247" s="2" t="s">
        <v>80</v>
      </c>
      <c r="AC247" s="2" t="s">
        <v>1999</v>
      </c>
      <c r="AD247" s="2" t="s">
        <v>38</v>
      </c>
      <c r="AE247" s="2" t="s">
        <v>2962</v>
      </c>
      <c r="AF247" s="2" t="s">
        <v>38</v>
      </c>
      <c r="AG247" s="34">
        <v>46078</v>
      </c>
    </row>
    <row r="248" spans="1:33" ht="135" x14ac:dyDescent="0.25">
      <c r="A248" s="2" t="s">
        <v>678</v>
      </c>
      <c r="B248" s="2" t="s">
        <v>3029</v>
      </c>
      <c r="C248" s="2" t="s">
        <v>38</v>
      </c>
      <c r="D248" s="2" t="s">
        <v>38</v>
      </c>
      <c r="E248" s="2" t="s">
        <v>48</v>
      </c>
      <c r="F248" s="2" t="s">
        <v>38</v>
      </c>
      <c r="G248" s="2" t="s">
        <v>630</v>
      </c>
      <c r="H248" s="2" t="s">
        <v>2563</v>
      </c>
      <c r="I248" s="2" t="s">
        <v>2907</v>
      </c>
      <c r="J248" s="2" t="s">
        <v>3030</v>
      </c>
      <c r="K248" s="2" t="s">
        <v>50</v>
      </c>
      <c r="L248" s="2" t="s">
        <v>38</v>
      </c>
      <c r="M248" s="2" t="s">
        <v>38</v>
      </c>
      <c r="N248" s="2" t="s">
        <v>38</v>
      </c>
      <c r="O248" s="2" t="s">
        <v>38</v>
      </c>
      <c r="P248" s="2" t="s">
        <v>2969</v>
      </c>
      <c r="Q248" s="2" t="s">
        <v>674</v>
      </c>
      <c r="R248" s="2" t="s">
        <v>45</v>
      </c>
      <c r="S248" s="2" t="s">
        <v>38</v>
      </c>
      <c r="T248" s="2" t="s">
        <v>632</v>
      </c>
      <c r="U248" s="2" t="s">
        <v>2118</v>
      </c>
      <c r="V248" s="2" t="s">
        <v>2204</v>
      </c>
      <c r="W248" s="2" t="s">
        <v>2274</v>
      </c>
      <c r="X248" s="2" t="s">
        <v>38</v>
      </c>
      <c r="Y248" s="2" t="s">
        <v>2962</v>
      </c>
      <c r="Z248" s="2" t="s">
        <v>45</v>
      </c>
      <c r="AA248" s="2" t="s">
        <v>77</v>
      </c>
      <c r="AB248" s="2" t="s">
        <v>80</v>
      </c>
      <c r="AC248" s="2" t="s">
        <v>1999</v>
      </c>
      <c r="AD248" s="2" t="s">
        <v>38</v>
      </c>
      <c r="AE248" s="2" t="s">
        <v>2962</v>
      </c>
      <c r="AF248" s="2" t="s">
        <v>38</v>
      </c>
      <c r="AG248" s="34">
        <v>46078</v>
      </c>
    </row>
    <row r="249" spans="1:33" ht="135" x14ac:dyDescent="0.25">
      <c r="A249" s="2" t="s">
        <v>679</v>
      </c>
      <c r="B249" s="2" t="s">
        <v>3031</v>
      </c>
      <c r="C249" s="2" t="s">
        <v>38</v>
      </c>
      <c r="D249" s="2" t="s">
        <v>38</v>
      </c>
      <c r="E249" s="2" t="s">
        <v>48</v>
      </c>
      <c r="F249" s="2" t="s">
        <v>38</v>
      </c>
      <c r="G249" s="2" t="s">
        <v>630</v>
      </c>
      <c r="H249" s="2" t="s">
        <v>2644</v>
      </c>
      <c r="I249" s="2" t="s">
        <v>67</v>
      </c>
      <c r="J249" s="2" t="s">
        <v>2979</v>
      </c>
      <c r="K249" s="2" t="s">
        <v>50</v>
      </c>
      <c r="L249" s="2" t="s">
        <v>38</v>
      </c>
      <c r="M249" s="2" t="s">
        <v>38</v>
      </c>
      <c r="N249" s="2" t="s">
        <v>38</v>
      </c>
      <c r="O249" s="2" t="s">
        <v>38</v>
      </c>
      <c r="P249" s="2" t="s">
        <v>2969</v>
      </c>
      <c r="Q249" s="2" t="s">
        <v>672</v>
      </c>
      <c r="R249" s="2" t="s">
        <v>45</v>
      </c>
      <c r="S249" s="2" t="s">
        <v>38</v>
      </c>
      <c r="T249" s="2" t="s">
        <v>632</v>
      </c>
      <c r="U249" s="2" t="s">
        <v>38</v>
      </c>
      <c r="V249" s="2" t="s">
        <v>38</v>
      </c>
      <c r="W249" s="2" t="s">
        <v>38</v>
      </c>
      <c r="X249" s="2" t="s">
        <v>38</v>
      </c>
      <c r="Y249" s="2" t="s">
        <v>2962</v>
      </c>
      <c r="Z249" s="2" t="s">
        <v>45</v>
      </c>
      <c r="AA249" s="2" t="s">
        <v>77</v>
      </c>
      <c r="AB249" s="2" t="s">
        <v>80</v>
      </c>
      <c r="AC249" s="2" t="s">
        <v>1999</v>
      </c>
      <c r="AD249" s="2" t="s">
        <v>38</v>
      </c>
      <c r="AE249" s="2" t="s">
        <v>2962</v>
      </c>
      <c r="AF249" s="2" t="s">
        <v>38</v>
      </c>
      <c r="AG249" s="34">
        <v>46078</v>
      </c>
    </row>
    <row r="250" spans="1:33" ht="135" x14ac:dyDescent="0.25">
      <c r="A250" s="2" t="s">
        <v>680</v>
      </c>
      <c r="B250" s="2" t="s">
        <v>3032</v>
      </c>
      <c r="C250" s="2" t="s">
        <v>38</v>
      </c>
      <c r="D250" s="2" t="s">
        <v>38</v>
      </c>
      <c r="E250" s="2" t="s">
        <v>48</v>
      </c>
      <c r="F250" s="2" t="s">
        <v>38</v>
      </c>
      <c r="G250" s="2" t="s">
        <v>630</v>
      </c>
      <c r="H250" s="2" t="s">
        <v>2851</v>
      </c>
      <c r="I250" s="2" t="s">
        <v>2709</v>
      </c>
      <c r="J250" s="2" t="s">
        <v>3033</v>
      </c>
      <c r="K250" s="2" t="s">
        <v>50</v>
      </c>
      <c r="L250" s="2" t="s">
        <v>38</v>
      </c>
      <c r="M250" s="2" t="s">
        <v>38</v>
      </c>
      <c r="N250" s="2" t="s">
        <v>38</v>
      </c>
      <c r="O250" s="2" t="s">
        <v>38</v>
      </c>
      <c r="P250" s="2" t="s">
        <v>2969</v>
      </c>
      <c r="Q250" s="2" t="s">
        <v>2962</v>
      </c>
      <c r="R250" s="2" t="s">
        <v>45</v>
      </c>
      <c r="S250" s="2" t="s">
        <v>77</v>
      </c>
      <c r="T250" s="2" t="s">
        <v>80</v>
      </c>
      <c r="U250" s="2" t="s">
        <v>1999</v>
      </c>
      <c r="V250" s="2" t="s">
        <v>38</v>
      </c>
      <c r="W250" s="2" t="s">
        <v>2962</v>
      </c>
      <c r="X250" s="2" t="s">
        <v>38</v>
      </c>
      <c r="Y250" s="2" t="s">
        <v>643</v>
      </c>
      <c r="Z250" s="2" t="s">
        <v>45</v>
      </c>
      <c r="AA250" s="2" t="s">
        <v>38</v>
      </c>
      <c r="AB250" s="2" t="s">
        <v>632</v>
      </c>
      <c r="AC250" s="2" t="s">
        <v>2118</v>
      </c>
      <c r="AD250" s="2" t="s">
        <v>2119</v>
      </c>
      <c r="AE250" s="2" t="s">
        <v>2232</v>
      </c>
      <c r="AF250" s="2" t="s">
        <v>38</v>
      </c>
      <c r="AG250" s="34">
        <v>46078</v>
      </c>
    </row>
    <row r="251" spans="1:33" ht="135" x14ac:dyDescent="0.25">
      <c r="A251" s="2" t="s">
        <v>681</v>
      </c>
      <c r="B251" s="2" t="s">
        <v>3034</v>
      </c>
      <c r="C251" s="2" t="s">
        <v>38</v>
      </c>
      <c r="D251" s="2" t="s">
        <v>38</v>
      </c>
      <c r="E251" s="2" t="s">
        <v>48</v>
      </c>
      <c r="F251" s="2" t="s">
        <v>38</v>
      </c>
      <c r="G251" s="2" t="s">
        <v>630</v>
      </c>
      <c r="H251" s="2" t="s">
        <v>2563</v>
      </c>
      <c r="I251" s="2" t="s">
        <v>2806</v>
      </c>
      <c r="J251" s="2" t="s">
        <v>3035</v>
      </c>
      <c r="K251" s="2" t="s">
        <v>50</v>
      </c>
      <c r="L251" s="2" t="s">
        <v>38</v>
      </c>
      <c r="M251" s="2" t="s">
        <v>38</v>
      </c>
      <c r="N251" s="2" t="s">
        <v>38</v>
      </c>
      <c r="O251" s="2" t="s">
        <v>38</v>
      </c>
      <c r="P251" s="2" t="s">
        <v>2969</v>
      </c>
      <c r="Q251" s="2" t="s">
        <v>636</v>
      </c>
      <c r="R251" s="2" t="s">
        <v>45</v>
      </c>
      <c r="S251" s="2" t="s">
        <v>38</v>
      </c>
      <c r="T251" s="2" t="s">
        <v>632</v>
      </c>
      <c r="U251" s="2" t="s">
        <v>2118</v>
      </c>
      <c r="V251" s="2" t="s">
        <v>2119</v>
      </c>
      <c r="W251" s="2" t="s">
        <v>2117</v>
      </c>
      <c r="X251" s="2" t="s">
        <v>38</v>
      </c>
      <c r="Y251" s="2" t="s">
        <v>2962</v>
      </c>
      <c r="Z251" s="2" t="s">
        <v>45</v>
      </c>
      <c r="AA251" s="2" t="s">
        <v>77</v>
      </c>
      <c r="AB251" s="2" t="s">
        <v>80</v>
      </c>
      <c r="AC251" s="2" t="s">
        <v>1999</v>
      </c>
      <c r="AD251" s="2" t="s">
        <v>38</v>
      </c>
      <c r="AE251" s="2" t="s">
        <v>2962</v>
      </c>
      <c r="AF251" s="2" t="s">
        <v>38</v>
      </c>
      <c r="AG251" s="34">
        <v>46078</v>
      </c>
    </row>
    <row r="252" spans="1:33" ht="45" x14ac:dyDescent="0.25">
      <c r="A252" s="2" t="s">
        <v>682</v>
      </c>
      <c r="B252" s="2" t="s">
        <v>683</v>
      </c>
      <c r="C252" s="2" t="s">
        <v>38</v>
      </c>
      <c r="D252" s="2" t="s">
        <v>38</v>
      </c>
      <c r="E252" s="2" t="s">
        <v>48</v>
      </c>
      <c r="F252" s="2" t="s">
        <v>38</v>
      </c>
      <c r="G252" s="2" t="s">
        <v>630</v>
      </c>
      <c r="H252" s="2" t="s">
        <v>2610</v>
      </c>
      <c r="I252" s="2" t="s">
        <v>2612</v>
      </c>
      <c r="J252" s="2" t="s">
        <v>2817</v>
      </c>
      <c r="K252" s="2" t="s">
        <v>50</v>
      </c>
      <c r="L252" s="2" t="s">
        <v>38</v>
      </c>
      <c r="M252" s="2" t="s">
        <v>38</v>
      </c>
      <c r="N252" s="2" t="s">
        <v>38</v>
      </c>
      <c r="O252" s="2" t="s">
        <v>38</v>
      </c>
      <c r="P252" s="2" t="s">
        <v>38</v>
      </c>
      <c r="Q252" s="2" t="s">
        <v>667</v>
      </c>
      <c r="R252" s="2" t="s">
        <v>45</v>
      </c>
      <c r="S252" s="2" t="s">
        <v>38</v>
      </c>
      <c r="T252" s="2" t="s">
        <v>632</v>
      </c>
      <c r="U252" s="2" t="s">
        <v>2118</v>
      </c>
      <c r="V252" s="2" t="s">
        <v>2216</v>
      </c>
      <c r="W252" s="2" t="s">
        <v>2215</v>
      </c>
      <c r="X252" s="2" t="s">
        <v>38</v>
      </c>
      <c r="Y252" s="2" t="s">
        <v>643</v>
      </c>
      <c r="Z252" s="2" t="s">
        <v>45</v>
      </c>
      <c r="AA252" s="2" t="s">
        <v>38</v>
      </c>
      <c r="AB252" s="2" t="s">
        <v>632</v>
      </c>
      <c r="AC252" s="2" t="s">
        <v>2118</v>
      </c>
      <c r="AD252" s="2" t="s">
        <v>2119</v>
      </c>
      <c r="AE252" s="2" t="s">
        <v>2232</v>
      </c>
      <c r="AF252" s="2" t="s">
        <v>38</v>
      </c>
      <c r="AG252" s="34">
        <v>46078</v>
      </c>
    </row>
    <row r="253" spans="1:33" ht="60" x14ac:dyDescent="0.25">
      <c r="A253" s="2" t="s">
        <v>684</v>
      </c>
      <c r="B253" s="2" t="s">
        <v>685</v>
      </c>
      <c r="C253" s="2" t="s">
        <v>38</v>
      </c>
      <c r="D253" s="2" t="s">
        <v>38</v>
      </c>
      <c r="E253" s="2" t="s">
        <v>48</v>
      </c>
      <c r="F253" s="2" t="s">
        <v>38</v>
      </c>
      <c r="G253" s="2" t="s">
        <v>630</v>
      </c>
      <c r="H253" s="2" t="s">
        <v>2610</v>
      </c>
      <c r="I253" s="2" t="s">
        <v>2611</v>
      </c>
      <c r="J253" s="2" t="s">
        <v>2818</v>
      </c>
      <c r="K253" s="2" t="s">
        <v>50</v>
      </c>
      <c r="L253" s="2" t="s">
        <v>38</v>
      </c>
      <c r="M253" s="2" t="s">
        <v>38</v>
      </c>
      <c r="N253" s="2" t="s">
        <v>38</v>
      </c>
      <c r="O253" s="2" t="s">
        <v>38</v>
      </c>
      <c r="P253" s="2" t="s">
        <v>38</v>
      </c>
      <c r="Q253" s="2" t="s">
        <v>670</v>
      </c>
      <c r="R253" s="2" t="s">
        <v>45</v>
      </c>
      <c r="S253" s="2" t="s">
        <v>38</v>
      </c>
      <c r="T253" s="2" t="s">
        <v>632</v>
      </c>
      <c r="U253" s="2" t="s">
        <v>2118</v>
      </c>
      <c r="V253" s="2" t="s">
        <v>2204</v>
      </c>
      <c r="W253" s="2" t="s">
        <v>2208</v>
      </c>
      <c r="X253" s="2" t="s">
        <v>38</v>
      </c>
      <c r="Y253" s="2" t="s">
        <v>643</v>
      </c>
      <c r="Z253" s="2" t="s">
        <v>45</v>
      </c>
      <c r="AA253" s="2" t="s">
        <v>38</v>
      </c>
      <c r="AB253" s="2" t="s">
        <v>632</v>
      </c>
      <c r="AC253" s="2" t="s">
        <v>2118</v>
      </c>
      <c r="AD253" s="2" t="s">
        <v>2119</v>
      </c>
      <c r="AE253" s="2" t="s">
        <v>2232</v>
      </c>
      <c r="AF253" s="2" t="s">
        <v>38</v>
      </c>
      <c r="AG253" s="34">
        <v>46078</v>
      </c>
    </row>
    <row r="254" spans="1:33" ht="45" x14ac:dyDescent="0.25">
      <c r="A254" s="2" t="s">
        <v>686</v>
      </c>
      <c r="B254" s="2" t="s">
        <v>687</v>
      </c>
      <c r="C254" s="2" t="s">
        <v>38</v>
      </c>
      <c r="D254" s="2" t="s">
        <v>38</v>
      </c>
      <c r="E254" s="2" t="s">
        <v>48</v>
      </c>
      <c r="F254" s="2" t="s">
        <v>38</v>
      </c>
      <c r="G254" s="2" t="s">
        <v>630</v>
      </c>
      <c r="H254" s="2" t="s">
        <v>2610</v>
      </c>
      <c r="I254" s="2" t="s">
        <v>2819</v>
      </c>
      <c r="J254" s="2" t="s">
        <v>2820</v>
      </c>
      <c r="K254" s="2" t="s">
        <v>50</v>
      </c>
      <c r="L254" s="2" t="s">
        <v>38</v>
      </c>
      <c r="M254" s="2" t="s">
        <v>38</v>
      </c>
      <c r="N254" s="2" t="s">
        <v>38</v>
      </c>
      <c r="O254" s="2" t="s">
        <v>38</v>
      </c>
      <c r="P254" s="2" t="s">
        <v>38</v>
      </c>
      <c r="Q254" s="2" t="s">
        <v>636</v>
      </c>
      <c r="R254" s="2" t="s">
        <v>45</v>
      </c>
      <c r="S254" s="2" t="s">
        <v>38</v>
      </c>
      <c r="T254" s="2" t="s">
        <v>632</v>
      </c>
      <c r="U254" s="2" t="s">
        <v>2118</v>
      </c>
      <c r="V254" s="2" t="s">
        <v>2119</v>
      </c>
      <c r="W254" s="2" t="s">
        <v>2117</v>
      </c>
      <c r="X254" s="2" t="s">
        <v>38</v>
      </c>
      <c r="Y254" s="2" t="s">
        <v>674</v>
      </c>
      <c r="Z254" s="2" t="s">
        <v>45</v>
      </c>
      <c r="AA254" s="2" t="s">
        <v>38</v>
      </c>
      <c r="AB254" s="2" t="s">
        <v>632</v>
      </c>
      <c r="AC254" s="2" t="s">
        <v>2118</v>
      </c>
      <c r="AD254" s="2" t="s">
        <v>2204</v>
      </c>
      <c r="AE254" s="2" t="s">
        <v>2274</v>
      </c>
      <c r="AF254" s="2" t="s">
        <v>38</v>
      </c>
      <c r="AG254" s="34">
        <v>46078</v>
      </c>
    </row>
    <row r="255" spans="1:33" ht="135" x14ac:dyDescent="0.25">
      <c r="A255" s="2" t="s">
        <v>688</v>
      </c>
      <c r="B255" s="2" t="s">
        <v>3036</v>
      </c>
      <c r="C255" s="2" t="s">
        <v>38</v>
      </c>
      <c r="D255" s="2" t="s">
        <v>38</v>
      </c>
      <c r="E255" s="2" t="s">
        <v>163</v>
      </c>
      <c r="F255" s="2" t="s">
        <v>38</v>
      </c>
      <c r="G255" s="2" t="s">
        <v>630</v>
      </c>
      <c r="H255" s="2" t="s">
        <v>2599</v>
      </c>
      <c r="I255" s="2" t="s">
        <v>2808</v>
      </c>
      <c r="J255" s="2" t="s">
        <v>2979</v>
      </c>
      <c r="K255" s="2" t="s">
        <v>50</v>
      </c>
      <c r="L255" s="2" t="s">
        <v>38</v>
      </c>
      <c r="M255" s="2" t="s">
        <v>38</v>
      </c>
      <c r="N255" s="2" t="s">
        <v>38</v>
      </c>
      <c r="O255" s="2" t="s">
        <v>38</v>
      </c>
      <c r="P255" s="2" t="s">
        <v>2969</v>
      </c>
      <c r="Q255" s="2" t="s">
        <v>646</v>
      </c>
      <c r="R255" s="2" t="s">
        <v>59</v>
      </c>
      <c r="S255" s="2" t="s">
        <v>38</v>
      </c>
      <c r="T255" s="2" t="s">
        <v>632</v>
      </c>
      <c r="U255" s="2" t="s">
        <v>2128</v>
      </c>
      <c r="V255" s="2" t="s">
        <v>2332</v>
      </c>
      <c r="W255" s="2" t="s">
        <v>38</v>
      </c>
      <c r="X255" s="2" t="s">
        <v>38</v>
      </c>
      <c r="Y255" s="2" t="s">
        <v>2962</v>
      </c>
      <c r="Z255" s="2" t="s">
        <v>45</v>
      </c>
      <c r="AA255" s="2" t="s">
        <v>77</v>
      </c>
      <c r="AB255" s="2" t="s">
        <v>80</v>
      </c>
      <c r="AC255" s="2" t="s">
        <v>1999</v>
      </c>
      <c r="AD255" s="2" t="s">
        <v>38</v>
      </c>
      <c r="AE255" s="2" t="s">
        <v>2962</v>
      </c>
      <c r="AF255" s="2" t="s">
        <v>38</v>
      </c>
      <c r="AG255" s="34">
        <v>46078</v>
      </c>
    </row>
    <row r="256" spans="1:33" ht="135" x14ac:dyDescent="0.25">
      <c r="A256" s="2" t="s">
        <v>689</v>
      </c>
      <c r="B256" s="2" t="s">
        <v>3037</v>
      </c>
      <c r="C256" s="2" t="s">
        <v>38</v>
      </c>
      <c r="D256" s="2" t="s">
        <v>38</v>
      </c>
      <c r="E256" s="2" t="s">
        <v>48</v>
      </c>
      <c r="F256" s="2" t="s">
        <v>38</v>
      </c>
      <c r="G256" s="2" t="s">
        <v>630</v>
      </c>
      <c r="H256" s="2" t="s">
        <v>2851</v>
      </c>
      <c r="I256" s="2" t="s">
        <v>2709</v>
      </c>
      <c r="J256" s="2" t="s">
        <v>3038</v>
      </c>
      <c r="K256" s="2" t="s">
        <v>50</v>
      </c>
      <c r="L256" s="2" t="s">
        <v>38</v>
      </c>
      <c r="M256" s="2" t="s">
        <v>38</v>
      </c>
      <c r="N256" s="2" t="s">
        <v>38</v>
      </c>
      <c r="O256" s="2" t="s">
        <v>38</v>
      </c>
      <c r="P256" s="2" t="s">
        <v>2969</v>
      </c>
      <c r="Q256" s="2" t="s">
        <v>2962</v>
      </c>
      <c r="R256" s="2" t="s">
        <v>45</v>
      </c>
      <c r="S256" s="2" t="s">
        <v>77</v>
      </c>
      <c r="T256" s="2" t="s">
        <v>80</v>
      </c>
      <c r="U256" s="2" t="s">
        <v>1999</v>
      </c>
      <c r="V256" s="2" t="s">
        <v>38</v>
      </c>
      <c r="W256" s="2" t="s">
        <v>2962</v>
      </c>
      <c r="X256" s="2" t="s">
        <v>38</v>
      </c>
      <c r="Y256" s="2" t="s">
        <v>641</v>
      </c>
      <c r="Z256" s="2" t="s">
        <v>45</v>
      </c>
      <c r="AA256" s="2" t="s">
        <v>38</v>
      </c>
      <c r="AB256" s="2" t="s">
        <v>632</v>
      </c>
      <c r="AC256" s="2" t="s">
        <v>2118</v>
      </c>
      <c r="AD256" s="2" t="s">
        <v>2119</v>
      </c>
      <c r="AE256" s="2" t="s">
        <v>2229</v>
      </c>
      <c r="AF256" s="2" t="s">
        <v>38</v>
      </c>
      <c r="AG256" s="34">
        <v>46078</v>
      </c>
    </row>
    <row r="257" spans="1:33" ht="135" x14ac:dyDescent="0.25">
      <c r="A257" s="2" t="s">
        <v>690</v>
      </c>
      <c r="B257" s="2" t="s">
        <v>3039</v>
      </c>
      <c r="C257" s="2" t="s">
        <v>38</v>
      </c>
      <c r="D257" s="2" t="s">
        <v>38</v>
      </c>
      <c r="E257" s="2" t="s">
        <v>48</v>
      </c>
      <c r="F257" s="2" t="s">
        <v>38</v>
      </c>
      <c r="G257" s="2" t="s">
        <v>630</v>
      </c>
      <c r="H257" s="2" t="s">
        <v>2563</v>
      </c>
      <c r="I257" s="2" t="s">
        <v>2806</v>
      </c>
      <c r="J257" s="2" t="s">
        <v>3040</v>
      </c>
      <c r="K257" s="2" t="s">
        <v>50</v>
      </c>
      <c r="L257" s="2" t="s">
        <v>38</v>
      </c>
      <c r="M257" s="2" t="s">
        <v>38</v>
      </c>
      <c r="N257" s="2" t="s">
        <v>38</v>
      </c>
      <c r="O257" s="2" t="s">
        <v>38</v>
      </c>
      <c r="P257" s="2" t="s">
        <v>2969</v>
      </c>
      <c r="Q257" s="2" t="s">
        <v>638</v>
      </c>
      <c r="R257" s="2" t="s">
        <v>45</v>
      </c>
      <c r="S257" s="2" t="s">
        <v>38</v>
      </c>
      <c r="T257" s="2" t="s">
        <v>632</v>
      </c>
      <c r="U257" s="2" t="s">
        <v>2118</v>
      </c>
      <c r="V257" s="2" t="s">
        <v>2119</v>
      </c>
      <c r="W257" s="2" t="s">
        <v>2240</v>
      </c>
      <c r="X257" s="2" t="s">
        <v>38</v>
      </c>
      <c r="Y257" s="2" t="s">
        <v>2962</v>
      </c>
      <c r="Z257" s="2" t="s">
        <v>45</v>
      </c>
      <c r="AA257" s="2" t="s">
        <v>77</v>
      </c>
      <c r="AB257" s="2" t="s">
        <v>80</v>
      </c>
      <c r="AC257" s="2" t="s">
        <v>1999</v>
      </c>
      <c r="AD257" s="2" t="s">
        <v>38</v>
      </c>
      <c r="AE257" s="2" t="s">
        <v>2962</v>
      </c>
      <c r="AF257" s="2" t="s">
        <v>38</v>
      </c>
      <c r="AG257" s="34">
        <v>46078</v>
      </c>
    </row>
    <row r="258" spans="1:33" ht="135" x14ac:dyDescent="0.25">
      <c r="A258" s="2" t="s">
        <v>691</v>
      </c>
      <c r="B258" s="2" t="s">
        <v>3041</v>
      </c>
      <c r="C258" s="2" t="s">
        <v>38</v>
      </c>
      <c r="D258" s="2" t="s">
        <v>38</v>
      </c>
      <c r="E258" s="2" t="s">
        <v>163</v>
      </c>
      <c r="F258" s="2" t="s">
        <v>38</v>
      </c>
      <c r="G258" s="2" t="s">
        <v>630</v>
      </c>
      <c r="H258" s="2" t="s">
        <v>2599</v>
      </c>
      <c r="I258" s="2" t="s">
        <v>2807</v>
      </c>
      <c r="J258" s="2" t="s">
        <v>2979</v>
      </c>
      <c r="K258" s="2" t="s">
        <v>50</v>
      </c>
      <c r="L258" s="2" t="s">
        <v>38</v>
      </c>
      <c r="M258" s="2" t="s">
        <v>38</v>
      </c>
      <c r="N258" s="2" t="s">
        <v>38</v>
      </c>
      <c r="O258" s="2" t="s">
        <v>38</v>
      </c>
      <c r="P258" s="2" t="s">
        <v>2969</v>
      </c>
      <c r="Q258" s="2" t="s">
        <v>655</v>
      </c>
      <c r="R258" s="2" t="s">
        <v>59</v>
      </c>
      <c r="S258" s="2" t="s">
        <v>38</v>
      </c>
      <c r="T258" s="2" t="s">
        <v>632</v>
      </c>
      <c r="U258" s="2" t="s">
        <v>2128</v>
      </c>
      <c r="V258" s="2" t="s">
        <v>2408</v>
      </c>
      <c r="W258" s="2" t="s">
        <v>38</v>
      </c>
      <c r="X258" s="2" t="s">
        <v>38</v>
      </c>
      <c r="Y258" s="2" t="s">
        <v>2962</v>
      </c>
      <c r="Z258" s="2" t="s">
        <v>45</v>
      </c>
      <c r="AA258" s="2" t="s">
        <v>77</v>
      </c>
      <c r="AB258" s="2" t="s">
        <v>80</v>
      </c>
      <c r="AC258" s="2" t="s">
        <v>1999</v>
      </c>
      <c r="AD258" s="2" t="s">
        <v>38</v>
      </c>
      <c r="AE258" s="2" t="s">
        <v>2962</v>
      </c>
      <c r="AF258" s="2" t="s">
        <v>38</v>
      </c>
      <c r="AG258" s="34">
        <v>46078</v>
      </c>
    </row>
    <row r="259" spans="1:33" ht="45" x14ac:dyDescent="0.25">
      <c r="A259" s="2" t="s">
        <v>692</v>
      </c>
      <c r="B259" s="2" t="s">
        <v>693</v>
      </c>
      <c r="C259" s="2" t="s">
        <v>38</v>
      </c>
      <c r="D259" s="2" t="s">
        <v>38</v>
      </c>
      <c r="E259" s="2" t="s">
        <v>194</v>
      </c>
      <c r="F259" s="2" t="s">
        <v>38</v>
      </c>
      <c r="G259" s="2" t="s">
        <v>630</v>
      </c>
      <c r="H259" s="2" t="s">
        <v>2821</v>
      </c>
      <c r="I259" s="2" t="s">
        <v>2822</v>
      </c>
      <c r="J259" s="2" t="s">
        <v>67</v>
      </c>
      <c r="K259" s="2" t="s">
        <v>50</v>
      </c>
      <c r="L259" s="2" t="s">
        <v>38</v>
      </c>
      <c r="M259" s="2" t="s">
        <v>38</v>
      </c>
      <c r="N259" s="2" t="s">
        <v>38</v>
      </c>
      <c r="O259" s="2" t="s">
        <v>38</v>
      </c>
      <c r="P259" s="2" t="s">
        <v>38</v>
      </c>
      <c r="Q259" s="2" t="s">
        <v>655</v>
      </c>
      <c r="R259" s="2" t="s">
        <v>59</v>
      </c>
      <c r="S259" s="2" t="s">
        <v>38</v>
      </c>
      <c r="T259" s="2" t="s">
        <v>632</v>
      </c>
      <c r="U259" s="2" t="s">
        <v>2128</v>
      </c>
      <c r="V259" s="2" t="s">
        <v>2408</v>
      </c>
      <c r="W259" s="2" t="s">
        <v>38</v>
      </c>
      <c r="X259" s="2" t="s">
        <v>38</v>
      </c>
      <c r="Y259" s="2" t="s">
        <v>694</v>
      </c>
      <c r="Z259" s="2" t="s">
        <v>59</v>
      </c>
      <c r="AA259" s="2" t="s">
        <v>38</v>
      </c>
      <c r="AB259" s="2" t="s">
        <v>632</v>
      </c>
      <c r="AC259" s="2" t="s">
        <v>2185</v>
      </c>
      <c r="AD259" s="2" t="s">
        <v>2184</v>
      </c>
      <c r="AE259" s="2" t="s">
        <v>38</v>
      </c>
      <c r="AF259" s="2" t="s">
        <v>38</v>
      </c>
      <c r="AG259" s="34">
        <v>46078</v>
      </c>
    </row>
    <row r="260" spans="1:33" ht="45" x14ac:dyDescent="0.25">
      <c r="A260" s="2" t="s">
        <v>695</v>
      </c>
      <c r="B260" s="2" t="s">
        <v>696</v>
      </c>
      <c r="C260" s="2" t="s">
        <v>38</v>
      </c>
      <c r="D260" s="2" t="s">
        <v>38</v>
      </c>
      <c r="E260" s="2" t="s">
        <v>194</v>
      </c>
      <c r="F260" s="2" t="s">
        <v>38</v>
      </c>
      <c r="G260" s="2" t="s">
        <v>630</v>
      </c>
      <c r="H260" s="2" t="s">
        <v>2580</v>
      </c>
      <c r="I260" s="2" t="s">
        <v>2614</v>
      </c>
      <c r="J260" s="2" t="s">
        <v>67</v>
      </c>
      <c r="K260" s="2" t="s">
        <v>50</v>
      </c>
      <c r="L260" s="2" t="s">
        <v>38</v>
      </c>
      <c r="M260" s="2" t="s">
        <v>38</v>
      </c>
      <c r="N260" s="2" t="s">
        <v>38</v>
      </c>
      <c r="O260" s="2" t="s">
        <v>38</v>
      </c>
      <c r="P260" s="2" t="s">
        <v>38</v>
      </c>
      <c r="Q260" s="2" t="s">
        <v>655</v>
      </c>
      <c r="R260" s="2" t="s">
        <v>59</v>
      </c>
      <c r="S260" s="2" t="s">
        <v>38</v>
      </c>
      <c r="T260" s="2" t="s">
        <v>632</v>
      </c>
      <c r="U260" s="2" t="s">
        <v>2128</v>
      </c>
      <c r="V260" s="2" t="s">
        <v>2408</v>
      </c>
      <c r="W260" s="2" t="s">
        <v>38</v>
      </c>
      <c r="X260" s="2" t="s">
        <v>38</v>
      </c>
      <c r="Y260" s="2" t="s">
        <v>697</v>
      </c>
      <c r="Z260" s="2" t="s">
        <v>59</v>
      </c>
      <c r="AA260" s="2" t="s">
        <v>38</v>
      </c>
      <c r="AB260" s="2" t="s">
        <v>632</v>
      </c>
      <c r="AC260" s="2" t="s">
        <v>2128</v>
      </c>
      <c r="AD260" s="2" t="s">
        <v>2268</v>
      </c>
      <c r="AE260" s="2" t="s">
        <v>38</v>
      </c>
      <c r="AF260" s="2" t="s">
        <v>38</v>
      </c>
      <c r="AG260" s="34">
        <v>46078</v>
      </c>
    </row>
    <row r="261" spans="1:33" ht="60" x14ac:dyDescent="0.25">
      <c r="A261" s="2" t="s">
        <v>698</v>
      </c>
      <c r="B261" s="2" t="s">
        <v>699</v>
      </c>
      <c r="C261" s="2" t="s">
        <v>38</v>
      </c>
      <c r="D261" s="2" t="s">
        <v>38</v>
      </c>
      <c r="E261" s="2" t="s">
        <v>350</v>
      </c>
      <c r="F261" s="2" t="s">
        <v>38</v>
      </c>
      <c r="G261" s="2" t="s">
        <v>630</v>
      </c>
      <c r="H261" s="2" t="s">
        <v>2627</v>
      </c>
      <c r="I261" s="2" t="s">
        <v>2788</v>
      </c>
      <c r="J261" s="2" t="s">
        <v>2589</v>
      </c>
      <c r="K261" s="2" t="s">
        <v>50</v>
      </c>
      <c r="L261" s="2" t="s">
        <v>38</v>
      </c>
      <c r="M261" s="2" t="s">
        <v>38</v>
      </c>
      <c r="N261" s="2" t="s">
        <v>38</v>
      </c>
      <c r="O261" s="2" t="s">
        <v>38</v>
      </c>
      <c r="P261" s="2" t="s">
        <v>38</v>
      </c>
      <c r="Q261" s="2" t="s">
        <v>694</v>
      </c>
      <c r="R261" s="2" t="s">
        <v>59</v>
      </c>
      <c r="S261" s="2" t="s">
        <v>38</v>
      </c>
      <c r="T261" s="2" t="s">
        <v>632</v>
      </c>
      <c r="U261" s="2" t="s">
        <v>2185</v>
      </c>
      <c r="V261" s="2" t="s">
        <v>2184</v>
      </c>
      <c r="W261" s="2" t="s">
        <v>38</v>
      </c>
      <c r="X261" s="2" t="s">
        <v>38</v>
      </c>
      <c r="Y261" s="2" t="s">
        <v>700</v>
      </c>
      <c r="Z261" s="2" t="s">
        <v>315</v>
      </c>
      <c r="AA261" s="2" t="s">
        <v>38</v>
      </c>
      <c r="AB261" s="2" t="s">
        <v>632</v>
      </c>
      <c r="AC261" s="2" t="s">
        <v>2128</v>
      </c>
      <c r="AD261" s="2" t="s">
        <v>2129</v>
      </c>
      <c r="AE261" s="2" t="s">
        <v>2150</v>
      </c>
      <c r="AF261" s="2" t="s">
        <v>2159</v>
      </c>
      <c r="AG261" s="34">
        <v>46078</v>
      </c>
    </row>
    <row r="262" spans="1:33" ht="45" x14ac:dyDescent="0.25">
      <c r="A262" s="2" t="s">
        <v>701</v>
      </c>
      <c r="B262" s="2" t="s">
        <v>702</v>
      </c>
      <c r="C262" s="2" t="s">
        <v>38</v>
      </c>
      <c r="D262" s="2" t="s">
        <v>38</v>
      </c>
      <c r="E262" s="2" t="s">
        <v>194</v>
      </c>
      <c r="F262" s="2" t="s">
        <v>38</v>
      </c>
      <c r="G262" s="2" t="s">
        <v>630</v>
      </c>
      <c r="H262" s="2" t="s">
        <v>2821</v>
      </c>
      <c r="I262" s="2" t="s">
        <v>2823</v>
      </c>
      <c r="J262" s="2" t="s">
        <v>67</v>
      </c>
      <c r="K262" s="2" t="s">
        <v>50</v>
      </c>
      <c r="L262" s="2" t="s">
        <v>38</v>
      </c>
      <c r="M262" s="2" t="s">
        <v>38</v>
      </c>
      <c r="N262" s="2" t="s">
        <v>38</v>
      </c>
      <c r="O262" s="2" t="s">
        <v>38</v>
      </c>
      <c r="P262" s="2" t="s">
        <v>38</v>
      </c>
      <c r="Q262" s="2" t="s">
        <v>697</v>
      </c>
      <c r="R262" s="2" t="s">
        <v>59</v>
      </c>
      <c r="S262" s="2" t="s">
        <v>38</v>
      </c>
      <c r="T262" s="2" t="s">
        <v>632</v>
      </c>
      <c r="U262" s="2" t="s">
        <v>2128</v>
      </c>
      <c r="V262" s="2" t="s">
        <v>2268</v>
      </c>
      <c r="W262" s="2" t="s">
        <v>38</v>
      </c>
      <c r="X262" s="2" t="s">
        <v>38</v>
      </c>
      <c r="Y262" s="2" t="s">
        <v>703</v>
      </c>
      <c r="Z262" s="2" t="s">
        <v>59</v>
      </c>
      <c r="AA262" s="2" t="s">
        <v>38</v>
      </c>
      <c r="AB262" s="2" t="s">
        <v>632</v>
      </c>
      <c r="AC262" s="2" t="s">
        <v>2185</v>
      </c>
      <c r="AD262" s="2" t="s">
        <v>2271</v>
      </c>
      <c r="AE262" s="2" t="s">
        <v>38</v>
      </c>
      <c r="AF262" s="2" t="s">
        <v>38</v>
      </c>
      <c r="AG262" s="34">
        <v>46078</v>
      </c>
    </row>
    <row r="263" spans="1:33" ht="135" x14ac:dyDescent="0.25">
      <c r="A263" s="2" t="s">
        <v>704</v>
      </c>
      <c r="B263" s="2" t="s">
        <v>3042</v>
      </c>
      <c r="C263" s="2" t="s">
        <v>38</v>
      </c>
      <c r="D263" s="2" t="s">
        <v>38</v>
      </c>
      <c r="E263" s="2" t="s">
        <v>163</v>
      </c>
      <c r="F263" s="2" t="s">
        <v>38</v>
      </c>
      <c r="G263" s="2" t="s">
        <v>630</v>
      </c>
      <c r="H263" s="2" t="s">
        <v>2995</v>
      </c>
      <c r="I263" s="2" t="s">
        <v>2916</v>
      </c>
      <c r="J263" s="2" t="s">
        <v>2979</v>
      </c>
      <c r="K263" s="2" t="s">
        <v>50</v>
      </c>
      <c r="L263" s="2" t="s">
        <v>38</v>
      </c>
      <c r="M263" s="2" t="s">
        <v>38</v>
      </c>
      <c r="N263" s="2" t="s">
        <v>38</v>
      </c>
      <c r="O263" s="2" t="s">
        <v>38</v>
      </c>
      <c r="P263" s="2" t="s">
        <v>2969</v>
      </c>
      <c r="Q263" s="2" t="s">
        <v>703</v>
      </c>
      <c r="R263" s="2" t="s">
        <v>59</v>
      </c>
      <c r="S263" s="2" t="s">
        <v>38</v>
      </c>
      <c r="T263" s="2" t="s">
        <v>632</v>
      </c>
      <c r="U263" s="2" t="s">
        <v>2185</v>
      </c>
      <c r="V263" s="2" t="s">
        <v>2271</v>
      </c>
      <c r="W263" s="2" t="s">
        <v>38</v>
      </c>
      <c r="X263" s="2" t="s">
        <v>38</v>
      </c>
      <c r="Y263" s="2" t="s">
        <v>2962</v>
      </c>
      <c r="Z263" s="2" t="s">
        <v>45</v>
      </c>
      <c r="AA263" s="2" t="s">
        <v>77</v>
      </c>
      <c r="AB263" s="2" t="s">
        <v>80</v>
      </c>
      <c r="AC263" s="2" t="s">
        <v>1999</v>
      </c>
      <c r="AD263" s="2" t="s">
        <v>38</v>
      </c>
      <c r="AE263" s="2" t="s">
        <v>2962</v>
      </c>
      <c r="AF263" s="2" t="s">
        <v>38</v>
      </c>
      <c r="AG263" s="34">
        <v>46078</v>
      </c>
    </row>
    <row r="264" spans="1:33" ht="45" x14ac:dyDescent="0.25">
      <c r="A264" s="2" t="s">
        <v>705</v>
      </c>
      <c r="B264" s="2" t="s">
        <v>706</v>
      </c>
      <c r="C264" s="2" t="s">
        <v>38</v>
      </c>
      <c r="D264" s="2" t="s">
        <v>38</v>
      </c>
      <c r="E264" s="2" t="s">
        <v>194</v>
      </c>
      <c r="F264" s="2" t="s">
        <v>38</v>
      </c>
      <c r="G264" s="2" t="s">
        <v>630</v>
      </c>
      <c r="H264" s="2" t="s">
        <v>2616</v>
      </c>
      <c r="I264" s="2" t="s">
        <v>2615</v>
      </c>
      <c r="J264" s="2" t="s">
        <v>67</v>
      </c>
      <c r="K264" s="2" t="s">
        <v>50</v>
      </c>
      <c r="L264" s="2" t="s">
        <v>38</v>
      </c>
      <c r="M264" s="2" t="s">
        <v>38</v>
      </c>
      <c r="N264" s="2" t="s">
        <v>38</v>
      </c>
      <c r="O264" s="2" t="s">
        <v>38</v>
      </c>
      <c r="P264" s="2" t="s">
        <v>38</v>
      </c>
      <c r="Q264" s="2" t="s">
        <v>707</v>
      </c>
      <c r="R264" s="2" t="s">
        <v>59</v>
      </c>
      <c r="S264" s="2" t="s">
        <v>38</v>
      </c>
      <c r="T264" s="2" t="s">
        <v>632</v>
      </c>
      <c r="U264" s="2" t="s">
        <v>2259</v>
      </c>
      <c r="V264" s="2" t="s">
        <v>2258</v>
      </c>
      <c r="W264" s="2" t="s">
        <v>38</v>
      </c>
      <c r="X264" s="2" t="s">
        <v>38</v>
      </c>
      <c r="Y264" s="2" t="s">
        <v>697</v>
      </c>
      <c r="Z264" s="2" t="s">
        <v>59</v>
      </c>
      <c r="AA264" s="2" t="s">
        <v>38</v>
      </c>
      <c r="AB264" s="2" t="s">
        <v>632</v>
      </c>
      <c r="AC264" s="2" t="s">
        <v>2128</v>
      </c>
      <c r="AD264" s="2" t="s">
        <v>2268</v>
      </c>
      <c r="AE264" s="2" t="s">
        <v>38</v>
      </c>
      <c r="AF264" s="2" t="s">
        <v>38</v>
      </c>
      <c r="AG264" s="34">
        <v>46078</v>
      </c>
    </row>
    <row r="265" spans="1:33" ht="45" x14ac:dyDescent="0.25">
      <c r="A265" s="2" t="s">
        <v>708</v>
      </c>
      <c r="B265" s="2" t="s">
        <v>709</v>
      </c>
      <c r="C265" s="2" t="s">
        <v>38</v>
      </c>
      <c r="D265" s="2" t="s">
        <v>38</v>
      </c>
      <c r="E265" s="2" t="s">
        <v>194</v>
      </c>
      <c r="F265" s="2" t="s">
        <v>38</v>
      </c>
      <c r="G265" s="2" t="s">
        <v>630</v>
      </c>
      <c r="H265" s="2" t="s">
        <v>2795</v>
      </c>
      <c r="I265" s="2" t="s">
        <v>2794</v>
      </c>
      <c r="J265" s="2" t="s">
        <v>67</v>
      </c>
      <c r="K265" s="2" t="s">
        <v>50</v>
      </c>
      <c r="L265" s="2" t="s">
        <v>38</v>
      </c>
      <c r="M265" s="2" t="s">
        <v>38</v>
      </c>
      <c r="N265" s="2" t="s">
        <v>38</v>
      </c>
      <c r="O265" s="2" t="s">
        <v>38</v>
      </c>
      <c r="P265" s="2" t="s">
        <v>38</v>
      </c>
      <c r="Q265" s="2" t="s">
        <v>697</v>
      </c>
      <c r="R265" s="2" t="s">
        <v>59</v>
      </c>
      <c r="S265" s="2" t="s">
        <v>38</v>
      </c>
      <c r="T265" s="2" t="s">
        <v>632</v>
      </c>
      <c r="U265" s="2" t="s">
        <v>2128</v>
      </c>
      <c r="V265" s="2" t="s">
        <v>2268</v>
      </c>
      <c r="W265" s="2" t="s">
        <v>38</v>
      </c>
      <c r="X265" s="2" t="s">
        <v>38</v>
      </c>
      <c r="Y265" s="2" t="s">
        <v>710</v>
      </c>
      <c r="Z265" s="2" t="s">
        <v>59</v>
      </c>
      <c r="AA265" s="2" t="s">
        <v>38</v>
      </c>
      <c r="AB265" s="2" t="s">
        <v>632</v>
      </c>
      <c r="AC265" s="2" t="s">
        <v>2248</v>
      </c>
      <c r="AD265" s="2" t="s">
        <v>2359</v>
      </c>
      <c r="AE265" s="2" t="s">
        <v>38</v>
      </c>
      <c r="AF265" s="2" t="s">
        <v>38</v>
      </c>
      <c r="AG265" s="34">
        <v>46078</v>
      </c>
    </row>
    <row r="266" spans="1:33" ht="45" x14ac:dyDescent="0.25">
      <c r="A266" s="2" t="s">
        <v>711</v>
      </c>
      <c r="B266" s="2" t="s">
        <v>712</v>
      </c>
      <c r="C266" s="2" t="s">
        <v>38</v>
      </c>
      <c r="D266" s="2" t="s">
        <v>38</v>
      </c>
      <c r="E266" s="2" t="s">
        <v>163</v>
      </c>
      <c r="F266" s="2" t="s">
        <v>38</v>
      </c>
      <c r="G266" s="2" t="s">
        <v>630</v>
      </c>
      <c r="H266" s="2" t="s">
        <v>2580</v>
      </c>
      <c r="I266" s="2" t="s">
        <v>2824</v>
      </c>
      <c r="J266" s="2" t="s">
        <v>2589</v>
      </c>
      <c r="K266" s="2" t="s">
        <v>50</v>
      </c>
      <c r="L266" s="2" t="s">
        <v>38</v>
      </c>
      <c r="M266" s="2" t="s">
        <v>38</v>
      </c>
      <c r="N266" s="2" t="s">
        <v>38</v>
      </c>
      <c r="O266" s="2" t="s">
        <v>38</v>
      </c>
      <c r="P266" s="2" t="s">
        <v>38</v>
      </c>
      <c r="Q266" s="2" t="s">
        <v>697</v>
      </c>
      <c r="R266" s="2" t="s">
        <v>59</v>
      </c>
      <c r="S266" s="2" t="s">
        <v>38</v>
      </c>
      <c r="T266" s="2" t="s">
        <v>632</v>
      </c>
      <c r="U266" s="2" t="s">
        <v>2128</v>
      </c>
      <c r="V266" s="2" t="s">
        <v>2268</v>
      </c>
      <c r="W266" s="2" t="s">
        <v>38</v>
      </c>
      <c r="X266" s="2" t="s">
        <v>38</v>
      </c>
      <c r="Y266" s="2" t="s">
        <v>713</v>
      </c>
      <c r="Z266" s="2" t="s">
        <v>45</v>
      </c>
      <c r="AA266" s="2" t="s">
        <v>38</v>
      </c>
      <c r="AB266" s="2" t="s">
        <v>632</v>
      </c>
      <c r="AC266" s="2" t="s">
        <v>2128</v>
      </c>
      <c r="AD266" s="2" t="s">
        <v>2129</v>
      </c>
      <c r="AE266" s="2" t="s">
        <v>2150</v>
      </c>
      <c r="AF266" s="2" t="s">
        <v>38</v>
      </c>
      <c r="AG266" s="34">
        <v>46078</v>
      </c>
    </row>
    <row r="267" spans="1:33" ht="45" x14ac:dyDescent="0.25">
      <c r="A267" s="2" t="s">
        <v>714</v>
      </c>
      <c r="B267" s="2" t="s">
        <v>715</v>
      </c>
      <c r="C267" s="2" t="s">
        <v>38</v>
      </c>
      <c r="D267" s="2" t="s">
        <v>38</v>
      </c>
      <c r="E267" s="2" t="s">
        <v>163</v>
      </c>
      <c r="F267" s="2" t="s">
        <v>38</v>
      </c>
      <c r="G267" s="2" t="s">
        <v>630</v>
      </c>
      <c r="H267" s="2" t="s">
        <v>2580</v>
      </c>
      <c r="I267" s="2" t="s">
        <v>2824</v>
      </c>
      <c r="J267" s="2" t="s">
        <v>2586</v>
      </c>
      <c r="K267" s="2" t="s">
        <v>50</v>
      </c>
      <c r="L267" s="2" t="s">
        <v>38</v>
      </c>
      <c r="M267" s="2" t="s">
        <v>38</v>
      </c>
      <c r="N267" s="2" t="s">
        <v>38</v>
      </c>
      <c r="O267" s="2" t="s">
        <v>38</v>
      </c>
      <c r="P267" s="2" t="s">
        <v>38</v>
      </c>
      <c r="Q267" s="2" t="s">
        <v>697</v>
      </c>
      <c r="R267" s="2" t="s">
        <v>59</v>
      </c>
      <c r="S267" s="2" t="s">
        <v>38</v>
      </c>
      <c r="T267" s="2" t="s">
        <v>632</v>
      </c>
      <c r="U267" s="2" t="s">
        <v>2128</v>
      </c>
      <c r="V267" s="2" t="s">
        <v>2268</v>
      </c>
      <c r="W267" s="2" t="s">
        <v>38</v>
      </c>
      <c r="X267" s="2" t="s">
        <v>38</v>
      </c>
      <c r="Y267" s="2" t="s">
        <v>716</v>
      </c>
      <c r="Z267" s="2" t="s">
        <v>45</v>
      </c>
      <c r="AA267" s="2" t="s">
        <v>38</v>
      </c>
      <c r="AB267" s="2" t="s">
        <v>632</v>
      </c>
      <c r="AC267" s="2" t="s">
        <v>2128</v>
      </c>
      <c r="AD267" s="2" t="s">
        <v>2129</v>
      </c>
      <c r="AE267" s="2" t="s">
        <v>2127</v>
      </c>
      <c r="AF267" s="2" t="s">
        <v>38</v>
      </c>
      <c r="AG267" s="34">
        <v>46078</v>
      </c>
    </row>
    <row r="268" spans="1:33" ht="45" x14ac:dyDescent="0.25">
      <c r="A268" s="2" t="s">
        <v>717</v>
      </c>
      <c r="B268" s="2" t="s">
        <v>718</v>
      </c>
      <c r="C268" s="2" t="s">
        <v>38</v>
      </c>
      <c r="D268" s="2" t="s">
        <v>38</v>
      </c>
      <c r="E268" s="2" t="s">
        <v>163</v>
      </c>
      <c r="F268" s="2" t="s">
        <v>38</v>
      </c>
      <c r="G268" s="2" t="s">
        <v>630</v>
      </c>
      <c r="H268" s="2" t="s">
        <v>2580</v>
      </c>
      <c r="I268" s="2" t="s">
        <v>2824</v>
      </c>
      <c r="J268" s="2" t="s">
        <v>2584</v>
      </c>
      <c r="K268" s="2" t="s">
        <v>50</v>
      </c>
      <c r="L268" s="2" t="s">
        <v>38</v>
      </c>
      <c r="M268" s="2" t="s">
        <v>38</v>
      </c>
      <c r="N268" s="2" t="s">
        <v>38</v>
      </c>
      <c r="O268" s="2" t="s">
        <v>38</v>
      </c>
      <c r="P268" s="2" t="s">
        <v>38</v>
      </c>
      <c r="Q268" s="2" t="s">
        <v>697</v>
      </c>
      <c r="R268" s="2" t="s">
        <v>59</v>
      </c>
      <c r="S268" s="2" t="s">
        <v>38</v>
      </c>
      <c r="T268" s="2" t="s">
        <v>632</v>
      </c>
      <c r="U268" s="2" t="s">
        <v>2128</v>
      </c>
      <c r="V268" s="2" t="s">
        <v>2268</v>
      </c>
      <c r="W268" s="2" t="s">
        <v>38</v>
      </c>
      <c r="X268" s="2" t="s">
        <v>38</v>
      </c>
      <c r="Y268" s="2" t="s">
        <v>719</v>
      </c>
      <c r="Z268" s="2" t="s">
        <v>45</v>
      </c>
      <c r="AA268" s="2" t="s">
        <v>38</v>
      </c>
      <c r="AB268" s="2" t="s">
        <v>632</v>
      </c>
      <c r="AC268" s="2" t="s">
        <v>2128</v>
      </c>
      <c r="AD268" s="2" t="s">
        <v>2129</v>
      </c>
      <c r="AE268" s="2" t="s">
        <v>2262</v>
      </c>
      <c r="AF268" s="2" t="s">
        <v>38</v>
      </c>
      <c r="AG268" s="34">
        <v>46078</v>
      </c>
    </row>
    <row r="269" spans="1:33" ht="225" x14ac:dyDescent="0.25">
      <c r="A269" s="2" t="s">
        <v>720</v>
      </c>
      <c r="B269" s="2" t="s">
        <v>2825</v>
      </c>
      <c r="C269" s="2" t="s">
        <v>38</v>
      </c>
      <c r="D269" s="2" t="s">
        <v>38</v>
      </c>
      <c r="E269" s="2" t="s">
        <v>320</v>
      </c>
      <c r="F269" s="2" t="s">
        <v>62</v>
      </c>
      <c r="G269" s="2" t="s">
        <v>630</v>
      </c>
      <c r="H269" s="2" t="s">
        <v>2710</v>
      </c>
      <c r="I269" s="2" t="s">
        <v>2583</v>
      </c>
      <c r="J269" s="2" t="s">
        <v>3012</v>
      </c>
      <c r="K269" s="2" t="s">
        <v>50</v>
      </c>
      <c r="L269" s="2" t="s">
        <v>721</v>
      </c>
      <c r="M269" s="2" t="s">
        <v>89</v>
      </c>
      <c r="N269" s="2" t="s">
        <v>722</v>
      </c>
      <c r="O269" s="2" t="s">
        <v>3383</v>
      </c>
      <c r="P269" s="2" t="s">
        <v>3382</v>
      </c>
      <c r="Q269" s="2" t="s">
        <v>2177</v>
      </c>
      <c r="R269" s="2" t="s">
        <v>315</v>
      </c>
      <c r="S269" s="2" t="s">
        <v>38</v>
      </c>
      <c r="T269" s="2" t="s">
        <v>38</v>
      </c>
      <c r="U269" s="2" t="s">
        <v>2047</v>
      </c>
      <c r="V269" s="2" t="s">
        <v>38</v>
      </c>
      <c r="W269" s="2" t="s">
        <v>2957</v>
      </c>
      <c r="X269" s="2" t="s">
        <v>2177</v>
      </c>
      <c r="Y269" s="2" t="s">
        <v>723</v>
      </c>
      <c r="Z269" s="2" t="s">
        <v>315</v>
      </c>
      <c r="AA269" s="2" t="s">
        <v>38</v>
      </c>
      <c r="AB269" s="2" t="s">
        <v>632</v>
      </c>
      <c r="AC269" s="2" t="s">
        <v>2128</v>
      </c>
      <c r="AD269" s="2" t="s">
        <v>2129</v>
      </c>
      <c r="AE269" s="2" t="s">
        <v>2150</v>
      </c>
      <c r="AF269" s="2" t="s">
        <v>2149</v>
      </c>
      <c r="AG269" s="34">
        <v>46078</v>
      </c>
    </row>
    <row r="270" spans="1:33" ht="60" x14ac:dyDescent="0.25">
      <c r="A270" s="2" t="s">
        <v>724</v>
      </c>
      <c r="B270" s="2" t="s">
        <v>2826</v>
      </c>
      <c r="C270" s="2" t="s">
        <v>38</v>
      </c>
      <c r="D270" s="2" t="s">
        <v>38</v>
      </c>
      <c r="E270" s="2" t="s">
        <v>350</v>
      </c>
      <c r="F270" s="2" t="s">
        <v>38</v>
      </c>
      <c r="G270" s="2" t="s">
        <v>630</v>
      </c>
      <c r="H270" s="2" t="s">
        <v>2572</v>
      </c>
      <c r="I270" s="2" t="s">
        <v>2793</v>
      </c>
      <c r="J270" s="2" t="s">
        <v>2557</v>
      </c>
      <c r="K270" s="2" t="s">
        <v>50</v>
      </c>
      <c r="L270" s="2" t="s">
        <v>38</v>
      </c>
      <c r="M270" s="2" t="s">
        <v>38</v>
      </c>
      <c r="N270" s="2" t="s">
        <v>38</v>
      </c>
      <c r="O270" s="2" t="s">
        <v>38</v>
      </c>
      <c r="P270" s="2" t="s">
        <v>38</v>
      </c>
      <c r="Q270" s="2" t="s">
        <v>725</v>
      </c>
      <c r="R270" s="2" t="s">
        <v>59</v>
      </c>
      <c r="S270" s="2" t="s">
        <v>38</v>
      </c>
      <c r="T270" s="2" t="s">
        <v>632</v>
      </c>
      <c r="U270" s="2" t="s">
        <v>2248</v>
      </c>
      <c r="V270" s="2" t="s">
        <v>2247</v>
      </c>
      <c r="W270" s="2" t="s">
        <v>38</v>
      </c>
      <c r="X270" s="2" t="s">
        <v>38</v>
      </c>
      <c r="Y270" s="2" t="s">
        <v>2171</v>
      </c>
      <c r="Z270" s="2" t="s">
        <v>315</v>
      </c>
      <c r="AA270" s="2" t="s">
        <v>38</v>
      </c>
      <c r="AB270" s="2" t="s">
        <v>38</v>
      </c>
      <c r="AC270" s="2" t="s">
        <v>2071</v>
      </c>
      <c r="AD270" s="2" t="s">
        <v>38</v>
      </c>
      <c r="AE270" s="2" t="s">
        <v>2070</v>
      </c>
      <c r="AF270" s="2" t="s">
        <v>2171</v>
      </c>
      <c r="AG270" s="34">
        <v>46078</v>
      </c>
    </row>
    <row r="271" spans="1:33" ht="255" x14ac:dyDescent="0.25">
      <c r="A271" s="2" t="s">
        <v>726</v>
      </c>
      <c r="B271" s="2" t="s">
        <v>2827</v>
      </c>
      <c r="C271" s="2" t="s">
        <v>38</v>
      </c>
      <c r="D271" s="2" t="s">
        <v>38</v>
      </c>
      <c r="E271" s="2" t="s">
        <v>350</v>
      </c>
      <c r="F271" s="2" t="s">
        <v>62</v>
      </c>
      <c r="G271" s="2" t="s">
        <v>40</v>
      </c>
      <c r="H271" s="2" t="s">
        <v>2572</v>
      </c>
      <c r="I271" s="2" t="s">
        <v>2793</v>
      </c>
      <c r="J271" s="2" t="s">
        <v>2557</v>
      </c>
      <c r="K271" s="2" t="s">
        <v>50</v>
      </c>
      <c r="L271" s="2" t="s">
        <v>727</v>
      </c>
      <c r="M271" s="2" t="s">
        <v>89</v>
      </c>
      <c r="N271" s="2" t="s">
        <v>728</v>
      </c>
      <c r="O271" s="2" t="s">
        <v>3384</v>
      </c>
      <c r="P271" s="2" t="s">
        <v>38</v>
      </c>
      <c r="Q271" s="2" t="s">
        <v>2247</v>
      </c>
      <c r="R271" s="2" t="s">
        <v>59</v>
      </c>
      <c r="S271" s="2" t="s">
        <v>38</v>
      </c>
      <c r="T271" s="2" t="s">
        <v>60</v>
      </c>
      <c r="U271" s="2" t="s">
        <v>2248</v>
      </c>
      <c r="V271" s="2" t="s">
        <v>2247</v>
      </c>
      <c r="W271" s="2" t="s">
        <v>38</v>
      </c>
      <c r="X271" s="2" t="s">
        <v>38</v>
      </c>
      <c r="Y271" s="2" t="s">
        <v>2165</v>
      </c>
      <c r="Z271" s="2" t="s">
        <v>315</v>
      </c>
      <c r="AA271" s="2" t="s">
        <v>38</v>
      </c>
      <c r="AB271" s="2" t="s">
        <v>38</v>
      </c>
      <c r="AC271" s="2" t="s">
        <v>2071</v>
      </c>
      <c r="AD271" s="2" t="s">
        <v>38</v>
      </c>
      <c r="AE271" s="2" t="s">
        <v>2070</v>
      </c>
      <c r="AF271" s="2" t="s">
        <v>2165</v>
      </c>
      <c r="AG271" s="34">
        <v>46078</v>
      </c>
    </row>
    <row r="272" spans="1:33" ht="60" x14ac:dyDescent="0.25">
      <c r="A272" s="2" t="s">
        <v>729</v>
      </c>
      <c r="B272" s="2" t="s">
        <v>2828</v>
      </c>
      <c r="C272" s="2" t="s">
        <v>38</v>
      </c>
      <c r="D272" s="2" t="s">
        <v>38</v>
      </c>
      <c r="E272" s="2" t="s">
        <v>350</v>
      </c>
      <c r="F272" s="2" t="s">
        <v>38</v>
      </c>
      <c r="G272" s="2" t="s">
        <v>630</v>
      </c>
      <c r="H272" s="2" t="s">
        <v>2741</v>
      </c>
      <c r="I272" s="2" t="s">
        <v>2829</v>
      </c>
      <c r="J272" s="2" t="s">
        <v>2683</v>
      </c>
      <c r="K272" s="2" t="s">
        <v>50</v>
      </c>
      <c r="L272" s="2" t="s">
        <v>38</v>
      </c>
      <c r="M272" s="2" t="s">
        <v>38</v>
      </c>
      <c r="N272" s="2" t="s">
        <v>38</v>
      </c>
      <c r="O272" s="2" t="s">
        <v>38</v>
      </c>
      <c r="P272" s="2" t="s">
        <v>38</v>
      </c>
      <c r="Q272" s="2" t="s">
        <v>2165</v>
      </c>
      <c r="R272" s="2" t="s">
        <v>315</v>
      </c>
      <c r="S272" s="2" t="s">
        <v>38</v>
      </c>
      <c r="T272" s="2" t="s">
        <v>38</v>
      </c>
      <c r="U272" s="2" t="s">
        <v>2071</v>
      </c>
      <c r="V272" s="2" t="s">
        <v>38</v>
      </c>
      <c r="W272" s="2" t="s">
        <v>2070</v>
      </c>
      <c r="X272" s="2" t="s">
        <v>2165</v>
      </c>
      <c r="Y272" s="2" t="s">
        <v>725</v>
      </c>
      <c r="Z272" s="2" t="s">
        <v>59</v>
      </c>
      <c r="AA272" s="2" t="s">
        <v>38</v>
      </c>
      <c r="AB272" s="2" t="s">
        <v>632</v>
      </c>
      <c r="AC272" s="2" t="s">
        <v>2248</v>
      </c>
      <c r="AD272" s="2" t="s">
        <v>2247</v>
      </c>
      <c r="AE272" s="2" t="s">
        <v>38</v>
      </c>
      <c r="AF272" s="2" t="s">
        <v>38</v>
      </c>
      <c r="AG272" s="34">
        <v>46078</v>
      </c>
    </row>
    <row r="273" spans="1:33" ht="60" x14ac:dyDescent="0.25">
      <c r="A273" s="2" t="s">
        <v>730</v>
      </c>
      <c r="B273" s="2" t="s">
        <v>2830</v>
      </c>
      <c r="C273" s="2" t="s">
        <v>38</v>
      </c>
      <c r="D273" s="2" t="s">
        <v>38</v>
      </c>
      <c r="E273" s="2" t="s">
        <v>350</v>
      </c>
      <c r="F273" s="2" t="s">
        <v>38</v>
      </c>
      <c r="G273" s="2" t="s">
        <v>630</v>
      </c>
      <c r="H273" s="2" t="s">
        <v>2831</v>
      </c>
      <c r="I273" s="2" t="s">
        <v>2832</v>
      </c>
      <c r="J273" s="2" t="s">
        <v>2683</v>
      </c>
      <c r="K273" s="2" t="s">
        <v>50</v>
      </c>
      <c r="L273" s="2" t="s">
        <v>38</v>
      </c>
      <c r="M273" s="2" t="s">
        <v>38</v>
      </c>
      <c r="N273" s="2" t="s">
        <v>38</v>
      </c>
      <c r="O273" s="2" t="s">
        <v>38</v>
      </c>
      <c r="P273" s="2" t="s">
        <v>38</v>
      </c>
      <c r="Q273" s="2" t="s">
        <v>2168</v>
      </c>
      <c r="R273" s="2" t="s">
        <v>315</v>
      </c>
      <c r="S273" s="2" t="s">
        <v>38</v>
      </c>
      <c r="T273" s="2" t="s">
        <v>38</v>
      </c>
      <c r="U273" s="2" t="s">
        <v>2071</v>
      </c>
      <c r="V273" s="2" t="s">
        <v>38</v>
      </c>
      <c r="W273" s="2" t="s">
        <v>2070</v>
      </c>
      <c r="X273" s="2" t="s">
        <v>2168</v>
      </c>
      <c r="Y273" s="2" t="s">
        <v>707</v>
      </c>
      <c r="Z273" s="2" t="s">
        <v>59</v>
      </c>
      <c r="AA273" s="2" t="s">
        <v>38</v>
      </c>
      <c r="AB273" s="2" t="s">
        <v>632</v>
      </c>
      <c r="AC273" s="2" t="s">
        <v>2259</v>
      </c>
      <c r="AD273" s="2" t="s">
        <v>2258</v>
      </c>
      <c r="AE273" s="2" t="s">
        <v>38</v>
      </c>
      <c r="AF273" s="2" t="s">
        <v>38</v>
      </c>
      <c r="AG273" s="34">
        <v>46078</v>
      </c>
    </row>
    <row r="274" spans="1:33" ht="60" x14ac:dyDescent="0.25">
      <c r="A274" s="2" t="s">
        <v>731</v>
      </c>
      <c r="B274" s="2" t="s">
        <v>2833</v>
      </c>
      <c r="C274" s="2" t="s">
        <v>38</v>
      </c>
      <c r="D274" s="2" t="s">
        <v>38</v>
      </c>
      <c r="E274" s="2" t="s">
        <v>373</v>
      </c>
      <c r="F274" s="2" t="s">
        <v>38</v>
      </c>
      <c r="G274" s="2" t="s">
        <v>630</v>
      </c>
      <c r="H274" s="2" t="s">
        <v>2741</v>
      </c>
      <c r="I274" s="2" t="s">
        <v>67</v>
      </c>
      <c r="J274" s="2" t="s">
        <v>2683</v>
      </c>
      <c r="K274" s="2" t="s">
        <v>50</v>
      </c>
      <c r="L274" s="2" t="s">
        <v>38</v>
      </c>
      <c r="M274" s="2" t="s">
        <v>38</v>
      </c>
      <c r="N274" s="2" t="s">
        <v>38</v>
      </c>
      <c r="O274" s="2" t="s">
        <v>38</v>
      </c>
      <c r="P274" s="2" t="s">
        <v>38</v>
      </c>
      <c r="Q274" s="2" t="s">
        <v>2168</v>
      </c>
      <c r="R274" s="2" t="s">
        <v>315</v>
      </c>
      <c r="S274" s="2" t="s">
        <v>38</v>
      </c>
      <c r="T274" s="2" t="s">
        <v>38</v>
      </c>
      <c r="U274" s="2" t="s">
        <v>2071</v>
      </c>
      <c r="V274" s="2" t="s">
        <v>38</v>
      </c>
      <c r="W274" s="2" t="s">
        <v>2070</v>
      </c>
      <c r="X274" s="2" t="s">
        <v>2168</v>
      </c>
      <c r="Y274" s="2" t="s">
        <v>732</v>
      </c>
      <c r="Z274" s="2" t="s">
        <v>180</v>
      </c>
      <c r="AA274" s="2" t="s">
        <v>38</v>
      </c>
      <c r="AB274" s="2" t="s">
        <v>632</v>
      </c>
      <c r="AC274" s="2" t="s">
        <v>2248</v>
      </c>
      <c r="AD274" s="2" t="s">
        <v>38</v>
      </c>
      <c r="AE274" s="2" t="s">
        <v>38</v>
      </c>
      <c r="AF274" s="2" t="s">
        <v>38</v>
      </c>
      <c r="AG274" s="34">
        <v>46078</v>
      </c>
    </row>
    <row r="275" spans="1:33" ht="60" x14ac:dyDescent="0.25">
      <c r="A275" s="2" t="s">
        <v>733</v>
      </c>
      <c r="B275" s="2" t="s">
        <v>2834</v>
      </c>
      <c r="C275" s="2" t="s">
        <v>38</v>
      </c>
      <c r="D275" s="2" t="s">
        <v>38</v>
      </c>
      <c r="E275" s="2" t="s">
        <v>373</v>
      </c>
      <c r="F275" s="2" t="s">
        <v>38</v>
      </c>
      <c r="G275" s="2" t="s">
        <v>630</v>
      </c>
      <c r="H275" s="2" t="s">
        <v>2572</v>
      </c>
      <c r="I275" s="2" t="s">
        <v>67</v>
      </c>
      <c r="J275" s="2" t="s">
        <v>2557</v>
      </c>
      <c r="K275" s="2" t="s">
        <v>50</v>
      </c>
      <c r="L275" s="2" t="s">
        <v>38</v>
      </c>
      <c r="M275" s="2" t="s">
        <v>38</v>
      </c>
      <c r="N275" s="2" t="s">
        <v>38</v>
      </c>
      <c r="O275" s="2" t="s">
        <v>38</v>
      </c>
      <c r="P275" s="2" t="s">
        <v>38</v>
      </c>
      <c r="Q275" s="2" t="s">
        <v>732</v>
      </c>
      <c r="R275" s="2" t="s">
        <v>180</v>
      </c>
      <c r="S275" s="2" t="s">
        <v>38</v>
      </c>
      <c r="T275" s="2" t="s">
        <v>632</v>
      </c>
      <c r="U275" s="2" t="s">
        <v>2248</v>
      </c>
      <c r="V275" s="2" t="s">
        <v>38</v>
      </c>
      <c r="W275" s="2" t="s">
        <v>38</v>
      </c>
      <c r="X275" s="2" t="s">
        <v>38</v>
      </c>
      <c r="Y275" s="2" t="s">
        <v>2174</v>
      </c>
      <c r="Z275" s="2" t="s">
        <v>315</v>
      </c>
      <c r="AA275" s="2" t="s">
        <v>38</v>
      </c>
      <c r="AB275" s="2" t="s">
        <v>38</v>
      </c>
      <c r="AC275" s="2" t="s">
        <v>2071</v>
      </c>
      <c r="AD275" s="2" t="s">
        <v>38</v>
      </c>
      <c r="AE275" s="2" t="s">
        <v>2070</v>
      </c>
      <c r="AF275" s="2" t="s">
        <v>2174</v>
      </c>
      <c r="AG275" s="34">
        <v>46078</v>
      </c>
    </row>
    <row r="276" spans="1:33" ht="60" x14ac:dyDescent="0.25">
      <c r="A276" s="2" t="s">
        <v>734</v>
      </c>
      <c r="B276" s="2" t="s">
        <v>2835</v>
      </c>
      <c r="C276" s="2" t="s">
        <v>38</v>
      </c>
      <c r="D276" s="2" t="s">
        <v>38</v>
      </c>
      <c r="E276" s="2" t="s">
        <v>373</v>
      </c>
      <c r="F276" s="2" t="s">
        <v>38</v>
      </c>
      <c r="G276" s="2" t="s">
        <v>630</v>
      </c>
      <c r="H276" s="2" t="s">
        <v>2570</v>
      </c>
      <c r="I276" s="2" t="s">
        <v>67</v>
      </c>
      <c r="J276" s="2" t="s">
        <v>2557</v>
      </c>
      <c r="K276" s="2" t="s">
        <v>50</v>
      </c>
      <c r="L276" s="2" t="s">
        <v>38</v>
      </c>
      <c r="M276" s="2" t="s">
        <v>38</v>
      </c>
      <c r="N276" s="2" t="s">
        <v>38</v>
      </c>
      <c r="O276" s="2" t="s">
        <v>38</v>
      </c>
      <c r="P276" s="2" t="s">
        <v>38</v>
      </c>
      <c r="Q276" s="2" t="s">
        <v>735</v>
      </c>
      <c r="R276" s="2" t="s">
        <v>180</v>
      </c>
      <c r="S276" s="2" t="s">
        <v>38</v>
      </c>
      <c r="T276" s="2" t="s">
        <v>632</v>
      </c>
      <c r="U276" s="2" t="s">
        <v>2252</v>
      </c>
      <c r="V276" s="2" t="s">
        <v>38</v>
      </c>
      <c r="W276" s="2" t="s">
        <v>38</v>
      </c>
      <c r="X276" s="2" t="s">
        <v>38</v>
      </c>
      <c r="Y276" s="2" t="s">
        <v>2174</v>
      </c>
      <c r="Z276" s="2" t="s">
        <v>315</v>
      </c>
      <c r="AA276" s="2" t="s">
        <v>38</v>
      </c>
      <c r="AB276" s="2" t="s">
        <v>38</v>
      </c>
      <c r="AC276" s="2" t="s">
        <v>2071</v>
      </c>
      <c r="AD276" s="2" t="s">
        <v>38</v>
      </c>
      <c r="AE276" s="2" t="s">
        <v>2070</v>
      </c>
      <c r="AF276" s="2" t="s">
        <v>2174</v>
      </c>
      <c r="AG276" s="34">
        <v>46078</v>
      </c>
    </row>
    <row r="277" spans="1:33" ht="60" x14ac:dyDescent="0.25">
      <c r="A277" s="2" t="s">
        <v>736</v>
      </c>
      <c r="B277" s="2" t="s">
        <v>2836</v>
      </c>
      <c r="C277" s="2" t="s">
        <v>38</v>
      </c>
      <c r="D277" s="2" t="s">
        <v>38</v>
      </c>
      <c r="E277" s="2" t="s">
        <v>373</v>
      </c>
      <c r="F277" s="2" t="s">
        <v>38</v>
      </c>
      <c r="G277" s="2" t="s">
        <v>630</v>
      </c>
      <c r="H277" s="2" t="s">
        <v>2859</v>
      </c>
      <c r="I277" s="2" t="s">
        <v>67</v>
      </c>
      <c r="J277" s="2" t="s">
        <v>2557</v>
      </c>
      <c r="K277" s="2" t="s">
        <v>41</v>
      </c>
      <c r="L277" s="2" t="s">
        <v>38</v>
      </c>
      <c r="M277" s="2" t="s">
        <v>38</v>
      </c>
      <c r="N277" s="2" t="s">
        <v>38</v>
      </c>
      <c r="O277" s="2" t="s">
        <v>38</v>
      </c>
      <c r="P277" s="2" t="s">
        <v>2485</v>
      </c>
      <c r="Q277" s="2" t="s">
        <v>737</v>
      </c>
      <c r="R277" s="2" t="s">
        <v>180</v>
      </c>
      <c r="S277" s="2" t="s">
        <v>38</v>
      </c>
      <c r="T277" s="2" t="s">
        <v>632</v>
      </c>
      <c r="U277" s="2" t="s">
        <v>38</v>
      </c>
      <c r="V277" s="2" t="s">
        <v>38</v>
      </c>
      <c r="W277" s="2" t="s">
        <v>38</v>
      </c>
      <c r="X277" s="2" t="s">
        <v>38</v>
      </c>
      <c r="Y277" s="2" t="s">
        <v>2174</v>
      </c>
      <c r="Z277" s="2" t="s">
        <v>315</v>
      </c>
      <c r="AA277" s="2" t="s">
        <v>38</v>
      </c>
      <c r="AB277" s="2" t="s">
        <v>38</v>
      </c>
      <c r="AC277" s="2" t="s">
        <v>2071</v>
      </c>
      <c r="AD277" s="2" t="s">
        <v>38</v>
      </c>
      <c r="AE277" s="2" t="s">
        <v>2070</v>
      </c>
      <c r="AF277" s="2" t="s">
        <v>2174</v>
      </c>
      <c r="AG277" s="34">
        <v>46078</v>
      </c>
    </row>
    <row r="278" spans="1:33" ht="135" x14ac:dyDescent="0.25">
      <c r="A278" s="2" t="s">
        <v>738</v>
      </c>
      <c r="B278" s="2" t="s">
        <v>3043</v>
      </c>
      <c r="C278" s="2" t="s">
        <v>38</v>
      </c>
      <c r="D278" s="2" t="s">
        <v>38</v>
      </c>
      <c r="E278" s="2" t="s">
        <v>179</v>
      </c>
      <c r="F278" s="2" t="s">
        <v>38</v>
      </c>
      <c r="G278" s="2" t="s">
        <v>630</v>
      </c>
      <c r="H278" s="2" t="s">
        <v>2694</v>
      </c>
      <c r="I278" s="2" t="s">
        <v>67</v>
      </c>
      <c r="J278" s="2" t="s">
        <v>3044</v>
      </c>
      <c r="K278" s="2" t="s">
        <v>50</v>
      </c>
      <c r="L278" s="2" t="s">
        <v>38</v>
      </c>
      <c r="M278" s="2" t="s">
        <v>38</v>
      </c>
      <c r="N278" s="2" t="s">
        <v>38</v>
      </c>
      <c r="O278" s="2" t="s">
        <v>38</v>
      </c>
      <c r="P278" s="2" t="s">
        <v>2969</v>
      </c>
      <c r="Q278" s="2" t="s">
        <v>2962</v>
      </c>
      <c r="R278" s="2" t="s">
        <v>45</v>
      </c>
      <c r="S278" s="2" t="s">
        <v>77</v>
      </c>
      <c r="T278" s="2" t="s">
        <v>80</v>
      </c>
      <c r="U278" s="2" t="s">
        <v>1999</v>
      </c>
      <c r="V278" s="2" t="s">
        <v>38</v>
      </c>
      <c r="W278" s="2" t="s">
        <v>2962</v>
      </c>
      <c r="X278" s="2" t="s">
        <v>38</v>
      </c>
      <c r="Y278" s="2" t="s">
        <v>732</v>
      </c>
      <c r="Z278" s="2" t="s">
        <v>180</v>
      </c>
      <c r="AA278" s="2" t="s">
        <v>38</v>
      </c>
      <c r="AB278" s="2" t="s">
        <v>632</v>
      </c>
      <c r="AC278" s="2" t="s">
        <v>2248</v>
      </c>
      <c r="AD278" s="2" t="s">
        <v>38</v>
      </c>
      <c r="AE278" s="2" t="s">
        <v>38</v>
      </c>
      <c r="AF278" s="2" t="s">
        <v>38</v>
      </c>
      <c r="AG278" s="34">
        <v>46078</v>
      </c>
    </row>
    <row r="279" spans="1:33" ht="135" x14ac:dyDescent="0.25">
      <c r="A279" s="2" t="s">
        <v>739</v>
      </c>
      <c r="B279" s="2" t="s">
        <v>3045</v>
      </c>
      <c r="C279" s="2" t="s">
        <v>38</v>
      </c>
      <c r="D279" s="2" t="s">
        <v>38</v>
      </c>
      <c r="E279" s="2" t="s">
        <v>179</v>
      </c>
      <c r="F279" s="2" t="s">
        <v>38</v>
      </c>
      <c r="G279" s="2" t="s">
        <v>630</v>
      </c>
      <c r="H279" s="2" t="s">
        <v>3046</v>
      </c>
      <c r="I279" s="2" t="s">
        <v>67</v>
      </c>
      <c r="J279" s="2" t="s">
        <v>3044</v>
      </c>
      <c r="K279" s="2" t="s">
        <v>50</v>
      </c>
      <c r="L279" s="2" t="s">
        <v>38</v>
      </c>
      <c r="M279" s="2" t="s">
        <v>38</v>
      </c>
      <c r="N279" s="2" t="s">
        <v>38</v>
      </c>
      <c r="O279" s="2" t="s">
        <v>38</v>
      </c>
      <c r="P279" s="2" t="s">
        <v>2969</v>
      </c>
      <c r="Q279" s="2" t="s">
        <v>2962</v>
      </c>
      <c r="R279" s="2" t="s">
        <v>45</v>
      </c>
      <c r="S279" s="2" t="s">
        <v>77</v>
      </c>
      <c r="T279" s="2" t="s">
        <v>80</v>
      </c>
      <c r="U279" s="2" t="s">
        <v>1999</v>
      </c>
      <c r="V279" s="2" t="s">
        <v>38</v>
      </c>
      <c r="W279" s="2" t="s">
        <v>2962</v>
      </c>
      <c r="X279" s="2" t="s">
        <v>38</v>
      </c>
      <c r="Y279" s="2" t="s">
        <v>735</v>
      </c>
      <c r="Z279" s="2" t="s">
        <v>180</v>
      </c>
      <c r="AA279" s="2" t="s">
        <v>38</v>
      </c>
      <c r="AB279" s="2" t="s">
        <v>632</v>
      </c>
      <c r="AC279" s="2" t="s">
        <v>2252</v>
      </c>
      <c r="AD279" s="2" t="s">
        <v>38</v>
      </c>
      <c r="AE279" s="2" t="s">
        <v>38</v>
      </c>
      <c r="AF279" s="2" t="s">
        <v>38</v>
      </c>
      <c r="AG279" s="34">
        <v>46078</v>
      </c>
    </row>
    <row r="280" spans="1:33" ht="135" x14ac:dyDescent="0.25">
      <c r="A280" s="2" t="s">
        <v>740</v>
      </c>
      <c r="B280" s="2" t="s">
        <v>3047</v>
      </c>
      <c r="C280" s="2" t="s">
        <v>38</v>
      </c>
      <c r="D280" s="2" t="s">
        <v>38</v>
      </c>
      <c r="E280" s="2" t="s">
        <v>179</v>
      </c>
      <c r="F280" s="2" t="s">
        <v>38</v>
      </c>
      <c r="G280" s="2" t="s">
        <v>630</v>
      </c>
      <c r="H280" s="2" t="s">
        <v>2642</v>
      </c>
      <c r="I280" s="2" t="s">
        <v>67</v>
      </c>
      <c r="J280" s="2" t="s">
        <v>3044</v>
      </c>
      <c r="K280" s="2" t="s">
        <v>50</v>
      </c>
      <c r="L280" s="2" t="s">
        <v>38</v>
      </c>
      <c r="M280" s="2" t="s">
        <v>38</v>
      </c>
      <c r="N280" s="2" t="s">
        <v>38</v>
      </c>
      <c r="O280" s="2" t="s">
        <v>38</v>
      </c>
      <c r="P280" s="2" t="s">
        <v>2969</v>
      </c>
      <c r="Q280" s="2" t="s">
        <v>2962</v>
      </c>
      <c r="R280" s="2" t="s">
        <v>45</v>
      </c>
      <c r="S280" s="2" t="s">
        <v>77</v>
      </c>
      <c r="T280" s="2" t="s">
        <v>80</v>
      </c>
      <c r="U280" s="2" t="s">
        <v>1999</v>
      </c>
      <c r="V280" s="2" t="s">
        <v>38</v>
      </c>
      <c r="W280" s="2" t="s">
        <v>2962</v>
      </c>
      <c r="X280" s="2" t="s">
        <v>38</v>
      </c>
      <c r="Y280" s="2" t="s">
        <v>737</v>
      </c>
      <c r="Z280" s="2" t="s">
        <v>180</v>
      </c>
      <c r="AA280" s="2" t="s">
        <v>38</v>
      </c>
      <c r="AB280" s="2" t="s">
        <v>632</v>
      </c>
      <c r="AC280" s="2" t="s">
        <v>38</v>
      </c>
      <c r="AD280" s="2" t="s">
        <v>38</v>
      </c>
      <c r="AE280" s="2" t="s">
        <v>38</v>
      </c>
      <c r="AF280" s="2" t="s">
        <v>38</v>
      </c>
      <c r="AG280" s="34">
        <v>46078</v>
      </c>
    </row>
    <row r="281" spans="1:33" ht="135" x14ac:dyDescent="0.25">
      <c r="A281" s="2" t="s">
        <v>741</v>
      </c>
      <c r="B281" s="2" t="s">
        <v>3048</v>
      </c>
      <c r="C281" s="2" t="s">
        <v>38</v>
      </c>
      <c r="D281" s="2" t="s">
        <v>38</v>
      </c>
      <c r="E281" s="2" t="s">
        <v>163</v>
      </c>
      <c r="F281" s="2" t="s">
        <v>38</v>
      </c>
      <c r="G281" s="2" t="s">
        <v>630</v>
      </c>
      <c r="H281" s="2" t="s">
        <v>2559</v>
      </c>
      <c r="I281" s="2" t="s">
        <v>2832</v>
      </c>
      <c r="J281" s="2" t="s">
        <v>3044</v>
      </c>
      <c r="K281" s="2" t="s">
        <v>50</v>
      </c>
      <c r="L281" s="2" t="s">
        <v>38</v>
      </c>
      <c r="M281" s="2" t="s">
        <v>38</v>
      </c>
      <c r="N281" s="2" t="s">
        <v>38</v>
      </c>
      <c r="O281" s="2" t="s">
        <v>38</v>
      </c>
      <c r="P281" s="2" t="s">
        <v>2969</v>
      </c>
      <c r="Q281" s="2" t="s">
        <v>2962</v>
      </c>
      <c r="R281" s="2" t="s">
        <v>45</v>
      </c>
      <c r="S281" s="2" t="s">
        <v>77</v>
      </c>
      <c r="T281" s="2" t="s">
        <v>80</v>
      </c>
      <c r="U281" s="2" t="s">
        <v>1999</v>
      </c>
      <c r="V281" s="2" t="s">
        <v>38</v>
      </c>
      <c r="W281" s="2" t="s">
        <v>2962</v>
      </c>
      <c r="X281" s="2" t="s">
        <v>38</v>
      </c>
      <c r="Y281" s="2" t="s">
        <v>707</v>
      </c>
      <c r="Z281" s="2" t="s">
        <v>59</v>
      </c>
      <c r="AA281" s="2" t="s">
        <v>38</v>
      </c>
      <c r="AB281" s="2" t="s">
        <v>632</v>
      </c>
      <c r="AC281" s="2" t="s">
        <v>2259</v>
      </c>
      <c r="AD281" s="2" t="s">
        <v>2258</v>
      </c>
      <c r="AE281" s="2" t="s">
        <v>38</v>
      </c>
      <c r="AF281" s="2" t="s">
        <v>38</v>
      </c>
      <c r="AG281" s="34">
        <v>46078</v>
      </c>
    </row>
    <row r="282" spans="1:33" ht="60" x14ac:dyDescent="0.25">
      <c r="A282" s="2" t="s">
        <v>742</v>
      </c>
      <c r="B282" s="2" t="s">
        <v>743</v>
      </c>
      <c r="C282" s="2" t="s">
        <v>38</v>
      </c>
      <c r="D282" s="2" t="s">
        <v>38</v>
      </c>
      <c r="E282" s="2" t="s">
        <v>350</v>
      </c>
      <c r="F282" s="2" t="s">
        <v>38</v>
      </c>
      <c r="G282" s="2" t="s">
        <v>630</v>
      </c>
      <c r="H282" s="2" t="s">
        <v>2795</v>
      </c>
      <c r="I282" s="2" t="s">
        <v>2837</v>
      </c>
      <c r="J282" s="2" t="s">
        <v>2838</v>
      </c>
      <c r="K282" s="2" t="s">
        <v>50</v>
      </c>
      <c r="L282" s="2" t="s">
        <v>38</v>
      </c>
      <c r="M282" s="2" t="s">
        <v>38</v>
      </c>
      <c r="N282" s="2" t="s">
        <v>38</v>
      </c>
      <c r="O282" s="2" t="s">
        <v>38</v>
      </c>
      <c r="P282" s="2" t="s">
        <v>38</v>
      </c>
      <c r="Q282" s="2" t="s">
        <v>700</v>
      </c>
      <c r="R282" s="2" t="s">
        <v>315</v>
      </c>
      <c r="S282" s="2" t="s">
        <v>38</v>
      </c>
      <c r="T282" s="2" t="s">
        <v>632</v>
      </c>
      <c r="U282" s="2" t="s">
        <v>2128</v>
      </c>
      <c r="V282" s="2" t="s">
        <v>2129</v>
      </c>
      <c r="W282" s="2" t="s">
        <v>2150</v>
      </c>
      <c r="X282" s="2" t="s">
        <v>2159</v>
      </c>
      <c r="Y282" s="2" t="s">
        <v>725</v>
      </c>
      <c r="Z282" s="2" t="s">
        <v>59</v>
      </c>
      <c r="AA282" s="2" t="s">
        <v>38</v>
      </c>
      <c r="AB282" s="2" t="s">
        <v>632</v>
      </c>
      <c r="AC282" s="2" t="s">
        <v>2248</v>
      </c>
      <c r="AD282" s="2" t="s">
        <v>2247</v>
      </c>
      <c r="AE282" s="2" t="s">
        <v>38</v>
      </c>
      <c r="AF282" s="2" t="s">
        <v>38</v>
      </c>
      <c r="AG282" s="34">
        <v>46078</v>
      </c>
    </row>
    <row r="283" spans="1:33" ht="45" x14ac:dyDescent="0.25">
      <c r="A283" s="2" t="s">
        <v>744</v>
      </c>
      <c r="B283" s="2" t="s">
        <v>745</v>
      </c>
      <c r="C283" s="2" t="s">
        <v>38</v>
      </c>
      <c r="D283" s="2" t="s">
        <v>38</v>
      </c>
      <c r="E283" s="2" t="s">
        <v>179</v>
      </c>
      <c r="F283" s="2" t="s">
        <v>38</v>
      </c>
      <c r="G283" s="2" t="s">
        <v>630</v>
      </c>
      <c r="H283" s="2" t="s">
        <v>2588</v>
      </c>
      <c r="I283" s="2" t="s">
        <v>2583</v>
      </c>
      <c r="J283" s="2" t="s">
        <v>2589</v>
      </c>
      <c r="K283" s="2" t="s">
        <v>50</v>
      </c>
      <c r="L283" s="2" t="s">
        <v>38</v>
      </c>
      <c r="M283" s="2" t="s">
        <v>38</v>
      </c>
      <c r="N283" s="2" t="s">
        <v>38</v>
      </c>
      <c r="O283" s="2" t="s">
        <v>38</v>
      </c>
      <c r="P283" s="2" t="s">
        <v>38</v>
      </c>
      <c r="Q283" s="2" t="s">
        <v>732</v>
      </c>
      <c r="R283" s="2" t="s">
        <v>180</v>
      </c>
      <c r="S283" s="2" t="s">
        <v>38</v>
      </c>
      <c r="T283" s="2" t="s">
        <v>632</v>
      </c>
      <c r="U283" s="2" t="s">
        <v>2248</v>
      </c>
      <c r="V283" s="2" t="s">
        <v>38</v>
      </c>
      <c r="W283" s="2" t="s">
        <v>38</v>
      </c>
      <c r="X283" s="2" t="s">
        <v>38</v>
      </c>
      <c r="Y283" s="2" t="s">
        <v>713</v>
      </c>
      <c r="Z283" s="2" t="s">
        <v>45</v>
      </c>
      <c r="AA283" s="2" t="s">
        <v>38</v>
      </c>
      <c r="AB283" s="2" t="s">
        <v>632</v>
      </c>
      <c r="AC283" s="2" t="s">
        <v>2128</v>
      </c>
      <c r="AD283" s="2" t="s">
        <v>2129</v>
      </c>
      <c r="AE283" s="2" t="s">
        <v>2150</v>
      </c>
      <c r="AF283" s="2" t="s">
        <v>38</v>
      </c>
      <c r="AG283" s="34">
        <v>46078</v>
      </c>
    </row>
    <row r="284" spans="1:33" ht="60" x14ac:dyDescent="0.25">
      <c r="A284" s="2" t="s">
        <v>746</v>
      </c>
      <c r="B284" s="2" t="s">
        <v>747</v>
      </c>
      <c r="C284" s="2" t="s">
        <v>38</v>
      </c>
      <c r="D284" s="2" t="s">
        <v>38</v>
      </c>
      <c r="E284" s="2" t="s">
        <v>179</v>
      </c>
      <c r="F284" s="2" t="s">
        <v>38</v>
      </c>
      <c r="G284" s="2" t="s">
        <v>630</v>
      </c>
      <c r="H284" s="2" t="s">
        <v>2582</v>
      </c>
      <c r="I284" s="2" t="s">
        <v>2583</v>
      </c>
      <c r="J284" s="2" t="s">
        <v>2586</v>
      </c>
      <c r="K284" s="2" t="s">
        <v>50</v>
      </c>
      <c r="L284" s="2" t="s">
        <v>38</v>
      </c>
      <c r="M284" s="2" t="s">
        <v>38</v>
      </c>
      <c r="N284" s="2" t="s">
        <v>38</v>
      </c>
      <c r="O284" s="2" t="s">
        <v>38</v>
      </c>
      <c r="P284" s="2" t="s">
        <v>38</v>
      </c>
      <c r="Q284" s="2" t="s">
        <v>735</v>
      </c>
      <c r="R284" s="2" t="s">
        <v>180</v>
      </c>
      <c r="S284" s="2" t="s">
        <v>38</v>
      </c>
      <c r="T284" s="2" t="s">
        <v>632</v>
      </c>
      <c r="U284" s="2" t="s">
        <v>2252</v>
      </c>
      <c r="V284" s="2" t="s">
        <v>38</v>
      </c>
      <c r="W284" s="2" t="s">
        <v>38</v>
      </c>
      <c r="X284" s="2" t="s">
        <v>38</v>
      </c>
      <c r="Y284" s="2" t="s">
        <v>716</v>
      </c>
      <c r="Z284" s="2" t="s">
        <v>45</v>
      </c>
      <c r="AA284" s="2" t="s">
        <v>38</v>
      </c>
      <c r="AB284" s="2" t="s">
        <v>632</v>
      </c>
      <c r="AC284" s="2" t="s">
        <v>2128</v>
      </c>
      <c r="AD284" s="2" t="s">
        <v>2129</v>
      </c>
      <c r="AE284" s="2" t="s">
        <v>2127</v>
      </c>
      <c r="AF284" s="2" t="s">
        <v>38</v>
      </c>
      <c r="AG284" s="34">
        <v>46078</v>
      </c>
    </row>
    <row r="285" spans="1:33" ht="30" x14ac:dyDescent="0.25">
      <c r="A285" s="2" t="s">
        <v>748</v>
      </c>
      <c r="B285" s="2" t="s">
        <v>749</v>
      </c>
      <c r="C285" s="2" t="s">
        <v>38</v>
      </c>
      <c r="D285" s="2" t="s">
        <v>38</v>
      </c>
      <c r="E285" s="2" t="s">
        <v>179</v>
      </c>
      <c r="F285" s="2" t="s">
        <v>38</v>
      </c>
      <c r="G285" s="2" t="s">
        <v>630</v>
      </c>
      <c r="H285" s="2" t="s">
        <v>2917</v>
      </c>
      <c r="I285" s="2" t="s">
        <v>2583</v>
      </c>
      <c r="J285" s="2" t="s">
        <v>2584</v>
      </c>
      <c r="K285" s="2" t="s">
        <v>41</v>
      </c>
      <c r="L285" s="2" t="s">
        <v>38</v>
      </c>
      <c r="M285" s="2" t="s">
        <v>38</v>
      </c>
      <c r="N285" s="2" t="s">
        <v>38</v>
      </c>
      <c r="O285" s="2" t="s">
        <v>38</v>
      </c>
      <c r="P285" s="2" t="s">
        <v>2485</v>
      </c>
      <c r="Q285" s="2" t="s">
        <v>737</v>
      </c>
      <c r="R285" s="2" t="s">
        <v>180</v>
      </c>
      <c r="S285" s="2" t="s">
        <v>38</v>
      </c>
      <c r="T285" s="2" t="s">
        <v>632</v>
      </c>
      <c r="U285" s="2" t="s">
        <v>38</v>
      </c>
      <c r="V285" s="2" t="s">
        <v>38</v>
      </c>
      <c r="W285" s="2" t="s">
        <v>38</v>
      </c>
      <c r="X285" s="2" t="s">
        <v>38</v>
      </c>
      <c r="Y285" s="2" t="s">
        <v>719</v>
      </c>
      <c r="Z285" s="2" t="s">
        <v>45</v>
      </c>
      <c r="AA285" s="2" t="s">
        <v>38</v>
      </c>
      <c r="AB285" s="2" t="s">
        <v>632</v>
      </c>
      <c r="AC285" s="2" t="s">
        <v>2128</v>
      </c>
      <c r="AD285" s="2" t="s">
        <v>2129</v>
      </c>
      <c r="AE285" s="2" t="s">
        <v>2262</v>
      </c>
      <c r="AF285" s="2" t="s">
        <v>38</v>
      </c>
      <c r="AG285" s="34">
        <v>46078</v>
      </c>
    </row>
    <row r="286" spans="1:33" ht="270" x14ac:dyDescent="0.25">
      <c r="A286" s="2" t="s">
        <v>750</v>
      </c>
      <c r="B286" s="2" t="s">
        <v>2839</v>
      </c>
      <c r="C286" s="2" t="s">
        <v>38</v>
      </c>
      <c r="D286" s="2" t="s">
        <v>38</v>
      </c>
      <c r="E286" s="2" t="s">
        <v>320</v>
      </c>
      <c r="F286" s="2" t="s">
        <v>62</v>
      </c>
      <c r="G286" s="2" t="s">
        <v>630</v>
      </c>
      <c r="H286" s="2" t="s">
        <v>2700</v>
      </c>
      <c r="I286" s="2" t="s">
        <v>2701</v>
      </c>
      <c r="J286" s="2" t="s">
        <v>2702</v>
      </c>
      <c r="K286" s="2" t="s">
        <v>50</v>
      </c>
      <c r="L286" s="2" t="s">
        <v>751</v>
      </c>
      <c r="M286" s="2" t="s">
        <v>89</v>
      </c>
      <c r="N286" s="2" t="s">
        <v>752</v>
      </c>
      <c r="O286" s="2" t="s">
        <v>3385</v>
      </c>
      <c r="P286" s="2" t="s">
        <v>753</v>
      </c>
      <c r="Q286" s="2" t="s">
        <v>2114</v>
      </c>
      <c r="R286" s="2" t="s">
        <v>315</v>
      </c>
      <c r="S286" s="2" t="s">
        <v>38</v>
      </c>
      <c r="T286" s="2" t="s">
        <v>38</v>
      </c>
      <c r="U286" s="2" t="s">
        <v>1999</v>
      </c>
      <c r="V286" s="2" t="s">
        <v>2000</v>
      </c>
      <c r="W286" s="2" t="s">
        <v>1997</v>
      </c>
      <c r="X286" s="2" t="s">
        <v>2114</v>
      </c>
      <c r="Y286" s="2" t="s">
        <v>700</v>
      </c>
      <c r="Z286" s="2" t="s">
        <v>315</v>
      </c>
      <c r="AA286" s="2" t="s">
        <v>38</v>
      </c>
      <c r="AB286" s="2" t="s">
        <v>632</v>
      </c>
      <c r="AC286" s="2" t="s">
        <v>2128</v>
      </c>
      <c r="AD286" s="2" t="s">
        <v>2129</v>
      </c>
      <c r="AE286" s="2" t="s">
        <v>2150</v>
      </c>
      <c r="AF286" s="2" t="s">
        <v>2159</v>
      </c>
      <c r="AG286" s="34">
        <v>46078</v>
      </c>
    </row>
    <row r="287" spans="1:33" ht="300" x14ac:dyDescent="0.25">
      <c r="A287" s="2" t="s">
        <v>754</v>
      </c>
      <c r="B287" s="2" t="s">
        <v>2840</v>
      </c>
      <c r="C287" s="2" t="s">
        <v>38</v>
      </c>
      <c r="D287" s="2" t="s">
        <v>38</v>
      </c>
      <c r="E287" s="2" t="s">
        <v>320</v>
      </c>
      <c r="F287" s="2" t="s">
        <v>62</v>
      </c>
      <c r="G287" s="2" t="s">
        <v>630</v>
      </c>
      <c r="H287" s="2" t="s">
        <v>2700</v>
      </c>
      <c r="I287" s="2" t="s">
        <v>2701</v>
      </c>
      <c r="J287" s="2" t="s">
        <v>2702</v>
      </c>
      <c r="K287" s="2" t="s">
        <v>50</v>
      </c>
      <c r="L287" s="2" t="s">
        <v>755</v>
      </c>
      <c r="M287" s="2" t="s">
        <v>89</v>
      </c>
      <c r="N287" s="2" t="s">
        <v>756</v>
      </c>
      <c r="O287" s="2" t="s">
        <v>3386</v>
      </c>
      <c r="P287" s="2" t="s">
        <v>757</v>
      </c>
      <c r="Q287" s="2" t="s">
        <v>2111</v>
      </c>
      <c r="R287" s="2" t="s">
        <v>315</v>
      </c>
      <c r="S287" s="2" t="s">
        <v>38</v>
      </c>
      <c r="T287" s="2" t="s">
        <v>38</v>
      </c>
      <c r="U287" s="2" t="s">
        <v>1999</v>
      </c>
      <c r="V287" s="2" t="s">
        <v>2000</v>
      </c>
      <c r="W287" s="2" t="s">
        <v>1997</v>
      </c>
      <c r="X287" s="2" t="s">
        <v>2111</v>
      </c>
      <c r="Y287" s="2" t="s">
        <v>700</v>
      </c>
      <c r="Z287" s="2" t="s">
        <v>315</v>
      </c>
      <c r="AA287" s="2" t="s">
        <v>38</v>
      </c>
      <c r="AB287" s="2" t="s">
        <v>632</v>
      </c>
      <c r="AC287" s="2" t="s">
        <v>2128</v>
      </c>
      <c r="AD287" s="2" t="s">
        <v>2129</v>
      </c>
      <c r="AE287" s="2" t="s">
        <v>2150</v>
      </c>
      <c r="AF287" s="2" t="s">
        <v>2159</v>
      </c>
      <c r="AG287" s="34">
        <v>46078</v>
      </c>
    </row>
    <row r="288" spans="1:33" ht="135" x14ac:dyDescent="0.25">
      <c r="A288" s="2" t="s">
        <v>758</v>
      </c>
      <c r="B288" s="2" t="s">
        <v>3049</v>
      </c>
      <c r="C288" s="2" t="s">
        <v>38</v>
      </c>
      <c r="D288" s="2" t="s">
        <v>38</v>
      </c>
      <c r="E288" s="2" t="s">
        <v>163</v>
      </c>
      <c r="F288" s="2" t="s">
        <v>38</v>
      </c>
      <c r="G288" s="2" t="s">
        <v>630</v>
      </c>
      <c r="H288" s="2" t="s">
        <v>2599</v>
      </c>
      <c r="I288" s="2" t="s">
        <v>2556</v>
      </c>
      <c r="J288" s="2" t="s">
        <v>2979</v>
      </c>
      <c r="K288" s="2" t="s">
        <v>50</v>
      </c>
      <c r="L288" s="2" t="s">
        <v>38</v>
      </c>
      <c r="M288" s="2" t="s">
        <v>38</v>
      </c>
      <c r="N288" s="2" t="s">
        <v>38</v>
      </c>
      <c r="O288" s="2" t="s">
        <v>38</v>
      </c>
      <c r="P288" s="2" t="s">
        <v>2969</v>
      </c>
      <c r="Q288" s="2" t="s">
        <v>759</v>
      </c>
      <c r="R288" s="2" t="s">
        <v>59</v>
      </c>
      <c r="S288" s="2" t="s">
        <v>38</v>
      </c>
      <c r="T288" s="2" t="s">
        <v>632</v>
      </c>
      <c r="U288" s="2" t="s">
        <v>2128</v>
      </c>
      <c r="V288" s="2" t="s">
        <v>2129</v>
      </c>
      <c r="W288" s="2" t="s">
        <v>38</v>
      </c>
      <c r="X288" s="2" t="s">
        <v>38</v>
      </c>
      <c r="Y288" s="2" t="s">
        <v>2962</v>
      </c>
      <c r="Z288" s="2" t="s">
        <v>45</v>
      </c>
      <c r="AA288" s="2" t="s">
        <v>77</v>
      </c>
      <c r="AB288" s="2" t="s">
        <v>80</v>
      </c>
      <c r="AC288" s="2" t="s">
        <v>1999</v>
      </c>
      <c r="AD288" s="2" t="s">
        <v>38</v>
      </c>
      <c r="AE288" s="2" t="s">
        <v>2962</v>
      </c>
      <c r="AF288" s="2" t="s">
        <v>38</v>
      </c>
      <c r="AG288" s="34">
        <v>46078</v>
      </c>
    </row>
    <row r="289" spans="1:33" ht="45" x14ac:dyDescent="0.25">
      <c r="A289" s="2" t="s">
        <v>760</v>
      </c>
      <c r="B289" s="2" t="s">
        <v>761</v>
      </c>
      <c r="C289" s="2" t="s">
        <v>38</v>
      </c>
      <c r="D289" s="2" t="s">
        <v>38</v>
      </c>
      <c r="E289" s="2" t="s">
        <v>194</v>
      </c>
      <c r="F289" s="2" t="s">
        <v>38</v>
      </c>
      <c r="G289" s="2" t="s">
        <v>630</v>
      </c>
      <c r="H289" s="2" t="s">
        <v>2623</v>
      </c>
      <c r="I289" s="2" t="s">
        <v>2622</v>
      </c>
      <c r="J289" s="2" t="s">
        <v>67</v>
      </c>
      <c r="K289" s="2" t="s">
        <v>50</v>
      </c>
      <c r="L289" s="2" t="s">
        <v>38</v>
      </c>
      <c r="M289" s="2" t="s">
        <v>38</v>
      </c>
      <c r="N289" s="2" t="s">
        <v>38</v>
      </c>
      <c r="O289" s="2" t="s">
        <v>38</v>
      </c>
      <c r="P289" s="2" t="s">
        <v>38</v>
      </c>
      <c r="Q289" s="2" t="s">
        <v>762</v>
      </c>
      <c r="R289" s="2" t="s">
        <v>59</v>
      </c>
      <c r="S289" s="2" t="s">
        <v>38</v>
      </c>
      <c r="T289" s="2" t="s">
        <v>632</v>
      </c>
      <c r="U289" s="2" t="s">
        <v>2290</v>
      </c>
      <c r="V289" s="2" t="s">
        <v>2289</v>
      </c>
      <c r="W289" s="2" t="s">
        <v>38</v>
      </c>
      <c r="X289" s="2" t="s">
        <v>38</v>
      </c>
      <c r="Y289" s="2" t="s">
        <v>763</v>
      </c>
      <c r="Z289" s="2" t="s">
        <v>59</v>
      </c>
      <c r="AA289" s="2" t="s">
        <v>38</v>
      </c>
      <c r="AB289" s="2" t="s">
        <v>632</v>
      </c>
      <c r="AC289" s="2" t="s">
        <v>2301</v>
      </c>
      <c r="AD289" s="2" t="s">
        <v>2312</v>
      </c>
      <c r="AE289" s="2" t="s">
        <v>38</v>
      </c>
      <c r="AF289" s="2" t="s">
        <v>38</v>
      </c>
      <c r="AG289" s="34">
        <v>46078</v>
      </c>
    </row>
    <row r="290" spans="1:33" ht="45" x14ac:dyDescent="0.25">
      <c r="A290" s="2" t="s">
        <v>764</v>
      </c>
      <c r="B290" s="2" t="s">
        <v>765</v>
      </c>
      <c r="C290" s="2" t="s">
        <v>38</v>
      </c>
      <c r="D290" s="2" t="s">
        <v>38</v>
      </c>
      <c r="E290" s="2" t="s">
        <v>194</v>
      </c>
      <c r="F290" s="2" t="s">
        <v>38</v>
      </c>
      <c r="G290" s="2" t="s">
        <v>630</v>
      </c>
      <c r="H290" s="2" t="s">
        <v>2625</v>
      </c>
      <c r="I290" s="2" t="s">
        <v>2624</v>
      </c>
      <c r="J290" s="2" t="s">
        <v>67</v>
      </c>
      <c r="K290" s="2" t="s">
        <v>50</v>
      </c>
      <c r="L290" s="2" t="s">
        <v>38</v>
      </c>
      <c r="M290" s="2" t="s">
        <v>38</v>
      </c>
      <c r="N290" s="2" t="s">
        <v>38</v>
      </c>
      <c r="O290" s="2" t="s">
        <v>38</v>
      </c>
      <c r="P290" s="2" t="s">
        <v>38</v>
      </c>
      <c r="Q290" s="2" t="s">
        <v>763</v>
      </c>
      <c r="R290" s="2" t="s">
        <v>59</v>
      </c>
      <c r="S290" s="2" t="s">
        <v>38</v>
      </c>
      <c r="T290" s="2" t="s">
        <v>632</v>
      </c>
      <c r="U290" s="2" t="s">
        <v>2301</v>
      </c>
      <c r="V290" s="2" t="s">
        <v>2312</v>
      </c>
      <c r="W290" s="2" t="s">
        <v>38</v>
      </c>
      <c r="X290" s="2" t="s">
        <v>38</v>
      </c>
      <c r="Y290" s="2" t="s">
        <v>766</v>
      </c>
      <c r="Z290" s="2" t="s">
        <v>59</v>
      </c>
      <c r="AA290" s="2" t="s">
        <v>38</v>
      </c>
      <c r="AB290" s="2" t="s">
        <v>632</v>
      </c>
      <c r="AC290" s="2" t="s">
        <v>2290</v>
      </c>
      <c r="AD290" s="2" t="s">
        <v>2294</v>
      </c>
      <c r="AE290" s="2" t="s">
        <v>38</v>
      </c>
      <c r="AF290" s="2" t="s">
        <v>38</v>
      </c>
      <c r="AG290" s="34">
        <v>46078</v>
      </c>
    </row>
    <row r="291" spans="1:33" ht="45" x14ac:dyDescent="0.25">
      <c r="A291" s="2" t="s">
        <v>767</v>
      </c>
      <c r="B291" s="2" t="s">
        <v>768</v>
      </c>
      <c r="C291" s="2" t="s">
        <v>38</v>
      </c>
      <c r="D291" s="2" t="s">
        <v>38</v>
      </c>
      <c r="E291" s="2" t="s">
        <v>194</v>
      </c>
      <c r="F291" s="2" t="s">
        <v>38</v>
      </c>
      <c r="G291" s="2" t="s">
        <v>630</v>
      </c>
      <c r="H291" s="2" t="s">
        <v>2623</v>
      </c>
      <c r="I291" s="2" t="s">
        <v>2631</v>
      </c>
      <c r="J291" s="2" t="s">
        <v>67</v>
      </c>
      <c r="K291" s="2" t="s">
        <v>50</v>
      </c>
      <c r="L291" s="2" t="s">
        <v>38</v>
      </c>
      <c r="M291" s="2" t="s">
        <v>38</v>
      </c>
      <c r="N291" s="2" t="s">
        <v>38</v>
      </c>
      <c r="O291" s="2" t="s">
        <v>38</v>
      </c>
      <c r="P291" s="2" t="s">
        <v>38</v>
      </c>
      <c r="Q291" s="2" t="s">
        <v>766</v>
      </c>
      <c r="R291" s="2" t="s">
        <v>59</v>
      </c>
      <c r="S291" s="2" t="s">
        <v>38</v>
      </c>
      <c r="T291" s="2" t="s">
        <v>632</v>
      </c>
      <c r="U291" s="2" t="s">
        <v>2290</v>
      </c>
      <c r="V291" s="2" t="s">
        <v>2294</v>
      </c>
      <c r="W291" s="2" t="s">
        <v>38</v>
      </c>
      <c r="X291" s="2" t="s">
        <v>38</v>
      </c>
      <c r="Y291" s="2" t="s">
        <v>769</v>
      </c>
      <c r="Z291" s="2" t="s">
        <v>59</v>
      </c>
      <c r="AA291" s="2" t="s">
        <v>38</v>
      </c>
      <c r="AB291" s="2" t="s">
        <v>632</v>
      </c>
      <c r="AC291" s="2" t="s">
        <v>2301</v>
      </c>
      <c r="AD291" s="2" t="s">
        <v>2318</v>
      </c>
      <c r="AE291" s="2" t="s">
        <v>38</v>
      </c>
      <c r="AF291" s="2" t="s">
        <v>38</v>
      </c>
      <c r="AG291" s="34">
        <v>46078</v>
      </c>
    </row>
    <row r="292" spans="1:33" ht="45" x14ac:dyDescent="0.25">
      <c r="A292" s="2" t="s">
        <v>770</v>
      </c>
      <c r="B292" s="2" t="s">
        <v>771</v>
      </c>
      <c r="C292" s="2" t="s">
        <v>38</v>
      </c>
      <c r="D292" s="2" t="s">
        <v>38</v>
      </c>
      <c r="E292" s="2" t="s">
        <v>194</v>
      </c>
      <c r="F292" s="2" t="s">
        <v>38</v>
      </c>
      <c r="G292" s="2" t="s">
        <v>630</v>
      </c>
      <c r="H292" s="2" t="s">
        <v>2623</v>
      </c>
      <c r="I292" s="2" t="s">
        <v>2841</v>
      </c>
      <c r="J292" s="2" t="s">
        <v>67</v>
      </c>
      <c r="K292" s="2" t="s">
        <v>50</v>
      </c>
      <c r="L292" s="2" t="s">
        <v>38</v>
      </c>
      <c r="M292" s="2" t="s">
        <v>38</v>
      </c>
      <c r="N292" s="2" t="s">
        <v>38</v>
      </c>
      <c r="O292" s="2" t="s">
        <v>38</v>
      </c>
      <c r="P292" s="2" t="s">
        <v>38</v>
      </c>
      <c r="Q292" s="2" t="s">
        <v>772</v>
      </c>
      <c r="R292" s="2" t="s">
        <v>59</v>
      </c>
      <c r="S292" s="2" t="s">
        <v>38</v>
      </c>
      <c r="T292" s="2" t="s">
        <v>632</v>
      </c>
      <c r="U292" s="2" t="s">
        <v>2290</v>
      </c>
      <c r="V292" s="2" t="s">
        <v>2315</v>
      </c>
      <c r="W292" s="2" t="s">
        <v>38</v>
      </c>
      <c r="X292" s="2" t="s">
        <v>38</v>
      </c>
      <c r="Y292" s="2" t="s">
        <v>769</v>
      </c>
      <c r="Z292" s="2" t="s">
        <v>59</v>
      </c>
      <c r="AA292" s="2" t="s">
        <v>38</v>
      </c>
      <c r="AB292" s="2" t="s">
        <v>632</v>
      </c>
      <c r="AC292" s="2" t="s">
        <v>2301</v>
      </c>
      <c r="AD292" s="2" t="s">
        <v>2318</v>
      </c>
      <c r="AE292" s="2" t="s">
        <v>38</v>
      </c>
      <c r="AF292" s="2" t="s">
        <v>38</v>
      </c>
      <c r="AG292" s="34">
        <v>46078</v>
      </c>
    </row>
    <row r="293" spans="1:33" ht="45" x14ac:dyDescent="0.25">
      <c r="A293" s="2" t="s">
        <v>773</v>
      </c>
      <c r="B293" s="2" t="s">
        <v>774</v>
      </c>
      <c r="C293" s="2" t="s">
        <v>38</v>
      </c>
      <c r="D293" s="2" t="s">
        <v>38</v>
      </c>
      <c r="E293" s="2" t="s">
        <v>194</v>
      </c>
      <c r="F293" s="2" t="s">
        <v>38</v>
      </c>
      <c r="G293" s="2" t="s">
        <v>630</v>
      </c>
      <c r="H293" s="2" t="s">
        <v>2623</v>
      </c>
      <c r="I293" s="2" t="s">
        <v>2632</v>
      </c>
      <c r="J293" s="2" t="s">
        <v>67</v>
      </c>
      <c r="K293" s="2" t="s">
        <v>50</v>
      </c>
      <c r="L293" s="2" t="s">
        <v>38</v>
      </c>
      <c r="M293" s="2" t="s">
        <v>38</v>
      </c>
      <c r="N293" s="2" t="s">
        <v>38</v>
      </c>
      <c r="O293" s="2" t="s">
        <v>38</v>
      </c>
      <c r="P293" s="2" t="s">
        <v>38</v>
      </c>
      <c r="Q293" s="2" t="s">
        <v>772</v>
      </c>
      <c r="R293" s="2" t="s">
        <v>59</v>
      </c>
      <c r="S293" s="2" t="s">
        <v>38</v>
      </c>
      <c r="T293" s="2" t="s">
        <v>632</v>
      </c>
      <c r="U293" s="2" t="s">
        <v>2290</v>
      </c>
      <c r="V293" s="2" t="s">
        <v>2315</v>
      </c>
      <c r="W293" s="2" t="s">
        <v>38</v>
      </c>
      <c r="X293" s="2" t="s">
        <v>38</v>
      </c>
      <c r="Y293" s="2" t="s">
        <v>775</v>
      </c>
      <c r="Z293" s="2" t="s">
        <v>59</v>
      </c>
      <c r="AA293" s="2" t="s">
        <v>38</v>
      </c>
      <c r="AB293" s="2" t="s">
        <v>632</v>
      </c>
      <c r="AC293" s="2" t="s">
        <v>2301</v>
      </c>
      <c r="AD293" s="2" t="s">
        <v>2327</v>
      </c>
      <c r="AE293" s="2" t="s">
        <v>38</v>
      </c>
      <c r="AF293" s="2" t="s">
        <v>38</v>
      </c>
      <c r="AG293" s="34">
        <v>46078</v>
      </c>
    </row>
    <row r="294" spans="1:33" ht="135" x14ac:dyDescent="0.25">
      <c r="A294" s="2" t="s">
        <v>776</v>
      </c>
      <c r="B294" s="2" t="s">
        <v>2842</v>
      </c>
      <c r="C294" s="2" t="s">
        <v>38</v>
      </c>
      <c r="D294" s="2" t="s">
        <v>38</v>
      </c>
      <c r="E294" s="2" t="s">
        <v>163</v>
      </c>
      <c r="F294" s="2" t="s">
        <v>164</v>
      </c>
      <c r="G294" s="2" t="s">
        <v>630</v>
      </c>
      <c r="H294" s="2" t="s">
        <v>2692</v>
      </c>
      <c r="I294" s="2" t="s">
        <v>2843</v>
      </c>
      <c r="J294" s="2" t="s">
        <v>2689</v>
      </c>
      <c r="K294" s="2" t="s">
        <v>50</v>
      </c>
      <c r="L294" s="2" t="s">
        <v>777</v>
      </c>
      <c r="M294" s="2" t="s">
        <v>73</v>
      </c>
      <c r="N294" s="2" t="s">
        <v>778</v>
      </c>
      <c r="O294" s="2" t="s">
        <v>3263</v>
      </c>
      <c r="P294" s="2" t="s">
        <v>3387</v>
      </c>
      <c r="Q294" s="2" t="s">
        <v>710</v>
      </c>
      <c r="R294" s="2" t="s">
        <v>59</v>
      </c>
      <c r="S294" s="2" t="s">
        <v>38</v>
      </c>
      <c r="T294" s="2" t="s">
        <v>632</v>
      </c>
      <c r="U294" s="2" t="s">
        <v>2248</v>
      </c>
      <c r="V294" s="2" t="s">
        <v>2359</v>
      </c>
      <c r="W294" s="2" t="s">
        <v>38</v>
      </c>
      <c r="X294" s="2" t="s">
        <v>38</v>
      </c>
      <c r="Y294" s="2" t="s">
        <v>2018</v>
      </c>
      <c r="Z294" s="2" t="s">
        <v>45</v>
      </c>
      <c r="AA294" s="2" t="s">
        <v>132</v>
      </c>
      <c r="AB294" s="2" t="s">
        <v>38</v>
      </c>
      <c r="AC294" s="2" t="s">
        <v>1999</v>
      </c>
      <c r="AD294" s="2" t="s">
        <v>2000</v>
      </c>
      <c r="AE294" s="2" t="s">
        <v>2018</v>
      </c>
      <c r="AF294" s="2" t="s">
        <v>38</v>
      </c>
      <c r="AG294" s="34">
        <v>46078</v>
      </c>
    </row>
    <row r="295" spans="1:33" ht="135" x14ac:dyDescent="0.25">
      <c r="A295" s="2" t="s">
        <v>779</v>
      </c>
      <c r="B295" s="2" t="s">
        <v>3050</v>
      </c>
      <c r="C295" s="2" t="s">
        <v>38</v>
      </c>
      <c r="D295" s="2" t="s">
        <v>38</v>
      </c>
      <c r="E295" s="2" t="s">
        <v>163</v>
      </c>
      <c r="F295" s="2" t="s">
        <v>38</v>
      </c>
      <c r="G295" s="2" t="s">
        <v>630</v>
      </c>
      <c r="H295" s="2" t="s">
        <v>2986</v>
      </c>
      <c r="I295" s="2" t="s">
        <v>2912</v>
      </c>
      <c r="J295" s="2" t="s">
        <v>2979</v>
      </c>
      <c r="K295" s="2" t="s">
        <v>50</v>
      </c>
      <c r="L295" s="2" t="s">
        <v>38</v>
      </c>
      <c r="M295" s="2" t="s">
        <v>38</v>
      </c>
      <c r="N295" s="2" t="s">
        <v>38</v>
      </c>
      <c r="O295" s="2" t="s">
        <v>38</v>
      </c>
      <c r="P295" s="2" t="s">
        <v>2969</v>
      </c>
      <c r="Q295" s="2" t="s">
        <v>763</v>
      </c>
      <c r="R295" s="2" t="s">
        <v>59</v>
      </c>
      <c r="S295" s="2" t="s">
        <v>38</v>
      </c>
      <c r="T295" s="2" t="s">
        <v>632</v>
      </c>
      <c r="U295" s="2" t="s">
        <v>2301</v>
      </c>
      <c r="V295" s="2" t="s">
        <v>2312</v>
      </c>
      <c r="W295" s="2" t="s">
        <v>38</v>
      </c>
      <c r="X295" s="2" t="s">
        <v>38</v>
      </c>
      <c r="Y295" s="2" t="s">
        <v>2962</v>
      </c>
      <c r="Z295" s="2" t="s">
        <v>45</v>
      </c>
      <c r="AA295" s="2" t="s">
        <v>77</v>
      </c>
      <c r="AB295" s="2" t="s">
        <v>80</v>
      </c>
      <c r="AC295" s="2" t="s">
        <v>1999</v>
      </c>
      <c r="AD295" s="2" t="s">
        <v>38</v>
      </c>
      <c r="AE295" s="2" t="s">
        <v>2962</v>
      </c>
      <c r="AF295" s="2" t="s">
        <v>38</v>
      </c>
      <c r="AG295" s="34">
        <v>46078</v>
      </c>
    </row>
    <row r="296" spans="1:33" ht="135" x14ac:dyDescent="0.25">
      <c r="A296" s="2" t="s">
        <v>780</v>
      </c>
      <c r="B296" s="2" t="s">
        <v>3051</v>
      </c>
      <c r="C296" s="2" t="s">
        <v>38</v>
      </c>
      <c r="D296" s="2" t="s">
        <v>38</v>
      </c>
      <c r="E296" s="2" t="s">
        <v>163</v>
      </c>
      <c r="F296" s="2" t="s">
        <v>38</v>
      </c>
      <c r="G296" s="2" t="s">
        <v>630</v>
      </c>
      <c r="H296" s="2" t="s">
        <v>3052</v>
      </c>
      <c r="I296" s="2" t="s">
        <v>2918</v>
      </c>
      <c r="J296" s="2" t="s">
        <v>3044</v>
      </c>
      <c r="K296" s="2" t="s">
        <v>50</v>
      </c>
      <c r="L296" s="2" t="s">
        <v>38</v>
      </c>
      <c r="M296" s="2" t="s">
        <v>38</v>
      </c>
      <c r="N296" s="2" t="s">
        <v>38</v>
      </c>
      <c r="O296" s="2" t="s">
        <v>38</v>
      </c>
      <c r="P296" s="2" t="s">
        <v>2969</v>
      </c>
      <c r="Q296" s="2" t="s">
        <v>2962</v>
      </c>
      <c r="R296" s="2" t="s">
        <v>45</v>
      </c>
      <c r="S296" s="2" t="s">
        <v>77</v>
      </c>
      <c r="T296" s="2" t="s">
        <v>80</v>
      </c>
      <c r="U296" s="2" t="s">
        <v>1999</v>
      </c>
      <c r="V296" s="2" t="s">
        <v>38</v>
      </c>
      <c r="W296" s="2" t="s">
        <v>2962</v>
      </c>
      <c r="X296" s="2" t="s">
        <v>38</v>
      </c>
      <c r="Y296" s="2" t="s">
        <v>769</v>
      </c>
      <c r="Z296" s="2" t="s">
        <v>59</v>
      </c>
      <c r="AA296" s="2" t="s">
        <v>38</v>
      </c>
      <c r="AB296" s="2" t="s">
        <v>632</v>
      </c>
      <c r="AC296" s="2" t="s">
        <v>2301</v>
      </c>
      <c r="AD296" s="2" t="s">
        <v>2318</v>
      </c>
      <c r="AE296" s="2" t="s">
        <v>38</v>
      </c>
      <c r="AF296" s="2" t="s">
        <v>38</v>
      </c>
      <c r="AG296" s="34">
        <v>46078</v>
      </c>
    </row>
    <row r="297" spans="1:33" ht="135" x14ac:dyDescent="0.25">
      <c r="A297" s="2" t="s">
        <v>781</v>
      </c>
      <c r="B297" s="2" t="s">
        <v>3053</v>
      </c>
      <c r="C297" s="2" t="s">
        <v>38</v>
      </c>
      <c r="D297" s="2" t="s">
        <v>38</v>
      </c>
      <c r="E297" s="2" t="s">
        <v>163</v>
      </c>
      <c r="F297" s="2" t="s">
        <v>38</v>
      </c>
      <c r="G297" s="2" t="s">
        <v>630</v>
      </c>
      <c r="H297" s="2" t="s">
        <v>2986</v>
      </c>
      <c r="I297" s="2" t="s">
        <v>2910</v>
      </c>
      <c r="J297" s="2" t="s">
        <v>2979</v>
      </c>
      <c r="K297" s="2" t="s">
        <v>50</v>
      </c>
      <c r="L297" s="2" t="s">
        <v>38</v>
      </c>
      <c r="M297" s="2" t="s">
        <v>38</v>
      </c>
      <c r="N297" s="2" t="s">
        <v>38</v>
      </c>
      <c r="O297" s="2" t="s">
        <v>38</v>
      </c>
      <c r="P297" s="2" t="s">
        <v>2969</v>
      </c>
      <c r="Q297" s="2" t="s">
        <v>775</v>
      </c>
      <c r="R297" s="2" t="s">
        <v>59</v>
      </c>
      <c r="S297" s="2" t="s">
        <v>38</v>
      </c>
      <c r="T297" s="2" t="s">
        <v>632</v>
      </c>
      <c r="U297" s="2" t="s">
        <v>2301</v>
      </c>
      <c r="V297" s="2" t="s">
        <v>2327</v>
      </c>
      <c r="W297" s="2" t="s">
        <v>38</v>
      </c>
      <c r="X297" s="2" t="s">
        <v>38</v>
      </c>
      <c r="Y297" s="2" t="s">
        <v>2962</v>
      </c>
      <c r="Z297" s="2" t="s">
        <v>45</v>
      </c>
      <c r="AA297" s="2" t="s">
        <v>77</v>
      </c>
      <c r="AB297" s="2" t="s">
        <v>80</v>
      </c>
      <c r="AC297" s="2" t="s">
        <v>1999</v>
      </c>
      <c r="AD297" s="2" t="s">
        <v>38</v>
      </c>
      <c r="AE297" s="2" t="s">
        <v>2962</v>
      </c>
      <c r="AF297" s="2" t="s">
        <v>38</v>
      </c>
      <c r="AG297" s="34">
        <v>46078</v>
      </c>
    </row>
    <row r="298" spans="1:33" ht="30" x14ac:dyDescent="0.25">
      <c r="A298" s="2" t="s">
        <v>782</v>
      </c>
      <c r="B298" s="2" t="s">
        <v>783</v>
      </c>
      <c r="C298" s="2" t="s">
        <v>38</v>
      </c>
      <c r="D298" s="2" t="s">
        <v>38</v>
      </c>
      <c r="E298" s="2" t="s">
        <v>163</v>
      </c>
      <c r="F298" s="2" t="s">
        <v>38</v>
      </c>
      <c r="G298" s="2" t="s">
        <v>630</v>
      </c>
      <c r="H298" s="2" t="s">
        <v>2610</v>
      </c>
      <c r="I298" s="2" t="s">
        <v>2844</v>
      </c>
      <c r="J298" s="2" t="s">
        <v>2845</v>
      </c>
      <c r="K298" s="2" t="s">
        <v>50</v>
      </c>
      <c r="L298" s="2" t="s">
        <v>38</v>
      </c>
      <c r="M298" s="2" t="s">
        <v>38</v>
      </c>
      <c r="N298" s="2" t="s">
        <v>38</v>
      </c>
      <c r="O298" s="2" t="s">
        <v>38</v>
      </c>
      <c r="P298" s="2" t="s">
        <v>38</v>
      </c>
      <c r="Q298" s="2" t="s">
        <v>784</v>
      </c>
      <c r="R298" s="2" t="s">
        <v>59</v>
      </c>
      <c r="S298" s="2" t="s">
        <v>38</v>
      </c>
      <c r="T298" s="2" t="s">
        <v>785</v>
      </c>
      <c r="U298" s="2" t="s">
        <v>2118</v>
      </c>
      <c r="V298" s="2" t="s">
        <v>2265</v>
      </c>
      <c r="W298" s="2" t="s">
        <v>38</v>
      </c>
      <c r="X298" s="2" t="s">
        <v>38</v>
      </c>
      <c r="Y298" s="2" t="s">
        <v>786</v>
      </c>
      <c r="Z298" s="2" t="s">
        <v>45</v>
      </c>
      <c r="AA298" s="2" t="s">
        <v>38</v>
      </c>
      <c r="AB298" s="2" t="s">
        <v>787</v>
      </c>
      <c r="AC298" s="2" t="s">
        <v>2118</v>
      </c>
      <c r="AD298" s="2" t="s">
        <v>2119</v>
      </c>
      <c r="AE298" s="2" t="s">
        <v>2117</v>
      </c>
      <c r="AF298" s="2" t="s">
        <v>38</v>
      </c>
      <c r="AG298" s="34">
        <v>46078</v>
      </c>
    </row>
    <row r="299" spans="1:33" ht="30" x14ac:dyDescent="0.25">
      <c r="A299" s="2" t="s">
        <v>788</v>
      </c>
      <c r="B299" s="2" t="s">
        <v>789</v>
      </c>
      <c r="C299" s="2" t="s">
        <v>38</v>
      </c>
      <c r="D299" s="2" t="s">
        <v>38</v>
      </c>
      <c r="E299" s="2" t="s">
        <v>163</v>
      </c>
      <c r="F299" s="2" t="s">
        <v>38</v>
      </c>
      <c r="G299" s="2" t="s">
        <v>630</v>
      </c>
      <c r="H299" s="2" t="s">
        <v>2610</v>
      </c>
      <c r="I299" s="2" t="s">
        <v>2844</v>
      </c>
      <c r="J299" s="2" t="s">
        <v>2846</v>
      </c>
      <c r="K299" s="2" t="s">
        <v>50</v>
      </c>
      <c r="L299" s="2" t="s">
        <v>38</v>
      </c>
      <c r="M299" s="2" t="s">
        <v>38</v>
      </c>
      <c r="N299" s="2" t="s">
        <v>38</v>
      </c>
      <c r="O299" s="2" t="s">
        <v>38</v>
      </c>
      <c r="P299" s="2" t="s">
        <v>38</v>
      </c>
      <c r="Q299" s="2" t="s">
        <v>784</v>
      </c>
      <c r="R299" s="2" t="s">
        <v>59</v>
      </c>
      <c r="S299" s="2" t="s">
        <v>38</v>
      </c>
      <c r="T299" s="2" t="s">
        <v>785</v>
      </c>
      <c r="U299" s="2" t="s">
        <v>2118</v>
      </c>
      <c r="V299" s="2" t="s">
        <v>2265</v>
      </c>
      <c r="W299" s="2" t="s">
        <v>38</v>
      </c>
      <c r="X299" s="2" t="s">
        <v>38</v>
      </c>
      <c r="Y299" s="2" t="s">
        <v>643</v>
      </c>
      <c r="Z299" s="2" t="s">
        <v>45</v>
      </c>
      <c r="AA299" s="2" t="s">
        <v>38</v>
      </c>
      <c r="AB299" s="2" t="s">
        <v>632</v>
      </c>
      <c r="AC299" s="2" t="s">
        <v>2118</v>
      </c>
      <c r="AD299" s="2" t="s">
        <v>2119</v>
      </c>
      <c r="AE299" s="2" t="s">
        <v>2232</v>
      </c>
      <c r="AF299" s="2" t="s">
        <v>38</v>
      </c>
      <c r="AG299" s="34">
        <v>46078</v>
      </c>
    </row>
    <row r="300" spans="1:33" ht="30" x14ac:dyDescent="0.25">
      <c r="A300" s="2" t="s">
        <v>790</v>
      </c>
      <c r="B300" s="2" t="s">
        <v>791</v>
      </c>
      <c r="C300" s="2" t="s">
        <v>38</v>
      </c>
      <c r="D300" s="2" t="s">
        <v>38</v>
      </c>
      <c r="E300" s="2" t="s">
        <v>163</v>
      </c>
      <c r="F300" s="2" t="s">
        <v>38</v>
      </c>
      <c r="G300" s="2" t="s">
        <v>630</v>
      </c>
      <c r="H300" s="2" t="s">
        <v>2610</v>
      </c>
      <c r="I300" s="2" t="s">
        <v>2844</v>
      </c>
      <c r="J300" s="2" t="s">
        <v>2846</v>
      </c>
      <c r="K300" s="2" t="s">
        <v>50</v>
      </c>
      <c r="L300" s="2" t="s">
        <v>38</v>
      </c>
      <c r="M300" s="2" t="s">
        <v>38</v>
      </c>
      <c r="N300" s="2" t="s">
        <v>38</v>
      </c>
      <c r="O300" s="2" t="s">
        <v>38</v>
      </c>
      <c r="P300" s="2" t="s">
        <v>38</v>
      </c>
      <c r="Q300" s="2" t="s">
        <v>792</v>
      </c>
      <c r="R300" s="2" t="s">
        <v>59</v>
      </c>
      <c r="S300" s="2" t="s">
        <v>38</v>
      </c>
      <c r="T300" s="2" t="s">
        <v>793</v>
      </c>
      <c r="U300" s="2" t="s">
        <v>2118</v>
      </c>
      <c r="V300" s="2" t="s">
        <v>2265</v>
      </c>
      <c r="W300" s="2" t="s">
        <v>38</v>
      </c>
      <c r="X300" s="2" t="s">
        <v>38</v>
      </c>
      <c r="Y300" s="2" t="s">
        <v>643</v>
      </c>
      <c r="Z300" s="2" t="s">
        <v>45</v>
      </c>
      <c r="AA300" s="2" t="s">
        <v>38</v>
      </c>
      <c r="AB300" s="2" t="s">
        <v>632</v>
      </c>
      <c r="AC300" s="2" t="s">
        <v>2118</v>
      </c>
      <c r="AD300" s="2" t="s">
        <v>2119</v>
      </c>
      <c r="AE300" s="2" t="s">
        <v>2232</v>
      </c>
      <c r="AF300" s="2" t="s">
        <v>38</v>
      </c>
      <c r="AG300" s="34">
        <v>46078</v>
      </c>
    </row>
    <row r="301" spans="1:33" ht="135" x14ac:dyDescent="0.25">
      <c r="A301" s="2" t="s">
        <v>794</v>
      </c>
      <c r="B301" s="2" t="s">
        <v>2847</v>
      </c>
      <c r="C301" s="2" t="s">
        <v>38</v>
      </c>
      <c r="D301" s="2" t="s">
        <v>38</v>
      </c>
      <c r="E301" s="2" t="s">
        <v>163</v>
      </c>
      <c r="F301" s="2" t="s">
        <v>164</v>
      </c>
      <c r="G301" s="2" t="s">
        <v>630</v>
      </c>
      <c r="H301" s="2" t="s">
        <v>2559</v>
      </c>
      <c r="I301" s="2" t="s">
        <v>2560</v>
      </c>
      <c r="J301" s="2" t="s">
        <v>2561</v>
      </c>
      <c r="K301" s="2" t="s">
        <v>50</v>
      </c>
      <c r="L301" s="2" t="s">
        <v>795</v>
      </c>
      <c r="M301" s="2" t="s">
        <v>73</v>
      </c>
      <c r="N301" s="2" t="s">
        <v>796</v>
      </c>
      <c r="O301" s="2" t="s">
        <v>3264</v>
      </c>
      <c r="P301" s="2" t="s">
        <v>3388</v>
      </c>
      <c r="Q301" s="2" t="s">
        <v>2018</v>
      </c>
      <c r="R301" s="2" t="s">
        <v>45</v>
      </c>
      <c r="S301" s="2" t="s">
        <v>132</v>
      </c>
      <c r="T301" s="2" t="s">
        <v>38</v>
      </c>
      <c r="U301" s="2" t="s">
        <v>1999</v>
      </c>
      <c r="V301" s="2" t="s">
        <v>2000</v>
      </c>
      <c r="W301" s="2" t="s">
        <v>2018</v>
      </c>
      <c r="X301" s="2" t="s">
        <v>38</v>
      </c>
      <c r="Y301" s="2" t="s">
        <v>707</v>
      </c>
      <c r="Z301" s="2" t="s">
        <v>59</v>
      </c>
      <c r="AA301" s="2" t="s">
        <v>38</v>
      </c>
      <c r="AB301" s="2" t="s">
        <v>632</v>
      </c>
      <c r="AC301" s="2" t="s">
        <v>2259</v>
      </c>
      <c r="AD301" s="2" t="s">
        <v>2258</v>
      </c>
      <c r="AE301" s="2" t="s">
        <v>38</v>
      </c>
      <c r="AF301" s="2" t="s">
        <v>38</v>
      </c>
      <c r="AG301" s="34">
        <v>46078</v>
      </c>
    </row>
    <row r="302" spans="1:33" ht="165" x14ac:dyDescent="0.25">
      <c r="A302" s="2" t="s">
        <v>797</v>
      </c>
      <c r="B302" s="2" t="s">
        <v>2848</v>
      </c>
      <c r="C302" s="2" t="s">
        <v>38</v>
      </c>
      <c r="D302" s="2" t="s">
        <v>38</v>
      </c>
      <c r="E302" s="2" t="s">
        <v>320</v>
      </c>
      <c r="F302" s="2" t="s">
        <v>62</v>
      </c>
      <c r="G302" s="2" t="s">
        <v>630</v>
      </c>
      <c r="H302" s="2" t="s">
        <v>2710</v>
      </c>
      <c r="I302" s="2" t="s">
        <v>2583</v>
      </c>
      <c r="J302" s="2" t="s">
        <v>3012</v>
      </c>
      <c r="K302" s="2" t="s">
        <v>50</v>
      </c>
      <c r="L302" s="2" t="s">
        <v>798</v>
      </c>
      <c r="M302" s="2" t="s">
        <v>73</v>
      </c>
      <c r="N302" s="2" t="s">
        <v>799</v>
      </c>
      <c r="O302" s="2" t="s">
        <v>3389</v>
      </c>
      <c r="P302" s="2" t="s">
        <v>3230</v>
      </c>
      <c r="Q302" s="2" t="s">
        <v>2181</v>
      </c>
      <c r="R302" s="2" t="s">
        <v>315</v>
      </c>
      <c r="S302" s="2" t="s">
        <v>38</v>
      </c>
      <c r="T302" s="2" t="s">
        <v>38</v>
      </c>
      <c r="U302" s="2" t="s">
        <v>2047</v>
      </c>
      <c r="V302" s="2" t="s">
        <v>38</v>
      </c>
      <c r="W302" s="2" t="s">
        <v>2957</v>
      </c>
      <c r="X302" s="2" t="s">
        <v>2181</v>
      </c>
      <c r="Y302" s="2" t="s">
        <v>700</v>
      </c>
      <c r="Z302" s="2" t="s">
        <v>315</v>
      </c>
      <c r="AA302" s="2" t="s">
        <v>38</v>
      </c>
      <c r="AB302" s="2" t="s">
        <v>632</v>
      </c>
      <c r="AC302" s="2" t="s">
        <v>2128</v>
      </c>
      <c r="AD302" s="2" t="s">
        <v>2129</v>
      </c>
      <c r="AE302" s="2" t="s">
        <v>2150</v>
      </c>
      <c r="AF302" s="2" t="s">
        <v>2159</v>
      </c>
      <c r="AG302" s="34">
        <v>46078</v>
      </c>
    </row>
    <row r="303" spans="1:33" ht="30" x14ac:dyDescent="0.25">
      <c r="A303" s="2" t="s">
        <v>800</v>
      </c>
      <c r="B303" s="2" t="s">
        <v>801</v>
      </c>
      <c r="C303" s="2" t="s">
        <v>38</v>
      </c>
      <c r="D303" s="2" t="s">
        <v>38</v>
      </c>
      <c r="E303" s="2" t="s">
        <v>163</v>
      </c>
      <c r="F303" s="2" t="s">
        <v>38</v>
      </c>
      <c r="G303" s="2" t="s">
        <v>630</v>
      </c>
      <c r="H303" s="2" t="s">
        <v>2610</v>
      </c>
      <c r="I303" s="2" t="s">
        <v>2844</v>
      </c>
      <c r="J303" s="2" t="s">
        <v>2845</v>
      </c>
      <c r="K303" s="2" t="s">
        <v>50</v>
      </c>
      <c r="L303" s="2" t="s">
        <v>38</v>
      </c>
      <c r="M303" s="2" t="s">
        <v>38</v>
      </c>
      <c r="N303" s="2" t="s">
        <v>38</v>
      </c>
      <c r="O303" s="2" t="s">
        <v>38</v>
      </c>
      <c r="P303" s="2" t="s">
        <v>38</v>
      </c>
      <c r="Q303" s="2" t="s">
        <v>784</v>
      </c>
      <c r="R303" s="2" t="s">
        <v>59</v>
      </c>
      <c r="S303" s="2" t="s">
        <v>38</v>
      </c>
      <c r="T303" s="2" t="s">
        <v>785</v>
      </c>
      <c r="U303" s="2" t="s">
        <v>2118</v>
      </c>
      <c r="V303" s="2" t="s">
        <v>2265</v>
      </c>
      <c r="W303" s="2" t="s">
        <v>38</v>
      </c>
      <c r="X303" s="2" t="s">
        <v>38</v>
      </c>
      <c r="Y303" s="2" t="s">
        <v>802</v>
      </c>
      <c r="Z303" s="2" t="s">
        <v>45</v>
      </c>
      <c r="AA303" s="2" t="s">
        <v>38</v>
      </c>
      <c r="AB303" s="2" t="s">
        <v>803</v>
      </c>
      <c r="AC303" s="2" t="s">
        <v>2118</v>
      </c>
      <c r="AD303" s="2" t="s">
        <v>2119</v>
      </c>
      <c r="AE303" s="2" t="s">
        <v>2117</v>
      </c>
      <c r="AF303" s="2" t="s">
        <v>38</v>
      </c>
      <c r="AG303" s="34">
        <v>46078</v>
      </c>
    </row>
    <row r="304" spans="1:33" ht="30" x14ac:dyDescent="0.25">
      <c r="A304" s="2" t="s">
        <v>804</v>
      </c>
      <c r="B304" s="2" t="s">
        <v>805</v>
      </c>
      <c r="C304" s="2" t="s">
        <v>38</v>
      </c>
      <c r="D304" s="2" t="s">
        <v>38</v>
      </c>
      <c r="E304" s="2" t="s">
        <v>163</v>
      </c>
      <c r="F304" s="2" t="s">
        <v>38</v>
      </c>
      <c r="G304" s="2" t="s">
        <v>630</v>
      </c>
      <c r="H304" s="2" t="s">
        <v>2610</v>
      </c>
      <c r="I304" s="2" t="s">
        <v>2844</v>
      </c>
      <c r="J304" s="2" t="s">
        <v>2846</v>
      </c>
      <c r="K304" s="2" t="s">
        <v>50</v>
      </c>
      <c r="L304" s="2" t="s">
        <v>38</v>
      </c>
      <c r="M304" s="2" t="s">
        <v>38</v>
      </c>
      <c r="N304" s="2" t="s">
        <v>38</v>
      </c>
      <c r="O304" s="2" t="s">
        <v>38</v>
      </c>
      <c r="P304" s="2" t="s">
        <v>38</v>
      </c>
      <c r="Q304" s="2" t="s">
        <v>806</v>
      </c>
      <c r="R304" s="2" t="s">
        <v>59</v>
      </c>
      <c r="S304" s="2" t="s">
        <v>38</v>
      </c>
      <c r="T304" s="2" t="s">
        <v>807</v>
      </c>
      <c r="U304" s="2" t="s">
        <v>2118</v>
      </c>
      <c r="V304" s="2" t="s">
        <v>2265</v>
      </c>
      <c r="W304" s="2" t="s">
        <v>38</v>
      </c>
      <c r="X304" s="2" t="s">
        <v>38</v>
      </c>
      <c r="Y304" s="2" t="s">
        <v>808</v>
      </c>
      <c r="Z304" s="2" t="s">
        <v>45</v>
      </c>
      <c r="AA304" s="2" t="s">
        <v>38</v>
      </c>
      <c r="AB304" s="2" t="s">
        <v>809</v>
      </c>
      <c r="AC304" s="2" t="s">
        <v>2118</v>
      </c>
      <c r="AD304" s="2" t="s">
        <v>2119</v>
      </c>
      <c r="AE304" s="2" t="s">
        <v>2232</v>
      </c>
      <c r="AF304" s="2" t="s">
        <v>38</v>
      </c>
      <c r="AG304" s="34">
        <v>46078</v>
      </c>
    </row>
    <row r="305" spans="1:33" ht="30" x14ac:dyDescent="0.25">
      <c r="A305" s="2" t="s">
        <v>810</v>
      </c>
      <c r="B305" s="2" t="s">
        <v>811</v>
      </c>
      <c r="C305" s="2" t="s">
        <v>38</v>
      </c>
      <c r="D305" s="2" t="s">
        <v>38</v>
      </c>
      <c r="E305" s="2" t="s">
        <v>163</v>
      </c>
      <c r="F305" s="2" t="s">
        <v>38</v>
      </c>
      <c r="G305" s="2" t="s">
        <v>630</v>
      </c>
      <c r="H305" s="2" t="s">
        <v>2610</v>
      </c>
      <c r="I305" s="2" t="s">
        <v>2844</v>
      </c>
      <c r="J305" s="2" t="s">
        <v>2846</v>
      </c>
      <c r="K305" s="2" t="s">
        <v>50</v>
      </c>
      <c r="L305" s="2" t="s">
        <v>38</v>
      </c>
      <c r="M305" s="2" t="s">
        <v>38</v>
      </c>
      <c r="N305" s="2" t="s">
        <v>38</v>
      </c>
      <c r="O305" s="2" t="s">
        <v>38</v>
      </c>
      <c r="P305" s="2" t="s">
        <v>38</v>
      </c>
      <c r="Q305" s="2" t="s">
        <v>792</v>
      </c>
      <c r="R305" s="2" t="s">
        <v>59</v>
      </c>
      <c r="S305" s="2" t="s">
        <v>38</v>
      </c>
      <c r="T305" s="2" t="s">
        <v>793</v>
      </c>
      <c r="U305" s="2" t="s">
        <v>2118</v>
      </c>
      <c r="V305" s="2" t="s">
        <v>2265</v>
      </c>
      <c r="W305" s="2" t="s">
        <v>38</v>
      </c>
      <c r="X305" s="2" t="s">
        <v>38</v>
      </c>
      <c r="Y305" s="2" t="s">
        <v>812</v>
      </c>
      <c r="Z305" s="2" t="s">
        <v>45</v>
      </c>
      <c r="AA305" s="2" t="s">
        <v>38</v>
      </c>
      <c r="AB305" s="2" t="s">
        <v>813</v>
      </c>
      <c r="AC305" s="2" t="s">
        <v>2118</v>
      </c>
      <c r="AD305" s="2" t="s">
        <v>2119</v>
      </c>
      <c r="AE305" s="2" t="s">
        <v>2232</v>
      </c>
      <c r="AF305" s="2" t="s">
        <v>38</v>
      </c>
      <c r="AG305" s="34">
        <v>46078</v>
      </c>
    </row>
    <row r="306" spans="1:33" ht="30" x14ac:dyDescent="0.25">
      <c r="A306" s="2" t="s">
        <v>814</v>
      </c>
      <c r="B306" s="2" t="s">
        <v>815</v>
      </c>
      <c r="C306" s="2" t="s">
        <v>38</v>
      </c>
      <c r="D306" s="2" t="s">
        <v>38</v>
      </c>
      <c r="E306" s="2" t="s">
        <v>163</v>
      </c>
      <c r="F306" s="2" t="s">
        <v>38</v>
      </c>
      <c r="G306" s="2" t="s">
        <v>630</v>
      </c>
      <c r="H306" s="2" t="s">
        <v>2610</v>
      </c>
      <c r="I306" s="2" t="s">
        <v>2844</v>
      </c>
      <c r="J306" s="2" t="s">
        <v>2846</v>
      </c>
      <c r="K306" s="2" t="s">
        <v>50</v>
      </c>
      <c r="L306" s="2" t="s">
        <v>38</v>
      </c>
      <c r="M306" s="2" t="s">
        <v>38</v>
      </c>
      <c r="N306" s="2" t="s">
        <v>38</v>
      </c>
      <c r="O306" s="2" t="s">
        <v>38</v>
      </c>
      <c r="P306" s="2" t="s">
        <v>38</v>
      </c>
      <c r="Q306" s="2" t="s">
        <v>816</v>
      </c>
      <c r="R306" s="2" t="s">
        <v>59</v>
      </c>
      <c r="S306" s="2" t="s">
        <v>38</v>
      </c>
      <c r="T306" s="2" t="s">
        <v>817</v>
      </c>
      <c r="U306" s="2" t="s">
        <v>2118</v>
      </c>
      <c r="V306" s="2" t="s">
        <v>2265</v>
      </c>
      <c r="W306" s="2" t="s">
        <v>38</v>
      </c>
      <c r="X306" s="2" t="s">
        <v>38</v>
      </c>
      <c r="Y306" s="2" t="s">
        <v>808</v>
      </c>
      <c r="Z306" s="2" t="s">
        <v>45</v>
      </c>
      <c r="AA306" s="2" t="s">
        <v>38</v>
      </c>
      <c r="AB306" s="2" t="s">
        <v>809</v>
      </c>
      <c r="AC306" s="2" t="s">
        <v>2118</v>
      </c>
      <c r="AD306" s="2" t="s">
        <v>2119</v>
      </c>
      <c r="AE306" s="2" t="s">
        <v>2232</v>
      </c>
      <c r="AF306" s="2" t="s">
        <v>38</v>
      </c>
      <c r="AG306" s="34">
        <v>46078</v>
      </c>
    </row>
    <row r="307" spans="1:33" ht="30" x14ac:dyDescent="0.25">
      <c r="A307" s="2" t="s">
        <v>818</v>
      </c>
      <c r="B307" s="2" t="s">
        <v>819</v>
      </c>
      <c r="C307" s="2" t="s">
        <v>38</v>
      </c>
      <c r="D307" s="2" t="s">
        <v>38</v>
      </c>
      <c r="E307" s="2" t="s">
        <v>163</v>
      </c>
      <c r="F307" s="2" t="s">
        <v>38</v>
      </c>
      <c r="G307" s="2" t="s">
        <v>630</v>
      </c>
      <c r="H307" s="2" t="s">
        <v>2610</v>
      </c>
      <c r="I307" s="2" t="s">
        <v>2844</v>
      </c>
      <c r="J307" s="2" t="s">
        <v>2846</v>
      </c>
      <c r="K307" s="2" t="s">
        <v>50</v>
      </c>
      <c r="L307" s="2" t="s">
        <v>38</v>
      </c>
      <c r="M307" s="2" t="s">
        <v>38</v>
      </c>
      <c r="N307" s="2" t="s">
        <v>38</v>
      </c>
      <c r="O307" s="2" t="s">
        <v>38</v>
      </c>
      <c r="P307" s="2" t="s">
        <v>38</v>
      </c>
      <c r="Q307" s="2" t="s">
        <v>806</v>
      </c>
      <c r="R307" s="2" t="s">
        <v>59</v>
      </c>
      <c r="S307" s="2" t="s">
        <v>38</v>
      </c>
      <c r="T307" s="2" t="s">
        <v>807</v>
      </c>
      <c r="U307" s="2" t="s">
        <v>2118</v>
      </c>
      <c r="V307" s="2" t="s">
        <v>2265</v>
      </c>
      <c r="W307" s="2" t="s">
        <v>38</v>
      </c>
      <c r="X307" s="2" t="s">
        <v>38</v>
      </c>
      <c r="Y307" s="2" t="s">
        <v>820</v>
      </c>
      <c r="Z307" s="2" t="s">
        <v>45</v>
      </c>
      <c r="AA307" s="2" t="s">
        <v>38</v>
      </c>
      <c r="AB307" s="2" t="s">
        <v>821</v>
      </c>
      <c r="AC307" s="2" t="s">
        <v>2118</v>
      </c>
      <c r="AD307" s="2" t="s">
        <v>2119</v>
      </c>
      <c r="AE307" s="2" t="s">
        <v>2232</v>
      </c>
      <c r="AF307" s="2" t="s">
        <v>38</v>
      </c>
      <c r="AG307" s="34">
        <v>46078</v>
      </c>
    </row>
    <row r="308" spans="1:33" ht="30" x14ac:dyDescent="0.25">
      <c r="A308" s="2" t="s">
        <v>822</v>
      </c>
      <c r="B308" s="2" t="s">
        <v>823</v>
      </c>
      <c r="C308" s="2" t="s">
        <v>38</v>
      </c>
      <c r="D308" s="2" t="s">
        <v>38</v>
      </c>
      <c r="E308" s="2" t="s">
        <v>163</v>
      </c>
      <c r="F308" s="2" t="s">
        <v>38</v>
      </c>
      <c r="G308" s="2" t="s">
        <v>630</v>
      </c>
      <c r="H308" s="2" t="s">
        <v>2610</v>
      </c>
      <c r="I308" s="2" t="s">
        <v>2844</v>
      </c>
      <c r="J308" s="2" t="s">
        <v>2846</v>
      </c>
      <c r="K308" s="2" t="s">
        <v>50</v>
      </c>
      <c r="L308" s="2" t="s">
        <v>38</v>
      </c>
      <c r="M308" s="2" t="s">
        <v>38</v>
      </c>
      <c r="N308" s="2" t="s">
        <v>38</v>
      </c>
      <c r="O308" s="2" t="s">
        <v>38</v>
      </c>
      <c r="P308" s="2" t="s">
        <v>38</v>
      </c>
      <c r="Q308" s="2" t="s">
        <v>816</v>
      </c>
      <c r="R308" s="2" t="s">
        <v>59</v>
      </c>
      <c r="S308" s="2" t="s">
        <v>38</v>
      </c>
      <c r="T308" s="2" t="s">
        <v>817</v>
      </c>
      <c r="U308" s="2" t="s">
        <v>2118</v>
      </c>
      <c r="V308" s="2" t="s">
        <v>2265</v>
      </c>
      <c r="W308" s="2" t="s">
        <v>38</v>
      </c>
      <c r="X308" s="2" t="s">
        <v>38</v>
      </c>
      <c r="Y308" s="2" t="s">
        <v>812</v>
      </c>
      <c r="Z308" s="2" t="s">
        <v>45</v>
      </c>
      <c r="AA308" s="2" t="s">
        <v>38</v>
      </c>
      <c r="AB308" s="2" t="s">
        <v>813</v>
      </c>
      <c r="AC308" s="2" t="s">
        <v>2118</v>
      </c>
      <c r="AD308" s="2" t="s">
        <v>2119</v>
      </c>
      <c r="AE308" s="2" t="s">
        <v>2232</v>
      </c>
      <c r="AF308" s="2" t="s">
        <v>38</v>
      </c>
      <c r="AG308" s="34">
        <v>46078</v>
      </c>
    </row>
    <row r="309" spans="1:33" ht="45" x14ac:dyDescent="0.25">
      <c r="A309" s="2" t="s">
        <v>824</v>
      </c>
      <c r="B309" s="2" t="s">
        <v>825</v>
      </c>
      <c r="C309" s="2" t="s">
        <v>38</v>
      </c>
      <c r="D309" s="2" t="s">
        <v>38</v>
      </c>
      <c r="E309" s="2" t="s">
        <v>163</v>
      </c>
      <c r="F309" s="2" t="s">
        <v>38</v>
      </c>
      <c r="G309" s="2" t="s">
        <v>630</v>
      </c>
      <c r="H309" s="2" t="s">
        <v>2610</v>
      </c>
      <c r="I309" s="2" t="s">
        <v>2609</v>
      </c>
      <c r="J309" s="2" t="s">
        <v>2849</v>
      </c>
      <c r="K309" s="2" t="s">
        <v>50</v>
      </c>
      <c r="L309" s="2" t="s">
        <v>38</v>
      </c>
      <c r="M309" s="2" t="s">
        <v>38</v>
      </c>
      <c r="N309" s="2" t="s">
        <v>38</v>
      </c>
      <c r="O309" s="2" t="s">
        <v>38</v>
      </c>
      <c r="P309" s="2" t="s">
        <v>38</v>
      </c>
      <c r="Q309" s="2" t="s">
        <v>812</v>
      </c>
      <c r="R309" s="2" t="s">
        <v>45</v>
      </c>
      <c r="S309" s="2" t="s">
        <v>38</v>
      </c>
      <c r="T309" s="2" t="s">
        <v>813</v>
      </c>
      <c r="U309" s="2" t="s">
        <v>2118</v>
      </c>
      <c r="V309" s="2" t="s">
        <v>2119</v>
      </c>
      <c r="W309" s="2" t="s">
        <v>2232</v>
      </c>
      <c r="X309" s="2" t="s">
        <v>38</v>
      </c>
      <c r="Y309" s="2" t="s">
        <v>826</v>
      </c>
      <c r="Z309" s="2" t="s">
        <v>59</v>
      </c>
      <c r="AA309" s="2" t="s">
        <v>38</v>
      </c>
      <c r="AB309" s="2" t="s">
        <v>827</v>
      </c>
      <c r="AC309" s="2" t="s">
        <v>2118</v>
      </c>
      <c r="AD309" s="2" t="s">
        <v>2265</v>
      </c>
      <c r="AE309" s="2" t="s">
        <v>38</v>
      </c>
      <c r="AF309" s="2" t="s">
        <v>38</v>
      </c>
      <c r="AG309" s="34">
        <v>46078</v>
      </c>
    </row>
    <row r="310" spans="1:33" ht="30" x14ac:dyDescent="0.25">
      <c r="A310" s="2" t="s">
        <v>828</v>
      </c>
      <c r="B310" s="2" t="s">
        <v>829</v>
      </c>
      <c r="C310" s="2" t="s">
        <v>38</v>
      </c>
      <c r="D310" s="2" t="s">
        <v>38</v>
      </c>
      <c r="E310" s="2" t="s">
        <v>163</v>
      </c>
      <c r="F310" s="2" t="s">
        <v>38</v>
      </c>
      <c r="G310" s="2" t="s">
        <v>630</v>
      </c>
      <c r="H310" s="2" t="s">
        <v>2610</v>
      </c>
      <c r="I310" s="2" t="s">
        <v>2844</v>
      </c>
      <c r="J310" s="2" t="s">
        <v>2846</v>
      </c>
      <c r="K310" s="2" t="s">
        <v>50</v>
      </c>
      <c r="L310" s="2" t="s">
        <v>38</v>
      </c>
      <c r="M310" s="2" t="s">
        <v>38</v>
      </c>
      <c r="N310" s="2" t="s">
        <v>38</v>
      </c>
      <c r="O310" s="2" t="s">
        <v>38</v>
      </c>
      <c r="P310" s="2" t="s">
        <v>38</v>
      </c>
      <c r="Q310" s="2" t="s">
        <v>826</v>
      </c>
      <c r="R310" s="2" t="s">
        <v>59</v>
      </c>
      <c r="S310" s="2" t="s">
        <v>38</v>
      </c>
      <c r="T310" s="2" t="s">
        <v>827</v>
      </c>
      <c r="U310" s="2" t="s">
        <v>2118</v>
      </c>
      <c r="V310" s="2" t="s">
        <v>2265</v>
      </c>
      <c r="W310" s="2" t="s">
        <v>38</v>
      </c>
      <c r="X310" s="2" t="s">
        <v>38</v>
      </c>
      <c r="Y310" s="2" t="s">
        <v>830</v>
      </c>
      <c r="Z310" s="2" t="s">
        <v>45</v>
      </c>
      <c r="AA310" s="2" t="s">
        <v>38</v>
      </c>
      <c r="AB310" s="2" t="s">
        <v>831</v>
      </c>
      <c r="AC310" s="2" t="s">
        <v>2118</v>
      </c>
      <c r="AD310" s="2" t="s">
        <v>2119</v>
      </c>
      <c r="AE310" s="2" t="s">
        <v>2232</v>
      </c>
      <c r="AF310" s="2" t="s">
        <v>38</v>
      </c>
      <c r="AG310" s="34">
        <v>46078</v>
      </c>
    </row>
    <row r="311" spans="1:33" ht="30" x14ac:dyDescent="0.25">
      <c r="A311" s="2" t="s">
        <v>832</v>
      </c>
      <c r="B311" s="2" t="s">
        <v>833</v>
      </c>
      <c r="C311" s="2" t="s">
        <v>38</v>
      </c>
      <c r="D311" s="2" t="s">
        <v>38</v>
      </c>
      <c r="E311" s="2" t="s">
        <v>163</v>
      </c>
      <c r="F311" s="2" t="s">
        <v>38</v>
      </c>
      <c r="G311" s="2" t="s">
        <v>630</v>
      </c>
      <c r="H311" s="2" t="s">
        <v>2610</v>
      </c>
      <c r="I311" s="2" t="s">
        <v>2844</v>
      </c>
      <c r="J311" s="2" t="s">
        <v>2846</v>
      </c>
      <c r="K311" s="2" t="s">
        <v>50</v>
      </c>
      <c r="L311" s="2" t="s">
        <v>38</v>
      </c>
      <c r="M311" s="2" t="s">
        <v>38</v>
      </c>
      <c r="N311" s="2" t="s">
        <v>38</v>
      </c>
      <c r="O311" s="2" t="s">
        <v>38</v>
      </c>
      <c r="P311" s="2" t="s">
        <v>38</v>
      </c>
      <c r="Q311" s="2" t="s">
        <v>834</v>
      </c>
      <c r="R311" s="2" t="s">
        <v>59</v>
      </c>
      <c r="S311" s="2" t="s">
        <v>38</v>
      </c>
      <c r="T311" s="2" t="s">
        <v>835</v>
      </c>
      <c r="U311" s="2" t="s">
        <v>2118</v>
      </c>
      <c r="V311" s="2" t="s">
        <v>2265</v>
      </c>
      <c r="W311" s="2" t="s">
        <v>38</v>
      </c>
      <c r="X311" s="2" t="s">
        <v>38</v>
      </c>
      <c r="Y311" s="2" t="s">
        <v>830</v>
      </c>
      <c r="Z311" s="2" t="s">
        <v>45</v>
      </c>
      <c r="AA311" s="2" t="s">
        <v>38</v>
      </c>
      <c r="AB311" s="2" t="s">
        <v>831</v>
      </c>
      <c r="AC311" s="2" t="s">
        <v>2118</v>
      </c>
      <c r="AD311" s="2" t="s">
        <v>2119</v>
      </c>
      <c r="AE311" s="2" t="s">
        <v>2232</v>
      </c>
      <c r="AF311" s="2" t="s">
        <v>38</v>
      </c>
      <c r="AG311" s="34">
        <v>46078</v>
      </c>
    </row>
    <row r="312" spans="1:33" ht="30" x14ac:dyDescent="0.25">
      <c r="A312" s="2" t="s">
        <v>836</v>
      </c>
      <c r="B312" s="2" t="s">
        <v>837</v>
      </c>
      <c r="C312" s="2" t="s">
        <v>38</v>
      </c>
      <c r="D312" s="2" t="s">
        <v>38</v>
      </c>
      <c r="E312" s="2" t="s">
        <v>163</v>
      </c>
      <c r="F312" s="2" t="s">
        <v>38</v>
      </c>
      <c r="G312" s="2" t="s">
        <v>630</v>
      </c>
      <c r="H312" s="2" t="s">
        <v>2610</v>
      </c>
      <c r="I312" s="2" t="s">
        <v>2844</v>
      </c>
      <c r="J312" s="2" t="s">
        <v>2846</v>
      </c>
      <c r="K312" s="2" t="s">
        <v>50</v>
      </c>
      <c r="L312" s="2" t="s">
        <v>38</v>
      </c>
      <c r="M312" s="2" t="s">
        <v>38</v>
      </c>
      <c r="N312" s="2" t="s">
        <v>38</v>
      </c>
      <c r="O312" s="2" t="s">
        <v>38</v>
      </c>
      <c r="P312" s="2" t="s">
        <v>38</v>
      </c>
      <c r="Q312" s="2" t="s">
        <v>834</v>
      </c>
      <c r="R312" s="2" t="s">
        <v>59</v>
      </c>
      <c r="S312" s="2" t="s">
        <v>38</v>
      </c>
      <c r="T312" s="2" t="s">
        <v>835</v>
      </c>
      <c r="U312" s="2" t="s">
        <v>2118</v>
      </c>
      <c r="V312" s="2" t="s">
        <v>2265</v>
      </c>
      <c r="W312" s="2" t="s">
        <v>38</v>
      </c>
      <c r="X312" s="2" t="s">
        <v>38</v>
      </c>
      <c r="Y312" s="2" t="s">
        <v>838</v>
      </c>
      <c r="Z312" s="2" t="s">
        <v>45</v>
      </c>
      <c r="AA312" s="2" t="s">
        <v>38</v>
      </c>
      <c r="AB312" s="2" t="s">
        <v>839</v>
      </c>
      <c r="AC312" s="2" t="s">
        <v>2118</v>
      </c>
      <c r="AD312" s="2" t="s">
        <v>2119</v>
      </c>
      <c r="AE312" s="2" t="s">
        <v>2232</v>
      </c>
      <c r="AF312" s="2" t="s">
        <v>38</v>
      </c>
      <c r="AG312" s="34">
        <v>46078</v>
      </c>
    </row>
    <row r="313" spans="1:33" ht="30" x14ac:dyDescent="0.25">
      <c r="A313" s="2" t="s">
        <v>840</v>
      </c>
      <c r="B313" s="2" t="s">
        <v>841</v>
      </c>
      <c r="C313" s="2" t="s">
        <v>38</v>
      </c>
      <c r="D313" s="2" t="s">
        <v>38</v>
      </c>
      <c r="E313" s="2" t="s">
        <v>163</v>
      </c>
      <c r="F313" s="2" t="s">
        <v>38</v>
      </c>
      <c r="G313" s="2" t="s">
        <v>630</v>
      </c>
      <c r="H313" s="2" t="s">
        <v>2610</v>
      </c>
      <c r="I313" s="2" t="s">
        <v>2844</v>
      </c>
      <c r="J313" s="2" t="s">
        <v>2846</v>
      </c>
      <c r="K313" s="2" t="s">
        <v>50</v>
      </c>
      <c r="L313" s="2" t="s">
        <v>38</v>
      </c>
      <c r="M313" s="2" t="s">
        <v>38</v>
      </c>
      <c r="N313" s="2" t="s">
        <v>38</v>
      </c>
      <c r="O313" s="2" t="s">
        <v>38</v>
      </c>
      <c r="P313" s="2" t="s">
        <v>38</v>
      </c>
      <c r="Q313" s="2" t="s">
        <v>842</v>
      </c>
      <c r="R313" s="2" t="s">
        <v>59</v>
      </c>
      <c r="S313" s="2" t="s">
        <v>38</v>
      </c>
      <c r="T313" s="2" t="s">
        <v>843</v>
      </c>
      <c r="U313" s="2" t="s">
        <v>2118</v>
      </c>
      <c r="V313" s="2" t="s">
        <v>2265</v>
      </c>
      <c r="W313" s="2" t="s">
        <v>38</v>
      </c>
      <c r="X313" s="2" t="s">
        <v>38</v>
      </c>
      <c r="Y313" s="2" t="s">
        <v>838</v>
      </c>
      <c r="Z313" s="2" t="s">
        <v>45</v>
      </c>
      <c r="AA313" s="2" t="s">
        <v>38</v>
      </c>
      <c r="AB313" s="2" t="s">
        <v>839</v>
      </c>
      <c r="AC313" s="2" t="s">
        <v>2118</v>
      </c>
      <c r="AD313" s="2" t="s">
        <v>2119</v>
      </c>
      <c r="AE313" s="2" t="s">
        <v>2232</v>
      </c>
      <c r="AF313" s="2" t="s">
        <v>38</v>
      </c>
      <c r="AG313" s="34">
        <v>46078</v>
      </c>
    </row>
    <row r="314" spans="1:33" ht="30" x14ac:dyDescent="0.25">
      <c r="A314" s="2" t="s">
        <v>844</v>
      </c>
      <c r="B314" s="2" t="s">
        <v>845</v>
      </c>
      <c r="C314" s="2" t="s">
        <v>38</v>
      </c>
      <c r="D314" s="2" t="s">
        <v>38</v>
      </c>
      <c r="E314" s="2" t="s">
        <v>163</v>
      </c>
      <c r="F314" s="2" t="s">
        <v>38</v>
      </c>
      <c r="G314" s="2" t="s">
        <v>630</v>
      </c>
      <c r="H314" s="2" t="s">
        <v>2610</v>
      </c>
      <c r="I314" s="2" t="s">
        <v>2844</v>
      </c>
      <c r="J314" s="2" t="s">
        <v>2846</v>
      </c>
      <c r="K314" s="2" t="s">
        <v>50</v>
      </c>
      <c r="L314" s="2" t="s">
        <v>38</v>
      </c>
      <c r="M314" s="2" t="s">
        <v>38</v>
      </c>
      <c r="N314" s="2" t="s">
        <v>38</v>
      </c>
      <c r="O314" s="2" t="s">
        <v>38</v>
      </c>
      <c r="P314" s="2" t="s">
        <v>38</v>
      </c>
      <c r="Q314" s="2" t="s">
        <v>842</v>
      </c>
      <c r="R314" s="2" t="s">
        <v>59</v>
      </c>
      <c r="S314" s="2" t="s">
        <v>38</v>
      </c>
      <c r="T314" s="2" t="s">
        <v>843</v>
      </c>
      <c r="U314" s="2" t="s">
        <v>2118</v>
      </c>
      <c r="V314" s="2" t="s">
        <v>2265</v>
      </c>
      <c r="W314" s="2" t="s">
        <v>38</v>
      </c>
      <c r="X314" s="2" t="s">
        <v>38</v>
      </c>
      <c r="Y314" s="2" t="s">
        <v>846</v>
      </c>
      <c r="Z314" s="2" t="s">
        <v>45</v>
      </c>
      <c r="AA314" s="2" t="s">
        <v>38</v>
      </c>
      <c r="AB314" s="2" t="s">
        <v>847</v>
      </c>
      <c r="AC314" s="2" t="s">
        <v>2118</v>
      </c>
      <c r="AD314" s="2" t="s">
        <v>2119</v>
      </c>
      <c r="AE314" s="2" t="s">
        <v>2232</v>
      </c>
      <c r="AF314" s="2" t="s">
        <v>38</v>
      </c>
      <c r="AG314" s="34">
        <v>46078</v>
      </c>
    </row>
    <row r="315" spans="1:33" ht="30" x14ac:dyDescent="0.25">
      <c r="A315" s="2" t="s">
        <v>848</v>
      </c>
      <c r="B315" s="2" t="s">
        <v>849</v>
      </c>
      <c r="C315" s="2" t="s">
        <v>38</v>
      </c>
      <c r="D315" s="2" t="s">
        <v>38</v>
      </c>
      <c r="E315" s="2" t="s">
        <v>163</v>
      </c>
      <c r="F315" s="2" t="s">
        <v>38</v>
      </c>
      <c r="G315" s="2" t="s">
        <v>630</v>
      </c>
      <c r="H315" s="2" t="s">
        <v>2610</v>
      </c>
      <c r="I315" s="2" t="s">
        <v>2844</v>
      </c>
      <c r="J315" s="2" t="s">
        <v>2846</v>
      </c>
      <c r="K315" s="2" t="s">
        <v>50</v>
      </c>
      <c r="L315" s="2" t="s">
        <v>38</v>
      </c>
      <c r="M315" s="2" t="s">
        <v>38</v>
      </c>
      <c r="N315" s="2" t="s">
        <v>38</v>
      </c>
      <c r="O315" s="2" t="s">
        <v>38</v>
      </c>
      <c r="P315" s="2" t="s">
        <v>38</v>
      </c>
      <c r="Q315" s="2" t="s">
        <v>850</v>
      </c>
      <c r="R315" s="2" t="s">
        <v>59</v>
      </c>
      <c r="S315" s="2" t="s">
        <v>38</v>
      </c>
      <c r="T315" s="2" t="s">
        <v>851</v>
      </c>
      <c r="U315" s="2" t="s">
        <v>2118</v>
      </c>
      <c r="V315" s="2" t="s">
        <v>2265</v>
      </c>
      <c r="W315" s="2" t="s">
        <v>38</v>
      </c>
      <c r="X315" s="2" t="s">
        <v>38</v>
      </c>
      <c r="Y315" s="2" t="s">
        <v>830</v>
      </c>
      <c r="Z315" s="2" t="s">
        <v>45</v>
      </c>
      <c r="AA315" s="2" t="s">
        <v>38</v>
      </c>
      <c r="AB315" s="2" t="s">
        <v>831</v>
      </c>
      <c r="AC315" s="2" t="s">
        <v>2118</v>
      </c>
      <c r="AD315" s="2" t="s">
        <v>2119</v>
      </c>
      <c r="AE315" s="2" t="s">
        <v>2232</v>
      </c>
      <c r="AF315" s="2" t="s">
        <v>38</v>
      </c>
      <c r="AG315" s="34">
        <v>46078</v>
      </c>
    </row>
    <row r="316" spans="1:33" ht="30" x14ac:dyDescent="0.25">
      <c r="A316" s="2" t="s">
        <v>852</v>
      </c>
      <c r="B316" s="2" t="s">
        <v>853</v>
      </c>
      <c r="C316" s="2" t="s">
        <v>38</v>
      </c>
      <c r="D316" s="2" t="s">
        <v>38</v>
      </c>
      <c r="E316" s="2" t="s">
        <v>163</v>
      </c>
      <c r="F316" s="2" t="s">
        <v>38</v>
      </c>
      <c r="G316" s="2" t="s">
        <v>630</v>
      </c>
      <c r="H316" s="2" t="s">
        <v>2610</v>
      </c>
      <c r="I316" s="2" t="s">
        <v>2844</v>
      </c>
      <c r="J316" s="2" t="s">
        <v>2845</v>
      </c>
      <c r="K316" s="2" t="s">
        <v>50</v>
      </c>
      <c r="L316" s="2" t="s">
        <v>38</v>
      </c>
      <c r="M316" s="2" t="s">
        <v>38</v>
      </c>
      <c r="N316" s="2" t="s">
        <v>38</v>
      </c>
      <c r="O316" s="2" t="s">
        <v>38</v>
      </c>
      <c r="P316" s="2" t="s">
        <v>38</v>
      </c>
      <c r="Q316" s="2" t="s">
        <v>850</v>
      </c>
      <c r="R316" s="2" t="s">
        <v>59</v>
      </c>
      <c r="S316" s="2" t="s">
        <v>38</v>
      </c>
      <c r="T316" s="2" t="s">
        <v>851</v>
      </c>
      <c r="U316" s="2" t="s">
        <v>2118</v>
      </c>
      <c r="V316" s="2" t="s">
        <v>2265</v>
      </c>
      <c r="W316" s="2" t="s">
        <v>38</v>
      </c>
      <c r="X316" s="2" t="s">
        <v>38</v>
      </c>
      <c r="Y316" s="2" t="s">
        <v>854</v>
      </c>
      <c r="Z316" s="2" t="s">
        <v>45</v>
      </c>
      <c r="AA316" s="2" t="s">
        <v>38</v>
      </c>
      <c r="AB316" s="2" t="s">
        <v>855</v>
      </c>
      <c r="AC316" s="2" t="s">
        <v>2118</v>
      </c>
      <c r="AD316" s="2" t="s">
        <v>2119</v>
      </c>
      <c r="AE316" s="2" t="s">
        <v>2117</v>
      </c>
      <c r="AF316" s="2" t="s">
        <v>38</v>
      </c>
      <c r="AG316" s="34">
        <v>46078</v>
      </c>
    </row>
    <row r="317" spans="1:33" ht="60" x14ac:dyDescent="0.25">
      <c r="A317" s="2" t="s">
        <v>856</v>
      </c>
      <c r="B317" s="2" t="s">
        <v>2850</v>
      </c>
      <c r="C317" s="2" t="s">
        <v>38</v>
      </c>
      <c r="D317" s="2" t="s">
        <v>38</v>
      </c>
      <c r="E317" s="2" t="s">
        <v>48</v>
      </c>
      <c r="F317" s="2" t="s">
        <v>38</v>
      </c>
      <c r="G317" s="2" t="s">
        <v>630</v>
      </c>
      <c r="H317" s="2" t="s">
        <v>2851</v>
      </c>
      <c r="I317" s="2" t="s">
        <v>2852</v>
      </c>
      <c r="J317" s="2" t="s">
        <v>2853</v>
      </c>
      <c r="K317" s="2" t="s">
        <v>50</v>
      </c>
      <c r="L317" s="2" t="s">
        <v>38</v>
      </c>
      <c r="M317" s="2" t="s">
        <v>38</v>
      </c>
      <c r="N317" s="2" t="s">
        <v>38</v>
      </c>
      <c r="O317" s="2" t="s">
        <v>38</v>
      </c>
      <c r="P317" s="2" t="s">
        <v>38</v>
      </c>
      <c r="Q317" s="2" t="s">
        <v>2063</v>
      </c>
      <c r="R317" s="2" t="s">
        <v>45</v>
      </c>
      <c r="S317" s="2" t="s">
        <v>46</v>
      </c>
      <c r="T317" s="2" t="s">
        <v>38</v>
      </c>
      <c r="U317" s="2" t="s">
        <v>1999</v>
      </c>
      <c r="V317" s="2" t="s">
        <v>2006</v>
      </c>
      <c r="W317" s="2" t="s">
        <v>2063</v>
      </c>
      <c r="X317" s="2" t="s">
        <v>38</v>
      </c>
      <c r="Y317" s="2" t="s">
        <v>786</v>
      </c>
      <c r="Z317" s="2" t="s">
        <v>45</v>
      </c>
      <c r="AA317" s="2" t="s">
        <v>38</v>
      </c>
      <c r="AB317" s="2" t="s">
        <v>787</v>
      </c>
      <c r="AC317" s="2" t="s">
        <v>2118</v>
      </c>
      <c r="AD317" s="2" t="s">
        <v>2119</v>
      </c>
      <c r="AE317" s="2" t="s">
        <v>2117</v>
      </c>
      <c r="AF317" s="2" t="s">
        <v>38</v>
      </c>
      <c r="AG317" s="34">
        <v>46078</v>
      </c>
    </row>
    <row r="318" spans="1:33" ht="60" x14ac:dyDescent="0.25">
      <c r="A318" s="2" t="s">
        <v>857</v>
      </c>
      <c r="B318" s="2" t="s">
        <v>2854</v>
      </c>
      <c r="C318" s="2" t="s">
        <v>38</v>
      </c>
      <c r="D318" s="2" t="s">
        <v>38</v>
      </c>
      <c r="E318" s="2" t="s">
        <v>48</v>
      </c>
      <c r="F318" s="2" t="s">
        <v>38</v>
      </c>
      <c r="G318" s="2" t="s">
        <v>630</v>
      </c>
      <c r="H318" s="2" t="s">
        <v>2851</v>
      </c>
      <c r="I318" s="2" t="s">
        <v>2852</v>
      </c>
      <c r="J318" s="2" t="s">
        <v>2853</v>
      </c>
      <c r="K318" s="2" t="s">
        <v>50</v>
      </c>
      <c r="L318" s="2" t="s">
        <v>38</v>
      </c>
      <c r="M318" s="2" t="s">
        <v>38</v>
      </c>
      <c r="N318" s="2" t="s">
        <v>38</v>
      </c>
      <c r="O318" s="2" t="s">
        <v>38</v>
      </c>
      <c r="P318" s="2" t="s">
        <v>38</v>
      </c>
      <c r="Q318" s="2" t="s">
        <v>2063</v>
      </c>
      <c r="R318" s="2" t="s">
        <v>45</v>
      </c>
      <c r="S318" s="2" t="s">
        <v>46</v>
      </c>
      <c r="T318" s="2" t="s">
        <v>38</v>
      </c>
      <c r="U318" s="2" t="s">
        <v>1999</v>
      </c>
      <c r="V318" s="2" t="s">
        <v>2006</v>
      </c>
      <c r="W318" s="2" t="s">
        <v>2063</v>
      </c>
      <c r="X318" s="2" t="s">
        <v>38</v>
      </c>
      <c r="Y318" s="2" t="s">
        <v>802</v>
      </c>
      <c r="Z318" s="2" t="s">
        <v>45</v>
      </c>
      <c r="AA318" s="2" t="s">
        <v>38</v>
      </c>
      <c r="AB318" s="2" t="s">
        <v>803</v>
      </c>
      <c r="AC318" s="2" t="s">
        <v>2118</v>
      </c>
      <c r="AD318" s="2" t="s">
        <v>2119</v>
      </c>
      <c r="AE318" s="2" t="s">
        <v>2117</v>
      </c>
      <c r="AF318" s="2" t="s">
        <v>38</v>
      </c>
      <c r="AG318" s="34">
        <v>46078</v>
      </c>
    </row>
    <row r="319" spans="1:33" ht="135" x14ac:dyDescent="0.25">
      <c r="A319" s="2" t="s">
        <v>858</v>
      </c>
      <c r="B319" s="2" t="s">
        <v>3401</v>
      </c>
      <c r="C319" s="2" t="s">
        <v>38</v>
      </c>
      <c r="D319" s="2" t="s">
        <v>38</v>
      </c>
      <c r="E319" s="2" t="s">
        <v>277</v>
      </c>
      <c r="F319" s="2" t="s">
        <v>38</v>
      </c>
      <c r="G319" s="2" t="s">
        <v>40</v>
      </c>
      <c r="H319" s="2" t="s">
        <v>2644</v>
      </c>
      <c r="I319" s="2" t="s">
        <v>67</v>
      </c>
      <c r="J319" s="2" t="s">
        <v>2979</v>
      </c>
      <c r="K319" s="2" t="s">
        <v>50</v>
      </c>
      <c r="L319" s="2" t="s">
        <v>38</v>
      </c>
      <c r="M319" s="2" t="s">
        <v>38</v>
      </c>
      <c r="N319" s="2" t="s">
        <v>38</v>
      </c>
      <c r="O319" s="2" t="s">
        <v>38</v>
      </c>
      <c r="P319" s="2" t="s">
        <v>2969</v>
      </c>
      <c r="Q319" s="2" t="s">
        <v>3400</v>
      </c>
      <c r="R319" s="2" t="s">
        <v>279</v>
      </c>
      <c r="S319" s="2" t="s">
        <v>38</v>
      </c>
      <c r="T319" s="2" t="s">
        <v>38</v>
      </c>
      <c r="U319" s="2" t="s">
        <v>38</v>
      </c>
      <c r="V319" s="2" t="s">
        <v>38</v>
      </c>
      <c r="W319" s="2" t="s">
        <v>38</v>
      </c>
      <c r="X319" s="2" t="s">
        <v>38</v>
      </c>
      <c r="Y319" s="2" t="s">
        <v>2962</v>
      </c>
      <c r="Z319" s="2" t="s">
        <v>45</v>
      </c>
      <c r="AA319" s="2" t="s">
        <v>77</v>
      </c>
      <c r="AB319" s="2" t="s">
        <v>80</v>
      </c>
      <c r="AC319" s="2" t="s">
        <v>1999</v>
      </c>
      <c r="AD319" s="2" t="s">
        <v>38</v>
      </c>
      <c r="AE319" s="2" t="s">
        <v>2962</v>
      </c>
      <c r="AF319" s="2" t="s">
        <v>38</v>
      </c>
      <c r="AG319" s="34">
        <v>46078</v>
      </c>
    </row>
    <row r="320" spans="1:33" ht="135" x14ac:dyDescent="0.25">
      <c r="A320" s="2" t="s">
        <v>859</v>
      </c>
      <c r="B320" s="2" t="s">
        <v>3054</v>
      </c>
      <c r="C320" s="2" t="s">
        <v>38</v>
      </c>
      <c r="D320" s="2" t="s">
        <v>38</v>
      </c>
      <c r="E320" s="2" t="s">
        <v>277</v>
      </c>
      <c r="F320" s="2" t="s">
        <v>38</v>
      </c>
      <c r="G320" s="2" t="s">
        <v>40</v>
      </c>
      <c r="H320" s="2" t="s">
        <v>2644</v>
      </c>
      <c r="I320" s="2" t="s">
        <v>67</v>
      </c>
      <c r="J320" s="2" t="s">
        <v>2979</v>
      </c>
      <c r="K320" s="2" t="s">
        <v>50</v>
      </c>
      <c r="L320" s="2" t="s">
        <v>38</v>
      </c>
      <c r="M320" s="2" t="s">
        <v>38</v>
      </c>
      <c r="N320" s="2" t="s">
        <v>38</v>
      </c>
      <c r="O320" s="2" t="s">
        <v>38</v>
      </c>
      <c r="P320" s="2" t="s">
        <v>2969</v>
      </c>
      <c r="Q320" s="2" t="s">
        <v>860</v>
      </c>
      <c r="R320" s="2" t="s">
        <v>279</v>
      </c>
      <c r="S320" s="2" t="s">
        <v>38</v>
      </c>
      <c r="T320" s="2" t="s">
        <v>38</v>
      </c>
      <c r="U320" s="2" t="s">
        <v>38</v>
      </c>
      <c r="V320" s="2" t="s">
        <v>38</v>
      </c>
      <c r="W320" s="2" t="s">
        <v>38</v>
      </c>
      <c r="X320" s="2" t="s">
        <v>38</v>
      </c>
      <c r="Y320" s="2" t="s">
        <v>2962</v>
      </c>
      <c r="Z320" s="2" t="s">
        <v>45</v>
      </c>
      <c r="AA320" s="2" t="s">
        <v>77</v>
      </c>
      <c r="AB320" s="2" t="s">
        <v>80</v>
      </c>
      <c r="AC320" s="2" t="s">
        <v>1999</v>
      </c>
      <c r="AD320" s="2" t="s">
        <v>38</v>
      </c>
      <c r="AE320" s="2" t="s">
        <v>2962</v>
      </c>
      <c r="AF320" s="2" t="s">
        <v>38</v>
      </c>
      <c r="AG320" s="34">
        <v>46078</v>
      </c>
    </row>
    <row r="321" spans="1:33" ht="135" x14ac:dyDescent="0.25">
      <c r="A321" s="2" t="s">
        <v>861</v>
      </c>
      <c r="B321" s="2" t="s">
        <v>3055</v>
      </c>
      <c r="C321" s="2" t="s">
        <v>38</v>
      </c>
      <c r="D321" s="2" t="s">
        <v>38</v>
      </c>
      <c r="E321" s="2" t="s">
        <v>277</v>
      </c>
      <c r="F321" s="2" t="s">
        <v>38</v>
      </c>
      <c r="G321" s="2" t="s">
        <v>40</v>
      </c>
      <c r="H321" s="2" t="s">
        <v>2642</v>
      </c>
      <c r="I321" s="2" t="s">
        <v>2522</v>
      </c>
      <c r="J321" s="2" t="s">
        <v>3056</v>
      </c>
      <c r="K321" s="2" t="s">
        <v>50</v>
      </c>
      <c r="L321" s="2" t="s">
        <v>38</v>
      </c>
      <c r="M321" s="2" t="s">
        <v>38</v>
      </c>
      <c r="N321" s="2" t="s">
        <v>38</v>
      </c>
      <c r="O321" s="2" t="s">
        <v>38</v>
      </c>
      <c r="P321" s="2" t="s">
        <v>2969</v>
      </c>
      <c r="Q321" s="2" t="s">
        <v>2958</v>
      </c>
      <c r="R321" s="2" t="s">
        <v>45</v>
      </c>
      <c r="S321" s="2" t="s">
        <v>38</v>
      </c>
      <c r="T321" s="2" t="s">
        <v>80</v>
      </c>
      <c r="U321" s="2" t="s">
        <v>1999</v>
      </c>
      <c r="V321" s="2" t="s">
        <v>2011</v>
      </c>
      <c r="W321" s="2" t="s">
        <v>2958</v>
      </c>
      <c r="X321" s="2" t="s">
        <v>38</v>
      </c>
      <c r="Y321" s="2" t="s">
        <v>860</v>
      </c>
      <c r="Z321" s="2" t="s">
        <v>279</v>
      </c>
      <c r="AA321" s="2" t="s">
        <v>38</v>
      </c>
      <c r="AB321" s="2" t="s">
        <v>38</v>
      </c>
      <c r="AC321" s="2" t="s">
        <v>38</v>
      </c>
      <c r="AD321" s="2" t="s">
        <v>38</v>
      </c>
      <c r="AE321" s="2" t="s">
        <v>38</v>
      </c>
      <c r="AF321" s="2" t="s">
        <v>38</v>
      </c>
      <c r="AG321" s="34">
        <v>46078</v>
      </c>
    </row>
    <row r="322" spans="1:33" ht="135" x14ac:dyDescent="0.25">
      <c r="A322" s="2" t="s">
        <v>862</v>
      </c>
      <c r="B322" s="2" t="s">
        <v>3402</v>
      </c>
      <c r="C322" s="2" t="s">
        <v>38</v>
      </c>
      <c r="D322" s="2" t="s">
        <v>38</v>
      </c>
      <c r="E322" s="2" t="s">
        <v>277</v>
      </c>
      <c r="F322" s="2" t="s">
        <v>38</v>
      </c>
      <c r="G322" s="2" t="s">
        <v>40</v>
      </c>
      <c r="H322" s="2" t="s">
        <v>2642</v>
      </c>
      <c r="I322" s="2" t="s">
        <v>2522</v>
      </c>
      <c r="J322" s="2" t="s">
        <v>3056</v>
      </c>
      <c r="K322" s="2" t="s">
        <v>50</v>
      </c>
      <c r="L322" s="2" t="s">
        <v>38</v>
      </c>
      <c r="M322" s="2" t="s">
        <v>38</v>
      </c>
      <c r="N322" s="2" t="s">
        <v>38</v>
      </c>
      <c r="O322" s="2" t="s">
        <v>38</v>
      </c>
      <c r="P322" s="2" t="s">
        <v>2969</v>
      </c>
      <c r="Q322" s="2" t="s">
        <v>2958</v>
      </c>
      <c r="R322" s="2" t="s">
        <v>45</v>
      </c>
      <c r="S322" s="2" t="s">
        <v>38</v>
      </c>
      <c r="T322" s="2" t="s">
        <v>80</v>
      </c>
      <c r="U322" s="2" t="s">
        <v>1999</v>
      </c>
      <c r="V322" s="2" t="s">
        <v>2011</v>
      </c>
      <c r="W322" s="2" t="s">
        <v>2958</v>
      </c>
      <c r="X322" s="2" t="s">
        <v>38</v>
      </c>
      <c r="Y322" s="2" t="s">
        <v>3400</v>
      </c>
      <c r="Z322" s="2" t="s">
        <v>279</v>
      </c>
      <c r="AA322" s="2" t="s">
        <v>38</v>
      </c>
      <c r="AB322" s="2" t="s">
        <v>38</v>
      </c>
      <c r="AC322" s="2" t="s">
        <v>38</v>
      </c>
      <c r="AD322" s="2" t="s">
        <v>38</v>
      </c>
      <c r="AE322" s="2" t="s">
        <v>38</v>
      </c>
      <c r="AF322" s="2" t="s">
        <v>38</v>
      </c>
      <c r="AG322" s="34">
        <v>46078</v>
      </c>
    </row>
    <row r="323" spans="1:33" ht="120" customHeight="1" x14ac:dyDescent="0.25">
      <c r="A323" s="2" t="s">
        <v>863</v>
      </c>
      <c r="B323" s="2" t="s">
        <v>2855</v>
      </c>
      <c r="C323" s="2" t="s">
        <v>38</v>
      </c>
      <c r="D323" s="2" t="s">
        <v>38</v>
      </c>
      <c r="E323" s="2" t="s">
        <v>277</v>
      </c>
      <c r="F323" s="2" t="s">
        <v>62</v>
      </c>
      <c r="G323" s="2" t="s">
        <v>40</v>
      </c>
      <c r="H323" s="2" t="s">
        <v>2856</v>
      </c>
      <c r="I323" s="2" t="s">
        <v>67</v>
      </c>
      <c r="J323" s="2" t="s">
        <v>2683</v>
      </c>
      <c r="K323" s="2" t="s">
        <v>50</v>
      </c>
      <c r="L323" s="2" t="s">
        <v>864</v>
      </c>
      <c r="M323" s="2" t="s">
        <v>73</v>
      </c>
      <c r="N323" s="2" t="s">
        <v>865</v>
      </c>
      <c r="O323" s="2" t="s">
        <v>3265</v>
      </c>
      <c r="P323" s="2" t="s">
        <v>3230</v>
      </c>
      <c r="Q323" s="2" t="s">
        <v>2070</v>
      </c>
      <c r="R323" s="2" t="s">
        <v>45</v>
      </c>
      <c r="S323" s="2" t="s">
        <v>38</v>
      </c>
      <c r="T323" s="2" t="s">
        <v>38</v>
      </c>
      <c r="U323" s="2" t="s">
        <v>2071</v>
      </c>
      <c r="V323" s="2" t="s">
        <v>38</v>
      </c>
      <c r="W323" s="2" t="s">
        <v>2070</v>
      </c>
      <c r="X323" s="2" t="s">
        <v>38</v>
      </c>
      <c r="Y323" s="2" t="s">
        <v>386</v>
      </c>
      <c r="Z323" s="2" t="s">
        <v>279</v>
      </c>
      <c r="AA323" s="2" t="s">
        <v>387</v>
      </c>
      <c r="AB323" s="2" t="s">
        <v>38</v>
      </c>
      <c r="AC323" s="2" t="s">
        <v>38</v>
      </c>
      <c r="AD323" s="2" t="s">
        <v>38</v>
      </c>
      <c r="AE323" s="2" t="s">
        <v>38</v>
      </c>
      <c r="AF323" s="2" t="s">
        <v>38</v>
      </c>
      <c r="AG323" s="34">
        <v>46078</v>
      </c>
    </row>
    <row r="324" spans="1:33" ht="225" x14ac:dyDescent="0.25">
      <c r="A324" s="2" t="s">
        <v>866</v>
      </c>
      <c r="B324" s="2" t="s">
        <v>2857</v>
      </c>
      <c r="C324" s="2" t="s">
        <v>38</v>
      </c>
      <c r="D324" s="2" t="s">
        <v>38</v>
      </c>
      <c r="E324" s="2" t="s">
        <v>277</v>
      </c>
      <c r="F324" s="2" t="s">
        <v>49</v>
      </c>
      <c r="G324" s="2" t="s">
        <v>40</v>
      </c>
      <c r="H324" s="2" t="s">
        <v>2856</v>
      </c>
      <c r="I324" s="2" t="s">
        <v>67</v>
      </c>
      <c r="J324" s="2" t="s">
        <v>2683</v>
      </c>
      <c r="K324" s="2" t="s">
        <v>50</v>
      </c>
      <c r="L324" s="2" t="s">
        <v>867</v>
      </c>
      <c r="M324" s="2" t="s">
        <v>51</v>
      </c>
      <c r="N324" s="2" t="s">
        <v>868</v>
      </c>
      <c r="O324" s="2" t="s">
        <v>3321</v>
      </c>
      <c r="P324" s="2" t="s">
        <v>38</v>
      </c>
      <c r="Q324" s="2" t="s">
        <v>2070</v>
      </c>
      <c r="R324" s="2" t="s">
        <v>45</v>
      </c>
      <c r="S324" s="2" t="s">
        <v>38</v>
      </c>
      <c r="T324" s="2" t="s">
        <v>38</v>
      </c>
      <c r="U324" s="2" t="s">
        <v>2071</v>
      </c>
      <c r="V324" s="2" t="s">
        <v>38</v>
      </c>
      <c r="W324" s="2" t="s">
        <v>2070</v>
      </c>
      <c r="X324" s="2" t="s">
        <v>38</v>
      </c>
      <c r="Y324" s="2" t="s">
        <v>284</v>
      </c>
      <c r="Z324" s="2" t="s">
        <v>279</v>
      </c>
      <c r="AA324" s="2" t="s">
        <v>285</v>
      </c>
      <c r="AB324" s="2" t="s">
        <v>38</v>
      </c>
      <c r="AC324" s="2" t="s">
        <v>38</v>
      </c>
      <c r="AD324" s="2" t="s">
        <v>38</v>
      </c>
      <c r="AE324" s="2" t="s">
        <v>38</v>
      </c>
      <c r="AF324" s="2" t="s">
        <v>38</v>
      </c>
      <c r="AG324" s="34">
        <v>46078</v>
      </c>
    </row>
    <row r="325" spans="1:33" ht="105" x14ac:dyDescent="0.25">
      <c r="A325" s="2" t="s">
        <v>869</v>
      </c>
      <c r="B325" s="2" t="s">
        <v>2858</v>
      </c>
      <c r="C325" s="2" t="s">
        <v>38</v>
      </c>
      <c r="D325" s="2" t="s">
        <v>38</v>
      </c>
      <c r="E325" s="2" t="s">
        <v>277</v>
      </c>
      <c r="F325" s="2" t="s">
        <v>870</v>
      </c>
      <c r="G325" s="2" t="s">
        <v>40</v>
      </c>
      <c r="H325" s="2" t="s">
        <v>2859</v>
      </c>
      <c r="I325" s="2" t="s">
        <v>67</v>
      </c>
      <c r="J325" s="2" t="s">
        <v>2557</v>
      </c>
      <c r="K325" s="2" t="s">
        <v>50</v>
      </c>
      <c r="L325" s="2" t="s">
        <v>871</v>
      </c>
      <c r="M325" s="2" t="s">
        <v>51</v>
      </c>
      <c r="N325" s="2" t="s">
        <v>872</v>
      </c>
      <c r="O325" s="2" t="s">
        <v>3322</v>
      </c>
      <c r="P325" s="2" t="s">
        <v>38</v>
      </c>
      <c r="Q325" s="2" t="s">
        <v>77</v>
      </c>
      <c r="R325" s="2" t="s">
        <v>279</v>
      </c>
      <c r="S325" s="2" t="s">
        <v>38</v>
      </c>
      <c r="T325" s="2" t="s">
        <v>38</v>
      </c>
      <c r="U325" s="2" t="s">
        <v>38</v>
      </c>
      <c r="V325" s="2" t="s">
        <v>38</v>
      </c>
      <c r="W325" s="2" t="s">
        <v>38</v>
      </c>
      <c r="X325" s="2" t="s">
        <v>38</v>
      </c>
      <c r="Y325" s="2" t="s">
        <v>2070</v>
      </c>
      <c r="Z325" s="2" t="s">
        <v>45</v>
      </c>
      <c r="AA325" s="2" t="s">
        <v>38</v>
      </c>
      <c r="AB325" s="2" t="s">
        <v>38</v>
      </c>
      <c r="AC325" s="2" t="s">
        <v>2071</v>
      </c>
      <c r="AD325" s="2" t="s">
        <v>38</v>
      </c>
      <c r="AE325" s="2" t="s">
        <v>2070</v>
      </c>
      <c r="AF325" s="2" t="s">
        <v>38</v>
      </c>
      <c r="AG325" s="34">
        <v>46078</v>
      </c>
    </row>
    <row r="326" spans="1:33" ht="135" x14ac:dyDescent="0.25">
      <c r="A326" s="2" t="s">
        <v>873</v>
      </c>
      <c r="B326" s="2" t="s">
        <v>3057</v>
      </c>
      <c r="C326" s="2" t="s">
        <v>38</v>
      </c>
      <c r="D326" s="2" t="s">
        <v>38</v>
      </c>
      <c r="E326" s="2" t="s">
        <v>277</v>
      </c>
      <c r="F326" s="2" t="s">
        <v>38</v>
      </c>
      <c r="G326" s="2" t="s">
        <v>40</v>
      </c>
      <c r="H326" s="2" t="s">
        <v>2644</v>
      </c>
      <c r="I326" s="2" t="s">
        <v>2505</v>
      </c>
      <c r="J326" s="2" t="s">
        <v>3058</v>
      </c>
      <c r="K326" s="2" t="s">
        <v>50</v>
      </c>
      <c r="L326" s="2" t="s">
        <v>38</v>
      </c>
      <c r="M326" s="2" t="s">
        <v>38</v>
      </c>
      <c r="N326" s="2" t="s">
        <v>38</v>
      </c>
      <c r="O326" s="2" t="s">
        <v>38</v>
      </c>
      <c r="P326" s="2" t="s">
        <v>2969</v>
      </c>
      <c r="Q326" s="2" t="s">
        <v>77</v>
      </c>
      <c r="R326" s="2" t="s">
        <v>279</v>
      </c>
      <c r="S326" s="2" t="s">
        <v>38</v>
      </c>
      <c r="T326" s="2" t="s">
        <v>38</v>
      </c>
      <c r="U326" s="2" t="s">
        <v>38</v>
      </c>
      <c r="V326" s="2" t="s">
        <v>38</v>
      </c>
      <c r="W326" s="2" t="s">
        <v>38</v>
      </c>
      <c r="X326" s="2" t="s">
        <v>38</v>
      </c>
      <c r="Y326" s="2" t="s">
        <v>2958</v>
      </c>
      <c r="Z326" s="2" t="s">
        <v>45</v>
      </c>
      <c r="AA326" s="2" t="s">
        <v>38</v>
      </c>
      <c r="AB326" s="2" t="s">
        <v>80</v>
      </c>
      <c r="AC326" s="2" t="s">
        <v>1999</v>
      </c>
      <c r="AD326" s="2" t="s">
        <v>2011</v>
      </c>
      <c r="AE326" s="2" t="s">
        <v>2958</v>
      </c>
      <c r="AF326" s="2" t="s">
        <v>38</v>
      </c>
      <c r="AG326" s="34">
        <v>46078</v>
      </c>
    </row>
    <row r="327" spans="1:33" ht="135" x14ac:dyDescent="0.25">
      <c r="A327" s="2" t="s">
        <v>874</v>
      </c>
      <c r="B327" s="2" t="s">
        <v>3059</v>
      </c>
      <c r="C327" s="2" t="s">
        <v>37</v>
      </c>
      <c r="D327" s="2" t="s">
        <v>875</v>
      </c>
      <c r="E327" s="2" t="s">
        <v>312</v>
      </c>
      <c r="F327" s="2" t="s">
        <v>62</v>
      </c>
      <c r="G327" s="2" t="s">
        <v>40</v>
      </c>
      <c r="H327" s="2" t="s">
        <v>2504</v>
      </c>
      <c r="I327" s="2" t="s">
        <v>2505</v>
      </c>
      <c r="J327" s="2" t="s">
        <v>2860</v>
      </c>
      <c r="K327" s="2" t="s">
        <v>50</v>
      </c>
      <c r="L327" s="2" t="s">
        <v>876</v>
      </c>
      <c r="M327" s="2" t="s">
        <v>89</v>
      </c>
      <c r="N327" s="2" t="s">
        <v>877</v>
      </c>
      <c r="O327" s="2" t="s">
        <v>878</v>
      </c>
      <c r="P327" s="2" t="s">
        <v>38</v>
      </c>
      <c r="Q327" s="2" t="s">
        <v>2965</v>
      </c>
      <c r="R327" s="2" t="s">
        <v>315</v>
      </c>
      <c r="S327" s="2" t="s">
        <v>38</v>
      </c>
      <c r="T327" s="2" t="s">
        <v>38</v>
      </c>
      <c r="U327" s="2" t="s">
        <v>2047</v>
      </c>
      <c r="V327" s="2" t="s">
        <v>38</v>
      </c>
      <c r="W327" s="2" t="s">
        <v>2446</v>
      </c>
      <c r="X327" s="2" t="s">
        <v>2965</v>
      </c>
      <c r="Y327" s="2" t="s">
        <v>2021</v>
      </c>
      <c r="Z327" s="2" t="s">
        <v>45</v>
      </c>
      <c r="AA327" s="2" t="s">
        <v>46</v>
      </c>
      <c r="AB327" s="2" t="s">
        <v>38</v>
      </c>
      <c r="AC327" s="2" t="s">
        <v>1999</v>
      </c>
      <c r="AD327" s="2" t="s">
        <v>2011</v>
      </c>
      <c r="AE327" s="2" t="s">
        <v>2021</v>
      </c>
      <c r="AF327" s="2" t="s">
        <v>38</v>
      </c>
      <c r="AG327" s="34">
        <v>46078</v>
      </c>
    </row>
    <row r="328" spans="1:33" ht="165" x14ac:dyDescent="0.25">
      <c r="A328" s="2" t="s">
        <v>879</v>
      </c>
      <c r="B328" s="2" t="s">
        <v>3060</v>
      </c>
      <c r="C328" s="2" t="s">
        <v>37</v>
      </c>
      <c r="D328" s="2" t="s">
        <v>880</v>
      </c>
      <c r="E328" s="2" t="s">
        <v>39</v>
      </c>
      <c r="F328" s="2" t="s">
        <v>62</v>
      </c>
      <c r="G328" s="2" t="s">
        <v>40</v>
      </c>
      <c r="H328" s="2" t="s">
        <v>2500</v>
      </c>
      <c r="I328" s="2" t="s">
        <v>2501</v>
      </c>
      <c r="J328" s="2" t="s">
        <v>2502</v>
      </c>
      <c r="K328" s="2" t="s">
        <v>50</v>
      </c>
      <c r="L328" s="2" t="s">
        <v>881</v>
      </c>
      <c r="M328" s="2" t="s">
        <v>89</v>
      </c>
      <c r="N328" s="2" t="s">
        <v>882</v>
      </c>
      <c r="O328" s="2" t="s">
        <v>883</v>
      </c>
      <c r="P328" s="2" t="s">
        <v>38</v>
      </c>
      <c r="Q328" s="2" t="s">
        <v>2973</v>
      </c>
      <c r="R328" s="2" t="s">
        <v>44</v>
      </c>
      <c r="S328" s="2" t="s">
        <v>38</v>
      </c>
      <c r="T328" s="2" t="s">
        <v>38</v>
      </c>
      <c r="U328" s="2" t="s">
        <v>44</v>
      </c>
      <c r="V328" s="2" t="s">
        <v>44</v>
      </c>
      <c r="W328" s="2" t="s">
        <v>44</v>
      </c>
      <c r="X328" s="2" t="s">
        <v>44</v>
      </c>
      <c r="Y328" s="2" t="s">
        <v>2021</v>
      </c>
      <c r="Z328" s="2" t="s">
        <v>45</v>
      </c>
      <c r="AA328" s="2" t="s">
        <v>46</v>
      </c>
      <c r="AB328" s="2" t="s">
        <v>38</v>
      </c>
      <c r="AC328" s="2" t="s">
        <v>1999</v>
      </c>
      <c r="AD328" s="2" t="s">
        <v>2011</v>
      </c>
      <c r="AE328" s="2" t="s">
        <v>2021</v>
      </c>
      <c r="AF328" s="2" t="s">
        <v>38</v>
      </c>
      <c r="AG328" s="34">
        <v>46078</v>
      </c>
    </row>
    <row r="329" spans="1:33" ht="120" x14ac:dyDescent="0.25">
      <c r="A329" s="2" t="s">
        <v>884</v>
      </c>
      <c r="B329" s="2" t="s">
        <v>3061</v>
      </c>
      <c r="C329" s="2" t="s">
        <v>37</v>
      </c>
      <c r="D329" s="2" t="s">
        <v>885</v>
      </c>
      <c r="E329" s="2" t="s">
        <v>312</v>
      </c>
      <c r="F329" s="2" t="s">
        <v>62</v>
      </c>
      <c r="G329" s="2" t="s">
        <v>40</v>
      </c>
      <c r="H329" s="2" t="s">
        <v>2504</v>
      </c>
      <c r="I329" s="2" t="s">
        <v>2505</v>
      </c>
      <c r="J329" s="2" t="s">
        <v>2860</v>
      </c>
      <c r="K329" s="2" t="s">
        <v>50</v>
      </c>
      <c r="L329" s="2" t="s">
        <v>886</v>
      </c>
      <c r="M329" s="2" t="s">
        <v>89</v>
      </c>
      <c r="N329" s="2" t="s">
        <v>887</v>
      </c>
      <c r="O329" s="2" t="s">
        <v>888</v>
      </c>
      <c r="P329" s="2" t="s">
        <v>38</v>
      </c>
      <c r="Q329" s="2" t="s">
        <v>2964</v>
      </c>
      <c r="R329" s="2" t="s">
        <v>315</v>
      </c>
      <c r="S329" s="2" t="s">
        <v>38</v>
      </c>
      <c r="T329" s="2" t="s">
        <v>38</v>
      </c>
      <c r="U329" s="2" t="s">
        <v>2047</v>
      </c>
      <c r="V329" s="2" t="s">
        <v>38</v>
      </c>
      <c r="W329" s="2" t="s">
        <v>2446</v>
      </c>
      <c r="X329" s="2" t="s">
        <v>2964</v>
      </c>
      <c r="Y329" s="2" t="s">
        <v>2021</v>
      </c>
      <c r="Z329" s="2" t="s">
        <v>45</v>
      </c>
      <c r="AA329" s="2" t="s">
        <v>46</v>
      </c>
      <c r="AB329" s="2" t="s">
        <v>38</v>
      </c>
      <c r="AC329" s="2" t="s">
        <v>1999</v>
      </c>
      <c r="AD329" s="2" t="s">
        <v>2011</v>
      </c>
      <c r="AE329" s="2" t="s">
        <v>2021</v>
      </c>
      <c r="AF329" s="2" t="s">
        <v>38</v>
      </c>
      <c r="AG329" s="34">
        <v>46078</v>
      </c>
    </row>
    <row r="330" spans="1:33" ht="135" x14ac:dyDescent="0.25">
      <c r="A330" s="2" t="s">
        <v>889</v>
      </c>
      <c r="B330" s="2" t="s">
        <v>2861</v>
      </c>
      <c r="C330" s="2" t="s">
        <v>37</v>
      </c>
      <c r="D330" s="2" t="s">
        <v>890</v>
      </c>
      <c r="E330" s="2" t="s">
        <v>312</v>
      </c>
      <c r="F330" s="2" t="s">
        <v>62</v>
      </c>
      <c r="G330" s="2" t="s">
        <v>40</v>
      </c>
      <c r="H330" s="2" t="s">
        <v>2504</v>
      </c>
      <c r="I330" s="2" t="s">
        <v>2505</v>
      </c>
      <c r="J330" s="2" t="s">
        <v>2860</v>
      </c>
      <c r="K330" s="2" t="s">
        <v>50</v>
      </c>
      <c r="L330" s="2" t="s">
        <v>2933</v>
      </c>
      <c r="M330" s="2" t="s">
        <v>89</v>
      </c>
      <c r="N330" s="2" t="s">
        <v>891</v>
      </c>
      <c r="O330" s="2" t="s">
        <v>892</v>
      </c>
      <c r="P330" s="2" t="s">
        <v>893</v>
      </c>
      <c r="Q330" s="2" t="s">
        <v>2449</v>
      </c>
      <c r="R330" s="2" t="s">
        <v>315</v>
      </c>
      <c r="S330" s="2" t="s">
        <v>38</v>
      </c>
      <c r="T330" s="2" t="s">
        <v>38</v>
      </c>
      <c r="U330" s="2" t="s">
        <v>2047</v>
      </c>
      <c r="V330" s="2" t="s">
        <v>38</v>
      </c>
      <c r="W330" s="2" t="s">
        <v>2446</v>
      </c>
      <c r="X330" s="2" t="s">
        <v>2449</v>
      </c>
      <c r="Y330" s="2" t="s">
        <v>2021</v>
      </c>
      <c r="Z330" s="2" t="s">
        <v>45</v>
      </c>
      <c r="AA330" s="2" t="s">
        <v>46</v>
      </c>
      <c r="AB330" s="2" t="s">
        <v>38</v>
      </c>
      <c r="AC330" s="2" t="s">
        <v>1999</v>
      </c>
      <c r="AD330" s="2" t="s">
        <v>2011</v>
      </c>
      <c r="AE330" s="2" t="s">
        <v>2021</v>
      </c>
      <c r="AF330" s="2" t="s">
        <v>38</v>
      </c>
      <c r="AG330" s="34">
        <v>46078</v>
      </c>
    </row>
    <row r="331" spans="1:33" ht="135" x14ac:dyDescent="0.25">
      <c r="A331" s="2" t="s">
        <v>894</v>
      </c>
      <c r="B331" s="2" t="s">
        <v>3062</v>
      </c>
      <c r="C331" s="2" t="s">
        <v>37</v>
      </c>
      <c r="D331" s="2" t="s">
        <v>895</v>
      </c>
      <c r="E331" s="2" t="s">
        <v>312</v>
      </c>
      <c r="F331" s="2" t="s">
        <v>62</v>
      </c>
      <c r="G331" s="2" t="s">
        <v>40</v>
      </c>
      <c r="H331" s="2" t="s">
        <v>2504</v>
      </c>
      <c r="I331" s="2" t="s">
        <v>2505</v>
      </c>
      <c r="J331" s="2" t="s">
        <v>2860</v>
      </c>
      <c r="K331" s="2" t="s">
        <v>50</v>
      </c>
      <c r="L331" s="2" t="s">
        <v>896</v>
      </c>
      <c r="M331" s="2" t="s">
        <v>89</v>
      </c>
      <c r="N331" s="2" t="s">
        <v>897</v>
      </c>
      <c r="O331" s="2" t="s">
        <v>898</v>
      </c>
      <c r="P331" s="2" t="s">
        <v>38</v>
      </c>
      <c r="Q331" s="2" t="s">
        <v>2966</v>
      </c>
      <c r="R331" s="2" t="s">
        <v>315</v>
      </c>
      <c r="S331" s="2" t="s">
        <v>38</v>
      </c>
      <c r="T331" s="2" t="s">
        <v>38</v>
      </c>
      <c r="U331" s="2" t="s">
        <v>2047</v>
      </c>
      <c r="V331" s="2" t="s">
        <v>38</v>
      </c>
      <c r="W331" s="2" t="s">
        <v>2446</v>
      </c>
      <c r="X331" s="2" t="s">
        <v>2966</v>
      </c>
      <c r="Y331" s="2" t="s">
        <v>2021</v>
      </c>
      <c r="Z331" s="2" t="s">
        <v>45</v>
      </c>
      <c r="AA331" s="2" t="s">
        <v>46</v>
      </c>
      <c r="AB331" s="2" t="s">
        <v>38</v>
      </c>
      <c r="AC331" s="2" t="s">
        <v>1999</v>
      </c>
      <c r="AD331" s="2" t="s">
        <v>2011</v>
      </c>
      <c r="AE331" s="2" t="s">
        <v>2021</v>
      </c>
      <c r="AF331" s="2" t="s">
        <v>38</v>
      </c>
      <c r="AG331" s="34">
        <v>46078</v>
      </c>
    </row>
    <row r="332" spans="1:33" ht="120" x14ac:dyDescent="0.25">
      <c r="A332" s="2" t="s">
        <v>899</v>
      </c>
      <c r="B332" s="2" t="s">
        <v>2862</v>
      </c>
      <c r="C332" s="2" t="s">
        <v>37</v>
      </c>
      <c r="D332" s="2" t="s">
        <v>885</v>
      </c>
      <c r="E332" s="2" t="s">
        <v>39</v>
      </c>
      <c r="F332" s="2" t="s">
        <v>62</v>
      </c>
      <c r="G332" s="2" t="s">
        <v>40</v>
      </c>
      <c r="H332" s="2" t="s">
        <v>2500</v>
      </c>
      <c r="I332" s="2" t="s">
        <v>2501</v>
      </c>
      <c r="J332" s="2" t="s">
        <v>2502</v>
      </c>
      <c r="K332" s="2" t="s">
        <v>50</v>
      </c>
      <c r="L332" s="2" t="s">
        <v>2934</v>
      </c>
      <c r="M332" s="2" t="s">
        <v>89</v>
      </c>
      <c r="N332" s="2" t="s">
        <v>900</v>
      </c>
      <c r="O332" s="2" t="s">
        <v>901</v>
      </c>
      <c r="P332" s="2" t="s">
        <v>38</v>
      </c>
      <c r="Q332" s="2" t="s">
        <v>902</v>
      </c>
      <c r="R332" s="2" t="s">
        <v>44</v>
      </c>
      <c r="S332" s="2" t="s">
        <v>38</v>
      </c>
      <c r="T332" s="2" t="s">
        <v>38</v>
      </c>
      <c r="U332" s="2" t="s">
        <v>44</v>
      </c>
      <c r="V332" s="2" t="s">
        <v>44</v>
      </c>
      <c r="W332" s="2" t="s">
        <v>44</v>
      </c>
      <c r="X332" s="2" t="s">
        <v>44</v>
      </c>
      <c r="Y332" s="2" t="s">
        <v>2021</v>
      </c>
      <c r="Z332" s="2" t="s">
        <v>45</v>
      </c>
      <c r="AA332" s="2" t="s">
        <v>46</v>
      </c>
      <c r="AB332" s="2" t="s">
        <v>38</v>
      </c>
      <c r="AC332" s="2" t="s">
        <v>1999</v>
      </c>
      <c r="AD332" s="2" t="s">
        <v>2011</v>
      </c>
      <c r="AE332" s="2" t="s">
        <v>2021</v>
      </c>
      <c r="AF332" s="2" t="s">
        <v>38</v>
      </c>
      <c r="AG332" s="34">
        <v>46078</v>
      </c>
    </row>
    <row r="333" spans="1:33" ht="120" x14ac:dyDescent="0.25">
      <c r="A333" s="2" t="s">
        <v>903</v>
      </c>
      <c r="B333" s="2" t="s">
        <v>3063</v>
      </c>
      <c r="C333" s="2" t="s">
        <v>37</v>
      </c>
      <c r="D333" s="2" t="s">
        <v>904</v>
      </c>
      <c r="E333" s="2" t="s">
        <v>312</v>
      </c>
      <c r="F333" s="2" t="s">
        <v>62</v>
      </c>
      <c r="G333" s="2" t="s">
        <v>40</v>
      </c>
      <c r="H333" s="2" t="s">
        <v>2504</v>
      </c>
      <c r="I333" s="2" t="s">
        <v>2505</v>
      </c>
      <c r="J333" s="2" t="s">
        <v>2860</v>
      </c>
      <c r="K333" s="2" t="s">
        <v>50</v>
      </c>
      <c r="L333" s="2" t="s">
        <v>905</v>
      </c>
      <c r="M333" s="2" t="s">
        <v>89</v>
      </c>
      <c r="N333" s="2" t="s">
        <v>906</v>
      </c>
      <c r="O333" s="2" t="s">
        <v>907</v>
      </c>
      <c r="P333" s="2" t="s">
        <v>38</v>
      </c>
      <c r="Q333" s="2" t="s">
        <v>2967</v>
      </c>
      <c r="R333" s="2" t="s">
        <v>315</v>
      </c>
      <c r="S333" s="2" t="s">
        <v>38</v>
      </c>
      <c r="T333" s="2" t="s">
        <v>38</v>
      </c>
      <c r="U333" s="2" t="s">
        <v>2047</v>
      </c>
      <c r="V333" s="2" t="s">
        <v>38</v>
      </c>
      <c r="W333" s="2" t="s">
        <v>2446</v>
      </c>
      <c r="X333" s="2" t="s">
        <v>2967</v>
      </c>
      <c r="Y333" s="2" t="s">
        <v>2021</v>
      </c>
      <c r="Z333" s="2" t="s">
        <v>45</v>
      </c>
      <c r="AA333" s="2" t="s">
        <v>46</v>
      </c>
      <c r="AB333" s="2" t="s">
        <v>38</v>
      </c>
      <c r="AC333" s="2" t="s">
        <v>1999</v>
      </c>
      <c r="AD333" s="2" t="s">
        <v>2011</v>
      </c>
      <c r="AE333" s="2" t="s">
        <v>2021</v>
      </c>
      <c r="AF333" s="2" t="s">
        <v>38</v>
      </c>
      <c r="AG333" s="34">
        <v>46078</v>
      </c>
    </row>
    <row r="334" spans="1:33" ht="165" x14ac:dyDescent="0.25">
      <c r="A334" s="2" t="s">
        <v>908</v>
      </c>
      <c r="B334" s="2" t="s">
        <v>2863</v>
      </c>
      <c r="C334" s="2" t="s">
        <v>37</v>
      </c>
      <c r="D334" s="2" t="s">
        <v>885</v>
      </c>
      <c r="E334" s="2" t="s">
        <v>39</v>
      </c>
      <c r="F334" s="2" t="s">
        <v>62</v>
      </c>
      <c r="G334" s="2" t="s">
        <v>40</v>
      </c>
      <c r="H334" s="2" t="s">
        <v>2500</v>
      </c>
      <c r="I334" s="2" t="s">
        <v>2501</v>
      </c>
      <c r="J334" s="2" t="s">
        <v>2502</v>
      </c>
      <c r="K334" s="2" t="s">
        <v>50</v>
      </c>
      <c r="L334" s="2" t="s">
        <v>2935</v>
      </c>
      <c r="M334" s="2" t="s">
        <v>89</v>
      </c>
      <c r="N334" s="2" t="s">
        <v>909</v>
      </c>
      <c r="O334" s="2" t="s">
        <v>910</v>
      </c>
      <c r="P334" s="2" t="s">
        <v>38</v>
      </c>
      <c r="Q334" s="2" t="s">
        <v>911</v>
      </c>
      <c r="R334" s="2" t="s">
        <v>44</v>
      </c>
      <c r="S334" s="2" t="s">
        <v>38</v>
      </c>
      <c r="T334" s="2" t="s">
        <v>38</v>
      </c>
      <c r="U334" s="2" t="s">
        <v>44</v>
      </c>
      <c r="V334" s="2" t="s">
        <v>44</v>
      </c>
      <c r="W334" s="2" t="s">
        <v>44</v>
      </c>
      <c r="X334" s="2" t="s">
        <v>44</v>
      </c>
      <c r="Y334" s="2" t="s">
        <v>2021</v>
      </c>
      <c r="Z334" s="2" t="s">
        <v>45</v>
      </c>
      <c r="AA334" s="2" t="s">
        <v>46</v>
      </c>
      <c r="AB334" s="2" t="s">
        <v>38</v>
      </c>
      <c r="AC334" s="2" t="s">
        <v>1999</v>
      </c>
      <c r="AD334" s="2" t="s">
        <v>2011</v>
      </c>
      <c r="AE334" s="2" t="s">
        <v>2021</v>
      </c>
      <c r="AF334" s="2" t="s">
        <v>38</v>
      </c>
      <c r="AG334" s="34">
        <v>46078</v>
      </c>
    </row>
    <row r="335" spans="1:33" ht="150" x14ac:dyDescent="0.25">
      <c r="A335" s="2" t="s">
        <v>912</v>
      </c>
      <c r="B335" s="2" t="s">
        <v>2864</v>
      </c>
      <c r="C335" s="2" t="s">
        <v>37</v>
      </c>
      <c r="D335" s="2" t="s">
        <v>895</v>
      </c>
      <c r="E335" s="2" t="s">
        <v>48</v>
      </c>
      <c r="F335" s="2" t="s">
        <v>62</v>
      </c>
      <c r="G335" s="2" t="s">
        <v>40</v>
      </c>
      <c r="H335" s="2" t="s">
        <v>2511</v>
      </c>
      <c r="I335" s="2" t="s">
        <v>2518</v>
      </c>
      <c r="J335" s="2" t="s">
        <v>2864</v>
      </c>
      <c r="K335" s="2" t="s">
        <v>50</v>
      </c>
      <c r="L335" s="2" t="s">
        <v>2936</v>
      </c>
      <c r="M335" s="2" t="s">
        <v>89</v>
      </c>
      <c r="N335" s="2" t="s">
        <v>913</v>
      </c>
      <c r="O335" s="2" t="s">
        <v>914</v>
      </c>
      <c r="P335" s="2" t="s">
        <v>38</v>
      </c>
      <c r="Q335" s="2" t="s">
        <v>2021</v>
      </c>
      <c r="R335" s="2" t="s">
        <v>45</v>
      </c>
      <c r="S335" s="2" t="s">
        <v>46</v>
      </c>
      <c r="T335" s="2" t="s">
        <v>38</v>
      </c>
      <c r="U335" s="2" t="s">
        <v>1999</v>
      </c>
      <c r="V335" s="2" t="s">
        <v>2011</v>
      </c>
      <c r="W335" s="2" t="s">
        <v>2021</v>
      </c>
      <c r="X335" s="2" t="s">
        <v>38</v>
      </c>
      <c r="Y335" s="2" t="s">
        <v>2024</v>
      </c>
      <c r="Z335" s="2" t="s">
        <v>45</v>
      </c>
      <c r="AA335" s="2" t="s">
        <v>38</v>
      </c>
      <c r="AB335" s="2" t="s">
        <v>38</v>
      </c>
      <c r="AC335" s="2" t="s">
        <v>1999</v>
      </c>
      <c r="AD335" s="2" t="s">
        <v>2000</v>
      </c>
      <c r="AE335" s="2" t="s">
        <v>2024</v>
      </c>
      <c r="AF335" s="2" t="s">
        <v>38</v>
      </c>
      <c r="AG335" s="34">
        <v>46078</v>
      </c>
    </row>
    <row r="336" spans="1:33" ht="270" x14ac:dyDescent="0.25">
      <c r="A336" s="2" t="s">
        <v>915</v>
      </c>
      <c r="B336" s="2" t="s">
        <v>2865</v>
      </c>
      <c r="C336" s="2" t="s">
        <v>37</v>
      </c>
      <c r="D336" s="2" t="s">
        <v>281</v>
      </c>
      <c r="E336" s="2" t="s">
        <v>48</v>
      </c>
      <c r="F336" s="2" t="s">
        <v>62</v>
      </c>
      <c r="G336" s="2" t="s">
        <v>40</v>
      </c>
      <c r="H336" s="2" t="s">
        <v>2504</v>
      </c>
      <c r="I336" s="2" t="s">
        <v>2505</v>
      </c>
      <c r="J336" s="2" t="s">
        <v>2865</v>
      </c>
      <c r="K336" s="2" t="s">
        <v>50</v>
      </c>
      <c r="L336" s="2" t="s">
        <v>2932</v>
      </c>
      <c r="M336" s="2" t="s">
        <v>89</v>
      </c>
      <c r="N336" s="2" t="s">
        <v>3223</v>
      </c>
      <c r="O336" s="2" t="s">
        <v>3390</v>
      </c>
      <c r="P336" s="2" t="s">
        <v>3231</v>
      </c>
      <c r="Q336" s="2" t="s">
        <v>2045</v>
      </c>
      <c r="R336" s="2" t="s">
        <v>45</v>
      </c>
      <c r="S336" s="2" t="s">
        <v>38</v>
      </c>
      <c r="T336" s="2" t="s">
        <v>38</v>
      </c>
      <c r="U336" s="2" t="s">
        <v>2047</v>
      </c>
      <c r="V336" s="2" t="s">
        <v>38</v>
      </c>
      <c r="W336" s="2" t="s">
        <v>2045</v>
      </c>
      <c r="X336" s="2" t="s">
        <v>38</v>
      </c>
      <c r="Y336" s="2" t="s">
        <v>2030</v>
      </c>
      <c r="Z336" s="2" t="s">
        <v>45</v>
      </c>
      <c r="AA336" s="2" t="s">
        <v>46</v>
      </c>
      <c r="AB336" s="2" t="s">
        <v>38</v>
      </c>
      <c r="AC336" s="2" t="s">
        <v>1999</v>
      </c>
      <c r="AD336" s="2" t="s">
        <v>2011</v>
      </c>
      <c r="AE336" s="2" t="s">
        <v>2030</v>
      </c>
      <c r="AF336" s="2" t="s">
        <v>38</v>
      </c>
      <c r="AG336" s="34">
        <v>46078</v>
      </c>
    </row>
    <row r="337" spans="1:33" ht="135" x14ac:dyDescent="0.25">
      <c r="A337" s="2" t="s">
        <v>916</v>
      </c>
      <c r="B337" s="2" t="s">
        <v>2866</v>
      </c>
      <c r="C337" s="2" t="s">
        <v>37</v>
      </c>
      <c r="D337" s="2" t="s">
        <v>46</v>
      </c>
      <c r="E337" s="2" t="s">
        <v>312</v>
      </c>
      <c r="F337" s="2" t="s">
        <v>62</v>
      </c>
      <c r="G337" s="2" t="s">
        <v>40</v>
      </c>
      <c r="H337" s="2" t="s">
        <v>2511</v>
      </c>
      <c r="I337" s="2" t="s">
        <v>2530</v>
      </c>
      <c r="J337" s="2" t="s">
        <v>2529</v>
      </c>
      <c r="K337" s="2" t="s">
        <v>50</v>
      </c>
      <c r="L337" s="2" t="s">
        <v>917</v>
      </c>
      <c r="M337" s="2" t="s">
        <v>89</v>
      </c>
      <c r="N337" s="2" t="s">
        <v>918</v>
      </c>
      <c r="O337" s="2" t="s">
        <v>919</v>
      </c>
      <c r="P337" s="2" t="s">
        <v>38</v>
      </c>
      <c r="Q337" s="2" t="s">
        <v>2005</v>
      </c>
      <c r="R337" s="2" t="s">
        <v>315</v>
      </c>
      <c r="S337" s="2" t="s">
        <v>38</v>
      </c>
      <c r="T337" s="2" t="s">
        <v>38</v>
      </c>
      <c r="U337" s="2" t="s">
        <v>1999</v>
      </c>
      <c r="V337" s="2" t="s">
        <v>2011</v>
      </c>
      <c r="W337" s="2" t="s">
        <v>2021</v>
      </c>
      <c r="X337" s="2" t="s">
        <v>2005</v>
      </c>
      <c r="Y337" s="2" t="s">
        <v>2030</v>
      </c>
      <c r="Z337" s="2" t="s">
        <v>45</v>
      </c>
      <c r="AA337" s="2" t="s">
        <v>46</v>
      </c>
      <c r="AB337" s="2" t="s">
        <v>38</v>
      </c>
      <c r="AC337" s="2" t="s">
        <v>1999</v>
      </c>
      <c r="AD337" s="2" t="s">
        <v>2011</v>
      </c>
      <c r="AE337" s="2" t="s">
        <v>2030</v>
      </c>
      <c r="AF337" s="2" t="s">
        <v>38</v>
      </c>
      <c r="AG337" s="34">
        <v>46078</v>
      </c>
    </row>
    <row r="338" spans="1:33" ht="165" x14ac:dyDescent="0.25">
      <c r="A338" s="2" t="s">
        <v>920</v>
      </c>
      <c r="B338" s="2" t="s">
        <v>2867</v>
      </c>
      <c r="C338" s="2" t="s">
        <v>37</v>
      </c>
      <c r="D338" s="2" t="s">
        <v>46</v>
      </c>
      <c r="E338" s="2" t="s">
        <v>48</v>
      </c>
      <c r="F338" s="2" t="s">
        <v>95</v>
      </c>
      <c r="G338" s="2" t="s">
        <v>40</v>
      </c>
      <c r="H338" s="2" t="s">
        <v>2644</v>
      </c>
      <c r="I338" s="2" t="s">
        <v>2505</v>
      </c>
      <c r="J338" s="2" t="s">
        <v>2645</v>
      </c>
      <c r="K338" s="2" t="s">
        <v>41</v>
      </c>
      <c r="L338" s="2" t="s">
        <v>921</v>
      </c>
      <c r="M338" s="2" t="s">
        <v>89</v>
      </c>
      <c r="N338" s="2" t="s">
        <v>922</v>
      </c>
      <c r="O338" s="2" t="s">
        <v>923</v>
      </c>
      <c r="P338" s="2" t="s">
        <v>2488</v>
      </c>
      <c r="Q338" s="2" t="s">
        <v>2498</v>
      </c>
      <c r="R338" s="2" t="s">
        <v>45</v>
      </c>
      <c r="S338" s="2" t="s">
        <v>38</v>
      </c>
      <c r="T338" s="2" t="s">
        <v>38</v>
      </c>
      <c r="U338" s="2" t="s">
        <v>38</v>
      </c>
      <c r="V338" s="2" t="s">
        <v>38</v>
      </c>
      <c r="W338" s="2" t="s">
        <v>38</v>
      </c>
      <c r="X338" s="2" t="s">
        <v>38</v>
      </c>
      <c r="Y338" s="2" t="s">
        <v>2030</v>
      </c>
      <c r="Z338" s="2" t="s">
        <v>45</v>
      </c>
      <c r="AA338" s="2" t="s">
        <v>46</v>
      </c>
      <c r="AB338" s="2" t="s">
        <v>38</v>
      </c>
      <c r="AC338" s="2" t="s">
        <v>1999</v>
      </c>
      <c r="AD338" s="2" t="s">
        <v>2011</v>
      </c>
      <c r="AE338" s="2" t="s">
        <v>2030</v>
      </c>
      <c r="AF338" s="2" t="s">
        <v>38</v>
      </c>
      <c r="AG338" s="34">
        <v>46078</v>
      </c>
    </row>
    <row r="339" spans="1:33" ht="165" x14ac:dyDescent="0.25">
      <c r="A339" s="2" t="s">
        <v>924</v>
      </c>
      <c r="B339" s="2" t="s">
        <v>2868</v>
      </c>
      <c r="C339" s="2" t="s">
        <v>37</v>
      </c>
      <c r="D339" s="2" t="s">
        <v>386</v>
      </c>
      <c r="E339" s="2" t="s">
        <v>48</v>
      </c>
      <c r="F339" s="2" t="s">
        <v>62</v>
      </c>
      <c r="G339" s="2" t="s">
        <v>40</v>
      </c>
      <c r="H339" s="2" t="s">
        <v>2504</v>
      </c>
      <c r="I339" s="2" t="s">
        <v>2505</v>
      </c>
      <c r="J339" s="2" t="s">
        <v>2868</v>
      </c>
      <c r="K339" s="2" t="s">
        <v>50</v>
      </c>
      <c r="L339" s="2" t="s">
        <v>925</v>
      </c>
      <c r="M339" s="2" t="s">
        <v>89</v>
      </c>
      <c r="N339" s="2" t="s">
        <v>926</v>
      </c>
      <c r="O339" s="2" t="s">
        <v>927</v>
      </c>
      <c r="P339" s="2" t="s">
        <v>38</v>
      </c>
      <c r="Q339" s="2" t="s">
        <v>2458</v>
      </c>
      <c r="R339" s="2" t="s">
        <v>45</v>
      </c>
      <c r="S339" s="2" t="s">
        <v>38</v>
      </c>
      <c r="T339" s="2" t="s">
        <v>38</v>
      </c>
      <c r="U339" s="2" t="s">
        <v>2047</v>
      </c>
      <c r="V339" s="2" t="s">
        <v>38</v>
      </c>
      <c r="W339" s="2" t="s">
        <v>2458</v>
      </c>
      <c r="X339" s="2" t="s">
        <v>38</v>
      </c>
      <c r="Y339" s="2" t="s">
        <v>2030</v>
      </c>
      <c r="Z339" s="2" t="s">
        <v>45</v>
      </c>
      <c r="AA339" s="2" t="s">
        <v>46</v>
      </c>
      <c r="AB339" s="2" t="s">
        <v>38</v>
      </c>
      <c r="AC339" s="2" t="s">
        <v>1999</v>
      </c>
      <c r="AD339" s="2" t="s">
        <v>2011</v>
      </c>
      <c r="AE339" s="2" t="s">
        <v>2030</v>
      </c>
      <c r="AF339" s="2" t="s">
        <v>38</v>
      </c>
      <c r="AG339" s="34">
        <v>46078</v>
      </c>
    </row>
    <row r="340" spans="1:33" ht="195" x14ac:dyDescent="0.25">
      <c r="A340" s="2" t="s">
        <v>928</v>
      </c>
      <c r="B340" s="2" t="s">
        <v>2869</v>
      </c>
      <c r="C340" s="2" t="s">
        <v>86</v>
      </c>
      <c r="D340" s="2" t="s">
        <v>120</v>
      </c>
      <c r="E340" s="2" t="s">
        <v>312</v>
      </c>
      <c r="F340" s="2" t="s">
        <v>62</v>
      </c>
      <c r="G340" s="2" t="s">
        <v>40</v>
      </c>
      <c r="H340" s="2" t="s">
        <v>2511</v>
      </c>
      <c r="I340" s="2" t="s">
        <v>2546</v>
      </c>
      <c r="J340" s="2" t="s">
        <v>2870</v>
      </c>
      <c r="K340" s="2" t="s">
        <v>50</v>
      </c>
      <c r="L340" s="2" t="s">
        <v>929</v>
      </c>
      <c r="M340" s="2" t="s">
        <v>89</v>
      </c>
      <c r="N340" s="2" t="s">
        <v>930</v>
      </c>
      <c r="O340" s="2" t="s">
        <v>155</v>
      </c>
      <c r="P340" s="2" t="s">
        <v>3292</v>
      </c>
      <c r="Q340" s="2" t="s">
        <v>2111</v>
      </c>
      <c r="R340" s="2" t="s">
        <v>315</v>
      </c>
      <c r="S340" s="2" t="s">
        <v>38</v>
      </c>
      <c r="T340" s="2" t="s">
        <v>38</v>
      </c>
      <c r="U340" s="2" t="s">
        <v>1999</v>
      </c>
      <c r="V340" s="2" t="s">
        <v>2000</v>
      </c>
      <c r="W340" s="2" t="s">
        <v>1997</v>
      </c>
      <c r="X340" s="2" t="s">
        <v>2111</v>
      </c>
      <c r="Y340" s="2" t="s">
        <v>2018</v>
      </c>
      <c r="Z340" s="2" t="s">
        <v>45</v>
      </c>
      <c r="AA340" s="2" t="s">
        <v>132</v>
      </c>
      <c r="AB340" s="2" t="s">
        <v>38</v>
      </c>
      <c r="AC340" s="2" t="s">
        <v>1999</v>
      </c>
      <c r="AD340" s="2" t="s">
        <v>2000</v>
      </c>
      <c r="AE340" s="2" t="s">
        <v>2018</v>
      </c>
      <c r="AF340" s="2" t="s">
        <v>38</v>
      </c>
      <c r="AG340" s="34">
        <v>46078</v>
      </c>
    </row>
    <row r="341" spans="1:33" ht="195" x14ac:dyDescent="0.25">
      <c r="A341" s="2" t="s">
        <v>931</v>
      </c>
      <c r="B341" s="2" t="s">
        <v>2871</v>
      </c>
      <c r="C341" s="2" t="s">
        <v>37</v>
      </c>
      <c r="D341" s="2" t="s">
        <v>932</v>
      </c>
      <c r="E341" s="2" t="s">
        <v>48</v>
      </c>
      <c r="F341" s="2" t="s">
        <v>62</v>
      </c>
      <c r="G341" s="2" t="s">
        <v>40</v>
      </c>
      <c r="H341" s="2" t="s">
        <v>2504</v>
      </c>
      <c r="I341" s="2" t="s">
        <v>2505</v>
      </c>
      <c r="J341" s="2" t="s">
        <v>2871</v>
      </c>
      <c r="K341" s="2" t="s">
        <v>50</v>
      </c>
      <c r="L341" s="2" t="s">
        <v>933</v>
      </c>
      <c r="M341" s="2" t="s">
        <v>89</v>
      </c>
      <c r="N341" s="2" t="s">
        <v>934</v>
      </c>
      <c r="O341" s="2" t="s">
        <v>935</v>
      </c>
      <c r="P341" s="2" t="s">
        <v>936</v>
      </c>
      <c r="Q341" s="2" t="s">
        <v>2191</v>
      </c>
      <c r="R341" s="2" t="s">
        <v>45</v>
      </c>
      <c r="S341" s="2" t="s">
        <v>38</v>
      </c>
      <c r="T341" s="2" t="s">
        <v>38</v>
      </c>
      <c r="U341" s="2" t="s">
        <v>2047</v>
      </c>
      <c r="V341" s="2" t="s">
        <v>38</v>
      </c>
      <c r="W341" s="2" t="s">
        <v>2191</v>
      </c>
      <c r="X341" s="2" t="s">
        <v>38</v>
      </c>
      <c r="Y341" s="2" t="s">
        <v>2015</v>
      </c>
      <c r="Z341" s="2" t="s">
        <v>45</v>
      </c>
      <c r="AA341" s="2" t="s">
        <v>77</v>
      </c>
      <c r="AB341" s="2" t="s">
        <v>78</v>
      </c>
      <c r="AC341" s="2" t="s">
        <v>1999</v>
      </c>
      <c r="AD341" s="2" t="s">
        <v>2011</v>
      </c>
      <c r="AE341" s="2" t="s">
        <v>2015</v>
      </c>
      <c r="AF341" s="2" t="s">
        <v>38</v>
      </c>
      <c r="AG341" s="34">
        <v>46078</v>
      </c>
    </row>
    <row r="342" spans="1:33" ht="195" x14ac:dyDescent="0.25">
      <c r="A342" s="2" t="s">
        <v>937</v>
      </c>
      <c r="B342" s="2" t="s">
        <v>2872</v>
      </c>
      <c r="C342" s="2" t="s">
        <v>37</v>
      </c>
      <c r="D342" s="2" t="s">
        <v>938</v>
      </c>
      <c r="E342" s="2" t="s">
        <v>48</v>
      </c>
      <c r="F342" s="2" t="s">
        <v>62</v>
      </c>
      <c r="G342" s="2" t="s">
        <v>40</v>
      </c>
      <c r="H342" s="2" t="s">
        <v>2536</v>
      </c>
      <c r="I342" s="2" t="s">
        <v>2505</v>
      </c>
      <c r="J342" s="2" t="s">
        <v>2872</v>
      </c>
      <c r="K342" s="2" t="s">
        <v>50</v>
      </c>
      <c r="L342" s="2" t="s">
        <v>939</v>
      </c>
      <c r="M342" s="2" t="s">
        <v>73</v>
      </c>
      <c r="N342" s="2" t="s">
        <v>940</v>
      </c>
      <c r="O342" s="2" t="s">
        <v>941</v>
      </c>
      <c r="P342" s="2" t="s">
        <v>942</v>
      </c>
      <c r="Q342" s="2" t="s">
        <v>2070</v>
      </c>
      <c r="R342" s="2" t="s">
        <v>45</v>
      </c>
      <c r="S342" s="2" t="s">
        <v>38</v>
      </c>
      <c r="T342" s="2" t="s">
        <v>38</v>
      </c>
      <c r="U342" s="2" t="s">
        <v>2071</v>
      </c>
      <c r="V342" s="2" t="s">
        <v>38</v>
      </c>
      <c r="W342" s="2" t="s">
        <v>2070</v>
      </c>
      <c r="X342" s="2" t="s">
        <v>38</v>
      </c>
      <c r="Y342" s="2" t="s">
        <v>2015</v>
      </c>
      <c r="Z342" s="2" t="s">
        <v>45</v>
      </c>
      <c r="AA342" s="2" t="s">
        <v>77</v>
      </c>
      <c r="AB342" s="2" t="s">
        <v>78</v>
      </c>
      <c r="AC342" s="2" t="s">
        <v>1999</v>
      </c>
      <c r="AD342" s="2" t="s">
        <v>2011</v>
      </c>
      <c r="AE342" s="2" t="s">
        <v>2015</v>
      </c>
      <c r="AF342" s="2" t="s">
        <v>38</v>
      </c>
      <c r="AG342" s="34">
        <v>46078</v>
      </c>
    </row>
    <row r="343" spans="1:33" ht="240" x14ac:dyDescent="0.25">
      <c r="A343" s="2" t="s">
        <v>943</v>
      </c>
      <c r="B343" s="2" t="s">
        <v>2873</v>
      </c>
      <c r="C343" s="2" t="s">
        <v>37</v>
      </c>
      <c r="D343" s="2" t="s">
        <v>944</v>
      </c>
      <c r="E343" s="2" t="s">
        <v>48</v>
      </c>
      <c r="F343" s="2" t="s">
        <v>62</v>
      </c>
      <c r="G343" s="2" t="s">
        <v>40</v>
      </c>
      <c r="H343" s="2" t="s">
        <v>2599</v>
      </c>
      <c r="I343" s="2" t="s">
        <v>2874</v>
      </c>
      <c r="J343" s="2" t="s">
        <v>2873</v>
      </c>
      <c r="K343" s="2" t="s">
        <v>50</v>
      </c>
      <c r="L343" s="2" t="s">
        <v>945</v>
      </c>
      <c r="M343" s="2" t="s">
        <v>89</v>
      </c>
      <c r="N343" s="2" t="s">
        <v>946</v>
      </c>
      <c r="O343" s="2" t="s">
        <v>947</v>
      </c>
      <c r="P343" s="2" t="s">
        <v>3391</v>
      </c>
      <c r="Q343" s="2" t="s">
        <v>2461</v>
      </c>
      <c r="R343" s="2" t="s">
        <v>45</v>
      </c>
      <c r="S343" s="2" t="s">
        <v>38</v>
      </c>
      <c r="T343" s="2" t="s">
        <v>60</v>
      </c>
      <c r="U343" s="2" t="s">
        <v>2128</v>
      </c>
      <c r="V343" s="2" t="s">
        <v>2268</v>
      </c>
      <c r="W343" s="2" t="s">
        <v>2461</v>
      </c>
      <c r="X343" s="2" t="s">
        <v>38</v>
      </c>
      <c r="Y343" s="2" t="s">
        <v>2015</v>
      </c>
      <c r="Z343" s="2" t="s">
        <v>45</v>
      </c>
      <c r="AA343" s="2" t="s">
        <v>77</v>
      </c>
      <c r="AB343" s="2" t="s">
        <v>78</v>
      </c>
      <c r="AC343" s="2" t="s">
        <v>1999</v>
      </c>
      <c r="AD343" s="2" t="s">
        <v>2011</v>
      </c>
      <c r="AE343" s="2" t="s">
        <v>2015</v>
      </c>
      <c r="AF343" s="2" t="s">
        <v>38</v>
      </c>
      <c r="AG343" s="34">
        <v>46078</v>
      </c>
    </row>
    <row r="344" spans="1:33" ht="210" x14ac:dyDescent="0.25">
      <c r="A344" s="2" t="s">
        <v>948</v>
      </c>
      <c r="B344" s="2" t="s">
        <v>2875</v>
      </c>
      <c r="C344" s="2" t="s">
        <v>37</v>
      </c>
      <c r="D344" s="2" t="s">
        <v>938</v>
      </c>
      <c r="E344" s="2" t="s">
        <v>48</v>
      </c>
      <c r="F344" s="2" t="s">
        <v>62</v>
      </c>
      <c r="G344" s="2" t="s">
        <v>40</v>
      </c>
      <c r="H344" s="2" t="s">
        <v>2504</v>
      </c>
      <c r="I344" s="2" t="s">
        <v>2505</v>
      </c>
      <c r="J344" s="2" t="s">
        <v>2875</v>
      </c>
      <c r="K344" s="2" t="s">
        <v>50</v>
      </c>
      <c r="L344" s="2" t="s">
        <v>949</v>
      </c>
      <c r="M344" s="2" t="s">
        <v>89</v>
      </c>
      <c r="N344" s="2" t="s">
        <v>950</v>
      </c>
      <c r="O344" s="2" t="s">
        <v>951</v>
      </c>
      <c r="P344" s="2" t="s">
        <v>952</v>
      </c>
      <c r="Q344" s="2" t="s">
        <v>2464</v>
      </c>
      <c r="R344" s="2" t="s">
        <v>45</v>
      </c>
      <c r="S344" s="2" t="s">
        <v>38</v>
      </c>
      <c r="T344" s="2" t="s">
        <v>38</v>
      </c>
      <c r="U344" s="2" t="s">
        <v>2047</v>
      </c>
      <c r="V344" s="2" t="s">
        <v>38</v>
      </c>
      <c r="W344" s="2" t="s">
        <v>2464</v>
      </c>
      <c r="X344" s="2" t="s">
        <v>38</v>
      </c>
      <c r="Y344" s="2" t="s">
        <v>2015</v>
      </c>
      <c r="Z344" s="2" t="s">
        <v>45</v>
      </c>
      <c r="AA344" s="2" t="s">
        <v>77</v>
      </c>
      <c r="AB344" s="2" t="s">
        <v>78</v>
      </c>
      <c r="AC344" s="2" t="s">
        <v>1999</v>
      </c>
      <c r="AD344" s="2" t="s">
        <v>2011</v>
      </c>
      <c r="AE344" s="2" t="s">
        <v>2015</v>
      </c>
      <c r="AF344" s="2" t="s">
        <v>38</v>
      </c>
      <c r="AG344" s="34">
        <v>46078</v>
      </c>
    </row>
    <row r="345" spans="1:33" ht="285" x14ac:dyDescent="0.25">
      <c r="A345" s="2" t="s">
        <v>953</v>
      </c>
      <c r="B345" s="2" t="s">
        <v>2876</v>
      </c>
      <c r="C345" s="2" t="s">
        <v>38</v>
      </c>
      <c r="D345" s="2" t="s">
        <v>38</v>
      </c>
      <c r="E345" s="2" t="s">
        <v>48</v>
      </c>
      <c r="F345" s="2" t="s">
        <v>62</v>
      </c>
      <c r="G345" s="2" t="s">
        <v>40</v>
      </c>
      <c r="H345" s="2" t="s">
        <v>2504</v>
      </c>
      <c r="I345" s="2" t="s">
        <v>2505</v>
      </c>
      <c r="J345" s="2" t="s">
        <v>2876</v>
      </c>
      <c r="K345" s="2" t="s">
        <v>50</v>
      </c>
      <c r="L345" s="2" t="s">
        <v>954</v>
      </c>
      <c r="M345" s="2" t="s">
        <v>89</v>
      </c>
      <c r="N345" s="2" t="s">
        <v>955</v>
      </c>
      <c r="O345" s="2" t="s">
        <v>3392</v>
      </c>
      <c r="P345" s="2" t="s">
        <v>38</v>
      </c>
      <c r="Q345" s="2" t="s">
        <v>2094</v>
      </c>
      <c r="R345" s="2" t="s">
        <v>45</v>
      </c>
      <c r="S345" s="2" t="s">
        <v>38</v>
      </c>
      <c r="T345" s="2" t="s">
        <v>38</v>
      </c>
      <c r="U345" s="2" t="s">
        <v>2047</v>
      </c>
      <c r="V345" s="2" t="s">
        <v>38</v>
      </c>
      <c r="W345" s="2" t="s">
        <v>2094</v>
      </c>
      <c r="X345" s="2" t="s">
        <v>38</v>
      </c>
      <c r="Y345" s="2" t="s">
        <v>2021</v>
      </c>
      <c r="Z345" s="2" t="s">
        <v>45</v>
      </c>
      <c r="AA345" s="2" t="s">
        <v>46</v>
      </c>
      <c r="AB345" s="2" t="s">
        <v>38</v>
      </c>
      <c r="AC345" s="2" t="s">
        <v>1999</v>
      </c>
      <c r="AD345" s="2" t="s">
        <v>2011</v>
      </c>
      <c r="AE345" s="2" t="s">
        <v>2021</v>
      </c>
      <c r="AF345" s="2" t="s">
        <v>38</v>
      </c>
      <c r="AG345" s="34">
        <v>46078</v>
      </c>
    </row>
    <row r="346" spans="1:33" ht="270" x14ac:dyDescent="0.25">
      <c r="A346" s="2" t="s">
        <v>956</v>
      </c>
      <c r="B346" s="2" t="s">
        <v>3064</v>
      </c>
      <c r="C346" s="2" t="s">
        <v>38</v>
      </c>
      <c r="D346" s="2" t="s">
        <v>38</v>
      </c>
      <c r="E346" s="2" t="s">
        <v>48</v>
      </c>
      <c r="F346" s="2" t="s">
        <v>62</v>
      </c>
      <c r="G346" s="2" t="s">
        <v>40</v>
      </c>
      <c r="H346" s="2" t="s">
        <v>2504</v>
      </c>
      <c r="I346" s="2" t="s">
        <v>2505</v>
      </c>
      <c r="J346" s="2" t="s">
        <v>3064</v>
      </c>
      <c r="K346" s="2" t="s">
        <v>50</v>
      </c>
      <c r="L346" s="2" t="s">
        <v>957</v>
      </c>
      <c r="M346" s="2" t="s">
        <v>89</v>
      </c>
      <c r="N346" s="2" t="s">
        <v>3224</v>
      </c>
      <c r="O346" s="2" t="s">
        <v>3393</v>
      </c>
      <c r="P346" s="2" t="s">
        <v>3231</v>
      </c>
      <c r="Q346" s="2" t="s">
        <v>2957</v>
      </c>
      <c r="R346" s="2" t="s">
        <v>45</v>
      </c>
      <c r="S346" s="2" t="s">
        <v>38</v>
      </c>
      <c r="T346" s="2" t="s">
        <v>38</v>
      </c>
      <c r="U346" s="2" t="s">
        <v>2047</v>
      </c>
      <c r="V346" s="2" t="s">
        <v>38</v>
      </c>
      <c r="W346" s="2" t="s">
        <v>2957</v>
      </c>
      <c r="X346" s="2" t="s">
        <v>38</v>
      </c>
      <c r="Y346" s="2" t="s">
        <v>2021</v>
      </c>
      <c r="Z346" s="2" t="s">
        <v>45</v>
      </c>
      <c r="AA346" s="2" t="s">
        <v>46</v>
      </c>
      <c r="AB346" s="2" t="s">
        <v>38</v>
      </c>
      <c r="AC346" s="2" t="s">
        <v>1999</v>
      </c>
      <c r="AD346" s="2" t="s">
        <v>2011</v>
      </c>
      <c r="AE346" s="2" t="s">
        <v>2021</v>
      </c>
      <c r="AF346" s="2" t="s">
        <v>38</v>
      </c>
      <c r="AG346" s="34">
        <v>46078</v>
      </c>
    </row>
    <row r="347" spans="1:33" ht="285" x14ac:dyDescent="0.25">
      <c r="A347" s="2" t="s">
        <v>958</v>
      </c>
      <c r="B347" s="2" t="s">
        <v>3065</v>
      </c>
      <c r="C347" s="2" t="s">
        <v>38</v>
      </c>
      <c r="D347" s="2" t="s">
        <v>38</v>
      </c>
      <c r="E347" s="2" t="s">
        <v>48</v>
      </c>
      <c r="F347" s="2" t="s">
        <v>62</v>
      </c>
      <c r="G347" s="2" t="s">
        <v>40</v>
      </c>
      <c r="H347" s="2" t="s">
        <v>2504</v>
      </c>
      <c r="I347" s="2" t="s">
        <v>2505</v>
      </c>
      <c r="J347" s="2" t="s">
        <v>3065</v>
      </c>
      <c r="K347" s="2" t="s">
        <v>50</v>
      </c>
      <c r="L347" s="2" t="s">
        <v>3072</v>
      </c>
      <c r="M347" s="2" t="s">
        <v>89</v>
      </c>
      <c r="N347" s="2" t="s">
        <v>3225</v>
      </c>
      <c r="O347" s="2" t="s">
        <v>3416</v>
      </c>
      <c r="P347" s="2" t="s">
        <v>3231</v>
      </c>
      <c r="Q347" s="2" t="s">
        <v>2963</v>
      </c>
      <c r="R347" s="2" t="s">
        <v>45</v>
      </c>
      <c r="S347" s="2" t="s">
        <v>38</v>
      </c>
      <c r="T347" s="2" t="s">
        <v>38</v>
      </c>
      <c r="U347" s="2" t="s">
        <v>2047</v>
      </c>
      <c r="V347" s="2" t="s">
        <v>38</v>
      </c>
      <c r="W347" s="2" t="s">
        <v>2963</v>
      </c>
      <c r="X347" s="2" t="s">
        <v>38</v>
      </c>
      <c r="Y347" s="2" t="s">
        <v>2021</v>
      </c>
      <c r="Z347" s="2" t="s">
        <v>45</v>
      </c>
      <c r="AA347" s="2" t="s">
        <v>46</v>
      </c>
      <c r="AB347" s="2" t="s">
        <v>38</v>
      </c>
      <c r="AC347" s="2" t="s">
        <v>1999</v>
      </c>
      <c r="AD347" s="2" t="s">
        <v>2011</v>
      </c>
      <c r="AE347" s="2" t="s">
        <v>2021</v>
      </c>
      <c r="AF347" s="2" t="s">
        <v>38</v>
      </c>
      <c r="AG347" s="34">
        <v>46078</v>
      </c>
    </row>
    <row r="348" spans="1:33" ht="105" x14ac:dyDescent="0.25">
      <c r="A348" s="2" t="s">
        <v>959</v>
      </c>
      <c r="B348" s="2" t="s">
        <v>2953</v>
      </c>
      <c r="C348" s="2" t="s">
        <v>38</v>
      </c>
      <c r="D348" s="2" t="s">
        <v>38</v>
      </c>
      <c r="E348" s="2" t="s">
        <v>48</v>
      </c>
      <c r="F348" s="2" t="s">
        <v>62</v>
      </c>
      <c r="G348" s="2" t="s">
        <v>40</v>
      </c>
      <c r="H348" s="2" t="s">
        <v>2504</v>
      </c>
      <c r="I348" s="2" t="s">
        <v>2505</v>
      </c>
      <c r="J348" s="2" t="s">
        <v>2877</v>
      </c>
      <c r="K348" s="2" t="s">
        <v>41</v>
      </c>
      <c r="L348" s="2" t="s">
        <v>960</v>
      </c>
      <c r="M348" s="2" t="s">
        <v>73</v>
      </c>
      <c r="N348" s="2" t="s">
        <v>961</v>
      </c>
      <c r="O348" s="2" t="s">
        <v>38</v>
      </c>
      <c r="P348" s="2" t="s">
        <v>2937</v>
      </c>
      <c r="Q348" s="2" t="s">
        <v>2952</v>
      </c>
      <c r="R348" s="2" t="s">
        <v>45</v>
      </c>
      <c r="S348" s="2" t="s">
        <v>38</v>
      </c>
      <c r="T348" s="2" t="s">
        <v>38</v>
      </c>
      <c r="U348" s="2" t="s">
        <v>2047</v>
      </c>
      <c r="V348" s="2" t="s">
        <v>38</v>
      </c>
      <c r="W348" s="2" t="s">
        <v>2467</v>
      </c>
      <c r="X348" s="2" t="s">
        <v>38</v>
      </c>
      <c r="Y348" s="2" t="s">
        <v>2021</v>
      </c>
      <c r="Z348" s="2" t="s">
        <v>45</v>
      </c>
      <c r="AA348" s="2" t="s">
        <v>46</v>
      </c>
      <c r="AB348" s="2" t="s">
        <v>38</v>
      </c>
      <c r="AC348" s="2" t="s">
        <v>1999</v>
      </c>
      <c r="AD348" s="2" t="s">
        <v>2011</v>
      </c>
      <c r="AE348" s="2" t="s">
        <v>2021</v>
      </c>
      <c r="AF348" s="2" t="s">
        <v>38</v>
      </c>
      <c r="AG348" s="34">
        <v>46078</v>
      </c>
    </row>
    <row r="349" spans="1:33" ht="90" x14ac:dyDescent="0.25">
      <c r="A349" s="2" t="s">
        <v>962</v>
      </c>
      <c r="B349" s="2" t="s">
        <v>3066</v>
      </c>
      <c r="C349" s="2" t="s">
        <v>38</v>
      </c>
      <c r="D349" s="2" t="s">
        <v>38</v>
      </c>
      <c r="E349" s="2" t="s">
        <v>312</v>
      </c>
      <c r="F349" s="2" t="s">
        <v>62</v>
      </c>
      <c r="G349" s="2" t="s">
        <v>40</v>
      </c>
      <c r="H349" s="2" t="s">
        <v>2504</v>
      </c>
      <c r="I349" s="2" t="s">
        <v>2505</v>
      </c>
      <c r="J349" s="2" t="s">
        <v>3067</v>
      </c>
      <c r="K349" s="2" t="s">
        <v>50</v>
      </c>
      <c r="L349" s="2" t="s">
        <v>963</v>
      </c>
      <c r="M349" s="2" t="s">
        <v>51</v>
      </c>
      <c r="N349" s="2" t="s">
        <v>964</v>
      </c>
      <c r="O349" s="2" t="s">
        <v>3394</v>
      </c>
      <c r="P349" s="2" t="s">
        <v>38</v>
      </c>
      <c r="Q349" s="2" t="s">
        <v>2963</v>
      </c>
      <c r="R349" s="2" t="s">
        <v>45</v>
      </c>
      <c r="S349" s="2" t="s">
        <v>38</v>
      </c>
      <c r="T349" s="2" t="s">
        <v>38</v>
      </c>
      <c r="U349" s="2" t="s">
        <v>2047</v>
      </c>
      <c r="V349" s="2" t="s">
        <v>38</v>
      </c>
      <c r="W349" s="2" t="s">
        <v>2963</v>
      </c>
      <c r="X349" s="2" t="s">
        <v>38</v>
      </c>
      <c r="Y349" s="2" t="s">
        <v>2102</v>
      </c>
      <c r="Z349" s="2" t="s">
        <v>315</v>
      </c>
      <c r="AA349" s="2" t="s">
        <v>38</v>
      </c>
      <c r="AB349" s="2" t="s">
        <v>38</v>
      </c>
      <c r="AC349" s="2" t="s">
        <v>1999</v>
      </c>
      <c r="AD349" s="2" t="s">
        <v>2011</v>
      </c>
      <c r="AE349" s="2" t="s">
        <v>2030</v>
      </c>
      <c r="AF349" s="2" t="s">
        <v>2102</v>
      </c>
      <c r="AG349" s="34">
        <v>46078</v>
      </c>
    </row>
    <row r="350" spans="1:33" ht="105" x14ac:dyDescent="0.25">
      <c r="A350" s="2" t="s">
        <v>965</v>
      </c>
      <c r="B350" s="2" t="s">
        <v>2878</v>
      </c>
      <c r="C350" s="2" t="s">
        <v>38</v>
      </c>
      <c r="D350" s="2" t="s">
        <v>38</v>
      </c>
      <c r="E350" s="2" t="s">
        <v>312</v>
      </c>
      <c r="F350" s="2" t="s">
        <v>62</v>
      </c>
      <c r="G350" s="2" t="s">
        <v>40</v>
      </c>
      <c r="H350" s="2" t="s">
        <v>2504</v>
      </c>
      <c r="I350" s="2" t="s">
        <v>2505</v>
      </c>
      <c r="J350" s="2" t="s">
        <v>2879</v>
      </c>
      <c r="K350" s="2" t="s">
        <v>50</v>
      </c>
      <c r="L350" s="2" t="s">
        <v>966</v>
      </c>
      <c r="M350" s="2" t="s">
        <v>73</v>
      </c>
      <c r="N350" s="2" t="s">
        <v>967</v>
      </c>
      <c r="O350" s="2" t="s">
        <v>3266</v>
      </c>
      <c r="P350" s="2" t="s">
        <v>38</v>
      </c>
      <c r="Q350" s="2" t="s">
        <v>2349</v>
      </c>
      <c r="R350" s="2" t="s">
        <v>45</v>
      </c>
      <c r="S350" s="2" t="s">
        <v>38</v>
      </c>
      <c r="T350" s="2" t="s">
        <v>38</v>
      </c>
      <c r="U350" s="2" t="s">
        <v>2047</v>
      </c>
      <c r="V350" s="2" t="s">
        <v>38</v>
      </c>
      <c r="W350" s="2" t="s">
        <v>2349</v>
      </c>
      <c r="X350" s="2" t="s">
        <v>38</v>
      </c>
      <c r="Y350" s="2" t="s">
        <v>2102</v>
      </c>
      <c r="Z350" s="2" t="s">
        <v>315</v>
      </c>
      <c r="AA350" s="2" t="s">
        <v>38</v>
      </c>
      <c r="AB350" s="2" t="s">
        <v>38</v>
      </c>
      <c r="AC350" s="2" t="s">
        <v>1999</v>
      </c>
      <c r="AD350" s="2" t="s">
        <v>2011</v>
      </c>
      <c r="AE350" s="2" t="s">
        <v>2030</v>
      </c>
      <c r="AF350" s="2" t="s">
        <v>2102</v>
      </c>
      <c r="AG350" s="34">
        <v>46078</v>
      </c>
    </row>
    <row r="351" spans="1:33" ht="255" x14ac:dyDescent="0.25">
      <c r="A351" s="2" t="s">
        <v>968</v>
      </c>
      <c r="B351" s="2" t="s">
        <v>2880</v>
      </c>
      <c r="C351" s="2" t="s">
        <v>38</v>
      </c>
      <c r="D351" s="2" t="s">
        <v>38</v>
      </c>
      <c r="E351" s="2" t="s">
        <v>320</v>
      </c>
      <c r="F351" s="2" t="s">
        <v>62</v>
      </c>
      <c r="G351" s="2" t="s">
        <v>40</v>
      </c>
      <c r="H351" s="2" t="s">
        <v>2504</v>
      </c>
      <c r="I351" s="2" t="s">
        <v>2505</v>
      </c>
      <c r="J351" s="2" t="s">
        <v>2881</v>
      </c>
      <c r="K351" s="2" t="s">
        <v>50</v>
      </c>
      <c r="L351" s="2" t="s">
        <v>969</v>
      </c>
      <c r="M351" s="2" t="s">
        <v>89</v>
      </c>
      <c r="N351" s="2" t="s">
        <v>3226</v>
      </c>
      <c r="O351" s="2" t="s">
        <v>3397</v>
      </c>
      <c r="P351" s="2" t="s">
        <v>3231</v>
      </c>
      <c r="Q351" s="2" t="s">
        <v>2469</v>
      </c>
      <c r="R351" s="2" t="s">
        <v>315</v>
      </c>
      <c r="S351" s="2" t="s">
        <v>38</v>
      </c>
      <c r="T351" s="2" t="s">
        <v>38</v>
      </c>
      <c r="U351" s="2" t="s">
        <v>2047</v>
      </c>
      <c r="V351" s="2" t="s">
        <v>38</v>
      </c>
      <c r="W351" s="2" t="s">
        <v>2446</v>
      </c>
      <c r="X351" s="2" t="s">
        <v>2469</v>
      </c>
      <c r="Y351" s="2" t="s">
        <v>2102</v>
      </c>
      <c r="Z351" s="2" t="s">
        <v>315</v>
      </c>
      <c r="AA351" s="2" t="s">
        <v>38</v>
      </c>
      <c r="AB351" s="2" t="s">
        <v>38</v>
      </c>
      <c r="AC351" s="2" t="s">
        <v>1999</v>
      </c>
      <c r="AD351" s="2" t="s">
        <v>2011</v>
      </c>
      <c r="AE351" s="2" t="s">
        <v>2030</v>
      </c>
      <c r="AF351" s="2" t="s">
        <v>2102</v>
      </c>
      <c r="AG351" s="34">
        <v>46078</v>
      </c>
    </row>
    <row r="352" spans="1:33" ht="75" x14ac:dyDescent="0.25">
      <c r="A352" s="2" t="s">
        <v>970</v>
      </c>
      <c r="B352" s="2" t="s">
        <v>2882</v>
      </c>
      <c r="C352" s="2" t="s">
        <v>38</v>
      </c>
      <c r="D352" s="2" t="s">
        <v>38</v>
      </c>
      <c r="E352" s="2" t="s">
        <v>48</v>
      </c>
      <c r="F352" s="2" t="s">
        <v>62</v>
      </c>
      <c r="G352" s="2" t="s">
        <v>40</v>
      </c>
      <c r="H352" s="2" t="s">
        <v>2511</v>
      </c>
      <c r="I352" s="2" t="s">
        <v>2512</v>
      </c>
      <c r="J352" s="2" t="s">
        <v>2882</v>
      </c>
      <c r="K352" s="2" t="s">
        <v>50</v>
      </c>
      <c r="L352" s="2" t="s">
        <v>971</v>
      </c>
      <c r="M352" s="2" t="s">
        <v>51</v>
      </c>
      <c r="N352" s="2" t="s">
        <v>972</v>
      </c>
      <c r="O352" s="2" t="s">
        <v>3395</v>
      </c>
      <c r="P352" s="2" t="s">
        <v>38</v>
      </c>
      <c r="Q352" s="2" t="s">
        <v>2015</v>
      </c>
      <c r="R352" s="2" t="s">
        <v>45</v>
      </c>
      <c r="S352" s="2" t="s">
        <v>77</v>
      </c>
      <c r="T352" s="2" t="s">
        <v>78</v>
      </c>
      <c r="U352" s="2" t="s">
        <v>1999</v>
      </c>
      <c r="V352" s="2" t="s">
        <v>2011</v>
      </c>
      <c r="W352" s="2" t="s">
        <v>2015</v>
      </c>
      <c r="X352" s="2" t="s">
        <v>38</v>
      </c>
      <c r="Y352" s="2" t="s">
        <v>2063</v>
      </c>
      <c r="Z352" s="2" t="s">
        <v>45</v>
      </c>
      <c r="AA352" s="2" t="s">
        <v>46</v>
      </c>
      <c r="AB352" s="2" t="s">
        <v>38</v>
      </c>
      <c r="AC352" s="2" t="s">
        <v>1999</v>
      </c>
      <c r="AD352" s="2" t="s">
        <v>2006</v>
      </c>
      <c r="AE352" s="2" t="s">
        <v>2063</v>
      </c>
      <c r="AF352" s="2" t="s">
        <v>38</v>
      </c>
      <c r="AG352" s="34">
        <v>46078</v>
      </c>
    </row>
    <row r="353" spans="1:33" ht="90" x14ac:dyDescent="0.25">
      <c r="A353" s="2" t="s">
        <v>973</v>
      </c>
      <c r="B353" s="2" t="s">
        <v>3068</v>
      </c>
      <c r="C353" s="2" t="s">
        <v>38</v>
      </c>
      <c r="D353" s="2" t="s">
        <v>38</v>
      </c>
      <c r="E353" s="2" t="s">
        <v>48</v>
      </c>
      <c r="F353" s="2" t="s">
        <v>62</v>
      </c>
      <c r="G353" s="2" t="s">
        <v>40</v>
      </c>
      <c r="H353" s="2" t="s">
        <v>2504</v>
      </c>
      <c r="I353" s="2" t="s">
        <v>2505</v>
      </c>
      <c r="J353" s="2" t="s">
        <v>3068</v>
      </c>
      <c r="K353" s="2" t="s">
        <v>50</v>
      </c>
      <c r="L353" s="2" t="s">
        <v>974</v>
      </c>
      <c r="M353" s="2" t="s">
        <v>51</v>
      </c>
      <c r="N353" s="2" t="s">
        <v>975</v>
      </c>
      <c r="O353" s="2" t="s">
        <v>3396</v>
      </c>
      <c r="P353" s="2" t="s">
        <v>38</v>
      </c>
      <c r="Q353" s="2" t="s">
        <v>2963</v>
      </c>
      <c r="R353" s="2" t="s">
        <v>45</v>
      </c>
      <c r="S353" s="2" t="s">
        <v>38</v>
      </c>
      <c r="T353" s="2" t="s">
        <v>38</v>
      </c>
      <c r="U353" s="2" t="s">
        <v>2047</v>
      </c>
      <c r="V353" s="2" t="s">
        <v>38</v>
      </c>
      <c r="W353" s="2" t="s">
        <v>2963</v>
      </c>
      <c r="X353" s="2" t="s">
        <v>38</v>
      </c>
      <c r="Y353" s="2" t="s">
        <v>2015</v>
      </c>
      <c r="Z353" s="2" t="s">
        <v>45</v>
      </c>
      <c r="AA353" s="2" t="s">
        <v>77</v>
      </c>
      <c r="AB353" s="2" t="s">
        <v>78</v>
      </c>
      <c r="AC353" s="2" t="s">
        <v>1999</v>
      </c>
      <c r="AD353" s="2" t="s">
        <v>2011</v>
      </c>
      <c r="AE353" s="2" t="s">
        <v>2015</v>
      </c>
      <c r="AF353" s="2" t="s">
        <v>38</v>
      </c>
      <c r="AG353" s="34">
        <v>46078</v>
      </c>
    </row>
    <row r="354" spans="1:33" ht="60" x14ac:dyDescent="0.25">
      <c r="A354" s="2" t="s">
        <v>976</v>
      </c>
      <c r="B354" s="2" t="s">
        <v>3108</v>
      </c>
      <c r="C354" s="2" t="s">
        <v>38</v>
      </c>
      <c r="D354" s="2" t="s">
        <v>38</v>
      </c>
      <c r="E354" s="2" t="s">
        <v>312</v>
      </c>
      <c r="F354" s="2" t="s">
        <v>62</v>
      </c>
      <c r="G354" s="2" t="s">
        <v>40</v>
      </c>
      <c r="H354" s="2" t="s">
        <v>2883</v>
      </c>
      <c r="I354" s="2" t="s">
        <v>67</v>
      </c>
      <c r="J354" s="2" t="s">
        <v>2884</v>
      </c>
      <c r="K354" s="2" t="s">
        <v>50</v>
      </c>
      <c r="L354" s="2" t="s">
        <v>38</v>
      </c>
      <c r="M354" s="2" t="s">
        <v>38</v>
      </c>
      <c r="N354" s="2" t="s">
        <v>38</v>
      </c>
      <c r="O354" s="2" t="s">
        <v>38</v>
      </c>
      <c r="P354" s="2" t="s">
        <v>3197</v>
      </c>
      <c r="Q354" s="2" t="s">
        <v>2349</v>
      </c>
      <c r="R354" s="2" t="s">
        <v>45</v>
      </c>
      <c r="S354" s="2" t="s">
        <v>38</v>
      </c>
      <c r="T354" s="2" t="s">
        <v>38</v>
      </c>
      <c r="U354" s="2" t="s">
        <v>2047</v>
      </c>
      <c r="V354" s="2" t="s">
        <v>38</v>
      </c>
      <c r="W354" s="2" t="s">
        <v>2349</v>
      </c>
      <c r="X354" s="2" t="s">
        <v>38</v>
      </c>
      <c r="Y354" s="2" t="s">
        <v>3082</v>
      </c>
      <c r="Z354" s="2" t="s">
        <v>315</v>
      </c>
      <c r="AA354" s="2" t="s">
        <v>38</v>
      </c>
      <c r="AB354" s="2" t="s">
        <v>38</v>
      </c>
      <c r="AC354" s="2" t="s">
        <v>2047</v>
      </c>
      <c r="AD354" s="2" t="s">
        <v>38</v>
      </c>
      <c r="AE354" s="2" t="s">
        <v>2106</v>
      </c>
      <c r="AF354" s="2" t="s">
        <v>2146</v>
      </c>
      <c r="AG354" s="34">
        <v>46078</v>
      </c>
    </row>
    <row r="355" spans="1:33" ht="60" x14ac:dyDescent="0.25">
      <c r="A355" s="2" t="s">
        <v>977</v>
      </c>
      <c r="B355" s="2" t="s">
        <v>3109</v>
      </c>
      <c r="C355" s="2" t="s">
        <v>38</v>
      </c>
      <c r="D355" s="2" t="s">
        <v>38</v>
      </c>
      <c r="E355" s="2" t="s">
        <v>312</v>
      </c>
      <c r="F355" s="2" t="s">
        <v>62</v>
      </c>
      <c r="G355" s="2" t="s">
        <v>40</v>
      </c>
      <c r="H355" s="2" t="s">
        <v>2883</v>
      </c>
      <c r="I355" s="2" t="s">
        <v>67</v>
      </c>
      <c r="J355" s="2" t="s">
        <v>2885</v>
      </c>
      <c r="K355" s="2" t="s">
        <v>50</v>
      </c>
      <c r="L355" s="2" t="s">
        <v>38</v>
      </c>
      <c r="M355" s="2" t="s">
        <v>38</v>
      </c>
      <c r="N355" s="2" t="s">
        <v>38</v>
      </c>
      <c r="O355" s="2" t="s">
        <v>38</v>
      </c>
      <c r="P355" s="2" t="s">
        <v>38</v>
      </c>
      <c r="Q355" s="2" t="s">
        <v>2045</v>
      </c>
      <c r="R355" s="2" t="s">
        <v>45</v>
      </c>
      <c r="S355" s="2" t="s">
        <v>38</v>
      </c>
      <c r="T355" s="2" t="s">
        <v>38</v>
      </c>
      <c r="U355" s="2" t="s">
        <v>2047</v>
      </c>
      <c r="V355" s="2" t="s">
        <v>38</v>
      </c>
      <c r="W355" s="2" t="s">
        <v>2045</v>
      </c>
      <c r="X355" s="2" t="s">
        <v>38</v>
      </c>
      <c r="Y355" s="2" t="s">
        <v>3082</v>
      </c>
      <c r="Z355" s="2" t="s">
        <v>315</v>
      </c>
      <c r="AA355" s="2" t="s">
        <v>38</v>
      </c>
      <c r="AB355" s="2" t="s">
        <v>38</v>
      </c>
      <c r="AC355" s="2" t="s">
        <v>2047</v>
      </c>
      <c r="AD355" s="2" t="s">
        <v>38</v>
      </c>
      <c r="AE355" s="2" t="s">
        <v>2106</v>
      </c>
      <c r="AF355" s="2" t="s">
        <v>2146</v>
      </c>
      <c r="AG355" s="34">
        <v>46078</v>
      </c>
    </row>
    <row r="356" spans="1:33" ht="30" x14ac:dyDescent="0.25">
      <c r="A356" s="2" t="s">
        <v>978</v>
      </c>
      <c r="B356" s="2" t="s">
        <v>2886</v>
      </c>
      <c r="C356" s="2" t="s">
        <v>38</v>
      </c>
      <c r="D356" s="2" t="s">
        <v>38</v>
      </c>
      <c r="E356" s="2" t="s">
        <v>48</v>
      </c>
      <c r="F356" s="2" t="s">
        <v>62</v>
      </c>
      <c r="G356" s="2" t="s">
        <v>40</v>
      </c>
      <c r="H356" s="2" t="s">
        <v>2883</v>
      </c>
      <c r="I356" s="2" t="s">
        <v>67</v>
      </c>
      <c r="J356" s="2" t="s">
        <v>2886</v>
      </c>
      <c r="K356" s="2" t="s">
        <v>50</v>
      </c>
      <c r="L356" s="2" t="s">
        <v>38</v>
      </c>
      <c r="M356" s="2" t="s">
        <v>38</v>
      </c>
      <c r="N356" s="2" t="s">
        <v>38</v>
      </c>
      <c r="O356" s="2" t="s">
        <v>38</v>
      </c>
      <c r="P356" s="2" t="s">
        <v>38</v>
      </c>
      <c r="Q356" s="2" t="s">
        <v>2349</v>
      </c>
      <c r="R356" s="2" t="s">
        <v>45</v>
      </c>
      <c r="S356" s="2" t="s">
        <v>38</v>
      </c>
      <c r="T356" s="2" t="s">
        <v>38</v>
      </c>
      <c r="U356" s="2" t="s">
        <v>2047</v>
      </c>
      <c r="V356" s="2" t="s">
        <v>38</v>
      </c>
      <c r="W356" s="2" t="s">
        <v>2349</v>
      </c>
      <c r="X356" s="2" t="s">
        <v>38</v>
      </c>
      <c r="Y356" s="2" t="s">
        <v>2045</v>
      </c>
      <c r="Z356" s="2" t="s">
        <v>45</v>
      </c>
      <c r="AA356" s="2" t="s">
        <v>38</v>
      </c>
      <c r="AB356" s="2" t="s">
        <v>38</v>
      </c>
      <c r="AC356" s="2" t="s">
        <v>2047</v>
      </c>
      <c r="AD356" s="2" t="s">
        <v>38</v>
      </c>
      <c r="AE356" s="2" t="s">
        <v>2045</v>
      </c>
      <c r="AF356" s="2" t="s">
        <v>38</v>
      </c>
      <c r="AG356" s="34">
        <v>46078</v>
      </c>
    </row>
    <row r="357" spans="1:33" ht="45" x14ac:dyDescent="0.25">
      <c r="A357" s="2" t="s">
        <v>2489</v>
      </c>
      <c r="B357" s="2" t="s">
        <v>2887</v>
      </c>
      <c r="C357" s="2" t="s">
        <v>38</v>
      </c>
      <c r="D357" s="2" t="s">
        <v>38</v>
      </c>
      <c r="E357" s="2" t="s">
        <v>194</v>
      </c>
      <c r="F357" s="2" t="s">
        <v>38</v>
      </c>
      <c r="G357" s="2" t="s">
        <v>40</v>
      </c>
      <c r="H357" s="2" t="s">
        <v>2610</v>
      </c>
      <c r="I357" s="2" t="s">
        <v>2887</v>
      </c>
      <c r="J357" s="2" t="s">
        <v>67</v>
      </c>
      <c r="K357" s="2" t="s">
        <v>50</v>
      </c>
      <c r="L357" s="2" t="s">
        <v>38</v>
      </c>
      <c r="M357" s="2" t="s">
        <v>38</v>
      </c>
      <c r="N357" s="2" t="s">
        <v>38</v>
      </c>
      <c r="O357" s="2" t="s">
        <v>38</v>
      </c>
      <c r="P357" s="2" t="s">
        <v>38</v>
      </c>
      <c r="Q357" s="2" t="s">
        <v>2212</v>
      </c>
      <c r="R357" s="2" t="s">
        <v>59</v>
      </c>
      <c r="S357" s="2" t="s">
        <v>38</v>
      </c>
      <c r="T357" s="2" t="s">
        <v>60</v>
      </c>
      <c r="U357" s="2" t="s">
        <v>2118</v>
      </c>
      <c r="V357" s="2" t="s">
        <v>2212</v>
      </c>
      <c r="W357" s="2" t="s">
        <v>38</v>
      </c>
      <c r="X357" s="2" t="s">
        <v>38</v>
      </c>
      <c r="Y357" s="2" t="s">
        <v>2119</v>
      </c>
      <c r="Z357" s="2" t="s">
        <v>59</v>
      </c>
      <c r="AA357" s="2" t="s">
        <v>38</v>
      </c>
      <c r="AB357" s="2" t="s">
        <v>60</v>
      </c>
      <c r="AC357" s="2" t="s">
        <v>2118</v>
      </c>
      <c r="AD357" s="2" t="s">
        <v>2119</v>
      </c>
      <c r="AE357" s="2" t="s">
        <v>38</v>
      </c>
      <c r="AF357" s="2" t="s">
        <v>38</v>
      </c>
      <c r="AG357" s="34">
        <v>46078</v>
      </c>
    </row>
    <row r="358" spans="1:33" ht="150" x14ac:dyDescent="0.25">
      <c r="A358" s="2" t="s">
        <v>2491</v>
      </c>
      <c r="B358" s="2" t="s">
        <v>2888</v>
      </c>
      <c r="C358" s="2" t="s">
        <v>38</v>
      </c>
      <c r="D358" s="2" t="s">
        <v>38</v>
      </c>
      <c r="E358" s="2" t="s">
        <v>48</v>
      </c>
      <c r="F358" s="2" t="s">
        <v>62</v>
      </c>
      <c r="G358" s="2" t="s">
        <v>40</v>
      </c>
      <c r="H358" s="2" t="s">
        <v>2511</v>
      </c>
      <c r="I358" s="2" t="s">
        <v>2534</v>
      </c>
      <c r="J358" s="2" t="s">
        <v>2888</v>
      </c>
      <c r="K358" s="2" t="s">
        <v>50</v>
      </c>
      <c r="L358" s="2" t="s">
        <v>3187</v>
      </c>
      <c r="M358" s="2" t="s">
        <v>51</v>
      </c>
      <c r="N358" s="2" t="s">
        <v>3274</v>
      </c>
      <c r="O358" s="2" t="s">
        <v>3273</v>
      </c>
      <c r="P358" s="2" t="s">
        <v>3398</v>
      </c>
      <c r="Q358" s="2" t="s">
        <v>2066</v>
      </c>
      <c r="R358" s="2" t="s">
        <v>45</v>
      </c>
      <c r="S358" s="2" t="s">
        <v>38</v>
      </c>
      <c r="T358" s="2" t="s">
        <v>38</v>
      </c>
      <c r="U358" s="2" t="s">
        <v>1999</v>
      </c>
      <c r="V358" s="2" t="s">
        <v>2000</v>
      </c>
      <c r="W358" s="2" t="s">
        <v>2066</v>
      </c>
      <c r="X358" s="2" t="s">
        <v>38</v>
      </c>
      <c r="Y358" s="2" t="s">
        <v>2021</v>
      </c>
      <c r="Z358" s="2" t="s">
        <v>45</v>
      </c>
      <c r="AA358" s="2" t="s">
        <v>46</v>
      </c>
      <c r="AB358" s="2" t="s">
        <v>38</v>
      </c>
      <c r="AC358" s="2" t="s">
        <v>1999</v>
      </c>
      <c r="AD358" s="2" t="s">
        <v>2011</v>
      </c>
      <c r="AE358" s="2" t="s">
        <v>2021</v>
      </c>
      <c r="AF358" s="2" t="s">
        <v>38</v>
      </c>
      <c r="AG358" s="34">
        <v>46078</v>
      </c>
    </row>
    <row r="359" spans="1:33" ht="165" x14ac:dyDescent="0.25">
      <c r="A359" s="2" t="s">
        <v>2971</v>
      </c>
      <c r="B359" s="2" t="s">
        <v>3069</v>
      </c>
      <c r="C359" s="2" t="s">
        <v>38</v>
      </c>
      <c r="D359" s="2" t="s">
        <v>38</v>
      </c>
      <c r="E359" s="2" t="s">
        <v>48</v>
      </c>
      <c r="F359" s="2" t="s">
        <v>62</v>
      </c>
      <c r="G359" s="2" t="s">
        <v>40</v>
      </c>
      <c r="H359" s="2" t="s">
        <v>2511</v>
      </c>
      <c r="I359" s="2" t="s">
        <v>2530</v>
      </c>
      <c r="J359" s="2" t="s">
        <v>3069</v>
      </c>
      <c r="K359" s="2" t="s">
        <v>50</v>
      </c>
      <c r="L359" s="2" t="s">
        <v>3277</v>
      </c>
      <c r="M359" s="2" t="s">
        <v>73</v>
      </c>
      <c r="N359" s="2" t="s">
        <v>3117</v>
      </c>
      <c r="O359" s="2" t="s">
        <v>3194</v>
      </c>
      <c r="P359" s="2" t="s">
        <v>3118</v>
      </c>
      <c r="Q359" s="2" t="s">
        <v>2021</v>
      </c>
      <c r="R359" s="2" t="s">
        <v>45</v>
      </c>
      <c r="S359" s="2" t="s">
        <v>46</v>
      </c>
      <c r="T359" s="2" t="s">
        <v>38</v>
      </c>
      <c r="U359" s="2" t="s">
        <v>1999</v>
      </c>
      <c r="V359" s="2" t="s">
        <v>2011</v>
      </c>
      <c r="W359" s="2" t="s">
        <v>2021</v>
      </c>
      <c r="X359" s="2" t="s">
        <v>38</v>
      </c>
      <c r="Y359" s="2" t="s">
        <v>2958</v>
      </c>
      <c r="Z359" s="2" t="s">
        <v>45</v>
      </c>
      <c r="AA359" s="2" t="s">
        <v>38</v>
      </c>
      <c r="AB359" s="2" t="s">
        <v>80</v>
      </c>
      <c r="AC359" s="2" t="s">
        <v>1999</v>
      </c>
      <c r="AD359" s="2" t="s">
        <v>2011</v>
      </c>
      <c r="AE359" s="2" t="s">
        <v>2958</v>
      </c>
      <c r="AF359" s="2" t="s">
        <v>38</v>
      </c>
      <c r="AG359" s="34">
        <v>46078</v>
      </c>
    </row>
    <row r="360" spans="1:33" ht="150" x14ac:dyDescent="0.25">
      <c r="A360" s="2" t="s">
        <v>3089</v>
      </c>
      <c r="B360" s="2" t="s">
        <v>3110</v>
      </c>
      <c r="C360" s="2" t="s">
        <v>38</v>
      </c>
      <c r="D360" s="2" t="s">
        <v>38</v>
      </c>
      <c r="E360" s="2" t="s">
        <v>312</v>
      </c>
      <c r="F360" s="2" t="s">
        <v>62</v>
      </c>
      <c r="G360" s="2" t="s">
        <v>40</v>
      </c>
      <c r="H360" s="2" t="s">
        <v>2504</v>
      </c>
      <c r="I360" s="2" t="s">
        <v>2505</v>
      </c>
      <c r="J360" s="2" t="s">
        <v>2527</v>
      </c>
      <c r="K360" s="2" t="s">
        <v>50</v>
      </c>
      <c r="L360" s="2" t="s">
        <v>3182</v>
      </c>
      <c r="M360" s="2" t="s">
        <v>89</v>
      </c>
      <c r="N360" s="2" t="s">
        <v>3183</v>
      </c>
      <c r="O360" s="2" t="s">
        <v>3184</v>
      </c>
      <c r="P360" s="2" t="s">
        <v>3198</v>
      </c>
      <c r="Q360" s="2" t="s">
        <v>2108</v>
      </c>
      <c r="R360" s="2" t="s">
        <v>45</v>
      </c>
      <c r="S360" s="2" t="s">
        <v>38</v>
      </c>
      <c r="T360" s="2" t="s">
        <v>38</v>
      </c>
      <c r="U360" s="2" t="s">
        <v>2047</v>
      </c>
      <c r="V360" s="2" t="s">
        <v>38</v>
      </c>
      <c r="W360" s="2" t="s">
        <v>2108</v>
      </c>
      <c r="X360" s="2" t="s">
        <v>38</v>
      </c>
      <c r="Y360" s="2" t="s">
        <v>2098</v>
      </c>
      <c r="Z360" s="2" t="s">
        <v>315</v>
      </c>
      <c r="AA360" s="2" t="s">
        <v>38</v>
      </c>
      <c r="AB360" s="2" t="s">
        <v>38</v>
      </c>
      <c r="AC360" s="2" t="s">
        <v>1999</v>
      </c>
      <c r="AD360" s="2" t="s">
        <v>2011</v>
      </c>
      <c r="AE360" s="2" t="s">
        <v>2030</v>
      </c>
      <c r="AF360" s="2" t="s">
        <v>2098</v>
      </c>
      <c r="AG360" s="34">
        <v>46078</v>
      </c>
    </row>
    <row r="361" spans="1:33" ht="225" x14ac:dyDescent="0.25">
      <c r="A361" s="2" t="s">
        <v>3091</v>
      </c>
      <c r="B361" s="2" t="s">
        <v>3111</v>
      </c>
      <c r="C361" s="2" t="s">
        <v>38</v>
      </c>
      <c r="D361" s="2" t="s">
        <v>38</v>
      </c>
      <c r="E361" s="2" t="s">
        <v>320</v>
      </c>
      <c r="F361" s="2" t="s">
        <v>62</v>
      </c>
      <c r="G361" s="2" t="s">
        <v>40</v>
      </c>
      <c r="H361" s="2" t="s">
        <v>2521</v>
      </c>
      <c r="I361" s="2" t="s">
        <v>2522</v>
      </c>
      <c r="J361" s="2" t="s">
        <v>2520</v>
      </c>
      <c r="K361" s="2" t="s">
        <v>50</v>
      </c>
      <c r="L361" s="2" t="s">
        <v>3188</v>
      </c>
      <c r="M361" s="2" t="s">
        <v>89</v>
      </c>
      <c r="N361" s="2" t="s">
        <v>3189</v>
      </c>
      <c r="O361" s="2" t="s">
        <v>3190</v>
      </c>
      <c r="P361" s="2" t="s">
        <v>3399</v>
      </c>
      <c r="Q361" s="2" t="s">
        <v>2098</v>
      </c>
      <c r="R361" s="2" t="s">
        <v>315</v>
      </c>
      <c r="S361" s="2" t="s">
        <v>38</v>
      </c>
      <c r="T361" s="2" t="s">
        <v>38</v>
      </c>
      <c r="U361" s="2" t="s">
        <v>1999</v>
      </c>
      <c r="V361" s="2" t="s">
        <v>2011</v>
      </c>
      <c r="W361" s="2" t="s">
        <v>2030</v>
      </c>
      <c r="X361" s="2" t="s">
        <v>2098</v>
      </c>
      <c r="Y361" s="2" t="s">
        <v>3082</v>
      </c>
      <c r="Z361" s="2" t="s">
        <v>315</v>
      </c>
      <c r="AA361" s="2" t="s">
        <v>38</v>
      </c>
      <c r="AB361" s="2" t="s">
        <v>38</v>
      </c>
      <c r="AC361" s="2" t="s">
        <v>2047</v>
      </c>
      <c r="AD361" s="2" t="s">
        <v>38</v>
      </c>
      <c r="AE361" s="2" t="s">
        <v>2106</v>
      </c>
      <c r="AF361" s="2" t="s">
        <v>2146</v>
      </c>
      <c r="AG361" s="34">
        <v>46078</v>
      </c>
    </row>
  </sheetData>
  <mergeCells count="1">
    <mergeCell ref="A1:G1"/>
  </mergeCells>
  <phoneticPr fontId="10" type="noConversion"/>
  <conditionalFormatting sqref="A3:AG361">
    <cfRule type="expression" dxfId="0" priority="3">
      <formula>$K3="Deleted"</formula>
    </cfRule>
  </conditionalFormatting>
  <dataValidations count="2">
    <dataValidation type="list" allowBlank="1" showInputMessage="1" showErrorMessage="1" sqref="F3:F361" xr:uid="{E8BC7C00-482A-40A8-BDCC-618F0401FFAC}">
      <formula1>InterfaceType</formula1>
    </dataValidation>
    <dataValidation type="list" allowBlank="1" showInputMessage="1" showErrorMessage="1" sqref="M3:M361" xr:uid="{10B50E55-5145-4055-ACCA-2D176D3EDAC7}">
      <formula1>InterfaceCriticality</formula1>
    </dataValidation>
  </dataValidation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9D73AA0-DEA8-405C-8C45-BAFA7FA3D887}">
          <x14:formula1>
            <xm:f>_xlfn.ANCHORARRAY(Lookups!$K$2)</xm:f>
          </x14:formula1>
          <xm:sqref>H1</xm:sqref>
        </x14:dataValidation>
        <x14:dataValidation type="list" allowBlank="1" showInputMessage="1" showErrorMessage="1" xr:uid="{FF6DB7D3-C0D5-47D4-A76D-4BD444882EDD}">
          <x14:formula1>
            <xm:f>_xlfn.ANCHORARRAY(Lookups!$L$2)</xm:f>
          </x14:formula1>
          <xm:sqref>I1</xm:sqref>
        </x14:dataValidation>
        <x14:dataValidation type="list" allowBlank="1" showInputMessage="1" showErrorMessage="1" xr:uid="{F3B4F17B-F946-4F61-BDCD-0D58F2622508}">
          <x14:formula1>
            <xm:f>_xlfn.ANCHORARRAY(Lookups!$M$2)</xm:f>
          </x14:formula1>
          <xm:sqref>J1</xm:sqref>
        </x14:dataValidation>
        <x14:dataValidation type="list" allowBlank="1" showInputMessage="1" showErrorMessage="1" xr:uid="{5F130B01-AB25-4031-9AC3-28E8C273CBF6}">
          <x14:formula1>
            <xm:f>Lookups!$E$2:$E$6</xm:f>
          </x14:formula1>
          <xm:sqref>K3:K361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CFF2D-928A-4A27-8FFC-84E758F38001}">
  <sheetPr codeName="Sheet2"/>
  <dimension ref="A1:H41"/>
  <sheetViews>
    <sheetView topLeftCell="A36" zoomScale="132" workbookViewId="0">
      <selection activeCell="C38" sqref="C38"/>
    </sheetView>
  </sheetViews>
  <sheetFormatPr defaultColWidth="10.85546875" defaultRowHeight="15" x14ac:dyDescent="0.25"/>
  <cols>
    <col min="1" max="1" width="4.85546875" style="21" customWidth="1"/>
    <col min="2" max="2" width="19" style="32" customWidth="1"/>
    <col min="3" max="3" width="17.28515625" style="21" customWidth="1"/>
    <col min="4" max="5" width="14" style="21" customWidth="1"/>
    <col min="6" max="6" width="100.7109375" style="21" customWidth="1"/>
    <col min="7" max="7" width="34.28515625" style="21" customWidth="1"/>
    <col min="8" max="8" width="12.42578125" style="21" customWidth="1"/>
    <col min="9" max="16384" width="10.85546875" style="21"/>
  </cols>
  <sheetData>
    <row r="1" spans="1:8" x14ac:dyDescent="0.25">
      <c r="A1" s="14" t="s">
        <v>979</v>
      </c>
      <c r="B1" s="31" t="s">
        <v>980</v>
      </c>
      <c r="C1" s="14" t="s">
        <v>981</v>
      </c>
      <c r="D1" s="14" t="s">
        <v>982</v>
      </c>
      <c r="E1" s="14" t="s">
        <v>983</v>
      </c>
      <c r="F1" s="14" t="s">
        <v>984</v>
      </c>
      <c r="G1" s="14" t="s">
        <v>985</v>
      </c>
      <c r="H1" s="14" t="s">
        <v>986</v>
      </c>
    </row>
    <row r="2" spans="1:8" x14ac:dyDescent="0.25">
      <c r="A2" s="21">
        <v>1</v>
      </c>
      <c r="B2" s="32" t="s">
        <v>987</v>
      </c>
      <c r="C2" s="23">
        <v>45992</v>
      </c>
      <c r="D2" s="21" t="s">
        <v>988</v>
      </c>
      <c r="E2" s="21" t="s">
        <v>989</v>
      </c>
      <c r="F2" s="21" t="s">
        <v>990</v>
      </c>
      <c r="G2" s="21" t="s">
        <v>991</v>
      </c>
      <c r="H2" s="21" t="s">
        <v>991</v>
      </c>
    </row>
    <row r="3" spans="1:8" ht="45" x14ac:dyDescent="0.25">
      <c r="A3" s="21">
        <v>2</v>
      </c>
      <c r="B3" s="32" t="s">
        <v>987</v>
      </c>
      <c r="C3" s="23">
        <v>45992</v>
      </c>
      <c r="D3" s="21" t="s">
        <v>988</v>
      </c>
      <c r="E3" s="21" t="s">
        <v>989</v>
      </c>
      <c r="F3" s="21" t="s">
        <v>992</v>
      </c>
      <c r="G3" s="21" t="s">
        <v>991</v>
      </c>
      <c r="H3" s="21" t="s">
        <v>991</v>
      </c>
    </row>
    <row r="4" spans="1:8" x14ac:dyDescent="0.25">
      <c r="A4" s="21">
        <v>3</v>
      </c>
      <c r="B4" s="32" t="s">
        <v>987</v>
      </c>
      <c r="C4" s="23">
        <v>45992</v>
      </c>
      <c r="D4" s="21" t="s">
        <v>988</v>
      </c>
      <c r="E4" s="21" t="s">
        <v>989</v>
      </c>
      <c r="F4" s="21" t="s">
        <v>993</v>
      </c>
      <c r="G4" s="21" t="s">
        <v>991</v>
      </c>
      <c r="H4" s="21" t="s">
        <v>991</v>
      </c>
    </row>
    <row r="5" spans="1:8" ht="30" x14ac:dyDescent="0.25">
      <c r="A5" s="21">
        <v>4</v>
      </c>
      <c r="B5" s="32" t="s">
        <v>987</v>
      </c>
      <c r="C5" s="23">
        <v>45992</v>
      </c>
      <c r="D5" s="21" t="s">
        <v>988</v>
      </c>
      <c r="E5" s="21" t="s">
        <v>994</v>
      </c>
      <c r="F5" s="21" t="s">
        <v>995</v>
      </c>
      <c r="G5" s="21" t="s">
        <v>4237</v>
      </c>
      <c r="H5" s="21" t="s">
        <v>999</v>
      </c>
    </row>
    <row r="6" spans="1:8" ht="30" x14ac:dyDescent="0.25">
      <c r="A6" s="21">
        <v>5</v>
      </c>
      <c r="B6" s="32" t="s">
        <v>987</v>
      </c>
      <c r="C6" s="23">
        <v>45992</v>
      </c>
      <c r="D6" s="21" t="s">
        <v>988</v>
      </c>
      <c r="E6" s="21" t="s">
        <v>994</v>
      </c>
      <c r="F6" s="21" t="s">
        <v>997</v>
      </c>
      <c r="G6" s="21" t="s">
        <v>998</v>
      </c>
      <c r="H6" s="21" t="s">
        <v>999</v>
      </c>
    </row>
    <row r="7" spans="1:8" x14ac:dyDescent="0.25">
      <c r="A7" s="21">
        <v>6</v>
      </c>
      <c r="B7" s="32">
        <v>0.14000000000000001</v>
      </c>
      <c r="C7" s="23">
        <v>45995</v>
      </c>
      <c r="D7" s="21" t="s">
        <v>988</v>
      </c>
      <c r="E7" s="21" t="s">
        <v>989</v>
      </c>
      <c r="F7" s="21" t="s">
        <v>1000</v>
      </c>
      <c r="G7" s="21" t="s">
        <v>1001</v>
      </c>
      <c r="H7" s="21" t="s">
        <v>999</v>
      </c>
    </row>
    <row r="8" spans="1:8" x14ac:dyDescent="0.25">
      <c r="A8" s="21">
        <v>7</v>
      </c>
      <c r="B8" s="32">
        <v>0.14000000000000001</v>
      </c>
      <c r="C8" s="23">
        <v>45995</v>
      </c>
      <c r="D8" s="21" t="s">
        <v>988</v>
      </c>
      <c r="E8" s="21" t="s">
        <v>989</v>
      </c>
      <c r="F8" s="21" t="s">
        <v>1002</v>
      </c>
      <c r="G8" s="21" t="s">
        <v>1003</v>
      </c>
      <c r="H8" s="21" t="s">
        <v>999</v>
      </c>
    </row>
    <row r="9" spans="1:8" ht="30" x14ac:dyDescent="0.25">
      <c r="A9" s="21">
        <v>8</v>
      </c>
      <c r="B9" s="32">
        <v>0.14000000000000001</v>
      </c>
      <c r="C9" s="23">
        <v>45995</v>
      </c>
      <c r="D9" s="21" t="s">
        <v>988</v>
      </c>
      <c r="E9" s="21" t="s">
        <v>989</v>
      </c>
      <c r="F9" s="21" t="s">
        <v>1004</v>
      </c>
      <c r="G9" s="21" t="s">
        <v>1005</v>
      </c>
      <c r="H9" s="21" t="s">
        <v>999</v>
      </c>
    </row>
    <row r="10" spans="1:8" ht="300" x14ac:dyDescent="0.25">
      <c r="A10" s="21">
        <v>9</v>
      </c>
      <c r="B10" s="32">
        <v>0.14000000000000001</v>
      </c>
      <c r="C10" s="23">
        <v>45995</v>
      </c>
      <c r="D10" s="21" t="s">
        <v>988</v>
      </c>
      <c r="E10" s="21" t="s">
        <v>989</v>
      </c>
      <c r="F10" s="21" t="s">
        <v>1006</v>
      </c>
      <c r="G10" s="21" t="s">
        <v>1007</v>
      </c>
      <c r="H10" s="21" t="s">
        <v>999</v>
      </c>
    </row>
    <row r="11" spans="1:8" ht="180" x14ac:dyDescent="0.25">
      <c r="A11" s="21">
        <v>10</v>
      </c>
      <c r="B11" s="32">
        <v>0.14000000000000001</v>
      </c>
      <c r="C11" s="23">
        <v>45995</v>
      </c>
      <c r="D11" s="21" t="s">
        <v>988</v>
      </c>
      <c r="E11" s="21" t="s">
        <v>994</v>
      </c>
      <c r="F11" s="21" t="s">
        <v>1008</v>
      </c>
      <c r="G11" s="21" t="s">
        <v>4239</v>
      </c>
      <c r="H11" s="21" t="s">
        <v>999</v>
      </c>
    </row>
    <row r="12" spans="1:8" ht="105" x14ac:dyDescent="0.25">
      <c r="A12" s="21">
        <v>11</v>
      </c>
      <c r="B12" s="32">
        <v>0.14000000000000001</v>
      </c>
      <c r="C12" s="23">
        <v>45995</v>
      </c>
      <c r="D12" s="21" t="s">
        <v>988</v>
      </c>
      <c r="E12" s="21" t="s">
        <v>994</v>
      </c>
      <c r="F12" s="21" t="s">
        <v>1009</v>
      </c>
      <c r="G12" s="21" t="s">
        <v>4240</v>
      </c>
      <c r="H12" s="21" t="s">
        <v>999</v>
      </c>
    </row>
    <row r="13" spans="1:8" ht="60" x14ac:dyDescent="0.25">
      <c r="A13" s="21">
        <v>12</v>
      </c>
      <c r="B13" s="32">
        <v>0.14000000000000001</v>
      </c>
      <c r="C13" s="23">
        <v>45995</v>
      </c>
      <c r="D13" s="21" t="s">
        <v>988</v>
      </c>
      <c r="E13" s="21" t="s">
        <v>994</v>
      </c>
      <c r="F13" s="21" t="s">
        <v>1010</v>
      </c>
      <c r="G13" s="21" t="s">
        <v>1011</v>
      </c>
      <c r="H13" s="21" t="s">
        <v>999</v>
      </c>
    </row>
    <row r="14" spans="1:8" ht="30" x14ac:dyDescent="0.25">
      <c r="A14" s="21">
        <v>13</v>
      </c>
      <c r="B14" s="32">
        <v>0.16</v>
      </c>
      <c r="C14" s="23">
        <v>46002</v>
      </c>
      <c r="D14" s="21" t="s">
        <v>988</v>
      </c>
      <c r="E14" s="21" t="s">
        <v>989</v>
      </c>
      <c r="F14" s="21" t="s">
        <v>1012</v>
      </c>
      <c r="G14" s="21" t="s">
        <v>1013</v>
      </c>
      <c r="H14" s="21" t="s">
        <v>996</v>
      </c>
    </row>
    <row r="15" spans="1:8" x14ac:dyDescent="0.25">
      <c r="A15" s="21">
        <v>14</v>
      </c>
      <c r="B15" s="32">
        <v>0.16</v>
      </c>
      <c r="C15" s="23">
        <v>46002</v>
      </c>
      <c r="D15" s="21" t="s">
        <v>988</v>
      </c>
      <c r="E15" s="21" t="s">
        <v>989</v>
      </c>
      <c r="F15" s="21" t="s">
        <v>1014</v>
      </c>
      <c r="G15" s="21" t="s">
        <v>1003</v>
      </c>
      <c r="H15" s="21" t="s">
        <v>999</v>
      </c>
    </row>
    <row r="16" spans="1:8" ht="75" x14ac:dyDescent="0.25">
      <c r="A16" s="21">
        <v>15</v>
      </c>
      <c r="B16" s="32">
        <v>0.16</v>
      </c>
      <c r="C16" s="23">
        <v>46002</v>
      </c>
      <c r="D16" s="21" t="s">
        <v>988</v>
      </c>
      <c r="E16" s="21" t="s">
        <v>989</v>
      </c>
      <c r="F16" s="21" t="s">
        <v>1015</v>
      </c>
      <c r="G16" s="21" t="s">
        <v>1016</v>
      </c>
      <c r="H16" s="21" t="s">
        <v>999</v>
      </c>
    </row>
    <row r="17" spans="1:8" ht="30" x14ac:dyDescent="0.25">
      <c r="A17" s="21">
        <v>16</v>
      </c>
      <c r="B17" s="32">
        <v>0.16</v>
      </c>
      <c r="C17" s="23">
        <v>46002</v>
      </c>
      <c r="D17" s="21" t="s">
        <v>988</v>
      </c>
      <c r="E17" s="21" t="s">
        <v>989</v>
      </c>
      <c r="F17" s="21" t="s">
        <v>1017</v>
      </c>
      <c r="G17" s="21" t="s">
        <v>991</v>
      </c>
      <c r="H17" s="21" t="s">
        <v>991</v>
      </c>
    </row>
    <row r="18" spans="1:8" x14ac:dyDescent="0.25">
      <c r="A18" s="21">
        <v>17</v>
      </c>
      <c r="B18" s="32">
        <v>0.16</v>
      </c>
      <c r="C18" s="23">
        <v>46002</v>
      </c>
      <c r="D18" s="21" t="s">
        <v>988</v>
      </c>
      <c r="E18" s="21" t="s">
        <v>989</v>
      </c>
      <c r="F18" s="21" t="s">
        <v>1018</v>
      </c>
    </row>
    <row r="19" spans="1:8" ht="45" x14ac:dyDescent="0.25">
      <c r="A19" s="21">
        <v>18</v>
      </c>
      <c r="B19" s="32">
        <v>0.16</v>
      </c>
      <c r="C19" s="23">
        <v>46002</v>
      </c>
      <c r="D19" s="21" t="s">
        <v>988</v>
      </c>
      <c r="E19" s="21" t="s">
        <v>994</v>
      </c>
      <c r="F19" s="21" t="s">
        <v>1019</v>
      </c>
      <c r="G19" s="21" t="s">
        <v>1020</v>
      </c>
      <c r="H19" s="21" t="s">
        <v>999</v>
      </c>
    </row>
    <row r="20" spans="1:8" ht="30" x14ac:dyDescent="0.25">
      <c r="A20" s="21">
        <v>19</v>
      </c>
      <c r="B20" s="32">
        <v>0.17</v>
      </c>
      <c r="C20" s="23">
        <v>46009</v>
      </c>
      <c r="D20" s="21" t="s">
        <v>988</v>
      </c>
      <c r="E20" s="21" t="s">
        <v>989</v>
      </c>
      <c r="F20" s="21" t="s">
        <v>4242</v>
      </c>
      <c r="G20" s="21" t="s">
        <v>991</v>
      </c>
      <c r="H20" s="21" t="s">
        <v>991</v>
      </c>
    </row>
    <row r="21" spans="1:8" ht="30" x14ac:dyDescent="0.25">
      <c r="A21" s="21">
        <v>20</v>
      </c>
      <c r="B21" s="32">
        <v>0.18</v>
      </c>
      <c r="C21" s="23">
        <v>46013</v>
      </c>
      <c r="D21" s="21" t="s">
        <v>988</v>
      </c>
      <c r="E21" s="21" t="s">
        <v>989</v>
      </c>
      <c r="F21" s="21" t="s">
        <v>1992</v>
      </c>
      <c r="G21" s="21" t="s">
        <v>991</v>
      </c>
      <c r="H21" s="21" t="s">
        <v>991</v>
      </c>
    </row>
    <row r="22" spans="1:8" x14ac:dyDescent="0.25">
      <c r="A22" s="21">
        <v>21</v>
      </c>
      <c r="B22" s="33">
        <v>0.2</v>
      </c>
      <c r="C22" s="23">
        <v>46037</v>
      </c>
      <c r="D22" s="21" t="s">
        <v>988</v>
      </c>
      <c r="E22" s="21" t="s">
        <v>989</v>
      </c>
      <c r="F22" s="21" t="s">
        <v>2919</v>
      </c>
      <c r="G22" s="21" t="s">
        <v>991</v>
      </c>
      <c r="H22" s="21" t="s">
        <v>991</v>
      </c>
    </row>
    <row r="23" spans="1:8" ht="45" x14ac:dyDescent="0.25">
      <c r="A23" s="21">
        <v>22</v>
      </c>
      <c r="B23" s="33">
        <v>0.2</v>
      </c>
      <c r="C23" s="23">
        <v>46037</v>
      </c>
      <c r="D23" s="21" t="s">
        <v>988</v>
      </c>
      <c r="E23" s="21" t="s">
        <v>989</v>
      </c>
      <c r="F23" s="21" t="s">
        <v>2920</v>
      </c>
      <c r="G23" s="21" t="s">
        <v>991</v>
      </c>
      <c r="H23" s="21" t="s">
        <v>991</v>
      </c>
    </row>
    <row r="24" spans="1:8" ht="135" x14ac:dyDescent="0.25">
      <c r="A24" s="21">
        <v>23</v>
      </c>
      <c r="B24" s="33">
        <v>0.2</v>
      </c>
      <c r="C24" s="23">
        <v>46037</v>
      </c>
      <c r="D24" s="21" t="s">
        <v>988</v>
      </c>
      <c r="E24" s="21" t="s">
        <v>994</v>
      </c>
      <c r="F24" s="21" t="s">
        <v>2923</v>
      </c>
      <c r="G24" s="21" t="s">
        <v>4241</v>
      </c>
      <c r="H24" s="21" t="s">
        <v>999</v>
      </c>
    </row>
    <row r="25" spans="1:8" x14ac:dyDescent="0.25">
      <c r="A25" s="21">
        <v>24</v>
      </c>
      <c r="B25" s="33">
        <v>0.2</v>
      </c>
      <c r="C25" s="23">
        <v>46037</v>
      </c>
      <c r="D25" s="21" t="s">
        <v>988</v>
      </c>
      <c r="E25" s="21" t="s">
        <v>989</v>
      </c>
      <c r="F25" s="21" t="s">
        <v>2921</v>
      </c>
      <c r="G25" s="21" t="s">
        <v>991</v>
      </c>
      <c r="H25" s="21" t="s">
        <v>991</v>
      </c>
    </row>
    <row r="26" spans="1:8" x14ac:dyDescent="0.25">
      <c r="A26" s="21">
        <v>25</v>
      </c>
      <c r="B26" s="33">
        <v>0.2</v>
      </c>
      <c r="C26" s="23">
        <v>46037</v>
      </c>
      <c r="D26" s="21" t="s">
        <v>988</v>
      </c>
      <c r="E26" s="21" t="s">
        <v>989</v>
      </c>
      <c r="F26" s="21" t="s">
        <v>2922</v>
      </c>
      <c r="G26" s="21" t="s">
        <v>991</v>
      </c>
      <c r="H26" s="21" t="s">
        <v>991</v>
      </c>
    </row>
    <row r="27" spans="1:8" ht="30" x14ac:dyDescent="0.25">
      <c r="A27" s="21">
        <v>26</v>
      </c>
      <c r="B27" s="33" t="s">
        <v>2954</v>
      </c>
      <c r="C27" s="23">
        <v>46044</v>
      </c>
      <c r="D27" s="21" t="s">
        <v>988</v>
      </c>
      <c r="E27" s="21" t="s">
        <v>989</v>
      </c>
      <c r="F27" s="21" t="s">
        <v>2955</v>
      </c>
      <c r="G27" s="21" t="s">
        <v>991</v>
      </c>
      <c r="H27" s="21" t="s">
        <v>991</v>
      </c>
    </row>
    <row r="28" spans="1:8" ht="45" x14ac:dyDescent="0.25">
      <c r="A28" s="21">
        <v>27</v>
      </c>
      <c r="B28" s="32" t="s">
        <v>2954</v>
      </c>
      <c r="C28" s="23">
        <v>46044</v>
      </c>
      <c r="D28" s="21" t="s">
        <v>988</v>
      </c>
      <c r="E28" s="21" t="s">
        <v>994</v>
      </c>
      <c r="F28" s="21" t="s">
        <v>2956</v>
      </c>
      <c r="G28" s="21" t="s">
        <v>3076</v>
      </c>
      <c r="H28" s="21" t="s">
        <v>999</v>
      </c>
    </row>
    <row r="29" spans="1:8" ht="105" x14ac:dyDescent="0.25">
      <c r="A29" s="21">
        <v>28</v>
      </c>
      <c r="B29" s="32" t="s">
        <v>3078</v>
      </c>
      <c r="C29" s="23">
        <v>46051</v>
      </c>
      <c r="D29" s="21" t="s">
        <v>988</v>
      </c>
      <c r="E29" s="21" t="s">
        <v>989</v>
      </c>
      <c r="F29" s="21" t="s">
        <v>3073</v>
      </c>
      <c r="G29" s="21" t="s">
        <v>991</v>
      </c>
      <c r="H29" s="21" t="s">
        <v>991</v>
      </c>
    </row>
    <row r="30" spans="1:8" ht="75" x14ac:dyDescent="0.25">
      <c r="A30" s="21">
        <v>29</v>
      </c>
      <c r="B30" s="32" t="s">
        <v>3078</v>
      </c>
      <c r="C30" s="23">
        <v>46051</v>
      </c>
      <c r="D30" s="21" t="s">
        <v>988</v>
      </c>
      <c r="E30" s="21" t="s">
        <v>989</v>
      </c>
      <c r="F30" s="21" t="s">
        <v>3074</v>
      </c>
      <c r="G30" s="21" t="s">
        <v>991</v>
      </c>
      <c r="H30" s="21" t="s">
        <v>991</v>
      </c>
    </row>
    <row r="31" spans="1:8" ht="45" x14ac:dyDescent="0.25">
      <c r="A31" s="21">
        <v>30</v>
      </c>
      <c r="B31" s="32" t="s">
        <v>3078</v>
      </c>
      <c r="C31" s="23">
        <v>46051</v>
      </c>
      <c r="D31" s="21" t="s">
        <v>988</v>
      </c>
      <c r="E31" s="21" t="s">
        <v>989</v>
      </c>
      <c r="F31" s="21" t="s">
        <v>3075</v>
      </c>
      <c r="G31" s="21" t="s">
        <v>991</v>
      </c>
      <c r="H31" s="21" t="s">
        <v>991</v>
      </c>
    </row>
    <row r="32" spans="1:8" ht="45" x14ac:dyDescent="0.25">
      <c r="A32" s="21">
        <v>31</v>
      </c>
      <c r="B32" s="32" t="s">
        <v>3078</v>
      </c>
      <c r="C32" s="23">
        <v>46051</v>
      </c>
      <c r="D32" s="21" t="s">
        <v>988</v>
      </c>
      <c r="E32" s="21" t="s">
        <v>989</v>
      </c>
      <c r="F32" s="21" t="s">
        <v>3077</v>
      </c>
      <c r="G32" s="21" t="s">
        <v>991</v>
      </c>
      <c r="H32" s="21" t="s">
        <v>991</v>
      </c>
    </row>
    <row r="33" spans="1:8" x14ac:dyDescent="0.25">
      <c r="A33" s="21">
        <v>32</v>
      </c>
      <c r="B33" s="32" t="s">
        <v>3078</v>
      </c>
      <c r="C33" s="23">
        <v>46051</v>
      </c>
      <c r="D33" s="21" t="s">
        <v>988</v>
      </c>
      <c r="E33" s="21" t="s">
        <v>989</v>
      </c>
      <c r="F33" s="21" t="s">
        <v>3081</v>
      </c>
      <c r="G33" s="21" t="s">
        <v>991</v>
      </c>
      <c r="H33" s="21" t="s">
        <v>991</v>
      </c>
    </row>
    <row r="34" spans="1:8" ht="255" x14ac:dyDescent="0.25">
      <c r="A34" s="21">
        <v>33</v>
      </c>
      <c r="B34" s="32" t="s">
        <v>3218</v>
      </c>
      <c r="C34" s="23">
        <v>46071</v>
      </c>
      <c r="D34" s="21" t="s">
        <v>988</v>
      </c>
      <c r="E34" s="21" t="s">
        <v>989</v>
      </c>
      <c r="F34" s="21" t="s">
        <v>3216</v>
      </c>
      <c r="G34" s="21" t="s">
        <v>991</v>
      </c>
      <c r="H34" s="21" t="s">
        <v>991</v>
      </c>
    </row>
    <row r="35" spans="1:8" ht="165" x14ac:dyDescent="0.25">
      <c r="A35" s="21">
        <v>34</v>
      </c>
      <c r="B35" s="32" t="s">
        <v>3218</v>
      </c>
      <c r="C35" s="23">
        <v>46071</v>
      </c>
      <c r="D35" s="21" t="s">
        <v>988</v>
      </c>
      <c r="E35" s="21" t="s">
        <v>989</v>
      </c>
      <c r="F35" s="21" t="s">
        <v>3217</v>
      </c>
      <c r="G35" s="21" t="s">
        <v>991</v>
      </c>
      <c r="H35" s="21" t="s">
        <v>991</v>
      </c>
    </row>
    <row r="36" spans="1:8" ht="75" x14ac:dyDescent="0.25">
      <c r="A36" s="21">
        <v>35</v>
      </c>
      <c r="B36" s="32" t="s">
        <v>3218</v>
      </c>
      <c r="C36" s="23">
        <v>46071</v>
      </c>
      <c r="D36" s="21" t="s">
        <v>988</v>
      </c>
      <c r="E36" s="21" t="s">
        <v>989</v>
      </c>
      <c r="F36" s="21" t="s">
        <v>3219</v>
      </c>
      <c r="G36" s="21" t="s">
        <v>991</v>
      </c>
      <c r="H36" s="21" t="s">
        <v>991</v>
      </c>
    </row>
    <row r="37" spans="1:8" ht="165" x14ac:dyDescent="0.25">
      <c r="A37" s="21">
        <v>36</v>
      </c>
      <c r="B37" s="32" t="s">
        <v>3218</v>
      </c>
      <c r="C37" s="23">
        <v>46073</v>
      </c>
      <c r="D37" s="21" t="s">
        <v>988</v>
      </c>
      <c r="E37" s="21" t="s">
        <v>989</v>
      </c>
      <c r="F37" s="21" t="s">
        <v>3404</v>
      </c>
      <c r="G37" s="21" t="s">
        <v>991</v>
      </c>
      <c r="H37" s="21" t="s">
        <v>991</v>
      </c>
    </row>
    <row r="38" spans="1:8" ht="75" x14ac:dyDescent="0.25">
      <c r="A38" s="21">
        <v>37</v>
      </c>
      <c r="B38" s="32" t="s">
        <v>3403</v>
      </c>
      <c r="C38" s="23">
        <v>46078</v>
      </c>
      <c r="D38" s="21" t="s">
        <v>988</v>
      </c>
      <c r="E38" s="21" t="s">
        <v>989</v>
      </c>
      <c r="F38" s="21" t="s">
        <v>3405</v>
      </c>
      <c r="G38" s="21" t="s">
        <v>991</v>
      </c>
      <c r="H38" s="21" t="s">
        <v>991</v>
      </c>
    </row>
    <row r="39" spans="1:8" ht="30" x14ac:dyDescent="0.25">
      <c r="A39" s="21">
        <v>38</v>
      </c>
      <c r="B39" s="32" t="s">
        <v>3403</v>
      </c>
      <c r="C39" s="23">
        <v>46078</v>
      </c>
      <c r="D39" s="21" t="s">
        <v>988</v>
      </c>
      <c r="E39" s="21" t="s">
        <v>989</v>
      </c>
      <c r="F39" s="21" t="s">
        <v>3410</v>
      </c>
      <c r="G39" s="21" t="s">
        <v>991</v>
      </c>
      <c r="H39" s="21" t="s">
        <v>991</v>
      </c>
    </row>
    <row r="40" spans="1:8" ht="75" x14ac:dyDescent="0.25">
      <c r="A40" s="21">
        <v>39</v>
      </c>
      <c r="B40" s="32" t="s">
        <v>3403</v>
      </c>
      <c r="C40" s="23">
        <v>46078</v>
      </c>
      <c r="D40" s="21" t="s">
        <v>988</v>
      </c>
      <c r="E40" s="21" t="s">
        <v>994</v>
      </c>
      <c r="F40" s="21" t="s">
        <v>4235</v>
      </c>
      <c r="H40" s="21" t="s">
        <v>996</v>
      </c>
    </row>
    <row r="41" spans="1:8" ht="30" x14ac:dyDescent="0.25">
      <c r="A41" s="21">
        <v>40</v>
      </c>
      <c r="B41" s="32" t="s">
        <v>3403</v>
      </c>
      <c r="C41" s="23">
        <v>46078</v>
      </c>
      <c r="D41" s="21" t="s">
        <v>988</v>
      </c>
      <c r="E41" s="21" t="s">
        <v>994</v>
      </c>
      <c r="F41" s="21" t="s">
        <v>4236</v>
      </c>
      <c r="H41" s="21" t="s">
        <v>996</v>
      </c>
    </row>
  </sheetData>
  <autoFilter ref="A1:H41" xr:uid="{B3DCFF2D-928A-4A27-8FFC-84E758F38001}"/>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F4B8E161-1840-41FA-B7EF-E80DEE99EE8D}">
          <x14:formula1>
            <xm:f>Lookups!$I$2:$I$4</xm:f>
          </x14:formula1>
          <xm:sqref>H40:H1048576 H24 H28 H2:H19</xm:sqref>
        </x14:dataValidation>
        <x14:dataValidation type="list" allowBlank="1" showInputMessage="1" showErrorMessage="1" xr:uid="{D514A857-6FD8-49B3-97C0-DC72497D2362}">
          <x14:formula1>
            <xm:f>Lookups!$H$2:$H$3</xm:f>
          </x14:formula1>
          <xm:sqref>E2:E1048576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2BEE8-F455-4357-9B38-79C3C9D6CB58}">
  <sheetPr codeName="Sheet3"/>
  <dimension ref="A1:AF360"/>
  <sheetViews>
    <sheetView workbookViewId="0">
      <pane xSplit="1" ySplit="1" topLeftCell="T359" activePane="bottomRight" state="frozen"/>
      <selection pane="topRight" activeCell="B1" sqref="B1"/>
      <selection pane="bottomLeft" activeCell="A2" sqref="A2"/>
      <selection pane="bottomRight" sqref="A1:AF360"/>
    </sheetView>
  </sheetViews>
  <sheetFormatPr defaultColWidth="9.140625" defaultRowHeight="15" x14ac:dyDescent="0.25"/>
  <cols>
    <col min="1" max="1" width="14.28515625" style="2" bestFit="1" customWidth="1"/>
    <col min="2" max="2" width="51.42578125" style="2" customWidth="1"/>
    <col min="3" max="3" width="21.7109375" style="2" customWidth="1"/>
    <col min="4" max="4" width="43.140625" style="2" customWidth="1"/>
    <col min="5" max="5" width="28.42578125" style="2" customWidth="1"/>
    <col min="6" max="7" width="20.85546875" style="2" customWidth="1"/>
    <col min="8" max="8" width="36.28515625" style="2" customWidth="1"/>
    <col min="9" max="10" width="42.42578125" style="2" customWidth="1"/>
    <col min="11" max="11" width="14.140625" style="2" customWidth="1"/>
    <col min="12" max="12" width="59.28515625" style="2" customWidth="1"/>
    <col min="13" max="13" width="21" style="2" bestFit="1" customWidth="1"/>
    <col min="14" max="15" width="21" style="2" customWidth="1"/>
    <col min="16" max="16" width="41.28515625" style="2" customWidth="1"/>
    <col min="17" max="32" width="18.42578125" style="2" customWidth="1"/>
    <col min="33" max="16384" width="9.140625" style="2"/>
  </cols>
  <sheetData>
    <row r="1" spans="1:32" ht="31.5" customHeight="1" x14ac:dyDescent="0.25">
      <c r="A1" s="1" t="s">
        <v>3</v>
      </c>
      <c r="B1" s="1" t="s">
        <v>4</v>
      </c>
      <c r="C1" s="1" t="s">
        <v>5</v>
      </c>
      <c r="D1" s="1" t="s">
        <v>6</v>
      </c>
      <c r="E1" s="1" t="s">
        <v>7</v>
      </c>
      <c r="F1" s="1" t="s">
        <v>8</v>
      </c>
      <c r="G1" s="1" t="s">
        <v>9</v>
      </c>
      <c r="H1" s="1" t="s">
        <v>10</v>
      </c>
      <c r="I1" s="1" t="s">
        <v>11</v>
      </c>
      <c r="J1" s="1" t="s">
        <v>12</v>
      </c>
      <c r="K1" s="1" t="s">
        <v>13</v>
      </c>
      <c r="L1" s="1" t="s">
        <v>14</v>
      </c>
      <c r="M1" s="1" t="s">
        <v>15</v>
      </c>
      <c r="N1" s="1" t="s">
        <v>16</v>
      </c>
      <c r="O1" s="1" t="s">
        <v>17</v>
      </c>
      <c r="P1" s="1" t="s">
        <v>18</v>
      </c>
      <c r="Q1" s="1" t="s">
        <v>19</v>
      </c>
      <c r="R1" s="1" t="s">
        <v>20</v>
      </c>
      <c r="S1" s="1" t="s">
        <v>21</v>
      </c>
      <c r="T1" s="1" t="s">
        <v>22</v>
      </c>
      <c r="U1" s="1" t="s">
        <v>23</v>
      </c>
      <c r="V1" s="1" t="s">
        <v>24</v>
      </c>
      <c r="W1" s="1" t="s">
        <v>25</v>
      </c>
      <c r="X1" s="1" t="s">
        <v>26</v>
      </c>
      <c r="Y1" s="1" t="s">
        <v>27</v>
      </c>
      <c r="Z1" s="1" t="s">
        <v>28</v>
      </c>
      <c r="AA1" s="1" t="s">
        <v>29</v>
      </c>
      <c r="AB1" s="1" t="s">
        <v>30</v>
      </c>
      <c r="AC1" s="1" t="s">
        <v>31</v>
      </c>
      <c r="AD1" s="1" t="s">
        <v>32</v>
      </c>
      <c r="AE1" s="1" t="s">
        <v>33</v>
      </c>
      <c r="AF1" s="1" t="s">
        <v>34</v>
      </c>
    </row>
    <row r="2" spans="1:32" ht="45" x14ac:dyDescent="0.25">
      <c r="A2" s="2" t="str" cm="1">
        <f t="array" ref="A2:A360">_xlfn._xlws.SORT(_xlfn._xlws.FILTER('EA-Fortescue_SDExport'!A:A, LEFT('EA-Fortescue_SDExport'!A:A,6)="DGS-I_"))</f>
        <v>DGS-I_0001</v>
      </c>
      <c r="B2" s="2" t="str">
        <f>Q2 &amp; "|" &amp; Y2</f>
        <v>Weather Forecasting (External)|855DC-1541-DEL Delphi</v>
      </c>
      <c r="C2" s="2" t="str">
        <f>_xlfn.LET(_xlpm.result, _xlfn.XLOOKUP(A2,'EA-Fortescue_SDExport'!A:A,'EA-Fortescue_SDExport'!AM:AM), IF(_xlpm.result=0,"",_xlpm.result))</f>
        <v>Abby Buters</v>
      </c>
      <c r="D2" s="2" t="str">
        <f>_xlfn.LET(_xlpm.result, _xlfn.XLOOKUP(A2,'EA-Fortescue_SDExport'!A:A,'EA-Fortescue_SDExport'!AN:AN), IF(_xlpm.result=0,"",_xlpm.result))</f>
        <v/>
      </c>
      <c r="E2" s="2" t="str">
        <f>_xlfn.XLOOKUP(R2&amp;Z2,Lookups!A:A,Lookups!B:B)</f>
        <v>External Software - Project Interface</v>
      </c>
      <c r="F2" s="2" t="str">
        <f>_xlfn.LET(_xlpm.result, _xlfn.XLOOKUP(A2,'EA-Fortescue_SDExport'!A:A,'EA-Fortescue_SDExport'!AP:AP), IF(_xlpm.result=0,"",_xlpm.result))</f>
        <v/>
      </c>
      <c r="G2" s="2" t="str">
        <f>IF(OR(AND(T2&lt;&gt;"", COUNTIF(Lookups!J:J, "*"&amp;T2&amp;"*")&gt;0), AND(AB2&lt;&gt;"", COUNTIF(Lookups!J:J, "*"&amp;AB2&amp;"*")&gt;0)), "Yes", "No")</f>
        <v>No</v>
      </c>
      <c r="H2" s="2" t="str">
        <f>IF(AND(U2="",AC2=""),"N/A",IF(U2="", "N/A|" &amp; AC2, IF(AC2="", U2 &amp; "|N/A", U2 &amp; "|" &amp; AC2)))</f>
        <v>External Software|855DC Decarb Green Systems</v>
      </c>
      <c r="I2" s="2" t="str">
        <f>IF(AND(V2="",AD2=""),"N/A",IF(V2="","N/A|" &amp; AD2,IF(AD2="",V2 &amp; "|N/A",V2 &amp; "|" &amp; AD2)))</f>
        <v>External Software|855DC-1541 Planning and Forecast Systems</v>
      </c>
      <c r="J2" s="2" t="str">
        <f>IF(AND(W2="",AE2=""),"N/A",IF(W2="","N/A|" &amp; AE2,IF(AE2="",W2 &amp; "|N/A",W2 &amp; "|" &amp; AE2)))</f>
        <v>External Software|855DC-1541-DEL Delphi</v>
      </c>
      <c r="K2" s="2" t="str">
        <f>_xlfn.XLOOKUP(A2,'EA-Fortescue_SDExport'!A:A,'EA-Fortescue_SDExport'!N:N)</f>
        <v>Deleted</v>
      </c>
      <c r="L2" s="2" t="str">
        <f>_xlfn.LET(_xlpm.result, _xlfn.XLOOKUP($A2,'EA-Fortescue_SDExport'!$A:$A,'EA-Fortescue_SDExport'!AQ:AQ), IF(_xlpm.result=0,"",_xlpm.result))</f>
        <v/>
      </c>
      <c r="M2" s="2" t="str">
        <f>_xlfn.LET(_xlpm.result, _xlfn.XLOOKUP($A2,'EA-Fortescue_SDExport'!$A:$A,'EA-Fortescue_SDExport'!AR:AR), IF(_xlpm.result=0,"",_xlpm.result))</f>
        <v/>
      </c>
      <c r="N2" s="2" t="str">
        <f>_xlfn.LET(_xlpm.result, _xlfn.XLOOKUP($A2,'EA-Fortescue_SDExport'!$A:$A,'EA-Fortescue_SDExport'!AW:AW), IF(_xlpm.result=0,"",_xlpm.result))</f>
        <v/>
      </c>
      <c r="O2" s="2" t="str">
        <f>_xlfn.LET(_xlpm.result, _xlfn.XLOOKUP($A2,'EA-Fortescue_SDExport'!$A:$A,'EA-Fortescue_SDExport'!AV:AV), IF(_xlpm.result=0,"",_xlpm.result))</f>
        <v/>
      </c>
      <c r="P2" s="2" t="str">
        <f>_xlfn.LET(_xlpm.result, _xlfn.XLOOKUP($A2,'EA-Fortescue_SDExport'!$A:$A,'EA-Fortescue_SDExport'!D:D), IF(_xlpm.result=0,"",_xlpm.result))</f>
        <v>Interface Review 25/11/2025: Delete - This interface has multiple sources; therefore, it has been split into separate interfaces.</v>
      </c>
      <c r="Q2" s="2" t="str">
        <f>_xlfn.LET(
    _xlpm.status, _xlfn.XLOOKUP($A2,'EA-ConnectorExport'!$A:$A,'EA-ConnectorExport'!G:G),
    _xlpm.result, _xlfn.XLOOKUP($A2,'EA-ConnectorExport'!$A:$A,'EA-ConnectorExport'!B:B),
    IF(_xlpm.status="allocate", _xlpm.result, "")
)</f>
        <v>Weather Forecasting (External)</v>
      </c>
      <c r="R2" s="2" t="str">
        <f>IF(
    _xlfn.XLOOKUP($Q2,'EA-Fortescue_SDExport'!A:A,'EA-Fortescue_SDExport'!B:B)="Object",
    _xlfn.XLOOKUP(
        _xlfn.XLOOKUP($A2,'EA-ConnectorExport'!A:A,'EA-ConnectorExport'!D:D),
        'EA-Fortescue_SDExport'!A:A,
        'EA-Fortescue_SDExport'!AA:AA
    ),
    _xlfn.XLOOKUP($Q2,'EA-Fortescue_SDExport'!A:A,'EA-Fortescue_SDExport'!AA:AA)
)</f>
        <v>External Software</v>
      </c>
      <c r="S2" s="2" t="str">
        <f>_xlfn.LET(_xlpm.result, _xlfn.XLOOKUP($Q2,'EA-Fortescue_SDExport'!$A:$A,'EA-Fortescue_SDExport'!AB:AB), IF(_xlpm.result=0,"",_xlpm.result))</f>
        <v/>
      </c>
      <c r="T2" s="2" t="str">
        <f>_xlfn.LET(_xlpm.result, _xlfn.XLOOKUP($Q2,'EA-Fortescue_SDExport'!$A:$A,'EA-Fortescue_SDExport'!AC:AC), IF(_xlpm.result=0,"",_xlpm.result))</f>
        <v/>
      </c>
      <c r="U2" s="2" t="str">
        <f>_xlfn.LET(
    _xlpm.isObject, _xlfn.XLOOKUP($Q2,'EA-Fortescue_SDExport'!A:A,'EA-Fortescue_SDExport'!B:B),
    _xlpm.lookupKey, IF(_xlpm.isObject="Object",
        _xlfn.XLOOKUP($A2,'EA-ConnectorExport'!A:A,'EA-ConnectorExport'!D:D),
        $Q2
    ),
    _xlpm.result, _xlfn.XLOOKUP(_xlpm.lookupKey,'EA-Fortescue_SDExport'!A:A,'EA-Fortescue_SDExport'!AD:AD),
    IF(_xlpm.result=0,"",_xlpm.result)
)</f>
        <v>External Software</v>
      </c>
      <c r="V2" s="2" t="str">
        <f>_xlfn.LET(
    _xlpm.isObject, _xlfn.XLOOKUP($Q2,'EA-Fortescue_SDExport'!A:A,'EA-Fortescue_SDExport'!B:B),
    _xlpm.lookupKey, IF(_xlpm.isObject="Object",
        _xlfn.XLOOKUP($A2,'EA-ConnectorExport'!A:A,'EA-ConnectorExport'!D:D),
        $Q2
    ),
    _xlpm.result, _xlfn.XLOOKUP(_xlpm.lookupKey,'EA-Fortescue_SDExport'!A:A,'EA-Fortescue_SDExport'!AE:AE),
    IF(_xlpm.result=0,"",_xlpm.result)
)</f>
        <v>External Software</v>
      </c>
      <c r="W2" s="2" t="str">
        <f>_xlfn.LET(
    _xlpm.isObject, _xlfn.XLOOKUP($Q2,'EA-Fortescue_SDExport'!A:A,'EA-Fortescue_SDExport'!B:B),
    _xlpm.lookupKey, IF(_xlpm.isObject="Object",
        _xlfn.XLOOKUP($A2,'EA-ConnectorExport'!A:A,'EA-ConnectorExport'!D:D),
        $Q2
    ),
    _xlpm.result, _xlfn.XLOOKUP(_xlpm.lookupKey,'EA-Fortescue_SDExport'!A:A,'EA-Fortescue_SDExport'!AF:AF),
    IF(_xlpm.result=0,"",_xlpm.result)
)</f>
        <v>External Software</v>
      </c>
      <c r="X2" s="2" t="str">
        <f>_xlfn.LET(
    _xlpm.isObject, _xlfn.XLOOKUP($Q2,'EA-Fortescue_SDExport'!A:A,'EA-Fortescue_SDExport'!B:B),
    _xlpm.lookupKey, IF(_xlpm.isObject="Object",
        _xlfn.XLOOKUP($A2,'EA-ConnectorExport'!A:A,'EA-ConnectorExport'!D:D),
        $Q2
    ),
    _xlpm.result, _xlfn.XLOOKUP(_xlpm.lookupKey,'EA-Fortescue_SDExport'!A:A,'EA-Fortescue_SDExport'!AG:AG),
    IF(_xlpm.result=0,"",_xlpm.result)
)</f>
        <v>External Software</v>
      </c>
      <c r="Y2" s="2" t="str">
        <f>_xlfn.LET(
    _xlpm.status, _xlfn.XLOOKUP($A2,'EA-ConnectorExport'!$A:$A,'EA-ConnectorExport'!G:G),
    _xlpm.result, _xlfn.XLOOKUP($A2,'EA-ConnectorExport'!$A:$A,'EA-ConnectorExport'!H:H),
    IF(_xlpm.status="allocate", _xlpm.result, "")
)</f>
        <v>855DC-1541-DEL Delphi</v>
      </c>
      <c r="Z2" s="2" t="str">
        <f>_xlfn.LET(
    _xlpm.isObject, _xlfn.XLOOKUP($Y2,'EA-Fortescue_SDExport'!A:A,'EA-Fortescue_SDExport'!B:B),
    _xlpm.lookupKey, IF(_xlpm.isObject="Object",
        _xlfn.XLOOKUP($A2,'EA-ConnectorExport'!A:A,'EA-ConnectorExport'!J:J),
        $Y2
    ),
    _xlpm.result, _xlfn.XLOOKUP(_xlpm.lookupKey,'EA-Fortescue_SDExport'!A:A,'EA-Fortescue_SDExport'!AA:AA),
    IF(_xlpm.result=0,"",_xlpm.result)
)</f>
        <v>Project</v>
      </c>
      <c r="AA2" s="2" t="str">
        <f>_xlfn.LET(_xlpm.result, _xlfn.XLOOKUP($Y2,'EA-Fortescue_SDExport'!$A:$A,'EA-Fortescue_SDExport'!AB:AB), IF(_xlpm.result=0,"",_xlpm.result))</f>
        <v>Energy Operations</v>
      </c>
      <c r="AB2" s="2" t="str">
        <f>_xlfn.LET(_xlpm.result, _xlfn.XLOOKUP($Y2,'EA-Fortescue_SDExport'!$A:$A,'EA-Fortescue_SDExport'!AC:AC), IF(_xlpm.result=0,"",_xlpm.result))</f>
        <v/>
      </c>
      <c r="AC2" s="2" t="str">
        <f>_xlfn.LET(
    _xlpm.isObject, _xlfn.XLOOKUP($Y2,'EA-Fortescue_SDExport'!A:A,'EA-Fortescue_SDExport'!B:B),
    _xlpm.lookupKey, IF(_xlpm.isObject="Object",
        _xlfn.XLOOKUP($A2,'EA-ConnectorExport'!A:A,'EA-ConnectorExport'!J:J),
        $Y2
    ),
    _xlpm.result, _xlfn.XLOOKUP(_xlpm.lookupKey,'EA-Fortescue_SDExport'!A:A,'EA-Fortescue_SDExport'!AD:AD),
    IF(_xlpm.result=0,"",_xlpm.result)
)</f>
        <v>855DC Decarb Green Systems</v>
      </c>
      <c r="AD2" s="2" t="str">
        <f>_xlfn.LET(
    _xlpm.isObject, _xlfn.XLOOKUP($Y2,'EA-Fortescue_SDExport'!A:A,'EA-Fortescue_SDExport'!B:B),
    _xlpm.lookupKey, IF(_xlpm.isObject="Object",
        _xlfn.XLOOKUP($A2,'EA-ConnectorExport'!A:A,'EA-ConnectorExport'!J:J),
        $Y2
    ),
    _xlpm.result, _xlfn.XLOOKUP(_xlpm.lookupKey,'EA-Fortescue_SDExport'!A:A,'EA-Fortescue_SDExport'!AE:AE),
    IF(_xlpm.result=0,"",_xlpm.result)
)</f>
        <v>855DC-1541 Planning and Forecast Systems</v>
      </c>
      <c r="AE2" s="2" t="str">
        <f>_xlfn.LET(
    _xlpm.isObject, _xlfn.XLOOKUP($Y2,'EA-Fortescue_SDExport'!A:A,'EA-Fortescue_SDExport'!B:B),
    _xlpm.lookupKey, IF(_xlpm.isObject="Object",
        _xlfn.XLOOKUP($A2,'EA-ConnectorExport'!A:A,'EA-ConnectorExport'!J:J),
        $Y2
    ),
    _xlpm.result, _xlfn.XLOOKUP(_xlpm.lookupKey,'EA-Fortescue_SDExport'!A:A,'EA-Fortescue_SDExport'!AF:AF),
    IF(_xlpm.result=0,"",_xlpm.result)
)</f>
        <v>855DC-1541-DEL Delphi</v>
      </c>
      <c r="AF2" s="2" t="str">
        <f>_xlfn.LET(
    _xlpm.isObject, _xlfn.XLOOKUP($Y2,'EA-Fortescue_SDExport'!A:A,'EA-Fortescue_SDExport'!B:B),
    _xlpm.lookupKey, IF(_xlpm.isObject="Object",
        _xlfn.XLOOKUP($A2,'EA-ConnectorExport'!A:A,'EA-ConnectorExport'!J:J),
        $Y2
    ),
    _xlpm.result, _xlfn.XLOOKUP(_xlpm.lookupKey,'EA-Fortescue_SDExport'!A:A,'EA-Fortescue_SDExport'!AG:AG),
    IF(_xlpm.result=0,"",_xlpm.result)
)</f>
        <v/>
      </c>
    </row>
    <row r="3" spans="1:32" ht="225" x14ac:dyDescent="0.25">
      <c r="A3" s="2" t="str">
        <v>DGS-I_0002</v>
      </c>
      <c r="B3" s="2" t="str">
        <f t="shared" ref="B3:B66" si="0">Q3 &amp; "|" &amp; Y3</f>
        <v>005OP-0000-011 Fortescue Maps (ArcGIS) Geographical Information System (GIS)|855DC-1541-005 HaulAI</v>
      </c>
      <c r="C3" s="2" t="str">
        <f>_xlfn.LET(_xlpm.result, _xlfn.XLOOKUP(A3,'EA-Fortescue_SDExport'!A:A,'EA-Fortescue_SDExport'!AM:AM), IF(_xlpm.result=0,"",_xlpm.result))</f>
        <v/>
      </c>
      <c r="D3" s="2" t="str">
        <f>_xlfn.LET(_xlpm.result, _xlfn.XLOOKUP(A3,'EA-Fortescue_SDExport'!A:A,'EA-Fortescue_SDExport'!AN:AN), IF(_xlpm.result=0,"",_xlpm.result))</f>
        <v/>
      </c>
      <c r="E3" s="2" t="str">
        <f>_xlfn.XLOOKUP(R3&amp;Z3,Lookups!A:A,Lookups!B:B)</f>
        <v>Project - Project Interface</v>
      </c>
      <c r="F3" s="2" t="str">
        <f>_xlfn.LET(_xlpm.result, _xlfn.XLOOKUP(A3,'EA-Fortescue_SDExport'!A:A,'EA-Fortescue_SDExport'!AP:AP), IF(_xlpm.result=0,"",_xlpm.result))</f>
        <v>Technical-Data/Software</v>
      </c>
      <c r="G3" s="2" t="str">
        <f>IF(OR(AND(T3&lt;&gt;"", COUNTIF(Lookups!J:J, "*"&amp;T3&amp;"*")&gt;0), AND(AB3&lt;&gt;"", COUNTIF(Lookups!J:J, "*"&amp;AB3&amp;"*")&gt;0)), "Yes", "No")</f>
        <v>No</v>
      </c>
      <c r="H3" s="2" t="str">
        <f t="shared" ref="H3:H66" si="1">IF(AND(U3="",AC3=""),"N/A",IF(U3="", "N/A|" &amp; AC3, IF(AC3="", U3 &amp; "|N/A", U3 &amp; "|" &amp; AC3)))</f>
        <v>005OP IT/OT Systems|855DC Decarb Green Systems</v>
      </c>
      <c r="I3" s="2" t="str">
        <f t="shared" ref="I3:I66" si="2">IF(AND(V3="",AD3=""),"N/A",IF(V3="","N/A|" &amp; AD3,IF(AD3="",V3 &amp; "|N/A",V3 &amp; "|" &amp; AD3)))</f>
        <v>N/A|855DC-1541 Planning and Forecast Systems</v>
      </c>
      <c r="J3" s="2" t="str">
        <f t="shared" ref="J3:J66" si="3">IF(AND(W3="",AE3=""),"N/A",IF(W3="","N/A|" &amp; AE3,IF(AE3="",W3 &amp; "|N/A",W3 &amp; "|" &amp; AE3)))</f>
        <v>005OP-0000-011 Fortescue Maps (ArcGIS) Geographical Information System (GIS)|855DC-1541-005 HaulAI</v>
      </c>
      <c r="K3" s="2" t="str">
        <f>_xlfn.XLOOKUP(A3,'EA-Fortescue_SDExport'!A:A,'EA-Fortescue_SDExport'!N:N)</f>
        <v>Proposed</v>
      </c>
      <c r="L3" s="2" t="str">
        <f>_xlfn.LET(_xlpm.result, _xlfn.XLOOKUP($A3,'EA-Fortescue_SDExport'!$A:$A,'EA-Fortescue_SDExport'!AQ:AQ), IF(_xlpm.result=0,"",_xlpm.result))</f>
        <v>This interface provides HaulAI with spatial data, site layouts, haul routes, and terrain information from Fortescue Maps. The interface type is Functional, as it supports planning and modelling rather than operational control.</v>
      </c>
      <c r="M3" s="2" t="str">
        <f>_xlfn.LET(_xlpm.result, _xlfn.XLOOKUP($A3,'EA-Fortescue_SDExport'!$A:$A,'EA-Fortescue_SDExport'!AR:AR), IF(_xlpm.result=0,"",_xlpm.result))</f>
        <v>LOW</v>
      </c>
      <c r="N3" s="2" t="str">
        <f>_xlfn.LET(_xlpm.result, _xlfn.XLOOKUP($A3,'EA-Fortescue_SDExport'!$A:$A,'EA-Fortescue_SDExport'!AW:AW), IF(_xlpm.result=0,"",_xlpm.result))</f>
        <v>The criticality level is LOW because failure at this interface does not impact real-time production, safety, or operational control. It only affects the precision of strategic planning simulations, leading to a minor degradation in planning accuracy that can be corrected in subsequent planning cycles.</v>
      </c>
      <c r="O3" s="2" t="str">
        <f>_xlfn.LET(_xlpm.result, _xlfn.XLOOKUP($A3,'EA-Fortescue_SDExport'!$A:$A,'EA-Fortescue_SDExport'!AV:AV), IF(_xlpm.result=0,"",_xlpm.result))</f>
        <v>Data Flow:_x000D_
Fortescue Maps (005OP-0000-011 ArcGIS GIS) -&gt; HaulAI (855DC-1541-005), transmitting spatial datasets including site layouts, haul road alignments, pit boundaries, dump locations, elevation models, terrain profiles, exclusion zones, and infrastructure constraints._x000D_
Data is used for route modelling, traffic simulation, terrain-aware optimisation, and long-term haulage planning scenarios._x000D_
Control / Query Flow:_x000D_
HaulAI -&gt; GIS (read/query only), retrieving spatial layers and updates for modelling runs. No operational control commands are issued to GIS through this interface.</v>
      </c>
      <c r="P3" s="2" t="str">
        <f>_xlfn.LET(_xlpm.result, _xlfn.XLOOKUP($A3,'EA-Fortescue_SDExport'!$A:$A,'EA-Fortescue_SDExport'!D:D), IF(_xlpm.result=0,"",_xlpm.result))</f>
        <v>NH 20/02/2026: Fields updated: Interface Type, Interface Flow.</v>
      </c>
      <c r="Q3" s="2" t="str">
        <f>_xlfn.LET(
    _xlpm.status, _xlfn.XLOOKUP($A3,'EA-ConnectorExport'!$A:$A,'EA-ConnectorExport'!G:G),
    _xlpm.result, _xlfn.XLOOKUP($A3,'EA-ConnectorExport'!$A:$A,'EA-ConnectorExport'!B:B),
    IF(_xlpm.status="allocate", _xlpm.result, "")
)</f>
        <v>005OP-0000-011 Fortescue Maps (ArcGIS) Geographical Information System (GIS)</v>
      </c>
      <c r="R3" s="2" t="str">
        <f>IF(
    _xlfn.XLOOKUP($Q3,'EA-Fortescue_SDExport'!A:A,'EA-Fortescue_SDExport'!B:B)="Object",
    _xlfn.XLOOKUP(
        _xlfn.XLOOKUP($A3,'EA-ConnectorExport'!A:A,'EA-ConnectorExport'!D:D),
        'EA-Fortescue_SDExport'!A:A,
        'EA-Fortescue_SDExport'!AA:AA
    ),
    _xlfn.XLOOKUP($Q3,'EA-Fortescue_SDExport'!A:A,'EA-Fortescue_SDExport'!AA:AA)
)</f>
        <v>Project</v>
      </c>
      <c r="S3" s="2" t="str">
        <f>_xlfn.LET(_xlpm.result, _xlfn.XLOOKUP($Q3,'EA-Fortescue_SDExport'!$A:$A,'EA-Fortescue_SDExport'!AB:AB), IF(_xlpm.result=0,"",_xlpm.result))</f>
        <v/>
      </c>
      <c r="T3" s="2" t="str">
        <f>_xlfn.LET(_xlpm.result, _xlfn.XLOOKUP($Q3,'EA-Fortescue_SDExport'!$A:$A,'EA-Fortescue_SDExport'!AC:AC), IF(_xlpm.result=0,"",_xlpm.result))</f>
        <v/>
      </c>
      <c r="U3" s="2" t="str">
        <f>_xlfn.LET(
    _xlpm.isObject, _xlfn.XLOOKUP($Q3,'EA-Fortescue_SDExport'!A:A,'EA-Fortescue_SDExport'!B:B),
    _xlpm.lookupKey, IF(_xlpm.isObject="Object",
        _xlfn.XLOOKUP($A3,'EA-ConnectorExport'!A:A,'EA-ConnectorExport'!D:D),
        $Q3
    ),
    _xlpm.result, _xlfn.XLOOKUP(_xlpm.lookupKey,'EA-Fortescue_SDExport'!A:A,'EA-Fortescue_SDExport'!AD:AD),
    IF(_xlpm.result=0,"",_xlpm.result)
)</f>
        <v>005OP IT/OT Systems</v>
      </c>
      <c r="V3" s="2" t="str">
        <f>_xlfn.LET(
    _xlpm.isObject, _xlfn.XLOOKUP($Q3,'EA-Fortescue_SDExport'!A:A,'EA-Fortescue_SDExport'!B:B),
    _xlpm.lookupKey, IF(_xlpm.isObject="Object",
        _xlfn.XLOOKUP($A3,'EA-ConnectorExport'!A:A,'EA-ConnectorExport'!D:D),
        $Q3
    ),
    _xlpm.result, _xlfn.XLOOKUP(_xlpm.lookupKey,'EA-Fortescue_SDExport'!A:A,'EA-Fortescue_SDExport'!AE:AE),
    IF(_xlpm.result=0,"",_xlpm.result)
)</f>
        <v/>
      </c>
      <c r="W3" s="2" t="str">
        <f>_xlfn.LET(
    _xlpm.isObject, _xlfn.XLOOKUP($Q3,'EA-Fortescue_SDExport'!A:A,'EA-Fortescue_SDExport'!B:B),
    _xlpm.lookupKey, IF(_xlpm.isObject="Object",
        _xlfn.XLOOKUP($A3,'EA-ConnectorExport'!A:A,'EA-ConnectorExport'!D:D),
        $Q3
    ),
    _xlpm.result, _xlfn.XLOOKUP(_xlpm.lookupKey,'EA-Fortescue_SDExport'!A:A,'EA-Fortescue_SDExport'!AF:AF),
    IF(_xlpm.result=0,"",_xlpm.result)
)</f>
        <v>005OP-0000-011 Fortescue Maps (ArcGIS) Geographical Information System (GIS)</v>
      </c>
      <c r="X3" s="2" t="str">
        <f>_xlfn.LET(
    _xlpm.isObject, _xlfn.XLOOKUP($Q3,'EA-Fortescue_SDExport'!A:A,'EA-Fortescue_SDExport'!B:B),
    _xlpm.lookupKey, IF(_xlpm.isObject="Object",
        _xlfn.XLOOKUP($A3,'EA-ConnectorExport'!A:A,'EA-ConnectorExport'!D:D),
        $Q3
    ),
    _xlpm.result, _xlfn.XLOOKUP(_xlpm.lookupKey,'EA-Fortescue_SDExport'!A:A,'EA-Fortescue_SDExport'!AG:AG),
    IF(_xlpm.result=0,"",_xlpm.result)
)</f>
        <v/>
      </c>
      <c r="Y3" s="2" t="str">
        <f>_xlfn.LET(
    _xlpm.status, _xlfn.XLOOKUP($A3,'EA-ConnectorExport'!$A:$A,'EA-ConnectorExport'!G:G),
    _xlpm.result, _xlfn.XLOOKUP($A3,'EA-ConnectorExport'!$A:$A,'EA-ConnectorExport'!H:H),
    IF(_xlpm.status="allocate", _xlpm.result, "")
)</f>
        <v>855DC-1541-005 HaulAI</v>
      </c>
      <c r="Z3" s="2" t="str">
        <f>_xlfn.LET(
    _xlpm.isObject, _xlfn.XLOOKUP($Y3,'EA-Fortescue_SDExport'!A:A,'EA-Fortescue_SDExport'!B:B),
    _xlpm.lookupKey, IF(_xlpm.isObject="Object",
        _xlfn.XLOOKUP($A3,'EA-ConnectorExport'!A:A,'EA-ConnectorExport'!J:J),
        $Y3
    ),
    _xlpm.result, _xlfn.XLOOKUP(_xlpm.lookupKey,'EA-Fortescue_SDExport'!A:A,'EA-Fortescue_SDExport'!AA:AA),
    IF(_xlpm.result=0,"",_xlpm.result)
)</f>
        <v>Project</v>
      </c>
      <c r="AA3" s="2" t="str">
        <f>_xlfn.LET(_xlpm.result, _xlfn.XLOOKUP($Y3,'EA-Fortescue_SDExport'!$A:$A,'EA-Fortescue_SDExport'!AB:AB), IF(_xlpm.result=0,"",_xlpm.result))</f>
        <v/>
      </c>
      <c r="AB3" s="2" t="str">
        <f>_xlfn.LET(_xlpm.result, _xlfn.XLOOKUP($Y3,'EA-Fortescue_SDExport'!$A:$A,'EA-Fortescue_SDExport'!AC:AC), IF(_xlpm.result=0,"",_xlpm.result))</f>
        <v>Vendor Cloud</v>
      </c>
      <c r="AC3" s="2" t="str">
        <f>_xlfn.LET(
    _xlpm.isObject, _xlfn.XLOOKUP($Y3,'EA-Fortescue_SDExport'!A:A,'EA-Fortescue_SDExport'!B:B),
    _xlpm.lookupKey, IF(_xlpm.isObject="Object",
        _xlfn.XLOOKUP($A3,'EA-ConnectorExport'!A:A,'EA-ConnectorExport'!J:J),
        $Y3
    ),
    _xlpm.result, _xlfn.XLOOKUP(_xlpm.lookupKey,'EA-Fortescue_SDExport'!A:A,'EA-Fortescue_SDExport'!AD:AD),
    IF(_xlpm.result=0,"",_xlpm.result)
)</f>
        <v>855DC Decarb Green Systems</v>
      </c>
      <c r="AD3" s="2" t="str">
        <f>_xlfn.LET(
    _xlpm.isObject, _xlfn.XLOOKUP($Y3,'EA-Fortescue_SDExport'!A:A,'EA-Fortescue_SDExport'!B:B),
    _xlpm.lookupKey, IF(_xlpm.isObject="Object",
        _xlfn.XLOOKUP($A3,'EA-ConnectorExport'!A:A,'EA-ConnectorExport'!J:J),
        $Y3
    ),
    _xlpm.result, _xlfn.XLOOKUP(_xlpm.lookupKey,'EA-Fortescue_SDExport'!A:A,'EA-Fortescue_SDExport'!AE:AE),
    IF(_xlpm.result=0,"",_xlpm.result)
)</f>
        <v>855DC-1541 Planning and Forecast Systems</v>
      </c>
      <c r="AE3" s="2" t="str">
        <f>_xlfn.LET(
    _xlpm.isObject, _xlfn.XLOOKUP($Y3,'EA-Fortescue_SDExport'!A:A,'EA-Fortescue_SDExport'!B:B),
    _xlpm.lookupKey, IF(_xlpm.isObject="Object",
        _xlfn.XLOOKUP($A3,'EA-ConnectorExport'!A:A,'EA-ConnectorExport'!J:J),
        $Y3
    ),
    _xlpm.result, _xlfn.XLOOKUP(_xlpm.lookupKey,'EA-Fortescue_SDExport'!A:A,'EA-Fortescue_SDExport'!AF:AF),
    IF(_xlpm.result=0,"",_xlpm.result)
)</f>
        <v>855DC-1541-005 HaulAI</v>
      </c>
      <c r="AF3" s="2" t="str">
        <f>_xlfn.LET(
    _xlpm.isObject, _xlfn.XLOOKUP($Y3,'EA-Fortescue_SDExport'!A:A,'EA-Fortescue_SDExport'!B:B),
    _xlpm.lookupKey, IF(_xlpm.isObject="Object",
        _xlfn.XLOOKUP($A3,'EA-ConnectorExport'!A:A,'EA-ConnectorExport'!J:J),
        $Y3
    ),
    _xlpm.result, _xlfn.XLOOKUP(_xlpm.lookupKey,'EA-Fortescue_SDExport'!A:A,'EA-Fortescue_SDExport'!AG:AG),
    IF(_xlpm.result=0,"",_xlpm.result)
)</f>
        <v/>
      </c>
    </row>
    <row r="4" spans="1:32" ht="30" x14ac:dyDescent="0.25">
      <c r="A4" s="2" t="str">
        <v>DGS-I_0003</v>
      </c>
      <c r="B4" s="2" t="str">
        <f t="shared" si="0"/>
        <v>Non FMG Power Assets|854DC-5660 HV Transmission lines</v>
      </c>
      <c r="C4" s="2" t="str">
        <f>_xlfn.LET(_xlpm.result, _xlfn.XLOOKUP(A4,'EA-Fortescue_SDExport'!A:A,'EA-Fortescue_SDExport'!AM:AM), IF(_xlpm.result=0,"",_xlpm.result))</f>
        <v/>
      </c>
      <c r="D4" s="2" t="str">
        <f>_xlfn.LET(_xlpm.result, _xlfn.XLOOKUP(A4,'EA-Fortescue_SDExport'!A:A,'EA-Fortescue_SDExport'!AN:AN), IF(_xlpm.result=0,"",_xlpm.result))</f>
        <v/>
      </c>
      <c r="E4" s="2" t="str">
        <f>_xlfn.XLOOKUP(R4&amp;Z4,Lookups!A:A,Lookups!B:B)</f>
        <v>External Physical Asset - System Interface</v>
      </c>
      <c r="F4" s="2" t="str">
        <f>_xlfn.LET(_xlpm.result, _xlfn.XLOOKUP(A4,'EA-Fortescue_SDExport'!A:A,'EA-Fortescue_SDExport'!AP:AP), IF(_xlpm.result=0,"",_xlpm.result))</f>
        <v/>
      </c>
      <c r="G4" s="2" t="str">
        <f>IF(OR(AND(T4&lt;&gt;"", COUNTIF(Lookups!J:J, "*"&amp;T4&amp;"*")&gt;0), AND(AB4&lt;&gt;"", COUNTIF(Lookups!J:J, "*"&amp;AB4&amp;"*")&gt;0)), "Yes", "No")</f>
        <v>No</v>
      </c>
      <c r="H4" s="2" t="str">
        <f t="shared" si="1"/>
        <v>External Physical Asset|854DC Green Power</v>
      </c>
      <c r="I4" s="2" t="str">
        <f t="shared" si="2"/>
        <v>External Physical Asset|854DC-5660 HV Transmission lines</v>
      </c>
      <c r="J4" s="2" t="str">
        <f t="shared" si="3"/>
        <v>External Physical Asset|N/A</v>
      </c>
      <c r="K4" s="2" t="str">
        <f>_xlfn.XLOOKUP(A4,'EA-Fortescue_SDExport'!A:A,'EA-Fortescue_SDExport'!N:N)</f>
        <v>Proposed</v>
      </c>
      <c r="L4" s="2" t="str">
        <f>_xlfn.LET(_xlpm.result, _xlfn.XLOOKUP($A4,'EA-Fortescue_SDExport'!$A:$A,'EA-Fortescue_SDExport'!AQ:AQ), IF(_xlpm.result=0,"",_xlpm.result))</f>
        <v/>
      </c>
      <c r="M4" s="2" t="str">
        <f>_xlfn.LET(_xlpm.result, _xlfn.XLOOKUP($A4,'EA-Fortescue_SDExport'!$A:$A,'EA-Fortescue_SDExport'!AR:AR), IF(_xlpm.result=0,"",_xlpm.result))</f>
        <v/>
      </c>
      <c r="N4" s="2" t="str">
        <f>_xlfn.LET(_xlpm.result, _xlfn.XLOOKUP($A4,'EA-Fortescue_SDExport'!$A:$A,'EA-Fortescue_SDExport'!AW:AW), IF(_xlpm.result=0,"",_xlpm.result))</f>
        <v/>
      </c>
      <c r="O4" s="2" t="str">
        <f>_xlfn.LET(_xlpm.result, _xlfn.XLOOKUP($A4,'EA-Fortescue_SDExport'!$A:$A,'EA-Fortescue_SDExport'!AV:AV), IF(_xlpm.result=0,"",_xlpm.result))</f>
        <v/>
      </c>
      <c r="P4" s="2" t="str">
        <f>_xlfn.LET(_xlpm.result, _xlfn.XLOOKUP($A4,'EA-Fortescue_SDExport'!$A:$A,'EA-Fortescue_SDExport'!D:D), IF(_xlpm.result=0,"",_xlpm.result))</f>
        <v/>
      </c>
      <c r="Q4" s="2" t="str">
        <f>_xlfn.LET(
    _xlpm.status, _xlfn.XLOOKUP($A4,'EA-ConnectorExport'!$A:$A,'EA-ConnectorExport'!G:G),
    _xlpm.result, _xlfn.XLOOKUP($A4,'EA-ConnectorExport'!$A:$A,'EA-ConnectorExport'!B:B),
    IF(_xlpm.status="allocate", _xlpm.result, "")
)</f>
        <v>Non FMG Power Assets</v>
      </c>
      <c r="R4" s="2" t="str">
        <f>IF(
    _xlfn.XLOOKUP($Q4,'EA-Fortescue_SDExport'!A:A,'EA-Fortescue_SDExport'!B:B)="Object",
    _xlfn.XLOOKUP(
        _xlfn.XLOOKUP($A4,'EA-ConnectorExport'!A:A,'EA-ConnectorExport'!D:D),
        'EA-Fortescue_SDExport'!A:A,
        'EA-Fortescue_SDExport'!AA:AA
    ),
    _xlfn.XLOOKUP($Q4,'EA-Fortescue_SDExport'!A:A,'EA-Fortescue_SDExport'!AA:AA)
)</f>
        <v>External Physical Asset</v>
      </c>
      <c r="S4" s="2" t="str">
        <f>_xlfn.LET(_xlpm.result, _xlfn.XLOOKUP($Q4,'EA-Fortescue_SDExport'!$A:$A,'EA-Fortescue_SDExport'!AB:AB), IF(_xlpm.result=0,"",_xlpm.result))</f>
        <v/>
      </c>
      <c r="T4" s="2" t="str">
        <f>_xlfn.LET(_xlpm.result, _xlfn.XLOOKUP($Q4,'EA-Fortescue_SDExport'!$A:$A,'EA-Fortescue_SDExport'!AC:AC), IF(_xlpm.result=0,"",_xlpm.result))</f>
        <v/>
      </c>
      <c r="U4" s="2" t="str">
        <f>_xlfn.LET(
    _xlpm.isObject, _xlfn.XLOOKUP($Q4,'EA-Fortescue_SDExport'!A:A,'EA-Fortescue_SDExport'!B:B),
    _xlpm.lookupKey, IF(_xlpm.isObject="Object",
        _xlfn.XLOOKUP($A4,'EA-ConnectorExport'!A:A,'EA-ConnectorExport'!D:D),
        $Q4
    ),
    _xlpm.result, _xlfn.XLOOKUP(_xlpm.lookupKey,'EA-Fortescue_SDExport'!A:A,'EA-Fortescue_SDExport'!AD:AD),
    IF(_xlpm.result=0,"",_xlpm.result)
)</f>
        <v>External Physical Asset</v>
      </c>
      <c r="V4" s="2" t="str">
        <f>_xlfn.LET(
    _xlpm.isObject, _xlfn.XLOOKUP($Q4,'EA-Fortescue_SDExport'!A:A,'EA-Fortescue_SDExport'!B:B),
    _xlpm.lookupKey, IF(_xlpm.isObject="Object",
        _xlfn.XLOOKUP($A4,'EA-ConnectorExport'!A:A,'EA-ConnectorExport'!D:D),
        $Q4
    ),
    _xlpm.result, _xlfn.XLOOKUP(_xlpm.lookupKey,'EA-Fortescue_SDExport'!A:A,'EA-Fortescue_SDExport'!AE:AE),
    IF(_xlpm.result=0,"",_xlpm.result)
)</f>
        <v>External Physical Asset</v>
      </c>
      <c r="W4" s="2" t="str">
        <f>_xlfn.LET(
    _xlpm.isObject, _xlfn.XLOOKUP($Q4,'EA-Fortescue_SDExport'!A:A,'EA-Fortescue_SDExport'!B:B),
    _xlpm.lookupKey, IF(_xlpm.isObject="Object",
        _xlfn.XLOOKUP($A4,'EA-ConnectorExport'!A:A,'EA-ConnectorExport'!D:D),
        $Q4
    ),
    _xlpm.result, _xlfn.XLOOKUP(_xlpm.lookupKey,'EA-Fortescue_SDExport'!A:A,'EA-Fortescue_SDExport'!AF:AF),
    IF(_xlpm.result=0,"",_xlpm.result)
)</f>
        <v>External Physical Asset</v>
      </c>
      <c r="X4" s="2" t="str">
        <f>_xlfn.LET(
    _xlpm.isObject, _xlfn.XLOOKUP($Q4,'EA-Fortescue_SDExport'!A:A,'EA-Fortescue_SDExport'!B:B),
    _xlpm.lookupKey, IF(_xlpm.isObject="Object",
        _xlfn.XLOOKUP($A4,'EA-ConnectorExport'!A:A,'EA-ConnectorExport'!D:D),
        $Q4
    ),
    _xlpm.result, _xlfn.XLOOKUP(_xlpm.lookupKey,'EA-Fortescue_SDExport'!A:A,'EA-Fortescue_SDExport'!AG:AG),
    IF(_xlpm.result=0,"",_xlpm.result)
)</f>
        <v>External Physical Asset</v>
      </c>
      <c r="Y4" s="2" t="str">
        <f>_xlfn.LET(
    _xlpm.status, _xlfn.XLOOKUP($A4,'EA-ConnectorExport'!$A:$A,'EA-ConnectorExport'!G:G),
    _xlpm.result, _xlfn.XLOOKUP($A4,'EA-ConnectorExport'!$A:$A,'EA-ConnectorExport'!H:H),
    IF(_xlpm.status="allocate", _xlpm.result, "")
)</f>
        <v>854DC-5660 HV Transmission lines</v>
      </c>
      <c r="Z4" s="2" t="str">
        <f>_xlfn.LET(
    _xlpm.isObject, _xlfn.XLOOKUP($Y4,'EA-Fortescue_SDExport'!A:A,'EA-Fortescue_SDExport'!B:B),
    _xlpm.lookupKey, IF(_xlpm.isObject="Object",
        _xlfn.XLOOKUP($A4,'EA-ConnectorExport'!A:A,'EA-ConnectorExport'!J:J),
        $Y4
    ),
    _xlpm.result, _xlfn.XLOOKUP(_xlpm.lookupKey,'EA-Fortescue_SDExport'!A:A,'EA-Fortescue_SDExport'!AA:AA),
    IF(_xlpm.result=0,"",_xlpm.result)
)</f>
        <v>System</v>
      </c>
      <c r="AA4" s="2" t="str">
        <f>_xlfn.LET(_xlpm.result, _xlfn.XLOOKUP($Y4,'EA-Fortescue_SDExport'!$A:$A,'EA-Fortescue_SDExport'!AB:AB), IF(_xlpm.result=0,"",_xlpm.result))</f>
        <v/>
      </c>
      <c r="AB4" s="2" t="str">
        <f>_xlfn.LET(_xlpm.result, _xlfn.XLOOKUP($Y4,'EA-Fortescue_SDExport'!$A:$A,'EA-Fortescue_SDExport'!AC:AC), IF(_xlpm.result=0,"",_xlpm.result))</f>
        <v>Generic Physical Asset</v>
      </c>
      <c r="AC4" s="2" t="str">
        <f>_xlfn.LET(
    _xlpm.isObject, _xlfn.XLOOKUP($Y4,'EA-Fortescue_SDExport'!A:A,'EA-Fortescue_SDExport'!B:B),
    _xlpm.lookupKey, IF(_xlpm.isObject="Object",
        _xlfn.XLOOKUP($A4,'EA-ConnectorExport'!A:A,'EA-ConnectorExport'!J:J),
        $Y4
    ),
    _xlpm.result, _xlfn.XLOOKUP(_xlpm.lookupKey,'EA-Fortescue_SDExport'!A:A,'EA-Fortescue_SDExport'!AD:AD),
    IF(_xlpm.result=0,"",_xlpm.result)
)</f>
        <v>854DC Green Power</v>
      </c>
      <c r="AD4" s="2" t="str">
        <f>_xlfn.LET(
    _xlpm.isObject, _xlfn.XLOOKUP($Y4,'EA-Fortescue_SDExport'!A:A,'EA-Fortescue_SDExport'!B:B),
    _xlpm.lookupKey, IF(_xlpm.isObject="Object",
        _xlfn.XLOOKUP($A4,'EA-ConnectorExport'!A:A,'EA-ConnectorExport'!J:J),
        $Y4
    ),
    _xlpm.result, _xlfn.XLOOKUP(_xlpm.lookupKey,'EA-Fortescue_SDExport'!A:A,'EA-Fortescue_SDExport'!AE:AE),
    IF(_xlpm.result=0,"",_xlpm.result)
)</f>
        <v>854DC-5660 HV Transmission lines</v>
      </c>
      <c r="AE4" s="2" t="str">
        <f>_xlfn.LET(
    _xlpm.isObject, _xlfn.XLOOKUP($Y4,'EA-Fortescue_SDExport'!A:A,'EA-Fortescue_SDExport'!B:B),
    _xlpm.lookupKey, IF(_xlpm.isObject="Object",
        _xlfn.XLOOKUP($A4,'EA-ConnectorExport'!A:A,'EA-ConnectorExport'!J:J),
        $Y4
    ),
    _xlpm.result, _xlfn.XLOOKUP(_xlpm.lookupKey,'EA-Fortescue_SDExport'!A:A,'EA-Fortescue_SDExport'!AF:AF),
    IF(_xlpm.result=0,"",_xlpm.result)
)</f>
        <v/>
      </c>
      <c r="AF4" s="2" t="str">
        <f>_xlfn.LET(
    _xlpm.isObject, _xlfn.XLOOKUP($Y4,'EA-Fortescue_SDExport'!A:A,'EA-Fortescue_SDExport'!B:B),
    _xlpm.lookupKey, IF(_xlpm.isObject="Object",
        _xlfn.XLOOKUP($A4,'EA-ConnectorExport'!A:A,'EA-ConnectorExport'!J:J),
        $Y4
    ),
    _xlpm.result, _xlfn.XLOOKUP(_xlpm.lookupKey,'EA-Fortescue_SDExport'!A:A,'EA-Fortescue_SDExport'!AG:AG),
    IF(_xlpm.result=0,"",_xlpm.result)
)</f>
        <v/>
      </c>
    </row>
    <row r="5" spans="1:32" ht="210" x14ac:dyDescent="0.25">
      <c r="A5" s="2" t="str">
        <v>DGS-I_0004</v>
      </c>
      <c r="B5" s="2" t="str">
        <f t="shared" si="0"/>
        <v>005OP-0000-012 SAP|855DC-1541-DEL Delphi</v>
      </c>
      <c r="C5" s="2" t="str">
        <f>_xlfn.LET(_xlpm.result, _xlfn.XLOOKUP(A5,'EA-Fortescue_SDExport'!A:A,'EA-Fortescue_SDExport'!AM:AM), IF(_xlpm.result=0,"",_xlpm.result))</f>
        <v>Abby Buters</v>
      </c>
      <c r="D5" s="2" t="str">
        <f>_xlfn.LET(_xlpm.result, _xlfn.XLOOKUP(A5,'EA-Fortescue_SDExport'!A:A,'EA-Fortescue_SDExport'!AN:AN), IF(_xlpm.result=0,"",_xlpm.result))</f>
        <v>Energy Operations</v>
      </c>
      <c r="E5" s="2" t="str">
        <f>_xlfn.XLOOKUP(R5&amp;Z5,Lookups!A:A,Lookups!B:B)</f>
        <v>Project - Project Interface</v>
      </c>
      <c r="F5" s="2" t="str">
        <f>_xlfn.LET(_xlpm.result, _xlfn.XLOOKUP(A5,'EA-Fortescue_SDExport'!A:A,'EA-Fortescue_SDExport'!AP:AP), IF(_xlpm.result=0,"",_xlpm.result))</f>
        <v>Technical-Data/Software</v>
      </c>
      <c r="G5" s="2" t="str">
        <f>IF(OR(AND(T5&lt;&gt;"", COUNTIF(Lookups!J:J, "*"&amp;T5&amp;"*")&gt;0), AND(AB5&lt;&gt;"", COUNTIF(Lookups!J:J, "*"&amp;AB5&amp;"*")&gt;0)), "Yes", "No")</f>
        <v>No</v>
      </c>
      <c r="H5" s="2" t="str">
        <f t="shared" si="1"/>
        <v>005OP IT/OT Systems|855DC Decarb Green Systems</v>
      </c>
      <c r="I5" s="2" t="str">
        <f t="shared" si="2"/>
        <v>N/A|855DC-1541 Planning and Forecast Systems</v>
      </c>
      <c r="J5" s="2" t="str">
        <f t="shared" si="3"/>
        <v>005OP-0000-012 SAP|855DC-1541-DEL Delphi</v>
      </c>
      <c r="K5" s="2" t="str">
        <f>_xlfn.XLOOKUP(A5,'EA-Fortescue_SDExport'!A:A,'EA-Fortescue_SDExport'!N:N)</f>
        <v>Proposed</v>
      </c>
      <c r="L5" s="2" t="str">
        <f>_xlfn.LET(_xlpm.result, _xlfn.XLOOKUP($A5,'EA-Fortescue_SDExport'!$A:$A,'EA-Fortescue_SDExport'!AQ:AQ), IF(_xlpm.result=0,"",_xlpm.result))</f>
        <v>SAP Work Orders - Equipment Downtime &amp; Maintenance (Snowflake Integration)_x000D_
The purpose of this interface is to surface work order data from SAP in Snowflake so Eclipse can query and understand when in-field equipment (e.g., solar arrays, sensors) is down due to planned or unplanned events. This enables better correlation between asset performance, weather conditions, and operational constraints, including generation outages, planned maintenance, and sensor cleaning._x000D_
Intermediate Elements: Snowflake (storage and query layer for SAP work order and downtime history).</v>
      </c>
      <c r="M5" s="2" t="str">
        <f>_xlfn.LET(_xlpm.result, _xlfn.XLOOKUP($A5,'EA-Fortescue_SDExport'!$A:$A,'EA-Fortescue_SDExport'!AR:AR), IF(_xlpm.result=0,"",_xlpm.result))</f>
        <v>HIGH</v>
      </c>
      <c r="N5" s="2" t="str">
        <f>_xlfn.LET(_xlpm.result, _xlfn.XLOOKUP($A5,'EA-Fortescue_SDExport'!$A:$A,'EA-Fortescue_SDExport'!AW:AW), IF(_xlpm.result=0,"",_xlpm.result))</f>
        <v>The criticality level is HIGH because accurate visibility of equipment downtime is essential for interpreting production impacts and improving forecast accuracy. Failure risks inaccurate energy balance predictions, leading to inefficient generation control.</v>
      </c>
      <c r="O5" s="2" t="str">
        <f>_xlfn.LET(_xlpm.result, _xlfn.XLOOKUP($A5,'EA-Fortescue_SDExport'!$A:$A,'EA-Fortescue_SDExport'!AV:AV), IF(_xlpm.result=0,"",_xlpm.result))</f>
        <v>SAP work orders / notifications -&gt; SAP database (TBC) -&gt; Delphi Snowflake (uni-directional).</v>
      </c>
      <c r="P5" s="2" t="str">
        <f>_xlfn.LET(_xlpm.result, _xlfn.XLOOKUP($A5,'EA-Fortescue_SDExport'!$A:$A,'EA-Fortescue_SDExport'!D:D), IF(_xlpm.result=0,"",_xlpm.result))</f>
        <v>NH 26/11/2025: Interface Criticality LOW, but Interface Criticality Justification suggests HIGH._x000D_
NH 20/02/2026: Fields updated: Interface Criticality.</v>
      </c>
      <c r="Q5" s="2" t="str">
        <f>_xlfn.LET(
    _xlpm.status, _xlfn.XLOOKUP($A5,'EA-ConnectorExport'!$A:$A,'EA-ConnectorExport'!G:G),
    _xlpm.result, _xlfn.XLOOKUP($A5,'EA-ConnectorExport'!$A:$A,'EA-ConnectorExport'!B:B),
    IF(_xlpm.status="allocate", _xlpm.result, "")
)</f>
        <v>005OP-0000-012 SAP</v>
      </c>
      <c r="R5" s="2" t="str">
        <f>IF(
    _xlfn.XLOOKUP($Q5,'EA-Fortescue_SDExport'!A:A,'EA-Fortescue_SDExport'!B:B)="Object",
    _xlfn.XLOOKUP(
        _xlfn.XLOOKUP($A5,'EA-ConnectorExport'!A:A,'EA-ConnectorExport'!D:D),
        'EA-Fortescue_SDExport'!A:A,
        'EA-Fortescue_SDExport'!AA:AA
    ),
    _xlfn.XLOOKUP($Q5,'EA-Fortescue_SDExport'!A:A,'EA-Fortescue_SDExport'!AA:AA)
)</f>
        <v>Project</v>
      </c>
      <c r="S5" s="2" t="str">
        <f>_xlfn.LET(_xlpm.result, _xlfn.XLOOKUP($Q5,'EA-Fortescue_SDExport'!$A:$A,'EA-Fortescue_SDExport'!AB:AB), IF(_xlpm.result=0,"",_xlpm.result))</f>
        <v/>
      </c>
      <c r="T5" s="2" t="str">
        <f>_xlfn.LET(_xlpm.result, _xlfn.XLOOKUP($Q5,'EA-Fortescue_SDExport'!$A:$A,'EA-Fortescue_SDExport'!AC:AC), IF(_xlpm.result=0,"",_xlpm.result))</f>
        <v/>
      </c>
      <c r="U5" s="2" t="str">
        <f>_xlfn.LET(
    _xlpm.isObject, _xlfn.XLOOKUP($Q5,'EA-Fortescue_SDExport'!A:A,'EA-Fortescue_SDExport'!B:B),
    _xlpm.lookupKey, IF(_xlpm.isObject="Object",
        _xlfn.XLOOKUP($A5,'EA-ConnectorExport'!A:A,'EA-ConnectorExport'!D:D),
        $Q5
    ),
    _xlpm.result, _xlfn.XLOOKUP(_xlpm.lookupKey,'EA-Fortescue_SDExport'!A:A,'EA-Fortescue_SDExport'!AD:AD),
    IF(_xlpm.result=0,"",_xlpm.result)
)</f>
        <v>005OP IT/OT Systems</v>
      </c>
      <c r="V5" s="2" t="str">
        <f>_xlfn.LET(
    _xlpm.isObject, _xlfn.XLOOKUP($Q5,'EA-Fortescue_SDExport'!A:A,'EA-Fortescue_SDExport'!B:B),
    _xlpm.lookupKey, IF(_xlpm.isObject="Object",
        _xlfn.XLOOKUP($A5,'EA-ConnectorExport'!A:A,'EA-ConnectorExport'!D:D),
        $Q5
    ),
    _xlpm.result, _xlfn.XLOOKUP(_xlpm.lookupKey,'EA-Fortescue_SDExport'!A:A,'EA-Fortescue_SDExport'!AE:AE),
    IF(_xlpm.result=0,"",_xlpm.result)
)</f>
        <v/>
      </c>
      <c r="W5" s="2" t="str">
        <f>_xlfn.LET(
    _xlpm.isObject, _xlfn.XLOOKUP($Q5,'EA-Fortescue_SDExport'!A:A,'EA-Fortescue_SDExport'!B:B),
    _xlpm.lookupKey, IF(_xlpm.isObject="Object",
        _xlfn.XLOOKUP($A5,'EA-ConnectorExport'!A:A,'EA-ConnectorExport'!D:D),
        $Q5
    ),
    _xlpm.result, _xlfn.XLOOKUP(_xlpm.lookupKey,'EA-Fortescue_SDExport'!A:A,'EA-Fortescue_SDExport'!AF:AF),
    IF(_xlpm.result=0,"",_xlpm.result)
)</f>
        <v>005OP-0000-012 SAP</v>
      </c>
      <c r="X5" s="2" t="str">
        <f>_xlfn.LET(
    _xlpm.isObject, _xlfn.XLOOKUP($Q5,'EA-Fortescue_SDExport'!A:A,'EA-Fortescue_SDExport'!B:B),
    _xlpm.lookupKey, IF(_xlpm.isObject="Object",
        _xlfn.XLOOKUP($A5,'EA-ConnectorExport'!A:A,'EA-ConnectorExport'!D:D),
        $Q5
    ),
    _xlpm.result, _xlfn.XLOOKUP(_xlpm.lookupKey,'EA-Fortescue_SDExport'!A:A,'EA-Fortescue_SDExport'!AG:AG),
    IF(_xlpm.result=0,"",_xlpm.result)
)</f>
        <v/>
      </c>
      <c r="Y5" s="2" t="str">
        <f>_xlfn.LET(
    _xlpm.status, _xlfn.XLOOKUP($A5,'EA-ConnectorExport'!$A:$A,'EA-ConnectorExport'!G:G),
    _xlpm.result, _xlfn.XLOOKUP($A5,'EA-ConnectorExport'!$A:$A,'EA-ConnectorExport'!H:H),
    IF(_xlpm.status="allocate", _xlpm.result, "")
)</f>
        <v>855DC-1541-DEL Delphi</v>
      </c>
      <c r="Z5" s="2" t="str">
        <f>_xlfn.LET(
    _xlpm.isObject, _xlfn.XLOOKUP($Y5,'EA-Fortescue_SDExport'!A:A,'EA-Fortescue_SDExport'!B:B),
    _xlpm.lookupKey, IF(_xlpm.isObject="Object",
        _xlfn.XLOOKUP($A5,'EA-ConnectorExport'!A:A,'EA-ConnectorExport'!J:J),
        $Y5
    ),
    _xlpm.result, _xlfn.XLOOKUP(_xlpm.lookupKey,'EA-Fortescue_SDExport'!A:A,'EA-Fortescue_SDExport'!AA:AA),
    IF(_xlpm.result=0,"",_xlpm.result)
)</f>
        <v>Project</v>
      </c>
      <c r="AA5" s="2" t="str">
        <f>_xlfn.LET(_xlpm.result, _xlfn.XLOOKUP($Y5,'EA-Fortescue_SDExport'!$A:$A,'EA-Fortescue_SDExport'!AB:AB), IF(_xlpm.result=0,"",_xlpm.result))</f>
        <v>Energy Operations</v>
      </c>
      <c r="AB5" s="2" t="str">
        <f>_xlfn.LET(_xlpm.result, _xlfn.XLOOKUP($Y5,'EA-Fortescue_SDExport'!$A:$A,'EA-Fortescue_SDExport'!AC:AC), IF(_xlpm.result=0,"",_xlpm.result))</f>
        <v/>
      </c>
      <c r="AC5" s="2" t="str">
        <f>_xlfn.LET(
    _xlpm.isObject, _xlfn.XLOOKUP($Y5,'EA-Fortescue_SDExport'!A:A,'EA-Fortescue_SDExport'!B:B),
    _xlpm.lookupKey, IF(_xlpm.isObject="Object",
        _xlfn.XLOOKUP($A5,'EA-ConnectorExport'!A:A,'EA-ConnectorExport'!J:J),
        $Y5
    ),
    _xlpm.result, _xlfn.XLOOKUP(_xlpm.lookupKey,'EA-Fortescue_SDExport'!A:A,'EA-Fortescue_SDExport'!AD:AD),
    IF(_xlpm.result=0,"",_xlpm.result)
)</f>
        <v>855DC Decarb Green Systems</v>
      </c>
      <c r="AD5" s="2" t="str">
        <f>_xlfn.LET(
    _xlpm.isObject, _xlfn.XLOOKUP($Y5,'EA-Fortescue_SDExport'!A:A,'EA-Fortescue_SDExport'!B:B),
    _xlpm.lookupKey, IF(_xlpm.isObject="Object",
        _xlfn.XLOOKUP($A5,'EA-ConnectorExport'!A:A,'EA-ConnectorExport'!J:J),
        $Y5
    ),
    _xlpm.result, _xlfn.XLOOKUP(_xlpm.lookupKey,'EA-Fortescue_SDExport'!A:A,'EA-Fortescue_SDExport'!AE:AE),
    IF(_xlpm.result=0,"",_xlpm.result)
)</f>
        <v>855DC-1541 Planning and Forecast Systems</v>
      </c>
      <c r="AE5" s="2" t="str">
        <f>_xlfn.LET(
    _xlpm.isObject, _xlfn.XLOOKUP($Y5,'EA-Fortescue_SDExport'!A:A,'EA-Fortescue_SDExport'!B:B),
    _xlpm.lookupKey, IF(_xlpm.isObject="Object",
        _xlfn.XLOOKUP($A5,'EA-ConnectorExport'!A:A,'EA-ConnectorExport'!J:J),
        $Y5
    ),
    _xlpm.result, _xlfn.XLOOKUP(_xlpm.lookupKey,'EA-Fortescue_SDExport'!A:A,'EA-Fortescue_SDExport'!AF:AF),
    IF(_xlpm.result=0,"",_xlpm.result)
)</f>
        <v>855DC-1541-DEL Delphi</v>
      </c>
      <c r="AF5" s="2" t="str">
        <f>_xlfn.LET(
    _xlpm.isObject, _xlfn.XLOOKUP($Y5,'EA-Fortescue_SDExport'!A:A,'EA-Fortescue_SDExport'!B:B),
    _xlpm.lookupKey, IF(_xlpm.isObject="Object",
        _xlfn.XLOOKUP($A5,'EA-ConnectorExport'!A:A,'EA-ConnectorExport'!J:J),
        $Y5
    ),
    _xlpm.result, _xlfn.XLOOKUP(_xlpm.lookupKey,'EA-Fortescue_SDExport'!A:A,'EA-Fortescue_SDExport'!AG:AG),
    IF(_xlpm.result=0,"",_xlpm.result)
)</f>
        <v/>
      </c>
    </row>
    <row r="6" spans="1:32" ht="105" x14ac:dyDescent="0.25">
      <c r="A6" s="2" t="str">
        <v>DGS-I_0005</v>
      </c>
      <c r="B6" s="2" t="str">
        <f t="shared" si="0"/>
        <v>855DC-1541-DEL Delphi|855DC-1543-007 MECO</v>
      </c>
      <c r="C6" s="2" t="str">
        <f>_xlfn.LET(_xlpm.result, _xlfn.XLOOKUP(A6,'EA-Fortescue_SDExport'!A:A,'EA-Fortescue_SDExport'!AM:AM), IF(_xlpm.result=0,"",_xlpm.result))</f>
        <v>N/A</v>
      </c>
      <c r="D6" s="2" t="str">
        <f>_xlfn.LET(_xlpm.result, _xlfn.XLOOKUP(A6,'EA-Fortescue_SDExport'!A:A,'EA-Fortescue_SDExport'!AN:AN), IF(_xlpm.result=0,"",_xlpm.result))</f>
        <v>N/A</v>
      </c>
      <c r="E6" s="2" t="str">
        <f>_xlfn.XLOOKUP(R6&amp;Z6,Lookups!A:A,Lookups!B:B)</f>
        <v>Project - Subsystem Interface</v>
      </c>
      <c r="F6" s="2" t="str">
        <f>_xlfn.LET(_xlpm.result, _xlfn.XLOOKUP(A6,'EA-Fortescue_SDExport'!A:A,'EA-Fortescue_SDExport'!AP:AP), IF(_xlpm.result=0,"",_xlpm.result))</f>
        <v/>
      </c>
      <c r="G6" s="2" t="str">
        <f>IF(OR(AND(T6&lt;&gt;"", COUNTIF(Lookups!J:J, "*"&amp;T6&amp;"*")&gt;0), AND(AB6&lt;&gt;"", COUNTIF(Lookups!J:J, "*"&amp;AB6&amp;"*")&gt;0)), "Yes", "No")</f>
        <v>No</v>
      </c>
      <c r="H6" s="2" t="str">
        <f t="shared" si="1"/>
        <v>855DC Decarb Green Systems|855DC Decarb Green Systems</v>
      </c>
      <c r="I6" s="2" t="str">
        <f t="shared" si="2"/>
        <v>855DC-1541 Planning and Forecast Systems|855DC-1541 Planning and Forecast Systems</v>
      </c>
      <c r="J6" s="2" t="str">
        <f t="shared" si="3"/>
        <v>855DC-1541-DEL Delphi|855DC-1541-DEL Delphi</v>
      </c>
      <c r="K6" s="2" t="str">
        <f>_xlfn.XLOOKUP(A6,'EA-Fortescue_SDExport'!A:A,'EA-Fortescue_SDExport'!N:N)</f>
        <v>Deleted</v>
      </c>
      <c r="L6" s="2" t="str">
        <f>_xlfn.LET(_xlpm.result, _xlfn.XLOOKUP($A6,'EA-Fortescue_SDExport'!$A:$A,'EA-Fortescue_SDExport'!AQ:AQ), IF(_xlpm.result=0,"",_xlpm.result))</f>
        <v>Interface Review 25/11/2025: Meco functionality of load forecasting might now be a subsystem of Delphi.</v>
      </c>
      <c r="M6" s="2" t="str">
        <f>_xlfn.LET(_xlpm.result, _xlfn.XLOOKUP($A6,'EA-Fortescue_SDExport'!$A:$A,'EA-Fortescue_SDExport'!AR:AR), IF(_xlpm.result=0,"",_xlpm.result))</f>
        <v>N/A</v>
      </c>
      <c r="N6" s="2" t="str">
        <f>_xlfn.LET(_xlpm.result, _xlfn.XLOOKUP($A6,'EA-Fortescue_SDExport'!$A:$A,'EA-Fortescue_SDExport'!AW:AW), IF(_xlpm.result=0,"",_xlpm.result))</f>
        <v>N/A</v>
      </c>
      <c r="O6" s="2" t="str">
        <f>_xlfn.LET(_xlpm.result, _xlfn.XLOOKUP($A6,'EA-Fortescue_SDExport'!$A:$A,'EA-Fortescue_SDExport'!AV:AV), IF(_xlpm.result=0,"",_xlpm.result))</f>
        <v>N/A</v>
      </c>
      <c r="P6" s="2" t="str">
        <f>_xlfn.LET(_xlpm.result, _xlfn.XLOOKUP($A6,'EA-Fortescue_SDExport'!$A:$A,'EA-Fortescue_SDExport'!D:D), IF(_xlpm.result=0,"",_xlpm.result))</f>
        <v>Interface Review 25/11/2025: Meco functionality of load forecasting might now be a subsystem of Delphi._x000D_
DocStack-SAComparison_SCUC 18/02/2026: MECO Should now be considered a sub-system of Delphi as the MECO data will sit in the Delphi database. Interface Deleted</v>
      </c>
      <c r="Q6" s="2" t="str">
        <f>_xlfn.LET(
    _xlpm.status, _xlfn.XLOOKUP($A6,'EA-ConnectorExport'!$A:$A,'EA-ConnectorExport'!G:G),
    _xlpm.result, _xlfn.XLOOKUP($A6,'EA-ConnectorExport'!$A:$A,'EA-ConnectorExport'!B:B),
    IF(_xlpm.status="allocate", _xlpm.result, "")
)</f>
        <v>855DC-1541-DEL Delphi</v>
      </c>
      <c r="R6" s="2" t="str">
        <f>IF(
    _xlfn.XLOOKUP($Q6,'EA-Fortescue_SDExport'!A:A,'EA-Fortescue_SDExport'!B:B)="Object",
    _xlfn.XLOOKUP(
        _xlfn.XLOOKUP($A6,'EA-ConnectorExport'!A:A,'EA-ConnectorExport'!D:D),
        'EA-Fortescue_SDExport'!A:A,
        'EA-Fortescue_SDExport'!AA:AA
    ),
    _xlfn.XLOOKUP($Q6,'EA-Fortescue_SDExport'!A:A,'EA-Fortescue_SDExport'!AA:AA)
)</f>
        <v>Project</v>
      </c>
      <c r="S6" s="2" t="str">
        <f>_xlfn.LET(_xlpm.result, _xlfn.XLOOKUP($Q6,'EA-Fortescue_SDExport'!$A:$A,'EA-Fortescue_SDExport'!AB:AB), IF(_xlpm.result=0,"",_xlpm.result))</f>
        <v>Energy Operations</v>
      </c>
      <c r="T6" s="2" t="str">
        <f>_xlfn.LET(_xlpm.result, _xlfn.XLOOKUP($Q6,'EA-Fortescue_SDExport'!$A:$A,'EA-Fortescue_SDExport'!AC:AC), IF(_xlpm.result=0,"",_xlpm.result))</f>
        <v/>
      </c>
      <c r="U6" s="2" t="str">
        <f>_xlfn.LET(
    _xlpm.isObject, _xlfn.XLOOKUP($Q6,'EA-Fortescue_SDExport'!A:A,'EA-Fortescue_SDExport'!B:B),
    _xlpm.lookupKey, IF(_xlpm.isObject="Object",
        _xlfn.XLOOKUP($A6,'EA-ConnectorExport'!A:A,'EA-ConnectorExport'!D:D),
        $Q6
    ),
    _xlpm.result, _xlfn.XLOOKUP(_xlpm.lookupKey,'EA-Fortescue_SDExport'!A:A,'EA-Fortescue_SDExport'!AD:AD),
    IF(_xlpm.result=0,"",_xlpm.result)
)</f>
        <v>855DC Decarb Green Systems</v>
      </c>
      <c r="V6" s="2" t="str">
        <f>_xlfn.LET(
    _xlpm.isObject, _xlfn.XLOOKUP($Q6,'EA-Fortescue_SDExport'!A:A,'EA-Fortescue_SDExport'!B:B),
    _xlpm.lookupKey, IF(_xlpm.isObject="Object",
        _xlfn.XLOOKUP($A6,'EA-ConnectorExport'!A:A,'EA-ConnectorExport'!D:D),
        $Q6
    ),
    _xlpm.result, _xlfn.XLOOKUP(_xlpm.lookupKey,'EA-Fortescue_SDExport'!A:A,'EA-Fortescue_SDExport'!AE:AE),
    IF(_xlpm.result=0,"",_xlpm.result)
)</f>
        <v>855DC-1541 Planning and Forecast Systems</v>
      </c>
      <c r="W6" s="2" t="str">
        <f>_xlfn.LET(
    _xlpm.isObject, _xlfn.XLOOKUP($Q6,'EA-Fortescue_SDExport'!A:A,'EA-Fortescue_SDExport'!B:B),
    _xlpm.lookupKey, IF(_xlpm.isObject="Object",
        _xlfn.XLOOKUP($A6,'EA-ConnectorExport'!A:A,'EA-ConnectorExport'!D:D),
        $Q6
    ),
    _xlpm.result, _xlfn.XLOOKUP(_xlpm.lookupKey,'EA-Fortescue_SDExport'!A:A,'EA-Fortescue_SDExport'!AF:AF),
    IF(_xlpm.result=0,"",_xlpm.result)
)</f>
        <v>855DC-1541-DEL Delphi</v>
      </c>
      <c r="X6" s="2" t="str">
        <f>_xlfn.LET(
    _xlpm.isObject, _xlfn.XLOOKUP($Q6,'EA-Fortescue_SDExport'!A:A,'EA-Fortescue_SDExport'!B:B),
    _xlpm.lookupKey, IF(_xlpm.isObject="Object",
        _xlfn.XLOOKUP($A6,'EA-ConnectorExport'!A:A,'EA-ConnectorExport'!D:D),
        $Q6
    ),
    _xlpm.result, _xlfn.XLOOKUP(_xlpm.lookupKey,'EA-Fortescue_SDExport'!A:A,'EA-Fortescue_SDExport'!AG:AG),
    IF(_xlpm.result=0,"",_xlpm.result)
)</f>
        <v/>
      </c>
      <c r="Y6" s="2" t="str">
        <f>_xlfn.LET(
    _xlpm.status, _xlfn.XLOOKUP($A6,'EA-ConnectorExport'!$A:$A,'EA-ConnectorExport'!G:G),
    _xlpm.result, _xlfn.XLOOKUP($A6,'EA-ConnectorExport'!$A:$A,'EA-ConnectorExport'!H:H),
    IF(_xlpm.status="allocate", _xlpm.result, "")
)</f>
        <v>855DC-1543-007 MECO</v>
      </c>
      <c r="Z6" s="2" t="str">
        <f>_xlfn.LET(
    _xlpm.isObject, _xlfn.XLOOKUP($Y6,'EA-Fortescue_SDExport'!A:A,'EA-Fortescue_SDExport'!B:B),
    _xlpm.lookupKey, IF(_xlpm.isObject="Object",
        _xlfn.XLOOKUP($A6,'EA-ConnectorExport'!A:A,'EA-ConnectorExport'!J:J),
        $Y6
    ),
    _xlpm.result, _xlfn.XLOOKUP(_xlpm.lookupKey,'EA-Fortescue_SDExport'!A:A,'EA-Fortescue_SDExport'!AA:AA),
    IF(_xlpm.result=0,"",_xlpm.result)
)</f>
        <v>Subsystem</v>
      </c>
      <c r="AA6" s="2" t="str">
        <f>_xlfn.LET(_xlpm.result, _xlfn.XLOOKUP($Y6,'EA-Fortescue_SDExport'!$A:$A,'EA-Fortescue_SDExport'!AB:AB), IF(_xlpm.result=0,"",_xlpm.result))</f>
        <v/>
      </c>
      <c r="AB6" s="2" t="str">
        <f>_xlfn.LET(_xlpm.result, _xlfn.XLOOKUP($Y6,'EA-Fortescue_SDExport'!$A:$A,'EA-Fortescue_SDExport'!AC:AC), IF(_xlpm.result=0,"",_xlpm.result))</f>
        <v/>
      </c>
      <c r="AC6" s="2" t="str">
        <f>_xlfn.LET(
    _xlpm.isObject, _xlfn.XLOOKUP($Y6,'EA-Fortescue_SDExport'!A:A,'EA-Fortescue_SDExport'!B:B),
    _xlpm.lookupKey, IF(_xlpm.isObject="Object",
        _xlfn.XLOOKUP($A6,'EA-ConnectorExport'!A:A,'EA-ConnectorExport'!J:J),
        $Y6
    ),
    _xlpm.result, _xlfn.XLOOKUP(_xlpm.lookupKey,'EA-Fortescue_SDExport'!A:A,'EA-Fortescue_SDExport'!AD:AD),
    IF(_xlpm.result=0,"",_xlpm.result)
)</f>
        <v>855DC Decarb Green Systems</v>
      </c>
      <c r="AD6" s="2" t="str">
        <f>_xlfn.LET(
    _xlpm.isObject, _xlfn.XLOOKUP($Y6,'EA-Fortescue_SDExport'!A:A,'EA-Fortescue_SDExport'!B:B),
    _xlpm.lookupKey, IF(_xlpm.isObject="Object",
        _xlfn.XLOOKUP($A6,'EA-ConnectorExport'!A:A,'EA-ConnectorExport'!J:J),
        $Y6
    ),
    _xlpm.result, _xlfn.XLOOKUP(_xlpm.lookupKey,'EA-Fortescue_SDExport'!A:A,'EA-Fortescue_SDExport'!AE:AE),
    IF(_xlpm.result=0,"",_xlpm.result)
)</f>
        <v>855DC-1541 Planning and Forecast Systems</v>
      </c>
      <c r="AE6" s="2" t="str">
        <f>_xlfn.LET(
    _xlpm.isObject, _xlfn.XLOOKUP($Y6,'EA-Fortescue_SDExport'!A:A,'EA-Fortescue_SDExport'!B:B),
    _xlpm.lookupKey, IF(_xlpm.isObject="Object",
        _xlfn.XLOOKUP($A6,'EA-ConnectorExport'!A:A,'EA-ConnectorExport'!J:J),
        $Y6
    ),
    _xlpm.result, _xlfn.XLOOKUP(_xlpm.lookupKey,'EA-Fortescue_SDExport'!A:A,'EA-Fortescue_SDExport'!AF:AF),
    IF(_xlpm.result=0,"",_xlpm.result)
)</f>
        <v>855DC-1541-DEL Delphi</v>
      </c>
      <c r="AF6" s="2" t="str">
        <f>_xlfn.LET(
    _xlpm.isObject, _xlfn.XLOOKUP($Y6,'EA-Fortescue_SDExport'!A:A,'EA-Fortescue_SDExport'!B:B),
    _xlpm.lookupKey, IF(_xlpm.isObject="Object",
        _xlfn.XLOOKUP($A6,'EA-ConnectorExport'!A:A,'EA-ConnectorExport'!J:J),
        $Y6
    ),
    _xlpm.result, _xlfn.XLOOKUP(_xlpm.lookupKey,'EA-Fortescue_SDExport'!A:A,'EA-Fortescue_SDExport'!AG:AG),
    IF(_xlpm.result=0,"",_xlpm.result)
)</f>
        <v>855DC-1543-007 MECO</v>
      </c>
    </row>
    <row r="7" spans="1:32" ht="60" x14ac:dyDescent="0.25">
      <c r="A7" s="2" t="str">
        <v>DGS-I_0006</v>
      </c>
      <c r="B7" s="2" t="str">
        <f t="shared" si="0"/>
        <v>855DC-1541-DEL Delphi|Archive - 855DC-1544-026 Solar and Wind Modelling Gen-AI</v>
      </c>
      <c r="C7" s="2" t="str">
        <f>_xlfn.LET(_xlpm.result, _xlfn.XLOOKUP(A7,'EA-Fortescue_SDExport'!A:A,'EA-Fortescue_SDExport'!AM:AM), IF(_xlpm.result=0,"",_xlpm.result))</f>
        <v/>
      </c>
      <c r="D7" s="2" t="str">
        <f>_xlfn.LET(_xlpm.result, _xlfn.XLOOKUP(A7,'EA-Fortescue_SDExport'!A:A,'EA-Fortescue_SDExport'!AN:AN), IF(_xlpm.result=0,"",_xlpm.result))</f>
        <v/>
      </c>
      <c r="E7" s="2" t="str">
        <f>_xlfn.XLOOKUP(R7&amp;Z7,Lookups!A:A,Lookups!B:B)</f>
        <v>Project - Project Interface</v>
      </c>
      <c r="F7" s="2" t="str">
        <f>_xlfn.LET(_xlpm.result, _xlfn.XLOOKUP(A7,'EA-Fortescue_SDExport'!A:A,'EA-Fortescue_SDExport'!AP:AP), IF(_xlpm.result=0,"",_xlpm.result))</f>
        <v/>
      </c>
      <c r="G7" s="2" t="str">
        <f>IF(OR(AND(T7&lt;&gt;"", COUNTIF(Lookups!J:J, "*"&amp;T7&amp;"*")&gt;0), AND(AB7&lt;&gt;"", COUNTIF(Lookups!J:J, "*"&amp;AB7&amp;"*")&gt;0)), "Yes", "No")</f>
        <v>No</v>
      </c>
      <c r="H7" s="2" t="str">
        <f>IF(AND(U7="",AC7=""),"N/A",IF(U7="", "N/A|" &amp; AC7, IF(AC7="", U7 &amp; "|N/A", U7 &amp; "|" &amp; AC7)))</f>
        <v>855DC Decarb Green Systems|N/A</v>
      </c>
      <c r="I7" s="2" t="str">
        <f t="shared" si="2"/>
        <v>855DC-1541 Planning and Forecast Systems|N/A</v>
      </c>
      <c r="J7" s="2" t="str">
        <f t="shared" si="3"/>
        <v>855DC-1541-DEL Delphi|N/A</v>
      </c>
      <c r="K7" s="2" t="str">
        <f>_xlfn.XLOOKUP(A7,'EA-Fortescue_SDExport'!A:A,'EA-Fortescue_SDExport'!N:N)</f>
        <v>Deleted</v>
      </c>
      <c r="L7" s="2" t="str">
        <f>_xlfn.LET(_xlpm.result, _xlfn.XLOOKUP($A7,'EA-Fortescue_SDExport'!$A:$A,'EA-Fortescue_SDExport'!AQ:AQ), IF(_xlpm.result=0,"",_xlpm.result))</f>
        <v/>
      </c>
      <c r="M7" s="2" t="str">
        <f>_xlfn.LET(_xlpm.result, _xlfn.XLOOKUP($A7,'EA-Fortescue_SDExport'!$A:$A,'EA-Fortescue_SDExport'!AR:AR), IF(_xlpm.result=0,"",_xlpm.result))</f>
        <v/>
      </c>
      <c r="N7" s="2" t="str">
        <f>_xlfn.LET(_xlpm.result, _xlfn.XLOOKUP($A7,'EA-Fortescue_SDExport'!$A:$A,'EA-Fortescue_SDExport'!AW:AW), IF(_xlpm.result=0,"",_xlpm.result))</f>
        <v/>
      </c>
      <c r="O7" s="2" t="str">
        <f>_xlfn.LET(_xlpm.result, _xlfn.XLOOKUP($A7,'EA-Fortescue_SDExport'!$A:$A,'EA-Fortescue_SDExport'!AV:AV), IF(_xlpm.result=0,"",_xlpm.result))</f>
        <v/>
      </c>
      <c r="P7" s="2" t="str">
        <f>_xlfn.LET(_xlpm.result, _xlfn.XLOOKUP($A7,'EA-Fortescue_SDExport'!$A:$A,'EA-Fortescue_SDExport'!D:D), IF(_xlpm.result=0,"",_xlpm.result))</f>
        <v>Interface Review 25/11/2025: Delete - This interface has multiple sources; therefore, it has been split into separate interfaces.</v>
      </c>
      <c r="Q7" s="2" t="str">
        <f>_xlfn.LET(
    _xlpm.status, _xlfn.XLOOKUP($A7,'EA-ConnectorExport'!$A:$A,'EA-ConnectorExport'!G:G),
    _xlpm.result, _xlfn.XLOOKUP($A7,'EA-ConnectorExport'!$A:$A,'EA-ConnectorExport'!B:B),
    IF(_xlpm.status="allocate", _xlpm.result, "")
)</f>
        <v>855DC-1541-DEL Delphi</v>
      </c>
      <c r="R7" s="2" t="str">
        <f>IF(
    _xlfn.XLOOKUP($Q7,'EA-Fortescue_SDExport'!A:A,'EA-Fortescue_SDExport'!B:B)="Object",
    _xlfn.XLOOKUP(
        _xlfn.XLOOKUP($A7,'EA-ConnectorExport'!A:A,'EA-ConnectorExport'!D:D),
        'EA-Fortescue_SDExport'!A:A,
        'EA-Fortescue_SDExport'!AA:AA
    ),
    _xlfn.XLOOKUP($Q7,'EA-Fortescue_SDExport'!A:A,'EA-Fortescue_SDExport'!AA:AA)
)</f>
        <v>Project</v>
      </c>
      <c r="S7" s="2" t="str">
        <f>_xlfn.LET(_xlpm.result, _xlfn.XLOOKUP($Q7,'EA-Fortescue_SDExport'!$A:$A,'EA-Fortescue_SDExport'!AB:AB), IF(_xlpm.result=0,"",_xlpm.result))</f>
        <v>Energy Operations</v>
      </c>
      <c r="T7" s="2" t="str">
        <f>_xlfn.LET(_xlpm.result, _xlfn.XLOOKUP($Q7,'EA-Fortescue_SDExport'!$A:$A,'EA-Fortescue_SDExport'!AC:AC), IF(_xlpm.result=0,"",_xlpm.result))</f>
        <v/>
      </c>
      <c r="U7" s="2" t="str">
        <f>_xlfn.LET(
    _xlpm.isObject, _xlfn.XLOOKUP($Q7,'EA-Fortescue_SDExport'!A:A,'EA-Fortescue_SDExport'!B:B),
    _xlpm.lookupKey, IF(_xlpm.isObject="Object",
        _xlfn.XLOOKUP($A7,'EA-ConnectorExport'!A:A,'EA-ConnectorExport'!D:D),
        $Q7
    ),
    _xlpm.result, _xlfn.XLOOKUP(_xlpm.lookupKey,'EA-Fortescue_SDExport'!A:A,'EA-Fortescue_SDExport'!AD:AD),
    IF(_xlpm.result=0,"",_xlpm.result)
)</f>
        <v>855DC Decarb Green Systems</v>
      </c>
      <c r="V7" s="2" t="str">
        <f>_xlfn.LET(
    _xlpm.isObject, _xlfn.XLOOKUP($Q7,'EA-Fortescue_SDExport'!A:A,'EA-Fortescue_SDExport'!B:B),
    _xlpm.lookupKey, IF(_xlpm.isObject="Object",
        _xlfn.XLOOKUP($A7,'EA-ConnectorExport'!A:A,'EA-ConnectorExport'!D:D),
        $Q7
    ),
    _xlpm.result, _xlfn.XLOOKUP(_xlpm.lookupKey,'EA-Fortescue_SDExport'!A:A,'EA-Fortescue_SDExport'!AE:AE),
    IF(_xlpm.result=0,"",_xlpm.result)
)</f>
        <v>855DC-1541 Planning and Forecast Systems</v>
      </c>
      <c r="W7" s="2" t="str">
        <f>_xlfn.LET(
    _xlpm.isObject, _xlfn.XLOOKUP($Q7,'EA-Fortescue_SDExport'!A:A,'EA-Fortescue_SDExport'!B:B),
    _xlpm.lookupKey, IF(_xlpm.isObject="Object",
        _xlfn.XLOOKUP($A7,'EA-ConnectorExport'!A:A,'EA-ConnectorExport'!D:D),
        $Q7
    ),
    _xlpm.result, _xlfn.XLOOKUP(_xlpm.lookupKey,'EA-Fortescue_SDExport'!A:A,'EA-Fortescue_SDExport'!AF:AF),
    IF(_xlpm.result=0,"",_xlpm.result)
)</f>
        <v>855DC-1541-DEL Delphi</v>
      </c>
      <c r="X7" s="2" t="str">
        <f>_xlfn.LET(
    _xlpm.isObject, _xlfn.XLOOKUP($Q7,'EA-Fortescue_SDExport'!A:A,'EA-Fortescue_SDExport'!B:B),
    _xlpm.lookupKey, IF(_xlpm.isObject="Object",
        _xlfn.XLOOKUP($A7,'EA-ConnectorExport'!A:A,'EA-ConnectorExport'!D:D),
        $Q7
    ),
    _xlpm.result, _xlfn.XLOOKUP(_xlpm.lookupKey,'EA-Fortescue_SDExport'!A:A,'EA-Fortescue_SDExport'!AG:AG),
    IF(_xlpm.result=0,"",_xlpm.result)
)</f>
        <v/>
      </c>
      <c r="Y7" s="2" t="str">
        <f>_xlfn.LET(
    _xlpm.status, _xlfn.XLOOKUP($A7,'EA-ConnectorExport'!$A:$A,'EA-ConnectorExport'!G:G),
    _xlpm.result, _xlfn.XLOOKUP($A7,'EA-ConnectorExport'!$A:$A,'EA-ConnectorExport'!H:H),
    IF(_xlpm.status="allocate", _xlpm.result, "")
)</f>
        <v>Archive - 855DC-1544-026 Solar and Wind Modelling Gen-AI</v>
      </c>
      <c r="Z7" s="2" t="str">
        <f>_xlfn.LET(
    _xlpm.isObject, _xlfn.XLOOKUP($Y7,'EA-Fortescue_SDExport'!A:A,'EA-Fortescue_SDExport'!B:B),
    _xlpm.lookupKey, IF(_xlpm.isObject="Object",
        _xlfn.XLOOKUP($A7,'EA-ConnectorExport'!A:A,'EA-ConnectorExport'!J:J),
        $Y7
    ),
    _xlpm.result, _xlfn.XLOOKUP(_xlpm.lookupKey,'EA-Fortescue_SDExport'!A:A,'EA-Fortescue_SDExport'!AA:AA),
    IF(_xlpm.result=0,"",_xlpm.result)
)</f>
        <v>Project</v>
      </c>
      <c r="AA7" s="2" t="str">
        <f>_xlfn.LET(_xlpm.result, _xlfn.XLOOKUP($Y7,'EA-Fortescue_SDExport'!$A:$A,'EA-Fortescue_SDExport'!AB:AB), IF(_xlpm.result=0,"",_xlpm.result))</f>
        <v/>
      </c>
      <c r="AB7" s="2" t="str">
        <f>_xlfn.LET(_xlpm.result, _xlfn.XLOOKUP($Y7,'EA-Fortescue_SDExport'!$A:$A,'EA-Fortescue_SDExport'!AC:AC), IF(_xlpm.result=0,"",_xlpm.result))</f>
        <v/>
      </c>
      <c r="AC7" s="2" t="str">
        <f>_xlfn.LET(
    _xlpm.isObject, _xlfn.XLOOKUP($Y7,'EA-Fortescue_SDExport'!A:A,'EA-Fortescue_SDExport'!B:B),
    _xlpm.lookupKey, IF(_xlpm.isObject="Object",
        _xlfn.XLOOKUP($A7,'EA-ConnectorExport'!A:A,'EA-ConnectorExport'!J:J),
        $Y7
    ),
    _xlpm.result, _xlfn.XLOOKUP(_xlpm.lookupKey,'EA-Fortescue_SDExport'!A:A,'EA-Fortescue_SDExport'!AD:AD),
    IF(_xlpm.result=0,"",_xlpm.result)
)</f>
        <v/>
      </c>
      <c r="AD7" s="2" t="str">
        <f>_xlfn.LET(
    _xlpm.isObject, _xlfn.XLOOKUP($Y7,'EA-Fortescue_SDExport'!A:A,'EA-Fortescue_SDExport'!B:B),
    _xlpm.lookupKey, IF(_xlpm.isObject="Object",
        _xlfn.XLOOKUP($A7,'EA-ConnectorExport'!A:A,'EA-ConnectorExport'!J:J),
        $Y7
    ),
    _xlpm.result, _xlfn.XLOOKUP(_xlpm.lookupKey,'EA-Fortescue_SDExport'!A:A,'EA-Fortescue_SDExport'!AE:AE),
    IF(_xlpm.result=0,"",_xlpm.result)
)</f>
        <v/>
      </c>
      <c r="AE7" s="2" t="str">
        <f>_xlfn.LET(
    _xlpm.isObject, _xlfn.XLOOKUP($Y7,'EA-Fortescue_SDExport'!A:A,'EA-Fortescue_SDExport'!B:B),
    _xlpm.lookupKey, IF(_xlpm.isObject="Object",
        _xlfn.XLOOKUP($A7,'EA-ConnectorExport'!A:A,'EA-ConnectorExport'!J:J),
        $Y7
    ),
    _xlpm.result, _xlfn.XLOOKUP(_xlpm.lookupKey,'EA-Fortescue_SDExport'!A:A,'EA-Fortescue_SDExport'!AF:AF),
    IF(_xlpm.result=0,"",_xlpm.result)
)</f>
        <v/>
      </c>
      <c r="AF7" s="2" t="str">
        <f>_xlfn.LET(
    _xlpm.isObject, _xlfn.XLOOKUP($Y7,'EA-Fortescue_SDExport'!A:A,'EA-Fortescue_SDExport'!B:B),
    _xlpm.lookupKey, IF(_xlpm.isObject="Object",
        _xlfn.XLOOKUP($A7,'EA-ConnectorExport'!A:A,'EA-ConnectorExport'!J:J),
        $Y7
    ),
    _xlpm.result, _xlfn.XLOOKUP(_xlpm.lookupKey,'EA-Fortescue_SDExport'!A:A,'EA-Fortescue_SDExport'!AG:AG),
    IF(_xlpm.result=0,"",_xlpm.result)
)</f>
        <v/>
      </c>
    </row>
    <row r="8" spans="1:32" ht="285" x14ac:dyDescent="0.25">
      <c r="A8" s="2" t="str">
        <v>DGS-I_0007</v>
      </c>
      <c r="B8" s="2" t="str">
        <f t="shared" si="0"/>
        <v>005OP-0000-012 SAP|855DC-1541-LIV LiveWire</v>
      </c>
      <c r="C8" s="2" t="str">
        <f>_xlfn.LET(_xlpm.result, _xlfn.XLOOKUP(A8,'EA-Fortescue_SDExport'!A:A,'EA-Fortescue_SDExport'!AM:AM), IF(_xlpm.result=0,"",_xlpm.result))</f>
        <v>Abby Buters</v>
      </c>
      <c r="D8" s="2" t="str">
        <f>_xlfn.LET(_xlpm.result, _xlfn.XLOOKUP(A8,'EA-Fortescue_SDExport'!A:A,'EA-Fortescue_SDExport'!AN:AN), IF(_xlpm.result=0,"",_xlpm.result))</f>
        <v>Ervin Goen</v>
      </c>
      <c r="E8" s="2" t="str">
        <f>_xlfn.XLOOKUP(R8&amp;Z8,Lookups!A:A,Lookups!B:B)</f>
        <v>Project - Project Interface</v>
      </c>
      <c r="F8" s="2" t="str">
        <f>_xlfn.LET(_xlpm.result, _xlfn.XLOOKUP(A8,'EA-Fortescue_SDExport'!A:A,'EA-Fortescue_SDExport'!AP:AP), IF(_xlpm.result=0,"",_xlpm.result))</f>
        <v>Technical-Data/Software</v>
      </c>
      <c r="G8" s="2" t="str">
        <f>IF(OR(AND(T8&lt;&gt;"", COUNTIF(Lookups!J:J, "*"&amp;T8&amp;"*")&gt;0), AND(AB8&lt;&gt;"", COUNTIF(Lookups!J:J, "*"&amp;AB8&amp;"*")&gt;0)), "Yes", "No")</f>
        <v>No</v>
      </c>
      <c r="H8" s="2" t="str">
        <f t="shared" si="1"/>
        <v>005OP IT/OT Systems|855DC Decarb Green Systems</v>
      </c>
      <c r="I8" s="2" t="str">
        <f t="shared" si="2"/>
        <v>N/A|855DC-1541 Planning and Forecast Systems</v>
      </c>
      <c r="J8" s="2" t="str">
        <f t="shared" si="3"/>
        <v>005OP-0000-012 SAP|855DC-1541-LIV LiveWire</v>
      </c>
      <c r="K8" s="2" t="str">
        <f>_xlfn.XLOOKUP(A8,'EA-Fortescue_SDExport'!A:A,'EA-Fortescue_SDExport'!N:N)</f>
        <v>Proposed</v>
      </c>
      <c r="L8" s="2" t="str">
        <f>_xlfn.LET(_xlpm.result, _xlfn.XLOOKUP($A8,'EA-Fortescue_SDExport'!$A:$A,'EA-Fortescue_SDExport'!AQ:AQ), IF(_xlpm.result=0,"",_xlpm.result))</f>
        <v>LiveWire - Asset Tracking, Usage History &amp; Stock Availability (SAP Integration)_x000D_
This interface provides LiveWire with visibility of asset locations, usage history, and operational status for equipment such as cable couplers, adapters, and related field hardware. It sources asset stock availability from SAP, including work order allocations, close-out dates, and remaining inventory, while usage history may be supplied by LiveWire directly based on field movements and connection records to allow for a more accurate operational view of asset utilisation in near real time._x000D_
Intermediate Elements: SAP (inventory &amp; work orders), LiveWire (asset location &amp; usage history), and optional two-way integration for synchronising asset status.</v>
      </c>
      <c r="M8" s="2" t="str">
        <f>_xlfn.LET(_xlpm.result, _xlfn.XLOOKUP($A8,'EA-Fortescue_SDExport'!$A:$A,'EA-Fortescue_SDExport'!AR:AR), IF(_xlpm.result=0,"",_xlpm.result))</f>
        <v>MEDIUM</v>
      </c>
      <c r="N8" s="2" t="str">
        <f>_xlfn.LET(_xlpm.result, _xlfn.XLOOKUP($A8,'EA-Fortescue_SDExport'!$A:$A,'EA-Fortescue_SDExport'!AW:AW), IF(_xlpm.result=0,"",_xlpm.result))</f>
        <v>The criticality level is MEDIUM because accurate asset tracking and availability data is essential for field operations and maintenance planning. Failure degrades efficient electrical network management and may cause delays due to unavailable equipment.</v>
      </c>
      <c r="O8" s="2" t="str">
        <f>_xlfn.LET(_xlpm.result, _xlfn.XLOOKUP($A8,'EA-Fortescue_SDExport'!$A:$A,'EA-Fortescue_SDExport'!AV:AV), IF(_xlpm.result=0,"",_xlpm.result))</f>
        <v>Data Flow:_x000D_
SAP (stock availability, work order status) -&gt; LiveWire (asset usage history &amp; tracking)</v>
      </c>
      <c r="P8" s="2" t="str">
        <f>_xlfn.LET(_xlpm.result, _xlfn.XLOOKUP($A8,'EA-Fortescue_SDExport'!$A:$A,'EA-Fortescue_SDExport'!D:D), IF(_xlpm.result=0,"",_xlpm.result))</f>
        <v>Interface Review 02/12/2025: Maintenance planning and history, preventative and corrective maintenance, and cable availability. Asset allocations are more from GPS Sensors. _x000D_
LiveWire will provide SAP if the cable changes site at the FLOC level. If it moves from site to site, the cost centre will change. _x000D_
The current state is just information on the status of the cable. Notification summary from SAP can provide a cable that has been physically inspected and marked not fit for purpose._x000D_
Future state LiveWire might be aware of Cable conditions before SAP is. The cable crew might be able to mark this in LiveWire. Commentary can potentially capture commentary as well and then provide it to SAP.</v>
      </c>
      <c r="Q8" s="2" t="str">
        <f>_xlfn.LET(
    _xlpm.status, _xlfn.XLOOKUP($A8,'EA-ConnectorExport'!$A:$A,'EA-ConnectorExport'!G:G),
    _xlpm.result, _xlfn.XLOOKUP($A8,'EA-ConnectorExport'!$A:$A,'EA-ConnectorExport'!B:B),
    IF(_xlpm.status="allocate", _xlpm.result, "")
)</f>
        <v>005OP-0000-012 SAP</v>
      </c>
      <c r="R8" s="2" t="str">
        <f>IF(
    _xlfn.XLOOKUP($Q8,'EA-Fortescue_SDExport'!A:A,'EA-Fortescue_SDExport'!B:B)="Object",
    _xlfn.XLOOKUP(
        _xlfn.XLOOKUP($A8,'EA-ConnectorExport'!A:A,'EA-ConnectorExport'!D:D),
        'EA-Fortescue_SDExport'!A:A,
        'EA-Fortescue_SDExport'!AA:AA
    ),
    _xlfn.XLOOKUP($Q8,'EA-Fortescue_SDExport'!A:A,'EA-Fortescue_SDExport'!AA:AA)
)</f>
        <v>Project</v>
      </c>
      <c r="S8" s="2" t="str">
        <f>_xlfn.LET(_xlpm.result, _xlfn.XLOOKUP($Q8,'EA-Fortescue_SDExport'!$A:$A,'EA-Fortescue_SDExport'!AB:AB), IF(_xlpm.result=0,"",_xlpm.result))</f>
        <v/>
      </c>
      <c r="T8" s="2" t="str">
        <f>_xlfn.LET(_xlpm.result, _xlfn.XLOOKUP($Q8,'EA-Fortescue_SDExport'!$A:$A,'EA-Fortescue_SDExport'!AC:AC), IF(_xlpm.result=0,"",_xlpm.result))</f>
        <v/>
      </c>
      <c r="U8" s="2" t="str">
        <f>_xlfn.LET(
    _xlpm.isObject, _xlfn.XLOOKUP($Q8,'EA-Fortescue_SDExport'!A:A,'EA-Fortescue_SDExport'!B:B),
    _xlpm.lookupKey, IF(_xlpm.isObject="Object",
        _xlfn.XLOOKUP($A8,'EA-ConnectorExport'!A:A,'EA-ConnectorExport'!D:D),
        $Q8
    ),
    _xlpm.result, _xlfn.XLOOKUP(_xlpm.lookupKey,'EA-Fortescue_SDExport'!A:A,'EA-Fortescue_SDExport'!AD:AD),
    IF(_xlpm.result=0,"",_xlpm.result)
)</f>
        <v>005OP IT/OT Systems</v>
      </c>
      <c r="V8" s="2" t="str">
        <f>_xlfn.LET(
    _xlpm.isObject, _xlfn.XLOOKUP($Q8,'EA-Fortescue_SDExport'!A:A,'EA-Fortescue_SDExport'!B:B),
    _xlpm.lookupKey, IF(_xlpm.isObject="Object",
        _xlfn.XLOOKUP($A8,'EA-ConnectorExport'!A:A,'EA-ConnectorExport'!D:D),
        $Q8
    ),
    _xlpm.result, _xlfn.XLOOKUP(_xlpm.lookupKey,'EA-Fortescue_SDExport'!A:A,'EA-Fortescue_SDExport'!AE:AE),
    IF(_xlpm.result=0,"",_xlpm.result)
)</f>
        <v/>
      </c>
      <c r="W8" s="2" t="str">
        <f>_xlfn.LET(
    _xlpm.isObject, _xlfn.XLOOKUP($Q8,'EA-Fortescue_SDExport'!A:A,'EA-Fortescue_SDExport'!B:B),
    _xlpm.lookupKey, IF(_xlpm.isObject="Object",
        _xlfn.XLOOKUP($A8,'EA-ConnectorExport'!A:A,'EA-ConnectorExport'!D:D),
        $Q8
    ),
    _xlpm.result, _xlfn.XLOOKUP(_xlpm.lookupKey,'EA-Fortescue_SDExport'!A:A,'EA-Fortescue_SDExport'!AF:AF),
    IF(_xlpm.result=0,"",_xlpm.result)
)</f>
        <v>005OP-0000-012 SAP</v>
      </c>
      <c r="X8" s="2" t="str">
        <f>_xlfn.LET(
    _xlpm.isObject, _xlfn.XLOOKUP($Q8,'EA-Fortescue_SDExport'!A:A,'EA-Fortescue_SDExport'!B:B),
    _xlpm.lookupKey, IF(_xlpm.isObject="Object",
        _xlfn.XLOOKUP($A8,'EA-ConnectorExport'!A:A,'EA-ConnectorExport'!D:D),
        $Q8
    ),
    _xlpm.result, _xlfn.XLOOKUP(_xlpm.lookupKey,'EA-Fortescue_SDExport'!A:A,'EA-Fortescue_SDExport'!AG:AG),
    IF(_xlpm.result=0,"",_xlpm.result)
)</f>
        <v/>
      </c>
      <c r="Y8" s="2" t="str">
        <f>_xlfn.LET(
    _xlpm.status, _xlfn.XLOOKUP($A8,'EA-ConnectorExport'!$A:$A,'EA-ConnectorExport'!G:G),
    _xlpm.result, _xlfn.XLOOKUP($A8,'EA-ConnectorExport'!$A:$A,'EA-ConnectorExport'!H:H),
    IF(_xlpm.status="allocate", _xlpm.result, "")
)</f>
        <v>855DC-1541-LIV LiveWire</v>
      </c>
      <c r="Z8" s="2" t="str">
        <f>_xlfn.LET(
    _xlpm.isObject, _xlfn.XLOOKUP($Y8,'EA-Fortescue_SDExport'!A:A,'EA-Fortescue_SDExport'!B:B),
    _xlpm.lookupKey, IF(_xlpm.isObject="Object",
        _xlfn.XLOOKUP($A8,'EA-ConnectorExport'!A:A,'EA-ConnectorExport'!J:J),
        $Y8
    ),
    _xlpm.result, _xlfn.XLOOKUP(_xlpm.lookupKey,'EA-Fortescue_SDExport'!A:A,'EA-Fortescue_SDExport'!AA:AA),
    IF(_xlpm.result=0,"",_xlpm.result)
)</f>
        <v>Project</v>
      </c>
      <c r="AA8" s="2" t="str">
        <f>_xlfn.LET(_xlpm.result, _xlfn.XLOOKUP($Y8,'EA-Fortescue_SDExport'!$A:$A,'EA-Fortescue_SDExport'!AB:AB), IF(_xlpm.result=0,"",_xlpm.result))</f>
        <v>Operations Planning</v>
      </c>
      <c r="AB8" s="2" t="str">
        <f>_xlfn.LET(_xlpm.result, _xlfn.XLOOKUP($Y8,'EA-Fortescue_SDExport'!$A:$A,'EA-Fortescue_SDExport'!AC:AC), IF(_xlpm.result=0,"",_xlpm.result))</f>
        <v>AWS Fortescue Cloud</v>
      </c>
      <c r="AC8" s="2" t="str">
        <f>_xlfn.LET(
    _xlpm.isObject, _xlfn.XLOOKUP($Y8,'EA-Fortescue_SDExport'!A:A,'EA-Fortescue_SDExport'!B:B),
    _xlpm.lookupKey, IF(_xlpm.isObject="Object",
        _xlfn.XLOOKUP($A8,'EA-ConnectorExport'!A:A,'EA-ConnectorExport'!J:J),
        $Y8
    ),
    _xlpm.result, _xlfn.XLOOKUP(_xlpm.lookupKey,'EA-Fortescue_SDExport'!A:A,'EA-Fortescue_SDExport'!AD:AD),
    IF(_xlpm.result=0,"",_xlpm.result)
)</f>
        <v>855DC Decarb Green Systems</v>
      </c>
      <c r="AD8" s="2" t="str">
        <f>_xlfn.LET(
    _xlpm.isObject, _xlfn.XLOOKUP($Y8,'EA-Fortescue_SDExport'!A:A,'EA-Fortescue_SDExport'!B:B),
    _xlpm.lookupKey, IF(_xlpm.isObject="Object",
        _xlfn.XLOOKUP($A8,'EA-ConnectorExport'!A:A,'EA-ConnectorExport'!J:J),
        $Y8
    ),
    _xlpm.result, _xlfn.XLOOKUP(_xlpm.lookupKey,'EA-Fortescue_SDExport'!A:A,'EA-Fortescue_SDExport'!AE:AE),
    IF(_xlpm.result=0,"",_xlpm.result)
)</f>
        <v>855DC-1541 Planning and Forecast Systems</v>
      </c>
      <c r="AE8" s="2" t="str">
        <f>_xlfn.LET(
    _xlpm.isObject, _xlfn.XLOOKUP($Y8,'EA-Fortescue_SDExport'!A:A,'EA-Fortescue_SDExport'!B:B),
    _xlpm.lookupKey, IF(_xlpm.isObject="Object",
        _xlfn.XLOOKUP($A8,'EA-ConnectorExport'!A:A,'EA-ConnectorExport'!J:J),
        $Y8
    ),
    _xlpm.result, _xlfn.XLOOKUP(_xlpm.lookupKey,'EA-Fortescue_SDExport'!A:A,'EA-Fortescue_SDExport'!AF:AF),
    IF(_xlpm.result=0,"",_xlpm.result)
)</f>
        <v>855DC-1541-LIV LiveWire</v>
      </c>
      <c r="AF8" s="2" t="str">
        <f>_xlfn.LET(
    _xlpm.isObject, _xlfn.XLOOKUP($Y8,'EA-Fortescue_SDExport'!A:A,'EA-Fortescue_SDExport'!B:B),
    _xlpm.lookupKey, IF(_xlpm.isObject="Object",
        _xlfn.XLOOKUP($A8,'EA-ConnectorExport'!A:A,'EA-ConnectorExport'!J:J),
        $Y8
    ),
    _xlpm.result, _xlfn.XLOOKUP(_xlpm.lookupKey,'EA-Fortescue_SDExport'!A:A,'EA-Fortescue_SDExport'!AG:AG),
    IF(_xlpm.result=0,"",_xlpm.result)
)</f>
        <v/>
      </c>
    </row>
    <row r="9" spans="1:32" ht="300" x14ac:dyDescent="0.25">
      <c r="A9" s="2" t="str">
        <v>DGS-I_0008</v>
      </c>
      <c r="B9" s="2" t="str">
        <f t="shared" si="0"/>
        <v>855DC-1541-PPC Pit Power Capacity Planning Tool - Design Optimisation|855DC-1541-005 HaulAI</v>
      </c>
      <c r="C9" s="2" t="str">
        <f>_xlfn.LET(_xlpm.result, _xlfn.XLOOKUP(A9,'EA-Fortescue_SDExport'!A:A,'EA-Fortescue_SDExport'!AM:AM), IF(_xlpm.result=0,"",_xlpm.result))</f>
        <v/>
      </c>
      <c r="D9" s="2" t="str">
        <f>_xlfn.LET(_xlpm.result, _xlfn.XLOOKUP(A9,'EA-Fortescue_SDExport'!A:A,'EA-Fortescue_SDExport'!AN:AN), IF(_xlpm.result=0,"",_xlpm.result))</f>
        <v/>
      </c>
      <c r="E9" s="2" t="str">
        <f>_xlfn.XLOOKUP(R9&amp;Z9,Lookups!A:A,Lookups!B:B)</f>
        <v>Project - Project Interface</v>
      </c>
      <c r="F9" s="2" t="str">
        <f>_xlfn.LET(_xlpm.result, _xlfn.XLOOKUP(A9,'EA-Fortescue_SDExport'!A:A,'EA-Fortescue_SDExport'!AP:AP), IF(_xlpm.result=0,"",_xlpm.result))</f>
        <v>Technical-Data/Software</v>
      </c>
      <c r="G9" s="2" t="str">
        <f>IF(OR(AND(T9&lt;&gt;"", COUNTIF(Lookups!J:J, "*"&amp;T9&amp;"*")&gt;0), AND(AB9&lt;&gt;"", COUNTIF(Lookups!J:J, "*"&amp;AB9&amp;"*")&gt;0)), "Yes", "No")</f>
        <v>No</v>
      </c>
      <c r="H9" s="2" t="str">
        <f t="shared" si="1"/>
        <v>855DC Decarb Green Systems|855DC Decarb Green Systems</v>
      </c>
      <c r="I9" s="2" t="str">
        <f t="shared" si="2"/>
        <v>855DC-1541 Planning and Forecast Systems|855DC-1541 Planning and Forecast Systems</v>
      </c>
      <c r="J9" s="2" t="str">
        <f t="shared" si="3"/>
        <v>855DC-1541-PPC Pit Power Capacity Planning Tool - Design Optimisation|855DC-1541-005 HaulAI</v>
      </c>
      <c r="K9" s="2" t="str">
        <f>_xlfn.XLOOKUP(A9,'EA-Fortescue_SDExport'!A:A,'EA-Fortescue_SDExport'!N:N)</f>
        <v>Proposed</v>
      </c>
      <c r="L9" s="2" t="str">
        <f>_xlfn.LET(_xlpm.result, _xlfn.XLOOKUP($A9,'EA-Fortescue_SDExport'!$A:$A,'EA-Fortescue_SDExport'!AQ:AQ), IF(_xlpm.result=0,"",_xlpm.result))</f>
        <v>The purpose of this interface is to enable HaulAI to share simulated fleet behaviour and haulage demand insights with the PPCP Design Optimisation tool to support electrical load modelling and infrastructure design studies. PPCP may provide high-level capacity assumptions or constraints, so haulage simulations reflect feasible electrical network conditions during planning._x000D_
This interface supports planning and optimisation activities only and does not enable real-time operational control.</v>
      </c>
      <c r="M9" s="2" t="str">
        <f>_xlfn.LET(_xlpm.result, _xlfn.XLOOKUP($A9,'EA-Fortescue_SDExport'!$A:$A,'EA-Fortescue_SDExport'!AR:AR), IF(_xlpm.result=0,"",_xlpm.result))</f>
        <v>LOW</v>
      </c>
      <c r="N9" s="2" t="str">
        <f>_xlfn.LET(_xlpm.result, _xlfn.XLOOKUP($A9,'EA-Fortescue_SDExport'!$A:$A,'EA-Fortescue_SDExport'!AW:AW), IF(_xlpm.result=0,"",_xlpm.result))</f>
        <v>The criticality level is LOW because this interface supports planning and design optimisation only. Failure would reduce modelling accuracy but would not affect real-time operations, production continuity, or safety-critical systems.</v>
      </c>
      <c r="O9" s="2" t="str">
        <f>_xlfn.LET(_xlpm.result, _xlfn.XLOOKUP($A9,'EA-Fortescue_SDExport'!$A:$A,'EA-Fortescue_SDExport'!AV:AV), IF(_xlpm.result=0,"",_xlpm.result))</f>
        <v>Pit Power Capacity Planning Tool - Design Optimisation &lt;-&gt; HaulAI</v>
      </c>
      <c r="P9" s="2" t="str">
        <f>_xlfn.LET(_xlpm.result, _xlfn.XLOOKUP($A9,'EA-Fortescue_SDExport'!$A:$A,'EA-Fortescue_SDExport'!D:D),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9" s="2" t="str">
        <f>_xlfn.LET(
    _xlpm.status, _xlfn.XLOOKUP($A9,'EA-ConnectorExport'!$A:$A,'EA-ConnectorExport'!G:G),
    _xlpm.result, _xlfn.XLOOKUP($A9,'EA-ConnectorExport'!$A:$A,'EA-ConnectorExport'!B:B),
    IF(_xlpm.status="allocate", _xlpm.result, "")
)</f>
        <v>855DC-1541-PPC Pit Power Capacity Planning Tool - Design Optimisation</v>
      </c>
      <c r="R9" s="2" t="str">
        <f>IF(
    _xlfn.XLOOKUP($Q9,'EA-Fortescue_SDExport'!A:A,'EA-Fortescue_SDExport'!B:B)="Object",
    _xlfn.XLOOKUP(
        _xlfn.XLOOKUP($A9,'EA-ConnectorExport'!A:A,'EA-ConnectorExport'!D:D),
        'EA-Fortescue_SDExport'!A:A,
        'EA-Fortescue_SDExport'!AA:AA
    ),
    _xlfn.XLOOKUP($Q9,'EA-Fortescue_SDExport'!A:A,'EA-Fortescue_SDExport'!AA:AA)
)</f>
        <v>Project</v>
      </c>
      <c r="S9" s="2" t="str">
        <f>_xlfn.LET(_xlpm.result, _xlfn.XLOOKUP($Q9,'EA-Fortescue_SDExport'!$A:$A,'EA-Fortescue_SDExport'!AB:AB), IF(_xlpm.result=0,"",_xlpm.result))</f>
        <v/>
      </c>
      <c r="T9" s="2" t="str">
        <f>_xlfn.LET(_xlpm.result, _xlfn.XLOOKUP($Q9,'EA-Fortescue_SDExport'!$A:$A,'EA-Fortescue_SDExport'!AC:AC), IF(_xlpm.result=0,"",_xlpm.result))</f>
        <v>AWS Fortescue Infrastructure</v>
      </c>
      <c r="U9" s="2" t="str">
        <f>_xlfn.LET(
    _xlpm.isObject, _xlfn.XLOOKUP($Q9,'EA-Fortescue_SDExport'!A:A,'EA-Fortescue_SDExport'!B:B),
    _xlpm.lookupKey, IF(_xlpm.isObject="Object",
        _xlfn.XLOOKUP($A9,'EA-ConnectorExport'!A:A,'EA-ConnectorExport'!D:D),
        $Q9
    ),
    _xlpm.result, _xlfn.XLOOKUP(_xlpm.lookupKey,'EA-Fortescue_SDExport'!A:A,'EA-Fortescue_SDExport'!AD:AD),
    IF(_xlpm.result=0,"",_xlpm.result)
)</f>
        <v>855DC Decarb Green Systems</v>
      </c>
      <c r="V9" s="2" t="str">
        <f>_xlfn.LET(
    _xlpm.isObject, _xlfn.XLOOKUP($Q9,'EA-Fortescue_SDExport'!A:A,'EA-Fortescue_SDExport'!B:B),
    _xlpm.lookupKey, IF(_xlpm.isObject="Object",
        _xlfn.XLOOKUP($A9,'EA-ConnectorExport'!A:A,'EA-ConnectorExport'!D:D),
        $Q9
    ),
    _xlpm.result, _xlfn.XLOOKUP(_xlpm.lookupKey,'EA-Fortescue_SDExport'!A:A,'EA-Fortescue_SDExport'!AE:AE),
    IF(_xlpm.result=0,"",_xlpm.result)
)</f>
        <v>855DC-1541 Planning and Forecast Systems</v>
      </c>
      <c r="W9" s="2" t="str">
        <f>_xlfn.LET(
    _xlpm.isObject, _xlfn.XLOOKUP($Q9,'EA-Fortescue_SDExport'!A:A,'EA-Fortescue_SDExport'!B:B),
    _xlpm.lookupKey, IF(_xlpm.isObject="Object",
        _xlfn.XLOOKUP($A9,'EA-ConnectorExport'!A:A,'EA-ConnectorExport'!D:D),
        $Q9
    ),
    _xlpm.result, _xlfn.XLOOKUP(_xlpm.lookupKey,'EA-Fortescue_SDExport'!A:A,'EA-Fortescue_SDExport'!AF:AF),
    IF(_xlpm.result=0,"",_xlpm.result)
)</f>
        <v>855DC-1541-PPC Pit Power Capacity Planning Tool - Design Optimisation</v>
      </c>
      <c r="X9" s="2" t="str">
        <f>_xlfn.LET(
    _xlpm.isObject, _xlfn.XLOOKUP($Q9,'EA-Fortescue_SDExport'!A:A,'EA-Fortescue_SDExport'!B:B),
    _xlpm.lookupKey, IF(_xlpm.isObject="Object",
        _xlfn.XLOOKUP($A9,'EA-ConnectorExport'!A:A,'EA-ConnectorExport'!D:D),
        $Q9
    ),
    _xlpm.result, _xlfn.XLOOKUP(_xlpm.lookupKey,'EA-Fortescue_SDExport'!A:A,'EA-Fortescue_SDExport'!AG:AG),
    IF(_xlpm.result=0,"",_xlpm.result)
)</f>
        <v/>
      </c>
      <c r="Y9" s="2" t="str">
        <f>_xlfn.LET(
    _xlpm.status, _xlfn.XLOOKUP($A9,'EA-ConnectorExport'!$A:$A,'EA-ConnectorExport'!G:G),
    _xlpm.result, _xlfn.XLOOKUP($A9,'EA-ConnectorExport'!$A:$A,'EA-ConnectorExport'!H:H),
    IF(_xlpm.status="allocate", _xlpm.result, "")
)</f>
        <v>855DC-1541-005 HaulAI</v>
      </c>
      <c r="Z9" s="2" t="str">
        <f>_xlfn.LET(
    _xlpm.isObject, _xlfn.XLOOKUP($Y9,'EA-Fortescue_SDExport'!A:A,'EA-Fortescue_SDExport'!B:B),
    _xlpm.lookupKey, IF(_xlpm.isObject="Object",
        _xlfn.XLOOKUP($A9,'EA-ConnectorExport'!A:A,'EA-ConnectorExport'!J:J),
        $Y9
    ),
    _xlpm.result, _xlfn.XLOOKUP(_xlpm.lookupKey,'EA-Fortescue_SDExport'!A:A,'EA-Fortescue_SDExport'!AA:AA),
    IF(_xlpm.result=0,"",_xlpm.result)
)</f>
        <v>Project</v>
      </c>
      <c r="AA9" s="2" t="str">
        <f>_xlfn.LET(_xlpm.result, _xlfn.XLOOKUP($Y9,'EA-Fortescue_SDExport'!$A:$A,'EA-Fortescue_SDExport'!AB:AB), IF(_xlpm.result=0,"",_xlpm.result))</f>
        <v/>
      </c>
      <c r="AB9" s="2" t="str">
        <f>_xlfn.LET(_xlpm.result, _xlfn.XLOOKUP($Y9,'EA-Fortescue_SDExport'!$A:$A,'EA-Fortescue_SDExport'!AC:AC), IF(_xlpm.result=0,"",_xlpm.result))</f>
        <v>Vendor Cloud</v>
      </c>
      <c r="AC9" s="2" t="str">
        <f>_xlfn.LET(
    _xlpm.isObject, _xlfn.XLOOKUP($Y9,'EA-Fortescue_SDExport'!A:A,'EA-Fortescue_SDExport'!B:B),
    _xlpm.lookupKey, IF(_xlpm.isObject="Object",
        _xlfn.XLOOKUP($A9,'EA-ConnectorExport'!A:A,'EA-ConnectorExport'!J:J),
        $Y9
    ),
    _xlpm.result, _xlfn.XLOOKUP(_xlpm.lookupKey,'EA-Fortescue_SDExport'!A:A,'EA-Fortescue_SDExport'!AD:AD),
    IF(_xlpm.result=0,"",_xlpm.result)
)</f>
        <v>855DC Decarb Green Systems</v>
      </c>
      <c r="AD9" s="2" t="str">
        <f>_xlfn.LET(
    _xlpm.isObject, _xlfn.XLOOKUP($Y9,'EA-Fortescue_SDExport'!A:A,'EA-Fortescue_SDExport'!B:B),
    _xlpm.lookupKey, IF(_xlpm.isObject="Object",
        _xlfn.XLOOKUP($A9,'EA-ConnectorExport'!A:A,'EA-ConnectorExport'!J:J),
        $Y9
    ),
    _xlpm.result, _xlfn.XLOOKUP(_xlpm.lookupKey,'EA-Fortescue_SDExport'!A:A,'EA-Fortescue_SDExport'!AE:AE),
    IF(_xlpm.result=0,"",_xlpm.result)
)</f>
        <v>855DC-1541 Planning and Forecast Systems</v>
      </c>
      <c r="AE9" s="2" t="str">
        <f>_xlfn.LET(
    _xlpm.isObject, _xlfn.XLOOKUP($Y9,'EA-Fortescue_SDExport'!A:A,'EA-Fortescue_SDExport'!B:B),
    _xlpm.lookupKey, IF(_xlpm.isObject="Object",
        _xlfn.XLOOKUP($A9,'EA-ConnectorExport'!A:A,'EA-ConnectorExport'!J:J),
        $Y9
    ),
    _xlpm.result, _xlfn.XLOOKUP(_xlpm.lookupKey,'EA-Fortescue_SDExport'!A:A,'EA-Fortescue_SDExport'!AF:AF),
    IF(_xlpm.result=0,"",_xlpm.result)
)</f>
        <v>855DC-1541-005 HaulAI</v>
      </c>
      <c r="AF9" s="2" t="str">
        <f>_xlfn.LET(
    _xlpm.isObject, _xlfn.XLOOKUP($Y9,'EA-Fortescue_SDExport'!A:A,'EA-Fortescue_SDExport'!B:B),
    _xlpm.lookupKey, IF(_xlpm.isObject="Object",
        _xlfn.XLOOKUP($A9,'EA-ConnectorExport'!A:A,'EA-ConnectorExport'!J:J),
        $Y9
    ),
    _xlpm.result, _xlfn.XLOOKUP(_xlpm.lookupKey,'EA-Fortescue_SDExport'!A:A,'EA-Fortescue_SDExport'!AG:AG),
    IF(_xlpm.result=0,"",_xlpm.result)
)</f>
        <v/>
      </c>
    </row>
    <row r="10" spans="1:32" ht="45" x14ac:dyDescent="0.25">
      <c r="A10" s="2" t="str">
        <v>DGS-I_0009</v>
      </c>
      <c r="B10" s="2" t="str">
        <f t="shared" si="0"/>
        <v>005OP-0000-002 ALF|855DC-1541-DEL Delphi</v>
      </c>
      <c r="C10" s="2" t="str">
        <f>_xlfn.LET(_xlpm.result, _xlfn.XLOOKUP(A10,'EA-Fortescue_SDExport'!A:A,'EA-Fortescue_SDExport'!AM:AM), IF(_xlpm.result=0,"",_xlpm.result))</f>
        <v/>
      </c>
      <c r="D10" s="2" t="str">
        <f>_xlfn.LET(_xlpm.result, _xlfn.XLOOKUP(A10,'EA-Fortescue_SDExport'!A:A,'EA-Fortescue_SDExport'!AN:AN), IF(_xlpm.result=0,"",_xlpm.result))</f>
        <v/>
      </c>
      <c r="E10" s="2" t="str">
        <f>_xlfn.XLOOKUP(R10&amp;Z10,Lookups!A:A,Lookups!B:B)</f>
        <v>Project - Project Interface</v>
      </c>
      <c r="F10" s="2" t="str">
        <f>_xlfn.LET(_xlpm.result, _xlfn.XLOOKUP(A10,'EA-Fortescue_SDExport'!A:A,'EA-Fortescue_SDExport'!AP:AP), IF(_xlpm.result=0,"",_xlpm.result))</f>
        <v/>
      </c>
      <c r="G10" s="2" t="str">
        <f>IF(OR(AND(T10&lt;&gt;"", COUNTIF(Lookups!J:J, "*"&amp;T10&amp;"*")&gt;0), AND(AB10&lt;&gt;"", COUNTIF(Lookups!J:J, "*"&amp;AB10&amp;"*")&gt;0)), "Yes", "No")</f>
        <v>No</v>
      </c>
      <c r="H10" s="2" t="str">
        <f t="shared" si="1"/>
        <v>005OP IT/OT Systems|855DC Decarb Green Systems</v>
      </c>
      <c r="I10" s="2" t="str">
        <f t="shared" si="2"/>
        <v>N/A|855DC-1541 Planning and Forecast Systems</v>
      </c>
      <c r="J10" s="2" t="str">
        <f t="shared" si="3"/>
        <v>005OP-0000-002 ALF|855DC-1541-DEL Delphi</v>
      </c>
      <c r="K10" s="2" t="str">
        <f>_xlfn.XLOOKUP(A10,'EA-Fortescue_SDExport'!A:A,'EA-Fortescue_SDExport'!N:N)</f>
        <v>Deleted</v>
      </c>
      <c r="L10" s="2" t="str">
        <f>_xlfn.LET(_xlpm.result, _xlfn.XLOOKUP($A10,'EA-Fortescue_SDExport'!$A:$A,'EA-Fortescue_SDExport'!AQ:AQ), IF(_xlpm.result=0,"",_xlpm.result))</f>
        <v/>
      </c>
      <c r="M10" s="2" t="str">
        <f>_xlfn.LET(_xlpm.result, _xlfn.XLOOKUP($A10,'EA-Fortescue_SDExport'!$A:$A,'EA-Fortescue_SDExport'!AR:AR), IF(_xlpm.result=0,"",_xlpm.result))</f>
        <v/>
      </c>
      <c r="N10" s="2" t="str">
        <f>_xlfn.LET(_xlpm.result, _xlfn.XLOOKUP($A10,'EA-Fortescue_SDExport'!$A:$A,'EA-Fortescue_SDExport'!AW:AW), IF(_xlpm.result=0,"",_xlpm.result))</f>
        <v/>
      </c>
      <c r="O10" s="2" t="str">
        <f>_xlfn.LET(_xlpm.result, _xlfn.XLOOKUP($A10,'EA-Fortescue_SDExport'!$A:$A,'EA-Fortescue_SDExport'!AV:AV), IF(_xlpm.result=0,"",_xlpm.result))</f>
        <v/>
      </c>
      <c r="P10" s="2" t="str">
        <f>_xlfn.LET(_xlpm.result, _xlfn.XLOOKUP($A10,'EA-Fortescue_SDExport'!$A:$A,'EA-Fortescue_SDExport'!D:D), IF(_xlpm.result=0,"",_xlpm.result))</f>
        <v>Interface Review 25/11/2025: Delete (more eclipse and still working through integration requirements)</v>
      </c>
      <c r="Q10" s="2" t="str">
        <f>_xlfn.LET(
    _xlpm.status, _xlfn.XLOOKUP($A10,'EA-ConnectorExport'!$A:$A,'EA-ConnectorExport'!G:G),
    _xlpm.result, _xlfn.XLOOKUP($A10,'EA-ConnectorExport'!$A:$A,'EA-ConnectorExport'!B:B),
    IF(_xlpm.status="allocate", _xlpm.result, "")
)</f>
        <v>005OP-0000-002 ALF</v>
      </c>
      <c r="R10" s="2" t="str">
        <f>IF(
    _xlfn.XLOOKUP($Q10,'EA-Fortescue_SDExport'!A:A,'EA-Fortescue_SDExport'!B:B)="Object",
    _xlfn.XLOOKUP(
        _xlfn.XLOOKUP($A10,'EA-ConnectorExport'!A:A,'EA-ConnectorExport'!D:D),
        'EA-Fortescue_SDExport'!A:A,
        'EA-Fortescue_SDExport'!AA:AA
    ),
    _xlfn.XLOOKUP($Q10,'EA-Fortescue_SDExport'!A:A,'EA-Fortescue_SDExport'!AA:AA)
)</f>
        <v>Project</v>
      </c>
      <c r="S10" s="2" t="str">
        <f>_xlfn.LET(_xlpm.result, _xlfn.XLOOKUP($Q10,'EA-Fortescue_SDExport'!$A:$A,'EA-Fortescue_SDExport'!AB:AB), IF(_xlpm.result=0,"",_xlpm.result))</f>
        <v/>
      </c>
      <c r="T10" s="2" t="str">
        <f>_xlfn.LET(_xlpm.result, _xlfn.XLOOKUP($Q10,'EA-Fortescue_SDExport'!$A:$A,'EA-Fortescue_SDExport'!AC:AC), IF(_xlpm.result=0,"",_xlpm.result))</f>
        <v/>
      </c>
      <c r="U10" s="2" t="str">
        <f>_xlfn.LET(
    _xlpm.isObject, _xlfn.XLOOKUP($Q10,'EA-Fortescue_SDExport'!A:A,'EA-Fortescue_SDExport'!B:B),
    _xlpm.lookupKey, IF(_xlpm.isObject="Object",
        _xlfn.XLOOKUP($A10,'EA-ConnectorExport'!A:A,'EA-ConnectorExport'!D:D),
        $Q10
    ),
    _xlpm.result, _xlfn.XLOOKUP(_xlpm.lookupKey,'EA-Fortescue_SDExport'!A:A,'EA-Fortescue_SDExport'!AD:AD),
    IF(_xlpm.result=0,"",_xlpm.result)
)</f>
        <v>005OP IT/OT Systems</v>
      </c>
      <c r="V10" s="2" t="str">
        <f>_xlfn.LET(
    _xlpm.isObject, _xlfn.XLOOKUP($Q10,'EA-Fortescue_SDExport'!A:A,'EA-Fortescue_SDExport'!B:B),
    _xlpm.lookupKey, IF(_xlpm.isObject="Object",
        _xlfn.XLOOKUP($A10,'EA-ConnectorExport'!A:A,'EA-ConnectorExport'!D:D),
        $Q10
    ),
    _xlpm.result, _xlfn.XLOOKUP(_xlpm.lookupKey,'EA-Fortescue_SDExport'!A:A,'EA-Fortescue_SDExport'!AE:AE),
    IF(_xlpm.result=0,"",_xlpm.result)
)</f>
        <v/>
      </c>
      <c r="W10" s="2" t="str">
        <f>_xlfn.LET(
    _xlpm.isObject, _xlfn.XLOOKUP($Q10,'EA-Fortescue_SDExport'!A:A,'EA-Fortescue_SDExport'!B:B),
    _xlpm.lookupKey, IF(_xlpm.isObject="Object",
        _xlfn.XLOOKUP($A10,'EA-ConnectorExport'!A:A,'EA-ConnectorExport'!D:D),
        $Q10
    ),
    _xlpm.result, _xlfn.XLOOKUP(_xlpm.lookupKey,'EA-Fortescue_SDExport'!A:A,'EA-Fortescue_SDExport'!AF:AF),
    IF(_xlpm.result=0,"",_xlpm.result)
)</f>
        <v>005OP-0000-002 ALF</v>
      </c>
      <c r="X10" s="2" t="str">
        <f>_xlfn.LET(
    _xlpm.isObject, _xlfn.XLOOKUP($Q10,'EA-Fortescue_SDExport'!A:A,'EA-Fortescue_SDExport'!B:B),
    _xlpm.lookupKey, IF(_xlpm.isObject="Object",
        _xlfn.XLOOKUP($A10,'EA-ConnectorExport'!A:A,'EA-ConnectorExport'!D:D),
        $Q10
    ),
    _xlpm.result, _xlfn.XLOOKUP(_xlpm.lookupKey,'EA-Fortescue_SDExport'!A:A,'EA-Fortescue_SDExport'!AG:AG),
    IF(_xlpm.result=0,"",_xlpm.result)
)</f>
        <v/>
      </c>
      <c r="Y10" s="2" t="str">
        <f>_xlfn.LET(
    _xlpm.status, _xlfn.XLOOKUP($A10,'EA-ConnectorExport'!$A:$A,'EA-ConnectorExport'!G:G),
    _xlpm.result, _xlfn.XLOOKUP($A10,'EA-ConnectorExport'!$A:$A,'EA-ConnectorExport'!H:H),
    IF(_xlpm.status="allocate", _xlpm.result, "")
)</f>
        <v>855DC-1541-DEL Delphi</v>
      </c>
      <c r="Z10" s="2" t="str">
        <f>_xlfn.LET(
    _xlpm.isObject, _xlfn.XLOOKUP($Y10,'EA-Fortescue_SDExport'!A:A,'EA-Fortescue_SDExport'!B:B),
    _xlpm.lookupKey, IF(_xlpm.isObject="Object",
        _xlfn.XLOOKUP($A10,'EA-ConnectorExport'!A:A,'EA-ConnectorExport'!J:J),
        $Y10
    ),
    _xlpm.result, _xlfn.XLOOKUP(_xlpm.lookupKey,'EA-Fortescue_SDExport'!A:A,'EA-Fortescue_SDExport'!AA:AA),
    IF(_xlpm.result=0,"",_xlpm.result)
)</f>
        <v>Project</v>
      </c>
      <c r="AA10" s="2" t="str">
        <f>_xlfn.LET(_xlpm.result, _xlfn.XLOOKUP($Y10,'EA-Fortescue_SDExport'!$A:$A,'EA-Fortescue_SDExport'!AB:AB), IF(_xlpm.result=0,"",_xlpm.result))</f>
        <v>Energy Operations</v>
      </c>
      <c r="AB10" s="2" t="str">
        <f>_xlfn.LET(_xlpm.result, _xlfn.XLOOKUP($Y10,'EA-Fortescue_SDExport'!$A:$A,'EA-Fortescue_SDExport'!AC:AC), IF(_xlpm.result=0,"",_xlpm.result))</f>
        <v/>
      </c>
      <c r="AC10" s="2" t="str">
        <f>_xlfn.LET(
    _xlpm.isObject, _xlfn.XLOOKUP($Y10,'EA-Fortescue_SDExport'!A:A,'EA-Fortescue_SDExport'!B:B),
    _xlpm.lookupKey, IF(_xlpm.isObject="Object",
        _xlfn.XLOOKUP($A10,'EA-ConnectorExport'!A:A,'EA-ConnectorExport'!J:J),
        $Y10
    ),
    _xlpm.result, _xlfn.XLOOKUP(_xlpm.lookupKey,'EA-Fortescue_SDExport'!A:A,'EA-Fortescue_SDExport'!AD:AD),
    IF(_xlpm.result=0,"",_xlpm.result)
)</f>
        <v>855DC Decarb Green Systems</v>
      </c>
      <c r="AD10" s="2" t="str">
        <f>_xlfn.LET(
    _xlpm.isObject, _xlfn.XLOOKUP($Y10,'EA-Fortescue_SDExport'!A:A,'EA-Fortescue_SDExport'!B:B),
    _xlpm.lookupKey, IF(_xlpm.isObject="Object",
        _xlfn.XLOOKUP($A10,'EA-ConnectorExport'!A:A,'EA-ConnectorExport'!J:J),
        $Y10
    ),
    _xlpm.result, _xlfn.XLOOKUP(_xlpm.lookupKey,'EA-Fortescue_SDExport'!A:A,'EA-Fortescue_SDExport'!AE:AE),
    IF(_xlpm.result=0,"",_xlpm.result)
)</f>
        <v>855DC-1541 Planning and Forecast Systems</v>
      </c>
      <c r="AE10" s="2" t="str">
        <f>_xlfn.LET(
    _xlpm.isObject, _xlfn.XLOOKUP($Y10,'EA-Fortescue_SDExport'!A:A,'EA-Fortescue_SDExport'!B:B),
    _xlpm.lookupKey, IF(_xlpm.isObject="Object",
        _xlfn.XLOOKUP($A10,'EA-ConnectorExport'!A:A,'EA-ConnectorExport'!J:J),
        $Y10
    ),
    _xlpm.result, _xlfn.XLOOKUP(_xlpm.lookupKey,'EA-Fortescue_SDExport'!A:A,'EA-Fortescue_SDExport'!AF:AF),
    IF(_xlpm.result=0,"",_xlpm.result)
)</f>
        <v>855DC-1541-DEL Delphi</v>
      </c>
      <c r="AF10" s="2" t="str">
        <f>_xlfn.LET(
    _xlpm.isObject, _xlfn.XLOOKUP($Y10,'EA-Fortescue_SDExport'!A:A,'EA-Fortescue_SDExport'!B:B),
    _xlpm.lookupKey, IF(_xlpm.isObject="Object",
        _xlfn.XLOOKUP($A10,'EA-ConnectorExport'!A:A,'EA-ConnectorExport'!J:J),
        $Y10
    ),
    _xlpm.result, _xlfn.XLOOKUP(_xlpm.lookupKey,'EA-Fortescue_SDExport'!A:A,'EA-Fortescue_SDExport'!AG:AG),
    IF(_xlpm.result=0,"",_xlpm.result)
)</f>
        <v/>
      </c>
    </row>
    <row r="11" spans="1:32" ht="45" x14ac:dyDescent="0.25">
      <c r="A11" s="2" t="str">
        <v>DGS-I_0010</v>
      </c>
      <c r="B11" s="2" t="str">
        <f t="shared" si="0"/>
        <v>005OP-0000-003 FLO|855DC-1541-DEL Delphi</v>
      </c>
      <c r="C11" s="2" t="str">
        <f>_xlfn.LET(_xlpm.result, _xlfn.XLOOKUP(A11,'EA-Fortescue_SDExport'!A:A,'EA-Fortescue_SDExport'!AM:AM), IF(_xlpm.result=0,"",_xlpm.result))</f>
        <v/>
      </c>
      <c r="D11" s="2" t="str">
        <f>_xlfn.LET(_xlpm.result, _xlfn.XLOOKUP(A11,'EA-Fortescue_SDExport'!A:A,'EA-Fortescue_SDExport'!AN:AN), IF(_xlpm.result=0,"",_xlpm.result))</f>
        <v/>
      </c>
      <c r="E11" s="2" t="str">
        <f>_xlfn.XLOOKUP(R11&amp;Z11,Lookups!A:A,Lookups!B:B)</f>
        <v>Project - Project Interface</v>
      </c>
      <c r="F11" s="2" t="str">
        <f>_xlfn.LET(_xlpm.result, _xlfn.XLOOKUP(A11,'EA-Fortescue_SDExport'!A:A,'EA-Fortescue_SDExport'!AP:AP), IF(_xlpm.result=0,"",_xlpm.result))</f>
        <v/>
      </c>
      <c r="G11" s="2" t="str">
        <f>IF(OR(AND(T11&lt;&gt;"", COUNTIF(Lookups!J:J, "*"&amp;T11&amp;"*")&gt;0), AND(AB11&lt;&gt;"", COUNTIF(Lookups!J:J, "*"&amp;AB11&amp;"*")&gt;0)), "Yes", "No")</f>
        <v>No</v>
      </c>
      <c r="H11" s="2" t="str">
        <f t="shared" si="1"/>
        <v>005OP IT/OT Systems|855DC Decarb Green Systems</v>
      </c>
      <c r="I11" s="2" t="str">
        <f t="shared" si="2"/>
        <v>N/A|855DC-1541 Planning and Forecast Systems</v>
      </c>
      <c r="J11" s="2" t="str">
        <f t="shared" si="3"/>
        <v>005OP-0000-003 FLO|855DC-1541-DEL Delphi</v>
      </c>
      <c r="K11" s="2" t="str">
        <f>_xlfn.XLOOKUP(A11,'EA-Fortescue_SDExport'!A:A,'EA-Fortescue_SDExport'!N:N)</f>
        <v>Deleted</v>
      </c>
      <c r="L11" s="2" t="str">
        <f>_xlfn.LET(_xlpm.result, _xlfn.XLOOKUP($A11,'EA-Fortescue_SDExport'!$A:$A,'EA-Fortescue_SDExport'!AQ:AQ), IF(_xlpm.result=0,"",_xlpm.result))</f>
        <v/>
      </c>
      <c r="M11" s="2" t="str">
        <f>_xlfn.LET(_xlpm.result, _xlfn.XLOOKUP($A11,'EA-Fortescue_SDExport'!$A:$A,'EA-Fortescue_SDExport'!AR:AR), IF(_xlpm.result=0,"",_xlpm.result))</f>
        <v/>
      </c>
      <c r="N11" s="2" t="str">
        <f>_xlfn.LET(_xlpm.result, _xlfn.XLOOKUP($A11,'EA-Fortescue_SDExport'!$A:$A,'EA-Fortescue_SDExport'!AW:AW), IF(_xlpm.result=0,"",_xlpm.result))</f>
        <v/>
      </c>
      <c r="O11" s="2" t="str">
        <f>_xlfn.LET(_xlpm.result, _xlfn.XLOOKUP($A11,'EA-Fortescue_SDExport'!$A:$A,'EA-Fortescue_SDExport'!AV:AV), IF(_xlpm.result=0,"",_xlpm.result))</f>
        <v/>
      </c>
      <c r="P11" s="2" t="str">
        <f>_xlfn.LET(_xlpm.result, _xlfn.XLOOKUP($A11,'EA-Fortescue_SDExport'!$A:$A,'EA-Fortescue_SDExport'!D:D), IF(_xlpm.result=0,"",_xlpm.result))</f>
        <v>Interface Review 25/11/2025: Delete</v>
      </c>
      <c r="Q11" s="2" t="str">
        <f>_xlfn.LET(
    _xlpm.status, _xlfn.XLOOKUP($A11,'EA-ConnectorExport'!$A:$A,'EA-ConnectorExport'!G:G),
    _xlpm.result, _xlfn.XLOOKUP($A11,'EA-ConnectorExport'!$A:$A,'EA-ConnectorExport'!B:B),
    IF(_xlpm.status="allocate", _xlpm.result, "")
)</f>
        <v>005OP-0000-003 FLO</v>
      </c>
      <c r="R11" s="2" t="str">
        <f>IF(
    _xlfn.XLOOKUP($Q11,'EA-Fortescue_SDExport'!A:A,'EA-Fortescue_SDExport'!B:B)="Object",
    _xlfn.XLOOKUP(
        _xlfn.XLOOKUP($A11,'EA-ConnectorExport'!A:A,'EA-ConnectorExport'!D:D),
        'EA-Fortescue_SDExport'!A:A,
        'EA-Fortescue_SDExport'!AA:AA
    ),
    _xlfn.XLOOKUP($Q11,'EA-Fortescue_SDExport'!A:A,'EA-Fortescue_SDExport'!AA:AA)
)</f>
        <v>Project</v>
      </c>
      <c r="S11" s="2" t="str">
        <f>_xlfn.LET(_xlpm.result, _xlfn.XLOOKUP($Q11,'EA-Fortescue_SDExport'!$A:$A,'EA-Fortescue_SDExport'!AB:AB), IF(_xlpm.result=0,"",_xlpm.result))</f>
        <v/>
      </c>
      <c r="T11" s="2" t="str">
        <f>_xlfn.LET(_xlpm.result, _xlfn.XLOOKUP($Q11,'EA-Fortescue_SDExport'!$A:$A,'EA-Fortescue_SDExport'!AC:AC), IF(_xlpm.result=0,"",_xlpm.result))</f>
        <v/>
      </c>
      <c r="U11" s="2" t="str">
        <f>_xlfn.LET(
    _xlpm.isObject, _xlfn.XLOOKUP($Q11,'EA-Fortescue_SDExport'!A:A,'EA-Fortescue_SDExport'!B:B),
    _xlpm.lookupKey, IF(_xlpm.isObject="Object",
        _xlfn.XLOOKUP($A11,'EA-ConnectorExport'!A:A,'EA-ConnectorExport'!D:D),
        $Q11
    ),
    _xlpm.result, _xlfn.XLOOKUP(_xlpm.lookupKey,'EA-Fortescue_SDExport'!A:A,'EA-Fortescue_SDExport'!AD:AD),
    IF(_xlpm.result=0,"",_xlpm.result)
)</f>
        <v>005OP IT/OT Systems</v>
      </c>
      <c r="V11" s="2" t="str">
        <f>_xlfn.LET(
    _xlpm.isObject, _xlfn.XLOOKUP($Q11,'EA-Fortescue_SDExport'!A:A,'EA-Fortescue_SDExport'!B:B),
    _xlpm.lookupKey, IF(_xlpm.isObject="Object",
        _xlfn.XLOOKUP($A11,'EA-ConnectorExport'!A:A,'EA-ConnectorExport'!D:D),
        $Q11
    ),
    _xlpm.result, _xlfn.XLOOKUP(_xlpm.lookupKey,'EA-Fortescue_SDExport'!A:A,'EA-Fortescue_SDExport'!AE:AE),
    IF(_xlpm.result=0,"",_xlpm.result)
)</f>
        <v/>
      </c>
      <c r="W11" s="2" t="str">
        <f>_xlfn.LET(
    _xlpm.isObject, _xlfn.XLOOKUP($Q11,'EA-Fortescue_SDExport'!A:A,'EA-Fortescue_SDExport'!B:B),
    _xlpm.lookupKey, IF(_xlpm.isObject="Object",
        _xlfn.XLOOKUP($A11,'EA-ConnectorExport'!A:A,'EA-ConnectorExport'!D:D),
        $Q11
    ),
    _xlpm.result, _xlfn.XLOOKUP(_xlpm.lookupKey,'EA-Fortescue_SDExport'!A:A,'EA-Fortescue_SDExport'!AF:AF),
    IF(_xlpm.result=0,"",_xlpm.result)
)</f>
        <v>005OP-0000-003 FLO</v>
      </c>
      <c r="X11" s="2" t="str">
        <f>_xlfn.LET(
    _xlpm.isObject, _xlfn.XLOOKUP($Q11,'EA-Fortescue_SDExport'!A:A,'EA-Fortescue_SDExport'!B:B),
    _xlpm.lookupKey, IF(_xlpm.isObject="Object",
        _xlfn.XLOOKUP($A11,'EA-ConnectorExport'!A:A,'EA-ConnectorExport'!D:D),
        $Q11
    ),
    _xlpm.result, _xlfn.XLOOKUP(_xlpm.lookupKey,'EA-Fortescue_SDExport'!A:A,'EA-Fortescue_SDExport'!AG:AG),
    IF(_xlpm.result=0,"",_xlpm.result)
)</f>
        <v/>
      </c>
      <c r="Y11" s="2" t="str">
        <f>_xlfn.LET(
    _xlpm.status, _xlfn.XLOOKUP($A11,'EA-ConnectorExport'!$A:$A,'EA-ConnectorExport'!G:G),
    _xlpm.result, _xlfn.XLOOKUP($A11,'EA-ConnectorExport'!$A:$A,'EA-ConnectorExport'!H:H),
    IF(_xlpm.status="allocate", _xlpm.result, "")
)</f>
        <v>855DC-1541-DEL Delphi</v>
      </c>
      <c r="Z11" s="2" t="str">
        <f>_xlfn.LET(
    _xlpm.isObject, _xlfn.XLOOKUP($Y11,'EA-Fortescue_SDExport'!A:A,'EA-Fortescue_SDExport'!B:B),
    _xlpm.lookupKey, IF(_xlpm.isObject="Object",
        _xlfn.XLOOKUP($A11,'EA-ConnectorExport'!A:A,'EA-ConnectorExport'!J:J),
        $Y11
    ),
    _xlpm.result, _xlfn.XLOOKUP(_xlpm.lookupKey,'EA-Fortescue_SDExport'!A:A,'EA-Fortescue_SDExport'!AA:AA),
    IF(_xlpm.result=0,"",_xlpm.result)
)</f>
        <v>Project</v>
      </c>
      <c r="AA11" s="2" t="str">
        <f>_xlfn.LET(_xlpm.result, _xlfn.XLOOKUP($Y11,'EA-Fortescue_SDExport'!$A:$A,'EA-Fortescue_SDExport'!AB:AB), IF(_xlpm.result=0,"",_xlpm.result))</f>
        <v>Energy Operations</v>
      </c>
      <c r="AB11" s="2" t="str">
        <f>_xlfn.LET(_xlpm.result, _xlfn.XLOOKUP($Y11,'EA-Fortescue_SDExport'!$A:$A,'EA-Fortescue_SDExport'!AC:AC), IF(_xlpm.result=0,"",_xlpm.result))</f>
        <v/>
      </c>
      <c r="AC11" s="2" t="str">
        <f>_xlfn.LET(
    _xlpm.isObject, _xlfn.XLOOKUP($Y11,'EA-Fortescue_SDExport'!A:A,'EA-Fortescue_SDExport'!B:B),
    _xlpm.lookupKey, IF(_xlpm.isObject="Object",
        _xlfn.XLOOKUP($A11,'EA-ConnectorExport'!A:A,'EA-ConnectorExport'!J:J),
        $Y11
    ),
    _xlpm.result, _xlfn.XLOOKUP(_xlpm.lookupKey,'EA-Fortescue_SDExport'!A:A,'EA-Fortescue_SDExport'!AD:AD),
    IF(_xlpm.result=0,"",_xlpm.result)
)</f>
        <v>855DC Decarb Green Systems</v>
      </c>
      <c r="AD11" s="2" t="str">
        <f>_xlfn.LET(
    _xlpm.isObject, _xlfn.XLOOKUP($Y11,'EA-Fortescue_SDExport'!A:A,'EA-Fortescue_SDExport'!B:B),
    _xlpm.lookupKey, IF(_xlpm.isObject="Object",
        _xlfn.XLOOKUP($A11,'EA-ConnectorExport'!A:A,'EA-ConnectorExport'!J:J),
        $Y11
    ),
    _xlpm.result, _xlfn.XLOOKUP(_xlpm.lookupKey,'EA-Fortescue_SDExport'!A:A,'EA-Fortescue_SDExport'!AE:AE),
    IF(_xlpm.result=0,"",_xlpm.result)
)</f>
        <v>855DC-1541 Planning and Forecast Systems</v>
      </c>
      <c r="AE11" s="2" t="str">
        <f>_xlfn.LET(
    _xlpm.isObject, _xlfn.XLOOKUP($Y11,'EA-Fortescue_SDExport'!A:A,'EA-Fortescue_SDExport'!B:B),
    _xlpm.lookupKey, IF(_xlpm.isObject="Object",
        _xlfn.XLOOKUP($A11,'EA-ConnectorExport'!A:A,'EA-ConnectorExport'!J:J),
        $Y11
    ),
    _xlpm.result, _xlfn.XLOOKUP(_xlpm.lookupKey,'EA-Fortescue_SDExport'!A:A,'EA-Fortescue_SDExport'!AF:AF),
    IF(_xlpm.result=0,"",_xlpm.result)
)</f>
        <v>855DC-1541-DEL Delphi</v>
      </c>
      <c r="AF11" s="2" t="str">
        <f>_xlfn.LET(
    _xlpm.isObject, _xlfn.XLOOKUP($Y11,'EA-Fortescue_SDExport'!A:A,'EA-Fortescue_SDExport'!B:B),
    _xlpm.lookupKey, IF(_xlpm.isObject="Object",
        _xlfn.XLOOKUP($A11,'EA-ConnectorExport'!A:A,'EA-ConnectorExport'!J:J),
        $Y11
    ),
    _xlpm.result, _xlfn.XLOOKUP(_xlpm.lookupKey,'EA-Fortescue_SDExport'!A:A,'EA-Fortescue_SDExport'!AG:AG),
    IF(_xlpm.result=0,"",_xlpm.result)
)</f>
        <v/>
      </c>
    </row>
    <row r="12" spans="1:32" ht="225" x14ac:dyDescent="0.25">
      <c r="A12" s="2" t="str">
        <v>DGS-I_0011</v>
      </c>
      <c r="B12" s="2" t="str">
        <f t="shared" si="0"/>
        <v>855DC-1541-ECL Eclipse|855DC-1542-CSM Charge Station Management System (CSMS)</v>
      </c>
      <c r="C12" s="2" t="str">
        <f>_xlfn.LET(_xlpm.result, _xlfn.XLOOKUP(A12,'EA-Fortescue_SDExport'!A:A,'EA-Fortescue_SDExport'!AM:AM), IF(_xlpm.result=0,"",_xlpm.result))</f>
        <v>Abby Buters</v>
      </c>
      <c r="D12" s="2" t="str">
        <f>_xlfn.LET(_xlpm.result, _xlfn.XLOOKUP(A12,'EA-Fortescue_SDExport'!A:A,'EA-Fortescue_SDExport'!AN:AN), IF(_xlpm.result=0,"",_xlpm.result))</f>
        <v>Sam Hedgcock</v>
      </c>
      <c r="E12" s="2" t="str">
        <f>_xlfn.XLOOKUP(R12&amp;Z12,Lookups!A:A,Lookups!B:B)</f>
        <v>Project - Project Interface</v>
      </c>
      <c r="F12" s="2" t="str">
        <f>_xlfn.LET(_xlpm.result, _xlfn.XLOOKUP(A12,'EA-Fortescue_SDExport'!A:A,'EA-Fortescue_SDExport'!AP:AP), IF(_xlpm.result=0,"",_xlpm.result))</f>
        <v>Technical-Data/Software</v>
      </c>
      <c r="G12" s="2" t="str">
        <f>IF(OR(AND(T12&lt;&gt;"", COUNTIF(Lookups!J:J, "*"&amp;T12&amp;"*")&gt;0), AND(AB12&lt;&gt;"", COUNTIF(Lookups!J:J, "*"&amp;AB12&amp;"*")&gt;0)), "Yes", "No")</f>
        <v>No</v>
      </c>
      <c r="H12" s="2" t="str">
        <f t="shared" si="1"/>
        <v>855DC Decarb Green Systems|855DC Decarb Green Systems</v>
      </c>
      <c r="I12" s="2" t="str">
        <f t="shared" si="2"/>
        <v>855DC-1541 Planning and Forecast Systems|855DC-1542 Control &amp; Monitoring Systems</v>
      </c>
      <c r="J12" s="2" t="str">
        <f t="shared" si="3"/>
        <v>855DC-1541-ECL Eclipse|855DC-1542-CSM Charge Station Management System (CSMS)</v>
      </c>
      <c r="K12" s="2" t="str">
        <f>_xlfn.XLOOKUP(A12,'EA-Fortescue_SDExport'!A:A,'EA-Fortescue_SDExport'!N:N)</f>
        <v>Simplified Interface</v>
      </c>
      <c r="L12" s="2" t="str">
        <f>_xlfn.LET(_xlpm.result, _xlfn.XLOOKUP($A12,'EA-Fortescue_SDExport'!$A:$A,'EA-Fortescue_SDExport'!AQ:AQ), IF(_xlpm.result=0,"",_xlpm.result))</f>
        <v>CSMS data transfer to Eclipse for charger availability and usage._x000D_
This interface allows Eclipse to receive charger availability and usage data for SCUC near-term planning._x000D_
Intermediate Elements: Snowflake (TBC).</v>
      </c>
      <c r="M12" s="2" t="str">
        <f>_xlfn.LET(_xlpm.result, _xlfn.XLOOKUP($A12,'EA-Fortescue_SDExport'!$A:$A,'EA-Fortescue_SDExport'!AR:AR), IF(_xlpm.result=0,"",_xlpm.result))</f>
        <v>HIGH</v>
      </c>
      <c r="N12" s="2" t="str">
        <f>_xlfn.LET(_xlpm.result, _xlfn.XLOOKUP($A12,'EA-Fortescue_SDExport'!$A:$A,'EA-Fortescue_SDExport'!AW:AW), IF(_xlpm.result=0,"",_xlpm.result))</f>
        <v>The criticality level is HIGH because failure to send reliable and timely charger availability data to Eclipse for near-term planning will cause inaccuracies in the plans. This could result in poor scheduling decisions, impacting energy supply stability and production throughput.</v>
      </c>
      <c r="O12" s="2" t="str">
        <f>_xlfn.LET(_xlpm.result, _xlfn.XLOOKUP($A12,'EA-Fortescue_SDExport'!$A:$A,'EA-Fortescue_SDExport'!AV:AV), IF(_xlpm.result=0,"",_xlpm.result))</f>
        <v>TBC: uni-directional or bi-directional.</v>
      </c>
      <c r="P12" s="2" t="str">
        <f>_xlfn.LET(_xlpm.result, _xlfn.XLOOKUP($A12,'EA-Fortescue_SDExport'!$A:$A,'EA-Fortescue_SDExport'!D:D), IF(_xlpm.result=0,"",_xlpm.result))</f>
        <v>Interface Review 25/11/2025: Future state integration which still needs to be defined by the project team. This is specifically for the SCUC</v>
      </c>
      <c r="Q12" s="2" t="str">
        <f>_xlfn.LET(
    _xlpm.status, _xlfn.XLOOKUP($A12,'EA-ConnectorExport'!$A:$A,'EA-ConnectorExport'!G:G),
    _xlpm.result, _xlfn.XLOOKUP($A12,'EA-ConnectorExport'!$A:$A,'EA-ConnectorExport'!B:B),
    IF(_xlpm.status="allocate", _xlpm.result, "")
)</f>
        <v>855DC-1541-ECL Eclipse</v>
      </c>
      <c r="R12" s="2" t="str">
        <f>IF(
    _xlfn.XLOOKUP($Q12,'EA-Fortescue_SDExport'!A:A,'EA-Fortescue_SDExport'!B:B)="Object",
    _xlfn.XLOOKUP(
        _xlfn.XLOOKUP($A12,'EA-ConnectorExport'!A:A,'EA-ConnectorExport'!D:D),
        'EA-Fortescue_SDExport'!A:A,
        'EA-Fortescue_SDExport'!AA:AA
    ),
    _xlfn.XLOOKUP($Q12,'EA-Fortescue_SDExport'!A:A,'EA-Fortescue_SDExport'!AA:AA)
)</f>
        <v>Project</v>
      </c>
      <c r="S12" s="2" t="str">
        <f>_xlfn.LET(_xlpm.result, _xlfn.XLOOKUP($Q12,'EA-Fortescue_SDExport'!$A:$A,'EA-Fortescue_SDExport'!AB:AB), IF(_xlpm.result=0,"",_xlpm.result))</f>
        <v>Energy Operations</v>
      </c>
      <c r="T12" s="2" t="str">
        <f>_xlfn.LET(_xlpm.result, _xlfn.XLOOKUP($Q12,'EA-Fortescue_SDExport'!$A:$A,'EA-Fortescue_SDExport'!AC:AC), IF(_xlpm.result=0,"",_xlpm.result))</f>
        <v/>
      </c>
      <c r="U12" s="2" t="str">
        <f>_xlfn.LET(
    _xlpm.isObject, _xlfn.XLOOKUP($Q12,'EA-Fortescue_SDExport'!A:A,'EA-Fortescue_SDExport'!B:B),
    _xlpm.lookupKey, IF(_xlpm.isObject="Object",
        _xlfn.XLOOKUP($A12,'EA-ConnectorExport'!A:A,'EA-ConnectorExport'!D:D),
        $Q12
    ),
    _xlpm.result, _xlfn.XLOOKUP(_xlpm.lookupKey,'EA-Fortescue_SDExport'!A:A,'EA-Fortescue_SDExport'!AD:AD),
    IF(_xlpm.result=0,"",_xlpm.result)
)</f>
        <v>855DC Decarb Green Systems</v>
      </c>
      <c r="V12" s="2" t="str">
        <f>_xlfn.LET(
    _xlpm.isObject, _xlfn.XLOOKUP($Q12,'EA-Fortescue_SDExport'!A:A,'EA-Fortescue_SDExport'!B:B),
    _xlpm.lookupKey, IF(_xlpm.isObject="Object",
        _xlfn.XLOOKUP($A12,'EA-ConnectorExport'!A:A,'EA-ConnectorExport'!D:D),
        $Q12
    ),
    _xlpm.result, _xlfn.XLOOKUP(_xlpm.lookupKey,'EA-Fortescue_SDExport'!A:A,'EA-Fortescue_SDExport'!AE:AE),
    IF(_xlpm.result=0,"",_xlpm.result)
)</f>
        <v>855DC-1541 Planning and Forecast Systems</v>
      </c>
      <c r="W12" s="2" t="str">
        <f>_xlfn.LET(
    _xlpm.isObject, _xlfn.XLOOKUP($Q12,'EA-Fortescue_SDExport'!A:A,'EA-Fortescue_SDExport'!B:B),
    _xlpm.lookupKey, IF(_xlpm.isObject="Object",
        _xlfn.XLOOKUP($A12,'EA-ConnectorExport'!A:A,'EA-ConnectorExport'!D:D),
        $Q12
    ),
    _xlpm.result, _xlfn.XLOOKUP(_xlpm.lookupKey,'EA-Fortescue_SDExport'!A:A,'EA-Fortescue_SDExport'!AF:AF),
    IF(_xlpm.result=0,"",_xlpm.result)
)</f>
        <v>855DC-1541-ECL Eclipse</v>
      </c>
      <c r="X12" s="2" t="str">
        <f>_xlfn.LET(
    _xlpm.isObject, _xlfn.XLOOKUP($Q12,'EA-Fortescue_SDExport'!A:A,'EA-Fortescue_SDExport'!B:B),
    _xlpm.lookupKey, IF(_xlpm.isObject="Object",
        _xlfn.XLOOKUP($A12,'EA-ConnectorExport'!A:A,'EA-ConnectorExport'!D:D),
        $Q12
    ),
    _xlpm.result, _xlfn.XLOOKUP(_xlpm.lookupKey,'EA-Fortescue_SDExport'!A:A,'EA-Fortescue_SDExport'!AG:AG),
    IF(_xlpm.result=0,"",_xlpm.result)
)</f>
        <v/>
      </c>
      <c r="Y12" s="2" t="str">
        <f>_xlfn.LET(
    _xlpm.status, _xlfn.XLOOKUP($A12,'EA-ConnectorExport'!$A:$A,'EA-ConnectorExport'!G:G),
    _xlpm.result, _xlfn.XLOOKUP($A12,'EA-ConnectorExport'!$A:$A,'EA-ConnectorExport'!H:H),
    IF(_xlpm.status="allocate", _xlpm.result, "")
)</f>
        <v>855DC-1542-CSM Charge Station Management System (CSMS)</v>
      </c>
      <c r="Z12" s="2" t="str">
        <f>_xlfn.LET(
    _xlpm.isObject, _xlfn.XLOOKUP($Y12,'EA-Fortescue_SDExport'!A:A,'EA-Fortescue_SDExport'!B:B),
    _xlpm.lookupKey, IF(_xlpm.isObject="Object",
        _xlfn.XLOOKUP($A12,'EA-ConnectorExport'!A:A,'EA-ConnectorExport'!J:J),
        $Y12
    ),
    _xlpm.result, _xlfn.XLOOKUP(_xlpm.lookupKey,'EA-Fortescue_SDExport'!A:A,'EA-Fortescue_SDExport'!AA:AA),
    IF(_xlpm.result=0,"",_xlpm.result)
)</f>
        <v>Project</v>
      </c>
      <c r="AA12" s="2" t="str">
        <f>_xlfn.LET(_xlpm.result, _xlfn.XLOOKUP($Y12,'EA-Fortescue_SDExport'!$A:$A,'EA-Fortescue_SDExport'!AB:AB), IF(_xlpm.result=0,"",_xlpm.result))</f>
        <v>Sam Hedgcock</v>
      </c>
      <c r="AB12" s="2" t="str">
        <f>_xlfn.LET(_xlpm.result, _xlfn.XLOOKUP($Y12,'EA-Fortescue_SDExport'!$A:$A,'EA-Fortescue_SDExport'!AC:AC), IF(_xlpm.result=0,"",_xlpm.result))</f>
        <v/>
      </c>
      <c r="AC12" s="2" t="str">
        <f>_xlfn.LET(
    _xlpm.isObject, _xlfn.XLOOKUP($Y12,'EA-Fortescue_SDExport'!A:A,'EA-Fortescue_SDExport'!B:B),
    _xlpm.lookupKey, IF(_xlpm.isObject="Object",
        _xlfn.XLOOKUP($A12,'EA-ConnectorExport'!A:A,'EA-ConnectorExport'!J:J),
        $Y12
    ),
    _xlpm.result, _xlfn.XLOOKUP(_xlpm.lookupKey,'EA-Fortescue_SDExport'!A:A,'EA-Fortescue_SDExport'!AD:AD),
    IF(_xlpm.result=0,"",_xlpm.result)
)</f>
        <v>855DC Decarb Green Systems</v>
      </c>
      <c r="AD12" s="2" t="str">
        <f>_xlfn.LET(
    _xlpm.isObject, _xlfn.XLOOKUP($Y12,'EA-Fortescue_SDExport'!A:A,'EA-Fortescue_SDExport'!B:B),
    _xlpm.lookupKey, IF(_xlpm.isObject="Object",
        _xlfn.XLOOKUP($A12,'EA-ConnectorExport'!A:A,'EA-ConnectorExport'!J:J),
        $Y12
    ),
    _xlpm.result, _xlfn.XLOOKUP(_xlpm.lookupKey,'EA-Fortescue_SDExport'!A:A,'EA-Fortescue_SDExport'!AE:AE),
    IF(_xlpm.result=0,"",_xlpm.result)
)</f>
        <v>855DC-1542 Control &amp; Monitoring Systems</v>
      </c>
      <c r="AE12" s="2" t="str">
        <f>_xlfn.LET(
    _xlpm.isObject, _xlfn.XLOOKUP($Y12,'EA-Fortescue_SDExport'!A:A,'EA-Fortescue_SDExport'!B:B),
    _xlpm.lookupKey, IF(_xlpm.isObject="Object",
        _xlfn.XLOOKUP($A12,'EA-ConnectorExport'!A:A,'EA-ConnectorExport'!J:J),
        $Y12
    ),
    _xlpm.result, _xlfn.XLOOKUP(_xlpm.lookupKey,'EA-Fortescue_SDExport'!A:A,'EA-Fortescue_SDExport'!AF:AF),
    IF(_xlpm.result=0,"",_xlpm.result)
)</f>
        <v>855DC-1542-CSM Charge Station Management System (CSMS)</v>
      </c>
      <c r="AF12" s="2" t="str">
        <f>_xlfn.LET(
    _xlpm.isObject, _xlfn.XLOOKUP($Y12,'EA-Fortescue_SDExport'!A:A,'EA-Fortescue_SDExport'!B:B),
    _xlpm.lookupKey, IF(_xlpm.isObject="Object",
        _xlfn.XLOOKUP($A12,'EA-ConnectorExport'!A:A,'EA-ConnectorExport'!J:J),
        $Y12
    ),
    _xlpm.result, _xlfn.XLOOKUP(_xlpm.lookupKey,'EA-Fortescue_SDExport'!A:A,'EA-Fortescue_SDExport'!AG:AG),
    IF(_xlpm.result=0,"",_xlpm.result)
)</f>
        <v/>
      </c>
    </row>
    <row r="13" spans="1:32" ht="60" x14ac:dyDescent="0.25">
      <c r="A13" s="2" t="str">
        <v>DGS-I_0012</v>
      </c>
      <c r="B13" s="2" t="str">
        <f t="shared" si="0"/>
        <v>855DC-1541-ECL Eclipse|Archive - 855DC-1544-025 Site Energy AI Optimiser</v>
      </c>
      <c r="C13" s="2" t="str">
        <f>_xlfn.LET(_xlpm.result, _xlfn.XLOOKUP(A13,'EA-Fortescue_SDExport'!A:A,'EA-Fortescue_SDExport'!AM:AM), IF(_xlpm.result=0,"",_xlpm.result))</f>
        <v>Abby Buters</v>
      </c>
      <c r="D13" s="2" t="str">
        <f>_xlfn.LET(_xlpm.result, _xlfn.XLOOKUP(A13,'EA-Fortescue_SDExport'!A:A,'EA-Fortescue_SDExport'!AN:AN), IF(_xlpm.result=0,"",_xlpm.result))</f>
        <v>Under Review</v>
      </c>
      <c r="E13" s="2" t="str">
        <f>_xlfn.XLOOKUP(R13&amp;Z13,Lookups!A:A,Lookups!B:B)</f>
        <v>Project - Project Interface</v>
      </c>
      <c r="F13" s="2" t="str">
        <f>_xlfn.LET(_xlpm.result, _xlfn.XLOOKUP(A13,'EA-Fortescue_SDExport'!A:A,'EA-Fortescue_SDExport'!AP:AP), IF(_xlpm.result=0,"",_xlpm.result))</f>
        <v/>
      </c>
      <c r="G13" s="2" t="str">
        <f>IF(OR(AND(T13&lt;&gt;"", COUNTIF(Lookups!J:J, "*"&amp;T13&amp;"*")&gt;0), AND(AB13&lt;&gt;"", COUNTIF(Lookups!J:J, "*"&amp;AB13&amp;"*")&gt;0)), "Yes", "No")</f>
        <v>No</v>
      </c>
      <c r="H13" s="2" t="str">
        <f t="shared" si="1"/>
        <v>855DC Decarb Green Systems|N/A</v>
      </c>
      <c r="I13" s="2" t="str">
        <f t="shared" si="2"/>
        <v>855DC-1541 Planning and Forecast Systems|N/A</v>
      </c>
      <c r="J13" s="2" t="str">
        <f t="shared" si="3"/>
        <v>855DC-1541-ECL Eclipse|N/A</v>
      </c>
      <c r="K13" s="2" t="str">
        <f>_xlfn.XLOOKUP(A13,'EA-Fortescue_SDExport'!A:A,'EA-Fortescue_SDExport'!N:N)</f>
        <v>Deleted</v>
      </c>
      <c r="L13" s="2" t="str">
        <f>_xlfn.LET(_xlpm.result, _xlfn.XLOOKUP($A13,'EA-Fortescue_SDExport'!$A:$A,'EA-Fortescue_SDExport'!AQ:AQ), IF(_xlpm.result=0,"",_xlpm.result))</f>
        <v>TBC</v>
      </c>
      <c r="M13" s="2" t="str">
        <f>_xlfn.LET(_xlpm.result, _xlfn.XLOOKUP($A13,'EA-Fortescue_SDExport'!$A:$A,'EA-Fortescue_SDExport'!AR:AR), IF(_xlpm.result=0,"",_xlpm.result))</f>
        <v/>
      </c>
      <c r="N13" s="2" t="str">
        <f>_xlfn.LET(_xlpm.result, _xlfn.XLOOKUP($A13,'EA-Fortescue_SDExport'!$A:$A,'EA-Fortescue_SDExport'!AW:AW), IF(_xlpm.result=0,"",_xlpm.result))</f>
        <v/>
      </c>
      <c r="O13" s="2" t="str">
        <f>_xlfn.LET(_xlpm.result, _xlfn.XLOOKUP($A13,'EA-Fortescue_SDExport'!$A:$A,'EA-Fortescue_SDExport'!AV:AV), IF(_xlpm.result=0,"",_xlpm.result))</f>
        <v/>
      </c>
      <c r="P13" s="2" t="str">
        <f>_xlfn.LET(_xlpm.result, _xlfn.XLOOKUP($A13,'EA-Fortescue_SDExport'!$A:$A,'EA-Fortescue_SDExport'!D:D), IF(_xlpm.result=0,"",_xlpm.result))</f>
        <v>Interface Review 25/11/2025: TBC._x000D_
SBS-WBS Mapping 02/01/2026: Site Energy AI Optimiser to be removed - Not an identified system. Interface deleted.</v>
      </c>
      <c r="Q13" s="2" t="str">
        <f>_xlfn.LET(
    _xlpm.status, _xlfn.XLOOKUP($A13,'EA-ConnectorExport'!$A:$A,'EA-ConnectorExport'!G:G),
    _xlpm.result, _xlfn.XLOOKUP($A13,'EA-ConnectorExport'!$A:$A,'EA-ConnectorExport'!B:B),
    IF(_xlpm.status="allocate", _xlpm.result, "")
)</f>
        <v>855DC-1541-ECL Eclipse</v>
      </c>
      <c r="R13" s="2" t="str">
        <f>IF(
    _xlfn.XLOOKUP($Q13,'EA-Fortescue_SDExport'!A:A,'EA-Fortescue_SDExport'!B:B)="Object",
    _xlfn.XLOOKUP(
        _xlfn.XLOOKUP($A13,'EA-ConnectorExport'!A:A,'EA-ConnectorExport'!D:D),
        'EA-Fortescue_SDExport'!A:A,
        'EA-Fortescue_SDExport'!AA:AA
    ),
    _xlfn.XLOOKUP($Q13,'EA-Fortescue_SDExport'!A:A,'EA-Fortescue_SDExport'!AA:AA)
)</f>
        <v>Project</v>
      </c>
      <c r="S13" s="2" t="str">
        <f>_xlfn.LET(_xlpm.result, _xlfn.XLOOKUP($Q13,'EA-Fortescue_SDExport'!$A:$A,'EA-Fortescue_SDExport'!AB:AB), IF(_xlpm.result=0,"",_xlpm.result))</f>
        <v>Energy Operations</v>
      </c>
      <c r="T13" s="2" t="str">
        <f>_xlfn.LET(_xlpm.result, _xlfn.XLOOKUP($Q13,'EA-Fortescue_SDExport'!$A:$A,'EA-Fortescue_SDExport'!AC:AC), IF(_xlpm.result=0,"",_xlpm.result))</f>
        <v/>
      </c>
      <c r="U13" s="2" t="str">
        <f>_xlfn.LET(
    _xlpm.isObject, _xlfn.XLOOKUP($Q13,'EA-Fortescue_SDExport'!A:A,'EA-Fortescue_SDExport'!B:B),
    _xlpm.lookupKey, IF(_xlpm.isObject="Object",
        _xlfn.XLOOKUP($A13,'EA-ConnectorExport'!A:A,'EA-ConnectorExport'!D:D),
        $Q13
    ),
    _xlpm.result, _xlfn.XLOOKUP(_xlpm.lookupKey,'EA-Fortescue_SDExport'!A:A,'EA-Fortescue_SDExport'!AD:AD),
    IF(_xlpm.result=0,"",_xlpm.result)
)</f>
        <v>855DC Decarb Green Systems</v>
      </c>
      <c r="V13" s="2" t="str">
        <f>_xlfn.LET(
    _xlpm.isObject, _xlfn.XLOOKUP($Q13,'EA-Fortescue_SDExport'!A:A,'EA-Fortescue_SDExport'!B:B),
    _xlpm.lookupKey, IF(_xlpm.isObject="Object",
        _xlfn.XLOOKUP($A13,'EA-ConnectorExport'!A:A,'EA-ConnectorExport'!D:D),
        $Q13
    ),
    _xlpm.result, _xlfn.XLOOKUP(_xlpm.lookupKey,'EA-Fortescue_SDExport'!A:A,'EA-Fortescue_SDExport'!AE:AE),
    IF(_xlpm.result=0,"",_xlpm.result)
)</f>
        <v>855DC-1541 Planning and Forecast Systems</v>
      </c>
      <c r="W13" s="2" t="str">
        <f>_xlfn.LET(
    _xlpm.isObject, _xlfn.XLOOKUP($Q13,'EA-Fortescue_SDExport'!A:A,'EA-Fortescue_SDExport'!B:B),
    _xlpm.lookupKey, IF(_xlpm.isObject="Object",
        _xlfn.XLOOKUP($A13,'EA-ConnectorExport'!A:A,'EA-ConnectorExport'!D:D),
        $Q13
    ),
    _xlpm.result, _xlfn.XLOOKUP(_xlpm.lookupKey,'EA-Fortescue_SDExport'!A:A,'EA-Fortescue_SDExport'!AF:AF),
    IF(_xlpm.result=0,"",_xlpm.result)
)</f>
        <v>855DC-1541-ECL Eclipse</v>
      </c>
      <c r="X13" s="2" t="str">
        <f>_xlfn.LET(
    _xlpm.isObject, _xlfn.XLOOKUP($Q13,'EA-Fortescue_SDExport'!A:A,'EA-Fortescue_SDExport'!B:B),
    _xlpm.lookupKey, IF(_xlpm.isObject="Object",
        _xlfn.XLOOKUP($A13,'EA-ConnectorExport'!A:A,'EA-ConnectorExport'!D:D),
        $Q13
    ),
    _xlpm.result, _xlfn.XLOOKUP(_xlpm.lookupKey,'EA-Fortescue_SDExport'!A:A,'EA-Fortescue_SDExport'!AG:AG),
    IF(_xlpm.result=0,"",_xlpm.result)
)</f>
        <v/>
      </c>
      <c r="Y13" s="2" t="str">
        <f>_xlfn.LET(
    _xlpm.status, _xlfn.XLOOKUP($A13,'EA-ConnectorExport'!$A:$A,'EA-ConnectorExport'!G:G),
    _xlpm.result, _xlfn.XLOOKUP($A13,'EA-ConnectorExport'!$A:$A,'EA-ConnectorExport'!H:H),
    IF(_xlpm.status="allocate", _xlpm.result, "")
)</f>
        <v>Archive - 855DC-1544-025 Site Energy AI Optimiser</v>
      </c>
      <c r="Z13" s="2" t="str">
        <f>_xlfn.LET(
    _xlpm.isObject, _xlfn.XLOOKUP($Y13,'EA-Fortescue_SDExport'!A:A,'EA-Fortescue_SDExport'!B:B),
    _xlpm.lookupKey, IF(_xlpm.isObject="Object",
        _xlfn.XLOOKUP($A13,'EA-ConnectorExport'!A:A,'EA-ConnectorExport'!J:J),
        $Y13
    ),
    _xlpm.result, _xlfn.XLOOKUP(_xlpm.lookupKey,'EA-Fortescue_SDExport'!A:A,'EA-Fortescue_SDExport'!AA:AA),
    IF(_xlpm.result=0,"",_xlpm.result)
)</f>
        <v>Project</v>
      </c>
      <c r="AA13" s="2" t="str">
        <f>_xlfn.LET(_xlpm.result, _xlfn.XLOOKUP($Y13,'EA-Fortescue_SDExport'!$A:$A,'EA-Fortescue_SDExport'!AB:AB), IF(_xlpm.result=0,"",_xlpm.result))</f>
        <v/>
      </c>
      <c r="AB13" s="2" t="str">
        <f>_xlfn.LET(_xlpm.result, _xlfn.XLOOKUP($Y13,'EA-Fortescue_SDExport'!$A:$A,'EA-Fortescue_SDExport'!AC:AC), IF(_xlpm.result=0,"",_xlpm.result))</f>
        <v/>
      </c>
      <c r="AC13" s="2" t="str">
        <f>_xlfn.LET(
    _xlpm.isObject, _xlfn.XLOOKUP($Y13,'EA-Fortescue_SDExport'!A:A,'EA-Fortescue_SDExport'!B:B),
    _xlpm.lookupKey, IF(_xlpm.isObject="Object",
        _xlfn.XLOOKUP($A13,'EA-ConnectorExport'!A:A,'EA-ConnectorExport'!J:J),
        $Y13
    ),
    _xlpm.result, _xlfn.XLOOKUP(_xlpm.lookupKey,'EA-Fortescue_SDExport'!A:A,'EA-Fortescue_SDExport'!AD:AD),
    IF(_xlpm.result=0,"",_xlpm.result)
)</f>
        <v/>
      </c>
      <c r="AD13" s="2" t="str">
        <f>_xlfn.LET(
    _xlpm.isObject, _xlfn.XLOOKUP($Y13,'EA-Fortescue_SDExport'!A:A,'EA-Fortescue_SDExport'!B:B),
    _xlpm.lookupKey, IF(_xlpm.isObject="Object",
        _xlfn.XLOOKUP($A13,'EA-ConnectorExport'!A:A,'EA-ConnectorExport'!J:J),
        $Y13
    ),
    _xlpm.result, _xlfn.XLOOKUP(_xlpm.lookupKey,'EA-Fortescue_SDExport'!A:A,'EA-Fortescue_SDExport'!AE:AE),
    IF(_xlpm.result=0,"",_xlpm.result)
)</f>
        <v/>
      </c>
      <c r="AE13" s="2" t="str">
        <f>_xlfn.LET(
    _xlpm.isObject, _xlfn.XLOOKUP($Y13,'EA-Fortescue_SDExport'!A:A,'EA-Fortescue_SDExport'!B:B),
    _xlpm.lookupKey, IF(_xlpm.isObject="Object",
        _xlfn.XLOOKUP($A13,'EA-ConnectorExport'!A:A,'EA-ConnectorExport'!J:J),
        $Y13
    ),
    _xlpm.result, _xlfn.XLOOKUP(_xlpm.lookupKey,'EA-Fortescue_SDExport'!A:A,'EA-Fortescue_SDExport'!AF:AF),
    IF(_xlpm.result=0,"",_xlpm.result)
)</f>
        <v/>
      </c>
      <c r="AF13" s="2" t="str">
        <f>_xlfn.LET(
    _xlpm.isObject, _xlfn.XLOOKUP($Y13,'EA-Fortescue_SDExport'!A:A,'EA-Fortescue_SDExport'!B:B),
    _xlpm.lookupKey, IF(_xlpm.isObject="Object",
        _xlfn.XLOOKUP($A13,'EA-ConnectorExport'!A:A,'EA-ConnectorExport'!J:J),
        $Y13
    ),
    _xlpm.result, _xlfn.XLOOKUP(_xlpm.lookupKey,'EA-Fortescue_SDExport'!A:A,'EA-Fortescue_SDExport'!AG:AG),
    IF(_xlpm.result=0,"",_xlpm.result)
)</f>
        <v/>
      </c>
    </row>
    <row r="14" spans="1:32" ht="255" x14ac:dyDescent="0.25">
      <c r="A14" s="2" t="str">
        <v>DGS-I_0013</v>
      </c>
      <c r="B14" s="2" t="str">
        <f t="shared" si="0"/>
        <v>855DC-1541-ECL Eclipse|005OP-0000-004 Alastri</v>
      </c>
      <c r="C14" s="2" t="str">
        <f>_xlfn.LET(_xlpm.result, _xlfn.XLOOKUP(A14,'EA-Fortescue_SDExport'!A:A,'EA-Fortescue_SDExport'!AM:AM), IF(_xlpm.result=0,"",_xlpm.result))</f>
        <v>Abby Buters</v>
      </c>
      <c r="D14" s="2" t="str">
        <f>_xlfn.LET(_xlpm.result, _xlfn.XLOOKUP(A14,'EA-Fortescue_SDExport'!A:A,'EA-Fortescue_SDExport'!AN:AN), IF(_xlpm.result=0,"",_xlpm.result))</f>
        <v>Sri Molugu (Supertintendent Production Systems &amp; Reporting), Anchal Bawa (Data Product Owner), Gareth Hart (Principal Data Engineer), (Operations BAZ owners for Snowflake)</v>
      </c>
      <c r="E14" s="2" t="str">
        <f>_xlfn.XLOOKUP(R14&amp;Z14,Lookups!A:A,Lookups!B:B)</f>
        <v>Project - Project Interface</v>
      </c>
      <c r="F14" s="2" t="str">
        <f>_xlfn.LET(_xlpm.result, _xlfn.XLOOKUP(A14,'EA-Fortescue_SDExport'!A:A,'EA-Fortescue_SDExport'!AP:AP), IF(_xlpm.result=0,"",_xlpm.result))</f>
        <v>Technical-Data/Software</v>
      </c>
      <c r="G14" s="2" t="str">
        <f>IF(OR(AND(T14&lt;&gt;"", COUNTIF(Lookups!J:J, "*"&amp;T14&amp;"*")&gt;0), AND(AB14&lt;&gt;"", COUNTIF(Lookups!J:J, "*"&amp;AB14&amp;"*")&gt;0)), "Yes", "No")</f>
        <v>No</v>
      </c>
      <c r="H14" s="2" t="str">
        <f t="shared" si="1"/>
        <v>855DC Decarb Green Systems|005OP IT/OT Systems</v>
      </c>
      <c r="I14" s="2" t="str">
        <f t="shared" si="2"/>
        <v>855DC-1541 Planning and Forecast Systems|N/A</v>
      </c>
      <c r="J14" s="2" t="str">
        <f t="shared" si="3"/>
        <v>855DC-1541-ECL Eclipse|005OP-0000-004 Alastri</v>
      </c>
      <c r="K14" s="2" t="str">
        <f>_xlfn.XLOOKUP(A14,'EA-Fortescue_SDExport'!A:A,'EA-Fortescue_SDExport'!N:N)</f>
        <v>Simplified Interface</v>
      </c>
      <c r="L14" s="2" t="str">
        <f>_xlfn.LET(_xlpm.result, _xlfn.XLOOKUP($A14,'EA-Fortescue_SDExport'!$A:$A,'EA-Fortescue_SDExport'!AQ:AQ), IF(_xlpm.result=0,"",_xlpm.result))</f>
        <v>Alastri Planning Data Transfer (to Eclipse via TAG)_x000D_
The purpose of this interface is to transfer long-term energy balance, production targets, and fleet projection scenarios generated in Alastri into the Operations Management data layer (BAZ), making this critical planning data available for use by the Eclipse planning module._x000D_
Intermediate Elements: TAG Planning Module (Receives Excel upload and processes data), and the Snowflake Data Platform (Stores data). _x000D_
Additional information related to this interface:_x000D_
Element B (Source): Alastri (Master source of long-term planning scenarios: 2-year and 10-year)._x000D_
BAZ: AA_OPERATIONS_MANAGEMENT.SELFSERVICE.PLANNING_PLAN_DAT (Final table for consumption)._x000D_
Element A (Sink): Eclipse Platform (Consumes planning data for short-term scheduling and scenario analysis).</v>
      </c>
      <c r="M14" s="2" t="str">
        <f>_xlfn.LET(_xlpm.result, _xlfn.XLOOKUP($A14,'EA-Fortescue_SDExport'!$A:$A,'EA-Fortescue_SDExport'!AR:AR), IF(_xlpm.result=0,"",_xlpm.result))</f>
        <v>HIGH</v>
      </c>
      <c r="N14" s="2" t="str">
        <f>_xlfn.LET(_xlpm.result, _xlfn.XLOOKUP($A14,'EA-Fortescue_SDExport'!$A:$A,'EA-Fortescue_SDExport'!AW:AW), IF(_xlpm.result=0,"",_xlpm.result))</f>
        <v>The criticality level is HIGH because failure impacts the accuracy and alignment of Eclipse's short-term plans with strategic long-term goals. This risks incorrect resource forecasting and production scheduling.</v>
      </c>
      <c r="O14" s="2" t="str">
        <f>_xlfn.LET(_xlpm.result, _xlfn.XLOOKUP($A14,'EA-Fortescue_SDExport'!$A:$A,'EA-Fortescue_SDExport'!AV:AV), IF(_xlpm.result=0,"",_xlpm.result))</f>
        <v>Uni-directional: Alastri-&gt; TAG Planning Module-&gt; Snowflake/Business Analaytics Zone-&gt; Eclipse.</v>
      </c>
      <c r="P14" s="2" t="str">
        <f>_xlfn.LET(_xlpm.result, _xlfn.XLOOKUP($A14,'EA-Fortescue_SDExport'!$A:$A,'EA-Fortescue_SDExport'!D:D), IF(_xlpm.result=0,"",_xlpm.result))</f>
        <v/>
      </c>
      <c r="Q14" s="2" t="str">
        <f>_xlfn.LET(
    _xlpm.status, _xlfn.XLOOKUP($A14,'EA-ConnectorExport'!$A:$A,'EA-ConnectorExport'!G:G),
    _xlpm.result, _xlfn.XLOOKUP($A14,'EA-ConnectorExport'!$A:$A,'EA-ConnectorExport'!B:B),
    IF(_xlpm.status="allocate", _xlpm.result, "")
)</f>
        <v>855DC-1541-ECL Eclipse</v>
      </c>
      <c r="R14" s="2" t="str">
        <f>IF(
    _xlfn.XLOOKUP($Q14,'EA-Fortescue_SDExport'!A:A,'EA-Fortescue_SDExport'!B:B)="Object",
    _xlfn.XLOOKUP(
        _xlfn.XLOOKUP($A14,'EA-ConnectorExport'!A:A,'EA-ConnectorExport'!D:D),
        'EA-Fortescue_SDExport'!A:A,
        'EA-Fortescue_SDExport'!AA:AA
    ),
    _xlfn.XLOOKUP($Q14,'EA-Fortescue_SDExport'!A:A,'EA-Fortescue_SDExport'!AA:AA)
)</f>
        <v>Project</v>
      </c>
      <c r="S14" s="2" t="str">
        <f>_xlfn.LET(_xlpm.result, _xlfn.XLOOKUP($Q14,'EA-Fortescue_SDExport'!$A:$A,'EA-Fortescue_SDExport'!AB:AB), IF(_xlpm.result=0,"",_xlpm.result))</f>
        <v>Energy Operations</v>
      </c>
      <c r="T14" s="2" t="str">
        <f>_xlfn.LET(_xlpm.result, _xlfn.XLOOKUP($Q14,'EA-Fortescue_SDExport'!$A:$A,'EA-Fortescue_SDExport'!AC:AC), IF(_xlpm.result=0,"",_xlpm.result))</f>
        <v/>
      </c>
      <c r="U14" s="2" t="str">
        <f>_xlfn.LET(
    _xlpm.isObject, _xlfn.XLOOKUP($Q14,'EA-Fortescue_SDExport'!A:A,'EA-Fortescue_SDExport'!B:B),
    _xlpm.lookupKey, IF(_xlpm.isObject="Object",
        _xlfn.XLOOKUP($A14,'EA-ConnectorExport'!A:A,'EA-ConnectorExport'!D:D),
        $Q14
    ),
    _xlpm.result, _xlfn.XLOOKUP(_xlpm.lookupKey,'EA-Fortescue_SDExport'!A:A,'EA-Fortescue_SDExport'!AD:AD),
    IF(_xlpm.result=0,"",_xlpm.result)
)</f>
        <v>855DC Decarb Green Systems</v>
      </c>
      <c r="V14" s="2" t="str">
        <f>_xlfn.LET(
    _xlpm.isObject, _xlfn.XLOOKUP($Q14,'EA-Fortescue_SDExport'!A:A,'EA-Fortescue_SDExport'!B:B),
    _xlpm.lookupKey, IF(_xlpm.isObject="Object",
        _xlfn.XLOOKUP($A14,'EA-ConnectorExport'!A:A,'EA-ConnectorExport'!D:D),
        $Q14
    ),
    _xlpm.result, _xlfn.XLOOKUP(_xlpm.lookupKey,'EA-Fortescue_SDExport'!A:A,'EA-Fortescue_SDExport'!AE:AE),
    IF(_xlpm.result=0,"",_xlpm.result)
)</f>
        <v>855DC-1541 Planning and Forecast Systems</v>
      </c>
      <c r="W14" s="2" t="str">
        <f>_xlfn.LET(
    _xlpm.isObject, _xlfn.XLOOKUP($Q14,'EA-Fortescue_SDExport'!A:A,'EA-Fortescue_SDExport'!B:B),
    _xlpm.lookupKey, IF(_xlpm.isObject="Object",
        _xlfn.XLOOKUP($A14,'EA-ConnectorExport'!A:A,'EA-ConnectorExport'!D:D),
        $Q14
    ),
    _xlpm.result, _xlfn.XLOOKUP(_xlpm.lookupKey,'EA-Fortescue_SDExport'!A:A,'EA-Fortescue_SDExport'!AF:AF),
    IF(_xlpm.result=0,"",_xlpm.result)
)</f>
        <v>855DC-1541-ECL Eclipse</v>
      </c>
      <c r="X14" s="2" t="str">
        <f>_xlfn.LET(
    _xlpm.isObject, _xlfn.XLOOKUP($Q14,'EA-Fortescue_SDExport'!A:A,'EA-Fortescue_SDExport'!B:B),
    _xlpm.lookupKey, IF(_xlpm.isObject="Object",
        _xlfn.XLOOKUP($A14,'EA-ConnectorExport'!A:A,'EA-ConnectorExport'!D:D),
        $Q14
    ),
    _xlpm.result, _xlfn.XLOOKUP(_xlpm.lookupKey,'EA-Fortescue_SDExport'!A:A,'EA-Fortescue_SDExport'!AG:AG),
    IF(_xlpm.result=0,"",_xlpm.result)
)</f>
        <v/>
      </c>
      <c r="Y14" s="2" t="str">
        <f>_xlfn.LET(
    _xlpm.status, _xlfn.XLOOKUP($A14,'EA-ConnectorExport'!$A:$A,'EA-ConnectorExport'!G:G),
    _xlpm.result, _xlfn.XLOOKUP($A14,'EA-ConnectorExport'!$A:$A,'EA-ConnectorExport'!H:H),
    IF(_xlpm.status="allocate", _xlpm.result, "")
)</f>
        <v>005OP-0000-004 Alastri</v>
      </c>
      <c r="Z14" s="2" t="str">
        <f>_xlfn.LET(
    _xlpm.isObject, _xlfn.XLOOKUP($Y14,'EA-Fortescue_SDExport'!A:A,'EA-Fortescue_SDExport'!B:B),
    _xlpm.lookupKey, IF(_xlpm.isObject="Object",
        _xlfn.XLOOKUP($A14,'EA-ConnectorExport'!A:A,'EA-ConnectorExport'!J:J),
        $Y14
    ),
    _xlpm.result, _xlfn.XLOOKUP(_xlpm.lookupKey,'EA-Fortescue_SDExport'!A:A,'EA-Fortescue_SDExport'!AA:AA),
    IF(_xlpm.result=0,"",_xlpm.result)
)</f>
        <v>Project</v>
      </c>
      <c r="AA14" s="2" t="str">
        <f>_xlfn.LET(_xlpm.result, _xlfn.XLOOKUP($Y14,'EA-Fortescue_SDExport'!$A:$A,'EA-Fortescue_SDExport'!AB:AB), IF(_xlpm.result=0,"",_xlpm.result))</f>
        <v/>
      </c>
      <c r="AB14" s="2" t="str">
        <f>_xlfn.LET(_xlpm.result, _xlfn.XLOOKUP($Y14,'EA-Fortescue_SDExport'!$A:$A,'EA-Fortescue_SDExport'!AC:AC), IF(_xlpm.result=0,"",_xlpm.result))</f>
        <v/>
      </c>
      <c r="AC14" s="2" t="str">
        <f>_xlfn.LET(
    _xlpm.isObject, _xlfn.XLOOKUP($Y14,'EA-Fortescue_SDExport'!A:A,'EA-Fortescue_SDExport'!B:B),
    _xlpm.lookupKey, IF(_xlpm.isObject="Object",
        _xlfn.XLOOKUP($A14,'EA-ConnectorExport'!A:A,'EA-ConnectorExport'!J:J),
        $Y14
    ),
    _xlpm.result, _xlfn.XLOOKUP(_xlpm.lookupKey,'EA-Fortescue_SDExport'!A:A,'EA-Fortescue_SDExport'!AD:AD),
    IF(_xlpm.result=0,"",_xlpm.result)
)</f>
        <v>005OP IT/OT Systems</v>
      </c>
      <c r="AD14" s="2" t="str">
        <f>_xlfn.LET(
    _xlpm.isObject, _xlfn.XLOOKUP($Y14,'EA-Fortescue_SDExport'!A:A,'EA-Fortescue_SDExport'!B:B),
    _xlpm.lookupKey, IF(_xlpm.isObject="Object",
        _xlfn.XLOOKUP($A14,'EA-ConnectorExport'!A:A,'EA-ConnectorExport'!J:J),
        $Y14
    ),
    _xlpm.result, _xlfn.XLOOKUP(_xlpm.lookupKey,'EA-Fortescue_SDExport'!A:A,'EA-Fortescue_SDExport'!AE:AE),
    IF(_xlpm.result=0,"",_xlpm.result)
)</f>
        <v/>
      </c>
      <c r="AE14" s="2" t="str">
        <f>_xlfn.LET(
    _xlpm.isObject, _xlfn.XLOOKUP($Y14,'EA-Fortescue_SDExport'!A:A,'EA-Fortescue_SDExport'!B:B),
    _xlpm.lookupKey, IF(_xlpm.isObject="Object",
        _xlfn.XLOOKUP($A14,'EA-ConnectorExport'!A:A,'EA-ConnectorExport'!J:J),
        $Y14
    ),
    _xlpm.result, _xlfn.XLOOKUP(_xlpm.lookupKey,'EA-Fortescue_SDExport'!A:A,'EA-Fortescue_SDExport'!AF:AF),
    IF(_xlpm.result=0,"",_xlpm.result)
)</f>
        <v>005OP-0000-004 Alastri</v>
      </c>
      <c r="AF14" s="2" t="str">
        <f>_xlfn.LET(
    _xlpm.isObject, _xlfn.XLOOKUP($Y14,'EA-Fortescue_SDExport'!A:A,'EA-Fortescue_SDExport'!B:B),
    _xlpm.lookupKey, IF(_xlpm.isObject="Object",
        _xlfn.XLOOKUP($A14,'EA-ConnectorExport'!A:A,'EA-ConnectorExport'!J:J),
        $Y14
    ),
    _xlpm.result, _xlfn.XLOOKUP(_xlpm.lookupKey,'EA-Fortescue_SDExport'!A:A,'EA-Fortescue_SDExport'!AG:AG),
    IF(_xlpm.result=0,"",_xlpm.result)
)</f>
        <v/>
      </c>
    </row>
    <row r="15" spans="1:32" ht="135" x14ac:dyDescent="0.25">
      <c r="A15" s="2" t="str">
        <v>DGS-I_0014</v>
      </c>
      <c r="B15" s="2" t="str">
        <f t="shared" si="0"/>
        <v>855DC-1541-ECL Eclipse|855DC-1542-009 Elysia</v>
      </c>
      <c r="C15" s="2" t="str">
        <f>_xlfn.LET(_xlpm.result, _xlfn.XLOOKUP(A15,'EA-Fortescue_SDExport'!A:A,'EA-Fortescue_SDExport'!AM:AM), IF(_xlpm.result=0,"",_xlpm.result))</f>
        <v>Abby Buters</v>
      </c>
      <c r="D15" s="2" t="str">
        <f>_xlfn.LET(_xlpm.result, _xlfn.XLOOKUP(A15,'EA-Fortescue_SDExport'!A:A,'EA-Fortescue_SDExport'!AN:AN), IF(_xlpm.result=0,"",_xlpm.result))</f>
        <v>Kareema Ramli (Senior Engineer - Energy Data Systems &amp; Governance)</v>
      </c>
      <c r="E15" s="2" t="str">
        <f>_xlfn.XLOOKUP(R15&amp;Z15,Lookups!A:A,Lookups!B:B)</f>
        <v>Project - Project Interface</v>
      </c>
      <c r="F15" s="2" t="str">
        <f>_xlfn.LET(_xlpm.result, _xlfn.XLOOKUP(A15,'EA-Fortescue_SDExport'!A:A,'EA-Fortescue_SDExport'!AP:AP), IF(_xlpm.result=0,"",_xlpm.result))</f>
        <v>Technical-Data/Software</v>
      </c>
      <c r="G15" s="2" t="str">
        <f>IF(OR(AND(T15&lt;&gt;"", COUNTIF(Lookups!J:J, "*"&amp;T15&amp;"*")&gt;0), AND(AB15&lt;&gt;"", COUNTIF(Lookups!J:J, "*"&amp;AB15&amp;"*")&gt;0)), "Yes", "No")</f>
        <v>No</v>
      </c>
      <c r="H15" s="2" t="str">
        <f t="shared" si="1"/>
        <v>855DC Decarb Green Systems|855DC Decarb Green Systems</v>
      </c>
      <c r="I15" s="2" t="str">
        <f t="shared" si="2"/>
        <v>855DC-1541 Planning and Forecast Systems|855DC-1542 Control &amp; Monitoring Systems</v>
      </c>
      <c r="J15" s="2" t="str">
        <f t="shared" si="3"/>
        <v>855DC-1541-ECL Eclipse|855DC-1542-009 Elysia</v>
      </c>
      <c r="K15" s="2" t="str">
        <f>_xlfn.XLOOKUP(A15,'EA-Fortescue_SDExport'!A:A,'EA-Fortescue_SDExport'!N:N)</f>
        <v>Deleted</v>
      </c>
      <c r="L15" s="2" t="str">
        <f>_xlfn.LET(_xlpm.result, _xlfn.XLOOKUP($A15,'EA-Fortescue_SDExport'!$A:$A,'EA-Fortescue_SDExport'!AQ:AQ), IF(_xlpm.result=0,"",_xlpm.result))</f>
        <v/>
      </c>
      <c r="M15" s="2" t="str">
        <f>_xlfn.LET(_xlpm.result, _xlfn.XLOOKUP($A15,'EA-Fortescue_SDExport'!$A:$A,'EA-Fortescue_SDExport'!AR:AR), IF(_xlpm.result=0,"",_xlpm.result))</f>
        <v>HIGH</v>
      </c>
      <c r="N15" s="2" t="str">
        <f>_xlfn.LET(_xlpm.result, _xlfn.XLOOKUP($A15,'EA-Fortescue_SDExport'!$A:$A,'EA-Fortescue_SDExport'!AW:AW), IF(_xlpm.result=0,"",_xlpm.result))</f>
        <v/>
      </c>
      <c r="O15" s="2" t="str">
        <f>_xlfn.LET(_xlpm.result, _xlfn.XLOOKUP($A15,'EA-Fortescue_SDExport'!$A:$A,'EA-Fortescue_SDExport'!AV:AV), IF(_xlpm.result=0,"",_xlpm.result))</f>
        <v/>
      </c>
      <c r="P15" s="2" t="str">
        <f>_xlfn.LET(_xlpm.result, _xlfn.XLOOKUP($A15,'EA-Fortescue_SDExport'!$A:$A,'EA-Fortescue_SDExport'!D:D), IF(_xlpm.result=0,"",_xlpm.result))</f>
        <v>Interface Review 25/11/2025: Energy Operations has an API in the corporate environment. The plan is to read it from there. State of charge percentage data for BESS (maybe site-level aggregate for trucks). Through Delphi._x000D_
Interface Review 02/12/2025: Delete (This information has been described in the Eclipse | Delphi interface).</v>
      </c>
      <c r="Q15" s="2" t="str">
        <f>_xlfn.LET(
    _xlpm.status, _xlfn.XLOOKUP($A15,'EA-ConnectorExport'!$A:$A,'EA-ConnectorExport'!G:G),
    _xlpm.result, _xlfn.XLOOKUP($A15,'EA-ConnectorExport'!$A:$A,'EA-ConnectorExport'!B:B),
    IF(_xlpm.status="allocate", _xlpm.result, "")
)</f>
        <v>855DC-1541-ECL Eclipse</v>
      </c>
      <c r="R15" s="2" t="str">
        <f>IF(
    _xlfn.XLOOKUP($Q15,'EA-Fortescue_SDExport'!A:A,'EA-Fortescue_SDExport'!B:B)="Object",
    _xlfn.XLOOKUP(
        _xlfn.XLOOKUP($A15,'EA-ConnectorExport'!A:A,'EA-ConnectorExport'!D:D),
        'EA-Fortescue_SDExport'!A:A,
        'EA-Fortescue_SDExport'!AA:AA
    ),
    _xlfn.XLOOKUP($Q15,'EA-Fortescue_SDExport'!A:A,'EA-Fortescue_SDExport'!AA:AA)
)</f>
        <v>Project</v>
      </c>
      <c r="S15" s="2" t="str">
        <f>_xlfn.LET(_xlpm.result, _xlfn.XLOOKUP($Q15,'EA-Fortescue_SDExport'!$A:$A,'EA-Fortescue_SDExport'!AB:AB), IF(_xlpm.result=0,"",_xlpm.result))</f>
        <v>Energy Operations</v>
      </c>
      <c r="T15" s="2" t="str">
        <f>_xlfn.LET(_xlpm.result, _xlfn.XLOOKUP($Q15,'EA-Fortescue_SDExport'!$A:$A,'EA-Fortescue_SDExport'!AC:AC), IF(_xlpm.result=0,"",_xlpm.result))</f>
        <v/>
      </c>
      <c r="U15" s="2" t="str">
        <f>_xlfn.LET(
    _xlpm.isObject, _xlfn.XLOOKUP($Q15,'EA-Fortescue_SDExport'!A:A,'EA-Fortescue_SDExport'!B:B),
    _xlpm.lookupKey, IF(_xlpm.isObject="Object",
        _xlfn.XLOOKUP($A15,'EA-ConnectorExport'!A:A,'EA-ConnectorExport'!D:D),
        $Q15
    ),
    _xlpm.result, _xlfn.XLOOKUP(_xlpm.lookupKey,'EA-Fortescue_SDExport'!A:A,'EA-Fortescue_SDExport'!AD:AD),
    IF(_xlpm.result=0,"",_xlpm.result)
)</f>
        <v>855DC Decarb Green Systems</v>
      </c>
      <c r="V15" s="2" t="str">
        <f>_xlfn.LET(
    _xlpm.isObject, _xlfn.XLOOKUP($Q15,'EA-Fortescue_SDExport'!A:A,'EA-Fortescue_SDExport'!B:B),
    _xlpm.lookupKey, IF(_xlpm.isObject="Object",
        _xlfn.XLOOKUP($A15,'EA-ConnectorExport'!A:A,'EA-ConnectorExport'!D:D),
        $Q15
    ),
    _xlpm.result, _xlfn.XLOOKUP(_xlpm.lookupKey,'EA-Fortescue_SDExport'!A:A,'EA-Fortescue_SDExport'!AE:AE),
    IF(_xlpm.result=0,"",_xlpm.result)
)</f>
        <v>855DC-1541 Planning and Forecast Systems</v>
      </c>
      <c r="W15" s="2" t="str">
        <f>_xlfn.LET(
    _xlpm.isObject, _xlfn.XLOOKUP($Q15,'EA-Fortescue_SDExport'!A:A,'EA-Fortescue_SDExport'!B:B),
    _xlpm.lookupKey, IF(_xlpm.isObject="Object",
        _xlfn.XLOOKUP($A15,'EA-ConnectorExport'!A:A,'EA-ConnectorExport'!D:D),
        $Q15
    ),
    _xlpm.result, _xlfn.XLOOKUP(_xlpm.lookupKey,'EA-Fortescue_SDExport'!A:A,'EA-Fortescue_SDExport'!AF:AF),
    IF(_xlpm.result=0,"",_xlpm.result)
)</f>
        <v>855DC-1541-ECL Eclipse</v>
      </c>
      <c r="X15" s="2" t="str">
        <f>_xlfn.LET(
    _xlpm.isObject, _xlfn.XLOOKUP($Q15,'EA-Fortescue_SDExport'!A:A,'EA-Fortescue_SDExport'!B:B),
    _xlpm.lookupKey, IF(_xlpm.isObject="Object",
        _xlfn.XLOOKUP($A15,'EA-ConnectorExport'!A:A,'EA-ConnectorExport'!D:D),
        $Q15
    ),
    _xlpm.result, _xlfn.XLOOKUP(_xlpm.lookupKey,'EA-Fortescue_SDExport'!A:A,'EA-Fortescue_SDExport'!AG:AG),
    IF(_xlpm.result=0,"",_xlpm.result)
)</f>
        <v/>
      </c>
      <c r="Y15" s="2" t="str">
        <f>_xlfn.LET(
    _xlpm.status, _xlfn.XLOOKUP($A15,'EA-ConnectorExport'!$A:$A,'EA-ConnectorExport'!G:G),
    _xlpm.result, _xlfn.XLOOKUP($A15,'EA-ConnectorExport'!$A:$A,'EA-ConnectorExport'!H:H),
    IF(_xlpm.status="allocate", _xlpm.result, "")
)</f>
        <v>855DC-1542-009 Elysia</v>
      </c>
      <c r="Z15" s="2" t="str">
        <f>_xlfn.LET(
    _xlpm.isObject, _xlfn.XLOOKUP($Y15,'EA-Fortescue_SDExport'!A:A,'EA-Fortescue_SDExport'!B:B),
    _xlpm.lookupKey, IF(_xlpm.isObject="Object",
        _xlfn.XLOOKUP($A15,'EA-ConnectorExport'!A:A,'EA-ConnectorExport'!J:J),
        $Y15
    ),
    _xlpm.result, _xlfn.XLOOKUP(_xlpm.lookupKey,'EA-Fortescue_SDExport'!A:A,'EA-Fortescue_SDExport'!AA:AA),
    IF(_xlpm.result=0,"",_xlpm.result)
)</f>
        <v>Project</v>
      </c>
      <c r="AA15" s="2" t="str">
        <f>_xlfn.LET(_xlpm.result, _xlfn.XLOOKUP($Y15,'EA-Fortescue_SDExport'!$A:$A,'EA-Fortescue_SDExport'!AB:AB), IF(_xlpm.result=0,"",_xlpm.result))</f>
        <v/>
      </c>
      <c r="AB15" s="2" t="str">
        <f>_xlfn.LET(_xlpm.result, _xlfn.XLOOKUP($Y15,'EA-Fortescue_SDExport'!$A:$A,'EA-Fortescue_SDExport'!AC:AC), IF(_xlpm.result=0,"",_xlpm.result))</f>
        <v/>
      </c>
      <c r="AC15" s="2" t="str">
        <f>_xlfn.LET(
    _xlpm.isObject, _xlfn.XLOOKUP($Y15,'EA-Fortescue_SDExport'!A:A,'EA-Fortescue_SDExport'!B:B),
    _xlpm.lookupKey, IF(_xlpm.isObject="Object",
        _xlfn.XLOOKUP($A15,'EA-ConnectorExport'!A:A,'EA-ConnectorExport'!J:J),
        $Y15
    ),
    _xlpm.result, _xlfn.XLOOKUP(_xlpm.lookupKey,'EA-Fortescue_SDExport'!A:A,'EA-Fortescue_SDExport'!AD:AD),
    IF(_xlpm.result=0,"",_xlpm.result)
)</f>
        <v>855DC Decarb Green Systems</v>
      </c>
      <c r="AD15" s="2" t="str">
        <f>_xlfn.LET(
    _xlpm.isObject, _xlfn.XLOOKUP($Y15,'EA-Fortescue_SDExport'!A:A,'EA-Fortescue_SDExport'!B:B),
    _xlpm.lookupKey, IF(_xlpm.isObject="Object",
        _xlfn.XLOOKUP($A15,'EA-ConnectorExport'!A:A,'EA-ConnectorExport'!J:J),
        $Y15
    ),
    _xlpm.result, _xlfn.XLOOKUP(_xlpm.lookupKey,'EA-Fortescue_SDExport'!A:A,'EA-Fortescue_SDExport'!AE:AE),
    IF(_xlpm.result=0,"",_xlpm.result)
)</f>
        <v>855DC-1542 Control &amp; Monitoring Systems</v>
      </c>
      <c r="AE15" s="2" t="str">
        <f>_xlfn.LET(
    _xlpm.isObject, _xlfn.XLOOKUP($Y15,'EA-Fortescue_SDExport'!A:A,'EA-Fortescue_SDExport'!B:B),
    _xlpm.lookupKey, IF(_xlpm.isObject="Object",
        _xlfn.XLOOKUP($A15,'EA-ConnectorExport'!A:A,'EA-ConnectorExport'!J:J),
        $Y15
    ),
    _xlpm.result, _xlfn.XLOOKUP(_xlpm.lookupKey,'EA-Fortescue_SDExport'!A:A,'EA-Fortescue_SDExport'!AF:AF),
    IF(_xlpm.result=0,"",_xlpm.result)
)</f>
        <v>855DC-1542-009 Elysia</v>
      </c>
      <c r="AF15" s="2" t="str">
        <f>_xlfn.LET(
    _xlpm.isObject, _xlfn.XLOOKUP($Y15,'EA-Fortescue_SDExport'!A:A,'EA-Fortescue_SDExport'!B:B),
    _xlpm.lookupKey, IF(_xlpm.isObject="Object",
        _xlfn.XLOOKUP($A15,'EA-ConnectorExport'!A:A,'EA-ConnectorExport'!J:J),
        $Y15
    ),
    _xlpm.result, _xlfn.XLOOKUP(_xlpm.lookupKey,'EA-Fortescue_SDExport'!A:A,'EA-Fortescue_SDExport'!AG:AG),
    IF(_xlpm.result=0,"",_xlpm.result)
)</f>
        <v/>
      </c>
    </row>
    <row r="16" spans="1:32" ht="180" x14ac:dyDescent="0.25">
      <c r="A16" s="2" t="str">
        <v>DGS-I_0015</v>
      </c>
      <c r="B16" s="2" t="str">
        <f t="shared" si="0"/>
        <v>855DC-1541-ECL Eclipse|859DC-1410-001 HaulX</v>
      </c>
      <c r="C16" s="2" t="str">
        <f>_xlfn.LET(_xlpm.result, _xlfn.XLOOKUP(A16,'EA-Fortescue_SDExport'!A:A,'EA-Fortescue_SDExport'!AM:AM), IF(_xlpm.result=0,"",_xlpm.result))</f>
        <v>Abby Buters</v>
      </c>
      <c r="D16" s="2" t="str">
        <f>_xlfn.LET(_xlpm.result, _xlfn.XLOOKUP(A16,'EA-Fortescue_SDExport'!A:A,'EA-Fortescue_SDExport'!AN:AN), IF(_xlpm.result=0,"",_xlpm.result))</f>
        <v>TBC</v>
      </c>
      <c r="E16" s="2" t="str">
        <f>_xlfn.XLOOKUP(R16&amp;Z16,Lookups!A:A,Lookups!B:B)</f>
        <v>Project - Project Interface</v>
      </c>
      <c r="F16" s="2" t="str">
        <f>_xlfn.LET(_xlpm.result, _xlfn.XLOOKUP(A16,'EA-Fortescue_SDExport'!A:A,'EA-Fortescue_SDExport'!AP:AP), IF(_xlpm.result=0,"",_xlpm.result))</f>
        <v>Technical-Data/Software</v>
      </c>
      <c r="G16" s="2" t="str">
        <f>IF(OR(AND(T16&lt;&gt;"", COUNTIF(Lookups!J:J, "*"&amp;T16&amp;"*")&gt;0), AND(AB16&lt;&gt;"", COUNTIF(Lookups!J:J, "*"&amp;AB16&amp;"*")&gt;0)), "Yes", "No")</f>
        <v>No</v>
      </c>
      <c r="H16" s="2" t="str">
        <f t="shared" si="1"/>
        <v>855DC Decarb Green Systems|859DC HaulX</v>
      </c>
      <c r="I16" s="2" t="str">
        <f t="shared" si="2"/>
        <v>855DC-1541 Planning and Forecast Systems|N/A</v>
      </c>
      <c r="J16" s="2" t="str">
        <f t="shared" si="3"/>
        <v>855DC-1541-ECL Eclipse|859DC-1410-001 HaulX</v>
      </c>
      <c r="K16" s="2" t="str">
        <f>_xlfn.XLOOKUP(A16,'EA-Fortescue_SDExport'!A:A,'EA-Fortescue_SDExport'!N:N)</f>
        <v>Simplified Interface</v>
      </c>
      <c r="L16" s="2" t="str">
        <f>_xlfn.LET(_xlpm.result, _xlfn.XLOOKUP($A16,'EA-Fortescue_SDExport'!$A:$A,'EA-Fortescue_SDExport'!AQ:AQ), IF(_xlpm.result=0,"",_xlpm.result))</f>
        <v>This interface allows Eclipse to share operational context, operator inputs, or planning-related information with HaulX so haulage activity aligns with upstream operational systems.</v>
      </c>
      <c r="M16" s="2" t="str">
        <f>_xlfn.LET(_xlpm.result, _xlfn.XLOOKUP($A16,'EA-Fortescue_SDExport'!$A:$A,'EA-Fortescue_SDExport'!AR:AR), IF(_xlpm.result=0,"",_xlpm.result))</f>
        <v>MEDIUM</v>
      </c>
      <c r="N16" s="2" t="str">
        <f>_xlfn.LET(_xlpm.result, _xlfn.XLOOKUP($A16,'EA-Fortescue_SDExport'!$A:$A,'EA-Fortescue_SDExport'!AW:AW), IF(_xlpm.result=0,"",_xlpm.result))</f>
        <v>The criticality level is MEDIUM because, although failure may reduce coordination quality or cause planning misalignment, HaulX can continue operation. The impact affects optimisation rather than core control or safety.</v>
      </c>
      <c r="O16" s="2" t="str">
        <f>_xlfn.LET(_xlpm.result, _xlfn.XLOOKUP($A16,'EA-Fortescue_SDExport'!$A:$A,'EA-Fortescue_SDExport'!AV:AV), IF(_xlpm.result=0,"",_xlpm.result))</f>
        <v>Eclipse -&gt; HaulX</v>
      </c>
      <c r="P16" s="2" t="str">
        <f>_xlfn.LET(_xlpm.result, _xlfn.XLOOKUP($A16,'EA-Fortescue_SDExport'!$A:$A,'EA-Fortescue_SDExport'!D:D), IF(_xlpm.result=0,"",_xlpm.result))</f>
        <v>Interface Review 25/11/2025: Future state integration which still needs to be defined by the project team._x000D_
NH 25/02/2026: Fields updated:Interface Type, Interface Flow</v>
      </c>
      <c r="Q16" s="2" t="str">
        <f>_xlfn.LET(
    _xlpm.status, _xlfn.XLOOKUP($A16,'EA-ConnectorExport'!$A:$A,'EA-ConnectorExport'!G:G),
    _xlpm.result, _xlfn.XLOOKUP($A16,'EA-ConnectorExport'!$A:$A,'EA-ConnectorExport'!B:B),
    IF(_xlpm.status="allocate", _xlpm.result, "")
)</f>
        <v>855DC-1541-ECL Eclipse</v>
      </c>
      <c r="R16" s="2" t="str">
        <f>IF(
    _xlfn.XLOOKUP($Q16,'EA-Fortescue_SDExport'!A:A,'EA-Fortescue_SDExport'!B:B)="Object",
    _xlfn.XLOOKUP(
        _xlfn.XLOOKUP($A16,'EA-ConnectorExport'!A:A,'EA-ConnectorExport'!D:D),
        'EA-Fortescue_SDExport'!A:A,
        'EA-Fortescue_SDExport'!AA:AA
    ),
    _xlfn.XLOOKUP($Q16,'EA-Fortescue_SDExport'!A:A,'EA-Fortescue_SDExport'!AA:AA)
)</f>
        <v>Project</v>
      </c>
      <c r="S16" s="2" t="str">
        <f>_xlfn.LET(_xlpm.result, _xlfn.XLOOKUP($Q16,'EA-Fortescue_SDExport'!$A:$A,'EA-Fortescue_SDExport'!AB:AB), IF(_xlpm.result=0,"",_xlpm.result))</f>
        <v>Energy Operations</v>
      </c>
      <c r="T16" s="2" t="str">
        <f>_xlfn.LET(_xlpm.result, _xlfn.XLOOKUP($Q16,'EA-Fortescue_SDExport'!$A:$A,'EA-Fortescue_SDExport'!AC:AC), IF(_xlpm.result=0,"",_xlpm.result))</f>
        <v/>
      </c>
      <c r="U16" s="2" t="str">
        <f>_xlfn.LET(
    _xlpm.isObject, _xlfn.XLOOKUP($Q16,'EA-Fortescue_SDExport'!A:A,'EA-Fortescue_SDExport'!B:B),
    _xlpm.lookupKey, IF(_xlpm.isObject="Object",
        _xlfn.XLOOKUP($A16,'EA-ConnectorExport'!A:A,'EA-ConnectorExport'!D:D),
        $Q16
    ),
    _xlpm.result, _xlfn.XLOOKUP(_xlpm.lookupKey,'EA-Fortescue_SDExport'!A:A,'EA-Fortescue_SDExport'!AD:AD),
    IF(_xlpm.result=0,"",_xlpm.result)
)</f>
        <v>855DC Decarb Green Systems</v>
      </c>
      <c r="V16" s="2" t="str">
        <f>_xlfn.LET(
    _xlpm.isObject, _xlfn.XLOOKUP($Q16,'EA-Fortescue_SDExport'!A:A,'EA-Fortescue_SDExport'!B:B),
    _xlpm.lookupKey, IF(_xlpm.isObject="Object",
        _xlfn.XLOOKUP($A16,'EA-ConnectorExport'!A:A,'EA-ConnectorExport'!D:D),
        $Q16
    ),
    _xlpm.result, _xlfn.XLOOKUP(_xlpm.lookupKey,'EA-Fortescue_SDExport'!A:A,'EA-Fortescue_SDExport'!AE:AE),
    IF(_xlpm.result=0,"",_xlpm.result)
)</f>
        <v>855DC-1541 Planning and Forecast Systems</v>
      </c>
      <c r="W16" s="2" t="str">
        <f>_xlfn.LET(
    _xlpm.isObject, _xlfn.XLOOKUP($Q16,'EA-Fortescue_SDExport'!A:A,'EA-Fortescue_SDExport'!B:B),
    _xlpm.lookupKey, IF(_xlpm.isObject="Object",
        _xlfn.XLOOKUP($A16,'EA-ConnectorExport'!A:A,'EA-ConnectorExport'!D:D),
        $Q16
    ),
    _xlpm.result, _xlfn.XLOOKUP(_xlpm.lookupKey,'EA-Fortescue_SDExport'!A:A,'EA-Fortescue_SDExport'!AF:AF),
    IF(_xlpm.result=0,"",_xlpm.result)
)</f>
        <v>855DC-1541-ECL Eclipse</v>
      </c>
      <c r="X16" s="2" t="str">
        <f>_xlfn.LET(
    _xlpm.isObject, _xlfn.XLOOKUP($Q16,'EA-Fortescue_SDExport'!A:A,'EA-Fortescue_SDExport'!B:B),
    _xlpm.lookupKey, IF(_xlpm.isObject="Object",
        _xlfn.XLOOKUP($A16,'EA-ConnectorExport'!A:A,'EA-ConnectorExport'!D:D),
        $Q16
    ),
    _xlpm.result, _xlfn.XLOOKUP(_xlpm.lookupKey,'EA-Fortescue_SDExport'!A:A,'EA-Fortescue_SDExport'!AG:AG),
    IF(_xlpm.result=0,"",_xlpm.result)
)</f>
        <v/>
      </c>
      <c r="Y16" s="2" t="str">
        <f>_xlfn.LET(
    _xlpm.status, _xlfn.XLOOKUP($A16,'EA-ConnectorExport'!$A:$A,'EA-ConnectorExport'!G:G),
    _xlpm.result, _xlfn.XLOOKUP($A16,'EA-ConnectorExport'!$A:$A,'EA-ConnectorExport'!H:H),
    IF(_xlpm.status="allocate", _xlpm.result, "")
)</f>
        <v>859DC-1410-001 HaulX</v>
      </c>
      <c r="Z16" s="2" t="str">
        <f>_xlfn.LET(
    _xlpm.isObject, _xlfn.XLOOKUP($Y16,'EA-Fortescue_SDExport'!A:A,'EA-Fortescue_SDExport'!B:B),
    _xlpm.lookupKey, IF(_xlpm.isObject="Object",
        _xlfn.XLOOKUP($A16,'EA-ConnectorExport'!A:A,'EA-ConnectorExport'!J:J),
        $Y16
    ),
    _xlpm.result, _xlfn.XLOOKUP(_xlpm.lookupKey,'EA-Fortescue_SDExport'!A:A,'EA-Fortescue_SDExport'!AA:AA),
    IF(_xlpm.result=0,"",_xlpm.result)
)</f>
        <v>Project</v>
      </c>
      <c r="AA16" s="2" t="str">
        <f>_xlfn.LET(_xlpm.result, _xlfn.XLOOKUP($Y16,'EA-Fortescue_SDExport'!$A:$A,'EA-Fortescue_SDExport'!AB:AB), IF(_xlpm.result=0,"",_xlpm.result))</f>
        <v/>
      </c>
      <c r="AB16" s="2" t="str">
        <f>_xlfn.LET(_xlpm.result, _xlfn.XLOOKUP($Y16,'EA-Fortescue_SDExport'!$A:$A,'EA-Fortescue_SDExport'!AC:AC), IF(_xlpm.result=0,"",_xlpm.result))</f>
        <v/>
      </c>
      <c r="AC16" s="2" t="str">
        <f>_xlfn.LET(
    _xlpm.isObject, _xlfn.XLOOKUP($Y16,'EA-Fortescue_SDExport'!A:A,'EA-Fortescue_SDExport'!B:B),
    _xlpm.lookupKey, IF(_xlpm.isObject="Object",
        _xlfn.XLOOKUP($A16,'EA-ConnectorExport'!A:A,'EA-ConnectorExport'!J:J),
        $Y16
    ),
    _xlpm.result, _xlfn.XLOOKUP(_xlpm.lookupKey,'EA-Fortescue_SDExport'!A:A,'EA-Fortescue_SDExport'!AD:AD),
    IF(_xlpm.result=0,"",_xlpm.result)
)</f>
        <v>859DC HaulX</v>
      </c>
      <c r="AD16" s="2" t="str">
        <f>_xlfn.LET(
    _xlpm.isObject, _xlfn.XLOOKUP($Y16,'EA-Fortescue_SDExport'!A:A,'EA-Fortescue_SDExport'!B:B),
    _xlpm.lookupKey, IF(_xlpm.isObject="Object",
        _xlfn.XLOOKUP($A16,'EA-ConnectorExport'!A:A,'EA-ConnectorExport'!J:J),
        $Y16
    ),
    _xlpm.result, _xlfn.XLOOKUP(_xlpm.lookupKey,'EA-Fortescue_SDExport'!A:A,'EA-Fortescue_SDExport'!AE:AE),
    IF(_xlpm.result=0,"",_xlpm.result)
)</f>
        <v/>
      </c>
      <c r="AE16" s="2" t="str">
        <f>_xlfn.LET(
    _xlpm.isObject, _xlfn.XLOOKUP($Y16,'EA-Fortescue_SDExport'!A:A,'EA-Fortescue_SDExport'!B:B),
    _xlpm.lookupKey, IF(_xlpm.isObject="Object",
        _xlfn.XLOOKUP($A16,'EA-ConnectorExport'!A:A,'EA-ConnectorExport'!J:J),
        $Y16
    ),
    _xlpm.result, _xlfn.XLOOKUP(_xlpm.lookupKey,'EA-Fortescue_SDExport'!A:A,'EA-Fortescue_SDExport'!AF:AF),
    IF(_xlpm.result=0,"",_xlpm.result)
)</f>
        <v>859DC-1410-001 HaulX</v>
      </c>
      <c r="AF16" s="2" t="str">
        <f>_xlfn.LET(
    _xlpm.isObject, _xlfn.XLOOKUP($Y16,'EA-Fortescue_SDExport'!A:A,'EA-Fortescue_SDExport'!B:B),
    _xlpm.lookupKey, IF(_xlpm.isObject="Object",
        _xlfn.XLOOKUP($A16,'EA-ConnectorExport'!A:A,'EA-ConnectorExport'!J:J),
        $Y16
    ),
    _xlpm.result, _xlfn.XLOOKUP(_xlpm.lookupKey,'EA-Fortescue_SDExport'!A:A,'EA-Fortescue_SDExport'!AG:AG),
    IF(_xlpm.result=0,"",_xlpm.result)
)</f>
        <v/>
      </c>
    </row>
    <row r="17" spans="1:32" ht="165" x14ac:dyDescent="0.25">
      <c r="A17" s="2" t="str">
        <v>DGS-I_0016</v>
      </c>
      <c r="B17" s="2" t="str">
        <f t="shared" si="0"/>
        <v>855DC-1541-ECL Eclipse|855DC-1543-008 Monarch</v>
      </c>
      <c r="C17" s="2" t="str">
        <f>_xlfn.LET(_xlpm.result, _xlfn.XLOOKUP(A17,'EA-Fortescue_SDExport'!A:A,'EA-Fortescue_SDExport'!AM:AM), IF(_xlpm.result=0,"",_xlpm.result))</f>
        <v>Abby Buters</v>
      </c>
      <c r="D17" s="2" t="str">
        <f>_xlfn.LET(_xlpm.result, _xlfn.XLOOKUP(A17,'EA-Fortescue_SDExport'!A:A,'EA-Fortescue_SDExport'!AN:AN), IF(_xlpm.result=0,"",_xlpm.result))</f>
        <v>Kareema Ramli (Senior Engineer - Energy Data Systems &amp; Governance)</v>
      </c>
      <c r="E17" s="2" t="str">
        <f>_xlfn.XLOOKUP(R17&amp;Z17,Lookups!A:A,Lookups!B:B)</f>
        <v>Project - Project Interface</v>
      </c>
      <c r="F17" s="2" t="str">
        <f>_xlfn.LET(_xlpm.result, _xlfn.XLOOKUP(A17,'EA-Fortescue_SDExport'!A:A,'EA-Fortescue_SDExport'!AP:AP), IF(_xlpm.result=0,"",_xlpm.result))</f>
        <v>Technical-Data/Software</v>
      </c>
      <c r="G17" s="2" t="str">
        <f>IF(OR(AND(T17&lt;&gt;"", COUNTIF(Lookups!J:J, "*"&amp;T17&amp;"*")&gt;0), AND(AB17&lt;&gt;"", COUNTIF(Lookups!J:J, "*"&amp;AB17&amp;"*")&gt;0)), "Yes", "No")</f>
        <v>No</v>
      </c>
      <c r="H17" s="2" t="str">
        <f t="shared" si="1"/>
        <v>855DC Decarb Green Systems|855DC Decarb Green Systems</v>
      </c>
      <c r="I17" s="2" t="str">
        <f t="shared" si="2"/>
        <v>855DC-1541 Planning and Forecast Systems|855DC-1543 Existing Systems - Green Enhancement</v>
      </c>
      <c r="J17" s="2" t="str">
        <f t="shared" si="3"/>
        <v>855DC-1541-ECL Eclipse|855DC-1543-008 Monarch</v>
      </c>
      <c r="K17" s="2" t="str">
        <f>_xlfn.XLOOKUP(A17,'EA-Fortescue_SDExport'!A:A,'EA-Fortescue_SDExport'!N:N)</f>
        <v>Simplified Interface</v>
      </c>
      <c r="L17" s="2" t="str">
        <f>_xlfn.LET(_xlpm.result, _xlfn.XLOOKUP($A17,'EA-Fortescue_SDExport'!$A:$A,'EA-Fortescue_SDExport'!AQ:AQ), IF(_xlpm.result=0,"",_xlpm.result))</f>
        <v>The purpose of this interface is to transfer daily 24-hour charging profiles from Plexos to Monarch via the internal EGC pipeline.</v>
      </c>
      <c r="M17" s="2" t="str">
        <f>_xlfn.LET(_xlpm.result, _xlfn.XLOOKUP($A17,'EA-Fortescue_SDExport'!$A:$A,'EA-Fortescue_SDExport'!AR:AR), IF(_xlpm.result=0,"",_xlpm.result))</f>
        <v>HIGH</v>
      </c>
      <c r="N17" s="2" t="str">
        <f>_xlfn.LET(_xlpm.result, _xlfn.XLOOKUP($A17,'EA-Fortescue_SDExport'!$A:$A,'EA-Fortescue_SDExport'!AW:AW), IF(_xlpm.result=0,"",_xlpm.result))</f>
        <v>The criticality level is HIGH because Monarch depends on these schedules for fleet-wide charging management. Failure directly impacts the ability to coordinate charging load, risking network instability or production delays.</v>
      </c>
      <c r="O17" s="2" t="str">
        <f>_xlfn.LET(_xlpm.result, _xlfn.XLOOKUP($A17,'EA-Fortescue_SDExport'!$A:$A,'EA-Fortescue_SDExport'!AV:AV), IF(_xlpm.result=0,"",_xlpm.result))</f>
        <v>Plexos (Corporate IT) -&gt; EGC Pipeline -&gt; Monarch</v>
      </c>
      <c r="P17" s="2" t="str">
        <f>_xlfn.LET(_xlpm.result, _xlfn.XLOOKUP($A17,'EA-Fortescue_SDExport'!$A:$A,'EA-Fortescue_SDExport'!D:D), IF(_xlpm.result=0,"",_xlpm.result))</f>
        <v>Interface Review 25/11/2025: Future state integration, which still needs to be defined by the project team. Only involved with the short-term dispatch of energy.</v>
      </c>
      <c r="Q17" s="2" t="str">
        <f>_xlfn.LET(
    _xlpm.status, _xlfn.XLOOKUP($A17,'EA-ConnectorExport'!$A:$A,'EA-ConnectorExport'!G:G),
    _xlpm.result, _xlfn.XLOOKUP($A17,'EA-ConnectorExport'!$A:$A,'EA-ConnectorExport'!B:B),
    IF(_xlpm.status="allocate", _xlpm.result, "")
)</f>
        <v>855DC-1541-ECL Eclipse</v>
      </c>
      <c r="R17" s="2" t="str">
        <f>IF(
    _xlfn.XLOOKUP($Q17,'EA-Fortescue_SDExport'!A:A,'EA-Fortescue_SDExport'!B:B)="Object",
    _xlfn.XLOOKUP(
        _xlfn.XLOOKUP($A17,'EA-ConnectorExport'!A:A,'EA-ConnectorExport'!D:D),
        'EA-Fortescue_SDExport'!A:A,
        'EA-Fortescue_SDExport'!AA:AA
    ),
    _xlfn.XLOOKUP($Q17,'EA-Fortescue_SDExport'!A:A,'EA-Fortescue_SDExport'!AA:AA)
)</f>
        <v>Project</v>
      </c>
      <c r="S17" s="2" t="str">
        <f>_xlfn.LET(_xlpm.result, _xlfn.XLOOKUP($Q17,'EA-Fortescue_SDExport'!$A:$A,'EA-Fortescue_SDExport'!AB:AB), IF(_xlpm.result=0,"",_xlpm.result))</f>
        <v>Energy Operations</v>
      </c>
      <c r="T17" s="2" t="str">
        <f>_xlfn.LET(_xlpm.result, _xlfn.XLOOKUP($Q17,'EA-Fortescue_SDExport'!$A:$A,'EA-Fortescue_SDExport'!AC:AC), IF(_xlpm.result=0,"",_xlpm.result))</f>
        <v/>
      </c>
      <c r="U17" s="2" t="str">
        <f>_xlfn.LET(
    _xlpm.isObject, _xlfn.XLOOKUP($Q17,'EA-Fortescue_SDExport'!A:A,'EA-Fortescue_SDExport'!B:B),
    _xlpm.lookupKey, IF(_xlpm.isObject="Object",
        _xlfn.XLOOKUP($A17,'EA-ConnectorExport'!A:A,'EA-ConnectorExport'!D:D),
        $Q17
    ),
    _xlpm.result, _xlfn.XLOOKUP(_xlpm.lookupKey,'EA-Fortescue_SDExport'!A:A,'EA-Fortescue_SDExport'!AD:AD),
    IF(_xlpm.result=0,"",_xlpm.result)
)</f>
        <v>855DC Decarb Green Systems</v>
      </c>
      <c r="V17" s="2" t="str">
        <f>_xlfn.LET(
    _xlpm.isObject, _xlfn.XLOOKUP($Q17,'EA-Fortescue_SDExport'!A:A,'EA-Fortescue_SDExport'!B:B),
    _xlpm.lookupKey, IF(_xlpm.isObject="Object",
        _xlfn.XLOOKUP($A17,'EA-ConnectorExport'!A:A,'EA-ConnectorExport'!D:D),
        $Q17
    ),
    _xlpm.result, _xlfn.XLOOKUP(_xlpm.lookupKey,'EA-Fortescue_SDExport'!A:A,'EA-Fortescue_SDExport'!AE:AE),
    IF(_xlpm.result=0,"",_xlpm.result)
)</f>
        <v>855DC-1541 Planning and Forecast Systems</v>
      </c>
      <c r="W17" s="2" t="str">
        <f>_xlfn.LET(
    _xlpm.isObject, _xlfn.XLOOKUP($Q17,'EA-Fortescue_SDExport'!A:A,'EA-Fortescue_SDExport'!B:B),
    _xlpm.lookupKey, IF(_xlpm.isObject="Object",
        _xlfn.XLOOKUP($A17,'EA-ConnectorExport'!A:A,'EA-ConnectorExport'!D:D),
        $Q17
    ),
    _xlpm.result, _xlfn.XLOOKUP(_xlpm.lookupKey,'EA-Fortescue_SDExport'!A:A,'EA-Fortescue_SDExport'!AF:AF),
    IF(_xlpm.result=0,"",_xlpm.result)
)</f>
        <v>855DC-1541-ECL Eclipse</v>
      </c>
      <c r="X17" s="2" t="str">
        <f>_xlfn.LET(
    _xlpm.isObject, _xlfn.XLOOKUP($Q17,'EA-Fortescue_SDExport'!A:A,'EA-Fortescue_SDExport'!B:B),
    _xlpm.lookupKey, IF(_xlpm.isObject="Object",
        _xlfn.XLOOKUP($A17,'EA-ConnectorExport'!A:A,'EA-ConnectorExport'!D:D),
        $Q17
    ),
    _xlpm.result, _xlfn.XLOOKUP(_xlpm.lookupKey,'EA-Fortescue_SDExport'!A:A,'EA-Fortescue_SDExport'!AG:AG),
    IF(_xlpm.result=0,"",_xlpm.result)
)</f>
        <v/>
      </c>
      <c r="Y17" s="2" t="str">
        <f>_xlfn.LET(
    _xlpm.status, _xlfn.XLOOKUP($A17,'EA-ConnectorExport'!$A:$A,'EA-ConnectorExport'!G:G),
    _xlpm.result, _xlfn.XLOOKUP($A17,'EA-ConnectorExport'!$A:$A,'EA-ConnectorExport'!H:H),
    IF(_xlpm.status="allocate", _xlpm.result, "")
)</f>
        <v>855DC-1543-008 Monarch</v>
      </c>
      <c r="Z17" s="2" t="str">
        <f>_xlfn.LET(
    _xlpm.isObject, _xlfn.XLOOKUP($Y17,'EA-Fortescue_SDExport'!A:A,'EA-Fortescue_SDExport'!B:B),
    _xlpm.lookupKey, IF(_xlpm.isObject="Object",
        _xlfn.XLOOKUP($A17,'EA-ConnectorExport'!A:A,'EA-ConnectorExport'!J:J),
        $Y17
    ),
    _xlpm.result, _xlfn.XLOOKUP(_xlpm.lookupKey,'EA-Fortescue_SDExport'!A:A,'EA-Fortescue_SDExport'!AA:AA),
    IF(_xlpm.result=0,"",_xlpm.result)
)</f>
        <v>Project</v>
      </c>
      <c r="AA17" s="2" t="str">
        <f>_xlfn.LET(_xlpm.result, _xlfn.XLOOKUP($Y17,'EA-Fortescue_SDExport'!$A:$A,'EA-Fortescue_SDExport'!AB:AB), IF(_xlpm.result=0,"",_xlpm.result))</f>
        <v>Energy Operations</v>
      </c>
      <c r="AB17" s="2" t="str">
        <f>_xlfn.LET(_xlpm.result, _xlfn.XLOOKUP($Y17,'EA-Fortescue_SDExport'!$A:$A,'EA-Fortescue_SDExport'!AC:AC), IF(_xlpm.result=0,"",_xlpm.result))</f>
        <v/>
      </c>
      <c r="AC17" s="2" t="str">
        <f>_xlfn.LET(
    _xlpm.isObject, _xlfn.XLOOKUP($Y17,'EA-Fortescue_SDExport'!A:A,'EA-Fortescue_SDExport'!B:B),
    _xlpm.lookupKey, IF(_xlpm.isObject="Object",
        _xlfn.XLOOKUP($A17,'EA-ConnectorExport'!A:A,'EA-ConnectorExport'!J:J),
        $Y17
    ),
    _xlpm.result, _xlfn.XLOOKUP(_xlpm.lookupKey,'EA-Fortescue_SDExport'!A:A,'EA-Fortescue_SDExport'!AD:AD),
    IF(_xlpm.result=0,"",_xlpm.result)
)</f>
        <v>855DC Decarb Green Systems</v>
      </c>
      <c r="AD17" s="2" t="str">
        <f>_xlfn.LET(
    _xlpm.isObject, _xlfn.XLOOKUP($Y17,'EA-Fortescue_SDExport'!A:A,'EA-Fortescue_SDExport'!B:B),
    _xlpm.lookupKey, IF(_xlpm.isObject="Object",
        _xlfn.XLOOKUP($A17,'EA-ConnectorExport'!A:A,'EA-ConnectorExport'!J:J),
        $Y17
    ),
    _xlpm.result, _xlfn.XLOOKUP(_xlpm.lookupKey,'EA-Fortescue_SDExport'!A:A,'EA-Fortescue_SDExport'!AE:AE),
    IF(_xlpm.result=0,"",_xlpm.result)
)</f>
        <v>855DC-1543 Existing Systems - Green Enhancement</v>
      </c>
      <c r="AE17" s="2" t="str">
        <f>_xlfn.LET(
    _xlpm.isObject, _xlfn.XLOOKUP($Y17,'EA-Fortescue_SDExport'!A:A,'EA-Fortescue_SDExport'!B:B),
    _xlpm.lookupKey, IF(_xlpm.isObject="Object",
        _xlfn.XLOOKUP($A17,'EA-ConnectorExport'!A:A,'EA-ConnectorExport'!J:J),
        $Y17
    ),
    _xlpm.result, _xlfn.XLOOKUP(_xlpm.lookupKey,'EA-Fortescue_SDExport'!A:A,'EA-Fortescue_SDExport'!AF:AF),
    IF(_xlpm.result=0,"",_xlpm.result)
)</f>
        <v>855DC-1543-008 Monarch</v>
      </c>
      <c r="AF17" s="2" t="str">
        <f>_xlfn.LET(
    _xlpm.isObject, _xlfn.XLOOKUP($Y17,'EA-Fortescue_SDExport'!A:A,'EA-Fortescue_SDExport'!B:B),
    _xlpm.lookupKey, IF(_xlpm.isObject="Object",
        _xlfn.XLOOKUP($A17,'EA-ConnectorExport'!A:A,'EA-ConnectorExport'!J:J),
        $Y17
    ),
    _xlpm.result, _xlfn.XLOOKUP(_xlpm.lookupKey,'EA-Fortescue_SDExport'!A:A,'EA-Fortescue_SDExport'!AG:AG),
    IF(_xlpm.result=0,"",_xlpm.result)
)</f>
        <v/>
      </c>
    </row>
    <row r="18" spans="1:32" ht="60" x14ac:dyDescent="0.25">
      <c r="A18" s="2" t="str">
        <v>DGS-I_0017</v>
      </c>
      <c r="B18" s="2" t="str">
        <f t="shared" si="0"/>
        <v>005OP-0000-002 ALF|855DC-1541-ECL Eclipse</v>
      </c>
      <c r="C18" s="2" t="str">
        <f>_xlfn.LET(_xlpm.result, _xlfn.XLOOKUP(A18,'EA-Fortescue_SDExport'!A:A,'EA-Fortescue_SDExport'!AM:AM), IF(_xlpm.result=0,"",_xlpm.result))</f>
        <v>Abby Buters</v>
      </c>
      <c r="D18" s="2" t="str">
        <f>_xlfn.LET(_xlpm.result, _xlfn.XLOOKUP(A18,'EA-Fortescue_SDExport'!A:A,'EA-Fortescue_SDExport'!AN:AN), IF(_xlpm.result=0,"",_xlpm.result))</f>
        <v>Shaun Batcock</v>
      </c>
      <c r="E18" s="2" t="str">
        <f>_xlfn.XLOOKUP(R18&amp;Z18,Lookups!A:A,Lookups!B:B)</f>
        <v>Project - Project Interface</v>
      </c>
      <c r="F18" s="2" t="str">
        <f>_xlfn.LET(_xlpm.result, _xlfn.XLOOKUP(A18,'EA-Fortescue_SDExport'!A:A,'EA-Fortescue_SDExport'!AP:AP), IF(_xlpm.result=0,"",_xlpm.result))</f>
        <v>Technical-Data/Software</v>
      </c>
      <c r="G18" s="2" t="str">
        <f>IF(OR(AND(T18&lt;&gt;"", COUNTIF(Lookups!J:J, "*"&amp;T18&amp;"*")&gt;0), AND(AB18&lt;&gt;"", COUNTIF(Lookups!J:J, "*"&amp;AB18&amp;"*")&gt;0)), "Yes", "No")</f>
        <v>No</v>
      </c>
      <c r="H18" s="2" t="str">
        <f t="shared" si="1"/>
        <v>005OP IT/OT Systems|855DC Decarb Green Systems</v>
      </c>
      <c r="I18" s="2" t="str">
        <f t="shared" si="2"/>
        <v>N/A|855DC-1541 Planning and Forecast Systems</v>
      </c>
      <c r="J18" s="2" t="str">
        <f t="shared" si="3"/>
        <v>005OP-0000-002 ALF|855DC-1541-ECL Eclipse</v>
      </c>
      <c r="K18" s="2" t="str">
        <f>_xlfn.XLOOKUP(A18,'EA-Fortescue_SDExport'!A:A,'EA-Fortescue_SDExport'!N:N)</f>
        <v>Simplified Interface</v>
      </c>
      <c r="L18" s="2" t="str">
        <f>_xlfn.LET(_xlpm.result, _xlfn.XLOOKUP($A18,'EA-Fortescue_SDExport'!$A:$A,'EA-Fortescue_SDExport'!AQ:AQ), IF(_xlpm.result=0,"",_xlpm.result))</f>
        <v>The purpose of this interface is to send train schedule data from Snowflake to the Eclipse database for short-term mine planning. This data originates from ALF and is intended for use in a future state development.</v>
      </c>
      <c r="M18" s="2" t="str">
        <f>_xlfn.LET(_xlpm.result, _xlfn.XLOOKUP($A18,'EA-Fortescue_SDExport'!$A:$A,'EA-Fortescue_SDExport'!AR:AR), IF(_xlpm.result=0,"",_xlpm.result))</f>
        <v>HIGH</v>
      </c>
      <c r="N18" s="2" t="str">
        <f>_xlfn.LET(_xlpm.result, _xlfn.XLOOKUP($A18,'EA-Fortescue_SDExport'!$A:$A,'EA-Fortescue_SDExport'!AW:AW), IF(_xlpm.result=0,"",_xlpm.result))</f>
        <v>The criticality is HIGH because train schedules materially influence short-term load forecasts and operational demand profiles used within the risk-aware optimisation process. Inaccurate or missing schedule data could result in misforecasted load, increased SOC reserve breach risk, inefficient gas nominations, or suboptimal commitment decisions affecting grid stability and production continuity.</v>
      </c>
      <c r="O18" s="2" t="str">
        <f>_xlfn.LET(_xlpm.result, _xlfn.XLOOKUP($A18,'EA-Fortescue_SDExport'!$A:$A,'EA-Fortescue_SDExport'!AV:AV), IF(_xlpm.result=0,"",_xlpm.result))</f>
        <v>Uni-directional -&gt; ALF -&gt; Snowflake -&gt; Eclipse</v>
      </c>
      <c r="P18" s="2" t="str">
        <f>_xlfn.LET(_xlpm.result, _xlfn.XLOOKUP($A18,'EA-Fortescue_SDExport'!$A:$A,'EA-Fortescue_SDExport'!D:D), IF(_xlpm.result=0,"",_xlpm.result))</f>
        <v>NH 25/02/2026: Fields updated:Interface Criticality Explanation</v>
      </c>
      <c r="Q18" s="2" t="str">
        <f>_xlfn.LET(
    _xlpm.status, _xlfn.XLOOKUP($A18,'EA-ConnectorExport'!$A:$A,'EA-ConnectorExport'!G:G),
    _xlpm.result, _xlfn.XLOOKUP($A18,'EA-ConnectorExport'!$A:$A,'EA-ConnectorExport'!B:B),
    IF(_xlpm.status="allocate", _xlpm.result, "")
)</f>
        <v>005OP-0000-002 ALF</v>
      </c>
      <c r="R18" s="2" t="str">
        <f>IF(
    _xlfn.XLOOKUP($Q18,'EA-Fortescue_SDExport'!A:A,'EA-Fortescue_SDExport'!B:B)="Object",
    _xlfn.XLOOKUP(
        _xlfn.XLOOKUP($A18,'EA-ConnectorExport'!A:A,'EA-ConnectorExport'!D:D),
        'EA-Fortescue_SDExport'!A:A,
        'EA-Fortescue_SDExport'!AA:AA
    ),
    _xlfn.XLOOKUP($Q18,'EA-Fortescue_SDExport'!A:A,'EA-Fortescue_SDExport'!AA:AA)
)</f>
        <v>Project</v>
      </c>
      <c r="S18" s="2" t="str">
        <f>_xlfn.LET(_xlpm.result, _xlfn.XLOOKUP($Q18,'EA-Fortescue_SDExport'!$A:$A,'EA-Fortescue_SDExport'!AB:AB), IF(_xlpm.result=0,"",_xlpm.result))</f>
        <v/>
      </c>
      <c r="T18" s="2" t="str">
        <f>_xlfn.LET(_xlpm.result, _xlfn.XLOOKUP($Q18,'EA-Fortescue_SDExport'!$A:$A,'EA-Fortescue_SDExport'!AC:AC), IF(_xlpm.result=0,"",_xlpm.result))</f>
        <v/>
      </c>
      <c r="U18" s="2" t="str">
        <f>_xlfn.LET(
    _xlpm.isObject, _xlfn.XLOOKUP($Q18,'EA-Fortescue_SDExport'!A:A,'EA-Fortescue_SDExport'!B:B),
    _xlpm.lookupKey, IF(_xlpm.isObject="Object",
        _xlfn.XLOOKUP($A18,'EA-ConnectorExport'!A:A,'EA-ConnectorExport'!D:D),
        $Q18
    ),
    _xlpm.result, _xlfn.XLOOKUP(_xlpm.lookupKey,'EA-Fortescue_SDExport'!A:A,'EA-Fortescue_SDExport'!AD:AD),
    IF(_xlpm.result=0,"",_xlpm.result)
)</f>
        <v>005OP IT/OT Systems</v>
      </c>
      <c r="V18" s="2" t="str">
        <f>_xlfn.LET(
    _xlpm.isObject, _xlfn.XLOOKUP($Q18,'EA-Fortescue_SDExport'!A:A,'EA-Fortescue_SDExport'!B:B),
    _xlpm.lookupKey, IF(_xlpm.isObject="Object",
        _xlfn.XLOOKUP($A18,'EA-ConnectorExport'!A:A,'EA-ConnectorExport'!D:D),
        $Q18
    ),
    _xlpm.result, _xlfn.XLOOKUP(_xlpm.lookupKey,'EA-Fortescue_SDExport'!A:A,'EA-Fortescue_SDExport'!AE:AE),
    IF(_xlpm.result=0,"",_xlpm.result)
)</f>
        <v/>
      </c>
      <c r="W18" s="2" t="str">
        <f>_xlfn.LET(
    _xlpm.isObject, _xlfn.XLOOKUP($Q18,'EA-Fortescue_SDExport'!A:A,'EA-Fortescue_SDExport'!B:B),
    _xlpm.lookupKey, IF(_xlpm.isObject="Object",
        _xlfn.XLOOKUP($A18,'EA-ConnectorExport'!A:A,'EA-ConnectorExport'!D:D),
        $Q18
    ),
    _xlpm.result, _xlfn.XLOOKUP(_xlpm.lookupKey,'EA-Fortescue_SDExport'!A:A,'EA-Fortescue_SDExport'!AF:AF),
    IF(_xlpm.result=0,"",_xlpm.result)
)</f>
        <v>005OP-0000-002 ALF</v>
      </c>
      <c r="X18" s="2" t="str">
        <f>_xlfn.LET(
    _xlpm.isObject, _xlfn.XLOOKUP($Q18,'EA-Fortescue_SDExport'!A:A,'EA-Fortescue_SDExport'!B:B),
    _xlpm.lookupKey, IF(_xlpm.isObject="Object",
        _xlfn.XLOOKUP($A18,'EA-ConnectorExport'!A:A,'EA-ConnectorExport'!D:D),
        $Q18
    ),
    _xlpm.result, _xlfn.XLOOKUP(_xlpm.lookupKey,'EA-Fortescue_SDExport'!A:A,'EA-Fortescue_SDExport'!AG:AG),
    IF(_xlpm.result=0,"",_xlpm.result)
)</f>
        <v/>
      </c>
      <c r="Y18" s="2" t="str">
        <f>_xlfn.LET(
    _xlpm.status, _xlfn.XLOOKUP($A18,'EA-ConnectorExport'!$A:$A,'EA-ConnectorExport'!G:G),
    _xlpm.result, _xlfn.XLOOKUP($A18,'EA-ConnectorExport'!$A:$A,'EA-ConnectorExport'!H:H),
    IF(_xlpm.status="allocate", _xlpm.result, "")
)</f>
        <v>855DC-1541-ECL Eclipse</v>
      </c>
      <c r="Z18" s="2" t="str">
        <f>_xlfn.LET(
    _xlpm.isObject, _xlfn.XLOOKUP($Y18,'EA-Fortescue_SDExport'!A:A,'EA-Fortescue_SDExport'!B:B),
    _xlpm.lookupKey, IF(_xlpm.isObject="Object",
        _xlfn.XLOOKUP($A18,'EA-ConnectorExport'!A:A,'EA-ConnectorExport'!J:J),
        $Y18
    ),
    _xlpm.result, _xlfn.XLOOKUP(_xlpm.lookupKey,'EA-Fortescue_SDExport'!A:A,'EA-Fortescue_SDExport'!AA:AA),
    IF(_xlpm.result=0,"",_xlpm.result)
)</f>
        <v>Project</v>
      </c>
      <c r="AA18" s="2" t="str">
        <f>_xlfn.LET(_xlpm.result, _xlfn.XLOOKUP($Y18,'EA-Fortescue_SDExport'!$A:$A,'EA-Fortescue_SDExport'!AB:AB), IF(_xlpm.result=0,"",_xlpm.result))</f>
        <v>Energy Operations</v>
      </c>
      <c r="AB18" s="2" t="str">
        <f>_xlfn.LET(_xlpm.result, _xlfn.XLOOKUP($Y18,'EA-Fortescue_SDExport'!$A:$A,'EA-Fortescue_SDExport'!AC:AC), IF(_xlpm.result=0,"",_xlpm.result))</f>
        <v/>
      </c>
      <c r="AC18" s="2" t="str">
        <f>_xlfn.LET(
    _xlpm.isObject, _xlfn.XLOOKUP($Y18,'EA-Fortescue_SDExport'!A:A,'EA-Fortescue_SDExport'!B:B),
    _xlpm.lookupKey, IF(_xlpm.isObject="Object",
        _xlfn.XLOOKUP($A18,'EA-ConnectorExport'!A:A,'EA-ConnectorExport'!J:J),
        $Y18
    ),
    _xlpm.result, _xlfn.XLOOKUP(_xlpm.lookupKey,'EA-Fortescue_SDExport'!A:A,'EA-Fortescue_SDExport'!AD:AD),
    IF(_xlpm.result=0,"",_xlpm.result)
)</f>
        <v>855DC Decarb Green Systems</v>
      </c>
      <c r="AD18" s="2" t="str">
        <f>_xlfn.LET(
    _xlpm.isObject, _xlfn.XLOOKUP($Y18,'EA-Fortescue_SDExport'!A:A,'EA-Fortescue_SDExport'!B:B),
    _xlpm.lookupKey, IF(_xlpm.isObject="Object",
        _xlfn.XLOOKUP($A18,'EA-ConnectorExport'!A:A,'EA-ConnectorExport'!J:J),
        $Y18
    ),
    _xlpm.result, _xlfn.XLOOKUP(_xlpm.lookupKey,'EA-Fortescue_SDExport'!A:A,'EA-Fortescue_SDExport'!AE:AE),
    IF(_xlpm.result=0,"",_xlpm.result)
)</f>
        <v>855DC-1541 Planning and Forecast Systems</v>
      </c>
      <c r="AE18" s="2" t="str">
        <f>_xlfn.LET(
    _xlpm.isObject, _xlfn.XLOOKUP($Y18,'EA-Fortescue_SDExport'!A:A,'EA-Fortescue_SDExport'!B:B),
    _xlpm.lookupKey, IF(_xlpm.isObject="Object",
        _xlfn.XLOOKUP($A18,'EA-ConnectorExport'!A:A,'EA-ConnectorExport'!J:J),
        $Y18
    ),
    _xlpm.result, _xlfn.XLOOKUP(_xlpm.lookupKey,'EA-Fortescue_SDExport'!A:A,'EA-Fortescue_SDExport'!AF:AF),
    IF(_xlpm.result=0,"",_xlpm.result)
)</f>
        <v>855DC-1541-ECL Eclipse</v>
      </c>
      <c r="AF18" s="2" t="str">
        <f>_xlfn.LET(
    _xlpm.isObject, _xlfn.XLOOKUP($Y18,'EA-Fortescue_SDExport'!A:A,'EA-Fortescue_SDExport'!B:B),
    _xlpm.lookupKey, IF(_xlpm.isObject="Object",
        _xlfn.XLOOKUP($A18,'EA-ConnectorExport'!A:A,'EA-ConnectorExport'!J:J),
        $Y18
    ),
    _xlpm.result, _xlfn.XLOOKUP(_xlpm.lookupKey,'EA-Fortescue_SDExport'!A:A,'EA-Fortescue_SDExport'!AG:AG),
    IF(_xlpm.result=0,"",_xlpm.result)
)</f>
        <v/>
      </c>
    </row>
    <row r="19" spans="1:32" ht="165" x14ac:dyDescent="0.25">
      <c r="A19" s="2" t="str">
        <v>DGS-I_0018</v>
      </c>
      <c r="B19" s="2" t="str">
        <f t="shared" si="0"/>
        <v>005OP-0000-003 FLO|855DC-1541-ECL Eclipse</v>
      </c>
      <c r="C19" s="2" t="str">
        <f>_xlfn.LET(_xlpm.result, _xlfn.XLOOKUP(A19,'EA-Fortescue_SDExport'!A:A,'EA-Fortescue_SDExport'!AM:AM), IF(_xlpm.result=0,"",_xlpm.result))</f>
        <v>Abby Buters</v>
      </c>
      <c r="D19" s="2" t="str">
        <f>_xlfn.LET(_xlpm.result, _xlfn.XLOOKUP(A19,'EA-Fortescue_SDExport'!A:A,'EA-Fortescue_SDExport'!AN:AN), IF(_xlpm.result=0,"",_xlpm.result))</f>
        <v>Shaun Batcock</v>
      </c>
      <c r="E19" s="2" t="str">
        <f>_xlfn.XLOOKUP(R19&amp;Z19,Lookups!A:A,Lookups!B:B)</f>
        <v>Project - Project Interface</v>
      </c>
      <c r="F19" s="2" t="str">
        <f>_xlfn.LET(_xlpm.result, _xlfn.XLOOKUP(A19,'EA-Fortescue_SDExport'!A:A,'EA-Fortescue_SDExport'!AP:AP), IF(_xlpm.result=0,"",_xlpm.result))</f>
        <v>Technical-Data/Software</v>
      </c>
      <c r="G19" s="2" t="str">
        <f>IF(OR(AND(T19&lt;&gt;"", COUNTIF(Lookups!J:J, "*"&amp;T19&amp;"*")&gt;0), AND(AB19&lt;&gt;"", COUNTIF(Lookups!J:J, "*"&amp;AB19&amp;"*")&gt;0)), "Yes", "No")</f>
        <v>No</v>
      </c>
      <c r="H19" s="2" t="str">
        <f t="shared" si="1"/>
        <v>005OP IT/OT Systems|855DC Decarb Green Systems</v>
      </c>
      <c r="I19" s="2" t="str">
        <f t="shared" si="2"/>
        <v>N/A|855DC-1541 Planning and Forecast Systems</v>
      </c>
      <c r="J19" s="2" t="str">
        <f t="shared" si="3"/>
        <v>005OP-0000-003 FLO|855DC-1541-ECL Eclipse</v>
      </c>
      <c r="K19" s="2" t="str">
        <f>_xlfn.XLOOKUP(A19,'EA-Fortescue_SDExport'!A:A,'EA-Fortescue_SDExport'!N:N)</f>
        <v>Simplified Interface</v>
      </c>
      <c r="L19" s="2" t="str">
        <f>_xlfn.LET(_xlpm.result, _xlfn.XLOOKUP($A19,'EA-Fortescue_SDExport'!$A:$A,'EA-Fortescue_SDExport'!AQ:AQ), IF(_xlpm.result=0,"",_xlpm.result))</f>
        <v>This interface allows FLO to exchange operational logic, configuration data, or workflow context with Eclipse to keep both systems aligned for reporting, planning, or task coordination.</v>
      </c>
      <c r="M19" s="2" t="str">
        <f>_xlfn.LET(_xlpm.result, _xlfn.XLOOKUP($A19,'EA-Fortescue_SDExport'!$A:$A,'EA-Fortescue_SDExport'!AR:AR), IF(_xlpm.result=0,"",_xlpm.result))</f>
        <v>LOW</v>
      </c>
      <c r="N19" s="2" t="str">
        <f>_xlfn.LET(_xlpm.result, _xlfn.XLOOKUP($A19,'EA-Fortescue_SDExport'!$A:$A,'EA-Fortescue_SDExport'!AW:AW), IF(_xlpm.result=0,"",_xlpm.result))</f>
        <v>The criticality level is LOW because failure at this interface does not impact real-time production, safety, or operational control. It only limits integrated insight and causes delayed updates, which can be handled manually.</v>
      </c>
      <c r="O19" s="2" t="str">
        <f>_xlfn.LET(_xlpm.result, _xlfn.XLOOKUP($A19,'EA-Fortescue_SDExport'!$A:$A,'EA-Fortescue_SDExport'!AV:AV), IF(_xlpm.result=0,"",_xlpm.result))</f>
        <v>Eclipse -&gt; FLO</v>
      </c>
      <c r="P19" s="2" t="str">
        <f>_xlfn.LET(_xlpm.result, _xlfn.XLOOKUP($A19,'EA-Fortescue_SDExport'!$A:$A,'EA-Fortescue_SDExport'!D:D), IF(_xlpm.result=0,"",_xlpm.result))</f>
        <v>Interface Review 25/11/2025: FLO is the AI optimiser for ALF and scheduling._x000D_
NH 25/02/2026: Fields updated:Interface Type, Interface Flow</v>
      </c>
      <c r="Q19" s="2" t="str">
        <f>_xlfn.LET(
    _xlpm.status, _xlfn.XLOOKUP($A19,'EA-ConnectorExport'!$A:$A,'EA-ConnectorExport'!G:G),
    _xlpm.result, _xlfn.XLOOKUP($A19,'EA-ConnectorExport'!$A:$A,'EA-ConnectorExport'!B:B),
    IF(_xlpm.status="allocate", _xlpm.result, "")
)</f>
        <v>005OP-0000-003 FLO</v>
      </c>
      <c r="R19" s="2" t="str">
        <f>IF(
    _xlfn.XLOOKUP($Q19,'EA-Fortescue_SDExport'!A:A,'EA-Fortescue_SDExport'!B:B)="Object",
    _xlfn.XLOOKUP(
        _xlfn.XLOOKUP($A19,'EA-ConnectorExport'!A:A,'EA-ConnectorExport'!D:D),
        'EA-Fortescue_SDExport'!A:A,
        'EA-Fortescue_SDExport'!AA:AA
    ),
    _xlfn.XLOOKUP($Q19,'EA-Fortescue_SDExport'!A:A,'EA-Fortescue_SDExport'!AA:AA)
)</f>
        <v>Project</v>
      </c>
      <c r="S19" s="2" t="str">
        <f>_xlfn.LET(_xlpm.result, _xlfn.XLOOKUP($Q19,'EA-Fortescue_SDExport'!$A:$A,'EA-Fortescue_SDExport'!AB:AB), IF(_xlpm.result=0,"",_xlpm.result))</f>
        <v/>
      </c>
      <c r="T19" s="2" t="str">
        <f>_xlfn.LET(_xlpm.result, _xlfn.XLOOKUP($Q19,'EA-Fortescue_SDExport'!$A:$A,'EA-Fortescue_SDExport'!AC:AC), IF(_xlpm.result=0,"",_xlpm.result))</f>
        <v/>
      </c>
      <c r="U19" s="2" t="str">
        <f>_xlfn.LET(
    _xlpm.isObject, _xlfn.XLOOKUP($Q19,'EA-Fortescue_SDExport'!A:A,'EA-Fortescue_SDExport'!B:B),
    _xlpm.lookupKey, IF(_xlpm.isObject="Object",
        _xlfn.XLOOKUP($A19,'EA-ConnectorExport'!A:A,'EA-ConnectorExport'!D:D),
        $Q19
    ),
    _xlpm.result, _xlfn.XLOOKUP(_xlpm.lookupKey,'EA-Fortescue_SDExport'!A:A,'EA-Fortescue_SDExport'!AD:AD),
    IF(_xlpm.result=0,"",_xlpm.result)
)</f>
        <v>005OP IT/OT Systems</v>
      </c>
      <c r="V19" s="2" t="str">
        <f>_xlfn.LET(
    _xlpm.isObject, _xlfn.XLOOKUP($Q19,'EA-Fortescue_SDExport'!A:A,'EA-Fortescue_SDExport'!B:B),
    _xlpm.lookupKey, IF(_xlpm.isObject="Object",
        _xlfn.XLOOKUP($A19,'EA-ConnectorExport'!A:A,'EA-ConnectorExport'!D:D),
        $Q19
    ),
    _xlpm.result, _xlfn.XLOOKUP(_xlpm.lookupKey,'EA-Fortescue_SDExport'!A:A,'EA-Fortescue_SDExport'!AE:AE),
    IF(_xlpm.result=0,"",_xlpm.result)
)</f>
        <v/>
      </c>
      <c r="W19" s="2" t="str">
        <f>_xlfn.LET(
    _xlpm.isObject, _xlfn.XLOOKUP($Q19,'EA-Fortescue_SDExport'!A:A,'EA-Fortescue_SDExport'!B:B),
    _xlpm.lookupKey, IF(_xlpm.isObject="Object",
        _xlfn.XLOOKUP($A19,'EA-ConnectorExport'!A:A,'EA-ConnectorExport'!D:D),
        $Q19
    ),
    _xlpm.result, _xlfn.XLOOKUP(_xlpm.lookupKey,'EA-Fortescue_SDExport'!A:A,'EA-Fortescue_SDExport'!AF:AF),
    IF(_xlpm.result=0,"",_xlpm.result)
)</f>
        <v>005OP-0000-003 FLO</v>
      </c>
      <c r="X19" s="2" t="str">
        <f>_xlfn.LET(
    _xlpm.isObject, _xlfn.XLOOKUP($Q19,'EA-Fortescue_SDExport'!A:A,'EA-Fortescue_SDExport'!B:B),
    _xlpm.lookupKey, IF(_xlpm.isObject="Object",
        _xlfn.XLOOKUP($A19,'EA-ConnectorExport'!A:A,'EA-ConnectorExport'!D:D),
        $Q19
    ),
    _xlpm.result, _xlfn.XLOOKUP(_xlpm.lookupKey,'EA-Fortescue_SDExport'!A:A,'EA-Fortescue_SDExport'!AG:AG),
    IF(_xlpm.result=0,"",_xlpm.result)
)</f>
        <v/>
      </c>
      <c r="Y19" s="2" t="str">
        <f>_xlfn.LET(
    _xlpm.status, _xlfn.XLOOKUP($A19,'EA-ConnectorExport'!$A:$A,'EA-ConnectorExport'!G:G),
    _xlpm.result, _xlfn.XLOOKUP($A19,'EA-ConnectorExport'!$A:$A,'EA-ConnectorExport'!H:H),
    IF(_xlpm.status="allocate", _xlpm.result, "")
)</f>
        <v>855DC-1541-ECL Eclipse</v>
      </c>
      <c r="Z19" s="2" t="str">
        <f>_xlfn.LET(
    _xlpm.isObject, _xlfn.XLOOKUP($Y19,'EA-Fortescue_SDExport'!A:A,'EA-Fortescue_SDExport'!B:B),
    _xlpm.lookupKey, IF(_xlpm.isObject="Object",
        _xlfn.XLOOKUP($A19,'EA-ConnectorExport'!A:A,'EA-ConnectorExport'!J:J),
        $Y19
    ),
    _xlpm.result, _xlfn.XLOOKUP(_xlpm.lookupKey,'EA-Fortescue_SDExport'!A:A,'EA-Fortescue_SDExport'!AA:AA),
    IF(_xlpm.result=0,"",_xlpm.result)
)</f>
        <v>Project</v>
      </c>
      <c r="AA19" s="2" t="str">
        <f>_xlfn.LET(_xlpm.result, _xlfn.XLOOKUP($Y19,'EA-Fortescue_SDExport'!$A:$A,'EA-Fortescue_SDExport'!AB:AB), IF(_xlpm.result=0,"",_xlpm.result))</f>
        <v>Energy Operations</v>
      </c>
      <c r="AB19" s="2" t="str">
        <f>_xlfn.LET(_xlpm.result, _xlfn.XLOOKUP($Y19,'EA-Fortescue_SDExport'!$A:$A,'EA-Fortescue_SDExport'!AC:AC), IF(_xlpm.result=0,"",_xlpm.result))</f>
        <v/>
      </c>
      <c r="AC19" s="2" t="str">
        <f>_xlfn.LET(
    _xlpm.isObject, _xlfn.XLOOKUP($Y19,'EA-Fortescue_SDExport'!A:A,'EA-Fortescue_SDExport'!B:B),
    _xlpm.lookupKey, IF(_xlpm.isObject="Object",
        _xlfn.XLOOKUP($A19,'EA-ConnectorExport'!A:A,'EA-ConnectorExport'!J:J),
        $Y19
    ),
    _xlpm.result, _xlfn.XLOOKUP(_xlpm.lookupKey,'EA-Fortescue_SDExport'!A:A,'EA-Fortescue_SDExport'!AD:AD),
    IF(_xlpm.result=0,"",_xlpm.result)
)</f>
        <v>855DC Decarb Green Systems</v>
      </c>
      <c r="AD19" s="2" t="str">
        <f>_xlfn.LET(
    _xlpm.isObject, _xlfn.XLOOKUP($Y19,'EA-Fortescue_SDExport'!A:A,'EA-Fortescue_SDExport'!B:B),
    _xlpm.lookupKey, IF(_xlpm.isObject="Object",
        _xlfn.XLOOKUP($A19,'EA-ConnectorExport'!A:A,'EA-ConnectorExport'!J:J),
        $Y19
    ),
    _xlpm.result, _xlfn.XLOOKUP(_xlpm.lookupKey,'EA-Fortescue_SDExport'!A:A,'EA-Fortescue_SDExport'!AE:AE),
    IF(_xlpm.result=0,"",_xlpm.result)
)</f>
        <v>855DC-1541 Planning and Forecast Systems</v>
      </c>
      <c r="AE19" s="2" t="str">
        <f>_xlfn.LET(
    _xlpm.isObject, _xlfn.XLOOKUP($Y19,'EA-Fortescue_SDExport'!A:A,'EA-Fortescue_SDExport'!B:B),
    _xlpm.lookupKey, IF(_xlpm.isObject="Object",
        _xlfn.XLOOKUP($A19,'EA-ConnectorExport'!A:A,'EA-ConnectorExport'!J:J),
        $Y19
    ),
    _xlpm.result, _xlfn.XLOOKUP(_xlpm.lookupKey,'EA-Fortescue_SDExport'!A:A,'EA-Fortescue_SDExport'!AF:AF),
    IF(_xlpm.result=0,"",_xlpm.result)
)</f>
        <v>855DC-1541-ECL Eclipse</v>
      </c>
      <c r="AF19" s="2" t="str">
        <f>_xlfn.LET(
    _xlpm.isObject, _xlfn.XLOOKUP($Y19,'EA-Fortescue_SDExport'!A:A,'EA-Fortescue_SDExport'!B:B),
    _xlpm.lookupKey, IF(_xlpm.isObject="Object",
        _xlfn.XLOOKUP($A19,'EA-ConnectorExport'!A:A,'EA-ConnectorExport'!J:J),
        $Y19
    ),
    _xlpm.result, _xlfn.XLOOKUP(_xlpm.lookupKey,'EA-Fortescue_SDExport'!A:A,'EA-Fortescue_SDExport'!AG:AG),
    IF(_xlpm.result=0,"",_xlpm.result)
)</f>
        <v/>
      </c>
    </row>
    <row r="20" spans="1:32" ht="180" x14ac:dyDescent="0.25">
      <c r="A20" s="2" t="str">
        <v>DGS-I_0019</v>
      </c>
      <c r="B20" s="2" t="str">
        <f t="shared" si="0"/>
        <v>855DC-1541-DEL Delphi|855DC-1541-ECL Eclipse</v>
      </c>
      <c r="C20" s="2" t="str">
        <f>_xlfn.LET(_xlpm.result, _xlfn.XLOOKUP(A20,'EA-Fortescue_SDExport'!A:A,'EA-Fortescue_SDExport'!AM:AM), IF(_xlpm.result=0,"",_xlpm.result))</f>
        <v>Abby Buters</v>
      </c>
      <c r="D20" s="2" t="str">
        <f>_xlfn.LET(_xlpm.result, _xlfn.XLOOKUP(A20,'EA-Fortescue_SDExport'!A:A,'EA-Fortescue_SDExport'!AN:AN), IF(_xlpm.result=0,"",_xlpm.result))</f>
        <v>Glen Carruthers</v>
      </c>
      <c r="E20" s="2" t="str">
        <f>_xlfn.XLOOKUP(R20&amp;Z20,Lookups!A:A,Lookups!B:B)</f>
        <v>Project - Project Interface</v>
      </c>
      <c r="F20" s="2" t="str">
        <f>_xlfn.LET(_xlpm.result, _xlfn.XLOOKUP(A20,'EA-Fortescue_SDExport'!A:A,'EA-Fortescue_SDExport'!AP:AP), IF(_xlpm.result=0,"",_xlpm.result))</f>
        <v>Technical-Data/Software</v>
      </c>
      <c r="G20" s="2" t="str">
        <f>IF(OR(AND(T20&lt;&gt;"", COUNTIF(Lookups!J:J, "*"&amp;T20&amp;"*")&gt;0), AND(AB20&lt;&gt;"", COUNTIF(Lookups!J:J, "*"&amp;AB20&amp;"*")&gt;0)), "Yes", "No")</f>
        <v>No</v>
      </c>
      <c r="H20" s="2" t="str">
        <f t="shared" si="1"/>
        <v>855DC Decarb Green Systems|855DC Decarb Green Systems</v>
      </c>
      <c r="I20" s="2" t="str">
        <f t="shared" si="2"/>
        <v>855DC-1541 Planning and Forecast Systems|855DC-1541 Planning and Forecast Systems</v>
      </c>
      <c r="J20" s="2" t="str">
        <f t="shared" si="3"/>
        <v>855DC-1541-DEL Delphi|855DC-1541-ECL Eclipse</v>
      </c>
      <c r="K20" s="2" t="str">
        <f>_xlfn.XLOOKUP(A20,'EA-Fortescue_SDExport'!A:A,'EA-Fortescue_SDExport'!N:N)</f>
        <v>Simplified Interface</v>
      </c>
      <c r="L20" s="2" t="str">
        <f>_xlfn.LET(_xlpm.result, _xlfn.XLOOKUP($A20,'EA-Fortescue_SDExport'!$A:$A,'EA-Fortescue_SDExport'!AQ:AQ), IF(_xlpm.result=0,"",_xlpm.result))</f>
        <v>The purpose of this interface is to allow Eclipse to pull aggregated forecast and actual data from Delphi for short-term and historical data for long-term planning. This data includes wind and solar data, rain, and lightning, and it also supports sending Elysia's State of Charge actuals for the BESS to Delphi to assist in determining where and when to charge, send power, and curtail._x000D_
Intermediate Elements: Snowflake.</v>
      </c>
      <c r="M20" s="2" t="str">
        <f>_xlfn.LET(_xlpm.result, _xlfn.XLOOKUP($A20,'EA-Fortescue_SDExport'!$A:$A,'EA-Fortescue_SDExport'!AR:AR), IF(_xlpm.result=0,"",_xlpm.result))</f>
        <v>HIGH</v>
      </c>
      <c r="N20" s="2" t="str">
        <f>_xlfn.LET(_xlpm.result, _xlfn.XLOOKUP($A20,'EA-Fortescue_SDExport'!$A:$A,'EA-Fortescue_SDExport'!AW:AW), IF(_xlpm.result=0,"",_xlpm.result))</f>
        <v>The criticality level is HIGH because failure to receive timely forecast and actual weather data from Delphi will cause near- and long-term mine plans to be inaccurate. This severely compromises planning feasibility and execution.</v>
      </c>
      <c r="O20" s="2" t="str">
        <f>_xlfn.LET(_xlpm.result, _xlfn.XLOOKUP($A20,'EA-Fortescue_SDExport'!$A:$A,'EA-Fortescue_SDExport'!AV:AV), IF(_xlpm.result=0,"",_xlpm.result))</f>
        <v>Uni-directional -&gt; Delphi Snowflake database -&gt; Eclipse Snowflake database.</v>
      </c>
      <c r="P20" s="2" t="str">
        <f>_xlfn.LET(_xlpm.result, _xlfn.XLOOKUP($A20,'EA-Fortescue_SDExport'!$A:$A,'EA-Fortescue_SDExport'!D:D), IF(_xlpm.result=0,"",_xlpm.result))</f>
        <v/>
      </c>
      <c r="Q20" s="2" t="str">
        <f>_xlfn.LET(
    _xlpm.status, _xlfn.XLOOKUP($A20,'EA-ConnectorExport'!$A:$A,'EA-ConnectorExport'!G:G),
    _xlpm.result, _xlfn.XLOOKUP($A20,'EA-ConnectorExport'!$A:$A,'EA-ConnectorExport'!B:B),
    IF(_xlpm.status="allocate", _xlpm.result, "")
)</f>
        <v>855DC-1541-DEL Delphi</v>
      </c>
      <c r="R20" s="2" t="str">
        <f>IF(
    _xlfn.XLOOKUP($Q20,'EA-Fortescue_SDExport'!A:A,'EA-Fortescue_SDExport'!B:B)="Object",
    _xlfn.XLOOKUP(
        _xlfn.XLOOKUP($A20,'EA-ConnectorExport'!A:A,'EA-ConnectorExport'!D:D),
        'EA-Fortescue_SDExport'!A:A,
        'EA-Fortescue_SDExport'!AA:AA
    ),
    _xlfn.XLOOKUP($Q20,'EA-Fortescue_SDExport'!A:A,'EA-Fortescue_SDExport'!AA:AA)
)</f>
        <v>Project</v>
      </c>
      <c r="S20" s="2" t="str">
        <f>_xlfn.LET(_xlpm.result, _xlfn.XLOOKUP($Q20,'EA-Fortescue_SDExport'!$A:$A,'EA-Fortescue_SDExport'!AB:AB), IF(_xlpm.result=0,"",_xlpm.result))</f>
        <v>Energy Operations</v>
      </c>
      <c r="T20" s="2" t="str">
        <f>_xlfn.LET(_xlpm.result, _xlfn.XLOOKUP($Q20,'EA-Fortescue_SDExport'!$A:$A,'EA-Fortescue_SDExport'!AC:AC), IF(_xlpm.result=0,"",_xlpm.result))</f>
        <v/>
      </c>
      <c r="U20" s="2" t="str">
        <f>_xlfn.LET(
    _xlpm.isObject, _xlfn.XLOOKUP($Q20,'EA-Fortescue_SDExport'!A:A,'EA-Fortescue_SDExport'!B:B),
    _xlpm.lookupKey, IF(_xlpm.isObject="Object",
        _xlfn.XLOOKUP($A20,'EA-ConnectorExport'!A:A,'EA-ConnectorExport'!D:D),
        $Q20
    ),
    _xlpm.result, _xlfn.XLOOKUP(_xlpm.lookupKey,'EA-Fortescue_SDExport'!A:A,'EA-Fortescue_SDExport'!AD:AD),
    IF(_xlpm.result=0,"",_xlpm.result)
)</f>
        <v>855DC Decarb Green Systems</v>
      </c>
      <c r="V20" s="2" t="str">
        <f>_xlfn.LET(
    _xlpm.isObject, _xlfn.XLOOKUP($Q20,'EA-Fortescue_SDExport'!A:A,'EA-Fortescue_SDExport'!B:B),
    _xlpm.lookupKey, IF(_xlpm.isObject="Object",
        _xlfn.XLOOKUP($A20,'EA-ConnectorExport'!A:A,'EA-ConnectorExport'!D:D),
        $Q20
    ),
    _xlpm.result, _xlfn.XLOOKUP(_xlpm.lookupKey,'EA-Fortescue_SDExport'!A:A,'EA-Fortescue_SDExport'!AE:AE),
    IF(_xlpm.result=0,"",_xlpm.result)
)</f>
        <v>855DC-1541 Planning and Forecast Systems</v>
      </c>
      <c r="W20" s="2" t="str">
        <f>_xlfn.LET(
    _xlpm.isObject, _xlfn.XLOOKUP($Q20,'EA-Fortescue_SDExport'!A:A,'EA-Fortescue_SDExport'!B:B),
    _xlpm.lookupKey, IF(_xlpm.isObject="Object",
        _xlfn.XLOOKUP($A20,'EA-ConnectorExport'!A:A,'EA-ConnectorExport'!D:D),
        $Q20
    ),
    _xlpm.result, _xlfn.XLOOKUP(_xlpm.lookupKey,'EA-Fortescue_SDExport'!A:A,'EA-Fortescue_SDExport'!AF:AF),
    IF(_xlpm.result=0,"",_xlpm.result)
)</f>
        <v>855DC-1541-DEL Delphi</v>
      </c>
      <c r="X20" s="2" t="str">
        <f>_xlfn.LET(
    _xlpm.isObject, _xlfn.XLOOKUP($Q20,'EA-Fortescue_SDExport'!A:A,'EA-Fortescue_SDExport'!B:B),
    _xlpm.lookupKey, IF(_xlpm.isObject="Object",
        _xlfn.XLOOKUP($A20,'EA-ConnectorExport'!A:A,'EA-ConnectorExport'!D:D),
        $Q20
    ),
    _xlpm.result, _xlfn.XLOOKUP(_xlpm.lookupKey,'EA-Fortescue_SDExport'!A:A,'EA-Fortescue_SDExport'!AG:AG),
    IF(_xlpm.result=0,"",_xlpm.result)
)</f>
        <v/>
      </c>
      <c r="Y20" s="2" t="str">
        <f>_xlfn.LET(
    _xlpm.status, _xlfn.XLOOKUP($A20,'EA-ConnectorExport'!$A:$A,'EA-ConnectorExport'!G:G),
    _xlpm.result, _xlfn.XLOOKUP($A20,'EA-ConnectorExport'!$A:$A,'EA-ConnectorExport'!H:H),
    IF(_xlpm.status="allocate", _xlpm.result, "")
)</f>
        <v>855DC-1541-ECL Eclipse</v>
      </c>
      <c r="Z20" s="2" t="str">
        <f>_xlfn.LET(
    _xlpm.isObject, _xlfn.XLOOKUP($Y20,'EA-Fortescue_SDExport'!A:A,'EA-Fortescue_SDExport'!B:B),
    _xlpm.lookupKey, IF(_xlpm.isObject="Object",
        _xlfn.XLOOKUP($A20,'EA-ConnectorExport'!A:A,'EA-ConnectorExport'!J:J),
        $Y20
    ),
    _xlpm.result, _xlfn.XLOOKUP(_xlpm.lookupKey,'EA-Fortescue_SDExport'!A:A,'EA-Fortescue_SDExport'!AA:AA),
    IF(_xlpm.result=0,"",_xlpm.result)
)</f>
        <v>Project</v>
      </c>
      <c r="AA20" s="2" t="str">
        <f>_xlfn.LET(_xlpm.result, _xlfn.XLOOKUP($Y20,'EA-Fortescue_SDExport'!$A:$A,'EA-Fortescue_SDExport'!AB:AB), IF(_xlpm.result=0,"",_xlpm.result))</f>
        <v>Energy Operations</v>
      </c>
      <c r="AB20" s="2" t="str">
        <f>_xlfn.LET(_xlpm.result, _xlfn.XLOOKUP($Y20,'EA-Fortescue_SDExport'!$A:$A,'EA-Fortescue_SDExport'!AC:AC), IF(_xlpm.result=0,"",_xlpm.result))</f>
        <v/>
      </c>
      <c r="AC20" s="2" t="str">
        <f>_xlfn.LET(
    _xlpm.isObject, _xlfn.XLOOKUP($Y20,'EA-Fortescue_SDExport'!A:A,'EA-Fortescue_SDExport'!B:B),
    _xlpm.lookupKey, IF(_xlpm.isObject="Object",
        _xlfn.XLOOKUP($A20,'EA-ConnectorExport'!A:A,'EA-ConnectorExport'!J:J),
        $Y20
    ),
    _xlpm.result, _xlfn.XLOOKUP(_xlpm.lookupKey,'EA-Fortescue_SDExport'!A:A,'EA-Fortescue_SDExport'!AD:AD),
    IF(_xlpm.result=0,"",_xlpm.result)
)</f>
        <v>855DC Decarb Green Systems</v>
      </c>
      <c r="AD20" s="2" t="str">
        <f>_xlfn.LET(
    _xlpm.isObject, _xlfn.XLOOKUP($Y20,'EA-Fortescue_SDExport'!A:A,'EA-Fortescue_SDExport'!B:B),
    _xlpm.lookupKey, IF(_xlpm.isObject="Object",
        _xlfn.XLOOKUP($A20,'EA-ConnectorExport'!A:A,'EA-ConnectorExport'!J:J),
        $Y20
    ),
    _xlpm.result, _xlfn.XLOOKUP(_xlpm.lookupKey,'EA-Fortescue_SDExport'!A:A,'EA-Fortescue_SDExport'!AE:AE),
    IF(_xlpm.result=0,"",_xlpm.result)
)</f>
        <v>855DC-1541 Planning and Forecast Systems</v>
      </c>
      <c r="AE20" s="2" t="str">
        <f>_xlfn.LET(
    _xlpm.isObject, _xlfn.XLOOKUP($Y20,'EA-Fortescue_SDExport'!A:A,'EA-Fortescue_SDExport'!B:B),
    _xlpm.lookupKey, IF(_xlpm.isObject="Object",
        _xlfn.XLOOKUP($A20,'EA-ConnectorExport'!A:A,'EA-ConnectorExport'!J:J),
        $Y20
    ),
    _xlpm.result, _xlfn.XLOOKUP(_xlpm.lookupKey,'EA-Fortescue_SDExport'!A:A,'EA-Fortescue_SDExport'!AF:AF),
    IF(_xlpm.result=0,"",_xlpm.result)
)</f>
        <v>855DC-1541-ECL Eclipse</v>
      </c>
      <c r="AF20" s="2" t="str">
        <f>_xlfn.LET(
    _xlpm.isObject, _xlfn.XLOOKUP($Y20,'EA-Fortescue_SDExport'!A:A,'EA-Fortescue_SDExport'!B:B),
    _xlpm.lookupKey, IF(_xlpm.isObject="Object",
        _xlfn.XLOOKUP($A20,'EA-ConnectorExport'!A:A,'EA-ConnectorExport'!J:J),
        $Y20
    ),
    _xlpm.result, _xlfn.XLOOKUP(_xlpm.lookupKey,'EA-Fortescue_SDExport'!A:A,'EA-Fortescue_SDExport'!AG:AG),
    IF(_xlpm.result=0,"",_xlpm.result)
)</f>
        <v/>
      </c>
    </row>
    <row r="21" spans="1:32" ht="165" x14ac:dyDescent="0.25">
      <c r="A21" s="2" t="str">
        <v>DGS-I_0020</v>
      </c>
      <c r="B21" s="2" t="str">
        <f t="shared" si="0"/>
        <v>855DC-1541-ECL Eclipse|005OP-0000-013 Cimplicity</v>
      </c>
      <c r="C21" s="2" t="str">
        <f>_xlfn.LET(_xlpm.result, _xlfn.XLOOKUP(A21,'EA-Fortescue_SDExport'!A:A,'EA-Fortescue_SDExport'!AM:AM), IF(_xlpm.result=0,"",_xlpm.result))</f>
        <v>Abby Buters</v>
      </c>
      <c r="D21" s="2" t="str">
        <f>_xlfn.LET(_xlpm.result, _xlfn.XLOOKUP(A21,'EA-Fortescue_SDExport'!A:A,'EA-Fortescue_SDExport'!AN:AN), IF(_xlpm.result=0,"",_xlpm.result))</f>
        <v>Glen Carruthers</v>
      </c>
      <c r="E21" s="2" t="str">
        <f>_xlfn.XLOOKUP(R21&amp;Z21,Lookups!A:A,Lookups!B:B)</f>
        <v>Project - Project Interface</v>
      </c>
      <c r="F21" s="2" t="str">
        <f>_xlfn.LET(_xlpm.result, _xlfn.XLOOKUP(A21,'EA-Fortescue_SDExport'!A:A,'EA-Fortescue_SDExport'!AP:AP), IF(_xlpm.result=0,"",_xlpm.result))</f>
        <v>Technical-Data/Software</v>
      </c>
      <c r="G21" s="2" t="str">
        <f>IF(OR(AND(T21&lt;&gt;"", COUNTIF(Lookups!J:J, "*"&amp;T21&amp;"*")&gt;0), AND(AB21&lt;&gt;"", COUNTIF(Lookups!J:J, "*"&amp;AB21&amp;"*")&gt;0)), "Yes", "No")</f>
        <v>No</v>
      </c>
      <c r="H21" s="2" t="str">
        <f t="shared" si="1"/>
        <v>855DC Decarb Green Systems|005OP IT/OT Systems</v>
      </c>
      <c r="I21" s="2" t="str">
        <f t="shared" si="2"/>
        <v>855DC-1541 Planning and Forecast Systems|N/A</v>
      </c>
      <c r="J21" s="2" t="str">
        <f t="shared" si="3"/>
        <v>855DC-1541-ECL Eclipse|005OP-0000-013 Cimplicity</v>
      </c>
      <c r="K21" s="2" t="str">
        <f>_xlfn.XLOOKUP(A21,'EA-Fortescue_SDExport'!A:A,'EA-Fortescue_SDExport'!N:N)</f>
        <v>Simplified Interface</v>
      </c>
      <c r="L21" s="2" t="str">
        <f>_xlfn.LET(_xlpm.result, _xlfn.XLOOKUP($A21,'EA-Fortescue_SDExport'!$A:$A,'EA-Fortescue_SDExport'!AQ:AQ), IF(_xlpm.result=0,"",_xlpm.result))</f>
        <v>This interface provides Cimplicity with data from Eclipse for visualisation, supervisory functions, or operational context across site systems.</v>
      </c>
      <c r="M21" s="2" t="str">
        <f>_xlfn.LET(_xlpm.result, _xlfn.XLOOKUP($A21,'EA-Fortescue_SDExport'!$A:$A,'EA-Fortescue_SDExport'!AR:AR), IF(_xlpm.result=0,"",_xlpm.result))</f>
        <v>LOW</v>
      </c>
      <c r="N21" s="2" t="str">
        <f>_xlfn.LET(_xlpm.result, _xlfn.XLOOKUP($A21,'EA-Fortescue_SDExport'!$A:$A,'EA-Fortescue_SDExport'!AW:AW), IF(_xlpm.result=0,"",_xlpm.result))</f>
        <v>The criticality level is LOW because failure at this interface does not impact real-time production, safety, or operational control. It only affects integrated visibility, and underlying electrical systems can continue functioning normally.</v>
      </c>
      <c r="O21" s="2" t="str">
        <f>_xlfn.LET(_xlpm.result, _xlfn.XLOOKUP($A21,'EA-Fortescue_SDExport'!$A:$A,'EA-Fortescue_SDExport'!AV:AV), IF(_xlpm.result=0,"",_xlpm.result))</f>
        <v>Eclipse -&gt; Cimplicity</v>
      </c>
      <c r="P21" s="2" t="str">
        <f>_xlfn.LET(_xlpm.result, _xlfn.XLOOKUP($A21,'EA-Fortescue_SDExport'!$A:$A,'EA-Fortescue_SDExport'!D:D), IF(_xlpm.result=0,"",_xlpm.result))</f>
        <v>Interface Review 25/11/2025: To be confirmed whether this functionality is required to stop a black out situation. Information from Eclipse would be sent through Engery Operations Cimplicity SCADA to slow OPF rates._x000D_
NH 25/02/2026: Fields updated:Interface Type, Interface Flow</v>
      </c>
      <c r="Q21" s="2" t="str">
        <f>_xlfn.LET(
    _xlpm.status, _xlfn.XLOOKUP($A21,'EA-ConnectorExport'!$A:$A,'EA-ConnectorExport'!G:G),
    _xlpm.result, _xlfn.XLOOKUP($A21,'EA-ConnectorExport'!$A:$A,'EA-ConnectorExport'!B:B),
    IF(_xlpm.status="allocate", _xlpm.result, "")
)</f>
        <v>855DC-1541-ECL Eclipse</v>
      </c>
      <c r="R21" s="2" t="str">
        <f>IF(
    _xlfn.XLOOKUP($Q21,'EA-Fortescue_SDExport'!A:A,'EA-Fortescue_SDExport'!B:B)="Object",
    _xlfn.XLOOKUP(
        _xlfn.XLOOKUP($A21,'EA-ConnectorExport'!A:A,'EA-ConnectorExport'!D:D),
        'EA-Fortescue_SDExport'!A:A,
        'EA-Fortescue_SDExport'!AA:AA
    ),
    _xlfn.XLOOKUP($Q21,'EA-Fortescue_SDExport'!A:A,'EA-Fortescue_SDExport'!AA:AA)
)</f>
        <v>Project</v>
      </c>
      <c r="S21" s="2" t="str">
        <f>_xlfn.LET(_xlpm.result, _xlfn.XLOOKUP($Q21,'EA-Fortescue_SDExport'!$A:$A,'EA-Fortescue_SDExport'!AB:AB), IF(_xlpm.result=0,"",_xlpm.result))</f>
        <v>Energy Operations</v>
      </c>
      <c r="T21" s="2" t="str">
        <f>_xlfn.LET(_xlpm.result, _xlfn.XLOOKUP($Q21,'EA-Fortescue_SDExport'!$A:$A,'EA-Fortescue_SDExport'!AC:AC), IF(_xlpm.result=0,"",_xlpm.result))</f>
        <v/>
      </c>
      <c r="U21" s="2" t="str">
        <f>_xlfn.LET(
    _xlpm.isObject, _xlfn.XLOOKUP($Q21,'EA-Fortescue_SDExport'!A:A,'EA-Fortescue_SDExport'!B:B),
    _xlpm.lookupKey, IF(_xlpm.isObject="Object",
        _xlfn.XLOOKUP($A21,'EA-ConnectorExport'!A:A,'EA-ConnectorExport'!D:D),
        $Q21
    ),
    _xlpm.result, _xlfn.XLOOKUP(_xlpm.lookupKey,'EA-Fortescue_SDExport'!A:A,'EA-Fortescue_SDExport'!AD:AD),
    IF(_xlpm.result=0,"",_xlpm.result)
)</f>
        <v>855DC Decarb Green Systems</v>
      </c>
      <c r="V21" s="2" t="str">
        <f>_xlfn.LET(
    _xlpm.isObject, _xlfn.XLOOKUP($Q21,'EA-Fortescue_SDExport'!A:A,'EA-Fortescue_SDExport'!B:B),
    _xlpm.lookupKey, IF(_xlpm.isObject="Object",
        _xlfn.XLOOKUP($A21,'EA-ConnectorExport'!A:A,'EA-ConnectorExport'!D:D),
        $Q21
    ),
    _xlpm.result, _xlfn.XLOOKUP(_xlpm.lookupKey,'EA-Fortescue_SDExport'!A:A,'EA-Fortescue_SDExport'!AE:AE),
    IF(_xlpm.result=0,"",_xlpm.result)
)</f>
        <v>855DC-1541 Planning and Forecast Systems</v>
      </c>
      <c r="W21" s="2" t="str">
        <f>_xlfn.LET(
    _xlpm.isObject, _xlfn.XLOOKUP($Q21,'EA-Fortescue_SDExport'!A:A,'EA-Fortescue_SDExport'!B:B),
    _xlpm.lookupKey, IF(_xlpm.isObject="Object",
        _xlfn.XLOOKUP($A21,'EA-ConnectorExport'!A:A,'EA-ConnectorExport'!D:D),
        $Q21
    ),
    _xlpm.result, _xlfn.XLOOKUP(_xlpm.lookupKey,'EA-Fortescue_SDExport'!A:A,'EA-Fortescue_SDExport'!AF:AF),
    IF(_xlpm.result=0,"",_xlpm.result)
)</f>
        <v>855DC-1541-ECL Eclipse</v>
      </c>
      <c r="X21" s="2" t="str">
        <f>_xlfn.LET(
    _xlpm.isObject, _xlfn.XLOOKUP($Q21,'EA-Fortescue_SDExport'!A:A,'EA-Fortescue_SDExport'!B:B),
    _xlpm.lookupKey, IF(_xlpm.isObject="Object",
        _xlfn.XLOOKUP($A21,'EA-ConnectorExport'!A:A,'EA-ConnectorExport'!D:D),
        $Q21
    ),
    _xlpm.result, _xlfn.XLOOKUP(_xlpm.lookupKey,'EA-Fortescue_SDExport'!A:A,'EA-Fortescue_SDExport'!AG:AG),
    IF(_xlpm.result=0,"",_xlpm.result)
)</f>
        <v/>
      </c>
      <c r="Y21" s="2" t="str">
        <f>_xlfn.LET(
    _xlpm.status, _xlfn.XLOOKUP($A21,'EA-ConnectorExport'!$A:$A,'EA-ConnectorExport'!G:G),
    _xlpm.result, _xlfn.XLOOKUP($A21,'EA-ConnectorExport'!$A:$A,'EA-ConnectorExport'!H:H),
    IF(_xlpm.status="allocate", _xlpm.result, "")
)</f>
        <v>005OP-0000-013 Cimplicity</v>
      </c>
      <c r="Z21" s="2" t="str">
        <f>_xlfn.LET(
    _xlpm.isObject, _xlfn.XLOOKUP($Y21,'EA-Fortescue_SDExport'!A:A,'EA-Fortescue_SDExport'!B:B),
    _xlpm.lookupKey, IF(_xlpm.isObject="Object",
        _xlfn.XLOOKUP($A21,'EA-ConnectorExport'!A:A,'EA-ConnectorExport'!J:J),
        $Y21
    ),
    _xlpm.result, _xlfn.XLOOKUP(_xlpm.lookupKey,'EA-Fortescue_SDExport'!A:A,'EA-Fortescue_SDExport'!AA:AA),
    IF(_xlpm.result=0,"",_xlpm.result)
)</f>
        <v>Project</v>
      </c>
      <c r="AA21" s="2" t="str">
        <f>_xlfn.LET(_xlpm.result, _xlfn.XLOOKUP($Y21,'EA-Fortescue_SDExport'!$A:$A,'EA-Fortescue_SDExport'!AB:AB), IF(_xlpm.result=0,"",_xlpm.result))</f>
        <v/>
      </c>
      <c r="AB21" s="2" t="str">
        <f>_xlfn.LET(_xlpm.result, _xlfn.XLOOKUP($Y21,'EA-Fortescue_SDExport'!$A:$A,'EA-Fortescue_SDExport'!AC:AC), IF(_xlpm.result=0,"",_xlpm.result))</f>
        <v/>
      </c>
      <c r="AC21" s="2" t="str">
        <f>_xlfn.LET(
    _xlpm.isObject, _xlfn.XLOOKUP($Y21,'EA-Fortescue_SDExport'!A:A,'EA-Fortescue_SDExport'!B:B),
    _xlpm.lookupKey, IF(_xlpm.isObject="Object",
        _xlfn.XLOOKUP($A21,'EA-ConnectorExport'!A:A,'EA-ConnectorExport'!J:J),
        $Y21
    ),
    _xlpm.result, _xlfn.XLOOKUP(_xlpm.lookupKey,'EA-Fortescue_SDExport'!A:A,'EA-Fortescue_SDExport'!AD:AD),
    IF(_xlpm.result=0,"",_xlpm.result)
)</f>
        <v>005OP IT/OT Systems</v>
      </c>
      <c r="AD21" s="2" t="str">
        <f>_xlfn.LET(
    _xlpm.isObject, _xlfn.XLOOKUP($Y21,'EA-Fortescue_SDExport'!A:A,'EA-Fortescue_SDExport'!B:B),
    _xlpm.lookupKey, IF(_xlpm.isObject="Object",
        _xlfn.XLOOKUP($A21,'EA-ConnectorExport'!A:A,'EA-ConnectorExport'!J:J),
        $Y21
    ),
    _xlpm.result, _xlfn.XLOOKUP(_xlpm.lookupKey,'EA-Fortescue_SDExport'!A:A,'EA-Fortescue_SDExport'!AE:AE),
    IF(_xlpm.result=0,"",_xlpm.result)
)</f>
        <v/>
      </c>
      <c r="AE21" s="2" t="str">
        <f>_xlfn.LET(
    _xlpm.isObject, _xlfn.XLOOKUP($Y21,'EA-Fortescue_SDExport'!A:A,'EA-Fortescue_SDExport'!B:B),
    _xlpm.lookupKey, IF(_xlpm.isObject="Object",
        _xlfn.XLOOKUP($A21,'EA-ConnectorExport'!A:A,'EA-ConnectorExport'!J:J),
        $Y21
    ),
    _xlpm.result, _xlfn.XLOOKUP(_xlpm.lookupKey,'EA-Fortescue_SDExport'!A:A,'EA-Fortescue_SDExport'!AF:AF),
    IF(_xlpm.result=0,"",_xlpm.result)
)</f>
        <v>005OP-0000-013 Cimplicity</v>
      </c>
      <c r="AF21" s="2" t="str">
        <f>_xlfn.LET(
    _xlpm.isObject, _xlfn.XLOOKUP($Y21,'EA-Fortescue_SDExport'!A:A,'EA-Fortescue_SDExport'!B:B),
    _xlpm.lookupKey, IF(_xlpm.isObject="Object",
        _xlfn.XLOOKUP($A21,'EA-ConnectorExport'!A:A,'EA-ConnectorExport'!J:J),
        $Y21
    ),
    _xlpm.result, _xlfn.XLOOKUP(_xlpm.lookupKey,'EA-Fortescue_SDExport'!A:A,'EA-Fortescue_SDExport'!AG:AG),
    IF(_xlpm.result=0,"",_xlpm.result)
)</f>
        <v/>
      </c>
    </row>
    <row r="22" spans="1:32" ht="270" x14ac:dyDescent="0.25">
      <c r="A22" s="2" t="str">
        <v>DGS-I_0021</v>
      </c>
      <c r="B22" s="2" t="str">
        <f t="shared" si="0"/>
        <v>855DC-1541-DEL Delphi|005OP-0000-004 Alastri</v>
      </c>
      <c r="C22" s="2" t="str">
        <f>_xlfn.LET(_xlpm.result, _xlfn.XLOOKUP(A22,'EA-Fortescue_SDExport'!A:A,'EA-Fortescue_SDExport'!AM:AM), IF(_xlpm.result=0,"",_xlpm.result))</f>
        <v/>
      </c>
      <c r="D22" s="2" t="str">
        <f>_xlfn.LET(_xlpm.result, _xlfn.XLOOKUP(A22,'EA-Fortescue_SDExport'!A:A,'EA-Fortescue_SDExport'!AN:AN), IF(_xlpm.result=0,"",_xlpm.result))</f>
        <v/>
      </c>
      <c r="E22" s="2" t="str">
        <f>_xlfn.XLOOKUP(R22&amp;Z22,Lookups!A:A,Lookups!B:B)</f>
        <v>Project - Project Interface</v>
      </c>
      <c r="F22" s="2" t="str">
        <f>_xlfn.LET(_xlpm.result, _xlfn.XLOOKUP(A22,'EA-Fortescue_SDExport'!A:A,'EA-Fortescue_SDExport'!AP:AP), IF(_xlpm.result=0,"",_xlpm.result))</f>
        <v>Technical-Data/Software</v>
      </c>
      <c r="G22" s="2" t="str">
        <f>IF(OR(AND(T22&lt;&gt;"", COUNTIF(Lookups!J:J, "*"&amp;T22&amp;"*")&gt;0), AND(AB22&lt;&gt;"", COUNTIF(Lookups!J:J, "*"&amp;AB22&amp;"*")&gt;0)), "Yes", "No")</f>
        <v>No</v>
      </c>
      <c r="H22" s="2" t="str">
        <f t="shared" si="1"/>
        <v>855DC Decarb Green Systems|005OP IT/OT Systems</v>
      </c>
      <c r="I22" s="2" t="str">
        <f t="shared" si="2"/>
        <v>855DC-1541 Planning and Forecast Systems|N/A</v>
      </c>
      <c r="J22" s="2" t="str">
        <f t="shared" si="3"/>
        <v>855DC-1541-DEL Delphi|005OP-0000-004 Alastri</v>
      </c>
      <c r="K22" s="2" t="str">
        <f>_xlfn.XLOOKUP(A22,'EA-Fortescue_SDExport'!A:A,'EA-Fortescue_SDExport'!N:N)</f>
        <v>Simplified Interface</v>
      </c>
      <c r="L22" s="2" t="str">
        <f>_xlfn.LET(_xlpm.result, _xlfn.XLOOKUP($A22,'EA-Fortescue_SDExport'!$A:$A,'EA-Fortescue_SDExport'!AQ:AQ), IF(_xlpm.result=0,"",_xlpm.result))</f>
        <v>This interface enables Delphi to receive production schedules and activity sequencing data from the Alastri Production Scheduler (APS) and Alastri Tactical Scheduler (ATS). The scheduling data informs Delphi's load forecasting, scenario construction, and energy modelling by reflecting planned production intensity, equipment utilisation, and timing. This interface supports forecast alignment with operational intent and is read-only from Delphi's perspective.</v>
      </c>
      <c r="M22" s="2" t="str">
        <f>_xlfn.LET(_xlpm.result, _xlfn.XLOOKUP($A22,'EA-Fortescue_SDExport'!$A:$A,'EA-Fortescue_SDExport'!AR:AR), IF(_xlpm.result=0,"",_xlpm.result))</f>
        <v>MEDIUM</v>
      </c>
      <c r="N22" s="2" t="str">
        <f>_xlfn.LET(_xlpm.result, _xlfn.XLOOKUP($A22,'EA-Fortescue_SDExport'!$A:$A,'EA-Fortescue_SDExport'!AW:AW), IF(_xlpm.result=0,"",_xlpm.result))</f>
        <v>The criticality is MEDIUM because APS/ATS schedules influence forecast accuracy and scenario realism within Delphi, but they do not directly affect real-time dispatch, control systems, or safety-critical operations. Failure would reduce forecast quality and planning alignment but would not interrupt operational continuity.</v>
      </c>
      <c r="O22" s="2" t="str">
        <f>_xlfn.LET(_xlpm.result, _xlfn.XLOOKUP($A22,'EA-Fortescue_SDExport'!$A:$A,'EA-Fortescue_SDExport'!AV:AV), IF(_xlpm.result=0,"",_xlpm.result))</f>
        <v>Alastri -&gt; Delphi</v>
      </c>
      <c r="P22" s="2" t="str">
        <f>_xlfn.LET(_xlpm.result, _xlfn.XLOOKUP($A22,'EA-Fortescue_SDExport'!$A:$A,'EA-Fortescue_SDExport'!D:D), IF(_xlpm.result=0,"",_xlpm.result))</f>
        <v>Interface Review 25/11/2025: Delete, agreed with Mark and Abby that there is no integration with Alastri_x000D_
DocStack-SAComparison_Delphi 18/02/2026: Reinstate DGS-I_0021, DGS-I_0188._x000D_
NH 18/02/2026: Fields updated: Interface Type, Interface Description (Interface Purpose), Interface Criticality, Interface Criticality Explanation, Interface Flow.</v>
      </c>
      <c r="Q22" s="2" t="str">
        <f>_xlfn.LET(
    _xlpm.status, _xlfn.XLOOKUP($A22,'EA-ConnectorExport'!$A:$A,'EA-ConnectorExport'!G:G),
    _xlpm.result, _xlfn.XLOOKUP($A22,'EA-ConnectorExport'!$A:$A,'EA-ConnectorExport'!B:B),
    IF(_xlpm.status="allocate", _xlpm.result, "")
)</f>
        <v>855DC-1541-DEL Delphi</v>
      </c>
      <c r="R22" s="2" t="str">
        <f>IF(
    _xlfn.XLOOKUP($Q22,'EA-Fortescue_SDExport'!A:A,'EA-Fortescue_SDExport'!B:B)="Object",
    _xlfn.XLOOKUP(
        _xlfn.XLOOKUP($A22,'EA-ConnectorExport'!A:A,'EA-ConnectorExport'!D:D),
        'EA-Fortescue_SDExport'!A:A,
        'EA-Fortescue_SDExport'!AA:AA
    ),
    _xlfn.XLOOKUP($Q22,'EA-Fortescue_SDExport'!A:A,'EA-Fortescue_SDExport'!AA:AA)
)</f>
        <v>Project</v>
      </c>
      <c r="S22" s="2" t="str">
        <f>_xlfn.LET(_xlpm.result, _xlfn.XLOOKUP($Q22,'EA-Fortescue_SDExport'!$A:$A,'EA-Fortescue_SDExport'!AB:AB), IF(_xlpm.result=0,"",_xlpm.result))</f>
        <v>Energy Operations</v>
      </c>
      <c r="T22" s="2" t="str">
        <f>_xlfn.LET(_xlpm.result, _xlfn.XLOOKUP($Q22,'EA-Fortescue_SDExport'!$A:$A,'EA-Fortescue_SDExport'!AC:AC), IF(_xlpm.result=0,"",_xlpm.result))</f>
        <v/>
      </c>
      <c r="U22" s="2" t="str">
        <f>_xlfn.LET(
    _xlpm.isObject, _xlfn.XLOOKUP($Q22,'EA-Fortescue_SDExport'!A:A,'EA-Fortescue_SDExport'!B:B),
    _xlpm.lookupKey, IF(_xlpm.isObject="Object",
        _xlfn.XLOOKUP($A22,'EA-ConnectorExport'!A:A,'EA-ConnectorExport'!D:D),
        $Q22
    ),
    _xlpm.result, _xlfn.XLOOKUP(_xlpm.lookupKey,'EA-Fortescue_SDExport'!A:A,'EA-Fortescue_SDExport'!AD:AD),
    IF(_xlpm.result=0,"",_xlpm.result)
)</f>
        <v>855DC Decarb Green Systems</v>
      </c>
      <c r="V22" s="2" t="str">
        <f>_xlfn.LET(
    _xlpm.isObject, _xlfn.XLOOKUP($Q22,'EA-Fortescue_SDExport'!A:A,'EA-Fortescue_SDExport'!B:B),
    _xlpm.lookupKey, IF(_xlpm.isObject="Object",
        _xlfn.XLOOKUP($A22,'EA-ConnectorExport'!A:A,'EA-ConnectorExport'!D:D),
        $Q22
    ),
    _xlpm.result, _xlfn.XLOOKUP(_xlpm.lookupKey,'EA-Fortescue_SDExport'!A:A,'EA-Fortescue_SDExport'!AE:AE),
    IF(_xlpm.result=0,"",_xlpm.result)
)</f>
        <v>855DC-1541 Planning and Forecast Systems</v>
      </c>
      <c r="W22" s="2" t="str">
        <f>_xlfn.LET(
    _xlpm.isObject, _xlfn.XLOOKUP($Q22,'EA-Fortescue_SDExport'!A:A,'EA-Fortescue_SDExport'!B:B),
    _xlpm.lookupKey, IF(_xlpm.isObject="Object",
        _xlfn.XLOOKUP($A22,'EA-ConnectorExport'!A:A,'EA-ConnectorExport'!D:D),
        $Q22
    ),
    _xlpm.result, _xlfn.XLOOKUP(_xlpm.lookupKey,'EA-Fortescue_SDExport'!A:A,'EA-Fortescue_SDExport'!AF:AF),
    IF(_xlpm.result=0,"",_xlpm.result)
)</f>
        <v>855DC-1541-DEL Delphi</v>
      </c>
      <c r="X22" s="2" t="str">
        <f>_xlfn.LET(
    _xlpm.isObject, _xlfn.XLOOKUP($Q22,'EA-Fortescue_SDExport'!A:A,'EA-Fortescue_SDExport'!B:B),
    _xlpm.lookupKey, IF(_xlpm.isObject="Object",
        _xlfn.XLOOKUP($A22,'EA-ConnectorExport'!A:A,'EA-ConnectorExport'!D:D),
        $Q22
    ),
    _xlpm.result, _xlfn.XLOOKUP(_xlpm.lookupKey,'EA-Fortescue_SDExport'!A:A,'EA-Fortescue_SDExport'!AG:AG),
    IF(_xlpm.result=0,"",_xlpm.result)
)</f>
        <v/>
      </c>
      <c r="Y22" s="2" t="str">
        <f>_xlfn.LET(
    _xlpm.status, _xlfn.XLOOKUP($A22,'EA-ConnectorExport'!$A:$A,'EA-ConnectorExport'!G:G),
    _xlpm.result, _xlfn.XLOOKUP($A22,'EA-ConnectorExport'!$A:$A,'EA-ConnectorExport'!H:H),
    IF(_xlpm.status="allocate", _xlpm.result, "")
)</f>
        <v>005OP-0000-004 Alastri</v>
      </c>
      <c r="Z22" s="2" t="str">
        <f>_xlfn.LET(
    _xlpm.isObject, _xlfn.XLOOKUP($Y22,'EA-Fortescue_SDExport'!A:A,'EA-Fortescue_SDExport'!B:B),
    _xlpm.lookupKey, IF(_xlpm.isObject="Object",
        _xlfn.XLOOKUP($A22,'EA-ConnectorExport'!A:A,'EA-ConnectorExport'!J:J),
        $Y22
    ),
    _xlpm.result, _xlfn.XLOOKUP(_xlpm.lookupKey,'EA-Fortescue_SDExport'!A:A,'EA-Fortescue_SDExport'!AA:AA),
    IF(_xlpm.result=0,"",_xlpm.result)
)</f>
        <v>Project</v>
      </c>
      <c r="AA22" s="2" t="str">
        <f>_xlfn.LET(_xlpm.result, _xlfn.XLOOKUP($Y22,'EA-Fortescue_SDExport'!$A:$A,'EA-Fortescue_SDExport'!AB:AB), IF(_xlpm.result=0,"",_xlpm.result))</f>
        <v/>
      </c>
      <c r="AB22" s="2" t="str">
        <f>_xlfn.LET(_xlpm.result, _xlfn.XLOOKUP($Y22,'EA-Fortescue_SDExport'!$A:$A,'EA-Fortescue_SDExport'!AC:AC), IF(_xlpm.result=0,"",_xlpm.result))</f>
        <v/>
      </c>
      <c r="AC22" s="2" t="str">
        <f>_xlfn.LET(
    _xlpm.isObject, _xlfn.XLOOKUP($Y22,'EA-Fortescue_SDExport'!A:A,'EA-Fortescue_SDExport'!B:B),
    _xlpm.lookupKey, IF(_xlpm.isObject="Object",
        _xlfn.XLOOKUP($A22,'EA-ConnectorExport'!A:A,'EA-ConnectorExport'!J:J),
        $Y22
    ),
    _xlpm.result, _xlfn.XLOOKUP(_xlpm.lookupKey,'EA-Fortescue_SDExport'!A:A,'EA-Fortescue_SDExport'!AD:AD),
    IF(_xlpm.result=0,"",_xlpm.result)
)</f>
        <v>005OP IT/OT Systems</v>
      </c>
      <c r="AD22" s="2" t="str">
        <f>_xlfn.LET(
    _xlpm.isObject, _xlfn.XLOOKUP($Y22,'EA-Fortescue_SDExport'!A:A,'EA-Fortescue_SDExport'!B:B),
    _xlpm.lookupKey, IF(_xlpm.isObject="Object",
        _xlfn.XLOOKUP($A22,'EA-ConnectorExport'!A:A,'EA-ConnectorExport'!J:J),
        $Y22
    ),
    _xlpm.result, _xlfn.XLOOKUP(_xlpm.lookupKey,'EA-Fortescue_SDExport'!A:A,'EA-Fortescue_SDExport'!AE:AE),
    IF(_xlpm.result=0,"",_xlpm.result)
)</f>
        <v/>
      </c>
      <c r="AE22" s="2" t="str">
        <f>_xlfn.LET(
    _xlpm.isObject, _xlfn.XLOOKUP($Y22,'EA-Fortescue_SDExport'!A:A,'EA-Fortescue_SDExport'!B:B),
    _xlpm.lookupKey, IF(_xlpm.isObject="Object",
        _xlfn.XLOOKUP($A22,'EA-ConnectorExport'!A:A,'EA-ConnectorExport'!J:J),
        $Y22
    ),
    _xlpm.result, _xlfn.XLOOKUP(_xlpm.lookupKey,'EA-Fortescue_SDExport'!A:A,'EA-Fortescue_SDExport'!AF:AF),
    IF(_xlpm.result=0,"",_xlpm.result)
)</f>
        <v>005OP-0000-004 Alastri</v>
      </c>
      <c r="AF22" s="2" t="str">
        <f>_xlfn.LET(
    _xlpm.isObject, _xlfn.XLOOKUP($Y22,'EA-Fortescue_SDExport'!A:A,'EA-Fortescue_SDExport'!B:B),
    _xlpm.lookupKey, IF(_xlpm.isObject="Object",
        _xlfn.XLOOKUP($A22,'EA-ConnectorExport'!A:A,'EA-ConnectorExport'!J:J),
        $Y22
    ),
    _xlpm.result, _xlfn.XLOOKUP(_xlpm.lookupKey,'EA-Fortescue_SDExport'!A:A,'EA-Fortescue_SDExport'!AG:AG),
    IF(_xlpm.result=0,"",_xlpm.result)
)</f>
        <v/>
      </c>
    </row>
    <row r="23" spans="1:32" ht="105" x14ac:dyDescent="0.25">
      <c r="A23" s="2" t="str">
        <v>DGS-I_0022</v>
      </c>
      <c r="B23" s="2" t="str">
        <f t="shared" si="0"/>
        <v>855DC-1542-CSM Charge Station Management System (CSMS)|855DC-1541-DEL Delphi</v>
      </c>
      <c r="C23" s="2" t="str">
        <f>_xlfn.LET(_xlpm.result, _xlfn.XLOOKUP(A23,'EA-Fortescue_SDExport'!A:A,'EA-Fortescue_SDExport'!AM:AM), IF(_xlpm.result=0,"",_xlpm.result))</f>
        <v>Sam Hedgcock</v>
      </c>
      <c r="D23" s="2" t="str">
        <f>_xlfn.LET(_xlpm.result, _xlfn.XLOOKUP(A23,'EA-Fortescue_SDExport'!A:A,'EA-Fortescue_SDExport'!AN:AN), IF(_xlpm.result=0,"",_xlpm.result))</f>
        <v>Abby Buters</v>
      </c>
      <c r="E23" s="2" t="str">
        <f>_xlfn.XLOOKUP(R23&amp;Z23,Lookups!A:A,Lookups!B:B)</f>
        <v>Project - Project Interface</v>
      </c>
      <c r="F23" s="2" t="str">
        <f>_xlfn.LET(_xlpm.result, _xlfn.XLOOKUP(A23,'EA-Fortescue_SDExport'!A:A,'EA-Fortescue_SDExport'!AP:AP), IF(_xlpm.result=0,"",_xlpm.result))</f>
        <v>Functional-Operational</v>
      </c>
      <c r="G23" s="2" t="str">
        <f>IF(OR(AND(T23&lt;&gt;"", COUNTIF(Lookups!J:J, "*"&amp;T23&amp;"*")&gt;0), AND(AB23&lt;&gt;"", COUNTIF(Lookups!J:J, "*"&amp;AB23&amp;"*")&gt;0)), "Yes", "No")</f>
        <v>No</v>
      </c>
      <c r="H23" s="2" t="str">
        <f t="shared" si="1"/>
        <v>855DC Decarb Green Systems|855DC Decarb Green Systems</v>
      </c>
      <c r="I23" s="2" t="str">
        <f t="shared" si="2"/>
        <v>855DC-1542 Control &amp; Monitoring Systems|855DC-1541 Planning and Forecast Systems</v>
      </c>
      <c r="J23" s="2" t="str">
        <f t="shared" si="3"/>
        <v>855DC-1542-CSM Charge Station Management System (CSMS)|855DC-1541-DEL Delphi</v>
      </c>
      <c r="K23" s="2" t="str">
        <f>_xlfn.XLOOKUP(A23,'EA-Fortescue_SDExport'!A:A,'EA-Fortescue_SDExport'!N:N)</f>
        <v>Proposed</v>
      </c>
      <c r="L23" s="2" t="str">
        <f>_xlfn.LET(_xlpm.result, _xlfn.XLOOKUP($A23,'EA-Fortescue_SDExport'!$A:$A,'EA-Fortescue_SDExport'!AQ:AQ), IF(_xlpm.result=0,"",_xlpm.result))</f>
        <v>The purpose of this interface is to serve as a human-machine interface between personnel in Mine Services and the Charge Station Management System (CSMS), allowing them to execute remote commands, access historical data, as well as remotely monitor, diagnose, and manage the state of the charging network.</v>
      </c>
      <c r="M23" s="2" t="str">
        <f>_xlfn.LET(_xlpm.result, _xlfn.XLOOKUP($A23,'EA-Fortescue_SDExport'!$A:$A,'EA-Fortescue_SDExport'!AR:AR), IF(_xlpm.result=0,"",_xlpm.result))</f>
        <v>N/A</v>
      </c>
      <c r="N23" s="2" t="str">
        <f>_xlfn.LET(_xlpm.result, _xlfn.XLOOKUP($A23,'EA-Fortescue_SDExport'!$A:$A,'EA-Fortescue_SDExport'!AW:AW), IF(_xlpm.result=0,"",_xlpm.result))</f>
        <v>The criticality is N/A because this interface primarily provides a human-machine interface for monitoring, diagnosing, and managing the charging network. It does not control or protect core mine operations, and any delay or failure would not immediately affect production, safety, or throughput. Operational personnel can continue to manage charging activities manually or through alternate systems, and the interface mainly supports data visibility and efficiency.</v>
      </c>
      <c r="O23" s="2" t="str">
        <f>_xlfn.LET(_xlpm.result, _xlfn.XLOOKUP($A23,'EA-Fortescue_SDExport'!$A:$A,'EA-Fortescue_SDExport'!AV:AV), IF(_xlpm.result=0,"",_xlpm.result))</f>
        <v>CSMS - &gt; Delphi</v>
      </c>
      <c r="P23" s="2" t="str">
        <f>_xlfn.LET(_xlpm.result, _xlfn.XLOOKUP($A23,'EA-Fortescue_SDExport'!$A:$A,'EA-Fortescue_SDExport'!D:D), IF(_xlpm.result=0,"",_xlpm.result))</f>
        <v>CSMS Review 30/10/2025: Not integrated with CSMS. Delphi feeds Eclipse and Monarch. Energy Ops (Confirm with Abby)_x000D_
Interface Review 02/12/2025: Confirmed Delete_x000D_
DocStack-SAComparison_Delphi 18/02/2026: Reinstate DGS-I_0022._x000D_
NH 25/02/2026: Fields updated:Interface Criticality Explanation, Interface Flow</v>
      </c>
      <c r="Q23" s="2" t="str">
        <f>_xlfn.LET(
    _xlpm.status, _xlfn.XLOOKUP($A23,'EA-ConnectorExport'!$A:$A,'EA-ConnectorExport'!G:G),
    _xlpm.result, _xlfn.XLOOKUP($A23,'EA-ConnectorExport'!$A:$A,'EA-ConnectorExport'!B:B),
    IF(_xlpm.status="allocate", _xlpm.result, "")
)</f>
        <v>855DC-1542-CSM Charge Station Management System (CSMS)</v>
      </c>
      <c r="R23" s="2" t="str">
        <f>IF(
    _xlfn.XLOOKUP($Q23,'EA-Fortescue_SDExport'!A:A,'EA-Fortescue_SDExport'!B:B)="Object",
    _xlfn.XLOOKUP(
        _xlfn.XLOOKUP($A23,'EA-ConnectorExport'!A:A,'EA-ConnectorExport'!D:D),
        'EA-Fortescue_SDExport'!A:A,
        'EA-Fortescue_SDExport'!AA:AA
    ),
    _xlfn.XLOOKUP($Q23,'EA-Fortescue_SDExport'!A:A,'EA-Fortescue_SDExport'!AA:AA)
)</f>
        <v>Project</v>
      </c>
      <c r="S23" s="2" t="str">
        <f>_xlfn.LET(_xlpm.result, _xlfn.XLOOKUP($Q23,'EA-Fortescue_SDExport'!$A:$A,'EA-Fortescue_SDExport'!AB:AB), IF(_xlpm.result=0,"",_xlpm.result))</f>
        <v>Sam Hedgcock</v>
      </c>
      <c r="T23" s="2" t="str">
        <f>_xlfn.LET(_xlpm.result, _xlfn.XLOOKUP($Q23,'EA-Fortescue_SDExport'!$A:$A,'EA-Fortescue_SDExport'!AC:AC), IF(_xlpm.result=0,"",_xlpm.result))</f>
        <v/>
      </c>
      <c r="U23" s="2" t="str">
        <f>_xlfn.LET(
    _xlpm.isObject, _xlfn.XLOOKUP($Q23,'EA-Fortescue_SDExport'!A:A,'EA-Fortescue_SDExport'!B:B),
    _xlpm.lookupKey, IF(_xlpm.isObject="Object",
        _xlfn.XLOOKUP($A23,'EA-ConnectorExport'!A:A,'EA-ConnectorExport'!D:D),
        $Q23
    ),
    _xlpm.result, _xlfn.XLOOKUP(_xlpm.lookupKey,'EA-Fortescue_SDExport'!A:A,'EA-Fortescue_SDExport'!AD:AD),
    IF(_xlpm.result=0,"",_xlpm.result)
)</f>
        <v>855DC Decarb Green Systems</v>
      </c>
      <c r="V23" s="2" t="str">
        <f>_xlfn.LET(
    _xlpm.isObject, _xlfn.XLOOKUP($Q23,'EA-Fortescue_SDExport'!A:A,'EA-Fortescue_SDExport'!B:B),
    _xlpm.lookupKey, IF(_xlpm.isObject="Object",
        _xlfn.XLOOKUP($A23,'EA-ConnectorExport'!A:A,'EA-ConnectorExport'!D:D),
        $Q23
    ),
    _xlpm.result, _xlfn.XLOOKUP(_xlpm.lookupKey,'EA-Fortescue_SDExport'!A:A,'EA-Fortescue_SDExport'!AE:AE),
    IF(_xlpm.result=0,"",_xlpm.result)
)</f>
        <v>855DC-1542 Control &amp; Monitoring Systems</v>
      </c>
      <c r="W23" s="2" t="str">
        <f>_xlfn.LET(
    _xlpm.isObject, _xlfn.XLOOKUP($Q23,'EA-Fortescue_SDExport'!A:A,'EA-Fortescue_SDExport'!B:B),
    _xlpm.lookupKey, IF(_xlpm.isObject="Object",
        _xlfn.XLOOKUP($A23,'EA-ConnectorExport'!A:A,'EA-ConnectorExport'!D:D),
        $Q23
    ),
    _xlpm.result, _xlfn.XLOOKUP(_xlpm.lookupKey,'EA-Fortescue_SDExport'!A:A,'EA-Fortescue_SDExport'!AF:AF),
    IF(_xlpm.result=0,"",_xlpm.result)
)</f>
        <v>855DC-1542-CSM Charge Station Management System (CSMS)</v>
      </c>
      <c r="X23" s="2" t="str">
        <f>_xlfn.LET(
    _xlpm.isObject, _xlfn.XLOOKUP($Q23,'EA-Fortescue_SDExport'!A:A,'EA-Fortescue_SDExport'!B:B),
    _xlpm.lookupKey, IF(_xlpm.isObject="Object",
        _xlfn.XLOOKUP($A23,'EA-ConnectorExport'!A:A,'EA-ConnectorExport'!D:D),
        $Q23
    ),
    _xlpm.result, _xlfn.XLOOKUP(_xlpm.lookupKey,'EA-Fortescue_SDExport'!A:A,'EA-Fortescue_SDExport'!AG:AG),
    IF(_xlpm.result=0,"",_xlpm.result)
)</f>
        <v/>
      </c>
      <c r="Y23" s="2" t="str">
        <f>_xlfn.LET(
    _xlpm.status, _xlfn.XLOOKUP($A23,'EA-ConnectorExport'!$A:$A,'EA-ConnectorExport'!G:G),
    _xlpm.result, _xlfn.XLOOKUP($A23,'EA-ConnectorExport'!$A:$A,'EA-ConnectorExport'!H:H),
    IF(_xlpm.status="allocate", _xlpm.result, "")
)</f>
        <v>855DC-1541-DEL Delphi</v>
      </c>
      <c r="Z23" s="2" t="str">
        <f>_xlfn.LET(
    _xlpm.isObject, _xlfn.XLOOKUP($Y23,'EA-Fortescue_SDExport'!A:A,'EA-Fortescue_SDExport'!B:B),
    _xlpm.lookupKey, IF(_xlpm.isObject="Object",
        _xlfn.XLOOKUP($A23,'EA-ConnectorExport'!A:A,'EA-ConnectorExport'!J:J),
        $Y23
    ),
    _xlpm.result, _xlfn.XLOOKUP(_xlpm.lookupKey,'EA-Fortescue_SDExport'!A:A,'EA-Fortescue_SDExport'!AA:AA),
    IF(_xlpm.result=0,"",_xlpm.result)
)</f>
        <v>Project</v>
      </c>
      <c r="AA23" s="2" t="str">
        <f>_xlfn.LET(_xlpm.result, _xlfn.XLOOKUP($Y23,'EA-Fortescue_SDExport'!$A:$A,'EA-Fortescue_SDExport'!AB:AB), IF(_xlpm.result=0,"",_xlpm.result))</f>
        <v>Energy Operations</v>
      </c>
      <c r="AB23" s="2" t="str">
        <f>_xlfn.LET(_xlpm.result, _xlfn.XLOOKUP($Y23,'EA-Fortescue_SDExport'!$A:$A,'EA-Fortescue_SDExport'!AC:AC), IF(_xlpm.result=0,"",_xlpm.result))</f>
        <v/>
      </c>
      <c r="AC23" s="2" t="str">
        <f>_xlfn.LET(
    _xlpm.isObject, _xlfn.XLOOKUP($Y23,'EA-Fortescue_SDExport'!A:A,'EA-Fortescue_SDExport'!B:B),
    _xlpm.lookupKey, IF(_xlpm.isObject="Object",
        _xlfn.XLOOKUP($A23,'EA-ConnectorExport'!A:A,'EA-ConnectorExport'!J:J),
        $Y23
    ),
    _xlpm.result, _xlfn.XLOOKUP(_xlpm.lookupKey,'EA-Fortescue_SDExport'!A:A,'EA-Fortescue_SDExport'!AD:AD),
    IF(_xlpm.result=0,"",_xlpm.result)
)</f>
        <v>855DC Decarb Green Systems</v>
      </c>
      <c r="AD23" s="2" t="str">
        <f>_xlfn.LET(
    _xlpm.isObject, _xlfn.XLOOKUP($Y23,'EA-Fortescue_SDExport'!A:A,'EA-Fortescue_SDExport'!B:B),
    _xlpm.lookupKey, IF(_xlpm.isObject="Object",
        _xlfn.XLOOKUP($A23,'EA-ConnectorExport'!A:A,'EA-ConnectorExport'!J:J),
        $Y23
    ),
    _xlpm.result, _xlfn.XLOOKUP(_xlpm.lookupKey,'EA-Fortescue_SDExport'!A:A,'EA-Fortescue_SDExport'!AE:AE),
    IF(_xlpm.result=0,"",_xlpm.result)
)</f>
        <v>855DC-1541 Planning and Forecast Systems</v>
      </c>
      <c r="AE23" s="2" t="str">
        <f>_xlfn.LET(
    _xlpm.isObject, _xlfn.XLOOKUP($Y23,'EA-Fortescue_SDExport'!A:A,'EA-Fortescue_SDExport'!B:B),
    _xlpm.lookupKey, IF(_xlpm.isObject="Object",
        _xlfn.XLOOKUP($A23,'EA-ConnectorExport'!A:A,'EA-ConnectorExport'!J:J),
        $Y23
    ),
    _xlpm.result, _xlfn.XLOOKUP(_xlpm.lookupKey,'EA-Fortescue_SDExport'!A:A,'EA-Fortescue_SDExport'!AF:AF),
    IF(_xlpm.result=0,"",_xlpm.result)
)</f>
        <v>855DC-1541-DEL Delphi</v>
      </c>
      <c r="AF23" s="2" t="str">
        <f>_xlfn.LET(
    _xlpm.isObject, _xlfn.XLOOKUP($Y23,'EA-Fortescue_SDExport'!A:A,'EA-Fortescue_SDExport'!B:B),
    _xlpm.lookupKey, IF(_xlpm.isObject="Object",
        _xlfn.XLOOKUP($A23,'EA-ConnectorExport'!A:A,'EA-ConnectorExport'!J:J),
        $Y23
    ),
    _xlpm.result, _xlfn.XLOOKUP(_xlpm.lookupKey,'EA-Fortescue_SDExport'!A:A,'EA-Fortescue_SDExport'!AG:AG),
    IF(_xlpm.result=0,"",_xlpm.result)
)</f>
        <v/>
      </c>
    </row>
    <row r="24" spans="1:32" ht="90" x14ac:dyDescent="0.25">
      <c r="A24" s="2" t="str">
        <v>DGS-I_0023</v>
      </c>
      <c r="B24" s="2" t="str">
        <f t="shared" si="0"/>
        <v>859DC-1410-001 HaulX|855DC-1541-DEL Delphi</v>
      </c>
      <c r="C24" s="2" t="str">
        <f>_xlfn.LET(_xlpm.result, _xlfn.XLOOKUP(A24,'EA-Fortescue_SDExport'!A:A,'EA-Fortescue_SDExport'!AM:AM), IF(_xlpm.result=0,"",_xlpm.result))</f>
        <v/>
      </c>
      <c r="D24" s="2" t="str">
        <f>_xlfn.LET(_xlpm.result, _xlfn.XLOOKUP(A24,'EA-Fortescue_SDExport'!A:A,'EA-Fortescue_SDExport'!AN:AN), IF(_xlpm.result=0,"",_xlpm.result))</f>
        <v/>
      </c>
      <c r="E24" s="2" t="str">
        <f>_xlfn.XLOOKUP(R24&amp;Z24,Lookups!A:A,Lookups!B:B)</f>
        <v>Project - Project Interface</v>
      </c>
      <c r="F24" s="2" t="str">
        <f>_xlfn.LET(_xlpm.result, _xlfn.XLOOKUP(A24,'EA-Fortescue_SDExport'!A:A,'EA-Fortescue_SDExport'!AP:AP), IF(_xlpm.result=0,"",_xlpm.result))</f>
        <v>Technical-Data/Software</v>
      </c>
      <c r="G24" s="2" t="str">
        <f>IF(OR(AND(T24&lt;&gt;"", COUNTIF(Lookups!J:J, "*"&amp;T24&amp;"*")&gt;0), AND(AB24&lt;&gt;"", COUNTIF(Lookups!J:J, "*"&amp;AB24&amp;"*")&gt;0)), "Yes", "No")</f>
        <v>No</v>
      </c>
      <c r="H24" s="2" t="str">
        <f t="shared" si="1"/>
        <v>859DC HaulX|855DC Decarb Green Systems</v>
      </c>
      <c r="I24" s="2" t="str">
        <f t="shared" si="2"/>
        <v>N/A|855DC-1541 Planning and Forecast Systems</v>
      </c>
      <c r="J24" s="2" t="str">
        <f t="shared" si="3"/>
        <v>859DC-1410-001 HaulX|855DC-1541-DEL Delphi</v>
      </c>
      <c r="K24" s="2" t="str">
        <f>_xlfn.XLOOKUP(A24,'EA-Fortescue_SDExport'!A:A,'EA-Fortescue_SDExport'!N:N)</f>
        <v>Proposed</v>
      </c>
      <c r="L24" s="2" t="str">
        <f>_xlfn.LET(_xlpm.result, _xlfn.XLOOKUP($A24,'EA-Fortescue_SDExport'!$A:$A,'EA-Fortescue_SDExport'!AQ:AQ), IF(_xlpm.result=0,"",_xlpm.result))</f>
        <v>This interface provides a near-term forecast of fleet energy consumption. This depends on the HaulX forecast horizon, based on a dispatch plan and mine plan. 30-40% of load based on mobile asset energy consumption. Frequency, resolution and horizon need to be determined for truck and excavator fleet on charge. State of charge, estimated time of completion.</v>
      </c>
      <c r="M24" s="2" t="str">
        <f>_xlfn.LET(_xlpm.result, _xlfn.XLOOKUP($A24,'EA-Fortescue_SDExport'!$A:$A,'EA-Fortescue_SDExport'!AR:AR), IF(_xlpm.result=0,"",_xlpm.result))</f>
        <v>LOW</v>
      </c>
      <c r="N24" s="2" t="str">
        <f>_xlfn.LET(_xlpm.result, _xlfn.XLOOKUP($A24,'EA-Fortescue_SDExport'!$A:$A,'EA-Fortescue_SDExport'!AW:AW), IF(_xlpm.result=0,"",_xlpm.result))</f>
        <v>The criticality level is LOW because, although Delphi receives fleet energy forecasts from HaulX to support planning and optimisation, the interface does not affect real-time haulage operations, safety, or production continuity. If the interface fails, Haulage and mine operations continue normally, though forecast accuracy and decision-making may be reduced.</v>
      </c>
      <c r="O24" s="2" t="str">
        <f>_xlfn.LET(_xlpm.result, _xlfn.XLOOKUP($A24,'EA-Fortescue_SDExport'!$A:$A,'EA-Fortescue_SDExport'!AV:AV), IF(_xlpm.result=0,"",_xlpm.result))</f>
        <v>HaulX-&gt;Delphi</v>
      </c>
      <c r="P24" s="2" t="str">
        <f>_xlfn.LET(_xlpm.result, _xlfn.XLOOKUP($A24,'EA-Fortescue_SDExport'!$A:$A,'EA-Fortescue_SDExport'!D:D), IF(_xlpm.result=0,"",_xlpm.result))</f>
        <v>Interface Review 25/11/2025: Delete (more Eclipse)_x000D_
Delphi RVAM 28/01/2026: Reinstated_x000D_
NH 25/02/2026: Fields updated:Interface Type, Interface Criticality, Interface Criticality Explanation</v>
      </c>
      <c r="Q24" s="2" t="str">
        <f>_xlfn.LET(
    _xlpm.status, _xlfn.XLOOKUP($A24,'EA-ConnectorExport'!$A:$A,'EA-ConnectorExport'!G:G),
    _xlpm.result, _xlfn.XLOOKUP($A24,'EA-ConnectorExport'!$A:$A,'EA-ConnectorExport'!B:B),
    IF(_xlpm.status="allocate", _xlpm.result, "")
)</f>
        <v>859DC-1410-001 HaulX</v>
      </c>
      <c r="R24" s="2" t="str">
        <f>IF(
    _xlfn.XLOOKUP($Q24,'EA-Fortescue_SDExport'!A:A,'EA-Fortescue_SDExport'!B:B)="Object",
    _xlfn.XLOOKUP(
        _xlfn.XLOOKUP($A24,'EA-ConnectorExport'!A:A,'EA-ConnectorExport'!D:D),
        'EA-Fortescue_SDExport'!A:A,
        'EA-Fortescue_SDExport'!AA:AA
    ),
    _xlfn.XLOOKUP($Q24,'EA-Fortescue_SDExport'!A:A,'EA-Fortescue_SDExport'!AA:AA)
)</f>
        <v>Project</v>
      </c>
      <c r="S24" s="2" t="str">
        <f>_xlfn.LET(_xlpm.result, _xlfn.XLOOKUP($Q24,'EA-Fortescue_SDExport'!$A:$A,'EA-Fortescue_SDExport'!AB:AB), IF(_xlpm.result=0,"",_xlpm.result))</f>
        <v/>
      </c>
      <c r="T24" s="2" t="str">
        <f>_xlfn.LET(_xlpm.result, _xlfn.XLOOKUP($Q24,'EA-Fortescue_SDExport'!$A:$A,'EA-Fortescue_SDExport'!AC:AC), IF(_xlpm.result=0,"",_xlpm.result))</f>
        <v/>
      </c>
      <c r="U24" s="2" t="str">
        <f>_xlfn.LET(
    _xlpm.isObject, _xlfn.XLOOKUP($Q24,'EA-Fortescue_SDExport'!A:A,'EA-Fortescue_SDExport'!B:B),
    _xlpm.lookupKey, IF(_xlpm.isObject="Object",
        _xlfn.XLOOKUP($A24,'EA-ConnectorExport'!A:A,'EA-ConnectorExport'!D:D),
        $Q24
    ),
    _xlpm.result, _xlfn.XLOOKUP(_xlpm.lookupKey,'EA-Fortescue_SDExport'!A:A,'EA-Fortescue_SDExport'!AD:AD),
    IF(_xlpm.result=0,"",_xlpm.result)
)</f>
        <v>859DC HaulX</v>
      </c>
      <c r="V24" s="2" t="str">
        <f>_xlfn.LET(
    _xlpm.isObject, _xlfn.XLOOKUP($Q24,'EA-Fortescue_SDExport'!A:A,'EA-Fortescue_SDExport'!B:B),
    _xlpm.lookupKey, IF(_xlpm.isObject="Object",
        _xlfn.XLOOKUP($A24,'EA-ConnectorExport'!A:A,'EA-ConnectorExport'!D:D),
        $Q24
    ),
    _xlpm.result, _xlfn.XLOOKUP(_xlpm.lookupKey,'EA-Fortescue_SDExport'!A:A,'EA-Fortescue_SDExport'!AE:AE),
    IF(_xlpm.result=0,"",_xlpm.result)
)</f>
        <v/>
      </c>
      <c r="W24" s="2" t="str">
        <f>_xlfn.LET(
    _xlpm.isObject, _xlfn.XLOOKUP($Q24,'EA-Fortescue_SDExport'!A:A,'EA-Fortescue_SDExport'!B:B),
    _xlpm.lookupKey, IF(_xlpm.isObject="Object",
        _xlfn.XLOOKUP($A24,'EA-ConnectorExport'!A:A,'EA-ConnectorExport'!D:D),
        $Q24
    ),
    _xlpm.result, _xlfn.XLOOKUP(_xlpm.lookupKey,'EA-Fortescue_SDExport'!A:A,'EA-Fortescue_SDExport'!AF:AF),
    IF(_xlpm.result=0,"",_xlpm.result)
)</f>
        <v>859DC-1410-001 HaulX</v>
      </c>
      <c r="X24" s="2" t="str">
        <f>_xlfn.LET(
    _xlpm.isObject, _xlfn.XLOOKUP($Q24,'EA-Fortescue_SDExport'!A:A,'EA-Fortescue_SDExport'!B:B),
    _xlpm.lookupKey, IF(_xlpm.isObject="Object",
        _xlfn.XLOOKUP($A24,'EA-ConnectorExport'!A:A,'EA-ConnectorExport'!D:D),
        $Q24
    ),
    _xlpm.result, _xlfn.XLOOKUP(_xlpm.lookupKey,'EA-Fortescue_SDExport'!A:A,'EA-Fortescue_SDExport'!AG:AG),
    IF(_xlpm.result=0,"",_xlpm.result)
)</f>
        <v/>
      </c>
      <c r="Y24" s="2" t="str">
        <f>_xlfn.LET(
    _xlpm.status, _xlfn.XLOOKUP($A24,'EA-ConnectorExport'!$A:$A,'EA-ConnectorExport'!G:G),
    _xlpm.result, _xlfn.XLOOKUP($A24,'EA-ConnectorExport'!$A:$A,'EA-ConnectorExport'!H:H),
    IF(_xlpm.status="allocate", _xlpm.result, "")
)</f>
        <v>855DC-1541-DEL Delphi</v>
      </c>
      <c r="Z24" s="2" t="str">
        <f>_xlfn.LET(
    _xlpm.isObject, _xlfn.XLOOKUP($Y24,'EA-Fortescue_SDExport'!A:A,'EA-Fortescue_SDExport'!B:B),
    _xlpm.lookupKey, IF(_xlpm.isObject="Object",
        _xlfn.XLOOKUP($A24,'EA-ConnectorExport'!A:A,'EA-ConnectorExport'!J:J),
        $Y24
    ),
    _xlpm.result, _xlfn.XLOOKUP(_xlpm.lookupKey,'EA-Fortescue_SDExport'!A:A,'EA-Fortescue_SDExport'!AA:AA),
    IF(_xlpm.result=0,"",_xlpm.result)
)</f>
        <v>Project</v>
      </c>
      <c r="AA24" s="2" t="str">
        <f>_xlfn.LET(_xlpm.result, _xlfn.XLOOKUP($Y24,'EA-Fortescue_SDExport'!$A:$A,'EA-Fortescue_SDExport'!AB:AB), IF(_xlpm.result=0,"",_xlpm.result))</f>
        <v>Energy Operations</v>
      </c>
      <c r="AB24" s="2" t="str">
        <f>_xlfn.LET(_xlpm.result, _xlfn.XLOOKUP($Y24,'EA-Fortescue_SDExport'!$A:$A,'EA-Fortescue_SDExport'!AC:AC), IF(_xlpm.result=0,"",_xlpm.result))</f>
        <v/>
      </c>
      <c r="AC24" s="2" t="str">
        <f>_xlfn.LET(
    _xlpm.isObject, _xlfn.XLOOKUP($Y24,'EA-Fortescue_SDExport'!A:A,'EA-Fortescue_SDExport'!B:B),
    _xlpm.lookupKey, IF(_xlpm.isObject="Object",
        _xlfn.XLOOKUP($A24,'EA-ConnectorExport'!A:A,'EA-ConnectorExport'!J:J),
        $Y24
    ),
    _xlpm.result, _xlfn.XLOOKUP(_xlpm.lookupKey,'EA-Fortescue_SDExport'!A:A,'EA-Fortescue_SDExport'!AD:AD),
    IF(_xlpm.result=0,"",_xlpm.result)
)</f>
        <v>855DC Decarb Green Systems</v>
      </c>
      <c r="AD24" s="2" t="str">
        <f>_xlfn.LET(
    _xlpm.isObject, _xlfn.XLOOKUP($Y24,'EA-Fortescue_SDExport'!A:A,'EA-Fortescue_SDExport'!B:B),
    _xlpm.lookupKey, IF(_xlpm.isObject="Object",
        _xlfn.XLOOKUP($A24,'EA-ConnectorExport'!A:A,'EA-ConnectorExport'!J:J),
        $Y24
    ),
    _xlpm.result, _xlfn.XLOOKUP(_xlpm.lookupKey,'EA-Fortescue_SDExport'!A:A,'EA-Fortescue_SDExport'!AE:AE),
    IF(_xlpm.result=0,"",_xlpm.result)
)</f>
        <v>855DC-1541 Planning and Forecast Systems</v>
      </c>
      <c r="AE24" s="2" t="str">
        <f>_xlfn.LET(
    _xlpm.isObject, _xlfn.XLOOKUP($Y24,'EA-Fortescue_SDExport'!A:A,'EA-Fortescue_SDExport'!B:B),
    _xlpm.lookupKey, IF(_xlpm.isObject="Object",
        _xlfn.XLOOKUP($A24,'EA-ConnectorExport'!A:A,'EA-ConnectorExport'!J:J),
        $Y24
    ),
    _xlpm.result, _xlfn.XLOOKUP(_xlpm.lookupKey,'EA-Fortescue_SDExport'!A:A,'EA-Fortescue_SDExport'!AF:AF),
    IF(_xlpm.result=0,"",_xlpm.result)
)</f>
        <v>855DC-1541-DEL Delphi</v>
      </c>
      <c r="AF24" s="2" t="str">
        <f>_xlfn.LET(
    _xlpm.isObject, _xlfn.XLOOKUP($Y24,'EA-Fortescue_SDExport'!A:A,'EA-Fortescue_SDExport'!B:B),
    _xlpm.lookupKey, IF(_xlpm.isObject="Object",
        _xlfn.XLOOKUP($A24,'EA-ConnectorExport'!A:A,'EA-ConnectorExport'!J:J),
        $Y24
    ),
    _xlpm.result, _xlfn.XLOOKUP(_xlpm.lookupKey,'EA-Fortescue_SDExport'!A:A,'EA-Fortescue_SDExport'!AG:AG),
    IF(_xlpm.result=0,"",_xlpm.result)
)</f>
        <v/>
      </c>
    </row>
    <row r="25" spans="1:32" ht="180" x14ac:dyDescent="0.25">
      <c r="A25" s="2" t="str">
        <v>DGS-I_0024</v>
      </c>
      <c r="B25" s="2" t="str">
        <f t="shared" si="0"/>
        <v>855DC-1541-LIV LiveWire|855DC-1542-008 Mine Electrification SCADA</v>
      </c>
      <c r="C25" s="2" t="str">
        <f>_xlfn.LET(_xlpm.result, _xlfn.XLOOKUP(A25,'EA-Fortescue_SDExport'!A:A,'EA-Fortescue_SDExport'!AM:AM), IF(_xlpm.result=0,"",_xlpm.result))</f>
        <v/>
      </c>
      <c r="D25" s="2" t="str">
        <f>_xlfn.LET(_xlpm.result, _xlfn.XLOOKUP(A25,'EA-Fortescue_SDExport'!A:A,'EA-Fortescue_SDExport'!AN:AN), IF(_xlpm.result=0,"",_xlpm.result))</f>
        <v/>
      </c>
      <c r="E25" s="2" t="str">
        <f>_xlfn.XLOOKUP(R25&amp;Z25,Lookups!A:A,Lookups!B:B)</f>
        <v>Project - Project Interface</v>
      </c>
      <c r="F25" s="2" t="str">
        <f>_xlfn.LET(_xlpm.result, _xlfn.XLOOKUP(A25,'EA-Fortescue_SDExport'!A:A,'EA-Fortescue_SDExport'!AP:AP), IF(_xlpm.result=0,"",_xlpm.result))</f>
        <v>Technical-Data/Software</v>
      </c>
      <c r="G25" s="2" t="str">
        <f>IF(OR(AND(T25&lt;&gt;"", COUNTIF(Lookups!J:J, "*"&amp;T25&amp;"*")&gt;0), AND(AB25&lt;&gt;"", COUNTIF(Lookups!J:J, "*"&amp;AB25&amp;"*")&gt;0)), "Yes", "No")</f>
        <v>No</v>
      </c>
      <c r="H25" s="2" t="str">
        <f t="shared" si="1"/>
        <v>855DC Decarb Green Systems|855DC Decarb Green Systems</v>
      </c>
      <c r="I25" s="2" t="str">
        <f t="shared" si="2"/>
        <v>855DC-1541 Planning and Forecast Systems|855DC-1542 Control &amp; Monitoring Systems</v>
      </c>
      <c r="J25" s="2" t="str">
        <f t="shared" si="3"/>
        <v>855DC-1541-LIV LiveWire|855DC-1542-008 Mine Electrification SCADA</v>
      </c>
      <c r="K25" s="2" t="str">
        <f>_xlfn.XLOOKUP(A25,'EA-Fortescue_SDExport'!A:A,'EA-Fortescue_SDExport'!N:N)</f>
        <v>Proposed</v>
      </c>
      <c r="L25" s="2" t="str">
        <f>_xlfn.LET(_xlpm.result, _xlfn.XLOOKUP($A25,'EA-Fortescue_SDExport'!$A:$A,'EA-Fortescue_SDExport'!AQ:AQ), IF(_xlpm.result=0,"",_xlpm.result))</f>
        <v>The purpose of this interface is to provide LiveWire with real-time electrical connectivity and energisation status information from Mine Electrification SCADA. This includes live/dead state of cables, breakers, switches, and associated network segments, enabling LiveWire to accurately represent which assets and circuits are energised across the pit. This integration supports safe cable routing, switching coordination, and field planning by ensuring spatial visualisations reflect the true electrical state of the network.</v>
      </c>
      <c r="M25" s="2" t="str">
        <f>_xlfn.LET(_xlpm.result, _xlfn.XLOOKUP($A25,'EA-Fortescue_SDExport'!$A:$A,'EA-Fortescue_SDExport'!AR:AR), IF(_xlpm.result=0,"",_xlpm.result))</f>
        <v>HIGH</v>
      </c>
      <c r="N25" s="2" t="str">
        <f>_xlfn.LET(_xlpm.result, _xlfn.XLOOKUP($A25,'EA-Fortescue_SDExport'!$A:$A,'EA-Fortescue_SDExport'!AW:AW), IF(_xlpm.result=0,"",_xlpm.result))</f>
        <v>The criticality level is HIGH because this interface provides the authoritative live/dead and electrical connectivity status of cables, breakers, and network segments from Mine Electrification SCADA into LiveWire. Accurate energisation status is fundamental to safe switching, cable handling, and field operations._x000D_
_x000D_
If this interface fails or provides incorrect data, LiveWire may display an incorrect electrical state, creating a credible risk of personnel exposure to energised infrastructure or unsafe switching decisions, thereby compromising a safety-critical function. In addition, loss of reliable connectivity status may require suspension of cable moves and electrical reconfiguration activities until state is manually verified, potentially constraining pit electrification operations and impacting production throughput.</v>
      </c>
      <c r="O25" s="2" t="str">
        <f>_xlfn.LET(_xlpm.result, _xlfn.XLOOKUP($A25,'EA-Fortescue_SDExport'!$A:$A,'EA-Fortescue_SDExport'!AV:AV), IF(_xlpm.result=0,"",_xlpm.result))</f>
        <v>Mine Electrification SCADA -&gt; LiveWire</v>
      </c>
      <c r="P25" s="2" t="str">
        <f>_xlfn.LET(_xlpm.result, _xlfn.XLOOKUP($A25,'EA-Fortescue_SDExport'!$A:$A,'EA-Fortescue_SDExport'!D:D), IF(_xlpm.result=0,"",_xlpm.result))</f>
        <v>LMS Review 30/10/2025: Potential MQTT Integration (July roll out?)_x000D_
_x000D_
Status of when a cable is live. Logic in PLC for curent breaker status and data._x000D_
_x000D_
Interface Review 02/12/2025: Confirm if duplication. Confirmed Delete._x000D_
_x000D_
Remark 02/12/2025: Move mine electrification SCADA to retired systems and delete associated interfaces._x000D_
JV 13/01/2026: Mine Electrification SCADA is a live project - retain in the System Architecture and Interface Register. _x000D_
NH 25/02/2026 As Mine Electrification SCADA is separate from Ignition, it is not a duplication. This interface is reinstated._x000D_
NH 25/02/2026: Fields updated: Interface Type, Interface Description (Interface Purpose), Interface Criticality, Interface Criticality Explanation, Interface Flow.</v>
      </c>
      <c r="Q25" s="2" t="str">
        <f>_xlfn.LET(
    _xlpm.status, _xlfn.XLOOKUP($A25,'EA-ConnectorExport'!$A:$A,'EA-ConnectorExport'!G:G),
    _xlpm.result, _xlfn.XLOOKUP($A25,'EA-ConnectorExport'!$A:$A,'EA-ConnectorExport'!B:B),
    IF(_xlpm.status="allocate", _xlpm.result, "")
)</f>
        <v>855DC-1541-LIV LiveWire</v>
      </c>
      <c r="R25" s="2" t="str">
        <f>IF(
    _xlfn.XLOOKUP($Q25,'EA-Fortescue_SDExport'!A:A,'EA-Fortescue_SDExport'!B:B)="Object",
    _xlfn.XLOOKUP(
        _xlfn.XLOOKUP($A25,'EA-ConnectorExport'!A:A,'EA-ConnectorExport'!D:D),
        'EA-Fortescue_SDExport'!A:A,
        'EA-Fortescue_SDExport'!AA:AA
    ),
    _xlfn.XLOOKUP($Q25,'EA-Fortescue_SDExport'!A:A,'EA-Fortescue_SDExport'!AA:AA)
)</f>
        <v>Project</v>
      </c>
      <c r="S25" s="2" t="str">
        <f>_xlfn.LET(_xlpm.result, _xlfn.XLOOKUP($Q25,'EA-Fortescue_SDExport'!$A:$A,'EA-Fortescue_SDExport'!AB:AB), IF(_xlpm.result=0,"",_xlpm.result))</f>
        <v>Operations Planning</v>
      </c>
      <c r="T25" s="2" t="str">
        <f>_xlfn.LET(_xlpm.result, _xlfn.XLOOKUP($Q25,'EA-Fortescue_SDExport'!$A:$A,'EA-Fortescue_SDExport'!AC:AC), IF(_xlpm.result=0,"",_xlpm.result))</f>
        <v>AWS Fortescue Cloud</v>
      </c>
      <c r="U25" s="2" t="str">
        <f>_xlfn.LET(
    _xlpm.isObject, _xlfn.XLOOKUP($Q25,'EA-Fortescue_SDExport'!A:A,'EA-Fortescue_SDExport'!B:B),
    _xlpm.lookupKey, IF(_xlpm.isObject="Object",
        _xlfn.XLOOKUP($A25,'EA-ConnectorExport'!A:A,'EA-ConnectorExport'!D:D),
        $Q25
    ),
    _xlpm.result, _xlfn.XLOOKUP(_xlpm.lookupKey,'EA-Fortescue_SDExport'!A:A,'EA-Fortescue_SDExport'!AD:AD),
    IF(_xlpm.result=0,"",_xlpm.result)
)</f>
        <v>855DC Decarb Green Systems</v>
      </c>
      <c r="V25" s="2" t="str">
        <f>_xlfn.LET(
    _xlpm.isObject, _xlfn.XLOOKUP($Q25,'EA-Fortescue_SDExport'!A:A,'EA-Fortescue_SDExport'!B:B),
    _xlpm.lookupKey, IF(_xlpm.isObject="Object",
        _xlfn.XLOOKUP($A25,'EA-ConnectorExport'!A:A,'EA-ConnectorExport'!D:D),
        $Q25
    ),
    _xlpm.result, _xlfn.XLOOKUP(_xlpm.lookupKey,'EA-Fortescue_SDExport'!A:A,'EA-Fortescue_SDExport'!AE:AE),
    IF(_xlpm.result=0,"",_xlpm.result)
)</f>
        <v>855DC-1541 Planning and Forecast Systems</v>
      </c>
      <c r="W25" s="2" t="str">
        <f>_xlfn.LET(
    _xlpm.isObject, _xlfn.XLOOKUP($Q25,'EA-Fortescue_SDExport'!A:A,'EA-Fortescue_SDExport'!B:B),
    _xlpm.lookupKey, IF(_xlpm.isObject="Object",
        _xlfn.XLOOKUP($A25,'EA-ConnectorExport'!A:A,'EA-ConnectorExport'!D:D),
        $Q25
    ),
    _xlpm.result, _xlfn.XLOOKUP(_xlpm.lookupKey,'EA-Fortescue_SDExport'!A:A,'EA-Fortescue_SDExport'!AF:AF),
    IF(_xlpm.result=0,"",_xlpm.result)
)</f>
        <v>855DC-1541-LIV LiveWire</v>
      </c>
      <c r="X25" s="2" t="str">
        <f>_xlfn.LET(
    _xlpm.isObject, _xlfn.XLOOKUP($Q25,'EA-Fortescue_SDExport'!A:A,'EA-Fortescue_SDExport'!B:B),
    _xlpm.lookupKey, IF(_xlpm.isObject="Object",
        _xlfn.XLOOKUP($A25,'EA-ConnectorExport'!A:A,'EA-ConnectorExport'!D:D),
        $Q25
    ),
    _xlpm.result, _xlfn.XLOOKUP(_xlpm.lookupKey,'EA-Fortescue_SDExport'!A:A,'EA-Fortescue_SDExport'!AG:AG),
    IF(_xlpm.result=0,"",_xlpm.result)
)</f>
        <v/>
      </c>
      <c r="Y25" s="2" t="str">
        <f>_xlfn.LET(
    _xlpm.status, _xlfn.XLOOKUP($A25,'EA-ConnectorExport'!$A:$A,'EA-ConnectorExport'!G:G),
    _xlpm.result, _xlfn.XLOOKUP($A25,'EA-ConnectorExport'!$A:$A,'EA-ConnectorExport'!H:H),
    IF(_xlpm.status="allocate", _xlpm.result, "")
)</f>
        <v>855DC-1542-008 Mine Electrification SCADA</v>
      </c>
      <c r="Z25" s="2" t="str">
        <f>_xlfn.LET(
    _xlpm.isObject, _xlfn.XLOOKUP($Y25,'EA-Fortescue_SDExport'!A:A,'EA-Fortescue_SDExport'!B:B),
    _xlpm.lookupKey, IF(_xlpm.isObject="Object",
        _xlfn.XLOOKUP($A25,'EA-ConnectorExport'!A:A,'EA-ConnectorExport'!J:J),
        $Y25
    ),
    _xlpm.result, _xlfn.XLOOKUP(_xlpm.lookupKey,'EA-Fortescue_SDExport'!A:A,'EA-Fortescue_SDExport'!AA:AA),
    IF(_xlpm.result=0,"",_xlpm.result)
)</f>
        <v>Project</v>
      </c>
      <c r="AA25" s="2" t="str">
        <f>_xlfn.LET(_xlpm.result, _xlfn.XLOOKUP($Y25,'EA-Fortescue_SDExport'!$A:$A,'EA-Fortescue_SDExport'!AB:AB), IF(_xlpm.result=0,"",_xlpm.result))</f>
        <v>Mine Services</v>
      </c>
      <c r="AB25" s="2" t="str">
        <f>_xlfn.LET(_xlpm.result, _xlfn.XLOOKUP($Y25,'EA-Fortescue_SDExport'!$A:$A,'EA-Fortescue_SDExport'!AC:AC), IF(_xlpm.result=0,"",_xlpm.result))</f>
        <v/>
      </c>
      <c r="AC25" s="2" t="str">
        <f>_xlfn.LET(
    _xlpm.isObject, _xlfn.XLOOKUP($Y25,'EA-Fortescue_SDExport'!A:A,'EA-Fortescue_SDExport'!B:B),
    _xlpm.lookupKey, IF(_xlpm.isObject="Object",
        _xlfn.XLOOKUP($A25,'EA-ConnectorExport'!A:A,'EA-ConnectorExport'!J:J),
        $Y25
    ),
    _xlpm.result, _xlfn.XLOOKUP(_xlpm.lookupKey,'EA-Fortescue_SDExport'!A:A,'EA-Fortescue_SDExport'!AD:AD),
    IF(_xlpm.result=0,"",_xlpm.result)
)</f>
        <v>855DC Decarb Green Systems</v>
      </c>
      <c r="AD25" s="2" t="str">
        <f>_xlfn.LET(
    _xlpm.isObject, _xlfn.XLOOKUP($Y25,'EA-Fortescue_SDExport'!A:A,'EA-Fortescue_SDExport'!B:B),
    _xlpm.lookupKey, IF(_xlpm.isObject="Object",
        _xlfn.XLOOKUP($A25,'EA-ConnectorExport'!A:A,'EA-ConnectorExport'!J:J),
        $Y25
    ),
    _xlpm.result, _xlfn.XLOOKUP(_xlpm.lookupKey,'EA-Fortescue_SDExport'!A:A,'EA-Fortescue_SDExport'!AE:AE),
    IF(_xlpm.result=0,"",_xlpm.result)
)</f>
        <v>855DC-1542 Control &amp; Monitoring Systems</v>
      </c>
      <c r="AE25" s="2" t="str">
        <f>_xlfn.LET(
    _xlpm.isObject, _xlfn.XLOOKUP($Y25,'EA-Fortescue_SDExport'!A:A,'EA-Fortescue_SDExport'!B:B),
    _xlpm.lookupKey, IF(_xlpm.isObject="Object",
        _xlfn.XLOOKUP($A25,'EA-ConnectorExport'!A:A,'EA-ConnectorExport'!J:J),
        $Y25
    ),
    _xlpm.result, _xlfn.XLOOKUP(_xlpm.lookupKey,'EA-Fortescue_SDExport'!A:A,'EA-Fortescue_SDExport'!AF:AF),
    IF(_xlpm.result=0,"",_xlpm.result)
)</f>
        <v>855DC-1542-008 Mine Electrification SCADA</v>
      </c>
      <c r="AF25" s="2" t="str">
        <f>_xlfn.LET(
    _xlpm.isObject, _xlfn.XLOOKUP($Y25,'EA-Fortescue_SDExport'!A:A,'EA-Fortescue_SDExport'!B:B),
    _xlpm.lookupKey, IF(_xlpm.isObject="Object",
        _xlfn.XLOOKUP($A25,'EA-ConnectorExport'!A:A,'EA-ConnectorExport'!J:J),
        $Y25
    ),
    _xlpm.result, _xlfn.XLOOKUP(_xlpm.lookupKey,'EA-Fortescue_SDExport'!A:A,'EA-Fortescue_SDExport'!AG:AG),
    IF(_xlpm.result=0,"",_xlpm.result)
)</f>
        <v/>
      </c>
    </row>
    <row r="26" spans="1:32" ht="240" x14ac:dyDescent="0.25">
      <c r="A26" s="2" t="str">
        <v>DGS-I_0025</v>
      </c>
      <c r="B26" s="2" t="str">
        <f t="shared" si="0"/>
        <v>855DC-1541-LIV LiveWire|005OP-0000-004 Alastri</v>
      </c>
      <c r="C26" s="2" t="str">
        <f>_xlfn.LET(_xlpm.result, _xlfn.XLOOKUP(A26,'EA-Fortescue_SDExport'!A:A,'EA-Fortescue_SDExport'!AM:AM), IF(_xlpm.result=0,"",_xlpm.result))</f>
        <v>Abby Buters</v>
      </c>
      <c r="D26" s="2" t="str">
        <f>_xlfn.LET(_xlpm.result, _xlfn.XLOOKUP(A26,'EA-Fortescue_SDExport'!A:A,'EA-Fortescue_SDExport'!AN:AN), IF(_xlpm.result=0,"",_xlpm.result))</f>
        <v>Shaun Batcock</v>
      </c>
      <c r="E26" s="2" t="str">
        <f>_xlfn.XLOOKUP(R26&amp;Z26,Lookups!A:A,Lookups!B:B)</f>
        <v>Project - Project Interface</v>
      </c>
      <c r="F26" s="2" t="str">
        <f>_xlfn.LET(_xlpm.result, _xlfn.XLOOKUP(A26,'EA-Fortescue_SDExport'!A:A,'EA-Fortescue_SDExport'!AP:AP), IF(_xlpm.result=0,"",_xlpm.result))</f>
        <v>Technical-Data/Software</v>
      </c>
      <c r="G26" s="2" t="str">
        <f>IF(OR(AND(T26&lt;&gt;"", COUNTIF(Lookups!J:J, "*"&amp;T26&amp;"*")&gt;0), AND(AB26&lt;&gt;"", COUNTIF(Lookups!J:J, "*"&amp;AB26&amp;"*")&gt;0)), "Yes", "No")</f>
        <v>No</v>
      </c>
      <c r="H26" s="2" t="str">
        <f t="shared" si="1"/>
        <v>855DC Decarb Green Systems|005OP IT/OT Systems</v>
      </c>
      <c r="I26" s="2" t="str">
        <f t="shared" si="2"/>
        <v>855DC-1541 Planning and Forecast Systems|N/A</v>
      </c>
      <c r="J26" s="2" t="str">
        <f t="shared" si="3"/>
        <v>855DC-1541-LIV LiveWire|005OP-0000-004 Alastri</v>
      </c>
      <c r="K26" s="2" t="str">
        <f>_xlfn.XLOOKUP(A26,'EA-Fortescue_SDExport'!A:A,'EA-Fortescue_SDExport'!N:N)</f>
        <v>Simplified Interface</v>
      </c>
      <c r="L26" s="2" t="str">
        <f>_xlfn.LET(_xlpm.result, _xlfn.XLOOKUP($A26,'EA-Fortescue_SDExport'!$A:$A,'EA-Fortescue_SDExport'!AQ:AQ), IF(_xlpm.result=0,"",_xlpm.result))</f>
        <v>Alastri -&gt; LiveWire - Pit Elevation, Block Progression &amp; Cable Path Integration_x000D_
The purpose of this interface is to allow LiveWire to consume pit elevation models, digger block progression, drill patterns, and high-level cable path designs from Alastri to support operational planning and electrical network management. LiveWire uses this information to visualise equipment movement, update spatial constraints, and guide safe and efficient cable routing decisions. Elevation data is sourced from Alastri's 3D model and transferred to a predetermined location for ingestion, with most data made available via Snowflake, and the process targets DXF 3D transfer with the possibility of exposing a DXF layer as an export back to Alastri._x000D_
Intermediate Elements: Alastri 3D model, Snowflake datasets, controlled file transfer location, LiveWire visualisation and spatial tools, and Mine planner (staff) 2-week mine plan.</v>
      </c>
      <c r="M26" s="2" t="str">
        <f>_xlfn.LET(_xlpm.result, _xlfn.XLOOKUP($A26,'EA-Fortescue_SDExport'!$A:$A,'EA-Fortescue_SDExport'!AR:AR), IF(_xlpm.result=0,"",_xlpm.result))</f>
        <v>MEDIUM</v>
      </c>
      <c r="N26" s="2" t="str">
        <f>_xlfn.LET(_xlpm.result, _xlfn.XLOOKUP($A26,'EA-Fortescue_SDExport'!$A:$A,'EA-Fortescue_SDExport'!AW:AW), IF(_xlpm.result=0,"",_xlpm.result))</f>
        <v>The criticality level is MEDIUM because accurate elevation and block progression information is essential for safe cable routing and avoiding physical conflicts. Failure may degrade planning safety and network design quality, but it does not immediately halt production.</v>
      </c>
      <c r="O26" s="2" t="str">
        <f>_xlfn.LET(_xlpm.result, _xlfn.XLOOKUP($A26,'EA-Fortescue_SDExport'!$A:$A,'EA-Fortescue_SDExport'!AV:AV), IF(_xlpm.result=0,"",_xlpm.result))</f>
        <v>Data Flow:_x000D_
Alastri (3D elevation model, block progression, drill patterns, cable path designs) -&gt; File transfer / Snowflake -&gt; LiveWire (visualisation &amp; operational layers).</v>
      </c>
      <c r="P26" s="2" t="str">
        <f>_xlfn.LET(_xlpm.result, _xlfn.XLOOKUP($A26,'EA-Fortescue_SDExport'!$A:$A,'EA-Fortescue_SDExport'!D:D), IF(_xlpm.result=0,"",_xlpm.result))</f>
        <v/>
      </c>
      <c r="Q26" s="2" t="str">
        <f>_xlfn.LET(
    _xlpm.status, _xlfn.XLOOKUP($A26,'EA-ConnectorExport'!$A:$A,'EA-ConnectorExport'!G:G),
    _xlpm.result, _xlfn.XLOOKUP($A26,'EA-ConnectorExport'!$A:$A,'EA-ConnectorExport'!B:B),
    IF(_xlpm.status="allocate", _xlpm.result, "")
)</f>
        <v>855DC-1541-LIV LiveWire</v>
      </c>
      <c r="R26" s="2" t="str">
        <f>IF(
    _xlfn.XLOOKUP($Q26,'EA-Fortescue_SDExport'!A:A,'EA-Fortescue_SDExport'!B:B)="Object",
    _xlfn.XLOOKUP(
        _xlfn.XLOOKUP($A26,'EA-ConnectorExport'!A:A,'EA-ConnectorExport'!D:D),
        'EA-Fortescue_SDExport'!A:A,
        'EA-Fortescue_SDExport'!AA:AA
    ),
    _xlfn.XLOOKUP($Q26,'EA-Fortescue_SDExport'!A:A,'EA-Fortescue_SDExport'!AA:AA)
)</f>
        <v>Project</v>
      </c>
      <c r="S26" s="2" t="str">
        <f>_xlfn.LET(_xlpm.result, _xlfn.XLOOKUP($Q26,'EA-Fortescue_SDExport'!$A:$A,'EA-Fortescue_SDExport'!AB:AB), IF(_xlpm.result=0,"",_xlpm.result))</f>
        <v>Operations Planning</v>
      </c>
      <c r="T26" s="2" t="str">
        <f>_xlfn.LET(_xlpm.result, _xlfn.XLOOKUP($Q26,'EA-Fortescue_SDExport'!$A:$A,'EA-Fortescue_SDExport'!AC:AC), IF(_xlpm.result=0,"",_xlpm.result))</f>
        <v>AWS Fortescue Cloud</v>
      </c>
      <c r="U26" s="2" t="str">
        <f>_xlfn.LET(
    _xlpm.isObject, _xlfn.XLOOKUP($Q26,'EA-Fortescue_SDExport'!A:A,'EA-Fortescue_SDExport'!B:B),
    _xlpm.lookupKey, IF(_xlpm.isObject="Object",
        _xlfn.XLOOKUP($A26,'EA-ConnectorExport'!A:A,'EA-ConnectorExport'!D:D),
        $Q26
    ),
    _xlpm.result, _xlfn.XLOOKUP(_xlpm.lookupKey,'EA-Fortescue_SDExport'!A:A,'EA-Fortescue_SDExport'!AD:AD),
    IF(_xlpm.result=0,"",_xlpm.result)
)</f>
        <v>855DC Decarb Green Systems</v>
      </c>
      <c r="V26" s="2" t="str">
        <f>_xlfn.LET(
    _xlpm.isObject, _xlfn.XLOOKUP($Q26,'EA-Fortescue_SDExport'!A:A,'EA-Fortescue_SDExport'!B:B),
    _xlpm.lookupKey, IF(_xlpm.isObject="Object",
        _xlfn.XLOOKUP($A26,'EA-ConnectorExport'!A:A,'EA-ConnectorExport'!D:D),
        $Q26
    ),
    _xlpm.result, _xlfn.XLOOKUP(_xlpm.lookupKey,'EA-Fortescue_SDExport'!A:A,'EA-Fortescue_SDExport'!AE:AE),
    IF(_xlpm.result=0,"",_xlpm.result)
)</f>
        <v>855DC-1541 Planning and Forecast Systems</v>
      </c>
      <c r="W26" s="2" t="str">
        <f>_xlfn.LET(
    _xlpm.isObject, _xlfn.XLOOKUP($Q26,'EA-Fortescue_SDExport'!A:A,'EA-Fortescue_SDExport'!B:B),
    _xlpm.lookupKey, IF(_xlpm.isObject="Object",
        _xlfn.XLOOKUP($A26,'EA-ConnectorExport'!A:A,'EA-ConnectorExport'!D:D),
        $Q26
    ),
    _xlpm.result, _xlfn.XLOOKUP(_xlpm.lookupKey,'EA-Fortescue_SDExport'!A:A,'EA-Fortescue_SDExport'!AF:AF),
    IF(_xlpm.result=0,"",_xlpm.result)
)</f>
        <v>855DC-1541-LIV LiveWire</v>
      </c>
      <c r="X26" s="2" t="str">
        <f>_xlfn.LET(
    _xlpm.isObject, _xlfn.XLOOKUP($Q26,'EA-Fortescue_SDExport'!A:A,'EA-Fortescue_SDExport'!B:B),
    _xlpm.lookupKey, IF(_xlpm.isObject="Object",
        _xlfn.XLOOKUP($A26,'EA-ConnectorExport'!A:A,'EA-ConnectorExport'!D:D),
        $Q26
    ),
    _xlpm.result, _xlfn.XLOOKUP(_xlpm.lookupKey,'EA-Fortescue_SDExport'!A:A,'EA-Fortescue_SDExport'!AG:AG),
    IF(_xlpm.result=0,"",_xlpm.result)
)</f>
        <v/>
      </c>
      <c r="Y26" s="2" t="str">
        <f>_xlfn.LET(
    _xlpm.status, _xlfn.XLOOKUP($A26,'EA-ConnectorExport'!$A:$A,'EA-ConnectorExport'!G:G),
    _xlpm.result, _xlfn.XLOOKUP($A26,'EA-ConnectorExport'!$A:$A,'EA-ConnectorExport'!H:H),
    IF(_xlpm.status="allocate", _xlpm.result, "")
)</f>
        <v>005OP-0000-004 Alastri</v>
      </c>
      <c r="Z26" s="2" t="str">
        <f>_xlfn.LET(
    _xlpm.isObject, _xlfn.XLOOKUP($Y26,'EA-Fortescue_SDExport'!A:A,'EA-Fortescue_SDExport'!B:B),
    _xlpm.lookupKey, IF(_xlpm.isObject="Object",
        _xlfn.XLOOKUP($A26,'EA-ConnectorExport'!A:A,'EA-ConnectorExport'!J:J),
        $Y26
    ),
    _xlpm.result, _xlfn.XLOOKUP(_xlpm.lookupKey,'EA-Fortescue_SDExport'!A:A,'EA-Fortescue_SDExport'!AA:AA),
    IF(_xlpm.result=0,"",_xlpm.result)
)</f>
        <v>Project</v>
      </c>
      <c r="AA26" s="2" t="str">
        <f>_xlfn.LET(_xlpm.result, _xlfn.XLOOKUP($Y26,'EA-Fortescue_SDExport'!$A:$A,'EA-Fortescue_SDExport'!AB:AB), IF(_xlpm.result=0,"",_xlpm.result))</f>
        <v/>
      </c>
      <c r="AB26" s="2" t="str">
        <f>_xlfn.LET(_xlpm.result, _xlfn.XLOOKUP($Y26,'EA-Fortescue_SDExport'!$A:$A,'EA-Fortescue_SDExport'!AC:AC), IF(_xlpm.result=0,"",_xlpm.result))</f>
        <v/>
      </c>
      <c r="AC26" s="2" t="str">
        <f>_xlfn.LET(
    _xlpm.isObject, _xlfn.XLOOKUP($Y26,'EA-Fortescue_SDExport'!A:A,'EA-Fortescue_SDExport'!B:B),
    _xlpm.lookupKey, IF(_xlpm.isObject="Object",
        _xlfn.XLOOKUP($A26,'EA-ConnectorExport'!A:A,'EA-ConnectorExport'!J:J),
        $Y26
    ),
    _xlpm.result, _xlfn.XLOOKUP(_xlpm.lookupKey,'EA-Fortescue_SDExport'!A:A,'EA-Fortescue_SDExport'!AD:AD),
    IF(_xlpm.result=0,"",_xlpm.result)
)</f>
        <v>005OP IT/OT Systems</v>
      </c>
      <c r="AD26" s="2" t="str">
        <f>_xlfn.LET(
    _xlpm.isObject, _xlfn.XLOOKUP($Y26,'EA-Fortescue_SDExport'!A:A,'EA-Fortescue_SDExport'!B:B),
    _xlpm.lookupKey, IF(_xlpm.isObject="Object",
        _xlfn.XLOOKUP($A26,'EA-ConnectorExport'!A:A,'EA-ConnectorExport'!J:J),
        $Y26
    ),
    _xlpm.result, _xlfn.XLOOKUP(_xlpm.lookupKey,'EA-Fortescue_SDExport'!A:A,'EA-Fortescue_SDExport'!AE:AE),
    IF(_xlpm.result=0,"",_xlpm.result)
)</f>
        <v/>
      </c>
      <c r="AE26" s="2" t="str">
        <f>_xlfn.LET(
    _xlpm.isObject, _xlfn.XLOOKUP($Y26,'EA-Fortescue_SDExport'!A:A,'EA-Fortescue_SDExport'!B:B),
    _xlpm.lookupKey, IF(_xlpm.isObject="Object",
        _xlfn.XLOOKUP($A26,'EA-ConnectorExport'!A:A,'EA-ConnectorExport'!J:J),
        $Y26
    ),
    _xlpm.result, _xlfn.XLOOKUP(_xlpm.lookupKey,'EA-Fortescue_SDExport'!A:A,'EA-Fortescue_SDExport'!AF:AF),
    IF(_xlpm.result=0,"",_xlpm.result)
)</f>
        <v>005OP-0000-004 Alastri</v>
      </c>
      <c r="AF26" s="2" t="str">
        <f>_xlfn.LET(
    _xlpm.isObject, _xlfn.XLOOKUP($Y26,'EA-Fortescue_SDExport'!A:A,'EA-Fortescue_SDExport'!B:B),
    _xlpm.lookupKey, IF(_xlpm.isObject="Object",
        _xlfn.XLOOKUP($A26,'EA-ConnectorExport'!A:A,'EA-ConnectorExport'!J:J),
        $Y26
    ),
    _xlpm.result, _xlfn.XLOOKUP(_xlpm.lookupKey,'EA-Fortescue_SDExport'!A:A,'EA-Fortescue_SDExport'!AG:AG),
    IF(_xlpm.result=0,"",_xlpm.result)
)</f>
        <v/>
      </c>
    </row>
    <row r="27" spans="1:32" ht="300" x14ac:dyDescent="0.25">
      <c r="A27" s="2" t="str">
        <v>DGS-I_0026</v>
      </c>
      <c r="B27" s="2" t="str">
        <f t="shared" si="0"/>
        <v>855DC-1541-LIV LiveWire|855DC-1543-PPC Pit Power Capacity Planning Tool - Capacity Check</v>
      </c>
      <c r="C27" s="2" t="str">
        <f>_xlfn.LET(_xlpm.result, _xlfn.XLOOKUP(A27,'EA-Fortescue_SDExport'!A:A,'EA-Fortescue_SDExport'!AM:AM), IF(_xlpm.result=0,"",_xlpm.result))</f>
        <v>Abby Buters</v>
      </c>
      <c r="D27" s="2" t="str">
        <f>_xlfn.LET(_xlpm.result, _xlfn.XLOOKUP(A27,'EA-Fortescue_SDExport'!A:A,'EA-Fortescue_SDExport'!AN:AN), IF(_xlpm.result=0,"",_xlpm.result))</f>
        <v/>
      </c>
      <c r="E27" s="2" t="str">
        <f>_xlfn.XLOOKUP(R27&amp;Z27,Lookups!A:A,Lookups!B:B)</f>
        <v>Project - Project Interface</v>
      </c>
      <c r="F27" s="2" t="str">
        <f>_xlfn.LET(_xlpm.result, _xlfn.XLOOKUP(A27,'EA-Fortescue_SDExport'!A:A,'EA-Fortescue_SDExport'!AP:AP), IF(_xlpm.result=0,"",_xlpm.result))</f>
        <v>Technical - Data/Software</v>
      </c>
      <c r="G27" s="2" t="str">
        <f>IF(OR(AND(T27&lt;&gt;"", COUNTIF(Lookups!J:J, "*"&amp;T27&amp;"*")&gt;0), AND(AB27&lt;&gt;"", COUNTIF(Lookups!J:J, "*"&amp;AB27&amp;"*")&gt;0)), "Yes", "No")</f>
        <v>No</v>
      </c>
      <c r="H27" s="2" t="str">
        <f t="shared" si="1"/>
        <v>855DC Decarb Green Systems|855DC Decarb Green Systems</v>
      </c>
      <c r="I27" s="2" t="str">
        <f t="shared" si="2"/>
        <v>855DC-1541 Planning and Forecast Systems|N/A</v>
      </c>
      <c r="J27" s="2" t="str">
        <f t="shared" si="3"/>
        <v>855DC-1541-LIV LiveWire|855DC-1543-PPC Pit Power Capacity Planning Tool - Capacity Check</v>
      </c>
      <c r="K27" s="2" t="str">
        <f>_xlfn.XLOOKUP(A27,'EA-Fortescue_SDExport'!A:A,'EA-Fortescue_SDExport'!N:N)</f>
        <v>Proposed</v>
      </c>
      <c r="L27" s="2" t="str">
        <f>_xlfn.LET(_xlpm.result, _xlfn.XLOOKUP($A27,'EA-Fortescue_SDExport'!$A:$A,'EA-Fortescue_SDExport'!AQ:AQ), IF(_xlpm.result=0,"",_xlpm.result))</f>
        <v>This interface provides the Pit Power Capacity Planning Tool - Capacity Check with up-to-date network topology and physical connectivity data from LiveWire, including cable routes, switch states, substation connectivity, and port/circuit capacity information. The tool uses this topology data to model the pit distribution network, identify capacity constraints, and validate network feasibility for planned loads. This interface is read-only and does not control LiveWire.</v>
      </c>
      <c r="M27" s="2" t="str">
        <f>_xlfn.LET(_xlpm.result, _xlfn.XLOOKUP($A27,'EA-Fortescue_SDExport'!$A:$A,'EA-Fortescue_SDExport'!AR:AR), IF(_xlpm.result=0,"",_xlpm.result))</f>
        <v>HIGH</v>
      </c>
      <c r="N27" s="2" t="str">
        <f>_xlfn.LET(_xlpm.result, _xlfn.XLOOKUP($A27,'EA-Fortescue_SDExport'!$A:$A,'EA-Fortescue_SDExport'!AW:AW), IF(_xlpm.result=0,"",_xlpm.result))</f>
        <v>The criticality is HIGH because accurate and current network topology and connectivity data is essential for correct capacity analysis. If topology data is missing or incorrect, the capacity check could produce unsafe or infeasible network assessments, leading to poor planning outcomes.</v>
      </c>
      <c r="O27" s="2" t="str">
        <f>_xlfn.LET(_xlpm.result, _xlfn.XLOOKUP($A27,'EA-Fortescue_SDExport'!$A:$A,'EA-Fortescue_SDExport'!AV:AV), IF(_xlpm.result=0,"",_xlpm.result))</f>
        <v>LiveWire -&gt; Pit Power Capacity Planning Tool - Capacity Check</v>
      </c>
      <c r="P27" s="2" t="str">
        <f>_xlfn.LET(_xlpm.result, _xlfn.XLOOKUP($A27,'EA-Fortescue_SDExport'!$A:$A,'EA-Fortescue_SDExport'!D:D), IF(_xlpm.result=0,"",_xlpm.result))</f>
        <v>Interface Review 02/12/2025: Planned to be a subsystem of Livewire FY27/28. Remove from model and move to retired section._x000D_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27" s="2" t="str">
        <f>_xlfn.LET(
    _xlpm.status, _xlfn.XLOOKUP($A27,'EA-ConnectorExport'!$A:$A,'EA-ConnectorExport'!G:G),
    _xlpm.result, _xlfn.XLOOKUP($A27,'EA-ConnectorExport'!$A:$A,'EA-ConnectorExport'!B:B),
    IF(_xlpm.status="allocate", _xlpm.result, "")
)</f>
        <v>855DC-1541-LIV LiveWire</v>
      </c>
      <c r="R27" s="2" t="str">
        <f>IF(
    _xlfn.XLOOKUP($Q27,'EA-Fortescue_SDExport'!A:A,'EA-Fortescue_SDExport'!B:B)="Object",
    _xlfn.XLOOKUP(
        _xlfn.XLOOKUP($A27,'EA-ConnectorExport'!A:A,'EA-ConnectorExport'!D:D),
        'EA-Fortescue_SDExport'!A:A,
        'EA-Fortescue_SDExport'!AA:AA
    ),
    _xlfn.XLOOKUP($Q27,'EA-Fortescue_SDExport'!A:A,'EA-Fortescue_SDExport'!AA:AA)
)</f>
        <v>Project</v>
      </c>
      <c r="S27" s="2" t="str">
        <f>_xlfn.LET(_xlpm.result, _xlfn.XLOOKUP($Q27,'EA-Fortescue_SDExport'!$A:$A,'EA-Fortescue_SDExport'!AB:AB), IF(_xlpm.result=0,"",_xlpm.result))</f>
        <v>Operations Planning</v>
      </c>
      <c r="T27" s="2" t="str">
        <f>_xlfn.LET(_xlpm.result, _xlfn.XLOOKUP($Q27,'EA-Fortescue_SDExport'!$A:$A,'EA-Fortescue_SDExport'!AC:AC), IF(_xlpm.result=0,"",_xlpm.result))</f>
        <v>AWS Fortescue Cloud</v>
      </c>
      <c r="U27" s="2" t="str">
        <f>_xlfn.LET(
    _xlpm.isObject, _xlfn.XLOOKUP($Q27,'EA-Fortescue_SDExport'!A:A,'EA-Fortescue_SDExport'!B:B),
    _xlpm.lookupKey, IF(_xlpm.isObject="Object",
        _xlfn.XLOOKUP($A27,'EA-ConnectorExport'!A:A,'EA-ConnectorExport'!D:D),
        $Q27
    ),
    _xlpm.result, _xlfn.XLOOKUP(_xlpm.lookupKey,'EA-Fortescue_SDExport'!A:A,'EA-Fortescue_SDExport'!AD:AD),
    IF(_xlpm.result=0,"",_xlpm.result)
)</f>
        <v>855DC Decarb Green Systems</v>
      </c>
      <c r="V27" s="2" t="str">
        <f>_xlfn.LET(
    _xlpm.isObject, _xlfn.XLOOKUP($Q27,'EA-Fortescue_SDExport'!A:A,'EA-Fortescue_SDExport'!B:B),
    _xlpm.lookupKey, IF(_xlpm.isObject="Object",
        _xlfn.XLOOKUP($A27,'EA-ConnectorExport'!A:A,'EA-ConnectorExport'!D:D),
        $Q27
    ),
    _xlpm.result, _xlfn.XLOOKUP(_xlpm.lookupKey,'EA-Fortescue_SDExport'!A:A,'EA-Fortescue_SDExport'!AE:AE),
    IF(_xlpm.result=0,"",_xlpm.result)
)</f>
        <v>855DC-1541 Planning and Forecast Systems</v>
      </c>
      <c r="W27" s="2" t="str">
        <f>_xlfn.LET(
    _xlpm.isObject, _xlfn.XLOOKUP($Q27,'EA-Fortescue_SDExport'!A:A,'EA-Fortescue_SDExport'!B:B),
    _xlpm.lookupKey, IF(_xlpm.isObject="Object",
        _xlfn.XLOOKUP($A27,'EA-ConnectorExport'!A:A,'EA-ConnectorExport'!D:D),
        $Q27
    ),
    _xlpm.result, _xlfn.XLOOKUP(_xlpm.lookupKey,'EA-Fortescue_SDExport'!A:A,'EA-Fortescue_SDExport'!AF:AF),
    IF(_xlpm.result=0,"",_xlpm.result)
)</f>
        <v>855DC-1541-LIV LiveWire</v>
      </c>
      <c r="X27" s="2" t="str">
        <f>_xlfn.LET(
    _xlpm.isObject, _xlfn.XLOOKUP($Q27,'EA-Fortescue_SDExport'!A:A,'EA-Fortescue_SDExport'!B:B),
    _xlpm.lookupKey, IF(_xlpm.isObject="Object",
        _xlfn.XLOOKUP($A27,'EA-ConnectorExport'!A:A,'EA-ConnectorExport'!D:D),
        $Q27
    ),
    _xlpm.result, _xlfn.XLOOKUP(_xlpm.lookupKey,'EA-Fortescue_SDExport'!A:A,'EA-Fortescue_SDExport'!AG:AG),
    IF(_xlpm.result=0,"",_xlpm.result)
)</f>
        <v/>
      </c>
      <c r="Y27" s="2" t="str">
        <f>_xlfn.LET(
    _xlpm.status, _xlfn.XLOOKUP($A27,'EA-ConnectorExport'!$A:$A,'EA-ConnectorExport'!G:G),
    _xlpm.result, _xlfn.XLOOKUP($A27,'EA-ConnectorExport'!$A:$A,'EA-ConnectorExport'!H:H),
    IF(_xlpm.status="allocate", _xlpm.result, "")
)</f>
        <v>855DC-1543-PPC Pit Power Capacity Planning Tool - Capacity Check</v>
      </c>
      <c r="Z27" s="2" t="str">
        <f>_xlfn.LET(
    _xlpm.isObject, _xlfn.XLOOKUP($Y27,'EA-Fortescue_SDExport'!A:A,'EA-Fortescue_SDExport'!B:B),
    _xlpm.lookupKey, IF(_xlpm.isObject="Object",
        _xlfn.XLOOKUP($A27,'EA-ConnectorExport'!A:A,'EA-ConnectorExport'!J:J),
        $Y27
    ),
    _xlpm.result, _xlfn.XLOOKUP(_xlpm.lookupKey,'EA-Fortescue_SDExport'!A:A,'EA-Fortescue_SDExport'!AA:AA),
    IF(_xlpm.result=0,"",_xlpm.result)
)</f>
        <v>Project</v>
      </c>
      <c r="AA27" s="2" t="str">
        <f>_xlfn.LET(_xlpm.result, _xlfn.XLOOKUP($Y27,'EA-Fortescue_SDExport'!$A:$A,'EA-Fortescue_SDExport'!AB:AB), IF(_xlpm.result=0,"",_xlpm.result))</f>
        <v>Operations Planning</v>
      </c>
      <c r="AB27" s="2" t="str">
        <f>_xlfn.LET(_xlpm.result, _xlfn.XLOOKUP($Y27,'EA-Fortescue_SDExport'!$A:$A,'EA-Fortescue_SDExport'!AC:AC), IF(_xlpm.result=0,"",_xlpm.result))</f>
        <v>AWS Fortescue Infrastructure</v>
      </c>
      <c r="AC27" s="2" t="str">
        <f>_xlfn.LET(
    _xlpm.isObject, _xlfn.XLOOKUP($Y27,'EA-Fortescue_SDExport'!A:A,'EA-Fortescue_SDExport'!B:B),
    _xlpm.lookupKey, IF(_xlpm.isObject="Object",
        _xlfn.XLOOKUP($A27,'EA-ConnectorExport'!A:A,'EA-ConnectorExport'!J:J),
        $Y27
    ),
    _xlpm.result, _xlfn.XLOOKUP(_xlpm.lookupKey,'EA-Fortescue_SDExport'!A:A,'EA-Fortescue_SDExport'!AD:AD),
    IF(_xlpm.result=0,"",_xlpm.result)
)</f>
        <v>855DC Decarb Green Systems</v>
      </c>
      <c r="AD27" s="2" t="str">
        <f>_xlfn.LET(
    _xlpm.isObject, _xlfn.XLOOKUP($Y27,'EA-Fortescue_SDExport'!A:A,'EA-Fortescue_SDExport'!B:B),
    _xlpm.lookupKey, IF(_xlpm.isObject="Object",
        _xlfn.XLOOKUP($A27,'EA-ConnectorExport'!A:A,'EA-ConnectorExport'!J:J),
        $Y27
    ),
    _xlpm.result, _xlfn.XLOOKUP(_xlpm.lookupKey,'EA-Fortescue_SDExport'!A:A,'EA-Fortescue_SDExport'!AE:AE),
    IF(_xlpm.result=0,"",_xlpm.result)
)</f>
        <v/>
      </c>
      <c r="AE27" s="2" t="str">
        <f>_xlfn.LET(
    _xlpm.isObject, _xlfn.XLOOKUP($Y27,'EA-Fortescue_SDExport'!A:A,'EA-Fortescue_SDExport'!B:B),
    _xlpm.lookupKey, IF(_xlpm.isObject="Object",
        _xlfn.XLOOKUP($A27,'EA-ConnectorExport'!A:A,'EA-ConnectorExport'!J:J),
        $Y27
    ),
    _xlpm.result, _xlfn.XLOOKUP(_xlpm.lookupKey,'EA-Fortescue_SDExport'!A:A,'EA-Fortescue_SDExport'!AF:AF),
    IF(_xlpm.result=0,"",_xlpm.result)
)</f>
        <v>855DC-1543-PPC Pit Power Capacity Planning Tool - Capacity Check</v>
      </c>
      <c r="AF27" s="2" t="str">
        <f>_xlfn.LET(
    _xlpm.isObject, _xlfn.XLOOKUP($Y27,'EA-Fortescue_SDExport'!A:A,'EA-Fortescue_SDExport'!B:B),
    _xlpm.lookupKey, IF(_xlpm.isObject="Object",
        _xlfn.XLOOKUP($A27,'EA-ConnectorExport'!A:A,'EA-ConnectorExport'!J:J),
        $Y27
    ),
    _xlpm.result, _xlfn.XLOOKUP(_xlpm.lookupKey,'EA-Fortescue_SDExport'!A:A,'EA-Fortescue_SDExport'!AG:AG),
    IF(_xlpm.result=0,"",_xlpm.result)
)</f>
        <v/>
      </c>
    </row>
    <row r="28" spans="1:32" ht="195" x14ac:dyDescent="0.25">
      <c r="A28" s="2" t="str">
        <v>DGS-I_0027</v>
      </c>
      <c r="B28" s="2" t="str">
        <f t="shared" si="0"/>
        <v>855DC-1541-005 HaulAI|005OP-0000-004 Alastri</v>
      </c>
      <c r="C28" s="2" t="str">
        <f>_xlfn.LET(_xlpm.result, _xlfn.XLOOKUP(A28,'EA-Fortescue_SDExport'!A:A,'EA-Fortescue_SDExport'!AM:AM), IF(_xlpm.result=0,"",_xlpm.result))</f>
        <v/>
      </c>
      <c r="D28" s="2" t="str">
        <f>_xlfn.LET(_xlpm.result, _xlfn.XLOOKUP(A28,'EA-Fortescue_SDExport'!A:A,'EA-Fortescue_SDExport'!AN:AN), IF(_xlpm.result=0,"",_xlpm.result))</f>
        <v/>
      </c>
      <c r="E28" s="2" t="str">
        <f>_xlfn.XLOOKUP(R28&amp;Z28,Lookups!A:A,Lookups!B:B)</f>
        <v>Project - Project Interface</v>
      </c>
      <c r="F28" s="2" t="str">
        <f>_xlfn.LET(_xlpm.result, _xlfn.XLOOKUP(A28,'EA-Fortescue_SDExport'!A:A,'EA-Fortescue_SDExport'!AP:AP), IF(_xlpm.result=0,"",_xlpm.result))</f>
        <v>Technical-Data/Software</v>
      </c>
      <c r="G28" s="2" t="str">
        <f>IF(OR(AND(T28&lt;&gt;"", COUNTIF(Lookups!J:J, "*"&amp;T28&amp;"*")&gt;0), AND(AB28&lt;&gt;"", COUNTIF(Lookups!J:J, "*"&amp;AB28&amp;"*")&gt;0)), "Yes", "No")</f>
        <v>No</v>
      </c>
      <c r="H28" s="2" t="str">
        <f t="shared" si="1"/>
        <v>855DC Decarb Green Systems|005OP IT/OT Systems</v>
      </c>
      <c r="I28" s="2" t="str">
        <f t="shared" si="2"/>
        <v>855DC-1541 Planning and Forecast Systems|N/A</v>
      </c>
      <c r="J28" s="2" t="str">
        <f t="shared" si="3"/>
        <v>855DC-1541-005 HaulAI|005OP-0000-004 Alastri</v>
      </c>
      <c r="K28" s="2" t="str">
        <f>_xlfn.XLOOKUP(A28,'EA-Fortescue_SDExport'!A:A,'EA-Fortescue_SDExport'!N:N)</f>
        <v>Simplified Interface</v>
      </c>
      <c r="L28" s="2" t="str">
        <f>_xlfn.LET(_xlpm.result, _xlfn.XLOOKUP($A28,'EA-Fortescue_SDExport'!$A:$A,'EA-Fortescue_SDExport'!AQ:AQ), IF(_xlpm.result=0,"",_xlpm.result))</f>
        <v>This interface enables HaulAI to receive planning, haulage, and production inputs from the broader Alastri suite so simulations reflect current mine plans and haulage requirements.</v>
      </c>
      <c r="M28" s="2" t="str">
        <f>_xlfn.LET(_xlpm.result, _xlfn.XLOOKUP($A28,'EA-Fortescue_SDExport'!$A:$A,'EA-Fortescue_SDExport'!AR:AR), IF(_xlpm.result=0,"",_xlpm.result))</f>
        <v>MEDIUM</v>
      </c>
      <c r="N28" s="2" t="str">
        <f>_xlfn.LET(_xlpm.result, _xlfn.XLOOKUP($A28,'EA-Fortescue_SDExport'!$A:$A,'EA-Fortescue_SDExport'!AW:AW), IF(_xlpm.result=0,"",_xlpm.result))</f>
        <v>The criticality level is MEDIUM because failure affects the accuracy of simulations, making scenario testing and planning optimisation less reliable. This impacts the quality of planning analysis but does not affect real-time haulage or production systems.</v>
      </c>
      <c r="O28" s="2" t="str">
        <f>_xlfn.LET(_xlpm.result, _xlfn.XLOOKUP($A28,'EA-Fortescue_SDExport'!$A:$A,'EA-Fortescue_SDExport'!AV:AV), IF(_xlpm.result=0,"",_xlpm.result))</f>
        <v>Alastri -&gt; HaulAI</v>
      </c>
      <c r="P28" s="2" t="str">
        <f>_xlfn.LET(_xlpm.result, _xlfn.XLOOKUP($A28,'EA-Fortescue_SDExport'!$A:$A,'EA-Fortescue_SDExport'!D:D), IF(_xlpm.result=0,"",_xlpm.result))</f>
        <v>NH 25/02/2026: Fields updated:Interface Type, Interface Flow</v>
      </c>
      <c r="Q28" s="2" t="str">
        <f>_xlfn.LET(
    _xlpm.status, _xlfn.XLOOKUP($A28,'EA-ConnectorExport'!$A:$A,'EA-ConnectorExport'!G:G),
    _xlpm.result, _xlfn.XLOOKUP($A28,'EA-ConnectorExport'!$A:$A,'EA-ConnectorExport'!B:B),
    IF(_xlpm.status="allocate", _xlpm.result, "")
)</f>
        <v>855DC-1541-005 HaulAI</v>
      </c>
      <c r="R28" s="2" t="str">
        <f>IF(
    _xlfn.XLOOKUP($Q28,'EA-Fortescue_SDExport'!A:A,'EA-Fortescue_SDExport'!B:B)="Object",
    _xlfn.XLOOKUP(
        _xlfn.XLOOKUP($A28,'EA-ConnectorExport'!A:A,'EA-ConnectorExport'!D:D),
        'EA-Fortescue_SDExport'!A:A,
        'EA-Fortescue_SDExport'!AA:AA
    ),
    _xlfn.XLOOKUP($Q28,'EA-Fortescue_SDExport'!A:A,'EA-Fortescue_SDExport'!AA:AA)
)</f>
        <v>Project</v>
      </c>
      <c r="S28" s="2" t="str">
        <f>_xlfn.LET(_xlpm.result, _xlfn.XLOOKUP($Q28,'EA-Fortescue_SDExport'!$A:$A,'EA-Fortescue_SDExport'!AB:AB), IF(_xlpm.result=0,"",_xlpm.result))</f>
        <v/>
      </c>
      <c r="T28" s="2" t="str">
        <f>_xlfn.LET(_xlpm.result, _xlfn.XLOOKUP($Q28,'EA-Fortescue_SDExport'!$A:$A,'EA-Fortescue_SDExport'!AC:AC), IF(_xlpm.result=0,"",_xlpm.result))</f>
        <v>Vendor Cloud</v>
      </c>
      <c r="U28" s="2" t="str">
        <f>_xlfn.LET(
    _xlpm.isObject, _xlfn.XLOOKUP($Q28,'EA-Fortescue_SDExport'!A:A,'EA-Fortescue_SDExport'!B:B),
    _xlpm.lookupKey, IF(_xlpm.isObject="Object",
        _xlfn.XLOOKUP($A28,'EA-ConnectorExport'!A:A,'EA-ConnectorExport'!D:D),
        $Q28
    ),
    _xlpm.result, _xlfn.XLOOKUP(_xlpm.lookupKey,'EA-Fortescue_SDExport'!A:A,'EA-Fortescue_SDExport'!AD:AD),
    IF(_xlpm.result=0,"",_xlpm.result)
)</f>
        <v>855DC Decarb Green Systems</v>
      </c>
      <c r="V28" s="2" t="str">
        <f>_xlfn.LET(
    _xlpm.isObject, _xlfn.XLOOKUP($Q28,'EA-Fortescue_SDExport'!A:A,'EA-Fortescue_SDExport'!B:B),
    _xlpm.lookupKey, IF(_xlpm.isObject="Object",
        _xlfn.XLOOKUP($A28,'EA-ConnectorExport'!A:A,'EA-ConnectorExport'!D:D),
        $Q28
    ),
    _xlpm.result, _xlfn.XLOOKUP(_xlpm.lookupKey,'EA-Fortescue_SDExport'!A:A,'EA-Fortescue_SDExport'!AE:AE),
    IF(_xlpm.result=0,"",_xlpm.result)
)</f>
        <v>855DC-1541 Planning and Forecast Systems</v>
      </c>
      <c r="W28" s="2" t="str">
        <f>_xlfn.LET(
    _xlpm.isObject, _xlfn.XLOOKUP($Q28,'EA-Fortescue_SDExport'!A:A,'EA-Fortescue_SDExport'!B:B),
    _xlpm.lookupKey, IF(_xlpm.isObject="Object",
        _xlfn.XLOOKUP($A28,'EA-ConnectorExport'!A:A,'EA-ConnectorExport'!D:D),
        $Q28
    ),
    _xlpm.result, _xlfn.XLOOKUP(_xlpm.lookupKey,'EA-Fortescue_SDExport'!A:A,'EA-Fortescue_SDExport'!AF:AF),
    IF(_xlpm.result=0,"",_xlpm.result)
)</f>
        <v>855DC-1541-005 HaulAI</v>
      </c>
      <c r="X28" s="2" t="str">
        <f>_xlfn.LET(
    _xlpm.isObject, _xlfn.XLOOKUP($Q28,'EA-Fortescue_SDExport'!A:A,'EA-Fortescue_SDExport'!B:B),
    _xlpm.lookupKey, IF(_xlpm.isObject="Object",
        _xlfn.XLOOKUP($A28,'EA-ConnectorExport'!A:A,'EA-ConnectorExport'!D:D),
        $Q28
    ),
    _xlpm.result, _xlfn.XLOOKUP(_xlpm.lookupKey,'EA-Fortescue_SDExport'!A:A,'EA-Fortescue_SDExport'!AG:AG),
    IF(_xlpm.result=0,"",_xlpm.result)
)</f>
        <v/>
      </c>
      <c r="Y28" s="2" t="str">
        <f>_xlfn.LET(
    _xlpm.status, _xlfn.XLOOKUP($A28,'EA-ConnectorExport'!$A:$A,'EA-ConnectorExport'!G:G),
    _xlpm.result, _xlfn.XLOOKUP($A28,'EA-ConnectorExport'!$A:$A,'EA-ConnectorExport'!H:H),
    IF(_xlpm.status="allocate", _xlpm.result, "")
)</f>
        <v>005OP-0000-004 Alastri</v>
      </c>
      <c r="Z28" s="2" t="str">
        <f>_xlfn.LET(
    _xlpm.isObject, _xlfn.XLOOKUP($Y28,'EA-Fortescue_SDExport'!A:A,'EA-Fortescue_SDExport'!B:B),
    _xlpm.lookupKey, IF(_xlpm.isObject="Object",
        _xlfn.XLOOKUP($A28,'EA-ConnectorExport'!A:A,'EA-ConnectorExport'!J:J),
        $Y28
    ),
    _xlpm.result, _xlfn.XLOOKUP(_xlpm.lookupKey,'EA-Fortescue_SDExport'!A:A,'EA-Fortescue_SDExport'!AA:AA),
    IF(_xlpm.result=0,"",_xlpm.result)
)</f>
        <v>Project</v>
      </c>
      <c r="AA28" s="2" t="str">
        <f>_xlfn.LET(_xlpm.result, _xlfn.XLOOKUP($Y28,'EA-Fortescue_SDExport'!$A:$A,'EA-Fortescue_SDExport'!AB:AB), IF(_xlpm.result=0,"",_xlpm.result))</f>
        <v/>
      </c>
      <c r="AB28" s="2" t="str">
        <f>_xlfn.LET(_xlpm.result, _xlfn.XLOOKUP($Y28,'EA-Fortescue_SDExport'!$A:$A,'EA-Fortescue_SDExport'!AC:AC), IF(_xlpm.result=0,"",_xlpm.result))</f>
        <v/>
      </c>
      <c r="AC28" s="2" t="str">
        <f>_xlfn.LET(
    _xlpm.isObject, _xlfn.XLOOKUP($Y28,'EA-Fortescue_SDExport'!A:A,'EA-Fortescue_SDExport'!B:B),
    _xlpm.lookupKey, IF(_xlpm.isObject="Object",
        _xlfn.XLOOKUP($A28,'EA-ConnectorExport'!A:A,'EA-ConnectorExport'!J:J),
        $Y28
    ),
    _xlpm.result, _xlfn.XLOOKUP(_xlpm.lookupKey,'EA-Fortescue_SDExport'!A:A,'EA-Fortescue_SDExport'!AD:AD),
    IF(_xlpm.result=0,"",_xlpm.result)
)</f>
        <v>005OP IT/OT Systems</v>
      </c>
      <c r="AD28" s="2" t="str">
        <f>_xlfn.LET(
    _xlpm.isObject, _xlfn.XLOOKUP($Y28,'EA-Fortescue_SDExport'!A:A,'EA-Fortescue_SDExport'!B:B),
    _xlpm.lookupKey, IF(_xlpm.isObject="Object",
        _xlfn.XLOOKUP($A28,'EA-ConnectorExport'!A:A,'EA-ConnectorExport'!J:J),
        $Y28
    ),
    _xlpm.result, _xlfn.XLOOKUP(_xlpm.lookupKey,'EA-Fortescue_SDExport'!A:A,'EA-Fortescue_SDExport'!AE:AE),
    IF(_xlpm.result=0,"",_xlpm.result)
)</f>
        <v/>
      </c>
      <c r="AE28" s="2" t="str">
        <f>_xlfn.LET(
    _xlpm.isObject, _xlfn.XLOOKUP($Y28,'EA-Fortescue_SDExport'!A:A,'EA-Fortescue_SDExport'!B:B),
    _xlpm.lookupKey, IF(_xlpm.isObject="Object",
        _xlfn.XLOOKUP($A28,'EA-ConnectorExport'!A:A,'EA-ConnectorExport'!J:J),
        $Y28
    ),
    _xlpm.result, _xlfn.XLOOKUP(_xlpm.lookupKey,'EA-Fortescue_SDExport'!A:A,'EA-Fortescue_SDExport'!AF:AF),
    IF(_xlpm.result=0,"",_xlpm.result)
)</f>
        <v>005OP-0000-004 Alastri</v>
      </c>
      <c r="AF28" s="2" t="str">
        <f>_xlfn.LET(
    _xlpm.isObject, _xlfn.XLOOKUP($Y28,'EA-Fortescue_SDExport'!A:A,'EA-Fortescue_SDExport'!B:B),
    _xlpm.lookupKey, IF(_xlpm.isObject="Object",
        _xlfn.XLOOKUP($A28,'EA-ConnectorExport'!A:A,'EA-ConnectorExport'!J:J),
        $Y28
    ),
    _xlpm.result, _xlfn.XLOOKUP(_xlpm.lookupKey,'EA-Fortescue_SDExport'!A:A,'EA-Fortescue_SDExport'!AG:AG),
    IF(_xlpm.result=0,"",_xlpm.result)
)</f>
        <v/>
      </c>
    </row>
    <row r="29" spans="1:32" ht="315" x14ac:dyDescent="0.25">
      <c r="A29" s="2" t="str">
        <v>DGS-I_0028</v>
      </c>
      <c r="B29" s="2" t="str">
        <f t="shared" si="0"/>
        <v>855DC-1541-PPC Pit Power Capacity Planning Tool - Design Optimisation|005OP-0000-004 Alastri</v>
      </c>
      <c r="C29" s="2" t="str">
        <f>_xlfn.LET(_xlpm.result, _xlfn.XLOOKUP(A29,'EA-Fortescue_SDExport'!A:A,'EA-Fortescue_SDExport'!AM:AM), IF(_xlpm.result=0,"",_xlpm.result))</f>
        <v/>
      </c>
      <c r="D29" s="2" t="str">
        <f>_xlfn.LET(_xlpm.result, _xlfn.XLOOKUP(A29,'EA-Fortescue_SDExport'!A:A,'EA-Fortescue_SDExport'!AN:AN), IF(_xlpm.result=0,"",_xlpm.result))</f>
        <v/>
      </c>
      <c r="E29" s="2" t="str">
        <f>_xlfn.XLOOKUP(R29&amp;Z29,Lookups!A:A,Lookups!B:B)</f>
        <v>Project - Project Interface</v>
      </c>
      <c r="F29" s="2" t="str">
        <f>_xlfn.LET(_xlpm.result, _xlfn.XLOOKUP(A29,'EA-Fortescue_SDExport'!A:A,'EA-Fortescue_SDExport'!AP:AP), IF(_xlpm.result=0,"",_xlpm.result))</f>
        <v>Technical-Data/Software</v>
      </c>
      <c r="G29" s="2" t="str">
        <f>IF(OR(AND(T29&lt;&gt;"", COUNTIF(Lookups!J:J, "*"&amp;T29&amp;"*")&gt;0), AND(AB29&lt;&gt;"", COUNTIF(Lookups!J:J, "*"&amp;AB29&amp;"*")&gt;0)), "Yes", "No")</f>
        <v>No</v>
      </c>
      <c r="H29" s="2" t="str">
        <f t="shared" si="1"/>
        <v>855DC Decarb Green Systems|005OP IT/OT Systems</v>
      </c>
      <c r="I29" s="2" t="str">
        <f t="shared" si="2"/>
        <v>855DC-1541 Planning and Forecast Systems|N/A</v>
      </c>
      <c r="J29" s="2" t="str">
        <f t="shared" si="3"/>
        <v>855DC-1541-PPC Pit Power Capacity Planning Tool - Design Optimisation|005OP-0000-004 Alastri</v>
      </c>
      <c r="K29" s="2" t="str">
        <f>_xlfn.XLOOKUP(A29,'EA-Fortescue_SDExport'!A:A,'EA-Fortescue_SDExport'!N:N)</f>
        <v>Deleted</v>
      </c>
      <c r="L29" s="2" t="str">
        <f>_xlfn.LET(_xlpm.result, _xlfn.XLOOKUP($A29,'EA-Fortescue_SDExport'!$A:$A,'EA-Fortescue_SDExport'!AQ:AQ), IF(_xlpm.result=0,"",_xlpm.result))</f>
        <v/>
      </c>
      <c r="M29" s="2" t="str">
        <f>_xlfn.LET(_xlpm.result, _xlfn.XLOOKUP($A29,'EA-Fortescue_SDExport'!$A:$A,'EA-Fortescue_SDExport'!AR:AR), IF(_xlpm.result=0,"",_xlpm.result))</f>
        <v/>
      </c>
      <c r="N29" s="2" t="str">
        <f>_xlfn.LET(_xlpm.result, _xlfn.XLOOKUP($A29,'EA-Fortescue_SDExport'!$A:$A,'EA-Fortescue_SDExport'!AW:AW), IF(_xlpm.result=0,"",_xlpm.result))</f>
        <v/>
      </c>
      <c r="O29" s="2" t="str">
        <f>_xlfn.LET(_xlpm.result, _xlfn.XLOOKUP($A29,'EA-Fortescue_SDExport'!$A:$A,'EA-Fortescue_SDExport'!AV:AV), IF(_xlpm.result=0,"",_xlpm.result))</f>
        <v/>
      </c>
      <c r="P29" s="2" t="str">
        <f>_xlfn.LET(_xlpm.result, _xlfn.XLOOKUP($A29,'EA-Fortescue_SDExport'!$A:$A,'EA-Fortescue_SDExport'!D:D),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Duplicate of DGS-I_0218: 855DC-1541-PPC Pit Power Capacity Planning Tool - Design Optimisation|005OP-0000-004-002 Alastri Production Scheduler (APS) / Alastri Tactical Scheduler (ATS)</v>
      </c>
      <c r="Q29" s="2" t="str">
        <f>_xlfn.LET(
    _xlpm.status, _xlfn.XLOOKUP($A29,'EA-ConnectorExport'!$A:$A,'EA-ConnectorExport'!G:G),
    _xlpm.result, _xlfn.XLOOKUP($A29,'EA-ConnectorExport'!$A:$A,'EA-ConnectorExport'!B:B),
    IF(_xlpm.status="allocate", _xlpm.result, "")
)</f>
        <v>855DC-1541-PPC Pit Power Capacity Planning Tool - Design Optimisation</v>
      </c>
      <c r="R29" s="2" t="str">
        <f>IF(
    _xlfn.XLOOKUP($Q29,'EA-Fortescue_SDExport'!A:A,'EA-Fortescue_SDExport'!B:B)="Object",
    _xlfn.XLOOKUP(
        _xlfn.XLOOKUP($A29,'EA-ConnectorExport'!A:A,'EA-ConnectorExport'!D:D),
        'EA-Fortescue_SDExport'!A:A,
        'EA-Fortescue_SDExport'!AA:AA
    ),
    _xlfn.XLOOKUP($Q29,'EA-Fortescue_SDExport'!A:A,'EA-Fortescue_SDExport'!AA:AA)
)</f>
        <v>Project</v>
      </c>
      <c r="S29" s="2" t="str">
        <f>_xlfn.LET(_xlpm.result, _xlfn.XLOOKUP($Q29,'EA-Fortescue_SDExport'!$A:$A,'EA-Fortescue_SDExport'!AB:AB), IF(_xlpm.result=0,"",_xlpm.result))</f>
        <v/>
      </c>
      <c r="T29" s="2" t="str">
        <f>_xlfn.LET(_xlpm.result, _xlfn.XLOOKUP($Q29,'EA-Fortescue_SDExport'!$A:$A,'EA-Fortescue_SDExport'!AC:AC), IF(_xlpm.result=0,"",_xlpm.result))</f>
        <v>AWS Fortescue Infrastructure</v>
      </c>
      <c r="U29" s="2" t="str">
        <f>_xlfn.LET(
    _xlpm.isObject, _xlfn.XLOOKUP($Q29,'EA-Fortescue_SDExport'!A:A,'EA-Fortescue_SDExport'!B:B),
    _xlpm.lookupKey, IF(_xlpm.isObject="Object",
        _xlfn.XLOOKUP($A29,'EA-ConnectorExport'!A:A,'EA-ConnectorExport'!D:D),
        $Q29
    ),
    _xlpm.result, _xlfn.XLOOKUP(_xlpm.lookupKey,'EA-Fortescue_SDExport'!A:A,'EA-Fortescue_SDExport'!AD:AD),
    IF(_xlpm.result=0,"",_xlpm.result)
)</f>
        <v>855DC Decarb Green Systems</v>
      </c>
      <c r="V29" s="2" t="str">
        <f>_xlfn.LET(
    _xlpm.isObject, _xlfn.XLOOKUP($Q29,'EA-Fortescue_SDExport'!A:A,'EA-Fortescue_SDExport'!B:B),
    _xlpm.lookupKey, IF(_xlpm.isObject="Object",
        _xlfn.XLOOKUP($A29,'EA-ConnectorExport'!A:A,'EA-ConnectorExport'!D:D),
        $Q29
    ),
    _xlpm.result, _xlfn.XLOOKUP(_xlpm.lookupKey,'EA-Fortescue_SDExport'!A:A,'EA-Fortescue_SDExport'!AE:AE),
    IF(_xlpm.result=0,"",_xlpm.result)
)</f>
        <v>855DC-1541 Planning and Forecast Systems</v>
      </c>
      <c r="W29" s="2" t="str">
        <f>_xlfn.LET(
    _xlpm.isObject, _xlfn.XLOOKUP($Q29,'EA-Fortescue_SDExport'!A:A,'EA-Fortescue_SDExport'!B:B),
    _xlpm.lookupKey, IF(_xlpm.isObject="Object",
        _xlfn.XLOOKUP($A29,'EA-ConnectorExport'!A:A,'EA-ConnectorExport'!D:D),
        $Q29
    ),
    _xlpm.result, _xlfn.XLOOKUP(_xlpm.lookupKey,'EA-Fortescue_SDExport'!A:A,'EA-Fortescue_SDExport'!AF:AF),
    IF(_xlpm.result=0,"",_xlpm.result)
)</f>
        <v>855DC-1541-PPC Pit Power Capacity Planning Tool - Design Optimisation</v>
      </c>
      <c r="X29" s="2" t="str">
        <f>_xlfn.LET(
    _xlpm.isObject, _xlfn.XLOOKUP($Q29,'EA-Fortescue_SDExport'!A:A,'EA-Fortescue_SDExport'!B:B),
    _xlpm.lookupKey, IF(_xlpm.isObject="Object",
        _xlfn.XLOOKUP($A29,'EA-ConnectorExport'!A:A,'EA-ConnectorExport'!D:D),
        $Q29
    ),
    _xlpm.result, _xlfn.XLOOKUP(_xlpm.lookupKey,'EA-Fortescue_SDExport'!A:A,'EA-Fortescue_SDExport'!AG:AG),
    IF(_xlpm.result=0,"",_xlpm.result)
)</f>
        <v/>
      </c>
      <c r="Y29" s="2" t="str">
        <f>_xlfn.LET(
    _xlpm.status, _xlfn.XLOOKUP($A29,'EA-ConnectorExport'!$A:$A,'EA-ConnectorExport'!G:G),
    _xlpm.result, _xlfn.XLOOKUP($A29,'EA-ConnectorExport'!$A:$A,'EA-ConnectorExport'!H:H),
    IF(_xlpm.status="allocate", _xlpm.result, "")
)</f>
        <v>005OP-0000-004 Alastri</v>
      </c>
      <c r="Z29" s="2" t="str">
        <f>_xlfn.LET(
    _xlpm.isObject, _xlfn.XLOOKUP($Y29,'EA-Fortescue_SDExport'!A:A,'EA-Fortescue_SDExport'!B:B),
    _xlpm.lookupKey, IF(_xlpm.isObject="Object",
        _xlfn.XLOOKUP($A29,'EA-ConnectorExport'!A:A,'EA-ConnectorExport'!J:J),
        $Y29
    ),
    _xlpm.result, _xlfn.XLOOKUP(_xlpm.lookupKey,'EA-Fortescue_SDExport'!A:A,'EA-Fortescue_SDExport'!AA:AA),
    IF(_xlpm.result=0,"",_xlpm.result)
)</f>
        <v>Project</v>
      </c>
      <c r="AA29" s="2" t="str">
        <f>_xlfn.LET(_xlpm.result, _xlfn.XLOOKUP($Y29,'EA-Fortescue_SDExport'!$A:$A,'EA-Fortescue_SDExport'!AB:AB), IF(_xlpm.result=0,"",_xlpm.result))</f>
        <v/>
      </c>
      <c r="AB29" s="2" t="str">
        <f>_xlfn.LET(_xlpm.result, _xlfn.XLOOKUP($Y29,'EA-Fortescue_SDExport'!$A:$A,'EA-Fortescue_SDExport'!AC:AC), IF(_xlpm.result=0,"",_xlpm.result))</f>
        <v/>
      </c>
      <c r="AC29" s="2" t="str">
        <f>_xlfn.LET(
    _xlpm.isObject, _xlfn.XLOOKUP($Y29,'EA-Fortescue_SDExport'!A:A,'EA-Fortescue_SDExport'!B:B),
    _xlpm.lookupKey, IF(_xlpm.isObject="Object",
        _xlfn.XLOOKUP($A29,'EA-ConnectorExport'!A:A,'EA-ConnectorExport'!J:J),
        $Y29
    ),
    _xlpm.result, _xlfn.XLOOKUP(_xlpm.lookupKey,'EA-Fortescue_SDExport'!A:A,'EA-Fortescue_SDExport'!AD:AD),
    IF(_xlpm.result=0,"",_xlpm.result)
)</f>
        <v>005OP IT/OT Systems</v>
      </c>
      <c r="AD29" s="2" t="str">
        <f>_xlfn.LET(
    _xlpm.isObject, _xlfn.XLOOKUP($Y29,'EA-Fortescue_SDExport'!A:A,'EA-Fortescue_SDExport'!B:B),
    _xlpm.lookupKey, IF(_xlpm.isObject="Object",
        _xlfn.XLOOKUP($A29,'EA-ConnectorExport'!A:A,'EA-ConnectorExport'!J:J),
        $Y29
    ),
    _xlpm.result, _xlfn.XLOOKUP(_xlpm.lookupKey,'EA-Fortescue_SDExport'!A:A,'EA-Fortescue_SDExport'!AE:AE),
    IF(_xlpm.result=0,"",_xlpm.result)
)</f>
        <v/>
      </c>
      <c r="AE29" s="2" t="str">
        <f>_xlfn.LET(
    _xlpm.isObject, _xlfn.XLOOKUP($Y29,'EA-Fortescue_SDExport'!A:A,'EA-Fortescue_SDExport'!B:B),
    _xlpm.lookupKey, IF(_xlpm.isObject="Object",
        _xlfn.XLOOKUP($A29,'EA-ConnectorExport'!A:A,'EA-ConnectorExport'!J:J),
        $Y29
    ),
    _xlpm.result, _xlfn.XLOOKUP(_xlpm.lookupKey,'EA-Fortescue_SDExport'!A:A,'EA-Fortescue_SDExport'!AF:AF),
    IF(_xlpm.result=0,"",_xlpm.result)
)</f>
        <v>005OP-0000-004 Alastri</v>
      </c>
      <c r="AF29" s="2" t="str">
        <f>_xlfn.LET(
    _xlpm.isObject, _xlfn.XLOOKUP($Y29,'EA-Fortescue_SDExport'!A:A,'EA-Fortescue_SDExport'!B:B),
    _xlpm.lookupKey, IF(_xlpm.isObject="Object",
        _xlfn.XLOOKUP($A29,'EA-ConnectorExport'!A:A,'EA-ConnectorExport'!J:J),
        $Y29
    ),
    _xlpm.result, _xlfn.XLOOKUP(_xlpm.lookupKey,'EA-Fortescue_SDExport'!A:A,'EA-Fortescue_SDExport'!AG:AG),
    IF(_xlpm.result=0,"",_xlpm.result)
)</f>
        <v/>
      </c>
    </row>
    <row r="30" spans="1:32" ht="255" x14ac:dyDescent="0.25">
      <c r="A30" s="2" t="str">
        <v>DGS-I_0029</v>
      </c>
      <c r="B30" s="2" t="str">
        <f t="shared" si="0"/>
        <v>855DC-1543-PPC Pit Power Capacity Planning Tool - Capacity Check|005OP-0000-004 Alastri</v>
      </c>
      <c r="C30" s="2" t="str">
        <f>_xlfn.LET(_xlpm.result, _xlfn.XLOOKUP(A30,'EA-Fortescue_SDExport'!A:A,'EA-Fortescue_SDExport'!AM:AM), IF(_xlpm.result=0,"",_xlpm.result))</f>
        <v/>
      </c>
      <c r="D30" s="2" t="str">
        <f>_xlfn.LET(_xlpm.result, _xlfn.XLOOKUP(A30,'EA-Fortescue_SDExport'!A:A,'EA-Fortescue_SDExport'!AN:AN), IF(_xlpm.result=0,"",_xlpm.result))</f>
        <v/>
      </c>
      <c r="E30" s="2" t="str">
        <f>_xlfn.XLOOKUP(R30&amp;Z30,Lookups!A:A,Lookups!B:B)</f>
        <v>Project - Project Interface</v>
      </c>
      <c r="F30" s="2" t="str">
        <f>_xlfn.LET(_xlpm.result, _xlfn.XLOOKUP(A30,'EA-Fortescue_SDExport'!A:A,'EA-Fortescue_SDExport'!AP:AP), IF(_xlpm.result=0,"",_xlpm.result))</f>
        <v/>
      </c>
      <c r="G30" s="2" t="str">
        <f>IF(OR(AND(T30&lt;&gt;"", COUNTIF(Lookups!J:J, "*"&amp;T30&amp;"*")&gt;0), AND(AB30&lt;&gt;"", COUNTIF(Lookups!J:J, "*"&amp;AB30&amp;"*")&gt;0)), "Yes", "No")</f>
        <v>No</v>
      </c>
      <c r="H30" s="2" t="str">
        <f t="shared" si="1"/>
        <v>855DC Decarb Green Systems|005OP IT/OT Systems</v>
      </c>
      <c r="I30" s="2" t="str">
        <f t="shared" si="2"/>
        <v>N/A</v>
      </c>
      <c r="J30" s="2" t="str">
        <f t="shared" si="3"/>
        <v>855DC-1543-PPC Pit Power Capacity Planning Tool - Capacity Check|005OP-0000-004 Alastri</v>
      </c>
      <c r="K30" s="2" t="str">
        <f>_xlfn.XLOOKUP(A30,'EA-Fortescue_SDExport'!A:A,'EA-Fortescue_SDExport'!N:N)</f>
        <v>Deleted</v>
      </c>
      <c r="L30" s="2" t="str">
        <f>_xlfn.LET(_xlpm.result, _xlfn.XLOOKUP($A30,'EA-Fortescue_SDExport'!$A:$A,'EA-Fortescue_SDExport'!AQ:AQ), IF(_xlpm.result=0,"",_xlpm.result))</f>
        <v/>
      </c>
      <c r="M30" s="2" t="str">
        <f>_xlfn.LET(_xlpm.result, _xlfn.XLOOKUP($A30,'EA-Fortescue_SDExport'!$A:$A,'EA-Fortescue_SDExport'!AR:AR), IF(_xlpm.result=0,"",_xlpm.result))</f>
        <v/>
      </c>
      <c r="N30" s="2" t="str">
        <f>_xlfn.LET(_xlpm.result, _xlfn.XLOOKUP($A30,'EA-Fortescue_SDExport'!$A:$A,'EA-Fortescue_SDExport'!AW:AW), IF(_xlpm.result=0,"",_xlpm.result))</f>
        <v/>
      </c>
      <c r="O30" s="2" t="str">
        <f>_xlfn.LET(_xlpm.result, _xlfn.XLOOKUP($A30,'EA-Fortescue_SDExport'!$A:$A,'EA-Fortescue_SDExport'!AV:AV), IF(_xlpm.result=0,"",_xlpm.result))</f>
        <v/>
      </c>
      <c r="P30" s="2" t="str">
        <f>_xlfn.LET(_xlpm.result, _xlfn.XLOOKUP($A30,'EA-Fortescue_SDExport'!$A:$A,'EA-Fortescue_SDExport'!D:D),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 Interface covered by DGS-I_0123 &amp;amp; DGS-I_0124.</v>
      </c>
      <c r="Q30" s="2" t="str">
        <f>_xlfn.LET(
    _xlpm.status, _xlfn.XLOOKUP($A30,'EA-ConnectorExport'!$A:$A,'EA-ConnectorExport'!G:G),
    _xlpm.result, _xlfn.XLOOKUP($A30,'EA-ConnectorExport'!$A:$A,'EA-ConnectorExport'!B:B),
    IF(_xlpm.status="allocate", _xlpm.result, "")
)</f>
        <v>855DC-1543-PPC Pit Power Capacity Planning Tool - Capacity Check</v>
      </c>
      <c r="R30" s="2" t="str">
        <f>IF(
    _xlfn.XLOOKUP($Q30,'EA-Fortescue_SDExport'!A:A,'EA-Fortescue_SDExport'!B:B)="Object",
    _xlfn.XLOOKUP(
        _xlfn.XLOOKUP($A30,'EA-ConnectorExport'!A:A,'EA-ConnectorExport'!D:D),
        'EA-Fortescue_SDExport'!A:A,
        'EA-Fortescue_SDExport'!AA:AA
    ),
    _xlfn.XLOOKUP($Q30,'EA-Fortescue_SDExport'!A:A,'EA-Fortescue_SDExport'!AA:AA)
)</f>
        <v>Project</v>
      </c>
      <c r="S30" s="2" t="str">
        <f>_xlfn.LET(_xlpm.result, _xlfn.XLOOKUP($Q30,'EA-Fortescue_SDExport'!$A:$A,'EA-Fortescue_SDExport'!AB:AB), IF(_xlpm.result=0,"",_xlpm.result))</f>
        <v>Operations Planning</v>
      </c>
      <c r="T30" s="2" t="str">
        <f>_xlfn.LET(_xlpm.result, _xlfn.XLOOKUP($Q30,'EA-Fortescue_SDExport'!$A:$A,'EA-Fortescue_SDExport'!AC:AC), IF(_xlpm.result=0,"",_xlpm.result))</f>
        <v>AWS Fortescue Infrastructure</v>
      </c>
      <c r="U30" s="2" t="str">
        <f>_xlfn.LET(
    _xlpm.isObject, _xlfn.XLOOKUP($Q30,'EA-Fortescue_SDExport'!A:A,'EA-Fortescue_SDExport'!B:B),
    _xlpm.lookupKey, IF(_xlpm.isObject="Object",
        _xlfn.XLOOKUP($A30,'EA-ConnectorExport'!A:A,'EA-ConnectorExport'!D:D),
        $Q30
    ),
    _xlpm.result, _xlfn.XLOOKUP(_xlpm.lookupKey,'EA-Fortescue_SDExport'!A:A,'EA-Fortescue_SDExport'!AD:AD),
    IF(_xlpm.result=0,"",_xlpm.result)
)</f>
        <v>855DC Decarb Green Systems</v>
      </c>
      <c r="V30" s="2" t="str">
        <f>_xlfn.LET(
    _xlpm.isObject, _xlfn.XLOOKUP($Q30,'EA-Fortescue_SDExport'!A:A,'EA-Fortescue_SDExport'!B:B),
    _xlpm.lookupKey, IF(_xlpm.isObject="Object",
        _xlfn.XLOOKUP($A30,'EA-ConnectorExport'!A:A,'EA-ConnectorExport'!D:D),
        $Q30
    ),
    _xlpm.result, _xlfn.XLOOKUP(_xlpm.lookupKey,'EA-Fortescue_SDExport'!A:A,'EA-Fortescue_SDExport'!AE:AE),
    IF(_xlpm.result=0,"",_xlpm.result)
)</f>
        <v/>
      </c>
      <c r="W30" s="2" t="str">
        <f>_xlfn.LET(
    _xlpm.isObject, _xlfn.XLOOKUP($Q30,'EA-Fortescue_SDExport'!A:A,'EA-Fortescue_SDExport'!B:B),
    _xlpm.lookupKey, IF(_xlpm.isObject="Object",
        _xlfn.XLOOKUP($A30,'EA-ConnectorExport'!A:A,'EA-ConnectorExport'!D:D),
        $Q30
    ),
    _xlpm.result, _xlfn.XLOOKUP(_xlpm.lookupKey,'EA-Fortescue_SDExport'!A:A,'EA-Fortescue_SDExport'!AF:AF),
    IF(_xlpm.result=0,"",_xlpm.result)
)</f>
        <v>855DC-1543-PPC Pit Power Capacity Planning Tool - Capacity Check</v>
      </c>
      <c r="X30" s="2" t="str">
        <f>_xlfn.LET(
    _xlpm.isObject, _xlfn.XLOOKUP($Q30,'EA-Fortescue_SDExport'!A:A,'EA-Fortescue_SDExport'!B:B),
    _xlpm.lookupKey, IF(_xlpm.isObject="Object",
        _xlfn.XLOOKUP($A30,'EA-ConnectorExport'!A:A,'EA-ConnectorExport'!D:D),
        $Q30
    ),
    _xlpm.result, _xlfn.XLOOKUP(_xlpm.lookupKey,'EA-Fortescue_SDExport'!A:A,'EA-Fortescue_SDExport'!AG:AG),
    IF(_xlpm.result=0,"",_xlpm.result)
)</f>
        <v/>
      </c>
      <c r="Y30" s="2" t="str">
        <f>_xlfn.LET(
    _xlpm.status, _xlfn.XLOOKUP($A30,'EA-ConnectorExport'!$A:$A,'EA-ConnectorExport'!G:G),
    _xlpm.result, _xlfn.XLOOKUP($A30,'EA-ConnectorExport'!$A:$A,'EA-ConnectorExport'!H:H),
    IF(_xlpm.status="allocate", _xlpm.result, "")
)</f>
        <v>005OP-0000-004 Alastri</v>
      </c>
      <c r="Z30" s="2" t="str">
        <f>_xlfn.LET(
    _xlpm.isObject, _xlfn.XLOOKUP($Y30,'EA-Fortescue_SDExport'!A:A,'EA-Fortescue_SDExport'!B:B),
    _xlpm.lookupKey, IF(_xlpm.isObject="Object",
        _xlfn.XLOOKUP($A30,'EA-ConnectorExport'!A:A,'EA-ConnectorExport'!J:J),
        $Y30
    ),
    _xlpm.result, _xlfn.XLOOKUP(_xlpm.lookupKey,'EA-Fortescue_SDExport'!A:A,'EA-Fortescue_SDExport'!AA:AA),
    IF(_xlpm.result=0,"",_xlpm.result)
)</f>
        <v>Project</v>
      </c>
      <c r="AA30" s="2" t="str">
        <f>_xlfn.LET(_xlpm.result, _xlfn.XLOOKUP($Y30,'EA-Fortescue_SDExport'!$A:$A,'EA-Fortescue_SDExport'!AB:AB), IF(_xlpm.result=0,"",_xlpm.result))</f>
        <v/>
      </c>
      <c r="AB30" s="2" t="str">
        <f>_xlfn.LET(_xlpm.result, _xlfn.XLOOKUP($Y30,'EA-Fortescue_SDExport'!$A:$A,'EA-Fortescue_SDExport'!AC:AC), IF(_xlpm.result=0,"",_xlpm.result))</f>
        <v/>
      </c>
      <c r="AC30" s="2" t="str">
        <f>_xlfn.LET(
    _xlpm.isObject, _xlfn.XLOOKUP($Y30,'EA-Fortescue_SDExport'!A:A,'EA-Fortescue_SDExport'!B:B),
    _xlpm.lookupKey, IF(_xlpm.isObject="Object",
        _xlfn.XLOOKUP($A30,'EA-ConnectorExport'!A:A,'EA-ConnectorExport'!J:J),
        $Y30
    ),
    _xlpm.result, _xlfn.XLOOKUP(_xlpm.lookupKey,'EA-Fortescue_SDExport'!A:A,'EA-Fortescue_SDExport'!AD:AD),
    IF(_xlpm.result=0,"",_xlpm.result)
)</f>
        <v>005OP IT/OT Systems</v>
      </c>
      <c r="AD30" s="2" t="str">
        <f>_xlfn.LET(
    _xlpm.isObject, _xlfn.XLOOKUP($Y30,'EA-Fortescue_SDExport'!A:A,'EA-Fortescue_SDExport'!B:B),
    _xlpm.lookupKey, IF(_xlpm.isObject="Object",
        _xlfn.XLOOKUP($A30,'EA-ConnectorExport'!A:A,'EA-ConnectorExport'!J:J),
        $Y30
    ),
    _xlpm.result, _xlfn.XLOOKUP(_xlpm.lookupKey,'EA-Fortescue_SDExport'!A:A,'EA-Fortescue_SDExport'!AE:AE),
    IF(_xlpm.result=0,"",_xlpm.result)
)</f>
        <v/>
      </c>
      <c r="AE30" s="2" t="str">
        <f>_xlfn.LET(
    _xlpm.isObject, _xlfn.XLOOKUP($Y30,'EA-Fortescue_SDExport'!A:A,'EA-Fortescue_SDExport'!B:B),
    _xlpm.lookupKey, IF(_xlpm.isObject="Object",
        _xlfn.XLOOKUP($A30,'EA-ConnectorExport'!A:A,'EA-ConnectorExport'!J:J),
        $Y30
    ),
    _xlpm.result, _xlfn.XLOOKUP(_xlpm.lookupKey,'EA-Fortescue_SDExport'!A:A,'EA-Fortescue_SDExport'!AF:AF),
    IF(_xlpm.result=0,"",_xlpm.result)
)</f>
        <v>005OP-0000-004 Alastri</v>
      </c>
      <c r="AF30" s="2" t="str">
        <f>_xlfn.LET(
    _xlpm.isObject, _xlfn.XLOOKUP($Y30,'EA-Fortescue_SDExport'!A:A,'EA-Fortescue_SDExport'!B:B),
    _xlpm.lookupKey, IF(_xlpm.isObject="Object",
        _xlfn.XLOOKUP($A30,'EA-ConnectorExport'!A:A,'EA-ConnectorExport'!J:J),
        $Y30
    ),
    _xlpm.result, _xlfn.XLOOKUP(_xlpm.lookupKey,'EA-Fortescue_SDExport'!A:A,'EA-Fortescue_SDExport'!AG:AG),
    IF(_xlpm.result=0,"",_xlpm.result)
)</f>
        <v/>
      </c>
    </row>
    <row r="31" spans="1:32" ht="195" x14ac:dyDescent="0.25">
      <c r="A31" s="2" t="str">
        <v>DGS-I_0030</v>
      </c>
      <c r="B31" s="2" t="str">
        <f t="shared" si="0"/>
        <v>855DC-1541-005 HaulAI|859DC-1410-001 HaulX</v>
      </c>
      <c r="C31" s="2" t="str">
        <f>_xlfn.LET(_xlpm.result, _xlfn.XLOOKUP(A31,'EA-Fortescue_SDExport'!A:A,'EA-Fortescue_SDExport'!AM:AM), IF(_xlpm.result=0,"",_xlpm.result))</f>
        <v/>
      </c>
      <c r="D31" s="2" t="str">
        <f>_xlfn.LET(_xlpm.result, _xlfn.XLOOKUP(A31,'EA-Fortescue_SDExport'!A:A,'EA-Fortescue_SDExport'!AN:AN), IF(_xlpm.result=0,"",_xlpm.result))</f>
        <v/>
      </c>
      <c r="E31" s="2" t="str">
        <f>_xlfn.XLOOKUP(R31&amp;Z31,Lookups!A:A,Lookups!B:B)</f>
        <v>Project - Project Interface</v>
      </c>
      <c r="F31" s="2" t="str">
        <f>_xlfn.LET(_xlpm.result, _xlfn.XLOOKUP(A31,'EA-Fortescue_SDExport'!A:A,'EA-Fortescue_SDExport'!AP:AP), IF(_xlpm.result=0,"",_xlpm.result))</f>
        <v>Technical-Data/Software</v>
      </c>
      <c r="G31" s="2" t="str">
        <f>IF(OR(AND(T31&lt;&gt;"", COUNTIF(Lookups!J:J, "*"&amp;T31&amp;"*")&gt;0), AND(AB31&lt;&gt;"", COUNTIF(Lookups!J:J, "*"&amp;AB31&amp;"*")&gt;0)), "Yes", "No")</f>
        <v>No</v>
      </c>
      <c r="H31" s="2" t="str">
        <f t="shared" si="1"/>
        <v>855DC Decarb Green Systems|859DC HaulX</v>
      </c>
      <c r="I31" s="2" t="str">
        <f t="shared" si="2"/>
        <v>855DC-1541 Planning and Forecast Systems|N/A</v>
      </c>
      <c r="J31" s="2" t="str">
        <f t="shared" si="3"/>
        <v>855DC-1541-005 HaulAI|859DC-1410-001 HaulX</v>
      </c>
      <c r="K31" s="2" t="str">
        <f>_xlfn.XLOOKUP(A31,'EA-Fortescue_SDExport'!A:A,'EA-Fortescue_SDExport'!N:N)</f>
        <v>Simplified Interface</v>
      </c>
      <c r="L31" s="2" t="str">
        <f>_xlfn.LET(_xlpm.result, _xlfn.XLOOKUP($A31,'EA-Fortescue_SDExport'!$A:$A,'EA-Fortescue_SDExport'!AQ:AQ), IF(_xlpm.result=0,"",_xlpm.result))</f>
        <v>The purpose of this interface is to allow HaulAI to supply HaulX with simulated fleet behaviour, predicted cycle times, or haulage performance insights to support planning and optimisation.</v>
      </c>
      <c r="M31" s="2" t="str">
        <f>_xlfn.LET(_xlpm.result, _xlfn.XLOOKUP($A31,'EA-Fortescue_SDExport'!$A:$A,'EA-Fortescue_SDExport'!AR:AR), IF(_xlpm.result=0,"",_xlpm.result))</f>
        <v>LOW</v>
      </c>
      <c r="N31" s="2" t="str">
        <f>_xlfn.LET(_xlpm.result, _xlfn.XLOOKUP($A31,'EA-Fortescue_SDExport'!$A:$A,'EA-Fortescue_SDExport'!AW:AW), IF(_xlpm.result=0,"",_xlpm.result))</f>
        <v>The criticality level is LOW because HaulAI does not control real-time operations, and HaulX continues working even if simulation data is missing. This interface supports decision-making but does not impact production continuity or safety.</v>
      </c>
      <c r="O31" s="2" t="str">
        <f>_xlfn.LET(_xlpm.result, _xlfn.XLOOKUP($A31,'EA-Fortescue_SDExport'!$A:$A,'EA-Fortescue_SDExport'!AV:AV), IF(_xlpm.result=0,"",_xlpm.result))</f>
        <v>HaulAI -&gt; HaulX</v>
      </c>
      <c r="P31" s="2" t="str">
        <f>_xlfn.LET(_xlpm.result, _xlfn.XLOOKUP($A31,'EA-Fortescue_SDExport'!$A:$A,'EA-Fortescue_SDExport'!D:D), IF(_xlpm.result=0,"",_xlpm.result))</f>
        <v>NH 25/02/2026: Fields updated:Interface Type, Interface Flow</v>
      </c>
      <c r="Q31" s="2" t="str">
        <f>_xlfn.LET(
    _xlpm.status, _xlfn.XLOOKUP($A31,'EA-ConnectorExport'!$A:$A,'EA-ConnectorExport'!G:G),
    _xlpm.result, _xlfn.XLOOKUP($A31,'EA-ConnectorExport'!$A:$A,'EA-ConnectorExport'!B:B),
    IF(_xlpm.status="allocate", _xlpm.result, "")
)</f>
        <v>855DC-1541-005 HaulAI</v>
      </c>
      <c r="R31" s="2" t="str">
        <f>IF(
    _xlfn.XLOOKUP($Q31,'EA-Fortescue_SDExport'!A:A,'EA-Fortescue_SDExport'!B:B)="Object",
    _xlfn.XLOOKUP(
        _xlfn.XLOOKUP($A31,'EA-ConnectorExport'!A:A,'EA-ConnectorExport'!D:D),
        'EA-Fortescue_SDExport'!A:A,
        'EA-Fortescue_SDExport'!AA:AA
    ),
    _xlfn.XLOOKUP($Q31,'EA-Fortescue_SDExport'!A:A,'EA-Fortescue_SDExport'!AA:AA)
)</f>
        <v>Project</v>
      </c>
      <c r="S31" s="2" t="str">
        <f>_xlfn.LET(_xlpm.result, _xlfn.XLOOKUP($Q31,'EA-Fortescue_SDExport'!$A:$A,'EA-Fortescue_SDExport'!AB:AB), IF(_xlpm.result=0,"",_xlpm.result))</f>
        <v/>
      </c>
      <c r="T31" s="2" t="str">
        <f>_xlfn.LET(_xlpm.result, _xlfn.XLOOKUP($Q31,'EA-Fortescue_SDExport'!$A:$A,'EA-Fortescue_SDExport'!AC:AC), IF(_xlpm.result=0,"",_xlpm.result))</f>
        <v>Vendor Cloud</v>
      </c>
      <c r="U31" s="2" t="str">
        <f>_xlfn.LET(
    _xlpm.isObject, _xlfn.XLOOKUP($Q31,'EA-Fortescue_SDExport'!A:A,'EA-Fortescue_SDExport'!B:B),
    _xlpm.lookupKey, IF(_xlpm.isObject="Object",
        _xlfn.XLOOKUP($A31,'EA-ConnectorExport'!A:A,'EA-ConnectorExport'!D:D),
        $Q31
    ),
    _xlpm.result, _xlfn.XLOOKUP(_xlpm.lookupKey,'EA-Fortescue_SDExport'!A:A,'EA-Fortescue_SDExport'!AD:AD),
    IF(_xlpm.result=0,"",_xlpm.result)
)</f>
        <v>855DC Decarb Green Systems</v>
      </c>
      <c r="V31" s="2" t="str">
        <f>_xlfn.LET(
    _xlpm.isObject, _xlfn.XLOOKUP($Q31,'EA-Fortescue_SDExport'!A:A,'EA-Fortescue_SDExport'!B:B),
    _xlpm.lookupKey, IF(_xlpm.isObject="Object",
        _xlfn.XLOOKUP($A31,'EA-ConnectorExport'!A:A,'EA-ConnectorExport'!D:D),
        $Q31
    ),
    _xlpm.result, _xlfn.XLOOKUP(_xlpm.lookupKey,'EA-Fortescue_SDExport'!A:A,'EA-Fortescue_SDExport'!AE:AE),
    IF(_xlpm.result=0,"",_xlpm.result)
)</f>
        <v>855DC-1541 Planning and Forecast Systems</v>
      </c>
      <c r="W31" s="2" t="str">
        <f>_xlfn.LET(
    _xlpm.isObject, _xlfn.XLOOKUP($Q31,'EA-Fortescue_SDExport'!A:A,'EA-Fortescue_SDExport'!B:B),
    _xlpm.lookupKey, IF(_xlpm.isObject="Object",
        _xlfn.XLOOKUP($A31,'EA-ConnectorExport'!A:A,'EA-ConnectorExport'!D:D),
        $Q31
    ),
    _xlpm.result, _xlfn.XLOOKUP(_xlpm.lookupKey,'EA-Fortescue_SDExport'!A:A,'EA-Fortescue_SDExport'!AF:AF),
    IF(_xlpm.result=0,"",_xlpm.result)
)</f>
        <v>855DC-1541-005 HaulAI</v>
      </c>
      <c r="X31" s="2" t="str">
        <f>_xlfn.LET(
    _xlpm.isObject, _xlfn.XLOOKUP($Q31,'EA-Fortescue_SDExport'!A:A,'EA-Fortescue_SDExport'!B:B),
    _xlpm.lookupKey, IF(_xlpm.isObject="Object",
        _xlfn.XLOOKUP($A31,'EA-ConnectorExport'!A:A,'EA-ConnectorExport'!D:D),
        $Q31
    ),
    _xlpm.result, _xlfn.XLOOKUP(_xlpm.lookupKey,'EA-Fortescue_SDExport'!A:A,'EA-Fortescue_SDExport'!AG:AG),
    IF(_xlpm.result=0,"",_xlpm.result)
)</f>
        <v/>
      </c>
      <c r="Y31" s="2" t="str">
        <f>_xlfn.LET(
    _xlpm.status, _xlfn.XLOOKUP($A31,'EA-ConnectorExport'!$A:$A,'EA-ConnectorExport'!G:G),
    _xlpm.result, _xlfn.XLOOKUP($A31,'EA-ConnectorExport'!$A:$A,'EA-ConnectorExport'!H:H),
    IF(_xlpm.status="allocate", _xlpm.result, "")
)</f>
        <v>859DC-1410-001 HaulX</v>
      </c>
      <c r="Z31" s="2" t="str">
        <f>_xlfn.LET(
    _xlpm.isObject, _xlfn.XLOOKUP($Y31,'EA-Fortescue_SDExport'!A:A,'EA-Fortescue_SDExport'!B:B),
    _xlpm.lookupKey, IF(_xlpm.isObject="Object",
        _xlfn.XLOOKUP($A31,'EA-ConnectorExport'!A:A,'EA-ConnectorExport'!J:J),
        $Y31
    ),
    _xlpm.result, _xlfn.XLOOKUP(_xlpm.lookupKey,'EA-Fortescue_SDExport'!A:A,'EA-Fortescue_SDExport'!AA:AA),
    IF(_xlpm.result=0,"",_xlpm.result)
)</f>
        <v>Project</v>
      </c>
      <c r="AA31" s="2" t="str">
        <f>_xlfn.LET(_xlpm.result, _xlfn.XLOOKUP($Y31,'EA-Fortescue_SDExport'!$A:$A,'EA-Fortescue_SDExport'!AB:AB), IF(_xlpm.result=0,"",_xlpm.result))</f>
        <v/>
      </c>
      <c r="AB31" s="2" t="str">
        <f>_xlfn.LET(_xlpm.result, _xlfn.XLOOKUP($Y31,'EA-Fortescue_SDExport'!$A:$A,'EA-Fortescue_SDExport'!AC:AC), IF(_xlpm.result=0,"",_xlpm.result))</f>
        <v/>
      </c>
      <c r="AC31" s="2" t="str">
        <f>_xlfn.LET(
    _xlpm.isObject, _xlfn.XLOOKUP($Y31,'EA-Fortescue_SDExport'!A:A,'EA-Fortescue_SDExport'!B:B),
    _xlpm.lookupKey, IF(_xlpm.isObject="Object",
        _xlfn.XLOOKUP($A31,'EA-ConnectorExport'!A:A,'EA-ConnectorExport'!J:J),
        $Y31
    ),
    _xlpm.result, _xlfn.XLOOKUP(_xlpm.lookupKey,'EA-Fortescue_SDExport'!A:A,'EA-Fortescue_SDExport'!AD:AD),
    IF(_xlpm.result=0,"",_xlpm.result)
)</f>
        <v>859DC HaulX</v>
      </c>
      <c r="AD31" s="2" t="str">
        <f>_xlfn.LET(
    _xlpm.isObject, _xlfn.XLOOKUP($Y31,'EA-Fortescue_SDExport'!A:A,'EA-Fortescue_SDExport'!B:B),
    _xlpm.lookupKey, IF(_xlpm.isObject="Object",
        _xlfn.XLOOKUP($A31,'EA-ConnectorExport'!A:A,'EA-ConnectorExport'!J:J),
        $Y31
    ),
    _xlpm.result, _xlfn.XLOOKUP(_xlpm.lookupKey,'EA-Fortescue_SDExport'!A:A,'EA-Fortescue_SDExport'!AE:AE),
    IF(_xlpm.result=0,"",_xlpm.result)
)</f>
        <v/>
      </c>
      <c r="AE31" s="2" t="str">
        <f>_xlfn.LET(
    _xlpm.isObject, _xlfn.XLOOKUP($Y31,'EA-Fortescue_SDExport'!A:A,'EA-Fortescue_SDExport'!B:B),
    _xlpm.lookupKey, IF(_xlpm.isObject="Object",
        _xlfn.XLOOKUP($A31,'EA-ConnectorExport'!A:A,'EA-ConnectorExport'!J:J),
        $Y31
    ),
    _xlpm.result, _xlfn.XLOOKUP(_xlpm.lookupKey,'EA-Fortescue_SDExport'!A:A,'EA-Fortescue_SDExport'!AF:AF),
    IF(_xlpm.result=0,"",_xlpm.result)
)</f>
        <v>859DC-1410-001 HaulX</v>
      </c>
      <c r="AF31" s="2" t="str">
        <f>_xlfn.LET(
    _xlpm.isObject, _xlfn.XLOOKUP($Y31,'EA-Fortescue_SDExport'!A:A,'EA-Fortescue_SDExport'!B:B),
    _xlpm.lookupKey, IF(_xlpm.isObject="Object",
        _xlfn.XLOOKUP($A31,'EA-ConnectorExport'!A:A,'EA-ConnectorExport'!J:J),
        $Y31
    ),
    _xlpm.result, _xlfn.XLOOKUP(_xlpm.lookupKey,'EA-Fortescue_SDExport'!A:A,'EA-Fortescue_SDExport'!AG:AG),
    IF(_xlpm.result=0,"",_xlpm.result)
)</f>
        <v/>
      </c>
    </row>
    <row r="32" spans="1:32" ht="180" x14ac:dyDescent="0.25">
      <c r="A32" s="2" t="str">
        <v>DGS-I_0031</v>
      </c>
      <c r="B32" s="2" t="str">
        <f t="shared" si="0"/>
        <v>859DC-1410-001 HaulX|005OP-0000-004 Alastri</v>
      </c>
      <c r="C32" s="2" t="str">
        <f>_xlfn.LET(_xlpm.result, _xlfn.XLOOKUP(A32,'EA-Fortescue_SDExport'!A:A,'EA-Fortescue_SDExport'!AM:AM), IF(_xlpm.result=0,"",_xlpm.result))</f>
        <v/>
      </c>
      <c r="D32" s="2" t="str">
        <f>_xlfn.LET(_xlpm.result, _xlfn.XLOOKUP(A32,'EA-Fortescue_SDExport'!A:A,'EA-Fortescue_SDExport'!AN:AN), IF(_xlpm.result=0,"",_xlpm.result))</f>
        <v/>
      </c>
      <c r="E32" s="2" t="str">
        <f>_xlfn.XLOOKUP(R32&amp;Z32,Lookups!A:A,Lookups!B:B)</f>
        <v>Project - Project Interface</v>
      </c>
      <c r="F32" s="2" t="str">
        <f>_xlfn.LET(_xlpm.result, _xlfn.XLOOKUP(A32,'EA-Fortescue_SDExport'!A:A,'EA-Fortescue_SDExport'!AP:AP), IF(_xlpm.result=0,"",_xlpm.result))</f>
        <v/>
      </c>
      <c r="G32" s="2" t="str">
        <f>IF(OR(AND(T32&lt;&gt;"", COUNTIF(Lookups!J:J, "*"&amp;T32&amp;"*")&gt;0), AND(AB32&lt;&gt;"", COUNTIF(Lookups!J:J, "*"&amp;AB32&amp;"*")&gt;0)), "Yes", "No")</f>
        <v>No</v>
      </c>
      <c r="H32" s="2" t="str">
        <f t="shared" si="1"/>
        <v>859DC HaulX|005OP IT/OT Systems</v>
      </c>
      <c r="I32" s="2" t="str">
        <f t="shared" si="2"/>
        <v>N/A</v>
      </c>
      <c r="J32" s="2" t="str">
        <f t="shared" si="3"/>
        <v>859DC-1410-001 HaulX|005OP-0000-004 Alastri</v>
      </c>
      <c r="K32" s="2" t="str">
        <f>_xlfn.XLOOKUP(A32,'EA-Fortescue_SDExport'!A:A,'EA-Fortescue_SDExport'!N:N)</f>
        <v>Simplified Interface</v>
      </c>
      <c r="L32" s="2" t="str">
        <f>_xlfn.LET(_xlpm.result, _xlfn.XLOOKUP($A32,'EA-Fortescue_SDExport'!$A:$A,'EA-Fortescue_SDExport'!AQ:AQ), IF(_xlpm.result=0,"",_xlpm.result))</f>
        <v>This interface links HaulX with the Alastri planning tools to ensure autonomous and manual haulage operations align with current mine designs, tactical schedules, and short-term plan changes.</v>
      </c>
      <c r="M32" s="2" t="str">
        <f>_xlfn.LET(_xlpm.result, _xlfn.XLOOKUP($A32,'EA-Fortescue_SDExport'!$A:$A,'EA-Fortescue_SDExport'!AR:AR), IF(_xlpm.result=0,"",_xlpm.result))</f>
        <v>MEDIUM</v>
      </c>
      <c r="N32" s="2" t="str">
        <f>_xlfn.LET(_xlpm.result, _xlfn.XLOOKUP($A32,'EA-Fortescue_SDExport'!$A:$A,'EA-Fortescue_SDExport'!AW:AW), IF(_xlpm.result=0,"",_xlpm.result))</f>
        <v>The criticality level is MEDIUM because failure means operations may become inefficient or misaligned with priorities. An outage reduces optimisation and planning alignment, but does not stop haulage or compromise safety.</v>
      </c>
      <c r="O32" s="2" t="str">
        <f>_xlfn.LET(_xlpm.result, _xlfn.XLOOKUP($A32,'EA-Fortescue_SDExport'!$A:$A,'EA-Fortescue_SDExport'!AV:AV), IF(_xlpm.result=0,"",_xlpm.result))</f>
        <v/>
      </c>
      <c r="P32" s="2" t="str">
        <f>_xlfn.LET(_xlpm.result, _xlfn.XLOOKUP($A32,'EA-Fortescue_SDExport'!$A:$A,'EA-Fortescue_SDExport'!D:D), IF(_xlpm.result=0,"",_xlpm.result))</f>
        <v/>
      </c>
      <c r="Q32" s="2" t="str">
        <f>_xlfn.LET(
    _xlpm.status, _xlfn.XLOOKUP($A32,'EA-ConnectorExport'!$A:$A,'EA-ConnectorExport'!G:G),
    _xlpm.result, _xlfn.XLOOKUP($A32,'EA-ConnectorExport'!$A:$A,'EA-ConnectorExport'!B:B),
    IF(_xlpm.status="allocate", _xlpm.result, "")
)</f>
        <v>859DC-1410-001 HaulX</v>
      </c>
      <c r="R32" s="2" t="str">
        <f>IF(
    _xlfn.XLOOKUP($Q32,'EA-Fortescue_SDExport'!A:A,'EA-Fortescue_SDExport'!B:B)="Object",
    _xlfn.XLOOKUP(
        _xlfn.XLOOKUP($A32,'EA-ConnectorExport'!A:A,'EA-ConnectorExport'!D:D),
        'EA-Fortescue_SDExport'!A:A,
        'EA-Fortescue_SDExport'!AA:AA
    ),
    _xlfn.XLOOKUP($Q32,'EA-Fortescue_SDExport'!A:A,'EA-Fortescue_SDExport'!AA:AA)
)</f>
        <v>Project</v>
      </c>
      <c r="S32" s="2" t="str">
        <f>_xlfn.LET(_xlpm.result, _xlfn.XLOOKUP($Q32,'EA-Fortescue_SDExport'!$A:$A,'EA-Fortescue_SDExport'!AB:AB), IF(_xlpm.result=0,"",_xlpm.result))</f>
        <v/>
      </c>
      <c r="T32" s="2" t="str">
        <f>_xlfn.LET(_xlpm.result, _xlfn.XLOOKUP($Q32,'EA-Fortescue_SDExport'!$A:$A,'EA-Fortescue_SDExport'!AC:AC), IF(_xlpm.result=0,"",_xlpm.result))</f>
        <v/>
      </c>
      <c r="U32" s="2" t="str">
        <f>_xlfn.LET(
    _xlpm.isObject, _xlfn.XLOOKUP($Q32,'EA-Fortescue_SDExport'!A:A,'EA-Fortescue_SDExport'!B:B),
    _xlpm.lookupKey, IF(_xlpm.isObject="Object",
        _xlfn.XLOOKUP($A32,'EA-ConnectorExport'!A:A,'EA-ConnectorExport'!D:D),
        $Q32
    ),
    _xlpm.result, _xlfn.XLOOKUP(_xlpm.lookupKey,'EA-Fortescue_SDExport'!A:A,'EA-Fortescue_SDExport'!AD:AD),
    IF(_xlpm.result=0,"",_xlpm.result)
)</f>
        <v>859DC HaulX</v>
      </c>
      <c r="V32" s="2" t="str">
        <f>_xlfn.LET(
    _xlpm.isObject, _xlfn.XLOOKUP($Q32,'EA-Fortescue_SDExport'!A:A,'EA-Fortescue_SDExport'!B:B),
    _xlpm.lookupKey, IF(_xlpm.isObject="Object",
        _xlfn.XLOOKUP($A32,'EA-ConnectorExport'!A:A,'EA-ConnectorExport'!D:D),
        $Q32
    ),
    _xlpm.result, _xlfn.XLOOKUP(_xlpm.lookupKey,'EA-Fortescue_SDExport'!A:A,'EA-Fortescue_SDExport'!AE:AE),
    IF(_xlpm.result=0,"",_xlpm.result)
)</f>
        <v/>
      </c>
      <c r="W32" s="2" t="str">
        <f>_xlfn.LET(
    _xlpm.isObject, _xlfn.XLOOKUP($Q32,'EA-Fortescue_SDExport'!A:A,'EA-Fortescue_SDExport'!B:B),
    _xlpm.lookupKey, IF(_xlpm.isObject="Object",
        _xlfn.XLOOKUP($A32,'EA-ConnectorExport'!A:A,'EA-ConnectorExport'!D:D),
        $Q32
    ),
    _xlpm.result, _xlfn.XLOOKUP(_xlpm.lookupKey,'EA-Fortescue_SDExport'!A:A,'EA-Fortescue_SDExport'!AF:AF),
    IF(_xlpm.result=0,"",_xlpm.result)
)</f>
        <v>859DC-1410-001 HaulX</v>
      </c>
      <c r="X32" s="2" t="str">
        <f>_xlfn.LET(
    _xlpm.isObject, _xlfn.XLOOKUP($Q32,'EA-Fortescue_SDExport'!A:A,'EA-Fortescue_SDExport'!B:B),
    _xlpm.lookupKey, IF(_xlpm.isObject="Object",
        _xlfn.XLOOKUP($A32,'EA-ConnectorExport'!A:A,'EA-ConnectorExport'!D:D),
        $Q32
    ),
    _xlpm.result, _xlfn.XLOOKUP(_xlpm.lookupKey,'EA-Fortescue_SDExport'!A:A,'EA-Fortescue_SDExport'!AG:AG),
    IF(_xlpm.result=0,"",_xlpm.result)
)</f>
        <v/>
      </c>
      <c r="Y32" s="2" t="str">
        <f>_xlfn.LET(
    _xlpm.status, _xlfn.XLOOKUP($A32,'EA-ConnectorExport'!$A:$A,'EA-ConnectorExport'!G:G),
    _xlpm.result, _xlfn.XLOOKUP($A32,'EA-ConnectorExport'!$A:$A,'EA-ConnectorExport'!H:H),
    IF(_xlpm.status="allocate", _xlpm.result, "")
)</f>
        <v>005OP-0000-004 Alastri</v>
      </c>
      <c r="Z32" s="2" t="str">
        <f>_xlfn.LET(
    _xlpm.isObject, _xlfn.XLOOKUP($Y32,'EA-Fortescue_SDExport'!A:A,'EA-Fortescue_SDExport'!B:B),
    _xlpm.lookupKey, IF(_xlpm.isObject="Object",
        _xlfn.XLOOKUP($A32,'EA-ConnectorExport'!A:A,'EA-ConnectorExport'!J:J),
        $Y32
    ),
    _xlpm.result, _xlfn.XLOOKUP(_xlpm.lookupKey,'EA-Fortescue_SDExport'!A:A,'EA-Fortescue_SDExport'!AA:AA),
    IF(_xlpm.result=0,"",_xlpm.result)
)</f>
        <v>Project</v>
      </c>
      <c r="AA32" s="2" t="str">
        <f>_xlfn.LET(_xlpm.result, _xlfn.XLOOKUP($Y32,'EA-Fortescue_SDExport'!$A:$A,'EA-Fortescue_SDExport'!AB:AB), IF(_xlpm.result=0,"",_xlpm.result))</f>
        <v/>
      </c>
      <c r="AB32" s="2" t="str">
        <f>_xlfn.LET(_xlpm.result, _xlfn.XLOOKUP($Y32,'EA-Fortescue_SDExport'!$A:$A,'EA-Fortescue_SDExport'!AC:AC), IF(_xlpm.result=0,"",_xlpm.result))</f>
        <v/>
      </c>
      <c r="AC32" s="2" t="str">
        <f>_xlfn.LET(
    _xlpm.isObject, _xlfn.XLOOKUP($Y32,'EA-Fortescue_SDExport'!A:A,'EA-Fortescue_SDExport'!B:B),
    _xlpm.lookupKey, IF(_xlpm.isObject="Object",
        _xlfn.XLOOKUP($A32,'EA-ConnectorExport'!A:A,'EA-ConnectorExport'!J:J),
        $Y32
    ),
    _xlpm.result, _xlfn.XLOOKUP(_xlpm.lookupKey,'EA-Fortescue_SDExport'!A:A,'EA-Fortescue_SDExport'!AD:AD),
    IF(_xlpm.result=0,"",_xlpm.result)
)</f>
        <v>005OP IT/OT Systems</v>
      </c>
      <c r="AD32" s="2" t="str">
        <f>_xlfn.LET(
    _xlpm.isObject, _xlfn.XLOOKUP($Y32,'EA-Fortescue_SDExport'!A:A,'EA-Fortescue_SDExport'!B:B),
    _xlpm.lookupKey, IF(_xlpm.isObject="Object",
        _xlfn.XLOOKUP($A32,'EA-ConnectorExport'!A:A,'EA-ConnectorExport'!J:J),
        $Y32
    ),
    _xlpm.result, _xlfn.XLOOKUP(_xlpm.lookupKey,'EA-Fortescue_SDExport'!A:A,'EA-Fortescue_SDExport'!AE:AE),
    IF(_xlpm.result=0,"",_xlpm.result)
)</f>
        <v/>
      </c>
      <c r="AE32" s="2" t="str">
        <f>_xlfn.LET(
    _xlpm.isObject, _xlfn.XLOOKUP($Y32,'EA-Fortescue_SDExport'!A:A,'EA-Fortescue_SDExport'!B:B),
    _xlpm.lookupKey, IF(_xlpm.isObject="Object",
        _xlfn.XLOOKUP($A32,'EA-ConnectorExport'!A:A,'EA-ConnectorExport'!J:J),
        $Y32
    ),
    _xlpm.result, _xlfn.XLOOKUP(_xlpm.lookupKey,'EA-Fortescue_SDExport'!A:A,'EA-Fortescue_SDExport'!AF:AF),
    IF(_xlpm.result=0,"",_xlpm.result)
)</f>
        <v>005OP-0000-004 Alastri</v>
      </c>
      <c r="AF32" s="2" t="str">
        <f>_xlfn.LET(
    _xlpm.isObject, _xlfn.XLOOKUP($Y32,'EA-Fortescue_SDExport'!A:A,'EA-Fortescue_SDExport'!B:B),
    _xlpm.lookupKey, IF(_xlpm.isObject="Object",
        _xlfn.XLOOKUP($A32,'EA-ConnectorExport'!A:A,'EA-ConnectorExport'!J:J),
        $Y32
    ),
    _xlpm.result, _xlfn.XLOOKUP(_xlpm.lookupKey,'EA-Fortescue_SDExport'!A:A,'EA-Fortescue_SDExport'!AG:AG),
    IF(_xlpm.result=0,"",_xlpm.result)
)</f>
        <v/>
      </c>
    </row>
    <row r="33" spans="1:32" ht="225" x14ac:dyDescent="0.25">
      <c r="A33" s="2" t="str">
        <v>DGS-I_0032</v>
      </c>
      <c r="B33" s="2" t="str">
        <f t="shared" si="0"/>
        <v>855DC-1543-008 Monarch|855DC-1542-CSM Charge Station Management System (CSMS)</v>
      </c>
      <c r="C33" s="2" t="str">
        <f>_xlfn.LET(_xlpm.result, _xlfn.XLOOKUP(A33,'EA-Fortescue_SDExport'!A:A,'EA-Fortescue_SDExport'!AM:AM), IF(_xlpm.result=0,"",_xlpm.result))</f>
        <v>Energy Operations</v>
      </c>
      <c r="D33" s="2" t="str">
        <f>_xlfn.LET(_xlpm.result, _xlfn.XLOOKUP(A33,'EA-Fortescue_SDExport'!A:A,'EA-Fortescue_SDExport'!AN:AN), IF(_xlpm.result=0,"",_xlpm.result))</f>
        <v>Sam Hedgcock</v>
      </c>
      <c r="E33" s="2" t="str">
        <f>_xlfn.XLOOKUP(R33&amp;Z33,Lookups!A:A,Lookups!B:B)</f>
        <v>Project - Project Interface</v>
      </c>
      <c r="F33" s="2" t="str">
        <f>_xlfn.LET(_xlpm.result, _xlfn.XLOOKUP(A33,'EA-Fortescue_SDExport'!A:A,'EA-Fortescue_SDExport'!AP:AP), IF(_xlpm.result=0,"",_xlpm.result))</f>
        <v/>
      </c>
      <c r="G33" s="2" t="str">
        <f>IF(OR(AND(T33&lt;&gt;"", COUNTIF(Lookups!J:J, "*"&amp;T33&amp;"*")&gt;0), AND(AB33&lt;&gt;"", COUNTIF(Lookups!J:J, "*"&amp;AB33&amp;"*")&gt;0)), "Yes", "No")</f>
        <v>No</v>
      </c>
      <c r="H33" s="2" t="str">
        <f t="shared" si="1"/>
        <v>855DC Decarb Green Systems|855DC Decarb Green Systems</v>
      </c>
      <c r="I33" s="2" t="str">
        <f t="shared" si="2"/>
        <v>855DC-1543 Existing Systems - Green Enhancement|855DC-1542 Control &amp; Monitoring Systems</v>
      </c>
      <c r="J33" s="2" t="str">
        <f t="shared" si="3"/>
        <v>855DC-1543-008 Monarch|855DC-1542-CSM Charge Station Management System (CSMS)</v>
      </c>
      <c r="K33" s="2" t="str">
        <f>_xlfn.XLOOKUP(A33,'EA-Fortescue_SDExport'!A:A,'EA-Fortescue_SDExport'!N:N)</f>
        <v>Deleted</v>
      </c>
      <c r="L33" s="2" t="str">
        <f>_xlfn.LET(_xlpm.result, _xlfn.XLOOKUP($A33,'EA-Fortescue_SDExport'!$A:$A,'EA-Fortescue_SDExport'!AQ:AQ), IF(_xlpm.result=0,"",_xlpm.result))</f>
        <v>vCharm Edge / CSMS &lt;-&gt; Monarch AGC -  Setpoint &amp; Control Integration (Under Evaluation)_x000D_
The purpose of this interface is to allow Monarch Automatic Generation Control (AGC) to adjust EV charging setpoints dynamically, coordinating charging demand with real-time generation and system stability requirements. This integration between the Charging Station Management System (CSMS, via vCharm Edge) and Monarch AGC is currently under investigation, with communication potentially occurring directly via API or indirectly through the GMS PLC acting as an intermediary control layer._x000D_
Intermediate Elements: Monarch AGC, vCharm Edge (CSMS), possible GMS PLC, charger control interfaces, API or PLC communications, depending on final ICD design.</v>
      </c>
      <c r="M33" s="2" t="str">
        <f>_xlfn.LET(_xlpm.result, _xlfn.XLOOKUP($A33,'EA-Fortescue_SDExport'!$A:$A,'EA-Fortescue_SDExport'!AR:AR), IF(_xlpm.result=0,"",_xlpm.result))</f>
        <v>HIGH</v>
      </c>
      <c r="N33" s="2" t="str">
        <f>_xlfn.LET(_xlpm.result, _xlfn.XLOOKUP($A33,'EA-Fortescue_SDExport'!$A:$A,'EA-Fortescue_SDExport'!AW:AW), IF(_xlpm.result=0,"",_xlpm.result))</f>
        <v>The criticality level is HIGH because coordinated charging load control is essential for balancing demand with available generation and preventing overload. Failure risks system instability and compromises AGC-driven responsiveness across the power network.</v>
      </c>
      <c r="O33" s="2" t="str">
        <f>_xlfn.LET(_xlpm.result, _xlfn.XLOOKUP($A33,'EA-Fortescue_SDExport'!$A:$A,'EA-Fortescue_SDExport'!AV:AV), IF(_xlpm.result=0,"",_xlpm.result))</f>
        <v>Option 1: Monarch AGC -&gt; API -&gt; CSMS (vCharm Edge) -&gt; Chargers._x000D_
_x000D_
Option 2: Monarch AGC -&gt; GMS PLC -&gt; CSMS (vCharm Edge) -&gt; Chargers.</v>
      </c>
      <c r="P33" s="2" t="str">
        <f>_xlfn.LET(_xlpm.result, _xlfn.XLOOKUP($A33,'EA-Fortescue_SDExport'!$A:$A,'EA-Fortescue_SDExport'!D:D), IF(_xlpm.result=0,"",_xlpm.result))</f>
        <v>CSMS Review 30/10/2025: Integration between vCharm edges and Monarch AGC is still being looked at. ICD? adjustment of setpoints. May go via GMS PLC, or may go directly from AGC to CSMS via API. Potential owner Energy Ops._x000D_
_x000D_
Interface Review 08/12/2025: Delete, CSMS integrates to LMS.</v>
      </c>
      <c r="Q33" s="2" t="str">
        <f>_xlfn.LET(
    _xlpm.status, _xlfn.XLOOKUP($A33,'EA-ConnectorExport'!$A:$A,'EA-ConnectorExport'!G:G),
    _xlpm.result, _xlfn.XLOOKUP($A33,'EA-ConnectorExport'!$A:$A,'EA-ConnectorExport'!B:B),
    IF(_xlpm.status="allocate", _xlpm.result, "")
)</f>
        <v>855DC-1543-008 Monarch</v>
      </c>
      <c r="R33" s="2" t="str">
        <f>IF(
    _xlfn.XLOOKUP($Q33,'EA-Fortescue_SDExport'!A:A,'EA-Fortescue_SDExport'!B:B)="Object",
    _xlfn.XLOOKUP(
        _xlfn.XLOOKUP($A33,'EA-ConnectorExport'!A:A,'EA-ConnectorExport'!D:D),
        'EA-Fortescue_SDExport'!A:A,
        'EA-Fortescue_SDExport'!AA:AA
    ),
    _xlfn.XLOOKUP($Q33,'EA-Fortescue_SDExport'!A:A,'EA-Fortescue_SDExport'!AA:AA)
)</f>
        <v>Project</v>
      </c>
      <c r="S33" s="2" t="str">
        <f>_xlfn.LET(_xlpm.result, _xlfn.XLOOKUP($Q33,'EA-Fortescue_SDExport'!$A:$A,'EA-Fortescue_SDExport'!AB:AB), IF(_xlpm.result=0,"",_xlpm.result))</f>
        <v>Energy Operations</v>
      </c>
      <c r="T33" s="2" t="str">
        <f>_xlfn.LET(_xlpm.result, _xlfn.XLOOKUP($Q33,'EA-Fortescue_SDExport'!$A:$A,'EA-Fortescue_SDExport'!AC:AC), IF(_xlpm.result=0,"",_xlpm.result))</f>
        <v/>
      </c>
      <c r="U33" s="2" t="str">
        <f>_xlfn.LET(
    _xlpm.isObject, _xlfn.XLOOKUP($Q33,'EA-Fortescue_SDExport'!A:A,'EA-Fortescue_SDExport'!B:B),
    _xlpm.lookupKey, IF(_xlpm.isObject="Object",
        _xlfn.XLOOKUP($A33,'EA-ConnectorExport'!A:A,'EA-ConnectorExport'!D:D),
        $Q33
    ),
    _xlpm.result, _xlfn.XLOOKUP(_xlpm.lookupKey,'EA-Fortescue_SDExport'!A:A,'EA-Fortescue_SDExport'!AD:AD),
    IF(_xlpm.result=0,"",_xlpm.result)
)</f>
        <v>855DC Decarb Green Systems</v>
      </c>
      <c r="V33" s="2" t="str">
        <f>_xlfn.LET(
    _xlpm.isObject, _xlfn.XLOOKUP($Q33,'EA-Fortescue_SDExport'!A:A,'EA-Fortescue_SDExport'!B:B),
    _xlpm.lookupKey, IF(_xlpm.isObject="Object",
        _xlfn.XLOOKUP($A33,'EA-ConnectorExport'!A:A,'EA-ConnectorExport'!D:D),
        $Q33
    ),
    _xlpm.result, _xlfn.XLOOKUP(_xlpm.lookupKey,'EA-Fortescue_SDExport'!A:A,'EA-Fortescue_SDExport'!AE:AE),
    IF(_xlpm.result=0,"",_xlpm.result)
)</f>
        <v>855DC-1543 Existing Systems - Green Enhancement</v>
      </c>
      <c r="W33" s="2" t="str">
        <f>_xlfn.LET(
    _xlpm.isObject, _xlfn.XLOOKUP($Q33,'EA-Fortescue_SDExport'!A:A,'EA-Fortescue_SDExport'!B:B),
    _xlpm.lookupKey, IF(_xlpm.isObject="Object",
        _xlfn.XLOOKUP($A33,'EA-ConnectorExport'!A:A,'EA-ConnectorExport'!D:D),
        $Q33
    ),
    _xlpm.result, _xlfn.XLOOKUP(_xlpm.lookupKey,'EA-Fortescue_SDExport'!A:A,'EA-Fortescue_SDExport'!AF:AF),
    IF(_xlpm.result=0,"",_xlpm.result)
)</f>
        <v>855DC-1543-008 Monarch</v>
      </c>
      <c r="X33" s="2" t="str">
        <f>_xlfn.LET(
    _xlpm.isObject, _xlfn.XLOOKUP($Q33,'EA-Fortescue_SDExport'!A:A,'EA-Fortescue_SDExport'!B:B),
    _xlpm.lookupKey, IF(_xlpm.isObject="Object",
        _xlfn.XLOOKUP($A33,'EA-ConnectorExport'!A:A,'EA-ConnectorExport'!D:D),
        $Q33
    ),
    _xlpm.result, _xlfn.XLOOKUP(_xlpm.lookupKey,'EA-Fortescue_SDExport'!A:A,'EA-Fortescue_SDExport'!AG:AG),
    IF(_xlpm.result=0,"",_xlpm.result)
)</f>
        <v/>
      </c>
      <c r="Y33" s="2" t="str">
        <f>_xlfn.LET(
    _xlpm.status, _xlfn.XLOOKUP($A33,'EA-ConnectorExport'!$A:$A,'EA-ConnectorExport'!G:G),
    _xlpm.result, _xlfn.XLOOKUP($A33,'EA-ConnectorExport'!$A:$A,'EA-ConnectorExport'!H:H),
    IF(_xlpm.status="allocate", _xlpm.result, "")
)</f>
        <v>855DC-1542-CSM Charge Station Management System (CSMS)</v>
      </c>
      <c r="Z33" s="2" t="str">
        <f>_xlfn.LET(
    _xlpm.isObject, _xlfn.XLOOKUP($Y33,'EA-Fortescue_SDExport'!A:A,'EA-Fortescue_SDExport'!B:B),
    _xlpm.lookupKey, IF(_xlpm.isObject="Object",
        _xlfn.XLOOKUP($A33,'EA-ConnectorExport'!A:A,'EA-ConnectorExport'!J:J),
        $Y33
    ),
    _xlpm.result, _xlfn.XLOOKUP(_xlpm.lookupKey,'EA-Fortescue_SDExport'!A:A,'EA-Fortescue_SDExport'!AA:AA),
    IF(_xlpm.result=0,"",_xlpm.result)
)</f>
        <v>Project</v>
      </c>
      <c r="AA33" s="2" t="str">
        <f>_xlfn.LET(_xlpm.result, _xlfn.XLOOKUP($Y33,'EA-Fortescue_SDExport'!$A:$A,'EA-Fortescue_SDExport'!AB:AB), IF(_xlpm.result=0,"",_xlpm.result))</f>
        <v>Sam Hedgcock</v>
      </c>
      <c r="AB33" s="2" t="str">
        <f>_xlfn.LET(_xlpm.result, _xlfn.XLOOKUP($Y33,'EA-Fortescue_SDExport'!$A:$A,'EA-Fortescue_SDExport'!AC:AC), IF(_xlpm.result=0,"",_xlpm.result))</f>
        <v/>
      </c>
      <c r="AC33" s="2" t="str">
        <f>_xlfn.LET(
    _xlpm.isObject, _xlfn.XLOOKUP($Y33,'EA-Fortescue_SDExport'!A:A,'EA-Fortescue_SDExport'!B:B),
    _xlpm.lookupKey, IF(_xlpm.isObject="Object",
        _xlfn.XLOOKUP($A33,'EA-ConnectorExport'!A:A,'EA-ConnectorExport'!J:J),
        $Y33
    ),
    _xlpm.result, _xlfn.XLOOKUP(_xlpm.lookupKey,'EA-Fortescue_SDExport'!A:A,'EA-Fortescue_SDExport'!AD:AD),
    IF(_xlpm.result=0,"",_xlpm.result)
)</f>
        <v>855DC Decarb Green Systems</v>
      </c>
      <c r="AD33" s="2" t="str">
        <f>_xlfn.LET(
    _xlpm.isObject, _xlfn.XLOOKUP($Y33,'EA-Fortescue_SDExport'!A:A,'EA-Fortescue_SDExport'!B:B),
    _xlpm.lookupKey, IF(_xlpm.isObject="Object",
        _xlfn.XLOOKUP($A33,'EA-ConnectorExport'!A:A,'EA-ConnectorExport'!J:J),
        $Y33
    ),
    _xlpm.result, _xlfn.XLOOKUP(_xlpm.lookupKey,'EA-Fortescue_SDExport'!A:A,'EA-Fortescue_SDExport'!AE:AE),
    IF(_xlpm.result=0,"",_xlpm.result)
)</f>
        <v>855DC-1542 Control &amp; Monitoring Systems</v>
      </c>
      <c r="AE33" s="2" t="str">
        <f>_xlfn.LET(
    _xlpm.isObject, _xlfn.XLOOKUP($Y33,'EA-Fortescue_SDExport'!A:A,'EA-Fortescue_SDExport'!B:B),
    _xlpm.lookupKey, IF(_xlpm.isObject="Object",
        _xlfn.XLOOKUP($A33,'EA-ConnectorExport'!A:A,'EA-ConnectorExport'!J:J),
        $Y33
    ),
    _xlpm.result, _xlfn.XLOOKUP(_xlpm.lookupKey,'EA-Fortescue_SDExport'!A:A,'EA-Fortescue_SDExport'!AF:AF),
    IF(_xlpm.result=0,"",_xlpm.result)
)</f>
        <v>855DC-1542-CSM Charge Station Management System (CSMS)</v>
      </c>
      <c r="AF33" s="2" t="str">
        <f>_xlfn.LET(
    _xlpm.isObject, _xlfn.XLOOKUP($Y33,'EA-Fortescue_SDExport'!A:A,'EA-Fortescue_SDExport'!B:B),
    _xlpm.lookupKey, IF(_xlpm.isObject="Object",
        _xlfn.XLOOKUP($A33,'EA-ConnectorExport'!A:A,'EA-ConnectorExport'!J:J),
        $Y33
    ),
    _xlpm.result, _xlfn.XLOOKUP(_xlpm.lookupKey,'EA-Fortescue_SDExport'!A:A,'EA-Fortescue_SDExport'!AG:AG),
    IF(_xlpm.result=0,"",_xlpm.result)
)</f>
        <v/>
      </c>
    </row>
    <row r="34" spans="1:32" ht="255" x14ac:dyDescent="0.25">
      <c r="A34" s="2" t="str">
        <v>DGS-I_0033</v>
      </c>
      <c r="B34" s="2" t="str">
        <f t="shared" si="0"/>
        <v>855DC-1542-LMS Load Management System (LMS)|855DC-1542-CSM Charge Station Management System (CSMS)</v>
      </c>
      <c r="C34" s="2" t="str">
        <f>_xlfn.LET(_xlpm.result, _xlfn.XLOOKUP(A34,'EA-Fortescue_SDExport'!A:A,'EA-Fortescue_SDExport'!AM:AM), IF(_xlpm.result=0,"",_xlpm.result))</f>
        <v>Sam Hedgcock</v>
      </c>
      <c r="D34" s="2" t="str">
        <f>_xlfn.LET(_xlpm.result, _xlfn.XLOOKUP(A34,'EA-Fortescue_SDExport'!A:A,'EA-Fortescue_SDExport'!AN:AN), IF(_xlpm.result=0,"",_xlpm.result))</f>
        <v>Glen Carruthers</v>
      </c>
      <c r="E34" s="2" t="str">
        <f>_xlfn.XLOOKUP(R34&amp;Z34,Lookups!A:A,Lookups!B:B)</f>
        <v>Project - Project Interface</v>
      </c>
      <c r="F34" s="2" t="str">
        <f>_xlfn.LET(_xlpm.result, _xlfn.XLOOKUP(A34,'EA-Fortescue_SDExport'!A:A,'EA-Fortescue_SDExport'!AP:AP), IF(_xlpm.result=0,"",_xlpm.result))</f>
        <v>Technical-Data/Software</v>
      </c>
      <c r="G34" s="2" t="str">
        <f>IF(OR(AND(T34&lt;&gt;"", COUNTIF(Lookups!J:J, "*"&amp;T34&amp;"*")&gt;0), AND(AB34&lt;&gt;"", COUNTIF(Lookups!J:J, "*"&amp;AB34&amp;"*")&gt;0)), "Yes", "No")</f>
        <v>No</v>
      </c>
      <c r="H34" s="2" t="str">
        <f t="shared" si="1"/>
        <v>855DC Decarb Green Systems|855DC Decarb Green Systems</v>
      </c>
      <c r="I34" s="2" t="str">
        <f t="shared" si="2"/>
        <v>855DC-1542 Control &amp; Monitoring Systems|855DC-1542 Control &amp; Monitoring Systems</v>
      </c>
      <c r="J34" s="2" t="str">
        <f t="shared" si="3"/>
        <v>855DC-1542-LMS Load Management System (LMS)|855DC-1542-CSM Charge Station Management System (CSMS)</v>
      </c>
      <c r="K34" s="2" t="str">
        <f>_xlfn.XLOOKUP(A34,'EA-Fortescue_SDExport'!A:A,'EA-Fortescue_SDExport'!N:N)</f>
        <v>Simplified Interface</v>
      </c>
      <c r="L34" s="2" t="str">
        <f>_xlfn.LET(_xlpm.result, _xlfn.XLOOKUP($A34,'EA-Fortescue_SDExport'!$A:$A,'EA-Fortescue_SDExport'!AQ:AQ), IF(_xlpm.result=0,"",_xlpm.result))</f>
        <v>Load Management System - PLC-Controlled Integration with vCharm Vector (Charging Station Management System)_x000D_
The purpose of this interface is to allow the load management system to use PLCs to control and coordinate electrical loads on site, ensuring safe and efficient distribution of available power. This system integrates with the vCharm Vector Charging Station Management System to manage EV and equipment charging demand, balancing charging schedules with real-time site load conditions and operational priorities._x000D_
Intermediate Elements: PLCs, Load Management System, and vCharm Vector Charging Station Management System.</v>
      </c>
      <c r="M34" s="2" t="str">
        <f>_xlfn.LET(_xlpm.result, _xlfn.XLOOKUP($A34,'EA-Fortescue_SDExport'!$A:$A,'EA-Fortescue_SDExport'!AR:AR), IF(_xlpm.result=0,"",_xlpm.result))</f>
        <v>HIGH</v>
      </c>
      <c r="N34" s="2" t="str">
        <f>_xlfn.LET(_xlpm.result, _xlfn.XLOOKUP($A34,'EA-Fortescue_SDExport'!$A:$A,'EA-Fortescue_SDExport'!AW:AW), IF(_xlpm.result=0,"",_xlpm.result))</f>
        <v>The criticality level is HIGH because accurate coordination between PLC-controlled loads and the charging management system is essential for avoiding overloads and maintaining power stability. Failure risks production delays by disrupting vehicle charging when required for operations.</v>
      </c>
      <c r="O34" s="2" t="str">
        <f>_xlfn.LET(_xlpm.result, _xlfn.XLOOKUP($A34,'EA-Fortescue_SDExport'!$A:$A,'EA-Fortescue_SDExport'!AV:AV), IF(_xlpm.result=0,"",_xlpm.result))</f>
        <v>PLCs (load controllers) -&gt; Load Management System -&gt; vCharm Vector (charging management) -&gt; Operational systems.</v>
      </c>
      <c r="P34" s="2" t="str">
        <f>_xlfn.LET(_xlpm.result, _xlfn.XLOOKUP($A34,'EA-Fortescue_SDExport'!$A:$A,'EA-Fortescue_SDExport'!D:D), IF(_xlpm.result=0,"",_xlpm.result))</f>
        <v>LMS Review 30/10/2025: Modbus TCP._x000D_
Fault data, CSMS Requesting Power, LMS Sending response (Power can be switched on). Commands from LMS to clear the devices that are requesting Power. Clear Faults. WatchDog Data.</v>
      </c>
      <c r="Q34" s="2" t="str">
        <f>_xlfn.LET(
    _xlpm.status, _xlfn.XLOOKUP($A34,'EA-ConnectorExport'!$A:$A,'EA-ConnectorExport'!G:G),
    _xlpm.result, _xlfn.XLOOKUP($A34,'EA-ConnectorExport'!$A:$A,'EA-ConnectorExport'!B:B),
    IF(_xlpm.status="allocate", _xlpm.result, "")
)</f>
        <v>855DC-1542-LMS Load Management System (LMS)</v>
      </c>
      <c r="R34" s="2" t="str">
        <f>IF(
    _xlfn.XLOOKUP($Q34,'EA-Fortescue_SDExport'!A:A,'EA-Fortescue_SDExport'!B:B)="Object",
    _xlfn.XLOOKUP(
        _xlfn.XLOOKUP($A34,'EA-ConnectorExport'!A:A,'EA-ConnectorExport'!D:D),
        'EA-Fortescue_SDExport'!A:A,
        'EA-Fortescue_SDExport'!AA:AA
    ),
    _xlfn.XLOOKUP($Q34,'EA-Fortescue_SDExport'!A:A,'EA-Fortescue_SDExport'!AA:AA)
)</f>
        <v>Project</v>
      </c>
      <c r="S34" s="2" t="str">
        <f>_xlfn.LET(_xlpm.result, _xlfn.XLOOKUP($Q34,'EA-Fortescue_SDExport'!$A:$A,'EA-Fortescue_SDExport'!AB:AB), IF(_xlpm.result=0,"",_xlpm.result))</f>
        <v>Mine Services</v>
      </c>
      <c r="T34" s="2" t="str">
        <f>_xlfn.LET(_xlpm.result, _xlfn.XLOOKUP($Q34,'EA-Fortescue_SDExport'!$A:$A,'EA-Fortescue_SDExport'!AC:AC), IF(_xlpm.result=0,"",_xlpm.result))</f>
        <v/>
      </c>
      <c r="U34" s="2" t="str">
        <f>_xlfn.LET(
    _xlpm.isObject, _xlfn.XLOOKUP($Q34,'EA-Fortescue_SDExport'!A:A,'EA-Fortescue_SDExport'!B:B),
    _xlpm.lookupKey, IF(_xlpm.isObject="Object",
        _xlfn.XLOOKUP($A34,'EA-ConnectorExport'!A:A,'EA-ConnectorExport'!D:D),
        $Q34
    ),
    _xlpm.result, _xlfn.XLOOKUP(_xlpm.lookupKey,'EA-Fortescue_SDExport'!A:A,'EA-Fortescue_SDExport'!AD:AD),
    IF(_xlpm.result=0,"",_xlpm.result)
)</f>
        <v>855DC Decarb Green Systems</v>
      </c>
      <c r="V34" s="2" t="str">
        <f>_xlfn.LET(
    _xlpm.isObject, _xlfn.XLOOKUP($Q34,'EA-Fortescue_SDExport'!A:A,'EA-Fortescue_SDExport'!B:B),
    _xlpm.lookupKey, IF(_xlpm.isObject="Object",
        _xlfn.XLOOKUP($A34,'EA-ConnectorExport'!A:A,'EA-ConnectorExport'!D:D),
        $Q34
    ),
    _xlpm.result, _xlfn.XLOOKUP(_xlpm.lookupKey,'EA-Fortescue_SDExport'!A:A,'EA-Fortescue_SDExport'!AE:AE),
    IF(_xlpm.result=0,"",_xlpm.result)
)</f>
        <v>855DC-1542 Control &amp; Monitoring Systems</v>
      </c>
      <c r="W34" s="2" t="str">
        <f>_xlfn.LET(
    _xlpm.isObject, _xlfn.XLOOKUP($Q34,'EA-Fortescue_SDExport'!A:A,'EA-Fortescue_SDExport'!B:B),
    _xlpm.lookupKey, IF(_xlpm.isObject="Object",
        _xlfn.XLOOKUP($A34,'EA-ConnectorExport'!A:A,'EA-ConnectorExport'!D:D),
        $Q34
    ),
    _xlpm.result, _xlfn.XLOOKUP(_xlpm.lookupKey,'EA-Fortescue_SDExport'!A:A,'EA-Fortescue_SDExport'!AF:AF),
    IF(_xlpm.result=0,"",_xlpm.result)
)</f>
        <v>855DC-1542-LMS Load Management System (LMS)</v>
      </c>
      <c r="X34" s="2" t="str">
        <f>_xlfn.LET(
    _xlpm.isObject, _xlfn.XLOOKUP($Q34,'EA-Fortescue_SDExport'!A:A,'EA-Fortescue_SDExport'!B:B),
    _xlpm.lookupKey, IF(_xlpm.isObject="Object",
        _xlfn.XLOOKUP($A34,'EA-ConnectorExport'!A:A,'EA-ConnectorExport'!D:D),
        $Q34
    ),
    _xlpm.result, _xlfn.XLOOKUP(_xlpm.lookupKey,'EA-Fortescue_SDExport'!A:A,'EA-Fortescue_SDExport'!AG:AG),
    IF(_xlpm.result=0,"",_xlpm.result)
)</f>
        <v/>
      </c>
      <c r="Y34" s="2" t="str">
        <f>_xlfn.LET(
    _xlpm.status, _xlfn.XLOOKUP($A34,'EA-ConnectorExport'!$A:$A,'EA-ConnectorExport'!G:G),
    _xlpm.result, _xlfn.XLOOKUP($A34,'EA-ConnectorExport'!$A:$A,'EA-ConnectorExport'!H:H),
    IF(_xlpm.status="allocate", _xlpm.result, "")
)</f>
        <v>855DC-1542-CSM Charge Station Management System (CSMS)</v>
      </c>
      <c r="Z34" s="2" t="str">
        <f>_xlfn.LET(
    _xlpm.isObject, _xlfn.XLOOKUP($Y34,'EA-Fortescue_SDExport'!A:A,'EA-Fortescue_SDExport'!B:B),
    _xlpm.lookupKey, IF(_xlpm.isObject="Object",
        _xlfn.XLOOKUP($A34,'EA-ConnectorExport'!A:A,'EA-ConnectorExport'!J:J),
        $Y34
    ),
    _xlpm.result, _xlfn.XLOOKUP(_xlpm.lookupKey,'EA-Fortescue_SDExport'!A:A,'EA-Fortescue_SDExport'!AA:AA),
    IF(_xlpm.result=0,"",_xlpm.result)
)</f>
        <v>Project</v>
      </c>
      <c r="AA34" s="2" t="str">
        <f>_xlfn.LET(_xlpm.result, _xlfn.XLOOKUP($Y34,'EA-Fortescue_SDExport'!$A:$A,'EA-Fortescue_SDExport'!AB:AB), IF(_xlpm.result=0,"",_xlpm.result))</f>
        <v>Sam Hedgcock</v>
      </c>
      <c r="AB34" s="2" t="str">
        <f>_xlfn.LET(_xlpm.result, _xlfn.XLOOKUP($Y34,'EA-Fortescue_SDExport'!$A:$A,'EA-Fortescue_SDExport'!AC:AC), IF(_xlpm.result=0,"",_xlpm.result))</f>
        <v/>
      </c>
      <c r="AC34" s="2" t="str">
        <f>_xlfn.LET(
    _xlpm.isObject, _xlfn.XLOOKUP($Y34,'EA-Fortescue_SDExport'!A:A,'EA-Fortescue_SDExport'!B:B),
    _xlpm.lookupKey, IF(_xlpm.isObject="Object",
        _xlfn.XLOOKUP($A34,'EA-ConnectorExport'!A:A,'EA-ConnectorExport'!J:J),
        $Y34
    ),
    _xlpm.result, _xlfn.XLOOKUP(_xlpm.lookupKey,'EA-Fortescue_SDExport'!A:A,'EA-Fortescue_SDExport'!AD:AD),
    IF(_xlpm.result=0,"",_xlpm.result)
)</f>
        <v>855DC Decarb Green Systems</v>
      </c>
      <c r="AD34" s="2" t="str">
        <f>_xlfn.LET(
    _xlpm.isObject, _xlfn.XLOOKUP($Y34,'EA-Fortescue_SDExport'!A:A,'EA-Fortescue_SDExport'!B:B),
    _xlpm.lookupKey, IF(_xlpm.isObject="Object",
        _xlfn.XLOOKUP($A34,'EA-ConnectorExport'!A:A,'EA-ConnectorExport'!J:J),
        $Y34
    ),
    _xlpm.result, _xlfn.XLOOKUP(_xlpm.lookupKey,'EA-Fortescue_SDExport'!A:A,'EA-Fortescue_SDExport'!AE:AE),
    IF(_xlpm.result=0,"",_xlpm.result)
)</f>
        <v>855DC-1542 Control &amp; Monitoring Systems</v>
      </c>
      <c r="AE34" s="2" t="str">
        <f>_xlfn.LET(
    _xlpm.isObject, _xlfn.XLOOKUP($Y34,'EA-Fortescue_SDExport'!A:A,'EA-Fortescue_SDExport'!B:B),
    _xlpm.lookupKey, IF(_xlpm.isObject="Object",
        _xlfn.XLOOKUP($A34,'EA-ConnectorExport'!A:A,'EA-ConnectorExport'!J:J),
        $Y34
    ),
    _xlpm.result, _xlfn.XLOOKUP(_xlpm.lookupKey,'EA-Fortescue_SDExport'!A:A,'EA-Fortescue_SDExport'!AF:AF),
    IF(_xlpm.result=0,"",_xlpm.result)
)</f>
        <v>855DC-1542-CSM Charge Station Management System (CSMS)</v>
      </c>
      <c r="AF34" s="2" t="str">
        <f>_xlfn.LET(
    _xlpm.isObject, _xlfn.XLOOKUP($Y34,'EA-Fortescue_SDExport'!A:A,'EA-Fortescue_SDExport'!B:B),
    _xlpm.lookupKey, IF(_xlpm.isObject="Object",
        _xlfn.XLOOKUP($A34,'EA-ConnectorExport'!A:A,'EA-ConnectorExport'!J:J),
        $Y34
    ),
    _xlpm.result, _xlfn.XLOOKUP(_xlpm.lookupKey,'EA-Fortescue_SDExport'!A:A,'EA-Fortescue_SDExport'!AG:AG),
    IF(_xlpm.result=0,"",_xlpm.result)
)</f>
        <v/>
      </c>
    </row>
    <row r="35" spans="1:32" ht="255" x14ac:dyDescent="0.25">
      <c r="A35" s="2" t="str">
        <v>DGS-I_0034</v>
      </c>
      <c r="B35" s="2" t="str">
        <f t="shared" si="0"/>
        <v>855DC-1542-LMS Load Management System (LMS)|855DC-1542-008 Mine Electrification SCADA</v>
      </c>
      <c r="C35" s="2" t="str">
        <f>_xlfn.LET(_xlpm.result, _xlfn.XLOOKUP(A35,'EA-Fortescue_SDExport'!A:A,'EA-Fortescue_SDExport'!AM:AM), IF(_xlpm.result=0,"",_xlpm.result))</f>
        <v>Sam Hedgcock</v>
      </c>
      <c r="D35" s="2" t="str">
        <f>_xlfn.LET(_xlpm.result, _xlfn.XLOOKUP(A35,'EA-Fortescue_SDExport'!A:A,'EA-Fortescue_SDExport'!AN:AN), IF(_xlpm.result=0,"",_xlpm.result))</f>
        <v>Glen Carruthers</v>
      </c>
      <c r="E35" s="2" t="str">
        <f>_xlfn.XLOOKUP(R35&amp;Z35,Lookups!A:A,Lookups!B:B)</f>
        <v>Project - Project Interface</v>
      </c>
      <c r="F35" s="2" t="str">
        <f>_xlfn.LET(_xlpm.result, _xlfn.XLOOKUP(A35,'EA-Fortescue_SDExport'!A:A,'EA-Fortescue_SDExport'!AP:AP), IF(_xlpm.result=0,"",_xlpm.result))</f>
        <v>Technical-Data/Software</v>
      </c>
      <c r="G35" s="2" t="str">
        <f>IF(OR(AND(T35&lt;&gt;"", COUNTIF(Lookups!J:J, "*"&amp;T35&amp;"*")&gt;0), AND(AB35&lt;&gt;"", COUNTIF(Lookups!J:J, "*"&amp;AB35&amp;"*")&gt;0)), "Yes", "No")</f>
        <v>No</v>
      </c>
      <c r="H35" s="2" t="str">
        <f t="shared" si="1"/>
        <v>855DC Decarb Green Systems|855DC Decarb Green Systems</v>
      </c>
      <c r="I35" s="2" t="str">
        <f t="shared" si="2"/>
        <v>855DC-1542 Control &amp; Monitoring Systems|855DC-1542 Control &amp; Monitoring Systems</v>
      </c>
      <c r="J35" s="2" t="str">
        <f t="shared" si="3"/>
        <v>855DC-1542-LMS Load Management System (LMS)|855DC-1542-008 Mine Electrification SCADA</v>
      </c>
      <c r="K35" s="2" t="str">
        <f>_xlfn.XLOOKUP(A35,'EA-Fortescue_SDExport'!A:A,'EA-Fortescue_SDExport'!N:N)</f>
        <v>Proposed</v>
      </c>
      <c r="L35" s="2" t="str">
        <f>_xlfn.LET(_xlpm.result, _xlfn.XLOOKUP($A35,'EA-Fortescue_SDExport'!$A:$A,'EA-Fortescue_SDExport'!AQ:AQ), IF(_xlpm.result=0,"",_xlpm.result))</f>
        <v>The purpose of this interface is to allow the Load Management System (LMS) to coordinate site electrical loads to maintain system stability and ensure power is distributed safely and efficiently. LMS achieves this by integrating with the Mine Electrification SCADA system (Ignition SCADA) to receive real-time electrical status, breaker positions, load measurements, and network health, enabling it to make informed decisions on shedding, prioritising, or restoring loads across the electrified mine</v>
      </c>
      <c r="M35" s="2" t="str">
        <f>_xlfn.LET(_xlpm.result, _xlfn.XLOOKUP($A35,'EA-Fortescue_SDExport'!$A:$A,'EA-Fortescue_SDExport'!AR:AR), IF(_xlpm.result=0,"",_xlpm.result))</f>
        <v>HIGH</v>
      </c>
      <c r="N35" s="2" t="str">
        <f>_xlfn.LET(_xlpm.result, _xlfn.XLOOKUP($A35,'EA-Fortescue_SDExport'!$A:$A,'EA-Fortescue_SDExport'!AW:AW), IF(_xlpm.result=0,"",_xlpm.result))</f>
        <v>The criticality level is HIGH because reliable integration between LMS and Ignition SCADA is essential for safe mine operations and preventing overloads. Failure compromises the ability to ensure critical loads remain energised and stable.</v>
      </c>
      <c r="O35" s="2" t="str">
        <f>_xlfn.LET(_xlpm.result, _xlfn.XLOOKUP($A35,'EA-Fortescue_SDExport'!$A:$A,'EA-Fortescue_SDExport'!AV:AV), IF(_xlpm.result=0,"",_xlpm.result))</f>
        <v>Ignition SCADA (real-time electrical data) -&gt;LMS (load optimisation &amp; control logic) -&gt; PLCs / site electrical equipment.</v>
      </c>
      <c r="P35" s="2" t="str">
        <f>_xlfn.LET(_xlpm.result, _xlfn.XLOOKUP($A35,'EA-Fortescue_SDExport'!$A:$A,'EA-Fortescue_SDExport'!D:D), IF(_xlpm.result=0,"",_xlpm.result))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v>
      </c>
      <c r="Q35" s="2" t="str">
        <f>_xlfn.LET(
    _xlpm.status, _xlfn.XLOOKUP($A35,'EA-ConnectorExport'!$A:$A,'EA-ConnectorExport'!G:G),
    _xlpm.result, _xlfn.XLOOKUP($A35,'EA-ConnectorExport'!$A:$A,'EA-ConnectorExport'!B:B),
    IF(_xlpm.status="allocate", _xlpm.result, "")
)</f>
        <v>855DC-1542-LMS Load Management System (LMS)</v>
      </c>
      <c r="R35" s="2" t="str">
        <f>IF(
    _xlfn.XLOOKUP($Q35,'EA-Fortescue_SDExport'!A:A,'EA-Fortescue_SDExport'!B:B)="Object",
    _xlfn.XLOOKUP(
        _xlfn.XLOOKUP($A35,'EA-ConnectorExport'!A:A,'EA-ConnectorExport'!D:D),
        'EA-Fortescue_SDExport'!A:A,
        'EA-Fortescue_SDExport'!AA:AA
    ),
    _xlfn.XLOOKUP($Q35,'EA-Fortescue_SDExport'!A:A,'EA-Fortescue_SDExport'!AA:AA)
)</f>
        <v>Project</v>
      </c>
      <c r="S35" s="2" t="str">
        <f>_xlfn.LET(_xlpm.result, _xlfn.XLOOKUP($Q35,'EA-Fortescue_SDExport'!$A:$A,'EA-Fortescue_SDExport'!AB:AB), IF(_xlpm.result=0,"",_xlpm.result))</f>
        <v>Mine Services</v>
      </c>
      <c r="T35" s="2" t="str">
        <f>_xlfn.LET(_xlpm.result, _xlfn.XLOOKUP($Q35,'EA-Fortescue_SDExport'!$A:$A,'EA-Fortescue_SDExport'!AC:AC), IF(_xlpm.result=0,"",_xlpm.result))</f>
        <v/>
      </c>
      <c r="U35" s="2" t="str">
        <f>_xlfn.LET(
    _xlpm.isObject, _xlfn.XLOOKUP($Q35,'EA-Fortescue_SDExport'!A:A,'EA-Fortescue_SDExport'!B:B),
    _xlpm.lookupKey, IF(_xlpm.isObject="Object",
        _xlfn.XLOOKUP($A35,'EA-ConnectorExport'!A:A,'EA-ConnectorExport'!D:D),
        $Q35
    ),
    _xlpm.result, _xlfn.XLOOKUP(_xlpm.lookupKey,'EA-Fortescue_SDExport'!A:A,'EA-Fortescue_SDExport'!AD:AD),
    IF(_xlpm.result=0,"",_xlpm.result)
)</f>
        <v>855DC Decarb Green Systems</v>
      </c>
      <c r="V35" s="2" t="str">
        <f>_xlfn.LET(
    _xlpm.isObject, _xlfn.XLOOKUP($Q35,'EA-Fortescue_SDExport'!A:A,'EA-Fortescue_SDExport'!B:B),
    _xlpm.lookupKey, IF(_xlpm.isObject="Object",
        _xlfn.XLOOKUP($A35,'EA-ConnectorExport'!A:A,'EA-ConnectorExport'!D:D),
        $Q35
    ),
    _xlpm.result, _xlfn.XLOOKUP(_xlpm.lookupKey,'EA-Fortescue_SDExport'!A:A,'EA-Fortescue_SDExport'!AE:AE),
    IF(_xlpm.result=0,"",_xlpm.result)
)</f>
        <v>855DC-1542 Control &amp; Monitoring Systems</v>
      </c>
      <c r="W35" s="2" t="str">
        <f>_xlfn.LET(
    _xlpm.isObject, _xlfn.XLOOKUP($Q35,'EA-Fortescue_SDExport'!A:A,'EA-Fortescue_SDExport'!B:B),
    _xlpm.lookupKey, IF(_xlpm.isObject="Object",
        _xlfn.XLOOKUP($A35,'EA-ConnectorExport'!A:A,'EA-ConnectorExport'!D:D),
        $Q35
    ),
    _xlpm.result, _xlfn.XLOOKUP(_xlpm.lookupKey,'EA-Fortescue_SDExport'!A:A,'EA-Fortescue_SDExport'!AF:AF),
    IF(_xlpm.result=0,"",_xlpm.result)
)</f>
        <v>855DC-1542-LMS Load Management System (LMS)</v>
      </c>
      <c r="X35" s="2" t="str">
        <f>_xlfn.LET(
    _xlpm.isObject, _xlfn.XLOOKUP($Q35,'EA-Fortescue_SDExport'!A:A,'EA-Fortescue_SDExport'!B:B),
    _xlpm.lookupKey, IF(_xlpm.isObject="Object",
        _xlfn.XLOOKUP($A35,'EA-ConnectorExport'!A:A,'EA-ConnectorExport'!D:D),
        $Q35
    ),
    _xlpm.result, _xlfn.XLOOKUP(_xlpm.lookupKey,'EA-Fortescue_SDExport'!A:A,'EA-Fortescue_SDExport'!AG:AG),
    IF(_xlpm.result=0,"",_xlpm.result)
)</f>
        <v/>
      </c>
      <c r="Y35" s="2" t="str">
        <f>_xlfn.LET(
    _xlpm.status, _xlfn.XLOOKUP($A35,'EA-ConnectorExport'!$A:$A,'EA-ConnectorExport'!G:G),
    _xlpm.result, _xlfn.XLOOKUP($A35,'EA-ConnectorExport'!$A:$A,'EA-ConnectorExport'!H:H),
    IF(_xlpm.status="allocate", _xlpm.result, "")
)</f>
        <v>855DC-1542-008 Mine Electrification SCADA</v>
      </c>
      <c r="Z35" s="2" t="str">
        <f>_xlfn.LET(
    _xlpm.isObject, _xlfn.XLOOKUP($Y35,'EA-Fortescue_SDExport'!A:A,'EA-Fortescue_SDExport'!B:B),
    _xlpm.lookupKey, IF(_xlpm.isObject="Object",
        _xlfn.XLOOKUP($A35,'EA-ConnectorExport'!A:A,'EA-ConnectorExport'!J:J),
        $Y35
    ),
    _xlpm.result, _xlfn.XLOOKUP(_xlpm.lookupKey,'EA-Fortescue_SDExport'!A:A,'EA-Fortescue_SDExport'!AA:AA),
    IF(_xlpm.result=0,"",_xlpm.result)
)</f>
        <v>Project</v>
      </c>
      <c r="AA35" s="2" t="str">
        <f>_xlfn.LET(_xlpm.result, _xlfn.XLOOKUP($Y35,'EA-Fortescue_SDExport'!$A:$A,'EA-Fortescue_SDExport'!AB:AB), IF(_xlpm.result=0,"",_xlpm.result))</f>
        <v>Mine Services</v>
      </c>
      <c r="AB35" s="2" t="str">
        <f>_xlfn.LET(_xlpm.result, _xlfn.XLOOKUP($Y35,'EA-Fortescue_SDExport'!$A:$A,'EA-Fortescue_SDExport'!AC:AC), IF(_xlpm.result=0,"",_xlpm.result))</f>
        <v/>
      </c>
      <c r="AC35" s="2" t="str">
        <f>_xlfn.LET(
    _xlpm.isObject, _xlfn.XLOOKUP($Y35,'EA-Fortescue_SDExport'!A:A,'EA-Fortescue_SDExport'!B:B),
    _xlpm.lookupKey, IF(_xlpm.isObject="Object",
        _xlfn.XLOOKUP($A35,'EA-ConnectorExport'!A:A,'EA-ConnectorExport'!J:J),
        $Y35
    ),
    _xlpm.result, _xlfn.XLOOKUP(_xlpm.lookupKey,'EA-Fortescue_SDExport'!A:A,'EA-Fortescue_SDExport'!AD:AD),
    IF(_xlpm.result=0,"",_xlpm.result)
)</f>
        <v>855DC Decarb Green Systems</v>
      </c>
      <c r="AD35" s="2" t="str">
        <f>_xlfn.LET(
    _xlpm.isObject, _xlfn.XLOOKUP($Y35,'EA-Fortescue_SDExport'!A:A,'EA-Fortescue_SDExport'!B:B),
    _xlpm.lookupKey, IF(_xlpm.isObject="Object",
        _xlfn.XLOOKUP($A35,'EA-ConnectorExport'!A:A,'EA-ConnectorExport'!J:J),
        $Y35
    ),
    _xlpm.result, _xlfn.XLOOKUP(_xlpm.lookupKey,'EA-Fortescue_SDExport'!A:A,'EA-Fortescue_SDExport'!AE:AE),
    IF(_xlpm.result=0,"",_xlpm.result)
)</f>
        <v>855DC-1542 Control &amp; Monitoring Systems</v>
      </c>
      <c r="AE35" s="2" t="str">
        <f>_xlfn.LET(
    _xlpm.isObject, _xlfn.XLOOKUP($Y35,'EA-Fortescue_SDExport'!A:A,'EA-Fortescue_SDExport'!B:B),
    _xlpm.lookupKey, IF(_xlpm.isObject="Object",
        _xlfn.XLOOKUP($A35,'EA-ConnectorExport'!A:A,'EA-ConnectorExport'!J:J),
        $Y35
    ),
    _xlpm.result, _xlfn.XLOOKUP(_xlpm.lookupKey,'EA-Fortescue_SDExport'!A:A,'EA-Fortescue_SDExport'!AF:AF),
    IF(_xlpm.result=0,"",_xlpm.result)
)</f>
        <v>855DC-1542-008 Mine Electrification SCADA</v>
      </c>
      <c r="AF35" s="2" t="str">
        <f>_xlfn.LET(
    _xlpm.isObject, _xlfn.XLOOKUP($Y35,'EA-Fortescue_SDExport'!A:A,'EA-Fortescue_SDExport'!B:B),
    _xlpm.lookupKey, IF(_xlpm.isObject="Object",
        _xlfn.XLOOKUP($A35,'EA-ConnectorExport'!A:A,'EA-ConnectorExport'!J:J),
        $Y35
    ),
    _xlpm.result, _xlfn.XLOOKUP(_xlpm.lookupKey,'EA-Fortescue_SDExport'!A:A,'EA-Fortescue_SDExport'!AG:AG),
    IF(_xlpm.result=0,"",_xlpm.result)
)</f>
        <v/>
      </c>
    </row>
    <row r="36" spans="1:32" ht="75" x14ac:dyDescent="0.25">
      <c r="A36" s="2" t="str">
        <v>DGS-I_0035</v>
      </c>
      <c r="B36" s="2" t="str">
        <f t="shared" si="0"/>
        <v>854DC-5670-0001 Solar Photovoltaic (PV) Farms|Archive - 854DC-5680-- Battery Energy Storage Systems (BESS) - DC</v>
      </c>
      <c r="C36" s="2" t="str">
        <f>_xlfn.LET(_xlpm.result, _xlfn.XLOOKUP(A36,'EA-Fortescue_SDExport'!A:A,'EA-Fortescue_SDExport'!AM:AM), IF(_xlpm.result=0,"",_xlpm.result))</f>
        <v/>
      </c>
      <c r="D36" s="2" t="str">
        <f>_xlfn.LET(_xlpm.result, _xlfn.XLOOKUP(A36,'EA-Fortescue_SDExport'!A:A,'EA-Fortescue_SDExport'!AN:AN), IF(_xlpm.result=0,"",_xlpm.result))</f>
        <v/>
      </c>
      <c r="E36" s="2" t="str">
        <f>_xlfn.XLOOKUP(R36&amp;Z36,Lookups!A:A,Lookups!B:B)</f>
        <v>Project - Project Interface</v>
      </c>
      <c r="F36" s="2" t="str">
        <f>_xlfn.LET(_xlpm.result, _xlfn.XLOOKUP(A36,'EA-Fortescue_SDExport'!A:A,'EA-Fortescue_SDExport'!AP:AP), IF(_xlpm.result=0,"",_xlpm.result))</f>
        <v/>
      </c>
      <c r="G36" s="2" t="str">
        <f>IF(OR(AND(T36&lt;&gt;"", COUNTIF(Lookups!J:J, "*"&amp;T36&amp;"*")&gt;0), AND(AB36&lt;&gt;"", COUNTIF(Lookups!J:J, "*"&amp;AB36&amp;"*")&gt;0)), "Yes", "No")</f>
        <v>No</v>
      </c>
      <c r="H36" s="2" t="str">
        <f t="shared" si="1"/>
        <v>854DC Green Power|N/A</v>
      </c>
      <c r="I36" s="2" t="str">
        <f t="shared" si="2"/>
        <v>854DC-5670 Energy Generation - Solar|N/A</v>
      </c>
      <c r="J36" s="2" t="str">
        <f t="shared" si="3"/>
        <v>854DC-5670-0001 Solar Photovoltaic (PV) Farms|N/A</v>
      </c>
      <c r="K36" s="2" t="str">
        <f>_xlfn.XLOOKUP(A36,'EA-Fortescue_SDExport'!A:A,'EA-Fortescue_SDExport'!N:N)</f>
        <v>Deleted</v>
      </c>
      <c r="L36" s="2" t="str">
        <f>_xlfn.LET(_xlpm.result, _xlfn.XLOOKUP($A36,'EA-Fortescue_SDExport'!$A:$A,'EA-Fortescue_SDExport'!AQ:AQ), IF(_xlpm.result=0,"",_xlpm.result))</f>
        <v/>
      </c>
      <c r="M36" s="2" t="str">
        <f>_xlfn.LET(_xlpm.result, _xlfn.XLOOKUP($A36,'EA-Fortescue_SDExport'!$A:$A,'EA-Fortescue_SDExport'!AR:AR), IF(_xlpm.result=0,"",_xlpm.result))</f>
        <v/>
      </c>
      <c r="N36" s="2" t="str">
        <f>_xlfn.LET(_xlpm.result, _xlfn.XLOOKUP($A36,'EA-Fortescue_SDExport'!$A:$A,'EA-Fortescue_SDExport'!AW:AW), IF(_xlpm.result=0,"",_xlpm.result))</f>
        <v/>
      </c>
      <c r="O36" s="2" t="str">
        <f>_xlfn.LET(_xlpm.result, _xlfn.XLOOKUP($A36,'EA-Fortescue_SDExport'!$A:$A,'EA-Fortescue_SDExport'!AV:AV), IF(_xlpm.result=0,"",_xlpm.result))</f>
        <v/>
      </c>
      <c r="P36" s="2" t="str">
        <f>_xlfn.LET(_xlpm.result, _xlfn.XLOOKUP($A36,'EA-Fortescue_SDExport'!$A:$A,'EA-Fortescue_SDExport'!D:D), IF(_xlpm.result=0,"",_xlpm.result))</f>
        <v>SBS-WBS Mapping 02/01/2026: For simplicity of System Architecture Project level to group BESS together (no reference to AC or DC).  Battery Energy Storage Systems (BESS) - DC removed. Interface deleted.</v>
      </c>
      <c r="Q36" s="2" t="str">
        <f>_xlfn.LET(
    _xlpm.status, _xlfn.XLOOKUP($A36,'EA-ConnectorExport'!$A:$A,'EA-ConnectorExport'!G:G),
    _xlpm.result, _xlfn.XLOOKUP($A36,'EA-ConnectorExport'!$A:$A,'EA-ConnectorExport'!B:B),
    IF(_xlpm.status="allocate", _xlpm.result, "")
)</f>
        <v>854DC-5670-0001 Solar Photovoltaic (PV) Farms</v>
      </c>
      <c r="R36" s="2" t="str">
        <f>IF(
    _xlfn.XLOOKUP($Q36,'EA-Fortescue_SDExport'!A:A,'EA-Fortescue_SDExport'!B:B)="Object",
    _xlfn.XLOOKUP(
        _xlfn.XLOOKUP($A36,'EA-ConnectorExport'!A:A,'EA-ConnectorExport'!D:D),
        'EA-Fortescue_SDExport'!A:A,
        'EA-Fortescue_SDExport'!AA:AA
    ),
    _xlfn.XLOOKUP($Q36,'EA-Fortescue_SDExport'!A:A,'EA-Fortescue_SDExport'!AA:AA)
)</f>
        <v>Project</v>
      </c>
      <c r="S36" s="2" t="str">
        <f>_xlfn.LET(_xlpm.result, _xlfn.XLOOKUP($Q36,'EA-Fortescue_SDExport'!$A:$A,'EA-Fortescue_SDExport'!AB:AB), IF(_xlpm.result=0,"",_xlpm.result))</f>
        <v/>
      </c>
      <c r="T36" s="2" t="str">
        <f>_xlfn.LET(_xlpm.result, _xlfn.XLOOKUP($Q36,'EA-Fortescue_SDExport'!$A:$A,'EA-Fortescue_SDExport'!AC:AC), IF(_xlpm.result=0,"",_xlpm.result))</f>
        <v>Generic Physical Asset</v>
      </c>
      <c r="U36" s="2" t="str">
        <f>_xlfn.LET(
    _xlpm.isObject, _xlfn.XLOOKUP($Q36,'EA-Fortescue_SDExport'!A:A,'EA-Fortescue_SDExport'!B:B),
    _xlpm.lookupKey, IF(_xlpm.isObject="Object",
        _xlfn.XLOOKUP($A36,'EA-ConnectorExport'!A:A,'EA-ConnectorExport'!D:D),
        $Q36
    ),
    _xlpm.result, _xlfn.XLOOKUP(_xlpm.lookupKey,'EA-Fortescue_SDExport'!A:A,'EA-Fortescue_SDExport'!AD:AD),
    IF(_xlpm.result=0,"",_xlpm.result)
)</f>
        <v>854DC Green Power</v>
      </c>
      <c r="V36" s="2" t="str">
        <f>_xlfn.LET(
    _xlpm.isObject, _xlfn.XLOOKUP($Q36,'EA-Fortescue_SDExport'!A:A,'EA-Fortescue_SDExport'!B:B),
    _xlpm.lookupKey, IF(_xlpm.isObject="Object",
        _xlfn.XLOOKUP($A36,'EA-ConnectorExport'!A:A,'EA-ConnectorExport'!D:D),
        $Q36
    ),
    _xlpm.result, _xlfn.XLOOKUP(_xlpm.lookupKey,'EA-Fortescue_SDExport'!A:A,'EA-Fortescue_SDExport'!AE:AE),
    IF(_xlpm.result=0,"",_xlpm.result)
)</f>
        <v>854DC-5670 Energy Generation - Solar</v>
      </c>
      <c r="W36" s="2" t="str">
        <f>_xlfn.LET(
    _xlpm.isObject, _xlfn.XLOOKUP($Q36,'EA-Fortescue_SDExport'!A:A,'EA-Fortescue_SDExport'!B:B),
    _xlpm.lookupKey, IF(_xlpm.isObject="Object",
        _xlfn.XLOOKUP($A36,'EA-ConnectorExport'!A:A,'EA-ConnectorExport'!D:D),
        $Q36
    ),
    _xlpm.result, _xlfn.XLOOKUP(_xlpm.lookupKey,'EA-Fortescue_SDExport'!A:A,'EA-Fortescue_SDExport'!AF:AF),
    IF(_xlpm.result=0,"",_xlpm.result)
)</f>
        <v>854DC-5670-0001 Solar Photovoltaic (PV) Farms</v>
      </c>
      <c r="X36" s="2" t="str">
        <f>_xlfn.LET(
    _xlpm.isObject, _xlfn.XLOOKUP($Q36,'EA-Fortescue_SDExport'!A:A,'EA-Fortescue_SDExport'!B:B),
    _xlpm.lookupKey, IF(_xlpm.isObject="Object",
        _xlfn.XLOOKUP($A36,'EA-ConnectorExport'!A:A,'EA-ConnectorExport'!D:D),
        $Q36
    ),
    _xlpm.result, _xlfn.XLOOKUP(_xlpm.lookupKey,'EA-Fortescue_SDExport'!A:A,'EA-Fortescue_SDExport'!AG:AG),
    IF(_xlpm.result=0,"",_xlpm.result)
)</f>
        <v/>
      </c>
      <c r="Y36" s="2" t="str">
        <f>_xlfn.LET(
    _xlpm.status, _xlfn.XLOOKUP($A36,'EA-ConnectorExport'!$A:$A,'EA-ConnectorExport'!G:G),
    _xlpm.result, _xlfn.XLOOKUP($A36,'EA-ConnectorExport'!$A:$A,'EA-ConnectorExport'!H:H),
    IF(_xlpm.status="allocate", _xlpm.result, "")
)</f>
        <v>Archive - 854DC-5680-- Battery Energy Storage Systems (BESS) - DC</v>
      </c>
      <c r="Z36" s="2" t="str">
        <f>_xlfn.LET(
    _xlpm.isObject, _xlfn.XLOOKUP($Y36,'EA-Fortescue_SDExport'!A:A,'EA-Fortescue_SDExport'!B:B),
    _xlpm.lookupKey, IF(_xlpm.isObject="Object",
        _xlfn.XLOOKUP($A36,'EA-ConnectorExport'!A:A,'EA-ConnectorExport'!J:J),
        $Y36
    ),
    _xlpm.result, _xlfn.XLOOKUP(_xlpm.lookupKey,'EA-Fortescue_SDExport'!A:A,'EA-Fortescue_SDExport'!AA:AA),
    IF(_xlpm.result=0,"",_xlpm.result)
)</f>
        <v>Project</v>
      </c>
      <c r="AA36" s="2" t="str">
        <f>_xlfn.LET(_xlpm.result, _xlfn.XLOOKUP($Y36,'EA-Fortescue_SDExport'!$A:$A,'EA-Fortescue_SDExport'!AB:AB), IF(_xlpm.result=0,"",_xlpm.result))</f>
        <v/>
      </c>
      <c r="AB36" s="2" t="str">
        <f>_xlfn.LET(_xlpm.result, _xlfn.XLOOKUP($Y36,'EA-Fortescue_SDExport'!$A:$A,'EA-Fortescue_SDExport'!AC:AC), IF(_xlpm.result=0,"",_xlpm.result))</f>
        <v>Generic Physical Asset</v>
      </c>
      <c r="AC36" s="2" t="str">
        <f>_xlfn.LET(
    _xlpm.isObject, _xlfn.XLOOKUP($Y36,'EA-Fortescue_SDExport'!A:A,'EA-Fortescue_SDExport'!B:B),
    _xlpm.lookupKey, IF(_xlpm.isObject="Object",
        _xlfn.XLOOKUP($A36,'EA-ConnectorExport'!A:A,'EA-ConnectorExport'!J:J),
        $Y36
    ),
    _xlpm.result, _xlfn.XLOOKUP(_xlpm.lookupKey,'EA-Fortescue_SDExport'!A:A,'EA-Fortescue_SDExport'!AD:AD),
    IF(_xlpm.result=0,"",_xlpm.result)
)</f>
        <v/>
      </c>
      <c r="AD36" s="2" t="str">
        <f>_xlfn.LET(
    _xlpm.isObject, _xlfn.XLOOKUP($Y36,'EA-Fortescue_SDExport'!A:A,'EA-Fortescue_SDExport'!B:B),
    _xlpm.lookupKey, IF(_xlpm.isObject="Object",
        _xlfn.XLOOKUP($A36,'EA-ConnectorExport'!A:A,'EA-ConnectorExport'!J:J),
        $Y36
    ),
    _xlpm.result, _xlfn.XLOOKUP(_xlpm.lookupKey,'EA-Fortescue_SDExport'!A:A,'EA-Fortescue_SDExport'!AE:AE),
    IF(_xlpm.result=0,"",_xlpm.result)
)</f>
        <v/>
      </c>
      <c r="AE36" s="2" t="str">
        <f>_xlfn.LET(
    _xlpm.isObject, _xlfn.XLOOKUP($Y36,'EA-Fortescue_SDExport'!A:A,'EA-Fortescue_SDExport'!B:B),
    _xlpm.lookupKey, IF(_xlpm.isObject="Object",
        _xlfn.XLOOKUP($A36,'EA-ConnectorExport'!A:A,'EA-ConnectorExport'!J:J),
        $Y36
    ),
    _xlpm.result, _xlfn.XLOOKUP(_xlpm.lookupKey,'EA-Fortescue_SDExport'!A:A,'EA-Fortescue_SDExport'!AF:AF),
    IF(_xlpm.result=0,"",_xlpm.result)
)</f>
        <v/>
      </c>
      <c r="AF36" s="2" t="str">
        <f>_xlfn.LET(
    _xlpm.isObject, _xlfn.XLOOKUP($Y36,'EA-Fortescue_SDExport'!A:A,'EA-Fortescue_SDExport'!B:B),
    _xlpm.lookupKey, IF(_xlpm.isObject="Object",
        _xlfn.XLOOKUP($A36,'EA-ConnectorExport'!A:A,'EA-ConnectorExport'!J:J),
        $Y36
    ),
    _xlpm.result, _xlfn.XLOOKUP(_xlpm.lookupKey,'EA-Fortescue_SDExport'!A:A,'EA-Fortescue_SDExport'!AG:AG),
    IF(_xlpm.result=0,"",_xlpm.result)
)</f>
        <v/>
      </c>
    </row>
    <row r="37" spans="1:32" ht="210" x14ac:dyDescent="0.25">
      <c r="A37" s="2" t="str">
        <v>DGS-I_0036</v>
      </c>
      <c r="B37" s="2" t="str">
        <f t="shared" si="0"/>
        <v>003OP-5612 Diesel Generators|855DC-1543-008 Monarch</v>
      </c>
      <c r="C37" s="2" t="str">
        <f>_xlfn.LET(_xlpm.result, _xlfn.XLOOKUP(A37,'EA-Fortescue_SDExport'!A:A,'EA-Fortescue_SDExport'!AM:AM), IF(_xlpm.result=0,"",_xlpm.result))</f>
        <v/>
      </c>
      <c r="D37" s="2" t="str">
        <f>_xlfn.LET(_xlpm.result, _xlfn.XLOOKUP(A37,'EA-Fortescue_SDExport'!A:A,'EA-Fortescue_SDExport'!AN:AN), IF(_xlpm.result=0,"",_xlpm.result))</f>
        <v/>
      </c>
      <c r="E37" s="2" t="str">
        <f>_xlfn.XLOOKUP(R37&amp;Z37,Lookups!A:A,Lookups!B:B)</f>
        <v>System - Project Interface</v>
      </c>
      <c r="F37" s="2" t="str">
        <f>_xlfn.LET(_xlpm.result, _xlfn.XLOOKUP(A37,'EA-Fortescue_SDExport'!A:A,'EA-Fortescue_SDExport'!AP:AP), IF(_xlpm.result=0,"",_xlpm.result))</f>
        <v>Technical-Electrical</v>
      </c>
      <c r="G37" s="2" t="str">
        <f>IF(OR(AND(T37&lt;&gt;"", COUNTIF(Lookups!J:J, "*"&amp;T37&amp;"*")&gt;0), AND(AB37&lt;&gt;"", COUNTIF(Lookups!J:J, "*"&amp;AB37&amp;"*")&gt;0)), "Yes", "No")</f>
        <v>No</v>
      </c>
      <c r="H37" s="2" t="str">
        <f t="shared" si="1"/>
        <v>003OP Power Generation &amp; Transmission|855DC Decarb Green Systems</v>
      </c>
      <c r="I37" s="2" t="str">
        <f t="shared" si="2"/>
        <v>003OP-5612 Diesel Generators|855DC-1543 Existing Systems - Green Enhancement</v>
      </c>
      <c r="J37" s="2" t="str">
        <f t="shared" si="3"/>
        <v>N/A|855DC-1543-008 Monarch</v>
      </c>
      <c r="K37" s="2" t="str">
        <f>_xlfn.XLOOKUP(A37,'EA-Fortescue_SDExport'!A:A,'EA-Fortescue_SDExport'!N:N)</f>
        <v>Proposed</v>
      </c>
      <c r="L37" s="2" t="str">
        <f>_xlfn.LET(_xlpm.result, _xlfn.XLOOKUP($A37,'EA-Fortescue_SDExport'!$A:$A,'EA-Fortescue_SDExport'!AQ:AQ), IF(_xlpm.result=0,"",_xlpm.result))</f>
        <v>The purpose of this interface is to connect thermal power generators to the Monarch energy management and monitoring system.</v>
      </c>
      <c r="M37" s="2" t="str">
        <f>_xlfn.LET(_xlpm.result, _xlfn.XLOOKUP($A37,'EA-Fortescue_SDExport'!$A:$A,'EA-Fortescue_SDExport'!AR:AR), IF(_xlpm.result=0,"",_xlpm.result))</f>
        <v>MEDIUM</v>
      </c>
      <c r="N37" s="2" t="str">
        <f>_xlfn.LET(_xlpm.result, _xlfn.XLOOKUP($A37,'EA-Fortescue_SDExport'!$A:$A,'EA-Fortescue_SDExport'!AW:AW), IF(_xlpm.result=0,"",_xlpm.result))</f>
        <v>The criticality level is MEDIUM because a failure impairs coordination between thermal generation and the wider system, which may require manual intervention. Loss of visibility may affect power stability and planned responses, but this remains manageable within a shift.</v>
      </c>
      <c r="O37" s="2" t="str">
        <f>_xlfn.LET(_xlpm.result, _xlfn.XLOOKUP($A37,'EA-Fortescue_SDExport'!$A:$A,'EA-Fortescue_SDExport'!AV:AV), IF(_xlpm.result=0,"",_xlpm.result))</f>
        <v>Data Flow: Thermal Generators -&gt; Monarch (real-time generation output, status, alarms, fuel usage, availability, operational limits) for monitoring and coordination._x000D_
Control Flow: Monarch -&gt; Thermal Generators (dispatch setpoints, start/stop commands, load adjustments, operational constraints) to manage generation in line with system demand and stability requirements.</v>
      </c>
      <c r="P37" s="2" t="str">
        <f>_xlfn.LET(_xlpm.result, _xlfn.XLOOKUP($A37,'EA-Fortescue_SDExport'!$A:$A,'EA-Fortescue_SDExport'!D:D), IF(_xlpm.result=0,"",_xlpm.result))</f>
        <v>NH 20/02/2026: Fields updated: Interface Flow.</v>
      </c>
      <c r="Q37" s="2" t="str">
        <f>_xlfn.LET(
    _xlpm.status, _xlfn.XLOOKUP($A37,'EA-ConnectorExport'!$A:$A,'EA-ConnectorExport'!G:G),
    _xlpm.result, _xlfn.XLOOKUP($A37,'EA-ConnectorExport'!$A:$A,'EA-ConnectorExport'!B:B),
    IF(_xlpm.status="allocate", _xlpm.result, "")
)</f>
        <v>003OP-5612 Diesel Generators</v>
      </c>
      <c r="R37" s="2" t="str">
        <f>IF(
    _xlfn.XLOOKUP($Q37,'EA-Fortescue_SDExport'!A:A,'EA-Fortescue_SDExport'!B:B)="Object",
    _xlfn.XLOOKUP(
        _xlfn.XLOOKUP($A37,'EA-ConnectorExport'!A:A,'EA-ConnectorExport'!D:D),
        'EA-Fortescue_SDExport'!A:A,
        'EA-Fortescue_SDExport'!AA:AA
    ),
    _xlfn.XLOOKUP($Q37,'EA-Fortescue_SDExport'!A:A,'EA-Fortescue_SDExport'!AA:AA)
)</f>
        <v>System</v>
      </c>
      <c r="S37" s="2" t="str">
        <f>_xlfn.LET(_xlpm.result, _xlfn.XLOOKUP($Q37,'EA-Fortescue_SDExport'!$A:$A,'EA-Fortescue_SDExport'!AB:AB), IF(_xlpm.result=0,"",_xlpm.result))</f>
        <v/>
      </c>
      <c r="T37" s="2" t="str">
        <f>_xlfn.LET(_xlpm.result, _xlfn.XLOOKUP($Q37,'EA-Fortescue_SDExport'!$A:$A,'EA-Fortescue_SDExport'!AC:AC), IF(_xlpm.result=0,"",_xlpm.result))</f>
        <v>Generic Physical Asset</v>
      </c>
      <c r="U37" s="2" t="str">
        <f>_xlfn.LET(
    _xlpm.isObject, _xlfn.XLOOKUP($Q37,'EA-Fortescue_SDExport'!A:A,'EA-Fortescue_SDExport'!B:B),
    _xlpm.lookupKey, IF(_xlpm.isObject="Object",
        _xlfn.XLOOKUP($A37,'EA-ConnectorExport'!A:A,'EA-ConnectorExport'!D:D),
        $Q37
    ),
    _xlpm.result, _xlfn.XLOOKUP(_xlpm.lookupKey,'EA-Fortescue_SDExport'!A:A,'EA-Fortescue_SDExport'!AD:AD),
    IF(_xlpm.result=0,"",_xlpm.result)
)</f>
        <v>003OP Power Generation &amp; Transmission</v>
      </c>
      <c r="V37" s="2" t="str">
        <f>_xlfn.LET(
    _xlpm.isObject, _xlfn.XLOOKUP($Q37,'EA-Fortescue_SDExport'!A:A,'EA-Fortescue_SDExport'!B:B),
    _xlpm.lookupKey, IF(_xlpm.isObject="Object",
        _xlfn.XLOOKUP($A37,'EA-ConnectorExport'!A:A,'EA-ConnectorExport'!D:D),
        $Q37
    ),
    _xlpm.result, _xlfn.XLOOKUP(_xlpm.lookupKey,'EA-Fortescue_SDExport'!A:A,'EA-Fortescue_SDExport'!AE:AE),
    IF(_xlpm.result=0,"",_xlpm.result)
)</f>
        <v>003OP-5612 Diesel Generators</v>
      </c>
      <c r="W37" s="2" t="str">
        <f>_xlfn.LET(
    _xlpm.isObject, _xlfn.XLOOKUP($Q37,'EA-Fortescue_SDExport'!A:A,'EA-Fortescue_SDExport'!B:B),
    _xlpm.lookupKey, IF(_xlpm.isObject="Object",
        _xlfn.XLOOKUP($A37,'EA-ConnectorExport'!A:A,'EA-ConnectorExport'!D:D),
        $Q37
    ),
    _xlpm.result, _xlfn.XLOOKUP(_xlpm.lookupKey,'EA-Fortescue_SDExport'!A:A,'EA-Fortescue_SDExport'!AF:AF),
    IF(_xlpm.result=0,"",_xlpm.result)
)</f>
        <v/>
      </c>
      <c r="X37" s="2" t="str">
        <f>_xlfn.LET(
    _xlpm.isObject, _xlfn.XLOOKUP($Q37,'EA-Fortescue_SDExport'!A:A,'EA-Fortescue_SDExport'!B:B),
    _xlpm.lookupKey, IF(_xlpm.isObject="Object",
        _xlfn.XLOOKUP($A37,'EA-ConnectorExport'!A:A,'EA-ConnectorExport'!D:D),
        $Q37
    ),
    _xlpm.result, _xlfn.XLOOKUP(_xlpm.lookupKey,'EA-Fortescue_SDExport'!A:A,'EA-Fortescue_SDExport'!AG:AG),
    IF(_xlpm.result=0,"",_xlpm.result)
)</f>
        <v/>
      </c>
      <c r="Y37" s="2" t="str">
        <f>_xlfn.LET(
    _xlpm.status, _xlfn.XLOOKUP($A37,'EA-ConnectorExport'!$A:$A,'EA-ConnectorExport'!G:G),
    _xlpm.result, _xlfn.XLOOKUP($A37,'EA-ConnectorExport'!$A:$A,'EA-ConnectorExport'!H:H),
    IF(_xlpm.status="allocate", _xlpm.result, "")
)</f>
        <v>855DC-1543-008 Monarch</v>
      </c>
      <c r="Z37" s="2" t="str">
        <f>_xlfn.LET(
    _xlpm.isObject, _xlfn.XLOOKUP($Y37,'EA-Fortescue_SDExport'!A:A,'EA-Fortescue_SDExport'!B:B),
    _xlpm.lookupKey, IF(_xlpm.isObject="Object",
        _xlfn.XLOOKUP($A37,'EA-ConnectorExport'!A:A,'EA-ConnectorExport'!J:J),
        $Y37
    ),
    _xlpm.result, _xlfn.XLOOKUP(_xlpm.lookupKey,'EA-Fortescue_SDExport'!A:A,'EA-Fortescue_SDExport'!AA:AA),
    IF(_xlpm.result=0,"",_xlpm.result)
)</f>
        <v>Project</v>
      </c>
      <c r="AA37" s="2" t="str">
        <f>_xlfn.LET(_xlpm.result, _xlfn.XLOOKUP($Y37,'EA-Fortescue_SDExport'!$A:$A,'EA-Fortescue_SDExport'!AB:AB), IF(_xlpm.result=0,"",_xlpm.result))</f>
        <v>Energy Operations</v>
      </c>
      <c r="AB37" s="2" t="str">
        <f>_xlfn.LET(_xlpm.result, _xlfn.XLOOKUP($Y37,'EA-Fortescue_SDExport'!$A:$A,'EA-Fortescue_SDExport'!AC:AC), IF(_xlpm.result=0,"",_xlpm.result))</f>
        <v/>
      </c>
      <c r="AC37" s="2" t="str">
        <f>_xlfn.LET(
    _xlpm.isObject, _xlfn.XLOOKUP($Y37,'EA-Fortescue_SDExport'!A:A,'EA-Fortescue_SDExport'!B:B),
    _xlpm.lookupKey, IF(_xlpm.isObject="Object",
        _xlfn.XLOOKUP($A37,'EA-ConnectorExport'!A:A,'EA-ConnectorExport'!J:J),
        $Y37
    ),
    _xlpm.result, _xlfn.XLOOKUP(_xlpm.lookupKey,'EA-Fortescue_SDExport'!A:A,'EA-Fortescue_SDExport'!AD:AD),
    IF(_xlpm.result=0,"",_xlpm.result)
)</f>
        <v>855DC Decarb Green Systems</v>
      </c>
      <c r="AD37" s="2" t="str">
        <f>_xlfn.LET(
    _xlpm.isObject, _xlfn.XLOOKUP($Y37,'EA-Fortescue_SDExport'!A:A,'EA-Fortescue_SDExport'!B:B),
    _xlpm.lookupKey, IF(_xlpm.isObject="Object",
        _xlfn.XLOOKUP($A37,'EA-ConnectorExport'!A:A,'EA-ConnectorExport'!J:J),
        $Y37
    ),
    _xlpm.result, _xlfn.XLOOKUP(_xlpm.lookupKey,'EA-Fortescue_SDExport'!A:A,'EA-Fortescue_SDExport'!AE:AE),
    IF(_xlpm.result=0,"",_xlpm.result)
)</f>
        <v>855DC-1543 Existing Systems - Green Enhancement</v>
      </c>
      <c r="AE37" s="2" t="str">
        <f>_xlfn.LET(
    _xlpm.isObject, _xlfn.XLOOKUP($Y37,'EA-Fortescue_SDExport'!A:A,'EA-Fortescue_SDExport'!B:B),
    _xlpm.lookupKey, IF(_xlpm.isObject="Object",
        _xlfn.XLOOKUP($A37,'EA-ConnectorExport'!A:A,'EA-ConnectorExport'!J:J),
        $Y37
    ),
    _xlpm.result, _xlfn.XLOOKUP(_xlpm.lookupKey,'EA-Fortescue_SDExport'!A:A,'EA-Fortescue_SDExport'!AF:AF),
    IF(_xlpm.result=0,"",_xlpm.result)
)</f>
        <v>855DC-1543-008 Monarch</v>
      </c>
      <c r="AF37" s="2" t="str">
        <f>_xlfn.LET(
    _xlpm.isObject, _xlfn.XLOOKUP($Y37,'EA-Fortescue_SDExport'!A:A,'EA-Fortescue_SDExport'!B:B),
    _xlpm.lookupKey, IF(_xlpm.isObject="Object",
        _xlfn.XLOOKUP($A37,'EA-ConnectorExport'!A:A,'EA-ConnectorExport'!J:J),
        $Y37
    ),
    _xlpm.result, _xlfn.XLOOKUP(_xlpm.lookupKey,'EA-Fortescue_SDExport'!A:A,'EA-Fortescue_SDExport'!AG:AG),
    IF(_xlpm.result=0,"",_xlpm.result)
)</f>
        <v/>
      </c>
    </row>
    <row r="38" spans="1:32" ht="180" x14ac:dyDescent="0.25">
      <c r="A38" s="2" t="str">
        <v>DGS-I_0037</v>
      </c>
      <c r="B38" s="2" t="str">
        <f t="shared" si="0"/>
        <v>850DC-1510 Chargers|859DC-1410-001 HaulX</v>
      </c>
      <c r="C38" s="2" t="str">
        <f>_xlfn.LET(_xlpm.result, _xlfn.XLOOKUP(A38,'EA-Fortescue_SDExport'!A:A,'EA-Fortescue_SDExport'!AM:AM), IF(_xlpm.result=0,"",_xlpm.result))</f>
        <v/>
      </c>
      <c r="D38" s="2" t="str">
        <f>_xlfn.LET(_xlpm.result, _xlfn.XLOOKUP(A38,'EA-Fortescue_SDExport'!A:A,'EA-Fortescue_SDExport'!AN:AN), IF(_xlpm.result=0,"",_xlpm.result))</f>
        <v/>
      </c>
      <c r="E38" s="2" t="str">
        <f>_xlfn.XLOOKUP(R38&amp;Z38,Lookups!A:A,Lookups!B:B)</f>
        <v>System - Project Interface</v>
      </c>
      <c r="F38" s="2" t="str">
        <f>_xlfn.LET(_xlpm.result, _xlfn.XLOOKUP(A38,'EA-Fortescue_SDExport'!A:A,'EA-Fortescue_SDExport'!AP:AP), IF(_xlpm.result=0,"",_xlpm.result))</f>
        <v/>
      </c>
      <c r="G38" s="2" t="str">
        <f>IF(OR(AND(T38&lt;&gt;"", COUNTIF(Lookups!J:J, "*"&amp;T38&amp;"*")&gt;0), AND(AB38&lt;&gt;"", COUNTIF(Lookups!J:J, "*"&amp;AB38&amp;"*")&gt;0)), "Yes", "No")</f>
        <v>No</v>
      </c>
      <c r="H38" s="2" t="str">
        <f t="shared" si="1"/>
        <v>850DC Decarb Infrastructure|859DC HaulX</v>
      </c>
      <c r="I38" s="2" t="str">
        <f t="shared" si="2"/>
        <v>850DC-1510 Chargers|N/A</v>
      </c>
      <c r="J38" s="2" t="str">
        <f t="shared" si="3"/>
        <v>N/A|859DC-1410-001 HaulX</v>
      </c>
      <c r="K38" s="2" t="str">
        <f>_xlfn.XLOOKUP(A38,'EA-Fortescue_SDExport'!A:A,'EA-Fortescue_SDExport'!N:N)</f>
        <v>Simplified Interface</v>
      </c>
      <c r="L38" s="2" t="str">
        <f>_xlfn.LET(_xlpm.result, _xlfn.XLOOKUP($A38,'EA-Fortescue_SDExport'!$A:$A,'EA-Fortescue_SDExport'!AQ:AQ), IF(_xlpm.result=0,"",_xlpm.result))</f>
        <v>The purpose of this interface is to allow HaulX to receive charger availability, status, and capacity information, enabling effective truck scheduling for charging.</v>
      </c>
      <c r="M38" s="2" t="str">
        <f>_xlfn.LET(_xlpm.result, _xlfn.XLOOKUP($A38,'EA-Fortescue_SDExport'!$A:$A,'EA-Fortescue_SDExport'!AR:AR), IF(_xlpm.result=0,"",_xlpm.result))</f>
        <v>MEDIUM</v>
      </c>
      <c r="N38" s="2" t="str">
        <f>_xlfn.LET(_xlpm.result, _xlfn.XLOOKUP($A38,'EA-Fortescue_SDExport'!$A:$A,'EA-Fortescue_SDExport'!AW:AW), IF(_xlpm.result=0,"",_xlpm.result))</f>
        <v>The criticality level is MEDIUM because failure leads to less coordinated charging, resulting in delays and reduced haulage efficiency. The loss of optimisation may impact performance, but does not directly prevent safe equipment operation.</v>
      </c>
      <c r="O38" s="2" t="str">
        <f>_xlfn.LET(_xlpm.result, _xlfn.XLOOKUP($A38,'EA-Fortescue_SDExport'!$A:$A,'EA-Fortescue_SDExport'!AV:AV), IF(_xlpm.result=0,"",_xlpm.result))</f>
        <v/>
      </c>
      <c r="P38" s="2" t="str">
        <f>_xlfn.LET(_xlpm.result, _xlfn.XLOOKUP($A38,'EA-Fortescue_SDExport'!$A:$A,'EA-Fortescue_SDExport'!D:D), IF(_xlpm.result=0,"",_xlpm.result))</f>
        <v/>
      </c>
      <c r="Q38" s="2" t="str">
        <f>_xlfn.LET(
    _xlpm.status, _xlfn.XLOOKUP($A38,'EA-ConnectorExport'!$A:$A,'EA-ConnectorExport'!G:G),
    _xlpm.result, _xlfn.XLOOKUP($A38,'EA-ConnectorExport'!$A:$A,'EA-ConnectorExport'!B:B),
    IF(_xlpm.status="allocate", _xlpm.result, "")
)</f>
        <v>850DC-1510 Chargers</v>
      </c>
      <c r="R38" s="2" t="str">
        <f>IF(
    _xlfn.XLOOKUP($Q38,'EA-Fortescue_SDExport'!A:A,'EA-Fortescue_SDExport'!B:B)="Object",
    _xlfn.XLOOKUP(
        _xlfn.XLOOKUP($A38,'EA-ConnectorExport'!A:A,'EA-ConnectorExport'!D:D),
        'EA-Fortescue_SDExport'!A:A,
        'EA-Fortescue_SDExport'!AA:AA
    ),
    _xlfn.XLOOKUP($Q38,'EA-Fortescue_SDExport'!A:A,'EA-Fortescue_SDExport'!AA:AA)
)</f>
        <v>System</v>
      </c>
      <c r="S38" s="2" t="str">
        <f>_xlfn.LET(_xlpm.result, _xlfn.XLOOKUP($Q38,'EA-Fortescue_SDExport'!$A:$A,'EA-Fortescue_SDExport'!AB:AB), IF(_xlpm.result=0,"",_xlpm.result))</f>
        <v/>
      </c>
      <c r="T38" s="2" t="str">
        <f>_xlfn.LET(_xlpm.result, _xlfn.XLOOKUP($Q38,'EA-Fortescue_SDExport'!$A:$A,'EA-Fortescue_SDExport'!AC:AC), IF(_xlpm.result=0,"",_xlpm.result))</f>
        <v>Generic Physical Asset</v>
      </c>
      <c r="U38" s="2" t="str">
        <f>_xlfn.LET(
    _xlpm.isObject, _xlfn.XLOOKUP($Q38,'EA-Fortescue_SDExport'!A:A,'EA-Fortescue_SDExport'!B:B),
    _xlpm.lookupKey, IF(_xlpm.isObject="Object",
        _xlfn.XLOOKUP($A38,'EA-ConnectorExport'!A:A,'EA-ConnectorExport'!D:D),
        $Q38
    ),
    _xlpm.result, _xlfn.XLOOKUP(_xlpm.lookupKey,'EA-Fortescue_SDExport'!A:A,'EA-Fortescue_SDExport'!AD:AD),
    IF(_xlpm.result=0,"",_xlpm.result)
)</f>
        <v>850DC Decarb Infrastructure</v>
      </c>
      <c r="V38" s="2" t="str">
        <f>_xlfn.LET(
    _xlpm.isObject, _xlfn.XLOOKUP($Q38,'EA-Fortescue_SDExport'!A:A,'EA-Fortescue_SDExport'!B:B),
    _xlpm.lookupKey, IF(_xlpm.isObject="Object",
        _xlfn.XLOOKUP($A38,'EA-ConnectorExport'!A:A,'EA-ConnectorExport'!D:D),
        $Q38
    ),
    _xlpm.result, _xlfn.XLOOKUP(_xlpm.lookupKey,'EA-Fortescue_SDExport'!A:A,'EA-Fortescue_SDExport'!AE:AE),
    IF(_xlpm.result=0,"",_xlpm.result)
)</f>
        <v>850DC-1510 Chargers</v>
      </c>
      <c r="W38" s="2" t="str">
        <f>_xlfn.LET(
    _xlpm.isObject, _xlfn.XLOOKUP($Q38,'EA-Fortescue_SDExport'!A:A,'EA-Fortescue_SDExport'!B:B),
    _xlpm.lookupKey, IF(_xlpm.isObject="Object",
        _xlfn.XLOOKUP($A38,'EA-ConnectorExport'!A:A,'EA-ConnectorExport'!D:D),
        $Q38
    ),
    _xlpm.result, _xlfn.XLOOKUP(_xlpm.lookupKey,'EA-Fortescue_SDExport'!A:A,'EA-Fortescue_SDExport'!AF:AF),
    IF(_xlpm.result=0,"",_xlpm.result)
)</f>
        <v/>
      </c>
      <c r="X38" s="2" t="str">
        <f>_xlfn.LET(
    _xlpm.isObject, _xlfn.XLOOKUP($Q38,'EA-Fortescue_SDExport'!A:A,'EA-Fortescue_SDExport'!B:B),
    _xlpm.lookupKey, IF(_xlpm.isObject="Object",
        _xlfn.XLOOKUP($A38,'EA-ConnectorExport'!A:A,'EA-ConnectorExport'!D:D),
        $Q38
    ),
    _xlpm.result, _xlfn.XLOOKUP(_xlpm.lookupKey,'EA-Fortescue_SDExport'!A:A,'EA-Fortescue_SDExport'!AG:AG),
    IF(_xlpm.result=0,"",_xlpm.result)
)</f>
        <v/>
      </c>
      <c r="Y38" s="2" t="str">
        <f>_xlfn.LET(
    _xlpm.status, _xlfn.XLOOKUP($A38,'EA-ConnectorExport'!$A:$A,'EA-ConnectorExport'!G:G),
    _xlpm.result, _xlfn.XLOOKUP($A38,'EA-ConnectorExport'!$A:$A,'EA-ConnectorExport'!H:H),
    IF(_xlpm.status="allocate", _xlpm.result, "")
)</f>
        <v>859DC-1410-001 HaulX</v>
      </c>
      <c r="Z38" s="2" t="str">
        <f>_xlfn.LET(
    _xlpm.isObject, _xlfn.XLOOKUP($Y38,'EA-Fortescue_SDExport'!A:A,'EA-Fortescue_SDExport'!B:B),
    _xlpm.lookupKey, IF(_xlpm.isObject="Object",
        _xlfn.XLOOKUP($A38,'EA-ConnectorExport'!A:A,'EA-ConnectorExport'!J:J),
        $Y38
    ),
    _xlpm.result, _xlfn.XLOOKUP(_xlpm.lookupKey,'EA-Fortescue_SDExport'!A:A,'EA-Fortescue_SDExport'!AA:AA),
    IF(_xlpm.result=0,"",_xlpm.result)
)</f>
        <v>Project</v>
      </c>
      <c r="AA38" s="2" t="str">
        <f>_xlfn.LET(_xlpm.result, _xlfn.XLOOKUP($Y38,'EA-Fortescue_SDExport'!$A:$A,'EA-Fortescue_SDExport'!AB:AB), IF(_xlpm.result=0,"",_xlpm.result))</f>
        <v/>
      </c>
      <c r="AB38" s="2" t="str">
        <f>_xlfn.LET(_xlpm.result, _xlfn.XLOOKUP($Y38,'EA-Fortescue_SDExport'!$A:$A,'EA-Fortescue_SDExport'!AC:AC), IF(_xlpm.result=0,"",_xlpm.result))</f>
        <v/>
      </c>
      <c r="AC38" s="2" t="str">
        <f>_xlfn.LET(
    _xlpm.isObject, _xlfn.XLOOKUP($Y38,'EA-Fortescue_SDExport'!A:A,'EA-Fortescue_SDExport'!B:B),
    _xlpm.lookupKey, IF(_xlpm.isObject="Object",
        _xlfn.XLOOKUP($A38,'EA-ConnectorExport'!A:A,'EA-ConnectorExport'!J:J),
        $Y38
    ),
    _xlpm.result, _xlfn.XLOOKUP(_xlpm.lookupKey,'EA-Fortescue_SDExport'!A:A,'EA-Fortescue_SDExport'!AD:AD),
    IF(_xlpm.result=0,"",_xlpm.result)
)</f>
        <v>859DC HaulX</v>
      </c>
      <c r="AD38" s="2" t="str">
        <f>_xlfn.LET(
    _xlpm.isObject, _xlfn.XLOOKUP($Y38,'EA-Fortescue_SDExport'!A:A,'EA-Fortescue_SDExport'!B:B),
    _xlpm.lookupKey, IF(_xlpm.isObject="Object",
        _xlfn.XLOOKUP($A38,'EA-ConnectorExport'!A:A,'EA-ConnectorExport'!J:J),
        $Y38
    ),
    _xlpm.result, _xlfn.XLOOKUP(_xlpm.lookupKey,'EA-Fortescue_SDExport'!A:A,'EA-Fortescue_SDExport'!AE:AE),
    IF(_xlpm.result=0,"",_xlpm.result)
)</f>
        <v/>
      </c>
      <c r="AE38" s="2" t="str">
        <f>_xlfn.LET(
    _xlpm.isObject, _xlfn.XLOOKUP($Y38,'EA-Fortescue_SDExport'!A:A,'EA-Fortescue_SDExport'!B:B),
    _xlpm.lookupKey, IF(_xlpm.isObject="Object",
        _xlfn.XLOOKUP($A38,'EA-ConnectorExport'!A:A,'EA-ConnectorExport'!J:J),
        $Y38
    ),
    _xlpm.result, _xlfn.XLOOKUP(_xlpm.lookupKey,'EA-Fortescue_SDExport'!A:A,'EA-Fortescue_SDExport'!AF:AF),
    IF(_xlpm.result=0,"",_xlpm.result)
)</f>
        <v>859DC-1410-001 HaulX</v>
      </c>
      <c r="AF38" s="2" t="str">
        <f>_xlfn.LET(
    _xlpm.isObject, _xlfn.XLOOKUP($Y38,'EA-Fortescue_SDExport'!A:A,'EA-Fortescue_SDExport'!B:B),
    _xlpm.lookupKey, IF(_xlpm.isObject="Object",
        _xlfn.XLOOKUP($A38,'EA-ConnectorExport'!A:A,'EA-ConnectorExport'!J:J),
        $Y38
    ),
    _xlpm.result, _xlfn.XLOOKUP(_xlpm.lookupKey,'EA-Fortescue_SDExport'!A:A,'EA-Fortescue_SDExport'!AG:AG),
    IF(_xlpm.result=0,"",_xlpm.result)
)</f>
        <v/>
      </c>
    </row>
    <row r="39" spans="1:32" ht="210" x14ac:dyDescent="0.25">
      <c r="A39" s="2" t="str">
        <v>DGS-I_0038</v>
      </c>
      <c r="B39" s="2" t="str">
        <f t="shared" si="0"/>
        <v>855DC-1542-LMS Load Management System (LMS)|853DC-1561 Drill Rig</v>
      </c>
      <c r="C39" s="2" t="str">
        <f>_xlfn.LET(_xlpm.result, _xlfn.XLOOKUP(A39,'EA-Fortescue_SDExport'!A:A,'EA-Fortescue_SDExport'!AM:AM), IF(_xlpm.result=0,"",_xlpm.result))</f>
        <v>Sam Hedgcock</v>
      </c>
      <c r="D39" s="2" t="str">
        <f>_xlfn.LET(_xlpm.result, _xlfn.XLOOKUP(A39,'EA-Fortescue_SDExport'!A:A,'EA-Fortescue_SDExport'!AN:AN), IF(_xlpm.result=0,"",_xlpm.result))</f>
        <v>TBC</v>
      </c>
      <c r="E39" s="2" t="str">
        <f>_xlfn.XLOOKUP(R39&amp;Z39,Lookups!A:A,Lookups!B:B)</f>
        <v>System - Project Interface</v>
      </c>
      <c r="F39" s="2" t="str">
        <f>_xlfn.LET(_xlpm.result, _xlfn.XLOOKUP(A39,'EA-Fortescue_SDExport'!A:A,'EA-Fortescue_SDExport'!AP:AP), IF(_xlpm.result=0,"",_xlpm.result))</f>
        <v>Technical-Electrical</v>
      </c>
      <c r="G39" s="2" t="str">
        <f>IF(OR(AND(T39&lt;&gt;"", COUNTIF(Lookups!J:J, "*"&amp;T39&amp;"*")&gt;0), AND(AB39&lt;&gt;"", COUNTIF(Lookups!J:J, "*"&amp;AB39&amp;"*")&gt;0)), "Yes", "No")</f>
        <v>No</v>
      </c>
      <c r="H39" s="2" t="str">
        <f t="shared" si="1"/>
        <v>855DC Decarb Green Systems|853DC Decarb Ancillary</v>
      </c>
      <c r="I39" s="2" t="str">
        <f t="shared" si="2"/>
        <v>855DC-1542 Control &amp; Monitoring Systems|853DC-1561 Drill Rig</v>
      </c>
      <c r="J39" s="2" t="str">
        <f t="shared" si="3"/>
        <v>855DC-1542-LMS Load Management System (LMS)|N/A</v>
      </c>
      <c r="K39" s="2" t="str">
        <f>_xlfn.XLOOKUP(A39,'EA-Fortescue_SDExport'!A:A,'EA-Fortescue_SDExport'!N:N)</f>
        <v>Proposed</v>
      </c>
      <c r="L39" s="2" t="str">
        <f>_xlfn.LET(_xlpm.result, _xlfn.XLOOKUP($A39,'EA-Fortescue_SDExport'!$A:$A,'EA-Fortescue_SDExport'!AQ:AQ), IF(_xlpm.result=0,"",_xlpm.result))</f>
        <v>This interface enables the Load Management System to communicate electrical load constraints and supply conditions to drill rigs.</v>
      </c>
      <c r="M39" s="2" t="str">
        <f>_xlfn.LET(_xlpm.result, _xlfn.XLOOKUP($A39,'EA-Fortescue_SDExport'!$A:$A,'EA-Fortescue_SDExport'!AR:AR), IF(_xlpm.result=0,"",_xlpm.result))</f>
        <v>MEDIUM</v>
      </c>
      <c r="N39" s="2" t="str">
        <f>_xlfn.LET(_xlpm.result, _xlfn.XLOOKUP($A39,'EA-Fortescue_SDExport'!$A:$A,'EA-Fortescue_SDExport'!AW:AW), IF(_xlpm.result=0,"",_xlpm.result))</f>
        <v>The criticality level is MEDIUM because an outage may lead to overloading risks, or cause the rig to halt operation to prevent electrical issues. This can result in operational delays or equipment protection events that necessitate shutdowns or restricted operation.</v>
      </c>
      <c r="O39" s="2" t="str">
        <f>_xlfn.LET(_xlpm.result, _xlfn.XLOOKUP($A39,'EA-Fortescue_SDExport'!$A:$A,'EA-Fortescue_SDExport'!AV:AV), IF(_xlpm.result=0,"",_xlpm.result))</f>
        <v>Data Flow: Load Management System -&gt; Drill Rigs (electrical load limits, supply availability, demand response signals, curtailment instructions, network status) to manage power consumption within system constraints.</v>
      </c>
      <c r="P39" s="2" t="str">
        <f>_xlfn.LET(_xlpm.result, _xlfn.XLOOKUP($A39,'EA-Fortescue_SDExport'!$A:$A,'EA-Fortescue_SDExport'!D:D), IF(_xlpm.result=0,"",_xlpm.result))</f>
        <v>LMS Review 30/10/2025: Planning to connect with Drill rig platform. _x000D_
Unknown platform to interface with. talking directly to the PLC for the first drill. _x000D_
Sam Ward is closer to Drill Rig platform. _x000D_
Owner of interface (Green systems Project team)._x000D_
NH 20/02/2026: Fields updated: Interface Flow._x000D_
NH 25/02/2026: Fields updated:Interface Type</v>
      </c>
      <c r="Q39" s="2" t="str">
        <f>_xlfn.LET(
    _xlpm.status, _xlfn.XLOOKUP($A39,'EA-ConnectorExport'!$A:$A,'EA-ConnectorExport'!G:G),
    _xlpm.result, _xlfn.XLOOKUP($A39,'EA-ConnectorExport'!$A:$A,'EA-ConnectorExport'!B:B),
    IF(_xlpm.status="allocate", _xlpm.result, "")
)</f>
        <v>855DC-1542-LMS Load Management System (LMS)</v>
      </c>
      <c r="R39" s="2" t="str">
        <f>IF(
    _xlfn.XLOOKUP($Q39,'EA-Fortescue_SDExport'!A:A,'EA-Fortescue_SDExport'!B:B)="Object",
    _xlfn.XLOOKUP(
        _xlfn.XLOOKUP($A39,'EA-ConnectorExport'!A:A,'EA-ConnectorExport'!D:D),
        'EA-Fortescue_SDExport'!A:A,
        'EA-Fortescue_SDExport'!AA:AA
    ),
    _xlfn.XLOOKUP($Q39,'EA-Fortescue_SDExport'!A:A,'EA-Fortescue_SDExport'!AA:AA)
)</f>
        <v>Project</v>
      </c>
      <c r="S39" s="2" t="str">
        <f>_xlfn.LET(_xlpm.result, _xlfn.XLOOKUP($Q39,'EA-Fortescue_SDExport'!$A:$A,'EA-Fortescue_SDExport'!AB:AB), IF(_xlpm.result=0,"",_xlpm.result))</f>
        <v>Mine Services</v>
      </c>
      <c r="T39" s="2" t="str">
        <f>_xlfn.LET(_xlpm.result, _xlfn.XLOOKUP($Q39,'EA-Fortescue_SDExport'!$A:$A,'EA-Fortescue_SDExport'!AC:AC), IF(_xlpm.result=0,"",_xlpm.result))</f>
        <v/>
      </c>
      <c r="U39" s="2" t="str">
        <f>_xlfn.LET(
    _xlpm.isObject, _xlfn.XLOOKUP($Q39,'EA-Fortescue_SDExport'!A:A,'EA-Fortescue_SDExport'!B:B),
    _xlpm.lookupKey, IF(_xlpm.isObject="Object",
        _xlfn.XLOOKUP($A39,'EA-ConnectorExport'!A:A,'EA-ConnectorExport'!D:D),
        $Q39
    ),
    _xlpm.result, _xlfn.XLOOKUP(_xlpm.lookupKey,'EA-Fortescue_SDExport'!A:A,'EA-Fortescue_SDExport'!AD:AD),
    IF(_xlpm.result=0,"",_xlpm.result)
)</f>
        <v>855DC Decarb Green Systems</v>
      </c>
      <c r="V39" s="2" t="str">
        <f>_xlfn.LET(
    _xlpm.isObject, _xlfn.XLOOKUP($Q39,'EA-Fortescue_SDExport'!A:A,'EA-Fortescue_SDExport'!B:B),
    _xlpm.lookupKey, IF(_xlpm.isObject="Object",
        _xlfn.XLOOKUP($A39,'EA-ConnectorExport'!A:A,'EA-ConnectorExport'!D:D),
        $Q39
    ),
    _xlpm.result, _xlfn.XLOOKUP(_xlpm.lookupKey,'EA-Fortescue_SDExport'!A:A,'EA-Fortescue_SDExport'!AE:AE),
    IF(_xlpm.result=0,"",_xlpm.result)
)</f>
        <v>855DC-1542 Control &amp; Monitoring Systems</v>
      </c>
      <c r="W39" s="2" t="str">
        <f>_xlfn.LET(
    _xlpm.isObject, _xlfn.XLOOKUP($Q39,'EA-Fortescue_SDExport'!A:A,'EA-Fortescue_SDExport'!B:B),
    _xlpm.lookupKey, IF(_xlpm.isObject="Object",
        _xlfn.XLOOKUP($A39,'EA-ConnectorExport'!A:A,'EA-ConnectorExport'!D:D),
        $Q39
    ),
    _xlpm.result, _xlfn.XLOOKUP(_xlpm.lookupKey,'EA-Fortescue_SDExport'!A:A,'EA-Fortescue_SDExport'!AF:AF),
    IF(_xlpm.result=0,"",_xlpm.result)
)</f>
        <v>855DC-1542-LMS Load Management System (LMS)</v>
      </c>
      <c r="X39" s="2" t="str">
        <f>_xlfn.LET(
    _xlpm.isObject, _xlfn.XLOOKUP($Q39,'EA-Fortescue_SDExport'!A:A,'EA-Fortescue_SDExport'!B:B),
    _xlpm.lookupKey, IF(_xlpm.isObject="Object",
        _xlfn.XLOOKUP($A39,'EA-ConnectorExport'!A:A,'EA-ConnectorExport'!D:D),
        $Q39
    ),
    _xlpm.result, _xlfn.XLOOKUP(_xlpm.lookupKey,'EA-Fortescue_SDExport'!A:A,'EA-Fortescue_SDExport'!AG:AG),
    IF(_xlpm.result=0,"",_xlpm.result)
)</f>
        <v/>
      </c>
      <c r="Y39" s="2" t="str">
        <f>_xlfn.LET(
    _xlpm.status, _xlfn.XLOOKUP($A39,'EA-ConnectorExport'!$A:$A,'EA-ConnectorExport'!G:G),
    _xlpm.result, _xlfn.XLOOKUP($A39,'EA-ConnectorExport'!$A:$A,'EA-ConnectorExport'!H:H),
    IF(_xlpm.status="allocate", _xlpm.result, "")
)</f>
        <v>853DC-1561 Drill Rig</v>
      </c>
      <c r="Z39" s="2" t="str">
        <f>_xlfn.LET(
    _xlpm.isObject, _xlfn.XLOOKUP($Y39,'EA-Fortescue_SDExport'!A:A,'EA-Fortescue_SDExport'!B:B),
    _xlpm.lookupKey, IF(_xlpm.isObject="Object",
        _xlfn.XLOOKUP($A39,'EA-ConnectorExport'!A:A,'EA-ConnectorExport'!J:J),
        $Y39
    ),
    _xlpm.result, _xlfn.XLOOKUP(_xlpm.lookupKey,'EA-Fortescue_SDExport'!A:A,'EA-Fortescue_SDExport'!AA:AA),
    IF(_xlpm.result=0,"",_xlpm.result)
)</f>
        <v>System</v>
      </c>
      <c r="AA39" s="2" t="str">
        <f>_xlfn.LET(_xlpm.result, _xlfn.XLOOKUP($Y39,'EA-Fortescue_SDExport'!$A:$A,'EA-Fortescue_SDExport'!AB:AB), IF(_xlpm.result=0,"",_xlpm.result))</f>
        <v/>
      </c>
      <c r="AB39" s="2" t="str">
        <f>_xlfn.LET(_xlpm.result, _xlfn.XLOOKUP($Y39,'EA-Fortescue_SDExport'!$A:$A,'EA-Fortescue_SDExport'!AC:AC), IF(_xlpm.result=0,"",_xlpm.result))</f>
        <v>Generic Physical Asset</v>
      </c>
      <c r="AC39" s="2" t="str">
        <f>_xlfn.LET(
    _xlpm.isObject, _xlfn.XLOOKUP($Y39,'EA-Fortescue_SDExport'!A:A,'EA-Fortescue_SDExport'!B:B),
    _xlpm.lookupKey, IF(_xlpm.isObject="Object",
        _xlfn.XLOOKUP($A39,'EA-ConnectorExport'!A:A,'EA-ConnectorExport'!J:J),
        $Y39
    ),
    _xlpm.result, _xlfn.XLOOKUP(_xlpm.lookupKey,'EA-Fortescue_SDExport'!A:A,'EA-Fortescue_SDExport'!AD:AD),
    IF(_xlpm.result=0,"",_xlpm.result)
)</f>
        <v>853DC Decarb Ancillary</v>
      </c>
      <c r="AD39" s="2" t="str">
        <f>_xlfn.LET(
    _xlpm.isObject, _xlfn.XLOOKUP($Y39,'EA-Fortescue_SDExport'!A:A,'EA-Fortescue_SDExport'!B:B),
    _xlpm.lookupKey, IF(_xlpm.isObject="Object",
        _xlfn.XLOOKUP($A39,'EA-ConnectorExport'!A:A,'EA-ConnectorExport'!J:J),
        $Y39
    ),
    _xlpm.result, _xlfn.XLOOKUP(_xlpm.lookupKey,'EA-Fortescue_SDExport'!A:A,'EA-Fortescue_SDExport'!AE:AE),
    IF(_xlpm.result=0,"",_xlpm.result)
)</f>
        <v>853DC-1561 Drill Rig</v>
      </c>
      <c r="AE39" s="2" t="str">
        <f>_xlfn.LET(
    _xlpm.isObject, _xlfn.XLOOKUP($Y39,'EA-Fortescue_SDExport'!A:A,'EA-Fortescue_SDExport'!B:B),
    _xlpm.lookupKey, IF(_xlpm.isObject="Object",
        _xlfn.XLOOKUP($A39,'EA-ConnectorExport'!A:A,'EA-ConnectorExport'!J:J),
        $Y39
    ),
    _xlpm.result, _xlfn.XLOOKUP(_xlpm.lookupKey,'EA-Fortescue_SDExport'!A:A,'EA-Fortescue_SDExport'!AF:AF),
    IF(_xlpm.result=0,"",_xlpm.result)
)</f>
        <v/>
      </c>
      <c r="AF39" s="2" t="str">
        <f>_xlfn.LET(
    _xlpm.isObject, _xlfn.XLOOKUP($Y39,'EA-Fortescue_SDExport'!A:A,'EA-Fortescue_SDExport'!B:B),
    _xlpm.lookupKey, IF(_xlpm.isObject="Object",
        _xlfn.XLOOKUP($A39,'EA-ConnectorExport'!A:A,'EA-ConnectorExport'!J:J),
        $Y39
    ),
    _xlpm.result, _xlfn.XLOOKUP(_xlpm.lookupKey,'EA-Fortescue_SDExport'!A:A,'EA-Fortescue_SDExport'!AG:AG),
    IF(_xlpm.result=0,"",_xlpm.result)
)</f>
        <v/>
      </c>
    </row>
    <row r="40" spans="1:32" ht="195" x14ac:dyDescent="0.25">
      <c r="A40" s="2" t="str">
        <v>DGS-I_0039</v>
      </c>
      <c r="B40" s="2" t="str">
        <f t="shared" si="0"/>
        <v>854DC-1521 HV Substations|855DC-1543-008 Monarch</v>
      </c>
      <c r="C40" s="2" t="str">
        <f>_xlfn.LET(_xlpm.result, _xlfn.XLOOKUP(A40,'EA-Fortescue_SDExport'!A:A,'EA-Fortescue_SDExport'!AM:AM), IF(_xlpm.result=0,"",_xlpm.result))</f>
        <v/>
      </c>
      <c r="D40" s="2" t="str">
        <f>_xlfn.LET(_xlpm.result, _xlfn.XLOOKUP(A40,'EA-Fortescue_SDExport'!A:A,'EA-Fortescue_SDExport'!AN:AN), IF(_xlpm.result=0,"",_xlpm.result))</f>
        <v/>
      </c>
      <c r="E40" s="2" t="str">
        <f>_xlfn.XLOOKUP(R40&amp;Z40,Lookups!A:A,Lookups!B:B)</f>
        <v>System - Project Interface</v>
      </c>
      <c r="F40" s="2" t="str">
        <f>_xlfn.LET(_xlpm.result, _xlfn.XLOOKUP(A40,'EA-Fortescue_SDExport'!A:A,'EA-Fortescue_SDExport'!AP:AP), IF(_xlpm.result=0,"",_xlpm.result))</f>
        <v>Technical-Electrical</v>
      </c>
      <c r="G40" s="2" t="str">
        <f>IF(OR(AND(T40&lt;&gt;"", COUNTIF(Lookups!J:J, "*"&amp;T40&amp;"*")&gt;0), AND(AB40&lt;&gt;"", COUNTIF(Lookups!J:J, "*"&amp;AB40&amp;"*")&gt;0)), "Yes", "No")</f>
        <v>No</v>
      </c>
      <c r="H40" s="2" t="str">
        <f t="shared" si="1"/>
        <v>854DC Green Power|855DC Decarb Green Systems</v>
      </c>
      <c r="I40" s="2" t="str">
        <f t="shared" si="2"/>
        <v>854DC-1521 HV Substations|855DC-1543 Existing Systems - Green Enhancement</v>
      </c>
      <c r="J40" s="2" t="str">
        <f t="shared" si="3"/>
        <v>N/A|855DC-1543-008 Monarch</v>
      </c>
      <c r="K40" s="2" t="str">
        <f>_xlfn.XLOOKUP(A40,'EA-Fortescue_SDExport'!A:A,'EA-Fortescue_SDExport'!N:N)</f>
        <v>Proposed</v>
      </c>
      <c r="L40" s="2" t="str">
        <f>_xlfn.LET(_xlpm.result, _xlfn.XLOOKUP($A40,'EA-Fortescue_SDExport'!$A:$A,'EA-Fortescue_SDExport'!AQ:AQ), IF(_xlpm.result=0,"",_xlpm.result))</f>
        <v>This interface connects site substations to the Monarch energy monitoring and management platform.</v>
      </c>
      <c r="M40" s="2" t="str">
        <f>_xlfn.LET(_xlpm.result, _xlfn.XLOOKUP($A40,'EA-Fortescue_SDExport'!$A:$A,'EA-Fortescue_SDExport'!AR:AR), IF(_xlpm.result=0,"",_xlpm.result))</f>
        <v>HIGH</v>
      </c>
      <c r="N40" s="2" t="str">
        <f>_xlfn.LET(_xlpm.result, _xlfn.XLOOKUP($A40,'EA-Fortescue_SDExport'!$A:$A,'EA-Fortescue_SDExport'!AW:AW), IF(_xlpm.result=0,"",_xlpm.result))</f>
        <v>The criticality level is HIGH because losing visibility or control of a substation can cause site-wide electrical risks or unplanned power loss. This may lead to production stoppages or safety issues, as substations are critical electrical nodes.</v>
      </c>
      <c r="O40" s="2" t="str">
        <f>_xlfn.LET(_xlpm.result, _xlfn.XLOOKUP($A40,'EA-Fortescue_SDExport'!$A:$A,'EA-Fortescue_SDExport'!AV:AV), IF(_xlpm.result=0,"",_xlpm.result))</f>
        <v>Data Flow: HV Substations -&gt; Monarch (breaker status, protection relay status, voltage/current measurements, power flows, transformer status, alarms, fault events) for real-time monitoring and situational awareness._x000D_
Control Flow: Monarch -&gt; HV Substations (remote switching commands, open/close breaker commands, load transfer instructions, operating constraints) for supervisory control of distribution assets.</v>
      </c>
      <c r="P40" s="2" t="str">
        <f>_xlfn.LET(_xlpm.result, _xlfn.XLOOKUP($A40,'EA-Fortescue_SDExport'!$A:$A,'EA-Fortescue_SDExport'!D:D), IF(_xlpm.result=0,"",_xlpm.result))</f>
        <v>CSMS Review 30/10/2025: Speak to Energy Ops for this one._x000D_
NH 20/02/2026: Fields updated: Interface Type, Interface Flow.</v>
      </c>
      <c r="Q40" s="2" t="str">
        <f>_xlfn.LET(
    _xlpm.status, _xlfn.XLOOKUP($A40,'EA-ConnectorExport'!$A:$A,'EA-ConnectorExport'!G:G),
    _xlpm.result, _xlfn.XLOOKUP($A40,'EA-ConnectorExport'!$A:$A,'EA-ConnectorExport'!B:B),
    IF(_xlpm.status="allocate", _xlpm.result, "")
)</f>
        <v>854DC-1521 HV Substations</v>
      </c>
      <c r="R40" s="2" t="str">
        <f>IF(
    _xlfn.XLOOKUP($Q40,'EA-Fortescue_SDExport'!A:A,'EA-Fortescue_SDExport'!B:B)="Object",
    _xlfn.XLOOKUP(
        _xlfn.XLOOKUP($A40,'EA-ConnectorExport'!A:A,'EA-ConnectorExport'!D:D),
        'EA-Fortescue_SDExport'!A:A,
        'EA-Fortescue_SDExport'!AA:AA
    ),
    _xlfn.XLOOKUP($Q40,'EA-Fortescue_SDExport'!A:A,'EA-Fortescue_SDExport'!AA:AA)
)</f>
        <v>System</v>
      </c>
      <c r="S40" s="2" t="str">
        <f>_xlfn.LET(_xlpm.result, _xlfn.XLOOKUP($Q40,'EA-Fortescue_SDExport'!$A:$A,'EA-Fortescue_SDExport'!AB:AB), IF(_xlpm.result=0,"",_xlpm.result))</f>
        <v/>
      </c>
      <c r="T40" s="2" t="str">
        <f>_xlfn.LET(_xlpm.result, _xlfn.XLOOKUP($Q40,'EA-Fortescue_SDExport'!$A:$A,'EA-Fortescue_SDExport'!AC:AC), IF(_xlpm.result=0,"",_xlpm.result))</f>
        <v>Generic Physical Asset</v>
      </c>
      <c r="U40" s="2" t="str">
        <f>_xlfn.LET(
    _xlpm.isObject, _xlfn.XLOOKUP($Q40,'EA-Fortescue_SDExport'!A:A,'EA-Fortescue_SDExport'!B:B),
    _xlpm.lookupKey, IF(_xlpm.isObject="Object",
        _xlfn.XLOOKUP($A40,'EA-ConnectorExport'!A:A,'EA-ConnectorExport'!D:D),
        $Q40
    ),
    _xlpm.result, _xlfn.XLOOKUP(_xlpm.lookupKey,'EA-Fortescue_SDExport'!A:A,'EA-Fortescue_SDExport'!AD:AD),
    IF(_xlpm.result=0,"",_xlpm.result)
)</f>
        <v>854DC Green Power</v>
      </c>
      <c r="V40" s="2" t="str">
        <f>_xlfn.LET(
    _xlpm.isObject, _xlfn.XLOOKUP($Q40,'EA-Fortescue_SDExport'!A:A,'EA-Fortescue_SDExport'!B:B),
    _xlpm.lookupKey, IF(_xlpm.isObject="Object",
        _xlfn.XLOOKUP($A40,'EA-ConnectorExport'!A:A,'EA-ConnectorExport'!D:D),
        $Q40
    ),
    _xlpm.result, _xlfn.XLOOKUP(_xlpm.lookupKey,'EA-Fortescue_SDExport'!A:A,'EA-Fortescue_SDExport'!AE:AE),
    IF(_xlpm.result=0,"",_xlpm.result)
)</f>
        <v>854DC-1521 HV Substations</v>
      </c>
      <c r="W40" s="2" t="str">
        <f>_xlfn.LET(
    _xlpm.isObject, _xlfn.XLOOKUP($Q40,'EA-Fortescue_SDExport'!A:A,'EA-Fortescue_SDExport'!B:B),
    _xlpm.lookupKey, IF(_xlpm.isObject="Object",
        _xlfn.XLOOKUP($A40,'EA-ConnectorExport'!A:A,'EA-ConnectorExport'!D:D),
        $Q40
    ),
    _xlpm.result, _xlfn.XLOOKUP(_xlpm.lookupKey,'EA-Fortescue_SDExport'!A:A,'EA-Fortescue_SDExport'!AF:AF),
    IF(_xlpm.result=0,"",_xlpm.result)
)</f>
        <v/>
      </c>
      <c r="X40" s="2" t="str">
        <f>_xlfn.LET(
    _xlpm.isObject, _xlfn.XLOOKUP($Q40,'EA-Fortescue_SDExport'!A:A,'EA-Fortescue_SDExport'!B:B),
    _xlpm.lookupKey, IF(_xlpm.isObject="Object",
        _xlfn.XLOOKUP($A40,'EA-ConnectorExport'!A:A,'EA-ConnectorExport'!D:D),
        $Q40
    ),
    _xlpm.result, _xlfn.XLOOKUP(_xlpm.lookupKey,'EA-Fortescue_SDExport'!A:A,'EA-Fortescue_SDExport'!AG:AG),
    IF(_xlpm.result=0,"",_xlpm.result)
)</f>
        <v/>
      </c>
      <c r="Y40" s="2" t="str">
        <f>_xlfn.LET(
    _xlpm.status, _xlfn.XLOOKUP($A40,'EA-ConnectorExport'!$A:$A,'EA-ConnectorExport'!G:G),
    _xlpm.result, _xlfn.XLOOKUP($A40,'EA-ConnectorExport'!$A:$A,'EA-ConnectorExport'!H:H),
    IF(_xlpm.status="allocate", _xlpm.result, "")
)</f>
        <v>855DC-1543-008 Monarch</v>
      </c>
      <c r="Z40" s="2" t="str">
        <f>_xlfn.LET(
    _xlpm.isObject, _xlfn.XLOOKUP($Y40,'EA-Fortescue_SDExport'!A:A,'EA-Fortescue_SDExport'!B:B),
    _xlpm.lookupKey, IF(_xlpm.isObject="Object",
        _xlfn.XLOOKUP($A40,'EA-ConnectorExport'!A:A,'EA-ConnectorExport'!J:J),
        $Y40
    ),
    _xlpm.result, _xlfn.XLOOKUP(_xlpm.lookupKey,'EA-Fortescue_SDExport'!A:A,'EA-Fortescue_SDExport'!AA:AA),
    IF(_xlpm.result=0,"",_xlpm.result)
)</f>
        <v>Project</v>
      </c>
      <c r="AA40" s="2" t="str">
        <f>_xlfn.LET(_xlpm.result, _xlfn.XLOOKUP($Y40,'EA-Fortescue_SDExport'!$A:$A,'EA-Fortescue_SDExport'!AB:AB), IF(_xlpm.result=0,"",_xlpm.result))</f>
        <v>Energy Operations</v>
      </c>
      <c r="AB40" s="2" t="str">
        <f>_xlfn.LET(_xlpm.result, _xlfn.XLOOKUP($Y40,'EA-Fortescue_SDExport'!$A:$A,'EA-Fortescue_SDExport'!AC:AC), IF(_xlpm.result=0,"",_xlpm.result))</f>
        <v/>
      </c>
      <c r="AC40" s="2" t="str">
        <f>_xlfn.LET(
    _xlpm.isObject, _xlfn.XLOOKUP($Y40,'EA-Fortescue_SDExport'!A:A,'EA-Fortescue_SDExport'!B:B),
    _xlpm.lookupKey, IF(_xlpm.isObject="Object",
        _xlfn.XLOOKUP($A40,'EA-ConnectorExport'!A:A,'EA-ConnectorExport'!J:J),
        $Y40
    ),
    _xlpm.result, _xlfn.XLOOKUP(_xlpm.lookupKey,'EA-Fortescue_SDExport'!A:A,'EA-Fortescue_SDExport'!AD:AD),
    IF(_xlpm.result=0,"",_xlpm.result)
)</f>
        <v>855DC Decarb Green Systems</v>
      </c>
      <c r="AD40" s="2" t="str">
        <f>_xlfn.LET(
    _xlpm.isObject, _xlfn.XLOOKUP($Y40,'EA-Fortescue_SDExport'!A:A,'EA-Fortescue_SDExport'!B:B),
    _xlpm.lookupKey, IF(_xlpm.isObject="Object",
        _xlfn.XLOOKUP($A40,'EA-ConnectorExport'!A:A,'EA-ConnectorExport'!J:J),
        $Y40
    ),
    _xlpm.result, _xlfn.XLOOKUP(_xlpm.lookupKey,'EA-Fortescue_SDExport'!A:A,'EA-Fortescue_SDExport'!AE:AE),
    IF(_xlpm.result=0,"",_xlpm.result)
)</f>
        <v>855DC-1543 Existing Systems - Green Enhancement</v>
      </c>
      <c r="AE40" s="2" t="str">
        <f>_xlfn.LET(
    _xlpm.isObject, _xlfn.XLOOKUP($Y40,'EA-Fortescue_SDExport'!A:A,'EA-Fortescue_SDExport'!B:B),
    _xlpm.lookupKey, IF(_xlpm.isObject="Object",
        _xlfn.XLOOKUP($A40,'EA-ConnectorExport'!A:A,'EA-ConnectorExport'!J:J),
        $Y40
    ),
    _xlpm.result, _xlfn.XLOOKUP(_xlpm.lookupKey,'EA-Fortescue_SDExport'!A:A,'EA-Fortescue_SDExport'!AF:AF),
    IF(_xlpm.result=0,"",_xlpm.result)
)</f>
        <v>855DC-1543-008 Monarch</v>
      </c>
      <c r="AF40" s="2" t="str">
        <f>_xlfn.LET(
    _xlpm.isObject, _xlfn.XLOOKUP($Y40,'EA-Fortescue_SDExport'!A:A,'EA-Fortescue_SDExport'!B:B),
    _xlpm.lookupKey, IF(_xlpm.isObject="Object",
        _xlfn.XLOOKUP($A40,'EA-ConnectorExport'!A:A,'EA-ConnectorExport'!J:J),
        $Y40
    ),
    _xlpm.result, _xlfn.XLOOKUP(_xlpm.lookupKey,'EA-Fortescue_SDExport'!A:A,'EA-Fortescue_SDExport'!AG:AG),
    IF(_xlpm.result=0,"",_xlpm.result)
)</f>
        <v/>
      </c>
    </row>
    <row r="41" spans="1:32" ht="300" x14ac:dyDescent="0.25">
      <c r="A41" s="2" t="str">
        <v>DGS-I_0040</v>
      </c>
      <c r="B41" s="2" t="str">
        <f t="shared" si="0"/>
        <v>854DC-5660 HV Transmission lines|855DC-1543-PPC Pit Power Capacity Planning Tool - Capacity Check</v>
      </c>
      <c r="C41" s="2" t="str">
        <f>_xlfn.LET(_xlpm.result, _xlfn.XLOOKUP(A41,'EA-Fortescue_SDExport'!A:A,'EA-Fortescue_SDExport'!AM:AM), IF(_xlpm.result=0,"",_xlpm.result))</f>
        <v/>
      </c>
      <c r="D41" s="2" t="str">
        <f>_xlfn.LET(_xlpm.result, _xlfn.XLOOKUP(A41,'EA-Fortescue_SDExport'!A:A,'EA-Fortescue_SDExport'!AN:AN), IF(_xlpm.result=0,"",_xlpm.result))</f>
        <v/>
      </c>
      <c r="E41" s="2" t="str">
        <f>_xlfn.XLOOKUP(R41&amp;Z41,Lookups!A:A,Lookups!B:B)</f>
        <v>System - Project Interface</v>
      </c>
      <c r="F41" s="2" t="str">
        <f>_xlfn.LET(_xlpm.result, _xlfn.XLOOKUP(A41,'EA-Fortescue_SDExport'!A:A,'EA-Fortescue_SDExport'!AP:AP), IF(_xlpm.result=0,"",_xlpm.result))</f>
        <v>Technical - Data/Software</v>
      </c>
      <c r="G41" s="2" t="str">
        <f>IF(OR(AND(T41&lt;&gt;"", COUNTIF(Lookups!J:J, "*"&amp;T41&amp;"*")&gt;0), AND(AB41&lt;&gt;"", COUNTIF(Lookups!J:J, "*"&amp;AB41&amp;"*")&gt;0)), "Yes", "No")</f>
        <v>No</v>
      </c>
      <c r="H41" s="2" t="str">
        <f t="shared" si="1"/>
        <v>854DC Green Power|855DC Decarb Green Systems</v>
      </c>
      <c r="I41" s="2" t="str">
        <f t="shared" si="2"/>
        <v>854DC-5660 HV Transmission lines|N/A</v>
      </c>
      <c r="J41" s="2" t="str">
        <f t="shared" si="3"/>
        <v>N/A|855DC-1543-PPC Pit Power Capacity Planning Tool - Capacity Check</v>
      </c>
      <c r="K41" s="2" t="str">
        <f>_xlfn.XLOOKUP(A41,'EA-Fortescue_SDExport'!A:A,'EA-Fortescue_SDExport'!N:N)</f>
        <v>Proposed</v>
      </c>
      <c r="L41" s="2" t="str">
        <f>_xlfn.LET(_xlpm.result, _xlfn.XLOOKUP($A41,'EA-Fortescue_SDExport'!$A:$A,'EA-Fortescue_SDExport'!AQ:AQ), IF(_xlpm.result=0,"",_xlpm.result))</f>
        <v>This interface enables Pit Power Capacity Planning Tool - Capacity Check to reference and assess the capacity, constraints, and operational limits of the HV Transmission Lines. The tool uses network ratings and configuration data to evaluate power transfer capability and identify potential bottlenecks or overload risks during capacity validation studies. The interface supports engineering assessment but does not directly control or operate the physical assets.</v>
      </c>
      <c r="M41" s="2" t="str">
        <f>_xlfn.LET(_xlpm.result, _xlfn.XLOOKUP($A41,'EA-Fortescue_SDExport'!$A:$A,'EA-Fortescue_SDExport'!AR:AR), IF(_xlpm.result=0,"",_xlpm.result))</f>
        <v>MEDIUM</v>
      </c>
      <c r="N41" s="2" t="str">
        <f>_xlfn.LET(_xlpm.result, _xlfn.XLOOKUP($A41,'EA-Fortescue_SDExport'!$A:$A,'EA-Fortescue_SDExport'!AW:AW), IF(_xlpm.result=0,"",_xlpm.result))</f>
        <v>The criticality is MEDIUM because inaccurate or unavailable transmission data may result in incorrect capacity assessments and planning decisions. However, this interface does not directly impact real-time protection, control, or system safety, and physical network operation remains independent of the planning tool.</v>
      </c>
      <c r="O41" s="2" t="str">
        <f>_xlfn.LET(_xlpm.result, _xlfn.XLOOKUP($A41,'EA-Fortescue_SDExport'!$A:$A,'EA-Fortescue_SDExport'!AV:AV), IF(_xlpm.result=0,"",_xlpm.result))</f>
        <v>HV Transmission Lines -&gt; Pit Power Capacity Planning Tool - Capacity Check</v>
      </c>
      <c r="P41" s="2" t="str">
        <f>_xlfn.LET(_xlpm.result, _xlfn.XLOOKUP($A41,'EA-Fortescue_SDExport'!$A:$A,'EA-Fortescue_SDExport'!D:D),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41" s="2" t="str">
        <f>_xlfn.LET(
    _xlpm.status, _xlfn.XLOOKUP($A41,'EA-ConnectorExport'!$A:$A,'EA-ConnectorExport'!G:G),
    _xlpm.result, _xlfn.XLOOKUP($A41,'EA-ConnectorExport'!$A:$A,'EA-ConnectorExport'!B:B),
    IF(_xlpm.status="allocate", _xlpm.result, "")
)</f>
        <v>854DC-5660 HV Transmission lines</v>
      </c>
      <c r="R41" s="2" t="str">
        <f>IF(
    _xlfn.XLOOKUP($Q41,'EA-Fortescue_SDExport'!A:A,'EA-Fortescue_SDExport'!B:B)="Object",
    _xlfn.XLOOKUP(
        _xlfn.XLOOKUP($A41,'EA-ConnectorExport'!A:A,'EA-ConnectorExport'!D:D),
        'EA-Fortescue_SDExport'!A:A,
        'EA-Fortescue_SDExport'!AA:AA
    ),
    _xlfn.XLOOKUP($Q41,'EA-Fortescue_SDExport'!A:A,'EA-Fortescue_SDExport'!AA:AA)
)</f>
        <v>System</v>
      </c>
      <c r="S41" s="2" t="str">
        <f>_xlfn.LET(_xlpm.result, _xlfn.XLOOKUP($Q41,'EA-Fortescue_SDExport'!$A:$A,'EA-Fortescue_SDExport'!AB:AB), IF(_xlpm.result=0,"",_xlpm.result))</f>
        <v/>
      </c>
      <c r="T41" s="2" t="str">
        <f>_xlfn.LET(_xlpm.result, _xlfn.XLOOKUP($Q41,'EA-Fortescue_SDExport'!$A:$A,'EA-Fortescue_SDExport'!AC:AC), IF(_xlpm.result=0,"",_xlpm.result))</f>
        <v>Generic Physical Asset</v>
      </c>
      <c r="U41" s="2" t="str">
        <f>_xlfn.LET(
    _xlpm.isObject, _xlfn.XLOOKUP($Q41,'EA-Fortescue_SDExport'!A:A,'EA-Fortescue_SDExport'!B:B),
    _xlpm.lookupKey, IF(_xlpm.isObject="Object",
        _xlfn.XLOOKUP($A41,'EA-ConnectorExport'!A:A,'EA-ConnectorExport'!D:D),
        $Q41
    ),
    _xlpm.result, _xlfn.XLOOKUP(_xlpm.lookupKey,'EA-Fortescue_SDExport'!A:A,'EA-Fortescue_SDExport'!AD:AD),
    IF(_xlpm.result=0,"",_xlpm.result)
)</f>
        <v>854DC Green Power</v>
      </c>
      <c r="V41" s="2" t="str">
        <f>_xlfn.LET(
    _xlpm.isObject, _xlfn.XLOOKUP($Q41,'EA-Fortescue_SDExport'!A:A,'EA-Fortescue_SDExport'!B:B),
    _xlpm.lookupKey, IF(_xlpm.isObject="Object",
        _xlfn.XLOOKUP($A41,'EA-ConnectorExport'!A:A,'EA-ConnectorExport'!D:D),
        $Q41
    ),
    _xlpm.result, _xlfn.XLOOKUP(_xlpm.lookupKey,'EA-Fortescue_SDExport'!A:A,'EA-Fortescue_SDExport'!AE:AE),
    IF(_xlpm.result=0,"",_xlpm.result)
)</f>
        <v>854DC-5660 HV Transmission lines</v>
      </c>
      <c r="W41" s="2" t="str">
        <f>_xlfn.LET(
    _xlpm.isObject, _xlfn.XLOOKUP($Q41,'EA-Fortescue_SDExport'!A:A,'EA-Fortescue_SDExport'!B:B),
    _xlpm.lookupKey, IF(_xlpm.isObject="Object",
        _xlfn.XLOOKUP($A41,'EA-ConnectorExport'!A:A,'EA-ConnectorExport'!D:D),
        $Q41
    ),
    _xlpm.result, _xlfn.XLOOKUP(_xlpm.lookupKey,'EA-Fortescue_SDExport'!A:A,'EA-Fortescue_SDExport'!AF:AF),
    IF(_xlpm.result=0,"",_xlpm.result)
)</f>
        <v/>
      </c>
      <c r="X41" s="2" t="str">
        <f>_xlfn.LET(
    _xlpm.isObject, _xlfn.XLOOKUP($Q41,'EA-Fortescue_SDExport'!A:A,'EA-Fortescue_SDExport'!B:B),
    _xlpm.lookupKey, IF(_xlpm.isObject="Object",
        _xlfn.XLOOKUP($A41,'EA-ConnectorExport'!A:A,'EA-ConnectorExport'!D:D),
        $Q41
    ),
    _xlpm.result, _xlfn.XLOOKUP(_xlpm.lookupKey,'EA-Fortescue_SDExport'!A:A,'EA-Fortescue_SDExport'!AG:AG),
    IF(_xlpm.result=0,"",_xlpm.result)
)</f>
        <v/>
      </c>
      <c r="Y41" s="2" t="str">
        <f>_xlfn.LET(
    _xlpm.status, _xlfn.XLOOKUP($A41,'EA-ConnectorExport'!$A:$A,'EA-ConnectorExport'!G:G),
    _xlpm.result, _xlfn.XLOOKUP($A41,'EA-ConnectorExport'!$A:$A,'EA-ConnectorExport'!H:H),
    IF(_xlpm.status="allocate", _xlpm.result, "")
)</f>
        <v>855DC-1543-PPC Pit Power Capacity Planning Tool - Capacity Check</v>
      </c>
      <c r="Z41" s="2" t="str">
        <f>_xlfn.LET(
    _xlpm.isObject, _xlfn.XLOOKUP($Y41,'EA-Fortescue_SDExport'!A:A,'EA-Fortescue_SDExport'!B:B),
    _xlpm.lookupKey, IF(_xlpm.isObject="Object",
        _xlfn.XLOOKUP($A41,'EA-ConnectorExport'!A:A,'EA-ConnectorExport'!J:J),
        $Y41
    ),
    _xlpm.result, _xlfn.XLOOKUP(_xlpm.lookupKey,'EA-Fortescue_SDExport'!A:A,'EA-Fortescue_SDExport'!AA:AA),
    IF(_xlpm.result=0,"",_xlpm.result)
)</f>
        <v>Project</v>
      </c>
      <c r="AA41" s="2" t="str">
        <f>_xlfn.LET(_xlpm.result, _xlfn.XLOOKUP($Y41,'EA-Fortescue_SDExport'!$A:$A,'EA-Fortescue_SDExport'!AB:AB), IF(_xlpm.result=0,"",_xlpm.result))</f>
        <v>Operations Planning</v>
      </c>
      <c r="AB41" s="2" t="str">
        <f>_xlfn.LET(_xlpm.result, _xlfn.XLOOKUP($Y41,'EA-Fortescue_SDExport'!$A:$A,'EA-Fortescue_SDExport'!AC:AC), IF(_xlpm.result=0,"",_xlpm.result))</f>
        <v>AWS Fortescue Infrastructure</v>
      </c>
      <c r="AC41" s="2" t="str">
        <f>_xlfn.LET(
    _xlpm.isObject, _xlfn.XLOOKUP($Y41,'EA-Fortescue_SDExport'!A:A,'EA-Fortescue_SDExport'!B:B),
    _xlpm.lookupKey, IF(_xlpm.isObject="Object",
        _xlfn.XLOOKUP($A41,'EA-ConnectorExport'!A:A,'EA-ConnectorExport'!J:J),
        $Y41
    ),
    _xlpm.result, _xlfn.XLOOKUP(_xlpm.lookupKey,'EA-Fortescue_SDExport'!A:A,'EA-Fortescue_SDExport'!AD:AD),
    IF(_xlpm.result=0,"",_xlpm.result)
)</f>
        <v>855DC Decarb Green Systems</v>
      </c>
      <c r="AD41" s="2" t="str">
        <f>_xlfn.LET(
    _xlpm.isObject, _xlfn.XLOOKUP($Y41,'EA-Fortescue_SDExport'!A:A,'EA-Fortescue_SDExport'!B:B),
    _xlpm.lookupKey, IF(_xlpm.isObject="Object",
        _xlfn.XLOOKUP($A41,'EA-ConnectorExport'!A:A,'EA-ConnectorExport'!J:J),
        $Y41
    ),
    _xlpm.result, _xlfn.XLOOKUP(_xlpm.lookupKey,'EA-Fortescue_SDExport'!A:A,'EA-Fortescue_SDExport'!AE:AE),
    IF(_xlpm.result=0,"",_xlpm.result)
)</f>
        <v/>
      </c>
      <c r="AE41" s="2" t="str">
        <f>_xlfn.LET(
    _xlpm.isObject, _xlfn.XLOOKUP($Y41,'EA-Fortescue_SDExport'!A:A,'EA-Fortescue_SDExport'!B:B),
    _xlpm.lookupKey, IF(_xlpm.isObject="Object",
        _xlfn.XLOOKUP($A41,'EA-ConnectorExport'!A:A,'EA-ConnectorExport'!J:J),
        $Y41
    ),
    _xlpm.result, _xlfn.XLOOKUP(_xlpm.lookupKey,'EA-Fortescue_SDExport'!A:A,'EA-Fortescue_SDExport'!AF:AF),
    IF(_xlpm.result=0,"",_xlpm.result)
)</f>
        <v>855DC-1543-PPC Pit Power Capacity Planning Tool - Capacity Check</v>
      </c>
      <c r="AF41" s="2" t="str">
        <f>_xlfn.LET(
    _xlpm.isObject, _xlfn.XLOOKUP($Y41,'EA-Fortescue_SDExport'!A:A,'EA-Fortescue_SDExport'!B:B),
    _xlpm.lookupKey, IF(_xlpm.isObject="Object",
        _xlfn.XLOOKUP($A41,'EA-ConnectorExport'!A:A,'EA-ConnectorExport'!J:J),
        $Y41
    ),
    _xlpm.result, _xlfn.XLOOKUP(_xlpm.lookupKey,'EA-Fortescue_SDExport'!A:A,'EA-Fortescue_SDExport'!AG:AG),
    IF(_xlpm.result=0,"",_xlpm.result)
)</f>
        <v/>
      </c>
    </row>
    <row r="42" spans="1:32" ht="300" x14ac:dyDescent="0.25">
      <c r="A42" s="2" t="str">
        <v>DGS-I_0041</v>
      </c>
      <c r="B42" s="2" t="str">
        <f t="shared" si="0"/>
        <v>853DC-1561 Drill Rig|855DC-1543-PPC Pit Power Capacity Planning Tool - Capacity Check</v>
      </c>
      <c r="C42" s="2" t="str">
        <f>_xlfn.LET(_xlpm.result, _xlfn.XLOOKUP(A42,'EA-Fortescue_SDExport'!A:A,'EA-Fortescue_SDExport'!AM:AM), IF(_xlpm.result=0,"",_xlpm.result))</f>
        <v/>
      </c>
      <c r="D42" s="2" t="str">
        <f>_xlfn.LET(_xlpm.result, _xlfn.XLOOKUP(A42,'EA-Fortescue_SDExport'!A:A,'EA-Fortescue_SDExport'!AN:AN), IF(_xlpm.result=0,"",_xlpm.result))</f>
        <v/>
      </c>
      <c r="E42" s="2" t="str">
        <f>_xlfn.XLOOKUP(R42&amp;Z42,Lookups!A:A,Lookups!B:B)</f>
        <v>System - Project Interface</v>
      </c>
      <c r="F42" s="2" t="str">
        <f>_xlfn.LET(_xlpm.result, _xlfn.XLOOKUP(A42,'EA-Fortescue_SDExport'!A:A,'EA-Fortescue_SDExport'!AP:AP), IF(_xlpm.result=0,"",_xlpm.result))</f>
        <v>Technical - Data/Software</v>
      </c>
      <c r="G42" s="2" t="str">
        <f>IF(OR(AND(T42&lt;&gt;"", COUNTIF(Lookups!J:J, "*"&amp;T42&amp;"*")&gt;0), AND(AB42&lt;&gt;"", COUNTIF(Lookups!J:J, "*"&amp;AB42&amp;"*")&gt;0)), "Yes", "No")</f>
        <v>No</v>
      </c>
      <c r="H42" s="2" t="str">
        <f t="shared" si="1"/>
        <v>853DC Decarb Ancillary|855DC Decarb Green Systems</v>
      </c>
      <c r="I42" s="2" t="str">
        <f t="shared" si="2"/>
        <v>853DC-1561 Drill Rig|N/A</v>
      </c>
      <c r="J42" s="2" t="str">
        <f t="shared" si="3"/>
        <v>N/A|855DC-1543-PPC Pit Power Capacity Planning Tool - Capacity Check</v>
      </c>
      <c r="K42" s="2" t="str">
        <f>_xlfn.XLOOKUP(A42,'EA-Fortescue_SDExport'!A:A,'EA-Fortescue_SDExport'!N:N)</f>
        <v>Proposed</v>
      </c>
      <c r="L42" s="2" t="str">
        <f>_xlfn.LET(_xlpm.result, _xlfn.XLOOKUP($A42,'EA-Fortescue_SDExport'!$A:$A,'EA-Fortescue_SDExport'!AQ:AQ), IF(_xlpm.result=0,"",_xlpm.result))</f>
        <v>This interface enables Pit Power Capacity Planning Tool - Capacity Check to reference load demand characteristics and operating profiles of the Drill Rig fleet. The tool uses this information to assess peak demand, diversity, and network capacity impacts during power system capacity validation studies. The interface is analytical only and does not control or influence drill rig operation.</v>
      </c>
      <c r="M42" s="2" t="str">
        <f>_xlfn.LET(_xlpm.result, _xlfn.XLOOKUP($A42,'EA-Fortescue_SDExport'!$A:$A,'EA-Fortescue_SDExport'!AR:AR), IF(_xlpm.result=0,"",_xlpm.result))</f>
        <v>MEDIUM</v>
      </c>
      <c r="N42" s="2" t="str">
        <f>_xlfn.LET(_xlpm.result, _xlfn.XLOOKUP($A42,'EA-Fortescue_SDExport'!$A:$A,'EA-Fortescue_SDExport'!AW:AW), IF(_xlpm.result=0,"",_xlpm.result))</f>
        <v>The criticality level is MEDIUM because inaccurate or unavailable drill rig load data may lead to incorrect capacity assessments or infrastructure sizing decisions. However, this interface does not affect real-time drill rig control, protection systems, or operational safety.</v>
      </c>
      <c r="O42" s="2" t="str">
        <f>_xlfn.LET(_xlpm.result, _xlfn.XLOOKUP($A42,'EA-Fortescue_SDExport'!$A:$A,'EA-Fortescue_SDExport'!AV:AV), IF(_xlpm.result=0,"",_xlpm.result))</f>
        <v>Drill Rig -&gt; Pit Power Capacity Planning Tool - Capacity Check</v>
      </c>
      <c r="P42" s="2" t="str">
        <f>_xlfn.LET(_xlpm.result, _xlfn.XLOOKUP($A42,'EA-Fortescue_SDExport'!$A:$A,'EA-Fortescue_SDExport'!D:D),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42" s="2" t="str">
        <f>_xlfn.LET(
    _xlpm.status, _xlfn.XLOOKUP($A42,'EA-ConnectorExport'!$A:$A,'EA-ConnectorExport'!G:G),
    _xlpm.result, _xlfn.XLOOKUP($A42,'EA-ConnectorExport'!$A:$A,'EA-ConnectorExport'!B:B),
    IF(_xlpm.status="allocate", _xlpm.result, "")
)</f>
        <v>853DC-1561 Drill Rig</v>
      </c>
      <c r="R42" s="2" t="str">
        <f>IF(
    _xlfn.XLOOKUP($Q42,'EA-Fortescue_SDExport'!A:A,'EA-Fortescue_SDExport'!B:B)="Object",
    _xlfn.XLOOKUP(
        _xlfn.XLOOKUP($A42,'EA-ConnectorExport'!A:A,'EA-ConnectorExport'!D:D),
        'EA-Fortescue_SDExport'!A:A,
        'EA-Fortescue_SDExport'!AA:AA
    ),
    _xlfn.XLOOKUP($Q42,'EA-Fortescue_SDExport'!A:A,'EA-Fortescue_SDExport'!AA:AA)
)</f>
        <v>System</v>
      </c>
      <c r="S42" s="2" t="str">
        <f>_xlfn.LET(_xlpm.result, _xlfn.XLOOKUP($Q42,'EA-Fortescue_SDExport'!$A:$A,'EA-Fortescue_SDExport'!AB:AB), IF(_xlpm.result=0,"",_xlpm.result))</f>
        <v/>
      </c>
      <c r="T42" s="2" t="str">
        <f>_xlfn.LET(_xlpm.result, _xlfn.XLOOKUP($Q42,'EA-Fortescue_SDExport'!$A:$A,'EA-Fortescue_SDExport'!AC:AC), IF(_xlpm.result=0,"",_xlpm.result))</f>
        <v>Generic Physical Asset</v>
      </c>
      <c r="U42" s="2" t="str">
        <f>_xlfn.LET(
    _xlpm.isObject, _xlfn.XLOOKUP($Q42,'EA-Fortescue_SDExport'!A:A,'EA-Fortescue_SDExport'!B:B),
    _xlpm.lookupKey, IF(_xlpm.isObject="Object",
        _xlfn.XLOOKUP($A42,'EA-ConnectorExport'!A:A,'EA-ConnectorExport'!D:D),
        $Q42
    ),
    _xlpm.result, _xlfn.XLOOKUP(_xlpm.lookupKey,'EA-Fortescue_SDExport'!A:A,'EA-Fortescue_SDExport'!AD:AD),
    IF(_xlpm.result=0,"",_xlpm.result)
)</f>
        <v>853DC Decarb Ancillary</v>
      </c>
      <c r="V42" s="2" t="str">
        <f>_xlfn.LET(
    _xlpm.isObject, _xlfn.XLOOKUP($Q42,'EA-Fortescue_SDExport'!A:A,'EA-Fortescue_SDExport'!B:B),
    _xlpm.lookupKey, IF(_xlpm.isObject="Object",
        _xlfn.XLOOKUP($A42,'EA-ConnectorExport'!A:A,'EA-ConnectorExport'!D:D),
        $Q42
    ),
    _xlpm.result, _xlfn.XLOOKUP(_xlpm.lookupKey,'EA-Fortescue_SDExport'!A:A,'EA-Fortescue_SDExport'!AE:AE),
    IF(_xlpm.result=0,"",_xlpm.result)
)</f>
        <v>853DC-1561 Drill Rig</v>
      </c>
      <c r="W42" s="2" t="str">
        <f>_xlfn.LET(
    _xlpm.isObject, _xlfn.XLOOKUP($Q42,'EA-Fortescue_SDExport'!A:A,'EA-Fortescue_SDExport'!B:B),
    _xlpm.lookupKey, IF(_xlpm.isObject="Object",
        _xlfn.XLOOKUP($A42,'EA-ConnectorExport'!A:A,'EA-ConnectorExport'!D:D),
        $Q42
    ),
    _xlpm.result, _xlfn.XLOOKUP(_xlpm.lookupKey,'EA-Fortescue_SDExport'!A:A,'EA-Fortescue_SDExport'!AF:AF),
    IF(_xlpm.result=0,"",_xlpm.result)
)</f>
        <v/>
      </c>
      <c r="X42" s="2" t="str">
        <f>_xlfn.LET(
    _xlpm.isObject, _xlfn.XLOOKUP($Q42,'EA-Fortescue_SDExport'!A:A,'EA-Fortescue_SDExport'!B:B),
    _xlpm.lookupKey, IF(_xlpm.isObject="Object",
        _xlfn.XLOOKUP($A42,'EA-ConnectorExport'!A:A,'EA-ConnectorExport'!D:D),
        $Q42
    ),
    _xlpm.result, _xlfn.XLOOKUP(_xlpm.lookupKey,'EA-Fortescue_SDExport'!A:A,'EA-Fortescue_SDExport'!AG:AG),
    IF(_xlpm.result=0,"",_xlpm.result)
)</f>
        <v/>
      </c>
      <c r="Y42" s="2" t="str">
        <f>_xlfn.LET(
    _xlpm.status, _xlfn.XLOOKUP($A42,'EA-ConnectorExport'!$A:$A,'EA-ConnectorExport'!G:G),
    _xlpm.result, _xlfn.XLOOKUP($A42,'EA-ConnectorExport'!$A:$A,'EA-ConnectorExport'!H:H),
    IF(_xlpm.status="allocate", _xlpm.result, "")
)</f>
        <v>855DC-1543-PPC Pit Power Capacity Planning Tool - Capacity Check</v>
      </c>
      <c r="Z42" s="2" t="str">
        <f>_xlfn.LET(
    _xlpm.isObject, _xlfn.XLOOKUP($Y42,'EA-Fortescue_SDExport'!A:A,'EA-Fortescue_SDExport'!B:B),
    _xlpm.lookupKey, IF(_xlpm.isObject="Object",
        _xlfn.XLOOKUP($A42,'EA-ConnectorExport'!A:A,'EA-ConnectorExport'!J:J),
        $Y42
    ),
    _xlpm.result, _xlfn.XLOOKUP(_xlpm.lookupKey,'EA-Fortescue_SDExport'!A:A,'EA-Fortescue_SDExport'!AA:AA),
    IF(_xlpm.result=0,"",_xlpm.result)
)</f>
        <v>Project</v>
      </c>
      <c r="AA42" s="2" t="str">
        <f>_xlfn.LET(_xlpm.result, _xlfn.XLOOKUP($Y42,'EA-Fortescue_SDExport'!$A:$A,'EA-Fortescue_SDExport'!AB:AB), IF(_xlpm.result=0,"",_xlpm.result))</f>
        <v>Operations Planning</v>
      </c>
      <c r="AB42" s="2" t="str">
        <f>_xlfn.LET(_xlpm.result, _xlfn.XLOOKUP($Y42,'EA-Fortescue_SDExport'!$A:$A,'EA-Fortescue_SDExport'!AC:AC), IF(_xlpm.result=0,"",_xlpm.result))</f>
        <v>AWS Fortescue Infrastructure</v>
      </c>
      <c r="AC42" s="2" t="str">
        <f>_xlfn.LET(
    _xlpm.isObject, _xlfn.XLOOKUP($Y42,'EA-Fortescue_SDExport'!A:A,'EA-Fortescue_SDExport'!B:B),
    _xlpm.lookupKey, IF(_xlpm.isObject="Object",
        _xlfn.XLOOKUP($A42,'EA-ConnectorExport'!A:A,'EA-ConnectorExport'!J:J),
        $Y42
    ),
    _xlpm.result, _xlfn.XLOOKUP(_xlpm.lookupKey,'EA-Fortescue_SDExport'!A:A,'EA-Fortescue_SDExport'!AD:AD),
    IF(_xlpm.result=0,"",_xlpm.result)
)</f>
        <v>855DC Decarb Green Systems</v>
      </c>
      <c r="AD42" s="2" t="str">
        <f>_xlfn.LET(
    _xlpm.isObject, _xlfn.XLOOKUP($Y42,'EA-Fortescue_SDExport'!A:A,'EA-Fortescue_SDExport'!B:B),
    _xlpm.lookupKey, IF(_xlpm.isObject="Object",
        _xlfn.XLOOKUP($A42,'EA-ConnectorExport'!A:A,'EA-ConnectorExport'!J:J),
        $Y42
    ),
    _xlpm.result, _xlfn.XLOOKUP(_xlpm.lookupKey,'EA-Fortescue_SDExport'!A:A,'EA-Fortescue_SDExport'!AE:AE),
    IF(_xlpm.result=0,"",_xlpm.result)
)</f>
        <v/>
      </c>
      <c r="AE42" s="2" t="str">
        <f>_xlfn.LET(
    _xlpm.isObject, _xlfn.XLOOKUP($Y42,'EA-Fortescue_SDExport'!A:A,'EA-Fortescue_SDExport'!B:B),
    _xlpm.lookupKey, IF(_xlpm.isObject="Object",
        _xlfn.XLOOKUP($A42,'EA-ConnectorExport'!A:A,'EA-ConnectorExport'!J:J),
        $Y42
    ),
    _xlpm.result, _xlfn.XLOOKUP(_xlpm.lookupKey,'EA-Fortescue_SDExport'!A:A,'EA-Fortescue_SDExport'!AF:AF),
    IF(_xlpm.result=0,"",_xlpm.result)
)</f>
        <v>855DC-1543-PPC Pit Power Capacity Planning Tool - Capacity Check</v>
      </c>
      <c r="AF42" s="2" t="str">
        <f>_xlfn.LET(
    _xlpm.isObject, _xlfn.XLOOKUP($Y42,'EA-Fortescue_SDExport'!A:A,'EA-Fortescue_SDExport'!B:B),
    _xlpm.lookupKey, IF(_xlpm.isObject="Object",
        _xlfn.XLOOKUP($A42,'EA-ConnectorExport'!A:A,'EA-ConnectorExport'!J:J),
        $Y42
    ),
    _xlpm.result, _xlfn.XLOOKUP(_xlpm.lookupKey,'EA-Fortescue_SDExport'!A:A,'EA-Fortescue_SDExport'!AG:AG),
    IF(_xlpm.result=0,"",_xlpm.result)
)</f>
        <v/>
      </c>
    </row>
    <row r="43" spans="1:32" ht="409.5" x14ac:dyDescent="0.25">
      <c r="A43" s="2" t="str">
        <v>DGS-I_0042</v>
      </c>
      <c r="B43" s="2" t="str">
        <f t="shared" si="0"/>
        <v>Archive - 852DC Light Mobile Equipment (LME)|855DC-1543-PPC Pit Power Capacity Planning Tool - Capacity Check</v>
      </c>
      <c r="C43" s="2" t="str">
        <f>_xlfn.LET(_xlpm.result, _xlfn.XLOOKUP(A43,'EA-Fortescue_SDExport'!A:A,'EA-Fortescue_SDExport'!AM:AM), IF(_xlpm.result=0,"",_xlpm.result))</f>
        <v/>
      </c>
      <c r="D43" s="2" t="str">
        <f>_xlfn.LET(_xlpm.result, _xlfn.XLOOKUP(A43,'EA-Fortescue_SDExport'!A:A,'EA-Fortescue_SDExport'!AN:AN), IF(_xlpm.result=0,"",_xlpm.result))</f>
        <v/>
      </c>
      <c r="E43" s="2" t="str">
        <f>_xlfn.XLOOKUP(R43&amp;Z43,Lookups!A:A,Lookups!B:B)</f>
        <v>Program - Project Interface</v>
      </c>
      <c r="F43" s="2" t="str">
        <f>_xlfn.LET(_xlpm.result, _xlfn.XLOOKUP(A43,'EA-Fortescue_SDExport'!A:A,'EA-Fortescue_SDExport'!AP:AP), IF(_xlpm.result=0,"",_xlpm.result))</f>
        <v/>
      </c>
      <c r="G43" s="2" t="str">
        <f>IF(OR(AND(T43&lt;&gt;"", COUNTIF(Lookups!J:J, "*"&amp;T43&amp;"*")&gt;0), AND(AB43&lt;&gt;"", COUNTIF(Lookups!J:J, "*"&amp;AB43&amp;"*")&gt;0)), "Yes", "No")</f>
        <v>No</v>
      </c>
      <c r="H43" s="2" t="str">
        <f t="shared" si="1"/>
        <v>N/A|855DC Decarb Green Systems</v>
      </c>
      <c r="I43" s="2" t="str">
        <f t="shared" si="2"/>
        <v>N/A</v>
      </c>
      <c r="J43" s="2" t="str">
        <f t="shared" si="3"/>
        <v>N/A|855DC-1543-PPC Pit Power Capacity Planning Tool - Capacity Check</v>
      </c>
      <c r="K43" s="2" t="str">
        <f>_xlfn.XLOOKUP(A43,'EA-Fortescue_SDExport'!A:A,'EA-Fortescue_SDExport'!N:N)</f>
        <v>Deleted</v>
      </c>
      <c r="L43" s="2" t="str">
        <f>_xlfn.LET(_xlpm.result, _xlfn.XLOOKUP($A43,'EA-Fortescue_SDExport'!$A:$A,'EA-Fortescue_SDExport'!AQ:AQ), IF(_xlpm.result=0,"",_xlpm.result))</f>
        <v/>
      </c>
      <c r="M43" s="2" t="str">
        <f>_xlfn.LET(_xlpm.result, _xlfn.XLOOKUP($A43,'EA-Fortescue_SDExport'!$A:$A,'EA-Fortescue_SDExport'!AR:AR), IF(_xlpm.result=0,"",_xlpm.result))</f>
        <v/>
      </c>
      <c r="N43" s="2" t="str">
        <f>_xlfn.LET(_xlpm.result, _xlfn.XLOOKUP($A43,'EA-Fortescue_SDExport'!$A:$A,'EA-Fortescue_SDExport'!AW:AW), IF(_xlpm.result=0,"",_xlpm.result))</f>
        <v/>
      </c>
      <c r="O43" s="2" t="str">
        <f>_xlfn.LET(_xlpm.result, _xlfn.XLOOKUP($A43,'EA-Fortescue_SDExport'!$A:$A,'EA-Fortescue_SDExport'!AV:AV), IF(_xlpm.result=0,"",_xlpm.result))</f>
        <v/>
      </c>
      <c r="P43" s="2" t="str">
        <f>_xlfn.LET(_xlpm.result, _xlfn.XLOOKUP($A43,'EA-Fortescue_SDExport'!$A:$A,'EA-Fortescue_SDExport'!D:D),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See Diagram A.03.01 Charge Station Management System (CSMS), A.03.02 Load Management System (LMS), and A.02.03 Mine Electrification SCADA: e.g. F.01 Ore Processing Facility (OPF) and F.03 Dewatering Pumps;_x000D_
See Diagram A.02.02 MECO, A.02.04 Monarch, A.01.01 Eclipse, and A.01.03 Delphi: e.g. F.01 Ore Processing Facility (OPF), F.03 Dewatering Pumps, G.02 Field Switches, and G.03 Sub Kiosks;_x000D_
See Diagram A.01.02 LiveWire: e.g. F.01 Ore Processing Facility (OPF), F.03 Dewatering Pumps, G.02 Field Switches, G.03 Sub Kiosks, G.01 Chargers, and B. Heavy Mobile Equipment (HME)._x000D_
SBS-WBS Mapping 02/01/2026: Delete LME &amp;amp; Merge LME &amp;amp; SME to combined Program Level - Interface deleted.</v>
      </c>
      <c r="Q43" s="2" t="str">
        <f>_xlfn.LET(
    _xlpm.status, _xlfn.XLOOKUP($A43,'EA-ConnectorExport'!$A:$A,'EA-ConnectorExport'!G:G),
    _xlpm.result, _xlfn.XLOOKUP($A43,'EA-ConnectorExport'!$A:$A,'EA-ConnectorExport'!B:B),
    IF(_xlpm.status="allocate", _xlpm.result, "")
)</f>
        <v>Archive - 852DC Light Mobile Equipment (LME)</v>
      </c>
      <c r="R43" s="2" t="str">
        <f>IF(
    _xlfn.XLOOKUP($Q43,'EA-Fortescue_SDExport'!A:A,'EA-Fortescue_SDExport'!B:B)="Object",
    _xlfn.XLOOKUP(
        _xlfn.XLOOKUP($A43,'EA-ConnectorExport'!A:A,'EA-ConnectorExport'!D:D),
        'EA-Fortescue_SDExport'!A:A,
        'EA-Fortescue_SDExport'!AA:AA
    ),
    _xlfn.XLOOKUP($Q43,'EA-Fortescue_SDExport'!A:A,'EA-Fortescue_SDExport'!AA:AA)
)</f>
        <v>Program</v>
      </c>
      <c r="S43" s="2" t="str">
        <f>_xlfn.LET(_xlpm.result, _xlfn.XLOOKUP($Q43,'EA-Fortescue_SDExport'!$A:$A,'EA-Fortescue_SDExport'!AB:AB), IF(_xlpm.result=0,"",_xlpm.result))</f>
        <v/>
      </c>
      <c r="T43" s="2" t="str">
        <f>_xlfn.LET(_xlpm.result, _xlfn.XLOOKUP($Q43,'EA-Fortescue_SDExport'!$A:$A,'EA-Fortescue_SDExport'!AC:AC), IF(_xlpm.result=0,"",_xlpm.result))</f>
        <v>Generic Physical Asset</v>
      </c>
      <c r="U43" s="2" t="str">
        <f>_xlfn.LET(
    _xlpm.isObject, _xlfn.XLOOKUP($Q43,'EA-Fortescue_SDExport'!A:A,'EA-Fortescue_SDExport'!B:B),
    _xlpm.lookupKey, IF(_xlpm.isObject="Object",
        _xlfn.XLOOKUP($A43,'EA-ConnectorExport'!A:A,'EA-ConnectorExport'!D:D),
        $Q43
    ),
    _xlpm.result, _xlfn.XLOOKUP(_xlpm.lookupKey,'EA-Fortescue_SDExport'!A:A,'EA-Fortescue_SDExport'!AD:AD),
    IF(_xlpm.result=0,"",_xlpm.result)
)</f>
        <v/>
      </c>
      <c r="V43" s="2" t="str">
        <f>_xlfn.LET(
    _xlpm.isObject, _xlfn.XLOOKUP($Q43,'EA-Fortescue_SDExport'!A:A,'EA-Fortescue_SDExport'!B:B),
    _xlpm.lookupKey, IF(_xlpm.isObject="Object",
        _xlfn.XLOOKUP($A43,'EA-ConnectorExport'!A:A,'EA-ConnectorExport'!D:D),
        $Q43
    ),
    _xlpm.result, _xlfn.XLOOKUP(_xlpm.lookupKey,'EA-Fortescue_SDExport'!A:A,'EA-Fortescue_SDExport'!AE:AE),
    IF(_xlpm.result=0,"",_xlpm.result)
)</f>
        <v/>
      </c>
      <c r="W43" s="2" t="str">
        <f>_xlfn.LET(
    _xlpm.isObject, _xlfn.XLOOKUP($Q43,'EA-Fortescue_SDExport'!A:A,'EA-Fortescue_SDExport'!B:B),
    _xlpm.lookupKey, IF(_xlpm.isObject="Object",
        _xlfn.XLOOKUP($A43,'EA-ConnectorExport'!A:A,'EA-ConnectorExport'!D:D),
        $Q43
    ),
    _xlpm.result, _xlfn.XLOOKUP(_xlpm.lookupKey,'EA-Fortescue_SDExport'!A:A,'EA-Fortescue_SDExport'!AF:AF),
    IF(_xlpm.result=0,"",_xlpm.result)
)</f>
        <v/>
      </c>
      <c r="X43" s="2" t="str">
        <f>_xlfn.LET(
    _xlpm.isObject, _xlfn.XLOOKUP($Q43,'EA-Fortescue_SDExport'!A:A,'EA-Fortescue_SDExport'!B:B),
    _xlpm.lookupKey, IF(_xlpm.isObject="Object",
        _xlfn.XLOOKUP($A43,'EA-ConnectorExport'!A:A,'EA-ConnectorExport'!D:D),
        $Q43
    ),
    _xlpm.result, _xlfn.XLOOKUP(_xlpm.lookupKey,'EA-Fortescue_SDExport'!A:A,'EA-Fortescue_SDExport'!AG:AG),
    IF(_xlpm.result=0,"",_xlpm.result)
)</f>
        <v/>
      </c>
      <c r="Y43" s="2" t="str">
        <f>_xlfn.LET(
    _xlpm.status, _xlfn.XLOOKUP($A43,'EA-ConnectorExport'!$A:$A,'EA-ConnectorExport'!G:G),
    _xlpm.result, _xlfn.XLOOKUP($A43,'EA-ConnectorExport'!$A:$A,'EA-ConnectorExport'!H:H),
    IF(_xlpm.status="allocate", _xlpm.result, "")
)</f>
        <v>855DC-1543-PPC Pit Power Capacity Planning Tool - Capacity Check</v>
      </c>
      <c r="Z43" s="2" t="str">
        <f>_xlfn.LET(
    _xlpm.isObject, _xlfn.XLOOKUP($Y43,'EA-Fortescue_SDExport'!A:A,'EA-Fortescue_SDExport'!B:B),
    _xlpm.lookupKey, IF(_xlpm.isObject="Object",
        _xlfn.XLOOKUP($A43,'EA-ConnectorExport'!A:A,'EA-ConnectorExport'!J:J),
        $Y43
    ),
    _xlpm.result, _xlfn.XLOOKUP(_xlpm.lookupKey,'EA-Fortescue_SDExport'!A:A,'EA-Fortescue_SDExport'!AA:AA),
    IF(_xlpm.result=0,"",_xlpm.result)
)</f>
        <v>Project</v>
      </c>
      <c r="AA43" s="2" t="str">
        <f>_xlfn.LET(_xlpm.result, _xlfn.XLOOKUP($Y43,'EA-Fortescue_SDExport'!$A:$A,'EA-Fortescue_SDExport'!AB:AB), IF(_xlpm.result=0,"",_xlpm.result))</f>
        <v>Operations Planning</v>
      </c>
      <c r="AB43" s="2" t="str">
        <f>_xlfn.LET(_xlpm.result, _xlfn.XLOOKUP($Y43,'EA-Fortescue_SDExport'!$A:$A,'EA-Fortescue_SDExport'!AC:AC), IF(_xlpm.result=0,"",_xlpm.result))</f>
        <v>AWS Fortescue Infrastructure</v>
      </c>
      <c r="AC43" s="2" t="str">
        <f>_xlfn.LET(
    _xlpm.isObject, _xlfn.XLOOKUP($Y43,'EA-Fortescue_SDExport'!A:A,'EA-Fortescue_SDExport'!B:B),
    _xlpm.lookupKey, IF(_xlpm.isObject="Object",
        _xlfn.XLOOKUP($A43,'EA-ConnectorExport'!A:A,'EA-ConnectorExport'!J:J),
        $Y43
    ),
    _xlpm.result, _xlfn.XLOOKUP(_xlpm.lookupKey,'EA-Fortescue_SDExport'!A:A,'EA-Fortescue_SDExport'!AD:AD),
    IF(_xlpm.result=0,"",_xlpm.result)
)</f>
        <v>855DC Decarb Green Systems</v>
      </c>
      <c r="AD43" s="2" t="str">
        <f>_xlfn.LET(
    _xlpm.isObject, _xlfn.XLOOKUP($Y43,'EA-Fortescue_SDExport'!A:A,'EA-Fortescue_SDExport'!B:B),
    _xlpm.lookupKey, IF(_xlpm.isObject="Object",
        _xlfn.XLOOKUP($A43,'EA-ConnectorExport'!A:A,'EA-ConnectorExport'!J:J),
        $Y43
    ),
    _xlpm.result, _xlfn.XLOOKUP(_xlpm.lookupKey,'EA-Fortescue_SDExport'!A:A,'EA-Fortescue_SDExport'!AE:AE),
    IF(_xlpm.result=0,"",_xlpm.result)
)</f>
        <v/>
      </c>
      <c r="AE43" s="2" t="str">
        <f>_xlfn.LET(
    _xlpm.isObject, _xlfn.XLOOKUP($Y43,'EA-Fortescue_SDExport'!A:A,'EA-Fortescue_SDExport'!B:B),
    _xlpm.lookupKey, IF(_xlpm.isObject="Object",
        _xlfn.XLOOKUP($A43,'EA-ConnectorExport'!A:A,'EA-ConnectorExport'!J:J),
        $Y43
    ),
    _xlpm.result, _xlfn.XLOOKUP(_xlpm.lookupKey,'EA-Fortescue_SDExport'!A:A,'EA-Fortescue_SDExport'!AF:AF),
    IF(_xlpm.result=0,"",_xlpm.result)
)</f>
        <v>855DC-1543-PPC Pit Power Capacity Planning Tool - Capacity Check</v>
      </c>
      <c r="AF43" s="2" t="str">
        <f>_xlfn.LET(
    _xlpm.isObject, _xlfn.XLOOKUP($Y43,'EA-Fortescue_SDExport'!A:A,'EA-Fortescue_SDExport'!B:B),
    _xlpm.lookupKey, IF(_xlpm.isObject="Object",
        _xlfn.XLOOKUP($A43,'EA-ConnectorExport'!A:A,'EA-ConnectorExport'!J:J),
        $Y43
    ),
    _xlpm.result, _xlfn.XLOOKUP(_xlpm.lookupKey,'EA-Fortescue_SDExport'!A:A,'EA-Fortescue_SDExport'!AG:AG),
    IF(_xlpm.result=0,"",_xlpm.result)
)</f>
        <v/>
      </c>
    </row>
    <row r="44" spans="1:32" ht="45" x14ac:dyDescent="0.25">
      <c r="A44" s="2" t="str">
        <v>DGS-I_0043</v>
      </c>
      <c r="B44" s="2" t="str">
        <f t="shared" si="0"/>
        <v>855DC-1541-ECL Eclipse|003OP-1800 Gas pipeline</v>
      </c>
      <c r="C44" s="2" t="str">
        <f>_xlfn.LET(_xlpm.result, _xlfn.XLOOKUP(A44,'EA-Fortescue_SDExport'!A:A,'EA-Fortescue_SDExport'!AM:AM), IF(_xlpm.result=0,"",_xlpm.result))</f>
        <v/>
      </c>
      <c r="D44" s="2" t="str">
        <f>_xlfn.LET(_xlpm.result, _xlfn.XLOOKUP(A44,'EA-Fortescue_SDExport'!A:A,'EA-Fortescue_SDExport'!AN:AN), IF(_xlpm.result=0,"",_xlpm.result))</f>
        <v/>
      </c>
      <c r="E44" s="2" t="str">
        <f>_xlfn.XLOOKUP(R44&amp;Z44,Lookups!A:A,Lookups!B:B)</f>
        <v>System - Project Interface</v>
      </c>
      <c r="F44" s="2" t="str">
        <f>_xlfn.LET(_xlpm.result, _xlfn.XLOOKUP(A44,'EA-Fortescue_SDExport'!A:A,'EA-Fortescue_SDExport'!AP:AP), IF(_xlpm.result=0,"",_xlpm.result))</f>
        <v/>
      </c>
      <c r="G44" s="2" t="str">
        <f>IF(OR(AND(T44&lt;&gt;"", COUNTIF(Lookups!J:J, "*"&amp;T44&amp;"*")&gt;0), AND(AB44&lt;&gt;"", COUNTIF(Lookups!J:J, "*"&amp;AB44&amp;"*")&gt;0)), "Yes", "No")</f>
        <v>No</v>
      </c>
      <c r="H44" s="2" t="str">
        <f t="shared" si="1"/>
        <v>855DC Decarb Green Systems|003OP Power Generation &amp; Transmission</v>
      </c>
      <c r="I44" s="2" t="str">
        <f t="shared" si="2"/>
        <v>855DC-1541 Planning and Forecast Systems|003OP-1800 Gas pipeline</v>
      </c>
      <c r="J44" s="2" t="str">
        <f t="shared" si="3"/>
        <v>855DC-1541-ECL Eclipse|N/A</v>
      </c>
      <c r="K44" s="2" t="str">
        <f>_xlfn.XLOOKUP(A44,'EA-Fortescue_SDExport'!A:A,'EA-Fortescue_SDExport'!N:N)</f>
        <v>Deleted</v>
      </c>
      <c r="L44" s="2" t="str">
        <f>_xlfn.LET(_xlpm.result, _xlfn.XLOOKUP($A44,'EA-Fortescue_SDExport'!$A:$A,'EA-Fortescue_SDExport'!AQ:AQ), IF(_xlpm.result=0,"",_xlpm.result))</f>
        <v/>
      </c>
      <c r="M44" s="2" t="str">
        <f>_xlfn.LET(_xlpm.result, _xlfn.XLOOKUP($A44,'EA-Fortescue_SDExport'!$A:$A,'EA-Fortescue_SDExport'!AR:AR), IF(_xlpm.result=0,"",_xlpm.result))</f>
        <v/>
      </c>
      <c r="N44" s="2" t="str">
        <f>_xlfn.LET(_xlpm.result, _xlfn.XLOOKUP($A44,'EA-Fortescue_SDExport'!$A:$A,'EA-Fortescue_SDExport'!AW:AW), IF(_xlpm.result=0,"",_xlpm.result))</f>
        <v/>
      </c>
      <c r="O44" s="2" t="str">
        <f>_xlfn.LET(_xlpm.result, _xlfn.XLOOKUP($A44,'EA-Fortescue_SDExport'!$A:$A,'EA-Fortescue_SDExport'!AV:AV), IF(_xlpm.result=0,"",_xlpm.result))</f>
        <v/>
      </c>
      <c r="P44" s="2" t="str">
        <f>_xlfn.LET(_xlpm.result, _xlfn.XLOOKUP($A44,'EA-Fortescue_SDExport'!$A:$A,'EA-Fortescue_SDExport'!D:D), IF(_xlpm.result=0,"",_xlpm.result))</f>
        <v>Interface Review 25/11/2025: Delete</v>
      </c>
      <c r="Q44" s="2" t="str">
        <f>_xlfn.LET(
    _xlpm.status, _xlfn.XLOOKUP($A44,'EA-ConnectorExport'!$A:$A,'EA-ConnectorExport'!G:G),
    _xlpm.result, _xlfn.XLOOKUP($A44,'EA-ConnectorExport'!$A:$A,'EA-ConnectorExport'!B:B),
    IF(_xlpm.status="allocate", _xlpm.result, "")
)</f>
        <v>855DC-1541-ECL Eclipse</v>
      </c>
      <c r="R44" s="2" t="str">
        <f>IF(
    _xlfn.XLOOKUP($Q44,'EA-Fortescue_SDExport'!A:A,'EA-Fortescue_SDExport'!B:B)="Object",
    _xlfn.XLOOKUP(
        _xlfn.XLOOKUP($A44,'EA-ConnectorExport'!A:A,'EA-ConnectorExport'!D:D),
        'EA-Fortescue_SDExport'!A:A,
        'EA-Fortescue_SDExport'!AA:AA
    ),
    _xlfn.XLOOKUP($Q44,'EA-Fortescue_SDExport'!A:A,'EA-Fortescue_SDExport'!AA:AA)
)</f>
        <v>Project</v>
      </c>
      <c r="S44" s="2" t="str">
        <f>_xlfn.LET(_xlpm.result, _xlfn.XLOOKUP($Q44,'EA-Fortescue_SDExport'!$A:$A,'EA-Fortescue_SDExport'!AB:AB), IF(_xlpm.result=0,"",_xlpm.result))</f>
        <v>Energy Operations</v>
      </c>
      <c r="T44" s="2" t="str">
        <f>_xlfn.LET(_xlpm.result, _xlfn.XLOOKUP($Q44,'EA-Fortescue_SDExport'!$A:$A,'EA-Fortescue_SDExport'!AC:AC), IF(_xlpm.result=0,"",_xlpm.result))</f>
        <v/>
      </c>
      <c r="U44" s="2" t="str">
        <f>_xlfn.LET(
    _xlpm.isObject, _xlfn.XLOOKUP($Q44,'EA-Fortescue_SDExport'!A:A,'EA-Fortescue_SDExport'!B:B),
    _xlpm.lookupKey, IF(_xlpm.isObject="Object",
        _xlfn.XLOOKUP($A44,'EA-ConnectorExport'!A:A,'EA-ConnectorExport'!D:D),
        $Q44
    ),
    _xlpm.result, _xlfn.XLOOKUP(_xlpm.lookupKey,'EA-Fortescue_SDExport'!A:A,'EA-Fortescue_SDExport'!AD:AD),
    IF(_xlpm.result=0,"",_xlpm.result)
)</f>
        <v>855DC Decarb Green Systems</v>
      </c>
      <c r="V44" s="2" t="str">
        <f>_xlfn.LET(
    _xlpm.isObject, _xlfn.XLOOKUP($Q44,'EA-Fortescue_SDExport'!A:A,'EA-Fortescue_SDExport'!B:B),
    _xlpm.lookupKey, IF(_xlpm.isObject="Object",
        _xlfn.XLOOKUP($A44,'EA-ConnectorExport'!A:A,'EA-ConnectorExport'!D:D),
        $Q44
    ),
    _xlpm.result, _xlfn.XLOOKUP(_xlpm.lookupKey,'EA-Fortescue_SDExport'!A:A,'EA-Fortescue_SDExport'!AE:AE),
    IF(_xlpm.result=0,"",_xlpm.result)
)</f>
        <v>855DC-1541 Planning and Forecast Systems</v>
      </c>
      <c r="W44" s="2" t="str">
        <f>_xlfn.LET(
    _xlpm.isObject, _xlfn.XLOOKUP($Q44,'EA-Fortescue_SDExport'!A:A,'EA-Fortescue_SDExport'!B:B),
    _xlpm.lookupKey, IF(_xlpm.isObject="Object",
        _xlfn.XLOOKUP($A44,'EA-ConnectorExport'!A:A,'EA-ConnectorExport'!D:D),
        $Q44
    ),
    _xlpm.result, _xlfn.XLOOKUP(_xlpm.lookupKey,'EA-Fortescue_SDExport'!A:A,'EA-Fortescue_SDExport'!AF:AF),
    IF(_xlpm.result=0,"",_xlpm.result)
)</f>
        <v>855DC-1541-ECL Eclipse</v>
      </c>
      <c r="X44" s="2" t="str">
        <f>_xlfn.LET(
    _xlpm.isObject, _xlfn.XLOOKUP($Q44,'EA-Fortescue_SDExport'!A:A,'EA-Fortescue_SDExport'!B:B),
    _xlpm.lookupKey, IF(_xlpm.isObject="Object",
        _xlfn.XLOOKUP($A44,'EA-ConnectorExport'!A:A,'EA-ConnectorExport'!D:D),
        $Q44
    ),
    _xlpm.result, _xlfn.XLOOKUP(_xlpm.lookupKey,'EA-Fortescue_SDExport'!A:A,'EA-Fortescue_SDExport'!AG:AG),
    IF(_xlpm.result=0,"",_xlpm.result)
)</f>
        <v/>
      </c>
      <c r="Y44" s="2" t="str">
        <f>_xlfn.LET(
    _xlpm.status, _xlfn.XLOOKUP($A44,'EA-ConnectorExport'!$A:$A,'EA-ConnectorExport'!G:G),
    _xlpm.result, _xlfn.XLOOKUP($A44,'EA-ConnectorExport'!$A:$A,'EA-ConnectorExport'!H:H),
    IF(_xlpm.status="allocate", _xlpm.result, "")
)</f>
        <v>003OP-1800 Gas pipeline</v>
      </c>
      <c r="Z44" s="2" t="str">
        <f>_xlfn.LET(
    _xlpm.isObject, _xlfn.XLOOKUP($Y44,'EA-Fortescue_SDExport'!A:A,'EA-Fortescue_SDExport'!B:B),
    _xlpm.lookupKey, IF(_xlpm.isObject="Object",
        _xlfn.XLOOKUP($A44,'EA-ConnectorExport'!A:A,'EA-ConnectorExport'!J:J),
        $Y44
    ),
    _xlpm.result, _xlfn.XLOOKUP(_xlpm.lookupKey,'EA-Fortescue_SDExport'!A:A,'EA-Fortescue_SDExport'!AA:AA),
    IF(_xlpm.result=0,"",_xlpm.result)
)</f>
        <v>System</v>
      </c>
      <c r="AA44" s="2" t="str">
        <f>_xlfn.LET(_xlpm.result, _xlfn.XLOOKUP($Y44,'EA-Fortescue_SDExport'!$A:$A,'EA-Fortescue_SDExport'!AB:AB), IF(_xlpm.result=0,"",_xlpm.result))</f>
        <v/>
      </c>
      <c r="AB44" s="2" t="str">
        <f>_xlfn.LET(_xlpm.result, _xlfn.XLOOKUP($Y44,'EA-Fortescue_SDExport'!$A:$A,'EA-Fortescue_SDExport'!AC:AC), IF(_xlpm.result=0,"",_xlpm.result))</f>
        <v>Generic Physical Asset</v>
      </c>
      <c r="AC44" s="2" t="str">
        <f>_xlfn.LET(
    _xlpm.isObject, _xlfn.XLOOKUP($Y44,'EA-Fortescue_SDExport'!A:A,'EA-Fortescue_SDExport'!B:B),
    _xlpm.lookupKey, IF(_xlpm.isObject="Object",
        _xlfn.XLOOKUP($A44,'EA-ConnectorExport'!A:A,'EA-ConnectorExport'!J:J),
        $Y44
    ),
    _xlpm.result, _xlfn.XLOOKUP(_xlpm.lookupKey,'EA-Fortescue_SDExport'!A:A,'EA-Fortescue_SDExport'!AD:AD),
    IF(_xlpm.result=0,"",_xlpm.result)
)</f>
        <v>003OP Power Generation &amp; Transmission</v>
      </c>
      <c r="AD44" s="2" t="str">
        <f>_xlfn.LET(
    _xlpm.isObject, _xlfn.XLOOKUP($Y44,'EA-Fortescue_SDExport'!A:A,'EA-Fortescue_SDExport'!B:B),
    _xlpm.lookupKey, IF(_xlpm.isObject="Object",
        _xlfn.XLOOKUP($A44,'EA-ConnectorExport'!A:A,'EA-ConnectorExport'!J:J),
        $Y44
    ),
    _xlpm.result, _xlfn.XLOOKUP(_xlpm.lookupKey,'EA-Fortescue_SDExport'!A:A,'EA-Fortescue_SDExport'!AE:AE),
    IF(_xlpm.result=0,"",_xlpm.result)
)</f>
        <v>003OP-1800 Gas pipeline</v>
      </c>
      <c r="AE44" s="2" t="str">
        <f>_xlfn.LET(
    _xlpm.isObject, _xlfn.XLOOKUP($Y44,'EA-Fortescue_SDExport'!A:A,'EA-Fortescue_SDExport'!B:B),
    _xlpm.lookupKey, IF(_xlpm.isObject="Object",
        _xlfn.XLOOKUP($A44,'EA-ConnectorExport'!A:A,'EA-ConnectorExport'!J:J),
        $Y44
    ),
    _xlpm.result, _xlfn.XLOOKUP(_xlpm.lookupKey,'EA-Fortescue_SDExport'!A:A,'EA-Fortescue_SDExport'!AF:AF),
    IF(_xlpm.result=0,"",_xlpm.result)
)</f>
        <v/>
      </c>
      <c r="AF44" s="2" t="str">
        <f>_xlfn.LET(
    _xlpm.isObject, _xlfn.XLOOKUP($Y44,'EA-Fortescue_SDExport'!A:A,'EA-Fortescue_SDExport'!B:B),
    _xlpm.lookupKey, IF(_xlpm.isObject="Object",
        _xlfn.XLOOKUP($A44,'EA-ConnectorExport'!A:A,'EA-ConnectorExport'!J:J),
        $Y44
    ),
    _xlpm.result, _xlfn.XLOOKUP(_xlpm.lookupKey,'EA-Fortescue_SDExport'!A:A,'EA-Fortescue_SDExport'!AG:AG),
    IF(_xlpm.result=0,"",_xlpm.result)
)</f>
        <v/>
      </c>
    </row>
    <row r="45" spans="1:32" ht="135" x14ac:dyDescent="0.25">
      <c r="A45" s="2" t="str">
        <v>DGS-I_0044</v>
      </c>
      <c r="B45" s="2" t="str">
        <f t="shared" si="0"/>
        <v>852DC Light Mobile Equipment (LME) &amp; Support Mobile Equipment (SME)|859DC-1410-001 HaulX</v>
      </c>
      <c r="C45" s="2" t="str">
        <f>_xlfn.LET(_xlpm.result, _xlfn.XLOOKUP(A45,'EA-Fortescue_SDExport'!A:A,'EA-Fortescue_SDExport'!AM:AM), IF(_xlpm.result=0,"",_xlpm.result))</f>
        <v/>
      </c>
      <c r="D45" s="2" t="str">
        <f>_xlfn.LET(_xlpm.result, _xlfn.XLOOKUP(A45,'EA-Fortescue_SDExport'!A:A,'EA-Fortescue_SDExport'!AN:AN), IF(_xlpm.result=0,"",_xlpm.result))</f>
        <v/>
      </c>
      <c r="E45" s="2" t="str">
        <f>_xlfn.XLOOKUP(R45&amp;Z45,Lookups!A:A,Lookups!B:B)</f>
        <v>Program - Project Interface</v>
      </c>
      <c r="F45" s="2" t="str">
        <f>_xlfn.LET(_xlpm.result, _xlfn.XLOOKUP(A45,'EA-Fortescue_SDExport'!A:A,'EA-Fortescue_SDExport'!AP:AP), IF(_xlpm.result=0,"",_xlpm.result))</f>
        <v>Technical-Data/Software</v>
      </c>
      <c r="G45" s="2" t="str">
        <f>IF(OR(AND(T45&lt;&gt;"", COUNTIF(Lookups!J:J, "*"&amp;T45&amp;"*")&gt;0), AND(AB45&lt;&gt;"", COUNTIF(Lookups!J:J, "*"&amp;AB45&amp;"*")&gt;0)), "Yes", "No")</f>
        <v>No</v>
      </c>
      <c r="H45" s="2" t="str">
        <f t="shared" si="1"/>
        <v>852DC Light Mobile Equipment (LME) &amp; Support Mobile Equipment (SME)|859DC HaulX</v>
      </c>
      <c r="I45" s="2" t="str">
        <f t="shared" si="2"/>
        <v>N/A</v>
      </c>
      <c r="J45" s="2" t="str">
        <f t="shared" si="3"/>
        <v>N/A|859DC-1410-001 HaulX</v>
      </c>
      <c r="K45" s="2" t="str">
        <f>_xlfn.XLOOKUP(A45,'EA-Fortescue_SDExport'!A:A,'EA-Fortescue_SDExport'!N:N)</f>
        <v>Proposed</v>
      </c>
      <c r="L45" s="2" t="str">
        <f>_xlfn.LET(_xlpm.result, _xlfn.XLOOKUP($A45,'EA-Fortescue_SDExport'!$A:$A,'EA-Fortescue_SDExport'!AQ:AQ), IF(_xlpm.result=0,"",_xlpm.result))</f>
        <v>The interface allows Support Mobile Equipment to exchange basic operational status and location information with HaulX so the fleet management system can incorporate SME movements into haulage planning and situational awareness.</v>
      </c>
      <c r="M45" s="2" t="str">
        <f>_xlfn.LET(_xlpm.result, _xlfn.XLOOKUP($A45,'EA-Fortescue_SDExport'!$A:$A,'EA-Fortescue_SDExport'!AR:AR), IF(_xlpm.result=0,"",_xlpm.result))</f>
        <v>LOW</v>
      </c>
      <c r="N45" s="2" t="str">
        <f>_xlfn.LET(_xlpm.result, _xlfn.XLOOKUP($A45,'EA-Fortescue_SDExport'!$A:$A,'EA-Fortescue_SDExport'!AW:AW), IF(_xlpm.result=0,"",_xlpm.result))</f>
        <v>This interface is rated LOW because it supports traffic awareness rather than direct operational or safety control. Loss of the interface may reduce situational visibility and marginally affect traffic efficiency, but it does not impact core haulage control, autonomous truck safety logic, or production continuity.</v>
      </c>
      <c r="O45" s="2" t="str">
        <f>_xlfn.LET(_xlpm.result, _xlfn.XLOOKUP($A45,'EA-Fortescue_SDExport'!$A:$A,'EA-Fortescue_SDExport'!AV:AV), IF(_xlpm.result=0,"",_xlpm.result))</f>
        <v>Data Flow:_x000D_
Light Mobile Equipment (LME) &amp; Support Mobile Equipment (SME) -&gt; HaulX Control (859DC-1410-001), transmitting basic operational status, GPS position, heading, speed, and availability state to support traffic awareness and fleet coordination._x000D_
HaulX -&gt; LME / SME (where applicable), providing advisory routing information, proximity alerts, and traffic coordination messages to improve situational awareness within mixed traffic environments._x000D_
Control Flow:_x000D_
No direct motion control is exercised over LME/SME. The interface supports monitoring and advisory coordination only.</v>
      </c>
      <c r="P45" s="2" t="str">
        <f>_xlfn.LET(_xlpm.result, _xlfn.XLOOKUP($A45,'EA-Fortescue_SDExport'!$A:$A,'EA-Fortescue_SDExport'!D:D), IF(_xlpm.result=0,"",_xlpm.result))</f>
        <v>NH 20/02/2026: Fields updated: Interface Type, Interface Criticality Explanation, Interface Flow.</v>
      </c>
      <c r="Q45" s="2" t="str">
        <f>_xlfn.LET(
    _xlpm.status, _xlfn.XLOOKUP($A45,'EA-ConnectorExport'!$A:$A,'EA-ConnectorExport'!G:G),
    _xlpm.result, _xlfn.XLOOKUP($A45,'EA-ConnectorExport'!$A:$A,'EA-ConnectorExport'!B:B),
    IF(_xlpm.status="allocate", _xlpm.result, "")
)</f>
        <v>852DC Light Mobile Equipment (LME) &amp; Support Mobile Equipment (SME)</v>
      </c>
      <c r="R45" s="2" t="str">
        <f>IF(
    _xlfn.XLOOKUP($Q45,'EA-Fortescue_SDExport'!A:A,'EA-Fortescue_SDExport'!B:B)="Object",
    _xlfn.XLOOKUP(
        _xlfn.XLOOKUP($A45,'EA-ConnectorExport'!A:A,'EA-ConnectorExport'!D:D),
        'EA-Fortescue_SDExport'!A:A,
        'EA-Fortescue_SDExport'!AA:AA
    ),
    _xlfn.XLOOKUP($Q45,'EA-Fortescue_SDExport'!A:A,'EA-Fortescue_SDExport'!AA:AA)
)</f>
        <v>Program</v>
      </c>
      <c r="S45" s="2" t="str">
        <f>_xlfn.LET(_xlpm.result, _xlfn.XLOOKUP($Q45,'EA-Fortescue_SDExport'!$A:$A,'EA-Fortescue_SDExport'!AB:AB), IF(_xlpm.result=0,"",_xlpm.result))</f>
        <v/>
      </c>
      <c r="T45" s="2" t="str">
        <f>_xlfn.LET(_xlpm.result, _xlfn.XLOOKUP($Q45,'EA-Fortescue_SDExport'!$A:$A,'EA-Fortescue_SDExport'!AC:AC), IF(_xlpm.result=0,"",_xlpm.result))</f>
        <v>Generic Physical Asset</v>
      </c>
      <c r="U45" s="2" t="str">
        <f>_xlfn.LET(
    _xlpm.isObject, _xlfn.XLOOKUP($Q45,'EA-Fortescue_SDExport'!A:A,'EA-Fortescue_SDExport'!B:B),
    _xlpm.lookupKey, IF(_xlpm.isObject="Object",
        _xlfn.XLOOKUP($A45,'EA-ConnectorExport'!A:A,'EA-ConnectorExport'!D:D),
        $Q45
    ),
    _xlpm.result, _xlfn.XLOOKUP(_xlpm.lookupKey,'EA-Fortescue_SDExport'!A:A,'EA-Fortescue_SDExport'!AD:AD),
    IF(_xlpm.result=0,"",_xlpm.result)
)</f>
        <v>852DC Light Mobile Equipment (LME) &amp; Support Mobile Equipment (SME)</v>
      </c>
      <c r="V45" s="2" t="str">
        <f>_xlfn.LET(
    _xlpm.isObject, _xlfn.XLOOKUP($Q45,'EA-Fortescue_SDExport'!A:A,'EA-Fortescue_SDExport'!B:B),
    _xlpm.lookupKey, IF(_xlpm.isObject="Object",
        _xlfn.XLOOKUP($A45,'EA-ConnectorExport'!A:A,'EA-ConnectorExport'!D:D),
        $Q45
    ),
    _xlpm.result, _xlfn.XLOOKUP(_xlpm.lookupKey,'EA-Fortescue_SDExport'!A:A,'EA-Fortescue_SDExport'!AE:AE),
    IF(_xlpm.result=0,"",_xlpm.result)
)</f>
        <v/>
      </c>
      <c r="W45" s="2" t="str">
        <f>_xlfn.LET(
    _xlpm.isObject, _xlfn.XLOOKUP($Q45,'EA-Fortescue_SDExport'!A:A,'EA-Fortescue_SDExport'!B:B),
    _xlpm.lookupKey, IF(_xlpm.isObject="Object",
        _xlfn.XLOOKUP($A45,'EA-ConnectorExport'!A:A,'EA-ConnectorExport'!D:D),
        $Q45
    ),
    _xlpm.result, _xlfn.XLOOKUP(_xlpm.lookupKey,'EA-Fortescue_SDExport'!A:A,'EA-Fortescue_SDExport'!AF:AF),
    IF(_xlpm.result=0,"",_xlpm.result)
)</f>
        <v/>
      </c>
      <c r="X45" s="2" t="str">
        <f>_xlfn.LET(
    _xlpm.isObject, _xlfn.XLOOKUP($Q45,'EA-Fortescue_SDExport'!A:A,'EA-Fortescue_SDExport'!B:B),
    _xlpm.lookupKey, IF(_xlpm.isObject="Object",
        _xlfn.XLOOKUP($A45,'EA-ConnectorExport'!A:A,'EA-ConnectorExport'!D:D),
        $Q45
    ),
    _xlpm.result, _xlfn.XLOOKUP(_xlpm.lookupKey,'EA-Fortescue_SDExport'!A:A,'EA-Fortescue_SDExport'!AG:AG),
    IF(_xlpm.result=0,"",_xlpm.result)
)</f>
        <v/>
      </c>
      <c r="Y45" s="2" t="str">
        <f>_xlfn.LET(
    _xlpm.status, _xlfn.XLOOKUP($A45,'EA-ConnectorExport'!$A:$A,'EA-ConnectorExport'!G:G),
    _xlpm.result, _xlfn.XLOOKUP($A45,'EA-ConnectorExport'!$A:$A,'EA-ConnectorExport'!H:H),
    IF(_xlpm.status="allocate", _xlpm.result, "")
)</f>
        <v>859DC-1410-001 HaulX</v>
      </c>
      <c r="Z45" s="2" t="str">
        <f>_xlfn.LET(
    _xlpm.isObject, _xlfn.XLOOKUP($Y45,'EA-Fortescue_SDExport'!A:A,'EA-Fortescue_SDExport'!B:B),
    _xlpm.lookupKey, IF(_xlpm.isObject="Object",
        _xlfn.XLOOKUP($A45,'EA-ConnectorExport'!A:A,'EA-ConnectorExport'!J:J),
        $Y45
    ),
    _xlpm.result, _xlfn.XLOOKUP(_xlpm.lookupKey,'EA-Fortescue_SDExport'!A:A,'EA-Fortescue_SDExport'!AA:AA),
    IF(_xlpm.result=0,"",_xlpm.result)
)</f>
        <v>Project</v>
      </c>
      <c r="AA45" s="2" t="str">
        <f>_xlfn.LET(_xlpm.result, _xlfn.XLOOKUP($Y45,'EA-Fortescue_SDExport'!$A:$A,'EA-Fortescue_SDExport'!AB:AB), IF(_xlpm.result=0,"",_xlpm.result))</f>
        <v/>
      </c>
      <c r="AB45" s="2" t="str">
        <f>_xlfn.LET(_xlpm.result, _xlfn.XLOOKUP($Y45,'EA-Fortescue_SDExport'!$A:$A,'EA-Fortescue_SDExport'!AC:AC), IF(_xlpm.result=0,"",_xlpm.result))</f>
        <v/>
      </c>
      <c r="AC45" s="2" t="str">
        <f>_xlfn.LET(
    _xlpm.isObject, _xlfn.XLOOKUP($Y45,'EA-Fortescue_SDExport'!A:A,'EA-Fortescue_SDExport'!B:B),
    _xlpm.lookupKey, IF(_xlpm.isObject="Object",
        _xlfn.XLOOKUP($A45,'EA-ConnectorExport'!A:A,'EA-ConnectorExport'!J:J),
        $Y45
    ),
    _xlpm.result, _xlfn.XLOOKUP(_xlpm.lookupKey,'EA-Fortescue_SDExport'!A:A,'EA-Fortescue_SDExport'!AD:AD),
    IF(_xlpm.result=0,"",_xlpm.result)
)</f>
        <v>859DC HaulX</v>
      </c>
      <c r="AD45" s="2" t="str">
        <f>_xlfn.LET(
    _xlpm.isObject, _xlfn.XLOOKUP($Y45,'EA-Fortescue_SDExport'!A:A,'EA-Fortescue_SDExport'!B:B),
    _xlpm.lookupKey, IF(_xlpm.isObject="Object",
        _xlfn.XLOOKUP($A45,'EA-ConnectorExport'!A:A,'EA-ConnectorExport'!J:J),
        $Y45
    ),
    _xlpm.result, _xlfn.XLOOKUP(_xlpm.lookupKey,'EA-Fortescue_SDExport'!A:A,'EA-Fortescue_SDExport'!AE:AE),
    IF(_xlpm.result=0,"",_xlpm.result)
)</f>
        <v/>
      </c>
      <c r="AE45" s="2" t="str">
        <f>_xlfn.LET(
    _xlpm.isObject, _xlfn.XLOOKUP($Y45,'EA-Fortescue_SDExport'!A:A,'EA-Fortescue_SDExport'!B:B),
    _xlpm.lookupKey, IF(_xlpm.isObject="Object",
        _xlfn.XLOOKUP($A45,'EA-ConnectorExport'!A:A,'EA-ConnectorExport'!J:J),
        $Y45
    ),
    _xlpm.result, _xlfn.XLOOKUP(_xlpm.lookupKey,'EA-Fortescue_SDExport'!A:A,'EA-Fortescue_SDExport'!AF:AF),
    IF(_xlpm.result=0,"",_xlpm.result)
)</f>
        <v>859DC-1410-001 HaulX</v>
      </c>
      <c r="AF45" s="2" t="str">
        <f>_xlfn.LET(
    _xlpm.isObject, _xlfn.XLOOKUP($Y45,'EA-Fortescue_SDExport'!A:A,'EA-Fortescue_SDExport'!B:B),
    _xlpm.lookupKey, IF(_xlpm.isObject="Object",
        _xlfn.XLOOKUP($A45,'EA-ConnectorExport'!A:A,'EA-ConnectorExport'!J:J),
        $Y45
    ),
    _xlpm.result, _xlfn.XLOOKUP(_xlpm.lookupKey,'EA-Fortescue_SDExport'!A:A,'EA-Fortescue_SDExport'!AG:AG),
    IF(_xlpm.result=0,"",_xlpm.result)
)</f>
        <v/>
      </c>
    </row>
    <row r="46" spans="1:32" ht="210" x14ac:dyDescent="0.25">
      <c r="A46" s="2" t="str">
        <v>DGS-I_0045</v>
      </c>
      <c r="B46" s="2" t="str">
        <f t="shared" si="0"/>
        <v>851DC Heavy Mobile Equipment (HME)|859DC-1410-001 HaulX</v>
      </c>
      <c r="C46" s="2" t="str">
        <f>_xlfn.LET(_xlpm.result, _xlfn.XLOOKUP(A46,'EA-Fortescue_SDExport'!A:A,'EA-Fortescue_SDExport'!AM:AM), IF(_xlpm.result=0,"",_xlpm.result))</f>
        <v/>
      </c>
      <c r="D46" s="2" t="str">
        <f>_xlfn.LET(_xlpm.result, _xlfn.XLOOKUP(A46,'EA-Fortescue_SDExport'!A:A,'EA-Fortescue_SDExport'!AN:AN), IF(_xlpm.result=0,"",_xlpm.result))</f>
        <v/>
      </c>
      <c r="E46" s="2" t="str">
        <f>_xlfn.XLOOKUP(R46&amp;Z46,Lookups!A:A,Lookups!B:B)</f>
        <v>Program - Project Interface</v>
      </c>
      <c r="F46" s="2" t="str">
        <f>_xlfn.LET(_xlpm.result, _xlfn.XLOOKUP(A46,'EA-Fortescue_SDExport'!A:A,'EA-Fortescue_SDExport'!AP:AP), IF(_xlpm.result=0,"",_xlpm.result))</f>
        <v/>
      </c>
      <c r="G46" s="2" t="str">
        <f>IF(OR(AND(T46&lt;&gt;"", COUNTIF(Lookups!J:J, "*"&amp;T46&amp;"*")&gt;0), AND(AB46&lt;&gt;"", COUNTIF(Lookups!J:J, "*"&amp;AB46&amp;"*")&gt;0)), "Yes", "No")</f>
        <v>No</v>
      </c>
      <c r="H46" s="2" t="str">
        <f t="shared" si="1"/>
        <v>851DC Heavy Mobile Equipment (HME)|859DC HaulX</v>
      </c>
      <c r="I46" s="2" t="str">
        <f t="shared" si="2"/>
        <v>N/A</v>
      </c>
      <c r="J46" s="2" t="str">
        <f t="shared" si="3"/>
        <v>N/A|859DC-1410-001 HaulX</v>
      </c>
      <c r="K46" s="2" t="str">
        <f>_xlfn.XLOOKUP(A46,'EA-Fortescue_SDExport'!A:A,'EA-Fortescue_SDExport'!N:N)</f>
        <v>Proposed</v>
      </c>
      <c r="L46" s="2" t="str">
        <f>_xlfn.LET(_xlpm.result, _xlfn.XLOOKUP($A46,'EA-Fortescue_SDExport'!$A:$A,'EA-Fortescue_SDExport'!AQ:AQ), IF(_xlpm.result=0,"",_xlpm.result))</f>
        <v>This interface links Heavy Mobile Equipment (HME) assets, such as loaders, dozers, and graders to HaulX so their operational status, availability, and location can influence haulage dispatch decisions.</v>
      </c>
      <c r="M46" s="2" t="str">
        <f>_xlfn.LET(_xlpm.result, _xlfn.XLOOKUP($A46,'EA-Fortescue_SDExport'!$A:$A,'EA-Fortescue_SDExport'!AR:AR), IF(_xlpm.result=0,"",_xlpm.result))</f>
        <v>MEDIUM</v>
      </c>
      <c r="N46" s="2" t="str">
        <f>_xlfn.LET(_xlpm.result, _xlfn.XLOOKUP($A46,'EA-Fortescue_SDExport'!$A:$A,'EA-Fortescue_SDExport'!AW:AW), IF(_xlpm.result=0,"",_xlpm.result))</f>
        <v>The criticality level is MEDIUM because although haulage can continue, failure will decrease efficiency, increasing the risk of misaligned assignments. Losing the connection impacts performance due to misalignment but does not threaten safety-critical controls.</v>
      </c>
      <c r="O46" s="2" t="str">
        <f>_xlfn.LET(_xlpm.result, _xlfn.XLOOKUP($A46,'EA-Fortescue_SDExport'!$A:$A,'EA-Fortescue_SDExport'!AV:AV), IF(_xlpm.result=0,"",_xlpm.result))</f>
        <v>Data Flow: HME -&gt; HaulX (asset location, operational status, availability, utilisation, fault alarms) to support real-time dispatch optimisation and task allocation.</v>
      </c>
      <c r="P46" s="2" t="str">
        <f>_xlfn.LET(_xlpm.result, _xlfn.XLOOKUP($A46,'EA-Fortescue_SDExport'!$A:$A,'EA-Fortescue_SDExport'!D:D), IF(_xlpm.result=0,"",_xlpm.result))</f>
        <v/>
      </c>
      <c r="Q46" s="2" t="str">
        <f>_xlfn.LET(
    _xlpm.status, _xlfn.XLOOKUP($A46,'EA-ConnectorExport'!$A:$A,'EA-ConnectorExport'!G:G),
    _xlpm.result, _xlfn.XLOOKUP($A46,'EA-ConnectorExport'!$A:$A,'EA-ConnectorExport'!B:B),
    IF(_xlpm.status="allocate", _xlpm.result, "")
)</f>
        <v>851DC Heavy Mobile Equipment (HME)</v>
      </c>
      <c r="R46" s="2" t="str">
        <f>IF(
    _xlfn.XLOOKUP($Q46,'EA-Fortescue_SDExport'!A:A,'EA-Fortescue_SDExport'!B:B)="Object",
    _xlfn.XLOOKUP(
        _xlfn.XLOOKUP($A46,'EA-ConnectorExport'!A:A,'EA-ConnectorExport'!D:D),
        'EA-Fortescue_SDExport'!A:A,
        'EA-Fortescue_SDExport'!AA:AA
    ),
    _xlfn.XLOOKUP($Q46,'EA-Fortescue_SDExport'!A:A,'EA-Fortescue_SDExport'!AA:AA)
)</f>
        <v>Program</v>
      </c>
      <c r="S46" s="2" t="str">
        <f>_xlfn.LET(_xlpm.result, _xlfn.XLOOKUP($Q46,'EA-Fortescue_SDExport'!$A:$A,'EA-Fortescue_SDExport'!AB:AB), IF(_xlpm.result=0,"",_xlpm.result))</f>
        <v/>
      </c>
      <c r="T46" s="2" t="str">
        <f>_xlfn.LET(_xlpm.result, _xlfn.XLOOKUP($Q46,'EA-Fortescue_SDExport'!$A:$A,'EA-Fortescue_SDExport'!AC:AC), IF(_xlpm.result=0,"",_xlpm.result))</f>
        <v>Generic Physical Asset</v>
      </c>
      <c r="U46" s="2" t="str">
        <f>_xlfn.LET(
    _xlpm.isObject, _xlfn.XLOOKUP($Q46,'EA-Fortescue_SDExport'!A:A,'EA-Fortescue_SDExport'!B:B),
    _xlpm.lookupKey, IF(_xlpm.isObject="Object",
        _xlfn.XLOOKUP($A46,'EA-ConnectorExport'!A:A,'EA-ConnectorExport'!D:D),
        $Q46
    ),
    _xlpm.result, _xlfn.XLOOKUP(_xlpm.lookupKey,'EA-Fortescue_SDExport'!A:A,'EA-Fortescue_SDExport'!AD:AD),
    IF(_xlpm.result=0,"",_xlpm.result)
)</f>
        <v>851DC Heavy Mobile Equipment (HME)</v>
      </c>
      <c r="V46" s="2" t="str">
        <f>_xlfn.LET(
    _xlpm.isObject, _xlfn.XLOOKUP($Q46,'EA-Fortescue_SDExport'!A:A,'EA-Fortescue_SDExport'!B:B),
    _xlpm.lookupKey, IF(_xlpm.isObject="Object",
        _xlfn.XLOOKUP($A46,'EA-ConnectorExport'!A:A,'EA-ConnectorExport'!D:D),
        $Q46
    ),
    _xlpm.result, _xlfn.XLOOKUP(_xlpm.lookupKey,'EA-Fortescue_SDExport'!A:A,'EA-Fortescue_SDExport'!AE:AE),
    IF(_xlpm.result=0,"",_xlpm.result)
)</f>
        <v/>
      </c>
      <c r="W46" s="2" t="str">
        <f>_xlfn.LET(
    _xlpm.isObject, _xlfn.XLOOKUP($Q46,'EA-Fortescue_SDExport'!A:A,'EA-Fortescue_SDExport'!B:B),
    _xlpm.lookupKey, IF(_xlpm.isObject="Object",
        _xlfn.XLOOKUP($A46,'EA-ConnectorExport'!A:A,'EA-ConnectorExport'!D:D),
        $Q46
    ),
    _xlpm.result, _xlfn.XLOOKUP(_xlpm.lookupKey,'EA-Fortescue_SDExport'!A:A,'EA-Fortescue_SDExport'!AF:AF),
    IF(_xlpm.result=0,"",_xlpm.result)
)</f>
        <v/>
      </c>
      <c r="X46" s="2" t="str">
        <f>_xlfn.LET(
    _xlpm.isObject, _xlfn.XLOOKUP($Q46,'EA-Fortescue_SDExport'!A:A,'EA-Fortescue_SDExport'!B:B),
    _xlpm.lookupKey, IF(_xlpm.isObject="Object",
        _xlfn.XLOOKUP($A46,'EA-ConnectorExport'!A:A,'EA-ConnectorExport'!D:D),
        $Q46
    ),
    _xlpm.result, _xlfn.XLOOKUP(_xlpm.lookupKey,'EA-Fortescue_SDExport'!A:A,'EA-Fortescue_SDExport'!AG:AG),
    IF(_xlpm.result=0,"",_xlpm.result)
)</f>
        <v/>
      </c>
      <c r="Y46" s="2" t="str">
        <f>_xlfn.LET(
    _xlpm.status, _xlfn.XLOOKUP($A46,'EA-ConnectorExport'!$A:$A,'EA-ConnectorExport'!G:G),
    _xlpm.result, _xlfn.XLOOKUP($A46,'EA-ConnectorExport'!$A:$A,'EA-ConnectorExport'!H:H),
    IF(_xlpm.status="allocate", _xlpm.result, "")
)</f>
        <v>859DC-1410-001 HaulX</v>
      </c>
      <c r="Z46" s="2" t="str">
        <f>_xlfn.LET(
    _xlpm.isObject, _xlfn.XLOOKUP($Y46,'EA-Fortescue_SDExport'!A:A,'EA-Fortescue_SDExport'!B:B),
    _xlpm.lookupKey, IF(_xlpm.isObject="Object",
        _xlfn.XLOOKUP($A46,'EA-ConnectorExport'!A:A,'EA-ConnectorExport'!J:J),
        $Y46
    ),
    _xlpm.result, _xlfn.XLOOKUP(_xlpm.lookupKey,'EA-Fortescue_SDExport'!A:A,'EA-Fortescue_SDExport'!AA:AA),
    IF(_xlpm.result=0,"",_xlpm.result)
)</f>
        <v>Project</v>
      </c>
      <c r="AA46" s="2" t="str">
        <f>_xlfn.LET(_xlpm.result, _xlfn.XLOOKUP($Y46,'EA-Fortescue_SDExport'!$A:$A,'EA-Fortescue_SDExport'!AB:AB), IF(_xlpm.result=0,"",_xlpm.result))</f>
        <v/>
      </c>
      <c r="AB46" s="2" t="str">
        <f>_xlfn.LET(_xlpm.result, _xlfn.XLOOKUP($Y46,'EA-Fortescue_SDExport'!$A:$A,'EA-Fortescue_SDExport'!AC:AC), IF(_xlpm.result=0,"",_xlpm.result))</f>
        <v/>
      </c>
      <c r="AC46" s="2" t="str">
        <f>_xlfn.LET(
    _xlpm.isObject, _xlfn.XLOOKUP($Y46,'EA-Fortescue_SDExport'!A:A,'EA-Fortescue_SDExport'!B:B),
    _xlpm.lookupKey, IF(_xlpm.isObject="Object",
        _xlfn.XLOOKUP($A46,'EA-ConnectorExport'!A:A,'EA-ConnectorExport'!J:J),
        $Y46
    ),
    _xlpm.result, _xlfn.XLOOKUP(_xlpm.lookupKey,'EA-Fortescue_SDExport'!A:A,'EA-Fortescue_SDExport'!AD:AD),
    IF(_xlpm.result=0,"",_xlpm.result)
)</f>
        <v>859DC HaulX</v>
      </c>
      <c r="AD46" s="2" t="str">
        <f>_xlfn.LET(
    _xlpm.isObject, _xlfn.XLOOKUP($Y46,'EA-Fortescue_SDExport'!A:A,'EA-Fortescue_SDExport'!B:B),
    _xlpm.lookupKey, IF(_xlpm.isObject="Object",
        _xlfn.XLOOKUP($A46,'EA-ConnectorExport'!A:A,'EA-ConnectorExport'!J:J),
        $Y46
    ),
    _xlpm.result, _xlfn.XLOOKUP(_xlpm.lookupKey,'EA-Fortescue_SDExport'!A:A,'EA-Fortescue_SDExport'!AE:AE),
    IF(_xlpm.result=0,"",_xlpm.result)
)</f>
        <v/>
      </c>
      <c r="AE46" s="2" t="str">
        <f>_xlfn.LET(
    _xlpm.isObject, _xlfn.XLOOKUP($Y46,'EA-Fortescue_SDExport'!A:A,'EA-Fortescue_SDExport'!B:B),
    _xlpm.lookupKey, IF(_xlpm.isObject="Object",
        _xlfn.XLOOKUP($A46,'EA-ConnectorExport'!A:A,'EA-ConnectorExport'!J:J),
        $Y46
    ),
    _xlpm.result, _xlfn.XLOOKUP(_xlpm.lookupKey,'EA-Fortescue_SDExport'!A:A,'EA-Fortescue_SDExport'!AF:AF),
    IF(_xlpm.result=0,"",_xlpm.result)
)</f>
        <v>859DC-1410-001 HaulX</v>
      </c>
      <c r="AF46" s="2" t="str">
        <f>_xlfn.LET(
    _xlpm.isObject, _xlfn.XLOOKUP($Y46,'EA-Fortescue_SDExport'!A:A,'EA-Fortescue_SDExport'!B:B),
    _xlpm.lookupKey, IF(_xlpm.isObject="Object",
        _xlfn.XLOOKUP($A46,'EA-ConnectorExport'!A:A,'EA-ConnectorExport'!J:J),
        $Y46
    ),
    _xlpm.result, _xlfn.XLOOKUP(_xlpm.lookupKey,'EA-Fortescue_SDExport'!A:A,'EA-Fortescue_SDExport'!AG:AG),
    IF(_xlpm.result=0,"",_xlpm.result)
)</f>
        <v/>
      </c>
    </row>
    <row r="47" spans="1:32" ht="180" x14ac:dyDescent="0.25">
      <c r="A47" s="2" t="str">
        <v>DGS-I_0046</v>
      </c>
      <c r="B47" s="2" t="str">
        <f t="shared" si="0"/>
        <v>854DC-5680 Battery Energy Storage System (BESS)|855DC-1543-008 Monarch</v>
      </c>
      <c r="C47" s="2" t="str">
        <f>_xlfn.LET(_xlpm.result, _xlfn.XLOOKUP(A47,'EA-Fortescue_SDExport'!A:A,'EA-Fortescue_SDExport'!AM:AM), IF(_xlpm.result=0,"",_xlpm.result))</f>
        <v/>
      </c>
      <c r="D47" s="2" t="str">
        <f>_xlfn.LET(_xlpm.result, _xlfn.XLOOKUP(A47,'EA-Fortescue_SDExport'!A:A,'EA-Fortescue_SDExport'!AN:AN), IF(_xlpm.result=0,"",_xlpm.result))</f>
        <v/>
      </c>
      <c r="E47" s="2" t="str">
        <f>_xlfn.XLOOKUP(R47&amp;Z47,Lookups!A:A,Lookups!B:B)</f>
        <v>System - Project Interface</v>
      </c>
      <c r="F47" s="2" t="str">
        <f>_xlfn.LET(_xlpm.result, _xlfn.XLOOKUP(A47,'EA-Fortescue_SDExport'!A:A,'EA-Fortescue_SDExport'!AP:AP), IF(_xlpm.result=0,"",_xlpm.result))</f>
        <v>Technical-Electrical</v>
      </c>
      <c r="G47" s="2" t="str">
        <f>IF(OR(AND(T47&lt;&gt;"", COUNTIF(Lookups!J:J, "*"&amp;T47&amp;"*")&gt;0), AND(AB47&lt;&gt;"", COUNTIF(Lookups!J:J, "*"&amp;AB47&amp;"*")&gt;0)), "Yes", "No")</f>
        <v>No</v>
      </c>
      <c r="H47" s="2" t="str">
        <f t="shared" si="1"/>
        <v>854DC Green Power|855DC Decarb Green Systems</v>
      </c>
      <c r="I47" s="2" t="str">
        <f t="shared" si="2"/>
        <v>854DC-5680 Battery Energy Storage System (BESS)|855DC-1543 Existing Systems - Green Enhancement</v>
      </c>
      <c r="J47" s="2" t="str">
        <f t="shared" si="3"/>
        <v>N/A|855DC-1543-008 Monarch</v>
      </c>
      <c r="K47" s="2" t="str">
        <f>_xlfn.XLOOKUP(A47,'EA-Fortescue_SDExport'!A:A,'EA-Fortescue_SDExport'!N:N)</f>
        <v>Proposed</v>
      </c>
      <c r="L47" s="2" t="str">
        <f>_xlfn.LET(_xlpm.result, _xlfn.XLOOKUP($A47,'EA-Fortescue_SDExport'!$A:$A,'EA-Fortescue_SDExport'!AQ:AQ), IF(_xlpm.result=0,"",_xlpm.result))</f>
        <v>This interface links energy storage systems (such as battery installations) with Monarch for monitoring and dispatch control.</v>
      </c>
      <c r="M47" s="2" t="str">
        <f>_xlfn.LET(_xlpm.result, _xlfn.XLOOKUP($A47,'EA-Fortescue_SDExport'!$A:$A,'EA-Fortescue_SDExport'!AR:AR), IF(_xlpm.result=0,"",_xlpm.result))</f>
        <v>MEDIUM</v>
      </c>
      <c r="N47" s="2" t="str">
        <f>_xlfn.LET(_xlpm.result, _xlfn.XLOOKUP($A47,'EA-Fortescue_SDExport'!$A:$A,'EA-Fortescue_SDExport'!AW:AW), IF(_xlpm.result=0,"",_xlpm.result))</f>
        <v>The criticality level is MEDIUM because the loss of interface reduces the ability to coordinate stored energy with the network, degrading power stability. This reduces efficiency, but is generally manageable in the short term.</v>
      </c>
      <c r="O47" s="2" t="str">
        <f>_xlfn.LET(_xlpm.result, _xlfn.XLOOKUP($A47,'EA-Fortescue_SDExport'!$A:$A,'EA-Fortescue_SDExport'!AV:AV), IF(_xlpm.result=0,"",_xlpm.result))</f>
        <v>Data Flow: Energy Storage Systems -&gt; Monarch (state of charge, available capacity, charge/discharge status, alarms, operational limits) for monitoring and coordination._x000D_
Control Flow: Monarch -&gt; Energy Storage Systems (charge/discharge setpoints, dispatch instructions, start/stop commands, operating constraints) to balance supply, demand, and network stability.</v>
      </c>
      <c r="P47" s="2" t="str">
        <f>_xlfn.LET(_xlpm.result, _xlfn.XLOOKUP($A47,'EA-Fortescue_SDExport'!$A:$A,'EA-Fortescue_SDExport'!D:D), IF(_xlpm.result=0,"",_xlpm.result))</f>
        <v>NH 25/02/2026: Fields updated:Interface Type</v>
      </c>
      <c r="Q47" s="2" t="str">
        <f>_xlfn.LET(
    _xlpm.status, _xlfn.XLOOKUP($A47,'EA-ConnectorExport'!$A:$A,'EA-ConnectorExport'!G:G),
    _xlpm.result, _xlfn.XLOOKUP($A47,'EA-ConnectorExport'!$A:$A,'EA-ConnectorExport'!B:B),
    IF(_xlpm.status="allocate", _xlpm.result, "")
)</f>
        <v>854DC-5680 Battery Energy Storage System (BESS)</v>
      </c>
      <c r="R47" s="2" t="str">
        <f>IF(
    _xlfn.XLOOKUP($Q47,'EA-Fortescue_SDExport'!A:A,'EA-Fortescue_SDExport'!B:B)="Object",
    _xlfn.XLOOKUP(
        _xlfn.XLOOKUP($A47,'EA-ConnectorExport'!A:A,'EA-ConnectorExport'!D:D),
        'EA-Fortescue_SDExport'!A:A,
        'EA-Fortescue_SDExport'!AA:AA
    ),
    _xlfn.XLOOKUP($Q47,'EA-Fortescue_SDExport'!A:A,'EA-Fortescue_SDExport'!AA:AA)
)</f>
        <v>System</v>
      </c>
      <c r="S47" s="2" t="str">
        <f>_xlfn.LET(_xlpm.result, _xlfn.XLOOKUP($Q47,'EA-Fortescue_SDExport'!$A:$A,'EA-Fortescue_SDExport'!AB:AB), IF(_xlpm.result=0,"",_xlpm.result))</f>
        <v/>
      </c>
      <c r="T47" s="2" t="str">
        <f>_xlfn.LET(_xlpm.result, _xlfn.XLOOKUP($Q47,'EA-Fortescue_SDExport'!$A:$A,'EA-Fortescue_SDExport'!AC:AC), IF(_xlpm.result=0,"",_xlpm.result))</f>
        <v>Generic Physical Asset</v>
      </c>
      <c r="U47" s="2" t="str">
        <f>_xlfn.LET(
    _xlpm.isObject, _xlfn.XLOOKUP($Q47,'EA-Fortescue_SDExport'!A:A,'EA-Fortescue_SDExport'!B:B),
    _xlpm.lookupKey, IF(_xlpm.isObject="Object",
        _xlfn.XLOOKUP($A47,'EA-ConnectorExport'!A:A,'EA-ConnectorExport'!D:D),
        $Q47
    ),
    _xlpm.result, _xlfn.XLOOKUP(_xlpm.lookupKey,'EA-Fortescue_SDExport'!A:A,'EA-Fortescue_SDExport'!AD:AD),
    IF(_xlpm.result=0,"",_xlpm.result)
)</f>
        <v>854DC Green Power</v>
      </c>
      <c r="V47" s="2" t="str">
        <f>_xlfn.LET(
    _xlpm.isObject, _xlfn.XLOOKUP($Q47,'EA-Fortescue_SDExport'!A:A,'EA-Fortescue_SDExport'!B:B),
    _xlpm.lookupKey, IF(_xlpm.isObject="Object",
        _xlfn.XLOOKUP($A47,'EA-ConnectorExport'!A:A,'EA-ConnectorExport'!D:D),
        $Q47
    ),
    _xlpm.result, _xlfn.XLOOKUP(_xlpm.lookupKey,'EA-Fortescue_SDExport'!A:A,'EA-Fortescue_SDExport'!AE:AE),
    IF(_xlpm.result=0,"",_xlpm.result)
)</f>
        <v>854DC-5680 Battery Energy Storage System (BESS)</v>
      </c>
      <c r="W47" s="2" t="str">
        <f>_xlfn.LET(
    _xlpm.isObject, _xlfn.XLOOKUP($Q47,'EA-Fortescue_SDExport'!A:A,'EA-Fortescue_SDExport'!B:B),
    _xlpm.lookupKey, IF(_xlpm.isObject="Object",
        _xlfn.XLOOKUP($A47,'EA-ConnectorExport'!A:A,'EA-ConnectorExport'!D:D),
        $Q47
    ),
    _xlpm.result, _xlfn.XLOOKUP(_xlpm.lookupKey,'EA-Fortescue_SDExport'!A:A,'EA-Fortescue_SDExport'!AF:AF),
    IF(_xlpm.result=0,"",_xlpm.result)
)</f>
        <v/>
      </c>
      <c r="X47" s="2" t="str">
        <f>_xlfn.LET(
    _xlpm.isObject, _xlfn.XLOOKUP($Q47,'EA-Fortescue_SDExport'!A:A,'EA-Fortescue_SDExport'!B:B),
    _xlpm.lookupKey, IF(_xlpm.isObject="Object",
        _xlfn.XLOOKUP($A47,'EA-ConnectorExport'!A:A,'EA-ConnectorExport'!D:D),
        $Q47
    ),
    _xlpm.result, _xlfn.XLOOKUP(_xlpm.lookupKey,'EA-Fortescue_SDExport'!A:A,'EA-Fortescue_SDExport'!AG:AG),
    IF(_xlpm.result=0,"",_xlpm.result)
)</f>
        <v/>
      </c>
      <c r="Y47" s="2" t="str">
        <f>_xlfn.LET(
    _xlpm.status, _xlfn.XLOOKUP($A47,'EA-ConnectorExport'!$A:$A,'EA-ConnectorExport'!G:G),
    _xlpm.result, _xlfn.XLOOKUP($A47,'EA-ConnectorExport'!$A:$A,'EA-ConnectorExport'!H:H),
    IF(_xlpm.status="allocate", _xlpm.result, "")
)</f>
        <v>855DC-1543-008 Monarch</v>
      </c>
      <c r="Z47" s="2" t="str">
        <f>_xlfn.LET(
    _xlpm.isObject, _xlfn.XLOOKUP($Y47,'EA-Fortescue_SDExport'!A:A,'EA-Fortescue_SDExport'!B:B),
    _xlpm.lookupKey, IF(_xlpm.isObject="Object",
        _xlfn.XLOOKUP($A47,'EA-ConnectorExport'!A:A,'EA-ConnectorExport'!J:J),
        $Y47
    ),
    _xlpm.result, _xlfn.XLOOKUP(_xlpm.lookupKey,'EA-Fortescue_SDExport'!A:A,'EA-Fortescue_SDExport'!AA:AA),
    IF(_xlpm.result=0,"",_xlpm.result)
)</f>
        <v>Project</v>
      </c>
      <c r="AA47" s="2" t="str">
        <f>_xlfn.LET(_xlpm.result, _xlfn.XLOOKUP($Y47,'EA-Fortescue_SDExport'!$A:$A,'EA-Fortescue_SDExport'!AB:AB), IF(_xlpm.result=0,"",_xlpm.result))</f>
        <v>Energy Operations</v>
      </c>
      <c r="AB47" s="2" t="str">
        <f>_xlfn.LET(_xlpm.result, _xlfn.XLOOKUP($Y47,'EA-Fortescue_SDExport'!$A:$A,'EA-Fortescue_SDExport'!AC:AC), IF(_xlpm.result=0,"",_xlpm.result))</f>
        <v/>
      </c>
      <c r="AC47" s="2" t="str">
        <f>_xlfn.LET(
    _xlpm.isObject, _xlfn.XLOOKUP($Y47,'EA-Fortescue_SDExport'!A:A,'EA-Fortescue_SDExport'!B:B),
    _xlpm.lookupKey, IF(_xlpm.isObject="Object",
        _xlfn.XLOOKUP($A47,'EA-ConnectorExport'!A:A,'EA-ConnectorExport'!J:J),
        $Y47
    ),
    _xlpm.result, _xlfn.XLOOKUP(_xlpm.lookupKey,'EA-Fortescue_SDExport'!A:A,'EA-Fortescue_SDExport'!AD:AD),
    IF(_xlpm.result=0,"",_xlpm.result)
)</f>
        <v>855DC Decarb Green Systems</v>
      </c>
      <c r="AD47" s="2" t="str">
        <f>_xlfn.LET(
    _xlpm.isObject, _xlfn.XLOOKUP($Y47,'EA-Fortescue_SDExport'!A:A,'EA-Fortescue_SDExport'!B:B),
    _xlpm.lookupKey, IF(_xlpm.isObject="Object",
        _xlfn.XLOOKUP($A47,'EA-ConnectorExport'!A:A,'EA-ConnectorExport'!J:J),
        $Y47
    ),
    _xlpm.result, _xlfn.XLOOKUP(_xlpm.lookupKey,'EA-Fortescue_SDExport'!A:A,'EA-Fortescue_SDExport'!AE:AE),
    IF(_xlpm.result=0,"",_xlpm.result)
)</f>
        <v>855DC-1543 Existing Systems - Green Enhancement</v>
      </c>
      <c r="AE47" s="2" t="str">
        <f>_xlfn.LET(
    _xlpm.isObject, _xlfn.XLOOKUP($Y47,'EA-Fortescue_SDExport'!A:A,'EA-Fortescue_SDExport'!B:B),
    _xlpm.lookupKey, IF(_xlpm.isObject="Object",
        _xlfn.XLOOKUP($A47,'EA-ConnectorExport'!A:A,'EA-ConnectorExport'!J:J),
        $Y47
    ),
    _xlpm.result, _xlfn.XLOOKUP(_xlpm.lookupKey,'EA-Fortescue_SDExport'!A:A,'EA-Fortescue_SDExport'!AF:AF),
    IF(_xlpm.result=0,"",_xlpm.result)
)</f>
        <v>855DC-1543-008 Monarch</v>
      </c>
      <c r="AF47" s="2" t="str">
        <f>_xlfn.LET(
    _xlpm.isObject, _xlfn.XLOOKUP($Y47,'EA-Fortescue_SDExport'!A:A,'EA-Fortescue_SDExport'!B:B),
    _xlpm.lookupKey, IF(_xlpm.isObject="Object",
        _xlfn.XLOOKUP($A47,'EA-ConnectorExport'!A:A,'EA-ConnectorExport'!J:J),
        $Y47
    ),
    _xlpm.result, _xlfn.XLOOKUP(_xlpm.lookupKey,'EA-Fortescue_SDExport'!A:A,'EA-Fortescue_SDExport'!AG:AG),
    IF(_xlpm.result=0,"",_xlpm.result)
)</f>
        <v/>
      </c>
    </row>
    <row r="48" spans="1:32" ht="345" x14ac:dyDescent="0.25">
      <c r="A48" s="2" t="str">
        <v>DGS-I_0047</v>
      </c>
      <c r="B48" s="2" t="str">
        <f t="shared" si="0"/>
        <v>854DC-5670 Energy Generation - Solar|855DC-1543-008 Monarch</v>
      </c>
      <c r="C48" s="2" t="str">
        <f>_xlfn.LET(_xlpm.result, _xlfn.XLOOKUP(A48,'EA-Fortescue_SDExport'!A:A,'EA-Fortescue_SDExport'!AM:AM), IF(_xlpm.result=0,"",_xlpm.result))</f>
        <v/>
      </c>
      <c r="D48" s="2" t="str">
        <f>_xlfn.LET(_xlpm.result, _xlfn.XLOOKUP(A48,'EA-Fortescue_SDExport'!A:A,'EA-Fortescue_SDExport'!AN:AN), IF(_xlpm.result=0,"",_xlpm.result))</f>
        <v/>
      </c>
      <c r="E48" s="2" t="str">
        <f>_xlfn.XLOOKUP(R48&amp;Z48,Lookups!A:A,Lookups!B:B)</f>
        <v>System - Project Interface</v>
      </c>
      <c r="F48" s="2" t="str">
        <f>_xlfn.LET(_xlpm.result, _xlfn.XLOOKUP(A48,'EA-Fortescue_SDExport'!A:A,'EA-Fortescue_SDExport'!AP:AP), IF(_xlpm.result=0,"",_xlpm.result))</f>
        <v/>
      </c>
      <c r="G48" s="2" t="str">
        <f>IF(OR(AND(T48&lt;&gt;"", COUNTIF(Lookups!J:J, "*"&amp;T48&amp;"*")&gt;0), AND(AB48&lt;&gt;"", COUNTIF(Lookups!J:J, "*"&amp;AB48&amp;"*")&gt;0)), "Yes", "No")</f>
        <v>No</v>
      </c>
      <c r="H48" s="2" t="str">
        <f t="shared" si="1"/>
        <v>854DC Green Power|855DC Decarb Green Systems</v>
      </c>
      <c r="I48" s="2" t="str">
        <f t="shared" si="2"/>
        <v>854DC-5670 Energy Generation - Solar|855DC-1543 Existing Systems - Green Enhancement</v>
      </c>
      <c r="J48" s="2" t="str">
        <f t="shared" si="3"/>
        <v>N/A|855DC-1543-008 Monarch</v>
      </c>
      <c r="K48" s="2" t="str">
        <f>_xlfn.XLOOKUP(A48,'EA-Fortescue_SDExport'!A:A,'EA-Fortescue_SDExport'!N:N)</f>
        <v>Deleted</v>
      </c>
      <c r="L48" s="2" t="str">
        <f>_xlfn.LET(_xlpm.result, _xlfn.XLOOKUP($A48,'EA-Fortescue_SDExport'!$A:$A,'EA-Fortescue_SDExport'!AQ:AQ), IF(_xlpm.result=0,"",_xlpm.result))</f>
        <v>This interface links site energy generation assets, such as renewable or conventional generation systems, with the Monarch platform for monitoring, forecasting, and operational coordination.</v>
      </c>
      <c r="M48" s="2" t="str">
        <f>_xlfn.LET(_xlpm.result, _xlfn.XLOOKUP($A48,'EA-Fortescue_SDExport'!$A:$A,'EA-Fortescue_SDExport'!AR:AR), IF(_xlpm.result=0,"",_xlpm.result))</f>
        <v>HIGH</v>
      </c>
      <c r="N48" s="2" t="str">
        <f>_xlfn.LET(_xlpm.result, _xlfn.XLOOKUP($A48,'EA-Fortescue_SDExport'!$A:$A,'EA-Fortescue_SDExport'!AW:AW), IF(_xlpm.result=0,"",_xlpm.result))</f>
        <v>The criticality level is HIGH because losing this interface reduces visibility and control of generation sources that support the mine's electrical network. This can lead to power instability, forced load reductions, or interruptions to critical mining systems. Energy generation is fundamental to site operations, and a failure in the interface risks major production losses or safety concerns if generation cannot be coordinated correctly.</v>
      </c>
      <c r="O48" s="2" t="str">
        <f>_xlfn.LET(_xlpm.result, _xlfn.XLOOKUP($A48,'EA-Fortescue_SDExport'!$A:$A,'EA-Fortescue_SDExport'!AV:AV), IF(_xlpm.result=0,"",_xlpm.result))</f>
        <v/>
      </c>
      <c r="P48" s="2" t="str">
        <f>_xlfn.LET(_xlpm.result, _xlfn.XLOOKUP($A48,'EA-Fortescue_SDExport'!$A:$A,'EA-Fortescue_SDExport'!D:D), IF(_xlpm.result=0,"",_xlpm.result))</f>
        <v>SBS-WBS Mapping 02/01/2026: Energy Generation changed to Energy Generation - Solar. Interface covered by DGS-I_0205. Interface deleted.</v>
      </c>
      <c r="Q48" s="2" t="str">
        <f>_xlfn.LET(
    _xlpm.status, _xlfn.XLOOKUP($A48,'EA-ConnectorExport'!$A:$A,'EA-ConnectorExport'!G:G),
    _xlpm.result, _xlfn.XLOOKUP($A48,'EA-ConnectorExport'!$A:$A,'EA-ConnectorExport'!B:B),
    IF(_xlpm.status="allocate", _xlpm.result, "")
)</f>
        <v>854DC-5670 Energy Generation - Solar</v>
      </c>
      <c r="R48" s="2" t="str">
        <f>IF(
    _xlfn.XLOOKUP($Q48,'EA-Fortescue_SDExport'!A:A,'EA-Fortescue_SDExport'!B:B)="Object",
    _xlfn.XLOOKUP(
        _xlfn.XLOOKUP($A48,'EA-ConnectorExport'!A:A,'EA-ConnectorExport'!D:D),
        'EA-Fortescue_SDExport'!A:A,
        'EA-Fortescue_SDExport'!AA:AA
    ),
    _xlfn.XLOOKUP($Q48,'EA-Fortescue_SDExport'!A:A,'EA-Fortescue_SDExport'!AA:AA)
)</f>
        <v>System</v>
      </c>
      <c r="S48" s="2" t="str">
        <f>_xlfn.LET(_xlpm.result, _xlfn.XLOOKUP($Q48,'EA-Fortescue_SDExport'!$A:$A,'EA-Fortescue_SDExport'!AB:AB), IF(_xlpm.result=0,"",_xlpm.result))</f>
        <v/>
      </c>
      <c r="T48" s="2" t="str">
        <f>_xlfn.LET(_xlpm.result, _xlfn.XLOOKUP($Q48,'EA-Fortescue_SDExport'!$A:$A,'EA-Fortescue_SDExport'!AC:AC), IF(_xlpm.result=0,"",_xlpm.result))</f>
        <v>Generic Physical Asset</v>
      </c>
      <c r="U48" s="2" t="str">
        <f>_xlfn.LET(
    _xlpm.isObject, _xlfn.XLOOKUP($Q48,'EA-Fortescue_SDExport'!A:A,'EA-Fortescue_SDExport'!B:B),
    _xlpm.lookupKey, IF(_xlpm.isObject="Object",
        _xlfn.XLOOKUP($A48,'EA-ConnectorExport'!A:A,'EA-ConnectorExport'!D:D),
        $Q48
    ),
    _xlpm.result, _xlfn.XLOOKUP(_xlpm.lookupKey,'EA-Fortescue_SDExport'!A:A,'EA-Fortescue_SDExport'!AD:AD),
    IF(_xlpm.result=0,"",_xlpm.result)
)</f>
        <v>854DC Green Power</v>
      </c>
      <c r="V48" s="2" t="str">
        <f>_xlfn.LET(
    _xlpm.isObject, _xlfn.XLOOKUP($Q48,'EA-Fortescue_SDExport'!A:A,'EA-Fortescue_SDExport'!B:B),
    _xlpm.lookupKey, IF(_xlpm.isObject="Object",
        _xlfn.XLOOKUP($A48,'EA-ConnectorExport'!A:A,'EA-ConnectorExport'!D:D),
        $Q48
    ),
    _xlpm.result, _xlfn.XLOOKUP(_xlpm.lookupKey,'EA-Fortescue_SDExport'!A:A,'EA-Fortescue_SDExport'!AE:AE),
    IF(_xlpm.result=0,"",_xlpm.result)
)</f>
        <v>854DC-5670 Energy Generation - Solar</v>
      </c>
      <c r="W48" s="2" t="str">
        <f>_xlfn.LET(
    _xlpm.isObject, _xlfn.XLOOKUP($Q48,'EA-Fortescue_SDExport'!A:A,'EA-Fortescue_SDExport'!B:B),
    _xlpm.lookupKey, IF(_xlpm.isObject="Object",
        _xlfn.XLOOKUP($A48,'EA-ConnectorExport'!A:A,'EA-ConnectorExport'!D:D),
        $Q48
    ),
    _xlpm.result, _xlfn.XLOOKUP(_xlpm.lookupKey,'EA-Fortescue_SDExport'!A:A,'EA-Fortescue_SDExport'!AF:AF),
    IF(_xlpm.result=0,"",_xlpm.result)
)</f>
        <v/>
      </c>
      <c r="X48" s="2" t="str">
        <f>_xlfn.LET(
    _xlpm.isObject, _xlfn.XLOOKUP($Q48,'EA-Fortescue_SDExport'!A:A,'EA-Fortescue_SDExport'!B:B),
    _xlpm.lookupKey, IF(_xlpm.isObject="Object",
        _xlfn.XLOOKUP($A48,'EA-ConnectorExport'!A:A,'EA-ConnectorExport'!D:D),
        $Q48
    ),
    _xlpm.result, _xlfn.XLOOKUP(_xlpm.lookupKey,'EA-Fortescue_SDExport'!A:A,'EA-Fortescue_SDExport'!AG:AG),
    IF(_xlpm.result=0,"",_xlpm.result)
)</f>
        <v/>
      </c>
      <c r="Y48" s="2" t="str">
        <f>_xlfn.LET(
    _xlpm.status, _xlfn.XLOOKUP($A48,'EA-ConnectorExport'!$A:$A,'EA-ConnectorExport'!G:G),
    _xlpm.result, _xlfn.XLOOKUP($A48,'EA-ConnectorExport'!$A:$A,'EA-ConnectorExport'!H:H),
    IF(_xlpm.status="allocate", _xlpm.result, "")
)</f>
        <v>855DC-1543-008 Monarch</v>
      </c>
      <c r="Z48" s="2" t="str">
        <f>_xlfn.LET(
    _xlpm.isObject, _xlfn.XLOOKUP($Y48,'EA-Fortescue_SDExport'!A:A,'EA-Fortescue_SDExport'!B:B),
    _xlpm.lookupKey, IF(_xlpm.isObject="Object",
        _xlfn.XLOOKUP($A48,'EA-ConnectorExport'!A:A,'EA-ConnectorExport'!J:J),
        $Y48
    ),
    _xlpm.result, _xlfn.XLOOKUP(_xlpm.lookupKey,'EA-Fortescue_SDExport'!A:A,'EA-Fortescue_SDExport'!AA:AA),
    IF(_xlpm.result=0,"",_xlpm.result)
)</f>
        <v>Project</v>
      </c>
      <c r="AA48" s="2" t="str">
        <f>_xlfn.LET(_xlpm.result, _xlfn.XLOOKUP($Y48,'EA-Fortescue_SDExport'!$A:$A,'EA-Fortescue_SDExport'!AB:AB), IF(_xlpm.result=0,"",_xlpm.result))</f>
        <v>Energy Operations</v>
      </c>
      <c r="AB48" s="2" t="str">
        <f>_xlfn.LET(_xlpm.result, _xlfn.XLOOKUP($Y48,'EA-Fortescue_SDExport'!$A:$A,'EA-Fortescue_SDExport'!AC:AC), IF(_xlpm.result=0,"",_xlpm.result))</f>
        <v/>
      </c>
      <c r="AC48" s="2" t="str">
        <f>_xlfn.LET(
    _xlpm.isObject, _xlfn.XLOOKUP($Y48,'EA-Fortescue_SDExport'!A:A,'EA-Fortescue_SDExport'!B:B),
    _xlpm.lookupKey, IF(_xlpm.isObject="Object",
        _xlfn.XLOOKUP($A48,'EA-ConnectorExport'!A:A,'EA-ConnectorExport'!J:J),
        $Y48
    ),
    _xlpm.result, _xlfn.XLOOKUP(_xlpm.lookupKey,'EA-Fortescue_SDExport'!A:A,'EA-Fortescue_SDExport'!AD:AD),
    IF(_xlpm.result=0,"",_xlpm.result)
)</f>
        <v>855DC Decarb Green Systems</v>
      </c>
      <c r="AD48" s="2" t="str">
        <f>_xlfn.LET(
    _xlpm.isObject, _xlfn.XLOOKUP($Y48,'EA-Fortescue_SDExport'!A:A,'EA-Fortescue_SDExport'!B:B),
    _xlpm.lookupKey, IF(_xlpm.isObject="Object",
        _xlfn.XLOOKUP($A48,'EA-ConnectorExport'!A:A,'EA-ConnectorExport'!J:J),
        $Y48
    ),
    _xlpm.result, _xlfn.XLOOKUP(_xlpm.lookupKey,'EA-Fortescue_SDExport'!A:A,'EA-Fortescue_SDExport'!AE:AE),
    IF(_xlpm.result=0,"",_xlpm.result)
)</f>
        <v>855DC-1543 Existing Systems - Green Enhancement</v>
      </c>
      <c r="AE48" s="2" t="str">
        <f>_xlfn.LET(
    _xlpm.isObject, _xlfn.XLOOKUP($Y48,'EA-Fortescue_SDExport'!A:A,'EA-Fortescue_SDExport'!B:B),
    _xlpm.lookupKey, IF(_xlpm.isObject="Object",
        _xlfn.XLOOKUP($A48,'EA-ConnectorExport'!A:A,'EA-ConnectorExport'!J:J),
        $Y48
    ),
    _xlpm.result, _xlfn.XLOOKUP(_xlpm.lookupKey,'EA-Fortescue_SDExport'!A:A,'EA-Fortescue_SDExport'!AF:AF),
    IF(_xlpm.result=0,"",_xlpm.result)
)</f>
        <v>855DC-1543-008 Monarch</v>
      </c>
      <c r="AF48" s="2" t="str">
        <f>_xlfn.LET(
    _xlpm.isObject, _xlfn.XLOOKUP($Y48,'EA-Fortescue_SDExport'!A:A,'EA-Fortescue_SDExport'!B:B),
    _xlpm.lookupKey, IF(_xlpm.isObject="Object",
        _xlfn.XLOOKUP($A48,'EA-ConnectorExport'!A:A,'EA-ConnectorExport'!J:J),
        $Y48
    ),
    _xlpm.result, _xlfn.XLOOKUP(_xlpm.lookupKey,'EA-Fortescue_SDExport'!A:A,'EA-Fortescue_SDExport'!AG:AG),
    IF(_xlpm.result=0,"",_xlpm.result)
)</f>
        <v/>
      </c>
    </row>
    <row r="49" spans="1:32" ht="30" x14ac:dyDescent="0.25">
      <c r="A49" s="2" t="str">
        <v>DGS-I_0048</v>
      </c>
      <c r="B49" s="2" t="str">
        <f t="shared" si="0"/>
        <v>854DC-1521 HV Substations|850DC-1522 Field Switches</v>
      </c>
      <c r="C49" s="2" t="str">
        <f>_xlfn.LET(_xlpm.result, _xlfn.XLOOKUP(A49,'EA-Fortescue_SDExport'!A:A,'EA-Fortescue_SDExport'!AM:AM), IF(_xlpm.result=0,"",_xlpm.result))</f>
        <v/>
      </c>
      <c r="D49" s="2" t="str">
        <f>_xlfn.LET(_xlpm.result, _xlfn.XLOOKUP(A49,'EA-Fortescue_SDExport'!A:A,'EA-Fortescue_SDExport'!AN:AN), IF(_xlpm.result=0,"",_xlpm.result))</f>
        <v/>
      </c>
      <c r="E49" s="2" t="str">
        <f>_xlfn.XLOOKUP(R49&amp;Z49,Lookups!A:A,Lookups!B:B)</f>
        <v>System - System Interface</v>
      </c>
      <c r="F49" s="2" t="str">
        <f>_xlfn.LET(_xlpm.result, _xlfn.XLOOKUP(A49,'EA-Fortescue_SDExport'!A:A,'EA-Fortescue_SDExport'!AP:AP), IF(_xlpm.result=0,"",_xlpm.result))</f>
        <v/>
      </c>
      <c r="G49" s="2" t="str">
        <f>IF(OR(AND(T49&lt;&gt;"", COUNTIF(Lookups!J:J, "*"&amp;T49&amp;"*")&gt;0), AND(AB49&lt;&gt;"", COUNTIF(Lookups!J:J, "*"&amp;AB49&amp;"*")&gt;0)), "Yes", "No")</f>
        <v>No</v>
      </c>
      <c r="H49" s="2" t="str">
        <f t="shared" si="1"/>
        <v>854DC Green Power|850DC Decarb Infrastructure</v>
      </c>
      <c r="I49" s="2" t="str">
        <f t="shared" si="2"/>
        <v>854DC-1521 HV Substations|850DC-1522 Field Switches</v>
      </c>
      <c r="J49" s="2" t="str">
        <f t="shared" si="3"/>
        <v>N/A</v>
      </c>
      <c r="K49" s="2" t="str">
        <f>_xlfn.XLOOKUP(A49,'EA-Fortescue_SDExport'!A:A,'EA-Fortescue_SDExport'!N:N)</f>
        <v>Proposed</v>
      </c>
      <c r="L49" s="2" t="str">
        <f>_xlfn.LET(_xlpm.result, _xlfn.XLOOKUP($A49,'EA-Fortescue_SDExport'!$A:$A,'EA-Fortescue_SDExport'!AQ:AQ), IF(_xlpm.result=0,"",_xlpm.result))</f>
        <v/>
      </c>
      <c r="M49" s="2" t="str">
        <f>_xlfn.LET(_xlpm.result, _xlfn.XLOOKUP($A49,'EA-Fortescue_SDExport'!$A:$A,'EA-Fortescue_SDExport'!AR:AR), IF(_xlpm.result=0,"",_xlpm.result))</f>
        <v/>
      </c>
      <c r="N49" s="2" t="str">
        <f>_xlfn.LET(_xlpm.result, _xlfn.XLOOKUP($A49,'EA-Fortescue_SDExport'!$A:$A,'EA-Fortescue_SDExport'!AW:AW), IF(_xlpm.result=0,"",_xlpm.result))</f>
        <v/>
      </c>
      <c r="O49" s="2" t="str">
        <f>_xlfn.LET(_xlpm.result, _xlfn.XLOOKUP($A49,'EA-Fortescue_SDExport'!$A:$A,'EA-Fortescue_SDExport'!AV:AV), IF(_xlpm.result=0,"",_xlpm.result))</f>
        <v/>
      </c>
      <c r="P49" s="2" t="str">
        <f>_xlfn.LET(_xlpm.result, _xlfn.XLOOKUP($A49,'EA-Fortescue_SDExport'!$A:$A,'EA-Fortescue_SDExport'!D:D), IF(_xlpm.result=0,"",_xlpm.result))</f>
        <v/>
      </c>
      <c r="Q49" s="2" t="str">
        <f>_xlfn.LET(
    _xlpm.status, _xlfn.XLOOKUP($A49,'EA-ConnectorExport'!$A:$A,'EA-ConnectorExport'!G:G),
    _xlpm.result, _xlfn.XLOOKUP($A49,'EA-ConnectorExport'!$A:$A,'EA-ConnectorExport'!B:B),
    IF(_xlpm.status="allocate", _xlpm.result, "")
)</f>
        <v>854DC-1521 HV Substations</v>
      </c>
      <c r="R49" s="2" t="str">
        <f>IF(
    _xlfn.XLOOKUP($Q49,'EA-Fortescue_SDExport'!A:A,'EA-Fortescue_SDExport'!B:B)="Object",
    _xlfn.XLOOKUP(
        _xlfn.XLOOKUP($A49,'EA-ConnectorExport'!A:A,'EA-ConnectorExport'!D:D),
        'EA-Fortescue_SDExport'!A:A,
        'EA-Fortescue_SDExport'!AA:AA
    ),
    _xlfn.XLOOKUP($Q49,'EA-Fortescue_SDExport'!A:A,'EA-Fortescue_SDExport'!AA:AA)
)</f>
        <v>System</v>
      </c>
      <c r="S49" s="2" t="str">
        <f>_xlfn.LET(_xlpm.result, _xlfn.XLOOKUP($Q49,'EA-Fortescue_SDExport'!$A:$A,'EA-Fortescue_SDExport'!AB:AB), IF(_xlpm.result=0,"",_xlpm.result))</f>
        <v/>
      </c>
      <c r="T49" s="2" t="str">
        <f>_xlfn.LET(_xlpm.result, _xlfn.XLOOKUP($Q49,'EA-Fortescue_SDExport'!$A:$A,'EA-Fortescue_SDExport'!AC:AC), IF(_xlpm.result=0,"",_xlpm.result))</f>
        <v>Generic Physical Asset</v>
      </c>
      <c r="U49" s="2" t="str">
        <f>_xlfn.LET(
    _xlpm.isObject, _xlfn.XLOOKUP($Q49,'EA-Fortescue_SDExport'!A:A,'EA-Fortescue_SDExport'!B:B),
    _xlpm.lookupKey, IF(_xlpm.isObject="Object",
        _xlfn.XLOOKUP($A49,'EA-ConnectorExport'!A:A,'EA-ConnectorExport'!D:D),
        $Q49
    ),
    _xlpm.result, _xlfn.XLOOKUP(_xlpm.lookupKey,'EA-Fortescue_SDExport'!A:A,'EA-Fortescue_SDExport'!AD:AD),
    IF(_xlpm.result=0,"",_xlpm.result)
)</f>
        <v>854DC Green Power</v>
      </c>
      <c r="V49" s="2" t="str">
        <f>_xlfn.LET(
    _xlpm.isObject, _xlfn.XLOOKUP($Q49,'EA-Fortescue_SDExport'!A:A,'EA-Fortescue_SDExport'!B:B),
    _xlpm.lookupKey, IF(_xlpm.isObject="Object",
        _xlfn.XLOOKUP($A49,'EA-ConnectorExport'!A:A,'EA-ConnectorExport'!D:D),
        $Q49
    ),
    _xlpm.result, _xlfn.XLOOKUP(_xlpm.lookupKey,'EA-Fortescue_SDExport'!A:A,'EA-Fortescue_SDExport'!AE:AE),
    IF(_xlpm.result=0,"",_xlpm.result)
)</f>
        <v>854DC-1521 HV Substations</v>
      </c>
      <c r="W49" s="2" t="str">
        <f>_xlfn.LET(
    _xlpm.isObject, _xlfn.XLOOKUP($Q49,'EA-Fortescue_SDExport'!A:A,'EA-Fortescue_SDExport'!B:B),
    _xlpm.lookupKey, IF(_xlpm.isObject="Object",
        _xlfn.XLOOKUP($A49,'EA-ConnectorExport'!A:A,'EA-ConnectorExport'!D:D),
        $Q49
    ),
    _xlpm.result, _xlfn.XLOOKUP(_xlpm.lookupKey,'EA-Fortescue_SDExport'!A:A,'EA-Fortescue_SDExport'!AF:AF),
    IF(_xlpm.result=0,"",_xlpm.result)
)</f>
        <v/>
      </c>
      <c r="X49" s="2" t="str">
        <f>_xlfn.LET(
    _xlpm.isObject, _xlfn.XLOOKUP($Q49,'EA-Fortescue_SDExport'!A:A,'EA-Fortescue_SDExport'!B:B),
    _xlpm.lookupKey, IF(_xlpm.isObject="Object",
        _xlfn.XLOOKUP($A49,'EA-ConnectorExport'!A:A,'EA-ConnectorExport'!D:D),
        $Q49
    ),
    _xlpm.result, _xlfn.XLOOKUP(_xlpm.lookupKey,'EA-Fortescue_SDExport'!A:A,'EA-Fortescue_SDExport'!AG:AG),
    IF(_xlpm.result=0,"",_xlpm.result)
)</f>
        <v/>
      </c>
      <c r="Y49" s="2" t="str">
        <f>_xlfn.LET(
    _xlpm.status, _xlfn.XLOOKUP($A49,'EA-ConnectorExport'!$A:$A,'EA-ConnectorExport'!G:G),
    _xlpm.result, _xlfn.XLOOKUP($A49,'EA-ConnectorExport'!$A:$A,'EA-ConnectorExport'!H:H),
    IF(_xlpm.status="allocate", _xlpm.result, "")
)</f>
        <v>850DC-1522 Field Switches</v>
      </c>
      <c r="Z49" s="2" t="str">
        <f>_xlfn.LET(
    _xlpm.isObject, _xlfn.XLOOKUP($Y49,'EA-Fortescue_SDExport'!A:A,'EA-Fortescue_SDExport'!B:B),
    _xlpm.lookupKey, IF(_xlpm.isObject="Object",
        _xlfn.XLOOKUP($A49,'EA-ConnectorExport'!A:A,'EA-ConnectorExport'!J:J),
        $Y49
    ),
    _xlpm.result, _xlfn.XLOOKUP(_xlpm.lookupKey,'EA-Fortescue_SDExport'!A:A,'EA-Fortescue_SDExport'!AA:AA),
    IF(_xlpm.result=0,"",_xlpm.result)
)</f>
        <v>System</v>
      </c>
      <c r="AA49" s="2" t="str">
        <f>_xlfn.LET(_xlpm.result, _xlfn.XLOOKUP($Y49,'EA-Fortescue_SDExport'!$A:$A,'EA-Fortescue_SDExport'!AB:AB), IF(_xlpm.result=0,"",_xlpm.result))</f>
        <v/>
      </c>
      <c r="AB49" s="2" t="str">
        <f>_xlfn.LET(_xlpm.result, _xlfn.XLOOKUP($Y49,'EA-Fortescue_SDExport'!$A:$A,'EA-Fortescue_SDExport'!AC:AC), IF(_xlpm.result=0,"",_xlpm.result))</f>
        <v>Generic Physical Asset</v>
      </c>
      <c r="AC49" s="2" t="str">
        <f>_xlfn.LET(
    _xlpm.isObject, _xlfn.XLOOKUP($Y49,'EA-Fortescue_SDExport'!A:A,'EA-Fortescue_SDExport'!B:B),
    _xlpm.lookupKey, IF(_xlpm.isObject="Object",
        _xlfn.XLOOKUP($A49,'EA-ConnectorExport'!A:A,'EA-ConnectorExport'!J:J),
        $Y49
    ),
    _xlpm.result, _xlfn.XLOOKUP(_xlpm.lookupKey,'EA-Fortescue_SDExport'!A:A,'EA-Fortescue_SDExport'!AD:AD),
    IF(_xlpm.result=0,"",_xlpm.result)
)</f>
        <v>850DC Decarb Infrastructure</v>
      </c>
      <c r="AD49" s="2" t="str">
        <f>_xlfn.LET(
    _xlpm.isObject, _xlfn.XLOOKUP($Y49,'EA-Fortescue_SDExport'!A:A,'EA-Fortescue_SDExport'!B:B),
    _xlpm.lookupKey, IF(_xlpm.isObject="Object",
        _xlfn.XLOOKUP($A49,'EA-ConnectorExport'!A:A,'EA-ConnectorExport'!J:J),
        $Y49
    ),
    _xlpm.result, _xlfn.XLOOKUP(_xlpm.lookupKey,'EA-Fortescue_SDExport'!A:A,'EA-Fortescue_SDExport'!AE:AE),
    IF(_xlpm.result=0,"",_xlpm.result)
)</f>
        <v>850DC-1522 Field Switches</v>
      </c>
      <c r="AE49" s="2" t="str">
        <f>_xlfn.LET(
    _xlpm.isObject, _xlfn.XLOOKUP($Y49,'EA-Fortescue_SDExport'!A:A,'EA-Fortescue_SDExport'!B:B),
    _xlpm.lookupKey, IF(_xlpm.isObject="Object",
        _xlfn.XLOOKUP($A49,'EA-ConnectorExport'!A:A,'EA-ConnectorExport'!J:J),
        $Y49
    ),
    _xlpm.result, _xlfn.XLOOKUP(_xlpm.lookupKey,'EA-Fortescue_SDExport'!A:A,'EA-Fortescue_SDExport'!AF:AF),
    IF(_xlpm.result=0,"",_xlpm.result)
)</f>
        <v/>
      </c>
      <c r="AF49" s="2" t="str">
        <f>_xlfn.LET(
    _xlpm.isObject, _xlfn.XLOOKUP($Y49,'EA-Fortescue_SDExport'!A:A,'EA-Fortescue_SDExport'!B:B),
    _xlpm.lookupKey, IF(_xlpm.isObject="Object",
        _xlfn.XLOOKUP($A49,'EA-ConnectorExport'!A:A,'EA-ConnectorExport'!J:J),
        $Y49
    ),
    _xlpm.result, _xlfn.XLOOKUP(_xlpm.lookupKey,'EA-Fortescue_SDExport'!A:A,'EA-Fortescue_SDExport'!AG:AG),
    IF(_xlpm.result=0,"",_xlpm.result)
)</f>
        <v/>
      </c>
    </row>
    <row r="50" spans="1:32" ht="30" x14ac:dyDescent="0.25">
      <c r="A50" s="2" t="str">
        <v>DGS-I_0049</v>
      </c>
      <c r="B50" s="2" t="str">
        <f t="shared" si="0"/>
        <v>850DC-1510 Chargers|850DC-1520 Trailing Cable</v>
      </c>
      <c r="C50" s="2" t="str">
        <f>_xlfn.LET(_xlpm.result, _xlfn.XLOOKUP(A50,'EA-Fortescue_SDExport'!A:A,'EA-Fortescue_SDExport'!AM:AM), IF(_xlpm.result=0,"",_xlpm.result))</f>
        <v/>
      </c>
      <c r="D50" s="2" t="str">
        <f>_xlfn.LET(_xlpm.result, _xlfn.XLOOKUP(A50,'EA-Fortescue_SDExport'!A:A,'EA-Fortescue_SDExport'!AN:AN), IF(_xlpm.result=0,"",_xlpm.result))</f>
        <v/>
      </c>
      <c r="E50" s="2" t="str">
        <f>_xlfn.XLOOKUP(R50&amp;Z50,Lookups!A:A,Lookups!B:B)</f>
        <v>System - System Interface</v>
      </c>
      <c r="F50" s="2" t="str">
        <f>_xlfn.LET(_xlpm.result, _xlfn.XLOOKUP(A50,'EA-Fortescue_SDExport'!A:A,'EA-Fortescue_SDExport'!AP:AP), IF(_xlpm.result=0,"",_xlpm.result))</f>
        <v/>
      </c>
      <c r="G50" s="2" t="str">
        <f>IF(OR(AND(T50&lt;&gt;"", COUNTIF(Lookups!J:J, "*"&amp;T50&amp;"*")&gt;0), AND(AB50&lt;&gt;"", COUNTIF(Lookups!J:J, "*"&amp;AB50&amp;"*")&gt;0)), "Yes", "No")</f>
        <v>No</v>
      </c>
      <c r="H50" s="2" t="str">
        <f t="shared" si="1"/>
        <v>850DC Decarb Infrastructure|850DC Decarb Infrastructure</v>
      </c>
      <c r="I50" s="2" t="str">
        <f t="shared" si="2"/>
        <v>850DC-1510 Chargers|850DC-1520 Trailing Cable</v>
      </c>
      <c r="J50" s="2" t="str">
        <f t="shared" si="3"/>
        <v>N/A</v>
      </c>
      <c r="K50" s="2" t="str">
        <f>_xlfn.XLOOKUP(A50,'EA-Fortescue_SDExport'!A:A,'EA-Fortescue_SDExport'!N:N)</f>
        <v>Proposed</v>
      </c>
      <c r="L50" s="2" t="str">
        <f>_xlfn.LET(_xlpm.result, _xlfn.XLOOKUP($A50,'EA-Fortescue_SDExport'!$A:$A,'EA-Fortescue_SDExport'!AQ:AQ), IF(_xlpm.result=0,"",_xlpm.result))</f>
        <v/>
      </c>
      <c r="M50" s="2" t="str">
        <f>_xlfn.LET(_xlpm.result, _xlfn.XLOOKUP($A50,'EA-Fortescue_SDExport'!$A:$A,'EA-Fortescue_SDExport'!AR:AR), IF(_xlpm.result=0,"",_xlpm.result))</f>
        <v/>
      </c>
      <c r="N50" s="2" t="str">
        <f>_xlfn.LET(_xlpm.result, _xlfn.XLOOKUP($A50,'EA-Fortescue_SDExport'!$A:$A,'EA-Fortescue_SDExport'!AW:AW), IF(_xlpm.result=0,"",_xlpm.result))</f>
        <v/>
      </c>
      <c r="O50" s="2" t="str">
        <f>_xlfn.LET(_xlpm.result, _xlfn.XLOOKUP($A50,'EA-Fortescue_SDExport'!$A:$A,'EA-Fortescue_SDExport'!AV:AV), IF(_xlpm.result=0,"",_xlpm.result))</f>
        <v/>
      </c>
      <c r="P50" s="2" t="str">
        <f>_xlfn.LET(_xlpm.result, _xlfn.XLOOKUP($A50,'EA-Fortescue_SDExport'!$A:$A,'EA-Fortescue_SDExport'!D:D), IF(_xlpm.result=0,"",_xlpm.result))</f>
        <v/>
      </c>
      <c r="Q50" s="2" t="str">
        <f>_xlfn.LET(
    _xlpm.status, _xlfn.XLOOKUP($A50,'EA-ConnectorExport'!$A:$A,'EA-ConnectorExport'!G:G),
    _xlpm.result, _xlfn.XLOOKUP($A50,'EA-ConnectorExport'!$A:$A,'EA-ConnectorExport'!B:B),
    IF(_xlpm.status="allocate", _xlpm.result, "")
)</f>
        <v>850DC-1510 Chargers</v>
      </c>
      <c r="R50" s="2" t="str">
        <f>IF(
    _xlfn.XLOOKUP($Q50,'EA-Fortescue_SDExport'!A:A,'EA-Fortescue_SDExport'!B:B)="Object",
    _xlfn.XLOOKUP(
        _xlfn.XLOOKUP($A50,'EA-ConnectorExport'!A:A,'EA-ConnectorExport'!D:D),
        'EA-Fortescue_SDExport'!A:A,
        'EA-Fortescue_SDExport'!AA:AA
    ),
    _xlfn.XLOOKUP($Q50,'EA-Fortescue_SDExport'!A:A,'EA-Fortescue_SDExport'!AA:AA)
)</f>
        <v>System</v>
      </c>
      <c r="S50" s="2" t="str">
        <f>_xlfn.LET(_xlpm.result, _xlfn.XLOOKUP($Q50,'EA-Fortescue_SDExport'!$A:$A,'EA-Fortescue_SDExport'!AB:AB), IF(_xlpm.result=0,"",_xlpm.result))</f>
        <v/>
      </c>
      <c r="T50" s="2" t="str">
        <f>_xlfn.LET(_xlpm.result, _xlfn.XLOOKUP($Q50,'EA-Fortescue_SDExport'!$A:$A,'EA-Fortescue_SDExport'!AC:AC), IF(_xlpm.result=0,"",_xlpm.result))</f>
        <v>Generic Physical Asset</v>
      </c>
      <c r="U50" s="2" t="str">
        <f>_xlfn.LET(
    _xlpm.isObject, _xlfn.XLOOKUP($Q50,'EA-Fortescue_SDExport'!A:A,'EA-Fortescue_SDExport'!B:B),
    _xlpm.lookupKey, IF(_xlpm.isObject="Object",
        _xlfn.XLOOKUP($A50,'EA-ConnectorExport'!A:A,'EA-ConnectorExport'!D:D),
        $Q50
    ),
    _xlpm.result, _xlfn.XLOOKUP(_xlpm.lookupKey,'EA-Fortescue_SDExport'!A:A,'EA-Fortescue_SDExport'!AD:AD),
    IF(_xlpm.result=0,"",_xlpm.result)
)</f>
        <v>850DC Decarb Infrastructure</v>
      </c>
      <c r="V50" s="2" t="str">
        <f>_xlfn.LET(
    _xlpm.isObject, _xlfn.XLOOKUP($Q50,'EA-Fortescue_SDExport'!A:A,'EA-Fortescue_SDExport'!B:B),
    _xlpm.lookupKey, IF(_xlpm.isObject="Object",
        _xlfn.XLOOKUP($A50,'EA-ConnectorExport'!A:A,'EA-ConnectorExport'!D:D),
        $Q50
    ),
    _xlpm.result, _xlfn.XLOOKUP(_xlpm.lookupKey,'EA-Fortescue_SDExport'!A:A,'EA-Fortescue_SDExport'!AE:AE),
    IF(_xlpm.result=0,"",_xlpm.result)
)</f>
        <v>850DC-1510 Chargers</v>
      </c>
      <c r="W50" s="2" t="str">
        <f>_xlfn.LET(
    _xlpm.isObject, _xlfn.XLOOKUP($Q50,'EA-Fortescue_SDExport'!A:A,'EA-Fortescue_SDExport'!B:B),
    _xlpm.lookupKey, IF(_xlpm.isObject="Object",
        _xlfn.XLOOKUP($A50,'EA-ConnectorExport'!A:A,'EA-ConnectorExport'!D:D),
        $Q50
    ),
    _xlpm.result, _xlfn.XLOOKUP(_xlpm.lookupKey,'EA-Fortescue_SDExport'!A:A,'EA-Fortescue_SDExport'!AF:AF),
    IF(_xlpm.result=0,"",_xlpm.result)
)</f>
        <v/>
      </c>
      <c r="X50" s="2" t="str">
        <f>_xlfn.LET(
    _xlpm.isObject, _xlfn.XLOOKUP($Q50,'EA-Fortescue_SDExport'!A:A,'EA-Fortescue_SDExport'!B:B),
    _xlpm.lookupKey, IF(_xlpm.isObject="Object",
        _xlfn.XLOOKUP($A50,'EA-ConnectorExport'!A:A,'EA-ConnectorExport'!D:D),
        $Q50
    ),
    _xlpm.result, _xlfn.XLOOKUP(_xlpm.lookupKey,'EA-Fortescue_SDExport'!A:A,'EA-Fortescue_SDExport'!AG:AG),
    IF(_xlpm.result=0,"",_xlpm.result)
)</f>
        <v/>
      </c>
      <c r="Y50" s="2" t="str">
        <f>_xlfn.LET(
    _xlpm.status, _xlfn.XLOOKUP($A50,'EA-ConnectorExport'!$A:$A,'EA-ConnectorExport'!G:G),
    _xlpm.result, _xlfn.XLOOKUP($A50,'EA-ConnectorExport'!$A:$A,'EA-ConnectorExport'!H:H),
    IF(_xlpm.status="allocate", _xlpm.result, "")
)</f>
        <v>850DC-1520 Trailing Cable</v>
      </c>
      <c r="Z50" s="2" t="str">
        <f>_xlfn.LET(
    _xlpm.isObject, _xlfn.XLOOKUP($Y50,'EA-Fortescue_SDExport'!A:A,'EA-Fortescue_SDExport'!B:B),
    _xlpm.lookupKey, IF(_xlpm.isObject="Object",
        _xlfn.XLOOKUP($A50,'EA-ConnectorExport'!A:A,'EA-ConnectorExport'!J:J),
        $Y50
    ),
    _xlpm.result, _xlfn.XLOOKUP(_xlpm.lookupKey,'EA-Fortescue_SDExport'!A:A,'EA-Fortescue_SDExport'!AA:AA),
    IF(_xlpm.result=0,"",_xlpm.result)
)</f>
        <v>System</v>
      </c>
      <c r="AA50" s="2" t="str">
        <f>_xlfn.LET(_xlpm.result, _xlfn.XLOOKUP($Y50,'EA-Fortescue_SDExport'!$A:$A,'EA-Fortescue_SDExport'!AB:AB), IF(_xlpm.result=0,"",_xlpm.result))</f>
        <v/>
      </c>
      <c r="AB50" s="2" t="str">
        <f>_xlfn.LET(_xlpm.result, _xlfn.XLOOKUP($Y50,'EA-Fortescue_SDExport'!$A:$A,'EA-Fortescue_SDExport'!AC:AC), IF(_xlpm.result=0,"",_xlpm.result))</f>
        <v>Generic Physical Asset</v>
      </c>
      <c r="AC50" s="2" t="str">
        <f>_xlfn.LET(
    _xlpm.isObject, _xlfn.XLOOKUP($Y50,'EA-Fortescue_SDExport'!A:A,'EA-Fortescue_SDExport'!B:B),
    _xlpm.lookupKey, IF(_xlpm.isObject="Object",
        _xlfn.XLOOKUP($A50,'EA-ConnectorExport'!A:A,'EA-ConnectorExport'!J:J),
        $Y50
    ),
    _xlpm.result, _xlfn.XLOOKUP(_xlpm.lookupKey,'EA-Fortescue_SDExport'!A:A,'EA-Fortescue_SDExport'!AD:AD),
    IF(_xlpm.result=0,"",_xlpm.result)
)</f>
        <v>850DC Decarb Infrastructure</v>
      </c>
      <c r="AD50" s="2" t="str">
        <f>_xlfn.LET(
    _xlpm.isObject, _xlfn.XLOOKUP($Y50,'EA-Fortescue_SDExport'!A:A,'EA-Fortescue_SDExport'!B:B),
    _xlpm.lookupKey, IF(_xlpm.isObject="Object",
        _xlfn.XLOOKUP($A50,'EA-ConnectorExport'!A:A,'EA-ConnectorExport'!J:J),
        $Y50
    ),
    _xlpm.result, _xlfn.XLOOKUP(_xlpm.lookupKey,'EA-Fortescue_SDExport'!A:A,'EA-Fortescue_SDExport'!AE:AE),
    IF(_xlpm.result=0,"",_xlpm.result)
)</f>
        <v>850DC-1520 Trailing Cable</v>
      </c>
      <c r="AE50" s="2" t="str">
        <f>_xlfn.LET(
    _xlpm.isObject, _xlfn.XLOOKUP($Y50,'EA-Fortescue_SDExport'!A:A,'EA-Fortescue_SDExport'!B:B),
    _xlpm.lookupKey, IF(_xlpm.isObject="Object",
        _xlfn.XLOOKUP($A50,'EA-ConnectorExport'!A:A,'EA-ConnectorExport'!J:J),
        $Y50
    ),
    _xlpm.result, _xlfn.XLOOKUP(_xlpm.lookupKey,'EA-Fortescue_SDExport'!A:A,'EA-Fortescue_SDExport'!AF:AF),
    IF(_xlpm.result=0,"",_xlpm.result)
)</f>
        <v/>
      </c>
      <c r="AF50" s="2" t="str">
        <f>_xlfn.LET(
    _xlpm.isObject, _xlfn.XLOOKUP($Y50,'EA-Fortescue_SDExport'!A:A,'EA-Fortescue_SDExport'!B:B),
    _xlpm.lookupKey, IF(_xlpm.isObject="Object",
        _xlfn.XLOOKUP($A50,'EA-ConnectorExport'!A:A,'EA-ConnectorExport'!J:J),
        $Y50
    ),
    _xlpm.result, _xlfn.XLOOKUP(_xlpm.lookupKey,'EA-Fortescue_SDExport'!A:A,'EA-Fortescue_SDExport'!AG:AG),
    IF(_xlpm.result=0,"",_xlpm.result)
)</f>
        <v/>
      </c>
    </row>
    <row r="51" spans="1:32" ht="300" x14ac:dyDescent="0.25">
      <c r="A51" s="2" t="str">
        <v>DGS-I_0050</v>
      </c>
      <c r="B51" s="2" t="str">
        <f t="shared" si="0"/>
        <v>854DC-1521 HV Substations|855DC-1543-PPC Pit Power Capacity Planning Tool - Capacity Check</v>
      </c>
      <c r="C51" s="2" t="str">
        <f>_xlfn.LET(_xlpm.result, _xlfn.XLOOKUP(A51,'EA-Fortescue_SDExport'!A:A,'EA-Fortescue_SDExport'!AM:AM), IF(_xlpm.result=0,"",_xlpm.result))</f>
        <v/>
      </c>
      <c r="D51" s="2" t="str">
        <f>_xlfn.LET(_xlpm.result, _xlfn.XLOOKUP(A51,'EA-Fortescue_SDExport'!A:A,'EA-Fortescue_SDExport'!AN:AN), IF(_xlpm.result=0,"",_xlpm.result))</f>
        <v/>
      </c>
      <c r="E51" s="2" t="str">
        <f>_xlfn.XLOOKUP(R51&amp;Z51,Lookups!A:A,Lookups!B:B)</f>
        <v>System - Project Interface</v>
      </c>
      <c r="F51" s="2" t="str">
        <f>_xlfn.LET(_xlpm.result, _xlfn.XLOOKUP(A51,'EA-Fortescue_SDExport'!A:A,'EA-Fortescue_SDExport'!AP:AP), IF(_xlpm.result=0,"",_xlpm.result))</f>
        <v>Technical - Data/Software</v>
      </c>
      <c r="G51" s="2" t="str">
        <f>IF(OR(AND(T51&lt;&gt;"", COUNTIF(Lookups!J:J, "*"&amp;T51&amp;"*")&gt;0), AND(AB51&lt;&gt;"", COUNTIF(Lookups!J:J, "*"&amp;AB51&amp;"*")&gt;0)), "Yes", "No")</f>
        <v>No</v>
      </c>
      <c r="H51" s="2" t="str">
        <f t="shared" si="1"/>
        <v>854DC Green Power|855DC Decarb Green Systems</v>
      </c>
      <c r="I51" s="2" t="str">
        <f t="shared" si="2"/>
        <v>854DC-1521 HV Substations|N/A</v>
      </c>
      <c r="J51" s="2" t="str">
        <f t="shared" si="3"/>
        <v>N/A|855DC-1543-PPC Pit Power Capacity Planning Tool - Capacity Check</v>
      </c>
      <c r="K51" s="2" t="str">
        <f>_xlfn.XLOOKUP(A51,'EA-Fortescue_SDExport'!A:A,'EA-Fortescue_SDExport'!N:N)</f>
        <v>Proposed</v>
      </c>
      <c r="L51" s="2" t="str">
        <f>_xlfn.LET(_xlpm.result, _xlfn.XLOOKUP($A51,'EA-Fortescue_SDExport'!$A:$A,'EA-Fortescue_SDExport'!AQ:AQ), IF(_xlpm.result=0,"",_xlpm.result))</f>
        <v>This interface allows Pit Power Capacity Planning Tool - Capacity Check to ingest electrical parameters, connectivity, and capacity data from HV Substations. The tool uses this data to model substation constraints, evaluate network loading, and ensure sufficient capacity for pit operations. This is a read-only analytical interface; it does not operate or control substations.</v>
      </c>
      <c r="M51" s="2" t="str">
        <f>_xlfn.LET(_xlpm.result, _xlfn.XLOOKUP($A51,'EA-Fortescue_SDExport'!$A:$A,'EA-Fortescue_SDExport'!AR:AR), IF(_xlpm.result=0,"",_xlpm.result))</f>
        <v>HIGH</v>
      </c>
      <c r="N51" s="2" t="str">
        <f>_xlfn.LET(_xlpm.result, _xlfn.XLOOKUP($A51,'EA-Fortescue_SDExport'!$A:$A,'EA-Fortescue_SDExport'!AW:AW), IF(_xlpm.result=0,"",_xlpm.result))</f>
        <v>The criticality is HIGH because accurate HV substation data is essential for reliable capacity assessment. Missing or incorrect data could lead to under- or over-estimation of available network capacity, potentially affecting planning decisions.</v>
      </c>
      <c r="O51" s="2" t="str">
        <f>_xlfn.LET(_xlpm.result, _xlfn.XLOOKUP($A51,'EA-Fortescue_SDExport'!$A:$A,'EA-Fortescue_SDExport'!AV:AV), IF(_xlpm.result=0,"",_xlpm.result))</f>
        <v>HV Substations -&gt; Pit Power Capacity Planning Tool - Capacity Check</v>
      </c>
      <c r="P51" s="2" t="str">
        <f>_xlfn.LET(_xlpm.result, _xlfn.XLOOKUP($A51,'EA-Fortescue_SDExport'!$A:$A,'EA-Fortescue_SDExport'!D:D),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51" s="2" t="str">
        <f>_xlfn.LET(
    _xlpm.status, _xlfn.XLOOKUP($A51,'EA-ConnectorExport'!$A:$A,'EA-ConnectorExport'!G:G),
    _xlpm.result, _xlfn.XLOOKUP($A51,'EA-ConnectorExport'!$A:$A,'EA-ConnectorExport'!B:B),
    IF(_xlpm.status="allocate", _xlpm.result, "")
)</f>
        <v>854DC-1521 HV Substations</v>
      </c>
      <c r="R51" s="2" t="str">
        <f>IF(
    _xlfn.XLOOKUP($Q51,'EA-Fortescue_SDExport'!A:A,'EA-Fortescue_SDExport'!B:B)="Object",
    _xlfn.XLOOKUP(
        _xlfn.XLOOKUP($A51,'EA-ConnectorExport'!A:A,'EA-ConnectorExport'!D:D),
        'EA-Fortescue_SDExport'!A:A,
        'EA-Fortescue_SDExport'!AA:AA
    ),
    _xlfn.XLOOKUP($Q51,'EA-Fortescue_SDExport'!A:A,'EA-Fortescue_SDExport'!AA:AA)
)</f>
        <v>System</v>
      </c>
      <c r="S51" s="2" t="str">
        <f>_xlfn.LET(_xlpm.result, _xlfn.XLOOKUP($Q51,'EA-Fortescue_SDExport'!$A:$A,'EA-Fortescue_SDExport'!AB:AB), IF(_xlpm.result=0,"",_xlpm.result))</f>
        <v/>
      </c>
      <c r="T51" s="2" t="str">
        <f>_xlfn.LET(_xlpm.result, _xlfn.XLOOKUP($Q51,'EA-Fortescue_SDExport'!$A:$A,'EA-Fortescue_SDExport'!AC:AC), IF(_xlpm.result=0,"",_xlpm.result))</f>
        <v>Generic Physical Asset</v>
      </c>
      <c r="U51" s="2" t="str">
        <f>_xlfn.LET(
    _xlpm.isObject, _xlfn.XLOOKUP($Q51,'EA-Fortescue_SDExport'!A:A,'EA-Fortescue_SDExport'!B:B),
    _xlpm.lookupKey, IF(_xlpm.isObject="Object",
        _xlfn.XLOOKUP($A51,'EA-ConnectorExport'!A:A,'EA-ConnectorExport'!D:D),
        $Q51
    ),
    _xlpm.result, _xlfn.XLOOKUP(_xlpm.lookupKey,'EA-Fortescue_SDExport'!A:A,'EA-Fortescue_SDExport'!AD:AD),
    IF(_xlpm.result=0,"",_xlpm.result)
)</f>
        <v>854DC Green Power</v>
      </c>
      <c r="V51" s="2" t="str">
        <f>_xlfn.LET(
    _xlpm.isObject, _xlfn.XLOOKUP($Q51,'EA-Fortescue_SDExport'!A:A,'EA-Fortescue_SDExport'!B:B),
    _xlpm.lookupKey, IF(_xlpm.isObject="Object",
        _xlfn.XLOOKUP($A51,'EA-ConnectorExport'!A:A,'EA-ConnectorExport'!D:D),
        $Q51
    ),
    _xlpm.result, _xlfn.XLOOKUP(_xlpm.lookupKey,'EA-Fortescue_SDExport'!A:A,'EA-Fortescue_SDExport'!AE:AE),
    IF(_xlpm.result=0,"",_xlpm.result)
)</f>
        <v>854DC-1521 HV Substations</v>
      </c>
      <c r="W51" s="2" t="str">
        <f>_xlfn.LET(
    _xlpm.isObject, _xlfn.XLOOKUP($Q51,'EA-Fortescue_SDExport'!A:A,'EA-Fortescue_SDExport'!B:B),
    _xlpm.lookupKey, IF(_xlpm.isObject="Object",
        _xlfn.XLOOKUP($A51,'EA-ConnectorExport'!A:A,'EA-ConnectorExport'!D:D),
        $Q51
    ),
    _xlpm.result, _xlfn.XLOOKUP(_xlpm.lookupKey,'EA-Fortescue_SDExport'!A:A,'EA-Fortescue_SDExport'!AF:AF),
    IF(_xlpm.result=0,"",_xlpm.result)
)</f>
        <v/>
      </c>
      <c r="X51" s="2" t="str">
        <f>_xlfn.LET(
    _xlpm.isObject, _xlfn.XLOOKUP($Q51,'EA-Fortescue_SDExport'!A:A,'EA-Fortescue_SDExport'!B:B),
    _xlpm.lookupKey, IF(_xlpm.isObject="Object",
        _xlfn.XLOOKUP($A51,'EA-ConnectorExport'!A:A,'EA-ConnectorExport'!D:D),
        $Q51
    ),
    _xlpm.result, _xlfn.XLOOKUP(_xlpm.lookupKey,'EA-Fortescue_SDExport'!A:A,'EA-Fortescue_SDExport'!AG:AG),
    IF(_xlpm.result=0,"",_xlpm.result)
)</f>
        <v/>
      </c>
      <c r="Y51" s="2" t="str">
        <f>_xlfn.LET(
    _xlpm.status, _xlfn.XLOOKUP($A51,'EA-ConnectorExport'!$A:$A,'EA-ConnectorExport'!G:G),
    _xlpm.result, _xlfn.XLOOKUP($A51,'EA-ConnectorExport'!$A:$A,'EA-ConnectorExport'!H:H),
    IF(_xlpm.status="allocate", _xlpm.result, "")
)</f>
        <v>855DC-1543-PPC Pit Power Capacity Planning Tool - Capacity Check</v>
      </c>
      <c r="Z51" s="2" t="str">
        <f>_xlfn.LET(
    _xlpm.isObject, _xlfn.XLOOKUP($Y51,'EA-Fortescue_SDExport'!A:A,'EA-Fortescue_SDExport'!B:B),
    _xlpm.lookupKey, IF(_xlpm.isObject="Object",
        _xlfn.XLOOKUP($A51,'EA-ConnectorExport'!A:A,'EA-ConnectorExport'!J:J),
        $Y51
    ),
    _xlpm.result, _xlfn.XLOOKUP(_xlpm.lookupKey,'EA-Fortescue_SDExport'!A:A,'EA-Fortescue_SDExport'!AA:AA),
    IF(_xlpm.result=0,"",_xlpm.result)
)</f>
        <v>Project</v>
      </c>
      <c r="AA51" s="2" t="str">
        <f>_xlfn.LET(_xlpm.result, _xlfn.XLOOKUP($Y51,'EA-Fortescue_SDExport'!$A:$A,'EA-Fortescue_SDExport'!AB:AB), IF(_xlpm.result=0,"",_xlpm.result))</f>
        <v>Operations Planning</v>
      </c>
      <c r="AB51" s="2" t="str">
        <f>_xlfn.LET(_xlpm.result, _xlfn.XLOOKUP($Y51,'EA-Fortescue_SDExport'!$A:$A,'EA-Fortescue_SDExport'!AC:AC), IF(_xlpm.result=0,"",_xlpm.result))</f>
        <v>AWS Fortescue Infrastructure</v>
      </c>
      <c r="AC51" s="2" t="str">
        <f>_xlfn.LET(
    _xlpm.isObject, _xlfn.XLOOKUP($Y51,'EA-Fortescue_SDExport'!A:A,'EA-Fortescue_SDExport'!B:B),
    _xlpm.lookupKey, IF(_xlpm.isObject="Object",
        _xlfn.XLOOKUP($A51,'EA-ConnectorExport'!A:A,'EA-ConnectorExport'!J:J),
        $Y51
    ),
    _xlpm.result, _xlfn.XLOOKUP(_xlpm.lookupKey,'EA-Fortescue_SDExport'!A:A,'EA-Fortescue_SDExport'!AD:AD),
    IF(_xlpm.result=0,"",_xlpm.result)
)</f>
        <v>855DC Decarb Green Systems</v>
      </c>
      <c r="AD51" s="2" t="str">
        <f>_xlfn.LET(
    _xlpm.isObject, _xlfn.XLOOKUP($Y51,'EA-Fortescue_SDExport'!A:A,'EA-Fortescue_SDExport'!B:B),
    _xlpm.lookupKey, IF(_xlpm.isObject="Object",
        _xlfn.XLOOKUP($A51,'EA-ConnectorExport'!A:A,'EA-ConnectorExport'!J:J),
        $Y51
    ),
    _xlpm.result, _xlfn.XLOOKUP(_xlpm.lookupKey,'EA-Fortescue_SDExport'!A:A,'EA-Fortescue_SDExport'!AE:AE),
    IF(_xlpm.result=0,"",_xlpm.result)
)</f>
        <v/>
      </c>
      <c r="AE51" s="2" t="str">
        <f>_xlfn.LET(
    _xlpm.isObject, _xlfn.XLOOKUP($Y51,'EA-Fortescue_SDExport'!A:A,'EA-Fortescue_SDExport'!B:B),
    _xlpm.lookupKey, IF(_xlpm.isObject="Object",
        _xlfn.XLOOKUP($A51,'EA-ConnectorExport'!A:A,'EA-ConnectorExport'!J:J),
        $Y51
    ),
    _xlpm.result, _xlfn.XLOOKUP(_xlpm.lookupKey,'EA-Fortescue_SDExport'!A:A,'EA-Fortescue_SDExport'!AF:AF),
    IF(_xlpm.result=0,"",_xlpm.result)
)</f>
        <v>855DC-1543-PPC Pit Power Capacity Planning Tool - Capacity Check</v>
      </c>
      <c r="AF51" s="2" t="str">
        <f>_xlfn.LET(
    _xlpm.isObject, _xlfn.XLOOKUP($Y51,'EA-Fortescue_SDExport'!A:A,'EA-Fortescue_SDExport'!B:B),
    _xlpm.lookupKey, IF(_xlpm.isObject="Object",
        _xlfn.XLOOKUP($A51,'EA-ConnectorExport'!A:A,'EA-ConnectorExport'!J:J),
        $Y51
    ),
    _xlpm.result, _xlfn.XLOOKUP(_xlpm.lookupKey,'EA-Fortescue_SDExport'!A:A,'EA-Fortescue_SDExport'!AG:AG),
    IF(_xlpm.result=0,"",_xlpm.result)
)</f>
        <v/>
      </c>
    </row>
    <row r="52" spans="1:32" ht="300" x14ac:dyDescent="0.25">
      <c r="A52" s="2" t="str">
        <v>DGS-I_0051</v>
      </c>
      <c r="B52" s="2" t="str">
        <f t="shared" si="0"/>
        <v>854DC-5680 Battery Energy Storage System (BESS)|855DC-1543-PPC Pit Power Capacity Planning Tool - Capacity Check</v>
      </c>
      <c r="C52" s="2" t="str">
        <f>_xlfn.LET(_xlpm.result, _xlfn.XLOOKUP(A52,'EA-Fortescue_SDExport'!A:A,'EA-Fortescue_SDExport'!AM:AM), IF(_xlpm.result=0,"",_xlpm.result))</f>
        <v/>
      </c>
      <c r="D52" s="2" t="str">
        <f>_xlfn.LET(_xlpm.result, _xlfn.XLOOKUP(A52,'EA-Fortescue_SDExport'!A:A,'EA-Fortescue_SDExport'!AN:AN), IF(_xlpm.result=0,"",_xlpm.result))</f>
        <v/>
      </c>
      <c r="E52" s="2" t="str">
        <f>_xlfn.XLOOKUP(R52&amp;Z52,Lookups!A:A,Lookups!B:B)</f>
        <v>System - Project Interface</v>
      </c>
      <c r="F52" s="2" t="str">
        <f>_xlfn.LET(_xlpm.result, _xlfn.XLOOKUP(A52,'EA-Fortescue_SDExport'!A:A,'EA-Fortescue_SDExport'!AP:AP), IF(_xlpm.result=0,"",_xlpm.result))</f>
        <v>Technical - Data/Software</v>
      </c>
      <c r="G52" s="2" t="str">
        <f>IF(OR(AND(T52&lt;&gt;"", COUNTIF(Lookups!J:J, "*"&amp;T52&amp;"*")&gt;0), AND(AB52&lt;&gt;"", COUNTIF(Lookups!J:J, "*"&amp;AB52&amp;"*")&gt;0)), "Yes", "No")</f>
        <v>No</v>
      </c>
      <c r="H52" s="2" t="str">
        <f t="shared" si="1"/>
        <v>854DC Green Power|855DC Decarb Green Systems</v>
      </c>
      <c r="I52" s="2" t="str">
        <f t="shared" si="2"/>
        <v>854DC-5680 Battery Energy Storage System (BESS)|N/A</v>
      </c>
      <c r="J52" s="2" t="str">
        <f t="shared" si="3"/>
        <v>N/A|855DC-1543-PPC Pit Power Capacity Planning Tool - Capacity Check</v>
      </c>
      <c r="K52" s="2" t="str">
        <f>_xlfn.XLOOKUP(A52,'EA-Fortescue_SDExport'!A:A,'EA-Fortescue_SDExport'!N:N)</f>
        <v>Proposed</v>
      </c>
      <c r="L52" s="2" t="str">
        <f>_xlfn.LET(_xlpm.result, _xlfn.XLOOKUP($A52,'EA-Fortescue_SDExport'!$A:$A,'EA-Fortescue_SDExport'!AQ:AQ), IF(_xlpm.result=0,"",_xlpm.result))</f>
        <v>This interface allows the Pit Power Capacity Planning Tool - Capacity Check to ingest data from the Battery Energy Storage System (BESS), including state of charge, available capacity, and operational constraints. The tool uses this data to evaluate network flexibility, support load balancing, and ensure sufficient capacity for pit operations. This is a read-only analytical interface; it does not control the BESS.</v>
      </c>
      <c r="M52" s="2" t="str">
        <f>_xlfn.LET(_xlpm.result, _xlfn.XLOOKUP($A52,'EA-Fortescue_SDExport'!$A:$A,'EA-Fortescue_SDExport'!AR:AR), IF(_xlpm.result=0,"",_xlpm.result))</f>
        <v>HIGH</v>
      </c>
      <c r="N52" s="2" t="str">
        <f>_xlfn.LET(_xlpm.result, _xlfn.XLOOKUP($A52,'EA-Fortescue_SDExport'!$A:$A,'EA-Fortescue_SDExport'!AW:AW), IF(_xlpm.result=0,"",_xlpm.result))</f>
        <v>The criticality is HIGH because BESS data is essential for accurate assessment of short-term network flexibility and capacity. Inaccurate or missing data could lead to incorrect capacity planning and compromise operational reliability.</v>
      </c>
      <c r="O52" s="2" t="str">
        <f>_xlfn.LET(_xlpm.result, _xlfn.XLOOKUP($A52,'EA-Fortescue_SDExport'!$A:$A,'EA-Fortescue_SDExport'!AV:AV), IF(_xlpm.result=0,"",_xlpm.result))</f>
        <v>Battery Energy Storage System (BESS) -&gt; Pit Power Capacity Planning Tool - Capacity Check</v>
      </c>
      <c r="P52" s="2" t="str">
        <f>_xlfn.LET(_xlpm.result, _xlfn.XLOOKUP($A52,'EA-Fortescue_SDExport'!$A:$A,'EA-Fortescue_SDExport'!D:D),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52" s="2" t="str">
        <f>_xlfn.LET(
    _xlpm.status, _xlfn.XLOOKUP($A52,'EA-ConnectorExport'!$A:$A,'EA-ConnectorExport'!G:G),
    _xlpm.result, _xlfn.XLOOKUP($A52,'EA-ConnectorExport'!$A:$A,'EA-ConnectorExport'!B:B),
    IF(_xlpm.status="allocate", _xlpm.result, "")
)</f>
        <v>854DC-5680 Battery Energy Storage System (BESS)</v>
      </c>
      <c r="R52" s="2" t="str">
        <f>IF(
    _xlfn.XLOOKUP($Q52,'EA-Fortescue_SDExport'!A:A,'EA-Fortescue_SDExport'!B:B)="Object",
    _xlfn.XLOOKUP(
        _xlfn.XLOOKUP($A52,'EA-ConnectorExport'!A:A,'EA-ConnectorExport'!D:D),
        'EA-Fortescue_SDExport'!A:A,
        'EA-Fortescue_SDExport'!AA:AA
    ),
    _xlfn.XLOOKUP($Q52,'EA-Fortescue_SDExport'!A:A,'EA-Fortescue_SDExport'!AA:AA)
)</f>
        <v>System</v>
      </c>
      <c r="S52" s="2" t="str">
        <f>_xlfn.LET(_xlpm.result, _xlfn.XLOOKUP($Q52,'EA-Fortescue_SDExport'!$A:$A,'EA-Fortescue_SDExport'!AB:AB), IF(_xlpm.result=0,"",_xlpm.result))</f>
        <v/>
      </c>
      <c r="T52" s="2" t="str">
        <f>_xlfn.LET(_xlpm.result, _xlfn.XLOOKUP($Q52,'EA-Fortescue_SDExport'!$A:$A,'EA-Fortescue_SDExport'!AC:AC), IF(_xlpm.result=0,"",_xlpm.result))</f>
        <v>Generic Physical Asset</v>
      </c>
      <c r="U52" s="2" t="str">
        <f>_xlfn.LET(
    _xlpm.isObject, _xlfn.XLOOKUP($Q52,'EA-Fortescue_SDExport'!A:A,'EA-Fortescue_SDExport'!B:B),
    _xlpm.lookupKey, IF(_xlpm.isObject="Object",
        _xlfn.XLOOKUP($A52,'EA-ConnectorExport'!A:A,'EA-ConnectorExport'!D:D),
        $Q52
    ),
    _xlpm.result, _xlfn.XLOOKUP(_xlpm.lookupKey,'EA-Fortescue_SDExport'!A:A,'EA-Fortescue_SDExport'!AD:AD),
    IF(_xlpm.result=0,"",_xlpm.result)
)</f>
        <v>854DC Green Power</v>
      </c>
      <c r="V52" s="2" t="str">
        <f>_xlfn.LET(
    _xlpm.isObject, _xlfn.XLOOKUP($Q52,'EA-Fortescue_SDExport'!A:A,'EA-Fortescue_SDExport'!B:B),
    _xlpm.lookupKey, IF(_xlpm.isObject="Object",
        _xlfn.XLOOKUP($A52,'EA-ConnectorExport'!A:A,'EA-ConnectorExport'!D:D),
        $Q52
    ),
    _xlpm.result, _xlfn.XLOOKUP(_xlpm.lookupKey,'EA-Fortescue_SDExport'!A:A,'EA-Fortescue_SDExport'!AE:AE),
    IF(_xlpm.result=0,"",_xlpm.result)
)</f>
        <v>854DC-5680 Battery Energy Storage System (BESS)</v>
      </c>
      <c r="W52" s="2" t="str">
        <f>_xlfn.LET(
    _xlpm.isObject, _xlfn.XLOOKUP($Q52,'EA-Fortescue_SDExport'!A:A,'EA-Fortescue_SDExport'!B:B),
    _xlpm.lookupKey, IF(_xlpm.isObject="Object",
        _xlfn.XLOOKUP($A52,'EA-ConnectorExport'!A:A,'EA-ConnectorExport'!D:D),
        $Q52
    ),
    _xlpm.result, _xlfn.XLOOKUP(_xlpm.lookupKey,'EA-Fortescue_SDExport'!A:A,'EA-Fortescue_SDExport'!AF:AF),
    IF(_xlpm.result=0,"",_xlpm.result)
)</f>
        <v/>
      </c>
      <c r="X52" s="2" t="str">
        <f>_xlfn.LET(
    _xlpm.isObject, _xlfn.XLOOKUP($Q52,'EA-Fortescue_SDExport'!A:A,'EA-Fortescue_SDExport'!B:B),
    _xlpm.lookupKey, IF(_xlpm.isObject="Object",
        _xlfn.XLOOKUP($A52,'EA-ConnectorExport'!A:A,'EA-ConnectorExport'!D:D),
        $Q52
    ),
    _xlpm.result, _xlfn.XLOOKUP(_xlpm.lookupKey,'EA-Fortescue_SDExport'!A:A,'EA-Fortescue_SDExport'!AG:AG),
    IF(_xlpm.result=0,"",_xlpm.result)
)</f>
        <v/>
      </c>
      <c r="Y52" s="2" t="str">
        <f>_xlfn.LET(
    _xlpm.status, _xlfn.XLOOKUP($A52,'EA-ConnectorExport'!$A:$A,'EA-ConnectorExport'!G:G),
    _xlpm.result, _xlfn.XLOOKUP($A52,'EA-ConnectorExport'!$A:$A,'EA-ConnectorExport'!H:H),
    IF(_xlpm.status="allocate", _xlpm.result, "")
)</f>
        <v>855DC-1543-PPC Pit Power Capacity Planning Tool - Capacity Check</v>
      </c>
      <c r="Z52" s="2" t="str">
        <f>_xlfn.LET(
    _xlpm.isObject, _xlfn.XLOOKUP($Y52,'EA-Fortescue_SDExport'!A:A,'EA-Fortescue_SDExport'!B:B),
    _xlpm.lookupKey, IF(_xlpm.isObject="Object",
        _xlfn.XLOOKUP($A52,'EA-ConnectorExport'!A:A,'EA-ConnectorExport'!J:J),
        $Y52
    ),
    _xlpm.result, _xlfn.XLOOKUP(_xlpm.lookupKey,'EA-Fortescue_SDExport'!A:A,'EA-Fortescue_SDExport'!AA:AA),
    IF(_xlpm.result=0,"",_xlpm.result)
)</f>
        <v>Project</v>
      </c>
      <c r="AA52" s="2" t="str">
        <f>_xlfn.LET(_xlpm.result, _xlfn.XLOOKUP($Y52,'EA-Fortescue_SDExport'!$A:$A,'EA-Fortescue_SDExport'!AB:AB), IF(_xlpm.result=0,"",_xlpm.result))</f>
        <v>Operations Planning</v>
      </c>
      <c r="AB52" s="2" t="str">
        <f>_xlfn.LET(_xlpm.result, _xlfn.XLOOKUP($Y52,'EA-Fortescue_SDExport'!$A:$A,'EA-Fortescue_SDExport'!AC:AC), IF(_xlpm.result=0,"",_xlpm.result))</f>
        <v>AWS Fortescue Infrastructure</v>
      </c>
      <c r="AC52" s="2" t="str">
        <f>_xlfn.LET(
    _xlpm.isObject, _xlfn.XLOOKUP($Y52,'EA-Fortescue_SDExport'!A:A,'EA-Fortescue_SDExport'!B:B),
    _xlpm.lookupKey, IF(_xlpm.isObject="Object",
        _xlfn.XLOOKUP($A52,'EA-ConnectorExport'!A:A,'EA-ConnectorExport'!J:J),
        $Y52
    ),
    _xlpm.result, _xlfn.XLOOKUP(_xlpm.lookupKey,'EA-Fortescue_SDExport'!A:A,'EA-Fortescue_SDExport'!AD:AD),
    IF(_xlpm.result=0,"",_xlpm.result)
)</f>
        <v>855DC Decarb Green Systems</v>
      </c>
      <c r="AD52" s="2" t="str">
        <f>_xlfn.LET(
    _xlpm.isObject, _xlfn.XLOOKUP($Y52,'EA-Fortescue_SDExport'!A:A,'EA-Fortescue_SDExport'!B:B),
    _xlpm.lookupKey, IF(_xlpm.isObject="Object",
        _xlfn.XLOOKUP($A52,'EA-ConnectorExport'!A:A,'EA-ConnectorExport'!J:J),
        $Y52
    ),
    _xlpm.result, _xlfn.XLOOKUP(_xlpm.lookupKey,'EA-Fortescue_SDExport'!A:A,'EA-Fortescue_SDExport'!AE:AE),
    IF(_xlpm.result=0,"",_xlpm.result)
)</f>
        <v/>
      </c>
      <c r="AE52" s="2" t="str">
        <f>_xlfn.LET(
    _xlpm.isObject, _xlfn.XLOOKUP($Y52,'EA-Fortescue_SDExport'!A:A,'EA-Fortescue_SDExport'!B:B),
    _xlpm.lookupKey, IF(_xlpm.isObject="Object",
        _xlfn.XLOOKUP($A52,'EA-ConnectorExport'!A:A,'EA-ConnectorExport'!J:J),
        $Y52
    ),
    _xlpm.result, _xlfn.XLOOKUP(_xlpm.lookupKey,'EA-Fortescue_SDExport'!A:A,'EA-Fortescue_SDExport'!AF:AF),
    IF(_xlpm.result=0,"",_xlpm.result)
)</f>
        <v>855DC-1543-PPC Pit Power Capacity Planning Tool - Capacity Check</v>
      </c>
      <c r="AF52" s="2" t="str">
        <f>_xlfn.LET(
    _xlpm.isObject, _xlfn.XLOOKUP($Y52,'EA-Fortescue_SDExport'!A:A,'EA-Fortescue_SDExport'!B:B),
    _xlpm.lookupKey, IF(_xlpm.isObject="Object",
        _xlfn.XLOOKUP($A52,'EA-ConnectorExport'!A:A,'EA-ConnectorExport'!J:J),
        $Y52
    ),
    _xlpm.result, _xlfn.XLOOKUP(_xlpm.lookupKey,'EA-Fortescue_SDExport'!A:A,'EA-Fortescue_SDExport'!AG:AG),
    IF(_xlpm.result=0,"",_xlpm.result)
)</f>
        <v/>
      </c>
    </row>
    <row r="53" spans="1:32" ht="60" x14ac:dyDescent="0.25">
      <c r="A53" s="2" t="str">
        <v>DGS-I_0052</v>
      </c>
      <c r="B53" s="2" t="str">
        <f t="shared" si="0"/>
        <v>852DC Light Mobile Equipment (LME) &amp; Support Mobile Equipment (SME)|850DC-1514-0003 LME / SME Chargers</v>
      </c>
      <c r="C53" s="2" t="str">
        <f>_xlfn.LET(_xlpm.result, _xlfn.XLOOKUP(A53,'EA-Fortescue_SDExport'!A:A,'EA-Fortescue_SDExport'!AM:AM), IF(_xlpm.result=0,"",_xlpm.result))</f>
        <v/>
      </c>
      <c r="D53" s="2" t="str">
        <f>_xlfn.LET(_xlpm.result, _xlfn.XLOOKUP(A53,'EA-Fortescue_SDExport'!A:A,'EA-Fortescue_SDExport'!AN:AN), IF(_xlpm.result=0,"",_xlpm.result))</f>
        <v/>
      </c>
      <c r="E53" s="2" t="str">
        <f>_xlfn.XLOOKUP(R53&amp;Z53,Lookups!A:A,Lookups!B:B)</f>
        <v>Program - Project Interface</v>
      </c>
      <c r="F53" s="2" t="str">
        <f>_xlfn.LET(_xlpm.result, _xlfn.XLOOKUP(A53,'EA-Fortescue_SDExport'!A:A,'EA-Fortescue_SDExport'!AP:AP), IF(_xlpm.result=0,"",_xlpm.result))</f>
        <v/>
      </c>
      <c r="G53" s="2" t="str">
        <f>IF(OR(AND(T53&lt;&gt;"", COUNTIF(Lookups!J:J, "*"&amp;T53&amp;"*")&gt;0), AND(AB53&lt;&gt;"", COUNTIF(Lookups!J:J, "*"&amp;AB53&amp;"*")&gt;0)), "Yes", "No")</f>
        <v>No</v>
      </c>
      <c r="H53" s="2" t="str">
        <f t="shared" si="1"/>
        <v>852DC Light Mobile Equipment (LME) &amp; Support Mobile Equipment (SME)|850DC Decarb Infrastructure</v>
      </c>
      <c r="I53" s="2" t="str">
        <f t="shared" si="2"/>
        <v>N/A|850DC-1510 Chargers</v>
      </c>
      <c r="J53" s="2" t="str">
        <f t="shared" si="3"/>
        <v>N/A|850DC-1514-0003 LME / SME Chargers</v>
      </c>
      <c r="K53" s="2" t="str">
        <f>_xlfn.XLOOKUP(A53,'EA-Fortescue_SDExport'!A:A,'EA-Fortescue_SDExport'!N:N)</f>
        <v>Proposed</v>
      </c>
      <c r="L53" s="2" t="str">
        <f>_xlfn.LET(_xlpm.result, _xlfn.XLOOKUP($A53,'EA-Fortescue_SDExport'!$A:$A,'EA-Fortescue_SDExport'!AQ:AQ), IF(_xlpm.result=0,"",_xlpm.result))</f>
        <v/>
      </c>
      <c r="M53" s="2" t="str">
        <f>_xlfn.LET(_xlpm.result, _xlfn.XLOOKUP($A53,'EA-Fortescue_SDExport'!$A:$A,'EA-Fortescue_SDExport'!AR:AR), IF(_xlpm.result=0,"",_xlpm.result))</f>
        <v/>
      </c>
      <c r="N53" s="2" t="str">
        <f>_xlfn.LET(_xlpm.result, _xlfn.XLOOKUP($A53,'EA-Fortescue_SDExport'!$A:$A,'EA-Fortescue_SDExport'!AW:AW), IF(_xlpm.result=0,"",_xlpm.result))</f>
        <v/>
      </c>
      <c r="O53" s="2" t="str">
        <f>_xlfn.LET(_xlpm.result, _xlfn.XLOOKUP($A53,'EA-Fortescue_SDExport'!$A:$A,'EA-Fortescue_SDExport'!AV:AV), IF(_xlpm.result=0,"",_xlpm.result))</f>
        <v/>
      </c>
      <c r="P53" s="2" t="str">
        <f>_xlfn.LET(_xlpm.result, _xlfn.XLOOKUP($A53,'EA-Fortescue_SDExport'!$A:$A,'EA-Fortescue_SDExport'!D:D), IF(_xlpm.result=0,"",_xlpm.result))</f>
        <v/>
      </c>
      <c r="Q53" s="2" t="str">
        <f>_xlfn.LET(
    _xlpm.status, _xlfn.XLOOKUP($A53,'EA-ConnectorExport'!$A:$A,'EA-ConnectorExport'!G:G),
    _xlpm.result, _xlfn.XLOOKUP($A53,'EA-ConnectorExport'!$A:$A,'EA-ConnectorExport'!B:B),
    IF(_xlpm.status="allocate", _xlpm.result, "")
)</f>
        <v>852DC Light Mobile Equipment (LME) &amp; Support Mobile Equipment (SME)</v>
      </c>
      <c r="R53" s="2" t="str">
        <f>IF(
    _xlfn.XLOOKUP($Q53,'EA-Fortescue_SDExport'!A:A,'EA-Fortescue_SDExport'!B:B)="Object",
    _xlfn.XLOOKUP(
        _xlfn.XLOOKUP($A53,'EA-ConnectorExport'!A:A,'EA-ConnectorExport'!D:D),
        'EA-Fortescue_SDExport'!A:A,
        'EA-Fortescue_SDExport'!AA:AA
    ),
    _xlfn.XLOOKUP($Q53,'EA-Fortescue_SDExport'!A:A,'EA-Fortescue_SDExport'!AA:AA)
)</f>
        <v>Program</v>
      </c>
      <c r="S53" s="2" t="str">
        <f>_xlfn.LET(_xlpm.result, _xlfn.XLOOKUP($Q53,'EA-Fortescue_SDExport'!$A:$A,'EA-Fortescue_SDExport'!AB:AB), IF(_xlpm.result=0,"",_xlpm.result))</f>
        <v/>
      </c>
      <c r="T53" s="2" t="str">
        <f>_xlfn.LET(_xlpm.result, _xlfn.XLOOKUP($Q53,'EA-Fortescue_SDExport'!$A:$A,'EA-Fortescue_SDExport'!AC:AC), IF(_xlpm.result=0,"",_xlpm.result))</f>
        <v>Generic Physical Asset</v>
      </c>
      <c r="U53" s="2" t="str">
        <f>_xlfn.LET(
    _xlpm.isObject, _xlfn.XLOOKUP($Q53,'EA-Fortescue_SDExport'!A:A,'EA-Fortescue_SDExport'!B:B),
    _xlpm.lookupKey, IF(_xlpm.isObject="Object",
        _xlfn.XLOOKUP($A53,'EA-ConnectorExport'!A:A,'EA-ConnectorExport'!D:D),
        $Q53
    ),
    _xlpm.result, _xlfn.XLOOKUP(_xlpm.lookupKey,'EA-Fortescue_SDExport'!A:A,'EA-Fortescue_SDExport'!AD:AD),
    IF(_xlpm.result=0,"",_xlpm.result)
)</f>
        <v>852DC Light Mobile Equipment (LME) &amp; Support Mobile Equipment (SME)</v>
      </c>
      <c r="V53" s="2" t="str">
        <f>_xlfn.LET(
    _xlpm.isObject, _xlfn.XLOOKUP($Q53,'EA-Fortescue_SDExport'!A:A,'EA-Fortescue_SDExport'!B:B),
    _xlpm.lookupKey, IF(_xlpm.isObject="Object",
        _xlfn.XLOOKUP($A53,'EA-ConnectorExport'!A:A,'EA-ConnectorExport'!D:D),
        $Q53
    ),
    _xlpm.result, _xlfn.XLOOKUP(_xlpm.lookupKey,'EA-Fortescue_SDExport'!A:A,'EA-Fortescue_SDExport'!AE:AE),
    IF(_xlpm.result=0,"",_xlpm.result)
)</f>
        <v/>
      </c>
      <c r="W53" s="2" t="str">
        <f>_xlfn.LET(
    _xlpm.isObject, _xlfn.XLOOKUP($Q53,'EA-Fortescue_SDExport'!A:A,'EA-Fortescue_SDExport'!B:B),
    _xlpm.lookupKey, IF(_xlpm.isObject="Object",
        _xlfn.XLOOKUP($A53,'EA-ConnectorExport'!A:A,'EA-ConnectorExport'!D:D),
        $Q53
    ),
    _xlpm.result, _xlfn.XLOOKUP(_xlpm.lookupKey,'EA-Fortescue_SDExport'!A:A,'EA-Fortescue_SDExport'!AF:AF),
    IF(_xlpm.result=0,"",_xlpm.result)
)</f>
        <v/>
      </c>
      <c r="X53" s="2" t="str">
        <f>_xlfn.LET(
    _xlpm.isObject, _xlfn.XLOOKUP($Q53,'EA-Fortescue_SDExport'!A:A,'EA-Fortescue_SDExport'!B:B),
    _xlpm.lookupKey, IF(_xlpm.isObject="Object",
        _xlfn.XLOOKUP($A53,'EA-ConnectorExport'!A:A,'EA-ConnectorExport'!D:D),
        $Q53
    ),
    _xlpm.result, _xlfn.XLOOKUP(_xlpm.lookupKey,'EA-Fortescue_SDExport'!A:A,'EA-Fortescue_SDExport'!AG:AG),
    IF(_xlpm.result=0,"",_xlpm.result)
)</f>
        <v/>
      </c>
      <c r="Y53" s="2" t="str">
        <f>_xlfn.LET(
    _xlpm.status, _xlfn.XLOOKUP($A53,'EA-ConnectorExport'!$A:$A,'EA-ConnectorExport'!G:G),
    _xlpm.result, _xlfn.XLOOKUP($A53,'EA-ConnectorExport'!$A:$A,'EA-ConnectorExport'!H:H),
    IF(_xlpm.status="allocate", _xlpm.result, "")
)</f>
        <v>850DC-1514-0003 LME / SME Chargers</v>
      </c>
      <c r="Z53" s="2" t="str">
        <f>_xlfn.LET(
    _xlpm.isObject, _xlfn.XLOOKUP($Y53,'EA-Fortescue_SDExport'!A:A,'EA-Fortescue_SDExport'!B:B),
    _xlpm.lookupKey, IF(_xlpm.isObject="Object",
        _xlfn.XLOOKUP($A53,'EA-ConnectorExport'!A:A,'EA-ConnectorExport'!J:J),
        $Y53
    ),
    _xlpm.result, _xlfn.XLOOKUP(_xlpm.lookupKey,'EA-Fortescue_SDExport'!A:A,'EA-Fortescue_SDExport'!AA:AA),
    IF(_xlpm.result=0,"",_xlpm.result)
)</f>
        <v>Project</v>
      </c>
      <c r="AA53" s="2" t="str">
        <f>_xlfn.LET(_xlpm.result, _xlfn.XLOOKUP($Y53,'EA-Fortescue_SDExport'!$A:$A,'EA-Fortescue_SDExport'!AB:AB), IF(_xlpm.result=0,"",_xlpm.result))</f>
        <v/>
      </c>
      <c r="AB53" s="2" t="str">
        <f>_xlfn.LET(_xlpm.result, _xlfn.XLOOKUP($Y53,'EA-Fortescue_SDExport'!$A:$A,'EA-Fortescue_SDExport'!AC:AC), IF(_xlpm.result=0,"",_xlpm.result))</f>
        <v>Generic Physical Asset</v>
      </c>
      <c r="AC53" s="2" t="str">
        <f>_xlfn.LET(
    _xlpm.isObject, _xlfn.XLOOKUP($Y53,'EA-Fortescue_SDExport'!A:A,'EA-Fortescue_SDExport'!B:B),
    _xlpm.lookupKey, IF(_xlpm.isObject="Object",
        _xlfn.XLOOKUP($A53,'EA-ConnectorExport'!A:A,'EA-ConnectorExport'!J:J),
        $Y53
    ),
    _xlpm.result, _xlfn.XLOOKUP(_xlpm.lookupKey,'EA-Fortescue_SDExport'!A:A,'EA-Fortescue_SDExport'!AD:AD),
    IF(_xlpm.result=0,"",_xlpm.result)
)</f>
        <v>850DC Decarb Infrastructure</v>
      </c>
      <c r="AD53" s="2" t="str">
        <f>_xlfn.LET(
    _xlpm.isObject, _xlfn.XLOOKUP($Y53,'EA-Fortescue_SDExport'!A:A,'EA-Fortescue_SDExport'!B:B),
    _xlpm.lookupKey, IF(_xlpm.isObject="Object",
        _xlfn.XLOOKUP($A53,'EA-ConnectorExport'!A:A,'EA-ConnectorExport'!J:J),
        $Y53
    ),
    _xlpm.result, _xlfn.XLOOKUP(_xlpm.lookupKey,'EA-Fortescue_SDExport'!A:A,'EA-Fortescue_SDExport'!AE:AE),
    IF(_xlpm.result=0,"",_xlpm.result)
)</f>
        <v>850DC-1510 Chargers</v>
      </c>
      <c r="AE53" s="2" t="str">
        <f>_xlfn.LET(
    _xlpm.isObject, _xlfn.XLOOKUP($Y53,'EA-Fortescue_SDExport'!A:A,'EA-Fortescue_SDExport'!B:B),
    _xlpm.lookupKey, IF(_xlpm.isObject="Object",
        _xlfn.XLOOKUP($A53,'EA-ConnectorExport'!A:A,'EA-ConnectorExport'!J:J),
        $Y53
    ),
    _xlpm.result, _xlfn.XLOOKUP(_xlpm.lookupKey,'EA-Fortescue_SDExport'!A:A,'EA-Fortescue_SDExport'!AF:AF),
    IF(_xlpm.result=0,"",_xlpm.result)
)</f>
        <v>850DC-1514-0003 LME / SME Chargers</v>
      </c>
      <c r="AF53" s="2" t="str">
        <f>_xlfn.LET(
    _xlpm.isObject, _xlfn.XLOOKUP($Y53,'EA-Fortescue_SDExport'!A:A,'EA-Fortescue_SDExport'!B:B),
    _xlpm.lookupKey, IF(_xlpm.isObject="Object",
        _xlfn.XLOOKUP($A53,'EA-ConnectorExport'!A:A,'EA-ConnectorExport'!J:J),
        $Y53
    ),
    _xlpm.result, _xlfn.XLOOKUP(_xlpm.lookupKey,'EA-Fortescue_SDExport'!A:A,'EA-Fortescue_SDExport'!AG:AG),
    IF(_xlpm.result=0,"",_xlpm.result)
)</f>
        <v/>
      </c>
    </row>
    <row r="54" spans="1:32" ht="60" x14ac:dyDescent="0.25">
      <c r="A54" s="2" t="str">
        <v>DGS-I_0053</v>
      </c>
      <c r="B54" s="2" t="str">
        <f t="shared" si="0"/>
        <v>852DC Light Mobile Equipment (LME) &amp; Support Mobile Equipment (SME)|850DC-1513-0002 HME Auxilary Chargers</v>
      </c>
      <c r="C54" s="2" t="str">
        <f>_xlfn.LET(_xlpm.result, _xlfn.XLOOKUP(A54,'EA-Fortescue_SDExport'!A:A,'EA-Fortescue_SDExport'!AM:AM), IF(_xlpm.result=0,"",_xlpm.result))</f>
        <v/>
      </c>
      <c r="D54" s="2" t="str">
        <f>_xlfn.LET(_xlpm.result, _xlfn.XLOOKUP(A54,'EA-Fortescue_SDExport'!A:A,'EA-Fortescue_SDExport'!AN:AN), IF(_xlpm.result=0,"",_xlpm.result))</f>
        <v/>
      </c>
      <c r="E54" s="2" t="str">
        <f>_xlfn.XLOOKUP(R54&amp;Z54,Lookups!A:A,Lookups!B:B)</f>
        <v>Program - Project Interface</v>
      </c>
      <c r="F54" s="2" t="str">
        <f>_xlfn.LET(_xlpm.result, _xlfn.XLOOKUP(A54,'EA-Fortescue_SDExport'!A:A,'EA-Fortescue_SDExport'!AP:AP), IF(_xlpm.result=0,"",_xlpm.result))</f>
        <v/>
      </c>
      <c r="G54" s="2" t="str">
        <f>IF(OR(AND(T54&lt;&gt;"", COUNTIF(Lookups!J:J, "*"&amp;T54&amp;"*")&gt;0), AND(AB54&lt;&gt;"", COUNTIF(Lookups!J:J, "*"&amp;AB54&amp;"*")&gt;0)), "Yes", "No")</f>
        <v>No</v>
      </c>
      <c r="H54" s="2" t="str">
        <f t="shared" si="1"/>
        <v>852DC Light Mobile Equipment (LME) &amp; Support Mobile Equipment (SME)|850DC Decarb Infrastructure</v>
      </c>
      <c r="I54" s="2" t="str">
        <f t="shared" si="2"/>
        <v>N/A|850DC-1510 Chargers</v>
      </c>
      <c r="J54" s="2" t="str">
        <f t="shared" si="3"/>
        <v>N/A|850DC-1513-0002 HME Auxilary Chargers</v>
      </c>
      <c r="K54" s="2" t="str">
        <f>_xlfn.XLOOKUP(A54,'EA-Fortescue_SDExport'!A:A,'EA-Fortescue_SDExport'!N:N)</f>
        <v>Proposed</v>
      </c>
      <c r="L54" s="2" t="str">
        <f>_xlfn.LET(_xlpm.result, _xlfn.XLOOKUP($A54,'EA-Fortescue_SDExport'!$A:$A,'EA-Fortescue_SDExport'!AQ:AQ), IF(_xlpm.result=0,"",_xlpm.result))</f>
        <v/>
      </c>
      <c r="M54" s="2" t="str">
        <f>_xlfn.LET(_xlpm.result, _xlfn.XLOOKUP($A54,'EA-Fortescue_SDExport'!$A:$A,'EA-Fortescue_SDExport'!AR:AR), IF(_xlpm.result=0,"",_xlpm.result))</f>
        <v/>
      </c>
      <c r="N54" s="2" t="str">
        <f>_xlfn.LET(_xlpm.result, _xlfn.XLOOKUP($A54,'EA-Fortescue_SDExport'!$A:$A,'EA-Fortescue_SDExport'!AW:AW), IF(_xlpm.result=0,"",_xlpm.result))</f>
        <v/>
      </c>
      <c r="O54" s="2" t="str">
        <f>_xlfn.LET(_xlpm.result, _xlfn.XLOOKUP($A54,'EA-Fortescue_SDExport'!$A:$A,'EA-Fortescue_SDExport'!AV:AV), IF(_xlpm.result=0,"",_xlpm.result))</f>
        <v/>
      </c>
      <c r="P54" s="2" t="str">
        <f>_xlfn.LET(_xlpm.result, _xlfn.XLOOKUP($A54,'EA-Fortescue_SDExport'!$A:$A,'EA-Fortescue_SDExport'!D:D), IF(_xlpm.result=0,"",_xlpm.result))</f>
        <v/>
      </c>
      <c r="Q54" s="2" t="str">
        <f>_xlfn.LET(
    _xlpm.status, _xlfn.XLOOKUP($A54,'EA-ConnectorExport'!$A:$A,'EA-ConnectorExport'!G:G),
    _xlpm.result, _xlfn.XLOOKUP($A54,'EA-ConnectorExport'!$A:$A,'EA-ConnectorExport'!B:B),
    IF(_xlpm.status="allocate", _xlpm.result, "")
)</f>
        <v>852DC Light Mobile Equipment (LME) &amp; Support Mobile Equipment (SME)</v>
      </c>
      <c r="R54" s="2" t="str">
        <f>IF(
    _xlfn.XLOOKUP($Q54,'EA-Fortescue_SDExport'!A:A,'EA-Fortescue_SDExport'!B:B)="Object",
    _xlfn.XLOOKUP(
        _xlfn.XLOOKUP($A54,'EA-ConnectorExport'!A:A,'EA-ConnectorExport'!D:D),
        'EA-Fortescue_SDExport'!A:A,
        'EA-Fortescue_SDExport'!AA:AA
    ),
    _xlfn.XLOOKUP($Q54,'EA-Fortescue_SDExport'!A:A,'EA-Fortescue_SDExport'!AA:AA)
)</f>
        <v>Program</v>
      </c>
      <c r="S54" s="2" t="str">
        <f>_xlfn.LET(_xlpm.result, _xlfn.XLOOKUP($Q54,'EA-Fortescue_SDExport'!$A:$A,'EA-Fortescue_SDExport'!AB:AB), IF(_xlpm.result=0,"",_xlpm.result))</f>
        <v/>
      </c>
      <c r="T54" s="2" t="str">
        <f>_xlfn.LET(_xlpm.result, _xlfn.XLOOKUP($Q54,'EA-Fortescue_SDExport'!$A:$A,'EA-Fortescue_SDExport'!AC:AC), IF(_xlpm.result=0,"",_xlpm.result))</f>
        <v>Generic Physical Asset</v>
      </c>
      <c r="U54" s="2" t="str">
        <f>_xlfn.LET(
    _xlpm.isObject, _xlfn.XLOOKUP($Q54,'EA-Fortescue_SDExport'!A:A,'EA-Fortescue_SDExport'!B:B),
    _xlpm.lookupKey, IF(_xlpm.isObject="Object",
        _xlfn.XLOOKUP($A54,'EA-ConnectorExport'!A:A,'EA-ConnectorExport'!D:D),
        $Q54
    ),
    _xlpm.result, _xlfn.XLOOKUP(_xlpm.lookupKey,'EA-Fortescue_SDExport'!A:A,'EA-Fortescue_SDExport'!AD:AD),
    IF(_xlpm.result=0,"",_xlpm.result)
)</f>
        <v>852DC Light Mobile Equipment (LME) &amp; Support Mobile Equipment (SME)</v>
      </c>
      <c r="V54" s="2" t="str">
        <f>_xlfn.LET(
    _xlpm.isObject, _xlfn.XLOOKUP($Q54,'EA-Fortescue_SDExport'!A:A,'EA-Fortescue_SDExport'!B:B),
    _xlpm.lookupKey, IF(_xlpm.isObject="Object",
        _xlfn.XLOOKUP($A54,'EA-ConnectorExport'!A:A,'EA-ConnectorExport'!D:D),
        $Q54
    ),
    _xlpm.result, _xlfn.XLOOKUP(_xlpm.lookupKey,'EA-Fortescue_SDExport'!A:A,'EA-Fortescue_SDExport'!AE:AE),
    IF(_xlpm.result=0,"",_xlpm.result)
)</f>
        <v/>
      </c>
      <c r="W54" s="2" t="str">
        <f>_xlfn.LET(
    _xlpm.isObject, _xlfn.XLOOKUP($Q54,'EA-Fortescue_SDExport'!A:A,'EA-Fortescue_SDExport'!B:B),
    _xlpm.lookupKey, IF(_xlpm.isObject="Object",
        _xlfn.XLOOKUP($A54,'EA-ConnectorExport'!A:A,'EA-ConnectorExport'!D:D),
        $Q54
    ),
    _xlpm.result, _xlfn.XLOOKUP(_xlpm.lookupKey,'EA-Fortescue_SDExport'!A:A,'EA-Fortescue_SDExport'!AF:AF),
    IF(_xlpm.result=0,"",_xlpm.result)
)</f>
        <v/>
      </c>
      <c r="X54" s="2" t="str">
        <f>_xlfn.LET(
    _xlpm.isObject, _xlfn.XLOOKUP($Q54,'EA-Fortescue_SDExport'!A:A,'EA-Fortescue_SDExport'!B:B),
    _xlpm.lookupKey, IF(_xlpm.isObject="Object",
        _xlfn.XLOOKUP($A54,'EA-ConnectorExport'!A:A,'EA-ConnectorExport'!D:D),
        $Q54
    ),
    _xlpm.result, _xlfn.XLOOKUP(_xlpm.lookupKey,'EA-Fortescue_SDExport'!A:A,'EA-Fortescue_SDExport'!AG:AG),
    IF(_xlpm.result=0,"",_xlpm.result)
)</f>
        <v/>
      </c>
      <c r="Y54" s="2" t="str">
        <f>_xlfn.LET(
    _xlpm.status, _xlfn.XLOOKUP($A54,'EA-ConnectorExport'!$A:$A,'EA-ConnectorExport'!G:G),
    _xlpm.result, _xlfn.XLOOKUP($A54,'EA-ConnectorExport'!$A:$A,'EA-ConnectorExport'!H:H),
    IF(_xlpm.status="allocate", _xlpm.result, "")
)</f>
        <v>850DC-1513-0002 HME Auxilary Chargers</v>
      </c>
      <c r="Z54" s="2" t="str">
        <f>_xlfn.LET(
    _xlpm.isObject, _xlfn.XLOOKUP($Y54,'EA-Fortescue_SDExport'!A:A,'EA-Fortescue_SDExport'!B:B),
    _xlpm.lookupKey, IF(_xlpm.isObject="Object",
        _xlfn.XLOOKUP($A54,'EA-ConnectorExport'!A:A,'EA-ConnectorExport'!J:J),
        $Y54
    ),
    _xlpm.result, _xlfn.XLOOKUP(_xlpm.lookupKey,'EA-Fortescue_SDExport'!A:A,'EA-Fortescue_SDExport'!AA:AA),
    IF(_xlpm.result=0,"",_xlpm.result)
)</f>
        <v>Project</v>
      </c>
      <c r="AA54" s="2" t="str">
        <f>_xlfn.LET(_xlpm.result, _xlfn.XLOOKUP($Y54,'EA-Fortescue_SDExport'!$A:$A,'EA-Fortescue_SDExport'!AB:AB), IF(_xlpm.result=0,"",_xlpm.result))</f>
        <v/>
      </c>
      <c r="AB54" s="2" t="str">
        <f>_xlfn.LET(_xlpm.result, _xlfn.XLOOKUP($Y54,'EA-Fortescue_SDExport'!$A:$A,'EA-Fortescue_SDExport'!AC:AC), IF(_xlpm.result=0,"",_xlpm.result))</f>
        <v>Generic Physical Asset</v>
      </c>
      <c r="AC54" s="2" t="str">
        <f>_xlfn.LET(
    _xlpm.isObject, _xlfn.XLOOKUP($Y54,'EA-Fortescue_SDExport'!A:A,'EA-Fortescue_SDExport'!B:B),
    _xlpm.lookupKey, IF(_xlpm.isObject="Object",
        _xlfn.XLOOKUP($A54,'EA-ConnectorExport'!A:A,'EA-ConnectorExport'!J:J),
        $Y54
    ),
    _xlpm.result, _xlfn.XLOOKUP(_xlpm.lookupKey,'EA-Fortescue_SDExport'!A:A,'EA-Fortescue_SDExport'!AD:AD),
    IF(_xlpm.result=0,"",_xlpm.result)
)</f>
        <v>850DC Decarb Infrastructure</v>
      </c>
      <c r="AD54" s="2" t="str">
        <f>_xlfn.LET(
    _xlpm.isObject, _xlfn.XLOOKUP($Y54,'EA-Fortescue_SDExport'!A:A,'EA-Fortescue_SDExport'!B:B),
    _xlpm.lookupKey, IF(_xlpm.isObject="Object",
        _xlfn.XLOOKUP($A54,'EA-ConnectorExport'!A:A,'EA-ConnectorExport'!J:J),
        $Y54
    ),
    _xlpm.result, _xlfn.XLOOKUP(_xlpm.lookupKey,'EA-Fortescue_SDExport'!A:A,'EA-Fortescue_SDExport'!AE:AE),
    IF(_xlpm.result=0,"",_xlpm.result)
)</f>
        <v>850DC-1510 Chargers</v>
      </c>
      <c r="AE54" s="2" t="str">
        <f>_xlfn.LET(
    _xlpm.isObject, _xlfn.XLOOKUP($Y54,'EA-Fortescue_SDExport'!A:A,'EA-Fortescue_SDExport'!B:B),
    _xlpm.lookupKey, IF(_xlpm.isObject="Object",
        _xlfn.XLOOKUP($A54,'EA-ConnectorExport'!A:A,'EA-ConnectorExport'!J:J),
        $Y54
    ),
    _xlpm.result, _xlfn.XLOOKUP(_xlpm.lookupKey,'EA-Fortescue_SDExport'!A:A,'EA-Fortescue_SDExport'!AF:AF),
    IF(_xlpm.result=0,"",_xlpm.result)
)</f>
        <v>850DC-1513-0002 HME Auxilary Chargers</v>
      </c>
      <c r="AF54" s="2" t="str">
        <f>_xlfn.LET(
    _xlpm.isObject, _xlfn.XLOOKUP($Y54,'EA-Fortescue_SDExport'!A:A,'EA-Fortescue_SDExport'!B:B),
    _xlpm.lookupKey, IF(_xlpm.isObject="Object",
        _xlfn.XLOOKUP($A54,'EA-ConnectorExport'!A:A,'EA-ConnectorExport'!J:J),
        $Y54
    ),
    _xlpm.result, _xlfn.XLOOKUP(_xlpm.lookupKey,'EA-Fortescue_SDExport'!A:A,'EA-Fortescue_SDExport'!AG:AG),
    IF(_xlpm.result=0,"",_xlpm.result)
)</f>
        <v/>
      </c>
    </row>
    <row r="55" spans="1:32" ht="45" x14ac:dyDescent="0.25">
      <c r="A55" s="2" t="str">
        <v>DGS-I_0054</v>
      </c>
      <c r="B55" s="2" t="str">
        <f t="shared" si="0"/>
        <v>851DC Heavy Mobile Equipment (HME)|850DC-1512-0001 HME Chargers - Gen1</v>
      </c>
      <c r="C55" s="2" t="str">
        <f>_xlfn.LET(_xlpm.result, _xlfn.XLOOKUP(A55,'EA-Fortescue_SDExport'!A:A,'EA-Fortescue_SDExport'!AM:AM), IF(_xlpm.result=0,"",_xlpm.result))</f>
        <v/>
      </c>
      <c r="D55" s="2" t="str">
        <f>_xlfn.LET(_xlpm.result, _xlfn.XLOOKUP(A55,'EA-Fortescue_SDExport'!A:A,'EA-Fortescue_SDExport'!AN:AN), IF(_xlpm.result=0,"",_xlpm.result))</f>
        <v/>
      </c>
      <c r="E55" s="2" t="str">
        <f>_xlfn.XLOOKUP(R55&amp;Z55,Lookups!A:A,Lookups!B:B)</f>
        <v>Program - Project Interface</v>
      </c>
      <c r="F55" s="2" t="str">
        <f>_xlfn.LET(_xlpm.result, _xlfn.XLOOKUP(A55,'EA-Fortescue_SDExport'!A:A,'EA-Fortescue_SDExport'!AP:AP), IF(_xlpm.result=0,"",_xlpm.result))</f>
        <v/>
      </c>
      <c r="G55" s="2" t="str">
        <f>IF(OR(AND(T55&lt;&gt;"", COUNTIF(Lookups!J:J, "*"&amp;T55&amp;"*")&gt;0), AND(AB55&lt;&gt;"", COUNTIF(Lookups!J:J, "*"&amp;AB55&amp;"*")&gt;0)), "Yes", "No")</f>
        <v>No</v>
      </c>
      <c r="H55" s="2" t="str">
        <f t="shared" si="1"/>
        <v>851DC Heavy Mobile Equipment (HME)|850DC Decarb Infrastructure</v>
      </c>
      <c r="I55" s="2" t="str">
        <f t="shared" si="2"/>
        <v>N/A|850DC-1510 Chargers</v>
      </c>
      <c r="J55" s="2" t="str">
        <f t="shared" si="3"/>
        <v>N/A|850DC-1512-0001 HME Chargers - Gen1</v>
      </c>
      <c r="K55" s="2" t="str">
        <f>_xlfn.XLOOKUP(A55,'EA-Fortescue_SDExport'!A:A,'EA-Fortescue_SDExport'!N:N)</f>
        <v>Proposed</v>
      </c>
      <c r="L55" s="2" t="str">
        <f>_xlfn.LET(_xlpm.result, _xlfn.XLOOKUP($A55,'EA-Fortescue_SDExport'!$A:$A,'EA-Fortescue_SDExport'!AQ:AQ), IF(_xlpm.result=0,"",_xlpm.result))</f>
        <v/>
      </c>
      <c r="M55" s="2" t="str">
        <f>_xlfn.LET(_xlpm.result, _xlfn.XLOOKUP($A55,'EA-Fortescue_SDExport'!$A:$A,'EA-Fortescue_SDExport'!AR:AR), IF(_xlpm.result=0,"",_xlpm.result))</f>
        <v/>
      </c>
      <c r="N55" s="2" t="str">
        <f>_xlfn.LET(_xlpm.result, _xlfn.XLOOKUP($A55,'EA-Fortescue_SDExport'!$A:$A,'EA-Fortescue_SDExport'!AW:AW), IF(_xlpm.result=0,"",_xlpm.result))</f>
        <v/>
      </c>
      <c r="O55" s="2" t="str">
        <f>_xlfn.LET(_xlpm.result, _xlfn.XLOOKUP($A55,'EA-Fortescue_SDExport'!$A:$A,'EA-Fortescue_SDExport'!AV:AV), IF(_xlpm.result=0,"",_xlpm.result))</f>
        <v/>
      </c>
      <c r="P55" s="2" t="str">
        <f>_xlfn.LET(_xlpm.result, _xlfn.XLOOKUP($A55,'EA-Fortescue_SDExport'!$A:$A,'EA-Fortescue_SDExport'!D:D), IF(_xlpm.result=0,"",_xlpm.result))</f>
        <v/>
      </c>
      <c r="Q55" s="2" t="str">
        <f>_xlfn.LET(
    _xlpm.status, _xlfn.XLOOKUP($A55,'EA-ConnectorExport'!$A:$A,'EA-ConnectorExport'!G:G),
    _xlpm.result, _xlfn.XLOOKUP($A55,'EA-ConnectorExport'!$A:$A,'EA-ConnectorExport'!B:B),
    IF(_xlpm.status="allocate", _xlpm.result, "")
)</f>
        <v>851DC Heavy Mobile Equipment (HME)</v>
      </c>
      <c r="R55" s="2" t="str">
        <f>IF(
    _xlfn.XLOOKUP($Q55,'EA-Fortescue_SDExport'!A:A,'EA-Fortescue_SDExport'!B:B)="Object",
    _xlfn.XLOOKUP(
        _xlfn.XLOOKUP($A55,'EA-ConnectorExport'!A:A,'EA-ConnectorExport'!D:D),
        'EA-Fortescue_SDExport'!A:A,
        'EA-Fortescue_SDExport'!AA:AA
    ),
    _xlfn.XLOOKUP($Q55,'EA-Fortescue_SDExport'!A:A,'EA-Fortescue_SDExport'!AA:AA)
)</f>
        <v>Program</v>
      </c>
      <c r="S55" s="2" t="str">
        <f>_xlfn.LET(_xlpm.result, _xlfn.XLOOKUP($Q55,'EA-Fortescue_SDExport'!$A:$A,'EA-Fortescue_SDExport'!AB:AB), IF(_xlpm.result=0,"",_xlpm.result))</f>
        <v/>
      </c>
      <c r="T55" s="2" t="str">
        <f>_xlfn.LET(_xlpm.result, _xlfn.XLOOKUP($Q55,'EA-Fortescue_SDExport'!$A:$A,'EA-Fortescue_SDExport'!AC:AC), IF(_xlpm.result=0,"",_xlpm.result))</f>
        <v>Generic Physical Asset</v>
      </c>
      <c r="U55" s="2" t="str">
        <f>_xlfn.LET(
    _xlpm.isObject, _xlfn.XLOOKUP($Q55,'EA-Fortescue_SDExport'!A:A,'EA-Fortescue_SDExport'!B:B),
    _xlpm.lookupKey, IF(_xlpm.isObject="Object",
        _xlfn.XLOOKUP($A55,'EA-ConnectorExport'!A:A,'EA-ConnectorExport'!D:D),
        $Q55
    ),
    _xlpm.result, _xlfn.XLOOKUP(_xlpm.lookupKey,'EA-Fortescue_SDExport'!A:A,'EA-Fortescue_SDExport'!AD:AD),
    IF(_xlpm.result=0,"",_xlpm.result)
)</f>
        <v>851DC Heavy Mobile Equipment (HME)</v>
      </c>
      <c r="V55" s="2" t="str">
        <f>_xlfn.LET(
    _xlpm.isObject, _xlfn.XLOOKUP($Q55,'EA-Fortescue_SDExport'!A:A,'EA-Fortescue_SDExport'!B:B),
    _xlpm.lookupKey, IF(_xlpm.isObject="Object",
        _xlfn.XLOOKUP($A55,'EA-ConnectorExport'!A:A,'EA-ConnectorExport'!D:D),
        $Q55
    ),
    _xlpm.result, _xlfn.XLOOKUP(_xlpm.lookupKey,'EA-Fortescue_SDExport'!A:A,'EA-Fortescue_SDExport'!AE:AE),
    IF(_xlpm.result=0,"",_xlpm.result)
)</f>
        <v/>
      </c>
      <c r="W55" s="2" t="str">
        <f>_xlfn.LET(
    _xlpm.isObject, _xlfn.XLOOKUP($Q55,'EA-Fortescue_SDExport'!A:A,'EA-Fortescue_SDExport'!B:B),
    _xlpm.lookupKey, IF(_xlpm.isObject="Object",
        _xlfn.XLOOKUP($A55,'EA-ConnectorExport'!A:A,'EA-ConnectorExport'!D:D),
        $Q55
    ),
    _xlpm.result, _xlfn.XLOOKUP(_xlpm.lookupKey,'EA-Fortescue_SDExport'!A:A,'EA-Fortescue_SDExport'!AF:AF),
    IF(_xlpm.result=0,"",_xlpm.result)
)</f>
        <v/>
      </c>
      <c r="X55" s="2" t="str">
        <f>_xlfn.LET(
    _xlpm.isObject, _xlfn.XLOOKUP($Q55,'EA-Fortescue_SDExport'!A:A,'EA-Fortescue_SDExport'!B:B),
    _xlpm.lookupKey, IF(_xlpm.isObject="Object",
        _xlfn.XLOOKUP($A55,'EA-ConnectorExport'!A:A,'EA-ConnectorExport'!D:D),
        $Q55
    ),
    _xlpm.result, _xlfn.XLOOKUP(_xlpm.lookupKey,'EA-Fortescue_SDExport'!A:A,'EA-Fortescue_SDExport'!AG:AG),
    IF(_xlpm.result=0,"",_xlpm.result)
)</f>
        <v/>
      </c>
      <c r="Y55" s="2" t="str">
        <f>_xlfn.LET(
    _xlpm.status, _xlfn.XLOOKUP($A55,'EA-ConnectorExport'!$A:$A,'EA-ConnectorExport'!G:G),
    _xlpm.result, _xlfn.XLOOKUP($A55,'EA-ConnectorExport'!$A:$A,'EA-ConnectorExport'!H:H),
    IF(_xlpm.status="allocate", _xlpm.result, "")
)</f>
        <v>850DC-1512-0001 HME Chargers - Gen1</v>
      </c>
      <c r="Z55" s="2" t="str">
        <f>_xlfn.LET(
    _xlpm.isObject, _xlfn.XLOOKUP($Y55,'EA-Fortescue_SDExport'!A:A,'EA-Fortescue_SDExport'!B:B),
    _xlpm.lookupKey, IF(_xlpm.isObject="Object",
        _xlfn.XLOOKUP($A55,'EA-ConnectorExport'!A:A,'EA-ConnectorExport'!J:J),
        $Y55
    ),
    _xlpm.result, _xlfn.XLOOKUP(_xlpm.lookupKey,'EA-Fortescue_SDExport'!A:A,'EA-Fortescue_SDExport'!AA:AA),
    IF(_xlpm.result=0,"",_xlpm.result)
)</f>
        <v>Project</v>
      </c>
      <c r="AA55" s="2" t="str">
        <f>_xlfn.LET(_xlpm.result, _xlfn.XLOOKUP($Y55,'EA-Fortescue_SDExport'!$A:$A,'EA-Fortescue_SDExport'!AB:AB), IF(_xlpm.result=0,"",_xlpm.result))</f>
        <v/>
      </c>
      <c r="AB55" s="2" t="str">
        <f>_xlfn.LET(_xlpm.result, _xlfn.XLOOKUP($Y55,'EA-Fortescue_SDExport'!$A:$A,'EA-Fortescue_SDExport'!AC:AC), IF(_xlpm.result=0,"",_xlpm.result))</f>
        <v>Generic Physical Asset</v>
      </c>
      <c r="AC55" s="2" t="str">
        <f>_xlfn.LET(
    _xlpm.isObject, _xlfn.XLOOKUP($Y55,'EA-Fortescue_SDExport'!A:A,'EA-Fortescue_SDExport'!B:B),
    _xlpm.lookupKey, IF(_xlpm.isObject="Object",
        _xlfn.XLOOKUP($A55,'EA-ConnectorExport'!A:A,'EA-ConnectorExport'!J:J),
        $Y55
    ),
    _xlpm.result, _xlfn.XLOOKUP(_xlpm.lookupKey,'EA-Fortescue_SDExport'!A:A,'EA-Fortescue_SDExport'!AD:AD),
    IF(_xlpm.result=0,"",_xlpm.result)
)</f>
        <v>850DC Decarb Infrastructure</v>
      </c>
      <c r="AD55" s="2" t="str">
        <f>_xlfn.LET(
    _xlpm.isObject, _xlfn.XLOOKUP($Y55,'EA-Fortescue_SDExport'!A:A,'EA-Fortescue_SDExport'!B:B),
    _xlpm.lookupKey, IF(_xlpm.isObject="Object",
        _xlfn.XLOOKUP($A55,'EA-ConnectorExport'!A:A,'EA-ConnectorExport'!J:J),
        $Y55
    ),
    _xlpm.result, _xlfn.XLOOKUP(_xlpm.lookupKey,'EA-Fortescue_SDExport'!A:A,'EA-Fortescue_SDExport'!AE:AE),
    IF(_xlpm.result=0,"",_xlpm.result)
)</f>
        <v>850DC-1510 Chargers</v>
      </c>
      <c r="AE55" s="2" t="str">
        <f>_xlfn.LET(
    _xlpm.isObject, _xlfn.XLOOKUP($Y55,'EA-Fortescue_SDExport'!A:A,'EA-Fortescue_SDExport'!B:B),
    _xlpm.lookupKey, IF(_xlpm.isObject="Object",
        _xlfn.XLOOKUP($A55,'EA-ConnectorExport'!A:A,'EA-ConnectorExport'!J:J),
        $Y55
    ),
    _xlpm.result, _xlfn.XLOOKUP(_xlpm.lookupKey,'EA-Fortescue_SDExport'!A:A,'EA-Fortescue_SDExport'!AF:AF),
    IF(_xlpm.result=0,"",_xlpm.result)
)</f>
        <v>850DC-1512-0001 HME Chargers - Gen1</v>
      </c>
      <c r="AF55" s="2" t="str">
        <f>_xlfn.LET(
    _xlpm.isObject, _xlfn.XLOOKUP($Y55,'EA-Fortescue_SDExport'!A:A,'EA-Fortescue_SDExport'!B:B),
    _xlpm.lookupKey, IF(_xlpm.isObject="Object",
        _xlfn.XLOOKUP($A55,'EA-ConnectorExport'!A:A,'EA-ConnectorExport'!J:J),
        $Y55
    ),
    _xlpm.result, _xlfn.XLOOKUP(_xlpm.lookupKey,'EA-Fortescue_SDExport'!A:A,'EA-Fortescue_SDExport'!AG:AG),
    IF(_xlpm.result=0,"",_xlpm.result)
)</f>
        <v/>
      </c>
    </row>
    <row r="56" spans="1:32" ht="300" x14ac:dyDescent="0.25">
      <c r="A56" s="2" t="str">
        <v>DGS-I_0055</v>
      </c>
      <c r="B56" s="2" t="str">
        <f t="shared" si="0"/>
        <v>001OP-4000 Port Facilities|855DC-1543-PPC Pit Power Capacity Planning Tool - Capacity Check</v>
      </c>
      <c r="C56" s="2" t="str">
        <f>_xlfn.LET(_xlpm.result, _xlfn.XLOOKUP(A56,'EA-Fortescue_SDExport'!A:A,'EA-Fortescue_SDExport'!AM:AM), IF(_xlpm.result=0,"",_xlpm.result))</f>
        <v/>
      </c>
      <c r="D56" s="2" t="str">
        <f>_xlfn.LET(_xlpm.result, _xlfn.XLOOKUP(A56,'EA-Fortescue_SDExport'!A:A,'EA-Fortescue_SDExport'!AN:AN), IF(_xlpm.result=0,"",_xlpm.result))</f>
        <v/>
      </c>
      <c r="E56" s="2" t="str">
        <f>_xlfn.XLOOKUP(R56&amp;Z56,Lookups!A:A,Lookups!B:B)</f>
        <v>System - Project Interface</v>
      </c>
      <c r="F56" s="2" t="str">
        <f>_xlfn.LET(_xlpm.result, _xlfn.XLOOKUP(A56,'EA-Fortescue_SDExport'!A:A,'EA-Fortescue_SDExport'!AP:AP), IF(_xlpm.result=0,"",_xlpm.result))</f>
        <v>Technical - Data/Software</v>
      </c>
      <c r="G56" s="2" t="str">
        <f>IF(OR(AND(T56&lt;&gt;"", COUNTIF(Lookups!J:J, "*"&amp;T56&amp;"*")&gt;0), AND(AB56&lt;&gt;"", COUNTIF(Lookups!J:J, "*"&amp;AB56&amp;"*")&gt;0)), "Yes", "No")</f>
        <v>No</v>
      </c>
      <c r="H56" s="2" t="str">
        <f t="shared" si="1"/>
        <v>001OP Fixed Process Plant|855DC Decarb Green Systems</v>
      </c>
      <c r="I56" s="2" t="str">
        <f t="shared" si="2"/>
        <v>001OP-4000 Port Facilities|N/A</v>
      </c>
      <c r="J56" s="2" t="str">
        <f t="shared" si="3"/>
        <v>N/A|855DC-1543-PPC Pit Power Capacity Planning Tool - Capacity Check</v>
      </c>
      <c r="K56" s="2" t="str">
        <f>_xlfn.XLOOKUP(A56,'EA-Fortescue_SDExport'!A:A,'EA-Fortescue_SDExport'!N:N)</f>
        <v>Proposed</v>
      </c>
      <c r="L56" s="2" t="str">
        <f>_xlfn.LET(_xlpm.result, _xlfn.XLOOKUP($A56,'EA-Fortescue_SDExport'!$A:$A,'EA-Fortescue_SDExport'!AQ:AQ), IF(_xlpm.result=0,"",_xlpm.result))</f>
        <v>This interface allows the Pit Power Capacity Planning Tool - Capacity Check to access operational and electrical data from the Port Facilities, including power availability, load profiles, and peak demand forecasts. The tool uses this information to assess overall network capacity and ensure sufficient power allocation for pit operations. This is a read-only analytical interface; it does not control port systems.</v>
      </c>
      <c r="M56" s="2" t="str">
        <f>_xlfn.LET(_xlpm.result, _xlfn.XLOOKUP($A56,'EA-Fortescue_SDExport'!$A:$A,'EA-Fortescue_SDExport'!AR:AR), IF(_xlpm.result=0,"",_xlpm.result))</f>
        <v>HIGH</v>
      </c>
      <c r="N56" s="2" t="str">
        <f>_xlfn.LET(_xlpm.result, _xlfn.XLOOKUP($A56,'EA-Fortescue_SDExport'!$A:$A,'EA-Fortescue_SDExport'!AW:AW), IF(_xlpm.result=0,"",_xlpm.result))</f>
        <v>The criticality is HIGH because port power consumption can significantly impact overall network capacity. Accurate data is essential for planning pit operations without overloading the network.</v>
      </c>
      <c r="O56" s="2" t="str">
        <f>_xlfn.LET(_xlpm.result, _xlfn.XLOOKUP($A56,'EA-Fortescue_SDExport'!$A:$A,'EA-Fortescue_SDExport'!AV:AV), IF(_xlpm.result=0,"",_xlpm.result))</f>
        <v>Port Facilities -&gt; Pit Power Capacity Planning Tool - Capacity Check</v>
      </c>
      <c r="P56" s="2" t="str">
        <f>_xlfn.LET(_xlpm.result, _xlfn.XLOOKUP($A56,'EA-Fortescue_SDExport'!$A:$A,'EA-Fortescue_SDExport'!D:D),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56" s="2" t="str">
        <f>_xlfn.LET(
    _xlpm.status, _xlfn.XLOOKUP($A56,'EA-ConnectorExport'!$A:$A,'EA-ConnectorExport'!G:G),
    _xlpm.result, _xlfn.XLOOKUP($A56,'EA-ConnectorExport'!$A:$A,'EA-ConnectorExport'!B:B),
    IF(_xlpm.status="allocate", _xlpm.result, "")
)</f>
        <v>001OP-4000 Port Facilities</v>
      </c>
      <c r="R56" s="2" t="str">
        <f>IF(
    _xlfn.XLOOKUP($Q56,'EA-Fortescue_SDExport'!A:A,'EA-Fortescue_SDExport'!B:B)="Object",
    _xlfn.XLOOKUP(
        _xlfn.XLOOKUP($A56,'EA-ConnectorExport'!A:A,'EA-ConnectorExport'!D:D),
        'EA-Fortescue_SDExport'!A:A,
        'EA-Fortescue_SDExport'!AA:AA
    ),
    _xlfn.XLOOKUP($Q56,'EA-Fortescue_SDExport'!A:A,'EA-Fortescue_SDExport'!AA:AA)
)</f>
        <v>System</v>
      </c>
      <c r="S56" s="2" t="str">
        <f>_xlfn.LET(_xlpm.result, _xlfn.XLOOKUP($Q56,'EA-Fortescue_SDExport'!$A:$A,'EA-Fortescue_SDExport'!AB:AB), IF(_xlpm.result=0,"",_xlpm.result))</f>
        <v/>
      </c>
      <c r="T56" s="2" t="str">
        <f>_xlfn.LET(_xlpm.result, _xlfn.XLOOKUP($Q56,'EA-Fortescue_SDExport'!$A:$A,'EA-Fortescue_SDExport'!AC:AC), IF(_xlpm.result=0,"",_xlpm.result))</f>
        <v>Generic Physical Asset</v>
      </c>
      <c r="U56" s="2" t="str">
        <f>_xlfn.LET(
    _xlpm.isObject, _xlfn.XLOOKUP($Q56,'EA-Fortescue_SDExport'!A:A,'EA-Fortescue_SDExport'!B:B),
    _xlpm.lookupKey, IF(_xlpm.isObject="Object",
        _xlfn.XLOOKUP($A56,'EA-ConnectorExport'!A:A,'EA-ConnectorExport'!D:D),
        $Q56
    ),
    _xlpm.result, _xlfn.XLOOKUP(_xlpm.lookupKey,'EA-Fortescue_SDExport'!A:A,'EA-Fortescue_SDExport'!AD:AD),
    IF(_xlpm.result=0,"",_xlpm.result)
)</f>
        <v>001OP Fixed Process Plant</v>
      </c>
      <c r="V56" s="2" t="str">
        <f>_xlfn.LET(
    _xlpm.isObject, _xlfn.XLOOKUP($Q56,'EA-Fortescue_SDExport'!A:A,'EA-Fortescue_SDExport'!B:B),
    _xlpm.lookupKey, IF(_xlpm.isObject="Object",
        _xlfn.XLOOKUP($A56,'EA-ConnectorExport'!A:A,'EA-ConnectorExport'!D:D),
        $Q56
    ),
    _xlpm.result, _xlfn.XLOOKUP(_xlpm.lookupKey,'EA-Fortescue_SDExport'!A:A,'EA-Fortescue_SDExport'!AE:AE),
    IF(_xlpm.result=0,"",_xlpm.result)
)</f>
        <v>001OP-4000 Port Facilities</v>
      </c>
      <c r="W56" s="2" t="str">
        <f>_xlfn.LET(
    _xlpm.isObject, _xlfn.XLOOKUP($Q56,'EA-Fortescue_SDExport'!A:A,'EA-Fortescue_SDExport'!B:B),
    _xlpm.lookupKey, IF(_xlpm.isObject="Object",
        _xlfn.XLOOKUP($A56,'EA-ConnectorExport'!A:A,'EA-ConnectorExport'!D:D),
        $Q56
    ),
    _xlpm.result, _xlfn.XLOOKUP(_xlpm.lookupKey,'EA-Fortescue_SDExport'!A:A,'EA-Fortescue_SDExport'!AF:AF),
    IF(_xlpm.result=0,"",_xlpm.result)
)</f>
        <v/>
      </c>
      <c r="X56" s="2" t="str">
        <f>_xlfn.LET(
    _xlpm.isObject, _xlfn.XLOOKUP($Q56,'EA-Fortescue_SDExport'!A:A,'EA-Fortescue_SDExport'!B:B),
    _xlpm.lookupKey, IF(_xlpm.isObject="Object",
        _xlfn.XLOOKUP($A56,'EA-ConnectorExport'!A:A,'EA-ConnectorExport'!D:D),
        $Q56
    ),
    _xlpm.result, _xlfn.XLOOKUP(_xlpm.lookupKey,'EA-Fortescue_SDExport'!A:A,'EA-Fortescue_SDExport'!AG:AG),
    IF(_xlpm.result=0,"",_xlpm.result)
)</f>
        <v/>
      </c>
      <c r="Y56" s="2" t="str">
        <f>_xlfn.LET(
    _xlpm.status, _xlfn.XLOOKUP($A56,'EA-ConnectorExport'!$A:$A,'EA-ConnectorExport'!G:G),
    _xlpm.result, _xlfn.XLOOKUP($A56,'EA-ConnectorExport'!$A:$A,'EA-ConnectorExport'!H:H),
    IF(_xlpm.status="allocate", _xlpm.result, "")
)</f>
        <v>855DC-1543-PPC Pit Power Capacity Planning Tool - Capacity Check</v>
      </c>
      <c r="Z56" s="2" t="str">
        <f>_xlfn.LET(
    _xlpm.isObject, _xlfn.XLOOKUP($Y56,'EA-Fortescue_SDExport'!A:A,'EA-Fortescue_SDExport'!B:B),
    _xlpm.lookupKey, IF(_xlpm.isObject="Object",
        _xlfn.XLOOKUP($A56,'EA-ConnectorExport'!A:A,'EA-ConnectorExport'!J:J),
        $Y56
    ),
    _xlpm.result, _xlfn.XLOOKUP(_xlpm.lookupKey,'EA-Fortescue_SDExport'!A:A,'EA-Fortescue_SDExport'!AA:AA),
    IF(_xlpm.result=0,"",_xlpm.result)
)</f>
        <v>Project</v>
      </c>
      <c r="AA56" s="2" t="str">
        <f>_xlfn.LET(_xlpm.result, _xlfn.XLOOKUP($Y56,'EA-Fortescue_SDExport'!$A:$A,'EA-Fortescue_SDExport'!AB:AB), IF(_xlpm.result=0,"",_xlpm.result))</f>
        <v>Operations Planning</v>
      </c>
      <c r="AB56" s="2" t="str">
        <f>_xlfn.LET(_xlpm.result, _xlfn.XLOOKUP($Y56,'EA-Fortescue_SDExport'!$A:$A,'EA-Fortescue_SDExport'!AC:AC), IF(_xlpm.result=0,"",_xlpm.result))</f>
        <v>AWS Fortescue Infrastructure</v>
      </c>
      <c r="AC56" s="2" t="str">
        <f>_xlfn.LET(
    _xlpm.isObject, _xlfn.XLOOKUP($Y56,'EA-Fortescue_SDExport'!A:A,'EA-Fortescue_SDExport'!B:B),
    _xlpm.lookupKey, IF(_xlpm.isObject="Object",
        _xlfn.XLOOKUP($A56,'EA-ConnectorExport'!A:A,'EA-ConnectorExport'!J:J),
        $Y56
    ),
    _xlpm.result, _xlfn.XLOOKUP(_xlpm.lookupKey,'EA-Fortescue_SDExport'!A:A,'EA-Fortescue_SDExport'!AD:AD),
    IF(_xlpm.result=0,"",_xlpm.result)
)</f>
        <v>855DC Decarb Green Systems</v>
      </c>
      <c r="AD56" s="2" t="str">
        <f>_xlfn.LET(
    _xlpm.isObject, _xlfn.XLOOKUP($Y56,'EA-Fortescue_SDExport'!A:A,'EA-Fortescue_SDExport'!B:B),
    _xlpm.lookupKey, IF(_xlpm.isObject="Object",
        _xlfn.XLOOKUP($A56,'EA-ConnectorExport'!A:A,'EA-ConnectorExport'!J:J),
        $Y56
    ),
    _xlpm.result, _xlfn.XLOOKUP(_xlpm.lookupKey,'EA-Fortescue_SDExport'!A:A,'EA-Fortescue_SDExport'!AE:AE),
    IF(_xlpm.result=0,"",_xlpm.result)
)</f>
        <v/>
      </c>
      <c r="AE56" s="2" t="str">
        <f>_xlfn.LET(
    _xlpm.isObject, _xlfn.XLOOKUP($Y56,'EA-Fortescue_SDExport'!A:A,'EA-Fortescue_SDExport'!B:B),
    _xlpm.lookupKey, IF(_xlpm.isObject="Object",
        _xlfn.XLOOKUP($A56,'EA-ConnectorExport'!A:A,'EA-ConnectorExport'!J:J),
        $Y56
    ),
    _xlpm.result, _xlfn.XLOOKUP(_xlpm.lookupKey,'EA-Fortescue_SDExport'!A:A,'EA-Fortescue_SDExport'!AF:AF),
    IF(_xlpm.result=0,"",_xlpm.result)
)</f>
        <v>855DC-1543-PPC Pit Power Capacity Planning Tool - Capacity Check</v>
      </c>
      <c r="AF56" s="2" t="str">
        <f>_xlfn.LET(
    _xlpm.isObject, _xlfn.XLOOKUP($Y56,'EA-Fortescue_SDExport'!A:A,'EA-Fortescue_SDExport'!B:B),
    _xlpm.lookupKey, IF(_xlpm.isObject="Object",
        _xlfn.XLOOKUP($A56,'EA-ConnectorExport'!A:A,'EA-ConnectorExport'!J:J),
        $Y56
    ),
    _xlpm.result, _xlfn.XLOOKUP(_xlpm.lookupKey,'EA-Fortescue_SDExport'!A:A,'EA-Fortescue_SDExport'!AG:AG),
    IF(_xlpm.result=0,"",_xlpm.result)
)</f>
        <v/>
      </c>
    </row>
    <row r="57" spans="1:32" ht="300" x14ac:dyDescent="0.25">
      <c r="A57" s="2" t="str">
        <v>DGS-I_0056</v>
      </c>
      <c r="B57" s="2" t="str">
        <f t="shared" si="0"/>
        <v>001OP-4160 Train Unloader (TUL)|855DC-1543-PPC Pit Power Capacity Planning Tool - Capacity Check</v>
      </c>
      <c r="C57" s="2" t="str">
        <f>_xlfn.LET(_xlpm.result, _xlfn.XLOOKUP(A57,'EA-Fortescue_SDExport'!A:A,'EA-Fortescue_SDExport'!AM:AM), IF(_xlpm.result=0,"",_xlpm.result))</f>
        <v/>
      </c>
      <c r="D57" s="2" t="str">
        <f>_xlfn.LET(_xlpm.result, _xlfn.XLOOKUP(A57,'EA-Fortescue_SDExport'!A:A,'EA-Fortescue_SDExport'!AN:AN), IF(_xlpm.result=0,"",_xlpm.result))</f>
        <v/>
      </c>
      <c r="E57" s="2" t="str">
        <f>_xlfn.XLOOKUP(R57&amp;Z57,Lookups!A:A,Lookups!B:B)</f>
        <v>System - Project Interface</v>
      </c>
      <c r="F57" s="2" t="str">
        <f>_xlfn.LET(_xlpm.result, _xlfn.XLOOKUP(A57,'EA-Fortescue_SDExport'!A:A,'EA-Fortescue_SDExport'!AP:AP), IF(_xlpm.result=0,"",_xlpm.result))</f>
        <v>Technical - Data/Software</v>
      </c>
      <c r="G57" s="2" t="str">
        <f>IF(OR(AND(T57&lt;&gt;"", COUNTIF(Lookups!J:J, "*"&amp;T57&amp;"*")&gt;0), AND(AB57&lt;&gt;"", COUNTIF(Lookups!J:J, "*"&amp;AB57&amp;"*")&gt;0)), "Yes", "No")</f>
        <v>No</v>
      </c>
      <c r="H57" s="2" t="str">
        <f t="shared" si="1"/>
        <v>001OP Fixed Process Plant|855DC Decarb Green Systems</v>
      </c>
      <c r="I57" s="2" t="str">
        <f t="shared" si="2"/>
        <v>001OP-4160 Train Unloader (TUL)|N/A</v>
      </c>
      <c r="J57" s="2" t="str">
        <f t="shared" si="3"/>
        <v>N/A|855DC-1543-PPC Pit Power Capacity Planning Tool - Capacity Check</v>
      </c>
      <c r="K57" s="2" t="str">
        <f>_xlfn.XLOOKUP(A57,'EA-Fortescue_SDExport'!A:A,'EA-Fortescue_SDExport'!N:N)</f>
        <v>Proposed</v>
      </c>
      <c r="L57" s="2" t="str">
        <f>_xlfn.LET(_xlpm.result, _xlfn.XLOOKUP($A57,'EA-Fortescue_SDExport'!$A:$A,'EA-Fortescue_SDExport'!AQ:AQ), IF(_xlpm.result=0,"",_xlpm.result))</f>
        <v>This interface allows the Pit Power Capacity Planning Tool - Capacity Check to access power demand and operational data from the Train Unloader (TUL), including electrical load profiles, peak usage times, and equipment availability. The tool uses this information to evaluate pit network capacity and ensure power supply adequacy for mining operations. This is a read-only analytical interface; it does not control the TUL.</v>
      </c>
      <c r="M57" s="2" t="str">
        <f>_xlfn.LET(_xlpm.result, _xlfn.XLOOKUP($A57,'EA-Fortescue_SDExport'!$A:$A,'EA-Fortescue_SDExport'!AR:AR), IF(_xlpm.result=0,"",_xlpm.result))</f>
        <v>HIGH</v>
      </c>
      <c r="N57" s="2" t="str">
        <f>_xlfn.LET(_xlpm.result, _xlfn.XLOOKUP($A57,'EA-Fortescue_SDExport'!$A:$A,'EA-Fortescue_SDExport'!AW:AW), IF(_xlpm.result=0,"",_xlpm.result))</f>
        <v>The criticality is HIGH because the Train Unloader's power consumption can significantly influence pit network load. Accurate load data is required to avoid exceeding network capacity and to optimise power allocation.</v>
      </c>
      <c r="O57" s="2" t="str">
        <f>_xlfn.LET(_xlpm.result, _xlfn.XLOOKUP($A57,'EA-Fortescue_SDExport'!$A:$A,'EA-Fortescue_SDExport'!AV:AV), IF(_xlpm.result=0,"",_xlpm.result))</f>
        <v>Train Unloader (TUL) -&gt; Pit Power Capacity Planning Tool - Capacity Check</v>
      </c>
      <c r="P57" s="2" t="str">
        <f>_xlfn.LET(_xlpm.result, _xlfn.XLOOKUP($A57,'EA-Fortescue_SDExport'!$A:$A,'EA-Fortescue_SDExport'!D:D),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57" s="2" t="str">
        <f>_xlfn.LET(
    _xlpm.status, _xlfn.XLOOKUP($A57,'EA-ConnectorExport'!$A:$A,'EA-ConnectorExport'!G:G),
    _xlpm.result, _xlfn.XLOOKUP($A57,'EA-ConnectorExport'!$A:$A,'EA-ConnectorExport'!B:B),
    IF(_xlpm.status="allocate", _xlpm.result, "")
)</f>
        <v>001OP-4160 Train Unloader (TUL)</v>
      </c>
      <c r="R57" s="2" t="str">
        <f>IF(
    _xlfn.XLOOKUP($Q57,'EA-Fortescue_SDExport'!A:A,'EA-Fortescue_SDExport'!B:B)="Object",
    _xlfn.XLOOKUP(
        _xlfn.XLOOKUP($A57,'EA-ConnectorExport'!A:A,'EA-ConnectorExport'!D:D),
        'EA-Fortescue_SDExport'!A:A,
        'EA-Fortescue_SDExport'!AA:AA
    ),
    _xlfn.XLOOKUP($Q57,'EA-Fortescue_SDExport'!A:A,'EA-Fortescue_SDExport'!AA:AA)
)</f>
        <v>System</v>
      </c>
      <c r="S57" s="2" t="str">
        <f>_xlfn.LET(_xlpm.result, _xlfn.XLOOKUP($Q57,'EA-Fortescue_SDExport'!$A:$A,'EA-Fortescue_SDExport'!AB:AB), IF(_xlpm.result=0,"",_xlpm.result))</f>
        <v/>
      </c>
      <c r="T57" s="2" t="str">
        <f>_xlfn.LET(_xlpm.result, _xlfn.XLOOKUP($Q57,'EA-Fortescue_SDExport'!$A:$A,'EA-Fortescue_SDExport'!AC:AC), IF(_xlpm.result=0,"",_xlpm.result))</f>
        <v>Generic Physical Asset</v>
      </c>
      <c r="U57" s="2" t="str">
        <f>_xlfn.LET(
    _xlpm.isObject, _xlfn.XLOOKUP($Q57,'EA-Fortescue_SDExport'!A:A,'EA-Fortescue_SDExport'!B:B),
    _xlpm.lookupKey, IF(_xlpm.isObject="Object",
        _xlfn.XLOOKUP($A57,'EA-ConnectorExport'!A:A,'EA-ConnectorExport'!D:D),
        $Q57
    ),
    _xlpm.result, _xlfn.XLOOKUP(_xlpm.lookupKey,'EA-Fortescue_SDExport'!A:A,'EA-Fortescue_SDExport'!AD:AD),
    IF(_xlpm.result=0,"",_xlpm.result)
)</f>
        <v>001OP Fixed Process Plant</v>
      </c>
      <c r="V57" s="2" t="str">
        <f>_xlfn.LET(
    _xlpm.isObject, _xlfn.XLOOKUP($Q57,'EA-Fortescue_SDExport'!A:A,'EA-Fortescue_SDExport'!B:B),
    _xlpm.lookupKey, IF(_xlpm.isObject="Object",
        _xlfn.XLOOKUP($A57,'EA-ConnectorExport'!A:A,'EA-ConnectorExport'!D:D),
        $Q57
    ),
    _xlpm.result, _xlfn.XLOOKUP(_xlpm.lookupKey,'EA-Fortescue_SDExport'!A:A,'EA-Fortescue_SDExport'!AE:AE),
    IF(_xlpm.result=0,"",_xlpm.result)
)</f>
        <v>001OP-4160 Train Unloader (TUL)</v>
      </c>
      <c r="W57" s="2" t="str">
        <f>_xlfn.LET(
    _xlpm.isObject, _xlfn.XLOOKUP($Q57,'EA-Fortescue_SDExport'!A:A,'EA-Fortescue_SDExport'!B:B),
    _xlpm.lookupKey, IF(_xlpm.isObject="Object",
        _xlfn.XLOOKUP($A57,'EA-ConnectorExport'!A:A,'EA-ConnectorExport'!D:D),
        $Q57
    ),
    _xlpm.result, _xlfn.XLOOKUP(_xlpm.lookupKey,'EA-Fortescue_SDExport'!A:A,'EA-Fortescue_SDExport'!AF:AF),
    IF(_xlpm.result=0,"",_xlpm.result)
)</f>
        <v/>
      </c>
      <c r="X57" s="2" t="str">
        <f>_xlfn.LET(
    _xlpm.isObject, _xlfn.XLOOKUP($Q57,'EA-Fortescue_SDExport'!A:A,'EA-Fortescue_SDExport'!B:B),
    _xlpm.lookupKey, IF(_xlpm.isObject="Object",
        _xlfn.XLOOKUP($A57,'EA-ConnectorExport'!A:A,'EA-ConnectorExport'!D:D),
        $Q57
    ),
    _xlpm.result, _xlfn.XLOOKUP(_xlpm.lookupKey,'EA-Fortescue_SDExport'!A:A,'EA-Fortescue_SDExport'!AG:AG),
    IF(_xlpm.result=0,"",_xlpm.result)
)</f>
        <v/>
      </c>
      <c r="Y57" s="2" t="str">
        <f>_xlfn.LET(
    _xlpm.status, _xlfn.XLOOKUP($A57,'EA-ConnectorExport'!$A:$A,'EA-ConnectorExport'!G:G),
    _xlpm.result, _xlfn.XLOOKUP($A57,'EA-ConnectorExport'!$A:$A,'EA-ConnectorExport'!H:H),
    IF(_xlpm.status="allocate", _xlpm.result, "")
)</f>
        <v>855DC-1543-PPC Pit Power Capacity Planning Tool - Capacity Check</v>
      </c>
      <c r="Z57" s="2" t="str">
        <f>_xlfn.LET(
    _xlpm.isObject, _xlfn.XLOOKUP($Y57,'EA-Fortescue_SDExport'!A:A,'EA-Fortescue_SDExport'!B:B),
    _xlpm.lookupKey, IF(_xlpm.isObject="Object",
        _xlfn.XLOOKUP($A57,'EA-ConnectorExport'!A:A,'EA-ConnectorExport'!J:J),
        $Y57
    ),
    _xlpm.result, _xlfn.XLOOKUP(_xlpm.lookupKey,'EA-Fortescue_SDExport'!A:A,'EA-Fortescue_SDExport'!AA:AA),
    IF(_xlpm.result=0,"",_xlpm.result)
)</f>
        <v>Project</v>
      </c>
      <c r="AA57" s="2" t="str">
        <f>_xlfn.LET(_xlpm.result, _xlfn.XLOOKUP($Y57,'EA-Fortescue_SDExport'!$A:$A,'EA-Fortescue_SDExport'!AB:AB), IF(_xlpm.result=0,"",_xlpm.result))</f>
        <v>Operations Planning</v>
      </c>
      <c r="AB57" s="2" t="str">
        <f>_xlfn.LET(_xlpm.result, _xlfn.XLOOKUP($Y57,'EA-Fortescue_SDExport'!$A:$A,'EA-Fortescue_SDExport'!AC:AC), IF(_xlpm.result=0,"",_xlpm.result))</f>
        <v>AWS Fortescue Infrastructure</v>
      </c>
      <c r="AC57" s="2" t="str">
        <f>_xlfn.LET(
    _xlpm.isObject, _xlfn.XLOOKUP($Y57,'EA-Fortescue_SDExport'!A:A,'EA-Fortescue_SDExport'!B:B),
    _xlpm.lookupKey, IF(_xlpm.isObject="Object",
        _xlfn.XLOOKUP($A57,'EA-ConnectorExport'!A:A,'EA-ConnectorExport'!J:J),
        $Y57
    ),
    _xlpm.result, _xlfn.XLOOKUP(_xlpm.lookupKey,'EA-Fortescue_SDExport'!A:A,'EA-Fortescue_SDExport'!AD:AD),
    IF(_xlpm.result=0,"",_xlpm.result)
)</f>
        <v>855DC Decarb Green Systems</v>
      </c>
      <c r="AD57" s="2" t="str">
        <f>_xlfn.LET(
    _xlpm.isObject, _xlfn.XLOOKUP($Y57,'EA-Fortescue_SDExport'!A:A,'EA-Fortescue_SDExport'!B:B),
    _xlpm.lookupKey, IF(_xlpm.isObject="Object",
        _xlfn.XLOOKUP($A57,'EA-ConnectorExport'!A:A,'EA-ConnectorExport'!J:J),
        $Y57
    ),
    _xlpm.result, _xlfn.XLOOKUP(_xlpm.lookupKey,'EA-Fortescue_SDExport'!A:A,'EA-Fortescue_SDExport'!AE:AE),
    IF(_xlpm.result=0,"",_xlpm.result)
)</f>
        <v/>
      </c>
      <c r="AE57" s="2" t="str">
        <f>_xlfn.LET(
    _xlpm.isObject, _xlfn.XLOOKUP($Y57,'EA-Fortescue_SDExport'!A:A,'EA-Fortescue_SDExport'!B:B),
    _xlpm.lookupKey, IF(_xlpm.isObject="Object",
        _xlfn.XLOOKUP($A57,'EA-ConnectorExport'!A:A,'EA-ConnectorExport'!J:J),
        $Y57
    ),
    _xlpm.result, _xlfn.XLOOKUP(_xlpm.lookupKey,'EA-Fortescue_SDExport'!A:A,'EA-Fortescue_SDExport'!AF:AF),
    IF(_xlpm.result=0,"",_xlpm.result)
)</f>
        <v>855DC-1543-PPC Pit Power Capacity Planning Tool - Capacity Check</v>
      </c>
      <c r="AF57" s="2" t="str">
        <f>_xlfn.LET(
    _xlpm.isObject, _xlfn.XLOOKUP($Y57,'EA-Fortescue_SDExport'!A:A,'EA-Fortescue_SDExport'!B:B),
    _xlpm.lookupKey, IF(_xlpm.isObject="Object",
        _xlfn.XLOOKUP($A57,'EA-ConnectorExport'!A:A,'EA-ConnectorExport'!J:J),
        $Y57
    ),
    _xlpm.result, _xlfn.XLOOKUP(_xlpm.lookupKey,'EA-Fortescue_SDExport'!A:A,'EA-Fortescue_SDExport'!AG:AG),
    IF(_xlpm.result=0,"",_xlpm.result)
)</f>
        <v/>
      </c>
    </row>
    <row r="58" spans="1:32" ht="300" x14ac:dyDescent="0.25">
      <c r="A58" s="2" t="str">
        <v>DGS-I_0057</v>
      </c>
      <c r="B58" s="2" t="str">
        <f t="shared" si="0"/>
        <v>001OP-2920 Train Load Out (TLO)|855DC-1543-PPC Pit Power Capacity Planning Tool - Capacity Check</v>
      </c>
      <c r="C58" s="2" t="str">
        <f>_xlfn.LET(_xlpm.result, _xlfn.XLOOKUP(A58,'EA-Fortescue_SDExport'!A:A,'EA-Fortescue_SDExport'!AM:AM), IF(_xlpm.result=0,"",_xlpm.result))</f>
        <v/>
      </c>
      <c r="D58" s="2" t="str">
        <f>_xlfn.LET(_xlpm.result, _xlfn.XLOOKUP(A58,'EA-Fortescue_SDExport'!A:A,'EA-Fortescue_SDExport'!AN:AN), IF(_xlpm.result=0,"",_xlpm.result))</f>
        <v/>
      </c>
      <c r="E58" s="2" t="str">
        <f>_xlfn.XLOOKUP(R58&amp;Z58,Lookups!A:A,Lookups!B:B)</f>
        <v>System - Project Interface</v>
      </c>
      <c r="F58" s="2" t="str">
        <f>_xlfn.LET(_xlpm.result, _xlfn.XLOOKUP(A58,'EA-Fortescue_SDExport'!A:A,'EA-Fortescue_SDExport'!AP:AP), IF(_xlpm.result=0,"",_xlpm.result))</f>
        <v>Technical - Data/Software</v>
      </c>
      <c r="G58" s="2" t="str">
        <f>IF(OR(AND(T58&lt;&gt;"", COUNTIF(Lookups!J:J, "*"&amp;T58&amp;"*")&gt;0), AND(AB58&lt;&gt;"", COUNTIF(Lookups!J:J, "*"&amp;AB58&amp;"*")&gt;0)), "Yes", "No")</f>
        <v>No</v>
      </c>
      <c r="H58" s="2" t="str">
        <f t="shared" si="1"/>
        <v>001OP Fixed Process Plant|855DC Decarb Green Systems</v>
      </c>
      <c r="I58" s="2" t="str">
        <f t="shared" si="2"/>
        <v>001OP-2920 Train Load Out (TLO)|N/A</v>
      </c>
      <c r="J58" s="2" t="str">
        <f t="shared" si="3"/>
        <v>N/A|855DC-1543-PPC Pit Power Capacity Planning Tool - Capacity Check</v>
      </c>
      <c r="K58" s="2" t="str">
        <f>_xlfn.XLOOKUP(A58,'EA-Fortescue_SDExport'!A:A,'EA-Fortescue_SDExport'!N:N)</f>
        <v>Proposed</v>
      </c>
      <c r="L58" s="2" t="str">
        <f>_xlfn.LET(_xlpm.result, _xlfn.XLOOKUP($A58,'EA-Fortescue_SDExport'!$A:$A,'EA-Fortescue_SDExport'!AQ:AQ), IF(_xlpm.result=0,"",_xlpm.result))</f>
        <v>This interface provides the Pit Power Capacity Planning Tool - Capacity Check with power demand and operational data from the Train Load Out (TLO), including load profiles, peak consumption, and availability. The tool uses this data to assess pit network capacity and ensure safe and reliable power allocation. This interface is read-only and purely analytical; it does not control the TLO.</v>
      </c>
      <c r="M58" s="2" t="str">
        <f>_xlfn.LET(_xlpm.result, _xlfn.XLOOKUP($A58,'EA-Fortescue_SDExport'!$A:$A,'EA-Fortescue_SDExport'!AR:AR), IF(_xlpm.result=0,"",_xlpm.result))</f>
        <v>HIGH</v>
      </c>
      <c r="N58" s="2" t="str">
        <f>_xlfn.LET(_xlpm.result, _xlfn.XLOOKUP($A58,'EA-Fortescue_SDExport'!$A:$A,'EA-Fortescue_SDExport'!AW:AW), IF(_xlpm.result=0,"",_xlpm.result))</f>
        <v>The criticality is HIGH because the TLO's electrical demand directly impacts the pit network's capacity planning. Accurate data ensures the tool can predict and manage potential overloads, optimising power distribution.</v>
      </c>
      <c r="O58" s="2" t="str">
        <f>_xlfn.LET(_xlpm.result, _xlfn.XLOOKUP($A58,'EA-Fortescue_SDExport'!$A:$A,'EA-Fortescue_SDExport'!AV:AV), IF(_xlpm.result=0,"",_xlpm.result))</f>
        <v>Train Load Out (TLO) -&gt; Pit Power Capacity Planning Tool - Capacity Check</v>
      </c>
      <c r="P58" s="2" t="str">
        <f>_xlfn.LET(_xlpm.result, _xlfn.XLOOKUP($A58,'EA-Fortescue_SDExport'!$A:$A,'EA-Fortescue_SDExport'!D:D),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58" s="2" t="str">
        <f>_xlfn.LET(
    _xlpm.status, _xlfn.XLOOKUP($A58,'EA-ConnectorExport'!$A:$A,'EA-ConnectorExport'!G:G),
    _xlpm.result, _xlfn.XLOOKUP($A58,'EA-ConnectorExport'!$A:$A,'EA-ConnectorExport'!B:B),
    IF(_xlpm.status="allocate", _xlpm.result, "")
)</f>
        <v>001OP-2920 Train Load Out (TLO)</v>
      </c>
      <c r="R58" s="2" t="str">
        <f>IF(
    _xlfn.XLOOKUP($Q58,'EA-Fortescue_SDExport'!A:A,'EA-Fortescue_SDExport'!B:B)="Object",
    _xlfn.XLOOKUP(
        _xlfn.XLOOKUP($A58,'EA-ConnectorExport'!A:A,'EA-ConnectorExport'!D:D),
        'EA-Fortescue_SDExport'!A:A,
        'EA-Fortescue_SDExport'!AA:AA
    ),
    _xlfn.XLOOKUP($Q58,'EA-Fortescue_SDExport'!A:A,'EA-Fortescue_SDExport'!AA:AA)
)</f>
        <v>System</v>
      </c>
      <c r="S58" s="2" t="str">
        <f>_xlfn.LET(_xlpm.result, _xlfn.XLOOKUP($Q58,'EA-Fortescue_SDExport'!$A:$A,'EA-Fortescue_SDExport'!AB:AB), IF(_xlpm.result=0,"",_xlpm.result))</f>
        <v/>
      </c>
      <c r="T58" s="2" t="str">
        <f>_xlfn.LET(_xlpm.result, _xlfn.XLOOKUP($Q58,'EA-Fortescue_SDExport'!$A:$A,'EA-Fortescue_SDExport'!AC:AC), IF(_xlpm.result=0,"",_xlpm.result))</f>
        <v>Generic Physical Asset</v>
      </c>
      <c r="U58" s="2" t="str">
        <f>_xlfn.LET(
    _xlpm.isObject, _xlfn.XLOOKUP($Q58,'EA-Fortescue_SDExport'!A:A,'EA-Fortescue_SDExport'!B:B),
    _xlpm.lookupKey, IF(_xlpm.isObject="Object",
        _xlfn.XLOOKUP($A58,'EA-ConnectorExport'!A:A,'EA-ConnectorExport'!D:D),
        $Q58
    ),
    _xlpm.result, _xlfn.XLOOKUP(_xlpm.lookupKey,'EA-Fortescue_SDExport'!A:A,'EA-Fortescue_SDExport'!AD:AD),
    IF(_xlpm.result=0,"",_xlpm.result)
)</f>
        <v>001OP Fixed Process Plant</v>
      </c>
      <c r="V58" s="2" t="str">
        <f>_xlfn.LET(
    _xlpm.isObject, _xlfn.XLOOKUP($Q58,'EA-Fortescue_SDExport'!A:A,'EA-Fortescue_SDExport'!B:B),
    _xlpm.lookupKey, IF(_xlpm.isObject="Object",
        _xlfn.XLOOKUP($A58,'EA-ConnectorExport'!A:A,'EA-ConnectorExport'!D:D),
        $Q58
    ),
    _xlpm.result, _xlfn.XLOOKUP(_xlpm.lookupKey,'EA-Fortescue_SDExport'!A:A,'EA-Fortescue_SDExport'!AE:AE),
    IF(_xlpm.result=0,"",_xlpm.result)
)</f>
        <v>001OP-2920 Train Load Out (TLO)</v>
      </c>
      <c r="W58" s="2" t="str">
        <f>_xlfn.LET(
    _xlpm.isObject, _xlfn.XLOOKUP($Q58,'EA-Fortescue_SDExport'!A:A,'EA-Fortescue_SDExport'!B:B),
    _xlpm.lookupKey, IF(_xlpm.isObject="Object",
        _xlfn.XLOOKUP($A58,'EA-ConnectorExport'!A:A,'EA-ConnectorExport'!D:D),
        $Q58
    ),
    _xlpm.result, _xlfn.XLOOKUP(_xlpm.lookupKey,'EA-Fortescue_SDExport'!A:A,'EA-Fortescue_SDExport'!AF:AF),
    IF(_xlpm.result=0,"",_xlpm.result)
)</f>
        <v/>
      </c>
      <c r="X58" s="2" t="str">
        <f>_xlfn.LET(
    _xlpm.isObject, _xlfn.XLOOKUP($Q58,'EA-Fortescue_SDExport'!A:A,'EA-Fortescue_SDExport'!B:B),
    _xlpm.lookupKey, IF(_xlpm.isObject="Object",
        _xlfn.XLOOKUP($A58,'EA-ConnectorExport'!A:A,'EA-ConnectorExport'!D:D),
        $Q58
    ),
    _xlpm.result, _xlfn.XLOOKUP(_xlpm.lookupKey,'EA-Fortescue_SDExport'!A:A,'EA-Fortescue_SDExport'!AG:AG),
    IF(_xlpm.result=0,"",_xlpm.result)
)</f>
        <v/>
      </c>
      <c r="Y58" s="2" t="str">
        <f>_xlfn.LET(
    _xlpm.status, _xlfn.XLOOKUP($A58,'EA-ConnectorExport'!$A:$A,'EA-ConnectorExport'!G:G),
    _xlpm.result, _xlfn.XLOOKUP($A58,'EA-ConnectorExport'!$A:$A,'EA-ConnectorExport'!H:H),
    IF(_xlpm.status="allocate", _xlpm.result, "")
)</f>
        <v>855DC-1543-PPC Pit Power Capacity Planning Tool - Capacity Check</v>
      </c>
      <c r="Z58" s="2" t="str">
        <f>_xlfn.LET(
    _xlpm.isObject, _xlfn.XLOOKUP($Y58,'EA-Fortescue_SDExport'!A:A,'EA-Fortescue_SDExport'!B:B),
    _xlpm.lookupKey, IF(_xlpm.isObject="Object",
        _xlfn.XLOOKUP($A58,'EA-ConnectorExport'!A:A,'EA-ConnectorExport'!J:J),
        $Y58
    ),
    _xlpm.result, _xlfn.XLOOKUP(_xlpm.lookupKey,'EA-Fortescue_SDExport'!A:A,'EA-Fortescue_SDExport'!AA:AA),
    IF(_xlpm.result=0,"",_xlpm.result)
)</f>
        <v>Project</v>
      </c>
      <c r="AA58" s="2" t="str">
        <f>_xlfn.LET(_xlpm.result, _xlfn.XLOOKUP($Y58,'EA-Fortescue_SDExport'!$A:$A,'EA-Fortescue_SDExport'!AB:AB), IF(_xlpm.result=0,"",_xlpm.result))</f>
        <v>Operations Planning</v>
      </c>
      <c r="AB58" s="2" t="str">
        <f>_xlfn.LET(_xlpm.result, _xlfn.XLOOKUP($Y58,'EA-Fortescue_SDExport'!$A:$A,'EA-Fortescue_SDExport'!AC:AC), IF(_xlpm.result=0,"",_xlpm.result))</f>
        <v>AWS Fortescue Infrastructure</v>
      </c>
      <c r="AC58" s="2" t="str">
        <f>_xlfn.LET(
    _xlpm.isObject, _xlfn.XLOOKUP($Y58,'EA-Fortescue_SDExport'!A:A,'EA-Fortescue_SDExport'!B:B),
    _xlpm.lookupKey, IF(_xlpm.isObject="Object",
        _xlfn.XLOOKUP($A58,'EA-ConnectorExport'!A:A,'EA-ConnectorExport'!J:J),
        $Y58
    ),
    _xlpm.result, _xlfn.XLOOKUP(_xlpm.lookupKey,'EA-Fortescue_SDExport'!A:A,'EA-Fortescue_SDExport'!AD:AD),
    IF(_xlpm.result=0,"",_xlpm.result)
)</f>
        <v>855DC Decarb Green Systems</v>
      </c>
      <c r="AD58" s="2" t="str">
        <f>_xlfn.LET(
    _xlpm.isObject, _xlfn.XLOOKUP($Y58,'EA-Fortescue_SDExport'!A:A,'EA-Fortescue_SDExport'!B:B),
    _xlpm.lookupKey, IF(_xlpm.isObject="Object",
        _xlfn.XLOOKUP($A58,'EA-ConnectorExport'!A:A,'EA-ConnectorExport'!J:J),
        $Y58
    ),
    _xlpm.result, _xlfn.XLOOKUP(_xlpm.lookupKey,'EA-Fortescue_SDExport'!A:A,'EA-Fortescue_SDExport'!AE:AE),
    IF(_xlpm.result=0,"",_xlpm.result)
)</f>
        <v/>
      </c>
      <c r="AE58" s="2" t="str">
        <f>_xlfn.LET(
    _xlpm.isObject, _xlfn.XLOOKUP($Y58,'EA-Fortescue_SDExport'!A:A,'EA-Fortescue_SDExport'!B:B),
    _xlpm.lookupKey, IF(_xlpm.isObject="Object",
        _xlfn.XLOOKUP($A58,'EA-ConnectorExport'!A:A,'EA-ConnectorExport'!J:J),
        $Y58
    ),
    _xlpm.result, _xlfn.XLOOKUP(_xlpm.lookupKey,'EA-Fortescue_SDExport'!A:A,'EA-Fortescue_SDExport'!AF:AF),
    IF(_xlpm.result=0,"",_xlpm.result)
)</f>
        <v>855DC-1543-PPC Pit Power Capacity Planning Tool - Capacity Check</v>
      </c>
      <c r="AF58" s="2" t="str">
        <f>_xlfn.LET(
    _xlpm.isObject, _xlfn.XLOOKUP($Y58,'EA-Fortescue_SDExport'!A:A,'EA-Fortescue_SDExport'!B:B),
    _xlpm.lookupKey, IF(_xlpm.isObject="Object",
        _xlfn.XLOOKUP($A58,'EA-ConnectorExport'!A:A,'EA-ConnectorExport'!J:J),
        $Y58
    ),
    _xlpm.result, _xlfn.XLOOKUP(_xlpm.lookupKey,'EA-Fortescue_SDExport'!A:A,'EA-Fortescue_SDExport'!AG:AG),
    IF(_xlpm.result=0,"",_xlpm.result)
)</f>
        <v/>
      </c>
    </row>
    <row r="59" spans="1:32" ht="300" x14ac:dyDescent="0.25">
      <c r="A59" s="2" t="str">
        <v>DGS-I_0058</v>
      </c>
      <c r="B59" s="2" t="str">
        <f t="shared" si="0"/>
        <v>001OP-2001 Ore Processing Facility (OPF)|855DC-1543-PPC Pit Power Capacity Planning Tool - Capacity Check</v>
      </c>
      <c r="C59" s="2" t="str">
        <f>_xlfn.LET(_xlpm.result, _xlfn.XLOOKUP(A59,'EA-Fortescue_SDExport'!A:A,'EA-Fortescue_SDExport'!AM:AM), IF(_xlpm.result=0,"",_xlpm.result))</f>
        <v/>
      </c>
      <c r="D59" s="2" t="str">
        <f>_xlfn.LET(_xlpm.result, _xlfn.XLOOKUP(A59,'EA-Fortescue_SDExport'!A:A,'EA-Fortescue_SDExport'!AN:AN), IF(_xlpm.result=0,"",_xlpm.result))</f>
        <v/>
      </c>
      <c r="E59" s="2" t="str">
        <f>_xlfn.XLOOKUP(R59&amp;Z59,Lookups!A:A,Lookups!B:B)</f>
        <v>System - Project Interface</v>
      </c>
      <c r="F59" s="2" t="str">
        <f>_xlfn.LET(_xlpm.result, _xlfn.XLOOKUP(A59,'EA-Fortescue_SDExport'!A:A,'EA-Fortescue_SDExport'!AP:AP), IF(_xlpm.result=0,"",_xlpm.result))</f>
        <v>Technical - Data/Software</v>
      </c>
      <c r="G59" s="2" t="str">
        <f>IF(OR(AND(T59&lt;&gt;"", COUNTIF(Lookups!J:J, "*"&amp;T59&amp;"*")&gt;0), AND(AB59&lt;&gt;"", COUNTIF(Lookups!J:J, "*"&amp;AB59&amp;"*")&gt;0)), "Yes", "No")</f>
        <v>No</v>
      </c>
      <c r="H59" s="2" t="str">
        <f t="shared" si="1"/>
        <v>001OP Fixed Process Plant|855DC Decarb Green Systems</v>
      </c>
      <c r="I59" s="2" t="str">
        <f t="shared" si="2"/>
        <v>001OP-2001 Ore Processing Facility (OPF)|N/A</v>
      </c>
      <c r="J59" s="2" t="str">
        <f t="shared" si="3"/>
        <v>N/A|855DC-1543-PPC Pit Power Capacity Planning Tool - Capacity Check</v>
      </c>
      <c r="K59" s="2" t="str">
        <f>_xlfn.XLOOKUP(A59,'EA-Fortescue_SDExport'!A:A,'EA-Fortescue_SDExport'!N:N)</f>
        <v>Proposed</v>
      </c>
      <c r="L59" s="2" t="str">
        <f>_xlfn.LET(_xlpm.result, _xlfn.XLOOKUP($A59,'EA-Fortescue_SDExport'!$A:$A,'EA-Fortescue_SDExport'!AQ:AQ), IF(_xlpm.result=0,"",_xlpm.result))</f>
        <v>This interface provides the Pit Power Capacity Planning Tool - Capacity Check with electrical demand and operational data from the Ore Processing Facility (OPF), including load profiles, peak consumption, and equipment availability. The tool uses this information to evaluate pit network capacity and ensure safe, reliable power allocation. This interface is read-only and does not control the OPF.</v>
      </c>
      <c r="M59" s="2" t="str">
        <f>_xlfn.LET(_xlpm.result, _xlfn.XLOOKUP($A59,'EA-Fortescue_SDExport'!$A:$A,'EA-Fortescue_SDExport'!AR:AR), IF(_xlpm.result=0,"",_xlpm.result))</f>
        <v>HIGH</v>
      </c>
      <c r="N59" s="2" t="str">
        <f>_xlfn.LET(_xlpm.result, _xlfn.XLOOKUP($A59,'EA-Fortescue_SDExport'!$A:$A,'EA-Fortescue_SDExport'!AW:AW), IF(_xlpm.result=0,"",_xlpm.result))</f>
        <v>The criticality is HIGH because the OPF represents a major electrical load in the pit network. Accurate demand data is essential for the tool to prevent overloads and optimise power distribution.</v>
      </c>
      <c r="O59" s="2" t="str">
        <f>_xlfn.LET(_xlpm.result, _xlfn.XLOOKUP($A59,'EA-Fortescue_SDExport'!$A:$A,'EA-Fortescue_SDExport'!AV:AV), IF(_xlpm.result=0,"",_xlpm.result))</f>
        <v>Ore Processing Facility (OPF) -&gt; Pit Power Capacity Planning Tool - Capacity Check</v>
      </c>
      <c r="P59" s="2" t="str">
        <f>_xlfn.LET(_xlpm.result, _xlfn.XLOOKUP($A59,'EA-Fortescue_SDExport'!$A:$A,'EA-Fortescue_SDExport'!D:D),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59" s="2" t="str">
        <f>_xlfn.LET(
    _xlpm.status, _xlfn.XLOOKUP($A59,'EA-ConnectorExport'!$A:$A,'EA-ConnectorExport'!G:G),
    _xlpm.result, _xlfn.XLOOKUP($A59,'EA-ConnectorExport'!$A:$A,'EA-ConnectorExport'!B:B),
    IF(_xlpm.status="allocate", _xlpm.result, "")
)</f>
        <v>001OP-2001 Ore Processing Facility (OPF)</v>
      </c>
      <c r="R59" s="2" t="str">
        <f>IF(
    _xlfn.XLOOKUP($Q59,'EA-Fortescue_SDExport'!A:A,'EA-Fortescue_SDExport'!B:B)="Object",
    _xlfn.XLOOKUP(
        _xlfn.XLOOKUP($A59,'EA-ConnectorExport'!A:A,'EA-ConnectorExport'!D:D),
        'EA-Fortescue_SDExport'!A:A,
        'EA-Fortescue_SDExport'!AA:AA
    ),
    _xlfn.XLOOKUP($Q59,'EA-Fortescue_SDExport'!A:A,'EA-Fortescue_SDExport'!AA:AA)
)</f>
        <v>System</v>
      </c>
      <c r="S59" s="2" t="str">
        <f>_xlfn.LET(_xlpm.result, _xlfn.XLOOKUP($Q59,'EA-Fortescue_SDExport'!$A:$A,'EA-Fortescue_SDExport'!AB:AB), IF(_xlpm.result=0,"",_xlpm.result))</f>
        <v/>
      </c>
      <c r="T59" s="2" t="str">
        <f>_xlfn.LET(_xlpm.result, _xlfn.XLOOKUP($Q59,'EA-Fortescue_SDExport'!$A:$A,'EA-Fortescue_SDExport'!AC:AC), IF(_xlpm.result=0,"",_xlpm.result))</f>
        <v>Generic Physical Asset</v>
      </c>
      <c r="U59" s="2" t="str">
        <f>_xlfn.LET(
    _xlpm.isObject, _xlfn.XLOOKUP($Q59,'EA-Fortescue_SDExport'!A:A,'EA-Fortescue_SDExport'!B:B),
    _xlpm.lookupKey, IF(_xlpm.isObject="Object",
        _xlfn.XLOOKUP($A59,'EA-ConnectorExport'!A:A,'EA-ConnectorExport'!D:D),
        $Q59
    ),
    _xlpm.result, _xlfn.XLOOKUP(_xlpm.lookupKey,'EA-Fortescue_SDExport'!A:A,'EA-Fortescue_SDExport'!AD:AD),
    IF(_xlpm.result=0,"",_xlpm.result)
)</f>
        <v>001OP Fixed Process Plant</v>
      </c>
      <c r="V59" s="2" t="str">
        <f>_xlfn.LET(
    _xlpm.isObject, _xlfn.XLOOKUP($Q59,'EA-Fortescue_SDExport'!A:A,'EA-Fortescue_SDExport'!B:B),
    _xlpm.lookupKey, IF(_xlpm.isObject="Object",
        _xlfn.XLOOKUP($A59,'EA-ConnectorExport'!A:A,'EA-ConnectorExport'!D:D),
        $Q59
    ),
    _xlpm.result, _xlfn.XLOOKUP(_xlpm.lookupKey,'EA-Fortescue_SDExport'!A:A,'EA-Fortescue_SDExport'!AE:AE),
    IF(_xlpm.result=0,"",_xlpm.result)
)</f>
        <v>001OP-2001 Ore Processing Facility (OPF)</v>
      </c>
      <c r="W59" s="2" t="str">
        <f>_xlfn.LET(
    _xlpm.isObject, _xlfn.XLOOKUP($Q59,'EA-Fortescue_SDExport'!A:A,'EA-Fortescue_SDExport'!B:B),
    _xlpm.lookupKey, IF(_xlpm.isObject="Object",
        _xlfn.XLOOKUP($A59,'EA-ConnectorExport'!A:A,'EA-ConnectorExport'!D:D),
        $Q59
    ),
    _xlpm.result, _xlfn.XLOOKUP(_xlpm.lookupKey,'EA-Fortescue_SDExport'!A:A,'EA-Fortescue_SDExport'!AF:AF),
    IF(_xlpm.result=0,"",_xlpm.result)
)</f>
        <v/>
      </c>
      <c r="X59" s="2" t="str">
        <f>_xlfn.LET(
    _xlpm.isObject, _xlfn.XLOOKUP($Q59,'EA-Fortescue_SDExport'!A:A,'EA-Fortescue_SDExport'!B:B),
    _xlpm.lookupKey, IF(_xlpm.isObject="Object",
        _xlfn.XLOOKUP($A59,'EA-ConnectorExport'!A:A,'EA-ConnectorExport'!D:D),
        $Q59
    ),
    _xlpm.result, _xlfn.XLOOKUP(_xlpm.lookupKey,'EA-Fortescue_SDExport'!A:A,'EA-Fortescue_SDExport'!AG:AG),
    IF(_xlpm.result=0,"",_xlpm.result)
)</f>
        <v/>
      </c>
      <c r="Y59" s="2" t="str">
        <f>_xlfn.LET(
    _xlpm.status, _xlfn.XLOOKUP($A59,'EA-ConnectorExport'!$A:$A,'EA-ConnectorExport'!G:G),
    _xlpm.result, _xlfn.XLOOKUP($A59,'EA-ConnectorExport'!$A:$A,'EA-ConnectorExport'!H:H),
    IF(_xlpm.status="allocate", _xlpm.result, "")
)</f>
        <v>855DC-1543-PPC Pit Power Capacity Planning Tool - Capacity Check</v>
      </c>
      <c r="Z59" s="2" t="str">
        <f>_xlfn.LET(
    _xlpm.isObject, _xlfn.XLOOKUP($Y59,'EA-Fortescue_SDExport'!A:A,'EA-Fortescue_SDExport'!B:B),
    _xlpm.lookupKey, IF(_xlpm.isObject="Object",
        _xlfn.XLOOKUP($A59,'EA-ConnectorExport'!A:A,'EA-ConnectorExport'!J:J),
        $Y59
    ),
    _xlpm.result, _xlfn.XLOOKUP(_xlpm.lookupKey,'EA-Fortescue_SDExport'!A:A,'EA-Fortescue_SDExport'!AA:AA),
    IF(_xlpm.result=0,"",_xlpm.result)
)</f>
        <v>Project</v>
      </c>
      <c r="AA59" s="2" t="str">
        <f>_xlfn.LET(_xlpm.result, _xlfn.XLOOKUP($Y59,'EA-Fortescue_SDExport'!$A:$A,'EA-Fortescue_SDExport'!AB:AB), IF(_xlpm.result=0,"",_xlpm.result))</f>
        <v>Operations Planning</v>
      </c>
      <c r="AB59" s="2" t="str">
        <f>_xlfn.LET(_xlpm.result, _xlfn.XLOOKUP($Y59,'EA-Fortescue_SDExport'!$A:$A,'EA-Fortescue_SDExport'!AC:AC), IF(_xlpm.result=0,"",_xlpm.result))</f>
        <v>AWS Fortescue Infrastructure</v>
      </c>
      <c r="AC59" s="2" t="str">
        <f>_xlfn.LET(
    _xlpm.isObject, _xlfn.XLOOKUP($Y59,'EA-Fortescue_SDExport'!A:A,'EA-Fortescue_SDExport'!B:B),
    _xlpm.lookupKey, IF(_xlpm.isObject="Object",
        _xlfn.XLOOKUP($A59,'EA-ConnectorExport'!A:A,'EA-ConnectorExport'!J:J),
        $Y59
    ),
    _xlpm.result, _xlfn.XLOOKUP(_xlpm.lookupKey,'EA-Fortescue_SDExport'!A:A,'EA-Fortescue_SDExport'!AD:AD),
    IF(_xlpm.result=0,"",_xlpm.result)
)</f>
        <v>855DC Decarb Green Systems</v>
      </c>
      <c r="AD59" s="2" t="str">
        <f>_xlfn.LET(
    _xlpm.isObject, _xlfn.XLOOKUP($Y59,'EA-Fortescue_SDExport'!A:A,'EA-Fortescue_SDExport'!B:B),
    _xlpm.lookupKey, IF(_xlpm.isObject="Object",
        _xlfn.XLOOKUP($A59,'EA-ConnectorExport'!A:A,'EA-ConnectorExport'!J:J),
        $Y59
    ),
    _xlpm.result, _xlfn.XLOOKUP(_xlpm.lookupKey,'EA-Fortescue_SDExport'!A:A,'EA-Fortescue_SDExport'!AE:AE),
    IF(_xlpm.result=0,"",_xlpm.result)
)</f>
        <v/>
      </c>
      <c r="AE59" s="2" t="str">
        <f>_xlfn.LET(
    _xlpm.isObject, _xlfn.XLOOKUP($Y59,'EA-Fortescue_SDExport'!A:A,'EA-Fortescue_SDExport'!B:B),
    _xlpm.lookupKey, IF(_xlpm.isObject="Object",
        _xlfn.XLOOKUP($A59,'EA-ConnectorExport'!A:A,'EA-ConnectorExport'!J:J),
        $Y59
    ),
    _xlpm.result, _xlfn.XLOOKUP(_xlpm.lookupKey,'EA-Fortescue_SDExport'!A:A,'EA-Fortescue_SDExport'!AF:AF),
    IF(_xlpm.result=0,"",_xlpm.result)
)</f>
        <v>855DC-1543-PPC Pit Power Capacity Planning Tool - Capacity Check</v>
      </c>
      <c r="AF59" s="2" t="str">
        <f>_xlfn.LET(
    _xlpm.isObject, _xlfn.XLOOKUP($Y59,'EA-Fortescue_SDExport'!A:A,'EA-Fortescue_SDExport'!B:B),
    _xlpm.lookupKey, IF(_xlpm.isObject="Object",
        _xlfn.XLOOKUP($A59,'EA-ConnectorExport'!A:A,'EA-ConnectorExport'!J:J),
        $Y59
    ),
    _xlpm.result, _xlfn.XLOOKUP(_xlpm.lookupKey,'EA-Fortescue_SDExport'!A:A,'EA-Fortescue_SDExport'!AG:AG),
    IF(_xlpm.result=0,"",_xlpm.result)
)</f>
        <v/>
      </c>
    </row>
    <row r="60" spans="1:32" ht="300" x14ac:dyDescent="0.25">
      <c r="A60" s="2" t="str">
        <v>DGS-I_0059</v>
      </c>
      <c r="B60" s="2" t="str">
        <f t="shared" si="0"/>
        <v>001OP-2110 Primary Crusher|855DC-1543-PPC Pit Power Capacity Planning Tool - Capacity Check</v>
      </c>
      <c r="C60" s="2" t="str">
        <f>_xlfn.LET(_xlpm.result, _xlfn.XLOOKUP(A60,'EA-Fortescue_SDExport'!A:A,'EA-Fortescue_SDExport'!AM:AM), IF(_xlpm.result=0,"",_xlpm.result))</f>
        <v/>
      </c>
      <c r="D60" s="2" t="str">
        <f>_xlfn.LET(_xlpm.result, _xlfn.XLOOKUP(A60,'EA-Fortescue_SDExport'!A:A,'EA-Fortescue_SDExport'!AN:AN), IF(_xlpm.result=0,"",_xlpm.result))</f>
        <v/>
      </c>
      <c r="E60" s="2" t="str">
        <f>_xlfn.XLOOKUP(R60&amp;Z60,Lookups!A:A,Lookups!B:B)</f>
        <v>System - Project Interface</v>
      </c>
      <c r="F60" s="2" t="str">
        <f>_xlfn.LET(_xlpm.result, _xlfn.XLOOKUP(A60,'EA-Fortescue_SDExport'!A:A,'EA-Fortescue_SDExport'!AP:AP), IF(_xlpm.result=0,"",_xlpm.result))</f>
        <v>Technical - Data/Software</v>
      </c>
      <c r="G60" s="2" t="str">
        <f>IF(OR(AND(T60&lt;&gt;"", COUNTIF(Lookups!J:J, "*"&amp;T60&amp;"*")&gt;0), AND(AB60&lt;&gt;"", COUNTIF(Lookups!J:J, "*"&amp;AB60&amp;"*")&gt;0)), "Yes", "No")</f>
        <v>No</v>
      </c>
      <c r="H60" s="2" t="str">
        <f t="shared" si="1"/>
        <v>001OP Fixed Process Plant|855DC Decarb Green Systems</v>
      </c>
      <c r="I60" s="2" t="str">
        <f t="shared" si="2"/>
        <v>001OP-2110 Primary Crusher|N/A</v>
      </c>
      <c r="J60" s="2" t="str">
        <f t="shared" si="3"/>
        <v>N/A|855DC-1543-PPC Pit Power Capacity Planning Tool - Capacity Check</v>
      </c>
      <c r="K60" s="2" t="str">
        <f>_xlfn.XLOOKUP(A60,'EA-Fortescue_SDExport'!A:A,'EA-Fortescue_SDExport'!N:N)</f>
        <v>Proposed</v>
      </c>
      <c r="L60" s="2" t="str">
        <f>_xlfn.LET(_xlpm.result, _xlfn.XLOOKUP($A60,'EA-Fortescue_SDExport'!$A:$A,'EA-Fortescue_SDExport'!AQ:AQ), IF(_xlpm.result=0,"",_xlpm.result))</f>
        <v>This interface provides the Pit Power Capacity Planning Tool - Capacity Check with electrical load and operational data from the Primary Crusher, including throughput-dependent power demand, peak consumption periods, and equipment availability. The tool uses this data to assess pit network capacity and maintain safe power allocation. This interface is read-only and does not control the Primary Crusher.</v>
      </c>
      <c r="M60" s="2" t="str">
        <f>_xlfn.LET(_xlpm.result, _xlfn.XLOOKUP($A60,'EA-Fortescue_SDExport'!$A:$A,'EA-Fortescue_SDExport'!AR:AR), IF(_xlpm.result=0,"",_xlpm.result))</f>
        <v>HIGH</v>
      </c>
      <c r="N60" s="2" t="str">
        <f>_xlfn.LET(_xlpm.result, _xlfn.XLOOKUP($A60,'EA-Fortescue_SDExport'!$A:$A,'EA-Fortescue_SDExport'!AW:AW), IF(_xlpm.result=0,"",_xlpm.result))</f>
        <v>The criticality is HIGH because the Primary Crusher is a significant electrical load in the pit. Accurate, timely data is required to prevent overloads and support reliable power management in the pit network.</v>
      </c>
      <c r="O60" s="2" t="str">
        <f>_xlfn.LET(_xlpm.result, _xlfn.XLOOKUP($A60,'EA-Fortescue_SDExport'!$A:$A,'EA-Fortescue_SDExport'!AV:AV), IF(_xlpm.result=0,"",_xlpm.result))</f>
        <v>Primary Crusher -&gt; Pit Power Capacity Planning Tool - Capacity Check</v>
      </c>
      <c r="P60" s="2" t="str">
        <f>_xlfn.LET(_xlpm.result, _xlfn.XLOOKUP($A60,'EA-Fortescue_SDExport'!$A:$A,'EA-Fortescue_SDExport'!D:D),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60" s="2" t="str">
        <f>_xlfn.LET(
    _xlpm.status, _xlfn.XLOOKUP($A60,'EA-ConnectorExport'!$A:$A,'EA-ConnectorExport'!G:G),
    _xlpm.result, _xlfn.XLOOKUP($A60,'EA-ConnectorExport'!$A:$A,'EA-ConnectorExport'!B:B),
    IF(_xlpm.status="allocate", _xlpm.result, "")
)</f>
        <v>001OP-2110 Primary Crusher</v>
      </c>
      <c r="R60" s="2" t="str">
        <f>IF(
    _xlfn.XLOOKUP($Q60,'EA-Fortescue_SDExport'!A:A,'EA-Fortescue_SDExport'!B:B)="Object",
    _xlfn.XLOOKUP(
        _xlfn.XLOOKUP($A60,'EA-ConnectorExport'!A:A,'EA-ConnectorExport'!D:D),
        'EA-Fortescue_SDExport'!A:A,
        'EA-Fortescue_SDExport'!AA:AA
    ),
    _xlfn.XLOOKUP($Q60,'EA-Fortescue_SDExport'!A:A,'EA-Fortescue_SDExport'!AA:AA)
)</f>
        <v>System</v>
      </c>
      <c r="S60" s="2" t="str">
        <f>_xlfn.LET(_xlpm.result, _xlfn.XLOOKUP($Q60,'EA-Fortescue_SDExport'!$A:$A,'EA-Fortescue_SDExport'!AB:AB), IF(_xlpm.result=0,"",_xlpm.result))</f>
        <v/>
      </c>
      <c r="T60" s="2" t="str">
        <f>_xlfn.LET(_xlpm.result, _xlfn.XLOOKUP($Q60,'EA-Fortescue_SDExport'!$A:$A,'EA-Fortescue_SDExport'!AC:AC), IF(_xlpm.result=0,"",_xlpm.result))</f>
        <v>Generic Physical Asset</v>
      </c>
      <c r="U60" s="2" t="str">
        <f>_xlfn.LET(
    _xlpm.isObject, _xlfn.XLOOKUP($Q60,'EA-Fortescue_SDExport'!A:A,'EA-Fortescue_SDExport'!B:B),
    _xlpm.lookupKey, IF(_xlpm.isObject="Object",
        _xlfn.XLOOKUP($A60,'EA-ConnectorExport'!A:A,'EA-ConnectorExport'!D:D),
        $Q60
    ),
    _xlpm.result, _xlfn.XLOOKUP(_xlpm.lookupKey,'EA-Fortescue_SDExport'!A:A,'EA-Fortescue_SDExport'!AD:AD),
    IF(_xlpm.result=0,"",_xlpm.result)
)</f>
        <v>001OP Fixed Process Plant</v>
      </c>
      <c r="V60" s="2" t="str">
        <f>_xlfn.LET(
    _xlpm.isObject, _xlfn.XLOOKUP($Q60,'EA-Fortescue_SDExport'!A:A,'EA-Fortescue_SDExport'!B:B),
    _xlpm.lookupKey, IF(_xlpm.isObject="Object",
        _xlfn.XLOOKUP($A60,'EA-ConnectorExport'!A:A,'EA-ConnectorExport'!D:D),
        $Q60
    ),
    _xlpm.result, _xlfn.XLOOKUP(_xlpm.lookupKey,'EA-Fortescue_SDExport'!A:A,'EA-Fortescue_SDExport'!AE:AE),
    IF(_xlpm.result=0,"",_xlpm.result)
)</f>
        <v>001OP-2110 Primary Crusher</v>
      </c>
      <c r="W60" s="2" t="str">
        <f>_xlfn.LET(
    _xlpm.isObject, _xlfn.XLOOKUP($Q60,'EA-Fortescue_SDExport'!A:A,'EA-Fortescue_SDExport'!B:B),
    _xlpm.lookupKey, IF(_xlpm.isObject="Object",
        _xlfn.XLOOKUP($A60,'EA-ConnectorExport'!A:A,'EA-ConnectorExport'!D:D),
        $Q60
    ),
    _xlpm.result, _xlfn.XLOOKUP(_xlpm.lookupKey,'EA-Fortescue_SDExport'!A:A,'EA-Fortescue_SDExport'!AF:AF),
    IF(_xlpm.result=0,"",_xlpm.result)
)</f>
        <v/>
      </c>
      <c r="X60" s="2" t="str">
        <f>_xlfn.LET(
    _xlpm.isObject, _xlfn.XLOOKUP($Q60,'EA-Fortescue_SDExport'!A:A,'EA-Fortescue_SDExport'!B:B),
    _xlpm.lookupKey, IF(_xlpm.isObject="Object",
        _xlfn.XLOOKUP($A60,'EA-ConnectorExport'!A:A,'EA-ConnectorExport'!D:D),
        $Q60
    ),
    _xlpm.result, _xlfn.XLOOKUP(_xlpm.lookupKey,'EA-Fortescue_SDExport'!A:A,'EA-Fortescue_SDExport'!AG:AG),
    IF(_xlpm.result=0,"",_xlpm.result)
)</f>
        <v/>
      </c>
      <c r="Y60" s="2" t="str">
        <f>_xlfn.LET(
    _xlpm.status, _xlfn.XLOOKUP($A60,'EA-ConnectorExport'!$A:$A,'EA-ConnectorExport'!G:G),
    _xlpm.result, _xlfn.XLOOKUP($A60,'EA-ConnectorExport'!$A:$A,'EA-ConnectorExport'!H:H),
    IF(_xlpm.status="allocate", _xlpm.result, "")
)</f>
        <v>855DC-1543-PPC Pit Power Capacity Planning Tool - Capacity Check</v>
      </c>
      <c r="Z60" s="2" t="str">
        <f>_xlfn.LET(
    _xlpm.isObject, _xlfn.XLOOKUP($Y60,'EA-Fortescue_SDExport'!A:A,'EA-Fortescue_SDExport'!B:B),
    _xlpm.lookupKey, IF(_xlpm.isObject="Object",
        _xlfn.XLOOKUP($A60,'EA-ConnectorExport'!A:A,'EA-ConnectorExport'!J:J),
        $Y60
    ),
    _xlpm.result, _xlfn.XLOOKUP(_xlpm.lookupKey,'EA-Fortescue_SDExport'!A:A,'EA-Fortescue_SDExport'!AA:AA),
    IF(_xlpm.result=0,"",_xlpm.result)
)</f>
        <v>Project</v>
      </c>
      <c r="AA60" s="2" t="str">
        <f>_xlfn.LET(_xlpm.result, _xlfn.XLOOKUP($Y60,'EA-Fortescue_SDExport'!$A:$A,'EA-Fortescue_SDExport'!AB:AB), IF(_xlpm.result=0,"",_xlpm.result))</f>
        <v>Operations Planning</v>
      </c>
      <c r="AB60" s="2" t="str">
        <f>_xlfn.LET(_xlpm.result, _xlfn.XLOOKUP($Y60,'EA-Fortescue_SDExport'!$A:$A,'EA-Fortescue_SDExport'!AC:AC), IF(_xlpm.result=0,"",_xlpm.result))</f>
        <v>AWS Fortescue Infrastructure</v>
      </c>
      <c r="AC60" s="2" t="str">
        <f>_xlfn.LET(
    _xlpm.isObject, _xlfn.XLOOKUP($Y60,'EA-Fortescue_SDExport'!A:A,'EA-Fortescue_SDExport'!B:B),
    _xlpm.lookupKey, IF(_xlpm.isObject="Object",
        _xlfn.XLOOKUP($A60,'EA-ConnectorExport'!A:A,'EA-ConnectorExport'!J:J),
        $Y60
    ),
    _xlpm.result, _xlfn.XLOOKUP(_xlpm.lookupKey,'EA-Fortescue_SDExport'!A:A,'EA-Fortescue_SDExport'!AD:AD),
    IF(_xlpm.result=0,"",_xlpm.result)
)</f>
        <v>855DC Decarb Green Systems</v>
      </c>
      <c r="AD60" s="2" t="str">
        <f>_xlfn.LET(
    _xlpm.isObject, _xlfn.XLOOKUP($Y60,'EA-Fortescue_SDExport'!A:A,'EA-Fortescue_SDExport'!B:B),
    _xlpm.lookupKey, IF(_xlpm.isObject="Object",
        _xlfn.XLOOKUP($A60,'EA-ConnectorExport'!A:A,'EA-ConnectorExport'!J:J),
        $Y60
    ),
    _xlpm.result, _xlfn.XLOOKUP(_xlpm.lookupKey,'EA-Fortescue_SDExport'!A:A,'EA-Fortescue_SDExport'!AE:AE),
    IF(_xlpm.result=0,"",_xlpm.result)
)</f>
        <v/>
      </c>
      <c r="AE60" s="2" t="str">
        <f>_xlfn.LET(
    _xlpm.isObject, _xlfn.XLOOKUP($Y60,'EA-Fortescue_SDExport'!A:A,'EA-Fortescue_SDExport'!B:B),
    _xlpm.lookupKey, IF(_xlpm.isObject="Object",
        _xlfn.XLOOKUP($A60,'EA-ConnectorExport'!A:A,'EA-ConnectorExport'!J:J),
        $Y60
    ),
    _xlpm.result, _xlfn.XLOOKUP(_xlpm.lookupKey,'EA-Fortescue_SDExport'!A:A,'EA-Fortescue_SDExport'!AF:AF),
    IF(_xlpm.result=0,"",_xlpm.result)
)</f>
        <v>855DC-1543-PPC Pit Power Capacity Planning Tool - Capacity Check</v>
      </c>
      <c r="AF60" s="2" t="str">
        <f>_xlfn.LET(
    _xlpm.isObject, _xlfn.XLOOKUP($Y60,'EA-Fortescue_SDExport'!A:A,'EA-Fortescue_SDExport'!B:B),
    _xlpm.lookupKey, IF(_xlpm.isObject="Object",
        _xlfn.XLOOKUP($A60,'EA-ConnectorExport'!A:A,'EA-ConnectorExport'!J:J),
        $Y60
    ),
    _xlpm.result, _xlfn.XLOOKUP(_xlpm.lookupKey,'EA-Fortescue_SDExport'!A:A,'EA-Fortescue_SDExport'!AG:AG),
    IF(_xlpm.result=0,"",_xlpm.result)
)</f>
        <v/>
      </c>
    </row>
    <row r="61" spans="1:32" ht="300" x14ac:dyDescent="0.25">
      <c r="A61" s="2" t="str">
        <v>DGS-I_0060</v>
      </c>
      <c r="B61" s="2" t="str">
        <f t="shared" si="0"/>
        <v>001OP-2003 Concentrate Handling Facility (CHF)|855DC-1543-PPC Pit Power Capacity Planning Tool - Capacity Check</v>
      </c>
      <c r="C61" s="2" t="str">
        <f>_xlfn.LET(_xlpm.result, _xlfn.XLOOKUP(A61,'EA-Fortescue_SDExport'!A:A,'EA-Fortescue_SDExport'!AM:AM), IF(_xlpm.result=0,"",_xlpm.result))</f>
        <v/>
      </c>
      <c r="D61" s="2" t="str">
        <f>_xlfn.LET(_xlpm.result, _xlfn.XLOOKUP(A61,'EA-Fortescue_SDExport'!A:A,'EA-Fortescue_SDExport'!AN:AN), IF(_xlpm.result=0,"",_xlpm.result))</f>
        <v/>
      </c>
      <c r="E61" s="2" t="str">
        <f>_xlfn.XLOOKUP(R61&amp;Z61,Lookups!A:A,Lookups!B:B)</f>
        <v>System - Project Interface</v>
      </c>
      <c r="F61" s="2" t="str">
        <f>_xlfn.LET(_xlpm.result, _xlfn.XLOOKUP(A61,'EA-Fortescue_SDExport'!A:A,'EA-Fortescue_SDExport'!AP:AP), IF(_xlpm.result=0,"",_xlpm.result))</f>
        <v>Technical - Data/Software</v>
      </c>
      <c r="G61" s="2" t="str">
        <f>IF(OR(AND(T61&lt;&gt;"", COUNTIF(Lookups!J:J, "*"&amp;T61&amp;"*")&gt;0), AND(AB61&lt;&gt;"", COUNTIF(Lookups!J:J, "*"&amp;AB61&amp;"*")&gt;0)), "Yes", "No")</f>
        <v>No</v>
      </c>
      <c r="H61" s="2" t="str">
        <f t="shared" si="1"/>
        <v>001OP Fixed Process Plant|855DC Decarb Green Systems</v>
      </c>
      <c r="I61" s="2" t="str">
        <f t="shared" si="2"/>
        <v>001OP-2003 Concentrate Handling Facility (CHF)|N/A</v>
      </c>
      <c r="J61" s="2" t="str">
        <f t="shared" si="3"/>
        <v>N/A|855DC-1543-PPC Pit Power Capacity Planning Tool - Capacity Check</v>
      </c>
      <c r="K61" s="2" t="str">
        <f>_xlfn.XLOOKUP(A61,'EA-Fortescue_SDExport'!A:A,'EA-Fortescue_SDExport'!N:N)</f>
        <v>Proposed</v>
      </c>
      <c r="L61" s="2" t="str">
        <f>_xlfn.LET(_xlpm.result, _xlfn.XLOOKUP($A61,'EA-Fortescue_SDExport'!$A:$A,'EA-Fortescue_SDExport'!AQ:AQ), IF(_xlpm.result=0,"",_xlpm.result))</f>
        <v>This interface provides the Pit Power Capacity Planning Tool - Capacity Check with electrical load and operational data from the Concentrate Handling Facility (CHF), including material handling systems, and peak power demands. The tool uses this information to assess pit network capacity and support safe, reliable power allocation. This interface is read-only and does not control the CHF.</v>
      </c>
      <c r="M61" s="2" t="str">
        <f>_xlfn.LET(_xlpm.result, _xlfn.XLOOKUP($A61,'EA-Fortescue_SDExport'!$A:$A,'EA-Fortescue_SDExport'!AR:AR), IF(_xlpm.result=0,"",_xlpm.result))</f>
        <v>HIGH</v>
      </c>
      <c r="N61" s="2" t="str">
        <f>_xlfn.LET(_xlpm.result, _xlfn.XLOOKUP($A61,'EA-Fortescue_SDExport'!$A:$A,'EA-Fortescue_SDExport'!AW:AW), IF(_xlpm.result=0,"",_xlpm.result))</f>
        <v>The criticality is HIGH because the CHF represents a substantial and variable electrical load. Accurate, timely data is essential to prevent pit network overloads and maintain operational reliability.</v>
      </c>
      <c r="O61" s="2" t="str">
        <f>_xlfn.LET(_xlpm.result, _xlfn.XLOOKUP($A61,'EA-Fortescue_SDExport'!$A:$A,'EA-Fortescue_SDExport'!AV:AV), IF(_xlpm.result=0,"",_xlpm.result))</f>
        <v>Concentrate Handling Facility (CHF) -&gt; Pit Power Capacity Planning Tool - Capacity Check</v>
      </c>
      <c r="P61" s="2" t="str">
        <f>_xlfn.LET(_xlpm.result, _xlfn.XLOOKUP($A61,'EA-Fortescue_SDExport'!$A:$A,'EA-Fortescue_SDExport'!D:D),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61" s="2" t="str">
        <f>_xlfn.LET(
    _xlpm.status, _xlfn.XLOOKUP($A61,'EA-ConnectorExport'!$A:$A,'EA-ConnectorExport'!G:G),
    _xlpm.result, _xlfn.XLOOKUP($A61,'EA-ConnectorExport'!$A:$A,'EA-ConnectorExport'!B:B),
    IF(_xlpm.status="allocate", _xlpm.result, "")
)</f>
        <v>001OP-2003 Concentrate Handling Facility (CHF)</v>
      </c>
      <c r="R61" s="2" t="str">
        <f>IF(
    _xlfn.XLOOKUP($Q61,'EA-Fortescue_SDExport'!A:A,'EA-Fortescue_SDExport'!B:B)="Object",
    _xlfn.XLOOKUP(
        _xlfn.XLOOKUP($A61,'EA-ConnectorExport'!A:A,'EA-ConnectorExport'!D:D),
        'EA-Fortescue_SDExport'!A:A,
        'EA-Fortescue_SDExport'!AA:AA
    ),
    _xlfn.XLOOKUP($Q61,'EA-Fortescue_SDExport'!A:A,'EA-Fortescue_SDExport'!AA:AA)
)</f>
        <v>System</v>
      </c>
      <c r="S61" s="2" t="str">
        <f>_xlfn.LET(_xlpm.result, _xlfn.XLOOKUP($Q61,'EA-Fortescue_SDExport'!$A:$A,'EA-Fortescue_SDExport'!AB:AB), IF(_xlpm.result=0,"",_xlpm.result))</f>
        <v/>
      </c>
      <c r="T61" s="2" t="str">
        <f>_xlfn.LET(_xlpm.result, _xlfn.XLOOKUP($Q61,'EA-Fortescue_SDExport'!$A:$A,'EA-Fortescue_SDExport'!AC:AC), IF(_xlpm.result=0,"",_xlpm.result))</f>
        <v>Generic Physical Asset</v>
      </c>
      <c r="U61" s="2" t="str">
        <f>_xlfn.LET(
    _xlpm.isObject, _xlfn.XLOOKUP($Q61,'EA-Fortescue_SDExport'!A:A,'EA-Fortescue_SDExport'!B:B),
    _xlpm.lookupKey, IF(_xlpm.isObject="Object",
        _xlfn.XLOOKUP($A61,'EA-ConnectorExport'!A:A,'EA-ConnectorExport'!D:D),
        $Q61
    ),
    _xlpm.result, _xlfn.XLOOKUP(_xlpm.lookupKey,'EA-Fortescue_SDExport'!A:A,'EA-Fortescue_SDExport'!AD:AD),
    IF(_xlpm.result=0,"",_xlpm.result)
)</f>
        <v>001OP Fixed Process Plant</v>
      </c>
      <c r="V61" s="2" t="str">
        <f>_xlfn.LET(
    _xlpm.isObject, _xlfn.XLOOKUP($Q61,'EA-Fortescue_SDExport'!A:A,'EA-Fortescue_SDExport'!B:B),
    _xlpm.lookupKey, IF(_xlpm.isObject="Object",
        _xlfn.XLOOKUP($A61,'EA-ConnectorExport'!A:A,'EA-ConnectorExport'!D:D),
        $Q61
    ),
    _xlpm.result, _xlfn.XLOOKUP(_xlpm.lookupKey,'EA-Fortescue_SDExport'!A:A,'EA-Fortescue_SDExport'!AE:AE),
    IF(_xlpm.result=0,"",_xlpm.result)
)</f>
        <v>001OP-2003 Concentrate Handling Facility (CHF)</v>
      </c>
      <c r="W61" s="2" t="str">
        <f>_xlfn.LET(
    _xlpm.isObject, _xlfn.XLOOKUP($Q61,'EA-Fortescue_SDExport'!A:A,'EA-Fortescue_SDExport'!B:B),
    _xlpm.lookupKey, IF(_xlpm.isObject="Object",
        _xlfn.XLOOKUP($A61,'EA-ConnectorExport'!A:A,'EA-ConnectorExport'!D:D),
        $Q61
    ),
    _xlpm.result, _xlfn.XLOOKUP(_xlpm.lookupKey,'EA-Fortescue_SDExport'!A:A,'EA-Fortescue_SDExport'!AF:AF),
    IF(_xlpm.result=0,"",_xlpm.result)
)</f>
        <v/>
      </c>
      <c r="X61" s="2" t="str">
        <f>_xlfn.LET(
    _xlpm.isObject, _xlfn.XLOOKUP($Q61,'EA-Fortescue_SDExport'!A:A,'EA-Fortescue_SDExport'!B:B),
    _xlpm.lookupKey, IF(_xlpm.isObject="Object",
        _xlfn.XLOOKUP($A61,'EA-ConnectorExport'!A:A,'EA-ConnectorExport'!D:D),
        $Q61
    ),
    _xlpm.result, _xlfn.XLOOKUP(_xlpm.lookupKey,'EA-Fortescue_SDExport'!A:A,'EA-Fortescue_SDExport'!AG:AG),
    IF(_xlpm.result=0,"",_xlpm.result)
)</f>
        <v/>
      </c>
      <c r="Y61" s="2" t="str">
        <f>_xlfn.LET(
    _xlpm.status, _xlfn.XLOOKUP($A61,'EA-ConnectorExport'!$A:$A,'EA-ConnectorExport'!G:G),
    _xlpm.result, _xlfn.XLOOKUP($A61,'EA-ConnectorExport'!$A:$A,'EA-ConnectorExport'!H:H),
    IF(_xlpm.status="allocate", _xlpm.result, "")
)</f>
        <v>855DC-1543-PPC Pit Power Capacity Planning Tool - Capacity Check</v>
      </c>
      <c r="Z61" s="2" t="str">
        <f>_xlfn.LET(
    _xlpm.isObject, _xlfn.XLOOKUP($Y61,'EA-Fortescue_SDExport'!A:A,'EA-Fortescue_SDExport'!B:B),
    _xlpm.lookupKey, IF(_xlpm.isObject="Object",
        _xlfn.XLOOKUP($A61,'EA-ConnectorExport'!A:A,'EA-ConnectorExport'!J:J),
        $Y61
    ),
    _xlpm.result, _xlfn.XLOOKUP(_xlpm.lookupKey,'EA-Fortescue_SDExport'!A:A,'EA-Fortescue_SDExport'!AA:AA),
    IF(_xlpm.result=0,"",_xlpm.result)
)</f>
        <v>Project</v>
      </c>
      <c r="AA61" s="2" t="str">
        <f>_xlfn.LET(_xlpm.result, _xlfn.XLOOKUP($Y61,'EA-Fortescue_SDExport'!$A:$A,'EA-Fortescue_SDExport'!AB:AB), IF(_xlpm.result=0,"",_xlpm.result))</f>
        <v>Operations Planning</v>
      </c>
      <c r="AB61" s="2" t="str">
        <f>_xlfn.LET(_xlpm.result, _xlfn.XLOOKUP($Y61,'EA-Fortescue_SDExport'!$A:$A,'EA-Fortescue_SDExport'!AC:AC), IF(_xlpm.result=0,"",_xlpm.result))</f>
        <v>AWS Fortescue Infrastructure</v>
      </c>
      <c r="AC61" s="2" t="str">
        <f>_xlfn.LET(
    _xlpm.isObject, _xlfn.XLOOKUP($Y61,'EA-Fortescue_SDExport'!A:A,'EA-Fortescue_SDExport'!B:B),
    _xlpm.lookupKey, IF(_xlpm.isObject="Object",
        _xlfn.XLOOKUP($A61,'EA-ConnectorExport'!A:A,'EA-ConnectorExport'!J:J),
        $Y61
    ),
    _xlpm.result, _xlfn.XLOOKUP(_xlpm.lookupKey,'EA-Fortescue_SDExport'!A:A,'EA-Fortescue_SDExport'!AD:AD),
    IF(_xlpm.result=0,"",_xlpm.result)
)</f>
        <v>855DC Decarb Green Systems</v>
      </c>
      <c r="AD61" s="2" t="str">
        <f>_xlfn.LET(
    _xlpm.isObject, _xlfn.XLOOKUP($Y61,'EA-Fortescue_SDExport'!A:A,'EA-Fortescue_SDExport'!B:B),
    _xlpm.lookupKey, IF(_xlpm.isObject="Object",
        _xlfn.XLOOKUP($A61,'EA-ConnectorExport'!A:A,'EA-ConnectorExport'!J:J),
        $Y61
    ),
    _xlpm.result, _xlfn.XLOOKUP(_xlpm.lookupKey,'EA-Fortescue_SDExport'!A:A,'EA-Fortescue_SDExport'!AE:AE),
    IF(_xlpm.result=0,"",_xlpm.result)
)</f>
        <v/>
      </c>
      <c r="AE61" s="2" t="str">
        <f>_xlfn.LET(
    _xlpm.isObject, _xlfn.XLOOKUP($Y61,'EA-Fortescue_SDExport'!A:A,'EA-Fortescue_SDExport'!B:B),
    _xlpm.lookupKey, IF(_xlpm.isObject="Object",
        _xlfn.XLOOKUP($A61,'EA-ConnectorExport'!A:A,'EA-ConnectorExport'!J:J),
        $Y61
    ),
    _xlpm.result, _xlfn.XLOOKUP(_xlpm.lookupKey,'EA-Fortescue_SDExport'!A:A,'EA-Fortescue_SDExport'!AF:AF),
    IF(_xlpm.result=0,"",_xlpm.result)
)</f>
        <v>855DC-1543-PPC Pit Power Capacity Planning Tool - Capacity Check</v>
      </c>
      <c r="AF61" s="2" t="str">
        <f>_xlfn.LET(
    _xlpm.isObject, _xlfn.XLOOKUP($Y61,'EA-Fortescue_SDExport'!A:A,'EA-Fortescue_SDExport'!B:B),
    _xlpm.lookupKey, IF(_xlpm.isObject="Object",
        _xlfn.XLOOKUP($A61,'EA-ConnectorExport'!A:A,'EA-ConnectorExport'!J:J),
        $Y61
    ),
    _xlpm.result, _xlfn.XLOOKUP(_xlpm.lookupKey,'EA-Fortescue_SDExport'!A:A,'EA-Fortescue_SDExport'!AG:AG),
    IF(_xlpm.result=0,"",_xlpm.result)
)</f>
        <v/>
      </c>
    </row>
    <row r="62" spans="1:32" ht="330" x14ac:dyDescent="0.25">
      <c r="A62" s="2" t="str">
        <v>DGS-I_0061</v>
      </c>
      <c r="B62" s="2" t="str">
        <f t="shared" si="0"/>
        <v>001OP-3720 Concentrate Pipeline|855DC-1543-PPC Pit Power Capacity Planning Tool - Capacity Check</v>
      </c>
      <c r="C62" s="2" t="str">
        <f>_xlfn.LET(_xlpm.result, _xlfn.XLOOKUP(A62,'EA-Fortescue_SDExport'!A:A,'EA-Fortescue_SDExport'!AM:AM), IF(_xlpm.result=0,"",_xlpm.result))</f>
        <v/>
      </c>
      <c r="D62" s="2" t="str">
        <f>_xlfn.LET(_xlpm.result, _xlfn.XLOOKUP(A62,'EA-Fortescue_SDExport'!A:A,'EA-Fortescue_SDExport'!AN:AN), IF(_xlpm.result=0,"",_xlpm.result))</f>
        <v/>
      </c>
      <c r="E62" s="2" t="str">
        <f>_xlfn.XLOOKUP(R62&amp;Z62,Lookups!A:A,Lookups!B:B)</f>
        <v>System - Project Interface</v>
      </c>
      <c r="F62" s="2" t="str">
        <f>_xlfn.LET(_xlpm.result, _xlfn.XLOOKUP(A62,'EA-Fortescue_SDExport'!A:A,'EA-Fortescue_SDExport'!AP:AP), IF(_xlpm.result=0,"",_xlpm.result))</f>
        <v>Technical - Data/Software</v>
      </c>
      <c r="G62" s="2" t="str">
        <f>IF(OR(AND(T62&lt;&gt;"", COUNTIF(Lookups!J:J, "*"&amp;T62&amp;"*")&gt;0), AND(AB62&lt;&gt;"", COUNTIF(Lookups!J:J, "*"&amp;AB62&amp;"*")&gt;0)), "Yes", "No")</f>
        <v>No</v>
      </c>
      <c r="H62" s="2" t="str">
        <f t="shared" si="1"/>
        <v>001OP Fixed Process Plant|855DC Decarb Green Systems</v>
      </c>
      <c r="I62" s="2" t="str">
        <f t="shared" si="2"/>
        <v>001OP-3720 Concentrate Pipeline|N/A</v>
      </c>
      <c r="J62" s="2" t="str">
        <f t="shared" si="3"/>
        <v>N/A|855DC-1543-PPC Pit Power Capacity Planning Tool - Capacity Check</v>
      </c>
      <c r="K62" s="2" t="str">
        <f>_xlfn.XLOOKUP(A62,'EA-Fortescue_SDExport'!A:A,'EA-Fortescue_SDExport'!N:N)</f>
        <v>Proposed</v>
      </c>
      <c r="L62" s="2" t="str">
        <f>_xlfn.LET(_xlpm.result, _xlfn.XLOOKUP($A62,'EA-Fortescue_SDExport'!$A:$A,'EA-Fortescue_SDExport'!AQ:AQ), IF(_xlpm.result=0,"",_xlpm.result))</f>
        <v>This interface provides the Pit Power Capacity Planning Tool - Capacity Check with electrical load and operational data from the Concentrate Pipeline, including pumping system demand, flow rates, and peak power requirements. The tool uses this information to evaluate pit network capacity and ensure safe, reliable power allocation. This interface is read-only and does not control the Concentrate Pipeline.</v>
      </c>
      <c r="M62" s="2" t="str">
        <f>_xlfn.LET(_xlpm.result, _xlfn.XLOOKUP($A62,'EA-Fortescue_SDExport'!$A:$A,'EA-Fortescue_SDExport'!AR:AR), IF(_xlpm.result=0,"",_xlpm.result))</f>
        <v>MEDIUM</v>
      </c>
      <c r="N62" s="2" t="str">
        <f>_xlfn.LET(_xlpm.result, _xlfn.XLOOKUP($A62,'EA-Fortescue_SDExport'!$A:$A,'EA-Fortescue_SDExport'!AW:AW), IF(_xlpm.result=0,"",_xlpm.result))</f>
        <v>The criticality is MEDIUM because the Concentrate Pipeline represents a significant electrical load in the pit network. Accurate demand data is required for the tool to prevent network overloads and support reliable power allocation.</v>
      </c>
      <c r="O62" s="2" t="str">
        <f>_xlfn.LET(_xlpm.result, _xlfn.XLOOKUP($A62,'EA-Fortescue_SDExport'!$A:$A,'EA-Fortescue_SDExport'!AV:AV), IF(_xlpm.result=0,"",_xlpm.result))</f>
        <v>Data Flow: Concentrate Pipeline -&gt; Pit Power Capacity Planning Tool (Capacity Check) (pumping system load demand, real-time power consumption, peak power requirements, flow rates, operational status) for capacity assessment and power allocation analysis._x000D_
Read-only interface -  no control flow from the Capacity Planning Tool to the Concentrate Pipeline.</v>
      </c>
      <c r="P62" s="2" t="str">
        <f>_xlfn.LET(_xlpm.result, _xlfn.XLOOKUP($A62,'EA-Fortescue_SDExport'!$A:$A,'EA-Fortescue_SDExport'!D:D),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Flow._x000D_
NH 20/02/2026: Fields updated: Interface Flow.</v>
      </c>
      <c r="Q62" s="2" t="str">
        <f>_xlfn.LET(
    _xlpm.status, _xlfn.XLOOKUP($A62,'EA-ConnectorExport'!$A:$A,'EA-ConnectorExport'!G:G),
    _xlpm.result, _xlfn.XLOOKUP($A62,'EA-ConnectorExport'!$A:$A,'EA-ConnectorExport'!B:B),
    IF(_xlpm.status="allocate", _xlpm.result, "")
)</f>
        <v>001OP-3720 Concentrate Pipeline</v>
      </c>
      <c r="R62" s="2" t="str">
        <f>IF(
    _xlfn.XLOOKUP($Q62,'EA-Fortescue_SDExport'!A:A,'EA-Fortescue_SDExport'!B:B)="Object",
    _xlfn.XLOOKUP(
        _xlfn.XLOOKUP($A62,'EA-ConnectorExport'!A:A,'EA-ConnectorExport'!D:D),
        'EA-Fortescue_SDExport'!A:A,
        'EA-Fortescue_SDExport'!AA:AA
    ),
    _xlfn.XLOOKUP($Q62,'EA-Fortescue_SDExport'!A:A,'EA-Fortescue_SDExport'!AA:AA)
)</f>
        <v>System</v>
      </c>
      <c r="S62" s="2" t="str">
        <f>_xlfn.LET(_xlpm.result, _xlfn.XLOOKUP($Q62,'EA-Fortescue_SDExport'!$A:$A,'EA-Fortescue_SDExport'!AB:AB), IF(_xlpm.result=0,"",_xlpm.result))</f>
        <v/>
      </c>
      <c r="T62" s="2" t="str">
        <f>_xlfn.LET(_xlpm.result, _xlfn.XLOOKUP($Q62,'EA-Fortescue_SDExport'!$A:$A,'EA-Fortescue_SDExport'!AC:AC), IF(_xlpm.result=0,"",_xlpm.result))</f>
        <v>Generic Physical Asset</v>
      </c>
      <c r="U62" s="2" t="str">
        <f>_xlfn.LET(
    _xlpm.isObject, _xlfn.XLOOKUP($Q62,'EA-Fortescue_SDExport'!A:A,'EA-Fortescue_SDExport'!B:B),
    _xlpm.lookupKey, IF(_xlpm.isObject="Object",
        _xlfn.XLOOKUP($A62,'EA-ConnectorExport'!A:A,'EA-ConnectorExport'!D:D),
        $Q62
    ),
    _xlpm.result, _xlfn.XLOOKUP(_xlpm.lookupKey,'EA-Fortescue_SDExport'!A:A,'EA-Fortescue_SDExport'!AD:AD),
    IF(_xlpm.result=0,"",_xlpm.result)
)</f>
        <v>001OP Fixed Process Plant</v>
      </c>
      <c r="V62" s="2" t="str">
        <f>_xlfn.LET(
    _xlpm.isObject, _xlfn.XLOOKUP($Q62,'EA-Fortescue_SDExport'!A:A,'EA-Fortescue_SDExport'!B:B),
    _xlpm.lookupKey, IF(_xlpm.isObject="Object",
        _xlfn.XLOOKUP($A62,'EA-ConnectorExport'!A:A,'EA-ConnectorExport'!D:D),
        $Q62
    ),
    _xlpm.result, _xlfn.XLOOKUP(_xlpm.lookupKey,'EA-Fortescue_SDExport'!A:A,'EA-Fortescue_SDExport'!AE:AE),
    IF(_xlpm.result=0,"",_xlpm.result)
)</f>
        <v>001OP-3720 Concentrate Pipeline</v>
      </c>
      <c r="W62" s="2" t="str">
        <f>_xlfn.LET(
    _xlpm.isObject, _xlfn.XLOOKUP($Q62,'EA-Fortescue_SDExport'!A:A,'EA-Fortescue_SDExport'!B:B),
    _xlpm.lookupKey, IF(_xlpm.isObject="Object",
        _xlfn.XLOOKUP($A62,'EA-ConnectorExport'!A:A,'EA-ConnectorExport'!D:D),
        $Q62
    ),
    _xlpm.result, _xlfn.XLOOKUP(_xlpm.lookupKey,'EA-Fortescue_SDExport'!A:A,'EA-Fortescue_SDExport'!AF:AF),
    IF(_xlpm.result=0,"",_xlpm.result)
)</f>
        <v/>
      </c>
      <c r="X62" s="2" t="str">
        <f>_xlfn.LET(
    _xlpm.isObject, _xlfn.XLOOKUP($Q62,'EA-Fortescue_SDExport'!A:A,'EA-Fortescue_SDExport'!B:B),
    _xlpm.lookupKey, IF(_xlpm.isObject="Object",
        _xlfn.XLOOKUP($A62,'EA-ConnectorExport'!A:A,'EA-ConnectorExport'!D:D),
        $Q62
    ),
    _xlpm.result, _xlfn.XLOOKUP(_xlpm.lookupKey,'EA-Fortescue_SDExport'!A:A,'EA-Fortescue_SDExport'!AG:AG),
    IF(_xlpm.result=0,"",_xlpm.result)
)</f>
        <v/>
      </c>
      <c r="Y62" s="2" t="str">
        <f>_xlfn.LET(
    _xlpm.status, _xlfn.XLOOKUP($A62,'EA-ConnectorExport'!$A:$A,'EA-ConnectorExport'!G:G),
    _xlpm.result, _xlfn.XLOOKUP($A62,'EA-ConnectorExport'!$A:$A,'EA-ConnectorExport'!H:H),
    IF(_xlpm.status="allocate", _xlpm.result, "")
)</f>
        <v>855DC-1543-PPC Pit Power Capacity Planning Tool - Capacity Check</v>
      </c>
      <c r="Z62" s="2" t="str">
        <f>_xlfn.LET(
    _xlpm.isObject, _xlfn.XLOOKUP($Y62,'EA-Fortescue_SDExport'!A:A,'EA-Fortescue_SDExport'!B:B),
    _xlpm.lookupKey, IF(_xlpm.isObject="Object",
        _xlfn.XLOOKUP($A62,'EA-ConnectorExport'!A:A,'EA-ConnectorExport'!J:J),
        $Y62
    ),
    _xlpm.result, _xlfn.XLOOKUP(_xlpm.lookupKey,'EA-Fortescue_SDExport'!A:A,'EA-Fortescue_SDExport'!AA:AA),
    IF(_xlpm.result=0,"",_xlpm.result)
)</f>
        <v>Project</v>
      </c>
      <c r="AA62" s="2" t="str">
        <f>_xlfn.LET(_xlpm.result, _xlfn.XLOOKUP($Y62,'EA-Fortescue_SDExport'!$A:$A,'EA-Fortescue_SDExport'!AB:AB), IF(_xlpm.result=0,"",_xlpm.result))</f>
        <v>Operations Planning</v>
      </c>
      <c r="AB62" s="2" t="str">
        <f>_xlfn.LET(_xlpm.result, _xlfn.XLOOKUP($Y62,'EA-Fortescue_SDExport'!$A:$A,'EA-Fortescue_SDExport'!AC:AC), IF(_xlpm.result=0,"",_xlpm.result))</f>
        <v>AWS Fortescue Infrastructure</v>
      </c>
      <c r="AC62" s="2" t="str">
        <f>_xlfn.LET(
    _xlpm.isObject, _xlfn.XLOOKUP($Y62,'EA-Fortescue_SDExport'!A:A,'EA-Fortescue_SDExport'!B:B),
    _xlpm.lookupKey, IF(_xlpm.isObject="Object",
        _xlfn.XLOOKUP($A62,'EA-ConnectorExport'!A:A,'EA-ConnectorExport'!J:J),
        $Y62
    ),
    _xlpm.result, _xlfn.XLOOKUP(_xlpm.lookupKey,'EA-Fortescue_SDExport'!A:A,'EA-Fortescue_SDExport'!AD:AD),
    IF(_xlpm.result=0,"",_xlpm.result)
)</f>
        <v>855DC Decarb Green Systems</v>
      </c>
      <c r="AD62" s="2" t="str">
        <f>_xlfn.LET(
    _xlpm.isObject, _xlfn.XLOOKUP($Y62,'EA-Fortescue_SDExport'!A:A,'EA-Fortescue_SDExport'!B:B),
    _xlpm.lookupKey, IF(_xlpm.isObject="Object",
        _xlfn.XLOOKUP($A62,'EA-ConnectorExport'!A:A,'EA-ConnectorExport'!J:J),
        $Y62
    ),
    _xlpm.result, _xlfn.XLOOKUP(_xlpm.lookupKey,'EA-Fortescue_SDExport'!A:A,'EA-Fortescue_SDExport'!AE:AE),
    IF(_xlpm.result=0,"",_xlpm.result)
)</f>
        <v/>
      </c>
      <c r="AE62" s="2" t="str">
        <f>_xlfn.LET(
    _xlpm.isObject, _xlfn.XLOOKUP($Y62,'EA-Fortescue_SDExport'!A:A,'EA-Fortescue_SDExport'!B:B),
    _xlpm.lookupKey, IF(_xlpm.isObject="Object",
        _xlfn.XLOOKUP($A62,'EA-ConnectorExport'!A:A,'EA-ConnectorExport'!J:J),
        $Y62
    ),
    _xlpm.result, _xlfn.XLOOKUP(_xlpm.lookupKey,'EA-Fortescue_SDExport'!A:A,'EA-Fortescue_SDExport'!AF:AF),
    IF(_xlpm.result=0,"",_xlpm.result)
)</f>
        <v>855DC-1543-PPC Pit Power Capacity Planning Tool - Capacity Check</v>
      </c>
      <c r="AF62" s="2" t="str">
        <f>_xlfn.LET(
    _xlpm.isObject, _xlfn.XLOOKUP($Y62,'EA-Fortescue_SDExport'!A:A,'EA-Fortescue_SDExport'!B:B),
    _xlpm.lookupKey, IF(_xlpm.isObject="Object",
        _xlfn.XLOOKUP($A62,'EA-ConnectorExport'!A:A,'EA-ConnectorExport'!J:J),
        $Y62
    ),
    _xlpm.result, _xlfn.XLOOKUP(_xlpm.lookupKey,'EA-Fortescue_SDExport'!A:A,'EA-Fortescue_SDExport'!AG:AG),
    IF(_xlpm.result=0,"",_xlpm.result)
)</f>
        <v/>
      </c>
    </row>
    <row r="63" spans="1:32" ht="300" x14ac:dyDescent="0.25">
      <c r="A63" s="2" t="str">
        <v>DGS-I_0062</v>
      </c>
      <c r="B63" s="2" t="str">
        <f t="shared" si="0"/>
        <v>001OP-2700 Material Handling Equipment|855DC-1543-PPC Pit Power Capacity Planning Tool - Capacity Check</v>
      </c>
      <c r="C63" s="2" t="str">
        <f>_xlfn.LET(_xlpm.result, _xlfn.XLOOKUP(A63,'EA-Fortescue_SDExport'!A:A,'EA-Fortescue_SDExport'!AM:AM), IF(_xlpm.result=0,"",_xlpm.result))</f>
        <v/>
      </c>
      <c r="D63" s="2" t="str">
        <f>_xlfn.LET(_xlpm.result, _xlfn.XLOOKUP(A63,'EA-Fortescue_SDExport'!A:A,'EA-Fortescue_SDExport'!AN:AN), IF(_xlpm.result=0,"",_xlpm.result))</f>
        <v/>
      </c>
      <c r="E63" s="2" t="str">
        <f>_xlfn.XLOOKUP(R63&amp;Z63,Lookups!A:A,Lookups!B:B)</f>
        <v>System - Project Interface</v>
      </c>
      <c r="F63" s="2" t="str">
        <f>_xlfn.LET(_xlpm.result, _xlfn.XLOOKUP(A63,'EA-Fortescue_SDExport'!A:A,'EA-Fortescue_SDExport'!AP:AP), IF(_xlpm.result=0,"",_xlpm.result))</f>
        <v>Technical - Data/Software</v>
      </c>
      <c r="G63" s="2" t="str">
        <f>IF(OR(AND(T63&lt;&gt;"", COUNTIF(Lookups!J:J, "*"&amp;T63&amp;"*")&gt;0), AND(AB63&lt;&gt;"", COUNTIF(Lookups!J:J, "*"&amp;AB63&amp;"*")&gt;0)), "Yes", "No")</f>
        <v>No</v>
      </c>
      <c r="H63" s="2" t="str">
        <f t="shared" si="1"/>
        <v>001OP Fixed Process Plant|855DC Decarb Green Systems</v>
      </c>
      <c r="I63" s="2" t="str">
        <f t="shared" si="2"/>
        <v>001OP-2700 Material Handling Equipment|N/A</v>
      </c>
      <c r="J63" s="2" t="str">
        <f t="shared" si="3"/>
        <v>N/A|855DC-1543-PPC Pit Power Capacity Planning Tool - Capacity Check</v>
      </c>
      <c r="K63" s="2" t="str">
        <f>_xlfn.XLOOKUP(A63,'EA-Fortescue_SDExport'!A:A,'EA-Fortescue_SDExport'!N:N)</f>
        <v>Proposed</v>
      </c>
      <c r="L63" s="2" t="str">
        <f>_xlfn.LET(_xlpm.result, _xlfn.XLOOKUP($A63,'EA-Fortescue_SDExport'!$A:$A,'EA-Fortescue_SDExport'!AQ:AQ), IF(_xlpm.result=0,"",_xlpm.result))</f>
        <v>This interface provides the Pit Power Capacity Planning Tool - Capacity Check with electrical load and operational data from the Material Handling Equipment, including conveyors, stackers, reclaimers, and peak power demands. The tool uses this information to assess pit network capacity and support safe, reliable power allocation. This interface is read-only and does not control the Material Handling Equipment.</v>
      </c>
      <c r="M63" s="2" t="str">
        <f>_xlfn.LET(_xlpm.result, _xlfn.XLOOKUP($A63,'EA-Fortescue_SDExport'!$A:$A,'EA-Fortescue_SDExport'!AR:AR), IF(_xlpm.result=0,"",_xlpm.result))</f>
        <v>HIGH</v>
      </c>
      <c r="N63" s="2" t="str">
        <f>_xlfn.LET(_xlpm.result, _xlfn.XLOOKUP($A63,'EA-Fortescue_SDExport'!$A:$A,'EA-Fortescue_SDExport'!AW:AW), IF(_xlpm.result=0,"",_xlpm.result))</f>
        <v>The criticality is HIGH because the Material Handling Equipment constitutes a large and variable electrical load. Accurate data is essential for the tool to prevent network overloads and ensure reliable operation of pit power systems.</v>
      </c>
      <c r="O63" s="2" t="str">
        <f>_xlfn.LET(_xlpm.result, _xlfn.XLOOKUP($A63,'EA-Fortescue_SDExport'!$A:$A,'EA-Fortescue_SDExport'!AV:AV), IF(_xlpm.result=0,"",_xlpm.result))</f>
        <v>Material Handling Equipment -&gt; Pit Power Capacity Planning Tool - Capacity Check</v>
      </c>
      <c r="P63" s="2" t="str">
        <f>_xlfn.LET(_xlpm.result, _xlfn.XLOOKUP($A63,'EA-Fortescue_SDExport'!$A:$A,'EA-Fortescue_SDExport'!D:D),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63" s="2" t="str">
        <f>_xlfn.LET(
    _xlpm.status, _xlfn.XLOOKUP($A63,'EA-ConnectorExport'!$A:$A,'EA-ConnectorExport'!G:G),
    _xlpm.result, _xlfn.XLOOKUP($A63,'EA-ConnectorExport'!$A:$A,'EA-ConnectorExport'!B:B),
    IF(_xlpm.status="allocate", _xlpm.result, "")
)</f>
        <v>001OP-2700 Material Handling Equipment</v>
      </c>
      <c r="R63" s="2" t="str">
        <f>IF(
    _xlfn.XLOOKUP($Q63,'EA-Fortescue_SDExport'!A:A,'EA-Fortescue_SDExport'!B:B)="Object",
    _xlfn.XLOOKUP(
        _xlfn.XLOOKUP($A63,'EA-ConnectorExport'!A:A,'EA-ConnectorExport'!D:D),
        'EA-Fortescue_SDExport'!A:A,
        'EA-Fortescue_SDExport'!AA:AA
    ),
    _xlfn.XLOOKUP($Q63,'EA-Fortescue_SDExport'!A:A,'EA-Fortescue_SDExport'!AA:AA)
)</f>
        <v>System</v>
      </c>
      <c r="S63" s="2" t="str">
        <f>_xlfn.LET(_xlpm.result, _xlfn.XLOOKUP($Q63,'EA-Fortescue_SDExport'!$A:$A,'EA-Fortescue_SDExport'!AB:AB), IF(_xlpm.result=0,"",_xlpm.result))</f>
        <v/>
      </c>
      <c r="T63" s="2" t="str">
        <f>_xlfn.LET(_xlpm.result, _xlfn.XLOOKUP($Q63,'EA-Fortescue_SDExport'!$A:$A,'EA-Fortescue_SDExport'!AC:AC), IF(_xlpm.result=0,"",_xlpm.result))</f>
        <v>Generic Physical Asset</v>
      </c>
      <c r="U63" s="2" t="str">
        <f>_xlfn.LET(
    _xlpm.isObject, _xlfn.XLOOKUP($Q63,'EA-Fortescue_SDExport'!A:A,'EA-Fortescue_SDExport'!B:B),
    _xlpm.lookupKey, IF(_xlpm.isObject="Object",
        _xlfn.XLOOKUP($A63,'EA-ConnectorExport'!A:A,'EA-ConnectorExport'!D:D),
        $Q63
    ),
    _xlpm.result, _xlfn.XLOOKUP(_xlpm.lookupKey,'EA-Fortescue_SDExport'!A:A,'EA-Fortescue_SDExport'!AD:AD),
    IF(_xlpm.result=0,"",_xlpm.result)
)</f>
        <v>001OP Fixed Process Plant</v>
      </c>
      <c r="V63" s="2" t="str">
        <f>_xlfn.LET(
    _xlpm.isObject, _xlfn.XLOOKUP($Q63,'EA-Fortescue_SDExport'!A:A,'EA-Fortescue_SDExport'!B:B),
    _xlpm.lookupKey, IF(_xlpm.isObject="Object",
        _xlfn.XLOOKUP($A63,'EA-ConnectorExport'!A:A,'EA-ConnectorExport'!D:D),
        $Q63
    ),
    _xlpm.result, _xlfn.XLOOKUP(_xlpm.lookupKey,'EA-Fortescue_SDExport'!A:A,'EA-Fortescue_SDExport'!AE:AE),
    IF(_xlpm.result=0,"",_xlpm.result)
)</f>
        <v>001OP-2700 Material Handling Equipment</v>
      </c>
      <c r="W63" s="2" t="str">
        <f>_xlfn.LET(
    _xlpm.isObject, _xlfn.XLOOKUP($Q63,'EA-Fortescue_SDExport'!A:A,'EA-Fortescue_SDExport'!B:B),
    _xlpm.lookupKey, IF(_xlpm.isObject="Object",
        _xlfn.XLOOKUP($A63,'EA-ConnectorExport'!A:A,'EA-ConnectorExport'!D:D),
        $Q63
    ),
    _xlpm.result, _xlfn.XLOOKUP(_xlpm.lookupKey,'EA-Fortescue_SDExport'!A:A,'EA-Fortescue_SDExport'!AF:AF),
    IF(_xlpm.result=0,"",_xlpm.result)
)</f>
        <v/>
      </c>
      <c r="X63" s="2" t="str">
        <f>_xlfn.LET(
    _xlpm.isObject, _xlfn.XLOOKUP($Q63,'EA-Fortescue_SDExport'!A:A,'EA-Fortescue_SDExport'!B:B),
    _xlpm.lookupKey, IF(_xlpm.isObject="Object",
        _xlfn.XLOOKUP($A63,'EA-ConnectorExport'!A:A,'EA-ConnectorExport'!D:D),
        $Q63
    ),
    _xlpm.result, _xlfn.XLOOKUP(_xlpm.lookupKey,'EA-Fortescue_SDExport'!A:A,'EA-Fortescue_SDExport'!AG:AG),
    IF(_xlpm.result=0,"",_xlpm.result)
)</f>
        <v/>
      </c>
      <c r="Y63" s="2" t="str">
        <f>_xlfn.LET(
    _xlpm.status, _xlfn.XLOOKUP($A63,'EA-ConnectorExport'!$A:$A,'EA-ConnectorExport'!G:G),
    _xlpm.result, _xlfn.XLOOKUP($A63,'EA-ConnectorExport'!$A:$A,'EA-ConnectorExport'!H:H),
    IF(_xlpm.status="allocate", _xlpm.result, "")
)</f>
        <v>855DC-1543-PPC Pit Power Capacity Planning Tool - Capacity Check</v>
      </c>
      <c r="Z63" s="2" t="str">
        <f>_xlfn.LET(
    _xlpm.isObject, _xlfn.XLOOKUP($Y63,'EA-Fortescue_SDExport'!A:A,'EA-Fortescue_SDExport'!B:B),
    _xlpm.lookupKey, IF(_xlpm.isObject="Object",
        _xlfn.XLOOKUP($A63,'EA-ConnectorExport'!A:A,'EA-ConnectorExport'!J:J),
        $Y63
    ),
    _xlpm.result, _xlfn.XLOOKUP(_xlpm.lookupKey,'EA-Fortescue_SDExport'!A:A,'EA-Fortescue_SDExport'!AA:AA),
    IF(_xlpm.result=0,"",_xlpm.result)
)</f>
        <v>Project</v>
      </c>
      <c r="AA63" s="2" t="str">
        <f>_xlfn.LET(_xlpm.result, _xlfn.XLOOKUP($Y63,'EA-Fortescue_SDExport'!$A:$A,'EA-Fortescue_SDExport'!AB:AB), IF(_xlpm.result=0,"",_xlpm.result))</f>
        <v>Operations Planning</v>
      </c>
      <c r="AB63" s="2" t="str">
        <f>_xlfn.LET(_xlpm.result, _xlfn.XLOOKUP($Y63,'EA-Fortescue_SDExport'!$A:$A,'EA-Fortescue_SDExport'!AC:AC), IF(_xlpm.result=0,"",_xlpm.result))</f>
        <v>AWS Fortescue Infrastructure</v>
      </c>
      <c r="AC63" s="2" t="str">
        <f>_xlfn.LET(
    _xlpm.isObject, _xlfn.XLOOKUP($Y63,'EA-Fortescue_SDExport'!A:A,'EA-Fortescue_SDExport'!B:B),
    _xlpm.lookupKey, IF(_xlpm.isObject="Object",
        _xlfn.XLOOKUP($A63,'EA-ConnectorExport'!A:A,'EA-ConnectorExport'!J:J),
        $Y63
    ),
    _xlpm.result, _xlfn.XLOOKUP(_xlpm.lookupKey,'EA-Fortescue_SDExport'!A:A,'EA-Fortescue_SDExport'!AD:AD),
    IF(_xlpm.result=0,"",_xlpm.result)
)</f>
        <v>855DC Decarb Green Systems</v>
      </c>
      <c r="AD63" s="2" t="str">
        <f>_xlfn.LET(
    _xlpm.isObject, _xlfn.XLOOKUP($Y63,'EA-Fortescue_SDExport'!A:A,'EA-Fortescue_SDExport'!B:B),
    _xlpm.lookupKey, IF(_xlpm.isObject="Object",
        _xlfn.XLOOKUP($A63,'EA-ConnectorExport'!A:A,'EA-ConnectorExport'!J:J),
        $Y63
    ),
    _xlpm.result, _xlfn.XLOOKUP(_xlpm.lookupKey,'EA-Fortescue_SDExport'!A:A,'EA-Fortescue_SDExport'!AE:AE),
    IF(_xlpm.result=0,"",_xlpm.result)
)</f>
        <v/>
      </c>
      <c r="AE63" s="2" t="str">
        <f>_xlfn.LET(
    _xlpm.isObject, _xlfn.XLOOKUP($Y63,'EA-Fortescue_SDExport'!A:A,'EA-Fortescue_SDExport'!B:B),
    _xlpm.lookupKey, IF(_xlpm.isObject="Object",
        _xlfn.XLOOKUP($A63,'EA-ConnectorExport'!A:A,'EA-ConnectorExport'!J:J),
        $Y63
    ),
    _xlpm.result, _xlfn.XLOOKUP(_xlpm.lookupKey,'EA-Fortescue_SDExport'!A:A,'EA-Fortescue_SDExport'!AF:AF),
    IF(_xlpm.result=0,"",_xlpm.result)
)</f>
        <v>855DC-1543-PPC Pit Power Capacity Planning Tool - Capacity Check</v>
      </c>
      <c r="AF63" s="2" t="str">
        <f>_xlfn.LET(
    _xlpm.isObject, _xlfn.XLOOKUP($Y63,'EA-Fortescue_SDExport'!A:A,'EA-Fortescue_SDExport'!B:B),
    _xlpm.lookupKey, IF(_xlpm.isObject="Object",
        _xlfn.XLOOKUP($A63,'EA-ConnectorExport'!A:A,'EA-ConnectorExport'!J:J),
        $Y63
    ),
    _xlpm.result, _xlfn.XLOOKUP(_xlpm.lookupKey,'EA-Fortescue_SDExport'!A:A,'EA-Fortescue_SDExport'!AG:AG),
    IF(_xlpm.result=0,"",_xlpm.result)
)</f>
        <v/>
      </c>
    </row>
    <row r="64" spans="1:32" ht="315" x14ac:dyDescent="0.25">
      <c r="A64" s="2" t="str">
        <v>DGS-I_0063</v>
      </c>
      <c r="B64" s="2" t="str">
        <f t="shared" si="0"/>
        <v>003OP-5611 Gas Power Station|855DC-1543-008 Monarch</v>
      </c>
      <c r="C64" s="2" t="str">
        <f>_xlfn.LET(_xlpm.result, _xlfn.XLOOKUP(A64,'EA-Fortescue_SDExport'!A:A,'EA-Fortescue_SDExport'!AM:AM), IF(_xlpm.result=0,"",_xlpm.result))</f>
        <v>Energy Operations</v>
      </c>
      <c r="D64" s="2" t="str">
        <f>_xlfn.LET(_xlpm.result, _xlfn.XLOOKUP(A64,'EA-Fortescue_SDExport'!A:A,'EA-Fortescue_SDExport'!AN:AN), IF(_xlpm.result=0,"",_xlpm.result))</f>
        <v/>
      </c>
      <c r="E64" s="2" t="str">
        <f>_xlfn.XLOOKUP(R64&amp;Z64,Lookups!A:A,Lookups!B:B)</f>
        <v>System - Project Interface</v>
      </c>
      <c r="F64" s="2" t="str">
        <f>_xlfn.LET(_xlpm.result, _xlfn.XLOOKUP(A64,'EA-Fortescue_SDExport'!A:A,'EA-Fortescue_SDExport'!AP:AP), IF(_xlpm.result=0,"",_xlpm.result))</f>
        <v>Technical-Electrical</v>
      </c>
      <c r="G64" s="2" t="str">
        <f>IF(OR(AND(T64&lt;&gt;"", COUNTIF(Lookups!J:J, "*"&amp;T64&amp;"*")&gt;0), AND(AB64&lt;&gt;"", COUNTIF(Lookups!J:J, "*"&amp;AB64&amp;"*")&gt;0)), "Yes", "No")</f>
        <v>No</v>
      </c>
      <c r="H64" s="2" t="str">
        <f t="shared" si="1"/>
        <v>003OP Power Generation &amp; Transmission|855DC Decarb Green Systems</v>
      </c>
      <c r="I64" s="2" t="str">
        <f t="shared" si="2"/>
        <v>003OP-5611 Gas Power Station|855DC-1543 Existing Systems - Green Enhancement</v>
      </c>
      <c r="J64" s="2" t="str">
        <f t="shared" si="3"/>
        <v>N/A|855DC-1543-008 Monarch</v>
      </c>
      <c r="K64" s="2" t="str">
        <f>_xlfn.XLOOKUP(A64,'EA-Fortescue_SDExport'!A:A,'EA-Fortescue_SDExport'!N:N)</f>
        <v>Proposed</v>
      </c>
      <c r="L64" s="2" t="str">
        <f>_xlfn.LET(_xlpm.result, _xlfn.XLOOKUP($A64,'EA-Fortescue_SDExport'!$A:$A,'EA-Fortescue_SDExport'!AQ:AQ), IF(_xlpm.result=0,"",_xlpm.result))</f>
        <v>This interface connects the gas power station to Monarch for live monitoring, operational control, and energy dispatch management.</v>
      </c>
      <c r="M64" s="2" t="str">
        <f>_xlfn.LET(_xlpm.result, _xlfn.XLOOKUP($A64,'EA-Fortescue_SDExport'!$A:$A,'EA-Fortescue_SDExport'!AR:AR), IF(_xlpm.result=0,"",_xlpm.result))</f>
        <v>HIGH</v>
      </c>
      <c r="N64" s="2" t="str">
        <f>_xlfn.LET(_xlpm.result, _xlfn.XLOOKUP($A64,'EA-Fortescue_SDExport'!$A:$A,'EA-Fortescue_SDExport'!AW:AW), IF(_xlpm.result=0,"",_xlpm.result))</f>
        <v>The criticality level is HIGH because a failure could disrupt the coordination of gas generation, potentially destabilising the electrical network and impacting vital mining operations.The gas power station is a key contributor to site power supply, and loss of communication removes the ability to track output, manage faults, or optimise supply, which could lead to significant operational impacts.</v>
      </c>
      <c r="O64" s="2" t="str">
        <f>_xlfn.LET(_xlpm.result, _xlfn.XLOOKUP($A64,'EA-Fortescue_SDExport'!$A:$A,'EA-Fortescue_SDExport'!AV:AV), IF(_xlpm.result=0,"",_xlpm.result))</f>
        <v>Data Flow: Gas Power Station -&gt; Monarch (real-time generation output, unit status, available capacity, fuel consumption, emissions data, alarms, fault events) for monitoring and coordination._x000D_
Control Flow: Monarch -&gt; Gas Power Station (dispatch setpoints, start/stop commands, load adjustments, operational constraints) to manage generation in line with demand and network stability requirements.</v>
      </c>
      <c r="P64" s="2" t="str">
        <f>_xlfn.LET(_xlpm.result, _xlfn.XLOOKUP($A64,'EA-Fortescue_SDExport'!$A:$A,'EA-Fortescue_SDExport'!D:D), IF(_xlpm.result=0,"",_xlpm.result))</f>
        <v>NH 20/02/2026: Fields updated: Interface Type, Interface Flow.</v>
      </c>
      <c r="Q64" s="2" t="str">
        <f>_xlfn.LET(
    _xlpm.status, _xlfn.XLOOKUP($A64,'EA-ConnectorExport'!$A:$A,'EA-ConnectorExport'!G:G),
    _xlpm.result, _xlfn.XLOOKUP($A64,'EA-ConnectorExport'!$A:$A,'EA-ConnectorExport'!B:B),
    IF(_xlpm.status="allocate", _xlpm.result, "")
)</f>
        <v>003OP-5611 Gas Power Station</v>
      </c>
      <c r="R64" s="2" t="str">
        <f>IF(
    _xlfn.XLOOKUP($Q64,'EA-Fortescue_SDExport'!A:A,'EA-Fortescue_SDExport'!B:B)="Object",
    _xlfn.XLOOKUP(
        _xlfn.XLOOKUP($A64,'EA-ConnectorExport'!A:A,'EA-ConnectorExport'!D:D),
        'EA-Fortescue_SDExport'!A:A,
        'EA-Fortescue_SDExport'!AA:AA
    ),
    _xlfn.XLOOKUP($Q64,'EA-Fortescue_SDExport'!A:A,'EA-Fortescue_SDExport'!AA:AA)
)</f>
        <v>System</v>
      </c>
      <c r="S64" s="2" t="str">
        <f>_xlfn.LET(_xlpm.result, _xlfn.XLOOKUP($Q64,'EA-Fortescue_SDExport'!$A:$A,'EA-Fortescue_SDExport'!AB:AB), IF(_xlpm.result=0,"",_xlpm.result))</f>
        <v/>
      </c>
      <c r="T64" s="2" t="str">
        <f>_xlfn.LET(_xlpm.result, _xlfn.XLOOKUP($Q64,'EA-Fortescue_SDExport'!$A:$A,'EA-Fortescue_SDExport'!AC:AC), IF(_xlpm.result=0,"",_xlpm.result))</f>
        <v>Generic Physical Asset</v>
      </c>
      <c r="U64" s="2" t="str">
        <f>_xlfn.LET(
    _xlpm.isObject, _xlfn.XLOOKUP($Q64,'EA-Fortescue_SDExport'!A:A,'EA-Fortescue_SDExport'!B:B),
    _xlpm.lookupKey, IF(_xlpm.isObject="Object",
        _xlfn.XLOOKUP($A64,'EA-ConnectorExport'!A:A,'EA-ConnectorExport'!D:D),
        $Q64
    ),
    _xlpm.result, _xlfn.XLOOKUP(_xlpm.lookupKey,'EA-Fortescue_SDExport'!A:A,'EA-Fortescue_SDExport'!AD:AD),
    IF(_xlpm.result=0,"",_xlpm.result)
)</f>
        <v>003OP Power Generation &amp; Transmission</v>
      </c>
      <c r="V64" s="2" t="str">
        <f>_xlfn.LET(
    _xlpm.isObject, _xlfn.XLOOKUP($Q64,'EA-Fortescue_SDExport'!A:A,'EA-Fortescue_SDExport'!B:B),
    _xlpm.lookupKey, IF(_xlpm.isObject="Object",
        _xlfn.XLOOKUP($A64,'EA-ConnectorExport'!A:A,'EA-ConnectorExport'!D:D),
        $Q64
    ),
    _xlpm.result, _xlfn.XLOOKUP(_xlpm.lookupKey,'EA-Fortescue_SDExport'!A:A,'EA-Fortescue_SDExport'!AE:AE),
    IF(_xlpm.result=0,"",_xlpm.result)
)</f>
        <v>003OP-5611 Gas Power Station</v>
      </c>
      <c r="W64" s="2" t="str">
        <f>_xlfn.LET(
    _xlpm.isObject, _xlfn.XLOOKUP($Q64,'EA-Fortescue_SDExport'!A:A,'EA-Fortescue_SDExport'!B:B),
    _xlpm.lookupKey, IF(_xlpm.isObject="Object",
        _xlfn.XLOOKUP($A64,'EA-ConnectorExport'!A:A,'EA-ConnectorExport'!D:D),
        $Q64
    ),
    _xlpm.result, _xlfn.XLOOKUP(_xlpm.lookupKey,'EA-Fortescue_SDExport'!A:A,'EA-Fortescue_SDExport'!AF:AF),
    IF(_xlpm.result=0,"",_xlpm.result)
)</f>
        <v/>
      </c>
      <c r="X64" s="2" t="str">
        <f>_xlfn.LET(
    _xlpm.isObject, _xlfn.XLOOKUP($Q64,'EA-Fortescue_SDExport'!A:A,'EA-Fortescue_SDExport'!B:B),
    _xlpm.lookupKey, IF(_xlpm.isObject="Object",
        _xlfn.XLOOKUP($A64,'EA-ConnectorExport'!A:A,'EA-ConnectorExport'!D:D),
        $Q64
    ),
    _xlpm.result, _xlfn.XLOOKUP(_xlpm.lookupKey,'EA-Fortescue_SDExport'!A:A,'EA-Fortescue_SDExport'!AG:AG),
    IF(_xlpm.result=0,"",_xlpm.result)
)</f>
        <v/>
      </c>
      <c r="Y64" s="2" t="str">
        <f>_xlfn.LET(
    _xlpm.status, _xlfn.XLOOKUP($A64,'EA-ConnectorExport'!$A:$A,'EA-ConnectorExport'!G:G),
    _xlpm.result, _xlfn.XLOOKUP($A64,'EA-ConnectorExport'!$A:$A,'EA-ConnectorExport'!H:H),
    IF(_xlpm.status="allocate", _xlpm.result, "")
)</f>
        <v>855DC-1543-008 Monarch</v>
      </c>
      <c r="Z64" s="2" t="str">
        <f>_xlfn.LET(
    _xlpm.isObject, _xlfn.XLOOKUP($Y64,'EA-Fortescue_SDExport'!A:A,'EA-Fortescue_SDExport'!B:B),
    _xlpm.lookupKey, IF(_xlpm.isObject="Object",
        _xlfn.XLOOKUP($A64,'EA-ConnectorExport'!A:A,'EA-ConnectorExport'!J:J),
        $Y64
    ),
    _xlpm.result, _xlfn.XLOOKUP(_xlpm.lookupKey,'EA-Fortescue_SDExport'!A:A,'EA-Fortescue_SDExport'!AA:AA),
    IF(_xlpm.result=0,"",_xlpm.result)
)</f>
        <v>Project</v>
      </c>
      <c r="AA64" s="2" t="str">
        <f>_xlfn.LET(_xlpm.result, _xlfn.XLOOKUP($Y64,'EA-Fortescue_SDExport'!$A:$A,'EA-Fortescue_SDExport'!AB:AB), IF(_xlpm.result=0,"",_xlpm.result))</f>
        <v>Energy Operations</v>
      </c>
      <c r="AB64" s="2" t="str">
        <f>_xlfn.LET(_xlpm.result, _xlfn.XLOOKUP($Y64,'EA-Fortescue_SDExport'!$A:$A,'EA-Fortescue_SDExport'!AC:AC), IF(_xlpm.result=0,"",_xlpm.result))</f>
        <v/>
      </c>
      <c r="AC64" s="2" t="str">
        <f>_xlfn.LET(
    _xlpm.isObject, _xlfn.XLOOKUP($Y64,'EA-Fortescue_SDExport'!A:A,'EA-Fortescue_SDExport'!B:B),
    _xlpm.lookupKey, IF(_xlpm.isObject="Object",
        _xlfn.XLOOKUP($A64,'EA-ConnectorExport'!A:A,'EA-ConnectorExport'!J:J),
        $Y64
    ),
    _xlpm.result, _xlfn.XLOOKUP(_xlpm.lookupKey,'EA-Fortescue_SDExport'!A:A,'EA-Fortescue_SDExport'!AD:AD),
    IF(_xlpm.result=0,"",_xlpm.result)
)</f>
        <v>855DC Decarb Green Systems</v>
      </c>
      <c r="AD64" s="2" t="str">
        <f>_xlfn.LET(
    _xlpm.isObject, _xlfn.XLOOKUP($Y64,'EA-Fortescue_SDExport'!A:A,'EA-Fortescue_SDExport'!B:B),
    _xlpm.lookupKey, IF(_xlpm.isObject="Object",
        _xlfn.XLOOKUP($A64,'EA-ConnectorExport'!A:A,'EA-ConnectorExport'!J:J),
        $Y64
    ),
    _xlpm.result, _xlfn.XLOOKUP(_xlpm.lookupKey,'EA-Fortescue_SDExport'!A:A,'EA-Fortescue_SDExport'!AE:AE),
    IF(_xlpm.result=0,"",_xlpm.result)
)</f>
        <v>855DC-1543 Existing Systems - Green Enhancement</v>
      </c>
      <c r="AE64" s="2" t="str">
        <f>_xlfn.LET(
    _xlpm.isObject, _xlfn.XLOOKUP($Y64,'EA-Fortescue_SDExport'!A:A,'EA-Fortescue_SDExport'!B:B),
    _xlpm.lookupKey, IF(_xlpm.isObject="Object",
        _xlfn.XLOOKUP($A64,'EA-ConnectorExport'!A:A,'EA-ConnectorExport'!J:J),
        $Y64
    ),
    _xlpm.result, _xlfn.XLOOKUP(_xlpm.lookupKey,'EA-Fortescue_SDExport'!A:A,'EA-Fortescue_SDExport'!AF:AF),
    IF(_xlpm.result=0,"",_xlpm.result)
)</f>
        <v>855DC-1543-008 Monarch</v>
      </c>
      <c r="AF64" s="2" t="str">
        <f>_xlfn.LET(
    _xlpm.isObject, _xlfn.XLOOKUP($Y64,'EA-Fortescue_SDExport'!A:A,'EA-Fortescue_SDExport'!B:B),
    _xlpm.lookupKey, IF(_xlpm.isObject="Object",
        _xlfn.XLOOKUP($A64,'EA-ConnectorExport'!A:A,'EA-ConnectorExport'!J:J),
        $Y64
    ),
    _xlpm.result, _xlfn.XLOOKUP(_xlpm.lookupKey,'EA-Fortescue_SDExport'!A:A,'EA-Fortescue_SDExport'!AG:AG),
    IF(_xlpm.result=0,"",_xlpm.result)
)</f>
        <v/>
      </c>
    </row>
    <row r="65" spans="1:32" ht="210" x14ac:dyDescent="0.25">
      <c r="A65" s="2" t="str">
        <v>DGS-I_0064</v>
      </c>
      <c r="B65" s="2" t="str">
        <f t="shared" si="0"/>
        <v>854DC-5660 HV Transmission lines|855DC-1543-008 Monarch</v>
      </c>
      <c r="C65" s="2" t="str">
        <f>_xlfn.LET(_xlpm.result, _xlfn.XLOOKUP(A65,'EA-Fortescue_SDExport'!A:A,'EA-Fortescue_SDExport'!AM:AM), IF(_xlpm.result=0,"",_xlpm.result))</f>
        <v>Energy Operations</v>
      </c>
      <c r="D65" s="2" t="str">
        <f>_xlfn.LET(_xlpm.result, _xlfn.XLOOKUP(A65,'EA-Fortescue_SDExport'!A:A,'EA-Fortescue_SDExport'!AN:AN), IF(_xlpm.result=0,"",_xlpm.result))</f>
        <v/>
      </c>
      <c r="E65" s="2" t="str">
        <f>_xlfn.XLOOKUP(R65&amp;Z65,Lookups!A:A,Lookups!B:B)</f>
        <v>System - Project Interface</v>
      </c>
      <c r="F65" s="2" t="str">
        <f>_xlfn.LET(_xlpm.result, _xlfn.XLOOKUP(A65,'EA-Fortescue_SDExport'!A:A,'EA-Fortescue_SDExport'!AP:AP), IF(_xlpm.result=0,"",_xlpm.result))</f>
        <v>Technical-Electrical</v>
      </c>
      <c r="G65" s="2" t="str">
        <f>IF(OR(AND(T65&lt;&gt;"", COUNTIF(Lookups!J:J, "*"&amp;T65&amp;"*")&gt;0), AND(AB65&lt;&gt;"", COUNTIF(Lookups!J:J, "*"&amp;AB65&amp;"*")&gt;0)), "Yes", "No")</f>
        <v>No</v>
      </c>
      <c r="H65" s="2" t="str">
        <f t="shared" si="1"/>
        <v>854DC Green Power|855DC Decarb Green Systems</v>
      </c>
      <c r="I65" s="2" t="str">
        <f t="shared" si="2"/>
        <v>854DC-5660 HV Transmission lines|855DC-1543 Existing Systems - Green Enhancement</v>
      </c>
      <c r="J65" s="2" t="str">
        <f t="shared" si="3"/>
        <v>N/A|855DC-1543-008 Monarch</v>
      </c>
      <c r="K65" s="2" t="str">
        <f>_xlfn.XLOOKUP(A65,'EA-Fortescue_SDExport'!A:A,'EA-Fortescue_SDExport'!N:N)</f>
        <v>Proposed</v>
      </c>
      <c r="L65" s="2" t="str">
        <f>_xlfn.LET(_xlpm.result, _xlfn.XLOOKUP($A65,'EA-Fortescue_SDExport'!$A:$A,'EA-Fortescue_SDExport'!AQ:AQ), IF(_xlpm.result=0,"",_xlpm.result))</f>
        <v>This interface allows Monarch to monitor and manage the condition, loading, and status of the high-voltage transmission network.</v>
      </c>
      <c r="M65" s="2" t="str">
        <f>_xlfn.LET(_xlpm.result, _xlfn.XLOOKUP($A65,'EA-Fortescue_SDExport'!$A:$A,'EA-Fortescue_SDExport'!AR:AR), IF(_xlpm.result=0,"",_xlpm.result))</f>
        <v>HIGH</v>
      </c>
      <c r="N65" s="2" t="str">
        <f>_xlfn.LET(_xlpm.result, _xlfn.XLOOKUP($A65,'EA-Fortescue_SDExport'!$A:$A,'EA-Fortescue_SDExport'!AW:AW), IF(_xlpm.result=0,"",_xlpm.result))</f>
        <v>The criticality level is HIGH because losing visibility of HV transmission lines results in serious electrical risks and the inability to respond to faults. This affects key operational areas and production-critical infrastructure, compromising power security.</v>
      </c>
      <c r="O65" s="2" t="str">
        <f>_xlfn.LET(_xlpm.result, _xlfn.XLOOKUP($A65,'EA-Fortescue_SDExport'!$A:$A,'EA-Fortescue_SDExport'!AV:AV), IF(_xlpm.result=0,"",_xlpm.result))</f>
        <v>Data Flow: HV Transmission Lines / Protection Systems -&gt; Monarch (line status, power flows, voltage/current measurements, loading levels, protection relay status, fault indications, alarms) for real-time monitoring and network condition assessment.</v>
      </c>
      <c r="P65" s="2" t="str">
        <f>_xlfn.LET(_xlpm.result, _xlfn.XLOOKUP($A65,'EA-Fortescue_SDExport'!$A:$A,'EA-Fortescue_SDExport'!D:D), IF(_xlpm.result=0,"",_xlpm.result))</f>
        <v>NH 20/02/2026: Fields updated: Interface Type, Interface Flow.</v>
      </c>
      <c r="Q65" s="2" t="str">
        <f>_xlfn.LET(
    _xlpm.status, _xlfn.XLOOKUP($A65,'EA-ConnectorExport'!$A:$A,'EA-ConnectorExport'!G:G),
    _xlpm.result, _xlfn.XLOOKUP($A65,'EA-ConnectorExport'!$A:$A,'EA-ConnectorExport'!B:B),
    IF(_xlpm.status="allocate", _xlpm.result, "")
)</f>
        <v>854DC-5660 HV Transmission lines</v>
      </c>
      <c r="R65" s="2" t="str">
        <f>IF(
    _xlfn.XLOOKUP($Q65,'EA-Fortescue_SDExport'!A:A,'EA-Fortescue_SDExport'!B:B)="Object",
    _xlfn.XLOOKUP(
        _xlfn.XLOOKUP($A65,'EA-ConnectorExport'!A:A,'EA-ConnectorExport'!D:D),
        'EA-Fortescue_SDExport'!A:A,
        'EA-Fortescue_SDExport'!AA:AA
    ),
    _xlfn.XLOOKUP($Q65,'EA-Fortescue_SDExport'!A:A,'EA-Fortescue_SDExport'!AA:AA)
)</f>
        <v>System</v>
      </c>
      <c r="S65" s="2" t="str">
        <f>_xlfn.LET(_xlpm.result, _xlfn.XLOOKUP($Q65,'EA-Fortescue_SDExport'!$A:$A,'EA-Fortescue_SDExport'!AB:AB), IF(_xlpm.result=0,"",_xlpm.result))</f>
        <v/>
      </c>
      <c r="T65" s="2" t="str">
        <f>_xlfn.LET(_xlpm.result, _xlfn.XLOOKUP($Q65,'EA-Fortescue_SDExport'!$A:$A,'EA-Fortescue_SDExport'!AC:AC), IF(_xlpm.result=0,"",_xlpm.result))</f>
        <v>Generic Physical Asset</v>
      </c>
      <c r="U65" s="2" t="str">
        <f>_xlfn.LET(
    _xlpm.isObject, _xlfn.XLOOKUP($Q65,'EA-Fortescue_SDExport'!A:A,'EA-Fortescue_SDExport'!B:B),
    _xlpm.lookupKey, IF(_xlpm.isObject="Object",
        _xlfn.XLOOKUP($A65,'EA-ConnectorExport'!A:A,'EA-ConnectorExport'!D:D),
        $Q65
    ),
    _xlpm.result, _xlfn.XLOOKUP(_xlpm.lookupKey,'EA-Fortescue_SDExport'!A:A,'EA-Fortescue_SDExport'!AD:AD),
    IF(_xlpm.result=0,"",_xlpm.result)
)</f>
        <v>854DC Green Power</v>
      </c>
      <c r="V65" s="2" t="str">
        <f>_xlfn.LET(
    _xlpm.isObject, _xlfn.XLOOKUP($Q65,'EA-Fortescue_SDExport'!A:A,'EA-Fortescue_SDExport'!B:B),
    _xlpm.lookupKey, IF(_xlpm.isObject="Object",
        _xlfn.XLOOKUP($A65,'EA-ConnectorExport'!A:A,'EA-ConnectorExport'!D:D),
        $Q65
    ),
    _xlpm.result, _xlfn.XLOOKUP(_xlpm.lookupKey,'EA-Fortescue_SDExport'!A:A,'EA-Fortescue_SDExport'!AE:AE),
    IF(_xlpm.result=0,"",_xlpm.result)
)</f>
        <v>854DC-5660 HV Transmission lines</v>
      </c>
      <c r="W65" s="2" t="str">
        <f>_xlfn.LET(
    _xlpm.isObject, _xlfn.XLOOKUP($Q65,'EA-Fortescue_SDExport'!A:A,'EA-Fortescue_SDExport'!B:B),
    _xlpm.lookupKey, IF(_xlpm.isObject="Object",
        _xlfn.XLOOKUP($A65,'EA-ConnectorExport'!A:A,'EA-ConnectorExport'!D:D),
        $Q65
    ),
    _xlpm.result, _xlfn.XLOOKUP(_xlpm.lookupKey,'EA-Fortescue_SDExport'!A:A,'EA-Fortescue_SDExport'!AF:AF),
    IF(_xlpm.result=0,"",_xlpm.result)
)</f>
        <v/>
      </c>
      <c r="X65" s="2" t="str">
        <f>_xlfn.LET(
    _xlpm.isObject, _xlfn.XLOOKUP($Q65,'EA-Fortescue_SDExport'!A:A,'EA-Fortescue_SDExport'!B:B),
    _xlpm.lookupKey, IF(_xlpm.isObject="Object",
        _xlfn.XLOOKUP($A65,'EA-ConnectorExport'!A:A,'EA-ConnectorExport'!D:D),
        $Q65
    ),
    _xlpm.result, _xlfn.XLOOKUP(_xlpm.lookupKey,'EA-Fortescue_SDExport'!A:A,'EA-Fortescue_SDExport'!AG:AG),
    IF(_xlpm.result=0,"",_xlpm.result)
)</f>
        <v/>
      </c>
      <c r="Y65" s="2" t="str">
        <f>_xlfn.LET(
    _xlpm.status, _xlfn.XLOOKUP($A65,'EA-ConnectorExport'!$A:$A,'EA-ConnectorExport'!G:G),
    _xlpm.result, _xlfn.XLOOKUP($A65,'EA-ConnectorExport'!$A:$A,'EA-ConnectorExport'!H:H),
    IF(_xlpm.status="allocate", _xlpm.result, "")
)</f>
        <v>855DC-1543-008 Monarch</v>
      </c>
      <c r="Z65" s="2" t="str">
        <f>_xlfn.LET(
    _xlpm.isObject, _xlfn.XLOOKUP($Y65,'EA-Fortescue_SDExport'!A:A,'EA-Fortescue_SDExport'!B:B),
    _xlpm.lookupKey, IF(_xlpm.isObject="Object",
        _xlfn.XLOOKUP($A65,'EA-ConnectorExport'!A:A,'EA-ConnectorExport'!J:J),
        $Y65
    ),
    _xlpm.result, _xlfn.XLOOKUP(_xlpm.lookupKey,'EA-Fortescue_SDExport'!A:A,'EA-Fortescue_SDExport'!AA:AA),
    IF(_xlpm.result=0,"",_xlpm.result)
)</f>
        <v>Project</v>
      </c>
      <c r="AA65" s="2" t="str">
        <f>_xlfn.LET(_xlpm.result, _xlfn.XLOOKUP($Y65,'EA-Fortescue_SDExport'!$A:$A,'EA-Fortescue_SDExport'!AB:AB), IF(_xlpm.result=0,"",_xlpm.result))</f>
        <v>Energy Operations</v>
      </c>
      <c r="AB65" s="2" t="str">
        <f>_xlfn.LET(_xlpm.result, _xlfn.XLOOKUP($Y65,'EA-Fortescue_SDExport'!$A:$A,'EA-Fortescue_SDExport'!AC:AC), IF(_xlpm.result=0,"",_xlpm.result))</f>
        <v/>
      </c>
      <c r="AC65" s="2" t="str">
        <f>_xlfn.LET(
    _xlpm.isObject, _xlfn.XLOOKUP($Y65,'EA-Fortescue_SDExport'!A:A,'EA-Fortescue_SDExport'!B:B),
    _xlpm.lookupKey, IF(_xlpm.isObject="Object",
        _xlfn.XLOOKUP($A65,'EA-ConnectorExport'!A:A,'EA-ConnectorExport'!J:J),
        $Y65
    ),
    _xlpm.result, _xlfn.XLOOKUP(_xlpm.lookupKey,'EA-Fortescue_SDExport'!A:A,'EA-Fortescue_SDExport'!AD:AD),
    IF(_xlpm.result=0,"",_xlpm.result)
)</f>
        <v>855DC Decarb Green Systems</v>
      </c>
      <c r="AD65" s="2" t="str">
        <f>_xlfn.LET(
    _xlpm.isObject, _xlfn.XLOOKUP($Y65,'EA-Fortescue_SDExport'!A:A,'EA-Fortescue_SDExport'!B:B),
    _xlpm.lookupKey, IF(_xlpm.isObject="Object",
        _xlfn.XLOOKUP($A65,'EA-ConnectorExport'!A:A,'EA-ConnectorExport'!J:J),
        $Y65
    ),
    _xlpm.result, _xlfn.XLOOKUP(_xlpm.lookupKey,'EA-Fortescue_SDExport'!A:A,'EA-Fortescue_SDExport'!AE:AE),
    IF(_xlpm.result=0,"",_xlpm.result)
)</f>
        <v>855DC-1543 Existing Systems - Green Enhancement</v>
      </c>
      <c r="AE65" s="2" t="str">
        <f>_xlfn.LET(
    _xlpm.isObject, _xlfn.XLOOKUP($Y65,'EA-Fortescue_SDExport'!A:A,'EA-Fortescue_SDExport'!B:B),
    _xlpm.lookupKey, IF(_xlpm.isObject="Object",
        _xlfn.XLOOKUP($A65,'EA-ConnectorExport'!A:A,'EA-ConnectorExport'!J:J),
        $Y65
    ),
    _xlpm.result, _xlfn.XLOOKUP(_xlpm.lookupKey,'EA-Fortescue_SDExport'!A:A,'EA-Fortescue_SDExport'!AF:AF),
    IF(_xlpm.result=0,"",_xlpm.result)
)</f>
        <v>855DC-1543-008 Monarch</v>
      </c>
      <c r="AF65" s="2" t="str">
        <f>_xlfn.LET(
    _xlpm.isObject, _xlfn.XLOOKUP($Y65,'EA-Fortescue_SDExport'!A:A,'EA-Fortescue_SDExport'!B:B),
    _xlpm.lookupKey, IF(_xlpm.isObject="Object",
        _xlfn.XLOOKUP($A65,'EA-ConnectorExport'!A:A,'EA-ConnectorExport'!J:J),
        $Y65
    ),
    _xlpm.result, _xlfn.XLOOKUP(_xlpm.lookupKey,'EA-Fortescue_SDExport'!A:A,'EA-Fortescue_SDExport'!AG:AG),
    IF(_xlpm.result=0,"",_xlpm.result)
)</f>
        <v/>
      </c>
    </row>
    <row r="66" spans="1:32" ht="165" x14ac:dyDescent="0.25">
      <c r="A66" s="2" t="str">
        <v>DGS-I_0065</v>
      </c>
      <c r="B66" s="2" t="str">
        <f t="shared" si="0"/>
        <v>Archive - 852DC Light Mobile Equipment (LME)|859DC-1410-001 HaulX</v>
      </c>
      <c r="C66" s="2" t="str">
        <f>_xlfn.LET(_xlpm.result, _xlfn.XLOOKUP(A66,'EA-Fortescue_SDExport'!A:A,'EA-Fortescue_SDExport'!AM:AM), IF(_xlpm.result=0,"",_xlpm.result))</f>
        <v/>
      </c>
      <c r="D66" s="2" t="str">
        <f>_xlfn.LET(_xlpm.result, _xlfn.XLOOKUP(A66,'EA-Fortescue_SDExport'!A:A,'EA-Fortescue_SDExport'!AN:AN), IF(_xlpm.result=0,"",_xlpm.result))</f>
        <v/>
      </c>
      <c r="E66" s="2" t="str">
        <f>_xlfn.XLOOKUP(R66&amp;Z66,Lookups!A:A,Lookups!B:B)</f>
        <v>Program - Project Interface</v>
      </c>
      <c r="F66" s="2" t="str">
        <f>_xlfn.LET(_xlpm.result, _xlfn.XLOOKUP(A66,'EA-Fortescue_SDExport'!A:A,'EA-Fortescue_SDExport'!AP:AP), IF(_xlpm.result=0,"",_xlpm.result))</f>
        <v/>
      </c>
      <c r="G66" s="2" t="str">
        <f>IF(OR(AND(T66&lt;&gt;"", COUNTIF(Lookups!J:J, "*"&amp;T66&amp;"*")&gt;0), AND(AB66&lt;&gt;"", COUNTIF(Lookups!J:J, "*"&amp;AB66&amp;"*")&gt;0)), "Yes", "No")</f>
        <v>No</v>
      </c>
      <c r="H66" s="2" t="str">
        <f t="shared" si="1"/>
        <v>N/A|859DC HaulX</v>
      </c>
      <c r="I66" s="2" t="str">
        <f t="shared" si="2"/>
        <v>N/A</v>
      </c>
      <c r="J66" s="2" t="str">
        <f t="shared" si="3"/>
        <v>N/A|859DC-1410-001 HaulX</v>
      </c>
      <c r="K66" s="2" t="str">
        <f>_xlfn.XLOOKUP(A66,'EA-Fortescue_SDExport'!A:A,'EA-Fortescue_SDExport'!N:N)</f>
        <v>Deleted</v>
      </c>
      <c r="L66" s="2" t="str">
        <f>_xlfn.LET(_xlpm.result, _xlfn.XLOOKUP($A66,'EA-Fortescue_SDExport'!$A:$A,'EA-Fortescue_SDExport'!AQ:AQ), IF(_xlpm.result=0,"",_xlpm.result))</f>
        <v>This interface shares status or positional data from Light Mobile Equipment (LME) with HaulX to support traffic awareness and coordination around the haul circuit.</v>
      </c>
      <c r="M66" s="2" t="str">
        <f>_xlfn.LET(_xlpm.result, _xlfn.XLOOKUP($A66,'EA-Fortescue_SDExport'!$A:$A,'EA-Fortescue_SDExport'!AR:AR), IF(_xlpm.result=0,"",_xlpm.result))</f>
        <v>LOW</v>
      </c>
      <c r="N66" s="2" t="str">
        <f>_xlfn.LET(_xlpm.result, _xlfn.XLOOKUP($A66,'EA-Fortescue_SDExport'!$A:$A,'EA-Fortescue_SDExport'!AW:AW), IF(_xlpm.result=0,"",_xlpm.result))</f>
        <v>The criticality level is LOW because failure at this interface does not impact real-time production, safety, or core operational control. LME does not significantly restrict haulage, and outages affect efficiency only marginally.</v>
      </c>
      <c r="O66" s="2" t="str">
        <f>_xlfn.LET(_xlpm.result, _xlfn.XLOOKUP($A66,'EA-Fortescue_SDExport'!$A:$A,'EA-Fortescue_SDExport'!AV:AV), IF(_xlpm.result=0,"",_xlpm.result))</f>
        <v/>
      </c>
      <c r="P66" s="2" t="str">
        <f>_xlfn.LET(_xlpm.result, _xlfn.XLOOKUP($A66,'EA-Fortescue_SDExport'!$A:$A,'EA-Fortescue_SDExport'!D:D), IF(_xlpm.result=0,"",_xlpm.result))</f>
        <v>SBS-WBS Mapping 02/01/2026: Delete LME &amp;amp; Merge LME &amp;amp; SME to combined Program Level - Interface deleted.</v>
      </c>
      <c r="Q66" s="2" t="str">
        <f>_xlfn.LET(
    _xlpm.status, _xlfn.XLOOKUP($A66,'EA-ConnectorExport'!$A:$A,'EA-ConnectorExport'!G:G),
    _xlpm.result, _xlfn.XLOOKUP($A66,'EA-ConnectorExport'!$A:$A,'EA-ConnectorExport'!B:B),
    IF(_xlpm.status="allocate", _xlpm.result, "")
)</f>
        <v>Archive - 852DC Light Mobile Equipment (LME)</v>
      </c>
      <c r="R66" s="2" t="str">
        <f>IF(
    _xlfn.XLOOKUP($Q66,'EA-Fortescue_SDExport'!A:A,'EA-Fortescue_SDExport'!B:B)="Object",
    _xlfn.XLOOKUP(
        _xlfn.XLOOKUP($A66,'EA-ConnectorExport'!A:A,'EA-ConnectorExport'!D:D),
        'EA-Fortescue_SDExport'!A:A,
        'EA-Fortescue_SDExport'!AA:AA
    ),
    _xlfn.XLOOKUP($Q66,'EA-Fortescue_SDExport'!A:A,'EA-Fortescue_SDExport'!AA:AA)
)</f>
        <v>Program</v>
      </c>
      <c r="S66" s="2" t="str">
        <f>_xlfn.LET(_xlpm.result, _xlfn.XLOOKUP($Q66,'EA-Fortescue_SDExport'!$A:$A,'EA-Fortescue_SDExport'!AB:AB), IF(_xlpm.result=0,"",_xlpm.result))</f>
        <v/>
      </c>
      <c r="T66" s="2" t="str">
        <f>_xlfn.LET(_xlpm.result, _xlfn.XLOOKUP($Q66,'EA-Fortescue_SDExport'!$A:$A,'EA-Fortescue_SDExport'!AC:AC), IF(_xlpm.result=0,"",_xlpm.result))</f>
        <v>Generic Physical Asset</v>
      </c>
      <c r="U66" s="2" t="str">
        <f>_xlfn.LET(
    _xlpm.isObject, _xlfn.XLOOKUP($Q66,'EA-Fortescue_SDExport'!A:A,'EA-Fortescue_SDExport'!B:B),
    _xlpm.lookupKey, IF(_xlpm.isObject="Object",
        _xlfn.XLOOKUP($A66,'EA-ConnectorExport'!A:A,'EA-ConnectorExport'!D:D),
        $Q66
    ),
    _xlpm.result, _xlfn.XLOOKUP(_xlpm.lookupKey,'EA-Fortescue_SDExport'!A:A,'EA-Fortescue_SDExport'!AD:AD),
    IF(_xlpm.result=0,"",_xlpm.result)
)</f>
        <v/>
      </c>
      <c r="V66" s="2" t="str">
        <f>_xlfn.LET(
    _xlpm.isObject, _xlfn.XLOOKUP($Q66,'EA-Fortescue_SDExport'!A:A,'EA-Fortescue_SDExport'!B:B),
    _xlpm.lookupKey, IF(_xlpm.isObject="Object",
        _xlfn.XLOOKUP($A66,'EA-ConnectorExport'!A:A,'EA-ConnectorExport'!D:D),
        $Q66
    ),
    _xlpm.result, _xlfn.XLOOKUP(_xlpm.lookupKey,'EA-Fortescue_SDExport'!A:A,'EA-Fortescue_SDExport'!AE:AE),
    IF(_xlpm.result=0,"",_xlpm.result)
)</f>
        <v/>
      </c>
      <c r="W66" s="2" t="str">
        <f>_xlfn.LET(
    _xlpm.isObject, _xlfn.XLOOKUP($Q66,'EA-Fortescue_SDExport'!A:A,'EA-Fortescue_SDExport'!B:B),
    _xlpm.lookupKey, IF(_xlpm.isObject="Object",
        _xlfn.XLOOKUP($A66,'EA-ConnectorExport'!A:A,'EA-ConnectorExport'!D:D),
        $Q66
    ),
    _xlpm.result, _xlfn.XLOOKUP(_xlpm.lookupKey,'EA-Fortescue_SDExport'!A:A,'EA-Fortescue_SDExport'!AF:AF),
    IF(_xlpm.result=0,"",_xlpm.result)
)</f>
        <v/>
      </c>
      <c r="X66" s="2" t="str">
        <f>_xlfn.LET(
    _xlpm.isObject, _xlfn.XLOOKUP($Q66,'EA-Fortescue_SDExport'!A:A,'EA-Fortescue_SDExport'!B:B),
    _xlpm.lookupKey, IF(_xlpm.isObject="Object",
        _xlfn.XLOOKUP($A66,'EA-ConnectorExport'!A:A,'EA-ConnectorExport'!D:D),
        $Q66
    ),
    _xlpm.result, _xlfn.XLOOKUP(_xlpm.lookupKey,'EA-Fortescue_SDExport'!A:A,'EA-Fortescue_SDExport'!AG:AG),
    IF(_xlpm.result=0,"",_xlpm.result)
)</f>
        <v/>
      </c>
      <c r="Y66" s="2" t="str">
        <f>_xlfn.LET(
    _xlpm.status, _xlfn.XLOOKUP($A66,'EA-ConnectorExport'!$A:$A,'EA-ConnectorExport'!G:G),
    _xlpm.result, _xlfn.XLOOKUP($A66,'EA-ConnectorExport'!$A:$A,'EA-ConnectorExport'!H:H),
    IF(_xlpm.status="allocate", _xlpm.result, "")
)</f>
        <v>859DC-1410-001 HaulX</v>
      </c>
      <c r="Z66" s="2" t="str">
        <f>_xlfn.LET(
    _xlpm.isObject, _xlfn.XLOOKUP($Y66,'EA-Fortescue_SDExport'!A:A,'EA-Fortescue_SDExport'!B:B),
    _xlpm.lookupKey, IF(_xlpm.isObject="Object",
        _xlfn.XLOOKUP($A66,'EA-ConnectorExport'!A:A,'EA-ConnectorExport'!J:J),
        $Y66
    ),
    _xlpm.result, _xlfn.XLOOKUP(_xlpm.lookupKey,'EA-Fortescue_SDExport'!A:A,'EA-Fortescue_SDExport'!AA:AA),
    IF(_xlpm.result=0,"",_xlpm.result)
)</f>
        <v>Project</v>
      </c>
      <c r="AA66" s="2" t="str">
        <f>_xlfn.LET(_xlpm.result, _xlfn.XLOOKUP($Y66,'EA-Fortescue_SDExport'!$A:$A,'EA-Fortescue_SDExport'!AB:AB), IF(_xlpm.result=0,"",_xlpm.result))</f>
        <v/>
      </c>
      <c r="AB66" s="2" t="str">
        <f>_xlfn.LET(_xlpm.result, _xlfn.XLOOKUP($Y66,'EA-Fortescue_SDExport'!$A:$A,'EA-Fortescue_SDExport'!AC:AC), IF(_xlpm.result=0,"",_xlpm.result))</f>
        <v/>
      </c>
      <c r="AC66" s="2" t="str">
        <f>_xlfn.LET(
    _xlpm.isObject, _xlfn.XLOOKUP($Y66,'EA-Fortescue_SDExport'!A:A,'EA-Fortescue_SDExport'!B:B),
    _xlpm.lookupKey, IF(_xlpm.isObject="Object",
        _xlfn.XLOOKUP($A66,'EA-ConnectorExport'!A:A,'EA-ConnectorExport'!J:J),
        $Y66
    ),
    _xlpm.result, _xlfn.XLOOKUP(_xlpm.lookupKey,'EA-Fortescue_SDExport'!A:A,'EA-Fortescue_SDExport'!AD:AD),
    IF(_xlpm.result=0,"",_xlpm.result)
)</f>
        <v>859DC HaulX</v>
      </c>
      <c r="AD66" s="2" t="str">
        <f>_xlfn.LET(
    _xlpm.isObject, _xlfn.XLOOKUP($Y66,'EA-Fortescue_SDExport'!A:A,'EA-Fortescue_SDExport'!B:B),
    _xlpm.lookupKey, IF(_xlpm.isObject="Object",
        _xlfn.XLOOKUP($A66,'EA-ConnectorExport'!A:A,'EA-ConnectorExport'!J:J),
        $Y66
    ),
    _xlpm.result, _xlfn.XLOOKUP(_xlpm.lookupKey,'EA-Fortescue_SDExport'!A:A,'EA-Fortescue_SDExport'!AE:AE),
    IF(_xlpm.result=0,"",_xlpm.result)
)</f>
        <v/>
      </c>
      <c r="AE66" s="2" t="str">
        <f>_xlfn.LET(
    _xlpm.isObject, _xlfn.XLOOKUP($Y66,'EA-Fortescue_SDExport'!A:A,'EA-Fortescue_SDExport'!B:B),
    _xlpm.lookupKey, IF(_xlpm.isObject="Object",
        _xlfn.XLOOKUP($A66,'EA-ConnectorExport'!A:A,'EA-ConnectorExport'!J:J),
        $Y66
    ),
    _xlpm.result, _xlfn.XLOOKUP(_xlpm.lookupKey,'EA-Fortescue_SDExport'!A:A,'EA-Fortescue_SDExport'!AF:AF),
    IF(_xlpm.result=0,"",_xlpm.result)
)</f>
        <v>859DC-1410-001 HaulX</v>
      </c>
      <c r="AF66" s="2" t="str">
        <f>_xlfn.LET(
    _xlpm.isObject, _xlfn.XLOOKUP($Y66,'EA-Fortescue_SDExport'!A:A,'EA-Fortescue_SDExport'!B:B),
    _xlpm.lookupKey, IF(_xlpm.isObject="Object",
        _xlfn.XLOOKUP($A66,'EA-ConnectorExport'!A:A,'EA-ConnectorExport'!J:J),
        $Y66
    ),
    _xlpm.result, _xlfn.XLOOKUP(_xlpm.lookupKey,'EA-Fortescue_SDExport'!A:A,'EA-Fortescue_SDExport'!AG:AG),
    IF(_xlpm.result=0,"",_xlpm.result)
)</f>
        <v/>
      </c>
    </row>
    <row r="67" spans="1:32" ht="180" x14ac:dyDescent="0.25">
      <c r="A67" s="2" t="str">
        <v>DGS-I_0066</v>
      </c>
      <c r="B67" s="2" t="str">
        <f t="shared" ref="B67:B130" si="4">Q67 &amp; "|" &amp; Y67</f>
        <v>853DC-1561 Drill Rig|859DC-1410-001 HaulX</v>
      </c>
      <c r="C67" s="2" t="str">
        <f>_xlfn.LET(_xlpm.result, _xlfn.XLOOKUP(A67,'EA-Fortescue_SDExport'!A:A,'EA-Fortescue_SDExport'!AM:AM), IF(_xlpm.result=0,"",_xlpm.result))</f>
        <v/>
      </c>
      <c r="D67" s="2" t="str">
        <f>_xlfn.LET(_xlpm.result, _xlfn.XLOOKUP(A67,'EA-Fortescue_SDExport'!A:A,'EA-Fortescue_SDExport'!AN:AN), IF(_xlpm.result=0,"",_xlpm.result))</f>
        <v/>
      </c>
      <c r="E67" s="2" t="str">
        <f>_xlfn.XLOOKUP(R67&amp;Z67,Lookups!A:A,Lookups!B:B)</f>
        <v>System - Project Interface</v>
      </c>
      <c r="F67" s="2" t="str">
        <f>_xlfn.LET(_xlpm.result, _xlfn.XLOOKUP(A67,'EA-Fortescue_SDExport'!A:A,'EA-Fortescue_SDExport'!AP:AP), IF(_xlpm.result=0,"",_xlpm.result))</f>
        <v>Functional-Operational</v>
      </c>
      <c r="G67" s="2" t="str">
        <f>IF(OR(AND(T67&lt;&gt;"", COUNTIF(Lookups!J:J, "*"&amp;T67&amp;"*")&gt;0), AND(AB67&lt;&gt;"", COUNTIF(Lookups!J:J, "*"&amp;AB67&amp;"*")&gt;0)), "Yes", "No")</f>
        <v>No</v>
      </c>
      <c r="H67" s="2" t="str">
        <f t="shared" ref="H67:H130" si="5">IF(AND(U67="",AC67=""),"N/A",IF(U67="", "N/A|" &amp; AC67, IF(AC67="", U67 &amp; "|N/A", U67 &amp; "|" &amp; AC67)))</f>
        <v>853DC Decarb Ancillary|859DC HaulX</v>
      </c>
      <c r="I67" s="2" t="str">
        <f t="shared" ref="I67:I130" si="6">IF(AND(V67="",AD67=""),"N/A",IF(V67="","N/A|" &amp; AD67,IF(AD67="",V67 &amp; "|N/A",V67 &amp; "|" &amp; AD67)))</f>
        <v>853DC-1561 Drill Rig|N/A</v>
      </c>
      <c r="J67" s="2" t="str">
        <f t="shared" ref="J67:J130" si="7">IF(AND(W67="",AE67=""),"N/A",IF(W67="","N/A|" &amp; AE67,IF(AE67="",W67 &amp; "|N/A",W67 &amp; "|" &amp; AE67)))</f>
        <v>N/A|859DC-1410-001 HaulX</v>
      </c>
      <c r="K67" s="2" t="str">
        <f>_xlfn.XLOOKUP(A67,'EA-Fortescue_SDExport'!A:A,'EA-Fortescue_SDExport'!N:N)</f>
        <v>Proposed</v>
      </c>
      <c r="L67" s="2" t="str">
        <f>_xlfn.LET(_xlpm.result, _xlfn.XLOOKUP($A67,'EA-Fortescue_SDExport'!$A:$A,'EA-Fortescue_SDExport'!AQ:AQ), IF(_xlpm.result=0,"",_xlpm.result))</f>
        <v>This interface links the drill rig system with HaulX for location information, operational status, or integration into autonomous haulage awareness (depending on deployment).</v>
      </c>
      <c r="M67" s="2" t="str">
        <f>_xlfn.LET(_xlpm.result, _xlfn.XLOOKUP($A67,'EA-Fortescue_SDExport'!$A:$A,'EA-Fortescue_SDExport'!AR:AR), IF(_xlpm.result=0,"",_xlpm.result))</f>
        <v>LOW</v>
      </c>
      <c r="N67" s="2" t="str">
        <f>_xlfn.LET(_xlpm.result, _xlfn.XLOOKUP($A67,'EA-Fortescue_SDExport'!$A:$A,'EA-Fortescue_SDExport'!AW:AW), IF(_xlpm.result=0,"",_xlpm.result))</f>
        <v>This interface is rated LOW because it supports situational awareness rather than direct operational control or safety interlocking. Failure may reduce coordination efficiency or visibility of drill locations but does not directly affect production continuity, safety systems, or core haulage control. Manual coordination processes can mitigate the impact.</v>
      </c>
      <c r="O67" s="2" t="str">
        <f>_xlfn.LET(_xlpm.result, _xlfn.XLOOKUP($A67,'EA-Fortescue_SDExport'!$A:$A,'EA-Fortescue_SDExport'!AV:AV), IF(_xlpm.result=0,"",_xlpm.result))</f>
        <v>Data Flow:_x000D_
Drill Rig (853DC-1561) -&gt; HaulX Control (859DC-1410-001), transmitting location (GPS), operational status (active/idle/maintenance), working zone boundaries, and basic activity state to support haulage situational awareness and traffic coordination._x000D_
HaulX -&gt; Drill Rig (where implemented), providing advisory proximity notifications or awareness information related to nearby haulage movements._x000D_
Control Flow:_x000D_
No direct control of drilling operations is exercised by HaulX. The interface supports awareness and optional integration into autonomous haulage logic.</v>
      </c>
      <c r="P67" s="2" t="str">
        <f>_xlfn.LET(_xlpm.result, _xlfn.XLOOKUP($A67,'EA-Fortescue_SDExport'!$A:$A,'EA-Fortescue_SDExport'!D:D), IF(_xlpm.result=0,"",_xlpm.result))</f>
        <v/>
      </c>
      <c r="Q67" s="2" t="str">
        <f>_xlfn.LET(
    _xlpm.status, _xlfn.XLOOKUP($A67,'EA-ConnectorExport'!$A:$A,'EA-ConnectorExport'!G:G),
    _xlpm.result, _xlfn.XLOOKUP($A67,'EA-ConnectorExport'!$A:$A,'EA-ConnectorExport'!B:B),
    IF(_xlpm.status="allocate", _xlpm.result, "")
)</f>
        <v>853DC-1561 Drill Rig</v>
      </c>
      <c r="R67" s="2" t="str">
        <f>IF(
    _xlfn.XLOOKUP($Q67,'EA-Fortescue_SDExport'!A:A,'EA-Fortescue_SDExport'!B:B)="Object",
    _xlfn.XLOOKUP(
        _xlfn.XLOOKUP($A67,'EA-ConnectorExport'!A:A,'EA-ConnectorExport'!D:D),
        'EA-Fortescue_SDExport'!A:A,
        'EA-Fortescue_SDExport'!AA:AA
    ),
    _xlfn.XLOOKUP($Q67,'EA-Fortescue_SDExport'!A:A,'EA-Fortescue_SDExport'!AA:AA)
)</f>
        <v>System</v>
      </c>
      <c r="S67" s="2" t="str">
        <f>_xlfn.LET(_xlpm.result, _xlfn.XLOOKUP($Q67,'EA-Fortescue_SDExport'!$A:$A,'EA-Fortescue_SDExport'!AB:AB), IF(_xlpm.result=0,"",_xlpm.result))</f>
        <v/>
      </c>
      <c r="T67" s="2" t="str">
        <f>_xlfn.LET(_xlpm.result, _xlfn.XLOOKUP($Q67,'EA-Fortescue_SDExport'!$A:$A,'EA-Fortescue_SDExport'!AC:AC), IF(_xlpm.result=0,"",_xlpm.result))</f>
        <v>Generic Physical Asset</v>
      </c>
      <c r="U67" s="2" t="str">
        <f>_xlfn.LET(
    _xlpm.isObject, _xlfn.XLOOKUP($Q67,'EA-Fortescue_SDExport'!A:A,'EA-Fortescue_SDExport'!B:B),
    _xlpm.lookupKey, IF(_xlpm.isObject="Object",
        _xlfn.XLOOKUP($A67,'EA-ConnectorExport'!A:A,'EA-ConnectorExport'!D:D),
        $Q67
    ),
    _xlpm.result, _xlfn.XLOOKUP(_xlpm.lookupKey,'EA-Fortescue_SDExport'!A:A,'EA-Fortescue_SDExport'!AD:AD),
    IF(_xlpm.result=0,"",_xlpm.result)
)</f>
        <v>853DC Decarb Ancillary</v>
      </c>
      <c r="V67" s="2" t="str">
        <f>_xlfn.LET(
    _xlpm.isObject, _xlfn.XLOOKUP($Q67,'EA-Fortescue_SDExport'!A:A,'EA-Fortescue_SDExport'!B:B),
    _xlpm.lookupKey, IF(_xlpm.isObject="Object",
        _xlfn.XLOOKUP($A67,'EA-ConnectorExport'!A:A,'EA-ConnectorExport'!D:D),
        $Q67
    ),
    _xlpm.result, _xlfn.XLOOKUP(_xlpm.lookupKey,'EA-Fortescue_SDExport'!A:A,'EA-Fortescue_SDExport'!AE:AE),
    IF(_xlpm.result=0,"",_xlpm.result)
)</f>
        <v>853DC-1561 Drill Rig</v>
      </c>
      <c r="W67" s="2" t="str">
        <f>_xlfn.LET(
    _xlpm.isObject, _xlfn.XLOOKUP($Q67,'EA-Fortescue_SDExport'!A:A,'EA-Fortescue_SDExport'!B:B),
    _xlpm.lookupKey, IF(_xlpm.isObject="Object",
        _xlfn.XLOOKUP($A67,'EA-ConnectorExport'!A:A,'EA-ConnectorExport'!D:D),
        $Q67
    ),
    _xlpm.result, _xlfn.XLOOKUP(_xlpm.lookupKey,'EA-Fortescue_SDExport'!A:A,'EA-Fortescue_SDExport'!AF:AF),
    IF(_xlpm.result=0,"",_xlpm.result)
)</f>
        <v/>
      </c>
      <c r="X67" s="2" t="str">
        <f>_xlfn.LET(
    _xlpm.isObject, _xlfn.XLOOKUP($Q67,'EA-Fortescue_SDExport'!A:A,'EA-Fortescue_SDExport'!B:B),
    _xlpm.lookupKey, IF(_xlpm.isObject="Object",
        _xlfn.XLOOKUP($A67,'EA-ConnectorExport'!A:A,'EA-ConnectorExport'!D:D),
        $Q67
    ),
    _xlpm.result, _xlfn.XLOOKUP(_xlpm.lookupKey,'EA-Fortescue_SDExport'!A:A,'EA-Fortescue_SDExport'!AG:AG),
    IF(_xlpm.result=0,"",_xlpm.result)
)</f>
        <v/>
      </c>
      <c r="Y67" s="2" t="str">
        <f>_xlfn.LET(
    _xlpm.status, _xlfn.XLOOKUP($A67,'EA-ConnectorExport'!$A:$A,'EA-ConnectorExport'!G:G),
    _xlpm.result, _xlfn.XLOOKUP($A67,'EA-ConnectorExport'!$A:$A,'EA-ConnectorExport'!H:H),
    IF(_xlpm.status="allocate", _xlpm.result, "")
)</f>
        <v>859DC-1410-001 HaulX</v>
      </c>
      <c r="Z67" s="2" t="str">
        <f>_xlfn.LET(
    _xlpm.isObject, _xlfn.XLOOKUP($Y67,'EA-Fortescue_SDExport'!A:A,'EA-Fortescue_SDExport'!B:B),
    _xlpm.lookupKey, IF(_xlpm.isObject="Object",
        _xlfn.XLOOKUP($A67,'EA-ConnectorExport'!A:A,'EA-ConnectorExport'!J:J),
        $Y67
    ),
    _xlpm.result, _xlfn.XLOOKUP(_xlpm.lookupKey,'EA-Fortescue_SDExport'!A:A,'EA-Fortescue_SDExport'!AA:AA),
    IF(_xlpm.result=0,"",_xlpm.result)
)</f>
        <v>Project</v>
      </c>
      <c r="AA67" s="2" t="str">
        <f>_xlfn.LET(_xlpm.result, _xlfn.XLOOKUP($Y67,'EA-Fortescue_SDExport'!$A:$A,'EA-Fortescue_SDExport'!AB:AB), IF(_xlpm.result=0,"",_xlpm.result))</f>
        <v/>
      </c>
      <c r="AB67" s="2" t="str">
        <f>_xlfn.LET(_xlpm.result, _xlfn.XLOOKUP($Y67,'EA-Fortescue_SDExport'!$A:$A,'EA-Fortescue_SDExport'!AC:AC), IF(_xlpm.result=0,"",_xlpm.result))</f>
        <v/>
      </c>
      <c r="AC67" s="2" t="str">
        <f>_xlfn.LET(
    _xlpm.isObject, _xlfn.XLOOKUP($Y67,'EA-Fortescue_SDExport'!A:A,'EA-Fortescue_SDExport'!B:B),
    _xlpm.lookupKey, IF(_xlpm.isObject="Object",
        _xlfn.XLOOKUP($A67,'EA-ConnectorExport'!A:A,'EA-ConnectorExport'!J:J),
        $Y67
    ),
    _xlpm.result, _xlfn.XLOOKUP(_xlpm.lookupKey,'EA-Fortescue_SDExport'!A:A,'EA-Fortescue_SDExport'!AD:AD),
    IF(_xlpm.result=0,"",_xlpm.result)
)</f>
        <v>859DC HaulX</v>
      </c>
      <c r="AD67" s="2" t="str">
        <f>_xlfn.LET(
    _xlpm.isObject, _xlfn.XLOOKUP($Y67,'EA-Fortescue_SDExport'!A:A,'EA-Fortescue_SDExport'!B:B),
    _xlpm.lookupKey, IF(_xlpm.isObject="Object",
        _xlfn.XLOOKUP($A67,'EA-ConnectorExport'!A:A,'EA-ConnectorExport'!J:J),
        $Y67
    ),
    _xlpm.result, _xlfn.XLOOKUP(_xlpm.lookupKey,'EA-Fortescue_SDExport'!A:A,'EA-Fortescue_SDExport'!AE:AE),
    IF(_xlpm.result=0,"",_xlpm.result)
)</f>
        <v/>
      </c>
      <c r="AE67" s="2" t="str">
        <f>_xlfn.LET(
    _xlpm.isObject, _xlfn.XLOOKUP($Y67,'EA-Fortescue_SDExport'!A:A,'EA-Fortescue_SDExport'!B:B),
    _xlpm.lookupKey, IF(_xlpm.isObject="Object",
        _xlfn.XLOOKUP($A67,'EA-ConnectorExport'!A:A,'EA-ConnectorExport'!J:J),
        $Y67
    ),
    _xlpm.result, _xlfn.XLOOKUP(_xlpm.lookupKey,'EA-Fortescue_SDExport'!A:A,'EA-Fortescue_SDExport'!AF:AF),
    IF(_xlpm.result=0,"",_xlpm.result)
)</f>
        <v>859DC-1410-001 HaulX</v>
      </c>
      <c r="AF67" s="2" t="str">
        <f>_xlfn.LET(
    _xlpm.isObject, _xlfn.XLOOKUP($Y67,'EA-Fortescue_SDExport'!A:A,'EA-Fortescue_SDExport'!B:B),
    _xlpm.lookupKey, IF(_xlpm.isObject="Object",
        _xlfn.XLOOKUP($A67,'EA-ConnectorExport'!A:A,'EA-ConnectorExport'!J:J),
        $Y67
    ),
    _xlpm.result, _xlfn.XLOOKUP(_xlpm.lookupKey,'EA-Fortescue_SDExport'!A:A,'EA-Fortescue_SDExport'!AG:AG),
    IF(_xlpm.result=0,"",_xlpm.result)
)</f>
        <v/>
      </c>
    </row>
    <row r="68" spans="1:32" ht="300" x14ac:dyDescent="0.25">
      <c r="A68" s="2" t="str">
        <v>DGS-I_0067</v>
      </c>
      <c r="B68" s="2" t="str">
        <f t="shared" si="4"/>
        <v>002OP-2000 Dewatering Pumps|855DC-1543-PPC Pit Power Capacity Planning Tool - Capacity Check</v>
      </c>
      <c r="C68" s="2" t="str">
        <f>_xlfn.LET(_xlpm.result, _xlfn.XLOOKUP(A68,'EA-Fortescue_SDExport'!A:A,'EA-Fortescue_SDExport'!AM:AM), IF(_xlpm.result=0,"",_xlpm.result))</f>
        <v/>
      </c>
      <c r="D68" s="2" t="str">
        <f>_xlfn.LET(_xlpm.result, _xlfn.XLOOKUP(A68,'EA-Fortescue_SDExport'!A:A,'EA-Fortescue_SDExport'!AN:AN), IF(_xlpm.result=0,"",_xlpm.result))</f>
        <v/>
      </c>
      <c r="E68" s="2" t="str">
        <f>_xlfn.XLOOKUP(R68&amp;Z68,Lookups!A:A,Lookups!B:B)</f>
        <v>System - Project Interface</v>
      </c>
      <c r="F68" s="2" t="str">
        <f>_xlfn.LET(_xlpm.result, _xlfn.XLOOKUP(A68,'EA-Fortescue_SDExport'!A:A,'EA-Fortescue_SDExport'!AP:AP), IF(_xlpm.result=0,"",_xlpm.result))</f>
        <v>Technical - Data/Software</v>
      </c>
      <c r="G68" s="2" t="str">
        <f>IF(OR(AND(T68&lt;&gt;"", COUNTIF(Lookups!J:J, "*"&amp;T68&amp;"*")&gt;0), AND(AB68&lt;&gt;"", COUNTIF(Lookups!J:J, "*"&amp;AB68&amp;"*")&gt;0)), "Yes", "No")</f>
        <v>No</v>
      </c>
      <c r="H68" s="2" t="str">
        <f t="shared" si="5"/>
        <v>002OP Non-Process Infrastructure (NPI)|855DC Decarb Green Systems</v>
      </c>
      <c r="I68" s="2" t="str">
        <f t="shared" si="6"/>
        <v>002OP-2000 Dewatering Pumps|N/A</v>
      </c>
      <c r="J68" s="2" t="str">
        <f t="shared" si="7"/>
        <v>N/A|855DC-1543-PPC Pit Power Capacity Planning Tool - Capacity Check</v>
      </c>
      <c r="K68" s="2" t="str">
        <f>_xlfn.XLOOKUP(A68,'EA-Fortescue_SDExport'!A:A,'EA-Fortescue_SDExport'!N:N)</f>
        <v>Proposed</v>
      </c>
      <c r="L68" s="2" t="str">
        <f>_xlfn.LET(_xlpm.result, _xlfn.XLOOKUP($A68,'EA-Fortescue_SDExport'!$A:$A,'EA-Fortescue_SDExport'!AQ:AQ), IF(_xlpm.result=0,"",_xlpm.result))</f>
        <v>This interface provides the Pit Power Capacity Planning Tool - Capacity Check with electrical load and operational data from the Dewatering Pumps, including flow rates, pump status, and peak power demands. The tool uses this information to assess pit network capacity and support safe, reliable power allocation. This interface is read-only and does not control the Dewatering Pumps.</v>
      </c>
      <c r="M68" s="2" t="str">
        <f>_xlfn.LET(_xlpm.result, _xlfn.XLOOKUP($A68,'EA-Fortescue_SDExport'!$A:$A,'EA-Fortescue_SDExport'!AR:AR), IF(_xlpm.result=0,"",_xlpm.result))</f>
        <v>HIGH</v>
      </c>
      <c r="N68" s="2" t="str">
        <f>_xlfn.LET(_xlpm.result, _xlfn.XLOOKUP($A68,'EA-Fortescue_SDExport'!$A:$A,'EA-Fortescue_SDExport'!AW:AW), IF(_xlpm.result=0,"",_xlpm.result))</f>
        <v>The criticality is HIGH because the Dewatering Pumps represent a significant and continuous electrical load. Accurate and timely data is essential for the tool to prevent network overloads and ensure reliable pit power system operation.</v>
      </c>
      <c r="O68" s="2" t="str">
        <f>_xlfn.LET(_xlpm.result, _xlfn.XLOOKUP($A68,'EA-Fortescue_SDExport'!$A:$A,'EA-Fortescue_SDExport'!AV:AV), IF(_xlpm.result=0,"",_xlpm.result))</f>
        <v>Dewatering Pumps -&gt; Pit Power Capacity Planning Tool - Capacity Check</v>
      </c>
      <c r="P68" s="2" t="str">
        <f>_xlfn.LET(_xlpm.result, _xlfn.XLOOKUP($A68,'EA-Fortescue_SDExport'!$A:$A,'EA-Fortescue_SDExport'!D:D),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68" s="2" t="str">
        <f>_xlfn.LET(
    _xlpm.status, _xlfn.XLOOKUP($A68,'EA-ConnectorExport'!$A:$A,'EA-ConnectorExport'!G:G),
    _xlpm.result, _xlfn.XLOOKUP($A68,'EA-ConnectorExport'!$A:$A,'EA-ConnectorExport'!B:B),
    IF(_xlpm.status="allocate", _xlpm.result, "")
)</f>
        <v>002OP-2000 Dewatering Pumps</v>
      </c>
      <c r="R68" s="2" t="str">
        <f>IF(
    _xlfn.XLOOKUP($Q68,'EA-Fortescue_SDExport'!A:A,'EA-Fortescue_SDExport'!B:B)="Object",
    _xlfn.XLOOKUP(
        _xlfn.XLOOKUP($A68,'EA-ConnectorExport'!A:A,'EA-ConnectorExport'!D:D),
        'EA-Fortescue_SDExport'!A:A,
        'EA-Fortescue_SDExport'!AA:AA
    ),
    _xlfn.XLOOKUP($Q68,'EA-Fortescue_SDExport'!A:A,'EA-Fortescue_SDExport'!AA:AA)
)</f>
        <v>System</v>
      </c>
      <c r="S68" s="2" t="str">
        <f>_xlfn.LET(_xlpm.result, _xlfn.XLOOKUP($Q68,'EA-Fortescue_SDExport'!$A:$A,'EA-Fortescue_SDExport'!AB:AB), IF(_xlpm.result=0,"",_xlpm.result))</f>
        <v/>
      </c>
      <c r="T68" s="2" t="str">
        <f>_xlfn.LET(_xlpm.result, _xlfn.XLOOKUP($Q68,'EA-Fortescue_SDExport'!$A:$A,'EA-Fortescue_SDExport'!AC:AC), IF(_xlpm.result=0,"",_xlpm.result))</f>
        <v>Generic Physical Asset</v>
      </c>
      <c r="U68" s="2" t="str">
        <f>_xlfn.LET(
    _xlpm.isObject, _xlfn.XLOOKUP($Q68,'EA-Fortescue_SDExport'!A:A,'EA-Fortescue_SDExport'!B:B),
    _xlpm.lookupKey, IF(_xlpm.isObject="Object",
        _xlfn.XLOOKUP($A68,'EA-ConnectorExport'!A:A,'EA-ConnectorExport'!D:D),
        $Q68
    ),
    _xlpm.result, _xlfn.XLOOKUP(_xlpm.lookupKey,'EA-Fortescue_SDExport'!A:A,'EA-Fortescue_SDExport'!AD:AD),
    IF(_xlpm.result=0,"",_xlpm.result)
)</f>
        <v>002OP Non-Process Infrastructure (NPI)</v>
      </c>
      <c r="V68" s="2" t="str">
        <f>_xlfn.LET(
    _xlpm.isObject, _xlfn.XLOOKUP($Q68,'EA-Fortescue_SDExport'!A:A,'EA-Fortescue_SDExport'!B:B),
    _xlpm.lookupKey, IF(_xlpm.isObject="Object",
        _xlfn.XLOOKUP($A68,'EA-ConnectorExport'!A:A,'EA-ConnectorExport'!D:D),
        $Q68
    ),
    _xlpm.result, _xlfn.XLOOKUP(_xlpm.lookupKey,'EA-Fortescue_SDExport'!A:A,'EA-Fortescue_SDExport'!AE:AE),
    IF(_xlpm.result=0,"",_xlpm.result)
)</f>
        <v>002OP-2000 Dewatering Pumps</v>
      </c>
      <c r="W68" s="2" t="str">
        <f>_xlfn.LET(
    _xlpm.isObject, _xlfn.XLOOKUP($Q68,'EA-Fortescue_SDExport'!A:A,'EA-Fortescue_SDExport'!B:B),
    _xlpm.lookupKey, IF(_xlpm.isObject="Object",
        _xlfn.XLOOKUP($A68,'EA-ConnectorExport'!A:A,'EA-ConnectorExport'!D:D),
        $Q68
    ),
    _xlpm.result, _xlfn.XLOOKUP(_xlpm.lookupKey,'EA-Fortescue_SDExport'!A:A,'EA-Fortescue_SDExport'!AF:AF),
    IF(_xlpm.result=0,"",_xlpm.result)
)</f>
        <v/>
      </c>
      <c r="X68" s="2" t="str">
        <f>_xlfn.LET(
    _xlpm.isObject, _xlfn.XLOOKUP($Q68,'EA-Fortescue_SDExport'!A:A,'EA-Fortescue_SDExport'!B:B),
    _xlpm.lookupKey, IF(_xlpm.isObject="Object",
        _xlfn.XLOOKUP($A68,'EA-ConnectorExport'!A:A,'EA-ConnectorExport'!D:D),
        $Q68
    ),
    _xlpm.result, _xlfn.XLOOKUP(_xlpm.lookupKey,'EA-Fortescue_SDExport'!A:A,'EA-Fortescue_SDExport'!AG:AG),
    IF(_xlpm.result=0,"",_xlpm.result)
)</f>
        <v/>
      </c>
      <c r="Y68" s="2" t="str">
        <f>_xlfn.LET(
    _xlpm.status, _xlfn.XLOOKUP($A68,'EA-ConnectorExport'!$A:$A,'EA-ConnectorExport'!G:G),
    _xlpm.result, _xlfn.XLOOKUP($A68,'EA-ConnectorExport'!$A:$A,'EA-ConnectorExport'!H:H),
    IF(_xlpm.status="allocate", _xlpm.result, "")
)</f>
        <v>855DC-1543-PPC Pit Power Capacity Planning Tool - Capacity Check</v>
      </c>
      <c r="Z68" s="2" t="str">
        <f>_xlfn.LET(
    _xlpm.isObject, _xlfn.XLOOKUP($Y68,'EA-Fortescue_SDExport'!A:A,'EA-Fortescue_SDExport'!B:B),
    _xlpm.lookupKey, IF(_xlpm.isObject="Object",
        _xlfn.XLOOKUP($A68,'EA-ConnectorExport'!A:A,'EA-ConnectorExport'!J:J),
        $Y68
    ),
    _xlpm.result, _xlfn.XLOOKUP(_xlpm.lookupKey,'EA-Fortescue_SDExport'!A:A,'EA-Fortescue_SDExport'!AA:AA),
    IF(_xlpm.result=0,"",_xlpm.result)
)</f>
        <v>Project</v>
      </c>
      <c r="AA68" s="2" t="str">
        <f>_xlfn.LET(_xlpm.result, _xlfn.XLOOKUP($Y68,'EA-Fortescue_SDExport'!$A:$A,'EA-Fortescue_SDExport'!AB:AB), IF(_xlpm.result=0,"",_xlpm.result))</f>
        <v>Operations Planning</v>
      </c>
      <c r="AB68" s="2" t="str">
        <f>_xlfn.LET(_xlpm.result, _xlfn.XLOOKUP($Y68,'EA-Fortescue_SDExport'!$A:$A,'EA-Fortescue_SDExport'!AC:AC), IF(_xlpm.result=0,"",_xlpm.result))</f>
        <v>AWS Fortescue Infrastructure</v>
      </c>
      <c r="AC68" s="2" t="str">
        <f>_xlfn.LET(
    _xlpm.isObject, _xlfn.XLOOKUP($Y68,'EA-Fortescue_SDExport'!A:A,'EA-Fortescue_SDExport'!B:B),
    _xlpm.lookupKey, IF(_xlpm.isObject="Object",
        _xlfn.XLOOKUP($A68,'EA-ConnectorExport'!A:A,'EA-ConnectorExport'!J:J),
        $Y68
    ),
    _xlpm.result, _xlfn.XLOOKUP(_xlpm.lookupKey,'EA-Fortescue_SDExport'!A:A,'EA-Fortescue_SDExport'!AD:AD),
    IF(_xlpm.result=0,"",_xlpm.result)
)</f>
        <v>855DC Decarb Green Systems</v>
      </c>
      <c r="AD68" s="2" t="str">
        <f>_xlfn.LET(
    _xlpm.isObject, _xlfn.XLOOKUP($Y68,'EA-Fortescue_SDExport'!A:A,'EA-Fortescue_SDExport'!B:B),
    _xlpm.lookupKey, IF(_xlpm.isObject="Object",
        _xlfn.XLOOKUP($A68,'EA-ConnectorExport'!A:A,'EA-ConnectorExport'!J:J),
        $Y68
    ),
    _xlpm.result, _xlfn.XLOOKUP(_xlpm.lookupKey,'EA-Fortescue_SDExport'!A:A,'EA-Fortescue_SDExport'!AE:AE),
    IF(_xlpm.result=0,"",_xlpm.result)
)</f>
        <v/>
      </c>
      <c r="AE68" s="2" t="str">
        <f>_xlfn.LET(
    _xlpm.isObject, _xlfn.XLOOKUP($Y68,'EA-Fortescue_SDExport'!A:A,'EA-Fortescue_SDExport'!B:B),
    _xlpm.lookupKey, IF(_xlpm.isObject="Object",
        _xlfn.XLOOKUP($A68,'EA-ConnectorExport'!A:A,'EA-ConnectorExport'!J:J),
        $Y68
    ),
    _xlpm.result, _xlfn.XLOOKUP(_xlpm.lookupKey,'EA-Fortescue_SDExport'!A:A,'EA-Fortescue_SDExport'!AF:AF),
    IF(_xlpm.result=0,"",_xlpm.result)
)</f>
        <v>855DC-1543-PPC Pit Power Capacity Planning Tool - Capacity Check</v>
      </c>
      <c r="AF68" s="2" t="str">
        <f>_xlfn.LET(
    _xlpm.isObject, _xlfn.XLOOKUP($Y68,'EA-Fortescue_SDExport'!A:A,'EA-Fortescue_SDExport'!B:B),
    _xlpm.lookupKey, IF(_xlpm.isObject="Object",
        _xlfn.XLOOKUP($A68,'EA-ConnectorExport'!A:A,'EA-ConnectorExport'!J:J),
        $Y68
    ),
    _xlpm.result, _xlfn.XLOOKUP(_xlpm.lookupKey,'EA-Fortescue_SDExport'!A:A,'EA-Fortescue_SDExport'!AG:AG),
    IF(_xlpm.result=0,"",_xlpm.result)
)</f>
        <v/>
      </c>
    </row>
    <row r="69" spans="1:32" ht="300" x14ac:dyDescent="0.25">
      <c r="A69" s="2" t="str">
        <v>DGS-I_0068</v>
      </c>
      <c r="B69" s="2" t="str">
        <f t="shared" si="4"/>
        <v>850DC-1510 Chargers|855DC-1543-PPC Pit Power Capacity Planning Tool - Capacity Check</v>
      </c>
      <c r="C69" s="2" t="str">
        <f>_xlfn.LET(_xlpm.result, _xlfn.XLOOKUP(A69,'EA-Fortescue_SDExport'!A:A,'EA-Fortescue_SDExport'!AM:AM), IF(_xlpm.result=0,"",_xlpm.result))</f>
        <v/>
      </c>
      <c r="D69" s="2" t="str">
        <f>_xlfn.LET(_xlpm.result, _xlfn.XLOOKUP(A69,'EA-Fortescue_SDExport'!A:A,'EA-Fortescue_SDExport'!AN:AN), IF(_xlpm.result=0,"",_xlpm.result))</f>
        <v/>
      </c>
      <c r="E69" s="2" t="str">
        <f>_xlfn.XLOOKUP(R69&amp;Z69,Lookups!A:A,Lookups!B:B)</f>
        <v>System - Project Interface</v>
      </c>
      <c r="F69" s="2" t="str">
        <f>_xlfn.LET(_xlpm.result, _xlfn.XLOOKUP(A69,'EA-Fortescue_SDExport'!A:A,'EA-Fortescue_SDExport'!AP:AP), IF(_xlpm.result=0,"",_xlpm.result))</f>
        <v>Technical - Data/Software</v>
      </c>
      <c r="G69" s="2" t="str">
        <f>IF(OR(AND(T69&lt;&gt;"", COUNTIF(Lookups!J:J, "*"&amp;T69&amp;"*")&gt;0), AND(AB69&lt;&gt;"", COUNTIF(Lookups!J:J, "*"&amp;AB69&amp;"*")&gt;0)), "Yes", "No")</f>
        <v>No</v>
      </c>
      <c r="H69" s="2" t="str">
        <f t="shared" si="5"/>
        <v>850DC Decarb Infrastructure|855DC Decarb Green Systems</v>
      </c>
      <c r="I69" s="2" t="str">
        <f t="shared" si="6"/>
        <v>850DC-1510 Chargers|N/A</v>
      </c>
      <c r="J69" s="2" t="str">
        <f t="shared" si="7"/>
        <v>N/A|855DC-1543-PPC Pit Power Capacity Planning Tool - Capacity Check</v>
      </c>
      <c r="K69" s="2" t="str">
        <f>_xlfn.XLOOKUP(A69,'EA-Fortescue_SDExport'!A:A,'EA-Fortescue_SDExport'!N:N)</f>
        <v>Proposed</v>
      </c>
      <c r="L69" s="2" t="str">
        <f>_xlfn.LET(_xlpm.result, _xlfn.XLOOKUP($A69,'EA-Fortescue_SDExport'!$A:$A,'EA-Fortescue_SDExport'!AQ:AQ), IF(_xlpm.result=0,"",_xlpm.result))</f>
        <v>This interface provides the Pit Power Capacity Planning Tool - Capacity Check with electrical load and operational data from the Chargers, including charging schedules, power draw, and peak demand. The tool uses this information to assess pit network capacity and support safe, reliable power allocation. This interface is read-only and does not control the Chargers.</v>
      </c>
      <c r="M69" s="2" t="str">
        <f>_xlfn.LET(_xlpm.result, _xlfn.XLOOKUP($A69,'EA-Fortescue_SDExport'!$A:$A,'EA-Fortescue_SDExport'!AR:AR), IF(_xlpm.result=0,"",_xlpm.result))</f>
        <v>HIGH</v>
      </c>
      <c r="N69" s="2" t="str">
        <f>_xlfn.LET(_xlpm.result, _xlfn.XLOOKUP($A69,'EA-Fortescue_SDExport'!$A:$A,'EA-Fortescue_SDExport'!AW:AW), IF(_xlpm.result=0,"",_xlpm.result))</f>
        <v>The criticality is HIGH because the Chargers constitute a large and variable electrical load. Accurate and timely data is essential for the tool to prevent network overloads and ensure reliable operation of pit power systems.</v>
      </c>
      <c r="O69" s="2" t="str">
        <f>_xlfn.LET(_xlpm.result, _xlfn.XLOOKUP($A69,'EA-Fortescue_SDExport'!$A:$A,'EA-Fortescue_SDExport'!AV:AV), IF(_xlpm.result=0,"",_xlpm.result))</f>
        <v>Chargers -&gt; Pit Power Capacity Planning Tool - Capacity Check</v>
      </c>
      <c r="P69" s="2" t="str">
        <f>_xlfn.LET(_xlpm.result, _xlfn.XLOOKUP($A69,'EA-Fortescue_SDExport'!$A:$A,'EA-Fortescue_SDExport'!D:D),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69" s="2" t="str">
        <f>_xlfn.LET(
    _xlpm.status, _xlfn.XLOOKUP($A69,'EA-ConnectorExport'!$A:$A,'EA-ConnectorExport'!G:G),
    _xlpm.result, _xlfn.XLOOKUP($A69,'EA-ConnectorExport'!$A:$A,'EA-ConnectorExport'!B:B),
    IF(_xlpm.status="allocate", _xlpm.result, "")
)</f>
        <v>850DC-1510 Chargers</v>
      </c>
      <c r="R69" s="2" t="str">
        <f>IF(
    _xlfn.XLOOKUP($Q69,'EA-Fortescue_SDExport'!A:A,'EA-Fortescue_SDExport'!B:B)="Object",
    _xlfn.XLOOKUP(
        _xlfn.XLOOKUP($A69,'EA-ConnectorExport'!A:A,'EA-ConnectorExport'!D:D),
        'EA-Fortescue_SDExport'!A:A,
        'EA-Fortescue_SDExport'!AA:AA
    ),
    _xlfn.XLOOKUP($Q69,'EA-Fortescue_SDExport'!A:A,'EA-Fortescue_SDExport'!AA:AA)
)</f>
        <v>System</v>
      </c>
      <c r="S69" s="2" t="str">
        <f>_xlfn.LET(_xlpm.result, _xlfn.XLOOKUP($Q69,'EA-Fortescue_SDExport'!$A:$A,'EA-Fortescue_SDExport'!AB:AB), IF(_xlpm.result=0,"",_xlpm.result))</f>
        <v/>
      </c>
      <c r="T69" s="2" t="str">
        <f>_xlfn.LET(_xlpm.result, _xlfn.XLOOKUP($Q69,'EA-Fortescue_SDExport'!$A:$A,'EA-Fortescue_SDExport'!AC:AC), IF(_xlpm.result=0,"",_xlpm.result))</f>
        <v>Generic Physical Asset</v>
      </c>
      <c r="U69" s="2" t="str">
        <f>_xlfn.LET(
    _xlpm.isObject, _xlfn.XLOOKUP($Q69,'EA-Fortescue_SDExport'!A:A,'EA-Fortescue_SDExport'!B:B),
    _xlpm.lookupKey, IF(_xlpm.isObject="Object",
        _xlfn.XLOOKUP($A69,'EA-ConnectorExport'!A:A,'EA-ConnectorExport'!D:D),
        $Q69
    ),
    _xlpm.result, _xlfn.XLOOKUP(_xlpm.lookupKey,'EA-Fortescue_SDExport'!A:A,'EA-Fortescue_SDExport'!AD:AD),
    IF(_xlpm.result=0,"",_xlpm.result)
)</f>
        <v>850DC Decarb Infrastructure</v>
      </c>
      <c r="V69" s="2" t="str">
        <f>_xlfn.LET(
    _xlpm.isObject, _xlfn.XLOOKUP($Q69,'EA-Fortescue_SDExport'!A:A,'EA-Fortescue_SDExport'!B:B),
    _xlpm.lookupKey, IF(_xlpm.isObject="Object",
        _xlfn.XLOOKUP($A69,'EA-ConnectorExport'!A:A,'EA-ConnectorExport'!D:D),
        $Q69
    ),
    _xlpm.result, _xlfn.XLOOKUP(_xlpm.lookupKey,'EA-Fortescue_SDExport'!A:A,'EA-Fortescue_SDExport'!AE:AE),
    IF(_xlpm.result=0,"",_xlpm.result)
)</f>
        <v>850DC-1510 Chargers</v>
      </c>
      <c r="W69" s="2" t="str">
        <f>_xlfn.LET(
    _xlpm.isObject, _xlfn.XLOOKUP($Q69,'EA-Fortescue_SDExport'!A:A,'EA-Fortescue_SDExport'!B:B),
    _xlpm.lookupKey, IF(_xlpm.isObject="Object",
        _xlfn.XLOOKUP($A69,'EA-ConnectorExport'!A:A,'EA-ConnectorExport'!D:D),
        $Q69
    ),
    _xlpm.result, _xlfn.XLOOKUP(_xlpm.lookupKey,'EA-Fortescue_SDExport'!A:A,'EA-Fortescue_SDExport'!AF:AF),
    IF(_xlpm.result=0,"",_xlpm.result)
)</f>
        <v/>
      </c>
      <c r="X69" s="2" t="str">
        <f>_xlfn.LET(
    _xlpm.isObject, _xlfn.XLOOKUP($Q69,'EA-Fortescue_SDExport'!A:A,'EA-Fortescue_SDExport'!B:B),
    _xlpm.lookupKey, IF(_xlpm.isObject="Object",
        _xlfn.XLOOKUP($A69,'EA-ConnectorExport'!A:A,'EA-ConnectorExport'!D:D),
        $Q69
    ),
    _xlpm.result, _xlfn.XLOOKUP(_xlpm.lookupKey,'EA-Fortescue_SDExport'!A:A,'EA-Fortescue_SDExport'!AG:AG),
    IF(_xlpm.result=0,"",_xlpm.result)
)</f>
        <v/>
      </c>
      <c r="Y69" s="2" t="str">
        <f>_xlfn.LET(
    _xlpm.status, _xlfn.XLOOKUP($A69,'EA-ConnectorExport'!$A:$A,'EA-ConnectorExport'!G:G),
    _xlpm.result, _xlfn.XLOOKUP($A69,'EA-ConnectorExport'!$A:$A,'EA-ConnectorExport'!H:H),
    IF(_xlpm.status="allocate", _xlpm.result, "")
)</f>
        <v>855DC-1543-PPC Pit Power Capacity Planning Tool - Capacity Check</v>
      </c>
      <c r="Z69" s="2" t="str">
        <f>_xlfn.LET(
    _xlpm.isObject, _xlfn.XLOOKUP($Y69,'EA-Fortescue_SDExport'!A:A,'EA-Fortescue_SDExport'!B:B),
    _xlpm.lookupKey, IF(_xlpm.isObject="Object",
        _xlfn.XLOOKUP($A69,'EA-ConnectorExport'!A:A,'EA-ConnectorExport'!J:J),
        $Y69
    ),
    _xlpm.result, _xlfn.XLOOKUP(_xlpm.lookupKey,'EA-Fortescue_SDExport'!A:A,'EA-Fortescue_SDExport'!AA:AA),
    IF(_xlpm.result=0,"",_xlpm.result)
)</f>
        <v>Project</v>
      </c>
      <c r="AA69" s="2" t="str">
        <f>_xlfn.LET(_xlpm.result, _xlfn.XLOOKUP($Y69,'EA-Fortescue_SDExport'!$A:$A,'EA-Fortescue_SDExport'!AB:AB), IF(_xlpm.result=0,"",_xlpm.result))</f>
        <v>Operations Planning</v>
      </c>
      <c r="AB69" s="2" t="str">
        <f>_xlfn.LET(_xlpm.result, _xlfn.XLOOKUP($Y69,'EA-Fortescue_SDExport'!$A:$A,'EA-Fortescue_SDExport'!AC:AC), IF(_xlpm.result=0,"",_xlpm.result))</f>
        <v>AWS Fortescue Infrastructure</v>
      </c>
      <c r="AC69" s="2" t="str">
        <f>_xlfn.LET(
    _xlpm.isObject, _xlfn.XLOOKUP($Y69,'EA-Fortescue_SDExport'!A:A,'EA-Fortescue_SDExport'!B:B),
    _xlpm.lookupKey, IF(_xlpm.isObject="Object",
        _xlfn.XLOOKUP($A69,'EA-ConnectorExport'!A:A,'EA-ConnectorExport'!J:J),
        $Y69
    ),
    _xlpm.result, _xlfn.XLOOKUP(_xlpm.lookupKey,'EA-Fortescue_SDExport'!A:A,'EA-Fortescue_SDExport'!AD:AD),
    IF(_xlpm.result=0,"",_xlpm.result)
)</f>
        <v>855DC Decarb Green Systems</v>
      </c>
      <c r="AD69" s="2" t="str">
        <f>_xlfn.LET(
    _xlpm.isObject, _xlfn.XLOOKUP($Y69,'EA-Fortescue_SDExport'!A:A,'EA-Fortescue_SDExport'!B:B),
    _xlpm.lookupKey, IF(_xlpm.isObject="Object",
        _xlfn.XLOOKUP($A69,'EA-ConnectorExport'!A:A,'EA-ConnectorExport'!J:J),
        $Y69
    ),
    _xlpm.result, _xlfn.XLOOKUP(_xlpm.lookupKey,'EA-Fortescue_SDExport'!A:A,'EA-Fortescue_SDExport'!AE:AE),
    IF(_xlpm.result=0,"",_xlpm.result)
)</f>
        <v/>
      </c>
      <c r="AE69" s="2" t="str">
        <f>_xlfn.LET(
    _xlpm.isObject, _xlfn.XLOOKUP($Y69,'EA-Fortescue_SDExport'!A:A,'EA-Fortescue_SDExport'!B:B),
    _xlpm.lookupKey, IF(_xlpm.isObject="Object",
        _xlfn.XLOOKUP($A69,'EA-ConnectorExport'!A:A,'EA-ConnectorExport'!J:J),
        $Y69
    ),
    _xlpm.result, _xlfn.XLOOKUP(_xlpm.lookupKey,'EA-Fortescue_SDExport'!A:A,'EA-Fortescue_SDExport'!AF:AF),
    IF(_xlpm.result=0,"",_xlpm.result)
)</f>
        <v>855DC-1543-PPC Pit Power Capacity Planning Tool - Capacity Check</v>
      </c>
      <c r="AF69" s="2" t="str">
        <f>_xlfn.LET(
    _xlpm.isObject, _xlfn.XLOOKUP($Y69,'EA-Fortescue_SDExport'!A:A,'EA-Fortescue_SDExport'!B:B),
    _xlpm.lookupKey, IF(_xlpm.isObject="Object",
        _xlfn.XLOOKUP($A69,'EA-ConnectorExport'!A:A,'EA-ConnectorExport'!J:J),
        $Y69
    ),
    _xlpm.result, _xlfn.XLOOKUP(_xlpm.lookupKey,'EA-Fortescue_SDExport'!A:A,'EA-Fortescue_SDExport'!AG:AG),
    IF(_xlpm.result=0,"",_xlpm.result)
)</f>
        <v/>
      </c>
    </row>
    <row r="70" spans="1:32" ht="300" x14ac:dyDescent="0.25">
      <c r="A70" s="2" t="str">
        <v>DGS-I_0069</v>
      </c>
      <c r="B70" s="2" t="str">
        <f t="shared" si="4"/>
        <v>850DC-1522 Field Switches|855DC-1543-PPC Pit Power Capacity Planning Tool - Capacity Check</v>
      </c>
      <c r="C70" s="2" t="str">
        <f>_xlfn.LET(_xlpm.result, _xlfn.XLOOKUP(A70,'EA-Fortescue_SDExport'!A:A,'EA-Fortescue_SDExport'!AM:AM), IF(_xlpm.result=0,"",_xlpm.result))</f>
        <v/>
      </c>
      <c r="D70" s="2" t="str">
        <f>_xlfn.LET(_xlpm.result, _xlfn.XLOOKUP(A70,'EA-Fortescue_SDExport'!A:A,'EA-Fortescue_SDExport'!AN:AN), IF(_xlpm.result=0,"",_xlpm.result))</f>
        <v/>
      </c>
      <c r="E70" s="2" t="str">
        <f>_xlfn.XLOOKUP(R70&amp;Z70,Lookups!A:A,Lookups!B:B)</f>
        <v>System - Project Interface</v>
      </c>
      <c r="F70" s="2" t="str">
        <f>_xlfn.LET(_xlpm.result, _xlfn.XLOOKUP(A70,'EA-Fortescue_SDExport'!A:A,'EA-Fortescue_SDExport'!AP:AP), IF(_xlpm.result=0,"",_xlpm.result))</f>
        <v>Technical - Data/Software</v>
      </c>
      <c r="G70" s="2" t="str">
        <f>IF(OR(AND(T70&lt;&gt;"", COUNTIF(Lookups!J:J, "*"&amp;T70&amp;"*")&gt;0), AND(AB70&lt;&gt;"", COUNTIF(Lookups!J:J, "*"&amp;AB70&amp;"*")&gt;0)), "Yes", "No")</f>
        <v>No</v>
      </c>
      <c r="H70" s="2" t="str">
        <f t="shared" si="5"/>
        <v>850DC Decarb Infrastructure|855DC Decarb Green Systems</v>
      </c>
      <c r="I70" s="2" t="str">
        <f t="shared" si="6"/>
        <v>850DC-1522 Field Switches|N/A</v>
      </c>
      <c r="J70" s="2" t="str">
        <f t="shared" si="7"/>
        <v>N/A|855DC-1543-PPC Pit Power Capacity Planning Tool - Capacity Check</v>
      </c>
      <c r="K70" s="2" t="str">
        <f>_xlfn.XLOOKUP(A70,'EA-Fortescue_SDExport'!A:A,'EA-Fortescue_SDExport'!N:N)</f>
        <v>Proposed</v>
      </c>
      <c r="L70" s="2" t="str">
        <f>_xlfn.LET(_xlpm.result, _xlfn.XLOOKUP($A70,'EA-Fortescue_SDExport'!$A:$A,'EA-Fortescue_SDExport'!AQ:AQ), IF(_xlpm.result=0,"",_xlpm.result))</f>
        <v>This interface provides the Pit Power Capacity Planning Tool - Capacity Check with electrical status and operational data from the Field Switches, including switch positions, load state, and fault indications. The tool uses this information to assess pit network capacity and support safe, reliable power allocation. This interface is read-only and does not control the Field Switches.</v>
      </c>
      <c r="M70" s="2" t="str">
        <f>_xlfn.LET(_xlpm.result, _xlfn.XLOOKUP($A70,'EA-Fortescue_SDExport'!$A:$A,'EA-Fortescue_SDExport'!AR:AR), IF(_xlpm.result=0,"",_xlpm.result))</f>
        <v>MEDIUM</v>
      </c>
      <c r="N70" s="2" t="str">
        <f>_xlfn.LET(_xlpm.result, _xlfn.XLOOKUP($A70,'EA-Fortescue_SDExport'!$A:$A,'EA-Fortescue_SDExport'!AW:AW), IF(_xlpm.result=0,"",_xlpm.result))</f>
        <v>The criticality is MEDIUM because the Field Switches provide essential visibility into the distribution network state. Accurate data is important to detect potential overloads and ensure safe power allocation, though transient errors have lower immediate operational impact compared to major load sources.</v>
      </c>
      <c r="O70" s="2" t="str">
        <f>_xlfn.LET(_xlpm.result, _xlfn.XLOOKUP($A70,'EA-Fortescue_SDExport'!$A:$A,'EA-Fortescue_SDExport'!AV:AV), IF(_xlpm.result=0,"",_xlpm.result))</f>
        <v>Field Switches -&gt; Pit Power Capacity Planning Tool - Capacity Check</v>
      </c>
      <c r="P70" s="2" t="str">
        <f>_xlfn.LET(_xlpm.result, _xlfn.XLOOKUP($A70,'EA-Fortescue_SDExport'!$A:$A,'EA-Fortescue_SDExport'!D:D),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70" s="2" t="str">
        <f>_xlfn.LET(
    _xlpm.status, _xlfn.XLOOKUP($A70,'EA-ConnectorExport'!$A:$A,'EA-ConnectorExport'!G:G),
    _xlpm.result, _xlfn.XLOOKUP($A70,'EA-ConnectorExport'!$A:$A,'EA-ConnectorExport'!B:B),
    IF(_xlpm.status="allocate", _xlpm.result, "")
)</f>
        <v>850DC-1522 Field Switches</v>
      </c>
      <c r="R70" s="2" t="str">
        <f>IF(
    _xlfn.XLOOKUP($Q70,'EA-Fortescue_SDExport'!A:A,'EA-Fortescue_SDExport'!B:B)="Object",
    _xlfn.XLOOKUP(
        _xlfn.XLOOKUP($A70,'EA-ConnectorExport'!A:A,'EA-ConnectorExport'!D:D),
        'EA-Fortescue_SDExport'!A:A,
        'EA-Fortescue_SDExport'!AA:AA
    ),
    _xlfn.XLOOKUP($Q70,'EA-Fortescue_SDExport'!A:A,'EA-Fortescue_SDExport'!AA:AA)
)</f>
        <v>System</v>
      </c>
      <c r="S70" s="2" t="str">
        <f>_xlfn.LET(_xlpm.result, _xlfn.XLOOKUP($Q70,'EA-Fortescue_SDExport'!$A:$A,'EA-Fortescue_SDExport'!AB:AB), IF(_xlpm.result=0,"",_xlpm.result))</f>
        <v/>
      </c>
      <c r="T70" s="2" t="str">
        <f>_xlfn.LET(_xlpm.result, _xlfn.XLOOKUP($Q70,'EA-Fortescue_SDExport'!$A:$A,'EA-Fortescue_SDExport'!AC:AC), IF(_xlpm.result=0,"",_xlpm.result))</f>
        <v>Generic Physical Asset</v>
      </c>
      <c r="U70" s="2" t="str">
        <f>_xlfn.LET(
    _xlpm.isObject, _xlfn.XLOOKUP($Q70,'EA-Fortescue_SDExport'!A:A,'EA-Fortescue_SDExport'!B:B),
    _xlpm.lookupKey, IF(_xlpm.isObject="Object",
        _xlfn.XLOOKUP($A70,'EA-ConnectorExport'!A:A,'EA-ConnectorExport'!D:D),
        $Q70
    ),
    _xlpm.result, _xlfn.XLOOKUP(_xlpm.lookupKey,'EA-Fortescue_SDExport'!A:A,'EA-Fortescue_SDExport'!AD:AD),
    IF(_xlpm.result=0,"",_xlpm.result)
)</f>
        <v>850DC Decarb Infrastructure</v>
      </c>
      <c r="V70" s="2" t="str">
        <f>_xlfn.LET(
    _xlpm.isObject, _xlfn.XLOOKUP($Q70,'EA-Fortescue_SDExport'!A:A,'EA-Fortescue_SDExport'!B:B),
    _xlpm.lookupKey, IF(_xlpm.isObject="Object",
        _xlfn.XLOOKUP($A70,'EA-ConnectorExport'!A:A,'EA-ConnectorExport'!D:D),
        $Q70
    ),
    _xlpm.result, _xlfn.XLOOKUP(_xlpm.lookupKey,'EA-Fortescue_SDExport'!A:A,'EA-Fortescue_SDExport'!AE:AE),
    IF(_xlpm.result=0,"",_xlpm.result)
)</f>
        <v>850DC-1522 Field Switches</v>
      </c>
      <c r="W70" s="2" t="str">
        <f>_xlfn.LET(
    _xlpm.isObject, _xlfn.XLOOKUP($Q70,'EA-Fortescue_SDExport'!A:A,'EA-Fortescue_SDExport'!B:B),
    _xlpm.lookupKey, IF(_xlpm.isObject="Object",
        _xlfn.XLOOKUP($A70,'EA-ConnectorExport'!A:A,'EA-ConnectorExport'!D:D),
        $Q70
    ),
    _xlpm.result, _xlfn.XLOOKUP(_xlpm.lookupKey,'EA-Fortescue_SDExport'!A:A,'EA-Fortescue_SDExport'!AF:AF),
    IF(_xlpm.result=0,"",_xlpm.result)
)</f>
        <v/>
      </c>
      <c r="X70" s="2" t="str">
        <f>_xlfn.LET(
    _xlpm.isObject, _xlfn.XLOOKUP($Q70,'EA-Fortescue_SDExport'!A:A,'EA-Fortescue_SDExport'!B:B),
    _xlpm.lookupKey, IF(_xlpm.isObject="Object",
        _xlfn.XLOOKUP($A70,'EA-ConnectorExport'!A:A,'EA-ConnectorExport'!D:D),
        $Q70
    ),
    _xlpm.result, _xlfn.XLOOKUP(_xlpm.lookupKey,'EA-Fortescue_SDExport'!A:A,'EA-Fortescue_SDExport'!AG:AG),
    IF(_xlpm.result=0,"",_xlpm.result)
)</f>
        <v/>
      </c>
      <c r="Y70" s="2" t="str">
        <f>_xlfn.LET(
    _xlpm.status, _xlfn.XLOOKUP($A70,'EA-ConnectorExport'!$A:$A,'EA-ConnectorExport'!G:G),
    _xlpm.result, _xlfn.XLOOKUP($A70,'EA-ConnectorExport'!$A:$A,'EA-ConnectorExport'!H:H),
    IF(_xlpm.status="allocate", _xlpm.result, "")
)</f>
        <v>855DC-1543-PPC Pit Power Capacity Planning Tool - Capacity Check</v>
      </c>
      <c r="Z70" s="2" t="str">
        <f>_xlfn.LET(
    _xlpm.isObject, _xlfn.XLOOKUP($Y70,'EA-Fortescue_SDExport'!A:A,'EA-Fortescue_SDExport'!B:B),
    _xlpm.lookupKey, IF(_xlpm.isObject="Object",
        _xlfn.XLOOKUP($A70,'EA-ConnectorExport'!A:A,'EA-ConnectorExport'!J:J),
        $Y70
    ),
    _xlpm.result, _xlfn.XLOOKUP(_xlpm.lookupKey,'EA-Fortescue_SDExport'!A:A,'EA-Fortescue_SDExport'!AA:AA),
    IF(_xlpm.result=0,"",_xlpm.result)
)</f>
        <v>Project</v>
      </c>
      <c r="AA70" s="2" t="str">
        <f>_xlfn.LET(_xlpm.result, _xlfn.XLOOKUP($Y70,'EA-Fortescue_SDExport'!$A:$A,'EA-Fortescue_SDExport'!AB:AB), IF(_xlpm.result=0,"",_xlpm.result))</f>
        <v>Operations Planning</v>
      </c>
      <c r="AB70" s="2" t="str">
        <f>_xlfn.LET(_xlpm.result, _xlfn.XLOOKUP($Y70,'EA-Fortescue_SDExport'!$A:$A,'EA-Fortescue_SDExport'!AC:AC), IF(_xlpm.result=0,"",_xlpm.result))</f>
        <v>AWS Fortescue Infrastructure</v>
      </c>
      <c r="AC70" s="2" t="str">
        <f>_xlfn.LET(
    _xlpm.isObject, _xlfn.XLOOKUP($Y70,'EA-Fortescue_SDExport'!A:A,'EA-Fortescue_SDExport'!B:B),
    _xlpm.lookupKey, IF(_xlpm.isObject="Object",
        _xlfn.XLOOKUP($A70,'EA-ConnectorExport'!A:A,'EA-ConnectorExport'!J:J),
        $Y70
    ),
    _xlpm.result, _xlfn.XLOOKUP(_xlpm.lookupKey,'EA-Fortescue_SDExport'!A:A,'EA-Fortescue_SDExport'!AD:AD),
    IF(_xlpm.result=0,"",_xlpm.result)
)</f>
        <v>855DC Decarb Green Systems</v>
      </c>
      <c r="AD70" s="2" t="str">
        <f>_xlfn.LET(
    _xlpm.isObject, _xlfn.XLOOKUP($Y70,'EA-Fortescue_SDExport'!A:A,'EA-Fortescue_SDExport'!B:B),
    _xlpm.lookupKey, IF(_xlpm.isObject="Object",
        _xlfn.XLOOKUP($A70,'EA-ConnectorExport'!A:A,'EA-ConnectorExport'!J:J),
        $Y70
    ),
    _xlpm.result, _xlfn.XLOOKUP(_xlpm.lookupKey,'EA-Fortescue_SDExport'!A:A,'EA-Fortescue_SDExport'!AE:AE),
    IF(_xlpm.result=0,"",_xlpm.result)
)</f>
        <v/>
      </c>
      <c r="AE70" s="2" t="str">
        <f>_xlfn.LET(
    _xlpm.isObject, _xlfn.XLOOKUP($Y70,'EA-Fortescue_SDExport'!A:A,'EA-Fortescue_SDExport'!B:B),
    _xlpm.lookupKey, IF(_xlpm.isObject="Object",
        _xlfn.XLOOKUP($A70,'EA-ConnectorExport'!A:A,'EA-ConnectorExport'!J:J),
        $Y70
    ),
    _xlpm.result, _xlfn.XLOOKUP(_xlpm.lookupKey,'EA-Fortescue_SDExport'!A:A,'EA-Fortescue_SDExport'!AF:AF),
    IF(_xlpm.result=0,"",_xlpm.result)
)</f>
        <v>855DC-1543-PPC Pit Power Capacity Planning Tool - Capacity Check</v>
      </c>
      <c r="AF70" s="2" t="str">
        <f>_xlfn.LET(
    _xlpm.isObject, _xlfn.XLOOKUP($Y70,'EA-Fortescue_SDExport'!A:A,'EA-Fortescue_SDExport'!B:B),
    _xlpm.lookupKey, IF(_xlpm.isObject="Object",
        _xlfn.XLOOKUP($A70,'EA-ConnectorExport'!A:A,'EA-ConnectorExport'!J:J),
        $Y70
    ),
    _xlpm.result, _xlfn.XLOOKUP(_xlpm.lookupKey,'EA-Fortescue_SDExport'!A:A,'EA-Fortescue_SDExport'!AG:AG),
    IF(_xlpm.result=0,"",_xlpm.result)
)</f>
        <v/>
      </c>
    </row>
    <row r="71" spans="1:32" ht="300" x14ac:dyDescent="0.25">
      <c r="A71" s="2" t="str">
        <v>DGS-I_0070</v>
      </c>
      <c r="B71" s="2" t="str">
        <f t="shared" si="4"/>
        <v>850DC-1523 Sub Kiosks|855DC-1543-PPC Pit Power Capacity Planning Tool - Capacity Check</v>
      </c>
      <c r="C71" s="2" t="str">
        <f>_xlfn.LET(_xlpm.result, _xlfn.XLOOKUP(A71,'EA-Fortescue_SDExport'!A:A,'EA-Fortescue_SDExport'!AM:AM), IF(_xlpm.result=0,"",_xlpm.result))</f>
        <v/>
      </c>
      <c r="D71" s="2" t="str">
        <f>_xlfn.LET(_xlpm.result, _xlfn.XLOOKUP(A71,'EA-Fortescue_SDExport'!A:A,'EA-Fortescue_SDExport'!AN:AN), IF(_xlpm.result=0,"",_xlpm.result))</f>
        <v/>
      </c>
      <c r="E71" s="2" t="str">
        <f>_xlfn.XLOOKUP(R71&amp;Z71,Lookups!A:A,Lookups!B:B)</f>
        <v>System - Project Interface</v>
      </c>
      <c r="F71" s="2" t="str">
        <f>_xlfn.LET(_xlpm.result, _xlfn.XLOOKUP(A71,'EA-Fortescue_SDExport'!A:A,'EA-Fortescue_SDExport'!AP:AP), IF(_xlpm.result=0,"",_xlpm.result))</f>
        <v>Technical - Data/Software</v>
      </c>
      <c r="G71" s="2" t="str">
        <f>IF(OR(AND(T71&lt;&gt;"", COUNTIF(Lookups!J:J, "*"&amp;T71&amp;"*")&gt;0), AND(AB71&lt;&gt;"", COUNTIF(Lookups!J:J, "*"&amp;AB71&amp;"*")&gt;0)), "Yes", "No")</f>
        <v>No</v>
      </c>
      <c r="H71" s="2" t="str">
        <f t="shared" si="5"/>
        <v>850DC Decarb Infrastructure|855DC Decarb Green Systems</v>
      </c>
      <c r="I71" s="2" t="str">
        <f t="shared" si="6"/>
        <v>850DC-1523 Sub Kiosks|N/A</v>
      </c>
      <c r="J71" s="2" t="str">
        <f t="shared" si="7"/>
        <v>N/A|855DC-1543-PPC Pit Power Capacity Planning Tool - Capacity Check</v>
      </c>
      <c r="K71" s="2" t="str">
        <f>_xlfn.XLOOKUP(A71,'EA-Fortescue_SDExport'!A:A,'EA-Fortescue_SDExport'!N:N)</f>
        <v>Proposed</v>
      </c>
      <c r="L71" s="2" t="str">
        <f>_xlfn.LET(_xlpm.result, _xlfn.XLOOKUP($A71,'EA-Fortescue_SDExport'!$A:$A,'EA-Fortescue_SDExport'!AQ:AQ), IF(_xlpm.result=0,"",_xlpm.result))</f>
        <v>This interface provides the Pit Power Capacity Planning Tool - Capacity Check with electrical status and operational data from the Sub Kiosks, including load readings, switch positions, and fault indicators. The tool uses this information to assess pit network capacity and support safe, reliable power allocation. This interface is read-only and does not control the Sub Kiosks.</v>
      </c>
      <c r="M71" s="2" t="str">
        <f>_xlfn.LET(_xlpm.result, _xlfn.XLOOKUP($A71,'EA-Fortescue_SDExport'!$A:$A,'EA-Fortescue_SDExport'!AR:AR), IF(_xlpm.result=0,"",_xlpm.result))</f>
        <v>MEDIUM</v>
      </c>
      <c r="N71" s="2" t="str">
        <f>_xlfn.LET(_xlpm.result, _xlfn.XLOOKUP($A71,'EA-Fortescue_SDExport'!$A:$A,'EA-Fortescue_SDExport'!AW:AW), IF(_xlpm.result=0,"",_xlpm.result))</f>
        <v>The criticality is MEDIUM because Sub Kiosks offer visibility into local distribution points. Accurate data supports network capacity assessments and reliable power allocation, though errors have lower immediate operational impact compared to primary loads.</v>
      </c>
      <c r="O71" s="2" t="str">
        <f>_xlfn.LET(_xlpm.result, _xlfn.XLOOKUP($A71,'EA-Fortescue_SDExport'!$A:$A,'EA-Fortescue_SDExport'!AV:AV), IF(_xlpm.result=0,"",_xlpm.result))</f>
        <v>Sub Kiosks -&gt; Pit Power Capacity Planning Tool - Capacity Check</v>
      </c>
      <c r="P71" s="2" t="str">
        <f>_xlfn.LET(_xlpm.result, _xlfn.XLOOKUP($A71,'EA-Fortescue_SDExport'!$A:$A,'EA-Fortescue_SDExport'!D:D),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71" s="2" t="str">
        <f>_xlfn.LET(
    _xlpm.status, _xlfn.XLOOKUP($A71,'EA-ConnectorExport'!$A:$A,'EA-ConnectorExport'!G:G),
    _xlpm.result, _xlfn.XLOOKUP($A71,'EA-ConnectorExport'!$A:$A,'EA-ConnectorExport'!B:B),
    IF(_xlpm.status="allocate", _xlpm.result, "")
)</f>
        <v>850DC-1523 Sub Kiosks</v>
      </c>
      <c r="R71" s="2" t="str">
        <f>IF(
    _xlfn.XLOOKUP($Q71,'EA-Fortescue_SDExport'!A:A,'EA-Fortescue_SDExport'!B:B)="Object",
    _xlfn.XLOOKUP(
        _xlfn.XLOOKUP($A71,'EA-ConnectorExport'!A:A,'EA-ConnectorExport'!D:D),
        'EA-Fortescue_SDExport'!A:A,
        'EA-Fortescue_SDExport'!AA:AA
    ),
    _xlfn.XLOOKUP($Q71,'EA-Fortescue_SDExport'!A:A,'EA-Fortescue_SDExport'!AA:AA)
)</f>
        <v>System</v>
      </c>
      <c r="S71" s="2" t="str">
        <f>_xlfn.LET(_xlpm.result, _xlfn.XLOOKUP($Q71,'EA-Fortescue_SDExport'!$A:$A,'EA-Fortescue_SDExport'!AB:AB), IF(_xlpm.result=0,"",_xlpm.result))</f>
        <v/>
      </c>
      <c r="T71" s="2" t="str">
        <f>_xlfn.LET(_xlpm.result, _xlfn.XLOOKUP($Q71,'EA-Fortescue_SDExport'!$A:$A,'EA-Fortescue_SDExport'!AC:AC), IF(_xlpm.result=0,"",_xlpm.result))</f>
        <v>Generic Physical Asset</v>
      </c>
      <c r="U71" s="2" t="str">
        <f>_xlfn.LET(
    _xlpm.isObject, _xlfn.XLOOKUP($Q71,'EA-Fortescue_SDExport'!A:A,'EA-Fortescue_SDExport'!B:B),
    _xlpm.lookupKey, IF(_xlpm.isObject="Object",
        _xlfn.XLOOKUP($A71,'EA-ConnectorExport'!A:A,'EA-ConnectorExport'!D:D),
        $Q71
    ),
    _xlpm.result, _xlfn.XLOOKUP(_xlpm.lookupKey,'EA-Fortescue_SDExport'!A:A,'EA-Fortescue_SDExport'!AD:AD),
    IF(_xlpm.result=0,"",_xlpm.result)
)</f>
        <v>850DC Decarb Infrastructure</v>
      </c>
      <c r="V71" s="2" t="str">
        <f>_xlfn.LET(
    _xlpm.isObject, _xlfn.XLOOKUP($Q71,'EA-Fortescue_SDExport'!A:A,'EA-Fortescue_SDExport'!B:B),
    _xlpm.lookupKey, IF(_xlpm.isObject="Object",
        _xlfn.XLOOKUP($A71,'EA-ConnectorExport'!A:A,'EA-ConnectorExport'!D:D),
        $Q71
    ),
    _xlpm.result, _xlfn.XLOOKUP(_xlpm.lookupKey,'EA-Fortescue_SDExport'!A:A,'EA-Fortescue_SDExport'!AE:AE),
    IF(_xlpm.result=0,"",_xlpm.result)
)</f>
        <v>850DC-1523 Sub Kiosks</v>
      </c>
      <c r="W71" s="2" t="str">
        <f>_xlfn.LET(
    _xlpm.isObject, _xlfn.XLOOKUP($Q71,'EA-Fortescue_SDExport'!A:A,'EA-Fortescue_SDExport'!B:B),
    _xlpm.lookupKey, IF(_xlpm.isObject="Object",
        _xlfn.XLOOKUP($A71,'EA-ConnectorExport'!A:A,'EA-ConnectorExport'!D:D),
        $Q71
    ),
    _xlpm.result, _xlfn.XLOOKUP(_xlpm.lookupKey,'EA-Fortescue_SDExport'!A:A,'EA-Fortescue_SDExport'!AF:AF),
    IF(_xlpm.result=0,"",_xlpm.result)
)</f>
        <v/>
      </c>
      <c r="X71" s="2" t="str">
        <f>_xlfn.LET(
    _xlpm.isObject, _xlfn.XLOOKUP($Q71,'EA-Fortescue_SDExport'!A:A,'EA-Fortescue_SDExport'!B:B),
    _xlpm.lookupKey, IF(_xlpm.isObject="Object",
        _xlfn.XLOOKUP($A71,'EA-ConnectorExport'!A:A,'EA-ConnectorExport'!D:D),
        $Q71
    ),
    _xlpm.result, _xlfn.XLOOKUP(_xlpm.lookupKey,'EA-Fortescue_SDExport'!A:A,'EA-Fortescue_SDExport'!AG:AG),
    IF(_xlpm.result=0,"",_xlpm.result)
)</f>
        <v/>
      </c>
      <c r="Y71" s="2" t="str">
        <f>_xlfn.LET(
    _xlpm.status, _xlfn.XLOOKUP($A71,'EA-ConnectorExport'!$A:$A,'EA-ConnectorExport'!G:G),
    _xlpm.result, _xlfn.XLOOKUP($A71,'EA-ConnectorExport'!$A:$A,'EA-ConnectorExport'!H:H),
    IF(_xlpm.status="allocate", _xlpm.result, "")
)</f>
        <v>855DC-1543-PPC Pit Power Capacity Planning Tool - Capacity Check</v>
      </c>
      <c r="Z71" s="2" t="str">
        <f>_xlfn.LET(
    _xlpm.isObject, _xlfn.XLOOKUP($Y71,'EA-Fortescue_SDExport'!A:A,'EA-Fortescue_SDExport'!B:B),
    _xlpm.lookupKey, IF(_xlpm.isObject="Object",
        _xlfn.XLOOKUP($A71,'EA-ConnectorExport'!A:A,'EA-ConnectorExport'!J:J),
        $Y71
    ),
    _xlpm.result, _xlfn.XLOOKUP(_xlpm.lookupKey,'EA-Fortescue_SDExport'!A:A,'EA-Fortescue_SDExport'!AA:AA),
    IF(_xlpm.result=0,"",_xlpm.result)
)</f>
        <v>Project</v>
      </c>
      <c r="AA71" s="2" t="str">
        <f>_xlfn.LET(_xlpm.result, _xlfn.XLOOKUP($Y71,'EA-Fortescue_SDExport'!$A:$A,'EA-Fortescue_SDExport'!AB:AB), IF(_xlpm.result=0,"",_xlpm.result))</f>
        <v>Operations Planning</v>
      </c>
      <c r="AB71" s="2" t="str">
        <f>_xlfn.LET(_xlpm.result, _xlfn.XLOOKUP($Y71,'EA-Fortescue_SDExport'!$A:$A,'EA-Fortescue_SDExport'!AC:AC), IF(_xlpm.result=0,"",_xlpm.result))</f>
        <v>AWS Fortescue Infrastructure</v>
      </c>
      <c r="AC71" s="2" t="str">
        <f>_xlfn.LET(
    _xlpm.isObject, _xlfn.XLOOKUP($Y71,'EA-Fortescue_SDExport'!A:A,'EA-Fortescue_SDExport'!B:B),
    _xlpm.lookupKey, IF(_xlpm.isObject="Object",
        _xlfn.XLOOKUP($A71,'EA-ConnectorExport'!A:A,'EA-ConnectorExport'!J:J),
        $Y71
    ),
    _xlpm.result, _xlfn.XLOOKUP(_xlpm.lookupKey,'EA-Fortescue_SDExport'!A:A,'EA-Fortescue_SDExport'!AD:AD),
    IF(_xlpm.result=0,"",_xlpm.result)
)</f>
        <v>855DC Decarb Green Systems</v>
      </c>
      <c r="AD71" s="2" t="str">
        <f>_xlfn.LET(
    _xlpm.isObject, _xlfn.XLOOKUP($Y71,'EA-Fortescue_SDExport'!A:A,'EA-Fortescue_SDExport'!B:B),
    _xlpm.lookupKey, IF(_xlpm.isObject="Object",
        _xlfn.XLOOKUP($A71,'EA-ConnectorExport'!A:A,'EA-ConnectorExport'!J:J),
        $Y71
    ),
    _xlpm.result, _xlfn.XLOOKUP(_xlpm.lookupKey,'EA-Fortescue_SDExport'!A:A,'EA-Fortescue_SDExport'!AE:AE),
    IF(_xlpm.result=0,"",_xlpm.result)
)</f>
        <v/>
      </c>
      <c r="AE71" s="2" t="str">
        <f>_xlfn.LET(
    _xlpm.isObject, _xlfn.XLOOKUP($Y71,'EA-Fortescue_SDExport'!A:A,'EA-Fortescue_SDExport'!B:B),
    _xlpm.lookupKey, IF(_xlpm.isObject="Object",
        _xlfn.XLOOKUP($A71,'EA-ConnectorExport'!A:A,'EA-ConnectorExport'!J:J),
        $Y71
    ),
    _xlpm.result, _xlfn.XLOOKUP(_xlpm.lookupKey,'EA-Fortescue_SDExport'!A:A,'EA-Fortescue_SDExport'!AF:AF),
    IF(_xlpm.result=0,"",_xlpm.result)
)</f>
        <v>855DC-1543-PPC Pit Power Capacity Planning Tool - Capacity Check</v>
      </c>
      <c r="AF71" s="2" t="str">
        <f>_xlfn.LET(
    _xlpm.isObject, _xlfn.XLOOKUP($Y71,'EA-Fortescue_SDExport'!A:A,'EA-Fortescue_SDExport'!B:B),
    _xlpm.lookupKey, IF(_xlpm.isObject="Object",
        _xlfn.XLOOKUP($A71,'EA-ConnectorExport'!A:A,'EA-ConnectorExport'!J:J),
        $Y71
    ),
    _xlpm.result, _xlfn.XLOOKUP(_xlpm.lookupKey,'EA-Fortescue_SDExport'!A:A,'EA-Fortescue_SDExport'!AG:AG),
    IF(_xlpm.result=0,"",_xlpm.result)
)</f>
        <v/>
      </c>
    </row>
    <row r="72" spans="1:32" ht="300" x14ac:dyDescent="0.25">
      <c r="A72" s="2" t="str">
        <v>DGS-I_0071</v>
      </c>
      <c r="B72" s="2" t="str">
        <f t="shared" si="4"/>
        <v>851DC Heavy Mobile Equipment (HME)|855DC-1543-PPC Pit Power Capacity Planning Tool - Capacity Check</v>
      </c>
      <c r="C72" s="2" t="str">
        <f>_xlfn.LET(_xlpm.result, _xlfn.XLOOKUP(A72,'EA-Fortescue_SDExport'!A:A,'EA-Fortescue_SDExport'!AM:AM), IF(_xlpm.result=0,"",_xlpm.result))</f>
        <v/>
      </c>
      <c r="D72" s="2" t="str">
        <f>_xlfn.LET(_xlpm.result, _xlfn.XLOOKUP(A72,'EA-Fortescue_SDExport'!A:A,'EA-Fortescue_SDExport'!AN:AN), IF(_xlpm.result=0,"",_xlpm.result))</f>
        <v/>
      </c>
      <c r="E72" s="2" t="str">
        <f>_xlfn.XLOOKUP(R72&amp;Z72,Lookups!A:A,Lookups!B:B)</f>
        <v>Program - Project Interface</v>
      </c>
      <c r="F72" s="2" t="str">
        <f>_xlfn.LET(_xlpm.result, _xlfn.XLOOKUP(A72,'EA-Fortescue_SDExport'!A:A,'EA-Fortescue_SDExport'!AP:AP), IF(_xlpm.result=0,"",_xlpm.result))</f>
        <v>Technical - Data/Software</v>
      </c>
      <c r="G72" s="2" t="str">
        <f>IF(OR(AND(T72&lt;&gt;"", COUNTIF(Lookups!J:J, "*"&amp;T72&amp;"*")&gt;0), AND(AB72&lt;&gt;"", COUNTIF(Lookups!J:J, "*"&amp;AB72&amp;"*")&gt;0)), "Yes", "No")</f>
        <v>No</v>
      </c>
      <c r="H72" s="2" t="str">
        <f t="shared" si="5"/>
        <v>851DC Heavy Mobile Equipment (HME)|855DC Decarb Green Systems</v>
      </c>
      <c r="I72" s="2" t="str">
        <f t="shared" si="6"/>
        <v>N/A</v>
      </c>
      <c r="J72" s="2" t="str">
        <f t="shared" si="7"/>
        <v>N/A|855DC-1543-PPC Pit Power Capacity Planning Tool - Capacity Check</v>
      </c>
      <c r="K72" s="2" t="str">
        <f>_xlfn.XLOOKUP(A72,'EA-Fortescue_SDExport'!A:A,'EA-Fortescue_SDExport'!N:N)</f>
        <v>Proposed</v>
      </c>
      <c r="L72" s="2" t="str">
        <f>_xlfn.LET(_xlpm.result, _xlfn.XLOOKUP($A72,'EA-Fortescue_SDExport'!$A:$A,'EA-Fortescue_SDExport'!AQ:AQ), IF(_xlpm.result=0,"",_xlpm.result))</f>
        <v>This interface provides the Pit Power Capacity Planning Tool - Capacity Check with electrical load and operational data from the Heavy Mobile Equipment (HME), including traction power demands, operational schedules, and peak load events. The tool uses this information to assess pit network capacity and support safe, reliable power allocation. This interface is read-only and does not control the HME.</v>
      </c>
      <c r="M72" s="2" t="str">
        <f>_xlfn.LET(_xlpm.result, _xlfn.XLOOKUP($A72,'EA-Fortescue_SDExport'!$A:$A,'EA-Fortescue_SDExport'!AR:AR), IF(_xlpm.result=0,"",_xlpm.result))</f>
        <v>HIGH</v>
      </c>
      <c r="N72" s="2" t="str">
        <f>_xlfn.LET(_xlpm.result, _xlfn.XLOOKUP($A72,'EA-Fortescue_SDExport'!$A:$A,'EA-Fortescue_SDExport'!AW:AW), IF(_xlpm.result=0,"",_xlpm.result))</f>
        <v>The criticality is HIGH because Heavy Mobile Equipment constitutes a significant and variable electrical load. Accurate data is essential for the tool to prevent network overloads and ensure reliable operation of pit power systems.</v>
      </c>
      <c r="O72" s="2" t="str">
        <f>_xlfn.LET(_xlpm.result, _xlfn.XLOOKUP($A72,'EA-Fortescue_SDExport'!$A:$A,'EA-Fortescue_SDExport'!AV:AV), IF(_xlpm.result=0,"",_xlpm.result))</f>
        <v>Heavy Mobile Equipment -&gt; Pit Power Capacity Planning Tool - Capacity Check</v>
      </c>
      <c r="P72" s="2" t="str">
        <f>_xlfn.LET(_xlpm.result, _xlfn.XLOOKUP($A72,'EA-Fortescue_SDExport'!$A:$A,'EA-Fortescue_SDExport'!D:D),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72" s="2" t="str">
        <f>_xlfn.LET(
    _xlpm.status, _xlfn.XLOOKUP($A72,'EA-ConnectorExport'!$A:$A,'EA-ConnectorExport'!G:G),
    _xlpm.result, _xlfn.XLOOKUP($A72,'EA-ConnectorExport'!$A:$A,'EA-ConnectorExport'!B:B),
    IF(_xlpm.status="allocate", _xlpm.result, "")
)</f>
        <v>851DC Heavy Mobile Equipment (HME)</v>
      </c>
      <c r="R72" s="2" t="str">
        <f>IF(
    _xlfn.XLOOKUP($Q72,'EA-Fortescue_SDExport'!A:A,'EA-Fortescue_SDExport'!B:B)="Object",
    _xlfn.XLOOKUP(
        _xlfn.XLOOKUP($A72,'EA-ConnectorExport'!A:A,'EA-ConnectorExport'!D:D),
        'EA-Fortescue_SDExport'!A:A,
        'EA-Fortescue_SDExport'!AA:AA
    ),
    _xlfn.XLOOKUP($Q72,'EA-Fortescue_SDExport'!A:A,'EA-Fortescue_SDExport'!AA:AA)
)</f>
        <v>Program</v>
      </c>
      <c r="S72" s="2" t="str">
        <f>_xlfn.LET(_xlpm.result, _xlfn.XLOOKUP($Q72,'EA-Fortescue_SDExport'!$A:$A,'EA-Fortescue_SDExport'!AB:AB), IF(_xlpm.result=0,"",_xlpm.result))</f>
        <v/>
      </c>
      <c r="T72" s="2" t="str">
        <f>_xlfn.LET(_xlpm.result, _xlfn.XLOOKUP($Q72,'EA-Fortescue_SDExport'!$A:$A,'EA-Fortescue_SDExport'!AC:AC), IF(_xlpm.result=0,"",_xlpm.result))</f>
        <v>Generic Physical Asset</v>
      </c>
      <c r="U72" s="2" t="str">
        <f>_xlfn.LET(
    _xlpm.isObject, _xlfn.XLOOKUP($Q72,'EA-Fortescue_SDExport'!A:A,'EA-Fortescue_SDExport'!B:B),
    _xlpm.lookupKey, IF(_xlpm.isObject="Object",
        _xlfn.XLOOKUP($A72,'EA-ConnectorExport'!A:A,'EA-ConnectorExport'!D:D),
        $Q72
    ),
    _xlpm.result, _xlfn.XLOOKUP(_xlpm.lookupKey,'EA-Fortescue_SDExport'!A:A,'EA-Fortescue_SDExport'!AD:AD),
    IF(_xlpm.result=0,"",_xlpm.result)
)</f>
        <v>851DC Heavy Mobile Equipment (HME)</v>
      </c>
      <c r="V72" s="2" t="str">
        <f>_xlfn.LET(
    _xlpm.isObject, _xlfn.XLOOKUP($Q72,'EA-Fortescue_SDExport'!A:A,'EA-Fortescue_SDExport'!B:B),
    _xlpm.lookupKey, IF(_xlpm.isObject="Object",
        _xlfn.XLOOKUP($A72,'EA-ConnectorExport'!A:A,'EA-ConnectorExport'!D:D),
        $Q72
    ),
    _xlpm.result, _xlfn.XLOOKUP(_xlpm.lookupKey,'EA-Fortescue_SDExport'!A:A,'EA-Fortescue_SDExport'!AE:AE),
    IF(_xlpm.result=0,"",_xlpm.result)
)</f>
        <v/>
      </c>
      <c r="W72" s="2" t="str">
        <f>_xlfn.LET(
    _xlpm.isObject, _xlfn.XLOOKUP($Q72,'EA-Fortescue_SDExport'!A:A,'EA-Fortescue_SDExport'!B:B),
    _xlpm.lookupKey, IF(_xlpm.isObject="Object",
        _xlfn.XLOOKUP($A72,'EA-ConnectorExport'!A:A,'EA-ConnectorExport'!D:D),
        $Q72
    ),
    _xlpm.result, _xlfn.XLOOKUP(_xlpm.lookupKey,'EA-Fortescue_SDExport'!A:A,'EA-Fortescue_SDExport'!AF:AF),
    IF(_xlpm.result=0,"",_xlpm.result)
)</f>
        <v/>
      </c>
      <c r="X72" s="2" t="str">
        <f>_xlfn.LET(
    _xlpm.isObject, _xlfn.XLOOKUP($Q72,'EA-Fortescue_SDExport'!A:A,'EA-Fortescue_SDExport'!B:B),
    _xlpm.lookupKey, IF(_xlpm.isObject="Object",
        _xlfn.XLOOKUP($A72,'EA-ConnectorExport'!A:A,'EA-ConnectorExport'!D:D),
        $Q72
    ),
    _xlpm.result, _xlfn.XLOOKUP(_xlpm.lookupKey,'EA-Fortescue_SDExport'!A:A,'EA-Fortescue_SDExport'!AG:AG),
    IF(_xlpm.result=0,"",_xlpm.result)
)</f>
        <v/>
      </c>
      <c r="Y72" s="2" t="str">
        <f>_xlfn.LET(
    _xlpm.status, _xlfn.XLOOKUP($A72,'EA-ConnectorExport'!$A:$A,'EA-ConnectorExport'!G:G),
    _xlpm.result, _xlfn.XLOOKUP($A72,'EA-ConnectorExport'!$A:$A,'EA-ConnectorExport'!H:H),
    IF(_xlpm.status="allocate", _xlpm.result, "")
)</f>
        <v>855DC-1543-PPC Pit Power Capacity Planning Tool - Capacity Check</v>
      </c>
      <c r="Z72" s="2" t="str">
        <f>_xlfn.LET(
    _xlpm.isObject, _xlfn.XLOOKUP($Y72,'EA-Fortescue_SDExport'!A:A,'EA-Fortescue_SDExport'!B:B),
    _xlpm.lookupKey, IF(_xlpm.isObject="Object",
        _xlfn.XLOOKUP($A72,'EA-ConnectorExport'!A:A,'EA-ConnectorExport'!J:J),
        $Y72
    ),
    _xlpm.result, _xlfn.XLOOKUP(_xlpm.lookupKey,'EA-Fortescue_SDExport'!A:A,'EA-Fortescue_SDExport'!AA:AA),
    IF(_xlpm.result=0,"",_xlpm.result)
)</f>
        <v>Project</v>
      </c>
      <c r="AA72" s="2" t="str">
        <f>_xlfn.LET(_xlpm.result, _xlfn.XLOOKUP($Y72,'EA-Fortescue_SDExport'!$A:$A,'EA-Fortescue_SDExport'!AB:AB), IF(_xlpm.result=0,"",_xlpm.result))</f>
        <v>Operations Planning</v>
      </c>
      <c r="AB72" s="2" t="str">
        <f>_xlfn.LET(_xlpm.result, _xlfn.XLOOKUP($Y72,'EA-Fortescue_SDExport'!$A:$A,'EA-Fortescue_SDExport'!AC:AC), IF(_xlpm.result=0,"",_xlpm.result))</f>
        <v>AWS Fortescue Infrastructure</v>
      </c>
      <c r="AC72" s="2" t="str">
        <f>_xlfn.LET(
    _xlpm.isObject, _xlfn.XLOOKUP($Y72,'EA-Fortescue_SDExport'!A:A,'EA-Fortescue_SDExport'!B:B),
    _xlpm.lookupKey, IF(_xlpm.isObject="Object",
        _xlfn.XLOOKUP($A72,'EA-ConnectorExport'!A:A,'EA-ConnectorExport'!J:J),
        $Y72
    ),
    _xlpm.result, _xlfn.XLOOKUP(_xlpm.lookupKey,'EA-Fortescue_SDExport'!A:A,'EA-Fortescue_SDExport'!AD:AD),
    IF(_xlpm.result=0,"",_xlpm.result)
)</f>
        <v>855DC Decarb Green Systems</v>
      </c>
      <c r="AD72" s="2" t="str">
        <f>_xlfn.LET(
    _xlpm.isObject, _xlfn.XLOOKUP($Y72,'EA-Fortescue_SDExport'!A:A,'EA-Fortescue_SDExport'!B:B),
    _xlpm.lookupKey, IF(_xlpm.isObject="Object",
        _xlfn.XLOOKUP($A72,'EA-ConnectorExport'!A:A,'EA-ConnectorExport'!J:J),
        $Y72
    ),
    _xlpm.result, _xlfn.XLOOKUP(_xlpm.lookupKey,'EA-Fortescue_SDExport'!A:A,'EA-Fortescue_SDExport'!AE:AE),
    IF(_xlpm.result=0,"",_xlpm.result)
)</f>
        <v/>
      </c>
      <c r="AE72" s="2" t="str">
        <f>_xlfn.LET(
    _xlpm.isObject, _xlfn.XLOOKUP($Y72,'EA-Fortescue_SDExport'!A:A,'EA-Fortescue_SDExport'!B:B),
    _xlpm.lookupKey, IF(_xlpm.isObject="Object",
        _xlfn.XLOOKUP($A72,'EA-ConnectorExport'!A:A,'EA-ConnectorExport'!J:J),
        $Y72
    ),
    _xlpm.result, _xlfn.XLOOKUP(_xlpm.lookupKey,'EA-Fortescue_SDExport'!A:A,'EA-Fortescue_SDExport'!AF:AF),
    IF(_xlpm.result=0,"",_xlpm.result)
)</f>
        <v>855DC-1543-PPC Pit Power Capacity Planning Tool - Capacity Check</v>
      </c>
      <c r="AF72" s="2" t="str">
        <f>_xlfn.LET(
    _xlpm.isObject, _xlfn.XLOOKUP($Y72,'EA-Fortescue_SDExport'!A:A,'EA-Fortescue_SDExport'!B:B),
    _xlpm.lookupKey, IF(_xlpm.isObject="Object",
        _xlfn.XLOOKUP($A72,'EA-ConnectorExport'!A:A,'EA-ConnectorExport'!J:J),
        $Y72
    ),
    _xlpm.result, _xlfn.XLOOKUP(_xlpm.lookupKey,'EA-Fortescue_SDExport'!A:A,'EA-Fortescue_SDExport'!AG:AG),
    IF(_xlpm.result=0,"",_xlpm.result)
)</f>
        <v/>
      </c>
    </row>
    <row r="73" spans="1:32" ht="300" x14ac:dyDescent="0.25">
      <c r="A73" s="2" t="str">
        <v>DGS-I_0072</v>
      </c>
      <c r="B73" s="2" t="str">
        <f t="shared" si="4"/>
        <v>852DC Light Mobile Equipment (LME) &amp; Support Mobile Equipment (SME)|855DC-1543-PPC Pit Power Capacity Planning Tool - Capacity Check</v>
      </c>
      <c r="C73" s="2" t="str">
        <f>_xlfn.LET(_xlpm.result, _xlfn.XLOOKUP(A73,'EA-Fortescue_SDExport'!A:A,'EA-Fortescue_SDExport'!AM:AM), IF(_xlpm.result=0,"",_xlpm.result))</f>
        <v/>
      </c>
      <c r="D73" s="2" t="str">
        <f>_xlfn.LET(_xlpm.result, _xlfn.XLOOKUP(A73,'EA-Fortescue_SDExport'!A:A,'EA-Fortescue_SDExport'!AN:AN), IF(_xlpm.result=0,"",_xlpm.result))</f>
        <v/>
      </c>
      <c r="E73" s="2" t="str">
        <f>_xlfn.XLOOKUP(R73&amp;Z73,Lookups!A:A,Lookups!B:B)</f>
        <v>Program - Project Interface</v>
      </c>
      <c r="F73" s="2" t="str">
        <f>_xlfn.LET(_xlpm.result, _xlfn.XLOOKUP(A73,'EA-Fortescue_SDExport'!A:A,'EA-Fortescue_SDExport'!AP:AP), IF(_xlpm.result=0,"",_xlpm.result))</f>
        <v>Technical - Data/Software</v>
      </c>
      <c r="G73" s="2" t="str">
        <f>IF(OR(AND(T73&lt;&gt;"", COUNTIF(Lookups!J:J, "*"&amp;T73&amp;"*")&gt;0), AND(AB73&lt;&gt;"", COUNTIF(Lookups!J:J, "*"&amp;AB73&amp;"*")&gt;0)), "Yes", "No")</f>
        <v>No</v>
      </c>
      <c r="H73" s="2" t="str">
        <f t="shared" si="5"/>
        <v>852DC Light Mobile Equipment (LME) &amp; Support Mobile Equipment (SME)|855DC Decarb Green Systems</v>
      </c>
      <c r="I73" s="2" t="str">
        <f t="shared" si="6"/>
        <v>N/A</v>
      </c>
      <c r="J73" s="2" t="str">
        <f t="shared" si="7"/>
        <v>N/A|855DC-1543-PPC Pit Power Capacity Planning Tool - Capacity Check</v>
      </c>
      <c r="K73" s="2" t="str">
        <f>_xlfn.XLOOKUP(A73,'EA-Fortescue_SDExport'!A:A,'EA-Fortescue_SDExport'!N:N)</f>
        <v>Proposed</v>
      </c>
      <c r="L73" s="2" t="str">
        <f>_xlfn.LET(_xlpm.result, _xlfn.XLOOKUP($A73,'EA-Fortescue_SDExport'!$A:$A,'EA-Fortescue_SDExport'!AQ:AQ), IF(_xlpm.result=0,"",_xlpm.result))</f>
        <v>This interface provides the Pit Power Capacity Planning Tool - Capacity Check with electrical load and operational data from the Light Mobile Equipment (LME) and Support Mobile Equipment (SME), including traction and auxiliary power demands, operational schedules, and peak load events. The tool uses this information to assess pit network capacity and support safe, reliable power allocation. This interface is read-only and does not control the LME or SME.</v>
      </c>
      <c r="M73" s="2" t="str">
        <f>_xlfn.LET(_xlpm.result, _xlfn.XLOOKUP($A73,'EA-Fortescue_SDExport'!$A:$A,'EA-Fortescue_SDExport'!AR:AR), IF(_xlpm.result=0,"",_xlpm.result))</f>
        <v>HIGH</v>
      </c>
      <c r="N73" s="2" t="str">
        <f>_xlfn.LET(_xlpm.result, _xlfn.XLOOKUP($A73,'EA-Fortescue_SDExport'!$A:$A,'EA-Fortescue_SDExport'!AW:AW), IF(_xlpm.result=0,"",_xlpm.result))</f>
        <v>The criticality is HIGH because LME and SME constitute a variable and dispersed electrical load. Accurate data is essential for the tool to prevent network overloads and ensure reliable operation of pit power systems.</v>
      </c>
      <c r="O73" s="2" t="str">
        <f>_xlfn.LET(_xlpm.result, _xlfn.XLOOKUP($A73,'EA-Fortescue_SDExport'!$A:$A,'EA-Fortescue_SDExport'!AV:AV), IF(_xlpm.result=0,"",_xlpm.result))</f>
        <v>LME &amp; SME -&gt; Pit Power Capacity Planning Tool - Capacity Check</v>
      </c>
      <c r="P73" s="2" t="str">
        <f>_xlfn.LET(_xlpm.result, _xlfn.XLOOKUP($A73,'EA-Fortescue_SDExport'!$A:$A,'EA-Fortescue_SDExport'!D:D),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73" s="2" t="str">
        <f>_xlfn.LET(
    _xlpm.status, _xlfn.XLOOKUP($A73,'EA-ConnectorExport'!$A:$A,'EA-ConnectorExport'!G:G),
    _xlpm.result, _xlfn.XLOOKUP($A73,'EA-ConnectorExport'!$A:$A,'EA-ConnectorExport'!B:B),
    IF(_xlpm.status="allocate", _xlpm.result, "")
)</f>
        <v>852DC Light Mobile Equipment (LME) &amp; Support Mobile Equipment (SME)</v>
      </c>
      <c r="R73" s="2" t="str">
        <f>IF(
    _xlfn.XLOOKUP($Q73,'EA-Fortescue_SDExport'!A:A,'EA-Fortescue_SDExport'!B:B)="Object",
    _xlfn.XLOOKUP(
        _xlfn.XLOOKUP($A73,'EA-ConnectorExport'!A:A,'EA-ConnectorExport'!D:D),
        'EA-Fortescue_SDExport'!A:A,
        'EA-Fortescue_SDExport'!AA:AA
    ),
    _xlfn.XLOOKUP($Q73,'EA-Fortescue_SDExport'!A:A,'EA-Fortescue_SDExport'!AA:AA)
)</f>
        <v>Program</v>
      </c>
      <c r="S73" s="2" t="str">
        <f>_xlfn.LET(_xlpm.result, _xlfn.XLOOKUP($Q73,'EA-Fortescue_SDExport'!$A:$A,'EA-Fortescue_SDExport'!AB:AB), IF(_xlpm.result=0,"",_xlpm.result))</f>
        <v/>
      </c>
      <c r="T73" s="2" t="str">
        <f>_xlfn.LET(_xlpm.result, _xlfn.XLOOKUP($Q73,'EA-Fortescue_SDExport'!$A:$A,'EA-Fortescue_SDExport'!AC:AC), IF(_xlpm.result=0,"",_xlpm.result))</f>
        <v>Generic Physical Asset</v>
      </c>
      <c r="U73" s="2" t="str">
        <f>_xlfn.LET(
    _xlpm.isObject, _xlfn.XLOOKUP($Q73,'EA-Fortescue_SDExport'!A:A,'EA-Fortescue_SDExport'!B:B),
    _xlpm.lookupKey, IF(_xlpm.isObject="Object",
        _xlfn.XLOOKUP($A73,'EA-ConnectorExport'!A:A,'EA-ConnectorExport'!D:D),
        $Q73
    ),
    _xlpm.result, _xlfn.XLOOKUP(_xlpm.lookupKey,'EA-Fortescue_SDExport'!A:A,'EA-Fortescue_SDExport'!AD:AD),
    IF(_xlpm.result=0,"",_xlpm.result)
)</f>
        <v>852DC Light Mobile Equipment (LME) &amp; Support Mobile Equipment (SME)</v>
      </c>
      <c r="V73" s="2" t="str">
        <f>_xlfn.LET(
    _xlpm.isObject, _xlfn.XLOOKUP($Q73,'EA-Fortescue_SDExport'!A:A,'EA-Fortescue_SDExport'!B:B),
    _xlpm.lookupKey, IF(_xlpm.isObject="Object",
        _xlfn.XLOOKUP($A73,'EA-ConnectorExport'!A:A,'EA-ConnectorExport'!D:D),
        $Q73
    ),
    _xlpm.result, _xlfn.XLOOKUP(_xlpm.lookupKey,'EA-Fortescue_SDExport'!A:A,'EA-Fortescue_SDExport'!AE:AE),
    IF(_xlpm.result=0,"",_xlpm.result)
)</f>
        <v/>
      </c>
      <c r="W73" s="2" t="str">
        <f>_xlfn.LET(
    _xlpm.isObject, _xlfn.XLOOKUP($Q73,'EA-Fortescue_SDExport'!A:A,'EA-Fortescue_SDExport'!B:B),
    _xlpm.lookupKey, IF(_xlpm.isObject="Object",
        _xlfn.XLOOKUP($A73,'EA-ConnectorExport'!A:A,'EA-ConnectorExport'!D:D),
        $Q73
    ),
    _xlpm.result, _xlfn.XLOOKUP(_xlpm.lookupKey,'EA-Fortescue_SDExport'!A:A,'EA-Fortescue_SDExport'!AF:AF),
    IF(_xlpm.result=0,"",_xlpm.result)
)</f>
        <v/>
      </c>
      <c r="X73" s="2" t="str">
        <f>_xlfn.LET(
    _xlpm.isObject, _xlfn.XLOOKUP($Q73,'EA-Fortescue_SDExport'!A:A,'EA-Fortescue_SDExport'!B:B),
    _xlpm.lookupKey, IF(_xlpm.isObject="Object",
        _xlfn.XLOOKUP($A73,'EA-ConnectorExport'!A:A,'EA-ConnectorExport'!D:D),
        $Q73
    ),
    _xlpm.result, _xlfn.XLOOKUP(_xlpm.lookupKey,'EA-Fortescue_SDExport'!A:A,'EA-Fortescue_SDExport'!AG:AG),
    IF(_xlpm.result=0,"",_xlpm.result)
)</f>
        <v/>
      </c>
      <c r="Y73" s="2" t="str">
        <f>_xlfn.LET(
    _xlpm.status, _xlfn.XLOOKUP($A73,'EA-ConnectorExport'!$A:$A,'EA-ConnectorExport'!G:G),
    _xlpm.result, _xlfn.XLOOKUP($A73,'EA-ConnectorExport'!$A:$A,'EA-ConnectorExport'!H:H),
    IF(_xlpm.status="allocate", _xlpm.result, "")
)</f>
        <v>855DC-1543-PPC Pit Power Capacity Planning Tool - Capacity Check</v>
      </c>
      <c r="Z73" s="2" t="str">
        <f>_xlfn.LET(
    _xlpm.isObject, _xlfn.XLOOKUP($Y73,'EA-Fortescue_SDExport'!A:A,'EA-Fortescue_SDExport'!B:B),
    _xlpm.lookupKey, IF(_xlpm.isObject="Object",
        _xlfn.XLOOKUP($A73,'EA-ConnectorExport'!A:A,'EA-ConnectorExport'!J:J),
        $Y73
    ),
    _xlpm.result, _xlfn.XLOOKUP(_xlpm.lookupKey,'EA-Fortescue_SDExport'!A:A,'EA-Fortescue_SDExport'!AA:AA),
    IF(_xlpm.result=0,"",_xlpm.result)
)</f>
        <v>Project</v>
      </c>
      <c r="AA73" s="2" t="str">
        <f>_xlfn.LET(_xlpm.result, _xlfn.XLOOKUP($Y73,'EA-Fortescue_SDExport'!$A:$A,'EA-Fortescue_SDExport'!AB:AB), IF(_xlpm.result=0,"",_xlpm.result))</f>
        <v>Operations Planning</v>
      </c>
      <c r="AB73" s="2" t="str">
        <f>_xlfn.LET(_xlpm.result, _xlfn.XLOOKUP($Y73,'EA-Fortescue_SDExport'!$A:$A,'EA-Fortescue_SDExport'!AC:AC), IF(_xlpm.result=0,"",_xlpm.result))</f>
        <v>AWS Fortescue Infrastructure</v>
      </c>
      <c r="AC73" s="2" t="str">
        <f>_xlfn.LET(
    _xlpm.isObject, _xlfn.XLOOKUP($Y73,'EA-Fortescue_SDExport'!A:A,'EA-Fortescue_SDExport'!B:B),
    _xlpm.lookupKey, IF(_xlpm.isObject="Object",
        _xlfn.XLOOKUP($A73,'EA-ConnectorExport'!A:A,'EA-ConnectorExport'!J:J),
        $Y73
    ),
    _xlpm.result, _xlfn.XLOOKUP(_xlpm.lookupKey,'EA-Fortescue_SDExport'!A:A,'EA-Fortescue_SDExport'!AD:AD),
    IF(_xlpm.result=0,"",_xlpm.result)
)</f>
        <v>855DC Decarb Green Systems</v>
      </c>
      <c r="AD73" s="2" t="str">
        <f>_xlfn.LET(
    _xlpm.isObject, _xlfn.XLOOKUP($Y73,'EA-Fortescue_SDExport'!A:A,'EA-Fortescue_SDExport'!B:B),
    _xlpm.lookupKey, IF(_xlpm.isObject="Object",
        _xlfn.XLOOKUP($A73,'EA-ConnectorExport'!A:A,'EA-ConnectorExport'!J:J),
        $Y73
    ),
    _xlpm.result, _xlfn.XLOOKUP(_xlpm.lookupKey,'EA-Fortescue_SDExport'!A:A,'EA-Fortescue_SDExport'!AE:AE),
    IF(_xlpm.result=0,"",_xlpm.result)
)</f>
        <v/>
      </c>
      <c r="AE73" s="2" t="str">
        <f>_xlfn.LET(
    _xlpm.isObject, _xlfn.XLOOKUP($Y73,'EA-Fortescue_SDExport'!A:A,'EA-Fortescue_SDExport'!B:B),
    _xlpm.lookupKey, IF(_xlpm.isObject="Object",
        _xlfn.XLOOKUP($A73,'EA-ConnectorExport'!A:A,'EA-ConnectorExport'!J:J),
        $Y73
    ),
    _xlpm.result, _xlfn.XLOOKUP(_xlpm.lookupKey,'EA-Fortescue_SDExport'!A:A,'EA-Fortescue_SDExport'!AF:AF),
    IF(_xlpm.result=0,"",_xlpm.result)
)</f>
        <v>855DC-1543-PPC Pit Power Capacity Planning Tool - Capacity Check</v>
      </c>
      <c r="AF73" s="2" t="str">
        <f>_xlfn.LET(
    _xlpm.isObject, _xlfn.XLOOKUP($Y73,'EA-Fortescue_SDExport'!A:A,'EA-Fortescue_SDExport'!B:B),
    _xlpm.lookupKey, IF(_xlpm.isObject="Object",
        _xlfn.XLOOKUP($A73,'EA-ConnectorExport'!A:A,'EA-ConnectorExport'!J:J),
        $Y73
    ),
    _xlpm.result, _xlfn.XLOOKUP(_xlpm.lookupKey,'EA-Fortescue_SDExport'!A:A,'EA-Fortescue_SDExport'!AG:AG),
    IF(_xlpm.result=0,"",_xlpm.result)
)</f>
        <v/>
      </c>
    </row>
    <row r="74" spans="1:32" ht="330" x14ac:dyDescent="0.25">
      <c r="A74" s="2" t="str">
        <v>DGS-I_0073</v>
      </c>
      <c r="B74" s="2" t="str">
        <f t="shared" si="4"/>
        <v>850DC-1523 Sub Kiosks|855DC-1542-008 Mine Electrification SCADA</v>
      </c>
      <c r="C74" s="2" t="str">
        <f>_xlfn.LET(_xlpm.result, _xlfn.XLOOKUP(A74,'EA-Fortescue_SDExport'!A:A,'EA-Fortescue_SDExport'!AM:AM), IF(_xlpm.result=0,"",_xlpm.result))</f>
        <v/>
      </c>
      <c r="D74" s="2" t="str">
        <f>_xlfn.LET(_xlpm.result, _xlfn.XLOOKUP(A74,'EA-Fortescue_SDExport'!A:A,'EA-Fortescue_SDExport'!AN:AN), IF(_xlpm.result=0,"",_xlpm.result))</f>
        <v/>
      </c>
      <c r="E74" s="2" t="str">
        <f>_xlfn.XLOOKUP(R74&amp;Z74,Lookups!A:A,Lookups!B:B)</f>
        <v>System - Project Interface</v>
      </c>
      <c r="F74" s="2" t="str">
        <f>_xlfn.LET(_xlpm.result, _xlfn.XLOOKUP(A74,'EA-Fortescue_SDExport'!A:A,'EA-Fortescue_SDExport'!AP:AP), IF(_xlpm.result=0,"",_xlpm.result))</f>
        <v>Technical-Electrical</v>
      </c>
      <c r="G74" s="2" t="str">
        <f>IF(OR(AND(T74&lt;&gt;"", COUNTIF(Lookups!J:J, "*"&amp;T74&amp;"*")&gt;0), AND(AB74&lt;&gt;"", COUNTIF(Lookups!J:J, "*"&amp;AB74&amp;"*")&gt;0)), "Yes", "No")</f>
        <v>No</v>
      </c>
      <c r="H74" s="2" t="str">
        <f t="shared" si="5"/>
        <v>850DC Decarb Infrastructure|855DC Decarb Green Systems</v>
      </c>
      <c r="I74" s="2" t="str">
        <f t="shared" si="6"/>
        <v>850DC-1523 Sub Kiosks|855DC-1542 Control &amp; Monitoring Systems</v>
      </c>
      <c r="J74" s="2" t="str">
        <f t="shared" si="7"/>
        <v>N/A|855DC-1542-008 Mine Electrification SCADA</v>
      </c>
      <c r="K74" s="2" t="str">
        <f>_xlfn.XLOOKUP(A74,'EA-Fortescue_SDExport'!A:A,'EA-Fortescue_SDExport'!N:N)</f>
        <v>Proposed</v>
      </c>
      <c r="L74" s="2" t="str">
        <f>_xlfn.LET(_xlpm.result, _xlfn.XLOOKUP($A74,'EA-Fortescue_SDExport'!$A:$A,'EA-Fortescue_SDExport'!AQ:AQ), IF(_xlpm.result=0,"",_xlpm.result))</f>
        <v>This interface allows Sub Kiosks to provide switching status, electrical measurements, alarms, and breaker positions into Mine Electrification SCADA for real-time monitoring and control.</v>
      </c>
      <c r="M74" s="2" t="str">
        <f>_xlfn.LET(_xlpm.result, _xlfn.XLOOKUP($A74,'EA-Fortescue_SDExport'!$A:$A,'EA-Fortescue_SDExport'!AR:AR), IF(_xlpm.result=0,"",_xlpm.result))</f>
        <v>HIGH</v>
      </c>
      <c r="N74" s="2" t="str">
        <f>_xlfn.LET(_xlpm.result, _xlfn.XLOOKUP($A74,'EA-Fortescue_SDExport'!$A:$A,'EA-Fortescue_SDExport'!AW:AW), IF(_xlpm.result=0,"",_xlpm.result))</f>
        <v>The criticality level is HIGH because losing visibility or control of sub-kiosk equipment can delay fault isolation, hinder switching operations, and increase the likelihood of electrical outages affecting production. The sub-kiosks are an essential part of the site's electrical distribution network, and SCADA must maintain uninterrupted communication to ensure safe and stable power operations.</v>
      </c>
      <c r="O74" s="2" t="str">
        <f>_xlfn.LET(_xlpm.result, _xlfn.XLOOKUP($A74,'EA-Fortescue_SDExport'!$A:$A,'EA-Fortescue_SDExport'!AV:AV), IF(_xlpm.result=0,"",_xlpm.result))</f>
        <v>Data Flow: Sub Kiosks -&gt; Mine Electrification SCADA (switching status, breaker positions, voltage/current measurements, feeder status, protection relay indications, alarms, fault events) for real-time monitoring and fault management._x000D_
Control Flow: Mine Electrification SCADA -&gt; Sub Kiosks (remote switching commands, open/close breaker commands, reset instructions, operational constraints) to support safe isolation and network control.</v>
      </c>
      <c r="P74" s="2" t="str">
        <f>_xlfn.LET(_xlpm.result, _xlfn.XLOOKUP($A74,'EA-Fortescue_SDExport'!$A:$A,'EA-Fortescue_SDExport'!D:D), IF(_xlpm.result=0,"",_xlpm.result))</f>
        <v>SCADA Review 30/10/2025: Green substation (in pit sub). 33/6.6kv. Delete, part of substations. To be confirmed._x000D_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Q74" s="2" t="str">
        <f>_xlfn.LET(
    _xlpm.status, _xlfn.XLOOKUP($A74,'EA-ConnectorExport'!$A:$A,'EA-ConnectorExport'!G:G),
    _xlpm.result, _xlfn.XLOOKUP($A74,'EA-ConnectorExport'!$A:$A,'EA-ConnectorExport'!B:B),
    IF(_xlpm.status="allocate", _xlpm.result, "")
)</f>
        <v>850DC-1523 Sub Kiosks</v>
      </c>
      <c r="R74" s="2" t="str">
        <f>IF(
    _xlfn.XLOOKUP($Q74,'EA-Fortescue_SDExport'!A:A,'EA-Fortescue_SDExport'!B:B)="Object",
    _xlfn.XLOOKUP(
        _xlfn.XLOOKUP($A74,'EA-ConnectorExport'!A:A,'EA-ConnectorExport'!D:D),
        'EA-Fortescue_SDExport'!A:A,
        'EA-Fortescue_SDExport'!AA:AA
    ),
    _xlfn.XLOOKUP($Q74,'EA-Fortescue_SDExport'!A:A,'EA-Fortescue_SDExport'!AA:AA)
)</f>
        <v>System</v>
      </c>
      <c r="S74" s="2" t="str">
        <f>_xlfn.LET(_xlpm.result, _xlfn.XLOOKUP($Q74,'EA-Fortescue_SDExport'!$A:$A,'EA-Fortescue_SDExport'!AB:AB), IF(_xlpm.result=0,"",_xlpm.result))</f>
        <v/>
      </c>
      <c r="T74" s="2" t="str">
        <f>_xlfn.LET(_xlpm.result, _xlfn.XLOOKUP($Q74,'EA-Fortescue_SDExport'!$A:$A,'EA-Fortescue_SDExport'!AC:AC), IF(_xlpm.result=0,"",_xlpm.result))</f>
        <v>Generic Physical Asset</v>
      </c>
      <c r="U74" s="2" t="str">
        <f>_xlfn.LET(
    _xlpm.isObject, _xlfn.XLOOKUP($Q74,'EA-Fortescue_SDExport'!A:A,'EA-Fortescue_SDExport'!B:B),
    _xlpm.lookupKey, IF(_xlpm.isObject="Object",
        _xlfn.XLOOKUP($A74,'EA-ConnectorExport'!A:A,'EA-ConnectorExport'!D:D),
        $Q74
    ),
    _xlpm.result, _xlfn.XLOOKUP(_xlpm.lookupKey,'EA-Fortescue_SDExport'!A:A,'EA-Fortescue_SDExport'!AD:AD),
    IF(_xlpm.result=0,"",_xlpm.result)
)</f>
        <v>850DC Decarb Infrastructure</v>
      </c>
      <c r="V74" s="2" t="str">
        <f>_xlfn.LET(
    _xlpm.isObject, _xlfn.XLOOKUP($Q74,'EA-Fortescue_SDExport'!A:A,'EA-Fortescue_SDExport'!B:B),
    _xlpm.lookupKey, IF(_xlpm.isObject="Object",
        _xlfn.XLOOKUP($A74,'EA-ConnectorExport'!A:A,'EA-ConnectorExport'!D:D),
        $Q74
    ),
    _xlpm.result, _xlfn.XLOOKUP(_xlpm.lookupKey,'EA-Fortescue_SDExport'!A:A,'EA-Fortescue_SDExport'!AE:AE),
    IF(_xlpm.result=0,"",_xlpm.result)
)</f>
        <v>850DC-1523 Sub Kiosks</v>
      </c>
      <c r="W74" s="2" t="str">
        <f>_xlfn.LET(
    _xlpm.isObject, _xlfn.XLOOKUP($Q74,'EA-Fortescue_SDExport'!A:A,'EA-Fortescue_SDExport'!B:B),
    _xlpm.lookupKey, IF(_xlpm.isObject="Object",
        _xlfn.XLOOKUP($A74,'EA-ConnectorExport'!A:A,'EA-ConnectorExport'!D:D),
        $Q74
    ),
    _xlpm.result, _xlfn.XLOOKUP(_xlpm.lookupKey,'EA-Fortescue_SDExport'!A:A,'EA-Fortescue_SDExport'!AF:AF),
    IF(_xlpm.result=0,"",_xlpm.result)
)</f>
        <v/>
      </c>
      <c r="X74" s="2" t="str">
        <f>_xlfn.LET(
    _xlpm.isObject, _xlfn.XLOOKUP($Q74,'EA-Fortescue_SDExport'!A:A,'EA-Fortescue_SDExport'!B:B),
    _xlpm.lookupKey, IF(_xlpm.isObject="Object",
        _xlfn.XLOOKUP($A74,'EA-ConnectorExport'!A:A,'EA-ConnectorExport'!D:D),
        $Q74
    ),
    _xlpm.result, _xlfn.XLOOKUP(_xlpm.lookupKey,'EA-Fortescue_SDExport'!A:A,'EA-Fortescue_SDExport'!AG:AG),
    IF(_xlpm.result=0,"",_xlpm.result)
)</f>
        <v/>
      </c>
      <c r="Y74" s="2" t="str">
        <f>_xlfn.LET(
    _xlpm.status, _xlfn.XLOOKUP($A74,'EA-ConnectorExport'!$A:$A,'EA-ConnectorExport'!G:G),
    _xlpm.result, _xlfn.XLOOKUP($A74,'EA-ConnectorExport'!$A:$A,'EA-ConnectorExport'!H:H),
    IF(_xlpm.status="allocate", _xlpm.result, "")
)</f>
        <v>855DC-1542-008 Mine Electrification SCADA</v>
      </c>
      <c r="Z74" s="2" t="str">
        <f>_xlfn.LET(
    _xlpm.isObject, _xlfn.XLOOKUP($Y74,'EA-Fortescue_SDExport'!A:A,'EA-Fortescue_SDExport'!B:B),
    _xlpm.lookupKey, IF(_xlpm.isObject="Object",
        _xlfn.XLOOKUP($A74,'EA-ConnectorExport'!A:A,'EA-ConnectorExport'!J:J),
        $Y74
    ),
    _xlpm.result, _xlfn.XLOOKUP(_xlpm.lookupKey,'EA-Fortescue_SDExport'!A:A,'EA-Fortescue_SDExport'!AA:AA),
    IF(_xlpm.result=0,"",_xlpm.result)
)</f>
        <v>Project</v>
      </c>
      <c r="AA74" s="2" t="str">
        <f>_xlfn.LET(_xlpm.result, _xlfn.XLOOKUP($Y74,'EA-Fortescue_SDExport'!$A:$A,'EA-Fortescue_SDExport'!AB:AB), IF(_xlpm.result=0,"",_xlpm.result))</f>
        <v>Mine Services</v>
      </c>
      <c r="AB74" s="2" t="str">
        <f>_xlfn.LET(_xlpm.result, _xlfn.XLOOKUP($Y74,'EA-Fortescue_SDExport'!$A:$A,'EA-Fortescue_SDExport'!AC:AC), IF(_xlpm.result=0,"",_xlpm.result))</f>
        <v/>
      </c>
      <c r="AC74" s="2" t="str">
        <f>_xlfn.LET(
    _xlpm.isObject, _xlfn.XLOOKUP($Y74,'EA-Fortescue_SDExport'!A:A,'EA-Fortescue_SDExport'!B:B),
    _xlpm.lookupKey, IF(_xlpm.isObject="Object",
        _xlfn.XLOOKUP($A74,'EA-ConnectorExport'!A:A,'EA-ConnectorExport'!J:J),
        $Y74
    ),
    _xlpm.result, _xlfn.XLOOKUP(_xlpm.lookupKey,'EA-Fortescue_SDExport'!A:A,'EA-Fortescue_SDExport'!AD:AD),
    IF(_xlpm.result=0,"",_xlpm.result)
)</f>
        <v>855DC Decarb Green Systems</v>
      </c>
      <c r="AD74" s="2" t="str">
        <f>_xlfn.LET(
    _xlpm.isObject, _xlfn.XLOOKUP($Y74,'EA-Fortescue_SDExport'!A:A,'EA-Fortescue_SDExport'!B:B),
    _xlpm.lookupKey, IF(_xlpm.isObject="Object",
        _xlfn.XLOOKUP($A74,'EA-ConnectorExport'!A:A,'EA-ConnectorExport'!J:J),
        $Y74
    ),
    _xlpm.result, _xlfn.XLOOKUP(_xlpm.lookupKey,'EA-Fortescue_SDExport'!A:A,'EA-Fortescue_SDExport'!AE:AE),
    IF(_xlpm.result=0,"",_xlpm.result)
)</f>
        <v>855DC-1542 Control &amp; Monitoring Systems</v>
      </c>
      <c r="AE74" s="2" t="str">
        <f>_xlfn.LET(
    _xlpm.isObject, _xlfn.XLOOKUP($Y74,'EA-Fortescue_SDExport'!A:A,'EA-Fortescue_SDExport'!B:B),
    _xlpm.lookupKey, IF(_xlpm.isObject="Object",
        _xlfn.XLOOKUP($A74,'EA-ConnectorExport'!A:A,'EA-ConnectorExport'!J:J),
        $Y74
    ),
    _xlpm.result, _xlfn.XLOOKUP(_xlpm.lookupKey,'EA-Fortescue_SDExport'!A:A,'EA-Fortescue_SDExport'!AF:AF),
    IF(_xlpm.result=0,"",_xlpm.result)
)</f>
        <v>855DC-1542-008 Mine Electrification SCADA</v>
      </c>
      <c r="AF74" s="2" t="str">
        <f>_xlfn.LET(
    _xlpm.isObject, _xlfn.XLOOKUP($Y74,'EA-Fortescue_SDExport'!A:A,'EA-Fortescue_SDExport'!B:B),
    _xlpm.lookupKey, IF(_xlpm.isObject="Object",
        _xlfn.XLOOKUP($A74,'EA-ConnectorExport'!A:A,'EA-ConnectorExport'!J:J),
        $Y74
    ),
    _xlpm.result, _xlfn.XLOOKUP(_xlpm.lookupKey,'EA-Fortescue_SDExport'!A:A,'EA-Fortescue_SDExport'!AG:AG),
    IF(_xlpm.result=0,"",_xlpm.result)
)</f>
        <v/>
      </c>
    </row>
    <row r="75" spans="1:32" ht="315" x14ac:dyDescent="0.25">
      <c r="A75" s="2" t="str">
        <v>DGS-I_0074</v>
      </c>
      <c r="B75" s="2" t="str">
        <f t="shared" si="4"/>
        <v>854DC-1521 HV Substations|855DC-1542-CSM Charge Station Management System (CSMS)</v>
      </c>
      <c r="C75" s="2" t="str">
        <f>_xlfn.LET(_xlpm.result, _xlfn.XLOOKUP(A75,'EA-Fortescue_SDExport'!A:A,'EA-Fortescue_SDExport'!AM:AM), IF(_xlpm.result=0,"",_xlpm.result))</f>
        <v>Sam Hedgcock</v>
      </c>
      <c r="D75" s="2" t="str">
        <f>_xlfn.LET(_xlpm.result, _xlfn.XLOOKUP(A75,'EA-Fortescue_SDExport'!A:A,'EA-Fortescue_SDExport'!AN:AN), IF(_xlpm.result=0,"",_xlpm.result))</f>
        <v>Rhys Jasper</v>
      </c>
      <c r="E75" s="2" t="str">
        <f>_xlfn.XLOOKUP(R75&amp;Z75,Lookups!A:A,Lookups!B:B)</f>
        <v>System - Project Interface</v>
      </c>
      <c r="F75" s="2" t="str">
        <f>_xlfn.LET(_xlpm.result, _xlfn.XLOOKUP(A75,'EA-Fortescue_SDExport'!A:A,'EA-Fortescue_SDExport'!AP:AP), IF(_xlpm.result=0,"",_xlpm.result))</f>
        <v>Technical-Electrical</v>
      </c>
      <c r="G75" s="2" t="str">
        <f>IF(OR(AND(T75&lt;&gt;"", COUNTIF(Lookups!J:J, "*"&amp;T75&amp;"*")&gt;0), AND(AB75&lt;&gt;"", COUNTIF(Lookups!J:J, "*"&amp;AB75&amp;"*")&gt;0)), "Yes", "No")</f>
        <v>No</v>
      </c>
      <c r="H75" s="2" t="str">
        <f t="shared" si="5"/>
        <v>854DC Green Power|855DC Decarb Green Systems</v>
      </c>
      <c r="I75" s="2" t="str">
        <f t="shared" si="6"/>
        <v>854DC-1521 HV Substations|855DC-1542 Control &amp; Monitoring Systems</v>
      </c>
      <c r="J75" s="2" t="str">
        <f t="shared" si="7"/>
        <v>N/A|855DC-1542-CSM Charge Station Management System (CSMS)</v>
      </c>
      <c r="K75" s="2" t="str">
        <f>_xlfn.XLOOKUP(A75,'EA-Fortescue_SDExport'!A:A,'EA-Fortescue_SDExport'!N:N)</f>
        <v>Simplified Interface</v>
      </c>
      <c r="L75" s="2" t="str">
        <f>_xlfn.LET(_xlpm.result, _xlfn.XLOOKUP($A75,'EA-Fortescue_SDExport'!$A:$A,'EA-Fortescue_SDExport'!AQ:AQ), IF(_xlpm.result=0,"",_xlpm.result))</f>
        <v>This interface connects the site's substations with the Charge Station Management System (CSMS), so CSMS has accurate information about power availability, energisation status, and electrical conditions supplying the charger network.</v>
      </c>
      <c r="M75" s="2" t="str">
        <f>_xlfn.LET(_xlpm.result, _xlfn.XLOOKUP($A75,'EA-Fortescue_SDExport'!$A:$A,'EA-Fortescue_SDExport'!AR:AR), IF(_xlpm.result=0,"",_xlpm.result))</f>
        <v>HIGH</v>
      </c>
      <c r="N75" s="2" t="str">
        <f>_xlfn.LET(_xlpm.result, _xlfn.XLOOKUP($A75,'EA-Fortescue_SDExport'!$A:$A,'EA-Fortescue_SDExport'!AW:AW), IF(_xlpm.result=0,"",_xlpm.result))</f>
        <v>The criticality level is HIGH because charger systems rely on accurate substation data to operate safely. Losing this interface can lead to charging disruptions, incorrect electrical behaviour, or delayed fault responses. The reason for the criticality is that substations are essential electrical assets, and if CSMS cannot monitor their status, safe coordination of high-power charging cannot be guaranteed.</v>
      </c>
      <c r="O75" s="2" t="str">
        <f>_xlfn.LET(_xlpm.result, _xlfn.XLOOKUP($A75,'EA-Fortescue_SDExport'!$A:$A,'EA-Fortescue_SDExport'!AV:AV), IF(_xlpm.result=0,"",_xlpm.result))</f>
        <v>HV Substations-&gt; CSMS</v>
      </c>
      <c r="P75" s="2" t="str">
        <f>_xlfn.LET(_xlpm.result, _xlfn.XLOOKUP($A75,'EA-Fortescue_SDExport'!$A:$A,'EA-Fortescue_SDExport'!D:D), IF(_xlpm.result=0,"",_xlpm.result))</f>
        <v>CSMS Review 30/10/2025: Potential measuring from 132kv. Dynamic load management function._x000D_
NH 25/02/2026: Fields updated:Interface Type, Interface Flow</v>
      </c>
      <c r="Q75" s="2" t="str">
        <f>_xlfn.LET(
    _xlpm.status, _xlfn.XLOOKUP($A75,'EA-ConnectorExport'!$A:$A,'EA-ConnectorExport'!G:G),
    _xlpm.result, _xlfn.XLOOKUP($A75,'EA-ConnectorExport'!$A:$A,'EA-ConnectorExport'!B:B),
    IF(_xlpm.status="allocate", _xlpm.result, "")
)</f>
        <v>854DC-1521 HV Substations</v>
      </c>
      <c r="R75" s="2" t="str">
        <f>IF(
    _xlfn.XLOOKUP($Q75,'EA-Fortescue_SDExport'!A:A,'EA-Fortescue_SDExport'!B:B)="Object",
    _xlfn.XLOOKUP(
        _xlfn.XLOOKUP($A75,'EA-ConnectorExport'!A:A,'EA-ConnectorExport'!D:D),
        'EA-Fortescue_SDExport'!A:A,
        'EA-Fortescue_SDExport'!AA:AA
    ),
    _xlfn.XLOOKUP($Q75,'EA-Fortescue_SDExport'!A:A,'EA-Fortescue_SDExport'!AA:AA)
)</f>
        <v>System</v>
      </c>
      <c r="S75" s="2" t="str">
        <f>_xlfn.LET(_xlpm.result, _xlfn.XLOOKUP($Q75,'EA-Fortescue_SDExport'!$A:$A,'EA-Fortescue_SDExport'!AB:AB), IF(_xlpm.result=0,"",_xlpm.result))</f>
        <v/>
      </c>
      <c r="T75" s="2" t="str">
        <f>_xlfn.LET(_xlpm.result, _xlfn.XLOOKUP($Q75,'EA-Fortescue_SDExport'!$A:$A,'EA-Fortescue_SDExport'!AC:AC), IF(_xlpm.result=0,"",_xlpm.result))</f>
        <v>Generic Physical Asset</v>
      </c>
      <c r="U75" s="2" t="str">
        <f>_xlfn.LET(
    _xlpm.isObject, _xlfn.XLOOKUP($Q75,'EA-Fortescue_SDExport'!A:A,'EA-Fortescue_SDExport'!B:B),
    _xlpm.lookupKey, IF(_xlpm.isObject="Object",
        _xlfn.XLOOKUP($A75,'EA-ConnectorExport'!A:A,'EA-ConnectorExport'!D:D),
        $Q75
    ),
    _xlpm.result, _xlfn.XLOOKUP(_xlpm.lookupKey,'EA-Fortescue_SDExport'!A:A,'EA-Fortescue_SDExport'!AD:AD),
    IF(_xlpm.result=0,"",_xlpm.result)
)</f>
        <v>854DC Green Power</v>
      </c>
      <c r="V75" s="2" t="str">
        <f>_xlfn.LET(
    _xlpm.isObject, _xlfn.XLOOKUP($Q75,'EA-Fortescue_SDExport'!A:A,'EA-Fortescue_SDExport'!B:B),
    _xlpm.lookupKey, IF(_xlpm.isObject="Object",
        _xlfn.XLOOKUP($A75,'EA-ConnectorExport'!A:A,'EA-ConnectorExport'!D:D),
        $Q75
    ),
    _xlpm.result, _xlfn.XLOOKUP(_xlpm.lookupKey,'EA-Fortescue_SDExport'!A:A,'EA-Fortescue_SDExport'!AE:AE),
    IF(_xlpm.result=0,"",_xlpm.result)
)</f>
        <v>854DC-1521 HV Substations</v>
      </c>
      <c r="W75" s="2" t="str">
        <f>_xlfn.LET(
    _xlpm.isObject, _xlfn.XLOOKUP($Q75,'EA-Fortescue_SDExport'!A:A,'EA-Fortescue_SDExport'!B:B),
    _xlpm.lookupKey, IF(_xlpm.isObject="Object",
        _xlfn.XLOOKUP($A75,'EA-ConnectorExport'!A:A,'EA-ConnectorExport'!D:D),
        $Q75
    ),
    _xlpm.result, _xlfn.XLOOKUP(_xlpm.lookupKey,'EA-Fortescue_SDExport'!A:A,'EA-Fortescue_SDExport'!AF:AF),
    IF(_xlpm.result=0,"",_xlpm.result)
)</f>
        <v/>
      </c>
      <c r="X75" s="2" t="str">
        <f>_xlfn.LET(
    _xlpm.isObject, _xlfn.XLOOKUP($Q75,'EA-Fortescue_SDExport'!A:A,'EA-Fortescue_SDExport'!B:B),
    _xlpm.lookupKey, IF(_xlpm.isObject="Object",
        _xlfn.XLOOKUP($A75,'EA-ConnectorExport'!A:A,'EA-ConnectorExport'!D:D),
        $Q75
    ),
    _xlpm.result, _xlfn.XLOOKUP(_xlpm.lookupKey,'EA-Fortescue_SDExport'!A:A,'EA-Fortescue_SDExport'!AG:AG),
    IF(_xlpm.result=0,"",_xlpm.result)
)</f>
        <v/>
      </c>
      <c r="Y75" s="2" t="str">
        <f>_xlfn.LET(
    _xlpm.status, _xlfn.XLOOKUP($A75,'EA-ConnectorExport'!$A:$A,'EA-ConnectorExport'!G:G),
    _xlpm.result, _xlfn.XLOOKUP($A75,'EA-ConnectorExport'!$A:$A,'EA-ConnectorExport'!H:H),
    IF(_xlpm.status="allocate", _xlpm.result, "")
)</f>
        <v>855DC-1542-CSM Charge Station Management System (CSMS)</v>
      </c>
      <c r="Z75" s="2" t="str">
        <f>_xlfn.LET(
    _xlpm.isObject, _xlfn.XLOOKUP($Y75,'EA-Fortescue_SDExport'!A:A,'EA-Fortescue_SDExport'!B:B),
    _xlpm.lookupKey, IF(_xlpm.isObject="Object",
        _xlfn.XLOOKUP($A75,'EA-ConnectorExport'!A:A,'EA-ConnectorExport'!J:J),
        $Y75
    ),
    _xlpm.result, _xlfn.XLOOKUP(_xlpm.lookupKey,'EA-Fortescue_SDExport'!A:A,'EA-Fortescue_SDExport'!AA:AA),
    IF(_xlpm.result=0,"",_xlpm.result)
)</f>
        <v>Project</v>
      </c>
      <c r="AA75" s="2" t="str">
        <f>_xlfn.LET(_xlpm.result, _xlfn.XLOOKUP($Y75,'EA-Fortescue_SDExport'!$A:$A,'EA-Fortescue_SDExport'!AB:AB), IF(_xlpm.result=0,"",_xlpm.result))</f>
        <v>Sam Hedgcock</v>
      </c>
      <c r="AB75" s="2" t="str">
        <f>_xlfn.LET(_xlpm.result, _xlfn.XLOOKUP($Y75,'EA-Fortescue_SDExport'!$A:$A,'EA-Fortescue_SDExport'!AC:AC), IF(_xlpm.result=0,"",_xlpm.result))</f>
        <v/>
      </c>
      <c r="AC75" s="2" t="str">
        <f>_xlfn.LET(
    _xlpm.isObject, _xlfn.XLOOKUP($Y75,'EA-Fortescue_SDExport'!A:A,'EA-Fortescue_SDExport'!B:B),
    _xlpm.lookupKey, IF(_xlpm.isObject="Object",
        _xlfn.XLOOKUP($A75,'EA-ConnectorExport'!A:A,'EA-ConnectorExport'!J:J),
        $Y75
    ),
    _xlpm.result, _xlfn.XLOOKUP(_xlpm.lookupKey,'EA-Fortescue_SDExport'!A:A,'EA-Fortescue_SDExport'!AD:AD),
    IF(_xlpm.result=0,"",_xlpm.result)
)</f>
        <v>855DC Decarb Green Systems</v>
      </c>
      <c r="AD75" s="2" t="str">
        <f>_xlfn.LET(
    _xlpm.isObject, _xlfn.XLOOKUP($Y75,'EA-Fortescue_SDExport'!A:A,'EA-Fortescue_SDExport'!B:B),
    _xlpm.lookupKey, IF(_xlpm.isObject="Object",
        _xlfn.XLOOKUP($A75,'EA-ConnectorExport'!A:A,'EA-ConnectorExport'!J:J),
        $Y75
    ),
    _xlpm.result, _xlfn.XLOOKUP(_xlpm.lookupKey,'EA-Fortescue_SDExport'!A:A,'EA-Fortescue_SDExport'!AE:AE),
    IF(_xlpm.result=0,"",_xlpm.result)
)</f>
        <v>855DC-1542 Control &amp; Monitoring Systems</v>
      </c>
      <c r="AE75" s="2" t="str">
        <f>_xlfn.LET(
    _xlpm.isObject, _xlfn.XLOOKUP($Y75,'EA-Fortescue_SDExport'!A:A,'EA-Fortescue_SDExport'!B:B),
    _xlpm.lookupKey, IF(_xlpm.isObject="Object",
        _xlfn.XLOOKUP($A75,'EA-ConnectorExport'!A:A,'EA-ConnectorExport'!J:J),
        $Y75
    ),
    _xlpm.result, _xlfn.XLOOKUP(_xlpm.lookupKey,'EA-Fortescue_SDExport'!A:A,'EA-Fortescue_SDExport'!AF:AF),
    IF(_xlpm.result=0,"",_xlpm.result)
)</f>
        <v>855DC-1542-CSM Charge Station Management System (CSMS)</v>
      </c>
      <c r="AF75" s="2" t="str">
        <f>_xlfn.LET(
    _xlpm.isObject, _xlfn.XLOOKUP($Y75,'EA-Fortescue_SDExport'!A:A,'EA-Fortescue_SDExport'!B:B),
    _xlpm.lookupKey, IF(_xlpm.isObject="Object",
        _xlfn.XLOOKUP($A75,'EA-ConnectorExport'!A:A,'EA-ConnectorExport'!J:J),
        $Y75
    ),
    _xlpm.result, _xlfn.XLOOKUP(_xlpm.lookupKey,'EA-Fortescue_SDExport'!A:A,'EA-Fortescue_SDExport'!AG:AG),
    IF(_xlpm.result=0,"",_xlpm.result)
)</f>
        <v/>
      </c>
    </row>
    <row r="76" spans="1:32" ht="360" x14ac:dyDescent="0.25">
      <c r="A76" s="2" t="str">
        <v>DGS-I_0075</v>
      </c>
      <c r="B76" s="2" t="str">
        <f t="shared" si="4"/>
        <v>854DC-1521 HV Substations|855DC-1542-008 Mine Electrification SCADA</v>
      </c>
      <c r="C76" s="2" t="str">
        <f>_xlfn.LET(_xlpm.result, _xlfn.XLOOKUP(A76,'EA-Fortescue_SDExport'!A:A,'EA-Fortescue_SDExport'!AM:AM), IF(_xlpm.result=0,"",_xlpm.result))</f>
        <v/>
      </c>
      <c r="D76" s="2" t="str">
        <f>_xlfn.LET(_xlpm.result, _xlfn.XLOOKUP(A76,'EA-Fortescue_SDExport'!A:A,'EA-Fortescue_SDExport'!AN:AN), IF(_xlpm.result=0,"",_xlpm.result))</f>
        <v/>
      </c>
      <c r="E76" s="2" t="str">
        <f>_xlfn.XLOOKUP(R76&amp;Z76,Lookups!A:A,Lookups!B:B)</f>
        <v>System - Project Interface</v>
      </c>
      <c r="F76" s="2" t="str">
        <f>_xlfn.LET(_xlpm.result, _xlfn.XLOOKUP(A76,'EA-Fortescue_SDExport'!A:A,'EA-Fortescue_SDExport'!AP:AP), IF(_xlpm.result=0,"",_xlpm.result))</f>
        <v>Technical-Electrical</v>
      </c>
      <c r="G76" s="2" t="str">
        <f>IF(OR(AND(T76&lt;&gt;"", COUNTIF(Lookups!J:J, "*"&amp;T76&amp;"*")&gt;0), AND(AB76&lt;&gt;"", COUNTIF(Lookups!J:J, "*"&amp;AB76&amp;"*")&gt;0)), "Yes", "No")</f>
        <v>No</v>
      </c>
      <c r="H76" s="2" t="str">
        <f t="shared" si="5"/>
        <v>854DC Green Power|855DC Decarb Green Systems</v>
      </c>
      <c r="I76" s="2" t="str">
        <f t="shared" si="6"/>
        <v>854DC-1521 HV Substations|855DC-1542 Control &amp; Monitoring Systems</v>
      </c>
      <c r="J76" s="2" t="str">
        <f t="shared" si="7"/>
        <v>N/A|855DC-1542-008 Mine Electrification SCADA</v>
      </c>
      <c r="K76" s="2" t="str">
        <f>_xlfn.XLOOKUP(A76,'EA-Fortescue_SDExport'!A:A,'EA-Fortescue_SDExport'!N:N)</f>
        <v>Proposed</v>
      </c>
      <c r="L76" s="2" t="str">
        <f>_xlfn.LET(_xlpm.result, _xlfn.XLOOKUP($A76,'EA-Fortescue_SDExport'!$A:$A,'EA-Fortescue_SDExport'!AQ:AQ), IF(_xlpm.result=0,"",_xlpm.result))</f>
        <v>This interface links substations to Mine Electrification SCADA so operators can monitor high-voltage equipment, respond to alarms, and perform remote switching.</v>
      </c>
      <c r="M76" s="2" t="str">
        <f>_xlfn.LET(_xlpm.result, _xlfn.XLOOKUP($A76,'EA-Fortescue_SDExport'!$A:$A,'EA-Fortescue_SDExport'!AR:AR), IF(_xlpm.result=0,"",_xlpm.result))</f>
        <v>HIGH</v>
      </c>
      <c r="N76" s="2" t="str">
        <f>_xlfn.LET(_xlpm.result, _xlfn.XLOOKUP($A76,'EA-Fortescue_SDExport'!$A:$A,'EA-Fortescue_SDExport'!AW:AW), IF(_xlpm.result=0,"",_xlpm.result))</f>
        <v>The criticality level is HIGH because substations are essential to site power delivery, and a loss of SCADA connectivity reduces situational awareness, slows fault response, and increases the risk of widespread outages. Safe, reliable operation of the HV network depends on real-time SCADA visibility, increasing the importance of this interface.</v>
      </c>
      <c r="O76" s="2" t="str">
        <f>_xlfn.LET(_xlpm.result, _xlfn.XLOOKUP($A76,'EA-Fortescue_SDExport'!$A:$A,'EA-Fortescue_SDExport'!AV:AV), IF(_xlpm.result=0,"",_xlpm.result))</f>
        <v>Data Flow: HV Substations -&gt; Mine Electrification SCADA (breaker status, transformer status, voltage/current measurements, power flows, protection relay status, alarms, fault events) for real-time monitoring and alarm management._x000D_
Control Flow: Mine Electrification SCADA -&gt; HV Substations (remote switching commands, open/close breaker commands, load transfer instructions, reset commands) to enable safe operation and fault isolation.</v>
      </c>
      <c r="P76" s="2" t="str">
        <f>_xlfn.LET(_xlpm.result, _xlfn.XLOOKUP($A76,'EA-Fortescue_SDExport'!$A:$A,'EA-Fortescue_SDExport'!D:D), IF(_xlpm.result=0,"",_xlpm.result))</f>
        <v>LMS Review 30/10/2025: Circuit breaker statuses, remote switching controls. Temperature censors._x000D_
OPC/UA._x000D_
In reference to Sub kiosks, not so much 220/33KV subs. That is with Energy Ops._x000D_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Q76" s="2" t="str">
        <f>_xlfn.LET(
    _xlpm.status, _xlfn.XLOOKUP($A76,'EA-ConnectorExport'!$A:$A,'EA-ConnectorExport'!G:G),
    _xlpm.result, _xlfn.XLOOKUP($A76,'EA-ConnectorExport'!$A:$A,'EA-ConnectorExport'!B:B),
    IF(_xlpm.status="allocate", _xlpm.result, "")
)</f>
        <v>854DC-1521 HV Substations</v>
      </c>
      <c r="R76" s="2" t="str">
        <f>IF(
    _xlfn.XLOOKUP($Q76,'EA-Fortescue_SDExport'!A:A,'EA-Fortescue_SDExport'!B:B)="Object",
    _xlfn.XLOOKUP(
        _xlfn.XLOOKUP($A76,'EA-ConnectorExport'!A:A,'EA-ConnectorExport'!D:D),
        'EA-Fortescue_SDExport'!A:A,
        'EA-Fortescue_SDExport'!AA:AA
    ),
    _xlfn.XLOOKUP($Q76,'EA-Fortescue_SDExport'!A:A,'EA-Fortescue_SDExport'!AA:AA)
)</f>
        <v>System</v>
      </c>
      <c r="S76" s="2" t="str">
        <f>_xlfn.LET(_xlpm.result, _xlfn.XLOOKUP($Q76,'EA-Fortescue_SDExport'!$A:$A,'EA-Fortescue_SDExport'!AB:AB), IF(_xlpm.result=0,"",_xlpm.result))</f>
        <v/>
      </c>
      <c r="T76" s="2" t="str">
        <f>_xlfn.LET(_xlpm.result, _xlfn.XLOOKUP($Q76,'EA-Fortescue_SDExport'!$A:$A,'EA-Fortescue_SDExport'!AC:AC), IF(_xlpm.result=0,"",_xlpm.result))</f>
        <v>Generic Physical Asset</v>
      </c>
      <c r="U76" s="2" t="str">
        <f>_xlfn.LET(
    _xlpm.isObject, _xlfn.XLOOKUP($Q76,'EA-Fortescue_SDExport'!A:A,'EA-Fortescue_SDExport'!B:B),
    _xlpm.lookupKey, IF(_xlpm.isObject="Object",
        _xlfn.XLOOKUP($A76,'EA-ConnectorExport'!A:A,'EA-ConnectorExport'!D:D),
        $Q76
    ),
    _xlpm.result, _xlfn.XLOOKUP(_xlpm.lookupKey,'EA-Fortescue_SDExport'!A:A,'EA-Fortescue_SDExport'!AD:AD),
    IF(_xlpm.result=0,"",_xlpm.result)
)</f>
        <v>854DC Green Power</v>
      </c>
      <c r="V76" s="2" t="str">
        <f>_xlfn.LET(
    _xlpm.isObject, _xlfn.XLOOKUP($Q76,'EA-Fortescue_SDExport'!A:A,'EA-Fortescue_SDExport'!B:B),
    _xlpm.lookupKey, IF(_xlpm.isObject="Object",
        _xlfn.XLOOKUP($A76,'EA-ConnectorExport'!A:A,'EA-ConnectorExport'!D:D),
        $Q76
    ),
    _xlpm.result, _xlfn.XLOOKUP(_xlpm.lookupKey,'EA-Fortescue_SDExport'!A:A,'EA-Fortescue_SDExport'!AE:AE),
    IF(_xlpm.result=0,"",_xlpm.result)
)</f>
        <v>854DC-1521 HV Substations</v>
      </c>
      <c r="W76" s="2" t="str">
        <f>_xlfn.LET(
    _xlpm.isObject, _xlfn.XLOOKUP($Q76,'EA-Fortescue_SDExport'!A:A,'EA-Fortescue_SDExport'!B:B),
    _xlpm.lookupKey, IF(_xlpm.isObject="Object",
        _xlfn.XLOOKUP($A76,'EA-ConnectorExport'!A:A,'EA-ConnectorExport'!D:D),
        $Q76
    ),
    _xlpm.result, _xlfn.XLOOKUP(_xlpm.lookupKey,'EA-Fortescue_SDExport'!A:A,'EA-Fortescue_SDExport'!AF:AF),
    IF(_xlpm.result=0,"",_xlpm.result)
)</f>
        <v/>
      </c>
      <c r="X76" s="2" t="str">
        <f>_xlfn.LET(
    _xlpm.isObject, _xlfn.XLOOKUP($Q76,'EA-Fortescue_SDExport'!A:A,'EA-Fortescue_SDExport'!B:B),
    _xlpm.lookupKey, IF(_xlpm.isObject="Object",
        _xlfn.XLOOKUP($A76,'EA-ConnectorExport'!A:A,'EA-ConnectorExport'!D:D),
        $Q76
    ),
    _xlpm.result, _xlfn.XLOOKUP(_xlpm.lookupKey,'EA-Fortescue_SDExport'!A:A,'EA-Fortescue_SDExport'!AG:AG),
    IF(_xlpm.result=0,"",_xlpm.result)
)</f>
        <v/>
      </c>
      <c r="Y76" s="2" t="str">
        <f>_xlfn.LET(
    _xlpm.status, _xlfn.XLOOKUP($A76,'EA-ConnectorExport'!$A:$A,'EA-ConnectorExport'!G:G),
    _xlpm.result, _xlfn.XLOOKUP($A76,'EA-ConnectorExport'!$A:$A,'EA-ConnectorExport'!H:H),
    IF(_xlpm.status="allocate", _xlpm.result, "")
)</f>
        <v>855DC-1542-008 Mine Electrification SCADA</v>
      </c>
      <c r="Z76" s="2" t="str">
        <f>_xlfn.LET(
    _xlpm.isObject, _xlfn.XLOOKUP($Y76,'EA-Fortescue_SDExport'!A:A,'EA-Fortescue_SDExport'!B:B),
    _xlpm.lookupKey, IF(_xlpm.isObject="Object",
        _xlfn.XLOOKUP($A76,'EA-ConnectorExport'!A:A,'EA-ConnectorExport'!J:J),
        $Y76
    ),
    _xlpm.result, _xlfn.XLOOKUP(_xlpm.lookupKey,'EA-Fortescue_SDExport'!A:A,'EA-Fortescue_SDExport'!AA:AA),
    IF(_xlpm.result=0,"",_xlpm.result)
)</f>
        <v>Project</v>
      </c>
      <c r="AA76" s="2" t="str">
        <f>_xlfn.LET(_xlpm.result, _xlfn.XLOOKUP($Y76,'EA-Fortescue_SDExport'!$A:$A,'EA-Fortescue_SDExport'!AB:AB), IF(_xlpm.result=0,"",_xlpm.result))</f>
        <v>Mine Services</v>
      </c>
      <c r="AB76" s="2" t="str">
        <f>_xlfn.LET(_xlpm.result, _xlfn.XLOOKUP($Y76,'EA-Fortescue_SDExport'!$A:$A,'EA-Fortescue_SDExport'!AC:AC), IF(_xlpm.result=0,"",_xlpm.result))</f>
        <v/>
      </c>
      <c r="AC76" s="2" t="str">
        <f>_xlfn.LET(
    _xlpm.isObject, _xlfn.XLOOKUP($Y76,'EA-Fortescue_SDExport'!A:A,'EA-Fortescue_SDExport'!B:B),
    _xlpm.lookupKey, IF(_xlpm.isObject="Object",
        _xlfn.XLOOKUP($A76,'EA-ConnectorExport'!A:A,'EA-ConnectorExport'!J:J),
        $Y76
    ),
    _xlpm.result, _xlfn.XLOOKUP(_xlpm.lookupKey,'EA-Fortescue_SDExport'!A:A,'EA-Fortescue_SDExport'!AD:AD),
    IF(_xlpm.result=0,"",_xlpm.result)
)</f>
        <v>855DC Decarb Green Systems</v>
      </c>
      <c r="AD76" s="2" t="str">
        <f>_xlfn.LET(
    _xlpm.isObject, _xlfn.XLOOKUP($Y76,'EA-Fortescue_SDExport'!A:A,'EA-Fortescue_SDExport'!B:B),
    _xlpm.lookupKey, IF(_xlpm.isObject="Object",
        _xlfn.XLOOKUP($A76,'EA-ConnectorExport'!A:A,'EA-ConnectorExport'!J:J),
        $Y76
    ),
    _xlpm.result, _xlfn.XLOOKUP(_xlpm.lookupKey,'EA-Fortescue_SDExport'!A:A,'EA-Fortescue_SDExport'!AE:AE),
    IF(_xlpm.result=0,"",_xlpm.result)
)</f>
        <v>855DC-1542 Control &amp; Monitoring Systems</v>
      </c>
      <c r="AE76" s="2" t="str">
        <f>_xlfn.LET(
    _xlpm.isObject, _xlfn.XLOOKUP($Y76,'EA-Fortescue_SDExport'!A:A,'EA-Fortescue_SDExport'!B:B),
    _xlpm.lookupKey, IF(_xlpm.isObject="Object",
        _xlfn.XLOOKUP($A76,'EA-ConnectorExport'!A:A,'EA-ConnectorExport'!J:J),
        $Y76
    ),
    _xlpm.result, _xlfn.XLOOKUP(_xlpm.lookupKey,'EA-Fortescue_SDExport'!A:A,'EA-Fortescue_SDExport'!AF:AF),
    IF(_xlpm.result=0,"",_xlpm.result)
)</f>
        <v>855DC-1542-008 Mine Electrification SCADA</v>
      </c>
      <c r="AF76" s="2" t="str">
        <f>_xlfn.LET(
    _xlpm.isObject, _xlfn.XLOOKUP($Y76,'EA-Fortescue_SDExport'!A:A,'EA-Fortescue_SDExport'!B:B),
    _xlpm.lookupKey, IF(_xlpm.isObject="Object",
        _xlfn.XLOOKUP($A76,'EA-ConnectorExport'!A:A,'EA-ConnectorExport'!J:J),
        $Y76
    ),
    _xlpm.result, _xlfn.XLOOKUP(_xlpm.lookupKey,'EA-Fortescue_SDExport'!A:A,'EA-Fortescue_SDExport'!AG:AG),
    IF(_xlpm.result=0,"",_xlpm.result)
)</f>
        <v/>
      </c>
    </row>
    <row r="77" spans="1:32" ht="255" x14ac:dyDescent="0.25">
      <c r="A77" s="2" t="str">
        <v>DGS-I_0076</v>
      </c>
      <c r="B77" s="2" t="str">
        <f t="shared" si="4"/>
        <v>850DC-1512-0001 HME Chargers - Gen1|855DC-1542-008 Mine Electrification SCADA</v>
      </c>
      <c r="C77" s="2" t="str">
        <f>_xlfn.LET(_xlpm.result, _xlfn.XLOOKUP(A77,'EA-Fortescue_SDExport'!A:A,'EA-Fortescue_SDExport'!AM:AM), IF(_xlpm.result=0,"",_xlpm.result))</f>
        <v/>
      </c>
      <c r="D77" s="2" t="str">
        <f>_xlfn.LET(_xlpm.result, _xlfn.XLOOKUP(A77,'EA-Fortescue_SDExport'!A:A,'EA-Fortescue_SDExport'!AN:AN), IF(_xlpm.result=0,"",_xlpm.result))</f>
        <v/>
      </c>
      <c r="E77" s="2" t="str">
        <f>_xlfn.XLOOKUP(R77&amp;Z77,Lookups!A:A,Lookups!B:B)</f>
        <v>Project - Project Interface</v>
      </c>
      <c r="F77" s="2" t="str">
        <f>_xlfn.LET(_xlpm.result, _xlfn.XLOOKUP(A77,'EA-Fortescue_SDExport'!A:A,'EA-Fortescue_SDExport'!AP:AP), IF(_xlpm.result=0,"",_xlpm.result))</f>
        <v>Technical-Electrical</v>
      </c>
      <c r="G77" s="2" t="str">
        <f>IF(OR(AND(T77&lt;&gt;"", COUNTIF(Lookups!J:J, "*"&amp;T77&amp;"*")&gt;0), AND(AB77&lt;&gt;"", COUNTIF(Lookups!J:J, "*"&amp;AB77&amp;"*")&gt;0)), "Yes", "No")</f>
        <v>No</v>
      </c>
      <c r="H77" s="2" t="str">
        <f t="shared" si="5"/>
        <v>850DC Decarb Infrastructure|855DC Decarb Green Systems</v>
      </c>
      <c r="I77" s="2" t="str">
        <f t="shared" si="6"/>
        <v>850DC-1510 Chargers|855DC-1542 Control &amp; Monitoring Systems</v>
      </c>
      <c r="J77" s="2" t="str">
        <f t="shared" si="7"/>
        <v>850DC-1512-0001 HME Chargers - Gen1|855DC-1542-008 Mine Electrification SCADA</v>
      </c>
      <c r="K77" s="2" t="str">
        <f>_xlfn.XLOOKUP(A77,'EA-Fortescue_SDExport'!A:A,'EA-Fortescue_SDExport'!N:N)</f>
        <v>Simplified Interface</v>
      </c>
      <c r="L77" s="2" t="str">
        <f>_xlfn.LET(_xlpm.result, _xlfn.XLOOKUP($A77,'EA-Fortescue_SDExport'!$A:$A,'EA-Fortescue_SDExport'!AQ:AQ), IF(_xlpm.result=0,"",_xlpm.result))</f>
        <v>This interface provides SCADA with electrical status and operational information from Heavy Mobile Equipment (HME) Chargers, including load conditions, protection states, and alarms.</v>
      </c>
      <c r="M77" s="2" t="str">
        <f>_xlfn.LET(_xlpm.result, _xlfn.XLOOKUP($A77,'EA-Fortescue_SDExport'!$A:$A,'EA-Fortescue_SDExport'!AR:AR), IF(_xlpm.result=0,"",_xlpm.result))</f>
        <v>HIGH</v>
      </c>
      <c r="N77" s="2" t="str">
        <f>_xlfn.LET(_xlpm.result, _xlfn.XLOOKUP($A77,'EA-Fortescue_SDExport'!$A:$A,'EA-Fortescue_SDExport'!AW:AW), IF(_xlpm.result=0,"",_xlpm.result))</f>
        <v>The criticality level is HIGH because charger infrastructure draws a significant electrical load, and SCADA oversight is required to prevent overloads, manage faults, and maintain power system safety. Loss of this interface can lead to unsafe conditions or prolonged charger outages, directly affecting haulage productivity.</v>
      </c>
      <c r="O77" s="2" t="str">
        <f>_xlfn.LET(_xlpm.result, _xlfn.XLOOKUP($A77,'EA-Fortescue_SDExport'!$A:$A,'EA-Fortescue_SDExport'!AV:AV), IF(_xlpm.result=0,"",_xlpm.result))</f>
        <v>HME Chargers - Gen1 -&gt; Mine Electrification SCADA</v>
      </c>
      <c r="P77" s="2" t="str">
        <f>_xlfn.LET(_xlpm.result, _xlfn.XLOOKUP($A77,'EA-Fortescue_SDExport'!$A:$A,'EA-Fortescue_SDExport'!D:D), IF(_xlpm.result=0,"",_xlpm.result))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Fields updated:Interface Type, Interface Flow</v>
      </c>
      <c r="Q77" s="2" t="str">
        <f>_xlfn.LET(
    _xlpm.status, _xlfn.XLOOKUP($A77,'EA-ConnectorExport'!$A:$A,'EA-ConnectorExport'!G:G),
    _xlpm.result, _xlfn.XLOOKUP($A77,'EA-ConnectorExport'!$A:$A,'EA-ConnectorExport'!B:B),
    IF(_xlpm.status="allocate", _xlpm.result, "")
)</f>
        <v>850DC-1512-0001 HME Chargers - Gen1</v>
      </c>
      <c r="R77" s="2" t="str">
        <f>IF(
    _xlfn.XLOOKUP($Q77,'EA-Fortescue_SDExport'!A:A,'EA-Fortescue_SDExport'!B:B)="Object",
    _xlfn.XLOOKUP(
        _xlfn.XLOOKUP($A77,'EA-ConnectorExport'!A:A,'EA-ConnectorExport'!D:D),
        'EA-Fortescue_SDExport'!A:A,
        'EA-Fortescue_SDExport'!AA:AA
    ),
    _xlfn.XLOOKUP($Q77,'EA-Fortescue_SDExport'!A:A,'EA-Fortescue_SDExport'!AA:AA)
)</f>
        <v>Project</v>
      </c>
      <c r="S77" s="2" t="str">
        <f>_xlfn.LET(_xlpm.result, _xlfn.XLOOKUP($Q77,'EA-Fortescue_SDExport'!$A:$A,'EA-Fortescue_SDExport'!AB:AB), IF(_xlpm.result=0,"",_xlpm.result))</f>
        <v/>
      </c>
      <c r="T77" s="2" t="str">
        <f>_xlfn.LET(_xlpm.result, _xlfn.XLOOKUP($Q77,'EA-Fortescue_SDExport'!$A:$A,'EA-Fortescue_SDExport'!AC:AC), IF(_xlpm.result=0,"",_xlpm.result))</f>
        <v>Generic Physical Asset</v>
      </c>
      <c r="U77" s="2" t="str">
        <f>_xlfn.LET(
    _xlpm.isObject, _xlfn.XLOOKUP($Q77,'EA-Fortescue_SDExport'!A:A,'EA-Fortescue_SDExport'!B:B),
    _xlpm.lookupKey, IF(_xlpm.isObject="Object",
        _xlfn.XLOOKUP($A77,'EA-ConnectorExport'!A:A,'EA-ConnectorExport'!D:D),
        $Q77
    ),
    _xlpm.result, _xlfn.XLOOKUP(_xlpm.lookupKey,'EA-Fortescue_SDExport'!A:A,'EA-Fortescue_SDExport'!AD:AD),
    IF(_xlpm.result=0,"",_xlpm.result)
)</f>
        <v>850DC Decarb Infrastructure</v>
      </c>
      <c r="V77" s="2" t="str">
        <f>_xlfn.LET(
    _xlpm.isObject, _xlfn.XLOOKUP($Q77,'EA-Fortescue_SDExport'!A:A,'EA-Fortescue_SDExport'!B:B),
    _xlpm.lookupKey, IF(_xlpm.isObject="Object",
        _xlfn.XLOOKUP($A77,'EA-ConnectorExport'!A:A,'EA-ConnectorExport'!D:D),
        $Q77
    ),
    _xlpm.result, _xlfn.XLOOKUP(_xlpm.lookupKey,'EA-Fortescue_SDExport'!A:A,'EA-Fortescue_SDExport'!AE:AE),
    IF(_xlpm.result=0,"",_xlpm.result)
)</f>
        <v>850DC-1510 Chargers</v>
      </c>
      <c r="W77" s="2" t="str">
        <f>_xlfn.LET(
    _xlpm.isObject, _xlfn.XLOOKUP($Q77,'EA-Fortescue_SDExport'!A:A,'EA-Fortescue_SDExport'!B:B),
    _xlpm.lookupKey, IF(_xlpm.isObject="Object",
        _xlfn.XLOOKUP($A77,'EA-ConnectorExport'!A:A,'EA-ConnectorExport'!D:D),
        $Q77
    ),
    _xlpm.result, _xlfn.XLOOKUP(_xlpm.lookupKey,'EA-Fortescue_SDExport'!A:A,'EA-Fortescue_SDExport'!AF:AF),
    IF(_xlpm.result=0,"",_xlpm.result)
)</f>
        <v>850DC-1512-0001 HME Chargers - Gen1</v>
      </c>
      <c r="X77" s="2" t="str">
        <f>_xlfn.LET(
    _xlpm.isObject, _xlfn.XLOOKUP($Q77,'EA-Fortescue_SDExport'!A:A,'EA-Fortescue_SDExport'!B:B),
    _xlpm.lookupKey, IF(_xlpm.isObject="Object",
        _xlfn.XLOOKUP($A77,'EA-ConnectorExport'!A:A,'EA-ConnectorExport'!D:D),
        $Q77
    ),
    _xlpm.result, _xlfn.XLOOKUP(_xlpm.lookupKey,'EA-Fortescue_SDExport'!A:A,'EA-Fortescue_SDExport'!AG:AG),
    IF(_xlpm.result=0,"",_xlpm.result)
)</f>
        <v/>
      </c>
      <c r="Y77" s="2" t="str">
        <f>_xlfn.LET(
    _xlpm.status, _xlfn.XLOOKUP($A77,'EA-ConnectorExport'!$A:$A,'EA-ConnectorExport'!G:G),
    _xlpm.result, _xlfn.XLOOKUP($A77,'EA-ConnectorExport'!$A:$A,'EA-ConnectorExport'!H:H),
    IF(_xlpm.status="allocate", _xlpm.result, "")
)</f>
        <v>855DC-1542-008 Mine Electrification SCADA</v>
      </c>
      <c r="Z77" s="2" t="str">
        <f>_xlfn.LET(
    _xlpm.isObject, _xlfn.XLOOKUP($Y77,'EA-Fortescue_SDExport'!A:A,'EA-Fortescue_SDExport'!B:B),
    _xlpm.lookupKey, IF(_xlpm.isObject="Object",
        _xlfn.XLOOKUP($A77,'EA-ConnectorExport'!A:A,'EA-ConnectorExport'!J:J),
        $Y77
    ),
    _xlpm.result, _xlfn.XLOOKUP(_xlpm.lookupKey,'EA-Fortescue_SDExport'!A:A,'EA-Fortescue_SDExport'!AA:AA),
    IF(_xlpm.result=0,"",_xlpm.result)
)</f>
        <v>Project</v>
      </c>
      <c r="AA77" s="2" t="str">
        <f>_xlfn.LET(_xlpm.result, _xlfn.XLOOKUP($Y77,'EA-Fortescue_SDExport'!$A:$A,'EA-Fortescue_SDExport'!AB:AB), IF(_xlpm.result=0,"",_xlpm.result))</f>
        <v>Mine Services</v>
      </c>
      <c r="AB77" s="2" t="str">
        <f>_xlfn.LET(_xlpm.result, _xlfn.XLOOKUP($Y77,'EA-Fortescue_SDExport'!$A:$A,'EA-Fortescue_SDExport'!AC:AC), IF(_xlpm.result=0,"",_xlpm.result))</f>
        <v/>
      </c>
      <c r="AC77" s="2" t="str">
        <f>_xlfn.LET(
    _xlpm.isObject, _xlfn.XLOOKUP($Y77,'EA-Fortescue_SDExport'!A:A,'EA-Fortescue_SDExport'!B:B),
    _xlpm.lookupKey, IF(_xlpm.isObject="Object",
        _xlfn.XLOOKUP($A77,'EA-ConnectorExport'!A:A,'EA-ConnectorExport'!J:J),
        $Y77
    ),
    _xlpm.result, _xlfn.XLOOKUP(_xlpm.lookupKey,'EA-Fortescue_SDExport'!A:A,'EA-Fortescue_SDExport'!AD:AD),
    IF(_xlpm.result=0,"",_xlpm.result)
)</f>
        <v>855DC Decarb Green Systems</v>
      </c>
      <c r="AD77" s="2" t="str">
        <f>_xlfn.LET(
    _xlpm.isObject, _xlfn.XLOOKUP($Y77,'EA-Fortescue_SDExport'!A:A,'EA-Fortescue_SDExport'!B:B),
    _xlpm.lookupKey, IF(_xlpm.isObject="Object",
        _xlfn.XLOOKUP($A77,'EA-ConnectorExport'!A:A,'EA-ConnectorExport'!J:J),
        $Y77
    ),
    _xlpm.result, _xlfn.XLOOKUP(_xlpm.lookupKey,'EA-Fortescue_SDExport'!A:A,'EA-Fortescue_SDExport'!AE:AE),
    IF(_xlpm.result=0,"",_xlpm.result)
)</f>
        <v>855DC-1542 Control &amp; Monitoring Systems</v>
      </c>
      <c r="AE77" s="2" t="str">
        <f>_xlfn.LET(
    _xlpm.isObject, _xlfn.XLOOKUP($Y77,'EA-Fortescue_SDExport'!A:A,'EA-Fortescue_SDExport'!B:B),
    _xlpm.lookupKey, IF(_xlpm.isObject="Object",
        _xlfn.XLOOKUP($A77,'EA-ConnectorExport'!A:A,'EA-ConnectorExport'!J:J),
        $Y77
    ),
    _xlpm.result, _xlfn.XLOOKUP(_xlpm.lookupKey,'EA-Fortescue_SDExport'!A:A,'EA-Fortescue_SDExport'!AF:AF),
    IF(_xlpm.result=0,"",_xlpm.result)
)</f>
        <v>855DC-1542-008 Mine Electrification SCADA</v>
      </c>
      <c r="AF77" s="2" t="str">
        <f>_xlfn.LET(
    _xlpm.isObject, _xlfn.XLOOKUP($Y77,'EA-Fortescue_SDExport'!A:A,'EA-Fortescue_SDExport'!B:B),
    _xlpm.lookupKey, IF(_xlpm.isObject="Object",
        _xlfn.XLOOKUP($A77,'EA-ConnectorExport'!A:A,'EA-ConnectorExport'!J:J),
        $Y77
    ),
    _xlpm.result, _xlfn.XLOOKUP(_xlpm.lookupKey,'EA-Fortescue_SDExport'!A:A,'EA-Fortescue_SDExport'!AG:AG),
    IF(_xlpm.result=0,"",_xlpm.result)
)</f>
        <v/>
      </c>
    </row>
    <row r="78" spans="1:32" ht="405" x14ac:dyDescent="0.25">
      <c r="A78" s="2" t="str">
        <v>DGS-I_0077</v>
      </c>
      <c r="B78" s="2" t="str">
        <f t="shared" si="4"/>
        <v>850DC-1522 Field Switches|855DC-1542-008 Mine Electrification SCADA</v>
      </c>
      <c r="C78" s="2" t="str">
        <f>_xlfn.LET(_xlpm.result, _xlfn.XLOOKUP(A78,'EA-Fortescue_SDExport'!A:A,'EA-Fortescue_SDExport'!AM:AM), IF(_xlpm.result=0,"",_xlpm.result))</f>
        <v/>
      </c>
      <c r="D78" s="2" t="str">
        <f>_xlfn.LET(_xlpm.result, _xlfn.XLOOKUP(A78,'EA-Fortescue_SDExport'!A:A,'EA-Fortescue_SDExport'!AN:AN), IF(_xlpm.result=0,"",_xlpm.result))</f>
        <v/>
      </c>
      <c r="E78" s="2" t="str">
        <f>_xlfn.XLOOKUP(R78&amp;Z78,Lookups!A:A,Lookups!B:B)</f>
        <v>System - Project Interface</v>
      </c>
      <c r="F78" s="2" t="str">
        <f>_xlfn.LET(_xlpm.result, _xlfn.XLOOKUP(A78,'EA-Fortescue_SDExport'!A:A,'EA-Fortescue_SDExport'!AP:AP), IF(_xlpm.result=0,"",_xlpm.result))</f>
        <v>Technical-Electrical</v>
      </c>
      <c r="G78" s="2" t="str">
        <f>IF(OR(AND(T78&lt;&gt;"", COUNTIF(Lookups!J:J, "*"&amp;T78&amp;"*")&gt;0), AND(AB78&lt;&gt;"", COUNTIF(Lookups!J:J, "*"&amp;AB78&amp;"*")&gt;0)), "Yes", "No")</f>
        <v>No</v>
      </c>
      <c r="H78" s="2" t="str">
        <f t="shared" si="5"/>
        <v>850DC Decarb Infrastructure|855DC Decarb Green Systems</v>
      </c>
      <c r="I78" s="2" t="str">
        <f t="shared" si="6"/>
        <v>850DC-1522 Field Switches|855DC-1542 Control &amp; Monitoring Systems</v>
      </c>
      <c r="J78" s="2" t="str">
        <f t="shared" si="7"/>
        <v>N/A|855DC-1542-008 Mine Electrification SCADA</v>
      </c>
      <c r="K78" s="2" t="str">
        <f>_xlfn.XLOOKUP(A78,'EA-Fortescue_SDExport'!A:A,'EA-Fortescue_SDExport'!N:N)</f>
        <v>Proposed</v>
      </c>
      <c r="L78" s="2" t="str">
        <f>_xlfn.LET(_xlpm.result, _xlfn.XLOOKUP($A78,'EA-Fortescue_SDExport'!$A:$A,'EA-Fortescue_SDExport'!AQ:AQ), IF(_xlpm.result=0,"",_xlpm.result))</f>
        <v>This interface allows Mine Electrification SCADA to monitor and operate field switches across the site, ensuring safe isolation, load transfer, and protection coordination.</v>
      </c>
      <c r="M78" s="2" t="str">
        <f>_xlfn.LET(_xlpm.result, _xlfn.XLOOKUP($A78,'EA-Fortescue_SDExport'!$A:$A,'EA-Fortescue_SDExport'!AR:AR), IF(_xlpm.result=0,"",_xlpm.result))</f>
        <v>HIGH</v>
      </c>
      <c r="N78" s="2" t="str">
        <f>_xlfn.LET(_xlpm.result, _xlfn.XLOOKUP($A78,'EA-Fortescue_SDExport'!$A:$A,'EA-Fortescue_SDExport'!AW:AW), IF(_xlpm.result=0,"",_xlpm.result))</f>
        <v>The criticality level is HIGH because field switching is essential for electrical safety, maintenance coordination, and fault response. Without SCADA visibility, operators cannot promptly detect faults or safely reconfigure the network, creating both operational and safety risks.</v>
      </c>
      <c r="O78" s="2" t="str">
        <f>_xlfn.LET(_xlpm.result, _xlfn.XLOOKUP($A78,'EA-Fortescue_SDExport'!$A:$A,'EA-Fortescue_SDExport'!AV:AV), IF(_xlpm.result=0,"",_xlpm.result))</f>
        <v>Data Flow: Field Switches -&gt; Mine Electrification SCADA (switch position, feeder status, voltage/current measurements where applicable, protection indications, alarms, fault events) for real-time monitoring and network status visibility._x000D_
Control Flow: Mine Electrification SCADA -&gt; Field Switches (remote open/close commands, isolation instructions, load transfer commands, reset signals) to enable safe switching and fault isolation.</v>
      </c>
      <c r="P78" s="2" t="str">
        <f>_xlfn.LET(_xlpm.result, _xlfn.XLOOKUP($A78,'EA-Fortescue_SDExport'!$A:$A,'EA-Fortescue_SDExport'!D:D), IF(_xlpm.result=0,"",_xlpm.result))</f>
        <v>LMS Review 30/10/2025: PLC in a field switch OPC/UA._x000D_
Status for SCADA tags, circuit breaker statuses, temp data. _x000D_
_x000D_
Two way (control as well for HV Switching)._x000D_
_x000D_
SCADA Review 30/10/2025: Similar interface and functionality to GSS._x000D_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Q78" s="2" t="str">
        <f>_xlfn.LET(
    _xlpm.status, _xlfn.XLOOKUP($A78,'EA-ConnectorExport'!$A:$A,'EA-ConnectorExport'!G:G),
    _xlpm.result, _xlfn.XLOOKUP($A78,'EA-ConnectorExport'!$A:$A,'EA-ConnectorExport'!B:B),
    IF(_xlpm.status="allocate", _xlpm.result, "")
)</f>
        <v>850DC-1522 Field Switches</v>
      </c>
      <c r="R78" s="2" t="str">
        <f>IF(
    _xlfn.XLOOKUP($Q78,'EA-Fortescue_SDExport'!A:A,'EA-Fortescue_SDExport'!B:B)="Object",
    _xlfn.XLOOKUP(
        _xlfn.XLOOKUP($A78,'EA-ConnectorExport'!A:A,'EA-ConnectorExport'!D:D),
        'EA-Fortescue_SDExport'!A:A,
        'EA-Fortescue_SDExport'!AA:AA
    ),
    _xlfn.XLOOKUP($Q78,'EA-Fortescue_SDExport'!A:A,'EA-Fortescue_SDExport'!AA:AA)
)</f>
        <v>System</v>
      </c>
      <c r="S78" s="2" t="str">
        <f>_xlfn.LET(_xlpm.result, _xlfn.XLOOKUP($Q78,'EA-Fortescue_SDExport'!$A:$A,'EA-Fortescue_SDExport'!AB:AB), IF(_xlpm.result=0,"",_xlpm.result))</f>
        <v/>
      </c>
      <c r="T78" s="2" t="str">
        <f>_xlfn.LET(_xlpm.result, _xlfn.XLOOKUP($Q78,'EA-Fortescue_SDExport'!$A:$A,'EA-Fortescue_SDExport'!AC:AC), IF(_xlpm.result=0,"",_xlpm.result))</f>
        <v>Generic Physical Asset</v>
      </c>
      <c r="U78" s="2" t="str">
        <f>_xlfn.LET(
    _xlpm.isObject, _xlfn.XLOOKUP($Q78,'EA-Fortescue_SDExport'!A:A,'EA-Fortescue_SDExport'!B:B),
    _xlpm.lookupKey, IF(_xlpm.isObject="Object",
        _xlfn.XLOOKUP($A78,'EA-ConnectorExport'!A:A,'EA-ConnectorExport'!D:D),
        $Q78
    ),
    _xlpm.result, _xlfn.XLOOKUP(_xlpm.lookupKey,'EA-Fortescue_SDExport'!A:A,'EA-Fortescue_SDExport'!AD:AD),
    IF(_xlpm.result=0,"",_xlpm.result)
)</f>
        <v>850DC Decarb Infrastructure</v>
      </c>
      <c r="V78" s="2" t="str">
        <f>_xlfn.LET(
    _xlpm.isObject, _xlfn.XLOOKUP($Q78,'EA-Fortescue_SDExport'!A:A,'EA-Fortescue_SDExport'!B:B),
    _xlpm.lookupKey, IF(_xlpm.isObject="Object",
        _xlfn.XLOOKUP($A78,'EA-ConnectorExport'!A:A,'EA-ConnectorExport'!D:D),
        $Q78
    ),
    _xlpm.result, _xlfn.XLOOKUP(_xlpm.lookupKey,'EA-Fortescue_SDExport'!A:A,'EA-Fortescue_SDExport'!AE:AE),
    IF(_xlpm.result=0,"",_xlpm.result)
)</f>
        <v>850DC-1522 Field Switches</v>
      </c>
      <c r="W78" s="2" t="str">
        <f>_xlfn.LET(
    _xlpm.isObject, _xlfn.XLOOKUP($Q78,'EA-Fortescue_SDExport'!A:A,'EA-Fortescue_SDExport'!B:B),
    _xlpm.lookupKey, IF(_xlpm.isObject="Object",
        _xlfn.XLOOKUP($A78,'EA-ConnectorExport'!A:A,'EA-ConnectorExport'!D:D),
        $Q78
    ),
    _xlpm.result, _xlfn.XLOOKUP(_xlpm.lookupKey,'EA-Fortescue_SDExport'!A:A,'EA-Fortescue_SDExport'!AF:AF),
    IF(_xlpm.result=0,"",_xlpm.result)
)</f>
        <v/>
      </c>
      <c r="X78" s="2" t="str">
        <f>_xlfn.LET(
    _xlpm.isObject, _xlfn.XLOOKUP($Q78,'EA-Fortescue_SDExport'!A:A,'EA-Fortescue_SDExport'!B:B),
    _xlpm.lookupKey, IF(_xlpm.isObject="Object",
        _xlfn.XLOOKUP($A78,'EA-ConnectorExport'!A:A,'EA-ConnectorExport'!D:D),
        $Q78
    ),
    _xlpm.result, _xlfn.XLOOKUP(_xlpm.lookupKey,'EA-Fortescue_SDExport'!A:A,'EA-Fortescue_SDExport'!AG:AG),
    IF(_xlpm.result=0,"",_xlpm.result)
)</f>
        <v/>
      </c>
      <c r="Y78" s="2" t="str">
        <f>_xlfn.LET(
    _xlpm.status, _xlfn.XLOOKUP($A78,'EA-ConnectorExport'!$A:$A,'EA-ConnectorExport'!G:G),
    _xlpm.result, _xlfn.XLOOKUP($A78,'EA-ConnectorExport'!$A:$A,'EA-ConnectorExport'!H:H),
    IF(_xlpm.status="allocate", _xlpm.result, "")
)</f>
        <v>855DC-1542-008 Mine Electrification SCADA</v>
      </c>
      <c r="Z78" s="2" t="str">
        <f>_xlfn.LET(
    _xlpm.isObject, _xlfn.XLOOKUP($Y78,'EA-Fortescue_SDExport'!A:A,'EA-Fortescue_SDExport'!B:B),
    _xlpm.lookupKey, IF(_xlpm.isObject="Object",
        _xlfn.XLOOKUP($A78,'EA-ConnectorExport'!A:A,'EA-ConnectorExport'!J:J),
        $Y78
    ),
    _xlpm.result, _xlfn.XLOOKUP(_xlpm.lookupKey,'EA-Fortescue_SDExport'!A:A,'EA-Fortescue_SDExport'!AA:AA),
    IF(_xlpm.result=0,"",_xlpm.result)
)</f>
        <v>Project</v>
      </c>
      <c r="AA78" s="2" t="str">
        <f>_xlfn.LET(_xlpm.result, _xlfn.XLOOKUP($Y78,'EA-Fortescue_SDExport'!$A:$A,'EA-Fortescue_SDExport'!AB:AB), IF(_xlpm.result=0,"",_xlpm.result))</f>
        <v>Mine Services</v>
      </c>
      <c r="AB78" s="2" t="str">
        <f>_xlfn.LET(_xlpm.result, _xlfn.XLOOKUP($Y78,'EA-Fortescue_SDExport'!$A:$A,'EA-Fortescue_SDExport'!AC:AC), IF(_xlpm.result=0,"",_xlpm.result))</f>
        <v/>
      </c>
      <c r="AC78" s="2" t="str">
        <f>_xlfn.LET(
    _xlpm.isObject, _xlfn.XLOOKUP($Y78,'EA-Fortescue_SDExport'!A:A,'EA-Fortescue_SDExport'!B:B),
    _xlpm.lookupKey, IF(_xlpm.isObject="Object",
        _xlfn.XLOOKUP($A78,'EA-ConnectorExport'!A:A,'EA-ConnectorExport'!J:J),
        $Y78
    ),
    _xlpm.result, _xlfn.XLOOKUP(_xlpm.lookupKey,'EA-Fortescue_SDExport'!A:A,'EA-Fortescue_SDExport'!AD:AD),
    IF(_xlpm.result=0,"",_xlpm.result)
)</f>
        <v>855DC Decarb Green Systems</v>
      </c>
      <c r="AD78" s="2" t="str">
        <f>_xlfn.LET(
    _xlpm.isObject, _xlfn.XLOOKUP($Y78,'EA-Fortescue_SDExport'!A:A,'EA-Fortescue_SDExport'!B:B),
    _xlpm.lookupKey, IF(_xlpm.isObject="Object",
        _xlfn.XLOOKUP($A78,'EA-ConnectorExport'!A:A,'EA-ConnectorExport'!J:J),
        $Y78
    ),
    _xlpm.result, _xlfn.XLOOKUP(_xlpm.lookupKey,'EA-Fortescue_SDExport'!A:A,'EA-Fortescue_SDExport'!AE:AE),
    IF(_xlpm.result=0,"",_xlpm.result)
)</f>
        <v>855DC-1542 Control &amp; Monitoring Systems</v>
      </c>
      <c r="AE78" s="2" t="str">
        <f>_xlfn.LET(
    _xlpm.isObject, _xlfn.XLOOKUP($Y78,'EA-Fortescue_SDExport'!A:A,'EA-Fortescue_SDExport'!B:B),
    _xlpm.lookupKey, IF(_xlpm.isObject="Object",
        _xlfn.XLOOKUP($A78,'EA-ConnectorExport'!A:A,'EA-ConnectorExport'!J:J),
        $Y78
    ),
    _xlpm.result, _xlfn.XLOOKUP(_xlpm.lookupKey,'EA-Fortescue_SDExport'!A:A,'EA-Fortescue_SDExport'!AF:AF),
    IF(_xlpm.result=0,"",_xlpm.result)
)</f>
        <v>855DC-1542-008 Mine Electrification SCADA</v>
      </c>
      <c r="AF78" s="2" t="str">
        <f>_xlfn.LET(
    _xlpm.isObject, _xlfn.XLOOKUP($Y78,'EA-Fortescue_SDExport'!A:A,'EA-Fortescue_SDExport'!B:B),
    _xlpm.lookupKey, IF(_xlpm.isObject="Object",
        _xlfn.XLOOKUP($A78,'EA-ConnectorExport'!A:A,'EA-ConnectorExport'!J:J),
        $Y78
    ),
    _xlpm.result, _xlfn.XLOOKUP(_xlpm.lookupKey,'EA-Fortescue_SDExport'!A:A,'EA-Fortescue_SDExport'!AG:AG),
    IF(_xlpm.result=0,"",_xlpm.result)
)</f>
        <v/>
      </c>
    </row>
    <row r="79" spans="1:32" ht="195" x14ac:dyDescent="0.25">
      <c r="A79" s="2" t="str">
        <v>DGS-I_0078</v>
      </c>
      <c r="B79" s="2" t="str">
        <f t="shared" si="4"/>
        <v>850DC-1510 Chargers|855DC-1542-CSM Charge Station Management System (CSMS)</v>
      </c>
      <c r="C79" s="2" t="str">
        <f>_xlfn.LET(_xlpm.result, _xlfn.XLOOKUP(A79,'EA-Fortescue_SDExport'!A:A,'EA-Fortescue_SDExport'!AM:AM), IF(_xlpm.result=0,"",_xlpm.result))</f>
        <v>Sam Hedgcock</v>
      </c>
      <c r="D79" s="2" t="str">
        <f>_xlfn.LET(_xlpm.result, _xlfn.XLOOKUP(A79,'EA-Fortescue_SDExport'!A:A,'EA-Fortescue_SDExport'!AN:AN), IF(_xlpm.result=0,"",_xlpm.result))</f>
        <v>Rhys Jasper</v>
      </c>
      <c r="E79" s="2" t="str">
        <f>_xlfn.XLOOKUP(R79&amp;Z79,Lookups!A:A,Lookups!B:B)</f>
        <v>System - Project Interface</v>
      </c>
      <c r="F79" s="2" t="str">
        <f>_xlfn.LET(_xlpm.result, _xlfn.XLOOKUP(A79,'EA-Fortescue_SDExport'!A:A,'EA-Fortescue_SDExport'!AP:AP), IF(_xlpm.result=0,"",_xlpm.result))</f>
        <v>Technical-Data/Software</v>
      </c>
      <c r="G79" s="2" t="str">
        <f>IF(OR(AND(T79&lt;&gt;"", COUNTIF(Lookups!J:J, "*"&amp;T79&amp;"*")&gt;0), AND(AB79&lt;&gt;"", COUNTIF(Lookups!J:J, "*"&amp;AB79&amp;"*")&gt;0)), "Yes", "No")</f>
        <v>No</v>
      </c>
      <c r="H79" s="2" t="str">
        <f t="shared" si="5"/>
        <v>850DC Decarb Infrastructure|855DC Decarb Green Systems</v>
      </c>
      <c r="I79" s="2" t="str">
        <f t="shared" si="6"/>
        <v>850DC-1510 Chargers|855DC-1542 Control &amp; Monitoring Systems</v>
      </c>
      <c r="J79" s="2" t="str">
        <f t="shared" si="7"/>
        <v>N/A|855DC-1542-CSM Charge Station Management System (CSMS)</v>
      </c>
      <c r="K79" s="2" t="str">
        <f>_xlfn.XLOOKUP(A79,'EA-Fortescue_SDExport'!A:A,'EA-Fortescue_SDExport'!N:N)</f>
        <v>Simplified Interface</v>
      </c>
      <c r="L79" s="2" t="str">
        <f>_xlfn.LET(_xlpm.result, _xlfn.XLOOKUP($A79,'EA-Fortescue_SDExport'!$A:$A,'EA-Fortescue_SDExport'!AQ:AQ), IF(_xlpm.result=0,"",_xlpm.result))</f>
        <v>vCharm Edge &lt;-&gt; EV Chargers - OCPP Integration for Charging Control &amp; Status_x000D_
The purpose of this interface is to allow vCharm Edge to communicate with EV chargers using OCPP to manage charging sessions and retrieve real-time charger information. This includes charger state, current and voltage levels, plug-in status, and vehicle connection details. The system also receives charge authorisation and rate profiles, and can send commands such as setting or adjusting the charge rate. Some charger models may additionally connect to the manufacturer's cloud.._x000D_
Intermediate Elements: vCharm Edge gateway, OCPP protocol, charger manufacturer cloud (where required), charger telemetry and control interfaces.</v>
      </c>
      <c r="M79" s="2" t="str">
        <f>_xlfn.LET(_xlpm.result, _xlfn.XLOOKUP($A79,'EA-Fortescue_SDExport'!$A:$A,'EA-Fortescue_SDExport'!AR:AR), IF(_xlpm.result=0,"",_xlpm.result))</f>
        <v>HIGH</v>
      </c>
      <c r="N79" s="2" t="str">
        <f>_xlfn.LET(_xlpm.result, _xlfn.XLOOKUP($A79,'EA-Fortescue_SDExport'!$A:$A,'EA-Fortescue_SDExport'!AW:AW), IF(_xlpm.result=0,"",_xlpm.result))</f>
        <v>The criticality level is HIGH because reliable OCPP communication is essential for managing EV charging loads, ensuring safe power distribution, and enabling coordinated charging behaviour across the site.</v>
      </c>
      <c r="O79" s="2" t="str">
        <f>_xlfn.LET(_xlpm.result, _xlfn.XLOOKUP($A79,'EA-Fortescue_SDExport'!$A:$A,'EA-Fortescue_SDExport'!AV:AV), IF(_xlpm.result=0,"",_xlpm.result))</f>
        <v>Data Flow:_x000D_
EV Chargers &lt;-&gt; OCPP &lt;-&gt; vCharm Edge (status, telemetry, control) -&gt; Local energy systems (LMS/SCADA where applicable).</v>
      </c>
      <c r="P79" s="2" t="str">
        <f>_xlfn.LET(_xlpm.result, _xlfn.XLOOKUP($A79,'EA-Fortescue_SDExport'!$A:$A,'EA-Fortescue_SDExport'!D:D), IF(_xlpm.result=0,"",_xlpm.result))</f>
        <v>CSMS Review 30/10/2025: Speak OCPP to a vCharm Edge._x000D_
State, current voltage, car plugged in?_x000D_
Getting back charge auth, charge rate profiles. set charge rate._x000D_
Depending on the charger, potentially phoning home to the manufacturers' cloud._x000D_
NH 25/02/2026: Fields updated:Interface Type</v>
      </c>
      <c r="Q79" s="2" t="str">
        <f>_xlfn.LET(
    _xlpm.status, _xlfn.XLOOKUP($A79,'EA-ConnectorExport'!$A:$A,'EA-ConnectorExport'!G:G),
    _xlpm.result, _xlfn.XLOOKUP($A79,'EA-ConnectorExport'!$A:$A,'EA-ConnectorExport'!B:B),
    IF(_xlpm.status="allocate", _xlpm.result, "")
)</f>
        <v>850DC-1510 Chargers</v>
      </c>
      <c r="R79" s="2" t="str">
        <f>IF(
    _xlfn.XLOOKUP($Q79,'EA-Fortescue_SDExport'!A:A,'EA-Fortescue_SDExport'!B:B)="Object",
    _xlfn.XLOOKUP(
        _xlfn.XLOOKUP($A79,'EA-ConnectorExport'!A:A,'EA-ConnectorExport'!D:D),
        'EA-Fortescue_SDExport'!A:A,
        'EA-Fortescue_SDExport'!AA:AA
    ),
    _xlfn.XLOOKUP($Q79,'EA-Fortescue_SDExport'!A:A,'EA-Fortescue_SDExport'!AA:AA)
)</f>
        <v>System</v>
      </c>
      <c r="S79" s="2" t="str">
        <f>_xlfn.LET(_xlpm.result, _xlfn.XLOOKUP($Q79,'EA-Fortescue_SDExport'!$A:$A,'EA-Fortescue_SDExport'!AB:AB), IF(_xlpm.result=0,"",_xlpm.result))</f>
        <v/>
      </c>
      <c r="T79" s="2" t="str">
        <f>_xlfn.LET(_xlpm.result, _xlfn.XLOOKUP($Q79,'EA-Fortescue_SDExport'!$A:$A,'EA-Fortescue_SDExport'!AC:AC), IF(_xlpm.result=0,"",_xlpm.result))</f>
        <v>Generic Physical Asset</v>
      </c>
      <c r="U79" s="2" t="str">
        <f>_xlfn.LET(
    _xlpm.isObject, _xlfn.XLOOKUP($Q79,'EA-Fortescue_SDExport'!A:A,'EA-Fortescue_SDExport'!B:B),
    _xlpm.lookupKey, IF(_xlpm.isObject="Object",
        _xlfn.XLOOKUP($A79,'EA-ConnectorExport'!A:A,'EA-ConnectorExport'!D:D),
        $Q79
    ),
    _xlpm.result, _xlfn.XLOOKUP(_xlpm.lookupKey,'EA-Fortescue_SDExport'!A:A,'EA-Fortescue_SDExport'!AD:AD),
    IF(_xlpm.result=0,"",_xlpm.result)
)</f>
        <v>850DC Decarb Infrastructure</v>
      </c>
      <c r="V79" s="2" t="str">
        <f>_xlfn.LET(
    _xlpm.isObject, _xlfn.XLOOKUP($Q79,'EA-Fortescue_SDExport'!A:A,'EA-Fortescue_SDExport'!B:B),
    _xlpm.lookupKey, IF(_xlpm.isObject="Object",
        _xlfn.XLOOKUP($A79,'EA-ConnectorExport'!A:A,'EA-ConnectorExport'!D:D),
        $Q79
    ),
    _xlpm.result, _xlfn.XLOOKUP(_xlpm.lookupKey,'EA-Fortescue_SDExport'!A:A,'EA-Fortescue_SDExport'!AE:AE),
    IF(_xlpm.result=0,"",_xlpm.result)
)</f>
        <v>850DC-1510 Chargers</v>
      </c>
      <c r="W79" s="2" t="str">
        <f>_xlfn.LET(
    _xlpm.isObject, _xlfn.XLOOKUP($Q79,'EA-Fortescue_SDExport'!A:A,'EA-Fortescue_SDExport'!B:B),
    _xlpm.lookupKey, IF(_xlpm.isObject="Object",
        _xlfn.XLOOKUP($A79,'EA-ConnectorExport'!A:A,'EA-ConnectorExport'!D:D),
        $Q79
    ),
    _xlpm.result, _xlfn.XLOOKUP(_xlpm.lookupKey,'EA-Fortescue_SDExport'!A:A,'EA-Fortescue_SDExport'!AF:AF),
    IF(_xlpm.result=0,"",_xlpm.result)
)</f>
        <v/>
      </c>
      <c r="X79" s="2" t="str">
        <f>_xlfn.LET(
    _xlpm.isObject, _xlfn.XLOOKUP($Q79,'EA-Fortescue_SDExport'!A:A,'EA-Fortescue_SDExport'!B:B),
    _xlpm.lookupKey, IF(_xlpm.isObject="Object",
        _xlfn.XLOOKUP($A79,'EA-ConnectorExport'!A:A,'EA-ConnectorExport'!D:D),
        $Q79
    ),
    _xlpm.result, _xlfn.XLOOKUP(_xlpm.lookupKey,'EA-Fortescue_SDExport'!A:A,'EA-Fortescue_SDExport'!AG:AG),
    IF(_xlpm.result=0,"",_xlpm.result)
)</f>
        <v/>
      </c>
      <c r="Y79" s="2" t="str">
        <f>_xlfn.LET(
    _xlpm.status, _xlfn.XLOOKUP($A79,'EA-ConnectorExport'!$A:$A,'EA-ConnectorExport'!G:G),
    _xlpm.result, _xlfn.XLOOKUP($A79,'EA-ConnectorExport'!$A:$A,'EA-ConnectorExport'!H:H),
    IF(_xlpm.status="allocate", _xlpm.result, "")
)</f>
        <v>855DC-1542-CSM Charge Station Management System (CSMS)</v>
      </c>
      <c r="Z79" s="2" t="str">
        <f>_xlfn.LET(
    _xlpm.isObject, _xlfn.XLOOKUP($Y79,'EA-Fortescue_SDExport'!A:A,'EA-Fortescue_SDExport'!B:B),
    _xlpm.lookupKey, IF(_xlpm.isObject="Object",
        _xlfn.XLOOKUP($A79,'EA-ConnectorExport'!A:A,'EA-ConnectorExport'!J:J),
        $Y79
    ),
    _xlpm.result, _xlfn.XLOOKUP(_xlpm.lookupKey,'EA-Fortescue_SDExport'!A:A,'EA-Fortescue_SDExport'!AA:AA),
    IF(_xlpm.result=0,"",_xlpm.result)
)</f>
        <v>Project</v>
      </c>
      <c r="AA79" s="2" t="str">
        <f>_xlfn.LET(_xlpm.result, _xlfn.XLOOKUP($Y79,'EA-Fortescue_SDExport'!$A:$A,'EA-Fortescue_SDExport'!AB:AB), IF(_xlpm.result=0,"",_xlpm.result))</f>
        <v>Sam Hedgcock</v>
      </c>
      <c r="AB79" s="2" t="str">
        <f>_xlfn.LET(_xlpm.result, _xlfn.XLOOKUP($Y79,'EA-Fortescue_SDExport'!$A:$A,'EA-Fortescue_SDExport'!AC:AC), IF(_xlpm.result=0,"",_xlpm.result))</f>
        <v/>
      </c>
      <c r="AC79" s="2" t="str">
        <f>_xlfn.LET(
    _xlpm.isObject, _xlfn.XLOOKUP($Y79,'EA-Fortescue_SDExport'!A:A,'EA-Fortescue_SDExport'!B:B),
    _xlpm.lookupKey, IF(_xlpm.isObject="Object",
        _xlfn.XLOOKUP($A79,'EA-ConnectorExport'!A:A,'EA-ConnectorExport'!J:J),
        $Y79
    ),
    _xlpm.result, _xlfn.XLOOKUP(_xlpm.lookupKey,'EA-Fortescue_SDExport'!A:A,'EA-Fortescue_SDExport'!AD:AD),
    IF(_xlpm.result=0,"",_xlpm.result)
)</f>
        <v>855DC Decarb Green Systems</v>
      </c>
      <c r="AD79" s="2" t="str">
        <f>_xlfn.LET(
    _xlpm.isObject, _xlfn.XLOOKUP($Y79,'EA-Fortescue_SDExport'!A:A,'EA-Fortescue_SDExport'!B:B),
    _xlpm.lookupKey, IF(_xlpm.isObject="Object",
        _xlfn.XLOOKUP($A79,'EA-ConnectorExport'!A:A,'EA-ConnectorExport'!J:J),
        $Y79
    ),
    _xlpm.result, _xlfn.XLOOKUP(_xlpm.lookupKey,'EA-Fortescue_SDExport'!A:A,'EA-Fortescue_SDExport'!AE:AE),
    IF(_xlpm.result=0,"",_xlpm.result)
)</f>
        <v>855DC-1542 Control &amp; Monitoring Systems</v>
      </c>
      <c r="AE79" s="2" t="str">
        <f>_xlfn.LET(
    _xlpm.isObject, _xlfn.XLOOKUP($Y79,'EA-Fortescue_SDExport'!A:A,'EA-Fortescue_SDExport'!B:B),
    _xlpm.lookupKey, IF(_xlpm.isObject="Object",
        _xlfn.XLOOKUP($A79,'EA-ConnectorExport'!A:A,'EA-ConnectorExport'!J:J),
        $Y79
    ),
    _xlpm.result, _xlfn.XLOOKUP(_xlpm.lookupKey,'EA-Fortescue_SDExport'!A:A,'EA-Fortescue_SDExport'!AF:AF),
    IF(_xlpm.result=0,"",_xlpm.result)
)</f>
        <v>855DC-1542-CSM Charge Station Management System (CSMS)</v>
      </c>
      <c r="AF79" s="2" t="str">
        <f>_xlfn.LET(
    _xlpm.isObject, _xlfn.XLOOKUP($Y79,'EA-Fortescue_SDExport'!A:A,'EA-Fortescue_SDExport'!B:B),
    _xlpm.lookupKey, IF(_xlpm.isObject="Object",
        _xlfn.XLOOKUP($A79,'EA-ConnectorExport'!A:A,'EA-ConnectorExport'!J:J),
        $Y79
    ),
    _xlpm.result, _xlfn.XLOOKUP(_xlpm.lookupKey,'EA-Fortescue_SDExport'!A:A,'EA-Fortescue_SDExport'!AG:AG),
    IF(_xlpm.result=0,"",_xlpm.result)
)</f>
        <v/>
      </c>
    </row>
    <row r="80" spans="1:32" ht="30" x14ac:dyDescent="0.25">
      <c r="A80" s="2" t="str">
        <v>DGS-I_0079</v>
      </c>
      <c r="B80" s="2" t="str">
        <f t="shared" si="4"/>
        <v>854DC-1521 HV Substations|854DC-5660 HV Transmission lines</v>
      </c>
      <c r="C80" s="2" t="str">
        <f>_xlfn.LET(_xlpm.result, _xlfn.XLOOKUP(A80,'EA-Fortescue_SDExport'!A:A,'EA-Fortescue_SDExport'!AM:AM), IF(_xlpm.result=0,"",_xlpm.result))</f>
        <v/>
      </c>
      <c r="D80" s="2" t="str">
        <f>_xlfn.LET(_xlpm.result, _xlfn.XLOOKUP(A80,'EA-Fortescue_SDExport'!A:A,'EA-Fortescue_SDExport'!AN:AN), IF(_xlpm.result=0,"",_xlpm.result))</f>
        <v/>
      </c>
      <c r="E80" s="2" t="str">
        <f>_xlfn.XLOOKUP(R80&amp;Z80,Lookups!A:A,Lookups!B:B)</f>
        <v>System - System Interface</v>
      </c>
      <c r="F80" s="2" t="str">
        <f>_xlfn.LET(_xlpm.result, _xlfn.XLOOKUP(A80,'EA-Fortescue_SDExport'!A:A,'EA-Fortescue_SDExport'!AP:AP), IF(_xlpm.result=0,"",_xlpm.result))</f>
        <v/>
      </c>
      <c r="G80" s="2" t="str">
        <f>IF(OR(AND(T80&lt;&gt;"", COUNTIF(Lookups!J:J, "*"&amp;T80&amp;"*")&gt;0), AND(AB80&lt;&gt;"", COUNTIF(Lookups!J:J, "*"&amp;AB80&amp;"*")&gt;0)), "Yes", "No")</f>
        <v>No</v>
      </c>
      <c r="H80" s="2" t="str">
        <f t="shared" si="5"/>
        <v>854DC Green Power|854DC Green Power</v>
      </c>
      <c r="I80" s="2" t="str">
        <f t="shared" si="6"/>
        <v>854DC-1521 HV Substations|854DC-5660 HV Transmission lines</v>
      </c>
      <c r="J80" s="2" t="str">
        <f t="shared" si="7"/>
        <v>N/A</v>
      </c>
      <c r="K80" s="2" t="str">
        <f>_xlfn.XLOOKUP(A80,'EA-Fortescue_SDExport'!A:A,'EA-Fortescue_SDExport'!N:N)</f>
        <v>Proposed</v>
      </c>
      <c r="L80" s="2" t="str">
        <f>_xlfn.LET(_xlpm.result, _xlfn.XLOOKUP($A80,'EA-Fortescue_SDExport'!$A:$A,'EA-Fortescue_SDExport'!AQ:AQ), IF(_xlpm.result=0,"",_xlpm.result))</f>
        <v/>
      </c>
      <c r="M80" s="2" t="str">
        <f>_xlfn.LET(_xlpm.result, _xlfn.XLOOKUP($A80,'EA-Fortescue_SDExport'!$A:$A,'EA-Fortescue_SDExport'!AR:AR), IF(_xlpm.result=0,"",_xlpm.result))</f>
        <v/>
      </c>
      <c r="N80" s="2" t="str">
        <f>_xlfn.LET(_xlpm.result, _xlfn.XLOOKUP($A80,'EA-Fortescue_SDExport'!$A:$A,'EA-Fortescue_SDExport'!AW:AW), IF(_xlpm.result=0,"",_xlpm.result))</f>
        <v/>
      </c>
      <c r="O80" s="2" t="str">
        <f>_xlfn.LET(_xlpm.result, _xlfn.XLOOKUP($A80,'EA-Fortescue_SDExport'!$A:$A,'EA-Fortescue_SDExport'!AV:AV), IF(_xlpm.result=0,"",_xlpm.result))</f>
        <v/>
      </c>
      <c r="P80" s="2" t="str">
        <f>_xlfn.LET(_xlpm.result, _xlfn.XLOOKUP($A80,'EA-Fortescue_SDExport'!$A:$A,'EA-Fortescue_SDExport'!D:D), IF(_xlpm.result=0,"",_xlpm.result))</f>
        <v/>
      </c>
      <c r="Q80" s="2" t="str">
        <f>_xlfn.LET(
    _xlpm.status, _xlfn.XLOOKUP($A80,'EA-ConnectorExport'!$A:$A,'EA-ConnectorExport'!G:G),
    _xlpm.result, _xlfn.XLOOKUP($A80,'EA-ConnectorExport'!$A:$A,'EA-ConnectorExport'!B:B),
    IF(_xlpm.status="allocate", _xlpm.result, "")
)</f>
        <v>854DC-1521 HV Substations</v>
      </c>
      <c r="R80" s="2" t="str">
        <f>IF(
    _xlfn.XLOOKUP($Q80,'EA-Fortescue_SDExport'!A:A,'EA-Fortescue_SDExport'!B:B)="Object",
    _xlfn.XLOOKUP(
        _xlfn.XLOOKUP($A80,'EA-ConnectorExport'!A:A,'EA-ConnectorExport'!D:D),
        'EA-Fortescue_SDExport'!A:A,
        'EA-Fortescue_SDExport'!AA:AA
    ),
    _xlfn.XLOOKUP($Q80,'EA-Fortescue_SDExport'!A:A,'EA-Fortescue_SDExport'!AA:AA)
)</f>
        <v>System</v>
      </c>
      <c r="S80" s="2" t="str">
        <f>_xlfn.LET(_xlpm.result, _xlfn.XLOOKUP($Q80,'EA-Fortescue_SDExport'!$A:$A,'EA-Fortescue_SDExport'!AB:AB), IF(_xlpm.result=0,"",_xlpm.result))</f>
        <v/>
      </c>
      <c r="T80" s="2" t="str">
        <f>_xlfn.LET(_xlpm.result, _xlfn.XLOOKUP($Q80,'EA-Fortescue_SDExport'!$A:$A,'EA-Fortescue_SDExport'!AC:AC), IF(_xlpm.result=0,"",_xlpm.result))</f>
        <v>Generic Physical Asset</v>
      </c>
      <c r="U80" s="2" t="str">
        <f>_xlfn.LET(
    _xlpm.isObject, _xlfn.XLOOKUP($Q80,'EA-Fortescue_SDExport'!A:A,'EA-Fortescue_SDExport'!B:B),
    _xlpm.lookupKey, IF(_xlpm.isObject="Object",
        _xlfn.XLOOKUP($A80,'EA-ConnectorExport'!A:A,'EA-ConnectorExport'!D:D),
        $Q80
    ),
    _xlpm.result, _xlfn.XLOOKUP(_xlpm.lookupKey,'EA-Fortescue_SDExport'!A:A,'EA-Fortescue_SDExport'!AD:AD),
    IF(_xlpm.result=0,"",_xlpm.result)
)</f>
        <v>854DC Green Power</v>
      </c>
      <c r="V80" s="2" t="str">
        <f>_xlfn.LET(
    _xlpm.isObject, _xlfn.XLOOKUP($Q80,'EA-Fortescue_SDExport'!A:A,'EA-Fortescue_SDExport'!B:B),
    _xlpm.lookupKey, IF(_xlpm.isObject="Object",
        _xlfn.XLOOKUP($A80,'EA-ConnectorExport'!A:A,'EA-ConnectorExport'!D:D),
        $Q80
    ),
    _xlpm.result, _xlfn.XLOOKUP(_xlpm.lookupKey,'EA-Fortescue_SDExport'!A:A,'EA-Fortescue_SDExport'!AE:AE),
    IF(_xlpm.result=0,"",_xlpm.result)
)</f>
        <v>854DC-1521 HV Substations</v>
      </c>
      <c r="W80" s="2" t="str">
        <f>_xlfn.LET(
    _xlpm.isObject, _xlfn.XLOOKUP($Q80,'EA-Fortescue_SDExport'!A:A,'EA-Fortescue_SDExport'!B:B),
    _xlpm.lookupKey, IF(_xlpm.isObject="Object",
        _xlfn.XLOOKUP($A80,'EA-ConnectorExport'!A:A,'EA-ConnectorExport'!D:D),
        $Q80
    ),
    _xlpm.result, _xlfn.XLOOKUP(_xlpm.lookupKey,'EA-Fortescue_SDExport'!A:A,'EA-Fortescue_SDExport'!AF:AF),
    IF(_xlpm.result=0,"",_xlpm.result)
)</f>
        <v/>
      </c>
      <c r="X80" s="2" t="str">
        <f>_xlfn.LET(
    _xlpm.isObject, _xlfn.XLOOKUP($Q80,'EA-Fortescue_SDExport'!A:A,'EA-Fortescue_SDExport'!B:B),
    _xlpm.lookupKey, IF(_xlpm.isObject="Object",
        _xlfn.XLOOKUP($A80,'EA-ConnectorExport'!A:A,'EA-ConnectorExport'!D:D),
        $Q80
    ),
    _xlpm.result, _xlfn.XLOOKUP(_xlpm.lookupKey,'EA-Fortescue_SDExport'!A:A,'EA-Fortescue_SDExport'!AG:AG),
    IF(_xlpm.result=0,"",_xlpm.result)
)</f>
        <v/>
      </c>
      <c r="Y80" s="2" t="str">
        <f>_xlfn.LET(
    _xlpm.status, _xlfn.XLOOKUP($A80,'EA-ConnectorExport'!$A:$A,'EA-ConnectorExport'!G:G),
    _xlpm.result, _xlfn.XLOOKUP($A80,'EA-ConnectorExport'!$A:$A,'EA-ConnectorExport'!H:H),
    IF(_xlpm.status="allocate", _xlpm.result, "")
)</f>
        <v>854DC-5660 HV Transmission lines</v>
      </c>
      <c r="Z80" s="2" t="str">
        <f>_xlfn.LET(
    _xlpm.isObject, _xlfn.XLOOKUP($Y80,'EA-Fortescue_SDExport'!A:A,'EA-Fortescue_SDExport'!B:B),
    _xlpm.lookupKey, IF(_xlpm.isObject="Object",
        _xlfn.XLOOKUP($A80,'EA-ConnectorExport'!A:A,'EA-ConnectorExport'!J:J),
        $Y80
    ),
    _xlpm.result, _xlfn.XLOOKUP(_xlpm.lookupKey,'EA-Fortescue_SDExport'!A:A,'EA-Fortescue_SDExport'!AA:AA),
    IF(_xlpm.result=0,"",_xlpm.result)
)</f>
        <v>System</v>
      </c>
      <c r="AA80" s="2" t="str">
        <f>_xlfn.LET(_xlpm.result, _xlfn.XLOOKUP($Y80,'EA-Fortescue_SDExport'!$A:$A,'EA-Fortescue_SDExport'!AB:AB), IF(_xlpm.result=0,"",_xlpm.result))</f>
        <v/>
      </c>
      <c r="AB80" s="2" t="str">
        <f>_xlfn.LET(_xlpm.result, _xlfn.XLOOKUP($Y80,'EA-Fortescue_SDExport'!$A:$A,'EA-Fortescue_SDExport'!AC:AC), IF(_xlpm.result=0,"",_xlpm.result))</f>
        <v>Generic Physical Asset</v>
      </c>
      <c r="AC80" s="2" t="str">
        <f>_xlfn.LET(
    _xlpm.isObject, _xlfn.XLOOKUP($Y80,'EA-Fortescue_SDExport'!A:A,'EA-Fortescue_SDExport'!B:B),
    _xlpm.lookupKey, IF(_xlpm.isObject="Object",
        _xlfn.XLOOKUP($A80,'EA-ConnectorExport'!A:A,'EA-ConnectorExport'!J:J),
        $Y80
    ),
    _xlpm.result, _xlfn.XLOOKUP(_xlpm.lookupKey,'EA-Fortescue_SDExport'!A:A,'EA-Fortescue_SDExport'!AD:AD),
    IF(_xlpm.result=0,"",_xlpm.result)
)</f>
        <v>854DC Green Power</v>
      </c>
      <c r="AD80" s="2" t="str">
        <f>_xlfn.LET(
    _xlpm.isObject, _xlfn.XLOOKUP($Y80,'EA-Fortescue_SDExport'!A:A,'EA-Fortescue_SDExport'!B:B),
    _xlpm.lookupKey, IF(_xlpm.isObject="Object",
        _xlfn.XLOOKUP($A80,'EA-ConnectorExport'!A:A,'EA-ConnectorExport'!J:J),
        $Y80
    ),
    _xlpm.result, _xlfn.XLOOKUP(_xlpm.lookupKey,'EA-Fortescue_SDExport'!A:A,'EA-Fortescue_SDExport'!AE:AE),
    IF(_xlpm.result=0,"",_xlpm.result)
)</f>
        <v>854DC-5660 HV Transmission lines</v>
      </c>
      <c r="AE80" s="2" t="str">
        <f>_xlfn.LET(
    _xlpm.isObject, _xlfn.XLOOKUP($Y80,'EA-Fortescue_SDExport'!A:A,'EA-Fortescue_SDExport'!B:B),
    _xlpm.lookupKey, IF(_xlpm.isObject="Object",
        _xlfn.XLOOKUP($A80,'EA-ConnectorExport'!A:A,'EA-ConnectorExport'!J:J),
        $Y80
    ),
    _xlpm.result, _xlfn.XLOOKUP(_xlpm.lookupKey,'EA-Fortescue_SDExport'!A:A,'EA-Fortescue_SDExport'!AF:AF),
    IF(_xlpm.result=0,"",_xlpm.result)
)</f>
        <v/>
      </c>
      <c r="AF80" s="2" t="str">
        <f>_xlfn.LET(
    _xlpm.isObject, _xlfn.XLOOKUP($Y80,'EA-Fortescue_SDExport'!A:A,'EA-Fortescue_SDExport'!B:B),
    _xlpm.lookupKey, IF(_xlpm.isObject="Object",
        _xlfn.XLOOKUP($A80,'EA-ConnectorExport'!A:A,'EA-ConnectorExport'!J:J),
        $Y80
    ),
    _xlpm.result, _xlfn.XLOOKUP(_xlpm.lookupKey,'EA-Fortescue_SDExport'!A:A,'EA-Fortescue_SDExport'!AG:AG),
    IF(_xlpm.result=0,"",_xlpm.result)
)</f>
        <v/>
      </c>
    </row>
    <row r="81" spans="1:32" ht="45" x14ac:dyDescent="0.25">
      <c r="A81" s="2" t="str">
        <v>DGS-I_0080</v>
      </c>
      <c r="B81" s="2" t="str">
        <f t="shared" si="4"/>
        <v>854DC-5680 Battery Energy Storage System (BESS)|854DC-1521 HV Substations</v>
      </c>
      <c r="C81" s="2" t="str">
        <f>_xlfn.LET(_xlpm.result, _xlfn.XLOOKUP(A81,'EA-Fortescue_SDExport'!A:A,'EA-Fortescue_SDExport'!AM:AM), IF(_xlpm.result=0,"",_xlpm.result))</f>
        <v/>
      </c>
      <c r="D81" s="2" t="str">
        <f>_xlfn.LET(_xlpm.result, _xlfn.XLOOKUP(A81,'EA-Fortescue_SDExport'!A:A,'EA-Fortescue_SDExport'!AN:AN), IF(_xlpm.result=0,"",_xlpm.result))</f>
        <v/>
      </c>
      <c r="E81" s="2" t="str">
        <f>_xlfn.XLOOKUP(R81&amp;Z81,Lookups!A:A,Lookups!B:B)</f>
        <v>System - System Interface</v>
      </c>
      <c r="F81" s="2" t="str">
        <f>_xlfn.LET(_xlpm.result, _xlfn.XLOOKUP(A81,'EA-Fortescue_SDExport'!A:A,'EA-Fortescue_SDExport'!AP:AP), IF(_xlpm.result=0,"",_xlpm.result))</f>
        <v/>
      </c>
      <c r="G81" s="2" t="str">
        <f>IF(OR(AND(T81&lt;&gt;"", COUNTIF(Lookups!J:J, "*"&amp;T81&amp;"*")&gt;0), AND(AB81&lt;&gt;"", COUNTIF(Lookups!J:J, "*"&amp;AB81&amp;"*")&gt;0)), "Yes", "No")</f>
        <v>No</v>
      </c>
      <c r="H81" s="2" t="str">
        <f t="shared" si="5"/>
        <v>854DC Green Power|854DC Green Power</v>
      </c>
      <c r="I81" s="2" t="str">
        <f t="shared" si="6"/>
        <v>854DC-5680 Battery Energy Storage System (BESS)|854DC-1521 HV Substations</v>
      </c>
      <c r="J81" s="2" t="str">
        <f t="shared" si="7"/>
        <v>N/A</v>
      </c>
      <c r="K81" s="2" t="str">
        <f>_xlfn.XLOOKUP(A81,'EA-Fortescue_SDExport'!A:A,'EA-Fortescue_SDExport'!N:N)</f>
        <v>Proposed</v>
      </c>
      <c r="L81" s="2" t="str">
        <f>_xlfn.LET(_xlpm.result, _xlfn.XLOOKUP($A81,'EA-Fortescue_SDExport'!$A:$A,'EA-Fortescue_SDExport'!AQ:AQ), IF(_xlpm.result=0,"",_xlpm.result))</f>
        <v/>
      </c>
      <c r="M81" s="2" t="str">
        <f>_xlfn.LET(_xlpm.result, _xlfn.XLOOKUP($A81,'EA-Fortescue_SDExport'!$A:$A,'EA-Fortescue_SDExport'!AR:AR), IF(_xlpm.result=0,"",_xlpm.result))</f>
        <v/>
      </c>
      <c r="N81" s="2" t="str">
        <f>_xlfn.LET(_xlpm.result, _xlfn.XLOOKUP($A81,'EA-Fortescue_SDExport'!$A:$A,'EA-Fortescue_SDExport'!AW:AW), IF(_xlpm.result=0,"",_xlpm.result))</f>
        <v/>
      </c>
      <c r="O81" s="2" t="str">
        <f>_xlfn.LET(_xlpm.result, _xlfn.XLOOKUP($A81,'EA-Fortescue_SDExport'!$A:$A,'EA-Fortescue_SDExport'!AV:AV), IF(_xlpm.result=0,"",_xlpm.result))</f>
        <v/>
      </c>
      <c r="P81" s="2" t="str">
        <f>_xlfn.LET(_xlpm.result, _xlfn.XLOOKUP($A81,'EA-Fortescue_SDExport'!$A:$A,'EA-Fortescue_SDExport'!D:D), IF(_xlpm.result=0,"",_xlpm.result))</f>
        <v/>
      </c>
      <c r="Q81" s="2" t="str">
        <f>_xlfn.LET(
    _xlpm.status, _xlfn.XLOOKUP($A81,'EA-ConnectorExport'!$A:$A,'EA-ConnectorExport'!G:G),
    _xlpm.result, _xlfn.XLOOKUP($A81,'EA-ConnectorExport'!$A:$A,'EA-ConnectorExport'!B:B),
    IF(_xlpm.status="allocate", _xlpm.result, "")
)</f>
        <v>854DC-5680 Battery Energy Storage System (BESS)</v>
      </c>
      <c r="R81" s="2" t="str">
        <f>IF(
    _xlfn.XLOOKUP($Q81,'EA-Fortescue_SDExport'!A:A,'EA-Fortescue_SDExport'!B:B)="Object",
    _xlfn.XLOOKUP(
        _xlfn.XLOOKUP($A81,'EA-ConnectorExport'!A:A,'EA-ConnectorExport'!D:D),
        'EA-Fortescue_SDExport'!A:A,
        'EA-Fortescue_SDExport'!AA:AA
    ),
    _xlfn.XLOOKUP($Q81,'EA-Fortescue_SDExport'!A:A,'EA-Fortescue_SDExport'!AA:AA)
)</f>
        <v>System</v>
      </c>
      <c r="S81" s="2" t="str">
        <f>_xlfn.LET(_xlpm.result, _xlfn.XLOOKUP($Q81,'EA-Fortescue_SDExport'!$A:$A,'EA-Fortescue_SDExport'!AB:AB), IF(_xlpm.result=0,"",_xlpm.result))</f>
        <v/>
      </c>
      <c r="T81" s="2" t="str">
        <f>_xlfn.LET(_xlpm.result, _xlfn.XLOOKUP($Q81,'EA-Fortescue_SDExport'!$A:$A,'EA-Fortescue_SDExport'!AC:AC), IF(_xlpm.result=0,"",_xlpm.result))</f>
        <v>Generic Physical Asset</v>
      </c>
      <c r="U81" s="2" t="str">
        <f>_xlfn.LET(
    _xlpm.isObject, _xlfn.XLOOKUP($Q81,'EA-Fortescue_SDExport'!A:A,'EA-Fortescue_SDExport'!B:B),
    _xlpm.lookupKey, IF(_xlpm.isObject="Object",
        _xlfn.XLOOKUP($A81,'EA-ConnectorExport'!A:A,'EA-ConnectorExport'!D:D),
        $Q81
    ),
    _xlpm.result, _xlfn.XLOOKUP(_xlpm.lookupKey,'EA-Fortescue_SDExport'!A:A,'EA-Fortescue_SDExport'!AD:AD),
    IF(_xlpm.result=0,"",_xlpm.result)
)</f>
        <v>854DC Green Power</v>
      </c>
      <c r="V81" s="2" t="str">
        <f>_xlfn.LET(
    _xlpm.isObject, _xlfn.XLOOKUP($Q81,'EA-Fortescue_SDExport'!A:A,'EA-Fortescue_SDExport'!B:B),
    _xlpm.lookupKey, IF(_xlpm.isObject="Object",
        _xlfn.XLOOKUP($A81,'EA-ConnectorExport'!A:A,'EA-ConnectorExport'!D:D),
        $Q81
    ),
    _xlpm.result, _xlfn.XLOOKUP(_xlpm.lookupKey,'EA-Fortescue_SDExport'!A:A,'EA-Fortescue_SDExport'!AE:AE),
    IF(_xlpm.result=0,"",_xlpm.result)
)</f>
        <v>854DC-5680 Battery Energy Storage System (BESS)</v>
      </c>
      <c r="W81" s="2" t="str">
        <f>_xlfn.LET(
    _xlpm.isObject, _xlfn.XLOOKUP($Q81,'EA-Fortescue_SDExport'!A:A,'EA-Fortescue_SDExport'!B:B),
    _xlpm.lookupKey, IF(_xlpm.isObject="Object",
        _xlfn.XLOOKUP($A81,'EA-ConnectorExport'!A:A,'EA-ConnectorExport'!D:D),
        $Q81
    ),
    _xlpm.result, _xlfn.XLOOKUP(_xlpm.lookupKey,'EA-Fortescue_SDExport'!A:A,'EA-Fortescue_SDExport'!AF:AF),
    IF(_xlpm.result=0,"",_xlpm.result)
)</f>
        <v/>
      </c>
      <c r="X81" s="2" t="str">
        <f>_xlfn.LET(
    _xlpm.isObject, _xlfn.XLOOKUP($Q81,'EA-Fortescue_SDExport'!A:A,'EA-Fortescue_SDExport'!B:B),
    _xlpm.lookupKey, IF(_xlpm.isObject="Object",
        _xlfn.XLOOKUP($A81,'EA-ConnectorExport'!A:A,'EA-ConnectorExport'!D:D),
        $Q81
    ),
    _xlpm.result, _xlfn.XLOOKUP(_xlpm.lookupKey,'EA-Fortescue_SDExport'!A:A,'EA-Fortescue_SDExport'!AG:AG),
    IF(_xlpm.result=0,"",_xlpm.result)
)</f>
        <v/>
      </c>
      <c r="Y81" s="2" t="str">
        <f>_xlfn.LET(
    _xlpm.status, _xlfn.XLOOKUP($A81,'EA-ConnectorExport'!$A:$A,'EA-ConnectorExport'!G:G),
    _xlpm.result, _xlfn.XLOOKUP($A81,'EA-ConnectorExport'!$A:$A,'EA-ConnectorExport'!H:H),
    IF(_xlpm.status="allocate", _xlpm.result, "")
)</f>
        <v>854DC-1521 HV Substations</v>
      </c>
      <c r="Z81" s="2" t="str">
        <f>_xlfn.LET(
    _xlpm.isObject, _xlfn.XLOOKUP($Y81,'EA-Fortescue_SDExport'!A:A,'EA-Fortescue_SDExport'!B:B),
    _xlpm.lookupKey, IF(_xlpm.isObject="Object",
        _xlfn.XLOOKUP($A81,'EA-ConnectorExport'!A:A,'EA-ConnectorExport'!J:J),
        $Y81
    ),
    _xlpm.result, _xlfn.XLOOKUP(_xlpm.lookupKey,'EA-Fortescue_SDExport'!A:A,'EA-Fortescue_SDExport'!AA:AA),
    IF(_xlpm.result=0,"",_xlpm.result)
)</f>
        <v>System</v>
      </c>
      <c r="AA81" s="2" t="str">
        <f>_xlfn.LET(_xlpm.result, _xlfn.XLOOKUP($Y81,'EA-Fortescue_SDExport'!$A:$A,'EA-Fortescue_SDExport'!AB:AB), IF(_xlpm.result=0,"",_xlpm.result))</f>
        <v/>
      </c>
      <c r="AB81" s="2" t="str">
        <f>_xlfn.LET(_xlpm.result, _xlfn.XLOOKUP($Y81,'EA-Fortescue_SDExport'!$A:$A,'EA-Fortescue_SDExport'!AC:AC), IF(_xlpm.result=0,"",_xlpm.result))</f>
        <v>Generic Physical Asset</v>
      </c>
      <c r="AC81" s="2" t="str">
        <f>_xlfn.LET(
    _xlpm.isObject, _xlfn.XLOOKUP($Y81,'EA-Fortescue_SDExport'!A:A,'EA-Fortescue_SDExport'!B:B),
    _xlpm.lookupKey, IF(_xlpm.isObject="Object",
        _xlfn.XLOOKUP($A81,'EA-ConnectorExport'!A:A,'EA-ConnectorExport'!J:J),
        $Y81
    ),
    _xlpm.result, _xlfn.XLOOKUP(_xlpm.lookupKey,'EA-Fortescue_SDExport'!A:A,'EA-Fortescue_SDExport'!AD:AD),
    IF(_xlpm.result=0,"",_xlpm.result)
)</f>
        <v>854DC Green Power</v>
      </c>
      <c r="AD81" s="2" t="str">
        <f>_xlfn.LET(
    _xlpm.isObject, _xlfn.XLOOKUP($Y81,'EA-Fortescue_SDExport'!A:A,'EA-Fortescue_SDExport'!B:B),
    _xlpm.lookupKey, IF(_xlpm.isObject="Object",
        _xlfn.XLOOKUP($A81,'EA-ConnectorExport'!A:A,'EA-ConnectorExport'!J:J),
        $Y81
    ),
    _xlpm.result, _xlfn.XLOOKUP(_xlpm.lookupKey,'EA-Fortescue_SDExport'!A:A,'EA-Fortescue_SDExport'!AE:AE),
    IF(_xlpm.result=0,"",_xlpm.result)
)</f>
        <v>854DC-1521 HV Substations</v>
      </c>
      <c r="AE81" s="2" t="str">
        <f>_xlfn.LET(
    _xlpm.isObject, _xlfn.XLOOKUP($Y81,'EA-Fortescue_SDExport'!A:A,'EA-Fortescue_SDExport'!B:B),
    _xlpm.lookupKey, IF(_xlpm.isObject="Object",
        _xlfn.XLOOKUP($A81,'EA-ConnectorExport'!A:A,'EA-ConnectorExport'!J:J),
        $Y81
    ),
    _xlpm.result, _xlfn.XLOOKUP(_xlpm.lookupKey,'EA-Fortescue_SDExport'!A:A,'EA-Fortescue_SDExport'!AF:AF),
    IF(_xlpm.result=0,"",_xlpm.result)
)</f>
        <v/>
      </c>
      <c r="AF81" s="2" t="str">
        <f>_xlfn.LET(
    _xlpm.isObject, _xlfn.XLOOKUP($Y81,'EA-Fortescue_SDExport'!A:A,'EA-Fortescue_SDExport'!B:B),
    _xlpm.lookupKey, IF(_xlpm.isObject="Object",
        _xlfn.XLOOKUP($A81,'EA-ConnectorExport'!A:A,'EA-ConnectorExport'!J:J),
        $Y81
    ),
    _xlpm.result, _xlfn.XLOOKUP(_xlpm.lookupKey,'EA-Fortescue_SDExport'!A:A,'EA-Fortescue_SDExport'!AG:AG),
    IF(_xlpm.result=0,"",_xlpm.result)
)</f>
        <v/>
      </c>
    </row>
    <row r="82" spans="1:32" ht="30" x14ac:dyDescent="0.25">
      <c r="A82" s="2" t="str">
        <v>DGS-I_0081</v>
      </c>
      <c r="B82" s="2" t="str">
        <f t="shared" si="4"/>
        <v>854DC-5670 Energy Generation - Solar|854DC-1521 HV Substations</v>
      </c>
      <c r="C82" s="2" t="str">
        <f>_xlfn.LET(_xlpm.result, _xlfn.XLOOKUP(A82,'EA-Fortescue_SDExport'!A:A,'EA-Fortescue_SDExport'!AM:AM), IF(_xlpm.result=0,"",_xlpm.result))</f>
        <v/>
      </c>
      <c r="D82" s="2" t="str">
        <f>_xlfn.LET(_xlpm.result, _xlfn.XLOOKUP(A82,'EA-Fortescue_SDExport'!A:A,'EA-Fortescue_SDExport'!AN:AN), IF(_xlpm.result=0,"",_xlpm.result))</f>
        <v/>
      </c>
      <c r="E82" s="2" t="str">
        <f>_xlfn.XLOOKUP(R82&amp;Z82,Lookups!A:A,Lookups!B:B)</f>
        <v>System - System Interface</v>
      </c>
      <c r="F82" s="2" t="str">
        <f>_xlfn.LET(_xlpm.result, _xlfn.XLOOKUP(A82,'EA-Fortescue_SDExport'!A:A,'EA-Fortescue_SDExport'!AP:AP), IF(_xlpm.result=0,"",_xlpm.result))</f>
        <v/>
      </c>
      <c r="G82" s="2" t="str">
        <f>IF(OR(AND(T82&lt;&gt;"", COUNTIF(Lookups!J:J, "*"&amp;T82&amp;"*")&gt;0), AND(AB82&lt;&gt;"", COUNTIF(Lookups!J:J, "*"&amp;AB82&amp;"*")&gt;0)), "Yes", "No")</f>
        <v>No</v>
      </c>
      <c r="H82" s="2" t="str">
        <f t="shared" si="5"/>
        <v>854DC Green Power|854DC Green Power</v>
      </c>
      <c r="I82" s="2" t="str">
        <f t="shared" si="6"/>
        <v>854DC-5670 Energy Generation - Solar|854DC-1521 HV Substations</v>
      </c>
      <c r="J82" s="2" t="str">
        <f t="shared" si="7"/>
        <v>N/A</v>
      </c>
      <c r="K82" s="2" t="str">
        <f>_xlfn.XLOOKUP(A82,'EA-Fortescue_SDExport'!A:A,'EA-Fortescue_SDExport'!N:N)</f>
        <v>Proposed</v>
      </c>
      <c r="L82" s="2" t="str">
        <f>_xlfn.LET(_xlpm.result, _xlfn.XLOOKUP($A82,'EA-Fortescue_SDExport'!$A:$A,'EA-Fortescue_SDExport'!AQ:AQ), IF(_xlpm.result=0,"",_xlpm.result))</f>
        <v/>
      </c>
      <c r="M82" s="2" t="str">
        <f>_xlfn.LET(_xlpm.result, _xlfn.XLOOKUP($A82,'EA-Fortescue_SDExport'!$A:$A,'EA-Fortescue_SDExport'!AR:AR), IF(_xlpm.result=0,"",_xlpm.result))</f>
        <v/>
      </c>
      <c r="N82" s="2" t="str">
        <f>_xlfn.LET(_xlpm.result, _xlfn.XLOOKUP($A82,'EA-Fortescue_SDExport'!$A:$A,'EA-Fortescue_SDExport'!AW:AW), IF(_xlpm.result=0,"",_xlpm.result))</f>
        <v/>
      </c>
      <c r="O82" s="2" t="str">
        <f>_xlfn.LET(_xlpm.result, _xlfn.XLOOKUP($A82,'EA-Fortescue_SDExport'!$A:$A,'EA-Fortescue_SDExport'!AV:AV), IF(_xlpm.result=0,"",_xlpm.result))</f>
        <v/>
      </c>
      <c r="P82" s="2" t="str">
        <f>_xlfn.LET(_xlpm.result, _xlfn.XLOOKUP($A82,'EA-Fortescue_SDExport'!$A:$A,'EA-Fortescue_SDExport'!D:D), IF(_xlpm.result=0,"",_xlpm.result))</f>
        <v/>
      </c>
      <c r="Q82" s="2" t="str">
        <f>_xlfn.LET(
    _xlpm.status, _xlfn.XLOOKUP($A82,'EA-ConnectorExport'!$A:$A,'EA-ConnectorExport'!G:G),
    _xlpm.result, _xlfn.XLOOKUP($A82,'EA-ConnectorExport'!$A:$A,'EA-ConnectorExport'!B:B),
    IF(_xlpm.status="allocate", _xlpm.result, "")
)</f>
        <v>854DC-5670 Energy Generation - Solar</v>
      </c>
      <c r="R82" s="2" t="str">
        <f>IF(
    _xlfn.XLOOKUP($Q82,'EA-Fortescue_SDExport'!A:A,'EA-Fortescue_SDExport'!B:B)="Object",
    _xlfn.XLOOKUP(
        _xlfn.XLOOKUP($A82,'EA-ConnectorExport'!A:A,'EA-ConnectorExport'!D:D),
        'EA-Fortescue_SDExport'!A:A,
        'EA-Fortescue_SDExport'!AA:AA
    ),
    _xlfn.XLOOKUP($Q82,'EA-Fortescue_SDExport'!A:A,'EA-Fortescue_SDExport'!AA:AA)
)</f>
        <v>System</v>
      </c>
      <c r="S82" s="2" t="str">
        <f>_xlfn.LET(_xlpm.result, _xlfn.XLOOKUP($Q82,'EA-Fortescue_SDExport'!$A:$A,'EA-Fortescue_SDExport'!AB:AB), IF(_xlpm.result=0,"",_xlpm.result))</f>
        <v/>
      </c>
      <c r="T82" s="2" t="str">
        <f>_xlfn.LET(_xlpm.result, _xlfn.XLOOKUP($Q82,'EA-Fortescue_SDExport'!$A:$A,'EA-Fortescue_SDExport'!AC:AC), IF(_xlpm.result=0,"",_xlpm.result))</f>
        <v>Generic Physical Asset</v>
      </c>
      <c r="U82" s="2" t="str">
        <f>_xlfn.LET(
    _xlpm.isObject, _xlfn.XLOOKUP($Q82,'EA-Fortescue_SDExport'!A:A,'EA-Fortescue_SDExport'!B:B),
    _xlpm.lookupKey, IF(_xlpm.isObject="Object",
        _xlfn.XLOOKUP($A82,'EA-ConnectorExport'!A:A,'EA-ConnectorExport'!D:D),
        $Q82
    ),
    _xlpm.result, _xlfn.XLOOKUP(_xlpm.lookupKey,'EA-Fortescue_SDExport'!A:A,'EA-Fortescue_SDExport'!AD:AD),
    IF(_xlpm.result=0,"",_xlpm.result)
)</f>
        <v>854DC Green Power</v>
      </c>
      <c r="V82" s="2" t="str">
        <f>_xlfn.LET(
    _xlpm.isObject, _xlfn.XLOOKUP($Q82,'EA-Fortescue_SDExport'!A:A,'EA-Fortescue_SDExport'!B:B),
    _xlpm.lookupKey, IF(_xlpm.isObject="Object",
        _xlfn.XLOOKUP($A82,'EA-ConnectorExport'!A:A,'EA-ConnectorExport'!D:D),
        $Q82
    ),
    _xlpm.result, _xlfn.XLOOKUP(_xlpm.lookupKey,'EA-Fortescue_SDExport'!A:A,'EA-Fortescue_SDExport'!AE:AE),
    IF(_xlpm.result=0,"",_xlpm.result)
)</f>
        <v>854DC-5670 Energy Generation - Solar</v>
      </c>
      <c r="W82" s="2" t="str">
        <f>_xlfn.LET(
    _xlpm.isObject, _xlfn.XLOOKUP($Q82,'EA-Fortescue_SDExport'!A:A,'EA-Fortescue_SDExport'!B:B),
    _xlpm.lookupKey, IF(_xlpm.isObject="Object",
        _xlfn.XLOOKUP($A82,'EA-ConnectorExport'!A:A,'EA-ConnectorExport'!D:D),
        $Q82
    ),
    _xlpm.result, _xlfn.XLOOKUP(_xlpm.lookupKey,'EA-Fortescue_SDExport'!A:A,'EA-Fortescue_SDExport'!AF:AF),
    IF(_xlpm.result=0,"",_xlpm.result)
)</f>
        <v/>
      </c>
      <c r="X82" s="2" t="str">
        <f>_xlfn.LET(
    _xlpm.isObject, _xlfn.XLOOKUP($Q82,'EA-Fortescue_SDExport'!A:A,'EA-Fortescue_SDExport'!B:B),
    _xlpm.lookupKey, IF(_xlpm.isObject="Object",
        _xlfn.XLOOKUP($A82,'EA-ConnectorExport'!A:A,'EA-ConnectorExport'!D:D),
        $Q82
    ),
    _xlpm.result, _xlfn.XLOOKUP(_xlpm.lookupKey,'EA-Fortescue_SDExport'!A:A,'EA-Fortescue_SDExport'!AG:AG),
    IF(_xlpm.result=0,"",_xlpm.result)
)</f>
        <v/>
      </c>
      <c r="Y82" s="2" t="str">
        <f>_xlfn.LET(
    _xlpm.status, _xlfn.XLOOKUP($A82,'EA-ConnectorExport'!$A:$A,'EA-ConnectorExport'!G:G),
    _xlpm.result, _xlfn.XLOOKUP($A82,'EA-ConnectorExport'!$A:$A,'EA-ConnectorExport'!H:H),
    IF(_xlpm.status="allocate", _xlpm.result, "")
)</f>
        <v>854DC-1521 HV Substations</v>
      </c>
      <c r="Z82" s="2" t="str">
        <f>_xlfn.LET(
    _xlpm.isObject, _xlfn.XLOOKUP($Y82,'EA-Fortescue_SDExport'!A:A,'EA-Fortescue_SDExport'!B:B),
    _xlpm.lookupKey, IF(_xlpm.isObject="Object",
        _xlfn.XLOOKUP($A82,'EA-ConnectorExport'!A:A,'EA-ConnectorExport'!J:J),
        $Y82
    ),
    _xlpm.result, _xlfn.XLOOKUP(_xlpm.lookupKey,'EA-Fortescue_SDExport'!A:A,'EA-Fortescue_SDExport'!AA:AA),
    IF(_xlpm.result=0,"",_xlpm.result)
)</f>
        <v>System</v>
      </c>
      <c r="AA82" s="2" t="str">
        <f>_xlfn.LET(_xlpm.result, _xlfn.XLOOKUP($Y82,'EA-Fortescue_SDExport'!$A:$A,'EA-Fortescue_SDExport'!AB:AB), IF(_xlpm.result=0,"",_xlpm.result))</f>
        <v/>
      </c>
      <c r="AB82" s="2" t="str">
        <f>_xlfn.LET(_xlpm.result, _xlfn.XLOOKUP($Y82,'EA-Fortescue_SDExport'!$A:$A,'EA-Fortescue_SDExport'!AC:AC), IF(_xlpm.result=0,"",_xlpm.result))</f>
        <v>Generic Physical Asset</v>
      </c>
      <c r="AC82" s="2" t="str">
        <f>_xlfn.LET(
    _xlpm.isObject, _xlfn.XLOOKUP($Y82,'EA-Fortescue_SDExport'!A:A,'EA-Fortescue_SDExport'!B:B),
    _xlpm.lookupKey, IF(_xlpm.isObject="Object",
        _xlfn.XLOOKUP($A82,'EA-ConnectorExport'!A:A,'EA-ConnectorExport'!J:J),
        $Y82
    ),
    _xlpm.result, _xlfn.XLOOKUP(_xlpm.lookupKey,'EA-Fortescue_SDExport'!A:A,'EA-Fortescue_SDExport'!AD:AD),
    IF(_xlpm.result=0,"",_xlpm.result)
)</f>
        <v>854DC Green Power</v>
      </c>
      <c r="AD82" s="2" t="str">
        <f>_xlfn.LET(
    _xlpm.isObject, _xlfn.XLOOKUP($Y82,'EA-Fortescue_SDExport'!A:A,'EA-Fortescue_SDExport'!B:B),
    _xlpm.lookupKey, IF(_xlpm.isObject="Object",
        _xlfn.XLOOKUP($A82,'EA-ConnectorExport'!A:A,'EA-ConnectorExport'!J:J),
        $Y82
    ),
    _xlpm.result, _xlfn.XLOOKUP(_xlpm.lookupKey,'EA-Fortescue_SDExport'!A:A,'EA-Fortescue_SDExport'!AE:AE),
    IF(_xlpm.result=0,"",_xlpm.result)
)</f>
        <v>854DC-1521 HV Substations</v>
      </c>
      <c r="AE82" s="2" t="str">
        <f>_xlfn.LET(
    _xlpm.isObject, _xlfn.XLOOKUP($Y82,'EA-Fortescue_SDExport'!A:A,'EA-Fortescue_SDExport'!B:B),
    _xlpm.lookupKey, IF(_xlpm.isObject="Object",
        _xlfn.XLOOKUP($A82,'EA-ConnectorExport'!A:A,'EA-ConnectorExport'!J:J),
        $Y82
    ),
    _xlpm.result, _xlfn.XLOOKUP(_xlpm.lookupKey,'EA-Fortescue_SDExport'!A:A,'EA-Fortescue_SDExport'!AF:AF),
    IF(_xlpm.result=0,"",_xlpm.result)
)</f>
        <v/>
      </c>
      <c r="AF82" s="2" t="str">
        <f>_xlfn.LET(
    _xlpm.isObject, _xlfn.XLOOKUP($Y82,'EA-Fortescue_SDExport'!A:A,'EA-Fortescue_SDExport'!B:B),
    _xlpm.lookupKey, IF(_xlpm.isObject="Object",
        _xlfn.XLOOKUP($A82,'EA-ConnectorExport'!A:A,'EA-ConnectorExport'!J:J),
        $Y82
    ),
    _xlpm.result, _xlfn.XLOOKUP(_xlpm.lookupKey,'EA-Fortescue_SDExport'!A:A,'EA-Fortescue_SDExport'!AG:AG),
    IF(_xlpm.result=0,"",_xlpm.result)
)</f>
        <v/>
      </c>
    </row>
    <row r="83" spans="1:32" ht="30" x14ac:dyDescent="0.25">
      <c r="A83" s="2" t="str">
        <v>DGS-I_0082</v>
      </c>
      <c r="B83" s="2" t="str">
        <f t="shared" si="4"/>
        <v>850DC-1522 Field Switches|850DC-1523 Sub Kiosks</v>
      </c>
      <c r="C83" s="2" t="str">
        <f>_xlfn.LET(_xlpm.result, _xlfn.XLOOKUP(A83,'EA-Fortescue_SDExport'!A:A,'EA-Fortescue_SDExport'!AM:AM), IF(_xlpm.result=0,"",_xlpm.result))</f>
        <v/>
      </c>
      <c r="D83" s="2" t="str">
        <f>_xlfn.LET(_xlpm.result, _xlfn.XLOOKUP(A83,'EA-Fortescue_SDExport'!A:A,'EA-Fortescue_SDExport'!AN:AN), IF(_xlpm.result=0,"",_xlpm.result))</f>
        <v/>
      </c>
      <c r="E83" s="2" t="str">
        <f>_xlfn.XLOOKUP(R83&amp;Z83,Lookups!A:A,Lookups!B:B)</f>
        <v>System - System Interface</v>
      </c>
      <c r="F83" s="2" t="str">
        <f>_xlfn.LET(_xlpm.result, _xlfn.XLOOKUP(A83,'EA-Fortescue_SDExport'!A:A,'EA-Fortescue_SDExport'!AP:AP), IF(_xlpm.result=0,"",_xlpm.result))</f>
        <v/>
      </c>
      <c r="G83" s="2" t="str">
        <f>IF(OR(AND(T83&lt;&gt;"", COUNTIF(Lookups!J:J, "*"&amp;T83&amp;"*")&gt;0), AND(AB83&lt;&gt;"", COUNTIF(Lookups!J:J, "*"&amp;AB83&amp;"*")&gt;0)), "Yes", "No")</f>
        <v>No</v>
      </c>
      <c r="H83" s="2" t="str">
        <f t="shared" si="5"/>
        <v>850DC Decarb Infrastructure|850DC Decarb Infrastructure</v>
      </c>
      <c r="I83" s="2" t="str">
        <f t="shared" si="6"/>
        <v>850DC-1522 Field Switches|850DC-1523 Sub Kiosks</v>
      </c>
      <c r="J83" s="2" t="str">
        <f t="shared" si="7"/>
        <v>N/A</v>
      </c>
      <c r="K83" s="2" t="str">
        <f>_xlfn.XLOOKUP(A83,'EA-Fortescue_SDExport'!A:A,'EA-Fortescue_SDExport'!N:N)</f>
        <v>Proposed</v>
      </c>
      <c r="L83" s="2" t="str">
        <f>_xlfn.LET(_xlpm.result, _xlfn.XLOOKUP($A83,'EA-Fortescue_SDExport'!$A:$A,'EA-Fortescue_SDExport'!AQ:AQ), IF(_xlpm.result=0,"",_xlpm.result))</f>
        <v/>
      </c>
      <c r="M83" s="2" t="str">
        <f>_xlfn.LET(_xlpm.result, _xlfn.XLOOKUP($A83,'EA-Fortescue_SDExport'!$A:$A,'EA-Fortescue_SDExport'!AR:AR), IF(_xlpm.result=0,"",_xlpm.result))</f>
        <v/>
      </c>
      <c r="N83" s="2" t="str">
        <f>_xlfn.LET(_xlpm.result, _xlfn.XLOOKUP($A83,'EA-Fortescue_SDExport'!$A:$A,'EA-Fortescue_SDExport'!AW:AW), IF(_xlpm.result=0,"",_xlpm.result))</f>
        <v/>
      </c>
      <c r="O83" s="2" t="str">
        <f>_xlfn.LET(_xlpm.result, _xlfn.XLOOKUP($A83,'EA-Fortescue_SDExport'!$A:$A,'EA-Fortescue_SDExport'!AV:AV), IF(_xlpm.result=0,"",_xlpm.result))</f>
        <v/>
      </c>
      <c r="P83" s="2" t="str">
        <f>_xlfn.LET(_xlpm.result, _xlfn.XLOOKUP($A83,'EA-Fortescue_SDExport'!$A:$A,'EA-Fortescue_SDExport'!D:D), IF(_xlpm.result=0,"",_xlpm.result))</f>
        <v/>
      </c>
      <c r="Q83" s="2" t="str">
        <f>_xlfn.LET(
    _xlpm.status, _xlfn.XLOOKUP($A83,'EA-ConnectorExport'!$A:$A,'EA-ConnectorExport'!G:G),
    _xlpm.result, _xlfn.XLOOKUP($A83,'EA-ConnectorExport'!$A:$A,'EA-ConnectorExport'!B:B),
    IF(_xlpm.status="allocate", _xlpm.result, "")
)</f>
        <v>850DC-1522 Field Switches</v>
      </c>
      <c r="R83" s="2" t="str">
        <f>IF(
    _xlfn.XLOOKUP($Q83,'EA-Fortescue_SDExport'!A:A,'EA-Fortescue_SDExport'!B:B)="Object",
    _xlfn.XLOOKUP(
        _xlfn.XLOOKUP($A83,'EA-ConnectorExport'!A:A,'EA-ConnectorExport'!D:D),
        'EA-Fortescue_SDExport'!A:A,
        'EA-Fortescue_SDExport'!AA:AA
    ),
    _xlfn.XLOOKUP($Q83,'EA-Fortescue_SDExport'!A:A,'EA-Fortescue_SDExport'!AA:AA)
)</f>
        <v>System</v>
      </c>
      <c r="S83" s="2" t="str">
        <f>_xlfn.LET(_xlpm.result, _xlfn.XLOOKUP($Q83,'EA-Fortescue_SDExport'!$A:$A,'EA-Fortescue_SDExport'!AB:AB), IF(_xlpm.result=0,"",_xlpm.result))</f>
        <v/>
      </c>
      <c r="T83" s="2" t="str">
        <f>_xlfn.LET(_xlpm.result, _xlfn.XLOOKUP($Q83,'EA-Fortescue_SDExport'!$A:$A,'EA-Fortescue_SDExport'!AC:AC), IF(_xlpm.result=0,"",_xlpm.result))</f>
        <v>Generic Physical Asset</v>
      </c>
      <c r="U83" s="2" t="str">
        <f>_xlfn.LET(
    _xlpm.isObject, _xlfn.XLOOKUP($Q83,'EA-Fortescue_SDExport'!A:A,'EA-Fortescue_SDExport'!B:B),
    _xlpm.lookupKey, IF(_xlpm.isObject="Object",
        _xlfn.XLOOKUP($A83,'EA-ConnectorExport'!A:A,'EA-ConnectorExport'!D:D),
        $Q83
    ),
    _xlpm.result, _xlfn.XLOOKUP(_xlpm.lookupKey,'EA-Fortescue_SDExport'!A:A,'EA-Fortescue_SDExport'!AD:AD),
    IF(_xlpm.result=0,"",_xlpm.result)
)</f>
        <v>850DC Decarb Infrastructure</v>
      </c>
      <c r="V83" s="2" t="str">
        <f>_xlfn.LET(
    _xlpm.isObject, _xlfn.XLOOKUP($Q83,'EA-Fortescue_SDExport'!A:A,'EA-Fortescue_SDExport'!B:B),
    _xlpm.lookupKey, IF(_xlpm.isObject="Object",
        _xlfn.XLOOKUP($A83,'EA-ConnectorExport'!A:A,'EA-ConnectorExport'!D:D),
        $Q83
    ),
    _xlpm.result, _xlfn.XLOOKUP(_xlpm.lookupKey,'EA-Fortescue_SDExport'!A:A,'EA-Fortescue_SDExport'!AE:AE),
    IF(_xlpm.result=0,"",_xlpm.result)
)</f>
        <v>850DC-1522 Field Switches</v>
      </c>
      <c r="W83" s="2" t="str">
        <f>_xlfn.LET(
    _xlpm.isObject, _xlfn.XLOOKUP($Q83,'EA-Fortescue_SDExport'!A:A,'EA-Fortescue_SDExport'!B:B),
    _xlpm.lookupKey, IF(_xlpm.isObject="Object",
        _xlfn.XLOOKUP($A83,'EA-ConnectorExport'!A:A,'EA-ConnectorExport'!D:D),
        $Q83
    ),
    _xlpm.result, _xlfn.XLOOKUP(_xlpm.lookupKey,'EA-Fortescue_SDExport'!A:A,'EA-Fortescue_SDExport'!AF:AF),
    IF(_xlpm.result=0,"",_xlpm.result)
)</f>
        <v/>
      </c>
      <c r="X83" s="2" t="str">
        <f>_xlfn.LET(
    _xlpm.isObject, _xlfn.XLOOKUP($Q83,'EA-Fortescue_SDExport'!A:A,'EA-Fortescue_SDExport'!B:B),
    _xlpm.lookupKey, IF(_xlpm.isObject="Object",
        _xlfn.XLOOKUP($A83,'EA-ConnectorExport'!A:A,'EA-ConnectorExport'!D:D),
        $Q83
    ),
    _xlpm.result, _xlfn.XLOOKUP(_xlpm.lookupKey,'EA-Fortescue_SDExport'!A:A,'EA-Fortescue_SDExport'!AG:AG),
    IF(_xlpm.result=0,"",_xlpm.result)
)</f>
        <v/>
      </c>
      <c r="Y83" s="2" t="str">
        <f>_xlfn.LET(
    _xlpm.status, _xlfn.XLOOKUP($A83,'EA-ConnectorExport'!$A:$A,'EA-ConnectorExport'!G:G),
    _xlpm.result, _xlfn.XLOOKUP($A83,'EA-ConnectorExport'!$A:$A,'EA-ConnectorExport'!H:H),
    IF(_xlpm.status="allocate", _xlpm.result, "")
)</f>
        <v>850DC-1523 Sub Kiosks</v>
      </c>
      <c r="Z83" s="2" t="str">
        <f>_xlfn.LET(
    _xlpm.isObject, _xlfn.XLOOKUP($Y83,'EA-Fortescue_SDExport'!A:A,'EA-Fortescue_SDExport'!B:B),
    _xlpm.lookupKey, IF(_xlpm.isObject="Object",
        _xlfn.XLOOKUP($A83,'EA-ConnectorExport'!A:A,'EA-ConnectorExport'!J:J),
        $Y83
    ),
    _xlpm.result, _xlfn.XLOOKUP(_xlpm.lookupKey,'EA-Fortescue_SDExport'!A:A,'EA-Fortescue_SDExport'!AA:AA),
    IF(_xlpm.result=0,"",_xlpm.result)
)</f>
        <v>System</v>
      </c>
      <c r="AA83" s="2" t="str">
        <f>_xlfn.LET(_xlpm.result, _xlfn.XLOOKUP($Y83,'EA-Fortescue_SDExport'!$A:$A,'EA-Fortescue_SDExport'!AB:AB), IF(_xlpm.result=0,"",_xlpm.result))</f>
        <v/>
      </c>
      <c r="AB83" s="2" t="str">
        <f>_xlfn.LET(_xlpm.result, _xlfn.XLOOKUP($Y83,'EA-Fortescue_SDExport'!$A:$A,'EA-Fortescue_SDExport'!AC:AC), IF(_xlpm.result=0,"",_xlpm.result))</f>
        <v>Generic Physical Asset</v>
      </c>
      <c r="AC83" s="2" t="str">
        <f>_xlfn.LET(
    _xlpm.isObject, _xlfn.XLOOKUP($Y83,'EA-Fortescue_SDExport'!A:A,'EA-Fortescue_SDExport'!B:B),
    _xlpm.lookupKey, IF(_xlpm.isObject="Object",
        _xlfn.XLOOKUP($A83,'EA-ConnectorExport'!A:A,'EA-ConnectorExport'!J:J),
        $Y83
    ),
    _xlpm.result, _xlfn.XLOOKUP(_xlpm.lookupKey,'EA-Fortescue_SDExport'!A:A,'EA-Fortescue_SDExport'!AD:AD),
    IF(_xlpm.result=0,"",_xlpm.result)
)</f>
        <v>850DC Decarb Infrastructure</v>
      </c>
      <c r="AD83" s="2" t="str">
        <f>_xlfn.LET(
    _xlpm.isObject, _xlfn.XLOOKUP($Y83,'EA-Fortescue_SDExport'!A:A,'EA-Fortescue_SDExport'!B:B),
    _xlpm.lookupKey, IF(_xlpm.isObject="Object",
        _xlfn.XLOOKUP($A83,'EA-ConnectorExport'!A:A,'EA-ConnectorExport'!J:J),
        $Y83
    ),
    _xlpm.result, _xlfn.XLOOKUP(_xlpm.lookupKey,'EA-Fortescue_SDExport'!A:A,'EA-Fortescue_SDExport'!AE:AE),
    IF(_xlpm.result=0,"",_xlpm.result)
)</f>
        <v>850DC-1523 Sub Kiosks</v>
      </c>
      <c r="AE83" s="2" t="str">
        <f>_xlfn.LET(
    _xlpm.isObject, _xlfn.XLOOKUP($Y83,'EA-Fortescue_SDExport'!A:A,'EA-Fortescue_SDExport'!B:B),
    _xlpm.lookupKey, IF(_xlpm.isObject="Object",
        _xlfn.XLOOKUP($A83,'EA-ConnectorExport'!A:A,'EA-ConnectorExport'!J:J),
        $Y83
    ),
    _xlpm.result, _xlfn.XLOOKUP(_xlpm.lookupKey,'EA-Fortescue_SDExport'!A:A,'EA-Fortescue_SDExport'!AF:AF),
    IF(_xlpm.result=0,"",_xlpm.result)
)</f>
        <v/>
      </c>
      <c r="AF83" s="2" t="str">
        <f>_xlfn.LET(
    _xlpm.isObject, _xlfn.XLOOKUP($Y83,'EA-Fortescue_SDExport'!A:A,'EA-Fortescue_SDExport'!B:B),
    _xlpm.lookupKey, IF(_xlpm.isObject="Object",
        _xlfn.XLOOKUP($A83,'EA-ConnectorExport'!A:A,'EA-ConnectorExport'!J:J),
        $Y83
    ),
    _xlpm.result, _xlfn.XLOOKUP(_xlpm.lookupKey,'EA-Fortescue_SDExport'!A:A,'EA-Fortescue_SDExport'!AG:AG),
    IF(_xlpm.result=0,"",_xlpm.result)
)</f>
        <v/>
      </c>
    </row>
    <row r="84" spans="1:32" ht="30" x14ac:dyDescent="0.25">
      <c r="A84" s="2" t="str">
        <v>DGS-I_0083</v>
      </c>
      <c r="B84" s="2" t="str">
        <f t="shared" si="4"/>
        <v>850DC-1523 Sub Kiosks|850DC-1520 Trailing Cable</v>
      </c>
      <c r="C84" s="2" t="str">
        <f>_xlfn.LET(_xlpm.result, _xlfn.XLOOKUP(A84,'EA-Fortescue_SDExport'!A:A,'EA-Fortescue_SDExport'!AM:AM), IF(_xlpm.result=0,"",_xlpm.result))</f>
        <v/>
      </c>
      <c r="D84" s="2" t="str">
        <f>_xlfn.LET(_xlpm.result, _xlfn.XLOOKUP(A84,'EA-Fortescue_SDExport'!A:A,'EA-Fortescue_SDExport'!AN:AN), IF(_xlpm.result=0,"",_xlpm.result))</f>
        <v/>
      </c>
      <c r="E84" s="2" t="str">
        <f>_xlfn.XLOOKUP(R84&amp;Z84,Lookups!A:A,Lookups!B:B)</f>
        <v>System - System Interface</v>
      </c>
      <c r="F84" s="2" t="str">
        <f>_xlfn.LET(_xlpm.result, _xlfn.XLOOKUP(A84,'EA-Fortescue_SDExport'!A:A,'EA-Fortescue_SDExport'!AP:AP), IF(_xlpm.result=0,"",_xlpm.result))</f>
        <v/>
      </c>
      <c r="G84" s="2" t="str">
        <f>IF(OR(AND(T84&lt;&gt;"", COUNTIF(Lookups!J:J, "*"&amp;T84&amp;"*")&gt;0), AND(AB84&lt;&gt;"", COUNTIF(Lookups!J:J, "*"&amp;AB84&amp;"*")&gt;0)), "Yes", "No")</f>
        <v>No</v>
      </c>
      <c r="H84" s="2" t="str">
        <f t="shared" si="5"/>
        <v>850DC Decarb Infrastructure|850DC Decarb Infrastructure</v>
      </c>
      <c r="I84" s="2" t="str">
        <f t="shared" si="6"/>
        <v>850DC-1523 Sub Kiosks|850DC-1520 Trailing Cable</v>
      </c>
      <c r="J84" s="2" t="str">
        <f t="shared" si="7"/>
        <v>N/A</v>
      </c>
      <c r="K84" s="2" t="str">
        <f>_xlfn.XLOOKUP(A84,'EA-Fortescue_SDExport'!A:A,'EA-Fortescue_SDExport'!N:N)</f>
        <v>Proposed</v>
      </c>
      <c r="L84" s="2" t="str">
        <f>_xlfn.LET(_xlpm.result, _xlfn.XLOOKUP($A84,'EA-Fortescue_SDExport'!$A:$A,'EA-Fortescue_SDExport'!AQ:AQ), IF(_xlpm.result=0,"",_xlpm.result))</f>
        <v/>
      </c>
      <c r="M84" s="2" t="str">
        <f>_xlfn.LET(_xlpm.result, _xlfn.XLOOKUP($A84,'EA-Fortescue_SDExport'!$A:$A,'EA-Fortescue_SDExport'!AR:AR), IF(_xlpm.result=0,"",_xlpm.result))</f>
        <v/>
      </c>
      <c r="N84" s="2" t="str">
        <f>_xlfn.LET(_xlpm.result, _xlfn.XLOOKUP($A84,'EA-Fortescue_SDExport'!$A:$A,'EA-Fortescue_SDExport'!AW:AW), IF(_xlpm.result=0,"",_xlpm.result))</f>
        <v/>
      </c>
      <c r="O84" s="2" t="str">
        <f>_xlfn.LET(_xlpm.result, _xlfn.XLOOKUP($A84,'EA-Fortescue_SDExport'!$A:$A,'EA-Fortescue_SDExport'!AV:AV), IF(_xlpm.result=0,"",_xlpm.result))</f>
        <v/>
      </c>
      <c r="P84" s="2" t="str">
        <f>_xlfn.LET(_xlpm.result, _xlfn.XLOOKUP($A84,'EA-Fortescue_SDExport'!$A:$A,'EA-Fortescue_SDExport'!D:D), IF(_xlpm.result=0,"",_xlpm.result))</f>
        <v/>
      </c>
      <c r="Q84" s="2" t="str">
        <f>_xlfn.LET(
    _xlpm.status, _xlfn.XLOOKUP($A84,'EA-ConnectorExport'!$A:$A,'EA-ConnectorExport'!G:G),
    _xlpm.result, _xlfn.XLOOKUP($A84,'EA-ConnectorExport'!$A:$A,'EA-ConnectorExport'!B:B),
    IF(_xlpm.status="allocate", _xlpm.result, "")
)</f>
        <v>850DC-1523 Sub Kiosks</v>
      </c>
      <c r="R84" s="2" t="str">
        <f>IF(
    _xlfn.XLOOKUP($Q84,'EA-Fortescue_SDExport'!A:A,'EA-Fortescue_SDExport'!B:B)="Object",
    _xlfn.XLOOKUP(
        _xlfn.XLOOKUP($A84,'EA-ConnectorExport'!A:A,'EA-ConnectorExport'!D:D),
        'EA-Fortescue_SDExport'!A:A,
        'EA-Fortescue_SDExport'!AA:AA
    ),
    _xlfn.XLOOKUP($Q84,'EA-Fortescue_SDExport'!A:A,'EA-Fortescue_SDExport'!AA:AA)
)</f>
        <v>System</v>
      </c>
      <c r="S84" s="2" t="str">
        <f>_xlfn.LET(_xlpm.result, _xlfn.XLOOKUP($Q84,'EA-Fortescue_SDExport'!$A:$A,'EA-Fortescue_SDExport'!AB:AB), IF(_xlpm.result=0,"",_xlpm.result))</f>
        <v/>
      </c>
      <c r="T84" s="2" t="str">
        <f>_xlfn.LET(_xlpm.result, _xlfn.XLOOKUP($Q84,'EA-Fortescue_SDExport'!$A:$A,'EA-Fortescue_SDExport'!AC:AC), IF(_xlpm.result=0,"",_xlpm.result))</f>
        <v>Generic Physical Asset</v>
      </c>
      <c r="U84" s="2" t="str">
        <f>_xlfn.LET(
    _xlpm.isObject, _xlfn.XLOOKUP($Q84,'EA-Fortescue_SDExport'!A:A,'EA-Fortescue_SDExport'!B:B),
    _xlpm.lookupKey, IF(_xlpm.isObject="Object",
        _xlfn.XLOOKUP($A84,'EA-ConnectorExport'!A:A,'EA-ConnectorExport'!D:D),
        $Q84
    ),
    _xlpm.result, _xlfn.XLOOKUP(_xlpm.lookupKey,'EA-Fortescue_SDExport'!A:A,'EA-Fortescue_SDExport'!AD:AD),
    IF(_xlpm.result=0,"",_xlpm.result)
)</f>
        <v>850DC Decarb Infrastructure</v>
      </c>
      <c r="V84" s="2" t="str">
        <f>_xlfn.LET(
    _xlpm.isObject, _xlfn.XLOOKUP($Q84,'EA-Fortescue_SDExport'!A:A,'EA-Fortescue_SDExport'!B:B),
    _xlpm.lookupKey, IF(_xlpm.isObject="Object",
        _xlfn.XLOOKUP($A84,'EA-ConnectorExport'!A:A,'EA-ConnectorExport'!D:D),
        $Q84
    ),
    _xlpm.result, _xlfn.XLOOKUP(_xlpm.lookupKey,'EA-Fortescue_SDExport'!A:A,'EA-Fortescue_SDExport'!AE:AE),
    IF(_xlpm.result=0,"",_xlpm.result)
)</f>
        <v>850DC-1523 Sub Kiosks</v>
      </c>
      <c r="W84" s="2" t="str">
        <f>_xlfn.LET(
    _xlpm.isObject, _xlfn.XLOOKUP($Q84,'EA-Fortescue_SDExport'!A:A,'EA-Fortescue_SDExport'!B:B),
    _xlpm.lookupKey, IF(_xlpm.isObject="Object",
        _xlfn.XLOOKUP($A84,'EA-ConnectorExport'!A:A,'EA-ConnectorExport'!D:D),
        $Q84
    ),
    _xlpm.result, _xlfn.XLOOKUP(_xlpm.lookupKey,'EA-Fortescue_SDExport'!A:A,'EA-Fortescue_SDExport'!AF:AF),
    IF(_xlpm.result=0,"",_xlpm.result)
)</f>
        <v/>
      </c>
      <c r="X84" s="2" t="str">
        <f>_xlfn.LET(
    _xlpm.isObject, _xlfn.XLOOKUP($Q84,'EA-Fortescue_SDExport'!A:A,'EA-Fortescue_SDExport'!B:B),
    _xlpm.lookupKey, IF(_xlpm.isObject="Object",
        _xlfn.XLOOKUP($A84,'EA-ConnectorExport'!A:A,'EA-ConnectorExport'!D:D),
        $Q84
    ),
    _xlpm.result, _xlfn.XLOOKUP(_xlpm.lookupKey,'EA-Fortescue_SDExport'!A:A,'EA-Fortescue_SDExport'!AG:AG),
    IF(_xlpm.result=0,"",_xlpm.result)
)</f>
        <v/>
      </c>
      <c r="Y84" s="2" t="str">
        <f>_xlfn.LET(
    _xlpm.status, _xlfn.XLOOKUP($A84,'EA-ConnectorExport'!$A:$A,'EA-ConnectorExport'!G:G),
    _xlpm.result, _xlfn.XLOOKUP($A84,'EA-ConnectorExport'!$A:$A,'EA-ConnectorExport'!H:H),
    IF(_xlpm.status="allocate", _xlpm.result, "")
)</f>
        <v>850DC-1520 Trailing Cable</v>
      </c>
      <c r="Z84" s="2" t="str">
        <f>_xlfn.LET(
    _xlpm.isObject, _xlfn.XLOOKUP($Y84,'EA-Fortescue_SDExport'!A:A,'EA-Fortescue_SDExport'!B:B),
    _xlpm.lookupKey, IF(_xlpm.isObject="Object",
        _xlfn.XLOOKUP($A84,'EA-ConnectorExport'!A:A,'EA-ConnectorExport'!J:J),
        $Y84
    ),
    _xlpm.result, _xlfn.XLOOKUP(_xlpm.lookupKey,'EA-Fortescue_SDExport'!A:A,'EA-Fortescue_SDExport'!AA:AA),
    IF(_xlpm.result=0,"",_xlpm.result)
)</f>
        <v>System</v>
      </c>
      <c r="AA84" s="2" t="str">
        <f>_xlfn.LET(_xlpm.result, _xlfn.XLOOKUP($Y84,'EA-Fortescue_SDExport'!$A:$A,'EA-Fortescue_SDExport'!AB:AB), IF(_xlpm.result=0,"",_xlpm.result))</f>
        <v/>
      </c>
      <c r="AB84" s="2" t="str">
        <f>_xlfn.LET(_xlpm.result, _xlfn.XLOOKUP($Y84,'EA-Fortescue_SDExport'!$A:$A,'EA-Fortescue_SDExport'!AC:AC), IF(_xlpm.result=0,"",_xlpm.result))</f>
        <v>Generic Physical Asset</v>
      </c>
      <c r="AC84" s="2" t="str">
        <f>_xlfn.LET(
    _xlpm.isObject, _xlfn.XLOOKUP($Y84,'EA-Fortescue_SDExport'!A:A,'EA-Fortescue_SDExport'!B:B),
    _xlpm.lookupKey, IF(_xlpm.isObject="Object",
        _xlfn.XLOOKUP($A84,'EA-ConnectorExport'!A:A,'EA-ConnectorExport'!J:J),
        $Y84
    ),
    _xlpm.result, _xlfn.XLOOKUP(_xlpm.lookupKey,'EA-Fortescue_SDExport'!A:A,'EA-Fortescue_SDExport'!AD:AD),
    IF(_xlpm.result=0,"",_xlpm.result)
)</f>
        <v>850DC Decarb Infrastructure</v>
      </c>
      <c r="AD84" s="2" t="str">
        <f>_xlfn.LET(
    _xlpm.isObject, _xlfn.XLOOKUP($Y84,'EA-Fortescue_SDExport'!A:A,'EA-Fortescue_SDExport'!B:B),
    _xlpm.lookupKey, IF(_xlpm.isObject="Object",
        _xlfn.XLOOKUP($A84,'EA-ConnectorExport'!A:A,'EA-ConnectorExport'!J:J),
        $Y84
    ),
    _xlpm.result, _xlfn.XLOOKUP(_xlpm.lookupKey,'EA-Fortescue_SDExport'!A:A,'EA-Fortescue_SDExport'!AE:AE),
    IF(_xlpm.result=0,"",_xlpm.result)
)</f>
        <v>850DC-1520 Trailing Cable</v>
      </c>
      <c r="AE84" s="2" t="str">
        <f>_xlfn.LET(
    _xlpm.isObject, _xlfn.XLOOKUP($Y84,'EA-Fortescue_SDExport'!A:A,'EA-Fortescue_SDExport'!B:B),
    _xlpm.lookupKey, IF(_xlpm.isObject="Object",
        _xlfn.XLOOKUP($A84,'EA-ConnectorExport'!A:A,'EA-ConnectorExport'!J:J),
        $Y84
    ),
    _xlpm.result, _xlfn.XLOOKUP(_xlpm.lookupKey,'EA-Fortescue_SDExport'!A:A,'EA-Fortescue_SDExport'!AF:AF),
    IF(_xlpm.result=0,"",_xlpm.result)
)</f>
        <v/>
      </c>
      <c r="AF84" s="2" t="str">
        <f>_xlfn.LET(
    _xlpm.isObject, _xlfn.XLOOKUP($Y84,'EA-Fortescue_SDExport'!A:A,'EA-Fortescue_SDExport'!B:B),
    _xlpm.lookupKey, IF(_xlpm.isObject="Object",
        _xlfn.XLOOKUP($A84,'EA-ConnectorExport'!A:A,'EA-ConnectorExport'!J:J),
        $Y84
    ),
    _xlpm.result, _xlfn.XLOOKUP(_xlpm.lookupKey,'EA-Fortescue_SDExport'!A:A,'EA-Fortescue_SDExport'!AG:AG),
    IF(_xlpm.result=0,"",_xlpm.result)
)</f>
        <v/>
      </c>
    </row>
    <row r="85" spans="1:32" ht="30" x14ac:dyDescent="0.25">
      <c r="A85" s="2" t="str">
        <v>DGS-I_0084</v>
      </c>
      <c r="B85" s="2" t="str">
        <f t="shared" si="4"/>
        <v>853DC-1561 Drill Rig|850DC-1520 Trailing Cable</v>
      </c>
      <c r="C85" s="2" t="str">
        <f>_xlfn.LET(_xlpm.result, _xlfn.XLOOKUP(A85,'EA-Fortescue_SDExport'!A:A,'EA-Fortescue_SDExport'!AM:AM), IF(_xlpm.result=0,"",_xlpm.result))</f>
        <v/>
      </c>
      <c r="D85" s="2" t="str">
        <f>_xlfn.LET(_xlpm.result, _xlfn.XLOOKUP(A85,'EA-Fortescue_SDExport'!A:A,'EA-Fortescue_SDExport'!AN:AN), IF(_xlpm.result=0,"",_xlpm.result))</f>
        <v/>
      </c>
      <c r="E85" s="2" t="str">
        <f>_xlfn.XLOOKUP(R85&amp;Z85,Lookups!A:A,Lookups!B:B)</f>
        <v>System - System Interface</v>
      </c>
      <c r="F85" s="2" t="str">
        <f>_xlfn.LET(_xlpm.result, _xlfn.XLOOKUP(A85,'EA-Fortescue_SDExport'!A:A,'EA-Fortescue_SDExport'!AP:AP), IF(_xlpm.result=0,"",_xlpm.result))</f>
        <v/>
      </c>
      <c r="G85" s="2" t="str">
        <f>IF(OR(AND(T85&lt;&gt;"", COUNTIF(Lookups!J:J, "*"&amp;T85&amp;"*")&gt;0), AND(AB85&lt;&gt;"", COUNTIF(Lookups!J:J, "*"&amp;AB85&amp;"*")&gt;0)), "Yes", "No")</f>
        <v>No</v>
      </c>
      <c r="H85" s="2" t="str">
        <f t="shared" si="5"/>
        <v>853DC Decarb Ancillary|850DC Decarb Infrastructure</v>
      </c>
      <c r="I85" s="2" t="str">
        <f t="shared" si="6"/>
        <v>853DC-1561 Drill Rig|850DC-1520 Trailing Cable</v>
      </c>
      <c r="J85" s="2" t="str">
        <f t="shared" si="7"/>
        <v>N/A</v>
      </c>
      <c r="K85" s="2" t="str">
        <f>_xlfn.XLOOKUP(A85,'EA-Fortescue_SDExport'!A:A,'EA-Fortescue_SDExport'!N:N)</f>
        <v>Proposed</v>
      </c>
      <c r="L85" s="2" t="str">
        <f>_xlfn.LET(_xlpm.result, _xlfn.XLOOKUP($A85,'EA-Fortescue_SDExport'!$A:$A,'EA-Fortescue_SDExport'!AQ:AQ), IF(_xlpm.result=0,"",_xlpm.result))</f>
        <v/>
      </c>
      <c r="M85" s="2" t="str">
        <f>_xlfn.LET(_xlpm.result, _xlfn.XLOOKUP($A85,'EA-Fortescue_SDExport'!$A:$A,'EA-Fortescue_SDExport'!AR:AR), IF(_xlpm.result=0,"",_xlpm.result))</f>
        <v/>
      </c>
      <c r="N85" s="2" t="str">
        <f>_xlfn.LET(_xlpm.result, _xlfn.XLOOKUP($A85,'EA-Fortescue_SDExport'!$A:$A,'EA-Fortescue_SDExport'!AW:AW), IF(_xlpm.result=0,"",_xlpm.result))</f>
        <v/>
      </c>
      <c r="O85" s="2" t="str">
        <f>_xlfn.LET(_xlpm.result, _xlfn.XLOOKUP($A85,'EA-Fortescue_SDExport'!$A:$A,'EA-Fortescue_SDExport'!AV:AV), IF(_xlpm.result=0,"",_xlpm.result))</f>
        <v/>
      </c>
      <c r="P85" s="2" t="str">
        <f>_xlfn.LET(_xlpm.result, _xlfn.XLOOKUP($A85,'EA-Fortescue_SDExport'!$A:$A,'EA-Fortescue_SDExport'!D:D), IF(_xlpm.result=0,"",_xlpm.result))</f>
        <v/>
      </c>
      <c r="Q85" s="2" t="str">
        <f>_xlfn.LET(
    _xlpm.status, _xlfn.XLOOKUP($A85,'EA-ConnectorExport'!$A:$A,'EA-ConnectorExport'!G:G),
    _xlpm.result, _xlfn.XLOOKUP($A85,'EA-ConnectorExport'!$A:$A,'EA-ConnectorExport'!B:B),
    IF(_xlpm.status="allocate", _xlpm.result, "")
)</f>
        <v>853DC-1561 Drill Rig</v>
      </c>
      <c r="R85" s="2" t="str">
        <f>IF(
    _xlfn.XLOOKUP($Q85,'EA-Fortescue_SDExport'!A:A,'EA-Fortescue_SDExport'!B:B)="Object",
    _xlfn.XLOOKUP(
        _xlfn.XLOOKUP($A85,'EA-ConnectorExport'!A:A,'EA-ConnectorExport'!D:D),
        'EA-Fortescue_SDExport'!A:A,
        'EA-Fortescue_SDExport'!AA:AA
    ),
    _xlfn.XLOOKUP($Q85,'EA-Fortescue_SDExport'!A:A,'EA-Fortescue_SDExport'!AA:AA)
)</f>
        <v>System</v>
      </c>
      <c r="S85" s="2" t="str">
        <f>_xlfn.LET(_xlpm.result, _xlfn.XLOOKUP($Q85,'EA-Fortescue_SDExport'!$A:$A,'EA-Fortescue_SDExport'!AB:AB), IF(_xlpm.result=0,"",_xlpm.result))</f>
        <v/>
      </c>
      <c r="T85" s="2" t="str">
        <f>_xlfn.LET(_xlpm.result, _xlfn.XLOOKUP($Q85,'EA-Fortescue_SDExport'!$A:$A,'EA-Fortescue_SDExport'!AC:AC), IF(_xlpm.result=0,"",_xlpm.result))</f>
        <v>Generic Physical Asset</v>
      </c>
      <c r="U85" s="2" t="str">
        <f>_xlfn.LET(
    _xlpm.isObject, _xlfn.XLOOKUP($Q85,'EA-Fortescue_SDExport'!A:A,'EA-Fortescue_SDExport'!B:B),
    _xlpm.lookupKey, IF(_xlpm.isObject="Object",
        _xlfn.XLOOKUP($A85,'EA-ConnectorExport'!A:A,'EA-ConnectorExport'!D:D),
        $Q85
    ),
    _xlpm.result, _xlfn.XLOOKUP(_xlpm.lookupKey,'EA-Fortescue_SDExport'!A:A,'EA-Fortescue_SDExport'!AD:AD),
    IF(_xlpm.result=0,"",_xlpm.result)
)</f>
        <v>853DC Decarb Ancillary</v>
      </c>
      <c r="V85" s="2" t="str">
        <f>_xlfn.LET(
    _xlpm.isObject, _xlfn.XLOOKUP($Q85,'EA-Fortescue_SDExport'!A:A,'EA-Fortescue_SDExport'!B:B),
    _xlpm.lookupKey, IF(_xlpm.isObject="Object",
        _xlfn.XLOOKUP($A85,'EA-ConnectorExport'!A:A,'EA-ConnectorExport'!D:D),
        $Q85
    ),
    _xlpm.result, _xlfn.XLOOKUP(_xlpm.lookupKey,'EA-Fortescue_SDExport'!A:A,'EA-Fortescue_SDExport'!AE:AE),
    IF(_xlpm.result=0,"",_xlpm.result)
)</f>
        <v>853DC-1561 Drill Rig</v>
      </c>
      <c r="W85" s="2" t="str">
        <f>_xlfn.LET(
    _xlpm.isObject, _xlfn.XLOOKUP($Q85,'EA-Fortescue_SDExport'!A:A,'EA-Fortescue_SDExport'!B:B),
    _xlpm.lookupKey, IF(_xlpm.isObject="Object",
        _xlfn.XLOOKUP($A85,'EA-ConnectorExport'!A:A,'EA-ConnectorExport'!D:D),
        $Q85
    ),
    _xlpm.result, _xlfn.XLOOKUP(_xlpm.lookupKey,'EA-Fortescue_SDExport'!A:A,'EA-Fortescue_SDExport'!AF:AF),
    IF(_xlpm.result=0,"",_xlpm.result)
)</f>
        <v/>
      </c>
      <c r="X85" s="2" t="str">
        <f>_xlfn.LET(
    _xlpm.isObject, _xlfn.XLOOKUP($Q85,'EA-Fortescue_SDExport'!A:A,'EA-Fortescue_SDExport'!B:B),
    _xlpm.lookupKey, IF(_xlpm.isObject="Object",
        _xlfn.XLOOKUP($A85,'EA-ConnectorExport'!A:A,'EA-ConnectorExport'!D:D),
        $Q85
    ),
    _xlpm.result, _xlfn.XLOOKUP(_xlpm.lookupKey,'EA-Fortescue_SDExport'!A:A,'EA-Fortescue_SDExport'!AG:AG),
    IF(_xlpm.result=0,"",_xlpm.result)
)</f>
        <v/>
      </c>
      <c r="Y85" s="2" t="str">
        <f>_xlfn.LET(
    _xlpm.status, _xlfn.XLOOKUP($A85,'EA-ConnectorExport'!$A:$A,'EA-ConnectorExport'!G:G),
    _xlpm.result, _xlfn.XLOOKUP($A85,'EA-ConnectorExport'!$A:$A,'EA-ConnectorExport'!H:H),
    IF(_xlpm.status="allocate", _xlpm.result, "")
)</f>
        <v>850DC-1520 Trailing Cable</v>
      </c>
      <c r="Z85" s="2" t="str">
        <f>_xlfn.LET(
    _xlpm.isObject, _xlfn.XLOOKUP($Y85,'EA-Fortescue_SDExport'!A:A,'EA-Fortescue_SDExport'!B:B),
    _xlpm.lookupKey, IF(_xlpm.isObject="Object",
        _xlfn.XLOOKUP($A85,'EA-ConnectorExport'!A:A,'EA-ConnectorExport'!J:J),
        $Y85
    ),
    _xlpm.result, _xlfn.XLOOKUP(_xlpm.lookupKey,'EA-Fortescue_SDExport'!A:A,'EA-Fortescue_SDExport'!AA:AA),
    IF(_xlpm.result=0,"",_xlpm.result)
)</f>
        <v>System</v>
      </c>
      <c r="AA85" s="2" t="str">
        <f>_xlfn.LET(_xlpm.result, _xlfn.XLOOKUP($Y85,'EA-Fortescue_SDExport'!$A:$A,'EA-Fortescue_SDExport'!AB:AB), IF(_xlpm.result=0,"",_xlpm.result))</f>
        <v/>
      </c>
      <c r="AB85" s="2" t="str">
        <f>_xlfn.LET(_xlpm.result, _xlfn.XLOOKUP($Y85,'EA-Fortescue_SDExport'!$A:$A,'EA-Fortescue_SDExport'!AC:AC), IF(_xlpm.result=0,"",_xlpm.result))</f>
        <v>Generic Physical Asset</v>
      </c>
      <c r="AC85" s="2" t="str">
        <f>_xlfn.LET(
    _xlpm.isObject, _xlfn.XLOOKUP($Y85,'EA-Fortescue_SDExport'!A:A,'EA-Fortescue_SDExport'!B:B),
    _xlpm.lookupKey, IF(_xlpm.isObject="Object",
        _xlfn.XLOOKUP($A85,'EA-ConnectorExport'!A:A,'EA-ConnectorExport'!J:J),
        $Y85
    ),
    _xlpm.result, _xlfn.XLOOKUP(_xlpm.lookupKey,'EA-Fortescue_SDExport'!A:A,'EA-Fortescue_SDExport'!AD:AD),
    IF(_xlpm.result=0,"",_xlpm.result)
)</f>
        <v>850DC Decarb Infrastructure</v>
      </c>
      <c r="AD85" s="2" t="str">
        <f>_xlfn.LET(
    _xlpm.isObject, _xlfn.XLOOKUP($Y85,'EA-Fortescue_SDExport'!A:A,'EA-Fortescue_SDExport'!B:B),
    _xlpm.lookupKey, IF(_xlpm.isObject="Object",
        _xlfn.XLOOKUP($A85,'EA-ConnectorExport'!A:A,'EA-ConnectorExport'!J:J),
        $Y85
    ),
    _xlpm.result, _xlfn.XLOOKUP(_xlpm.lookupKey,'EA-Fortescue_SDExport'!A:A,'EA-Fortescue_SDExport'!AE:AE),
    IF(_xlpm.result=0,"",_xlpm.result)
)</f>
        <v>850DC-1520 Trailing Cable</v>
      </c>
      <c r="AE85" s="2" t="str">
        <f>_xlfn.LET(
    _xlpm.isObject, _xlfn.XLOOKUP($Y85,'EA-Fortescue_SDExport'!A:A,'EA-Fortescue_SDExport'!B:B),
    _xlpm.lookupKey, IF(_xlpm.isObject="Object",
        _xlfn.XLOOKUP($A85,'EA-ConnectorExport'!A:A,'EA-ConnectorExport'!J:J),
        $Y85
    ),
    _xlpm.result, _xlfn.XLOOKUP(_xlpm.lookupKey,'EA-Fortescue_SDExport'!A:A,'EA-Fortescue_SDExport'!AF:AF),
    IF(_xlpm.result=0,"",_xlpm.result)
)</f>
        <v/>
      </c>
      <c r="AF85" s="2" t="str">
        <f>_xlfn.LET(
    _xlpm.isObject, _xlfn.XLOOKUP($Y85,'EA-Fortescue_SDExport'!A:A,'EA-Fortescue_SDExport'!B:B),
    _xlpm.lookupKey, IF(_xlpm.isObject="Object",
        _xlfn.XLOOKUP($A85,'EA-ConnectorExport'!A:A,'EA-ConnectorExport'!J:J),
        $Y85
    ),
    _xlpm.result, _xlfn.XLOOKUP(_xlpm.lookupKey,'EA-Fortescue_SDExport'!A:A,'EA-Fortescue_SDExport'!AG:AG),
    IF(_xlpm.result=0,"",_xlpm.result)
)</f>
        <v/>
      </c>
    </row>
    <row r="86" spans="1:32" ht="45" x14ac:dyDescent="0.25">
      <c r="A86" s="2" t="str">
        <v>DGS-I_0085</v>
      </c>
      <c r="B86" s="2" t="str">
        <f t="shared" si="4"/>
        <v>003OP-5612 Diesel Generators|854DC-1521 HV Substations</v>
      </c>
      <c r="C86" s="2" t="str">
        <f>_xlfn.LET(_xlpm.result, _xlfn.XLOOKUP(A86,'EA-Fortescue_SDExport'!A:A,'EA-Fortescue_SDExport'!AM:AM), IF(_xlpm.result=0,"",_xlpm.result))</f>
        <v/>
      </c>
      <c r="D86" s="2" t="str">
        <f>_xlfn.LET(_xlpm.result, _xlfn.XLOOKUP(A86,'EA-Fortescue_SDExport'!A:A,'EA-Fortescue_SDExport'!AN:AN), IF(_xlpm.result=0,"",_xlpm.result))</f>
        <v/>
      </c>
      <c r="E86" s="2" t="str">
        <f>_xlfn.XLOOKUP(R86&amp;Z86,Lookups!A:A,Lookups!B:B)</f>
        <v>System - System Interface</v>
      </c>
      <c r="F86" s="2" t="str">
        <f>_xlfn.LET(_xlpm.result, _xlfn.XLOOKUP(A86,'EA-Fortescue_SDExport'!A:A,'EA-Fortescue_SDExport'!AP:AP), IF(_xlpm.result=0,"",_xlpm.result))</f>
        <v/>
      </c>
      <c r="G86" s="2" t="str">
        <f>IF(OR(AND(T86&lt;&gt;"", COUNTIF(Lookups!J:J, "*"&amp;T86&amp;"*")&gt;0), AND(AB86&lt;&gt;"", COUNTIF(Lookups!J:J, "*"&amp;AB86&amp;"*")&gt;0)), "Yes", "No")</f>
        <v>No</v>
      </c>
      <c r="H86" s="2" t="str">
        <f t="shared" si="5"/>
        <v>003OP Power Generation &amp; Transmission|854DC Green Power</v>
      </c>
      <c r="I86" s="2" t="str">
        <f t="shared" si="6"/>
        <v>003OP-5612 Diesel Generators|854DC-1521 HV Substations</v>
      </c>
      <c r="J86" s="2" t="str">
        <f t="shared" si="7"/>
        <v>N/A</v>
      </c>
      <c r="K86" s="2" t="str">
        <f>_xlfn.XLOOKUP(A86,'EA-Fortescue_SDExport'!A:A,'EA-Fortescue_SDExport'!N:N)</f>
        <v>Proposed</v>
      </c>
      <c r="L86" s="2" t="str">
        <f>_xlfn.LET(_xlpm.result, _xlfn.XLOOKUP($A86,'EA-Fortescue_SDExport'!$A:$A,'EA-Fortescue_SDExport'!AQ:AQ), IF(_xlpm.result=0,"",_xlpm.result))</f>
        <v/>
      </c>
      <c r="M86" s="2" t="str">
        <f>_xlfn.LET(_xlpm.result, _xlfn.XLOOKUP($A86,'EA-Fortescue_SDExport'!$A:$A,'EA-Fortescue_SDExport'!AR:AR), IF(_xlpm.result=0,"",_xlpm.result))</f>
        <v/>
      </c>
      <c r="N86" s="2" t="str">
        <f>_xlfn.LET(_xlpm.result, _xlfn.XLOOKUP($A86,'EA-Fortescue_SDExport'!$A:$A,'EA-Fortescue_SDExport'!AW:AW), IF(_xlpm.result=0,"",_xlpm.result))</f>
        <v/>
      </c>
      <c r="O86" s="2" t="str">
        <f>_xlfn.LET(_xlpm.result, _xlfn.XLOOKUP($A86,'EA-Fortescue_SDExport'!$A:$A,'EA-Fortescue_SDExport'!AV:AV), IF(_xlpm.result=0,"",_xlpm.result))</f>
        <v/>
      </c>
      <c r="P86" s="2" t="str">
        <f>_xlfn.LET(_xlpm.result, _xlfn.XLOOKUP($A86,'EA-Fortescue_SDExport'!$A:$A,'EA-Fortescue_SDExport'!D:D), IF(_xlpm.result=0,"",_xlpm.result))</f>
        <v/>
      </c>
      <c r="Q86" s="2" t="str">
        <f>_xlfn.LET(
    _xlpm.status, _xlfn.XLOOKUP($A86,'EA-ConnectorExport'!$A:$A,'EA-ConnectorExport'!G:G),
    _xlpm.result, _xlfn.XLOOKUP($A86,'EA-ConnectorExport'!$A:$A,'EA-ConnectorExport'!B:B),
    IF(_xlpm.status="allocate", _xlpm.result, "")
)</f>
        <v>003OP-5612 Diesel Generators</v>
      </c>
      <c r="R86" s="2" t="str">
        <f>IF(
    _xlfn.XLOOKUP($Q86,'EA-Fortescue_SDExport'!A:A,'EA-Fortescue_SDExport'!B:B)="Object",
    _xlfn.XLOOKUP(
        _xlfn.XLOOKUP($A86,'EA-ConnectorExport'!A:A,'EA-ConnectorExport'!D:D),
        'EA-Fortescue_SDExport'!A:A,
        'EA-Fortescue_SDExport'!AA:AA
    ),
    _xlfn.XLOOKUP($Q86,'EA-Fortescue_SDExport'!A:A,'EA-Fortescue_SDExport'!AA:AA)
)</f>
        <v>System</v>
      </c>
      <c r="S86" s="2" t="str">
        <f>_xlfn.LET(_xlpm.result, _xlfn.XLOOKUP($Q86,'EA-Fortescue_SDExport'!$A:$A,'EA-Fortescue_SDExport'!AB:AB), IF(_xlpm.result=0,"",_xlpm.result))</f>
        <v/>
      </c>
      <c r="T86" s="2" t="str">
        <f>_xlfn.LET(_xlpm.result, _xlfn.XLOOKUP($Q86,'EA-Fortescue_SDExport'!$A:$A,'EA-Fortescue_SDExport'!AC:AC), IF(_xlpm.result=0,"",_xlpm.result))</f>
        <v>Generic Physical Asset</v>
      </c>
      <c r="U86" s="2" t="str">
        <f>_xlfn.LET(
    _xlpm.isObject, _xlfn.XLOOKUP($Q86,'EA-Fortescue_SDExport'!A:A,'EA-Fortescue_SDExport'!B:B),
    _xlpm.lookupKey, IF(_xlpm.isObject="Object",
        _xlfn.XLOOKUP($A86,'EA-ConnectorExport'!A:A,'EA-ConnectorExport'!D:D),
        $Q86
    ),
    _xlpm.result, _xlfn.XLOOKUP(_xlpm.lookupKey,'EA-Fortescue_SDExport'!A:A,'EA-Fortescue_SDExport'!AD:AD),
    IF(_xlpm.result=0,"",_xlpm.result)
)</f>
        <v>003OP Power Generation &amp; Transmission</v>
      </c>
      <c r="V86" s="2" t="str">
        <f>_xlfn.LET(
    _xlpm.isObject, _xlfn.XLOOKUP($Q86,'EA-Fortescue_SDExport'!A:A,'EA-Fortescue_SDExport'!B:B),
    _xlpm.lookupKey, IF(_xlpm.isObject="Object",
        _xlfn.XLOOKUP($A86,'EA-ConnectorExport'!A:A,'EA-ConnectorExport'!D:D),
        $Q86
    ),
    _xlpm.result, _xlfn.XLOOKUP(_xlpm.lookupKey,'EA-Fortescue_SDExport'!A:A,'EA-Fortescue_SDExport'!AE:AE),
    IF(_xlpm.result=0,"",_xlpm.result)
)</f>
        <v>003OP-5612 Diesel Generators</v>
      </c>
      <c r="W86" s="2" t="str">
        <f>_xlfn.LET(
    _xlpm.isObject, _xlfn.XLOOKUP($Q86,'EA-Fortescue_SDExport'!A:A,'EA-Fortescue_SDExport'!B:B),
    _xlpm.lookupKey, IF(_xlpm.isObject="Object",
        _xlfn.XLOOKUP($A86,'EA-ConnectorExport'!A:A,'EA-ConnectorExport'!D:D),
        $Q86
    ),
    _xlpm.result, _xlfn.XLOOKUP(_xlpm.lookupKey,'EA-Fortescue_SDExport'!A:A,'EA-Fortescue_SDExport'!AF:AF),
    IF(_xlpm.result=0,"",_xlpm.result)
)</f>
        <v/>
      </c>
      <c r="X86" s="2" t="str">
        <f>_xlfn.LET(
    _xlpm.isObject, _xlfn.XLOOKUP($Q86,'EA-Fortescue_SDExport'!A:A,'EA-Fortescue_SDExport'!B:B),
    _xlpm.lookupKey, IF(_xlpm.isObject="Object",
        _xlfn.XLOOKUP($A86,'EA-ConnectorExport'!A:A,'EA-ConnectorExport'!D:D),
        $Q86
    ),
    _xlpm.result, _xlfn.XLOOKUP(_xlpm.lookupKey,'EA-Fortescue_SDExport'!A:A,'EA-Fortescue_SDExport'!AG:AG),
    IF(_xlpm.result=0,"",_xlpm.result)
)</f>
        <v/>
      </c>
      <c r="Y86" s="2" t="str">
        <f>_xlfn.LET(
    _xlpm.status, _xlfn.XLOOKUP($A86,'EA-ConnectorExport'!$A:$A,'EA-ConnectorExport'!G:G),
    _xlpm.result, _xlfn.XLOOKUP($A86,'EA-ConnectorExport'!$A:$A,'EA-ConnectorExport'!H:H),
    IF(_xlpm.status="allocate", _xlpm.result, "")
)</f>
        <v>854DC-1521 HV Substations</v>
      </c>
      <c r="Z86" s="2" t="str">
        <f>_xlfn.LET(
    _xlpm.isObject, _xlfn.XLOOKUP($Y86,'EA-Fortescue_SDExport'!A:A,'EA-Fortescue_SDExport'!B:B),
    _xlpm.lookupKey, IF(_xlpm.isObject="Object",
        _xlfn.XLOOKUP($A86,'EA-ConnectorExport'!A:A,'EA-ConnectorExport'!J:J),
        $Y86
    ),
    _xlpm.result, _xlfn.XLOOKUP(_xlpm.lookupKey,'EA-Fortescue_SDExport'!A:A,'EA-Fortescue_SDExport'!AA:AA),
    IF(_xlpm.result=0,"",_xlpm.result)
)</f>
        <v>System</v>
      </c>
      <c r="AA86" s="2" t="str">
        <f>_xlfn.LET(_xlpm.result, _xlfn.XLOOKUP($Y86,'EA-Fortescue_SDExport'!$A:$A,'EA-Fortescue_SDExport'!AB:AB), IF(_xlpm.result=0,"",_xlpm.result))</f>
        <v/>
      </c>
      <c r="AB86" s="2" t="str">
        <f>_xlfn.LET(_xlpm.result, _xlfn.XLOOKUP($Y86,'EA-Fortescue_SDExport'!$A:$A,'EA-Fortescue_SDExport'!AC:AC), IF(_xlpm.result=0,"",_xlpm.result))</f>
        <v>Generic Physical Asset</v>
      </c>
      <c r="AC86" s="2" t="str">
        <f>_xlfn.LET(
    _xlpm.isObject, _xlfn.XLOOKUP($Y86,'EA-Fortescue_SDExport'!A:A,'EA-Fortescue_SDExport'!B:B),
    _xlpm.lookupKey, IF(_xlpm.isObject="Object",
        _xlfn.XLOOKUP($A86,'EA-ConnectorExport'!A:A,'EA-ConnectorExport'!J:J),
        $Y86
    ),
    _xlpm.result, _xlfn.XLOOKUP(_xlpm.lookupKey,'EA-Fortescue_SDExport'!A:A,'EA-Fortescue_SDExport'!AD:AD),
    IF(_xlpm.result=0,"",_xlpm.result)
)</f>
        <v>854DC Green Power</v>
      </c>
      <c r="AD86" s="2" t="str">
        <f>_xlfn.LET(
    _xlpm.isObject, _xlfn.XLOOKUP($Y86,'EA-Fortescue_SDExport'!A:A,'EA-Fortescue_SDExport'!B:B),
    _xlpm.lookupKey, IF(_xlpm.isObject="Object",
        _xlfn.XLOOKUP($A86,'EA-ConnectorExport'!A:A,'EA-ConnectorExport'!J:J),
        $Y86
    ),
    _xlpm.result, _xlfn.XLOOKUP(_xlpm.lookupKey,'EA-Fortescue_SDExport'!A:A,'EA-Fortescue_SDExport'!AE:AE),
    IF(_xlpm.result=0,"",_xlpm.result)
)</f>
        <v>854DC-1521 HV Substations</v>
      </c>
      <c r="AE86" s="2" t="str">
        <f>_xlfn.LET(
    _xlpm.isObject, _xlfn.XLOOKUP($Y86,'EA-Fortescue_SDExport'!A:A,'EA-Fortescue_SDExport'!B:B),
    _xlpm.lookupKey, IF(_xlpm.isObject="Object",
        _xlfn.XLOOKUP($A86,'EA-ConnectorExport'!A:A,'EA-ConnectorExport'!J:J),
        $Y86
    ),
    _xlpm.result, _xlfn.XLOOKUP(_xlpm.lookupKey,'EA-Fortescue_SDExport'!A:A,'EA-Fortescue_SDExport'!AF:AF),
    IF(_xlpm.result=0,"",_xlpm.result)
)</f>
        <v/>
      </c>
      <c r="AF86" s="2" t="str">
        <f>_xlfn.LET(
    _xlpm.isObject, _xlfn.XLOOKUP($Y86,'EA-Fortescue_SDExport'!A:A,'EA-Fortescue_SDExport'!B:B),
    _xlpm.lookupKey, IF(_xlpm.isObject="Object",
        _xlfn.XLOOKUP($A86,'EA-ConnectorExport'!A:A,'EA-ConnectorExport'!J:J),
        $Y86
    ),
    _xlpm.result, _xlfn.XLOOKUP(_xlpm.lookupKey,'EA-Fortescue_SDExport'!A:A,'EA-Fortescue_SDExport'!AG:AG),
    IF(_xlpm.result=0,"",_xlpm.result)
)</f>
        <v/>
      </c>
    </row>
    <row r="87" spans="1:32" ht="45" x14ac:dyDescent="0.25">
      <c r="A87" s="2" t="str">
        <v>DGS-I_0086</v>
      </c>
      <c r="B87" s="2" t="str">
        <f t="shared" si="4"/>
        <v>003OP-1800 Gas pipeline|003OP-5611 Gas Power Station</v>
      </c>
      <c r="C87" s="2" t="str">
        <f>_xlfn.LET(_xlpm.result, _xlfn.XLOOKUP(A87,'EA-Fortescue_SDExport'!A:A,'EA-Fortescue_SDExport'!AM:AM), IF(_xlpm.result=0,"",_xlpm.result))</f>
        <v/>
      </c>
      <c r="D87" s="2" t="str">
        <f>_xlfn.LET(_xlpm.result, _xlfn.XLOOKUP(A87,'EA-Fortescue_SDExport'!A:A,'EA-Fortescue_SDExport'!AN:AN), IF(_xlpm.result=0,"",_xlpm.result))</f>
        <v/>
      </c>
      <c r="E87" s="2" t="str">
        <f>_xlfn.XLOOKUP(R87&amp;Z87,Lookups!A:A,Lookups!B:B)</f>
        <v>System - System Interface</v>
      </c>
      <c r="F87" s="2" t="str">
        <f>_xlfn.LET(_xlpm.result, _xlfn.XLOOKUP(A87,'EA-Fortescue_SDExport'!A:A,'EA-Fortescue_SDExport'!AP:AP), IF(_xlpm.result=0,"",_xlpm.result))</f>
        <v/>
      </c>
      <c r="G87" s="2" t="str">
        <f>IF(OR(AND(T87&lt;&gt;"", COUNTIF(Lookups!J:J, "*"&amp;T87&amp;"*")&gt;0), AND(AB87&lt;&gt;"", COUNTIF(Lookups!J:J, "*"&amp;AB87&amp;"*")&gt;0)), "Yes", "No")</f>
        <v>No</v>
      </c>
      <c r="H87" s="2" t="str">
        <f t="shared" si="5"/>
        <v>003OP Power Generation &amp; Transmission|003OP Power Generation &amp; Transmission</v>
      </c>
      <c r="I87" s="2" t="str">
        <f t="shared" si="6"/>
        <v>003OP-1800 Gas pipeline|003OP-5611 Gas Power Station</v>
      </c>
      <c r="J87" s="2" t="str">
        <f t="shared" si="7"/>
        <v>N/A</v>
      </c>
      <c r="K87" s="2" t="str">
        <f>_xlfn.XLOOKUP(A87,'EA-Fortescue_SDExport'!A:A,'EA-Fortescue_SDExport'!N:N)</f>
        <v>Proposed</v>
      </c>
      <c r="L87" s="2" t="str">
        <f>_xlfn.LET(_xlpm.result, _xlfn.XLOOKUP($A87,'EA-Fortescue_SDExport'!$A:$A,'EA-Fortescue_SDExport'!AQ:AQ), IF(_xlpm.result=0,"",_xlpm.result))</f>
        <v/>
      </c>
      <c r="M87" s="2" t="str">
        <f>_xlfn.LET(_xlpm.result, _xlfn.XLOOKUP($A87,'EA-Fortescue_SDExport'!$A:$A,'EA-Fortescue_SDExport'!AR:AR), IF(_xlpm.result=0,"",_xlpm.result))</f>
        <v/>
      </c>
      <c r="N87" s="2" t="str">
        <f>_xlfn.LET(_xlpm.result, _xlfn.XLOOKUP($A87,'EA-Fortescue_SDExport'!$A:$A,'EA-Fortescue_SDExport'!AW:AW), IF(_xlpm.result=0,"",_xlpm.result))</f>
        <v/>
      </c>
      <c r="O87" s="2" t="str">
        <f>_xlfn.LET(_xlpm.result, _xlfn.XLOOKUP($A87,'EA-Fortescue_SDExport'!$A:$A,'EA-Fortescue_SDExport'!AV:AV), IF(_xlpm.result=0,"",_xlpm.result))</f>
        <v/>
      </c>
      <c r="P87" s="2" t="str">
        <f>_xlfn.LET(_xlpm.result, _xlfn.XLOOKUP($A87,'EA-Fortescue_SDExport'!$A:$A,'EA-Fortescue_SDExport'!D:D), IF(_xlpm.result=0,"",_xlpm.result))</f>
        <v/>
      </c>
      <c r="Q87" s="2" t="str">
        <f>_xlfn.LET(
    _xlpm.status, _xlfn.XLOOKUP($A87,'EA-ConnectorExport'!$A:$A,'EA-ConnectorExport'!G:G),
    _xlpm.result, _xlfn.XLOOKUP($A87,'EA-ConnectorExport'!$A:$A,'EA-ConnectorExport'!B:B),
    IF(_xlpm.status="allocate", _xlpm.result, "")
)</f>
        <v>003OP-1800 Gas pipeline</v>
      </c>
      <c r="R87" s="2" t="str">
        <f>IF(
    _xlfn.XLOOKUP($Q87,'EA-Fortescue_SDExport'!A:A,'EA-Fortescue_SDExport'!B:B)="Object",
    _xlfn.XLOOKUP(
        _xlfn.XLOOKUP($A87,'EA-ConnectorExport'!A:A,'EA-ConnectorExport'!D:D),
        'EA-Fortescue_SDExport'!A:A,
        'EA-Fortescue_SDExport'!AA:AA
    ),
    _xlfn.XLOOKUP($Q87,'EA-Fortescue_SDExport'!A:A,'EA-Fortescue_SDExport'!AA:AA)
)</f>
        <v>System</v>
      </c>
      <c r="S87" s="2" t="str">
        <f>_xlfn.LET(_xlpm.result, _xlfn.XLOOKUP($Q87,'EA-Fortescue_SDExport'!$A:$A,'EA-Fortescue_SDExport'!AB:AB), IF(_xlpm.result=0,"",_xlpm.result))</f>
        <v/>
      </c>
      <c r="T87" s="2" t="str">
        <f>_xlfn.LET(_xlpm.result, _xlfn.XLOOKUP($Q87,'EA-Fortescue_SDExport'!$A:$A,'EA-Fortescue_SDExport'!AC:AC), IF(_xlpm.result=0,"",_xlpm.result))</f>
        <v>Generic Physical Asset</v>
      </c>
      <c r="U87" s="2" t="str">
        <f>_xlfn.LET(
    _xlpm.isObject, _xlfn.XLOOKUP($Q87,'EA-Fortescue_SDExport'!A:A,'EA-Fortescue_SDExport'!B:B),
    _xlpm.lookupKey, IF(_xlpm.isObject="Object",
        _xlfn.XLOOKUP($A87,'EA-ConnectorExport'!A:A,'EA-ConnectorExport'!D:D),
        $Q87
    ),
    _xlpm.result, _xlfn.XLOOKUP(_xlpm.lookupKey,'EA-Fortescue_SDExport'!A:A,'EA-Fortescue_SDExport'!AD:AD),
    IF(_xlpm.result=0,"",_xlpm.result)
)</f>
        <v>003OP Power Generation &amp; Transmission</v>
      </c>
      <c r="V87" s="2" t="str">
        <f>_xlfn.LET(
    _xlpm.isObject, _xlfn.XLOOKUP($Q87,'EA-Fortescue_SDExport'!A:A,'EA-Fortescue_SDExport'!B:B),
    _xlpm.lookupKey, IF(_xlpm.isObject="Object",
        _xlfn.XLOOKUP($A87,'EA-ConnectorExport'!A:A,'EA-ConnectorExport'!D:D),
        $Q87
    ),
    _xlpm.result, _xlfn.XLOOKUP(_xlpm.lookupKey,'EA-Fortescue_SDExport'!A:A,'EA-Fortescue_SDExport'!AE:AE),
    IF(_xlpm.result=0,"",_xlpm.result)
)</f>
        <v>003OP-1800 Gas pipeline</v>
      </c>
      <c r="W87" s="2" t="str">
        <f>_xlfn.LET(
    _xlpm.isObject, _xlfn.XLOOKUP($Q87,'EA-Fortescue_SDExport'!A:A,'EA-Fortescue_SDExport'!B:B),
    _xlpm.lookupKey, IF(_xlpm.isObject="Object",
        _xlfn.XLOOKUP($A87,'EA-ConnectorExport'!A:A,'EA-ConnectorExport'!D:D),
        $Q87
    ),
    _xlpm.result, _xlfn.XLOOKUP(_xlpm.lookupKey,'EA-Fortescue_SDExport'!A:A,'EA-Fortescue_SDExport'!AF:AF),
    IF(_xlpm.result=0,"",_xlpm.result)
)</f>
        <v/>
      </c>
      <c r="X87" s="2" t="str">
        <f>_xlfn.LET(
    _xlpm.isObject, _xlfn.XLOOKUP($Q87,'EA-Fortescue_SDExport'!A:A,'EA-Fortescue_SDExport'!B:B),
    _xlpm.lookupKey, IF(_xlpm.isObject="Object",
        _xlfn.XLOOKUP($A87,'EA-ConnectorExport'!A:A,'EA-ConnectorExport'!D:D),
        $Q87
    ),
    _xlpm.result, _xlfn.XLOOKUP(_xlpm.lookupKey,'EA-Fortescue_SDExport'!A:A,'EA-Fortescue_SDExport'!AG:AG),
    IF(_xlpm.result=0,"",_xlpm.result)
)</f>
        <v/>
      </c>
      <c r="Y87" s="2" t="str">
        <f>_xlfn.LET(
    _xlpm.status, _xlfn.XLOOKUP($A87,'EA-ConnectorExport'!$A:$A,'EA-ConnectorExport'!G:G),
    _xlpm.result, _xlfn.XLOOKUP($A87,'EA-ConnectorExport'!$A:$A,'EA-ConnectorExport'!H:H),
    IF(_xlpm.status="allocate", _xlpm.result, "")
)</f>
        <v>003OP-5611 Gas Power Station</v>
      </c>
      <c r="Z87" s="2" t="str">
        <f>_xlfn.LET(
    _xlpm.isObject, _xlfn.XLOOKUP($Y87,'EA-Fortescue_SDExport'!A:A,'EA-Fortescue_SDExport'!B:B),
    _xlpm.lookupKey, IF(_xlpm.isObject="Object",
        _xlfn.XLOOKUP($A87,'EA-ConnectorExport'!A:A,'EA-ConnectorExport'!J:J),
        $Y87
    ),
    _xlpm.result, _xlfn.XLOOKUP(_xlpm.lookupKey,'EA-Fortescue_SDExport'!A:A,'EA-Fortescue_SDExport'!AA:AA),
    IF(_xlpm.result=0,"",_xlpm.result)
)</f>
        <v>System</v>
      </c>
      <c r="AA87" s="2" t="str">
        <f>_xlfn.LET(_xlpm.result, _xlfn.XLOOKUP($Y87,'EA-Fortescue_SDExport'!$A:$A,'EA-Fortescue_SDExport'!AB:AB), IF(_xlpm.result=0,"",_xlpm.result))</f>
        <v/>
      </c>
      <c r="AB87" s="2" t="str">
        <f>_xlfn.LET(_xlpm.result, _xlfn.XLOOKUP($Y87,'EA-Fortescue_SDExport'!$A:$A,'EA-Fortescue_SDExport'!AC:AC), IF(_xlpm.result=0,"",_xlpm.result))</f>
        <v>Generic Physical Asset</v>
      </c>
      <c r="AC87" s="2" t="str">
        <f>_xlfn.LET(
    _xlpm.isObject, _xlfn.XLOOKUP($Y87,'EA-Fortescue_SDExport'!A:A,'EA-Fortescue_SDExport'!B:B),
    _xlpm.lookupKey, IF(_xlpm.isObject="Object",
        _xlfn.XLOOKUP($A87,'EA-ConnectorExport'!A:A,'EA-ConnectorExport'!J:J),
        $Y87
    ),
    _xlpm.result, _xlfn.XLOOKUP(_xlpm.lookupKey,'EA-Fortescue_SDExport'!A:A,'EA-Fortescue_SDExport'!AD:AD),
    IF(_xlpm.result=0,"",_xlpm.result)
)</f>
        <v>003OP Power Generation &amp; Transmission</v>
      </c>
      <c r="AD87" s="2" t="str">
        <f>_xlfn.LET(
    _xlpm.isObject, _xlfn.XLOOKUP($Y87,'EA-Fortescue_SDExport'!A:A,'EA-Fortescue_SDExport'!B:B),
    _xlpm.lookupKey, IF(_xlpm.isObject="Object",
        _xlfn.XLOOKUP($A87,'EA-ConnectorExport'!A:A,'EA-ConnectorExport'!J:J),
        $Y87
    ),
    _xlpm.result, _xlfn.XLOOKUP(_xlpm.lookupKey,'EA-Fortescue_SDExport'!A:A,'EA-Fortescue_SDExport'!AE:AE),
    IF(_xlpm.result=0,"",_xlpm.result)
)</f>
        <v>003OP-5611 Gas Power Station</v>
      </c>
      <c r="AE87" s="2" t="str">
        <f>_xlfn.LET(
    _xlpm.isObject, _xlfn.XLOOKUP($Y87,'EA-Fortescue_SDExport'!A:A,'EA-Fortescue_SDExport'!B:B),
    _xlpm.lookupKey, IF(_xlpm.isObject="Object",
        _xlfn.XLOOKUP($A87,'EA-ConnectorExport'!A:A,'EA-ConnectorExport'!J:J),
        $Y87
    ),
    _xlpm.result, _xlfn.XLOOKUP(_xlpm.lookupKey,'EA-Fortescue_SDExport'!A:A,'EA-Fortescue_SDExport'!AF:AF),
    IF(_xlpm.result=0,"",_xlpm.result)
)</f>
        <v/>
      </c>
      <c r="AF87" s="2" t="str">
        <f>_xlfn.LET(
    _xlpm.isObject, _xlfn.XLOOKUP($Y87,'EA-Fortescue_SDExport'!A:A,'EA-Fortescue_SDExport'!B:B),
    _xlpm.lookupKey, IF(_xlpm.isObject="Object",
        _xlfn.XLOOKUP($A87,'EA-ConnectorExport'!A:A,'EA-ConnectorExport'!J:J),
        $Y87
    ),
    _xlpm.result, _xlfn.XLOOKUP(_xlpm.lookupKey,'EA-Fortescue_SDExport'!A:A,'EA-Fortescue_SDExport'!AG:AG),
    IF(_xlpm.result=0,"",_xlpm.result)
)</f>
        <v/>
      </c>
    </row>
    <row r="88" spans="1:32" ht="45" x14ac:dyDescent="0.25">
      <c r="A88" s="2" t="str">
        <v>DGS-I_0087</v>
      </c>
      <c r="B88" s="2" t="str">
        <f t="shared" si="4"/>
        <v>003OP-5611 Gas Power Station|854DC-1521 HV Substations</v>
      </c>
      <c r="C88" s="2" t="str">
        <f>_xlfn.LET(_xlpm.result, _xlfn.XLOOKUP(A88,'EA-Fortescue_SDExport'!A:A,'EA-Fortescue_SDExport'!AM:AM), IF(_xlpm.result=0,"",_xlpm.result))</f>
        <v/>
      </c>
      <c r="D88" s="2" t="str">
        <f>_xlfn.LET(_xlpm.result, _xlfn.XLOOKUP(A88,'EA-Fortescue_SDExport'!A:A,'EA-Fortescue_SDExport'!AN:AN), IF(_xlpm.result=0,"",_xlpm.result))</f>
        <v/>
      </c>
      <c r="E88" s="2" t="str">
        <f>_xlfn.XLOOKUP(R88&amp;Z88,Lookups!A:A,Lookups!B:B)</f>
        <v>System - System Interface</v>
      </c>
      <c r="F88" s="2" t="str">
        <f>_xlfn.LET(_xlpm.result, _xlfn.XLOOKUP(A88,'EA-Fortescue_SDExport'!A:A,'EA-Fortescue_SDExport'!AP:AP), IF(_xlpm.result=0,"",_xlpm.result))</f>
        <v/>
      </c>
      <c r="G88" s="2" t="str">
        <f>IF(OR(AND(T88&lt;&gt;"", COUNTIF(Lookups!J:J, "*"&amp;T88&amp;"*")&gt;0), AND(AB88&lt;&gt;"", COUNTIF(Lookups!J:J, "*"&amp;AB88&amp;"*")&gt;0)), "Yes", "No")</f>
        <v>No</v>
      </c>
      <c r="H88" s="2" t="str">
        <f t="shared" si="5"/>
        <v>003OP Power Generation &amp; Transmission|854DC Green Power</v>
      </c>
      <c r="I88" s="2" t="str">
        <f t="shared" si="6"/>
        <v>003OP-5611 Gas Power Station|854DC-1521 HV Substations</v>
      </c>
      <c r="J88" s="2" t="str">
        <f t="shared" si="7"/>
        <v>N/A</v>
      </c>
      <c r="K88" s="2" t="str">
        <f>_xlfn.XLOOKUP(A88,'EA-Fortescue_SDExport'!A:A,'EA-Fortescue_SDExport'!N:N)</f>
        <v>Proposed</v>
      </c>
      <c r="L88" s="2" t="str">
        <f>_xlfn.LET(_xlpm.result, _xlfn.XLOOKUP($A88,'EA-Fortescue_SDExport'!$A:$A,'EA-Fortescue_SDExport'!AQ:AQ), IF(_xlpm.result=0,"",_xlpm.result))</f>
        <v/>
      </c>
      <c r="M88" s="2" t="str">
        <f>_xlfn.LET(_xlpm.result, _xlfn.XLOOKUP($A88,'EA-Fortescue_SDExport'!$A:$A,'EA-Fortescue_SDExport'!AR:AR), IF(_xlpm.result=0,"",_xlpm.result))</f>
        <v/>
      </c>
      <c r="N88" s="2" t="str">
        <f>_xlfn.LET(_xlpm.result, _xlfn.XLOOKUP($A88,'EA-Fortescue_SDExport'!$A:$A,'EA-Fortescue_SDExport'!AW:AW), IF(_xlpm.result=0,"",_xlpm.result))</f>
        <v/>
      </c>
      <c r="O88" s="2" t="str">
        <f>_xlfn.LET(_xlpm.result, _xlfn.XLOOKUP($A88,'EA-Fortescue_SDExport'!$A:$A,'EA-Fortescue_SDExport'!AV:AV), IF(_xlpm.result=0,"",_xlpm.result))</f>
        <v/>
      </c>
      <c r="P88" s="2" t="str">
        <f>_xlfn.LET(_xlpm.result, _xlfn.XLOOKUP($A88,'EA-Fortescue_SDExport'!$A:$A,'EA-Fortescue_SDExport'!D:D), IF(_xlpm.result=0,"",_xlpm.result))</f>
        <v/>
      </c>
      <c r="Q88" s="2" t="str">
        <f>_xlfn.LET(
    _xlpm.status, _xlfn.XLOOKUP($A88,'EA-ConnectorExport'!$A:$A,'EA-ConnectorExport'!G:G),
    _xlpm.result, _xlfn.XLOOKUP($A88,'EA-ConnectorExport'!$A:$A,'EA-ConnectorExport'!B:B),
    IF(_xlpm.status="allocate", _xlpm.result, "")
)</f>
        <v>003OP-5611 Gas Power Station</v>
      </c>
      <c r="R88" s="2" t="str">
        <f>IF(
    _xlfn.XLOOKUP($Q88,'EA-Fortescue_SDExport'!A:A,'EA-Fortescue_SDExport'!B:B)="Object",
    _xlfn.XLOOKUP(
        _xlfn.XLOOKUP($A88,'EA-ConnectorExport'!A:A,'EA-ConnectorExport'!D:D),
        'EA-Fortescue_SDExport'!A:A,
        'EA-Fortescue_SDExport'!AA:AA
    ),
    _xlfn.XLOOKUP($Q88,'EA-Fortescue_SDExport'!A:A,'EA-Fortescue_SDExport'!AA:AA)
)</f>
        <v>System</v>
      </c>
      <c r="S88" s="2" t="str">
        <f>_xlfn.LET(_xlpm.result, _xlfn.XLOOKUP($Q88,'EA-Fortescue_SDExport'!$A:$A,'EA-Fortescue_SDExport'!AB:AB), IF(_xlpm.result=0,"",_xlpm.result))</f>
        <v/>
      </c>
      <c r="T88" s="2" t="str">
        <f>_xlfn.LET(_xlpm.result, _xlfn.XLOOKUP($Q88,'EA-Fortescue_SDExport'!$A:$A,'EA-Fortescue_SDExport'!AC:AC), IF(_xlpm.result=0,"",_xlpm.result))</f>
        <v>Generic Physical Asset</v>
      </c>
      <c r="U88" s="2" t="str">
        <f>_xlfn.LET(
    _xlpm.isObject, _xlfn.XLOOKUP($Q88,'EA-Fortescue_SDExport'!A:A,'EA-Fortescue_SDExport'!B:B),
    _xlpm.lookupKey, IF(_xlpm.isObject="Object",
        _xlfn.XLOOKUP($A88,'EA-ConnectorExport'!A:A,'EA-ConnectorExport'!D:D),
        $Q88
    ),
    _xlpm.result, _xlfn.XLOOKUP(_xlpm.lookupKey,'EA-Fortescue_SDExport'!A:A,'EA-Fortescue_SDExport'!AD:AD),
    IF(_xlpm.result=0,"",_xlpm.result)
)</f>
        <v>003OP Power Generation &amp; Transmission</v>
      </c>
      <c r="V88" s="2" t="str">
        <f>_xlfn.LET(
    _xlpm.isObject, _xlfn.XLOOKUP($Q88,'EA-Fortescue_SDExport'!A:A,'EA-Fortescue_SDExport'!B:B),
    _xlpm.lookupKey, IF(_xlpm.isObject="Object",
        _xlfn.XLOOKUP($A88,'EA-ConnectorExport'!A:A,'EA-ConnectorExport'!D:D),
        $Q88
    ),
    _xlpm.result, _xlfn.XLOOKUP(_xlpm.lookupKey,'EA-Fortescue_SDExport'!A:A,'EA-Fortescue_SDExport'!AE:AE),
    IF(_xlpm.result=0,"",_xlpm.result)
)</f>
        <v>003OP-5611 Gas Power Station</v>
      </c>
      <c r="W88" s="2" t="str">
        <f>_xlfn.LET(
    _xlpm.isObject, _xlfn.XLOOKUP($Q88,'EA-Fortescue_SDExport'!A:A,'EA-Fortescue_SDExport'!B:B),
    _xlpm.lookupKey, IF(_xlpm.isObject="Object",
        _xlfn.XLOOKUP($A88,'EA-ConnectorExport'!A:A,'EA-ConnectorExport'!D:D),
        $Q88
    ),
    _xlpm.result, _xlfn.XLOOKUP(_xlpm.lookupKey,'EA-Fortescue_SDExport'!A:A,'EA-Fortescue_SDExport'!AF:AF),
    IF(_xlpm.result=0,"",_xlpm.result)
)</f>
        <v/>
      </c>
      <c r="X88" s="2" t="str">
        <f>_xlfn.LET(
    _xlpm.isObject, _xlfn.XLOOKUP($Q88,'EA-Fortescue_SDExport'!A:A,'EA-Fortescue_SDExport'!B:B),
    _xlpm.lookupKey, IF(_xlpm.isObject="Object",
        _xlfn.XLOOKUP($A88,'EA-ConnectorExport'!A:A,'EA-ConnectorExport'!D:D),
        $Q88
    ),
    _xlpm.result, _xlfn.XLOOKUP(_xlpm.lookupKey,'EA-Fortescue_SDExport'!A:A,'EA-Fortescue_SDExport'!AG:AG),
    IF(_xlpm.result=0,"",_xlpm.result)
)</f>
        <v/>
      </c>
      <c r="Y88" s="2" t="str">
        <f>_xlfn.LET(
    _xlpm.status, _xlfn.XLOOKUP($A88,'EA-ConnectorExport'!$A:$A,'EA-ConnectorExport'!G:G),
    _xlpm.result, _xlfn.XLOOKUP($A88,'EA-ConnectorExport'!$A:$A,'EA-ConnectorExport'!H:H),
    IF(_xlpm.status="allocate", _xlpm.result, "")
)</f>
        <v>854DC-1521 HV Substations</v>
      </c>
      <c r="Z88" s="2" t="str">
        <f>_xlfn.LET(
    _xlpm.isObject, _xlfn.XLOOKUP($Y88,'EA-Fortescue_SDExport'!A:A,'EA-Fortescue_SDExport'!B:B),
    _xlpm.lookupKey, IF(_xlpm.isObject="Object",
        _xlfn.XLOOKUP($A88,'EA-ConnectorExport'!A:A,'EA-ConnectorExport'!J:J),
        $Y88
    ),
    _xlpm.result, _xlfn.XLOOKUP(_xlpm.lookupKey,'EA-Fortescue_SDExport'!A:A,'EA-Fortescue_SDExport'!AA:AA),
    IF(_xlpm.result=0,"",_xlpm.result)
)</f>
        <v>System</v>
      </c>
      <c r="AA88" s="2" t="str">
        <f>_xlfn.LET(_xlpm.result, _xlfn.XLOOKUP($Y88,'EA-Fortescue_SDExport'!$A:$A,'EA-Fortescue_SDExport'!AB:AB), IF(_xlpm.result=0,"",_xlpm.result))</f>
        <v/>
      </c>
      <c r="AB88" s="2" t="str">
        <f>_xlfn.LET(_xlpm.result, _xlfn.XLOOKUP($Y88,'EA-Fortescue_SDExport'!$A:$A,'EA-Fortescue_SDExport'!AC:AC), IF(_xlpm.result=0,"",_xlpm.result))</f>
        <v>Generic Physical Asset</v>
      </c>
      <c r="AC88" s="2" t="str">
        <f>_xlfn.LET(
    _xlpm.isObject, _xlfn.XLOOKUP($Y88,'EA-Fortescue_SDExport'!A:A,'EA-Fortescue_SDExport'!B:B),
    _xlpm.lookupKey, IF(_xlpm.isObject="Object",
        _xlfn.XLOOKUP($A88,'EA-ConnectorExport'!A:A,'EA-ConnectorExport'!J:J),
        $Y88
    ),
    _xlpm.result, _xlfn.XLOOKUP(_xlpm.lookupKey,'EA-Fortescue_SDExport'!A:A,'EA-Fortescue_SDExport'!AD:AD),
    IF(_xlpm.result=0,"",_xlpm.result)
)</f>
        <v>854DC Green Power</v>
      </c>
      <c r="AD88" s="2" t="str">
        <f>_xlfn.LET(
    _xlpm.isObject, _xlfn.XLOOKUP($Y88,'EA-Fortescue_SDExport'!A:A,'EA-Fortescue_SDExport'!B:B),
    _xlpm.lookupKey, IF(_xlpm.isObject="Object",
        _xlfn.XLOOKUP($A88,'EA-ConnectorExport'!A:A,'EA-ConnectorExport'!J:J),
        $Y88
    ),
    _xlpm.result, _xlfn.XLOOKUP(_xlpm.lookupKey,'EA-Fortescue_SDExport'!A:A,'EA-Fortescue_SDExport'!AE:AE),
    IF(_xlpm.result=0,"",_xlpm.result)
)</f>
        <v>854DC-1521 HV Substations</v>
      </c>
      <c r="AE88" s="2" t="str">
        <f>_xlfn.LET(
    _xlpm.isObject, _xlfn.XLOOKUP($Y88,'EA-Fortescue_SDExport'!A:A,'EA-Fortescue_SDExport'!B:B),
    _xlpm.lookupKey, IF(_xlpm.isObject="Object",
        _xlfn.XLOOKUP($A88,'EA-ConnectorExport'!A:A,'EA-ConnectorExport'!J:J),
        $Y88
    ),
    _xlpm.result, _xlfn.XLOOKUP(_xlpm.lookupKey,'EA-Fortescue_SDExport'!A:A,'EA-Fortescue_SDExport'!AF:AF),
    IF(_xlpm.result=0,"",_xlpm.result)
)</f>
        <v/>
      </c>
      <c r="AF88" s="2" t="str">
        <f>_xlfn.LET(
    _xlpm.isObject, _xlfn.XLOOKUP($Y88,'EA-Fortescue_SDExport'!A:A,'EA-Fortescue_SDExport'!B:B),
    _xlpm.lookupKey, IF(_xlpm.isObject="Object",
        _xlfn.XLOOKUP($A88,'EA-ConnectorExport'!A:A,'EA-ConnectorExport'!J:J),
        $Y88
    ),
    _xlpm.result, _xlfn.XLOOKUP(_xlpm.lookupKey,'EA-Fortescue_SDExport'!A:A,'EA-Fortescue_SDExport'!AG:AG),
    IF(_xlpm.result=0,"",_xlpm.result)
)</f>
        <v/>
      </c>
    </row>
    <row r="89" spans="1:32" ht="30" x14ac:dyDescent="0.25">
      <c r="A89" s="2" t="str">
        <v>DGS-I_0088</v>
      </c>
      <c r="B89" s="2" t="str">
        <f t="shared" si="4"/>
        <v>004OP-1301 Run of Mine (ROM)|001OP-2110 Primary Crusher</v>
      </c>
      <c r="C89" s="2" t="str">
        <f>_xlfn.LET(_xlpm.result, _xlfn.XLOOKUP(A89,'EA-Fortescue_SDExport'!A:A,'EA-Fortescue_SDExport'!AM:AM), IF(_xlpm.result=0,"",_xlpm.result))</f>
        <v/>
      </c>
      <c r="D89" s="2" t="str">
        <f>_xlfn.LET(_xlpm.result, _xlfn.XLOOKUP(A89,'EA-Fortescue_SDExport'!A:A,'EA-Fortescue_SDExport'!AN:AN), IF(_xlpm.result=0,"",_xlpm.result))</f>
        <v/>
      </c>
      <c r="E89" s="2" t="str">
        <f>_xlfn.XLOOKUP(R89&amp;Z89,Lookups!A:A,Lookups!B:B)</f>
        <v>System - System Interface</v>
      </c>
      <c r="F89" s="2" t="str">
        <f>_xlfn.LET(_xlpm.result, _xlfn.XLOOKUP(A89,'EA-Fortescue_SDExport'!A:A,'EA-Fortescue_SDExport'!AP:AP), IF(_xlpm.result=0,"",_xlpm.result))</f>
        <v/>
      </c>
      <c r="G89" s="2" t="str">
        <f>IF(OR(AND(T89&lt;&gt;"", COUNTIF(Lookups!J:J, "*"&amp;T89&amp;"*")&gt;0), AND(AB89&lt;&gt;"", COUNTIF(Lookups!J:J, "*"&amp;AB89&amp;"*")&gt;0)), "Yes", "No")</f>
        <v>No</v>
      </c>
      <c r="H89" s="2" t="str">
        <f t="shared" si="5"/>
        <v>004OP Product Storage|001OP Fixed Process Plant</v>
      </c>
      <c r="I89" s="2" t="str">
        <f t="shared" si="6"/>
        <v>004OP-1301 Run of Mine (ROM)|001OP-2110 Primary Crusher</v>
      </c>
      <c r="J89" s="2" t="str">
        <f t="shared" si="7"/>
        <v>N/A</v>
      </c>
      <c r="K89" s="2" t="str">
        <f>_xlfn.XLOOKUP(A89,'EA-Fortescue_SDExport'!A:A,'EA-Fortescue_SDExport'!N:N)</f>
        <v>Proposed</v>
      </c>
      <c r="L89" s="2" t="str">
        <f>_xlfn.LET(_xlpm.result, _xlfn.XLOOKUP($A89,'EA-Fortescue_SDExport'!$A:$A,'EA-Fortescue_SDExport'!AQ:AQ), IF(_xlpm.result=0,"",_xlpm.result))</f>
        <v/>
      </c>
      <c r="M89" s="2" t="str">
        <f>_xlfn.LET(_xlpm.result, _xlfn.XLOOKUP($A89,'EA-Fortescue_SDExport'!$A:$A,'EA-Fortescue_SDExport'!AR:AR), IF(_xlpm.result=0,"",_xlpm.result))</f>
        <v/>
      </c>
      <c r="N89" s="2" t="str">
        <f>_xlfn.LET(_xlpm.result, _xlfn.XLOOKUP($A89,'EA-Fortescue_SDExport'!$A:$A,'EA-Fortescue_SDExport'!AW:AW), IF(_xlpm.result=0,"",_xlpm.result))</f>
        <v/>
      </c>
      <c r="O89" s="2" t="str">
        <f>_xlfn.LET(_xlpm.result, _xlfn.XLOOKUP($A89,'EA-Fortescue_SDExport'!$A:$A,'EA-Fortescue_SDExport'!AV:AV), IF(_xlpm.result=0,"",_xlpm.result))</f>
        <v/>
      </c>
      <c r="P89" s="2" t="str">
        <f>_xlfn.LET(_xlpm.result, _xlfn.XLOOKUP($A89,'EA-Fortescue_SDExport'!$A:$A,'EA-Fortescue_SDExport'!D:D), IF(_xlpm.result=0,"",_xlpm.result))</f>
        <v/>
      </c>
      <c r="Q89" s="2" t="str">
        <f>_xlfn.LET(
    _xlpm.status, _xlfn.XLOOKUP($A89,'EA-ConnectorExport'!$A:$A,'EA-ConnectorExport'!G:G),
    _xlpm.result, _xlfn.XLOOKUP($A89,'EA-ConnectorExport'!$A:$A,'EA-ConnectorExport'!B:B),
    IF(_xlpm.status="allocate", _xlpm.result, "")
)</f>
        <v>004OP-1301 Run of Mine (ROM)</v>
      </c>
      <c r="R89" s="2" t="str">
        <f>IF(
    _xlfn.XLOOKUP($Q89,'EA-Fortescue_SDExport'!A:A,'EA-Fortescue_SDExport'!B:B)="Object",
    _xlfn.XLOOKUP(
        _xlfn.XLOOKUP($A89,'EA-ConnectorExport'!A:A,'EA-ConnectorExport'!D:D),
        'EA-Fortescue_SDExport'!A:A,
        'EA-Fortescue_SDExport'!AA:AA
    ),
    _xlfn.XLOOKUP($Q89,'EA-Fortescue_SDExport'!A:A,'EA-Fortescue_SDExport'!AA:AA)
)</f>
        <v>System</v>
      </c>
      <c r="S89" s="2" t="str">
        <f>_xlfn.LET(_xlpm.result, _xlfn.XLOOKUP($Q89,'EA-Fortescue_SDExport'!$A:$A,'EA-Fortescue_SDExport'!AB:AB), IF(_xlpm.result=0,"",_xlpm.result))</f>
        <v/>
      </c>
      <c r="T89" s="2" t="str">
        <f>_xlfn.LET(_xlpm.result, _xlfn.XLOOKUP($Q89,'EA-Fortescue_SDExport'!$A:$A,'EA-Fortescue_SDExport'!AC:AC), IF(_xlpm.result=0,"",_xlpm.result))</f>
        <v>Generic Physical Asset</v>
      </c>
      <c r="U89" s="2" t="str">
        <f>_xlfn.LET(
    _xlpm.isObject, _xlfn.XLOOKUP($Q89,'EA-Fortescue_SDExport'!A:A,'EA-Fortescue_SDExport'!B:B),
    _xlpm.lookupKey, IF(_xlpm.isObject="Object",
        _xlfn.XLOOKUP($A89,'EA-ConnectorExport'!A:A,'EA-ConnectorExport'!D:D),
        $Q89
    ),
    _xlpm.result, _xlfn.XLOOKUP(_xlpm.lookupKey,'EA-Fortescue_SDExport'!A:A,'EA-Fortescue_SDExport'!AD:AD),
    IF(_xlpm.result=0,"",_xlpm.result)
)</f>
        <v>004OP Product Storage</v>
      </c>
      <c r="V89" s="2" t="str">
        <f>_xlfn.LET(
    _xlpm.isObject, _xlfn.XLOOKUP($Q89,'EA-Fortescue_SDExport'!A:A,'EA-Fortescue_SDExport'!B:B),
    _xlpm.lookupKey, IF(_xlpm.isObject="Object",
        _xlfn.XLOOKUP($A89,'EA-ConnectorExport'!A:A,'EA-ConnectorExport'!D:D),
        $Q89
    ),
    _xlpm.result, _xlfn.XLOOKUP(_xlpm.lookupKey,'EA-Fortescue_SDExport'!A:A,'EA-Fortescue_SDExport'!AE:AE),
    IF(_xlpm.result=0,"",_xlpm.result)
)</f>
        <v>004OP-1301 Run of Mine (ROM)</v>
      </c>
      <c r="W89" s="2" t="str">
        <f>_xlfn.LET(
    _xlpm.isObject, _xlfn.XLOOKUP($Q89,'EA-Fortescue_SDExport'!A:A,'EA-Fortescue_SDExport'!B:B),
    _xlpm.lookupKey, IF(_xlpm.isObject="Object",
        _xlfn.XLOOKUP($A89,'EA-ConnectorExport'!A:A,'EA-ConnectorExport'!D:D),
        $Q89
    ),
    _xlpm.result, _xlfn.XLOOKUP(_xlpm.lookupKey,'EA-Fortescue_SDExport'!A:A,'EA-Fortescue_SDExport'!AF:AF),
    IF(_xlpm.result=0,"",_xlpm.result)
)</f>
        <v/>
      </c>
      <c r="X89" s="2" t="str">
        <f>_xlfn.LET(
    _xlpm.isObject, _xlfn.XLOOKUP($Q89,'EA-Fortescue_SDExport'!A:A,'EA-Fortescue_SDExport'!B:B),
    _xlpm.lookupKey, IF(_xlpm.isObject="Object",
        _xlfn.XLOOKUP($A89,'EA-ConnectorExport'!A:A,'EA-ConnectorExport'!D:D),
        $Q89
    ),
    _xlpm.result, _xlfn.XLOOKUP(_xlpm.lookupKey,'EA-Fortescue_SDExport'!A:A,'EA-Fortescue_SDExport'!AG:AG),
    IF(_xlpm.result=0,"",_xlpm.result)
)</f>
        <v/>
      </c>
      <c r="Y89" s="2" t="str">
        <f>_xlfn.LET(
    _xlpm.status, _xlfn.XLOOKUP($A89,'EA-ConnectorExport'!$A:$A,'EA-ConnectorExport'!G:G),
    _xlpm.result, _xlfn.XLOOKUP($A89,'EA-ConnectorExport'!$A:$A,'EA-ConnectorExport'!H:H),
    IF(_xlpm.status="allocate", _xlpm.result, "")
)</f>
        <v>001OP-2110 Primary Crusher</v>
      </c>
      <c r="Z89" s="2" t="str">
        <f>_xlfn.LET(
    _xlpm.isObject, _xlfn.XLOOKUP($Y89,'EA-Fortescue_SDExport'!A:A,'EA-Fortescue_SDExport'!B:B),
    _xlpm.lookupKey, IF(_xlpm.isObject="Object",
        _xlfn.XLOOKUP($A89,'EA-ConnectorExport'!A:A,'EA-ConnectorExport'!J:J),
        $Y89
    ),
    _xlpm.result, _xlfn.XLOOKUP(_xlpm.lookupKey,'EA-Fortescue_SDExport'!A:A,'EA-Fortescue_SDExport'!AA:AA),
    IF(_xlpm.result=0,"",_xlpm.result)
)</f>
        <v>System</v>
      </c>
      <c r="AA89" s="2" t="str">
        <f>_xlfn.LET(_xlpm.result, _xlfn.XLOOKUP($Y89,'EA-Fortescue_SDExport'!$A:$A,'EA-Fortescue_SDExport'!AB:AB), IF(_xlpm.result=0,"",_xlpm.result))</f>
        <v/>
      </c>
      <c r="AB89" s="2" t="str">
        <f>_xlfn.LET(_xlpm.result, _xlfn.XLOOKUP($Y89,'EA-Fortescue_SDExport'!$A:$A,'EA-Fortescue_SDExport'!AC:AC), IF(_xlpm.result=0,"",_xlpm.result))</f>
        <v>Generic Physical Asset</v>
      </c>
      <c r="AC89" s="2" t="str">
        <f>_xlfn.LET(
    _xlpm.isObject, _xlfn.XLOOKUP($Y89,'EA-Fortescue_SDExport'!A:A,'EA-Fortescue_SDExport'!B:B),
    _xlpm.lookupKey, IF(_xlpm.isObject="Object",
        _xlfn.XLOOKUP($A89,'EA-ConnectorExport'!A:A,'EA-ConnectorExport'!J:J),
        $Y89
    ),
    _xlpm.result, _xlfn.XLOOKUP(_xlpm.lookupKey,'EA-Fortescue_SDExport'!A:A,'EA-Fortescue_SDExport'!AD:AD),
    IF(_xlpm.result=0,"",_xlpm.result)
)</f>
        <v>001OP Fixed Process Plant</v>
      </c>
      <c r="AD89" s="2" t="str">
        <f>_xlfn.LET(
    _xlpm.isObject, _xlfn.XLOOKUP($Y89,'EA-Fortescue_SDExport'!A:A,'EA-Fortescue_SDExport'!B:B),
    _xlpm.lookupKey, IF(_xlpm.isObject="Object",
        _xlfn.XLOOKUP($A89,'EA-ConnectorExport'!A:A,'EA-ConnectorExport'!J:J),
        $Y89
    ),
    _xlpm.result, _xlfn.XLOOKUP(_xlpm.lookupKey,'EA-Fortescue_SDExport'!A:A,'EA-Fortescue_SDExport'!AE:AE),
    IF(_xlpm.result=0,"",_xlpm.result)
)</f>
        <v>001OP-2110 Primary Crusher</v>
      </c>
      <c r="AE89" s="2" t="str">
        <f>_xlfn.LET(
    _xlpm.isObject, _xlfn.XLOOKUP($Y89,'EA-Fortescue_SDExport'!A:A,'EA-Fortescue_SDExport'!B:B),
    _xlpm.lookupKey, IF(_xlpm.isObject="Object",
        _xlfn.XLOOKUP($A89,'EA-ConnectorExport'!A:A,'EA-ConnectorExport'!J:J),
        $Y89
    ),
    _xlpm.result, _xlfn.XLOOKUP(_xlpm.lookupKey,'EA-Fortescue_SDExport'!A:A,'EA-Fortescue_SDExport'!AF:AF),
    IF(_xlpm.result=0,"",_xlpm.result)
)</f>
        <v/>
      </c>
      <c r="AF89" s="2" t="str">
        <f>_xlfn.LET(
    _xlpm.isObject, _xlfn.XLOOKUP($Y89,'EA-Fortescue_SDExport'!A:A,'EA-Fortescue_SDExport'!B:B),
    _xlpm.lookupKey, IF(_xlpm.isObject="Object",
        _xlfn.XLOOKUP($A89,'EA-ConnectorExport'!A:A,'EA-ConnectorExport'!J:J),
        $Y89
    ),
    _xlpm.result, _xlfn.XLOOKUP(_xlpm.lookupKey,'EA-Fortescue_SDExport'!A:A,'EA-Fortescue_SDExport'!AG:AG),
    IF(_xlpm.result=0,"",_xlpm.result)
)</f>
        <v/>
      </c>
    </row>
    <row r="90" spans="1:32" ht="30" x14ac:dyDescent="0.25">
      <c r="A90" s="2" t="str">
        <v>DGS-I_0089</v>
      </c>
      <c r="B90" s="2" t="str">
        <f t="shared" si="4"/>
        <v>001OP-2110 Primary Crusher|004OP-1302 Coarse Ore Stockpile (COS)</v>
      </c>
      <c r="C90" s="2" t="str">
        <f>_xlfn.LET(_xlpm.result, _xlfn.XLOOKUP(A90,'EA-Fortescue_SDExport'!A:A,'EA-Fortescue_SDExport'!AM:AM), IF(_xlpm.result=0,"",_xlpm.result))</f>
        <v/>
      </c>
      <c r="D90" s="2" t="str">
        <f>_xlfn.LET(_xlpm.result, _xlfn.XLOOKUP(A90,'EA-Fortescue_SDExport'!A:A,'EA-Fortescue_SDExport'!AN:AN), IF(_xlpm.result=0,"",_xlpm.result))</f>
        <v/>
      </c>
      <c r="E90" s="2" t="str">
        <f>_xlfn.XLOOKUP(R90&amp;Z90,Lookups!A:A,Lookups!B:B)</f>
        <v>System - System Interface</v>
      </c>
      <c r="F90" s="2" t="str">
        <f>_xlfn.LET(_xlpm.result, _xlfn.XLOOKUP(A90,'EA-Fortescue_SDExport'!A:A,'EA-Fortescue_SDExport'!AP:AP), IF(_xlpm.result=0,"",_xlpm.result))</f>
        <v/>
      </c>
      <c r="G90" s="2" t="str">
        <f>IF(OR(AND(T90&lt;&gt;"", COUNTIF(Lookups!J:J, "*"&amp;T90&amp;"*")&gt;0), AND(AB90&lt;&gt;"", COUNTIF(Lookups!J:J, "*"&amp;AB90&amp;"*")&gt;0)), "Yes", "No")</f>
        <v>No</v>
      </c>
      <c r="H90" s="2" t="str">
        <f t="shared" si="5"/>
        <v>001OP Fixed Process Plant|004OP Product Storage</v>
      </c>
      <c r="I90" s="2" t="str">
        <f t="shared" si="6"/>
        <v>001OP-2110 Primary Crusher|004OP-1302 Coarse Ore Stockpile (COS)</v>
      </c>
      <c r="J90" s="2" t="str">
        <f t="shared" si="7"/>
        <v>N/A</v>
      </c>
      <c r="K90" s="2" t="str">
        <f>_xlfn.XLOOKUP(A90,'EA-Fortescue_SDExport'!A:A,'EA-Fortescue_SDExport'!N:N)</f>
        <v>Proposed</v>
      </c>
      <c r="L90" s="2" t="str">
        <f>_xlfn.LET(_xlpm.result, _xlfn.XLOOKUP($A90,'EA-Fortescue_SDExport'!$A:$A,'EA-Fortescue_SDExport'!AQ:AQ), IF(_xlpm.result=0,"",_xlpm.result))</f>
        <v/>
      </c>
      <c r="M90" s="2" t="str">
        <f>_xlfn.LET(_xlpm.result, _xlfn.XLOOKUP($A90,'EA-Fortescue_SDExport'!$A:$A,'EA-Fortescue_SDExport'!AR:AR), IF(_xlpm.result=0,"",_xlpm.result))</f>
        <v/>
      </c>
      <c r="N90" s="2" t="str">
        <f>_xlfn.LET(_xlpm.result, _xlfn.XLOOKUP($A90,'EA-Fortescue_SDExport'!$A:$A,'EA-Fortescue_SDExport'!AW:AW), IF(_xlpm.result=0,"",_xlpm.result))</f>
        <v/>
      </c>
      <c r="O90" s="2" t="str">
        <f>_xlfn.LET(_xlpm.result, _xlfn.XLOOKUP($A90,'EA-Fortescue_SDExport'!$A:$A,'EA-Fortescue_SDExport'!AV:AV), IF(_xlpm.result=0,"",_xlpm.result))</f>
        <v/>
      </c>
      <c r="P90" s="2" t="str">
        <f>_xlfn.LET(_xlpm.result, _xlfn.XLOOKUP($A90,'EA-Fortescue_SDExport'!$A:$A,'EA-Fortescue_SDExport'!D:D), IF(_xlpm.result=0,"",_xlpm.result))</f>
        <v/>
      </c>
      <c r="Q90" s="2" t="str">
        <f>_xlfn.LET(
    _xlpm.status, _xlfn.XLOOKUP($A90,'EA-ConnectorExport'!$A:$A,'EA-ConnectorExport'!G:G),
    _xlpm.result, _xlfn.XLOOKUP($A90,'EA-ConnectorExport'!$A:$A,'EA-ConnectorExport'!B:B),
    IF(_xlpm.status="allocate", _xlpm.result, "")
)</f>
        <v>001OP-2110 Primary Crusher</v>
      </c>
      <c r="R90" s="2" t="str">
        <f>IF(
    _xlfn.XLOOKUP($Q90,'EA-Fortescue_SDExport'!A:A,'EA-Fortescue_SDExport'!B:B)="Object",
    _xlfn.XLOOKUP(
        _xlfn.XLOOKUP($A90,'EA-ConnectorExport'!A:A,'EA-ConnectorExport'!D:D),
        'EA-Fortescue_SDExport'!A:A,
        'EA-Fortescue_SDExport'!AA:AA
    ),
    _xlfn.XLOOKUP($Q90,'EA-Fortescue_SDExport'!A:A,'EA-Fortescue_SDExport'!AA:AA)
)</f>
        <v>System</v>
      </c>
      <c r="S90" s="2" t="str">
        <f>_xlfn.LET(_xlpm.result, _xlfn.XLOOKUP($Q90,'EA-Fortescue_SDExport'!$A:$A,'EA-Fortescue_SDExport'!AB:AB), IF(_xlpm.result=0,"",_xlpm.result))</f>
        <v/>
      </c>
      <c r="T90" s="2" t="str">
        <f>_xlfn.LET(_xlpm.result, _xlfn.XLOOKUP($Q90,'EA-Fortescue_SDExport'!$A:$A,'EA-Fortescue_SDExport'!AC:AC), IF(_xlpm.result=0,"",_xlpm.result))</f>
        <v>Generic Physical Asset</v>
      </c>
      <c r="U90" s="2" t="str">
        <f>_xlfn.LET(
    _xlpm.isObject, _xlfn.XLOOKUP($Q90,'EA-Fortescue_SDExport'!A:A,'EA-Fortescue_SDExport'!B:B),
    _xlpm.lookupKey, IF(_xlpm.isObject="Object",
        _xlfn.XLOOKUP($A90,'EA-ConnectorExport'!A:A,'EA-ConnectorExport'!D:D),
        $Q90
    ),
    _xlpm.result, _xlfn.XLOOKUP(_xlpm.lookupKey,'EA-Fortescue_SDExport'!A:A,'EA-Fortescue_SDExport'!AD:AD),
    IF(_xlpm.result=0,"",_xlpm.result)
)</f>
        <v>001OP Fixed Process Plant</v>
      </c>
      <c r="V90" s="2" t="str">
        <f>_xlfn.LET(
    _xlpm.isObject, _xlfn.XLOOKUP($Q90,'EA-Fortescue_SDExport'!A:A,'EA-Fortescue_SDExport'!B:B),
    _xlpm.lookupKey, IF(_xlpm.isObject="Object",
        _xlfn.XLOOKUP($A90,'EA-ConnectorExport'!A:A,'EA-ConnectorExport'!D:D),
        $Q90
    ),
    _xlpm.result, _xlfn.XLOOKUP(_xlpm.lookupKey,'EA-Fortescue_SDExport'!A:A,'EA-Fortescue_SDExport'!AE:AE),
    IF(_xlpm.result=0,"",_xlpm.result)
)</f>
        <v>001OP-2110 Primary Crusher</v>
      </c>
      <c r="W90" s="2" t="str">
        <f>_xlfn.LET(
    _xlpm.isObject, _xlfn.XLOOKUP($Q90,'EA-Fortescue_SDExport'!A:A,'EA-Fortescue_SDExport'!B:B),
    _xlpm.lookupKey, IF(_xlpm.isObject="Object",
        _xlfn.XLOOKUP($A90,'EA-ConnectorExport'!A:A,'EA-ConnectorExport'!D:D),
        $Q90
    ),
    _xlpm.result, _xlfn.XLOOKUP(_xlpm.lookupKey,'EA-Fortescue_SDExport'!A:A,'EA-Fortescue_SDExport'!AF:AF),
    IF(_xlpm.result=0,"",_xlpm.result)
)</f>
        <v/>
      </c>
      <c r="X90" s="2" t="str">
        <f>_xlfn.LET(
    _xlpm.isObject, _xlfn.XLOOKUP($Q90,'EA-Fortescue_SDExport'!A:A,'EA-Fortescue_SDExport'!B:B),
    _xlpm.lookupKey, IF(_xlpm.isObject="Object",
        _xlfn.XLOOKUP($A90,'EA-ConnectorExport'!A:A,'EA-ConnectorExport'!D:D),
        $Q90
    ),
    _xlpm.result, _xlfn.XLOOKUP(_xlpm.lookupKey,'EA-Fortescue_SDExport'!A:A,'EA-Fortescue_SDExport'!AG:AG),
    IF(_xlpm.result=0,"",_xlpm.result)
)</f>
        <v/>
      </c>
      <c r="Y90" s="2" t="str">
        <f>_xlfn.LET(
    _xlpm.status, _xlfn.XLOOKUP($A90,'EA-ConnectorExport'!$A:$A,'EA-ConnectorExport'!G:G),
    _xlpm.result, _xlfn.XLOOKUP($A90,'EA-ConnectorExport'!$A:$A,'EA-ConnectorExport'!H:H),
    IF(_xlpm.status="allocate", _xlpm.result, "")
)</f>
        <v>004OP-1302 Coarse Ore Stockpile (COS)</v>
      </c>
      <c r="Z90" s="2" t="str">
        <f>_xlfn.LET(
    _xlpm.isObject, _xlfn.XLOOKUP($Y90,'EA-Fortescue_SDExport'!A:A,'EA-Fortescue_SDExport'!B:B),
    _xlpm.lookupKey, IF(_xlpm.isObject="Object",
        _xlfn.XLOOKUP($A90,'EA-ConnectorExport'!A:A,'EA-ConnectorExport'!J:J),
        $Y90
    ),
    _xlpm.result, _xlfn.XLOOKUP(_xlpm.lookupKey,'EA-Fortescue_SDExport'!A:A,'EA-Fortescue_SDExport'!AA:AA),
    IF(_xlpm.result=0,"",_xlpm.result)
)</f>
        <v>System</v>
      </c>
      <c r="AA90" s="2" t="str">
        <f>_xlfn.LET(_xlpm.result, _xlfn.XLOOKUP($Y90,'EA-Fortescue_SDExport'!$A:$A,'EA-Fortescue_SDExport'!AB:AB), IF(_xlpm.result=0,"",_xlpm.result))</f>
        <v/>
      </c>
      <c r="AB90" s="2" t="str">
        <f>_xlfn.LET(_xlpm.result, _xlfn.XLOOKUP($Y90,'EA-Fortescue_SDExport'!$A:$A,'EA-Fortescue_SDExport'!AC:AC), IF(_xlpm.result=0,"",_xlpm.result))</f>
        <v>Generic Physical Asset</v>
      </c>
      <c r="AC90" s="2" t="str">
        <f>_xlfn.LET(
    _xlpm.isObject, _xlfn.XLOOKUP($Y90,'EA-Fortescue_SDExport'!A:A,'EA-Fortescue_SDExport'!B:B),
    _xlpm.lookupKey, IF(_xlpm.isObject="Object",
        _xlfn.XLOOKUP($A90,'EA-ConnectorExport'!A:A,'EA-ConnectorExport'!J:J),
        $Y90
    ),
    _xlpm.result, _xlfn.XLOOKUP(_xlpm.lookupKey,'EA-Fortescue_SDExport'!A:A,'EA-Fortescue_SDExport'!AD:AD),
    IF(_xlpm.result=0,"",_xlpm.result)
)</f>
        <v>004OP Product Storage</v>
      </c>
      <c r="AD90" s="2" t="str">
        <f>_xlfn.LET(
    _xlpm.isObject, _xlfn.XLOOKUP($Y90,'EA-Fortescue_SDExport'!A:A,'EA-Fortescue_SDExport'!B:B),
    _xlpm.lookupKey, IF(_xlpm.isObject="Object",
        _xlfn.XLOOKUP($A90,'EA-ConnectorExport'!A:A,'EA-ConnectorExport'!J:J),
        $Y90
    ),
    _xlpm.result, _xlfn.XLOOKUP(_xlpm.lookupKey,'EA-Fortescue_SDExport'!A:A,'EA-Fortescue_SDExport'!AE:AE),
    IF(_xlpm.result=0,"",_xlpm.result)
)</f>
        <v>004OP-1302 Coarse Ore Stockpile (COS)</v>
      </c>
      <c r="AE90" s="2" t="str">
        <f>_xlfn.LET(
    _xlpm.isObject, _xlfn.XLOOKUP($Y90,'EA-Fortescue_SDExport'!A:A,'EA-Fortescue_SDExport'!B:B),
    _xlpm.lookupKey, IF(_xlpm.isObject="Object",
        _xlfn.XLOOKUP($A90,'EA-ConnectorExport'!A:A,'EA-ConnectorExport'!J:J),
        $Y90
    ),
    _xlpm.result, _xlfn.XLOOKUP(_xlpm.lookupKey,'EA-Fortescue_SDExport'!A:A,'EA-Fortescue_SDExport'!AF:AF),
    IF(_xlpm.result=0,"",_xlpm.result)
)</f>
        <v/>
      </c>
      <c r="AF90" s="2" t="str">
        <f>_xlfn.LET(
    _xlpm.isObject, _xlfn.XLOOKUP($Y90,'EA-Fortescue_SDExport'!A:A,'EA-Fortescue_SDExport'!B:B),
    _xlpm.lookupKey, IF(_xlpm.isObject="Object",
        _xlfn.XLOOKUP($A90,'EA-ConnectorExport'!A:A,'EA-ConnectorExport'!J:J),
        $Y90
    ),
    _xlpm.result, _xlfn.XLOOKUP(_xlpm.lookupKey,'EA-Fortescue_SDExport'!A:A,'EA-Fortescue_SDExport'!AG:AG),
    IF(_xlpm.result=0,"",_xlpm.result)
)</f>
        <v/>
      </c>
    </row>
    <row r="91" spans="1:32" ht="45" x14ac:dyDescent="0.25">
      <c r="A91" s="2" t="str">
        <v>DGS-I_0090</v>
      </c>
      <c r="B91" s="2" t="str">
        <f t="shared" si="4"/>
        <v>002OP-1800 CCTV|850DC-1523 Sub Kiosks</v>
      </c>
      <c r="C91" s="2" t="str">
        <f>_xlfn.LET(_xlpm.result, _xlfn.XLOOKUP(A91,'EA-Fortescue_SDExport'!A:A,'EA-Fortescue_SDExport'!AM:AM), IF(_xlpm.result=0,"",_xlpm.result))</f>
        <v/>
      </c>
      <c r="D91" s="2" t="str">
        <f>_xlfn.LET(_xlpm.result, _xlfn.XLOOKUP(A91,'EA-Fortescue_SDExport'!A:A,'EA-Fortescue_SDExport'!AN:AN), IF(_xlpm.result=0,"",_xlpm.result))</f>
        <v/>
      </c>
      <c r="E91" s="2" t="str">
        <f>_xlfn.XLOOKUP(R91&amp;Z91,Lookups!A:A,Lookups!B:B)</f>
        <v>System - System Interface</v>
      </c>
      <c r="F91" s="2" t="str">
        <f>_xlfn.LET(_xlpm.result, _xlfn.XLOOKUP(A91,'EA-Fortescue_SDExport'!A:A,'EA-Fortescue_SDExport'!AP:AP), IF(_xlpm.result=0,"",_xlpm.result))</f>
        <v/>
      </c>
      <c r="G91" s="2" t="str">
        <f>IF(OR(AND(T91&lt;&gt;"", COUNTIF(Lookups!J:J, "*"&amp;T91&amp;"*")&gt;0), AND(AB91&lt;&gt;"", COUNTIF(Lookups!J:J, "*"&amp;AB91&amp;"*")&gt;0)), "Yes", "No")</f>
        <v>No</v>
      </c>
      <c r="H91" s="2" t="str">
        <f t="shared" si="5"/>
        <v>002OP Non-Process Infrastructure (NPI)|850DC Decarb Infrastructure</v>
      </c>
      <c r="I91" s="2" t="str">
        <f t="shared" si="6"/>
        <v>002OP-1800 CCTV|850DC-1523 Sub Kiosks</v>
      </c>
      <c r="J91" s="2" t="str">
        <f t="shared" si="7"/>
        <v>N/A</v>
      </c>
      <c r="K91" s="2" t="str">
        <f>_xlfn.XLOOKUP(A91,'EA-Fortescue_SDExport'!A:A,'EA-Fortescue_SDExport'!N:N)</f>
        <v>Proposed</v>
      </c>
      <c r="L91" s="2" t="str">
        <f>_xlfn.LET(_xlpm.result, _xlfn.XLOOKUP($A91,'EA-Fortescue_SDExport'!$A:$A,'EA-Fortescue_SDExport'!AQ:AQ), IF(_xlpm.result=0,"",_xlpm.result))</f>
        <v/>
      </c>
      <c r="M91" s="2" t="str">
        <f>_xlfn.LET(_xlpm.result, _xlfn.XLOOKUP($A91,'EA-Fortescue_SDExport'!$A:$A,'EA-Fortescue_SDExport'!AR:AR), IF(_xlpm.result=0,"",_xlpm.result))</f>
        <v/>
      </c>
      <c r="N91" s="2" t="str">
        <f>_xlfn.LET(_xlpm.result, _xlfn.XLOOKUP($A91,'EA-Fortescue_SDExport'!$A:$A,'EA-Fortescue_SDExport'!AW:AW), IF(_xlpm.result=0,"",_xlpm.result))</f>
        <v/>
      </c>
      <c r="O91" s="2" t="str">
        <f>_xlfn.LET(_xlpm.result, _xlfn.XLOOKUP($A91,'EA-Fortescue_SDExport'!$A:$A,'EA-Fortescue_SDExport'!AV:AV), IF(_xlpm.result=0,"",_xlpm.result))</f>
        <v/>
      </c>
      <c r="P91" s="2" t="str">
        <f>_xlfn.LET(_xlpm.result, _xlfn.XLOOKUP($A91,'EA-Fortescue_SDExport'!$A:$A,'EA-Fortescue_SDExport'!D:D), IF(_xlpm.result=0,"",_xlpm.result))</f>
        <v/>
      </c>
      <c r="Q91" s="2" t="str">
        <f>_xlfn.LET(
    _xlpm.status, _xlfn.XLOOKUP($A91,'EA-ConnectorExport'!$A:$A,'EA-ConnectorExport'!G:G),
    _xlpm.result, _xlfn.XLOOKUP($A91,'EA-ConnectorExport'!$A:$A,'EA-ConnectorExport'!B:B),
    IF(_xlpm.status="allocate", _xlpm.result, "")
)</f>
        <v>002OP-1800 CCTV</v>
      </c>
      <c r="R91" s="2" t="str">
        <f>IF(
    _xlfn.XLOOKUP($Q91,'EA-Fortescue_SDExport'!A:A,'EA-Fortescue_SDExport'!B:B)="Object",
    _xlfn.XLOOKUP(
        _xlfn.XLOOKUP($A91,'EA-ConnectorExport'!A:A,'EA-ConnectorExport'!D:D),
        'EA-Fortescue_SDExport'!A:A,
        'EA-Fortescue_SDExport'!AA:AA
    ),
    _xlfn.XLOOKUP($Q91,'EA-Fortescue_SDExport'!A:A,'EA-Fortescue_SDExport'!AA:AA)
)</f>
        <v>System</v>
      </c>
      <c r="S91" s="2" t="str">
        <f>_xlfn.LET(_xlpm.result, _xlfn.XLOOKUP($Q91,'EA-Fortescue_SDExport'!$A:$A,'EA-Fortescue_SDExport'!AB:AB), IF(_xlpm.result=0,"",_xlpm.result))</f>
        <v/>
      </c>
      <c r="T91" s="2" t="str">
        <f>_xlfn.LET(_xlpm.result, _xlfn.XLOOKUP($Q91,'EA-Fortescue_SDExport'!$A:$A,'EA-Fortescue_SDExport'!AC:AC), IF(_xlpm.result=0,"",_xlpm.result))</f>
        <v>Generic Physical Asset</v>
      </c>
      <c r="U91" s="2" t="str">
        <f>_xlfn.LET(
    _xlpm.isObject, _xlfn.XLOOKUP($Q91,'EA-Fortescue_SDExport'!A:A,'EA-Fortescue_SDExport'!B:B),
    _xlpm.lookupKey, IF(_xlpm.isObject="Object",
        _xlfn.XLOOKUP($A91,'EA-ConnectorExport'!A:A,'EA-ConnectorExport'!D:D),
        $Q91
    ),
    _xlpm.result, _xlfn.XLOOKUP(_xlpm.lookupKey,'EA-Fortescue_SDExport'!A:A,'EA-Fortescue_SDExport'!AD:AD),
    IF(_xlpm.result=0,"",_xlpm.result)
)</f>
        <v>002OP Non-Process Infrastructure (NPI)</v>
      </c>
      <c r="V91" s="2" t="str">
        <f>_xlfn.LET(
    _xlpm.isObject, _xlfn.XLOOKUP($Q91,'EA-Fortescue_SDExport'!A:A,'EA-Fortescue_SDExport'!B:B),
    _xlpm.lookupKey, IF(_xlpm.isObject="Object",
        _xlfn.XLOOKUP($A91,'EA-ConnectorExport'!A:A,'EA-ConnectorExport'!D:D),
        $Q91
    ),
    _xlpm.result, _xlfn.XLOOKUP(_xlpm.lookupKey,'EA-Fortescue_SDExport'!A:A,'EA-Fortescue_SDExport'!AE:AE),
    IF(_xlpm.result=0,"",_xlpm.result)
)</f>
        <v>002OP-1800 CCTV</v>
      </c>
      <c r="W91" s="2" t="str">
        <f>_xlfn.LET(
    _xlpm.isObject, _xlfn.XLOOKUP($Q91,'EA-Fortescue_SDExport'!A:A,'EA-Fortescue_SDExport'!B:B),
    _xlpm.lookupKey, IF(_xlpm.isObject="Object",
        _xlfn.XLOOKUP($A91,'EA-ConnectorExport'!A:A,'EA-ConnectorExport'!D:D),
        $Q91
    ),
    _xlpm.result, _xlfn.XLOOKUP(_xlpm.lookupKey,'EA-Fortescue_SDExport'!A:A,'EA-Fortescue_SDExport'!AF:AF),
    IF(_xlpm.result=0,"",_xlpm.result)
)</f>
        <v/>
      </c>
      <c r="X91" s="2" t="str">
        <f>_xlfn.LET(
    _xlpm.isObject, _xlfn.XLOOKUP($Q91,'EA-Fortescue_SDExport'!A:A,'EA-Fortescue_SDExport'!B:B),
    _xlpm.lookupKey, IF(_xlpm.isObject="Object",
        _xlfn.XLOOKUP($A91,'EA-ConnectorExport'!A:A,'EA-ConnectorExport'!D:D),
        $Q91
    ),
    _xlpm.result, _xlfn.XLOOKUP(_xlpm.lookupKey,'EA-Fortescue_SDExport'!A:A,'EA-Fortescue_SDExport'!AG:AG),
    IF(_xlpm.result=0,"",_xlpm.result)
)</f>
        <v/>
      </c>
      <c r="Y91" s="2" t="str">
        <f>_xlfn.LET(
    _xlpm.status, _xlfn.XLOOKUP($A91,'EA-ConnectorExport'!$A:$A,'EA-ConnectorExport'!G:G),
    _xlpm.result, _xlfn.XLOOKUP($A91,'EA-ConnectorExport'!$A:$A,'EA-ConnectorExport'!H:H),
    IF(_xlpm.status="allocate", _xlpm.result, "")
)</f>
        <v>850DC-1523 Sub Kiosks</v>
      </c>
      <c r="Z91" s="2" t="str">
        <f>_xlfn.LET(
    _xlpm.isObject, _xlfn.XLOOKUP($Y91,'EA-Fortescue_SDExport'!A:A,'EA-Fortescue_SDExport'!B:B),
    _xlpm.lookupKey, IF(_xlpm.isObject="Object",
        _xlfn.XLOOKUP($A91,'EA-ConnectorExport'!A:A,'EA-ConnectorExport'!J:J),
        $Y91
    ),
    _xlpm.result, _xlfn.XLOOKUP(_xlpm.lookupKey,'EA-Fortescue_SDExport'!A:A,'EA-Fortescue_SDExport'!AA:AA),
    IF(_xlpm.result=0,"",_xlpm.result)
)</f>
        <v>System</v>
      </c>
      <c r="AA91" s="2" t="str">
        <f>_xlfn.LET(_xlpm.result, _xlfn.XLOOKUP($Y91,'EA-Fortescue_SDExport'!$A:$A,'EA-Fortescue_SDExport'!AB:AB), IF(_xlpm.result=0,"",_xlpm.result))</f>
        <v/>
      </c>
      <c r="AB91" s="2" t="str">
        <f>_xlfn.LET(_xlpm.result, _xlfn.XLOOKUP($Y91,'EA-Fortescue_SDExport'!$A:$A,'EA-Fortescue_SDExport'!AC:AC), IF(_xlpm.result=0,"",_xlpm.result))</f>
        <v>Generic Physical Asset</v>
      </c>
      <c r="AC91" s="2" t="str">
        <f>_xlfn.LET(
    _xlpm.isObject, _xlfn.XLOOKUP($Y91,'EA-Fortescue_SDExport'!A:A,'EA-Fortescue_SDExport'!B:B),
    _xlpm.lookupKey, IF(_xlpm.isObject="Object",
        _xlfn.XLOOKUP($A91,'EA-ConnectorExport'!A:A,'EA-ConnectorExport'!J:J),
        $Y91
    ),
    _xlpm.result, _xlfn.XLOOKUP(_xlpm.lookupKey,'EA-Fortescue_SDExport'!A:A,'EA-Fortescue_SDExport'!AD:AD),
    IF(_xlpm.result=0,"",_xlpm.result)
)</f>
        <v>850DC Decarb Infrastructure</v>
      </c>
      <c r="AD91" s="2" t="str">
        <f>_xlfn.LET(
    _xlpm.isObject, _xlfn.XLOOKUP($Y91,'EA-Fortescue_SDExport'!A:A,'EA-Fortescue_SDExport'!B:B),
    _xlpm.lookupKey, IF(_xlpm.isObject="Object",
        _xlfn.XLOOKUP($A91,'EA-ConnectorExport'!A:A,'EA-ConnectorExport'!J:J),
        $Y91
    ),
    _xlpm.result, _xlfn.XLOOKUP(_xlpm.lookupKey,'EA-Fortescue_SDExport'!A:A,'EA-Fortescue_SDExport'!AE:AE),
    IF(_xlpm.result=0,"",_xlpm.result)
)</f>
        <v>850DC-1523 Sub Kiosks</v>
      </c>
      <c r="AE91" s="2" t="str">
        <f>_xlfn.LET(
    _xlpm.isObject, _xlfn.XLOOKUP($Y91,'EA-Fortescue_SDExport'!A:A,'EA-Fortescue_SDExport'!B:B),
    _xlpm.lookupKey, IF(_xlpm.isObject="Object",
        _xlfn.XLOOKUP($A91,'EA-ConnectorExport'!A:A,'EA-ConnectorExport'!J:J),
        $Y91
    ),
    _xlpm.result, _xlfn.XLOOKUP(_xlpm.lookupKey,'EA-Fortescue_SDExport'!A:A,'EA-Fortescue_SDExport'!AF:AF),
    IF(_xlpm.result=0,"",_xlpm.result)
)</f>
        <v/>
      </c>
      <c r="AF91" s="2" t="str">
        <f>_xlfn.LET(
    _xlpm.isObject, _xlfn.XLOOKUP($Y91,'EA-Fortescue_SDExport'!A:A,'EA-Fortescue_SDExport'!B:B),
    _xlpm.lookupKey, IF(_xlpm.isObject="Object",
        _xlfn.XLOOKUP($A91,'EA-ConnectorExport'!A:A,'EA-ConnectorExport'!J:J),
        $Y91
    ),
    _xlpm.result, _xlfn.XLOOKUP(_xlpm.lookupKey,'EA-Fortescue_SDExport'!A:A,'EA-Fortescue_SDExport'!AG:AG),
    IF(_xlpm.result=0,"",_xlpm.result)
)</f>
        <v/>
      </c>
    </row>
    <row r="92" spans="1:32" ht="45" x14ac:dyDescent="0.25">
      <c r="A92" s="2" t="str">
        <v>DGS-I_0091</v>
      </c>
      <c r="B92" s="2" t="str">
        <f t="shared" si="4"/>
        <v>002OP-2000 Dewatering Pumps|850DC-1520 Trailing Cable</v>
      </c>
      <c r="C92" s="2" t="str">
        <f>_xlfn.LET(_xlpm.result, _xlfn.XLOOKUP(A92,'EA-Fortescue_SDExport'!A:A,'EA-Fortescue_SDExport'!AM:AM), IF(_xlpm.result=0,"",_xlpm.result))</f>
        <v/>
      </c>
      <c r="D92" s="2" t="str">
        <f>_xlfn.LET(_xlpm.result, _xlfn.XLOOKUP(A92,'EA-Fortescue_SDExport'!A:A,'EA-Fortescue_SDExport'!AN:AN), IF(_xlpm.result=0,"",_xlpm.result))</f>
        <v/>
      </c>
      <c r="E92" s="2" t="str">
        <f>_xlfn.XLOOKUP(R92&amp;Z92,Lookups!A:A,Lookups!B:B)</f>
        <v>System - System Interface</v>
      </c>
      <c r="F92" s="2" t="str">
        <f>_xlfn.LET(_xlpm.result, _xlfn.XLOOKUP(A92,'EA-Fortescue_SDExport'!A:A,'EA-Fortescue_SDExport'!AP:AP), IF(_xlpm.result=0,"",_xlpm.result))</f>
        <v/>
      </c>
      <c r="G92" s="2" t="str">
        <f>IF(OR(AND(T92&lt;&gt;"", COUNTIF(Lookups!J:J, "*"&amp;T92&amp;"*")&gt;0), AND(AB92&lt;&gt;"", COUNTIF(Lookups!J:J, "*"&amp;AB92&amp;"*")&gt;0)), "Yes", "No")</f>
        <v>No</v>
      </c>
      <c r="H92" s="2" t="str">
        <f t="shared" si="5"/>
        <v>002OP Non-Process Infrastructure (NPI)|850DC Decarb Infrastructure</v>
      </c>
      <c r="I92" s="2" t="str">
        <f t="shared" si="6"/>
        <v>002OP-2000 Dewatering Pumps|850DC-1520 Trailing Cable</v>
      </c>
      <c r="J92" s="2" t="str">
        <f t="shared" si="7"/>
        <v>N/A</v>
      </c>
      <c r="K92" s="2" t="str">
        <f>_xlfn.XLOOKUP(A92,'EA-Fortescue_SDExport'!A:A,'EA-Fortescue_SDExport'!N:N)</f>
        <v>Proposed</v>
      </c>
      <c r="L92" s="2" t="str">
        <f>_xlfn.LET(_xlpm.result, _xlfn.XLOOKUP($A92,'EA-Fortescue_SDExport'!$A:$A,'EA-Fortescue_SDExport'!AQ:AQ), IF(_xlpm.result=0,"",_xlpm.result))</f>
        <v/>
      </c>
      <c r="M92" s="2" t="str">
        <f>_xlfn.LET(_xlpm.result, _xlfn.XLOOKUP($A92,'EA-Fortescue_SDExport'!$A:$A,'EA-Fortescue_SDExport'!AR:AR), IF(_xlpm.result=0,"",_xlpm.result))</f>
        <v/>
      </c>
      <c r="N92" s="2" t="str">
        <f>_xlfn.LET(_xlpm.result, _xlfn.XLOOKUP($A92,'EA-Fortescue_SDExport'!$A:$A,'EA-Fortescue_SDExport'!AW:AW), IF(_xlpm.result=0,"",_xlpm.result))</f>
        <v/>
      </c>
      <c r="O92" s="2" t="str">
        <f>_xlfn.LET(_xlpm.result, _xlfn.XLOOKUP($A92,'EA-Fortescue_SDExport'!$A:$A,'EA-Fortescue_SDExport'!AV:AV), IF(_xlpm.result=0,"",_xlpm.result))</f>
        <v/>
      </c>
      <c r="P92" s="2" t="str">
        <f>_xlfn.LET(_xlpm.result, _xlfn.XLOOKUP($A92,'EA-Fortescue_SDExport'!$A:$A,'EA-Fortescue_SDExport'!D:D), IF(_xlpm.result=0,"",_xlpm.result))</f>
        <v/>
      </c>
      <c r="Q92" s="2" t="str">
        <f>_xlfn.LET(
    _xlpm.status, _xlfn.XLOOKUP($A92,'EA-ConnectorExport'!$A:$A,'EA-ConnectorExport'!G:G),
    _xlpm.result, _xlfn.XLOOKUP($A92,'EA-ConnectorExport'!$A:$A,'EA-ConnectorExport'!B:B),
    IF(_xlpm.status="allocate", _xlpm.result, "")
)</f>
        <v>002OP-2000 Dewatering Pumps</v>
      </c>
      <c r="R92" s="2" t="str">
        <f>IF(
    _xlfn.XLOOKUP($Q92,'EA-Fortescue_SDExport'!A:A,'EA-Fortescue_SDExport'!B:B)="Object",
    _xlfn.XLOOKUP(
        _xlfn.XLOOKUP($A92,'EA-ConnectorExport'!A:A,'EA-ConnectorExport'!D:D),
        'EA-Fortescue_SDExport'!A:A,
        'EA-Fortescue_SDExport'!AA:AA
    ),
    _xlfn.XLOOKUP($Q92,'EA-Fortescue_SDExport'!A:A,'EA-Fortescue_SDExport'!AA:AA)
)</f>
        <v>System</v>
      </c>
      <c r="S92" s="2" t="str">
        <f>_xlfn.LET(_xlpm.result, _xlfn.XLOOKUP($Q92,'EA-Fortescue_SDExport'!$A:$A,'EA-Fortescue_SDExport'!AB:AB), IF(_xlpm.result=0,"",_xlpm.result))</f>
        <v/>
      </c>
      <c r="T92" s="2" t="str">
        <f>_xlfn.LET(_xlpm.result, _xlfn.XLOOKUP($Q92,'EA-Fortescue_SDExport'!$A:$A,'EA-Fortescue_SDExport'!AC:AC), IF(_xlpm.result=0,"",_xlpm.result))</f>
        <v>Generic Physical Asset</v>
      </c>
      <c r="U92" s="2" t="str">
        <f>_xlfn.LET(
    _xlpm.isObject, _xlfn.XLOOKUP($Q92,'EA-Fortescue_SDExport'!A:A,'EA-Fortescue_SDExport'!B:B),
    _xlpm.lookupKey, IF(_xlpm.isObject="Object",
        _xlfn.XLOOKUP($A92,'EA-ConnectorExport'!A:A,'EA-ConnectorExport'!D:D),
        $Q92
    ),
    _xlpm.result, _xlfn.XLOOKUP(_xlpm.lookupKey,'EA-Fortescue_SDExport'!A:A,'EA-Fortescue_SDExport'!AD:AD),
    IF(_xlpm.result=0,"",_xlpm.result)
)</f>
        <v>002OP Non-Process Infrastructure (NPI)</v>
      </c>
      <c r="V92" s="2" t="str">
        <f>_xlfn.LET(
    _xlpm.isObject, _xlfn.XLOOKUP($Q92,'EA-Fortescue_SDExport'!A:A,'EA-Fortescue_SDExport'!B:B),
    _xlpm.lookupKey, IF(_xlpm.isObject="Object",
        _xlfn.XLOOKUP($A92,'EA-ConnectorExport'!A:A,'EA-ConnectorExport'!D:D),
        $Q92
    ),
    _xlpm.result, _xlfn.XLOOKUP(_xlpm.lookupKey,'EA-Fortescue_SDExport'!A:A,'EA-Fortescue_SDExport'!AE:AE),
    IF(_xlpm.result=0,"",_xlpm.result)
)</f>
        <v>002OP-2000 Dewatering Pumps</v>
      </c>
      <c r="W92" s="2" t="str">
        <f>_xlfn.LET(
    _xlpm.isObject, _xlfn.XLOOKUP($Q92,'EA-Fortescue_SDExport'!A:A,'EA-Fortescue_SDExport'!B:B),
    _xlpm.lookupKey, IF(_xlpm.isObject="Object",
        _xlfn.XLOOKUP($A92,'EA-ConnectorExport'!A:A,'EA-ConnectorExport'!D:D),
        $Q92
    ),
    _xlpm.result, _xlfn.XLOOKUP(_xlpm.lookupKey,'EA-Fortescue_SDExport'!A:A,'EA-Fortescue_SDExport'!AF:AF),
    IF(_xlpm.result=0,"",_xlpm.result)
)</f>
        <v/>
      </c>
      <c r="X92" s="2" t="str">
        <f>_xlfn.LET(
    _xlpm.isObject, _xlfn.XLOOKUP($Q92,'EA-Fortescue_SDExport'!A:A,'EA-Fortescue_SDExport'!B:B),
    _xlpm.lookupKey, IF(_xlpm.isObject="Object",
        _xlfn.XLOOKUP($A92,'EA-ConnectorExport'!A:A,'EA-ConnectorExport'!D:D),
        $Q92
    ),
    _xlpm.result, _xlfn.XLOOKUP(_xlpm.lookupKey,'EA-Fortescue_SDExport'!A:A,'EA-Fortescue_SDExport'!AG:AG),
    IF(_xlpm.result=0,"",_xlpm.result)
)</f>
        <v/>
      </c>
      <c r="Y92" s="2" t="str">
        <f>_xlfn.LET(
    _xlpm.status, _xlfn.XLOOKUP($A92,'EA-ConnectorExport'!$A:$A,'EA-ConnectorExport'!G:G),
    _xlpm.result, _xlfn.XLOOKUP($A92,'EA-ConnectorExport'!$A:$A,'EA-ConnectorExport'!H:H),
    IF(_xlpm.status="allocate", _xlpm.result, "")
)</f>
        <v>850DC-1520 Trailing Cable</v>
      </c>
      <c r="Z92" s="2" t="str">
        <f>_xlfn.LET(
    _xlpm.isObject, _xlfn.XLOOKUP($Y92,'EA-Fortescue_SDExport'!A:A,'EA-Fortescue_SDExport'!B:B),
    _xlpm.lookupKey, IF(_xlpm.isObject="Object",
        _xlfn.XLOOKUP($A92,'EA-ConnectorExport'!A:A,'EA-ConnectorExport'!J:J),
        $Y92
    ),
    _xlpm.result, _xlfn.XLOOKUP(_xlpm.lookupKey,'EA-Fortescue_SDExport'!A:A,'EA-Fortescue_SDExport'!AA:AA),
    IF(_xlpm.result=0,"",_xlpm.result)
)</f>
        <v>System</v>
      </c>
      <c r="AA92" s="2" t="str">
        <f>_xlfn.LET(_xlpm.result, _xlfn.XLOOKUP($Y92,'EA-Fortescue_SDExport'!$A:$A,'EA-Fortescue_SDExport'!AB:AB), IF(_xlpm.result=0,"",_xlpm.result))</f>
        <v/>
      </c>
      <c r="AB92" s="2" t="str">
        <f>_xlfn.LET(_xlpm.result, _xlfn.XLOOKUP($Y92,'EA-Fortescue_SDExport'!$A:$A,'EA-Fortescue_SDExport'!AC:AC), IF(_xlpm.result=0,"",_xlpm.result))</f>
        <v>Generic Physical Asset</v>
      </c>
      <c r="AC92" s="2" t="str">
        <f>_xlfn.LET(
    _xlpm.isObject, _xlfn.XLOOKUP($Y92,'EA-Fortescue_SDExport'!A:A,'EA-Fortescue_SDExport'!B:B),
    _xlpm.lookupKey, IF(_xlpm.isObject="Object",
        _xlfn.XLOOKUP($A92,'EA-ConnectorExport'!A:A,'EA-ConnectorExport'!J:J),
        $Y92
    ),
    _xlpm.result, _xlfn.XLOOKUP(_xlpm.lookupKey,'EA-Fortescue_SDExport'!A:A,'EA-Fortescue_SDExport'!AD:AD),
    IF(_xlpm.result=0,"",_xlpm.result)
)</f>
        <v>850DC Decarb Infrastructure</v>
      </c>
      <c r="AD92" s="2" t="str">
        <f>_xlfn.LET(
    _xlpm.isObject, _xlfn.XLOOKUP($Y92,'EA-Fortescue_SDExport'!A:A,'EA-Fortescue_SDExport'!B:B),
    _xlpm.lookupKey, IF(_xlpm.isObject="Object",
        _xlfn.XLOOKUP($A92,'EA-ConnectorExport'!A:A,'EA-ConnectorExport'!J:J),
        $Y92
    ),
    _xlpm.result, _xlfn.XLOOKUP(_xlpm.lookupKey,'EA-Fortescue_SDExport'!A:A,'EA-Fortescue_SDExport'!AE:AE),
    IF(_xlpm.result=0,"",_xlpm.result)
)</f>
        <v>850DC-1520 Trailing Cable</v>
      </c>
      <c r="AE92" s="2" t="str">
        <f>_xlfn.LET(
    _xlpm.isObject, _xlfn.XLOOKUP($Y92,'EA-Fortescue_SDExport'!A:A,'EA-Fortescue_SDExport'!B:B),
    _xlpm.lookupKey, IF(_xlpm.isObject="Object",
        _xlfn.XLOOKUP($A92,'EA-ConnectorExport'!A:A,'EA-ConnectorExport'!J:J),
        $Y92
    ),
    _xlpm.result, _xlfn.XLOOKUP(_xlpm.lookupKey,'EA-Fortescue_SDExport'!A:A,'EA-Fortescue_SDExport'!AF:AF),
    IF(_xlpm.result=0,"",_xlpm.result)
)</f>
        <v/>
      </c>
      <c r="AF92" s="2" t="str">
        <f>_xlfn.LET(
    _xlpm.isObject, _xlfn.XLOOKUP($Y92,'EA-Fortescue_SDExport'!A:A,'EA-Fortescue_SDExport'!B:B),
    _xlpm.lookupKey, IF(_xlpm.isObject="Object",
        _xlfn.XLOOKUP($A92,'EA-ConnectorExport'!A:A,'EA-ConnectorExport'!J:J),
        $Y92
    ),
    _xlpm.result, _xlfn.XLOOKUP(_xlpm.lookupKey,'EA-Fortescue_SDExport'!A:A,'EA-Fortescue_SDExport'!AG:AG),
    IF(_xlpm.result=0,"",_xlpm.result)
)</f>
        <v/>
      </c>
    </row>
    <row r="93" spans="1:32" ht="60" x14ac:dyDescent="0.25">
      <c r="A93" s="2" t="str">
        <v>DGS-I_0092</v>
      </c>
      <c r="B93" s="2" t="str">
        <f t="shared" si="4"/>
        <v>004OP-1302 Coarse Ore Stockpile (COS)|001OP-2003 Concentrate Handling Facility (CHF)</v>
      </c>
      <c r="C93" s="2" t="str">
        <f>_xlfn.LET(_xlpm.result, _xlfn.XLOOKUP(A93,'EA-Fortescue_SDExport'!A:A,'EA-Fortescue_SDExport'!AM:AM), IF(_xlpm.result=0,"",_xlpm.result))</f>
        <v/>
      </c>
      <c r="D93" s="2" t="str">
        <f>_xlfn.LET(_xlpm.result, _xlfn.XLOOKUP(A93,'EA-Fortescue_SDExport'!A:A,'EA-Fortescue_SDExport'!AN:AN), IF(_xlpm.result=0,"",_xlpm.result))</f>
        <v/>
      </c>
      <c r="E93" s="2" t="str">
        <f>_xlfn.XLOOKUP(R93&amp;Z93,Lookups!A:A,Lookups!B:B)</f>
        <v>System - System Interface</v>
      </c>
      <c r="F93" s="2" t="str">
        <f>_xlfn.LET(_xlpm.result, _xlfn.XLOOKUP(A93,'EA-Fortescue_SDExport'!A:A,'EA-Fortescue_SDExport'!AP:AP), IF(_xlpm.result=0,"",_xlpm.result))</f>
        <v/>
      </c>
      <c r="G93" s="2" t="str">
        <f>IF(OR(AND(T93&lt;&gt;"", COUNTIF(Lookups!J:J, "*"&amp;T93&amp;"*")&gt;0), AND(AB93&lt;&gt;"", COUNTIF(Lookups!J:J, "*"&amp;AB93&amp;"*")&gt;0)), "Yes", "No")</f>
        <v>No</v>
      </c>
      <c r="H93" s="2" t="str">
        <f t="shared" si="5"/>
        <v>004OP Product Storage|001OP Fixed Process Plant</v>
      </c>
      <c r="I93" s="2" t="str">
        <f t="shared" si="6"/>
        <v>004OP-1302 Coarse Ore Stockpile (COS)|001OP-2003 Concentrate Handling Facility (CHF)</v>
      </c>
      <c r="J93" s="2" t="str">
        <f t="shared" si="7"/>
        <v>N/A</v>
      </c>
      <c r="K93" s="2" t="str">
        <f>_xlfn.XLOOKUP(A93,'EA-Fortescue_SDExport'!A:A,'EA-Fortescue_SDExport'!N:N)</f>
        <v>Proposed</v>
      </c>
      <c r="L93" s="2" t="str">
        <f>_xlfn.LET(_xlpm.result, _xlfn.XLOOKUP($A93,'EA-Fortescue_SDExport'!$A:$A,'EA-Fortescue_SDExport'!AQ:AQ), IF(_xlpm.result=0,"",_xlpm.result))</f>
        <v/>
      </c>
      <c r="M93" s="2" t="str">
        <f>_xlfn.LET(_xlpm.result, _xlfn.XLOOKUP($A93,'EA-Fortescue_SDExport'!$A:$A,'EA-Fortescue_SDExport'!AR:AR), IF(_xlpm.result=0,"",_xlpm.result))</f>
        <v/>
      </c>
      <c r="N93" s="2" t="str">
        <f>_xlfn.LET(_xlpm.result, _xlfn.XLOOKUP($A93,'EA-Fortescue_SDExport'!$A:$A,'EA-Fortescue_SDExport'!AW:AW), IF(_xlpm.result=0,"",_xlpm.result))</f>
        <v/>
      </c>
      <c r="O93" s="2" t="str">
        <f>_xlfn.LET(_xlpm.result, _xlfn.XLOOKUP($A93,'EA-Fortescue_SDExport'!$A:$A,'EA-Fortescue_SDExport'!AV:AV), IF(_xlpm.result=0,"",_xlpm.result))</f>
        <v/>
      </c>
      <c r="P93" s="2" t="str">
        <f>_xlfn.LET(_xlpm.result, _xlfn.XLOOKUP($A93,'EA-Fortescue_SDExport'!$A:$A,'EA-Fortescue_SDExport'!D:D), IF(_xlpm.result=0,"",_xlpm.result))</f>
        <v/>
      </c>
      <c r="Q93" s="2" t="str">
        <f>_xlfn.LET(
    _xlpm.status, _xlfn.XLOOKUP($A93,'EA-ConnectorExport'!$A:$A,'EA-ConnectorExport'!G:G),
    _xlpm.result, _xlfn.XLOOKUP($A93,'EA-ConnectorExport'!$A:$A,'EA-ConnectorExport'!B:B),
    IF(_xlpm.status="allocate", _xlpm.result, "")
)</f>
        <v>004OP-1302 Coarse Ore Stockpile (COS)</v>
      </c>
      <c r="R93" s="2" t="str">
        <f>IF(
    _xlfn.XLOOKUP($Q93,'EA-Fortescue_SDExport'!A:A,'EA-Fortescue_SDExport'!B:B)="Object",
    _xlfn.XLOOKUP(
        _xlfn.XLOOKUP($A93,'EA-ConnectorExport'!A:A,'EA-ConnectorExport'!D:D),
        'EA-Fortescue_SDExport'!A:A,
        'EA-Fortescue_SDExport'!AA:AA
    ),
    _xlfn.XLOOKUP($Q93,'EA-Fortescue_SDExport'!A:A,'EA-Fortescue_SDExport'!AA:AA)
)</f>
        <v>System</v>
      </c>
      <c r="S93" s="2" t="str">
        <f>_xlfn.LET(_xlpm.result, _xlfn.XLOOKUP($Q93,'EA-Fortescue_SDExport'!$A:$A,'EA-Fortescue_SDExport'!AB:AB), IF(_xlpm.result=0,"",_xlpm.result))</f>
        <v/>
      </c>
      <c r="T93" s="2" t="str">
        <f>_xlfn.LET(_xlpm.result, _xlfn.XLOOKUP($Q93,'EA-Fortescue_SDExport'!$A:$A,'EA-Fortescue_SDExport'!AC:AC), IF(_xlpm.result=0,"",_xlpm.result))</f>
        <v>Generic Physical Asset</v>
      </c>
      <c r="U93" s="2" t="str">
        <f>_xlfn.LET(
    _xlpm.isObject, _xlfn.XLOOKUP($Q93,'EA-Fortescue_SDExport'!A:A,'EA-Fortescue_SDExport'!B:B),
    _xlpm.lookupKey, IF(_xlpm.isObject="Object",
        _xlfn.XLOOKUP($A93,'EA-ConnectorExport'!A:A,'EA-ConnectorExport'!D:D),
        $Q93
    ),
    _xlpm.result, _xlfn.XLOOKUP(_xlpm.lookupKey,'EA-Fortescue_SDExport'!A:A,'EA-Fortescue_SDExport'!AD:AD),
    IF(_xlpm.result=0,"",_xlpm.result)
)</f>
        <v>004OP Product Storage</v>
      </c>
      <c r="V93" s="2" t="str">
        <f>_xlfn.LET(
    _xlpm.isObject, _xlfn.XLOOKUP($Q93,'EA-Fortescue_SDExport'!A:A,'EA-Fortescue_SDExport'!B:B),
    _xlpm.lookupKey, IF(_xlpm.isObject="Object",
        _xlfn.XLOOKUP($A93,'EA-ConnectorExport'!A:A,'EA-ConnectorExport'!D:D),
        $Q93
    ),
    _xlpm.result, _xlfn.XLOOKUP(_xlpm.lookupKey,'EA-Fortescue_SDExport'!A:A,'EA-Fortescue_SDExport'!AE:AE),
    IF(_xlpm.result=0,"",_xlpm.result)
)</f>
        <v>004OP-1302 Coarse Ore Stockpile (COS)</v>
      </c>
      <c r="W93" s="2" t="str">
        <f>_xlfn.LET(
    _xlpm.isObject, _xlfn.XLOOKUP($Q93,'EA-Fortescue_SDExport'!A:A,'EA-Fortescue_SDExport'!B:B),
    _xlpm.lookupKey, IF(_xlpm.isObject="Object",
        _xlfn.XLOOKUP($A93,'EA-ConnectorExport'!A:A,'EA-ConnectorExport'!D:D),
        $Q93
    ),
    _xlpm.result, _xlfn.XLOOKUP(_xlpm.lookupKey,'EA-Fortescue_SDExport'!A:A,'EA-Fortescue_SDExport'!AF:AF),
    IF(_xlpm.result=0,"",_xlpm.result)
)</f>
        <v/>
      </c>
      <c r="X93" s="2" t="str">
        <f>_xlfn.LET(
    _xlpm.isObject, _xlfn.XLOOKUP($Q93,'EA-Fortescue_SDExport'!A:A,'EA-Fortescue_SDExport'!B:B),
    _xlpm.lookupKey, IF(_xlpm.isObject="Object",
        _xlfn.XLOOKUP($A93,'EA-ConnectorExport'!A:A,'EA-ConnectorExport'!D:D),
        $Q93
    ),
    _xlpm.result, _xlfn.XLOOKUP(_xlpm.lookupKey,'EA-Fortescue_SDExport'!A:A,'EA-Fortescue_SDExport'!AG:AG),
    IF(_xlpm.result=0,"",_xlpm.result)
)</f>
        <v/>
      </c>
      <c r="Y93" s="2" t="str">
        <f>_xlfn.LET(
    _xlpm.status, _xlfn.XLOOKUP($A93,'EA-ConnectorExport'!$A:$A,'EA-ConnectorExport'!G:G),
    _xlpm.result, _xlfn.XLOOKUP($A93,'EA-ConnectorExport'!$A:$A,'EA-ConnectorExport'!H:H),
    IF(_xlpm.status="allocate", _xlpm.result, "")
)</f>
        <v>001OP-2003 Concentrate Handling Facility (CHF)</v>
      </c>
      <c r="Z93" s="2" t="str">
        <f>_xlfn.LET(
    _xlpm.isObject, _xlfn.XLOOKUP($Y93,'EA-Fortescue_SDExport'!A:A,'EA-Fortescue_SDExport'!B:B),
    _xlpm.lookupKey, IF(_xlpm.isObject="Object",
        _xlfn.XLOOKUP($A93,'EA-ConnectorExport'!A:A,'EA-ConnectorExport'!J:J),
        $Y93
    ),
    _xlpm.result, _xlfn.XLOOKUP(_xlpm.lookupKey,'EA-Fortescue_SDExport'!A:A,'EA-Fortescue_SDExport'!AA:AA),
    IF(_xlpm.result=0,"",_xlpm.result)
)</f>
        <v>System</v>
      </c>
      <c r="AA93" s="2" t="str">
        <f>_xlfn.LET(_xlpm.result, _xlfn.XLOOKUP($Y93,'EA-Fortescue_SDExport'!$A:$A,'EA-Fortescue_SDExport'!AB:AB), IF(_xlpm.result=0,"",_xlpm.result))</f>
        <v/>
      </c>
      <c r="AB93" s="2" t="str">
        <f>_xlfn.LET(_xlpm.result, _xlfn.XLOOKUP($Y93,'EA-Fortescue_SDExport'!$A:$A,'EA-Fortescue_SDExport'!AC:AC), IF(_xlpm.result=0,"",_xlpm.result))</f>
        <v>Generic Physical Asset</v>
      </c>
      <c r="AC93" s="2" t="str">
        <f>_xlfn.LET(
    _xlpm.isObject, _xlfn.XLOOKUP($Y93,'EA-Fortescue_SDExport'!A:A,'EA-Fortescue_SDExport'!B:B),
    _xlpm.lookupKey, IF(_xlpm.isObject="Object",
        _xlfn.XLOOKUP($A93,'EA-ConnectorExport'!A:A,'EA-ConnectorExport'!J:J),
        $Y93
    ),
    _xlpm.result, _xlfn.XLOOKUP(_xlpm.lookupKey,'EA-Fortescue_SDExport'!A:A,'EA-Fortescue_SDExport'!AD:AD),
    IF(_xlpm.result=0,"",_xlpm.result)
)</f>
        <v>001OP Fixed Process Plant</v>
      </c>
      <c r="AD93" s="2" t="str">
        <f>_xlfn.LET(
    _xlpm.isObject, _xlfn.XLOOKUP($Y93,'EA-Fortescue_SDExport'!A:A,'EA-Fortescue_SDExport'!B:B),
    _xlpm.lookupKey, IF(_xlpm.isObject="Object",
        _xlfn.XLOOKUP($A93,'EA-ConnectorExport'!A:A,'EA-ConnectorExport'!J:J),
        $Y93
    ),
    _xlpm.result, _xlfn.XLOOKUP(_xlpm.lookupKey,'EA-Fortescue_SDExport'!A:A,'EA-Fortescue_SDExport'!AE:AE),
    IF(_xlpm.result=0,"",_xlpm.result)
)</f>
        <v>001OP-2003 Concentrate Handling Facility (CHF)</v>
      </c>
      <c r="AE93" s="2" t="str">
        <f>_xlfn.LET(
    _xlpm.isObject, _xlfn.XLOOKUP($Y93,'EA-Fortescue_SDExport'!A:A,'EA-Fortescue_SDExport'!B:B),
    _xlpm.lookupKey, IF(_xlpm.isObject="Object",
        _xlfn.XLOOKUP($A93,'EA-ConnectorExport'!A:A,'EA-ConnectorExport'!J:J),
        $Y93
    ),
    _xlpm.result, _xlfn.XLOOKUP(_xlpm.lookupKey,'EA-Fortescue_SDExport'!A:A,'EA-Fortescue_SDExport'!AF:AF),
    IF(_xlpm.result=0,"",_xlpm.result)
)</f>
        <v/>
      </c>
      <c r="AF93" s="2" t="str">
        <f>_xlfn.LET(
    _xlpm.isObject, _xlfn.XLOOKUP($Y93,'EA-Fortescue_SDExport'!A:A,'EA-Fortescue_SDExport'!B:B),
    _xlpm.lookupKey, IF(_xlpm.isObject="Object",
        _xlfn.XLOOKUP($A93,'EA-ConnectorExport'!A:A,'EA-ConnectorExport'!J:J),
        $Y93
    ),
    _xlpm.result, _xlfn.XLOOKUP(_xlpm.lookupKey,'EA-Fortescue_SDExport'!A:A,'EA-Fortescue_SDExport'!AG:AG),
    IF(_xlpm.result=0,"",_xlpm.result)
)</f>
        <v/>
      </c>
    </row>
    <row r="94" spans="1:32" ht="45" x14ac:dyDescent="0.25">
      <c r="A94" s="2" t="str">
        <v>DGS-I_0093</v>
      </c>
      <c r="B94" s="2" t="str">
        <f t="shared" si="4"/>
        <v>001OP-2001 Ore Processing Facility (OPF)|004OP-1303 Train Loadout (TLO) Ore Stockpile</v>
      </c>
      <c r="C94" s="2" t="str">
        <f>_xlfn.LET(_xlpm.result, _xlfn.XLOOKUP(A94,'EA-Fortescue_SDExport'!A:A,'EA-Fortescue_SDExport'!AM:AM), IF(_xlpm.result=0,"",_xlpm.result))</f>
        <v/>
      </c>
      <c r="D94" s="2" t="str">
        <f>_xlfn.LET(_xlpm.result, _xlfn.XLOOKUP(A94,'EA-Fortescue_SDExport'!A:A,'EA-Fortescue_SDExport'!AN:AN), IF(_xlpm.result=0,"",_xlpm.result))</f>
        <v/>
      </c>
      <c r="E94" s="2" t="str">
        <f>_xlfn.XLOOKUP(R94&amp;Z94,Lookups!A:A,Lookups!B:B)</f>
        <v>System - System Interface</v>
      </c>
      <c r="F94" s="2" t="str">
        <f>_xlfn.LET(_xlpm.result, _xlfn.XLOOKUP(A94,'EA-Fortescue_SDExport'!A:A,'EA-Fortescue_SDExport'!AP:AP), IF(_xlpm.result=0,"",_xlpm.result))</f>
        <v/>
      </c>
      <c r="G94" s="2" t="str">
        <f>IF(OR(AND(T94&lt;&gt;"", COUNTIF(Lookups!J:J, "*"&amp;T94&amp;"*")&gt;0), AND(AB94&lt;&gt;"", COUNTIF(Lookups!J:J, "*"&amp;AB94&amp;"*")&gt;0)), "Yes", "No")</f>
        <v>No</v>
      </c>
      <c r="H94" s="2" t="str">
        <f t="shared" si="5"/>
        <v>001OP Fixed Process Plant|004OP Product Storage</v>
      </c>
      <c r="I94" s="2" t="str">
        <f t="shared" si="6"/>
        <v>001OP-2001 Ore Processing Facility (OPF)|004OP-1303 Train Loadout (TLO) Ore Stockpile</v>
      </c>
      <c r="J94" s="2" t="str">
        <f t="shared" si="7"/>
        <v>N/A</v>
      </c>
      <c r="K94" s="2" t="str">
        <f>_xlfn.XLOOKUP(A94,'EA-Fortescue_SDExport'!A:A,'EA-Fortescue_SDExport'!N:N)</f>
        <v>Proposed</v>
      </c>
      <c r="L94" s="2" t="str">
        <f>_xlfn.LET(_xlpm.result, _xlfn.XLOOKUP($A94,'EA-Fortescue_SDExport'!$A:$A,'EA-Fortescue_SDExport'!AQ:AQ), IF(_xlpm.result=0,"",_xlpm.result))</f>
        <v/>
      </c>
      <c r="M94" s="2" t="str">
        <f>_xlfn.LET(_xlpm.result, _xlfn.XLOOKUP($A94,'EA-Fortescue_SDExport'!$A:$A,'EA-Fortescue_SDExport'!AR:AR), IF(_xlpm.result=0,"",_xlpm.result))</f>
        <v/>
      </c>
      <c r="N94" s="2" t="str">
        <f>_xlfn.LET(_xlpm.result, _xlfn.XLOOKUP($A94,'EA-Fortescue_SDExport'!$A:$A,'EA-Fortescue_SDExport'!AW:AW), IF(_xlpm.result=0,"",_xlpm.result))</f>
        <v/>
      </c>
      <c r="O94" s="2" t="str">
        <f>_xlfn.LET(_xlpm.result, _xlfn.XLOOKUP($A94,'EA-Fortescue_SDExport'!$A:$A,'EA-Fortescue_SDExport'!AV:AV), IF(_xlpm.result=0,"",_xlpm.result))</f>
        <v/>
      </c>
      <c r="P94" s="2" t="str">
        <f>_xlfn.LET(_xlpm.result, _xlfn.XLOOKUP($A94,'EA-Fortescue_SDExport'!$A:$A,'EA-Fortescue_SDExport'!D:D), IF(_xlpm.result=0,"",_xlpm.result))</f>
        <v/>
      </c>
      <c r="Q94" s="2" t="str">
        <f>_xlfn.LET(
    _xlpm.status, _xlfn.XLOOKUP($A94,'EA-ConnectorExport'!$A:$A,'EA-ConnectorExport'!G:G),
    _xlpm.result, _xlfn.XLOOKUP($A94,'EA-ConnectorExport'!$A:$A,'EA-ConnectorExport'!B:B),
    IF(_xlpm.status="allocate", _xlpm.result, "")
)</f>
        <v>001OP-2001 Ore Processing Facility (OPF)</v>
      </c>
      <c r="R94" s="2" t="str">
        <f>IF(
    _xlfn.XLOOKUP($Q94,'EA-Fortescue_SDExport'!A:A,'EA-Fortescue_SDExport'!B:B)="Object",
    _xlfn.XLOOKUP(
        _xlfn.XLOOKUP($A94,'EA-ConnectorExport'!A:A,'EA-ConnectorExport'!D:D),
        'EA-Fortescue_SDExport'!A:A,
        'EA-Fortescue_SDExport'!AA:AA
    ),
    _xlfn.XLOOKUP($Q94,'EA-Fortescue_SDExport'!A:A,'EA-Fortescue_SDExport'!AA:AA)
)</f>
        <v>System</v>
      </c>
      <c r="S94" s="2" t="str">
        <f>_xlfn.LET(_xlpm.result, _xlfn.XLOOKUP($Q94,'EA-Fortescue_SDExport'!$A:$A,'EA-Fortescue_SDExport'!AB:AB), IF(_xlpm.result=0,"",_xlpm.result))</f>
        <v/>
      </c>
      <c r="T94" s="2" t="str">
        <f>_xlfn.LET(_xlpm.result, _xlfn.XLOOKUP($Q94,'EA-Fortescue_SDExport'!$A:$A,'EA-Fortescue_SDExport'!AC:AC), IF(_xlpm.result=0,"",_xlpm.result))</f>
        <v>Generic Physical Asset</v>
      </c>
      <c r="U94" s="2" t="str">
        <f>_xlfn.LET(
    _xlpm.isObject, _xlfn.XLOOKUP($Q94,'EA-Fortescue_SDExport'!A:A,'EA-Fortescue_SDExport'!B:B),
    _xlpm.lookupKey, IF(_xlpm.isObject="Object",
        _xlfn.XLOOKUP($A94,'EA-ConnectorExport'!A:A,'EA-ConnectorExport'!D:D),
        $Q94
    ),
    _xlpm.result, _xlfn.XLOOKUP(_xlpm.lookupKey,'EA-Fortescue_SDExport'!A:A,'EA-Fortescue_SDExport'!AD:AD),
    IF(_xlpm.result=0,"",_xlpm.result)
)</f>
        <v>001OP Fixed Process Plant</v>
      </c>
      <c r="V94" s="2" t="str">
        <f>_xlfn.LET(
    _xlpm.isObject, _xlfn.XLOOKUP($Q94,'EA-Fortescue_SDExport'!A:A,'EA-Fortescue_SDExport'!B:B),
    _xlpm.lookupKey, IF(_xlpm.isObject="Object",
        _xlfn.XLOOKUP($A94,'EA-ConnectorExport'!A:A,'EA-ConnectorExport'!D:D),
        $Q94
    ),
    _xlpm.result, _xlfn.XLOOKUP(_xlpm.lookupKey,'EA-Fortescue_SDExport'!A:A,'EA-Fortescue_SDExport'!AE:AE),
    IF(_xlpm.result=0,"",_xlpm.result)
)</f>
        <v>001OP-2001 Ore Processing Facility (OPF)</v>
      </c>
      <c r="W94" s="2" t="str">
        <f>_xlfn.LET(
    _xlpm.isObject, _xlfn.XLOOKUP($Q94,'EA-Fortescue_SDExport'!A:A,'EA-Fortescue_SDExport'!B:B),
    _xlpm.lookupKey, IF(_xlpm.isObject="Object",
        _xlfn.XLOOKUP($A94,'EA-ConnectorExport'!A:A,'EA-ConnectorExport'!D:D),
        $Q94
    ),
    _xlpm.result, _xlfn.XLOOKUP(_xlpm.lookupKey,'EA-Fortescue_SDExport'!A:A,'EA-Fortescue_SDExport'!AF:AF),
    IF(_xlpm.result=0,"",_xlpm.result)
)</f>
        <v/>
      </c>
      <c r="X94" s="2" t="str">
        <f>_xlfn.LET(
    _xlpm.isObject, _xlfn.XLOOKUP($Q94,'EA-Fortescue_SDExport'!A:A,'EA-Fortescue_SDExport'!B:B),
    _xlpm.lookupKey, IF(_xlpm.isObject="Object",
        _xlfn.XLOOKUP($A94,'EA-ConnectorExport'!A:A,'EA-ConnectorExport'!D:D),
        $Q94
    ),
    _xlpm.result, _xlfn.XLOOKUP(_xlpm.lookupKey,'EA-Fortescue_SDExport'!A:A,'EA-Fortescue_SDExport'!AG:AG),
    IF(_xlpm.result=0,"",_xlpm.result)
)</f>
        <v/>
      </c>
      <c r="Y94" s="2" t="str">
        <f>_xlfn.LET(
    _xlpm.status, _xlfn.XLOOKUP($A94,'EA-ConnectorExport'!$A:$A,'EA-ConnectorExport'!G:G),
    _xlpm.result, _xlfn.XLOOKUP($A94,'EA-ConnectorExport'!$A:$A,'EA-ConnectorExport'!H:H),
    IF(_xlpm.status="allocate", _xlpm.result, "")
)</f>
        <v>004OP-1303 Train Loadout (TLO) Ore Stockpile</v>
      </c>
      <c r="Z94" s="2" t="str">
        <f>_xlfn.LET(
    _xlpm.isObject, _xlfn.XLOOKUP($Y94,'EA-Fortescue_SDExport'!A:A,'EA-Fortescue_SDExport'!B:B),
    _xlpm.lookupKey, IF(_xlpm.isObject="Object",
        _xlfn.XLOOKUP($A94,'EA-ConnectorExport'!A:A,'EA-ConnectorExport'!J:J),
        $Y94
    ),
    _xlpm.result, _xlfn.XLOOKUP(_xlpm.lookupKey,'EA-Fortescue_SDExport'!A:A,'EA-Fortescue_SDExport'!AA:AA),
    IF(_xlpm.result=0,"",_xlpm.result)
)</f>
        <v>System</v>
      </c>
      <c r="AA94" s="2" t="str">
        <f>_xlfn.LET(_xlpm.result, _xlfn.XLOOKUP($Y94,'EA-Fortescue_SDExport'!$A:$A,'EA-Fortescue_SDExport'!AB:AB), IF(_xlpm.result=0,"",_xlpm.result))</f>
        <v/>
      </c>
      <c r="AB94" s="2" t="str">
        <f>_xlfn.LET(_xlpm.result, _xlfn.XLOOKUP($Y94,'EA-Fortescue_SDExport'!$A:$A,'EA-Fortescue_SDExport'!AC:AC), IF(_xlpm.result=0,"",_xlpm.result))</f>
        <v>Generic Physical Asset</v>
      </c>
      <c r="AC94" s="2" t="str">
        <f>_xlfn.LET(
    _xlpm.isObject, _xlfn.XLOOKUP($Y94,'EA-Fortescue_SDExport'!A:A,'EA-Fortescue_SDExport'!B:B),
    _xlpm.lookupKey, IF(_xlpm.isObject="Object",
        _xlfn.XLOOKUP($A94,'EA-ConnectorExport'!A:A,'EA-ConnectorExport'!J:J),
        $Y94
    ),
    _xlpm.result, _xlfn.XLOOKUP(_xlpm.lookupKey,'EA-Fortescue_SDExport'!A:A,'EA-Fortescue_SDExport'!AD:AD),
    IF(_xlpm.result=0,"",_xlpm.result)
)</f>
        <v>004OP Product Storage</v>
      </c>
      <c r="AD94" s="2" t="str">
        <f>_xlfn.LET(
    _xlpm.isObject, _xlfn.XLOOKUP($Y94,'EA-Fortescue_SDExport'!A:A,'EA-Fortescue_SDExport'!B:B),
    _xlpm.lookupKey, IF(_xlpm.isObject="Object",
        _xlfn.XLOOKUP($A94,'EA-ConnectorExport'!A:A,'EA-ConnectorExport'!J:J),
        $Y94
    ),
    _xlpm.result, _xlfn.XLOOKUP(_xlpm.lookupKey,'EA-Fortescue_SDExport'!A:A,'EA-Fortescue_SDExport'!AE:AE),
    IF(_xlpm.result=0,"",_xlpm.result)
)</f>
        <v>004OP-1303 Train Loadout (TLO) Ore Stockpile</v>
      </c>
      <c r="AE94" s="2" t="str">
        <f>_xlfn.LET(
    _xlpm.isObject, _xlfn.XLOOKUP($Y94,'EA-Fortescue_SDExport'!A:A,'EA-Fortescue_SDExport'!B:B),
    _xlpm.lookupKey, IF(_xlpm.isObject="Object",
        _xlfn.XLOOKUP($A94,'EA-ConnectorExport'!A:A,'EA-ConnectorExport'!J:J),
        $Y94
    ),
    _xlpm.result, _xlfn.XLOOKUP(_xlpm.lookupKey,'EA-Fortescue_SDExport'!A:A,'EA-Fortescue_SDExport'!AF:AF),
    IF(_xlpm.result=0,"",_xlpm.result)
)</f>
        <v/>
      </c>
      <c r="AF94" s="2" t="str">
        <f>_xlfn.LET(
    _xlpm.isObject, _xlfn.XLOOKUP($Y94,'EA-Fortescue_SDExport'!A:A,'EA-Fortescue_SDExport'!B:B),
    _xlpm.lookupKey, IF(_xlpm.isObject="Object",
        _xlfn.XLOOKUP($A94,'EA-ConnectorExport'!A:A,'EA-ConnectorExport'!J:J),
        $Y94
    ),
    _xlpm.result, _xlfn.XLOOKUP(_xlpm.lookupKey,'EA-Fortescue_SDExport'!A:A,'EA-Fortescue_SDExport'!AG:AG),
    IF(_xlpm.result=0,"",_xlpm.result)
)</f>
        <v/>
      </c>
    </row>
    <row r="95" spans="1:32" ht="45" x14ac:dyDescent="0.25">
      <c r="A95" s="2" t="str">
        <v>DGS-I_0094</v>
      </c>
      <c r="B95" s="2" t="str">
        <f t="shared" si="4"/>
        <v>004OP-1302 Coarse Ore Stockpile (COS)|001OP-2001 Ore Processing Facility (OPF)</v>
      </c>
      <c r="C95" s="2" t="str">
        <f>_xlfn.LET(_xlpm.result, _xlfn.XLOOKUP(A95,'EA-Fortescue_SDExport'!A:A,'EA-Fortescue_SDExport'!AM:AM), IF(_xlpm.result=0,"",_xlpm.result))</f>
        <v/>
      </c>
      <c r="D95" s="2" t="str">
        <f>_xlfn.LET(_xlpm.result, _xlfn.XLOOKUP(A95,'EA-Fortescue_SDExport'!A:A,'EA-Fortescue_SDExport'!AN:AN), IF(_xlpm.result=0,"",_xlpm.result))</f>
        <v/>
      </c>
      <c r="E95" s="2" t="str">
        <f>_xlfn.XLOOKUP(R95&amp;Z95,Lookups!A:A,Lookups!B:B)</f>
        <v>System - System Interface</v>
      </c>
      <c r="F95" s="2" t="str">
        <f>_xlfn.LET(_xlpm.result, _xlfn.XLOOKUP(A95,'EA-Fortescue_SDExport'!A:A,'EA-Fortescue_SDExport'!AP:AP), IF(_xlpm.result=0,"",_xlpm.result))</f>
        <v/>
      </c>
      <c r="G95" s="2" t="str">
        <f>IF(OR(AND(T95&lt;&gt;"", COUNTIF(Lookups!J:J, "*"&amp;T95&amp;"*")&gt;0), AND(AB95&lt;&gt;"", COUNTIF(Lookups!J:J, "*"&amp;AB95&amp;"*")&gt;0)), "Yes", "No")</f>
        <v>No</v>
      </c>
      <c r="H95" s="2" t="str">
        <f t="shared" si="5"/>
        <v>004OP Product Storage|001OP Fixed Process Plant</v>
      </c>
      <c r="I95" s="2" t="str">
        <f t="shared" si="6"/>
        <v>004OP-1302 Coarse Ore Stockpile (COS)|001OP-2001 Ore Processing Facility (OPF)</v>
      </c>
      <c r="J95" s="2" t="str">
        <f t="shared" si="7"/>
        <v>N/A</v>
      </c>
      <c r="K95" s="2" t="str">
        <f>_xlfn.XLOOKUP(A95,'EA-Fortescue_SDExport'!A:A,'EA-Fortescue_SDExport'!N:N)</f>
        <v>Proposed</v>
      </c>
      <c r="L95" s="2" t="str">
        <f>_xlfn.LET(_xlpm.result, _xlfn.XLOOKUP($A95,'EA-Fortescue_SDExport'!$A:$A,'EA-Fortescue_SDExport'!AQ:AQ), IF(_xlpm.result=0,"",_xlpm.result))</f>
        <v/>
      </c>
      <c r="M95" s="2" t="str">
        <f>_xlfn.LET(_xlpm.result, _xlfn.XLOOKUP($A95,'EA-Fortescue_SDExport'!$A:$A,'EA-Fortescue_SDExport'!AR:AR), IF(_xlpm.result=0,"",_xlpm.result))</f>
        <v/>
      </c>
      <c r="N95" s="2" t="str">
        <f>_xlfn.LET(_xlpm.result, _xlfn.XLOOKUP($A95,'EA-Fortescue_SDExport'!$A:$A,'EA-Fortescue_SDExport'!AW:AW), IF(_xlpm.result=0,"",_xlpm.result))</f>
        <v/>
      </c>
      <c r="O95" s="2" t="str">
        <f>_xlfn.LET(_xlpm.result, _xlfn.XLOOKUP($A95,'EA-Fortescue_SDExport'!$A:$A,'EA-Fortescue_SDExport'!AV:AV), IF(_xlpm.result=0,"",_xlpm.result))</f>
        <v/>
      </c>
      <c r="P95" s="2" t="str">
        <f>_xlfn.LET(_xlpm.result, _xlfn.XLOOKUP($A95,'EA-Fortescue_SDExport'!$A:$A,'EA-Fortescue_SDExport'!D:D), IF(_xlpm.result=0,"",_xlpm.result))</f>
        <v/>
      </c>
      <c r="Q95" s="2" t="str">
        <f>_xlfn.LET(
    _xlpm.status, _xlfn.XLOOKUP($A95,'EA-ConnectorExport'!$A:$A,'EA-ConnectorExport'!G:G),
    _xlpm.result, _xlfn.XLOOKUP($A95,'EA-ConnectorExport'!$A:$A,'EA-ConnectorExport'!B:B),
    IF(_xlpm.status="allocate", _xlpm.result, "")
)</f>
        <v>004OP-1302 Coarse Ore Stockpile (COS)</v>
      </c>
      <c r="R95" s="2" t="str">
        <f>IF(
    _xlfn.XLOOKUP($Q95,'EA-Fortescue_SDExport'!A:A,'EA-Fortescue_SDExport'!B:B)="Object",
    _xlfn.XLOOKUP(
        _xlfn.XLOOKUP($A95,'EA-ConnectorExport'!A:A,'EA-ConnectorExport'!D:D),
        'EA-Fortescue_SDExport'!A:A,
        'EA-Fortescue_SDExport'!AA:AA
    ),
    _xlfn.XLOOKUP($Q95,'EA-Fortescue_SDExport'!A:A,'EA-Fortescue_SDExport'!AA:AA)
)</f>
        <v>System</v>
      </c>
      <c r="S95" s="2" t="str">
        <f>_xlfn.LET(_xlpm.result, _xlfn.XLOOKUP($Q95,'EA-Fortescue_SDExport'!$A:$A,'EA-Fortescue_SDExport'!AB:AB), IF(_xlpm.result=0,"",_xlpm.result))</f>
        <v/>
      </c>
      <c r="T95" s="2" t="str">
        <f>_xlfn.LET(_xlpm.result, _xlfn.XLOOKUP($Q95,'EA-Fortescue_SDExport'!$A:$A,'EA-Fortescue_SDExport'!AC:AC), IF(_xlpm.result=0,"",_xlpm.result))</f>
        <v>Generic Physical Asset</v>
      </c>
      <c r="U95" s="2" t="str">
        <f>_xlfn.LET(
    _xlpm.isObject, _xlfn.XLOOKUP($Q95,'EA-Fortescue_SDExport'!A:A,'EA-Fortescue_SDExport'!B:B),
    _xlpm.lookupKey, IF(_xlpm.isObject="Object",
        _xlfn.XLOOKUP($A95,'EA-ConnectorExport'!A:A,'EA-ConnectorExport'!D:D),
        $Q95
    ),
    _xlpm.result, _xlfn.XLOOKUP(_xlpm.lookupKey,'EA-Fortescue_SDExport'!A:A,'EA-Fortescue_SDExport'!AD:AD),
    IF(_xlpm.result=0,"",_xlpm.result)
)</f>
        <v>004OP Product Storage</v>
      </c>
      <c r="V95" s="2" t="str">
        <f>_xlfn.LET(
    _xlpm.isObject, _xlfn.XLOOKUP($Q95,'EA-Fortescue_SDExport'!A:A,'EA-Fortescue_SDExport'!B:B),
    _xlpm.lookupKey, IF(_xlpm.isObject="Object",
        _xlfn.XLOOKUP($A95,'EA-ConnectorExport'!A:A,'EA-ConnectorExport'!D:D),
        $Q95
    ),
    _xlpm.result, _xlfn.XLOOKUP(_xlpm.lookupKey,'EA-Fortescue_SDExport'!A:A,'EA-Fortescue_SDExport'!AE:AE),
    IF(_xlpm.result=0,"",_xlpm.result)
)</f>
        <v>004OP-1302 Coarse Ore Stockpile (COS)</v>
      </c>
      <c r="W95" s="2" t="str">
        <f>_xlfn.LET(
    _xlpm.isObject, _xlfn.XLOOKUP($Q95,'EA-Fortescue_SDExport'!A:A,'EA-Fortescue_SDExport'!B:B),
    _xlpm.lookupKey, IF(_xlpm.isObject="Object",
        _xlfn.XLOOKUP($A95,'EA-ConnectorExport'!A:A,'EA-ConnectorExport'!D:D),
        $Q95
    ),
    _xlpm.result, _xlfn.XLOOKUP(_xlpm.lookupKey,'EA-Fortescue_SDExport'!A:A,'EA-Fortescue_SDExport'!AF:AF),
    IF(_xlpm.result=0,"",_xlpm.result)
)</f>
        <v/>
      </c>
      <c r="X95" s="2" t="str">
        <f>_xlfn.LET(
    _xlpm.isObject, _xlfn.XLOOKUP($Q95,'EA-Fortescue_SDExport'!A:A,'EA-Fortescue_SDExport'!B:B),
    _xlpm.lookupKey, IF(_xlpm.isObject="Object",
        _xlfn.XLOOKUP($A95,'EA-ConnectorExport'!A:A,'EA-ConnectorExport'!D:D),
        $Q95
    ),
    _xlpm.result, _xlfn.XLOOKUP(_xlpm.lookupKey,'EA-Fortescue_SDExport'!A:A,'EA-Fortescue_SDExport'!AG:AG),
    IF(_xlpm.result=0,"",_xlpm.result)
)</f>
        <v/>
      </c>
      <c r="Y95" s="2" t="str">
        <f>_xlfn.LET(
    _xlpm.status, _xlfn.XLOOKUP($A95,'EA-ConnectorExport'!$A:$A,'EA-ConnectorExport'!G:G),
    _xlpm.result, _xlfn.XLOOKUP($A95,'EA-ConnectorExport'!$A:$A,'EA-ConnectorExport'!H:H),
    IF(_xlpm.status="allocate", _xlpm.result, "")
)</f>
        <v>001OP-2001 Ore Processing Facility (OPF)</v>
      </c>
      <c r="Z95" s="2" t="str">
        <f>_xlfn.LET(
    _xlpm.isObject, _xlfn.XLOOKUP($Y95,'EA-Fortescue_SDExport'!A:A,'EA-Fortescue_SDExport'!B:B),
    _xlpm.lookupKey, IF(_xlpm.isObject="Object",
        _xlfn.XLOOKUP($A95,'EA-ConnectorExport'!A:A,'EA-ConnectorExport'!J:J),
        $Y95
    ),
    _xlpm.result, _xlfn.XLOOKUP(_xlpm.lookupKey,'EA-Fortescue_SDExport'!A:A,'EA-Fortescue_SDExport'!AA:AA),
    IF(_xlpm.result=0,"",_xlpm.result)
)</f>
        <v>System</v>
      </c>
      <c r="AA95" s="2" t="str">
        <f>_xlfn.LET(_xlpm.result, _xlfn.XLOOKUP($Y95,'EA-Fortescue_SDExport'!$A:$A,'EA-Fortescue_SDExport'!AB:AB), IF(_xlpm.result=0,"",_xlpm.result))</f>
        <v/>
      </c>
      <c r="AB95" s="2" t="str">
        <f>_xlfn.LET(_xlpm.result, _xlfn.XLOOKUP($Y95,'EA-Fortescue_SDExport'!$A:$A,'EA-Fortescue_SDExport'!AC:AC), IF(_xlpm.result=0,"",_xlpm.result))</f>
        <v>Generic Physical Asset</v>
      </c>
      <c r="AC95" s="2" t="str">
        <f>_xlfn.LET(
    _xlpm.isObject, _xlfn.XLOOKUP($Y95,'EA-Fortescue_SDExport'!A:A,'EA-Fortescue_SDExport'!B:B),
    _xlpm.lookupKey, IF(_xlpm.isObject="Object",
        _xlfn.XLOOKUP($A95,'EA-ConnectorExport'!A:A,'EA-ConnectorExport'!J:J),
        $Y95
    ),
    _xlpm.result, _xlfn.XLOOKUP(_xlpm.lookupKey,'EA-Fortescue_SDExport'!A:A,'EA-Fortescue_SDExport'!AD:AD),
    IF(_xlpm.result=0,"",_xlpm.result)
)</f>
        <v>001OP Fixed Process Plant</v>
      </c>
      <c r="AD95" s="2" t="str">
        <f>_xlfn.LET(
    _xlpm.isObject, _xlfn.XLOOKUP($Y95,'EA-Fortescue_SDExport'!A:A,'EA-Fortescue_SDExport'!B:B),
    _xlpm.lookupKey, IF(_xlpm.isObject="Object",
        _xlfn.XLOOKUP($A95,'EA-ConnectorExport'!A:A,'EA-ConnectorExport'!J:J),
        $Y95
    ),
    _xlpm.result, _xlfn.XLOOKUP(_xlpm.lookupKey,'EA-Fortescue_SDExport'!A:A,'EA-Fortescue_SDExport'!AE:AE),
    IF(_xlpm.result=0,"",_xlpm.result)
)</f>
        <v>001OP-2001 Ore Processing Facility (OPF)</v>
      </c>
      <c r="AE95" s="2" t="str">
        <f>_xlfn.LET(
    _xlpm.isObject, _xlfn.XLOOKUP($Y95,'EA-Fortescue_SDExport'!A:A,'EA-Fortescue_SDExport'!B:B),
    _xlpm.lookupKey, IF(_xlpm.isObject="Object",
        _xlfn.XLOOKUP($A95,'EA-ConnectorExport'!A:A,'EA-ConnectorExport'!J:J),
        $Y95
    ),
    _xlpm.result, _xlfn.XLOOKUP(_xlpm.lookupKey,'EA-Fortescue_SDExport'!A:A,'EA-Fortescue_SDExport'!AF:AF),
    IF(_xlpm.result=0,"",_xlpm.result)
)</f>
        <v/>
      </c>
      <c r="AF95" s="2" t="str">
        <f>_xlfn.LET(
    _xlpm.isObject, _xlfn.XLOOKUP($Y95,'EA-Fortescue_SDExport'!A:A,'EA-Fortescue_SDExport'!B:B),
    _xlpm.lookupKey, IF(_xlpm.isObject="Object",
        _xlfn.XLOOKUP($A95,'EA-ConnectorExport'!A:A,'EA-ConnectorExport'!J:J),
        $Y95
    ),
    _xlpm.result, _xlfn.XLOOKUP(_xlpm.lookupKey,'EA-Fortescue_SDExport'!A:A,'EA-Fortescue_SDExport'!AG:AG),
    IF(_xlpm.result=0,"",_xlpm.result)
)</f>
        <v/>
      </c>
    </row>
    <row r="96" spans="1:32" ht="45" x14ac:dyDescent="0.25">
      <c r="A96" s="2" t="str">
        <v>DGS-I_0095</v>
      </c>
      <c r="B96" s="2" t="str">
        <f t="shared" si="4"/>
        <v>004OP-1303 Train Loadout (TLO) Ore Stockpile|001OP-2920 Train Load Out (TLO)</v>
      </c>
      <c r="C96" s="2" t="str">
        <f>_xlfn.LET(_xlpm.result, _xlfn.XLOOKUP(A96,'EA-Fortescue_SDExport'!A:A,'EA-Fortescue_SDExport'!AM:AM), IF(_xlpm.result=0,"",_xlpm.result))</f>
        <v/>
      </c>
      <c r="D96" s="2" t="str">
        <f>_xlfn.LET(_xlpm.result, _xlfn.XLOOKUP(A96,'EA-Fortescue_SDExport'!A:A,'EA-Fortescue_SDExport'!AN:AN), IF(_xlpm.result=0,"",_xlpm.result))</f>
        <v/>
      </c>
      <c r="E96" s="2" t="str">
        <f>_xlfn.XLOOKUP(R96&amp;Z96,Lookups!A:A,Lookups!B:B)</f>
        <v>System - System Interface</v>
      </c>
      <c r="F96" s="2" t="str">
        <f>_xlfn.LET(_xlpm.result, _xlfn.XLOOKUP(A96,'EA-Fortescue_SDExport'!A:A,'EA-Fortescue_SDExport'!AP:AP), IF(_xlpm.result=0,"",_xlpm.result))</f>
        <v/>
      </c>
      <c r="G96" s="2" t="str">
        <f>IF(OR(AND(T96&lt;&gt;"", COUNTIF(Lookups!J:J, "*"&amp;T96&amp;"*")&gt;0), AND(AB96&lt;&gt;"", COUNTIF(Lookups!J:J, "*"&amp;AB96&amp;"*")&gt;0)), "Yes", "No")</f>
        <v>No</v>
      </c>
      <c r="H96" s="2" t="str">
        <f t="shared" si="5"/>
        <v>004OP Product Storage|001OP Fixed Process Plant</v>
      </c>
      <c r="I96" s="2" t="str">
        <f t="shared" si="6"/>
        <v>004OP-1303 Train Loadout (TLO) Ore Stockpile|001OP-2920 Train Load Out (TLO)</v>
      </c>
      <c r="J96" s="2" t="str">
        <f t="shared" si="7"/>
        <v>N/A</v>
      </c>
      <c r="K96" s="2" t="str">
        <f>_xlfn.XLOOKUP(A96,'EA-Fortescue_SDExport'!A:A,'EA-Fortescue_SDExport'!N:N)</f>
        <v>Proposed</v>
      </c>
      <c r="L96" s="2" t="str">
        <f>_xlfn.LET(_xlpm.result, _xlfn.XLOOKUP($A96,'EA-Fortescue_SDExport'!$A:$A,'EA-Fortescue_SDExport'!AQ:AQ), IF(_xlpm.result=0,"",_xlpm.result))</f>
        <v/>
      </c>
      <c r="M96" s="2" t="str">
        <f>_xlfn.LET(_xlpm.result, _xlfn.XLOOKUP($A96,'EA-Fortescue_SDExport'!$A:$A,'EA-Fortescue_SDExport'!AR:AR), IF(_xlpm.result=0,"",_xlpm.result))</f>
        <v/>
      </c>
      <c r="N96" s="2" t="str">
        <f>_xlfn.LET(_xlpm.result, _xlfn.XLOOKUP($A96,'EA-Fortescue_SDExport'!$A:$A,'EA-Fortescue_SDExport'!AW:AW), IF(_xlpm.result=0,"",_xlpm.result))</f>
        <v/>
      </c>
      <c r="O96" s="2" t="str">
        <f>_xlfn.LET(_xlpm.result, _xlfn.XLOOKUP($A96,'EA-Fortescue_SDExport'!$A:$A,'EA-Fortescue_SDExport'!AV:AV), IF(_xlpm.result=0,"",_xlpm.result))</f>
        <v/>
      </c>
      <c r="P96" s="2" t="str">
        <f>_xlfn.LET(_xlpm.result, _xlfn.XLOOKUP($A96,'EA-Fortescue_SDExport'!$A:$A,'EA-Fortescue_SDExport'!D:D), IF(_xlpm.result=0,"",_xlpm.result))</f>
        <v/>
      </c>
      <c r="Q96" s="2" t="str">
        <f>_xlfn.LET(
    _xlpm.status, _xlfn.XLOOKUP($A96,'EA-ConnectorExport'!$A:$A,'EA-ConnectorExport'!G:G),
    _xlpm.result, _xlfn.XLOOKUP($A96,'EA-ConnectorExport'!$A:$A,'EA-ConnectorExport'!B:B),
    IF(_xlpm.status="allocate", _xlpm.result, "")
)</f>
        <v>004OP-1303 Train Loadout (TLO) Ore Stockpile</v>
      </c>
      <c r="R96" s="2" t="str">
        <f>IF(
    _xlfn.XLOOKUP($Q96,'EA-Fortescue_SDExport'!A:A,'EA-Fortescue_SDExport'!B:B)="Object",
    _xlfn.XLOOKUP(
        _xlfn.XLOOKUP($A96,'EA-ConnectorExport'!A:A,'EA-ConnectorExport'!D:D),
        'EA-Fortescue_SDExport'!A:A,
        'EA-Fortescue_SDExport'!AA:AA
    ),
    _xlfn.XLOOKUP($Q96,'EA-Fortescue_SDExport'!A:A,'EA-Fortescue_SDExport'!AA:AA)
)</f>
        <v>System</v>
      </c>
      <c r="S96" s="2" t="str">
        <f>_xlfn.LET(_xlpm.result, _xlfn.XLOOKUP($Q96,'EA-Fortescue_SDExport'!$A:$A,'EA-Fortescue_SDExport'!AB:AB), IF(_xlpm.result=0,"",_xlpm.result))</f>
        <v/>
      </c>
      <c r="T96" s="2" t="str">
        <f>_xlfn.LET(_xlpm.result, _xlfn.XLOOKUP($Q96,'EA-Fortescue_SDExport'!$A:$A,'EA-Fortescue_SDExport'!AC:AC), IF(_xlpm.result=0,"",_xlpm.result))</f>
        <v>Generic Physical Asset</v>
      </c>
      <c r="U96" s="2" t="str">
        <f>_xlfn.LET(
    _xlpm.isObject, _xlfn.XLOOKUP($Q96,'EA-Fortescue_SDExport'!A:A,'EA-Fortescue_SDExport'!B:B),
    _xlpm.lookupKey, IF(_xlpm.isObject="Object",
        _xlfn.XLOOKUP($A96,'EA-ConnectorExport'!A:A,'EA-ConnectorExport'!D:D),
        $Q96
    ),
    _xlpm.result, _xlfn.XLOOKUP(_xlpm.lookupKey,'EA-Fortescue_SDExport'!A:A,'EA-Fortescue_SDExport'!AD:AD),
    IF(_xlpm.result=0,"",_xlpm.result)
)</f>
        <v>004OP Product Storage</v>
      </c>
      <c r="V96" s="2" t="str">
        <f>_xlfn.LET(
    _xlpm.isObject, _xlfn.XLOOKUP($Q96,'EA-Fortescue_SDExport'!A:A,'EA-Fortescue_SDExport'!B:B),
    _xlpm.lookupKey, IF(_xlpm.isObject="Object",
        _xlfn.XLOOKUP($A96,'EA-ConnectorExport'!A:A,'EA-ConnectorExport'!D:D),
        $Q96
    ),
    _xlpm.result, _xlfn.XLOOKUP(_xlpm.lookupKey,'EA-Fortescue_SDExport'!A:A,'EA-Fortescue_SDExport'!AE:AE),
    IF(_xlpm.result=0,"",_xlpm.result)
)</f>
        <v>004OP-1303 Train Loadout (TLO) Ore Stockpile</v>
      </c>
      <c r="W96" s="2" t="str">
        <f>_xlfn.LET(
    _xlpm.isObject, _xlfn.XLOOKUP($Q96,'EA-Fortescue_SDExport'!A:A,'EA-Fortescue_SDExport'!B:B),
    _xlpm.lookupKey, IF(_xlpm.isObject="Object",
        _xlfn.XLOOKUP($A96,'EA-ConnectorExport'!A:A,'EA-ConnectorExport'!D:D),
        $Q96
    ),
    _xlpm.result, _xlfn.XLOOKUP(_xlpm.lookupKey,'EA-Fortescue_SDExport'!A:A,'EA-Fortescue_SDExport'!AF:AF),
    IF(_xlpm.result=0,"",_xlpm.result)
)</f>
        <v/>
      </c>
      <c r="X96" s="2" t="str">
        <f>_xlfn.LET(
    _xlpm.isObject, _xlfn.XLOOKUP($Q96,'EA-Fortescue_SDExport'!A:A,'EA-Fortescue_SDExport'!B:B),
    _xlpm.lookupKey, IF(_xlpm.isObject="Object",
        _xlfn.XLOOKUP($A96,'EA-ConnectorExport'!A:A,'EA-ConnectorExport'!D:D),
        $Q96
    ),
    _xlpm.result, _xlfn.XLOOKUP(_xlpm.lookupKey,'EA-Fortescue_SDExport'!A:A,'EA-Fortescue_SDExport'!AG:AG),
    IF(_xlpm.result=0,"",_xlpm.result)
)</f>
        <v/>
      </c>
      <c r="Y96" s="2" t="str">
        <f>_xlfn.LET(
    _xlpm.status, _xlfn.XLOOKUP($A96,'EA-ConnectorExport'!$A:$A,'EA-ConnectorExport'!G:G),
    _xlpm.result, _xlfn.XLOOKUP($A96,'EA-ConnectorExport'!$A:$A,'EA-ConnectorExport'!H:H),
    IF(_xlpm.status="allocate", _xlpm.result, "")
)</f>
        <v>001OP-2920 Train Load Out (TLO)</v>
      </c>
      <c r="Z96" s="2" t="str">
        <f>_xlfn.LET(
    _xlpm.isObject, _xlfn.XLOOKUP($Y96,'EA-Fortescue_SDExport'!A:A,'EA-Fortescue_SDExport'!B:B),
    _xlpm.lookupKey, IF(_xlpm.isObject="Object",
        _xlfn.XLOOKUP($A96,'EA-ConnectorExport'!A:A,'EA-ConnectorExport'!J:J),
        $Y96
    ),
    _xlpm.result, _xlfn.XLOOKUP(_xlpm.lookupKey,'EA-Fortescue_SDExport'!A:A,'EA-Fortescue_SDExport'!AA:AA),
    IF(_xlpm.result=0,"",_xlpm.result)
)</f>
        <v>System</v>
      </c>
      <c r="AA96" s="2" t="str">
        <f>_xlfn.LET(_xlpm.result, _xlfn.XLOOKUP($Y96,'EA-Fortescue_SDExport'!$A:$A,'EA-Fortescue_SDExport'!AB:AB), IF(_xlpm.result=0,"",_xlpm.result))</f>
        <v/>
      </c>
      <c r="AB96" s="2" t="str">
        <f>_xlfn.LET(_xlpm.result, _xlfn.XLOOKUP($Y96,'EA-Fortescue_SDExport'!$A:$A,'EA-Fortescue_SDExport'!AC:AC), IF(_xlpm.result=0,"",_xlpm.result))</f>
        <v>Generic Physical Asset</v>
      </c>
      <c r="AC96" s="2" t="str">
        <f>_xlfn.LET(
    _xlpm.isObject, _xlfn.XLOOKUP($Y96,'EA-Fortescue_SDExport'!A:A,'EA-Fortescue_SDExport'!B:B),
    _xlpm.lookupKey, IF(_xlpm.isObject="Object",
        _xlfn.XLOOKUP($A96,'EA-ConnectorExport'!A:A,'EA-ConnectorExport'!J:J),
        $Y96
    ),
    _xlpm.result, _xlfn.XLOOKUP(_xlpm.lookupKey,'EA-Fortescue_SDExport'!A:A,'EA-Fortescue_SDExport'!AD:AD),
    IF(_xlpm.result=0,"",_xlpm.result)
)</f>
        <v>001OP Fixed Process Plant</v>
      </c>
      <c r="AD96" s="2" t="str">
        <f>_xlfn.LET(
    _xlpm.isObject, _xlfn.XLOOKUP($Y96,'EA-Fortescue_SDExport'!A:A,'EA-Fortescue_SDExport'!B:B),
    _xlpm.lookupKey, IF(_xlpm.isObject="Object",
        _xlfn.XLOOKUP($A96,'EA-ConnectorExport'!A:A,'EA-ConnectorExport'!J:J),
        $Y96
    ),
    _xlpm.result, _xlfn.XLOOKUP(_xlpm.lookupKey,'EA-Fortescue_SDExport'!A:A,'EA-Fortescue_SDExport'!AE:AE),
    IF(_xlpm.result=0,"",_xlpm.result)
)</f>
        <v>001OP-2920 Train Load Out (TLO)</v>
      </c>
      <c r="AE96" s="2" t="str">
        <f>_xlfn.LET(
    _xlpm.isObject, _xlfn.XLOOKUP($Y96,'EA-Fortescue_SDExport'!A:A,'EA-Fortescue_SDExport'!B:B),
    _xlpm.lookupKey, IF(_xlpm.isObject="Object",
        _xlfn.XLOOKUP($A96,'EA-ConnectorExport'!A:A,'EA-ConnectorExport'!J:J),
        $Y96
    ),
    _xlpm.result, _xlfn.XLOOKUP(_xlpm.lookupKey,'EA-Fortescue_SDExport'!A:A,'EA-Fortescue_SDExport'!AF:AF),
    IF(_xlpm.result=0,"",_xlpm.result)
)</f>
        <v/>
      </c>
      <c r="AF96" s="2" t="str">
        <f>_xlfn.LET(
    _xlpm.isObject, _xlfn.XLOOKUP($Y96,'EA-Fortescue_SDExport'!A:A,'EA-Fortescue_SDExport'!B:B),
    _xlpm.lookupKey, IF(_xlpm.isObject="Object",
        _xlfn.XLOOKUP($A96,'EA-ConnectorExport'!A:A,'EA-ConnectorExport'!J:J),
        $Y96
    ),
    _xlpm.result, _xlfn.XLOOKUP(_xlpm.lookupKey,'EA-Fortescue_SDExport'!A:A,'EA-Fortescue_SDExport'!AG:AG),
    IF(_xlpm.result=0,"",_xlpm.result)
)</f>
        <v/>
      </c>
    </row>
    <row r="97" spans="1:32" ht="60" x14ac:dyDescent="0.25">
      <c r="A97" s="2" t="str">
        <v>DGS-I_0096</v>
      </c>
      <c r="B97" s="2" t="str">
        <f t="shared" si="4"/>
        <v>001OP-2003 Concentrate Handling Facility (CHF)|004OP-1304 Port Ore Stockpile</v>
      </c>
      <c r="C97" s="2" t="str">
        <f>_xlfn.LET(_xlpm.result, _xlfn.XLOOKUP(A97,'EA-Fortescue_SDExport'!A:A,'EA-Fortescue_SDExport'!AM:AM), IF(_xlpm.result=0,"",_xlpm.result))</f>
        <v/>
      </c>
      <c r="D97" s="2" t="str">
        <f>_xlfn.LET(_xlpm.result, _xlfn.XLOOKUP(A97,'EA-Fortescue_SDExport'!A:A,'EA-Fortescue_SDExport'!AN:AN), IF(_xlpm.result=0,"",_xlpm.result))</f>
        <v/>
      </c>
      <c r="E97" s="2" t="str">
        <f>_xlfn.XLOOKUP(R97&amp;Z97,Lookups!A:A,Lookups!B:B)</f>
        <v>System - System Interface</v>
      </c>
      <c r="F97" s="2" t="str">
        <f>_xlfn.LET(_xlpm.result, _xlfn.XLOOKUP(A97,'EA-Fortescue_SDExport'!A:A,'EA-Fortescue_SDExport'!AP:AP), IF(_xlpm.result=0,"",_xlpm.result))</f>
        <v/>
      </c>
      <c r="G97" s="2" t="str">
        <f>IF(OR(AND(T97&lt;&gt;"", COUNTIF(Lookups!J:J, "*"&amp;T97&amp;"*")&gt;0), AND(AB97&lt;&gt;"", COUNTIF(Lookups!J:J, "*"&amp;AB97&amp;"*")&gt;0)), "Yes", "No")</f>
        <v>No</v>
      </c>
      <c r="H97" s="2" t="str">
        <f t="shared" si="5"/>
        <v>001OP Fixed Process Plant|004OP Product Storage</v>
      </c>
      <c r="I97" s="2" t="str">
        <f t="shared" si="6"/>
        <v>001OP-2003 Concentrate Handling Facility (CHF)|004OP-1304 Port Ore Stockpile</v>
      </c>
      <c r="J97" s="2" t="str">
        <f t="shared" si="7"/>
        <v>N/A</v>
      </c>
      <c r="K97" s="2" t="str">
        <f>_xlfn.XLOOKUP(A97,'EA-Fortescue_SDExport'!A:A,'EA-Fortescue_SDExport'!N:N)</f>
        <v>Proposed</v>
      </c>
      <c r="L97" s="2" t="str">
        <f>_xlfn.LET(_xlpm.result, _xlfn.XLOOKUP($A97,'EA-Fortescue_SDExport'!$A:$A,'EA-Fortescue_SDExport'!AQ:AQ), IF(_xlpm.result=0,"",_xlpm.result))</f>
        <v/>
      </c>
      <c r="M97" s="2" t="str">
        <f>_xlfn.LET(_xlpm.result, _xlfn.XLOOKUP($A97,'EA-Fortescue_SDExport'!$A:$A,'EA-Fortescue_SDExport'!AR:AR), IF(_xlpm.result=0,"",_xlpm.result))</f>
        <v/>
      </c>
      <c r="N97" s="2" t="str">
        <f>_xlfn.LET(_xlpm.result, _xlfn.XLOOKUP($A97,'EA-Fortescue_SDExport'!$A:$A,'EA-Fortescue_SDExport'!AW:AW), IF(_xlpm.result=0,"",_xlpm.result))</f>
        <v/>
      </c>
      <c r="O97" s="2" t="str">
        <f>_xlfn.LET(_xlpm.result, _xlfn.XLOOKUP($A97,'EA-Fortescue_SDExport'!$A:$A,'EA-Fortescue_SDExport'!AV:AV), IF(_xlpm.result=0,"",_xlpm.result))</f>
        <v/>
      </c>
      <c r="P97" s="2" t="str">
        <f>_xlfn.LET(_xlpm.result, _xlfn.XLOOKUP($A97,'EA-Fortescue_SDExport'!$A:$A,'EA-Fortescue_SDExport'!D:D), IF(_xlpm.result=0,"",_xlpm.result))</f>
        <v/>
      </c>
      <c r="Q97" s="2" t="str">
        <f>_xlfn.LET(
    _xlpm.status, _xlfn.XLOOKUP($A97,'EA-ConnectorExport'!$A:$A,'EA-ConnectorExport'!G:G),
    _xlpm.result, _xlfn.XLOOKUP($A97,'EA-ConnectorExport'!$A:$A,'EA-ConnectorExport'!B:B),
    IF(_xlpm.status="allocate", _xlpm.result, "")
)</f>
        <v>001OP-2003 Concentrate Handling Facility (CHF)</v>
      </c>
      <c r="R97" s="2" t="str">
        <f>IF(
    _xlfn.XLOOKUP($Q97,'EA-Fortescue_SDExport'!A:A,'EA-Fortescue_SDExport'!B:B)="Object",
    _xlfn.XLOOKUP(
        _xlfn.XLOOKUP($A97,'EA-ConnectorExport'!A:A,'EA-ConnectorExport'!D:D),
        'EA-Fortescue_SDExport'!A:A,
        'EA-Fortescue_SDExport'!AA:AA
    ),
    _xlfn.XLOOKUP($Q97,'EA-Fortescue_SDExport'!A:A,'EA-Fortescue_SDExport'!AA:AA)
)</f>
        <v>System</v>
      </c>
      <c r="S97" s="2" t="str">
        <f>_xlfn.LET(_xlpm.result, _xlfn.XLOOKUP($Q97,'EA-Fortescue_SDExport'!$A:$A,'EA-Fortescue_SDExport'!AB:AB), IF(_xlpm.result=0,"",_xlpm.result))</f>
        <v/>
      </c>
      <c r="T97" s="2" t="str">
        <f>_xlfn.LET(_xlpm.result, _xlfn.XLOOKUP($Q97,'EA-Fortescue_SDExport'!$A:$A,'EA-Fortescue_SDExport'!AC:AC), IF(_xlpm.result=0,"",_xlpm.result))</f>
        <v>Generic Physical Asset</v>
      </c>
      <c r="U97" s="2" t="str">
        <f>_xlfn.LET(
    _xlpm.isObject, _xlfn.XLOOKUP($Q97,'EA-Fortescue_SDExport'!A:A,'EA-Fortescue_SDExport'!B:B),
    _xlpm.lookupKey, IF(_xlpm.isObject="Object",
        _xlfn.XLOOKUP($A97,'EA-ConnectorExport'!A:A,'EA-ConnectorExport'!D:D),
        $Q97
    ),
    _xlpm.result, _xlfn.XLOOKUP(_xlpm.lookupKey,'EA-Fortescue_SDExport'!A:A,'EA-Fortescue_SDExport'!AD:AD),
    IF(_xlpm.result=0,"",_xlpm.result)
)</f>
        <v>001OP Fixed Process Plant</v>
      </c>
      <c r="V97" s="2" t="str">
        <f>_xlfn.LET(
    _xlpm.isObject, _xlfn.XLOOKUP($Q97,'EA-Fortescue_SDExport'!A:A,'EA-Fortescue_SDExport'!B:B),
    _xlpm.lookupKey, IF(_xlpm.isObject="Object",
        _xlfn.XLOOKUP($A97,'EA-ConnectorExport'!A:A,'EA-ConnectorExport'!D:D),
        $Q97
    ),
    _xlpm.result, _xlfn.XLOOKUP(_xlpm.lookupKey,'EA-Fortescue_SDExport'!A:A,'EA-Fortescue_SDExport'!AE:AE),
    IF(_xlpm.result=0,"",_xlpm.result)
)</f>
        <v>001OP-2003 Concentrate Handling Facility (CHF)</v>
      </c>
      <c r="W97" s="2" t="str">
        <f>_xlfn.LET(
    _xlpm.isObject, _xlfn.XLOOKUP($Q97,'EA-Fortescue_SDExport'!A:A,'EA-Fortescue_SDExport'!B:B),
    _xlpm.lookupKey, IF(_xlpm.isObject="Object",
        _xlfn.XLOOKUP($A97,'EA-ConnectorExport'!A:A,'EA-ConnectorExport'!D:D),
        $Q97
    ),
    _xlpm.result, _xlfn.XLOOKUP(_xlpm.lookupKey,'EA-Fortescue_SDExport'!A:A,'EA-Fortescue_SDExport'!AF:AF),
    IF(_xlpm.result=0,"",_xlpm.result)
)</f>
        <v/>
      </c>
      <c r="X97" s="2" t="str">
        <f>_xlfn.LET(
    _xlpm.isObject, _xlfn.XLOOKUP($Q97,'EA-Fortescue_SDExport'!A:A,'EA-Fortescue_SDExport'!B:B),
    _xlpm.lookupKey, IF(_xlpm.isObject="Object",
        _xlfn.XLOOKUP($A97,'EA-ConnectorExport'!A:A,'EA-ConnectorExport'!D:D),
        $Q97
    ),
    _xlpm.result, _xlfn.XLOOKUP(_xlpm.lookupKey,'EA-Fortescue_SDExport'!A:A,'EA-Fortescue_SDExport'!AG:AG),
    IF(_xlpm.result=0,"",_xlpm.result)
)</f>
        <v/>
      </c>
      <c r="Y97" s="2" t="str">
        <f>_xlfn.LET(
    _xlpm.status, _xlfn.XLOOKUP($A97,'EA-ConnectorExport'!$A:$A,'EA-ConnectorExport'!G:G),
    _xlpm.result, _xlfn.XLOOKUP($A97,'EA-ConnectorExport'!$A:$A,'EA-ConnectorExport'!H:H),
    IF(_xlpm.status="allocate", _xlpm.result, "")
)</f>
        <v>004OP-1304 Port Ore Stockpile</v>
      </c>
      <c r="Z97" s="2" t="str">
        <f>_xlfn.LET(
    _xlpm.isObject, _xlfn.XLOOKUP($Y97,'EA-Fortescue_SDExport'!A:A,'EA-Fortescue_SDExport'!B:B),
    _xlpm.lookupKey, IF(_xlpm.isObject="Object",
        _xlfn.XLOOKUP($A97,'EA-ConnectorExport'!A:A,'EA-ConnectorExport'!J:J),
        $Y97
    ),
    _xlpm.result, _xlfn.XLOOKUP(_xlpm.lookupKey,'EA-Fortescue_SDExport'!A:A,'EA-Fortescue_SDExport'!AA:AA),
    IF(_xlpm.result=0,"",_xlpm.result)
)</f>
        <v>System</v>
      </c>
      <c r="AA97" s="2" t="str">
        <f>_xlfn.LET(_xlpm.result, _xlfn.XLOOKUP($Y97,'EA-Fortescue_SDExport'!$A:$A,'EA-Fortescue_SDExport'!AB:AB), IF(_xlpm.result=0,"",_xlpm.result))</f>
        <v/>
      </c>
      <c r="AB97" s="2" t="str">
        <f>_xlfn.LET(_xlpm.result, _xlfn.XLOOKUP($Y97,'EA-Fortescue_SDExport'!$A:$A,'EA-Fortescue_SDExport'!AC:AC), IF(_xlpm.result=0,"",_xlpm.result))</f>
        <v>Generic Physical Asset</v>
      </c>
      <c r="AC97" s="2" t="str">
        <f>_xlfn.LET(
    _xlpm.isObject, _xlfn.XLOOKUP($Y97,'EA-Fortescue_SDExport'!A:A,'EA-Fortescue_SDExport'!B:B),
    _xlpm.lookupKey, IF(_xlpm.isObject="Object",
        _xlfn.XLOOKUP($A97,'EA-ConnectorExport'!A:A,'EA-ConnectorExport'!J:J),
        $Y97
    ),
    _xlpm.result, _xlfn.XLOOKUP(_xlpm.lookupKey,'EA-Fortescue_SDExport'!A:A,'EA-Fortescue_SDExport'!AD:AD),
    IF(_xlpm.result=0,"",_xlpm.result)
)</f>
        <v>004OP Product Storage</v>
      </c>
      <c r="AD97" s="2" t="str">
        <f>_xlfn.LET(
    _xlpm.isObject, _xlfn.XLOOKUP($Y97,'EA-Fortescue_SDExport'!A:A,'EA-Fortescue_SDExport'!B:B),
    _xlpm.lookupKey, IF(_xlpm.isObject="Object",
        _xlfn.XLOOKUP($A97,'EA-ConnectorExport'!A:A,'EA-ConnectorExport'!J:J),
        $Y97
    ),
    _xlpm.result, _xlfn.XLOOKUP(_xlpm.lookupKey,'EA-Fortescue_SDExport'!A:A,'EA-Fortescue_SDExport'!AE:AE),
    IF(_xlpm.result=0,"",_xlpm.result)
)</f>
        <v>004OP-1304 Port Ore Stockpile</v>
      </c>
      <c r="AE97" s="2" t="str">
        <f>_xlfn.LET(
    _xlpm.isObject, _xlfn.XLOOKUP($Y97,'EA-Fortescue_SDExport'!A:A,'EA-Fortescue_SDExport'!B:B),
    _xlpm.lookupKey, IF(_xlpm.isObject="Object",
        _xlfn.XLOOKUP($A97,'EA-ConnectorExport'!A:A,'EA-ConnectorExport'!J:J),
        $Y97
    ),
    _xlpm.result, _xlfn.XLOOKUP(_xlpm.lookupKey,'EA-Fortescue_SDExport'!A:A,'EA-Fortescue_SDExport'!AF:AF),
    IF(_xlpm.result=0,"",_xlpm.result)
)</f>
        <v/>
      </c>
      <c r="AF97" s="2" t="str">
        <f>_xlfn.LET(
    _xlpm.isObject, _xlfn.XLOOKUP($Y97,'EA-Fortescue_SDExport'!A:A,'EA-Fortescue_SDExport'!B:B),
    _xlpm.lookupKey, IF(_xlpm.isObject="Object",
        _xlfn.XLOOKUP($A97,'EA-ConnectorExport'!A:A,'EA-ConnectorExport'!J:J),
        $Y97
    ),
    _xlpm.result, _xlfn.XLOOKUP(_xlpm.lookupKey,'EA-Fortescue_SDExport'!A:A,'EA-Fortescue_SDExport'!AG:AG),
    IF(_xlpm.result=0,"",_xlpm.result)
)</f>
        <v/>
      </c>
    </row>
    <row r="98" spans="1:32" ht="45" x14ac:dyDescent="0.25">
      <c r="A98" s="2" t="str">
        <v>DGS-I_0097</v>
      </c>
      <c r="B98" s="2" t="str">
        <f t="shared" si="4"/>
        <v>004OP-1304 Port Ore Stockpile|001OP-3720 Concentrate Pipeline</v>
      </c>
      <c r="C98" s="2" t="str">
        <f>_xlfn.LET(_xlpm.result, _xlfn.XLOOKUP(A98,'EA-Fortescue_SDExport'!A:A,'EA-Fortescue_SDExport'!AM:AM), IF(_xlpm.result=0,"",_xlpm.result))</f>
        <v/>
      </c>
      <c r="D98" s="2" t="str">
        <f>_xlfn.LET(_xlpm.result, _xlfn.XLOOKUP(A98,'EA-Fortescue_SDExport'!A:A,'EA-Fortescue_SDExport'!AN:AN), IF(_xlpm.result=0,"",_xlpm.result))</f>
        <v/>
      </c>
      <c r="E98" s="2" t="str">
        <f>_xlfn.XLOOKUP(R98&amp;Z98,Lookups!A:A,Lookups!B:B)</f>
        <v>System - System Interface</v>
      </c>
      <c r="F98" s="2" t="str">
        <f>_xlfn.LET(_xlpm.result, _xlfn.XLOOKUP(A98,'EA-Fortescue_SDExport'!A:A,'EA-Fortescue_SDExport'!AP:AP), IF(_xlpm.result=0,"",_xlpm.result))</f>
        <v/>
      </c>
      <c r="G98" s="2" t="str">
        <f>IF(OR(AND(T98&lt;&gt;"", COUNTIF(Lookups!J:J, "*"&amp;T98&amp;"*")&gt;0), AND(AB98&lt;&gt;"", COUNTIF(Lookups!J:J, "*"&amp;AB98&amp;"*")&gt;0)), "Yes", "No")</f>
        <v>No</v>
      </c>
      <c r="H98" s="2" t="str">
        <f t="shared" si="5"/>
        <v>004OP Product Storage|001OP Fixed Process Plant</v>
      </c>
      <c r="I98" s="2" t="str">
        <f t="shared" si="6"/>
        <v>004OP-1304 Port Ore Stockpile|001OP-3720 Concentrate Pipeline</v>
      </c>
      <c r="J98" s="2" t="str">
        <f t="shared" si="7"/>
        <v>N/A</v>
      </c>
      <c r="K98" s="2" t="str">
        <f>_xlfn.XLOOKUP(A98,'EA-Fortescue_SDExport'!A:A,'EA-Fortescue_SDExport'!N:N)</f>
        <v>Proposed</v>
      </c>
      <c r="L98" s="2" t="str">
        <f>_xlfn.LET(_xlpm.result, _xlfn.XLOOKUP($A98,'EA-Fortescue_SDExport'!$A:$A,'EA-Fortescue_SDExport'!AQ:AQ), IF(_xlpm.result=0,"",_xlpm.result))</f>
        <v/>
      </c>
      <c r="M98" s="2" t="str">
        <f>_xlfn.LET(_xlpm.result, _xlfn.XLOOKUP($A98,'EA-Fortescue_SDExport'!$A:$A,'EA-Fortescue_SDExport'!AR:AR), IF(_xlpm.result=0,"",_xlpm.result))</f>
        <v/>
      </c>
      <c r="N98" s="2" t="str">
        <f>_xlfn.LET(_xlpm.result, _xlfn.XLOOKUP($A98,'EA-Fortescue_SDExport'!$A:$A,'EA-Fortescue_SDExport'!AW:AW), IF(_xlpm.result=0,"",_xlpm.result))</f>
        <v/>
      </c>
      <c r="O98" s="2" t="str">
        <f>_xlfn.LET(_xlpm.result, _xlfn.XLOOKUP($A98,'EA-Fortescue_SDExport'!$A:$A,'EA-Fortescue_SDExport'!AV:AV), IF(_xlpm.result=0,"",_xlpm.result))</f>
        <v/>
      </c>
      <c r="P98" s="2" t="str">
        <f>_xlfn.LET(_xlpm.result, _xlfn.XLOOKUP($A98,'EA-Fortescue_SDExport'!$A:$A,'EA-Fortescue_SDExport'!D:D), IF(_xlpm.result=0,"",_xlpm.result))</f>
        <v/>
      </c>
      <c r="Q98" s="2" t="str">
        <f>_xlfn.LET(
    _xlpm.status, _xlfn.XLOOKUP($A98,'EA-ConnectorExport'!$A:$A,'EA-ConnectorExport'!G:G),
    _xlpm.result, _xlfn.XLOOKUP($A98,'EA-ConnectorExport'!$A:$A,'EA-ConnectorExport'!B:B),
    IF(_xlpm.status="allocate", _xlpm.result, "")
)</f>
        <v>004OP-1304 Port Ore Stockpile</v>
      </c>
      <c r="R98" s="2" t="str">
        <f>IF(
    _xlfn.XLOOKUP($Q98,'EA-Fortescue_SDExport'!A:A,'EA-Fortescue_SDExport'!B:B)="Object",
    _xlfn.XLOOKUP(
        _xlfn.XLOOKUP($A98,'EA-ConnectorExport'!A:A,'EA-ConnectorExport'!D:D),
        'EA-Fortescue_SDExport'!A:A,
        'EA-Fortescue_SDExport'!AA:AA
    ),
    _xlfn.XLOOKUP($Q98,'EA-Fortescue_SDExport'!A:A,'EA-Fortescue_SDExport'!AA:AA)
)</f>
        <v>System</v>
      </c>
      <c r="S98" s="2" t="str">
        <f>_xlfn.LET(_xlpm.result, _xlfn.XLOOKUP($Q98,'EA-Fortescue_SDExport'!$A:$A,'EA-Fortescue_SDExport'!AB:AB), IF(_xlpm.result=0,"",_xlpm.result))</f>
        <v/>
      </c>
      <c r="T98" s="2" t="str">
        <f>_xlfn.LET(_xlpm.result, _xlfn.XLOOKUP($Q98,'EA-Fortescue_SDExport'!$A:$A,'EA-Fortescue_SDExport'!AC:AC), IF(_xlpm.result=0,"",_xlpm.result))</f>
        <v>Generic Physical Asset</v>
      </c>
      <c r="U98" s="2" t="str">
        <f>_xlfn.LET(
    _xlpm.isObject, _xlfn.XLOOKUP($Q98,'EA-Fortescue_SDExport'!A:A,'EA-Fortescue_SDExport'!B:B),
    _xlpm.lookupKey, IF(_xlpm.isObject="Object",
        _xlfn.XLOOKUP($A98,'EA-ConnectorExport'!A:A,'EA-ConnectorExport'!D:D),
        $Q98
    ),
    _xlpm.result, _xlfn.XLOOKUP(_xlpm.lookupKey,'EA-Fortescue_SDExport'!A:A,'EA-Fortescue_SDExport'!AD:AD),
    IF(_xlpm.result=0,"",_xlpm.result)
)</f>
        <v>004OP Product Storage</v>
      </c>
      <c r="V98" s="2" t="str">
        <f>_xlfn.LET(
    _xlpm.isObject, _xlfn.XLOOKUP($Q98,'EA-Fortescue_SDExport'!A:A,'EA-Fortescue_SDExport'!B:B),
    _xlpm.lookupKey, IF(_xlpm.isObject="Object",
        _xlfn.XLOOKUP($A98,'EA-ConnectorExport'!A:A,'EA-ConnectorExport'!D:D),
        $Q98
    ),
    _xlpm.result, _xlfn.XLOOKUP(_xlpm.lookupKey,'EA-Fortescue_SDExport'!A:A,'EA-Fortescue_SDExport'!AE:AE),
    IF(_xlpm.result=0,"",_xlpm.result)
)</f>
        <v>004OP-1304 Port Ore Stockpile</v>
      </c>
      <c r="W98" s="2" t="str">
        <f>_xlfn.LET(
    _xlpm.isObject, _xlfn.XLOOKUP($Q98,'EA-Fortescue_SDExport'!A:A,'EA-Fortescue_SDExport'!B:B),
    _xlpm.lookupKey, IF(_xlpm.isObject="Object",
        _xlfn.XLOOKUP($A98,'EA-ConnectorExport'!A:A,'EA-ConnectorExport'!D:D),
        $Q98
    ),
    _xlpm.result, _xlfn.XLOOKUP(_xlpm.lookupKey,'EA-Fortescue_SDExport'!A:A,'EA-Fortescue_SDExport'!AF:AF),
    IF(_xlpm.result=0,"",_xlpm.result)
)</f>
        <v/>
      </c>
      <c r="X98" s="2" t="str">
        <f>_xlfn.LET(
    _xlpm.isObject, _xlfn.XLOOKUP($Q98,'EA-Fortescue_SDExport'!A:A,'EA-Fortescue_SDExport'!B:B),
    _xlpm.lookupKey, IF(_xlpm.isObject="Object",
        _xlfn.XLOOKUP($A98,'EA-ConnectorExport'!A:A,'EA-ConnectorExport'!D:D),
        $Q98
    ),
    _xlpm.result, _xlfn.XLOOKUP(_xlpm.lookupKey,'EA-Fortescue_SDExport'!A:A,'EA-Fortescue_SDExport'!AG:AG),
    IF(_xlpm.result=0,"",_xlpm.result)
)</f>
        <v/>
      </c>
      <c r="Y98" s="2" t="str">
        <f>_xlfn.LET(
    _xlpm.status, _xlfn.XLOOKUP($A98,'EA-ConnectorExport'!$A:$A,'EA-ConnectorExport'!G:G),
    _xlpm.result, _xlfn.XLOOKUP($A98,'EA-ConnectorExport'!$A:$A,'EA-ConnectorExport'!H:H),
    IF(_xlpm.status="allocate", _xlpm.result, "")
)</f>
        <v>001OP-3720 Concentrate Pipeline</v>
      </c>
      <c r="Z98" s="2" t="str">
        <f>_xlfn.LET(
    _xlpm.isObject, _xlfn.XLOOKUP($Y98,'EA-Fortescue_SDExport'!A:A,'EA-Fortescue_SDExport'!B:B),
    _xlpm.lookupKey, IF(_xlpm.isObject="Object",
        _xlfn.XLOOKUP($A98,'EA-ConnectorExport'!A:A,'EA-ConnectorExport'!J:J),
        $Y98
    ),
    _xlpm.result, _xlfn.XLOOKUP(_xlpm.lookupKey,'EA-Fortescue_SDExport'!A:A,'EA-Fortescue_SDExport'!AA:AA),
    IF(_xlpm.result=0,"",_xlpm.result)
)</f>
        <v>System</v>
      </c>
      <c r="AA98" s="2" t="str">
        <f>_xlfn.LET(_xlpm.result, _xlfn.XLOOKUP($Y98,'EA-Fortescue_SDExport'!$A:$A,'EA-Fortescue_SDExport'!AB:AB), IF(_xlpm.result=0,"",_xlpm.result))</f>
        <v/>
      </c>
      <c r="AB98" s="2" t="str">
        <f>_xlfn.LET(_xlpm.result, _xlfn.XLOOKUP($Y98,'EA-Fortescue_SDExport'!$A:$A,'EA-Fortescue_SDExport'!AC:AC), IF(_xlpm.result=0,"",_xlpm.result))</f>
        <v>Generic Physical Asset</v>
      </c>
      <c r="AC98" s="2" t="str">
        <f>_xlfn.LET(
    _xlpm.isObject, _xlfn.XLOOKUP($Y98,'EA-Fortescue_SDExport'!A:A,'EA-Fortescue_SDExport'!B:B),
    _xlpm.lookupKey, IF(_xlpm.isObject="Object",
        _xlfn.XLOOKUP($A98,'EA-ConnectorExport'!A:A,'EA-ConnectorExport'!J:J),
        $Y98
    ),
    _xlpm.result, _xlfn.XLOOKUP(_xlpm.lookupKey,'EA-Fortescue_SDExport'!A:A,'EA-Fortescue_SDExport'!AD:AD),
    IF(_xlpm.result=0,"",_xlpm.result)
)</f>
        <v>001OP Fixed Process Plant</v>
      </c>
      <c r="AD98" s="2" t="str">
        <f>_xlfn.LET(
    _xlpm.isObject, _xlfn.XLOOKUP($Y98,'EA-Fortescue_SDExport'!A:A,'EA-Fortescue_SDExport'!B:B),
    _xlpm.lookupKey, IF(_xlpm.isObject="Object",
        _xlfn.XLOOKUP($A98,'EA-ConnectorExport'!A:A,'EA-ConnectorExport'!J:J),
        $Y98
    ),
    _xlpm.result, _xlfn.XLOOKUP(_xlpm.lookupKey,'EA-Fortescue_SDExport'!A:A,'EA-Fortescue_SDExport'!AE:AE),
    IF(_xlpm.result=0,"",_xlpm.result)
)</f>
        <v>001OP-3720 Concentrate Pipeline</v>
      </c>
      <c r="AE98" s="2" t="str">
        <f>_xlfn.LET(
    _xlpm.isObject, _xlfn.XLOOKUP($Y98,'EA-Fortescue_SDExport'!A:A,'EA-Fortescue_SDExport'!B:B),
    _xlpm.lookupKey, IF(_xlpm.isObject="Object",
        _xlfn.XLOOKUP($A98,'EA-ConnectorExport'!A:A,'EA-ConnectorExport'!J:J),
        $Y98
    ),
    _xlpm.result, _xlfn.XLOOKUP(_xlpm.lookupKey,'EA-Fortescue_SDExport'!A:A,'EA-Fortescue_SDExport'!AF:AF),
    IF(_xlpm.result=0,"",_xlpm.result)
)</f>
        <v/>
      </c>
      <c r="AF98" s="2" t="str">
        <f>_xlfn.LET(
    _xlpm.isObject, _xlfn.XLOOKUP($Y98,'EA-Fortescue_SDExport'!A:A,'EA-Fortescue_SDExport'!B:B),
    _xlpm.lookupKey, IF(_xlpm.isObject="Object",
        _xlfn.XLOOKUP($A98,'EA-ConnectorExport'!A:A,'EA-ConnectorExport'!J:J),
        $Y98
    ),
    _xlpm.result, _xlfn.XLOOKUP(_xlpm.lookupKey,'EA-Fortescue_SDExport'!A:A,'EA-Fortescue_SDExport'!AG:AG),
    IF(_xlpm.result=0,"",_xlpm.result)
)</f>
        <v/>
      </c>
    </row>
    <row r="99" spans="1:32" ht="30" x14ac:dyDescent="0.25">
      <c r="A99" s="2" t="str">
        <v>DGS-I_0098</v>
      </c>
      <c r="B99" s="2" t="str">
        <f t="shared" si="4"/>
        <v>001OP-2920 Train Load Out (TLO)|001OP-4160 Train Unloader (TUL)</v>
      </c>
      <c r="C99" s="2" t="str">
        <f>_xlfn.LET(_xlpm.result, _xlfn.XLOOKUP(A99,'EA-Fortescue_SDExport'!A:A,'EA-Fortescue_SDExport'!AM:AM), IF(_xlpm.result=0,"",_xlpm.result))</f>
        <v/>
      </c>
      <c r="D99" s="2" t="str">
        <f>_xlfn.LET(_xlpm.result, _xlfn.XLOOKUP(A99,'EA-Fortescue_SDExport'!A:A,'EA-Fortescue_SDExport'!AN:AN), IF(_xlpm.result=0,"",_xlpm.result))</f>
        <v/>
      </c>
      <c r="E99" s="2" t="str">
        <f>_xlfn.XLOOKUP(R99&amp;Z99,Lookups!A:A,Lookups!B:B)</f>
        <v>System - System Interface</v>
      </c>
      <c r="F99" s="2" t="str">
        <f>_xlfn.LET(_xlpm.result, _xlfn.XLOOKUP(A99,'EA-Fortescue_SDExport'!A:A,'EA-Fortescue_SDExport'!AP:AP), IF(_xlpm.result=0,"",_xlpm.result))</f>
        <v/>
      </c>
      <c r="G99" s="2" t="str">
        <f>IF(OR(AND(T99&lt;&gt;"", COUNTIF(Lookups!J:J, "*"&amp;T99&amp;"*")&gt;0), AND(AB99&lt;&gt;"", COUNTIF(Lookups!J:J, "*"&amp;AB99&amp;"*")&gt;0)), "Yes", "No")</f>
        <v>No</v>
      </c>
      <c r="H99" s="2" t="str">
        <f t="shared" si="5"/>
        <v>001OP Fixed Process Plant|001OP Fixed Process Plant</v>
      </c>
      <c r="I99" s="2" t="str">
        <f t="shared" si="6"/>
        <v>001OP-2920 Train Load Out (TLO)|001OP-4160 Train Unloader (TUL)</v>
      </c>
      <c r="J99" s="2" t="str">
        <f t="shared" si="7"/>
        <v>N/A</v>
      </c>
      <c r="K99" s="2" t="str">
        <f>_xlfn.XLOOKUP(A99,'EA-Fortescue_SDExport'!A:A,'EA-Fortescue_SDExport'!N:N)</f>
        <v>Proposed</v>
      </c>
      <c r="L99" s="2" t="str">
        <f>_xlfn.LET(_xlpm.result, _xlfn.XLOOKUP($A99,'EA-Fortescue_SDExport'!$A:$A,'EA-Fortescue_SDExport'!AQ:AQ), IF(_xlpm.result=0,"",_xlpm.result))</f>
        <v/>
      </c>
      <c r="M99" s="2" t="str">
        <f>_xlfn.LET(_xlpm.result, _xlfn.XLOOKUP($A99,'EA-Fortescue_SDExport'!$A:$A,'EA-Fortescue_SDExport'!AR:AR), IF(_xlpm.result=0,"",_xlpm.result))</f>
        <v/>
      </c>
      <c r="N99" s="2" t="str">
        <f>_xlfn.LET(_xlpm.result, _xlfn.XLOOKUP($A99,'EA-Fortescue_SDExport'!$A:$A,'EA-Fortescue_SDExport'!AW:AW), IF(_xlpm.result=0,"",_xlpm.result))</f>
        <v/>
      </c>
      <c r="O99" s="2" t="str">
        <f>_xlfn.LET(_xlpm.result, _xlfn.XLOOKUP($A99,'EA-Fortescue_SDExport'!$A:$A,'EA-Fortescue_SDExport'!AV:AV), IF(_xlpm.result=0,"",_xlpm.result))</f>
        <v/>
      </c>
      <c r="P99" s="2" t="str">
        <f>_xlfn.LET(_xlpm.result, _xlfn.XLOOKUP($A99,'EA-Fortescue_SDExport'!$A:$A,'EA-Fortescue_SDExport'!D:D), IF(_xlpm.result=0,"",_xlpm.result))</f>
        <v/>
      </c>
      <c r="Q99" s="2" t="str">
        <f>_xlfn.LET(
    _xlpm.status, _xlfn.XLOOKUP($A99,'EA-ConnectorExport'!$A:$A,'EA-ConnectorExport'!G:G),
    _xlpm.result, _xlfn.XLOOKUP($A99,'EA-ConnectorExport'!$A:$A,'EA-ConnectorExport'!B:B),
    IF(_xlpm.status="allocate", _xlpm.result, "")
)</f>
        <v>001OP-2920 Train Load Out (TLO)</v>
      </c>
      <c r="R99" s="2" t="str">
        <f>IF(
    _xlfn.XLOOKUP($Q99,'EA-Fortescue_SDExport'!A:A,'EA-Fortescue_SDExport'!B:B)="Object",
    _xlfn.XLOOKUP(
        _xlfn.XLOOKUP($A99,'EA-ConnectorExport'!A:A,'EA-ConnectorExport'!D:D),
        'EA-Fortescue_SDExport'!A:A,
        'EA-Fortescue_SDExport'!AA:AA
    ),
    _xlfn.XLOOKUP($Q99,'EA-Fortescue_SDExport'!A:A,'EA-Fortescue_SDExport'!AA:AA)
)</f>
        <v>System</v>
      </c>
      <c r="S99" s="2" t="str">
        <f>_xlfn.LET(_xlpm.result, _xlfn.XLOOKUP($Q99,'EA-Fortescue_SDExport'!$A:$A,'EA-Fortescue_SDExport'!AB:AB), IF(_xlpm.result=0,"",_xlpm.result))</f>
        <v/>
      </c>
      <c r="T99" s="2" t="str">
        <f>_xlfn.LET(_xlpm.result, _xlfn.XLOOKUP($Q99,'EA-Fortescue_SDExport'!$A:$A,'EA-Fortescue_SDExport'!AC:AC), IF(_xlpm.result=0,"",_xlpm.result))</f>
        <v>Generic Physical Asset</v>
      </c>
      <c r="U99" s="2" t="str">
        <f>_xlfn.LET(
    _xlpm.isObject, _xlfn.XLOOKUP($Q99,'EA-Fortescue_SDExport'!A:A,'EA-Fortescue_SDExport'!B:B),
    _xlpm.lookupKey, IF(_xlpm.isObject="Object",
        _xlfn.XLOOKUP($A99,'EA-ConnectorExport'!A:A,'EA-ConnectorExport'!D:D),
        $Q99
    ),
    _xlpm.result, _xlfn.XLOOKUP(_xlpm.lookupKey,'EA-Fortescue_SDExport'!A:A,'EA-Fortescue_SDExport'!AD:AD),
    IF(_xlpm.result=0,"",_xlpm.result)
)</f>
        <v>001OP Fixed Process Plant</v>
      </c>
      <c r="V99" s="2" t="str">
        <f>_xlfn.LET(
    _xlpm.isObject, _xlfn.XLOOKUP($Q99,'EA-Fortescue_SDExport'!A:A,'EA-Fortescue_SDExport'!B:B),
    _xlpm.lookupKey, IF(_xlpm.isObject="Object",
        _xlfn.XLOOKUP($A99,'EA-ConnectorExport'!A:A,'EA-ConnectorExport'!D:D),
        $Q99
    ),
    _xlpm.result, _xlfn.XLOOKUP(_xlpm.lookupKey,'EA-Fortescue_SDExport'!A:A,'EA-Fortescue_SDExport'!AE:AE),
    IF(_xlpm.result=0,"",_xlpm.result)
)</f>
        <v>001OP-2920 Train Load Out (TLO)</v>
      </c>
      <c r="W99" s="2" t="str">
        <f>_xlfn.LET(
    _xlpm.isObject, _xlfn.XLOOKUP($Q99,'EA-Fortescue_SDExport'!A:A,'EA-Fortescue_SDExport'!B:B),
    _xlpm.lookupKey, IF(_xlpm.isObject="Object",
        _xlfn.XLOOKUP($A99,'EA-ConnectorExport'!A:A,'EA-ConnectorExport'!D:D),
        $Q99
    ),
    _xlpm.result, _xlfn.XLOOKUP(_xlpm.lookupKey,'EA-Fortescue_SDExport'!A:A,'EA-Fortescue_SDExport'!AF:AF),
    IF(_xlpm.result=0,"",_xlpm.result)
)</f>
        <v/>
      </c>
      <c r="X99" s="2" t="str">
        <f>_xlfn.LET(
    _xlpm.isObject, _xlfn.XLOOKUP($Q99,'EA-Fortescue_SDExport'!A:A,'EA-Fortescue_SDExport'!B:B),
    _xlpm.lookupKey, IF(_xlpm.isObject="Object",
        _xlfn.XLOOKUP($A99,'EA-ConnectorExport'!A:A,'EA-ConnectorExport'!D:D),
        $Q99
    ),
    _xlpm.result, _xlfn.XLOOKUP(_xlpm.lookupKey,'EA-Fortescue_SDExport'!A:A,'EA-Fortescue_SDExport'!AG:AG),
    IF(_xlpm.result=0,"",_xlpm.result)
)</f>
        <v/>
      </c>
      <c r="Y99" s="2" t="str">
        <f>_xlfn.LET(
    _xlpm.status, _xlfn.XLOOKUP($A99,'EA-ConnectorExport'!$A:$A,'EA-ConnectorExport'!G:G),
    _xlpm.result, _xlfn.XLOOKUP($A99,'EA-ConnectorExport'!$A:$A,'EA-ConnectorExport'!H:H),
    IF(_xlpm.status="allocate", _xlpm.result, "")
)</f>
        <v>001OP-4160 Train Unloader (TUL)</v>
      </c>
      <c r="Z99" s="2" t="str">
        <f>_xlfn.LET(
    _xlpm.isObject, _xlfn.XLOOKUP($Y99,'EA-Fortescue_SDExport'!A:A,'EA-Fortescue_SDExport'!B:B),
    _xlpm.lookupKey, IF(_xlpm.isObject="Object",
        _xlfn.XLOOKUP($A99,'EA-ConnectorExport'!A:A,'EA-ConnectorExport'!J:J),
        $Y99
    ),
    _xlpm.result, _xlfn.XLOOKUP(_xlpm.lookupKey,'EA-Fortescue_SDExport'!A:A,'EA-Fortescue_SDExport'!AA:AA),
    IF(_xlpm.result=0,"",_xlpm.result)
)</f>
        <v>System</v>
      </c>
      <c r="AA99" s="2" t="str">
        <f>_xlfn.LET(_xlpm.result, _xlfn.XLOOKUP($Y99,'EA-Fortescue_SDExport'!$A:$A,'EA-Fortescue_SDExport'!AB:AB), IF(_xlpm.result=0,"",_xlpm.result))</f>
        <v/>
      </c>
      <c r="AB99" s="2" t="str">
        <f>_xlfn.LET(_xlpm.result, _xlfn.XLOOKUP($Y99,'EA-Fortescue_SDExport'!$A:$A,'EA-Fortescue_SDExport'!AC:AC), IF(_xlpm.result=0,"",_xlpm.result))</f>
        <v>Generic Physical Asset</v>
      </c>
      <c r="AC99" s="2" t="str">
        <f>_xlfn.LET(
    _xlpm.isObject, _xlfn.XLOOKUP($Y99,'EA-Fortescue_SDExport'!A:A,'EA-Fortescue_SDExport'!B:B),
    _xlpm.lookupKey, IF(_xlpm.isObject="Object",
        _xlfn.XLOOKUP($A99,'EA-ConnectorExport'!A:A,'EA-ConnectorExport'!J:J),
        $Y99
    ),
    _xlpm.result, _xlfn.XLOOKUP(_xlpm.lookupKey,'EA-Fortescue_SDExport'!A:A,'EA-Fortescue_SDExport'!AD:AD),
    IF(_xlpm.result=0,"",_xlpm.result)
)</f>
        <v>001OP Fixed Process Plant</v>
      </c>
      <c r="AD99" s="2" t="str">
        <f>_xlfn.LET(
    _xlpm.isObject, _xlfn.XLOOKUP($Y99,'EA-Fortescue_SDExport'!A:A,'EA-Fortescue_SDExport'!B:B),
    _xlpm.lookupKey, IF(_xlpm.isObject="Object",
        _xlfn.XLOOKUP($A99,'EA-ConnectorExport'!A:A,'EA-ConnectorExport'!J:J),
        $Y99
    ),
    _xlpm.result, _xlfn.XLOOKUP(_xlpm.lookupKey,'EA-Fortescue_SDExport'!A:A,'EA-Fortescue_SDExport'!AE:AE),
    IF(_xlpm.result=0,"",_xlpm.result)
)</f>
        <v>001OP-4160 Train Unloader (TUL)</v>
      </c>
      <c r="AE99" s="2" t="str">
        <f>_xlfn.LET(
    _xlpm.isObject, _xlfn.XLOOKUP($Y99,'EA-Fortescue_SDExport'!A:A,'EA-Fortescue_SDExport'!B:B),
    _xlpm.lookupKey, IF(_xlpm.isObject="Object",
        _xlfn.XLOOKUP($A99,'EA-ConnectorExport'!A:A,'EA-ConnectorExport'!J:J),
        $Y99
    ),
    _xlpm.result, _xlfn.XLOOKUP(_xlpm.lookupKey,'EA-Fortescue_SDExport'!A:A,'EA-Fortescue_SDExport'!AF:AF),
    IF(_xlpm.result=0,"",_xlpm.result)
)</f>
        <v/>
      </c>
      <c r="AF99" s="2" t="str">
        <f>_xlfn.LET(
    _xlpm.isObject, _xlfn.XLOOKUP($Y99,'EA-Fortescue_SDExport'!A:A,'EA-Fortescue_SDExport'!B:B),
    _xlpm.lookupKey, IF(_xlpm.isObject="Object",
        _xlfn.XLOOKUP($A99,'EA-ConnectorExport'!A:A,'EA-ConnectorExport'!J:J),
        $Y99
    ),
    _xlpm.result, _xlfn.XLOOKUP(_xlpm.lookupKey,'EA-Fortescue_SDExport'!A:A,'EA-Fortescue_SDExport'!AG:AG),
    IF(_xlpm.result=0,"",_xlpm.result)
)</f>
        <v/>
      </c>
    </row>
    <row r="100" spans="1:32" ht="30" x14ac:dyDescent="0.25">
      <c r="A100" s="2" t="str">
        <v>DGS-I_0099</v>
      </c>
      <c r="B100" s="2" t="str">
        <f t="shared" si="4"/>
        <v>001OP-4160 Train Unloader (TUL)|001OP-4000 Port Facilities</v>
      </c>
      <c r="C100" s="2" t="str">
        <f>_xlfn.LET(_xlpm.result, _xlfn.XLOOKUP(A100,'EA-Fortescue_SDExport'!A:A,'EA-Fortescue_SDExport'!AM:AM), IF(_xlpm.result=0,"",_xlpm.result))</f>
        <v/>
      </c>
      <c r="D100" s="2" t="str">
        <f>_xlfn.LET(_xlpm.result, _xlfn.XLOOKUP(A100,'EA-Fortescue_SDExport'!A:A,'EA-Fortescue_SDExport'!AN:AN), IF(_xlpm.result=0,"",_xlpm.result))</f>
        <v/>
      </c>
      <c r="E100" s="2" t="str">
        <f>_xlfn.XLOOKUP(R100&amp;Z100,Lookups!A:A,Lookups!B:B)</f>
        <v>System - System Interface</v>
      </c>
      <c r="F100" s="2" t="str">
        <f>_xlfn.LET(_xlpm.result, _xlfn.XLOOKUP(A100,'EA-Fortescue_SDExport'!A:A,'EA-Fortescue_SDExport'!AP:AP), IF(_xlpm.result=0,"",_xlpm.result))</f>
        <v/>
      </c>
      <c r="G100" s="2" t="str">
        <f>IF(OR(AND(T100&lt;&gt;"", COUNTIF(Lookups!J:J, "*"&amp;T100&amp;"*")&gt;0), AND(AB100&lt;&gt;"", COUNTIF(Lookups!J:J, "*"&amp;AB100&amp;"*")&gt;0)), "Yes", "No")</f>
        <v>No</v>
      </c>
      <c r="H100" s="2" t="str">
        <f t="shared" si="5"/>
        <v>001OP Fixed Process Plant|001OP Fixed Process Plant</v>
      </c>
      <c r="I100" s="2" t="str">
        <f t="shared" si="6"/>
        <v>001OP-4160 Train Unloader (TUL)|001OP-4000 Port Facilities</v>
      </c>
      <c r="J100" s="2" t="str">
        <f t="shared" si="7"/>
        <v>N/A</v>
      </c>
      <c r="K100" s="2" t="str">
        <f>_xlfn.XLOOKUP(A100,'EA-Fortescue_SDExport'!A:A,'EA-Fortescue_SDExport'!N:N)</f>
        <v>Proposed</v>
      </c>
      <c r="L100" s="2" t="str">
        <f>_xlfn.LET(_xlpm.result, _xlfn.XLOOKUP($A100,'EA-Fortescue_SDExport'!$A:$A,'EA-Fortescue_SDExport'!AQ:AQ), IF(_xlpm.result=0,"",_xlpm.result))</f>
        <v/>
      </c>
      <c r="M100" s="2" t="str">
        <f>_xlfn.LET(_xlpm.result, _xlfn.XLOOKUP($A100,'EA-Fortescue_SDExport'!$A:$A,'EA-Fortescue_SDExport'!AR:AR), IF(_xlpm.result=0,"",_xlpm.result))</f>
        <v/>
      </c>
      <c r="N100" s="2" t="str">
        <f>_xlfn.LET(_xlpm.result, _xlfn.XLOOKUP($A100,'EA-Fortescue_SDExport'!$A:$A,'EA-Fortescue_SDExport'!AW:AW), IF(_xlpm.result=0,"",_xlpm.result))</f>
        <v/>
      </c>
      <c r="O100" s="2" t="str">
        <f>_xlfn.LET(_xlpm.result, _xlfn.XLOOKUP($A100,'EA-Fortescue_SDExport'!$A:$A,'EA-Fortescue_SDExport'!AV:AV), IF(_xlpm.result=0,"",_xlpm.result))</f>
        <v/>
      </c>
      <c r="P100" s="2" t="str">
        <f>_xlfn.LET(_xlpm.result, _xlfn.XLOOKUP($A100,'EA-Fortescue_SDExport'!$A:$A,'EA-Fortescue_SDExport'!D:D), IF(_xlpm.result=0,"",_xlpm.result))</f>
        <v/>
      </c>
      <c r="Q100" s="2" t="str">
        <f>_xlfn.LET(
    _xlpm.status, _xlfn.XLOOKUP($A100,'EA-ConnectorExport'!$A:$A,'EA-ConnectorExport'!G:G),
    _xlpm.result, _xlfn.XLOOKUP($A100,'EA-ConnectorExport'!$A:$A,'EA-ConnectorExport'!B:B),
    IF(_xlpm.status="allocate", _xlpm.result, "")
)</f>
        <v>001OP-4160 Train Unloader (TUL)</v>
      </c>
      <c r="R100" s="2" t="str">
        <f>IF(
    _xlfn.XLOOKUP($Q100,'EA-Fortescue_SDExport'!A:A,'EA-Fortescue_SDExport'!B:B)="Object",
    _xlfn.XLOOKUP(
        _xlfn.XLOOKUP($A100,'EA-ConnectorExport'!A:A,'EA-ConnectorExport'!D:D),
        'EA-Fortescue_SDExport'!A:A,
        'EA-Fortescue_SDExport'!AA:AA
    ),
    _xlfn.XLOOKUP($Q100,'EA-Fortescue_SDExport'!A:A,'EA-Fortescue_SDExport'!AA:AA)
)</f>
        <v>System</v>
      </c>
      <c r="S100" s="2" t="str">
        <f>_xlfn.LET(_xlpm.result, _xlfn.XLOOKUP($Q100,'EA-Fortescue_SDExport'!$A:$A,'EA-Fortescue_SDExport'!AB:AB), IF(_xlpm.result=0,"",_xlpm.result))</f>
        <v/>
      </c>
      <c r="T100" s="2" t="str">
        <f>_xlfn.LET(_xlpm.result, _xlfn.XLOOKUP($Q100,'EA-Fortescue_SDExport'!$A:$A,'EA-Fortescue_SDExport'!AC:AC), IF(_xlpm.result=0,"",_xlpm.result))</f>
        <v>Generic Physical Asset</v>
      </c>
      <c r="U100" s="2" t="str">
        <f>_xlfn.LET(
    _xlpm.isObject, _xlfn.XLOOKUP($Q100,'EA-Fortescue_SDExport'!A:A,'EA-Fortescue_SDExport'!B:B),
    _xlpm.lookupKey, IF(_xlpm.isObject="Object",
        _xlfn.XLOOKUP($A100,'EA-ConnectorExport'!A:A,'EA-ConnectorExport'!D:D),
        $Q100
    ),
    _xlpm.result, _xlfn.XLOOKUP(_xlpm.lookupKey,'EA-Fortescue_SDExport'!A:A,'EA-Fortescue_SDExport'!AD:AD),
    IF(_xlpm.result=0,"",_xlpm.result)
)</f>
        <v>001OP Fixed Process Plant</v>
      </c>
      <c r="V100" s="2" t="str">
        <f>_xlfn.LET(
    _xlpm.isObject, _xlfn.XLOOKUP($Q100,'EA-Fortescue_SDExport'!A:A,'EA-Fortescue_SDExport'!B:B),
    _xlpm.lookupKey, IF(_xlpm.isObject="Object",
        _xlfn.XLOOKUP($A100,'EA-ConnectorExport'!A:A,'EA-ConnectorExport'!D:D),
        $Q100
    ),
    _xlpm.result, _xlfn.XLOOKUP(_xlpm.lookupKey,'EA-Fortescue_SDExport'!A:A,'EA-Fortescue_SDExport'!AE:AE),
    IF(_xlpm.result=0,"",_xlpm.result)
)</f>
        <v>001OP-4160 Train Unloader (TUL)</v>
      </c>
      <c r="W100" s="2" t="str">
        <f>_xlfn.LET(
    _xlpm.isObject, _xlfn.XLOOKUP($Q100,'EA-Fortescue_SDExport'!A:A,'EA-Fortescue_SDExport'!B:B),
    _xlpm.lookupKey, IF(_xlpm.isObject="Object",
        _xlfn.XLOOKUP($A100,'EA-ConnectorExport'!A:A,'EA-ConnectorExport'!D:D),
        $Q100
    ),
    _xlpm.result, _xlfn.XLOOKUP(_xlpm.lookupKey,'EA-Fortescue_SDExport'!A:A,'EA-Fortescue_SDExport'!AF:AF),
    IF(_xlpm.result=0,"",_xlpm.result)
)</f>
        <v/>
      </c>
      <c r="X100" s="2" t="str">
        <f>_xlfn.LET(
    _xlpm.isObject, _xlfn.XLOOKUP($Q100,'EA-Fortescue_SDExport'!A:A,'EA-Fortescue_SDExport'!B:B),
    _xlpm.lookupKey, IF(_xlpm.isObject="Object",
        _xlfn.XLOOKUP($A100,'EA-ConnectorExport'!A:A,'EA-ConnectorExport'!D:D),
        $Q100
    ),
    _xlpm.result, _xlfn.XLOOKUP(_xlpm.lookupKey,'EA-Fortescue_SDExport'!A:A,'EA-Fortescue_SDExport'!AG:AG),
    IF(_xlpm.result=0,"",_xlpm.result)
)</f>
        <v/>
      </c>
      <c r="Y100" s="2" t="str">
        <f>_xlfn.LET(
    _xlpm.status, _xlfn.XLOOKUP($A100,'EA-ConnectorExport'!$A:$A,'EA-ConnectorExport'!G:G),
    _xlpm.result, _xlfn.XLOOKUP($A100,'EA-ConnectorExport'!$A:$A,'EA-ConnectorExport'!H:H),
    IF(_xlpm.status="allocate", _xlpm.result, "")
)</f>
        <v>001OP-4000 Port Facilities</v>
      </c>
      <c r="Z100" s="2" t="str">
        <f>_xlfn.LET(
    _xlpm.isObject, _xlfn.XLOOKUP($Y100,'EA-Fortescue_SDExport'!A:A,'EA-Fortescue_SDExport'!B:B),
    _xlpm.lookupKey, IF(_xlpm.isObject="Object",
        _xlfn.XLOOKUP($A100,'EA-ConnectorExport'!A:A,'EA-ConnectorExport'!J:J),
        $Y100
    ),
    _xlpm.result, _xlfn.XLOOKUP(_xlpm.lookupKey,'EA-Fortescue_SDExport'!A:A,'EA-Fortescue_SDExport'!AA:AA),
    IF(_xlpm.result=0,"",_xlpm.result)
)</f>
        <v>System</v>
      </c>
      <c r="AA100" s="2" t="str">
        <f>_xlfn.LET(_xlpm.result, _xlfn.XLOOKUP($Y100,'EA-Fortescue_SDExport'!$A:$A,'EA-Fortescue_SDExport'!AB:AB), IF(_xlpm.result=0,"",_xlpm.result))</f>
        <v/>
      </c>
      <c r="AB100" s="2" t="str">
        <f>_xlfn.LET(_xlpm.result, _xlfn.XLOOKUP($Y100,'EA-Fortescue_SDExport'!$A:$A,'EA-Fortescue_SDExport'!AC:AC), IF(_xlpm.result=0,"",_xlpm.result))</f>
        <v>Generic Physical Asset</v>
      </c>
      <c r="AC100" s="2" t="str">
        <f>_xlfn.LET(
    _xlpm.isObject, _xlfn.XLOOKUP($Y100,'EA-Fortescue_SDExport'!A:A,'EA-Fortescue_SDExport'!B:B),
    _xlpm.lookupKey, IF(_xlpm.isObject="Object",
        _xlfn.XLOOKUP($A100,'EA-ConnectorExport'!A:A,'EA-ConnectorExport'!J:J),
        $Y100
    ),
    _xlpm.result, _xlfn.XLOOKUP(_xlpm.lookupKey,'EA-Fortescue_SDExport'!A:A,'EA-Fortescue_SDExport'!AD:AD),
    IF(_xlpm.result=0,"",_xlpm.result)
)</f>
        <v>001OP Fixed Process Plant</v>
      </c>
      <c r="AD100" s="2" t="str">
        <f>_xlfn.LET(
    _xlpm.isObject, _xlfn.XLOOKUP($Y100,'EA-Fortescue_SDExport'!A:A,'EA-Fortescue_SDExport'!B:B),
    _xlpm.lookupKey, IF(_xlpm.isObject="Object",
        _xlfn.XLOOKUP($A100,'EA-ConnectorExport'!A:A,'EA-ConnectorExport'!J:J),
        $Y100
    ),
    _xlpm.result, _xlfn.XLOOKUP(_xlpm.lookupKey,'EA-Fortescue_SDExport'!A:A,'EA-Fortescue_SDExport'!AE:AE),
    IF(_xlpm.result=0,"",_xlpm.result)
)</f>
        <v>001OP-4000 Port Facilities</v>
      </c>
      <c r="AE100" s="2" t="str">
        <f>_xlfn.LET(
    _xlpm.isObject, _xlfn.XLOOKUP($Y100,'EA-Fortescue_SDExport'!A:A,'EA-Fortescue_SDExport'!B:B),
    _xlpm.lookupKey, IF(_xlpm.isObject="Object",
        _xlfn.XLOOKUP($A100,'EA-ConnectorExport'!A:A,'EA-ConnectorExport'!J:J),
        $Y100
    ),
    _xlpm.result, _xlfn.XLOOKUP(_xlpm.lookupKey,'EA-Fortescue_SDExport'!A:A,'EA-Fortescue_SDExport'!AF:AF),
    IF(_xlpm.result=0,"",_xlpm.result)
)</f>
        <v/>
      </c>
      <c r="AF100" s="2" t="str">
        <f>_xlfn.LET(
    _xlpm.isObject, _xlfn.XLOOKUP($Y100,'EA-Fortescue_SDExport'!A:A,'EA-Fortescue_SDExport'!B:B),
    _xlpm.lookupKey, IF(_xlpm.isObject="Object",
        _xlfn.XLOOKUP($A100,'EA-ConnectorExport'!A:A,'EA-ConnectorExport'!J:J),
        $Y100
    ),
    _xlpm.result, _xlfn.XLOOKUP(_xlpm.lookupKey,'EA-Fortescue_SDExport'!A:A,'EA-Fortescue_SDExport'!AG:AG),
    IF(_xlpm.result=0,"",_xlpm.result)
)</f>
        <v/>
      </c>
    </row>
    <row r="101" spans="1:32" ht="45" x14ac:dyDescent="0.25">
      <c r="A101" s="2" t="str">
        <v>DGS-I_0100</v>
      </c>
      <c r="B101" s="2" t="str">
        <f t="shared" si="4"/>
        <v>001OP-4000 Port Facilities|001OP-2700 Material Handling Equipment</v>
      </c>
      <c r="C101" s="2" t="str">
        <f>_xlfn.LET(_xlpm.result, _xlfn.XLOOKUP(A101,'EA-Fortescue_SDExport'!A:A,'EA-Fortescue_SDExport'!AM:AM), IF(_xlpm.result=0,"",_xlpm.result))</f>
        <v/>
      </c>
      <c r="D101" s="2" t="str">
        <f>_xlfn.LET(_xlpm.result, _xlfn.XLOOKUP(A101,'EA-Fortescue_SDExport'!A:A,'EA-Fortescue_SDExport'!AN:AN), IF(_xlpm.result=0,"",_xlpm.result))</f>
        <v/>
      </c>
      <c r="E101" s="2" t="str">
        <f>_xlfn.XLOOKUP(R101&amp;Z101,Lookups!A:A,Lookups!B:B)</f>
        <v>System - System Interface</v>
      </c>
      <c r="F101" s="2" t="str">
        <f>_xlfn.LET(_xlpm.result, _xlfn.XLOOKUP(A101,'EA-Fortescue_SDExport'!A:A,'EA-Fortescue_SDExport'!AP:AP), IF(_xlpm.result=0,"",_xlpm.result))</f>
        <v/>
      </c>
      <c r="G101" s="2" t="str">
        <f>IF(OR(AND(T101&lt;&gt;"", COUNTIF(Lookups!J:J, "*"&amp;T101&amp;"*")&gt;0), AND(AB101&lt;&gt;"", COUNTIF(Lookups!J:J, "*"&amp;AB101&amp;"*")&gt;0)), "Yes", "No")</f>
        <v>No</v>
      </c>
      <c r="H101" s="2" t="str">
        <f t="shared" si="5"/>
        <v>001OP Fixed Process Plant|001OP Fixed Process Plant</v>
      </c>
      <c r="I101" s="2" t="str">
        <f t="shared" si="6"/>
        <v>001OP-4000 Port Facilities|001OP-2700 Material Handling Equipment</v>
      </c>
      <c r="J101" s="2" t="str">
        <f t="shared" si="7"/>
        <v>N/A</v>
      </c>
      <c r="K101" s="2" t="str">
        <f>_xlfn.XLOOKUP(A101,'EA-Fortescue_SDExport'!A:A,'EA-Fortescue_SDExport'!N:N)</f>
        <v>Proposed</v>
      </c>
      <c r="L101" s="2" t="str">
        <f>_xlfn.LET(_xlpm.result, _xlfn.XLOOKUP($A101,'EA-Fortescue_SDExport'!$A:$A,'EA-Fortescue_SDExport'!AQ:AQ), IF(_xlpm.result=0,"",_xlpm.result))</f>
        <v/>
      </c>
      <c r="M101" s="2" t="str">
        <f>_xlfn.LET(_xlpm.result, _xlfn.XLOOKUP($A101,'EA-Fortescue_SDExport'!$A:$A,'EA-Fortescue_SDExport'!AR:AR), IF(_xlpm.result=0,"",_xlpm.result))</f>
        <v/>
      </c>
      <c r="N101" s="2" t="str">
        <f>_xlfn.LET(_xlpm.result, _xlfn.XLOOKUP($A101,'EA-Fortescue_SDExport'!$A:$A,'EA-Fortescue_SDExport'!AW:AW), IF(_xlpm.result=0,"",_xlpm.result))</f>
        <v/>
      </c>
      <c r="O101" s="2" t="str">
        <f>_xlfn.LET(_xlpm.result, _xlfn.XLOOKUP($A101,'EA-Fortescue_SDExport'!$A:$A,'EA-Fortescue_SDExport'!AV:AV), IF(_xlpm.result=0,"",_xlpm.result))</f>
        <v/>
      </c>
      <c r="P101" s="2" t="str">
        <f>_xlfn.LET(_xlpm.result, _xlfn.XLOOKUP($A101,'EA-Fortescue_SDExport'!$A:$A,'EA-Fortescue_SDExport'!D:D), IF(_xlpm.result=0,"",_xlpm.result))</f>
        <v/>
      </c>
      <c r="Q101" s="2" t="str">
        <f>_xlfn.LET(
    _xlpm.status, _xlfn.XLOOKUP($A101,'EA-ConnectorExport'!$A:$A,'EA-ConnectorExport'!G:G),
    _xlpm.result, _xlfn.XLOOKUP($A101,'EA-ConnectorExport'!$A:$A,'EA-ConnectorExport'!B:B),
    IF(_xlpm.status="allocate", _xlpm.result, "")
)</f>
        <v>001OP-4000 Port Facilities</v>
      </c>
      <c r="R101" s="2" t="str">
        <f>IF(
    _xlfn.XLOOKUP($Q101,'EA-Fortescue_SDExport'!A:A,'EA-Fortescue_SDExport'!B:B)="Object",
    _xlfn.XLOOKUP(
        _xlfn.XLOOKUP($A101,'EA-ConnectorExport'!A:A,'EA-ConnectorExport'!D:D),
        'EA-Fortescue_SDExport'!A:A,
        'EA-Fortescue_SDExport'!AA:AA
    ),
    _xlfn.XLOOKUP($Q101,'EA-Fortescue_SDExport'!A:A,'EA-Fortescue_SDExport'!AA:AA)
)</f>
        <v>System</v>
      </c>
      <c r="S101" s="2" t="str">
        <f>_xlfn.LET(_xlpm.result, _xlfn.XLOOKUP($Q101,'EA-Fortescue_SDExport'!$A:$A,'EA-Fortescue_SDExport'!AB:AB), IF(_xlpm.result=0,"",_xlpm.result))</f>
        <v/>
      </c>
      <c r="T101" s="2" t="str">
        <f>_xlfn.LET(_xlpm.result, _xlfn.XLOOKUP($Q101,'EA-Fortescue_SDExport'!$A:$A,'EA-Fortescue_SDExport'!AC:AC), IF(_xlpm.result=0,"",_xlpm.result))</f>
        <v>Generic Physical Asset</v>
      </c>
      <c r="U101" s="2" t="str">
        <f>_xlfn.LET(
    _xlpm.isObject, _xlfn.XLOOKUP($Q101,'EA-Fortescue_SDExport'!A:A,'EA-Fortescue_SDExport'!B:B),
    _xlpm.lookupKey, IF(_xlpm.isObject="Object",
        _xlfn.XLOOKUP($A101,'EA-ConnectorExport'!A:A,'EA-ConnectorExport'!D:D),
        $Q101
    ),
    _xlpm.result, _xlfn.XLOOKUP(_xlpm.lookupKey,'EA-Fortescue_SDExport'!A:A,'EA-Fortescue_SDExport'!AD:AD),
    IF(_xlpm.result=0,"",_xlpm.result)
)</f>
        <v>001OP Fixed Process Plant</v>
      </c>
      <c r="V101" s="2" t="str">
        <f>_xlfn.LET(
    _xlpm.isObject, _xlfn.XLOOKUP($Q101,'EA-Fortescue_SDExport'!A:A,'EA-Fortescue_SDExport'!B:B),
    _xlpm.lookupKey, IF(_xlpm.isObject="Object",
        _xlfn.XLOOKUP($A101,'EA-ConnectorExport'!A:A,'EA-ConnectorExport'!D:D),
        $Q101
    ),
    _xlpm.result, _xlfn.XLOOKUP(_xlpm.lookupKey,'EA-Fortescue_SDExport'!A:A,'EA-Fortescue_SDExport'!AE:AE),
    IF(_xlpm.result=0,"",_xlpm.result)
)</f>
        <v>001OP-4000 Port Facilities</v>
      </c>
      <c r="W101" s="2" t="str">
        <f>_xlfn.LET(
    _xlpm.isObject, _xlfn.XLOOKUP($Q101,'EA-Fortescue_SDExport'!A:A,'EA-Fortescue_SDExport'!B:B),
    _xlpm.lookupKey, IF(_xlpm.isObject="Object",
        _xlfn.XLOOKUP($A101,'EA-ConnectorExport'!A:A,'EA-ConnectorExport'!D:D),
        $Q101
    ),
    _xlpm.result, _xlfn.XLOOKUP(_xlpm.lookupKey,'EA-Fortescue_SDExport'!A:A,'EA-Fortescue_SDExport'!AF:AF),
    IF(_xlpm.result=0,"",_xlpm.result)
)</f>
        <v/>
      </c>
      <c r="X101" s="2" t="str">
        <f>_xlfn.LET(
    _xlpm.isObject, _xlfn.XLOOKUP($Q101,'EA-Fortescue_SDExport'!A:A,'EA-Fortescue_SDExport'!B:B),
    _xlpm.lookupKey, IF(_xlpm.isObject="Object",
        _xlfn.XLOOKUP($A101,'EA-ConnectorExport'!A:A,'EA-ConnectorExport'!D:D),
        $Q101
    ),
    _xlpm.result, _xlfn.XLOOKUP(_xlpm.lookupKey,'EA-Fortescue_SDExport'!A:A,'EA-Fortescue_SDExport'!AG:AG),
    IF(_xlpm.result=0,"",_xlpm.result)
)</f>
        <v/>
      </c>
      <c r="Y101" s="2" t="str">
        <f>_xlfn.LET(
    _xlpm.status, _xlfn.XLOOKUP($A101,'EA-ConnectorExport'!$A:$A,'EA-ConnectorExport'!G:G),
    _xlpm.result, _xlfn.XLOOKUP($A101,'EA-ConnectorExport'!$A:$A,'EA-ConnectorExport'!H:H),
    IF(_xlpm.status="allocate", _xlpm.result, "")
)</f>
        <v>001OP-2700 Material Handling Equipment</v>
      </c>
      <c r="Z101" s="2" t="str">
        <f>_xlfn.LET(
    _xlpm.isObject, _xlfn.XLOOKUP($Y101,'EA-Fortescue_SDExport'!A:A,'EA-Fortescue_SDExport'!B:B),
    _xlpm.lookupKey, IF(_xlpm.isObject="Object",
        _xlfn.XLOOKUP($A101,'EA-ConnectorExport'!A:A,'EA-ConnectorExport'!J:J),
        $Y101
    ),
    _xlpm.result, _xlfn.XLOOKUP(_xlpm.lookupKey,'EA-Fortescue_SDExport'!A:A,'EA-Fortescue_SDExport'!AA:AA),
    IF(_xlpm.result=0,"",_xlpm.result)
)</f>
        <v>System</v>
      </c>
      <c r="AA101" s="2" t="str">
        <f>_xlfn.LET(_xlpm.result, _xlfn.XLOOKUP($Y101,'EA-Fortescue_SDExport'!$A:$A,'EA-Fortescue_SDExport'!AB:AB), IF(_xlpm.result=0,"",_xlpm.result))</f>
        <v/>
      </c>
      <c r="AB101" s="2" t="str">
        <f>_xlfn.LET(_xlpm.result, _xlfn.XLOOKUP($Y101,'EA-Fortescue_SDExport'!$A:$A,'EA-Fortescue_SDExport'!AC:AC), IF(_xlpm.result=0,"",_xlpm.result))</f>
        <v>Generic Physical Asset</v>
      </c>
      <c r="AC101" s="2" t="str">
        <f>_xlfn.LET(
    _xlpm.isObject, _xlfn.XLOOKUP($Y101,'EA-Fortescue_SDExport'!A:A,'EA-Fortescue_SDExport'!B:B),
    _xlpm.lookupKey, IF(_xlpm.isObject="Object",
        _xlfn.XLOOKUP($A101,'EA-ConnectorExport'!A:A,'EA-ConnectorExport'!J:J),
        $Y101
    ),
    _xlpm.result, _xlfn.XLOOKUP(_xlpm.lookupKey,'EA-Fortescue_SDExport'!A:A,'EA-Fortescue_SDExport'!AD:AD),
    IF(_xlpm.result=0,"",_xlpm.result)
)</f>
        <v>001OP Fixed Process Plant</v>
      </c>
      <c r="AD101" s="2" t="str">
        <f>_xlfn.LET(
    _xlpm.isObject, _xlfn.XLOOKUP($Y101,'EA-Fortescue_SDExport'!A:A,'EA-Fortescue_SDExport'!B:B),
    _xlpm.lookupKey, IF(_xlpm.isObject="Object",
        _xlfn.XLOOKUP($A101,'EA-ConnectorExport'!A:A,'EA-ConnectorExport'!J:J),
        $Y101
    ),
    _xlpm.result, _xlfn.XLOOKUP(_xlpm.lookupKey,'EA-Fortescue_SDExport'!A:A,'EA-Fortescue_SDExport'!AE:AE),
    IF(_xlpm.result=0,"",_xlpm.result)
)</f>
        <v>001OP-2700 Material Handling Equipment</v>
      </c>
      <c r="AE101" s="2" t="str">
        <f>_xlfn.LET(
    _xlpm.isObject, _xlfn.XLOOKUP($Y101,'EA-Fortescue_SDExport'!A:A,'EA-Fortescue_SDExport'!B:B),
    _xlpm.lookupKey, IF(_xlpm.isObject="Object",
        _xlfn.XLOOKUP($A101,'EA-ConnectorExport'!A:A,'EA-ConnectorExport'!J:J),
        $Y101
    ),
    _xlpm.result, _xlfn.XLOOKUP(_xlpm.lookupKey,'EA-Fortescue_SDExport'!A:A,'EA-Fortescue_SDExport'!AF:AF),
    IF(_xlpm.result=0,"",_xlpm.result)
)</f>
        <v/>
      </c>
      <c r="AF101" s="2" t="str">
        <f>_xlfn.LET(
    _xlpm.isObject, _xlfn.XLOOKUP($Y101,'EA-Fortescue_SDExport'!A:A,'EA-Fortescue_SDExport'!B:B),
    _xlpm.lookupKey, IF(_xlpm.isObject="Object",
        _xlfn.XLOOKUP($A101,'EA-ConnectorExport'!A:A,'EA-ConnectorExport'!J:J),
        $Y101
    ),
    _xlpm.result, _xlfn.XLOOKUP(_xlpm.lookupKey,'EA-Fortescue_SDExport'!A:A,'EA-Fortescue_SDExport'!AG:AG),
    IF(_xlpm.result=0,"",_xlpm.result)
)</f>
        <v/>
      </c>
    </row>
    <row r="102" spans="1:32" ht="45" x14ac:dyDescent="0.25">
      <c r="A102" s="2" t="str">
        <v>DGS-I_0101</v>
      </c>
      <c r="B102" s="2" t="str">
        <f t="shared" si="4"/>
        <v>001OP-3720 Concentrate Pipeline|001OP-4000 Port Facilities</v>
      </c>
      <c r="C102" s="2" t="str">
        <f>_xlfn.LET(_xlpm.result, _xlfn.XLOOKUP(A102,'EA-Fortescue_SDExport'!A:A,'EA-Fortescue_SDExport'!AM:AM), IF(_xlpm.result=0,"",_xlpm.result))</f>
        <v/>
      </c>
      <c r="D102" s="2" t="str">
        <f>_xlfn.LET(_xlpm.result, _xlfn.XLOOKUP(A102,'EA-Fortescue_SDExport'!A:A,'EA-Fortescue_SDExport'!AN:AN), IF(_xlpm.result=0,"",_xlpm.result))</f>
        <v/>
      </c>
      <c r="E102" s="2" t="str">
        <f>_xlfn.XLOOKUP(R102&amp;Z102,Lookups!A:A,Lookups!B:B)</f>
        <v>System - System Interface</v>
      </c>
      <c r="F102" s="2" t="str">
        <f>_xlfn.LET(_xlpm.result, _xlfn.XLOOKUP(A102,'EA-Fortescue_SDExport'!A:A,'EA-Fortescue_SDExport'!AP:AP), IF(_xlpm.result=0,"",_xlpm.result))</f>
        <v/>
      </c>
      <c r="G102" s="2" t="str">
        <f>IF(OR(AND(T102&lt;&gt;"", COUNTIF(Lookups!J:J, "*"&amp;T102&amp;"*")&gt;0), AND(AB102&lt;&gt;"", COUNTIF(Lookups!J:J, "*"&amp;AB102&amp;"*")&gt;0)), "Yes", "No")</f>
        <v>No</v>
      </c>
      <c r="H102" s="2" t="str">
        <f t="shared" si="5"/>
        <v>001OP Fixed Process Plant|001OP Fixed Process Plant</v>
      </c>
      <c r="I102" s="2" t="str">
        <f t="shared" si="6"/>
        <v>001OP-3720 Concentrate Pipeline|001OP-4000 Port Facilities</v>
      </c>
      <c r="J102" s="2" t="str">
        <f t="shared" si="7"/>
        <v>N/A</v>
      </c>
      <c r="K102" s="2" t="str">
        <f>_xlfn.XLOOKUP(A102,'EA-Fortescue_SDExport'!A:A,'EA-Fortescue_SDExport'!N:N)</f>
        <v>Proposed</v>
      </c>
      <c r="L102" s="2" t="str">
        <f>_xlfn.LET(_xlpm.result, _xlfn.XLOOKUP($A102,'EA-Fortescue_SDExport'!$A:$A,'EA-Fortescue_SDExport'!AQ:AQ), IF(_xlpm.result=0,"",_xlpm.result))</f>
        <v/>
      </c>
      <c r="M102" s="2" t="str">
        <f>_xlfn.LET(_xlpm.result, _xlfn.XLOOKUP($A102,'EA-Fortescue_SDExport'!$A:$A,'EA-Fortescue_SDExport'!AR:AR), IF(_xlpm.result=0,"",_xlpm.result))</f>
        <v/>
      </c>
      <c r="N102" s="2" t="str">
        <f>_xlfn.LET(_xlpm.result, _xlfn.XLOOKUP($A102,'EA-Fortescue_SDExport'!$A:$A,'EA-Fortescue_SDExport'!AW:AW), IF(_xlpm.result=0,"",_xlpm.result))</f>
        <v/>
      </c>
      <c r="O102" s="2" t="str">
        <f>_xlfn.LET(_xlpm.result, _xlfn.XLOOKUP($A102,'EA-Fortescue_SDExport'!$A:$A,'EA-Fortescue_SDExport'!AV:AV), IF(_xlpm.result=0,"",_xlpm.result))</f>
        <v/>
      </c>
      <c r="P102" s="2" t="str">
        <f>_xlfn.LET(_xlpm.result, _xlfn.XLOOKUP($A102,'EA-Fortescue_SDExport'!$A:$A,'EA-Fortescue_SDExport'!D:D), IF(_xlpm.result=0,"",_xlpm.result))</f>
        <v/>
      </c>
      <c r="Q102" s="2" t="str">
        <f>_xlfn.LET(
    _xlpm.status, _xlfn.XLOOKUP($A102,'EA-ConnectorExport'!$A:$A,'EA-ConnectorExport'!G:G),
    _xlpm.result, _xlfn.XLOOKUP($A102,'EA-ConnectorExport'!$A:$A,'EA-ConnectorExport'!B:B),
    IF(_xlpm.status="allocate", _xlpm.result, "")
)</f>
        <v>001OP-3720 Concentrate Pipeline</v>
      </c>
      <c r="R102" s="2" t="str">
        <f>IF(
    _xlfn.XLOOKUP($Q102,'EA-Fortescue_SDExport'!A:A,'EA-Fortescue_SDExport'!B:B)="Object",
    _xlfn.XLOOKUP(
        _xlfn.XLOOKUP($A102,'EA-ConnectorExport'!A:A,'EA-ConnectorExport'!D:D),
        'EA-Fortescue_SDExport'!A:A,
        'EA-Fortescue_SDExport'!AA:AA
    ),
    _xlfn.XLOOKUP($Q102,'EA-Fortescue_SDExport'!A:A,'EA-Fortescue_SDExport'!AA:AA)
)</f>
        <v>System</v>
      </c>
      <c r="S102" s="2" t="str">
        <f>_xlfn.LET(_xlpm.result, _xlfn.XLOOKUP($Q102,'EA-Fortescue_SDExport'!$A:$A,'EA-Fortescue_SDExport'!AB:AB), IF(_xlpm.result=0,"",_xlpm.result))</f>
        <v/>
      </c>
      <c r="T102" s="2" t="str">
        <f>_xlfn.LET(_xlpm.result, _xlfn.XLOOKUP($Q102,'EA-Fortescue_SDExport'!$A:$A,'EA-Fortescue_SDExport'!AC:AC), IF(_xlpm.result=0,"",_xlpm.result))</f>
        <v>Generic Physical Asset</v>
      </c>
      <c r="U102" s="2" t="str">
        <f>_xlfn.LET(
    _xlpm.isObject, _xlfn.XLOOKUP($Q102,'EA-Fortescue_SDExport'!A:A,'EA-Fortescue_SDExport'!B:B),
    _xlpm.lookupKey, IF(_xlpm.isObject="Object",
        _xlfn.XLOOKUP($A102,'EA-ConnectorExport'!A:A,'EA-ConnectorExport'!D:D),
        $Q102
    ),
    _xlpm.result, _xlfn.XLOOKUP(_xlpm.lookupKey,'EA-Fortescue_SDExport'!A:A,'EA-Fortescue_SDExport'!AD:AD),
    IF(_xlpm.result=0,"",_xlpm.result)
)</f>
        <v>001OP Fixed Process Plant</v>
      </c>
      <c r="V102" s="2" t="str">
        <f>_xlfn.LET(
    _xlpm.isObject, _xlfn.XLOOKUP($Q102,'EA-Fortescue_SDExport'!A:A,'EA-Fortescue_SDExport'!B:B),
    _xlpm.lookupKey, IF(_xlpm.isObject="Object",
        _xlfn.XLOOKUP($A102,'EA-ConnectorExport'!A:A,'EA-ConnectorExport'!D:D),
        $Q102
    ),
    _xlpm.result, _xlfn.XLOOKUP(_xlpm.lookupKey,'EA-Fortescue_SDExport'!A:A,'EA-Fortescue_SDExport'!AE:AE),
    IF(_xlpm.result=0,"",_xlpm.result)
)</f>
        <v>001OP-3720 Concentrate Pipeline</v>
      </c>
      <c r="W102" s="2" t="str">
        <f>_xlfn.LET(
    _xlpm.isObject, _xlfn.XLOOKUP($Q102,'EA-Fortescue_SDExport'!A:A,'EA-Fortescue_SDExport'!B:B),
    _xlpm.lookupKey, IF(_xlpm.isObject="Object",
        _xlfn.XLOOKUP($A102,'EA-ConnectorExport'!A:A,'EA-ConnectorExport'!D:D),
        $Q102
    ),
    _xlpm.result, _xlfn.XLOOKUP(_xlpm.lookupKey,'EA-Fortescue_SDExport'!A:A,'EA-Fortescue_SDExport'!AF:AF),
    IF(_xlpm.result=0,"",_xlpm.result)
)</f>
        <v/>
      </c>
      <c r="X102" s="2" t="str">
        <f>_xlfn.LET(
    _xlpm.isObject, _xlfn.XLOOKUP($Q102,'EA-Fortescue_SDExport'!A:A,'EA-Fortescue_SDExport'!B:B),
    _xlpm.lookupKey, IF(_xlpm.isObject="Object",
        _xlfn.XLOOKUP($A102,'EA-ConnectorExport'!A:A,'EA-ConnectorExport'!D:D),
        $Q102
    ),
    _xlpm.result, _xlfn.XLOOKUP(_xlpm.lookupKey,'EA-Fortescue_SDExport'!A:A,'EA-Fortescue_SDExport'!AG:AG),
    IF(_xlpm.result=0,"",_xlpm.result)
)</f>
        <v/>
      </c>
      <c r="Y102" s="2" t="str">
        <f>_xlfn.LET(
    _xlpm.status, _xlfn.XLOOKUP($A102,'EA-ConnectorExport'!$A:$A,'EA-ConnectorExport'!G:G),
    _xlpm.result, _xlfn.XLOOKUP($A102,'EA-ConnectorExport'!$A:$A,'EA-ConnectorExport'!H:H),
    IF(_xlpm.status="allocate", _xlpm.result, "")
)</f>
        <v>001OP-4000 Port Facilities</v>
      </c>
      <c r="Z102" s="2" t="str">
        <f>_xlfn.LET(
    _xlpm.isObject, _xlfn.XLOOKUP($Y102,'EA-Fortescue_SDExport'!A:A,'EA-Fortescue_SDExport'!B:B),
    _xlpm.lookupKey, IF(_xlpm.isObject="Object",
        _xlfn.XLOOKUP($A102,'EA-ConnectorExport'!A:A,'EA-ConnectorExport'!J:J),
        $Y102
    ),
    _xlpm.result, _xlfn.XLOOKUP(_xlpm.lookupKey,'EA-Fortescue_SDExport'!A:A,'EA-Fortescue_SDExport'!AA:AA),
    IF(_xlpm.result=0,"",_xlpm.result)
)</f>
        <v>System</v>
      </c>
      <c r="AA102" s="2" t="str">
        <f>_xlfn.LET(_xlpm.result, _xlfn.XLOOKUP($Y102,'EA-Fortescue_SDExport'!$A:$A,'EA-Fortescue_SDExport'!AB:AB), IF(_xlpm.result=0,"",_xlpm.result))</f>
        <v/>
      </c>
      <c r="AB102" s="2" t="str">
        <f>_xlfn.LET(_xlpm.result, _xlfn.XLOOKUP($Y102,'EA-Fortescue_SDExport'!$A:$A,'EA-Fortescue_SDExport'!AC:AC), IF(_xlpm.result=0,"",_xlpm.result))</f>
        <v>Generic Physical Asset</v>
      </c>
      <c r="AC102" s="2" t="str">
        <f>_xlfn.LET(
    _xlpm.isObject, _xlfn.XLOOKUP($Y102,'EA-Fortescue_SDExport'!A:A,'EA-Fortescue_SDExport'!B:B),
    _xlpm.lookupKey, IF(_xlpm.isObject="Object",
        _xlfn.XLOOKUP($A102,'EA-ConnectorExport'!A:A,'EA-ConnectorExport'!J:J),
        $Y102
    ),
    _xlpm.result, _xlfn.XLOOKUP(_xlpm.lookupKey,'EA-Fortescue_SDExport'!A:A,'EA-Fortescue_SDExport'!AD:AD),
    IF(_xlpm.result=0,"",_xlpm.result)
)</f>
        <v>001OP Fixed Process Plant</v>
      </c>
      <c r="AD102" s="2" t="str">
        <f>_xlfn.LET(
    _xlpm.isObject, _xlfn.XLOOKUP($Y102,'EA-Fortescue_SDExport'!A:A,'EA-Fortescue_SDExport'!B:B),
    _xlpm.lookupKey, IF(_xlpm.isObject="Object",
        _xlfn.XLOOKUP($A102,'EA-ConnectorExport'!A:A,'EA-ConnectorExport'!J:J),
        $Y102
    ),
    _xlpm.result, _xlfn.XLOOKUP(_xlpm.lookupKey,'EA-Fortescue_SDExport'!A:A,'EA-Fortescue_SDExport'!AE:AE),
    IF(_xlpm.result=0,"",_xlpm.result)
)</f>
        <v>001OP-4000 Port Facilities</v>
      </c>
      <c r="AE102" s="2" t="str">
        <f>_xlfn.LET(
    _xlpm.isObject, _xlfn.XLOOKUP($Y102,'EA-Fortescue_SDExport'!A:A,'EA-Fortescue_SDExport'!B:B),
    _xlpm.lookupKey, IF(_xlpm.isObject="Object",
        _xlfn.XLOOKUP($A102,'EA-ConnectorExport'!A:A,'EA-ConnectorExport'!J:J),
        $Y102
    ),
    _xlpm.result, _xlfn.XLOOKUP(_xlpm.lookupKey,'EA-Fortescue_SDExport'!A:A,'EA-Fortescue_SDExport'!AF:AF),
    IF(_xlpm.result=0,"",_xlpm.result)
)</f>
        <v/>
      </c>
      <c r="AF102" s="2" t="str">
        <f>_xlfn.LET(
    _xlpm.isObject, _xlfn.XLOOKUP($Y102,'EA-Fortescue_SDExport'!A:A,'EA-Fortescue_SDExport'!B:B),
    _xlpm.lookupKey, IF(_xlpm.isObject="Object",
        _xlfn.XLOOKUP($A102,'EA-ConnectorExport'!A:A,'EA-ConnectorExport'!J:J),
        $Y102
    ),
    _xlpm.result, _xlfn.XLOOKUP(_xlpm.lookupKey,'EA-Fortescue_SDExport'!A:A,'EA-Fortescue_SDExport'!AG:AG),
    IF(_xlpm.result=0,"",_xlpm.result)
)</f>
        <v/>
      </c>
    </row>
    <row r="103" spans="1:32" ht="195" x14ac:dyDescent="0.25">
      <c r="A103" s="2" t="str">
        <v>DGS-I_0102</v>
      </c>
      <c r="B103" s="2" t="str">
        <f t="shared" si="4"/>
        <v>Archive - 005OP-0000-- Mineplan [A.04.06]|859DC-1410-001 HaulX</v>
      </c>
      <c r="C103" s="2" t="str">
        <f>_xlfn.LET(_xlpm.result, _xlfn.XLOOKUP(A103,'EA-Fortescue_SDExport'!A:A,'EA-Fortescue_SDExport'!AM:AM), IF(_xlpm.result=0,"",_xlpm.result))</f>
        <v/>
      </c>
      <c r="D103" s="2" t="str">
        <f>_xlfn.LET(_xlpm.result, _xlfn.XLOOKUP(A103,'EA-Fortescue_SDExport'!A:A,'EA-Fortescue_SDExport'!AN:AN), IF(_xlpm.result=0,"",_xlpm.result))</f>
        <v/>
      </c>
      <c r="E103" s="2" t="str">
        <f>_xlfn.XLOOKUP(R103&amp;Z103,Lookups!A:A,Lookups!B:B)</f>
        <v>Project - Project Interface</v>
      </c>
      <c r="F103" s="2" t="str">
        <f>_xlfn.LET(_xlpm.result, _xlfn.XLOOKUP(A103,'EA-Fortescue_SDExport'!A:A,'EA-Fortescue_SDExport'!AP:AP), IF(_xlpm.result=0,"",_xlpm.result))</f>
        <v>Technical-Data/Software</v>
      </c>
      <c r="G103" s="2" t="str">
        <f>IF(OR(AND(T103&lt;&gt;"", COUNTIF(Lookups!J:J, "*"&amp;T103&amp;"*")&gt;0), AND(AB103&lt;&gt;"", COUNTIF(Lookups!J:J, "*"&amp;AB103&amp;"*")&gt;0)), "Yes", "No")</f>
        <v>No</v>
      </c>
      <c r="H103" s="2" t="str">
        <f t="shared" si="5"/>
        <v>N/A|859DC HaulX</v>
      </c>
      <c r="I103" s="2" t="str">
        <f t="shared" si="6"/>
        <v>N/A</v>
      </c>
      <c r="J103" s="2" t="str">
        <f t="shared" si="7"/>
        <v>N/A|859DC-1410-001 HaulX</v>
      </c>
      <c r="K103" s="2" t="str">
        <f>_xlfn.XLOOKUP(A103,'EA-Fortescue_SDExport'!A:A,'EA-Fortescue_SDExport'!N:N)</f>
        <v>Deleted</v>
      </c>
      <c r="L103" s="2" t="str">
        <f>_xlfn.LET(_xlpm.result, _xlfn.XLOOKUP($A103,'EA-Fortescue_SDExport'!$A:$A,'EA-Fortescue_SDExport'!AQ:AQ), IF(_xlpm.result=0,"",_xlpm.result))</f>
        <v>This interface supplies mine planning data, dig locations, and operational polygons from Mineplan into HaulX to ensure autonomous haulage routes and boundaries remain aligned with the current mine design.</v>
      </c>
      <c r="M103" s="2" t="str">
        <f>_xlfn.LET(_xlpm.result, _xlfn.XLOOKUP($A103,'EA-Fortescue_SDExport'!$A:$A,'EA-Fortescue_SDExport'!AR:AR), IF(_xlpm.result=0,"",_xlpm.result))</f>
        <v>MEDIUM</v>
      </c>
      <c r="N103" s="2" t="str">
        <f>_xlfn.LET(_xlpm.result, _xlfn.XLOOKUP($A103,'EA-Fortescue_SDExport'!$A:$A,'EA-Fortescue_SDExport'!AW:AW), IF(_xlpm.result=0,"",_xlpm.result))</f>
        <v>The criticality level is MEDIUM because incorrect or outdated mine design data can cause operational slowdowns or misalignment in autonomous fleet behaviour. Failure may reduce productivity, but it will not immediately halt production.</v>
      </c>
      <c r="O103" s="2" t="str">
        <f>_xlfn.LET(_xlpm.result, _xlfn.XLOOKUP($A103,'EA-Fortescue_SDExport'!$A:$A,'EA-Fortescue_SDExport'!AV:AV), IF(_xlpm.result=0,"",_xlpm.result))</f>
        <v/>
      </c>
      <c r="P103" s="2" t="str">
        <f>_xlfn.LET(_xlpm.result, _xlfn.XLOOKUP($A103,'EA-Fortescue_SDExport'!$A:$A,'EA-Fortescue_SDExport'!D:D), IF(_xlpm.result=0,"",_xlpm.result))</f>
        <v>SBSWBS Mapping 02/01/2026: To be deleted - MinePlan is an general term not a separate system</v>
      </c>
      <c r="Q103" s="2" t="str">
        <f>_xlfn.LET(
    _xlpm.status, _xlfn.XLOOKUP($A103,'EA-ConnectorExport'!$A:$A,'EA-ConnectorExport'!G:G),
    _xlpm.result, _xlfn.XLOOKUP($A103,'EA-ConnectorExport'!$A:$A,'EA-ConnectorExport'!B:B),
    IF(_xlpm.status="allocate", _xlpm.result, "")
)</f>
        <v>Archive - 005OP-0000-- Mineplan [A.04.06]</v>
      </c>
      <c r="R103" s="2" t="str">
        <f>IF(
    _xlfn.XLOOKUP($Q103,'EA-Fortescue_SDExport'!A:A,'EA-Fortescue_SDExport'!B:B)="Object",
    _xlfn.XLOOKUP(
        _xlfn.XLOOKUP($A103,'EA-ConnectorExport'!A:A,'EA-ConnectorExport'!D:D),
        'EA-Fortescue_SDExport'!A:A,
        'EA-Fortescue_SDExport'!AA:AA
    ),
    _xlfn.XLOOKUP($Q103,'EA-Fortescue_SDExport'!A:A,'EA-Fortescue_SDExport'!AA:AA)
)</f>
        <v>Project</v>
      </c>
      <c r="S103" s="2" t="str">
        <f>_xlfn.LET(_xlpm.result, _xlfn.XLOOKUP($Q103,'EA-Fortescue_SDExport'!$A:$A,'EA-Fortescue_SDExport'!AB:AB), IF(_xlpm.result=0,"",_xlpm.result))</f>
        <v/>
      </c>
      <c r="T103" s="2" t="str">
        <f>_xlfn.LET(_xlpm.result, _xlfn.XLOOKUP($Q103,'EA-Fortescue_SDExport'!$A:$A,'EA-Fortescue_SDExport'!AC:AC), IF(_xlpm.result=0,"",_xlpm.result))</f>
        <v/>
      </c>
      <c r="U103" s="2" t="str">
        <f>_xlfn.LET(
    _xlpm.isObject, _xlfn.XLOOKUP($Q103,'EA-Fortescue_SDExport'!A:A,'EA-Fortescue_SDExport'!B:B),
    _xlpm.lookupKey, IF(_xlpm.isObject="Object",
        _xlfn.XLOOKUP($A103,'EA-ConnectorExport'!A:A,'EA-ConnectorExport'!D:D),
        $Q103
    ),
    _xlpm.result, _xlfn.XLOOKUP(_xlpm.lookupKey,'EA-Fortescue_SDExport'!A:A,'EA-Fortescue_SDExport'!AD:AD),
    IF(_xlpm.result=0,"",_xlpm.result)
)</f>
        <v/>
      </c>
      <c r="V103" s="2" t="str">
        <f>_xlfn.LET(
    _xlpm.isObject, _xlfn.XLOOKUP($Q103,'EA-Fortescue_SDExport'!A:A,'EA-Fortescue_SDExport'!B:B),
    _xlpm.lookupKey, IF(_xlpm.isObject="Object",
        _xlfn.XLOOKUP($A103,'EA-ConnectorExport'!A:A,'EA-ConnectorExport'!D:D),
        $Q103
    ),
    _xlpm.result, _xlfn.XLOOKUP(_xlpm.lookupKey,'EA-Fortescue_SDExport'!A:A,'EA-Fortescue_SDExport'!AE:AE),
    IF(_xlpm.result=0,"",_xlpm.result)
)</f>
        <v/>
      </c>
      <c r="W103" s="2" t="str">
        <f>_xlfn.LET(
    _xlpm.isObject, _xlfn.XLOOKUP($Q103,'EA-Fortescue_SDExport'!A:A,'EA-Fortescue_SDExport'!B:B),
    _xlpm.lookupKey, IF(_xlpm.isObject="Object",
        _xlfn.XLOOKUP($A103,'EA-ConnectorExport'!A:A,'EA-ConnectorExport'!D:D),
        $Q103
    ),
    _xlpm.result, _xlfn.XLOOKUP(_xlpm.lookupKey,'EA-Fortescue_SDExport'!A:A,'EA-Fortescue_SDExport'!AF:AF),
    IF(_xlpm.result=0,"",_xlpm.result)
)</f>
        <v/>
      </c>
      <c r="X103" s="2" t="str">
        <f>_xlfn.LET(
    _xlpm.isObject, _xlfn.XLOOKUP($Q103,'EA-Fortescue_SDExport'!A:A,'EA-Fortescue_SDExport'!B:B),
    _xlpm.lookupKey, IF(_xlpm.isObject="Object",
        _xlfn.XLOOKUP($A103,'EA-ConnectorExport'!A:A,'EA-ConnectorExport'!D:D),
        $Q103
    ),
    _xlpm.result, _xlfn.XLOOKUP(_xlpm.lookupKey,'EA-Fortescue_SDExport'!A:A,'EA-Fortescue_SDExport'!AG:AG),
    IF(_xlpm.result=0,"",_xlpm.result)
)</f>
        <v/>
      </c>
      <c r="Y103" s="2" t="str">
        <f>_xlfn.LET(
    _xlpm.status, _xlfn.XLOOKUP($A103,'EA-ConnectorExport'!$A:$A,'EA-ConnectorExport'!G:G),
    _xlpm.result, _xlfn.XLOOKUP($A103,'EA-ConnectorExport'!$A:$A,'EA-ConnectorExport'!H:H),
    IF(_xlpm.status="allocate", _xlpm.result, "")
)</f>
        <v>859DC-1410-001 HaulX</v>
      </c>
      <c r="Z103" s="2" t="str">
        <f>_xlfn.LET(
    _xlpm.isObject, _xlfn.XLOOKUP($Y103,'EA-Fortescue_SDExport'!A:A,'EA-Fortescue_SDExport'!B:B),
    _xlpm.lookupKey, IF(_xlpm.isObject="Object",
        _xlfn.XLOOKUP($A103,'EA-ConnectorExport'!A:A,'EA-ConnectorExport'!J:J),
        $Y103
    ),
    _xlpm.result, _xlfn.XLOOKUP(_xlpm.lookupKey,'EA-Fortescue_SDExport'!A:A,'EA-Fortescue_SDExport'!AA:AA),
    IF(_xlpm.result=0,"",_xlpm.result)
)</f>
        <v>Project</v>
      </c>
      <c r="AA103" s="2" t="str">
        <f>_xlfn.LET(_xlpm.result, _xlfn.XLOOKUP($Y103,'EA-Fortescue_SDExport'!$A:$A,'EA-Fortescue_SDExport'!AB:AB), IF(_xlpm.result=0,"",_xlpm.result))</f>
        <v/>
      </c>
      <c r="AB103" s="2" t="str">
        <f>_xlfn.LET(_xlpm.result, _xlfn.XLOOKUP($Y103,'EA-Fortescue_SDExport'!$A:$A,'EA-Fortescue_SDExport'!AC:AC), IF(_xlpm.result=0,"",_xlpm.result))</f>
        <v/>
      </c>
      <c r="AC103" s="2" t="str">
        <f>_xlfn.LET(
    _xlpm.isObject, _xlfn.XLOOKUP($Y103,'EA-Fortescue_SDExport'!A:A,'EA-Fortescue_SDExport'!B:B),
    _xlpm.lookupKey, IF(_xlpm.isObject="Object",
        _xlfn.XLOOKUP($A103,'EA-ConnectorExport'!A:A,'EA-ConnectorExport'!J:J),
        $Y103
    ),
    _xlpm.result, _xlfn.XLOOKUP(_xlpm.lookupKey,'EA-Fortescue_SDExport'!A:A,'EA-Fortescue_SDExport'!AD:AD),
    IF(_xlpm.result=0,"",_xlpm.result)
)</f>
        <v>859DC HaulX</v>
      </c>
      <c r="AD103" s="2" t="str">
        <f>_xlfn.LET(
    _xlpm.isObject, _xlfn.XLOOKUP($Y103,'EA-Fortescue_SDExport'!A:A,'EA-Fortescue_SDExport'!B:B),
    _xlpm.lookupKey, IF(_xlpm.isObject="Object",
        _xlfn.XLOOKUP($A103,'EA-ConnectorExport'!A:A,'EA-ConnectorExport'!J:J),
        $Y103
    ),
    _xlpm.result, _xlfn.XLOOKUP(_xlpm.lookupKey,'EA-Fortescue_SDExport'!A:A,'EA-Fortescue_SDExport'!AE:AE),
    IF(_xlpm.result=0,"",_xlpm.result)
)</f>
        <v/>
      </c>
      <c r="AE103" s="2" t="str">
        <f>_xlfn.LET(
    _xlpm.isObject, _xlfn.XLOOKUP($Y103,'EA-Fortescue_SDExport'!A:A,'EA-Fortescue_SDExport'!B:B),
    _xlpm.lookupKey, IF(_xlpm.isObject="Object",
        _xlfn.XLOOKUP($A103,'EA-ConnectorExport'!A:A,'EA-ConnectorExport'!J:J),
        $Y103
    ),
    _xlpm.result, _xlfn.XLOOKUP(_xlpm.lookupKey,'EA-Fortescue_SDExport'!A:A,'EA-Fortescue_SDExport'!AF:AF),
    IF(_xlpm.result=0,"",_xlpm.result)
)</f>
        <v>859DC-1410-001 HaulX</v>
      </c>
      <c r="AF103" s="2" t="str">
        <f>_xlfn.LET(
    _xlpm.isObject, _xlfn.XLOOKUP($Y103,'EA-Fortescue_SDExport'!A:A,'EA-Fortescue_SDExport'!B:B),
    _xlpm.lookupKey, IF(_xlpm.isObject="Object",
        _xlfn.XLOOKUP($A103,'EA-ConnectorExport'!A:A,'EA-ConnectorExport'!J:J),
        $Y103
    ),
    _xlpm.result, _xlfn.XLOOKUP(_xlpm.lookupKey,'EA-Fortescue_SDExport'!A:A,'EA-Fortescue_SDExport'!AG:AG),
    IF(_xlpm.result=0,"",_xlpm.result)
)</f>
        <v/>
      </c>
    </row>
    <row r="104" spans="1:32" ht="210" x14ac:dyDescent="0.25">
      <c r="A104" s="2" t="str">
        <v>DGS-I_0103</v>
      </c>
      <c r="B104" s="2" t="str">
        <f t="shared" si="4"/>
        <v>855DC-1542-LMS Load Management System (LMS)|855DC-1543-008 Monarch</v>
      </c>
      <c r="C104" s="2" t="str">
        <f>_xlfn.LET(_xlpm.result, _xlfn.XLOOKUP(A104,'EA-Fortescue_SDExport'!A:A,'EA-Fortescue_SDExport'!AM:AM), IF(_xlpm.result=0,"",_xlpm.result))</f>
        <v>Sam Hedgcock</v>
      </c>
      <c r="D104" s="2" t="str">
        <f>_xlfn.LET(_xlpm.result, _xlfn.XLOOKUP(A104,'EA-Fortescue_SDExport'!A:A,'EA-Fortescue_SDExport'!AN:AN), IF(_xlpm.result=0,"",_xlpm.result))</f>
        <v>Glen Carruthers</v>
      </c>
      <c r="E104" s="2" t="str">
        <f>_xlfn.XLOOKUP(R104&amp;Z104,Lookups!A:A,Lookups!B:B)</f>
        <v>Project - Project Interface</v>
      </c>
      <c r="F104" s="2" t="str">
        <f>_xlfn.LET(_xlpm.result, _xlfn.XLOOKUP(A104,'EA-Fortescue_SDExport'!A:A,'EA-Fortescue_SDExport'!AP:AP), IF(_xlpm.result=0,"",_xlpm.result))</f>
        <v>Technical-Data/Software</v>
      </c>
      <c r="G104" s="2" t="str">
        <f>IF(OR(AND(T104&lt;&gt;"", COUNTIF(Lookups!J:J, "*"&amp;T104&amp;"*")&gt;0), AND(AB104&lt;&gt;"", COUNTIF(Lookups!J:J, "*"&amp;AB104&amp;"*")&gt;0)), "Yes", "No")</f>
        <v>No</v>
      </c>
      <c r="H104" s="2" t="str">
        <f t="shared" si="5"/>
        <v>855DC Decarb Green Systems|855DC Decarb Green Systems</v>
      </c>
      <c r="I104" s="2" t="str">
        <f t="shared" si="6"/>
        <v>855DC-1542 Control &amp; Monitoring Systems|855DC-1543 Existing Systems - Green Enhancement</v>
      </c>
      <c r="J104" s="2" t="str">
        <f t="shared" si="7"/>
        <v>855DC-1542-LMS Load Management System (LMS)|855DC-1543-008 Monarch</v>
      </c>
      <c r="K104" s="2" t="str">
        <f>_xlfn.XLOOKUP(A104,'EA-Fortescue_SDExport'!A:A,'EA-Fortescue_SDExport'!N:N)</f>
        <v>Proposed</v>
      </c>
      <c r="L104" s="2" t="str">
        <f>_xlfn.LET(_xlpm.result, _xlfn.XLOOKUP($A104,'EA-Fortescue_SDExport'!$A:$A,'EA-Fortescue_SDExport'!AQ:AQ), IF(_xlpm.result=0,"",_xlpm.result))</f>
        <v>A.03.02 Load Management System (LMS) - Integration with A.02.04 Monarch (Energy Operations Power Distribution System)_x000D_
The purpose of this interface is to allow the Load Management System (LMS) to integrate with Monarch, the system used by Energy Operations to manage and distribute power across the network in response to load requests. Monarch communicates required power allocations, constraints, and prioritisation rules to LMS, allowing LMS to coordinate load adjustments, charging, and shedding actions in alignment with operational needs._x000D_
Intermediate Elements: Monarch system, LMS, PLCs, and the site electrical network.</v>
      </c>
      <c r="M104" s="2" t="str">
        <f>_xlfn.LET(_xlpm.result, _xlfn.XLOOKUP($A104,'EA-Fortescue_SDExport'!$A:$A,'EA-Fortescue_SDExport'!AR:AR), IF(_xlpm.result=0,"",_xlpm.result))</f>
        <v>HIGH</v>
      </c>
      <c r="N104" s="2" t="str">
        <f>_xlfn.LET(_xlpm.result, _xlfn.XLOOKUP($A104,'EA-Fortescue_SDExport'!$A:$A,'EA-Fortescue_SDExport'!AW:AW), IF(_xlpm.result=0,"",_xlpm.result))</f>
        <v>The criticality level is HIGH because accurate communication between Monarch and LMS is essential to safely distribute power and prevent overload conditions. Failure compromises system stability and the ability to meet operational demands across the network.</v>
      </c>
      <c r="O104" s="2" t="str">
        <f>_xlfn.LET(_xlpm.result, _xlfn.XLOOKUP($A104,'EA-Fortescue_SDExport'!$A:$A,'EA-Fortescue_SDExport'!AV:AV), IF(_xlpm.result=0,"",_xlpm.result))</f>
        <v>Monarch (power distribution requests &amp; constraints) -&gt; LMS -&gt; PLCs / site loads.</v>
      </c>
      <c r="P104" s="2" t="str">
        <f>_xlfn.LET(_xlpm.result, _xlfn.XLOOKUP($A104,'EA-Fortescue_SDExport'!$A:$A,'EA-Fortescue_SDExport'!D:D), IF(_xlpm.result=0,"",_xlpm.result))</f>
        <v>NH 25/02/2026: Fields updated:Interface Type</v>
      </c>
      <c r="Q104" s="2" t="str">
        <f>_xlfn.LET(
    _xlpm.status, _xlfn.XLOOKUP($A104,'EA-ConnectorExport'!$A:$A,'EA-ConnectorExport'!G:G),
    _xlpm.result, _xlfn.XLOOKUP($A104,'EA-ConnectorExport'!$A:$A,'EA-ConnectorExport'!B:B),
    IF(_xlpm.status="allocate", _xlpm.result, "")
)</f>
        <v>855DC-1542-LMS Load Management System (LMS)</v>
      </c>
      <c r="R104" s="2" t="str">
        <f>IF(
    _xlfn.XLOOKUP($Q104,'EA-Fortescue_SDExport'!A:A,'EA-Fortescue_SDExport'!B:B)="Object",
    _xlfn.XLOOKUP(
        _xlfn.XLOOKUP($A104,'EA-ConnectorExport'!A:A,'EA-ConnectorExport'!D:D),
        'EA-Fortescue_SDExport'!A:A,
        'EA-Fortescue_SDExport'!AA:AA
    ),
    _xlfn.XLOOKUP($Q104,'EA-Fortescue_SDExport'!A:A,'EA-Fortescue_SDExport'!AA:AA)
)</f>
        <v>Project</v>
      </c>
      <c r="S104" s="2" t="str">
        <f>_xlfn.LET(_xlpm.result, _xlfn.XLOOKUP($Q104,'EA-Fortescue_SDExport'!$A:$A,'EA-Fortescue_SDExport'!AB:AB), IF(_xlpm.result=0,"",_xlpm.result))</f>
        <v>Mine Services</v>
      </c>
      <c r="T104" s="2" t="str">
        <f>_xlfn.LET(_xlpm.result, _xlfn.XLOOKUP($Q104,'EA-Fortescue_SDExport'!$A:$A,'EA-Fortescue_SDExport'!AC:AC), IF(_xlpm.result=0,"",_xlpm.result))</f>
        <v/>
      </c>
      <c r="U104" s="2" t="str">
        <f>_xlfn.LET(
    _xlpm.isObject, _xlfn.XLOOKUP($Q104,'EA-Fortescue_SDExport'!A:A,'EA-Fortescue_SDExport'!B:B),
    _xlpm.lookupKey, IF(_xlpm.isObject="Object",
        _xlfn.XLOOKUP($A104,'EA-ConnectorExport'!A:A,'EA-ConnectorExport'!D:D),
        $Q104
    ),
    _xlpm.result, _xlfn.XLOOKUP(_xlpm.lookupKey,'EA-Fortescue_SDExport'!A:A,'EA-Fortescue_SDExport'!AD:AD),
    IF(_xlpm.result=0,"",_xlpm.result)
)</f>
        <v>855DC Decarb Green Systems</v>
      </c>
      <c r="V104" s="2" t="str">
        <f>_xlfn.LET(
    _xlpm.isObject, _xlfn.XLOOKUP($Q104,'EA-Fortescue_SDExport'!A:A,'EA-Fortescue_SDExport'!B:B),
    _xlpm.lookupKey, IF(_xlpm.isObject="Object",
        _xlfn.XLOOKUP($A104,'EA-ConnectorExport'!A:A,'EA-ConnectorExport'!D:D),
        $Q104
    ),
    _xlpm.result, _xlfn.XLOOKUP(_xlpm.lookupKey,'EA-Fortescue_SDExport'!A:A,'EA-Fortescue_SDExport'!AE:AE),
    IF(_xlpm.result=0,"",_xlpm.result)
)</f>
        <v>855DC-1542 Control &amp; Monitoring Systems</v>
      </c>
      <c r="W104" s="2" t="str">
        <f>_xlfn.LET(
    _xlpm.isObject, _xlfn.XLOOKUP($Q104,'EA-Fortescue_SDExport'!A:A,'EA-Fortescue_SDExport'!B:B),
    _xlpm.lookupKey, IF(_xlpm.isObject="Object",
        _xlfn.XLOOKUP($A104,'EA-ConnectorExport'!A:A,'EA-ConnectorExport'!D:D),
        $Q104
    ),
    _xlpm.result, _xlfn.XLOOKUP(_xlpm.lookupKey,'EA-Fortescue_SDExport'!A:A,'EA-Fortescue_SDExport'!AF:AF),
    IF(_xlpm.result=0,"",_xlpm.result)
)</f>
        <v>855DC-1542-LMS Load Management System (LMS)</v>
      </c>
      <c r="X104" s="2" t="str">
        <f>_xlfn.LET(
    _xlpm.isObject, _xlfn.XLOOKUP($Q104,'EA-Fortescue_SDExport'!A:A,'EA-Fortescue_SDExport'!B:B),
    _xlpm.lookupKey, IF(_xlpm.isObject="Object",
        _xlfn.XLOOKUP($A104,'EA-ConnectorExport'!A:A,'EA-ConnectorExport'!D:D),
        $Q104
    ),
    _xlpm.result, _xlfn.XLOOKUP(_xlpm.lookupKey,'EA-Fortescue_SDExport'!A:A,'EA-Fortescue_SDExport'!AG:AG),
    IF(_xlpm.result=0,"",_xlpm.result)
)</f>
        <v/>
      </c>
      <c r="Y104" s="2" t="str">
        <f>_xlfn.LET(
    _xlpm.status, _xlfn.XLOOKUP($A104,'EA-ConnectorExport'!$A:$A,'EA-ConnectorExport'!G:G),
    _xlpm.result, _xlfn.XLOOKUP($A104,'EA-ConnectorExport'!$A:$A,'EA-ConnectorExport'!H:H),
    IF(_xlpm.status="allocate", _xlpm.result, "")
)</f>
        <v>855DC-1543-008 Monarch</v>
      </c>
      <c r="Z104" s="2" t="str">
        <f>_xlfn.LET(
    _xlpm.isObject, _xlfn.XLOOKUP($Y104,'EA-Fortescue_SDExport'!A:A,'EA-Fortescue_SDExport'!B:B),
    _xlpm.lookupKey, IF(_xlpm.isObject="Object",
        _xlfn.XLOOKUP($A104,'EA-ConnectorExport'!A:A,'EA-ConnectorExport'!J:J),
        $Y104
    ),
    _xlpm.result, _xlfn.XLOOKUP(_xlpm.lookupKey,'EA-Fortescue_SDExport'!A:A,'EA-Fortescue_SDExport'!AA:AA),
    IF(_xlpm.result=0,"",_xlpm.result)
)</f>
        <v>Project</v>
      </c>
      <c r="AA104" s="2" t="str">
        <f>_xlfn.LET(_xlpm.result, _xlfn.XLOOKUP($Y104,'EA-Fortescue_SDExport'!$A:$A,'EA-Fortescue_SDExport'!AB:AB), IF(_xlpm.result=0,"",_xlpm.result))</f>
        <v>Energy Operations</v>
      </c>
      <c r="AB104" s="2" t="str">
        <f>_xlfn.LET(_xlpm.result, _xlfn.XLOOKUP($Y104,'EA-Fortescue_SDExport'!$A:$A,'EA-Fortescue_SDExport'!AC:AC), IF(_xlpm.result=0,"",_xlpm.result))</f>
        <v/>
      </c>
      <c r="AC104" s="2" t="str">
        <f>_xlfn.LET(
    _xlpm.isObject, _xlfn.XLOOKUP($Y104,'EA-Fortescue_SDExport'!A:A,'EA-Fortescue_SDExport'!B:B),
    _xlpm.lookupKey, IF(_xlpm.isObject="Object",
        _xlfn.XLOOKUP($A104,'EA-ConnectorExport'!A:A,'EA-ConnectorExport'!J:J),
        $Y104
    ),
    _xlpm.result, _xlfn.XLOOKUP(_xlpm.lookupKey,'EA-Fortescue_SDExport'!A:A,'EA-Fortescue_SDExport'!AD:AD),
    IF(_xlpm.result=0,"",_xlpm.result)
)</f>
        <v>855DC Decarb Green Systems</v>
      </c>
      <c r="AD104" s="2" t="str">
        <f>_xlfn.LET(
    _xlpm.isObject, _xlfn.XLOOKUP($Y104,'EA-Fortescue_SDExport'!A:A,'EA-Fortescue_SDExport'!B:B),
    _xlpm.lookupKey, IF(_xlpm.isObject="Object",
        _xlfn.XLOOKUP($A104,'EA-ConnectorExport'!A:A,'EA-ConnectorExport'!J:J),
        $Y104
    ),
    _xlpm.result, _xlfn.XLOOKUP(_xlpm.lookupKey,'EA-Fortescue_SDExport'!A:A,'EA-Fortescue_SDExport'!AE:AE),
    IF(_xlpm.result=0,"",_xlpm.result)
)</f>
        <v>855DC-1543 Existing Systems - Green Enhancement</v>
      </c>
      <c r="AE104" s="2" t="str">
        <f>_xlfn.LET(
    _xlpm.isObject, _xlfn.XLOOKUP($Y104,'EA-Fortescue_SDExport'!A:A,'EA-Fortescue_SDExport'!B:B),
    _xlpm.lookupKey, IF(_xlpm.isObject="Object",
        _xlfn.XLOOKUP($A104,'EA-ConnectorExport'!A:A,'EA-ConnectorExport'!J:J),
        $Y104
    ),
    _xlpm.result, _xlfn.XLOOKUP(_xlpm.lookupKey,'EA-Fortescue_SDExport'!A:A,'EA-Fortescue_SDExport'!AF:AF),
    IF(_xlpm.result=0,"",_xlpm.result)
)</f>
        <v>855DC-1543-008 Monarch</v>
      </c>
      <c r="AF104" s="2" t="str">
        <f>_xlfn.LET(
    _xlpm.isObject, _xlfn.XLOOKUP($Y104,'EA-Fortescue_SDExport'!A:A,'EA-Fortescue_SDExport'!B:B),
    _xlpm.lookupKey, IF(_xlpm.isObject="Object",
        _xlfn.XLOOKUP($A104,'EA-ConnectorExport'!A:A,'EA-ConnectorExport'!J:J),
        $Y104
    ),
    _xlpm.result, _xlfn.XLOOKUP(_xlpm.lookupKey,'EA-Fortescue_SDExport'!A:A,'EA-Fortescue_SDExport'!AG:AG),
    IF(_xlpm.result=0,"",_xlpm.result)
)</f>
        <v/>
      </c>
    </row>
    <row r="105" spans="1:32" ht="150" x14ac:dyDescent="0.25">
      <c r="A105" s="2" t="str">
        <v>DGS-I_0104</v>
      </c>
      <c r="B105" s="2" t="str">
        <f t="shared" si="4"/>
        <v>855DC-1541-ECL Eclipse|Energy Operations (HIVE)</v>
      </c>
      <c r="C105" s="2" t="str">
        <f>_xlfn.LET(_xlpm.result, _xlfn.XLOOKUP(A105,'EA-Fortescue_SDExport'!A:A,'EA-Fortescue_SDExport'!AM:AM), IF(_xlpm.result=0,"",_xlpm.result))</f>
        <v>Abby Buters</v>
      </c>
      <c r="D105" s="2" t="str">
        <f>_xlfn.LET(_xlpm.result, _xlfn.XLOOKUP(A105,'EA-Fortescue_SDExport'!A:A,'EA-Fortescue_SDExport'!AN:AN), IF(_xlpm.result=0,"",_xlpm.result))</f>
        <v>Glen Carruthers</v>
      </c>
      <c r="E105" s="2" t="str">
        <f>_xlfn.XLOOKUP(R105&amp;Z105,Lookups!A:A,Lookups!B:B)</f>
        <v>Stakeholder - Project Interface</v>
      </c>
      <c r="F105" s="2" t="str">
        <f>_xlfn.LET(_xlpm.result, _xlfn.XLOOKUP(A105,'EA-Fortescue_SDExport'!A:A,'EA-Fortescue_SDExport'!AP:AP), IF(_xlpm.result=0,"",_xlpm.result))</f>
        <v>Functional-Operational</v>
      </c>
      <c r="G105" s="2" t="str">
        <f>IF(OR(AND(T105&lt;&gt;"", COUNTIF(Lookups!J:J, "*"&amp;T105&amp;"*")&gt;0), AND(AB105&lt;&gt;"", COUNTIF(Lookups!J:J, "*"&amp;AB105&amp;"*")&gt;0)), "Yes", "No")</f>
        <v>No</v>
      </c>
      <c r="H105" s="2" t="str">
        <f t="shared" si="5"/>
        <v>855DC Decarb Green Systems|N/A</v>
      </c>
      <c r="I105" s="2" t="str">
        <f t="shared" si="6"/>
        <v>855DC-1541 Planning and Forecast Systems|N/A</v>
      </c>
      <c r="J105" s="2" t="str">
        <f t="shared" si="7"/>
        <v>855DC-1541-ECL Eclipse|N/A</v>
      </c>
      <c r="K105" s="2" t="str">
        <f>_xlfn.XLOOKUP(A105,'EA-Fortescue_SDExport'!A:A,'EA-Fortescue_SDExport'!N:N)</f>
        <v>Simplified Interface</v>
      </c>
      <c r="L105" s="2" t="str">
        <f>_xlfn.LET(_xlpm.result, _xlfn.XLOOKUP($A105,'EA-Fortescue_SDExport'!$A:$A,'EA-Fortescue_SDExport'!AQ:AQ), IF(_xlpm.result=0,"",_xlpm.result))</f>
        <v>The purpose of this interface is to allow Energy Operations (EO) personnel to interface with Eclipse data to assist in short and long-term planning and predicting energy/power distribution across the network. It is a Human interface for decision-making, where the EO staff member makes a decision after analysing outputs from Eclipse and then controls power distribution through Monarch._x000D_
Intermediate Elements: an EO staff member making a decision after analysing outputs from Eclipse and controlling power distribution through Monarch.</v>
      </c>
      <c r="M105" s="2" t="str">
        <f>_xlfn.LET(_xlpm.result, _xlfn.XLOOKUP($A105,'EA-Fortescue_SDExport'!$A:$A,'EA-Fortescue_SDExport'!AR:AR), IF(_xlpm.result=0,"",_xlpm.result))</f>
        <v>HIGH</v>
      </c>
      <c r="N105" s="2" t="str">
        <f>_xlfn.LET(_xlpm.result, _xlfn.XLOOKUP($A105,'EA-Fortescue_SDExport'!$A:$A,'EA-Fortescue_SDExport'!AW:AW), IF(_xlpm.result=0,"",_xlpm.result))</f>
        <v>This criticality is HIGH because Energy Operations depends on accurate optimisation outputs from Eclipse to make safe, stable, and economically efficient dispatch decisions. Loss of access may result in decisions based on outdated or incomplete information, increasing the risk of suboptimal generation scheduling, storage mismanagement, or network instability. While physical control is executed through Monarch, the integrity and quality of operational decisions rely heavily on this interface.</v>
      </c>
      <c r="O105" s="2" t="str">
        <f>_xlfn.LET(_xlpm.result, _xlfn.XLOOKUP($A105,'EA-Fortescue_SDExport'!$A:$A,'EA-Fortescue_SDExport'!AV:AV), IF(_xlpm.result=0,"",_xlpm.result))</f>
        <v>Eclipse -&gt; Energy Operations (HIVE)</v>
      </c>
      <c r="P105" s="2" t="str">
        <f>_xlfn.LET(_xlpm.result, _xlfn.XLOOKUP($A105,'EA-Fortescue_SDExport'!$A:$A,'EA-Fortescue_SDExport'!D:D), IF(_xlpm.result=0,"",_xlpm.result))</f>
        <v>NH 25/02/2026: Fields updated:Interface Type, Interface Criticality Explanation, Interface Flow</v>
      </c>
      <c r="Q105" s="2" t="str">
        <f>_xlfn.LET(
    _xlpm.status, _xlfn.XLOOKUP($A105,'EA-ConnectorExport'!$A:$A,'EA-ConnectorExport'!G:G),
    _xlpm.result, _xlfn.XLOOKUP($A105,'EA-ConnectorExport'!$A:$A,'EA-ConnectorExport'!B:B),
    IF(_xlpm.status="allocate", _xlpm.result, "")
)</f>
        <v>855DC-1541-ECL Eclipse</v>
      </c>
      <c r="R105" s="2" t="str">
        <f>IF(
    _xlfn.XLOOKUP($Q105,'EA-Fortescue_SDExport'!A:A,'EA-Fortescue_SDExport'!B:B)="Object",
    _xlfn.XLOOKUP(
        _xlfn.XLOOKUP($A105,'EA-ConnectorExport'!A:A,'EA-ConnectorExport'!D:D),
        'EA-Fortescue_SDExport'!A:A,
        'EA-Fortescue_SDExport'!AA:AA
    ),
    _xlfn.XLOOKUP($Q105,'EA-Fortescue_SDExport'!A:A,'EA-Fortescue_SDExport'!AA:AA)
)</f>
        <v>Project</v>
      </c>
      <c r="S105" s="2" t="str">
        <f>_xlfn.LET(_xlpm.result, _xlfn.XLOOKUP($Q105,'EA-Fortescue_SDExport'!$A:$A,'EA-Fortescue_SDExport'!AB:AB), IF(_xlpm.result=0,"",_xlpm.result))</f>
        <v>Energy Operations</v>
      </c>
      <c r="T105" s="2" t="str">
        <f>_xlfn.LET(_xlpm.result, _xlfn.XLOOKUP($Q105,'EA-Fortescue_SDExport'!$A:$A,'EA-Fortescue_SDExport'!AC:AC), IF(_xlpm.result=0,"",_xlpm.result))</f>
        <v/>
      </c>
      <c r="U105" s="2" t="str">
        <f>_xlfn.LET(
    _xlpm.isObject, _xlfn.XLOOKUP($Q105,'EA-Fortescue_SDExport'!A:A,'EA-Fortescue_SDExport'!B:B),
    _xlpm.lookupKey, IF(_xlpm.isObject="Object",
        _xlfn.XLOOKUP($A105,'EA-ConnectorExport'!A:A,'EA-ConnectorExport'!D:D),
        $Q105
    ),
    _xlpm.result, _xlfn.XLOOKUP(_xlpm.lookupKey,'EA-Fortescue_SDExport'!A:A,'EA-Fortescue_SDExport'!AD:AD),
    IF(_xlpm.result=0,"",_xlpm.result)
)</f>
        <v>855DC Decarb Green Systems</v>
      </c>
      <c r="V105" s="2" t="str">
        <f>_xlfn.LET(
    _xlpm.isObject, _xlfn.XLOOKUP($Q105,'EA-Fortescue_SDExport'!A:A,'EA-Fortescue_SDExport'!B:B),
    _xlpm.lookupKey, IF(_xlpm.isObject="Object",
        _xlfn.XLOOKUP($A105,'EA-ConnectorExport'!A:A,'EA-ConnectorExport'!D:D),
        $Q105
    ),
    _xlpm.result, _xlfn.XLOOKUP(_xlpm.lookupKey,'EA-Fortescue_SDExport'!A:A,'EA-Fortescue_SDExport'!AE:AE),
    IF(_xlpm.result=0,"",_xlpm.result)
)</f>
        <v>855DC-1541 Planning and Forecast Systems</v>
      </c>
      <c r="W105" s="2" t="str">
        <f>_xlfn.LET(
    _xlpm.isObject, _xlfn.XLOOKUP($Q105,'EA-Fortescue_SDExport'!A:A,'EA-Fortescue_SDExport'!B:B),
    _xlpm.lookupKey, IF(_xlpm.isObject="Object",
        _xlfn.XLOOKUP($A105,'EA-ConnectorExport'!A:A,'EA-ConnectorExport'!D:D),
        $Q105
    ),
    _xlpm.result, _xlfn.XLOOKUP(_xlpm.lookupKey,'EA-Fortescue_SDExport'!A:A,'EA-Fortescue_SDExport'!AF:AF),
    IF(_xlpm.result=0,"",_xlpm.result)
)</f>
        <v>855DC-1541-ECL Eclipse</v>
      </c>
      <c r="X105" s="2" t="str">
        <f>_xlfn.LET(
    _xlpm.isObject, _xlfn.XLOOKUP($Q105,'EA-Fortescue_SDExport'!A:A,'EA-Fortescue_SDExport'!B:B),
    _xlpm.lookupKey, IF(_xlpm.isObject="Object",
        _xlfn.XLOOKUP($A105,'EA-ConnectorExport'!A:A,'EA-ConnectorExport'!D:D),
        $Q105
    ),
    _xlpm.result, _xlfn.XLOOKUP(_xlpm.lookupKey,'EA-Fortescue_SDExport'!A:A,'EA-Fortescue_SDExport'!AG:AG),
    IF(_xlpm.result=0,"",_xlpm.result)
)</f>
        <v/>
      </c>
      <c r="Y105" s="2" t="str">
        <f>_xlfn.LET(
    _xlpm.status, _xlfn.XLOOKUP($A105,'EA-ConnectorExport'!$A:$A,'EA-ConnectorExport'!G:G),
    _xlpm.result, _xlfn.XLOOKUP($A105,'EA-ConnectorExport'!$A:$A,'EA-ConnectorExport'!H:H),
    IF(_xlpm.status="allocate", _xlpm.result, "")
)</f>
        <v>Energy Operations (HIVE)</v>
      </c>
      <c r="Z105" s="2" t="str">
        <f>_xlfn.LET(
    _xlpm.isObject, _xlfn.XLOOKUP($Y105,'EA-Fortescue_SDExport'!A:A,'EA-Fortescue_SDExport'!B:B),
    _xlpm.lookupKey, IF(_xlpm.isObject="Object",
        _xlfn.XLOOKUP($A105,'EA-ConnectorExport'!A:A,'EA-ConnectorExport'!J:J),
        $Y105
    ),
    _xlpm.result, _xlfn.XLOOKUP(_xlpm.lookupKey,'EA-Fortescue_SDExport'!A:A,'EA-Fortescue_SDExport'!AA:AA),
    IF(_xlpm.result=0,"",_xlpm.result)
)</f>
        <v>Stakeholder</v>
      </c>
      <c r="AA105" s="2" t="str">
        <f>_xlfn.LET(_xlpm.result, _xlfn.XLOOKUP($Y105,'EA-Fortescue_SDExport'!$A:$A,'EA-Fortescue_SDExport'!AB:AB), IF(_xlpm.result=0,"",_xlpm.result))</f>
        <v/>
      </c>
      <c r="AB105" s="2" t="str">
        <f>_xlfn.LET(_xlpm.result, _xlfn.XLOOKUP($Y105,'EA-Fortescue_SDExport'!$A:$A,'EA-Fortescue_SDExport'!AC:AC), IF(_xlpm.result=0,"",_xlpm.result))</f>
        <v/>
      </c>
      <c r="AC105" s="2" t="str">
        <f>_xlfn.LET(
    _xlpm.isObject, _xlfn.XLOOKUP($Y105,'EA-Fortescue_SDExport'!A:A,'EA-Fortescue_SDExport'!B:B),
    _xlpm.lookupKey, IF(_xlpm.isObject="Object",
        _xlfn.XLOOKUP($A105,'EA-ConnectorExport'!A:A,'EA-ConnectorExport'!J:J),
        $Y105
    ),
    _xlpm.result, _xlfn.XLOOKUP(_xlpm.lookupKey,'EA-Fortescue_SDExport'!A:A,'EA-Fortescue_SDExport'!AD:AD),
    IF(_xlpm.result=0,"",_xlpm.result)
)</f>
        <v/>
      </c>
      <c r="AD105" s="2" t="str">
        <f>_xlfn.LET(
    _xlpm.isObject, _xlfn.XLOOKUP($Y105,'EA-Fortescue_SDExport'!A:A,'EA-Fortescue_SDExport'!B:B),
    _xlpm.lookupKey, IF(_xlpm.isObject="Object",
        _xlfn.XLOOKUP($A105,'EA-ConnectorExport'!A:A,'EA-ConnectorExport'!J:J),
        $Y105
    ),
    _xlpm.result, _xlfn.XLOOKUP(_xlpm.lookupKey,'EA-Fortescue_SDExport'!A:A,'EA-Fortescue_SDExport'!AE:AE),
    IF(_xlpm.result=0,"",_xlpm.result)
)</f>
        <v/>
      </c>
      <c r="AE105" s="2" t="str">
        <f>_xlfn.LET(
    _xlpm.isObject, _xlfn.XLOOKUP($Y105,'EA-Fortescue_SDExport'!A:A,'EA-Fortescue_SDExport'!B:B),
    _xlpm.lookupKey, IF(_xlpm.isObject="Object",
        _xlfn.XLOOKUP($A105,'EA-ConnectorExport'!A:A,'EA-ConnectorExport'!J:J),
        $Y105
    ),
    _xlpm.result, _xlfn.XLOOKUP(_xlpm.lookupKey,'EA-Fortescue_SDExport'!A:A,'EA-Fortescue_SDExport'!AF:AF),
    IF(_xlpm.result=0,"",_xlpm.result)
)</f>
        <v/>
      </c>
      <c r="AF105" s="2" t="str">
        <f>_xlfn.LET(
    _xlpm.isObject, _xlfn.XLOOKUP($Y105,'EA-Fortescue_SDExport'!A:A,'EA-Fortescue_SDExport'!B:B),
    _xlpm.lookupKey, IF(_xlpm.isObject="Object",
        _xlfn.XLOOKUP($A105,'EA-ConnectorExport'!A:A,'EA-ConnectorExport'!J:J),
        $Y105
    ),
    _xlpm.result, _xlfn.XLOOKUP(_xlpm.lookupKey,'EA-Fortescue_SDExport'!A:A,'EA-Fortescue_SDExport'!AG:AG),
    IF(_xlpm.result=0,"",_xlpm.result)
)</f>
        <v/>
      </c>
    </row>
    <row r="106" spans="1:32" ht="45" x14ac:dyDescent="0.25">
      <c r="A106" s="2" t="str">
        <v>DGS-I_0105</v>
      </c>
      <c r="B106" s="2" t="str">
        <f t="shared" si="4"/>
        <v>Integrated Planning|855DC-1541-ECL Eclipse</v>
      </c>
      <c r="C106" s="2" t="str">
        <f>_xlfn.LET(_xlpm.result, _xlfn.XLOOKUP(A106,'EA-Fortescue_SDExport'!A:A,'EA-Fortescue_SDExport'!AM:AM), IF(_xlpm.result=0,"",_xlpm.result))</f>
        <v/>
      </c>
      <c r="D106" s="2" t="str">
        <f>_xlfn.LET(_xlpm.result, _xlfn.XLOOKUP(A106,'EA-Fortescue_SDExport'!A:A,'EA-Fortescue_SDExport'!AN:AN), IF(_xlpm.result=0,"",_xlpm.result))</f>
        <v/>
      </c>
      <c r="E106" s="2" t="str">
        <f>_xlfn.XLOOKUP(R106&amp;Z106,Lookups!A:A,Lookups!B:B)</f>
        <v>Stakeholder - Project Interface</v>
      </c>
      <c r="F106" s="2" t="str">
        <f>_xlfn.LET(_xlpm.result, _xlfn.XLOOKUP(A106,'EA-Fortescue_SDExport'!A:A,'EA-Fortescue_SDExport'!AP:AP), IF(_xlpm.result=0,"",_xlpm.result))</f>
        <v/>
      </c>
      <c r="G106" s="2" t="str">
        <f>IF(OR(AND(T106&lt;&gt;"", COUNTIF(Lookups!J:J, "*"&amp;T106&amp;"*")&gt;0), AND(AB106&lt;&gt;"", COUNTIF(Lookups!J:J, "*"&amp;AB106&amp;"*")&gt;0)), "Yes", "No")</f>
        <v>No</v>
      </c>
      <c r="H106" s="2" t="str">
        <f t="shared" si="5"/>
        <v>N/A|855DC Decarb Green Systems</v>
      </c>
      <c r="I106" s="2" t="str">
        <f t="shared" si="6"/>
        <v>N/A|855DC-1541 Planning and Forecast Systems</v>
      </c>
      <c r="J106" s="2" t="str">
        <f t="shared" si="7"/>
        <v>N/A|855DC-1541-ECL Eclipse</v>
      </c>
      <c r="K106" s="2" t="str">
        <f>_xlfn.XLOOKUP(A106,'EA-Fortescue_SDExport'!A:A,'EA-Fortescue_SDExport'!N:N)</f>
        <v>Deleted</v>
      </c>
      <c r="L106" s="2" t="str">
        <f>_xlfn.LET(_xlpm.result, _xlfn.XLOOKUP($A106,'EA-Fortescue_SDExport'!$A:$A,'EA-Fortescue_SDExport'!AQ:AQ), IF(_xlpm.result=0,"",_xlpm.result))</f>
        <v/>
      </c>
      <c r="M106" s="2" t="str">
        <f>_xlfn.LET(_xlpm.result, _xlfn.XLOOKUP($A106,'EA-Fortescue_SDExport'!$A:$A,'EA-Fortescue_SDExport'!AR:AR), IF(_xlpm.result=0,"",_xlpm.result))</f>
        <v/>
      </c>
      <c r="N106" s="2" t="str">
        <f>_xlfn.LET(_xlpm.result, _xlfn.XLOOKUP($A106,'EA-Fortescue_SDExport'!$A:$A,'EA-Fortescue_SDExport'!AW:AW), IF(_xlpm.result=0,"",_xlpm.result))</f>
        <v/>
      </c>
      <c r="O106" s="2" t="str">
        <f>_xlfn.LET(_xlpm.result, _xlfn.XLOOKUP($A106,'EA-Fortescue_SDExport'!$A:$A,'EA-Fortescue_SDExport'!AV:AV), IF(_xlpm.result=0,"",_xlpm.result))</f>
        <v/>
      </c>
      <c r="P106" s="2" t="str">
        <f>_xlfn.LET(_xlpm.result, _xlfn.XLOOKUP($A106,'EA-Fortescue_SDExport'!$A:$A,'EA-Fortescue_SDExport'!D:D), IF(_xlpm.result=0,"",_xlpm.result))</f>
        <v>Interface Review 25/11/2025: Delete</v>
      </c>
      <c r="Q106" s="2" t="str">
        <f>_xlfn.LET(
    _xlpm.status, _xlfn.XLOOKUP($A106,'EA-ConnectorExport'!$A:$A,'EA-ConnectorExport'!G:G),
    _xlpm.result, _xlfn.XLOOKUP($A106,'EA-ConnectorExport'!$A:$A,'EA-ConnectorExport'!B:B),
    IF(_xlpm.status="allocate", _xlpm.result, "")
)</f>
        <v>Integrated Planning</v>
      </c>
      <c r="R106" s="2" t="str">
        <f>IF(
    _xlfn.XLOOKUP($Q106,'EA-Fortescue_SDExport'!A:A,'EA-Fortescue_SDExport'!B:B)="Object",
    _xlfn.XLOOKUP(
        _xlfn.XLOOKUP($A106,'EA-ConnectorExport'!A:A,'EA-ConnectorExport'!D:D),
        'EA-Fortescue_SDExport'!A:A,
        'EA-Fortescue_SDExport'!AA:AA
    ),
    _xlfn.XLOOKUP($Q106,'EA-Fortescue_SDExport'!A:A,'EA-Fortescue_SDExport'!AA:AA)
)</f>
        <v>Stakeholder</v>
      </c>
      <c r="S106" s="2" t="str">
        <f>_xlfn.LET(_xlpm.result, _xlfn.XLOOKUP($Q106,'EA-Fortescue_SDExport'!$A:$A,'EA-Fortescue_SDExport'!AB:AB), IF(_xlpm.result=0,"",_xlpm.result))</f>
        <v/>
      </c>
      <c r="T106" s="2" t="str">
        <f>_xlfn.LET(_xlpm.result, _xlfn.XLOOKUP($Q106,'EA-Fortescue_SDExport'!$A:$A,'EA-Fortescue_SDExport'!AC:AC), IF(_xlpm.result=0,"",_xlpm.result))</f>
        <v/>
      </c>
      <c r="U106" s="2" t="str">
        <f>_xlfn.LET(
    _xlpm.isObject, _xlfn.XLOOKUP($Q106,'EA-Fortescue_SDExport'!A:A,'EA-Fortescue_SDExport'!B:B),
    _xlpm.lookupKey, IF(_xlpm.isObject="Object",
        _xlfn.XLOOKUP($A106,'EA-ConnectorExport'!A:A,'EA-ConnectorExport'!D:D),
        $Q106
    ),
    _xlpm.result, _xlfn.XLOOKUP(_xlpm.lookupKey,'EA-Fortescue_SDExport'!A:A,'EA-Fortescue_SDExport'!AD:AD),
    IF(_xlpm.result=0,"",_xlpm.result)
)</f>
        <v/>
      </c>
      <c r="V106" s="2" t="str">
        <f>_xlfn.LET(
    _xlpm.isObject, _xlfn.XLOOKUP($Q106,'EA-Fortescue_SDExport'!A:A,'EA-Fortescue_SDExport'!B:B),
    _xlpm.lookupKey, IF(_xlpm.isObject="Object",
        _xlfn.XLOOKUP($A106,'EA-ConnectorExport'!A:A,'EA-ConnectorExport'!D:D),
        $Q106
    ),
    _xlpm.result, _xlfn.XLOOKUP(_xlpm.lookupKey,'EA-Fortescue_SDExport'!A:A,'EA-Fortescue_SDExport'!AE:AE),
    IF(_xlpm.result=0,"",_xlpm.result)
)</f>
        <v/>
      </c>
      <c r="W106" s="2" t="str">
        <f>_xlfn.LET(
    _xlpm.isObject, _xlfn.XLOOKUP($Q106,'EA-Fortescue_SDExport'!A:A,'EA-Fortescue_SDExport'!B:B),
    _xlpm.lookupKey, IF(_xlpm.isObject="Object",
        _xlfn.XLOOKUP($A106,'EA-ConnectorExport'!A:A,'EA-ConnectorExport'!D:D),
        $Q106
    ),
    _xlpm.result, _xlfn.XLOOKUP(_xlpm.lookupKey,'EA-Fortescue_SDExport'!A:A,'EA-Fortescue_SDExport'!AF:AF),
    IF(_xlpm.result=0,"",_xlpm.result)
)</f>
        <v/>
      </c>
      <c r="X106" s="2" t="str">
        <f>_xlfn.LET(
    _xlpm.isObject, _xlfn.XLOOKUP($Q106,'EA-Fortescue_SDExport'!A:A,'EA-Fortescue_SDExport'!B:B),
    _xlpm.lookupKey, IF(_xlpm.isObject="Object",
        _xlfn.XLOOKUP($A106,'EA-ConnectorExport'!A:A,'EA-ConnectorExport'!D:D),
        $Q106
    ),
    _xlpm.result, _xlfn.XLOOKUP(_xlpm.lookupKey,'EA-Fortescue_SDExport'!A:A,'EA-Fortescue_SDExport'!AG:AG),
    IF(_xlpm.result=0,"",_xlpm.result)
)</f>
        <v/>
      </c>
      <c r="Y106" s="2" t="str">
        <f>_xlfn.LET(
    _xlpm.status, _xlfn.XLOOKUP($A106,'EA-ConnectorExport'!$A:$A,'EA-ConnectorExport'!G:G),
    _xlpm.result, _xlfn.XLOOKUP($A106,'EA-ConnectorExport'!$A:$A,'EA-ConnectorExport'!H:H),
    IF(_xlpm.status="allocate", _xlpm.result, "")
)</f>
        <v>855DC-1541-ECL Eclipse</v>
      </c>
      <c r="Z106" s="2" t="str">
        <f>_xlfn.LET(
    _xlpm.isObject, _xlfn.XLOOKUP($Y106,'EA-Fortescue_SDExport'!A:A,'EA-Fortescue_SDExport'!B:B),
    _xlpm.lookupKey, IF(_xlpm.isObject="Object",
        _xlfn.XLOOKUP($A106,'EA-ConnectorExport'!A:A,'EA-ConnectorExport'!J:J),
        $Y106
    ),
    _xlpm.result, _xlfn.XLOOKUP(_xlpm.lookupKey,'EA-Fortescue_SDExport'!A:A,'EA-Fortescue_SDExport'!AA:AA),
    IF(_xlpm.result=0,"",_xlpm.result)
)</f>
        <v>Project</v>
      </c>
      <c r="AA106" s="2" t="str">
        <f>_xlfn.LET(_xlpm.result, _xlfn.XLOOKUP($Y106,'EA-Fortescue_SDExport'!$A:$A,'EA-Fortescue_SDExport'!AB:AB), IF(_xlpm.result=0,"",_xlpm.result))</f>
        <v>Energy Operations</v>
      </c>
      <c r="AB106" s="2" t="str">
        <f>_xlfn.LET(_xlpm.result, _xlfn.XLOOKUP($Y106,'EA-Fortescue_SDExport'!$A:$A,'EA-Fortescue_SDExport'!AC:AC), IF(_xlpm.result=0,"",_xlpm.result))</f>
        <v/>
      </c>
      <c r="AC106" s="2" t="str">
        <f>_xlfn.LET(
    _xlpm.isObject, _xlfn.XLOOKUP($Y106,'EA-Fortescue_SDExport'!A:A,'EA-Fortescue_SDExport'!B:B),
    _xlpm.lookupKey, IF(_xlpm.isObject="Object",
        _xlfn.XLOOKUP($A106,'EA-ConnectorExport'!A:A,'EA-ConnectorExport'!J:J),
        $Y106
    ),
    _xlpm.result, _xlfn.XLOOKUP(_xlpm.lookupKey,'EA-Fortescue_SDExport'!A:A,'EA-Fortescue_SDExport'!AD:AD),
    IF(_xlpm.result=0,"",_xlpm.result)
)</f>
        <v>855DC Decarb Green Systems</v>
      </c>
      <c r="AD106" s="2" t="str">
        <f>_xlfn.LET(
    _xlpm.isObject, _xlfn.XLOOKUP($Y106,'EA-Fortescue_SDExport'!A:A,'EA-Fortescue_SDExport'!B:B),
    _xlpm.lookupKey, IF(_xlpm.isObject="Object",
        _xlfn.XLOOKUP($A106,'EA-ConnectorExport'!A:A,'EA-ConnectorExport'!J:J),
        $Y106
    ),
    _xlpm.result, _xlfn.XLOOKUP(_xlpm.lookupKey,'EA-Fortescue_SDExport'!A:A,'EA-Fortescue_SDExport'!AE:AE),
    IF(_xlpm.result=0,"",_xlpm.result)
)</f>
        <v>855DC-1541 Planning and Forecast Systems</v>
      </c>
      <c r="AE106" s="2" t="str">
        <f>_xlfn.LET(
    _xlpm.isObject, _xlfn.XLOOKUP($Y106,'EA-Fortescue_SDExport'!A:A,'EA-Fortescue_SDExport'!B:B),
    _xlpm.lookupKey, IF(_xlpm.isObject="Object",
        _xlfn.XLOOKUP($A106,'EA-ConnectorExport'!A:A,'EA-ConnectorExport'!J:J),
        $Y106
    ),
    _xlpm.result, _xlfn.XLOOKUP(_xlpm.lookupKey,'EA-Fortescue_SDExport'!A:A,'EA-Fortescue_SDExport'!AF:AF),
    IF(_xlpm.result=0,"",_xlpm.result)
)</f>
        <v>855DC-1541-ECL Eclipse</v>
      </c>
      <c r="AF106" s="2" t="str">
        <f>_xlfn.LET(
    _xlpm.isObject, _xlfn.XLOOKUP($Y106,'EA-Fortescue_SDExport'!A:A,'EA-Fortescue_SDExport'!B:B),
    _xlpm.lookupKey, IF(_xlpm.isObject="Object",
        _xlfn.XLOOKUP($A106,'EA-ConnectorExport'!A:A,'EA-ConnectorExport'!J:J),
        $Y106
    ),
    _xlpm.result, _xlfn.XLOOKUP(_xlpm.lookupKey,'EA-Fortescue_SDExport'!A:A,'EA-Fortescue_SDExport'!AG:AG),
    IF(_xlpm.result=0,"",_xlpm.result)
)</f>
        <v/>
      </c>
    </row>
    <row r="107" spans="1:32" ht="45" x14ac:dyDescent="0.25">
      <c r="A107" s="2" t="str">
        <v>DGS-I_0106</v>
      </c>
      <c r="B107" s="2" t="str">
        <f t="shared" si="4"/>
        <v>HIVE|855DC-1541-ECL Eclipse</v>
      </c>
      <c r="C107" s="2" t="str">
        <f>_xlfn.LET(_xlpm.result, _xlfn.XLOOKUP(A107,'EA-Fortescue_SDExport'!A:A,'EA-Fortescue_SDExport'!AM:AM), IF(_xlpm.result=0,"",_xlpm.result))</f>
        <v/>
      </c>
      <c r="D107" s="2" t="str">
        <f>_xlfn.LET(_xlpm.result, _xlfn.XLOOKUP(A107,'EA-Fortescue_SDExport'!A:A,'EA-Fortescue_SDExport'!AN:AN), IF(_xlpm.result=0,"",_xlpm.result))</f>
        <v/>
      </c>
      <c r="E107" s="2" t="str">
        <f>_xlfn.XLOOKUP(R107&amp;Z107,Lookups!A:A,Lookups!B:B)</f>
        <v>Stakeholder - Project Interface</v>
      </c>
      <c r="F107" s="2" t="str">
        <f>_xlfn.LET(_xlpm.result, _xlfn.XLOOKUP(A107,'EA-Fortescue_SDExport'!A:A,'EA-Fortescue_SDExport'!AP:AP), IF(_xlpm.result=0,"",_xlpm.result))</f>
        <v/>
      </c>
      <c r="G107" s="2" t="str">
        <f>IF(OR(AND(T107&lt;&gt;"", COUNTIF(Lookups!J:J, "*"&amp;T107&amp;"*")&gt;0), AND(AB107&lt;&gt;"", COUNTIF(Lookups!J:J, "*"&amp;AB107&amp;"*")&gt;0)), "Yes", "No")</f>
        <v>No</v>
      </c>
      <c r="H107" s="2" t="str">
        <f t="shared" si="5"/>
        <v>N/A|855DC Decarb Green Systems</v>
      </c>
      <c r="I107" s="2" t="str">
        <f t="shared" si="6"/>
        <v>N/A|855DC-1541 Planning and Forecast Systems</v>
      </c>
      <c r="J107" s="2" t="str">
        <f t="shared" si="7"/>
        <v>N/A|855DC-1541-ECL Eclipse</v>
      </c>
      <c r="K107" s="2" t="str">
        <f>_xlfn.XLOOKUP(A107,'EA-Fortescue_SDExport'!A:A,'EA-Fortescue_SDExport'!N:N)</f>
        <v>Deleted</v>
      </c>
      <c r="L107" s="2" t="str">
        <f>_xlfn.LET(_xlpm.result, _xlfn.XLOOKUP($A107,'EA-Fortescue_SDExport'!$A:$A,'EA-Fortescue_SDExport'!AQ:AQ), IF(_xlpm.result=0,"",_xlpm.result))</f>
        <v/>
      </c>
      <c r="M107" s="2" t="str">
        <f>_xlfn.LET(_xlpm.result, _xlfn.XLOOKUP($A107,'EA-Fortescue_SDExport'!$A:$A,'EA-Fortescue_SDExport'!AR:AR), IF(_xlpm.result=0,"",_xlpm.result))</f>
        <v/>
      </c>
      <c r="N107" s="2" t="str">
        <f>_xlfn.LET(_xlpm.result, _xlfn.XLOOKUP($A107,'EA-Fortescue_SDExport'!$A:$A,'EA-Fortescue_SDExport'!AW:AW), IF(_xlpm.result=0,"",_xlpm.result))</f>
        <v/>
      </c>
      <c r="O107" s="2" t="str">
        <f>_xlfn.LET(_xlpm.result, _xlfn.XLOOKUP($A107,'EA-Fortescue_SDExport'!$A:$A,'EA-Fortescue_SDExport'!AV:AV), IF(_xlpm.result=0,"",_xlpm.result))</f>
        <v/>
      </c>
      <c r="P107" s="2" t="str">
        <f>_xlfn.LET(_xlpm.result, _xlfn.XLOOKUP($A107,'EA-Fortescue_SDExport'!$A:$A,'EA-Fortescue_SDExport'!D:D), IF(_xlpm.result=0,"",_xlpm.result))</f>
        <v>Interface Review 25/11/2025: Delete (Energy Operations sit in the HIVE)</v>
      </c>
      <c r="Q107" s="2" t="str">
        <f>_xlfn.LET(
    _xlpm.status, _xlfn.XLOOKUP($A107,'EA-ConnectorExport'!$A:$A,'EA-ConnectorExport'!G:G),
    _xlpm.result, _xlfn.XLOOKUP($A107,'EA-ConnectorExport'!$A:$A,'EA-ConnectorExport'!B:B),
    IF(_xlpm.status="allocate", _xlpm.result, "")
)</f>
        <v>HIVE</v>
      </c>
      <c r="R107" s="2" t="str">
        <f>IF(
    _xlfn.XLOOKUP($Q107,'EA-Fortescue_SDExport'!A:A,'EA-Fortescue_SDExport'!B:B)="Object",
    _xlfn.XLOOKUP(
        _xlfn.XLOOKUP($A107,'EA-ConnectorExport'!A:A,'EA-ConnectorExport'!D:D),
        'EA-Fortescue_SDExport'!A:A,
        'EA-Fortescue_SDExport'!AA:AA
    ),
    _xlfn.XLOOKUP($Q107,'EA-Fortescue_SDExport'!A:A,'EA-Fortescue_SDExport'!AA:AA)
)</f>
        <v>Stakeholder</v>
      </c>
      <c r="S107" s="2" t="str">
        <f>_xlfn.LET(_xlpm.result, _xlfn.XLOOKUP($Q107,'EA-Fortescue_SDExport'!$A:$A,'EA-Fortescue_SDExport'!AB:AB), IF(_xlpm.result=0,"",_xlpm.result))</f>
        <v>Charlotte Lavin (Ops Readiness)</v>
      </c>
      <c r="T107" s="2" t="str">
        <f>_xlfn.LET(_xlpm.result, _xlfn.XLOOKUP($Q107,'EA-Fortescue_SDExport'!$A:$A,'EA-Fortescue_SDExport'!AC:AC), IF(_xlpm.result=0,"",_xlpm.result))</f>
        <v/>
      </c>
      <c r="U107" s="2" t="str">
        <f>_xlfn.LET(
    _xlpm.isObject, _xlfn.XLOOKUP($Q107,'EA-Fortescue_SDExport'!A:A,'EA-Fortescue_SDExport'!B:B),
    _xlpm.lookupKey, IF(_xlpm.isObject="Object",
        _xlfn.XLOOKUP($A107,'EA-ConnectorExport'!A:A,'EA-ConnectorExport'!D:D),
        $Q107
    ),
    _xlpm.result, _xlfn.XLOOKUP(_xlpm.lookupKey,'EA-Fortescue_SDExport'!A:A,'EA-Fortescue_SDExport'!AD:AD),
    IF(_xlpm.result=0,"",_xlpm.result)
)</f>
        <v/>
      </c>
      <c r="V107" s="2" t="str">
        <f>_xlfn.LET(
    _xlpm.isObject, _xlfn.XLOOKUP($Q107,'EA-Fortescue_SDExport'!A:A,'EA-Fortescue_SDExport'!B:B),
    _xlpm.lookupKey, IF(_xlpm.isObject="Object",
        _xlfn.XLOOKUP($A107,'EA-ConnectorExport'!A:A,'EA-ConnectorExport'!D:D),
        $Q107
    ),
    _xlpm.result, _xlfn.XLOOKUP(_xlpm.lookupKey,'EA-Fortescue_SDExport'!A:A,'EA-Fortescue_SDExport'!AE:AE),
    IF(_xlpm.result=0,"",_xlpm.result)
)</f>
        <v/>
      </c>
      <c r="W107" s="2" t="str">
        <f>_xlfn.LET(
    _xlpm.isObject, _xlfn.XLOOKUP($Q107,'EA-Fortescue_SDExport'!A:A,'EA-Fortescue_SDExport'!B:B),
    _xlpm.lookupKey, IF(_xlpm.isObject="Object",
        _xlfn.XLOOKUP($A107,'EA-ConnectorExport'!A:A,'EA-ConnectorExport'!D:D),
        $Q107
    ),
    _xlpm.result, _xlfn.XLOOKUP(_xlpm.lookupKey,'EA-Fortescue_SDExport'!A:A,'EA-Fortescue_SDExport'!AF:AF),
    IF(_xlpm.result=0,"",_xlpm.result)
)</f>
        <v/>
      </c>
      <c r="X107" s="2" t="str">
        <f>_xlfn.LET(
    _xlpm.isObject, _xlfn.XLOOKUP($Q107,'EA-Fortescue_SDExport'!A:A,'EA-Fortescue_SDExport'!B:B),
    _xlpm.lookupKey, IF(_xlpm.isObject="Object",
        _xlfn.XLOOKUP($A107,'EA-ConnectorExport'!A:A,'EA-ConnectorExport'!D:D),
        $Q107
    ),
    _xlpm.result, _xlfn.XLOOKUP(_xlpm.lookupKey,'EA-Fortescue_SDExport'!A:A,'EA-Fortescue_SDExport'!AG:AG),
    IF(_xlpm.result=0,"",_xlpm.result)
)</f>
        <v/>
      </c>
      <c r="Y107" s="2" t="str">
        <f>_xlfn.LET(
    _xlpm.status, _xlfn.XLOOKUP($A107,'EA-ConnectorExport'!$A:$A,'EA-ConnectorExport'!G:G),
    _xlpm.result, _xlfn.XLOOKUP($A107,'EA-ConnectorExport'!$A:$A,'EA-ConnectorExport'!H:H),
    IF(_xlpm.status="allocate", _xlpm.result, "")
)</f>
        <v>855DC-1541-ECL Eclipse</v>
      </c>
      <c r="Z107" s="2" t="str">
        <f>_xlfn.LET(
    _xlpm.isObject, _xlfn.XLOOKUP($Y107,'EA-Fortescue_SDExport'!A:A,'EA-Fortescue_SDExport'!B:B),
    _xlpm.lookupKey, IF(_xlpm.isObject="Object",
        _xlfn.XLOOKUP($A107,'EA-ConnectorExport'!A:A,'EA-ConnectorExport'!J:J),
        $Y107
    ),
    _xlpm.result, _xlfn.XLOOKUP(_xlpm.lookupKey,'EA-Fortescue_SDExport'!A:A,'EA-Fortescue_SDExport'!AA:AA),
    IF(_xlpm.result=0,"",_xlpm.result)
)</f>
        <v>Project</v>
      </c>
      <c r="AA107" s="2" t="str">
        <f>_xlfn.LET(_xlpm.result, _xlfn.XLOOKUP($Y107,'EA-Fortescue_SDExport'!$A:$A,'EA-Fortescue_SDExport'!AB:AB), IF(_xlpm.result=0,"",_xlpm.result))</f>
        <v>Energy Operations</v>
      </c>
      <c r="AB107" s="2" t="str">
        <f>_xlfn.LET(_xlpm.result, _xlfn.XLOOKUP($Y107,'EA-Fortescue_SDExport'!$A:$A,'EA-Fortescue_SDExport'!AC:AC), IF(_xlpm.result=0,"",_xlpm.result))</f>
        <v/>
      </c>
      <c r="AC107" s="2" t="str">
        <f>_xlfn.LET(
    _xlpm.isObject, _xlfn.XLOOKUP($Y107,'EA-Fortescue_SDExport'!A:A,'EA-Fortescue_SDExport'!B:B),
    _xlpm.lookupKey, IF(_xlpm.isObject="Object",
        _xlfn.XLOOKUP($A107,'EA-ConnectorExport'!A:A,'EA-ConnectorExport'!J:J),
        $Y107
    ),
    _xlpm.result, _xlfn.XLOOKUP(_xlpm.lookupKey,'EA-Fortescue_SDExport'!A:A,'EA-Fortescue_SDExport'!AD:AD),
    IF(_xlpm.result=0,"",_xlpm.result)
)</f>
        <v>855DC Decarb Green Systems</v>
      </c>
      <c r="AD107" s="2" t="str">
        <f>_xlfn.LET(
    _xlpm.isObject, _xlfn.XLOOKUP($Y107,'EA-Fortescue_SDExport'!A:A,'EA-Fortescue_SDExport'!B:B),
    _xlpm.lookupKey, IF(_xlpm.isObject="Object",
        _xlfn.XLOOKUP($A107,'EA-ConnectorExport'!A:A,'EA-ConnectorExport'!J:J),
        $Y107
    ),
    _xlpm.result, _xlfn.XLOOKUP(_xlpm.lookupKey,'EA-Fortescue_SDExport'!A:A,'EA-Fortescue_SDExport'!AE:AE),
    IF(_xlpm.result=0,"",_xlpm.result)
)</f>
        <v>855DC-1541 Planning and Forecast Systems</v>
      </c>
      <c r="AE107" s="2" t="str">
        <f>_xlfn.LET(
    _xlpm.isObject, _xlfn.XLOOKUP($Y107,'EA-Fortescue_SDExport'!A:A,'EA-Fortescue_SDExport'!B:B),
    _xlpm.lookupKey, IF(_xlpm.isObject="Object",
        _xlfn.XLOOKUP($A107,'EA-ConnectorExport'!A:A,'EA-ConnectorExport'!J:J),
        $Y107
    ),
    _xlpm.result, _xlfn.XLOOKUP(_xlpm.lookupKey,'EA-Fortescue_SDExport'!A:A,'EA-Fortescue_SDExport'!AF:AF),
    IF(_xlpm.result=0,"",_xlpm.result)
)</f>
        <v>855DC-1541-ECL Eclipse</v>
      </c>
      <c r="AF107" s="2" t="str">
        <f>_xlfn.LET(
    _xlpm.isObject, _xlfn.XLOOKUP($Y107,'EA-Fortescue_SDExport'!A:A,'EA-Fortescue_SDExport'!B:B),
    _xlpm.lookupKey, IF(_xlpm.isObject="Object",
        _xlfn.XLOOKUP($A107,'EA-ConnectorExport'!A:A,'EA-ConnectorExport'!J:J),
        $Y107
    ),
    _xlpm.result, _xlfn.XLOOKUP(_xlpm.lookupKey,'EA-Fortescue_SDExport'!A:A,'EA-Fortescue_SDExport'!AG:AG),
    IF(_xlpm.result=0,"",_xlpm.result)
)</f>
        <v/>
      </c>
    </row>
    <row r="108" spans="1:32" ht="60" x14ac:dyDescent="0.25">
      <c r="A108" s="2" t="str">
        <v>DGS-I_0107</v>
      </c>
      <c r="B108" s="2" t="str">
        <f t="shared" si="4"/>
        <v>Technical Services|855DC-1541-ECL Eclipse</v>
      </c>
      <c r="C108" s="2" t="str">
        <f>_xlfn.LET(_xlpm.result, _xlfn.XLOOKUP(A108,'EA-Fortescue_SDExport'!A:A,'EA-Fortescue_SDExport'!AM:AM), IF(_xlpm.result=0,"",_xlpm.result))</f>
        <v>Abby Buters</v>
      </c>
      <c r="D108" s="2" t="str">
        <f>_xlfn.LET(_xlpm.result, _xlfn.XLOOKUP(A108,'EA-Fortescue_SDExport'!A:A,'EA-Fortescue_SDExport'!AN:AN), IF(_xlpm.result=0,"",_xlpm.result))</f>
        <v>TBC</v>
      </c>
      <c r="E108" s="2" t="str">
        <f>_xlfn.XLOOKUP(R108&amp;Z108,Lookups!A:A,Lookups!B:B)</f>
        <v>Stakeholder - Project Interface</v>
      </c>
      <c r="F108" s="2" t="str">
        <f>_xlfn.LET(_xlpm.result, _xlfn.XLOOKUP(A108,'EA-Fortescue_SDExport'!A:A,'EA-Fortescue_SDExport'!AP:AP), IF(_xlpm.result=0,"",_xlpm.result))</f>
        <v>Functional-Operational</v>
      </c>
      <c r="G108" s="2" t="str">
        <f>IF(OR(AND(T108&lt;&gt;"", COUNTIF(Lookups!J:J, "*"&amp;T108&amp;"*")&gt;0), AND(AB108&lt;&gt;"", COUNTIF(Lookups!J:J, "*"&amp;AB108&amp;"*")&gt;0)), "Yes", "No")</f>
        <v>No</v>
      </c>
      <c r="H108" s="2" t="str">
        <f t="shared" si="5"/>
        <v>N/A|855DC Decarb Green Systems</v>
      </c>
      <c r="I108" s="2" t="str">
        <f t="shared" si="6"/>
        <v>N/A|855DC-1541 Planning and Forecast Systems</v>
      </c>
      <c r="J108" s="2" t="str">
        <f t="shared" si="7"/>
        <v>N/A|855DC-1541-ECL Eclipse</v>
      </c>
      <c r="K108" s="2" t="str">
        <f>_xlfn.XLOOKUP(A108,'EA-Fortescue_SDExport'!A:A,'EA-Fortescue_SDExport'!N:N)</f>
        <v>Simplified Interface</v>
      </c>
      <c r="L108" s="2" t="str">
        <f>_xlfn.LET(_xlpm.result, _xlfn.XLOOKUP($A108,'EA-Fortescue_SDExport'!$A:$A,'EA-Fortescue_SDExport'!AQ:AQ), IF(_xlpm.result=0,"",_xlpm.result))</f>
        <v>This interface allows personnel to interact with Eclipse to run plans and weather scenarios (including 10-year and life-of-mine plans) and process those plans through Eclipse to optimise them.</v>
      </c>
      <c r="M108" s="2" t="str">
        <f>_xlfn.LET(_xlpm.result, _xlfn.XLOOKUP($A108,'EA-Fortescue_SDExport'!$A:$A,'EA-Fortescue_SDExport'!AR:AR), IF(_xlpm.result=0,"",_xlpm.result))</f>
        <v>HIGH</v>
      </c>
      <c r="N108" s="2" t="str">
        <f>_xlfn.LET(_xlpm.result, _xlfn.XLOOKUP($A108,'EA-Fortescue_SDExport'!$A:$A,'EA-Fortescue_SDExport'!AW:AW), IF(_xlpm.result=0,"",_xlpm.result))</f>
        <v>This interface is rated HIGH because it enables strategic and operational optimisation across short- and long-term planning horizons. Inability to run or analyse scenarios limits forecasting accuracy, reduces confidence in capacity planning, and may lead to inefficient generation, storage, and infrastructure investment decisions. While real-time control systems remain operational, the quality and safety margin of future dispatch and infrastructure decisions depend heavily on this interface.</v>
      </c>
      <c r="O108" s="2" t="str">
        <f>_xlfn.LET(_xlpm.result, _xlfn.XLOOKUP($A108,'EA-Fortescue_SDExport'!$A:$A,'EA-Fortescue_SDExport'!AV:AV), IF(_xlpm.result=0,"",_xlpm.result))</f>
        <v>Eclipse &lt;-&gt; Technical Services</v>
      </c>
      <c r="P108" s="2" t="str">
        <f>_xlfn.LET(_xlpm.result, _xlfn.XLOOKUP($A108,'EA-Fortescue_SDExport'!$A:$A,'EA-Fortescue_SDExport'!D:D), IF(_xlpm.result=0,"",_xlpm.result))</f>
        <v>NH 25/02/2026: Fields updated:Interface Type, Interface Criticality Explanation, Interface Flow</v>
      </c>
      <c r="Q108" s="2" t="str">
        <f>_xlfn.LET(
    _xlpm.status, _xlfn.XLOOKUP($A108,'EA-ConnectorExport'!$A:$A,'EA-ConnectorExport'!G:G),
    _xlpm.result, _xlfn.XLOOKUP($A108,'EA-ConnectorExport'!$A:$A,'EA-ConnectorExport'!B:B),
    IF(_xlpm.status="allocate", _xlpm.result, "")
)</f>
        <v>Technical Services</v>
      </c>
      <c r="R108" s="2" t="str">
        <f>IF(
    _xlfn.XLOOKUP($Q108,'EA-Fortescue_SDExport'!A:A,'EA-Fortescue_SDExport'!B:B)="Object",
    _xlfn.XLOOKUP(
        _xlfn.XLOOKUP($A108,'EA-ConnectorExport'!A:A,'EA-ConnectorExport'!D:D),
        'EA-Fortescue_SDExport'!A:A,
        'EA-Fortescue_SDExport'!AA:AA
    ),
    _xlfn.XLOOKUP($Q108,'EA-Fortescue_SDExport'!A:A,'EA-Fortescue_SDExport'!AA:AA)
)</f>
        <v>Stakeholder</v>
      </c>
      <c r="S108" s="2" t="str">
        <f>_xlfn.LET(_xlpm.result, _xlfn.XLOOKUP($Q108,'EA-Fortescue_SDExport'!$A:$A,'EA-Fortescue_SDExport'!AB:AB), IF(_xlpm.result=0,"",_xlpm.result))</f>
        <v/>
      </c>
      <c r="T108" s="2" t="str">
        <f>_xlfn.LET(_xlpm.result, _xlfn.XLOOKUP($Q108,'EA-Fortescue_SDExport'!$A:$A,'EA-Fortescue_SDExport'!AC:AC), IF(_xlpm.result=0,"",_xlpm.result))</f>
        <v/>
      </c>
      <c r="U108" s="2" t="str">
        <f>_xlfn.LET(
    _xlpm.isObject, _xlfn.XLOOKUP($Q108,'EA-Fortescue_SDExport'!A:A,'EA-Fortescue_SDExport'!B:B),
    _xlpm.lookupKey, IF(_xlpm.isObject="Object",
        _xlfn.XLOOKUP($A108,'EA-ConnectorExport'!A:A,'EA-ConnectorExport'!D:D),
        $Q108
    ),
    _xlpm.result, _xlfn.XLOOKUP(_xlpm.lookupKey,'EA-Fortescue_SDExport'!A:A,'EA-Fortescue_SDExport'!AD:AD),
    IF(_xlpm.result=0,"",_xlpm.result)
)</f>
        <v/>
      </c>
      <c r="V108" s="2" t="str">
        <f>_xlfn.LET(
    _xlpm.isObject, _xlfn.XLOOKUP($Q108,'EA-Fortescue_SDExport'!A:A,'EA-Fortescue_SDExport'!B:B),
    _xlpm.lookupKey, IF(_xlpm.isObject="Object",
        _xlfn.XLOOKUP($A108,'EA-ConnectorExport'!A:A,'EA-ConnectorExport'!D:D),
        $Q108
    ),
    _xlpm.result, _xlfn.XLOOKUP(_xlpm.lookupKey,'EA-Fortescue_SDExport'!A:A,'EA-Fortescue_SDExport'!AE:AE),
    IF(_xlpm.result=0,"",_xlpm.result)
)</f>
        <v/>
      </c>
      <c r="W108" s="2" t="str">
        <f>_xlfn.LET(
    _xlpm.isObject, _xlfn.XLOOKUP($Q108,'EA-Fortescue_SDExport'!A:A,'EA-Fortescue_SDExport'!B:B),
    _xlpm.lookupKey, IF(_xlpm.isObject="Object",
        _xlfn.XLOOKUP($A108,'EA-ConnectorExport'!A:A,'EA-ConnectorExport'!D:D),
        $Q108
    ),
    _xlpm.result, _xlfn.XLOOKUP(_xlpm.lookupKey,'EA-Fortescue_SDExport'!A:A,'EA-Fortescue_SDExport'!AF:AF),
    IF(_xlpm.result=0,"",_xlpm.result)
)</f>
        <v/>
      </c>
      <c r="X108" s="2" t="str">
        <f>_xlfn.LET(
    _xlpm.isObject, _xlfn.XLOOKUP($Q108,'EA-Fortescue_SDExport'!A:A,'EA-Fortescue_SDExport'!B:B),
    _xlpm.lookupKey, IF(_xlpm.isObject="Object",
        _xlfn.XLOOKUP($A108,'EA-ConnectorExport'!A:A,'EA-ConnectorExport'!D:D),
        $Q108
    ),
    _xlpm.result, _xlfn.XLOOKUP(_xlpm.lookupKey,'EA-Fortescue_SDExport'!A:A,'EA-Fortescue_SDExport'!AG:AG),
    IF(_xlpm.result=0,"",_xlpm.result)
)</f>
        <v/>
      </c>
      <c r="Y108" s="2" t="str">
        <f>_xlfn.LET(
    _xlpm.status, _xlfn.XLOOKUP($A108,'EA-ConnectorExport'!$A:$A,'EA-ConnectorExport'!G:G),
    _xlpm.result, _xlfn.XLOOKUP($A108,'EA-ConnectorExport'!$A:$A,'EA-ConnectorExport'!H:H),
    IF(_xlpm.status="allocate", _xlpm.result, "")
)</f>
        <v>855DC-1541-ECL Eclipse</v>
      </c>
      <c r="Z108" s="2" t="str">
        <f>_xlfn.LET(
    _xlpm.isObject, _xlfn.XLOOKUP($Y108,'EA-Fortescue_SDExport'!A:A,'EA-Fortescue_SDExport'!B:B),
    _xlpm.lookupKey, IF(_xlpm.isObject="Object",
        _xlfn.XLOOKUP($A108,'EA-ConnectorExport'!A:A,'EA-ConnectorExport'!J:J),
        $Y108
    ),
    _xlpm.result, _xlfn.XLOOKUP(_xlpm.lookupKey,'EA-Fortescue_SDExport'!A:A,'EA-Fortescue_SDExport'!AA:AA),
    IF(_xlpm.result=0,"",_xlpm.result)
)</f>
        <v>Project</v>
      </c>
      <c r="AA108" s="2" t="str">
        <f>_xlfn.LET(_xlpm.result, _xlfn.XLOOKUP($Y108,'EA-Fortescue_SDExport'!$A:$A,'EA-Fortescue_SDExport'!AB:AB), IF(_xlpm.result=0,"",_xlpm.result))</f>
        <v>Energy Operations</v>
      </c>
      <c r="AB108" s="2" t="str">
        <f>_xlfn.LET(_xlpm.result, _xlfn.XLOOKUP($Y108,'EA-Fortescue_SDExport'!$A:$A,'EA-Fortescue_SDExport'!AC:AC), IF(_xlpm.result=0,"",_xlpm.result))</f>
        <v/>
      </c>
      <c r="AC108" s="2" t="str">
        <f>_xlfn.LET(
    _xlpm.isObject, _xlfn.XLOOKUP($Y108,'EA-Fortescue_SDExport'!A:A,'EA-Fortescue_SDExport'!B:B),
    _xlpm.lookupKey, IF(_xlpm.isObject="Object",
        _xlfn.XLOOKUP($A108,'EA-ConnectorExport'!A:A,'EA-ConnectorExport'!J:J),
        $Y108
    ),
    _xlpm.result, _xlfn.XLOOKUP(_xlpm.lookupKey,'EA-Fortescue_SDExport'!A:A,'EA-Fortescue_SDExport'!AD:AD),
    IF(_xlpm.result=0,"",_xlpm.result)
)</f>
        <v>855DC Decarb Green Systems</v>
      </c>
      <c r="AD108" s="2" t="str">
        <f>_xlfn.LET(
    _xlpm.isObject, _xlfn.XLOOKUP($Y108,'EA-Fortescue_SDExport'!A:A,'EA-Fortescue_SDExport'!B:B),
    _xlpm.lookupKey, IF(_xlpm.isObject="Object",
        _xlfn.XLOOKUP($A108,'EA-ConnectorExport'!A:A,'EA-ConnectorExport'!J:J),
        $Y108
    ),
    _xlpm.result, _xlfn.XLOOKUP(_xlpm.lookupKey,'EA-Fortescue_SDExport'!A:A,'EA-Fortescue_SDExport'!AE:AE),
    IF(_xlpm.result=0,"",_xlpm.result)
)</f>
        <v>855DC-1541 Planning and Forecast Systems</v>
      </c>
      <c r="AE108" s="2" t="str">
        <f>_xlfn.LET(
    _xlpm.isObject, _xlfn.XLOOKUP($Y108,'EA-Fortescue_SDExport'!A:A,'EA-Fortescue_SDExport'!B:B),
    _xlpm.lookupKey, IF(_xlpm.isObject="Object",
        _xlfn.XLOOKUP($A108,'EA-ConnectorExport'!A:A,'EA-ConnectorExport'!J:J),
        $Y108
    ),
    _xlpm.result, _xlfn.XLOOKUP(_xlpm.lookupKey,'EA-Fortescue_SDExport'!A:A,'EA-Fortescue_SDExport'!AF:AF),
    IF(_xlpm.result=0,"",_xlpm.result)
)</f>
        <v>855DC-1541-ECL Eclipse</v>
      </c>
      <c r="AF108" s="2" t="str">
        <f>_xlfn.LET(
    _xlpm.isObject, _xlfn.XLOOKUP($Y108,'EA-Fortescue_SDExport'!A:A,'EA-Fortescue_SDExport'!B:B),
    _xlpm.lookupKey, IF(_xlpm.isObject="Object",
        _xlfn.XLOOKUP($A108,'EA-ConnectorExport'!A:A,'EA-ConnectorExport'!J:J),
        $Y108
    ),
    _xlpm.result, _xlfn.XLOOKUP(_xlpm.lookupKey,'EA-Fortescue_SDExport'!A:A,'EA-Fortescue_SDExport'!AG:AG),
    IF(_xlpm.result=0,"",_xlpm.result)
)</f>
        <v/>
      </c>
    </row>
    <row r="109" spans="1:32" ht="210" x14ac:dyDescent="0.25">
      <c r="A109" s="2" t="str">
        <v>DGS-I_0108</v>
      </c>
      <c r="B109" s="2" t="str">
        <f t="shared" si="4"/>
        <v>Operations Planning|855DC-1541-ECL Eclipse</v>
      </c>
      <c r="C109" s="2" t="str">
        <f>_xlfn.LET(_xlpm.result, _xlfn.XLOOKUP(A109,'EA-Fortescue_SDExport'!A:A,'EA-Fortescue_SDExport'!AM:AM), IF(_xlpm.result=0,"",_xlpm.result))</f>
        <v>Abby Buters</v>
      </c>
      <c r="D109" s="2" t="str">
        <f>_xlfn.LET(_xlpm.result, _xlfn.XLOOKUP(A109,'EA-Fortescue_SDExport'!A:A,'EA-Fortescue_SDExport'!AN:AN), IF(_xlpm.result=0,"",_xlpm.result))</f>
        <v>TBC</v>
      </c>
      <c r="E109" s="2" t="str">
        <f>_xlfn.XLOOKUP(R109&amp;Z109,Lookups!A:A,Lookups!B:B)</f>
        <v>Stakeholder - Project Interface</v>
      </c>
      <c r="F109" s="2" t="str">
        <f>_xlfn.LET(_xlpm.result, _xlfn.XLOOKUP(A109,'EA-Fortescue_SDExport'!A:A,'EA-Fortescue_SDExport'!AP:AP), IF(_xlpm.result=0,"",_xlpm.result))</f>
        <v>Functional-Operational</v>
      </c>
      <c r="G109" s="2" t="str">
        <f>IF(OR(AND(T109&lt;&gt;"", COUNTIF(Lookups!J:J, "*"&amp;T109&amp;"*")&gt;0), AND(AB109&lt;&gt;"", COUNTIF(Lookups!J:J, "*"&amp;AB109&amp;"*")&gt;0)), "Yes", "No")</f>
        <v>No</v>
      </c>
      <c r="H109" s="2" t="str">
        <f t="shared" si="5"/>
        <v>N/A|855DC Decarb Green Systems</v>
      </c>
      <c r="I109" s="2" t="str">
        <f t="shared" si="6"/>
        <v>N/A|855DC-1541 Planning and Forecast Systems</v>
      </c>
      <c r="J109" s="2" t="str">
        <f t="shared" si="7"/>
        <v>N/A|855DC-1541-ECL Eclipse</v>
      </c>
      <c r="K109" s="2" t="str">
        <f>_xlfn.XLOOKUP(A109,'EA-Fortescue_SDExport'!A:A,'EA-Fortescue_SDExport'!N:N)</f>
        <v>Simplified Interface</v>
      </c>
      <c r="L109" s="2" t="str">
        <f>_xlfn.LET(_xlpm.result, _xlfn.XLOOKUP($A109,'EA-Fortescue_SDExport'!$A:$A,'EA-Fortescue_SDExport'!AQ:AQ), IF(_xlpm.result=0,"",_xlpm.result))</f>
        <v>Eclipse HMI - Operational Run Plans &amp; Weather Scenario Interface_x000D_
The purpose of this interface is to provide the Operations Planning team with a central workspace through the Eclipse Human-Machine Interface (HMI) to create, review, and adjust run plans while visualising live and forecasted weather scenarios. This allows planners to understand how weather, equipment status, and energy conditions impact operational plans in the short and medium term._x000D_
Intermediate Elements: an HMI visual layer connected to Eclipse planning tools,  and Snowflake datasets.</v>
      </c>
      <c r="M109" s="2" t="str">
        <f>_xlfn.LET(_xlpm.result, _xlfn.XLOOKUP($A109,'EA-Fortescue_SDExport'!$A:$A,'EA-Fortescue_SDExport'!AR:AR), IF(_xlpm.result=0,"",_xlpm.result))</f>
        <v>HIGH</v>
      </c>
      <c r="N109" s="2" t="str">
        <f>_xlfn.LET(_xlpm.result, _xlfn.XLOOKUP($A109,'EA-Fortescue_SDExport'!$A:$A,'EA-Fortescue_SDExport'!AW:AW), IF(_xlpm.result=0,"",_xlpm.result))</f>
        <v>The criticality level is HIGH because the HMI is essential for informed decision-making, enabling planners to evaluate multiple scenarios and adjust operations based on real-time and forecasted conditions, thereby maintaining operational alignment.</v>
      </c>
      <c r="O109" s="2" t="str">
        <f>_xlfn.LET(_xlpm.result, _xlfn.XLOOKUP($A109,'EA-Fortescue_SDExport'!$A:$A,'EA-Fortescue_SDExport'!AV:AV), IF(_xlpm.result=0,"",_xlpm.result))</f>
        <v>Eclipse planning engine -&gt; Eclipse HMI -&gt; Operators/Planners.</v>
      </c>
      <c r="P109" s="2" t="str">
        <f>_xlfn.LET(_xlpm.result, _xlfn.XLOOKUP($A109,'EA-Fortescue_SDExport'!$A:$A,'EA-Fortescue_SDExport'!D:D), IF(_xlpm.result=0,"",_xlpm.result))</f>
        <v>NH 25/02/2026: Fields updated:Interface Type</v>
      </c>
      <c r="Q109" s="2" t="str">
        <f>_xlfn.LET(
    _xlpm.status, _xlfn.XLOOKUP($A109,'EA-ConnectorExport'!$A:$A,'EA-ConnectorExport'!G:G),
    _xlpm.result, _xlfn.XLOOKUP($A109,'EA-ConnectorExport'!$A:$A,'EA-ConnectorExport'!B:B),
    IF(_xlpm.status="allocate", _xlpm.result, "")
)</f>
        <v>Operations Planning</v>
      </c>
      <c r="R109" s="2" t="str">
        <f>IF(
    _xlfn.XLOOKUP($Q109,'EA-Fortescue_SDExport'!A:A,'EA-Fortescue_SDExport'!B:B)="Object",
    _xlfn.XLOOKUP(
        _xlfn.XLOOKUP($A109,'EA-ConnectorExport'!A:A,'EA-ConnectorExport'!D:D),
        'EA-Fortescue_SDExport'!A:A,
        'EA-Fortescue_SDExport'!AA:AA
    ),
    _xlfn.XLOOKUP($Q109,'EA-Fortescue_SDExport'!A:A,'EA-Fortescue_SDExport'!AA:AA)
)</f>
        <v>Stakeholder</v>
      </c>
      <c r="S109" s="2" t="str">
        <f>_xlfn.LET(_xlpm.result, _xlfn.XLOOKUP($Q109,'EA-Fortescue_SDExport'!$A:$A,'EA-Fortescue_SDExport'!AB:AB), IF(_xlpm.result=0,"",_xlpm.result))</f>
        <v/>
      </c>
      <c r="T109" s="2" t="str">
        <f>_xlfn.LET(_xlpm.result, _xlfn.XLOOKUP($Q109,'EA-Fortescue_SDExport'!$A:$A,'EA-Fortescue_SDExport'!AC:AC), IF(_xlpm.result=0,"",_xlpm.result))</f>
        <v/>
      </c>
      <c r="U109" s="2" t="str">
        <f>_xlfn.LET(
    _xlpm.isObject, _xlfn.XLOOKUP($Q109,'EA-Fortescue_SDExport'!A:A,'EA-Fortescue_SDExport'!B:B),
    _xlpm.lookupKey, IF(_xlpm.isObject="Object",
        _xlfn.XLOOKUP($A109,'EA-ConnectorExport'!A:A,'EA-ConnectorExport'!D:D),
        $Q109
    ),
    _xlpm.result, _xlfn.XLOOKUP(_xlpm.lookupKey,'EA-Fortescue_SDExport'!A:A,'EA-Fortescue_SDExport'!AD:AD),
    IF(_xlpm.result=0,"",_xlpm.result)
)</f>
        <v/>
      </c>
      <c r="V109" s="2" t="str">
        <f>_xlfn.LET(
    _xlpm.isObject, _xlfn.XLOOKUP($Q109,'EA-Fortescue_SDExport'!A:A,'EA-Fortescue_SDExport'!B:B),
    _xlpm.lookupKey, IF(_xlpm.isObject="Object",
        _xlfn.XLOOKUP($A109,'EA-ConnectorExport'!A:A,'EA-ConnectorExport'!D:D),
        $Q109
    ),
    _xlpm.result, _xlfn.XLOOKUP(_xlpm.lookupKey,'EA-Fortescue_SDExport'!A:A,'EA-Fortescue_SDExport'!AE:AE),
    IF(_xlpm.result=0,"",_xlpm.result)
)</f>
        <v/>
      </c>
      <c r="W109" s="2" t="str">
        <f>_xlfn.LET(
    _xlpm.isObject, _xlfn.XLOOKUP($Q109,'EA-Fortescue_SDExport'!A:A,'EA-Fortescue_SDExport'!B:B),
    _xlpm.lookupKey, IF(_xlpm.isObject="Object",
        _xlfn.XLOOKUP($A109,'EA-ConnectorExport'!A:A,'EA-ConnectorExport'!D:D),
        $Q109
    ),
    _xlpm.result, _xlfn.XLOOKUP(_xlpm.lookupKey,'EA-Fortescue_SDExport'!A:A,'EA-Fortescue_SDExport'!AF:AF),
    IF(_xlpm.result=0,"",_xlpm.result)
)</f>
        <v/>
      </c>
      <c r="X109" s="2" t="str">
        <f>_xlfn.LET(
    _xlpm.isObject, _xlfn.XLOOKUP($Q109,'EA-Fortescue_SDExport'!A:A,'EA-Fortescue_SDExport'!B:B),
    _xlpm.lookupKey, IF(_xlpm.isObject="Object",
        _xlfn.XLOOKUP($A109,'EA-ConnectorExport'!A:A,'EA-ConnectorExport'!D:D),
        $Q109
    ),
    _xlpm.result, _xlfn.XLOOKUP(_xlpm.lookupKey,'EA-Fortescue_SDExport'!A:A,'EA-Fortescue_SDExport'!AG:AG),
    IF(_xlpm.result=0,"",_xlpm.result)
)</f>
        <v/>
      </c>
      <c r="Y109" s="2" t="str">
        <f>_xlfn.LET(
    _xlpm.status, _xlfn.XLOOKUP($A109,'EA-ConnectorExport'!$A:$A,'EA-ConnectorExport'!G:G),
    _xlpm.result, _xlfn.XLOOKUP($A109,'EA-ConnectorExport'!$A:$A,'EA-ConnectorExport'!H:H),
    IF(_xlpm.status="allocate", _xlpm.result, "")
)</f>
        <v>855DC-1541-ECL Eclipse</v>
      </c>
      <c r="Z109" s="2" t="str">
        <f>_xlfn.LET(
    _xlpm.isObject, _xlfn.XLOOKUP($Y109,'EA-Fortescue_SDExport'!A:A,'EA-Fortescue_SDExport'!B:B),
    _xlpm.lookupKey, IF(_xlpm.isObject="Object",
        _xlfn.XLOOKUP($A109,'EA-ConnectorExport'!A:A,'EA-ConnectorExport'!J:J),
        $Y109
    ),
    _xlpm.result, _xlfn.XLOOKUP(_xlpm.lookupKey,'EA-Fortescue_SDExport'!A:A,'EA-Fortescue_SDExport'!AA:AA),
    IF(_xlpm.result=0,"",_xlpm.result)
)</f>
        <v>Project</v>
      </c>
      <c r="AA109" s="2" t="str">
        <f>_xlfn.LET(_xlpm.result, _xlfn.XLOOKUP($Y109,'EA-Fortescue_SDExport'!$A:$A,'EA-Fortescue_SDExport'!AB:AB), IF(_xlpm.result=0,"",_xlpm.result))</f>
        <v>Energy Operations</v>
      </c>
      <c r="AB109" s="2" t="str">
        <f>_xlfn.LET(_xlpm.result, _xlfn.XLOOKUP($Y109,'EA-Fortescue_SDExport'!$A:$A,'EA-Fortescue_SDExport'!AC:AC), IF(_xlpm.result=0,"",_xlpm.result))</f>
        <v/>
      </c>
      <c r="AC109" s="2" t="str">
        <f>_xlfn.LET(
    _xlpm.isObject, _xlfn.XLOOKUP($Y109,'EA-Fortescue_SDExport'!A:A,'EA-Fortescue_SDExport'!B:B),
    _xlpm.lookupKey, IF(_xlpm.isObject="Object",
        _xlfn.XLOOKUP($A109,'EA-ConnectorExport'!A:A,'EA-ConnectorExport'!J:J),
        $Y109
    ),
    _xlpm.result, _xlfn.XLOOKUP(_xlpm.lookupKey,'EA-Fortescue_SDExport'!A:A,'EA-Fortescue_SDExport'!AD:AD),
    IF(_xlpm.result=0,"",_xlpm.result)
)</f>
        <v>855DC Decarb Green Systems</v>
      </c>
      <c r="AD109" s="2" t="str">
        <f>_xlfn.LET(
    _xlpm.isObject, _xlfn.XLOOKUP($Y109,'EA-Fortescue_SDExport'!A:A,'EA-Fortescue_SDExport'!B:B),
    _xlpm.lookupKey, IF(_xlpm.isObject="Object",
        _xlfn.XLOOKUP($A109,'EA-ConnectorExport'!A:A,'EA-ConnectorExport'!J:J),
        $Y109
    ),
    _xlpm.result, _xlfn.XLOOKUP(_xlpm.lookupKey,'EA-Fortescue_SDExport'!A:A,'EA-Fortescue_SDExport'!AE:AE),
    IF(_xlpm.result=0,"",_xlpm.result)
)</f>
        <v>855DC-1541 Planning and Forecast Systems</v>
      </c>
      <c r="AE109" s="2" t="str">
        <f>_xlfn.LET(
    _xlpm.isObject, _xlfn.XLOOKUP($Y109,'EA-Fortescue_SDExport'!A:A,'EA-Fortescue_SDExport'!B:B),
    _xlpm.lookupKey, IF(_xlpm.isObject="Object",
        _xlfn.XLOOKUP($A109,'EA-ConnectorExport'!A:A,'EA-ConnectorExport'!J:J),
        $Y109
    ),
    _xlpm.result, _xlfn.XLOOKUP(_xlpm.lookupKey,'EA-Fortescue_SDExport'!A:A,'EA-Fortescue_SDExport'!AF:AF),
    IF(_xlpm.result=0,"",_xlpm.result)
)</f>
        <v>855DC-1541-ECL Eclipse</v>
      </c>
      <c r="AF109" s="2" t="str">
        <f>_xlfn.LET(
    _xlpm.isObject, _xlfn.XLOOKUP($Y109,'EA-Fortescue_SDExport'!A:A,'EA-Fortescue_SDExport'!B:B),
    _xlpm.lookupKey, IF(_xlpm.isObject="Object",
        _xlfn.XLOOKUP($A109,'EA-ConnectorExport'!A:A,'EA-ConnectorExport'!J:J),
        $Y109
    ),
    _xlpm.result, _xlfn.XLOOKUP(_xlpm.lookupKey,'EA-Fortescue_SDExport'!A:A,'EA-Fortescue_SDExport'!AG:AG),
    IF(_xlpm.result=0,"",_xlpm.result)
)</f>
        <v/>
      </c>
    </row>
    <row r="110" spans="1:32" ht="195" x14ac:dyDescent="0.25">
      <c r="A110" s="2" t="str">
        <v>DGS-I_0109</v>
      </c>
      <c r="B110" s="2" t="str">
        <f t="shared" si="4"/>
        <v>855DC-1541-LIV LiveWire|Mine Services</v>
      </c>
      <c r="C110" s="2" t="str">
        <f>_xlfn.LET(_xlpm.result, _xlfn.XLOOKUP(A110,'EA-Fortescue_SDExport'!A:A,'EA-Fortescue_SDExport'!AM:AM), IF(_xlpm.result=0,"",_xlpm.result))</f>
        <v>Abby Buters</v>
      </c>
      <c r="D110" s="2" t="str">
        <f>_xlfn.LET(_xlpm.result, _xlfn.XLOOKUP(A110,'EA-Fortescue_SDExport'!A:A,'EA-Fortescue_SDExport'!AN:AN), IF(_xlpm.result=0,"",_xlpm.result))</f>
        <v>Site based contributors per site</v>
      </c>
      <c r="E110" s="2" t="str">
        <f>_xlfn.XLOOKUP(R110&amp;Z110,Lookups!A:A,Lookups!B:B)</f>
        <v>Stakeholder - Project Interface</v>
      </c>
      <c r="F110" s="2" t="str">
        <f>_xlfn.LET(_xlpm.result, _xlfn.XLOOKUP(A110,'EA-Fortescue_SDExport'!A:A,'EA-Fortescue_SDExport'!AP:AP), IF(_xlpm.result=0,"",_xlpm.result))</f>
        <v>Functional-Operational</v>
      </c>
      <c r="G110" s="2" t="str">
        <f>IF(OR(AND(T110&lt;&gt;"", COUNTIF(Lookups!J:J, "*"&amp;T110&amp;"*")&gt;0), AND(AB110&lt;&gt;"", COUNTIF(Lookups!J:J, "*"&amp;AB110&amp;"*")&gt;0)), "Yes", "No")</f>
        <v>No</v>
      </c>
      <c r="H110" s="2" t="str">
        <f t="shared" si="5"/>
        <v>855DC Decarb Green Systems|N/A</v>
      </c>
      <c r="I110" s="2" t="str">
        <f t="shared" si="6"/>
        <v>855DC-1541 Planning and Forecast Systems|N/A</v>
      </c>
      <c r="J110" s="2" t="str">
        <f t="shared" si="7"/>
        <v>855DC-1541-LIV LiveWire|N/A</v>
      </c>
      <c r="K110" s="2" t="str">
        <f>_xlfn.XLOOKUP(A110,'EA-Fortescue_SDExport'!A:A,'EA-Fortescue_SDExport'!N:N)</f>
        <v>Proposed</v>
      </c>
      <c r="L110" s="2" t="str">
        <f>_xlfn.LET(_xlpm.result, _xlfn.XLOOKUP($A110,'EA-Fortescue_SDExport'!$A:$A,'EA-Fortescue_SDExport'!AQ:AQ), IF(_xlpm.result=0,"",_xlpm.result))</f>
        <v>Mine Services Cable Crews &lt;-&gt; LiveWire - Human Stakeholder Interaction_x000D_
The purpose of this interface is to allow cable crews from the Mine Services team to directly interact with the LiveWire system to manage cable movements, update field conditions, and ensure accurate representation of electrical infrastructure across the site. Mine Services is the operational owner of LiveWire at each site, using the system to record cable locations, perform manual updates when sensors or telemetry are unavailable, and validate real-time spatial information before field activities._x000D_
Intermediate Elements: LiveWire web UI, tablets or field devices, LiveWire backend services, SCADA/GPS integrations supporting crew decision-making.</v>
      </c>
      <c r="M110" s="2" t="str">
        <f>_xlfn.LET(_xlpm.result, _xlfn.XLOOKUP($A110,'EA-Fortescue_SDExport'!$A:$A,'EA-Fortescue_SDExport'!AR:AR), IF(_xlpm.result=0,"",_xlpm.result))</f>
        <v>HIGH</v>
      </c>
      <c r="N110" s="2" t="str">
        <f>_xlfn.LET(_xlpm.result, _xlfn.XLOOKUP($A110,'EA-Fortescue_SDExport'!$A:$A,'EA-Fortescue_SDExport'!AW:AW), IF(_xlpm.result=0,"",_xlpm.result))</f>
        <v>The criticality level is HIGH because LiveWire serves as the authoritative tool for cable-related field operations. Accurate human input and validation are essential for safety, preventing cable strikes, and maintaining reliable operational data.</v>
      </c>
      <c r="O110" s="2" t="str">
        <f>_xlfn.LET(_xlpm.result, _xlfn.XLOOKUP($A110,'EA-Fortescue_SDExport'!$A:$A,'EA-Fortescue_SDExport'!AV:AV), IF(_xlpm.result=0,"",_xlpm.result))</f>
        <v>Information Flow:_x000D_
Mine Services cable crews -&gt; LiveWire UI (manual updates, confirmations, field data entry) -&gt; LiveWire backend &amp; spatial layers.</v>
      </c>
      <c r="P110" s="2" t="str">
        <f>_xlfn.LET(_xlpm.result, _xlfn.XLOOKUP($A110,'EA-Fortescue_SDExport'!$A:$A,'EA-Fortescue_SDExport'!D:D), IF(_xlpm.result=0,"",_xlpm.result))</f>
        <v>Meeting Remarks 02/12/2025: Cable Crews from the mine services team will be interfacing with the LiveWire system. Mine services will be the owners of the application per site.</v>
      </c>
      <c r="Q110" s="2" t="str">
        <f>_xlfn.LET(
    _xlpm.status, _xlfn.XLOOKUP($A110,'EA-ConnectorExport'!$A:$A,'EA-ConnectorExport'!G:G),
    _xlpm.result, _xlfn.XLOOKUP($A110,'EA-ConnectorExport'!$A:$A,'EA-ConnectorExport'!B:B),
    IF(_xlpm.status="allocate", _xlpm.result, "")
)</f>
        <v>855DC-1541-LIV LiveWire</v>
      </c>
      <c r="R110" s="2" t="str">
        <f>IF(
    _xlfn.XLOOKUP($Q110,'EA-Fortescue_SDExport'!A:A,'EA-Fortescue_SDExport'!B:B)="Object",
    _xlfn.XLOOKUP(
        _xlfn.XLOOKUP($A110,'EA-ConnectorExport'!A:A,'EA-ConnectorExport'!D:D),
        'EA-Fortescue_SDExport'!A:A,
        'EA-Fortescue_SDExport'!AA:AA
    ),
    _xlfn.XLOOKUP($Q110,'EA-Fortescue_SDExport'!A:A,'EA-Fortescue_SDExport'!AA:AA)
)</f>
        <v>Project</v>
      </c>
      <c r="S110" s="2" t="str">
        <f>_xlfn.LET(_xlpm.result, _xlfn.XLOOKUP($Q110,'EA-Fortescue_SDExport'!$A:$A,'EA-Fortescue_SDExport'!AB:AB), IF(_xlpm.result=0,"",_xlpm.result))</f>
        <v>Operations Planning</v>
      </c>
      <c r="T110" s="2" t="str">
        <f>_xlfn.LET(_xlpm.result, _xlfn.XLOOKUP($Q110,'EA-Fortescue_SDExport'!$A:$A,'EA-Fortescue_SDExport'!AC:AC), IF(_xlpm.result=0,"",_xlpm.result))</f>
        <v>AWS Fortescue Cloud</v>
      </c>
      <c r="U110" s="2" t="str">
        <f>_xlfn.LET(
    _xlpm.isObject, _xlfn.XLOOKUP($Q110,'EA-Fortescue_SDExport'!A:A,'EA-Fortescue_SDExport'!B:B),
    _xlpm.lookupKey, IF(_xlpm.isObject="Object",
        _xlfn.XLOOKUP($A110,'EA-ConnectorExport'!A:A,'EA-ConnectorExport'!D:D),
        $Q110
    ),
    _xlpm.result, _xlfn.XLOOKUP(_xlpm.lookupKey,'EA-Fortescue_SDExport'!A:A,'EA-Fortescue_SDExport'!AD:AD),
    IF(_xlpm.result=0,"",_xlpm.result)
)</f>
        <v>855DC Decarb Green Systems</v>
      </c>
      <c r="V110" s="2" t="str">
        <f>_xlfn.LET(
    _xlpm.isObject, _xlfn.XLOOKUP($Q110,'EA-Fortescue_SDExport'!A:A,'EA-Fortescue_SDExport'!B:B),
    _xlpm.lookupKey, IF(_xlpm.isObject="Object",
        _xlfn.XLOOKUP($A110,'EA-ConnectorExport'!A:A,'EA-ConnectorExport'!D:D),
        $Q110
    ),
    _xlpm.result, _xlfn.XLOOKUP(_xlpm.lookupKey,'EA-Fortescue_SDExport'!A:A,'EA-Fortescue_SDExport'!AE:AE),
    IF(_xlpm.result=0,"",_xlpm.result)
)</f>
        <v>855DC-1541 Planning and Forecast Systems</v>
      </c>
      <c r="W110" s="2" t="str">
        <f>_xlfn.LET(
    _xlpm.isObject, _xlfn.XLOOKUP($Q110,'EA-Fortescue_SDExport'!A:A,'EA-Fortescue_SDExport'!B:B),
    _xlpm.lookupKey, IF(_xlpm.isObject="Object",
        _xlfn.XLOOKUP($A110,'EA-ConnectorExport'!A:A,'EA-ConnectorExport'!D:D),
        $Q110
    ),
    _xlpm.result, _xlfn.XLOOKUP(_xlpm.lookupKey,'EA-Fortescue_SDExport'!A:A,'EA-Fortescue_SDExport'!AF:AF),
    IF(_xlpm.result=0,"",_xlpm.result)
)</f>
        <v>855DC-1541-LIV LiveWire</v>
      </c>
      <c r="X110" s="2" t="str">
        <f>_xlfn.LET(
    _xlpm.isObject, _xlfn.XLOOKUP($Q110,'EA-Fortescue_SDExport'!A:A,'EA-Fortescue_SDExport'!B:B),
    _xlpm.lookupKey, IF(_xlpm.isObject="Object",
        _xlfn.XLOOKUP($A110,'EA-ConnectorExport'!A:A,'EA-ConnectorExport'!D:D),
        $Q110
    ),
    _xlpm.result, _xlfn.XLOOKUP(_xlpm.lookupKey,'EA-Fortescue_SDExport'!A:A,'EA-Fortescue_SDExport'!AG:AG),
    IF(_xlpm.result=0,"",_xlpm.result)
)</f>
        <v/>
      </c>
      <c r="Y110" s="2" t="str">
        <f>_xlfn.LET(
    _xlpm.status, _xlfn.XLOOKUP($A110,'EA-ConnectorExport'!$A:$A,'EA-ConnectorExport'!G:G),
    _xlpm.result, _xlfn.XLOOKUP($A110,'EA-ConnectorExport'!$A:$A,'EA-ConnectorExport'!H:H),
    IF(_xlpm.status="allocate", _xlpm.result, "")
)</f>
        <v>Mine Services</v>
      </c>
      <c r="Z110" s="2" t="str">
        <f>_xlfn.LET(
    _xlpm.isObject, _xlfn.XLOOKUP($Y110,'EA-Fortescue_SDExport'!A:A,'EA-Fortescue_SDExport'!B:B),
    _xlpm.lookupKey, IF(_xlpm.isObject="Object",
        _xlfn.XLOOKUP($A110,'EA-ConnectorExport'!A:A,'EA-ConnectorExport'!J:J),
        $Y110
    ),
    _xlpm.result, _xlfn.XLOOKUP(_xlpm.lookupKey,'EA-Fortescue_SDExport'!A:A,'EA-Fortescue_SDExport'!AA:AA),
    IF(_xlpm.result=0,"",_xlpm.result)
)</f>
        <v>Stakeholder</v>
      </c>
      <c r="AA110" s="2" t="str">
        <f>_xlfn.LET(_xlpm.result, _xlfn.XLOOKUP($Y110,'EA-Fortescue_SDExport'!$A:$A,'EA-Fortescue_SDExport'!AB:AB), IF(_xlpm.result=0,"",_xlpm.result))</f>
        <v>Charlotte Lavin (Ops Readiness)</v>
      </c>
      <c r="AB110" s="2" t="str">
        <f>_xlfn.LET(_xlpm.result, _xlfn.XLOOKUP($Y110,'EA-Fortescue_SDExport'!$A:$A,'EA-Fortescue_SDExport'!AC:AC), IF(_xlpm.result=0,"",_xlpm.result))</f>
        <v/>
      </c>
      <c r="AC110" s="2" t="str">
        <f>_xlfn.LET(
    _xlpm.isObject, _xlfn.XLOOKUP($Y110,'EA-Fortescue_SDExport'!A:A,'EA-Fortescue_SDExport'!B:B),
    _xlpm.lookupKey, IF(_xlpm.isObject="Object",
        _xlfn.XLOOKUP($A110,'EA-ConnectorExport'!A:A,'EA-ConnectorExport'!J:J),
        $Y110
    ),
    _xlpm.result, _xlfn.XLOOKUP(_xlpm.lookupKey,'EA-Fortescue_SDExport'!A:A,'EA-Fortescue_SDExport'!AD:AD),
    IF(_xlpm.result=0,"",_xlpm.result)
)</f>
        <v/>
      </c>
      <c r="AD110" s="2" t="str">
        <f>_xlfn.LET(
    _xlpm.isObject, _xlfn.XLOOKUP($Y110,'EA-Fortescue_SDExport'!A:A,'EA-Fortescue_SDExport'!B:B),
    _xlpm.lookupKey, IF(_xlpm.isObject="Object",
        _xlfn.XLOOKUP($A110,'EA-ConnectorExport'!A:A,'EA-ConnectorExport'!J:J),
        $Y110
    ),
    _xlpm.result, _xlfn.XLOOKUP(_xlpm.lookupKey,'EA-Fortescue_SDExport'!A:A,'EA-Fortescue_SDExport'!AE:AE),
    IF(_xlpm.result=0,"",_xlpm.result)
)</f>
        <v/>
      </c>
      <c r="AE110" s="2" t="str">
        <f>_xlfn.LET(
    _xlpm.isObject, _xlfn.XLOOKUP($Y110,'EA-Fortescue_SDExport'!A:A,'EA-Fortescue_SDExport'!B:B),
    _xlpm.lookupKey, IF(_xlpm.isObject="Object",
        _xlfn.XLOOKUP($A110,'EA-ConnectorExport'!A:A,'EA-ConnectorExport'!J:J),
        $Y110
    ),
    _xlpm.result, _xlfn.XLOOKUP(_xlpm.lookupKey,'EA-Fortescue_SDExport'!A:A,'EA-Fortescue_SDExport'!AF:AF),
    IF(_xlpm.result=0,"",_xlpm.result)
)</f>
        <v/>
      </c>
      <c r="AF110" s="2" t="str">
        <f>_xlfn.LET(
    _xlpm.isObject, _xlfn.XLOOKUP($Y110,'EA-Fortescue_SDExport'!A:A,'EA-Fortescue_SDExport'!B:B),
    _xlpm.lookupKey, IF(_xlpm.isObject="Object",
        _xlfn.XLOOKUP($A110,'EA-ConnectorExport'!A:A,'EA-ConnectorExport'!J:J),
        $Y110
    ),
    _xlpm.result, _xlfn.XLOOKUP(_xlpm.lookupKey,'EA-Fortescue_SDExport'!A:A,'EA-Fortescue_SDExport'!AG:AG),
    IF(_xlpm.result=0,"",_xlpm.result)
)</f>
        <v/>
      </c>
    </row>
    <row r="111" spans="1:32" ht="195" x14ac:dyDescent="0.25">
      <c r="A111" s="2" t="str">
        <v>DGS-I_0110</v>
      </c>
      <c r="B111" s="2" t="str">
        <f t="shared" si="4"/>
        <v>Asset Health|855DC-1541-LIV LiveWire</v>
      </c>
      <c r="C111" s="2" t="str">
        <f>_xlfn.LET(_xlpm.result, _xlfn.XLOOKUP(A111,'EA-Fortescue_SDExport'!A:A,'EA-Fortescue_SDExport'!AM:AM), IF(_xlpm.result=0,"",_xlpm.result))</f>
        <v>Abby Buters</v>
      </c>
      <c r="D111" s="2" t="str">
        <f>_xlfn.LET(_xlpm.result, _xlfn.XLOOKUP(A111,'EA-Fortescue_SDExport'!A:A,'EA-Fortescue_SDExport'!AN:AN), IF(_xlpm.result=0,"",_xlpm.result))</f>
        <v>TBC</v>
      </c>
      <c r="E111" s="2" t="str">
        <f>_xlfn.XLOOKUP(R111&amp;Z111,Lookups!A:A,Lookups!B:B)</f>
        <v>Stakeholder - Project Interface</v>
      </c>
      <c r="F111" s="2" t="str">
        <f>_xlfn.LET(_xlpm.result, _xlfn.XLOOKUP(A111,'EA-Fortescue_SDExport'!A:A,'EA-Fortescue_SDExport'!AP:AP), IF(_xlpm.result=0,"",_xlpm.result))</f>
        <v>Functional-Operational</v>
      </c>
      <c r="G111" s="2" t="str">
        <f>IF(OR(AND(T111&lt;&gt;"", COUNTIF(Lookups!J:J, "*"&amp;T111&amp;"*")&gt;0), AND(AB111&lt;&gt;"", COUNTIF(Lookups!J:J, "*"&amp;AB111&amp;"*")&gt;0)), "Yes", "No")</f>
        <v>No</v>
      </c>
      <c r="H111" s="2" t="str">
        <f t="shared" si="5"/>
        <v>N/A|855DC Decarb Green Systems</v>
      </c>
      <c r="I111" s="2" t="str">
        <f t="shared" si="6"/>
        <v>N/A|855DC-1541 Planning and Forecast Systems</v>
      </c>
      <c r="J111" s="2" t="str">
        <f t="shared" si="7"/>
        <v>N/A|855DC-1541-LIV LiveWire</v>
      </c>
      <c r="K111" s="2" t="str">
        <f>_xlfn.XLOOKUP(A111,'EA-Fortescue_SDExport'!A:A,'EA-Fortescue_SDExport'!N:N)</f>
        <v>Proposed</v>
      </c>
      <c r="L111" s="2" t="str">
        <f>_xlfn.LET(_xlpm.result, _xlfn.XLOOKUP($A111,'EA-Fortescue_SDExport'!$A:$A,'EA-Fortescue_SDExport'!AQ:AQ), IF(_xlpm.result=0,"",_xlpm.result))</f>
        <v>LiveWire -&gt; Asset Health - Data Exposure for Maintenance &amp; Reliability_x000D_
The purpose of this interface is to allow LiveWire to expose operational and spatial data to Snowflake to support the Asset Health stakeholder group. This data can be used for maintenance and reliability analysis, helping identify patterns such as repeated cable movements, high-risk locations, sensor failures, or infrastructure degradation._x000D_
Intermediate Elements: LiveWire backend, Snowflake dataset, and Asset Health analytics tools.</v>
      </c>
      <c r="M111" s="2" t="str">
        <f>_xlfn.LET(_xlpm.result, _xlfn.XLOOKUP($A111,'EA-Fortescue_SDExport'!$A:$A,'EA-Fortescue_SDExport'!AR:AR), IF(_xlpm.result=0,"",_xlpm.result))</f>
        <v>LOW</v>
      </c>
      <c r="N111" s="2" t="str">
        <f>_xlfn.LET(_xlpm.result, _xlfn.XLOOKUP($A111,'EA-Fortescue_SDExport'!$A:$A,'EA-Fortescue_SDExport'!AW:AW), IF(_xlpm.result=0,"",_xlpm.result))</f>
        <v>The criticality level is LOW because failure at this interface does not impact real-time production, safety, or operational control. It only delays the availability of data for maintenance and reliability analysis, which can be corrected in the next data cycle.</v>
      </c>
      <c r="O111" s="2" t="str">
        <f>_xlfn.LET(_xlpm.result, _xlfn.XLOOKUP($A111,'EA-Fortescue_SDExport'!$A:$A,'EA-Fortescue_SDExport'!AV:AV), IF(_xlpm.result=0,"",_xlpm.result))</f>
        <v>Data Flow:_x000D_
LiveWire operational data -&gt; Snowflake (shared dataset) -&gt; Asset Health team analytics.</v>
      </c>
      <c r="P111" s="2" t="str">
        <f>_xlfn.LET(_xlpm.result, _xlfn.XLOOKUP($A111,'EA-Fortescue_SDExport'!$A:$A,'EA-Fortescue_SDExport'!D:D), IF(_xlpm.result=0,"",_xlpm.result))</f>
        <v>Meeting Remarks 02/12/2025: LiveWire could potentially expose data to Snowflake for Asset Health for maintenance and reliability.</v>
      </c>
      <c r="Q111" s="2" t="str">
        <f>_xlfn.LET(
    _xlpm.status, _xlfn.XLOOKUP($A111,'EA-ConnectorExport'!$A:$A,'EA-ConnectorExport'!G:G),
    _xlpm.result, _xlfn.XLOOKUP($A111,'EA-ConnectorExport'!$A:$A,'EA-ConnectorExport'!B:B),
    IF(_xlpm.status="allocate", _xlpm.result, "")
)</f>
        <v>Asset Health</v>
      </c>
      <c r="R111" s="2" t="str">
        <f>IF(
    _xlfn.XLOOKUP($Q111,'EA-Fortescue_SDExport'!A:A,'EA-Fortescue_SDExport'!B:B)="Object",
    _xlfn.XLOOKUP(
        _xlfn.XLOOKUP($A111,'EA-ConnectorExport'!A:A,'EA-ConnectorExport'!D:D),
        'EA-Fortescue_SDExport'!A:A,
        'EA-Fortescue_SDExport'!AA:AA
    ),
    _xlfn.XLOOKUP($Q111,'EA-Fortescue_SDExport'!A:A,'EA-Fortescue_SDExport'!AA:AA)
)</f>
        <v>Stakeholder</v>
      </c>
      <c r="S111" s="2" t="str">
        <f>_xlfn.LET(_xlpm.result, _xlfn.XLOOKUP($Q111,'EA-Fortescue_SDExport'!$A:$A,'EA-Fortescue_SDExport'!AB:AB), IF(_xlpm.result=0,"",_xlpm.result))</f>
        <v/>
      </c>
      <c r="T111" s="2" t="str">
        <f>_xlfn.LET(_xlpm.result, _xlfn.XLOOKUP($Q111,'EA-Fortescue_SDExport'!$A:$A,'EA-Fortescue_SDExport'!AC:AC), IF(_xlpm.result=0,"",_xlpm.result))</f>
        <v/>
      </c>
      <c r="U111" s="2" t="str">
        <f>_xlfn.LET(
    _xlpm.isObject, _xlfn.XLOOKUP($Q111,'EA-Fortescue_SDExport'!A:A,'EA-Fortescue_SDExport'!B:B),
    _xlpm.lookupKey, IF(_xlpm.isObject="Object",
        _xlfn.XLOOKUP($A111,'EA-ConnectorExport'!A:A,'EA-ConnectorExport'!D:D),
        $Q111
    ),
    _xlpm.result, _xlfn.XLOOKUP(_xlpm.lookupKey,'EA-Fortescue_SDExport'!A:A,'EA-Fortescue_SDExport'!AD:AD),
    IF(_xlpm.result=0,"",_xlpm.result)
)</f>
        <v/>
      </c>
      <c r="V111" s="2" t="str">
        <f>_xlfn.LET(
    _xlpm.isObject, _xlfn.XLOOKUP($Q111,'EA-Fortescue_SDExport'!A:A,'EA-Fortescue_SDExport'!B:B),
    _xlpm.lookupKey, IF(_xlpm.isObject="Object",
        _xlfn.XLOOKUP($A111,'EA-ConnectorExport'!A:A,'EA-ConnectorExport'!D:D),
        $Q111
    ),
    _xlpm.result, _xlfn.XLOOKUP(_xlpm.lookupKey,'EA-Fortescue_SDExport'!A:A,'EA-Fortescue_SDExport'!AE:AE),
    IF(_xlpm.result=0,"",_xlpm.result)
)</f>
        <v/>
      </c>
      <c r="W111" s="2" t="str">
        <f>_xlfn.LET(
    _xlpm.isObject, _xlfn.XLOOKUP($Q111,'EA-Fortescue_SDExport'!A:A,'EA-Fortescue_SDExport'!B:B),
    _xlpm.lookupKey, IF(_xlpm.isObject="Object",
        _xlfn.XLOOKUP($A111,'EA-ConnectorExport'!A:A,'EA-ConnectorExport'!D:D),
        $Q111
    ),
    _xlpm.result, _xlfn.XLOOKUP(_xlpm.lookupKey,'EA-Fortescue_SDExport'!A:A,'EA-Fortescue_SDExport'!AF:AF),
    IF(_xlpm.result=0,"",_xlpm.result)
)</f>
        <v/>
      </c>
      <c r="X111" s="2" t="str">
        <f>_xlfn.LET(
    _xlpm.isObject, _xlfn.XLOOKUP($Q111,'EA-Fortescue_SDExport'!A:A,'EA-Fortescue_SDExport'!B:B),
    _xlpm.lookupKey, IF(_xlpm.isObject="Object",
        _xlfn.XLOOKUP($A111,'EA-ConnectorExport'!A:A,'EA-ConnectorExport'!D:D),
        $Q111
    ),
    _xlpm.result, _xlfn.XLOOKUP(_xlpm.lookupKey,'EA-Fortescue_SDExport'!A:A,'EA-Fortescue_SDExport'!AG:AG),
    IF(_xlpm.result=0,"",_xlpm.result)
)</f>
        <v/>
      </c>
      <c r="Y111" s="2" t="str">
        <f>_xlfn.LET(
    _xlpm.status, _xlfn.XLOOKUP($A111,'EA-ConnectorExport'!$A:$A,'EA-ConnectorExport'!G:G),
    _xlpm.result, _xlfn.XLOOKUP($A111,'EA-ConnectorExport'!$A:$A,'EA-ConnectorExport'!H:H),
    IF(_xlpm.status="allocate", _xlpm.result, "")
)</f>
        <v>855DC-1541-LIV LiveWire</v>
      </c>
      <c r="Z111" s="2" t="str">
        <f>_xlfn.LET(
    _xlpm.isObject, _xlfn.XLOOKUP($Y111,'EA-Fortescue_SDExport'!A:A,'EA-Fortescue_SDExport'!B:B),
    _xlpm.lookupKey, IF(_xlpm.isObject="Object",
        _xlfn.XLOOKUP($A111,'EA-ConnectorExport'!A:A,'EA-ConnectorExport'!J:J),
        $Y111
    ),
    _xlpm.result, _xlfn.XLOOKUP(_xlpm.lookupKey,'EA-Fortescue_SDExport'!A:A,'EA-Fortescue_SDExport'!AA:AA),
    IF(_xlpm.result=0,"",_xlpm.result)
)</f>
        <v>Project</v>
      </c>
      <c r="AA111" s="2" t="str">
        <f>_xlfn.LET(_xlpm.result, _xlfn.XLOOKUP($Y111,'EA-Fortescue_SDExport'!$A:$A,'EA-Fortescue_SDExport'!AB:AB), IF(_xlpm.result=0,"",_xlpm.result))</f>
        <v>Operations Planning</v>
      </c>
      <c r="AB111" s="2" t="str">
        <f>_xlfn.LET(_xlpm.result, _xlfn.XLOOKUP($Y111,'EA-Fortescue_SDExport'!$A:$A,'EA-Fortescue_SDExport'!AC:AC), IF(_xlpm.result=0,"",_xlpm.result))</f>
        <v>AWS Fortescue Cloud</v>
      </c>
      <c r="AC111" s="2" t="str">
        <f>_xlfn.LET(
    _xlpm.isObject, _xlfn.XLOOKUP($Y111,'EA-Fortescue_SDExport'!A:A,'EA-Fortescue_SDExport'!B:B),
    _xlpm.lookupKey, IF(_xlpm.isObject="Object",
        _xlfn.XLOOKUP($A111,'EA-ConnectorExport'!A:A,'EA-ConnectorExport'!J:J),
        $Y111
    ),
    _xlpm.result, _xlfn.XLOOKUP(_xlpm.lookupKey,'EA-Fortescue_SDExport'!A:A,'EA-Fortescue_SDExport'!AD:AD),
    IF(_xlpm.result=0,"",_xlpm.result)
)</f>
        <v>855DC Decarb Green Systems</v>
      </c>
      <c r="AD111" s="2" t="str">
        <f>_xlfn.LET(
    _xlpm.isObject, _xlfn.XLOOKUP($Y111,'EA-Fortescue_SDExport'!A:A,'EA-Fortescue_SDExport'!B:B),
    _xlpm.lookupKey, IF(_xlpm.isObject="Object",
        _xlfn.XLOOKUP($A111,'EA-ConnectorExport'!A:A,'EA-ConnectorExport'!J:J),
        $Y111
    ),
    _xlpm.result, _xlfn.XLOOKUP(_xlpm.lookupKey,'EA-Fortescue_SDExport'!A:A,'EA-Fortescue_SDExport'!AE:AE),
    IF(_xlpm.result=0,"",_xlpm.result)
)</f>
        <v>855DC-1541 Planning and Forecast Systems</v>
      </c>
      <c r="AE111" s="2" t="str">
        <f>_xlfn.LET(
    _xlpm.isObject, _xlfn.XLOOKUP($Y111,'EA-Fortescue_SDExport'!A:A,'EA-Fortescue_SDExport'!B:B),
    _xlpm.lookupKey, IF(_xlpm.isObject="Object",
        _xlfn.XLOOKUP($A111,'EA-ConnectorExport'!A:A,'EA-ConnectorExport'!J:J),
        $Y111
    ),
    _xlpm.result, _xlfn.XLOOKUP(_xlpm.lookupKey,'EA-Fortescue_SDExport'!A:A,'EA-Fortescue_SDExport'!AF:AF),
    IF(_xlpm.result=0,"",_xlpm.result)
)</f>
        <v>855DC-1541-LIV LiveWire</v>
      </c>
      <c r="AF111" s="2" t="str">
        <f>_xlfn.LET(
    _xlpm.isObject, _xlfn.XLOOKUP($Y111,'EA-Fortescue_SDExport'!A:A,'EA-Fortescue_SDExport'!B:B),
    _xlpm.lookupKey, IF(_xlpm.isObject="Object",
        _xlfn.XLOOKUP($A111,'EA-ConnectorExport'!A:A,'EA-ConnectorExport'!J:J),
        $Y111
    ),
    _xlpm.result, _xlfn.XLOOKUP(_xlpm.lookupKey,'EA-Fortescue_SDExport'!A:A,'EA-Fortescue_SDExport'!AG:AG),
    IF(_xlpm.result=0,"",_xlpm.result)
)</f>
        <v/>
      </c>
    </row>
    <row r="112" spans="1:32" ht="315" x14ac:dyDescent="0.25">
      <c r="A112" s="2" t="str">
        <v>DGS-I_0111</v>
      </c>
      <c r="B112" s="2" t="str">
        <f t="shared" si="4"/>
        <v>855DC-1541-LIV LiveWire|Operations Planning</v>
      </c>
      <c r="C112" s="2" t="str">
        <f>_xlfn.LET(_xlpm.result, _xlfn.XLOOKUP(A112,'EA-Fortescue_SDExport'!A:A,'EA-Fortescue_SDExport'!AM:AM), IF(_xlpm.result=0,"",_xlpm.result))</f>
        <v>Abby Buters</v>
      </c>
      <c r="D112" s="2" t="str">
        <f>_xlfn.LET(_xlpm.result, _xlfn.XLOOKUP(A112,'EA-Fortescue_SDExport'!A:A,'EA-Fortescue_SDExport'!AN:AN), IF(_xlpm.result=0,"",_xlpm.result))</f>
        <v>Different planners across different sites (TBC)</v>
      </c>
      <c r="E112" s="2" t="str">
        <f>_xlfn.XLOOKUP(R112&amp;Z112,Lookups!A:A,Lookups!B:B)</f>
        <v>Stakeholder - Project Interface</v>
      </c>
      <c r="F112" s="2" t="str">
        <f>_xlfn.LET(_xlpm.result, _xlfn.XLOOKUP(A112,'EA-Fortescue_SDExport'!A:A,'EA-Fortescue_SDExport'!AP:AP), IF(_xlpm.result=0,"",_xlpm.result))</f>
        <v>Functional-Operational</v>
      </c>
      <c r="G112" s="2" t="str">
        <f>IF(OR(AND(T112&lt;&gt;"", COUNTIF(Lookups!J:J, "*"&amp;T112&amp;"*")&gt;0), AND(AB112&lt;&gt;"", COUNTIF(Lookups!J:J, "*"&amp;AB112&amp;"*")&gt;0)), "Yes", "No")</f>
        <v>No</v>
      </c>
      <c r="H112" s="2" t="str">
        <f t="shared" si="5"/>
        <v>855DC Decarb Green Systems|N/A</v>
      </c>
      <c r="I112" s="2" t="str">
        <f t="shared" si="6"/>
        <v>855DC-1541 Planning and Forecast Systems|N/A</v>
      </c>
      <c r="J112" s="2" t="str">
        <f t="shared" si="7"/>
        <v>855DC-1541-LIV LiveWire|N/A</v>
      </c>
      <c r="K112" s="2" t="str">
        <f>_xlfn.XLOOKUP(A112,'EA-Fortescue_SDExport'!A:A,'EA-Fortescue_SDExport'!N:N)</f>
        <v>Proposed</v>
      </c>
      <c r="L112" s="2" t="str">
        <f>_xlfn.LET(_xlpm.result, _xlfn.XLOOKUP($A112,'EA-Fortescue_SDExport'!$A:$A,'EA-Fortescue_SDExport'!AQ:AQ), IF(_xlpm.result=0,"",_xlpm.result))</f>
        <v>Operations Planning &lt;-&gt; LiveWire - Cable Routing &amp; Planning Interface_x000D_
The purpose of this interface is to allow Operations Planning to use LiveWire to communicate preferred cable routing and operational constraints back to Mine Planning. LiveWire provides an interactive interface where planners can design, review, and adjust proposed cable paths alongside spatial data from Alastri. This supports alignment between operational needs and long-term mining plans, ensuring cables are routed safely and efficiently as the pit evolves._x000D_
Intermediate Elements: LiveWire planning interface, Alastri spatial datasets, and Snowflake shared data (optional).</v>
      </c>
      <c r="M112" s="2" t="str">
        <f>_xlfn.LET(_xlpm.result, _xlfn.XLOOKUP($A112,'EA-Fortescue_SDExport'!$A:$A,'EA-Fortescue_SDExport'!AR:AR), IF(_xlpm.result=0,"",_xlpm.result))</f>
        <v>HIGH</v>
      </c>
      <c r="N112" s="2" t="str">
        <f>_xlfn.LET(_xlpm.result, _xlfn.XLOOKUP($A112,'EA-Fortescue_SDExport'!$A:$A,'EA-Fortescue_SDExport'!AW:AW), IF(_xlpm.result=0,"",_xlpm.result))</f>
        <v>The criticality level is HIGH because effective coordination between Operations Planning and Mine Planning via LiveWire ensures cable routes are practical, safe, and aligned to current and future mining activities. Failure may result in misaligned infrastructure placement, significantly increasing the risk of safety incidents, equipment damage, and operational delays caused by unplanned rework.</v>
      </c>
      <c r="O112" s="2" t="str">
        <f>_xlfn.LET(_xlpm.result, _xlfn.XLOOKUP($A112,'EA-Fortescue_SDExport'!$A:$A,'EA-Fortescue_SDExport'!AV:AV), IF(_xlpm.result=0,"",_xlpm.result))</f>
        <v>Data Flow:_x000D_
Operations Planning inputs (preferred cable routes, constraints) -&gt; LiveWire planning interface -&gt; Shared outputs to Mine Planning.</v>
      </c>
      <c r="P112" s="2" t="str">
        <f>_xlfn.LET(_xlpm.result, _xlfn.XLOOKUP($A112,'EA-Fortescue_SDExport'!$A:$A,'EA-Fortescue_SDExport'!D:D), IF(_xlpm.result=0,"",_xlpm.result))</f>
        <v>Meeting Remarks 02/12/2025: LiveWire could be used by operations planning to communicate back to mine planning how they would like to runthe cables. Interface used in the planning process alongside Alastri. End users planning inside the LiveWire application.</v>
      </c>
      <c r="Q112" s="2" t="str">
        <f>_xlfn.LET(
    _xlpm.status, _xlfn.XLOOKUP($A112,'EA-ConnectorExport'!$A:$A,'EA-ConnectorExport'!G:G),
    _xlpm.result, _xlfn.XLOOKUP($A112,'EA-ConnectorExport'!$A:$A,'EA-ConnectorExport'!B:B),
    IF(_xlpm.status="allocate", _xlpm.result, "")
)</f>
        <v>855DC-1541-LIV LiveWire</v>
      </c>
      <c r="R112" s="2" t="str">
        <f>IF(
    _xlfn.XLOOKUP($Q112,'EA-Fortescue_SDExport'!A:A,'EA-Fortescue_SDExport'!B:B)="Object",
    _xlfn.XLOOKUP(
        _xlfn.XLOOKUP($A112,'EA-ConnectorExport'!A:A,'EA-ConnectorExport'!D:D),
        'EA-Fortescue_SDExport'!A:A,
        'EA-Fortescue_SDExport'!AA:AA
    ),
    _xlfn.XLOOKUP($Q112,'EA-Fortescue_SDExport'!A:A,'EA-Fortescue_SDExport'!AA:AA)
)</f>
        <v>Project</v>
      </c>
      <c r="S112" s="2" t="str">
        <f>_xlfn.LET(_xlpm.result, _xlfn.XLOOKUP($Q112,'EA-Fortescue_SDExport'!$A:$A,'EA-Fortescue_SDExport'!AB:AB), IF(_xlpm.result=0,"",_xlpm.result))</f>
        <v>Operations Planning</v>
      </c>
      <c r="T112" s="2" t="str">
        <f>_xlfn.LET(_xlpm.result, _xlfn.XLOOKUP($Q112,'EA-Fortescue_SDExport'!$A:$A,'EA-Fortescue_SDExport'!AC:AC), IF(_xlpm.result=0,"",_xlpm.result))</f>
        <v>AWS Fortescue Cloud</v>
      </c>
      <c r="U112" s="2" t="str">
        <f>_xlfn.LET(
    _xlpm.isObject, _xlfn.XLOOKUP($Q112,'EA-Fortescue_SDExport'!A:A,'EA-Fortescue_SDExport'!B:B),
    _xlpm.lookupKey, IF(_xlpm.isObject="Object",
        _xlfn.XLOOKUP($A112,'EA-ConnectorExport'!A:A,'EA-ConnectorExport'!D:D),
        $Q112
    ),
    _xlpm.result, _xlfn.XLOOKUP(_xlpm.lookupKey,'EA-Fortescue_SDExport'!A:A,'EA-Fortescue_SDExport'!AD:AD),
    IF(_xlpm.result=0,"",_xlpm.result)
)</f>
        <v>855DC Decarb Green Systems</v>
      </c>
      <c r="V112" s="2" t="str">
        <f>_xlfn.LET(
    _xlpm.isObject, _xlfn.XLOOKUP($Q112,'EA-Fortescue_SDExport'!A:A,'EA-Fortescue_SDExport'!B:B),
    _xlpm.lookupKey, IF(_xlpm.isObject="Object",
        _xlfn.XLOOKUP($A112,'EA-ConnectorExport'!A:A,'EA-ConnectorExport'!D:D),
        $Q112
    ),
    _xlpm.result, _xlfn.XLOOKUP(_xlpm.lookupKey,'EA-Fortescue_SDExport'!A:A,'EA-Fortescue_SDExport'!AE:AE),
    IF(_xlpm.result=0,"",_xlpm.result)
)</f>
        <v>855DC-1541 Planning and Forecast Systems</v>
      </c>
      <c r="W112" s="2" t="str">
        <f>_xlfn.LET(
    _xlpm.isObject, _xlfn.XLOOKUP($Q112,'EA-Fortescue_SDExport'!A:A,'EA-Fortescue_SDExport'!B:B),
    _xlpm.lookupKey, IF(_xlpm.isObject="Object",
        _xlfn.XLOOKUP($A112,'EA-ConnectorExport'!A:A,'EA-ConnectorExport'!D:D),
        $Q112
    ),
    _xlpm.result, _xlfn.XLOOKUP(_xlpm.lookupKey,'EA-Fortescue_SDExport'!A:A,'EA-Fortescue_SDExport'!AF:AF),
    IF(_xlpm.result=0,"",_xlpm.result)
)</f>
        <v>855DC-1541-LIV LiveWire</v>
      </c>
      <c r="X112" s="2" t="str">
        <f>_xlfn.LET(
    _xlpm.isObject, _xlfn.XLOOKUP($Q112,'EA-Fortescue_SDExport'!A:A,'EA-Fortescue_SDExport'!B:B),
    _xlpm.lookupKey, IF(_xlpm.isObject="Object",
        _xlfn.XLOOKUP($A112,'EA-ConnectorExport'!A:A,'EA-ConnectorExport'!D:D),
        $Q112
    ),
    _xlpm.result, _xlfn.XLOOKUP(_xlpm.lookupKey,'EA-Fortescue_SDExport'!A:A,'EA-Fortescue_SDExport'!AG:AG),
    IF(_xlpm.result=0,"",_xlpm.result)
)</f>
        <v/>
      </c>
      <c r="Y112" s="2" t="str">
        <f>_xlfn.LET(
    _xlpm.status, _xlfn.XLOOKUP($A112,'EA-ConnectorExport'!$A:$A,'EA-ConnectorExport'!G:G),
    _xlpm.result, _xlfn.XLOOKUP($A112,'EA-ConnectorExport'!$A:$A,'EA-ConnectorExport'!H:H),
    IF(_xlpm.status="allocate", _xlpm.result, "")
)</f>
        <v>Operations Planning</v>
      </c>
      <c r="Z112" s="2" t="str">
        <f>_xlfn.LET(
    _xlpm.isObject, _xlfn.XLOOKUP($Y112,'EA-Fortescue_SDExport'!A:A,'EA-Fortescue_SDExport'!B:B),
    _xlpm.lookupKey, IF(_xlpm.isObject="Object",
        _xlfn.XLOOKUP($A112,'EA-ConnectorExport'!A:A,'EA-ConnectorExport'!J:J),
        $Y112
    ),
    _xlpm.result, _xlfn.XLOOKUP(_xlpm.lookupKey,'EA-Fortescue_SDExport'!A:A,'EA-Fortescue_SDExport'!AA:AA),
    IF(_xlpm.result=0,"",_xlpm.result)
)</f>
        <v>Stakeholder</v>
      </c>
      <c r="AA112" s="2" t="str">
        <f>_xlfn.LET(_xlpm.result, _xlfn.XLOOKUP($Y112,'EA-Fortescue_SDExport'!$A:$A,'EA-Fortescue_SDExport'!AB:AB), IF(_xlpm.result=0,"",_xlpm.result))</f>
        <v/>
      </c>
      <c r="AB112" s="2" t="str">
        <f>_xlfn.LET(_xlpm.result, _xlfn.XLOOKUP($Y112,'EA-Fortescue_SDExport'!$A:$A,'EA-Fortescue_SDExport'!AC:AC), IF(_xlpm.result=0,"",_xlpm.result))</f>
        <v/>
      </c>
      <c r="AC112" s="2" t="str">
        <f>_xlfn.LET(
    _xlpm.isObject, _xlfn.XLOOKUP($Y112,'EA-Fortescue_SDExport'!A:A,'EA-Fortescue_SDExport'!B:B),
    _xlpm.lookupKey, IF(_xlpm.isObject="Object",
        _xlfn.XLOOKUP($A112,'EA-ConnectorExport'!A:A,'EA-ConnectorExport'!J:J),
        $Y112
    ),
    _xlpm.result, _xlfn.XLOOKUP(_xlpm.lookupKey,'EA-Fortescue_SDExport'!A:A,'EA-Fortescue_SDExport'!AD:AD),
    IF(_xlpm.result=0,"",_xlpm.result)
)</f>
        <v/>
      </c>
      <c r="AD112" s="2" t="str">
        <f>_xlfn.LET(
    _xlpm.isObject, _xlfn.XLOOKUP($Y112,'EA-Fortescue_SDExport'!A:A,'EA-Fortescue_SDExport'!B:B),
    _xlpm.lookupKey, IF(_xlpm.isObject="Object",
        _xlfn.XLOOKUP($A112,'EA-ConnectorExport'!A:A,'EA-ConnectorExport'!J:J),
        $Y112
    ),
    _xlpm.result, _xlfn.XLOOKUP(_xlpm.lookupKey,'EA-Fortescue_SDExport'!A:A,'EA-Fortescue_SDExport'!AE:AE),
    IF(_xlpm.result=0,"",_xlpm.result)
)</f>
        <v/>
      </c>
      <c r="AE112" s="2" t="str">
        <f>_xlfn.LET(
    _xlpm.isObject, _xlfn.XLOOKUP($Y112,'EA-Fortescue_SDExport'!A:A,'EA-Fortescue_SDExport'!B:B),
    _xlpm.lookupKey, IF(_xlpm.isObject="Object",
        _xlfn.XLOOKUP($A112,'EA-ConnectorExport'!A:A,'EA-ConnectorExport'!J:J),
        $Y112
    ),
    _xlpm.result, _xlfn.XLOOKUP(_xlpm.lookupKey,'EA-Fortescue_SDExport'!A:A,'EA-Fortescue_SDExport'!AF:AF),
    IF(_xlpm.result=0,"",_xlpm.result)
)</f>
        <v/>
      </c>
      <c r="AF112" s="2" t="str">
        <f>_xlfn.LET(
    _xlpm.isObject, _xlfn.XLOOKUP($Y112,'EA-Fortescue_SDExport'!A:A,'EA-Fortescue_SDExport'!B:B),
    _xlpm.lookupKey, IF(_xlpm.isObject="Object",
        _xlfn.XLOOKUP($A112,'EA-ConnectorExport'!A:A,'EA-ConnectorExport'!J:J),
        $Y112
    ),
    _xlpm.result, _xlfn.XLOOKUP(_xlpm.lookupKey,'EA-Fortescue_SDExport'!A:A,'EA-Fortescue_SDExport'!AG:AG),
    IF(_xlpm.result=0,"",_xlpm.result)
)</f>
        <v/>
      </c>
    </row>
    <row r="113" spans="1:32" ht="165" x14ac:dyDescent="0.25">
      <c r="A113" s="2" t="str">
        <v>DGS-I_0112</v>
      </c>
      <c r="B113" s="2" t="str">
        <f t="shared" si="4"/>
        <v>855DC-1541-ECL-002 Online Security Constrained Unit Commitment (SCUC)|855DC-1542-CSM Charge Station Management System (CSMS)</v>
      </c>
      <c r="C113" s="2" t="str">
        <f>_xlfn.LET(_xlpm.result, _xlfn.XLOOKUP(A113,'EA-Fortescue_SDExport'!A:A,'EA-Fortescue_SDExport'!AM:AM), IF(_xlpm.result=0,"",_xlpm.result))</f>
        <v>Abby Buters</v>
      </c>
      <c r="D113" s="2" t="str">
        <f>_xlfn.LET(_xlpm.result, _xlfn.XLOOKUP(A113,'EA-Fortescue_SDExport'!A:A,'EA-Fortescue_SDExport'!AN:AN), IF(_xlpm.result=0,"",_xlpm.result))</f>
        <v>Sam Hedgcock</v>
      </c>
      <c r="E113" s="2" t="str">
        <f>_xlfn.XLOOKUP(R113&amp;Z113,Lookups!A:A,Lookups!B:B)</f>
        <v>Project - Subsystem Interface</v>
      </c>
      <c r="F113" s="2" t="str">
        <f>_xlfn.LET(_xlpm.result, _xlfn.XLOOKUP(A113,'EA-Fortescue_SDExport'!A:A,'EA-Fortescue_SDExport'!AP:AP), IF(_xlpm.result=0,"",_xlpm.result))</f>
        <v>Technical-Data/Software</v>
      </c>
      <c r="G113" s="2" t="str">
        <f>IF(OR(AND(T113&lt;&gt;"", COUNTIF(Lookups!J:J, "*"&amp;T113&amp;"*")&gt;0), AND(AB113&lt;&gt;"", COUNTIF(Lookups!J:J, "*"&amp;AB113&amp;"*")&gt;0)), "Yes", "No")</f>
        <v>No</v>
      </c>
      <c r="H113" s="2" t="str">
        <f t="shared" si="5"/>
        <v>855DC Decarb Green Systems|855DC Decarb Green Systems</v>
      </c>
      <c r="I113" s="2" t="str">
        <f t="shared" si="6"/>
        <v>855DC-1541 Planning and Forecast Systems|855DC-1542 Control &amp; Monitoring Systems</v>
      </c>
      <c r="J113" s="2" t="str">
        <f t="shared" si="7"/>
        <v>855DC-1541-ECL Eclipse|855DC-1542-CSM Charge Station Management System (CSMS)</v>
      </c>
      <c r="K113" s="2" t="str">
        <f>_xlfn.XLOOKUP(A113,'EA-Fortescue_SDExport'!A:A,'EA-Fortescue_SDExport'!N:N)</f>
        <v>Proposed</v>
      </c>
      <c r="L113" s="2" t="str">
        <f>_xlfn.LET(_xlpm.result, _xlfn.XLOOKUP($A113,'EA-Fortescue_SDExport'!$A:$A,'EA-Fortescue_SDExport'!AQ:AQ), IF(_xlpm.result=0,"",_xlpm.result))</f>
        <v>The purpose of this interface is to allow Eclipse to receive charger availability and usage data from the CSMS for SCUC near-term planning._x000D_
Intermediate Elements: Snowflake (TBC).</v>
      </c>
      <c r="M113" s="2" t="str">
        <f>_xlfn.LET(_xlpm.result, _xlfn.XLOOKUP($A113,'EA-Fortescue_SDExport'!$A:$A,'EA-Fortescue_SDExport'!AR:AR), IF(_xlpm.result=0,"",_xlpm.result))</f>
        <v>HIGH</v>
      </c>
      <c r="N113" s="2" t="str">
        <f>_xlfn.LET(_xlpm.result, _xlfn.XLOOKUP($A113,'EA-Fortescue_SDExport'!$A:$A,'EA-Fortescue_SDExport'!AW:AW), IF(_xlpm.result=0,"",_xlpm.result))</f>
        <v>The criticality level is HIGH because failure to send reliable and timely charger availability data to Eclipse for near-term planning will reduce planning accuracy, risking energy supply instability and production delays.</v>
      </c>
      <c r="O113" s="2" t="str">
        <f>_xlfn.LET(_xlpm.result, _xlfn.XLOOKUP($A113,'EA-Fortescue_SDExport'!$A:$A,'EA-Fortescue_SDExport'!AV:AV), IF(_xlpm.result=0,"",_xlpm.result))</f>
        <v>TBC: uni-directional or bi-directional.</v>
      </c>
      <c r="P113" s="2" t="str">
        <f>_xlfn.LET(_xlpm.result, _xlfn.XLOOKUP($A113,'EA-Fortescue_SDExport'!$A:$A,'EA-Fortescue_SDExport'!D:D), IF(_xlpm.result=0,"",_xlpm.result))</f>
        <v>Interface Review 25/11/2025: Future state integration which still needs to be defined by the project team. This is specifically for the SCUC</v>
      </c>
      <c r="Q113" s="2" t="str">
        <f>_xlfn.LET(
    _xlpm.status, _xlfn.XLOOKUP($A113,'EA-ConnectorExport'!$A:$A,'EA-ConnectorExport'!G:G),
    _xlpm.result, _xlfn.XLOOKUP($A113,'EA-ConnectorExport'!$A:$A,'EA-ConnectorExport'!B:B),
    IF(_xlpm.status="allocate", _xlpm.result, "")
)</f>
        <v>855DC-1541-ECL-002 Online Security Constrained Unit Commitment (SCUC)</v>
      </c>
      <c r="R113" s="2" t="str">
        <f>IF(
    _xlfn.XLOOKUP($Q113,'EA-Fortescue_SDExport'!A:A,'EA-Fortescue_SDExport'!B:B)="Object",
    _xlfn.XLOOKUP(
        _xlfn.XLOOKUP($A113,'EA-ConnectorExport'!A:A,'EA-ConnectorExport'!D:D),
        'EA-Fortescue_SDExport'!A:A,
        'EA-Fortescue_SDExport'!AA:AA
    ),
    _xlfn.XLOOKUP($Q113,'EA-Fortescue_SDExport'!A:A,'EA-Fortescue_SDExport'!AA:AA)
)</f>
        <v>Subsystem</v>
      </c>
      <c r="S113" s="2" t="str">
        <f>_xlfn.LET(_xlpm.result, _xlfn.XLOOKUP($Q113,'EA-Fortescue_SDExport'!$A:$A,'EA-Fortescue_SDExport'!AB:AB), IF(_xlpm.result=0,"",_xlpm.result))</f>
        <v/>
      </c>
      <c r="T113" s="2" t="str">
        <f>_xlfn.LET(_xlpm.result, _xlfn.XLOOKUP($Q113,'EA-Fortescue_SDExport'!$A:$A,'EA-Fortescue_SDExport'!AC:AC), IF(_xlpm.result=0,"",_xlpm.result))</f>
        <v/>
      </c>
      <c r="U113" s="2" t="str">
        <f>_xlfn.LET(
    _xlpm.isObject, _xlfn.XLOOKUP($Q113,'EA-Fortescue_SDExport'!A:A,'EA-Fortescue_SDExport'!B:B),
    _xlpm.lookupKey, IF(_xlpm.isObject="Object",
        _xlfn.XLOOKUP($A113,'EA-ConnectorExport'!A:A,'EA-ConnectorExport'!D:D),
        $Q113
    ),
    _xlpm.result, _xlfn.XLOOKUP(_xlpm.lookupKey,'EA-Fortescue_SDExport'!A:A,'EA-Fortescue_SDExport'!AD:AD),
    IF(_xlpm.result=0,"",_xlpm.result)
)</f>
        <v>855DC Decarb Green Systems</v>
      </c>
      <c r="V113" s="2" t="str">
        <f>_xlfn.LET(
    _xlpm.isObject, _xlfn.XLOOKUP($Q113,'EA-Fortescue_SDExport'!A:A,'EA-Fortescue_SDExport'!B:B),
    _xlpm.lookupKey, IF(_xlpm.isObject="Object",
        _xlfn.XLOOKUP($A113,'EA-ConnectorExport'!A:A,'EA-ConnectorExport'!D:D),
        $Q113
    ),
    _xlpm.result, _xlfn.XLOOKUP(_xlpm.lookupKey,'EA-Fortescue_SDExport'!A:A,'EA-Fortescue_SDExport'!AE:AE),
    IF(_xlpm.result=0,"",_xlpm.result)
)</f>
        <v>855DC-1541 Planning and Forecast Systems</v>
      </c>
      <c r="W113" s="2" t="str">
        <f>_xlfn.LET(
    _xlpm.isObject, _xlfn.XLOOKUP($Q113,'EA-Fortescue_SDExport'!A:A,'EA-Fortescue_SDExport'!B:B),
    _xlpm.lookupKey, IF(_xlpm.isObject="Object",
        _xlfn.XLOOKUP($A113,'EA-ConnectorExport'!A:A,'EA-ConnectorExport'!D:D),
        $Q113
    ),
    _xlpm.result, _xlfn.XLOOKUP(_xlpm.lookupKey,'EA-Fortescue_SDExport'!A:A,'EA-Fortescue_SDExport'!AF:AF),
    IF(_xlpm.result=0,"",_xlpm.result)
)</f>
        <v>855DC-1541-ECL Eclipse</v>
      </c>
      <c r="X113" s="2" t="str">
        <f>_xlfn.LET(
    _xlpm.isObject, _xlfn.XLOOKUP($Q113,'EA-Fortescue_SDExport'!A:A,'EA-Fortescue_SDExport'!B:B),
    _xlpm.lookupKey, IF(_xlpm.isObject="Object",
        _xlfn.XLOOKUP($A113,'EA-ConnectorExport'!A:A,'EA-ConnectorExport'!D:D),
        $Q113
    ),
    _xlpm.result, _xlfn.XLOOKUP(_xlpm.lookupKey,'EA-Fortescue_SDExport'!A:A,'EA-Fortescue_SDExport'!AG:AG),
    IF(_xlpm.result=0,"",_xlpm.result)
)</f>
        <v>855DC-1541-ECL-002 Online Security Constrained Unit Commitment (SCUC)</v>
      </c>
      <c r="Y113" s="2" t="str">
        <f>_xlfn.LET(
    _xlpm.status, _xlfn.XLOOKUP($A113,'EA-ConnectorExport'!$A:$A,'EA-ConnectorExport'!G:G),
    _xlpm.result, _xlfn.XLOOKUP($A113,'EA-ConnectorExport'!$A:$A,'EA-ConnectorExport'!H:H),
    IF(_xlpm.status="allocate", _xlpm.result, "")
)</f>
        <v>855DC-1542-CSM Charge Station Management System (CSMS)</v>
      </c>
      <c r="Z113" s="2" t="str">
        <f>_xlfn.LET(
    _xlpm.isObject, _xlfn.XLOOKUP($Y113,'EA-Fortescue_SDExport'!A:A,'EA-Fortescue_SDExport'!B:B),
    _xlpm.lookupKey, IF(_xlpm.isObject="Object",
        _xlfn.XLOOKUP($A113,'EA-ConnectorExport'!A:A,'EA-ConnectorExport'!J:J),
        $Y113
    ),
    _xlpm.result, _xlfn.XLOOKUP(_xlpm.lookupKey,'EA-Fortescue_SDExport'!A:A,'EA-Fortescue_SDExport'!AA:AA),
    IF(_xlpm.result=0,"",_xlpm.result)
)</f>
        <v>Project</v>
      </c>
      <c r="AA113" s="2" t="str">
        <f>_xlfn.LET(_xlpm.result, _xlfn.XLOOKUP($Y113,'EA-Fortescue_SDExport'!$A:$A,'EA-Fortescue_SDExport'!AB:AB), IF(_xlpm.result=0,"",_xlpm.result))</f>
        <v>Sam Hedgcock</v>
      </c>
      <c r="AB113" s="2" t="str">
        <f>_xlfn.LET(_xlpm.result, _xlfn.XLOOKUP($Y113,'EA-Fortescue_SDExport'!$A:$A,'EA-Fortescue_SDExport'!AC:AC), IF(_xlpm.result=0,"",_xlpm.result))</f>
        <v/>
      </c>
      <c r="AC113" s="2" t="str">
        <f>_xlfn.LET(
    _xlpm.isObject, _xlfn.XLOOKUP($Y113,'EA-Fortescue_SDExport'!A:A,'EA-Fortescue_SDExport'!B:B),
    _xlpm.lookupKey, IF(_xlpm.isObject="Object",
        _xlfn.XLOOKUP($A113,'EA-ConnectorExport'!A:A,'EA-ConnectorExport'!J:J),
        $Y113
    ),
    _xlpm.result, _xlfn.XLOOKUP(_xlpm.lookupKey,'EA-Fortescue_SDExport'!A:A,'EA-Fortescue_SDExport'!AD:AD),
    IF(_xlpm.result=0,"",_xlpm.result)
)</f>
        <v>855DC Decarb Green Systems</v>
      </c>
      <c r="AD113" s="2" t="str">
        <f>_xlfn.LET(
    _xlpm.isObject, _xlfn.XLOOKUP($Y113,'EA-Fortescue_SDExport'!A:A,'EA-Fortescue_SDExport'!B:B),
    _xlpm.lookupKey, IF(_xlpm.isObject="Object",
        _xlfn.XLOOKUP($A113,'EA-ConnectorExport'!A:A,'EA-ConnectorExport'!J:J),
        $Y113
    ),
    _xlpm.result, _xlfn.XLOOKUP(_xlpm.lookupKey,'EA-Fortescue_SDExport'!A:A,'EA-Fortescue_SDExport'!AE:AE),
    IF(_xlpm.result=0,"",_xlpm.result)
)</f>
        <v>855DC-1542 Control &amp; Monitoring Systems</v>
      </c>
      <c r="AE113" s="2" t="str">
        <f>_xlfn.LET(
    _xlpm.isObject, _xlfn.XLOOKUP($Y113,'EA-Fortescue_SDExport'!A:A,'EA-Fortescue_SDExport'!B:B),
    _xlpm.lookupKey, IF(_xlpm.isObject="Object",
        _xlfn.XLOOKUP($A113,'EA-ConnectorExport'!A:A,'EA-ConnectorExport'!J:J),
        $Y113
    ),
    _xlpm.result, _xlfn.XLOOKUP(_xlpm.lookupKey,'EA-Fortescue_SDExport'!A:A,'EA-Fortescue_SDExport'!AF:AF),
    IF(_xlpm.result=0,"",_xlpm.result)
)</f>
        <v>855DC-1542-CSM Charge Station Management System (CSMS)</v>
      </c>
      <c r="AF113" s="2" t="str">
        <f>_xlfn.LET(
    _xlpm.isObject, _xlfn.XLOOKUP($Y113,'EA-Fortescue_SDExport'!A:A,'EA-Fortescue_SDExport'!B:B),
    _xlpm.lookupKey, IF(_xlpm.isObject="Object",
        _xlfn.XLOOKUP($A113,'EA-ConnectorExport'!A:A,'EA-ConnectorExport'!J:J),
        $Y113
    ),
    _xlpm.result, _xlfn.XLOOKUP(_xlpm.lookupKey,'EA-Fortescue_SDExport'!A:A,'EA-Fortescue_SDExport'!AG:AG),
    IF(_xlpm.result=0,"",_xlpm.result)
)</f>
        <v/>
      </c>
    </row>
    <row r="114" spans="1:32" ht="165" x14ac:dyDescent="0.25">
      <c r="A114" s="2" t="str">
        <v>DGS-I_0113</v>
      </c>
      <c r="B114" s="2" t="str">
        <f t="shared" si="4"/>
        <v>855DC-1541-ECL-002 Online Security Constrained Unit Commitment (SCUC)|Archive - 855DC-1544-025 Site Energy AI Optimiser</v>
      </c>
      <c r="C114" s="2" t="str">
        <f>_xlfn.LET(_xlpm.result, _xlfn.XLOOKUP(A114,'EA-Fortescue_SDExport'!A:A,'EA-Fortescue_SDExport'!AM:AM), IF(_xlpm.result=0,"",_xlpm.result))</f>
        <v/>
      </c>
      <c r="D114" s="2" t="str">
        <f>_xlfn.LET(_xlpm.result, _xlfn.XLOOKUP(A114,'EA-Fortescue_SDExport'!A:A,'EA-Fortescue_SDExport'!AN:AN), IF(_xlpm.result=0,"",_xlpm.result))</f>
        <v/>
      </c>
      <c r="E114" s="2" t="str">
        <f>_xlfn.XLOOKUP(R114&amp;Z114,Lookups!A:A,Lookups!B:B)</f>
        <v>Project - Subsystem Interface</v>
      </c>
      <c r="F114" s="2" t="str">
        <f>_xlfn.LET(_xlpm.result, _xlfn.XLOOKUP(A114,'EA-Fortescue_SDExport'!A:A,'EA-Fortescue_SDExport'!AP:AP), IF(_xlpm.result=0,"",_xlpm.result))</f>
        <v>Technical-Data/Software</v>
      </c>
      <c r="G114" s="2" t="str">
        <f>IF(OR(AND(T114&lt;&gt;"", COUNTIF(Lookups!J:J, "*"&amp;T114&amp;"*")&gt;0), AND(AB114&lt;&gt;"", COUNTIF(Lookups!J:J, "*"&amp;AB114&amp;"*")&gt;0)), "Yes", "No")</f>
        <v>No</v>
      </c>
      <c r="H114" s="2" t="str">
        <f t="shared" si="5"/>
        <v>855DC Decarb Green Systems|N/A</v>
      </c>
      <c r="I114" s="2" t="str">
        <f t="shared" si="6"/>
        <v>855DC-1541 Planning and Forecast Systems|N/A</v>
      </c>
      <c r="J114" s="2" t="str">
        <f t="shared" si="7"/>
        <v>855DC-1541-ECL Eclipse|N/A</v>
      </c>
      <c r="K114" s="2" t="str">
        <f>_xlfn.XLOOKUP(A114,'EA-Fortescue_SDExport'!A:A,'EA-Fortescue_SDExport'!N:N)</f>
        <v>Deleted</v>
      </c>
      <c r="L114" s="2" t="str">
        <f>_xlfn.LET(_xlpm.result, _xlfn.XLOOKUP($A114,'EA-Fortescue_SDExport'!$A:$A,'EA-Fortescue_SDExport'!AQ:AQ), IF(_xlpm.result=0,"",_xlpm.result))</f>
        <v>This interface allows SCUC to exchange energy system constraints, generation schedules, and optimisation inputs with the Site Energy AI Optimiser.</v>
      </c>
      <c r="M114" s="2" t="str">
        <f>_xlfn.LET(_xlpm.result, _xlfn.XLOOKUP($A114,'EA-Fortescue_SDExport'!$A:$A,'EA-Fortescue_SDExport'!AR:AR), IF(_xlpm.result=0,"",_xlpm.result))</f>
        <v>HIGH</v>
      </c>
      <c r="N114" s="2" t="str">
        <f>_xlfn.LET(_xlpm.result, _xlfn.XLOOKUP($A114,'EA-Fortescue_SDExport'!$A:$A,'EA-Fortescue_SDExport'!AW:AW), IF(_xlpm.result=0,"",_xlpm.result))</f>
        <v>The criticality level is HIGH because inaccurate or missing optimisation data can cause poor generation scheduling and power instability. Failure risks costly curtailments or safety risks in the electrical network.</v>
      </c>
      <c r="O114" s="2" t="str">
        <f>_xlfn.LET(_xlpm.result, _xlfn.XLOOKUP($A114,'EA-Fortescue_SDExport'!$A:$A,'EA-Fortescue_SDExport'!AV:AV), IF(_xlpm.result=0,"",_xlpm.result))</f>
        <v/>
      </c>
      <c r="P114" s="2" t="str">
        <f>_xlfn.LET(_xlpm.result, _xlfn.XLOOKUP($A114,'EA-Fortescue_SDExport'!$A:$A,'EA-Fortescue_SDExport'!D:D), IF(_xlpm.result=0,"",_xlpm.result))</f>
        <v>Interface Review 25/11/2025: TBC._x000D_
SBS-WBS Mapping 02/01/2026: Site Energy AI Optimiser to be removed - Not an identified system. Interface deleted.</v>
      </c>
      <c r="Q114" s="2" t="str">
        <f>_xlfn.LET(
    _xlpm.status, _xlfn.XLOOKUP($A114,'EA-ConnectorExport'!$A:$A,'EA-ConnectorExport'!G:G),
    _xlpm.result, _xlfn.XLOOKUP($A114,'EA-ConnectorExport'!$A:$A,'EA-ConnectorExport'!B:B),
    IF(_xlpm.status="allocate", _xlpm.result, "")
)</f>
        <v>855DC-1541-ECL-002 Online Security Constrained Unit Commitment (SCUC)</v>
      </c>
      <c r="R114" s="2" t="str">
        <f>IF(
    _xlfn.XLOOKUP($Q114,'EA-Fortescue_SDExport'!A:A,'EA-Fortescue_SDExport'!B:B)="Object",
    _xlfn.XLOOKUP(
        _xlfn.XLOOKUP($A114,'EA-ConnectorExport'!A:A,'EA-ConnectorExport'!D:D),
        'EA-Fortescue_SDExport'!A:A,
        'EA-Fortescue_SDExport'!AA:AA
    ),
    _xlfn.XLOOKUP($Q114,'EA-Fortescue_SDExport'!A:A,'EA-Fortescue_SDExport'!AA:AA)
)</f>
        <v>Subsystem</v>
      </c>
      <c r="S114" s="2" t="str">
        <f>_xlfn.LET(_xlpm.result, _xlfn.XLOOKUP($Q114,'EA-Fortescue_SDExport'!$A:$A,'EA-Fortescue_SDExport'!AB:AB), IF(_xlpm.result=0,"",_xlpm.result))</f>
        <v/>
      </c>
      <c r="T114" s="2" t="str">
        <f>_xlfn.LET(_xlpm.result, _xlfn.XLOOKUP($Q114,'EA-Fortescue_SDExport'!$A:$A,'EA-Fortescue_SDExport'!AC:AC), IF(_xlpm.result=0,"",_xlpm.result))</f>
        <v/>
      </c>
      <c r="U114" s="2" t="str">
        <f>_xlfn.LET(
    _xlpm.isObject, _xlfn.XLOOKUP($Q114,'EA-Fortescue_SDExport'!A:A,'EA-Fortescue_SDExport'!B:B),
    _xlpm.lookupKey, IF(_xlpm.isObject="Object",
        _xlfn.XLOOKUP($A114,'EA-ConnectorExport'!A:A,'EA-ConnectorExport'!D:D),
        $Q114
    ),
    _xlpm.result, _xlfn.XLOOKUP(_xlpm.lookupKey,'EA-Fortescue_SDExport'!A:A,'EA-Fortescue_SDExport'!AD:AD),
    IF(_xlpm.result=0,"",_xlpm.result)
)</f>
        <v>855DC Decarb Green Systems</v>
      </c>
      <c r="V114" s="2" t="str">
        <f>_xlfn.LET(
    _xlpm.isObject, _xlfn.XLOOKUP($Q114,'EA-Fortescue_SDExport'!A:A,'EA-Fortescue_SDExport'!B:B),
    _xlpm.lookupKey, IF(_xlpm.isObject="Object",
        _xlfn.XLOOKUP($A114,'EA-ConnectorExport'!A:A,'EA-ConnectorExport'!D:D),
        $Q114
    ),
    _xlpm.result, _xlfn.XLOOKUP(_xlpm.lookupKey,'EA-Fortescue_SDExport'!A:A,'EA-Fortescue_SDExport'!AE:AE),
    IF(_xlpm.result=0,"",_xlpm.result)
)</f>
        <v>855DC-1541 Planning and Forecast Systems</v>
      </c>
      <c r="W114" s="2" t="str">
        <f>_xlfn.LET(
    _xlpm.isObject, _xlfn.XLOOKUP($Q114,'EA-Fortescue_SDExport'!A:A,'EA-Fortescue_SDExport'!B:B),
    _xlpm.lookupKey, IF(_xlpm.isObject="Object",
        _xlfn.XLOOKUP($A114,'EA-ConnectorExport'!A:A,'EA-ConnectorExport'!D:D),
        $Q114
    ),
    _xlpm.result, _xlfn.XLOOKUP(_xlpm.lookupKey,'EA-Fortescue_SDExport'!A:A,'EA-Fortescue_SDExport'!AF:AF),
    IF(_xlpm.result=0,"",_xlpm.result)
)</f>
        <v>855DC-1541-ECL Eclipse</v>
      </c>
      <c r="X114" s="2" t="str">
        <f>_xlfn.LET(
    _xlpm.isObject, _xlfn.XLOOKUP($Q114,'EA-Fortescue_SDExport'!A:A,'EA-Fortescue_SDExport'!B:B),
    _xlpm.lookupKey, IF(_xlpm.isObject="Object",
        _xlfn.XLOOKUP($A114,'EA-ConnectorExport'!A:A,'EA-ConnectorExport'!D:D),
        $Q114
    ),
    _xlpm.result, _xlfn.XLOOKUP(_xlpm.lookupKey,'EA-Fortescue_SDExport'!A:A,'EA-Fortescue_SDExport'!AG:AG),
    IF(_xlpm.result=0,"",_xlpm.result)
)</f>
        <v>855DC-1541-ECL-002 Online Security Constrained Unit Commitment (SCUC)</v>
      </c>
      <c r="Y114" s="2" t="str">
        <f>_xlfn.LET(
    _xlpm.status, _xlfn.XLOOKUP($A114,'EA-ConnectorExport'!$A:$A,'EA-ConnectorExport'!G:G),
    _xlpm.result, _xlfn.XLOOKUP($A114,'EA-ConnectorExport'!$A:$A,'EA-ConnectorExport'!H:H),
    IF(_xlpm.status="allocate", _xlpm.result, "")
)</f>
        <v>Archive - 855DC-1544-025 Site Energy AI Optimiser</v>
      </c>
      <c r="Z114" s="2" t="str">
        <f>_xlfn.LET(
    _xlpm.isObject, _xlfn.XLOOKUP($Y114,'EA-Fortescue_SDExport'!A:A,'EA-Fortescue_SDExport'!B:B),
    _xlpm.lookupKey, IF(_xlpm.isObject="Object",
        _xlfn.XLOOKUP($A114,'EA-ConnectorExport'!A:A,'EA-ConnectorExport'!J:J),
        $Y114
    ),
    _xlpm.result, _xlfn.XLOOKUP(_xlpm.lookupKey,'EA-Fortescue_SDExport'!A:A,'EA-Fortescue_SDExport'!AA:AA),
    IF(_xlpm.result=0,"",_xlpm.result)
)</f>
        <v>Project</v>
      </c>
      <c r="AA114" s="2" t="str">
        <f>_xlfn.LET(_xlpm.result, _xlfn.XLOOKUP($Y114,'EA-Fortescue_SDExport'!$A:$A,'EA-Fortescue_SDExport'!AB:AB), IF(_xlpm.result=0,"",_xlpm.result))</f>
        <v/>
      </c>
      <c r="AB114" s="2" t="str">
        <f>_xlfn.LET(_xlpm.result, _xlfn.XLOOKUP($Y114,'EA-Fortescue_SDExport'!$A:$A,'EA-Fortescue_SDExport'!AC:AC), IF(_xlpm.result=0,"",_xlpm.result))</f>
        <v/>
      </c>
      <c r="AC114" s="2" t="str">
        <f>_xlfn.LET(
    _xlpm.isObject, _xlfn.XLOOKUP($Y114,'EA-Fortescue_SDExport'!A:A,'EA-Fortescue_SDExport'!B:B),
    _xlpm.lookupKey, IF(_xlpm.isObject="Object",
        _xlfn.XLOOKUP($A114,'EA-ConnectorExport'!A:A,'EA-ConnectorExport'!J:J),
        $Y114
    ),
    _xlpm.result, _xlfn.XLOOKUP(_xlpm.lookupKey,'EA-Fortescue_SDExport'!A:A,'EA-Fortescue_SDExport'!AD:AD),
    IF(_xlpm.result=0,"",_xlpm.result)
)</f>
        <v/>
      </c>
      <c r="AD114" s="2" t="str">
        <f>_xlfn.LET(
    _xlpm.isObject, _xlfn.XLOOKUP($Y114,'EA-Fortescue_SDExport'!A:A,'EA-Fortescue_SDExport'!B:B),
    _xlpm.lookupKey, IF(_xlpm.isObject="Object",
        _xlfn.XLOOKUP($A114,'EA-ConnectorExport'!A:A,'EA-ConnectorExport'!J:J),
        $Y114
    ),
    _xlpm.result, _xlfn.XLOOKUP(_xlpm.lookupKey,'EA-Fortescue_SDExport'!A:A,'EA-Fortescue_SDExport'!AE:AE),
    IF(_xlpm.result=0,"",_xlpm.result)
)</f>
        <v/>
      </c>
      <c r="AE114" s="2" t="str">
        <f>_xlfn.LET(
    _xlpm.isObject, _xlfn.XLOOKUP($Y114,'EA-Fortescue_SDExport'!A:A,'EA-Fortescue_SDExport'!B:B),
    _xlpm.lookupKey, IF(_xlpm.isObject="Object",
        _xlfn.XLOOKUP($A114,'EA-ConnectorExport'!A:A,'EA-ConnectorExport'!J:J),
        $Y114
    ),
    _xlpm.result, _xlfn.XLOOKUP(_xlpm.lookupKey,'EA-Fortescue_SDExport'!A:A,'EA-Fortescue_SDExport'!AF:AF),
    IF(_xlpm.result=0,"",_xlpm.result)
)</f>
        <v/>
      </c>
      <c r="AF114" s="2" t="str">
        <f>_xlfn.LET(
    _xlpm.isObject, _xlfn.XLOOKUP($Y114,'EA-Fortescue_SDExport'!A:A,'EA-Fortescue_SDExport'!B:B),
    _xlpm.lookupKey, IF(_xlpm.isObject="Object",
        _xlfn.XLOOKUP($A114,'EA-ConnectorExport'!A:A,'EA-ConnectorExport'!J:J),
        $Y114
    ),
    _xlpm.result, _xlfn.XLOOKUP(_xlpm.lookupKey,'EA-Fortescue_SDExport'!A:A,'EA-Fortescue_SDExport'!AG:AG),
    IF(_xlpm.result=0,"",_xlpm.result)
)</f>
        <v/>
      </c>
    </row>
    <row r="115" spans="1:32" ht="150" x14ac:dyDescent="0.25">
      <c r="A115" s="2" t="str">
        <v>DGS-I_0114</v>
      </c>
      <c r="B115" s="2" t="str">
        <f t="shared" si="4"/>
        <v>855DC-1541-ECL-001 Eclipse Planning|Archive - 005OP-0000-004-003 Alastri Tactical Scheduler (ATS)</v>
      </c>
      <c r="C115" s="2" t="str">
        <f>_xlfn.LET(_xlpm.result, _xlfn.XLOOKUP(A115,'EA-Fortescue_SDExport'!A:A,'EA-Fortescue_SDExport'!AM:AM), IF(_xlpm.result=0,"",_xlpm.result))</f>
        <v/>
      </c>
      <c r="D115" s="2" t="str">
        <f>_xlfn.LET(_xlpm.result, _xlfn.XLOOKUP(A115,'EA-Fortescue_SDExport'!A:A,'EA-Fortescue_SDExport'!AN:AN), IF(_xlpm.result=0,"",_xlpm.result))</f>
        <v/>
      </c>
      <c r="E115" s="2" t="str">
        <f>_xlfn.XLOOKUP(R115&amp;Z115,Lookups!A:A,Lookups!B:B)</f>
        <v>Subsystem - Subsystem Interface</v>
      </c>
      <c r="F115" s="2" t="str">
        <f>_xlfn.LET(_xlpm.result, _xlfn.XLOOKUP(A115,'EA-Fortescue_SDExport'!A:A,'EA-Fortescue_SDExport'!AP:AP), IF(_xlpm.result=0,"",_xlpm.result))</f>
        <v/>
      </c>
      <c r="G115" s="2" t="str">
        <f>IF(OR(AND(T115&lt;&gt;"", COUNTIF(Lookups!J:J, "*"&amp;T115&amp;"*")&gt;0), AND(AB115&lt;&gt;"", COUNTIF(Lookups!J:J, "*"&amp;AB115&amp;"*")&gt;0)), "Yes", "No")</f>
        <v>No</v>
      </c>
      <c r="H115" s="2" t="str">
        <f t="shared" si="5"/>
        <v>855DC Decarb Green Systems|005OP IT/OT Systems</v>
      </c>
      <c r="I115" s="2" t="str">
        <f t="shared" si="6"/>
        <v>855DC-1541 Planning and Forecast Systems|N/A</v>
      </c>
      <c r="J115" s="2" t="str">
        <f t="shared" si="7"/>
        <v>855DC-1541-ECL Eclipse|005OP-0000-004 Alastri</v>
      </c>
      <c r="K115" s="2" t="str">
        <f>_xlfn.XLOOKUP(A115,'EA-Fortescue_SDExport'!A:A,'EA-Fortescue_SDExport'!N:N)</f>
        <v>Deleted</v>
      </c>
      <c r="L115" s="2" t="str">
        <f>_xlfn.LET(_xlpm.result, _xlfn.XLOOKUP($A115,'EA-Fortescue_SDExport'!$A:$A,'EA-Fortescue_SDExport'!AQ:AQ), IF(_xlpm.result=0,"",_xlpm.result))</f>
        <v>This interface enables the Planning system to transfer medium- and long-term production and sequencing data into ATS, ensuring that tactical schedules align with the broader mine plan.</v>
      </c>
      <c r="M115" s="2" t="str">
        <f>_xlfn.LET(_xlpm.result, _xlfn.XLOOKUP($A115,'EA-Fortescue_SDExport'!$A:$A,'EA-Fortescue_SDExport'!AR:AR), IF(_xlpm.result=0,"",_xlpm.result))</f>
        <v>LOW</v>
      </c>
      <c r="N115" s="2" t="str">
        <f>_xlfn.LET(_xlpm.result, _xlfn.XLOOKUP($A115,'EA-Fortescue_SDExport'!$A:$A,'EA-Fortescue_SDExport'!AW:AW), IF(_xlpm.result=0,"",_xlpm.result))</f>
        <v>The criticality level is LOW because failure at this interface does not impact operational haulage or energy systems. It only reduces planning accuracy, which can be mitigated by using alternative inputs.</v>
      </c>
      <c r="O115" s="2" t="str">
        <f>_xlfn.LET(_xlpm.result, _xlfn.XLOOKUP($A115,'EA-Fortescue_SDExport'!$A:$A,'EA-Fortescue_SDExport'!AV:AV), IF(_xlpm.result=0,"",_xlpm.result))</f>
        <v/>
      </c>
      <c r="P115" s="2" t="str">
        <f>_xlfn.LET(_xlpm.result, _xlfn.XLOOKUP($A115,'EA-Fortescue_SDExport'!$A:$A,'EA-Fortescue_SDExport'!D:D), IF(_xlpm.result=0,"",_xlpm.result))</f>
        <v>DocStack-SAComparison_Delphi 18/02/2026: APS and ATS to be combined - Interface deleted</v>
      </c>
      <c r="Q115" s="2" t="str">
        <f>_xlfn.LET(
    _xlpm.status, _xlfn.XLOOKUP($A115,'EA-ConnectorExport'!$A:$A,'EA-ConnectorExport'!G:G),
    _xlpm.result, _xlfn.XLOOKUP($A115,'EA-ConnectorExport'!$A:$A,'EA-ConnectorExport'!B:B),
    IF(_xlpm.status="allocate", _xlpm.result, "")
)</f>
        <v>855DC-1541-ECL-001 Eclipse Planning</v>
      </c>
      <c r="R115" s="2" t="str">
        <f>IF(
    _xlfn.XLOOKUP($Q115,'EA-Fortescue_SDExport'!A:A,'EA-Fortescue_SDExport'!B:B)="Object",
    _xlfn.XLOOKUP(
        _xlfn.XLOOKUP($A115,'EA-ConnectorExport'!A:A,'EA-ConnectorExport'!D:D),
        'EA-Fortescue_SDExport'!A:A,
        'EA-Fortescue_SDExport'!AA:AA
    ),
    _xlfn.XLOOKUP($Q115,'EA-Fortescue_SDExport'!A:A,'EA-Fortescue_SDExport'!AA:AA)
)</f>
        <v>Subsystem</v>
      </c>
      <c r="S115" s="2" t="str">
        <f>_xlfn.LET(_xlpm.result, _xlfn.XLOOKUP($Q115,'EA-Fortescue_SDExport'!$A:$A,'EA-Fortescue_SDExport'!AB:AB), IF(_xlpm.result=0,"",_xlpm.result))</f>
        <v/>
      </c>
      <c r="T115" s="2" t="str">
        <f>_xlfn.LET(_xlpm.result, _xlfn.XLOOKUP($Q115,'EA-Fortescue_SDExport'!$A:$A,'EA-Fortescue_SDExport'!AC:AC), IF(_xlpm.result=0,"",_xlpm.result))</f>
        <v/>
      </c>
      <c r="U115" s="2" t="str">
        <f>_xlfn.LET(
    _xlpm.isObject, _xlfn.XLOOKUP($Q115,'EA-Fortescue_SDExport'!A:A,'EA-Fortescue_SDExport'!B:B),
    _xlpm.lookupKey, IF(_xlpm.isObject="Object",
        _xlfn.XLOOKUP($A115,'EA-ConnectorExport'!A:A,'EA-ConnectorExport'!D:D),
        $Q115
    ),
    _xlpm.result, _xlfn.XLOOKUP(_xlpm.lookupKey,'EA-Fortescue_SDExport'!A:A,'EA-Fortescue_SDExport'!AD:AD),
    IF(_xlpm.result=0,"",_xlpm.result)
)</f>
        <v>855DC Decarb Green Systems</v>
      </c>
      <c r="V115" s="2" t="str">
        <f>_xlfn.LET(
    _xlpm.isObject, _xlfn.XLOOKUP($Q115,'EA-Fortescue_SDExport'!A:A,'EA-Fortescue_SDExport'!B:B),
    _xlpm.lookupKey, IF(_xlpm.isObject="Object",
        _xlfn.XLOOKUP($A115,'EA-ConnectorExport'!A:A,'EA-ConnectorExport'!D:D),
        $Q115
    ),
    _xlpm.result, _xlfn.XLOOKUP(_xlpm.lookupKey,'EA-Fortescue_SDExport'!A:A,'EA-Fortescue_SDExport'!AE:AE),
    IF(_xlpm.result=0,"",_xlpm.result)
)</f>
        <v>855DC-1541 Planning and Forecast Systems</v>
      </c>
      <c r="W115" s="2" t="str">
        <f>_xlfn.LET(
    _xlpm.isObject, _xlfn.XLOOKUP($Q115,'EA-Fortescue_SDExport'!A:A,'EA-Fortescue_SDExport'!B:B),
    _xlpm.lookupKey, IF(_xlpm.isObject="Object",
        _xlfn.XLOOKUP($A115,'EA-ConnectorExport'!A:A,'EA-ConnectorExport'!D:D),
        $Q115
    ),
    _xlpm.result, _xlfn.XLOOKUP(_xlpm.lookupKey,'EA-Fortescue_SDExport'!A:A,'EA-Fortescue_SDExport'!AF:AF),
    IF(_xlpm.result=0,"",_xlpm.result)
)</f>
        <v>855DC-1541-ECL Eclipse</v>
      </c>
      <c r="X115" s="2" t="str">
        <f>_xlfn.LET(
    _xlpm.isObject, _xlfn.XLOOKUP($Q115,'EA-Fortescue_SDExport'!A:A,'EA-Fortescue_SDExport'!B:B),
    _xlpm.lookupKey, IF(_xlpm.isObject="Object",
        _xlfn.XLOOKUP($A115,'EA-ConnectorExport'!A:A,'EA-ConnectorExport'!D:D),
        $Q115
    ),
    _xlpm.result, _xlfn.XLOOKUP(_xlpm.lookupKey,'EA-Fortescue_SDExport'!A:A,'EA-Fortescue_SDExport'!AG:AG),
    IF(_xlpm.result=0,"",_xlpm.result)
)</f>
        <v>855DC-1541-ECL-001 Eclipse Planning</v>
      </c>
      <c r="Y115" s="2" t="str">
        <f>_xlfn.LET(
    _xlpm.status, _xlfn.XLOOKUP($A115,'EA-ConnectorExport'!$A:$A,'EA-ConnectorExport'!G:G),
    _xlpm.result, _xlfn.XLOOKUP($A115,'EA-ConnectorExport'!$A:$A,'EA-ConnectorExport'!H:H),
    IF(_xlpm.status="allocate", _xlpm.result, "")
)</f>
        <v>Archive - 005OP-0000-004-003 Alastri Tactical Scheduler (ATS)</v>
      </c>
      <c r="Z115" s="2" t="str">
        <f>_xlfn.LET(
    _xlpm.isObject, _xlfn.XLOOKUP($Y115,'EA-Fortescue_SDExport'!A:A,'EA-Fortescue_SDExport'!B:B),
    _xlpm.lookupKey, IF(_xlpm.isObject="Object",
        _xlfn.XLOOKUP($A115,'EA-ConnectorExport'!A:A,'EA-ConnectorExport'!J:J),
        $Y115
    ),
    _xlpm.result, _xlfn.XLOOKUP(_xlpm.lookupKey,'EA-Fortescue_SDExport'!A:A,'EA-Fortescue_SDExport'!AA:AA),
    IF(_xlpm.result=0,"",_xlpm.result)
)</f>
        <v>Subsystem</v>
      </c>
      <c r="AA115" s="2" t="str">
        <f>_xlfn.LET(_xlpm.result, _xlfn.XLOOKUP($Y115,'EA-Fortescue_SDExport'!$A:$A,'EA-Fortescue_SDExport'!AB:AB), IF(_xlpm.result=0,"",_xlpm.result))</f>
        <v/>
      </c>
      <c r="AB115" s="2" t="str">
        <f>_xlfn.LET(_xlpm.result, _xlfn.XLOOKUP($Y115,'EA-Fortescue_SDExport'!$A:$A,'EA-Fortescue_SDExport'!AC:AC), IF(_xlpm.result=0,"",_xlpm.result))</f>
        <v/>
      </c>
      <c r="AC115" s="2" t="str">
        <f>_xlfn.LET(
    _xlpm.isObject, _xlfn.XLOOKUP($Y115,'EA-Fortescue_SDExport'!A:A,'EA-Fortescue_SDExport'!B:B),
    _xlpm.lookupKey, IF(_xlpm.isObject="Object",
        _xlfn.XLOOKUP($A115,'EA-ConnectorExport'!A:A,'EA-ConnectorExport'!J:J),
        $Y115
    ),
    _xlpm.result, _xlfn.XLOOKUP(_xlpm.lookupKey,'EA-Fortescue_SDExport'!A:A,'EA-Fortescue_SDExport'!AD:AD),
    IF(_xlpm.result=0,"",_xlpm.result)
)</f>
        <v>005OP IT/OT Systems</v>
      </c>
      <c r="AD115" s="2" t="str">
        <f>_xlfn.LET(
    _xlpm.isObject, _xlfn.XLOOKUP($Y115,'EA-Fortescue_SDExport'!A:A,'EA-Fortescue_SDExport'!B:B),
    _xlpm.lookupKey, IF(_xlpm.isObject="Object",
        _xlfn.XLOOKUP($A115,'EA-ConnectorExport'!A:A,'EA-ConnectorExport'!J:J),
        $Y115
    ),
    _xlpm.result, _xlfn.XLOOKUP(_xlpm.lookupKey,'EA-Fortescue_SDExport'!A:A,'EA-Fortescue_SDExport'!AE:AE),
    IF(_xlpm.result=0,"",_xlpm.result)
)</f>
        <v/>
      </c>
      <c r="AE115" s="2" t="str">
        <f>_xlfn.LET(
    _xlpm.isObject, _xlfn.XLOOKUP($Y115,'EA-Fortescue_SDExport'!A:A,'EA-Fortescue_SDExport'!B:B),
    _xlpm.lookupKey, IF(_xlpm.isObject="Object",
        _xlfn.XLOOKUP($A115,'EA-ConnectorExport'!A:A,'EA-ConnectorExport'!J:J),
        $Y115
    ),
    _xlpm.result, _xlfn.XLOOKUP(_xlpm.lookupKey,'EA-Fortescue_SDExport'!A:A,'EA-Fortescue_SDExport'!AF:AF),
    IF(_xlpm.result=0,"",_xlpm.result)
)</f>
        <v>005OP-0000-004 Alastri</v>
      </c>
      <c r="AF115" s="2" t="str">
        <f>_xlfn.LET(
    _xlpm.isObject, _xlfn.XLOOKUP($Y115,'EA-Fortescue_SDExport'!A:A,'EA-Fortescue_SDExport'!B:B),
    _xlpm.lookupKey, IF(_xlpm.isObject="Object",
        _xlfn.XLOOKUP($A115,'EA-ConnectorExport'!A:A,'EA-ConnectorExport'!J:J),
        $Y115
    ),
    _xlpm.result, _xlfn.XLOOKUP(_xlpm.lookupKey,'EA-Fortescue_SDExport'!A:A,'EA-Fortescue_SDExport'!AG:AG),
    IF(_xlpm.result=0,"",_xlpm.result)
)</f>
        <v>005OP-0000-004-003 Alastri Tactical Scheduler (ATS)</v>
      </c>
    </row>
    <row r="116" spans="1:32" ht="255" x14ac:dyDescent="0.25">
      <c r="A116" s="2" t="str">
        <v>DGS-I_0115</v>
      </c>
      <c r="B116" s="2" t="str">
        <f t="shared" si="4"/>
        <v>855DC-1541-ECL-001 Eclipse Planning|005OP-0000-004-002 Alastri Production Scheduler (APS) / Alastri Tactical Scheduler (ATS)</v>
      </c>
      <c r="C116" s="2" t="str">
        <f>_xlfn.LET(_xlpm.result, _xlfn.XLOOKUP(A116,'EA-Fortescue_SDExport'!A:A,'EA-Fortescue_SDExport'!AM:AM), IF(_xlpm.result=0,"",_xlpm.result))</f>
        <v>Abby Buters</v>
      </c>
      <c r="D116" s="2" t="str">
        <f>_xlfn.LET(_xlpm.result, _xlfn.XLOOKUP(A116,'EA-Fortescue_SDExport'!A:A,'EA-Fortescue_SDExport'!AN:AN), IF(_xlpm.result=0,"",_xlpm.result))</f>
        <v>Sri Molugu (Supertintendent Production Systems &amp; Reporting), Anchal Bawa (Data Product Owner), Gareth Hart (Principal Data Engineer), (Operations BAZ owners for Snowflake)</v>
      </c>
      <c r="E116" s="2" t="str">
        <f>_xlfn.XLOOKUP(R116&amp;Z116,Lookups!A:A,Lookups!B:B)</f>
        <v>Subsystem - Subsystem Interface</v>
      </c>
      <c r="F116" s="2" t="str">
        <f>_xlfn.LET(_xlpm.result, _xlfn.XLOOKUP(A116,'EA-Fortescue_SDExport'!A:A,'EA-Fortescue_SDExport'!AP:AP), IF(_xlpm.result=0,"",_xlpm.result))</f>
        <v>Technical-Data/Software</v>
      </c>
      <c r="G116" s="2" t="str">
        <f>IF(OR(AND(T116&lt;&gt;"", COUNTIF(Lookups!J:J, "*"&amp;T116&amp;"*")&gt;0), AND(AB116&lt;&gt;"", COUNTIF(Lookups!J:J, "*"&amp;AB116&amp;"*")&gt;0)), "Yes", "No")</f>
        <v>No</v>
      </c>
      <c r="H116" s="2" t="str">
        <f t="shared" si="5"/>
        <v>855DC Decarb Green Systems|005OP IT/OT Systems</v>
      </c>
      <c r="I116" s="2" t="str">
        <f t="shared" si="6"/>
        <v>855DC-1541 Planning and Forecast Systems|N/A</v>
      </c>
      <c r="J116" s="2" t="str">
        <f t="shared" si="7"/>
        <v>855DC-1541-ECL Eclipse|005OP-0000-004 Alastri</v>
      </c>
      <c r="K116" s="2" t="str">
        <f>_xlfn.XLOOKUP(A116,'EA-Fortescue_SDExport'!A:A,'EA-Fortescue_SDExport'!N:N)</f>
        <v>Proposed</v>
      </c>
      <c r="L116" s="2" t="str">
        <f>_xlfn.LET(_xlpm.result, _xlfn.XLOOKUP($A116,'EA-Fortescue_SDExport'!$A:$A,'EA-Fortescue_SDExport'!AQ:AQ), IF(_xlpm.result=0,"",_xlpm.result))</f>
        <v>Alastri Planning Data Transfer (to Eclipse via TAG)_x000D_
The purpose of this interface is to transfer long-term energy balance, production targets, and fleet projection scenarios generated in Alastri into the Operations Management data layer (BAZ), making this critical planning data available for use by the Eclipse planning module. _x000D_
Intermediate Elements: TAG Planning Module (Receives Excel upload and processes data). Snowflake Data Platform (Stores data). _x000D_
Additional information related to this interface:_x000D_
Element B (Source): Alastri (Master source of long-term planning scenarios: 2-year and 10-year)._x000D_
BAZ: AA_OPERATIONS_MANAGEMENT.SELFSERVICE.PLANNING_PLAN_DAT (Final table for consumption)._x000D_
Element A (Sink): Eclipse Platform (Consumes planning data for short-term scheduling and scenario analysis).</v>
      </c>
      <c r="M116" s="2" t="str">
        <f>_xlfn.LET(_xlpm.result, _xlfn.XLOOKUP($A116,'EA-Fortescue_SDExport'!$A:$A,'EA-Fortescue_SDExport'!AR:AR), IF(_xlpm.result=0,"",_xlpm.result))</f>
        <v>HIGH</v>
      </c>
      <c r="N116" s="2" t="str">
        <f>_xlfn.LET(_xlpm.result, _xlfn.XLOOKUP($A116,'EA-Fortescue_SDExport'!$A:$A,'EA-Fortescue_SDExport'!AW:AW), IF(_xlpm.result=0,"",_xlpm.result))</f>
        <v>The criticality level is HIGH because failure impacts the accuracy and alignment of Eclipse's short-term plans with strategic long-term goals. This risks incorrect resource forecasting and production scheduling.</v>
      </c>
      <c r="O116" s="2" t="str">
        <f>_xlfn.LET(_xlpm.result, _xlfn.XLOOKUP($A116,'EA-Fortescue_SDExport'!$A:$A,'EA-Fortescue_SDExport'!AV:AV), IF(_xlpm.result=0,"",_xlpm.result))</f>
        <v>Uni-directional: Alastri-&gt; TAG Planning Module-&gt; Snowflake/Business Analaytics Zone-&gt; Eclipse.</v>
      </c>
      <c r="P116" s="2" t="str">
        <f>_xlfn.LET(_xlpm.result, _xlfn.XLOOKUP($A116,'EA-Fortescue_SDExport'!$A:$A,'EA-Fortescue_SDExport'!D:D), IF(_xlpm.result=0,"",_xlpm.result))</f>
        <v/>
      </c>
      <c r="Q116" s="2" t="str">
        <f>_xlfn.LET(
    _xlpm.status, _xlfn.XLOOKUP($A116,'EA-ConnectorExport'!$A:$A,'EA-ConnectorExport'!G:G),
    _xlpm.result, _xlfn.XLOOKUP($A116,'EA-ConnectorExport'!$A:$A,'EA-ConnectorExport'!B:B),
    IF(_xlpm.status="allocate", _xlpm.result, "")
)</f>
        <v>855DC-1541-ECL-001 Eclipse Planning</v>
      </c>
      <c r="R116" s="2" t="str">
        <f>IF(
    _xlfn.XLOOKUP($Q116,'EA-Fortescue_SDExport'!A:A,'EA-Fortescue_SDExport'!B:B)="Object",
    _xlfn.XLOOKUP(
        _xlfn.XLOOKUP($A116,'EA-ConnectorExport'!A:A,'EA-ConnectorExport'!D:D),
        'EA-Fortescue_SDExport'!A:A,
        'EA-Fortescue_SDExport'!AA:AA
    ),
    _xlfn.XLOOKUP($Q116,'EA-Fortescue_SDExport'!A:A,'EA-Fortescue_SDExport'!AA:AA)
)</f>
        <v>Subsystem</v>
      </c>
      <c r="S116" s="2" t="str">
        <f>_xlfn.LET(_xlpm.result, _xlfn.XLOOKUP($Q116,'EA-Fortescue_SDExport'!$A:$A,'EA-Fortescue_SDExport'!AB:AB), IF(_xlpm.result=0,"",_xlpm.result))</f>
        <v/>
      </c>
      <c r="T116" s="2" t="str">
        <f>_xlfn.LET(_xlpm.result, _xlfn.XLOOKUP($Q116,'EA-Fortescue_SDExport'!$A:$A,'EA-Fortescue_SDExport'!AC:AC), IF(_xlpm.result=0,"",_xlpm.result))</f>
        <v/>
      </c>
      <c r="U116" s="2" t="str">
        <f>_xlfn.LET(
    _xlpm.isObject, _xlfn.XLOOKUP($Q116,'EA-Fortescue_SDExport'!A:A,'EA-Fortescue_SDExport'!B:B),
    _xlpm.lookupKey, IF(_xlpm.isObject="Object",
        _xlfn.XLOOKUP($A116,'EA-ConnectorExport'!A:A,'EA-ConnectorExport'!D:D),
        $Q116
    ),
    _xlpm.result, _xlfn.XLOOKUP(_xlpm.lookupKey,'EA-Fortescue_SDExport'!A:A,'EA-Fortescue_SDExport'!AD:AD),
    IF(_xlpm.result=0,"",_xlpm.result)
)</f>
        <v>855DC Decarb Green Systems</v>
      </c>
      <c r="V116" s="2" t="str">
        <f>_xlfn.LET(
    _xlpm.isObject, _xlfn.XLOOKUP($Q116,'EA-Fortescue_SDExport'!A:A,'EA-Fortescue_SDExport'!B:B),
    _xlpm.lookupKey, IF(_xlpm.isObject="Object",
        _xlfn.XLOOKUP($A116,'EA-ConnectorExport'!A:A,'EA-ConnectorExport'!D:D),
        $Q116
    ),
    _xlpm.result, _xlfn.XLOOKUP(_xlpm.lookupKey,'EA-Fortescue_SDExport'!A:A,'EA-Fortescue_SDExport'!AE:AE),
    IF(_xlpm.result=0,"",_xlpm.result)
)</f>
        <v>855DC-1541 Planning and Forecast Systems</v>
      </c>
      <c r="W116" s="2" t="str">
        <f>_xlfn.LET(
    _xlpm.isObject, _xlfn.XLOOKUP($Q116,'EA-Fortescue_SDExport'!A:A,'EA-Fortescue_SDExport'!B:B),
    _xlpm.lookupKey, IF(_xlpm.isObject="Object",
        _xlfn.XLOOKUP($A116,'EA-ConnectorExport'!A:A,'EA-ConnectorExport'!D:D),
        $Q116
    ),
    _xlpm.result, _xlfn.XLOOKUP(_xlpm.lookupKey,'EA-Fortescue_SDExport'!A:A,'EA-Fortescue_SDExport'!AF:AF),
    IF(_xlpm.result=0,"",_xlpm.result)
)</f>
        <v>855DC-1541-ECL Eclipse</v>
      </c>
      <c r="X116" s="2" t="str">
        <f>_xlfn.LET(
    _xlpm.isObject, _xlfn.XLOOKUP($Q116,'EA-Fortescue_SDExport'!A:A,'EA-Fortescue_SDExport'!B:B),
    _xlpm.lookupKey, IF(_xlpm.isObject="Object",
        _xlfn.XLOOKUP($A116,'EA-ConnectorExport'!A:A,'EA-ConnectorExport'!D:D),
        $Q116
    ),
    _xlpm.result, _xlfn.XLOOKUP(_xlpm.lookupKey,'EA-Fortescue_SDExport'!A:A,'EA-Fortescue_SDExport'!AG:AG),
    IF(_xlpm.result=0,"",_xlpm.result)
)</f>
        <v>855DC-1541-ECL-001 Eclipse Planning</v>
      </c>
      <c r="Y116" s="2" t="str">
        <f>_xlfn.LET(
    _xlpm.status, _xlfn.XLOOKUP($A116,'EA-ConnectorExport'!$A:$A,'EA-ConnectorExport'!G:G),
    _xlpm.result, _xlfn.XLOOKUP($A116,'EA-ConnectorExport'!$A:$A,'EA-ConnectorExport'!H:H),
    IF(_xlpm.status="allocate", _xlpm.result, "")
)</f>
        <v>005OP-0000-004-002 Alastri Production Scheduler (APS) / Alastri Tactical Scheduler (ATS)</v>
      </c>
      <c r="Z116" s="2" t="str">
        <f>_xlfn.LET(
    _xlpm.isObject, _xlfn.XLOOKUP($Y116,'EA-Fortescue_SDExport'!A:A,'EA-Fortescue_SDExport'!B:B),
    _xlpm.lookupKey, IF(_xlpm.isObject="Object",
        _xlfn.XLOOKUP($A116,'EA-ConnectorExport'!A:A,'EA-ConnectorExport'!J:J),
        $Y116
    ),
    _xlpm.result, _xlfn.XLOOKUP(_xlpm.lookupKey,'EA-Fortescue_SDExport'!A:A,'EA-Fortescue_SDExport'!AA:AA),
    IF(_xlpm.result=0,"",_xlpm.result)
)</f>
        <v>Subsystem</v>
      </c>
      <c r="AA116" s="2" t="str">
        <f>_xlfn.LET(_xlpm.result, _xlfn.XLOOKUP($Y116,'EA-Fortescue_SDExport'!$A:$A,'EA-Fortescue_SDExport'!AB:AB), IF(_xlpm.result=0,"",_xlpm.result))</f>
        <v/>
      </c>
      <c r="AB116" s="2" t="str">
        <f>_xlfn.LET(_xlpm.result, _xlfn.XLOOKUP($Y116,'EA-Fortescue_SDExport'!$A:$A,'EA-Fortescue_SDExport'!AC:AC), IF(_xlpm.result=0,"",_xlpm.result))</f>
        <v/>
      </c>
      <c r="AC116" s="2" t="str">
        <f>_xlfn.LET(
    _xlpm.isObject, _xlfn.XLOOKUP($Y116,'EA-Fortescue_SDExport'!A:A,'EA-Fortescue_SDExport'!B:B),
    _xlpm.lookupKey, IF(_xlpm.isObject="Object",
        _xlfn.XLOOKUP($A116,'EA-ConnectorExport'!A:A,'EA-ConnectorExport'!J:J),
        $Y116
    ),
    _xlpm.result, _xlfn.XLOOKUP(_xlpm.lookupKey,'EA-Fortescue_SDExport'!A:A,'EA-Fortescue_SDExport'!AD:AD),
    IF(_xlpm.result=0,"",_xlpm.result)
)</f>
        <v>005OP IT/OT Systems</v>
      </c>
      <c r="AD116" s="2" t="str">
        <f>_xlfn.LET(
    _xlpm.isObject, _xlfn.XLOOKUP($Y116,'EA-Fortescue_SDExport'!A:A,'EA-Fortescue_SDExport'!B:B),
    _xlpm.lookupKey, IF(_xlpm.isObject="Object",
        _xlfn.XLOOKUP($A116,'EA-ConnectorExport'!A:A,'EA-ConnectorExport'!J:J),
        $Y116
    ),
    _xlpm.result, _xlfn.XLOOKUP(_xlpm.lookupKey,'EA-Fortescue_SDExport'!A:A,'EA-Fortescue_SDExport'!AE:AE),
    IF(_xlpm.result=0,"",_xlpm.result)
)</f>
        <v/>
      </c>
      <c r="AE116" s="2" t="str">
        <f>_xlfn.LET(
    _xlpm.isObject, _xlfn.XLOOKUP($Y116,'EA-Fortescue_SDExport'!A:A,'EA-Fortescue_SDExport'!B:B),
    _xlpm.lookupKey, IF(_xlpm.isObject="Object",
        _xlfn.XLOOKUP($A116,'EA-ConnectorExport'!A:A,'EA-ConnectorExport'!J:J),
        $Y116
    ),
    _xlpm.result, _xlfn.XLOOKUP(_xlpm.lookupKey,'EA-Fortescue_SDExport'!A:A,'EA-Fortescue_SDExport'!AF:AF),
    IF(_xlpm.result=0,"",_xlpm.result)
)</f>
        <v>005OP-0000-004 Alastri</v>
      </c>
      <c r="AF116" s="2" t="str">
        <f>_xlfn.LET(
    _xlpm.isObject, _xlfn.XLOOKUP($Y116,'EA-Fortescue_SDExport'!A:A,'EA-Fortescue_SDExport'!B:B),
    _xlpm.lookupKey, IF(_xlpm.isObject="Object",
        _xlfn.XLOOKUP($A116,'EA-ConnectorExport'!A:A,'EA-ConnectorExport'!J:J),
        $Y116
    ),
    _xlpm.result, _xlfn.XLOOKUP(_xlpm.lookupKey,'EA-Fortescue_SDExport'!A:A,'EA-Fortescue_SDExport'!AG:AG),
    IF(_xlpm.result=0,"",_xlpm.result)
)</f>
        <v>005OP-0000-004-002 Alastri Production Scheduler (APS)</v>
      </c>
    </row>
    <row r="117" spans="1:32" ht="180" x14ac:dyDescent="0.25">
      <c r="A117" s="2" t="str">
        <v>DGS-I_0116</v>
      </c>
      <c r="B117" s="2" t="str">
        <f t="shared" si="4"/>
        <v>855DC-1542-009 Elysia|855DC-1541-ECL-002 Online Security Constrained Unit Commitment (SCUC)</v>
      </c>
      <c r="C117" s="2" t="str">
        <f>_xlfn.LET(_xlpm.result, _xlfn.XLOOKUP(A117,'EA-Fortescue_SDExport'!A:A,'EA-Fortescue_SDExport'!AM:AM), IF(_xlpm.result=0,"",_xlpm.result))</f>
        <v>Abby Buters</v>
      </c>
      <c r="D117" s="2" t="str">
        <f>_xlfn.LET(_xlpm.result, _xlfn.XLOOKUP(A117,'EA-Fortescue_SDExport'!A:A,'EA-Fortescue_SDExport'!AN:AN), IF(_xlpm.result=0,"",_xlpm.result))</f>
        <v>Kareema Ramli (Senior Engineer - Energy Data Systems &amp; Governance)</v>
      </c>
      <c r="E117" s="2" t="str">
        <f>_xlfn.XLOOKUP(R117&amp;Z117,Lookups!A:A,Lookups!B:B)</f>
        <v>Project - Subsystem Interface</v>
      </c>
      <c r="F117" s="2" t="str">
        <f>_xlfn.LET(_xlpm.result, _xlfn.XLOOKUP(A117,'EA-Fortescue_SDExport'!A:A,'EA-Fortescue_SDExport'!AP:AP), IF(_xlpm.result=0,"",_xlpm.result))</f>
        <v>Technical-Data/Software</v>
      </c>
      <c r="G117" s="2" t="str">
        <f>IF(OR(AND(T117&lt;&gt;"", COUNTIF(Lookups!J:J, "*"&amp;T117&amp;"*")&gt;0), AND(AB117&lt;&gt;"", COUNTIF(Lookups!J:J, "*"&amp;AB117&amp;"*")&gt;0)), "Yes", "No")</f>
        <v>No</v>
      </c>
      <c r="H117" s="2" t="str">
        <f t="shared" si="5"/>
        <v>855DC Decarb Green Systems|855DC Decarb Green Systems</v>
      </c>
      <c r="I117" s="2" t="str">
        <f t="shared" si="6"/>
        <v>855DC-1542 Control &amp; Monitoring Systems|855DC-1541 Planning and Forecast Systems</v>
      </c>
      <c r="J117" s="2" t="str">
        <f t="shared" si="7"/>
        <v>855DC-1542-009 Elysia|855DC-1541-ECL Eclipse</v>
      </c>
      <c r="K117" s="2" t="str">
        <f>_xlfn.XLOOKUP(A117,'EA-Fortescue_SDExport'!A:A,'EA-Fortescue_SDExport'!N:N)</f>
        <v>Proposed</v>
      </c>
      <c r="L117" s="2" t="str">
        <f>_xlfn.LET(_xlpm.result, _xlfn.XLOOKUP($A117,'EA-Fortescue_SDExport'!$A:$A,'EA-Fortescue_SDExport'!AQ:AQ), IF(_xlpm.result=0,"",_xlpm.result))</f>
        <v>This interface transmits battery performance data, capacity forecasts, and operational limits from Elysia to SCUC for energy scheduling purposes.</v>
      </c>
      <c r="M117" s="2" t="str">
        <f>_xlfn.LET(_xlpm.result, _xlfn.XLOOKUP($A117,'EA-Fortescue_SDExport'!$A:$A,'EA-Fortescue_SDExport'!AR:AR), IF(_xlpm.result=0,"",_xlpm.result))</f>
        <v>HIGH</v>
      </c>
      <c r="N117" s="2" t="str">
        <f>_xlfn.LET(_xlpm.result, _xlfn.XLOOKUP($A117,'EA-Fortescue_SDExport'!$A:$A,'EA-Fortescue_SDExport'!AW:AW), IF(_xlpm.result=0,"",_xlpm.result))</f>
        <v>The criticality level is MEDIUM because SCUC can still operate without detailed battery intelligence, but its decisions may be less efficient and result in suboptimal battery utilisation. Failure affects efficiency rather than immediate operations</v>
      </c>
      <c r="O117" s="2" t="str">
        <f>_xlfn.LET(_xlpm.result, _xlfn.XLOOKUP($A117,'EA-Fortescue_SDExport'!$A:$A,'EA-Fortescue_SDExport'!AV:AV), IF(_xlpm.result=0,"",_xlpm.result))</f>
        <v>Data Flow: Elysia -&gt; SCUC (ECL Eclipse) (battery state of charge, available capacity, charge/discharge limits, degradation status, capacity forecasts, operational constraints, alarms) to support energy scheduling and unit commitment optimisation.</v>
      </c>
      <c r="P117" s="2" t="str">
        <f>_xlfn.LET(_xlpm.result, _xlfn.XLOOKUP($A117,'EA-Fortescue_SDExport'!$A:$A,'EA-Fortescue_SDExport'!D:D), IF(_xlpm.result=0,"",_xlpm.result))</f>
        <v>Interface Review 25/11/2025: Future state integration which still needs to be defined by the project team._x000D_
NH 20/02/2026: Fields updated: Interface Flow.</v>
      </c>
      <c r="Q117" s="2" t="str">
        <f>_xlfn.LET(
    _xlpm.status, _xlfn.XLOOKUP($A117,'EA-ConnectorExport'!$A:$A,'EA-ConnectorExport'!G:G),
    _xlpm.result, _xlfn.XLOOKUP($A117,'EA-ConnectorExport'!$A:$A,'EA-ConnectorExport'!B:B),
    IF(_xlpm.status="allocate", _xlpm.result, "")
)</f>
        <v>855DC-1542-009 Elysia</v>
      </c>
      <c r="R117" s="2" t="str">
        <f>IF(
    _xlfn.XLOOKUP($Q117,'EA-Fortescue_SDExport'!A:A,'EA-Fortescue_SDExport'!B:B)="Object",
    _xlfn.XLOOKUP(
        _xlfn.XLOOKUP($A117,'EA-ConnectorExport'!A:A,'EA-ConnectorExport'!D:D),
        'EA-Fortescue_SDExport'!A:A,
        'EA-Fortescue_SDExport'!AA:AA
    ),
    _xlfn.XLOOKUP($Q117,'EA-Fortescue_SDExport'!A:A,'EA-Fortescue_SDExport'!AA:AA)
)</f>
        <v>Project</v>
      </c>
      <c r="S117" s="2" t="str">
        <f>_xlfn.LET(_xlpm.result, _xlfn.XLOOKUP($Q117,'EA-Fortescue_SDExport'!$A:$A,'EA-Fortescue_SDExport'!AB:AB), IF(_xlpm.result=0,"",_xlpm.result))</f>
        <v/>
      </c>
      <c r="T117" s="2" t="str">
        <f>_xlfn.LET(_xlpm.result, _xlfn.XLOOKUP($Q117,'EA-Fortescue_SDExport'!$A:$A,'EA-Fortescue_SDExport'!AC:AC), IF(_xlpm.result=0,"",_xlpm.result))</f>
        <v/>
      </c>
      <c r="U117" s="2" t="str">
        <f>_xlfn.LET(
    _xlpm.isObject, _xlfn.XLOOKUP($Q117,'EA-Fortescue_SDExport'!A:A,'EA-Fortescue_SDExport'!B:B),
    _xlpm.lookupKey, IF(_xlpm.isObject="Object",
        _xlfn.XLOOKUP($A117,'EA-ConnectorExport'!A:A,'EA-ConnectorExport'!D:D),
        $Q117
    ),
    _xlpm.result, _xlfn.XLOOKUP(_xlpm.lookupKey,'EA-Fortescue_SDExport'!A:A,'EA-Fortescue_SDExport'!AD:AD),
    IF(_xlpm.result=0,"",_xlpm.result)
)</f>
        <v>855DC Decarb Green Systems</v>
      </c>
      <c r="V117" s="2" t="str">
        <f>_xlfn.LET(
    _xlpm.isObject, _xlfn.XLOOKUP($Q117,'EA-Fortescue_SDExport'!A:A,'EA-Fortescue_SDExport'!B:B),
    _xlpm.lookupKey, IF(_xlpm.isObject="Object",
        _xlfn.XLOOKUP($A117,'EA-ConnectorExport'!A:A,'EA-ConnectorExport'!D:D),
        $Q117
    ),
    _xlpm.result, _xlfn.XLOOKUP(_xlpm.lookupKey,'EA-Fortescue_SDExport'!A:A,'EA-Fortescue_SDExport'!AE:AE),
    IF(_xlpm.result=0,"",_xlpm.result)
)</f>
        <v>855DC-1542 Control &amp; Monitoring Systems</v>
      </c>
      <c r="W117" s="2" t="str">
        <f>_xlfn.LET(
    _xlpm.isObject, _xlfn.XLOOKUP($Q117,'EA-Fortescue_SDExport'!A:A,'EA-Fortescue_SDExport'!B:B),
    _xlpm.lookupKey, IF(_xlpm.isObject="Object",
        _xlfn.XLOOKUP($A117,'EA-ConnectorExport'!A:A,'EA-ConnectorExport'!D:D),
        $Q117
    ),
    _xlpm.result, _xlfn.XLOOKUP(_xlpm.lookupKey,'EA-Fortescue_SDExport'!A:A,'EA-Fortescue_SDExport'!AF:AF),
    IF(_xlpm.result=0,"",_xlpm.result)
)</f>
        <v>855DC-1542-009 Elysia</v>
      </c>
      <c r="X117" s="2" t="str">
        <f>_xlfn.LET(
    _xlpm.isObject, _xlfn.XLOOKUP($Q117,'EA-Fortescue_SDExport'!A:A,'EA-Fortescue_SDExport'!B:B),
    _xlpm.lookupKey, IF(_xlpm.isObject="Object",
        _xlfn.XLOOKUP($A117,'EA-ConnectorExport'!A:A,'EA-ConnectorExport'!D:D),
        $Q117
    ),
    _xlpm.result, _xlfn.XLOOKUP(_xlpm.lookupKey,'EA-Fortescue_SDExport'!A:A,'EA-Fortescue_SDExport'!AG:AG),
    IF(_xlpm.result=0,"",_xlpm.result)
)</f>
        <v/>
      </c>
      <c r="Y117" s="2" t="str">
        <f>_xlfn.LET(
    _xlpm.status, _xlfn.XLOOKUP($A117,'EA-ConnectorExport'!$A:$A,'EA-ConnectorExport'!G:G),
    _xlpm.result, _xlfn.XLOOKUP($A117,'EA-ConnectorExport'!$A:$A,'EA-ConnectorExport'!H:H),
    IF(_xlpm.status="allocate", _xlpm.result, "")
)</f>
        <v>855DC-1541-ECL-002 Online Security Constrained Unit Commitment (SCUC)</v>
      </c>
      <c r="Z117" s="2" t="str">
        <f>_xlfn.LET(
    _xlpm.isObject, _xlfn.XLOOKUP($Y117,'EA-Fortescue_SDExport'!A:A,'EA-Fortescue_SDExport'!B:B),
    _xlpm.lookupKey, IF(_xlpm.isObject="Object",
        _xlfn.XLOOKUP($A117,'EA-ConnectorExport'!A:A,'EA-ConnectorExport'!J:J),
        $Y117
    ),
    _xlpm.result, _xlfn.XLOOKUP(_xlpm.lookupKey,'EA-Fortescue_SDExport'!A:A,'EA-Fortescue_SDExport'!AA:AA),
    IF(_xlpm.result=0,"",_xlpm.result)
)</f>
        <v>Subsystem</v>
      </c>
      <c r="AA117" s="2" t="str">
        <f>_xlfn.LET(_xlpm.result, _xlfn.XLOOKUP($Y117,'EA-Fortescue_SDExport'!$A:$A,'EA-Fortescue_SDExport'!AB:AB), IF(_xlpm.result=0,"",_xlpm.result))</f>
        <v/>
      </c>
      <c r="AB117" s="2" t="str">
        <f>_xlfn.LET(_xlpm.result, _xlfn.XLOOKUP($Y117,'EA-Fortescue_SDExport'!$A:$A,'EA-Fortescue_SDExport'!AC:AC), IF(_xlpm.result=0,"",_xlpm.result))</f>
        <v/>
      </c>
      <c r="AC117" s="2" t="str">
        <f>_xlfn.LET(
    _xlpm.isObject, _xlfn.XLOOKUP($Y117,'EA-Fortescue_SDExport'!A:A,'EA-Fortescue_SDExport'!B:B),
    _xlpm.lookupKey, IF(_xlpm.isObject="Object",
        _xlfn.XLOOKUP($A117,'EA-ConnectorExport'!A:A,'EA-ConnectorExport'!J:J),
        $Y117
    ),
    _xlpm.result, _xlfn.XLOOKUP(_xlpm.lookupKey,'EA-Fortescue_SDExport'!A:A,'EA-Fortescue_SDExport'!AD:AD),
    IF(_xlpm.result=0,"",_xlpm.result)
)</f>
        <v>855DC Decarb Green Systems</v>
      </c>
      <c r="AD117" s="2" t="str">
        <f>_xlfn.LET(
    _xlpm.isObject, _xlfn.XLOOKUP($Y117,'EA-Fortescue_SDExport'!A:A,'EA-Fortescue_SDExport'!B:B),
    _xlpm.lookupKey, IF(_xlpm.isObject="Object",
        _xlfn.XLOOKUP($A117,'EA-ConnectorExport'!A:A,'EA-ConnectorExport'!J:J),
        $Y117
    ),
    _xlpm.result, _xlfn.XLOOKUP(_xlpm.lookupKey,'EA-Fortescue_SDExport'!A:A,'EA-Fortescue_SDExport'!AE:AE),
    IF(_xlpm.result=0,"",_xlpm.result)
)</f>
        <v>855DC-1541 Planning and Forecast Systems</v>
      </c>
      <c r="AE117" s="2" t="str">
        <f>_xlfn.LET(
    _xlpm.isObject, _xlfn.XLOOKUP($Y117,'EA-Fortescue_SDExport'!A:A,'EA-Fortescue_SDExport'!B:B),
    _xlpm.lookupKey, IF(_xlpm.isObject="Object",
        _xlfn.XLOOKUP($A117,'EA-ConnectorExport'!A:A,'EA-ConnectorExport'!J:J),
        $Y117
    ),
    _xlpm.result, _xlfn.XLOOKUP(_xlpm.lookupKey,'EA-Fortescue_SDExport'!A:A,'EA-Fortescue_SDExport'!AF:AF),
    IF(_xlpm.result=0,"",_xlpm.result)
)</f>
        <v>855DC-1541-ECL Eclipse</v>
      </c>
      <c r="AF117" s="2" t="str">
        <f>_xlfn.LET(
    _xlpm.isObject, _xlfn.XLOOKUP($Y117,'EA-Fortescue_SDExport'!A:A,'EA-Fortescue_SDExport'!B:B),
    _xlpm.lookupKey, IF(_xlpm.isObject="Object",
        _xlfn.XLOOKUP($A117,'EA-ConnectorExport'!A:A,'EA-ConnectorExport'!J:J),
        $Y117
    ),
    _xlpm.result, _xlfn.XLOOKUP(_xlpm.lookupKey,'EA-Fortescue_SDExport'!A:A,'EA-Fortescue_SDExport'!AG:AG),
    IF(_xlpm.result=0,"",_xlpm.result)
)</f>
        <v>855DC-1541-ECL-002 Online Security Constrained Unit Commitment (SCUC)</v>
      </c>
    </row>
    <row r="118" spans="1:32" ht="180" x14ac:dyDescent="0.25">
      <c r="A118" s="2" t="str">
        <v>DGS-I_0117</v>
      </c>
      <c r="B118" s="2" t="str">
        <f t="shared" si="4"/>
        <v>855DC-1541-ECL-002 Online Security Constrained Unit Commitment (SCUC)|859DC-1410-001-001 HaulX Dispatch (Fleet Management System (FMS))</v>
      </c>
      <c r="C118" s="2" t="str">
        <f>_xlfn.LET(_xlpm.result, _xlfn.XLOOKUP(A118,'EA-Fortescue_SDExport'!A:A,'EA-Fortescue_SDExport'!AM:AM), IF(_xlpm.result=0,"",_xlpm.result))</f>
        <v/>
      </c>
      <c r="D118" s="2" t="str">
        <f>_xlfn.LET(_xlpm.result, _xlfn.XLOOKUP(A118,'EA-Fortescue_SDExport'!A:A,'EA-Fortescue_SDExport'!AN:AN), IF(_xlpm.result=0,"",_xlpm.result))</f>
        <v/>
      </c>
      <c r="E118" s="2" t="str">
        <f>_xlfn.XLOOKUP(R118&amp;Z118,Lookups!A:A,Lookups!B:B)</f>
        <v>Subsystem - Subsystem Interface</v>
      </c>
      <c r="F118" s="2" t="str">
        <f>_xlfn.LET(_xlpm.result, _xlfn.XLOOKUP(A118,'EA-Fortescue_SDExport'!A:A,'EA-Fortescue_SDExport'!AP:AP), IF(_xlpm.result=0,"",_xlpm.result))</f>
        <v>Technical-Data/Software</v>
      </c>
      <c r="G118" s="2" t="str">
        <f>IF(OR(AND(T118&lt;&gt;"", COUNTIF(Lookups!J:J, "*"&amp;T118&amp;"*")&gt;0), AND(AB118&lt;&gt;"", COUNTIF(Lookups!J:J, "*"&amp;AB118&amp;"*")&gt;0)), "Yes", "No")</f>
        <v>No</v>
      </c>
      <c r="H118" s="2" t="str">
        <f t="shared" si="5"/>
        <v>855DC Decarb Green Systems|859DC HaulX</v>
      </c>
      <c r="I118" s="2" t="str">
        <f t="shared" si="6"/>
        <v>855DC-1541 Planning and Forecast Systems|N/A</v>
      </c>
      <c r="J118" s="2" t="str">
        <f t="shared" si="7"/>
        <v>855DC-1541-ECL Eclipse|859DC-1410-001 HaulX</v>
      </c>
      <c r="K118" s="2" t="str">
        <f>_xlfn.XLOOKUP(A118,'EA-Fortescue_SDExport'!A:A,'EA-Fortescue_SDExport'!N:N)</f>
        <v>Proposed</v>
      </c>
      <c r="L118" s="2" t="str">
        <f>_xlfn.LET(_xlpm.result, _xlfn.XLOOKUP($A118,'EA-Fortescue_SDExport'!$A:$A,'EA-Fortescue_SDExport'!AQ:AQ), IF(_xlpm.result=0,"",_xlpm.result))</f>
        <v>The interface sends high-level energy constraints or power availability information from SCUC into HaulX Dispatch so haulage operations can be adjusted based on electrical system conditions.</v>
      </c>
      <c r="M118" s="2" t="str">
        <f>_xlfn.LET(_xlpm.result, _xlfn.XLOOKUP($A118,'EA-Fortescue_SDExport'!$A:$A,'EA-Fortescue_SDExport'!AR:AR), IF(_xlpm.result=0,"",_xlpm.result))</f>
        <v>MEDIUM</v>
      </c>
      <c r="N118" s="2" t="str">
        <f>_xlfn.LET(_xlpm.result, _xlfn.XLOOKUP($A118,'EA-Fortescue_SDExport'!$A:$A,'EA-Fortescue_SDExport'!AW:AW), IF(_xlpm.result=0,"",_xlpm.result))</f>
        <v>The criticality level is MEDIUM because a temporary loss of this interface typically leads to reduced optimisation and planning efficiency rather than a shutdown of operations. Safe haulage can continue using local logic.</v>
      </c>
      <c r="O118" s="2" t="str">
        <f>_xlfn.LET(_xlpm.result, _xlfn.XLOOKUP($A118,'EA-Fortescue_SDExport'!$A:$A,'EA-Fortescue_SDExport'!AV:AV), IF(_xlpm.result=0,"",_xlpm.result))</f>
        <v>Data Flow: SCUC (Eclipse) -&gt; HaulX Dispatch (high-level energy constraints, power availability limits, curtailment signals, network capacity status) to enable haulage scheduling adjustments based on electrical system conditions.</v>
      </c>
      <c r="P118" s="2" t="str">
        <f>_xlfn.LET(_xlpm.result, _xlfn.XLOOKUP($A118,'EA-Fortescue_SDExport'!$A:$A,'EA-Fortescue_SDExport'!D:D), IF(_xlpm.result=0,"",_xlpm.result))</f>
        <v>NH 20/02/2026: Fields updated: Interface Type, Interface Flow.</v>
      </c>
      <c r="Q118" s="2" t="str">
        <f>_xlfn.LET(
    _xlpm.status, _xlfn.XLOOKUP($A118,'EA-ConnectorExport'!$A:$A,'EA-ConnectorExport'!G:G),
    _xlpm.result, _xlfn.XLOOKUP($A118,'EA-ConnectorExport'!$A:$A,'EA-ConnectorExport'!B:B),
    IF(_xlpm.status="allocate", _xlpm.result, "")
)</f>
        <v>855DC-1541-ECL-002 Online Security Constrained Unit Commitment (SCUC)</v>
      </c>
      <c r="R118" s="2" t="str">
        <f>IF(
    _xlfn.XLOOKUP($Q118,'EA-Fortescue_SDExport'!A:A,'EA-Fortescue_SDExport'!B:B)="Object",
    _xlfn.XLOOKUP(
        _xlfn.XLOOKUP($A118,'EA-ConnectorExport'!A:A,'EA-ConnectorExport'!D:D),
        'EA-Fortescue_SDExport'!A:A,
        'EA-Fortescue_SDExport'!AA:AA
    ),
    _xlfn.XLOOKUP($Q118,'EA-Fortescue_SDExport'!A:A,'EA-Fortescue_SDExport'!AA:AA)
)</f>
        <v>Subsystem</v>
      </c>
      <c r="S118" s="2" t="str">
        <f>_xlfn.LET(_xlpm.result, _xlfn.XLOOKUP($Q118,'EA-Fortescue_SDExport'!$A:$A,'EA-Fortescue_SDExport'!AB:AB), IF(_xlpm.result=0,"",_xlpm.result))</f>
        <v/>
      </c>
      <c r="T118" s="2" t="str">
        <f>_xlfn.LET(_xlpm.result, _xlfn.XLOOKUP($Q118,'EA-Fortescue_SDExport'!$A:$A,'EA-Fortescue_SDExport'!AC:AC), IF(_xlpm.result=0,"",_xlpm.result))</f>
        <v/>
      </c>
      <c r="U118" s="2" t="str">
        <f>_xlfn.LET(
    _xlpm.isObject, _xlfn.XLOOKUP($Q118,'EA-Fortescue_SDExport'!A:A,'EA-Fortescue_SDExport'!B:B),
    _xlpm.lookupKey, IF(_xlpm.isObject="Object",
        _xlfn.XLOOKUP($A118,'EA-ConnectorExport'!A:A,'EA-ConnectorExport'!D:D),
        $Q118
    ),
    _xlpm.result, _xlfn.XLOOKUP(_xlpm.lookupKey,'EA-Fortescue_SDExport'!A:A,'EA-Fortescue_SDExport'!AD:AD),
    IF(_xlpm.result=0,"",_xlpm.result)
)</f>
        <v>855DC Decarb Green Systems</v>
      </c>
      <c r="V118" s="2" t="str">
        <f>_xlfn.LET(
    _xlpm.isObject, _xlfn.XLOOKUP($Q118,'EA-Fortescue_SDExport'!A:A,'EA-Fortescue_SDExport'!B:B),
    _xlpm.lookupKey, IF(_xlpm.isObject="Object",
        _xlfn.XLOOKUP($A118,'EA-ConnectorExport'!A:A,'EA-ConnectorExport'!D:D),
        $Q118
    ),
    _xlpm.result, _xlfn.XLOOKUP(_xlpm.lookupKey,'EA-Fortescue_SDExport'!A:A,'EA-Fortescue_SDExport'!AE:AE),
    IF(_xlpm.result=0,"",_xlpm.result)
)</f>
        <v>855DC-1541 Planning and Forecast Systems</v>
      </c>
      <c r="W118" s="2" t="str">
        <f>_xlfn.LET(
    _xlpm.isObject, _xlfn.XLOOKUP($Q118,'EA-Fortescue_SDExport'!A:A,'EA-Fortescue_SDExport'!B:B),
    _xlpm.lookupKey, IF(_xlpm.isObject="Object",
        _xlfn.XLOOKUP($A118,'EA-ConnectorExport'!A:A,'EA-ConnectorExport'!D:D),
        $Q118
    ),
    _xlpm.result, _xlfn.XLOOKUP(_xlpm.lookupKey,'EA-Fortescue_SDExport'!A:A,'EA-Fortescue_SDExport'!AF:AF),
    IF(_xlpm.result=0,"",_xlpm.result)
)</f>
        <v>855DC-1541-ECL Eclipse</v>
      </c>
      <c r="X118" s="2" t="str">
        <f>_xlfn.LET(
    _xlpm.isObject, _xlfn.XLOOKUP($Q118,'EA-Fortescue_SDExport'!A:A,'EA-Fortescue_SDExport'!B:B),
    _xlpm.lookupKey, IF(_xlpm.isObject="Object",
        _xlfn.XLOOKUP($A118,'EA-ConnectorExport'!A:A,'EA-ConnectorExport'!D:D),
        $Q118
    ),
    _xlpm.result, _xlfn.XLOOKUP(_xlpm.lookupKey,'EA-Fortescue_SDExport'!A:A,'EA-Fortescue_SDExport'!AG:AG),
    IF(_xlpm.result=0,"",_xlpm.result)
)</f>
        <v>855DC-1541-ECL-002 Online Security Constrained Unit Commitment (SCUC)</v>
      </c>
      <c r="Y118" s="2" t="str">
        <f>_xlfn.LET(
    _xlpm.status, _xlfn.XLOOKUP($A118,'EA-ConnectorExport'!$A:$A,'EA-ConnectorExport'!G:G),
    _xlpm.result, _xlfn.XLOOKUP($A118,'EA-ConnectorExport'!$A:$A,'EA-ConnectorExport'!H:H),
    IF(_xlpm.status="allocate", _xlpm.result, "")
)</f>
        <v>859DC-1410-001-001 HaulX Dispatch (Fleet Management System (FMS))</v>
      </c>
      <c r="Z118" s="2" t="str">
        <f>_xlfn.LET(
    _xlpm.isObject, _xlfn.XLOOKUP($Y118,'EA-Fortescue_SDExport'!A:A,'EA-Fortescue_SDExport'!B:B),
    _xlpm.lookupKey, IF(_xlpm.isObject="Object",
        _xlfn.XLOOKUP($A118,'EA-ConnectorExport'!A:A,'EA-ConnectorExport'!J:J),
        $Y118
    ),
    _xlpm.result, _xlfn.XLOOKUP(_xlpm.lookupKey,'EA-Fortescue_SDExport'!A:A,'EA-Fortescue_SDExport'!AA:AA),
    IF(_xlpm.result=0,"",_xlpm.result)
)</f>
        <v>Subsystem</v>
      </c>
      <c r="AA118" s="2" t="str">
        <f>_xlfn.LET(_xlpm.result, _xlfn.XLOOKUP($Y118,'EA-Fortescue_SDExport'!$A:$A,'EA-Fortescue_SDExport'!AB:AB), IF(_xlpm.result=0,"",_xlpm.result))</f>
        <v/>
      </c>
      <c r="AB118" s="2" t="str">
        <f>_xlfn.LET(_xlpm.result, _xlfn.XLOOKUP($Y118,'EA-Fortescue_SDExport'!$A:$A,'EA-Fortescue_SDExport'!AC:AC), IF(_xlpm.result=0,"",_xlpm.result))</f>
        <v/>
      </c>
      <c r="AC118" s="2" t="str">
        <f>_xlfn.LET(
    _xlpm.isObject, _xlfn.XLOOKUP($Y118,'EA-Fortescue_SDExport'!A:A,'EA-Fortescue_SDExport'!B:B),
    _xlpm.lookupKey, IF(_xlpm.isObject="Object",
        _xlfn.XLOOKUP($A118,'EA-ConnectorExport'!A:A,'EA-ConnectorExport'!J:J),
        $Y118
    ),
    _xlpm.result, _xlfn.XLOOKUP(_xlpm.lookupKey,'EA-Fortescue_SDExport'!A:A,'EA-Fortescue_SDExport'!AD:AD),
    IF(_xlpm.result=0,"",_xlpm.result)
)</f>
        <v>859DC HaulX</v>
      </c>
      <c r="AD118" s="2" t="str">
        <f>_xlfn.LET(
    _xlpm.isObject, _xlfn.XLOOKUP($Y118,'EA-Fortescue_SDExport'!A:A,'EA-Fortescue_SDExport'!B:B),
    _xlpm.lookupKey, IF(_xlpm.isObject="Object",
        _xlfn.XLOOKUP($A118,'EA-ConnectorExport'!A:A,'EA-ConnectorExport'!J:J),
        $Y118
    ),
    _xlpm.result, _xlfn.XLOOKUP(_xlpm.lookupKey,'EA-Fortescue_SDExport'!A:A,'EA-Fortescue_SDExport'!AE:AE),
    IF(_xlpm.result=0,"",_xlpm.result)
)</f>
        <v/>
      </c>
      <c r="AE118" s="2" t="str">
        <f>_xlfn.LET(
    _xlpm.isObject, _xlfn.XLOOKUP($Y118,'EA-Fortescue_SDExport'!A:A,'EA-Fortescue_SDExport'!B:B),
    _xlpm.lookupKey, IF(_xlpm.isObject="Object",
        _xlfn.XLOOKUP($A118,'EA-ConnectorExport'!A:A,'EA-ConnectorExport'!J:J),
        $Y118
    ),
    _xlpm.result, _xlfn.XLOOKUP(_xlpm.lookupKey,'EA-Fortescue_SDExport'!A:A,'EA-Fortescue_SDExport'!AF:AF),
    IF(_xlpm.result=0,"",_xlpm.result)
)</f>
        <v>859DC-1410-001 HaulX</v>
      </c>
      <c r="AF118" s="2" t="str">
        <f>_xlfn.LET(
    _xlpm.isObject, _xlfn.XLOOKUP($Y118,'EA-Fortescue_SDExport'!A:A,'EA-Fortescue_SDExport'!B:B),
    _xlpm.lookupKey, IF(_xlpm.isObject="Object",
        _xlfn.XLOOKUP($A118,'EA-ConnectorExport'!A:A,'EA-ConnectorExport'!J:J),
        $Y118
    ),
    _xlpm.result, _xlfn.XLOOKUP(_xlpm.lookupKey,'EA-Fortescue_SDExport'!A:A,'EA-Fortescue_SDExport'!AG:AG),
    IF(_xlpm.result=0,"",_xlpm.result)
)</f>
        <v>859DC-1410-001-001 HaulX Dispatch (Fleet Management System (FMS))</v>
      </c>
    </row>
    <row r="119" spans="1:32" ht="210" x14ac:dyDescent="0.25">
      <c r="A119" s="2" t="str">
        <v>DGS-I_0118</v>
      </c>
      <c r="B119" s="2" t="str">
        <f t="shared" si="4"/>
        <v>855DC-1543-008 Monarch|855DC-1541-ECL-002 Online Security Constrained Unit Commitment (SCUC)</v>
      </c>
      <c r="C119" s="2" t="str">
        <f>_xlfn.LET(_xlpm.result, _xlfn.XLOOKUP(A119,'EA-Fortescue_SDExport'!A:A,'EA-Fortescue_SDExport'!AM:AM), IF(_xlpm.result=0,"",_xlpm.result))</f>
        <v/>
      </c>
      <c r="D119" s="2" t="str">
        <f>_xlfn.LET(_xlpm.result, _xlfn.XLOOKUP(A119,'EA-Fortescue_SDExport'!A:A,'EA-Fortescue_SDExport'!AN:AN), IF(_xlpm.result=0,"",_xlpm.result))</f>
        <v>Kareema Ramli (Senior Engineer - Energy Data Systems &amp; Governance)</v>
      </c>
      <c r="E119" s="2" t="str">
        <f>_xlfn.XLOOKUP(R119&amp;Z119,Lookups!A:A,Lookups!B:B)</f>
        <v>Project - Subsystem Interface</v>
      </c>
      <c r="F119" s="2" t="str">
        <f>_xlfn.LET(_xlpm.result, _xlfn.XLOOKUP(A119,'EA-Fortescue_SDExport'!A:A,'EA-Fortescue_SDExport'!AP:AP), IF(_xlpm.result=0,"",_xlpm.result))</f>
        <v>Technical-Data/Software</v>
      </c>
      <c r="G119" s="2" t="str">
        <f>IF(OR(AND(T119&lt;&gt;"", COUNTIF(Lookups!J:J, "*"&amp;T119&amp;"*")&gt;0), AND(AB119&lt;&gt;"", COUNTIF(Lookups!J:J, "*"&amp;AB119&amp;"*")&gt;0)), "Yes", "No")</f>
        <v>No</v>
      </c>
      <c r="H119" s="2" t="str">
        <f t="shared" si="5"/>
        <v>855DC Decarb Green Systems|855DC Decarb Green Systems</v>
      </c>
      <c r="I119" s="2" t="str">
        <f t="shared" si="6"/>
        <v>855DC-1543 Existing Systems - Green Enhancement|855DC-1541 Planning and Forecast Systems</v>
      </c>
      <c r="J119" s="2" t="str">
        <f t="shared" si="7"/>
        <v>855DC-1543-008 Monarch|855DC-1541-ECL Eclipse</v>
      </c>
      <c r="K119" s="2" t="str">
        <f>_xlfn.XLOOKUP(A119,'EA-Fortescue_SDExport'!A:A,'EA-Fortescue_SDExport'!N:N)</f>
        <v>Proposed</v>
      </c>
      <c r="L119" s="2" t="str">
        <f>_xlfn.LET(_xlpm.result, _xlfn.XLOOKUP($A119,'EA-Fortescue_SDExport'!$A:$A,'EA-Fortescue_SDExport'!AQ:AQ), IF(_xlpm.result=0,"",_xlpm.result))</f>
        <v>This interface synchronises key energy system data between Monarch and SCUC, ensuring generation, storage, and load information used in optimisation is correct.</v>
      </c>
      <c r="M119" s="2" t="str">
        <f>_xlfn.LET(_xlpm.result, _xlfn.XLOOKUP($A119,'EA-Fortescue_SDExport'!$A:$A,'EA-Fortescue_SDExport'!AR:AR), IF(_xlpm.result=0,"",_xlpm.result))</f>
        <v>HIGH</v>
      </c>
      <c r="N119" s="2" t="str">
        <f>_xlfn.LET(_xlpm.result, _xlfn.XLOOKUP($A119,'EA-Fortescue_SDExport'!$A:$A,'EA-Fortescue_SDExport'!AW:AW), IF(_xlpm.result=0,"",_xlpm.result))</f>
        <v>The criticality level is HIGH because SCUC relies on accurate network information to make safe and optimal dispatch decisions. Losing this interface results in scheduling decisions based on outdated data, which can destabilise the network and affect production.</v>
      </c>
      <c r="O119" s="2" t="str">
        <f>_xlfn.LET(_xlpm.result, _xlfn.XLOOKUP($A119,'EA-Fortescue_SDExport'!$A:$A,'EA-Fortescue_SDExport'!AV:AV), IF(_xlpm.result=0,"",_xlpm.result))</f>
        <v>Data Flow: Monarch -&gt; SCUC (ECL Eclipse) (real-time generation output, storage status, network loading, available capacity, demand data, operational constraints, alarms) to support accurate scheduling and optimisation.</v>
      </c>
      <c r="P119" s="2" t="str">
        <f>_xlfn.LET(_xlpm.result, _xlfn.XLOOKUP($A119,'EA-Fortescue_SDExport'!$A:$A,'EA-Fortescue_SDExport'!D:D), IF(_xlpm.result=0,"",_xlpm.result))</f>
        <v>Interface Review 25/11/2025: Future state integration, which still needs to be defined by the project team. Only involved with the short-term dispatch of energy._x000D_
NH 20/02/2026: Fields updated: Interface Flow.</v>
      </c>
      <c r="Q119" s="2" t="str">
        <f>_xlfn.LET(
    _xlpm.status, _xlfn.XLOOKUP($A119,'EA-ConnectorExport'!$A:$A,'EA-ConnectorExport'!G:G),
    _xlpm.result, _xlfn.XLOOKUP($A119,'EA-ConnectorExport'!$A:$A,'EA-ConnectorExport'!B:B),
    IF(_xlpm.status="allocate", _xlpm.result, "")
)</f>
        <v>855DC-1543-008 Monarch</v>
      </c>
      <c r="R119" s="2" t="str">
        <f>IF(
    _xlfn.XLOOKUP($Q119,'EA-Fortescue_SDExport'!A:A,'EA-Fortescue_SDExport'!B:B)="Object",
    _xlfn.XLOOKUP(
        _xlfn.XLOOKUP($A119,'EA-ConnectorExport'!A:A,'EA-ConnectorExport'!D:D),
        'EA-Fortescue_SDExport'!A:A,
        'EA-Fortescue_SDExport'!AA:AA
    ),
    _xlfn.XLOOKUP($Q119,'EA-Fortescue_SDExport'!A:A,'EA-Fortescue_SDExport'!AA:AA)
)</f>
        <v>Project</v>
      </c>
      <c r="S119" s="2" t="str">
        <f>_xlfn.LET(_xlpm.result, _xlfn.XLOOKUP($Q119,'EA-Fortescue_SDExport'!$A:$A,'EA-Fortescue_SDExport'!AB:AB), IF(_xlpm.result=0,"",_xlpm.result))</f>
        <v>Energy Operations</v>
      </c>
      <c r="T119" s="2" t="str">
        <f>_xlfn.LET(_xlpm.result, _xlfn.XLOOKUP($Q119,'EA-Fortescue_SDExport'!$A:$A,'EA-Fortescue_SDExport'!AC:AC), IF(_xlpm.result=0,"",_xlpm.result))</f>
        <v/>
      </c>
      <c r="U119" s="2" t="str">
        <f>_xlfn.LET(
    _xlpm.isObject, _xlfn.XLOOKUP($Q119,'EA-Fortescue_SDExport'!A:A,'EA-Fortescue_SDExport'!B:B),
    _xlpm.lookupKey, IF(_xlpm.isObject="Object",
        _xlfn.XLOOKUP($A119,'EA-ConnectorExport'!A:A,'EA-ConnectorExport'!D:D),
        $Q119
    ),
    _xlpm.result, _xlfn.XLOOKUP(_xlpm.lookupKey,'EA-Fortescue_SDExport'!A:A,'EA-Fortescue_SDExport'!AD:AD),
    IF(_xlpm.result=0,"",_xlpm.result)
)</f>
        <v>855DC Decarb Green Systems</v>
      </c>
      <c r="V119" s="2" t="str">
        <f>_xlfn.LET(
    _xlpm.isObject, _xlfn.XLOOKUP($Q119,'EA-Fortescue_SDExport'!A:A,'EA-Fortescue_SDExport'!B:B),
    _xlpm.lookupKey, IF(_xlpm.isObject="Object",
        _xlfn.XLOOKUP($A119,'EA-ConnectorExport'!A:A,'EA-ConnectorExport'!D:D),
        $Q119
    ),
    _xlpm.result, _xlfn.XLOOKUP(_xlpm.lookupKey,'EA-Fortescue_SDExport'!A:A,'EA-Fortescue_SDExport'!AE:AE),
    IF(_xlpm.result=0,"",_xlpm.result)
)</f>
        <v>855DC-1543 Existing Systems - Green Enhancement</v>
      </c>
      <c r="W119" s="2" t="str">
        <f>_xlfn.LET(
    _xlpm.isObject, _xlfn.XLOOKUP($Q119,'EA-Fortescue_SDExport'!A:A,'EA-Fortescue_SDExport'!B:B),
    _xlpm.lookupKey, IF(_xlpm.isObject="Object",
        _xlfn.XLOOKUP($A119,'EA-ConnectorExport'!A:A,'EA-ConnectorExport'!D:D),
        $Q119
    ),
    _xlpm.result, _xlfn.XLOOKUP(_xlpm.lookupKey,'EA-Fortescue_SDExport'!A:A,'EA-Fortescue_SDExport'!AF:AF),
    IF(_xlpm.result=0,"",_xlpm.result)
)</f>
        <v>855DC-1543-008 Monarch</v>
      </c>
      <c r="X119" s="2" t="str">
        <f>_xlfn.LET(
    _xlpm.isObject, _xlfn.XLOOKUP($Q119,'EA-Fortescue_SDExport'!A:A,'EA-Fortescue_SDExport'!B:B),
    _xlpm.lookupKey, IF(_xlpm.isObject="Object",
        _xlfn.XLOOKUP($A119,'EA-ConnectorExport'!A:A,'EA-ConnectorExport'!D:D),
        $Q119
    ),
    _xlpm.result, _xlfn.XLOOKUP(_xlpm.lookupKey,'EA-Fortescue_SDExport'!A:A,'EA-Fortescue_SDExport'!AG:AG),
    IF(_xlpm.result=0,"",_xlpm.result)
)</f>
        <v/>
      </c>
      <c r="Y119" s="2" t="str">
        <f>_xlfn.LET(
    _xlpm.status, _xlfn.XLOOKUP($A119,'EA-ConnectorExport'!$A:$A,'EA-ConnectorExport'!G:G),
    _xlpm.result, _xlfn.XLOOKUP($A119,'EA-ConnectorExport'!$A:$A,'EA-ConnectorExport'!H:H),
    IF(_xlpm.status="allocate", _xlpm.result, "")
)</f>
        <v>855DC-1541-ECL-002 Online Security Constrained Unit Commitment (SCUC)</v>
      </c>
      <c r="Z119" s="2" t="str">
        <f>_xlfn.LET(
    _xlpm.isObject, _xlfn.XLOOKUP($Y119,'EA-Fortescue_SDExport'!A:A,'EA-Fortescue_SDExport'!B:B),
    _xlpm.lookupKey, IF(_xlpm.isObject="Object",
        _xlfn.XLOOKUP($A119,'EA-ConnectorExport'!A:A,'EA-ConnectorExport'!J:J),
        $Y119
    ),
    _xlpm.result, _xlfn.XLOOKUP(_xlpm.lookupKey,'EA-Fortescue_SDExport'!A:A,'EA-Fortescue_SDExport'!AA:AA),
    IF(_xlpm.result=0,"",_xlpm.result)
)</f>
        <v>Subsystem</v>
      </c>
      <c r="AA119" s="2" t="str">
        <f>_xlfn.LET(_xlpm.result, _xlfn.XLOOKUP($Y119,'EA-Fortescue_SDExport'!$A:$A,'EA-Fortescue_SDExport'!AB:AB), IF(_xlpm.result=0,"",_xlpm.result))</f>
        <v/>
      </c>
      <c r="AB119" s="2" t="str">
        <f>_xlfn.LET(_xlpm.result, _xlfn.XLOOKUP($Y119,'EA-Fortescue_SDExport'!$A:$A,'EA-Fortescue_SDExport'!AC:AC), IF(_xlpm.result=0,"",_xlpm.result))</f>
        <v/>
      </c>
      <c r="AC119" s="2" t="str">
        <f>_xlfn.LET(
    _xlpm.isObject, _xlfn.XLOOKUP($Y119,'EA-Fortescue_SDExport'!A:A,'EA-Fortescue_SDExport'!B:B),
    _xlpm.lookupKey, IF(_xlpm.isObject="Object",
        _xlfn.XLOOKUP($A119,'EA-ConnectorExport'!A:A,'EA-ConnectorExport'!J:J),
        $Y119
    ),
    _xlpm.result, _xlfn.XLOOKUP(_xlpm.lookupKey,'EA-Fortescue_SDExport'!A:A,'EA-Fortescue_SDExport'!AD:AD),
    IF(_xlpm.result=0,"",_xlpm.result)
)</f>
        <v>855DC Decarb Green Systems</v>
      </c>
      <c r="AD119" s="2" t="str">
        <f>_xlfn.LET(
    _xlpm.isObject, _xlfn.XLOOKUP($Y119,'EA-Fortescue_SDExport'!A:A,'EA-Fortescue_SDExport'!B:B),
    _xlpm.lookupKey, IF(_xlpm.isObject="Object",
        _xlfn.XLOOKUP($A119,'EA-ConnectorExport'!A:A,'EA-ConnectorExport'!J:J),
        $Y119
    ),
    _xlpm.result, _xlfn.XLOOKUP(_xlpm.lookupKey,'EA-Fortescue_SDExport'!A:A,'EA-Fortescue_SDExport'!AE:AE),
    IF(_xlpm.result=0,"",_xlpm.result)
)</f>
        <v>855DC-1541 Planning and Forecast Systems</v>
      </c>
      <c r="AE119" s="2" t="str">
        <f>_xlfn.LET(
    _xlpm.isObject, _xlfn.XLOOKUP($Y119,'EA-Fortescue_SDExport'!A:A,'EA-Fortescue_SDExport'!B:B),
    _xlpm.lookupKey, IF(_xlpm.isObject="Object",
        _xlfn.XLOOKUP($A119,'EA-ConnectorExport'!A:A,'EA-ConnectorExport'!J:J),
        $Y119
    ),
    _xlpm.result, _xlfn.XLOOKUP(_xlpm.lookupKey,'EA-Fortescue_SDExport'!A:A,'EA-Fortescue_SDExport'!AF:AF),
    IF(_xlpm.result=0,"",_xlpm.result)
)</f>
        <v>855DC-1541-ECL Eclipse</v>
      </c>
      <c r="AF119" s="2" t="str">
        <f>_xlfn.LET(
    _xlpm.isObject, _xlfn.XLOOKUP($Y119,'EA-Fortescue_SDExport'!A:A,'EA-Fortescue_SDExport'!B:B),
    _xlpm.lookupKey, IF(_xlpm.isObject="Object",
        _xlfn.XLOOKUP($A119,'EA-ConnectorExport'!A:A,'EA-ConnectorExport'!J:J),
        $Y119
    ),
    _xlpm.result, _xlfn.XLOOKUP(_xlpm.lookupKey,'EA-Fortescue_SDExport'!A:A,'EA-Fortescue_SDExport'!AG:AG),
    IF(_xlpm.result=0,"",_xlpm.result)
)</f>
        <v>855DC-1541-ECL-002 Online Security Constrained Unit Commitment (SCUC)</v>
      </c>
    </row>
    <row r="120" spans="1:32" ht="60" x14ac:dyDescent="0.25">
      <c r="A120" s="2" t="str">
        <v>DGS-I_0119</v>
      </c>
      <c r="B120" s="2" t="str">
        <f t="shared" si="4"/>
        <v>855DC-1541-ECL-001 Eclipse Planning|005OP-0000-002 ALF</v>
      </c>
      <c r="C120" s="2" t="str">
        <f>_xlfn.LET(_xlpm.result, _xlfn.XLOOKUP(A120,'EA-Fortescue_SDExport'!A:A,'EA-Fortescue_SDExport'!AM:AM), IF(_xlpm.result=0,"",_xlpm.result))</f>
        <v/>
      </c>
      <c r="D120" s="2" t="str">
        <f>_xlfn.LET(_xlpm.result, _xlfn.XLOOKUP(A120,'EA-Fortescue_SDExport'!A:A,'EA-Fortescue_SDExport'!AN:AN), IF(_xlpm.result=0,"",_xlpm.result))</f>
        <v/>
      </c>
      <c r="E120" s="2" t="str">
        <f>_xlfn.XLOOKUP(R120&amp;Z120,Lookups!A:A,Lookups!B:B)</f>
        <v>Project - Subsystem Interface</v>
      </c>
      <c r="F120" s="2" t="str">
        <f>_xlfn.LET(_xlpm.result, _xlfn.XLOOKUP(A120,'EA-Fortescue_SDExport'!A:A,'EA-Fortescue_SDExport'!AP:AP), IF(_xlpm.result=0,"",_xlpm.result))</f>
        <v>Technical-Data/Software</v>
      </c>
      <c r="G120" s="2" t="str">
        <f>IF(OR(AND(T120&lt;&gt;"", COUNTIF(Lookups!J:J, "*"&amp;T120&amp;"*")&gt;0), AND(AB120&lt;&gt;"", COUNTIF(Lookups!J:J, "*"&amp;AB120&amp;"*")&gt;0)), "Yes", "No")</f>
        <v>No</v>
      </c>
      <c r="H120" s="2" t="str">
        <f t="shared" si="5"/>
        <v>855DC Decarb Green Systems|005OP IT/OT Systems</v>
      </c>
      <c r="I120" s="2" t="str">
        <f t="shared" si="6"/>
        <v>855DC-1541 Planning and Forecast Systems|N/A</v>
      </c>
      <c r="J120" s="2" t="str">
        <f t="shared" si="7"/>
        <v>855DC-1541-ECL Eclipse|005OP-0000-002 ALF</v>
      </c>
      <c r="K120" s="2" t="str">
        <f>_xlfn.XLOOKUP(A120,'EA-Fortescue_SDExport'!A:A,'EA-Fortescue_SDExport'!N:N)</f>
        <v>Proposed</v>
      </c>
      <c r="L120" s="2" t="str">
        <f>_xlfn.LET(_xlpm.result, _xlfn.XLOOKUP($A120,'EA-Fortescue_SDExport'!$A:$A,'EA-Fortescue_SDExport'!AQ:AQ), IF(_xlpm.result=0,"",_xlpm.result))</f>
        <v>The purpose of this interface is to send train schedule data (from ALF, stored in a table in Snowflake) to the Eclipse database for short-term mine planning. This is identified as a future state development for Eclipse.</v>
      </c>
      <c r="M120" s="2" t="str">
        <f>_xlfn.LET(_xlpm.result, _xlfn.XLOOKUP($A120,'EA-Fortescue_SDExport'!$A:$A,'EA-Fortescue_SDExport'!AR:AR), IF(_xlpm.result=0,"",_xlpm.result))</f>
        <v>HIGH</v>
      </c>
      <c r="N120" s="2" t="str">
        <f>_xlfn.LET(_xlpm.result, _xlfn.XLOOKUP($A120,'EA-Fortescue_SDExport'!$A:$A,'EA-Fortescue_SDExport'!AW:AW), IF(_xlpm.result=0,"",_xlpm.result))</f>
        <v>The criticality is HIGH because train schedules materially influence short-term load forecasts and operational demand profiles used within the risk-aware optimisation process. Inaccurate or missing schedule data could result in misforecasted load, increased SOC reserve breach risk, inefficient gas nominations, or suboptimal commitment decisions affecting grid stability and production continuity.</v>
      </c>
      <c r="O120" s="2" t="str">
        <f>_xlfn.LET(_xlpm.result, _xlfn.XLOOKUP($A120,'EA-Fortescue_SDExport'!$A:$A,'EA-Fortescue_SDExport'!AV:AV), IF(_xlpm.result=0,"",_xlpm.result))</f>
        <v>Uni-directional -&gt; ALF -&gt; Snowflake -&gt; Eclipse</v>
      </c>
      <c r="P120" s="2" t="str">
        <f>_xlfn.LET(_xlpm.result, _xlfn.XLOOKUP($A120,'EA-Fortescue_SDExport'!$A:$A,'EA-Fortescue_SDExport'!D:D), IF(_xlpm.result=0,"",_xlpm.result))</f>
        <v>NH 25/02/2026: Fields updated:Interface Criticality Explanation</v>
      </c>
      <c r="Q120" s="2" t="str">
        <f>_xlfn.LET(
    _xlpm.status, _xlfn.XLOOKUP($A120,'EA-ConnectorExport'!$A:$A,'EA-ConnectorExport'!G:G),
    _xlpm.result, _xlfn.XLOOKUP($A120,'EA-ConnectorExport'!$A:$A,'EA-ConnectorExport'!B:B),
    IF(_xlpm.status="allocate", _xlpm.result, "")
)</f>
        <v>855DC-1541-ECL-001 Eclipse Planning</v>
      </c>
      <c r="R120" s="2" t="str">
        <f>IF(
    _xlfn.XLOOKUP($Q120,'EA-Fortescue_SDExport'!A:A,'EA-Fortescue_SDExport'!B:B)="Object",
    _xlfn.XLOOKUP(
        _xlfn.XLOOKUP($A120,'EA-ConnectorExport'!A:A,'EA-ConnectorExport'!D:D),
        'EA-Fortescue_SDExport'!A:A,
        'EA-Fortescue_SDExport'!AA:AA
    ),
    _xlfn.XLOOKUP($Q120,'EA-Fortescue_SDExport'!A:A,'EA-Fortescue_SDExport'!AA:AA)
)</f>
        <v>Subsystem</v>
      </c>
      <c r="S120" s="2" t="str">
        <f>_xlfn.LET(_xlpm.result, _xlfn.XLOOKUP($Q120,'EA-Fortescue_SDExport'!$A:$A,'EA-Fortescue_SDExport'!AB:AB), IF(_xlpm.result=0,"",_xlpm.result))</f>
        <v/>
      </c>
      <c r="T120" s="2" t="str">
        <f>_xlfn.LET(_xlpm.result, _xlfn.XLOOKUP($Q120,'EA-Fortescue_SDExport'!$A:$A,'EA-Fortescue_SDExport'!AC:AC), IF(_xlpm.result=0,"",_xlpm.result))</f>
        <v/>
      </c>
      <c r="U120" s="2" t="str">
        <f>_xlfn.LET(
    _xlpm.isObject, _xlfn.XLOOKUP($Q120,'EA-Fortescue_SDExport'!A:A,'EA-Fortescue_SDExport'!B:B),
    _xlpm.lookupKey, IF(_xlpm.isObject="Object",
        _xlfn.XLOOKUP($A120,'EA-ConnectorExport'!A:A,'EA-ConnectorExport'!D:D),
        $Q120
    ),
    _xlpm.result, _xlfn.XLOOKUP(_xlpm.lookupKey,'EA-Fortescue_SDExport'!A:A,'EA-Fortescue_SDExport'!AD:AD),
    IF(_xlpm.result=0,"",_xlpm.result)
)</f>
        <v>855DC Decarb Green Systems</v>
      </c>
      <c r="V120" s="2" t="str">
        <f>_xlfn.LET(
    _xlpm.isObject, _xlfn.XLOOKUP($Q120,'EA-Fortescue_SDExport'!A:A,'EA-Fortescue_SDExport'!B:B),
    _xlpm.lookupKey, IF(_xlpm.isObject="Object",
        _xlfn.XLOOKUP($A120,'EA-ConnectorExport'!A:A,'EA-ConnectorExport'!D:D),
        $Q120
    ),
    _xlpm.result, _xlfn.XLOOKUP(_xlpm.lookupKey,'EA-Fortescue_SDExport'!A:A,'EA-Fortescue_SDExport'!AE:AE),
    IF(_xlpm.result=0,"",_xlpm.result)
)</f>
        <v>855DC-1541 Planning and Forecast Systems</v>
      </c>
      <c r="W120" s="2" t="str">
        <f>_xlfn.LET(
    _xlpm.isObject, _xlfn.XLOOKUP($Q120,'EA-Fortescue_SDExport'!A:A,'EA-Fortescue_SDExport'!B:B),
    _xlpm.lookupKey, IF(_xlpm.isObject="Object",
        _xlfn.XLOOKUP($A120,'EA-ConnectorExport'!A:A,'EA-ConnectorExport'!D:D),
        $Q120
    ),
    _xlpm.result, _xlfn.XLOOKUP(_xlpm.lookupKey,'EA-Fortescue_SDExport'!A:A,'EA-Fortescue_SDExport'!AF:AF),
    IF(_xlpm.result=0,"",_xlpm.result)
)</f>
        <v>855DC-1541-ECL Eclipse</v>
      </c>
      <c r="X120" s="2" t="str">
        <f>_xlfn.LET(
    _xlpm.isObject, _xlfn.XLOOKUP($Q120,'EA-Fortescue_SDExport'!A:A,'EA-Fortescue_SDExport'!B:B),
    _xlpm.lookupKey, IF(_xlpm.isObject="Object",
        _xlfn.XLOOKUP($A120,'EA-ConnectorExport'!A:A,'EA-ConnectorExport'!D:D),
        $Q120
    ),
    _xlpm.result, _xlfn.XLOOKUP(_xlpm.lookupKey,'EA-Fortescue_SDExport'!A:A,'EA-Fortescue_SDExport'!AG:AG),
    IF(_xlpm.result=0,"",_xlpm.result)
)</f>
        <v>855DC-1541-ECL-001 Eclipse Planning</v>
      </c>
      <c r="Y120" s="2" t="str">
        <f>_xlfn.LET(
    _xlpm.status, _xlfn.XLOOKUP($A120,'EA-ConnectorExport'!$A:$A,'EA-ConnectorExport'!G:G),
    _xlpm.result, _xlfn.XLOOKUP($A120,'EA-ConnectorExport'!$A:$A,'EA-ConnectorExport'!H:H),
    IF(_xlpm.status="allocate", _xlpm.result, "")
)</f>
        <v>005OP-0000-002 ALF</v>
      </c>
      <c r="Z120" s="2" t="str">
        <f>_xlfn.LET(
    _xlpm.isObject, _xlfn.XLOOKUP($Y120,'EA-Fortescue_SDExport'!A:A,'EA-Fortescue_SDExport'!B:B),
    _xlpm.lookupKey, IF(_xlpm.isObject="Object",
        _xlfn.XLOOKUP($A120,'EA-ConnectorExport'!A:A,'EA-ConnectorExport'!J:J),
        $Y120
    ),
    _xlpm.result, _xlfn.XLOOKUP(_xlpm.lookupKey,'EA-Fortescue_SDExport'!A:A,'EA-Fortescue_SDExport'!AA:AA),
    IF(_xlpm.result=0,"",_xlpm.result)
)</f>
        <v>Project</v>
      </c>
      <c r="AA120" s="2" t="str">
        <f>_xlfn.LET(_xlpm.result, _xlfn.XLOOKUP($Y120,'EA-Fortescue_SDExport'!$A:$A,'EA-Fortescue_SDExport'!AB:AB), IF(_xlpm.result=0,"",_xlpm.result))</f>
        <v/>
      </c>
      <c r="AB120" s="2" t="str">
        <f>_xlfn.LET(_xlpm.result, _xlfn.XLOOKUP($Y120,'EA-Fortescue_SDExport'!$A:$A,'EA-Fortescue_SDExport'!AC:AC), IF(_xlpm.result=0,"",_xlpm.result))</f>
        <v/>
      </c>
      <c r="AC120" s="2" t="str">
        <f>_xlfn.LET(
    _xlpm.isObject, _xlfn.XLOOKUP($Y120,'EA-Fortescue_SDExport'!A:A,'EA-Fortescue_SDExport'!B:B),
    _xlpm.lookupKey, IF(_xlpm.isObject="Object",
        _xlfn.XLOOKUP($A120,'EA-ConnectorExport'!A:A,'EA-ConnectorExport'!J:J),
        $Y120
    ),
    _xlpm.result, _xlfn.XLOOKUP(_xlpm.lookupKey,'EA-Fortescue_SDExport'!A:A,'EA-Fortescue_SDExport'!AD:AD),
    IF(_xlpm.result=0,"",_xlpm.result)
)</f>
        <v>005OP IT/OT Systems</v>
      </c>
      <c r="AD120" s="2" t="str">
        <f>_xlfn.LET(
    _xlpm.isObject, _xlfn.XLOOKUP($Y120,'EA-Fortescue_SDExport'!A:A,'EA-Fortescue_SDExport'!B:B),
    _xlpm.lookupKey, IF(_xlpm.isObject="Object",
        _xlfn.XLOOKUP($A120,'EA-ConnectorExport'!A:A,'EA-ConnectorExport'!J:J),
        $Y120
    ),
    _xlpm.result, _xlfn.XLOOKUP(_xlpm.lookupKey,'EA-Fortescue_SDExport'!A:A,'EA-Fortescue_SDExport'!AE:AE),
    IF(_xlpm.result=0,"",_xlpm.result)
)</f>
        <v/>
      </c>
      <c r="AE120" s="2" t="str">
        <f>_xlfn.LET(
    _xlpm.isObject, _xlfn.XLOOKUP($Y120,'EA-Fortescue_SDExport'!A:A,'EA-Fortescue_SDExport'!B:B),
    _xlpm.lookupKey, IF(_xlpm.isObject="Object",
        _xlfn.XLOOKUP($A120,'EA-ConnectorExport'!A:A,'EA-ConnectorExport'!J:J),
        $Y120
    ),
    _xlpm.result, _xlfn.XLOOKUP(_xlpm.lookupKey,'EA-Fortescue_SDExport'!A:A,'EA-Fortescue_SDExport'!AF:AF),
    IF(_xlpm.result=0,"",_xlpm.result)
)</f>
        <v>005OP-0000-002 ALF</v>
      </c>
      <c r="AF120" s="2" t="str">
        <f>_xlfn.LET(
    _xlpm.isObject, _xlfn.XLOOKUP($Y120,'EA-Fortescue_SDExport'!A:A,'EA-Fortescue_SDExport'!B:B),
    _xlpm.lookupKey, IF(_xlpm.isObject="Object",
        _xlfn.XLOOKUP($A120,'EA-ConnectorExport'!A:A,'EA-ConnectorExport'!J:J),
        $Y120
    ),
    _xlpm.result, _xlfn.XLOOKUP(_xlpm.lookupKey,'EA-Fortescue_SDExport'!A:A,'EA-Fortescue_SDExport'!AG:AG),
    IF(_xlpm.result=0,"",_xlpm.result)
)</f>
        <v/>
      </c>
    </row>
    <row r="121" spans="1:32" ht="150" x14ac:dyDescent="0.25">
      <c r="A121" s="2" t="str">
        <v>DGS-I_0120</v>
      </c>
      <c r="B121" s="2" t="str">
        <f t="shared" si="4"/>
        <v>855DC-1541-ECL-001 Eclipse Planning|005OP-0000-003 FLO</v>
      </c>
      <c r="C121" s="2" t="str">
        <f>_xlfn.LET(_xlpm.result, _xlfn.XLOOKUP(A121,'EA-Fortescue_SDExport'!A:A,'EA-Fortescue_SDExport'!AM:AM), IF(_xlpm.result=0,"",_xlpm.result))</f>
        <v/>
      </c>
      <c r="D121" s="2" t="str">
        <f>_xlfn.LET(_xlpm.result, _xlfn.XLOOKUP(A121,'EA-Fortescue_SDExport'!A:A,'EA-Fortescue_SDExport'!AN:AN), IF(_xlpm.result=0,"",_xlpm.result))</f>
        <v/>
      </c>
      <c r="E121" s="2" t="str">
        <f>_xlfn.XLOOKUP(R121&amp;Z121,Lookups!A:A,Lookups!B:B)</f>
        <v>Project - Subsystem Interface</v>
      </c>
      <c r="F121" s="2" t="str">
        <f>_xlfn.LET(_xlpm.result, _xlfn.XLOOKUP(A121,'EA-Fortescue_SDExport'!A:A,'EA-Fortescue_SDExport'!AP:AP), IF(_xlpm.result=0,"",_xlpm.result))</f>
        <v>Functional-Operational</v>
      </c>
      <c r="G121" s="2" t="str">
        <f>IF(OR(AND(T121&lt;&gt;"", COUNTIF(Lookups!J:J, "*"&amp;T121&amp;"*")&gt;0), AND(AB121&lt;&gt;"", COUNTIF(Lookups!J:J, "*"&amp;AB121&amp;"*")&gt;0)), "Yes", "No")</f>
        <v>No</v>
      </c>
      <c r="H121" s="2" t="str">
        <f t="shared" si="5"/>
        <v>855DC Decarb Green Systems|005OP IT/OT Systems</v>
      </c>
      <c r="I121" s="2" t="str">
        <f t="shared" si="6"/>
        <v>855DC-1541 Planning and Forecast Systems|N/A</v>
      </c>
      <c r="J121" s="2" t="str">
        <f t="shared" si="7"/>
        <v>855DC-1541-ECL Eclipse|005OP-0000-003 FLO</v>
      </c>
      <c r="K121" s="2" t="str">
        <f>_xlfn.XLOOKUP(A121,'EA-Fortescue_SDExport'!A:A,'EA-Fortescue_SDExport'!N:N)</f>
        <v>Proposed</v>
      </c>
      <c r="L121" s="2" t="str">
        <f>_xlfn.LET(_xlpm.result, _xlfn.XLOOKUP($A121,'EA-Fortescue_SDExport'!$A:$A,'EA-Fortescue_SDExport'!AQ:AQ), IF(_xlpm.result=0,"",_xlpm.result))</f>
        <v>This interface links the high-level Planning system to FLO, enabling forecasts, production plans, or fleet usage expectations to be shared for optimisation or analysis.</v>
      </c>
      <c r="M121" s="2" t="str">
        <f>_xlfn.LET(_xlpm.result, _xlfn.XLOOKUP($A121,'EA-Fortescue_SDExport'!$A:$A,'EA-Fortescue_SDExport'!AR:AR), IF(_xlpm.result=0,"",_xlpm.result))</f>
        <v>LOW</v>
      </c>
      <c r="N121" s="2" t="str">
        <f>_xlfn.LET(_xlpm.result, _xlfn.XLOOKUP($A121,'EA-Fortescue_SDExport'!$A:$A,'EA-Fortescue_SDExport'!AW:AW), IF(_xlpm.result=0,"",_xlpm.result))</f>
        <v>The criticality level is LOW because failure at this interface does not impact real-time production, safety, or operational control. It only affects planning accuracy, and planning work can be done offline if needed.</v>
      </c>
      <c r="O121" s="2" t="str">
        <f>_xlfn.LET(_xlpm.result, _xlfn.XLOOKUP($A121,'EA-Fortescue_SDExport'!$A:$A,'EA-Fortescue_SDExport'!AV:AV), IF(_xlpm.result=0,"",_xlpm.result))</f>
        <v>Data Flow:_x000D_
855DC-1541 ECL Eclipse (Planning &amp; Forecast System) -&gt; 0050P-0000-003 FLO, transmitting production forecasts, fleet utilisation assumptions, operational plans, scheduling parameters, and optimisation inputs to support planning analysis and fleet usage modelling.</v>
      </c>
      <c r="P121" s="2" t="str">
        <f>_xlfn.LET(_xlpm.result, _xlfn.XLOOKUP($A121,'EA-Fortescue_SDExport'!$A:$A,'EA-Fortescue_SDExport'!D:D), IF(_xlpm.result=0,"",_xlpm.result))</f>
        <v>Interface Review 25/11/2025: FLO is the AI optimiser for ALF and scheduling._x000D_
NH 20/02/2026: Fields updated: Interface Flow.</v>
      </c>
      <c r="Q121" s="2" t="str">
        <f>_xlfn.LET(
    _xlpm.status, _xlfn.XLOOKUP($A121,'EA-ConnectorExport'!$A:$A,'EA-ConnectorExport'!G:G),
    _xlpm.result, _xlfn.XLOOKUP($A121,'EA-ConnectorExport'!$A:$A,'EA-ConnectorExport'!B:B),
    IF(_xlpm.status="allocate", _xlpm.result, "")
)</f>
        <v>855DC-1541-ECL-001 Eclipse Planning</v>
      </c>
      <c r="R121" s="2" t="str">
        <f>IF(
    _xlfn.XLOOKUP($Q121,'EA-Fortescue_SDExport'!A:A,'EA-Fortescue_SDExport'!B:B)="Object",
    _xlfn.XLOOKUP(
        _xlfn.XLOOKUP($A121,'EA-ConnectorExport'!A:A,'EA-ConnectorExport'!D:D),
        'EA-Fortescue_SDExport'!A:A,
        'EA-Fortescue_SDExport'!AA:AA
    ),
    _xlfn.XLOOKUP($Q121,'EA-Fortescue_SDExport'!A:A,'EA-Fortescue_SDExport'!AA:AA)
)</f>
        <v>Subsystem</v>
      </c>
      <c r="S121" s="2" t="str">
        <f>_xlfn.LET(_xlpm.result, _xlfn.XLOOKUP($Q121,'EA-Fortescue_SDExport'!$A:$A,'EA-Fortescue_SDExport'!AB:AB), IF(_xlpm.result=0,"",_xlpm.result))</f>
        <v/>
      </c>
      <c r="T121" s="2" t="str">
        <f>_xlfn.LET(_xlpm.result, _xlfn.XLOOKUP($Q121,'EA-Fortescue_SDExport'!$A:$A,'EA-Fortescue_SDExport'!AC:AC), IF(_xlpm.result=0,"",_xlpm.result))</f>
        <v/>
      </c>
      <c r="U121" s="2" t="str">
        <f>_xlfn.LET(
    _xlpm.isObject, _xlfn.XLOOKUP($Q121,'EA-Fortescue_SDExport'!A:A,'EA-Fortescue_SDExport'!B:B),
    _xlpm.lookupKey, IF(_xlpm.isObject="Object",
        _xlfn.XLOOKUP($A121,'EA-ConnectorExport'!A:A,'EA-ConnectorExport'!D:D),
        $Q121
    ),
    _xlpm.result, _xlfn.XLOOKUP(_xlpm.lookupKey,'EA-Fortescue_SDExport'!A:A,'EA-Fortescue_SDExport'!AD:AD),
    IF(_xlpm.result=0,"",_xlpm.result)
)</f>
        <v>855DC Decarb Green Systems</v>
      </c>
      <c r="V121" s="2" t="str">
        <f>_xlfn.LET(
    _xlpm.isObject, _xlfn.XLOOKUP($Q121,'EA-Fortescue_SDExport'!A:A,'EA-Fortescue_SDExport'!B:B),
    _xlpm.lookupKey, IF(_xlpm.isObject="Object",
        _xlfn.XLOOKUP($A121,'EA-ConnectorExport'!A:A,'EA-ConnectorExport'!D:D),
        $Q121
    ),
    _xlpm.result, _xlfn.XLOOKUP(_xlpm.lookupKey,'EA-Fortescue_SDExport'!A:A,'EA-Fortescue_SDExport'!AE:AE),
    IF(_xlpm.result=0,"",_xlpm.result)
)</f>
        <v>855DC-1541 Planning and Forecast Systems</v>
      </c>
      <c r="W121" s="2" t="str">
        <f>_xlfn.LET(
    _xlpm.isObject, _xlfn.XLOOKUP($Q121,'EA-Fortescue_SDExport'!A:A,'EA-Fortescue_SDExport'!B:B),
    _xlpm.lookupKey, IF(_xlpm.isObject="Object",
        _xlfn.XLOOKUP($A121,'EA-ConnectorExport'!A:A,'EA-ConnectorExport'!D:D),
        $Q121
    ),
    _xlpm.result, _xlfn.XLOOKUP(_xlpm.lookupKey,'EA-Fortescue_SDExport'!A:A,'EA-Fortescue_SDExport'!AF:AF),
    IF(_xlpm.result=0,"",_xlpm.result)
)</f>
        <v>855DC-1541-ECL Eclipse</v>
      </c>
      <c r="X121" s="2" t="str">
        <f>_xlfn.LET(
    _xlpm.isObject, _xlfn.XLOOKUP($Q121,'EA-Fortescue_SDExport'!A:A,'EA-Fortescue_SDExport'!B:B),
    _xlpm.lookupKey, IF(_xlpm.isObject="Object",
        _xlfn.XLOOKUP($A121,'EA-ConnectorExport'!A:A,'EA-ConnectorExport'!D:D),
        $Q121
    ),
    _xlpm.result, _xlfn.XLOOKUP(_xlpm.lookupKey,'EA-Fortescue_SDExport'!A:A,'EA-Fortescue_SDExport'!AG:AG),
    IF(_xlpm.result=0,"",_xlpm.result)
)</f>
        <v>855DC-1541-ECL-001 Eclipse Planning</v>
      </c>
      <c r="Y121" s="2" t="str">
        <f>_xlfn.LET(
    _xlpm.status, _xlfn.XLOOKUP($A121,'EA-ConnectorExport'!$A:$A,'EA-ConnectorExport'!G:G),
    _xlpm.result, _xlfn.XLOOKUP($A121,'EA-ConnectorExport'!$A:$A,'EA-ConnectorExport'!H:H),
    IF(_xlpm.status="allocate", _xlpm.result, "")
)</f>
        <v>005OP-0000-003 FLO</v>
      </c>
      <c r="Z121" s="2" t="str">
        <f>_xlfn.LET(
    _xlpm.isObject, _xlfn.XLOOKUP($Y121,'EA-Fortescue_SDExport'!A:A,'EA-Fortescue_SDExport'!B:B),
    _xlpm.lookupKey, IF(_xlpm.isObject="Object",
        _xlfn.XLOOKUP($A121,'EA-ConnectorExport'!A:A,'EA-ConnectorExport'!J:J),
        $Y121
    ),
    _xlpm.result, _xlfn.XLOOKUP(_xlpm.lookupKey,'EA-Fortescue_SDExport'!A:A,'EA-Fortescue_SDExport'!AA:AA),
    IF(_xlpm.result=0,"",_xlpm.result)
)</f>
        <v>Project</v>
      </c>
      <c r="AA121" s="2" t="str">
        <f>_xlfn.LET(_xlpm.result, _xlfn.XLOOKUP($Y121,'EA-Fortescue_SDExport'!$A:$A,'EA-Fortescue_SDExport'!AB:AB), IF(_xlpm.result=0,"",_xlpm.result))</f>
        <v/>
      </c>
      <c r="AB121" s="2" t="str">
        <f>_xlfn.LET(_xlpm.result, _xlfn.XLOOKUP($Y121,'EA-Fortescue_SDExport'!$A:$A,'EA-Fortescue_SDExport'!AC:AC), IF(_xlpm.result=0,"",_xlpm.result))</f>
        <v/>
      </c>
      <c r="AC121" s="2" t="str">
        <f>_xlfn.LET(
    _xlpm.isObject, _xlfn.XLOOKUP($Y121,'EA-Fortescue_SDExport'!A:A,'EA-Fortescue_SDExport'!B:B),
    _xlpm.lookupKey, IF(_xlpm.isObject="Object",
        _xlfn.XLOOKUP($A121,'EA-ConnectorExport'!A:A,'EA-ConnectorExport'!J:J),
        $Y121
    ),
    _xlpm.result, _xlfn.XLOOKUP(_xlpm.lookupKey,'EA-Fortescue_SDExport'!A:A,'EA-Fortescue_SDExport'!AD:AD),
    IF(_xlpm.result=0,"",_xlpm.result)
)</f>
        <v>005OP IT/OT Systems</v>
      </c>
      <c r="AD121" s="2" t="str">
        <f>_xlfn.LET(
    _xlpm.isObject, _xlfn.XLOOKUP($Y121,'EA-Fortescue_SDExport'!A:A,'EA-Fortescue_SDExport'!B:B),
    _xlpm.lookupKey, IF(_xlpm.isObject="Object",
        _xlfn.XLOOKUP($A121,'EA-ConnectorExport'!A:A,'EA-ConnectorExport'!J:J),
        $Y121
    ),
    _xlpm.result, _xlfn.XLOOKUP(_xlpm.lookupKey,'EA-Fortescue_SDExport'!A:A,'EA-Fortescue_SDExport'!AE:AE),
    IF(_xlpm.result=0,"",_xlpm.result)
)</f>
        <v/>
      </c>
      <c r="AE121" s="2" t="str">
        <f>_xlfn.LET(
    _xlpm.isObject, _xlfn.XLOOKUP($Y121,'EA-Fortescue_SDExport'!A:A,'EA-Fortescue_SDExport'!B:B),
    _xlpm.lookupKey, IF(_xlpm.isObject="Object",
        _xlfn.XLOOKUP($A121,'EA-ConnectorExport'!A:A,'EA-ConnectorExport'!J:J),
        $Y121
    ),
    _xlpm.result, _xlfn.XLOOKUP(_xlpm.lookupKey,'EA-Fortescue_SDExport'!A:A,'EA-Fortescue_SDExport'!AF:AF),
    IF(_xlpm.result=0,"",_xlpm.result)
)</f>
        <v>005OP-0000-003 FLO</v>
      </c>
      <c r="AF121" s="2" t="str">
        <f>_xlfn.LET(
    _xlpm.isObject, _xlfn.XLOOKUP($Y121,'EA-Fortescue_SDExport'!A:A,'EA-Fortescue_SDExport'!B:B),
    _xlpm.lookupKey, IF(_xlpm.isObject="Object",
        _xlfn.XLOOKUP($A121,'EA-ConnectorExport'!A:A,'EA-ConnectorExport'!J:J),
        $Y121
    ),
    _xlpm.result, _xlfn.XLOOKUP(_xlpm.lookupKey,'EA-Fortescue_SDExport'!A:A,'EA-Fortescue_SDExport'!AG:AG),
    IF(_xlpm.result=0,"",_xlpm.result)
)</f>
        <v/>
      </c>
    </row>
    <row r="122" spans="1:32" ht="300" x14ac:dyDescent="0.25">
      <c r="A122" s="2" t="str">
        <v>DGS-I_0121</v>
      </c>
      <c r="B122" s="2" t="str">
        <f t="shared" si="4"/>
        <v>855DC-1541-ECL-002 Online Security Constrained Unit Commitment (SCUC)|855DC-1541-DEL Delphi</v>
      </c>
      <c r="C122" s="2" t="str">
        <f>_xlfn.LET(_xlpm.result, _xlfn.XLOOKUP(A122,'EA-Fortescue_SDExport'!A:A,'EA-Fortescue_SDExport'!AM:AM), IF(_xlpm.result=0,"",_xlpm.result))</f>
        <v/>
      </c>
      <c r="D122" s="2" t="str">
        <f>_xlfn.LET(_xlpm.result, _xlfn.XLOOKUP(A122,'EA-Fortescue_SDExport'!A:A,'EA-Fortescue_SDExport'!AN:AN), IF(_xlpm.result=0,"",_xlpm.result))</f>
        <v/>
      </c>
      <c r="E122" s="2" t="str">
        <f>_xlfn.XLOOKUP(R122&amp;Z122,Lookups!A:A,Lookups!B:B)</f>
        <v>Project - Subsystem Interface</v>
      </c>
      <c r="F122" s="2" t="str">
        <f>_xlfn.LET(_xlpm.result, _xlfn.XLOOKUP(A122,'EA-Fortescue_SDExport'!A:A,'EA-Fortescue_SDExport'!AP:AP), IF(_xlpm.result=0,"",_xlpm.result))</f>
        <v>Technical-Data/Software</v>
      </c>
      <c r="G122" s="2" t="str">
        <f>IF(OR(AND(T122&lt;&gt;"", COUNTIF(Lookups!J:J, "*"&amp;T122&amp;"*")&gt;0), AND(AB122&lt;&gt;"", COUNTIF(Lookups!J:J, "*"&amp;AB122&amp;"*")&gt;0)), "Yes", "No")</f>
        <v>No</v>
      </c>
      <c r="H122" s="2" t="str">
        <f t="shared" si="5"/>
        <v>855DC Decarb Green Systems|855DC Decarb Green Systems</v>
      </c>
      <c r="I122" s="2" t="str">
        <f t="shared" si="6"/>
        <v>855DC-1541 Planning and Forecast Systems|855DC-1541 Planning and Forecast Systems</v>
      </c>
      <c r="J122" s="2" t="str">
        <f t="shared" si="7"/>
        <v>855DC-1541-ECL Eclipse|855DC-1541-DEL Delphi</v>
      </c>
      <c r="K122" s="2" t="str">
        <f>_xlfn.XLOOKUP(A122,'EA-Fortescue_SDExport'!A:A,'EA-Fortescue_SDExport'!N:N)</f>
        <v>Proposed</v>
      </c>
      <c r="L122" s="2" t="str">
        <f>_xlfn.LET(_xlpm.result, _xlfn.XLOOKUP($A122,'EA-Fortescue_SDExport'!$A:$A,'EA-Fortescue_SDExport'!AQ:AQ), IF(_xlpm.result=0,"",_xlpm.result))</f>
        <v>This interface enables bidirectional integration between the Online Security Constrained Unit Commitment (SCUC) and Delphi. Delphi provides time-aligned renewable generation forecasts, load forecasts, scenario ensembles, BESS SOC uncertainty data, and related planning signals to SCUC. SCUC returns committed near-term generator commitments, long-lead demand response notices, gas nomination and renomination recommendations, forward-looking SOC and linepack envelopes P10-P50-P90, risk indicators, trigger points, and operating mode classifications. The interface maintains forecast consistency, supports visualisation, and records decisions within the formal commitment ledger. The interface supports data exchange only and does not directly execute control actions.</v>
      </c>
      <c r="M122" s="2" t="str">
        <f>_xlfn.LET(_xlpm.result, _xlfn.XLOOKUP($A122,'EA-Fortescue_SDExport'!$A:$A,'EA-Fortescue_SDExport'!AR:AR), IF(_xlpm.result=0,"",_xlpm.result))</f>
        <v>HIGH</v>
      </c>
      <c r="N122" s="2" t="str">
        <f>_xlfn.LET(_xlpm.result, _xlfn.XLOOKUP($A122,'EA-Fortescue_SDExport'!$A:$A,'EA-Fortescue_SDExport'!AW:AW), IF(_xlpm.result=0,"",_xlpm.result))</f>
        <v>The criticality is HIGH because this interface connects the operational forecasting platform with the intra-shift risk-aware optimisation engine responsible for binding commitment decisions. Inaccurate, delayed, or inconsistent data exchange could result in incorrect generator commitments, gas nominations, SOC reserve breaches, or misalignment between planning and operations.</v>
      </c>
      <c r="O122" s="2" t="str">
        <f>_xlfn.LET(_xlpm.result, _xlfn.XLOOKUP($A122,'EA-Fortescue_SDExport'!$A:$A,'EA-Fortescue_SDExport'!AV:AV), IF(_xlpm.result=0,"",_xlpm.result))</f>
        <v>Online Security Constrained Unit Commitment (SCUC) &lt;-&gt; Delphi</v>
      </c>
      <c r="P122" s="2" t="str">
        <f>_xlfn.LET(_xlpm.result, _xlfn.XLOOKUP($A122,'EA-Fortescue_SDExport'!$A:$A,'EA-Fortescue_SDExport'!D:D), IF(_xlpm.result=0,"",_xlpm.result))</f>
        <v>Interface Review 25/11/2025: Delete (more eclipse)_x000D_
GSPContext 28/01/2026: Reinstated_x000D_
NH 18/02/2026: Fields updated: Interface Type, Interface Description (Interface Purpose), Interface Criticality, Interface Criticality Explanation, Interface Flow.</v>
      </c>
      <c r="Q122" s="2" t="str">
        <f>_xlfn.LET(
    _xlpm.status, _xlfn.XLOOKUP($A122,'EA-ConnectorExport'!$A:$A,'EA-ConnectorExport'!G:G),
    _xlpm.result, _xlfn.XLOOKUP($A122,'EA-ConnectorExport'!$A:$A,'EA-ConnectorExport'!B:B),
    IF(_xlpm.status="allocate", _xlpm.result, "")
)</f>
        <v>855DC-1541-ECL-002 Online Security Constrained Unit Commitment (SCUC)</v>
      </c>
      <c r="R122" s="2" t="str">
        <f>IF(
    _xlfn.XLOOKUP($Q122,'EA-Fortescue_SDExport'!A:A,'EA-Fortescue_SDExport'!B:B)="Object",
    _xlfn.XLOOKUP(
        _xlfn.XLOOKUP($A122,'EA-ConnectorExport'!A:A,'EA-ConnectorExport'!D:D),
        'EA-Fortescue_SDExport'!A:A,
        'EA-Fortescue_SDExport'!AA:AA
    ),
    _xlfn.XLOOKUP($Q122,'EA-Fortescue_SDExport'!A:A,'EA-Fortescue_SDExport'!AA:AA)
)</f>
        <v>Subsystem</v>
      </c>
      <c r="S122" s="2" t="str">
        <f>_xlfn.LET(_xlpm.result, _xlfn.XLOOKUP($Q122,'EA-Fortescue_SDExport'!$A:$A,'EA-Fortescue_SDExport'!AB:AB), IF(_xlpm.result=0,"",_xlpm.result))</f>
        <v/>
      </c>
      <c r="T122" s="2" t="str">
        <f>_xlfn.LET(_xlpm.result, _xlfn.XLOOKUP($Q122,'EA-Fortescue_SDExport'!$A:$A,'EA-Fortescue_SDExport'!AC:AC), IF(_xlpm.result=0,"",_xlpm.result))</f>
        <v/>
      </c>
      <c r="U122" s="2" t="str">
        <f>_xlfn.LET(
    _xlpm.isObject, _xlfn.XLOOKUP($Q122,'EA-Fortescue_SDExport'!A:A,'EA-Fortescue_SDExport'!B:B),
    _xlpm.lookupKey, IF(_xlpm.isObject="Object",
        _xlfn.XLOOKUP($A122,'EA-ConnectorExport'!A:A,'EA-ConnectorExport'!D:D),
        $Q122
    ),
    _xlpm.result, _xlfn.XLOOKUP(_xlpm.lookupKey,'EA-Fortescue_SDExport'!A:A,'EA-Fortescue_SDExport'!AD:AD),
    IF(_xlpm.result=0,"",_xlpm.result)
)</f>
        <v>855DC Decarb Green Systems</v>
      </c>
      <c r="V122" s="2" t="str">
        <f>_xlfn.LET(
    _xlpm.isObject, _xlfn.XLOOKUP($Q122,'EA-Fortescue_SDExport'!A:A,'EA-Fortescue_SDExport'!B:B),
    _xlpm.lookupKey, IF(_xlpm.isObject="Object",
        _xlfn.XLOOKUP($A122,'EA-ConnectorExport'!A:A,'EA-ConnectorExport'!D:D),
        $Q122
    ),
    _xlpm.result, _xlfn.XLOOKUP(_xlpm.lookupKey,'EA-Fortescue_SDExport'!A:A,'EA-Fortescue_SDExport'!AE:AE),
    IF(_xlpm.result=0,"",_xlpm.result)
)</f>
        <v>855DC-1541 Planning and Forecast Systems</v>
      </c>
      <c r="W122" s="2" t="str">
        <f>_xlfn.LET(
    _xlpm.isObject, _xlfn.XLOOKUP($Q122,'EA-Fortescue_SDExport'!A:A,'EA-Fortescue_SDExport'!B:B),
    _xlpm.lookupKey, IF(_xlpm.isObject="Object",
        _xlfn.XLOOKUP($A122,'EA-ConnectorExport'!A:A,'EA-ConnectorExport'!D:D),
        $Q122
    ),
    _xlpm.result, _xlfn.XLOOKUP(_xlpm.lookupKey,'EA-Fortescue_SDExport'!A:A,'EA-Fortescue_SDExport'!AF:AF),
    IF(_xlpm.result=0,"",_xlpm.result)
)</f>
        <v>855DC-1541-ECL Eclipse</v>
      </c>
      <c r="X122" s="2" t="str">
        <f>_xlfn.LET(
    _xlpm.isObject, _xlfn.XLOOKUP($Q122,'EA-Fortescue_SDExport'!A:A,'EA-Fortescue_SDExport'!B:B),
    _xlpm.lookupKey, IF(_xlpm.isObject="Object",
        _xlfn.XLOOKUP($A122,'EA-ConnectorExport'!A:A,'EA-ConnectorExport'!D:D),
        $Q122
    ),
    _xlpm.result, _xlfn.XLOOKUP(_xlpm.lookupKey,'EA-Fortescue_SDExport'!A:A,'EA-Fortescue_SDExport'!AG:AG),
    IF(_xlpm.result=0,"",_xlpm.result)
)</f>
        <v>855DC-1541-ECL-002 Online Security Constrained Unit Commitment (SCUC)</v>
      </c>
      <c r="Y122" s="2" t="str">
        <f>_xlfn.LET(
    _xlpm.status, _xlfn.XLOOKUP($A122,'EA-ConnectorExport'!$A:$A,'EA-ConnectorExport'!G:G),
    _xlpm.result, _xlfn.XLOOKUP($A122,'EA-ConnectorExport'!$A:$A,'EA-ConnectorExport'!H:H),
    IF(_xlpm.status="allocate", _xlpm.result, "")
)</f>
        <v>855DC-1541-DEL Delphi</v>
      </c>
      <c r="Z122" s="2" t="str">
        <f>_xlfn.LET(
    _xlpm.isObject, _xlfn.XLOOKUP($Y122,'EA-Fortescue_SDExport'!A:A,'EA-Fortescue_SDExport'!B:B),
    _xlpm.lookupKey, IF(_xlpm.isObject="Object",
        _xlfn.XLOOKUP($A122,'EA-ConnectorExport'!A:A,'EA-ConnectorExport'!J:J),
        $Y122
    ),
    _xlpm.result, _xlfn.XLOOKUP(_xlpm.lookupKey,'EA-Fortescue_SDExport'!A:A,'EA-Fortescue_SDExport'!AA:AA),
    IF(_xlpm.result=0,"",_xlpm.result)
)</f>
        <v>Project</v>
      </c>
      <c r="AA122" s="2" t="str">
        <f>_xlfn.LET(_xlpm.result, _xlfn.XLOOKUP($Y122,'EA-Fortescue_SDExport'!$A:$A,'EA-Fortescue_SDExport'!AB:AB), IF(_xlpm.result=0,"",_xlpm.result))</f>
        <v>Energy Operations</v>
      </c>
      <c r="AB122" s="2" t="str">
        <f>_xlfn.LET(_xlpm.result, _xlfn.XLOOKUP($Y122,'EA-Fortescue_SDExport'!$A:$A,'EA-Fortescue_SDExport'!AC:AC), IF(_xlpm.result=0,"",_xlpm.result))</f>
        <v/>
      </c>
      <c r="AC122" s="2" t="str">
        <f>_xlfn.LET(
    _xlpm.isObject, _xlfn.XLOOKUP($Y122,'EA-Fortescue_SDExport'!A:A,'EA-Fortescue_SDExport'!B:B),
    _xlpm.lookupKey, IF(_xlpm.isObject="Object",
        _xlfn.XLOOKUP($A122,'EA-ConnectorExport'!A:A,'EA-ConnectorExport'!J:J),
        $Y122
    ),
    _xlpm.result, _xlfn.XLOOKUP(_xlpm.lookupKey,'EA-Fortescue_SDExport'!A:A,'EA-Fortescue_SDExport'!AD:AD),
    IF(_xlpm.result=0,"",_xlpm.result)
)</f>
        <v>855DC Decarb Green Systems</v>
      </c>
      <c r="AD122" s="2" t="str">
        <f>_xlfn.LET(
    _xlpm.isObject, _xlfn.XLOOKUP($Y122,'EA-Fortescue_SDExport'!A:A,'EA-Fortescue_SDExport'!B:B),
    _xlpm.lookupKey, IF(_xlpm.isObject="Object",
        _xlfn.XLOOKUP($A122,'EA-ConnectorExport'!A:A,'EA-ConnectorExport'!J:J),
        $Y122
    ),
    _xlpm.result, _xlfn.XLOOKUP(_xlpm.lookupKey,'EA-Fortescue_SDExport'!A:A,'EA-Fortescue_SDExport'!AE:AE),
    IF(_xlpm.result=0,"",_xlpm.result)
)</f>
        <v>855DC-1541 Planning and Forecast Systems</v>
      </c>
      <c r="AE122" s="2" t="str">
        <f>_xlfn.LET(
    _xlpm.isObject, _xlfn.XLOOKUP($Y122,'EA-Fortescue_SDExport'!A:A,'EA-Fortescue_SDExport'!B:B),
    _xlpm.lookupKey, IF(_xlpm.isObject="Object",
        _xlfn.XLOOKUP($A122,'EA-ConnectorExport'!A:A,'EA-ConnectorExport'!J:J),
        $Y122
    ),
    _xlpm.result, _xlfn.XLOOKUP(_xlpm.lookupKey,'EA-Fortescue_SDExport'!A:A,'EA-Fortescue_SDExport'!AF:AF),
    IF(_xlpm.result=0,"",_xlpm.result)
)</f>
        <v>855DC-1541-DEL Delphi</v>
      </c>
      <c r="AF122" s="2" t="str">
        <f>_xlfn.LET(
    _xlpm.isObject, _xlfn.XLOOKUP($Y122,'EA-Fortescue_SDExport'!A:A,'EA-Fortescue_SDExport'!B:B),
    _xlpm.lookupKey, IF(_xlpm.isObject="Object",
        _xlfn.XLOOKUP($A122,'EA-ConnectorExport'!A:A,'EA-ConnectorExport'!J:J),
        $Y122
    ),
    _xlpm.result, _xlfn.XLOOKUP(_xlpm.lookupKey,'EA-Fortescue_SDExport'!A:A,'EA-Fortescue_SDExport'!AG:AG),
    IF(_xlpm.result=0,"",_xlpm.result)
)</f>
        <v/>
      </c>
    </row>
    <row r="123" spans="1:32" ht="210" x14ac:dyDescent="0.25">
      <c r="A123" s="2" t="str">
        <v>DGS-I_0122</v>
      </c>
      <c r="B123" s="2" t="str">
        <f t="shared" si="4"/>
        <v>005OP-0000-013 Cimplicity|855DC-1541-ECL-002 Online Security Constrained Unit Commitment (SCUC)</v>
      </c>
      <c r="C123" s="2" t="str">
        <f>_xlfn.LET(_xlpm.result, _xlfn.XLOOKUP(A123,'EA-Fortescue_SDExport'!A:A,'EA-Fortescue_SDExport'!AM:AM), IF(_xlpm.result=0,"",_xlpm.result))</f>
        <v/>
      </c>
      <c r="D123" s="2" t="str">
        <f>_xlfn.LET(_xlpm.result, _xlfn.XLOOKUP(A123,'EA-Fortescue_SDExport'!A:A,'EA-Fortescue_SDExport'!AN:AN), IF(_xlpm.result=0,"",_xlpm.result))</f>
        <v/>
      </c>
      <c r="E123" s="2" t="str">
        <f>_xlfn.XLOOKUP(R123&amp;Z123,Lookups!A:A,Lookups!B:B)</f>
        <v>Project - Subsystem Interface</v>
      </c>
      <c r="F123" s="2" t="str">
        <f>_xlfn.LET(_xlpm.result, _xlfn.XLOOKUP(A123,'EA-Fortescue_SDExport'!A:A,'EA-Fortescue_SDExport'!AP:AP), IF(_xlpm.result=0,"",_xlpm.result))</f>
        <v>Technical-Data/Software</v>
      </c>
      <c r="G123" s="2" t="str">
        <f>IF(OR(AND(T123&lt;&gt;"", COUNTIF(Lookups!J:J, "*"&amp;T123&amp;"*")&gt;0), AND(AB123&lt;&gt;"", COUNTIF(Lookups!J:J, "*"&amp;AB123&amp;"*")&gt;0)), "Yes", "No")</f>
        <v>No</v>
      </c>
      <c r="H123" s="2" t="str">
        <f t="shared" si="5"/>
        <v>005OP IT/OT Systems|855DC Decarb Green Systems</v>
      </c>
      <c r="I123" s="2" t="str">
        <f t="shared" si="6"/>
        <v>N/A|855DC-1541 Planning and Forecast Systems</v>
      </c>
      <c r="J123" s="2" t="str">
        <f t="shared" si="7"/>
        <v>005OP-0000-013 Cimplicity|855DC-1541-ECL Eclipse</v>
      </c>
      <c r="K123" s="2" t="str">
        <f>_xlfn.XLOOKUP(A123,'EA-Fortescue_SDExport'!A:A,'EA-Fortescue_SDExport'!N:N)</f>
        <v>Proposed</v>
      </c>
      <c r="L123" s="2" t="str">
        <f>_xlfn.LET(_xlpm.result, _xlfn.XLOOKUP($A123,'EA-Fortescue_SDExport'!$A:$A,'EA-Fortescue_SDExport'!AQ:AQ), IF(_xlpm.result=0,"",_xlpm.result))</f>
        <v>This interface feeds supervisory control and monitoring data from Cimplicity into SCUC to support informed energy scheduling decisions.</v>
      </c>
      <c r="M123" s="2" t="str">
        <f>_xlfn.LET(_xlpm.result, _xlfn.XLOOKUP($A123,'EA-Fortescue_SDExport'!$A:$A,'EA-Fortescue_SDExport'!AR:AR), IF(_xlpm.result=0,"",_xlpm.result))</f>
        <v>MEDIUM</v>
      </c>
      <c r="N123" s="2" t="str">
        <f>_xlfn.LET(_xlpm.result, _xlfn.XLOOKUP($A123,'EA-Fortescue_SDExport'!$A:$A,'EA-Fortescue_SDExport'!AW:AW), IF(_xlpm.result=0,"",_xlpm.result))</f>
        <v>The criticality level is MEDIUM because SCUC can operate with reduced accuracy, but a higher risk of selecting suboptimal unit commitments exists. This interface enhances situational awareness, but redundancy prevents a complete operational shutdown.</v>
      </c>
      <c r="O123" s="2" t="str">
        <f>_xlfn.LET(_xlpm.result, _xlfn.XLOOKUP($A123,'EA-Fortescue_SDExport'!$A:$A,'EA-Fortescue_SDExport'!AV:AV), IF(_xlpm.result=0,"",_xlpm.result))</f>
        <v>Data Flow: SCUC -&gt; Cimplicity  (supervisory monitoring data, generation status, load measurements, alarms, operational constraints) to support energy scheduling and unit commitment decisions.</v>
      </c>
      <c r="P123" s="2" t="str">
        <f>_xlfn.LET(_xlpm.result, _xlfn.XLOOKUP($A123,'EA-Fortescue_SDExport'!$A:$A,'EA-Fortescue_SDExport'!D:D), IF(_xlpm.result=0,"",_xlpm.result))</f>
        <v>Interface Review 25/11/2025: To be confirmed whether this functionality is required to stop a black out situation. Information from Eclipse would be sent through Engery Operations Cimplicity SCADA to slow OPF rates._x000D_
NH 20/02/2026: Fields updated: Interface Flow._x000D_
NH 25/02/2026: Fields updated: Interface Flow.</v>
      </c>
      <c r="Q123" s="2" t="str">
        <f>_xlfn.LET(
    _xlpm.status, _xlfn.XLOOKUP($A123,'EA-ConnectorExport'!$A:$A,'EA-ConnectorExport'!G:G),
    _xlpm.result, _xlfn.XLOOKUP($A123,'EA-ConnectorExport'!$A:$A,'EA-ConnectorExport'!B:B),
    IF(_xlpm.status="allocate", _xlpm.result, "")
)</f>
        <v>005OP-0000-013 Cimplicity</v>
      </c>
      <c r="R123" s="2" t="str">
        <f>IF(
    _xlfn.XLOOKUP($Q123,'EA-Fortescue_SDExport'!A:A,'EA-Fortescue_SDExport'!B:B)="Object",
    _xlfn.XLOOKUP(
        _xlfn.XLOOKUP($A123,'EA-ConnectorExport'!A:A,'EA-ConnectorExport'!D:D),
        'EA-Fortescue_SDExport'!A:A,
        'EA-Fortescue_SDExport'!AA:AA
    ),
    _xlfn.XLOOKUP($Q123,'EA-Fortescue_SDExport'!A:A,'EA-Fortescue_SDExport'!AA:AA)
)</f>
        <v>Project</v>
      </c>
      <c r="S123" s="2" t="str">
        <f>_xlfn.LET(_xlpm.result, _xlfn.XLOOKUP($Q123,'EA-Fortescue_SDExport'!$A:$A,'EA-Fortescue_SDExport'!AB:AB), IF(_xlpm.result=0,"",_xlpm.result))</f>
        <v/>
      </c>
      <c r="T123" s="2" t="str">
        <f>_xlfn.LET(_xlpm.result, _xlfn.XLOOKUP($Q123,'EA-Fortescue_SDExport'!$A:$A,'EA-Fortescue_SDExport'!AC:AC), IF(_xlpm.result=0,"",_xlpm.result))</f>
        <v/>
      </c>
      <c r="U123" s="2" t="str">
        <f>_xlfn.LET(
    _xlpm.isObject, _xlfn.XLOOKUP($Q123,'EA-Fortescue_SDExport'!A:A,'EA-Fortescue_SDExport'!B:B),
    _xlpm.lookupKey, IF(_xlpm.isObject="Object",
        _xlfn.XLOOKUP($A123,'EA-ConnectorExport'!A:A,'EA-ConnectorExport'!D:D),
        $Q123
    ),
    _xlpm.result, _xlfn.XLOOKUP(_xlpm.lookupKey,'EA-Fortescue_SDExport'!A:A,'EA-Fortescue_SDExport'!AD:AD),
    IF(_xlpm.result=0,"",_xlpm.result)
)</f>
        <v>005OP IT/OT Systems</v>
      </c>
      <c r="V123" s="2" t="str">
        <f>_xlfn.LET(
    _xlpm.isObject, _xlfn.XLOOKUP($Q123,'EA-Fortescue_SDExport'!A:A,'EA-Fortescue_SDExport'!B:B),
    _xlpm.lookupKey, IF(_xlpm.isObject="Object",
        _xlfn.XLOOKUP($A123,'EA-ConnectorExport'!A:A,'EA-ConnectorExport'!D:D),
        $Q123
    ),
    _xlpm.result, _xlfn.XLOOKUP(_xlpm.lookupKey,'EA-Fortescue_SDExport'!A:A,'EA-Fortescue_SDExport'!AE:AE),
    IF(_xlpm.result=0,"",_xlpm.result)
)</f>
        <v/>
      </c>
      <c r="W123" s="2" t="str">
        <f>_xlfn.LET(
    _xlpm.isObject, _xlfn.XLOOKUP($Q123,'EA-Fortescue_SDExport'!A:A,'EA-Fortescue_SDExport'!B:B),
    _xlpm.lookupKey, IF(_xlpm.isObject="Object",
        _xlfn.XLOOKUP($A123,'EA-ConnectorExport'!A:A,'EA-ConnectorExport'!D:D),
        $Q123
    ),
    _xlpm.result, _xlfn.XLOOKUP(_xlpm.lookupKey,'EA-Fortescue_SDExport'!A:A,'EA-Fortescue_SDExport'!AF:AF),
    IF(_xlpm.result=0,"",_xlpm.result)
)</f>
        <v>005OP-0000-013 Cimplicity</v>
      </c>
      <c r="X123" s="2" t="str">
        <f>_xlfn.LET(
    _xlpm.isObject, _xlfn.XLOOKUP($Q123,'EA-Fortescue_SDExport'!A:A,'EA-Fortescue_SDExport'!B:B),
    _xlpm.lookupKey, IF(_xlpm.isObject="Object",
        _xlfn.XLOOKUP($A123,'EA-ConnectorExport'!A:A,'EA-ConnectorExport'!D:D),
        $Q123
    ),
    _xlpm.result, _xlfn.XLOOKUP(_xlpm.lookupKey,'EA-Fortescue_SDExport'!A:A,'EA-Fortescue_SDExport'!AG:AG),
    IF(_xlpm.result=0,"",_xlpm.result)
)</f>
        <v/>
      </c>
      <c r="Y123" s="2" t="str">
        <f>_xlfn.LET(
    _xlpm.status, _xlfn.XLOOKUP($A123,'EA-ConnectorExport'!$A:$A,'EA-ConnectorExport'!G:G),
    _xlpm.result, _xlfn.XLOOKUP($A123,'EA-ConnectorExport'!$A:$A,'EA-ConnectorExport'!H:H),
    IF(_xlpm.status="allocate", _xlpm.result, "")
)</f>
        <v>855DC-1541-ECL-002 Online Security Constrained Unit Commitment (SCUC)</v>
      </c>
      <c r="Z123" s="2" t="str">
        <f>_xlfn.LET(
    _xlpm.isObject, _xlfn.XLOOKUP($Y123,'EA-Fortescue_SDExport'!A:A,'EA-Fortescue_SDExport'!B:B),
    _xlpm.lookupKey, IF(_xlpm.isObject="Object",
        _xlfn.XLOOKUP($A123,'EA-ConnectorExport'!A:A,'EA-ConnectorExport'!J:J),
        $Y123
    ),
    _xlpm.result, _xlfn.XLOOKUP(_xlpm.lookupKey,'EA-Fortescue_SDExport'!A:A,'EA-Fortescue_SDExport'!AA:AA),
    IF(_xlpm.result=0,"",_xlpm.result)
)</f>
        <v>Subsystem</v>
      </c>
      <c r="AA123" s="2" t="str">
        <f>_xlfn.LET(_xlpm.result, _xlfn.XLOOKUP($Y123,'EA-Fortescue_SDExport'!$A:$A,'EA-Fortescue_SDExport'!AB:AB), IF(_xlpm.result=0,"",_xlpm.result))</f>
        <v/>
      </c>
      <c r="AB123" s="2" t="str">
        <f>_xlfn.LET(_xlpm.result, _xlfn.XLOOKUP($Y123,'EA-Fortescue_SDExport'!$A:$A,'EA-Fortescue_SDExport'!AC:AC), IF(_xlpm.result=0,"",_xlpm.result))</f>
        <v/>
      </c>
      <c r="AC123" s="2" t="str">
        <f>_xlfn.LET(
    _xlpm.isObject, _xlfn.XLOOKUP($Y123,'EA-Fortescue_SDExport'!A:A,'EA-Fortescue_SDExport'!B:B),
    _xlpm.lookupKey, IF(_xlpm.isObject="Object",
        _xlfn.XLOOKUP($A123,'EA-ConnectorExport'!A:A,'EA-ConnectorExport'!J:J),
        $Y123
    ),
    _xlpm.result, _xlfn.XLOOKUP(_xlpm.lookupKey,'EA-Fortescue_SDExport'!A:A,'EA-Fortescue_SDExport'!AD:AD),
    IF(_xlpm.result=0,"",_xlpm.result)
)</f>
        <v>855DC Decarb Green Systems</v>
      </c>
      <c r="AD123" s="2" t="str">
        <f>_xlfn.LET(
    _xlpm.isObject, _xlfn.XLOOKUP($Y123,'EA-Fortescue_SDExport'!A:A,'EA-Fortescue_SDExport'!B:B),
    _xlpm.lookupKey, IF(_xlpm.isObject="Object",
        _xlfn.XLOOKUP($A123,'EA-ConnectorExport'!A:A,'EA-ConnectorExport'!J:J),
        $Y123
    ),
    _xlpm.result, _xlfn.XLOOKUP(_xlpm.lookupKey,'EA-Fortescue_SDExport'!A:A,'EA-Fortescue_SDExport'!AE:AE),
    IF(_xlpm.result=0,"",_xlpm.result)
)</f>
        <v>855DC-1541 Planning and Forecast Systems</v>
      </c>
      <c r="AE123" s="2" t="str">
        <f>_xlfn.LET(
    _xlpm.isObject, _xlfn.XLOOKUP($Y123,'EA-Fortescue_SDExport'!A:A,'EA-Fortescue_SDExport'!B:B),
    _xlpm.lookupKey, IF(_xlpm.isObject="Object",
        _xlfn.XLOOKUP($A123,'EA-ConnectorExport'!A:A,'EA-ConnectorExport'!J:J),
        $Y123
    ),
    _xlpm.result, _xlfn.XLOOKUP(_xlpm.lookupKey,'EA-Fortescue_SDExport'!A:A,'EA-Fortescue_SDExport'!AF:AF),
    IF(_xlpm.result=0,"",_xlpm.result)
)</f>
        <v>855DC-1541-ECL Eclipse</v>
      </c>
      <c r="AF123" s="2" t="str">
        <f>_xlfn.LET(
    _xlpm.isObject, _xlfn.XLOOKUP($Y123,'EA-Fortescue_SDExport'!A:A,'EA-Fortescue_SDExport'!B:B),
    _xlpm.lookupKey, IF(_xlpm.isObject="Object",
        _xlfn.XLOOKUP($A123,'EA-ConnectorExport'!A:A,'EA-ConnectorExport'!J:J),
        $Y123
    ),
    _xlpm.result, _xlfn.XLOOKUP(_xlpm.lookupKey,'EA-Fortescue_SDExport'!A:A,'EA-Fortescue_SDExport'!AG:AG),
    IF(_xlpm.result=0,"",_xlpm.result)
)</f>
        <v>855DC-1541-ECL-002 Online Security Constrained Unit Commitment (SCUC)</v>
      </c>
    </row>
    <row r="124" spans="1:32" ht="300" x14ac:dyDescent="0.25">
      <c r="A124" s="2" t="str">
        <v>DGS-I_0123</v>
      </c>
      <c r="B124" s="2" t="str">
        <f t="shared" si="4"/>
        <v>855DC-1543-PPC Pit Power Capacity Planning Tool - Capacity Check|005OP-0000-004-002 Alastri Production Scheduler (APS) / Alastri Tactical Scheduler (ATS)</v>
      </c>
      <c r="C124" s="2" t="str">
        <f>_xlfn.LET(_xlpm.result, _xlfn.XLOOKUP(A124,'EA-Fortescue_SDExport'!A:A,'EA-Fortescue_SDExport'!AM:AM), IF(_xlpm.result=0,"",_xlpm.result))</f>
        <v/>
      </c>
      <c r="D124" s="2" t="str">
        <f>_xlfn.LET(_xlpm.result, _xlfn.XLOOKUP(A124,'EA-Fortescue_SDExport'!A:A,'EA-Fortescue_SDExport'!AN:AN), IF(_xlpm.result=0,"",_xlpm.result))</f>
        <v/>
      </c>
      <c r="E124" s="2" t="str">
        <f>_xlfn.XLOOKUP(R124&amp;Z124,Lookups!A:A,Lookups!B:B)</f>
        <v>Project - Subsystem Interface</v>
      </c>
      <c r="F124" s="2" t="str">
        <f>_xlfn.LET(_xlpm.result, _xlfn.XLOOKUP(A124,'EA-Fortescue_SDExport'!A:A,'EA-Fortescue_SDExport'!AP:AP), IF(_xlpm.result=0,"",_xlpm.result))</f>
        <v>Technical - Data/Software</v>
      </c>
      <c r="G124" s="2" t="str">
        <f>IF(OR(AND(T124&lt;&gt;"", COUNTIF(Lookups!J:J, "*"&amp;T124&amp;"*")&gt;0), AND(AB124&lt;&gt;"", COUNTIF(Lookups!J:J, "*"&amp;AB124&amp;"*")&gt;0)), "Yes", "No")</f>
        <v>No</v>
      </c>
      <c r="H124" s="2" t="str">
        <f t="shared" si="5"/>
        <v>855DC Decarb Green Systems|005OP IT/OT Systems</v>
      </c>
      <c r="I124" s="2" t="str">
        <f t="shared" si="6"/>
        <v>N/A</v>
      </c>
      <c r="J124" s="2" t="str">
        <f t="shared" si="7"/>
        <v>855DC-1543-PPC Pit Power Capacity Planning Tool - Capacity Check|005OP-0000-004 Alastri</v>
      </c>
      <c r="K124" s="2" t="str">
        <f>_xlfn.XLOOKUP(A124,'EA-Fortescue_SDExport'!A:A,'EA-Fortescue_SDExport'!N:N)</f>
        <v>Proposed</v>
      </c>
      <c r="L124" s="2" t="str">
        <f>_xlfn.LET(_xlpm.result, _xlfn.XLOOKUP($A124,'EA-Fortescue_SDExport'!$A:$A,'EA-Fortescue_SDExport'!AQ:AQ), IF(_xlpm.result=0,"",_xlpm.result))</f>
        <v>This interface provides the Alastri Production Scheduler (APS) and Alastri Tactical Scheduler (ATS) with electrical load, peak demand, and network capacity data from the Pit Power Capacity Planning Tool - Capacity Check. APS/ATS uses this information to schedule production activities and sequences that remain within available pit power limits. This interface is read-only and does not control the Pit Power Capacity Planning Tool - Capacity Check.</v>
      </c>
      <c r="M124" s="2" t="str">
        <f>_xlfn.LET(_xlpm.result, _xlfn.XLOOKUP($A124,'EA-Fortescue_SDExport'!$A:$A,'EA-Fortescue_SDExport'!AR:AR), IF(_xlpm.result=0,"",_xlpm.result))</f>
        <v>HIGH</v>
      </c>
      <c r="N124" s="2" t="str">
        <f>_xlfn.LET(_xlpm.result, _xlfn.XLOOKUP($A124,'EA-Fortescue_SDExport'!$A:$A,'EA-Fortescue_SDExport'!AW:AW), IF(_xlpm.result=0,"",_xlpm.result))</f>
        <v>The criticality is HIGH because accurate power and load information is essential for APS/ATS to plan production without exceeding network capacity. Inaccurate or missing data could lead to unsafe operating conditions or production interruptions.</v>
      </c>
      <c r="O124" s="2" t="str">
        <f>_xlfn.LET(_xlpm.result, _xlfn.XLOOKUP($A124,'EA-Fortescue_SDExport'!$A:$A,'EA-Fortescue_SDExport'!AV:AV), IF(_xlpm.result=0,"",_xlpm.result))</f>
        <v>Pit Power Capacity Planning Tool - Capacity Check -&gt; APS/ATS</v>
      </c>
      <c r="P124" s="2" t="str">
        <f>_xlfn.LET(_xlpm.result, _xlfn.XLOOKUP($A124,'EA-Fortescue_SDExport'!$A:$A,'EA-Fortescue_SDExport'!D:D),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Q124" s="2" t="str">
        <f>_xlfn.LET(
    _xlpm.status, _xlfn.XLOOKUP($A124,'EA-ConnectorExport'!$A:$A,'EA-ConnectorExport'!G:G),
    _xlpm.result, _xlfn.XLOOKUP($A124,'EA-ConnectorExport'!$A:$A,'EA-ConnectorExport'!B:B),
    IF(_xlpm.status="allocate", _xlpm.result, "")
)</f>
        <v>855DC-1543-PPC Pit Power Capacity Planning Tool - Capacity Check</v>
      </c>
      <c r="R124" s="2" t="str">
        <f>IF(
    _xlfn.XLOOKUP($Q124,'EA-Fortescue_SDExport'!A:A,'EA-Fortescue_SDExport'!B:B)="Object",
    _xlfn.XLOOKUP(
        _xlfn.XLOOKUP($A124,'EA-ConnectorExport'!A:A,'EA-ConnectorExport'!D:D),
        'EA-Fortescue_SDExport'!A:A,
        'EA-Fortescue_SDExport'!AA:AA
    ),
    _xlfn.XLOOKUP($Q124,'EA-Fortescue_SDExport'!A:A,'EA-Fortescue_SDExport'!AA:AA)
)</f>
        <v>Project</v>
      </c>
      <c r="S124" s="2" t="str">
        <f>_xlfn.LET(_xlpm.result, _xlfn.XLOOKUP($Q124,'EA-Fortescue_SDExport'!$A:$A,'EA-Fortescue_SDExport'!AB:AB), IF(_xlpm.result=0,"",_xlpm.result))</f>
        <v>Operations Planning</v>
      </c>
      <c r="T124" s="2" t="str">
        <f>_xlfn.LET(_xlpm.result, _xlfn.XLOOKUP($Q124,'EA-Fortescue_SDExport'!$A:$A,'EA-Fortescue_SDExport'!AC:AC), IF(_xlpm.result=0,"",_xlpm.result))</f>
        <v>AWS Fortescue Infrastructure</v>
      </c>
      <c r="U124" s="2" t="str">
        <f>_xlfn.LET(
    _xlpm.isObject, _xlfn.XLOOKUP($Q124,'EA-Fortescue_SDExport'!A:A,'EA-Fortescue_SDExport'!B:B),
    _xlpm.lookupKey, IF(_xlpm.isObject="Object",
        _xlfn.XLOOKUP($A124,'EA-ConnectorExport'!A:A,'EA-ConnectorExport'!D:D),
        $Q124
    ),
    _xlpm.result, _xlfn.XLOOKUP(_xlpm.lookupKey,'EA-Fortescue_SDExport'!A:A,'EA-Fortescue_SDExport'!AD:AD),
    IF(_xlpm.result=0,"",_xlpm.result)
)</f>
        <v>855DC Decarb Green Systems</v>
      </c>
      <c r="V124" s="2" t="str">
        <f>_xlfn.LET(
    _xlpm.isObject, _xlfn.XLOOKUP($Q124,'EA-Fortescue_SDExport'!A:A,'EA-Fortescue_SDExport'!B:B),
    _xlpm.lookupKey, IF(_xlpm.isObject="Object",
        _xlfn.XLOOKUP($A124,'EA-ConnectorExport'!A:A,'EA-ConnectorExport'!D:D),
        $Q124
    ),
    _xlpm.result, _xlfn.XLOOKUP(_xlpm.lookupKey,'EA-Fortescue_SDExport'!A:A,'EA-Fortescue_SDExport'!AE:AE),
    IF(_xlpm.result=0,"",_xlpm.result)
)</f>
        <v/>
      </c>
      <c r="W124" s="2" t="str">
        <f>_xlfn.LET(
    _xlpm.isObject, _xlfn.XLOOKUP($Q124,'EA-Fortescue_SDExport'!A:A,'EA-Fortescue_SDExport'!B:B),
    _xlpm.lookupKey, IF(_xlpm.isObject="Object",
        _xlfn.XLOOKUP($A124,'EA-ConnectorExport'!A:A,'EA-ConnectorExport'!D:D),
        $Q124
    ),
    _xlpm.result, _xlfn.XLOOKUP(_xlpm.lookupKey,'EA-Fortescue_SDExport'!A:A,'EA-Fortescue_SDExport'!AF:AF),
    IF(_xlpm.result=0,"",_xlpm.result)
)</f>
        <v>855DC-1543-PPC Pit Power Capacity Planning Tool - Capacity Check</v>
      </c>
      <c r="X124" s="2" t="str">
        <f>_xlfn.LET(
    _xlpm.isObject, _xlfn.XLOOKUP($Q124,'EA-Fortescue_SDExport'!A:A,'EA-Fortescue_SDExport'!B:B),
    _xlpm.lookupKey, IF(_xlpm.isObject="Object",
        _xlfn.XLOOKUP($A124,'EA-ConnectorExport'!A:A,'EA-ConnectorExport'!D:D),
        $Q124
    ),
    _xlpm.result, _xlfn.XLOOKUP(_xlpm.lookupKey,'EA-Fortescue_SDExport'!A:A,'EA-Fortescue_SDExport'!AG:AG),
    IF(_xlpm.result=0,"",_xlpm.result)
)</f>
        <v/>
      </c>
      <c r="Y124" s="2" t="str">
        <f>_xlfn.LET(
    _xlpm.status, _xlfn.XLOOKUP($A124,'EA-ConnectorExport'!$A:$A,'EA-ConnectorExport'!G:G),
    _xlpm.result, _xlfn.XLOOKUP($A124,'EA-ConnectorExport'!$A:$A,'EA-ConnectorExport'!H:H),
    IF(_xlpm.status="allocate", _xlpm.result, "")
)</f>
        <v>005OP-0000-004-002 Alastri Production Scheduler (APS) / Alastri Tactical Scheduler (ATS)</v>
      </c>
      <c r="Z124" s="2" t="str">
        <f>_xlfn.LET(
    _xlpm.isObject, _xlfn.XLOOKUP($Y124,'EA-Fortescue_SDExport'!A:A,'EA-Fortescue_SDExport'!B:B),
    _xlpm.lookupKey, IF(_xlpm.isObject="Object",
        _xlfn.XLOOKUP($A124,'EA-ConnectorExport'!A:A,'EA-ConnectorExport'!J:J),
        $Y124
    ),
    _xlpm.result, _xlfn.XLOOKUP(_xlpm.lookupKey,'EA-Fortescue_SDExport'!A:A,'EA-Fortescue_SDExport'!AA:AA),
    IF(_xlpm.result=0,"",_xlpm.result)
)</f>
        <v>Subsystem</v>
      </c>
      <c r="AA124" s="2" t="str">
        <f>_xlfn.LET(_xlpm.result, _xlfn.XLOOKUP($Y124,'EA-Fortescue_SDExport'!$A:$A,'EA-Fortescue_SDExport'!AB:AB), IF(_xlpm.result=0,"",_xlpm.result))</f>
        <v/>
      </c>
      <c r="AB124" s="2" t="str">
        <f>_xlfn.LET(_xlpm.result, _xlfn.XLOOKUP($Y124,'EA-Fortescue_SDExport'!$A:$A,'EA-Fortescue_SDExport'!AC:AC), IF(_xlpm.result=0,"",_xlpm.result))</f>
        <v/>
      </c>
      <c r="AC124" s="2" t="str">
        <f>_xlfn.LET(
    _xlpm.isObject, _xlfn.XLOOKUP($Y124,'EA-Fortescue_SDExport'!A:A,'EA-Fortescue_SDExport'!B:B),
    _xlpm.lookupKey, IF(_xlpm.isObject="Object",
        _xlfn.XLOOKUP($A124,'EA-ConnectorExport'!A:A,'EA-ConnectorExport'!J:J),
        $Y124
    ),
    _xlpm.result, _xlfn.XLOOKUP(_xlpm.lookupKey,'EA-Fortescue_SDExport'!A:A,'EA-Fortescue_SDExport'!AD:AD),
    IF(_xlpm.result=0,"",_xlpm.result)
)</f>
        <v>005OP IT/OT Systems</v>
      </c>
      <c r="AD124" s="2" t="str">
        <f>_xlfn.LET(
    _xlpm.isObject, _xlfn.XLOOKUP($Y124,'EA-Fortescue_SDExport'!A:A,'EA-Fortescue_SDExport'!B:B),
    _xlpm.lookupKey, IF(_xlpm.isObject="Object",
        _xlfn.XLOOKUP($A124,'EA-ConnectorExport'!A:A,'EA-ConnectorExport'!J:J),
        $Y124
    ),
    _xlpm.result, _xlfn.XLOOKUP(_xlpm.lookupKey,'EA-Fortescue_SDExport'!A:A,'EA-Fortescue_SDExport'!AE:AE),
    IF(_xlpm.result=0,"",_xlpm.result)
)</f>
        <v/>
      </c>
      <c r="AE124" s="2" t="str">
        <f>_xlfn.LET(
    _xlpm.isObject, _xlfn.XLOOKUP($Y124,'EA-Fortescue_SDExport'!A:A,'EA-Fortescue_SDExport'!B:B),
    _xlpm.lookupKey, IF(_xlpm.isObject="Object",
        _xlfn.XLOOKUP($A124,'EA-ConnectorExport'!A:A,'EA-ConnectorExport'!J:J),
        $Y124
    ),
    _xlpm.result, _xlfn.XLOOKUP(_xlpm.lookupKey,'EA-Fortescue_SDExport'!A:A,'EA-Fortescue_SDExport'!AF:AF),
    IF(_xlpm.result=0,"",_xlpm.result)
)</f>
        <v>005OP-0000-004 Alastri</v>
      </c>
      <c r="AF124" s="2" t="str">
        <f>_xlfn.LET(
    _xlpm.isObject, _xlfn.XLOOKUP($Y124,'EA-Fortescue_SDExport'!A:A,'EA-Fortescue_SDExport'!B:B),
    _xlpm.lookupKey, IF(_xlpm.isObject="Object",
        _xlfn.XLOOKUP($A124,'EA-ConnectorExport'!A:A,'EA-ConnectorExport'!J:J),
        $Y124
    ),
    _xlpm.result, _xlfn.XLOOKUP(_xlpm.lookupKey,'EA-Fortescue_SDExport'!A:A,'EA-Fortescue_SDExport'!AG:AG),
    IF(_xlpm.result=0,"",_xlpm.result)
)</f>
        <v>005OP-0000-004-002 Alastri Production Scheduler (APS)</v>
      </c>
    </row>
    <row r="125" spans="1:32" ht="285" x14ac:dyDescent="0.25">
      <c r="A125" s="2" t="str">
        <v>DGS-I_0124</v>
      </c>
      <c r="B125" s="2" t="str">
        <f t="shared" si="4"/>
        <v>855DC-1543-PPC Pit Power Capacity Planning Tool - Capacity Check|Archive - 005OP-0000-004-003 Alastri Tactical Scheduler (ATS)</v>
      </c>
      <c r="C125" s="2" t="str">
        <f>_xlfn.LET(_xlpm.result, _xlfn.XLOOKUP(A125,'EA-Fortescue_SDExport'!A:A,'EA-Fortescue_SDExport'!AM:AM), IF(_xlpm.result=0,"",_xlpm.result))</f>
        <v/>
      </c>
      <c r="D125" s="2" t="str">
        <f>_xlfn.LET(_xlpm.result, _xlfn.XLOOKUP(A125,'EA-Fortescue_SDExport'!A:A,'EA-Fortescue_SDExport'!AN:AN), IF(_xlpm.result=0,"",_xlpm.result))</f>
        <v/>
      </c>
      <c r="E125" s="2" t="str">
        <f>_xlfn.XLOOKUP(R125&amp;Z125,Lookups!A:A,Lookups!B:B)</f>
        <v>Project - Subsystem Interface</v>
      </c>
      <c r="F125" s="2" t="str">
        <f>_xlfn.LET(_xlpm.result, _xlfn.XLOOKUP(A125,'EA-Fortescue_SDExport'!A:A,'EA-Fortescue_SDExport'!AP:AP), IF(_xlpm.result=0,"",_xlpm.result))</f>
        <v/>
      </c>
      <c r="G125" s="2" t="str">
        <f>IF(OR(AND(T125&lt;&gt;"", COUNTIF(Lookups!J:J, "*"&amp;T125&amp;"*")&gt;0), AND(AB125&lt;&gt;"", COUNTIF(Lookups!J:J, "*"&amp;AB125&amp;"*")&gt;0)), "Yes", "No")</f>
        <v>No</v>
      </c>
      <c r="H125" s="2" t="str">
        <f t="shared" si="5"/>
        <v>855DC Decarb Green Systems|005OP IT/OT Systems</v>
      </c>
      <c r="I125" s="2" t="str">
        <f t="shared" si="6"/>
        <v>N/A</v>
      </c>
      <c r="J125" s="2" t="str">
        <f t="shared" si="7"/>
        <v>855DC-1543-PPC Pit Power Capacity Planning Tool - Capacity Check|005OP-0000-004 Alastri</v>
      </c>
      <c r="K125" s="2" t="str">
        <f>_xlfn.XLOOKUP(A125,'EA-Fortescue_SDExport'!A:A,'EA-Fortescue_SDExport'!N:N)</f>
        <v>Deleted</v>
      </c>
      <c r="L125" s="2" t="str">
        <f>_xlfn.LET(_xlpm.result, _xlfn.XLOOKUP($A125,'EA-Fortescue_SDExport'!$A:$A,'EA-Fortescue_SDExport'!AQ:AQ), IF(_xlpm.result=0,"",_xlpm.result))</f>
        <v/>
      </c>
      <c r="M125" s="2" t="str">
        <f>_xlfn.LET(_xlpm.result, _xlfn.XLOOKUP($A125,'EA-Fortescue_SDExport'!$A:$A,'EA-Fortescue_SDExport'!AR:AR), IF(_xlpm.result=0,"",_xlpm.result))</f>
        <v/>
      </c>
      <c r="N125" s="2" t="str">
        <f>_xlfn.LET(_xlpm.result, _xlfn.XLOOKUP($A125,'EA-Fortescue_SDExport'!$A:$A,'EA-Fortescue_SDExport'!AW:AW), IF(_xlpm.result=0,"",_xlpm.result))</f>
        <v/>
      </c>
      <c r="O125" s="2" t="str">
        <f>_xlfn.LET(_xlpm.result, _xlfn.XLOOKUP($A125,'EA-Fortescue_SDExport'!$A:$A,'EA-Fortescue_SDExport'!AV:AV), IF(_xlpm.result=0,"",_xlpm.result))</f>
        <v/>
      </c>
      <c r="P125" s="2" t="str">
        <f>_xlfn.LET(_xlpm.result, _xlfn.XLOOKUP($A125,'EA-Fortescue_SDExport'!$A:$A,'EA-Fortescue_SDExport'!D:D),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DocStack-SAComparison_Delphi 18/02/2026: APS and ATS to be combined - Interface deleted.</v>
      </c>
      <c r="Q125" s="2" t="str">
        <f>_xlfn.LET(
    _xlpm.status, _xlfn.XLOOKUP($A125,'EA-ConnectorExport'!$A:$A,'EA-ConnectorExport'!G:G),
    _xlpm.result, _xlfn.XLOOKUP($A125,'EA-ConnectorExport'!$A:$A,'EA-ConnectorExport'!B:B),
    IF(_xlpm.status="allocate", _xlpm.result, "")
)</f>
        <v>855DC-1543-PPC Pit Power Capacity Planning Tool - Capacity Check</v>
      </c>
      <c r="R125" s="2" t="str">
        <f>IF(
    _xlfn.XLOOKUP($Q125,'EA-Fortescue_SDExport'!A:A,'EA-Fortescue_SDExport'!B:B)="Object",
    _xlfn.XLOOKUP(
        _xlfn.XLOOKUP($A125,'EA-ConnectorExport'!A:A,'EA-ConnectorExport'!D:D),
        'EA-Fortescue_SDExport'!A:A,
        'EA-Fortescue_SDExport'!AA:AA
    ),
    _xlfn.XLOOKUP($Q125,'EA-Fortescue_SDExport'!A:A,'EA-Fortescue_SDExport'!AA:AA)
)</f>
        <v>Project</v>
      </c>
      <c r="S125" s="2" t="str">
        <f>_xlfn.LET(_xlpm.result, _xlfn.XLOOKUP($Q125,'EA-Fortescue_SDExport'!$A:$A,'EA-Fortescue_SDExport'!AB:AB), IF(_xlpm.result=0,"",_xlpm.result))</f>
        <v>Operations Planning</v>
      </c>
      <c r="T125" s="2" t="str">
        <f>_xlfn.LET(_xlpm.result, _xlfn.XLOOKUP($Q125,'EA-Fortescue_SDExport'!$A:$A,'EA-Fortescue_SDExport'!AC:AC), IF(_xlpm.result=0,"",_xlpm.result))</f>
        <v>AWS Fortescue Infrastructure</v>
      </c>
      <c r="U125" s="2" t="str">
        <f>_xlfn.LET(
    _xlpm.isObject, _xlfn.XLOOKUP($Q125,'EA-Fortescue_SDExport'!A:A,'EA-Fortescue_SDExport'!B:B),
    _xlpm.lookupKey, IF(_xlpm.isObject="Object",
        _xlfn.XLOOKUP($A125,'EA-ConnectorExport'!A:A,'EA-ConnectorExport'!D:D),
        $Q125
    ),
    _xlpm.result, _xlfn.XLOOKUP(_xlpm.lookupKey,'EA-Fortescue_SDExport'!A:A,'EA-Fortescue_SDExport'!AD:AD),
    IF(_xlpm.result=0,"",_xlpm.result)
)</f>
        <v>855DC Decarb Green Systems</v>
      </c>
      <c r="V125" s="2" t="str">
        <f>_xlfn.LET(
    _xlpm.isObject, _xlfn.XLOOKUP($Q125,'EA-Fortescue_SDExport'!A:A,'EA-Fortescue_SDExport'!B:B),
    _xlpm.lookupKey, IF(_xlpm.isObject="Object",
        _xlfn.XLOOKUP($A125,'EA-ConnectorExport'!A:A,'EA-ConnectorExport'!D:D),
        $Q125
    ),
    _xlpm.result, _xlfn.XLOOKUP(_xlpm.lookupKey,'EA-Fortescue_SDExport'!A:A,'EA-Fortescue_SDExport'!AE:AE),
    IF(_xlpm.result=0,"",_xlpm.result)
)</f>
        <v/>
      </c>
      <c r="W125" s="2" t="str">
        <f>_xlfn.LET(
    _xlpm.isObject, _xlfn.XLOOKUP($Q125,'EA-Fortescue_SDExport'!A:A,'EA-Fortescue_SDExport'!B:B),
    _xlpm.lookupKey, IF(_xlpm.isObject="Object",
        _xlfn.XLOOKUP($A125,'EA-ConnectorExport'!A:A,'EA-ConnectorExport'!D:D),
        $Q125
    ),
    _xlpm.result, _xlfn.XLOOKUP(_xlpm.lookupKey,'EA-Fortescue_SDExport'!A:A,'EA-Fortescue_SDExport'!AF:AF),
    IF(_xlpm.result=0,"",_xlpm.result)
)</f>
        <v>855DC-1543-PPC Pit Power Capacity Planning Tool - Capacity Check</v>
      </c>
      <c r="X125" s="2" t="str">
        <f>_xlfn.LET(
    _xlpm.isObject, _xlfn.XLOOKUP($Q125,'EA-Fortescue_SDExport'!A:A,'EA-Fortescue_SDExport'!B:B),
    _xlpm.lookupKey, IF(_xlpm.isObject="Object",
        _xlfn.XLOOKUP($A125,'EA-ConnectorExport'!A:A,'EA-ConnectorExport'!D:D),
        $Q125
    ),
    _xlpm.result, _xlfn.XLOOKUP(_xlpm.lookupKey,'EA-Fortescue_SDExport'!A:A,'EA-Fortescue_SDExport'!AG:AG),
    IF(_xlpm.result=0,"",_xlpm.result)
)</f>
        <v/>
      </c>
      <c r="Y125" s="2" t="str">
        <f>_xlfn.LET(
    _xlpm.status, _xlfn.XLOOKUP($A125,'EA-ConnectorExport'!$A:$A,'EA-ConnectorExport'!G:G),
    _xlpm.result, _xlfn.XLOOKUP($A125,'EA-ConnectorExport'!$A:$A,'EA-ConnectorExport'!H:H),
    IF(_xlpm.status="allocate", _xlpm.result, "")
)</f>
        <v>Archive - 005OP-0000-004-003 Alastri Tactical Scheduler (ATS)</v>
      </c>
      <c r="Z125" s="2" t="str">
        <f>_xlfn.LET(
    _xlpm.isObject, _xlfn.XLOOKUP($Y125,'EA-Fortescue_SDExport'!A:A,'EA-Fortescue_SDExport'!B:B),
    _xlpm.lookupKey, IF(_xlpm.isObject="Object",
        _xlfn.XLOOKUP($A125,'EA-ConnectorExport'!A:A,'EA-ConnectorExport'!J:J),
        $Y125
    ),
    _xlpm.result, _xlfn.XLOOKUP(_xlpm.lookupKey,'EA-Fortescue_SDExport'!A:A,'EA-Fortescue_SDExport'!AA:AA),
    IF(_xlpm.result=0,"",_xlpm.result)
)</f>
        <v>Subsystem</v>
      </c>
      <c r="AA125" s="2" t="str">
        <f>_xlfn.LET(_xlpm.result, _xlfn.XLOOKUP($Y125,'EA-Fortescue_SDExport'!$A:$A,'EA-Fortescue_SDExport'!AB:AB), IF(_xlpm.result=0,"",_xlpm.result))</f>
        <v/>
      </c>
      <c r="AB125" s="2" t="str">
        <f>_xlfn.LET(_xlpm.result, _xlfn.XLOOKUP($Y125,'EA-Fortescue_SDExport'!$A:$A,'EA-Fortescue_SDExport'!AC:AC), IF(_xlpm.result=0,"",_xlpm.result))</f>
        <v/>
      </c>
      <c r="AC125" s="2" t="str">
        <f>_xlfn.LET(
    _xlpm.isObject, _xlfn.XLOOKUP($Y125,'EA-Fortescue_SDExport'!A:A,'EA-Fortescue_SDExport'!B:B),
    _xlpm.lookupKey, IF(_xlpm.isObject="Object",
        _xlfn.XLOOKUP($A125,'EA-ConnectorExport'!A:A,'EA-ConnectorExport'!J:J),
        $Y125
    ),
    _xlpm.result, _xlfn.XLOOKUP(_xlpm.lookupKey,'EA-Fortescue_SDExport'!A:A,'EA-Fortescue_SDExport'!AD:AD),
    IF(_xlpm.result=0,"",_xlpm.result)
)</f>
        <v>005OP IT/OT Systems</v>
      </c>
      <c r="AD125" s="2" t="str">
        <f>_xlfn.LET(
    _xlpm.isObject, _xlfn.XLOOKUP($Y125,'EA-Fortescue_SDExport'!A:A,'EA-Fortescue_SDExport'!B:B),
    _xlpm.lookupKey, IF(_xlpm.isObject="Object",
        _xlfn.XLOOKUP($A125,'EA-ConnectorExport'!A:A,'EA-ConnectorExport'!J:J),
        $Y125
    ),
    _xlpm.result, _xlfn.XLOOKUP(_xlpm.lookupKey,'EA-Fortescue_SDExport'!A:A,'EA-Fortescue_SDExport'!AE:AE),
    IF(_xlpm.result=0,"",_xlpm.result)
)</f>
        <v/>
      </c>
      <c r="AE125" s="2" t="str">
        <f>_xlfn.LET(
    _xlpm.isObject, _xlfn.XLOOKUP($Y125,'EA-Fortescue_SDExport'!A:A,'EA-Fortescue_SDExport'!B:B),
    _xlpm.lookupKey, IF(_xlpm.isObject="Object",
        _xlfn.XLOOKUP($A125,'EA-ConnectorExport'!A:A,'EA-ConnectorExport'!J:J),
        $Y125
    ),
    _xlpm.result, _xlfn.XLOOKUP(_xlpm.lookupKey,'EA-Fortescue_SDExport'!A:A,'EA-Fortescue_SDExport'!AF:AF),
    IF(_xlpm.result=0,"",_xlpm.result)
)</f>
        <v>005OP-0000-004 Alastri</v>
      </c>
      <c r="AF125" s="2" t="str">
        <f>_xlfn.LET(
    _xlpm.isObject, _xlfn.XLOOKUP($Y125,'EA-Fortescue_SDExport'!A:A,'EA-Fortescue_SDExport'!B:B),
    _xlpm.lookupKey, IF(_xlpm.isObject="Object",
        _xlfn.XLOOKUP($A125,'EA-ConnectorExport'!A:A,'EA-ConnectorExport'!J:J),
        $Y125
    ),
    _xlpm.result, _xlfn.XLOOKUP(_xlpm.lookupKey,'EA-Fortescue_SDExport'!A:A,'EA-Fortescue_SDExport'!AG:AG),
    IF(_xlpm.result=0,"",_xlpm.result)
)</f>
        <v>005OP-0000-004-003 Alastri Tactical Scheduler (ATS)</v>
      </c>
    </row>
    <row r="126" spans="1:32" ht="165" x14ac:dyDescent="0.25">
      <c r="A126" s="2" t="str">
        <v>DGS-I_0125</v>
      </c>
      <c r="B126" s="2" t="str">
        <f t="shared" si="4"/>
        <v>850DC-1512-0001 HME Chargers - Gen1|859DC-1410-001-001 HaulX Dispatch (Fleet Management System (FMS))</v>
      </c>
      <c r="C126" s="2" t="str">
        <f>_xlfn.LET(_xlpm.result, _xlfn.XLOOKUP(A126,'EA-Fortescue_SDExport'!A:A,'EA-Fortescue_SDExport'!AM:AM), IF(_xlpm.result=0,"",_xlpm.result))</f>
        <v/>
      </c>
      <c r="D126" s="2" t="str">
        <f>_xlfn.LET(_xlpm.result, _xlfn.XLOOKUP(A126,'EA-Fortescue_SDExport'!A:A,'EA-Fortescue_SDExport'!AN:AN), IF(_xlpm.result=0,"",_xlpm.result))</f>
        <v/>
      </c>
      <c r="E126" s="2" t="str">
        <f>_xlfn.XLOOKUP(R126&amp;Z126,Lookups!A:A,Lookups!B:B)</f>
        <v>Project - Subsystem Interface</v>
      </c>
      <c r="F126" s="2" t="str">
        <f>_xlfn.LET(_xlpm.result, _xlfn.XLOOKUP(A126,'EA-Fortescue_SDExport'!A:A,'EA-Fortescue_SDExport'!AP:AP), IF(_xlpm.result=0,"",_xlpm.result))</f>
        <v>Technical-Data/Software</v>
      </c>
      <c r="G126" s="2" t="str">
        <f>IF(OR(AND(T126&lt;&gt;"", COUNTIF(Lookups!J:J, "*"&amp;T126&amp;"*")&gt;0), AND(AB126&lt;&gt;"", COUNTIF(Lookups!J:J, "*"&amp;AB126&amp;"*")&gt;0)), "Yes", "No")</f>
        <v>No</v>
      </c>
      <c r="H126" s="2" t="str">
        <f t="shared" si="5"/>
        <v>850DC Decarb Infrastructure|859DC HaulX</v>
      </c>
      <c r="I126" s="2" t="str">
        <f t="shared" si="6"/>
        <v>850DC-1510 Chargers|N/A</v>
      </c>
      <c r="J126" s="2" t="str">
        <f t="shared" si="7"/>
        <v>850DC-1512-0001 HME Chargers - Gen1|859DC-1410-001 HaulX</v>
      </c>
      <c r="K126" s="2" t="str">
        <f>_xlfn.XLOOKUP(A126,'EA-Fortescue_SDExport'!A:A,'EA-Fortescue_SDExport'!N:N)</f>
        <v>Proposed</v>
      </c>
      <c r="L126" s="2" t="str">
        <f>_xlfn.LET(_xlpm.result, _xlfn.XLOOKUP($A126,'EA-Fortescue_SDExport'!$A:$A,'EA-Fortescue_SDExport'!AQ:AQ), IF(_xlpm.result=0,"",_xlpm.result))</f>
        <v>This interface allows HaulX Dispatch to receive charger availability, status, and capacity information from HME Chargers, enabling the fleet management system to schedule haul trucks for charging at the right time.</v>
      </c>
      <c r="M126" s="2" t="str">
        <f>_xlfn.LET(_xlpm.result, _xlfn.XLOOKUP($A126,'EA-Fortescue_SDExport'!$A:$A,'EA-Fortescue_SDExport'!AR:AR), IF(_xlpm.result=0,"",_xlpm.result))</f>
        <v>MEDIUM</v>
      </c>
      <c r="N126" s="2" t="str">
        <f>_xlfn.LET(_xlpm.result, _xlfn.XLOOKUP($A126,'EA-Fortescue_SDExport'!$A:$A,'EA-Fortescue_SDExport'!AW:AW), IF(_xlpm.result=0,"",_xlpm.result))</f>
        <v>The criticality level is MEDIUM because losing this interface disrupts optimal charge planning, causing queueing and lower productivity. Failure may result in efficiency losses, but not a complete operational stoppage.</v>
      </c>
      <c r="O126" s="2" t="str">
        <f>_xlfn.LET(_xlpm.result, _xlfn.XLOOKUP($A126,'EA-Fortescue_SDExport'!$A:$A,'EA-Fortescue_SDExport'!AV:AV), IF(_xlpm.result=0,"",_xlpm.result))</f>
        <v>Data Flow: HME Chargers -&gt; HaulX Dispatch (charger availability, operational status, capacity, state of charge progress, fault alarms) to enable optimised charge scheduling and fleet coordination.</v>
      </c>
      <c r="P126" s="2" t="str">
        <f>_xlfn.LET(_xlpm.result, _xlfn.XLOOKUP($A126,'EA-Fortescue_SDExport'!$A:$A,'EA-Fortescue_SDExport'!D:D), IF(_xlpm.result=0,"",_xlpm.result))</f>
        <v>NH 20/02/2026: Fields updated: Interface Type, Interface Flow.</v>
      </c>
      <c r="Q126" s="2" t="str">
        <f>_xlfn.LET(
    _xlpm.status, _xlfn.XLOOKUP($A126,'EA-ConnectorExport'!$A:$A,'EA-ConnectorExport'!G:G),
    _xlpm.result, _xlfn.XLOOKUP($A126,'EA-ConnectorExport'!$A:$A,'EA-ConnectorExport'!B:B),
    IF(_xlpm.status="allocate", _xlpm.result, "")
)</f>
        <v>850DC-1512-0001 HME Chargers - Gen1</v>
      </c>
      <c r="R126" s="2" t="str">
        <f>IF(
    _xlfn.XLOOKUP($Q126,'EA-Fortescue_SDExport'!A:A,'EA-Fortescue_SDExport'!B:B)="Object",
    _xlfn.XLOOKUP(
        _xlfn.XLOOKUP($A126,'EA-ConnectorExport'!A:A,'EA-ConnectorExport'!D:D),
        'EA-Fortescue_SDExport'!A:A,
        'EA-Fortescue_SDExport'!AA:AA
    ),
    _xlfn.XLOOKUP($Q126,'EA-Fortescue_SDExport'!A:A,'EA-Fortescue_SDExport'!AA:AA)
)</f>
        <v>Project</v>
      </c>
      <c r="S126" s="2" t="str">
        <f>_xlfn.LET(_xlpm.result, _xlfn.XLOOKUP($Q126,'EA-Fortescue_SDExport'!$A:$A,'EA-Fortescue_SDExport'!AB:AB), IF(_xlpm.result=0,"",_xlpm.result))</f>
        <v/>
      </c>
      <c r="T126" s="2" t="str">
        <f>_xlfn.LET(_xlpm.result, _xlfn.XLOOKUP($Q126,'EA-Fortescue_SDExport'!$A:$A,'EA-Fortescue_SDExport'!AC:AC), IF(_xlpm.result=0,"",_xlpm.result))</f>
        <v>Generic Physical Asset</v>
      </c>
      <c r="U126" s="2" t="str">
        <f>_xlfn.LET(
    _xlpm.isObject, _xlfn.XLOOKUP($Q126,'EA-Fortescue_SDExport'!A:A,'EA-Fortescue_SDExport'!B:B),
    _xlpm.lookupKey, IF(_xlpm.isObject="Object",
        _xlfn.XLOOKUP($A126,'EA-ConnectorExport'!A:A,'EA-ConnectorExport'!D:D),
        $Q126
    ),
    _xlpm.result, _xlfn.XLOOKUP(_xlpm.lookupKey,'EA-Fortescue_SDExport'!A:A,'EA-Fortescue_SDExport'!AD:AD),
    IF(_xlpm.result=0,"",_xlpm.result)
)</f>
        <v>850DC Decarb Infrastructure</v>
      </c>
      <c r="V126" s="2" t="str">
        <f>_xlfn.LET(
    _xlpm.isObject, _xlfn.XLOOKUP($Q126,'EA-Fortescue_SDExport'!A:A,'EA-Fortescue_SDExport'!B:B),
    _xlpm.lookupKey, IF(_xlpm.isObject="Object",
        _xlfn.XLOOKUP($A126,'EA-ConnectorExport'!A:A,'EA-ConnectorExport'!D:D),
        $Q126
    ),
    _xlpm.result, _xlfn.XLOOKUP(_xlpm.lookupKey,'EA-Fortescue_SDExport'!A:A,'EA-Fortescue_SDExport'!AE:AE),
    IF(_xlpm.result=0,"",_xlpm.result)
)</f>
        <v>850DC-1510 Chargers</v>
      </c>
      <c r="W126" s="2" t="str">
        <f>_xlfn.LET(
    _xlpm.isObject, _xlfn.XLOOKUP($Q126,'EA-Fortescue_SDExport'!A:A,'EA-Fortescue_SDExport'!B:B),
    _xlpm.lookupKey, IF(_xlpm.isObject="Object",
        _xlfn.XLOOKUP($A126,'EA-ConnectorExport'!A:A,'EA-ConnectorExport'!D:D),
        $Q126
    ),
    _xlpm.result, _xlfn.XLOOKUP(_xlpm.lookupKey,'EA-Fortescue_SDExport'!A:A,'EA-Fortescue_SDExport'!AF:AF),
    IF(_xlpm.result=0,"",_xlpm.result)
)</f>
        <v>850DC-1512-0001 HME Chargers - Gen1</v>
      </c>
      <c r="X126" s="2" t="str">
        <f>_xlfn.LET(
    _xlpm.isObject, _xlfn.XLOOKUP($Q126,'EA-Fortescue_SDExport'!A:A,'EA-Fortescue_SDExport'!B:B),
    _xlpm.lookupKey, IF(_xlpm.isObject="Object",
        _xlfn.XLOOKUP($A126,'EA-ConnectorExport'!A:A,'EA-ConnectorExport'!D:D),
        $Q126
    ),
    _xlpm.result, _xlfn.XLOOKUP(_xlpm.lookupKey,'EA-Fortescue_SDExport'!A:A,'EA-Fortescue_SDExport'!AG:AG),
    IF(_xlpm.result=0,"",_xlpm.result)
)</f>
        <v/>
      </c>
      <c r="Y126" s="2" t="str">
        <f>_xlfn.LET(
    _xlpm.status, _xlfn.XLOOKUP($A126,'EA-ConnectorExport'!$A:$A,'EA-ConnectorExport'!G:G),
    _xlpm.result, _xlfn.XLOOKUP($A126,'EA-ConnectorExport'!$A:$A,'EA-ConnectorExport'!H:H),
    IF(_xlpm.status="allocate", _xlpm.result, "")
)</f>
        <v>859DC-1410-001-001 HaulX Dispatch (Fleet Management System (FMS))</v>
      </c>
      <c r="Z126" s="2" t="str">
        <f>_xlfn.LET(
    _xlpm.isObject, _xlfn.XLOOKUP($Y126,'EA-Fortescue_SDExport'!A:A,'EA-Fortescue_SDExport'!B:B),
    _xlpm.lookupKey, IF(_xlpm.isObject="Object",
        _xlfn.XLOOKUP($A126,'EA-ConnectorExport'!A:A,'EA-ConnectorExport'!J:J),
        $Y126
    ),
    _xlpm.result, _xlfn.XLOOKUP(_xlpm.lookupKey,'EA-Fortescue_SDExport'!A:A,'EA-Fortescue_SDExport'!AA:AA),
    IF(_xlpm.result=0,"",_xlpm.result)
)</f>
        <v>Subsystem</v>
      </c>
      <c r="AA126" s="2" t="str">
        <f>_xlfn.LET(_xlpm.result, _xlfn.XLOOKUP($Y126,'EA-Fortescue_SDExport'!$A:$A,'EA-Fortescue_SDExport'!AB:AB), IF(_xlpm.result=0,"",_xlpm.result))</f>
        <v/>
      </c>
      <c r="AB126" s="2" t="str">
        <f>_xlfn.LET(_xlpm.result, _xlfn.XLOOKUP($Y126,'EA-Fortescue_SDExport'!$A:$A,'EA-Fortescue_SDExport'!AC:AC), IF(_xlpm.result=0,"",_xlpm.result))</f>
        <v/>
      </c>
      <c r="AC126" s="2" t="str">
        <f>_xlfn.LET(
    _xlpm.isObject, _xlfn.XLOOKUP($Y126,'EA-Fortescue_SDExport'!A:A,'EA-Fortescue_SDExport'!B:B),
    _xlpm.lookupKey, IF(_xlpm.isObject="Object",
        _xlfn.XLOOKUP($A126,'EA-ConnectorExport'!A:A,'EA-ConnectorExport'!J:J),
        $Y126
    ),
    _xlpm.result, _xlfn.XLOOKUP(_xlpm.lookupKey,'EA-Fortescue_SDExport'!A:A,'EA-Fortescue_SDExport'!AD:AD),
    IF(_xlpm.result=0,"",_xlpm.result)
)</f>
        <v>859DC HaulX</v>
      </c>
      <c r="AD126" s="2" t="str">
        <f>_xlfn.LET(
    _xlpm.isObject, _xlfn.XLOOKUP($Y126,'EA-Fortescue_SDExport'!A:A,'EA-Fortescue_SDExport'!B:B),
    _xlpm.lookupKey, IF(_xlpm.isObject="Object",
        _xlfn.XLOOKUP($A126,'EA-ConnectorExport'!A:A,'EA-ConnectorExport'!J:J),
        $Y126
    ),
    _xlpm.result, _xlfn.XLOOKUP(_xlpm.lookupKey,'EA-Fortescue_SDExport'!A:A,'EA-Fortescue_SDExport'!AE:AE),
    IF(_xlpm.result=0,"",_xlpm.result)
)</f>
        <v/>
      </c>
      <c r="AE126" s="2" t="str">
        <f>_xlfn.LET(
    _xlpm.isObject, _xlfn.XLOOKUP($Y126,'EA-Fortescue_SDExport'!A:A,'EA-Fortescue_SDExport'!B:B),
    _xlpm.lookupKey, IF(_xlpm.isObject="Object",
        _xlfn.XLOOKUP($A126,'EA-ConnectorExport'!A:A,'EA-ConnectorExport'!J:J),
        $Y126
    ),
    _xlpm.result, _xlfn.XLOOKUP(_xlpm.lookupKey,'EA-Fortescue_SDExport'!A:A,'EA-Fortescue_SDExport'!AF:AF),
    IF(_xlpm.result=0,"",_xlpm.result)
)</f>
        <v>859DC-1410-001 HaulX</v>
      </c>
      <c r="AF126" s="2" t="str">
        <f>_xlfn.LET(
    _xlpm.isObject, _xlfn.XLOOKUP($Y126,'EA-Fortescue_SDExport'!A:A,'EA-Fortescue_SDExport'!B:B),
    _xlpm.lookupKey, IF(_xlpm.isObject="Object",
        _xlfn.XLOOKUP($A126,'EA-ConnectorExport'!A:A,'EA-ConnectorExport'!J:J),
        $Y126
    ),
    _xlpm.result, _xlfn.XLOOKUP(_xlpm.lookupKey,'EA-Fortescue_SDExport'!A:A,'EA-Fortescue_SDExport'!AG:AG),
    IF(_xlpm.result=0,"",_xlpm.result)
)</f>
        <v>859DC-1410-001-001 HaulX Dispatch (Fleet Management System (FMS))</v>
      </c>
    </row>
    <row r="127" spans="1:32" ht="180" x14ac:dyDescent="0.25">
      <c r="A127" s="2" t="str">
        <v>DGS-I_0126</v>
      </c>
      <c r="B127" s="2" t="str">
        <f t="shared" si="4"/>
        <v>855DC-1541-ECL-002 Online Security Constrained Unit Commitment (SCUC)|003OP-1800 Gas pipeline</v>
      </c>
      <c r="C127" s="2" t="str">
        <f>_xlfn.LET(_xlpm.result, _xlfn.XLOOKUP(A127,'EA-Fortescue_SDExport'!A:A,'EA-Fortescue_SDExport'!AM:AM), IF(_xlpm.result=0,"",_xlpm.result))</f>
        <v/>
      </c>
      <c r="D127" s="2" t="str">
        <f>_xlfn.LET(_xlpm.result, _xlfn.XLOOKUP(A127,'EA-Fortescue_SDExport'!A:A,'EA-Fortescue_SDExport'!AN:AN), IF(_xlpm.result=0,"",_xlpm.result))</f>
        <v/>
      </c>
      <c r="E127" s="2" t="str">
        <f>_xlfn.XLOOKUP(R127&amp;Z127,Lookups!A:A,Lookups!B:B)</f>
        <v>System - Subsystem Interface</v>
      </c>
      <c r="F127" s="2" t="str">
        <f>_xlfn.LET(_xlpm.result, _xlfn.XLOOKUP(A127,'EA-Fortescue_SDExport'!A:A,'EA-Fortescue_SDExport'!AP:AP), IF(_xlpm.result=0,"",_xlpm.result))</f>
        <v>Technical-Data/Software</v>
      </c>
      <c r="G127" s="2" t="str">
        <f>IF(OR(AND(T127&lt;&gt;"", COUNTIF(Lookups!J:J, "*"&amp;T127&amp;"*")&gt;0), AND(AB127&lt;&gt;"", COUNTIF(Lookups!J:J, "*"&amp;AB127&amp;"*")&gt;0)), "Yes", "No")</f>
        <v>No</v>
      </c>
      <c r="H127" s="2" t="str">
        <f t="shared" si="5"/>
        <v>855DC Decarb Green Systems|003OP Power Generation &amp; Transmission</v>
      </c>
      <c r="I127" s="2" t="str">
        <f t="shared" si="6"/>
        <v>855DC-1541 Planning and Forecast Systems|003OP-1800 Gas pipeline</v>
      </c>
      <c r="J127" s="2" t="str">
        <f t="shared" si="7"/>
        <v>855DC-1541-ECL Eclipse|N/A</v>
      </c>
      <c r="K127" s="2" t="str">
        <f>_xlfn.XLOOKUP(A127,'EA-Fortescue_SDExport'!A:A,'EA-Fortescue_SDExport'!N:N)</f>
        <v>Proposed</v>
      </c>
      <c r="L127" s="2" t="str">
        <f>_xlfn.LET(_xlpm.result, _xlfn.XLOOKUP($A127,'EA-Fortescue_SDExport'!$A:$A,'EA-Fortescue_SDExport'!AQ:AQ), IF(_xlpm.result=0,"",_xlpm.result))</f>
        <v>This interface provides SCUC with gas supply constraints, pipeline capacity, and availability information to support generation dispatch decisions.</v>
      </c>
      <c r="M127" s="2" t="str">
        <f>_xlfn.LET(_xlpm.result, _xlfn.XLOOKUP($A127,'EA-Fortescue_SDExport'!$A:$A,'EA-Fortescue_SDExport'!AR:AR), IF(_xlpm.result=0,"",_xlpm.result))</f>
        <v>HIGH</v>
      </c>
      <c r="N127" s="2" t="str">
        <f>_xlfn.LET(_xlpm.result, _xlfn.XLOOKUP($A127,'EA-Fortescue_SDExport'!$A:$A,'EA-Fortescue_SDExport'!AW:AW), IF(_xlpm.result=0,"",_xlpm.result))</f>
        <v>The criticality level is HIGH because incorrect gas supply information can lead to overestimating gas-fired generation, which could destabilise the energy system and affect site operations, necessitating costly corrective measures.</v>
      </c>
      <c r="O127" s="2" t="str">
        <f>_xlfn.LET(_xlpm.result, _xlfn.XLOOKUP($A127,'EA-Fortescue_SDExport'!$A:$A,'EA-Fortescue_SDExport'!AV:AV), IF(_xlpm.result=0,"",_xlpm.result))</f>
        <v>Data Flow: Gas Pipeline -&gt; SCUC (ECL Eclipse) (gas supply availability, pipeline capacity limits, pressure constraints, maintenance outages, contractual limits, forecast availability) to inform generation dispatch and unit commitment decisions._x000D_
Primarily one-way constraint and availability data; operational control of the pipeline occurs via separate systems.</v>
      </c>
      <c r="P127" s="2" t="str">
        <f>_xlfn.LET(_xlpm.result, _xlfn.XLOOKUP($A127,'EA-Fortescue_SDExport'!$A:$A,'EA-Fortescue_SDExport'!D:D), IF(_xlpm.result=0,"",_xlpm.result))</f>
        <v>NH 20/02/2026: Fields updated: Interface Type, Interface Flow.</v>
      </c>
      <c r="Q127" s="2" t="str">
        <f>_xlfn.LET(
    _xlpm.status, _xlfn.XLOOKUP($A127,'EA-ConnectorExport'!$A:$A,'EA-ConnectorExport'!G:G),
    _xlpm.result, _xlfn.XLOOKUP($A127,'EA-ConnectorExport'!$A:$A,'EA-ConnectorExport'!B:B),
    IF(_xlpm.status="allocate", _xlpm.result, "")
)</f>
        <v>855DC-1541-ECL-002 Online Security Constrained Unit Commitment (SCUC)</v>
      </c>
      <c r="R127" s="2" t="str">
        <f>IF(
    _xlfn.XLOOKUP($Q127,'EA-Fortescue_SDExport'!A:A,'EA-Fortescue_SDExport'!B:B)="Object",
    _xlfn.XLOOKUP(
        _xlfn.XLOOKUP($A127,'EA-ConnectorExport'!A:A,'EA-ConnectorExport'!D:D),
        'EA-Fortescue_SDExport'!A:A,
        'EA-Fortescue_SDExport'!AA:AA
    ),
    _xlfn.XLOOKUP($Q127,'EA-Fortescue_SDExport'!A:A,'EA-Fortescue_SDExport'!AA:AA)
)</f>
        <v>Subsystem</v>
      </c>
      <c r="S127" s="2" t="str">
        <f>_xlfn.LET(_xlpm.result, _xlfn.XLOOKUP($Q127,'EA-Fortescue_SDExport'!$A:$A,'EA-Fortescue_SDExport'!AB:AB), IF(_xlpm.result=0,"",_xlpm.result))</f>
        <v/>
      </c>
      <c r="T127" s="2" t="str">
        <f>_xlfn.LET(_xlpm.result, _xlfn.XLOOKUP($Q127,'EA-Fortescue_SDExport'!$A:$A,'EA-Fortescue_SDExport'!AC:AC), IF(_xlpm.result=0,"",_xlpm.result))</f>
        <v/>
      </c>
      <c r="U127" s="2" t="str">
        <f>_xlfn.LET(
    _xlpm.isObject, _xlfn.XLOOKUP($Q127,'EA-Fortescue_SDExport'!A:A,'EA-Fortescue_SDExport'!B:B),
    _xlpm.lookupKey, IF(_xlpm.isObject="Object",
        _xlfn.XLOOKUP($A127,'EA-ConnectorExport'!A:A,'EA-ConnectorExport'!D:D),
        $Q127
    ),
    _xlpm.result, _xlfn.XLOOKUP(_xlpm.lookupKey,'EA-Fortescue_SDExport'!A:A,'EA-Fortescue_SDExport'!AD:AD),
    IF(_xlpm.result=0,"",_xlpm.result)
)</f>
        <v>855DC Decarb Green Systems</v>
      </c>
      <c r="V127" s="2" t="str">
        <f>_xlfn.LET(
    _xlpm.isObject, _xlfn.XLOOKUP($Q127,'EA-Fortescue_SDExport'!A:A,'EA-Fortescue_SDExport'!B:B),
    _xlpm.lookupKey, IF(_xlpm.isObject="Object",
        _xlfn.XLOOKUP($A127,'EA-ConnectorExport'!A:A,'EA-ConnectorExport'!D:D),
        $Q127
    ),
    _xlpm.result, _xlfn.XLOOKUP(_xlpm.lookupKey,'EA-Fortescue_SDExport'!A:A,'EA-Fortescue_SDExport'!AE:AE),
    IF(_xlpm.result=0,"",_xlpm.result)
)</f>
        <v>855DC-1541 Planning and Forecast Systems</v>
      </c>
      <c r="W127" s="2" t="str">
        <f>_xlfn.LET(
    _xlpm.isObject, _xlfn.XLOOKUP($Q127,'EA-Fortescue_SDExport'!A:A,'EA-Fortescue_SDExport'!B:B),
    _xlpm.lookupKey, IF(_xlpm.isObject="Object",
        _xlfn.XLOOKUP($A127,'EA-ConnectorExport'!A:A,'EA-ConnectorExport'!D:D),
        $Q127
    ),
    _xlpm.result, _xlfn.XLOOKUP(_xlpm.lookupKey,'EA-Fortescue_SDExport'!A:A,'EA-Fortescue_SDExport'!AF:AF),
    IF(_xlpm.result=0,"",_xlpm.result)
)</f>
        <v>855DC-1541-ECL Eclipse</v>
      </c>
      <c r="X127" s="2" t="str">
        <f>_xlfn.LET(
    _xlpm.isObject, _xlfn.XLOOKUP($Q127,'EA-Fortescue_SDExport'!A:A,'EA-Fortescue_SDExport'!B:B),
    _xlpm.lookupKey, IF(_xlpm.isObject="Object",
        _xlfn.XLOOKUP($A127,'EA-ConnectorExport'!A:A,'EA-ConnectorExport'!D:D),
        $Q127
    ),
    _xlpm.result, _xlfn.XLOOKUP(_xlpm.lookupKey,'EA-Fortescue_SDExport'!A:A,'EA-Fortescue_SDExport'!AG:AG),
    IF(_xlpm.result=0,"",_xlpm.result)
)</f>
        <v>855DC-1541-ECL-002 Online Security Constrained Unit Commitment (SCUC)</v>
      </c>
      <c r="Y127" s="2" t="str">
        <f>_xlfn.LET(
    _xlpm.status, _xlfn.XLOOKUP($A127,'EA-ConnectorExport'!$A:$A,'EA-ConnectorExport'!G:G),
    _xlpm.result, _xlfn.XLOOKUP($A127,'EA-ConnectorExport'!$A:$A,'EA-ConnectorExport'!H:H),
    IF(_xlpm.status="allocate", _xlpm.result, "")
)</f>
        <v>003OP-1800 Gas pipeline</v>
      </c>
      <c r="Z127" s="2" t="str">
        <f>_xlfn.LET(
    _xlpm.isObject, _xlfn.XLOOKUP($Y127,'EA-Fortescue_SDExport'!A:A,'EA-Fortescue_SDExport'!B:B),
    _xlpm.lookupKey, IF(_xlpm.isObject="Object",
        _xlfn.XLOOKUP($A127,'EA-ConnectorExport'!A:A,'EA-ConnectorExport'!J:J),
        $Y127
    ),
    _xlpm.result, _xlfn.XLOOKUP(_xlpm.lookupKey,'EA-Fortescue_SDExport'!A:A,'EA-Fortescue_SDExport'!AA:AA),
    IF(_xlpm.result=0,"",_xlpm.result)
)</f>
        <v>System</v>
      </c>
      <c r="AA127" s="2" t="str">
        <f>_xlfn.LET(_xlpm.result, _xlfn.XLOOKUP($Y127,'EA-Fortescue_SDExport'!$A:$A,'EA-Fortescue_SDExport'!AB:AB), IF(_xlpm.result=0,"",_xlpm.result))</f>
        <v/>
      </c>
      <c r="AB127" s="2" t="str">
        <f>_xlfn.LET(_xlpm.result, _xlfn.XLOOKUP($Y127,'EA-Fortescue_SDExport'!$A:$A,'EA-Fortescue_SDExport'!AC:AC), IF(_xlpm.result=0,"",_xlpm.result))</f>
        <v>Generic Physical Asset</v>
      </c>
      <c r="AC127" s="2" t="str">
        <f>_xlfn.LET(
    _xlpm.isObject, _xlfn.XLOOKUP($Y127,'EA-Fortescue_SDExport'!A:A,'EA-Fortescue_SDExport'!B:B),
    _xlpm.lookupKey, IF(_xlpm.isObject="Object",
        _xlfn.XLOOKUP($A127,'EA-ConnectorExport'!A:A,'EA-ConnectorExport'!J:J),
        $Y127
    ),
    _xlpm.result, _xlfn.XLOOKUP(_xlpm.lookupKey,'EA-Fortescue_SDExport'!A:A,'EA-Fortescue_SDExport'!AD:AD),
    IF(_xlpm.result=0,"",_xlpm.result)
)</f>
        <v>003OP Power Generation &amp; Transmission</v>
      </c>
      <c r="AD127" s="2" t="str">
        <f>_xlfn.LET(
    _xlpm.isObject, _xlfn.XLOOKUP($Y127,'EA-Fortescue_SDExport'!A:A,'EA-Fortescue_SDExport'!B:B),
    _xlpm.lookupKey, IF(_xlpm.isObject="Object",
        _xlfn.XLOOKUP($A127,'EA-ConnectorExport'!A:A,'EA-ConnectorExport'!J:J),
        $Y127
    ),
    _xlpm.result, _xlfn.XLOOKUP(_xlpm.lookupKey,'EA-Fortescue_SDExport'!A:A,'EA-Fortescue_SDExport'!AE:AE),
    IF(_xlpm.result=0,"",_xlpm.result)
)</f>
        <v>003OP-1800 Gas pipeline</v>
      </c>
      <c r="AE127" s="2" t="str">
        <f>_xlfn.LET(
    _xlpm.isObject, _xlfn.XLOOKUP($Y127,'EA-Fortescue_SDExport'!A:A,'EA-Fortescue_SDExport'!B:B),
    _xlpm.lookupKey, IF(_xlpm.isObject="Object",
        _xlfn.XLOOKUP($A127,'EA-ConnectorExport'!A:A,'EA-ConnectorExport'!J:J),
        $Y127
    ),
    _xlpm.result, _xlfn.XLOOKUP(_xlpm.lookupKey,'EA-Fortescue_SDExport'!A:A,'EA-Fortescue_SDExport'!AF:AF),
    IF(_xlpm.result=0,"",_xlpm.result)
)</f>
        <v/>
      </c>
      <c r="AF127" s="2" t="str">
        <f>_xlfn.LET(
    _xlpm.isObject, _xlfn.XLOOKUP($Y127,'EA-Fortescue_SDExport'!A:A,'EA-Fortescue_SDExport'!B:B),
    _xlpm.lookupKey, IF(_xlpm.isObject="Object",
        _xlfn.XLOOKUP($A127,'EA-ConnectorExport'!A:A,'EA-ConnectorExport'!J:J),
        $Y127
    ),
    _xlpm.result, _xlfn.XLOOKUP(_xlpm.lookupKey,'EA-Fortescue_SDExport'!A:A,'EA-Fortescue_SDExport'!AG:AG),
    IF(_xlpm.result=0,"",_xlpm.result)
)</f>
        <v/>
      </c>
    </row>
    <row r="128" spans="1:32" ht="105" x14ac:dyDescent="0.25">
      <c r="A128" s="2" t="str">
        <v>DGS-I_0127</v>
      </c>
      <c r="B128" s="2" t="str">
        <f t="shared" si="4"/>
        <v>Energy Operations (HIVE)|855DC-1541-ECL-002 Online Security Constrained Unit Commitment (SCUC)</v>
      </c>
      <c r="C128" s="2" t="str">
        <f>_xlfn.LET(_xlpm.result, _xlfn.XLOOKUP(A128,'EA-Fortescue_SDExport'!A:A,'EA-Fortescue_SDExport'!AM:AM), IF(_xlpm.result=0,"",_xlpm.result))</f>
        <v/>
      </c>
      <c r="D128" s="2" t="str">
        <f>_xlfn.LET(_xlpm.result, _xlfn.XLOOKUP(A128,'EA-Fortescue_SDExport'!A:A,'EA-Fortescue_SDExport'!AN:AN), IF(_xlpm.result=0,"",_xlpm.result))</f>
        <v/>
      </c>
      <c r="E128" s="2" t="str">
        <f>_xlfn.XLOOKUP(R128&amp;Z128,Lookups!A:A,Lookups!B:B)</f>
        <v>Stakeholder - Subsystem Interface</v>
      </c>
      <c r="F128" s="2" t="str">
        <f>_xlfn.LET(_xlpm.result, _xlfn.XLOOKUP(A128,'EA-Fortescue_SDExport'!A:A,'EA-Fortescue_SDExport'!AP:AP), IF(_xlpm.result=0,"",_xlpm.result))</f>
        <v>Functional-Operational</v>
      </c>
      <c r="G128" s="2" t="str">
        <f>IF(OR(AND(T128&lt;&gt;"", COUNTIF(Lookups!J:J, "*"&amp;T128&amp;"*")&gt;0), AND(AB128&lt;&gt;"", COUNTIF(Lookups!J:J, "*"&amp;AB128&amp;"*")&gt;0)), "Yes", "No")</f>
        <v>No</v>
      </c>
      <c r="H128" s="2" t="str">
        <f t="shared" si="5"/>
        <v>N/A|855DC Decarb Green Systems</v>
      </c>
      <c r="I128" s="2" t="str">
        <f t="shared" si="6"/>
        <v>N/A|855DC-1541 Planning and Forecast Systems</v>
      </c>
      <c r="J128" s="2" t="str">
        <f t="shared" si="7"/>
        <v>N/A|855DC-1541-ECL Eclipse</v>
      </c>
      <c r="K128" s="2" t="str">
        <f>_xlfn.XLOOKUP(A128,'EA-Fortescue_SDExport'!A:A,'EA-Fortescue_SDExport'!N:N)</f>
        <v>Proposed</v>
      </c>
      <c r="L128" s="2" t="str">
        <f>_xlfn.LET(_xlpm.result, _xlfn.XLOOKUP($A128,'EA-Fortescue_SDExport'!$A:$A,'EA-Fortescue_SDExport'!AQ:AQ), IF(_xlpm.result=0,"",_xlpm.result))</f>
        <v>The purpose of this interface is to allow Energy Operations (EO) personnel to interact with Eclipse data to assist in short and long-term planning and predicting energy/power distribution across the network. It is a Human interface for decision-making, where the EO staff member makes a decision after analysing outputs from Eclipse and then controls power distribution through Monarch.</v>
      </c>
      <c r="M128" s="2" t="str">
        <f>_xlfn.LET(_xlpm.result, _xlfn.XLOOKUP($A128,'EA-Fortescue_SDExport'!$A:$A,'EA-Fortescue_SDExport'!AR:AR), IF(_xlpm.result=0,"",_xlpm.result))</f>
        <v>HIGH</v>
      </c>
      <c r="N128" s="2" t="str">
        <f>_xlfn.LET(_xlpm.result, _xlfn.XLOOKUP($A128,'EA-Fortescue_SDExport'!$A:$A,'EA-Fortescue_SDExport'!AW:AW), IF(_xlpm.result=0,"",_xlpm.result))</f>
        <v>This interface is rated HIGH because Energy Operations relies on accurate and timely optimisation outputs from Eclipse to make safe and economically optimal dispatch decisions. Loss of access to planning data or scenario outputs may result in suboptimal scheduling, increased operational risk, inefficient fuel or storage utilisation, and potential network instability if decisions are made using outdated information. While physical control is exercised through Monarch, the quality and safety of those decisions depend heavily on this interface.</v>
      </c>
      <c r="O128" s="2" t="str">
        <f>_xlfn.LET(_xlpm.result, _xlfn.XLOOKUP($A128,'EA-Fortescue_SDExport'!$A:$A,'EA-Fortescue_SDExport'!AV:AV), IF(_xlpm.result=0,"",_xlpm.result))</f>
        <v>Data Flow: ECL Eclipse -&gt; Energy Operations (EO) Users (optimisation outputs, dispatch schedules, load forecasts, constraint violations, scenario results, performance analytics) presented via user interface for analysis and decision-making._x000D_
Human-in-the-Loop Control: EO Users -&gt; Monarch (approved dispatch decisions, operational adjustments, scheduling overrides) executed through separate operational control interfaces.</v>
      </c>
      <c r="P128" s="2" t="str">
        <f>_xlfn.LET(_xlpm.result, _xlfn.XLOOKUP($A128,'EA-Fortescue_SDExport'!$A:$A,'EA-Fortescue_SDExport'!D:D), IF(_xlpm.result=0,"",_xlpm.result))</f>
        <v>NH 20/02/2026: Fields updated: Interface Type, Interface Criticality Explanation, Interface Flow.</v>
      </c>
      <c r="Q128" s="2" t="str">
        <f>_xlfn.LET(
    _xlpm.status, _xlfn.XLOOKUP($A128,'EA-ConnectorExport'!$A:$A,'EA-ConnectorExport'!G:G),
    _xlpm.result, _xlfn.XLOOKUP($A128,'EA-ConnectorExport'!$A:$A,'EA-ConnectorExport'!B:B),
    IF(_xlpm.status="allocate", _xlpm.result, "")
)</f>
        <v>Energy Operations (HIVE)</v>
      </c>
      <c r="R128" s="2" t="str">
        <f>IF(
    _xlfn.XLOOKUP($Q128,'EA-Fortescue_SDExport'!A:A,'EA-Fortescue_SDExport'!B:B)="Object",
    _xlfn.XLOOKUP(
        _xlfn.XLOOKUP($A128,'EA-ConnectorExport'!A:A,'EA-ConnectorExport'!D:D),
        'EA-Fortescue_SDExport'!A:A,
        'EA-Fortescue_SDExport'!AA:AA
    ),
    _xlfn.XLOOKUP($Q128,'EA-Fortescue_SDExport'!A:A,'EA-Fortescue_SDExport'!AA:AA)
)</f>
        <v>Stakeholder</v>
      </c>
      <c r="S128" s="2" t="str">
        <f>_xlfn.LET(_xlpm.result, _xlfn.XLOOKUP($Q128,'EA-Fortescue_SDExport'!$A:$A,'EA-Fortescue_SDExport'!AB:AB), IF(_xlpm.result=0,"",_xlpm.result))</f>
        <v/>
      </c>
      <c r="T128" s="2" t="str">
        <f>_xlfn.LET(_xlpm.result, _xlfn.XLOOKUP($Q128,'EA-Fortescue_SDExport'!$A:$A,'EA-Fortescue_SDExport'!AC:AC), IF(_xlpm.result=0,"",_xlpm.result))</f>
        <v/>
      </c>
      <c r="U128" s="2" t="str">
        <f>_xlfn.LET(
    _xlpm.isObject, _xlfn.XLOOKUP($Q128,'EA-Fortescue_SDExport'!A:A,'EA-Fortescue_SDExport'!B:B),
    _xlpm.lookupKey, IF(_xlpm.isObject="Object",
        _xlfn.XLOOKUP($A128,'EA-ConnectorExport'!A:A,'EA-ConnectorExport'!D:D),
        $Q128
    ),
    _xlpm.result, _xlfn.XLOOKUP(_xlpm.lookupKey,'EA-Fortescue_SDExport'!A:A,'EA-Fortescue_SDExport'!AD:AD),
    IF(_xlpm.result=0,"",_xlpm.result)
)</f>
        <v/>
      </c>
      <c r="V128" s="2" t="str">
        <f>_xlfn.LET(
    _xlpm.isObject, _xlfn.XLOOKUP($Q128,'EA-Fortescue_SDExport'!A:A,'EA-Fortescue_SDExport'!B:B),
    _xlpm.lookupKey, IF(_xlpm.isObject="Object",
        _xlfn.XLOOKUP($A128,'EA-ConnectorExport'!A:A,'EA-ConnectorExport'!D:D),
        $Q128
    ),
    _xlpm.result, _xlfn.XLOOKUP(_xlpm.lookupKey,'EA-Fortescue_SDExport'!A:A,'EA-Fortescue_SDExport'!AE:AE),
    IF(_xlpm.result=0,"",_xlpm.result)
)</f>
        <v/>
      </c>
      <c r="W128" s="2" t="str">
        <f>_xlfn.LET(
    _xlpm.isObject, _xlfn.XLOOKUP($Q128,'EA-Fortescue_SDExport'!A:A,'EA-Fortescue_SDExport'!B:B),
    _xlpm.lookupKey, IF(_xlpm.isObject="Object",
        _xlfn.XLOOKUP($A128,'EA-ConnectorExport'!A:A,'EA-ConnectorExport'!D:D),
        $Q128
    ),
    _xlpm.result, _xlfn.XLOOKUP(_xlpm.lookupKey,'EA-Fortescue_SDExport'!A:A,'EA-Fortescue_SDExport'!AF:AF),
    IF(_xlpm.result=0,"",_xlpm.result)
)</f>
        <v/>
      </c>
      <c r="X128" s="2" t="str">
        <f>_xlfn.LET(
    _xlpm.isObject, _xlfn.XLOOKUP($Q128,'EA-Fortescue_SDExport'!A:A,'EA-Fortescue_SDExport'!B:B),
    _xlpm.lookupKey, IF(_xlpm.isObject="Object",
        _xlfn.XLOOKUP($A128,'EA-ConnectorExport'!A:A,'EA-ConnectorExport'!D:D),
        $Q128
    ),
    _xlpm.result, _xlfn.XLOOKUP(_xlpm.lookupKey,'EA-Fortescue_SDExport'!A:A,'EA-Fortescue_SDExport'!AG:AG),
    IF(_xlpm.result=0,"",_xlpm.result)
)</f>
        <v/>
      </c>
      <c r="Y128" s="2" t="str">
        <f>_xlfn.LET(
    _xlpm.status, _xlfn.XLOOKUP($A128,'EA-ConnectorExport'!$A:$A,'EA-ConnectorExport'!G:G),
    _xlpm.result, _xlfn.XLOOKUP($A128,'EA-ConnectorExport'!$A:$A,'EA-ConnectorExport'!H:H),
    IF(_xlpm.status="allocate", _xlpm.result, "")
)</f>
        <v>855DC-1541-ECL-002 Online Security Constrained Unit Commitment (SCUC)</v>
      </c>
      <c r="Z128" s="2" t="str">
        <f>_xlfn.LET(
    _xlpm.isObject, _xlfn.XLOOKUP($Y128,'EA-Fortescue_SDExport'!A:A,'EA-Fortescue_SDExport'!B:B),
    _xlpm.lookupKey, IF(_xlpm.isObject="Object",
        _xlfn.XLOOKUP($A128,'EA-ConnectorExport'!A:A,'EA-ConnectorExport'!J:J),
        $Y128
    ),
    _xlpm.result, _xlfn.XLOOKUP(_xlpm.lookupKey,'EA-Fortescue_SDExport'!A:A,'EA-Fortescue_SDExport'!AA:AA),
    IF(_xlpm.result=0,"",_xlpm.result)
)</f>
        <v>Subsystem</v>
      </c>
      <c r="AA128" s="2" t="str">
        <f>_xlfn.LET(_xlpm.result, _xlfn.XLOOKUP($Y128,'EA-Fortescue_SDExport'!$A:$A,'EA-Fortescue_SDExport'!AB:AB), IF(_xlpm.result=0,"",_xlpm.result))</f>
        <v/>
      </c>
      <c r="AB128" s="2" t="str">
        <f>_xlfn.LET(_xlpm.result, _xlfn.XLOOKUP($Y128,'EA-Fortescue_SDExport'!$A:$A,'EA-Fortescue_SDExport'!AC:AC), IF(_xlpm.result=0,"",_xlpm.result))</f>
        <v/>
      </c>
      <c r="AC128" s="2" t="str">
        <f>_xlfn.LET(
    _xlpm.isObject, _xlfn.XLOOKUP($Y128,'EA-Fortescue_SDExport'!A:A,'EA-Fortescue_SDExport'!B:B),
    _xlpm.lookupKey, IF(_xlpm.isObject="Object",
        _xlfn.XLOOKUP($A128,'EA-ConnectorExport'!A:A,'EA-ConnectorExport'!J:J),
        $Y128
    ),
    _xlpm.result, _xlfn.XLOOKUP(_xlpm.lookupKey,'EA-Fortescue_SDExport'!A:A,'EA-Fortescue_SDExport'!AD:AD),
    IF(_xlpm.result=0,"",_xlpm.result)
)</f>
        <v>855DC Decarb Green Systems</v>
      </c>
      <c r="AD128" s="2" t="str">
        <f>_xlfn.LET(
    _xlpm.isObject, _xlfn.XLOOKUP($Y128,'EA-Fortescue_SDExport'!A:A,'EA-Fortescue_SDExport'!B:B),
    _xlpm.lookupKey, IF(_xlpm.isObject="Object",
        _xlfn.XLOOKUP($A128,'EA-ConnectorExport'!A:A,'EA-ConnectorExport'!J:J),
        $Y128
    ),
    _xlpm.result, _xlfn.XLOOKUP(_xlpm.lookupKey,'EA-Fortescue_SDExport'!A:A,'EA-Fortescue_SDExport'!AE:AE),
    IF(_xlpm.result=0,"",_xlpm.result)
)</f>
        <v>855DC-1541 Planning and Forecast Systems</v>
      </c>
      <c r="AE128" s="2" t="str">
        <f>_xlfn.LET(
    _xlpm.isObject, _xlfn.XLOOKUP($Y128,'EA-Fortescue_SDExport'!A:A,'EA-Fortescue_SDExport'!B:B),
    _xlpm.lookupKey, IF(_xlpm.isObject="Object",
        _xlfn.XLOOKUP($A128,'EA-ConnectorExport'!A:A,'EA-ConnectorExport'!J:J),
        $Y128
    ),
    _xlpm.result, _xlfn.XLOOKUP(_xlpm.lookupKey,'EA-Fortescue_SDExport'!A:A,'EA-Fortescue_SDExport'!AF:AF),
    IF(_xlpm.result=0,"",_xlpm.result)
)</f>
        <v>855DC-1541-ECL Eclipse</v>
      </c>
      <c r="AF128" s="2" t="str">
        <f>_xlfn.LET(
    _xlpm.isObject, _xlfn.XLOOKUP($Y128,'EA-Fortescue_SDExport'!A:A,'EA-Fortescue_SDExport'!B:B),
    _xlpm.lookupKey, IF(_xlpm.isObject="Object",
        _xlfn.XLOOKUP($A128,'EA-ConnectorExport'!A:A,'EA-ConnectorExport'!J:J),
        $Y128
    ),
    _xlpm.result, _xlfn.XLOOKUP(_xlpm.lookupKey,'EA-Fortescue_SDExport'!A:A,'EA-Fortescue_SDExport'!AG:AG),
    IF(_xlpm.result=0,"",_xlpm.result)
)</f>
        <v>855DC-1541-ECL-002 Online Security Constrained Unit Commitment (SCUC)</v>
      </c>
    </row>
    <row r="129" spans="1:32" ht="105" x14ac:dyDescent="0.25">
      <c r="A129" s="2" t="str">
        <v>DGS-I_0128</v>
      </c>
      <c r="B129" s="2" t="str">
        <f t="shared" si="4"/>
        <v>Energy Operations (HIVE)|855DC-1541-ECL-001 Eclipse Planning</v>
      </c>
      <c r="C129" s="2" t="str">
        <f>_xlfn.LET(_xlpm.result, _xlfn.XLOOKUP(A129,'EA-Fortescue_SDExport'!A:A,'EA-Fortescue_SDExport'!AM:AM), IF(_xlpm.result=0,"",_xlpm.result))</f>
        <v/>
      </c>
      <c r="D129" s="2" t="str">
        <f>_xlfn.LET(_xlpm.result, _xlfn.XLOOKUP(A129,'EA-Fortescue_SDExport'!A:A,'EA-Fortescue_SDExport'!AN:AN), IF(_xlpm.result=0,"",_xlpm.result))</f>
        <v/>
      </c>
      <c r="E129" s="2" t="str">
        <f>_xlfn.XLOOKUP(R129&amp;Z129,Lookups!A:A,Lookups!B:B)</f>
        <v>Stakeholder - Subsystem Interface</v>
      </c>
      <c r="F129" s="2" t="str">
        <f>_xlfn.LET(_xlpm.result, _xlfn.XLOOKUP(A129,'EA-Fortescue_SDExport'!A:A,'EA-Fortescue_SDExport'!AP:AP), IF(_xlpm.result=0,"",_xlpm.result))</f>
        <v>Functional-Operational</v>
      </c>
      <c r="G129" s="2" t="str">
        <f>IF(OR(AND(T129&lt;&gt;"", COUNTIF(Lookups!J:J, "*"&amp;T129&amp;"*")&gt;0), AND(AB129&lt;&gt;"", COUNTIF(Lookups!J:J, "*"&amp;AB129&amp;"*")&gt;0)), "Yes", "No")</f>
        <v>No</v>
      </c>
      <c r="H129" s="2" t="str">
        <f t="shared" si="5"/>
        <v>N/A|855DC Decarb Green Systems</v>
      </c>
      <c r="I129" s="2" t="str">
        <f t="shared" si="6"/>
        <v>N/A|855DC-1541 Planning and Forecast Systems</v>
      </c>
      <c r="J129" s="2" t="str">
        <f t="shared" si="7"/>
        <v>N/A|855DC-1541-ECL Eclipse</v>
      </c>
      <c r="K129" s="2" t="str">
        <f>_xlfn.XLOOKUP(A129,'EA-Fortescue_SDExport'!A:A,'EA-Fortescue_SDExport'!N:N)</f>
        <v>Proposed</v>
      </c>
      <c r="L129" s="2" t="str">
        <f>_xlfn.LET(_xlpm.result, _xlfn.XLOOKUP($A129,'EA-Fortescue_SDExport'!$A:$A,'EA-Fortescue_SDExport'!AQ:AQ), IF(_xlpm.result=0,"",_xlpm.result))</f>
        <v>The purpose of this interface is to allow Energy Operations (EO) personnel to interact with Eclipse data to assist in short and long-term planning and predicting energy/power distribution across the network. It is a Human interface for decision-making, where the EO staff member makes a decision after analysing outputs from Eclipse and then controls power distribution through Monarch.</v>
      </c>
      <c r="M129" s="2" t="str">
        <f>_xlfn.LET(_xlpm.result, _xlfn.XLOOKUP($A129,'EA-Fortescue_SDExport'!$A:$A,'EA-Fortescue_SDExport'!AR:AR), IF(_xlpm.result=0,"",_xlpm.result))</f>
        <v>HIGH</v>
      </c>
      <c r="N129" s="2" t="str">
        <f>_xlfn.LET(_xlpm.result, _xlfn.XLOOKUP($A129,'EA-Fortescue_SDExport'!$A:$A,'EA-Fortescue_SDExport'!AW:AW), IF(_xlpm.result=0,"",_xlpm.result))</f>
        <v>This interface is rated HIGH because Energy Operations depends on accurate optimisation outputs from Eclipse to make safe, stable, and economically efficient dispatch decisions. Loss of access may result in decisions based on outdated or incomplete information, increasing the risk of suboptimal generation scheduling, storage mismanagement, or network instability. While physical control is executed through Monarch, the integrity and quality of operational decisions rely heavily on this interface.</v>
      </c>
      <c r="O129" s="2" t="str">
        <f>_xlfn.LET(_xlpm.result, _xlfn.XLOOKUP($A129,'EA-Fortescue_SDExport'!$A:$A,'EA-Fortescue_SDExport'!AV:AV), IF(_xlpm.result=0,"",_xlpm.result))</f>
        <v>Data Flow: ECL Eclipse -&gt; Energy Operations (EO) Users (dispatch schedules, optimisation outputs, load forecasts, constraint alerts, scenario results, performance metrics) via user interface for review and analysis._x000D_
Human Decision Path: EO Users -&gt; Monarch (approved dispatch instructions, scheduling adjustments, operational directives) implemented through operational control systems.</v>
      </c>
      <c r="P129" s="2" t="str">
        <f>_xlfn.LET(_xlpm.result, _xlfn.XLOOKUP($A129,'EA-Fortescue_SDExport'!$A:$A,'EA-Fortescue_SDExport'!D:D), IF(_xlpm.result=0,"",_xlpm.result))</f>
        <v>NH 20/02/2026: Fields updated: Interface Type, Interface Criticality Explanation, Interface Flow.</v>
      </c>
      <c r="Q129" s="2" t="str">
        <f>_xlfn.LET(
    _xlpm.status, _xlfn.XLOOKUP($A129,'EA-ConnectorExport'!$A:$A,'EA-ConnectorExport'!G:G),
    _xlpm.result, _xlfn.XLOOKUP($A129,'EA-ConnectorExport'!$A:$A,'EA-ConnectorExport'!B:B),
    IF(_xlpm.status="allocate", _xlpm.result, "")
)</f>
        <v>Energy Operations (HIVE)</v>
      </c>
      <c r="R129" s="2" t="str">
        <f>IF(
    _xlfn.XLOOKUP($Q129,'EA-Fortescue_SDExport'!A:A,'EA-Fortescue_SDExport'!B:B)="Object",
    _xlfn.XLOOKUP(
        _xlfn.XLOOKUP($A129,'EA-ConnectorExport'!A:A,'EA-ConnectorExport'!D:D),
        'EA-Fortescue_SDExport'!A:A,
        'EA-Fortescue_SDExport'!AA:AA
    ),
    _xlfn.XLOOKUP($Q129,'EA-Fortescue_SDExport'!A:A,'EA-Fortescue_SDExport'!AA:AA)
)</f>
        <v>Stakeholder</v>
      </c>
      <c r="S129" s="2" t="str">
        <f>_xlfn.LET(_xlpm.result, _xlfn.XLOOKUP($Q129,'EA-Fortescue_SDExport'!$A:$A,'EA-Fortescue_SDExport'!AB:AB), IF(_xlpm.result=0,"",_xlpm.result))</f>
        <v/>
      </c>
      <c r="T129" s="2" t="str">
        <f>_xlfn.LET(_xlpm.result, _xlfn.XLOOKUP($Q129,'EA-Fortescue_SDExport'!$A:$A,'EA-Fortescue_SDExport'!AC:AC), IF(_xlpm.result=0,"",_xlpm.result))</f>
        <v/>
      </c>
      <c r="U129" s="2" t="str">
        <f>_xlfn.LET(
    _xlpm.isObject, _xlfn.XLOOKUP($Q129,'EA-Fortescue_SDExport'!A:A,'EA-Fortescue_SDExport'!B:B),
    _xlpm.lookupKey, IF(_xlpm.isObject="Object",
        _xlfn.XLOOKUP($A129,'EA-ConnectorExport'!A:A,'EA-ConnectorExport'!D:D),
        $Q129
    ),
    _xlpm.result, _xlfn.XLOOKUP(_xlpm.lookupKey,'EA-Fortescue_SDExport'!A:A,'EA-Fortescue_SDExport'!AD:AD),
    IF(_xlpm.result=0,"",_xlpm.result)
)</f>
        <v/>
      </c>
      <c r="V129" s="2" t="str">
        <f>_xlfn.LET(
    _xlpm.isObject, _xlfn.XLOOKUP($Q129,'EA-Fortescue_SDExport'!A:A,'EA-Fortescue_SDExport'!B:B),
    _xlpm.lookupKey, IF(_xlpm.isObject="Object",
        _xlfn.XLOOKUP($A129,'EA-ConnectorExport'!A:A,'EA-ConnectorExport'!D:D),
        $Q129
    ),
    _xlpm.result, _xlfn.XLOOKUP(_xlpm.lookupKey,'EA-Fortescue_SDExport'!A:A,'EA-Fortescue_SDExport'!AE:AE),
    IF(_xlpm.result=0,"",_xlpm.result)
)</f>
        <v/>
      </c>
      <c r="W129" s="2" t="str">
        <f>_xlfn.LET(
    _xlpm.isObject, _xlfn.XLOOKUP($Q129,'EA-Fortescue_SDExport'!A:A,'EA-Fortescue_SDExport'!B:B),
    _xlpm.lookupKey, IF(_xlpm.isObject="Object",
        _xlfn.XLOOKUP($A129,'EA-ConnectorExport'!A:A,'EA-ConnectorExport'!D:D),
        $Q129
    ),
    _xlpm.result, _xlfn.XLOOKUP(_xlpm.lookupKey,'EA-Fortescue_SDExport'!A:A,'EA-Fortescue_SDExport'!AF:AF),
    IF(_xlpm.result=0,"",_xlpm.result)
)</f>
        <v/>
      </c>
      <c r="X129" s="2" t="str">
        <f>_xlfn.LET(
    _xlpm.isObject, _xlfn.XLOOKUP($Q129,'EA-Fortescue_SDExport'!A:A,'EA-Fortescue_SDExport'!B:B),
    _xlpm.lookupKey, IF(_xlpm.isObject="Object",
        _xlfn.XLOOKUP($A129,'EA-ConnectorExport'!A:A,'EA-ConnectorExport'!D:D),
        $Q129
    ),
    _xlpm.result, _xlfn.XLOOKUP(_xlpm.lookupKey,'EA-Fortescue_SDExport'!A:A,'EA-Fortescue_SDExport'!AG:AG),
    IF(_xlpm.result=0,"",_xlpm.result)
)</f>
        <v/>
      </c>
      <c r="Y129" s="2" t="str">
        <f>_xlfn.LET(
    _xlpm.status, _xlfn.XLOOKUP($A129,'EA-ConnectorExport'!$A:$A,'EA-ConnectorExport'!G:G),
    _xlpm.result, _xlfn.XLOOKUP($A129,'EA-ConnectorExport'!$A:$A,'EA-ConnectorExport'!H:H),
    IF(_xlpm.status="allocate", _xlpm.result, "")
)</f>
        <v>855DC-1541-ECL-001 Eclipse Planning</v>
      </c>
      <c r="Z129" s="2" t="str">
        <f>_xlfn.LET(
    _xlpm.isObject, _xlfn.XLOOKUP($Y129,'EA-Fortescue_SDExport'!A:A,'EA-Fortescue_SDExport'!B:B),
    _xlpm.lookupKey, IF(_xlpm.isObject="Object",
        _xlfn.XLOOKUP($A129,'EA-ConnectorExport'!A:A,'EA-ConnectorExport'!J:J),
        $Y129
    ),
    _xlpm.result, _xlfn.XLOOKUP(_xlpm.lookupKey,'EA-Fortescue_SDExport'!A:A,'EA-Fortescue_SDExport'!AA:AA),
    IF(_xlpm.result=0,"",_xlpm.result)
)</f>
        <v>Subsystem</v>
      </c>
      <c r="AA129" s="2" t="str">
        <f>_xlfn.LET(_xlpm.result, _xlfn.XLOOKUP($Y129,'EA-Fortescue_SDExport'!$A:$A,'EA-Fortescue_SDExport'!AB:AB), IF(_xlpm.result=0,"",_xlpm.result))</f>
        <v/>
      </c>
      <c r="AB129" s="2" t="str">
        <f>_xlfn.LET(_xlpm.result, _xlfn.XLOOKUP($Y129,'EA-Fortescue_SDExport'!$A:$A,'EA-Fortescue_SDExport'!AC:AC), IF(_xlpm.result=0,"",_xlpm.result))</f>
        <v/>
      </c>
      <c r="AC129" s="2" t="str">
        <f>_xlfn.LET(
    _xlpm.isObject, _xlfn.XLOOKUP($Y129,'EA-Fortescue_SDExport'!A:A,'EA-Fortescue_SDExport'!B:B),
    _xlpm.lookupKey, IF(_xlpm.isObject="Object",
        _xlfn.XLOOKUP($A129,'EA-ConnectorExport'!A:A,'EA-ConnectorExport'!J:J),
        $Y129
    ),
    _xlpm.result, _xlfn.XLOOKUP(_xlpm.lookupKey,'EA-Fortescue_SDExport'!A:A,'EA-Fortescue_SDExport'!AD:AD),
    IF(_xlpm.result=0,"",_xlpm.result)
)</f>
        <v>855DC Decarb Green Systems</v>
      </c>
      <c r="AD129" s="2" t="str">
        <f>_xlfn.LET(
    _xlpm.isObject, _xlfn.XLOOKUP($Y129,'EA-Fortescue_SDExport'!A:A,'EA-Fortescue_SDExport'!B:B),
    _xlpm.lookupKey, IF(_xlpm.isObject="Object",
        _xlfn.XLOOKUP($A129,'EA-ConnectorExport'!A:A,'EA-ConnectorExport'!J:J),
        $Y129
    ),
    _xlpm.result, _xlfn.XLOOKUP(_xlpm.lookupKey,'EA-Fortescue_SDExport'!A:A,'EA-Fortescue_SDExport'!AE:AE),
    IF(_xlpm.result=0,"",_xlpm.result)
)</f>
        <v>855DC-1541 Planning and Forecast Systems</v>
      </c>
      <c r="AE129" s="2" t="str">
        <f>_xlfn.LET(
    _xlpm.isObject, _xlfn.XLOOKUP($Y129,'EA-Fortescue_SDExport'!A:A,'EA-Fortescue_SDExport'!B:B),
    _xlpm.lookupKey, IF(_xlpm.isObject="Object",
        _xlfn.XLOOKUP($A129,'EA-ConnectorExport'!A:A,'EA-ConnectorExport'!J:J),
        $Y129
    ),
    _xlpm.result, _xlfn.XLOOKUP(_xlpm.lookupKey,'EA-Fortescue_SDExport'!A:A,'EA-Fortescue_SDExport'!AF:AF),
    IF(_xlpm.result=0,"",_xlpm.result)
)</f>
        <v>855DC-1541-ECL Eclipse</v>
      </c>
      <c r="AF129" s="2" t="str">
        <f>_xlfn.LET(
    _xlpm.isObject, _xlfn.XLOOKUP($Y129,'EA-Fortescue_SDExport'!A:A,'EA-Fortescue_SDExport'!B:B),
    _xlpm.lookupKey, IF(_xlpm.isObject="Object",
        _xlfn.XLOOKUP($A129,'EA-ConnectorExport'!A:A,'EA-ConnectorExport'!J:J),
        $Y129
    ),
    _xlpm.result, _xlfn.XLOOKUP(_xlpm.lookupKey,'EA-Fortescue_SDExport'!A:A,'EA-Fortescue_SDExport'!AG:AG),
    IF(_xlpm.result=0,"",_xlpm.result)
)</f>
        <v>855DC-1541-ECL-001 Eclipse Planning</v>
      </c>
    </row>
    <row r="130" spans="1:32" ht="210" x14ac:dyDescent="0.25">
      <c r="A130" s="2" t="str">
        <v>DGS-I_0129</v>
      </c>
      <c r="B130" s="2" t="str">
        <f t="shared" si="4"/>
        <v>855DC-1541-ECL-001 Eclipse Planning|Operations Planning</v>
      </c>
      <c r="C130" s="2" t="str">
        <f>_xlfn.LET(_xlpm.result, _xlfn.XLOOKUP(A130,'EA-Fortescue_SDExport'!A:A,'EA-Fortescue_SDExport'!AM:AM), IF(_xlpm.result=0,"",_xlpm.result))</f>
        <v/>
      </c>
      <c r="D130" s="2" t="str">
        <f>_xlfn.LET(_xlpm.result, _xlfn.XLOOKUP(A130,'EA-Fortescue_SDExport'!A:A,'EA-Fortescue_SDExport'!AN:AN), IF(_xlpm.result=0,"",_xlpm.result))</f>
        <v/>
      </c>
      <c r="E130" s="2" t="str">
        <f>_xlfn.XLOOKUP(R130&amp;Z130,Lookups!A:A,Lookups!B:B)</f>
        <v>Stakeholder - Subsystem Interface</v>
      </c>
      <c r="F130" s="2" t="str">
        <f>_xlfn.LET(_xlpm.result, _xlfn.XLOOKUP(A130,'EA-Fortescue_SDExport'!A:A,'EA-Fortescue_SDExport'!AP:AP), IF(_xlpm.result=0,"",_xlpm.result))</f>
        <v>Functional-Operational</v>
      </c>
      <c r="G130" s="2" t="str">
        <f>IF(OR(AND(T130&lt;&gt;"", COUNTIF(Lookups!J:J, "*"&amp;T130&amp;"*")&gt;0), AND(AB130&lt;&gt;"", COUNTIF(Lookups!J:J, "*"&amp;AB130&amp;"*")&gt;0)), "Yes", "No")</f>
        <v>No</v>
      </c>
      <c r="H130" s="2" t="str">
        <f t="shared" si="5"/>
        <v>855DC Decarb Green Systems|N/A</v>
      </c>
      <c r="I130" s="2" t="str">
        <f t="shared" si="6"/>
        <v>855DC-1541 Planning and Forecast Systems|N/A</v>
      </c>
      <c r="J130" s="2" t="str">
        <f t="shared" si="7"/>
        <v>855DC-1541-ECL Eclipse|N/A</v>
      </c>
      <c r="K130" s="2" t="str">
        <f>_xlfn.XLOOKUP(A130,'EA-Fortescue_SDExport'!A:A,'EA-Fortescue_SDExport'!N:N)</f>
        <v>Proposed</v>
      </c>
      <c r="L130" s="2" t="str">
        <f>_xlfn.LET(_xlpm.result, _xlfn.XLOOKUP($A130,'EA-Fortescue_SDExport'!$A:$A,'EA-Fortescue_SDExport'!AQ:AQ), IF(_xlpm.result=0,"",_xlpm.result))</f>
        <v>Eclipse HMI - Operational Run Plans &amp; Weather Scenario Interface_x000D_
The purpose of this interface is to provide the Operations Planning team with a central workspace through the Eclipse Human-Machine Interface (HMI) to create, review, and adjust run plans while visualising live and forecasted weather scenarios. This allows planners to understand how weather, equipment status, and energy conditions impact operational plans in the short and medium term._x000D_
Intermediate Elements: an HMI visual layer connected to Eclipse planning tools and Snowflake datasets.</v>
      </c>
      <c r="M130" s="2" t="str">
        <f>_xlfn.LET(_xlpm.result, _xlfn.XLOOKUP($A130,'EA-Fortescue_SDExport'!$A:$A,'EA-Fortescue_SDExport'!AR:AR), IF(_xlpm.result=0,"",_xlpm.result))</f>
        <v>HIGH</v>
      </c>
      <c r="N130" s="2" t="str">
        <f>_xlfn.LET(_xlpm.result, _xlfn.XLOOKUP($A130,'EA-Fortescue_SDExport'!$A:$A,'EA-Fortescue_SDExport'!AW:AW), IF(_xlpm.result=0,"",_xlpm.result))</f>
        <v>The criticality level is HIGH because the HMI is essential for informed decision-making, enabling planners to evaluate multiple scenarios and adjust operations based on real-time and forecasted conditions, thereby maintaining operational alignment.</v>
      </c>
      <c r="O130" s="2" t="str">
        <f>_xlfn.LET(_xlpm.result, _xlfn.XLOOKUP($A130,'EA-Fortescue_SDExport'!$A:$A,'EA-Fortescue_SDExport'!AV:AV), IF(_xlpm.result=0,"",_xlpm.result))</f>
        <v>Eclipse planning engine -&gt; Eclipse HMI -&gt; Operators/Planners.</v>
      </c>
      <c r="P130" s="2" t="str">
        <f>_xlfn.LET(_xlpm.result, _xlfn.XLOOKUP($A130,'EA-Fortescue_SDExport'!$A:$A,'EA-Fortescue_SDExport'!D:D), IF(_xlpm.result=0,"",_xlpm.result))</f>
        <v>NH 25/02/2026: Fields updated:Interface Type</v>
      </c>
      <c r="Q130" s="2" t="str">
        <f>_xlfn.LET(
    _xlpm.status, _xlfn.XLOOKUP($A130,'EA-ConnectorExport'!$A:$A,'EA-ConnectorExport'!G:G),
    _xlpm.result, _xlfn.XLOOKUP($A130,'EA-ConnectorExport'!$A:$A,'EA-ConnectorExport'!B:B),
    IF(_xlpm.status="allocate", _xlpm.result, "")
)</f>
        <v>855DC-1541-ECL-001 Eclipse Planning</v>
      </c>
      <c r="R130" s="2" t="str">
        <f>IF(
    _xlfn.XLOOKUP($Q130,'EA-Fortescue_SDExport'!A:A,'EA-Fortescue_SDExport'!B:B)="Object",
    _xlfn.XLOOKUP(
        _xlfn.XLOOKUP($A130,'EA-ConnectorExport'!A:A,'EA-ConnectorExport'!D:D),
        'EA-Fortescue_SDExport'!A:A,
        'EA-Fortescue_SDExport'!AA:AA
    ),
    _xlfn.XLOOKUP($Q130,'EA-Fortescue_SDExport'!A:A,'EA-Fortescue_SDExport'!AA:AA)
)</f>
        <v>Subsystem</v>
      </c>
      <c r="S130" s="2" t="str">
        <f>_xlfn.LET(_xlpm.result, _xlfn.XLOOKUP($Q130,'EA-Fortescue_SDExport'!$A:$A,'EA-Fortescue_SDExport'!AB:AB), IF(_xlpm.result=0,"",_xlpm.result))</f>
        <v/>
      </c>
      <c r="T130" s="2" t="str">
        <f>_xlfn.LET(_xlpm.result, _xlfn.XLOOKUP($Q130,'EA-Fortescue_SDExport'!$A:$A,'EA-Fortescue_SDExport'!AC:AC), IF(_xlpm.result=0,"",_xlpm.result))</f>
        <v/>
      </c>
      <c r="U130" s="2" t="str">
        <f>_xlfn.LET(
    _xlpm.isObject, _xlfn.XLOOKUP($Q130,'EA-Fortescue_SDExport'!A:A,'EA-Fortescue_SDExport'!B:B),
    _xlpm.lookupKey, IF(_xlpm.isObject="Object",
        _xlfn.XLOOKUP($A130,'EA-ConnectorExport'!A:A,'EA-ConnectorExport'!D:D),
        $Q130
    ),
    _xlpm.result, _xlfn.XLOOKUP(_xlpm.lookupKey,'EA-Fortescue_SDExport'!A:A,'EA-Fortescue_SDExport'!AD:AD),
    IF(_xlpm.result=0,"",_xlpm.result)
)</f>
        <v>855DC Decarb Green Systems</v>
      </c>
      <c r="V130" s="2" t="str">
        <f>_xlfn.LET(
    _xlpm.isObject, _xlfn.XLOOKUP($Q130,'EA-Fortescue_SDExport'!A:A,'EA-Fortescue_SDExport'!B:B),
    _xlpm.lookupKey, IF(_xlpm.isObject="Object",
        _xlfn.XLOOKUP($A130,'EA-ConnectorExport'!A:A,'EA-ConnectorExport'!D:D),
        $Q130
    ),
    _xlpm.result, _xlfn.XLOOKUP(_xlpm.lookupKey,'EA-Fortescue_SDExport'!A:A,'EA-Fortescue_SDExport'!AE:AE),
    IF(_xlpm.result=0,"",_xlpm.result)
)</f>
        <v>855DC-1541 Planning and Forecast Systems</v>
      </c>
      <c r="W130" s="2" t="str">
        <f>_xlfn.LET(
    _xlpm.isObject, _xlfn.XLOOKUP($Q130,'EA-Fortescue_SDExport'!A:A,'EA-Fortescue_SDExport'!B:B),
    _xlpm.lookupKey, IF(_xlpm.isObject="Object",
        _xlfn.XLOOKUP($A130,'EA-ConnectorExport'!A:A,'EA-ConnectorExport'!D:D),
        $Q130
    ),
    _xlpm.result, _xlfn.XLOOKUP(_xlpm.lookupKey,'EA-Fortescue_SDExport'!A:A,'EA-Fortescue_SDExport'!AF:AF),
    IF(_xlpm.result=0,"",_xlpm.result)
)</f>
        <v>855DC-1541-ECL Eclipse</v>
      </c>
      <c r="X130" s="2" t="str">
        <f>_xlfn.LET(
    _xlpm.isObject, _xlfn.XLOOKUP($Q130,'EA-Fortescue_SDExport'!A:A,'EA-Fortescue_SDExport'!B:B),
    _xlpm.lookupKey, IF(_xlpm.isObject="Object",
        _xlfn.XLOOKUP($A130,'EA-ConnectorExport'!A:A,'EA-ConnectorExport'!D:D),
        $Q130
    ),
    _xlpm.result, _xlfn.XLOOKUP(_xlpm.lookupKey,'EA-Fortescue_SDExport'!A:A,'EA-Fortescue_SDExport'!AG:AG),
    IF(_xlpm.result=0,"",_xlpm.result)
)</f>
        <v>855DC-1541-ECL-001 Eclipse Planning</v>
      </c>
      <c r="Y130" s="2" t="str">
        <f>_xlfn.LET(
    _xlpm.status, _xlfn.XLOOKUP($A130,'EA-ConnectorExport'!$A:$A,'EA-ConnectorExport'!G:G),
    _xlpm.result, _xlfn.XLOOKUP($A130,'EA-ConnectorExport'!$A:$A,'EA-ConnectorExport'!H:H),
    IF(_xlpm.status="allocate", _xlpm.result, "")
)</f>
        <v>Operations Planning</v>
      </c>
      <c r="Z130" s="2" t="str">
        <f>_xlfn.LET(
    _xlpm.isObject, _xlfn.XLOOKUP($Y130,'EA-Fortescue_SDExport'!A:A,'EA-Fortescue_SDExport'!B:B),
    _xlpm.lookupKey, IF(_xlpm.isObject="Object",
        _xlfn.XLOOKUP($A130,'EA-ConnectorExport'!A:A,'EA-ConnectorExport'!J:J),
        $Y130
    ),
    _xlpm.result, _xlfn.XLOOKUP(_xlpm.lookupKey,'EA-Fortescue_SDExport'!A:A,'EA-Fortescue_SDExport'!AA:AA),
    IF(_xlpm.result=0,"",_xlpm.result)
)</f>
        <v>Stakeholder</v>
      </c>
      <c r="AA130" s="2" t="str">
        <f>_xlfn.LET(_xlpm.result, _xlfn.XLOOKUP($Y130,'EA-Fortescue_SDExport'!$A:$A,'EA-Fortescue_SDExport'!AB:AB), IF(_xlpm.result=0,"",_xlpm.result))</f>
        <v/>
      </c>
      <c r="AB130" s="2" t="str">
        <f>_xlfn.LET(_xlpm.result, _xlfn.XLOOKUP($Y130,'EA-Fortescue_SDExport'!$A:$A,'EA-Fortescue_SDExport'!AC:AC), IF(_xlpm.result=0,"",_xlpm.result))</f>
        <v/>
      </c>
      <c r="AC130" s="2" t="str">
        <f>_xlfn.LET(
    _xlpm.isObject, _xlfn.XLOOKUP($Y130,'EA-Fortescue_SDExport'!A:A,'EA-Fortescue_SDExport'!B:B),
    _xlpm.lookupKey, IF(_xlpm.isObject="Object",
        _xlfn.XLOOKUP($A130,'EA-ConnectorExport'!A:A,'EA-ConnectorExport'!J:J),
        $Y130
    ),
    _xlpm.result, _xlfn.XLOOKUP(_xlpm.lookupKey,'EA-Fortescue_SDExport'!A:A,'EA-Fortescue_SDExport'!AD:AD),
    IF(_xlpm.result=0,"",_xlpm.result)
)</f>
        <v/>
      </c>
      <c r="AD130" s="2" t="str">
        <f>_xlfn.LET(
    _xlpm.isObject, _xlfn.XLOOKUP($Y130,'EA-Fortescue_SDExport'!A:A,'EA-Fortescue_SDExport'!B:B),
    _xlpm.lookupKey, IF(_xlpm.isObject="Object",
        _xlfn.XLOOKUP($A130,'EA-ConnectorExport'!A:A,'EA-ConnectorExport'!J:J),
        $Y130
    ),
    _xlpm.result, _xlfn.XLOOKUP(_xlpm.lookupKey,'EA-Fortescue_SDExport'!A:A,'EA-Fortescue_SDExport'!AE:AE),
    IF(_xlpm.result=0,"",_xlpm.result)
)</f>
        <v/>
      </c>
      <c r="AE130" s="2" t="str">
        <f>_xlfn.LET(
    _xlpm.isObject, _xlfn.XLOOKUP($Y130,'EA-Fortescue_SDExport'!A:A,'EA-Fortescue_SDExport'!B:B),
    _xlpm.lookupKey, IF(_xlpm.isObject="Object",
        _xlfn.XLOOKUP($A130,'EA-ConnectorExport'!A:A,'EA-ConnectorExport'!J:J),
        $Y130
    ),
    _xlpm.result, _xlfn.XLOOKUP(_xlpm.lookupKey,'EA-Fortescue_SDExport'!A:A,'EA-Fortescue_SDExport'!AF:AF),
    IF(_xlpm.result=0,"",_xlpm.result)
)</f>
        <v/>
      </c>
      <c r="AF130" s="2" t="str">
        <f>_xlfn.LET(
    _xlpm.isObject, _xlfn.XLOOKUP($Y130,'EA-Fortescue_SDExport'!A:A,'EA-Fortescue_SDExport'!B:B),
    _xlpm.lookupKey, IF(_xlpm.isObject="Object",
        _xlfn.XLOOKUP($A130,'EA-ConnectorExport'!A:A,'EA-ConnectorExport'!J:J),
        $Y130
    ),
    _xlpm.result, _xlfn.XLOOKUP(_xlpm.lookupKey,'EA-Fortescue_SDExport'!A:A,'EA-Fortescue_SDExport'!AG:AG),
    IF(_xlpm.result=0,"",_xlpm.result)
)</f>
        <v/>
      </c>
    </row>
    <row r="131" spans="1:32" ht="75" x14ac:dyDescent="0.25">
      <c r="A131" s="2" t="str">
        <v>DGS-I_0130</v>
      </c>
      <c r="B131" s="2" t="str">
        <f t="shared" ref="B131:B194" si="8">Q131 &amp; "|" &amp; Y131</f>
        <v>HIVE|855DC-1541-ECL-002 Online Security Constrained Unit Commitment (SCUC)</v>
      </c>
      <c r="C131" s="2" t="str">
        <f>_xlfn.LET(_xlpm.result, _xlfn.XLOOKUP(A131,'EA-Fortescue_SDExport'!A:A,'EA-Fortescue_SDExport'!AM:AM), IF(_xlpm.result=0,"",_xlpm.result))</f>
        <v/>
      </c>
      <c r="D131" s="2" t="str">
        <f>_xlfn.LET(_xlpm.result, _xlfn.XLOOKUP(A131,'EA-Fortescue_SDExport'!A:A,'EA-Fortescue_SDExport'!AN:AN), IF(_xlpm.result=0,"",_xlpm.result))</f>
        <v/>
      </c>
      <c r="E131" s="2" t="str">
        <f>_xlfn.XLOOKUP(R131&amp;Z131,Lookups!A:A,Lookups!B:B)</f>
        <v>Stakeholder - Subsystem Interface</v>
      </c>
      <c r="F131" s="2" t="str">
        <f>_xlfn.LET(_xlpm.result, _xlfn.XLOOKUP(A131,'EA-Fortescue_SDExport'!A:A,'EA-Fortescue_SDExport'!AP:AP), IF(_xlpm.result=0,"",_xlpm.result))</f>
        <v/>
      </c>
      <c r="G131" s="2" t="str">
        <f>IF(OR(AND(T131&lt;&gt;"", COUNTIF(Lookups!J:J, "*"&amp;T131&amp;"*")&gt;0), AND(AB131&lt;&gt;"", COUNTIF(Lookups!J:J, "*"&amp;AB131&amp;"*")&gt;0)), "Yes", "No")</f>
        <v>No</v>
      </c>
      <c r="H131" s="2" t="str">
        <f t="shared" ref="H131:H194" si="9">IF(AND(U131="",AC131=""),"N/A",IF(U131="", "N/A|" &amp; AC131, IF(AC131="", U131 &amp; "|N/A", U131 &amp; "|" &amp; AC131)))</f>
        <v>N/A|855DC Decarb Green Systems</v>
      </c>
      <c r="I131" s="2" t="str">
        <f t="shared" ref="I131:I194" si="10">IF(AND(V131="",AD131=""),"N/A",IF(V131="","N/A|" &amp; AD131,IF(AD131="",V131 &amp; "|N/A",V131 &amp; "|" &amp; AD131)))</f>
        <v>N/A|855DC-1541 Planning and Forecast Systems</v>
      </c>
      <c r="J131" s="2" t="str">
        <f t="shared" ref="J131:J194" si="11">IF(AND(W131="",AE131=""),"N/A",IF(W131="","N/A|" &amp; AE131,IF(AE131="",W131 &amp; "|N/A",W131 &amp; "|" &amp; AE131)))</f>
        <v>N/A|855DC-1541-ECL Eclipse</v>
      </c>
      <c r="K131" s="2" t="str">
        <f>_xlfn.XLOOKUP(A131,'EA-Fortescue_SDExport'!A:A,'EA-Fortescue_SDExport'!N:N)</f>
        <v>Deleted</v>
      </c>
      <c r="L131" s="2" t="str">
        <f>_xlfn.LET(_xlpm.result, _xlfn.XLOOKUP($A131,'EA-Fortescue_SDExport'!$A:$A,'EA-Fortescue_SDExport'!AQ:AQ), IF(_xlpm.result=0,"",_xlpm.result))</f>
        <v/>
      </c>
      <c r="M131" s="2" t="str">
        <f>_xlfn.LET(_xlpm.result, _xlfn.XLOOKUP($A131,'EA-Fortescue_SDExport'!$A:$A,'EA-Fortescue_SDExport'!AR:AR), IF(_xlpm.result=0,"",_xlpm.result))</f>
        <v/>
      </c>
      <c r="N131" s="2" t="str">
        <f>_xlfn.LET(_xlpm.result, _xlfn.XLOOKUP($A131,'EA-Fortescue_SDExport'!$A:$A,'EA-Fortescue_SDExport'!AW:AW), IF(_xlpm.result=0,"",_xlpm.result))</f>
        <v/>
      </c>
      <c r="O131" s="2" t="str">
        <f>_xlfn.LET(_xlpm.result, _xlfn.XLOOKUP($A131,'EA-Fortescue_SDExport'!$A:$A,'EA-Fortescue_SDExport'!AV:AV), IF(_xlpm.result=0,"",_xlpm.result))</f>
        <v/>
      </c>
      <c r="P131" s="2" t="str">
        <f>_xlfn.LET(_xlpm.result, _xlfn.XLOOKUP($A131,'EA-Fortescue_SDExport'!$A:$A,'EA-Fortescue_SDExport'!D:D), IF(_xlpm.result=0,"",_xlpm.result))</f>
        <v>Interface Review 25/11/2025: Delete (Energy Operations sit in the HIVE)</v>
      </c>
      <c r="Q131" s="2" t="str">
        <f>_xlfn.LET(
    _xlpm.status, _xlfn.XLOOKUP($A131,'EA-ConnectorExport'!$A:$A,'EA-ConnectorExport'!G:G),
    _xlpm.result, _xlfn.XLOOKUP($A131,'EA-ConnectorExport'!$A:$A,'EA-ConnectorExport'!B:B),
    IF(_xlpm.status="allocate", _xlpm.result, "")
)</f>
        <v>HIVE</v>
      </c>
      <c r="R131" s="2" t="str">
        <f>IF(
    _xlfn.XLOOKUP($Q131,'EA-Fortescue_SDExport'!A:A,'EA-Fortescue_SDExport'!B:B)="Object",
    _xlfn.XLOOKUP(
        _xlfn.XLOOKUP($A131,'EA-ConnectorExport'!A:A,'EA-ConnectorExport'!D:D),
        'EA-Fortescue_SDExport'!A:A,
        'EA-Fortescue_SDExport'!AA:AA
    ),
    _xlfn.XLOOKUP($Q131,'EA-Fortescue_SDExport'!A:A,'EA-Fortescue_SDExport'!AA:AA)
)</f>
        <v>Stakeholder</v>
      </c>
      <c r="S131" s="2" t="str">
        <f>_xlfn.LET(_xlpm.result, _xlfn.XLOOKUP($Q131,'EA-Fortescue_SDExport'!$A:$A,'EA-Fortescue_SDExport'!AB:AB), IF(_xlpm.result=0,"",_xlpm.result))</f>
        <v>Charlotte Lavin (Ops Readiness)</v>
      </c>
      <c r="T131" s="2" t="str">
        <f>_xlfn.LET(_xlpm.result, _xlfn.XLOOKUP($Q131,'EA-Fortescue_SDExport'!$A:$A,'EA-Fortescue_SDExport'!AC:AC), IF(_xlpm.result=0,"",_xlpm.result))</f>
        <v/>
      </c>
      <c r="U131" s="2" t="str">
        <f>_xlfn.LET(
    _xlpm.isObject, _xlfn.XLOOKUP($Q131,'EA-Fortescue_SDExport'!A:A,'EA-Fortescue_SDExport'!B:B),
    _xlpm.lookupKey, IF(_xlpm.isObject="Object",
        _xlfn.XLOOKUP($A131,'EA-ConnectorExport'!A:A,'EA-ConnectorExport'!D:D),
        $Q131
    ),
    _xlpm.result, _xlfn.XLOOKUP(_xlpm.lookupKey,'EA-Fortescue_SDExport'!A:A,'EA-Fortescue_SDExport'!AD:AD),
    IF(_xlpm.result=0,"",_xlpm.result)
)</f>
        <v/>
      </c>
      <c r="V131" s="2" t="str">
        <f>_xlfn.LET(
    _xlpm.isObject, _xlfn.XLOOKUP($Q131,'EA-Fortescue_SDExport'!A:A,'EA-Fortescue_SDExport'!B:B),
    _xlpm.lookupKey, IF(_xlpm.isObject="Object",
        _xlfn.XLOOKUP($A131,'EA-ConnectorExport'!A:A,'EA-ConnectorExport'!D:D),
        $Q131
    ),
    _xlpm.result, _xlfn.XLOOKUP(_xlpm.lookupKey,'EA-Fortescue_SDExport'!A:A,'EA-Fortescue_SDExport'!AE:AE),
    IF(_xlpm.result=0,"",_xlpm.result)
)</f>
        <v/>
      </c>
      <c r="W131" s="2" t="str">
        <f>_xlfn.LET(
    _xlpm.isObject, _xlfn.XLOOKUP($Q131,'EA-Fortescue_SDExport'!A:A,'EA-Fortescue_SDExport'!B:B),
    _xlpm.lookupKey, IF(_xlpm.isObject="Object",
        _xlfn.XLOOKUP($A131,'EA-ConnectorExport'!A:A,'EA-ConnectorExport'!D:D),
        $Q131
    ),
    _xlpm.result, _xlfn.XLOOKUP(_xlpm.lookupKey,'EA-Fortescue_SDExport'!A:A,'EA-Fortescue_SDExport'!AF:AF),
    IF(_xlpm.result=0,"",_xlpm.result)
)</f>
        <v/>
      </c>
      <c r="X131" s="2" t="str">
        <f>_xlfn.LET(
    _xlpm.isObject, _xlfn.XLOOKUP($Q131,'EA-Fortescue_SDExport'!A:A,'EA-Fortescue_SDExport'!B:B),
    _xlpm.lookupKey, IF(_xlpm.isObject="Object",
        _xlfn.XLOOKUP($A131,'EA-ConnectorExport'!A:A,'EA-ConnectorExport'!D:D),
        $Q131
    ),
    _xlpm.result, _xlfn.XLOOKUP(_xlpm.lookupKey,'EA-Fortescue_SDExport'!A:A,'EA-Fortescue_SDExport'!AG:AG),
    IF(_xlpm.result=0,"",_xlpm.result)
)</f>
        <v/>
      </c>
      <c r="Y131" s="2" t="str">
        <f>_xlfn.LET(
    _xlpm.status, _xlfn.XLOOKUP($A131,'EA-ConnectorExport'!$A:$A,'EA-ConnectorExport'!G:G),
    _xlpm.result, _xlfn.XLOOKUP($A131,'EA-ConnectorExport'!$A:$A,'EA-ConnectorExport'!H:H),
    IF(_xlpm.status="allocate", _xlpm.result, "")
)</f>
        <v>855DC-1541-ECL-002 Online Security Constrained Unit Commitment (SCUC)</v>
      </c>
      <c r="Z131" s="2" t="str">
        <f>_xlfn.LET(
    _xlpm.isObject, _xlfn.XLOOKUP($Y131,'EA-Fortescue_SDExport'!A:A,'EA-Fortescue_SDExport'!B:B),
    _xlpm.lookupKey, IF(_xlpm.isObject="Object",
        _xlfn.XLOOKUP($A131,'EA-ConnectorExport'!A:A,'EA-ConnectorExport'!J:J),
        $Y131
    ),
    _xlpm.result, _xlfn.XLOOKUP(_xlpm.lookupKey,'EA-Fortescue_SDExport'!A:A,'EA-Fortescue_SDExport'!AA:AA),
    IF(_xlpm.result=0,"",_xlpm.result)
)</f>
        <v>Subsystem</v>
      </c>
      <c r="AA131" s="2" t="str">
        <f>_xlfn.LET(_xlpm.result, _xlfn.XLOOKUP($Y131,'EA-Fortescue_SDExport'!$A:$A,'EA-Fortescue_SDExport'!AB:AB), IF(_xlpm.result=0,"",_xlpm.result))</f>
        <v/>
      </c>
      <c r="AB131" s="2" t="str">
        <f>_xlfn.LET(_xlpm.result, _xlfn.XLOOKUP($Y131,'EA-Fortescue_SDExport'!$A:$A,'EA-Fortescue_SDExport'!AC:AC), IF(_xlpm.result=0,"",_xlpm.result))</f>
        <v/>
      </c>
      <c r="AC131" s="2" t="str">
        <f>_xlfn.LET(
    _xlpm.isObject, _xlfn.XLOOKUP($Y131,'EA-Fortescue_SDExport'!A:A,'EA-Fortescue_SDExport'!B:B),
    _xlpm.lookupKey, IF(_xlpm.isObject="Object",
        _xlfn.XLOOKUP($A131,'EA-ConnectorExport'!A:A,'EA-ConnectorExport'!J:J),
        $Y131
    ),
    _xlpm.result, _xlfn.XLOOKUP(_xlpm.lookupKey,'EA-Fortescue_SDExport'!A:A,'EA-Fortescue_SDExport'!AD:AD),
    IF(_xlpm.result=0,"",_xlpm.result)
)</f>
        <v>855DC Decarb Green Systems</v>
      </c>
      <c r="AD131" s="2" t="str">
        <f>_xlfn.LET(
    _xlpm.isObject, _xlfn.XLOOKUP($Y131,'EA-Fortescue_SDExport'!A:A,'EA-Fortescue_SDExport'!B:B),
    _xlpm.lookupKey, IF(_xlpm.isObject="Object",
        _xlfn.XLOOKUP($A131,'EA-ConnectorExport'!A:A,'EA-ConnectorExport'!J:J),
        $Y131
    ),
    _xlpm.result, _xlfn.XLOOKUP(_xlpm.lookupKey,'EA-Fortescue_SDExport'!A:A,'EA-Fortescue_SDExport'!AE:AE),
    IF(_xlpm.result=0,"",_xlpm.result)
)</f>
        <v>855DC-1541 Planning and Forecast Systems</v>
      </c>
      <c r="AE131" s="2" t="str">
        <f>_xlfn.LET(
    _xlpm.isObject, _xlfn.XLOOKUP($Y131,'EA-Fortescue_SDExport'!A:A,'EA-Fortescue_SDExport'!B:B),
    _xlpm.lookupKey, IF(_xlpm.isObject="Object",
        _xlfn.XLOOKUP($A131,'EA-ConnectorExport'!A:A,'EA-ConnectorExport'!J:J),
        $Y131
    ),
    _xlpm.result, _xlfn.XLOOKUP(_xlpm.lookupKey,'EA-Fortescue_SDExport'!A:A,'EA-Fortescue_SDExport'!AF:AF),
    IF(_xlpm.result=0,"",_xlpm.result)
)</f>
        <v>855DC-1541-ECL Eclipse</v>
      </c>
      <c r="AF131" s="2" t="str">
        <f>_xlfn.LET(
    _xlpm.isObject, _xlfn.XLOOKUP($Y131,'EA-Fortescue_SDExport'!A:A,'EA-Fortescue_SDExport'!B:B),
    _xlpm.lookupKey, IF(_xlpm.isObject="Object",
        _xlfn.XLOOKUP($A131,'EA-ConnectorExport'!A:A,'EA-ConnectorExport'!J:J),
        $Y131
    ),
    _xlpm.result, _xlfn.XLOOKUP(_xlpm.lookupKey,'EA-Fortescue_SDExport'!A:A,'EA-Fortescue_SDExport'!AG:AG),
    IF(_xlpm.result=0,"",_xlpm.result)
)</f>
        <v>855DC-1541-ECL-002 Online Security Constrained Unit Commitment (SCUC)</v>
      </c>
    </row>
    <row r="132" spans="1:32" ht="60" x14ac:dyDescent="0.25">
      <c r="A132" s="2" t="str">
        <v>DGS-I_0131</v>
      </c>
      <c r="B132" s="2" t="str">
        <f t="shared" si="8"/>
        <v>855DC-1541-ECL-001 Eclipse Planning|Technical Services</v>
      </c>
      <c r="C132" s="2" t="str">
        <f>_xlfn.LET(_xlpm.result, _xlfn.XLOOKUP(A132,'EA-Fortescue_SDExport'!A:A,'EA-Fortescue_SDExport'!AM:AM), IF(_xlpm.result=0,"",_xlpm.result))</f>
        <v/>
      </c>
      <c r="D132" s="2" t="str">
        <f>_xlfn.LET(_xlpm.result, _xlfn.XLOOKUP(A132,'EA-Fortescue_SDExport'!A:A,'EA-Fortescue_SDExport'!AN:AN), IF(_xlpm.result=0,"",_xlpm.result))</f>
        <v/>
      </c>
      <c r="E132" s="2" t="str">
        <f>_xlfn.XLOOKUP(R132&amp;Z132,Lookups!A:A,Lookups!B:B)</f>
        <v>Stakeholder - Subsystem Interface</v>
      </c>
      <c r="F132" s="2" t="str">
        <f>_xlfn.LET(_xlpm.result, _xlfn.XLOOKUP(A132,'EA-Fortescue_SDExport'!A:A,'EA-Fortescue_SDExport'!AP:AP), IF(_xlpm.result=0,"",_xlpm.result))</f>
        <v>Functional-Operational</v>
      </c>
      <c r="G132" s="2" t="str">
        <f>IF(OR(AND(T132&lt;&gt;"", COUNTIF(Lookups!J:J, "*"&amp;T132&amp;"*")&gt;0), AND(AB132&lt;&gt;"", COUNTIF(Lookups!J:J, "*"&amp;AB132&amp;"*")&gt;0)), "Yes", "No")</f>
        <v>No</v>
      </c>
      <c r="H132" s="2" t="str">
        <f t="shared" si="9"/>
        <v>855DC Decarb Green Systems|N/A</v>
      </c>
      <c r="I132" s="2" t="str">
        <f t="shared" si="10"/>
        <v>855DC-1541 Planning and Forecast Systems|N/A</v>
      </c>
      <c r="J132" s="2" t="str">
        <f t="shared" si="11"/>
        <v>855DC-1541-ECL Eclipse|N/A</v>
      </c>
      <c r="K132" s="2" t="str">
        <f>_xlfn.XLOOKUP(A132,'EA-Fortescue_SDExport'!A:A,'EA-Fortescue_SDExport'!N:N)</f>
        <v>Proposed</v>
      </c>
      <c r="L132" s="2" t="str">
        <f>_xlfn.LET(_xlpm.result, _xlfn.XLOOKUP($A132,'EA-Fortescue_SDExport'!$A:$A,'EA-Fortescue_SDExport'!AQ:AQ), IF(_xlpm.result=0,"",_xlpm.result))</f>
        <v>This interface allows personnel to interact with Eclipse to run plans and weather scenarios (including 10-year and life-of-mine plans) and process those plans through Eclipse to optimise them.</v>
      </c>
      <c r="M132" s="2" t="str">
        <f>_xlfn.LET(_xlpm.result, _xlfn.XLOOKUP($A132,'EA-Fortescue_SDExport'!$A:$A,'EA-Fortescue_SDExport'!AR:AR), IF(_xlpm.result=0,"",_xlpm.result))</f>
        <v>HIGH</v>
      </c>
      <c r="N132" s="2" t="str">
        <f>_xlfn.LET(_xlpm.result, _xlfn.XLOOKUP($A132,'EA-Fortescue_SDExport'!$A:$A,'EA-Fortescue_SDExport'!AW:AW), IF(_xlpm.result=0,"",_xlpm.result))</f>
        <v>This interface is rated HIGH because it enables strategic and operational optimisation across short- and long-term planning horizons. Inability to run or analyse scenarios limits forecasting accuracy, reduces confidence in capacity planning, and may lead to inefficient generation, storage, and infrastructure investment decisions. While real-time control systems remain operational, the quality and safety margin of future dispatch and infrastructure decisions depend heavily on this interface.</v>
      </c>
      <c r="O132" s="2" t="str">
        <f>_xlfn.LET(_xlpm.result, _xlfn.XLOOKUP($A132,'EA-Fortescue_SDExport'!$A:$A,'EA-Fortescue_SDExport'!AV:AV), IF(_xlpm.result=0,"",_xlpm.result))</f>
        <v>Data Flow: Users -&gt; ECL Eclipse (mine plans, weather scenarios, long-term assumptions, input parameters, planning constraints) to execute optimisation runs._x000D_
Data Flow: ECL Eclipse -&gt; Users (optimised plans, scenario outputs, generation schedules, performance forecasts, sensitivity analyses) for review and decision-making.</v>
      </c>
      <c r="P132" s="2" t="str">
        <f>_xlfn.LET(_xlpm.result, _xlfn.XLOOKUP($A132,'EA-Fortescue_SDExport'!$A:$A,'EA-Fortescue_SDExport'!D:D), IF(_xlpm.result=0,"",_xlpm.result))</f>
        <v>NH 20/02/2026: Fields updated: Interface Type, Interface Criticality Explanation, Interface Flow.</v>
      </c>
      <c r="Q132" s="2" t="str">
        <f>_xlfn.LET(
    _xlpm.status, _xlfn.XLOOKUP($A132,'EA-ConnectorExport'!$A:$A,'EA-ConnectorExport'!G:G),
    _xlpm.result, _xlfn.XLOOKUP($A132,'EA-ConnectorExport'!$A:$A,'EA-ConnectorExport'!B:B),
    IF(_xlpm.status="allocate", _xlpm.result, "")
)</f>
        <v>855DC-1541-ECL-001 Eclipse Planning</v>
      </c>
      <c r="R132" s="2" t="str">
        <f>IF(
    _xlfn.XLOOKUP($Q132,'EA-Fortescue_SDExport'!A:A,'EA-Fortescue_SDExport'!B:B)="Object",
    _xlfn.XLOOKUP(
        _xlfn.XLOOKUP($A132,'EA-ConnectorExport'!A:A,'EA-ConnectorExport'!D:D),
        'EA-Fortescue_SDExport'!A:A,
        'EA-Fortescue_SDExport'!AA:AA
    ),
    _xlfn.XLOOKUP($Q132,'EA-Fortescue_SDExport'!A:A,'EA-Fortescue_SDExport'!AA:AA)
)</f>
        <v>Subsystem</v>
      </c>
      <c r="S132" s="2" t="str">
        <f>_xlfn.LET(_xlpm.result, _xlfn.XLOOKUP($Q132,'EA-Fortescue_SDExport'!$A:$A,'EA-Fortescue_SDExport'!AB:AB), IF(_xlpm.result=0,"",_xlpm.result))</f>
        <v/>
      </c>
      <c r="T132" s="2" t="str">
        <f>_xlfn.LET(_xlpm.result, _xlfn.XLOOKUP($Q132,'EA-Fortescue_SDExport'!$A:$A,'EA-Fortescue_SDExport'!AC:AC), IF(_xlpm.result=0,"",_xlpm.result))</f>
        <v/>
      </c>
      <c r="U132" s="2" t="str">
        <f>_xlfn.LET(
    _xlpm.isObject, _xlfn.XLOOKUP($Q132,'EA-Fortescue_SDExport'!A:A,'EA-Fortescue_SDExport'!B:B),
    _xlpm.lookupKey, IF(_xlpm.isObject="Object",
        _xlfn.XLOOKUP($A132,'EA-ConnectorExport'!A:A,'EA-ConnectorExport'!D:D),
        $Q132
    ),
    _xlpm.result, _xlfn.XLOOKUP(_xlpm.lookupKey,'EA-Fortescue_SDExport'!A:A,'EA-Fortescue_SDExport'!AD:AD),
    IF(_xlpm.result=0,"",_xlpm.result)
)</f>
        <v>855DC Decarb Green Systems</v>
      </c>
      <c r="V132" s="2" t="str">
        <f>_xlfn.LET(
    _xlpm.isObject, _xlfn.XLOOKUP($Q132,'EA-Fortescue_SDExport'!A:A,'EA-Fortescue_SDExport'!B:B),
    _xlpm.lookupKey, IF(_xlpm.isObject="Object",
        _xlfn.XLOOKUP($A132,'EA-ConnectorExport'!A:A,'EA-ConnectorExport'!D:D),
        $Q132
    ),
    _xlpm.result, _xlfn.XLOOKUP(_xlpm.lookupKey,'EA-Fortescue_SDExport'!A:A,'EA-Fortescue_SDExport'!AE:AE),
    IF(_xlpm.result=0,"",_xlpm.result)
)</f>
        <v>855DC-1541 Planning and Forecast Systems</v>
      </c>
      <c r="W132" s="2" t="str">
        <f>_xlfn.LET(
    _xlpm.isObject, _xlfn.XLOOKUP($Q132,'EA-Fortescue_SDExport'!A:A,'EA-Fortescue_SDExport'!B:B),
    _xlpm.lookupKey, IF(_xlpm.isObject="Object",
        _xlfn.XLOOKUP($A132,'EA-ConnectorExport'!A:A,'EA-ConnectorExport'!D:D),
        $Q132
    ),
    _xlpm.result, _xlfn.XLOOKUP(_xlpm.lookupKey,'EA-Fortescue_SDExport'!A:A,'EA-Fortescue_SDExport'!AF:AF),
    IF(_xlpm.result=0,"",_xlpm.result)
)</f>
        <v>855DC-1541-ECL Eclipse</v>
      </c>
      <c r="X132" s="2" t="str">
        <f>_xlfn.LET(
    _xlpm.isObject, _xlfn.XLOOKUP($Q132,'EA-Fortescue_SDExport'!A:A,'EA-Fortescue_SDExport'!B:B),
    _xlpm.lookupKey, IF(_xlpm.isObject="Object",
        _xlfn.XLOOKUP($A132,'EA-ConnectorExport'!A:A,'EA-ConnectorExport'!D:D),
        $Q132
    ),
    _xlpm.result, _xlfn.XLOOKUP(_xlpm.lookupKey,'EA-Fortescue_SDExport'!A:A,'EA-Fortescue_SDExport'!AG:AG),
    IF(_xlpm.result=0,"",_xlpm.result)
)</f>
        <v>855DC-1541-ECL-001 Eclipse Planning</v>
      </c>
      <c r="Y132" s="2" t="str">
        <f>_xlfn.LET(
    _xlpm.status, _xlfn.XLOOKUP($A132,'EA-ConnectorExport'!$A:$A,'EA-ConnectorExport'!G:G),
    _xlpm.result, _xlfn.XLOOKUP($A132,'EA-ConnectorExport'!$A:$A,'EA-ConnectorExport'!H:H),
    IF(_xlpm.status="allocate", _xlpm.result, "")
)</f>
        <v>Technical Services</v>
      </c>
      <c r="Z132" s="2" t="str">
        <f>_xlfn.LET(
    _xlpm.isObject, _xlfn.XLOOKUP($Y132,'EA-Fortescue_SDExport'!A:A,'EA-Fortescue_SDExport'!B:B),
    _xlpm.lookupKey, IF(_xlpm.isObject="Object",
        _xlfn.XLOOKUP($A132,'EA-ConnectorExport'!A:A,'EA-ConnectorExport'!J:J),
        $Y132
    ),
    _xlpm.result, _xlfn.XLOOKUP(_xlpm.lookupKey,'EA-Fortescue_SDExport'!A:A,'EA-Fortescue_SDExport'!AA:AA),
    IF(_xlpm.result=0,"",_xlpm.result)
)</f>
        <v>Stakeholder</v>
      </c>
      <c r="AA132" s="2" t="str">
        <f>_xlfn.LET(_xlpm.result, _xlfn.XLOOKUP($Y132,'EA-Fortescue_SDExport'!$A:$A,'EA-Fortescue_SDExport'!AB:AB), IF(_xlpm.result=0,"",_xlpm.result))</f>
        <v/>
      </c>
      <c r="AB132" s="2" t="str">
        <f>_xlfn.LET(_xlpm.result, _xlfn.XLOOKUP($Y132,'EA-Fortescue_SDExport'!$A:$A,'EA-Fortescue_SDExport'!AC:AC), IF(_xlpm.result=0,"",_xlpm.result))</f>
        <v/>
      </c>
      <c r="AC132" s="2" t="str">
        <f>_xlfn.LET(
    _xlpm.isObject, _xlfn.XLOOKUP($Y132,'EA-Fortescue_SDExport'!A:A,'EA-Fortescue_SDExport'!B:B),
    _xlpm.lookupKey, IF(_xlpm.isObject="Object",
        _xlfn.XLOOKUP($A132,'EA-ConnectorExport'!A:A,'EA-ConnectorExport'!J:J),
        $Y132
    ),
    _xlpm.result, _xlfn.XLOOKUP(_xlpm.lookupKey,'EA-Fortescue_SDExport'!A:A,'EA-Fortescue_SDExport'!AD:AD),
    IF(_xlpm.result=0,"",_xlpm.result)
)</f>
        <v/>
      </c>
      <c r="AD132" s="2" t="str">
        <f>_xlfn.LET(
    _xlpm.isObject, _xlfn.XLOOKUP($Y132,'EA-Fortescue_SDExport'!A:A,'EA-Fortescue_SDExport'!B:B),
    _xlpm.lookupKey, IF(_xlpm.isObject="Object",
        _xlfn.XLOOKUP($A132,'EA-ConnectorExport'!A:A,'EA-ConnectorExport'!J:J),
        $Y132
    ),
    _xlpm.result, _xlfn.XLOOKUP(_xlpm.lookupKey,'EA-Fortescue_SDExport'!A:A,'EA-Fortescue_SDExport'!AE:AE),
    IF(_xlpm.result=0,"",_xlpm.result)
)</f>
        <v/>
      </c>
      <c r="AE132" s="2" t="str">
        <f>_xlfn.LET(
    _xlpm.isObject, _xlfn.XLOOKUP($Y132,'EA-Fortescue_SDExport'!A:A,'EA-Fortescue_SDExport'!B:B),
    _xlpm.lookupKey, IF(_xlpm.isObject="Object",
        _xlfn.XLOOKUP($A132,'EA-ConnectorExport'!A:A,'EA-ConnectorExport'!J:J),
        $Y132
    ),
    _xlpm.result, _xlfn.XLOOKUP(_xlpm.lookupKey,'EA-Fortescue_SDExport'!A:A,'EA-Fortescue_SDExport'!AF:AF),
    IF(_xlpm.result=0,"",_xlpm.result)
)</f>
        <v/>
      </c>
      <c r="AF132" s="2" t="str">
        <f>_xlfn.LET(
    _xlpm.isObject, _xlfn.XLOOKUP($Y132,'EA-Fortescue_SDExport'!A:A,'EA-Fortescue_SDExport'!B:B),
    _xlpm.lookupKey, IF(_xlpm.isObject="Object",
        _xlfn.XLOOKUP($A132,'EA-ConnectorExport'!A:A,'EA-ConnectorExport'!J:J),
        $Y132
    ),
    _xlpm.result, _xlfn.XLOOKUP(_xlpm.lookupKey,'EA-Fortescue_SDExport'!A:A,'EA-Fortescue_SDExport'!AG:AG),
    IF(_xlpm.result=0,"",_xlpm.result)
)</f>
        <v/>
      </c>
    </row>
    <row r="133" spans="1:32" ht="165" x14ac:dyDescent="0.25">
      <c r="A133" s="2" t="str">
        <v>DGS-I_0132</v>
      </c>
      <c r="B133" s="2" t="str">
        <f t="shared" si="8"/>
        <v>855DC-1541-ECL-001 Eclipse Planning|Integrated Planning</v>
      </c>
      <c r="C133" s="2" t="str">
        <f>_xlfn.LET(_xlpm.result, _xlfn.XLOOKUP(A133,'EA-Fortescue_SDExport'!A:A,'EA-Fortescue_SDExport'!AM:AM), IF(_xlpm.result=0,"",_xlpm.result))</f>
        <v/>
      </c>
      <c r="D133" s="2" t="str">
        <f>_xlfn.LET(_xlpm.result, _xlfn.XLOOKUP(A133,'EA-Fortescue_SDExport'!A:A,'EA-Fortescue_SDExport'!AN:AN), IF(_xlpm.result=0,"",_xlpm.result))</f>
        <v/>
      </c>
      <c r="E133" s="2" t="str">
        <f>_xlfn.XLOOKUP(R133&amp;Z133,Lookups!A:A,Lookups!B:B)</f>
        <v>Stakeholder - Subsystem Interface</v>
      </c>
      <c r="F133" s="2" t="str">
        <f>_xlfn.LET(_xlpm.result, _xlfn.XLOOKUP(A133,'EA-Fortescue_SDExport'!A:A,'EA-Fortescue_SDExport'!AP:AP), IF(_xlpm.result=0,"",_xlpm.result))</f>
        <v>Project-Contractual/Organisational</v>
      </c>
      <c r="G133" s="2" t="str">
        <f>IF(OR(AND(T133&lt;&gt;"", COUNTIF(Lookups!J:J, "*"&amp;T133&amp;"*")&gt;0), AND(AB133&lt;&gt;"", COUNTIF(Lookups!J:J, "*"&amp;AB133&amp;"*")&gt;0)), "Yes", "No")</f>
        <v>No</v>
      </c>
      <c r="H133" s="2" t="str">
        <f t="shared" si="9"/>
        <v>855DC Decarb Green Systems|N/A</v>
      </c>
      <c r="I133" s="2" t="str">
        <f t="shared" si="10"/>
        <v>855DC-1541 Planning and Forecast Systems|N/A</v>
      </c>
      <c r="J133" s="2" t="str">
        <f t="shared" si="11"/>
        <v>855DC-1541-ECL Eclipse|N/A</v>
      </c>
      <c r="K133" s="2" t="str">
        <f>_xlfn.XLOOKUP(A133,'EA-Fortescue_SDExport'!A:A,'EA-Fortescue_SDExport'!N:N)</f>
        <v>Proposed</v>
      </c>
      <c r="L133" s="2" t="str">
        <f>_xlfn.LET(_xlpm.result, _xlfn.XLOOKUP($A133,'EA-Fortescue_SDExport'!$A:$A,'EA-Fortescue_SDExport'!AQ:AQ), IF(_xlpm.result=0,"",_xlpm.result))</f>
        <v>This interface connects the site-level Planning system with the wider Integrated Planning process so that production, energy, and operational plans can be coordinated across departments.</v>
      </c>
      <c r="M133" s="2" t="str">
        <f>_xlfn.LET(_xlpm.result, _xlfn.XLOOKUP($A133,'EA-Fortescue_SDExport'!$A:$A,'EA-Fortescue_SDExport'!AR:AR), IF(_xlpm.result=0,"",_xlpm.result))</f>
        <v>LOW</v>
      </c>
      <c r="N133" s="2" t="str">
        <f>_xlfn.LET(_xlpm.result, _xlfn.XLOOKUP($A133,'EA-Fortescue_SDExport'!$A:$A,'EA-Fortescue_SDExport'!AW:AW), IF(_xlpm.result=0,"",_xlpm.result))</f>
        <v>The criticality level is LOW because failure at this interface does not impact real-time production, safety, or operational control. It only affects planning coordination and workflow efficiency, which can be managed manually.</v>
      </c>
      <c r="O133" s="2" t="str">
        <f>_xlfn.LET(_xlpm.result, _xlfn.XLOOKUP($A133,'EA-Fortescue_SDExport'!$A:$A,'EA-Fortescue_SDExport'!AV:AV), IF(_xlpm.result=0,"",_xlpm.result))</f>
        <v>Data Flow:_x000D_
855DC-1541 ECL Eclipse (Site Planning System) -&gt; Integrated Planning process (cross-department coordination), transmitting production plans, energy forecasts, and operational schedules to support enterprise-level planning alignment across departments.</v>
      </c>
      <c r="P133" s="2" t="str">
        <f>_xlfn.LET(_xlpm.result, _xlfn.XLOOKUP($A133,'EA-Fortescue_SDExport'!$A:$A,'EA-Fortescue_SDExport'!D:D), IF(_xlpm.result=0,"",_xlpm.result))</f>
        <v/>
      </c>
      <c r="Q133" s="2" t="str">
        <f>_xlfn.LET(
    _xlpm.status, _xlfn.XLOOKUP($A133,'EA-ConnectorExport'!$A:$A,'EA-ConnectorExport'!G:G),
    _xlpm.result, _xlfn.XLOOKUP($A133,'EA-ConnectorExport'!$A:$A,'EA-ConnectorExport'!B:B),
    IF(_xlpm.status="allocate", _xlpm.result, "")
)</f>
        <v>855DC-1541-ECL-001 Eclipse Planning</v>
      </c>
      <c r="R133" s="2" t="str">
        <f>IF(
    _xlfn.XLOOKUP($Q133,'EA-Fortescue_SDExport'!A:A,'EA-Fortescue_SDExport'!B:B)="Object",
    _xlfn.XLOOKUP(
        _xlfn.XLOOKUP($A133,'EA-ConnectorExport'!A:A,'EA-ConnectorExport'!D:D),
        'EA-Fortescue_SDExport'!A:A,
        'EA-Fortescue_SDExport'!AA:AA
    ),
    _xlfn.XLOOKUP($Q133,'EA-Fortescue_SDExport'!A:A,'EA-Fortescue_SDExport'!AA:AA)
)</f>
        <v>Subsystem</v>
      </c>
      <c r="S133" s="2" t="str">
        <f>_xlfn.LET(_xlpm.result, _xlfn.XLOOKUP($Q133,'EA-Fortescue_SDExport'!$A:$A,'EA-Fortescue_SDExport'!AB:AB), IF(_xlpm.result=0,"",_xlpm.result))</f>
        <v/>
      </c>
      <c r="T133" s="2" t="str">
        <f>_xlfn.LET(_xlpm.result, _xlfn.XLOOKUP($Q133,'EA-Fortescue_SDExport'!$A:$A,'EA-Fortescue_SDExport'!AC:AC), IF(_xlpm.result=0,"",_xlpm.result))</f>
        <v/>
      </c>
      <c r="U133" s="2" t="str">
        <f>_xlfn.LET(
    _xlpm.isObject, _xlfn.XLOOKUP($Q133,'EA-Fortescue_SDExport'!A:A,'EA-Fortescue_SDExport'!B:B),
    _xlpm.lookupKey, IF(_xlpm.isObject="Object",
        _xlfn.XLOOKUP($A133,'EA-ConnectorExport'!A:A,'EA-ConnectorExport'!D:D),
        $Q133
    ),
    _xlpm.result, _xlfn.XLOOKUP(_xlpm.lookupKey,'EA-Fortescue_SDExport'!A:A,'EA-Fortescue_SDExport'!AD:AD),
    IF(_xlpm.result=0,"",_xlpm.result)
)</f>
        <v>855DC Decarb Green Systems</v>
      </c>
      <c r="V133" s="2" t="str">
        <f>_xlfn.LET(
    _xlpm.isObject, _xlfn.XLOOKUP($Q133,'EA-Fortescue_SDExport'!A:A,'EA-Fortescue_SDExport'!B:B),
    _xlpm.lookupKey, IF(_xlpm.isObject="Object",
        _xlfn.XLOOKUP($A133,'EA-ConnectorExport'!A:A,'EA-ConnectorExport'!D:D),
        $Q133
    ),
    _xlpm.result, _xlfn.XLOOKUP(_xlpm.lookupKey,'EA-Fortescue_SDExport'!A:A,'EA-Fortescue_SDExport'!AE:AE),
    IF(_xlpm.result=0,"",_xlpm.result)
)</f>
        <v>855DC-1541 Planning and Forecast Systems</v>
      </c>
      <c r="W133" s="2" t="str">
        <f>_xlfn.LET(
    _xlpm.isObject, _xlfn.XLOOKUP($Q133,'EA-Fortescue_SDExport'!A:A,'EA-Fortescue_SDExport'!B:B),
    _xlpm.lookupKey, IF(_xlpm.isObject="Object",
        _xlfn.XLOOKUP($A133,'EA-ConnectorExport'!A:A,'EA-ConnectorExport'!D:D),
        $Q133
    ),
    _xlpm.result, _xlfn.XLOOKUP(_xlpm.lookupKey,'EA-Fortescue_SDExport'!A:A,'EA-Fortescue_SDExport'!AF:AF),
    IF(_xlpm.result=0,"",_xlpm.result)
)</f>
        <v>855DC-1541-ECL Eclipse</v>
      </c>
      <c r="X133" s="2" t="str">
        <f>_xlfn.LET(
    _xlpm.isObject, _xlfn.XLOOKUP($Q133,'EA-Fortescue_SDExport'!A:A,'EA-Fortescue_SDExport'!B:B),
    _xlpm.lookupKey, IF(_xlpm.isObject="Object",
        _xlfn.XLOOKUP($A133,'EA-ConnectorExport'!A:A,'EA-ConnectorExport'!D:D),
        $Q133
    ),
    _xlpm.result, _xlfn.XLOOKUP(_xlpm.lookupKey,'EA-Fortescue_SDExport'!A:A,'EA-Fortescue_SDExport'!AG:AG),
    IF(_xlpm.result=0,"",_xlpm.result)
)</f>
        <v>855DC-1541-ECL-001 Eclipse Planning</v>
      </c>
      <c r="Y133" s="2" t="str">
        <f>_xlfn.LET(
    _xlpm.status, _xlfn.XLOOKUP($A133,'EA-ConnectorExport'!$A:$A,'EA-ConnectorExport'!G:G),
    _xlpm.result, _xlfn.XLOOKUP($A133,'EA-ConnectorExport'!$A:$A,'EA-ConnectorExport'!H:H),
    IF(_xlpm.status="allocate", _xlpm.result, "")
)</f>
        <v>Integrated Planning</v>
      </c>
      <c r="Z133" s="2" t="str">
        <f>_xlfn.LET(
    _xlpm.isObject, _xlfn.XLOOKUP($Y133,'EA-Fortescue_SDExport'!A:A,'EA-Fortescue_SDExport'!B:B),
    _xlpm.lookupKey, IF(_xlpm.isObject="Object",
        _xlfn.XLOOKUP($A133,'EA-ConnectorExport'!A:A,'EA-ConnectorExport'!J:J),
        $Y133
    ),
    _xlpm.result, _xlfn.XLOOKUP(_xlpm.lookupKey,'EA-Fortescue_SDExport'!A:A,'EA-Fortescue_SDExport'!AA:AA),
    IF(_xlpm.result=0,"",_xlpm.result)
)</f>
        <v>Stakeholder</v>
      </c>
      <c r="AA133" s="2" t="str">
        <f>_xlfn.LET(_xlpm.result, _xlfn.XLOOKUP($Y133,'EA-Fortescue_SDExport'!$A:$A,'EA-Fortescue_SDExport'!AB:AB), IF(_xlpm.result=0,"",_xlpm.result))</f>
        <v/>
      </c>
      <c r="AB133" s="2" t="str">
        <f>_xlfn.LET(_xlpm.result, _xlfn.XLOOKUP($Y133,'EA-Fortescue_SDExport'!$A:$A,'EA-Fortescue_SDExport'!AC:AC), IF(_xlpm.result=0,"",_xlpm.result))</f>
        <v/>
      </c>
      <c r="AC133" s="2" t="str">
        <f>_xlfn.LET(
    _xlpm.isObject, _xlfn.XLOOKUP($Y133,'EA-Fortescue_SDExport'!A:A,'EA-Fortescue_SDExport'!B:B),
    _xlpm.lookupKey, IF(_xlpm.isObject="Object",
        _xlfn.XLOOKUP($A133,'EA-ConnectorExport'!A:A,'EA-ConnectorExport'!J:J),
        $Y133
    ),
    _xlpm.result, _xlfn.XLOOKUP(_xlpm.lookupKey,'EA-Fortescue_SDExport'!A:A,'EA-Fortescue_SDExport'!AD:AD),
    IF(_xlpm.result=0,"",_xlpm.result)
)</f>
        <v/>
      </c>
      <c r="AD133" s="2" t="str">
        <f>_xlfn.LET(
    _xlpm.isObject, _xlfn.XLOOKUP($Y133,'EA-Fortescue_SDExport'!A:A,'EA-Fortescue_SDExport'!B:B),
    _xlpm.lookupKey, IF(_xlpm.isObject="Object",
        _xlfn.XLOOKUP($A133,'EA-ConnectorExport'!A:A,'EA-ConnectorExport'!J:J),
        $Y133
    ),
    _xlpm.result, _xlfn.XLOOKUP(_xlpm.lookupKey,'EA-Fortescue_SDExport'!A:A,'EA-Fortescue_SDExport'!AE:AE),
    IF(_xlpm.result=0,"",_xlpm.result)
)</f>
        <v/>
      </c>
      <c r="AE133" s="2" t="str">
        <f>_xlfn.LET(
    _xlpm.isObject, _xlfn.XLOOKUP($Y133,'EA-Fortescue_SDExport'!A:A,'EA-Fortescue_SDExport'!B:B),
    _xlpm.lookupKey, IF(_xlpm.isObject="Object",
        _xlfn.XLOOKUP($A133,'EA-ConnectorExport'!A:A,'EA-ConnectorExport'!J:J),
        $Y133
    ),
    _xlpm.result, _xlfn.XLOOKUP(_xlpm.lookupKey,'EA-Fortescue_SDExport'!A:A,'EA-Fortescue_SDExport'!AF:AF),
    IF(_xlpm.result=0,"",_xlpm.result)
)</f>
        <v/>
      </c>
      <c r="AF133" s="2" t="str">
        <f>_xlfn.LET(
    _xlpm.isObject, _xlfn.XLOOKUP($Y133,'EA-Fortescue_SDExport'!A:A,'EA-Fortescue_SDExport'!B:B),
    _xlpm.lookupKey, IF(_xlpm.isObject="Object",
        _xlfn.XLOOKUP($A133,'EA-ConnectorExport'!A:A,'EA-ConnectorExport'!J:J),
        $Y133
    ),
    _xlpm.result, _xlfn.XLOOKUP(_xlpm.lookupKey,'EA-Fortescue_SDExport'!A:A,'EA-Fortescue_SDExport'!AG:AG),
    IF(_xlpm.result=0,"",_xlpm.result)
)</f>
        <v/>
      </c>
    </row>
    <row r="134" spans="1:32" ht="270" x14ac:dyDescent="0.25">
      <c r="A134" s="2" t="str">
        <v>DGS-I_0133</v>
      </c>
      <c r="B134" s="2" t="str">
        <f t="shared" si="8"/>
        <v>850DC-1510 Chargers|855DC-1542-008 Mine Electrification SCADA</v>
      </c>
      <c r="C134" s="2" t="str">
        <f>_xlfn.LET(_xlpm.result, _xlfn.XLOOKUP(A134,'EA-Fortescue_SDExport'!A:A,'EA-Fortescue_SDExport'!AM:AM), IF(_xlpm.result=0,"",_xlpm.result))</f>
        <v/>
      </c>
      <c r="D134" s="2" t="str">
        <f>_xlfn.LET(_xlpm.result, _xlfn.XLOOKUP(A134,'EA-Fortescue_SDExport'!A:A,'EA-Fortescue_SDExport'!AN:AN), IF(_xlpm.result=0,"",_xlpm.result))</f>
        <v/>
      </c>
      <c r="E134" s="2" t="str">
        <f>_xlfn.XLOOKUP(R134&amp;Z134,Lookups!A:A,Lookups!B:B)</f>
        <v>System - Project Interface</v>
      </c>
      <c r="F134" s="2" t="str">
        <f>_xlfn.LET(_xlpm.result, _xlfn.XLOOKUP(A134,'EA-Fortescue_SDExport'!A:A,'EA-Fortescue_SDExport'!AP:AP), IF(_xlpm.result=0,"",_xlpm.result))</f>
        <v>Technical-Electrical</v>
      </c>
      <c r="G134" s="2" t="str">
        <f>IF(OR(AND(T134&lt;&gt;"", COUNTIF(Lookups!J:J, "*"&amp;T134&amp;"*")&gt;0), AND(AB134&lt;&gt;"", COUNTIF(Lookups!J:J, "*"&amp;AB134&amp;"*")&gt;0)), "Yes", "No")</f>
        <v>No</v>
      </c>
      <c r="H134" s="2" t="str">
        <f t="shared" si="9"/>
        <v>850DC Decarb Infrastructure|855DC Decarb Green Systems</v>
      </c>
      <c r="I134" s="2" t="str">
        <f t="shared" si="10"/>
        <v>850DC-1510 Chargers|855DC-1542 Control &amp; Monitoring Systems</v>
      </c>
      <c r="J134" s="2" t="str">
        <f t="shared" si="11"/>
        <v>N/A|855DC-1542-008 Mine Electrification SCADA</v>
      </c>
      <c r="K134" s="2" t="str">
        <f>_xlfn.XLOOKUP(A134,'EA-Fortescue_SDExport'!A:A,'EA-Fortescue_SDExport'!N:N)</f>
        <v>Simplified Interface</v>
      </c>
      <c r="L134" s="2" t="str">
        <f>_xlfn.LET(_xlpm.result, _xlfn.XLOOKUP($A134,'EA-Fortescue_SDExport'!$A:$A,'EA-Fortescue_SDExport'!AQ:AQ), IF(_xlpm.result=0,"",_xlpm.result))</f>
        <v>This interface sends charger status, load information, and electrical alarms from all charger types (HME, LME, auxiliary chargers) into Mine Electrification SCADA.</v>
      </c>
      <c r="M134" s="2" t="str">
        <f>_xlfn.LET(_xlpm.result, _xlfn.XLOOKUP($A134,'EA-Fortescue_SDExport'!$A:$A,'EA-Fortescue_SDExport'!AR:AR), IF(_xlpm.result=0,"",_xlpm.result))</f>
        <v>MEDIUM</v>
      </c>
      <c r="N134" s="2" t="str">
        <f>_xlfn.LET(_xlpm.result, _xlfn.XLOOKUP($A134,'EA-Fortescue_SDExport'!$A:$A,'EA-Fortescue_SDExport'!AW:AW), IF(_xlpm.result=0,"",_xlpm.result))</f>
        <v>The criticality level is MEDIUM because SCADA visibility enhances safety and coordination across the charging network, though basic charging can still occur without full SCADA telemetry. A failure decreases electrical situational awareness and may delay responses to faults or overloads. However, chargers generally fail-safe and do not immediately cease operation.</v>
      </c>
      <c r="O134" s="2" t="str">
        <f>_xlfn.LET(_xlpm.result, _xlfn.XLOOKUP($A134,'EA-Fortescue_SDExport'!$A:$A,'EA-Fortescue_SDExport'!AV:AV), IF(_xlpm.result=0,"",_xlpm.result))</f>
        <v>Chargers -&gt; Mine Electrification SCADA</v>
      </c>
      <c r="P134" s="2" t="str">
        <f>_xlfn.LET(_xlpm.result, _xlfn.XLOOKUP($A134,'EA-Fortescue_SDExport'!$A:$A,'EA-Fortescue_SDExport'!D:D), IF(_xlpm.result=0,"",_xlpm.result))</f>
        <v>LMS Review 30/10/2025: Trending data from chargers, diagnostics. OPC/UA_x000D_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Fields updated:Interface Type, Interface Flow</v>
      </c>
      <c r="Q134" s="2" t="str">
        <f>_xlfn.LET(
    _xlpm.status, _xlfn.XLOOKUP($A134,'EA-ConnectorExport'!$A:$A,'EA-ConnectorExport'!G:G),
    _xlpm.result, _xlfn.XLOOKUP($A134,'EA-ConnectorExport'!$A:$A,'EA-ConnectorExport'!B:B),
    IF(_xlpm.status="allocate", _xlpm.result, "")
)</f>
        <v>850DC-1510 Chargers</v>
      </c>
      <c r="R134" s="2" t="str">
        <f>IF(
    _xlfn.XLOOKUP($Q134,'EA-Fortescue_SDExport'!A:A,'EA-Fortescue_SDExport'!B:B)="Object",
    _xlfn.XLOOKUP(
        _xlfn.XLOOKUP($A134,'EA-ConnectorExport'!A:A,'EA-ConnectorExport'!D:D),
        'EA-Fortescue_SDExport'!A:A,
        'EA-Fortescue_SDExport'!AA:AA
    ),
    _xlfn.XLOOKUP($Q134,'EA-Fortescue_SDExport'!A:A,'EA-Fortescue_SDExport'!AA:AA)
)</f>
        <v>System</v>
      </c>
      <c r="S134" s="2" t="str">
        <f>_xlfn.LET(_xlpm.result, _xlfn.XLOOKUP($Q134,'EA-Fortescue_SDExport'!$A:$A,'EA-Fortescue_SDExport'!AB:AB), IF(_xlpm.result=0,"",_xlpm.result))</f>
        <v/>
      </c>
      <c r="T134" s="2" t="str">
        <f>_xlfn.LET(_xlpm.result, _xlfn.XLOOKUP($Q134,'EA-Fortescue_SDExport'!$A:$A,'EA-Fortescue_SDExport'!AC:AC), IF(_xlpm.result=0,"",_xlpm.result))</f>
        <v>Generic Physical Asset</v>
      </c>
      <c r="U134" s="2" t="str">
        <f>_xlfn.LET(
    _xlpm.isObject, _xlfn.XLOOKUP($Q134,'EA-Fortescue_SDExport'!A:A,'EA-Fortescue_SDExport'!B:B),
    _xlpm.lookupKey, IF(_xlpm.isObject="Object",
        _xlfn.XLOOKUP($A134,'EA-ConnectorExport'!A:A,'EA-ConnectorExport'!D:D),
        $Q134
    ),
    _xlpm.result, _xlfn.XLOOKUP(_xlpm.lookupKey,'EA-Fortescue_SDExport'!A:A,'EA-Fortescue_SDExport'!AD:AD),
    IF(_xlpm.result=0,"",_xlpm.result)
)</f>
        <v>850DC Decarb Infrastructure</v>
      </c>
      <c r="V134" s="2" t="str">
        <f>_xlfn.LET(
    _xlpm.isObject, _xlfn.XLOOKUP($Q134,'EA-Fortescue_SDExport'!A:A,'EA-Fortescue_SDExport'!B:B),
    _xlpm.lookupKey, IF(_xlpm.isObject="Object",
        _xlfn.XLOOKUP($A134,'EA-ConnectorExport'!A:A,'EA-ConnectorExport'!D:D),
        $Q134
    ),
    _xlpm.result, _xlfn.XLOOKUP(_xlpm.lookupKey,'EA-Fortescue_SDExport'!A:A,'EA-Fortescue_SDExport'!AE:AE),
    IF(_xlpm.result=0,"",_xlpm.result)
)</f>
        <v>850DC-1510 Chargers</v>
      </c>
      <c r="W134" s="2" t="str">
        <f>_xlfn.LET(
    _xlpm.isObject, _xlfn.XLOOKUP($Q134,'EA-Fortescue_SDExport'!A:A,'EA-Fortescue_SDExport'!B:B),
    _xlpm.lookupKey, IF(_xlpm.isObject="Object",
        _xlfn.XLOOKUP($A134,'EA-ConnectorExport'!A:A,'EA-ConnectorExport'!D:D),
        $Q134
    ),
    _xlpm.result, _xlfn.XLOOKUP(_xlpm.lookupKey,'EA-Fortescue_SDExport'!A:A,'EA-Fortescue_SDExport'!AF:AF),
    IF(_xlpm.result=0,"",_xlpm.result)
)</f>
        <v/>
      </c>
      <c r="X134" s="2" t="str">
        <f>_xlfn.LET(
    _xlpm.isObject, _xlfn.XLOOKUP($Q134,'EA-Fortescue_SDExport'!A:A,'EA-Fortescue_SDExport'!B:B),
    _xlpm.lookupKey, IF(_xlpm.isObject="Object",
        _xlfn.XLOOKUP($A134,'EA-ConnectorExport'!A:A,'EA-ConnectorExport'!D:D),
        $Q134
    ),
    _xlpm.result, _xlfn.XLOOKUP(_xlpm.lookupKey,'EA-Fortescue_SDExport'!A:A,'EA-Fortescue_SDExport'!AG:AG),
    IF(_xlpm.result=0,"",_xlpm.result)
)</f>
        <v/>
      </c>
      <c r="Y134" s="2" t="str">
        <f>_xlfn.LET(
    _xlpm.status, _xlfn.XLOOKUP($A134,'EA-ConnectorExport'!$A:$A,'EA-ConnectorExport'!G:G),
    _xlpm.result, _xlfn.XLOOKUP($A134,'EA-ConnectorExport'!$A:$A,'EA-ConnectorExport'!H:H),
    IF(_xlpm.status="allocate", _xlpm.result, "")
)</f>
        <v>855DC-1542-008 Mine Electrification SCADA</v>
      </c>
      <c r="Z134" s="2" t="str">
        <f>_xlfn.LET(
    _xlpm.isObject, _xlfn.XLOOKUP($Y134,'EA-Fortescue_SDExport'!A:A,'EA-Fortescue_SDExport'!B:B),
    _xlpm.lookupKey, IF(_xlpm.isObject="Object",
        _xlfn.XLOOKUP($A134,'EA-ConnectorExport'!A:A,'EA-ConnectorExport'!J:J),
        $Y134
    ),
    _xlpm.result, _xlfn.XLOOKUP(_xlpm.lookupKey,'EA-Fortescue_SDExport'!A:A,'EA-Fortescue_SDExport'!AA:AA),
    IF(_xlpm.result=0,"",_xlpm.result)
)</f>
        <v>Project</v>
      </c>
      <c r="AA134" s="2" t="str">
        <f>_xlfn.LET(_xlpm.result, _xlfn.XLOOKUP($Y134,'EA-Fortescue_SDExport'!$A:$A,'EA-Fortescue_SDExport'!AB:AB), IF(_xlpm.result=0,"",_xlpm.result))</f>
        <v>Mine Services</v>
      </c>
      <c r="AB134" s="2" t="str">
        <f>_xlfn.LET(_xlpm.result, _xlfn.XLOOKUP($Y134,'EA-Fortescue_SDExport'!$A:$A,'EA-Fortescue_SDExport'!AC:AC), IF(_xlpm.result=0,"",_xlpm.result))</f>
        <v/>
      </c>
      <c r="AC134" s="2" t="str">
        <f>_xlfn.LET(
    _xlpm.isObject, _xlfn.XLOOKUP($Y134,'EA-Fortescue_SDExport'!A:A,'EA-Fortescue_SDExport'!B:B),
    _xlpm.lookupKey, IF(_xlpm.isObject="Object",
        _xlfn.XLOOKUP($A134,'EA-ConnectorExport'!A:A,'EA-ConnectorExport'!J:J),
        $Y134
    ),
    _xlpm.result, _xlfn.XLOOKUP(_xlpm.lookupKey,'EA-Fortescue_SDExport'!A:A,'EA-Fortescue_SDExport'!AD:AD),
    IF(_xlpm.result=0,"",_xlpm.result)
)</f>
        <v>855DC Decarb Green Systems</v>
      </c>
      <c r="AD134" s="2" t="str">
        <f>_xlfn.LET(
    _xlpm.isObject, _xlfn.XLOOKUP($Y134,'EA-Fortescue_SDExport'!A:A,'EA-Fortescue_SDExport'!B:B),
    _xlpm.lookupKey, IF(_xlpm.isObject="Object",
        _xlfn.XLOOKUP($A134,'EA-ConnectorExport'!A:A,'EA-ConnectorExport'!J:J),
        $Y134
    ),
    _xlpm.result, _xlfn.XLOOKUP(_xlpm.lookupKey,'EA-Fortescue_SDExport'!A:A,'EA-Fortescue_SDExport'!AE:AE),
    IF(_xlpm.result=0,"",_xlpm.result)
)</f>
        <v>855DC-1542 Control &amp; Monitoring Systems</v>
      </c>
      <c r="AE134" s="2" t="str">
        <f>_xlfn.LET(
    _xlpm.isObject, _xlfn.XLOOKUP($Y134,'EA-Fortescue_SDExport'!A:A,'EA-Fortescue_SDExport'!B:B),
    _xlpm.lookupKey, IF(_xlpm.isObject="Object",
        _xlfn.XLOOKUP($A134,'EA-ConnectorExport'!A:A,'EA-ConnectorExport'!J:J),
        $Y134
    ),
    _xlpm.result, _xlfn.XLOOKUP(_xlpm.lookupKey,'EA-Fortescue_SDExport'!A:A,'EA-Fortescue_SDExport'!AF:AF),
    IF(_xlpm.result=0,"",_xlpm.result)
)</f>
        <v>855DC-1542-008 Mine Electrification SCADA</v>
      </c>
      <c r="AF134" s="2" t="str">
        <f>_xlfn.LET(
    _xlpm.isObject, _xlfn.XLOOKUP($Y134,'EA-Fortescue_SDExport'!A:A,'EA-Fortescue_SDExport'!B:B),
    _xlpm.lookupKey, IF(_xlpm.isObject="Object",
        _xlfn.XLOOKUP($A134,'EA-ConnectorExport'!A:A,'EA-ConnectorExport'!J:J),
        $Y134
    ),
    _xlpm.result, _xlfn.XLOOKUP(_xlpm.lookupKey,'EA-Fortescue_SDExport'!A:A,'EA-Fortescue_SDExport'!AG:AG),
    IF(_xlpm.result=0,"",_xlpm.result)
)</f>
        <v/>
      </c>
    </row>
    <row r="135" spans="1:32" ht="45" x14ac:dyDescent="0.25">
      <c r="A135" s="2" t="str">
        <v>DGS-I_0134</v>
      </c>
      <c r="B135" s="2" t="str">
        <f t="shared" si="8"/>
        <v>Archive - 852DC Light Mobile Equipment (LME)|850DC-1510 Chargers</v>
      </c>
      <c r="C135" s="2" t="str">
        <f>_xlfn.LET(_xlpm.result, _xlfn.XLOOKUP(A135,'EA-Fortescue_SDExport'!A:A,'EA-Fortescue_SDExport'!AM:AM), IF(_xlpm.result=0,"",_xlpm.result))</f>
        <v/>
      </c>
      <c r="D135" s="2" t="str">
        <f>_xlfn.LET(_xlpm.result, _xlfn.XLOOKUP(A135,'EA-Fortescue_SDExport'!A:A,'EA-Fortescue_SDExport'!AN:AN), IF(_xlpm.result=0,"",_xlpm.result))</f>
        <v/>
      </c>
      <c r="E135" s="2" t="str">
        <f>_xlfn.XLOOKUP(R135&amp;Z135,Lookups!A:A,Lookups!B:B)</f>
        <v>Program - System Interface</v>
      </c>
      <c r="F135" s="2" t="str">
        <f>_xlfn.LET(_xlpm.result, _xlfn.XLOOKUP(A135,'EA-Fortescue_SDExport'!A:A,'EA-Fortescue_SDExport'!AP:AP), IF(_xlpm.result=0,"",_xlpm.result))</f>
        <v/>
      </c>
      <c r="G135" s="2" t="str">
        <f>IF(OR(AND(T135&lt;&gt;"", COUNTIF(Lookups!J:J, "*"&amp;T135&amp;"*")&gt;0), AND(AB135&lt;&gt;"", COUNTIF(Lookups!J:J, "*"&amp;AB135&amp;"*")&gt;0)), "Yes", "No")</f>
        <v>No</v>
      </c>
      <c r="H135" s="2" t="str">
        <f t="shared" si="9"/>
        <v>N/A|850DC Decarb Infrastructure</v>
      </c>
      <c r="I135" s="2" t="str">
        <f t="shared" si="10"/>
        <v>N/A|850DC-1510 Chargers</v>
      </c>
      <c r="J135" s="2" t="str">
        <f t="shared" si="11"/>
        <v>N/A</v>
      </c>
      <c r="K135" s="2" t="str">
        <f>_xlfn.XLOOKUP(A135,'EA-Fortescue_SDExport'!A:A,'EA-Fortescue_SDExport'!N:N)</f>
        <v>Deleted</v>
      </c>
      <c r="L135" s="2" t="str">
        <f>_xlfn.LET(_xlpm.result, _xlfn.XLOOKUP($A135,'EA-Fortescue_SDExport'!$A:$A,'EA-Fortescue_SDExport'!AQ:AQ), IF(_xlpm.result=0,"",_xlpm.result))</f>
        <v/>
      </c>
      <c r="M135" s="2" t="str">
        <f>_xlfn.LET(_xlpm.result, _xlfn.XLOOKUP($A135,'EA-Fortescue_SDExport'!$A:$A,'EA-Fortescue_SDExport'!AR:AR), IF(_xlpm.result=0,"",_xlpm.result))</f>
        <v/>
      </c>
      <c r="N135" s="2" t="str">
        <f>_xlfn.LET(_xlpm.result, _xlfn.XLOOKUP($A135,'EA-Fortescue_SDExport'!$A:$A,'EA-Fortescue_SDExport'!AW:AW), IF(_xlpm.result=0,"",_xlpm.result))</f>
        <v/>
      </c>
      <c r="O135" s="2" t="str">
        <f>_xlfn.LET(_xlpm.result, _xlfn.XLOOKUP($A135,'EA-Fortescue_SDExport'!$A:$A,'EA-Fortescue_SDExport'!AV:AV), IF(_xlpm.result=0,"",_xlpm.result))</f>
        <v/>
      </c>
      <c r="P135" s="2" t="str">
        <f>_xlfn.LET(_xlpm.result, _xlfn.XLOOKUP($A135,'EA-Fortescue_SDExport'!$A:$A,'EA-Fortescue_SDExport'!D:D), IF(_xlpm.result=0,"",_xlpm.result))</f>
        <v>SBS-WBS Mapping 02/01/2026: Delete LME &amp;amp; Merge LME &amp;amp; SME to combined Program Level - Interface deleted.</v>
      </c>
      <c r="Q135" s="2" t="str">
        <f>_xlfn.LET(
    _xlpm.status, _xlfn.XLOOKUP($A135,'EA-ConnectorExport'!$A:$A,'EA-ConnectorExport'!G:G),
    _xlpm.result, _xlfn.XLOOKUP($A135,'EA-ConnectorExport'!$A:$A,'EA-ConnectorExport'!B:B),
    IF(_xlpm.status="allocate", _xlpm.result, "")
)</f>
        <v>Archive - 852DC Light Mobile Equipment (LME)</v>
      </c>
      <c r="R135" s="2" t="str">
        <f>IF(
    _xlfn.XLOOKUP($Q135,'EA-Fortescue_SDExport'!A:A,'EA-Fortescue_SDExport'!B:B)="Object",
    _xlfn.XLOOKUP(
        _xlfn.XLOOKUP($A135,'EA-ConnectorExport'!A:A,'EA-ConnectorExport'!D:D),
        'EA-Fortescue_SDExport'!A:A,
        'EA-Fortescue_SDExport'!AA:AA
    ),
    _xlfn.XLOOKUP($Q135,'EA-Fortescue_SDExport'!A:A,'EA-Fortescue_SDExport'!AA:AA)
)</f>
        <v>Program</v>
      </c>
      <c r="S135" s="2" t="str">
        <f>_xlfn.LET(_xlpm.result, _xlfn.XLOOKUP($Q135,'EA-Fortescue_SDExport'!$A:$A,'EA-Fortescue_SDExport'!AB:AB), IF(_xlpm.result=0,"",_xlpm.result))</f>
        <v/>
      </c>
      <c r="T135" s="2" t="str">
        <f>_xlfn.LET(_xlpm.result, _xlfn.XLOOKUP($Q135,'EA-Fortescue_SDExport'!$A:$A,'EA-Fortescue_SDExport'!AC:AC), IF(_xlpm.result=0,"",_xlpm.result))</f>
        <v>Generic Physical Asset</v>
      </c>
      <c r="U135" s="2" t="str">
        <f>_xlfn.LET(
    _xlpm.isObject, _xlfn.XLOOKUP($Q135,'EA-Fortescue_SDExport'!A:A,'EA-Fortescue_SDExport'!B:B),
    _xlpm.lookupKey, IF(_xlpm.isObject="Object",
        _xlfn.XLOOKUP($A135,'EA-ConnectorExport'!A:A,'EA-ConnectorExport'!D:D),
        $Q135
    ),
    _xlpm.result, _xlfn.XLOOKUP(_xlpm.lookupKey,'EA-Fortescue_SDExport'!A:A,'EA-Fortescue_SDExport'!AD:AD),
    IF(_xlpm.result=0,"",_xlpm.result)
)</f>
        <v/>
      </c>
      <c r="V135" s="2" t="str">
        <f>_xlfn.LET(
    _xlpm.isObject, _xlfn.XLOOKUP($Q135,'EA-Fortescue_SDExport'!A:A,'EA-Fortescue_SDExport'!B:B),
    _xlpm.lookupKey, IF(_xlpm.isObject="Object",
        _xlfn.XLOOKUP($A135,'EA-ConnectorExport'!A:A,'EA-ConnectorExport'!D:D),
        $Q135
    ),
    _xlpm.result, _xlfn.XLOOKUP(_xlpm.lookupKey,'EA-Fortescue_SDExport'!A:A,'EA-Fortescue_SDExport'!AE:AE),
    IF(_xlpm.result=0,"",_xlpm.result)
)</f>
        <v/>
      </c>
      <c r="W135" s="2" t="str">
        <f>_xlfn.LET(
    _xlpm.isObject, _xlfn.XLOOKUP($Q135,'EA-Fortescue_SDExport'!A:A,'EA-Fortescue_SDExport'!B:B),
    _xlpm.lookupKey, IF(_xlpm.isObject="Object",
        _xlfn.XLOOKUP($A135,'EA-ConnectorExport'!A:A,'EA-ConnectorExport'!D:D),
        $Q135
    ),
    _xlpm.result, _xlfn.XLOOKUP(_xlpm.lookupKey,'EA-Fortescue_SDExport'!A:A,'EA-Fortescue_SDExport'!AF:AF),
    IF(_xlpm.result=0,"",_xlpm.result)
)</f>
        <v/>
      </c>
      <c r="X135" s="2" t="str">
        <f>_xlfn.LET(
    _xlpm.isObject, _xlfn.XLOOKUP($Q135,'EA-Fortescue_SDExport'!A:A,'EA-Fortescue_SDExport'!B:B),
    _xlpm.lookupKey, IF(_xlpm.isObject="Object",
        _xlfn.XLOOKUP($A135,'EA-ConnectorExport'!A:A,'EA-ConnectorExport'!D:D),
        $Q135
    ),
    _xlpm.result, _xlfn.XLOOKUP(_xlpm.lookupKey,'EA-Fortescue_SDExport'!A:A,'EA-Fortescue_SDExport'!AG:AG),
    IF(_xlpm.result=0,"",_xlpm.result)
)</f>
        <v/>
      </c>
      <c r="Y135" s="2" t="str">
        <f>_xlfn.LET(
    _xlpm.status, _xlfn.XLOOKUP($A135,'EA-ConnectorExport'!$A:$A,'EA-ConnectorExport'!G:G),
    _xlpm.result, _xlfn.XLOOKUP($A135,'EA-ConnectorExport'!$A:$A,'EA-ConnectorExport'!H:H),
    IF(_xlpm.status="allocate", _xlpm.result, "")
)</f>
        <v>850DC-1510 Chargers</v>
      </c>
      <c r="Z135" s="2" t="str">
        <f>_xlfn.LET(
    _xlpm.isObject, _xlfn.XLOOKUP($Y135,'EA-Fortescue_SDExport'!A:A,'EA-Fortescue_SDExport'!B:B),
    _xlpm.lookupKey, IF(_xlpm.isObject="Object",
        _xlfn.XLOOKUP($A135,'EA-ConnectorExport'!A:A,'EA-ConnectorExport'!J:J),
        $Y135
    ),
    _xlpm.result, _xlfn.XLOOKUP(_xlpm.lookupKey,'EA-Fortescue_SDExport'!A:A,'EA-Fortescue_SDExport'!AA:AA),
    IF(_xlpm.result=0,"",_xlpm.result)
)</f>
        <v>System</v>
      </c>
      <c r="AA135" s="2" t="str">
        <f>_xlfn.LET(_xlpm.result, _xlfn.XLOOKUP($Y135,'EA-Fortescue_SDExport'!$A:$A,'EA-Fortescue_SDExport'!AB:AB), IF(_xlpm.result=0,"",_xlpm.result))</f>
        <v/>
      </c>
      <c r="AB135" s="2" t="str">
        <f>_xlfn.LET(_xlpm.result, _xlfn.XLOOKUP($Y135,'EA-Fortescue_SDExport'!$A:$A,'EA-Fortescue_SDExport'!AC:AC), IF(_xlpm.result=0,"",_xlpm.result))</f>
        <v>Generic Physical Asset</v>
      </c>
      <c r="AC135" s="2" t="str">
        <f>_xlfn.LET(
    _xlpm.isObject, _xlfn.XLOOKUP($Y135,'EA-Fortescue_SDExport'!A:A,'EA-Fortescue_SDExport'!B:B),
    _xlpm.lookupKey, IF(_xlpm.isObject="Object",
        _xlfn.XLOOKUP($A135,'EA-ConnectorExport'!A:A,'EA-ConnectorExport'!J:J),
        $Y135
    ),
    _xlpm.result, _xlfn.XLOOKUP(_xlpm.lookupKey,'EA-Fortescue_SDExport'!A:A,'EA-Fortescue_SDExport'!AD:AD),
    IF(_xlpm.result=0,"",_xlpm.result)
)</f>
        <v>850DC Decarb Infrastructure</v>
      </c>
      <c r="AD135" s="2" t="str">
        <f>_xlfn.LET(
    _xlpm.isObject, _xlfn.XLOOKUP($Y135,'EA-Fortescue_SDExport'!A:A,'EA-Fortescue_SDExport'!B:B),
    _xlpm.lookupKey, IF(_xlpm.isObject="Object",
        _xlfn.XLOOKUP($A135,'EA-ConnectorExport'!A:A,'EA-ConnectorExport'!J:J),
        $Y135
    ),
    _xlpm.result, _xlfn.XLOOKUP(_xlpm.lookupKey,'EA-Fortescue_SDExport'!A:A,'EA-Fortescue_SDExport'!AE:AE),
    IF(_xlpm.result=0,"",_xlpm.result)
)</f>
        <v>850DC-1510 Chargers</v>
      </c>
      <c r="AE135" s="2" t="str">
        <f>_xlfn.LET(
    _xlpm.isObject, _xlfn.XLOOKUP($Y135,'EA-Fortescue_SDExport'!A:A,'EA-Fortescue_SDExport'!B:B),
    _xlpm.lookupKey, IF(_xlpm.isObject="Object",
        _xlfn.XLOOKUP($A135,'EA-ConnectorExport'!A:A,'EA-ConnectorExport'!J:J),
        $Y135
    ),
    _xlpm.result, _xlfn.XLOOKUP(_xlpm.lookupKey,'EA-Fortescue_SDExport'!A:A,'EA-Fortescue_SDExport'!AF:AF),
    IF(_xlpm.result=0,"",_xlpm.result)
)</f>
        <v/>
      </c>
      <c r="AF135" s="2" t="str">
        <f>_xlfn.LET(
    _xlpm.isObject, _xlfn.XLOOKUP($Y135,'EA-Fortescue_SDExport'!A:A,'EA-Fortescue_SDExport'!B:B),
    _xlpm.lookupKey, IF(_xlpm.isObject="Object",
        _xlfn.XLOOKUP($A135,'EA-ConnectorExport'!A:A,'EA-ConnectorExport'!J:J),
        $Y135
    ),
    _xlpm.result, _xlfn.XLOOKUP(_xlpm.lookupKey,'EA-Fortescue_SDExport'!A:A,'EA-Fortescue_SDExport'!AG:AG),
    IF(_xlpm.result=0,"",_xlpm.result)
)</f>
        <v/>
      </c>
    </row>
    <row r="136" spans="1:32" ht="60" x14ac:dyDescent="0.25">
      <c r="A136" s="2" t="str">
        <v>DGS-I_0135</v>
      </c>
      <c r="B136" s="2" t="str">
        <f t="shared" si="8"/>
        <v>852DC Light Mobile Equipment (LME) &amp; Support Mobile Equipment (SME)|850DC-1510 Chargers</v>
      </c>
      <c r="C136" s="2" t="str">
        <f>_xlfn.LET(_xlpm.result, _xlfn.XLOOKUP(A136,'EA-Fortescue_SDExport'!A:A,'EA-Fortescue_SDExport'!AM:AM), IF(_xlpm.result=0,"",_xlpm.result))</f>
        <v/>
      </c>
      <c r="D136" s="2" t="str">
        <f>_xlfn.LET(_xlpm.result, _xlfn.XLOOKUP(A136,'EA-Fortescue_SDExport'!A:A,'EA-Fortescue_SDExport'!AN:AN), IF(_xlpm.result=0,"",_xlpm.result))</f>
        <v/>
      </c>
      <c r="E136" s="2" t="str">
        <f>_xlfn.XLOOKUP(R136&amp;Z136,Lookups!A:A,Lookups!B:B)</f>
        <v>Program - System Interface</v>
      </c>
      <c r="F136" s="2" t="str">
        <f>_xlfn.LET(_xlpm.result, _xlfn.XLOOKUP(A136,'EA-Fortescue_SDExport'!A:A,'EA-Fortescue_SDExport'!AP:AP), IF(_xlpm.result=0,"",_xlpm.result))</f>
        <v/>
      </c>
      <c r="G136" s="2" t="str">
        <f>IF(OR(AND(T136&lt;&gt;"", COUNTIF(Lookups!J:J, "*"&amp;T136&amp;"*")&gt;0), AND(AB136&lt;&gt;"", COUNTIF(Lookups!J:J, "*"&amp;AB136&amp;"*")&gt;0)), "Yes", "No")</f>
        <v>No</v>
      </c>
      <c r="H136" s="2" t="str">
        <f t="shared" si="9"/>
        <v>852DC Light Mobile Equipment (LME) &amp; Support Mobile Equipment (SME)|850DC Decarb Infrastructure</v>
      </c>
      <c r="I136" s="2" t="str">
        <f t="shared" si="10"/>
        <v>N/A|850DC-1510 Chargers</v>
      </c>
      <c r="J136" s="2" t="str">
        <f t="shared" si="11"/>
        <v>N/A</v>
      </c>
      <c r="K136" s="2" t="str">
        <f>_xlfn.XLOOKUP(A136,'EA-Fortescue_SDExport'!A:A,'EA-Fortescue_SDExport'!N:N)</f>
        <v>Simplified Interface</v>
      </c>
      <c r="L136" s="2" t="str">
        <f>_xlfn.LET(_xlpm.result, _xlfn.XLOOKUP($A136,'EA-Fortescue_SDExport'!$A:$A,'EA-Fortescue_SDExport'!AQ:AQ), IF(_xlpm.result=0,"",_xlpm.result))</f>
        <v/>
      </c>
      <c r="M136" s="2" t="str">
        <f>_xlfn.LET(_xlpm.result, _xlfn.XLOOKUP($A136,'EA-Fortescue_SDExport'!$A:$A,'EA-Fortescue_SDExport'!AR:AR), IF(_xlpm.result=0,"",_xlpm.result))</f>
        <v/>
      </c>
      <c r="N136" s="2" t="str">
        <f>_xlfn.LET(_xlpm.result, _xlfn.XLOOKUP($A136,'EA-Fortescue_SDExport'!$A:$A,'EA-Fortescue_SDExport'!AW:AW), IF(_xlpm.result=0,"",_xlpm.result))</f>
        <v/>
      </c>
      <c r="O136" s="2" t="str">
        <f>_xlfn.LET(_xlpm.result, _xlfn.XLOOKUP($A136,'EA-Fortescue_SDExport'!$A:$A,'EA-Fortescue_SDExport'!AV:AV), IF(_xlpm.result=0,"",_xlpm.result))</f>
        <v/>
      </c>
      <c r="P136" s="2" t="str">
        <f>_xlfn.LET(_xlpm.result, _xlfn.XLOOKUP($A136,'EA-Fortescue_SDExport'!$A:$A,'EA-Fortescue_SDExport'!D:D), IF(_xlpm.result=0,"",_xlpm.result))</f>
        <v/>
      </c>
      <c r="Q136" s="2" t="str">
        <f>_xlfn.LET(
    _xlpm.status, _xlfn.XLOOKUP($A136,'EA-ConnectorExport'!$A:$A,'EA-ConnectorExport'!G:G),
    _xlpm.result, _xlfn.XLOOKUP($A136,'EA-ConnectorExport'!$A:$A,'EA-ConnectorExport'!B:B),
    IF(_xlpm.status="allocate", _xlpm.result, "")
)</f>
        <v>852DC Light Mobile Equipment (LME) &amp; Support Mobile Equipment (SME)</v>
      </c>
      <c r="R136" s="2" t="str">
        <f>IF(
    _xlfn.XLOOKUP($Q136,'EA-Fortescue_SDExport'!A:A,'EA-Fortescue_SDExport'!B:B)="Object",
    _xlfn.XLOOKUP(
        _xlfn.XLOOKUP($A136,'EA-ConnectorExport'!A:A,'EA-ConnectorExport'!D:D),
        'EA-Fortescue_SDExport'!A:A,
        'EA-Fortescue_SDExport'!AA:AA
    ),
    _xlfn.XLOOKUP($Q136,'EA-Fortescue_SDExport'!A:A,'EA-Fortescue_SDExport'!AA:AA)
)</f>
        <v>Program</v>
      </c>
      <c r="S136" s="2" t="str">
        <f>_xlfn.LET(_xlpm.result, _xlfn.XLOOKUP($Q136,'EA-Fortescue_SDExport'!$A:$A,'EA-Fortescue_SDExport'!AB:AB), IF(_xlpm.result=0,"",_xlpm.result))</f>
        <v/>
      </c>
      <c r="T136" s="2" t="str">
        <f>_xlfn.LET(_xlpm.result, _xlfn.XLOOKUP($Q136,'EA-Fortescue_SDExport'!$A:$A,'EA-Fortescue_SDExport'!AC:AC), IF(_xlpm.result=0,"",_xlpm.result))</f>
        <v>Generic Physical Asset</v>
      </c>
      <c r="U136" s="2" t="str">
        <f>_xlfn.LET(
    _xlpm.isObject, _xlfn.XLOOKUP($Q136,'EA-Fortescue_SDExport'!A:A,'EA-Fortescue_SDExport'!B:B),
    _xlpm.lookupKey, IF(_xlpm.isObject="Object",
        _xlfn.XLOOKUP($A136,'EA-ConnectorExport'!A:A,'EA-ConnectorExport'!D:D),
        $Q136
    ),
    _xlpm.result, _xlfn.XLOOKUP(_xlpm.lookupKey,'EA-Fortescue_SDExport'!A:A,'EA-Fortescue_SDExport'!AD:AD),
    IF(_xlpm.result=0,"",_xlpm.result)
)</f>
        <v>852DC Light Mobile Equipment (LME) &amp; Support Mobile Equipment (SME)</v>
      </c>
      <c r="V136" s="2" t="str">
        <f>_xlfn.LET(
    _xlpm.isObject, _xlfn.XLOOKUP($Q136,'EA-Fortescue_SDExport'!A:A,'EA-Fortescue_SDExport'!B:B),
    _xlpm.lookupKey, IF(_xlpm.isObject="Object",
        _xlfn.XLOOKUP($A136,'EA-ConnectorExport'!A:A,'EA-ConnectorExport'!D:D),
        $Q136
    ),
    _xlpm.result, _xlfn.XLOOKUP(_xlpm.lookupKey,'EA-Fortescue_SDExport'!A:A,'EA-Fortescue_SDExport'!AE:AE),
    IF(_xlpm.result=0,"",_xlpm.result)
)</f>
        <v/>
      </c>
      <c r="W136" s="2" t="str">
        <f>_xlfn.LET(
    _xlpm.isObject, _xlfn.XLOOKUP($Q136,'EA-Fortescue_SDExport'!A:A,'EA-Fortescue_SDExport'!B:B),
    _xlpm.lookupKey, IF(_xlpm.isObject="Object",
        _xlfn.XLOOKUP($A136,'EA-ConnectorExport'!A:A,'EA-ConnectorExport'!D:D),
        $Q136
    ),
    _xlpm.result, _xlfn.XLOOKUP(_xlpm.lookupKey,'EA-Fortescue_SDExport'!A:A,'EA-Fortescue_SDExport'!AF:AF),
    IF(_xlpm.result=0,"",_xlpm.result)
)</f>
        <v/>
      </c>
      <c r="X136" s="2" t="str">
        <f>_xlfn.LET(
    _xlpm.isObject, _xlfn.XLOOKUP($Q136,'EA-Fortescue_SDExport'!A:A,'EA-Fortescue_SDExport'!B:B),
    _xlpm.lookupKey, IF(_xlpm.isObject="Object",
        _xlfn.XLOOKUP($A136,'EA-ConnectorExport'!A:A,'EA-ConnectorExport'!D:D),
        $Q136
    ),
    _xlpm.result, _xlfn.XLOOKUP(_xlpm.lookupKey,'EA-Fortescue_SDExport'!A:A,'EA-Fortescue_SDExport'!AG:AG),
    IF(_xlpm.result=0,"",_xlpm.result)
)</f>
        <v/>
      </c>
      <c r="Y136" s="2" t="str">
        <f>_xlfn.LET(
    _xlpm.status, _xlfn.XLOOKUP($A136,'EA-ConnectorExport'!$A:$A,'EA-ConnectorExport'!G:G),
    _xlpm.result, _xlfn.XLOOKUP($A136,'EA-ConnectorExport'!$A:$A,'EA-ConnectorExport'!H:H),
    IF(_xlpm.status="allocate", _xlpm.result, "")
)</f>
        <v>850DC-1510 Chargers</v>
      </c>
      <c r="Z136" s="2" t="str">
        <f>_xlfn.LET(
    _xlpm.isObject, _xlfn.XLOOKUP($Y136,'EA-Fortescue_SDExport'!A:A,'EA-Fortescue_SDExport'!B:B),
    _xlpm.lookupKey, IF(_xlpm.isObject="Object",
        _xlfn.XLOOKUP($A136,'EA-ConnectorExport'!A:A,'EA-ConnectorExport'!J:J),
        $Y136
    ),
    _xlpm.result, _xlfn.XLOOKUP(_xlpm.lookupKey,'EA-Fortescue_SDExport'!A:A,'EA-Fortescue_SDExport'!AA:AA),
    IF(_xlpm.result=0,"",_xlpm.result)
)</f>
        <v>System</v>
      </c>
      <c r="AA136" s="2" t="str">
        <f>_xlfn.LET(_xlpm.result, _xlfn.XLOOKUP($Y136,'EA-Fortescue_SDExport'!$A:$A,'EA-Fortescue_SDExport'!AB:AB), IF(_xlpm.result=0,"",_xlpm.result))</f>
        <v/>
      </c>
      <c r="AB136" s="2" t="str">
        <f>_xlfn.LET(_xlpm.result, _xlfn.XLOOKUP($Y136,'EA-Fortescue_SDExport'!$A:$A,'EA-Fortescue_SDExport'!AC:AC), IF(_xlpm.result=0,"",_xlpm.result))</f>
        <v>Generic Physical Asset</v>
      </c>
      <c r="AC136" s="2" t="str">
        <f>_xlfn.LET(
    _xlpm.isObject, _xlfn.XLOOKUP($Y136,'EA-Fortescue_SDExport'!A:A,'EA-Fortescue_SDExport'!B:B),
    _xlpm.lookupKey, IF(_xlpm.isObject="Object",
        _xlfn.XLOOKUP($A136,'EA-ConnectorExport'!A:A,'EA-ConnectorExport'!J:J),
        $Y136
    ),
    _xlpm.result, _xlfn.XLOOKUP(_xlpm.lookupKey,'EA-Fortescue_SDExport'!A:A,'EA-Fortescue_SDExport'!AD:AD),
    IF(_xlpm.result=0,"",_xlpm.result)
)</f>
        <v>850DC Decarb Infrastructure</v>
      </c>
      <c r="AD136" s="2" t="str">
        <f>_xlfn.LET(
    _xlpm.isObject, _xlfn.XLOOKUP($Y136,'EA-Fortescue_SDExport'!A:A,'EA-Fortescue_SDExport'!B:B),
    _xlpm.lookupKey, IF(_xlpm.isObject="Object",
        _xlfn.XLOOKUP($A136,'EA-ConnectorExport'!A:A,'EA-ConnectorExport'!J:J),
        $Y136
    ),
    _xlpm.result, _xlfn.XLOOKUP(_xlpm.lookupKey,'EA-Fortescue_SDExport'!A:A,'EA-Fortescue_SDExport'!AE:AE),
    IF(_xlpm.result=0,"",_xlpm.result)
)</f>
        <v>850DC-1510 Chargers</v>
      </c>
      <c r="AE136" s="2" t="str">
        <f>_xlfn.LET(
    _xlpm.isObject, _xlfn.XLOOKUP($Y136,'EA-Fortescue_SDExport'!A:A,'EA-Fortescue_SDExport'!B:B),
    _xlpm.lookupKey, IF(_xlpm.isObject="Object",
        _xlfn.XLOOKUP($A136,'EA-ConnectorExport'!A:A,'EA-ConnectorExport'!J:J),
        $Y136
    ),
    _xlpm.result, _xlfn.XLOOKUP(_xlpm.lookupKey,'EA-Fortescue_SDExport'!A:A,'EA-Fortescue_SDExport'!AF:AF),
    IF(_xlpm.result=0,"",_xlpm.result)
)</f>
        <v/>
      </c>
      <c r="AF136" s="2" t="str">
        <f>_xlfn.LET(
    _xlpm.isObject, _xlfn.XLOOKUP($Y136,'EA-Fortescue_SDExport'!A:A,'EA-Fortescue_SDExport'!B:B),
    _xlpm.lookupKey, IF(_xlpm.isObject="Object",
        _xlfn.XLOOKUP($A136,'EA-ConnectorExport'!A:A,'EA-ConnectorExport'!J:J),
        $Y136
    ),
    _xlpm.result, _xlfn.XLOOKUP(_xlpm.lookupKey,'EA-Fortescue_SDExport'!A:A,'EA-Fortescue_SDExport'!AG:AG),
    IF(_xlpm.result=0,"",_xlpm.result)
)</f>
        <v/>
      </c>
    </row>
    <row r="137" spans="1:32" ht="45" x14ac:dyDescent="0.25">
      <c r="A137" s="2" t="str">
        <v>DGS-I_0136</v>
      </c>
      <c r="B137" s="2" t="str">
        <f t="shared" si="8"/>
        <v>851DC Heavy Mobile Equipment (HME)|850DC-1510 Chargers</v>
      </c>
      <c r="C137" s="2" t="str">
        <f>_xlfn.LET(_xlpm.result, _xlfn.XLOOKUP(A137,'EA-Fortescue_SDExport'!A:A,'EA-Fortescue_SDExport'!AM:AM), IF(_xlpm.result=0,"",_xlpm.result))</f>
        <v/>
      </c>
      <c r="D137" s="2" t="str">
        <f>_xlfn.LET(_xlpm.result, _xlfn.XLOOKUP(A137,'EA-Fortescue_SDExport'!A:A,'EA-Fortescue_SDExport'!AN:AN), IF(_xlpm.result=0,"",_xlpm.result))</f>
        <v/>
      </c>
      <c r="E137" s="2" t="str">
        <f>_xlfn.XLOOKUP(R137&amp;Z137,Lookups!A:A,Lookups!B:B)</f>
        <v>Program - System Interface</v>
      </c>
      <c r="F137" s="2" t="str">
        <f>_xlfn.LET(_xlpm.result, _xlfn.XLOOKUP(A137,'EA-Fortescue_SDExport'!A:A,'EA-Fortescue_SDExport'!AP:AP), IF(_xlpm.result=0,"",_xlpm.result))</f>
        <v/>
      </c>
      <c r="G137" s="2" t="str">
        <f>IF(OR(AND(T137&lt;&gt;"", COUNTIF(Lookups!J:J, "*"&amp;T137&amp;"*")&gt;0), AND(AB137&lt;&gt;"", COUNTIF(Lookups!J:J, "*"&amp;AB137&amp;"*")&gt;0)), "Yes", "No")</f>
        <v>No</v>
      </c>
      <c r="H137" s="2" t="str">
        <f t="shared" si="9"/>
        <v>851DC Heavy Mobile Equipment (HME)|850DC Decarb Infrastructure</v>
      </c>
      <c r="I137" s="2" t="str">
        <f t="shared" si="10"/>
        <v>N/A|850DC-1510 Chargers</v>
      </c>
      <c r="J137" s="2" t="str">
        <f t="shared" si="11"/>
        <v>N/A</v>
      </c>
      <c r="K137" s="2" t="str">
        <f>_xlfn.XLOOKUP(A137,'EA-Fortescue_SDExport'!A:A,'EA-Fortescue_SDExport'!N:N)</f>
        <v>Simplified Interface</v>
      </c>
      <c r="L137" s="2" t="str">
        <f>_xlfn.LET(_xlpm.result, _xlfn.XLOOKUP($A137,'EA-Fortescue_SDExport'!$A:$A,'EA-Fortescue_SDExport'!AQ:AQ), IF(_xlpm.result=0,"",_xlpm.result))</f>
        <v/>
      </c>
      <c r="M137" s="2" t="str">
        <f>_xlfn.LET(_xlpm.result, _xlfn.XLOOKUP($A137,'EA-Fortescue_SDExport'!$A:$A,'EA-Fortescue_SDExport'!AR:AR), IF(_xlpm.result=0,"",_xlpm.result))</f>
        <v/>
      </c>
      <c r="N137" s="2" t="str">
        <f>_xlfn.LET(_xlpm.result, _xlfn.XLOOKUP($A137,'EA-Fortescue_SDExport'!$A:$A,'EA-Fortescue_SDExport'!AW:AW), IF(_xlpm.result=0,"",_xlpm.result))</f>
        <v/>
      </c>
      <c r="O137" s="2" t="str">
        <f>_xlfn.LET(_xlpm.result, _xlfn.XLOOKUP($A137,'EA-Fortescue_SDExport'!$A:$A,'EA-Fortescue_SDExport'!AV:AV), IF(_xlpm.result=0,"",_xlpm.result))</f>
        <v/>
      </c>
      <c r="P137" s="2" t="str">
        <f>_xlfn.LET(_xlpm.result, _xlfn.XLOOKUP($A137,'EA-Fortescue_SDExport'!$A:$A,'EA-Fortescue_SDExport'!D:D), IF(_xlpm.result=0,"",_xlpm.result))</f>
        <v/>
      </c>
      <c r="Q137" s="2" t="str">
        <f>_xlfn.LET(
    _xlpm.status, _xlfn.XLOOKUP($A137,'EA-ConnectorExport'!$A:$A,'EA-ConnectorExport'!G:G),
    _xlpm.result, _xlfn.XLOOKUP($A137,'EA-ConnectorExport'!$A:$A,'EA-ConnectorExport'!B:B),
    IF(_xlpm.status="allocate", _xlpm.result, "")
)</f>
        <v>851DC Heavy Mobile Equipment (HME)</v>
      </c>
      <c r="R137" s="2" t="str">
        <f>IF(
    _xlfn.XLOOKUP($Q137,'EA-Fortescue_SDExport'!A:A,'EA-Fortescue_SDExport'!B:B)="Object",
    _xlfn.XLOOKUP(
        _xlfn.XLOOKUP($A137,'EA-ConnectorExport'!A:A,'EA-ConnectorExport'!D:D),
        'EA-Fortescue_SDExport'!A:A,
        'EA-Fortescue_SDExport'!AA:AA
    ),
    _xlfn.XLOOKUP($Q137,'EA-Fortescue_SDExport'!A:A,'EA-Fortescue_SDExport'!AA:AA)
)</f>
        <v>Program</v>
      </c>
      <c r="S137" s="2" t="str">
        <f>_xlfn.LET(_xlpm.result, _xlfn.XLOOKUP($Q137,'EA-Fortescue_SDExport'!$A:$A,'EA-Fortescue_SDExport'!AB:AB), IF(_xlpm.result=0,"",_xlpm.result))</f>
        <v/>
      </c>
      <c r="T137" s="2" t="str">
        <f>_xlfn.LET(_xlpm.result, _xlfn.XLOOKUP($Q137,'EA-Fortescue_SDExport'!$A:$A,'EA-Fortescue_SDExport'!AC:AC), IF(_xlpm.result=0,"",_xlpm.result))</f>
        <v>Generic Physical Asset</v>
      </c>
      <c r="U137" s="2" t="str">
        <f>_xlfn.LET(
    _xlpm.isObject, _xlfn.XLOOKUP($Q137,'EA-Fortescue_SDExport'!A:A,'EA-Fortescue_SDExport'!B:B),
    _xlpm.lookupKey, IF(_xlpm.isObject="Object",
        _xlfn.XLOOKUP($A137,'EA-ConnectorExport'!A:A,'EA-ConnectorExport'!D:D),
        $Q137
    ),
    _xlpm.result, _xlfn.XLOOKUP(_xlpm.lookupKey,'EA-Fortescue_SDExport'!A:A,'EA-Fortescue_SDExport'!AD:AD),
    IF(_xlpm.result=0,"",_xlpm.result)
)</f>
        <v>851DC Heavy Mobile Equipment (HME)</v>
      </c>
      <c r="V137" s="2" t="str">
        <f>_xlfn.LET(
    _xlpm.isObject, _xlfn.XLOOKUP($Q137,'EA-Fortescue_SDExport'!A:A,'EA-Fortescue_SDExport'!B:B),
    _xlpm.lookupKey, IF(_xlpm.isObject="Object",
        _xlfn.XLOOKUP($A137,'EA-ConnectorExport'!A:A,'EA-ConnectorExport'!D:D),
        $Q137
    ),
    _xlpm.result, _xlfn.XLOOKUP(_xlpm.lookupKey,'EA-Fortescue_SDExport'!A:A,'EA-Fortescue_SDExport'!AE:AE),
    IF(_xlpm.result=0,"",_xlpm.result)
)</f>
        <v/>
      </c>
      <c r="W137" s="2" t="str">
        <f>_xlfn.LET(
    _xlpm.isObject, _xlfn.XLOOKUP($Q137,'EA-Fortescue_SDExport'!A:A,'EA-Fortescue_SDExport'!B:B),
    _xlpm.lookupKey, IF(_xlpm.isObject="Object",
        _xlfn.XLOOKUP($A137,'EA-ConnectorExport'!A:A,'EA-ConnectorExport'!D:D),
        $Q137
    ),
    _xlpm.result, _xlfn.XLOOKUP(_xlpm.lookupKey,'EA-Fortescue_SDExport'!A:A,'EA-Fortescue_SDExport'!AF:AF),
    IF(_xlpm.result=0,"",_xlpm.result)
)</f>
        <v/>
      </c>
      <c r="X137" s="2" t="str">
        <f>_xlfn.LET(
    _xlpm.isObject, _xlfn.XLOOKUP($Q137,'EA-Fortescue_SDExport'!A:A,'EA-Fortescue_SDExport'!B:B),
    _xlpm.lookupKey, IF(_xlpm.isObject="Object",
        _xlfn.XLOOKUP($A137,'EA-ConnectorExport'!A:A,'EA-ConnectorExport'!D:D),
        $Q137
    ),
    _xlpm.result, _xlfn.XLOOKUP(_xlpm.lookupKey,'EA-Fortescue_SDExport'!A:A,'EA-Fortescue_SDExport'!AG:AG),
    IF(_xlpm.result=0,"",_xlpm.result)
)</f>
        <v/>
      </c>
      <c r="Y137" s="2" t="str">
        <f>_xlfn.LET(
    _xlpm.status, _xlfn.XLOOKUP($A137,'EA-ConnectorExport'!$A:$A,'EA-ConnectorExport'!G:G),
    _xlpm.result, _xlfn.XLOOKUP($A137,'EA-ConnectorExport'!$A:$A,'EA-ConnectorExport'!H:H),
    IF(_xlpm.status="allocate", _xlpm.result, "")
)</f>
        <v>850DC-1510 Chargers</v>
      </c>
      <c r="Z137" s="2" t="str">
        <f>_xlfn.LET(
    _xlpm.isObject, _xlfn.XLOOKUP($Y137,'EA-Fortescue_SDExport'!A:A,'EA-Fortescue_SDExport'!B:B),
    _xlpm.lookupKey, IF(_xlpm.isObject="Object",
        _xlfn.XLOOKUP($A137,'EA-ConnectorExport'!A:A,'EA-ConnectorExport'!J:J),
        $Y137
    ),
    _xlpm.result, _xlfn.XLOOKUP(_xlpm.lookupKey,'EA-Fortescue_SDExport'!A:A,'EA-Fortescue_SDExport'!AA:AA),
    IF(_xlpm.result=0,"",_xlpm.result)
)</f>
        <v>System</v>
      </c>
      <c r="AA137" s="2" t="str">
        <f>_xlfn.LET(_xlpm.result, _xlfn.XLOOKUP($Y137,'EA-Fortescue_SDExport'!$A:$A,'EA-Fortescue_SDExport'!AB:AB), IF(_xlpm.result=0,"",_xlpm.result))</f>
        <v/>
      </c>
      <c r="AB137" s="2" t="str">
        <f>_xlfn.LET(_xlpm.result, _xlfn.XLOOKUP($Y137,'EA-Fortescue_SDExport'!$A:$A,'EA-Fortescue_SDExport'!AC:AC), IF(_xlpm.result=0,"",_xlpm.result))</f>
        <v>Generic Physical Asset</v>
      </c>
      <c r="AC137" s="2" t="str">
        <f>_xlfn.LET(
    _xlpm.isObject, _xlfn.XLOOKUP($Y137,'EA-Fortescue_SDExport'!A:A,'EA-Fortescue_SDExport'!B:B),
    _xlpm.lookupKey, IF(_xlpm.isObject="Object",
        _xlfn.XLOOKUP($A137,'EA-ConnectorExport'!A:A,'EA-ConnectorExport'!J:J),
        $Y137
    ),
    _xlpm.result, _xlfn.XLOOKUP(_xlpm.lookupKey,'EA-Fortescue_SDExport'!A:A,'EA-Fortescue_SDExport'!AD:AD),
    IF(_xlpm.result=0,"",_xlpm.result)
)</f>
        <v>850DC Decarb Infrastructure</v>
      </c>
      <c r="AD137" s="2" t="str">
        <f>_xlfn.LET(
    _xlpm.isObject, _xlfn.XLOOKUP($Y137,'EA-Fortescue_SDExport'!A:A,'EA-Fortescue_SDExport'!B:B),
    _xlpm.lookupKey, IF(_xlpm.isObject="Object",
        _xlfn.XLOOKUP($A137,'EA-ConnectorExport'!A:A,'EA-ConnectorExport'!J:J),
        $Y137
    ),
    _xlpm.result, _xlfn.XLOOKUP(_xlpm.lookupKey,'EA-Fortescue_SDExport'!A:A,'EA-Fortescue_SDExport'!AE:AE),
    IF(_xlpm.result=0,"",_xlpm.result)
)</f>
        <v>850DC-1510 Chargers</v>
      </c>
      <c r="AE137" s="2" t="str">
        <f>_xlfn.LET(
    _xlpm.isObject, _xlfn.XLOOKUP($Y137,'EA-Fortescue_SDExport'!A:A,'EA-Fortescue_SDExport'!B:B),
    _xlpm.lookupKey, IF(_xlpm.isObject="Object",
        _xlfn.XLOOKUP($A137,'EA-ConnectorExport'!A:A,'EA-ConnectorExport'!J:J),
        $Y137
    ),
    _xlpm.result, _xlfn.XLOOKUP(_xlpm.lookupKey,'EA-Fortescue_SDExport'!A:A,'EA-Fortescue_SDExport'!AF:AF),
    IF(_xlpm.result=0,"",_xlpm.result)
)</f>
        <v/>
      </c>
      <c r="AF137" s="2" t="str">
        <f>_xlfn.LET(
    _xlpm.isObject, _xlfn.XLOOKUP($Y137,'EA-Fortescue_SDExport'!A:A,'EA-Fortescue_SDExport'!B:B),
    _xlpm.lookupKey, IF(_xlpm.isObject="Object",
        _xlfn.XLOOKUP($A137,'EA-ConnectorExport'!A:A,'EA-ConnectorExport'!J:J),
        $Y137
    ),
    _xlpm.result, _xlfn.XLOOKUP(_xlpm.lookupKey,'EA-Fortescue_SDExport'!A:A,'EA-Fortescue_SDExport'!AG:AG),
    IF(_xlpm.result=0,"",_xlpm.result)
)</f>
        <v/>
      </c>
    </row>
    <row r="138" spans="1:32" ht="210" x14ac:dyDescent="0.25">
      <c r="A138" s="2" t="str">
        <v>DGS-I_0137</v>
      </c>
      <c r="B138" s="2" t="str">
        <f t="shared" si="8"/>
        <v>859DC-1410-001-001 HaulX Dispatch (Fleet Management System (FMS))|852DC Light Mobile Equipment (LME) &amp; Support Mobile Equipment (SME)</v>
      </c>
      <c r="C138" s="2" t="str">
        <f>_xlfn.LET(_xlpm.result, _xlfn.XLOOKUP(A138,'EA-Fortescue_SDExport'!A:A,'EA-Fortescue_SDExport'!AM:AM), IF(_xlpm.result=0,"",_xlpm.result))</f>
        <v/>
      </c>
      <c r="D138" s="2" t="str">
        <f>_xlfn.LET(_xlpm.result, _xlfn.XLOOKUP(A138,'EA-Fortescue_SDExport'!A:A,'EA-Fortescue_SDExport'!AN:AN), IF(_xlpm.result=0,"",_xlpm.result))</f>
        <v/>
      </c>
      <c r="E138" s="2" t="str">
        <f>_xlfn.XLOOKUP(R138&amp;Z138,Lookups!A:A,Lookups!B:B)</f>
        <v>Program - Subsystem Interface</v>
      </c>
      <c r="F138" s="2" t="str">
        <f>_xlfn.LET(_xlpm.result, _xlfn.XLOOKUP(A138,'EA-Fortescue_SDExport'!A:A,'EA-Fortescue_SDExport'!AP:AP), IF(_xlpm.result=0,"",_xlpm.result))</f>
        <v>Technical-Data/Software</v>
      </c>
      <c r="G138" s="2" t="str">
        <f>IF(OR(AND(T138&lt;&gt;"", COUNTIF(Lookups!J:J, "*"&amp;T138&amp;"*")&gt;0), AND(AB138&lt;&gt;"", COUNTIF(Lookups!J:J, "*"&amp;AB138&amp;"*")&gt;0)), "Yes", "No")</f>
        <v>No</v>
      </c>
      <c r="H138" s="2" t="str">
        <f t="shared" si="9"/>
        <v>859DC HaulX|852DC Light Mobile Equipment (LME) &amp; Support Mobile Equipment (SME)</v>
      </c>
      <c r="I138" s="2" t="str">
        <f t="shared" si="10"/>
        <v>N/A</v>
      </c>
      <c r="J138" s="2" t="str">
        <f t="shared" si="11"/>
        <v>859DC-1410-001 HaulX|N/A</v>
      </c>
      <c r="K138" s="2" t="str">
        <f>_xlfn.XLOOKUP(A138,'EA-Fortescue_SDExport'!A:A,'EA-Fortescue_SDExport'!N:N)</f>
        <v>Proposed</v>
      </c>
      <c r="L138" s="2" t="str">
        <f>_xlfn.LET(_xlpm.result, _xlfn.XLOOKUP($A138,'EA-Fortescue_SDExport'!$A:$A,'EA-Fortescue_SDExport'!AQ:AQ), IF(_xlpm.result=0,"",_xlpm.result))</f>
        <v>This interface allows HaulX Dispatch to update SMEs with tasking information, operational context, or priorities, aligning SME actions with haulage requirements.</v>
      </c>
      <c r="M138" s="2" t="str">
        <f>_xlfn.LET(_xlpm.result, _xlfn.XLOOKUP($A138,'EA-Fortescue_SDExport'!$A:$A,'EA-Fortescue_SDExport'!AR:AR), IF(_xlpm.result=0,"",_xlpm.result))</f>
        <v>LOW</v>
      </c>
      <c r="N138" s="2" t="str">
        <f>_xlfn.LET(_xlpm.result, _xlfn.XLOOKUP($A138,'EA-Fortescue_SDExport'!$A:$A,'EA-Fortescue_SDExport'!AW:AW), IF(_xlpm.result=0,"",_xlpm.result))</f>
        <v>The criticality level is LOW because SMEs offer support rather than core production output, and dispatching for primary haul trucks remains unaffected. Losing this interface decreases SME utilisation efficiency but does not affect safety or production continuity.</v>
      </c>
      <c r="O138" s="2" t="str">
        <f>_xlfn.LET(_xlpm.result, _xlfn.XLOOKUP($A138,'EA-Fortescue_SDExport'!$A:$A,'EA-Fortescue_SDExport'!AV:AV), IF(_xlpm.result=0,"",_xlpm.result))</f>
        <v>Data Flow:_x000D_
859DC-1410-001 HaulX Dispatch -&gt; 852DC Light Mobile Equipment (LME) &amp; Support Mobile Equipment (SME), transmitting tasking information, operational context, work locations, routing guidance, and priority updates to align SME activities with haulage operations._x000D_
852DC LME &amp; SME -&gt; 859DC-1410-001 HaulX, transmitting location (GPS), availability status, task progress, and basic operational state to support dispatch visibility and coordination.</v>
      </c>
      <c r="P138" s="2" t="str">
        <f>_xlfn.LET(_xlpm.result, _xlfn.XLOOKUP($A138,'EA-Fortescue_SDExport'!$A:$A,'EA-Fortescue_SDExport'!D:D), IF(_xlpm.result=0,"",_xlpm.result))</f>
        <v>NH 20/02/2026: Fields updated: Interface Type, Interface Flow.</v>
      </c>
      <c r="Q138" s="2" t="str">
        <f>_xlfn.LET(
    _xlpm.status, _xlfn.XLOOKUP($A138,'EA-ConnectorExport'!$A:$A,'EA-ConnectorExport'!G:G),
    _xlpm.result, _xlfn.XLOOKUP($A138,'EA-ConnectorExport'!$A:$A,'EA-ConnectorExport'!B:B),
    IF(_xlpm.status="allocate", _xlpm.result, "")
)</f>
        <v>859DC-1410-001-001 HaulX Dispatch (Fleet Management System (FMS))</v>
      </c>
      <c r="R138" s="2" t="str">
        <f>IF(
    _xlfn.XLOOKUP($Q138,'EA-Fortescue_SDExport'!A:A,'EA-Fortescue_SDExport'!B:B)="Object",
    _xlfn.XLOOKUP(
        _xlfn.XLOOKUP($A138,'EA-ConnectorExport'!A:A,'EA-ConnectorExport'!D:D),
        'EA-Fortescue_SDExport'!A:A,
        'EA-Fortescue_SDExport'!AA:AA
    ),
    _xlfn.XLOOKUP($Q138,'EA-Fortescue_SDExport'!A:A,'EA-Fortescue_SDExport'!AA:AA)
)</f>
        <v>Subsystem</v>
      </c>
      <c r="S138" s="2" t="str">
        <f>_xlfn.LET(_xlpm.result, _xlfn.XLOOKUP($Q138,'EA-Fortescue_SDExport'!$A:$A,'EA-Fortescue_SDExport'!AB:AB), IF(_xlpm.result=0,"",_xlpm.result))</f>
        <v/>
      </c>
      <c r="T138" s="2" t="str">
        <f>_xlfn.LET(_xlpm.result, _xlfn.XLOOKUP($Q138,'EA-Fortescue_SDExport'!$A:$A,'EA-Fortescue_SDExport'!AC:AC), IF(_xlpm.result=0,"",_xlpm.result))</f>
        <v/>
      </c>
      <c r="U138" s="2" t="str">
        <f>_xlfn.LET(
    _xlpm.isObject, _xlfn.XLOOKUP($Q138,'EA-Fortescue_SDExport'!A:A,'EA-Fortescue_SDExport'!B:B),
    _xlpm.lookupKey, IF(_xlpm.isObject="Object",
        _xlfn.XLOOKUP($A138,'EA-ConnectorExport'!A:A,'EA-ConnectorExport'!D:D),
        $Q138
    ),
    _xlpm.result, _xlfn.XLOOKUP(_xlpm.lookupKey,'EA-Fortescue_SDExport'!A:A,'EA-Fortescue_SDExport'!AD:AD),
    IF(_xlpm.result=0,"",_xlpm.result)
)</f>
        <v>859DC HaulX</v>
      </c>
      <c r="V138" s="2" t="str">
        <f>_xlfn.LET(
    _xlpm.isObject, _xlfn.XLOOKUP($Q138,'EA-Fortescue_SDExport'!A:A,'EA-Fortescue_SDExport'!B:B),
    _xlpm.lookupKey, IF(_xlpm.isObject="Object",
        _xlfn.XLOOKUP($A138,'EA-ConnectorExport'!A:A,'EA-ConnectorExport'!D:D),
        $Q138
    ),
    _xlpm.result, _xlfn.XLOOKUP(_xlpm.lookupKey,'EA-Fortescue_SDExport'!A:A,'EA-Fortescue_SDExport'!AE:AE),
    IF(_xlpm.result=0,"",_xlpm.result)
)</f>
        <v/>
      </c>
      <c r="W138" s="2" t="str">
        <f>_xlfn.LET(
    _xlpm.isObject, _xlfn.XLOOKUP($Q138,'EA-Fortescue_SDExport'!A:A,'EA-Fortescue_SDExport'!B:B),
    _xlpm.lookupKey, IF(_xlpm.isObject="Object",
        _xlfn.XLOOKUP($A138,'EA-ConnectorExport'!A:A,'EA-ConnectorExport'!D:D),
        $Q138
    ),
    _xlpm.result, _xlfn.XLOOKUP(_xlpm.lookupKey,'EA-Fortescue_SDExport'!A:A,'EA-Fortescue_SDExport'!AF:AF),
    IF(_xlpm.result=0,"",_xlpm.result)
)</f>
        <v>859DC-1410-001 HaulX</v>
      </c>
      <c r="X138" s="2" t="str">
        <f>_xlfn.LET(
    _xlpm.isObject, _xlfn.XLOOKUP($Q138,'EA-Fortescue_SDExport'!A:A,'EA-Fortescue_SDExport'!B:B),
    _xlpm.lookupKey, IF(_xlpm.isObject="Object",
        _xlfn.XLOOKUP($A138,'EA-ConnectorExport'!A:A,'EA-ConnectorExport'!D:D),
        $Q138
    ),
    _xlpm.result, _xlfn.XLOOKUP(_xlpm.lookupKey,'EA-Fortescue_SDExport'!A:A,'EA-Fortescue_SDExport'!AG:AG),
    IF(_xlpm.result=0,"",_xlpm.result)
)</f>
        <v>859DC-1410-001-001 HaulX Dispatch (Fleet Management System (FMS))</v>
      </c>
      <c r="Y138" s="2" t="str">
        <f>_xlfn.LET(
    _xlpm.status, _xlfn.XLOOKUP($A138,'EA-ConnectorExport'!$A:$A,'EA-ConnectorExport'!G:G),
    _xlpm.result, _xlfn.XLOOKUP($A138,'EA-ConnectorExport'!$A:$A,'EA-ConnectorExport'!H:H),
    IF(_xlpm.status="allocate", _xlpm.result, "")
)</f>
        <v>852DC Light Mobile Equipment (LME) &amp; Support Mobile Equipment (SME)</v>
      </c>
      <c r="Z138" s="2" t="str">
        <f>_xlfn.LET(
    _xlpm.isObject, _xlfn.XLOOKUP($Y138,'EA-Fortescue_SDExport'!A:A,'EA-Fortescue_SDExport'!B:B),
    _xlpm.lookupKey, IF(_xlpm.isObject="Object",
        _xlfn.XLOOKUP($A138,'EA-ConnectorExport'!A:A,'EA-ConnectorExport'!J:J),
        $Y138
    ),
    _xlpm.result, _xlfn.XLOOKUP(_xlpm.lookupKey,'EA-Fortescue_SDExport'!A:A,'EA-Fortescue_SDExport'!AA:AA),
    IF(_xlpm.result=0,"",_xlpm.result)
)</f>
        <v>Program</v>
      </c>
      <c r="AA138" s="2" t="str">
        <f>_xlfn.LET(_xlpm.result, _xlfn.XLOOKUP($Y138,'EA-Fortescue_SDExport'!$A:$A,'EA-Fortescue_SDExport'!AB:AB), IF(_xlpm.result=0,"",_xlpm.result))</f>
        <v/>
      </c>
      <c r="AB138" s="2" t="str">
        <f>_xlfn.LET(_xlpm.result, _xlfn.XLOOKUP($Y138,'EA-Fortescue_SDExport'!$A:$A,'EA-Fortescue_SDExport'!AC:AC), IF(_xlpm.result=0,"",_xlpm.result))</f>
        <v>Generic Physical Asset</v>
      </c>
      <c r="AC138" s="2" t="str">
        <f>_xlfn.LET(
    _xlpm.isObject, _xlfn.XLOOKUP($Y138,'EA-Fortescue_SDExport'!A:A,'EA-Fortescue_SDExport'!B:B),
    _xlpm.lookupKey, IF(_xlpm.isObject="Object",
        _xlfn.XLOOKUP($A138,'EA-ConnectorExport'!A:A,'EA-ConnectorExport'!J:J),
        $Y138
    ),
    _xlpm.result, _xlfn.XLOOKUP(_xlpm.lookupKey,'EA-Fortescue_SDExport'!A:A,'EA-Fortescue_SDExport'!AD:AD),
    IF(_xlpm.result=0,"",_xlpm.result)
)</f>
        <v>852DC Light Mobile Equipment (LME) &amp; Support Mobile Equipment (SME)</v>
      </c>
      <c r="AD138" s="2" t="str">
        <f>_xlfn.LET(
    _xlpm.isObject, _xlfn.XLOOKUP($Y138,'EA-Fortescue_SDExport'!A:A,'EA-Fortescue_SDExport'!B:B),
    _xlpm.lookupKey, IF(_xlpm.isObject="Object",
        _xlfn.XLOOKUP($A138,'EA-ConnectorExport'!A:A,'EA-ConnectorExport'!J:J),
        $Y138
    ),
    _xlpm.result, _xlfn.XLOOKUP(_xlpm.lookupKey,'EA-Fortescue_SDExport'!A:A,'EA-Fortescue_SDExport'!AE:AE),
    IF(_xlpm.result=0,"",_xlpm.result)
)</f>
        <v/>
      </c>
      <c r="AE138" s="2" t="str">
        <f>_xlfn.LET(
    _xlpm.isObject, _xlfn.XLOOKUP($Y138,'EA-Fortescue_SDExport'!A:A,'EA-Fortescue_SDExport'!B:B),
    _xlpm.lookupKey, IF(_xlpm.isObject="Object",
        _xlfn.XLOOKUP($A138,'EA-ConnectorExport'!A:A,'EA-ConnectorExport'!J:J),
        $Y138
    ),
    _xlpm.result, _xlfn.XLOOKUP(_xlpm.lookupKey,'EA-Fortescue_SDExport'!A:A,'EA-Fortescue_SDExport'!AF:AF),
    IF(_xlpm.result=0,"",_xlpm.result)
)</f>
        <v/>
      </c>
      <c r="AF138" s="2" t="str">
        <f>_xlfn.LET(
    _xlpm.isObject, _xlfn.XLOOKUP($Y138,'EA-Fortescue_SDExport'!A:A,'EA-Fortescue_SDExport'!B:B),
    _xlpm.lookupKey, IF(_xlpm.isObject="Object",
        _xlfn.XLOOKUP($A138,'EA-ConnectorExport'!A:A,'EA-ConnectorExport'!J:J),
        $Y138
    ),
    _xlpm.result, _xlfn.XLOOKUP(_xlpm.lookupKey,'EA-Fortescue_SDExport'!A:A,'EA-Fortescue_SDExport'!AG:AG),
    IF(_xlpm.result=0,"",_xlpm.result)
)</f>
        <v/>
      </c>
    </row>
    <row r="139" spans="1:32" ht="45" x14ac:dyDescent="0.25">
      <c r="A139" s="2" t="str">
        <v>DGS-I_0138</v>
      </c>
      <c r="B139" s="2" t="str">
        <f t="shared" si="8"/>
        <v>854DC-5670 Energy Generation - Solar|854DC-5680 Battery Energy Storage System (BESS)</v>
      </c>
      <c r="C139" s="2" t="str">
        <f>_xlfn.LET(_xlpm.result, _xlfn.XLOOKUP(A139,'EA-Fortescue_SDExport'!A:A,'EA-Fortescue_SDExport'!AM:AM), IF(_xlpm.result=0,"",_xlpm.result))</f>
        <v/>
      </c>
      <c r="D139" s="2" t="str">
        <f>_xlfn.LET(_xlpm.result, _xlfn.XLOOKUP(A139,'EA-Fortescue_SDExport'!A:A,'EA-Fortescue_SDExport'!AN:AN), IF(_xlpm.result=0,"",_xlpm.result))</f>
        <v/>
      </c>
      <c r="E139" s="2" t="str">
        <f>_xlfn.XLOOKUP(R139&amp;Z139,Lookups!A:A,Lookups!B:B)</f>
        <v>System - System Interface</v>
      </c>
      <c r="F139" s="2" t="str">
        <f>_xlfn.LET(_xlpm.result, _xlfn.XLOOKUP(A139,'EA-Fortescue_SDExport'!A:A,'EA-Fortescue_SDExport'!AP:AP), IF(_xlpm.result=0,"",_xlpm.result))</f>
        <v/>
      </c>
      <c r="G139" s="2" t="str">
        <f>IF(OR(AND(T139&lt;&gt;"", COUNTIF(Lookups!J:J, "*"&amp;T139&amp;"*")&gt;0), AND(AB139&lt;&gt;"", COUNTIF(Lookups!J:J, "*"&amp;AB139&amp;"*")&gt;0)), "Yes", "No")</f>
        <v>No</v>
      </c>
      <c r="H139" s="2" t="str">
        <f t="shared" si="9"/>
        <v>854DC Green Power|854DC Green Power</v>
      </c>
      <c r="I139" s="2" t="str">
        <f t="shared" si="10"/>
        <v>854DC-5670 Energy Generation - Solar|854DC-5680 Battery Energy Storage System (BESS)</v>
      </c>
      <c r="J139" s="2" t="str">
        <f t="shared" si="11"/>
        <v>N/A</v>
      </c>
      <c r="K139" s="2" t="str">
        <f>_xlfn.XLOOKUP(A139,'EA-Fortescue_SDExport'!A:A,'EA-Fortescue_SDExport'!N:N)</f>
        <v>Simplified Interface</v>
      </c>
      <c r="L139" s="2" t="str">
        <f>_xlfn.LET(_xlpm.result, _xlfn.XLOOKUP($A139,'EA-Fortescue_SDExport'!$A:$A,'EA-Fortescue_SDExport'!AQ:AQ), IF(_xlpm.result=0,"",_xlpm.result))</f>
        <v/>
      </c>
      <c r="M139" s="2" t="str">
        <f>_xlfn.LET(_xlpm.result, _xlfn.XLOOKUP($A139,'EA-Fortescue_SDExport'!$A:$A,'EA-Fortescue_SDExport'!AR:AR), IF(_xlpm.result=0,"",_xlpm.result))</f>
        <v/>
      </c>
      <c r="N139" s="2" t="str">
        <f>_xlfn.LET(_xlpm.result, _xlfn.XLOOKUP($A139,'EA-Fortescue_SDExport'!$A:$A,'EA-Fortescue_SDExport'!AW:AW), IF(_xlpm.result=0,"",_xlpm.result))</f>
        <v/>
      </c>
      <c r="O139" s="2" t="str">
        <f>_xlfn.LET(_xlpm.result, _xlfn.XLOOKUP($A139,'EA-Fortescue_SDExport'!$A:$A,'EA-Fortescue_SDExport'!AV:AV), IF(_xlpm.result=0,"",_xlpm.result))</f>
        <v/>
      </c>
      <c r="P139" s="2" t="str">
        <f>_xlfn.LET(_xlpm.result, _xlfn.XLOOKUP($A139,'EA-Fortescue_SDExport'!$A:$A,'EA-Fortescue_SDExport'!D:D), IF(_xlpm.result=0,"",_xlpm.result))</f>
        <v/>
      </c>
      <c r="Q139" s="2" t="str">
        <f>_xlfn.LET(
    _xlpm.status, _xlfn.XLOOKUP($A139,'EA-ConnectorExport'!$A:$A,'EA-ConnectorExport'!G:G),
    _xlpm.result, _xlfn.XLOOKUP($A139,'EA-ConnectorExport'!$A:$A,'EA-ConnectorExport'!B:B),
    IF(_xlpm.status="allocate", _xlpm.result, "")
)</f>
        <v>854DC-5670 Energy Generation - Solar</v>
      </c>
      <c r="R139" s="2" t="str">
        <f>IF(
    _xlfn.XLOOKUP($Q139,'EA-Fortescue_SDExport'!A:A,'EA-Fortescue_SDExport'!B:B)="Object",
    _xlfn.XLOOKUP(
        _xlfn.XLOOKUP($A139,'EA-ConnectorExport'!A:A,'EA-ConnectorExport'!D:D),
        'EA-Fortescue_SDExport'!A:A,
        'EA-Fortescue_SDExport'!AA:AA
    ),
    _xlfn.XLOOKUP($Q139,'EA-Fortescue_SDExport'!A:A,'EA-Fortescue_SDExport'!AA:AA)
)</f>
        <v>System</v>
      </c>
      <c r="S139" s="2" t="str">
        <f>_xlfn.LET(_xlpm.result, _xlfn.XLOOKUP($Q139,'EA-Fortescue_SDExport'!$A:$A,'EA-Fortescue_SDExport'!AB:AB), IF(_xlpm.result=0,"",_xlpm.result))</f>
        <v/>
      </c>
      <c r="T139" s="2" t="str">
        <f>_xlfn.LET(_xlpm.result, _xlfn.XLOOKUP($Q139,'EA-Fortescue_SDExport'!$A:$A,'EA-Fortescue_SDExport'!AC:AC), IF(_xlpm.result=0,"",_xlpm.result))</f>
        <v>Generic Physical Asset</v>
      </c>
      <c r="U139" s="2" t="str">
        <f>_xlfn.LET(
    _xlpm.isObject, _xlfn.XLOOKUP($Q139,'EA-Fortescue_SDExport'!A:A,'EA-Fortescue_SDExport'!B:B),
    _xlpm.lookupKey, IF(_xlpm.isObject="Object",
        _xlfn.XLOOKUP($A139,'EA-ConnectorExport'!A:A,'EA-ConnectorExport'!D:D),
        $Q139
    ),
    _xlpm.result, _xlfn.XLOOKUP(_xlpm.lookupKey,'EA-Fortescue_SDExport'!A:A,'EA-Fortescue_SDExport'!AD:AD),
    IF(_xlpm.result=0,"",_xlpm.result)
)</f>
        <v>854DC Green Power</v>
      </c>
      <c r="V139" s="2" t="str">
        <f>_xlfn.LET(
    _xlpm.isObject, _xlfn.XLOOKUP($Q139,'EA-Fortescue_SDExport'!A:A,'EA-Fortescue_SDExport'!B:B),
    _xlpm.lookupKey, IF(_xlpm.isObject="Object",
        _xlfn.XLOOKUP($A139,'EA-ConnectorExport'!A:A,'EA-ConnectorExport'!D:D),
        $Q139
    ),
    _xlpm.result, _xlfn.XLOOKUP(_xlpm.lookupKey,'EA-Fortescue_SDExport'!A:A,'EA-Fortescue_SDExport'!AE:AE),
    IF(_xlpm.result=0,"",_xlpm.result)
)</f>
        <v>854DC-5670 Energy Generation - Solar</v>
      </c>
      <c r="W139" s="2" t="str">
        <f>_xlfn.LET(
    _xlpm.isObject, _xlfn.XLOOKUP($Q139,'EA-Fortescue_SDExport'!A:A,'EA-Fortescue_SDExport'!B:B),
    _xlpm.lookupKey, IF(_xlpm.isObject="Object",
        _xlfn.XLOOKUP($A139,'EA-ConnectorExport'!A:A,'EA-ConnectorExport'!D:D),
        $Q139
    ),
    _xlpm.result, _xlfn.XLOOKUP(_xlpm.lookupKey,'EA-Fortescue_SDExport'!A:A,'EA-Fortescue_SDExport'!AF:AF),
    IF(_xlpm.result=0,"",_xlpm.result)
)</f>
        <v/>
      </c>
      <c r="X139" s="2" t="str">
        <f>_xlfn.LET(
    _xlpm.isObject, _xlfn.XLOOKUP($Q139,'EA-Fortescue_SDExport'!A:A,'EA-Fortescue_SDExport'!B:B),
    _xlpm.lookupKey, IF(_xlpm.isObject="Object",
        _xlfn.XLOOKUP($A139,'EA-ConnectorExport'!A:A,'EA-ConnectorExport'!D:D),
        $Q139
    ),
    _xlpm.result, _xlfn.XLOOKUP(_xlpm.lookupKey,'EA-Fortescue_SDExport'!A:A,'EA-Fortescue_SDExport'!AG:AG),
    IF(_xlpm.result=0,"",_xlpm.result)
)</f>
        <v/>
      </c>
      <c r="Y139" s="2" t="str">
        <f>_xlfn.LET(
    _xlpm.status, _xlfn.XLOOKUP($A139,'EA-ConnectorExport'!$A:$A,'EA-ConnectorExport'!G:G),
    _xlpm.result, _xlfn.XLOOKUP($A139,'EA-ConnectorExport'!$A:$A,'EA-ConnectorExport'!H:H),
    IF(_xlpm.status="allocate", _xlpm.result, "")
)</f>
        <v>854DC-5680 Battery Energy Storage System (BESS)</v>
      </c>
      <c r="Z139" s="2" t="str">
        <f>_xlfn.LET(
    _xlpm.isObject, _xlfn.XLOOKUP($Y139,'EA-Fortescue_SDExport'!A:A,'EA-Fortescue_SDExport'!B:B),
    _xlpm.lookupKey, IF(_xlpm.isObject="Object",
        _xlfn.XLOOKUP($A139,'EA-ConnectorExport'!A:A,'EA-ConnectorExport'!J:J),
        $Y139
    ),
    _xlpm.result, _xlfn.XLOOKUP(_xlpm.lookupKey,'EA-Fortescue_SDExport'!A:A,'EA-Fortescue_SDExport'!AA:AA),
    IF(_xlpm.result=0,"",_xlpm.result)
)</f>
        <v>System</v>
      </c>
      <c r="AA139" s="2" t="str">
        <f>_xlfn.LET(_xlpm.result, _xlfn.XLOOKUP($Y139,'EA-Fortescue_SDExport'!$A:$A,'EA-Fortescue_SDExport'!AB:AB), IF(_xlpm.result=0,"",_xlpm.result))</f>
        <v/>
      </c>
      <c r="AB139" s="2" t="str">
        <f>_xlfn.LET(_xlpm.result, _xlfn.XLOOKUP($Y139,'EA-Fortescue_SDExport'!$A:$A,'EA-Fortescue_SDExport'!AC:AC), IF(_xlpm.result=0,"",_xlpm.result))</f>
        <v>Generic Physical Asset</v>
      </c>
      <c r="AC139" s="2" t="str">
        <f>_xlfn.LET(
    _xlpm.isObject, _xlfn.XLOOKUP($Y139,'EA-Fortescue_SDExport'!A:A,'EA-Fortescue_SDExport'!B:B),
    _xlpm.lookupKey, IF(_xlpm.isObject="Object",
        _xlfn.XLOOKUP($A139,'EA-ConnectorExport'!A:A,'EA-ConnectorExport'!J:J),
        $Y139
    ),
    _xlpm.result, _xlfn.XLOOKUP(_xlpm.lookupKey,'EA-Fortescue_SDExport'!A:A,'EA-Fortescue_SDExport'!AD:AD),
    IF(_xlpm.result=0,"",_xlpm.result)
)</f>
        <v>854DC Green Power</v>
      </c>
      <c r="AD139" s="2" t="str">
        <f>_xlfn.LET(
    _xlpm.isObject, _xlfn.XLOOKUP($Y139,'EA-Fortescue_SDExport'!A:A,'EA-Fortescue_SDExport'!B:B),
    _xlpm.lookupKey, IF(_xlpm.isObject="Object",
        _xlfn.XLOOKUP($A139,'EA-ConnectorExport'!A:A,'EA-ConnectorExport'!J:J),
        $Y139
    ),
    _xlpm.result, _xlfn.XLOOKUP(_xlpm.lookupKey,'EA-Fortescue_SDExport'!A:A,'EA-Fortescue_SDExport'!AE:AE),
    IF(_xlpm.result=0,"",_xlpm.result)
)</f>
        <v>854DC-5680 Battery Energy Storage System (BESS)</v>
      </c>
      <c r="AE139" s="2" t="str">
        <f>_xlfn.LET(
    _xlpm.isObject, _xlfn.XLOOKUP($Y139,'EA-Fortescue_SDExport'!A:A,'EA-Fortescue_SDExport'!B:B),
    _xlpm.lookupKey, IF(_xlpm.isObject="Object",
        _xlfn.XLOOKUP($A139,'EA-ConnectorExport'!A:A,'EA-ConnectorExport'!J:J),
        $Y139
    ),
    _xlpm.result, _xlfn.XLOOKUP(_xlpm.lookupKey,'EA-Fortescue_SDExport'!A:A,'EA-Fortescue_SDExport'!AF:AF),
    IF(_xlpm.result=0,"",_xlpm.result)
)</f>
        <v/>
      </c>
      <c r="AF139" s="2" t="str">
        <f>_xlfn.LET(
    _xlpm.isObject, _xlfn.XLOOKUP($Y139,'EA-Fortescue_SDExport'!A:A,'EA-Fortescue_SDExport'!B:B),
    _xlpm.lookupKey, IF(_xlpm.isObject="Object",
        _xlfn.XLOOKUP($A139,'EA-ConnectorExport'!A:A,'EA-ConnectorExport'!J:J),
        $Y139
    ),
    _xlpm.result, _xlfn.XLOOKUP(_xlpm.lookupKey,'EA-Fortescue_SDExport'!A:A,'EA-Fortescue_SDExport'!AG:AG),
    IF(_xlpm.result=0,"",_xlpm.result)
)</f>
        <v/>
      </c>
    </row>
    <row r="140" spans="1:32" ht="270" x14ac:dyDescent="0.25">
      <c r="A140" s="2" t="str">
        <v>DGS-I_0139</v>
      </c>
      <c r="B140" s="2" t="str">
        <f t="shared" si="8"/>
        <v>855DC-1542-LMS Load Management System (LMS)|HIVE</v>
      </c>
      <c r="C140" s="2" t="str">
        <f>_xlfn.LET(_xlpm.result, _xlfn.XLOOKUP(A140,'EA-Fortescue_SDExport'!A:A,'EA-Fortescue_SDExport'!AM:AM), IF(_xlpm.result=0,"",_xlpm.result))</f>
        <v>Sam Hedgcock</v>
      </c>
      <c r="D140" s="2" t="str">
        <f>_xlfn.LET(_xlpm.result, _xlfn.XLOOKUP(A140,'EA-Fortescue_SDExport'!A:A,'EA-Fortescue_SDExport'!AN:AN), IF(_xlpm.result=0,"",_xlpm.result))</f>
        <v>TBC</v>
      </c>
      <c r="E140" s="2" t="str">
        <f>_xlfn.XLOOKUP(R140&amp;Z140,Lookups!A:A,Lookups!B:B)</f>
        <v>Stakeholder - Project Interface</v>
      </c>
      <c r="F140" s="2" t="str">
        <f>_xlfn.LET(_xlpm.result, _xlfn.XLOOKUP(A140,'EA-Fortescue_SDExport'!A:A,'EA-Fortescue_SDExport'!AP:AP), IF(_xlpm.result=0,"",_xlpm.result))</f>
        <v>Technical-Data/Software</v>
      </c>
      <c r="G140" s="2" t="str">
        <f>IF(OR(AND(T140&lt;&gt;"", COUNTIF(Lookups!J:J, "*"&amp;T140&amp;"*")&gt;0), AND(AB140&lt;&gt;"", COUNTIF(Lookups!J:J, "*"&amp;AB140&amp;"*")&gt;0)), "Yes", "No")</f>
        <v>No</v>
      </c>
      <c r="H140" s="2" t="str">
        <f t="shared" si="9"/>
        <v>855DC Decarb Green Systems|N/A</v>
      </c>
      <c r="I140" s="2" t="str">
        <f t="shared" si="10"/>
        <v>855DC-1542 Control &amp; Monitoring Systems|N/A</v>
      </c>
      <c r="J140" s="2" t="str">
        <f t="shared" si="11"/>
        <v>855DC-1542-LMS Load Management System (LMS)|N/A</v>
      </c>
      <c r="K140" s="2" t="str">
        <f>_xlfn.XLOOKUP(A140,'EA-Fortescue_SDExport'!A:A,'EA-Fortescue_SDExport'!N:N)</f>
        <v>Proposed</v>
      </c>
      <c r="L140" s="2" t="str">
        <f>_xlfn.LET(_xlpm.result, _xlfn.XLOOKUP($A140,'EA-Fortescue_SDExport'!$A:$A,'EA-Fortescue_SDExport'!AQ:AQ), IF(_xlpm.result=0,"",_xlpm.result))</f>
        <v>This interface provides HIVE with real-time load data and operating statuses from LMS, enabling HIVE to align operational decisions with site-wide electrical constraints.</v>
      </c>
      <c r="M140" s="2" t="str">
        <f>_xlfn.LET(_xlpm.result, _xlfn.XLOOKUP($A140,'EA-Fortescue_SDExport'!$A:$A,'EA-Fortescue_SDExport'!AR:AR), IF(_xlpm.result=0,"",_xlpm.result))</f>
        <v>LOW</v>
      </c>
      <c r="N140" s="2" t="str">
        <f>_xlfn.LET(_xlpm.result, _xlfn.XLOOKUP($A140,'EA-Fortescue_SDExport'!$A:$A,'EA-Fortescue_SDExport'!AW:AW), IF(_xlpm.result=0,"",_xlpm.result))</f>
        <v>The criticality level is LOW because HIVE can continue operating using static or historical data in the short term, and the temporary loss of electrical load visibility does not affect immediate production. While this link improves coordination and decision-making, it does not impact safety systems or the equipment's ability to function.</v>
      </c>
      <c r="O140" s="2" t="str">
        <f>_xlfn.LET(_xlpm.result, _xlfn.XLOOKUP($A140,'EA-Fortescue_SDExport'!$A:$A,'EA-Fortescue_SDExport'!AV:AV), IF(_xlpm.result=0,"",_xlpm.result))</f>
        <v>Data Flow:_x000D_
855DC-1542-LMS Load Management System (LMS) -&gt; HIVE, transmitting real-time electrical load data, system operating status, and constraint information to support operational alignment with site-wide electrical capacity and limitations.</v>
      </c>
      <c r="P140" s="2" t="str">
        <f>_xlfn.LET(_xlpm.result, _xlfn.XLOOKUP($A140,'EA-Fortescue_SDExport'!$A:$A,'EA-Fortescue_SDExport'!D:D), IF(_xlpm.result=0,"",_xlpm.result))</f>
        <v>NH 20/02/2026: Fields updated: Interface Type, Interface Flow.</v>
      </c>
      <c r="Q140" s="2" t="str">
        <f>_xlfn.LET(
    _xlpm.status, _xlfn.XLOOKUP($A140,'EA-ConnectorExport'!$A:$A,'EA-ConnectorExport'!G:G),
    _xlpm.result, _xlfn.XLOOKUP($A140,'EA-ConnectorExport'!$A:$A,'EA-ConnectorExport'!B:B),
    IF(_xlpm.status="allocate", _xlpm.result, "")
)</f>
        <v>855DC-1542-LMS Load Management System (LMS)</v>
      </c>
      <c r="R140" s="2" t="str">
        <f>IF(
    _xlfn.XLOOKUP($Q140,'EA-Fortescue_SDExport'!A:A,'EA-Fortescue_SDExport'!B:B)="Object",
    _xlfn.XLOOKUP(
        _xlfn.XLOOKUP($A140,'EA-ConnectorExport'!A:A,'EA-ConnectorExport'!D:D),
        'EA-Fortescue_SDExport'!A:A,
        'EA-Fortescue_SDExport'!AA:AA
    ),
    _xlfn.XLOOKUP($Q140,'EA-Fortescue_SDExport'!A:A,'EA-Fortescue_SDExport'!AA:AA)
)</f>
        <v>Project</v>
      </c>
      <c r="S140" s="2" t="str">
        <f>_xlfn.LET(_xlpm.result, _xlfn.XLOOKUP($Q140,'EA-Fortescue_SDExport'!$A:$A,'EA-Fortescue_SDExport'!AB:AB), IF(_xlpm.result=0,"",_xlpm.result))</f>
        <v>Mine Services</v>
      </c>
      <c r="T140" s="2" t="str">
        <f>_xlfn.LET(_xlpm.result, _xlfn.XLOOKUP($Q140,'EA-Fortescue_SDExport'!$A:$A,'EA-Fortescue_SDExport'!AC:AC), IF(_xlpm.result=0,"",_xlpm.result))</f>
        <v/>
      </c>
      <c r="U140" s="2" t="str">
        <f>_xlfn.LET(
    _xlpm.isObject, _xlfn.XLOOKUP($Q140,'EA-Fortescue_SDExport'!A:A,'EA-Fortescue_SDExport'!B:B),
    _xlpm.lookupKey, IF(_xlpm.isObject="Object",
        _xlfn.XLOOKUP($A140,'EA-ConnectorExport'!A:A,'EA-ConnectorExport'!D:D),
        $Q140
    ),
    _xlpm.result, _xlfn.XLOOKUP(_xlpm.lookupKey,'EA-Fortescue_SDExport'!A:A,'EA-Fortescue_SDExport'!AD:AD),
    IF(_xlpm.result=0,"",_xlpm.result)
)</f>
        <v>855DC Decarb Green Systems</v>
      </c>
      <c r="V140" s="2" t="str">
        <f>_xlfn.LET(
    _xlpm.isObject, _xlfn.XLOOKUP($Q140,'EA-Fortescue_SDExport'!A:A,'EA-Fortescue_SDExport'!B:B),
    _xlpm.lookupKey, IF(_xlpm.isObject="Object",
        _xlfn.XLOOKUP($A140,'EA-ConnectorExport'!A:A,'EA-ConnectorExport'!D:D),
        $Q140
    ),
    _xlpm.result, _xlfn.XLOOKUP(_xlpm.lookupKey,'EA-Fortescue_SDExport'!A:A,'EA-Fortescue_SDExport'!AE:AE),
    IF(_xlpm.result=0,"",_xlpm.result)
)</f>
        <v>855DC-1542 Control &amp; Monitoring Systems</v>
      </c>
      <c r="W140" s="2" t="str">
        <f>_xlfn.LET(
    _xlpm.isObject, _xlfn.XLOOKUP($Q140,'EA-Fortescue_SDExport'!A:A,'EA-Fortescue_SDExport'!B:B),
    _xlpm.lookupKey, IF(_xlpm.isObject="Object",
        _xlfn.XLOOKUP($A140,'EA-ConnectorExport'!A:A,'EA-ConnectorExport'!D:D),
        $Q140
    ),
    _xlpm.result, _xlfn.XLOOKUP(_xlpm.lookupKey,'EA-Fortescue_SDExport'!A:A,'EA-Fortescue_SDExport'!AF:AF),
    IF(_xlpm.result=0,"",_xlpm.result)
)</f>
        <v>855DC-1542-LMS Load Management System (LMS)</v>
      </c>
      <c r="X140" s="2" t="str">
        <f>_xlfn.LET(
    _xlpm.isObject, _xlfn.XLOOKUP($Q140,'EA-Fortescue_SDExport'!A:A,'EA-Fortescue_SDExport'!B:B),
    _xlpm.lookupKey, IF(_xlpm.isObject="Object",
        _xlfn.XLOOKUP($A140,'EA-ConnectorExport'!A:A,'EA-ConnectorExport'!D:D),
        $Q140
    ),
    _xlpm.result, _xlfn.XLOOKUP(_xlpm.lookupKey,'EA-Fortescue_SDExport'!A:A,'EA-Fortescue_SDExport'!AG:AG),
    IF(_xlpm.result=0,"",_xlpm.result)
)</f>
        <v/>
      </c>
      <c r="Y140" s="2" t="str">
        <f>_xlfn.LET(
    _xlpm.status, _xlfn.XLOOKUP($A140,'EA-ConnectorExport'!$A:$A,'EA-ConnectorExport'!G:G),
    _xlpm.result, _xlfn.XLOOKUP($A140,'EA-ConnectorExport'!$A:$A,'EA-ConnectorExport'!H:H),
    IF(_xlpm.status="allocate", _xlpm.result, "")
)</f>
        <v>HIVE</v>
      </c>
      <c r="Z140" s="2" t="str">
        <f>_xlfn.LET(
    _xlpm.isObject, _xlfn.XLOOKUP($Y140,'EA-Fortescue_SDExport'!A:A,'EA-Fortescue_SDExport'!B:B),
    _xlpm.lookupKey, IF(_xlpm.isObject="Object",
        _xlfn.XLOOKUP($A140,'EA-ConnectorExport'!A:A,'EA-ConnectorExport'!J:J),
        $Y140
    ),
    _xlpm.result, _xlfn.XLOOKUP(_xlpm.lookupKey,'EA-Fortescue_SDExport'!A:A,'EA-Fortescue_SDExport'!AA:AA),
    IF(_xlpm.result=0,"",_xlpm.result)
)</f>
        <v>Stakeholder</v>
      </c>
      <c r="AA140" s="2" t="str">
        <f>_xlfn.LET(_xlpm.result, _xlfn.XLOOKUP($Y140,'EA-Fortescue_SDExport'!$A:$A,'EA-Fortescue_SDExport'!AB:AB), IF(_xlpm.result=0,"",_xlpm.result))</f>
        <v>Charlotte Lavin (Ops Readiness)</v>
      </c>
      <c r="AB140" s="2" t="str">
        <f>_xlfn.LET(_xlpm.result, _xlfn.XLOOKUP($Y140,'EA-Fortescue_SDExport'!$A:$A,'EA-Fortescue_SDExport'!AC:AC), IF(_xlpm.result=0,"",_xlpm.result))</f>
        <v/>
      </c>
      <c r="AC140" s="2" t="str">
        <f>_xlfn.LET(
    _xlpm.isObject, _xlfn.XLOOKUP($Y140,'EA-Fortescue_SDExport'!A:A,'EA-Fortescue_SDExport'!B:B),
    _xlpm.lookupKey, IF(_xlpm.isObject="Object",
        _xlfn.XLOOKUP($A140,'EA-ConnectorExport'!A:A,'EA-ConnectorExport'!J:J),
        $Y140
    ),
    _xlpm.result, _xlfn.XLOOKUP(_xlpm.lookupKey,'EA-Fortescue_SDExport'!A:A,'EA-Fortescue_SDExport'!AD:AD),
    IF(_xlpm.result=0,"",_xlpm.result)
)</f>
        <v/>
      </c>
      <c r="AD140" s="2" t="str">
        <f>_xlfn.LET(
    _xlpm.isObject, _xlfn.XLOOKUP($Y140,'EA-Fortescue_SDExport'!A:A,'EA-Fortescue_SDExport'!B:B),
    _xlpm.lookupKey, IF(_xlpm.isObject="Object",
        _xlfn.XLOOKUP($A140,'EA-ConnectorExport'!A:A,'EA-ConnectorExport'!J:J),
        $Y140
    ),
    _xlpm.result, _xlfn.XLOOKUP(_xlpm.lookupKey,'EA-Fortescue_SDExport'!A:A,'EA-Fortescue_SDExport'!AE:AE),
    IF(_xlpm.result=0,"",_xlpm.result)
)</f>
        <v/>
      </c>
      <c r="AE140" s="2" t="str">
        <f>_xlfn.LET(
    _xlpm.isObject, _xlfn.XLOOKUP($Y140,'EA-Fortescue_SDExport'!A:A,'EA-Fortescue_SDExport'!B:B),
    _xlpm.lookupKey, IF(_xlpm.isObject="Object",
        _xlfn.XLOOKUP($A140,'EA-ConnectorExport'!A:A,'EA-ConnectorExport'!J:J),
        $Y140
    ),
    _xlpm.result, _xlfn.XLOOKUP(_xlpm.lookupKey,'EA-Fortescue_SDExport'!A:A,'EA-Fortescue_SDExport'!AF:AF),
    IF(_xlpm.result=0,"",_xlpm.result)
)</f>
        <v/>
      </c>
      <c r="AF140" s="2" t="str">
        <f>_xlfn.LET(
    _xlpm.isObject, _xlfn.XLOOKUP($Y140,'EA-Fortescue_SDExport'!A:A,'EA-Fortescue_SDExport'!B:B),
    _xlpm.lookupKey, IF(_xlpm.isObject="Object",
        _xlfn.XLOOKUP($A140,'EA-ConnectorExport'!A:A,'EA-ConnectorExport'!J:J),
        $Y140
    ),
    _xlpm.result, _xlfn.XLOOKUP(_xlpm.lookupKey,'EA-Fortescue_SDExport'!A:A,'EA-Fortescue_SDExport'!AG:AG),
    IF(_xlpm.result=0,"",_xlpm.result)
)</f>
        <v/>
      </c>
    </row>
    <row r="141" spans="1:32" ht="300" x14ac:dyDescent="0.25">
      <c r="A141" s="2" t="str">
        <v>DGS-I_0140</v>
      </c>
      <c r="B141" s="2" t="str">
        <f t="shared" si="8"/>
        <v>855DC-1542-LMS Load Management System (LMS)|Energy Operations (HIVE)</v>
      </c>
      <c r="C141" s="2" t="str">
        <f>_xlfn.LET(_xlpm.result, _xlfn.XLOOKUP(A141,'EA-Fortescue_SDExport'!A:A,'EA-Fortescue_SDExport'!AM:AM), IF(_xlpm.result=0,"",_xlpm.result))</f>
        <v>Sam Hedgcock</v>
      </c>
      <c r="D141" s="2" t="str">
        <f>_xlfn.LET(_xlpm.result, _xlfn.XLOOKUP(A141,'EA-Fortescue_SDExport'!A:A,'EA-Fortescue_SDExport'!AN:AN), IF(_xlpm.result=0,"",_xlpm.result))</f>
        <v>TBC</v>
      </c>
      <c r="E141" s="2" t="str">
        <f>_xlfn.XLOOKUP(R141&amp;Z141,Lookups!A:A,Lookups!B:B)</f>
        <v>Stakeholder - Project Interface</v>
      </c>
      <c r="F141" s="2" t="str">
        <f>_xlfn.LET(_xlpm.result, _xlfn.XLOOKUP(A141,'EA-Fortescue_SDExport'!A:A,'EA-Fortescue_SDExport'!AP:AP), IF(_xlpm.result=0,"",_xlpm.result))</f>
        <v>Technical-Data/Software</v>
      </c>
      <c r="G141" s="2" t="str">
        <f>IF(OR(AND(T141&lt;&gt;"", COUNTIF(Lookups!J:J, "*"&amp;T141&amp;"*")&gt;0), AND(AB141&lt;&gt;"", COUNTIF(Lookups!J:J, "*"&amp;AB141&amp;"*")&gt;0)), "Yes", "No")</f>
        <v>No</v>
      </c>
      <c r="H141" s="2" t="str">
        <f t="shared" si="9"/>
        <v>855DC Decarb Green Systems|N/A</v>
      </c>
      <c r="I141" s="2" t="str">
        <f t="shared" si="10"/>
        <v>855DC-1542 Control &amp; Monitoring Systems|N/A</v>
      </c>
      <c r="J141" s="2" t="str">
        <f t="shared" si="11"/>
        <v>855DC-1542-LMS Load Management System (LMS)|N/A</v>
      </c>
      <c r="K141" s="2" t="str">
        <f>_xlfn.XLOOKUP(A141,'EA-Fortescue_SDExport'!A:A,'EA-Fortescue_SDExport'!N:N)</f>
        <v>Proposed</v>
      </c>
      <c r="L141" s="2" t="str">
        <f>_xlfn.LET(_xlpm.result, _xlfn.XLOOKUP($A141,'EA-Fortescue_SDExport'!$A:$A,'EA-Fortescue_SDExport'!AQ:AQ), IF(_xlpm.result=0,"",_xlpm.result))</f>
        <v>This interface enables LMS to deliver live load profiles and power-demand data to Energy Operations, allowing energy controllers to balance supply and prevent overloads.</v>
      </c>
      <c r="M141" s="2" t="str">
        <f>_xlfn.LET(_xlpm.result, _xlfn.XLOOKUP($A141,'EA-Fortescue_SDExport'!$A:$A,'EA-Fortescue_SDExport'!AR:AR), IF(_xlpm.result=0,"",_xlpm.result))</f>
        <v>MEDIUM</v>
      </c>
      <c r="N141" s="2" t="str">
        <f>_xlfn.LET(_xlpm.result, _xlfn.XLOOKUP($A141,'EA-Fortescue_SDExport'!$A:$A,'EA-Fortescue_SDExport'!AW:AW), IF(_xlpm.result=0,"",_xlpm.result))</f>
        <v>The criticality level is MEDIUM because losing this interface diminishes the energy team's capacity to respond to load fluctuations, increasing the risk of localised overloads or forced load-shedding. Although the wider electrical network is typically resilient enough to handle short-term issues, reduced visibility heightens operational risk and could result in unnecessary shutdowns.</v>
      </c>
      <c r="O141" s="2" t="str">
        <f>_xlfn.LET(_xlpm.result, _xlfn.XLOOKUP($A141,'EA-Fortescue_SDExport'!$A:$A,'EA-Fortescue_SDExport'!AV:AV), IF(_xlpm.result=0,"",_xlpm.result))</f>
        <v>Data Flow: Load Management System (LMS) -&gt; Energy Operations (live load profiles, real-time power demand, load forecasts, network status, overload alarms) to support balancing decisions and prevent electrical overloads.</v>
      </c>
      <c r="P141" s="2" t="str">
        <f>_xlfn.LET(_xlpm.result, _xlfn.XLOOKUP($A141,'EA-Fortescue_SDExport'!$A:$A,'EA-Fortescue_SDExport'!D:D), IF(_xlpm.result=0,"",_xlpm.result))</f>
        <v>NH 20/02/2026: Fields updated: Interface Type, Interface Flow.</v>
      </c>
      <c r="Q141" s="2" t="str">
        <f>_xlfn.LET(
    _xlpm.status, _xlfn.XLOOKUP($A141,'EA-ConnectorExport'!$A:$A,'EA-ConnectorExport'!G:G),
    _xlpm.result, _xlfn.XLOOKUP($A141,'EA-ConnectorExport'!$A:$A,'EA-ConnectorExport'!B:B),
    IF(_xlpm.status="allocate", _xlpm.result, "")
)</f>
        <v>855DC-1542-LMS Load Management System (LMS)</v>
      </c>
      <c r="R141" s="2" t="str">
        <f>IF(
    _xlfn.XLOOKUP($Q141,'EA-Fortescue_SDExport'!A:A,'EA-Fortescue_SDExport'!B:B)="Object",
    _xlfn.XLOOKUP(
        _xlfn.XLOOKUP($A141,'EA-ConnectorExport'!A:A,'EA-ConnectorExport'!D:D),
        'EA-Fortescue_SDExport'!A:A,
        'EA-Fortescue_SDExport'!AA:AA
    ),
    _xlfn.XLOOKUP($Q141,'EA-Fortescue_SDExport'!A:A,'EA-Fortescue_SDExport'!AA:AA)
)</f>
        <v>Project</v>
      </c>
      <c r="S141" s="2" t="str">
        <f>_xlfn.LET(_xlpm.result, _xlfn.XLOOKUP($Q141,'EA-Fortescue_SDExport'!$A:$A,'EA-Fortescue_SDExport'!AB:AB), IF(_xlpm.result=0,"",_xlpm.result))</f>
        <v>Mine Services</v>
      </c>
      <c r="T141" s="2" t="str">
        <f>_xlfn.LET(_xlpm.result, _xlfn.XLOOKUP($Q141,'EA-Fortescue_SDExport'!$A:$A,'EA-Fortescue_SDExport'!AC:AC), IF(_xlpm.result=0,"",_xlpm.result))</f>
        <v/>
      </c>
      <c r="U141" s="2" t="str">
        <f>_xlfn.LET(
    _xlpm.isObject, _xlfn.XLOOKUP($Q141,'EA-Fortescue_SDExport'!A:A,'EA-Fortescue_SDExport'!B:B),
    _xlpm.lookupKey, IF(_xlpm.isObject="Object",
        _xlfn.XLOOKUP($A141,'EA-ConnectorExport'!A:A,'EA-ConnectorExport'!D:D),
        $Q141
    ),
    _xlpm.result, _xlfn.XLOOKUP(_xlpm.lookupKey,'EA-Fortescue_SDExport'!A:A,'EA-Fortescue_SDExport'!AD:AD),
    IF(_xlpm.result=0,"",_xlpm.result)
)</f>
        <v>855DC Decarb Green Systems</v>
      </c>
      <c r="V141" s="2" t="str">
        <f>_xlfn.LET(
    _xlpm.isObject, _xlfn.XLOOKUP($Q141,'EA-Fortescue_SDExport'!A:A,'EA-Fortescue_SDExport'!B:B),
    _xlpm.lookupKey, IF(_xlpm.isObject="Object",
        _xlfn.XLOOKUP($A141,'EA-ConnectorExport'!A:A,'EA-ConnectorExport'!D:D),
        $Q141
    ),
    _xlpm.result, _xlfn.XLOOKUP(_xlpm.lookupKey,'EA-Fortescue_SDExport'!A:A,'EA-Fortescue_SDExport'!AE:AE),
    IF(_xlpm.result=0,"",_xlpm.result)
)</f>
        <v>855DC-1542 Control &amp; Monitoring Systems</v>
      </c>
      <c r="W141" s="2" t="str">
        <f>_xlfn.LET(
    _xlpm.isObject, _xlfn.XLOOKUP($Q141,'EA-Fortescue_SDExport'!A:A,'EA-Fortescue_SDExport'!B:B),
    _xlpm.lookupKey, IF(_xlpm.isObject="Object",
        _xlfn.XLOOKUP($A141,'EA-ConnectorExport'!A:A,'EA-ConnectorExport'!D:D),
        $Q141
    ),
    _xlpm.result, _xlfn.XLOOKUP(_xlpm.lookupKey,'EA-Fortescue_SDExport'!A:A,'EA-Fortescue_SDExport'!AF:AF),
    IF(_xlpm.result=0,"",_xlpm.result)
)</f>
        <v>855DC-1542-LMS Load Management System (LMS)</v>
      </c>
      <c r="X141" s="2" t="str">
        <f>_xlfn.LET(
    _xlpm.isObject, _xlfn.XLOOKUP($Q141,'EA-Fortescue_SDExport'!A:A,'EA-Fortescue_SDExport'!B:B),
    _xlpm.lookupKey, IF(_xlpm.isObject="Object",
        _xlfn.XLOOKUP($A141,'EA-ConnectorExport'!A:A,'EA-ConnectorExport'!D:D),
        $Q141
    ),
    _xlpm.result, _xlfn.XLOOKUP(_xlpm.lookupKey,'EA-Fortescue_SDExport'!A:A,'EA-Fortescue_SDExport'!AG:AG),
    IF(_xlpm.result=0,"",_xlpm.result)
)</f>
        <v/>
      </c>
      <c r="Y141" s="2" t="str">
        <f>_xlfn.LET(
    _xlpm.status, _xlfn.XLOOKUP($A141,'EA-ConnectorExport'!$A:$A,'EA-ConnectorExport'!G:G),
    _xlpm.result, _xlfn.XLOOKUP($A141,'EA-ConnectorExport'!$A:$A,'EA-ConnectorExport'!H:H),
    IF(_xlpm.status="allocate", _xlpm.result, "")
)</f>
        <v>Energy Operations (HIVE)</v>
      </c>
      <c r="Z141" s="2" t="str">
        <f>_xlfn.LET(
    _xlpm.isObject, _xlfn.XLOOKUP($Y141,'EA-Fortescue_SDExport'!A:A,'EA-Fortescue_SDExport'!B:B),
    _xlpm.lookupKey, IF(_xlpm.isObject="Object",
        _xlfn.XLOOKUP($A141,'EA-ConnectorExport'!A:A,'EA-ConnectorExport'!J:J),
        $Y141
    ),
    _xlpm.result, _xlfn.XLOOKUP(_xlpm.lookupKey,'EA-Fortescue_SDExport'!A:A,'EA-Fortescue_SDExport'!AA:AA),
    IF(_xlpm.result=0,"",_xlpm.result)
)</f>
        <v>Stakeholder</v>
      </c>
      <c r="AA141" s="2" t="str">
        <f>_xlfn.LET(_xlpm.result, _xlfn.XLOOKUP($Y141,'EA-Fortescue_SDExport'!$A:$A,'EA-Fortescue_SDExport'!AB:AB), IF(_xlpm.result=0,"",_xlpm.result))</f>
        <v/>
      </c>
      <c r="AB141" s="2" t="str">
        <f>_xlfn.LET(_xlpm.result, _xlfn.XLOOKUP($Y141,'EA-Fortescue_SDExport'!$A:$A,'EA-Fortescue_SDExport'!AC:AC), IF(_xlpm.result=0,"",_xlpm.result))</f>
        <v/>
      </c>
      <c r="AC141" s="2" t="str">
        <f>_xlfn.LET(
    _xlpm.isObject, _xlfn.XLOOKUP($Y141,'EA-Fortescue_SDExport'!A:A,'EA-Fortescue_SDExport'!B:B),
    _xlpm.lookupKey, IF(_xlpm.isObject="Object",
        _xlfn.XLOOKUP($A141,'EA-ConnectorExport'!A:A,'EA-ConnectorExport'!J:J),
        $Y141
    ),
    _xlpm.result, _xlfn.XLOOKUP(_xlpm.lookupKey,'EA-Fortescue_SDExport'!A:A,'EA-Fortescue_SDExport'!AD:AD),
    IF(_xlpm.result=0,"",_xlpm.result)
)</f>
        <v/>
      </c>
      <c r="AD141" s="2" t="str">
        <f>_xlfn.LET(
    _xlpm.isObject, _xlfn.XLOOKUP($Y141,'EA-Fortescue_SDExport'!A:A,'EA-Fortescue_SDExport'!B:B),
    _xlpm.lookupKey, IF(_xlpm.isObject="Object",
        _xlfn.XLOOKUP($A141,'EA-ConnectorExport'!A:A,'EA-ConnectorExport'!J:J),
        $Y141
    ),
    _xlpm.result, _xlfn.XLOOKUP(_xlpm.lookupKey,'EA-Fortescue_SDExport'!A:A,'EA-Fortescue_SDExport'!AE:AE),
    IF(_xlpm.result=0,"",_xlpm.result)
)</f>
        <v/>
      </c>
      <c r="AE141" s="2" t="str">
        <f>_xlfn.LET(
    _xlpm.isObject, _xlfn.XLOOKUP($Y141,'EA-Fortescue_SDExport'!A:A,'EA-Fortescue_SDExport'!B:B),
    _xlpm.lookupKey, IF(_xlpm.isObject="Object",
        _xlfn.XLOOKUP($A141,'EA-ConnectorExport'!A:A,'EA-ConnectorExport'!J:J),
        $Y141
    ),
    _xlpm.result, _xlfn.XLOOKUP(_xlpm.lookupKey,'EA-Fortescue_SDExport'!A:A,'EA-Fortescue_SDExport'!AF:AF),
    IF(_xlpm.result=0,"",_xlpm.result)
)</f>
        <v/>
      </c>
      <c r="AF141" s="2" t="str">
        <f>_xlfn.LET(
    _xlpm.isObject, _xlfn.XLOOKUP($Y141,'EA-Fortescue_SDExport'!A:A,'EA-Fortescue_SDExport'!B:B),
    _xlpm.lookupKey, IF(_xlpm.isObject="Object",
        _xlfn.XLOOKUP($A141,'EA-ConnectorExport'!A:A,'EA-ConnectorExport'!J:J),
        $Y141
    ),
    _xlpm.result, _xlfn.XLOOKUP(_xlpm.lookupKey,'EA-Fortescue_SDExport'!A:A,'EA-Fortescue_SDExport'!AG:AG),
    IF(_xlpm.result=0,"",_xlpm.result)
)</f>
        <v/>
      </c>
    </row>
    <row r="142" spans="1:32" ht="240" x14ac:dyDescent="0.25">
      <c r="A142" s="2" t="str">
        <v>DGS-I_0141</v>
      </c>
      <c r="B142" s="2" t="str">
        <f t="shared" si="8"/>
        <v>Mining Operations|855DC-1542-LMS Load Management System (LMS)</v>
      </c>
      <c r="C142" s="2" t="str">
        <f>_xlfn.LET(_xlpm.result, _xlfn.XLOOKUP(A142,'EA-Fortescue_SDExport'!A:A,'EA-Fortescue_SDExport'!AM:AM), IF(_xlpm.result=0,"",_xlpm.result))</f>
        <v>Sam Hedgcock</v>
      </c>
      <c r="D142" s="2" t="str">
        <f>_xlfn.LET(_xlpm.result, _xlfn.XLOOKUP(A142,'EA-Fortescue_SDExport'!A:A,'EA-Fortescue_SDExport'!AN:AN), IF(_xlpm.result=0,"",_xlpm.result))</f>
        <v>TBC</v>
      </c>
      <c r="E142" s="2" t="str">
        <f>_xlfn.XLOOKUP(R142&amp;Z142,Lookups!A:A,Lookups!B:B)</f>
        <v>Stakeholder - Project Interface</v>
      </c>
      <c r="F142" s="2" t="str">
        <f>_xlfn.LET(_xlpm.result, _xlfn.XLOOKUP(A142,'EA-Fortescue_SDExport'!A:A,'EA-Fortescue_SDExport'!AP:AP), IF(_xlpm.result=0,"",_xlpm.result))</f>
        <v>Technical-Data/Software</v>
      </c>
      <c r="G142" s="2" t="str">
        <f>IF(OR(AND(T142&lt;&gt;"", COUNTIF(Lookups!J:J, "*"&amp;T142&amp;"*")&gt;0), AND(AB142&lt;&gt;"", COUNTIF(Lookups!J:J, "*"&amp;AB142&amp;"*")&gt;0)), "Yes", "No")</f>
        <v>No</v>
      </c>
      <c r="H142" s="2" t="str">
        <f t="shared" si="9"/>
        <v>N/A|855DC Decarb Green Systems</v>
      </c>
      <c r="I142" s="2" t="str">
        <f t="shared" si="10"/>
        <v>N/A|855DC-1542 Control &amp; Monitoring Systems</v>
      </c>
      <c r="J142" s="2" t="str">
        <f t="shared" si="11"/>
        <v>N/A|855DC-1542-LMS Load Management System (LMS)</v>
      </c>
      <c r="K142" s="2" t="str">
        <f>_xlfn.XLOOKUP(A142,'EA-Fortescue_SDExport'!A:A,'EA-Fortescue_SDExport'!N:N)</f>
        <v>Proposed</v>
      </c>
      <c r="L142" s="2" t="str">
        <f>_xlfn.LET(_xlpm.result, _xlfn.XLOOKUP($A142,'EA-Fortescue_SDExport'!$A:$A,'EA-Fortescue_SDExport'!AQ:AQ), IF(_xlpm.result=0,"",_xlpm.result))</f>
        <v>This interface provides Mining Operations with visibility into electrical load constraints and real-time consumption data from LMS, helping supervisors make informed decisions about equipment scheduling and power-intensive activities.</v>
      </c>
      <c r="M142" s="2" t="str">
        <f>_xlfn.LET(_xlpm.result, _xlfn.XLOOKUP($A142,'EA-Fortescue_SDExport'!$A:$A,'EA-Fortescue_SDExport'!AR:AR), IF(_xlpm.result=0,"",_xlpm.result))</f>
        <v>LOW</v>
      </c>
      <c r="N142" s="2" t="str">
        <f>_xlfn.LET(_xlpm.result, _xlfn.XLOOKUP($A142,'EA-Fortescue_SDExport'!$A:$A,'EA-Fortescue_SDExport'!AW:AW), IF(_xlpm.result=0,"",_xlpm.result))</f>
        <v>The criticality level is LOW because Mining Operations can still function, though with less awareness of available power margins and potential constraints. Loss of the interface reduces planning quality but does not directly stop equipment or impact electrical safety, as LMS continues to enforce limits independently.</v>
      </c>
      <c r="O142" s="2" t="str">
        <f>_xlfn.LET(_xlpm.result, _xlfn.XLOOKUP($A142,'EA-Fortescue_SDExport'!$A:$A,'EA-Fortescue_SDExport'!AV:AV), IF(_xlpm.result=0,"",_xlpm.result))</f>
        <v>Data Flow:_x000D_
855DC-1542-LMS Load Management System (LMS) -&gt; Mining Operations, transmitting electrical load constraints, real-time consumption data, available capacity margins, and system status information to support equipment scheduling and power-intensive activity planning.</v>
      </c>
      <c r="P142" s="2" t="str">
        <f>_xlfn.LET(_xlpm.result, _xlfn.XLOOKUP($A142,'EA-Fortescue_SDExport'!$A:$A,'EA-Fortescue_SDExport'!D:D), IF(_xlpm.result=0,"",_xlpm.result))</f>
        <v>NH 20/02/2026: Fields updated: Interface Type, Interface Flow.</v>
      </c>
      <c r="Q142" s="2" t="str">
        <f>_xlfn.LET(
    _xlpm.status, _xlfn.XLOOKUP($A142,'EA-ConnectorExport'!$A:$A,'EA-ConnectorExport'!G:G),
    _xlpm.result, _xlfn.XLOOKUP($A142,'EA-ConnectorExport'!$A:$A,'EA-ConnectorExport'!B:B),
    IF(_xlpm.status="allocate", _xlpm.result, "")
)</f>
        <v>Mining Operations</v>
      </c>
      <c r="R142" s="2" t="str">
        <f>IF(
    _xlfn.XLOOKUP($Q142,'EA-Fortescue_SDExport'!A:A,'EA-Fortescue_SDExport'!B:B)="Object",
    _xlfn.XLOOKUP(
        _xlfn.XLOOKUP($A142,'EA-ConnectorExport'!A:A,'EA-ConnectorExport'!D:D),
        'EA-Fortescue_SDExport'!A:A,
        'EA-Fortescue_SDExport'!AA:AA
    ),
    _xlfn.XLOOKUP($Q142,'EA-Fortescue_SDExport'!A:A,'EA-Fortescue_SDExport'!AA:AA)
)</f>
        <v>Stakeholder</v>
      </c>
      <c r="S142" s="2" t="str">
        <f>_xlfn.LET(_xlpm.result, _xlfn.XLOOKUP($Q142,'EA-Fortescue_SDExport'!$A:$A,'EA-Fortescue_SDExport'!AB:AB), IF(_xlpm.result=0,"",_xlpm.result))</f>
        <v>Sam Ward</v>
      </c>
      <c r="T142" s="2" t="str">
        <f>_xlfn.LET(_xlpm.result, _xlfn.XLOOKUP($Q142,'EA-Fortescue_SDExport'!$A:$A,'EA-Fortescue_SDExport'!AC:AC), IF(_xlpm.result=0,"",_xlpm.result))</f>
        <v/>
      </c>
      <c r="U142" s="2" t="str">
        <f>_xlfn.LET(
    _xlpm.isObject, _xlfn.XLOOKUP($Q142,'EA-Fortescue_SDExport'!A:A,'EA-Fortescue_SDExport'!B:B),
    _xlpm.lookupKey, IF(_xlpm.isObject="Object",
        _xlfn.XLOOKUP($A142,'EA-ConnectorExport'!A:A,'EA-ConnectorExport'!D:D),
        $Q142
    ),
    _xlpm.result, _xlfn.XLOOKUP(_xlpm.lookupKey,'EA-Fortescue_SDExport'!A:A,'EA-Fortescue_SDExport'!AD:AD),
    IF(_xlpm.result=0,"",_xlpm.result)
)</f>
        <v/>
      </c>
      <c r="V142" s="2" t="str">
        <f>_xlfn.LET(
    _xlpm.isObject, _xlfn.XLOOKUP($Q142,'EA-Fortescue_SDExport'!A:A,'EA-Fortescue_SDExport'!B:B),
    _xlpm.lookupKey, IF(_xlpm.isObject="Object",
        _xlfn.XLOOKUP($A142,'EA-ConnectorExport'!A:A,'EA-ConnectorExport'!D:D),
        $Q142
    ),
    _xlpm.result, _xlfn.XLOOKUP(_xlpm.lookupKey,'EA-Fortescue_SDExport'!A:A,'EA-Fortescue_SDExport'!AE:AE),
    IF(_xlpm.result=0,"",_xlpm.result)
)</f>
        <v/>
      </c>
      <c r="W142" s="2" t="str">
        <f>_xlfn.LET(
    _xlpm.isObject, _xlfn.XLOOKUP($Q142,'EA-Fortescue_SDExport'!A:A,'EA-Fortescue_SDExport'!B:B),
    _xlpm.lookupKey, IF(_xlpm.isObject="Object",
        _xlfn.XLOOKUP($A142,'EA-ConnectorExport'!A:A,'EA-ConnectorExport'!D:D),
        $Q142
    ),
    _xlpm.result, _xlfn.XLOOKUP(_xlpm.lookupKey,'EA-Fortescue_SDExport'!A:A,'EA-Fortescue_SDExport'!AF:AF),
    IF(_xlpm.result=0,"",_xlpm.result)
)</f>
        <v/>
      </c>
      <c r="X142" s="2" t="str">
        <f>_xlfn.LET(
    _xlpm.isObject, _xlfn.XLOOKUP($Q142,'EA-Fortescue_SDExport'!A:A,'EA-Fortescue_SDExport'!B:B),
    _xlpm.lookupKey, IF(_xlpm.isObject="Object",
        _xlfn.XLOOKUP($A142,'EA-ConnectorExport'!A:A,'EA-ConnectorExport'!D:D),
        $Q142
    ),
    _xlpm.result, _xlfn.XLOOKUP(_xlpm.lookupKey,'EA-Fortescue_SDExport'!A:A,'EA-Fortescue_SDExport'!AG:AG),
    IF(_xlpm.result=0,"",_xlpm.result)
)</f>
        <v/>
      </c>
      <c r="Y142" s="2" t="str">
        <f>_xlfn.LET(
    _xlpm.status, _xlfn.XLOOKUP($A142,'EA-ConnectorExport'!$A:$A,'EA-ConnectorExport'!G:G),
    _xlpm.result, _xlfn.XLOOKUP($A142,'EA-ConnectorExport'!$A:$A,'EA-ConnectorExport'!H:H),
    IF(_xlpm.status="allocate", _xlpm.result, "")
)</f>
        <v>855DC-1542-LMS Load Management System (LMS)</v>
      </c>
      <c r="Z142" s="2" t="str">
        <f>_xlfn.LET(
    _xlpm.isObject, _xlfn.XLOOKUP($Y142,'EA-Fortescue_SDExport'!A:A,'EA-Fortescue_SDExport'!B:B),
    _xlpm.lookupKey, IF(_xlpm.isObject="Object",
        _xlfn.XLOOKUP($A142,'EA-ConnectorExport'!A:A,'EA-ConnectorExport'!J:J),
        $Y142
    ),
    _xlpm.result, _xlfn.XLOOKUP(_xlpm.lookupKey,'EA-Fortescue_SDExport'!A:A,'EA-Fortescue_SDExport'!AA:AA),
    IF(_xlpm.result=0,"",_xlpm.result)
)</f>
        <v>Project</v>
      </c>
      <c r="AA142" s="2" t="str">
        <f>_xlfn.LET(_xlpm.result, _xlfn.XLOOKUP($Y142,'EA-Fortescue_SDExport'!$A:$A,'EA-Fortescue_SDExport'!AB:AB), IF(_xlpm.result=0,"",_xlpm.result))</f>
        <v>Mine Services</v>
      </c>
      <c r="AB142" s="2" t="str">
        <f>_xlfn.LET(_xlpm.result, _xlfn.XLOOKUP($Y142,'EA-Fortescue_SDExport'!$A:$A,'EA-Fortescue_SDExport'!AC:AC), IF(_xlpm.result=0,"",_xlpm.result))</f>
        <v/>
      </c>
      <c r="AC142" s="2" t="str">
        <f>_xlfn.LET(
    _xlpm.isObject, _xlfn.XLOOKUP($Y142,'EA-Fortescue_SDExport'!A:A,'EA-Fortescue_SDExport'!B:B),
    _xlpm.lookupKey, IF(_xlpm.isObject="Object",
        _xlfn.XLOOKUP($A142,'EA-ConnectorExport'!A:A,'EA-ConnectorExport'!J:J),
        $Y142
    ),
    _xlpm.result, _xlfn.XLOOKUP(_xlpm.lookupKey,'EA-Fortescue_SDExport'!A:A,'EA-Fortescue_SDExport'!AD:AD),
    IF(_xlpm.result=0,"",_xlpm.result)
)</f>
        <v>855DC Decarb Green Systems</v>
      </c>
      <c r="AD142" s="2" t="str">
        <f>_xlfn.LET(
    _xlpm.isObject, _xlfn.XLOOKUP($Y142,'EA-Fortescue_SDExport'!A:A,'EA-Fortescue_SDExport'!B:B),
    _xlpm.lookupKey, IF(_xlpm.isObject="Object",
        _xlfn.XLOOKUP($A142,'EA-ConnectorExport'!A:A,'EA-ConnectorExport'!J:J),
        $Y142
    ),
    _xlpm.result, _xlfn.XLOOKUP(_xlpm.lookupKey,'EA-Fortescue_SDExport'!A:A,'EA-Fortescue_SDExport'!AE:AE),
    IF(_xlpm.result=0,"",_xlpm.result)
)</f>
        <v>855DC-1542 Control &amp; Monitoring Systems</v>
      </c>
      <c r="AE142" s="2" t="str">
        <f>_xlfn.LET(
    _xlpm.isObject, _xlfn.XLOOKUP($Y142,'EA-Fortescue_SDExport'!A:A,'EA-Fortescue_SDExport'!B:B),
    _xlpm.lookupKey, IF(_xlpm.isObject="Object",
        _xlfn.XLOOKUP($A142,'EA-ConnectorExport'!A:A,'EA-ConnectorExport'!J:J),
        $Y142
    ),
    _xlpm.result, _xlfn.XLOOKUP(_xlpm.lookupKey,'EA-Fortescue_SDExport'!A:A,'EA-Fortescue_SDExport'!AF:AF),
    IF(_xlpm.result=0,"",_xlpm.result)
)</f>
        <v>855DC-1542-LMS Load Management System (LMS)</v>
      </c>
      <c r="AF142" s="2" t="str">
        <f>_xlfn.LET(
    _xlpm.isObject, _xlfn.XLOOKUP($Y142,'EA-Fortescue_SDExport'!A:A,'EA-Fortescue_SDExport'!B:B),
    _xlpm.lookupKey, IF(_xlpm.isObject="Object",
        _xlfn.XLOOKUP($A142,'EA-ConnectorExport'!A:A,'EA-ConnectorExport'!J:J),
        $Y142
    ),
    _xlpm.result, _xlfn.XLOOKUP(_xlpm.lookupKey,'EA-Fortescue_SDExport'!A:A,'EA-Fortescue_SDExport'!AG:AG),
    IF(_xlpm.result=0,"",_xlpm.result)
)</f>
        <v/>
      </c>
    </row>
    <row r="143" spans="1:32" ht="360" x14ac:dyDescent="0.25">
      <c r="A143" s="2" t="str">
        <v>DGS-I_0142</v>
      </c>
      <c r="B143" s="2" t="str">
        <f t="shared" si="8"/>
        <v>855DC-1542-LMS Load Management System (LMS)|Mine Services</v>
      </c>
      <c r="C143" s="2" t="str">
        <f>_xlfn.LET(_xlpm.result, _xlfn.XLOOKUP(A143,'EA-Fortescue_SDExport'!A:A,'EA-Fortescue_SDExport'!AM:AM), IF(_xlpm.result=0,"",_xlpm.result))</f>
        <v>Sam Hedgcock</v>
      </c>
      <c r="D143" s="2" t="str">
        <f>_xlfn.LET(_xlpm.result, _xlfn.XLOOKUP(A143,'EA-Fortescue_SDExport'!A:A,'EA-Fortescue_SDExport'!AN:AN), IF(_xlpm.result=0,"",_xlpm.result))</f>
        <v>TBC</v>
      </c>
      <c r="E143" s="2" t="str">
        <f>_xlfn.XLOOKUP(R143&amp;Z143,Lookups!A:A,Lookups!B:B)</f>
        <v>Stakeholder - Project Interface</v>
      </c>
      <c r="F143" s="2" t="str">
        <f>_xlfn.LET(_xlpm.result, _xlfn.XLOOKUP(A143,'EA-Fortescue_SDExport'!A:A,'EA-Fortescue_SDExport'!AP:AP), IF(_xlpm.result=0,"",_xlpm.result))</f>
        <v>Technical-Data/Software</v>
      </c>
      <c r="G143" s="2" t="str">
        <f>IF(OR(AND(T143&lt;&gt;"", COUNTIF(Lookups!J:J, "*"&amp;T143&amp;"*")&gt;0), AND(AB143&lt;&gt;"", COUNTIF(Lookups!J:J, "*"&amp;AB143&amp;"*")&gt;0)), "Yes", "No")</f>
        <v>No</v>
      </c>
      <c r="H143" s="2" t="str">
        <f t="shared" si="9"/>
        <v>855DC Decarb Green Systems|N/A</v>
      </c>
      <c r="I143" s="2" t="str">
        <f t="shared" si="10"/>
        <v>855DC-1542 Control &amp; Monitoring Systems|N/A</v>
      </c>
      <c r="J143" s="2" t="str">
        <f t="shared" si="11"/>
        <v>855DC-1542-LMS Load Management System (LMS)|N/A</v>
      </c>
      <c r="K143" s="2" t="str">
        <f>_xlfn.XLOOKUP(A143,'EA-Fortescue_SDExport'!A:A,'EA-Fortescue_SDExport'!N:N)</f>
        <v>Proposed</v>
      </c>
      <c r="L143" s="2" t="str">
        <f>_xlfn.LET(_xlpm.result, _xlfn.XLOOKUP($A143,'EA-Fortescue_SDExport'!$A:$A,'EA-Fortescue_SDExport'!AQ:AQ), IF(_xlpm.result=0,"",_xlpm.result))</f>
        <v>This interface allows LMS to share load limits and electrical capacity data with Mine Services, ensuring that supporting infrastructure (such as dewatering, ventilation, pumps, or lighting) operates safely within network limits.</v>
      </c>
      <c r="M143" s="2" t="str">
        <f>_xlfn.LET(_xlpm.result, _xlfn.XLOOKUP($A143,'EA-Fortescue_SDExport'!$A:$A,'EA-Fortescue_SDExport'!AR:AR), IF(_xlpm.result=0,"",_xlpm.result))</f>
        <v>MEDIUM</v>
      </c>
      <c r="N143" s="2" t="str">
        <f>_xlfn.LET(_xlpm.result, _xlfn.XLOOKUP($A143,'EA-Fortescue_SDExport'!$A:$A,'EA-Fortescue_SDExport'!AW:AW), IF(_xlpm.result=0,"",_xlpm.result))</f>
        <v>The criticality level is MEDIUM because Mine Services equipment often runs continuously, and power imbalances can disrupt critical support systems, although basic operations can continue briefly without real-time visibility. Awareness of electrical load is vital for safe and efficient use of supporting infrastructure, and losing the interface increases the risk of unplanned constraints or equipment shutdowns.</v>
      </c>
      <c r="O143" s="2" t="str">
        <f>_xlfn.LET(_xlpm.result, _xlfn.XLOOKUP($A143,'EA-Fortescue_SDExport'!$A:$A,'EA-Fortescue_SDExport'!AV:AV), IF(_xlpm.result=0,"",_xlpm.result))</f>
        <v>Data Flow: Load Management System (LMS) -&gt; Mine Services (load limits, available electrical capacity, curtailment signals, network status, overload warnings) to ensure supporting infrastructure operates within network constraints.</v>
      </c>
      <c r="P143" s="2" t="str">
        <f>_xlfn.LET(_xlpm.result, _xlfn.XLOOKUP($A143,'EA-Fortescue_SDExport'!$A:$A,'EA-Fortescue_SDExport'!D:D), IF(_xlpm.result=0,"",_xlpm.result))</f>
        <v>NH 20/02/2026: Fields updated: Interface Type, Interface Flow.</v>
      </c>
      <c r="Q143" s="2" t="str">
        <f>_xlfn.LET(
    _xlpm.status, _xlfn.XLOOKUP($A143,'EA-ConnectorExport'!$A:$A,'EA-ConnectorExport'!G:G),
    _xlpm.result, _xlfn.XLOOKUP($A143,'EA-ConnectorExport'!$A:$A,'EA-ConnectorExport'!B:B),
    IF(_xlpm.status="allocate", _xlpm.result, "")
)</f>
        <v>855DC-1542-LMS Load Management System (LMS)</v>
      </c>
      <c r="R143" s="2" t="str">
        <f>IF(
    _xlfn.XLOOKUP($Q143,'EA-Fortescue_SDExport'!A:A,'EA-Fortescue_SDExport'!B:B)="Object",
    _xlfn.XLOOKUP(
        _xlfn.XLOOKUP($A143,'EA-ConnectorExport'!A:A,'EA-ConnectorExport'!D:D),
        'EA-Fortescue_SDExport'!A:A,
        'EA-Fortescue_SDExport'!AA:AA
    ),
    _xlfn.XLOOKUP($Q143,'EA-Fortescue_SDExport'!A:A,'EA-Fortescue_SDExport'!AA:AA)
)</f>
        <v>Project</v>
      </c>
      <c r="S143" s="2" t="str">
        <f>_xlfn.LET(_xlpm.result, _xlfn.XLOOKUP($Q143,'EA-Fortescue_SDExport'!$A:$A,'EA-Fortescue_SDExport'!AB:AB), IF(_xlpm.result=0,"",_xlpm.result))</f>
        <v>Mine Services</v>
      </c>
      <c r="T143" s="2" t="str">
        <f>_xlfn.LET(_xlpm.result, _xlfn.XLOOKUP($Q143,'EA-Fortescue_SDExport'!$A:$A,'EA-Fortescue_SDExport'!AC:AC), IF(_xlpm.result=0,"",_xlpm.result))</f>
        <v/>
      </c>
      <c r="U143" s="2" t="str">
        <f>_xlfn.LET(
    _xlpm.isObject, _xlfn.XLOOKUP($Q143,'EA-Fortescue_SDExport'!A:A,'EA-Fortescue_SDExport'!B:B),
    _xlpm.lookupKey, IF(_xlpm.isObject="Object",
        _xlfn.XLOOKUP($A143,'EA-ConnectorExport'!A:A,'EA-ConnectorExport'!D:D),
        $Q143
    ),
    _xlpm.result, _xlfn.XLOOKUP(_xlpm.lookupKey,'EA-Fortescue_SDExport'!A:A,'EA-Fortescue_SDExport'!AD:AD),
    IF(_xlpm.result=0,"",_xlpm.result)
)</f>
        <v>855DC Decarb Green Systems</v>
      </c>
      <c r="V143" s="2" t="str">
        <f>_xlfn.LET(
    _xlpm.isObject, _xlfn.XLOOKUP($Q143,'EA-Fortescue_SDExport'!A:A,'EA-Fortescue_SDExport'!B:B),
    _xlpm.lookupKey, IF(_xlpm.isObject="Object",
        _xlfn.XLOOKUP($A143,'EA-ConnectorExport'!A:A,'EA-ConnectorExport'!D:D),
        $Q143
    ),
    _xlpm.result, _xlfn.XLOOKUP(_xlpm.lookupKey,'EA-Fortescue_SDExport'!A:A,'EA-Fortescue_SDExport'!AE:AE),
    IF(_xlpm.result=0,"",_xlpm.result)
)</f>
        <v>855DC-1542 Control &amp; Monitoring Systems</v>
      </c>
      <c r="W143" s="2" t="str">
        <f>_xlfn.LET(
    _xlpm.isObject, _xlfn.XLOOKUP($Q143,'EA-Fortescue_SDExport'!A:A,'EA-Fortescue_SDExport'!B:B),
    _xlpm.lookupKey, IF(_xlpm.isObject="Object",
        _xlfn.XLOOKUP($A143,'EA-ConnectorExport'!A:A,'EA-ConnectorExport'!D:D),
        $Q143
    ),
    _xlpm.result, _xlfn.XLOOKUP(_xlpm.lookupKey,'EA-Fortescue_SDExport'!A:A,'EA-Fortescue_SDExport'!AF:AF),
    IF(_xlpm.result=0,"",_xlpm.result)
)</f>
        <v>855DC-1542-LMS Load Management System (LMS)</v>
      </c>
      <c r="X143" s="2" t="str">
        <f>_xlfn.LET(
    _xlpm.isObject, _xlfn.XLOOKUP($Q143,'EA-Fortescue_SDExport'!A:A,'EA-Fortescue_SDExport'!B:B),
    _xlpm.lookupKey, IF(_xlpm.isObject="Object",
        _xlfn.XLOOKUP($A143,'EA-ConnectorExport'!A:A,'EA-ConnectorExport'!D:D),
        $Q143
    ),
    _xlpm.result, _xlfn.XLOOKUP(_xlpm.lookupKey,'EA-Fortescue_SDExport'!A:A,'EA-Fortescue_SDExport'!AG:AG),
    IF(_xlpm.result=0,"",_xlpm.result)
)</f>
        <v/>
      </c>
      <c r="Y143" s="2" t="str">
        <f>_xlfn.LET(
    _xlpm.status, _xlfn.XLOOKUP($A143,'EA-ConnectorExport'!$A:$A,'EA-ConnectorExport'!G:G),
    _xlpm.result, _xlfn.XLOOKUP($A143,'EA-ConnectorExport'!$A:$A,'EA-ConnectorExport'!H:H),
    IF(_xlpm.status="allocate", _xlpm.result, "")
)</f>
        <v>Mine Services</v>
      </c>
      <c r="Z143" s="2" t="str">
        <f>_xlfn.LET(
    _xlpm.isObject, _xlfn.XLOOKUP($Y143,'EA-Fortescue_SDExport'!A:A,'EA-Fortescue_SDExport'!B:B),
    _xlpm.lookupKey, IF(_xlpm.isObject="Object",
        _xlfn.XLOOKUP($A143,'EA-ConnectorExport'!A:A,'EA-ConnectorExport'!J:J),
        $Y143
    ),
    _xlpm.result, _xlfn.XLOOKUP(_xlpm.lookupKey,'EA-Fortescue_SDExport'!A:A,'EA-Fortescue_SDExport'!AA:AA),
    IF(_xlpm.result=0,"",_xlpm.result)
)</f>
        <v>Stakeholder</v>
      </c>
      <c r="AA143" s="2" t="str">
        <f>_xlfn.LET(_xlpm.result, _xlfn.XLOOKUP($Y143,'EA-Fortescue_SDExport'!$A:$A,'EA-Fortescue_SDExport'!AB:AB), IF(_xlpm.result=0,"",_xlpm.result))</f>
        <v>Charlotte Lavin (Ops Readiness)</v>
      </c>
      <c r="AB143" s="2" t="str">
        <f>_xlfn.LET(_xlpm.result, _xlfn.XLOOKUP($Y143,'EA-Fortescue_SDExport'!$A:$A,'EA-Fortescue_SDExport'!AC:AC), IF(_xlpm.result=0,"",_xlpm.result))</f>
        <v/>
      </c>
      <c r="AC143" s="2" t="str">
        <f>_xlfn.LET(
    _xlpm.isObject, _xlfn.XLOOKUP($Y143,'EA-Fortescue_SDExport'!A:A,'EA-Fortescue_SDExport'!B:B),
    _xlpm.lookupKey, IF(_xlpm.isObject="Object",
        _xlfn.XLOOKUP($A143,'EA-ConnectorExport'!A:A,'EA-ConnectorExport'!J:J),
        $Y143
    ),
    _xlpm.result, _xlfn.XLOOKUP(_xlpm.lookupKey,'EA-Fortescue_SDExport'!A:A,'EA-Fortescue_SDExport'!AD:AD),
    IF(_xlpm.result=0,"",_xlpm.result)
)</f>
        <v/>
      </c>
      <c r="AD143" s="2" t="str">
        <f>_xlfn.LET(
    _xlpm.isObject, _xlfn.XLOOKUP($Y143,'EA-Fortescue_SDExport'!A:A,'EA-Fortescue_SDExport'!B:B),
    _xlpm.lookupKey, IF(_xlpm.isObject="Object",
        _xlfn.XLOOKUP($A143,'EA-ConnectorExport'!A:A,'EA-ConnectorExport'!J:J),
        $Y143
    ),
    _xlpm.result, _xlfn.XLOOKUP(_xlpm.lookupKey,'EA-Fortescue_SDExport'!A:A,'EA-Fortescue_SDExport'!AE:AE),
    IF(_xlpm.result=0,"",_xlpm.result)
)</f>
        <v/>
      </c>
      <c r="AE143" s="2" t="str">
        <f>_xlfn.LET(
    _xlpm.isObject, _xlfn.XLOOKUP($Y143,'EA-Fortescue_SDExport'!A:A,'EA-Fortescue_SDExport'!B:B),
    _xlpm.lookupKey, IF(_xlpm.isObject="Object",
        _xlfn.XLOOKUP($A143,'EA-ConnectorExport'!A:A,'EA-ConnectorExport'!J:J),
        $Y143
    ),
    _xlpm.result, _xlfn.XLOOKUP(_xlpm.lookupKey,'EA-Fortescue_SDExport'!A:A,'EA-Fortescue_SDExport'!AF:AF),
    IF(_xlpm.result=0,"",_xlpm.result)
)</f>
        <v/>
      </c>
      <c r="AF143" s="2" t="str">
        <f>_xlfn.LET(
    _xlpm.isObject, _xlfn.XLOOKUP($Y143,'EA-Fortescue_SDExport'!A:A,'EA-Fortescue_SDExport'!B:B),
    _xlpm.lookupKey, IF(_xlpm.isObject="Object",
        _xlfn.XLOOKUP($A143,'EA-ConnectorExport'!A:A,'EA-ConnectorExport'!J:J),
        $Y143
    ),
    _xlpm.result, _xlfn.XLOOKUP(_xlpm.lookupKey,'EA-Fortescue_SDExport'!A:A,'EA-Fortescue_SDExport'!AG:AG),
    IF(_xlpm.result=0,"",_xlpm.result)
)</f>
        <v/>
      </c>
    </row>
    <row r="144" spans="1:32" ht="315" x14ac:dyDescent="0.25">
      <c r="A144" s="2" t="str">
        <v>DGS-I_0143</v>
      </c>
      <c r="B144" s="2" t="str">
        <f t="shared" si="8"/>
        <v>851DC Heavy Mobile Equipment (HME)|855DC-1542-LMS Load Management System (LMS)</v>
      </c>
      <c r="C144" s="2" t="str">
        <f>_xlfn.LET(_xlpm.result, _xlfn.XLOOKUP(A144,'EA-Fortescue_SDExport'!A:A,'EA-Fortescue_SDExport'!AM:AM), IF(_xlpm.result=0,"",_xlpm.result))</f>
        <v>Sam Hedgcock</v>
      </c>
      <c r="D144" s="2" t="str">
        <f>_xlfn.LET(_xlpm.result, _xlfn.XLOOKUP(A144,'EA-Fortescue_SDExport'!A:A,'EA-Fortescue_SDExport'!AN:AN), IF(_xlpm.result=0,"",_xlpm.result))</f>
        <v>TBC</v>
      </c>
      <c r="E144" s="2" t="str">
        <f>_xlfn.XLOOKUP(R144&amp;Z144,Lookups!A:A,Lookups!B:B)</f>
        <v>Program - Project Interface</v>
      </c>
      <c r="F144" s="2" t="str">
        <f>_xlfn.LET(_xlpm.result, _xlfn.XLOOKUP(A144,'EA-Fortescue_SDExport'!A:A,'EA-Fortescue_SDExport'!AP:AP), IF(_xlpm.result=0,"",_xlpm.result))</f>
        <v/>
      </c>
      <c r="G144" s="2" t="str">
        <f>IF(OR(AND(T144&lt;&gt;"", COUNTIF(Lookups!J:J, "*"&amp;T144&amp;"*")&gt;0), AND(AB144&lt;&gt;"", COUNTIF(Lookups!J:J, "*"&amp;AB144&amp;"*")&gt;0)), "Yes", "No")</f>
        <v>No</v>
      </c>
      <c r="H144" s="2" t="str">
        <f t="shared" si="9"/>
        <v>851DC Heavy Mobile Equipment (HME)|855DC Decarb Green Systems</v>
      </c>
      <c r="I144" s="2" t="str">
        <f t="shared" si="10"/>
        <v>N/A|855DC-1542 Control &amp; Monitoring Systems</v>
      </c>
      <c r="J144" s="2" t="str">
        <f t="shared" si="11"/>
        <v>N/A|855DC-1542-LMS Load Management System (LMS)</v>
      </c>
      <c r="K144" s="2" t="str">
        <f>_xlfn.XLOOKUP(A144,'EA-Fortescue_SDExport'!A:A,'EA-Fortescue_SDExport'!N:N)</f>
        <v>Deleted</v>
      </c>
      <c r="L144" s="2" t="str">
        <f>_xlfn.LET(_xlpm.result, _xlfn.XLOOKUP($A144,'EA-Fortescue_SDExport'!$A:$A,'EA-Fortescue_SDExport'!AQ:AQ), IF(_xlpm.result=0,"",_xlpm.result))</f>
        <v>This interface provides electrical load constraints and power availability information from the Load Management System (LMS) to Heavy Mobile Equipment (HME) operators or control systems, helping ensure HME operates safely within the site's electrical limits, particularly during high-draw activities like charging or auxiliary load use.</v>
      </c>
      <c r="M144" s="2" t="str">
        <f>_xlfn.LET(_xlpm.result, _xlfn.XLOOKUP($A144,'EA-Fortescue_SDExport'!$A:$A,'EA-Fortescue_SDExport'!AR:AR), IF(_xlpm.result=0,"",_xlpm.result))</f>
        <v>MEDIUM</v>
      </c>
      <c r="N144" s="2" t="str">
        <f>_xlfn.LET(_xlpm.result, _xlfn.XLOOKUP($A144,'EA-Fortescue_SDExport'!$A:$A,'EA-Fortescue_SDExport'!AW:AW), IF(_xlpm.result=0,"",_xlpm.result))</f>
        <v>The criticality level is MEDIUM because while HME can continue to operate, a loss of load-management visibility may force operational slowdowns or require conservative charging behaviour to avoid electrical overloads. LMS supports safe and efficient coordination between large mobile equipment and electrical systems, and outages may increase operational risk, but do not immediately halt equipment.</v>
      </c>
      <c r="O144" s="2" t="str">
        <f>_xlfn.LET(_xlpm.result, _xlfn.XLOOKUP($A144,'EA-Fortescue_SDExport'!$A:$A,'EA-Fortescue_SDExport'!AV:AV), IF(_xlpm.result=0,"",_xlpm.result))</f>
        <v/>
      </c>
      <c r="P144" s="2" t="str">
        <f>_xlfn.LET(_xlpm.result, _xlfn.XLOOKUP($A144,'EA-Fortescue_SDExport'!$A:$A,'EA-Fortescue_SDExport'!D:D), IF(_xlpm.result=0,"",_xlpm.result))</f>
        <v>LMS Review 30/10/2025: PLC is on the interlock sequence of the Excavator. Delete. Duplicate of the LMS to Excavator.</v>
      </c>
      <c r="Q144" s="2" t="str">
        <f>_xlfn.LET(
    _xlpm.status, _xlfn.XLOOKUP($A144,'EA-ConnectorExport'!$A:$A,'EA-ConnectorExport'!G:G),
    _xlpm.result, _xlfn.XLOOKUP($A144,'EA-ConnectorExport'!$A:$A,'EA-ConnectorExport'!B:B),
    IF(_xlpm.status="allocate", _xlpm.result, "")
)</f>
        <v>851DC Heavy Mobile Equipment (HME)</v>
      </c>
      <c r="R144" s="2" t="str">
        <f>IF(
    _xlfn.XLOOKUP($Q144,'EA-Fortescue_SDExport'!A:A,'EA-Fortescue_SDExport'!B:B)="Object",
    _xlfn.XLOOKUP(
        _xlfn.XLOOKUP($A144,'EA-ConnectorExport'!A:A,'EA-ConnectorExport'!D:D),
        'EA-Fortescue_SDExport'!A:A,
        'EA-Fortescue_SDExport'!AA:AA
    ),
    _xlfn.XLOOKUP($Q144,'EA-Fortescue_SDExport'!A:A,'EA-Fortescue_SDExport'!AA:AA)
)</f>
        <v>Program</v>
      </c>
      <c r="S144" s="2" t="str">
        <f>_xlfn.LET(_xlpm.result, _xlfn.XLOOKUP($Q144,'EA-Fortescue_SDExport'!$A:$A,'EA-Fortescue_SDExport'!AB:AB), IF(_xlpm.result=0,"",_xlpm.result))</f>
        <v/>
      </c>
      <c r="T144" s="2" t="str">
        <f>_xlfn.LET(_xlpm.result, _xlfn.XLOOKUP($Q144,'EA-Fortescue_SDExport'!$A:$A,'EA-Fortescue_SDExport'!AC:AC), IF(_xlpm.result=0,"",_xlpm.result))</f>
        <v>Generic Physical Asset</v>
      </c>
      <c r="U144" s="2" t="str">
        <f>_xlfn.LET(
    _xlpm.isObject, _xlfn.XLOOKUP($Q144,'EA-Fortescue_SDExport'!A:A,'EA-Fortescue_SDExport'!B:B),
    _xlpm.lookupKey, IF(_xlpm.isObject="Object",
        _xlfn.XLOOKUP($A144,'EA-ConnectorExport'!A:A,'EA-ConnectorExport'!D:D),
        $Q144
    ),
    _xlpm.result, _xlfn.XLOOKUP(_xlpm.lookupKey,'EA-Fortescue_SDExport'!A:A,'EA-Fortescue_SDExport'!AD:AD),
    IF(_xlpm.result=0,"",_xlpm.result)
)</f>
        <v>851DC Heavy Mobile Equipment (HME)</v>
      </c>
      <c r="V144" s="2" t="str">
        <f>_xlfn.LET(
    _xlpm.isObject, _xlfn.XLOOKUP($Q144,'EA-Fortescue_SDExport'!A:A,'EA-Fortescue_SDExport'!B:B),
    _xlpm.lookupKey, IF(_xlpm.isObject="Object",
        _xlfn.XLOOKUP($A144,'EA-ConnectorExport'!A:A,'EA-ConnectorExport'!D:D),
        $Q144
    ),
    _xlpm.result, _xlfn.XLOOKUP(_xlpm.lookupKey,'EA-Fortescue_SDExport'!A:A,'EA-Fortescue_SDExport'!AE:AE),
    IF(_xlpm.result=0,"",_xlpm.result)
)</f>
        <v/>
      </c>
      <c r="W144" s="2" t="str">
        <f>_xlfn.LET(
    _xlpm.isObject, _xlfn.XLOOKUP($Q144,'EA-Fortescue_SDExport'!A:A,'EA-Fortescue_SDExport'!B:B),
    _xlpm.lookupKey, IF(_xlpm.isObject="Object",
        _xlfn.XLOOKUP($A144,'EA-ConnectorExport'!A:A,'EA-ConnectorExport'!D:D),
        $Q144
    ),
    _xlpm.result, _xlfn.XLOOKUP(_xlpm.lookupKey,'EA-Fortescue_SDExport'!A:A,'EA-Fortescue_SDExport'!AF:AF),
    IF(_xlpm.result=0,"",_xlpm.result)
)</f>
        <v/>
      </c>
      <c r="X144" s="2" t="str">
        <f>_xlfn.LET(
    _xlpm.isObject, _xlfn.XLOOKUP($Q144,'EA-Fortescue_SDExport'!A:A,'EA-Fortescue_SDExport'!B:B),
    _xlpm.lookupKey, IF(_xlpm.isObject="Object",
        _xlfn.XLOOKUP($A144,'EA-ConnectorExport'!A:A,'EA-ConnectorExport'!D:D),
        $Q144
    ),
    _xlpm.result, _xlfn.XLOOKUP(_xlpm.lookupKey,'EA-Fortescue_SDExport'!A:A,'EA-Fortescue_SDExport'!AG:AG),
    IF(_xlpm.result=0,"",_xlpm.result)
)</f>
        <v/>
      </c>
      <c r="Y144" s="2" t="str">
        <f>_xlfn.LET(
    _xlpm.status, _xlfn.XLOOKUP($A144,'EA-ConnectorExport'!$A:$A,'EA-ConnectorExport'!G:G),
    _xlpm.result, _xlfn.XLOOKUP($A144,'EA-ConnectorExport'!$A:$A,'EA-ConnectorExport'!H:H),
    IF(_xlpm.status="allocate", _xlpm.result, "")
)</f>
        <v>855DC-1542-LMS Load Management System (LMS)</v>
      </c>
      <c r="Z144" s="2" t="str">
        <f>_xlfn.LET(
    _xlpm.isObject, _xlfn.XLOOKUP($Y144,'EA-Fortescue_SDExport'!A:A,'EA-Fortescue_SDExport'!B:B),
    _xlpm.lookupKey, IF(_xlpm.isObject="Object",
        _xlfn.XLOOKUP($A144,'EA-ConnectorExport'!A:A,'EA-ConnectorExport'!J:J),
        $Y144
    ),
    _xlpm.result, _xlfn.XLOOKUP(_xlpm.lookupKey,'EA-Fortescue_SDExport'!A:A,'EA-Fortescue_SDExport'!AA:AA),
    IF(_xlpm.result=0,"",_xlpm.result)
)</f>
        <v>Project</v>
      </c>
      <c r="AA144" s="2" t="str">
        <f>_xlfn.LET(_xlpm.result, _xlfn.XLOOKUP($Y144,'EA-Fortescue_SDExport'!$A:$A,'EA-Fortescue_SDExport'!AB:AB), IF(_xlpm.result=0,"",_xlpm.result))</f>
        <v>Mine Services</v>
      </c>
      <c r="AB144" s="2" t="str">
        <f>_xlfn.LET(_xlpm.result, _xlfn.XLOOKUP($Y144,'EA-Fortescue_SDExport'!$A:$A,'EA-Fortescue_SDExport'!AC:AC), IF(_xlpm.result=0,"",_xlpm.result))</f>
        <v/>
      </c>
      <c r="AC144" s="2" t="str">
        <f>_xlfn.LET(
    _xlpm.isObject, _xlfn.XLOOKUP($Y144,'EA-Fortescue_SDExport'!A:A,'EA-Fortescue_SDExport'!B:B),
    _xlpm.lookupKey, IF(_xlpm.isObject="Object",
        _xlfn.XLOOKUP($A144,'EA-ConnectorExport'!A:A,'EA-ConnectorExport'!J:J),
        $Y144
    ),
    _xlpm.result, _xlfn.XLOOKUP(_xlpm.lookupKey,'EA-Fortescue_SDExport'!A:A,'EA-Fortescue_SDExport'!AD:AD),
    IF(_xlpm.result=0,"",_xlpm.result)
)</f>
        <v>855DC Decarb Green Systems</v>
      </c>
      <c r="AD144" s="2" t="str">
        <f>_xlfn.LET(
    _xlpm.isObject, _xlfn.XLOOKUP($Y144,'EA-Fortescue_SDExport'!A:A,'EA-Fortescue_SDExport'!B:B),
    _xlpm.lookupKey, IF(_xlpm.isObject="Object",
        _xlfn.XLOOKUP($A144,'EA-ConnectorExport'!A:A,'EA-ConnectorExport'!J:J),
        $Y144
    ),
    _xlpm.result, _xlfn.XLOOKUP(_xlpm.lookupKey,'EA-Fortescue_SDExport'!A:A,'EA-Fortescue_SDExport'!AE:AE),
    IF(_xlpm.result=0,"",_xlpm.result)
)</f>
        <v>855DC-1542 Control &amp; Monitoring Systems</v>
      </c>
      <c r="AE144" s="2" t="str">
        <f>_xlfn.LET(
    _xlpm.isObject, _xlfn.XLOOKUP($Y144,'EA-Fortescue_SDExport'!A:A,'EA-Fortescue_SDExport'!B:B),
    _xlpm.lookupKey, IF(_xlpm.isObject="Object",
        _xlfn.XLOOKUP($A144,'EA-ConnectorExport'!A:A,'EA-ConnectorExport'!J:J),
        $Y144
    ),
    _xlpm.result, _xlfn.XLOOKUP(_xlpm.lookupKey,'EA-Fortescue_SDExport'!A:A,'EA-Fortescue_SDExport'!AF:AF),
    IF(_xlpm.result=0,"",_xlpm.result)
)</f>
        <v>855DC-1542-LMS Load Management System (LMS)</v>
      </c>
      <c r="AF144" s="2" t="str">
        <f>_xlfn.LET(
    _xlpm.isObject, _xlfn.XLOOKUP($Y144,'EA-Fortescue_SDExport'!A:A,'EA-Fortescue_SDExport'!B:B),
    _xlpm.lookupKey, IF(_xlpm.isObject="Object",
        _xlfn.XLOOKUP($A144,'EA-ConnectorExport'!A:A,'EA-ConnectorExport'!J:J),
        $Y144
    ),
    _xlpm.result, _xlfn.XLOOKUP(_xlpm.lookupKey,'EA-Fortescue_SDExport'!A:A,'EA-Fortescue_SDExport'!AG:AG),
    IF(_xlpm.result=0,"",_xlpm.result)
)</f>
        <v/>
      </c>
    </row>
    <row r="145" spans="1:32" ht="180" x14ac:dyDescent="0.25">
      <c r="A145" s="2" t="str">
        <v>DGS-I_0144</v>
      </c>
      <c r="B145" s="2" t="str">
        <f t="shared" si="8"/>
        <v>855DC-1542-LMS Load Management System (LMS)|851DC-1591 Excavator (&gt;110t)</v>
      </c>
      <c r="C145" s="2" t="str">
        <f>_xlfn.LET(_xlpm.result, _xlfn.XLOOKUP(A145,'EA-Fortescue_SDExport'!A:A,'EA-Fortescue_SDExport'!AM:AM), IF(_xlpm.result=0,"",_xlpm.result))</f>
        <v>Sam Hedgcock</v>
      </c>
      <c r="D145" s="2" t="str">
        <f>_xlfn.LET(_xlpm.result, _xlfn.XLOOKUP(A145,'EA-Fortescue_SDExport'!A:A,'EA-Fortescue_SDExport'!AN:AN), IF(_xlpm.result=0,"",_xlpm.result))</f>
        <v>Glen Carruthers</v>
      </c>
      <c r="E145" s="2" t="str">
        <f>_xlfn.XLOOKUP(R145&amp;Z145,Lookups!A:A,Lookups!B:B)</f>
        <v>System - Project Interface</v>
      </c>
      <c r="F145" s="2" t="str">
        <f>_xlfn.LET(_xlpm.result, _xlfn.XLOOKUP(A145,'EA-Fortescue_SDExport'!A:A,'EA-Fortescue_SDExport'!AP:AP), IF(_xlpm.result=0,"",_xlpm.result))</f>
        <v>Technical-Electrical</v>
      </c>
      <c r="G145" s="2" t="str">
        <f>IF(OR(AND(T145&lt;&gt;"", COUNTIF(Lookups!J:J, "*"&amp;T145&amp;"*")&gt;0), AND(AB145&lt;&gt;"", COUNTIF(Lookups!J:J, "*"&amp;AB145&amp;"*")&gt;0)), "Yes", "No")</f>
        <v>No</v>
      </c>
      <c r="H145" s="2" t="str">
        <f t="shared" si="9"/>
        <v>855DC Decarb Green Systems|851DC Heavy Mobile Equipment (HME)</v>
      </c>
      <c r="I145" s="2" t="str">
        <f t="shared" si="10"/>
        <v>855DC-1542 Control &amp; Monitoring Systems|851DC-1591 Excavator (&gt;110t)</v>
      </c>
      <c r="J145" s="2" t="str">
        <f t="shared" si="11"/>
        <v>855DC-1542-LMS Load Management System (LMS)|N/A</v>
      </c>
      <c r="K145" s="2" t="str">
        <f>_xlfn.XLOOKUP(A145,'EA-Fortescue_SDExport'!A:A,'EA-Fortescue_SDExport'!N:N)</f>
        <v>Proposed</v>
      </c>
      <c r="L145" s="2" t="str">
        <f>_xlfn.LET(_xlpm.result, _xlfn.XLOOKUP($A145,'EA-Fortescue_SDExport'!$A:$A,'EA-Fortescue_SDExport'!AQ:AQ), IF(_xlpm.result=0,"",_xlpm.result))</f>
        <v>This interface enables the Load Management System (LMS) to control and coordinate the electrical supply to the electric excavator through the excavator's PLC-based interlock sequence. The PLC acts as the safety and operational gatekeeper ensuring the excavator only draws power when system conditions allow, and that the load is removed safely when constraints arise.</v>
      </c>
      <c r="M145" s="2" t="str">
        <f>_xlfn.LET(_xlpm.result, _xlfn.XLOOKUP($A145,'EA-Fortescue_SDExport'!$A:$A,'EA-Fortescue_SDExport'!AR:AR), IF(_xlpm.result=0,"",_xlpm.result))</f>
        <v>HIGH</v>
      </c>
      <c r="N145" s="2" t="str">
        <f>_xlfn.LET(_xlpm.result, _xlfn.XLOOKUP($A145,'EA-Fortescue_SDExport'!$A:$A,'EA-Fortescue_SDExport'!AW:AW), IF(_xlpm.result=0,"",_xlpm.result))</f>
        <v>The criticality level is HIGH because failure may halt mining operations due to incorrect load control or interlock failure. This risks equipment damage, network instability, or safety issues, as excavators are core production assets.</v>
      </c>
      <c r="O145" s="2" t="str">
        <f>_xlfn.LET(_xlpm.result, _xlfn.XLOOKUP($A145,'EA-Fortescue_SDExport'!$A:$A,'EA-Fortescue_SDExport'!AV:AV), IF(_xlpm.result=0,"",_xlpm.result))</f>
        <v>LMS -&gt; Interface PLC -&gt; Excavator Interlock PLC -&gt; Excavator Drive Systems</v>
      </c>
      <c r="P145" s="2" t="str">
        <f>_xlfn.LET(_xlpm.result, _xlfn.XLOOKUP($A145,'EA-Fortescue_SDExport'!$A:$A,'EA-Fortescue_SDExport'!D:D), IF(_xlpm.result=0,"",_xlpm.result))</f>
        <v>LMS Review 30/10/2025: PLC is on the interlock sequence of the Excavator._x000D_
NH 25/02/2026: Fields updated:Interface Type</v>
      </c>
      <c r="Q145" s="2" t="str">
        <f>_xlfn.LET(
    _xlpm.status, _xlfn.XLOOKUP($A145,'EA-ConnectorExport'!$A:$A,'EA-ConnectorExport'!G:G),
    _xlpm.result, _xlfn.XLOOKUP($A145,'EA-ConnectorExport'!$A:$A,'EA-ConnectorExport'!B:B),
    IF(_xlpm.status="allocate", _xlpm.result, "")
)</f>
        <v>855DC-1542-LMS Load Management System (LMS)</v>
      </c>
      <c r="R145" s="2" t="str">
        <f>IF(
    _xlfn.XLOOKUP($Q145,'EA-Fortescue_SDExport'!A:A,'EA-Fortescue_SDExport'!B:B)="Object",
    _xlfn.XLOOKUP(
        _xlfn.XLOOKUP($A145,'EA-ConnectorExport'!A:A,'EA-ConnectorExport'!D:D),
        'EA-Fortescue_SDExport'!A:A,
        'EA-Fortescue_SDExport'!AA:AA
    ),
    _xlfn.XLOOKUP($Q145,'EA-Fortescue_SDExport'!A:A,'EA-Fortescue_SDExport'!AA:AA)
)</f>
        <v>Project</v>
      </c>
      <c r="S145" s="2" t="str">
        <f>_xlfn.LET(_xlpm.result, _xlfn.XLOOKUP($Q145,'EA-Fortescue_SDExport'!$A:$A,'EA-Fortescue_SDExport'!AB:AB), IF(_xlpm.result=0,"",_xlpm.result))</f>
        <v>Mine Services</v>
      </c>
      <c r="T145" s="2" t="str">
        <f>_xlfn.LET(_xlpm.result, _xlfn.XLOOKUP($Q145,'EA-Fortescue_SDExport'!$A:$A,'EA-Fortescue_SDExport'!AC:AC), IF(_xlpm.result=0,"",_xlpm.result))</f>
        <v/>
      </c>
      <c r="U145" s="2" t="str">
        <f>_xlfn.LET(
    _xlpm.isObject, _xlfn.XLOOKUP($Q145,'EA-Fortescue_SDExport'!A:A,'EA-Fortescue_SDExport'!B:B),
    _xlpm.lookupKey, IF(_xlpm.isObject="Object",
        _xlfn.XLOOKUP($A145,'EA-ConnectorExport'!A:A,'EA-ConnectorExport'!D:D),
        $Q145
    ),
    _xlpm.result, _xlfn.XLOOKUP(_xlpm.lookupKey,'EA-Fortescue_SDExport'!A:A,'EA-Fortescue_SDExport'!AD:AD),
    IF(_xlpm.result=0,"",_xlpm.result)
)</f>
        <v>855DC Decarb Green Systems</v>
      </c>
      <c r="V145" s="2" t="str">
        <f>_xlfn.LET(
    _xlpm.isObject, _xlfn.XLOOKUP($Q145,'EA-Fortescue_SDExport'!A:A,'EA-Fortescue_SDExport'!B:B),
    _xlpm.lookupKey, IF(_xlpm.isObject="Object",
        _xlfn.XLOOKUP($A145,'EA-ConnectorExport'!A:A,'EA-ConnectorExport'!D:D),
        $Q145
    ),
    _xlpm.result, _xlfn.XLOOKUP(_xlpm.lookupKey,'EA-Fortescue_SDExport'!A:A,'EA-Fortescue_SDExport'!AE:AE),
    IF(_xlpm.result=0,"",_xlpm.result)
)</f>
        <v>855DC-1542 Control &amp; Monitoring Systems</v>
      </c>
      <c r="W145" s="2" t="str">
        <f>_xlfn.LET(
    _xlpm.isObject, _xlfn.XLOOKUP($Q145,'EA-Fortescue_SDExport'!A:A,'EA-Fortescue_SDExport'!B:B),
    _xlpm.lookupKey, IF(_xlpm.isObject="Object",
        _xlfn.XLOOKUP($A145,'EA-ConnectorExport'!A:A,'EA-ConnectorExport'!D:D),
        $Q145
    ),
    _xlpm.result, _xlfn.XLOOKUP(_xlpm.lookupKey,'EA-Fortescue_SDExport'!A:A,'EA-Fortescue_SDExport'!AF:AF),
    IF(_xlpm.result=0,"",_xlpm.result)
)</f>
        <v>855DC-1542-LMS Load Management System (LMS)</v>
      </c>
      <c r="X145" s="2" t="str">
        <f>_xlfn.LET(
    _xlpm.isObject, _xlfn.XLOOKUP($Q145,'EA-Fortescue_SDExport'!A:A,'EA-Fortescue_SDExport'!B:B),
    _xlpm.lookupKey, IF(_xlpm.isObject="Object",
        _xlfn.XLOOKUP($A145,'EA-ConnectorExport'!A:A,'EA-ConnectorExport'!D:D),
        $Q145
    ),
    _xlpm.result, _xlfn.XLOOKUP(_xlpm.lookupKey,'EA-Fortescue_SDExport'!A:A,'EA-Fortescue_SDExport'!AG:AG),
    IF(_xlpm.result=0,"",_xlpm.result)
)</f>
        <v/>
      </c>
      <c r="Y145" s="2" t="str">
        <f>_xlfn.LET(
    _xlpm.status, _xlfn.XLOOKUP($A145,'EA-ConnectorExport'!$A:$A,'EA-ConnectorExport'!G:G),
    _xlpm.result, _xlfn.XLOOKUP($A145,'EA-ConnectorExport'!$A:$A,'EA-ConnectorExport'!H:H),
    IF(_xlpm.status="allocate", _xlpm.result, "")
)</f>
        <v>851DC-1591 Excavator (&gt;110t)</v>
      </c>
      <c r="Z145" s="2" t="str">
        <f>_xlfn.LET(
    _xlpm.isObject, _xlfn.XLOOKUP($Y145,'EA-Fortescue_SDExport'!A:A,'EA-Fortescue_SDExport'!B:B),
    _xlpm.lookupKey, IF(_xlpm.isObject="Object",
        _xlfn.XLOOKUP($A145,'EA-ConnectorExport'!A:A,'EA-ConnectorExport'!J:J),
        $Y145
    ),
    _xlpm.result, _xlfn.XLOOKUP(_xlpm.lookupKey,'EA-Fortescue_SDExport'!A:A,'EA-Fortescue_SDExport'!AA:AA),
    IF(_xlpm.result=0,"",_xlpm.result)
)</f>
        <v>System</v>
      </c>
      <c r="AA145" s="2" t="str">
        <f>_xlfn.LET(_xlpm.result, _xlfn.XLOOKUP($Y145,'EA-Fortescue_SDExport'!$A:$A,'EA-Fortescue_SDExport'!AB:AB), IF(_xlpm.result=0,"",_xlpm.result))</f>
        <v/>
      </c>
      <c r="AB145" s="2" t="str">
        <f>_xlfn.LET(_xlpm.result, _xlfn.XLOOKUP($Y145,'EA-Fortescue_SDExport'!$A:$A,'EA-Fortescue_SDExport'!AC:AC), IF(_xlpm.result=0,"",_xlpm.result))</f>
        <v>Generic Physical Asset</v>
      </c>
      <c r="AC145" s="2" t="str">
        <f>_xlfn.LET(
    _xlpm.isObject, _xlfn.XLOOKUP($Y145,'EA-Fortescue_SDExport'!A:A,'EA-Fortescue_SDExport'!B:B),
    _xlpm.lookupKey, IF(_xlpm.isObject="Object",
        _xlfn.XLOOKUP($A145,'EA-ConnectorExport'!A:A,'EA-ConnectorExport'!J:J),
        $Y145
    ),
    _xlpm.result, _xlfn.XLOOKUP(_xlpm.lookupKey,'EA-Fortescue_SDExport'!A:A,'EA-Fortescue_SDExport'!AD:AD),
    IF(_xlpm.result=0,"",_xlpm.result)
)</f>
        <v>851DC Heavy Mobile Equipment (HME)</v>
      </c>
      <c r="AD145" s="2" t="str">
        <f>_xlfn.LET(
    _xlpm.isObject, _xlfn.XLOOKUP($Y145,'EA-Fortescue_SDExport'!A:A,'EA-Fortescue_SDExport'!B:B),
    _xlpm.lookupKey, IF(_xlpm.isObject="Object",
        _xlfn.XLOOKUP($A145,'EA-ConnectorExport'!A:A,'EA-ConnectorExport'!J:J),
        $Y145
    ),
    _xlpm.result, _xlfn.XLOOKUP(_xlpm.lookupKey,'EA-Fortescue_SDExport'!A:A,'EA-Fortescue_SDExport'!AE:AE),
    IF(_xlpm.result=0,"",_xlpm.result)
)</f>
        <v>851DC-1591 Excavator (&gt;110t)</v>
      </c>
      <c r="AE145" s="2" t="str">
        <f>_xlfn.LET(
    _xlpm.isObject, _xlfn.XLOOKUP($Y145,'EA-Fortescue_SDExport'!A:A,'EA-Fortescue_SDExport'!B:B),
    _xlpm.lookupKey, IF(_xlpm.isObject="Object",
        _xlfn.XLOOKUP($A145,'EA-ConnectorExport'!A:A,'EA-ConnectorExport'!J:J),
        $Y145
    ),
    _xlpm.result, _xlfn.XLOOKUP(_xlpm.lookupKey,'EA-Fortescue_SDExport'!A:A,'EA-Fortescue_SDExport'!AF:AF),
    IF(_xlpm.result=0,"",_xlpm.result)
)</f>
        <v/>
      </c>
      <c r="AF145" s="2" t="str">
        <f>_xlfn.LET(
    _xlpm.isObject, _xlfn.XLOOKUP($Y145,'EA-Fortescue_SDExport'!A:A,'EA-Fortescue_SDExport'!B:B),
    _xlpm.lookupKey, IF(_xlpm.isObject="Object",
        _xlfn.XLOOKUP($A145,'EA-ConnectorExport'!A:A,'EA-ConnectorExport'!J:J),
        $Y145
    ),
    _xlpm.result, _xlfn.XLOOKUP(_xlpm.lookupKey,'EA-Fortescue_SDExport'!A:A,'EA-Fortescue_SDExport'!AG:AG),
    IF(_xlpm.result=0,"",_xlpm.result)
)</f>
        <v/>
      </c>
    </row>
    <row r="146" spans="1:32" ht="195" x14ac:dyDescent="0.25">
      <c r="A146" s="2" t="str">
        <v>DGS-I_0145</v>
      </c>
      <c r="B146" s="2" t="str">
        <f t="shared" si="8"/>
        <v>855DC-1542-LMS Load Management System (LMS)|855DC-1542-CSM-002 vCharM.Edge</v>
      </c>
      <c r="C146" s="2" t="str">
        <f>_xlfn.LET(_xlpm.result, _xlfn.XLOOKUP(A146,'EA-Fortescue_SDExport'!A:A,'EA-Fortescue_SDExport'!AM:AM), IF(_xlpm.result=0,"",_xlpm.result))</f>
        <v>Sam Hedgcock</v>
      </c>
      <c r="D146" s="2" t="str">
        <f>_xlfn.LET(_xlpm.result, _xlfn.XLOOKUP(A146,'EA-Fortescue_SDExport'!A:A,'EA-Fortescue_SDExport'!AN:AN), IF(_xlpm.result=0,"",_xlpm.result))</f>
        <v>Glen Carruthers</v>
      </c>
      <c r="E146" s="2" t="str">
        <f>_xlfn.XLOOKUP(R146&amp;Z146,Lookups!A:A,Lookups!B:B)</f>
        <v>Project - Subsystem Interface</v>
      </c>
      <c r="F146" s="2" t="str">
        <f>_xlfn.LET(_xlpm.result, _xlfn.XLOOKUP(A146,'EA-Fortescue_SDExport'!A:A,'EA-Fortescue_SDExport'!AP:AP), IF(_xlpm.result=0,"",_xlpm.result))</f>
        <v>Technical-Data/Software</v>
      </c>
      <c r="G146" s="2" t="str">
        <f>IF(OR(AND(T146&lt;&gt;"", COUNTIF(Lookups!J:J, "*"&amp;T146&amp;"*")&gt;0), AND(AB146&lt;&gt;"", COUNTIF(Lookups!J:J, "*"&amp;AB146&amp;"*")&gt;0)), "Yes", "No")</f>
        <v>No</v>
      </c>
      <c r="H146" s="2" t="str">
        <f t="shared" si="9"/>
        <v>855DC Decarb Green Systems|855DC Decarb Green Systems</v>
      </c>
      <c r="I146" s="2" t="str">
        <f t="shared" si="10"/>
        <v>855DC-1542 Control &amp; Monitoring Systems|855DC-1542 Control &amp; Monitoring Systems</v>
      </c>
      <c r="J146" s="2" t="str">
        <f t="shared" si="11"/>
        <v>855DC-1542-LMS Load Management System (LMS)|855DC-1542-CSM Charge Station Management System (CSMS)</v>
      </c>
      <c r="K146" s="2" t="str">
        <f>_xlfn.XLOOKUP(A146,'EA-Fortescue_SDExport'!A:A,'EA-Fortescue_SDExport'!N:N)</f>
        <v>Proposed</v>
      </c>
      <c r="L146" s="2" t="str">
        <f>_xlfn.LET(_xlpm.result, _xlfn.XLOOKUP($A146,'EA-Fortescue_SDExport'!$A:$A,'EA-Fortescue_SDExport'!AQ:AQ), IF(_xlpm.result=0,"",_xlpm.result))</f>
        <v>Load Management System (PLCs) &lt;-&gt; vCharm Edge - Modbus TCP Power Requests &amp; Control_x000D_
The purpose of this interface is to allow the Load Management System (LMS), operating through a set of PLCs, to integrate with vCharm Edge via Modbus TCP to coordinate power availability for EV chargers and associated equipment. vCharm Edge sends power requests to the LMS, including charger status and fault indicators. LMS responds with permissions to energise loads, sends clearing commands, and manages fault resets. Watchdog data is exchanged to ensure both systems remain synchronised and fail-safe._x000D_
Intermediate Elements: LMS PLCs, Modbus TCP communication layer, vCharm Edge, and charger power request/control logic.</v>
      </c>
      <c r="M146" s="2" t="str">
        <f>_xlfn.LET(_xlpm.result, _xlfn.XLOOKUP($A146,'EA-Fortescue_SDExport'!$A:$A,'EA-Fortescue_SDExport'!AR:AR), IF(_xlpm.result=0,"",_xlpm.result))</f>
        <v>HIGH</v>
      </c>
      <c r="N146" s="2" t="str">
        <f>_xlfn.LET(_xlpm.result, _xlfn.XLOOKUP($A146,'EA-Fortescue_SDExport'!$A:$A,'EA-Fortescue_SDExport'!AW:AW), IF(_xlpm.result=0,"",_xlpm.result))</f>
        <v>The criticality level is HIGH because accurate, real-time communication is essential for safely managing charger power and clearing faults. Failure risks that charging loads are not correctly energised when the network requires it.</v>
      </c>
      <c r="O146" s="2" t="str">
        <f>_xlfn.LET(_xlpm.result, _xlfn.XLOOKUP($A146,'EA-Fortescue_SDExport'!$A:$A,'EA-Fortescue_SDExport'!AV:AV), IF(_xlpm.result=0,"",_xlpm.result))</f>
        <v>Data Flow:_x000D_
vCharm Edge (power requests, fault data) &lt;-&gt; Modbus TCP &lt;-&gt; LMS PLCs (power authorisation, clear commands, watchdog signals).</v>
      </c>
      <c r="P146" s="2" t="str">
        <f>_xlfn.LET(_xlpm.result, _xlfn.XLOOKUP($A146,'EA-Fortescue_SDExport'!$A:$A,'EA-Fortescue_SDExport'!D:D), IF(_xlpm.result=0,"",_xlpm.result))</f>
        <v>LMS Review 30/10/2025: Modbus TCP._x000D_
Fault data, CSMS Requesting Power, LMS Sending response (Power can be switched on). Commands from LMS to clear the devices that are requesting Power. Clear Faults. WatchDog Data._x000D_
NH 25/02/2026: Fields updated:Interface Type</v>
      </c>
      <c r="Q146" s="2" t="str">
        <f>_xlfn.LET(
    _xlpm.status, _xlfn.XLOOKUP($A146,'EA-ConnectorExport'!$A:$A,'EA-ConnectorExport'!G:G),
    _xlpm.result, _xlfn.XLOOKUP($A146,'EA-ConnectorExport'!$A:$A,'EA-ConnectorExport'!B:B),
    IF(_xlpm.status="allocate", _xlpm.result, "")
)</f>
        <v>855DC-1542-LMS Load Management System (LMS)</v>
      </c>
      <c r="R146" s="2" t="str">
        <f>IF(
    _xlfn.XLOOKUP($Q146,'EA-Fortescue_SDExport'!A:A,'EA-Fortescue_SDExport'!B:B)="Object",
    _xlfn.XLOOKUP(
        _xlfn.XLOOKUP($A146,'EA-ConnectorExport'!A:A,'EA-ConnectorExport'!D:D),
        'EA-Fortescue_SDExport'!A:A,
        'EA-Fortescue_SDExport'!AA:AA
    ),
    _xlfn.XLOOKUP($Q146,'EA-Fortescue_SDExport'!A:A,'EA-Fortescue_SDExport'!AA:AA)
)</f>
        <v>Project</v>
      </c>
      <c r="S146" s="2" t="str">
        <f>_xlfn.LET(_xlpm.result, _xlfn.XLOOKUP($Q146,'EA-Fortescue_SDExport'!$A:$A,'EA-Fortescue_SDExport'!AB:AB), IF(_xlpm.result=0,"",_xlpm.result))</f>
        <v>Mine Services</v>
      </c>
      <c r="T146" s="2" t="str">
        <f>_xlfn.LET(_xlpm.result, _xlfn.XLOOKUP($Q146,'EA-Fortescue_SDExport'!$A:$A,'EA-Fortescue_SDExport'!AC:AC), IF(_xlpm.result=0,"",_xlpm.result))</f>
        <v/>
      </c>
      <c r="U146" s="2" t="str">
        <f>_xlfn.LET(
    _xlpm.isObject, _xlfn.XLOOKUP($Q146,'EA-Fortescue_SDExport'!A:A,'EA-Fortescue_SDExport'!B:B),
    _xlpm.lookupKey, IF(_xlpm.isObject="Object",
        _xlfn.XLOOKUP($A146,'EA-ConnectorExport'!A:A,'EA-ConnectorExport'!D:D),
        $Q146
    ),
    _xlpm.result, _xlfn.XLOOKUP(_xlpm.lookupKey,'EA-Fortescue_SDExport'!A:A,'EA-Fortescue_SDExport'!AD:AD),
    IF(_xlpm.result=0,"",_xlpm.result)
)</f>
        <v>855DC Decarb Green Systems</v>
      </c>
      <c r="V146" s="2" t="str">
        <f>_xlfn.LET(
    _xlpm.isObject, _xlfn.XLOOKUP($Q146,'EA-Fortescue_SDExport'!A:A,'EA-Fortescue_SDExport'!B:B),
    _xlpm.lookupKey, IF(_xlpm.isObject="Object",
        _xlfn.XLOOKUP($A146,'EA-ConnectorExport'!A:A,'EA-ConnectorExport'!D:D),
        $Q146
    ),
    _xlpm.result, _xlfn.XLOOKUP(_xlpm.lookupKey,'EA-Fortescue_SDExport'!A:A,'EA-Fortescue_SDExport'!AE:AE),
    IF(_xlpm.result=0,"",_xlpm.result)
)</f>
        <v>855DC-1542 Control &amp; Monitoring Systems</v>
      </c>
      <c r="W146" s="2" t="str">
        <f>_xlfn.LET(
    _xlpm.isObject, _xlfn.XLOOKUP($Q146,'EA-Fortescue_SDExport'!A:A,'EA-Fortescue_SDExport'!B:B),
    _xlpm.lookupKey, IF(_xlpm.isObject="Object",
        _xlfn.XLOOKUP($A146,'EA-ConnectorExport'!A:A,'EA-ConnectorExport'!D:D),
        $Q146
    ),
    _xlpm.result, _xlfn.XLOOKUP(_xlpm.lookupKey,'EA-Fortescue_SDExport'!A:A,'EA-Fortescue_SDExport'!AF:AF),
    IF(_xlpm.result=0,"",_xlpm.result)
)</f>
        <v>855DC-1542-LMS Load Management System (LMS)</v>
      </c>
      <c r="X146" s="2" t="str">
        <f>_xlfn.LET(
    _xlpm.isObject, _xlfn.XLOOKUP($Q146,'EA-Fortescue_SDExport'!A:A,'EA-Fortescue_SDExport'!B:B),
    _xlpm.lookupKey, IF(_xlpm.isObject="Object",
        _xlfn.XLOOKUP($A146,'EA-ConnectorExport'!A:A,'EA-ConnectorExport'!D:D),
        $Q146
    ),
    _xlpm.result, _xlfn.XLOOKUP(_xlpm.lookupKey,'EA-Fortescue_SDExport'!A:A,'EA-Fortescue_SDExport'!AG:AG),
    IF(_xlpm.result=0,"",_xlpm.result)
)</f>
        <v/>
      </c>
      <c r="Y146" s="2" t="str">
        <f>_xlfn.LET(
    _xlpm.status, _xlfn.XLOOKUP($A146,'EA-ConnectorExport'!$A:$A,'EA-ConnectorExport'!G:G),
    _xlpm.result, _xlfn.XLOOKUP($A146,'EA-ConnectorExport'!$A:$A,'EA-ConnectorExport'!H:H),
    IF(_xlpm.status="allocate", _xlpm.result, "")
)</f>
        <v>855DC-1542-CSM-002 vCharM.Edge</v>
      </c>
      <c r="Z146" s="2" t="str">
        <f>_xlfn.LET(
    _xlpm.isObject, _xlfn.XLOOKUP($Y146,'EA-Fortescue_SDExport'!A:A,'EA-Fortescue_SDExport'!B:B),
    _xlpm.lookupKey, IF(_xlpm.isObject="Object",
        _xlfn.XLOOKUP($A146,'EA-ConnectorExport'!A:A,'EA-ConnectorExport'!J:J),
        $Y146
    ),
    _xlpm.result, _xlfn.XLOOKUP(_xlpm.lookupKey,'EA-Fortescue_SDExport'!A:A,'EA-Fortescue_SDExport'!AA:AA),
    IF(_xlpm.result=0,"",_xlpm.result)
)</f>
        <v>Subsystem</v>
      </c>
      <c r="AA146" s="2" t="str">
        <f>_xlfn.LET(_xlpm.result, _xlfn.XLOOKUP($Y146,'EA-Fortescue_SDExport'!$A:$A,'EA-Fortescue_SDExport'!AB:AB), IF(_xlpm.result=0,"",_xlpm.result))</f>
        <v/>
      </c>
      <c r="AB146" s="2" t="str">
        <f>_xlfn.LET(_xlpm.result, _xlfn.XLOOKUP($Y146,'EA-Fortescue_SDExport'!$A:$A,'EA-Fortescue_SDExport'!AC:AC), IF(_xlpm.result=0,"",_xlpm.result))</f>
        <v/>
      </c>
      <c r="AC146" s="2" t="str">
        <f>_xlfn.LET(
    _xlpm.isObject, _xlfn.XLOOKUP($Y146,'EA-Fortescue_SDExport'!A:A,'EA-Fortescue_SDExport'!B:B),
    _xlpm.lookupKey, IF(_xlpm.isObject="Object",
        _xlfn.XLOOKUP($A146,'EA-ConnectorExport'!A:A,'EA-ConnectorExport'!J:J),
        $Y146
    ),
    _xlpm.result, _xlfn.XLOOKUP(_xlpm.lookupKey,'EA-Fortescue_SDExport'!A:A,'EA-Fortescue_SDExport'!AD:AD),
    IF(_xlpm.result=0,"",_xlpm.result)
)</f>
        <v>855DC Decarb Green Systems</v>
      </c>
      <c r="AD146" s="2" t="str">
        <f>_xlfn.LET(
    _xlpm.isObject, _xlfn.XLOOKUP($Y146,'EA-Fortescue_SDExport'!A:A,'EA-Fortescue_SDExport'!B:B),
    _xlpm.lookupKey, IF(_xlpm.isObject="Object",
        _xlfn.XLOOKUP($A146,'EA-ConnectorExport'!A:A,'EA-ConnectorExport'!J:J),
        $Y146
    ),
    _xlpm.result, _xlfn.XLOOKUP(_xlpm.lookupKey,'EA-Fortescue_SDExport'!A:A,'EA-Fortescue_SDExport'!AE:AE),
    IF(_xlpm.result=0,"",_xlpm.result)
)</f>
        <v>855DC-1542 Control &amp; Monitoring Systems</v>
      </c>
      <c r="AE146" s="2" t="str">
        <f>_xlfn.LET(
    _xlpm.isObject, _xlfn.XLOOKUP($Y146,'EA-Fortescue_SDExport'!A:A,'EA-Fortescue_SDExport'!B:B),
    _xlpm.lookupKey, IF(_xlpm.isObject="Object",
        _xlfn.XLOOKUP($A146,'EA-ConnectorExport'!A:A,'EA-ConnectorExport'!J:J),
        $Y146
    ),
    _xlpm.result, _xlfn.XLOOKUP(_xlpm.lookupKey,'EA-Fortescue_SDExport'!A:A,'EA-Fortescue_SDExport'!AF:AF),
    IF(_xlpm.result=0,"",_xlpm.result)
)</f>
        <v>855DC-1542-CSM Charge Station Management System (CSMS)</v>
      </c>
      <c r="AF146" s="2" t="str">
        <f>_xlfn.LET(
    _xlpm.isObject, _xlfn.XLOOKUP($Y146,'EA-Fortescue_SDExport'!A:A,'EA-Fortescue_SDExport'!B:B),
    _xlpm.lookupKey, IF(_xlpm.isObject="Object",
        _xlfn.XLOOKUP($A146,'EA-ConnectorExport'!A:A,'EA-ConnectorExport'!J:J),
        $Y146
    ),
    _xlpm.result, _xlfn.XLOOKUP(_xlpm.lookupKey,'EA-Fortescue_SDExport'!A:A,'EA-Fortescue_SDExport'!AG:AG),
    IF(_xlpm.result=0,"",_xlpm.result)
)</f>
        <v>855DC-1542-CSM-002 vCharM.Edge</v>
      </c>
    </row>
    <row r="147" spans="1:32" ht="165" x14ac:dyDescent="0.25">
      <c r="A147" s="2" t="str">
        <v>DGS-I_0146</v>
      </c>
      <c r="B147" s="2" t="str">
        <f t="shared" si="8"/>
        <v>854DC-1521-0001 Substation (33kV)|855DC-1542-CSM-002 vCharM.Edge</v>
      </c>
      <c r="C147" s="2" t="str">
        <f>_xlfn.LET(_xlpm.result, _xlfn.XLOOKUP(A147,'EA-Fortescue_SDExport'!A:A,'EA-Fortescue_SDExport'!AM:AM), IF(_xlpm.result=0,"",_xlpm.result))</f>
        <v/>
      </c>
      <c r="D147" s="2" t="str">
        <f>_xlfn.LET(_xlpm.result, _xlfn.XLOOKUP(A147,'EA-Fortescue_SDExport'!A:A,'EA-Fortescue_SDExport'!AN:AN), IF(_xlpm.result=0,"",_xlpm.result))</f>
        <v/>
      </c>
      <c r="E147" s="2" t="str">
        <f>_xlfn.XLOOKUP(R147&amp;Z147,Lookups!A:A,Lookups!B:B)</f>
        <v>Project - Subsystem Interface</v>
      </c>
      <c r="F147" s="2" t="str">
        <f>_xlfn.LET(_xlpm.result, _xlfn.XLOOKUP(A147,'EA-Fortescue_SDExport'!A:A,'EA-Fortescue_SDExport'!AP:AP), IF(_xlpm.result=0,"",_xlpm.result))</f>
        <v>Technical-Electrical</v>
      </c>
      <c r="G147" s="2" t="str">
        <f>IF(OR(AND(T147&lt;&gt;"", COUNTIF(Lookups!J:J, "*"&amp;T147&amp;"*")&gt;0), AND(AB147&lt;&gt;"", COUNTIF(Lookups!J:J, "*"&amp;AB147&amp;"*")&gt;0)), "Yes", "No")</f>
        <v>No</v>
      </c>
      <c r="H147" s="2" t="str">
        <f t="shared" si="9"/>
        <v>854DC Green Power|855DC Decarb Green Systems</v>
      </c>
      <c r="I147" s="2" t="str">
        <f t="shared" si="10"/>
        <v>854DC-1521 HV Substations|855DC-1542 Control &amp; Monitoring Systems</v>
      </c>
      <c r="J147" s="2" t="str">
        <f t="shared" si="11"/>
        <v>854DC-1521-0001 Substation (33kV)|855DC-1542-CSM Charge Station Management System (CSMS)</v>
      </c>
      <c r="K147" s="2" t="str">
        <f>_xlfn.XLOOKUP(A147,'EA-Fortescue_SDExport'!A:A,'EA-Fortescue_SDExport'!N:N)</f>
        <v>Proposed</v>
      </c>
      <c r="L147" s="2" t="str">
        <f>_xlfn.LET(_xlpm.result, _xlfn.XLOOKUP($A147,'EA-Fortescue_SDExport'!$A:$A,'EA-Fortescue_SDExport'!AQ:AQ), IF(_xlpm.result=0,"",_xlpm.result))</f>
        <v>This interface links a 33kV substation with vCharM.Edge to supply the system with status, energisation state, and power availability for heavy mobile equipment charging operations.</v>
      </c>
      <c r="M147" s="2" t="str">
        <f>_xlfn.LET(_xlpm.result, _xlfn.XLOOKUP($A147,'EA-Fortescue_SDExport'!$A:$A,'EA-Fortescue_SDExport'!AR:AR), IF(_xlpm.result=0,"",_xlpm.result))</f>
        <v>HIGH</v>
      </c>
      <c r="N147" s="2" t="str">
        <f>_xlfn.LET(_xlpm.result, _xlfn.XLOOKUP($A147,'EA-Fortescue_SDExport'!$A:$A,'EA-Fortescue_SDExport'!AW:AW), IF(_xlpm.result=0,"",_xlpm.result))</f>
        <v>The criticality level is HIGH because loss of this interface can lead to incorrect assumptions about charger energisation, resulting in charging downtime or electrical safety risks and possible production delays.</v>
      </c>
      <c r="O147" s="2" t="str">
        <f>_xlfn.LET(_xlpm.result, _xlfn.XLOOKUP($A147,'EA-Fortescue_SDExport'!$A:$A,'EA-Fortescue_SDExport'!AV:AV), IF(_xlpm.result=0,"",_xlpm.result))</f>
        <v>Data Flow: 33 kV Substation -&gt; vCharM.Edge / CSMS (energisation status, feeder availability, breaker positions, transformer status, voltage/current measurements, available capacity, alarms, fault events) to confirm charger supply readiness and power availability.</v>
      </c>
      <c r="P147" s="2" t="str">
        <f>_xlfn.LET(_xlpm.result, _xlfn.XLOOKUP($A147,'EA-Fortescue_SDExport'!$A:$A,'EA-Fortescue_SDExport'!D:D), IF(_xlpm.result=0,"",_xlpm.result))</f>
        <v>CSMS Review 30/10/2025: Potential measuring from 132kv. Dynamic load management function._x000D_
NH 20/02/2026: Fields updated: Interface Type, Interface Flow.</v>
      </c>
      <c r="Q147" s="2" t="str">
        <f>_xlfn.LET(
    _xlpm.status, _xlfn.XLOOKUP($A147,'EA-ConnectorExport'!$A:$A,'EA-ConnectorExport'!G:G),
    _xlpm.result, _xlfn.XLOOKUP($A147,'EA-ConnectorExport'!$A:$A,'EA-ConnectorExport'!B:B),
    IF(_xlpm.status="allocate", _xlpm.result, "")
)</f>
        <v>854DC-1521-0001 Substation (33kV)</v>
      </c>
      <c r="R147" s="2" t="str">
        <f>IF(
    _xlfn.XLOOKUP($Q147,'EA-Fortescue_SDExport'!A:A,'EA-Fortescue_SDExport'!B:B)="Object",
    _xlfn.XLOOKUP(
        _xlfn.XLOOKUP($A147,'EA-ConnectorExport'!A:A,'EA-ConnectorExport'!D:D),
        'EA-Fortescue_SDExport'!A:A,
        'EA-Fortescue_SDExport'!AA:AA
    ),
    _xlfn.XLOOKUP($Q147,'EA-Fortescue_SDExport'!A:A,'EA-Fortescue_SDExport'!AA:AA)
)</f>
        <v>Project</v>
      </c>
      <c r="S147" s="2" t="str">
        <f>_xlfn.LET(_xlpm.result, _xlfn.XLOOKUP($Q147,'EA-Fortescue_SDExport'!$A:$A,'EA-Fortescue_SDExport'!AB:AB), IF(_xlpm.result=0,"",_xlpm.result))</f>
        <v/>
      </c>
      <c r="T147" s="2" t="str">
        <f>_xlfn.LET(_xlpm.result, _xlfn.XLOOKUP($Q147,'EA-Fortescue_SDExport'!$A:$A,'EA-Fortescue_SDExport'!AC:AC), IF(_xlpm.result=0,"",_xlpm.result))</f>
        <v>Generic Physical Asset</v>
      </c>
      <c r="U147" s="2" t="str">
        <f>_xlfn.LET(
    _xlpm.isObject, _xlfn.XLOOKUP($Q147,'EA-Fortescue_SDExport'!A:A,'EA-Fortescue_SDExport'!B:B),
    _xlpm.lookupKey, IF(_xlpm.isObject="Object",
        _xlfn.XLOOKUP($A147,'EA-ConnectorExport'!A:A,'EA-ConnectorExport'!D:D),
        $Q147
    ),
    _xlpm.result, _xlfn.XLOOKUP(_xlpm.lookupKey,'EA-Fortescue_SDExport'!A:A,'EA-Fortescue_SDExport'!AD:AD),
    IF(_xlpm.result=0,"",_xlpm.result)
)</f>
        <v>854DC Green Power</v>
      </c>
      <c r="V147" s="2" t="str">
        <f>_xlfn.LET(
    _xlpm.isObject, _xlfn.XLOOKUP($Q147,'EA-Fortescue_SDExport'!A:A,'EA-Fortescue_SDExport'!B:B),
    _xlpm.lookupKey, IF(_xlpm.isObject="Object",
        _xlfn.XLOOKUP($A147,'EA-ConnectorExport'!A:A,'EA-ConnectorExport'!D:D),
        $Q147
    ),
    _xlpm.result, _xlfn.XLOOKUP(_xlpm.lookupKey,'EA-Fortescue_SDExport'!A:A,'EA-Fortescue_SDExport'!AE:AE),
    IF(_xlpm.result=0,"",_xlpm.result)
)</f>
        <v>854DC-1521 HV Substations</v>
      </c>
      <c r="W147" s="2" t="str">
        <f>_xlfn.LET(
    _xlpm.isObject, _xlfn.XLOOKUP($Q147,'EA-Fortescue_SDExport'!A:A,'EA-Fortescue_SDExport'!B:B),
    _xlpm.lookupKey, IF(_xlpm.isObject="Object",
        _xlfn.XLOOKUP($A147,'EA-ConnectorExport'!A:A,'EA-ConnectorExport'!D:D),
        $Q147
    ),
    _xlpm.result, _xlfn.XLOOKUP(_xlpm.lookupKey,'EA-Fortescue_SDExport'!A:A,'EA-Fortescue_SDExport'!AF:AF),
    IF(_xlpm.result=0,"",_xlpm.result)
)</f>
        <v>854DC-1521-0001 Substation (33kV)</v>
      </c>
      <c r="X147" s="2" t="str">
        <f>_xlfn.LET(
    _xlpm.isObject, _xlfn.XLOOKUP($Q147,'EA-Fortescue_SDExport'!A:A,'EA-Fortescue_SDExport'!B:B),
    _xlpm.lookupKey, IF(_xlpm.isObject="Object",
        _xlfn.XLOOKUP($A147,'EA-ConnectorExport'!A:A,'EA-ConnectorExport'!D:D),
        $Q147
    ),
    _xlpm.result, _xlfn.XLOOKUP(_xlpm.lookupKey,'EA-Fortescue_SDExport'!A:A,'EA-Fortescue_SDExport'!AG:AG),
    IF(_xlpm.result=0,"",_xlpm.result)
)</f>
        <v/>
      </c>
      <c r="Y147" s="2" t="str">
        <f>_xlfn.LET(
    _xlpm.status, _xlfn.XLOOKUP($A147,'EA-ConnectorExport'!$A:$A,'EA-ConnectorExport'!G:G),
    _xlpm.result, _xlfn.XLOOKUP($A147,'EA-ConnectorExport'!$A:$A,'EA-ConnectorExport'!H:H),
    IF(_xlpm.status="allocate", _xlpm.result, "")
)</f>
        <v>855DC-1542-CSM-002 vCharM.Edge</v>
      </c>
      <c r="Z147" s="2" t="str">
        <f>_xlfn.LET(
    _xlpm.isObject, _xlfn.XLOOKUP($Y147,'EA-Fortescue_SDExport'!A:A,'EA-Fortescue_SDExport'!B:B),
    _xlpm.lookupKey, IF(_xlpm.isObject="Object",
        _xlfn.XLOOKUP($A147,'EA-ConnectorExport'!A:A,'EA-ConnectorExport'!J:J),
        $Y147
    ),
    _xlpm.result, _xlfn.XLOOKUP(_xlpm.lookupKey,'EA-Fortescue_SDExport'!A:A,'EA-Fortescue_SDExport'!AA:AA),
    IF(_xlpm.result=0,"",_xlpm.result)
)</f>
        <v>Subsystem</v>
      </c>
      <c r="AA147" s="2" t="str">
        <f>_xlfn.LET(_xlpm.result, _xlfn.XLOOKUP($Y147,'EA-Fortescue_SDExport'!$A:$A,'EA-Fortescue_SDExport'!AB:AB), IF(_xlpm.result=0,"",_xlpm.result))</f>
        <v/>
      </c>
      <c r="AB147" s="2" t="str">
        <f>_xlfn.LET(_xlpm.result, _xlfn.XLOOKUP($Y147,'EA-Fortescue_SDExport'!$A:$A,'EA-Fortescue_SDExport'!AC:AC), IF(_xlpm.result=0,"",_xlpm.result))</f>
        <v/>
      </c>
      <c r="AC147" s="2" t="str">
        <f>_xlfn.LET(
    _xlpm.isObject, _xlfn.XLOOKUP($Y147,'EA-Fortescue_SDExport'!A:A,'EA-Fortescue_SDExport'!B:B),
    _xlpm.lookupKey, IF(_xlpm.isObject="Object",
        _xlfn.XLOOKUP($A147,'EA-ConnectorExport'!A:A,'EA-ConnectorExport'!J:J),
        $Y147
    ),
    _xlpm.result, _xlfn.XLOOKUP(_xlpm.lookupKey,'EA-Fortescue_SDExport'!A:A,'EA-Fortescue_SDExport'!AD:AD),
    IF(_xlpm.result=0,"",_xlpm.result)
)</f>
        <v>855DC Decarb Green Systems</v>
      </c>
      <c r="AD147" s="2" t="str">
        <f>_xlfn.LET(
    _xlpm.isObject, _xlfn.XLOOKUP($Y147,'EA-Fortescue_SDExport'!A:A,'EA-Fortescue_SDExport'!B:B),
    _xlpm.lookupKey, IF(_xlpm.isObject="Object",
        _xlfn.XLOOKUP($A147,'EA-ConnectorExport'!A:A,'EA-ConnectorExport'!J:J),
        $Y147
    ),
    _xlpm.result, _xlfn.XLOOKUP(_xlpm.lookupKey,'EA-Fortescue_SDExport'!A:A,'EA-Fortescue_SDExport'!AE:AE),
    IF(_xlpm.result=0,"",_xlpm.result)
)</f>
        <v>855DC-1542 Control &amp; Monitoring Systems</v>
      </c>
      <c r="AE147" s="2" t="str">
        <f>_xlfn.LET(
    _xlpm.isObject, _xlfn.XLOOKUP($Y147,'EA-Fortescue_SDExport'!A:A,'EA-Fortescue_SDExport'!B:B),
    _xlpm.lookupKey, IF(_xlpm.isObject="Object",
        _xlfn.XLOOKUP($A147,'EA-ConnectorExport'!A:A,'EA-ConnectorExport'!J:J),
        $Y147
    ),
    _xlpm.result, _xlfn.XLOOKUP(_xlpm.lookupKey,'EA-Fortescue_SDExport'!A:A,'EA-Fortescue_SDExport'!AF:AF),
    IF(_xlpm.result=0,"",_xlpm.result)
)</f>
        <v>855DC-1542-CSM Charge Station Management System (CSMS)</v>
      </c>
      <c r="AF147" s="2" t="str">
        <f>_xlfn.LET(
    _xlpm.isObject, _xlfn.XLOOKUP($Y147,'EA-Fortescue_SDExport'!A:A,'EA-Fortescue_SDExport'!B:B),
    _xlpm.lookupKey, IF(_xlpm.isObject="Object",
        _xlfn.XLOOKUP($A147,'EA-ConnectorExport'!A:A,'EA-ConnectorExport'!J:J),
        $Y147
    ),
    _xlpm.result, _xlfn.XLOOKUP(_xlpm.lookupKey,'EA-Fortescue_SDExport'!A:A,'EA-Fortescue_SDExport'!AG:AG),
    IF(_xlpm.result=0,"",_xlpm.result)
)</f>
        <v>855DC-1542-CSM-002 vCharM.Edge</v>
      </c>
    </row>
    <row r="148" spans="1:32" ht="195" x14ac:dyDescent="0.25">
      <c r="A148" s="2" t="str">
        <v>DGS-I_0147</v>
      </c>
      <c r="B148" s="2" t="str">
        <f t="shared" si="8"/>
        <v>855DC-1542-CSM-001 vCharM by Vector|850DC-1512-0001 HME Chargers - Gen1</v>
      </c>
      <c r="C148" s="2" t="str">
        <f>_xlfn.LET(_xlpm.result, _xlfn.XLOOKUP(A148,'EA-Fortescue_SDExport'!A:A,'EA-Fortescue_SDExport'!AM:AM), IF(_xlpm.result=0,"",_xlpm.result))</f>
        <v/>
      </c>
      <c r="D148" s="2" t="str">
        <f>_xlfn.LET(_xlpm.result, _xlfn.XLOOKUP(A148,'EA-Fortescue_SDExport'!A:A,'EA-Fortescue_SDExport'!AN:AN), IF(_xlpm.result=0,"",_xlpm.result))</f>
        <v/>
      </c>
      <c r="E148" s="2" t="str">
        <f>_xlfn.XLOOKUP(R148&amp;Z148,Lookups!A:A,Lookups!B:B)</f>
        <v>Project - Subsystem Interface</v>
      </c>
      <c r="F148" s="2" t="str">
        <f>_xlfn.LET(_xlpm.result, _xlfn.XLOOKUP(A148,'EA-Fortescue_SDExport'!A:A,'EA-Fortescue_SDExport'!AP:AP), IF(_xlpm.result=0,"",_xlpm.result))</f>
        <v>Technical-Data/Software</v>
      </c>
      <c r="G148" s="2" t="str">
        <f>IF(OR(AND(T148&lt;&gt;"", COUNTIF(Lookups!J:J, "*"&amp;T148&amp;"*")&gt;0), AND(AB148&lt;&gt;"", COUNTIF(Lookups!J:J, "*"&amp;AB148&amp;"*")&gt;0)), "Yes", "No")</f>
        <v>No</v>
      </c>
      <c r="H148" s="2" t="str">
        <f t="shared" si="9"/>
        <v>855DC Decarb Green Systems|850DC Decarb Infrastructure</v>
      </c>
      <c r="I148" s="2" t="str">
        <f t="shared" si="10"/>
        <v>855DC-1542 Control &amp; Monitoring Systems|850DC-1510 Chargers</v>
      </c>
      <c r="J148" s="2" t="str">
        <f t="shared" si="11"/>
        <v>855DC-1542-CSM Charge Station Management System (CSMS)|850DC-1512-0001 HME Chargers - Gen1</v>
      </c>
      <c r="K148" s="2" t="str">
        <f>_xlfn.XLOOKUP(A148,'EA-Fortescue_SDExport'!A:A,'EA-Fortescue_SDExport'!N:N)</f>
        <v>Proposed</v>
      </c>
      <c r="L148" s="2" t="str">
        <f>_xlfn.LET(_xlpm.result, _xlfn.XLOOKUP($A148,'EA-Fortescue_SDExport'!$A:$A,'EA-Fortescue_SDExport'!AQ:AQ), IF(_xlpm.result=0,"",_xlpm.result))</f>
        <v>This interface enables vCharM to manage, monitor, and coordinate HME Chargers, including scheduling, load balancing, and charger health reporting.</v>
      </c>
      <c r="M148" s="2" t="str">
        <f>_xlfn.LET(_xlpm.result, _xlfn.XLOOKUP($A148,'EA-Fortescue_SDExport'!$A:$A,'EA-Fortescue_SDExport'!AR:AR), IF(_xlpm.result=0,"",_xlpm.result))</f>
        <v>MEDIUM</v>
      </c>
      <c r="N148" s="2" t="str">
        <f>_xlfn.LET(_xlpm.result, _xlfn.XLOOKUP($A148,'EA-Fortescue_SDExport'!$A:$A,'EA-Fortescue_SDExport'!AW:AW), IF(_xlpm.result=0,"",_xlpm.result))</f>
        <v>The criticality level is MEDIUM because losing this interface decreases efficiency, extends charging times, and complicates charge scheduling. Outages typically do not halt haulage operations entirely but reduce charger utilisation efficiency.</v>
      </c>
      <c r="O148" s="2" t="str">
        <f>_xlfn.LET(_xlpm.result, _xlfn.XLOOKUP($A148,'EA-Fortescue_SDExport'!$A:$A,'EA-Fortescue_SDExport'!AV:AV), IF(_xlpm.result=0,"",_xlpm.result))</f>
        <v>Data Flow: HME Chargers -&gt; CSMS (vCharM) (charger status, availability, power draw, state of charge progress, fault alarms, health metrics) for monitoring and coordination.</v>
      </c>
      <c r="P148" s="2" t="str">
        <f>_xlfn.LET(_xlpm.result, _xlfn.XLOOKUP($A148,'EA-Fortescue_SDExport'!$A:$A,'EA-Fortescue_SDExport'!D:D), IF(_xlpm.result=0,"",_xlpm.result))</f>
        <v>CSMS Review 30/10/2025: Open Charge Point Protocol (OCPP) for all chargers if the charger supports OCPP._x000D_
NH 20/02/2026: Fields updated: Interface Flow.</v>
      </c>
      <c r="Q148" s="2" t="str">
        <f>_xlfn.LET(
    _xlpm.status, _xlfn.XLOOKUP($A148,'EA-ConnectorExport'!$A:$A,'EA-ConnectorExport'!G:G),
    _xlpm.result, _xlfn.XLOOKUP($A148,'EA-ConnectorExport'!$A:$A,'EA-ConnectorExport'!B:B),
    IF(_xlpm.status="allocate", _xlpm.result, "")
)</f>
        <v>855DC-1542-CSM-001 vCharM by Vector</v>
      </c>
      <c r="R148" s="2" t="str">
        <f>IF(
    _xlfn.XLOOKUP($Q148,'EA-Fortescue_SDExport'!A:A,'EA-Fortescue_SDExport'!B:B)="Object",
    _xlfn.XLOOKUP(
        _xlfn.XLOOKUP($A148,'EA-ConnectorExport'!A:A,'EA-ConnectorExport'!D:D),
        'EA-Fortescue_SDExport'!A:A,
        'EA-Fortescue_SDExport'!AA:AA
    ),
    _xlfn.XLOOKUP($Q148,'EA-Fortescue_SDExport'!A:A,'EA-Fortescue_SDExport'!AA:AA)
)</f>
        <v>Subsystem</v>
      </c>
      <c r="S148" s="2" t="str">
        <f>_xlfn.LET(_xlpm.result, _xlfn.XLOOKUP($Q148,'EA-Fortescue_SDExport'!$A:$A,'EA-Fortescue_SDExport'!AB:AB), IF(_xlpm.result=0,"",_xlpm.result))</f>
        <v/>
      </c>
      <c r="T148" s="2" t="str">
        <f>_xlfn.LET(_xlpm.result, _xlfn.XLOOKUP($Q148,'EA-Fortescue_SDExport'!$A:$A,'EA-Fortescue_SDExport'!AC:AC), IF(_xlpm.result=0,"",_xlpm.result))</f>
        <v/>
      </c>
      <c r="U148" s="2" t="str">
        <f>_xlfn.LET(
    _xlpm.isObject, _xlfn.XLOOKUP($Q148,'EA-Fortescue_SDExport'!A:A,'EA-Fortescue_SDExport'!B:B),
    _xlpm.lookupKey, IF(_xlpm.isObject="Object",
        _xlfn.XLOOKUP($A148,'EA-ConnectorExport'!A:A,'EA-ConnectorExport'!D:D),
        $Q148
    ),
    _xlpm.result, _xlfn.XLOOKUP(_xlpm.lookupKey,'EA-Fortescue_SDExport'!A:A,'EA-Fortescue_SDExport'!AD:AD),
    IF(_xlpm.result=0,"",_xlpm.result)
)</f>
        <v>855DC Decarb Green Systems</v>
      </c>
      <c r="V148" s="2" t="str">
        <f>_xlfn.LET(
    _xlpm.isObject, _xlfn.XLOOKUP($Q148,'EA-Fortescue_SDExport'!A:A,'EA-Fortescue_SDExport'!B:B),
    _xlpm.lookupKey, IF(_xlpm.isObject="Object",
        _xlfn.XLOOKUP($A148,'EA-ConnectorExport'!A:A,'EA-ConnectorExport'!D:D),
        $Q148
    ),
    _xlpm.result, _xlfn.XLOOKUP(_xlpm.lookupKey,'EA-Fortescue_SDExport'!A:A,'EA-Fortescue_SDExport'!AE:AE),
    IF(_xlpm.result=0,"",_xlpm.result)
)</f>
        <v>855DC-1542 Control &amp; Monitoring Systems</v>
      </c>
      <c r="W148" s="2" t="str">
        <f>_xlfn.LET(
    _xlpm.isObject, _xlfn.XLOOKUP($Q148,'EA-Fortescue_SDExport'!A:A,'EA-Fortescue_SDExport'!B:B),
    _xlpm.lookupKey, IF(_xlpm.isObject="Object",
        _xlfn.XLOOKUP($A148,'EA-ConnectorExport'!A:A,'EA-ConnectorExport'!D:D),
        $Q148
    ),
    _xlpm.result, _xlfn.XLOOKUP(_xlpm.lookupKey,'EA-Fortescue_SDExport'!A:A,'EA-Fortescue_SDExport'!AF:AF),
    IF(_xlpm.result=0,"",_xlpm.result)
)</f>
        <v>855DC-1542-CSM Charge Station Management System (CSMS)</v>
      </c>
      <c r="X148" s="2" t="str">
        <f>_xlfn.LET(
    _xlpm.isObject, _xlfn.XLOOKUP($Q148,'EA-Fortescue_SDExport'!A:A,'EA-Fortescue_SDExport'!B:B),
    _xlpm.lookupKey, IF(_xlpm.isObject="Object",
        _xlfn.XLOOKUP($A148,'EA-ConnectorExport'!A:A,'EA-ConnectorExport'!D:D),
        $Q148
    ),
    _xlpm.result, _xlfn.XLOOKUP(_xlpm.lookupKey,'EA-Fortescue_SDExport'!A:A,'EA-Fortescue_SDExport'!AG:AG),
    IF(_xlpm.result=0,"",_xlpm.result)
)</f>
        <v>855DC-1542-CSM-001 vCharM by Vector</v>
      </c>
      <c r="Y148" s="2" t="str">
        <f>_xlfn.LET(
    _xlpm.status, _xlfn.XLOOKUP($A148,'EA-ConnectorExport'!$A:$A,'EA-ConnectorExport'!G:G),
    _xlpm.result, _xlfn.XLOOKUP($A148,'EA-ConnectorExport'!$A:$A,'EA-ConnectorExport'!H:H),
    IF(_xlpm.status="allocate", _xlpm.result, "")
)</f>
        <v>850DC-1512-0001 HME Chargers - Gen1</v>
      </c>
      <c r="Z148" s="2" t="str">
        <f>_xlfn.LET(
    _xlpm.isObject, _xlfn.XLOOKUP($Y148,'EA-Fortescue_SDExport'!A:A,'EA-Fortescue_SDExport'!B:B),
    _xlpm.lookupKey, IF(_xlpm.isObject="Object",
        _xlfn.XLOOKUP($A148,'EA-ConnectorExport'!A:A,'EA-ConnectorExport'!J:J),
        $Y148
    ),
    _xlpm.result, _xlfn.XLOOKUP(_xlpm.lookupKey,'EA-Fortescue_SDExport'!A:A,'EA-Fortescue_SDExport'!AA:AA),
    IF(_xlpm.result=0,"",_xlpm.result)
)</f>
        <v>Project</v>
      </c>
      <c r="AA148" s="2" t="str">
        <f>_xlfn.LET(_xlpm.result, _xlfn.XLOOKUP($Y148,'EA-Fortescue_SDExport'!$A:$A,'EA-Fortescue_SDExport'!AB:AB), IF(_xlpm.result=0,"",_xlpm.result))</f>
        <v/>
      </c>
      <c r="AB148" s="2" t="str">
        <f>_xlfn.LET(_xlpm.result, _xlfn.XLOOKUP($Y148,'EA-Fortescue_SDExport'!$A:$A,'EA-Fortescue_SDExport'!AC:AC), IF(_xlpm.result=0,"",_xlpm.result))</f>
        <v>Generic Physical Asset</v>
      </c>
      <c r="AC148" s="2" t="str">
        <f>_xlfn.LET(
    _xlpm.isObject, _xlfn.XLOOKUP($Y148,'EA-Fortescue_SDExport'!A:A,'EA-Fortescue_SDExport'!B:B),
    _xlpm.lookupKey, IF(_xlpm.isObject="Object",
        _xlfn.XLOOKUP($A148,'EA-ConnectorExport'!A:A,'EA-ConnectorExport'!J:J),
        $Y148
    ),
    _xlpm.result, _xlfn.XLOOKUP(_xlpm.lookupKey,'EA-Fortescue_SDExport'!A:A,'EA-Fortescue_SDExport'!AD:AD),
    IF(_xlpm.result=0,"",_xlpm.result)
)</f>
        <v>850DC Decarb Infrastructure</v>
      </c>
      <c r="AD148" s="2" t="str">
        <f>_xlfn.LET(
    _xlpm.isObject, _xlfn.XLOOKUP($Y148,'EA-Fortescue_SDExport'!A:A,'EA-Fortescue_SDExport'!B:B),
    _xlpm.lookupKey, IF(_xlpm.isObject="Object",
        _xlfn.XLOOKUP($A148,'EA-ConnectorExport'!A:A,'EA-ConnectorExport'!J:J),
        $Y148
    ),
    _xlpm.result, _xlfn.XLOOKUP(_xlpm.lookupKey,'EA-Fortescue_SDExport'!A:A,'EA-Fortescue_SDExport'!AE:AE),
    IF(_xlpm.result=0,"",_xlpm.result)
)</f>
        <v>850DC-1510 Chargers</v>
      </c>
      <c r="AE148" s="2" t="str">
        <f>_xlfn.LET(
    _xlpm.isObject, _xlfn.XLOOKUP($Y148,'EA-Fortescue_SDExport'!A:A,'EA-Fortescue_SDExport'!B:B),
    _xlpm.lookupKey, IF(_xlpm.isObject="Object",
        _xlfn.XLOOKUP($A148,'EA-ConnectorExport'!A:A,'EA-ConnectorExport'!J:J),
        $Y148
    ),
    _xlpm.result, _xlfn.XLOOKUP(_xlpm.lookupKey,'EA-Fortescue_SDExport'!A:A,'EA-Fortescue_SDExport'!AF:AF),
    IF(_xlpm.result=0,"",_xlpm.result)
)</f>
        <v>850DC-1512-0001 HME Chargers - Gen1</v>
      </c>
      <c r="AF148" s="2" t="str">
        <f>_xlfn.LET(
    _xlpm.isObject, _xlfn.XLOOKUP($Y148,'EA-Fortescue_SDExport'!A:A,'EA-Fortescue_SDExport'!B:B),
    _xlpm.lookupKey, IF(_xlpm.isObject="Object",
        _xlfn.XLOOKUP($A148,'EA-ConnectorExport'!A:A,'EA-ConnectorExport'!J:J),
        $Y148
    ),
    _xlpm.result, _xlfn.XLOOKUP(_xlpm.lookupKey,'EA-Fortescue_SDExport'!A:A,'EA-Fortescue_SDExport'!AG:AG),
    IF(_xlpm.result=0,"",_xlpm.result)
)</f>
        <v/>
      </c>
    </row>
    <row r="149" spans="1:32" ht="165" x14ac:dyDescent="0.25">
      <c r="A149" s="2" t="str">
        <v>DGS-I_0148</v>
      </c>
      <c r="B149" s="2" t="str">
        <f t="shared" si="8"/>
        <v>855DC-1542-CSM-001 vCharM by Vector|850DC-1513-0002 HME Auxilary Chargers</v>
      </c>
      <c r="C149" s="2" t="str">
        <f>_xlfn.LET(_xlpm.result, _xlfn.XLOOKUP(A149,'EA-Fortescue_SDExport'!A:A,'EA-Fortescue_SDExport'!AM:AM), IF(_xlpm.result=0,"",_xlpm.result))</f>
        <v/>
      </c>
      <c r="D149" s="2" t="str">
        <f>_xlfn.LET(_xlpm.result, _xlfn.XLOOKUP(A149,'EA-Fortescue_SDExport'!A:A,'EA-Fortescue_SDExport'!AN:AN), IF(_xlpm.result=0,"",_xlpm.result))</f>
        <v/>
      </c>
      <c r="E149" s="2" t="str">
        <f>_xlfn.XLOOKUP(R149&amp;Z149,Lookups!A:A,Lookups!B:B)</f>
        <v>Project - Subsystem Interface</v>
      </c>
      <c r="F149" s="2" t="str">
        <f>_xlfn.LET(_xlpm.result, _xlfn.XLOOKUP(A149,'EA-Fortescue_SDExport'!A:A,'EA-Fortescue_SDExport'!AP:AP), IF(_xlpm.result=0,"",_xlpm.result))</f>
        <v>Technical-Data/Software</v>
      </c>
      <c r="G149" s="2" t="str">
        <f>IF(OR(AND(T149&lt;&gt;"", COUNTIF(Lookups!J:J, "*"&amp;T149&amp;"*")&gt;0), AND(AB149&lt;&gt;"", COUNTIF(Lookups!J:J, "*"&amp;AB149&amp;"*")&gt;0)), "Yes", "No")</f>
        <v>No</v>
      </c>
      <c r="H149" s="2" t="str">
        <f t="shared" si="9"/>
        <v>855DC Decarb Green Systems|850DC Decarb Infrastructure</v>
      </c>
      <c r="I149" s="2" t="str">
        <f t="shared" si="10"/>
        <v>855DC-1542 Control &amp; Monitoring Systems|850DC-1510 Chargers</v>
      </c>
      <c r="J149" s="2" t="str">
        <f t="shared" si="11"/>
        <v>855DC-1542-CSM Charge Station Management System (CSMS)|850DC-1513-0002 HME Auxilary Chargers</v>
      </c>
      <c r="K149" s="2" t="str">
        <f>_xlfn.XLOOKUP(A149,'EA-Fortescue_SDExport'!A:A,'EA-Fortescue_SDExport'!N:N)</f>
        <v>Proposed</v>
      </c>
      <c r="L149" s="2" t="str">
        <f>_xlfn.LET(_xlpm.result, _xlfn.XLOOKUP($A149,'EA-Fortescue_SDExport'!$A:$A,'EA-Fortescue_SDExport'!AQ:AQ), IF(_xlpm.result=0,"",_xlpm.result))</f>
        <v>This interface supports communication between vCharM and auxiliary chargers to monitor availability, coordinate usage, and optimise charging of auxiliary equipment.</v>
      </c>
      <c r="M149" s="2" t="str">
        <f>_xlfn.LET(_xlpm.result, _xlfn.XLOOKUP($A149,'EA-Fortescue_SDExport'!$A:$A,'EA-Fortescue_SDExport'!AR:AR), IF(_xlpm.result=0,"",_xlpm.result))</f>
        <v>LOW</v>
      </c>
      <c r="N149" s="2" t="str">
        <f>_xlfn.LET(_xlpm.result, _xlfn.XLOOKUP($A149,'EA-Fortescue_SDExport'!$A:$A,'EA-Fortescue_SDExport'!AW:AW), IF(_xlpm.result=0,"",_xlpm.result))</f>
        <v>The criticality level is LOW because failure at this interface does not impact real-time production, safety, or core energy systems. It only improves operational efficiency, and manual charging processes can be used.</v>
      </c>
      <c r="O149" s="2" t="str">
        <f>_xlfn.LET(_xlpm.result, _xlfn.XLOOKUP($A149,'EA-Fortescue_SDExport'!$A:$A,'EA-Fortescue_SDExport'!AV:AV), IF(_xlpm.result=0,"",_xlpm.result))</f>
        <v>Data Flow:_x000D_
855DC-1542-CSM Charge Station Management System (CSMS) -&gt; 850DC-1513-0002 HME Auxiliary Chargers, transmitting charger availability status, utilisation data, scheduling information, and optimisation parameters to coordinate auxiliary equipment charging._x000D_
850DC-1513-0002 HME Auxiliary Chargers -&gt; CSMS, providing charger state, connection status, energy consumption, fault alarms, and operational health data for monitoring and optimisation._x000D_
Control Flow:_x000D_
CSMS -&gt; Auxiliary Chargers, issuing configuration updates, charging enable/disable commands, scheduling controls, and operational setpoints to manage auxiliary charging activities.</v>
      </c>
      <c r="P149" s="2" t="str">
        <f>_xlfn.LET(_xlpm.result, _xlfn.XLOOKUP($A149,'EA-Fortescue_SDExport'!$A:$A,'EA-Fortescue_SDExport'!D:D), IF(_xlpm.result=0,"",_xlpm.result))</f>
        <v>CSMS Review 30/10/2025: Open Charge Point Protocol (OCPP) for all chargers if the charger supports OCPP._x000D_
NH 20/02/2026: Fields updated: Interface Flow.</v>
      </c>
      <c r="Q149" s="2" t="str">
        <f>_xlfn.LET(
    _xlpm.status, _xlfn.XLOOKUP($A149,'EA-ConnectorExport'!$A:$A,'EA-ConnectorExport'!G:G),
    _xlpm.result, _xlfn.XLOOKUP($A149,'EA-ConnectorExport'!$A:$A,'EA-ConnectorExport'!B:B),
    IF(_xlpm.status="allocate", _xlpm.result, "")
)</f>
        <v>855DC-1542-CSM-001 vCharM by Vector</v>
      </c>
      <c r="R149" s="2" t="str">
        <f>IF(
    _xlfn.XLOOKUP($Q149,'EA-Fortescue_SDExport'!A:A,'EA-Fortescue_SDExport'!B:B)="Object",
    _xlfn.XLOOKUP(
        _xlfn.XLOOKUP($A149,'EA-ConnectorExport'!A:A,'EA-ConnectorExport'!D:D),
        'EA-Fortescue_SDExport'!A:A,
        'EA-Fortescue_SDExport'!AA:AA
    ),
    _xlfn.XLOOKUP($Q149,'EA-Fortescue_SDExport'!A:A,'EA-Fortescue_SDExport'!AA:AA)
)</f>
        <v>Subsystem</v>
      </c>
      <c r="S149" s="2" t="str">
        <f>_xlfn.LET(_xlpm.result, _xlfn.XLOOKUP($Q149,'EA-Fortescue_SDExport'!$A:$A,'EA-Fortescue_SDExport'!AB:AB), IF(_xlpm.result=0,"",_xlpm.result))</f>
        <v/>
      </c>
      <c r="T149" s="2" t="str">
        <f>_xlfn.LET(_xlpm.result, _xlfn.XLOOKUP($Q149,'EA-Fortescue_SDExport'!$A:$A,'EA-Fortescue_SDExport'!AC:AC), IF(_xlpm.result=0,"",_xlpm.result))</f>
        <v/>
      </c>
      <c r="U149" s="2" t="str">
        <f>_xlfn.LET(
    _xlpm.isObject, _xlfn.XLOOKUP($Q149,'EA-Fortescue_SDExport'!A:A,'EA-Fortescue_SDExport'!B:B),
    _xlpm.lookupKey, IF(_xlpm.isObject="Object",
        _xlfn.XLOOKUP($A149,'EA-ConnectorExport'!A:A,'EA-ConnectorExport'!D:D),
        $Q149
    ),
    _xlpm.result, _xlfn.XLOOKUP(_xlpm.lookupKey,'EA-Fortescue_SDExport'!A:A,'EA-Fortescue_SDExport'!AD:AD),
    IF(_xlpm.result=0,"",_xlpm.result)
)</f>
        <v>855DC Decarb Green Systems</v>
      </c>
      <c r="V149" s="2" t="str">
        <f>_xlfn.LET(
    _xlpm.isObject, _xlfn.XLOOKUP($Q149,'EA-Fortescue_SDExport'!A:A,'EA-Fortescue_SDExport'!B:B),
    _xlpm.lookupKey, IF(_xlpm.isObject="Object",
        _xlfn.XLOOKUP($A149,'EA-ConnectorExport'!A:A,'EA-ConnectorExport'!D:D),
        $Q149
    ),
    _xlpm.result, _xlfn.XLOOKUP(_xlpm.lookupKey,'EA-Fortescue_SDExport'!A:A,'EA-Fortescue_SDExport'!AE:AE),
    IF(_xlpm.result=0,"",_xlpm.result)
)</f>
        <v>855DC-1542 Control &amp; Monitoring Systems</v>
      </c>
      <c r="W149" s="2" t="str">
        <f>_xlfn.LET(
    _xlpm.isObject, _xlfn.XLOOKUP($Q149,'EA-Fortescue_SDExport'!A:A,'EA-Fortescue_SDExport'!B:B),
    _xlpm.lookupKey, IF(_xlpm.isObject="Object",
        _xlfn.XLOOKUP($A149,'EA-ConnectorExport'!A:A,'EA-ConnectorExport'!D:D),
        $Q149
    ),
    _xlpm.result, _xlfn.XLOOKUP(_xlpm.lookupKey,'EA-Fortescue_SDExport'!A:A,'EA-Fortescue_SDExport'!AF:AF),
    IF(_xlpm.result=0,"",_xlpm.result)
)</f>
        <v>855DC-1542-CSM Charge Station Management System (CSMS)</v>
      </c>
      <c r="X149" s="2" t="str">
        <f>_xlfn.LET(
    _xlpm.isObject, _xlfn.XLOOKUP($Q149,'EA-Fortescue_SDExport'!A:A,'EA-Fortescue_SDExport'!B:B),
    _xlpm.lookupKey, IF(_xlpm.isObject="Object",
        _xlfn.XLOOKUP($A149,'EA-ConnectorExport'!A:A,'EA-ConnectorExport'!D:D),
        $Q149
    ),
    _xlpm.result, _xlfn.XLOOKUP(_xlpm.lookupKey,'EA-Fortescue_SDExport'!A:A,'EA-Fortescue_SDExport'!AG:AG),
    IF(_xlpm.result=0,"",_xlpm.result)
)</f>
        <v>855DC-1542-CSM-001 vCharM by Vector</v>
      </c>
      <c r="Y149" s="2" t="str">
        <f>_xlfn.LET(
    _xlpm.status, _xlfn.XLOOKUP($A149,'EA-ConnectorExport'!$A:$A,'EA-ConnectorExport'!G:G),
    _xlpm.result, _xlfn.XLOOKUP($A149,'EA-ConnectorExport'!$A:$A,'EA-ConnectorExport'!H:H),
    IF(_xlpm.status="allocate", _xlpm.result, "")
)</f>
        <v>850DC-1513-0002 HME Auxilary Chargers</v>
      </c>
      <c r="Z149" s="2" t="str">
        <f>_xlfn.LET(
    _xlpm.isObject, _xlfn.XLOOKUP($Y149,'EA-Fortescue_SDExport'!A:A,'EA-Fortescue_SDExport'!B:B),
    _xlpm.lookupKey, IF(_xlpm.isObject="Object",
        _xlfn.XLOOKUP($A149,'EA-ConnectorExport'!A:A,'EA-ConnectorExport'!J:J),
        $Y149
    ),
    _xlpm.result, _xlfn.XLOOKUP(_xlpm.lookupKey,'EA-Fortescue_SDExport'!A:A,'EA-Fortescue_SDExport'!AA:AA),
    IF(_xlpm.result=0,"",_xlpm.result)
)</f>
        <v>Project</v>
      </c>
      <c r="AA149" s="2" t="str">
        <f>_xlfn.LET(_xlpm.result, _xlfn.XLOOKUP($Y149,'EA-Fortescue_SDExport'!$A:$A,'EA-Fortescue_SDExport'!AB:AB), IF(_xlpm.result=0,"",_xlpm.result))</f>
        <v/>
      </c>
      <c r="AB149" s="2" t="str">
        <f>_xlfn.LET(_xlpm.result, _xlfn.XLOOKUP($Y149,'EA-Fortescue_SDExport'!$A:$A,'EA-Fortescue_SDExport'!AC:AC), IF(_xlpm.result=0,"",_xlpm.result))</f>
        <v>Generic Physical Asset</v>
      </c>
      <c r="AC149" s="2" t="str">
        <f>_xlfn.LET(
    _xlpm.isObject, _xlfn.XLOOKUP($Y149,'EA-Fortescue_SDExport'!A:A,'EA-Fortescue_SDExport'!B:B),
    _xlpm.lookupKey, IF(_xlpm.isObject="Object",
        _xlfn.XLOOKUP($A149,'EA-ConnectorExport'!A:A,'EA-ConnectorExport'!J:J),
        $Y149
    ),
    _xlpm.result, _xlfn.XLOOKUP(_xlpm.lookupKey,'EA-Fortescue_SDExport'!A:A,'EA-Fortescue_SDExport'!AD:AD),
    IF(_xlpm.result=0,"",_xlpm.result)
)</f>
        <v>850DC Decarb Infrastructure</v>
      </c>
      <c r="AD149" s="2" t="str">
        <f>_xlfn.LET(
    _xlpm.isObject, _xlfn.XLOOKUP($Y149,'EA-Fortescue_SDExport'!A:A,'EA-Fortescue_SDExport'!B:B),
    _xlpm.lookupKey, IF(_xlpm.isObject="Object",
        _xlfn.XLOOKUP($A149,'EA-ConnectorExport'!A:A,'EA-ConnectorExport'!J:J),
        $Y149
    ),
    _xlpm.result, _xlfn.XLOOKUP(_xlpm.lookupKey,'EA-Fortescue_SDExport'!A:A,'EA-Fortescue_SDExport'!AE:AE),
    IF(_xlpm.result=0,"",_xlpm.result)
)</f>
        <v>850DC-1510 Chargers</v>
      </c>
      <c r="AE149" s="2" t="str">
        <f>_xlfn.LET(
    _xlpm.isObject, _xlfn.XLOOKUP($Y149,'EA-Fortescue_SDExport'!A:A,'EA-Fortescue_SDExport'!B:B),
    _xlpm.lookupKey, IF(_xlpm.isObject="Object",
        _xlfn.XLOOKUP($A149,'EA-ConnectorExport'!A:A,'EA-ConnectorExport'!J:J),
        $Y149
    ),
    _xlpm.result, _xlfn.XLOOKUP(_xlpm.lookupKey,'EA-Fortescue_SDExport'!A:A,'EA-Fortescue_SDExport'!AF:AF),
    IF(_xlpm.result=0,"",_xlpm.result)
)</f>
        <v>850DC-1513-0002 HME Auxilary Chargers</v>
      </c>
      <c r="AF149" s="2" t="str">
        <f>_xlfn.LET(
    _xlpm.isObject, _xlfn.XLOOKUP($Y149,'EA-Fortescue_SDExport'!A:A,'EA-Fortescue_SDExport'!B:B),
    _xlpm.lookupKey, IF(_xlpm.isObject="Object",
        _xlfn.XLOOKUP($A149,'EA-ConnectorExport'!A:A,'EA-ConnectorExport'!J:J),
        $Y149
    ),
    _xlpm.result, _xlfn.XLOOKUP(_xlpm.lookupKey,'EA-Fortescue_SDExport'!A:A,'EA-Fortescue_SDExport'!AG:AG),
    IF(_xlpm.result=0,"",_xlpm.result)
)</f>
        <v/>
      </c>
    </row>
    <row r="150" spans="1:32" ht="150" x14ac:dyDescent="0.25">
      <c r="A150" s="2" t="str">
        <v>DGS-I_0149</v>
      </c>
      <c r="B150" s="2" t="str">
        <f t="shared" si="8"/>
        <v>855DC-1542-CSM-001 vCharM by Vector|850DC-1514-0003 LME / SME Chargers</v>
      </c>
      <c r="C150" s="2" t="str">
        <f>_xlfn.LET(_xlpm.result, _xlfn.XLOOKUP(A150,'EA-Fortescue_SDExport'!A:A,'EA-Fortescue_SDExport'!AM:AM), IF(_xlpm.result=0,"",_xlpm.result))</f>
        <v/>
      </c>
      <c r="D150" s="2" t="str">
        <f>_xlfn.LET(_xlpm.result, _xlfn.XLOOKUP(A150,'EA-Fortescue_SDExport'!A:A,'EA-Fortescue_SDExport'!AN:AN), IF(_xlpm.result=0,"",_xlpm.result))</f>
        <v/>
      </c>
      <c r="E150" s="2" t="str">
        <f>_xlfn.XLOOKUP(R150&amp;Z150,Lookups!A:A,Lookups!B:B)</f>
        <v>Project - Subsystem Interface</v>
      </c>
      <c r="F150" s="2" t="str">
        <f>_xlfn.LET(_xlpm.result, _xlfn.XLOOKUP(A150,'EA-Fortescue_SDExport'!A:A,'EA-Fortescue_SDExport'!AP:AP), IF(_xlpm.result=0,"",_xlpm.result))</f>
        <v>Technical-Data/Software</v>
      </c>
      <c r="G150" s="2" t="str">
        <f>IF(OR(AND(T150&lt;&gt;"", COUNTIF(Lookups!J:J, "*"&amp;T150&amp;"*")&gt;0), AND(AB150&lt;&gt;"", COUNTIF(Lookups!J:J, "*"&amp;AB150&amp;"*")&gt;0)), "Yes", "No")</f>
        <v>No</v>
      </c>
      <c r="H150" s="2" t="str">
        <f t="shared" si="9"/>
        <v>855DC Decarb Green Systems|850DC Decarb Infrastructure</v>
      </c>
      <c r="I150" s="2" t="str">
        <f t="shared" si="10"/>
        <v>855DC-1542 Control &amp; Monitoring Systems|850DC-1510 Chargers</v>
      </c>
      <c r="J150" s="2" t="str">
        <f t="shared" si="11"/>
        <v>855DC-1542-CSM Charge Station Management System (CSMS)|850DC-1514-0003 LME / SME Chargers</v>
      </c>
      <c r="K150" s="2" t="str">
        <f>_xlfn.XLOOKUP(A150,'EA-Fortescue_SDExport'!A:A,'EA-Fortescue_SDExport'!N:N)</f>
        <v>Proposed</v>
      </c>
      <c r="L150" s="2" t="str">
        <f>_xlfn.LET(_xlpm.result, _xlfn.XLOOKUP($A150,'EA-Fortescue_SDExport'!$A:$A,'EA-Fortescue_SDExport'!AQ:AQ), IF(_xlpm.result=0,"",_xlpm.result))</f>
        <v>This interface links vCharM to the Light/Small Mobile Equipment (LME/SME) chargers so the system can monitor charger status, manage charging sessions, and optimise load distribution.</v>
      </c>
      <c r="M150" s="2" t="str">
        <f>_xlfn.LET(_xlpm.result, _xlfn.XLOOKUP($A150,'EA-Fortescue_SDExport'!$A:$A,'EA-Fortescue_SDExport'!AR:AR), IF(_xlpm.result=0,"",_xlpm.result))</f>
        <v>LOW</v>
      </c>
      <c r="N150" s="2" t="str">
        <f>_xlfn.LET(_xlpm.result, _xlfn.XLOOKUP($A150,'EA-Fortescue_SDExport'!$A:$A,'EA-Fortescue_SDExport'!AW:AW), IF(_xlpm.result=0,"",_xlpm.result))</f>
        <v>The criticality level is LOW because, although the interface enhances operational efficiency, LME/SME charging can usually be managed manually without significant impact on production or safety.</v>
      </c>
      <c r="O150" s="2" t="str">
        <f>_xlfn.LET(_xlpm.result, _xlfn.XLOOKUP($A150,'EA-Fortescue_SDExport'!$A:$A,'EA-Fortescue_SDExport'!AV:AV), IF(_xlpm.result=0,"",_xlpm.result))</f>
        <v>Data Flow:_x000D_
855DC-1542-CSM Charge Station Management System (CSMS) -&gt; 850DC-1514-0003 LME/SME Chargers, transmitting charging session commands, load allocation instructions, authorisation status, and scheduling information._x000D_
850DC-1514-0003 LME/SME Chargers -&gt; CSMS, providing charger availability, connection status, energy consumption data, session progress, and fault/alarm information for monitoring and optimisation._x000D_
Control Flow:_x000D_
CSMS -&gt; LME/SME Chargers, issuing start/stop charging commands, session authorisation, configuration updates, and load management setpoints to coordinate charging operations.</v>
      </c>
      <c r="P150" s="2" t="str">
        <f>_xlfn.LET(_xlpm.result, _xlfn.XLOOKUP($A150,'EA-Fortescue_SDExport'!$A:$A,'EA-Fortescue_SDExport'!D:D), IF(_xlpm.result=0,"",_xlpm.result))</f>
        <v>CSMS Review 30/10/2025: Open Charge Point Protocol (OCPP) for all chargers if the charger supports OCPP._x000D_
NH 20/02/2026: Fields updated: Interface Flow.</v>
      </c>
      <c r="Q150" s="2" t="str">
        <f>_xlfn.LET(
    _xlpm.status, _xlfn.XLOOKUP($A150,'EA-ConnectorExport'!$A:$A,'EA-ConnectorExport'!G:G),
    _xlpm.result, _xlfn.XLOOKUP($A150,'EA-ConnectorExport'!$A:$A,'EA-ConnectorExport'!B:B),
    IF(_xlpm.status="allocate", _xlpm.result, "")
)</f>
        <v>855DC-1542-CSM-001 vCharM by Vector</v>
      </c>
      <c r="R150" s="2" t="str">
        <f>IF(
    _xlfn.XLOOKUP($Q150,'EA-Fortescue_SDExport'!A:A,'EA-Fortescue_SDExport'!B:B)="Object",
    _xlfn.XLOOKUP(
        _xlfn.XLOOKUP($A150,'EA-ConnectorExport'!A:A,'EA-ConnectorExport'!D:D),
        'EA-Fortescue_SDExport'!A:A,
        'EA-Fortescue_SDExport'!AA:AA
    ),
    _xlfn.XLOOKUP($Q150,'EA-Fortescue_SDExport'!A:A,'EA-Fortescue_SDExport'!AA:AA)
)</f>
        <v>Subsystem</v>
      </c>
      <c r="S150" s="2" t="str">
        <f>_xlfn.LET(_xlpm.result, _xlfn.XLOOKUP($Q150,'EA-Fortescue_SDExport'!$A:$A,'EA-Fortescue_SDExport'!AB:AB), IF(_xlpm.result=0,"",_xlpm.result))</f>
        <v/>
      </c>
      <c r="T150" s="2" t="str">
        <f>_xlfn.LET(_xlpm.result, _xlfn.XLOOKUP($Q150,'EA-Fortescue_SDExport'!$A:$A,'EA-Fortescue_SDExport'!AC:AC), IF(_xlpm.result=0,"",_xlpm.result))</f>
        <v/>
      </c>
      <c r="U150" s="2" t="str">
        <f>_xlfn.LET(
    _xlpm.isObject, _xlfn.XLOOKUP($Q150,'EA-Fortescue_SDExport'!A:A,'EA-Fortescue_SDExport'!B:B),
    _xlpm.lookupKey, IF(_xlpm.isObject="Object",
        _xlfn.XLOOKUP($A150,'EA-ConnectorExport'!A:A,'EA-ConnectorExport'!D:D),
        $Q150
    ),
    _xlpm.result, _xlfn.XLOOKUP(_xlpm.lookupKey,'EA-Fortescue_SDExport'!A:A,'EA-Fortescue_SDExport'!AD:AD),
    IF(_xlpm.result=0,"",_xlpm.result)
)</f>
        <v>855DC Decarb Green Systems</v>
      </c>
      <c r="V150" s="2" t="str">
        <f>_xlfn.LET(
    _xlpm.isObject, _xlfn.XLOOKUP($Q150,'EA-Fortescue_SDExport'!A:A,'EA-Fortescue_SDExport'!B:B),
    _xlpm.lookupKey, IF(_xlpm.isObject="Object",
        _xlfn.XLOOKUP($A150,'EA-ConnectorExport'!A:A,'EA-ConnectorExport'!D:D),
        $Q150
    ),
    _xlpm.result, _xlfn.XLOOKUP(_xlpm.lookupKey,'EA-Fortescue_SDExport'!A:A,'EA-Fortescue_SDExport'!AE:AE),
    IF(_xlpm.result=0,"",_xlpm.result)
)</f>
        <v>855DC-1542 Control &amp; Monitoring Systems</v>
      </c>
      <c r="W150" s="2" t="str">
        <f>_xlfn.LET(
    _xlpm.isObject, _xlfn.XLOOKUP($Q150,'EA-Fortescue_SDExport'!A:A,'EA-Fortescue_SDExport'!B:B),
    _xlpm.lookupKey, IF(_xlpm.isObject="Object",
        _xlfn.XLOOKUP($A150,'EA-ConnectorExport'!A:A,'EA-ConnectorExport'!D:D),
        $Q150
    ),
    _xlpm.result, _xlfn.XLOOKUP(_xlpm.lookupKey,'EA-Fortescue_SDExport'!A:A,'EA-Fortescue_SDExport'!AF:AF),
    IF(_xlpm.result=0,"",_xlpm.result)
)</f>
        <v>855DC-1542-CSM Charge Station Management System (CSMS)</v>
      </c>
      <c r="X150" s="2" t="str">
        <f>_xlfn.LET(
    _xlpm.isObject, _xlfn.XLOOKUP($Q150,'EA-Fortescue_SDExport'!A:A,'EA-Fortescue_SDExport'!B:B),
    _xlpm.lookupKey, IF(_xlpm.isObject="Object",
        _xlfn.XLOOKUP($A150,'EA-ConnectorExport'!A:A,'EA-ConnectorExport'!D:D),
        $Q150
    ),
    _xlpm.result, _xlfn.XLOOKUP(_xlpm.lookupKey,'EA-Fortescue_SDExport'!A:A,'EA-Fortescue_SDExport'!AG:AG),
    IF(_xlpm.result=0,"",_xlpm.result)
)</f>
        <v>855DC-1542-CSM-001 vCharM by Vector</v>
      </c>
      <c r="Y150" s="2" t="str">
        <f>_xlfn.LET(
    _xlpm.status, _xlfn.XLOOKUP($A150,'EA-ConnectorExport'!$A:$A,'EA-ConnectorExport'!G:G),
    _xlpm.result, _xlfn.XLOOKUP($A150,'EA-ConnectorExport'!$A:$A,'EA-ConnectorExport'!H:H),
    IF(_xlpm.status="allocate", _xlpm.result, "")
)</f>
        <v>850DC-1514-0003 LME / SME Chargers</v>
      </c>
      <c r="Z150" s="2" t="str">
        <f>_xlfn.LET(
    _xlpm.isObject, _xlfn.XLOOKUP($Y150,'EA-Fortescue_SDExport'!A:A,'EA-Fortescue_SDExport'!B:B),
    _xlpm.lookupKey, IF(_xlpm.isObject="Object",
        _xlfn.XLOOKUP($A150,'EA-ConnectorExport'!A:A,'EA-ConnectorExport'!J:J),
        $Y150
    ),
    _xlpm.result, _xlfn.XLOOKUP(_xlpm.lookupKey,'EA-Fortescue_SDExport'!A:A,'EA-Fortescue_SDExport'!AA:AA),
    IF(_xlpm.result=0,"",_xlpm.result)
)</f>
        <v>Project</v>
      </c>
      <c r="AA150" s="2" t="str">
        <f>_xlfn.LET(_xlpm.result, _xlfn.XLOOKUP($Y150,'EA-Fortescue_SDExport'!$A:$A,'EA-Fortescue_SDExport'!AB:AB), IF(_xlpm.result=0,"",_xlpm.result))</f>
        <v/>
      </c>
      <c r="AB150" s="2" t="str">
        <f>_xlfn.LET(_xlpm.result, _xlfn.XLOOKUP($Y150,'EA-Fortescue_SDExport'!$A:$A,'EA-Fortescue_SDExport'!AC:AC), IF(_xlpm.result=0,"",_xlpm.result))</f>
        <v>Generic Physical Asset</v>
      </c>
      <c r="AC150" s="2" t="str">
        <f>_xlfn.LET(
    _xlpm.isObject, _xlfn.XLOOKUP($Y150,'EA-Fortescue_SDExport'!A:A,'EA-Fortescue_SDExport'!B:B),
    _xlpm.lookupKey, IF(_xlpm.isObject="Object",
        _xlfn.XLOOKUP($A150,'EA-ConnectorExport'!A:A,'EA-ConnectorExport'!J:J),
        $Y150
    ),
    _xlpm.result, _xlfn.XLOOKUP(_xlpm.lookupKey,'EA-Fortescue_SDExport'!A:A,'EA-Fortescue_SDExport'!AD:AD),
    IF(_xlpm.result=0,"",_xlpm.result)
)</f>
        <v>850DC Decarb Infrastructure</v>
      </c>
      <c r="AD150" s="2" t="str">
        <f>_xlfn.LET(
    _xlpm.isObject, _xlfn.XLOOKUP($Y150,'EA-Fortescue_SDExport'!A:A,'EA-Fortescue_SDExport'!B:B),
    _xlpm.lookupKey, IF(_xlpm.isObject="Object",
        _xlfn.XLOOKUP($A150,'EA-ConnectorExport'!A:A,'EA-ConnectorExport'!J:J),
        $Y150
    ),
    _xlpm.result, _xlfn.XLOOKUP(_xlpm.lookupKey,'EA-Fortescue_SDExport'!A:A,'EA-Fortescue_SDExport'!AE:AE),
    IF(_xlpm.result=0,"",_xlpm.result)
)</f>
        <v>850DC-1510 Chargers</v>
      </c>
      <c r="AE150" s="2" t="str">
        <f>_xlfn.LET(
    _xlpm.isObject, _xlfn.XLOOKUP($Y150,'EA-Fortescue_SDExport'!A:A,'EA-Fortescue_SDExport'!B:B),
    _xlpm.lookupKey, IF(_xlpm.isObject="Object",
        _xlfn.XLOOKUP($A150,'EA-ConnectorExport'!A:A,'EA-ConnectorExport'!J:J),
        $Y150
    ),
    _xlpm.result, _xlfn.XLOOKUP(_xlpm.lookupKey,'EA-Fortescue_SDExport'!A:A,'EA-Fortescue_SDExport'!AF:AF),
    IF(_xlpm.result=0,"",_xlpm.result)
)</f>
        <v>850DC-1514-0003 LME / SME Chargers</v>
      </c>
      <c r="AF150" s="2" t="str">
        <f>_xlfn.LET(
    _xlpm.isObject, _xlfn.XLOOKUP($Y150,'EA-Fortescue_SDExport'!A:A,'EA-Fortescue_SDExport'!B:B),
    _xlpm.lookupKey, IF(_xlpm.isObject="Object",
        _xlfn.XLOOKUP($A150,'EA-ConnectorExport'!A:A,'EA-ConnectorExport'!J:J),
        $Y150
    ),
    _xlpm.result, _xlfn.XLOOKUP(_xlpm.lookupKey,'EA-Fortescue_SDExport'!A:A,'EA-Fortescue_SDExport'!AG:AG),
    IF(_xlpm.result=0,"",_xlpm.result)
)</f>
        <v/>
      </c>
    </row>
    <row r="151" spans="1:32" ht="210" x14ac:dyDescent="0.25">
      <c r="A151" s="2" t="str">
        <v>DGS-I_0150</v>
      </c>
      <c r="B151" s="2" t="str">
        <f t="shared" si="8"/>
        <v>855DC-1543-008 Monarch|855DC-1542-CSM-001 vCharM by Vector</v>
      </c>
      <c r="C151" s="2" t="str">
        <f>_xlfn.LET(_xlpm.result, _xlfn.XLOOKUP(A151,'EA-Fortescue_SDExport'!A:A,'EA-Fortescue_SDExport'!AM:AM), IF(_xlpm.result=0,"",_xlpm.result))</f>
        <v>Energy Operations</v>
      </c>
      <c r="D151" s="2" t="str">
        <f>_xlfn.LET(_xlpm.result, _xlfn.XLOOKUP(A151,'EA-Fortescue_SDExport'!A:A,'EA-Fortescue_SDExport'!AN:AN), IF(_xlpm.result=0,"",_xlpm.result))</f>
        <v>Sam Hedgcock</v>
      </c>
      <c r="E151" s="2" t="str">
        <f>_xlfn.XLOOKUP(R151&amp;Z151,Lookups!A:A,Lookups!B:B)</f>
        <v>Project - Subsystem Interface</v>
      </c>
      <c r="F151" s="2" t="str">
        <f>_xlfn.LET(_xlpm.result, _xlfn.XLOOKUP(A151,'EA-Fortescue_SDExport'!A:A,'EA-Fortescue_SDExport'!AP:AP), IF(_xlpm.result=0,"",_xlpm.result))</f>
        <v/>
      </c>
      <c r="G151" s="2" t="str">
        <f>IF(OR(AND(T151&lt;&gt;"", COUNTIF(Lookups!J:J, "*"&amp;T151&amp;"*")&gt;0), AND(AB151&lt;&gt;"", COUNTIF(Lookups!J:J, "*"&amp;AB151&amp;"*")&gt;0)), "Yes", "No")</f>
        <v>No</v>
      </c>
      <c r="H151" s="2" t="str">
        <f t="shared" si="9"/>
        <v>855DC Decarb Green Systems|855DC Decarb Green Systems</v>
      </c>
      <c r="I151" s="2" t="str">
        <f t="shared" si="10"/>
        <v>855DC-1543 Existing Systems - Green Enhancement|855DC-1542 Control &amp; Monitoring Systems</v>
      </c>
      <c r="J151" s="2" t="str">
        <f t="shared" si="11"/>
        <v>855DC-1543-008 Monarch|855DC-1542-CSM Charge Station Management System (CSMS)</v>
      </c>
      <c r="K151" s="2" t="str">
        <f>_xlfn.XLOOKUP(A151,'EA-Fortescue_SDExport'!A:A,'EA-Fortescue_SDExport'!N:N)</f>
        <v>Deleted</v>
      </c>
      <c r="L151" s="2" t="str">
        <f>_xlfn.LET(_xlpm.result, _xlfn.XLOOKUP($A151,'EA-Fortescue_SDExport'!$A:$A,'EA-Fortescue_SDExport'!AQ:AQ), IF(_xlpm.result=0,"",_xlpm.result))</f>
        <v>vCharm Edge / CSMS &lt;-&gt; Monarch AGC - Setpoint &amp; Control Integration (Under Evaluation)_x000D_
The purpose of this interface is to allow Monarch Automatic Generation Control (AGC) to adjust EV charging setpoints dynamically - coordinating charging demand with real-time generation and system stability requirements. This integration between the Charging Station Management System (CSMS, via vCharm Edge) and Monarch AGC is under investigation, and communication may occur directly between AGC and the CSMS via API, or indirectly through the GMS PLC acting as an intermediary control layer._x000D_
Intermediate Elements: Monarch AGC, vCharm Edge (CSMS), possible GMS PLC, charger control interfaces, API or PLC communications, depending on final ICD design.</v>
      </c>
      <c r="M151" s="2" t="str">
        <f>_xlfn.LET(_xlpm.result, _xlfn.XLOOKUP($A151,'EA-Fortescue_SDExport'!$A:$A,'EA-Fortescue_SDExport'!AR:AR), IF(_xlpm.result=0,"",_xlpm.result))</f>
        <v>HIGH</v>
      </c>
      <c r="N151" s="2" t="str">
        <f>_xlfn.LET(_xlpm.result, _xlfn.XLOOKUP($A151,'EA-Fortescue_SDExport'!$A:$A,'EA-Fortescue_SDExport'!AW:AW), IF(_xlpm.result=0,"",_xlpm.result))</f>
        <v>The criticality level is HIGH because coordinated charging load control is essential for balancing demand with available generation, preventing overload, and enabling AGC-driven responsiveness across the power network.</v>
      </c>
      <c r="O151" s="2" t="str">
        <f>_xlfn.LET(_xlpm.result, _xlfn.XLOOKUP($A151,'EA-Fortescue_SDExport'!$A:$A,'EA-Fortescue_SDExport'!AV:AV), IF(_xlpm.result=0,"",_xlpm.result))</f>
        <v>Option 1: Monarch AGC -&gt; API -&gt; CSMS (vCharm Edge) -&gt; Chargers._x000D_
_x000D_
Option 2: Monarch AGC -&gt; GMS PLC -&gt; CSMS (vCharm Edge) -&gt; Chargers.</v>
      </c>
      <c r="P151" s="2" t="str">
        <f>_xlfn.LET(_xlpm.result, _xlfn.XLOOKUP($A151,'EA-Fortescue_SDExport'!$A:$A,'EA-Fortescue_SDExport'!D:D), IF(_xlpm.result=0,"",_xlpm.result))</f>
        <v>CSMS Review 30/10/2025: Integration between vCharm edges and Monarch AGC is still being looked at. ICD? adjustment of setpoints. May go via GMS PLC, or may go directly from AGC to CSMS via API. Potential owner Energy Ops._x000D_
_x000D_
Delete, CSMS integrates to LMS.</v>
      </c>
      <c r="Q151" s="2" t="str">
        <f>_xlfn.LET(
    _xlpm.status, _xlfn.XLOOKUP($A151,'EA-ConnectorExport'!$A:$A,'EA-ConnectorExport'!G:G),
    _xlpm.result, _xlfn.XLOOKUP($A151,'EA-ConnectorExport'!$A:$A,'EA-ConnectorExport'!B:B),
    IF(_xlpm.status="allocate", _xlpm.result, "")
)</f>
        <v>855DC-1543-008 Monarch</v>
      </c>
      <c r="R151" s="2" t="str">
        <f>IF(
    _xlfn.XLOOKUP($Q151,'EA-Fortescue_SDExport'!A:A,'EA-Fortescue_SDExport'!B:B)="Object",
    _xlfn.XLOOKUP(
        _xlfn.XLOOKUP($A151,'EA-ConnectorExport'!A:A,'EA-ConnectorExport'!D:D),
        'EA-Fortescue_SDExport'!A:A,
        'EA-Fortescue_SDExport'!AA:AA
    ),
    _xlfn.XLOOKUP($Q151,'EA-Fortescue_SDExport'!A:A,'EA-Fortescue_SDExport'!AA:AA)
)</f>
        <v>Project</v>
      </c>
      <c r="S151" s="2" t="str">
        <f>_xlfn.LET(_xlpm.result, _xlfn.XLOOKUP($Q151,'EA-Fortescue_SDExport'!$A:$A,'EA-Fortescue_SDExport'!AB:AB), IF(_xlpm.result=0,"",_xlpm.result))</f>
        <v>Energy Operations</v>
      </c>
      <c r="T151" s="2" t="str">
        <f>_xlfn.LET(_xlpm.result, _xlfn.XLOOKUP($Q151,'EA-Fortescue_SDExport'!$A:$A,'EA-Fortescue_SDExport'!AC:AC), IF(_xlpm.result=0,"",_xlpm.result))</f>
        <v/>
      </c>
      <c r="U151" s="2" t="str">
        <f>_xlfn.LET(
    _xlpm.isObject, _xlfn.XLOOKUP($Q151,'EA-Fortescue_SDExport'!A:A,'EA-Fortescue_SDExport'!B:B),
    _xlpm.lookupKey, IF(_xlpm.isObject="Object",
        _xlfn.XLOOKUP($A151,'EA-ConnectorExport'!A:A,'EA-ConnectorExport'!D:D),
        $Q151
    ),
    _xlpm.result, _xlfn.XLOOKUP(_xlpm.lookupKey,'EA-Fortescue_SDExport'!A:A,'EA-Fortescue_SDExport'!AD:AD),
    IF(_xlpm.result=0,"",_xlpm.result)
)</f>
        <v>855DC Decarb Green Systems</v>
      </c>
      <c r="V151" s="2" t="str">
        <f>_xlfn.LET(
    _xlpm.isObject, _xlfn.XLOOKUP($Q151,'EA-Fortescue_SDExport'!A:A,'EA-Fortescue_SDExport'!B:B),
    _xlpm.lookupKey, IF(_xlpm.isObject="Object",
        _xlfn.XLOOKUP($A151,'EA-ConnectorExport'!A:A,'EA-ConnectorExport'!D:D),
        $Q151
    ),
    _xlpm.result, _xlfn.XLOOKUP(_xlpm.lookupKey,'EA-Fortescue_SDExport'!A:A,'EA-Fortescue_SDExport'!AE:AE),
    IF(_xlpm.result=0,"",_xlpm.result)
)</f>
        <v>855DC-1543 Existing Systems - Green Enhancement</v>
      </c>
      <c r="W151" s="2" t="str">
        <f>_xlfn.LET(
    _xlpm.isObject, _xlfn.XLOOKUP($Q151,'EA-Fortescue_SDExport'!A:A,'EA-Fortescue_SDExport'!B:B),
    _xlpm.lookupKey, IF(_xlpm.isObject="Object",
        _xlfn.XLOOKUP($A151,'EA-ConnectorExport'!A:A,'EA-ConnectorExport'!D:D),
        $Q151
    ),
    _xlpm.result, _xlfn.XLOOKUP(_xlpm.lookupKey,'EA-Fortescue_SDExport'!A:A,'EA-Fortescue_SDExport'!AF:AF),
    IF(_xlpm.result=0,"",_xlpm.result)
)</f>
        <v>855DC-1543-008 Monarch</v>
      </c>
      <c r="X151" s="2" t="str">
        <f>_xlfn.LET(
    _xlpm.isObject, _xlfn.XLOOKUP($Q151,'EA-Fortescue_SDExport'!A:A,'EA-Fortescue_SDExport'!B:B),
    _xlpm.lookupKey, IF(_xlpm.isObject="Object",
        _xlfn.XLOOKUP($A151,'EA-ConnectorExport'!A:A,'EA-ConnectorExport'!D:D),
        $Q151
    ),
    _xlpm.result, _xlfn.XLOOKUP(_xlpm.lookupKey,'EA-Fortescue_SDExport'!A:A,'EA-Fortescue_SDExport'!AG:AG),
    IF(_xlpm.result=0,"",_xlpm.result)
)</f>
        <v/>
      </c>
      <c r="Y151" s="2" t="str">
        <f>_xlfn.LET(
    _xlpm.status, _xlfn.XLOOKUP($A151,'EA-ConnectorExport'!$A:$A,'EA-ConnectorExport'!G:G),
    _xlpm.result, _xlfn.XLOOKUP($A151,'EA-ConnectorExport'!$A:$A,'EA-ConnectorExport'!H:H),
    IF(_xlpm.status="allocate", _xlpm.result, "")
)</f>
        <v>855DC-1542-CSM-001 vCharM by Vector</v>
      </c>
      <c r="Z151" s="2" t="str">
        <f>_xlfn.LET(
    _xlpm.isObject, _xlfn.XLOOKUP($Y151,'EA-Fortescue_SDExport'!A:A,'EA-Fortescue_SDExport'!B:B),
    _xlpm.lookupKey, IF(_xlpm.isObject="Object",
        _xlfn.XLOOKUP($A151,'EA-ConnectorExport'!A:A,'EA-ConnectorExport'!J:J),
        $Y151
    ),
    _xlpm.result, _xlfn.XLOOKUP(_xlpm.lookupKey,'EA-Fortescue_SDExport'!A:A,'EA-Fortescue_SDExport'!AA:AA),
    IF(_xlpm.result=0,"",_xlpm.result)
)</f>
        <v>Subsystem</v>
      </c>
      <c r="AA151" s="2" t="str">
        <f>_xlfn.LET(_xlpm.result, _xlfn.XLOOKUP($Y151,'EA-Fortescue_SDExport'!$A:$A,'EA-Fortescue_SDExport'!AB:AB), IF(_xlpm.result=0,"",_xlpm.result))</f>
        <v/>
      </c>
      <c r="AB151" s="2" t="str">
        <f>_xlfn.LET(_xlpm.result, _xlfn.XLOOKUP($Y151,'EA-Fortescue_SDExport'!$A:$A,'EA-Fortescue_SDExport'!AC:AC), IF(_xlpm.result=0,"",_xlpm.result))</f>
        <v/>
      </c>
      <c r="AC151" s="2" t="str">
        <f>_xlfn.LET(
    _xlpm.isObject, _xlfn.XLOOKUP($Y151,'EA-Fortescue_SDExport'!A:A,'EA-Fortescue_SDExport'!B:B),
    _xlpm.lookupKey, IF(_xlpm.isObject="Object",
        _xlfn.XLOOKUP($A151,'EA-ConnectorExport'!A:A,'EA-ConnectorExport'!J:J),
        $Y151
    ),
    _xlpm.result, _xlfn.XLOOKUP(_xlpm.lookupKey,'EA-Fortescue_SDExport'!A:A,'EA-Fortescue_SDExport'!AD:AD),
    IF(_xlpm.result=0,"",_xlpm.result)
)</f>
        <v>855DC Decarb Green Systems</v>
      </c>
      <c r="AD151" s="2" t="str">
        <f>_xlfn.LET(
    _xlpm.isObject, _xlfn.XLOOKUP($Y151,'EA-Fortescue_SDExport'!A:A,'EA-Fortescue_SDExport'!B:B),
    _xlpm.lookupKey, IF(_xlpm.isObject="Object",
        _xlfn.XLOOKUP($A151,'EA-ConnectorExport'!A:A,'EA-ConnectorExport'!J:J),
        $Y151
    ),
    _xlpm.result, _xlfn.XLOOKUP(_xlpm.lookupKey,'EA-Fortescue_SDExport'!A:A,'EA-Fortescue_SDExport'!AE:AE),
    IF(_xlpm.result=0,"",_xlpm.result)
)</f>
        <v>855DC-1542 Control &amp; Monitoring Systems</v>
      </c>
      <c r="AE151" s="2" t="str">
        <f>_xlfn.LET(
    _xlpm.isObject, _xlfn.XLOOKUP($Y151,'EA-Fortescue_SDExport'!A:A,'EA-Fortescue_SDExport'!B:B),
    _xlpm.lookupKey, IF(_xlpm.isObject="Object",
        _xlfn.XLOOKUP($A151,'EA-ConnectorExport'!A:A,'EA-ConnectorExport'!J:J),
        $Y151
    ),
    _xlpm.result, _xlfn.XLOOKUP(_xlpm.lookupKey,'EA-Fortescue_SDExport'!A:A,'EA-Fortescue_SDExport'!AF:AF),
    IF(_xlpm.result=0,"",_xlpm.result)
)</f>
        <v>855DC-1542-CSM Charge Station Management System (CSMS)</v>
      </c>
      <c r="AF151" s="2" t="str">
        <f>_xlfn.LET(
    _xlpm.isObject, _xlfn.XLOOKUP($Y151,'EA-Fortescue_SDExport'!A:A,'EA-Fortescue_SDExport'!B:B),
    _xlpm.lookupKey, IF(_xlpm.isObject="Object",
        _xlfn.XLOOKUP($A151,'EA-ConnectorExport'!A:A,'EA-ConnectorExport'!J:J),
        $Y151
    ),
    _xlpm.result, _xlfn.XLOOKUP(_xlpm.lookupKey,'EA-Fortescue_SDExport'!A:A,'EA-Fortescue_SDExport'!AG:AG),
    IF(_xlpm.result=0,"",_xlpm.result)
)</f>
        <v>855DC-1542-CSM-001 vCharM by Vector</v>
      </c>
    </row>
    <row r="152" spans="1:32" ht="270" x14ac:dyDescent="0.25">
      <c r="A152" s="2" t="str">
        <v>DGS-I_0151</v>
      </c>
      <c r="B152" s="2" t="str">
        <f t="shared" si="8"/>
        <v>005OP-0000-017 Ignition|855DC-1542-LMS Load Management System (LMS)</v>
      </c>
      <c r="C152" s="2" t="str">
        <f>_xlfn.LET(_xlpm.result, _xlfn.XLOOKUP(A152,'EA-Fortescue_SDExport'!A:A,'EA-Fortescue_SDExport'!AM:AM), IF(_xlpm.result=0,"",_xlpm.result))</f>
        <v>Sam Hedgcock</v>
      </c>
      <c r="D152" s="2" t="str">
        <f>_xlfn.LET(_xlpm.result, _xlfn.XLOOKUP(A152,'EA-Fortescue_SDExport'!A:A,'EA-Fortescue_SDExport'!AN:AN), IF(_xlpm.result=0,"",_xlpm.result))</f>
        <v>Glen Carruthers</v>
      </c>
      <c r="E152" s="2" t="str">
        <f>_xlfn.XLOOKUP(R152&amp;Z152,Lookups!A:A,Lookups!B:B)</f>
        <v>Project - Project Interface</v>
      </c>
      <c r="F152" s="2" t="str">
        <f>_xlfn.LET(_xlpm.result, _xlfn.XLOOKUP(A152,'EA-Fortescue_SDExport'!A:A,'EA-Fortescue_SDExport'!AP:AP), IF(_xlpm.result=0,"",_xlpm.result))</f>
        <v>Technical-Data/Software</v>
      </c>
      <c r="G152" s="2" t="str">
        <f>IF(OR(AND(T152&lt;&gt;"", COUNTIF(Lookups!J:J, "*"&amp;T152&amp;"*")&gt;0), AND(AB152&lt;&gt;"", COUNTIF(Lookups!J:J, "*"&amp;AB152&amp;"*")&gt;0)), "Yes", "No")</f>
        <v>No</v>
      </c>
      <c r="H152" s="2" t="str">
        <f t="shared" si="9"/>
        <v>005OP IT/OT Systems|855DC Decarb Green Systems</v>
      </c>
      <c r="I152" s="2" t="str">
        <f t="shared" si="10"/>
        <v>N/A|855DC-1542 Control &amp; Monitoring Systems</v>
      </c>
      <c r="J152" s="2" t="str">
        <f t="shared" si="11"/>
        <v>005OP-0000-017 Ignition|855DC-1542-LMS Load Management System (LMS)</v>
      </c>
      <c r="K152" s="2" t="str">
        <f>_xlfn.XLOOKUP(A152,'EA-Fortescue_SDExport'!A:A,'EA-Fortescue_SDExport'!N:N)</f>
        <v>Proposed</v>
      </c>
      <c r="L152" s="2" t="str">
        <f>_xlfn.LET(_xlpm.result, _xlfn.XLOOKUP($A152,'EA-Fortescue_SDExport'!$A:$A,'EA-Fortescue_SDExport'!AQ:AQ), IF(_xlpm.result=0,"",_xlpm.result))</f>
        <v>The purpose of this interface is to allow the Load Management System (LMS) to integrate with the Mine Electrification SCADA system (Ignition SCADA) to receive real-time electrical status, breaker positions, load measurements, and network health. This enables LMS to make informed decisions on shedding, prioritising, or restoring loads across the electrified mine, thereby coordinating site electrical loads to maintain system stability and ensure power is distributed safely and efficiently.</v>
      </c>
      <c r="M152" s="2" t="str">
        <f>_xlfn.LET(_xlpm.result, _xlfn.XLOOKUP($A152,'EA-Fortescue_SDExport'!$A:$A,'EA-Fortescue_SDExport'!AR:AR), IF(_xlpm.result=0,"",_xlpm.result))</f>
        <v>HIGH</v>
      </c>
      <c r="N152" s="2" t="str">
        <f>_xlfn.LET(_xlpm.result, _xlfn.XLOOKUP($A152,'EA-Fortescue_SDExport'!$A:$A,'EA-Fortescue_SDExport'!AW:AW), IF(_xlpm.result=0,"",_xlpm.result))</f>
        <v>The criticality level is HIGH because reliable integration between LMS and Ignition SCADA is essential for safe mine operations, preventing overloads, and ensuring critical loads remain energised. Failure compromises the real-time visibility required for load shedding, risking widespread electrical instability, equipment damage, or an unplanned site-wide power outage.</v>
      </c>
      <c r="O152" s="2" t="str">
        <f>_xlfn.LET(_xlpm.result, _xlfn.XLOOKUP($A152,'EA-Fortescue_SDExport'!$A:$A,'EA-Fortescue_SDExport'!AV:AV), IF(_xlpm.result=0,"",_xlpm.result))</f>
        <v>Ignition SCADA (real-time electrical data) -&gt; LMS (load optimisation &amp; control logic) -&gt; PLCs / site electrical equipment.</v>
      </c>
      <c r="P152" s="2" t="str">
        <f>_xlfn.LET(_xlpm.result, _xlfn.XLOOKUP($A152,'EA-Fortescue_SDExport'!$A:$A,'EA-Fortescue_SDExport'!D:D), IF(_xlpm.result=0,"",_xlpm.result))</f>
        <v>LMS Review 30/10/2025: OPC/UA. _x000D_
Two way communication._x000D_
Status of all equipment connected to LMS. Exc, Drills, CSMS. _x000D_
Drills and diggers are copy and paste from CSMS, same commands. Permissive, requests_x000D_
NH 25/02/2026: Fields updated:Interface Type</v>
      </c>
      <c r="Q152" s="2" t="str">
        <f>_xlfn.LET(
    _xlpm.status, _xlfn.XLOOKUP($A152,'EA-ConnectorExport'!$A:$A,'EA-ConnectorExport'!G:G),
    _xlpm.result, _xlfn.XLOOKUP($A152,'EA-ConnectorExport'!$A:$A,'EA-ConnectorExport'!B:B),
    IF(_xlpm.status="allocate", _xlpm.result, "")
)</f>
        <v>005OP-0000-017 Ignition</v>
      </c>
      <c r="R152" s="2" t="str">
        <f>IF(
    _xlfn.XLOOKUP($Q152,'EA-Fortescue_SDExport'!A:A,'EA-Fortescue_SDExport'!B:B)="Object",
    _xlfn.XLOOKUP(
        _xlfn.XLOOKUP($A152,'EA-ConnectorExport'!A:A,'EA-ConnectorExport'!D:D),
        'EA-Fortescue_SDExport'!A:A,
        'EA-Fortescue_SDExport'!AA:AA
    ),
    _xlfn.XLOOKUP($Q152,'EA-Fortescue_SDExport'!A:A,'EA-Fortescue_SDExport'!AA:AA)
)</f>
        <v>Project</v>
      </c>
      <c r="S152" s="2" t="str">
        <f>_xlfn.LET(_xlpm.result, _xlfn.XLOOKUP($Q152,'EA-Fortescue_SDExport'!$A:$A,'EA-Fortescue_SDExport'!AB:AB), IF(_xlpm.result=0,"",_xlpm.result))</f>
        <v/>
      </c>
      <c r="T152" s="2" t="str">
        <f>_xlfn.LET(_xlpm.result, _xlfn.XLOOKUP($Q152,'EA-Fortescue_SDExport'!$A:$A,'EA-Fortescue_SDExport'!AC:AC), IF(_xlpm.result=0,"",_xlpm.result))</f>
        <v/>
      </c>
      <c r="U152" s="2" t="str">
        <f>_xlfn.LET(
    _xlpm.isObject, _xlfn.XLOOKUP($Q152,'EA-Fortescue_SDExport'!A:A,'EA-Fortescue_SDExport'!B:B),
    _xlpm.lookupKey, IF(_xlpm.isObject="Object",
        _xlfn.XLOOKUP($A152,'EA-ConnectorExport'!A:A,'EA-ConnectorExport'!D:D),
        $Q152
    ),
    _xlpm.result, _xlfn.XLOOKUP(_xlpm.lookupKey,'EA-Fortescue_SDExport'!A:A,'EA-Fortescue_SDExport'!AD:AD),
    IF(_xlpm.result=0,"",_xlpm.result)
)</f>
        <v>005OP IT/OT Systems</v>
      </c>
      <c r="V152" s="2" t="str">
        <f>_xlfn.LET(
    _xlpm.isObject, _xlfn.XLOOKUP($Q152,'EA-Fortescue_SDExport'!A:A,'EA-Fortescue_SDExport'!B:B),
    _xlpm.lookupKey, IF(_xlpm.isObject="Object",
        _xlfn.XLOOKUP($A152,'EA-ConnectorExport'!A:A,'EA-ConnectorExport'!D:D),
        $Q152
    ),
    _xlpm.result, _xlfn.XLOOKUP(_xlpm.lookupKey,'EA-Fortescue_SDExport'!A:A,'EA-Fortescue_SDExport'!AE:AE),
    IF(_xlpm.result=0,"",_xlpm.result)
)</f>
        <v/>
      </c>
      <c r="W152" s="2" t="str">
        <f>_xlfn.LET(
    _xlpm.isObject, _xlfn.XLOOKUP($Q152,'EA-Fortescue_SDExport'!A:A,'EA-Fortescue_SDExport'!B:B),
    _xlpm.lookupKey, IF(_xlpm.isObject="Object",
        _xlfn.XLOOKUP($A152,'EA-ConnectorExport'!A:A,'EA-ConnectorExport'!D:D),
        $Q152
    ),
    _xlpm.result, _xlfn.XLOOKUP(_xlpm.lookupKey,'EA-Fortescue_SDExport'!A:A,'EA-Fortescue_SDExport'!AF:AF),
    IF(_xlpm.result=0,"",_xlpm.result)
)</f>
        <v>005OP-0000-017 Ignition</v>
      </c>
      <c r="X152" s="2" t="str">
        <f>_xlfn.LET(
    _xlpm.isObject, _xlfn.XLOOKUP($Q152,'EA-Fortescue_SDExport'!A:A,'EA-Fortescue_SDExport'!B:B),
    _xlpm.lookupKey, IF(_xlpm.isObject="Object",
        _xlfn.XLOOKUP($A152,'EA-ConnectorExport'!A:A,'EA-ConnectorExport'!D:D),
        $Q152
    ),
    _xlpm.result, _xlfn.XLOOKUP(_xlpm.lookupKey,'EA-Fortescue_SDExport'!A:A,'EA-Fortescue_SDExport'!AG:AG),
    IF(_xlpm.result=0,"",_xlpm.result)
)</f>
        <v/>
      </c>
      <c r="Y152" s="2" t="str">
        <f>_xlfn.LET(
    _xlpm.status, _xlfn.XLOOKUP($A152,'EA-ConnectorExport'!$A:$A,'EA-ConnectorExport'!G:G),
    _xlpm.result, _xlfn.XLOOKUP($A152,'EA-ConnectorExport'!$A:$A,'EA-ConnectorExport'!H:H),
    IF(_xlpm.status="allocate", _xlpm.result, "")
)</f>
        <v>855DC-1542-LMS Load Management System (LMS)</v>
      </c>
      <c r="Z152" s="2" t="str">
        <f>_xlfn.LET(
    _xlpm.isObject, _xlfn.XLOOKUP($Y152,'EA-Fortescue_SDExport'!A:A,'EA-Fortescue_SDExport'!B:B),
    _xlpm.lookupKey, IF(_xlpm.isObject="Object",
        _xlfn.XLOOKUP($A152,'EA-ConnectorExport'!A:A,'EA-ConnectorExport'!J:J),
        $Y152
    ),
    _xlpm.result, _xlfn.XLOOKUP(_xlpm.lookupKey,'EA-Fortescue_SDExport'!A:A,'EA-Fortescue_SDExport'!AA:AA),
    IF(_xlpm.result=0,"",_xlpm.result)
)</f>
        <v>Project</v>
      </c>
      <c r="AA152" s="2" t="str">
        <f>_xlfn.LET(_xlpm.result, _xlfn.XLOOKUP($Y152,'EA-Fortescue_SDExport'!$A:$A,'EA-Fortescue_SDExport'!AB:AB), IF(_xlpm.result=0,"",_xlpm.result))</f>
        <v>Mine Services</v>
      </c>
      <c r="AB152" s="2" t="str">
        <f>_xlfn.LET(_xlpm.result, _xlfn.XLOOKUP($Y152,'EA-Fortescue_SDExport'!$A:$A,'EA-Fortescue_SDExport'!AC:AC), IF(_xlpm.result=0,"",_xlpm.result))</f>
        <v/>
      </c>
      <c r="AC152" s="2" t="str">
        <f>_xlfn.LET(
    _xlpm.isObject, _xlfn.XLOOKUP($Y152,'EA-Fortescue_SDExport'!A:A,'EA-Fortescue_SDExport'!B:B),
    _xlpm.lookupKey, IF(_xlpm.isObject="Object",
        _xlfn.XLOOKUP($A152,'EA-ConnectorExport'!A:A,'EA-ConnectorExport'!J:J),
        $Y152
    ),
    _xlpm.result, _xlfn.XLOOKUP(_xlpm.lookupKey,'EA-Fortescue_SDExport'!A:A,'EA-Fortescue_SDExport'!AD:AD),
    IF(_xlpm.result=0,"",_xlpm.result)
)</f>
        <v>855DC Decarb Green Systems</v>
      </c>
      <c r="AD152" s="2" t="str">
        <f>_xlfn.LET(
    _xlpm.isObject, _xlfn.XLOOKUP($Y152,'EA-Fortescue_SDExport'!A:A,'EA-Fortescue_SDExport'!B:B),
    _xlpm.lookupKey, IF(_xlpm.isObject="Object",
        _xlfn.XLOOKUP($A152,'EA-ConnectorExport'!A:A,'EA-ConnectorExport'!J:J),
        $Y152
    ),
    _xlpm.result, _xlfn.XLOOKUP(_xlpm.lookupKey,'EA-Fortescue_SDExport'!A:A,'EA-Fortescue_SDExport'!AE:AE),
    IF(_xlpm.result=0,"",_xlpm.result)
)</f>
        <v>855DC-1542 Control &amp; Monitoring Systems</v>
      </c>
      <c r="AE152" s="2" t="str">
        <f>_xlfn.LET(
    _xlpm.isObject, _xlfn.XLOOKUP($Y152,'EA-Fortescue_SDExport'!A:A,'EA-Fortescue_SDExport'!B:B),
    _xlpm.lookupKey, IF(_xlpm.isObject="Object",
        _xlfn.XLOOKUP($A152,'EA-ConnectorExport'!A:A,'EA-ConnectorExport'!J:J),
        $Y152
    ),
    _xlpm.result, _xlfn.XLOOKUP(_xlpm.lookupKey,'EA-Fortescue_SDExport'!A:A,'EA-Fortescue_SDExport'!AF:AF),
    IF(_xlpm.result=0,"",_xlpm.result)
)</f>
        <v>855DC-1542-LMS Load Management System (LMS)</v>
      </c>
      <c r="AF152" s="2" t="str">
        <f>_xlfn.LET(
    _xlpm.isObject, _xlfn.XLOOKUP($Y152,'EA-Fortescue_SDExport'!A:A,'EA-Fortescue_SDExport'!B:B),
    _xlpm.lookupKey, IF(_xlpm.isObject="Object",
        _xlfn.XLOOKUP($A152,'EA-ConnectorExport'!A:A,'EA-ConnectorExport'!J:J),
        $Y152
    ),
    _xlpm.result, _xlfn.XLOOKUP(_xlpm.lookupKey,'EA-Fortescue_SDExport'!A:A,'EA-Fortescue_SDExport'!AG:AG),
    IF(_xlpm.result=0,"",_xlpm.result)
)</f>
        <v/>
      </c>
    </row>
    <row r="153" spans="1:32" ht="195" x14ac:dyDescent="0.25">
      <c r="A153" s="2" t="str">
        <v>DGS-I_0152</v>
      </c>
      <c r="B153" s="2" t="str">
        <f t="shared" si="8"/>
        <v>005OP-0000-017 Ignition|854DC-1521-0001 Substation (33kV)</v>
      </c>
      <c r="C153" s="2" t="str">
        <f>_xlfn.LET(_xlpm.result, _xlfn.XLOOKUP(A153,'EA-Fortescue_SDExport'!A:A,'EA-Fortescue_SDExport'!AM:AM), IF(_xlpm.result=0,"",_xlpm.result))</f>
        <v>Sam Hedgcock</v>
      </c>
      <c r="D153" s="2" t="str">
        <f>_xlfn.LET(_xlpm.result, _xlfn.XLOOKUP(A153,'EA-Fortescue_SDExport'!A:A,'EA-Fortescue_SDExport'!AN:AN), IF(_xlpm.result=0,"",_xlpm.result))</f>
        <v>Glen Carruthers</v>
      </c>
      <c r="E153" s="2" t="str">
        <f>_xlfn.XLOOKUP(R153&amp;Z153,Lookups!A:A,Lookups!B:B)</f>
        <v>Project - Project Interface</v>
      </c>
      <c r="F153" s="2" t="str">
        <f>_xlfn.LET(_xlpm.result, _xlfn.XLOOKUP(A153,'EA-Fortescue_SDExport'!A:A,'EA-Fortescue_SDExport'!AP:AP), IF(_xlpm.result=0,"",_xlpm.result))</f>
        <v>Technical-Data/Software</v>
      </c>
      <c r="G153" s="2" t="str">
        <f>IF(OR(AND(T153&lt;&gt;"", COUNTIF(Lookups!J:J, "*"&amp;T153&amp;"*")&gt;0), AND(AB153&lt;&gt;"", COUNTIF(Lookups!J:J, "*"&amp;AB153&amp;"*")&gt;0)), "Yes", "No")</f>
        <v>No</v>
      </c>
      <c r="H153" s="2" t="str">
        <f t="shared" si="9"/>
        <v>005OP IT/OT Systems|854DC Green Power</v>
      </c>
      <c r="I153" s="2" t="str">
        <f t="shared" si="10"/>
        <v>N/A|854DC-1521 HV Substations</v>
      </c>
      <c r="J153" s="2" t="str">
        <f t="shared" si="11"/>
        <v>005OP-0000-017 Ignition|854DC-1521-0001 Substation (33kV)</v>
      </c>
      <c r="K153" s="2" t="str">
        <f>_xlfn.XLOOKUP(A153,'EA-Fortescue_SDExport'!A:A,'EA-Fortescue_SDExport'!N:N)</f>
        <v>Proposed</v>
      </c>
      <c r="L153" s="2" t="str">
        <f>_xlfn.LET(_xlpm.result, _xlfn.XLOOKUP($A153,'EA-Fortescue_SDExport'!$A:$A,'EA-Fortescue_SDExport'!AQ:AQ), IF(_xlpm.result=0,"",_xlpm.result))</f>
        <v>Ignition SCADA &lt;-&gt; 33 kV Substations - Remote Switching, Status &amp; Sensor Integration_x000D_
The purpose of this interface is to integrate with 33 kV substations and sub-kiosks using Ignition SCADA to provide real-time visibility and control of electrical equipment. This includes monitoring circuit breaker status, remote switching capabilities, temperature sensors, and other protective device readings. Communication is handled primarily through OPC/UA, ensuring secure and reliable data exchange between the field equipment and SCADA._x000D_
Intermediate Elements: OPC/UA comms layer, Ignition SCADA, sub-kiosk protection and control devices, integration points to Energy Operations where required.</v>
      </c>
      <c r="M153" s="2" t="str">
        <f>_xlfn.LET(_xlpm.result, _xlfn.XLOOKUP($A153,'EA-Fortescue_SDExport'!$A:$A,'EA-Fortescue_SDExport'!AR:AR), IF(_xlpm.result=0,"",_xlpm.result))</f>
        <v>MEDIUM</v>
      </c>
      <c r="N153" s="2" t="str">
        <f>_xlfn.LET(_xlpm.result, _xlfn.XLOOKUP($A153,'EA-Fortescue_SDExport'!$A:$A,'EA-Fortescue_SDExport'!AW:AW), IF(_xlpm.result=0,"",_xlpm.result))</f>
        <v>The criticality level is MEDIUM because failure reduces accuracy and reliability in fault isolation and remote switching operations. This may degrade stability across the distribution network, but typically does not cause an immediate shutdown.</v>
      </c>
      <c r="O153" s="2" t="str">
        <f>_xlfn.LET(_xlpm.result, _xlfn.XLOOKUP($A153,'EA-Fortescue_SDExport'!$A:$A,'EA-Fortescue_SDExport'!AV:AV), IF(_xlpm.result=0,"",_xlpm.result))</f>
        <v>Data Flow: 33 kV Substations &amp; Sub-kiosk Devices -&gt; Ignition SCADA (breaker status, protection relay status, voltage/current measurements, temperature readings, alarms, device health) via OPC/UA for real-time monitoring._x000D_
Control Flow: Ignition SCADA -&gt; 33 kV Substations (remote switching commands, open/close breaker commands, reset instructions, control setpoints) for supervised control._x000D_
Upstream Integration (where applicable): Ignition SCADA -&gt; Operations / LiveWire (aggregated status, events, alarms, operational data).</v>
      </c>
      <c r="P153" s="2" t="str">
        <f>_xlfn.LET(_xlpm.result, _xlfn.XLOOKUP($A153,'EA-Fortescue_SDExport'!$A:$A,'EA-Fortescue_SDExport'!D:D), IF(_xlpm.result=0,"",_xlpm.result))</f>
        <v>LMS Review 30/10/2025: Circuit breaker statuses, remote switching controls. Temperature censors._x000D_
OPC/UA._x000D_
In reference to Sub kiosks, not so much 220/33KV subs. That is with Energy Ops._x000D_
NH 20/02/2026: Fields updated: Interface Type, Interface Flow.</v>
      </c>
      <c r="Q153" s="2" t="str">
        <f>_xlfn.LET(
    _xlpm.status, _xlfn.XLOOKUP($A153,'EA-ConnectorExport'!$A:$A,'EA-ConnectorExport'!G:G),
    _xlpm.result, _xlfn.XLOOKUP($A153,'EA-ConnectorExport'!$A:$A,'EA-ConnectorExport'!B:B),
    IF(_xlpm.status="allocate", _xlpm.result, "")
)</f>
        <v>005OP-0000-017 Ignition</v>
      </c>
      <c r="R153" s="2" t="str">
        <f>IF(
    _xlfn.XLOOKUP($Q153,'EA-Fortescue_SDExport'!A:A,'EA-Fortescue_SDExport'!B:B)="Object",
    _xlfn.XLOOKUP(
        _xlfn.XLOOKUP($A153,'EA-ConnectorExport'!A:A,'EA-ConnectorExport'!D:D),
        'EA-Fortescue_SDExport'!A:A,
        'EA-Fortescue_SDExport'!AA:AA
    ),
    _xlfn.XLOOKUP($Q153,'EA-Fortescue_SDExport'!A:A,'EA-Fortescue_SDExport'!AA:AA)
)</f>
        <v>Project</v>
      </c>
      <c r="S153" s="2" t="str">
        <f>_xlfn.LET(_xlpm.result, _xlfn.XLOOKUP($Q153,'EA-Fortescue_SDExport'!$A:$A,'EA-Fortescue_SDExport'!AB:AB), IF(_xlpm.result=0,"",_xlpm.result))</f>
        <v/>
      </c>
      <c r="T153" s="2" t="str">
        <f>_xlfn.LET(_xlpm.result, _xlfn.XLOOKUP($Q153,'EA-Fortescue_SDExport'!$A:$A,'EA-Fortescue_SDExport'!AC:AC), IF(_xlpm.result=0,"",_xlpm.result))</f>
        <v/>
      </c>
      <c r="U153" s="2" t="str">
        <f>_xlfn.LET(
    _xlpm.isObject, _xlfn.XLOOKUP($Q153,'EA-Fortescue_SDExport'!A:A,'EA-Fortescue_SDExport'!B:B),
    _xlpm.lookupKey, IF(_xlpm.isObject="Object",
        _xlfn.XLOOKUP($A153,'EA-ConnectorExport'!A:A,'EA-ConnectorExport'!D:D),
        $Q153
    ),
    _xlpm.result, _xlfn.XLOOKUP(_xlpm.lookupKey,'EA-Fortescue_SDExport'!A:A,'EA-Fortescue_SDExport'!AD:AD),
    IF(_xlpm.result=0,"",_xlpm.result)
)</f>
        <v>005OP IT/OT Systems</v>
      </c>
      <c r="V153" s="2" t="str">
        <f>_xlfn.LET(
    _xlpm.isObject, _xlfn.XLOOKUP($Q153,'EA-Fortescue_SDExport'!A:A,'EA-Fortescue_SDExport'!B:B),
    _xlpm.lookupKey, IF(_xlpm.isObject="Object",
        _xlfn.XLOOKUP($A153,'EA-ConnectorExport'!A:A,'EA-ConnectorExport'!D:D),
        $Q153
    ),
    _xlpm.result, _xlfn.XLOOKUP(_xlpm.lookupKey,'EA-Fortescue_SDExport'!A:A,'EA-Fortescue_SDExport'!AE:AE),
    IF(_xlpm.result=0,"",_xlpm.result)
)</f>
        <v/>
      </c>
      <c r="W153" s="2" t="str">
        <f>_xlfn.LET(
    _xlpm.isObject, _xlfn.XLOOKUP($Q153,'EA-Fortescue_SDExport'!A:A,'EA-Fortescue_SDExport'!B:B),
    _xlpm.lookupKey, IF(_xlpm.isObject="Object",
        _xlfn.XLOOKUP($A153,'EA-ConnectorExport'!A:A,'EA-ConnectorExport'!D:D),
        $Q153
    ),
    _xlpm.result, _xlfn.XLOOKUP(_xlpm.lookupKey,'EA-Fortescue_SDExport'!A:A,'EA-Fortescue_SDExport'!AF:AF),
    IF(_xlpm.result=0,"",_xlpm.result)
)</f>
        <v>005OP-0000-017 Ignition</v>
      </c>
      <c r="X153" s="2" t="str">
        <f>_xlfn.LET(
    _xlpm.isObject, _xlfn.XLOOKUP($Q153,'EA-Fortescue_SDExport'!A:A,'EA-Fortescue_SDExport'!B:B),
    _xlpm.lookupKey, IF(_xlpm.isObject="Object",
        _xlfn.XLOOKUP($A153,'EA-ConnectorExport'!A:A,'EA-ConnectorExport'!D:D),
        $Q153
    ),
    _xlpm.result, _xlfn.XLOOKUP(_xlpm.lookupKey,'EA-Fortescue_SDExport'!A:A,'EA-Fortescue_SDExport'!AG:AG),
    IF(_xlpm.result=0,"",_xlpm.result)
)</f>
        <v/>
      </c>
      <c r="Y153" s="2" t="str">
        <f>_xlfn.LET(
    _xlpm.status, _xlfn.XLOOKUP($A153,'EA-ConnectorExport'!$A:$A,'EA-ConnectorExport'!G:G),
    _xlpm.result, _xlfn.XLOOKUP($A153,'EA-ConnectorExport'!$A:$A,'EA-ConnectorExport'!H:H),
    IF(_xlpm.status="allocate", _xlpm.result, "")
)</f>
        <v>854DC-1521-0001 Substation (33kV)</v>
      </c>
      <c r="Z153" s="2" t="str">
        <f>_xlfn.LET(
    _xlpm.isObject, _xlfn.XLOOKUP($Y153,'EA-Fortescue_SDExport'!A:A,'EA-Fortescue_SDExport'!B:B),
    _xlpm.lookupKey, IF(_xlpm.isObject="Object",
        _xlfn.XLOOKUP($A153,'EA-ConnectorExport'!A:A,'EA-ConnectorExport'!J:J),
        $Y153
    ),
    _xlpm.result, _xlfn.XLOOKUP(_xlpm.lookupKey,'EA-Fortescue_SDExport'!A:A,'EA-Fortescue_SDExport'!AA:AA),
    IF(_xlpm.result=0,"",_xlpm.result)
)</f>
        <v>Project</v>
      </c>
      <c r="AA153" s="2" t="str">
        <f>_xlfn.LET(_xlpm.result, _xlfn.XLOOKUP($Y153,'EA-Fortescue_SDExport'!$A:$A,'EA-Fortescue_SDExport'!AB:AB), IF(_xlpm.result=0,"",_xlpm.result))</f>
        <v/>
      </c>
      <c r="AB153" s="2" t="str">
        <f>_xlfn.LET(_xlpm.result, _xlfn.XLOOKUP($Y153,'EA-Fortescue_SDExport'!$A:$A,'EA-Fortescue_SDExport'!AC:AC), IF(_xlpm.result=0,"",_xlpm.result))</f>
        <v>Generic Physical Asset</v>
      </c>
      <c r="AC153" s="2" t="str">
        <f>_xlfn.LET(
    _xlpm.isObject, _xlfn.XLOOKUP($Y153,'EA-Fortescue_SDExport'!A:A,'EA-Fortescue_SDExport'!B:B),
    _xlpm.lookupKey, IF(_xlpm.isObject="Object",
        _xlfn.XLOOKUP($A153,'EA-ConnectorExport'!A:A,'EA-ConnectorExport'!J:J),
        $Y153
    ),
    _xlpm.result, _xlfn.XLOOKUP(_xlpm.lookupKey,'EA-Fortescue_SDExport'!A:A,'EA-Fortescue_SDExport'!AD:AD),
    IF(_xlpm.result=0,"",_xlpm.result)
)</f>
        <v>854DC Green Power</v>
      </c>
      <c r="AD153" s="2" t="str">
        <f>_xlfn.LET(
    _xlpm.isObject, _xlfn.XLOOKUP($Y153,'EA-Fortescue_SDExport'!A:A,'EA-Fortescue_SDExport'!B:B),
    _xlpm.lookupKey, IF(_xlpm.isObject="Object",
        _xlfn.XLOOKUP($A153,'EA-ConnectorExport'!A:A,'EA-ConnectorExport'!J:J),
        $Y153
    ),
    _xlpm.result, _xlfn.XLOOKUP(_xlpm.lookupKey,'EA-Fortescue_SDExport'!A:A,'EA-Fortescue_SDExport'!AE:AE),
    IF(_xlpm.result=0,"",_xlpm.result)
)</f>
        <v>854DC-1521 HV Substations</v>
      </c>
      <c r="AE153" s="2" t="str">
        <f>_xlfn.LET(
    _xlpm.isObject, _xlfn.XLOOKUP($Y153,'EA-Fortescue_SDExport'!A:A,'EA-Fortescue_SDExport'!B:B),
    _xlpm.lookupKey, IF(_xlpm.isObject="Object",
        _xlfn.XLOOKUP($A153,'EA-ConnectorExport'!A:A,'EA-ConnectorExport'!J:J),
        $Y153
    ),
    _xlpm.result, _xlfn.XLOOKUP(_xlpm.lookupKey,'EA-Fortescue_SDExport'!A:A,'EA-Fortescue_SDExport'!AF:AF),
    IF(_xlpm.result=0,"",_xlpm.result)
)</f>
        <v>854DC-1521-0001 Substation (33kV)</v>
      </c>
      <c r="AF153" s="2" t="str">
        <f>_xlfn.LET(
    _xlpm.isObject, _xlfn.XLOOKUP($Y153,'EA-Fortescue_SDExport'!A:A,'EA-Fortescue_SDExport'!B:B),
    _xlpm.lookupKey, IF(_xlpm.isObject="Object",
        _xlfn.XLOOKUP($A153,'EA-ConnectorExport'!A:A,'EA-ConnectorExport'!J:J),
        $Y153
    ),
    _xlpm.result, _xlfn.XLOOKUP(_xlpm.lookupKey,'EA-Fortescue_SDExport'!A:A,'EA-Fortescue_SDExport'!AG:AG),
    IF(_xlpm.result=0,"",_xlpm.result)
)</f>
        <v/>
      </c>
    </row>
    <row r="154" spans="1:32" ht="315" x14ac:dyDescent="0.25">
      <c r="A154" s="2" t="str">
        <v>DGS-I_0153</v>
      </c>
      <c r="B154" s="2" t="str">
        <f t="shared" si="8"/>
        <v>005OP-0000-017 Ignition|850DC-1522 Field Switches</v>
      </c>
      <c r="C154" s="2" t="str">
        <f>_xlfn.LET(_xlpm.result, _xlfn.XLOOKUP(A154,'EA-Fortescue_SDExport'!A:A,'EA-Fortescue_SDExport'!AM:AM), IF(_xlpm.result=0,"",_xlpm.result))</f>
        <v>Sam Hedgcock</v>
      </c>
      <c r="D154" s="2" t="str">
        <f>_xlfn.LET(_xlpm.result, _xlfn.XLOOKUP(A154,'EA-Fortescue_SDExport'!A:A,'EA-Fortescue_SDExport'!AN:AN), IF(_xlpm.result=0,"",_xlpm.result))</f>
        <v>Glen Carruthers</v>
      </c>
      <c r="E154" s="2" t="str">
        <f>_xlfn.XLOOKUP(R154&amp;Z154,Lookups!A:A,Lookups!B:B)</f>
        <v>System - Project Interface</v>
      </c>
      <c r="F154" s="2" t="str">
        <f>_xlfn.LET(_xlpm.result, _xlfn.XLOOKUP(A154,'EA-Fortescue_SDExport'!A:A,'EA-Fortescue_SDExport'!AP:AP), IF(_xlpm.result=0,"",_xlpm.result))</f>
        <v/>
      </c>
      <c r="G154" s="2" t="str">
        <f>IF(OR(AND(T154&lt;&gt;"", COUNTIF(Lookups!J:J, "*"&amp;T154&amp;"*")&gt;0), AND(AB154&lt;&gt;"", COUNTIF(Lookups!J:J, "*"&amp;AB154&amp;"*")&gt;0)), "Yes", "No")</f>
        <v>No</v>
      </c>
      <c r="H154" s="2" t="str">
        <f t="shared" si="9"/>
        <v>005OP IT/OT Systems|850DC Decarb Infrastructure</v>
      </c>
      <c r="I154" s="2" t="str">
        <f t="shared" si="10"/>
        <v>N/A|850DC-1522 Field Switches</v>
      </c>
      <c r="J154" s="2" t="str">
        <f t="shared" si="11"/>
        <v>005OP-0000-017 Ignition|N/A</v>
      </c>
      <c r="K154" s="2" t="str">
        <f>_xlfn.XLOOKUP(A154,'EA-Fortescue_SDExport'!A:A,'EA-Fortescue_SDExport'!N:N)</f>
        <v>Proposed</v>
      </c>
      <c r="L154" s="2" t="str">
        <f>_xlfn.LET(_xlpm.result, _xlfn.XLOOKUP($A154,'EA-Fortescue_SDExport'!$A:$A,'EA-Fortescue_SDExport'!AQ:AQ), IF(_xlpm.result=0,"",_xlpm.result))</f>
        <v>Ignition SCADA &lt;-&gt; Field Switches - PLC Status, Telemetry &amp; HV Switching Control_x000D_
The purpose of this interface is that Ignition SCADA integrates with field switches via PLCs using OPC/UA to provide real-time operational data and two-way control. The system collects SCADA tag statuses, circuit breaker positions, temperature readings, and other switch telemetry. It also supports remote high-voltage (HV) switching operations, allowing authorised operators to open or close breakers safely from the control environment._x000D_
Intermediate Elements: Field switch PLCs, OPC/UA communications, Ignition SCADA, HV switching control logic and interlocks.</v>
      </c>
      <c r="M154" s="2" t="str">
        <f>_xlfn.LET(_xlpm.result, _xlfn.XLOOKUP($A154,'EA-Fortescue_SDExport'!$A:$A,'EA-Fortescue_SDExport'!AR:AR), IF(_xlpm.result=0,"",_xlpm.result))</f>
        <v>HIGH</v>
      </c>
      <c r="N154" s="2" t="str">
        <f>_xlfn.LET(_xlpm.result, _xlfn.XLOOKUP($A154,'EA-Fortescue_SDExport'!$A:$A,'EA-Fortescue_SDExport'!AW:AW), IF(_xlpm.result=0,"",_xlpm.result))</f>
        <v>The criticality level is HIGH because reliable two-way control and accurate telemetry from field switches are essential for safe HV operations, isolations, and maintaining electrical network stability across the mine. Failure impairs the ability to safely isolate equipment and promptly perform remote switching during a fault, increasing the risk of prolonged outages, equipment damage, or electrical hazards.</v>
      </c>
      <c r="O154" s="2" t="str">
        <f>_xlfn.LET(_xlpm.result, _xlfn.XLOOKUP($A154,'EA-Fortescue_SDExport'!$A:$A,'EA-Fortescue_SDExport'!AV:AV), IF(_xlpm.result=0,"",_xlpm.result))</f>
        <v>Field switch PLCs (breaker status, temperature, telemetry) &lt;-&gt; OPC/UA &lt;-&gt; Ignition SCADA (monitoring &amp; HV control).</v>
      </c>
      <c r="P154" s="2" t="str">
        <f>_xlfn.LET(_xlpm.result, _xlfn.XLOOKUP($A154,'EA-Fortescue_SDExport'!$A:$A,'EA-Fortescue_SDExport'!D:D), IF(_xlpm.result=0,"",_xlpm.result))</f>
        <v>LMS Review 30/10/2025: PLC in a field switch OPC/UA._x000D_
Status for SCADA tags, circuit breaker statuses, temp data. _x000D_
_x000D_
Two way (control as well for HV Switching)._x000D_
_x000D_
SCADA Review 30/10/2025: Similar interface and functionality to GSS.</v>
      </c>
      <c r="Q154" s="2" t="str">
        <f>_xlfn.LET(
    _xlpm.status, _xlfn.XLOOKUP($A154,'EA-ConnectorExport'!$A:$A,'EA-ConnectorExport'!G:G),
    _xlpm.result, _xlfn.XLOOKUP($A154,'EA-ConnectorExport'!$A:$A,'EA-ConnectorExport'!B:B),
    IF(_xlpm.status="allocate", _xlpm.result, "")
)</f>
        <v>005OP-0000-017 Ignition</v>
      </c>
      <c r="R154" s="2" t="str">
        <f>IF(
    _xlfn.XLOOKUP($Q154,'EA-Fortescue_SDExport'!A:A,'EA-Fortescue_SDExport'!B:B)="Object",
    _xlfn.XLOOKUP(
        _xlfn.XLOOKUP($A154,'EA-ConnectorExport'!A:A,'EA-ConnectorExport'!D:D),
        'EA-Fortescue_SDExport'!A:A,
        'EA-Fortescue_SDExport'!AA:AA
    ),
    _xlfn.XLOOKUP($Q154,'EA-Fortescue_SDExport'!A:A,'EA-Fortescue_SDExport'!AA:AA)
)</f>
        <v>Project</v>
      </c>
      <c r="S154" s="2" t="str">
        <f>_xlfn.LET(_xlpm.result, _xlfn.XLOOKUP($Q154,'EA-Fortescue_SDExport'!$A:$A,'EA-Fortescue_SDExport'!AB:AB), IF(_xlpm.result=0,"",_xlpm.result))</f>
        <v/>
      </c>
      <c r="T154" s="2" t="str">
        <f>_xlfn.LET(_xlpm.result, _xlfn.XLOOKUP($Q154,'EA-Fortescue_SDExport'!$A:$A,'EA-Fortescue_SDExport'!AC:AC), IF(_xlpm.result=0,"",_xlpm.result))</f>
        <v/>
      </c>
      <c r="U154" s="2" t="str">
        <f>_xlfn.LET(
    _xlpm.isObject, _xlfn.XLOOKUP($Q154,'EA-Fortescue_SDExport'!A:A,'EA-Fortescue_SDExport'!B:B),
    _xlpm.lookupKey, IF(_xlpm.isObject="Object",
        _xlfn.XLOOKUP($A154,'EA-ConnectorExport'!A:A,'EA-ConnectorExport'!D:D),
        $Q154
    ),
    _xlpm.result, _xlfn.XLOOKUP(_xlpm.lookupKey,'EA-Fortescue_SDExport'!A:A,'EA-Fortescue_SDExport'!AD:AD),
    IF(_xlpm.result=0,"",_xlpm.result)
)</f>
        <v>005OP IT/OT Systems</v>
      </c>
      <c r="V154" s="2" t="str">
        <f>_xlfn.LET(
    _xlpm.isObject, _xlfn.XLOOKUP($Q154,'EA-Fortescue_SDExport'!A:A,'EA-Fortescue_SDExport'!B:B),
    _xlpm.lookupKey, IF(_xlpm.isObject="Object",
        _xlfn.XLOOKUP($A154,'EA-ConnectorExport'!A:A,'EA-ConnectorExport'!D:D),
        $Q154
    ),
    _xlpm.result, _xlfn.XLOOKUP(_xlpm.lookupKey,'EA-Fortescue_SDExport'!A:A,'EA-Fortescue_SDExport'!AE:AE),
    IF(_xlpm.result=0,"",_xlpm.result)
)</f>
        <v/>
      </c>
      <c r="W154" s="2" t="str">
        <f>_xlfn.LET(
    _xlpm.isObject, _xlfn.XLOOKUP($Q154,'EA-Fortescue_SDExport'!A:A,'EA-Fortescue_SDExport'!B:B),
    _xlpm.lookupKey, IF(_xlpm.isObject="Object",
        _xlfn.XLOOKUP($A154,'EA-ConnectorExport'!A:A,'EA-ConnectorExport'!D:D),
        $Q154
    ),
    _xlpm.result, _xlfn.XLOOKUP(_xlpm.lookupKey,'EA-Fortescue_SDExport'!A:A,'EA-Fortescue_SDExport'!AF:AF),
    IF(_xlpm.result=0,"",_xlpm.result)
)</f>
        <v>005OP-0000-017 Ignition</v>
      </c>
      <c r="X154" s="2" t="str">
        <f>_xlfn.LET(
    _xlpm.isObject, _xlfn.XLOOKUP($Q154,'EA-Fortescue_SDExport'!A:A,'EA-Fortescue_SDExport'!B:B),
    _xlpm.lookupKey, IF(_xlpm.isObject="Object",
        _xlfn.XLOOKUP($A154,'EA-ConnectorExport'!A:A,'EA-ConnectorExport'!D:D),
        $Q154
    ),
    _xlpm.result, _xlfn.XLOOKUP(_xlpm.lookupKey,'EA-Fortescue_SDExport'!A:A,'EA-Fortescue_SDExport'!AG:AG),
    IF(_xlpm.result=0,"",_xlpm.result)
)</f>
        <v/>
      </c>
      <c r="Y154" s="2" t="str">
        <f>_xlfn.LET(
    _xlpm.status, _xlfn.XLOOKUP($A154,'EA-ConnectorExport'!$A:$A,'EA-ConnectorExport'!G:G),
    _xlpm.result, _xlfn.XLOOKUP($A154,'EA-ConnectorExport'!$A:$A,'EA-ConnectorExport'!H:H),
    IF(_xlpm.status="allocate", _xlpm.result, "")
)</f>
        <v>850DC-1522 Field Switches</v>
      </c>
      <c r="Z154" s="2" t="str">
        <f>_xlfn.LET(
    _xlpm.isObject, _xlfn.XLOOKUP($Y154,'EA-Fortescue_SDExport'!A:A,'EA-Fortescue_SDExport'!B:B),
    _xlpm.lookupKey, IF(_xlpm.isObject="Object",
        _xlfn.XLOOKUP($A154,'EA-ConnectorExport'!A:A,'EA-ConnectorExport'!J:J),
        $Y154
    ),
    _xlpm.result, _xlfn.XLOOKUP(_xlpm.lookupKey,'EA-Fortescue_SDExport'!A:A,'EA-Fortescue_SDExport'!AA:AA),
    IF(_xlpm.result=0,"",_xlpm.result)
)</f>
        <v>System</v>
      </c>
      <c r="AA154" s="2" t="str">
        <f>_xlfn.LET(_xlpm.result, _xlfn.XLOOKUP($Y154,'EA-Fortescue_SDExport'!$A:$A,'EA-Fortescue_SDExport'!AB:AB), IF(_xlpm.result=0,"",_xlpm.result))</f>
        <v/>
      </c>
      <c r="AB154" s="2" t="str">
        <f>_xlfn.LET(_xlpm.result, _xlfn.XLOOKUP($Y154,'EA-Fortescue_SDExport'!$A:$A,'EA-Fortescue_SDExport'!AC:AC), IF(_xlpm.result=0,"",_xlpm.result))</f>
        <v>Generic Physical Asset</v>
      </c>
      <c r="AC154" s="2" t="str">
        <f>_xlfn.LET(
    _xlpm.isObject, _xlfn.XLOOKUP($Y154,'EA-Fortescue_SDExport'!A:A,'EA-Fortescue_SDExport'!B:B),
    _xlpm.lookupKey, IF(_xlpm.isObject="Object",
        _xlfn.XLOOKUP($A154,'EA-ConnectorExport'!A:A,'EA-ConnectorExport'!J:J),
        $Y154
    ),
    _xlpm.result, _xlfn.XLOOKUP(_xlpm.lookupKey,'EA-Fortescue_SDExport'!A:A,'EA-Fortescue_SDExport'!AD:AD),
    IF(_xlpm.result=0,"",_xlpm.result)
)</f>
        <v>850DC Decarb Infrastructure</v>
      </c>
      <c r="AD154" s="2" t="str">
        <f>_xlfn.LET(
    _xlpm.isObject, _xlfn.XLOOKUP($Y154,'EA-Fortescue_SDExport'!A:A,'EA-Fortescue_SDExport'!B:B),
    _xlpm.lookupKey, IF(_xlpm.isObject="Object",
        _xlfn.XLOOKUP($A154,'EA-ConnectorExport'!A:A,'EA-ConnectorExport'!J:J),
        $Y154
    ),
    _xlpm.result, _xlfn.XLOOKUP(_xlpm.lookupKey,'EA-Fortescue_SDExport'!A:A,'EA-Fortescue_SDExport'!AE:AE),
    IF(_xlpm.result=0,"",_xlpm.result)
)</f>
        <v>850DC-1522 Field Switches</v>
      </c>
      <c r="AE154" s="2" t="str">
        <f>_xlfn.LET(
    _xlpm.isObject, _xlfn.XLOOKUP($Y154,'EA-Fortescue_SDExport'!A:A,'EA-Fortescue_SDExport'!B:B),
    _xlpm.lookupKey, IF(_xlpm.isObject="Object",
        _xlfn.XLOOKUP($A154,'EA-ConnectorExport'!A:A,'EA-ConnectorExport'!J:J),
        $Y154
    ),
    _xlpm.result, _xlfn.XLOOKUP(_xlpm.lookupKey,'EA-Fortescue_SDExport'!A:A,'EA-Fortescue_SDExport'!AF:AF),
    IF(_xlpm.result=0,"",_xlpm.result)
)</f>
        <v/>
      </c>
      <c r="AF154" s="2" t="str">
        <f>_xlfn.LET(
    _xlpm.isObject, _xlfn.XLOOKUP($Y154,'EA-Fortescue_SDExport'!A:A,'EA-Fortescue_SDExport'!B:B),
    _xlpm.lookupKey, IF(_xlpm.isObject="Object",
        _xlfn.XLOOKUP($A154,'EA-ConnectorExport'!A:A,'EA-ConnectorExport'!J:J),
        $Y154
    ),
    _xlpm.result, _xlfn.XLOOKUP(_xlpm.lookupKey,'EA-Fortescue_SDExport'!A:A,'EA-Fortescue_SDExport'!AG:AG),
    IF(_xlpm.result=0,"",_xlpm.result)
)</f>
        <v/>
      </c>
    </row>
    <row r="155" spans="1:32" ht="195" x14ac:dyDescent="0.25">
      <c r="A155" s="2" t="str">
        <v>DGS-I_0154</v>
      </c>
      <c r="B155" s="2" t="str">
        <f t="shared" si="8"/>
        <v>005OP-0000-017-002 Fire SCADA|850DC-1512-0001 HME Chargers - Gen1</v>
      </c>
      <c r="C155" s="2" t="str">
        <f>_xlfn.LET(_xlpm.result, _xlfn.XLOOKUP(A155,'EA-Fortescue_SDExport'!A:A,'EA-Fortescue_SDExport'!AM:AM), IF(_xlpm.result=0,"",_xlpm.result))</f>
        <v/>
      </c>
      <c r="D155" s="2" t="str">
        <f>_xlfn.LET(_xlpm.result, _xlfn.XLOOKUP(A155,'EA-Fortescue_SDExport'!A:A,'EA-Fortescue_SDExport'!AN:AN), IF(_xlpm.result=0,"",_xlpm.result))</f>
        <v/>
      </c>
      <c r="E155" s="2" t="str">
        <f>_xlfn.XLOOKUP(R155&amp;Z155,Lookups!A:A,Lookups!B:B)</f>
        <v>Project - Subsystem Interface</v>
      </c>
      <c r="F155" s="2" t="str">
        <f>_xlfn.LET(_xlpm.result, _xlfn.XLOOKUP(A155,'EA-Fortescue_SDExport'!A:A,'EA-Fortescue_SDExport'!AP:AP), IF(_xlpm.result=0,"",_xlpm.result))</f>
        <v>Technical-Data/Software</v>
      </c>
      <c r="G155" s="2" t="str">
        <f>IF(OR(AND(T155&lt;&gt;"", COUNTIF(Lookups!J:J, "*"&amp;T155&amp;"*")&gt;0), AND(AB155&lt;&gt;"", COUNTIF(Lookups!J:J, "*"&amp;AB155&amp;"*")&gt;0)), "Yes", "No")</f>
        <v>No</v>
      </c>
      <c r="H155" s="2" t="str">
        <f t="shared" si="9"/>
        <v>005OP IT/OT Systems|850DC Decarb Infrastructure</v>
      </c>
      <c r="I155" s="2" t="str">
        <f t="shared" si="10"/>
        <v>N/A|850DC-1510 Chargers</v>
      </c>
      <c r="J155" s="2" t="str">
        <f t="shared" si="11"/>
        <v>005OP-0000-017 Ignition|850DC-1512-0001 HME Chargers - Gen1</v>
      </c>
      <c r="K155" s="2" t="str">
        <f>_xlfn.XLOOKUP(A155,'EA-Fortescue_SDExport'!A:A,'EA-Fortescue_SDExport'!N:N)</f>
        <v>Proposed</v>
      </c>
      <c r="L155" s="2" t="str">
        <f>_xlfn.LET(_xlpm.result, _xlfn.XLOOKUP($A155,'EA-Fortescue_SDExport'!$A:$A,'EA-Fortescue_SDExport'!AQ:AQ), IF(_xlpm.result=0,"",_xlpm.result))</f>
        <v>This interface transmits fire system alarms, zone isolation signals, and equipment status from Fire SCADA to the HME Chargers, ensuring chargers respond correctly to fire conditions.</v>
      </c>
      <c r="M155" s="2" t="str">
        <f>_xlfn.LET(_xlpm.result, _xlfn.XLOOKUP($A155,'EA-Fortescue_SDExport'!$A:$A,'EA-Fortescue_SDExport'!AR:AR), IF(_xlpm.result=0,"",_xlpm.result))</f>
        <v>HIGH</v>
      </c>
      <c r="N155" s="2" t="str">
        <f>_xlfn.LET(_xlpm.result, _xlfn.XLOOKUP($A155,'EA-Fortescue_SDExport'!$A:$A,'EA-Fortescue_SDExport'!AW:AW), IF(_xlpm.result=0,"",_xlpm.result))</f>
        <v>The criticality level is HIGH because failure could prevent chargers from shutting down or isolating circuits during a fire event. Insufficient response to fire alarms poses significant safety risks and compromises emergency response capabilities.</v>
      </c>
      <c r="O155" s="2" t="str">
        <f>_xlfn.LET(_xlpm.result, _xlfn.XLOOKUP($A155,'EA-Fortescue_SDExport'!$A:$A,'EA-Fortescue_SDExport'!AV:AV), IF(_xlpm.result=0,"",_xlpm.result))</f>
        <v>Data Flow: Fire SCADA (Ignition) -&gt; HME Chargers (fire alarms, zone isolation signals, suppression system status, emergency stop signals, equipment status) to trigger charger shutdown, isolation, or safe-state actions during fire events.</v>
      </c>
      <c r="P155" s="2" t="str">
        <f>_xlfn.LET(_xlpm.result, _xlfn.XLOOKUP($A155,'EA-Fortescue_SDExport'!$A:$A,'EA-Fortescue_SDExport'!D:D), IF(_xlpm.result=0,"",_xlpm.result))</f>
        <v>LMS Review 30/10/2025: Trending data from chargers, diagnostics. OPC/UA_x000D_
NH 20/02/2026: Fields updated: Interface Type, Interface Flow.</v>
      </c>
      <c r="Q155" s="2" t="str">
        <f>_xlfn.LET(
    _xlpm.status, _xlfn.XLOOKUP($A155,'EA-ConnectorExport'!$A:$A,'EA-ConnectorExport'!G:G),
    _xlpm.result, _xlfn.XLOOKUP($A155,'EA-ConnectorExport'!$A:$A,'EA-ConnectorExport'!B:B),
    IF(_xlpm.status="allocate", _xlpm.result, "")
)</f>
        <v>005OP-0000-017-002 Fire SCADA</v>
      </c>
      <c r="R155" s="2" t="str">
        <f>IF(
    _xlfn.XLOOKUP($Q155,'EA-Fortescue_SDExport'!A:A,'EA-Fortescue_SDExport'!B:B)="Object",
    _xlfn.XLOOKUP(
        _xlfn.XLOOKUP($A155,'EA-ConnectorExport'!A:A,'EA-ConnectorExport'!D:D),
        'EA-Fortescue_SDExport'!A:A,
        'EA-Fortescue_SDExport'!AA:AA
    ),
    _xlfn.XLOOKUP($Q155,'EA-Fortescue_SDExport'!A:A,'EA-Fortescue_SDExport'!AA:AA)
)</f>
        <v>Subsystem</v>
      </c>
      <c r="S155" s="2" t="str">
        <f>_xlfn.LET(_xlpm.result, _xlfn.XLOOKUP($Q155,'EA-Fortescue_SDExport'!$A:$A,'EA-Fortescue_SDExport'!AB:AB), IF(_xlpm.result=0,"",_xlpm.result))</f>
        <v/>
      </c>
      <c r="T155" s="2" t="str">
        <f>_xlfn.LET(_xlpm.result, _xlfn.XLOOKUP($Q155,'EA-Fortescue_SDExport'!$A:$A,'EA-Fortescue_SDExport'!AC:AC), IF(_xlpm.result=0,"",_xlpm.result))</f>
        <v/>
      </c>
      <c r="U155" s="2" t="str">
        <f>_xlfn.LET(
    _xlpm.isObject, _xlfn.XLOOKUP($Q155,'EA-Fortescue_SDExport'!A:A,'EA-Fortescue_SDExport'!B:B),
    _xlpm.lookupKey, IF(_xlpm.isObject="Object",
        _xlfn.XLOOKUP($A155,'EA-ConnectorExport'!A:A,'EA-ConnectorExport'!D:D),
        $Q155
    ),
    _xlpm.result, _xlfn.XLOOKUP(_xlpm.lookupKey,'EA-Fortescue_SDExport'!A:A,'EA-Fortescue_SDExport'!AD:AD),
    IF(_xlpm.result=0,"",_xlpm.result)
)</f>
        <v>005OP IT/OT Systems</v>
      </c>
      <c r="V155" s="2" t="str">
        <f>_xlfn.LET(
    _xlpm.isObject, _xlfn.XLOOKUP($Q155,'EA-Fortescue_SDExport'!A:A,'EA-Fortescue_SDExport'!B:B),
    _xlpm.lookupKey, IF(_xlpm.isObject="Object",
        _xlfn.XLOOKUP($A155,'EA-ConnectorExport'!A:A,'EA-ConnectorExport'!D:D),
        $Q155
    ),
    _xlpm.result, _xlfn.XLOOKUP(_xlpm.lookupKey,'EA-Fortescue_SDExport'!A:A,'EA-Fortescue_SDExport'!AE:AE),
    IF(_xlpm.result=0,"",_xlpm.result)
)</f>
        <v/>
      </c>
      <c r="W155" s="2" t="str">
        <f>_xlfn.LET(
    _xlpm.isObject, _xlfn.XLOOKUP($Q155,'EA-Fortescue_SDExport'!A:A,'EA-Fortescue_SDExport'!B:B),
    _xlpm.lookupKey, IF(_xlpm.isObject="Object",
        _xlfn.XLOOKUP($A155,'EA-ConnectorExport'!A:A,'EA-ConnectorExport'!D:D),
        $Q155
    ),
    _xlpm.result, _xlfn.XLOOKUP(_xlpm.lookupKey,'EA-Fortescue_SDExport'!A:A,'EA-Fortescue_SDExport'!AF:AF),
    IF(_xlpm.result=0,"",_xlpm.result)
)</f>
        <v>005OP-0000-017 Ignition</v>
      </c>
      <c r="X155" s="2" t="str">
        <f>_xlfn.LET(
    _xlpm.isObject, _xlfn.XLOOKUP($Q155,'EA-Fortescue_SDExport'!A:A,'EA-Fortescue_SDExport'!B:B),
    _xlpm.lookupKey, IF(_xlpm.isObject="Object",
        _xlfn.XLOOKUP($A155,'EA-ConnectorExport'!A:A,'EA-ConnectorExport'!D:D),
        $Q155
    ),
    _xlpm.result, _xlfn.XLOOKUP(_xlpm.lookupKey,'EA-Fortescue_SDExport'!A:A,'EA-Fortescue_SDExport'!AG:AG),
    IF(_xlpm.result=0,"",_xlpm.result)
)</f>
        <v>005OP-0000-017-002 Fire SCADA</v>
      </c>
      <c r="Y155" s="2" t="str">
        <f>_xlfn.LET(
    _xlpm.status, _xlfn.XLOOKUP($A155,'EA-ConnectorExport'!$A:$A,'EA-ConnectorExport'!G:G),
    _xlpm.result, _xlfn.XLOOKUP($A155,'EA-ConnectorExport'!$A:$A,'EA-ConnectorExport'!H:H),
    IF(_xlpm.status="allocate", _xlpm.result, "")
)</f>
        <v>850DC-1512-0001 HME Chargers - Gen1</v>
      </c>
      <c r="Z155" s="2" t="str">
        <f>_xlfn.LET(
    _xlpm.isObject, _xlfn.XLOOKUP($Y155,'EA-Fortescue_SDExport'!A:A,'EA-Fortescue_SDExport'!B:B),
    _xlpm.lookupKey, IF(_xlpm.isObject="Object",
        _xlfn.XLOOKUP($A155,'EA-ConnectorExport'!A:A,'EA-ConnectorExport'!J:J),
        $Y155
    ),
    _xlpm.result, _xlfn.XLOOKUP(_xlpm.lookupKey,'EA-Fortescue_SDExport'!A:A,'EA-Fortescue_SDExport'!AA:AA),
    IF(_xlpm.result=0,"",_xlpm.result)
)</f>
        <v>Project</v>
      </c>
      <c r="AA155" s="2" t="str">
        <f>_xlfn.LET(_xlpm.result, _xlfn.XLOOKUP($Y155,'EA-Fortescue_SDExport'!$A:$A,'EA-Fortescue_SDExport'!AB:AB), IF(_xlpm.result=0,"",_xlpm.result))</f>
        <v/>
      </c>
      <c r="AB155" s="2" t="str">
        <f>_xlfn.LET(_xlpm.result, _xlfn.XLOOKUP($Y155,'EA-Fortescue_SDExport'!$A:$A,'EA-Fortescue_SDExport'!AC:AC), IF(_xlpm.result=0,"",_xlpm.result))</f>
        <v>Generic Physical Asset</v>
      </c>
      <c r="AC155" s="2" t="str">
        <f>_xlfn.LET(
    _xlpm.isObject, _xlfn.XLOOKUP($Y155,'EA-Fortescue_SDExport'!A:A,'EA-Fortescue_SDExport'!B:B),
    _xlpm.lookupKey, IF(_xlpm.isObject="Object",
        _xlfn.XLOOKUP($A155,'EA-ConnectorExport'!A:A,'EA-ConnectorExport'!J:J),
        $Y155
    ),
    _xlpm.result, _xlfn.XLOOKUP(_xlpm.lookupKey,'EA-Fortescue_SDExport'!A:A,'EA-Fortescue_SDExport'!AD:AD),
    IF(_xlpm.result=0,"",_xlpm.result)
)</f>
        <v>850DC Decarb Infrastructure</v>
      </c>
      <c r="AD155" s="2" t="str">
        <f>_xlfn.LET(
    _xlpm.isObject, _xlfn.XLOOKUP($Y155,'EA-Fortescue_SDExport'!A:A,'EA-Fortescue_SDExport'!B:B),
    _xlpm.lookupKey, IF(_xlpm.isObject="Object",
        _xlfn.XLOOKUP($A155,'EA-ConnectorExport'!A:A,'EA-ConnectorExport'!J:J),
        $Y155
    ),
    _xlpm.result, _xlfn.XLOOKUP(_xlpm.lookupKey,'EA-Fortescue_SDExport'!A:A,'EA-Fortescue_SDExport'!AE:AE),
    IF(_xlpm.result=0,"",_xlpm.result)
)</f>
        <v>850DC-1510 Chargers</v>
      </c>
      <c r="AE155" s="2" t="str">
        <f>_xlfn.LET(
    _xlpm.isObject, _xlfn.XLOOKUP($Y155,'EA-Fortescue_SDExport'!A:A,'EA-Fortescue_SDExport'!B:B),
    _xlpm.lookupKey, IF(_xlpm.isObject="Object",
        _xlfn.XLOOKUP($A155,'EA-ConnectorExport'!A:A,'EA-ConnectorExport'!J:J),
        $Y155
    ),
    _xlpm.result, _xlfn.XLOOKUP(_xlpm.lookupKey,'EA-Fortescue_SDExport'!A:A,'EA-Fortescue_SDExport'!AF:AF),
    IF(_xlpm.result=0,"",_xlpm.result)
)</f>
        <v>850DC-1512-0001 HME Chargers - Gen1</v>
      </c>
      <c r="AF155" s="2" t="str">
        <f>_xlfn.LET(
    _xlpm.isObject, _xlfn.XLOOKUP($Y155,'EA-Fortescue_SDExport'!A:A,'EA-Fortescue_SDExport'!B:B),
    _xlpm.lookupKey, IF(_xlpm.isObject="Object",
        _xlfn.XLOOKUP($A155,'EA-ConnectorExport'!A:A,'EA-ConnectorExport'!J:J),
        $Y155
    ),
    _xlpm.result, _xlfn.XLOOKUP(_xlpm.lookupKey,'EA-Fortescue_SDExport'!A:A,'EA-Fortescue_SDExport'!AG:AG),
    IF(_xlpm.result=0,"",_xlpm.result)
)</f>
        <v/>
      </c>
    </row>
    <row r="156" spans="1:32" ht="195" x14ac:dyDescent="0.25">
      <c r="A156" s="2" t="str">
        <v>DGS-I_0155</v>
      </c>
      <c r="B156" s="2" t="str">
        <f t="shared" si="8"/>
        <v>005OP-0000-017 Ignition|855DC-1541-LIV LiveWire</v>
      </c>
      <c r="C156" s="2" t="str">
        <f>_xlfn.LET(_xlpm.result, _xlfn.XLOOKUP(A156,'EA-Fortescue_SDExport'!A:A,'EA-Fortescue_SDExport'!AM:AM), IF(_xlpm.result=0,"",_xlpm.result))</f>
        <v>Abby Buters</v>
      </c>
      <c r="D156" s="2" t="str">
        <f>_xlfn.LET(_xlpm.result, _xlfn.XLOOKUP(A156,'EA-Fortescue_SDExport'!A:A,'EA-Fortescue_SDExport'!AN:AN), IF(_xlpm.result=0,"",_xlpm.result))</f>
        <v>Nick Lane, Sam Hedgcock, Welly Yang</v>
      </c>
      <c r="E156" s="2" t="str">
        <f>_xlfn.XLOOKUP(R156&amp;Z156,Lookups!A:A,Lookups!B:B)</f>
        <v>Project - Project Interface</v>
      </c>
      <c r="F156" s="2" t="str">
        <f>_xlfn.LET(_xlpm.result, _xlfn.XLOOKUP(A156,'EA-Fortescue_SDExport'!A:A,'EA-Fortescue_SDExport'!AP:AP), IF(_xlpm.result=0,"",_xlpm.result))</f>
        <v>Technical-Data/Software</v>
      </c>
      <c r="G156" s="2" t="str">
        <f>IF(OR(AND(T156&lt;&gt;"", COUNTIF(Lookups!J:J, "*"&amp;T156&amp;"*")&gt;0), AND(AB156&lt;&gt;"", COUNTIF(Lookups!J:J, "*"&amp;AB156&amp;"*")&gt;0)), "Yes", "No")</f>
        <v>No</v>
      </c>
      <c r="H156" s="2" t="str">
        <f t="shared" si="9"/>
        <v>005OP IT/OT Systems|855DC Decarb Green Systems</v>
      </c>
      <c r="I156" s="2" t="str">
        <f t="shared" si="10"/>
        <v>N/A|855DC-1541 Planning and Forecast Systems</v>
      </c>
      <c r="J156" s="2" t="str">
        <f t="shared" si="11"/>
        <v>005OP-0000-017 Ignition|855DC-1541-LIV LiveWire</v>
      </c>
      <c r="K156" s="2" t="str">
        <f>_xlfn.XLOOKUP(A156,'EA-Fortescue_SDExport'!A:A,'EA-Fortescue_SDExport'!N:N)</f>
        <v>Proposed</v>
      </c>
      <c r="L156" s="2" t="str">
        <f>_xlfn.LET(_xlpm.result, _xlfn.XLOOKUP($A156,'EA-Fortescue_SDExport'!$A:$A,'EA-Fortescue_SDExport'!AQ:AQ), IF(_xlpm.result=0,"",_xlpm.result))</f>
        <v>LiveWire - Cable Coupler Connection Tracking via Ignition SCADA_x000D_
The purpose of this interface is to display real-time connection information for cable couplers across substations and switches within the LiveWire system. Since the original intent to use sensors to automatically identify a coupler's connected outlet may not be achievable, Ignition SCADA will instead provide an interface for operators to manually update the cable-to-outlet assignments. LiveWire then consumes this SCADA-sourced data to present accurate connection details to operations and planning teams._x000D_
Intermediate Elements: Ignition SCADA, SCADA operator interface for manual updates, and the LiveWire visualisation system.</v>
      </c>
      <c r="M156" s="2" t="str">
        <f>_xlfn.LET(_xlpm.result, _xlfn.XLOOKUP($A156,'EA-Fortescue_SDExport'!$A:$A,'EA-Fortescue_SDExport'!AR:AR), IF(_xlpm.result=0,"",_xlpm.result))</f>
        <v>MEDIUM</v>
      </c>
      <c r="N156" s="2" t="str">
        <f>_xlfn.LET(_xlpm.result, _xlfn.XLOOKUP($A156,'EA-Fortescue_SDExport'!$A:$A,'EA-Fortescue_SDExport'!AW:AW), IF(_xlpm.result=0,"",_xlpm.result))</f>
        <v>The criticality level is MEDIUM because accurate coupler connection information is essential for safe switching operations and network planning. Failure may degrade safety and planning quality, but is not immediately production-critical.</v>
      </c>
      <c r="O156" s="2" t="str">
        <f>_xlfn.LET(_xlpm.result, _xlfn.XLOOKUP($A156,'EA-Fortescue_SDExport'!$A:$A,'EA-Fortescue_SDExport'!AV:AV), IF(_xlpm.result=0,"",_xlpm.result))</f>
        <v>Data Flow:_x000D_
Cable coupler sensors (where available) or manual entry in Ignition SCADA -&gt; SCADA data model -&gt; LiveWire visualisation layer.</v>
      </c>
      <c r="P156" s="2" t="str">
        <f>_xlfn.LET(_xlpm.result, _xlfn.XLOOKUP($A156,'EA-Fortescue_SDExport'!$A:$A,'EA-Fortescue_SDExport'!D:D), IF(_xlpm.result=0,"",_xlpm.result))</f>
        <v>LMS Review 30/10/2025: Potential MQTT Integration (July roll out?)_x000D_
_x000D_
Status of when a cable is live. Logic in PLC for curent breaker status and data._x000D_
_x000D_
Interface Review 02/12/2025: Cable util metrics _x000D_
_x000D_
Ignition back to LiveWire for cable metrics will be done via MQTT/Kafka.</v>
      </c>
      <c r="Q156" s="2" t="str">
        <f>_xlfn.LET(
    _xlpm.status, _xlfn.XLOOKUP($A156,'EA-ConnectorExport'!$A:$A,'EA-ConnectorExport'!G:G),
    _xlpm.result, _xlfn.XLOOKUP($A156,'EA-ConnectorExport'!$A:$A,'EA-ConnectorExport'!B:B),
    IF(_xlpm.status="allocate", _xlpm.result, "")
)</f>
        <v>005OP-0000-017 Ignition</v>
      </c>
      <c r="R156" s="2" t="str">
        <f>IF(
    _xlfn.XLOOKUP($Q156,'EA-Fortescue_SDExport'!A:A,'EA-Fortescue_SDExport'!B:B)="Object",
    _xlfn.XLOOKUP(
        _xlfn.XLOOKUP($A156,'EA-ConnectorExport'!A:A,'EA-ConnectorExport'!D:D),
        'EA-Fortescue_SDExport'!A:A,
        'EA-Fortescue_SDExport'!AA:AA
    ),
    _xlfn.XLOOKUP($Q156,'EA-Fortescue_SDExport'!A:A,'EA-Fortescue_SDExport'!AA:AA)
)</f>
        <v>Project</v>
      </c>
      <c r="S156" s="2" t="str">
        <f>_xlfn.LET(_xlpm.result, _xlfn.XLOOKUP($Q156,'EA-Fortescue_SDExport'!$A:$A,'EA-Fortescue_SDExport'!AB:AB), IF(_xlpm.result=0,"",_xlpm.result))</f>
        <v/>
      </c>
      <c r="T156" s="2" t="str">
        <f>_xlfn.LET(_xlpm.result, _xlfn.XLOOKUP($Q156,'EA-Fortescue_SDExport'!$A:$A,'EA-Fortescue_SDExport'!AC:AC), IF(_xlpm.result=0,"",_xlpm.result))</f>
        <v/>
      </c>
      <c r="U156" s="2" t="str">
        <f>_xlfn.LET(
    _xlpm.isObject, _xlfn.XLOOKUP($Q156,'EA-Fortescue_SDExport'!A:A,'EA-Fortescue_SDExport'!B:B),
    _xlpm.lookupKey, IF(_xlpm.isObject="Object",
        _xlfn.XLOOKUP($A156,'EA-ConnectorExport'!A:A,'EA-ConnectorExport'!D:D),
        $Q156
    ),
    _xlpm.result, _xlfn.XLOOKUP(_xlpm.lookupKey,'EA-Fortescue_SDExport'!A:A,'EA-Fortescue_SDExport'!AD:AD),
    IF(_xlpm.result=0,"",_xlpm.result)
)</f>
        <v>005OP IT/OT Systems</v>
      </c>
      <c r="V156" s="2" t="str">
        <f>_xlfn.LET(
    _xlpm.isObject, _xlfn.XLOOKUP($Q156,'EA-Fortescue_SDExport'!A:A,'EA-Fortescue_SDExport'!B:B),
    _xlpm.lookupKey, IF(_xlpm.isObject="Object",
        _xlfn.XLOOKUP($A156,'EA-ConnectorExport'!A:A,'EA-ConnectorExport'!D:D),
        $Q156
    ),
    _xlpm.result, _xlfn.XLOOKUP(_xlpm.lookupKey,'EA-Fortescue_SDExport'!A:A,'EA-Fortescue_SDExport'!AE:AE),
    IF(_xlpm.result=0,"",_xlpm.result)
)</f>
        <v/>
      </c>
      <c r="W156" s="2" t="str">
        <f>_xlfn.LET(
    _xlpm.isObject, _xlfn.XLOOKUP($Q156,'EA-Fortescue_SDExport'!A:A,'EA-Fortescue_SDExport'!B:B),
    _xlpm.lookupKey, IF(_xlpm.isObject="Object",
        _xlfn.XLOOKUP($A156,'EA-ConnectorExport'!A:A,'EA-ConnectorExport'!D:D),
        $Q156
    ),
    _xlpm.result, _xlfn.XLOOKUP(_xlpm.lookupKey,'EA-Fortescue_SDExport'!A:A,'EA-Fortescue_SDExport'!AF:AF),
    IF(_xlpm.result=0,"",_xlpm.result)
)</f>
        <v>005OP-0000-017 Ignition</v>
      </c>
      <c r="X156" s="2" t="str">
        <f>_xlfn.LET(
    _xlpm.isObject, _xlfn.XLOOKUP($Q156,'EA-Fortescue_SDExport'!A:A,'EA-Fortescue_SDExport'!B:B),
    _xlpm.lookupKey, IF(_xlpm.isObject="Object",
        _xlfn.XLOOKUP($A156,'EA-ConnectorExport'!A:A,'EA-ConnectorExport'!D:D),
        $Q156
    ),
    _xlpm.result, _xlfn.XLOOKUP(_xlpm.lookupKey,'EA-Fortescue_SDExport'!A:A,'EA-Fortescue_SDExport'!AG:AG),
    IF(_xlpm.result=0,"",_xlpm.result)
)</f>
        <v/>
      </c>
      <c r="Y156" s="2" t="str">
        <f>_xlfn.LET(
    _xlpm.status, _xlfn.XLOOKUP($A156,'EA-ConnectorExport'!$A:$A,'EA-ConnectorExport'!G:G),
    _xlpm.result, _xlfn.XLOOKUP($A156,'EA-ConnectorExport'!$A:$A,'EA-ConnectorExport'!H:H),
    IF(_xlpm.status="allocate", _xlpm.result, "")
)</f>
        <v>855DC-1541-LIV LiveWire</v>
      </c>
      <c r="Z156" s="2" t="str">
        <f>_xlfn.LET(
    _xlpm.isObject, _xlfn.XLOOKUP($Y156,'EA-Fortescue_SDExport'!A:A,'EA-Fortescue_SDExport'!B:B),
    _xlpm.lookupKey, IF(_xlpm.isObject="Object",
        _xlfn.XLOOKUP($A156,'EA-ConnectorExport'!A:A,'EA-ConnectorExport'!J:J),
        $Y156
    ),
    _xlpm.result, _xlfn.XLOOKUP(_xlpm.lookupKey,'EA-Fortescue_SDExport'!A:A,'EA-Fortescue_SDExport'!AA:AA),
    IF(_xlpm.result=0,"",_xlpm.result)
)</f>
        <v>Project</v>
      </c>
      <c r="AA156" s="2" t="str">
        <f>_xlfn.LET(_xlpm.result, _xlfn.XLOOKUP($Y156,'EA-Fortescue_SDExport'!$A:$A,'EA-Fortescue_SDExport'!AB:AB), IF(_xlpm.result=0,"",_xlpm.result))</f>
        <v>Operations Planning</v>
      </c>
      <c r="AB156" s="2" t="str">
        <f>_xlfn.LET(_xlpm.result, _xlfn.XLOOKUP($Y156,'EA-Fortescue_SDExport'!$A:$A,'EA-Fortescue_SDExport'!AC:AC), IF(_xlpm.result=0,"",_xlpm.result))</f>
        <v>AWS Fortescue Cloud</v>
      </c>
      <c r="AC156" s="2" t="str">
        <f>_xlfn.LET(
    _xlpm.isObject, _xlfn.XLOOKUP($Y156,'EA-Fortescue_SDExport'!A:A,'EA-Fortescue_SDExport'!B:B),
    _xlpm.lookupKey, IF(_xlpm.isObject="Object",
        _xlfn.XLOOKUP($A156,'EA-ConnectorExport'!A:A,'EA-ConnectorExport'!J:J),
        $Y156
    ),
    _xlpm.result, _xlfn.XLOOKUP(_xlpm.lookupKey,'EA-Fortescue_SDExport'!A:A,'EA-Fortescue_SDExport'!AD:AD),
    IF(_xlpm.result=0,"",_xlpm.result)
)</f>
        <v>855DC Decarb Green Systems</v>
      </c>
      <c r="AD156" s="2" t="str">
        <f>_xlfn.LET(
    _xlpm.isObject, _xlfn.XLOOKUP($Y156,'EA-Fortescue_SDExport'!A:A,'EA-Fortescue_SDExport'!B:B),
    _xlpm.lookupKey, IF(_xlpm.isObject="Object",
        _xlfn.XLOOKUP($A156,'EA-ConnectorExport'!A:A,'EA-ConnectorExport'!J:J),
        $Y156
    ),
    _xlpm.result, _xlfn.XLOOKUP(_xlpm.lookupKey,'EA-Fortescue_SDExport'!A:A,'EA-Fortescue_SDExport'!AE:AE),
    IF(_xlpm.result=0,"",_xlpm.result)
)</f>
        <v>855DC-1541 Planning and Forecast Systems</v>
      </c>
      <c r="AE156" s="2" t="str">
        <f>_xlfn.LET(
    _xlpm.isObject, _xlfn.XLOOKUP($Y156,'EA-Fortescue_SDExport'!A:A,'EA-Fortescue_SDExport'!B:B),
    _xlpm.lookupKey, IF(_xlpm.isObject="Object",
        _xlfn.XLOOKUP($A156,'EA-ConnectorExport'!A:A,'EA-ConnectorExport'!J:J),
        $Y156
    ),
    _xlpm.result, _xlfn.XLOOKUP(_xlpm.lookupKey,'EA-Fortescue_SDExport'!A:A,'EA-Fortescue_SDExport'!AF:AF),
    IF(_xlpm.result=0,"",_xlpm.result)
)</f>
        <v>855DC-1541-LIV LiveWire</v>
      </c>
      <c r="AF156" s="2" t="str">
        <f>_xlfn.LET(
    _xlpm.isObject, _xlfn.XLOOKUP($Y156,'EA-Fortescue_SDExport'!A:A,'EA-Fortescue_SDExport'!B:B),
    _xlpm.lookupKey, IF(_xlpm.isObject="Object",
        _xlfn.XLOOKUP($A156,'EA-ConnectorExport'!A:A,'EA-ConnectorExport'!J:J),
        $Y156
    ),
    _xlpm.result, _xlfn.XLOOKUP(_xlpm.lookupKey,'EA-Fortescue_SDExport'!A:A,'EA-Fortescue_SDExport'!AG:AG),
    IF(_xlpm.result=0,"",_xlpm.result)
)</f>
        <v/>
      </c>
    </row>
    <row r="157" spans="1:32" ht="180" x14ac:dyDescent="0.25">
      <c r="A157" s="2" t="str">
        <v>DGS-I_0156</v>
      </c>
      <c r="B157" s="2" t="str">
        <f t="shared" si="8"/>
        <v>005OP-0000-017-001 Non-Process Infrastructure (NPI) SCADA|850DC-1512-0001 HME Chargers - Gen1</v>
      </c>
      <c r="C157" s="2" t="str">
        <f>_xlfn.LET(_xlpm.result, _xlfn.XLOOKUP(A157,'EA-Fortescue_SDExport'!A:A,'EA-Fortescue_SDExport'!AM:AM), IF(_xlpm.result=0,"",_xlpm.result))</f>
        <v/>
      </c>
      <c r="D157" s="2" t="str">
        <f>_xlfn.LET(_xlpm.result, _xlfn.XLOOKUP(A157,'EA-Fortescue_SDExport'!A:A,'EA-Fortescue_SDExport'!AN:AN), IF(_xlpm.result=0,"",_xlpm.result))</f>
        <v/>
      </c>
      <c r="E157" s="2" t="str">
        <f>_xlfn.XLOOKUP(R157&amp;Z157,Lookups!A:A,Lookups!B:B)</f>
        <v>Project - Subsystem Interface</v>
      </c>
      <c r="F157" s="2" t="str">
        <f>_xlfn.LET(_xlpm.result, _xlfn.XLOOKUP(A157,'EA-Fortescue_SDExport'!A:A,'EA-Fortescue_SDExport'!AP:AP), IF(_xlpm.result=0,"",_xlpm.result))</f>
        <v>Technical-Data/Software</v>
      </c>
      <c r="G157" s="2" t="str">
        <f>IF(OR(AND(T157&lt;&gt;"", COUNTIF(Lookups!J:J, "*"&amp;T157&amp;"*")&gt;0), AND(AB157&lt;&gt;"", COUNTIF(Lookups!J:J, "*"&amp;AB157&amp;"*")&gt;0)), "Yes", "No")</f>
        <v>No</v>
      </c>
      <c r="H157" s="2" t="str">
        <f t="shared" si="9"/>
        <v>005OP IT/OT Systems|850DC Decarb Infrastructure</v>
      </c>
      <c r="I157" s="2" t="str">
        <f t="shared" si="10"/>
        <v>N/A|850DC-1510 Chargers</v>
      </c>
      <c r="J157" s="2" t="str">
        <f t="shared" si="11"/>
        <v>005OP-0000-017 Ignition|850DC-1512-0001 HME Chargers - Gen1</v>
      </c>
      <c r="K157" s="2" t="str">
        <f>_xlfn.XLOOKUP(A157,'EA-Fortescue_SDExport'!A:A,'EA-Fortescue_SDExport'!N:N)</f>
        <v>Proposed</v>
      </c>
      <c r="L157" s="2" t="str">
        <f>_xlfn.LET(_xlpm.result, _xlfn.XLOOKUP($A157,'EA-Fortescue_SDExport'!$A:$A,'EA-Fortescue_SDExport'!AQ:AQ), IF(_xlpm.result=0,"",_xlpm.result))</f>
        <v>This interface provides NPI SCADA visibility and control signals to HME Chargers, including building services, auxiliary power, and environmental conditions.</v>
      </c>
      <c r="M157" s="2" t="str">
        <f>_xlfn.LET(_xlpm.result, _xlfn.XLOOKUP($A157,'EA-Fortescue_SDExport'!$A:$A,'EA-Fortescue_SDExport'!AR:AR), IF(_xlpm.result=0,"",_xlpm.result))</f>
        <v>MEDIUM</v>
      </c>
      <c r="N157" s="2" t="str">
        <f>_xlfn.LET(_xlpm.result, _xlfn.XLOOKUP($A157,'EA-Fortescue_SDExport'!$A:$A,'EA-Fortescue_SDExport'!AW:AW), IF(_xlpm.result=0,"",_xlpm.result))</f>
        <v>The criticality level is MEDIUM because losing this link reduces operational visibility and may affect charger room support systems. Outages may disrupt support services, but typically do not compromise core charger unit function.</v>
      </c>
      <c r="O157" s="2" t="str">
        <f>_xlfn.LET(_xlpm.result, _xlfn.XLOOKUP($A157,'EA-Fortescue_SDExport'!$A:$A,'EA-Fortescue_SDExport'!AV:AV), IF(_xlpm.result=0,"",_xlpm.result))</f>
        <v>Data Flow: HME Chargers / Building Services -&gt; Ignition SCADA (NPI SCADA) (auxiliary power status, environmental conditions, HVAC status, room temperature, alarms, equipment health) for monitoring and situational awareness.</v>
      </c>
      <c r="P157" s="2" t="str">
        <f>_xlfn.LET(_xlpm.result, _xlfn.XLOOKUP($A157,'EA-Fortescue_SDExport'!$A:$A,'EA-Fortescue_SDExport'!D:D), IF(_xlpm.result=0,"",_xlpm.result))</f>
        <v>LMS Review 30/10/2025: Trending data from chargers, diagnostics. OPC/UA_x000D_
NH 20/02/2026: Fields updated: Interface Type, Interface Flow.</v>
      </c>
      <c r="Q157" s="2" t="str">
        <f>_xlfn.LET(
    _xlpm.status, _xlfn.XLOOKUP($A157,'EA-ConnectorExport'!$A:$A,'EA-ConnectorExport'!G:G),
    _xlpm.result, _xlfn.XLOOKUP($A157,'EA-ConnectorExport'!$A:$A,'EA-ConnectorExport'!B:B),
    IF(_xlpm.status="allocate", _xlpm.result, "")
)</f>
        <v>005OP-0000-017-001 Non-Process Infrastructure (NPI) SCADA</v>
      </c>
      <c r="R157" s="2" t="str">
        <f>IF(
    _xlfn.XLOOKUP($Q157,'EA-Fortescue_SDExport'!A:A,'EA-Fortescue_SDExport'!B:B)="Object",
    _xlfn.XLOOKUP(
        _xlfn.XLOOKUP($A157,'EA-ConnectorExport'!A:A,'EA-ConnectorExport'!D:D),
        'EA-Fortescue_SDExport'!A:A,
        'EA-Fortescue_SDExport'!AA:AA
    ),
    _xlfn.XLOOKUP($Q157,'EA-Fortescue_SDExport'!A:A,'EA-Fortescue_SDExport'!AA:AA)
)</f>
        <v>Subsystem</v>
      </c>
      <c r="S157" s="2" t="str">
        <f>_xlfn.LET(_xlpm.result, _xlfn.XLOOKUP($Q157,'EA-Fortescue_SDExport'!$A:$A,'EA-Fortescue_SDExport'!AB:AB), IF(_xlpm.result=0,"",_xlpm.result))</f>
        <v/>
      </c>
      <c r="T157" s="2" t="str">
        <f>_xlfn.LET(_xlpm.result, _xlfn.XLOOKUP($Q157,'EA-Fortescue_SDExport'!$A:$A,'EA-Fortescue_SDExport'!AC:AC), IF(_xlpm.result=0,"",_xlpm.result))</f>
        <v/>
      </c>
      <c r="U157" s="2" t="str">
        <f>_xlfn.LET(
    _xlpm.isObject, _xlfn.XLOOKUP($Q157,'EA-Fortescue_SDExport'!A:A,'EA-Fortescue_SDExport'!B:B),
    _xlpm.lookupKey, IF(_xlpm.isObject="Object",
        _xlfn.XLOOKUP($A157,'EA-ConnectorExport'!A:A,'EA-ConnectorExport'!D:D),
        $Q157
    ),
    _xlpm.result, _xlfn.XLOOKUP(_xlpm.lookupKey,'EA-Fortescue_SDExport'!A:A,'EA-Fortescue_SDExport'!AD:AD),
    IF(_xlpm.result=0,"",_xlpm.result)
)</f>
        <v>005OP IT/OT Systems</v>
      </c>
      <c r="V157" s="2" t="str">
        <f>_xlfn.LET(
    _xlpm.isObject, _xlfn.XLOOKUP($Q157,'EA-Fortescue_SDExport'!A:A,'EA-Fortescue_SDExport'!B:B),
    _xlpm.lookupKey, IF(_xlpm.isObject="Object",
        _xlfn.XLOOKUP($A157,'EA-ConnectorExport'!A:A,'EA-ConnectorExport'!D:D),
        $Q157
    ),
    _xlpm.result, _xlfn.XLOOKUP(_xlpm.lookupKey,'EA-Fortescue_SDExport'!A:A,'EA-Fortescue_SDExport'!AE:AE),
    IF(_xlpm.result=0,"",_xlpm.result)
)</f>
        <v/>
      </c>
      <c r="W157" s="2" t="str">
        <f>_xlfn.LET(
    _xlpm.isObject, _xlfn.XLOOKUP($Q157,'EA-Fortescue_SDExport'!A:A,'EA-Fortescue_SDExport'!B:B),
    _xlpm.lookupKey, IF(_xlpm.isObject="Object",
        _xlfn.XLOOKUP($A157,'EA-ConnectorExport'!A:A,'EA-ConnectorExport'!D:D),
        $Q157
    ),
    _xlpm.result, _xlfn.XLOOKUP(_xlpm.lookupKey,'EA-Fortescue_SDExport'!A:A,'EA-Fortescue_SDExport'!AF:AF),
    IF(_xlpm.result=0,"",_xlpm.result)
)</f>
        <v>005OP-0000-017 Ignition</v>
      </c>
      <c r="X157" s="2" t="str">
        <f>_xlfn.LET(
    _xlpm.isObject, _xlfn.XLOOKUP($Q157,'EA-Fortescue_SDExport'!A:A,'EA-Fortescue_SDExport'!B:B),
    _xlpm.lookupKey, IF(_xlpm.isObject="Object",
        _xlfn.XLOOKUP($A157,'EA-ConnectorExport'!A:A,'EA-ConnectorExport'!D:D),
        $Q157
    ),
    _xlpm.result, _xlfn.XLOOKUP(_xlpm.lookupKey,'EA-Fortescue_SDExport'!A:A,'EA-Fortescue_SDExport'!AG:AG),
    IF(_xlpm.result=0,"",_xlpm.result)
)</f>
        <v>005OP-0000-017-001 Non-Process Infrastructure (NPI) SCADA</v>
      </c>
      <c r="Y157" s="2" t="str">
        <f>_xlfn.LET(
    _xlpm.status, _xlfn.XLOOKUP($A157,'EA-ConnectorExport'!$A:$A,'EA-ConnectorExport'!G:G),
    _xlpm.result, _xlfn.XLOOKUP($A157,'EA-ConnectorExport'!$A:$A,'EA-ConnectorExport'!H:H),
    IF(_xlpm.status="allocate", _xlpm.result, "")
)</f>
        <v>850DC-1512-0001 HME Chargers - Gen1</v>
      </c>
      <c r="Z157" s="2" t="str">
        <f>_xlfn.LET(
    _xlpm.isObject, _xlfn.XLOOKUP($Y157,'EA-Fortescue_SDExport'!A:A,'EA-Fortescue_SDExport'!B:B),
    _xlpm.lookupKey, IF(_xlpm.isObject="Object",
        _xlfn.XLOOKUP($A157,'EA-ConnectorExport'!A:A,'EA-ConnectorExport'!J:J),
        $Y157
    ),
    _xlpm.result, _xlfn.XLOOKUP(_xlpm.lookupKey,'EA-Fortescue_SDExport'!A:A,'EA-Fortescue_SDExport'!AA:AA),
    IF(_xlpm.result=0,"",_xlpm.result)
)</f>
        <v>Project</v>
      </c>
      <c r="AA157" s="2" t="str">
        <f>_xlfn.LET(_xlpm.result, _xlfn.XLOOKUP($Y157,'EA-Fortescue_SDExport'!$A:$A,'EA-Fortescue_SDExport'!AB:AB), IF(_xlpm.result=0,"",_xlpm.result))</f>
        <v/>
      </c>
      <c r="AB157" s="2" t="str">
        <f>_xlfn.LET(_xlpm.result, _xlfn.XLOOKUP($Y157,'EA-Fortescue_SDExport'!$A:$A,'EA-Fortescue_SDExport'!AC:AC), IF(_xlpm.result=0,"",_xlpm.result))</f>
        <v>Generic Physical Asset</v>
      </c>
      <c r="AC157" s="2" t="str">
        <f>_xlfn.LET(
    _xlpm.isObject, _xlfn.XLOOKUP($Y157,'EA-Fortescue_SDExport'!A:A,'EA-Fortescue_SDExport'!B:B),
    _xlpm.lookupKey, IF(_xlpm.isObject="Object",
        _xlfn.XLOOKUP($A157,'EA-ConnectorExport'!A:A,'EA-ConnectorExport'!J:J),
        $Y157
    ),
    _xlpm.result, _xlfn.XLOOKUP(_xlpm.lookupKey,'EA-Fortescue_SDExport'!A:A,'EA-Fortescue_SDExport'!AD:AD),
    IF(_xlpm.result=0,"",_xlpm.result)
)</f>
        <v>850DC Decarb Infrastructure</v>
      </c>
      <c r="AD157" s="2" t="str">
        <f>_xlfn.LET(
    _xlpm.isObject, _xlfn.XLOOKUP($Y157,'EA-Fortescue_SDExport'!A:A,'EA-Fortescue_SDExport'!B:B),
    _xlpm.lookupKey, IF(_xlpm.isObject="Object",
        _xlfn.XLOOKUP($A157,'EA-ConnectorExport'!A:A,'EA-ConnectorExport'!J:J),
        $Y157
    ),
    _xlpm.result, _xlfn.XLOOKUP(_xlpm.lookupKey,'EA-Fortescue_SDExport'!A:A,'EA-Fortescue_SDExport'!AE:AE),
    IF(_xlpm.result=0,"",_xlpm.result)
)</f>
        <v>850DC-1510 Chargers</v>
      </c>
      <c r="AE157" s="2" t="str">
        <f>_xlfn.LET(
    _xlpm.isObject, _xlfn.XLOOKUP($Y157,'EA-Fortescue_SDExport'!A:A,'EA-Fortescue_SDExport'!B:B),
    _xlpm.lookupKey, IF(_xlpm.isObject="Object",
        _xlfn.XLOOKUP($A157,'EA-ConnectorExport'!A:A,'EA-ConnectorExport'!J:J),
        $Y157
    ),
    _xlpm.result, _xlfn.XLOOKUP(_xlpm.lookupKey,'EA-Fortescue_SDExport'!A:A,'EA-Fortescue_SDExport'!AF:AF),
    IF(_xlpm.result=0,"",_xlpm.result)
)</f>
        <v>850DC-1512-0001 HME Chargers - Gen1</v>
      </c>
      <c r="AF157" s="2" t="str">
        <f>_xlfn.LET(
    _xlpm.isObject, _xlfn.XLOOKUP($Y157,'EA-Fortescue_SDExport'!A:A,'EA-Fortescue_SDExport'!B:B),
    _xlpm.lookupKey, IF(_xlpm.isObject="Object",
        _xlfn.XLOOKUP($A157,'EA-ConnectorExport'!A:A,'EA-ConnectorExport'!J:J),
        $Y157
    ),
    _xlpm.result, _xlfn.XLOOKUP(_xlpm.lookupKey,'EA-Fortescue_SDExport'!A:A,'EA-Fortescue_SDExport'!AG:AG),
    IF(_xlpm.result=0,"",_xlpm.result)
)</f>
        <v/>
      </c>
    </row>
    <row r="158" spans="1:32" ht="165" x14ac:dyDescent="0.25">
      <c r="A158" s="2" t="str">
        <v>DGS-I_0157</v>
      </c>
      <c r="B158" s="2" t="str">
        <f t="shared" si="8"/>
        <v>005OP-0000-017 Ignition|850DC-1523 Sub Kiosks</v>
      </c>
      <c r="C158" s="2" t="str">
        <f>_xlfn.LET(_xlpm.result, _xlfn.XLOOKUP(A158,'EA-Fortescue_SDExport'!A:A,'EA-Fortescue_SDExport'!AM:AM), IF(_xlpm.result=0,"",_xlpm.result))</f>
        <v/>
      </c>
      <c r="D158" s="2" t="str">
        <f>_xlfn.LET(_xlpm.result, _xlfn.XLOOKUP(A158,'EA-Fortescue_SDExport'!A:A,'EA-Fortescue_SDExport'!AN:AN), IF(_xlpm.result=0,"",_xlpm.result))</f>
        <v/>
      </c>
      <c r="E158" s="2" t="str">
        <f>_xlfn.XLOOKUP(R158&amp;Z158,Lookups!A:A,Lookups!B:B)</f>
        <v>System - Project Interface</v>
      </c>
      <c r="F158" s="2" t="str">
        <f>_xlfn.LET(_xlpm.result, _xlfn.XLOOKUP(A158,'EA-Fortescue_SDExport'!A:A,'EA-Fortescue_SDExport'!AP:AP), IF(_xlpm.result=0,"",_xlpm.result))</f>
        <v/>
      </c>
      <c r="G158" s="2" t="str">
        <f>IF(OR(AND(T158&lt;&gt;"", COUNTIF(Lookups!J:J, "*"&amp;T158&amp;"*")&gt;0), AND(AB158&lt;&gt;"", COUNTIF(Lookups!J:J, "*"&amp;AB158&amp;"*")&gt;0)), "Yes", "No")</f>
        <v>No</v>
      </c>
      <c r="H158" s="2" t="str">
        <f t="shared" si="9"/>
        <v>005OP IT/OT Systems|850DC Decarb Infrastructure</v>
      </c>
      <c r="I158" s="2" t="str">
        <f t="shared" si="10"/>
        <v>N/A|850DC-1523 Sub Kiosks</v>
      </c>
      <c r="J158" s="2" t="str">
        <f t="shared" si="11"/>
        <v>005OP-0000-017 Ignition|N/A</v>
      </c>
      <c r="K158" s="2" t="str">
        <f>_xlfn.XLOOKUP(A158,'EA-Fortescue_SDExport'!A:A,'EA-Fortescue_SDExport'!N:N)</f>
        <v>Deleted</v>
      </c>
      <c r="L158" s="2" t="str">
        <f>_xlfn.LET(_xlpm.result, _xlfn.XLOOKUP($A158,'EA-Fortescue_SDExport'!$A:$A,'EA-Fortescue_SDExport'!AQ:AQ), IF(_xlpm.result=0,"",_xlpm.result))</f>
        <v>This interface allows Ignition SCADA to monitor and control the substations housed in sub kiosks, providing status, alarms, and switching capability.</v>
      </c>
      <c r="M158" s="2" t="str">
        <f>_xlfn.LET(_xlpm.result, _xlfn.XLOOKUP($A158,'EA-Fortescue_SDExport'!$A:$A,'EA-Fortescue_SDExport'!AR:AR), IF(_xlpm.result=0,"",_xlpm.result))</f>
        <v>HIGH</v>
      </c>
      <c r="N158" s="2" t="str">
        <f>_xlfn.LET(_xlpm.result, _xlfn.XLOOKUP($A158,'EA-Fortescue_SDExport'!$A:$A,'EA-Fortescue_SDExport'!AW:AW), IF(_xlpm.result=0,"",_xlpm.result))</f>
        <v>The criticality level is HIGH because losing this interface removes essential visibility and control of electrical distribution nodes. This could delay fault isolation or cause widespread outages, compromising site power continuity.</v>
      </c>
      <c r="O158" s="2" t="str">
        <f>_xlfn.LET(_xlpm.result, _xlfn.XLOOKUP($A158,'EA-Fortescue_SDExport'!$A:$A,'EA-Fortescue_SDExport'!AV:AV), IF(_xlpm.result=0,"",_xlpm.result))</f>
        <v/>
      </c>
      <c r="P158" s="2" t="str">
        <f>_xlfn.LET(_xlpm.result, _xlfn.XLOOKUP($A158,'EA-Fortescue_SDExport'!$A:$A,'EA-Fortescue_SDExport'!D:D), IF(_xlpm.result=0,"",_xlpm.result))</f>
        <v>SCADA Review 30/10/2025:Green substation (in pit sub). 33/6.6kv. Delete, part of substations. To be confirmed._x000D_
05/12/2025: Deleted due to previous comment.</v>
      </c>
      <c r="Q158" s="2" t="str">
        <f>_xlfn.LET(
    _xlpm.status, _xlfn.XLOOKUP($A158,'EA-ConnectorExport'!$A:$A,'EA-ConnectorExport'!G:G),
    _xlpm.result, _xlfn.XLOOKUP($A158,'EA-ConnectorExport'!$A:$A,'EA-ConnectorExport'!B:B),
    IF(_xlpm.status="allocate", _xlpm.result, "")
)</f>
        <v>005OP-0000-017 Ignition</v>
      </c>
      <c r="R158" s="2" t="str">
        <f>IF(
    _xlfn.XLOOKUP($Q158,'EA-Fortescue_SDExport'!A:A,'EA-Fortescue_SDExport'!B:B)="Object",
    _xlfn.XLOOKUP(
        _xlfn.XLOOKUP($A158,'EA-ConnectorExport'!A:A,'EA-ConnectorExport'!D:D),
        'EA-Fortescue_SDExport'!A:A,
        'EA-Fortescue_SDExport'!AA:AA
    ),
    _xlfn.XLOOKUP($Q158,'EA-Fortescue_SDExport'!A:A,'EA-Fortescue_SDExport'!AA:AA)
)</f>
        <v>Project</v>
      </c>
      <c r="S158" s="2" t="str">
        <f>_xlfn.LET(_xlpm.result, _xlfn.XLOOKUP($Q158,'EA-Fortescue_SDExport'!$A:$A,'EA-Fortescue_SDExport'!AB:AB), IF(_xlpm.result=0,"",_xlpm.result))</f>
        <v/>
      </c>
      <c r="T158" s="2" t="str">
        <f>_xlfn.LET(_xlpm.result, _xlfn.XLOOKUP($Q158,'EA-Fortescue_SDExport'!$A:$A,'EA-Fortescue_SDExport'!AC:AC), IF(_xlpm.result=0,"",_xlpm.result))</f>
        <v/>
      </c>
      <c r="U158" s="2" t="str">
        <f>_xlfn.LET(
    _xlpm.isObject, _xlfn.XLOOKUP($Q158,'EA-Fortescue_SDExport'!A:A,'EA-Fortescue_SDExport'!B:B),
    _xlpm.lookupKey, IF(_xlpm.isObject="Object",
        _xlfn.XLOOKUP($A158,'EA-ConnectorExport'!A:A,'EA-ConnectorExport'!D:D),
        $Q158
    ),
    _xlpm.result, _xlfn.XLOOKUP(_xlpm.lookupKey,'EA-Fortescue_SDExport'!A:A,'EA-Fortescue_SDExport'!AD:AD),
    IF(_xlpm.result=0,"",_xlpm.result)
)</f>
        <v>005OP IT/OT Systems</v>
      </c>
      <c r="V158" s="2" t="str">
        <f>_xlfn.LET(
    _xlpm.isObject, _xlfn.XLOOKUP($Q158,'EA-Fortescue_SDExport'!A:A,'EA-Fortescue_SDExport'!B:B),
    _xlpm.lookupKey, IF(_xlpm.isObject="Object",
        _xlfn.XLOOKUP($A158,'EA-ConnectorExport'!A:A,'EA-ConnectorExport'!D:D),
        $Q158
    ),
    _xlpm.result, _xlfn.XLOOKUP(_xlpm.lookupKey,'EA-Fortescue_SDExport'!A:A,'EA-Fortescue_SDExport'!AE:AE),
    IF(_xlpm.result=0,"",_xlpm.result)
)</f>
        <v/>
      </c>
      <c r="W158" s="2" t="str">
        <f>_xlfn.LET(
    _xlpm.isObject, _xlfn.XLOOKUP($Q158,'EA-Fortescue_SDExport'!A:A,'EA-Fortescue_SDExport'!B:B),
    _xlpm.lookupKey, IF(_xlpm.isObject="Object",
        _xlfn.XLOOKUP($A158,'EA-ConnectorExport'!A:A,'EA-ConnectorExport'!D:D),
        $Q158
    ),
    _xlpm.result, _xlfn.XLOOKUP(_xlpm.lookupKey,'EA-Fortescue_SDExport'!A:A,'EA-Fortescue_SDExport'!AF:AF),
    IF(_xlpm.result=0,"",_xlpm.result)
)</f>
        <v>005OP-0000-017 Ignition</v>
      </c>
      <c r="X158" s="2" t="str">
        <f>_xlfn.LET(
    _xlpm.isObject, _xlfn.XLOOKUP($Q158,'EA-Fortescue_SDExport'!A:A,'EA-Fortescue_SDExport'!B:B),
    _xlpm.lookupKey, IF(_xlpm.isObject="Object",
        _xlfn.XLOOKUP($A158,'EA-ConnectorExport'!A:A,'EA-ConnectorExport'!D:D),
        $Q158
    ),
    _xlpm.result, _xlfn.XLOOKUP(_xlpm.lookupKey,'EA-Fortescue_SDExport'!A:A,'EA-Fortescue_SDExport'!AG:AG),
    IF(_xlpm.result=0,"",_xlpm.result)
)</f>
        <v/>
      </c>
      <c r="Y158" s="2" t="str">
        <f>_xlfn.LET(
    _xlpm.status, _xlfn.XLOOKUP($A158,'EA-ConnectorExport'!$A:$A,'EA-ConnectorExport'!G:G),
    _xlpm.result, _xlfn.XLOOKUP($A158,'EA-ConnectorExport'!$A:$A,'EA-ConnectorExport'!H:H),
    IF(_xlpm.status="allocate", _xlpm.result, "")
)</f>
        <v>850DC-1523 Sub Kiosks</v>
      </c>
      <c r="Z158" s="2" t="str">
        <f>_xlfn.LET(
    _xlpm.isObject, _xlfn.XLOOKUP($Y158,'EA-Fortescue_SDExport'!A:A,'EA-Fortescue_SDExport'!B:B),
    _xlpm.lookupKey, IF(_xlpm.isObject="Object",
        _xlfn.XLOOKUP($A158,'EA-ConnectorExport'!A:A,'EA-ConnectorExport'!J:J),
        $Y158
    ),
    _xlpm.result, _xlfn.XLOOKUP(_xlpm.lookupKey,'EA-Fortescue_SDExport'!A:A,'EA-Fortescue_SDExport'!AA:AA),
    IF(_xlpm.result=0,"",_xlpm.result)
)</f>
        <v>System</v>
      </c>
      <c r="AA158" s="2" t="str">
        <f>_xlfn.LET(_xlpm.result, _xlfn.XLOOKUP($Y158,'EA-Fortescue_SDExport'!$A:$A,'EA-Fortescue_SDExport'!AB:AB), IF(_xlpm.result=0,"",_xlpm.result))</f>
        <v/>
      </c>
      <c r="AB158" s="2" t="str">
        <f>_xlfn.LET(_xlpm.result, _xlfn.XLOOKUP($Y158,'EA-Fortescue_SDExport'!$A:$A,'EA-Fortescue_SDExport'!AC:AC), IF(_xlpm.result=0,"",_xlpm.result))</f>
        <v>Generic Physical Asset</v>
      </c>
      <c r="AC158" s="2" t="str">
        <f>_xlfn.LET(
    _xlpm.isObject, _xlfn.XLOOKUP($Y158,'EA-Fortescue_SDExport'!A:A,'EA-Fortescue_SDExport'!B:B),
    _xlpm.lookupKey, IF(_xlpm.isObject="Object",
        _xlfn.XLOOKUP($A158,'EA-ConnectorExport'!A:A,'EA-ConnectorExport'!J:J),
        $Y158
    ),
    _xlpm.result, _xlfn.XLOOKUP(_xlpm.lookupKey,'EA-Fortescue_SDExport'!A:A,'EA-Fortescue_SDExport'!AD:AD),
    IF(_xlpm.result=0,"",_xlpm.result)
)</f>
        <v>850DC Decarb Infrastructure</v>
      </c>
      <c r="AD158" s="2" t="str">
        <f>_xlfn.LET(
    _xlpm.isObject, _xlfn.XLOOKUP($Y158,'EA-Fortescue_SDExport'!A:A,'EA-Fortescue_SDExport'!B:B),
    _xlpm.lookupKey, IF(_xlpm.isObject="Object",
        _xlfn.XLOOKUP($A158,'EA-ConnectorExport'!A:A,'EA-ConnectorExport'!J:J),
        $Y158
    ),
    _xlpm.result, _xlfn.XLOOKUP(_xlpm.lookupKey,'EA-Fortescue_SDExport'!A:A,'EA-Fortescue_SDExport'!AE:AE),
    IF(_xlpm.result=0,"",_xlpm.result)
)</f>
        <v>850DC-1523 Sub Kiosks</v>
      </c>
      <c r="AE158" s="2" t="str">
        <f>_xlfn.LET(
    _xlpm.isObject, _xlfn.XLOOKUP($Y158,'EA-Fortescue_SDExport'!A:A,'EA-Fortescue_SDExport'!B:B),
    _xlpm.lookupKey, IF(_xlpm.isObject="Object",
        _xlfn.XLOOKUP($A158,'EA-ConnectorExport'!A:A,'EA-ConnectorExport'!J:J),
        $Y158
    ),
    _xlpm.result, _xlfn.XLOOKUP(_xlpm.lookupKey,'EA-Fortescue_SDExport'!A:A,'EA-Fortescue_SDExport'!AF:AF),
    IF(_xlpm.result=0,"",_xlpm.result)
)</f>
        <v/>
      </c>
      <c r="AF158" s="2" t="str">
        <f>_xlfn.LET(
    _xlpm.isObject, _xlfn.XLOOKUP($Y158,'EA-Fortescue_SDExport'!A:A,'EA-Fortescue_SDExport'!B:B),
    _xlpm.lookupKey, IF(_xlpm.isObject="Object",
        _xlfn.XLOOKUP($A158,'EA-ConnectorExport'!A:A,'EA-ConnectorExport'!J:J),
        $Y158
    ),
    _xlpm.result, _xlfn.XLOOKUP(_xlpm.lookupKey,'EA-Fortescue_SDExport'!A:A,'EA-Fortescue_SDExport'!AG:AG),
    IF(_xlpm.result=0,"",_xlpm.result)
)</f>
        <v/>
      </c>
    </row>
    <row r="159" spans="1:32" ht="255" x14ac:dyDescent="0.25">
      <c r="A159" s="2" t="str">
        <v>DGS-I_0158</v>
      </c>
      <c r="B159" s="2" t="str">
        <f t="shared" si="8"/>
        <v>855DC-1542-008 Mine Electrification SCADA|HIVE</v>
      </c>
      <c r="C159" s="2" t="str">
        <f>_xlfn.LET(_xlpm.result, _xlfn.XLOOKUP(A159,'EA-Fortescue_SDExport'!A:A,'EA-Fortescue_SDExport'!AM:AM), IF(_xlpm.result=0,"",_xlpm.result))</f>
        <v/>
      </c>
      <c r="D159" s="2" t="str">
        <f>_xlfn.LET(_xlpm.result, _xlfn.XLOOKUP(A159,'EA-Fortescue_SDExport'!A:A,'EA-Fortescue_SDExport'!AN:AN), IF(_xlpm.result=0,"",_xlpm.result))</f>
        <v/>
      </c>
      <c r="E159" s="2" t="str">
        <f>_xlfn.XLOOKUP(R159&amp;Z159,Lookups!A:A,Lookups!B:B)</f>
        <v>Stakeholder - Project Interface</v>
      </c>
      <c r="F159" s="2" t="str">
        <f>_xlfn.LET(_xlpm.result, _xlfn.XLOOKUP(A159,'EA-Fortescue_SDExport'!A:A,'EA-Fortescue_SDExport'!AP:AP), IF(_xlpm.result=0,"",_xlpm.result))</f>
        <v>Technical-Data/Software</v>
      </c>
      <c r="G159" s="2" t="str">
        <f>IF(OR(AND(T159&lt;&gt;"", COUNTIF(Lookups!J:J, "*"&amp;T159&amp;"*")&gt;0), AND(AB159&lt;&gt;"", COUNTIF(Lookups!J:J, "*"&amp;AB159&amp;"*")&gt;0)), "Yes", "No")</f>
        <v>No</v>
      </c>
      <c r="H159" s="2" t="str">
        <f t="shared" si="9"/>
        <v>855DC Decarb Green Systems|N/A</v>
      </c>
      <c r="I159" s="2" t="str">
        <f t="shared" si="10"/>
        <v>855DC-1542 Control &amp; Monitoring Systems|N/A</v>
      </c>
      <c r="J159" s="2" t="str">
        <f t="shared" si="11"/>
        <v>855DC-1542-008 Mine Electrification SCADA|N/A</v>
      </c>
      <c r="K159" s="2" t="str">
        <f>_xlfn.XLOOKUP(A159,'EA-Fortescue_SDExport'!A:A,'EA-Fortescue_SDExport'!N:N)</f>
        <v>Proposed</v>
      </c>
      <c r="L159" s="2" t="str">
        <f>_xlfn.LET(_xlpm.result, _xlfn.XLOOKUP($A159,'EA-Fortescue_SDExport'!$A:$A,'EA-Fortescue_SDExport'!AQ:AQ), IF(_xlpm.result=0,"",_xlpm.result))</f>
        <v>This interface delivers real-time electrical network data and status information from Mine Electrification SCADA into HIVE, enabling operational oversight and decision support.</v>
      </c>
      <c r="M159" s="2" t="str">
        <f>_xlfn.LET(_xlpm.result, _xlfn.XLOOKUP($A159,'EA-Fortescue_SDExport'!$A:$A,'EA-Fortescue_SDExport'!AR:AR), IF(_xlpm.result=0,"",_xlpm.result))</f>
        <v>MEDIUM</v>
      </c>
      <c r="N159" s="2" t="str">
        <f>_xlfn.LET(_xlpm.result, _xlfn.XLOOKUP($A159,'EA-Fortescue_SDExport'!$A:$A,'EA-Fortescue_SDExport'!AW:AW), IF(_xlpm.result=0,"",_xlpm.result))</f>
        <v>The criticality level is MEDIUM because, although HIVE enhances operational coordination, its loss does not impede the SCADA system itself or halt electrical operations. HIVE functions as a consumer of SCADA data rather than a controller, so outages reduce visibility for planning and supervision but do not compromise safety.</v>
      </c>
      <c r="O159" s="2" t="str">
        <f>_xlfn.LET(_xlpm.result, _xlfn.XLOOKUP($A159,'EA-Fortescue_SDExport'!$A:$A,'EA-Fortescue_SDExport'!AV:AV), IF(_xlpm.result=0,"",_xlpm.result))</f>
        <v>Data Flow: Mine Electrification SCADA -&gt; HIVE (network status, breaker status, voltage/current measurements, load data, alarms, equipment health, event logs) to support operational oversight and decision-making.</v>
      </c>
      <c r="P159" s="2" t="str">
        <f>_xlfn.LET(_xlpm.result, _xlfn.XLOOKUP($A159,'EA-Fortescue_SDExport'!$A:$A,'EA-Fortescue_SDExport'!D:D), IF(_xlpm.result=0,"",_xlpm.result))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Q159" s="2" t="str">
        <f>_xlfn.LET(
    _xlpm.status, _xlfn.XLOOKUP($A159,'EA-ConnectorExport'!$A:$A,'EA-ConnectorExport'!G:G),
    _xlpm.result, _xlfn.XLOOKUP($A159,'EA-ConnectorExport'!$A:$A,'EA-ConnectorExport'!B:B),
    IF(_xlpm.status="allocate", _xlpm.result, "")
)</f>
        <v>855DC-1542-008 Mine Electrification SCADA</v>
      </c>
      <c r="R159" s="2" t="str">
        <f>IF(
    _xlfn.XLOOKUP($Q159,'EA-Fortescue_SDExport'!A:A,'EA-Fortescue_SDExport'!B:B)="Object",
    _xlfn.XLOOKUP(
        _xlfn.XLOOKUP($A159,'EA-ConnectorExport'!A:A,'EA-ConnectorExport'!D:D),
        'EA-Fortescue_SDExport'!A:A,
        'EA-Fortescue_SDExport'!AA:AA
    ),
    _xlfn.XLOOKUP($Q159,'EA-Fortescue_SDExport'!A:A,'EA-Fortescue_SDExport'!AA:AA)
)</f>
        <v>Project</v>
      </c>
      <c r="S159" s="2" t="str">
        <f>_xlfn.LET(_xlpm.result, _xlfn.XLOOKUP($Q159,'EA-Fortescue_SDExport'!$A:$A,'EA-Fortescue_SDExport'!AB:AB), IF(_xlpm.result=0,"",_xlpm.result))</f>
        <v>Mine Services</v>
      </c>
      <c r="T159" s="2" t="str">
        <f>_xlfn.LET(_xlpm.result, _xlfn.XLOOKUP($Q159,'EA-Fortescue_SDExport'!$A:$A,'EA-Fortescue_SDExport'!AC:AC), IF(_xlpm.result=0,"",_xlpm.result))</f>
        <v/>
      </c>
      <c r="U159" s="2" t="str">
        <f>_xlfn.LET(
    _xlpm.isObject, _xlfn.XLOOKUP($Q159,'EA-Fortescue_SDExport'!A:A,'EA-Fortescue_SDExport'!B:B),
    _xlpm.lookupKey, IF(_xlpm.isObject="Object",
        _xlfn.XLOOKUP($A159,'EA-ConnectorExport'!A:A,'EA-ConnectorExport'!D:D),
        $Q159
    ),
    _xlpm.result, _xlfn.XLOOKUP(_xlpm.lookupKey,'EA-Fortescue_SDExport'!A:A,'EA-Fortescue_SDExport'!AD:AD),
    IF(_xlpm.result=0,"",_xlpm.result)
)</f>
        <v>855DC Decarb Green Systems</v>
      </c>
      <c r="V159" s="2" t="str">
        <f>_xlfn.LET(
    _xlpm.isObject, _xlfn.XLOOKUP($Q159,'EA-Fortescue_SDExport'!A:A,'EA-Fortescue_SDExport'!B:B),
    _xlpm.lookupKey, IF(_xlpm.isObject="Object",
        _xlfn.XLOOKUP($A159,'EA-ConnectorExport'!A:A,'EA-ConnectorExport'!D:D),
        $Q159
    ),
    _xlpm.result, _xlfn.XLOOKUP(_xlpm.lookupKey,'EA-Fortescue_SDExport'!A:A,'EA-Fortescue_SDExport'!AE:AE),
    IF(_xlpm.result=0,"",_xlpm.result)
)</f>
        <v>855DC-1542 Control &amp; Monitoring Systems</v>
      </c>
      <c r="W159" s="2" t="str">
        <f>_xlfn.LET(
    _xlpm.isObject, _xlfn.XLOOKUP($Q159,'EA-Fortescue_SDExport'!A:A,'EA-Fortescue_SDExport'!B:B),
    _xlpm.lookupKey, IF(_xlpm.isObject="Object",
        _xlfn.XLOOKUP($A159,'EA-ConnectorExport'!A:A,'EA-ConnectorExport'!D:D),
        $Q159
    ),
    _xlpm.result, _xlfn.XLOOKUP(_xlpm.lookupKey,'EA-Fortescue_SDExport'!A:A,'EA-Fortescue_SDExport'!AF:AF),
    IF(_xlpm.result=0,"",_xlpm.result)
)</f>
        <v>855DC-1542-008 Mine Electrification SCADA</v>
      </c>
      <c r="X159" s="2" t="str">
        <f>_xlfn.LET(
    _xlpm.isObject, _xlfn.XLOOKUP($Q159,'EA-Fortescue_SDExport'!A:A,'EA-Fortescue_SDExport'!B:B),
    _xlpm.lookupKey, IF(_xlpm.isObject="Object",
        _xlfn.XLOOKUP($A159,'EA-ConnectorExport'!A:A,'EA-ConnectorExport'!D:D),
        $Q159
    ),
    _xlpm.result, _xlfn.XLOOKUP(_xlpm.lookupKey,'EA-Fortescue_SDExport'!A:A,'EA-Fortescue_SDExport'!AG:AG),
    IF(_xlpm.result=0,"",_xlpm.result)
)</f>
        <v/>
      </c>
      <c r="Y159" s="2" t="str">
        <f>_xlfn.LET(
    _xlpm.status, _xlfn.XLOOKUP($A159,'EA-ConnectorExport'!$A:$A,'EA-ConnectorExport'!G:G),
    _xlpm.result, _xlfn.XLOOKUP($A159,'EA-ConnectorExport'!$A:$A,'EA-ConnectorExport'!H:H),
    IF(_xlpm.status="allocate", _xlpm.result, "")
)</f>
        <v>HIVE</v>
      </c>
      <c r="Z159" s="2" t="str">
        <f>_xlfn.LET(
    _xlpm.isObject, _xlfn.XLOOKUP($Y159,'EA-Fortescue_SDExport'!A:A,'EA-Fortescue_SDExport'!B:B),
    _xlpm.lookupKey, IF(_xlpm.isObject="Object",
        _xlfn.XLOOKUP($A159,'EA-ConnectorExport'!A:A,'EA-ConnectorExport'!J:J),
        $Y159
    ),
    _xlpm.result, _xlfn.XLOOKUP(_xlpm.lookupKey,'EA-Fortescue_SDExport'!A:A,'EA-Fortescue_SDExport'!AA:AA),
    IF(_xlpm.result=0,"",_xlpm.result)
)</f>
        <v>Stakeholder</v>
      </c>
      <c r="AA159" s="2" t="str">
        <f>_xlfn.LET(_xlpm.result, _xlfn.XLOOKUP($Y159,'EA-Fortescue_SDExport'!$A:$A,'EA-Fortescue_SDExport'!AB:AB), IF(_xlpm.result=0,"",_xlpm.result))</f>
        <v>Charlotte Lavin (Ops Readiness)</v>
      </c>
      <c r="AB159" s="2" t="str">
        <f>_xlfn.LET(_xlpm.result, _xlfn.XLOOKUP($Y159,'EA-Fortescue_SDExport'!$A:$A,'EA-Fortescue_SDExport'!AC:AC), IF(_xlpm.result=0,"",_xlpm.result))</f>
        <v/>
      </c>
      <c r="AC159" s="2" t="str">
        <f>_xlfn.LET(
    _xlpm.isObject, _xlfn.XLOOKUP($Y159,'EA-Fortescue_SDExport'!A:A,'EA-Fortescue_SDExport'!B:B),
    _xlpm.lookupKey, IF(_xlpm.isObject="Object",
        _xlfn.XLOOKUP($A159,'EA-ConnectorExport'!A:A,'EA-ConnectorExport'!J:J),
        $Y159
    ),
    _xlpm.result, _xlfn.XLOOKUP(_xlpm.lookupKey,'EA-Fortescue_SDExport'!A:A,'EA-Fortescue_SDExport'!AD:AD),
    IF(_xlpm.result=0,"",_xlpm.result)
)</f>
        <v/>
      </c>
      <c r="AD159" s="2" t="str">
        <f>_xlfn.LET(
    _xlpm.isObject, _xlfn.XLOOKUP($Y159,'EA-Fortescue_SDExport'!A:A,'EA-Fortescue_SDExport'!B:B),
    _xlpm.lookupKey, IF(_xlpm.isObject="Object",
        _xlfn.XLOOKUP($A159,'EA-ConnectorExport'!A:A,'EA-ConnectorExport'!J:J),
        $Y159
    ),
    _xlpm.result, _xlfn.XLOOKUP(_xlpm.lookupKey,'EA-Fortescue_SDExport'!A:A,'EA-Fortescue_SDExport'!AE:AE),
    IF(_xlpm.result=0,"",_xlpm.result)
)</f>
        <v/>
      </c>
      <c r="AE159" s="2" t="str">
        <f>_xlfn.LET(
    _xlpm.isObject, _xlfn.XLOOKUP($Y159,'EA-Fortescue_SDExport'!A:A,'EA-Fortescue_SDExport'!B:B),
    _xlpm.lookupKey, IF(_xlpm.isObject="Object",
        _xlfn.XLOOKUP($A159,'EA-ConnectorExport'!A:A,'EA-ConnectorExport'!J:J),
        $Y159
    ),
    _xlpm.result, _xlfn.XLOOKUP(_xlpm.lookupKey,'EA-Fortescue_SDExport'!A:A,'EA-Fortescue_SDExport'!AF:AF),
    IF(_xlpm.result=0,"",_xlpm.result)
)</f>
        <v/>
      </c>
      <c r="AF159" s="2" t="str">
        <f>_xlfn.LET(
    _xlpm.isObject, _xlfn.XLOOKUP($Y159,'EA-Fortescue_SDExport'!A:A,'EA-Fortescue_SDExport'!B:B),
    _xlpm.lookupKey, IF(_xlpm.isObject="Object",
        _xlfn.XLOOKUP($A159,'EA-ConnectorExport'!A:A,'EA-ConnectorExport'!J:J),
        $Y159
    ),
    _xlpm.result, _xlfn.XLOOKUP(_xlpm.lookupKey,'EA-Fortescue_SDExport'!A:A,'EA-Fortescue_SDExport'!AG:AG),
    IF(_xlpm.result=0,"",_xlpm.result)
)</f>
        <v/>
      </c>
    </row>
    <row r="160" spans="1:32" ht="315" x14ac:dyDescent="0.25">
      <c r="A160" s="2" t="str">
        <v>DGS-I_0159</v>
      </c>
      <c r="B160" s="2" t="str">
        <f t="shared" si="8"/>
        <v>855DC-1542-008 Mine Electrification SCADA|Energy Operations (HIVE)</v>
      </c>
      <c r="C160" s="2" t="str">
        <f>_xlfn.LET(_xlpm.result, _xlfn.XLOOKUP(A160,'EA-Fortescue_SDExport'!A:A,'EA-Fortescue_SDExport'!AM:AM), IF(_xlpm.result=0,"",_xlpm.result))</f>
        <v/>
      </c>
      <c r="D160" s="2" t="str">
        <f>_xlfn.LET(_xlpm.result, _xlfn.XLOOKUP(A160,'EA-Fortescue_SDExport'!A:A,'EA-Fortescue_SDExport'!AN:AN), IF(_xlpm.result=0,"",_xlpm.result))</f>
        <v/>
      </c>
      <c r="E160" s="2" t="str">
        <f>_xlfn.XLOOKUP(R160&amp;Z160,Lookups!A:A,Lookups!B:B)</f>
        <v>Stakeholder - Project Interface</v>
      </c>
      <c r="F160" s="2" t="str">
        <f>_xlfn.LET(_xlpm.result, _xlfn.XLOOKUP(A160,'EA-Fortescue_SDExport'!A:A,'EA-Fortescue_SDExport'!AP:AP), IF(_xlpm.result=0,"",_xlpm.result))</f>
        <v>Technical-Data/Software</v>
      </c>
      <c r="G160" s="2" t="str">
        <f>IF(OR(AND(T160&lt;&gt;"", COUNTIF(Lookups!J:J, "*"&amp;T160&amp;"*")&gt;0), AND(AB160&lt;&gt;"", COUNTIF(Lookups!J:J, "*"&amp;AB160&amp;"*")&gt;0)), "Yes", "No")</f>
        <v>No</v>
      </c>
      <c r="H160" s="2" t="str">
        <f t="shared" si="9"/>
        <v>855DC Decarb Green Systems|N/A</v>
      </c>
      <c r="I160" s="2" t="str">
        <f t="shared" si="10"/>
        <v>855DC-1542 Control &amp; Monitoring Systems|N/A</v>
      </c>
      <c r="J160" s="2" t="str">
        <f t="shared" si="11"/>
        <v>855DC-1542-008 Mine Electrification SCADA|N/A</v>
      </c>
      <c r="K160" s="2" t="str">
        <f>_xlfn.XLOOKUP(A160,'EA-Fortescue_SDExport'!A:A,'EA-Fortescue_SDExport'!N:N)</f>
        <v>Proposed</v>
      </c>
      <c r="L160" s="2" t="str">
        <f>_xlfn.LET(_xlpm.result, _xlfn.XLOOKUP($A160,'EA-Fortescue_SDExport'!$A:$A,'EA-Fortescue_SDExport'!AQ:AQ), IF(_xlpm.result=0,"",_xlpm.result))</f>
        <v>This interface allows Energy Operations to receive real-time SCADA data for monitoring site electrical loads, power stability, and equipment status.</v>
      </c>
      <c r="M160" s="2" t="str">
        <f>_xlfn.LET(_xlpm.result, _xlfn.XLOOKUP($A160,'EA-Fortescue_SDExport'!$A:$A,'EA-Fortescue_SDExport'!AR:AR), IF(_xlpm.result=0,"",_xlpm.result))</f>
        <v>MEDIUM</v>
      </c>
      <c r="N160" s="2" t="str">
        <f>_xlfn.LET(_xlpm.result, _xlfn.XLOOKUP($A160,'EA-Fortescue_SDExport'!$A:$A,'EA-Fortescue_SDExport'!AW:AW), IF(_xlpm.result=0,"",_xlpm.result))</f>
        <v>The criticality level is MEDIUM because, without this link, Energy Operations loses oversight and may respond more slowly to electrical incidents, although SCADA itself continues functioning. Energy Operations relies on SCADA data for coordination and decision-making but does not directly control electrical equipment, so outages affect efficiency rather than the physical safety of the network.</v>
      </c>
      <c r="O160" s="2" t="str">
        <f>_xlfn.LET(_xlpm.result, _xlfn.XLOOKUP($A160,'EA-Fortescue_SDExport'!$A:$A,'EA-Fortescue_SDExport'!AV:AV), IF(_xlpm.result=0,"",_xlpm.result))</f>
        <v>Data Flow: Mine Electrification SCADA -&gt; Energy Operations (real-time electrical load data, network stability metrics, breaker and equipment status, alarms, fault events) to support monitoring, coordination, and operational decision-making.</v>
      </c>
      <c r="P160" s="2" t="str">
        <f>_xlfn.LET(_xlpm.result, _xlfn.XLOOKUP($A160,'EA-Fortescue_SDExport'!$A:$A,'EA-Fortescue_SDExport'!D:D), IF(_xlpm.result=0,"",_xlpm.result))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Q160" s="2" t="str">
        <f>_xlfn.LET(
    _xlpm.status, _xlfn.XLOOKUP($A160,'EA-ConnectorExport'!$A:$A,'EA-ConnectorExport'!G:G),
    _xlpm.result, _xlfn.XLOOKUP($A160,'EA-ConnectorExport'!$A:$A,'EA-ConnectorExport'!B:B),
    IF(_xlpm.status="allocate", _xlpm.result, "")
)</f>
        <v>855DC-1542-008 Mine Electrification SCADA</v>
      </c>
      <c r="R160" s="2" t="str">
        <f>IF(
    _xlfn.XLOOKUP($Q160,'EA-Fortescue_SDExport'!A:A,'EA-Fortescue_SDExport'!B:B)="Object",
    _xlfn.XLOOKUP(
        _xlfn.XLOOKUP($A160,'EA-ConnectorExport'!A:A,'EA-ConnectorExport'!D:D),
        'EA-Fortescue_SDExport'!A:A,
        'EA-Fortescue_SDExport'!AA:AA
    ),
    _xlfn.XLOOKUP($Q160,'EA-Fortescue_SDExport'!A:A,'EA-Fortescue_SDExport'!AA:AA)
)</f>
        <v>Project</v>
      </c>
      <c r="S160" s="2" t="str">
        <f>_xlfn.LET(_xlpm.result, _xlfn.XLOOKUP($Q160,'EA-Fortescue_SDExport'!$A:$A,'EA-Fortescue_SDExport'!AB:AB), IF(_xlpm.result=0,"",_xlpm.result))</f>
        <v>Mine Services</v>
      </c>
      <c r="T160" s="2" t="str">
        <f>_xlfn.LET(_xlpm.result, _xlfn.XLOOKUP($Q160,'EA-Fortescue_SDExport'!$A:$A,'EA-Fortescue_SDExport'!AC:AC), IF(_xlpm.result=0,"",_xlpm.result))</f>
        <v/>
      </c>
      <c r="U160" s="2" t="str">
        <f>_xlfn.LET(
    _xlpm.isObject, _xlfn.XLOOKUP($Q160,'EA-Fortescue_SDExport'!A:A,'EA-Fortescue_SDExport'!B:B),
    _xlpm.lookupKey, IF(_xlpm.isObject="Object",
        _xlfn.XLOOKUP($A160,'EA-ConnectorExport'!A:A,'EA-ConnectorExport'!D:D),
        $Q160
    ),
    _xlpm.result, _xlfn.XLOOKUP(_xlpm.lookupKey,'EA-Fortescue_SDExport'!A:A,'EA-Fortescue_SDExport'!AD:AD),
    IF(_xlpm.result=0,"",_xlpm.result)
)</f>
        <v>855DC Decarb Green Systems</v>
      </c>
      <c r="V160" s="2" t="str">
        <f>_xlfn.LET(
    _xlpm.isObject, _xlfn.XLOOKUP($Q160,'EA-Fortescue_SDExport'!A:A,'EA-Fortescue_SDExport'!B:B),
    _xlpm.lookupKey, IF(_xlpm.isObject="Object",
        _xlfn.XLOOKUP($A160,'EA-ConnectorExport'!A:A,'EA-ConnectorExport'!D:D),
        $Q160
    ),
    _xlpm.result, _xlfn.XLOOKUP(_xlpm.lookupKey,'EA-Fortescue_SDExport'!A:A,'EA-Fortescue_SDExport'!AE:AE),
    IF(_xlpm.result=0,"",_xlpm.result)
)</f>
        <v>855DC-1542 Control &amp; Monitoring Systems</v>
      </c>
      <c r="W160" s="2" t="str">
        <f>_xlfn.LET(
    _xlpm.isObject, _xlfn.XLOOKUP($Q160,'EA-Fortescue_SDExport'!A:A,'EA-Fortescue_SDExport'!B:B),
    _xlpm.lookupKey, IF(_xlpm.isObject="Object",
        _xlfn.XLOOKUP($A160,'EA-ConnectorExport'!A:A,'EA-ConnectorExport'!D:D),
        $Q160
    ),
    _xlpm.result, _xlfn.XLOOKUP(_xlpm.lookupKey,'EA-Fortescue_SDExport'!A:A,'EA-Fortescue_SDExport'!AF:AF),
    IF(_xlpm.result=0,"",_xlpm.result)
)</f>
        <v>855DC-1542-008 Mine Electrification SCADA</v>
      </c>
      <c r="X160" s="2" t="str">
        <f>_xlfn.LET(
    _xlpm.isObject, _xlfn.XLOOKUP($Q160,'EA-Fortescue_SDExport'!A:A,'EA-Fortescue_SDExport'!B:B),
    _xlpm.lookupKey, IF(_xlpm.isObject="Object",
        _xlfn.XLOOKUP($A160,'EA-ConnectorExport'!A:A,'EA-ConnectorExport'!D:D),
        $Q160
    ),
    _xlpm.result, _xlfn.XLOOKUP(_xlpm.lookupKey,'EA-Fortescue_SDExport'!A:A,'EA-Fortescue_SDExport'!AG:AG),
    IF(_xlpm.result=0,"",_xlpm.result)
)</f>
        <v/>
      </c>
      <c r="Y160" s="2" t="str">
        <f>_xlfn.LET(
    _xlpm.status, _xlfn.XLOOKUP($A160,'EA-ConnectorExport'!$A:$A,'EA-ConnectorExport'!G:G),
    _xlpm.result, _xlfn.XLOOKUP($A160,'EA-ConnectorExport'!$A:$A,'EA-ConnectorExport'!H:H),
    IF(_xlpm.status="allocate", _xlpm.result, "")
)</f>
        <v>Energy Operations (HIVE)</v>
      </c>
      <c r="Z160" s="2" t="str">
        <f>_xlfn.LET(
    _xlpm.isObject, _xlfn.XLOOKUP($Y160,'EA-Fortescue_SDExport'!A:A,'EA-Fortescue_SDExport'!B:B),
    _xlpm.lookupKey, IF(_xlpm.isObject="Object",
        _xlfn.XLOOKUP($A160,'EA-ConnectorExport'!A:A,'EA-ConnectorExport'!J:J),
        $Y160
    ),
    _xlpm.result, _xlfn.XLOOKUP(_xlpm.lookupKey,'EA-Fortescue_SDExport'!A:A,'EA-Fortescue_SDExport'!AA:AA),
    IF(_xlpm.result=0,"",_xlpm.result)
)</f>
        <v>Stakeholder</v>
      </c>
      <c r="AA160" s="2" t="str">
        <f>_xlfn.LET(_xlpm.result, _xlfn.XLOOKUP($Y160,'EA-Fortescue_SDExport'!$A:$A,'EA-Fortescue_SDExport'!AB:AB), IF(_xlpm.result=0,"",_xlpm.result))</f>
        <v/>
      </c>
      <c r="AB160" s="2" t="str">
        <f>_xlfn.LET(_xlpm.result, _xlfn.XLOOKUP($Y160,'EA-Fortescue_SDExport'!$A:$A,'EA-Fortescue_SDExport'!AC:AC), IF(_xlpm.result=0,"",_xlpm.result))</f>
        <v/>
      </c>
      <c r="AC160" s="2" t="str">
        <f>_xlfn.LET(
    _xlpm.isObject, _xlfn.XLOOKUP($Y160,'EA-Fortescue_SDExport'!A:A,'EA-Fortescue_SDExport'!B:B),
    _xlpm.lookupKey, IF(_xlpm.isObject="Object",
        _xlfn.XLOOKUP($A160,'EA-ConnectorExport'!A:A,'EA-ConnectorExport'!J:J),
        $Y160
    ),
    _xlpm.result, _xlfn.XLOOKUP(_xlpm.lookupKey,'EA-Fortescue_SDExport'!A:A,'EA-Fortescue_SDExport'!AD:AD),
    IF(_xlpm.result=0,"",_xlpm.result)
)</f>
        <v/>
      </c>
      <c r="AD160" s="2" t="str">
        <f>_xlfn.LET(
    _xlpm.isObject, _xlfn.XLOOKUP($Y160,'EA-Fortescue_SDExport'!A:A,'EA-Fortescue_SDExport'!B:B),
    _xlpm.lookupKey, IF(_xlpm.isObject="Object",
        _xlfn.XLOOKUP($A160,'EA-ConnectorExport'!A:A,'EA-ConnectorExport'!J:J),
        $Y160
    ),
    _xlpm.result, _xlfn.XLOOKUP(_xlpm.lookupKey,'EA-Fortescue_SDExport'!A:A,'EA-Fortescue_SDExport'!AE:AE),
    IF(_xlpm.result=0,"",_xlpm.result)
)</f>
        <v/>
      </c>
      <c r="AE160" s="2" t="str">
        <f>_xlfn.LET(
    _xlpm.isObject, _xlfn.XLOOKUP($Y160,'EA-Fortescue_SDExport'!A:A,'EA-Fortescue_SDExport'!B:B),
    _xlpm.lookupKey, IF(_xlpm.isObject="Object",
        _xlfn.XLOOKUP($A160,'EA-ConnectorExport'!A:A,'EA-ConnectorExport'!J:J),
        $Y160
    ),
    _xlpm.result, _xlfn.XLOOKUP(_xlpm.lookupKey,'EA-Fortescue_SDExport'!A:A,'EA-Fortescue_SDExport'!AF:AF),
    IF(_xlpm.result=0,"",_xlpm.result)
)</f>
        <v/>
      </c>
      <c r="AF160" s="2" t="str">
        <f>_xlfn.LET(
    _xlpm.isObject, _xlfn.XLOOKUP($Y160,'EA-Fortescue_SDExport'!A:A,'EA-Fortescue_SDExport'!B:B),
    _xlpm.lookupKey, IF(_xlpm.isObject="Object",
        _xlfn.XLOOKUP($A160,'EA-ConnectorExport'!A:A,'EA-ConnectorExport'!J:J),
        $Y160
    ),
    _xlpm.result, _xlfn.XLOOKUP(_xlpm.lookupKey,'EA-Fortescue_SDExport'!A:A,'EA-Fortescue_SDExport'!AG:AG),
    IF(_xlpm.result=0,"",_xlpm.result)
)</f>
        <v/>
      </c>
    </row>
    <row r="161" spans="1:32" ht="45" x14ac:dyDescent="0.25">
      <c r="A161" s="2" t="str">
        <v>DGS-I_0160</v>
      </c>
      <c r="B161" s="2" t="str">
        <f t="shared" si="8"/>
        <v>Mining Operations|855DC-1542-008 Mine Electrification SCADA</v>
      </c>
      <c r="C161" s="2" t="str">
        <f>_xlfn.LET(_xlpm.result, _xlfn.XLOOKUP(A161,'EA-Fortescue_SDExport'!A:A,'EA-Fortescue_SDExport'!AM:AM), IF(_xlpm.result=0,"",_xlpm.result))</f>
        <v/>
      </c>
      <c r="D161" s="2" t="str">
        <f>_xlfn.LET(_xlpm.result, _xlfn.XLOOKUP(A161,'EA-Fortescue_SDExport'!A:A,'EA-Fortescue_SDExport'!AN:AN), IF(_xlpm.result=0,"",_xlpm.result))</f>
        <v/>
      </c>
      <c r="E161" s="2" t="str">
        <f>_xlfn.XLOOKUP(R161&amp;Z161,Lookups!A:A,Lookups!B:B)</f>
        <v>Stakeholder - Project Interface</v>
      </c>
      <c r="F161" s="2" t="str">
        <f>_xlfn.LET(_xlpm.result, _xlfn.XLOOKUP(A161,'EA-Fortescue_SDExport'!A:A,'EA-Fortescue_SDExport'!AP:AP), IF(_xlpm.result=0,"",_xlpm.result))</f>
        <v/>
      </c>
      <c r="G161" s="2" t="str">
        <f>IF(OR(AND(T161&lt;&gt;"", COUNTIF(Lookups!J:J, "*"&amp;T161&amp;"*")&gt;0), AND(AB161&lt;&gt;"", COUNTIF(Lookups!J:J, "*"&amp;AB161&amp;"*")&gt;0)), "Yes", "No")</f>
        <v>No</v>
      </c>
      <c r="H161" s="2" t="str">
        <f t="shared" si="9"/>
        <v>N/A|855DC Decarb Green Systems</v>
      </c>
      <c r="I161" s="2" t="str">
        <f t="shared" si="10"/>
        <v>N/A|855DC-1542 Control &amp; Monitoring Systems</v>
      </c>
      <c r="J161" s="2" t="str">
        <f t="shared" si="11"/>
        <v>N/A|855DC-1542-008 Mine Electrification SCADA</v>
      </c>
      <c r="K161" s="2" t="str">
        <f>_xlfn.XLOOKUP(A161,'EA-Fortescue_SDExport'!A:A,'EA-Fortescue_SDExport'!N:N)</f>
        <v>Deleted</v>
      </c>
      <c r="L161" s="2" t="str">
        <f>_xlfn.LET(_xlpm.result, _xlfn.XLOOKUP($A161,'EA-Fortescue_SDExport'!$A:$A,'EA-Fortescue_SDExport'!AQ:AQ), IF(_xlpm.result=0,"",_xlpm.result))</f>
        <v/>
      </c>
      <c r="M161" s="2" t="str">
        <f>_xlfn.LET(_xlpm.result, _xlfn.XLOOKUP($A161,'EA-Fortescue_SDExport'!$A:$A,'EA-Fortescue_SDExport'!AR:AR), IF(_xlpm.result=0,"",_xlpm.result))</f>
        <v/>
      </c>
      <c r="N161" s="2" t="str">
        <f>_xlfn.LET(_xlpm.result, _xlfn.XLOOKUP($A161,'EA-Fortescue_SDExport'!$A:$A,'EA-Fortescue_SDExport'!AW:AW), IF(_xlpm.result=0,"",_xlpm.result))</f>
        <v/>
      </c>
      <c r="O161" s="2" t="str">
        <f>_xlfn.LET(_xlpm.result, _xlfn.XLOOKUP($A161,'EA-Fortescue_SDExport'!$A:$A,'EA-Fortescue_SDExport'!AV:AV), IF(_xlpm.result=0,"",_xlpm.result))</f>
        <v/>
      </c>
      <c r="P161" s="2" t="str">
        <f>_xlfn.LET(_xlpm.result, _xlfn.XLOOKUP($A161,'EA-Fortescue_SDExport'!$A:$A,'EA-Fortescue_SDExport'!D:D), IF(_xlpm.result=0,"",_xlpm.result))</f>
        <v>Deleted: Power Infrastructure SCADA Review 20251030</v>
      </c>
      <c r="Q161" s="2" t="str">
        <f>_xlfn.LET(
    _xlpm.status, _xlfn.XLOOKUP($A161,'EA-ConnectorExport'!$A:$A,'EA-ConnectorExport'!G:G),
    _xlpm.result, _xlfn.XLOOKUP($A161,'EA-ConnectorExport'!$A:$A,'EA-ConnectorExport'!B:B),
    IF(_xlpm.status="allocate", _xlpm.result, "")
)</f>
        <v>Mining Operations</v>
      </c>
      <c r="R161" s="2" t="str">
        <f>IF(
    _xlfn.XLOOKUP($Q161,'EA-Fortescue_SDExport'!A:A,'EA-Fortescue_SDExport'!B:B)="Object",
    _xlfn.XLOOKUP(
        _xlfn.XLOOKUP($A161,'EA-ConnectorExport'!A:A,'EA-ConnectorExport'!D:D),
        'EA-Fortescue_SDExport'!A:A,
        'EA-Fortescue_SDExport'!AA:AA
    ),
    _xlfn.XLOOKUP($Q161,'EA-Fortescue_SDExport'!A:A,'EA-Fortescue_SDExport'!AA:AA)
)</f>
        <v>Stakeholder</v>
      </c>
      <c r="S161" s="2" t="str">
        <f>_xlfn.LET(_xlpm.result, _xlfn.XLOOKUP($Q161,'EA-Fortescue_SDExport'!$A:$A,'EA-Fortescue_SDExport'!AB:AB), IF(_xlpm.result=0,"",_xlpm.result))</f>
        <v>Sam Ward</v>
      </c>
      <c r="T161" s="2" t="str">
        <f>_xlfn.LET(_xlpm.result, _xlfn.XLOOKUP($Q161,'EA-Fortescue_SDExport'!$A:$A,'EA-Fortescue_SDExport'!AC:AC), IF(_xlpm.result=0,"",_xlpm.result))</f>
        <v/>
      </c>
      <c r="U161" s="2" t="str">
        <f>_xlfn.LET(
    _xlpm.isObject, _xlfn.XLOOKUP($Q161,'EA-Fortescue_SDExport'!A:A,'EA-Fortescue_SDExport'!B:B),
    _xlpm.lookupKey, IF(_xlpm.isObject="Object",
        _xlfn.XLOOKUP($A161,'EA-ConnectorExport'!A:A,'EA-ConnectorExport'!D:D),
        $Q161
    ),
    _xlpm.result, _xlfn.XLOOKUP(_xlpm.lookupKey,'EA-Fortescue_SDExport'!A:A,'EA-Fortescue_SDExport'!AD:AD),
    IF(_xlpm.result=0,"",_xlpm.result)
)</f>
        <v/>
      </c>
      <c r="V161" s="2" t="str">
        <f>_xlfn.LET(
    _xlpm.isObject, _xlfn.XLOOKUP($Q161,'EA-Fortescue_SDExport'!A:A,'EA-Fortescue_SDExport'!B:B),
    _xlpm.lookupKey, IF(_xlpm.isObject="Object",
        _xlfn.XLOOKUP($A161,'EA-ConnectorExport'!A:A,'EA-ConnectorExport'!D:D),
        $Q161
    ),
    _xlpm.result, _xlfn.XLOOKUP(_xlpm.lookupKey,'EA-Fortescue_SDExport'!A:A,'EA-Fortescue_SDExport'!AE:AE),
    IF(_xlpm.result=0,"",_xlpm.result)
)</f>
        <v/>
      </c>
      <c r="W161" s="2" t="str">
        <f>_xlfn.LET(
    _xlpm.isObject, _xlfn.XLOOKUP($Q161,'EA-Fortescue_SDExport'!A:A,'EA-Fortescue_SDExport'!B:B),
    _xlpm.lookupKey, IF(_xlpm.isObject="Object",
        _xlfn.XLOOKUP($A161,'EA-ConnectorExport'!A:A,'EA-ConnectorExport'!D:D),
        $Q161
    ),
    _xlpm.result, _xlfn.XLOOKUP(_xlpm.lookupKey,'EA-Fortescue_SDExport'!A:A,'EA-Fortescue_SDExport'!AF:AF),
    IF(_xlpm.result=0,"",_xlpm.result)
)</f>
        <v/>
      </c>
      <c r="X161" s="2" t="str">
        <f>_xlfn.LET(
    _xlpm.isObject, _xlfn.XLOOKUP($Q161,'EA-Fortescue_SDExport'!A:A,'EA-Fortescue_SDExport'!B:B),
    _xlpm.lookupKey, IF(_xlpm.isObject="Object",
        _xlfn.XLOOKUP($A161,'EA-ConnectorExport'!A:A,'EA-ConnectorExport'!D:D),
        $Q161
    ),
    _xlpm.result, _xlfn.XLOOKUP(_xlpm.lookupKey,'EA-Fortescue_SDExport'!A:A,'EA-Fortescue_SDExport'!AG:AG),
    IF(_xlpm.result=0,"",_xlpm.result)
)</f>
        <v/>
      </c>
      <c r="Y161" s="2" t="str">
        <f>_xlfn.LET(
    _xlpm.status, _xlfn.XLOOKUP($A161,'EA-ConnectorExport'!$A:$A,'EA-ConnectorExport'!G:G),
    _xlpm.result, _xlfn.XLOOKUP($A161,'EA-ConnectorExport'!$A:$A,'EA-ConnectorExport'!H:H),
    IF(_xlpm.status="allocate", _xlpm.result, "")
)</f>
        <v>855DC-1542-008 Mine Electrification SCADA</v>
      </c>
      <c r="Z161" s="2" t="str">
        <f>_xlfn.LET(
    _xlpm.isObject, _xlfn.XLOOKUP($Y161,'EA-Fortescue_SDExport'!A:A,'EA-Fortescue_SDExport'!B:B),
    _xlpm.lookupKey, IF(_xlpm.isObject="Object",
        _xlfn.XLOOKUP($A161,'EA-ConnectorExport'!A:A,'EA-ConnectorExport'!J:J),
        $Y161
    ),
    _xlpm.result, _xlfn.XLOOKUP(_xlpm.lookupKey,'EA-Fortescue_SDExport'!A:A,'EA-Fortescue_SDExport'!AA:AA),
    IF(_xlpm.result=0,"",_xlpm.result)
)</f>
        <v>Project</v>
      </c>
      <c r="AA161" s="2" t="str">
        <f>_xlfn.LET(_xlpm.result, _xlfn.XLOOKUP($Y161,'EA-Fortescue_SDExport'!$A:$A,'EA-Fortescue_SDExport'!AB:AB), IF(_xlpm.result=0,"",_xlpm.result))</f>
        <v>Mine Services</v>
      </c>
      <c r="AB161" s="2" t="str">
        <f>_xlfn.LET(_xlpm.result, _xlfn.XLOOKUP($Y161,'EA-Fortescue_SDExport'!$A:$A,'EA-Fortescue_SDExport'!AC:AC), IF(_xlpm.result=0,"",_xlpm.result))</f>
        <v/>
      </c>
      <c r="AC161" s="2" t="str">
        <f>_xlfn.LET(
    _xlpm.isObject, _xlfn.XLOOKUP($Y161,'EA-Fortescue_SDExport'!A:A,'EA-Fortescue_SDExport'!B:B),
    _xlpm.lookupKey, IF(_xlpm.isObject="Object",
        _xlfn.XLOOKUP($A161,'EA-ConnectorExport'!A:A,'EA-ConnectorExport'!J:J),
        $Y161
    ),
    _xlpm.result, _xlfn.XLOOKUP(_xlpm.lookupKey,'EA-Fortescue_SDExport'!A:A,'EA-Fortescue_SDExport'!AD:AD),
    IF(_xlpm.result=0,"",_xlpm.result)
)</f>
        <v>855DC Decarb Green Systems</v>
      </c>
      <c r="AD161" s="2" t="str">
        <f>_xlfn.LET(
    _xlpm.isObject, _xlfn.XLOOKUP($Y161,'EA-Fortescue_SDExport'!A:A,'EA-Fortescue_SDExport'!B:B),
    _xlpm.lookupKey, IF(_xlpm.isObject="Object",
        _xlfn.XLOOKUP($A161,'EA-ConnectorExport'!A:A,'EA-ConnectorExport'!J:J),
        $Y161
    ),
    _xlpm.result, _xlfn.XLOOKUP(_xlpm.lookupKey,'EA-Fortescue_SDExport'!A:A,'EA-Fortescue_SDExport'!AE:AE),
    IF(_xlpm.result=0,"",_xlpm.result)
)</f>
        <v>855DC-1542 Control &amp; Monitoring Systems</v>
      </c>
      <c r="AE161" s="2" t="str">
        <f>_xlfn.LET(
    _xlpm.isObject, _xlfn.XLOOKUP($Y161,'EA-Fortescue_SDExport'!A:A,'EA-Fortescue_SDExport'!B:B),
    _xlpm.lookupKey, IF(_xlpm.isObject="Object",
        _xlfn.XLOOKUP($A161,'EA-ConnectorExport'!A:A,'EA-ConnectorExport'!J:J),
        $Y161
    ),
    _xlpm.result, _xlfn.XLOOKUP(_xlpm.lookupKey,'EA-Fortescue_SDExport'!A:A,'EA-Fortescue_SDExport'!AF:AF),
    IF(_xlpm.result=0,"",_xlpm.result)
)</f>
        <v>855DC-1542-008 Mine Electrification SCADA</v>
      </c>
      <c r="AF161" s="2" t="str">
        <f>_xlfn.LET(
    _xlpm.isObject, _xlfn.XLOOKUP($Y161,'EA-Fortescue_SDExport'!A:A,'EA-Fortescue_SDExport'!B:B),
    _xlpm.lookupKey, IF(_xlpm.isObject="Object",
        _xlfn.XLOOKUP($A161,'EA-ConnectorExport'!A:A,'EA-ConnectorExport'!J:J),
        $Y161
    ),
    _xlpm.result, _xlfn.XLOOKUP(_xlpm.lookupKey,'EA-Fortescue_SDExport'!A:A,'EA-Fortescue_SDExport'!AG:AG),
    IF(_xlpm.result=0,"",_xlpm.result)
)</f>
        <v/>
      </c>
    </row>
    <row r="162" spans="1:32" ht="270" x14ac:dyDescent="0.25">
      <c r="A162" s="2" t="str">
        <v>DGS-I_0161</v>
      </c>
      <c r="B162" s="2" t="str">
        <f t="shared" si="8"/>
        <v>855DC-1542-008 Mine Electrification SCADA|Mine Services</v>
      </c>
      <c r="C162" s="2" t="str">
        <f>_xlfn.LET(_xlpm.result, _xlfn.XLOOKUP(A162,'EA-Fortescue_SDExport'!A:A,'EA-Fortescue_SDExport'!AM:AM), IF(_xlpm.result=0,"",_xlpm.result))</f>
        <v/>
      </c>
      <c r="D162" s="2" t="str">
        <f>_xlfn.LET(_xlpm.result, _xlfn.XLOOKUP(A162,'EA-Fortescue_SDExport'!A:A,'EA-Fortescue_SDExport'!AN:AN), IF(_xlpm.result=0,"",_xlpm.result))</f>
        <v/>
      </c>
      <c r="E162" s="2" t="str">
        <f>_xlfn.XLOOKUP(R162&amp;Z162,Lookups!A:A,Lookups!B:B)</f>
        <v>Stakeholder - Project Interface</v>
      </c>
      <c r="F162" s="2" t="str">
        <f>_xlfn.LET(_xlpm.result, _xlfn.XLOOKUP(A162,'EA-Fortescue_SDExport'!A:A,'EA-Fortescue_SDExport'!AP:AP), IF(_xlpm.result=0,"",_xlpm.result))</f>
        <v>Technical-Data/Software</v>
      </c>
      <c r="G162" s="2" t="str">
        <f>IF(OR(AND(T162&lt;&gt;"", COUNTIF(Lookups!J:J, "*"&amp;T162&amp;"*")&gt;0), AND(AB162&lt;&gt;"", COUNTIF(Lookups!J:J, "*"&amp;AB162&amp;"*")&gt;0)), "Yes", "No")</f>
        <v>No</v>
      </c>
      <c r="H162" s="2" t="str">
        <f t="shared" si="9"/>
        <v>855DC Decarb Green Systems|N/A</v>
      </c>
      <c r="I162" s="2" t="str">
        <f t="shared" si="10"/>
        <v>855DC-1542 Control &amp; Monitoring Systems|N/A</v>
      </c>
      <c r="J162" s="2" t="str">
        <f t="shared" si="11"/>
        <v>855DC-1542-008 Mine Electrification SCADA|N/A</v>
      </c>
      <c r="K162" s="2" t="str">
        <f>_xlfn.XLOOKUP(A162,'EA-Fortescue_SDExport'!A:A,'EA-Fortescue_SDExport'!N:N)</f>
        <v>Proposed</v>
      </c>
      <c r="L162" s="2" t="str">
        <f>_xlfn.LET(_xlpm.result, _xlfn.XLOOKUP($A162,'EA-Fortescue_SDExport'!$A:$A,'EA-Fortescue_SDExport'!AQ:AQ), IF(_xlpm.result=0,"",_xlpm.result))</f>
        <v>This interface provides Mine Services with real-time electrical network and equipment status sourced from Mine Electrification SCADA, helping them manage pumps, ventilation, lighting, and other supporting systems safely.</v>
      </c>
      <c r="M162" s="2" t="str">
        <f>_xlfn.LET(_xlpm.result, _xlfn.XLOOKUP($A162,'EA-Fortescue_SDExport'!$A:$A,'EA-Fortescue_SDExport'!AR:AR), IF(_xlpm.result=0,"",_xlpm.result))</f>
        <v>MEDIUM</v>
      </c>
      <c r="N162" s="2" t="str">
        <f>_xlfn.LET(_xlpm.result, _xlfn.XLOOKUP($A162,'EA-Fortescue_SDExport'!$A:$A,'EA-Fortescue_SDExport'!AW:AW), IF(_xlpm.result=0,"",_xlpm.result))</f>
        <v>The criticality level is MEDIUM because Mine Services can continue operating for short periods without live SCADA data, but their ability to plan and respond to electrical conditions is reduced. A loss of this interface limits situational awareness and may delay corrective actions, but does not directly interrupt power distribution or safety-critical systems.</v>
      </c>
      <c r="O162" s="2" t="str">
        <f>_xlfn.LET(_xlpm.result, _xlfn.XLOOKUP($A162,'EA-Fortescue_SDExport'!$A:$A,'EA-Fortescue_SDExport'!AV:AV), IF(_xlpm.result=0,"",_xlpm.result))</f>
        <v>Data Flow: Mine Electrification SCADA -&gt; Mine Services (real-time network status, voltage/current data, breaker status, equipment availability, alarms, fault notifications) to support safe operation of pumps, ventilation, lighting, and other support systems.</v>
      </c>
      <c r="P162" s="2" t="str">
        <f>_xlfn.LET(_xlpm.result, _xlfn.XLOOKUP($A162,'EA-Fortescue_SDExport'!$A:$A,'EA-Fortescue_SDExport'!D:D), IF(_xlpm.result=0,"",_xlpm.result))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Q162" s="2" t="str">
        <f>_xlfn.LET(
    _xlpm.status, _xlfn.XLOOKUP($A162,'EA-ConnectorExport'!$A:$A,'EA-ConnectorExport'!G:G),
    _xlpm.result, _xlfn.XLOOKUP($A162,'EA-ConnectorExport'!$A:$A,'EA-ConnectorExport'!B:B),
    IF(_xlpm.status="allocate", _xlpm.result, "")
)</f>
        <v>855DC-1542-008 Mine Electrification SCADA</v>
      </c>
      <c r="R162" s="2" t="str">
        <f>IF(
    _xlfn.XLOOKUP($Q162,'EA-Fortescue_SDExport'!A:A,'EA-Fortescue_SDExport'!B:B)="Object",
    _xlfn.XLOOKUP(
        _xlfn.XLOOKUP($A162,'EA-ConnectorExport'!A:A,'EA-ConnectorExport'!D:D),
        'EA-Fortescue_SDExport'!A:A,
        'EA-Fortescue_SDExport'!AA:AA
    ),
    _xlfn.XLOOKUP($Q162,'EA-Fortescue_SDExport'!A:A,'EA-Fortescue_SDExport'!AA:AA)
)</f>
        <v>Project</v>
      </c>
      <c r="S162" s="2" t="str">
        <f>_xlfn.LET(_xlpm.result, _xlfn.XLOOKUP($Q162,'EA-Fortescue_SDExport'!$A:$A,'EA-Fortescue_SDExport'!AB:AB), IF(_xlpm.result=0,"",_xlpm.result))</f>
        <v>Mine Services</v>
      </c>
      <c r="T162" s="2" t="str">
        <f>_xlfn.LET(_xlpm.result, _xlfn.XLOOKUP($Q162,'EA-Fortescue_SDExport'!$A:$A,'EA-Fortescue_SDExport'!AC:AC), IF(_xlpm.result=0,"",_xlpm.result))</f>
        <v/>
      </c>
      <c r="U162" s="2" t="str">
        <f>_xlfn.LET(
    _xlpm.isObject, _xlfn.XLOOKUP($Q162,'EA-Fortescue_SDExport'!A:A,'EA-Fortescue_SDExport'!B:B),
    _xlpm.lookupKey, IF(_xlpm.isObject="Object",
        _xlfn.XLOOKUP($A162,'EA-ConnectorExport'!A:A,'EA-ConnectorExport'!D:D),
        $Q162
    ),
    _xlpm.result, _xlfn.XLOOKUP(_xlpm.lookupKey,'EA-Fortescue_SDExport'!A:A,'EA-Fortescue_SDExport'!AD:AD),
    IF(_xlpm.result=0,"",_xlpm.result)
)</f>
        <v>855DC Decarb Green Systems</v>
      </c>
      <c r="V162" s="2" t="str">
        <f>_xlfn.LET(
    _xlpm.isObject, _xlfn.XLOOKUP($Q162,'EA-Fortescue_SDExport'!A:A,'EA-Fortescue_SDExport'!B:B),
    _xlpm.lookupKey, IF(_xlpm.isObject="Object",
        _xlfn.XLOOKUP($A162,'EA-ConnectorExport'!A:A,'EA-ConnectorExport'!D:D),
        $Q162
    ),
    _xlpm.result, _xlfn.XLOOKUP(_xlpm.lookupKey,'EA-Fortescue_SDExport'!A:A,'EA-Fortescue_SDExport'!AE:AE),
    IF(_xlpm.result=0,"",_xlpm.result)
)</f>
        <v>855DC-1542 Control &amp; Monitoring Systems</v>
      </c>
      <c r="W162" s="2" t="str">
        <f>_xlfn.LET(
    _xlpm.isObject, _xlfn.XLOOKUP($Q162,'EA-Fortescue_SDExport'!A:A,'EA-Fortescue_SDExport'!B:B),
    _xlpm.lookupKey, IF(_xlpm.isObject="Object",
        _xlfn.XLOOKUP($A162,'EA-ConnectorExport'!A:A,'EA-ConnectorExport'!D:D),
        $Q162
    ),
    _xlpm.result, _xlfn.XLOOKUP(_xlpm.lookupKey,'EA-Fortescue_SDExport'!A:A,'EA-Fortescue_SDExport'!AF:AF),
    IF(_xlpm.result=0,"",_xlpm.result)
)</f>
        <v>855DC-1542-008 Mine Electrification SCADA</v>
      </c>
      <c r="X162" s="2" t="str">
        <f>_xlfn.LET(
    _xlpm.isObject, _xlfn.XLOOKUP($Q162,'EA-Fortescue_SDExport'!A:A,'EA-Fortescue_SDExport'!B:B),
    _xlpm.lookupKey, IF(_xlpm.isObject="Object",
        _xlfn.XLOOKUP($A162,'EA-ConnectorExport'!A:A,'EA-ConnectorExport'!D:D),
        $Q162
    ),
    _xlpm.result, _xlfn.XLOOKUP(_xlpm.lookupKey,'EA-Fortescue_SDExport'!A:A,'EA-Fortescue_SDExport'!AG:AG),
    IF(_xlpm.result=0,"",_xlpm.result)
)</f>
        <v/>
      </c>
      <c r="Y162" s="2" t="str">
        <f>_xlfn.LET(
    _xlpm.status, _xlfn.XLOOKUP($A162,'EA-ConnectorExport'!$A:$A,'EA-ConnectorExport'!G:G),
    _xlpm.result, _xlfn.XLOOKUP($A162,'EA-ConnectorExport'!$A:$A,'EA-ConnectorExport'!H:H),
    IF(_xlpm.status="allocate", _xlpm.result, "")
)</f>
        <v>Mine Services</v>
      </c>
      <c r="Z162" s="2" t="str">
        <f>_xlfn.LET(
    _xlpm.isObject, _xlfn.XLOOKUP($Y162,'EA-Fortescue_SDExport'!A:A,'EA-Fortescue_SDExport'!B:B),
    _xlpm.lookupKey, IF(_xlpm.isObject="Object",
        _xlfn.XLOOKUP($A162,'EA-ConnectorExport'!A:A,'EA-ConnectorExport'!J:J),
        $Y162
    ),
    _xlpm.result, _xlfn.XLOOKUP(_xlpm.lookupKey,'EA-Fortescue_SDExport'!A:A,'EA-Fortescue_SDExport'!AA:AA),
    IF(_xlpm.result=0,"",_xlpm.result)
)</f>
        <v>Stakeholder</v>
      </c>
      <c r="AA162" s="2" t="str">
        <f>_xlfn.LET(_xlpm.result, _xlfn.XLOOKUP($Y162,'EA-Fortescue_SDExport'!$A:$A,'EA-Fortescue_SDExport'!AB:AB), IF(_xlpm.result=0,"",_xlpm.result))</f>
        <v>Charlotte Lavin (Ops Readiness)</v>
      </c>
      <c r="AB162" s="2" t="str">
        <f>_xlfn.LET(_xlpm.result, _xlfn.XLOOKUP($Y162,'EA-Fortescue_SDExport'!$A:$A,'EA-Fortescue_SDExport'!AC:AC), IF(_xlpm.result=0,"",_xlpm.result))</f>
        <v/>
      </c>
      <c r="AC162" s="2" t="str">
        <f>_xlfn.LET(
    _xlpm.isObject, _xlfn.XLOOKUP($Y162,'EA-Fortescue_SDExport'!A:A,'EA-Fortescue_SDExport'!B:B),
    _xlpm.lookupKey, IF(_xlpm.isObject="Object",
        _xlfn.XLOOKUP($A162,'EA-ConnectorExport'!A:A,'EA-ConnectorExport'!J:J),
        $Y162
    ),
    _xlpm.result, _xlfn.XLOOKUP(_xlpm.lookupKey,'EA-Fortescue_SDExport'!A:A,'EA-Fortescue_SDExport'!AD:AD),
    IF(_xlpm.result=0,"",_xlpm.result)
)</f>
        <v/>
      </c>
      <c r="AD162" s="2" t="str">
        <f>_xlfn.LET(
    _xlpm.isObject, _xlfn.XLOOKUP($Y162,'EA-Fortescue_SDExport'!A:A,'EA-Fortescue_SDExport'!B:B),
    _xlpm.lookupKey, IF(_xlpm.isObject="Object",
        _xlfn.XLOOKUP($A162,'EA-ConnectorExport'!A:A,'EA-ConnectorExport'!J:J),
        $Y162
    ),
    _xlpm.result, _xlfn.XLOOKUP(_xlpm.lookupKey,'EA-Fortescue_SDExport'!A:A,'EA-Fortescue_SDExport'!AE:AE),
    IF(_xlpm.result=0,"",_xlpm.result)
)</f>
        <v/>
      </c>
      <c r="AE162" s="2" t="str">
        <f>_xlfn.LET(
    _xlpm.isObject, _xlfn.XLOOKUP($Y162,'EA-Fortescue_SDExport'!A:A,'EA-Fortescue_SDExport'!B:B),
    _xlpm.lookupKey, IF(_xlpm.isObject="Object",
        _xlfn.XLOOKUP($A162,'EA-ConnectorExport'!A:A,'EA-ConnectorExport'!J:J),
        $Y162
    ),
    _xlpm.result, _xlfn.XLOOKUP(_xlpm.lookupKey,'EA-Fortescue_SDExport'!A:A,'EA-Fortescue_SDExport'!AF:AF),
    IF(_xlpm.result=0,"",_xlpm.result)
)</f>
        <v/>
      </c>
      <c r="AF162" s="2" t="str">
        <f>_xlfn.LET(
    _xlpm.isObject, _xlfn.XLOOKUP($Y162,'EA-Fortescue_SDExport'!A:A,'EA-Fortescue_SDExport'!B:B),
    _xlpm.lookupKey, IF(_xlpm.isObject="Object",
        _xlfn.XLOOKUP($A162,'EA-ConnectorExport'!A:A,'EA-ConnectorExport'!J:J),
        $Y162
    ),
    _xlpm.result, _xlfn.XLOOKUP(_xlpm.lookupKey,'EA-Fortescue_SDExport'!A:A,'EA-Fortescue_SDExport'!AG:AG),
    IF(_xlpm.result=0,"",_xlpm.result)
)</f>
        <v/>
      </c>
    </row>
    <row r="163" spans="1:32" ht="210" x14ac:dyDescent="0.25">
      <c r="A163" s="2" t="str">
        <v>DGS-I_0162</v>
      </c>
      <c r="B163" s="2" t="str">
        <f t="shared" si="8"/>
        <v>005OP-0000-017 Ignition|Mine Services Process Control</v>
      </c>
      <c r="C163" s="2" t="str">
        <f>_xlfn.LET(_xlpm.result, _xlfn.XLOOKUP(A163,'EA-Fortescue_SDExport'!A:A,'EA-Fortescue_SDExport'!AM:AM), IF(_xlpm.result=0,"",_xlpm.result))</f>
        <v>Sam Hedgcock</v>
      </c>
      <c r="D163" s="2" t="str">
        <f>_xlfn.LET(_xlpm.result, _xlfn.XLOOKUP(A163,'EA-Fortescue_SDExport'!A:A,'EA-Fortescue_SDExport'!AN:AN), IF(_xlpm.result=0,"",_xlpm.result))</f>
        <v>TBC</v>
      </c>
      <c r="E163" s="2" t="str">
        <f>_xlfn.XLOOKUP(R163&amp;Z163,Lookups!A:A,Lookups!B:B)</f>
        <v>Stakeholder - Project Interface</v>
      </c>
      <c r="F163" s="2" t="str">
        <f>_xlfn.LET(_xlpm.result, _xlfn.XLOOKUP(A163,'EA-Fortescue_SDExport'!A:A,'EA-Fortescue_SDExport'!AP:AP), IF(_xlpm.result=0,"",_xlpm.result))</f>
        <v>Technical-Data/Software</v>
      </c>
      <c r="G163" s="2" t="str">
        <f>IF(OR(AND(T163&lt;&gt;"", COUNTIF(Lookups!J:J, "*"&amp;T163&amp;"*")&gt;0), AND(AB163&lt;&gt;"", COUNTIF(Lookups!J:J, "*"&amp;AB163&amp;"*")&gt;0)), "Yes", "No")</f>
        <v>No</v>
      </c>
      <c r="H163" s="2" t="str">
        <f t="shared" si="9"/>
        <v>005OP IT/OT Systems|N/A</v>
      </c>
      <c r="I163" s="2" t="str">
        <f t="shared" si="10"/>
        <v>N/A</v>
      </c>
      <c r="J163" s="2" t="str">
        <f t="shared" si="11"/>
        <v>005OP-0000-017 Ignition|N/A</v>
      </c>
      <c r="K163" s="2" t="str">
        <f>_xlfn.XLOOKUP(A163,'EA-Fortescue_SDExport'!A:A,'EA-Fortescue_SDExport'!N:N)</f>
        <v>Proposed</v>
      </c>
      <c r="L163" s="2" t="str">
        <f>_xlfn.LET(_xlpm.result, _xlfn.XLOOKUP($A163,'EA-Fortescue_SDExport'!$A:$A,'EA-Fortescue_SDExport'!AQ:AQ), IF(_xlpm.result=0,"",_xlpm.result))</f>
        <v>This interface provides the operational link between Mine Services Process Control (the backend control logic, PLCs, telemetry, sequencing, and interlocks governing mine services infrastructure) and the Ignition SCADA HMI, which operators use to supervise, monitor, and interact with those systems.</v>
      </c>
      <c r="M163" s="2" t="str">
        <f>_xlfn.LET(_xlpm.result, _xlfn.XLOOKUP($A163,'EA-Fortescue_SDExport'!$A:$A,'EA-Fortescue_SDExport'!AR:AR), IF(_xlpm.result=0,"",_xlpm.result))</f>
        <v>MEDIUM</v>
      </c>
      <c r="N163" s="2" t="str">
        <f>_xlfn.LET(_xlpm.result, _xlfn.XLOOKUP($A163,'EA-Fortescue_SDExport'!$A:$A,'EA-Fortescue_SDExport'!AW:AW), IF(_xlpm.result=0,"",_xlpm.result))</f>
        <v>The criticality level is MEDIUM because loss of visibility or control impacts mine services continuity (dewatering, power distribution, water supply, etc). This affects operational situational awareness and rapid incident response, potentially causing production delays.</v>
      </c>
      <c r="O163" s="2" t="str">
        <f>_xlfn.LET(_xlpm.result, _xlfn.XLOOKUP($A163,'EA-Fortescue_SDExport'!$A:$A,'EA-Fortescue_SDExport'!AV:AV), IF(_xlpm.result=0,"",_xlpm.result))</f>
        <v>Data Flow: Mine Services PLCs / Process Control Layer -&gt; Ignition SCADA HMI (process status, telemetry, equipment state, alarms, interlock status, fault events) for operator monitoring and supervision.</v>
      </c>
      <c r="P163" s="2" t="str">
        <f>_xlfn.LET(_xlpm.result, _xlfn.XLOOKUP($A163,'EA-Fortescue_SDExport'!$A:$A,'EA-Fortescue_SDExport'!D:D), IF(_xlpm.result=0,"",_xlpm.result))</f>
        <v>NH 20/02/2026: Fields updated: Interface Type, Interface Flow.</v>
      </c>
      <c r="Q163" s="2" t="str">
        <f>_xlfn.LET(
    _xlpm.status, _xlfn.XLOOKUP($A163,'EA-ConnectorExport'!$A:$A,'EA-ConnectorExport'!G:G),
    _xlpm.result, _xlfn.XLOOKUP($A163,'EA-ConnectorExport'!$A:$A,'EA-ConnectorExport'!B:B),
    IF(_xlpm.status="allocate", _xlpm.result, "")
)</f>
        <v>005OP-0000-017 Ignition</v>
      </c>
      <c r="R163" s="2" t="str">
        <f>IF(
    _xlfn.XLOOKUP($Q163,'EA-Fortescue_SDExport'!A:A,'EA-Fortescue_SDExport'!B:B)="Object",
    _xlfn.XLOOKUP(
        _xlfn.XLOOKUP($A163,'EA-ConnectorExport'!A:A,'EA-ConnectorExport'!D:D),
        'EA-Fortescue_SDExport'!A:A,
        'EA-Fortescue_SDExport'!AA:AA
    ),
    _xlfn.XLOOKUP($Q163,'EA-Fortescue_SDExport'!A:A,'EA-Fortescue_SDExport'!AA:AA)
)</f>
        <v>Project</v>
      </c>
      <c r="S163" s="2" t="str">
        <f>_xlfn.LET(_xlpm.result, _xlfn.XLOOKUP($Q163,'EA-Fortescue_SDExport'!$A:$A,'EA-Fortescue_SDExport'!AB:AB), IF(_xlpm.result=0,"",_xlpm.result))</f>
        <v/>
      </c>
      <c r="T163" s="2" t="str">
        <f>_xlfn.LET(_xlpm.result, _xlfn.XLOOKUP($Q163,'EA-Fortescue_SDExport'!$A:$A,'EA-Fortescue_SDExport'!AC:AC), IF(_xlpm.result=0,"",_xlpm.result))</f>
        <v/>
      </c>
      <c r="U163" s="2" t="str">
        <f>_xlfn.LET(
    _xlpm.isObject, _xlfn.XLOOKUP($Q163,'EA-Fortescue_SDExport'!A:A,'EA-Fortescue_SDExport'!B:B),
    _xlpm.lookupKey, IF(_xlpm.isObject="Object",
        _xlfn.XLOOKUP($A163,'EA-ConnectorExport'!A:A,'EA-ConnectorExport'!D:D),
        $Q163
    ),
    _xlpm.result, _xlfn.XLOOKUP(_xlpm.lookupKey,'EA-Fortescue_SDExport'!A:A,'EA-Fortescue_SDExport'!AD:AD),
    IF(_xlpm.result=0,"",_xlpm.result)
)</f>
        <v>005OP IT/OT Systems</v>
      </c>
      <c r="V163" s="2" t="str">
        <f>_xlfn.LET(
    _xlpm.isObject, _xlfn.XLOOKUP($Q163,'EA-Fortescue_SDExport'!A:A,'EA-Fortescue_SDExport'!B:B),
    _xlpm.lookupKey, IF(_xlpm.isObject="Object",
        _xlfn.XLOOKUP($A163,'EA-ConnectorExport'!A:A,'EA-ConnectorExport'!D:D),
        $Q163
    ),
    _xlpm.result, _xlfn.XLOOKUP(_xlpm.lookupKey,'EA-Fortescue_SDExport'!A:A,'EA-Fortescue_SDExport'!AE:AE),
    IF(_xlpm.result=0,"",_xlpm.result)
)</f>
        <v/>
      </c>
      <c r="W163" s="2" t="str">
        <f>_xlfn.LET(
    _xlpm.isObject, _xlfn.XLOOKUP($Q163,'EA-Fortescue_SDExport'!A:A,'EA-Fortescue_SDExport'!B:B),
    _xlpm.lookupKey, IF(_xlpm.isObject="Object",
        _xlfn.XLOOKUP($A163,'EA-ConnectorExport'!A:A,'EA-ConnectorExport'!D:D),
        $Q163
    ),
    _xlpm.result, _xlfn.XLOOKUP(_xlpm.lookupKey,'EA-Fortescue_SDExport'!A:A,'EA-Fortescue_SDExport'!AF:AF),
    IF(_xlpm.result=0,"",_xlpm.result)
)</f>
        <v>005OP-0000-017 Ignition</v>
      </c>
      <c r="X163" s="2" t="str">
        <f>_xlfn.LET(
    _xlpm.isObject, _xlfn.XLOOKUP($Q163,'EA-Fortescue_SDExport'!A:A,'EA-Fortescue_SDExport'!B:B),
    _xlpm.lookupKey, IF(_xlpm.isObject="Object",
        _xlfn.XLOOKUP($A163,'EA-ConnectorExport'!A:A,'EA-ConnectorExport'!D:D),
        $Q163
    ),
    _xlpm.result, _xlfn.XLOOKUP(_xlpm.lookupKey,'EA-Fortescue_SDExport'!A:A,'EA-Fortescue_SDExport'!AG:AG),
    IF(_xlpm.result=0,"",_xlpm.result)
)</f>
        <v/>
      </c>
      <c r="Y163" s="2" t="str">
        <f>_xlfn.LET(
    _xlpm.status, _xlfn.XLOOKUP($A163,'EA-ConnectorExport'!$A:$A,'EA-ConnectorExport'!G:G),
    _xlpm.result, _xlfn.XLOOKUP($A163,'EA-ConnectorExport'!$A:$A,'EA-ConnectorExport'!H:H),
    IF(_xlpm.status="allocate", _xlpm.result, "")
)</f>
        <v>Mine Services Process Control</v>
      </c>
      <c r="Z163" s="2" t="str">
        <f>_xlfn.LET(
    _xlpm.isObject, _xlfn.XLOOKUP($Y163,'EA-Fortescue_SDExport'!A:A,'EA-Fortescue_SDExport'!B:B),
    _xlpm.lookupKey, IF(_xlpm.isObject="Object",
        _xlfn.XLOOKUP($A163,'EA-ConnectorExport'!A:A,'EA-ConnectorExport'!J:J),
        $Y163
    ),
    _xlpm.result, _xlfn.XLOOKUP(_xlpm.lookupKey,'EA-Fortescue_SDExport'!A:A,'EA-Fortescue_SDExport'!AA:AA),
    IF(_xlpm.result=0,"",_xlpm.result)
)</f>
        <v>Stakeholder</v>
      </c>
      <c r="AA163" s="2" t="str">
        <f>_xlfn.LET(_xlpm.result, _xlfn.XLOOKUP($Y163,'EA-Fortescue_SDExport'!$A:$A,'EA-Fortescue_SDExport'!AB:AB), IF(_xlpm.result=0,"",_xlpm.result))</f>
        <v/>
      </c>
      <c r="AB163" s="2" t="str">
        <f>_xlfn.LET(_xlpm.result, _xlfn.XLOOKUP($Y163,'EA-Fortescue_SDExport'!$A:$A,'EA-Fortescue_SDExport'!AC:AC), IF(_xlpm.result=0,"",_xlpm.result))</f>
        <v/>
      </c>
      <c r="AC163" s="2" t="str">
        <f>_xlfn.LET(
    _xlpm.isObject, _xlfn.XLOOKUP($Y163,'EA-Fortescue_SDExport'!A:A,'EA-Fortescue_SDExport'!B:B),
    _xlpm.lookupKey, IF(_xlpm.isObject="Object",
        _xlfn.XLOOKUP($A163,'EA-ConnectorExport'!A:A,'EA-ConnectorExport'!J:J),
        $Y163
    ),
    _xlpm.result, _xlfn.XLOOKUP(_xlpm.lookupKey,'EA-Fortescue_SDExport'!A:A,'EA-Fortescue_SDExport'!AD:AD),
    IF(_xlpm.result=0,"",_xlpm.result)
)</f>
        <v/>
      </c>
      <c r="AD163" s="2" t="str">
        <f>_xlfn.LET(
    _xlpm.isObject, _xlfn.XLOOKUP($Y163,'EA-Fortescue_SDExport'!A:A,'EA-Fortescue_SDExport'!B:B),
    _xlpm.lookupKey, IF(_xlpm.isObject="Object",
        _xlfn.XLOOKUP($A163,'EA-ConnectorExport'!A:A,'EA-ConnectorExport'!J:J),
        $Y163
    ),
    _xlpm.result, _xlfn.XLOOKUP(_xlpm.lookupKey,'EA-Fortescue_SDExport'!A:A,'EA-Fortescue_SDExport'!AE:AE),
    IF(_xlpm.result=0,"",_xlpm.result)
)</f>
        <v/>
      </c>
      <c r="AE163" s="2" t="str">
        <f>_xlfn.LET(
    _xlpm.isObject, _xlfn.XLOOKUP($Y163,'EA-Fortescue_SDExport'!A:A,'EA-Fortescue_SDExport'!B:B),
    _xlpm.lookupKey, IF(_xlpm.isObject="Object",
        _xlfn.XLOOKUP($A163,'EA-ConnectorExport'!A:A,'EA-ConnectorExport'!J:J),
        $Y163
    ),
    _xlpm.result, _xlfn.XLOOKUP(_xlpm.lookupKey,'EA-Fortescue_SDExport'!A:A,'EA-Fortescue_SDExport'!AF:AF),
    IF(_xlpm.result=0,"",_xlpm.result)
)</f>
        <v/>
      </c>
      <c r="AF163" s="2" t="str">
        <f>_xlfn.LET(
    _xlpm.isObject, _xlfn.XLOOKUP($Y163,'EA-Fortescue_SDExport'!A:A,'EA-Fortescue_SDExport'!B:B),
    _xlpm.lookupKey, IF(_xlpm.isObject="Object",
        _xlfn.XLOOKUP($A163,'EA-ConnectorExport'!A:A,'EA-ConnectorExport'!J:J),
        $Y163
    ),
    _xlpm.result, _xlfn.XLOOKUP(_xlpm.lookupKey,'EA-Fortescue_SDExport'!A:A,'EA-Fortescue_SDExport'!AG:AG),
    IF(_xlpm.result=0,"",_xlpm.result)
)</f>
        <v/>
      </c>
    </row>
    <row r="164" spans="1:32" ht="195" x14ac:dyDescent="0.25">
      <c r="A164" s="2" t="str">
        <v>DGS-I_0163</v>
      </c>
      <c r="B164" s="2" t="str">
        <f t="shared" si="8"/>
        <v>005OP-0000-017-001 Non-Process Infrastructure (NPI) SCADA|Non-Process Infrastructure (NPI) Maintenance Controller</v>
      </c>
      <c r="C164" s="2" t="str">
        <f>_xlfn.LET(_xlpm.result, _xlfn.XLOOKUP(A164,'EA-Fortescue_SDExport'!A:A,'EA-Fortescue_SDExport'!AM:AM), IF(_xlpm.result=0,"",_xlpm.result))</f>
        <v/>
      </c>
      <c r="D164" s="2" t="str">
        <f>_xlfn.LET(_xlpm.result, _xlfn.XLOOKUP(A164,'EA-Fortescue_SDExport'!A:A,'EA-Fortescue_SDExport'!AN:AN), IF(_xlpm.result=0,"",_xlpm.result))</f>
        <v/>
      </c>
      <c r="E164" s="2" t="str">
        <f>_xlfn.XLOOKUP(R164&amp;Z164,Lookups!A:A,Lookups!B:B)</f>
        <v>Stakeholder - Subsystem Interface</v>
      </c>
      <c r="F164" s="2" t="str">
        <f>_xlfn.LET(_xlpm.result, _xlfn.XLOOKUP(A164,'EA-Fortescue_SDExport'!A:A,'EA-Fortescue_SDExport'!AP:AP), IF(_xlpm.result=0,"",_xlpm.result))</f>
        <v>Functional-Operational</v>
      </c>
      <c r="G164" s="2" t="str">
        <f>IF(OR(AND(T164&lt;&gt;"", COUNTIF(Lookups!J:J, "*"&amp;T164&amp;"*")&gt;0), AND(AB164&lt;&gt;"", COUNTIF(Lookups!J:J, "*"&amp;AB164&amp;"*")&gt;0)), "Yes", "No")</f>
        <v>No</v>
      </c>
      <c r="H164" s="2" t="str">
        <f t="shared" si="9"/>
        <v>005OP IT/OT Systems|N/A</v>
      </c>
      <c r="I164" s="2" t="str">
        <f t="shared" si="10"/>
        <v>N/A</v>
      </c>
      <c r="J164" s="2" t="str">
        <f t="shared" si="11"/>
        <v>005OP-0000-017 Ignition|N/A</v>
      </c>
      <c r="K164" s="2" t="str">
        <f>_xlfn.XLOOKUP(A164,'EA-Fortescue_SDExport'!A:A,'EA-Fortescue_SDExport'!N:N)</f>
        <v>Proposed</v>
      </c>
      <c r="L164" s="2" t="str">
        <f>_xlfn.LET(_xlpm.result, _xlfn.XLOOKUP($A164,'EA-Fortescue_SDExport'!$A:$A,'EA-Fortescue_SDExport'!AQ:AQ), IF(_xlpm.result=0,"",_xlpm.result))</f>
        <v>This interface gives the NPI Maintenance Controller access to NPI SCADA data so maintenance staff can diagnose equipment faults, track alarms, and plan corrective actions.</v>
      </c>
      <c r="M164" s="2" t="str">
        <f>_xlfn.LET(_xlpm.result, _xlfn.XLOOKUP($A164,'EA-Fortescue_SDExport'!$A:$A,'EA-Fortescue_SDExport'!AR:AR), IF(_xlpm.result=0,"",_xlpm.result))</f>
        <v>LOW</v>
      </c>
      <c r="N164" s="2" t="str">
        <f>_xlfn.LET(_xlpm.result, _xlfn.XLOOKUP($A164,'EA-Fortescue_SDExport'!$A:$A,'EA-Fortescue_SDExport'!AW:AW), IF(_xlpm.result=0,"",_xlpm.result))</f>
        <v>The criticality level is LOW because SCADA can continue to operate normally, even if the maintenance controller loses access. Failure only affects maintenance efficiency, which can be corrected in subsequent maintenance cycles.</v>
      </c>
      <c r="O164" s="2" t="str">
        <f>_xlfn.LET(_xlpm.result, _xlfn.XLOOKUP($A164,'EA-Fortescue_SDExport'!$A:$A,'EA-Fortescue_SDExport'!AV:AV), IF(_xlpm.result=0,"",_xlpm.result))</f>
        <v>Data Flow:_x000D_
005OP-0000-017 Ignition SCADA -&gt; NPI Maintenance Controller, transmitting equipment status, alarm logs, fault events, suppression activations, and historical trend data to support diagnostics and maintenance planning.</v>
      </c>
      <c r="P164" s="2" t="str">
        <f>_xlfn.LET(_xlpm.result, _xlfn.XLOOKUP($A164,'EA-Fortescue_SDExport'!$A:$A,'EA-Fortescue_SDExport'!D:D), IF(_xlpm.result=0,"",_xlpm.result))</f>
        <v/>
      </c>
      <c r="Q164" s="2" t="str">
        <f>_xlfn.LET(
    _xlpm.status, _xlfn.XLOOKUP($A164,'EA-ConnectorExport'!$A:$A,'EA-ConnectorExport'!G:G),
    _xlpm.result, _xlfn.XLOOKUP($A164,'EA-ConnectorExport'!$A:$A,'EA-ConnectorExport'!B:B),
    IF(_xlpm.status="allocate", _xlpm.result, "")
)</f>
        <v>005OP-0000-017-001 Non-Process Infrastructure (NPI) SCADA</v>
      </c>
      <c r="R164" s="2" t="str">
        <f>IF(
    _xlfn.XLOOKUP($Q164,'EA-Fortescue_SDExport'!A:A,'EA-Fortescue_SDExport'!B:B)="Object",
    _xlfn.XLOOKUP(
        _xlfn.XLOOKUP($A164,'EA-ConnectorExport'!A:A,'EA-ConnectorExport'!D:D),
        'EA-Fortescue_SDExport'!A:A,
        'EA-Fortescue_SDExport'!AA:AA
    ),
    _xlfn.XLOOKUP($Q164,'EA-Fortescue_SDExport'!A:A,'EA-Fortescue_SDExport'!AA:AA)
)</f>
        <v>Subsystem</v>
      </c>
      <c r="S164" s="2" t="str">
        <f>_xlfn.LET(_xlpm.result, _xlfn.XLOOKUP($Q164,'EA-Fortescue_SDExport'!$A:$A,'EA-Fortescue_SDExport'!AB:AB), IF(_xlpm.result=0,"",_xlpm.result))</f>
        <v/>
      </c>
      <c r="T164" s="2" t="str">
        <f>_xlfn.LET(_xlpm.result, _xlfn.XLOOKUP($Q164,'EA-Fortescue_SDExport'!$A:$A,'EA-Fortescue_SDExport'!AC:AC), IF(_xlpm.result=0,"",_xlpm.result))</f>
        <v/>
      </c>
      <c r="U164" s="2" t="str">
        <f>_xlfn.LET(
    _xlpm.isObject, _xlfn.XLOOKUP($Q164,'EA-Fortescue_SDExport'!A:A,'EA-Fortescue_SDExport'!B:B),
    _xlpm.lookupKey, IF(_xlpm.isObject="Object",
        _xlfn.XLOOKUP($A164,'EA-ConnectorExport'!A:A,'EA-ConnectorExport'!D:D),
        $Q164
    ),
    _xlpm.result, _xlfn.XLOOKUP(_xlpm.lookupKey,'EA-Fortescue_SDExport'!A:A,'EA-Fortescue_SDExport'!AD:AD),
    IF(_xlpm.result=0,"",_xlpm.result)
)</f>
        <v>005OP IT/OT Systems</v>
      </c>
      <c r="V164" s="2" t="str">
        <f>_xlfn.LET(
    _xlpm.isObject, _xlfn.XLOOKUP($Q164,'EA-Fortescue_SDExport'!A:A,'EA-Fortescue_SDExport'!B:B),
    _xlpm.lookupKey, IF(_xlpm.isObject="Object",
        _xlfn.XLOOKUP($A164,'EA-ConnectorExport'!A:A,'EA-ConnectorExport'!D:D),
        $Q164
    ),
    _xlpm.result, _xlfn.XLOOKUP(_xlpm.lookupKey,'EA-Fortescue_SDExport'!A:A,'EA-Fortescue_SDExport'!AE:AE),
    IF(_xlpm.result=0,"",_xlpm.result)
)</f>
        <v/>
      </c>
      <c r="W164" s="2" t="str">
        <f>_xlfn.LET(
    _xlpm.isObject, _xlfn.XLOOKUP($Q164,'EA-Fortescue_SDExport'!A:A,'EA-Fortescue_SDExport'!B:B),
    _xlpm.lookupKey, IF(_xlpm.isObject="Object",
        _xlfn.XLOOKUP($A164,'EA-ConnectorExport'!A:A,'EA-ConnectorExport'!D:D),
        $Q164
    ),
    _xlpm.result, _xlfn.XLOOKUP(_xlpm.lookupKey,'EA-Fortescue_SDExport'!A:A,'EA-Fortescue_SDExport'!AF:AF),
    IF(_xlpm.result=0,"",_xlpm.result)
)</f>
        <v>005OP-0000-017 Ignition</v>
      </c>
      <c r="X164" s="2" t="str">
        <f>_xlfn.LET(
    _xlpm.isObject, _xlfn.XLOOKUP($Q164,'EA-Fortescue_SDExport'!A:A,'EA-Fortescue_SDExport'!B:B),
    _xlpm.lookupKey, IF(_xlpm.isObject="Object",
        _xlfn.XLOOKUP($A164,'EA-ConnectorExport'!A:A,'EA-ConnectorExport'!D:D),
        $Q164
    ),
    _xlpm.result, _xlfn.XLOOKUP(_xlpm.lookupKey,'EA-Fortescue_SDExport'!A:A,'EA-Fortescue_SDExport'!AG:AG),
    IF(_xlpm.result=0,"",_xlpm.result)
)</f>
        <v>005OP-0000-017-001 Non-Process Infrastructure (NPI) SCADA</v>
      </c>
      <c r="Y164" s="2" t="str">
        <f>_xlfn.LET(
    _xlpm.status, _xlfn.XLOOKUP($A164,'EA-ConnectorExport'!$A:$A,'EA-ConnectorExport'!G:G),
    _xlpm.result, _xlfn.XLOOKUP($A164,'EA-ConnectorExport'!$A:$A,'EA-ConnectorExport'!H:H),
    IF(_xlpm.status="allocate", _xlpm.result, "")
)</f>
        <v>Non-Process Infrastructure (NPI) Maintenance Controller</v>
      </c>
      <c r="Z164" s="2" t="str">
        <f>_xlfn.LET(
    _xlpm.isObject, _xlfn.XLOOKUP($Y164,'EA-Fortescue_SDExport'!A:A,'EA-Fortescue_SDExport'!B:B),
    _xlpm.lookupKey, IF(_xlpm.isObject="Object",
        _xlfn.XLOOKUP($A164,'EA-ConnectorExport'!A:A,'EA-ConnectorExport'!J:J),
        $Y164
    ),
    _xlpm.result, _xlfn.XLOOKUP(_xlpm.lookupKey,'EA-Fortescue_SDExport'!A:A,'EA-Fortescue_SDExport'!AA:AA),
    IF(_xlpm.result=0,"",_xlpm.result)
)</f>
        <v>Stakeholder</v>
      </c>
      <c r="AA164" s="2" t="str">
        <f>_xlfn.LET(_xlpm.result, _xlfn.XLOOKUP($Y164,'EA-Fortescue_SDExport'!$A:$A,'EA-Fortescue_SDExport'!AB:AB), IF(_xlpm.result=0,"",_xlpm.result))</f>
        <v>Sam Ward</v>
      </c>
      <c r="AB164" s="2" t="str">
        <f>_xlfn.LET(_xlpm.result, _xlfn.XLOOKUP($Y164,'EA-Fortescue_SDExport'!$A:$A,'EA-Fortescue_SDExport'!AC:AC), IF(_xlpm.result=0,"",_xlpm.result))</f>
        <v/>
      </c>
      <c r="AC164" s="2" t="str">
        <f>_xlfn.LET(
    _xlpm.isObject, _xlfn.XLOOKUP($Y164,'EA-Fortescue_SDExport'!A:A,'EA-Fortescue_SDExport'!B:B),
    _xlpm.lookupKey, IF(_xlpm.isObject="Object",
        _xlfn.XLOOKUP($A164,'EA-ConnectorExport'!A:A,'EA-ConnectorExport'!J:J),
        $Y164
    ),
    _xlpm.result, _xlfn.XLOOKUP(_xlpm.lookupKey,'EA-Fortescue_SDExport'!A:A,'EA-Fortescue_SDExport'!AD:AD),
    IF(_xlpm.result=0,"",_xlpm.result)
)</f>
        <v/>
      </c>
      <c r="AD164" s="2" t="str">
        <f>_xlfn.LET(
    _xlpm.isObject, _xlfn.XLOOKUP($Y164,'EA-Fortescue_SDExport'!A:A,'EA-Fortescue_SDExport'!B:B),
    _xlpm.lookupKey, IF(_xlpm.isObject="Object",
        _xlfn.XLOOKUP($A164,'EA-ConnectorExport'!A:A,'EA-ConnectorExport'!J:J),
        $Y164
    ),
    _xlpm.result, _xlfn.XLOOKUP(_xlpm.lookupKey,'EA-Fortescue_SDExport'!A:A,'EA-Fortescue_SDExport'!AE:AE),
    IF(_xlpm.result=0,"",_xlpm.result)
)</f>
        <v/>
      </c>
      <c r="AE164" s="2" t="str">
        <f>_xlfn.LET(
    _xlpm.isObject, _xlfn.XLOOKUP($Y164,'EA-Fortescue_SDExport'!A:A,'EA-Fortescue_SDExport'!B:B),
    _xlpm.lookupKey, IF(_xlpm.isObject="Object",
        _xlfn.XLOOKUP($A164,'EA-ConnectorExport'!A:A,'EA-ConnectorExport'!J:J),
        $Y164
    ),
    _xlpm.result, _xlfn.XLOOKUP(_xlpm.lookupKey,'EA-Fortescue_SDExport'!A:A,'EA-Fortescue_SDExport'!AF:AF),
    IF(_xlpm.result=0,"",_xlpm.result)
)</f>
        <v/>
      </c>
      <c r="AF164" s="2" t="str">
        <f>_xlfn.LET(
    _xlpm.isObject, _xlfn.XLOOKUP($Y164,'EA-Fortescue_SDExport'!A:A,'EA-Fortescue_SDExport'!B:B),
    _xlpm.lookupKey, IF(_xlpm.isObject="Object",
        _xlfn.XLOOKUP($A164,'EA-ConnectorExport'!A:A,'EA-ConnectorExport'!J:J),
        $Y164
    ),
    _xlpm.result, _xlfn.XLOOKUP(_xlpm.lookupKey,'EA-Fortescue_SDExport'!A:A,'EA-Fortescue_SDExport'!AG:AG),
    IF(_xlpm.result=0,"",_xlpm.result)
)</f>
        <v/>
      </c>
    </row>
    <row r="165" spans="1:32" ht="240" x14ac:dyDescent="0.25">
      <c r="A165" s="2" t="str">
        <v>DGS-I_0164</v>
      </c>
      <c r="B165" s="2" t="str">
        <f t="shared" si="8"/>
        <v>005OP-0000-017-002 Fire SCADA|ESO</v>
      </c>
      <c r="C165" s="2" t="str">
        <f>_xlfn.LET(_xlpm.result, _xlfn.XLOOKUP(A165,'EA-Fortescue_SDExport'!A:A,'EA-Fortescue_SDExport'!AM:AM), IF(_xlpm.result=0,"",_xlpm.result))</f>
        <v/>
      </c>
      <c r="D165" s="2" t="str">
        <f>_xlfn.LET(_xlpm.result, _xlfn.XLOOKUP(A165,'EA-Fortescue_SDExport'!A:A,'EA-Fortescue_SDExport'!AN:AN), IF(_xlpm.result=0,"",_xlpm.result))</f>
        <v/>
      </c>
      <c r="E165" s="2" t="str">
        <f>_xlfn.XLOOKUP(R165&amp;Z165,Lookups!A:A,Lookups!B:B)</f>
        <v>Stakeholder - Subsystem Interface</v>
      </c>
      <c r="F165" s="2" t="str">
        <f>_xlfn.LET(_xlpm.result, _xlfn.XLOOKUP(A165,'EA-Fortescue_SDExport'!A:A,'EA-Fortescue_SDExport'!AP:AP), IF(_xlpm.result=0,"",_xlpm.result))</f>
        <v>Technical-Data/Software</v>
      </c>
      <c r="G165" s="2" t="str">
        <f>IF(OR(AND(T165&lt;&gt;"", COUNTIF(Lookups!J:J, "*"&amp;T165&amp;"*")&gt;0), AND(AB165&lt;&gt;"", COUNTIF(Lookups!J:J, "*"&amp;AB165&amp;"*")&gt;0)), "Yes", "No")</f>
        <v>No</v>
      </c>
      <c r="H165" s="2" t="str">
        <f t="shared" si="9"/>
        <v>005OP IT/OT Systems|N/A</v>
      </c>
      <c r="I165" s="2" t="str">
        <f t="shared" si="10"/>
        <v>N/A</v>
      </c>
      <c r="J165" s="2" t="str">
        <f t="shared" si="11"/>
        <v>005OP-0000-017 Ignition|N/A</v>
      </c>
      <c r="K165" s="2" t="str">
        <f>_xlfn.XLOOKUP(A165,'EA-Fortescue_SDExport'!A:A,'EA-Fortescue_SDExport'!N:N)</f>
        <v>Proposed</v>
      </c>
      <c r="L165" s="2" t="str">
        <f>_xlfn.LET(_xlpm.result, _xlfn.XLOOKUP($A165,'EA-Fortescue_SDExport'!$A:$A,'EA-Fortescue_SDExport'!AQ:AQ), IF(_xlpm.result=0,"",_xlpm.result))</f>
        <v>This interface delivers fire system alarms, suppression status, and emergency notifications from Fire SCADA to ESO (Emergency Support/Services Operations), ensuring timely incident response.</v>
      </c>
      <c r="M165" s="2" t="str">
        <f>_xlfn.LET(_xlpm.result, _xlfn.XLOOKUP($A165,'EA-Fortescue_SDExport'!$A:$A,'EA-Fortescue_SDExport'!AR:AR), IF(_xlpm.result=0,"",_xlpm.result))</f>
        <v>HIGH</v>
      </c>
      <c r="N165" s="2" t="str">
        <f>_xlfn.LET(_xlpm.result, _xlfn.XLOOKUP($A165,'EA-Fortescue_SDExport'!$A:$A,'EA-Fortescue_SDExport'!AW:AW), IF(_xlpm.result=0,"",_xlpm.result))</f>
        <v>The criticality level is HIGH because emergency teams need accurate and immediate fire information to safeguard personnel and electrical assets. Fire incidents require quick responses, and delays caused by missing or incorrect data can significantly increase safety risks and the severity of incidents.</v>
      </c>
      <c r="O165" s="2" t="str">
        <f>_xlfn.LET(_xlpm.result, _xlfn.XLOOKUP($A165,'EA-Fortescue_SDExport'!$A:$A,'EA-Fortescue_SDExport'!AV:AV), IF(_xlpm.result=0,"",_xlpm.result))</f>
        <v>Data Flow: Fire SCADA (Ignition) -&gt; ESO (Emergency Support/Services Operations) (fire alarms, suppression system status, zone isolation status, emergency notifications, equipment status, fault events) to enable rapid incident response and coordination._x000D_
Primarily one-way emergency notification interface; acknowledgements may be logged via separate operational systems.</v>
      </c>
      <c r="P165" s="2" t="str">
        <f>_xlfn.LET(_xlpm.result, _xlfn.XLOOKUP($A165,'EA-Fortescue_SDExport'!$A:$A,'EA-Fortescue_SDExport'!D:D), IF(_xlpm.result=0,"",_xlpm.result))</f>
        <v>SCADA Review 30/10/2025:Potential to track fire alarms through Ignition for all sites. (interface on hold)._x000D_
NH 20/02/2026: Fields updated: Interface Type, Interface Flow.</v>
      </c>
      <c r="Q165" s="2" t="str">
        <f>_xlfn.LET(
    _xlpm.status, _xlfn.XLOOKUP($A165,'EA-ConnectorExport'!$A:$A,'EA-ConnectorExport'!G:G),
    _xlpm.result, _xlfn.XLOOKUP($A165,'EA-ConnectorExport'!$A:$A,'EA-ConnectorExport'!B:B),
    IF(_xlpm.status="allocate", _xlpm.result, "")
)</f>
        <v>005OP-0000-017-002 Fire SCADA</v>
      </c>
      <c r="R165" s="2" t="str">
        <f>IF(
    _xlfn.XLOOKUP($Q165,'EA-Fortescue_SDExport'!A:A,'EA-Fortescue_SDExport'!B:B)="Object",
    _xlfn.XLOOKUP(
        _xlfn.XLOOKUP($A165,'EA-ConnectorExport'!A:A,'EA-ConnectorExport'!D:D),
        'EA-Fortescue_SDExport'!A:A,
        'EA-Fortescue_SDExport'!AA:AA
    ),
    _xlfn.XLOOKUP($Q165,'EA-Fortescue_SDExport'!A:A,'EA-Fortescue_SDExport'!AA:AA)
)</f>
        <v>Subsystem</v>
      </c>
      <c r="S165" s="2" t="str">
        <f>_xlfn.LET(_xlpm.result, _xlfn.XLOOKUP($Q165,'EA-Fortescue_SDExport'!$A:$A,'EA-Fortescue_SDExport'!AB:AB), IF(_xlpm.result=0,"",_xlpm.result))</f>
        <v/>
      </c>
      <c r="T165" s="2" t="str">
        <f>_xlfn.LET(_xlpm.result, _xlfn.XLOOKUP($Q165,'EA-Fortescue_SDExport'!$A:$A,'EA-Fortescue_SDExport'!AC:AC), IF(_xlpm.result=0,"",_xlpm.result))</f>
        <v/>
      </c>
      <c r="U165" s="2" t="str">
        <f>_xlfn.LET(
    _xlpm.isObject, _xlfn.XLOOKUP($Q165,'EA-Fortescue_SDExport'!A:A,'EA-Fortescue_SDExport'!B:B),
    _xlpm.lookupKey, IF(_xlpm.isObject="Object",
        _xlfn.XLOOKUP($A165,'EA-ConnectorExport'!A:A,'EA-ConnectorExport'!D:D),
        $Q165
    ),
    _xlpm.result, _xlfn.XLOOKUP(_xlpm.lookupKey,'EA-Fortescue_SDExport'!A:A,'EA-Fortescue_SDExport'!AD:AD),
    IF(_xlpm.result=0,"",_xlpm.result)
)</f>
        <v>005OP IT/OT Systems</v>
      </c>
      <c r="V165" s="2" t="str">
        <f>_xlfn.LET(
    _xlpm.isObject, _xlfn.XLOOKUP($Q165,'EA-Fortescue_SDExport'!A:A,'EA-Fortescue_SDExport'!B:B),
    _xlpm.lookupKey, IF(_xlpm.isObject="Object",
        _xlfn.XLOOKUP($A165,'EA-ConnectorExport'!A:A,'EA-ConnectorExport'!D:D),
        $Q165
    ),
    _xlpm.result, _xlfn.XLOOKUP(_xlpm.lookupKey,'EA-Fortescue_SDExport'!A:A,'EA-Fortescue_SDExport'!AE:AE),
    IF(_xlpm.result=0,"",_xlpm.result)
)</f>
        <v/>
      </c>
      <c r="W165" s="2" t="str">
        <f>_xlfn.LET(
    _xlpm.isObject, _xlfn.XLOOKUP($Q165,'EA-Fortescue_SDExport'!A:A,'EA-Fortescue_SDExport'!B:B),
    _xlpm.lookupKey, IF(_xlpm.isObject="Object",
        _xlfn.XLOOKUP($A165,'EA-ConnectorExport'!A:A,'EA-ConnectorExport'!D:D),
        $Q165
    ),
    _xlpm.result, _xlfn.XLOOKUP(_xlpm.lookupKey,'EA-Fortescue_SDExport'!A:A,'EA-Fortescue_SDExport'!AF:AF),
    IF(_xlpm.result=0,"",_xlpm.result)
)</f>
        <v>005OP-0000-017 Ignition</v>
      </c>
      <c r="X165" s="2" t="str">
        <f>_xlfn.LET(
    _xlpm.isObject, _xlfn.XLOOKUP($Q165,'EA-Fortescue_SDExport'!A:A,'EA-Fortescue_SDExport'!B:B),
    _xlpm.lookupKey, IF(_xlpm.isObject="Object",
        _xlfn.XLOOKUP($A165,'EA-ConnectorExport'!A:A,'EA-ConnectorExport'!D:D),
        $Q165
    ),
    _xlpm.result, _xlfn.XLOOKUP(_xlpm.lookupKey,'EA-Fortescue_SDExport'!A:A,'EA-Fortescue_SDExport'!AG:AG),
    IF(_xlpm.result=0,"",_xlpm.result)
)</f>
        <v>005OP-0000-017-002 Fire SCADA</v>
      </c>
      <c r="Y165" s="2" t="str">
        <f>_xlfn.LET(
    _xlpm.status, _xlfn.XLOOKUP($A165,'EA-ConnectorExport'!$A:$A,'EA-ConnectorExport'!G:G),
    _xlpm.result, _xlfn.XLOOKUP($A165,'EA-ConnectorExport'!$A:$A,'EA-ConnectorExport'!H:H),
    IF(_xlpm.status="allocate", _xlpm.result, "")
)</f>
        <v>ESO</v>
      </c>
      <c r="Z165" s="2" t="str">
        <f>_xlfn.LET(
    _xlpm.isObject, _xlfn.XLOOKUP($Y165,'EA-Fortescue_SDExport'!A:A,'EA-Fortescue_SDExport'!B:B),
    _xlpm.lookupKey, IF(_xlpm.isObject="Object",
        _xlfn.XLOOKUP($A165,'EA-ConnectorExport'!A:A,'EA-ConnectorExport'!J:J),
        $Y165
    ),
    _xlpm.result, _xlfn.XLOOKUP(_xlpm.lookupKey,'EA-Fortescue_SDExport'!A:A,'EA-Fortescue_SDExport'!AA:AA),
    IF(_xlpm.result=0,"",_xlpm.result)
)</f>
        <v>Stakeholder</v>
      </c>
      <c r="AA165" s="2" t="str">
        <f>_xlfn.LET(_xlpm.result, _xlfn.XLOOKUP($Y165,'EA-Fortescue_SDExport'!$A:$A,'EA-Fortescue_SDExport'!AB:AB), IF(_xlpm.result=0,"",_xlpm.result))</f>
        <v/>
      </c>
      <c r="AB165" s="2" t="str">
        <f>_xlfn.LET(_xlpm.result, _xlfn.XLOOKUP($Y165,'EA-Fortescue_SDExport'!$A:$A,'EA-Fortescue_SDExport'!AC:AC), IF(_xlpm.result=0,"",_xlpm.result))</f>
        <v/>
      </c>
      <c r="AC165" s="2" t="str">
        <f>_xlfn.LET(
    _xlpm.isObject, _xlfn.XLOOKUP($Y165,'EA-Fortescue_SDExport'!A:A,'EA-Fortescue_SDExport'!B:B),
    _xlpm.lookupKey, IF(_xlpm.isObject="Object",
        _xlfn.XLOOKUP($A165,'EA-ConnectorExport'!A:A,'EA-ConnectorExport'!J:J),
        $Y165
    ),
    _xlpm.result, _xlfn.XLOOKUP(_xlpm.lookupKey,'EA-Fortescue_SDExport'!A:A,'EA-Fortescue_SDExport'!AD:AD),
    IF(_xlpm.result=0,"",_xlpm.result)
)</f>
        <v/>
      </c>
      <c r="AD165" s="2" t="str">
        <f>_xlfn.LET(
    _xlpm.isObject, _xlfn.XLOOKUP($Y165,'EA-Fortescue_SDExport'!A:A,'EA-Fortescue_SDExport'!B:B),
    _xlpm.lookupKey, IF(_xlpm.isObject="Object",
        _xlfn.XLOOKUP($A165,'EA-ConnectorExport'!A:A,'EA-ConnectorExport'!J:J),
        $Y165
    ),
    _xlpm.result, _xlfn.XLOOKUP(_xlpm.lookupKey,'EA-Fortescue_SDExport'!A:A,'EA-Fortescue_SDExport'!AE:AE),
    IF(_xlpm.result=0,"",_xlpm.result)
)</f>
        <v/>
      </c>
      <c r="AE165" s="2" t="str">
        <f>_xlfn.LET(
    _xlpm.isObject, _xlfn.XLOOKUP($Y165,'EA-Fortescue_SDExport'!A:A,'EA-Fortescue_SDExport'!B:B),
    _xlpm.lookupKey, IF(_xlpm.isObject="Object",
        _xlfn.XLOOKUP($A165,'EA-ConnectorExport'!A:A,'EA-ConnectorExport'!J:J),
        $Y165
    ),
    _xlpm.result, _xlfn.XLOOKUP(_xlpm.lookupKey,'EA-Fortescue_SDExport'!A:A,'EA-Fortescue_SDExport'!AF:AF),
    IF(_xlpm.result=0,"",_xlpm.result)
)</f>
        <v/>
      </c>
      <c r="AF165" s="2" t="str">
        <f>_xlfn.LET(
    _xlpm.isObject, _xlfn.XLOOKUP($Y165,'EA-Fortescue_SDExport'!A:A,'EA-Fortescue_SDExport'!B:B),
    _xlpm.lookupKey, IF(_xlpm.isObject="Object",
        _xlfn.XLOOKUP($A165,'EA-ConnectorExport'!A:A,'EA-ConnectorExport'!J:J),
        $Y165
    ),
    _xlpm.result, _xlfn.XLOOKUP(_xlpm.lookupKey,'EA-Fortescue_SDExport'!A:A,'EA-Fortescue_SDExport'!AG:AG),
    IF(_xlpm.result=0,"",_xlpm.result)
)</f>
        <v/>
      </c>
    </row>
    <row r="166" spans="1:32" ht="225" x14ac:dyDescent="0.25">
      <c r="A166" s="2" t="str">
        <v>DGS-I_0165</v>
      </c>
      <c r="B166" s="2" t="str">
        <f t="shared" si="8"/>
        <v>Non-Process Infrastructure (NPI) Maintenance Controller|855DC-1542-008 Mine Electrification SCADA</v>
      </c>
      <c r="C166" s="2" t="str">
        <f>_xlfn.LET(_xlpm.result, _xlfn.XLOOKUP(A166,'EA-Fortescue_SDExport'!A:A,'EA-Fortescue_SDExport'!AM:AM), IF(_xlpm.result=0,"",_xlpm.result))</f>
        <v/>
      </c>
      <c r="D166" s="2" t="str">
        <f>_xlfn.LET(_xlpm.result, _xlfn.XLOOKUP(A166,'EA-Fortescue_SDExport'!A:A,'EA-Fortescue_SDExport'!AN:AN), IF(_xlpm.result=0,"",_xlpm.result))</f>
        <v/>
      </c>
      <c r="E166" s="2" t="str">
        <f>_xlfn.XLOOKUP(R166&amp;Z166,Lookups!A:A,Lookups!B:B)</f>
        <v>Stakeholder - Project Interface</v>
      </c>
      <c r="F166" s="2" t="str">
        <f>_xlfn.LET(_xlpm.result, _xlfn.XLOOKUP(A166,'EA-Fortescue_SDExport'!A:A,'EA-Fortescue_SDExport'!AP:AP), IF(_xlpm.result=0,"",_xlpm.result))</f>
        <v/>
      </c>
      <c r="G166" s="2" t="str">
        <f>IF(OR(AND(T166&lt;&gt;"", COUNTIF(Lookups!J:J, "*"&amp;T166&amp;"*")&gt;0), AND(AB166&lt;&gt;"", COUNTIF(Lookups!J:J, "*"&amp;AB166&amp;"*")&gt;0)), "Yes", "No")</f>
        <v>No</v>
      </c>
      <c r="H166" s="2" t="str">
        <f t="shared" si="9"/>
        <v>N/A|855DC Decarb Green Systems</v>
      </c>
      <c r="I166" s="2" t="str">
        <f t="shared" si="10"/>
        <v>N/A|855DC-1542 Control &amp; Monitoring Systems</v>
      </c>
      <c r="J166" s="2" t="str">
        <f t="shared" si="11"/>
        <v>N/A|855DC-1542-008 Mine Electrification SCADA</v>
      </c>
      <c r="K166" s="2" t="str">
        <f>_xlfn.XLOOKUP(A166,'EA-Fortescue_SDExport'!A:A,'EA-Fortescue_SDExport'!N:N)</f>
        <v>Deleted</v>
      </c>
      <c r="L166" s="2" t="str">
        <f>_xlfn.LET(_xlpm.result, _xlfn.XLOOKUP($A166,'EA-Fortescue_SDExport'!$A:$A,'EA-Fortescue_SDExport'!AQ:AQ), IF(_xlpm.result=0,"",_xlpm.result))</f>
        <v>This interface allows the NPI Maintenance Controller to access SCADA data on NPI-managed electrical equipment, enabling fault diagnosis and effective maintenance coordination.</v>
      </c>
      <c r="M166" s="2" t="str">
        <f>_xlfn.LET(_xlpm.result, _xlfn.XLOOKUP($A166,'EA-Fortescue_SDExport'!$A:$A,'EA-Fortescue_SDExport'!AR:AR), IF(_xlpm.result=0,"",_xlpm.result))</f>
        <v>LOW</v>
      </c>
      <c r="N166" s="2" t="str">
        <f>_xlfn.LET(_xlpm.result, _xlfn.XLOOKUP($A166,'EA-Fortescue_SDExport'!$A:$A,'EA-Fortescue_SDExport'!AW:AW), IF(_xlpm.result=0,"",_xlpm.result))</f>
        <v>The criticality level is LOW because it supports maintenance workflows rather than real-time electrical control. SCADA can remain operational independently, and outages only reduce maintenance efficiency, rather than affecting electrical safety or production uptime.</v>
      </c>
      <c r="O166" s="2" t="str">
        <f>_xlfn.LET(_xlpm.result, _xlfn.XLOOKUP($A166,'EA-Fortescue_SDExport'!$A:$A,'EA-Fortescue_SDExport'!AV:AV), IF(_xlpm.result=0,"",_xlpm.result))</f>
        <v/>
      </c>
      <c r="P166" s="2" t="str">
        <f>_xlfn.LET(_xlpm.result, _xlfn.XLOOKUP($A166,'EA-Fortescue_SDExport'!$A:$A,'EA-Fortescue_SDExport'!D:D), IF(_xlpm.result=0,"",_xlpm.result))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This interface is covered by DGS-I_0163: 005OP-0000-017-001 Non-Process Infrastructure (NPI) SCADA|Non-Process Infrastructure (NPI) Maintenance Controller. This interface is deleted.</v>
      </c>
      <c r="Q166" s="2" t="str">
        <f>_xlfn.LET(
    _xlpm.status, _xlfn.XLOOKUP($A166,'EA-ConnectorExport'!$A:$A,'EA-ConnectorExport'!G:G),
    _xlpm.result, _xlfn.XLOOKUP($A166,'EA-ConnectorExport'!$A:$A,'EA-ConnectorExport'!B:B),
    IF(_xlpm.status="allocate", _xlpm.result, "")
)</f>
        <v>Non-Process Infrastructure (NPI) Maintenance Controller</v>
      </c>
      <c r="R166" s="2" t="str">
        <f>IF(
    _xlfn.XLOOKUP($Q166,'EA-Fortescue_SDExport'!A:A,'EA-Fortescue_SDExport'!B:B)="Object",
    _xlfn.XLOOKUP(
        _xlfn.XLOOKUP($A166,'EA-ConnectorExport'!A:A,'EA-ConnectorExport'!D:D),
        'EA-Fortescue_SDExport'!A:A,
        'EA-Fortescue_SDExport'!AA:AA
    ),
    _xlfn.XLOOKUP($Q166,'EA-Fortescue_SDExport'!A:A,'EA-Fortescue_SDExport'!AA:AA)
)</f>
        <v>Stakeholder</v>
      </c>
      <c r="S166" s="2" t="str">
        <f>_xlfn.LET(_xlpm.result, _xlfn.XLOOKUP($Q166,'EA-Fortescue_SDExport'!$A:$A,'EA-Fortescue_SDExport'!AB:AB), IF(_xlpm.result=0,"",_xlpm.result))</f>
        <v>Sam Ward</v>
      </c>
      <c r="T166" s="2" t="str">
        <f>_xlfn.LET(_xlpm.result, _xlfn.XLOOKUP($Q166,'EA-Fortescue_SDExport'!$A:$A,'EA-Fortescue_SDExport'!AC:AC), IF(_xlpm.result=0,"",_xlpm.result))</f>
        <v/>
      </c>
      <c r="U166" s="2" t="str">
        <f>_xlfn.LET(
    _xlpm.isObject, _xlfn.XLOOKUP($Q166,'EA-Fortescue_SDExport'!A:A,'EA-Fortescue_SDExport'!B:B),
    _xlpm.lookupKey, IF(_xlpm.isObject="Object",
        _xlfn.XLOOKUP($A166,'EA-ConnectorExport'!A:A,'EA-ConnectorExport'!D:D),
        $Q166
    ),
    _xlpm.result, _xlfn.XLOOKUP(_xlpm.lookupKey,'EA-Fortescue_SDExport'!A:A,'EA-Fortescue_SDExport'!AD:AD),
    IF(_xlpm.result=0,"",_xlpm.result)
)</f>
        <v/>
      </c>
      <c r="V166" s="2" t="str">
        <f>_xlfn.LET(
    _xlpm.isObject, _xlfn.XLOOKUP($Q166,'EA-Fortescue_SDExport'!A:A,'EA-Fortescue_SDExport'!B:B),
    _xlpm.lookupKey, IF(_xlpm.isObject="Object",
        _xlfn.XLOOKUP($A166,'EA-ConnectorExport'!A:A,'EA-ConnectorExport'!D:D),
        $Q166
    ),
    _xlpm.result, _xlfn.XLOOKUP(_xlpm.lookupKey,'EA-Fortescue_SDExport'!A:A,'EA-Fortescue_SDExport'!AE:AE),
    IF(_xlpm.result=0,"",_xlpm.result)
)</f>
        <v/>
      </c>
      <c r="W166" s="2" t="str">
        <f>_xlfn.LET(
    _xlpm.isObject, _xlfn.XLOOKUP($Q166,'EA-Fortescue_SDExport'!A:A,'EA-Fortescue_SDExport'!B:B),
    _xlpm.lookupKey, IF(_xlpm.isObject="Object",
        _xlfn.XLOOKUP($A166,'EA-ConnectorExport'!A:A,'EA-ConnectorExport'!D:D),
        $Q166
    ),
    _xlpm.result, _xlfn.XLOOKUP(_xlpm.lookupKey,'EA-Fortescue_SDExport'!A:A,'EA-Fortescue_SDExport'!AF:AF),
    IF(_xlpm.result=0,"",_xlpm.result)
)</f>
        <v/>
      </c>
      <c r="X166" s="2" t="str">
        <f>_xlfn.LET(
    _xlpm.isObject, _xlfn.XLOOKUP($Q166,'EA-Fortescue_SDExport'!A:A,'EA-Fortescue_SDExport'!B:B),
    _xlpm.lookupKey, IF(_xlpm.isObject="Object",
        _xlfn.XLOOKUP($A166,'EA-ConnectorExport'!A:A,'EA-ConnectorExport'!D:D),
        $Q166
    ),
    _xlpm.result, _xlfn.XLOOKUP(_xlpm.lookupKey,'EA-Fortescue_SDExport'!A:A,'EA-Fortescue_SDExport'!AG:AG),
    IF(_xlpm.result=0,"",_xlpm.result)
)</f>
        <v/>
      </c>
      <c r="Y166" s="2" t="str">
        <f>_xlfn.LET(
    _xlpm.status, _xlfn.XLOOKUP($A166,'EA-ConnectorExport'!$A:$A,'EA-ConnectorExport'!G:G),
    _xlpm.result, _xlfn.XLOOKUP($A166,'EA-ConnectorExport'!$A:$A,'EA-ConnectorExport'!H:H),
    IF(_xlpm.status="allocate", _xlpm.result, "")
)</f>
        <v>855DC-1542-008 Mine Electrification SCADA</v>
      </c>
      <c r="Z166" s="2" t="str">
        <f>_xlfn.LET(
    _xlpm.isObject, _xlfn.XLOOKUP($Y166,'EA-Fortescue_SDExport'!A:A,'EA-Fortescue_SDExport'!B:B),
    _xlpm.lookupKey, IF(_xlpm.isObject="Object",
        _xlfn.XLOOKUP($A166,'EA-ConnectorExport'!A:A,'EA-ConnectorExport'!J:J),
        $Y166
    ),
    _xlpm.result, _xlfn.XLOOKUP(_xlpm.lookupKey,'EA-Fortescue_SDExport'!A:A,'EA-Fortescue_SDExport'!AA:AA),
    IF(_xlpm.result=0,"",_xlpm.result)
)</f>
        <v>Project</v>
      </c>
      <c r="AA166" s="2" t="str">
        <f>_xlfn.LET(_xlpm.result, _xlfn.XLOOKUP($Y166,'EA-Fortescue_SDExport'!$A:$A,'EA-Fortescue_SDExport'!AB:AB), IF(_xlpm.result=0,"",_xlpm.result))</f>
        <v>Mine Services</v>
      </c>
      <c r="AB166" s="2" t="str">
        <f>_xlfn.LET(_xlpm.result, _xlfn.XLOOKUP($Y166,'EA-Fortescue_SDExport'!$A:$A,'EA-Fortescue_SDExport'!AC:AC), IF(_xlpm.result=0,"",_xlpm.result))</f>
        <v/>
      </c>
      <c r="AC166" s="2" t="str">
        <f>_xlfn.LET(
    _xlpm.isObject, _xlfn.XLOOKUP($Y166,'EA-Fortescue_SDExport'!A:A,'EA-Fortescue_SDExport'!B:B),
    _xlpm.lookupKey, IF(_xlpm.isObject="Object",
        _xlfn.XLOOKUP($A166,'EA-ConnectorExport'!A:A,'EA-ConnectorExport'!J:J),
        $Y166
    ),
    _xlpm.result, _xlfn.XLOOKUP(_xlpm.lookupKey,'EA-Fortescue_SDExport'!A:A,'EA-Fortescue_SDExport'!AD:AD),
    IF(_xlpm.result=0,"",_xlpm.result)
)</f>
        <v>855DC Decarb Green Systems</v>
      </c>
      <c r="AD166" s="2" t="str">
        <f>_xlfn.LET(
    _xlpm.isObject, _xlfn.XLOOKUP($Y166,'EA-Fortescue_SDExport'!A:A,'EA-Fortescue_SDExport'!B:B),
    _xlpm.lookupKey, IF(_xlpm.isObject="Object",
        _xlfn.XLOOKUP($A166,'EA-ConnectorExport'!A:A,'EA-ConnectorExport'!J:J),
        $Y166
    ),
    _xlpm.result, _xlfn.XLOOKUP(_xlpm.lookupKey,'EA-Fortescue_SDExport'!A:A,'EA-Fortescue_SDExport'!AE:AE),
    IF(_xlpm.result=0,"",_xlpm.result)
)</f>
        <v>855DC-1542 Control &amp; Monitoring Systems</v>
      </c>
      <c r="AE166" s="2" t="str">
        <f>_xlfn.LET(
    _xlpm.isObject, _xlfn.XLOOKUP($Y166,'EA-Fortescue_SDExport'!A:A,'EA-Fortescue_SDExport'!B:B),
    _xlpm.lookupKey, IF(_xlpm.isObject="Object",
        _xlfn.XLOOKUP($A166,'EA-ConnectorExport'!A:A,'EA-ConnectorExport'!J:J),
        $Y166
    ),
    _xlpm.result, _xlfn.XLOOKUP(_xlpm.lookupKey,'EA-Fortescue_SDExport'!A:A,'EA-Fortescue_SDExport'!AF:AF),
    IF(_xlpm.result=0,"",_xlpm.result)
)</f>
        <v>855DC-1542-008 Mine Electrification SCADA</v>
      </c>
      <c r="AF166" s="2" t="str">
        <f>_xlfn.LET(
    _xlpm.isObject, _xlfn.XLOOKUP($Y166,'EA-Fortescue_SDExport'!A:A,'EA-Fortescue_SDExport'!B:B),
    _xlpm.lookupKey, IF(_xlpm.isObject="Object",
        _xlfn.XLOOKUP($A166,'EA-ConnectorExport'!A:A,'EA-ConnectorExport'!J:J),
        $Y166
    ),
    _xlpm.result, _xlfn.XLOOKUP(_xlpm.lookupKey,'EA-Fortescue_SDExport'!A:A,'EA-Fortescue_SDExport'!AG:AG),
    IF(_xlpm.result=0,"",_xlpm.result)
)</f>
        <v/>
      </c>
    </row>
    <row r="167" spans="1:32" ht="270" x14ac:dyDescent="0.25">
      <c r="A167" s="2" t="str">
        <v>DGS-I_0166</v>
      </c>
      <c r="B167" s="2" t="str">
        <f t="shared" si="8"/>
        <v>ESO|855DC-1542-008 Mine Electrification SCADA</v>
      </c>
      <c r="C167" s="2" t="str">
        <f>_xlfn.LET(_xlpm.result, _xlfn.XLOOKUP(A167,'EA-Fortescue_SDExport'!A:A,'EA-Fortescue_SDExport'!AM:AM), IF(_xlpm.result=0,"",_xlpm.result))</f>
        <v/>
      </c>
      <c r="D167" s="2" t="str">
        <f>_xlfn.LET(_xlpm.result, _xlfn.XLOOKUP(A167,'EA-Fortescue_SDExport'!A:A,'EA-Fortescue_SDExport'!AN:AN), IF(_xlpm.result=0,"",_xlpm.result))</f>
        <v/>
      </c>
      <c r="E167" s="2" t="str">
        <f>_xlfn.XLOOKUP(R167&amp;Z167,Lookups!A:A,Lookups!B:B)</f>
        <v>Stakeholder - Project Interface</v>
      </c>
      <c r="F167" s="2" t="str">
        <f>_xlfn.LET(_xlpm.result, _xlfn.XLOOKUP(A167,'EA-Fortescue_SDExport'!A:A,'EA-Fortescue_SDExport'!AP:AP), IF(_xlpm.result=0,"",_xlpm.result))</f>
        <v>Technical-Data/Software</v>
      </c>
      <c r="G167" s="2" t="str">
        <f>IF(OR(AND(T167&lt;&gt;"", COUNTIF(Lookups!J:J, "*"&amp;T167&amp;"*")&gt;0), AND(AB167&lt;&gt;"", COUNTIF(Lookups!J:J, "*"&amp;AB167&amp;"*")&gt;0)), "Yes", "No")</f>
        <v>No</v>
      </c>
      <c r="H167" s="2" t="str">
        <f t="shared" si="9"/>
        <v>N/A|855DC Decarb Green Systems</v>
      </c>
      <c r="I167" s="2" t="str">
        <f t="shared" si="10"/>
        <v>N/A|855DC-1542 Control &amp; Monitoring Systems</v>
      </c>
      <c r="J167" s="2" t="str">
        <f t="shared" si="11"/>
        <v>N/A|855DC-1542-008 Mine Electrification SCADA</v>
      </c>
      <c r="K167" s="2" t="str">
        <f>_xlfn.XLOOKUP(A167,'EA-Fortescue_SDExport'!A:A,'EA-Fortescue_SDExport'!N:N)</f>
        <v>Deleted</v>
      </c>
      <c r="L167" s="2" t="str">
        <f>_xlfn.LET(_xlpm.result, _xlfn.XLOOKUP($A167,'EA-Fortescue_SDExport'!$A:$A,'EA-Fortescue_SDExport'!AQ:AQ), IF(_xlpm.result=0,"",_xlpm.result))</f>
        <v>This interface provides ESO with electrical network alarms, breaker states, and equipment conditions from Mine Electrification SCADA, enabling emergency personnel or responders to act safely around energised infrastructure.</v>
      </c>
      <c r="M167" s="2" t="str">
        <f>_xlfn.LET(_xlpm.result, _xlfn.XLOOKUP($A167,'EA-Fortescue_SDExport'!$A:$A,'EA-Fortescue_SDExport'!AR:AR), IF(_xlpm.result=0,"",_xlpm.result))</f>
        <v>HIGH</v>
      </c>
      <c r="N167" s="2" t="str">
        <f>_xlfn.LET(_xlpm.result, _xlfn.XLOOKUP($A167,'EA-Fortescue_SDExport'!$A:$A,'EA-Fortescue_SDExport'!AW:AW), IF(_xlpm.result=0,"",_xlpm.result))</f>
        <v>The criticality level is HIGH because emergency responders rely on accurate SCADA information to prevent live electrical hazards and respond appropriately during incidents. Losing this interface jeopardises the safety of personnel during emergency situations, especially around HV equipment.</v>
      </c>
      <c r="O167" s="2" t="str">
        <f>_xlfn.LET(_xlpm.result, _xlfn.XLOOKUP($A167,'EA-Fortescue_SDExport'!$A:$A,'EA-Fortescue_SDExport'!AV:AV), IF(_xlpm.result=0,"",_xlpm.result))</f>
        <v/>
      </c>
      <c r="P167" s="2" t="str">
        <f>_xlfn.LET(_xlpm.result, _xlfn.XLOOKUP($A167,'EA-Fortescue_SDExport'!$A:$A,'EA-Fortescue_SDExport'!D:D), IF(_xlpm.result=0,"",_xlpm.result))</f>
        <v>SCADA Review 30/10/2025:Potential to track fire alarms through Ignition for all sites. (interface on hold)._x000D_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This interface is covered by DGS-I_0164: 005OP-0000-017-002 Fire SCADA|ESO</v>
      </c>
      <c r="Q167" s="2" t="str">
        <f>_xlfn.LET(
    _xlpm.status, _xlfn.XLOOKUP($A167,'EA-ConnectorExport'!$A:$A,'EA-ConnectorExport'!G:G),
    _xlpm.result, _xlfn.XLOOKUP($A167,'EA-ConnectorExport'!$A:$A,'EA-ConnectorExport'!B:B),
    IF(_xlpm.status="allocate", _xlpm.result, "")
)</f>
        <v>ESO</v>
      </c>
      <c r="R167" s="2" t="str">
        <f>IF(
    _xlfn.XLOOKUP($Q167,'EA-Fortescue_SDExport'!A:A,'EA-Fortescue_SDExport'!B:B)="Object",
    _xlfn.XLOOKUP(
        _xlfn.XLOOKUP($A167,'EA-ConnectorExport'!A:A,'EA-ConnectorExport'!D:D),
        'EA-Fortescue_SDExport'!A:A,
        'EA-Fortescue_SDExport'!AA:AA
    ),
    _xlfn.XLOOKUP($Q167,'EA-Fortescue_SDExport'!A:A,'EA-Fortescue_SDExport'!AA:AA)
)</f>
        <v>Stakeholder</v>
      </c>
      <c r="S167" s="2" t="str">
        <f>_xlfn.LET(_xlpm.result, _xlfn.XLOOKUP($Q167,'EA-Fortescue_SDExport'!$A:$A,'EA-Fortescue_SDExport'!AB:AB), IF(_xlpm.result=0,"",_xlpm.result))</f>
        <v/>
      </c>
      <c r="T167" s="2" t="str">
        <f>_xlfn.LET(_xlpm.result, _xlfn.XLOOKUP($Q167,'EA-Fortescue_SDExport'!$A:$A,'EA-Fortescue_SDExport'!AC:AC), IF(_xlpm.result=0,"",_xlpm.result))</f>
        <v/>
      </c>
      <c r="U167" s="2" t="str">
        <f>_xlfn.LET(
    _xlpm.isObject, _xlfn.XLOOKUP($Q167,'EA-Fortescue_SDExport'!A:A,'EA-Fortescue_SDExport'!B:B),
    _xlpm.lookupKey, IF(_xlpm.isObject="Object",
        _xlfn.XLOOKUP($A167,'EA-ConnectorExport'!A:A,'EA-ConnectorExport'!D:D),
        $Q167
    ),
    _xlpm.result, _xlfn.XLOOKUP(_xlpm.lookupKey,'EA-Fortescue_SDExport'!A:A,'EA-Fortescue_SDExport'!AD:AD),
    IF(_xlpm.result=0,"",_xlpm.result)
)</f>
        <v/>
      </c>
      <c r="V167" s="2" t="str">
        <f>_xlfn.LET(
    _xlpm.isObject, _xlfn.XLOOKUP($Q167,'EA-Fortescue_SDExport'!A:A,'EA-Fortescue_SDExport'!B:B),
    _xlpm.lookupKey, IF(_xlpm.isObject="Object",
        _xlfn.XLOOKUP($A167,'EA-ConnectorExport'!A:A,'EA-ConnectorExport'!D:D),
        $Q167
    ),
    _xlpm.result, _xlfn.XLOOKUP(_xlpm.lookupKey,'EA-Fortescue_SDExport'!A:A,'EA-Fortescue_SDExport'!AE:AE),
    IF(_xlpm.result=0,"",_xlpm.result)
)</f>
        <v/>
      </c>
      <c r="W167" s="2" t="str">
        <f>_xlfn.LET(
    _xlpm.isObject, _xlfn.XLOOKUP($Q167,'EA-Fortescue_SDExport'!A:A,'EA-Fortescue_SDExport'!B:B),
    _xlpm.lookupKey, IF(_xlpm.isObject="Object",
        _xlfn.XLOOKUP($A167,'EA-ConnectorExport'!A:A,'EA-ConnectorExport'!D:D),
        $Q167
    ),
    _xlpm.result, _xlfn.XLOOKUP(_xlpm.lookupKey,'EA-Fortescue_SDExport'!A:A,'EA-Fortescue_SDExport'!AF:AF),
    IF(_xlpm.result=0,"",_xlpm.result)
)</f>
        <v/>
      </c>
      <c r="X167" s="2" t="str">
        <f>_xlfn.LET(
    _xlpm.isObject, _xlfn.XLOOKUP($Q167,'EA-Fortescue_SDExport'!A:A,'EA-Fortescue_SDExport'!B:B),
    _xlpm.lookupKey, IF(_xlpm.isObject="Object",
        _xlfn.XLOOKUP($A167,'EA-ConnectorExport'!A:A,'EA-ConnectorExport'!D:D),
        $Q167
    ),
    _xlpm.result, _xlfn.XLOOKUP(_xlpm.lookupKey,'EA-Fortescue_SDExport'!A:A,'EA-Fortescue_SDExport'!AG:AG),
    IF(_xlpm.result=0,"",_xlpm.result)
)</f>
        <v/>
      </c>
      <c r="Y167" s="2" t="str">
        <f>_xlfn.LET(
    _xlpm.status, _xlfn.XLOOKUP($A167,'EA-ConnectorExport'!$A:$A,'EA-ConnectorExport'!G:G),
    _xlpm.result, _xlfn.XLOOKUP($A167,'EA-ConnectorExport'!$A:$A,'EA-ConnectorExport'!H:H),
    IF(_xlpm.status="allocate", _xlpm.result, "")
)</f>
        <v>855DC-1542-008 Mine Electrification SCADA</v>
      </c>
      <c r="Z167" s="2" t="str">
        <f>_xlfn.LET(
    _xlpm.isObject, _xlfn.XLOOKUP($Y167,'EA-Fortescue_SDExport'!A:A,'EA-Fortescue_SDExport'!B:B),
    _xlpm.lookupKey, IF(_xlpm.isObject="Object",
        _xlfn.XLOOKUP($A167,'EA-ConnectorExport'!A:A,'EA-ConnectorExport'!J:J),
        $Y167
    ),
    _xlpm.result, _xlfn.XLOOKUP(_xlpm.lookupKey,'EA-Fortescue_SDExport'!A:A,'EA-Fortescue_SDExport'!AA:AA),
    IF(_xlpm.result=0,"",_xlpm.result)
)</f>
        <v>Project</v>
      </c>
      <c r="AA167" s="2" t="str">
        <f>_xlfn.LET(_xlpm.result, _xlfn.XLOOKUP($Y167,'EA-Fortescue_SDExport'!$A:$A,'EA-Fortescue_SDExport'!AB:AB), IF(_xlpm.result=0,"",_xlpm.result))</f>
        <v>Mine Services</v>
      </c>
      <c r="AB167" s="2" t="str">
        <f>_xlfn.LET(_xlpm.result, _xlfn.XLOOKUP($Y167,'EA-Fortescue_SDExport'!$A:$A,'EA-Fortescue_SDExport'!AC:AC), IF(_xlpm.result=0,"",_xlpm.result))</f>
        <v/>
      </c>
      <c r="AC167" s="2" t="str">
        <f>_xlfn.LET(
    _xlpm.isObject, _xlfn.XLOOKUP($Y167,'EA-Fortescue_SDExport'!A:A,'EA-Fortescue_SDExport'!B:B),
    _xlpm.lookupKey, IF(_xlpm.isObject="Object",
        _xlfn.XLOOKUP($A167,'EA-ConnectorExport'!A:A,'EA-ConnectorExport'!J:J),
        $Y167
    ),
    _xlpm.result, _xlfn.XLOOKUP(_xlpm.lookupKey,'EA-Fortescue_SDExport'!A:A,'EA-Fortescue_SDExport'!AD:AD),
    IF(_xlpm.result=0,"",_xlpm.result)
)</f>
        <v>855DC Decarb Green Systems</v>
      </c>
      <c r="AD167" s="2" t="str">
        <f>_xlfn.LET(
    _xlpm.isObject, _xlfn.XLOOKUP($Y167,'EA-Fortescue_SDExport'!A:A,'EA-Fortescue_SDExport'!B:B),
    _xlpm.lookupKey, IF(_xlpm.isObject="Object",
        _xlfn.XLOOKUP($A167,'EA-ConnectorExport'!A:A,'EA-ConnectorExport'!J:J),
        $Y167
    ),
    _xlpm.result, _xlfn.XLOOKUP(_xlpm.lookupKey,'EA-Fortescue_SDExport'!A:A,'EA-Fortescue_SDExport'!AE:AE),
    IF(_xlpm.result=0,"",_xlpm.result)
)</f>
        <v>855DC-1542 Control &amp; Monitoring Systems</v>
      </c>
      <c r="AE167" s="2" t="str">
        <f>_xlfn.LET(
    _xlpm.isObject, _xlfn.XLOOKUP($Y167,'EA-Fortescue_SDExport'!A:A,'EA-Fortescue_SDExport'!B:B),
    _xlpm.lookupKey, IF(_xlpm.isObject="Object",
        _xlfn.XLOOKUP($A167,'EA-ConnectorExport'!A:A,'EA-ConnectorExport'!J:J),
        $Y167
    ),
    _xlpm.result, _xlfn.XLOOKUP(_xlpm.lookupKey,'EA-Fortescue_SDExport'!A:A,'EA-Fortescue_SDExport'!AF:AF),
    IF(_xlpm.result=0,"",_xlpm.result)
)</f>
        <v>855DC-1542-008 Mine Electrification SCADA</v>
      </c>
      <c r="AF167" s="2" t="str">
        <f>_xlfn.LET(
    _xlpm.isObject, _xlfn.XLOOKUP($Y167,'EA-Fortescue_SDExport'!A:A,'EA-Fortescue_SDExport'!B:B),
    _xlpm.lookupKey, IF(_xlpm.isObject="Object",
        _xlfn.XLOOKUP($A167,'EA-ConnectorExport'!A:A,'EA-ConnectorExport'!J:J),
        $Y167
    ),
    _xlpm.result, _xlfn.XLOOKUP(_xlpm.lookupKey,'EA-Fortescue_SDExport'!A:A,'EA-Fortescue_SDExport'!AG:AG),
    IF(_xlpm.result=0,"",_xlpm.result)
)</f>
        <v/>
      </c>
    </row>
    <row r="168" spans="1:32" ht="165" x14ac:dyDescent="0.25">
      <c r="A168" s="2" t="str">
        <v>DGS-I_0167</v>
      </c>
      <c r="B168" s="2" t="str">
        <f t="shared" si="8"/>
        <v>855DC-1542-CSM-002 vCharM.Edge|850DC-1512-0001 HME Chargers - Gen1</v>
      </c>
      <c r="C168" s="2" t="str">
        <f>_xlfn.LET(_xlpm.result, _xlfn.XLOOKUP(A168,'EA-Fortescue_SDExport'!A:A,'EA-Fortescue_SDExport'!AM:AM), IF(_xlpm.result=0,"",_xlpm.result))</f>
        <v/>
      </c>
      <c r="D168" s="2" t="str">
        <f>_xlfn.LET(_xlpm.result, _xlfn.XLOOKUP(A168,'EA-Fortescue_SDExport'!A:A,'EA-Fortescue_SDExport'!AN:AN), IF(_xlpm.result=0,"",_xlpm.result))</f>
        <v/>
      </c>
      <c r="E168" s="2" t="str">
        <f>_xlfn.XLOOKUP(R168&amp;Z168,Lookups!A:A,Lookups!B:B)</f>
        <v>Project - Subsystem Interface</v>
      </c>
      <c r="F168" s="2" t="str">
        <f>_xlfn.LET(_xlpm.result, _xlfn.XLOOKUP(A168,'EA-Fortescue_SDExport'!A:A,'EA-Fortescue_SDExport'!AP:AP), IF(_xlpm.result=0,"",_xlpm.result))</f>
        <v>Technical-Data/Software</v>
      </c>
      <c r="G168" s="2" t="str">
        <f>IF(OR(AND(T168&lt;&gt;"", COUNTIF(Lookups!J:J, "*"&amp;T168&amp;"*")&gt;0), AND(AB168&lt;&gt;"", COUNTIF(Lookups!J:J, "*"&amp;AB168&amp;"*")&gt;0)), "Yes", "No")</f>
        <v>No</v>
      </c>
      <c r="H168" s="2" t="str">
        <f t="shared" si="9"/>
        <v>855DC Decarb Green Systems|850DC Decarb Infrastructure</v>
      </c>
      <c r="I168" s="2" t="str">
        <f t="shared" si="10"/>
        <v>855DC-1542 Control &amp; Monitoring Systems|850DC-1510 Chargers</v>
      </c>
      <c r="J168" s="2" t="str">
        <f t="shared" si="11"/>
        <v>855DC-1542-CSM Charge Station Management System (CSMS)|850DC-1512-0001 HME Chargers - Gen1</v>
      </c>
      <c r="K168" s="2" t="str">
        <f>_xlfn.XLOOKUP(A168,'EA-Fortescue_SDExport'!A:A,'EA-Fortescue_SDExport'!N:N)</f>
        <v>Proposed</v>
      </c>
      <c r="L168" s="2" t="str">
        <f>_xlfn.LET(_xlpm.result, _xlfn.XLOOKUP($A168,'EA-Fortescue_SDExport'!$A:$A,'EA-Fortescue_SDExport'!AQ:AQ), IF(_xlpm.result=0,"",_xlpm.result))</f>
        <v>This interface allows vCharM.Edge to coordinate directly with HME Chargers for low-latency control, monitoring, and optimisation of charging operations.</v>
      </c>
      <c r="M168" s="2" t="str">
        <f>_xlfn.LET(_xlpm.result, _xlfn.XLOOKUP($A168,'EA-Fortescue_SDExport'!$A:$A,'EA-Fortescue_SDExport'!AR:AR), IF(_xlpm.result=0,"",_xlpm.result))</f>
        <v>MEDIUM</v>
      </c>
      <c r="N168" s="2" t="str">
        <f>_xlfn.LET(_xlpm.result, _xlfn.XLOOKUP($A168,'EA-Fortescue_SDExport'!$A:$A,'EA-Fortescue_SDExport'!AW:AW), IF(_xlpm.result=0,"",_xlpm.result))</f>
        <v>The criticality level is MEDIUM because failure decreases charger utilization efficiency and may cause charging delays, but core charging can still occur through manual or less-optimised processes.</v>
      </c>
      <c r="O168" s="2" t="str">
        <f>_xlfn.LET(_xlpm.result, _xlfn.XLOOKUP($A168,'EA-Fortescue_SDExport'!$A:$A,'EA-Fortescue_SDExport'!AV:AV), IF(_xlpm.result=0,"",_xlpm.result))</f>
        <v>Data Flow: HME Chargers &lt;-&gt; vCharM.Edge (charger status, availability, power draw, session data, fault alarms, health metrics) for real-time monitoring and optimisation.</v>
      </c>
      <c r="P168" s="2" t="str">
        <f>_xlfn.LET(_xlpm.result, _xlfn.XLOOKUP($A168,'EA-Fortescue_SDExport'!$A:$A,'EA-Fortescue_SDExport'!D:D), IF(_xlpm.result=0,"",_xlpm.result))</f>
        <v>CSMS Review 30/10/2025: Speak OCPP to a vCharm Edge._x000D_
State, current voltage, car plugged in?_x000D_
Getting back charge auth, charge rate profiles. set charge rate._x000D_
Depending on charger the charger, potentially phoning home to manufacturers cloud._x000D_
NH 20/02/2026: Fields updated: Interface Flow.</v>
      </c>
      <c r="Q168" s="2" t="str">
        <f>_xlfn.LET(
    _xlpm.status, _xlfn.XLOOKUP($A168,'EA-ConnectorExport'!$A:$A,'EA-ConnectorExport'!G:G),
    _xlpm.result, _xlfn.XLOOKUP($A168,'EA-ConnectorExport'!$A:$A,'EA-ConnectorExport'!B:B),
    IF(_xlpm.status="allocate", _xlpm.result, "")
)</f>
        <v>855DC-1542-CSM-002 vCharM.Edge</v>
      </c>
      <c r="R168" s="2" t="str">
        <f>IF(
    _xlfn.XLOOKUP($Q168,'EA-Fortescue_SDExport'!A:A,'EA-Fortescue_SDExport'!B:B)="Object",
    _xlfn.XLOOKUP(
        _xlfn.XLOOKUP($A168,'EA-ConnectorExport'!A:A,'EA-ConnectorExport'!D:D),
        'EA-Fortescue_SDExport'!A:A,
        'EA-Fortescue_SDExport'!AA:AA
    ),
    _xlfn.XLOOKUP($Q168,'EA-Fortescue_SDExport'!A:A,'EA-Fortescue_SDExport'!AA:AA)
)</f>
        <v>Subsystem</v>
      </c>
      <c r="S168" s="2" t="str">
        <f>_xlfn.LET(_xlpm.result, _xlfn.XLOOKUP($Q168,'EA-Fortescue_SDExport'!$A:$A,'EA-Fortescue_SDExport'!AB:AB), IF(_xlpm.result=0,"",_xlpm.result))</f>
        <v/>
      </c>
      <c r="T168" s="2" t="str">
        <f>_xlfn.LET(_xlpm.result, _xlfn.XLOOKUP($Q168,'EA-Fortescue_SDExport'!$A:$A,'EA-Fortescue_SDExport'!AC:AC), IF(_xlpm.result=0,"",_xlpm.result))</f>
        <v/>
      </c>
      <c r="U168" s="2" t="str">
        <f>_xlfn.LET(
    _xlpm.isObject, _xlfn.XLOOKUP($Q168,'EA-Fortescue_SDExport'!A:A,'EA-Fortescue_SDExport'!B:B),
    _xlpm.lookupKey, IF(_xlpm.isObject="Object",
        _xlfn.XLOOKUP($A168,'EA-ConnectorExport'!A:A,'EA-ConnectorExport'!D:D),
        $Q168
    ),
    _xlpm.result, _xlfn.XLOOKUP(_xlpm.lookupKey,'EA-Fortescue_SDExport'!A:A,'EA-Fortescue_SDExport'!AD:AD),
    IF(_xlpm.result=0,"",_xlpm.result)
)</f>
        <v>855DC Decarb Green Systems</v>
      </c>
      <c r="V168" s="2" t="str">
        <f>_xlfn.LET(
    _xlpm.isObject, _xlfn.XLOOKUP($Q168,'EA-Fortescue_SDExport'!A:A,'EA-Fortescue_SDExport'!B:B),
    _xlpm.lookupKey, IF(_xlpm.isObject="Object",
        _xlfn.XLOOKUP($A168,'EA-ConnectorExport'!A:A,'EA-ConnectorExport'!D:D),
        $Q168
    ),
    _xlpm.result, _xlfn.XLOOKUP(_xlpm.lookupKey,'EA-Fortescue_SDExport'!A:A,'EA-Fortescue_SDExport'!AE:AE),
    IF(_xlpm.result=0,"",_xlpm.result)
)</f>
        <v>855DC-1542 Control &amp; Monitoring Systems</v>
      </c>
      <c r="W168" s="2" t="str">
        <f>_xlfn.LET(
    _xlpm.isObject, _xlfn.XLOOKUP($Q168,'EA-Fortescue_SDExport'!A:A,'EA-Fortescue_SDExport'!B:B),
    _xlpm.lookupKey, IF(_xlpm.isObject="Object",
        _xlfn.XLOOKUP($A168,'EA-ConnectorExport'!A:A,'EA-ConnectorExport'!D:D),
        $Q168
    ),
    _xlpm.result, _xlfn.XLOOKUP(_xlpm.lookupKey,'EA-Fortescue_SDExport'!A:A,'EA-Fortescue_SDExport'!AF:AF),
    IF(_xlpm.result=0,"",_xlpm.result)
)</f>
        <v>855DC-1542-CSM Charge Station Management System (CSMS)</v>
      </c>
      <c r="X168" s="2" t="str">
        <f>_xlfn.LET(
    _xlpm.isObject, _xlfn.XLOOKUP($Q168,'EA-Fortescue_SDExport'!A:A,'EA-Fortescue_SDExport'!B:B),
    _xlpm.lookupKey, IF(_xlpm.isObject="Object",
        _xlfn.XLOOKUP($A168,'EA-ConnectorExport'!A:A,'EA-ConnectorExport'!D:D),
        $Q168
    ),
    _xlpm.result, _xlfn.XLOOKUP(_xlpm.lookupKey,'EA-Fortescue_SDExport'!A:A,'EA-Fortescue_SDExport'!AG:AG),
    IF(_xlpm.result=0,"",_xlpm.result)
)</f>
        <v>855DC-1542-CSM-002 vCharM.Edge</v>
      </c>
      <c r="Y168" s="2" t="str">
        <f>_xlfn.LET(
    _xlpm.status, _xlfn.XLOOKUP($A168,'EA-ConnectorExport'!$A:$A,'EA-ConnectorExport'!G:G),
    _xlpm.result, _xlfn.XLOOKUP($A168,'EA-ConnectorExport'!$A:$A,'EA-ConnectorExport'!H:H),
    IF(_xlpm.status="allocate", _xlpm.result, "")
)</f>
        <v>850DC-1512-0001 HME Chargers - Gen1</v>
      </c>
      <c r="Z168" s="2" t="str">
        <f>_xlfn.LET(
    _xlpm.isObject, _xlfn.XLOOKUP($Y168,'EA-Fortescue_SDExport'!A:A,'EA-Fortescue_SDExport'!B:B),
    _xlpm.lookupKey, IF(_xlpm.isObject="Object",
        _xlfn.XLOOKUP($A168,'EA-ConnectorExport'!A:A,'EA-ConnectorExport'!J:J),
        $Y168
    ),
    _xlpm.result, _xlfn.XLOOKUP(_xlpm.lookupKey,'EA-Fortescue_SDExport'!A:A,'EA-Fortescue_SDExport'!AA:AA),
    IF(_xlpm.result=0,"",_xlpm.result)
)</f>
        <v>Project</v>
      </c>
      <c r="AA168" s="2" t="str">
        <f>_xlfn.LET(_xlpm.result, _xlfn.XLOOKUP($Y168,'EA-Fortescue_SDExport'!$A:$A,'EA-Fortescue_SDExport'!AB:AB), IF(_xlpm.result=0,"",_xlpm.result))</f>
        <v/>
      </c>
      <c r="AB168" s="2" t="str">
        <f>_xlfn.LET(_xlpm.result, _xlfn.XLOOKUP($Y168,'EA-Fortescue_SDExport'!$A:$A,'EA-Fortescue_SDExport'!AC:AC), IF(_xlpm.result=0,"",_xlpm.result))</f>
        <v>Generic Physical Asset</v>
      </c>
      <c r="AC168" s="2" t="str">
        <f>_xlfn.LET(
    _xlpm.isObject, _xlfn.XLOOKUP($Y168,'EA-Fortescue_SDExport'!A:A,'EA-Fortescue_SDExport'!B:B),
    _xlpm.lookupKey, IF(_xlpm.isObject="Object",
        _xlfn.XLOOKUP($A168,'EA-ConnectorExport'!A:A,'EA-ConnectorExport'!J:J),
        $Y168
    ),
    _xlpm.result, _xlfn.XLOOKUP(_xlpm.lookupKey,'EA-Fortescue_SDExport'!A:A,'EA-Fortescue_SDExport'!AD:AD),
    IF(_xlpm.result=0,"",_xlpm.result)
)</f>
        <v>850DC Decarb Infrastructure</v>
      </c>
      <c r="AD168" s="2" t="str">
        <f>_xlfn.LET(
    _xlpm.isObject, _xlfn.XLOOKUP($Y168,'EA-Fortescue_SDExport'!A:A,'EA-Fortescue_SDExport'!B:B),
    _xlpm.lookupKey, IF(_xlpm.isObject="Object",
        _xlfn.XLOOKUP($A168,'EA-ConnectorExport'!A:A,'EA-ConnectorExport'!J:J),
        $Y168
    ),
    _xlpm.result, _xlfn.XLOOKUP(_xlpm.lookupKey,'EA-Fortescue_SDExport'!A:A,'EA-Fortescue_SDExport'!AE:AE),
    IF(_xlpm.result=0,"",_xlpm.result)
)</f>
        <v>850DC-1510 Chargers</v>
      </c>
      <c r="AE168" s="2" t="str">
        <f>_xlfn.LET(
    _xlpm.isObject, _xlfn.XLOOKUP($Y168,'EA-Fortescue_SDExport'!A:A,'EA-Fortescue_SDExport'!B:B),
    _xlpm.lookupKey, IF(_xlpm.isObject="Object",
        _xlfn.XLOOKUP($A168,'EA-ConnectorExport'!A:A,'EA-ConnectorExport'!J:J),
        $Y168
    ),
    _xlpm.result, _xlfn.XLOOKUP(_xlpm.lookupKey,'EA-Fortescue_SDExport'!A:A,'EA-Fortescue_SDExport'!AF:AF),
    IF(_xlpm.result=0,"",_xlpm.result)
)</f>
        <v>850DC-1512-0001 HME Chargers - Gen1</v>
      </c>
      <c r="AF168" s="2" t="str">
        <f>_xlfn.LET(
    _xlpm.isObject, _xlfn.XLOOKUP($Y168,'EA-Fortescue_SDExport'!A:A,'EA-Fortescue_SDExport'!B:B),
    _xlpm.lookupKey, IF(_xlpm.isObject="Object",
        _xlfn.XLOOKUP($A168,'EA-ConnectorExport'!A:A,'EA-ConnectorExport'!J:J),
        $Y168
    ),
    _xlpm.result, _xlfn.XLOOKUP(_xlpm.lookupKey,'EA-Fortescue_SDExport'!A:A,'EA-Fortescue_SDExport'!AG:AG),
    IF(_xlpm.result=0,"",_xlpm.result)
)</f>
        <v/>
      </c>
    </row>
    <row r="169" spans="1:32" ht="195" x14ac:dyDescent="0.25">
      <c r="A169" s="2" t="str">
        <v>DGS-I_0168</v>
      </c>
      <c r="B169" s="2" t="str">
        <f t="shared" si="8"/>
        <v>855DC-1542-CSM Charge Station Management System (CSMS)|HIVE</v>
      </c>
      <c r="C169" s="2" t="str">
        <f>_xlfn.LET(_xlpm.result, _xlfn.XLOOKUP(A169,'EA-Fortescue_SDExport'!A:A,'EA-Fortescue_SDExport'!AM:AM), IF(_xlpm.result=0,"",_xlpm.result))</f>
        <v>Sam Hedgcock</v>
      </c>
      <c r="D169" s="2" t="str">
        <f>_xlfn.LET(_xlpm.result, _xlfn.XLOOKUP(A169,'EA-Fortescue_SDExport'!A:A,'EA-Fortescue_SDExport'!AN:AN), IF(_xlpm.result=0,"",_xlpm.result))</f>
        <v>Charlotte Lavin (Ops Readiness), Sam Ward (Technical Architect), Karen Ball (Training), Matt Talbot (Training)</v>
      </c>
      <c r="E169" s="2" t="str">
        <f>_xlfn.XLOOKUP(R169&amp;Z169,Lookups!A:A,Lookups!B:B)</f>
        <v>Stakeholder - Project Interface</v>
      </c>
      <c r="F169" s="2" t="str">
        <f>_xlfn.LET(_xlpm.result, _xlfn.XLOOKUP(A169,'EA-Fortescue_SDExport'!A:A,'EA-Fortescue_SDExport'!AP:AP), IF(_xlpm.result=0,"",_xlpm.result))</f>
        <v>Technical-Data/Software</v>
      </c>
      <c r="G169" s="2" t="str">
        <f>IF(OR(AND(T169&lt;&gt;"", COUNTIF(Lookups!J:J, "*"&amp;T169&amp;"*")&gt;0), AND(AB169&lt;&gt;"", COUNTIF(Lookups!J:J, "*"&amp;AB169&amp;"*")&gt;0)), "Yes", "No")</f>
        <v>No</v>
      </c>
      <c r="H169" s="2" t="str">
        <f t="shared" si="9"/>
        <v>855DC Decarb Green Systems|N/A</v>
      </c>
      <c r="I169" s="2" t="str">
        <f t="shared" si="10"/>
        <v>855DC-1542 Control &amp; Monitoring Systems|N/A</v>
      </c>
      <c r="J169" s="2" t="str">
        <f t="shared" si="11"/>
        <v>855DC-1542-CSM Charge Station Management System (CSMS)|N/A</v>
      </c>
      <c r="K169" s="2" t="str">
        <f>_xlfn.XLOOKUP(A169,'EA-Fortescue_SDExport'!A:A,'EA-Fortescue_SDExport'!N:N)</f>
        <v>Proposed</v>
      </c>
      <c r="L169" s="2" t="str">
        <f>_xlfn.LET(_xlpm.result, _xlfn.XLOOKUP($A169,'EA-Fortescue_SDExport'!$A:$A,'EA-Fortescue_SDExport'!AQ:AQ), IF(_xlpm.result=0,"",_xlpm.result))</f>
        <v>This is a Human-Machine Interface (HMI) designed to provide authorised Mine Services Personnel with the tools necessary to interact with and manage the Central Services Management System (CSMS). The interface serves as the primary control and diagnostics gateway, supporting tasks such as monitoring system health, executing remote commands, and accessing historical data._x000D_
The interface design must be agnostic to the final organisational structure (centralised HIVE vs. decentralised Site services), ensuring the exact same functional capabilities and security access controls are applied whether the user is located centrally or locally. This ensures operational resilience regardless of organizational staging.</v>
      </c>
      <c r="M169" s="2" t="str">
        <f>_xlfn.LET(_xlpm.result, _xlfn.XLOOKUP($A169,'EA-Fortescue_SDExport'!$A:$A,'EA-Fortescue_SDExport'!AR:AR), IF(_xlpm.result=0,"",_xlpm.result))</f>
        <v>LOW</v>
      </c>
      <c r="N169" s="2" t="str">
        <f>_xlfn.LET(_xlpm.result, _xlfn.XLOOKUP($A169,'EA-Fortescue_SDExport'!$A:$A,'EA-Fortescue_SDExport'!AW:AW), IF(_xlpm.result=0,"",_xlpm.result))</f>
        <v>The criticality level is LOW because failure at this interface does not impact real-time production, safety, or power system stability. All critical functions can still be performed via existing interfaces, limiting the impact to reduced efficiency.</v>
      </c>
      <c r="O169" s="2" t="str">
        <f>_xlfn.LET(_xlpm.result, _xlfn.XLOOKUP($A169,'EA-Fortescue_SDExport'!$A:$A,'EA-Fortescue_SDExport'!AV:AV), IF(_xlpm.result=0,"",_xlpm.result))</f>
        <v>Data Flow:_x000D_
855DC-1542-CSM Charge Station Management System (CSMS) -&gt; Mine Services Personnel (via HMI), presenting system status, charger availability, alarms, session data, diagnostics, and historical performance information._x000D_
Mine Services Personnel -&gt; CSMS (via HMI), inputting configuration updates, remote commands, user queries, and administrative actions._x000D_
Control Flow:_x000D_
Mine Services Personnel -&gt; CSMS, issuing authorised remote commands, operational overrides, configuration changes, and control actions through the HMI, subject to role-based access controls.</v>
      </c>
      <c r="P169" s="2" t="str">
        <f>_xlfn.LET(_xlpm.result, _xlfn.XLOOKUP($A169,'EA-Fortescue_SDExport'!$A:$A,'EA-Fortescue_SDExport'!D:D), IF(_xlpm.result=0,"",_xlpm.result))</f>
        <v>CSMS Review 30/10/2025: Proposed to be confirmed for future deployment to the HIVE._x000D_
Interface Register Review 11/11/2025: This is a COTS software product produced by Vector. No UI changes are envisaged._x000D_
Interface requirements to be defined for usability and training._x000D_
NH 20/02/2026: Fields updated: Interface Flow.</v>
      </c>
      <c r="Q169" s="2" t="str">
        <f>_xlfn.LET(
    _xlpm.status, _xlfn.XLOOKUP($A169,'EA-ConnectorExport'!$A:$A,'EA-ConnectorExport'!G:G),
    _xlpm.result, _xlfn.XLOOKUP($A169,'EA-ConnectorExport'!$A:$A,'EA-ConnectorExport'!B:B),
    IF(_xlpm.status="allocate", _xlpm.result, "")
)</f>
        <v>855DC-1542-CSM Charge Station Management System (CSMS)</v>
      </c>
      <c r="R169" s="2" t="str">
        <f>IF(
    _xlfn.XLOOKUP($Q169,'EA-Fortescue_SDExport'!A:A,'EA-Fortescue_SDExport'!B:B)="Object",
    _xlfn.XLOOKUP(
        _xlfn.XLOOKUP($A169,'EA-ConnectorExport'!A:A,'EA-ConnectorExport'!D:D),
        'EA-Fortescue_SDExport'!A:A,
        'EA-Fortescue_SDExport'!AA:AA
    ),
    _xlfn.XLOOKUP($Q169,'EA-Fortescue_SDExport'!A:A,'EA-Fortescue_SDExport'!AA:AA)
)</f>
        <v>Project</v>
      </c>
      <c r="S169" s="2" t="str">
        <f>_xlfn.LET(_xlpm.result, _xlfn.XLOOKUP($Q169,'EA-Fortescue_SDExport'!$A:$A,'EA-Fortescue_SDExport'!AB:AB), IF(_xlpm.result=0,"",_xlpm.result))</f>
        <v>Sam Hedgcock</v>
      </c>
      <c r="T169" s="2" t="str">
        <f>_xlfn.LET(_xlpm.result, _xlfn.XLOOKUP($Q169,'EA-Fortescue_SDExport'!$A:$A,'EA-Fortescue_SDExport'!AC:AC), IF(_xlpm.result=0,"",_xlpm.result))</f>
        <v/>
      </c>
      <c r="U169" s="2" t="str">
        <f>_xlfn.LET(
    _xlpm.isObject, _xlfn.XLOOKUP($Q169,'EA-Fortescue_SDExport'!A:A,'EA-Fortescue_SDExport'!B:B),
    _xlpm.lookupKey, IF(_xlpm.isObject="Object",
        _xlfn.XLOOKUP($A169,'EA-ConnectorExport'!A:A,'EA-ConnectorExport'!D:D),
        $Q169
    ),
    _xlpm.result, _xlfn.XLOOKUP(_xlpm.lookupKey,'EA-Fortescue_SDExport'!A:A,'EA-Fortescue_SDExport'!AD:AD),
    IF(_xlpm.result=0,"",_xlpm.result)
)</f>
        <v>855DC Decarb Green Systems</v>
      </c>
      <c r="V169" s="2" t="str">
        <f>_xlfn.LET(
    _xlpm.isObject, _xlfn.XLOOKUP($Q169,'EA-Fortescue_SDExport'!A:A,'EA-Fortescue_SDExport'!B:B),
    _xlpm.lookupKey, IF(_xlpm.isObject="Object",
        _xlfn.XLOOKUP($A169,'EA-ConnectorExport'!A:A,'EA-ConnectorExport'!D:D),
        $Q169
    ),
    _xlpm.result, _xlfn.XLOOKUP(_xlpm.lookupKey,'EA-Fortescue_SDExport'!A:A,'EA-Fortescue_SDExport'!AE:AE),
    IF(_xlpm.result=0,"",_xlpm.result)
)</f>
        <v>855DC-1542 Control &amp; Monitoring Systems</v>
      </c>
      <c r="W169" s="2" t="str">
        <f>_xlfn.LET(
    _xlpm.isObject, _xlfn.XLOOKUP($Q169,'EA-Fortescue_SDExport'!A:A,'EA-Fortescue_SDExport'!B:B),
    _xlpm.lookupKey, IF(_xlpm.isObject="Object",
        _xlfn.XLOOKUP($A169,'EA-ConnectorExport'!A:A,'EA-ConnectorExport'!D:D),
        $Q169
    ),
    _xlpm.result, _xlfn.XLOOKUP(_xlpm.lookupKey,'EA-Fortescue_SDExport'!A:A,'EA-Fortescue_SDExport'!AF:AF),
    IF(_xlpm.result=0,"",_xlpm.result)
)</f>
        <v>855DC-1542-CSM Charge Station Management System (CSMS)</v>
      </c>
      <c r="X169" s="2" t="str">
        <f>_xlfn.LET(
    _xlpm.isObject, _xlfn.XLOOKUP($Q169,'EA-Fortescue_SDExport'!A:A,'EA-Fortescue_SDExport'!B:B),
    _xlpm.lookupKey, IF(_xlpm.isObject="Object",
        _xlfn.XLOOKUP($A169,'EA-ConnectorExport'!A:A,'EA-ConnectorExport'!D:D),
        $Q169
    ),
    _xlpm.result, _xlfn.XLOOKUP(_xlpm.lookupKey,'EA-Fortescue_SDExport'!A:A,'EA-Fortescue_SDExport'!AG:AG),
    IF(_xlpm.result=0,"",_xlpm.result)
)</f>
        <v/>
      </c>
      <c r="Y169" s="2" t="str">
        <f>_xlfn.LET(
    _xlpm.status, _xlfn.XLOOKUP($A169,'EA-ConnectorExport'!$A:$A,'EA-ConnectorExport'!G:G),
    _xlpm.result, _xlfn.XLOOKUP($A169,'EA-ConnectorExport'!$A:$A,'EA-ConnectorExport'!H:H),
    IF(_xlpm.status="allocate", _xlpm.result, "")
)</f>
        <v>HIVE</v>
      </c>
      <c r="Z169" s="2" t="str">
        <f>_xlfn.LET(
    _xlpm.isObject, _xlfn.XLOOKUP($Y169,'EA-Fortescue_SDExport'!A:A,'EA-Fortescue_SDExport'!B:B),
    _xlpm.lookupKey, IF(_xlpm.isObject="Object",
        _xlfn.XLOOKUP($A169,'EA-ConnectorExport'!A:A,'EA-ConnectorExport'!J:J),
        $Y169
    ),
    _xlpm.result, _xlfn.XLOOKUP(_xlpm.lookupKey,'EA-Fortescue_SDExport'!A:A,'EA-Fortescue_SDExport'!AA:AA),
    IF(_xlpm.result=0,"",_xlpm.result)
)</f>
        <v>Stakeholder</v>
      </c>
      <c r="AA169" s="2" t="str">
        <f>_xlfn.LET(_xlpm.result, _xlfn.XLOOKUP($Y169,'EA-Fortescue_SDExport'!$A:$A,'EA-Fortescue_SDExport'!AB:AB), IF(_xlpm.result=0,"",_xlpm.result))</f>
        <v>Charlotte Lavin (Ops Readiness)</v>
      </c>
      <c r="AB169" s="2" t="str">
        <f>_xlfn.LET(_xlpm.result, _xlfn.XLOOKUP($Y169,'EA-Fortescue_SDExport'!$A:$A,'EA-Fortescue_SDExport'!AC:AC), IF(_xlpm.result=0,"",_xlpm.result))</f>
        <v/>
      </c>
      <c r="AC169" s="2" t="str">
        <f>_xlfn.LET(
    _xlpm.isObject, _xlfn.XLOOKUP($Y169,'EA-Fortescue_SDExport'!A:A,'EA-Fortescue_SDExport'!B:B),
    _xlpm.lookupKey, IF(_xlpm.isObject="Object",
        _xlfn.XLOOKUP($A169,'EA-ConnectorExport'!A:A,'EA-ConnectorExport'!J:J),
        $Y169
    ),
    _xlpm.result, _xlfn.XLOOKUP(_xlpm.lookupKey,'EA-Fortescue_SDExport'!A:A,'EA-Fortescue_SDExport'!AD:AD),
    IF(_xlpm.result=0,"",_xlpm.result)
)</f>
        <v/>
      </c>
      <c r="AD169" s="2" t="str">
        <f>_xlfn.LET(
    _xlpm.isObject, _xlfn.XLOOKUP($Y169,'EA-Fortescue_SDExport'!A:A,'EA-Fortescue_SDExport'!B:B),
    _xlpm.lookupKey, IF(_xlpm.isObject="Object",
        _xlfn.XLOOKUP($A169,'EA-ConnectorExport'!A:A,'EA-ConnectorExport'!J:J),
        $Y169
    ),
    _xlpm.result, _xlfn.XLOOKUP(_xlpm.lookupKey,'EA-Fortescue_SDExport'!A:A,'EA-Fortescue_SDExport'!AE:AE),
    IF(_xlpm.result=0,"",_xlpm.result)
)</f>
        <v/>
      </c>
      <c r="AE169" s="2" t="str">
        <f>_xlfn.LET(
    _xlpm.isObject, _xlfn.XLOOKUP($Y169,'EA-Fortescue_SDExport'!A:A,'EA-Fortescue_SDExport'!B:B),
    _xlpm.lookupKey, IF(_xlpm.isObject="Object",
        _xlfn.XLOOKUP($A169,'EA-ConnectorExport'!A:A,'EA-ConnectorExport'!J:J),
        $Y169
    ),
    _xlpm.result, _xlfn.XLOOKUP(_xlpm.lookupKey,'EA-Fortescue_SDExport'!A:A,'EA-Fortescue_SDExport'!AF:AF),
    IF(_xlpm.result=0,"",_xlpm.result)
)</f>
        <v/>
      </c>
      <c r="AF169" s="2" t="str">
        <f>_xlfn.LET(
    _xlpm.isObject, _xlfn.XLOOKUP($Y169,'EA-Fortescue_SDExport'!A:A,'EA-Fortescue_SDExport'!B:B),
    _xlpm.lookupKey, IF(_xlpm.isObject="Object",
        _xlfn.XLOOKUP($A169,'EA-ConnectorExport'!A:A,'EA-ConnectorExport'!J:J),
        $Y169
    ),
    _xlpm.result, _xlfn.XLOOKUP(_xlpm.lookupKey,'EA-Fortescue_SDExport'!A:A,'EA-Fortescue_SDExport'!AG:AG),
    IF(_xlpm.result=0,"",_xlpm.result)
)</f>
        <v/>
      </c>
    </row>
    <row r="170" spans="1:32" ht="195" x14ac:dyDescent="0.25">
      <c r="A170" s="2" t="str">
        <v>DGS-I_0169</v>
      </c>
      <c r="B170" s="2" t="str">
        <f t="shared" si="8"/>
        <v>855DC-1542-CSM Charge Station Management System (CSMS)|Mine Services</v>
      </c>
      <c r="C170" s="2" t="str">
        <f>_xlfn.LET(_xlpm.result, _xlfn.XLOOKUP(A170,'EA-Fortescue_SDExport'!A:A,'EA-Fortescue_SDExport'!AM:AM), IF(_xlpm.result=0,"",_xlpm.result))</f>
        <v>Sam Hedgcock</v>
      </c>
      <c r="D170" s="2" t="str">
        <f>_xlfn.LET(_xlpm.result, _xlfn.XLOOKUP(A170,'EA-Fortescue_SDExport'!A:A,'EA-Fortescue_SDExport'!AN:AN), IF(_xlpm.result=0,"",_xlpm.result))</f>
        <v>Charlotte Lavin (Ops Readiness), Sam Ward (Technical Architect), Karen Ball (Training), Matt Talbot (Training)</v>
      </c>
      <c r="E170" s="2" t="str">
        <f>_xlfn.XLOOKUP(R170&amp;Z170,Lookups!A:A,Lookups!B:B)</f>
        <v>Stakeholder - Project Interface</v>
      </c>
      <c r="F170" s="2" t="str">
        <f>_xlfn.LET(_xlpm.result, _xlfn.XLOOKUP(A170,'EA-Fortescue_SDExport'!A:A,'EA-Fortescue_SDExport'!AP:AP), IF(_xlpm.result=0,"",_xlpm.result))</f>
        <v>Technical-Data/Software</v>
      </c>
      <c r="G170" s="2" t="str">
        <f>IF(OR(AND(T170&lt;&gt;"", COUNTIF(Lookups!J:J, "*"&amp;T170&amp;"*")&gt;0), AND(AB170&lt;&gt;"", COUNTIF(Lookups!J:J, "*"&amp;AB170&amp;"*")&gt;0)), "Yes", "No")</f>
        <v>No</v>
      </c>
      <c r="H170" s="2" t="str">
        <f t="shared" si="9"/>
        <v>855DC Decarb Green Systems|N/A</v>
      </c>
      <c r="I170" s="2" t="str">
        <f t="shared" si="10"/>
        <v>855DC-1542 Control &amp; Monitoring Systems|N/A</v>
      </c>
      <c r="J170" s="2" t="str">
        <f t="shared" si="11"/>
        <v>855DC-1542-CSM Charge Station Management System (CSMS)|N/A</v>
      </c>
      <c r="K170" s="2" t="str">
        <f>_xlfn.XLOOKUP(A170,'EA-Fortescue_SDExport'!A:A,'EA-Fortescue_SDExport'!N:N)</f>
        <v>Proposed</v>
      </c>
      <c r="L170" s="2" t="str">
        <f>_xlfn.LET(_xlpm.result, _xlfn.XLOOKUP($A170,'EA-Fortescue_SDExport'!$A:$A,'EA-Fortescue_SDExport'!AQ:AQ), IF(_xlpm.result=0,"",_xlpm.result))</f>
        <v>This is a Data/Software (HMI) interface that enables Mine Services personnel to remotely monitor, diagnose, and manage the state of the LME/SME Charger network. Its primary function is to provide real-time status and remote control capabilities, significantly reducing the time and cost associated with site visits for troubleshooting and initial fault resolution.</v>
      </c>
      <c r="M170" s="2" t="str">
        <f>_xlfn.LET(_xlpm.result, _xlfn.XLOOKUP($A170,'EA-Fortescue_SDExport'!$A:$A,'EA-Fortescue_SDExport'!AR:AR), IF(_xlpm.result=0,"",_xlpm.result))</f>
        <v>LOW</v>
      </c>
      <c r="N170" s="2" t="str">
        <f>_xlfn.LET(_xlpm.result, _xlfn.XLOOKUP($A170,'EA-Fortescue_SDExport'!$A:$A,'EA-Fortescue_SDExport'!AW:AW), IF(_xlpm.result=0,"",_xlpm.result))</f>
        <v>The criticality level is LOW because failure at this interface does not impact real-time production, safety, or core charging operations. All required activities can be performed through manual processes, with no impact to operational continuity.</v>
      </c>
      <c r="O170" s="2" t="str">
        <f>_xlfn.LET(_xlpm.result, _xlfn.XLOOKUP($A170,'EA-Fortescue_SDExport'!$A:$A,'EA-Fortescue_SDExport'!AV:AV), IF(_xlpm.result=0,"",_xlpm.result))</f>
        <v>Data Flow:_x000D_
855DC-1542-CSM Charge Station Management System (CSMS) -&gt; Mine Services Personnel (via HMI), transmitting real-time charger status, session data, alarms, diagnostics, and network health information for the LME/SME charger fleet._x000D_
Mine Services Personnel -&gt; CSMS (via HMI), providing user inputs including monitoring queries, configuration updates, and authorised remote action requests._x000D_
Control Flow:_x000D_
Mine Services Personnel -&gt; CSMS, issuing remote control commands such as charger enable/disable, session termination, reset actions, and configuration adjustments through the HMI, subject to access permissions and system safeguards.</v>
      </c>
      <c r="P170" s="2" t="str">
        <f>_xlfn.LET(_xlpm.result, _xlfn.XLOOKUP($A170,'EA-Fortescue_SDExport'!$A:$A,'EA-Fortescue_SDExport'!D:D), IF(_xlpm.result=0,"",_xlpm.result))</f>
        <v>This is a COTS software product produced by Vector. No UI changes are envisaged._x000D_
Interface requirements to be defined for usability and training._x000D_
NH 20/02/2026: Fields updated: Interface Flow.</v>
      </c>
      <c r="Q170" s="2" t="str">
        <f>_xlfn.LET(
    _xlpm.status, _xlfn.XLOOKUP($A170,'EA-ConnectorExport'!$A:$A,'EA-ConnectorExport'!G:G),
    _xlpm.result, _xlfn.XLOOKUP($A170,'EA-ConnectorExport'!$A:$A,'EA-ConnectorExport'!B:B),
    IF(_xlpm.status="allocate", _xlpm.result, "")
)</f>
        <v>855DC-1542-CSM Charge Station Management System (CSMS)</v>
      </c>
      <c r="R170" s="2" t="str">
        <f>IF(
    _xlfn.XLOOKUP($Q170,'EA-Fortescue_SDExport'!A:A,'EA-Fortescue_SDExport'!B:B)="Object",
    _xlfn.XLOOKUP(
        _xlfn.XLOOKUP($A170,'EA-ConnectorExport'!A:A,'EA-ConnectorExport'!D:D),
        'EA-Fortescue_SDExport'!A:A,
        'EA-Fortescue_SDExport'!AA:AA
    ),
    _xlfn.XLOOKUP($Q170,'EA-Fortescue_SDExport'!A:A,'EA-Fortescue_SDExport'!AA:AA)
)</f>
        <v>Project</v>
      </c>
      <c r="S170" s="2" t="str">
        <f>_xlfn.LET(_xlpm.result, _xlfn.XLOOKUP($Q170,'EA-Fortescue_SDExport'!$A:$A,'EA-Fortescue_SDExport'!AB:AB), IF(_xlpm.result=0,"",_xlpm.result))</f>
        <v>Sam Hedgcock</v>
      </c>
      <c r="T170" s="2" t="str">
        <f>_xlfn.LET(_xlpm.result, _xlfn.XLOOKUP($Q170,'EA-Fortescue_SDExport'!$A:$A,'EA-Fortescue_SDExport'!AC:AC), IF(_xlpm.result=0,"",_xlpm.result))</f>
        <v/>
      </c>
      <c r="U170" s="2" t="str">
        <f>_xlfn.LET(
    _xlpm.isObject, _xlfn.XLOOKUP($Q170,'EA-Fortescue_SDExport'!A:A,'EA-Fortescue_SDExport'!B:B),
    _xlpm.lookupKey, IF(_xlpm.isObject="Object",
        _xlfn.XLOOKUP($A170,'EA-ConnectorExport'!A:A,'EA-ConnectorExport'!D:D),
        $Q170
    ),
    _xlpm.result, _xlfn.XLOOKUP(_xlpm.lookupKey,'EA-Fortescue_SDExport'!A:A,'EA-Fortescue_SDExport'!AD:AD),
    IF(_xlpm.result=0,"",_xlpm.result)
)</f>
        <v>855DC Decarb Green Systems</v>
      </c>
      <c r="V170" s="2" t="str">
        <f>_xlfn.LET(
    _xlpm.isObject, _xlfn.XLOOKUP($Q170,'EA-Fortescue_SDExport'!A:A,'EA-Fortescue_SDExport'!B:B),
    _xlpm.lookupKey, IF(_xlpm.isObject="Object",
        _xlfn.XLOOKUP($A170,'EA-ConnectorExport'!A:A,'EA-ConnectorExport'!D:D),
        $Q170
    ),
    _xlpm.result, _xlfn.XLOOKUP(_xlpm.lookupKey,'EA-Fortescue_SDExport'!A:A,'EA-Fortescue_SDExport'!AE:AE),
    IF(_xlpm.result=0,"",_xlpm.result)
)</f>
        <v>855DC-1542 Control &amp; Monitoring Systems</v>
      </c>
      <c r="W170" s="2" t="str">
        <f>_xlfn.LET(
    _xlpm.isObject, _xlfn.XLOOKUP($Q170,'EA-Fortescue_SDExport'!A:A,'EA-Fortescue_SDExport'!B:B),
    _xlpm.lookupKey, IF(_xlpm.isObject="Object",
        _xlfn.XLOOKUP($A170,'EA-ConnectorExport'!A:A,'EA-ConnectorExport'!D:D),
        $Q170
    ),
    _xlpm.result, _xlfn.XLOOKUP(_xlpm.lookupKey,'EA-Fortescue_SDExport'!A:A,'EA-Fortescue_SDExport'!AF:AF),
    IF(_xlpm.result=0,"",_xlpm.result)
)</f>
        <v>855DC-1542-CSM Charge Station Management System (CSMS)</v>
      </c>
      <c r="X170" s="2" t="str">
        <f>_xlfn.LET(
    _xlpm.isObject, _xlfn.XLOOKUP($Q170,'EA-Fortescue_SDExport'!A:A,'EA-Fortescue_SDExport'!B:B),
    _xlpm.lookupKey, IF(_xlpm.isObject="Object",
        _xlfn.XLOOKUP($A170,'EA-ConnectorExport'!A:A,'EA-ConnectorExport'!D:D),
        $Q170
    ),
    _xlpm.result, _xlfn.XLOOKUP(_xlpm.lookupKey,'EA-Fortescue_SDExport'!A:A,'EA-Fortescue_SDExport'!AG:AG),
    IF(_xlpm.result=0,"",_xlpm.result)
)</f>
        <v/>
      </c>
      <c r="Y170" s="2" t="str">
        <f>_xlfn.LET(
    _xlpm.status, _xlfn.XLOOKUP($A170,'EA-ConnectorExport'!$A:$A,'EA-ConnectorExport'!G:G),
    _xlpm.result, _xlfn.XLOOKUP($A170,'EA-ConnectorExport'!$A:$A,'EA-ConnectorExport'!H:H),
    IF(_xlpm.status="allocate", _xlpm.result, "")
)</f>
        <v>Mine Services</v>
      </c>
      <c r="Z170" s="2" t="str">
        <f>_xlfn.LET(
    _xlpm.isObject, _xlfn.XLOOKUP($Y170,'EA-Fortescue_SDExport'!A:A,'EA-Fortescue_SDExport'!B:B),
    _xlpm.lookupKey, IF(_xlpm.isObject="Object",
        _xlfn.XLOOKUP($A170,'EA-ConnectorExport'!A:A,'EA-ConnectorExport'!J:J),
        $Y170
    ),
    _xlpm.result, _xlfn.XLOOKUP(_xlpm.lookupKey,'EA-Fortescue_SDExport'!A:A,'EA-Fortescue_SDExport'!AA:AA),
    IF(_xlpm.result=0,"",_xlpm.result)
)</f>
        <v>Stakeholder</v>
      </c>
      <c r="AA170" s="2" t="str">
        <f>_xlfn.LET(_xlpm.result, _xlfn.XLOOKUP($Y170,'EA-Fortescue_SDExport'!$A:$A,'EA-Fortescue_SDExport'!AB:AB), IF(_xlpm.result=0,"",_xlpm.result))</f>
        <v>Charlotte Lavin (Ops Readiness)</v>
      </c>
      <c r="AB170" s="2" t="str">
        <f>_xlfn.LET(_xlpm.result, _xlfn.XLOOKUP($Y170,'EA-Fortescue_SDExport'!$A:$A,'EA-Fortescue_SDExport'!AC:AC), IF(_xlpm.result=0,"",_xlpm.result))</f>
        <v/>
      </c>
      <c r="AC170" s="2" t="str">
        <f>_xlfn.LET(
    _xlpm.isObject, _xlfn.XLOOKUP($Y170,'EA-Fortescue_SDExport'!A:A,'EA-Fortescue_SDExport'!B:B),
    _xlpm.lookupKey, IF(_xlpm.isObject="Object",
        _xlfn.XLOOKUP($A170,'EA-ConnectorExport'!A:A,'EA-ConnectorExport'!J:J),
        $Y170
    ),
    _xlpm.result, _xlfn.XLOOKUP(_xlpm.lookupKey,'EA-Fortescue_SDExport'!A:A,'EA-Fortescue_SDExport'!AD:AD),
    IF(_xlpm.result=0,"",_xlpm.result)
)</f>
        <v/>
      </c>
      <c r="AD170" s="2" t="str">
        <f>_xlfn.LET(
    _xlpm.isObject, _xlfn.XLOOKUP($Y170,'EA-Fortescue_SDExport'!A:A,'EA-Fortescue_SDExport'!B:B),
    _xlpm.lookupKey, IF(_xlpm.isObject="Object",
        _xlfn.XLOOKUP($A170,'EA-ConnectorExport'!A:A,'EA-ConnectorExport'!J:J),
        $Y170
    ),
    _xlpm.result, _xlfn.XLOOKUP(_xlpm.lookupKey,'EA-Fortescue_SDExport'!A:A,'EA-Fortescue_SDExport'!AE:AE),
    IF(_xlpm.result=0,"",_xlpm.result)
)</f>
        <v/>
      </c>
      <c r="AE170" s="2" t="str">
        <f>_xlfn.LET(
    _xlpm.isObject, _xlfn.XLOOKUP($Y170,'EA-Fortescue_SDExport'!A:A,'EA-Fortescue_SDExport'!B:B),
    _xlpm.lookupKey, IF(_xlpm.isObject="Object",
        _xlfn.XLOOKUP($A170,'EA-ConnectorExport'!A:A,'EA-ConnectorExport'!J:J),
        $Y170
    ),
    _xlpm.result, _xlfn.XLOOKUP(_xlpm.lookupKey,'EA-Fortescue_SDExport'!A:A,'EA-Fortescue_SDExport'!AF:AF),
    IF(_xlpm.result=0,"",_xlpm.result)
)</f>
        <v/>
      </c>
      <c r="AF170" s="2" t="str">
        <f>_xlfn.LET(
    _xlpm.isObject, _xlfn.XLOOKUP($Y170,'EA-Fortescue_SDExport'!A:A,'EA-Fortescue_SDExport'!B:B),
    _xlpm.lookupKey, IF(_xlpm.isObject="Object",
        _xlfn.XLOOKUP($A170,'EA-ConnectorExport'!A:A,'EA-ConnectorExport'!J:J),
        $Y170
    ),
    _xlpm.result, _xlfn.XLOOKUP(_xlpm.lookupKey,'EA-Fortescue_SDExport'!A:A,'EA-Fortescue_SDExport'!AG:AG),
    IF(_xlpm.result=0,"",_xlpm.result)
)</f>
        <v/>
      </c>
    </row>
    <row r="171" spans="1:32" ht="60" x14ac:dyDescent="0.25">
      <c r="A171" s="2" t="str">
        <v>DGS-I_0170</v>
      </c>
      <c r="B171" s="2" t="str">
        <f t="shared" si="8"/>
        <v>855DC-1542-CSM Charge Station Management System (CSMS)|Energy Operations (HIVE)</v>
      </c>
      <c r="C171" s="2" t="str">
        <f>_xlfn.LET(_xlpm.result, _xlfn.XLOOKUP(A171,'EA-Fortescue_SDExport'!A:A,'EA-Fortescue_SDExport'!AM:AM), IF(_xlpm.result=0,"",_xlpm.result))</f>
        <v>Sam Hedgcock</v>
      </c>
      <c r="D171" s="2" t="str">
        <f>_xlfn.LET(_xlpm.result, _xlfn.XLOOKUP(A171,'EA-Fortescue_SDExport'!A:A,'EA-Fortescue_SDExport'!AN:AN), IF(_xlpm.result=0,"",_xlpm.result))</f>
        <v>Sam Ward</v>
      </c>
      <c r="E171" s="2" t="str">
        <f>_xlfn.XLOOKUP(R171&amp;Z171,Lookups!A:A,Lookups!B:B)</f>
        <v>Stakeholder - Project Interface</v>
      </c>
      <c r="F171" s="2" t="str">
        <f>_xlfn.LET(_xlpm.result, _xlfn.XLOOKUP(A171,'EA-Fortescue_SDExport'!A:A,'EA-Fortescue_SDExport'!AP:AP), IF(_xlpm.result=0,"",_xlpm.result))</f>
        <v/>
      </c>
      <c r="G171" s="2" t="str">
        <f>IF(OR(AND(T171&lt;&gt;"", COUNTIF(Lookups!J:J, "*"&amp;T171&amp;"*")&gt;0), AND(AB171&lt;&gt;"", COUNTIF(Lookups!J:J, "*"&amp;AB171&amp;"*")&gt;0)), "Yes", "No")</f>
        <v>No</v>
      </c>
      <c r="H171" s="2" t="str">
        <f t="shared" si="9"/>
        <v>855DC Decarb Green Systems|N/A</v>
      </c>
      <c r="I171" s="2" t="str">
        <f t="shared" si="10"/>
        <v>855DC-1542 Control &amp; Monitoring Systems|N/A</v>
      </c>
      <c r="J171" s="2" t="str">
        <f t="shared" si="11"/>
        <v>855DC-1542-CSM Charge Station Management System (CSMS)|N/A</v>
      </c>
      <c r="K171" s="2" t="str">
        <f>_xlfn.XLOOKUP(A171,'EA-Fortescue_SDExport'!A:A,'EA-Fortescue_SDExport'!N:N)</f>
        <v>Deleted</v>
      </c>
      <c r="L171" s="2" t="str">
        <f>_xlfn.LET(_xlpm.result, _xlfn.XLOOKUP($A171,'EA-Fortescue_SDExport'!$A:$A,'EA-Fortescue_SDExport'!AQ:AQ), IF(_xlpm.result=0,"",_xlpm.result))</f>
        <v/>
      </c>
      <c r="M171" s="2" t="str">
        <f>_xlfn.LET(_xlpm.result, _xlfn.XLOOKUP($A171,'EA-Fortescue_SDExport'!$A:$A,'EA-Fortescue_SDExport'!AR:AR), IF(_xlpm.result=0,"",_xlpm.result))</f>
        <v>N/A</v>
      </c>
      <c r="N171" s="2" t="str">
        <f>_xlfn.LET(_xlpm.result, _xlfn.XLOOKUP($A171,'EA-Fortescue_SDExport'!$A:$A,'EA-Fortescue_SDExport'!AW:AW), IF(_xlpm.result=0,"",_xlpm.result))</f>
        <v/>
      </c>
      <c r="O171" s="2" t="str">
        <f>_xlfn.LET(_xlpm.result, _xlfn.XLOOKUP($A171,'EA-Fortescue_SDExport'!$A:$A,'EA-Fortescue_SDExport'!AV:AV), IF(_xlpm.result=0,"",_xlpm.result))</f>
        <v/>
      </c>
      <c r="P171" s="2" t="str">
        <f>_xlfn.LET(_xlpm.result, _xlfn.XLOOKUP($A171,'EA-Fortescue_SDExport'!$A:$A,'EA-Fortescue_SDExport'!D:D), IF(_xlpm.result=0,"",_xlpm.result))</f>
        <v>Deleted: Interface Register Review 11/11/2025. No human Energy Ops interface with CSMS. Energy Ops interface is via Monarch.</v>
      </c>
      <c r="Q171" s="2" t="str">
        <f>_xlfn.LET(
    _xlpm.status, _xlfn.XLOOKUP($A171,'EA-ConnectorExport'!$A:$A,'EA-ConnectorExport'!G:G),
    _xlpm.result, _xlfn.XLOOKUP($A171,'EA-ConnectorExport'!$A:$A,'EA-ConnectorExport'!B:B),
    IF(_xlpm.status="allocate", _xlpm.result, "")
)</f>
        <v>855DC-1542-CSM Charge Station Management System (CSMS)</v>
      </c>
      <c r="R171" s="2" t="str">
        <f>IF(
    _xlfn.XLOOKUP($Q171,'EA-Fortescue_SDExport'!A:A,'EA-Fortescue_SDExport'!B:B)="Object",
    _xlfn.XLOOKUP(
        _xlfn.XLOOKUP($A171,'EA-ConnectorExport'!A:A,'EA-ConnectorExport'!D:D),
        'EA-Fortescue_SDExport'!A:A,
        'EA-Fortescue_SDExport'!AA:AA
    ),
    _xlfn.XLOOKUP($Q171,'EA-Fortescue_SDExport'!A:A,'EA-Fortescue_SDExport'!AA:AA)
)</f>
        <v>Project</v>
      </c>
      <c r="S171" s="2" t="str">
        <f>_xlfn.LET(_xlpm.result, _xlfn.XLOOKUP($Q171,'EA-Fortescue_SDExport'!$A:$A,'EA-Fortescue_SDExport'!AB:AB), IF(_xlpm.result=0,"",_xlpm.result))</f>
        <v>Sam Hedgcock</v>
      </c>
      <c r="T171" s="2" t="str">
        <f>_xlfn.LET(_xlpm.result, _xlfn.XLOOKUP($Q171,'EA-Fortescue_SDExport'!$A:$A,'EA-Fortescue_SDExport'!AC:AC), IF(_xlpm.result=0,"",_xlpm.result))</f>
        <v/>
      </c>
      <c r="U171" s="2" t="str">
        <f>_xlfn.LET(
    _xlpm.isObject, _xlfn.XLOOKUP($Q171,'EA-Fortescue_SDExport'!A:A,'EA-Fortescue_SDExport'!B:B),
    _xlpm.lookupKey, IF(_xlpm.isObject="Object",
        _xlfn.XLOOKUP($A171,'EA-ConnectorExport'!A:A,'EA-ConnectorExport'!D:D),
        $Q171
    ),
    _xlpm.result, _xlfn.XLOOKUP(_xlpm.lookupKey,'EA-Fortescue_SDExport'!A:A,'EA-Fortescue_SDExport'!AD:AD),
    IF(_xlpm.result=0,"",_xlpm.result)
)</f>
        <v>855DC Decarb Green Systems</v>
      </c>
      <c r="V171" s="2" t="str">
        <f>_xlfn.LET(
    _xlpm.isObject, _xlfn.XLOOKUP($Q171,'EA-Fortescue_SDExport'!A:A,'EA-Fortescue_SDExport'!B:B),
    _xlpm.lookupKey, IF(_xlpm.isObject="Object",
        _xlfn.XLOOKUP($A171,'EA-ConnectorExport'!A:A,'EA-ConnectorExport'!D:D),
        $Q171
    ),
    _xlpm.result, _xlfn.XLOOKUP(_xlpm.lookupKey,'EA-Fortescue_SDExport'!A:A,'EA-Fortescue_SDExport'!AE:AE),
    IF(_xlpm.result=0,"",_xlpm.result)
)</f>
        <v>855DC-1542 Control &amp; Monitoring Systems</v>
      </c>
      <c r="W171" s="2" t="str">
        <f>_xlfn.LET(
    _xlpm.isObject, _xlfn.XLOOKUP($Q171,'EA-Fortescue_SDExport'!A:A,'EA-Fortescue_SDExport'!B:B),
    _xlpm.lookupKey, IF(_xlpm.isObject="Object",
        _xlfn.XLOOKUP($A171,'EA-ConnectorExport'!A:A,'EA-ConnectorExport'!D:D),
        $Q171
    ),
    _xlpm.result, _xlfn.XLOOKUP(_xlpm.lookupKey,'EA-Fortescue_SDExport'!A:A,'EA-Fortescue_SDExport'!AF:AF),
    IF(_xlpm.result=0,"",_xlpm.result)
)</f>
        <v>855DC-1542-CSM Charge Station Management System (CSMS)</v>
      </c>
      <c r="X171" s="2" t="str">
        <f>_xlfn.LET(
    _xlpm.isObject, _xlfn.XLOOKUP($Q171,'EA-Fortescue_SDExport'!A:A,'EA-Fortescue_SDExport'!B:B),
    _xlpm.lookupKey, IF(_xlpm.isObject="Object",
        _xlfn.XLOOKUP($A171,'EA-ConnectorExport'!A:A,'EA-ConnectorExport'!D:D),
        $Q171
    ),
    _xlpm.result, _xlfn.XLOOKUP(_xlpm.lookupKey,'EA-Fortescue_SDExport'!A:A,'EA-Fortescue_SDExport'!AG:AG),
    IF(_xlpm.result=0,"",_xlpm.result)
)</f>
        <v/>
      </c>
      <c r="Y171" s="2" t="str">
        <f>_xlfn.LET(
    _xlpm.status, _xlfn.XLOOKUP($A171,'EA-ConnectorExport'!$A:$A,'EA-ConnectorExport'!G:G),
    _xlpm.result, _xlfn.XLOOKUP($A171,'EA-ConnectorExport'!$A:$A,'EA-ConnectorExport'!H:H),
    IF(_xlpm.status="allocate", _xlpm.result, "")
)</f>
        <v>Energy Operations (HIVE)</v>
      </c>
      <c r="Z171" s="2" t="str">
        <f>_xlfn.LET(
    _xlpm.isObject, _xlfn.XLOOKUP($Y171,'EA-Fortescue_SDExport'!A:A,'EA-Fortescue_SDExport'!B:B),
    _xlpm.lookupKey, IF(_xlpm.isObject="Object",
        _xlfn.XLOOKUP($A171,'EA-ConnectorExport'!A:A,'EA-ConnectorExport'!J:J),
        $Y171
    ),
    _xlpm.result, _xlfn.XLOOKUP(_xlpm.lookupKey,'EA-Fortescue_SDExport'!A:A,'EA-Fortescue_SDExport'!AA:AA),
    IF(_xlpm.result=0,"",_xlpm.result)
)</f>
        <v>Stakeholder</v>
      </c>
      <c r="AA171" s="2" t="str">
        <f>_xlfn.LET(_xlpm.result, _xlfn.XLOOKUP($Y171,'EA-Fortescue_SDExport'!$A:$A,'EA-Fortescue_SDExport'!AB:AB), IF(_xlpm.result=0,"",_xlpm.result))</f>
        <v/>
      </c>
      <c r="AB171" s="2" t="str">
        <f>_xlfn.LET(_xlpm.result, _xlfn.XLOOKUP($Y171,'EA-Fortescue_SDExport'!$A:$A,'EA-Fortescue_SDExport'!AC:AC), IF(_xlpm.result=0,"",_xlpm.result))</f>
        <v/>
      </c>
      <c r="AC171" s="2" t="str">
        <f>_xlfn.LET(
    _xlpm.isObject, _xlfn.XLOOKUP($Y171,'EA-Fortescue_SDExport'!A:A,'EA-Fortescue_SDExport'!B:B),
    _xlpm.lookupKey, IF(_xlpm.isObject="Object",
        _xlfn.XLOOKUP($A171,'EA-ConnectorExport'!A:A,'EA-ConnectorExport'!J:J),
        $Y171
    ),
    _xlpm.result, _xlfn.XLOOKUP(_xlpm.lookupKey,'EA-Fortescue_SDExport'!A:A,'EA-Fortescue_SDExport'!AD:AD),
    IF(_xlpm.result=0,"",_xlpm.result)
)</f>
        <v/>
      </c>
      <c r="AD171" s="2" t="str">
        <f>_xlfn.LET(
    _xlpm.isObject, _xlfn.XLOOKUP($Y171,'EA-Fortescue_SDExport'!A:A,'EA-Fortescue_SDExport'!B:B),
    _xlpm.lookupKey, IF(_xlpm.isObject="Object",
        _xlfn.XLOOKUP($A171,'EA-ConnectorExport'!A:A,'EA-ConnectorExport'!J:J),
        $Y171
    ),
    _xlpm.result, _xlfn.XLOOKUP(_xlpm.lookupKey,'EA-Fortescue_SDExport'!A:A,'EA-Fortescue_SDExport'!AE:AE),
    IF(_xlpm.result=0,"",_xlpm.result)
)</f>
        <v/>
      </c>
      <c r="AE171" s="2" t="str">
        <f>_xlfn.LET(
    _xlpm.isObject, _xlfn.XLOOKUP($Y171,'EA-Fortescue_SDExport'!A:A,'EA-Fortescue_SDExport'!B:B),
    _xlpm.lookupKey, IF(_xlpm.isObject="Object",
        _xlfn.XLOOKUP($A171,'EA-ConnectorExport'!A:A,'EA-ConnectorExport'!J:J),
        $Y171
    ),
    _xlpm.result, _xlfn.XLOOKUP(_xlpm.lookupKey,'EA-Fortescue_SDExport'!A:A,'EA-Fortescue_SDExport'!AF:AF),
    IF(_xlpm.result=0,"",_xlpm.result)
)</f>
        <v/>
      </c>
      <c r="AF171" s="2" t="str">
        <f>_xlfn.LET(
    _xlpm.isObject, _xlfn.XLOOKUP($Y171,'EA-Fortescue_SDExport'!A:A,'EA-Fortescue_SDExport'!B:B),
    _xlpm.lookupKey, IF(_xlpm.isObject="Object",
        _xlfn.XLOOKUP($A171,'EA-ConnectorExport'!A:A,'EA-ConnectorExport'!J:J),
        $Y171
    ),
    _xlpm.result, _xlfn.XLOOKUP(_xlpm.lookupKey,'EA-Fortescue_SDExport'!A:A,'EA-Fortescue_SDExport'!AG:AG),
    IF(_xlpm.result=0,"",_xlpm.result)
)</f>
        <v/>
      </c>
    </row>
    <row r="172" spans="1:32" ht="60" x14ac:dyDescent="0.25">
      <c r="A172" s="2" t="str">
        <v>DGS-I_0171</v>
      </c>
      <c r="B172" s="2" t="str">
        <f t="shared" si="8"/>
        <v>855DC-1542-CSM Charge Station Management System (CSMS)|Mining Operations</v>
      </c>
      <c r="C172" s="2" t="str">
        <f>_xlfn.LET(_xlpm.result, _xlfn.XLOOKUP(A172,'EA-Fortescue_SDExport'!A:A,'EA-Fortescue_SDExport'!AM:AM), IF(_xlpm.result=0,"",_xlpm.result))</f>
        <v>Sam Hedgcock</v>
      </c>
      <c r="D172" s="2" t="str">
        <f>_xlfn.LET(_xlpm.result, _xlfn.XLOOKUP(A172,'EA-Fortescue_SDExport'!A:A,'EA-Fortescue_SDExport'!AN:AN), IF(_xlpm.result=0,"",_xlpm.result))</f>
        <v>Sam Ward</v>
      </c>
      <c r="E172" s="2" t="str">
        <f>_xlfn.XLOOKUP(R172&amp;Z172,Lookups!A:A,Lookups!B:B)</f>
        <v>Stakeholder - Project Interface</v>
      </c>
      <c r="F172" s="2" t="str">
        <f>_xlfn.LET(_xlpm.result, _xlfn.XLOOKUP(A172,'EA-Fortescue_SDExport'!A:A,'EA-Fortescue_SDExport'!AP:AP), IF(_xlpm.result=0,"",_xlpm.result))</f>
        <v/>
      </c>
      <c r="G172" s="2" t="str">
        <f>IF(OR(AND(T172&lt;&gt;"", COUNTIF(Lookups!J:J, "*"&amp;T172&amp;"*")&gt;0), AND(AB172&lt;&gt;"", COUNTIF(Lookups!J:J, "*"&amp;AB172&amp;"*")&gt;0)), "Yes", "No")</f>
        <v>No</v>
      </c>
      <c r="H172" s="2" t="str">
        <f t="shared" si="9"/>
        <v>855DC Decarb Green Systems|N/A</v>
      </c>
      <c r="I172" s="2" t="str">
        <f t="shared" si="10"/>
        <v>855DC-1542 Control &amp; Monitoring Systems|N/A</v>
      </c>
      <c r="J172" s="2" t="str">
        <f t="shared" si="11"/>
        <v>855DC-1542-CSM Charge Station Management System (CSMS)|N/A</v>
      </c>
      <c r="K172" s="2" t="str">
        <f>_xlfn.XLOOKUP(A172,'EA-Fortescue_SDExport'!A:A,'EA-Fortescue_SDExport'!N:N)</f>
        <v>Deleted</v>
      </c>
      <c r="L172" s="2" t="str">
        <f>_xlfn.LET(_xlpm.result, _xlfn.XLOOKUP($A172,'EA-Fortescue_SDExport'!$A:$A,'EA-Fortescue_SDExport'!AQ:AQ), IF(_xlpm.result=0,"",_xlpm.result))</f>
        <v/>
      </c>
      <c r="M172" s="2" t="str">
        <f>_xlfn.LET(_xlpm.result, _xlfn.XLOOKUP($A172,'EA-Fortescue_SDExport'!$A:$A,'EA-Fortescue_SDExport'!AR:AR), IF(_xlpm.result=0,"",_xlpm.result))</f>
        <v>N/A</v>
      </c>
      <c r="N172" s="2" t="str">
        <f>_xlfn.LET(_xlpm.result, _xlfn.XLOOKUP($A172,'EA-Fortescue_SDExport'!$A:$A,'EA-Fortescue_SDExport'!AW:AW), IF(_xlpm.result=0,"",_xlpm.result))</f>
        <v/>
      </c>
      <c r="O172" s="2" t="str">
        <f>_xlfn.LET(_xlpm.result, _xlfn.XLOOKUP($A172,'EA-Fortescue_SDExport'!$A:$A,'EA-Fortescue_SDExport'!AV:AV), IF(_xlpm.result=0,"",_xlpm.result))</f>
        <v/>
      </c>
      <c r="P172" s="2" t="str">
        <f>_xlfn.LET(_xlpm.result, _xlfn.XLOOKUP($A172,'EA-Fortescue_SDExport'!$A:$A,'EA-Fortescue_SDExport'!D:D), IF(_xlpm.result=0,"",_xlpm.result))</f>
        <v>Deleted: Interface Register Review 11/11/2025. No human Mining Ops interface with CSMS.</v>
      </c>
      <c r="Q172" s="2" t="str">
        <f>_xlfn.LET(
    _xlpm.status, _xlfn.XLOOKUP($A172,'EA-ConnectorExport'!$A:$A,'EA-ConnectorExport'!G:G),
    _xlpm.result, _xlfn.XLOOKUP($A172,'EA-ConnectorExport'!$A:$A,'EA-ConnectorExport'!B:B),
    IF(_xlpm.status="allocate", _xlpm.result, "")
)</f>
        <v>855DC-1542-CSM Charge Station Management System (CSMS)</v>
      </c>
      <c r="R172" s="2" t="str">
        <f>IF(
    _xlfn.XLOOKUP($Q172,'EA-Fortescue_SDExport'!A:A,'EA-Fortescue_SDExport'!B:B)="Object",
    _xlfn.XLOOKUP(
        _xlfn.XLOOKUP($A172,'EA-ConnectorExport'!A:A,'EA-ConnectorExport'!D:D),
        'EA-Fortescue_SDExport'!A:A,
        'EA-Fortescue_SDExport'!AA:AA
    ),
    _xlfn.XLOOKUP($Q172,'EA-Fortescue_SDExport'!A:A,'EA-Fortescue_SDExport'!AA:AA)
)</f>
        <v>Project</v>
      </c>
      <c r="S172" s="2" t="str">
        <f>_xlfn.LET(_xlpm.result, _xlfn.XLOOKUP($Q172,'EA-Fortescue_SDExport'!$A:$A,'EA-Fortescue_SDExport'!AB:AB), IF(_xlpm.result=0,"",_xlpm.result))</f>
        <v>Sam Hedgcock</v>
      </c>
      <c r="T172" s="2" t="str">
        <f>_xlfn.LET(_xlpm.result, _xlfn.XLOOKUP($Q172,'EA-Fortescue_SDExport'!$A:$A,'EA-Fortescue_SDExport'!AC:AC), IF(_xlpm.result=0,"",_xlpm.result))</f>
        <v/>
      </c>
      <c r="U172" s="2" t="str">
        <f>_xlfn.LET(
    _xlpm.isObject, _xlfn.XLOOKUP($Q172,'EA-Fortescue_SDExport'!A:A,'EA-Fortescue_SDExport'!B:B),
    _xlpm.lookupKey, IF(_xlpm.isObject="Object",
        _xlfn.XLOOKUP($A172,'EA-ConnectorExport'!A:A,'EA-ConnectorExport'!D:D),
        $Q172
    ),
    _xlpm.result, _xlfn.XLOOKUP(_xlpm.lookupKey,'EA-Fortescue_SDExport'!A:A,'EA-Fortescue_SDExport'!AD:AD),
    IF(_xlpm.result=0,"",_xlpm.result)
)</f>
        <v>855DC Decarb Green Systems</v>
      </c>
      <c r="V172" s="2" t="str">
        <f>_xlfn.LET(
    _xlpm.isObject, _xlfn.XLOOKUP($Q172,'EA-Fortescue_SDExport'!A:A,'EA-Fortescue_SDExport'!B:B),
    _xlpm.lookupKey, IF(_xlpm.isObject="Object",
        _xlfn.XLOOKUP($A172,'EA-ConnectorExport'!A:A,'EA-ConnectorExport'!D:D),
        $Q172
    ),
    _xlpm.result, _xlfn.XLOOKUP(_xlpm.lookupKey,'EA-Fortescue_SDExport'!A:A,'EA-Fortescue_SDExport'!AE:AE),
    IF(_xlpm.result=0,"",_xlpm.result)
)</f>
        <v>855DC-1542 Control &amp; Monitoring Systems</v>
      </c>
      <c r="W172" s="2" t="str">
        <f>_xlfn.LET(
    _xlpm.isObject, _xlfn.XLOOKUP($Q172,'EA-Fortescue_SDExport'!A:A,'EA-Fortescue_SDExport'!B:B),
    _xlpm.lookupKey, IF(_xlpm.isObject="Object",
        _xlfn.XLOOKUP($A172,'EA-ConnectorExport'!A:A,'EA-ConnectorExport'!D:D),
        $Q172
    ),
    _xlpm.result, _xlfn.XLOOKUP(_xlpm.lookupKey,'EA-Fortescue_SDExport'!A:A,'EA-Fortescue_SDExport'!AF:AF),
    IF(_xlpm.result=0,"",_xlpm.result)
)</f>
        <v>855DC-1542-CSM Charge Station Management System (CSMS)</v>
      </c>
      <c r="X172" s="2" t="str">
        <f>_xlfn.LET(
    _xlpm.isObject, _xlfn.XLOOKUP($Q172,'EA-Fortescue_SDExport'!A:A,'EA-Fortescue_SDExport'!B:B),
    _xlpm.lookupKey, IF(_xlpm.isObject="Object",
        _xlfn.XLOOKUP($A172,'EA-ConnectorExport'!A:A,'EA-ConnectorExport'!D:D),
        $Q172
    ),
    _xlpm.result, _xlfn.XLOOKUP(_xlpm.lookupKey,'EA-Fortescue_SDExport'!A:A,'EA-Fortescue_SDExport'!AG:AG),
    IF(_xlpm.result=0,"",_xlpm.result)
)</f>
        <v/>
      </c>
      <c r="Y172" s="2" t="str">
        <f>_xlfn.LET(
    _xlpm.status, _xlfn.XLOOKUP($A172,'EA-ConnectorExport'!$A:$A,'EA-ConnectorExport'!G:G),
    _xlpm.result, _xlfn.XLOOKUP($A172,'EA-ConnectorExport'!$A:$A,'EA-ConnectorExport'!H:H),
    IF(_xlpm.status="allocate", _xlpm.result, "")
)</f>
        <v>Mining Operations</v>
      </c>
      <c r="Z172" s="2" t="str">
        <f>_xlfn.LET(
    _xlpm.isObject, _xlfn.XLOOKUP($Y172,'EA-Fortescue_SDExport'!A:A,'EA-Fortescue_SDExport'!B:B),
    _xlpm.lookupKey, IF(_xlpm.isObject="Object",
        _xlfn.XLOOKUP($A172,'EA-ConnectorExport'!A:A,'EA-ConnectorExport'!J:J),
        $Y172
    ),
    _xlpm.result, _xlfn.XLOOKUP(_xlpm.lookupKey,'EA-Fortescue_SDExport'!A:A,'EA-Fortescue_SDExport'!AA:AA),
    IF(_xlpm.result=0,"",_xlpm.result)
)</f>
        <v>Stakeholder</v>
      </c>
      <c r="AA172" s="2" t="str">
        <f>_xlfn.LET(_xlpm.result, _xlfn.XLOOKUP($Y172,'EA-Fortescue_SDExport'!$A:$A,'EA-Fortescue_SDExport'!AB:AB), IF(_xlpm.result=0,"",_xlpm.result))</f>
        <v>Sam Ward</v>
      </c>
      <c r="AB172" s="2" t="str">
        <f>_xlfn.LET(_xlpm.result, _xlfn.XLOOKUP($Y172,'EA-Fortescue_SDExport'!$A:$A,'EA-Fortescue_SDExport'!AC:AC), IF(_xlpm.result=0,"",_xlpm.result))</f>
        <v/>
      </c>
      <c r="AC172" s="2" t="str">
        <f>_xlfn.LET(
    _xlpm.isObject, _xlfn.XLOOKUP($Y172,'EA-Fortescue_SDExport'!A:A,'EA-Fortescue_SDExport'!B:B),
    _xlpm.lookupKey, IF(_xlpm.isObject="Object",
        _xlfn.XLOOKUP($A172,'EA-ConnectorExport'!A:A,'EA-ConnectorExport'!J:J),
        $Y172
    ),
    _xlpm.result, _xlfn.XLOOKUP(_xlpm.lookupKey,'EA-Fortescue_SDExport'!A:A,'EA-Fortescue_SDExport'!AD:AD),
    IF(_xlpm.result=0,"",_xlpm.result)
)</f>
        <v/>
      </c>
      <c r="AD172" s="2" t="str">
        <f>_xlfn.LET(
    _xlpm.isObject, _xlfn.XLOOKUP($Y172,'EA-Fortescue_SDExport'!A:A,'EA-Fortescue_SDExport'!B:B),
    _xlpm.lookupKey, IF(_xlpm.isObject="Object",
        _xlfn.XLOOKUP($A172,'EA-ConnectorExport'!A:A,'EA-ConnectorExport'!J:J),
        $Y172
    ),
    _xlpm.result, _xlfn.XLOOKUP(_xlpm.lookupKey,'EA-Fortescue_SDExport'!A:A,'EA-Fortescue_SDExport'!AE:AE),
    IF(_xlpm.result=0,"",_xlpm.result)
)</f>
        <v/>
      </c>
      <c r="AE172" s="2" t="str">
        <f>_xlfn.LET(
    _xlpm.isObject, _xlfn.XLOOKUP($Y172,'EA-Fortescue_SDExport'!A:A,'EA-Fortescue_SDExport'!B:B),
    _xlpm.lookupKey, IF(_xlpm.isObject="Object",
        _xlfn.XLOOKUP($A172,'EA-ConnectorExport'!A:A,'EA-ConnectorExport'!J:J),
        $Y172
    ),
    _xlpm.result, _xlfn.XLOOKUP(_xlpm.lookupKey,'EA-Fortescue_SDExport'!A:A,'EA-Fortescue_SDExport'!AF:AF),
    IF(_xlpm.result=0,"",_xlpm.result)
)</f>
        <v/>
      </c>
      <c r="AF172" s="2" t="str">
        <f>_xlfn.LET(
    _xlpm.isObject, _xlfn.XLOOKUP($Y172,'EA-Fortescue_SDExport'!A:A,'EA-Fortescue_SDExport'!B:B),
    _xlpm.lookupKey, IF(_xlpm.isObject="Object",
        _xlfn.XLOOKUP($A172,'EA-ConnectorExport'!A:A,'EA-ConnectorExport'!J:J),
        $Y172
    ),
    _xlpm.result, _xlfn.XLOOKUP(_xlpm.lookupKey,'EA-Fortescue_SDExport'!A:A,'EA-Fortescue_SDExport'!AG:AG),
    IF(_xlpm.result=0,"",_xlpm.result)
)</f>
        <v/>
      </c>
    </row>
    <row r="173" spans="1:32" ht="60" x14ac:dyDescent="0.25">
      <c r="A173" s="2" t="str">
        <v>DGS-I_0172</v>
      </c>
      <c r="B173" s="2" t="str">
        <f t="shared" si="8"/>
        <v>855DC-1542-CSM Charge Station Management System (CSMS)|Non-Process Infrastructure (NPI) Maintenance Controller</v>
      </c>
      <c r="C173" s="2" t="str">
        <f>_xlfn.LET(_xlpm.result, _xlfn.XLOOKUP(A173,'EA-Fortescue_SDExport'!A:A,'EA-Fortescue_SDExport'!AM:AM), IF(_xlpm.result=0,"",_xlpm.result))</f>
        <v>Sam Hedgcock</v>
      </c>
      <c r="D173" s="2" t="str">
        <f>_xlfn.LET(_xlpm.result, _xlfn.XLOOKUP(A173,'EA-Fortescue_SDExport'!A:A,'EA-Fortescue_SDExport'!AN:AN), IF(_xlpm.result=0,"",_xlpm.result))</f>
        <v>Sam Ward</v>
      </c>
      <c r="E173" s="2" t="str">
        <f>_xlfn.XLOOKUP(R173&amp;Z173,Lookups!A:A,Lookups!B:B)</f>
        <v>Stakeholder - Project Interface</v>
      </c>
      <c r="F173" s="2" t="str">
        <f>_xlfn.LET(_xlpm.result, _xlfn.XLOOKUP(A173,'EA-Fortescue_SDExport'!A:A,'EA-Fortescue_SDExport'!AP:AP), IF(_xlpm.result=0,"",_xlpm.result))</f>
        <v/>
      </c>
      <c r="G173" s="2" t="str">
        <f>IF(OR(AND(T173&lt;&gt;"", COUNTIF(Lookups!J:J, "*"&amp;T173&amp;"*")&gt;0), AND(AB173&lt;&gt;"", COUNTIF(Lookups!J:J, "*"&amp;AB173&amp;"*")&gt;0)), "Yes", "No")</f>
        <v>No</v>
      </c>
      <c r="H173" s="2" t="str">
        <f t="shared" si="9"/>
        <v>855DC Decarb Green Systems|N/A</v>
      </c>
      <c r="I173" s="2" t="str">
        <f t="shared" si="10"/>
        <v>855DC-1542 Control &amp; Monitoring Systems|N/A</v>
      </c>
      <c r="J173" s="2" t="str">
        <f t="shared" si="11"/>
        <v>855DC-1542-CSM Charge Station Management System (CSMS)|N/A</v>
      </c>
      <c r="K173" s="2" t="str">
        <f>_xlfn.XLOOKUP(A173,'EA-Fortescue_SDExport'!A:A,'EA-Fortescue_SDExport'!N:N)</f>
        <v>Deleted</v>
      </c>
      <c r="L173" s="2" t="str">
        <f>_xlfn.LET(_xlpm.result, _xlfn.XLOOKUP($A173,'EA-Fortescue_SDExport'!$A:$A,'EA-Fortescue_SDExport'!AQ:AQ), IF(_xlpm.result=0,"",_xlpm.result))</f>
        <v/>
      </c>
      <c r="M173" s="2" t="str">
        <f>_xlfn.LET(_xlpm.result, _xlfn.XLOOKUP($A173,'EA-Fortescue_SDExport'!$A:$A,'EA-Fortescue_SDExport'!AR:AR), IF(_xlpm.result=0,"",_xlpm.result))</f>
        <v>N/A</v>
      </c>
      <c r="N173" s="2" t="str">
        <f>_xlfn.LET(_xlpm.result, _xlfn.XLOOKUP($A173,'EA-Fortescue_SDExport'!$A:$A,'EA-Fortescue_SDExport'!AW:AW), IF(_xlpm.result=0,"",_xlpm.result))</f>
        <v/>
      </c>
      <c r="O173" s="2" t="str">
        <f>_xlfn.LET(_xlpm.result, _xlfn.XLOOKUP($A173,'EA-Fortescue_SDExport'!$A:$A,'EA-Fortescue_SDExport'!AV:AV), IF(_xlpm.result=0,"",_xlpm.result))</f>
        <v/>
      </c>
      <c r="P173" s="2" t="str">
        <f>_xlfn.LET(_xlpm.result, _xlfn.XLOOKUP($A173,'EA-Fortescue_SDExport'!$A:$A,'EA-Fortescue_SDExport'!D:D), IF(_xlpm.result=0,"",_xlpm.result))</f>
        <v>Deleted: Interface Register Review 11/11/2025. Duplicate of DGS-I_0169_TP. NPI is now Mine Services.</v>
      </c>
      <c r="Q173" s="2" t="str">
        <f>_xlfn.LET(
    _xlpm.status, _xlfn.XLOOKUP($A173,'EA-ConnectorExport'!$A:$A,'EA-ConnectorExport'!G:G),
    _xlpm.result, _xlfn.XLOOKUP($A173,'EA-ConnectorExport'!$A:$A,'EA-ConnectorExport'!B:B),
    IF(_xlpm.status="allocate", _xlpm.result, "")
)</f>
        <v>855DC-1542-CSM Charge Station Management System (CSMS)</v>
      </c>
      <c r="R173" s="2" t="str">
        <f>IF(
    _xlfn.XLOOKUP($Q173,'EA-Fortescue_SDExport'!A:A,'EA-Fortescue_SDExport'!B:B)="Object",
    _xlfn.XLOOKUP(
        _xlfn.XLOOKUP($A173,'EA-ConnectorExport'!A:A,'EA-ConnectorExport'!D:D),
        'EA-Fortescue_SDExport'!A:A,
        'EA-Fortescue_SDExport'!AA:AA
    ),
    _xlfn.XLOOKUP($Q173,'EA-Fortescue_SDExport'!A:A,'EA-Fortescue_SDExport'!AA:AA)
)</f>
        <v>Project</v>
      </c>
      <c r="S173" s="2" t="str">
        <f>_xlfn.LET(_xlpm.result, _xlfn.XLOOKUP($Q173,'EA-Fortescue_SDExport'!$A:$A,'EA-Fortescue_SDExport'!AB:AB), IF(_xlpm.result=0,"",_xlpm.result))</f>
        <v>Sam Hedgcock</v>
      </c>
      <c r="T173" s="2" t="str">
        <f>_xlfn.LET(_xlpm.result, _xlfn.XLOOKUP($Q173,'EA-Fortescue_SDExport'!$A:$A,'EA-Fortescue_SDExport'!AC:AC), IF(_xlpm.result=0,"",_xlpm.result))</f>
        <v/>
      </c>
      <c r="U173" s="2" t="str">
        <f>_xlfn.LET(
    _xlpm.isObject, _xlfn.XLOOKUP($Q173,'EA-Fortescue_SDExport'!A:A,'EA-Fortescue_SDExport'!B:B),
    _xlpm.lookupKey, IF(_xlpm.isObject="Object",
        _xlfn.XLOOKUP($A173,'EA-ConnectorExport'!A:A,'EA-ConnectorExport'!D:D),
        $Q173
    ),
    _xlpm.result, _xlfn.XLOOKUP(_xlpm.lookupKey,'EA-Fortescue_SDExport'!A:A,'EA-Fortescue_SDExport'!AD:AD),
    IF(_xlpm.result=0,"",_xlpm.result)
)</f>
        <v>855DC Decarb Green Systems</v>
      </c>
      <c r="V173" s="2" t="str">
        <f>_xlfn.LET(
    _xlpm.isObject, _xlfn.XLOOKUP($Q173,'EA-Fortescue_SDExport'!A:A,'EA-Fortescue_SDExport'!B:B),
    _xlpm.lookupKey, IF(_xlpm.isObject="Object",
        _xlfn.XLOOKUP($A173,'EA-ConnectorExport'!A:A,'EA-ConnectorExport'!D:D),
        $Q173
    ),
    _xlpm.result, _xlfn.XLOOKUP(_xlpm.lookupKey,'EA-Fortescue_SDExport'!A:A,'EA-Fortescue_SDExport'!AE:AE),
    IF(_xlpm.result=0,"",_xlpm.result)
)</f>
        <v>855DC-1542 Control &amp; Monitoring Systems</v>
      </c>
      <c r="W173" s="2" t="str">
        <f>_xlfn.LET(
    _xlpm.isObject, _xlfn.XLOOKUP($Q173,'EA-Fortescue_SDExport'!A:A,'EA-Fortescue_SDExport'!B:B),
    _xlpm.lookupKey, IF(_xlpm.isObject="Object",
        _xlfn.XLOOKUP($A173,'EA-ConnectorExport'!A:A,'EA-ConnectorExport'!D:D),
        $Q173
    ),
    _xlpm.result, _xlfn.XLOOKUP(_xlpm.lookupKey,'EA-Fortescue_SDExport'!A:A,'EA-Fortescue_SDExport'!AF:AF),
    IF(_xlpm.result=0,"",_xlpm.result)
)</f>
        <v>855DC-1542-CSM Charge Station Management System (CSMS)</v>
      </c>
      <c r="X173" s="2" t="str">
        <f>_xlfn.LET(
    _xlpm.isObject, _xlfn.XLOOKUP($Q173,'EA-Fortescue_SDExport'!A:A,'EA-Fortescue_SDExport'!B:B),
    _xlpm.lookupKey, IF(_xlpm.isObject="Object",
        _xlfn.XLOOKUP($A173,'EA-ConnectorExport'!A:A,'EA-ConnectorExport'!D:D),
        $Q173
    ),
    _xlpm.result, _xlfn.XLOOKUP(_xlpm.lookupKey,'EA-Fortescue_SDExport'!A:A,'EA-Fortescue_SDExport'!AG:AG),
    IF(_xlpm.result=0,"",_xlpm.result)
)</f>
        <v/>
      </c>
      <c r="Y173" s="2" t="str">
        <f>_xlfn.LET(
    _xlpm.status, _xlfn.XLOOKUP($A173,'EA-ConnectorExport'!$A:$A,'EA-ConnectorExport'!G:G),
    _xlpm.result, _xlfn.XLOOKUP($A173,'EA-ConnectorExport'!$A:$A,'EA-ConnectorExport'!H:H),
    IF(_xlpm.status="allocate", _xlpm.result, "")
)</f>
        <v>Non-Process Infrastructure (NPI) Maintenance Controller</v>
      </c>
      <c r="Z173" s="2" t="str">
        <f>_xlfn.LET(
    _xlpm.isObject, _xlfn.XLOOKUP($Y173,'EA-Fortescue_SDExport'!A:A,'EA-Fortescue_SDExport'!B:B),
    _xlpm.lookupKey, IF(_xlpm.isObject="Object",
        _xlfn.XLOOKUP($A173,'EA-ConnectorExport'!A:A,'EA-ConnectorExport'!J:J),
        $Y173
    ),
    _xlpm.result, _xlfn.XLOOKUP(_xlpm.lookupKey,'EA-Fortescue_SDExport'!A:A,'EA-Fortescue_SDExport'!AA:AA),
    IF(_xlpm.result=0,"",_xlpm.result)
)</f>
        <v>Stakeholder</v>
      </c>
      <c r="AA173" s="2" t="str">
        <f>_xlfn.LET(_xlpm.result, _xlfn.XLOOKUP($Y173,'EA-Fortescue_SDExport'!$A:$A,'EA-Fortescue_SDExport'!AB:AB), IF(_xlpm.result=0,"",_xlpm.result))</f>
        <v>Sam Ward</v>
      </c>
      <c r="AB173" s="2" t="str">
        <f>_xlfn.LET(_xlpm.result, _xlfn.XLOOKUP($Y173,'EA-Fortescue_SDExport'!$A:$A,'EA-Fortescue_SDExport'!AC:AC), IF(_xlpm.result=0,"",_xlpm.result))</f>
        <v/>
      </c>
      <c r="AC173" s="2" t="str">
        <f>_xlfn.LET(
    _xlpm.isObject, _xlfn.XLOOKUP($Y173,'EA-Fortescue_SDExport'!A:A,'EA-Fortescue_SDExport'!B:B),
    _xlpm.lookupKey, IF(_xlpm.isObject="Object",
        _xlfn.XLOOKUP($A173,'EA-ConnectorExport'!A:A,'EA-ConnectorExport'!J:J),
        $Y173
    ),
    _xlpm.result, _xlfn.XLOOKUP(_xlpm.lookupKey,'EA-Fortescue_SDExport'!A:A,'EA-Fortescue_SDExport'!AD:AD),
    IF(_xlpm.result=0,"",_xlpm.result)
)</f>
        <v/>
      </c>
      <c r="AD173" s="2" t="str">
        <f>_xlfn.LET(
    _xlpm.isObject, _xlfn.XLOOKUP($Y173,'EA-Fortescue_SDExport'!A:A,'EA-Fortescue_SDExport'!B:B),
    _xlpm.lookupKey, IF(_xlpm.isObject="Object",
        _xlfn.XLOOKUP($A173,'EA-ConnectorExport'!A:A,'EA-ConnectorExport'!J:J),
        $Y173
    ),
    _xlpm.result, _xlfn.XLOOKUP(_xlpm.lookupKey,'EA-Fortescue_SDExport'!A:A,'EA-Fortescue_SDExport'!AE:AE),
    IF(_xlpm.result=0,"",_xlpm.result)
)</f>
        <v/>
      </c>
      <c r="AE173" s="2" t="str">
        <f>_xlfn.LET(
    _xlpm.isObject, _xlfn.XLOOKUP($Y173,'EA-Fortescue_SDExport'!A:A,'EA-Fortescue_SDExport'!B:B),
    _xlpm.lookupKey, IF(_xlpm.isObject="Object",
        _xlfn.XLOOKUP($A173,'EA-ConnectorExport'!A:A,'EA-ConnectorExport'!J:J),
        $Y173
    ),
    _xlpm.result, _xlfn.XLOOKUP(_xlpm.lookupKey,'EA-Fortescue_SDExport'!A:A,'EA-Fortescue_SDExport'!AF:AF),
    IF(_xlpm.result=0,"",_xlpm.result)
)</f>
        <v/>
      </c>
      <c r="AF173" s="2" t="str">
        <f>_xlfn.LET(
    _xlpm.isObject, _xlfn.XLOOKUP($Y173,'EA-Fortescue_SDExport'!A:A,'EA-Fortescue_SDExport'!B:B),
    _xlpm.lookupKey, IF(_xlpm.isObject="Object",
        _xlfn.XLOOKUP($A173,'EA-ConnectorExport'!A:A,'EA-ConnectorExport'!J:J),
        $Y173
    ),
    _xlpm.result, _xlfn.XLOOKUP(_xlpm.lookupKey,'EA-Fortescue_SDExport'!A:A,'EA-Fortescue_SDExport'!AG:AG),
    IF(_xlpm.result=0,"",_xlpm.result)
)</f>
        <v/>
      </c>
    </row>
    <row r="174" spans="1:32" ht="60" x14ac:dyDescent="0.25">
      <c r="A174" s="2" t="str">
        <v>DGS-I_0173</v>
      </c>
      <c r="B174" s="2" t="str">
        <f t="shared" si="8"/>
        <v>855DC-1541-ECL-003 Plexos|855DC-1544-021 GAF24</v>
      </c>
      <c r="C174" s="2" t="str">
        <f>_xlfn.LET(_xlpm.result, _xlfn.XLOOKUP(A174,'EA-Fortescue_SDExport'!A:A,'EA-Fortescue_SDExport'!AM:AM), IF(_xlpm.result=0,"",_xlpm.result))</f>
        <v/>
      </c>
      <c r="D174" s="2" t="str">
        <f>_xlfn.LET(_xlpm.result, _xlfn.XLOOKUP(A174,'EA-Fortescue_SDExport'!A:A,'EA-Fortescue_SDExport'!AN:AN), IF(_xlpm.result=0,"",_xlpm.result))</f>
        <v/>
      </c>
      <c r="E174" s="2" t="str">
        <f>_xlfn.XLOOKUP(R174&amp;Z174,Lookups!A:A,Lookups!B:B)</f>
        <v>Project - Subsystem Interface</v>
      </c>
      <c r="F174" s="2" t="str">
        <f>_xlfn.LET(_xlpm.result, _xlfn.XLOOKUP(A174,'EA-Fortescue_SDExport'!A:A,'EA-Fortescue_SDExport'!AP:AP), IF(_xlpm.result=0,"",_xlpm.result))</f>
        <v>Technical-Data/Software</v>
      </c>
      <c r="G174" s="2" t="str">
        <f>IF(OR(AND(T174&lt;&gt;"", COUNTIF(Lookups!J:J, "*"&amp;T174&amp;"*")&gt;0), AND(AB174&lt;&gt;"", COUNTIF(Lookups!J:J, "*"&amp;AB174&amp;"*")&gt;0)), "Yes", "No")</f>
        <v>No</v>
      </c>
      <c r="H174" s="2" t="str">
        <f t="shared" si="9"/>
        <v>855DC Decarb Green Systems|855DC Decarb Green Systems</v>
      </c>
      <c r="I174" s="2" t="str">
        <f t="shared" si="10"/>
        <v>855DC-1541 Planning and Forecast Systems|855DC-1544 Unassigned / TBC</v>
      </c>
      <c r="J174" s="2" t="str">
        <f t="shared" si="11"/>
        <v>855DC-1541-ECL Eclipse|855DC-1544-021 GAF24</v>
      </c>
      <c r="K174" s="2" t="str">
        <f>_xlfn.XLOOKUP(A174,'EA-Fortescue_SDExport'!A:A,'EA-Fortescue_SDExport'!N:N)</f>
        <v>Proposed</v>
      </c>
      <c r="L174" s="2" t="str">
        <f>_xlfn.LET(_xlpm.result, _xlfn.XLOOKUP($A174,'EA-Fortescue_SDExport'!$A:$A,'EA-Fortescue_SDExport'!AQ:AQ), IF(_xlpm.result=0,"",_xlpm.result))</f>
        <v>The purpose of this interface is to provide the Security-Constrained Unit Commitment (SCUC) process and short-term planning with generator availability data for the next 24 hours, which is efficiently pulled from the Snowflake data platform.</v>
      </c>
      <c r="M174" s="2" t="str">
        <f>_xlfn.LET(_xlpm.result, _xlfn.XLOOKUP($A174,'EA-Fortescue_SDExport'!$A:$A,'EA-Fortescue_SDExport'!AR:AR), IF(_xlpm.result=0,"",_xlpm.result))</f>
        <v>MEDIUM</v>
      </c>
      <c r="N174" s="2" t="str">
        <f>_xlfn.LET(_xlpm.result, _xlfn.XLOOKUP($A174,'EA-Fortescue_SDExport'!$A:$A,'EA-Fortescue_SDExport'!AW:AW), IF(_xlpm.result=0,"",_xlpm.result))</f>
        <v>The criticality is MEDIUM because, although the interface failure does not prevent system operation, it reduces the effectiveness of short-term planning and the SCUC process by limiting access to generator availability data. This can cause moderate deviations from optimal dispatch and planning outcomes, impacting overall operational efficiency. The effect is system-wide and sustained, rather than minor and quickly recoverable, supporting a MEDIUM classification rather than LOW.</v>
      </c>
      <c r="O174" s="2" t="str">
        <f>_xlfn.LET(_xlpm.result, _xlfn.XLOOKUP($A174,'EA-Fortescue_SDExport'!$A:$A,'EA-Fortescue_SDExport'!AV:AV), IF(_xlpm.result=0,"",_xlpm.result))</f>
        <v>Plexos -&gt; GAF24</v>
      </c>
      <c r="P174" s="2" t="str">
        <f>_xlfn.LET(_xlpm.result, _xlfn.XLOOKUP($A174,'EA-Fortescue_SDExport'!$A:$A,'EA-Fortescue_SDExport'!D:D), IF(_xlpm.result=0,"",_xlpm.result))</f>
        <v>NH 25/02/2026: Fields updated:Interface Type, Interface Criticality, Interface Criticality Explanation, Interface Flow</v>
      </c>
      <c r="Q174" s="2" t="str">
        <f>_xlfn.LET(
    _xlpm.status, _xlfn.XLOOKUP($A174,'EA-ConnectorExport'!$A:$A,'EA-ConnectorExport'!G:G),
    _xlpm.result, _xlfn.XLOOKUP($A174,'EA-ConnectorExport'!$A:$A,'EA-ConnectorExport'!B:B),
    IF(_xlpm.status="allocate", _xlpm.result, "")
)</f>
        <v>855DC-1541-ECL-003 Plexos</v>
      </c>
      <c r="R174" s="2" t="str">
        <f>IF(
    _xlfn.XLOOKUP($Q174,'EA-Fortescue_SDExport'!A:A,'EA-Fortescue_SDExport'!B:B)="Object",
    _xlfn.XLOOKUP(
        _xlfn.XLOOKUP($A174,'EA-ConnectorExport'!A:A,'EA-ConnectorExport'!D:D),
        'EA-Fortescue_SDExport'!A:A,
        'EA-Fortescue_SDExport'!AA:AA
    ),
    _xlfn.XLOOKUP($Q174,'EA-Fortescue_SDExport'!A:A,'EA-Fortescue_SDExport'!AA:AA)
)</f>
        <v>Subsystem</v>
      </c>
      <c r="S174" s="2" t="str">
        <f>_xlfn.LET(_xlpm.result, _xlfn.XLOOKUP($Q174,'EA-Fortescue_SDExport'!$A:$A,'EA-Fortescue_SDExport'!AB:AB), IF(_xlpm.result=0,"",_xlpm.result))</f>
        <v/>
      </c>
      <c r="T174" s="2" t="str">
        <f>_xlfn.LET(_xlpm.result, _xlfn.XLOOKUP($Q174,'EA-Fortescue_SDExport'!$A:$A,'EA-Fortescue_SDExport'!AC:AC), IF(_xlpm.result=0,"",_xlpm.result))</f>
        <v/>
      </c>
      <c r="U174" s="2" t="str">
        <f>_xlfn.LET(
    _xlpm.isObject, _xlfn.XLOOKUP($Q174,'EA-Fortescue_SDExport'!A:A,'EA-Fortescue_SDExport'!B:B),
    _xlpm.lookupKey, IF(_xlpm.isObject="Object",
        _xlfn.XLOOKUP($A174,'EA-ConnectorExport'!A:A,'EA-ConnectorExport'!D:D),
        $Q174
    ),
    _xlpm.result, _xlfn.XLOOKUP(_xlpm.lookupKey,'EA-Fortescue_SDExport'!A:A,'EA-Fortescue_SDExport'!AD:AD),
    IF(_xlpm.result=0,"",_xlpm.result)
)</f>
        <v>855DC Decarb Green Systems</v>
      </c>
      <c r="V174" s="2" t="str">
        <f>_xlfn.LET(
    _xlpm.isObject, _xlfn.XLOOKUP($Q174,'EA-Fortescue_SDExport'!A:A,'EA-Fortescue_SDExport'!B:B),
    _xlpm.lookupKey, IF(_xlpm.isObject="Object",
        _xlfn.XLOOKUP($A174,'EA-ConnectorExport'!A:A,'EA-ConnectorExport'!D:D),
        $Q174
    ),
    _xlpm.result, _xlfn.XLOOKUP(_xlpm.lookupKey,'EA-Fortescue_SDExport'!A:A,'EA-Fortescue_SDExport'!AE:AE),
    IF(_xlpm.result=0,"",_xlpm.result)
)</f>
        <v>855DC-1541 Planning and Forecast Systems</v>
      </c>
      <c r="W174" s="2" t="str">
        <f>_xlfn.LET(
    _xlpm.isObject, _xlfn.XLOOKUP($Q174,'EA-Fortescue_SDExport'!A:A,'EA-Fortescue_SDExport'!B:B),
    _xlpm.lookupKey, IF(_xlpm.isObject="Object",
        _xlfn.XLOOKUP($A174,'EA-ConnectorExport'!A:A,'EA-ConnectorExport'!D:D),
        $Q174
    ),
    _xlpm.result, _xlfn.XLOOKUP(_xlpm.lookupKey,'EA-Fortescue_SDExport'!A:A,'EA-Fortescue_SDExport'!AF:AF),
    IF(_xlpm.result=0,"",_xlpm.result)
)</f>
        <v>855DC-1541-ECL Eclipse</v>
      </c>
      <c r="X174" s="2" t="str">
        <f>_xlfn.LET(
    _xlpm.isObject, _xlfn.XLOOKUP($Q174,'EA-Fortescue_SDExport'!A:A,'EA-Fortescue_SDExport'!B:B),
    _xlpm.lookupKey, IF(_xlpm.isObject="Object",
        _xlfn.XLOOKUP($A174,'EA-ConnectorExport'!A:A,'EA-ConnectorExport'!D:D),
        $Q174
    ),
    _xlpm.result, _xlfn.XLOOKUP(_xlpm.lookupKey,'EA-Fortescue_SDExport'!A:A,'EA-Fortescue_SDExport'!AG:AG),
    IF(_xlpm.result=0,"",_xlpm.result)
)</f>
        <v>855DC-1541-ECL-003 Plexos</v>
      </c>
      <c r="Y174" s="2" t="str">
        <f>_xlfn.LET(
    _xlpm.status, _xlfn.XLOOKUP($A174,'EA-ConnectorExport'!$A:$A,'EA-ConnectorExport'!G:G),
    _xlpm.result, _xlfn.XLOOKUP($A174,'EA-ConnectorExport'!$A:$A,'EA-ConnectorExport'!H:H),
    IF(_xlpm.status="allocate", _xlpm.result, "")
)</f>
        <v>855DC-1544-021 GAF24</v>
      </c>
      <c r="Z174" s="2" t="str">
        <f>_xlfn.LET(
    _xlpm.isObject, _xlfn.XLOOKUP($Y174,'EA-Fortescue_SDExport'!A:A,'EA-Fortescue_SDExport'!B:B),
    _xlpm.lookupKey, IF(_xlpm.isObject="Object",
        _xlfn.XLOOKUP($A174,'EA-ConnectorExport'!A:A,'EA-ConnectorExport'!J:J),
        $Y174
    ),
    _xlpm.result, _xlfn.XLOOKUP(_xlpm.lookupKey,'EA-Fortescue_SDExport'!A:A,'EA-Fortescue_SDExport'!AA:AA),
    IF(_xlpm.result=0,"",_xlpm.result)
)</f>
        <v>Project</v>
      </c>
      <c r="AA174" s="2" t="str">
        <f>_xlfn.LET(_xlpm.result, _xlfn.XLOOKUP($Y174,'EA-Fortescue_SDExport'!$A:$A,'EA-Fortescue_SDExport'!AB:AB), IF(_xlpm.result=0,"",_xlpm.result))</f>
        <v/>
      </c>
      <c r="AB174" s="2" t="str">
        <f>_xlfn.LET(_xlpm.result, _xlfn.XLOOKUP($Y174,'EA-Fortescue_SDExport'!$A:$A,'EA-Fortescue_SDExport'!AC:AC), IF(_xlpm.result=0,"",_xlpm.result))</f>
        <v/>
      </c>
      <c r="AC174" s="2" t="str">
        <f>_xlfn.LET(
    _xlpm.isObject, _xlfn.XLOOKUP($Y174,'EA-Fortescue_SDExport'!A:A,'EA-Fortescue_SDExport'!B:B),
    _xlpm.lookupKey, IF(_xlpm.isObject="Object",
        _xlfn.XLOOKUP($A174,'EA-ConnectorExport'!A:A,'EA-ConnectorExport'!J:J),
        $Y174
    ),
    _xlpm.result, _xlfn.XLOOKUP(_xlpm.lookupKey,'EA-Fortescue_SDExport'!A:A,'EA-Fortescue_SDExport'!AD:AD),
    IF(_xlpm.result=0,"",_xlpm.result)
)</f>
        <v>855DC Decarb Green Systems</v>
      </c>
      <c r="AD174" s="2" t="str">
        <f>_xlfn.LET(
    _xlpm.isObject, _xlfn.XLOOKUP($Y174,'EA-Fortescue_SDExport'!A:A,'EA-Fortescue_SDExport'!B:B),
    _xlpm.lookupKey, IF(_xlpm.isObject="Object",
        _xlfn.XLOOKUP($A174,'EA-ConnectorExport'!A:A,'EA-ConnectorExport'!J:J),
        $Y174
    ),
    _xlpm.result, _xlfn.XLOOKUP(_xlpm.lookupKey,'EA-Fortescue_SDExport'!A:A,'EA-Fortescue_SDExport'!AE:AE),
    IF(_xlpm.result=0,"",_xlpm.result)
)</f>
        <v>855DC-1544 Unassigned / TBC</v>
      </c>
      <c r="AE174" s="2" t="str">
        <f>_xlfn.LET(
    _xlpm.isObject, _xlfn.XLOOKUP($Y174,'EA-Fortescue_SDExport'!A:A,'EA-Fortescue_SDExport'!B:B),
    _xlpm.lookupKey, IF(_xlpm.isObject="Object",
        _xlfn.XLOOKUP($A174,'EA-ConnectorExport'!A:A,'EA-ConnectorExport'!J:J),
        $Y174
    ),
    _xlpm.result, _xlfn.XLOOKUP(_xlpm.lookupKey,'EA-Fortescue_SDExport'!A:A,'EA-Fortescue_SDExport'!AF:AF),
    IF(_xlpm.result=0,"",_xlpm.result)
)</f>
        <v>855DC-1544-021 GAF24</v>
      </c>
      <c r="AF174" s="2" t="str">
        <f>_xlfn.LET(
    _xlpm.isObject, _xlfn.XLOOKUP($Y174,'EA-Fortescue_SDExport'!A:A,'EA-Fortescue_SDExport'!B:B),
    _xlpm.lookupKey, IF(_xlpm.isObject="Object",
        _xlfn.XLOOKUP($A174,'EA-ConnectorExport'!A:A,'EA-ConnectorExport'!J:J),
        $Y174
    ),
    _xlpm.result, _xlfn.XLOOKUP(_xlpm.lookupKey,'EA-Fortescue_SDExport'!A:A,'EA-Fortescue_SDExport'!AG:AG),
    IF(_xlpm.result=0,"",_xlpm.result)
)</f>
        <v/>
      </c>
    </row>
    <row r="175" spans="1:32" ht="165" x14ac:dyDescent="0.25">
      <c r="A175" s="2" t="str">
        <v>DGS-I_0174</v>
      </c>
      <c r="B175" s="2" t="str">
        <f t="shared" si="8"/>
        <v>855DC-1542-CSM-001 vCharM by Vector|855DC-1541-004 ORCA</v>
      </c>
      <c r="C175" s="2" t="str">
        <f>_xlfn.LET(_xlpm.result, _xlfn.XLOOKUP(A175,'EA-Fortescue_SDExport'!A:A,'EA-Fortescue_SDExport'!AM:AM), IF(_xlpm.result=0,"",_xlpm.result))</f>
        <v/>
      </c>
      <c r="D175" s="2" t="str">
        <f>_xlfn.LET(_xlpm.result, _xlfn.XLOOKUP(A175,'EA-Fortescue_SDExport'!A:A,'EA-Fortescue_SDExport'!AN:AN), IF(_xlpm.result=0,"",_xlpm.result))</f>
        <v/>
      </c>
      <c r="E175" s="2" t="str">
        <f>_xlfn.XLOOKUP(R175&amp;Z175,Lookups!A:A,Lookups!B:B)</f>
        <v>Project - Subsystem Interface</v>
      </c>
      <c r="F175" s="2" t="str">
        <f>_xlfn.LET(_xlpm.result, _xlfn.XLOOKUP(A175,'EA-Fortescue_SDExport'!A:A,'EA-Fortescue_SDExport'!AP:AP), IF(_xlpm.result=0,"",_xlpm.result))</f>
        <v>Technical-Data/Software</v>
      </c>
      <c r="G175" s="2" t="str">
        <f>IF(OR(AND(T175&lt;&gt;"", COUNTIF(Lookups!J:J, "*"&amp;T175&amp;"*")&gt;0), AND(AB175&lt;&gt;"", COUNTIF(Lookups!J:J, "*"&amp;AB175&amp;"*")&gt;0)), "Yes", "No")</f>
        <v>No</v>
      </c>
      <c r="H175" s="2" t="str">
        <f t="shared" si="9"/>
        <v>855DC Decarb Green Systems|855DC Decarb Green Systems</v>
      </c>
      <c r="I175" s="2" t="str">
        <f t="shared" si="10"/>
        <v>855DC-1542 Control &amp; Monitoring Systems|855DC-1541 Planning and Forecast Systems</v>
      </c>
      <c r="J175" s="2" t="str">
        <f t="shared" si="11"/>
        <v>855DC-1542-CSM Charge Station Management System (CSMS)|855DC-1541-004 ORCA</v>
      </c>
      <c r="K175" s="2" t="str">
        <f>_xlfn.XLOOKUP(A175,'EA-Fortescue_SDExport'!A:A,'EA-Fortescue_SDExport'!N:N)</f>
        <v>Proposed</v>
      </c>
      <c r="L175" s="2" t="str">
        <f>_xlfn.LET(_xlpm.result, _xlfn.XLOOKUP($A175,'EA-Fortescue_SDExport'!$A:$A,'EA-Fortescue_SDExport'!AQ:AQ), IF(_xlpm.result=0,"",_xlpm.result))</f>
        <v>The interface provides charger status, availability, and operational details from vCharM within the ORCA mobile app, enabling users to check charger availability in real time.</v>
      </c>
      <c r="M175" s="2" t="str">
        <f>_xlfn.LET(_xlpm.result, _xlfn.XLOOKUP($A175,'EA-Fortescue_SDExport'!$A:$A,'EA-Fortescue_SDExport'!AR:AR), IF(_xlpm.result=0,"",_xlpm.result))</f>
        <v>LOW</v>
      </c>
      <c r="N175" s="2" t="str">
        <f>_xlfn.LET(_xlpm.result, _xlfn.XLOOKUP($A175,'EA-Fortescue_SDExport'!$A:$A,'EA-Fortescue_SDExport'!AW:AW), IF(_xlpm.result=0,"",_xlpm.result))</f>
        <v>The criticality level is LOW because failure at this interface does not impact production or safety. The ORCA app is an informational tool and only affects user convenience, which can be managed via alternative systems.</v>
      </c>
      <c r="O175" s="2" t="str">
        <f>_xlfn.LET(_xlpm.result, _xlfn.XLOOKUP($A175,'EA-Fortescue_SDExport'!$A:$A,'EA-Fortescue_SDExport'!AV:AV), IF(_xlpm.result=0,"",_xlpm.result))</f>
        <v>Data Flow:_x000D_
855DC-1542-CSM Charge Station Management System (CSMS) -&gt; 855DC-1541-004 ORCA (Mobile App), transmitting real-time charger availability, operational status, energisation state, session progress, and alarm/fault indicators to support user visibility.</v>
      </c>
      <c r="P175" s="2" t="str">
        <f>_xlfn.LET(_xlpm.result, _xlfn.XLOOKUP($A175,'EA-Fortescue_SDExport'!$A:$A,'EA-Fortescue_SDExport'!D:D), IF(_xlpm.result=0,"",_xlpm.result))</f>
        <v>NH 20/02/2026: Fields updated: Interface Type, Interface Flow.</v>
      </c>
      <c r="Q175" s="2" t="str">
        <f>_xlfn.LET(
    _xlpm.status, _xlfn.XLOOKUP($A175,'EA-ConnectorExport'!$A:$A,'EA-ConnectorExport'!G:G),
    _xlpm.result, _xlfn.XLOOKUP($A175,'EA-ConnectorExport'!$A:$A,'EA-ConnectorExport'!B:B),
    IF(_xlpm.status="allocate", _xlpm.result, "")
)</f>
        <v>855DC-1542-CSM-001 vCharM by Vector</v>
      </c>
      <c r="R175" s="2" t="str">
        <f>IF(
    _xlfn.XLOOKUP($Q175,'EA-Fortescue_SDExport'!A:A,'EA-Fortescue_SDExport'!B:B)="Object",
    _xlfn.XLOOKUP(
        _xlfn.XLOOKUP($A175,'EA-ConnectorExport'!A:A,'EA-ConnectorExport'!D:D),
        'EA-Fortescue_SDExport'!A:A,
        'EA-Fortescue_SDExport'!AA:AA
    ),
    _xlfn.XLOOKUP($Q175,'EA-Fortescue_SDExport'!A:A,'EA-Fortescue_SDExport'!AA:AA)
)</f>
        <v>Subsystem</v>
      </c>
      <c r="S175" s="2" t="str">
        <f>_xlfn.LET(_xlpm.result, _xlfn.XLOOKUP($Q175,'EA-Fortescue_SDExport'!$A:$A,'EA-Fortescue_SDExport'!AB:AB), IF(_xlpm.result=0,"",_xlpm.result))</f>
        <v/>
      </c>
      <c r="T175" s="2" t="str">
        <f>_xlfn.LET(_xlpm.result, _xlfn.XLOOKUP($Q175,'EA-Fortescue_SDExport'!$A:$A,'EA-Fortescue_SDExport'!AC:AC), IF(_xlpm.result=0,"",_xlpm.result))</f>
        <v/>
      </c>
      <c r="U175" s="2" t="str">
        <f>_xlfn.LET(
    _xlpm.isObject, _xlfn.XLOOKUP($Q175,'EA-Fortescue_SDExport'!A:A,'EA-Fortescue_SDExport'!B:B),
    _xlpm.lookupKey, IF(_xlpm.isObject="Object",
        _xlfn.XLOOKUP($A175,'EA-ConnectorExport'!A:A,'EA-ConnectorExport'!D:D),
        $Q175
    ),
    _xlpm.result, _xlfn.XLOOKUP(_xlpm.lookupKey,'EA-Fortescue_SDExport'!A:A,'EA-Fortescue_SDExport'!AD:AD),
    IF(_xlpm.result=0,"",_xlpm.result)
)</f>
        <v>855DC Decarb Green Systems</v>
      </c>
      <c r="V175" s="2" t="str">
        <f>_xlfn.LET(
    _xlpm.isObject, _xlfn.XLOOKUP($Q175,'EA-Fortescue_SDExport'!A:A,'EA-Fortescue_SDExport'!B:B),
    _xlpm.lookupKey, IF(_xlpm.isObject="Object",
        _xlfn.XLOOKUP($A175,'EA-ConnectorExport'!A:A,'EA-ConnectorExport'!D:D),
        $Q175
    ),
    _xlpm.result, _xlfn.XLOOKUP(_xlpm.lookupKey,'EA-Fortescue_SDExport'!A:A,'EA-Fortescue_SDExport'!AE:AE),
    IF(_xlpm.result=0,"",_xlpm.result)
)</f>
        <v>855DC-1542 Control &amp; Monitoring Systems</v>
      </c>
      <c r="W175" s="2" t="str">
        <f>_xlfn.LET(
    _xlpm.isObject, _xlfn.XLOOKUP($Q175,'EA-Fortescue_SDExport'!A:A,'EA-Fortescue_SDExport'!B:B),
    _xlpm.lookupKey, IF(_xlpm.isObject="Object",
        _xlfn.XLOOKUP($A175,'EA-ConnectorExport'!A:A,'EA-ConnectorExport'!D:D),
        $Q175
    ),
    _xlpm.result, _xlfn.XLOOKUP(_xlpm.lookupKey,'EA-Fortescue_SDExport'!A:A,'EA-Fortescue_SDExport'!AF:AF),
    IF(_xlpm.result=0,"",_xlpm.result)
)</f>
        <v>855DC-1542-CSM Charge Station Management System (CSMS)</v>
      </c>
      <c r="X175" s="2" t="str">
        <f>_xlfn.LET(
    _xlpm.isObject, _xlfn.XLOOKUP($Q175,'EA-Fortescue_SDExport'!A:A,'EA-Fortescue_SDExport'!B:B),
    _xlpm.lookupKey, IF(_xlpm.isObject="Object",
        _xlfn.XLOOKUP($A175,'EA-ConnectorExport'!A:A,'EA-ConnectorExport'!D:D),
        $Q175
    ),
    _xlpm.result, _xlfn.XLOOKUP(_xlpm.lookupKey,'EA-Fortescue_SDExport'!A:A,'EA-Fortescue_SDExport'!AG:AG),
    IF(_xlpm.result=0,"",_xlpm.result)
)</f>
        <v>855DC-1542-CSM-001 vCharM by Vector</v>
      </c>
      <c r="Y175" s="2" t="str">
        <f>_xlfn.LET(
    _xlpm.status, _xlfn.XLOOKUP($A175,'EA-ConnectorExport'!$A:$A,'EA-ConnectorExport'!G:G),
    _xlpm.result, _xlfn.XLOOKUP($A175,'EA-ConnectorExport'!$A:$A,'EA-ConnectorExport'!H:H),
    IF(_xlpm.status="allocate", _xlpm.result, "")
)</f>
        <v>855DC-1541-004 ORCA</v>
      </c>
      <c r="Z175" s="2" t="str">
        <f>_xlfn.LET(
    _xlpm.isObject, _xlfn.XLOOKUP($Y175,'EA-Fortescue_SDExport'!A:A,'EA-Fortescue_SDExport'!B:B),
    _xlpm.lookupKey, IF(_xlpm.isObject="Object",
        _xlfn.XLOOKUP($A175,'EA-ConnectorExport'!A:A,'EA-ConnectorExport'!J:J),
        $Y175
    ),
    _xlpm.result, _xlfn.XLOOKUP(_xlpm.lookupKey,'EA-Fortescue_SDExport'!A:A,'EA-Fortescue_SDExport'!AA:AA),
    IF(_xlpm.result=0,"",_xlpm.result)
)</f>
        <v>Project</v>
      </c>
      <c r="AA175" s="2" t="str">
        <f>_xlfn.LET(_xlpm.result, _xlfn.XLOOKUP($Y175,'EA-Fortescue_SDExport'!$A:$A,'EA-Fortescue_SDExport'!AB:AB), IF(_xlpm.result=0,"",_xlpm.result))</f>
        <v/>
      </c>
      <c r="AB175" s="2" t="str">
        <f>_xlfn.LET(_xlpm.result, _xlfn.XLOOKUP($Y175,'EA-Fortescue_SDExport'!$A:$A,'EA-Fortescue_SDExport'!AC:AC), IF(_xlpm.result=0,"",_xlpm.result))</f>
        <v/>
      </c>
      <c r="AC175" s="2" t="str">
        <f>_xlfn.LET(
    _xlpm.isObject, _xlfn.XLOOKUP($Y175,'EA-Fortescue_SDExport'!A:A,'EA-Fortescue_SDExport'!B:B),
    _xlpm.lookupKey, IF(_xlpm.isObject="Object",
        _xlfn.XLOOKUP($A175,'EA-ConnectorExport'!A:A,'EA-ConnectorExport'!J:J),
        $Y175
    ),
    _xlpm.result, _xlfn.XLOOKUP(_xlpm.lookupKey,'EA-Fortescue_SDExport'!A:A,'EA-Fortescue_SDExport'!AD:AD),
    IF(_xlpm.result=0,"",_xlpm.result)
)</f>
        <v>855DC Decarb Green Systems</v>
      </c>
      <c r="AD175" s="2" t="str">
        <f>_xlfn.LET(
    _xlpm.isObject, _xlfn.XLOOKUP($Y175,'EA-Fortescue_SDExport'!A:A,'EA-Fortescue_SDExport'!B:B),
    _xlpm.lookupKey, IF(_xlpm.isObject="Object",
        _xlfn.XLOOKUP($A175,'EA-ConnectorExport'!A:A,'EA-ConnectorExport'!J:J),
        $Y175
    ),
    _xlpm.result, _xlfn.XLOOKUP(_xlpm.lookupKey,'EA-Fortescue_SDExport'!A:A,'EA-Fortescue_SDExport'!AE:AE),
    IF(_xlpm.result=0,"",_xlpm.result)
)</f>
        <v>855DC-1541 Planning and Forecast Systems</v>
      </c>
      <c r="AE175" s="2" t="str">
        <f>_xlfn.LET(
    _xlpm.isObject, _xlfn.XLOOKUP($Y175,'EA-Fortescue_SDExport'!A:A,'EA-Fortescue_SDExport'!B:B),
    _xlpm.lookupKey, IF(_xlpm.isObject="Object",
        _xlfn.XLOOKUP($A175,'EA-ConnectorExport'!A:A,'EA-ConnectorExport'!J:J),
        $Y175
    ),
    _xlpm.result, _xlfn.XLOOKUP(_xlpm.lookupKey,'EA-Fortescue_SDExport'!A:A,'EA-Fortescue_SDExport'!AF:AF),
    IF(_xlpm.result=0,"",_xlpm.result)
)</f>
        <v>855DC-1541-004 ORCA</v>
      </c>
      <c r="AF175" s="2" t="str">
        <f>_xlfn.LET(
    _xlpm.isObject, _xlfn.XLOOKUP($Y175,'EA-Fortescue_SDExport'!A:A,'EA-Fortescue_SDExport'!B:B),
    _xlpm.lookupKey, IF(_xlpm.isObject="Object",
        _xlfn.XLOOKUP($A175,'EA-ConnectorExport'!A:A,'EA-ConnectorExport'!J:J),
        $Y175
    ),
    _xlpm.result, _xlfn.XLOOKUP(_xlpm.lookupKey,'EA-Fortescue_SDExport'!A:A,'EA-Fortescue_SDExport'!AG:AG),
    IF(_xlpm.result=0,"",_xlpm.result)
)</f>
        <v/>
      </c>
    </row>
    <row r="176" spans="1:32" ht="285" x14ac:dyDescent="0.25">
      <c r="A176" s="2" t="str">
        <v>DGS-I_0175</v>
      </c>
      <c r="B176" s="2" t="str">
        <f t="shared" si="8"/>
        <v>855DC-1542-CSM-002 vCharM.Edge|850DC-1512-0001-004 AC1 (Automated Connection) for T264 Charging Loads</v>
      </c>
      <c r="C176" s="2" t="str">
        <f>_xlfn.LET(_xlpm.result, _xlfn.XLOOKUP(A176,'EA-Fortescue_SDExport'!A:A,'EA-Fortescue_SDExport'!AM:AM), IF(_xlpm.result=0,"",_xlpm.result))</f>
        <v/>
      </c>
      <c r="D176" s="2" t="str">
        <f>_xlfn.LET(_xlpm.result, _xlfn.XLOOKUP(A176,'EA-Fortescue_SDExport'!A:A,'EA-Fortescue_SDExport'!AN:AN), IF(_xlpm.result=0,"",_xlpm.result))</f>
        <v/>
      </c>
      <c r="E176" s="2" t="str">
        <f>_xlfn.XLOOKUP(R176&amp;Z176,Lookups!A:A,Lookups!B:B)</f>
        <v>Subsystem - Subsystem Interface</v>
      </c>
      <c r="F176" s="2" t="str">
        <f>_xlfn.LET(_xlpm.result, _xlfn.XLOOKUP(A176,'EA-Fortescue_SDExport'!A:A,'EA-Fortescue_SDExport'!AP:AP), IF(_xlpm.result=0,"",_xlpm.result))</f>
        <v>Technical-Data/Software</v>
      </c>
      <c r="G176" s="2" t="str">
        <f>IF(OR(AND(T176&lt;&gt;"", COUNTIF(Lookups!J:J, "*"&amp;T176&amp;"*")&gt;0), AND(AB176&lt;&gt;"", COUNTIF(Lookups!J:J, "*"&amp;AB176&amp;"*")&gt;0)), "Yes", "No")</f>
        <v>No</v>
      </c>
      <c r="H176" s="2" t="str">
        <f t="shared" si="9"/>
        <v>855DC Decarb Green Systems|850DC Decarb Infrastructure</v>
      </c>
      <c r="I176" s="2" t="str">
        <f t="shared" si="10"/>
        <v>855DC-1542 Control &amp; Monitoring Systems|850DC-1510 Chargers</v>
      </c>
      <c r="J176" s="2" t="str">
        <f t="shared" si="11"/>
        <v>855DC-1542-CSM Charge Station Management System (CSMS)|850DC-1512-0001 HME Chargers - Gen1</v>
      </c>
      <c r="K176" s="2" t="str">
        <f>_xlfn.XLOOKUP(A176,'EA-Fortescue_SDExport'!A:A,'EA-Fortescue_SDExport'!N:N)</f>
        <v>Proposed</v>
      </c>
      <c r="L176" s="2" t="str">
        <f>_xlfn.LET(_xlpm.result, _xlfn.XLOOKUP($A176,'EA-Fortescue_SDExport'!$A:$A,'EA-Fortescue_SDExport'!AQ:AQ), IF(_xlpm.result=0,"",_xlpm.result))</f>
        <v>The interface links vCharM.Edge with the AC1 automated connection system, enabling safe and automated plug-in, authorisation, and charging initiation for T264 trucks.</v>
      </c>
      <c r="M176" s="2" t="str">
        <f>_xlfn.LET(_xlpm.result, _xlfn.XLOOKUP($A176,'EA-Fortescue_SDExport'!$A:$A,'EA-Fortescue_SDExport'!AR:AR), IF(_xlpm.result=0,"",_xlpm.result))</f>
        <v>HIGH</v>
      </c>
      <c r="N176" s="2" t="str">
        <f>_xlfn.LET(_xlpm.result, _xlfn.XLOOKUP($A176,'EA-Fortescue_SDExport'!$A:$A,'EA-Fortescue_SDExport'!AW:AW), IF(_xlpm.result=0,"",_xlpm.result))</f>
        <v>The criticality level is HIGH because failures can hinder automated charging from starting or cause unsafe electrical behaviour during automated connection events. AC1 systems must receive accurate commands and charger states to manage high-power automated charging safely; loss of the interface may stop automated charging or necessitate unsafe manual workarounds.</v>
      </c>
      <c r="O176" s="2" t="str">
        <f>_xlfn.LET(_xlpm.result, _xlfn.XLOOKUP($A176,'EA-Fortescue_SDExport'!$A:$A,'EA-Fortescue_SDExport'!AV:AV), IF(_xlpm.result=0,"",_xlpm.result))</f>
        <v>Data Flow: vCharM.Edge (CSMS) -&gt; AC1 Automated Connection System (authorisation signals, charge enable commands, truck identification, charging parameters, safety interlock status) to initiate and control automated plug-in and charging sequences._x000D_
Data Flow: AC1 -&gt; vCharM.Edge (CSMS) (connection status, latch/plug confirmation, charging state, fault alarms, interlock confirmations) to verify safe engagement and monitor charging progress.</v>
      </c>
      <c r="P176" s="2" t="str">
        <f>_xlfn.LET(_xlpm.result, _xlfn.XLOOKUP($A176,'EA-Fortescue_SDExport'!$A:$A,'EA-Fortescue_SDExport'!D:D), IF(_xlpm.result=0,"",_xlpm.result))</f>
        <v>CSMS Review 30/10/2025: Speak OCPP to a vCharm Edge._x000D_
State, current voltage, car plugged in?_x000D_
Getting back charge auth, charge rate profiles. set charge rate._x000D_
Depending on charger the charger, potentially phoning home to manufacturers cloud._x000D_
NH 20/02/2026: Fields updated: Interface Flow.</v>
      </c>
      <c r="Q176" s="2" t="str">
        <f>_xlfn.LET(
    _xlpm.status, _xlfn.XLOOKUP($A176,'EA-ConnectorExport'!$A:$A,'EA-ConnectorExport'!G:G),
    _xlpm.result, _xlfn.XLOOKUP($A176,'EA-ConnectorExport'!$A:$A,'EA-ConnectorExport'!B:B),
    IF(_xlpm.status="allocate", _xlpm.result, "")
)</f>
        <v>855DC-1542-CSM-002 vCharM.Edge</v>
      </c>
      <c r="R176" s="2" t="str">
        <f>IF(
    _xlfn.XLOOKUP($Q176,'EA-Fortescue_SDExport'!A:A,'EA-Fortescue_SDExport'!B:B)="Object",
    _xlfn.XLOOKUP(
        _xlfn.XLOOKUP($A176,'EA-ConnectorExport'!A:A,'EA-ConnectorExport'!D:D),
        'EA-Fortescue_SDExport'!A:A,
        'EA-Fortescue_SDExport'!AA:AA
    ),
    _xlfn.XLOOKUP($Q176,'EA-Fortescue_SDExport'!A:A,'EA-Fortescue_SDExport'!AA:AA)
)</f>
        <v>Subsystem</v>
      </c>
      <c r="S176" s="2" t="str">
        <f>_xlfn.LET(_xlpm.result, _xlfn.XLOOKUP($Q176,'EA-Fortescue_SDExport'!$A:$A,'EA-Fortescue_SDExport'!AB:AB), IF(_xlpm.result=0,"",_xlpm.result))</f>
        <v/>
      </c>
      <c r="T176" s="2" t="str">
        <f>_xlfn.LET(_xlpm.result, _xlfn.XLOOKUP($Q176,'EA-Fortescue_SDExport'!$A:$A,'EA-Fortescue_SDExport'!AC:AC), IF(_xlpm.result=0,"",_xlpm.result))</f>
        <v/>
      </c>
      <c r="U176" s="2" t="str">
        <f>_xlfn.LET(
    _xlpm.isObject, _xlfn.XLOOKUP($Q176,'EA-Fortescue_SDExport'!A:A,'EA-Fortescue_SDExport'!B:B),
    _xlpm.lookupKey, IF(_xlpm.isObject="Object",
        _xlfn.XLOOKUP($A176,'EA-ConnectorExport'!A:A,'EA-ConnectorExport'!D:D),
        $Q176
    ),
    _xlpm.result, _xlfn.XLOOKUP(_xlpm.lookupKey,'EA-Fortescue_SDExport'!A:A,'EA-Fortescue_SDExport'!AD:AD),
    IF(_xlpm.result=0,"",_xlpm.result)
)</f>
        <v>855DC Decarb Green Systems</v>
      </c>
      <c r="V176" s="2" t="str">
        <f>_xlfn.LET(
    _xlpm.isObject, _xlfn.XLOOKUP($Q176,'EA-Fortescue_SDExport'!A:A,'EA-Fortescue_SDExport'!B:B),
    _xlpm.lookupKey, IF(_xlpm.isObject="Object",
        _xlfn.XLOOKUP($A176,'EA-ConnectorExport'!A:A,'EA-ConnectorExport'!D:D),
        $Q176
    ),
    _xlpm.result, _xlfn.XLOOKUP(_xlpm.lookupKey,'EA-Fortescue_SDExport'!A:A,'EA-Fortescue_SDExport'!AE:AE),
    IF(_xlpm.result=0,"",_xlpm.result)
)</f>
        <v>855DC-1542 Control &amp; Monitoring Systems</v>
      </c>
      <c r="W176" s="2" t="str">
        <f>_xlfn.LET(
    _xlpm.isObject, _xlfn.XLOOKUP($Q176,'EA-Fortescue_SDExport'!A:A,'EA-Fortescue_SDExport'!B:B),
    _xlpm.lookupKey, IF(_xlpm.isObject="Object",
        _xlfn.XLOOKUP($A176,'EA-ConnectorExport'!A:A,'EA-ConnectorExport'!D:D),
        $Q176
    ),
    _xlpm.result, _xlfn.XLOOKUP(_xlpm.lookupKey,'EA-Fortescue_SDExport'!A:A,'EA-Fortescue_SDExport'!AF:AF),
    IF(_xlpm.result=0,"",_xlpm.result)
)</f>
        <v>855DC-1542-CSM Charge Station Management System (CSMS)</v>
      </c>
      <c r="X176" s="2" t="str">
        <f>_xlfn.LET(
    _xlpm.isObject, _xlfn.XLOOKUP($Q176,'EA-Fortescue_SDExport'!A:A,'EA-Fortescue_SDExport'!B:B),
    _xlpm.lookupKey, IF(_xlpm.isObject="Object",
        _xlfn.XLOOKUP($A176,'EA-ConnectorExport'!A:A,'EA-ConnectorExport'!D:D),
        $Q176
    ),
    _xlpm.result, _xlfn.XLOOKUP(_xlpm.lookupKey,'EA-Fortescue_SDExport'!A:A,'EA-Fortescue_SDExport'!AG:AG),
    IF(_xlpm.result=0,"",_xlpm.result)
)</f>
        <v>855DC-1542-CSM-002 vCharM.Edge</v>
      </c>
      <c r="Y176" s="2" t="str">
        <f>_xlfn.LET(
    _xlpm.status, _xlfn.XLOOKUP($A176,'EA-ConnectorExport'!$A:$A,'EA-ConnectorExport'!G:G),
    _xlpm.result, _xlfn.XLOOKUP($A176,'EA-ConnectorExport'!$A:$A,'EA-ConnectorExport'!H:H),
    IF(_xlpm.status="allocate", _xlpm.result, "")
)</f>
        <v>850DC-1512-0001-004 AC1 (Automated Connection) for T264 Charging Loads</v>
      </c>
      <c r="Z176" s="2" t="str">
        <f>_xlfn.LET(
    _xlpm.isObject, _xlfn.XLOOKUP($Y176,'EA-Fortescue_SDExport'!A:A,'EA-Fortescue_SDExport'!B:B),
    _xlpm.lookupKey, IF(_xlpm.isObject="Object",
        _xlfn.XLOOKUP($A176,'EA-ConnectorExport'!A:A,'EA-ConnectorExport'!J:J),
        $Y176
    ),
    _xlpm.result, _xlfn.XLOOKUP(_xlpm.lookupKey,'EA-Fortescue_SDExport'!A:A,'EA-Fortescue_SDExport'!AA:AA),
    IF(_xlpm.result=0,"",_xlpm.result)
)</f>
        <v>Subsystem</v>
      </c>
      <c r="AA176" s="2" t="str">
        <f>_xlfn.LET(_xlpm.result, _xlfn.XLOOKUP($Y176,'EA-Fortescue_SDExport'!$A:$A,'EA-Fortescue_SDExport'!AB:AB), IF(_xlpm.result=0,"",_xlpm.result))</f>
        <v/>
      </c>
      <c r="AB176" s="2" t="str">
        <f>_xlfn.LET(_xlpm.result, _xlfn.XLOOKUP($Y176,'EA-Fortescue_SDExport'!$A:$A,'EA-Fortescue_SDExport'!AC:AC), IF(_xlpm.result=0,"",_xlpm.result))</f>
        <v>Generic Physical Asset</v>
      </c>
      <c r="AC176" s="2" t="str">
        <f>_xlfn.LET(
    _xlpm.isObject, _xlfn.XLOOKUP($Y176,'EA-Fortescue_SDExport'!A:A,'EA-Fortescue_SDExport'!B:B),
    _xlpm.lookupKey, IF(_xlpm.isObject="Object",
        _xlfn.XLOOKUP($A176,'EA-ConnectorExport'!A:A,'EA-ConnectorExport'!J:J),
        $Y176
    ),
    _xlpm.result, _xlfn.XLOOKUP(_xlpm.lookupKey,'EA-Fortescue_SDExport'!A:A,'EA-Fortescue_SDExport'!AD:AD),
    IF(_xlpm.result=0,"",_xlpm.result)
)</f>
        <v>850DC Decarb Infrastructure</v>
      </c>
      <c r="AD176" s="2" t="str">
        <f>_xlfn.LET(
    _xlpm.isObject, _xlfn.XLOOKUP($Y176,'EA-Fortescue_SDExport'!A:A,'EA-Fortescue_SDExport'!B:B),
    _xlpm.lookupKey, IF(_xlpm.isObject="Object",
        _xlfn.XLOOKUP($A176,'EA-ConnectorExport'!A:A,'EA-ConnectorExport'!J:J),
        $Y176
    ),
    _xlpm.result, _xlfn.XLOOKUP(_xlpm.lookupKey,'EA-Fortescue_SDExport'!A:A,'EA-Fortescue_SDExport'!AE:AE),
    IF(_xlpm.result=0,"",_xlpm.result)
)</f>
        <v>850DC-1510 Chargers</v>
      </c>
      <c r="AE176" s="2" t="str">
        <f>_xlfn.LET(
    _xlpm.isObject, _xlfn.XLOOKUP($Y176,'EA-Fortescue_SDExport'!A:A,'EA-Fortescue_SDExport'!B:B),
    _xlpm.lookupKey, IF(_xlpm.isObject="Object",
        _xlfn.XLOOKUP($A176,'EA-ConnectorExport'!A:A,'EA-ConnectorExport'!J:J),
        $Y176
    ),
    _xlpm.result, _xlfn.XLOOKUP(_xlpm.lookupKey,'EA-Fortescue_SDExport'!A:A,'EA-Fortescue_SDExport'!AF:AF),
    IF(_xlpm.result=0,"",_xlpm.result)
)</f>
        <v>850DC-1512-0001 HME Chargers - Gen1</v>
      </c>
      <c r="AF176" s="2" t="str">
        <f>_xlfn.LET(
    _xlpm.isObject, _xlfn.XLOOKUP($Y176,'EA-Fortescue_SDExport'!A:A,'EA-Fortescue_SDExport'!B:B),
    _xlpm.lookupKey, IF(_xlpm.isObject="Object",
        _xlfn.XLOOKUP($A176,'EA-ConnectorExport'!A:A,'EA-ConnectorExport'!J:J),
        $Y176
    ),
    _xlpm.result, _xlfn.XLOOKUP(_xlpm.lookupKey,'EA-Fortescue_SDExport'!A:A,'EA-Fortescue_SDExport'!AG:AG),
    IF(_xlpm.result=0,"",_xlpm.result)
)</f>
        <v>850DC-1512-0001-004 AC1 (Automated Connection) for T264 Charging Loads</v>
      </c>
    </row>
    <row r="177" spans="1:32" ht="255" x14ac:dyDescent="0.25">
      <c r="A177" s="2" t="str">
        <v>DGS-I_0176</v>
      </c>
      <c r="B177" s="2" t="str">
        <f t="shared" si="8"/>
        <v>855DC-1542-CSM-001 vCharM by Vector|850DC-1512-0001-004 AC1 (Automated Connection) for T264 Charging Loads</v>
      </c>
      <c r="C177" s="2" t="str">
        <f>_xlfn.LET(_xlpm.result, _xlfn.XLOOKUP(A177,'EA-Fortescue_SDExport'!A:A,'EA-Fortescue_SDExport'!AM:AM), IF(_xlpm.result=0,"",_xlpm.result))</f>
        <v/>
      </c>
      <c r="D177" s="2" t="str">
        <f>_xlfn.LET(_xlpm.result, _xlfn.XLOOKUP(A177,'EA-Fortescue_SDExport'!A:A,'EA-Fortescue_SDExport'!AN:AN), IF(_xlpm.result=0,"",_xlpm.result))</f>
        <v/>
      </c>
      <c r="E177" s="2" t="str">
        <f>_xlfn.XLOOKUP(R177&amp;Z177,Lookups!A:A,Lookups!B:B)</f>
        <v>Subsystem - Subsystem Interface</v>
      </c>
      <c r="F177" s="2" t="str">
        <f>_xlfn.LET(_xlpm.result, _xlfn.XLOOKUP(A177,'EA-Fortescue_SDExport'!A:A,'EA-Fortescue_SDExport'!AP:AP), IF(_xlpm.result=0,"",_xlpm.result))</f>
        <v>Technical-Data/Software</v>
      </c>
      <c r="G177" s="2" t="str">
        <f>IF(OR(AND(T177&lt;&gt;"", COUNTIF(Lookups!J:J, "*"&amp;T177&amp;"*")&gt;0), AND(AB177&lt;&gt;"", COUNTIF(Lookups!J:J, "*"&amp;AB177&amp;"*")&gt;0)), "Yes", "No")</f>
        <v>No</v>
      </c>
      <c r="H177" s="2" t="str">
        <f t="shared" si="9"/>
        <v>855DC Decarb Green Systems|850DC Decarb Infrastructure</v>
      </c>
      <c r="I177" s="2" t="str">
        <f t="shared" si="10"/>
        <v>855DC-1542 Control &amp; Monitoring Systems|850DC-1510 Chargers</v>
      </c>
      <c r="J177" s="2" t="str">
        <f t="shared" si="11"/>
        <v>855DC-1542-CSM Charge Station Management System (CSMS)|850DC-1512-0001 HME Chargers - Gen1</v>
      </c>
      <c r="K177" s="2" t="str">
        <f>_xlfn.XLOOKUP(A177,'EA-Fortescue_SDExport'!A:A,'EA-Fortescue_SDExport'!N:N)</f>
        <v>Proposed</v>
      </c>
      <c r="L177" s="2" t="str">
        <f>_xlfn.LET(_xlpm.result, _xlfn.XLOOKUP($A177,'EA-Fortescue_SDExport'!$A:$A,'EA-Fortescue_SDExport'!AQ:AQ), IF(_xlpm.result=0,"",_xlpm.result))</f>
        <v>This interface allows the main vCharM system to coordinate charger readiness and authorisation signals with the AC1 automated charging units.</v>
      </c>
      <c r="M177" s="2" t="str">
        <f>_xlfn.LET(_xlpm.result, _xlfn.XLOOKUP($A177,'EA-Fortescue_SDExport'!$A:$A,'EA-Fortescue_SDExport'!AR:AR), IF(_xlpm.result=0,"",_xlpm.result))</f>
        <v>HIGH</v>
      </c>
      <c r="N177" s="2" t="str">
        <f>_xlfn.LET(_xlpm.result, _xlfn.XLOOKUP($A177,'EA-Fortescue_SDExport'!$A:$A,'EA-Fortescue_SDExport'!AW:AW), IF(_xlpm.result=0,"",_xlpm.result))</f>
        <v>The criticality level is HIGH because automated charging of large haul trucks requires precise coordination between control logic and automated hardware. Incorrect or missing data might cause automated systems to fail docking, fail energising, or create unsafe states, which could directly affect production-critical trucks.</v>
      </c>
      <c r="O177" s="2" t="str">
        <f>_xlfn.LET(_xlpm.result, _xlfn.XLOOKUP($A177,'EA-Fortescue_SDExport'!$A:$A,'EA-Fortescue_SDExport'!AV:AV), IF(_xlpm.result=0,"",_xlpm.result))</f>
        <v>Data Flow: vCharM (CSMS Core) -&gt; AC1 Automated Charging Units (charger readiness, authorisation signals, charge enable commands, scheduling priorities, safety interlock validation, energisation permissions) to coordinate automated charging initiation._x000D_
Data Flow: AC1 -&gt; vCharM (CSMS Core) (dock/connection confirmation, charging state, energisation status, fault alarms, interlock feedback, emergency stop status) to confirm safe and synchronised operation.</v>
      </c>
      <c r="P177" s="2" t="str">
        <f>_xlfn.LET(_xlpm.result, _xlfn.XLOOKUP($A177,'EA-Fortescue_SDExport'!$A:$A,'EA-Fortescue_SDExport'!D:D), IF(_xlpm.result=0,"",_xlpm.result))</f>
        <v>CSMS Review 30/10/2025: Standard OCPP Comms between (Open Charge Point Protocol)._x000D_
NH 20/02/2026: Fields updated: Interface Flow.</v>
      </c>
      <c r="Q177" s="2" t="str">
        <f>_xlfn.LET(
    _xlpm.status, _xlfn.XLOOKUP($A177,'EA-ConnectorExport'!$A:$A,'EA-ConnectorExport'!G:G),
    _xlpm.result, _xlfn.XLOOKUP($A177,'EA-ConnectorExport'!$A:$A,'EA-ConnectorExport'!B:B),
    IF(_xlpm.status="allocate", _xlpm.result, "")
)</f>
        <v>855DC-1542-CSM-001 vCharM by Vector</v>
      </c>
      <c r="R177" s="2" t="str">
        <f>IF(
    _xlfn.XLOOKUP($Q177,'EA-Fortescue_SDExport'!A:A,'EA-Fortescue_SDExport'!B:B)="Object",
    _xlfn.XLOOKUP(
        _xlfn.XLOOKUP($A177,'EA-ConnectorExport'!A:A,'EA-ConnectorExport'!D:D),
        'EA-Fortescue_SDExport'!A:A,
        'EA-Fortescue_SDExport'!AA:AA
    ),
    _xlfn.XLOOKUP($Q177,'EA-Fortescue_SDExport'!A:A,'EA-Fortescue_SDExport'!AA:AA)
)</f>
        <v>Subsystem</v>
      </c>
      <c r="S177" s="2" t="str">
        <f>_xlfn.LET(_xlpm.result, _xlfn.XLOOKUP($Q177,'EA-Fortescue_SDExport'!$A:$A,'EA-Fortescue_SDExport'!AB:AB), IF(_xlpm.result=0,"",_xlpm.result))</f>
        <v/>
      </c>
      <c r="T177" s="2" t="str">
        <f>_xlfn.LET(_xlpm.result, _xlfn.XLOOKUP($Q177,'EA-Fortescue_SDExport'!$A:$A,'EA-Fortescue_SDExport'!AC:AC), IF(_xlpm.result=0,"",_xlpm.result))</f>
        <v/>
      </c>
      <c r="U177" s="2" t="str">
        <f>_xlfn.LET(
    _xlpm.isObject, _xlfn.XLOOKUP($Q177,'EA-Fortescue_SDExport'!A:A,'EA-Fortescue_SDExport'!B:B),
    _xlpm.lookupKey, IF(_xlpm.isObject="Object",
        _xlfn.XLOOKUP($A177,'EA-ConnectorExport'!A:A,'EA-ConnectorExport'!D:D),
        $Q177
    ),
    _xlpm.result, _xlfn.XLOOKUP(_xlpm.lookupKey,'EA-Fortescue_SDExport'!A:A,'EA-Fortescue_SDExport'!AD:AD),
    IF(_xlpm.result=0,"",_xlpm.result)
)</f>
        <v>855DC Decarb Green Systems</v>
      </c>
      <c r="V177" s="2" t="str">
        <f>_xlfn.LET(
    _xlpm.isObject, _xlfn.XLOOKUP($Q177,'EA-Fortescue_SDExport'!A:A,'EA-Fortescue_SDExport'!B:B),
    _xlpm.lookupKey, IF(_xlpm.isObject="Object",
        _xlfn.XLOOKUP($A177,'EA-ConnectorExport'!A:A,'EA-ConnectorExport'!D:D),
        $Q177
    ),
    _xlpm.result, _xlfn.XLOOKUP(_xlpm.lookupKey,'EA-Fortescue_SDExport'!A:A,'EA-Fortescue_SDExport'!AE:AE),
    IF(_xlpm.result=0,"",_xlpm.result)
)</f>
        <v>855DC-1542 Control &amp; Monitoring Systems</v>
      </c>
      <c r="W177" s="2" t="str">
        <f>_xlfn.LET(
    _xlpm.isObject, _xlfn.XLOOKUP($Q177,'EA-Fortescue_SDExport'!A:A,'EA-Fortescue_SDExport'!B:B),
    _xlpm.lookupKey, IF(_xlpm.isObject="Object",
        _xlfn.XLOOKUP($A177,'EA-ConnectorExport'!A:A,'EA-ConnectorExport'!D:D),
        $Q177
    ),
    _xlpm.result, _xlfn.XLOOKUP(_xlpm.lookupKey,'EA-Fortescue_SDExport'!A:A,'EA-Fortescue_SDExport'!AF:AF),
    IF(_xlpm.result=0,"",_xlpm.result)
)</f>
        <v>855DC-1542-CSM Charge Station Management System (CSMS)</v>
      </c>
      <c r="X177" s="2" t="str">
        <f>_xlfn.LET(
    _xlpm.isObject, _xlfn.XLOOKUP($Q177,'EA-Fortescue_SDExport'!A:A,'EA-Fortescue_SDExport'!B:B),
    _xlpm.lookupKey, IF(_xlpm.isObject="Object",
        _xlfn.XLOOKUP($A177,'EA-ConnectorExport'!A:A,'EA-ConnectorExport'!D:D),
        $Q177
    ),
    _xlpm.result, _xlfn.XLOOKUP(_xlpm.lookupKey,'EA-Fortescue_SDExport'!A:A,'EA-Fortescue_SDExport'!AG:AG),
    IF(_xlpm.result=0,"",_xlpm.result)
)</f>
        <v>855DC-1542-CSM-001 vCharM by Vector</v>
      </c>
      <c r="Y177" s="2" t="str">
        <f>_xlfn.LET(
    _xlpm.status, _xlfn.XLOOKUP($A177,'EA-ConnectorExport'!$A:$A,'EA-ConnectorExport'!G:G),
    _xlpm.result, _xlfn.XLOOKUP($A177,'EA-ConnectorExport'!$A:$A,'EA-ConnectorExport'!H:H),
    IF(_xlpm.status="allocate", _xlpm.result, "")
)</f>
        <v>850DC-1512-0001-004 AC1 (Automated Connection) for T264 Charging Loads</v>
      </c>
      <c r="Z177" s="2" t="str">
        <f>_xlfn.LET(
    _xlpm.isObject, _xlfn.XLOOKUP($Y177,'EA-Fortescue_SDExport'!A:A,'EA-Fortescue_SDExport'!B:B),
    _xlpm.lookupKey, IF(_xlpm.isObject="Object",
        _xlfn.XLOOKUP($A177,'EA-ConnectorExport'!A:A,'EA-ConnectorExport'!J:J),
        $Y177
    ),
    _xlpm.result, _xlfn.XLOOKUP(_xlpm.lookupKey,'EA-Fortescue_SDExport'!A:A,'EA-Fortescue_SDExport'!AA:AA),
    IF(_xlpm.result=0,"",_xlpm.result)
)</f>
        <v>Subsystem</v>
      </c>
      <c r="AA177" s="2" t="str">
        <f>_xlfn.LET(_xlpm.result, _xlfn.XLOOKUP($Y177,'EA-Fortescue_SDExport'!$A:$A,'EA-Fortescue_SDExport'!AB:AB), IF(_xlpm.result=0,"",_xlpm.result))</f>
        <v/>
      </c>
      <c r="AB177" s="2" t="str">
        <f>_xlfn.LET(_xlpm.result, _xlfn.XLOOKUP($Y177,'EA-Fortescue_SDExport'!$A:$A,'EA-Fortescue_SDExport'!AC:AC), IF(_xlpm.result=0,"",_xlpm.result))</f>
        <v>Generic Physical Asset</v>
      </c>
      <c r="AC177" s="2" t="str">
        <f>_xlfn.LET(
    _xlpm.isObject, _xlfn.XLOOKUP($Y177,'EA-Fortescue_SDExport'!A:A,'EA-Fortescue_SDExport'!B:B),
    _xlpm.lookupKey, IF(_xlpm.isObject="Object",
        _xlfn.XLOOKUP($A177,'EA-ConnectorExport'!A:A,'EA-ConnectorExport'!J:J),
        $Y177
    ),
    _xlpm.result, _xlfn.XLOOKUP(_xlpm.lookupKey,'EA-Fortescue_SDExport'!A:A,'EA-Fortescue_SDExport'!AD:AD),
    IF(_xlpm.result=0,"",_xlpm.result)
)</f>
        <v>850DC Decarb Infrastructure</v>
      </c>
      <c r="AD177" s="2" t="str">
        <f>_xlfn.LET(
    _xlpm.isObject, _xlfn.XLOOKUP($Y177,'EA-Fortescue_SDExport'!A:A,'EA-Fortescue_SDExport'!B:B),
    _xlpm.lookupKey, IF(_xlpm.isObject="Object",
        _xlfn.XLOOKUP($A177,'EA-ConnectorExport'!A:A,'EA-ConnectorExport'!J:J),
        $Y177
    ),
    _xlpm.result, _xlfn.XLOOKUP(_xlpm.lookupKey,'EA-Fortescue_SDExport'!A:A,'EA-Fortescue_SDExport'!AE:AE),
    IF(_xlpm.result=0,"",_xlpm.result)
)</f>
        <v>850DC-1510 Chargers</v>
      </c>
      <c r="AE177" s="2" t="str">
        <f>_xlfn.LET(
    _xlpm.isObject, _xlfn.XLOOKUP($Y177,'EA-Fortescue_SDExport'!A:A,'EA-Fortescue_SDExport'!B:B),
    _xlpm.lookupKey, IF(_xlpm.isObject="Object",
        _xlfn.XLOOKUP($A177,'EA-ConnectorExport'!A:A,'EA-ConnectorExport'!J:J),
        $Y177
    ),
    _xlpm.result, _xlfn.XLOOKUP(_xlpm.lookupKey,'EA-Fortescue_SDExport'!A:A,'EA-Fortescue_SDExport'!AF:AF),
    IF(_xlpm.result=0,"",_xlpm.result)
)</f>
        <v>850DC-1512-0001 HME Chargers - Gen1</v>
      </c>
      <c r="AF177" s="2" t="str">
        <f>_xlfn.LET(
    _xlpm.isObject, _xlfn.XLOOKUP($Y177,'EA-Fortescue_SDExport'!A:A,'EA-Fortescue_SDExport'!B:B),
    _xlpm.lookupKey, IF(_xlpm.isObject="Object",
        _xlfn.XLOOKUP($A177,'EA-ConnectorExport'!A:A,'EA-ConnectorExport'!J:J),
        $Y177
    ),
    _xlpm.result, _xlfn.XLOOKUP(_xlpm.lookupKey,'EA-Fortescue_SDExport'!A:A,'EA-Fortescue_SDExport'!AG:AG),
    IF(_xlpm.result=0,"",_xlpm.result)
)</f>
        <v>850DC-1512-0001-004 AC1 (Automated Connection) for T264 Charging Loads</v>
      </c>
    </row>
    <row r="178" spans="1:32" ht="285" x14ac:dyDescent="0.25">
      <c r="A178" s="2" t="str">
        <v>DGS-I_0177</v>
      </c>
      <c r="B178" s="2" t="str">
        <f t="shared" si="8"/>
        <v>859DC-1410-001-004 HaulX Shield (Collision Avoidance System)|852DC Light Mobile Equipment (LME) &amp; Support Mobile Equipment (SME)</v>
      </c>
      <c r="C178" s="2" t="str">
        <f>_xlfn.LET(_xlpm.result, _xlfn.XLOOKUP(A178,'EA-Fortescue_SDExport'!A:A,'EA-Fortescue_SDExport'!AM:AM), IF(_xlpm.result=0,"",_xlpm.result))</f>
        <v/>
      </c>
      <c r="D178" s="2" t="str">
        <f>_xlfn.LET(_xlpm.result, _xlfn.XLOOKUP(A178,'EA-Fortescue_SDExport'!A:A,'EA-Fortescue_SDExport'!AN:AN), IF(_xlpm.result=0,"",_xlpm.result))</f>
        <v/>
      </c>
      <c r="E178" s="2" t="str">
        <f>_xlfn.XLOOKUP(R178&amp;Z178,Lookups!A:A,Lookups!B:B)</f>
        <v>Program - Subsystem Interface</v>
      </c>
      <c r="F178" s="2" t="str">
        <f>_xlfn.LET(_xlpm.result, _xlfn.XLOOKUP(A178,'EA-Fortescue_SDExport'!A:A,'EA-Fortescue_SDExport'!AP:AP), IF(_xlpm.result=0,"",_xlpm.result))</f>
        <v>Technical-Data/Software</v>
      </c>
      <c r="G178" s="2" t="str">
        <f>IF(OR(AND(T178&lt;&gt;"", COUNTIF(Lookups!J:J, "*"&amp;T178&amp;"*")&gt;0), AND(AB178&lt;&gt;"", COUNTIF(Lookups!J:J, "*"&amp;AB178&amp;"*")&gt;0)), "Yes", "No")</f>
        <v>No</v>
      </c>
      <c r="H178" s="2" t="str">
        <f t="shared" si="9"/>
        <v>859DC HaulX|852DC Light Mobile Equipment (LME) &amp; Support Mobile Equipment (SME)</v>
      </c>
      <c r="I178" s="2" t="str">
        <f t="shared" si="10"/>
        <v>N/A</v>
      </c>
      <c r="J178" s="2" t="str">
        <f t="shared" si="11"/>
        <v>859DC-1410-001 HaulX|N/A</v>
      </c>
      <c r="K178" s="2" t="str">
        <f>_xlfn.XLOOKUP(A178,'EA-Fortescue_SDExport'!A:A,'EA-Fortescue_SDExport'!N:N)</f>
        <v>Proposed</v>
      </c>
      <c r="L178" s="2" t="str">
        <f>_xlfn.LET(_xlpm.result, _xlfn.XLOOKUP($A178,'EA-Fortescue_SDExport'!$A:$A,'EA-Fortescue_SDExport'!AQ:AQ), IF(_xlpm.result=0,"",_xlpm.result))</f>
        <v>This interface provides HaulX Shield with SME position, proximity, and sensor data to support collision-avoidance logic across mixed traffic.</v>
      </c>
      <c r="M178" s="2" t="str">
        <f>_xlfn.LET(_xlpm.result, _xlfn.XLOOKUP($A178,'EA-Fortescue_SDExport'!$A:$A,'EA-Fortescue_SDExport'!AR:AR), IF(_xlpm.result=0,"",_xlpm.result))</f>
        <v>HIGH</v>
      </c>
      <c r="N178" s="2" t="str">
        <f>_xlfn.LET(_xlpm.result, _xlfn.XLOOKUP($A178,'EA-Fortescue_SDExport'!$A:$A,'EA-Fortescue_SDExport'!AW:AW), IF(_xlpm.result=0,"",_xlpm.result))</f>
        <v>The criticality level is HIGH because incorrect or missing positional data from SMEs may compromise safe autonomous or assisted haulage operations, increasing the risk of vehicle interactions. Collision-avoidance systems depend on reliable position and movement data from all equipment types to ensure safe operation, making this interface safety-critical.</v>
      </c>
      <c r="O178" s="2" t="str">
        <f>_xlfn.LET(_xlpm.result, _xlfn.XLOOKUP($A178,'EA-Fortescue_SDExport'!$A:$A,'EA-Fortescue_SDExport'!AV:AV), IF(_xlpm.result=0,"",_xlpm.result))</f>
        <v>Data Flow: SME (Light &amp; Support Mobile Equipment) -&gt; HaulX Shield (real-time position, speed, heading, proximity data, equipment ID, status, sensor health, geofence alerts) to support collision-avoidance logic and mixed-traffic coordination.</v>
      </c>
      <c r="P178" s="2" t="str">
        <f>_xlfn.LET(_xlpm.result, _xlfn.XLOOKUP($A178,'EA-Fortescue_SDExport'!$A:$A,'EA-Fortescue_SDExport'!D:D), IF(_xlpm.result=0,"",_xlpm.result))</f>
        <v/>
      </c>
      <c r="Q178" s="2" t="str">
        <f>_xlfn.LET(
    _xlpm.status, _xlfn.XLOOKUP($A178,'EA-ConnectorExport'!$A:$A,'EA-ConnectorExport'!G:G),
    _xlpm.result, _xlfn.XLOOKUP($A178,'EA-ConnectorExport'!$A:$A,'EA-ConnectorExport'!B:B),
    IF(_xlpm.status="allocate", _xlpm.result, "")
)</f>
        <v>859DC-1410-001-004 HaulX Shield (Collision Avoidance System)</v>
      </c>
      <c r="R178" s="2" t="str">
        <f>IF(
    _xlfn.XLOOKUP($Q178,'EA-Fortescue_SDExport'!A:A,'EA-Fortescue_SDExport'!B:B)="Object",
    _xlfn.XLOOKUP(
        _xlfn.XLOOKUP($A178,'EA-ConnectorExport'!A:A,'EA-ConnectorExport'!D:D),
        'EA-Fortescue_SDExport'!A:A,
        'EA-Fortescue_SDExport'!AA:AA
    ),
    _xlfn.XLOOKUP($Q178,'EA-Fortescue_SDExport'!A:A,'EA-Fortescue_SDExport'!AA:AA)
)</f>
        <v>Subsystem</v>
      </c>
      <c r="S178" s="2" t="str">
        <f>_xlfn.LET(_xlpm.result, _xlfn.XLOOKUP($Q178,'EA-Fortescue_SDExport'!$A:$A,'EA-Fortescue_SDExport'!AB:AB), IF(_xlpm.result=0,"",_xlpm.result))</f>
        <v/>
      </c>
      <c r="T178" s="2" t="str">
        <f>_xlfn.LET(_xlpm.result, _xlfn.XLOOKUP($Q178,'EA-Fortescue_SDExport'!$A:$A,'EA-Fortescue_SDExport'!AC:AC), IF(_xlpm.result=0,"",_xlpm.result))</f>
        <v/>
      </c>
      <c r="U178" s="2" t="str">
        <f>_xlfn.LET(
    _xlpm.isObject, _xlfn.XLOOKUP($Q178,'EA-Fortescue_SDExport'!A:A,'EA-Fortescue_SDExport'!B:B),
    _xlpm.lookupKey, IF(_xlpm.isObject="Object",
        _xlfn.XLOOKUP($A178,'EA-ConnectorExport'!A:A,'EA-ConnectorExport'!D:D),
        $Q178
    ),
    _xlpm.result, _xlfn.XLOOKUP(_xlpm.lookupKey,'EA-Fortescue_SDExport'!A:A,'EA-Fortescue_SDExport'!AD:AD),
    IF(_xlpm.result=0,"",_xlpm.result)
)</f>
        <v>859DC HaulX</v>
      </c>
      <c r="V178" s="2" t="str">
        <f>_xlfn.LET(
    _xlpm.isObject, _xlfn.XLOOKUP($Q178,'EA-Fortescue_SDExport'!A:A,'EA-Fortescue_SDExport'!B:B),
    _xlpm.lookupKey, IF(_xlpm.isObject="Object",
        _xlfn.XLOOKUP($A178,'EA-ConnectorExport'!A:A,'EA-ConnectorExport'!D:D),
        $Q178
    ),
    _xlpm.result, _xlfn.XLOOKUP(_xlpm.lookupKey,'EA-Fortescue_SDExport'!A:A,'EA-Fortescue_SDExport'!AE:AE),
    IF(_xlpm.result=0,"",_xlpm.result)
)</f>
        <v/>
      </c>
      <c r="W178" s="2" t="str">
        <f>_xlfn.LET(
    _xlpm.isObject, _xlfn.XLOOKUP($Q178,'EA-Fortescue_SDExport'!A:A,'EA-Fortescue_SDExport'!B:B),
    _xlpm.lookupKey, IF(_xlpm.isObject="Object",
        _xlfn.XLOOKUP($A178,'EA-ConnectorExport'!A:A,'EA-ConnectorExport'!D:D),
        $Q178
    ),
    _xlpm.result, _xlfn.XLOOKUP(_xlpm.lookupKey,'EA-Fortescue_SDExport'!A:A,'EA-Fortescue_SDExport'!AF:AF),
    IF(_xlpm.result=0,"",_xlpm.result)
)</f>
        <v>859DC-1410-001 HaulX</v>
      </c>
      <c r="X178" s="2" t="str">
        <f>_xlfn.LET(
    _xlpm.isObject, _xlfn.XLOOKUP($Q178,'EA-Fortescue_SDExport'!A:A,'EA-Fortescue_SDExport'!B:B),
    _xlpm.lookupKey, IF(_xlpm.isObject="Object",
        _xlfn.XLOOKUP($A178,'EA-ConnectorExport'!A:A,'EA-ConnectorExport'!D:D),
        $Q178
    ),
    _xlpm.result, _xlfn.XLOOKUP(_xlpm.lookupKey,'EA-Fortescue_SDExport'!A:A,'EA-Fortescue_SDExport'!AG:AG),
    IF(_xlpm.result=0,"",_xlpm.result)
)</f>
        <v>859DC-1410-001-004 HaulX Shield (Collision Avoidance System)</v>
      </c>
      <c r="Y178" s="2" t="str">
        <f>_xlfn.LET(
    _xlpm.status, _xlfn.XLOOKUP($A178,'EA-ConnectorExport'!$A:$A,'EA-ConnectorExport'!G:G),
    _xlpm.result, _xlfn.XLOOKUP($A178,'EA-ConnectorExport'!$A:$A,'EA-ConnectorExport'!H:H),
    IF(_xlpm.status="allocate", _xlpm.result, "")
)</f>
        <v>852DC Light Mobile Equipment (LME) &amp; Support Mobile Equipment (SME)</v>
      </c>
      <c r="Z178" s="2" t="str">
        <f>_xlfn.LET(
    _xlpm.isObject, _xlfn.XLOOKUP($Y178,'EA-Fortescue_SDExport'!A:A,'EA-Fortescue_SDExport'!B:B),
    _xlpm.lookupKey, IF(_xlpm.isObject="Object",
        _xlfn.XLOOKUP($A178,'EA-ConnectorExport'!A:A,'EA-ConnectorExport'!J:J),
        $Y178
    ),
    _xlpm.result, _xlfn.XLOOKUP(_xlpm.lookupKey,'EA-Fortescue_SDExport'!A:A,'EA-Fortescue_SDExport'!AA:AA),
    IF(_xlpm.result=0,"",_xlpm.result)
)</f>
        <v>Program</v>
      </c>
      <c r="AA178" s="2" t="str">
        <f>_xlfn.LET(_xlpm.result, _xlfn.XLOOKUP($Y178,'EA-Fortescue_SDExport'!$A:$A,'EA-Fortescue_SDExport'!AB:AB), IF(_xlpm.result=0,"",_xlpm.result))</f>
        <v/>
      </c>
      <c r="AB178" s="2" t="str">
        <f>_xlfn.LET(_xlpm.result, _xlfn.XLOOKUP($Y178,'EA-Fortescue_SDExport'!$A:$A,'EA-Fortescue_SDExport'!AC:AC), IF(_xlpm.result=0,"",_xlpm.result))</f>
        <v>Generic Physical Asset</v>
      </c>
      <c r="AC178" s="2" t="str">
        <f>_xlfn.LET(
    _xlpm.isObject, _xlfn.XLOOKUP($Y178,'EA-Fortescue_SDExport'!A:A,'EA-Fortescue_SDExport'!B:B),
    _xlpm.lookupKey, IF(_xlpm.isObject="Object",
        _xlfn.XLOOKUP($A178,'EA-ConnectorExport'!A:A,'EA-ConnectorExport'!J:J),
        $Y178
    ),
    _xlpm.result, _xlfn.XLOOKUP(_xlpm.lookupKey,'EA-Fortescue_SDExport'!A:A,'EA-Fortescue_SDExport'!AD:AD),
    IF(_xlpm.result=0,"",_xlpm.result)
)</f>
        <v>852DC Light Mobile Equipment (LME) &amp; Support Mobile Equipment (SME)</v>
      </c>
      <c r="AD178" s="2" t="str">
        <f>_xlfn.LET(
    _xlpm.isObject, _xlfn.XLOOKUP($Y178,'EA-Fortescue_SDExport'!A:A,'EA-Fortescue_SDExport'!B:B),
    _xlpm.lookupKey, IF(_xlpm.isObject="Object",
        _xlfn.XLOOKUP($A178,'EA-ConnectorExport'!A:A,'EA-ConnectorExport'!J:J),
        $Y178
    ),
    _xlpm.result, _xlfn.XLOOKUP(_xlpm.lookupKey,'EA-Fortescue_SDExport'!A:A,'EA-Fortescue_SDExport'!AE:AE),
    IF(_xlpm.result=0,"",_xlpm.result)
)</f>
        <v/>
      </c>
      <c r="AE178" s="2" t="str">
        <f>_xlfn.LET(
    _xlpm.isObject, _xlfn.XLOOKUP($Y178,'EA-Fortescue_SDExport'!A:A,'EA-Fortescue_SDExport'!B:B),
    _xlpm.lookupKey, IF(_xlpm.isObject="Object",
        _xlfn.XLOOKUP($A178,'EA-ConnectorExport'!A:A,'EA-ConnectorExport'!J:J),
        $Y178
    ),
    _xlpm.result, _xlfn.XLOOKUP(_xlpm.lookupKey,'EA-Fortescue_SDExport'!A:A,'EA-Fortescue_SDExport'!AF:AF),
    IF(_xlpm.result=0,"",_xlpm.result)
)</f>
        <v/>
      </c>
      <c r="AF178" s="2" t="str">
        <f>_xlfn.LET(
    _xlpm.isObject, _xlfn.XLOOKUP($Y178,'EA-Fortescue_SDExport'!A:A,'EA-Fortescue_SDExport'!B:B),
    _xlpm.lookupKey, IF(_xlpm.isObject="Object",
        _xlfn.XLOOKUP($A178,'EA-ConnectorExport'!A:A,'EA-ConnectorExport'!J:J),
        $Y178
    ),
    _xlpm.result, _xlfn.XLOOKUP(_xlpm.lookupKey,'EA-Fortescue_SDExport'!A:A,'EA-Fortescue_SDExport'!AG:AG),
    IF(_xlpm.result=0,"",_xlpm.result)
)</f>
        <v/>
      </c>
    </row>
    <row r="179" spans="1:32" ht="270" x14ac:dyDescent="0.25">
      <c r="A179" s="2" t="str">
        <v>DGS-I_0178</v>
      </c>
      <c r="B179" s="2" t="str">
        <f t="shared" si="8"/>
        <v>859DC-1410-001-002 HaulX Control (Autonomous Haulage System)|851DC Heavy Mobile Equipment (HME)</v>
      </c>
      <c r="C179" s="2" t="str">
        <f>_xlfn.LET(_xlpm.result, _xlfn.XLOOKUP(A179,'EA-Fortescue_SDExport'!A:A,'EA-Fortescue_SDExport'!AM:AM), IF(_xlpm.result=0,"",_xlpm.result))</f>
        <v/>
      </c>
      <c r="D179" s="2" t="str">
        <f>_xlfn.LET(_xlpm.result, _xlfn.XLOOKUP(A179,'EA-Fortescue_SDExport'!A:A,'EA-Fortescue_SDExport'!AN:AN), IF(_xlpm.result=0,"",_xlpm.result))</f>
        <v/>
      </c>
      <c r="E179" s="2" t="str">
        <f>_xlfn.XLOOKUP(R179&amp;Z179,Lookups!A:A,Lookups!B:B)</f>
        <v>Program - Subsystem Interface</v>
      </c>
      <c r="F179" s="2" t="str">
        <f>_xlfn.LET(_xlpm.result, _xlfn.XLOOKUP(A179,'EA-Fortescue_SDExport'!A:A,'EA-Fortescue_SDExport'!AP:AP), IF(_xlpm.result=0,"",_xlpm.result))</f>
        <v>Technical-Data/Software</v>
      </c>
      <c r="G179" s="2" t="str">
        <f>IF(OR(AND(T179&lt;&gt;"", COUNTIF(Lookups!J:J, "*"&amp;T179&amp;"*")&gt;0), AND(AB179&lt;&gt;"", COUNTIF(Lookups!J:J, "*"&amp;AB179&amp;"*")&gt;0)), "Yes", "No")</f>
        <v>No</v>
      </c>
      <c r="H179" s="2" t="str">
        <f t="shared" si="9"/>
        <v>859DC HaulX|851DC Heavy Mobile Equipment (HME)</v>
      </c>
      <c r="I179" s="2" t="str">
        <f t="shared" si="10"/>
        <v>N/A</v>
      </c>
      <c r="J179" s="2" t="str">
        <f t="shared" si="11"/>
        <v>859DC-1410-001 HaulX|N/A</v>
      </c>
      <c r="K179" s="2" t="str">
        <f>_xlfn.XLOOKUP(A179,'EA-Fortescue_SDExport'!A:A,'EA-Fortescue_SDExport'!N:N)</f>
        <v>Proposed</v>
      </c>
      <c r="L179" s="2" t="str">
        <f>_xlfn.LET(_xlpm.result, _xlfn.XLOOKUP($A179,'EA-Fortescue_SDExport'!$A:$A,'EA-Fortescue_SDExport'!AQ:AQ), IF(_xlpm.result=0,"",_xlpm.result))</f>
        <v>This interface connects HaulX Control with Heavy Mobile Equipment, enabling autonomous haulage to recognise HME locations, status, and movement patterns when planning and executing safe truck paths.</v>
      </c>
      <c r="M179" s="2" t="str">
        <f>_xlfn.LET(_xlpm.result, _xlfn.XLOOKUP($A179,'EA-Fortescue_SDExport'!$A:$A,'EA-Fortescue_SDExport'!AR:AR), IF(_xlpm.result=0,"",_xlpm.result))</f>
        <v>HIGH</v>
      </c>
      <c r="N179" s="2" t="str">
        <f>_xlfn.LET(_xlpm.result, _xlfn.XLOOKUP($A179,'EA-Fortescue_SDExport'!$A:$A,'EA-Fortescue_SDExport'!AW:AW), IF(_xlpm.result=0,"",_xlpm.result))</f>
        <v>The criticality level is HIGH because autonomous trucks must reliably detect and account for HME to prevent collisions, unsafe routing, or operational blockages. A failure of this interface undermines the situational awareness necessary for autonomous operations, potentially forcing a shutdown of AHS activity.</v>
      </c>
      <c r="O179" s="2" t="str">
        <f>_xlfn.LET(_xlpm.result, _xlfn.XLOOKUP($A179,'EA-Fortescue_SDExport'!$A:$A,'EA-Fortescue_SDExport'!AV:AV), IF(_xlpm.result=0,"",_xlpm.result))</f>
        <v>Data Flow: Heavy Mobile Equipment (HME) -&gt; HaulX Control (real-time position, speed, heading, trajectory, operational status, payload status, fault alarms, sensor health, geofence status) to support autonomous haulage planning and safe path execution._x000D_
Data Flow: HaulX Control -&gt; HME (route assignments, speed commands, path updates, stop/go commands, hazard alerts, exclusion zone updates) to coordinate safe autonomous movement.</v>
      </c>
      <c r="P179" s="2" t="str">
        <f>_xlfn.LET(_xlpm.result, _xlfn.XLOOKUP($A179,'EA-Fortescue_SDExport'!$A:$A,'EA-Fortescue_SDExport'!D:D), IF(_xlpm.result=0,"",_xlpm.result))</f>
        <v/>
      </c>
      <c r="Q179" s="2" t="str">
        <f>_xlfn.LET(
    _xlpm.status, _xlfn.XLOOKUP($A179,'EA-ConnectorExport'!$A:$A,'EA-ConnectorExport'!G:G),
    _xlpm.result, _xlfn.XLOOKUP($A179,'EA-ConnectorExport'!$A:$A,'EA-ConnectorExport'!B:B),
    IF(_xlpm.status="allocate", _xlpm.result, "")
)</f>
        <v>859DC-1410-001-002 HaulX Control (Autonomous Haulage System)</v>
      </c>
      <c r="R179" s="2" t="str">
        <f>IF(
    _xlfn.XLOOKUP($Q179,'EA-Fortescue_SDExport'!A:A,'EA-Fortescue_SDExport'!B:B)="Object",
    _xlfn.XLOOKUP(
        _xlfn.XLOOKUP($A179,'EA-ConnectorExport'!A:A,'EA-ConnectorExport'!D:D),
        'EA-Fortescue_SDExport'!A:A,
        'EA-Fortescue_SDExport'!AA:AA
    ),
    _xlfn.XLOOKUP($Q179,'EA-Fortescue_SDExport'!A:A,'EA-Fortescue_SDExport'!AA:AA)
)</f>
        <v>Subsystem</v>
      </c>
      <c r="S179" s="2" t="str">
        <f>_xlfn.LET(_xlpm.result, _xlfn.XLOOKUP($Q179,'EA-Fortescue_SDExport'!$A:$A,'EA-Fortescue_SDExport'!AB:AB), IF(_xlpm.result=0,"",_xlpm.result))</f>
        <v/>
      </c>
      <c r="T179" s="2" t="str">
        <f>_xlfn.LET(_xlpm.result, _xlfn.XLOOKUP($Q179,'EA-Fortescue_SDExport'!$A:$A,'EA-Fortescue_SDExport'!AC:AC), IF(_xlpm.result=0,"",_xlpm.result))</f>
        <v/>
      </c>
      <c r="U179" s="2" t="str">
        <f>_xlfn.LET(
    _xlpm.isObject, _xlfn.XLOOKUP($Q179,'EA-Fortescue_SDExport'!A:A,'EA-Fortescue_SDExport'!B:B),
    _xlpm.lookupKey, IF(_xlpm.isObject="Object",
        _xlfn.XLOOKUP($A179,'EA-ConnectorExport'!A:A,'EA-ConnectorExport'!D:D),
        $Q179
    ),
    _xlpm.result, _xlfn.XLOOKUP(_xlpm.lookupKey,'EA-Fortescue_SDExport'!A:A,'EA-Fortescue_SDExport'!AD:AD),
    IF(_xlpm.result=0,"",_xlpm.result)
)</f>
        <v>859DC HaulX</v>
      </c>
      <c r="V179" s="2" t="str">
        <f>_xlfn.LET(
    _xlpm.isObject, _xlfn.XLOOKUP($Q179,'EA-Fortescue_SDExport'!A:A,'EA-Fortescue_SDExport'!B:B),
    _xlpm.lookupKey, IF(_xlpm.isObject="Object",
        _xlfn.XLOOKUP($A179,'EA-ConnectorExport'!A:A,'EA-ConnectorExport'!D:D),
        $Q179
    ),
    _xlpm.result, _xlfn.XLOOKUP(_xlpm.lookupKey,'EA-Fortescue_SDExport'!A:A,'EA-Fortescue_SDExport'!AE:AE),
    IF(_xlpm.result=0,"",_xlpm.result)
)</f>
        <v/>
      </c>
      <c r="W179" s="2" t="str">
        <f>_xlfn.LET(
    _xlpm.isObject, _xlfn.XLOOKUP($Q179,'EA-Fortescue_SDExport'!A:A,'EA-Fortescue_SDExport'!B:B),
    _xlpm.lookupKey, IF(_xlpm.isObject="Object",
        _xlfn.XLOOKUP($A179,'EA-ConnectorExport'!A:A,'EA-ConnectorExport'!D:D),
        $Q179
    ),
    _xlpm.result, _xlfn.XLOOKUP(_xlpm.lookupKey,'EA-Fortescue_SDExport'!A:A,'EA-Fortescue_SDExport'!AF:AF),
    IF(_xlpm.result=0,"",_xlpm.result)
)</f>
        <v>859DC-1410-001 HaulX</v>
      </c>
      <c r="X179" s="2" t="str">
        <f>_xlfn.LET(
    _xlpm.isObject, _xlfn.XLOOKUP($Q179,'EA-Fortescue_SDExport'!A:A,'EA-Fortescue_SDExport'!B:B),
    _xlpm.lookupKey, IF(_xlpm.isObject="Object",
        _xlfn.XLOOKUP($A179,'EA-ConnectorExport'!A:A,'EA-ConnectorExport'!D:D),
        $Q179
    ),
    _xlpm.result, _xlfn.XLOOKUP(_xlpm.lookupKey,'EA-Fortescue_SDExport'!A:A,'EA-Fortescue_SDExport'!AG:AG),
    IF(_xlpm.result=0,"",_xlpm.result)
)</f>
        <v>859DC-1410-001-002 HaulX Control (Autonomous Haulage System)</v>
      </c>
      <c r="Y179" s="2" t="str">
        <f>_xlfn.LET(
    _xlpm.status, _xlfn.XLOOKUP($A179,'EA-ConnectorExport'!$A:$A,'EA-ConnectorExport'!G:G),
    _xlpm.result, _xlfn.XLOOKUP($A179,'EA-ConnectorExport'!$A:$A,'EA-ConnectorExport'!H:H),
    IF(_xlpm.status="allocate", _xlpm.result, "")
)</f>
        <v>851DC Heavy Mobile Equipment (HME)</v>
      </c>
      <c r="Z179" s="2" t="str">
        <f>_xlfn.LET(
    _xlpm.isObject, _xlfn.XLOOKUP($Y179,'EA-Fortescue_SDExport'!A:A,'EA-Fortescue_SDExport'!B:B),
    _xlpm.lookupKey, IF(_xlpm.isObject="Object",
        _xlfn.XLOOKUP($A179,'EA-ConnectorExport'!A:A,'EA-ConnectorExport'!J:J),
        $Y179
    ),
    _xlpm.result, _xlfn.XLOOKUP(_xlpm.lookupKey,'EA-Fortescue_SDExport'!A:A,'EA-Fortescue_SDExport'!AA:AA),
    IF(_xlpm.result=0,"",_xlpm.result)
)</f>
        <v>Program</v>
      </c>
      <c r="AA179" s="2" t="str">
        <f>_xlfn.LET(_xlpm.result, _xlfn.XLOOKUP($Y179,'EA-Fortescue_SDExport'!$A:$A,'EA-Fortescue_SDExport'!AB:AB), IF(_xlpm.result=0,"",_xlpm.result))</f>
        <v/>
      </c>
      <c r="AB179" s="2" t="str">
        <f>_xlfn.LET(_xlpm.result, _xlfn.XLOOKUP($Y179,'EA-Fortescue_SDExport'!$A:$A,'EA-Fortescue_SDExport'!AC:AC), IF(_xlpm.result=0,"",_xlpm.result))</f>
        <v>Generic Physical Asset</v>
      </c>
      <c r="AC179" s="2" t="str">
        <f>_xlfn.LET(
    _xlpm.isObject, _xlfn.XLOOKUP($Y179,'EA-Fortescue_SDExport'!A:A,'EA-Fortescue_SDExport'!B:B),
    _xlpm.lookupKey, IF(_xlpm.isObject="Object",
        _xlfn.XLOOKUP($A179,'EA-ConnectorExport'!A:A,'EA-ConnectorExport'!J:J),
        $Y179
    ),
    _xlpm.result, _xlfn.XLOOKUP(_xlpm.lookupKey,'EA-Fortescue_SDExport'!A:A,'EA-Fortescue_SDExport'!AD:AD),
    IF(_xlpm.result=0,"",_xlpm.result)
)</f>
        <v>851DC Heavy Mobile Equipment (HME)</v>
      </c>
      <c r="AD179" s="2" t="str">
        <f>_xlfn.LET(
    _xlpm.isObject, _xlfn.XLOOKUP($Y179,'EA-Fortescue_SDExport'!A:A,'EA-Fortescue_SDExport'!B:B),
    _xlpm.lookupKey, IF(_xlpm.isObject="Object",
        _xlfn.XLOOKUP($A179,'EA-ConnectorExport'!A:A,'EA-ConnectorExport'!J:J),
        $Y179
    ),
    _xlpm.result, _xlfn.XLOOKUP(_xlpm.lookupKey,'EA-Fortescue_SDExport'!A:A,'EA-Fortescue_SDExport'!AE:AE),
    IF(_xlpm.result=0,"",_xlpm.result)
)</f>
        <v/>
      </c>
      <c r="AE179" s="2" t="str">
        <f>_xlfn.LET(
    _xlpm.isObject, _xlfn.XLOOKUP($Y179,'EA-Fortescue_SDExport'!A:A,'EA-Fortescue_SDExport'!B:B),
    _xlpm.lookupKey, IF(_xlpm.isObject="Object",
        _xlfn.XLOOKUP($A179,'EA-ConnectorExport'!A:A,'EA-ConnectorExport'!J:J),
        $Y179
    ),
    _xlpm.result, _xlfn.XLOOKUP(_xlpm.lookupKey,'EA-Fortescue_SDExport'!A:A,'EA-Fortescue_SDExport'!AF:AF),
    IF(_xlpm.result=0,"",_xlpm.result)
)</f>
        <v/>
      </c>
      <c r="AF179" s="2" t="str">
        <f>_xlfn.LET(
    _xlpm.isObject, _xlfn.XLOOKUP($Y179,'EA-Fortescue_SDExport'!A:A,'EA-Fortescue_SDExport'!B:B),
    _xlpm.lookupKey, IF(_xlpm.isObject="Object",
        _xlfn.XLOOKUP($A179,'EA-ConnectorExport'!A:A,'EA-ConnectorExport'!J:J),
        $Y179
    ),
    _xlpm.result, _xlfn.XLOOKUP(_xlpm.lookupKey,'EA-Fortescue_SDExport'!A:A,'EA-Fortescue_SDExport'!AG:AG),
    IF(_xlpm.result=0,"",_xlpm.result)
)</f>
        <v/>
      </c>
    </row>
    <row r="180" spans="1:32" ht="270" x14ac:dyDescent="0.25">
      <c r="A180" s="2" t="str">
        <v>DGS-I_0179</v>
      </c>
      <c r="B180" s="2" t="str">
        <f t="shared" si="8"/>
        <v>859DC-1410-001-001 HaulX Dispatch (Fleet Management System (FMS))|851DC Heavy Mobile Equipment (HME)</v>
      </c>
      <c r="C180" s="2" t="str">
        <f>_xlfn.LET(_xlpm.result, _xlfn.XLOOKUP(A180,'EA-Fortescue_SDExport'!A:A,'EA-Fortescue_SDExport'!AM:AM), IF(_xlpm.result=0,"",_xlpm.result))</f>
        <v/>
      </c>
      <c r="D180" s="2" t="str">
        <f>_xlfn.LET(_xlpm.result, _xlfn.XLOOKUP(A180,'EA-Fortescue_SDExport'!A:A,'EA-Fortescue_SDExport'!AN:AN), IF(_xlpm.result=0,"",_xlpm.result))</f>
        <v/>
      </c>
      <c r="E180" s="2" t="str">
        <f>_xlfn.XLOOKUP(R180&amp;Z180,Lookups!A:A,Lookups!B:B)</f>
        <v>Program - Subsystem Interface</v>
      </c>
      <c r="F180" s="2" t="str">
        <f>_xlfn.LET(_xlpm.result, _xlfn.XLOOKUP(A180,'EA-Fortescue_SDExport'!A:A,'EA-Fortescue_SDExport'!AP:AP), IF(_xlpm.result=0,"",_xlpm.result))</f>
        <v>Technical-Data/Software</v>
      </c>
      <c r="G180" s="2" t="str">
        <f>IF(OR(AND(T180&lt;&gt;"", COUNTIF(Lookups!J:J, "*"&amp;T180&amp;"*")&gt;0), AND(AB180&lt;&gt;"", COUNTIF(Lookups!J:J, "*"&amp;AB180&amp;"*")&gt;0)), "Yes", "No")</f>
        <v>No</v>
      </c>
      <c r="H180" s="2" t="str">
        <f t="shared" si="9"/>
        <v>859DC HaulX|851DC Heavy Mobile Equipment (HME)</v>
      </c>
      <c r="I180" s="2" t="str">
        <f t="shared" si="10"/>
        <v>N/A</v>
      </c>
      <c r="J180" s="2" t="str">
        <f t="shared" si="11"/>
        <v>859DC-1410-001 HaulX|N/A</v>
      </c>
      <c r="K180" s="2" t="str">
        <f>_xlfn.XLOOKUP(A180,'EA-Fortescue_SDExport'!A:A,'EA-Fortescue_SDExport'!N:N)</f>
        <v>Proposed</v>
      </c>
      <c r="L180" s="2" t="str">
        <f>_xlfn.LET(_xlpm.result, _xlfn.XLOOKUP($A180,'EA-Fortescue_SDExport'!$A:$A,'EA-Fortescue_SDExport'!AQ:AQ), IF(_xlpm.result=0,"",_xlpm.result))</f>
        <v>This interface enables HaulX Dispatch to receive operational status and availability information from HME to ensure truck assignments, slotting, and cycle planning consider real-time loader and dozer readiness.</v>
      </c>
      <c r="M180" s="2" t="str">
        <f>_xlfn.LET(_xlpm.result, _xlfn.XLOOKUP($A180,'EA-Fortescue_SDExport'!$A:$A,'EA-Fortescue_SDExport'!AR:AR), IF(_xlpm.result=0,"",_xlpm.result))</f>
        <v>MEDIUM</v>
      </c>
      <c r="N180" s="2" t="str">
        <f>_xlfn.LET(_xlpm.result, _xlfn.XLOOKUP($A180,'EA-Fortescue_SDExport'!$A:$A,'EA-Fortescue_SDExport'!AW:AW), IF(_xlpm.result=0,"",_xlpm.result))</f>
        <v>The criticality level is MEDIUM because, although dispatching can continue without HME data, the quality of assignments decreases, leading to cycle delays and reduced productivity. HME significantly influences haulage throughput, so misalignment may reduce performance, but it does not threaten safety or lead to immediate shutdowns.</v>
      </c>
      <c r="O180" s="2" t="str">
        <f>_xlfn.LET(_xlpm.result, _xlfn.XLOOKUP($A180,'EA-Fortescue_SDExport'!$A:$A,'EA-Fortescue_SDExport'!AV:AV), IF(_xlpm.result=0,"",_xlpm.result))</f>
        <v>Data Flow: HME -&gt; HaulX Dispatch (operational status, availability, readiness state, utilisation, location, fault alarms) to support real-time truck assignment, slotting, and cycle planning.</v>
      </c>
      <c r="P180" s="2" t="str">
        <f>_xlfn.LET(_xlpm.result, _xlfn.XLOOKUP($A180,'EA-Fortescue_SDExport'!$A:$A,'EA-Fortescue_SDExport'!D:D), IF(_xlpm.result=0,"",_xlpm.result))</f>
        <v>NH 20/02/2026: Fields updated: Interface Type, Interface Flow.</v>
      </c>
      <c r="Q180" s="2" t="str">
        <f>_xlfn.LET(
    _xlpm.status, _xlfn.XLOOKUP($A180,'EA-ConnectorExport'!$A:$A,'EA-ConnectorExport'!G:G),
    _xlpm.result, _xlfn.XLOOKUP($A180,'EA-ConnectorExport'!$A:$A,'EA-ConnectorExport'!B:B),
    IF(_xlpm.status="allocate", _xlpm.result, "")
)</f>
        <v>859DC-1410-001-001 HaulX Dispatch (Fleet Management System (FMS))</v>
      </c>
      <c r="R180" s="2" t="str">
        <f>IF(
    _xlfn.XLOOKUP($Q180,'EA-Fortescue_SDExport'!A:A,'EA-Fortescue_SDExport'!B:B)="Object",
    _xlfn.XLOOKUP(
        _xlfn.XLOOKUP($A180,'EA-ConnectorExport'!A:A,'EA-ConnectorExport'!D:D),
        'EA-Fortescue_SDExport'!A:A,
        'EA-Fortescue_SDExport'!AA:AA
    ),
    _xlfn.XLOOKUP($Q180,'EA-Fortescue_SDExport'!A:A,'EA-Fortescue_SDExport'!AA:AA)
)</f>
        <v>Subsystem</v>
      </c>
      <c r="S180" s="2" t="str">
        <f>_xlfn.LET(_xlpm.result, _xlfn.XLOOKUP($Q180,'EA-Fortescue_SDExport'!$A:$A,'EA-Fortescue_SDExport'!AB:AB), IF(_xlpm.result=0,"",_xlpm.result))</f>
        <v/>
      </c>
      <c r="T180" s="2" t="str">
        <f>_xlfn.LET(_xlpm.result, _xlfn.XLOOKUP($Q180,'EA-Fortescue_SDExport'!$A:$A,'EA-Fortescue_SDExport'!AC:AC), IF(_xlpm.result=0,"",_xlpm.result))</f>
        <v/>
      </c>
      <c r="U180" s="2" t="str">
        <f>_xlfn.LET(
    _xlpm.isObject, _xlfn.XLOOKUP($Q180,'EA-Fortescue_SDExport'!A:A,'EA-Fortescue_SDExport'!B:B),
    _xlpm.lookupKey, IF(_xlpm.isObject="Object",
        _xlfn.XLOOKUP($A180,'EA-ConnectorExport'!A:A,'EA-ConnectorExport'!D:D),
        $Q180
    ),
    _xlpm.result, _xlfn.XLOOKUP(_xlpm.lookupKey,'EA-Fortescue_SDExport'!A:A,'EA-Fortescue_SDExport'!AD:AD),
    IF(_xlpm.result=0,"",_xlpm.result)
)</f>
        <v>859DC HaulX</v>
      </c>
      <c r="V180" s="2" t="str">
        <f>_xlfn.LET(
    _xlpm.isObject, _xlfn.XLOOKUP($Q180,'EA-Fortescue_SDExport'!A:A,'EA-Fortescue_SDExport'!B:B),
    _xlpm.lookupKey, IF(_xlpm.isObject="Object",
        _xlfn.XLOOKUP($A180,'EA-ConnectorExport'!A:A,'EA-ConnectorExport'!D:D),
        $Q180
    ),
    _xlpm.result, _xlfn.XLOOKUP(_xlpm.lookupKey,'EA-Fortescue_SDExport'!A:A,'EA-Fortescue_SDExport'!AE:AE),
    IF(_xlpm.result=0,"",_xlpm.result)
)</f>
        <v/>
      </c>
      <c r="W180" s="2" t="str">
        <f>_xlfn.LET(
    _xlpm.isObject, _xlfn.XLOOKUP($Q180,'EA-Fortescue_SDExport'!A:A,'EA-Fortescue_SDExport'!B:B),
    _xlpm.lookupKey, IF(_xlpm.isObject="Object",
        _xlfn.XLOOKUP($A180,'EA-ConnectorExport'!A:A,'EA-ConnectorExport'!D:D),
        $Q180
    ),
    _xlpm.result, _xlfn.XLOOKUP(_xlpm.lookupKey,'EA-Fortescue_SDExport'!A:A,'EA-Fortescue_SDExport'!AF:AF),
    IF(_xlpm.result=0,"",_xlpm.result)
)</f>
        <v>859DC-1410-001 HaulX</v>
      </c>
      <c r="X180" s="2" t="str">
        <f>_xlfn.LET(
    _xlpm.isObject, _xlfn.XLOOKUP($Q180,'EA-Fortescue_SDExport'!A:A,'EA-Fortescue_SDExport'!B:B),
    _xlpm.lookupKey, IF(_xlpm.isObject="Object",
        _xlfn.XLOOKUP($A180,'EA-ConnectorExport'!A:A,'EA-ConnectorExport'!D:D),
        $Q180
    ),
    _xlpm.result, _xlfn.XLOOKUP(_xlpm.lookupKey,'EA-Fortescue_SDExport'!A:A,'EA-Fortescue_SDExport'!AG:AG),
    IF(_xlpm.result=0,"",_xlpm.result)
)</f>
        <v>859DC-1410-001-001 HaulX Dispatch (Fleet Management System (FMS))</v>
      </c>
      <c r="Y180" s="2" t="str">
        <f>_xlfn.LET(
    _xlpm.status, _xlfn.XLOOKUP($A180,'EA-ConnectorExport'!$A:$A,'EA-ConnectorExport'!G:G),
    _xlpm.result, _xlfn.XLOOKUP($A180,'EA-ConnectorExport'!$A:$A,'EA-ConnectorExport'!H:H),
    IF(_xlpm.status="allocate", _xlpm.result, "")
)</f>
        <v>851DC Heavy Mobile Equipment (HME)</v>
      </c>
      <c r="Z180" s="2" t="str">
        <f>_xlfn.LET(
    _xlpm.isObject, _xlfn.XLOOKUP($Y180,'EA-Fortescue_SDExport'!A:A,'EA-Fortescue_SDExport'!B:B),
    _xlpm.lookupKey, IF(_xlpm.isObject="Object",
        _xlfn.XLOOKUP($A180,'EA-ConnectorExport'!A:A,'EA-ConnectorExport'!J:J),
        $Y180
    ),
    _xlpm.result, _xlfn.XLOOKUP(_xlpm.lookupKey,'EA-Fortescue_SDExport'!A:A,'EA-Fortescue_SDExport'!AA:AA),
    IF(_xlpm.result=0,"",_xlpm.result)
)</f>
        <v>Program</v>
      </c>
      <c r="AA180" s="2" t="str">
        <f>_xlfn.LET(_xlpm.result, _xlfn.XLOOKUP($Y180,'EA-Fortescue_SDExport'!$A:$A,'EA-Fortescue_SDExport'!AB:AB), IF(_xlpm.result=0,"",_xlpm.result))</f>
        <v/>
      </c>
      <c r="AB180" s="2" t="str">
        <f>_xlfn.LET(_xlpm.result, _xlfn.XLOOKUP($Y180,'EA-Fortescue_SDExport'!$A:$A,'EA-Fortescue_SDExport'!AC:AC), IF(_xlpm.result=0,"",_xlpm.result))</f>
        <v>Generic Physical Asset</v>
      </c>
      <c r="AC180" s="2" t="str">
        <f>_xlfn.LET(
    _xlpm.isObject, _xlfn.XLOOKUP($Y180,'EA-Fortescue_SDExport'!A:A,'EA-Fortescue_SDExport'!B:B),
    _xlpm.lookupKey, IF(_xlpm.isObject="Object",
        _xlfn.XLOOKUP($A180,'EA-ConnectorExport'!A:A,'EA-ConnectorExport'!J:J),
        $Y180
    ),
    _xlpm.result, _xlfn.XLOOKUP(_xlpm.lookupKey,'EA-Fortescue_SDExport'!A:A,'EA-Fortescue_SDExport'!AD:AD),
    IF(_xlpm.result=0,"",_xlpm.result)
)</f>
        <v>851DC Heavy Mobile Equipment (HME)</v>
      </c>
      <c r="AD180" s="2" t="str">
        <f>_xlfn.LET(
    _xlpm.isObject, _xlfn.XLOOKUP($Y180,'EA-Fortescue_SDExport'!A:A,'EA-Fortescue_SDExport'!B:B),
    _xlpm.lookupKey, IF(_xlpm.isObject="Object",
        _xlfn.XLOOKUP($A180,'EA-ConnectorExport'!A:A,'EA-ConnectorExport'!J:J),
        $Y180
    ),
    _xlpm.result, _xlfn.XLOOKUP(_xlpm.lookupKey,'EA-Fortescue_SDExport'!A:A,'EA-Fortescue_SDExport'!AE:AE),
    IF(_xlpm.result=0,"",_xlpm.result)
)</f>
        <v/>
      </c>
      <c r="AE180" s="2" t="str">
        <f>_xlfn.LET(
    _xlpm.isObject, _xlfn.XLOOKUP($Y180,'EA-Fortescue_SDExport'!A:A,'EA-Fortescue_SDExport'!B:B),
    _xlpm.lookupKey, IF(_xlpm.isObject="Object",
        _xlfn.XLOOKUP($A180,'EA-ConnectorExport'!A:A,'EA-ConnectorExport'!J:J),
        $Y180
    ),
    _xlpm.result, _xlfn.XLOOKUP(_xlpm.lookupKey,'EA-Fortescue_SDExport'!A:A,'EA-Fortescue_SDExport'!AF:AF),
    IF(_xlpm.result=0,"",_xlpm.result)
)</f>
        <v/>
      </c>
      <c r="AF180" s="2" t="str">
        <f>_xlfn.LET(
    _xlpm.isObject, _xlfn.XLOOKUP($Y180,'EA-Fortescue_SDExport'!A:A,'EA-Fortescue_SDExport'!B:B),
    _xlpm.lookupKey, IF(_xlpm.isObject="Object",
        _xlfn.XLOOKUP($A180,'EA-ConnectorExport'!A:A,'EA-ConnectorExport'!J:J),
        $Y180
    ),
    _xlpm.result, _xlfn.XLOOKUP(_xlpm.lookupKey,'EA-Fortescue_SDExport'!A:A,'EA-Fortescue_SDExport'!AG:AG),
    IF(_xlpm.result=0,"",_xlpm.result)
)</f>
        <v/>
      </c>
    </row>
    <row r="181" spans="1:32" ht="240" x14ac:dyDescent="0.25">
      <c r="A181" s="2" t="str">
        <v>DGS-I_0180</v>
      </c>
      <c r="B181" s="2" t="str">
        <f t="shared" si="8"/>
        <v>Archive - 852DC Light Mobile Equipment (LME)|859DC-1410-001-004 HaulX Shield (Collision Avoidance System)</v>
      </c>
      <c r="C181" s="2" t="str">
        <f>_xlfn.LET(_xlpm.result, _xlfn.XLOOKUP(A181,'EA-Fortescue_SDExport'!A:A,'EA-Fortescue_SDExport'!AM:AM), IF(_xlpm.result=0,"",_xlpm.result))</f>
        <v/>
      </c>
      <c r="D181" s="2" t="str">
        <f>_xlfn.LET(_xlpm.result, _xlfn.XLOOKUP(A181,'EA-Fortescue_SDExport'!A:A,'EA-Fortescue_SDExport'!AN:AN), IF(_xlpm.result=0,"",_xlpm.result))</f>
        <v/>
      </c>
      <c r="E181" s="2" t="str">
        <f>_xlfn.XLOOKUP(R181&amp;Z181,Lookups!A:A,Lookups!B:B)</f>
        <v>Program - Subsystem Interface</v>
      </c>
      <c r="F181" s="2" t="str">
        <f>_xlfn.LET(_xlpm.result, _xlfn.XLOOKUP(A181,'EA-Fortescue_SDExport'!A:A,'EA-Fortescue_SDExport'!AP:AP), IF(_xlpm.result=0,"",_xlpm.result))</f>
        <v>Technical-Data/Software</v>
      </c>
      <c r="G181" s="2" t="str">
        <f>IF(OR(AND(T181&lt;&gt;"", COUNTIF(Lookups!J:J, "*"&amp;T181&amp;"*")&gt;0), AND(AB181&lt;&gt;"", COUNTIF(Lookups!J:J, "*"&amp;AB181&amp;"*")&gt;0)), "Yes", "No")</f>
        <v>No</v>
      </c>
      <c r="H181" s="2" t="str">
        <f t="shared" si="9"/>
        <v>N/A|859DC HaulX</v>
      </c>
      <c r="I181" s="2" t="str">
        <f t="shared" si="10"/>
        <v>N/A</v>
      </c>
      <c r="J181" s="2" t="str">
        <f t="shared" si="11"/>
        <v>N/A|859DC-1410-001 HaulX</v>
      </c>
      <c r="K181" s="2" t="str">
        <f>_xlfn.XLOOKUP(A181,'EA-Fortescue_SDExport'!A:A,'EA-Fortescue_SDExport'!N:N)</f>
        <v>Deleted</v>
      </c>
      <c r="L181" s="2" t="str">
        <f>_xlfn.LET(_xlpm.result, _xlfn.XLOOKUP($A181,'EA-Fortescue_SDExport'!$A:$A,'EA-Fortescue_SDExport'!AQ:AQ), IF(_xlpm.result=0,"",_xlpm.result))</f>
        <v>This interface supplies HaulX Shield with LME location, direction, and identification data to keep LME visible within the collision-avoidance system.</v>
      </c>
      <c r="M181" s="2" t="str">
        <f>_xlfn.LET(_xlpm.result, _xlfn.XLOOKUP($A181,'EA-Fortescue_SDExport'!$A:$A,'EA-Fortescue_SDExport'!AR:AR), IF(_xlpm.result=0,"",_xlpm.result))</f>
        <v>HIGH</v>
      </c>
      <c r="N181" s="2" t="str">
        <f>_xlfn.LET(_xlpm.result, _xlfn.XLOOKUP($A181,'EA-Fortescue_SDExport'!$A:$A,'EA-Fortescue_SDExport'!AW:AW), IF(_xlpm.result=0,"",_xlpm.result))</f>
        <v>The criticality level is HIGH because missing or incorrect LME positional data may cause blind spots in safety coverage for autonomous or assisted haulage operations. LME frequently travel through shared areas with haul trucks, and loss of visibility introduces unacceptable collision risk.</v>
      </c>
      <c r="O181" s="2" t="str">
        <f>_xlfn.LET(_xlpm.result, _xlfn.XLOOKUP($A181,'EA-Fortescue_SDExport'!$A:$A,'EA-Fortescue_SDExport'!AV:AV), IF(_xlpm.result=0,"",_xlpm.result))</f>
        <v/>
      </c>
      <c r="P181" s="2" t="str">
        <f>_xlfn.LET(_xlpm.result, _xlfn.XLOOKUP($A181,'EA-Fortescue_SDExport'!$A:$A,'EA-Fortescue_SDExport'!D:D), IF(_xlpm.result=0,"",_xlpm.result))</f>
        <v>SBS-WBS Mapping 02/01/2026: Delete LME &amp;amp; Merge LME &amp;amp; SME to combined Program Level - Interface deleted.</v>
      </c>
      <c r="Q181" s="2" t="str">
        <f>_xlfn.LET(
    _xlpm.status, _xlfn.XLOOKUP($A181,'EA-ConnectorExport'!$A:$A,'EA-ConnectorExport'!G:G),
    _xlpm.result, _xlfn.XLOOKUP($A181,'EA-ConnectorExport'!$A:$A,'EA-ConnectorExport'!B:B),
    IF(_xlpm.status="allocate", _xlpm.result, "")
)</f>
        <v>Archive - 852DC Light Mobile Equipment (LME)</v>
      </c>
      <c r="R181" s="2" t="str">
        <f>IF(
    _xlfn.XLOOKUP($Q181,'EA-Fortescue_SDExport'!A:A,'EA-Fortescue_SDExport'!B:B)="Object",
    _xlfn.XLOOKUP(
        _xlfn.XLOOKUP($A181,'EA-ConnectorExport'!A:A,'EA-ConnectorExport'!D:D),
        'EA-Fortescue_SDExport'!A:A,
        'EA-Fortescue_SDExport'!AA:AA
    ),
    _xlfn.XLOOKUP($Q181,'EA-Fortescue_SDExport'!A:A,'EA-Fortescue_SDExport'!AA:AA)
)</f>
        <v>Program</v>
      </c>
      <c r="S181" s="2" t="str">
        <f>_xlfn.LET(_xlpm.result, _xlfn.XLOOKUP($Q181,'EA-Fortescue_SDExport'!$A:$A,'EA-Fortescue_SDExport'!AB:AB), IF(_xlpm.result=0,"",_xlpm.result))</f>
        <v/>
      </c>
      <c r="T181" s="2" t="str">
        <f>_xlfn.LET(_xlpm.result, _xlfn.XLOOKUP($Q181,'EA-Fortescue_SDExport'!$A:$A,'EA-Fortescue_SDExport'!AC:AC), IF(_xlpm.result=0,"",_xlpm.result))</f>
        <v>Generic Physical Asset</v>
      </c>
      <c r="U181" s="2" t="str">
        <f>_xlfn.LET(
    _xlpm.isObject, _xlfn.XLOOKUP($Q181,'EA-Fortescue_SDExport'!A:A,'EA-Fortescue_SDExport'!B:B),
    _xlpm.lookupKey, IF(_xlpm.isObject="Object",
        _xlfn.XLOOKUP($A181,'EA-ConnectorExport'!A:A,'EA-ConnectorExport'!D:D),
        $Q181
    ),
    _xlpm.result, _xlfn.XLOOKUP(_xlpm.lookupKey,'EA-Fortescue_SDExport'!A:A,'EA-Fortescue_SDExport'!AD:AD),
    IF(_xlpm.result=0,"",_xlpm.result)
)</f>
        <v/>
      </c>
      <c r="V181" s="2" t="str">
        <f>_xlfn.LET(
    _xlpm.isObject, _xlfn.XLOOKUP($Q181,'EA-Fortescue_SDExport'!A:A,'EA-Fortescue_SDExport'!B:B),
    _xlpm.lookupKey, IF(_xlpm.isObject="Object",
        _xlfn.XLOOKUP($A181,'EA-ConnectorExport'!A:A,'EA-ConnectorExport'!D:D),
        $Q181
    ),
    _xlpm.result, _xlfn.XLOOKUP(_xlpm.lookupKey,'EA-Fortescue_SDExport'!A:A,'EA-Fortescue_SDExport'!AE:AE),
    IF(_xlpm.result=0,"",_xlpm.result)
)</f>
        <v/>
      </c>
      <c r="W181" s="2" t="str">
        <f>_xlfn.LET(
    _xlpm.isObject, _xlfn.XLOOKUP($Q181,'EA-Fortescue_SDExport'!A:A,'EA-Fortescue_SDExport'!B:B),
    _xlpm.lookupKey, IF(_xlpm.isObject="Object",
        _xlfn.XLOOKUP($A181,'EA-ConnectorExport'!A:A,'EA-ConnectorExport'!D:D),
        $Q181
    ),
    _xlpm.result, _xlfn.XLOOKUP(_xlpm.lookupKey,'EA-Fortescue_SDExport'!A:A,'EA-Fortescue_SDExport'!AF:AF),
    IF(_xlpm.result=0,"",_xlpm.result)
)</f>
        <v/>
      </c>
      <c r="X181" s="2" t="str">
        <f>_xlfn.LET(
    _xlpm.isObject, _xlfn.XLOOKUP($Q181,'EA-Fortescue_SDExport'!A:A,'EA-Fortescue_SDExport'!B:B),
    _xlpm.lookupKey, IF(_xlpm.isObject="Object",
        _xlfn.XLOOKUP($A181,'EA-ConnectorExport'!A:A,'EA-ConnectorExport'!D:D),
        $Q181
    ),
    _xlpm.result, _xlfn.XLOOKUP(_xlpm.lookupKey,'EA-Fortescue_SDExport'!A:A,'EA-Fortescue_SDExport'!AG:AG),
    IF(_xlpm.result=0,"",_xlpm.result)
)</f>
        <v/>
      </c>
      <c r="Y181" s="2" t="str">
        <f>_xlfn.LET(
    _xlpm.status, _xlfn.XLOOKUP($A181,'EA-ConnectorExport'!$A:$A,'EA-ConnectorExport'!G:G),
    _xlpm.result, _xlfn.XLOOKUP($A181,'EA-ConnectorExport'!$A:$A,'EA-ConnectorExport'!H:H),
    IF(_xlpm.status="allocate", _xlpm.result, "")
)</f>
        <v>859DC-1410-001-004 HaulX Shield (Collision Avoidance System)</v>
      </c>
      <c r="Z181" s="2" t="str">
        <f>_xlfn.LET(
    _xlpm.isObject, _xlfn.XLOOKUP($Y181,'EA-Fortescue_SDExport'!A:A,'EA-Fortescue_SDExport'!B:B),
    _xlpm.lookupKey, IF(_xlpm.isObject="Object",
        _xlfn.XLOOKUP($A181,'EA-ConnectorExport'!A:A,'EA-ConnectorExport'!J:J),
        $Y181
    ),
    _xlpm.result, _xlfn.XLOOKUP(_xlpm.lookupKey,'EA-Fortescue_SDExport'!A:A,'EA-Fortescue_SDExport'!AA:AA),
    IF(_xlpm.result=0,"",_xlpm.result)
)</f>
        <v>Subsystem</v>
      </c>
      <c r="AA181" s="2" t="str">
        <f>_xlfn.LET(_xlpm.result, _xlfn.XLOOKUP($Y181,'EA-Fortescue_SDExport'!$A:$A,'EA-Fortescue_SDExport'!AB:AB), IF(_xlpm.result=0,"",_xlpm.result))</f>
        <v/>
      </c>
      <c r="AB181" s="2" t="str">
        <f>_xlfn.LET(_xlpm.result, _xlfn.XLOOKUP($Y181,'EA-Fortescue_SDExport'!$A:$A,'EA-Fortescue_SDExport'!AC:AC), IF(_xlpm.result=0,"",_xlpm.result))</f>
        <v/>
      </c>
      <c r="AC181" s="2" t="str">
        <f>_xlfn.LET(
    _xlpm.isObject, _xlfn.XLOOKUP($Y181,'EA-Fortescue_SDExport'!A:A,'EA-Fortescue_SDExport'!B:B),
    _xlpm.lookupKey, IF(_xlpm.isObject="Object",
        _xlfn.XLOOKUP($A181,'EA-ConnectorExport'!A:A,'EA-ConnectorExport'!J:J),
        $Y181
    ),
    _xlpm.result, _xlfn.XLOOKUP(_xlpm.lookupKey,'EA-Fortescue_SDExport'!A:A,'EA-Fortescue_SDExport'!AD:AD),
    IF(_xlpm.result=0,"",_xlpm.result)
)</f>
        <v>859DC HaulX</v>
      </c>
      <c r="AD181" s="2" t="str">
        <f>_xlfn.LET(
    _xlpm.isObject, _xlfn.XLOOKUP($Y181,'EA-Fortescue_SDExport'!A:A,'EA-Fortescue_SDExport'!B:B),
    _xlpm.lookupKey, IF(_xlpm.isObject="Object",
        _xlfn.XLOOKUP($A181,'EA-ConnectorExport'!A:A,'EA-ConnectorExport'!J:J),
        $Y181
    ),
    _xlpm.result, _xlfn.XLOOKUP(_xlpm.lookupKey,'EA-Fortescue_SDExport'!A:A,'EA-Fortescue_SDExport'!AE:AE),
    IF(_xlpm.result=0,"",_xlpm.result)
)</f>
        <v/>
      </c>
      <c r="AE181" s="2" t="str">
        <f>_xlfn.LET(
    _xlpm.isObject, _xlfn.XLOOKUP($Y181,'EA-Fortescue_SDExport'!A:A,'EA-Fortescue_SDExport'!B:B),
    _xlpm.lookupKey, IF(_xlpm.isObject="Object",
        _xlfn.XLOOKUP($A181,'EA-ConnectorExport'!A:A,'EA-ConnectorExport'!J:J),
        $Y181
    ),
    _xlpm.result, _xlfn.XLOOKUP(_xlpm.lookupKey,'EA-Fortescue_SDExport'!A:A,'EA-Fortescue_SDExport'!AF:AF),
    IF(_xlpm.result=0,"",_xlpm.result)
)</f>
        <v>859DC-1410-001 HaulX</v>
      </c>
      <c r="AF181" s="2" t="str">
        <f>_xlfn.LET(
    _xlpm.isObject, _xlfn.XLOOKUP($Y181,'EA-Fortescue_SDExport'!A:A,'EA-Fortescue_SDExport'!B:B),
    _xlpm.lookupKey, IF(_xlpm.isObject="Object",
        _xlfn.XLOOKUP($A181,'EA-ConnectorExport'!A:A,'EA-ConnectorExport'!J:J),
        $Y181
    ),
    _xlpm.result, _xlfn.XLOOKUP(_xlpm.lookupKey,'EA-Fortescue_SDExport'!A:A,'EA-Fortescue_SDExport'!AG:AG),
    IF(_xlpm.result=0,"",_xlpm.result)
)</f>
        <v>859DC-1410-001-004 HaulX Shield (Collision Avoidance System)</v>
      </c>
    </row>
    <row r="182" spans="1:32" ht="270" x14ac:dyDescent="0.25">
      <c r="A182" s="2" t="str">
        <v>DGS-I_0181</v>
      </c>
      <c r="B182" s="2" t="str">
        <f t="shared" si="8"/>
        <v>859DC-1410-001-004 HaulX Shield (Collision Avoidance System)|851DC Heavy Mobile Equipment (HME)</v>
      </c>
      <c r="C182" s="2" t="str">
        <f>_xlfn.LET(_xlpm.result, _xlfn.XLOOKUP(A182,'EA-Fortescue_SDExport'!A:A,'EA-Fortescue_SDExport'!AM:AM), IF(_xlpm.result=0,"",_xlpm.result))</f>
        <v/>
      </c>
      <c r="D182" s="2" t="str">
        <f>_xlfn.LET(_xlpm.result, _xlfn.XLOOKUP(A182,'EA-Fortescue_SDExport'!A:A,'EA-Fortescue_SDExport'!AN:AN), IF(_xlpm.result=0,"",_xlpm.result))</f>
        <v/>
      </c>
      <c r="E182" s="2" t="str">
        <f>_xlfn.XLOOKUP(R182&amp;Z182,Lookups!A:A,Lookups!B:B)</f>
        <v>Program - Subsystem Interface</v>
      </c>
      <c r="F182" s="2" t="str">
        <f>_xlfn.LET(_xlpm.result, _xlfn.XLOOKUP(A182,'EA-Fortescue_SDExport'!A:A,'EA-Fortescue_SDExport'!AP:AP), IF(_xlpm.result=0,"",_xlpm.result))</f>
        <v>Technical-Data/Software</v>
      </c>
      <c r="G182" s="2" t="str">
        <f>IF(OR(AND(T182&lt;&gt;"", COUNTIF(Lookups!J:J, "*"&amp;T182&amp;"*")&gt;0), AND(AB182&lt;&gt;"", COUNTIF(Lookups!J:J, "*"&amp;AB182&amp;"*")&gt;0)), "Yes", "No")</f>
        <v>No</v>
      </c>
      <c r="H182" s="2" t="str">
        <f t="shared" si="9"/>
        <v>859DC HaulX|851DC Heavy Mobile Equipment (HME)</v>
      </c>
      <c r="I182" s="2" t="str">
        <f t="shared" si="10"/>
        <v>N/A</v>
      </c>
      <c r="J182" s="2" t="str">
        <f t="shared" si="11"/>
        <v>859DC-1410-001 HaulX|N/A</v>
      </c>
      <c r="K182" s="2" t="str">
        <f>_xlfn.XLOOKUP(A182,'EA-Fortescue_SDExport'!A:A,'EA-Fortescue_SDExport'!N:N)</f>
        <v>Proposed</v>
      </c>
      <c r="L182" s="2" t="str">
        <f>_xlfn.LET(_xlpm.result, _xlfn.XLOOKUP($A182,'EA-Fortescue_SDExport'!$A:$A,'EA-Fortescue_SDExport'!AQ:AQ), IF(_xlpm.result=0,"",_xlpm.result))</f>
        <v>This interface connects HaulX Shield with HME, so collision-avoidance logic can incorporate accurate HME positional, velocity, and sensor data.</v>
      </c>
      <c r="M182" s="2" t="str">
        <f>_xlfn.LET(_xlpm.result, _xlfn.XLOOKUP($A182,'EA-Fortescue_SDExport'!$A:$A,'EA-Fortescue_SDExport'!AR:AR), IF(_xlpm.result=0,"",_xlpm.result))</f>
        <v>HIGH</v>
      </c>
      <c r="N182" s="2" t="str">
        <f>_xlfn.LET(_xlpm.result, _xlfn.XLOOKUP($A182,'EA-Fortescue_SDExport'!$A:$A,'EA-Fortescue_SDExport'!AW:AW), IF(_xlpm.result=0,"",_xlpm.result))</f>
        <v>The criticality level is HIGH because HME regularly interacts with haul trucks during loading, dumping, and maintenance, and failing to detect them accurately could lead to serious safety incidents. Collision-avoidance must integrate both truck and HME movements to ensure safe clearances and prevent vehicle interactions.</v>
      </c>
      <c r="O182" s="2" t="str">
        <f>_xlfn.LET(_xlpm.result, _xlfn.XLOOKUP($A182,'EA-Fortescue_SDExport'!$A:$A,'EA-Fortescue_SDExport'!AV:AV), IF(_xlpm.result=0,"",_xlpm.result))</f>
        <v>Data Flow: Heavy Mobile Equipment (HME) -&gt; HaulX Shield (real-time position, speed, heading, trajectory, proximity sensor data, equipment ID, operational status, sensor health) to support collision-avoidance and mixed-traffic safety logic.</v>
      </c>
      <c r="P182" s="2" t="str">
        <f>_xlfn.LET(_xlpm.result, _xlfn.XLOOKUP($A182,'EA-Fortescue_SDExport'!$A:$A,'EA-Fortescue_SDExport'!D:D), IF(_xlpm.result=0,"",_xlpm.result))</f>
        <v/>
      </c>
      <c r="Q182" s="2" t="str">
        <f>_xlfn.LET(
    _xlpm.status, _xlfn.XLOOKUP($A182,'EA-ConnectorExport'!$A:$A,'EA-ConnectorExport'!G:G),
    _xlpm.result, _xlfn.XLOOKUP($A182,'EA-ConnectorExport'!$A:$A,'EA-ConnectorExport'!B:B),
    IF(_xlpm.status="allocate", _xlpm.result, "")
)</f>
        <v>859DC-1410-001-004 HaulX Shield (Collision Avoidance System)</v>
      </c>
      <c r="R182" s="2" t="str">
        <f>IF(
    _xlfn.XLOOKUP($Q182,'EA-Fortescue_SDExport'!A:A,'EA-Fortescue_SDExport'!B:B)="Object",
    _xlfn.XLOOKUP(
        _xlfn.XLOOKUP($A182,'EA-ConnectorExport'!A:A,'EA-ConnectorExport'!D:D),
        'EA-Fortescue_SDExport'!A:A,
        'EA-Fortescue_SDExport'!AA:AA
    ),
    _xlfn.XLOOKUP($Q182,'EA-Fortescue_SDExport'!A:A,'EA-Fortescue_SDExport'!AA:AA)
)</f>
        <v>Subsystem</v>
      </c>
      <c r="S182" s="2" t="str">
        <f>_xlfn.LET(_xlpm.result, _xlfn.XLOOKUP($Q182,'EA-Fortescue_SDExport'!$A:$A,'EA-Fortescue_SDExport'!AB:AB), IF(_xlpm.result=0,"",_xlpm.result))</f>
        <v/>
      </c>
      <c r="T182" s="2" t="str">
        <f>_xlfn.LET(_xlpm.result, _xlfn.XLOOKUP($Q182,'EA-Fortescue_SDExport'!$A:$A,'EA-Fortescue_SDExport'!AC:AC), IF(_xlpm.result=0,"",_xlpm.result))</f>
        <v/>
      </c>
      <c r="U182" s="2" t="str">
        <f>_xlfn.LET(
    _xlpm.isObject, _xlfn.XLOOKUP($Q182,'EA-Fortescue_SDExport'!A:A,'EA-Fortescue_SDExport'!B:B),
    _xlpm.lookupKey, IF(_xlpm.isObject="Object",
        _xlfn.XLOOKUP($A182,'EA-ConnectorExport'!A:A,'EA-ConnectorExport'!D:D),
        $Q182
    ),
    _xlpm.result, _xlfn.XLOOKUP(_xlpm.lookupKey,'EA-Fortescue_SDExport'!A:A,'EA-Fortescue_SDExport'!AD:AD),
    IF(_xlpm.result=0,"",_xlpm.result)
)</f>
        <v>859DC HaulX</v>
      </c>
      <c r="V182" s="2" t="str">
        <f>_xlfn.LET(
    _xlpm.isObject, _xlfn.XLOOKUP($Q182,'EA-Fortescue_SDExport'!A:A,'EA-Fortescue_SDExport'!B:B),
    _xlpm.lookupKey, IF(_xlpm.isObject="Object",
        _xlfn.XLOOKUP($A182,'EA-ConnectorExport'!A:A,'EA-ConnectorExport'!D:D),
        $Q182
    ),
    _xlpm.result, _xlfn.XLOOKUP(_xlpm.lookupKey,'EA-Fortescue_SDExport'!A:A,'EA-Fortescue_SDExport'!AE:AE),
    IF(_xlpm.result=0,"",_xlpm.result)
)</f>
        <v/>
      </c>
      <c r="W182" s="2" t="str">
        <f>_xlfn.LET(
    _xlpm.isObject, _xlfn.XLOOKUP($Q182,'EA-Fortescue_SDExport'!A:A,'EA-Fortescue_SDExport'!B:B),
    _xlpm.lookupKey, IF(_xlpm.isObject="Object",
        _xlfn.XLOOKUP($A182,'EA-ConnectorExport'!A:A,'EA-ConnectorExport'!D:D),
        $Q182
    ),
    _xlpm.result, _xlfn.XLOOKUP(_xlpm.lookupKey,'EA-Fortescue_SDExport'!A:A,'EA-Fortescue_SDExport'!AF:AF),
    IF(_xlpm.result=0,"",_xlpm.result)
)</f>
        <v>859DC-1410-001 HaulX</v>
      </c>
      <c r="X182" s="2" t="str">
        <f>_xlfn.LET(
    _xlpm.isObject, _xlfn.XLOOKUP($Q182,'EA-Fortescue_SDExport'!A:A,'EA-Fortescue_SDExport'!B:B),
    _xlpm.lookupKey, IF(_xlpm.isObject="Object",
        _xlfn.XLOOKUP($A182,'EA-ConnectorExport'!A:A,'EA-ConnectorExport'!D:D),
        $Q182
    ),
    _xlpm.result, _xlfn.XLOOKUP(_xlpm.lookupKey,'EA-Fortescue_SDExport'!A:A,'EA-Fortescue_SDExport'!AG:AG),
    IF(_xlpm.result=0,"",_xlpm.result)
)</f>
        <v>859DC-1410-001-004 HaulX Shield (Collision Avoidance System)</v>
      </c>
      <c r="Y182" s="2" t="str">
        <f>_xlfn.LET(
    _xlpm.status, _xlfn.XLOOKUP($A182,'EA-ConnectorExport'!$A:$A,'EA-ConnectorExport'!G:G),
    _xlpm.result, _xlfn.XLOOKUP($A182,'EA-ConnectorExport'!$A:$A,'EA-ConnectorExport'!H:H),
    IF(_xlpm.status="allocate", _xlpm.result, "")
)</f>
        <v>851DC Heavy Mobile Equipment (HME)</v>
      </c>
      <c r="Z182" s="2" t="str">
        <f>_xlfn.LET(
    _xlpm.isObject, _xlfn.XLOOKUP($Y182,'EA-Fortescue_SDExport'!A:A,'EA-Fortescue_SDExport'!B:B),
    _xlpm.lookupKey, IF(_xlpm.isObject="Object",
        _xlfn.XLOOKUP($A182,'EA-ConnectorExport'!A:A,'EA-ConnectorExport'!J:J),
        $Y182
    ),
    _xlpm.result, _xlfn.XLOOKUP(_xlpm.lookupKey,'EA-Fortescue_SDExport'!A:A,'EA-Fortescue_SDExport'!AA:AA),
    IF(_xlpm.result=0,"",_xlpm.result)
)</f>
        <v>Program</v>
      </c>
      <c r="AA182" s="2" t="str">
        <f>_xlfn.LET(_xlpm.result, _xlfn.XLOOKUP($Y182,'EA-Fortescue_SDExport'!$A:$A,'EA-Fortescue_SDExport'!AB:AB), IF(_xlpm.result=0,"",_xlpm.result))</f>
        <v/>
      </c>
      <c r="AB182" s="2" t="str">
        <f>_xlfn.LET(_xlpm.result, _xlfn.XLOOKUP($Y182,'EA-Fortescue_SDExport'!$A:$A,'EA-Fortescue_SDExport'!AC:AC), IF(_xlpm.result=0,"",_xlpm.result))</f>
        <v>Generic Physical Asset</v>
      </c>
      <c r="AC182" s="2" t="str">
        <f>_xlfn.LET(
    _xlpm.isObject, _xlfn.XLOOKUP($Y182,'EA-Fortescue_SDExport'!A:A,'EA-Fortescue_SDExport'!B:B),
    _xlpm.lookupKey, IF(_xlpm.isObject="Object",
        _xlfn.XLOOKUP($A182,'EA-ConnectorExport'!A:A,'EA-ConnectorExport'!J:J),
        $Y182
    ),
    _xlpm.result, _xlfn.XLOOKUP(_xlpm.lookupKey,'EA-Fortescue_SDExport'!A:A,'EA-Fortescue_SDExport'!AD:AD),
    IF(_xlpm.result=0,"",_xlpm.result)
)</f>
        <v>851DC Heavy Mobile Equipment (HME)</v>
      </c>
      <c r="AD182" s="2" t="str">
        <f>_xlfn.LET(
    _xlpm.isObject, _xlfn.XLOOKUP($Y182,'EA-Fortescue_SDExport'!A:A,'EA-Fortescue_SDExport'!B:B),
    _xlpm.lookupKey, IF(_xlpm.isObject="Object",
        _xlfn.XLOOKUP($A182,'EA-ConnectorExport'!A:A,'EA-ConnectorExport'!J:J),
        $Y182
    ),
    _xlpm.result, _xlfn.XLOOKUP(_xlpm.lookupKey,'EA-Fortescue_SDExport'!A:A,'EA-Fortescue_SDExport'!AE:AE),
    IF(_xlpm.result=0,"",_xlpm.result)
)</f>
        <v/>
      </c>
      <c r="AE182" s="2" t="str">
        <f>_xlfn.LET(
    _xlpm.isObject, _xlfn.XLOOKUP($Y182,'EA-Fortescue_SDExport'!A:A,'EA-Fortescue_SDExport'!B:B),
    _xlpm.lookupKey, IF(_xlpm.isObject="Object",
        _xlfn.XLOOKUP($A182,'EA-ConnectorExport'!A:A,'EA-ConnectorExport'!J:J),
        $Y182
    ),
    _xlpm.result, _xlfn.XLOOKUP(_xlpm.lookupKey,'EA-Fortescue_SDExport'!A:A,'EA-Fortescue_SDExport'!AF:AF),
    IF(_xlpm.result=0,"",_xlpm.result)
)</f>
        <v/>
      </c>
      <c r="AF182" s="2" t="str">
        <f>_xlfn.LET(
    _xlpm.isObject, _xlfn.XLOOKUP($Y182,'EA-Fortescue_SDExport'!A:A,'EA-Fortescue_SDExport'!B:B),
    _xlpm.lookupKey, IF(_xlpm.isObject="Object",
        _xlfn.XLOOKUP($A182,'EA-ConnectorExport'!A:A,'EA-ConnectorExport'!J:J),
        $Y182
    ),
    _xlpm.result, _xlfn.XLOOKUP(_xlpm.lookupKey,'EA-Fortescue_SDExport'!A:A,'EA-Fortescue_SDExport'!AG:AG),
    IF(_xlpm.result=0,"",_xlpm.result)
)</f>
        <v/>
      </c>
    </row>
    <row r="183" spans="1:32" ht="225" x14ac:dyDescent="0.25">
      <c r="A183" s="2" t="str">
        <v>DGS-I_0182</v>
      </c>
      <c r="B183" s="2" t="str">
        <f t="shared" si="8"/>
        <v>859DC-1410-001-003 HaulX Precision (High Precision Machine Guidance)|851DC Heavy Mobile Equipment (HME)</v>
      </c>
      <c r="C183" s="2" t="str">
        <f>_xlfn.LET(_xlpm.result, _xlfn.XLOOKUP(A183,'EA-Fortescue_SDExport'!A:A,'EA-Fortescue_SDExport'!AM:AM), IF(_xlpm.result=0,"",_xlpm.result))</f>
        <v/>
      </c>
      <c r="D183" s="2" t="str">
        <f>_xlfn.LET(_xlpm.result, _xlfn.XLOOKUP(A183,'EA-Fortescue_SDExport'!A:A,'EA-Fortescue_SDExport'!AN:AN), IF(_xlpm.result=0,"",_xlpm.result))</f>
        <v/>
      </c>
      <c r="E183" s="2" t="str">
        <f>_xlfn.XLOOKUP(R183&amp;Z183,Lookups!A:A,Lookups!B:B)</f>
        <v>Program - Subsystem Interface</v>
      </c>
      <c r="F183" s="2" t="str">
        <f>_xlfn.LET(_xlpm.result, _xlfn.XLOOKUP(A183,'EA-Fortescue_SDExport'!A:A,'EA-Fortescue_SDExport'!AP:AP), IF(_xlpm.result=0,"",_xlpm.result))</f>
        <v>Technical-Data/Software</v>
      </c>
      <c r="G183" s="2" t="str">
        <f>IF(OR(AND(T183&lt;&gt;"", COUNTIF(Lookups!J:J, "*"&amp;T183&amp;"*")&gt;0), AND(AB183&lt;&gt;"", COUNTIF(Lookups!J:J, "*"&amp;AB183&amp;"*")&gt;0)), "Yes", "No")</f>
        <v>No</v>
      </c>
      <c r="H183" s="2" t="str">
        <f t="shared" si="9"/>
        <v>859DC HaulX|851DC Heavy Mobile Equipment (HME)</v>
      </c>
      <c r="I183" s="2" t="str">
        <f t="shared" si="10"/>
        <v>N/A</v>
      </c>
      <c r="J183" s="2" t="str">
        <f t="shared" si="11"/>
        <v>859DC-1410-001 HaulX|N/A</v>
      </c>
      <c r="K183" s="2" t="str">
        <f>_xlfn.XLOOKUP(A183,'EA-Fortescue_SDExport'!A:A,'EA-Fortescue_SDExport'!N:N)</f>
        <v>Proposed</v>
      </c>
      <c r="L183" s="2" t="str">
        <f>_xlfn.LET(_xlpm.result, _xlfn.XLOOKUP($A183,'EA-Fortescue_SDExport'!$A:$A,'EA-Fortescue_SDExport'!AQ:AQ), IF(_xlpm.result=0,"",_xlpm.result))</f>
        <v>This interface provides precision-guidance data to HME from HaulX Precision, supporting accurate positioning, dump location targeting, and operational efficiency for HME working alongside haul fleets.</v>
      </c>
      <c r="M183" s="2" t="str">
        <f>_xlfn.LET(_xlpm.result, _xlfn.XLOOKUP($A183,'EA-Fortescue_SDExport'!$A:$A,'EA-Fortescue_SDExport'!AR:AR), IF(_xlpm.result=0,"",_xlpm.result))</f>
        <v>MEDIUM</v>
      </c>
      <c r="N183" s="2" t="str">
        <f>_xlfn.LET(_xlpm.result, _xlfn.XLOOKUP($A183,'EA-Fortescue_SDExport'!$A:$A,'EA-Fortescue_SDExport'!AW:AW), IF(_xlpm.result=0,"",_xlpm.result))</f>
        <v>The criticality level is MEDIUM because precision guidance enhances performance, but does not prevent HME from functioning safely if the link fails. Without the interface, HME operators may experience reduced accuracy or slower cycle performance, but production and safety remain intact.</v>
      </c>
      <c r="O183" s="2" t="str">
        <f>_xlfn.LET(_xlpm.result, _xlfn.XLOOKUP($A183,'EA-Fortescue_SDExport'!$A:$A,'EA-Fortescue_SDExport'!AV:AV), IF(_xlpm.result=0,"",_xlpm.result))</f>
        <v>Data Flow: HaulX Precision -&gt; HME (precision guidance coordinates, dump location targets, positioning corrections, task updates, operational guidance data) to support accurate equipment positioning and cycle optimisation.</v>
      </c>
      <c r="P183" s="2" t="str">
        <f>_xlfn.LET(_xlpm.result, _xlfn.XLOOKUP($A183,'EA-Fortescue_SDExport'!$A:$A,'EA-Fortescue_SDExport'!D:D), IF(_xlpm.result=0,"",_xlpm.result))</f>
        <v/>
      </c>
      <c r="Q183" s="2" t="str">
        <f>_xlfn.LET(
    _xlpm.status, _xlfn.XLOOKUP($A183,'EA-ConnectorExport'!$A:$A,'EA-ConnectorExport'!G:G),
    _xlpm.result, _xlfn.XLOOKUP($A183,'EA-ConnectorExport'!$A:$A,'EA-ConnectorExport'!B:B),
    IF(_xlpm.status="allocate", _xlpm.result, "")
)</f>
        <v>859DC-1410-001-003 HaulX Precision (High Precision Machine Guidance)</v>
      </c>
      <c r="R183" s="2" t="str">
        <f>IF(
    _xlfn.XLOOKUP($Q183,'EA-Fortescue_SDExport'!A:A,'EA-Fortescue_SDExport'!B:B)="Object",
    _xlfn.XLOOKUP(
        _xlfn.XLOOKUP($A183,'EA-ConnectorExport'!A:A,'EA-ConnectorExport'!D:D),
        'EA-Fortescue_SDExport'!A:A,
        'EA-Fortescue_SDExport'!AA:AA
    ),
    _xlfn.XLOOKUP($Q183,'EA-Fortescue_SDExport'!A:A,'EA-Fortescue_SDExport'!AA:AA)
)</f>
        <v>Subsystem</v>
      </c>
      <c r="S183" s="2" t="str">
        <f>_xlfn.LET(_xlpm.result, _xlfn.XLOOKUP($Q183,'EA-Fortescue_SDExport'!$A:$A,'EA-Fortescue_SDExport'!AB:AB), IF(_xlpm.result=0,"",_xlpm.result))</f>
        <v/>
      </c>
      <c r="T183" s="2" t="str">
        <f>_xlfn.LET(_xlpm.result, _xlfn.XLOOKUP($Q183,'EA-Fortescue_SDExport'!$A:$A,'EA-Fortescue_SDExport'!AC:AC), IF(_xlpm.result=0,"",_xlpm.result))</f>
        <v/>
      </c>
      <c r="U183" s="2" t="str">
        <f>_xlfn.LET(
    _xlpm.isObject, _xlfn.XLOOKUP($Q183,'EA-Fortescue_SDExport'!A:A,'EA-Fortescue_SDExport'!B:B),
    _xlpm.lookupKey, IF(_xlpm.isObject="Object",
        _xlfn.XLOOKUP($A183,'EA-ConnectorExport'!A:A,'EA-ConnectorExport'!D:D),
        $Q183
    ),
    _xlpm.result, _xlfn.XLOOKUP(_xlpm.lookupKey,'EA-Fortescue_SDExport'!A:A,'EA-Fortescue_SDExport'!AD:AD),
    IF(_xlpm.result=0,"",_xlpm.result)
)</f>
        <v>859DC HaulX</v>
      </c>
      <c r="V183" s="2" t="str">
        <f>_xlfn.LET(
    _xlpm.isObject, _xlfn.XLOOKUP($Q183,'EA-Fortescue_SDExport'!A:A,'EA-Fortescue_SDExport'!B:B),
    _xlpm.lookupKey, IF(_xlpm.isObject="Object",
        _xlfn.XLOOKUP($A183,'EA-ConnectorExport'!A:A,'EA-ConnectorExport'!D:D),
        $Q183
    ),
    _xlpm.result, _xlfn.XLOOKUP(_xlpm.lookupKey,'EA-Fortescue_SDExport'!A:A,'EA-Fortescue_SDExport'!AE:AE),
    IF(_xlpm.result=0,"",_xlpm.result)
)</f>
        <v/>
      </c>
      <c r="W183" s="2" t="str">
        <f>_xlfn.LET(
    _xlpm.isObject, _xlfn.XLOOKUP($Q183,'EA-Fortescue_SDExport'!A:A,'EA-Fortescue_SDExport'!B:B),
    _xlpm.lookupKey, IF(_xlpm.isObject="Object",
        _xlfn.XLOOKUP($A183,'EA-ConnectorExport'!A:A,'EA-ConnectorExport'!D:D),
        $Q183
    ),
    _xlpm.result, _xlfn.XLOOKUP(_xlpm.lookupKey,'EA-Fortescue_SDExport'!A:A,'EA-Fortescue_SDExport'!AF:AF),
    IF(_xlpm.result=0,"",_xlpm.result)
)</f>
        <v>859DC-1410-001 HaulX</v>
      </c>
      <c r="X183" s="2" t="str">
        <f>_xlfn.LET(
    _xlpm.isObject, _xlfn.XLOOKUP($Q183,'EA-Fortescue_SDExport'!A:A,'EA-Fortescue_SDExport'!B:B),
    _xlpm.lookupKey, IF(_xlpm.isObject="Object",
        _xlfn.XLOOKUP($A183,'EA-ConnectorExport'!A:A,'EA-ConnectorExport'!D:D),
        $Q183
    ),
    _xlpm.result, _xlfn.XLOOKUP(_xlpm.lookupKey,'EA-Fortescue_SDExport'!A:A,'EA-Fortescue_SDExport'!AG:AG),
    IF(_xlpm.result=0,"",_xlpm.result)
)</f>
        <v>859DC-1410-001-003 HaulX Precision (High Precision Machine Guidance)</v>
      </c>
      <c r="Y183" s="2" t="str">
        <f>_xlfn.LET(
    _xlpm.status, _xlfn.XLOOKUP($A183,'EA-ConnectorExport'!$A:$A,'EA-ConnectorExport'!G:G),
    _xlpm.result, _xlfn.XLOOKUP($A183,'EA-ConnectorExport'!$A:$A,'EA-ConnectorExport'!H:H),
    IF(_xlpm.status="allocate", _xlpm.result, "")
)</f>
        <v>851DC Heavy Mobile Equipment (HME)</v>
      </c>
      <c r="Z183" s="2" t="str">
        <f>_xlfn.LET(
    _xlpm.isObject, _xlfn.XLOOKUP($Y183,'EA-Fortescue_SDExport'!A:A,'EA-Fortescue_SDExport'!B:B),
    _xlpm.lookupKey, IF(_xlpm.isObject="Object",
        _xlfn.XLOOKUP($A183,'EA-ConnectorExport'!A:A,'EA-ConnectorExport'!J:J),
        $Y183
    ),
    _xlpm.result, _xlfn.XLOOKUP(_xlpm.lookupKey,'EA-Fortescue_SDExport'!A:A,'EA-Fortescue_SDExport'!AA:AA),
    IF(_xlpm.result=0,"",_xlpm.result)
)</f>
        <v>Program</v>
      </c>
      <c r="AA183" s="2" t="str">
        <f>_xlfn.LET(_xlpm.result, _xlfn.XLOOKUP($Y183,'EA-Fortescue_SDExport'!$A:$A,'EA-Fortescue_SDExport'!AB:AB), IF(_xlpm.result=0,"",_xlpm.result))</f>
        <v/>
      </c>
      <c r="AB183" s="2" t="str">
        <f>_xlfn.LET(_xlpm.result, _xlfn.XLOOKUP($Y183,'EA-Fortescue_SDExport'!$A:$A,'EA-Fortescue_SDExport'!AC:AC), IF(_xlpm.result=0,"",_xlpm.result))</f>
        <v>Generic Physical Asset</v>
      </c>
      <c r="AC183" s="2" t="str">
        <f>_xlfn.LET(
    _xlpm.isObject, _xlfn.XLOOKUP($Y183,'EA-Fortescue_SDExport'!A:A,'EA-Fortescue_SDExport'!B:B),
    _xlpm.lookupKey, IF(_xlpm.isObject="Object",
        _xlfn.XLOOKUP($A183,'EA-ConnectorExport'!A:A,'EA-ConnectorExport'!J:J),
        $Y183
    ),
    _xlpm.result, _xlfn.XLOOKUP(_xlpm.lookupKey,'EA-Fortescue_SDExport'!A:A,'EA-Fortescue_SDExport'!AD:AD),
    IF(_xlpm.result=0,"",_xlpm.result)
)</f>
        <v>851DC Heavy Mobile Equipment (HME)</v>
      </c>
      <c r="AD183" s="2" t="str">
        <f>_xlfn.LET(
    _xlpm.isObject, _xlfn.XLOOKUP($Y183,'EA-Fortescue_SDExport'!A:A,'EA-Fortescue_SDExport'!B:B),
    _xlpm.lookupKey, IF(_xlpm.isObject="Object",
        _xlfn.XLOOKUP($A183,'EA-ConnectorExport'!A:A,'EA-ConnectorExport'!J:J),
        $Y183
    ),
    _xlpm.result, _xlfn.XLOOKUP(_xlpm.lookupKey,'EA-Fortescue_SDExport'!A:A,'EA-Fortescue_SDExport'!AE:AE),
    IF(_xlpm.result=0,"",_xlpm.result)
)</f>
        <v/>
      </c>
      <c r="AE183" s="2" t="str">
        <f>_xlfn.LET(
    _xlpm.isObject, _xlfn.XLOOKUP($Y183,'EA-Fortescue_SDExport'!A:A,'EA-Fortescue_SDExport'!B:B),
    _xlpm.lookupKey, IF(_xlpm.isObject="Object",
        _xlfn.XLOOKUP($A183,'EA-ConnectorExport'!A:A,'EA-ConnectorExport'!J:J),
        $Y183
    ),
    _xlpm.result, _xlfn.XLOOKUP(_xlpm.lookupKey,'EA-Fortescue_SDExport'!A:A,'EA-Fortescue_SDExport'!AF:AF),
    IF(_xlpm.result=0,"",_xlpm.result)
)</f>
        <v/>
      </c>
      <c r="AF183" s="2" t="str">
        <f>_xlfn.LET(
    _xlpm.isObject, _xlfn.XLOOKUP($Y183,'EA-Fortescue_SDExport'!A:A,'EA-Fortescue_SDExport'!B:B),
    _xlpm.lookupKey, IF(_xlpm.isObject="Object",
        _xlfn.XLOOKUP($A183,'EA-ConnectorExport'!A:A,'EA-ConnectorExport'!J:J),
        $Y183
    ),
    _xlpm.result, _xlfn.XLOOKUP(_xlpm.lookupKey,'EA-Fortescue_SDExport'!A:A,'EA-Fortescue_SDExport'!AG:AG),
    IF(_xlpm.result=0,"",_xlpm.result)
)</f>
        <v/>
      </c>
    </row>
    <row r="184" spans="1:32" ht="210" x14ac:dyDescent="0.25">
      <c r="A184" s="2" t="str">
        <v>DGS-I_0183</v>
      </c>
      <c r="B184" s="2" t="str">
        <f t="shared" si="8"/>
        <v>852DC Light Mobile Equipment (LME) &amp; Support Mobile Equipment (SME)|859DC-1410-001-003 HaulX Precision (High Precision Machine Guidance)</v>
      </c>
      <c r="C184" s="2" t="str">
        <f>_xlfn.LET(_xlpm.result, _xlfn.XLOOKUP(A184,'EA-Fortescue_SDExport'!A:A,'EA-Fortescue_SDExport'!AM:AM), IF(_xlpm.result=0,"",_xlpm.result))</f>
        <v/>
      </c>
      <c r="D184" s="2" t="str">
        <f>_xlfn.LET(_xlpm.result, _xlfn.XLOOKUP(A184,'EA-Fortescue_SDExport'!A:A,'EA-Fortescue_SDExport'!AN:AN), IF(_xlpm.result=0,"",_xlpm.result))</f>
        <v/>
      </c>
      <c r="E184" s="2" t="str">
        <f>_xlfn.XLOOKUP(R184&amp;Z184,Lookups!A:A,Lookups!B:B)</f>
        <v>Program - Subsystem Interface</v>
      </c>
      <c r="F184" s="2" t="str">
        <f>_xlfn.LET(_xlpm.result, _xlfn.XLOOKUP(A184,'EA-Fortescue_SDExport'!A:A,'EA-Fortescue_SDExport'!AP:AP), IF(_xlpm.result=0,"",_xlpm.result))</f>
        <v>Technical-Data/Software</v>
      </c>
      <c r="G184" s="2" t="str">
        <f>IF(OR(AND(T184&lt;&gt;"", COUNTIF(Lookups!J:J, "*"&amp;T184&amp;"*")&gt;0), AND(AB184&lt;&gt;"", COUNTIF(Lookups!J:J, "*"&amp;AB184&amp;"*")&gt;0)), "Yes", "No")</f>
        <v>No</v>
      </c>
      <c r="H184" s="2" t="str">
        <f t="shared" si="9"/>
        <v>852DC Light Mobile Equipment (LME) &amp; Support Mobile Equipment (SME)|859DC HaulX</v>
      </c>
      <c r="I184" s="2" t="str">
        <f t="shared" si="10"/>
        <v>N/A</v>
      </c>
      <c r="J184" s="2" t="str">
        <f t="shared" si="11"/>
        <v>N/A|859DC-1410-001 HaulX</v>
      </c>
      <c r="K184" s="2" t="str">
        <f>_xlfn.XLOOKUP(A184,'EA-Fortescue_SDExport'!A:A,'EA-Fortescue_SDExport'!N:N)</f>
        <v>Proposed</v>
      </c>
      <c r="L184" s="2" t="str">
        <f>_xlfn.LET(_xlpm.result, _xlfn.XLOOKUP($A184,'EA-Fortescue_SDExport'!$A:$A,'EA-Fortescue_SDExport'!AQ:AQ), IF(_xlpm.result=0,"",_xlpm.result))</f>
        <v>This interface provides Support Mobile Equipment with positional or guidance data from HaulX Precision to enhance accuracy during tasks such as clean-up, auxiliary loading, or support operations.</v>
      </c>
      <c r="M184" s="2" t="str">
        <f>_xlfn.LET(_xlpm.result, _xlfn.XLOOKUP($A184,'EA-Fortescue_SDExport'!$A:$A,'EA-Fortescue_SDExport'!AR:AR), IF(_xlpm.result=0,"",_xlpm.result))</f>
        <v>LOW</v>
      </c>
      <c r="N184" s="2" t="str">
        <f>_xlfn.LET(_xlpm.result, _xlfn.XLOOKUP($A184,'EA-Fortescue_SDExport'!$A:$A,'EA-Fortescue_SDExport'!AW:AW), IF(_xlpm.result=0,"",_xlpm.result))</f>
        <v>The criticality level is LOW because SME can continue performing tasks safely without precision guidance, though with reduced efficiency. While the interface enhances productivity and accuracy, it is not essential for maintaining safe or continuous operations.</v>
      </c>
      <c r="O184" s="2" t="str">
        <f>_xlfn.LET(_xlpm.result, _xlfn.XLOOKUP($A184,'EA-Fortescue_SDExport'!$A:$A,'EA-Fortescue_SDExport'!AV:AV), IF(_xlpm.result=0,"",_xlpm.result))</f>
        <v>Data Flow:_x000D_
859DC-1410-001 HaulX -&gt; 852DC Light Mobile Equipment (LME) &amp; Support Mobile Equipment (SME), transmitting positional guidance data, routing cues, proximity awareness information, and operational context to support precision tasks (e.g. clean-up, auxiliary loading, support activities)._x000D_
LME/SME -&gt; HaulX, providing current position (GPS), heading, movement status, and basic operational state to enable guidance calculations and situational awareness.</v>
      </c>
      <c r="P184" s="2" t="str">
        <f>_xlfn.LET(_xlpm.result, _xlfn.XLOOKUP($A184,'EA-Fortescue_SDExport'!$A:$A,'EA-Fortescue_SDExport'!D:D), IF(_xlpm.result=0,"",_xlpm.result))</f>
        <v/>
      </c>
      <c r="Q184" s="2" t="str">
        <f>_xlfn.LET(
    _xlpm.status, _xlfn.XLOOKUP($A184,'EA-ConnectorExport'!$A:$A,'EA-ConnectorExport'!G:G),
    _xlpm.result, _xlfn.XLOOKUP($A184,'EA-ConnectorExport'!$A:$A,'EA-ConnectorExport'!B:B),
    IF(_xlpm.status="allocate", _xlpm.result, "")
)</f>
        <v>852DC Light Mobile Equipment (LME) &amp; Support Mobile Equipment (SME)</v>
      </c>
      <c r="R184" s="2" t="str">
        <f>IF(
    _xlfn.XLOOKUP($Q184,'EA-Fortescue_SDExport'!A:A,'EA-Fortescue_SDExport'!B:B)="Object",
    _xlfn.XLOOKUP(
        _xlfn.XLOOKUP($A184,'EA-ConnectorExport'!A:A,'EA-ConnectorExport'!D:D),
        'EA-Fortescue_SDExport'!A:A,
        'EA-Fortescue_SDExport'!AA:AA
    ),
    _xlfn.XLOOKUP($Q184,'EA-Fortescue_SDExport'!A:A,'EA-Fortescue_SDExport'!AA:AA)
)</f>
        <v>Program</v>
      </c>
      <c r="S184" s="2" t="str">
        <f>_xlfn.LET(_xlpm.result, _xlfn.XLOOKUP($Q184,'EA-Fortescue_SDExport'!$A:$A,'EA-Fortescue_SDExport'!AB:AB), IF(_xlpm.result=0,"",_xlpm.result))</f>
        <v/>
      </c>
      <c r="T184" s="2" t="str">
        <f>_xlfn.LET(_xlpm.result, _xlfn.XLOOKUP($Q184,'EA-Fortescue_SDExport'!$A:$A,'EA-Fortescue_SDExport'!AC:AC), IF(_xlpm.result=0,"",_xlpm.result))</f>
        <v>Generic Physical Asset</v>
      </c>
      <c r="U184" s="2" t="str">
        <f>_xlfn.LET(
    _xlpm.isObject, _xlfn.XLOOKUP($Q184,'EA-Fortescue_SDExport'!A:A,'EA-Fortescue_SDExport'!B:B),
    _xlpm.lookupKey, IF(_xlpm.isObject="Object",
        _xlfn.XLOOKUP($A184,'EA-ConnectorExport'!A:A,'EA-ConnectorExport'!D:D),
        $Q184
    ),
    _xlpm.result, _xlfn.XLOOKUP(_xlpm.lookupKey,'EA-Fortescue_SDExport'!A:A,'EA-Fortescue_SDExport'!AD:AD),
    IF(_xlpm.result=0,"",_xlpm.result)
)</f>
        <v>852DC Light Mobile Equipment (LME) &amp; Support Mobile Equipment (SME)</v>
      </c>
      <c r="V184" s="2" t="str">
        <f>_xlfn.LET(
    _xlpm.isObject, _xlfn.XLOOKUP($Q184,'EA-Fortescue_SDExport'!A:A,'EA-Fortescue_SDExport'!B:B),
    _xlpm.lookupKey, IF(_xlpm.isObject="Object",
        _xlfn.XLOOKUP($A184,'EA-ConnectorExport'!A:A,'EA-ConnectorExport'!D:D),
        $Q184
    ),
    _xlpm.result, _xlfn.XLOOKUP(_xlpm.lookupKey,'EA-Fortescue_SDExport'!A:A,'EA-Fortescue_SDExport'!AE:AE),
    IF(_xlpm.result=0,"",_xlpm.result)
)</f>
        <v/>
      </c>
      <c r="W184" s="2" t="str">
        <f>_xlfn.LET(
    _xlpm.isObject, _xlfn.XLOOKUP($Q184,'EA-Fortescue_SDExport'!A:A,'EA-Fortescue_SDExport'!B:B),
    _xlpm.lookupKey, IF(_xlpm.isObject="Object",
        _xlfn.XLOOKUP($A184,'EA-ConnectorExport'!A:A,'EA-ConnectorExport'!D:D),
        $Q184
    ),
    _xlpm.result, _xlfn.XLOOKUP(_xlpm.lookupKey,'EA-Fortescue_SDExport'!A:A,'EA-Fortescue_SDExport'!AF:AF),
    IF(_xlpm.result=0,"",_xlpm.result)
)</f>
        <v/>
      </c>
      <c r="X184" s="2" t="str">
        <f>_xlfn.LET(
    _xlpm.isObject, _xlfn.XLOOKUP($Q184,'EA-Fortescue_SDExport'!A:A,'EA-Fortescue_SDExport'!B:B),
    _xlpm.lookupKey, IF(_xlpm.isObject="Object",
        _xlfn.XLOOKUP($A184,'EA-ConnectorExport'!A:A,'EA-ConnectorExport'!D:D),
        $Q184
    ),
    _xlpm.result, _xlfn.XLOOKUP(_xlpm.lookupKey,'EA-Fortescue_SDExport'!A:A,'EA-Fortescue_SDExport'!AG:AG),
    IF(_xlpm.result=0,"",_xlpm.result)
)</f>
        <v/>
      </c>
      <c r="Y184" s="2" t="str">
        <f>_xlfn.LET(
    _xlpm.status, _xlfn.XLOOKUP($A184,'EA-ConnectorExport'!$A:$A,'EA-ConnectorExport'!G:G),
    _xlpm.result, _xlfn.XLOOKUP($A184,'EA-ConnectorExport'!$A:$A,'EA-ConnectorExport'!H:H),
    IF(_xlpm.status="allocate", _xlpm.result, "")
)</f>
        <v>859DC-1410-001-003 HaulX Precision (High Precision Machine Guidance)</v>
      </c>
      <c r="Z184" s="2" t="str">
        <f>_xlfn.LET(
    _xlpm.isObject, _xlfn.XLOOKUP($Y184,'EA-Fortescue_SDExport'!A:A,'EA-Fortescue_SDExport'!B:B),
    _xlpm.lookupKey, IF(_xlpm.isObject="Object",
        _xlfn.XLOOKUP($A184,'EA-ConnectorExport'!A:A,'EA-ConnectorExport'!J:J),
        $Y184
    ),
    _xlpm.result, _xlfn.XLOOKUP(_xlpm.lookupKey,'EA-Fortescue_SDExport'!A:A,'EA-Fortescue_SDExport'!AA:AA),
    IF(_xlpm.result=0,"",_xlpm.result)
)</f>
        <v>Subsystem</v>
      </c>
      <c r="AA184" s="2" t="str">
        <f>_xlfn.LET(_xlpm.result, _xlfn.XLOOKUP($Y184,'EA-Fortescue_SDExport'!$A:$A,'EA-Fortescue_SDExport'!AB:AB), IF(_xlpm.result=0,"",_xlpm.result))</f>
        <v/>
      </c>
      <c r="AB184" s="2" t="str">
        <f>_xlfn.LET(_xlpm.result, _xlfn.XLOOKUP($Y184,'EA-Fortescue_SDExport'!$A:$A,'EA-Fortescue_SDExport'!AC:AC), IF(_xlpm.result=0,"",_xlpm.result))</f>
        <v/>
      </c>
      <c r="AC184" s="2" t="str">
        <f>_xlfn.LET(
    _xlpm.isObject, _xlfn.XLOOKUP($Y184,'EA-Fortescue_SDExport'!A:A,'EA-Fortescue_SDExport'!B:B),
    _xlpm.lookupKey, IF(_xlpm.isObject="Object",
        _xlfn.XLOOKUP($A184,'EA-ConnectorExport'!A:A,'EA-ConnectorExport'!J:J),
        $Y184
    ),
    _xlpm.result, _xlfn.XLOOKUP(_xlpm.lookupKey,'EA-Fortescue_SDExport'!A:A,'EA-Fortescue_SDExport'!AD:AD),
    IF(_xlpm.result=0,"",_xlpm.result)
)</f>
        <v>859DC HaulX</v>
      </c>
      <c r="AD184" s="2" t="str">
        <f>_xlfn.LET(
    _xlpm.isObject, _xlfn.XLOOKUP($Y184,'EA-Fortescue_SDExport'!A:A,'EA-Fortescue_SDExport'!B:B),
    _xlpm.lookupKey, IF(_xlpm.isObject="Object",
        _xlfn.XLOOKUP($A184,'EA-ConnectorExport'!A:A,'EA-ConnectorExport'!J:J),
        $Y184
    ),
    _xlpm.result, _xlfn.XLOOKUP(_xlpm.lookupKey,'EA-Fortescue_SDExport'!A:A,'EA-Fortescue_SDExport'!AE:AE),
    IF(_xlpm.result=0,"",_xlpm.result)
)</f>
        <v/>
      </c>
      <c r="AE184" s="2" t="str">
        <f>_xlfn.LET(
    _xlpm.isObject, _xlfn.XLOOKUP($Y184,'EA-Fortescue_SDExport'!A:A,'EA-Fortescue_SDExport'!B:B),
    _xlpm.lookupKey, IF(_xlpm.isObject="Object",
        _xlfn.XLOOKUP($A184,'EA-ConnectorExport'!A:A,'EA-ConnectorExport'!J:J),
        $Y184
    ),
    _xlpm.result, _xlfn.XLOOKUP(_xlpm.lookupKey,'EA-Fortescue_SDExport'!A:A,'EA-Fortescue_SDExport'!AF:AF),
    IF(_xlpm.result=0,"",_xlpm.result)
)</f>
        <v>859DC-1410-001 HaulX</v>
      </c>
      <c r="AF184" s="2" t="str">
        <f>_xlfn.LET(
    _xlpm.isObject, _xlfn.XLOOKUP($Y184,'EA-Fortescue_SDExport'!A:A,'EA-Fortescue_SDExport'!B:B),
    _xlpm.lookupKey, IF(_xlpm.isObject="Object",
        _xlfn.XLOOKUP($A184,'EA-ConnectorExport'!A:A,'EA-ConnectorExport'!J:J),
        $Y184
    ),
    _xlpm.result, _xlfn.XLOOKUP(_xlpm.lookupKey,'EA-Fortescue_SDExport'!A:A,'EA-Fortescue_SDExport'!AG:AG),
    IF(_xlpm.result=0,"",_xlpm.result)
)</f>
        <v>859DC-1410-001-003 HaulX Precision (High Precision Machine Guidance)</v>
      </c>
    </row>
    <row r="185" spans="1:32" ht="180" x14ac:dyDescent="0.25">
      <c r="A185" s="2" t="str">
        <v>DGS-I_0184</v>
      </c>
      <c r="B185" s="2" t="str">
        <f t="shared" si="8"/>
        <v>853DC-1561 Drill Rig|859DC-1410-001-003 HaulX Precision (High Precision Machine Guidance)</v>
      </c>
      <c r="C185" s="2" t="str">
        <f>_xlfn.LET(_xlpm.result, _xlfn.XLOOKUP(A185,'EA-Fortescue_SDExport'!A:A,'EA-Fortescue_SDExport'!AM:AM), IF(_xlpm.result=0,"",_xlpm.result))</f>
        <v/>
      </c>
      <c r="D185" s="2" t="str">
        <f>_xlfn.LET(_xlpm.result, _xlfn.XLOOKUP(A185,'EA-Fortescue_SDExport'!A:A,'EA-Fortescue_SDExport'!AN:AN), IF(_xlpm.result=0,"",_xlpm.result))</f>
        <v/>
      </c>
      <c r="E185" s="2" t="str">
        <f>_xlfn.XLOOKUP(R185&amp;Z185,Lookups!A:A,Lookups!B:B)</f>
        <v>System - Subsystem Interface</v>
      </c>
      <c r="F185" s="2" t="str">
        <f>_xlfn.LET(_xlpm.result, _xlfn.XLOOKUP(A185,'EA-Fortescue_SDExport'!A:A,'EA-Fortescue_SDExport'!AP:AP), IF(_xlpm.result=0,"",_xlpm.result))</f>
        <v>Technical-Data/Software</v>
      </c>
      <c r="G185" s="2" t="str">
        <f>IF(OR(AND(T185&lt;&gt;"", COUNTIF(Lookups!J:J, "*"&amp;T185&amp;"*")&gt;0), AND(AB185&lt;&gt;"", COUNTIF(Lookups!J:J, "*"&amp;AB185&amp;"*")&gt;0)), "Yes", "No")</f>
        <v>No</v>
      </c>
      <c r="H185" s="2" t="str">
        <f t="shared" si="9"/>
        <v>853DC Decarb Ancillary|859DC HaulX</v>
      </c>
      <c r="I185" s="2" t="str">
        <f t="shared" si="10"/>
        <v>853DC-1561 Drill Rig|N/A</v>
      </c>
      <c r="J185" s="2" t="str">
        <f t="shared" si="11"/>
        <v>N/A|859DC-1410-001 HaulX</v>
      </c>
      <c r="K185" s="2" t="str">
        <f>_xlfn.XLOOKUP(A185,'EA-Fortescue_SDExport'!A:A,'EA-Fortescue_SDExport'!N:N)</f>
        <v>Proposed</v>
      </c>
      <c r="L185" s="2" t="str">
        <f>_xlfn.LET(_xlpm.result, _xlfn.XLOOKUP($A185,'EA-Fortescue_SDExport'!$A:$A,'EA-Fortescue_SDExport'!AQ:AQ), IF(_xlpm.result=0,"",_xlpm.result))</f>
        <v>This interface links the drill rig to HaulX Precision so that high-accuracy positional data, drilling parameters, and machine guidance information can be exchanged.</v>
      </c>
      <c r="M185" s="2" t="str">
        <f>_xlfn.LET(_xlpm.result, _xlfn.XLOOKUP($A185,'EA-Fortescue_SDExport'!$A:$A,'EA-Fortescue_SDExport'!AR:AR), IF(_xlpm.result=0,"",_xlpm.result))</f>
        <v>MEDIUM</v>
      </c>
      <c r="N185" s="2" t="str">
        <f>_xlfn.LET(_xlpm.result, _xlfn.XLOOKUP($A185,'EA-Fortescue_SDExport'!$A:$A,'EA-Fortescue_SDExport'!AW:AW), IF(_xlpm.result=0,"",_xlpm.result))</f>
        <v>The criticality level is MEDIUM because failure results in decreased productivity and accuracy, potentially impacting blasting outcomes. The impact is on precision and efficiency, but safety-critical functions remain operational.</v>
      </c>
      <c r="O185" s="2" t="str">
        <f>_xlfn.LET(_xlpm.result, _xlfn.XLOOKUP($A185,'EA-Fortescue_SDExport'!$A:$A,'EA-Fortescue_SDExport'!AV:AV), IF(_xlpm.result=0,"",_xlpm.result))</f>
        <v>Data Flow: Drill Rig -&gt; HaulX Precision (high-accuracy positional data, drilling parameters, hole depth/status, machine health, operational status) for precision monitoring and alignment._x000D_
Data Flow: HaulX Precision -&gt; Drill Rig (machine guidance data, drill plan coordinates, pattern updates, positioning corrections, task instructions).</v>
      </c>
      <c r="P185" s="2" t="str">
        <f>_xlfn.LET(_xlpm.result, _xlfn.XLOOKUP($A185,'EA-Fortescue_SDExport'!$A:$A,'EA-Fortescue_SDExport'!D:D), IF(_xlpm.result=0,"",_xlpm.result))</f>
        <v>NH 20/02/2026: Fields updated: Interface Type, Interface Flow.</v>
      </c>
      <c r="Q185" s="2" t="str">
        <f>_xlfn.LET(
    _xlpm.status, _xlfn.XLOOKUP($A185,'EA-ConnectorExport'!$A:$A,'EA-ConnectorExport'!G:G),
    _xlpm.result, _xlfn.XLOOKUP($A185,'EA-ConnectorExport'!$A:$A,'EA-ConnectorExport'!B:B),
    IF(_xlpm.status="allocate", _xlpm.result, "")
)</f>
        <v>853DC-1561 Drill Rig</v>
      </c>
      <c r="R185" s="2" t="str">
        <f>IF(
    _xlfn.XLOOKUP($Q185,'EA-Fortescue_SDExport'!A:A,'EA-Fortescue_SDExport'!B:B)="Object",
    _xlfn.XLOOKUP(
        _xlfn.XLOOKUP($A185,'EA-ConnectorExport'!A:A,'EA-ConnectorExport'!D:D),
        'EA-Fortescue_SDExport'!A:A,
        'EA-Fortescue_SDExport'!AA:AA
    ),
    _xlfn.XLOOKUP($Q185,'EA-Fortescue_SDExport'!A:A,'EA-Fortescue_SDExport'!AA:AA)
)</f>
        <v>System</v>
      </c>
      <c r="S185" s="2" t="str">
        <f>_xlfn.LET(_xlpm.result, _xlfn.XLOOKUP($Q185,'EA-Fortescue_SDExport'!$A:$A,'EA-Fortescue_SDExport'!AB:AB), IF(_xlpm.result=0,"",_xlpm.result))</f>
        <v/>
      </c>
      <c r="T185" s="2" t="str">
        <f>_xlfn.LET(_xlpm.result, _xlfn.XLOOKUP($Q185,'EA-Fortescue_SDExport'!$A:$A,'EA-Fortescue_SDExport'!AC:AC), IF(_xlpm.result=0,"",_xlpm.result))</f>
        <v>Generic Physical Asset</v>
      </c>
      <c r="U185" s="2" t="str">
        <f>_xlfn.LET(
    _xlpm.isObject, _xlfn.XLOOKUP($Q185,'EA-Fortescue_SDExport'!A:A,'EA-Fortescue_SDExport'!B:B),
    _xlpm.lookupKey, IF(_xlpm.isObject="Object",
        _xlfn.XLOOKUP($A185,'EA-ConnectorExport'!A:A,'EA-ConnectorExport'!D:D),
        $Q185
    ),
    _xlpm.result, _xlfn.XLOOKUP(_xlpm.lookupKey,'EA-Fortescue_SDExport'!A:A,'EA-Fortescue_SDExport'!AD:AD),
    IF(_xlpm.result=0,"",_xlpm.result)
)</f>
        <v>853DC Decarb Ancillary</v>
      </c>
      <c r="V185" s="2" t="str">
        <f>_xlfn.LET(
    _xlpm.isObject, _xlfn.XLOOKUP($Q185,'EA-Fortescue_SDExport'!A:A,'EA-Fortescue_SDExport'!B:B),
    _xlpm.lookupKey, IF(_xlpm.isObject="Object",
        _xlfn.XLOOKUP($A185,'EA-ConnectorExport'!A:A,'EA-ConnectorExport'!D:D),
        $Q185
    ),
    _xlpm.result, _xlfn.XLOOKUP(_xlpm.lookupKey,'EA-Fortescue_SDExport'!A:A,'EA-Fortescue_SDExport'!AE:AE),
    IF(_xlpm.result=0,"",_xlpm.result)
)</f>
        <v>853DC-1561 Drill Rig</v>
      </c>
      <c r="W185" s="2" t="str">
        <f>_xlfn.LET(
    _xlpm.isObject, _xlfn.XLOOKUP($Q185,'EA-Fortescue_SDExport'!A:A,'EA-Fortescue_SDExport'!B:B),
    _xlpm.lookupKey, IF(_xlpm.isObject="Object",
        _xlfn.XLOOKUP($A185,'EA-ConnectorExport'!A:A,'EA-ConnectorExport'!D:D),
        $Q185
    ),
    _xlpm.result, _xlfn.XLOOKUP(_xlpm.lookupKey,'EA-Fortescue_SDExport'!A:A,'EA-Fortescue_SDExport'!AF:AF),
    IF(_xlpm.result=0,"",_xlpm.result)
)</f>
        <v/>
      </c>
      <c r="X185" s="2" t="str">
        <f>_xlfn.LET(
    _xlpm.isObject, _xlfn.XLOOKUP($Q185,'EA-Fortescue_SDExport'!A:A,'EA-Fortescue_SDExport'!B:B),
    _xlpm.lookupKey, IF(_xlpm.isObject="Object",
        _xlfn.XLOOKUP($A185,'EA-ConnectorExport'!A:A,'EA-ConnectorExport'!D:D),
        $Q185
    ),
    _xlpm.result, _xlfn.XLOOKUP(_xlpm.lookupKey,'EA-Fortescue_SDExport'!A:A,'EA-Fortescue_SDExport'!AG:AG),
    IF(_xlpm.result=0,"",_xlpm.result)
)</f>
        <v/>
      </c>
      <c r="Y185" s="2" t="str">
        <f>_xlfn.LET(
    _xlpm.status, _xlfn.XLOOKUP($A185,'EA-ConnectorExport'!$A:$A,'EA-ConnectorExport'!G:G),
    _xlpm.result, _xlfn.XLOOKUP($A185,'EA-ConnectorExport'!$A:$A,'EA-ConnectorExport'!H:H),
    IF(_xlpm.status="allocate", _xlpm.result, "")
)</f>
        <v>859DC-1410-001-003 HaulX Precision (High Precision Machine Guidance)</v>
      </c>
      <c r="Z185" s="2" t="str">
        <f>_xlfn.LET(
    _xlpm.isObject, _xlfn.XLOOKUP($Y185,'EA-Fortescue_SDExport'!A:A,'EA-Fortescue_SDExport'!B:B),
    _xlpm.lookupKey, IF(_xlpm.isObject="Object",
        _xlfn.XLOOKUP($A185,'EA-ConnectorExport'!A:A,'EA-ConnectorExport'!J:J),
        $Y185
    ),
    _xlpm.result, _xlfn.XLOOKUP(_xlpm.lookupKey,'EA-Fortescue_SDExport'!A:A,'EA-Fortescue_SDExport'!AA:AA),
    IF(_xlpm.result=0,"",_xlpm.result)
)</f>
        <v>Subsystem</v>
      </c>
      <c r="AA185" s="2" t="str">
        <f>_xlfn.LET(_xlpm.result, _xlfn.XLOOKUP($Y185,'EA-Fortescue_SDExport'!$A:$A,'EA-Fortescue_SDExport'!AB:AB), IF(_xlpm.result=0,"",_xlpm.result))</f>
        <v/>
      </c>
      <c r="AB185" s="2" t="str">
        <f>_xlfn.LET(_xlpm.result, _xlfn.XLOOKUP($Y185,'EA-Fortescue_SDExport'!$A:$A,'EA-Fortescue_SDExport'!AC:AC), IF(_xlpm.result=0,"",_xlpm.result))</f>
        <v/>
      </c>
      <c r="AC185" s="2" t="str">
        <f>_xlfn.LET(
    _xlpm.isObject, _xlfn.XLOOKUP($Y185,'EA-Fortescue_SDExport'!A:A,'EA-Fortescue_SDExport'!B:B),
    _xlpm.lookupKey, IF(_xlpm.isObject="Object",
        _xlfn.XLOOKUP($A185,'EA-ConnectorExport'!A:A,'EA-ConnectorExport'!J:J),
        $Y185
    ),
    _xlpm.result, _xlfn.XLOOKUP(_xlpm.lookupKey,'EA-Fortescue_SDExport'!A:A,'EA-Fortescue_SDExport'!AD:AD),
    IF(_xlpm.result=0,"",_xlpm.result)
)</f>
        <v>859DC HaulX</v>
      </c>
      <c r="AD185" s="2" t="str">
        <f>_xlfn.LET(
    _xlpm.isObject, _xlfn.XLOOKUP($Y185,'EA-Fortescue_SDExport'!A:A,'EA-Fortescue_SDExport'!B:B),
    _xlpm.lookupKey, IF(_xlpm.isObject="Object",
        _xlfn.XLOOKUP($A185,'EA-ConnectorExport'!A:A,'EA-ConnectorExport'!J:J),
        $Y185
    ),
    _xlpm.result, _xlfn.XLOOKUP(_xlpm.lookupKey,'EA-Fortescue_SDExport'!A:A,'EA-Fortescue_SDExport'!AE:AE),
    IF(_xlpm.result=0,"",_xlpm.result)
)</f>
        <v/>
      </c>
      <c r="AE185" s="2" t="str">
        <f>_xlfn.LET(
    _xlpm.isObject, _xlfn.XLOOKUP($Y185,'EA-Fortescue_SDExport'!A:A,'EA-Fortescue_SDExport'!B:B),
    _xlpm.lookupKey, IF(_xlpm.isObject="Object",
        _xlfn.XLOOKUP($A185,'EA-ConnectorExport'!A:A,'EA-ConnectorExport'!J:J),
        $Y185
    ),
    _xlpm.result, _xlfn.XLOOKUP(_xlpm.lookupKey,'EA-Fortescue_SDExport'!A:A,'EA-Fortescue_SDExport'!AF:AF),
    IF(_xlpm.result=0,"",_xlpm.result)
)</f>
        <v>859DC-1410-001 HaulX</v>
      </c>
      <c r="AF185" s="2" t="str">
        <f>_xlfn.LET(
    _xlpm.isObject, _xlfn.XLOOKUP($Y185,'EA-Fortescue_SDExport'!A:A,'EA-Fortescue_SDExport'!B:B),
    _xlpm.lookupKey, IF(_xlpm.isObject="Object",
        _xlfn.XLOOKUP($A185,'EA-ConnectorExport'!A:A,'EA-ConnectorExport'!J:J),
        $Y185
    ),
    _xlpm.result, _xlfn.XLOOKUP(_xlpm.lookupKey,'EA-Fortescue_SDExport'!A:A,'EA-Fortescue_SDExport'!AG:AG),
    IF(_xlpm.result=0,"",_xlpm.result)
)</f>
        <v>859DC-1410-001-003 HaulX Precision (High Precision Machine Guidance)</v>
      </c>
    </row>
    <row r="186" spans="1:32" ht="195" x14ac:dyDescent="0.25">
      <c r="A186" s="2" t="str">
        <v>DGS-I_0185</v>
      </c>
      <c r="B186" s="2" t="str">
        <f t="shared" si="8"/>
        <v>005OP-0000-004-002 Alastri Production Scheduler (APS) / Alastri Tactical Scheduler (ATS)|859DC-1410-001-001 HaulX Dispatch (Fleet Management System (FMS))</v>
      </c>
      <c r="C186" s="2" t="str">
        <f>_xlfn.LET(_xlpm.result, _xlfn.XLOOKUP(A186,'EA-Fortescue_SDExport'!A:A,'EA-Fortescue_SDExport'!AM:AM), IF(_xlpm.result=0,"",_xlpm.result))</f>
        <v/>
      </c>
      <c r="D186" s="2" t="str">
        <f>_xlfn.LET(_xlpm.result, _xlfn.XLOOKUP(A186,'EA-Fortescue_SDExport'!A:A,'EA-Fortescue_SDExport'!AN:AN), IF(_xlpm.result=0,"",_xlpm.result))</f>
        <v/>
      </c>
      <c r="E186" s="2" t="str">
        <f>_xlfn.XLOOKUP(R186&amp;Z186,Lookups!A:A,Lookups!B:B)</f>
        <v>Subsystem - Subsystem Interface</v>
      </c>
      <c r="F186" s="2" t="str">
        <f>_xlfn.LET(_xlpm.result, _xlfn.XLOOKUP(A186,'EA-Fortescue_SDExport'!A:A,'EA-Fortescue_SDExport'!AP:AP), IF(_xlpm.result=0,"",_xlpm.result))</f>
        <v>Technical-Data/Software</v>
      </c>
      <c r="G186" s="2" t="str">
        <f>IF(OR(AND(T186&lt;&gt;"", COUNTIF(Lookups!J:J, "*"&amp;T186&amp;"*")&gt;0), AND(AB186&lt;&gt;"", COUNTIF(Lookups!J:J, "*"&amp;AB186&amp;"*")&gt;0)), "Yes", "No")</f>
        <v>No</v>
      </c>
      <c r="H186" s="2" t="str">
        <f t="shared" si="9"/>
        <v>005OP IT/OT Systems|859DC HaulX</v>
      </c>
      <c r="I186" s="2" t="str">
        <f t="shared" si="10"/>
        <v>N/A</v>
      </c>
      <c r="J186" s="2" t="str">
        <f t="shared" si="11"/>
        <v>005OP-0000-004 Alastri|859DC-1410-001 HaulX</v>
      </c>
      <c r="K186" s="2" t="str">
        <f>_xlfn.XLOOKUP(A186,'EA-Fortescue_SDExport'!A:A,'EA-Fortescue_SDExport'!N:N)</f>
        <v>Proposed</v>
      </c>
      <c r="L186" s="2" t="str">
        <f>_xlfn.LET(_xlpm.result, _xlfn.XLOOKUP($A186,'EA-Fortescue_SDExport'!$A:$A,'EA-Fortescue_SDExport'!AQ:AQ), IF(_xlpm.result=0,"",_xlpm.result))</f>
        <v>This interface provides HaulX Dispatch with medium-term production schedules and required haulage movements from APS so the FMS can structure assignments that align with production targets.</v>
      </c>
      <c r="M186" s="2" t="str">
        <f>_xlfn.LET(_xlpm.result, _xlfn.XLOOKUP($A186,'EA-Fortescue_SDExport'!$A:$A,'EA-Fortescue_SDExport'!AR:AR), IF(_xlpm.result=0,"",_xlpm.result))</f>
        <v>MEDIUM</v>
      </c>
      <c r="N186" s="2" t="str">
        <f>_xlfn.LET(_xlpm.result, _xlfn.XLOOKUP($A186,'EA-Fortescue_SDExport'!$A:$A,'EA-Fortescue_SDExport'!AW:AW), IF(_xlpm.result=0,"",_xlpm.result))</f>
        <v>The criticality level is MEDIUM because failure reduces alignment with production goals and risks mis-prioritisation. The outage may hamper efficiency and planning accuracy, but it does not cause an immediate halt to haulage.</v>
      </c>
      <c r="O186" s="2" t="str">
        <f>_xlfn.LET(_xlpm.result, _xlfn.XLOOKUP($A186,'EA-Fortescue_SDExport'!$A:$A,'EA-Fortescue_SDExport'!AV:AV), IF(_xlpm.result=0,"",_xlpm.result))</f>
        <v>Data Flow: Alastri (APS) -&gt; HaulX Dispatch (medium-term production schedules, required haulage movements, material targets, sequencing priorities, forecast volumes) to align fleet assignments with production objectives.</v>
      </c>
      <c r="P186" s="2" t="str">
        <f>_xlfn.LET(_xlpm.result, _xlfn.XLOOKUP($A186,'EA-Fortescue_SDExport'!$A:$A,'EA-Fortescue_SDExport'!D:D), IF(_xlpm.result=0,"",_xlpm.result))</f>
        <v>NH 20/02/2026: Fields updated: Interface Type, Interface Flow.</v>
      </c>
      <c r="Q186" s="2" t="str">
        <f>_xlfn.LET(
    _xlpm.status, _xlfn.XLOOKUP($A186,'EA-ConnectorExport'!$A:$A,'EA-ConnectorExport'!G:G),
    _xlpm.result, _xlfn.XLOOKUP($A186,'EA-ConnectorExport'!$A:$A,'EA-ConnectorExport'!B:B),
    IF(_xlpm.status="allocate", _xlpm.result, "")
)</f>
        <v>005OP-0000-004-002 Alastri Production Scheduler (APS) / Alastri Tactical Scheduler (ATS)</v>
      </c>
      <c r="R186" s="2" t="str">
        <f>IF(
    _xlfn.XLOOKUP($Q186,'EA-Fortescue_SDExport'!A:A,'EA-Fortescue_SDExport'!B:B)="Object",
    _xlfn.XLOOKUP(
        _xlfn.XLOOKUP($A186,'EA-ConnectorExport'!A:A,'EA-ConnectorExport'!D:D),
        'EA-Fortescue_SDExport'!A:A,
        'EA-Fortescue_SDExport'!AA:AA
    ),
    _xlfn.XLOOKUP($Q186,'EA-Fortescue_SDExport'!A:A,'EA-Fortescue_SDExport'!AA:AA)
)</f>
        <v>Subsystem</v>
      </c>
      <c r="S186" s="2" t="str">
        <f>_xlfn.LET(_xlpm.result, _xlfn.XLOOKUP($Q186,'EA-Fortescue_SDExport'!$A:$A,'EA-Fortescue_SDExport'!AB:AB), IF(_xlpm.result=0,"",_xlpm.result))</f>
        <v/>
      </c>
      <c r="T186" s="2" t="str">
        <f>_xlfn.LET(_xlpm.result, _xlfn.XLOOKUP($Q186,'EA-Fortescue_SDExport'!$A:$A,'EA-Fortescue_SDExport'!AC:AC), IF(_xlpm.result=0,"",_xlpm.result))</f>
        <v/>
      </c>
      <c r="U186" s="2" t="str">
        <f>_xlfn.LET(
    _xlpm.isObject, _xlfn.XLOOKUP($Q186,'EA-Fortescue_SDExport'!A:A,'EA-Fortescue_SDExport'!B:B),
    _xlpm.lookupKey, IF(_xlpm.isObject="Object",
        _xlfn.XLOOKUP($A186,'EA-ConnectorExport'!A:A,'EA-ConnectorExport'!D:D),
        $Q186
    ),
    _xlpm.result, _xlfn.XLOOKUP(_xlpm.lookupKey,'EA-Fortescue_SDExport'!A:A,'EA-Fortescue_SDExport'!AD:AD),
    IF(_xlpm.result=0,"",_xlpm.result)
)</f>
        <v>005OP IT/OT Systems</v>
      </c>
      <c r="V186" s="2" t="str">
        <f>_xlfn.LET(
    _xlpm.isObject, _xlfn.XLOOKUP($Q186,'EA-Fortescue_SDExport'!A:A,'EA-Fortescue_SDExport'!B:B),
    _xlpm.lookupKey, IF(_xlpm.isObject="Object",
        _xlfn.XLOOKUP($A186,'EA-ConnectorExport'!A:A,'EA-ConnectorExport'!D:D),
        $Q186
    ),
    _xlpm.result, _xlfn.XLOOKUP(_xlpm.lookupKey,'EA-Fortescue_SDExport'!A:A,'EA-Fortescue_SDExport'!AE:AE),
    IF(_xlpm.result=0,"",_xlpm.result)
)</f>
        <v/>
      </c>
      <c r="W186" s="2" t="str">
        <f>_xlfn.LET(
    _xlpm.isObject, _xlfn.XLOOKUP($Q186,'EA-Fortescue_SDExport'!A:A,'EA-Fortescue_SDExport'!B:B),
    _xlpm.lookupKey, IF(_xlpm.isObject="Object",
        _xlfn.XLOOKUP($A186,'EA-ConnectorExport'!A:A,'EA-ConnectorExport'!D:D),
        $Q186
    ),
    _xlpm.result, _xlfn.XLOOKUP(_xlpm.lookupKey,'EA-Fortescue_SDExport'!A:A,'EA-Fortescue_SDExport'!AF:AF),
    IF(_xlpm.result=0,"",_xlpm.result)
)</f>
        <v>005OP-0000-004 Alastri</v>
      </c>
      <c r="X186" s="2" t="str">
        <f>_xlfn.LET(
    _xlpm.isObject, _xlfn.XLOOKUP($Q186,'EA-Fortescue_SDExport'!A:A,'EA-Fortescue_SDExport'!B:B),
    _xlpm.lookupKey, IF(_xlpm.isObject="Object",
        _xlfn.XLOOKUP($A186,'EA-ConnectorExport'!A:A,'EA-ConnectorExport'!D:D),
        $Q186
    ),
    _xlpm.result, _xlfn.XLOOKUP(_xlpm.lookupKey,'EA-Fortescue_SDExport'!A:A,'EA-Fortescue_SDExport'!AG:AG),
    IF(_xlpm.result=0,"",_xlpm.result)
)</f>
        <v>005OP-0000-004-002 Alastri Production Scheduler (APS)</v>
      </c>
      <c r="Y186" s="2" t="str">
        <f>_xlfn.LET(
    _xlpm.status, _xlfn.XLOOKUP($A186,'EA-ConnectorExport'!$A:$A,'EA-ConnectorExport'!G:G),
    _xlpm.result, _xlfn.XLOOKUP($A186,'EA-ConnectorExport'!$A:$A,'EA-ConnectorExport'!H:H),
    IF(_xlpm.status="allocate", _xlpm.result, "")
)</f>
        <v>859DC-1410-001-001 HaulX Dispatch (Fleet Management System (FMS))</v>
      </c>
      <c r="Z186" s="2" t="str">
        <f>_xlfn.LET(
    _xlpm.isObject, _xlfn.XLOOKUP($Y186,'EA-Fortescue_SDExport'!A:A,'EA-Fortescue_SDExport'!B:B),
    _xlpm.lookupKey, IF(_xlpm.isObject="Object",
        _xlfn.XLOOKUP($A186,'EA-ConnectorExport'!A:A,'EA-ConnectorExport'!J:J),
        $Y186
    ),
    _xlpm.result, _xlfn.XLOOKUP(_xlpm.lookupKey,'EA-Fortescue_SDExport'!A:A,'EA-Fortescue_SDExport'!AA:AA),
    IF(_xlpm.result=0,"",_xlpm.result)
)</f>
        <v>Subsystem</v>
      </c>
      <c r="AA186" s="2" t="str">
        <f>_xlfn.LET(_xlpm.result, _xlfn.XLOOKUP($Y186,'EA-Fortescue_SDExport'!$A:$A,'EA-Fortescue_SDExport'!AB:AB), IF(_xlpm.result=0,"",_xlpm.result))</f>
        <v/>
      </c>
      <c r="AB186" s="2" t="str">
        <f>_xlfn.LET(_xlpm.result, _xlfn.XLOOKUP($Y186,'EA-Fortescue_SDExport'!$A:$A,'EA-Fortescue_SDExport'!AC:AC), IF(_xlpm.result=0,"",_xlpm.result))</f>
        <v/>
      </c>
      <c r="AC186" s="2" t="str">
        <f>_xlfn.LET(
    _xlpm.isObject, _xlfn.XLOOKUP($Y186,'EA-Fortescue_SDExport'!A:A,'EA-Fortescue_SDExport'!B:B),
    _xlpm.lookupKey, IF(_xlpm.isObject="Object",
        _xlfn.XLOOKUP($A186,'EA-ConnectorExport'!A:A,'EA-ConnectorExport'!J:J),
        $Y186
    ),
    _xlpm.result, _xlfn.XLOOKUP(_xlpm.lookupKey,'EA-Fortescue_SDExport'!A:A,'EA-Fortescue_SDExport'!AD:AD),
    IF(_xlpm.result=0,"",_xlpm.result)
)</f>
        <v>859DC HaulX</v>
      </c>
      <c r="AD186" s="2" t="str">
        <f>_xlfn.LET(
    _xlpm.isObject, _xlfn.XLOOKUP($Y186,'EA-Fortescue_SDExport'!A:A,'EA-Fortescue_SDExport'!B:B),
    _xlpm.lookupKey, IF(_xlpm.isObject="Object",
        _xlfn.XLOOKUP($A186,'EA-ConnectorExport'!A:A,'EA-ConnectorExport'!J:J),
        $Y186
    ),
    _xlpm.result, _xlfn.XLOOKUP(_xlpm.lookupKey,'EA-Fortescue_SDExport'!A:A,'EA-Fortescue_SDExport'!AE:AE),
    IF(_xlpm.result=0,"",_xlpm.result)
)</f>
        <v/>
      </c>
      <c r="AE186" s="2" t="str">
        <f>_xlfn.LET(
    _xlpm.isObject, _xlfn.XLOOKUP($Y186,'EA-Fortescue_SDExport'!A:A,'EA-Fortescue_SDExport'!B:B),
    _xlpm.lookupKey, IF(_xlpm.isObject="Object",
        _xlfn.XLOOKUP($A186,'EA-ConnectorExport'!A:A,'EA-ConnectorExport'!J:J),
        $Y186
    ),
    _xlpm.result, _xlfn.XLOOKUP(_xlpm.lookupKey,'EA-Fortescue_SDExport'!A:A,'EA-Fortescue_SDExport'!AF:AF),
    IF(_xlpm.result=0,"",_xlpm.result)
)</f>
        <v>859DC-1410-001 HaulX</v>
      </c>
      <c r="AF186" s="2" t="str">
        <f>_xlfn.LET(
    _xlpm.isObject, _xlfn.XLOOKUP($Y186,'EA-Fortescue_SDExport'!A:A,'EA-Fortescue_SDExport'!B:B),
    _xlpm.lookupKey, IF(_xlpm.isObject="Object",
        _xlfn.XLOOKUP($A186,'EA-ConnectorExport'!A:A,'EA-ConnectorExport'!J:J),
        $Y186
    ),
    _xlpm.result, _xlfn.XLOOKUP(_xlpm.lookupKey,'EA-Fortescue_SDExport'!A:A,'EA-Fortescue_SDExport'!AG:AG),
    IF(_xlpm.result=0,"",_xlpm.result)
)</f>
        <v>859DC-1410-001-001 HaulX Dispatch (Fleet Management System (FMS))</v>
      </c>
    </row>
    <row r="187" spans="1:32" ht="135" x14ac:dyDescent="0.25">
      <c r="A187" s="2" t="str">
        <v>DGS-I_0186</v>
      </c>
      <c r="B187" s="2" t="str">
        <f t="shared" si="8"/>
        <v>005OP-0000-004-001 Alastri Haul Infinity|859DC-1410-001-001 HaulX Dispatch (Fleet Management System (FMS))</v>
      </c>
      <c r="C187" s="2" t="str">
        <f>_xlfn.LET(_xlpm.result, _xlfn.XLOOKUP(A187,'EA-Fortescue_SDExport'!A:A,'EA-Fortescue_SDExport'!AM:AM), IF(_xlpm.result=0,"",_xlpm.result))</f>
        <v/>
      </c>
      <c r="D187" s="2" t="str">
        <f>_xlfn.LET(_xlpm.result, _xlfn.XLOOKUP(A187,'EA-Fortescue_SDExport'!A:A,'EA-Fortescue_SDExport'!AN:AN), IF(_xlpm.result=0,"",_xlpm.result))</f>
        <v/>
      </c>
      <c r="E187" s="2" t="str">
        <f>_xlfn.XLOOKUP(R187&amp;Z187,Lookups!A:A,Lookups!B:B)</f>
        <v>Subsystem - Subsystem Interface</v>
      </c>
      <c r="F187" s="2" t="str">
        <f>_xlfn.LET(_xlpm.result, _xlfn.XLOOKUP(A187,'EA-Fortescue_SDExport'!A:A,'EA-Fortescue_SDExport'!AP:AP), IF(_xlpm.result=0,"",_xlpm.result))</f>
        <v>Technical-Data/Software</v>
      </c>
      <c r="G187" s="2" t="str">
        <f>IF(OR(AND(T187&lt;&gt;"", COUNTIF(Lookups!J:J, "*"&amp;T187&amp;"*")&gt;0), AND(AB187&lt;&gt;"", COUNTIF(Lookups!J:J, "*"&amp;AB187&amp;"*")&gt;0)), "Yes", "No")</f>
        <v>No</v>
      </c>
      <c r="H187" s="2" t="str">
        <f t="shared" si="9"/>
        <v>005OP IT/OT Systems|859DC HaulX</v>
      </c>
      <c r="I187" s="2" t="str">
        <f t="shared" si="10"/>
        <v>N/A</v>
      </c>
      <c r="J187" s="2" t="str">
        <f t="shared" si="11"/>
        <v>005OP-0000-004 Alastri|859DC-1410-001 HaulX</v>
      </c>
      <c r="K187" s="2" t="str">
        <f>_xlfn.XLOOKUP(A187,'EA-Fortescue_SDExport'!A:A,'EA-Fortescue_SDExport'!N:N)</f>
        <v>Proposed</v>
      </c>
      <c r="L187" s="2" t="str">
        <f>_xlfn.LET(_xlpm.result, _xlfn.XLOOKUP($A187,'EA-Fortescue_SDExport'!$A:$A,'EA-Fortescue_SDExport'!AQ:AQ), IF(_xlpm.result=0,"",_xlpm.result))</f>
        <v>This interface allows Haul Infinity to send optimised haulage and cycle-time expectations to HaulX Dispatch so the FMS can assign trucks based on the latest planning simulations.</v>
      </c>
      <c r="M187" s="2" t="str">
        <f>_xlfn.LET(_xlpm.result, _xlfn.XLOOKUP($A187,'EA-Fortescue_SDExport'!$A:$A,'EA-Fortescue_SDExport'!AR:AR), IF(_xlpm.result=0,"",_xlpm.result))</f>
        <v>MEDIUM</v>
      </c>
      <c r="N187" s="2" t="str">
        <f>_xlfn.LET(_xlpm.result, _xlfn.XLOOKUP($A187,'EA-Fortescue_SDExport'!$A:$A,'EA-Fortescue_SDExport'!AW:AW), IF(_xlpm.result=0,"",_xlpm.result))</f>
        <v>The criticality level is MEDIUM because, although the FMS can still dispatch trucks, the process is not optimised. Failure may reduce efficiency, but it does not stop production continuity.</v>
      </c>
      <c r="O187" s="2" t="str">
        <f>_xlfn.LET(_xlpm.result, _xlfn.XLOOKUP($A187,'EA-Fortescue_SDExport'!$A:$A,'EA-Fortescue_SDExport'!AV:AV), IF(_xlpm.result=0,"",_xlpm.result))</f>
        <v>Data Flow: HaulInfinity (Alastri) -&gt; HaulX Dispatch (optimised haulage plans, cycle-time expectations, truck allocation recommendations, routing guidance, performance forecasts) to enable dispatch decisions based on latest simulation outputs.</v>
      </c>
      <c r="P187" s="2" t="str">
        <f>_xlfn.LET(_xlpm.result, _xlfn.XLOOKUP($A187,'EA-Fortescue_SDExport'!$A:$A,'EA-Fortescue_SDExport'!D:D), IF(_xlpm.result=0,"",_xlpm.result))</f>
        <v>NH 20/02/2026: Fields updated: Interface Type, Interface Flow.</v>
      </c>
      <c r="Q187" s="2" t="str">
        <f>_xlfn.LET(
    _xlpm.status, _xlfn.XLOOKUP($A187,'EA-ConnectorExport'!$A:$A,'EA-ConnectorExport'!G:G),
    _xlpm.result, _xlfn.XLOOKUP($A187,'EA-ConnectorExport'!$A:$A,'EA-ConnectorExport'!B:B),
    IF(_xlpm.status="allocate", _xlpm.result, "")
)</f>
        <v>005OP-0000-004-001 Alastri Haul Infinity</v>
      </c>
      <c r="R187" s="2" t="str">
        <f>IF(
    _xlfn.XLOOKUP($Q187,'EA-Fortescue_SDExport'!A:A,'EA-Fortescue_SDExport'!B:B)="Object",
    _xlfn.XLOOKUP(
        _xlfn.XLOOKUP($A187,'EA-ConnectorExport'!A:A,'EA-ConnectorExport'!D:D),
        'EA-Fortescue_SDExport'!A:A,
        'EA-Fortescue_SDExport'!AA:AA
    ),
    _xlfn.XLOOKUP($Q187,'EA-Fortescue_SDExport'!A:A,'EA-Fortescue_SDExport'!AA:AA)
)</f>
        <v>Subsystem</v>
      </c>
      <c r="S187" s="2" t="str">
        <f>_xlfn.LET(_xlpm.result, _xlfn.XLOOKUP($Q187,'EA-Fortescue_SDExport'!$A:$A,'EA-Fortescue_SDExport'!AB:AB), IF(_xlpm.result=0,"",_xlpm.result))</f>
        <v/>
      </c>
      <c r="T187" s="2" t="str">
        <f>_xlfn.LET(_xlpm.result, _xlfn.XLOOKUP($Q187,'EA-Fortescue_SDExport'!$A:$A,'EA-Fortescue_SDExport'!AC:AC), IF(_xlpm.result=0,"",_xlpm.result))</f>
        <v/>
      </c>
      <c r="U187" s="2" t="str">
        <f>_xlfn.LET(
    _xlpm.isObject, _xlfn.XLOOKUP($Q187,'EA-Fortescue_SDExport'!A:A,'EA-Fortescue_SDExport'!B:B),
    _xlpm.lookupKey, IF(_xlpm.isObject="Object",
        _xlfn.XLOOKUP($A187,'EA-ConnectorExport'!A:A,'EA-ConnectorExport'!D:D),
        $Q187
    ),
    _xlpm.result, _xlfn.XLOOKUP(_xlpm.lookupKey,'EA-Fortescue_SDExport'!A:A,'EA-Fortescue_SDExport'!AD:AD),
    IF(_xlpm.result=0,"",_xlpm.result)
)</f>
        <v>005OP IT/OT Systems</v>
      </c>
      <c r="V187" s="2" t="str">
        <f>_xlfn.LET(
    _xlpm.isObject, _xlfn.XLOOKUP($Q187,'EA-Fortescue_SDExport'!A:A,'EA-Fortescue_SDExport'!B:B),
    _xlpm.lookupKey, IF(_xlpm.isObject="Object",
        _xlfn.XLOOKUP($A187,'EA-ConnectorExport'!A:A,'EA-ConnectorExport'!D:D),
        $Q187
    ),
    _xlpm.result, _xlfn.XLOOKUP(_xlpm.lookupKey,'EA-Fortescue_SDExport'!A:A,'EA-Fortescue_SDExport'!AE:AE),
    IF(_xlpm.result=0,"",_xlpm.result)
)</f>
        <v/>
      </c>
      <c r="W187" s="2" t="str">
        <f>_xlfn.LET(
    _xlpm.isObject, _xlfn.XLOOKUP($Q187,'EA-Fortescue_SDExport'!A:A,'EA-Fortescue_SDExport'!B:B),
    _xlpm.lookupKey, IF(_xlpm.isObject="Object",
        _xlfn.XLOOKUP($A187,'EA-ConnectorExport'!A:A,'EA-ConnectorExport'!D:D),
        $Q187
    ),
    _xlpm.result, _xlfn.XLOOKUP(_xlpm.lookupKey,'EA-Fortescue_SDExport'!A:A,'EA-Fortescue_SDExport'!AF:AF),
    IF(_xlpm.result=0,"",_xlpm.result)
)</f>
        <v>005OP-0000-004 Alastri</v>
      </c>
      <c r="X187" s="2" t="str">
        <f>_xlfn.LET(
    _xlpm.isObject, _xlfn.XLOOKUP($Q187,'EA-Fortescue_SDExport'!A:A,'EA-Fortescue_SDExport'!B:B),
    _xlpm.lookupKey, IF(_xlpm.isObject="Object",
        _xlfn.XLOOKUP($A187,'EA-ConnectorExport'!A:A,'EA-ConnectorExport'!D:D),
        $Q187
    ),
    _xlpm.result, _xlfn.XLOOKUP(_xlpm.lookupKey,'EA-Fortescue_SDExport'!A:A,'EA-Fortescue_SDExport'!AG:AG),
    IF(_xlpm.result=0,"",_xlpm.result)
)</f>
        <v>005OP-0000-004-001 Alastri Haul Infinity</v>
      </c>
      <c r="Y187" s="2" t="str">
        <f>_xlfn.LET(
    _xlpm.status, _xlfn.XLOOKUP($A187,'EA-ConnectorExport'!$A:$A,'EA-ConnectorExport'!G:G),
    _xlpm.result, _xlfn.XLOOKUP($A187,'EA-ConnectorExport'!$A:$A,'EA-ConnectorExport'!H:H),
    IF(_xlpm.status="allocate", _xlpm.result, "")
)</f>
        <v>859DC-1410-001-001 HaulX Dispatch (Fleet Management System (FMS))</v>
      </c>
      <c r="Z187" s="2" t="str">
        <f>_xlfn.LET(
    _xlpm.isObject, _xlfn.XLOOKUP($Y187,'EA-Fortescue_SDExport'!A:A,'EA-Fortescue_SDExport'!B:B),
    _xlpm.lookupKey, IF(_xlpm.isObject="Object",
        _xlfn.XLOOKUP($A187,'EA-ConnectorExport'!A:A,'EA-ConnectorExport'!J:J),
        $Y187
    ),
    _xlpm.result, _xlfn.XLOOKUP(_xlpm.lookupKey,'EA-Fortescue_SDExport'!A:A,'EA-Fortescue_SDExport'!AA:AA),
    IF(_xlpm.result=0,"",_xlpm.result)
)</f>
        <v>Subsystem</v>
      </c>
      <c r="AA187" s="2" t="str">
        <f>_xlfn.LET(_xlpm.result, _xlfn.XLOOKUP($Y187,'EA-Fortescue_SDExport'!$A:$A,'EA-Fortescue_SDExport'!AB:AB), IF(_xlpm.result=0,"",_xlpm.result))</f>
        <v/>
      </c>
      <c r="AB187" s="2" t="str">
        <f>_xlfn.LET(_xlpm.result, _xlfn.XLOOKUP($Y187,'EA-Fortescue_SDExport'!$A:$A,'EA-Fortescue_SDExport'!AC:AC), IF(_xlpm.result=0,"",_xlpm.result))</f>
        <v/>
      </c>
      <c r="AC187" s="2" t="str">
        <f>_xlfn.LET(
    _xlpm.isObject, _xlfn.XLOOKUP($Y187,'EA-Fortescue_SDExport'!A:A,'EA-Fortescue_SDExport'!B:B),
    _xlpm.lookupKey, IF(_xlpm.isObject="Object",
        _xlfn.XLOOKUP($A187,'EA-ConnectorExport'!A:A,'EA-ConnectorExport'!J:J),
        $Y187
    ),
    _xlpm.result, _xlfn.XLOOKUP(_xlpm.lookupKey,'EA-Fortescue_SDExport'!A:A,'EA-Fortescue_SDExport'!AD:AD),
    IF(_xlpm.result=0,"",_xlpm.result)
)</f>
        <v>859DC HaulX</v>
      </c>
      <c r="AD187" s="2" t="str">
        <f>_xlfn.LET(
    _xlpm.isObject, _xlfn.XLOOKUP($Y187,'EA-Fortescue_SDExport'!A:A,'EA-Fortescue_SDExport'!B:B),
    _xlpm.lookupKey, IF(_xlpm.isObject="Object",
        _xlfn.XLOOKUP($A187,'EA-ConnectorExport'!A:A,'EA-ConnectorExport'!J:J),
        $Y187
    ),
    _xlpm.result, _xlfn.XLOOKUP(_xlpm.lookupKey,'EA-Fortescue_SDExport'!A:A,'EA-Fortescue_SDExport'!AE:AE),
    IF(_xlpm.result=0,"",_xlpm.result)
)</f>
        <v/>
      </c>
      <c r="AE187" s="2" t="str">
        <f>_xlfn.LET(
    _xlpm.isObject, _xlfn.XLOOKUP($Y187,'EA-Fortescue_SDExport'!A:A,'EA-Fortescue_SDExport'!B:B),
    _xlpm.lookupKey, IF(_xlpm.isObject="Object",
        _xlfn.XLOOKUP($A187,'EA-ConnectorExport'!A:A,'EA-ConnectorExport'!J:J),
        $Y187
    ),
    _xlpm.result, _xlfn.XLOOKUP(_xlpm.lookupKey,'EA-Fortescue_SDExport'!A:A,'EA-Fortescue_SDExport'!AF:AF),
    IF(_xlpm.result=0,"",_xlpm.result)
)</f>
        <v>859DC-1410-001 HaulX</v>
      </c>
      <c r="AF187" s="2" t="str">
        <f>_xlfn.LET(
    _xlpm.isObject, _xlfn.XLOOKUP($Y187,'EA-Fortescue_SDExport'!A:A,'EA-Fortescue_SDExport'!B:B),
    _xlpm.lookupKey, IF(_xlpm.isObject="Object",
        _xlfn.XLOOKUP($A187,'EA-ConnectorExport'!A:A,'EA-ConnectorExport'!J:J),
        $Y187
    ),
    _xlpm.result, _xlfn.XLOOKUP(_xlpm.lookupKey,'EA-Fortescue_SDExport'!A:A,'EA-Fortescue_SDExport'!AG:AG),
    IF(_xlpm.result=0,"",_xlpm.result)
)</f>
        <v>859DC-1410-001-001 HaulX Dispatch (Fleet Management System (FMS))</v>
      </c>
    </row>
    <row r="188" spans="1:32" ht="60" x14ac:dyDescent="0.25">
      <c r="A188" s="2" t="str">
        <v>DGS-I_0187</v>
      </c>
      <c r="B188" s="2" t="str">
        <f t="shared" si="8"/>
        <v>855DC-1541-DEL Delphi|859DC-1410-001-001 HaulX Dispatch (Fleet Management System (FMS))</v>
      </c>
      <c r="C188" s="2" t="str">
        <f>_xlfn.LET(_xlpm.result, _xlfn.XLOOKUP(A188,'EA-Fortescue_SDExport'!A:A,'EA-Fortescue_SDExport'!AM:AM), IF(_xlpm.result=0,"",_xlpm.result))</f>
        <v/>
      </c>
      <c r="D188" s="2" t="str">
        <f>_xlfn.LET(_xlpm.result, _xlfn.XLOOKUP(A188,'EA-Fortescue_SDExport'!A:A,'EA-Fortescue_SDExport'!AN:AN), IF(_xlpm.result=0,"",_xlpm.result))</f>
        <v/>
      </c>
      <c r="E188" s="2" t="str">
        <f>_xlfn.XLOOKUP(R188&amp;Z188,Lookups!A:A,Lookups!B:B)</f>
        <v>Project - Subsystem Interface</v>
      </c>
      <c r="F188" s="2" t="str">
        <f>_xlfn.LET(_xlpm.result, _xlfn.XLOOKUP(A188,'EA-Fortescue_SDExport'!A:A,'EA-Fortescue_SDExport'!AP:AP), IF(_xlpm.result=0,"",_xlpm.result))</f>
        <v/>
      </c>
      <c r="G188" s="2" t="str">
        <f>IF(OR(AND(T188&lt;&gt;"", COUNTIF(Lookups!J:J, "*"&amp;T188&amp;"*")&gt;0), AND(AB188&lt;&gt;"", COUNTIF(Lookups!J:J, "*"&amp;AB188&amp;"*")&gt;0)), "Yes", "No")</f>
        <v>No</v>
      </c>
      <c r="H188" s="2" t="str">
        <f t="shared" si="9"/>
        <v>855DC Decarb Green Systems|859DC HaulX</v>
      </c>
      <c r="I188" s="2" t="str">
        <f t="shared" si="10"/>
        <v>855DC-1541 Planning and Forecast Systems|N/A</v>
      </c>
      <c r="J188" s="2" t="str">
        <f t="shared" si="11"/>
        <v>855DC-1541-DEL Delphi|859DC-1410-001 HaulX</v>
      </c>
      <c r="K188" s="2" t="str">
        <f>_xlfn.XLOOKUP(A188,'EA-Fortescue_SDExport'!A:A,'EA-Fortescue_SDExport'!N:N)</f>
        <v>Deleted</v>
      </c>
      <c r="L188" s="2" t="str">
        <f>_xlfn.LET(_xlpm.result, _xlfn.XLOOKUP($A188,'EA-Fortescue_SDExport'!$A:$A,'EA-Fortescue_SDExport'!AQ:AQ), IF(_xlpm.result=0,"",_xlpm.result))</f>
        <v/>
      </c>
      <c r="M188" s="2" t="str">
        <f>_xlfn.LET(_xlpm.result, _xlfn.XLOOKUP($A188,'EA-Fortescue_SDExport'!$A:$A,'EA-Fortescue_SDExport'!AR:AR), IF(_xlpm.result=0,"",_xlpm.result))</f>
        <v/>
      </c>
      <c r="N188" s="2" t="str">
        <f>_xlfn.LET(_xlpm.result, _xlfn.XLOOKUP($A188,'EA-Fortescue_SDExport'!$A:$A,'EA-Fortescue_SDExport'!AW:AW), IF(_xlpm.result=0,"",_xlpm.result))</f>
        <v/>
      </c>
      <c r="O188" s="2" t="str">
        <f>_xlfn.LET(_xlpm.result, _xlfn.XLOOKUP($A188,'EA-Fortescue_SDExport'!$A:$A,'EA-Fortescue_SDExport'!AV:AV), IF(_xlpm.result=0,"",_xlpm.result))</f>
        <v/>
      </c>
      <c r="P188" s="2" t="str">
        <f>_xlfn.LET(_xlpm.result, _xlfn.XLOOKUP($A188,'EA-Fortescue_SDExport'!$A:$A,'EA-Fortescue_SDExport'!D:D), IF(_xlpm.result=0,"",_xlpm.result))</f>
        <v>Interface Review 25/11/2025: Delete (more eclipse)</v>
      </c>
      <c r="Q188" s="2" t="str">
        <f>_xlfn.LET(
    _xlpm.status, _xlfn.XLOOKUP($A188,'EA-ConnectorExport'!$A:$A,'EA-ConnectorExport'!G:G),
    _xlpm.result, _xlfn.XLOOKUP($A188,'EA-ConnectorExport'!$A:$A,'EA-ConnectorExport'!B:B),
    IF(_xlpm.status="allocate", _xlpm.result, "")
)</f>
        <v>855DC-1541-DEL Delphi</v>
      </c>
      <c r="R188" s="2" t="str">
        <f>IF(
    _xlfn.XLOOKUP($Q188,'EA-Fortescue_SDExport'!A:A,'EA-Fortescue_SDExport'!B:B)="Object",
    _xlfn.XLOOKUP(
        _xlfn.XLOOKUP($A188,'EA-ConnectorExport'!A:A,'EA-ConnectorExport'!D:D),
        'EA-Fortescue_SDExport'!A:A,
        'EA-Fortescue_SDExport'!AA:AA
    ),
    _xlfn.XLOOKUP($Q188,'EA-Fortescue_SDExport'!A:A,'EA-Fortescue_SDExport'!AA:AA)
)</f>
        <v>Project</v>
      </c>
      <c r="S188" s="2" t="str">
        <f>_xlfn.LET(_xlpm.result, _xlfn.XLOOKUP($Q188,'EA-Fortescue_SDExport'!$A:$A,'EA-Fortescue_SDExport'!AB:AB), IF(_xlpm.result=0,"",_xlpm.result))</f>
        <v>Energy Operations</v>
      </c>
      <c r="T188" s="2" t="str">
        <f>_xlfn.LET(_xlpm.result, _xlfn.XLOOKUP($Q188,'EA-Fortescue_SDExport'!$A:$A,'EA-Fortescue_SDExport'!AC:AC), IF(_xlpm.result=0,"",_xlpm.result))</f>
        <v/>
      </c>
      <c r="U188" s="2" t="str">
        <f>_xlfn.LET(
    _xlpm.isObject, _xlfn.XLOOKUP($Q188,'EA-Fortescue_SDExport'!A:A,'EA-Fortescue_SDExport'!B:B),
    _xlpm.lookupKey, IF(_xlpm.isObject="Object",
        _xlfn.XLOOKUP($A188,'EA-ConnectorExport'!A:A,'EA-ConnectorExport'!D:D),
        $Q188
    ),
    _xlpm.result, _xlfn.XLOOKUP(_xlpm.lookupKey,'EA-Fortescue_SDExport'!A:A,'EA-Fortescue_SDExport'!AD:AD),
    IF(_xlpm.result=0,"",_xlpm.result)
)</f>
        <v>855DC Decarb Green Systems</v>
      </c>
      <c r="V188" s="2" t="str">
        <f>_xlfn.LET(
    _xlpm.isObject, _xlfn.XLOOKUP($Q188,'EA-Fortescue_SDExport'!A:A,'EA-Fortescue_SDExport'!B:B),
    _xlpm.lookupKey, IF(_xlpm.isObject="Object",
        _xlfn.XLOOKUP($A188,'EA-ConnectorExport'!A:A,'EA-ConnectorExport'!D:D),
        $Q188
    ),
    _xlpm.result, _xlfn.XLOOKUP(_xlpm.lookupKey,'EA-Fortescue_SDExport'!A:A,'EA-Fortescue_SDExport'!AE:AE),
    IF(_xlpm.result=0,"",_xlpm.result)
)</f>
        <v>855DC-1541 Planning and Forecast Systems</v>
      </c>
      <c r="W188" s="2" t="str">
        <f>_xlfn.LET(
    _xlpm.isObject, _xlfn.XLOOKUP($Q188,'EA-Fortescue_SDExport'!A:A,'EA-Fortescue_SDExport'!B:B),
    _xlpm.lookupKey, IF(_xlpm.isObject="Object",
        _xlfn.XLOOKUP($A188,'EA-ConnectorExport'!A:A,'EA-ConnectorExport'!D:D),
        $Q188
    ),
    _xlpm.result, _xlfn.XLOOKUP(_xlpm.lookupKey,'EA-Fortescue_SDExport'!A:A,'EA-Fortescue_SDExport'!AF:AF),
    IF(_xlpm.result=0,"",_xlpm.result)
)</f>
        <v>855DC-1541-DEL Delphi</v>
      </c>
      <c r="X188" s="2" t="str">
        <f>_xlfn.LET(
    _xlpm.isObject, _xlfn.XLOOKUP($Q188,'EA-Fortescue_SDExport'!A:A,'EA-Fortescue_SDExport'!B:B),
    _xlpm.lookupKey, IF(_xlpm.isObject="Object",
        _xlfn.XLOOKUP($A188,'EA-ConnectorExport'!A:A,'EA-ConnectorExport'!D:D),
        $Q188
    ),
    _xlpm.result, _xlfn.XLOOKUP(_xlpm.lookupKey,'EA-Fortescue_SDExport'!A:A,'EA-Fortescue_SDExport'!AG:AG),
    IF(_xlpm.result=0,"",_xlpm.result)
)</f>
        <v/>
      </c>
      <c r="Y188" s="2" t="str">
        <f>_xlfn.LET(
    _xlpm.status, _xlfn.XLOOKUP($A188,'EA-ConnectorExport'!$A:$A,'EA-ConnectorExport'!G:G),
    _xlpm.result, _xlfn.XLOOKUP($A188,'EA-ConnectorExport'!$A:$A,'EA-ConnectorExport'!H:H),
    IF(_xlpm.status="allocate", _xlpm.result, "")
)</f>
        <v>859DC-1410-001-001 HaulX Dispatch (Fleet Management System (FMS))</v>
      </c>
      <c r="Z188" s="2" t="str">
        <f>_xlfn.LET(
    _xlpm.isObject, _xlfn.XLOOKUP($Y188,'EA-Fortescue_SDExport'!A:A,'EA-Fortescue_SDExport'!B:B),
    _xlpm.lookupKey, IF(_xlpm.isObject="Object",
        _xlfn.XLOOKUP($A188,'EA-ConnectorExport'!A:A,'EA-ConnectorExport'!J:J),
        $Y188
    ),
    _xlpm.result, _xlfn.XLOOKUP(_xlpm.lookupKey,'EA-Fortescue_SDExport'!A:A,'EA-Fortescue_SDExport'!AA:AA),
    IF(_xlpm.result=0,"",_xlpm.result)
)</f>
        <v>Subsystem</v>
      </c>
      <c r="AA188" s="2" t="str">
        <f>_xlfn.LET(_xlpm.result, _xlfn.XLOOKUP($Y188,'EA-Fortescue_SDExport'!$A:$A,'EA-Fortescue_SDExport'!AB:AB), IF(_xlpm.result=0,"",_xlpm.result))</f>
        <v/>
      </c>
      <c r="AB188" s="2" t="str">
        <f>_xlfn.LET(_xlpm.result, _xlfn.XLOOKUP($Y188,'EA-Fortescue_SDExport'!$A:$A,'EA-Fortescue_SDExport'!AC:AC), IF(_xlpm.result=0,"",_xlpm.result))</f>
        <v/>
      </c>
      <c r="AC188" s="2" t="str">
        <f>_xlfn.LET(
    _xlpm.isObject, _xlfn.XLOOKUP($Y188,'EA-Fortescue_SDExport'!A:A,'EA-Fortescue_SDExport'!B:B),
    _xlpm.lookupKey, IF(_xlpm.isObject="Object",
        _xlfn.XLOOKUP($A188,'EA-ConnectorExport'!A:A,'EA-ConnectorExport'!J:J),
        $Y188
    ),
    _xlpm.result, _xlfn.XLOOKUP(_xlpm.lookupKey,'EA-Fortescue_SDExport'!A:A,'EA-Fortescue_SDExport'!AD:AD),
    IF(_xlpm.result=0,"",_xlpm.result)
)</f>
        <v>859DC HaulX</v>
      </c>
      <c r="AD188" s="2" t="str">
        <f>_xlfn.LET(
    _xlpm.isObject, _xlfn.XLOOKUP($Y188,'EA-Fortescue_SDExport'!A:A,'EA-Fortescue_SDExport'!B:B),
    _xlpm.lookupKey, IF(_xlpm.isObject="Object",
        _xlfn.XLOOKUP($A188,'EA-ConnectorExport'!A:A,'EA-ConnectorExport'!J:J),
        $Y188
    ),
    _xlpm.result, _xlfn.XLOOKUP(_xlpm.lookupKey,'EA-Fortescue_SDExport'!A:A,'EA-Fortescue_SDExport'!AE:AE),
    IF(_xlpm.result=0,"",_xlpm.result)
)</f>
        <v/>
      </c>
      <c r="AE188" s="2" t="str">
        <f>_xlfn.LET(
    _xlpm.isObject, _xlfn.XLOOKUP($Y188,'EA-Fortescue_SDExport'!A:A,'EA-Fortescue_SDExport'!B:B),
    _xlpm.lookupKey, IF(_xlpm.isObject="Object",
        _xlfn.XLOOKUP($A188,'EA-ConnectorExport'!A:A,'EA-ConnectorExport'!J:J),
        $Y188
    ),
    _xlpm.result, _xlfn.XLOOKUP(_xlpm.lookupKey,'EA-Fortescue_SDExport'!A:A,'EA-Fortescue_SDExport'!AF:AF),
    IF(_xlpm.result=0,"",_xlpm.result)
)</f>
        <v>859DC-1410-001 HaulX</v>
      </c>
      <c r="AF188" s="2" t="str">
        <f>_xlfn.LET(
    _xlpm.isObject, _xlfn.XLOOKUP($Y188,'EA-Fortescue_SDExport'!A:A,'EA-Fortescue_SDExport'!B:B),
    _xlpm.lookupKey, IF(_xlpm.isObject="Object",
        _xlfn.XLOOKUP($A188,'EA-ConnectorExport'!A:A,'EA-ConnectorExport'!J:J),
        $Y188
    ),
    _xlpm.result, _xlfn.XLOOKUP(_xlpm.lookupKey,'EA-Fortescue_SDExport'!A:A,'EA-Fortescue_SDExport'!AG:AG),
    IF(_xlpm.result=0,"",_xlpm.result)
)</f>
        <v>859DC-1410-001-001 HaulX Dispatch (Fleet Management System (FMS))</v>
      </c>
    </row>
    <row r="189" spans="1:32" ht="270" x14ac:dyDescent="0.25">
      <c r="A189" s="2" t="str">
        <v>DGS-I_0188</v>
      </c>
      <c r="B189" s="2" t="str">
        <f t="shared" si="8"/>
        <v>005OP-0000-004-002 Alastri Production Scheduler (APS) / Alastri Tactical Scheduler (ATS)|855DC-1541-DEL Delphi</v>
      </c>
      <c r="C189" s="2" t="str">
        <f>_xlfn.LET(_xlpm.result, _xlfn.XLOOKUP(A189,'EA-Fortescue_SDExport'!A:A,'EA-Fortescue_SDExport'!AM:AM), IF(_xlpm.result=0,"",_xlpm.result))</f>
        <v/>
      </c>
      <c r="D189" s="2" t="str">
        <f>_xlfn.LET(_xlpm.result, _xlfn.XLOOKUP(A189,'EA-Fortescue_SDExport'!A:A,'EA-Fortescue_SDExport'!AN:AN), IF(_xlpm.result=0,"",_xlpm.result))</f>
        <v/>
      </c>
      <c r="E189" s="2" t="str">
        <f>_xlfn.XLOOKUP(R189&amp;Z189,Lookups!A:A,Lookups!B:B)</f>
        <v>Project - Subsystem Interface</v>
      </c>
      <c r="F189" s="2" t="str">
        <f>_xlfn.LET(_xlpm.result, _xlfn.XLOOKUP(A189,'EA-Fortescue_SDExport'!A:A,'EA-Fortescue_SDExport'!AP:AP), IF(_xlpm.result=0,"",_xlpm.result))</f>
        <v>Technical-Data/Software</v>
      </c>
      <c r="G189" s="2" t="str">
        <f>IF(OR(AND(T189&lt;&gt;"", COUNTIF(Lookups!J:J, "*"&amp;T189&amp;"*")&gt;0), AND(AB189&lt;&gt;"", COUNTIF(Lookups!J:J, "*"&amp;AB189&amp;"*")&gt;0)), "Yes", "No")</f>
        <v>No</v>
      </c>
      <c r="H189" s="2" t="str">
        <f t="shared" si="9"/>
        <v>005OP IT/OT Systems|855DC Decarb Green Systems</v>
      </c>
      <c r="I189" s="2" t="str">
        <f t="shared" si="10"/>
        <v>N/A|855DC-1541 Planning and Forecast Systems</v>
      </c>
      <c r="J189" s="2" t="str">
        <f t="shared" si="11"/>
        <v>005OP-0000-004 Alastri|855DC-1541-DEL Delphi</v>
      </c>
      <c r="K189" s="2" t="str">
        <f>_xlfn.XLOOKUP(A189,'EA-Fortescue_SDExport'!A:A,'EA-Fortescue_SDExport'!N:N)</f>
        <v>Proposed</v>
      </c>
      <c r="L189" s="2" t="str">
        <f>_xlfn.LET(_xlpm.result, _xlfn.XLOOKUP($A189,'EA-Fortescue_SDExport'!$A:$A,'EA-Fortescue_SDExport'!AQ:AQ), IF(_xlpm.result=0,"",_xlpm.result))</f>
        <v>This interface enables Delphi to receive production schedules and activity sequencing data from the Alastri Production Scheduler (APS) and Alastri Tactical Scheduler (ATS). The scheduling data informs Delphi's load forecasting, scenario construction, and energy modelling by reflecting planned production intensity, equipment utilisation, and timing. This interface supports forecast alignment with operational intent and is read-only from Delphi's perspective.</v>
      </c>
      <c r="M189" s="2" t="str">
        <f>_xlfn.LET(_xlpm.result, _xlfn.XLOOKUP($A189,'EA-Fortescue_SDExport'!$A:$A,'EA-Fortescue_SDExport'!AR:AR), IF(_xlpm.result=0,"",_xlpm.result))</f>
        <v>MEDIUM</v>
      </c>
      <c r="N189" s="2" t="str">
        <f>_xlfn.LET(_xlpm.result, _xlfn.XLOOKUP($A189,'EA-Fortescue_SDExport'!$A:$A,'EA-Fortescue_SDExport'!AW:AW), IF(_xlpm.result=0,"",_xlpm.result))</f>
        <v>The criticality is MEDIUM because APS/ATS schedules influence forecast accuracy and scenario realism within Delphi, but they do not directly affect real-time dispatch, control systems, or safety-critical operations. Failure would reduce forecast quality and planning alignment but would not interrupt operational continuity.</v>
      </c>
      <c r="O189" s="2" t="str">
        <f>_xlfn.LET(_xlpm.result, _xlfn.XLOOKUP($A189,'EA-Fortescue_SDExport'!$A:$A,'EA-Fortescue_SDExport'!AV:AV), IF(_xlpm.result=0,"",_xlpm.result))</f>
        <v>Alastri Production Scheduler (APS) / Alastri Tactical Scheduler (ATS) -&gt; Delphi</v>
      </c>
      <c r="P189" s="2" t="str">
        <f>_xlfn.LET(_xlpm.result, _xlfn.XLOOKUP($A189,'EA-Fortescue_SDExport'!$A:$A,'EA-Fortescue_SDExport'!D:D), IF(_xlpm.result=0,"",_xlpm.result))</f>
        <v>Interface Review 25/11/2025: Delete no integration_x000D_
DocStack-SAComparison_Delphi 18/02/2026: Reinstate DGS-I_0021, DGS-I_0188._x000D_
NH 18/02/2026: Fields updated: Interface Type, Interface Description (Interface Purpose), Interface Criticality, Interface Criticality Explanation, Interface Flow.</v>
      </c>
      <c r="Q189" s="2" t="str">
        <f>_xlfn.LET(
    _xlpm.status, _xlfn.XLOOKUP($A189,'EA-ConnectorExport'!$A:$A,'EA-ConnectorExport'!G:G),
    _xlpm.result, _xlfn.XLOOKUP($A189,'EA-ConnectorExport'!$A:$A,'EA-ConnectorExport'!B:B),
    IF(_xlpm.status="allocate", _xlpm.result, "")
)</f>
        <v>005OP-0000-004-002 Alastri Production Scheduler (APS) / Alastri Tactical Scheduler (ATS)</v>
      </c>
      <c r="R189" s="2" t="str">
        <f>IF(
    _xlfn.XLOOKUP($Q189,'EA-Fortescue_SDExport'!A:A,'EA-Fortescue_SDExport'!B:B)="Object",
    _xlfn.XLOOKUP(
        _xlfn.XLOOKUP($A189,'EA-ConnectorExport'!A:A,'EA-ConnectorExport'!D:D),
        'EA-Fortescue_SDExport'!A:A,
        'EA-Fortescue_SDExport'!AA:AA
    ),
    _xlfn.XLOOKUP($Q189,'EA-Fortescue_SDExport'!A:A,'EA-Fortescue_SDExport'!AA:AA)
)</f>
        <v>Subsystem</v>
      </c>
      <c r="S189" s="2" t="str">
        <f>_xlfn.LET(_xlpm.result, _xlfn.XLOOKUP($Q189,'EA-Fortescue_SDExport'!$A:$A,'EA-Fortescue_SDExport'!AB:AB), IF(_xlpm.result=0,"",_xlpm.result))</f>
        <v/>
      </c>
      <c r="T189" s="2" t="str">
        <f>_xlfn.LET(_xlpm.result, _xlfn.XLOOKUP($Q189,'EA-Fortescue_SDExport'!$A:$A,'EA-Fortescue_SDExport'!AC:AC), IF(_xlpm.result=0,"",_xlpm.result))</f>
        <v/>
      </c>
      <c r="U189" s="2" t="str">
        <f>_xlfn.LET(
    _xlpm.isObject, _xlfn.XLOOKUP($Q189,'EA-Fortescue_SDExport'!A:A,'EA-Fortescue_SDExport'!B:B),
    _xlpm.lookupKey, IF(_xlpm.isObject="Object",
        _xlfn.XLOOKUP($A189,'EA-ConnectorExport'!A:A,'EA-ConnectorExport'!D:D),
        $Q189
    ),
    _xlpm.result, _xlfn.XLOOKUP(_xlpm.lookupKey,'EA-Fortescue_SDExport'!A:A,'EA-Fortescue_SDExport'!AD:AD),
    IF(_xlpm.result=0,"",_xlpm.result)
)</f>
        <v>005OP IT/OT Systems</v>
      </c>
      <c r="V189" s="2" t="str">
        <f>_xlfn.LET(
    _xlpm.isObject, _xlfn.XLOOKUP($Q189,'EA-Fortescue_SDExport'!A:A,'EA-Fortescue_SDExport'!B:B),
    _xlpm.lookupKey, IF(_xlpm.isObject="Object",
        _xlfn.XLOOKUP($A189,'EA-ConnectorExport'!A:A,'EA-ConnectorExport'!D:D),
        $Q189
    ),
    _xlpm.result, _xlfn.XLOOKUP(_xlpm.lookupKey,'EA-Fortescue_SDExport'!A:A,'EA-Fortescue_SDExport'!AE:AE),
    IF(_xlpm.result=0,"",_xlpm.result)
)</f>
        <v/>
      </c>
      <c r="W189" s="2" t="str">
        <f>_xlfn.LET(
    _xlpm.isObject, _xlfn.XLOOKUP($Q189,'EA-Fortescue_SDExport'!A:A,'EA-Fortescue_SDExport'!B:B),
    _xlpm.lookupKey, IF(_xlpm.isObject="Object",
        _xlfn.XLOOKUP($A189,'EA-ConnectorExport'!A:A,'EA-ConnectorExport'!D:D),
        $Q189
    ),
    _xlpm.result, _xlfn.XLOOKUP(_xlpm.lookupKey,'EA-Fortescue_SDExport'!A:A,'EA-Fortescue_SDExport'!AF:AF),
    IF(_xlpm.result=0,"",_xlpm.result)
)</f>
        <v>005OP-0000-004 Alastri</v>
      </c>
      <c r="X189" s="2" t="str">
        <f>_xlfn.LET(
    _xlpm.isObject, _xlfn.XLOOKUP($Q189,'EA-Fortescue_SDExport'!A:A,'EA-Fortescue_SDExport'!B:B),
    _xlpm.lookupKey, IF(_xlpm.isObject="Object",
        _xlfn.XLOOKUP($A189,'EA-ConnectorExport'!A:A,'EA-ConnectorExport'!D:D),
        $Q189
    ),
    _xlpm.result, _xlfn.XLOOKUP(_xlpm.lookupKey,'EA-Fortescue_SDExport'!A:A,'EA-Fortescue_SDExport'!AG:AG),
    IF(_xlpm.result=0,"",_xlpm.result)
)</f>
        <v>005OP-0000-004-002 Alastri Production Scheduler (APS)</v>
      </c>
      <c r="Y189" s="2" t="str">
        <f>_xlfn.LET(
    _xlpm.status, _xlfn.XLOOKUP($A189,'EA-ConnectorExport'!$A:$A,'EA-ConnectorExport'!G:G),
    _xlpm.result, _xlfn.XLOOKUP($A189,'EA-ConnectorExport'!$A:$A,'EA-ConnectorExport'!H:H),
    IF(_xlpm.status="allocate", _xlpm.result, "")
)</f>
        <v>855DC-1541-DEL Delphi</v>
      </c>
      <c r="Z189" s="2" t="str">
        <f>_xlfn.LET(
    _xlpm.isObject, _xlfn.XLOOKUP($Y189,'EA-Fortescue_SDExport'!A:A,'EA-Fortescue_SDExport'!B:B),
    _xlpm.lookupKey, IF(_xlpm.isObject="Object",
        _xlfn.XLOOKUP($A189,'EA-ConnectorExport'!A:A,'EA-ConnectorExport'!J:J),
        $Y189
    ),
    _xlpm.result, _xlfn.XLOOKUP(_xlpm.lookupKey,'EA-Fortescue_SDExport'!A:A,'EA-Fortescue_SDExport'!AA:AA),
    IF(_xlpm.result=0,"",_xlpm.result)
)</f>
        <v>Project</v>
      </c>
      <c r="AA189" s="2" t="str">
        <f>_xlfn.LET(_xlpm.result, _xlfn.XLOOKUP($Y189,'EA-Fortescue_SDExport'!$A:$A,'EA-Fortescue_SDExport'!AB:AB), IF(_xlpm.result=0,"",_xlpm.result))</f>
        <v>Energy Operations</v>
      </c>
      <c r="AB189" s="2" t="str">
        <f>_xlfn.LET(_xlpm.result, _xlfn.XLOOKUP($Y189,'EA-Fortescue_SDExport'!$A:$A,'EA-Fortescue_SDExport'!AC:AC), IF(_xlpm.result=0,"",_xlpm.result))</f>
        <v/>
      </c>
      <c r="AC189" s="2" t="str">
        <f>_xlfn.LET(
    _xlpm.isObject, _xlfn.XLOOKUP($Y189,'EA-Fortescue_SDExport'!A:A,'EA-Fortescue_SDExport'!B:B),
    _xlpm.lookupKey, IF(_xlpm.isObject="Object",
        _xlfn.XLOOKUP($A189,'EA-ConnectorExport'!A:A,'EA-ConnectorExport'!J:J),
        $Y189
    ),
    _xlpm.result, _xlfn.XLOOKUP(_xlpm.lookupKey,'EA-Fortescue_SDExport'!A:A,'EA-Fortescue_SDExport'!AD:AD),
    IF(_xlpm.result=0,"",_xlpm.result)
)</f>
        <v>855DC Decarb Green Systems</v>
      </c>
      <c r="AD189" s="2" t="str">
        <f>_xlfn.LET(
    _xlpm.isObject, _xlfn.XLOOKUP($Y189,'EA-Fortescue_SDExport'!A:A,'EA-Fortescue_SDExport'!B:B),
    _xlpm.lookupKey, IF(_xlpm.isObject="Object",
        _xlfn.XLOOKUP($A189,'EA-ConnectorExport'!A:A,'EA-ConnectorExport'!J:J),
        $Y189
    ),
    _xlpm.result, _xlfn.XLOOKUP(_xlpm.lookupKey,'EA-Fortescue_SDExport'!A:A,'EA-Fortescue_SDExport'!AE:AE),
    IF(_xlpm.result=0,"",_xlpm.result)
)</f>
        <v>855DC-1541 Planning and Forecast Systems</v>
      </c>
      <c r="AE189" s="2" t="str">
        <f>_xlfn.LET(
    _xlpm.isObject, _xlfn.XLOOKUP($Y189,'EA-Fortescue_SDExport'!A:A,'EA-Fortescue_SDExport'!B:B),
    _xlpm.lookupKey, IF(_xlpm.isObject="Object",
        _xlfn.XLOOKUP($A189,'EA-ConnectorExport'!A:A,'EA-ConnectorExport'!J:J),
        $Y189
    ),
    _xlpm.result, _xlfn.XLOOKUP(_xlpm.lookupKey,'EA-Fortescue_SDExport'!A:A,'EA-Fortescue_SDExport'!AF:AF),
    IF(_xlpm.result=0,"",_xlpm.result)
)</f>
        <v>855DC-1541-DEL Delphi</v>
      </c>
      <c r="AF189" s="2" t="str">
        <f>_xlfn.LET(
    _xlpm.isObject, _xlfn.XLOOKUP($Y189,'EA-Fortescue_SDExport'!A:A,'EA-Fortescue_SDExport'!B:B),
    _xlpm.lookupKey, IF(_xlpm.isObject="Object",
        _xlfn.XLOOKUP($A189,'EA-ConnectorExport'!A:A,'EA-ConnectorExport'!J:J),
        $Y189
    ),
    _xlpm.result, _xlfn.XLOOKUP(_xlpm.lookupKey,'EA-Fortescue_SDExport'!A:A,'EA-Fortescue_SDExport'!AG:AG),
    IF(_xlpm.result=0,"",_xlpm.result)
)</f>
        <v/>
      </c>
    </row>
    <row r="190" spans="1:32" ht="240" x14ac:dyDescent="0.25">
      <c r="A190" s="2" t="str">
        <v>DGS-I_0189</v>
      </c>
      <c r="B190" s="2" t="str">
        <f t="shared" si="8"/>
        <v>855DC-1541-PPC Pit Power Capacity Planning Tool - Design Optimisation|005OP-0000-011 Fortescue Maps (ArcGIS) Geographical Information System (GIS)</v>
      </c>
      <c r="C190" s="2" t="str">
        <f>_xlfn.LET(_xlpm.result, _xlfn.XLOOKUP(A190,'EA-Fortescue_SDExport'!A:A,'EA-Fortescue_SDExport'!AM:AM), IF(_xlpm.result=0,"",_xlpm.result))</f>
        <v/>
      </c>
      <c r="D190" s="2" t="str">
        <f>_xlfn.LET(_xlpm.result, _xlfn.XLOOKUP(A190,'EA-Fortescue_SDExport'!A:A,'EA-Fortescue_SDExport'!AN:AN), IF(_xlpm.result=0,"",_xlpm.result))</f>
        <v/>
      </c>
      <c r="E190" s="2" t="str">
        <f>_xlfn.XLOOKUP(R190&amp;Z190,Lookups!A:A,Lookups!B:B)</f>
        <v>Project - Project Interface</v>
      </c>
      <c r="F190" s="2" t="str">
        <f>_xlfn.LET(_xlpm.result, _xlfn.XLOOKUP(A190,'EA-Fortescue_SDExport'!A:A,'EA-Fortescue_SDExport'!AP:AP), IF(_xlpm.result=0,"",_xlpm.result))</f>
        <v>Technical-Data/Software</v>
      </c>
      <c r="G190" s="2" t="str">
        <f>IF(OR(AND(T190&lt;&gt;"", COUNTIF(Lookups!J:J, "*"&amp;T190&amp;"*")&gt;0), AND(AB190&lt;&gt;"", COUNTIF(Lookups!J:J, "*"&amp;AB190&amp;"*")&gt;0)), "Yes", "No")</f>
        <v>No</v>
      </c>
      <c r="H190" s="2" t="str">
        <f t="shared" si="9"/>
        <v>855DC Decarb Green Systems|005OP IT/OT Systems</v>
      </c>
      <c r="I190" s="2" t="str">
        <f t="shared" si="10"/>
        <v>855DC-1541 Planning and Forecast Systems|N/A</v>
      </c>
      <c r="J190" s="2" t="str">
        <f t="shared" si="11"/>
        <v>855DC-1541-PPC Pit Power Capacity Planning Tool - Design Optimisation|005OP-0000-011 Fortescue Maps (ArcGIS) Geographical Information System (GIS)</v>
      </c>
      <c r="K190" s="2" t="str">
        <f>_xlfn.XLOOKUP(A190,'EA-Fortescue_SDExport'!A:A,'EA-Fortescue_SDExport'!N:N)</f>
        <v>Proposed</v>
      </c>
      <c r="L190" s="2" t="str">
        <f>_xlfn.LET(_xlpm.result, _xlfn.XLOOKUP($A190,'EA-Fortescue_SDExport'!$A:$A,'EA-Fortescue_SDExport'!AQ:AQ), IF(_xlpm.result=0,"",_xlpm.result))</f>
        <v>The purpose of this interface is to exchange authoritative spatial mapping data from Fortescue Maps (ArcGIS) into the Pit Power Capacity Planning Tool to support electrical network modelling, infrastructure siting, and cable routing assessments aligned with planned pit layouts and asset locations.</v>
      </c>
      <c r="M190" s="2" t="str">
        <f>_xlfn.LET(_xlpm.result, _xlfn.XLOOKUP($A190,'EA-Fortescue_SDExport'!$A:$A,'EA-Fortescue_SDExport'!AR:AR), IF(_xlpm.result=0,"",_xlpm.result))</f>
        <v>LOW</v>
      </c>
      <c r="N190" s="2" t="str">
        <f>_xlfn.LET(_xlpm.result, _xlfn.XLOOKUP($A190,'EA-Fortescue_SDExport'!$A:$A,'EA-Fortescue_SDExport'!AW:AW), IF(_xlpm.result=0,"",_xlpm.result))</f>
        <v>The criticality level is LOW because this interface provides spatial reference data to support planning and modelling activities only. Failure would reduce mapping accuracy and spatial context within simulations but would not impact real-time operations, safety, or production systems.</v>
      </c>
      <c r="O190" s="2" t="str">
        <f>_xlfn.LET(_xlpm.result, _xlfn.XLOOKUP($A190,'EA-Fortescue_SDExport'!$A:$A,'EA-Fortescue_SDExport'!AV:AV), IF(_xlpm.result=0,"",_xlpm.result))</f>
        <v>Fortescue Maps (ArcGIS) GIS -&gt; Pit Power Capacity Planning Tool - Design Optimisation</v>
      </c>
      <c r="P190" s="2" t="str">
        <f>_xlfn.LET(_xlpm.result, _xlfn.XLOOKUP($A190,'EA-Fortescue_SDExport'!$A:$A,'EA-Fortescue_SDExport'!D:D),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190" s="2" t="str">
        <f>_xlfn.LET(
    _xlpm.status, _xlfn.XLOOKUP($A190,'EA-ConnectorExport'!$A:$A,'EA-ConnectorExport'!G:G),
    _xlpm.result, _xlfn.XLOOKUP($A190,'EA-ConnectorExport'!$A:$A,'EA-ConnectorExport'!B:B),
    IF(_xlpm.status="allocate", _xlpm.result, "")
)</f>
        <v>855DC-1541-PPC Pit Power Capacity Planning Tool - Design Optimisation</v>
      </c>
      <c r="R190" s="2" t="str">
        <f>IF(
    _xlfn.XLOOKUP($Q190,'EA-Fortescue_SDExport'!A:A,'EA-Fortescue_SDExport'!B:B)="Object",
    _xlfn.XLOOKUP(
        _xlfn.XLOOKUP($A190,'EA-ConnectorExport'!A:A,'EA-ConnectorExport'!D:D),
        'EA-Fortescue_SDExport'!A:A,
        'EA-Fortescue_SDExport'!AA:AA
    ),
    _xlfn.XLOOKUP($Q190,'EA-Fortescue_SDExport'!A:A,'EA-Fortescue_SDExport'!AA:AA)
)</f>
        <v>Project</v>
      </c>
      <c r="S190" s="2" t="str">
        <f>_xlfn.LET(_xlpm.result, _xlfn.XLOOKUP($Q190,'EA-Fortescue_SDExport'!$A:$A,'EA-Fortescue_SDExport'!AB:AB), IF(_xlpm.result=0,"",_xlpm.result))</f>
        <v/>
      </c>
      <c r="T190" s="2" t="str">
        <f>_xlfn.LET(_xlpm.result, _xlfn.XLOOKUP($Q190,'EA-Fortescue_SDExport'!$A:$A,'EA-Fortescue_SDExport'!AC:AC), IF(_xlpm.result=0,"",_xlpm.result))</f>
        <v>AWS Fortescue Infrastructure</v>
      </c>
      <c r="U190" s="2" t="str">
        <f>_xlfn.LET(
    _xlpm.isObject, _xlfn.XLOOKUP($Q190,'EA-Fortescue_SDExport'!A:A,'EA-Fortescue_SDExport'!B:B),
    _xlpm.lookupKey, IF(_xlpm.isObject="Object",
        _xlfn.XLOOKUP($A190,'EA-ConnectorExport'!A:A,'EA-ConnectorExport'!D:D),
        $Q190
    ),
    _xlpm.result, _xlfn.XLOOKUP(_xlpm.lookupKey,'EA-Fortescue_SDExport'!A:A,'EA-Fortescue_SDExport'!AD:AD),
    IF(_xlpm.result=0,"",_xlpm.result)
)</f>
        <v>855DC Decarb Green Systems</v>
      </c>
      <c r="V190" s="2" t="str">
        <f>_xlfn.LET(
    _xlpm.isObject, _xlfn.XLOOKUP($Q190,'EA-Fortescue_SDExport'!A:A,'EA-Fortescue_SDExport'!B:B),
    _xlpm.lookupKey, IF(_xlpm.isObject="Object",
        _xlfn.XLOOKUP($A190,'EA-ConnectorExport'!A:A,'EA-ConnectorExport'!D:D),
        $Q190
    ),
    _xlpm.result, _xlfn.XLOOKUP(_xlpm.lookupKey,'EA-Fortescue_SDExport'!A:A,'EA-Fortescue_SDExport'!AE:AE),
    IF(_xlpm.result=0,"",_xlpm.result)
)</f>
        <v>855DC-1541 Planning and Forecast Systems</v>
      </c>
      <c r="W190" s="2" t="str">
        <f>_xlfn.LET(
    _xlpm.isObject, _xlfn.XLOOKUP($Q190,'EA-Fortescue_SDExport'!A:A,'EA-Fortescue_SDExport'!B:B),
    _xlpm.lookupKey, IF(_xlpm.isObject="Object",
        _xlfn.XLOOKUP($A190,'EA-ConnectorExport'!A:A,'EA-ConnectorExport'!D:D),
        $Q190
    ),
    _xlpm.result, _xlfn.XLOOKUP(_xlpm.lookupKey,'EA-Fortescue_SDExport'!A:A,'EA-Fortescue_SDExport'!AF:AF),
    IF(_xlpm.result=0,"",_xlpm.result)
)</f>
        <v>855DC-1541-PPC Pit Power Capacity Planning Tool - Design Optimisation</v>
      </c>
      <c r="X190" s="2" t="str">
        <f>_xlfn.LET(
    _xlpm.isObject, _xlfn.XLOOKUP($Q190,'EA-Fortescue_SDExport'!A:A,'EA-Fortescue_SDExport'!B:B),
    _xlpm.lookupKey, IF(_xlpm.isObject="Object",
        _xlfn.XLOOKUP($A190,'EA-ConnectorExport'!A:A,'EA-ConnectorExport'!D:D),
        $Q190
    ),
    _xlpm.result, _xlfn.XLOOKUP(_xlpm.lookupKey,'EA-Fortescue_SDExport'!A:A,'EA-Fortescue_SDExport'!AG:AG),
    IF(_xlpm.result=0,"",_xlpm.result)
)</f>
        <v/>
      </c>
      <c r="Y190" s="2" t="str">
        <f>_xlfn.LET(
    _xlpm.status, _xlfn.XLOOKUP($A190,'EA-ConnectorExport'!$A:$A,'EA-ConnectorExport'!G:G),
    _xlpm.result, _xlfn.XLOOKUP($A190,'EA-ConnectorExport'!$A:$A,'EA-ConnectorExport'!H:H),
    IF(_xlpm.status="allocate", _xlpm.result, "")
)</f>
        <v>005OP-0000-011 Fortescue Maps (ArcGIS) Geographical Information System (GIS)</v>
      </c>
      <c r="Z190" s="2" t="str">
        <f>_xlfn.LET(
    _xlpm.isObject, _xlfn.XLOOKUP($Y190,'EA-Fortescue_SDExport'!A:A,'EA-Fortescue_SDExport'!B:B),
    _xlpm.lookupKey, IF(_xlpm.isObject="Object",
        _xlfn.XLOOKUP($A190,'EA-ConnectorExport'!A:A,'EA-ConnectorExport'!J:J),
        $Y190
    ),
    _xlpm.result, _xlfn.XLOOKUP(_xlpm.lookupKey,'EA-Fortescue_SDExport'!A:A,'EA-Fortescue_SDExport'!AA:AA),
    IF(_xlpm.result=0,"",_xlpm.result)
)</f>
        <v>Project</v>
      </c>
      <c r="AA190" s="2" t="str">
        <f>_xlfn.LET(_xlpm.result, _xlfn.XLOOKUP($Y190,'EA-Fortescue_SDExport'!$A:$A,'EA-Fortescue_SDExport'!AB:AB), IF(_xlpm.result=0,"",_xlpm.result))</f>
        <v/>
      </c>
      <c r="AB190" s="2" t="str">
        <f>_xlfn.LET(_xlpm.result, _xlfn.XLOOKUP($Y190,'EA-Fortescue_SDExport'!$A:$A,'EA-Fortescue_SDExport'!AC:AC), IF(_xlpm.result=0,"",_xlpm.result))</f>
        <v/>
      </c>
      <c r="AC190" s="2" t="str">
        <f>_xlfn.LET(
    _xlpm.isObject, _xlfn.XLOOKUP($Y190,'EA-Fortescue_SDExport'!A:A,'EA-Fortescue_SDExport'!B:B),
    _xlpm.lookupKey, IF(_xlpm.isObject="Object",
        _xlfn.XLOOKUP($A190,'EA-ConnectorExport'!A:A,'EA-ConnectorExport'!J:J),
        $Y190
    ),
    _xlpm.result, _xlfn.XLOOKUP(_xlpm.lookupKey,'EA-Fortescue_SDExport'!A:A,'EA-Fortescue_SDExport'!AD:AD),
    IF(_xlpm.result=0,"",_xlpm.result)
)</f>
        <v>005OP IT/OT Systems</v>
      </c>
      <c r="AD190" s="2" t="str">
        <f>_xlfn.LET(
    _xlpm.isObject, _xlfn.XLOOKUP($Y190,'EA-Fortescue_SDExport'!A:A,'EA-Fortescue_SDExport'!B:B),
    _xlpm.lookupKey, IF(_xlpm.isObject="Object",
        _xlfn.XLOOKUP($A190,'EA-ConnectorExport'!A:A,'EA-ConnectorExport'!J:J),
        $Y190
    ),
    _xlpm.result, _xlfn.XLOOKUP(_xlpm.lookupKey,'EA-Fortescue_SDExport'!A:A,'EA-Fortescue_SDExport'!AE:AE),
    IF(_xlpm.result=0,"",_xlpm.result)
)</f>
        <v/>
      </c>
      <c r="AE190" s="2" t="str">
        <f>_xlfn.LET(
    _xlpm.isObject, _xlfn.XLOOKUP($Y190,'EA-Fortescue_SDExport'!A:A,'EA-Fortescue_SDExport'!B:B),
    _xlpm.lookupKey, IF(_xlpm.isObject="Object",
        _xlfn.XLOOKUP($A190,'EA-ConnectorExport'!A:A,'EA-ConnectorExport'!J:J),
        $Y190
    ),
    _xlpm.result, _xlfn.XLOOKUP(_xlpm.lookupKey,'EA-Fortescue_SDExport'!A:A,'EA-Fortescue_SDExport'!AF:AF),
    IF(_xlpm.result=0,"",_xlpm.result)
)</f>
        <v>005OP-0000-011 Fortescue Maps (ArcGIS) Geographical Information System (GIS)</v>
      </c>
      <c r="AF190" s="2" t="str">
        <f>_xlfn.LET(
    _xlpm.isObject, _xlfn.XLOOKUP($Y190,'EA-Fortescue_SDExport'!A:A,'EA-Fortescue_SDExport'!B:B),
    _xlpm.lookupKey, IF(_xlpm.isObject="Object",
        _xlfn.XLOOKUP($A190,'EA-ConnectorExport'!A:A,'EA-ConnectorExport'!J:J),
        $Y190
    ),
    _xlpm.result, _xlfn.XLOOKUP(_xlpm.lookupKey,'EA-Fortescue_SDExport'!A:A,'EA-Fortescue_SDExport'!AG:AG),
    IF(_xlpm.result=0,"",_xlpm.result)
)</f>
        <v/>
      </c>
    </row>
    <row r="191" spans="1:32" ht="240" x14ac:dyDescent="0.25">
      <c r="A191" s="2" t="str">
        <v>DGS-I_0190</v>
      </c>
      <c r="B191" s="2" t="str">
        <f t="shared" si="8"/>
        <v>Archive - 005OP-0000-004-003 Alastri Tactical Scheduler (ATS)|855DC-1541-LIV LiveWire</v>
      </c>
      <c r="C191" s="2" t="str">
        <f>_xlfn.LET(_xlpm.result, _xlfn.XLOOKUP(A191,'EA-Fortescue_SDExport'!A:A,'EA-Fortescue_SDExport'!AM:AM), IF(_xlpm.result=0,"",_xlpm.result))</f>
        <v>Abby Buters</v>
      </c>
      <c r="D191" s="2" t="str">
        <f>_xlfn.LET(_xlpm.result, _xlfn.XLOOKUP(A191,'EA-Fortescue_SDExport'!A:A,'EA-Fortescue_SDExport'!AN:AN), IF(_xlpm.result=0,"",_xlpm.result))</f>
        <v>Shaun Batcock</v>
      </c>
      <c r="E191" s="2" t="str">
        <f>_xlfn.XLOOKUP(R191&amp;Z191,Lookups!A:A,Lookups!B:B)</f>
        <v>Project - Subsystem Interface</v>
      </c>
      <c r="F191" s="2" t="str">
        <f>_xlfn.LET(_xlpm.result, _xlfn.XLOOKUP(A191,'EA-Fortescue_SDExport'!A:A,'EA-Fortescue_SDExport'!AP:AP), IF(_xlpm.result=0,"",_xlpm.result))</f>
        <v/>
      </c>
      <c r="G191" s="2" t="str">
        <f>IF(OR(AND(T191&lt;&gt;"", COUNTIF(Lookups!J:J, "*"&amp;T191&amp;"*")&gt;0), AND(AB191&lt;&gt;"", COUNTIF(Lookups!J:J, "*"&amp;AB191&amp;"*")&gt;0)), "Yes", "No")</f>
        <v>No</v>
      </c>
      <c r="H191" s="2" t="str">
        <f t="shared" si="9"/>
        <v>005OP IT/OT Systems|855DC Decarb Green Systems</v>
      </c>
      <c r="I191" s="2" t="str">
        <f t="shared" si="10"/>
        <v>N/A|855DC-1541 Planning and Forecast Systems</v>
      </c>
      <c r="J191" s="2" t="str">
        <f t="shared" si="11"/>
        <v>005OP-0000-004 Alastri|855DC-1541-LIV LiveWire</v>
      </c>
      <c r="K191" s="2" t="str">
        <f>_xlfn.XLOOKUP(A191,'EA-Fortescue_SDExport'!A:A,'EA-Fortescue_SDExport'!N:N)</f>
        <v>Deleted</v>
      </c>
      <c r="L191" s="2" t="str">
        <f>_xlfn.LET(_xlpm.result, _xlfn.XLOOKUP($A191,'EA-Fortescue_SDExport'!$A:$A,'EA-Fortescue_SDExport'!AQ:AQ), IF(_xlpm.result=0,"",_xlpm.result))</f>
        <v>This interface enables ATS to transmit tactical schedules, production expectations, and operational constraints into LiveWire so the system can represent upcoming operational priorities.</v>
      </c>
      <c r="M191" s="2" t="str">
        <f>_xlfn.LET(_xlpm.result, _xlfn.XLOOKUP($A191,'EA-Fortescue_SDExport'!$A:$A,'EA-Fortescue_SDExport'!AR:AR), IF(_xlpm.result=0,"",_xlpm.result))</f>
        <v>LOW</v>
      </c>
      <c r="N191" s="2" t="str">
        <f>_xlfn.LET(_xlpm.result, _xlfn.XLOOKUP($A191,'EA-Fortescue_SDExport'!$A:$A,'EA-Fortescue_SDExport'!AW:AW), IF(_xlpm.result=0,"",_xlpm.result))</f>
        <v>The criticality level is LOW because the interface supports planning awareness rather than real-time execution, and outages do not impact immediate production. Without the link, LiveWire loses some context for decision support, but planners can still operate and provide updates manually if needed.</v>
      </c>
      <c r="O191" s="2" t="str">
        <f>_xlfn.LET(_xlpm.result, _xlfn.XLOOKUP($A191,'EA-Fortescue_SDExport'!$A:$A,'EA-Fortescue_SDExport'!AV:AV), IF(_xlpm.result=0,"",_xlpm.result))</f>
        <v/>
      </c>
      <c r="P191" s="2" t="str">
        <f>_xlfn.LET(_xlpm.result, _xlfn.XLOOKUP($A191,'EA-Fortescue_SDExport'!$A:$A,'EA-Fortescue_SDExport'!D:D), IF(_xlpm.result=0,"",_xlpm.result))</f>
        <v>Interface Review 202/12/2025: For later review, as this is the more detailed solution. Refer to Interface ID DGS-I_0025._x000D_
DocStack-SAComparison_Delphi 18/02/2026: APS and ATS to be combined - Interface deleted.</v>
      </c>
      <c r="Q191" s="2" t="str">
        <f>_xlfn.LET(
    _xlpm.status, _xlfn.XLOOKUP($A191,'EA-ConnectorExport'!$A:$A,'EA-ConnectorExport'!G:G),
    _xlpm.result, _xlfn.XLOOKUP($A191,'EA-ConnectorExport'!$A:$A,'EA-ConnectorExport'!B:B),
    IF(_xlpm.status="allocate", _xlpm.result, "")
)</f>
        <v>Archive - 005OP-0000-004-003 Alastri Tactical Scheduler (ATS)</v>
      </c>
      <c r="R191" s="2" t="str">
        <f>IF(
    _xlfn.XLOOKUP($Q191,'EA-Fortescue_SDExport'!A:A,'EA-Fortescue_SDExport'!B:B)="Object",
    _xlfn.XLOOKUP(
        _xlfn.XLOOKUP($A191,'EA-ConnectorExport'!A:A,'EA-ConnectorExport'!D:D),
        'EA-Fortescue_SDExport'!A:A,
        'EA-Fortescue_SDExport'!AA:AA
    ),
    _xlfn.XLOOKUP($Q191,'EA-Fortescue_SDExport'!A:A,'EA-Fortescue_SDExport'!AA:AA)
)</f>
        <v>Subsystem</v>
      </c>
      <c r="S191" s="2" t="str">
        <f>_xlfn.LET(_xlpm.result, _xlfn.XLOOKUP($Q191,'EA-Fortescue_SDExport'!$A:$A,'EA-Fortescue_SDExport'!AB:AB), IF(_xlpm.result=0,"",_xlpm.result))</f>
        <v/>
      </c>
      <c r="T191" s="2" t="str">
        <f>_xlfn.LET(_xlpm.result, _xlfn.XLOOKUP($Q191,'EA-Fortescue_SDExport'!$A:$A,'EA-Fortescue_SDExport'!AC:AC), IF(_xlpm.result=0,"",_xlpm.result))</f>
        <v/>
      </c>
      <c r="U191" s="2" t="str">
        <f>_xlfn.LET(
    _xlpm.isObject, _xlfn.XLOOKUP($Q191,'EA-Fortescue_SDExport'!A:A,'EA-Fortescue_SDExport'!B:B),
    _xlpm.lookupKey, IF(_xlpm.isObject="Object",
        _xlfn.XLOOKUP($A191,'EA-ConnectorExport'!A:A,'EA-ConnectorExport'!D:D),
        $Q191
    ),
    _xlpm.result, _xlfn.XLOOKUP(_xlpm.lookupKey,'EA-Fortescue_SDExport'!A:A,'EA-Fortescue_SDExport'!AD:AD),
    IF(_xlpm.result=0,"",_xlpm.result)
)</f>
        <v>005OP IT/OT Systems</v>
      </c>
      <c r="V191" s="2" t="str">
        <f>_xlfn.LET(
    _xlpm.isObject, _xlfn.XLOOKUP($Q191,'EA-Fortescue_SDExport'!A:A,'EA-Fortescue_SDExport'!B:B),
    _xlpm.lookupKey, IF(_xlpm.isObject="Object",
        _xlfn.XLOOKUP($A191,'EA-ConnectorExport'!A:A,'EA-ConnectorExport'!D:D),
        $Q191
    ),
    _xlpm.result, _xlfn.XLOOKUP(_xlpm.lookupKey,'EA-Fortescue_SDExport'!A:A,'EA-Fortescue_SDExport'!AE:AE),
    IF(_xlpm.result=0,"",_xlpm.result)
)</f>
        <v/>
      </c>
      <c r="W191" s="2" t="str">
        <f>_xlfn.LET(
    _xlpm.isObject, _xlfn.XLOOKUP($Q191,'EA-Fortescue_SDExport'!A:A,'EA-Fortescue_SDExport'!B:B),
    _xlpm.lookupKey, IF(_xlpm.isObject="Object",
        _xlfn.XLOOKUP($A191,'EA-ConnectorExport'!A:A,'EA-ConnectorExport'!D:D),
        $Q191
    ),
    _xlpm.result, _xlfn.XLOOKUP(_xlpm.lookupKey,'EA-Fortescue_SDExport'!A:A,'EA-Fortescue_SDExport'!AF:AF),
    IF(_xlpm.result=0,"",_xlpm.result)
)</f>
        <v>005OP-0000-004 Alastri</v>
      </c>
      <c r="X191" s="2" t="str">
        <f>_xlfn.LET(
    _xlpm.isObject, _xlfn.XLOOKUP($Q191,'EA-Fortescue_SDExport'!A:A,'EA-Fortescue_SDExport'!B:B),
    _xlpm.lookupKey, IF(_xlpm.isObject="Object",
        _xlfn.XLOOKUP($A191,'EA-ConnectorExport'!A:A,'EA-ConnectorExport'!D:D),
        $Q191
    ),
    _xlpm.result, _xlfn.XLOOKUP(_xlpm.lookupKey,'EA-Fortescue_SDExport'!A:A,'EA-Fortescue_SDExport'!AG:AG),
    IF(_xlpm.result=0,"",_xlpm.result)
)</f>
        <v>005OP-0000-004-003 Alastri Tactical Scheduler (ATS)</v>
      </c>
      <c r="Y191" s="2" t="str">
        <f>_xlfn.LET(
    _xlpm.status, _xlfn.XLOOKUP($A191,'EA-ConnectorExport'!$A:$A,'EA-ConnectorExport'!G:G),
    _xlpm.result, _xlfn.XLOOKUP($A191,'EA-ConnectorExport'!$A:$A,'EA-ConnectorExport'!H:H),
    IF(_xlpm.status="allocate", _xlpm.result, "")
)</f>
        <v>855DC-1541-LIV LiveWire</v>
      </c>
      <c r="Z191" s="2" t="str">
        <f>_xlfn.LET(
    _xlpm.isObject, _xlfn.XLOOKUP($Y191,'EA-Fortescue_SDExport'!A:A,'EA-Fortescue_SDExport'!B:B),
    _xlpm.lookupKey, IF(_xlpm.isObject="Object",
        _xlfn.XLOOKUP($A191,'EA-ConnectorExport'!A:A,'EA-ConnectorExport'!J:J),
        $Y191
    ),
    _xlpm.result, _xlfn.XLOOKUP(_xlpm.lookupKey,'EA-Fortescue_SDExport'!A:A,'EA-Fortescue_SDExport'!AA:AA),
    IF(_xlpm.result=0,"",_xlpm.result)
)</f>
        <v>Project</v>
      </c>
      <c r="AA191" s="2" t="str">
        <f>_xlfn.LET(_xlpm.result, _xlfn.XLOOKUP($Y191,'EA-Fortescue_SDExport'!$A:$A,'EA-Fortescue_SDExport'!AB:AB), IF(_xlpm.result=0,"",_xlpm.result))</f>
        <v>Operations Planning</v>
      </c>
      <c r="AB191" s="2" t="str">
        <f>_xlfn.LET(_xlpm.result, _xlfn.XLOOKUP($Y191,'EA-Fortescue_SDExport'!$A:$A,'EA-Fortescue_SDExport'!AC:AC), IF(_xlpm.result=0,"",_xlpm.result))</f>
        <v>AWS Fortescue Cloud</v>
      </c>
      <c r="AC191" s="2" t="str">
        <f>_xlfn.LET(
    _xlpm.isObject, _xlfn.XLOOKUP($Y191,'EA-Fortescue_SDExport'!A:A,'EA-Fortescue_SDExport'!B:B),
    _xlpm.lookupKey, IF(_xlpm.isObject="Object",
        _xlfn.XLOOKUP($A191,'EA-ConnectorExport'!A:A,'EA-ConnectorExport'!J:J),
        $Y191
    ),
    _xlpm.result, _xlfn.XLOOKUP(_xlpm.lookupKey,'EA-Fortescue_SDExport'!A:A,'EA-Fortescue_SDExport'!AD:AD),
    IF(_xlpm.result=0,"",_xlpm.result)
)</f>
        <v>855DC Decarb Green Systems</v>
      </c>
      <c r="AD191" s="2" t="str">
        <f>_xlfn.LET(
    _xlpm.isObject, _xlfn.XLOOKUP($Y191,'EA-Fortescue_SDExport'!A:A,'EA-Fortescue_SDExport'!B:B),
    _xlpm.lookupKey, IF(_xlpm.isObject="Object",
        _xlfn.XLOOKUP($A191,'EA-ConnectorExport'!A:A,'EA-ConnectorExport'!J:J),
        $Y191
    ),
    _xlpm.result, _xlfn.XLOOKUP(_xlpm.lookupKey,'EA-Fortescue_SDExport'!A:A,'EA-Fortescue_SDExport'!AE:AE),
    IF(_xlpm.result=0,"",_xlpm.result)
)</f>
        <v>855DC-1541 Planning and Forecast Systems</v>
      </c>
      <c r="AE191" s="2" t="str">
        <f>_xlfn.LET(
    _xlpm.isObject, _xlfn.XLOOKUP($Y191,'EA-Fortescue_SDExport'!A:A,'EA-Fortescue_SDExport'!B:B),
    _xlpm.lookupKey, IF(_xlpm.isObject="Object",
        _xlfn.XLOOKUP($A191,'EA-ConnectorExport'!A:A,'EA-ConnectorExport'!J:J),
        $Y191
    ),
    _xlpm.result, _xlfn.XLOOKUP(_xlpm.lookupKey,'EA-Fortescue_SDExport'!A:A,'EA-Fortescue_SDExport'!AF:AF),
    IF(_xlpm.result=0,"",_xlpm.result)
)</f>
        <v>855DC-1541-LIV LiveWire</v>
      </c>
      <c r="AF191" s="2" t="str">
        <f>_xlfn.LET(
    _xlpm.isObject, _xlfn.XLOOKUP($Y191,'EA-Fortescue_SDExport'!A:A,'EA-Fortescue_SDExport'!B:B),
    _xlpm.lookupKey, IF(_xlpm.isObject="Object",
        _xlfn.XLOOKUP($A191,'EA-ConnectorExport'!A:A,'EA-ConnectorExport'!J:J),
        $Y191
    ),
    _xlpm.result, _xlfn.XLOOKUP(_xlpm.lookupKey,'EA-Fortescue_SDExport'!A:A,'EA-Fortescue_SDExport'!AG:AG),
    IF(_xlpm.result=0,"",_xlpm.result)
)</f>
        <v/>
      </c>
    </row>
    <row r="192" spans="1:32" ht="225" x14ac:dyDescent="0.25">
      <c r="A192" s="2" t="str">
        <v>DGS-I_0191</v>
      </c>
      <c r="B192" s="2" t="str">
        <f t="shared" si="8"/>
        <v>005OP-0000-004-002 Alastri Production Scheduler (APS) / Alastri Tactical Scheduler (ATS)|855DC-1541-LIV LiveWire</v>
      </c>
      <c r="C192" s="2" t="str">
        <f>_xlfn.LET(_xlpm.result, _xlfn.XLOOKUP(A192,'EA-Fortescue_SDExport'!A:A,'EA-Fortescue_SDExport'!AM:AM), IF(_xlpm.result=0,"",_xlpm.result))</f>
        <v>Abby Buters</v>
      </c>
      <c r="D192" s="2" t="str">
        <f>_xlfn.LET(_xlpm.result, _xlfn.XLOOKUP(A192,'EA-Fortescue_SDExport'!A:A,'EA-Fortescue_SDExport'!AN:AN), IF(_xlpm.result=0,"",_xlpm.result))</f>
        <v>Shaun Batcock</v>
      </c>
      <c r="E192" s="2" t="str">
        <f>_xlfn.XLOOKUP(R192&amp;Z192,Lookups!A:A,Lookups!B:B)</f>
        <v>Project - Subsystem Interface</v>
      </c>
      <c r="F192" s="2" t="str">
        <f>_xlfn.LET(_xlpm.result, _xlfn.XLOOKUP(A192,'EA-Fortescue_SDExport'!A:A,'EA-Fortescue_SDExport'!AP:AP), IF(_xlpm.result=0,"",_xlpm.result))</f>
        <v>Technical-Data/Software</v>
      </c>
      <c r="G192" s="2" t="str">
        <f>IF(OR(AND(T192&lt;&gt;"", COUNTIF(Lookups!J:J, "*"&amp;T192&amp;"*")&gt;0), AND(AB192&lt;&gt;"", COUNTIF(Lookups!J:J, "*"&amp;AB192&amp;"*")&gt;0)), "Yes", "No")</f>
        <v>No</v>
      </c>
      <c r="H192" s="2" t="str">
        <f t="shared" si="9"/>
        <v>005OP IT/OT Systems|855DC Decarb Green Systems</v>
      </c>
      <c r="I192" s="2" t="str">
        <f t="shared" si="10"/>
        <v>N/A|855DC-1541 Planning and Forecast Systems</v>
      </c>
      <c r="J192" s="2" t="str">
        <f t="shared" si="11"/>
        <v>005OP-0000-004 Alastri|855DC-1541-LIV LiveWire</v>
      </c>
      <c r="K192" s="2" t="str">
        <f>_xlfn.XLOOKUP(A192,'EA-Fortescue_SDExport'!A:A,'EA-Fortescue_SDExport'!N:N)</f>
        <v>Proposed</v>
      </c>
      <c r="L192" s="2" t="str">
        <f>_xlfn.LET(_xlpm.result, _xlfn.XLOOKUP($A192,'EA-Fortescue_SDExport'!$A:$A,'EA-Fortescue_SDExport'!AQ:AQ), IF(_xlpm.result=0,"",_xlpm.result))</f>
        <v>This interface provides LiveWire with long-term production schedules and sequencing data from APS, helping align its analytics and optimisation with the planned mine output.</v>
      </c>
      <c r="M192" s="2" t="str">
        <f>_xlfn.LET(_xlpm.result, _xlfn.XLOOKUP($A192,'EA-Fortescue_SDExport'!$A:$A,'EA-Fortescue_SDExport'!AR:AR), IF(_xlpm.result=0,"",_xlpm.result))</f>
        <v>LOW</v>
      </c>
      <c r="N192" s="2" t="str">
        <f>_xlfn.LET(_xlpm.result, _xlfn.XLOOKUP($A192,'EA-Fortescue_SDExport'!$A:$A,'EA-Fortescue_SDExport'!AW:AW), IF(_xlpm.result=0,"",_xlpm.result))</f>
        <v>The criticality level is LOW because APS and LiveWire both continue to operate independently, and any impact is limited to planning accuracy rather than operational continuity. Failure limits automated visibility of planned pathways, which can be managed manually.</v>
      </c>
      <c r="O192" s="2" t="str">
        <f>_xlfn.LET(_xlpm.result, _xlfn.XLOOKUP($A192,'EA-Fortescue_SDExport'!$A:$A,'EA-Fortescue_SDExport'!AV:AV), IF(_xlpm.result=0,"",_xlpm.result))</f>
        <v>Data Flow:_x000D_
005OP-0000-004 AlastrI (APS) -&gt; 855DC-1541-IV LiveWire, transmitting long-term production schedules, sequencing plans, planned output profiles, and optimisation parameters for analytics and alignment with forecast production targets._x000D_
LiveWire -&gt; APS (where applicable), providing feedback outputs such as analytics results, optimisation insights, or scenario evaluation data to inform planning refinement.</v>
      </c>
      <c r="P192" s="2" t="str">
        <f>_xlfn.LET(_xlpm.result, _xlfn.XLOOKUP($A192,'EA-Fortescue_SDExport'!$A:$A,'EA-Fortescue_SDExport'!D:D), IF(_xlpm.result=0,"",_xlpm.result))</f>
        <v>Interface Review 202/12/2025: For later review, as this is the more detailed solution. Refer to Interface ID DGS-I_0025._x000D_
NH 20/02/2026: Fields updated: Interface Type, Interface Flow.</v>
      </c>
      <c r="Q192" s="2" t="str">
        <f>_xlfn.LET(
    _xlpm.status, _xlfn.XLOOKUP($A192,'EA-ConnectorExport'!$A:$A,'EA-ConnectorExport'!G:G),
    _xlpm.result, _xlfn.XLOOKUP($A192,'EA-ConnectorExport'!$A:$A,'EA-ConnectorExport'!B:B),
    IF(_xlpm.status="allocate", _xlpm.result, "")
)</f>
        <v>005OP-0000-004-002 Alastri Production Scheduler (APS) / Alastri Tactical Scheduler (ATS)</v>
      </c>
      <c r="R192" s="2" t="str">
        <f>IF(
    _xlfn.XLOOKUP($Q192,'EA-Fortescue_SDExport'!A:A,'EA-Fortescue_SDExport'!B:B)="Object",
    _xlfn.XLOOKUP(
        _xlfn.XLOOKUP($A192,'EA-ConnectorExport'!A:A,'EA-ConnectorExport'!D:D),
        'EA-Fortescue_SDExport'!A:A,
        'EA-Fortescue_SDExport'!AA:AA
    ),
    _xlfn.XLOOKUP($Q192,'EA-Fortescue_SDExport'!A:A,'EA-Fortescue_SDExport'!AA:AA)
)</f>
        <v>Subsystem</v>
      </c>
      <c r="S192" s="2" t="str">
        <f>_xlfn.LET(_xlpm.result, _xlfn.XLOOKUP($Q192,'EA-Fortescue_SDExport'!$A:$A,'EA-Fortescue_SDExport'!AB:AB), IF(_xlpm.result=0,"",_xlpm.result))</f>
        <v/>
      </c>
      <c r="T192" s="2" t="str">
        <f>_xlfn.LET(_xlpm.result, _xlfn.XLOOKUP($Q192,'EA-Fortescue_SDExport'!$A:$A,'EA-Fortescue_SDExport'!AC:AC), IF(_xlpm.result=0,"",_xlpm.result))</f>
        <v/>
      </c>
      <c r="U192" s="2" t="str">
        <f>_xlfn.LET(
    _xlpm.isObject, _xlfn.XLOOKUP($Q192,'EA-Fortescue_SDExport'!A:A,'EA-Fortescue_SDExport'!B:B),
    _xlpm.lookupKey, IF(_xlpm.isObject="Object",
        _xlfn.XLOOKUP($A192,'EA-ConnectorExport'!A:A,'EA-ConnectorExport'!D:D),
        $Q192
    ),
    _xlpm.result, _xlfn.XLOOKUP(_xlpm.lookupKey,'EA-Fortescue_SDExport'!A:A,'EA-Fortescue_SDExport'!AD:AD),
    IF(_xlpm.result=0,"",_xlpm.result)
)</f>
        <v>005OP IT/OT Systems</v>
      </c>
      <c r="V192" s="2" t="str">
        <f>_xlfn.LET(
    _xlpm.isObject, _xlfn.XLOOKUP($Q192,'EA-Fortescue_SDExport'!A:A,'EA-Fortescue_SDExport'!B:B),
    _xlpm.lookupKey, IF(_xlpm.isObject="Object",
        _xlfn.XLOOKUP($A192,'EA-ConnectorExport'!A:A,'EA-ConnectorExport'!D:D),
        $Q192
    ),
    _xlpm.result, _xlfn.XLOOKUP(_xlpm.lookupKey,'EA-Fortescue_SDExport'!A:A,'EA-Fortescue_SDExport'!AE:AE),
    IF(_xlpm.result=0,"",_xlpm.result)
)</f>
        <v/>
      </c>
      <c r="W192" s="2" t="str">
        <f>_xlfn.LET(
    _xlpm.isObject, _xlfn.XLOOKUP($Q192,'EA-Fortescue_SDExport'!A:A,'EA-Fortescue_SDExport'!B:B),
    _xlpm.lookupKey, IF(_xlpm.isObject="Object",
        _xlfn.XLOOKUP($A192,'EA-ConnectorExport'!A:A,'EA-ConnectorExport'!D:D),
        $Q192
    ),
    _xlpm.result, _xlfn.XLOOKUP(_xlpm.lookupKey,'EA-Fortescue_SDExport'!A:A,'EA-Fortescue_SDExport'!AF:AF),
    IF(_xlpm.result=0,"",_xlpm.result)
)</f>
        <v>005OP-0000-004 Alastri</v>
      </c>
      <c r="X192" s="2" t="str">
        <f>_xlfn.LET(
    _xlpm.isObject, _xlfn.XLOOKUP($Q192,'EA-Fortescue_SDExport'!A:A,'EA-Fortescue_SDExport'!B:B),
    _xlpm.lookupKey, IF(_xlpm.isObject="Object",
        _xlfn.XLOOKUP($A192,'EA-ConnectorExport'!A:A,'EA-ConnectorExport'!D:D),
        $Q192
    ),
    _xlpm.result, _xlfn.XLOOKUP(_xlpm.lookupKey,'EA-Fortescue_SDExport'!A:A,'EA-Fortescue_SDExport'!AG:AG),
    IF(_xlpm.result=0,"",_xlpm.result)
)</f>
        <v>005OP-0000-004-002 Alastri Production Scheduler (APS)</v>
      </c>
      <c r="Y192" s="2" t="str">
        <f>_xlfn.LET(
    _xlpm.status, _xlfn.XLOOKUP($A192,'EA-ConnectorExport'!$A:$A,'EA-ConnectorExport'!G:G),
    _xlpm.result, _xlfn.XLOOKUP($A192,'EA-ConnectorExport'!$A:$A,'EA-ConnectorExport'!H:H),
    IF(_xlpm.status="allocate", _xlpm.result, "")
)</f>
        <v>855DC-1541-LIV LiveWire</v>
      </c>
      <c r="Z192" s="2" t="str">
        <f>_xlfn.LET(
    _xlpm.isObject, _xlfn.XLOOKUP($Y192,'EA-Fortescue_SDExport'!A:A,'EA-Fortescue_SDExport'!B:B),
    _xlpm.lookupKey, IF(_xlpm.isObject="Object",
        _xlfn.XLOOKUP($A192,'EA-ConnectorExport'!A:A,'EA-ConnectorExport'!J:J),
        $Y192
    ),
    _xlpm.result, _xlfn.XLOOKUP(_xlpm.lookupKey,'EA-Fortescue_SDExport'!A:A,'EA-Fortescue_SDExport'!AA:AA),
    IF(_xlpm.result=0,"",_xlpm.result)
)</f>
        <v>Project</v>
      </c>
      <c r="AA192" s="2" t="str">
        <f>_xlfn.LET(_xlpm.result, _xlfn.XLOOKUP($Y192,'EA-Fortescue_SDExport'!$A:$A,'EA-Fortescue_SDExport'!AB:AB), IF(_xlpm.result=0,"",_xlpm.result))</f>
        <v>Operations Planning</v>
      </c>
      <c r="AB192" s="2" t="str">
        <f>_xlfn.LET(_xlpm.result, _xlfn.XLOOKUP($Y192,'EA-Fortescue_SDExport'!$A:$A,'EA-Fortescue_SDExport'!AC:AC), IF(_xlpm.result=0,"",_xlpm.result))</f>
        <v>AWS Fortescue Cloud</v>
      </c>
      <c r="AC192" s="2" t="str">
        <f>_xlfn.LET(
    _xlpm.isObject, _xlfn.XLOOKUP($Y192,'EA-Fortescue_SDExport'!A:A,'EA-Fortescue_SDExport'!B:B),
    _xlpm.lookupKey, IF(_xlpm.isObject="Object",
        _xlfn.XLOOKUP($A192,'EA-ConnectorExport'!A:A,'EA-ConnectorExport'!J:J),
        $Y192
    ),
    _xlpm.result, _xlfn.XLOOKUP(_xlpm.lookupKey,'EA-Fortescue_SDExport'!A:A,'EA-Fortescue_SDExport'!AD:AD),
    IF(_xlpm.result=0,"",_xlpm.result)
)</f>
        <v>855DC Decarb Green Systems</v>
      </c>
      <c r="AD192" s="2" t="str">
        <f>_xlfn.LET(
    _xlpm.isObject, _xlfn.XLOOKUP($Y192,'EA-Fortescue_SDExport'!A:A,'EA-Fortescue_SDExport'!B:B),
    _xlpm.lookupKey, IF(_xlpm.isObject="Object",
        _xlfn.XLOOKUP($A192,'EA-ConnectorExport'!A:A,'EA-ConnectorExport'!J:J),
        $Y192
    ),
    _xlpm.result, _xlfn.XLOOKUP(_xlpm.lookupKey,'EA-Fortescue_SDExport'!A:A,'EA-Fortescue_SDExport'!AE:AE),
    IF(_xlpm.result=0,"",_xlpm.result)
)</f>
        <v>855DC-1541 Planning and Forecast Systems</v>
      </c>
      <c r="AE192" s="2" t="str">
        <f>_xlfn.LET(
    _xlpm.isObject, _xlfn.XLOOKUP($Y192,'EA-Fortescue_SDExport'!A:A,'EA-Fortescue_SDExport'!B:B),
    _xlpm.lookupKey, IF(_xlpm.isObject="Object",
        _xlfn.XLOOKUP($A192,'EA-ConnectorExport'!A:A,'EA-ConnectorExport'!J:J),
        $Y192
    ),
    _xlpm.result, _xlfn.XLOOKUP(_xlpm.lookupKey,'EA-Fortescue_SDExport'!A:A,'EA-Fortescue_SDExport'!AF:AF),
    IF(_xlpm.result=0,"",_xlpm.result)
)</f>
        <v>855DC-1541-LIV LiveWire</v>
      </c>
      <c r="AF192" s="2" t="str">
        <f>_xlfn.LET(
    _xlpm.isObject, _xlfn.XLOOKUP($Y192,'EA-Fortescue_SDExport'!A:A,'EA-Fortescue_SDExport'!B:B),
    _xlpm.lookupKey, IF(_xlpm.isObject="Object",
        _xlfn.XLOOKUP($A192,'EA-ConnectorExport'!A:A,'EA-ConnectorExport'!J:J),
        $Y192
    ),
    _xlpm.result, _xlfn.XLOOKUP(_xlpm.lookupKey,'EA-Fortescue_SDExport'!A:A,'EA-Fortescue_SDExport'!AG:AG),
    IF(_xlpm.result=0,"",_xlpm.result)
)</f>
        <v/>
      </c>
    </row>
    <row r="193" spans="1:32" ht="255" x14ac:dyDescent="0.25">
      <c r="A193" s="2" t="str">
        <v>DGS-I_0192</v>
      </c>
      <c r="B193" s="2" t="str">
        <f t="shared" si="8"/>
        <v>855DC-1541-ECL-003 Plexos|855DC-1543-008-003 OpenAGC (Automatic Generation Control)</v>
      </c>
      <c r="C193" s="2" t="str">
        <f>_xlfn.LET(_xlpm.result, _xlfn.XLOOKUP(A193,'EA-Fortescue_SDExport'!A:A,'EA-Fortescue_SDExport'!AM:AM), IF(_xlpm.result=0,"",_xlpm.result))</f>
        <v/>
      </c>
      <c r="D193" s="2" t="str">
        <f>_xlfn.LET(_xlpm.result, _xlfn.XLOOKUP(A193,'EA-Fortescue_SDExport'!A:A,'EA-Fortescue_SDExport'!AN:AN), IF(_xlpm.result=0,"",_xlpm.result))</f>
        <v/>
      </c>
      <c r="E193" s="2" t="str">
        <f>_xlfn.XLOOKUP(R193&amp;Z193,Lookups!A:A,Lookups!B:B)</f>
        <v>Subsystem - Subsystem Interface</v>
      </c>
      <c r="F193" s="2" t="str">
        <f>_xlfn.LET(_xlpm.result, _xlfn.XLOOKUP(A193,'EA-Fortescue_SDExport'!A:A,'EA-Fortescue_SDExport'!AP:AP), IF(_xlpm.result=0,"",_xlpm.result))</f>
        <v>Technical-Data/Software</v>
      </c>
      <c r="G193" s="2" t="str">
        <f>IF(OR(AND(T193&lt;&gt;"", COUNTIF(Lookups!J:J, "*"&amp;T193&amp;"*")&gt;0), AND(AB193&lt;&gt;"", COUNTIF(Lookups!J:J, "*"&amp;AB193&amp;"*")&gt;0)), "Yes", "No")</f>
        <v>No</v>
      </c>
      <c r="H193" s="2" t="str">
        <f t="shared" si="9"/>
        <v>855DC Decarb Green Systems|855DC Decarb Green Systems</v>
      </c>
      <c r="I193" s="2" t="str">
        <f t="shared" si="10"/>
        <v>855DC-1541 Planning and Forecast Systems|855DC-1543 Existing Systems - Green Enhancement</v>
      </c>
      <c r="J193" s="2" t="str">
        <f t="shared" si="11"/>
        <v>855DC-1541-ECL Eclipse|855DC-1543-008 Monarch</v>
      </c>
      <c r="K193" s="2" t="str">
        <f>_xlfn.XLOOKUP(A193,'EA-Fortescue_SDExport'!A:A,'EA-Fortescue_SDExport'!N:N)</f>
        <v>Proposed</v>
      </c>
      <c r="L193" s="2" t="str">
        <f>_xlfn.LET(_xlpm.result, _xlfn.XLOOKUP($A193,'EA-Fortescue_SDExport'!$A:$A,'EA-Fortescue_SDExport'!AQ:AQ), IF(_xlpm.result=0,"",_xlpm.result))</f>
        <v>This interface allows Plexos to deliver long-term modelling, forecasted generation schedules, and market-style optimisation inputs to OpenAGC, which oversees short-interval automatic generation control.</v>
      </c>
      <c r="M193" s="2" t="str">
        <f>_xlfn.LET(_xlpm.result, _xlfn.XLOOKUP($A193,'EA-Fortescue_SDExport'!$A:$A,'EA-Fortescue_SDExport'!AR:AR), IF(_xlpm.result=0,"",_xlpm.result))</f>
        <v>MEDIUM</v>
      </c>
      <c r="N193" s="2" t="str">
        <f>_xlfn.LET(_xlpm.result, _xlfn.XLOOKUP($A193,'EA-Fortescue_SDExport'!$A:$A,'EA-Fortescue_SDExport'!AW:AW), IF(_xlpm.result=0,"",_xlpm.result))</f>
        <v>The criticality level is MEDIUM because although OpenAGC can still operate independently without forward-looking data, the lack of Plexos inputs diminishes optimisation quality and can result in less stable or less efficient generation behaviour. Failure may increase operational costs, but it does not cause immediate outages.</v>
      </c>
      <c r="O193" s="2" t="str">
        <f>_xlfn.LET(_xlpm.result, _xlfn.XLOOKUP($A193,'EA-Fortescue_SDExport'!$A:$A,'EA-Fortescue_SDExport'!AV:AV), IF(_xlpm.result=0,"",_xlpm.result))</f>
        <v>Data Flow: Monarch -&gt; Energy Operations (real-time generation output, storage state, network status, load balance, alarms, equipment availability, event notifications) to provide system-wide situational awareness and oversight._x000D_
Read-only interface - no control flow from Energy Operations to Monarch via this link.</v>
      </c>
      <c r="P193" s="2" t="str">
        <f>_xlfn.LET(_xlpm.result, _xlfn.XLOOKUP($A193,'EA-Fortescue_SDExport'!$A:$A,'EA-Fortescue_SDExport'!D:D), IF(_xlpm.result=0,"",_xlpm.result))</f>
        <v>NH 20/02/2026: Fields updated: Interface Type, Interface Flow.</v>
      </c>
      <c r="Q193" s="2" t="str">
        <f>_xlfn.LET(
    _xlpm.status, _xlfn.XLOOKUP($A193,'EA-ConnectorExport'!$A:$A,'EA-ConnectorExport'!G:G),
    _xlpm.result, _xlfn.XLOOKUP($A193,'EA-ConnectorExport'!$A:$A,'EA-ConnectorExport'!B:B),
    IF(_xlpm.status="allocate", _xlpm.result, "")
)</f>
        <v>855DC-1541-ECL-003 Plexos</v>
      </c>
      <c r="R193" s="2" t="str">
        <f>IF(
    _xlfn.XLOOKUP($Q193,'EA-Fortescue_SDExport'!A:A,'EA-Fortescue_SDExport'!B:B)="Object",
    _xlfn.XLOOKUP(
        _xlfn.XLOOKUP($A193,'EA-ConnectorExport'!A:A,'EA-ConnectorExport'!D:D),
        'EA-Fortescue_SDExport'!A:A,
        'EA-Fortescue_SDExport'!AA:AA
    ),
    _xlfn.XLOOKUP($Q193,'EA-Fortescue_SDExport'!A:A,'EA-Fortescue_SDExport'!AA:AA)
)</f>
        <v>Subsystem</v>
      </c>
      <c r="S193" s="2" t="str">
        <f>_xlfn.LET(_xlpm.result, _xlfn.XLOOKUP($Q193,'EA-Fortescue_SDExport'!$A:$A,'EA-Fortescue_SDExport'!AB:AB), IF(_xlpm.result=0,"",_xlpm.result))</f>
        <v/>
      </c>
      <c r="T193" s="2" t="str">
        <f>_xlfn.LET(_xlpm.result, _xlfn.XLOOKUP($Q193,'EA-Fortescue_SDExport'!$A:$A,'EA-Fortescue_SDExport'!AC:AC), IF(_xlpm.result=0,"",_xlpm.result))</f>
        <v/>
      </c>
      <c r="U193" s="2" t="str">
        <f>_xlfn.LET(
    _xlpm.isObject, _xlfn.XLOOKUP($Q193,'EA-Fortescue_SDExport'!A:A,'EA-Fortescue_SDExport'!B:B),
    _xlpm.lookupKey, IF(_xlpm.isObject="Object",
        _xlfn.XLOOKUP($A193,'EA-ConnectorExport'!A:A,'EA-ConnectorExport'!D:D),
        $Q193
    ),
    _xlpm.result, _xlfn.XLOOKUP(_xlpm.lookupKey,'EA-Fortescue_SDExport'!A:A,'EA-Fortescue_SDExport'!AD:AD),
    IF(_xlpm.result=0,"",_xlpm.result)
)</f>
        <v>855DC Decarb Green Systems</v>
      </c>
      <c r="V193" s="2" t="str">
        <f>_xlfn.LET(
    _xlpm.isObject, _xlfn.XLOOKUP($Q193,'EA-Fortescue_SDExport'!A:A,'EA-Fortescue_SDExport'!B:B),
    _xlpm.lookupKey, IF(_xlpm.isObject="Object",
        _xlfn.XLOOKUP($A193,'EA-ConnectorExport'!A:A,'EA-ConnectorExport'!D:D),
        $Q193
    ),
    _xlpm.result, _xlfn.XLOOKUP(_xlpm.lookupKey,'EA-Fortescue_SDExport'!A:A,'EA-Fortescue_SDExport'!AE:AE),
    IF(_xlpm.result=0,"",_xlpm.result)
)</f>
        <v>855DC-1541 Planning and Forecast Systems</v>
      </c>
      <c r="W193" s="2" t="str">
        <f>_xlfn.LET(
    _xlpm.isObject, _xlfn.XLOOKUP($Q193,'EA-Fortescue_SDExport'!A:A,'EA-Fortescue_SDExport'!B:B),
    _xlpm.lookupKey, IF(_xlpm.isObject="Object",
        _xlfn.XLOOKUP($A193,'EA-ConnectorExport'!A:A,'EA-ConnectorExport'!D:D),
        $Q193
    ),
    _xlpm.result, _xlfn.XLOOKUP(_xlpm.lookupKey,'EA-Fortescue_SDExport'!A:A,'EA-Fortescue_SDExport'!AF:AF),
    IF(_xlpm.result=0,"",_xlpm.result)
)</f>
        <v>855DC-1541-ECL Eclipse</v>
      </c>
      <c r="X193" s="2" t="str">
        <f>_xlfn.LET(
    _xlpm.isObject, _xlfn.XLOOKUP($Q193,'EA-Fortescue_SDExport'!A:A,'EA-Fortescue_SDExport'!B:B),
    _xlpm.lookupKey, IF(_xlpm.isObject="Object",
        _xlfn.XLOOKUP($A193,'EA-ConnectorExport'!A:A,'EA-ConnectorExport'!D:D),
        $Q193
    ),
    _xlpm.result, _xlfn.XLOOKUP(_xlpm.lookupKey,'EA-Fortescue_SDExport'!A:A,'EA-Fortescue_SDExport'!AG:AG),
    IF(_xlpm.result=0,"",_xlpm.result)
)</f>
        <v>855DC-1541-ECL-003 Plexos</v>
      </c>
      <c r="Y193" s="2" t="str">
        <f>_xlfn.LET(
    _xlpm.status, _xlfn.XLOOKUP($A193,'EA-ConnectorExport'!$A:$A,'EA-ConnectorExport'!G:G),
    _xlpm.result, _xlfn.XLOOKUP($A193,'EA-ConnectorExport'!$A:$A,'EA-ConnectorExport'!H:H),
    IF(_xlpm.status="allocate", _xlpm.result, "")
)</f>
        <v>855DC-1543-008-003 OpenAGC (Automatic Generation Control)</v>
      </c>
      <c r="Z193" s="2" t="str">
        <f>_xlfn.LET(
    _xlpm.isObject, _xlfn.XLOOKUP($Y193,'EA-Fortescue_SDExport'!A:A,'EA-Fortescue_SDExport'!B:B),
    _xlpm.lookupKey, IF(_xlpm.isObject="Object",
        _xlfn.XLOOKUP($A193,'EA-ConnectorExport'!A:A,'EA-ConnectorExport'!J:J),
        $Y193
    ),
    _xlpm.result, _xlfn.XLOOKUP(_xlpm.lookupKey,'EA-Fortescue_SDExport'!A:A,'EA-Fortescue_SDExport'!AA:AA),
    IF(_xlpm.result=0,"",_xlpm.result)
)</f>
        <v>Subsystem</v>
      </c>
      <c r="AA193" s="2" t="str">
        <f>_xlfn.LET(_xlpm.result, _xlfn.XLOOKUP($Y193,'EA-Fortescue_SDExport'!$A:$A,'EA-Fortescue_SDExport'!AB:AB), IF(_xlpm.result=0,"",_xlpm.result))</f>
        <v/>
      </c>
      <c r="AB193" s="2" t="str">
        <f>_xlfn.LET(_xlpm.result, _xlfn.XLOOKUP($Y193,'EA-Fortescue_SDExport'!$A:$A,'EA-Fortescue_SDExport'!AC:AC), IF(_xlpm.result=0,"",_xlpm.result))</f>
        <v/>
      </c>
      <c r="AC193" s="2" t="str">
        <f>_xlfn.LET(
    _xlpm.isObject, _xlfn.XLOOKUP($Y193,'EA-Fortescue_SDExport'!A:A,'EA-Fortescue_SDExport'!B:B),
    _xlpm.lookupKey, IF(_xlpm.isObject="Object",
        _xlfn.XLOOKUP($A193,'EA-ConnectorExport'!A:A,'EA-ConnectorExport'!J:J),
        $Y193
    ),
    _xlpm.result, _xlfn.XLOOKUP(_xlpm.lookupKey,'EA-Fortescue_SDExport'!A:A,'EA-Fortescue_SDExport'!AD:AD),
    IF(_xlpm.result=0,"",_xlpm.result)
)</f>
        <v>855DC Decarb Green Systems</v>
      </c>
      <c r="AD193" s="2" t="str">
        <f>_xlfn.LET(
    _xlpm.isObject, _xlfn.XLOOKUP($Y193,'EA-Fortescue_SDExport'!A:A,'EA-Fortescue_SDExport'!B:B),
    _xlpm.lookupKey, IF(_xlpm.isObject="Object",
        _xlfn.XLOOKUP($A193,'EA-ConnectorExport'!A:A,'EA-ConnectorExport'!J:J),
        $Y193
    ),
    _xlpm.result, _xlfn.XLOOKUP(_xlpm.lookupKey,'EA-Fortescue_SDExport'!A:A,'EA-Fortescue_SDExport'!AE:AE),
    IF(_xlpm.result=0,"",_xlpm.result)
)</f>
        <v>855DC-1543 Existing Systems - Green Enhancement</v>
      </c>
      <c r="AE193" s="2" t="str">
        <f>_xlfn.LET(
    _xlpm.isObject, _xlfn.XLOOKUP($Y193,'EA-Fortescue_SDExport'!A:A,'EA-Fortescue_SDExport'!B:B),
    _xlpm.lookupKey, IF(_xlpm.isObject="Object",
        _xlfn.XLOOKUP($A193,'EA-ConnectorExport'!A:A,'EA-ConnectorExport'!J:J),
        $Y193
    ),
    _xlpm.result, _xlfn.XLOOKUP(_xlpm.lookupKey,'EA-Fortescue_SDExport'!A:A,'EA-Fortescue_SDExport'!AF:AF),
    IF(_xlpm.result=0,"",_xlpm.result)
)</f>
        <v>855DC-1543-008 Monarch</v>
      </c>
      <c r="AF193" s="2" t="str">
        <f>_xlfn.LET(
    _xlpm.isObject, _xlfn.XLOOKUP($Y193,'EA-Fortescue_SDExport'!A:A,'EA-Fortescue_SDExport'!B:B),
    _xlpm.lookupKey, IF(_xlpm.isObject="Object",
        _xlfn.XLOOKUP($A193,'EA-ConnectorExport'!A:A,'EA-ConnectorExport'!J:J),
        $Y193
    ),
    _xlpm.result, _xlfn.XLOOKUP(_xlpm.lookupKey,'EA-Fortescue_SDExport'!A:A,'EA-Fortescue_SDExport'!AG:AG),
    IF(_xlpm.result=0,"",_xlpm.result)
)</f>
        <v>855DC-1543-008-003 OpenAGC (Automatic Generation Control)</v>
      </c>
    </row>
    <row r="194" spans="1:32" ht="45" x14ac:dyDescent="0.25">
      <c r="A194" s="2" t="str">
        <v>DGS-I_0193</v>
      </c>
      <c r="B194" s="2" t="str">
        <f t="shared" si="8"/>
        <v>855DC-1541-DEL Delphi|HIVE</v>
      </c>
      <c r="C194" s="2" t="str">
        <f>_xlfn.LET(_xlpm.result, _xlfn.XLOOKUP(A194,'EA-Fortescue_SDExport'!A:A,'EA-Fortescue_SDExport'!AM:AM), IF(_xlpm.result=0,"",_xlpm.result))</f>
        <v/>
      </c>
      <c r="D194" s="2" t="str">
        <f>_xlfn.LET(_xlpm.result, _xlfn.XLOOKUP(A194,'EA-Fortescue_SDExport'!A:A,'EA-Fortescue_SDExport'!AN:AN), IF(_xlpm.result=0,"",_xlpm.result))</f>
        <v/>
      </c>
      <c r="E194" s="2" t="str">
        <f>_xlfn.XLOOKUP(R194&amp;Z194,Lookups!A:A,Lookups!B:B)</f>
        <v>Stakeholder - Project Interface</v>
      </c>
      <c r="F194" s="2" t="str">
        <f>_xlfn.LET(_xlpm.result, _xlfn.XLOOKUP(A194,'EA-Fortescue_SDExport'!A:A,'EA-Fortescue_SDExport'!AP:AP), IF(_xlpm.result=0,"",_xlpm.result))</f>
        <v/>
      </c>
      <c r="G194" s="2" t="str">
        <f>IF(OR(AND(T194&lt;&gt;"", COUNTIF(Lookups!J:J, "*"&amp;T194&amp;"*")&gt;0), AND(AB194&lt;&gt;"", COUNTIF(Lookups!J:J, "*"&amp;AB194&amp;"*")&gt;0)), "Yes", "No")</f>
        <v>No</v>
      </c>
      <c r="H194" s="2" t="str">
        <f t="shared" si="9"/>
        <v>855DC Decarb Green Systems|N/A</v>
      </c>
      <c r="I194" s="2" t="str">
        <f t="shared" si="10"/>
        <v>855DC-1541 Planning and Forecast Systems|N/A</v>
      </c>
      <c r="J194" s="2" t="str">
        <f t="shared" si="11"/>
        <v>855DC-1541-DEL Delphi|N/A</v>
      </c>
      <c r="K194" s="2" t="str">
        <f>_xlfn.XLOOKUP(A194,'EA-Fortescue_SDExport'!A:A,'EA-Fortescue_SDExport'!N:N)</f>
        <v>Deleted</v>
      </c>
      <c r="L194" s="2" t="str">
        <f>_xlfn.LET(_xlpm.result, _xlfn.XLOOKUP($A194,'EA-Fortescue_SDExport'!$A:$A,'EA-Fortescue_SDExport'!AQ:AQ), IF(_xlpm.result=0,"",_xlpm.result))</f>
        <v/>
      </c>
      <c r="M194" s="2" t="str">
        <f>_xlfn.LET(_xlpm.result, _xlfn.XLOOKUP($A194,'EA-Fortescue_SDExport'!$A:$A,'EA-Fortescue_SDExport'!AR:AR), IF(_xlpm.result=0,"",_xlpm.result))</f>
        <v/>
      </c>
      <c r="N194" s="2" t="str">
        <f>_xlfn.LET(_xlpm.result, _xlfn.XLOOKUP($A194,'EA-Fortescue_SDExport'!$A:$A,'EA-Fortescue_SDExport'!AW:AW), IF(_xlpm.result=0,"",_xlpm.result))</f>
        <v/>
      </c>
      <c r="O194" s="2" t="str">
        <f>_xlfn.LET(_xlpm.result, _xlfn.XLOOKUP($A194,'EA-Fortescue_SDExport'!$A:$A,'EA-Fortescue_SDExport'!AV:AV), IF(_xlpm.result=0,"",_xlpm.result))</f>
        <v/>
      </c>
      <c r="P194" s="2" t="str">
        <f>_xlfn.LET(_xlpm.result, _xlfn.XLOOKUP($A194,'EA-Fortescue_SDExport'!$A:$A,'EA-Fortescue_SDExport'!D:D), IF(_xlpm.result=0,"",_xlpm.result))</f>
        <v>Interface Review 25/11/2025: Delete</v>
      </c>
      <c r="Q194" s="2" t="str">
        <f>_xlfn.LET(
    _xlpm.status, _xlfn.XLOOKUP($A194,'EA-ConnectorExport'!$A:$A,'EA-ConnectorExport'!G:G),
    _xlpm.result, _xlfn.XLOOKUP($A194,'EA-ConnectorExport'!$A:$A,'EA-ConnectorExport'!B:B),
    IF(_xlpm.status="allocate", _xlpm.result, "")
)</f>
        <v>855DC-1541-DEL Delphi</v>
      </c>
      <c r="R194" s="2" t="str">
        <f>IF(
    _xlfn.XLOOKUP($Q194,'EA-Fortescue_SDExport'!A:A,'EA-Fortescue_SDExport'!B:B)="Object",
    _xlfn.XLOOKUP(
        _xlfn.XLOOKUP($A194,'EA-ConnectorExport'!A:A,'EA-ConnectorExport'!D:D),
        'EA-Fortescue_SDExport'!A:A,
        'EA-Fortescue_SDExport'!AA:AA
    ),
    _xlfn.XLOOKUP($Q194,'EA-Fortescue_SDExport'!A:A,'EA-Fortescue_SDExport'!AA:AA)
)</f>
        <v>Project</v>
      </c>
      <c r="S194" s="2" t="str">
        <f>_xlfn.LET(_xlpm.result, _xlfn.XLOOKUP($Q194,'EA-Fortescue_SDExport'!$A:$A,'EA-Fortescue_SDExport'!AB:AB), IF(_xlpm.result=0,"",_xlpm.result))</f>
        <v>Energy Operations</v>
      </c>
      <c r="T194" s="2" t="str">
        <f>_xlfn.LET(_xlpm.result, _xlfn.XLOOKUP($Q194,'EA-Fortescue_SDExport'!$A:$A,'EA-Fortescue_SDExport'!AC:AC), IF(_xlpm.result=0,"",_xlpm.result))</f>
        <v/>
      </c>
      <c r="U194" s="2" t="str">
        <f>_xlfn.LET(
    _xlpm.isObject, _xlfn.XLOOKUP($Q194,'EA-Fortescue_SDExport'!A:A,'EA-Fortescue_SDExport'!B:B),
    _xlpm.lookupKey, IF(_xlpm.isObject="Object",
        _xlfn.XLOOKUP($A194,'EA-ConnectorExport'!A:A,'EA-ConnectorExport'!D:D),
        $Q194
    ),
    _xlpm.result, _xlfn.XLOOKUP(_xlpm.lookupKey,'EA-Fortescue_SDExport'!A:A,'EA-Fortescue_SDExport'!AD:AD),
    IF(_xlpm.result=0,"",_xlpm.result)
)</f>
        <v>855DC Decarb Green Systems</v>
      </c>
      <c r="V194" s="2" t="str">
        <f>_xlfn.LET(
    _xlpm.isObject, _xlfn.XLOOKUP($Q194,'EA-Fortescue_SDExport'!A:A,'EA-Fortescue_SDExport'!B:B),
    _xlpm.lookupKey, IF(_xlpm.isObject="Object",
        _xlfn.XLOOKUP($A194,'EA-ConnectorExport'!A:A,'EA-ConnectorExport'!D:D),
        $Q194
    ),
    _xlpm.result, _xlfn.XLOOKUP(_xlpm.lookupKey,'EA-Fortescue_SDExport'!A:A,'EA-Fortescue_SDExport'!AE:AE),
    IF(_xlpm.result=0,"",_xlpm.result)
)</f>
        <v>855DC-1541 Planning and Forecast Systems</v>
      </c>
      <c r="W194" s="2" t="str">
        <f>_xlfn.LET(
    _xlpm.isObject, _xlfn.XLOOKUP($Q194,'EA-Fortescue_SDExport'!A:A,'EA-Fortescue_SDExport'!B:B),
    _xlpm.lookupKey, IF(_xlpm.isObject="Object",
        _xlfn.XLOOKUP($A194,'EA-ConnectorExport'!A:A,'EA-ConnectorExport'!D:D),
        $Q194
    ),
    _xlpm.result, _xlfn.XLOOKUP(_xlpm.lookupKey,'EA-Fortescue_SDExport'!A:A,'EA-Fortescue_SDExport'!AF:AF),
    IF(_xlpm.result=0,"",_xlpm.result)
)</f>
        <v>855DC-1541-DEL Delphi</v>
      </c>
      <c r="X194" s="2" t="str">
        <f>_xlfn.LET(
    _xlpm.isObject, _xlfn.XLOOKUP($Q194,'EA-Fortescue_SDExport'!A:A,'EA-Fortescue_SDExport'!B:B),
    _xlpm.lookupKey, IF(_xlpm.isObject="Object",
        _xlfn.XLOOKUP($A194,'EA-ConnectorExport'!A:A,'EA-ConnectorExport'!D:D),
        $Q194
    ),
    _xlpm.result, _xlfn.XLOOKUP(_xlpm.lookupKey,'EA-Fortescue_SDExport'!A:A,'EA-Fortescue_SDExport'!AG:AG),
    IF(_xlpm.result=0,"",_xlpm.result)
)</f>
        <v/>
      </c>
      <c r="Y194" s="2" t="str">
        <f>_xlfn.LET(
    _xlpm.status, _xlfn.XLOOKUP($A194,'EA-ConnectorExport'!$A:$A,'EA-ConnectorExport'!G:G),
    _xlpm.result, _xlfn.XLOOKUP($A194,'EA-ConnectorExport'!$A:$A,'EA-ConnectorExport'!H:H),
    IF(_xlpm.status="allocate", _xlpm.result, "")
)</f>
        <v>HIVE</v>
      </c>
      <c r="Z194" s="2" t="str">
        <f>_xlfn.LET(
    _xlpm.isObject, _xlfn.XLOOKUP($Y194,'EA-Fortescue_SDExport'!A:A,'EA-Fortescue_SDExport'!B:B),
    _xlpm.lookupKey, IF(_xlpm.isObject="Object",
        _xlfn.XLOOKUP($A194,'EA-ConnectorExport'!A:A,'EA-ConnectorExport'!J:J),
        $Y194
    ),
    _xlpm.result, _xlfn.XLOOKUP(_xlpm.lookupKey,'EA-Fortescue_SDExport'!A:A,'EA-Fortescue_SDExport'!AA:AA),
    IF(_xlpm.result=0,"",_xlpm.result)
)</f>
        <v>Stakeholder</v>
      </c>
      <c r="AA194" s="2" t="str">
        <f>_xlfn.LET(_xlpm.result, _xlfn.XLOOKUP($Y194,'EA-Fortescue_SDExport'!$A:$A,'EA-Fortescue_SDExport'!AB:AB), IF(_xlpm.result=0,"",_xlpm.result))</f>
        <v>Charlotte Lavin (Ops Readiness)</v>
      </c>
      <c r="AB194" s="2" t="str">
        <f>_xlfn.LET(_xlpm.result, _xlfn.XLOOKUP($Y194,'EA-Fortescue_SDExport'!$A:$A,'EA-Fortescue_SDExport'!AC:AC), IF(_xlpm.result=0,"",_xlpm.result))</f>
        <v/>
      </c>
      <c r="AC194" s="2" t="str">
        <f>_xlfn.LET(
    _xlpm.isObject, _xlfn.XLOOKUP($Y194,'EA-Fortescue_SDExport'!A:A,'EA-Fortescue_SDExport'!B:B),
    _xlpm.lookupKey, IF(_xlpm.isObject="Object",
        _xlfn.XLOOKUP($A194,'EA-ConnectorExport'!A:A,'EA-ConnectorExport'!J:J),
        $Y194
    ),
    _xlpm.result, _xlfn.XLOOKUP(_xlpm.lookupKey,'EA-Fortescue_SDExport'!A:A,'EA-Fortescue_SDExport'!AD:AD),
    IF(_xlpm.result=0,"",_xlpm.result)
)</f>
        <v/>
      </c>
      <c r="AD194" s="2" t="str">
        <f>_xlfn.LET(
    _xlpm.isObject, _xlfn.XLOOKUP($Y194,'EA-Fortescue_SDExport'!A:A,'EA-Fortescue_SDExport'!B:B),
    _xlpm.lookupKey, IF(_xlpm.isObject="Object",
        _xlfn.XLOOKUP($A194,'EA-ConnectorExport'!A:A,'EA-ConnectorExport'!J:J),
        $Y194
    ),
    _xlpm.result, _xlfn.XLOOKUP(_xlpm.lookupKey,'EA-Fortescue_SDExport'!A:A,'EA-Fortescue_SDExport'!AE:AE),
    IF(_xlpm.result=0,"",_xlpm.result)
)</f>
        <v/>
      </c>
      <c r="AE194" s="2" t="str">
        <f>_xlfn.LET(
    _xlpm.isObject, _xlfn.XLOOKUP($Y194,'EA-Fortescue_SDExport'!A:A,'EA-Fortescue_SDExport'!B:B),
    _xlpm.lookupKey, IF(_xlpm.isObject="Object",
        _xlfn.XLOOKUP($A194,'EA-ConnectorExport'!A:A,'EA-ConnectorExport'!J:J),
        $Y194
    ),
    _xlpm.result, _xlfn.XLOOKUP(_xlpm.lookupKey,'EA-Fortescue_SDExport'!A:A,'EA-Fortescue_SDExport'!AF:AF),
    IF(_xlpm.result=0,"",_xlpm.result)
)</f>
        <v/>
      </c>
      <c r="AF194" s="2" t="str">
        <f>_xlfn.LET(
    _xlpm.isObject, _xlfn.XLOOKUP($Y194,'EA-Fortescue_SDExport'!A:A,'EA-Fortescue_SDExport'!B:B),
    _xlpm.lookupKey, IF(_xlpm.isObject="Object",
        _xlfn.XLOOKUP($A194,'EA-ConnectorExport'!A:A,'EA-ConnectorExport'!J:J),
        $Y194
    ),
    _xlpm.result, _xlfn.XLOOKUP(_xlpm.lookupKey,'EA-Fortescue_SDExport'!A:A,'EA-Fortescue_SDExport'!AG:AG),
    IF(_xlpm.result=0,"",_xlpm.result)
)</f>
        <v/>
      </c>
    </row>
    <row r="195" spans="1:32" ht="45" x14ac:dyDescent="0.25">
      <c r="A195" s="2" t="str">
        <v>DGS-I_0194</v>
      </c>
      <c r="B195" s="2" t="str">
        <f t="shared" ref="B195:B258" si="12">Q195 &amp; "|" &amp; Y195</f>
        <v>855DC-1541-DEL Delphi|Integrated Planning</v>
      </c>
      <c r="C195" s="2" t="str">
        <f>_xlfn.LET(_xlpm.result, _xlfn.XLOOKUP(A195,'EA-Fortescue_SDExport'!A:A,'EA-Fortescue_SDExport'!AM:AM), IF(_xlpm.result=0,"",_xlpm.result))</f>
        <v/>
      </c>
      <c r="D195" s="2" t="str">
        <f>_xlfn.LET(_xlpm.result, _xlfn.XLOOKUP(A195,'EA-Fortescue_SDExport'!A:A,'EA-Fortescue_SDExport'!AN:AN), IF(_xlpm.result=0,"",_xlpm.result))</f>
        <v/>
      </c>
      <c r="E195" s="2" t="str">
        <f>_xlfn.XLOOKUP(R195&amp;Z195,Lookups!A:A,Lookups!B:B)</f>
        <v>Stakeholder - Project Interface</v>
      </c>
      <c r="F195" s="2" t="str">
        <f>_xlfn.LET(_xlpm.result, _xlfn.XLOOKUP(A195,'EA-Fortescue_SDExport'!A:A,'EA-Fortescue_SDExport'!AP:AP), IF(_xlpm.result=0,"",_xlpm.result))</f>
        <v/>
      </c>
      <c r="G195" s="2" t="str">
        <f>IF(OR(AND(T195&lt;&gt;"", COUNTIF(Lookups!J:J, "*"&amp;T195&amp;"*")&gt;0), AND(AB195&lt;&gt;"", COUNTIF(Lookups!J:J, "*"&amp;AB195&amp;"*")&gt;0)), "Yes", "No")</f>
        <v>No</v>
      </c>
      <c r="H195" s="2" t="str">
        <f t="shared" ref="H195:H258" si="13">IF(AND(U195="",AC195=""),"N/A",IF(U195="", "N/A|" &amp; AC195, IF(AC195="", U195 &amp; "|N/A", U195 &amp; "|" &amp; AC195)))</f>
        <v>855DC Decarb Green Systems|N/A</v>
      </c>
      <c r="I195" s="2" t="str">
        <f t="shared" ref="I195:I258" si="14">IF(AND(V195="",AD195=""),"N/A",IF(V195="","N/A|" &amp; AD195,IF(AD195="",V195 &amp; "|N/A",V195 &amp; "|" &amp; AD195)))</f>
        <v>855DC-1541 Planning and Forecast Systems|N/A</v>
      </c>
      <c r="J195" s="2" t="str">
        <f t="shared" ref="J195:J258" si="15">IF(AND(W195="",AE195=""),"N/A",IF(W195="","N/A|" &amp; AE195,IF(AE195="",W195 &amp; "|N/A",W195 &amp; "|" &amp; AE195)))</f>
        <v>855DC-1541-DEL Delphi|N/A</v>
      </c>
      <c r="K195" s="2" t="str">
        <f>_xlfn.XLOOKUP(A195,'EA-Fortescue_SDExport'!A:A,'EA-Fortescue_SDExport'!N:N)</f>
        <v>Deleted</v>
      </c>
      <c r="L195" s="2" t="str">
        <f>_xlfn.LET(_xlpm.result, _xlfn.XLOOKUP($A195,'EA-Fortescue_SDExport'!$A:$A,'EA-Fortescue_SDExport'!AQ:AQ), IF(_xlpm.result=0,"",_xlpm.result))</f>
        <v/>
      </c>
      <c r="M195" s="2" t="str">
        <f>_xlfn.LET(_xlpm.result, _xlfn.XLOOKUP($A195,'EA-Fortescue_SDExport'!$A:$A,'EA-Fortescue_SDExport'!AR:AR), IF(_xlpm.result=0,"",_xlpm.result))</f>
        <v/>
      </c>
      <c r="N195" s="2" t="str">
        <f>_xlfn.LET(_xlpm.result, _xlfn.XLOOKUP($A195,'EA-Fortescue_SDExport'!$A:$A,'EA-Fortescue_SDExport'!AW:AW), IF(_xlpm.result=0,"",_xlpm.result))</f>
        <v/>
      </c>
      <c r="O195" s="2" t="str">
        <f>_xlfn.LET(_xlpm.result, _xlfn.XLOOKUP($A195,'EA-Fortescue_SDExport'!$A:$A,'EA-Fortescue_SDExport'!AV:AV), IF(_xlpm.result=0,"",_xlpm.result))</f>
        <v/>
      </c>
      <c r="P195" s="2" t="str">
        <f>_xlfn.LET(_xlpm.result, _xlfn.XLOOKUP($A195,'EA-Fortescue_SDExport'!$A:$A,'EA-Fortescue_SDExport'!D:D), IF(_xlpm.result=0,"",_xlpm.result))</f>
        <v>Interface Review 25/11/2025: Delete, energy ops will be interfacting with Delphi</v>
      </c>
      <c r="Q195" s="2" t="str">
        <f>_xlfn.LET(
    _xlpm.status, _xlfn.XLOOKUP($A195,'EA-ConnectorExport'!$A:$A,'EA-ConnectorExport'!G:G),
    _xlpm.result, _xlfn.XLOOKUP($A195,'EA-ConnectorExport'!$A:$A,'EA-ConnectorExport'!B:B),
    IF(_xlpm.status="allocate", _xlpm.result, "")
)</f>
        <v>855DC-1541-DEL Delphi</v>
      </c>
      <c r="R195" s="2" t="str">
        <f>IF(
    _xlfn.XLOOKUP($Q195,'EA-Fortescue_SDExport'!A:A,'EA-Fortescue_SDExport'!B:B)="Object",
    _xlfn.XLOOKUP(
        _xlfn.XLOOKUP($A195,'EA-ConnectorExport'!A:A,'EA-ConnectorExport'!D:D),
        'EA-Fortescue_SDExport'!A:A,
        'EA-Fortescue_SDExport'!AA:AA
    ),
    _xlfn.XLOOKUP($Q195,'EA-Fortescue_SDExport'!A:A,'EA-Fortescue_SDExport'!AA:AA)
)</f>
        <v>Project</v>
      </c>
      <c r="S195" s="2" t="str">
        <f>_xlfn.LET(_xlpm.result, _xlfn.XLOOKUP($Q195,'EA-Fortescue_SDExport'!$A:$A,'EA-Fortescue_SDExport'!AB:AB), IF(_xlpm.result=0,"",_xlpm.result))</f>
        <v>Energy Operations</v>
      </c>
      <c r="T195" s="2" t="str">
        <f>_xlfn.LET(_xlpm.result, _xlfn.XLOOKUP($Q195,'EA-Fortescue_SDExport'!$A:$A,'EA-Fortescue_SDExport'!AC:AC), IF(_xlpm.result=0,"",_xlpm.result))</f>
        <v/>
      </c>
      <c r="U195" s="2" t="str">
        <f>_xlfn.LET(
    _xlpm.isObject, _xlfn.XLOOKUP($Q195,'EA-Fortescue_SDExport'!A:A,'EA-Fortescue_SDExport'!B:B),
    _xlpm.lookupKey, IF(_xlpm.isObject="Object",
        _xlfn.XLOOKUP($A195,'EA-ConnectorExport'!A:A,'EA-ConnectorExport'!D:D),
        $Q195
    ),
    _xlpm.result, _xlfn.XLOOKUP(_xlpm.lookupKey,'EA-Fortescue_SDExport'!A:A,'EA-Fortescue_SDExport'!AD:AD),
    IF(_xlpm.result=0,"",_xlpm.result)
)</f>
        <v>855DC Decarb Green Systems</v>
      </c>
      <c r="V195" s="2" t="str">
        <f>_xlfn.LET(
    _xlpm.isObject, _xlfn.XLOOKUP($Q195,'EA-Fortescue_SDExport'!A:A,'EA-Fortescue_SDExport'!B:B),
    _xlpm.lookupKey, IF(_xlpm.isObject="Object",
        _xlfn.XLOOKUP($A195,'EA-ConnectorExport'!A:A,'EA-ConnectorExport'!D:D),
        $Q195
    ),
    _xlpm.result, _xlfn.XLOOKUP(_xlpm.lookupKey,'EA-Fortescue_SDExport'!A:A,'EA-Fortescue_SDExport'!AE:AE),
    IF(_xlpm.result=0,"",_xlpm.result)
)</f>
        <v>855DC-1541 Planning and Forecast Systems</v>
      </c>
      <c r="W195" s="2" t="str">
        <f>_xlfn.LET(
    _xlpm.isObject, _xlfn.XLOOKUP($Q195,'EA-Fortescue_SDExport'!A:A,'EA-Fortescue_SDExport'!B:B),
    _xlpm.lookupKey, IF(_xlpm.isObject="Object",
        _xlfn.XLOOKUP($A195,'EA-ConnectorExport'!A:A,'EA-ConnectorExport'!D:D),
        $Q195
    ),
    _xlpm.result, _xlfn.XLOOKUP(_xlpm.lookupKey,'EA-Fortescue_SDExport'!A:A,'EA-Fortescue_SDExport'!AF:AF),
    IF(_xlpm.result=0,"",_xlpm.result)
)</f>
        <v>855DC-1541-DEL Delphi</v>
      </c>
      <c r="X195" s="2" t="str">
        <f>_xlfn.LET(
    _xlpm.isObject, _xlfn.XLOOKUP($Q195,'EA-Fortescue_SDExport'!A:A,'EA-Fortescue_SDExport'!B:B),
    _xlpm.lookupKey, IF(_xlpm.isObject="Object",
        _xlfn.XLOOKUP($A195,'EA-ConnectorExport'!A:A,'EA-ConnectorExport'!D:D),
        $Q195
    ),
    _xlpm.result, _xlfn.XLOOKUP(_xlpm.lookupKey,'EA-Fortescue_SDExport'!A:A,'EA-Fortescue_SDExport'!AG:AG),
    IF(_xlpm.result=0,"",_xlpm.result)
)</f>
        <v/>
      </c>
      <c r="Y195" s="2" t="str">
        <f>_xlfn.LET(
    _xlpm.status, _xlfn.XLOOKUP($A195,'EA-ConnectorExport'!$A:$A,'EA-ConnectorExport'!G:G),
    _xlpm.result, _xlfn.XLOOKUP($A195,'EA-ConnectorExport'!$A:$A,'EA-ConnectorExport'!H:H),
    IF(_xlpm.status="allocate", _xlpm.result, "")
)</f>
        <v>Integrated Planning</v>
      </c>
      <c r="Z195" s="2" t="str">
        <f>_xlfn.LET(
    _xlpm.isObject, _xlfn.XLOOKUP($Y195,'EA-Fortescue_SDExport'!A:A,'EA-Fortescue_SDExport'!B:B),
    _xlpm.lookupKey, IF(_xlpm.isObject="Object",
        _xlfn.XLOOKUP($A195,'EA-ConnectorExport'!A:A,'EA-ConnectorExport'!J:J),
        $Y195
    ),
    _xlpm.result, _xlfn.XLOOKUP(_xlpm.lookupKey,'EA-Fortescue_SDExport'!A:A,'EA-Fortescue_SDExport'!AA:AA),
    IF(_xlpm.result=0,"",_xlpm.result)
)</f>
        <v>Stakeholder</v>
      </c>
      <c r="AA195" s="2" t="str">
        <f>_xlfn.LET(_xlpm.result, _xlfn.XLOOKUP($Y195,'EA-Fortescue_SDExport'!$A:$A,'EA-Fortescue_SDExport'!AB:AB), IF(_xlpm.result=0,"",_xlpm.result))</f>
        <v/>
      </c>
      <c r="AB195" s="2" t="str">
        <f>_xlfn.LET(_xlpm.result, _xlfn.XLOOKUP($Y195,'EA-Fortescue_SDExport'!$A:$A,'EA-Fortescue_SDExport'!AC:AC), IF(_xlpm.result=0,"",_xlpm.result))</f>
        <v/>
      </c>
      <c r="AC195" s="2" t="str">
        <f>_xlfn.LET(
    _xlpm.isObject, _xlfn.XLOOKUP($Y195,'EA-Fortescue_SDExport'!A:A,'EA-Fortescue_SDExport'!B:B),
    _xlpm.lookupKey, IF(_xlpm.isObject="Object",
        _xlfn.XLOOKUP($A195,'EA-ConnectorExport'!A:A,'EA-ConnectorExport'!J:J),
        $Y195
    ),
    _xlpm.result, _xlfn.XLOOKUP(_xlpm.lookupKey,'EA-Fortescue_SDExport'!A:A,'EA-Fortescue_SDExport'!AD:AD),
    IF(_xlpm.result=0,"",_xlpm.result)
)</f>
        <v/>
      </c>
      <c r="AD195" s="2" t="str">
        <f>_xlfn.LET(
    _xlpm.isObject, _xlfn.XLOOKUP($Y195,'EA-Fortescue_SDExport'!A:A,'EA-Fortescue_SDExport'!B:B),
    _xlpm.lookupKey, IF(_xlpm.isObject="Object",
        _xlfn.XLOOKUP($A195,'EA-ConnectorExport'!A:A,'EA-ConnectorExport'!J:J),
        $Y195
    ),
    _xlpm.result, _xlfn.XLOOKUP(_xlpm.lookupKey,'EA-Fortescue_SDExport'!A:A,'EA-Fortescue_SDExport'!AE:AE),
    IF(_xlpm.result=0,"",_xlpm.result)
)</f>
        <v/>
      </c>
      <c r="AE195" s="2" t="str">
        <f>_xlfn.LET(
    _xlpm.isObject, _xlfn.XLOOKUP($Y195,'EA-Fortescue_SDExport'!A:A,'EA-Fortescue_SDExport'!B:B),
    _xlpm.lookupKey, IF(_xlpm.isObject="Object",
        _xlfn.XLOOKUP($A195,'EA-ConnectorExport'!A:A,'EA-ConnectorExport'!J:J),
        $Y195
    ),
    _xlpm.result, _xlfn.XLOOKUP(_xlpm.lookupKey,'EA-Fortescue_SDExport'!A:A,'EA-Fortescue_SDExport'!AF:AF),
    IF(_xlpm.result=0,"",_xlpm.result)
)</f>
        <v/>
      </c>
      <c r="AF195" s="2" t="str">
        <f>_xlfn.LET(
    _xlpm.isObject, _xlfn.XLOOKUP($Y195,'EA-Fortescue_SDExport'!A:A,'EA-Fortescue_SDExport'!B:B),
    _xlpm.lookupKey, IF(_xlpm.isObject="Object",
        _xlfn.XLOOKUP($A195,'EA-ConnectorExport'!A:A,'EA-ConnectorExport'!J:J),
        $Y195
    ),
    _xlpm.result, _xlfn.XLOOKUP(_xlpm.lookupKey,'EA-Fortescue_SDExport'!A:A,'EA-Fortescue_SDExport'!AG:AG),
    IF(_xlpm.result=0,"",_xlpm.result)
)</f>
        <v/>
      </c>
    </row>
    <row r="196" spans="1:32" ht="45" x14ac:dyDescent="0.25">
      <c r="A196" s="2" t="str">
        <v>DGS-I_0195</v>
      </c>
      <c r="B196" s="2" t="str">
        <f t="shared" si="12"/>
        <v>855DC-1541-DEL Delphi|Operations Planning</v>
      </c>
      <c r="C196" s="2" t="str">
        <f>_xlfn.LET(_xlpm.result, _xlfn.XLOOKUP(A196,'EA-Fortescue_SDExport'!A:A,'EA-Fortescue_SDExport'!AM:AM), IF(_xlpm.result=0,"",_xlpm.result))</f>
        <v/>
      </c>
      <c r="D196" s="2" t="str">
        <f>_xlfn.LET(_xlpm.result, _xlfn.XLOOKUP(A196,'EA-Fortescue_SDExport'!A:A,'EA-Fortescue_SDExport'!AN:AN), IF(_xlpm.result=0,"",_xlpm.result))</f>
        <v/>
      </c>
      <c r="E196" s="2" t="str">
        <f>_xlfn.XLOOKUP(R196&amp;Z196,Lookups!A:A,Lookups!B:B)</f>
        <v>Stakeholder - Project Interface</v>
      </c>
      <c r="F196" s="2" t="str">
        <f>_xlfn.LET(_xlpm.result, _xlfn.XLOOKUP(A196,'EA-Fortescue_SDExport'!A:A,'EA-Fortescue_SDExport'!AP:AP), IF(_xlpm.result=0,"",_xlpm.result))</f>
        <v/>
      </c>
      <c r="G196" s="2" t="str">
        <f>IF(OR(AND(T196&lt;&gt;"", COUNTIF(Lookups!J:J, "*"&amp;T196&amp;"*")&gt;0), AND(AB196&lt;&gt;"", COUNTIF(Lookups!J:J, "*"&amp;AB196&amp;"*")&gt;0)), "Yes", "No")</f>
        <v>No</v>
      </c>
      <c r="H196" s="2" t="str">
        <f t="shared" si="13"/>
        <v>855DC Decarb Green Systems|N/A</v>
      </c>
      <c r="I196" s="2" t="str">
        <f t="shared" si="14"/>
        <v>855DC-1541 Planning and Forecast Systems|N/A</v>
      </c>
      <c r="J196" s="2" t="str">
        <f t="shared" si="15"/>
        <v>855DC-1541-DEL Delphi|N/A</v>
      </c>
      <c r="K196" s="2" t="str">
        <f>_xlfn.XLOOKUP(A196,'EA-Fortescue_SDExport'!A:A,'EA-Fortescue_SDExport'!N:N)</f>
        <v>Deleted</v>
      </c>
      <c r="L196" s="2" t="str">
        <f>_xlfn.LET(_xlpm.result, _xlfn.XLOOKUP($A196,'EA-Fortescue_SDExport'!$A:$A,'EA-Fortescue_SDExport'!AQ:AQ), IF(_xlpm.result=0,"",_xlpm.result))</f>
        <v/>
      </c>
      <c r="M196" s="2" t="str">
        <f>_xlfn.LET(_xlpm.result, _xlfn.XLOOKUP($A196,'EA-Fortescue_SDExport'!$A:$A,'EA-Fortescue_SDExport'!AR:AR), IF(_xlpm.result=0,"",_xlpm.result))</f>
        <v/>
      </c>
      <c r="N196" s="2" t="str">
        <f>_xlfn.LET(_xlpm.result, _xlfn.XLOOKUP($A196,'EA-Fortescue_SDExport'!$A:$A,'EA-Fortescue_SDExport'!AW:AW), IF(_xlpm.result=0,"",_xlpm.result))</f>
        <v/>
      </c>
      <c r="O196" s="2" t="str">
        <f>_xlfn.LET(_xlpm.result, _xlfn.XLOOKUP($A196,'EA-Fortescue_SDExport'!$A:$A,'EA-Fortescue_SDExport'!AV:AV), IF(_xlpm.result=0,"",_xlpm.result))</f>
        <v/>
      </c>
      <c r="P196" s="2" t="str">
        <f>_xlfn.LET(_xlpm.result, _xlfn.XLOOKUP($A196,'EA-Fortescue_SDExport'!$A:$A,'EA-Fortescue_SDExport'!D:D), IF(_xlpm.result=0,"",_xlpm.result))</f>
        <v>Interface Review 25/11/2025: Delete, energy ops will be interfacting with Delphi</v>
      </c>
      <c r="Q196" s="2" t="str">
        <f>_xlfn.LET(
    _xlpm.status, _xlfn.XLOOKUP($A196,'EA-ConnectorExport'!$A:$A,'EA-ConnectorExport'!G:G),
    _xlpm.result, _xlfn.XLOOKUP($A196,'EA-ConnectorExport'!$A:$A,'EA-ConnectorExport'!B:B),
    IF(_xlpm.status="allocate", _xlpm.result, "")
)</f>
        <v>855DC-1541-DEL Delphi</v>
      </c>
      <c r="R196" s="2" t="str">
        <f>IF(
    _xlfn.XLOOKUP($Q196,'EA-Fortescue_SDExport'!A:A,'EA-Fortescue_SDExport'!B:B)="Object",
    _xlfn.XLOOKUP(
        _xlfn.XLOOKUP($A196,'EA-ConnectorExport'!A:A,'EA-ConnectorExport'!D:D),
        'EA-Fortescue_SDExport'!A:A,
        'EA-Fortescue_SDExport'!AA:AA
    ),
    _xlfn.XLOOKUP($Q196,'EA-Fortescue_SDExport'!A:A,'EA-Fortescue_SDExport'!AA:AA)
)</f>
        <v>Project</v>
      </c>
      <c r="S196" s="2" t="str">
        <f>_xlfn.LET(_xlpm.result, _xlfn.XLOOKUP($Q196,'EA-Fortescue_SDExport'!$A:$A,'EA-Fortescue_SDExport'!AB:AB), IF(_xlpm.result=0,"",_xlpm.result))</f>
        <v>Energy Operations</v>
      </c>
      <c r="T196" s="2" t="str">
        <f>_xlfn.LET(_xlpm.result, _xlfn.XLOOKUP($Q196,'EA-Fortescue_SDExport'!$A:$A,'EA-Fortescue_SDExport'!AC:AC), IF(_xlpm.result=0,"",_xlpm.result))</f>
        <v/>
      </c>
      <c r="U196" s="2" t="str">
        <f>_xlfn.LET(
    _xlpm.isObject, _xlfn.XLOOKUP($Q196,'EA-Fortescue_SDExport'!A:A,'EA-Fortescue_SDExport'!B:B),
    _xlpm.lookupKey, IF(_xlpm.isObject="Object",
        _xlfn.XLOOKUP($A196,'EA-ConnectorExport'!A:A,'EA-ConnectorExport'!D:D),
        $Q196
    ),
    _xlpm.result, _xlfn.XLOOKUP(_xlpm.lookupKey,'EA-Fortescue_SDExport'!A:A,'EA-Fortescue_SDExport'!AD:AD),
    IF(_xlpm.result=0,"",_xlpm.result)
)</f>
        <v>855DC Decarb Green Systems</v>
      </c>
      <c r="V196" s="2" t="str">
        <f>_xlfn.LET(
    _xlpm.isObject, _xlfn.XLOOKUP($Q196,'EA-Fortescue_SDExport'!A:A,'EA-Fortescue_SDExport'!B:B),
    _xlpm.lookupKey, IF(_xlpm.isObject="Object",
        _xlfn.XLOOKUP($A196,'EA-ConnectorExport'!A:A,'EA-ConnectorExport'!D:D),
        $Q196
    ),
    _xlpm.result, _xlfn.XLOOKUP(_xlpm.lookupKey,'EA-Fortescue_SDExport'!A:A,'EA-Fortescue_SDExport'!AE:AE),
    IF(_xlpm.result=0,"",_xlpm.result)
)</f>
        <v>855DC-1541 Planning and Forecast Systems</v>
      </c>
      <c r="W196" s="2" t="str">
        <f>_xlfn.LET(
    _xlpm.isObject, _xlfn.XLOOKUP($Q196,'EA-Fortescue_SDExport'!A:A,'EA-Fortescue_SDExport'!B:B),
    _xlpm.lookupKey, IF(_xlpm.isObject="Object",
        _xlfn.XLOOKUP($A196,'EA-ConnectorExport'!A:A,'EA-ConnectorExport'!D:D),
        $Q196
    ),
    _xlpm.result, _xlfn.XLOOKUP(_xlpm.lookupKey,'EA-Fortescue_SDExport'!A:A,'EA-Fortescue_SDExport'!AF:AF),
    IF(_xlpm.result=0,"",_xlpm.result)
)</f>
        <v>855DC-1541-DEL Delphi</v>
      </c>
      <c r="X196" s="2" t="str">
        <f>_xlfn.LET(
    _xlpm.isObject, _xlfn.XLOOKUP($Q196,'EA-Fortescue_SDExport'!A:A,'EA-Fortescue_SDExport'!B:B),
    _xlpm.lookupKey, IF(_xlpm.isObject="Object",
        _xlfn.XLOOKUP($A196,'EA-ConnectorExport'!A:A,'EA-ConnectorExport'!D:D),
        $Q196
    ),
    _xlpm.result, _xlfn.XLOOKUP(_xlpm.lookupKey,'EA-Fortescue_SDExport'!A:A,'EA-Fortescue_SDExport'!AG:AG),
    IF(_xlpm.result=0,"",_xlpm.result)
)</f>
        <v/>
      </c>
      <c r="Y196" s="2" t="str">
        <f>_xlfn.LET(
    _xlpm.status, _xlfn.XLOOKUP($A196,'EA-ConnectorExport'!$A:$A,'EA-ConnectorExport'!G:G),
    _xlpm.result, _xlfn.XLOOKUP($A196,'EA-ConnectorExport'!$A:$A,'EA-ConnectorExport'!H:H),
    IF(_xlpm.status="allocate", _xlpm.result, "")
)</f>
        <v>Operations Planning</v>
      </c>
      <c r="Z196" s="2" t="str">
        <f>_xlfn.LET(
    _xlpm.isObject, _xlfn.XLOOKUP($Y196,'EA-Fortescue_SDExport'!A:A,'EA-Fortescue_SDExport'!B:B),
    _xlpm.lookupKey, IF(_xlpm.isObject="Object",
        _xlfn.XLOOKUP($A196,'EA-ConnectorExport'!A:A,'EA-ConnectorExport'!J:J),
        $Y196
    ),
    _xlpm.result, _xlfn.XLOOKUP(_xlpm.lookupKey,'EA-Fortescue_SDExport'!A:A,'EA-Fortescue_SDExport'!AA:AA),
    IF(_xlpm.result=0,"",_xlpm.result)
)</f>
        <v>Stakeholder</v>
      </c>
      <c r="AA196" s="2" t="str">
        <f>_xlfn.LET(_xlpm.result, _xlfn.XLOOKUP($Y196,'EA-Fortescue_SDExport'!$A:$A,'EA-Fortescue_SDExport'!AB:AB), IF(_xlpm.result=0,"",_xlpm.result))</f>
        <v/>
      </c>
      <c r="AB196" s="2" t="str">
        <f>_xlfn.LET(_xlpm.result, _xlfn.XLOOKUP($Y196,'EA-Fortescue_SDExport'!$A:$A,'EA-Fortescue_SDExport'!AC:AC), IF(_xlpm.result=0,"",_xlpm.result))</f>
        <v/>
      </c>
      <c r="AC196" s="2" t="str">
        <f>_xlfn.LET(
    _xlpm.isObject, _xlfn.XLOOKUP($Y196,'EA-Fortescue_SDExport'!A:A,'EA-Fortescue_SDExport'!B:B),
    _xlpm.lookupKey, IF(_xlpm.isObject="Object",
        _xlfn.XLOOKUP($A196,'EA-ConnectorExport'!A:A,'EA-ConnectorExport'!J:J),
        $Y196
    ),
    _xlpm.result, _xlfn.XLOOKUP(_xlpm.lookupKey,'EA-Fortescue_SDExport'!A:A,'EA-Fortescue_SDExport'!AD:AD),
    IF(_xlpm.result=0,"",_xlpm.result)
)</f>
        <v/>
      </c>
      <c r="AD196" s="2" t="str">
        <f>_xlfn.LET(
    _xlpm.isObject, _xlfn.XLOOKUP($Y196,'EA-Fortescue_SDExport'!A:A,'EA-Fortescue_SDExport'!B:B),
    _xlpm.lookupKey, IF(_xlpm.isObject="Object",
        _xlfn.XLOOKUP($A196,'EA-ConnectorExport'!A:A,'EA-ConnectorExport'!J:J),
        $Y196
    ),
    _xlpm.result, _xlfn.XLOOKUP(_xlpm.lookupKey,'EA-Fortescue_SDExport'!A:A,'EA-Fortescue_SDExport'!AE:AE),
    IF(_xlpm.result=0,"",_xlpm.result)
)</f>
        <v/>
      </c>
      <c r="AE196" s="2" t="str">
        <f>_xlfn.LET(
    _xlpm.isObject, _xlfn.XLOOKUP($Y196,'EA-Fortescue_SDExport'!A:A,'EA-Fortescue_SDExport'!B:B),
    _xlpm.lookupKey, IF(_xlpm.isObject="Object",
        _xlfn.XLOOKUP($A196,'EA-ConnectorExport'!A:A,'EA-ConnectorExport'!J:J),
        $Y196
    ),
    _xlpm.result, _xlfn.XLOOKUP(_xlpm.lookupKey,'EA-Fortescue_SDExport'!A:A,'EA-Fortescue_SDExport'!AF:AF),
    IF(_xlpm.result=0,"",_xlpm.result)
)</f>
        <v/>
      </c>
      <c r="AF196" s="2" t="str">
        <f>_xlfn.LET(
    _xlpm.isObject, _xlfn.XLOOKUP($Y196,'EA-Fortescue_SDExport'!A:A,'EA-Fortescue_SDExport'!B:B),
    _xlpm.lookupKey, IF(_xlpm.isObject="Object",
        _xlfn.XLOOKUP($A196,'EA-ConnectorExport'!A:A,'EA-ConnectorExport'!J:J),
        $Y196
    ),
    _xlpm.result, _xlfn.XLOOKUP(_xlpm.lookupKey,'EA-Fortescue_SDExport'!A:A,'EA-Fortescue_SDExport'!AG:AG),
    IF(_xlpm.result=0,"",_xlpm.result)
)</f>
        <v/>
      </c>
    </row>
    <row r="197" spans="1:32" ht="375" x14ac:dyDescent="0.25">
      <c r="A197" s="2" t="str">
        <v>DGS-I_0196</v>
      </c>
      <c r="B197" s="2" t="str">
        <f t="shared" si="12"/>
        <v>855DC-1541-ECL-001 Eclipse Planning|855DC-1541-DEL Delphi</v>
      </c>
      <c r="C197" s="2" t="str">
        <f>_xlfn.LET(_xlpm.result, _xlfn.XLOOKUP(A197,'EA-Fortescue_SDExport'!A:A,'EA-Fortescue_SDExport'!AM:AM), IF(_xlpm.result=0,"",_xlpm.result))</f>
        <v/>
      </c>
      <c r="D197" s="2" t="str">
        <f>_xlfn.LET(_xlpm.result, _xlfn.XLOOKUP(A197,'EA-Fortescue_SDExport'!A:A,'EA-Fortescue_SDExport'!AN:AN), IF(_xlpm.result=0,"",_xlpm.result))</f>
        <v/>
      </c>
      <c r="E197" s="2" t="str">
        <f>_xlfn.XLOOKUP(R197&amp;Z197,Lookups!A:A,Lookups!B:B)</f>
        <v>Project - Subsystem Interface</v>
      </c>
      <c r="F197" s="2" t="str">
        <f>_xlfn.LET(_xlpm.result, _xlfn.XLOOKUP(A197,'EA-Fortescue_SDExport'!A:A,'EA-Fortescue_SDExport'!AP:AP), IF(_xlpm.result=0,"",_xlpm.result))</f>
        <v>Technical-Data/Software</v>
      </c>
      <c r="G197" s="2" t="str">
        <f>IF(OR(AND(T197&lt;&gt;"", COUNTIF(Lookups!J:J, "*"&amp;T197&amp;"*")&gt;0), AND(AB197&lt;&gt;"", COUNTIF(Lookups!J:J, "*"&amp;AB197&amp;"*")&gt;0)), "Yes", "No")</f>
        <v>No</v>
      </c>
      <c r="H197" s="2" t="str">
        <f t="shared" si="13"/>
        <v>855DC Decarb Green Systems|855DC Decarb Green Systems</v>
      </c>
      <c r="I197" s="2" t="str">
        <f t="shared" si="14"/>
        <v>855DC-1541 Planning and Forecast Systems|855DC-1541 Planning and Forecast Systems</v>
      </c>
      <c r="J197" s="2" t="str">
        <f t="shared" si="15"/>
        <v>855DC-1541-ECL Eclipse|855DC-1541-DEL Delphi</v>
      </c>
      <c r="K197" s="2" t="str">
        <f>_xlfn.XLOOKUP(A197,'EA-Fortescue_SDExport'!A:A,'EA-Fortescue_SDExport'!N:N)</f>
        <v>Proposed</v>
      </c>
      <c r="L197" s="2" t="str">
        <f>_xlfn.LET(_xlpm.result, _xlfn.XLOOKUP($A197,'EA-Fortescue_SDExport'!$A:$A,'EA-Fortescue_SDExport'!AQ:AQ), IF(_xlpm.result=0,"",_xlpm.result))</f>
        <v>This interface enables bidirectional data exchange between Eclipse Planning and Delphi. Eclipse Planning provides multi-horizon planning outputs including operating mode guidance Long - Balanced - Short, Demand Response Playbooks, gas strategy assumptions, emissions posture guidance, and constraint boundary conditions. Delphi provides time-aligned renewable generation forecasts, load forecasts, scenario ensembles, and forecast updates to support planning analysis, visualisation, and alignment across the energy-aware planning framework. The interface supports forecast consistency, scenario management, and integrated reporting. The interface exchanges data only and does not execute operational control actions.</v>
      </c>
      <c r="M197" s="2" t="str">
        <f>_xlfn.LET(_xlpm.result, _xlfn.XLOOKUP($A197,'EA-Fortescue_SDExport'!$A:$A,'EA-Fortescue_SDExport'!AR:AR), IF(_xlpm.result=0,"",_xlpm.result))</f>
        <v>HIGH</v>
      </c>
      <c r="N197" s="2" t="str">
        <f>_xlfn.LET(_xlpm.result, _xlfn.XLOOKUP($A197,'EA-Fortescue_SDExport'!$A:$A,'EA-Fortescue_SDExport'!AW:AW), IF(_xlpm.result=0,"",_xlpm.result))</f>
        <v>The criticality is HIGH because this interface connects the enterprise forecasting platform with the strategic and tactical energy planning layer that sets operational modes, Demand Response availability, and gas strategy assumptions. Inaccurate or inconsistent data exchange could result in misaligned planning assumptions, inappropriate operating mode selection, or downstream impacts to intra-shift optimisation and grid stability.</v>
      </c>
      <c r="O197" s="2" t="str">
        <f>_xlfn.LET(_xlpm.result, _xlfn.XLOOKUP($A197,'EA-Fortescue_SDExport'!$A:$A,'EA-Fortescue_SDExport'!AV:AV), IF(_xlpm.result=0,"",_xlpm.result))</f>
        <v>Eclipse Planning &lt;-&gt; Delphi</v>
      </c>
      <c r="P197" s="2" t="str">
        <f>_xlfn.LET(_xlpm.result, _xlfn.XLOOKUP($A197,'EA-Fortescue_SDExport'!$A:$A,'EA-Fortescue_SDExport'!D:D), IF(_xlpm.result=0,"",_xlpm.result))</f>
        <v>Interface Review 25/11/2025: Delete, energy ops will be interfacting with Delphi_x000D_
DocStack-SAComparison_Delphi 18/02/2026: Reinstate into SA._x000D_
NH 18/02/2026: Fields updated: Interface Type, Interface Description (Interface Purpose), Interface Criticality, Interface Criticality Explanation, Interface Flow.</v>
      </c>
      <c r="Q197" s="2" t="str">
        <f>_xlfn.LET(
    _xlpm.status, _xlfn.XLOOKUP($A197,'EA-ConnectorExport'!$A:$A,'EA-ConnectorExport'!G:G),
    _xlpm.result, _xlfn.XLOOKUP($A197,'EA-ConnectorExport'!$A:$A,'EA-ConnectorExport'!B:B),
    IF(_xlpm.status="allocate", _xlpm.result, "")
)</f>
        <v>855DC-1541-ECL-001 Eclipse Planning</v>
      </c>
      <c r="R197" s="2" t="str">
        <f>IF(
    _xlfn.XLOOKUP($Q197,'EA-Fortescue_SDExport'!A:A,'EA-Fortescue_SDExport'!B:B)="Object",
    _xlfn.XLOOKUP(
        _xlfn.XLOOKUP($A197,'EA-ConnectorExport'!A:A,'EA-ConnectorExport'!D:D),
        'EA-Fortescue_SDExport'!A:A,
        'EA-Fortescue_SDExport'!AA:AA
    ),
    _xlfn.XLOOKUP($Q197,'EA-Fortescue_SDExport'!A:A,'EA-Fortescue_SDExport'!AA:AA)
)</f>
        <v>Subsystem</v>
      </c>
      <c r="S197" s="2" t="str">
        <f>_xlfn.LET(_xlpm.result, _xlfn.XLOOKUP($Q197,'EA-Fortescue_SDExport'!$A:$A,'EA-Fortescue_SDExport'!AB:AB), IF(_xlpm.result=0,"",_xlpm.result))</f>
        <v/>
      </c>
      <c r="T197" s="2" t="str">
        <f>_xlfn.LET(_xlpm.result, _xlfn.XLOOKUP($Q197,'EA-Fortescue_SDExport'!$A:$A,'EA-Fortescue_SDExport'!AC:AC), IF(_xlpm.result=0,"",_xlpm.result))</f>
        <v/>
      </c>
      <c r="U197" s="2" t="str">
        <f>_xlfn.LET(
    _xlpm.isObject, _xlfn.XLOOKUP($Q197,'EA-Fortescue_SDExport'!A:A,'EA-Fortescue_SDExport'!B:B),
    _xlpm.lookupKey, IF(_xlpm.isObject="Object",
        _xlfn.XLOOKUP($A197,'EA-ConnectorExport'!A:A,'EA-ConnectorExport'!D:D),
        $Q197
    ),
    _xlpm.result, _xlfn.XLOOKUP(_xlpm.lookupKey,'EA-Fortescue_SDExport'!A:A,'EA-Fortescue_SDExport'!AD:AD),
    IF(_xlpm.result=0,"",_xlpm.result)
)</f>
        <v>855DC Decarb Green Systems</v>
      </c>
      <c r="V197" s="2" t="str">
        <f>_xlfn.LET(
    _xlpm.isObject, _xlfn.XLOOKUP($Q197,'EA-Fortescue_SDExport'!A:A,'EA-Fortescue_SDExport'!B:B),
    _xlpm.lookupKey, IF(_xlpm.isObject="Object",
        _xlfn.XLOOKUP($A197,'EA-ConnectorExport'!A:A,'EA-ConnectorExport'!D:D),
        $Q197
    ),
    _xlpm.result, _xlfn.XLOOKUP(_xlpm.lookupKey,'EA-Fortescue_SDExport'!A:A,'EA-Fortescue_SDExport'!AE:AE),
    IF(_xlpm.result=0,"",_xlpm.result)
)</f>
        <v>855DC-1541 Planning and Forecast Systems</v>
      </c>
      <c r="W197" s="2" t="str">
        <f>_xlfn.LET(
    _xlpm.isObject, _xlfn.XLOOKUP($Q197,'EA-Fortescue_SDExport'!A:A,'EA-Fortescue_SDExport'!B:B),
    _xlpm.lookupKey, IF(_xlpm.isObject="Object",
        _xlfn.XLOOKUP($A197,'EA-ConnectorExport'!A:A,'EA-ConnectorExport'!D:D),
        $Q197
    ),
    _xlpm.result, _xlfn.XLOOKUP(_xlpm.lookupKey,'EA-Fortescue_SDExport'!A:A,'EA-Fortescue_SDExport'!AF:AF),
    IF(_xlpm.result=0,"",_xlpm.result)
)</f>
        <v>855DC-1541-ECL Eclipse</v>
      </c>
      <c r="X197" s="2" t="str">
        <f>_xlfn.LET(
    _xlpm.isObject, _xlfn.XLOOKUP($Q197,'EA-Fortescue_SDExport'!A:A,'EA-Fortescue_SDExport'!B:B),
    _xlpm.lookupKey, IF(_xlpm.isObject="Object",
        _xlfn.XLOOKUP($A197,'EA-ConnectorExport'!A:A,'EA-ConnectorExport'!D:D),
        $Q197
    ),
    _xlpm.result, _xlfn.XLOOKUP(_xlpm.lookupKey,'EA-Fortescue_SDExport'!A:A,'EA-Fortescue_SDExport'!AG:AG),
    IF(_xlpm.result=0,"",_xlpm.result)
)</f>
        <v>855DC-1541-ECL-001 Eclipse Planning</v>
      </c>
      <c r="Y197" s="2" t="str">
        <f>_xlfn.LET(
    _xlpm.status, _xlfn.XLOOKUP($A197,'EA-ConnectorExport'!$A:$A,'EA-ConnectorExport'!G:G),
    _xlpm.result, _xlfn.XLOOKUP($A197,'EA-ConnectorExport'!$A:$A,'EA-ConnectorExport'!H:H),
    IF(_xlpm.status="allocate", _xlpm.result, "")
)</f>
        <v>855DC-1541-DEL Delphi</v>
      </c>
      <c r="Z197" s="2" t="str">
        <f>_xlfn.LET(
    _xlpm.isObject, _xlfn.XLOOKUP($Y197,'EA-Fortescue_SDExport'!A:A,'EA-Fortescue_SDExport'!B:B),
    _xlpm.lookupKey, IF(_xlpm.isObject="Object",
        _xlfn.XLOOKUP($A197,'EA-ConnectorExport'!A:A,'EA-ConnectorExport'!J:J),
        $Y197
    ),
    _xlpm.result, _xlfn.XLOOKUP(_xlpm.lookupKey,'EA-Fortescue_SDExport'!A:A,'EA-Fortescue_SDExport'!AA:AA),
    IF(_xlpm.result=0,"",_xlpm.result)
)</f>
        <v>Project</v>
      </c>
      <c r="AA197" s="2" t="str">
        <f>_xlfn.LET(_xlpm.result, _xlfn.XLOOKUP($Y197,'EA-Fortescue_SDExport'!$A:$A,'EA-Fortescue_SDExport'!AB:AB), IF(_xlpm.result=0,"",_xlpm.result))</f>
        <v>Energy Operations</v>
      </c>
      <c r="AB197" s="2" t="str">
        <f>_xlfn.LET(_xlpm.result, _xlfn.XLOOKUP($Y197,'EA-Fortescue_SDExport'!$A:$A,'EA-Fortescue_SDExport'!AC:AC), IF(_xlpm.result=0,"",_xlpm.result))</f>
        <v/>
      </c>
      <c r="AC197" s="2" t="str">
        <f>_xlfn.LET(
    _xlpm.isObject, _xlfn.XLOOKUP($Y197,'EA-Fortescue_SDExport'!A:A,'EA-Fortescue_SDExport'!B:B),
    _xlpm.lookupKey, IF(_xlpm.isObject="Object",
        _xlfn.XLOOKUP($A197,'EA-ConnectorExport'!A:A,'EA-ConnectorExport'!J:J),
        $Y197
    ),
    _xlpm.result, _xlfn.XLOOKUP(_xlpm.lookupKey,'EA-Fortescue_SDExport'!A:A,'EA-Fortescue_SDExport'!AD:AD),
    IF(_xlpm.result=0,"",_xlpm.result)
)</f>
        <v>855DC Decarb Green Systems</v>
      </c>
      <c r="AD197" s="2" t="str">
        <f>_xlfn.LET(
    _xlpm.isObject, _xlfn.XLOOKUP($Y197,'EA-Fortescue_SDExport'!A:A,'EA-Fortescue_SDExport'!B:B),
    _xlpm.lookupKey, IF(_xlpm.isObject="Object",
        _xlfn.XLOOKUP($A197,'EA-ConnectorExport'!A:A,'EA-ConnectorExport'!J:J),
        $Y197
    ),
    _xlpm.result, _xlfn.XLOOKUP(_xlpm.lookupKey,'EA-Fortescue_SDExport'!A:A,'EA-Fortescue_SDExport'!AE:AE),
    IF(_xlpm.result=0,"",_xlpm.result)
)</f>
        <v>855DC-1541 Planning and Forecast Systems</v>
      </c>
      <c r="AE197" s="2" t="str">
        <f>_xlfn.LET(
    _xlpm.isObject, _xlfn.XLOOKUP($Y197,'EA-Fortescue_SDExport'!A:A,'EA-Fortescue_SDExport'!B:B),
    _xlpm.lookupKey, IF(_xlpm.isObject="Object",
        _xlfn.XLOOKUP($A197,'EA-ConnectorExport'!A:A,'EA-ConnectorExport'!J:J),
        $Y197
    ),
    _xlpm.result, _xlfn.XLOOKUP(_xlpm.lookupKey,'EA-Fortescue_SDExport'!A:A,'EA-Fortescue_SDExport'!AF:AF),
    IF(_xlpm.result=0,"",_xlpm.result)
)</f>
        <v>855DC-1541-DEL Delphi</v>
      </c>
      <c r="AF197" s="2" t="str">
        <f>_xlfn.LET(
    _xlpm.isObject, _xlfn.XLOOKUP($Y197,'EA-Fortescue_SDExport'!A:A,'EA-Fortescue_SDExport'!B:B),
    _xlpm.lookupKey, IF(_xlpm.isObject="Object",
        _xlfn.XLOOKUP($A197,'EA-ConnectorExport'!A:A,'EA-ConnectorExport'!J:J),
        $Y197
    ),
    _xlpm.result, _xlfn.XLOOKUP(_xlpm.lookupKey,'EA-Fortescue_SDExport'!A:A,'EA-Fortescue_SDExport'!AG:AG),
    IF(_xlpm.result=0,"",_xlpm.result)
)</f>
        <v/>
      </c>
    </row>
    <row r="198" spans="1:32" ht="45" x14ac:dyDescent="0.25">
      <c r="A198" s="2" t="str">
        <v>DGS-I_0197</v>
      </c>
      <c r="B198" s="2" t="str">
        <f t="shared" si="12"/>
        <v>855DC-1541-ECL-003 Plexos|855DC-1541-DEL Delphi</v>
      </c>
      <c r="C198" s="2" t="str">
        <f>_xlfn.LET(_xlpm.result, _xlfn.XLOOKUP(A198,'EA-Fortescue_SDExport'!A:A,'EA-Fortescue_SDExport'!AM:AM), IF(_xlpm.result=0,"",_xlpm.result))</f>
        <v/>
      </c>
      <c r="D198" s="2" t="str">
        <f>_xlfn.LET(_xlpm.result, _xlfn.XLOOKUP(A198,'EA-Fortescue_SDExport'!A:A,'EA-Fortescue_SDExport'!AN:AN), IF(_xlpm.result=0,"",_xlpm.result))</f>
        <v/>
      </c>
      <c r="E198" s="2" t="str">
        <f>_xlfn.XLOOKUP(R198&amp;Z198,Lookups!A:A,Lookups!B:B)</f>
        <v>Project - Subsystem Interface</v>
      </c>
      <c r="F198" s="2" t="str">
        <f>_xlfn.LET(_xlpm.result, _xlfn.XLOOKUP(A198,'EA-Fortescue_SDExport'!A:A,'EA-Fortescue_SDExport'!AP:AP), IF(_xlpm.result=0,"",_xlpm.result))</f>
        <v/>
      </c>
      <c r="G198" s="2" t="str">
        <f>IF(OR(AND(T198&lt;&gt;"", COUNTIF(Lookups!J:J, "*"&amp;T198&amp;"*")&gt;0), AND(AB198&lt;&gt;"", COUNTIF(Lookups!J:J, "*"&amp;AB198&amp;"*")&gt;0)), "Yes", "No")</f>
        <v>No</v>
      </c>
      <c r="H198" s="2" t="str">
        <f t="shared" si="13"/>
        <v>855DC Decarb Green Systems|855DC Decarb Green Systems</v>
      </c>
      <c r="I198" s="2" t="str">
        <f t="shared" si="14"/>
        <v>855DC-1541 Planning and Forecast Systems|855DC-1541 Planning and Forecast Systems</v>
      </c>
      <c r="J198" s="2" t="str">
        <f t="shared" si="15"/>
        <v>855DC-1541-ECL Eclipse|855DC-1541-DEL Delphi</v>
      </c>
      <c r="K198" s="2" t="str">
        <f>_xlfn.XLOOKUP(A198,'EA-Fortescue_SDExport'!A:A,'EA-Fortescue_SDExport'!N:N)</f>
        <v>Deleted</v>
      </c>
      <c r="L198" s="2" t="str">
        <f>_xlfn.LET(_xlpm.result, _xlfn.XLOOKUP($A198,'EA-Fortescue_SDExport'!$A:$A,'EA-Fortescue_SDExport'!AQ:AQ), IF(_xlpm.result=0,"",_xlpm.result))</f>
        <v/>
      </c>
      <c r="M198" s="2" t="str">
        <f>_xlfn.LET(_xlpm.result, _xlfn.XLOOKUP($A198,'EA-Fortescue_SDExport'!$A:$A,'EA-Fortescue_SDExport'!AR:AR), IF(_xlpm.result=0,"",_xlpm.result))</f>
        <v/>
      </c>
      <c r="N198" s="2" t="str">
        <f>_xlfn.LET(_xlpm.result, _xlfn.XLOOKUP($A198,'EA-Fortescue_SDExport'!$A:$A,'EA-Fortescue_SDExport'!AW:AW), IF(_xlpm.result=0,"",_xlpm.result))</f>
        <v/>
      </c>
      <c r="O198" s="2" t="str">
        <f>_xlfn.LET(_xlpm.result, _xlfn.XLOOKUP($A198,'EA-Fortescue_SDExport'!$A:$A,'EA-Fortescue_SDExport'!AV:AV), IF(_xlpm.result=0,"",_xlpm.result))</f>
        <v/>
      </c>
      <c r="P198" s="2" t="str">
        <f>_xlfn.LET(_xlpm.result, _xlfn.XLOOKUP($A198,'EA-Fortescue_SDExport'!$A:$A,'EA-Fortescue_SDExport'!D:D), IF(_xlpm.result=0,"",_xlpm.result))</f>
        <v>Interface Review 25/11/2025: Delete, Plexos is a subsystem of Eclipse and won't be interfacing with Delphi</v>
      </c>
      <c r="Q198" s="2" t="str">
        <f>_xlfn.LET(
    _xlpm.status, _xlfn.XLOOKUP($A198,'EA-ConnectorExport'!$A:$A,'EA-ConnectorExport'!G:G),
    _xlpm.result, _xlfn.XLOOKUP($A198,'EA-ConnectorExport'!$A:$A,'EA-ConnectorExport'!B:B),
    IF(_xlpm.status="allocate", _xlpm.result, "")
)</f>
        <v>855DC-1541-ECL-003 Plexos</v>
      </c>
      <c r="R198" s="2" t="str">
        <f>IF(
    _xlfn.XLOOKUP($Q198,'EA-Fortescue_SDExport'!A:A,'EA-Fortescue_SDExport'!B:B)="Object",
    _xlfn.XLOOKUP(
        _xlfn.XLOOKUP($A198,'EA-ConnectorExport'!A:A,'EA-ConnectorExport'!D:D),
        'EA-Fortescue_SDExport'!A:A,
        'EA-Fortescue_SDExport'!AA:AA
    ),
    _xlfn.XLOOKUP($Q198,'EA-Fortescue_SDExport'!A:A,'EA-Fortescue_SDExport'!AA:AA)
)</f>
        <v>Subsystem</v>
      </c>
      <c r="S198" s="2" t="str">
        <f>_xlfn.LET(_xlpm.result, _xlfn.XLOOKUP($Q198,'EA-Fortescue_SDExport'!$A:$A,'EA-Fortescue_SDExport'!AB:AB), IF(_xlpm.result=0,"",_xlpm.result))</f>
        <v/>
      </c>
      <c r="T198" s="2" t="str">
        <f>_xlfn.LET(_xlpm.result, _xlfn.XLOOKUP($Q198,'EA-Fortescue_SDExport'!$A:$A,'EA-Fortescue_SDExport'!AC:AC), IF(_xlpm.result=0,"",_xlpm.result))</f>
        <v/>
      </c>
      <c r="U198" s="2" t="str">
        <f>_xlfn.LET(
    _xlpm.isObject, _xlfn.XLOOKUP($Q198,'EA-Fortescue_SDExport'!A:A,'EA-Fortescue_SDExport'!B:B),
    _xlpm.lookupKey, IF(_xlpm.isObject="Object",
        _xlfn.XLOOKUP($A198,'EA-ConnectorExport'!A:A,'EA-ConnectorExport'!D:D),
        $Q198
    ),
    _xlpm.result, _xlfn.XLOOKUP(_xlpm.lookupKey,'EA-Fortescue_SDExport'!A:A,'EA-Fortescue_SDExport'!AD:AD),
    IF(_xlpm.result=0,"",_xlpm.result)
)</f>
        <v>855DC Decarb Green Systems</v>
      </c>
      <c r="V198" s="2" t="str">
        <f>_xlfn.LET(
    _xlpm.isObject, _xlfn.XLOOKUP($Q198,'EA-Fortescue_SDExport'!A:A,'EA-Fortescue_SDExport'!B:B),
    _xlpm.lookupKey, IF(_xlpm.isObject="Object",
        _xlfn.XLOOKUP($A198,'EA-ConnectorExport'!A:A,'EA-ConnectorExport'!D:D),
        $Q198
    ),
    _xlpm.result, _xlfn.XLOOKUP(_xlpm.lookupKey,'EA-Fortescue_SDExport'!A:A,'EA-Fortescue_SDExport'!AE:AE),
    IF(_xlpm.result=0,"",_xlpm.result)
)</f>
        <v>855DC-1541 Planning and Forecast Systems</v>
      </c>
      <c r="W198" s="2" t="str">
        <f>_xlfn.LET(
    _xlpm.isObject, _xlfn.XLOOKUP($Q198,'EA-Fortescue_SDExport'!A:A,'EA-Fortescue_SDExport'!B:B),
    _xlpm.lookupKey, IF(_xlpm.isObject="Object",
        _xlfn.XLOOKUP($A198,'EA-ConnectorExport'!A:A,'EA-ConnectorExport'!D:D),
        $Q198
    ),
    _xlpm.result, _xlfn.XLOOKUP(_xlpm.lookupKey,'EA-Fortescue_SDExport'!A:A,'EA-Fortescue_SDExport'!AF:AF),
    IF(_xlpm.result=0,"",_xlpm.result)
)</f>
        <v>855DC-1541-ECL Eclipse</v>
      </c>
      <c r="X198" s="2" t="str">
        <f>_xlfn.LET(
    _xlpm.isObject, _xlfn.XLOOKUP($Q198,'EA-Fortescue_SDExport'!A:A,'EA-Fortescue_SDExport'!B:B),
    _xlpm.lookupKey, IF(_xlpm.isObject="Object",
        _xlfn.XLOOKUP($A198,'EA-ConnectorExport'!A:A,'EA-ConnectorExport'!D:D),
        $Q198
    ),
    _xlpm.result, _xlfn.XLOOKUP(_xlpm.lookupKey,'EA-Fortescue_SDExport'!A:A,'EA-Fortescue_SDExport'!AG:AG),
    IF(_xlpm.result=0,"",_xlpm.result)
)</f>
        <v>855DC-1541-ECL-003 Plexos</v>
      </c>
      <c r="Y198" s="2" t="str">
        <f>_xlfn.LET(
    _xlpm.status, _xlfn.XLOOKUP($A198,'EA-ConnectorExport'!$A:$A,'EA-ConnectorExport'!G:G),
    _xlpm.result, _xlfn.XLOOKUP($A198,'EA-ConnectorExport'!$A:$A,'EA-ConnectorExport'!H:H),
    IF(_xlpm.status="allocate", _xlpm.result, "")
)</f>
        <v>855DC-1541-DEL Delphi</v>
      </c>
      <c r="Z198" s="2" t="str">
        <f>_xlfn.LET(
    _xlpm.isObject, _xlfn.XLOOKUP($Y198,'EA-Fortescue_SDExport'!A:A,'EA-Fortescue_SDExport'!B:B),
    _xlpm.lookupKey, IF(_xlpm.isObject="Object",
        _xlfn.XLOOKUP($A198,'EA-ConnectorExport'!A:A,'EA-ConnectorExport'!J:J),
        $Y198
    ),
    _xlpm.result, _xlfn.XLOOKUP(_xlpm.lookupKey,'EA-Fortescue_SDExport'!A:A,'EA-Fortescue_SDExport'!AA:AA),
    IF(_xlpm.result=0,"",_xlpm.result)
)</f>
        <v>Project</v>
      </c>
      <c r="AA198" s="2" t="str">
        <f>_xlfn.LET(_xlpm.result, _xlfn.XLOOKUP($Y198,'EA-Fortescue_SDExport'!$A:$A,'EA-Fortescue_SDExport'!AB:AB), IF(_xlpm.result=0,"",_xlpm.result))</f>
        <v>Energy Operations</v>
      </c>
      <c r="AB198" s="2" t="str">
        <f>_xlfn.LET(_xlpm.result, _xlfn.XLOOKUP($Y198,'EA-Fortescue_SDExport'!$A:$A,'EA-Fortescue_SDExport'!AC:AC), IF(_xlpm.result=0,"",_xlpm.result))</f>
        <v/>
      </c>
      <c r="AC198" s="2" t="str">
        <f>_xlfn.LET(
    _xlpm.isObject, _xlfn.XLOOKUP($Y198,'EA-Fortescue_SDExport'!A:A,'EA-Fortescue_SDExport'!B:B),
    _xlpm.lookupKey, IF(_xlpm.isObject="Object",
        _xlfn.XLOOKUP($A198,'EA-ConnectorExport'!A:A,'EA-ConnectorExport'!J:J),
        $Y198
    ),
    _xlpm.result, _xlfn.XLOOKUP(_xlpm.lookupKey,'EA-Fortescue_SDExport'!A:A,'EA-Fortescue_SDExport'!AD:AD),
    IF(_xlpm.result=0,"",_xlpm.result)
)</f>
        <v>855DC Decarb Green Systems</v>
      </c>
      <c r="AD198" s="2" t="str">
        <f>_xlfn.LET(
    _xlpm.isObject, _xlfn.XLOOKUP($Y198,'EA-Fortescue_SDExport'!A:A,'EA-Fortescue_SDExport'!B:B),
    _xlpm.lookupKey, IF(_xlpm.isObject="Object",
        _xlfn.XLOOKUP($A198,'EA-ConnectorExport'!A:A,'EA-ConnectorExport'!J:J),
        $Y198
    ),
    _xlpm.result, _xlfn.XLOOKUP(_xlpm.lookupKey,'EA-Fortescue_SDExport'!A:A,'EA-Fortescue_SDExport'!AE:AE),
    IF(_xlpm.result=0,"",_xlpm.result)
)</f>
        <v>855DC-1541 Planning and Forecast Systems</v>
      </c>
      <c r="AE198" s="2" t="str">
        <f>_xlfn.LET(
    _xlpm.isObject, _xlfn.XLOOKUP($Y198,'EA-Fortescue_SDExport'!A:A,'EA-Fortescue_SDExport'!B:B),
    _xlpm.lookupKey, IF(_xlpm.isObject="Object",
        _xlfn.XLOOKUP($A198,'EA-ConnectorExport'!A:A,'EA-ConnectorExport'!J:J),
        $Y198
    ),
    _xlpm.result, _xlfn.XLOOKUP(_xlpm.lookupKey,'EA-Fortescue_SDExport'!A:A,'EA-Fortescue_SDExport'!AF:AF),
    IF(_xlpm.result=0,"",_xlpm.result)
)</f>
        <v>855DC-1541-DEL Delphi</v>
      </c>
      <c r="AF198" s="2" t="str">
        <f>_xlfn.LET(
    _xlpm.isObject, _xlfn.XLOOKUP($Y198,'EA-Fortescue_SDExport'!A:A,'EA-Fortescue_SDExport'!B:B),
    _xlpm.lookupKey, IF(_xlpm.isObject="Object",
        _xlfn.XLOOKUP($A198,'EA-ConnectorExport'!A:A,'EA-ConnectorExport'!J:J),
        $Y198
    ),
    _xlpm.result, _xlfn.XLOOKUP(_xlpm.lookupKey,'EA-Fortescue_SDExport'!A:A,'EA-Fortescue_SDExport'!AG:AG),
    IF(_xlpm.result=0,"",_xlpm.result)
)</f>
        <v/>
      </c>
    </row>
    <row r="199" spans="1:32" ht="270" x14ac:dyDescent="0.25">
      <c r="A199" s="2" t="str">
        <v>DGS-I_0198</v>
      </c>
      <c r="B199" s="2" t="str">
        <f t="shared" si="12"/>
        <v>855DC-1543-008 Monarch|Energy Operations (HIVE)</v>
      </c>
      <c r="C199" s="2" t="str">
        <f>_xlfn.LET(_xlpm.result, _xlfn.XLOOKUP(A199,'EA-Fortescue_SDExport'!A:A,'EA-Fortescue_SDExport'!AM:AM), IF(_xlpm.result=0,"",_xlpm.result))</f>
        <v>Energy Operations</v>
      </c>
      <c r="D199" s="2" t="str">
        <f>_xlfn.LET(_xlpm.result, _xlfn.XLOOKUP(A199,'EA-Fortescue_SDExport'!A:A,'EA-Fortescue_SDExport'!AN:AN), IF(_xlpm.result=0,"",_xlpm.result))</f>
        <v/>
      </c>
      <c r="E199" s="2" t="str">
        <f>_xlfn.XLOOKUP(R199&amp;Z199,Lookups!A:A,Lookups!B:B)</f>
        <v>Stakeholder - Project Interface</v>
      </c>
      <c r="F199" s="2" t="str">
        <f>_xlfn.LET(_xlpm.result, _xlfn.XLOOKUP(A199,'EA-Fortescue_SDExport'!A:A,'EA-Fortescue_SDExport'!AP:AP), IF(_xlpm.result=0,"",_xlpm.result))</f>
        <v>Technical-Data/Software</v>
      </c>
      <c r="G199" s="2" t="str">
        <f>IF(OR(AND(T199&lt;&gt;"", COUNTIF(Lookups!J:J, "*"&amp;T199&amp;"*")&gt;0), AND(AB199&lt;&gt;"", COUNTIF(Lookups!J:J, "*"&amp;AB199&amp;"*")&gt;0)), "Yes", "No")</f>
        <v>No</v>
      </c>
      <c r="H199" s="2" t="str">
        <f t="shared" si="13"/>
        <v>855DC Decarb Green Systems|N/A</v>
      </c>
      <c r="I199" s="2" t="str">
        <f t="shared" si="14"/>
        <v>855DC-1543 Existing Systems - Green Enhancement|N/A</v>
      </c>
      <c r="J199" s="2" t="str">
        <f t="shared" si="15"/>
        <v>855DC-1543-008 Monarch|N/A</v>
      </c>
      <c r="K199" s="2" t="str">
        <f>_xlfn.XLOOKUP(A199,'EA-Fortescue_SDExport'!A:A,'EA-Fortescue_SDExport'!N:N)</f>
        <v>Proposed</v>
      </c>
      <c r="L199" s="2" t="str">
        <f>_xlfn.LET(_xlpm.result, _xlfn.XLOOKUP($A199,'EA-Fortescue_SDExport'!$A:$A,'EA-Fortescue_SDExport'!AQ:AQ), IF(_xlpm.result=0,"",_xlpm.result))</f>
        <v>This interface provides Energy Operations with real-time power system visibility and operational data from Monarch, enabling the team to oversee generation, storage, and distribution conditions.</v>
      </c>
      <c r="M199" s="2" t="str">
        <f>_xlfn.LET(_xlpm.result, _xlfn.XLOOKUP($A199,'EA-Fortescue_SDExport'!$A:$A,'EA-Fortescue_SDExport'!AR:AR), IF(_xlpm.result=0,"",_xlpm.result))</f>
        <v>MEDIUM</v>
      </c>
      <c r="N199" s="2" t="str">
        <f>_xlfn.LET(_xlpm.result, _xlfn.XLOOKUP($A199,'EA-Fortescue_SDExport'!$A:$A,'EA-Fortescue_SDExport'!AW:AW), IF(_xlpm.result=0,"",_xlpm.result))</f>
        <v>The criticality level is MEDIUM because Energy Operations relies on the data for situational awareness, but Monarch remains able to operate independently even if the link is lost. Loss of visibility may hamper decision-making and increase the risk of delayed responses to electrical instability, but it does not directly impact energy system control.</v>
      </c>
      <c r="O199" s="2" t="str">
        <f>_xlfn.LET(_xlpm.result, _xlfn.XLOOKUP($A199,'EA-Fortescue_SDExport'!$A:$A,'EA-Fortescue_SDExport'!AV:AV), IF(_xlpm.result=0,"",_xlpm.result))</f>
        <v>Data Flow: Monarch -&gt; Energy Operations (real-time generation output, storage status, distribution network conditions, load balance metrics, alarms, equipment status, event notifications) to support operational oversight and coordination.</v>
      </c>
      <c r="P199" s="2" t="str">
        <f>_xlfn.LET(_xlpm.result, _xlfn.XLOOKUP($A199,'EA-Fortescue_SDExport'!$A:$A,'EA-Fortescue_SDExport'!D:D), IF(_xlpm.result=0,"",_xlpm.result))</f>
        <v>NH 20/02/2026: Fields updated: Interface Type, Interface Flow.</v>
      </c>
      <c r="Q199" s="2" t="str">
        <f>_xlfn.LET(
    _xlpm.status, _xlfn.XLOOKUP($A199,'EA-ConnectorExport'!$A:$A,'EA-ConnectorExport'!G:G),
    _xlpm.result, _xlfn.XLOOKUP($A199,'EA-ConnectorExport'!$A:$A,'EA-ConnectorExport'!B:B),
    IF(_xlpm.status="allocate", _xlpm.result, "")
)</f>
        <v>855DC-1543-008 Monarch</v>
      </c>
      <c r="R199" s="2" t="str">
        <f>IF(
    _xlfn.XLOOKUP($Q199,'EA-Fortescue_SDExport'!A:A,'EA-Fortescue_SDExport'!B:B)="Object",
    _xlfn.XLOOKUP(
        _xlfn.XLOOKUP($A199,'EA-ConnectorExport'!A:A,'EA-ConnectorExport'!D:D),
        'EA-Fortescue_SDExport'!A:A,
        'EA-Fortescue_SDExport'!AA:AA
    ),
    _xlfn.XLOOKUP($Q199,'EA-Fortescue_SDExport'!A:A,'EA-Fortescue_SDExport'!AA:AA)
)</f>
        <v>Project</v>
      </c>
      <c r="S199" s="2" t="str">
        <f>_xlfn.LET(_xlpm.result, _xlfn.XLOOKUP($Q199,'EA-Fortescue_SDExport'!$A:$A,'EA-Fortescue_SDExport'!AB:AB), IF(_xlpm.result=0,"",_xlpm.result))</f>
        <v>Energy Operations</v>
      </c>
      <c r="T199" s="2" t="str">
        <f>_xlfn.LET(_xlpm.result, _xlfn.XLOOKUP($Q199,'EA-Fortescue_SDExport'!$A:$A,'EA-Fortescue_SDExport'!AC:AC), IF(_xlpm.result=0,"",_xlpm.result))</f>
        <v/>
      </c>
      <c r="U199" s="2" t="str">
        <f>_xlfn.LET(
    _xlpm.isObject, _xlfn.XLOOKUP($Q199,'EA-Fortescue_SDExport'!A:A,'EA-Fortescue_SDExport'!B:B),
    _xlpm.lookupKey, IF(_xlpm.isObject="Object",
        _xlfn.XLOOKUP($A199,'EA-ConnectorExport'!A:A,'EA-ConnectorExport'!D:D),
        $Q199
    ),
    _xlpm.result, _xlfn.XLOOKUP(_xlpm.lookupKey,'EA-Fortescue_SDExport'!A:A,'EA-Fortescue_SDExport'!AD:AD),
    IF(_xlpm.result=0,"",_xlpm.result)
)</f>
        <v>855DC Decarb Green Systems</v>
      </c>
      <c r="V199" s="2" t="str">
        <f>_xlfn.LET(
    _xlpm.isObject, _xlfn.XLOOKUP($Q199,'EA-Fortescue_SDExport'!A:A,'EA-Fortescue_SDExport'!B:B),
    _xlpm.lookupKey, IF(_xlpm.isObject="Object",
        _xlfn.XLOOKUP($A199,'EA-ConnectorExport'!A:A,'EA-ConnectorExport'!D:D),
        $Q199
    ),
    _xlpm.result, _xlfn.XLOOKUP(_xlpm.lookupKey,'EA-Fortescue_SDExport'!A:A,'EA-Fortescue_SDExport'!AE:AE),
    IF(_xlpm.result=0,"",_xlpm.result)
)</f>
        <v>855DC-1543 Existing Systems - Green Enhancement</v>
      </c>
      <c r="W199" s="2" t="str">
        <f>_xlfn.LET(
    _xlpm.isObject, _xlfn.XLOOKUP($Q199,'EA-Fortescue_SDExport'!A:A,'EA-Fortescue_SDExport'!B:B),
    _xlpm.lookupKey, IF(_xlpm.isObject="Object",
        _xlfn.XLOOKUP($A199,'EA-ConnectorExport'!A:A,'EA-ConnectorExport'!D:D),
        $Q199
    ),
    _xlpm.result, _xlfn.XLOOKUP(_xlpm.lookupKey,'EA-Fortescue_SDExport'!A:A,'EA-Fortescue_SDExport'!AF:AF),
    IF(_xlpm.result=0,"",_xlpm.result)
)</f>
        <v>855DC-1543-008 Monarch</v>
      </c>
      <c r="X199" s="2" t="str">
        <f>_xlfn.LET(
    _xlpm.isObject, _xlfn.XLOOKUP($Q199,'EA-Fortescue_SDExport'!A:A,'EA-Fortescue_SDExport'!B:B),
    _xlpm.lookupKey, IF(_xlpm.isObject="Object",
        _xlfn.XLOOKUP($A199,'EA-ConnectorExport'!A:A,'EA-ConnectorExport'!D:D),
        $Q199
    ),
    _xlpm.result, _xlfn.XLOOKUP(_xlpm.lookupKey,'EA-Fortescue_SDExport'!A:A,'EA-Fortescue_SDExport'!AG:AG),
    IF(_xlpm.result=0,"",_xlpm.result)
)</f>
        <v/>
      </c>
      <c r="Y199" s="2" t="str">
        <f>_xlfn.LET(
    _xlpm.status, _xlfn.XLOOKUP($A199,'EA-ConnectorExport'!$A:$A,'EA-ConnectorExport'!G:G),
    _xlpm.result, _xlfn.XLOOKUP($A199,'EA-ConnectorExport'!$A:$A,'EA-ConnectorExport'!H:H),
    IF(_xlpm.status="allocate", _xlpm.result, "")
)</f>
        <v>Energy Operations (HIVE)</v>
      </c>
      <c r="Z199" s="2" t="str">
        <f>_xlfn.LET(
    _xlpm.isObject, _xlfn.XLOOKUP($Y199,'EA-Fortescue_SDExport'!A:A,'EA-Fortescue_SDExport'!B:B),
    _xlpm.lookupKey, IF(_xlpm.isObject="Object",
        _xlfn.XLOOKUP($A199,'EA-ConnectorExport'!A:A,'EA-ConnectorExport'!J:J),
        $Y199
    ),
    _xlpm.result, _xlfn.XLOOKUP(_xlpm.lookupKey,'EA-Fortescue_SDExport'!A:A,'EA-Fortescue_SDExport'!AA:AA),
    IF(_xlpm.result=0,"",_xlpm.result)
)</f>
        <v>Stakeholder</v>
      </c>
      <c r="AA199" s="2" t="str">
        <f>_xlfn.LET(_xlpm.result, _xlfn.XLOOKUP($Y199,'EA-Fortescue_SDExport'!$A:$A,'EA-Fortescue_SDExport'!AB:AB), IF(_xlpm.result=0,"",_xlpm.result))</f>
        <v/>
      </c>
      <c r="AB199" s="2" t="str">
        <f>_xlfn.LET(_xlpm.result, _xlfn.XLOOKUP($Y199,'EA-Fortescue_SDExport'!$A:$A,'EA-Fortescue_SDExport'!AC:AC), IF(_xlpm.result=0,"",_xlpm.result))</f>
        <v/>
      </c>
      <c r="AC199" s="2" t="str">
        <f>_xlfn.LET(
    _xlpm.isObject, _xlfn.XLOOKUP($Y199,'EA-Fortescue_SDExport'!A:A,'EA-Fortescue_SDExport'!B:B),
    _xlpm.lookupKey, IF(_xlpm.isObject="Object",
        _xlfn.XLOOKUP($A199,'EA-ConnectorExport'!A:A,'EA-ConnectorExport'!J:J),
        $Y199
    ),
    _xlpm.result, _xlfn.XLOOKUP(_xlpm.lookupKey,'EA-Fortescue_SDExport'!A:A,'EA-Fortescue_SDExport'!AD:AD),
    IF(_xlpm.result=0,"",_xlpm.result)
)</f>
        <v/>
      </c>
      <c r="AD199" s="2" t="str">
        <f>_xlfn.LET(
    _xlpm.isObject, _xlfn.XLOOKUP($Y199,'EA-Fortescue_SDExport'!A:A,'EA-Fortescue_SDExport'!B:B),
    _xlpm.lookupKey, IF(_xlpm.isObject="Object",
        _xlfn.XLOOKUP($A199,'EA-ConnectorExport'!A:A,'EA-ConnectorExport'!J:J),
        $Y199
    ),
    _xlpm.result, _xlfn.XLOOKUP(_xlpm.lookupKey,'EA-Fortescue_SDExport'!A:A,'EA-Fortescue_SDExport'!AE:AE),
    IF(_xlpm.result=0,"",_xlpm.result)
)</f>
        <v/>
      </c>
      <c r="AE199" s="2" t="str">
        <f>_xlfn.LET(
    _xlpm.isObject, _xlfn.XLOOKUP($Y199,'EA-Fortescue_SDExport'!A:A,'EA-Fortescue_SDExport'!B:B),
    _xlpm.lookupKey, IF(_xlpm.isObject="Object",
        _xlfn.XLOOKUP($A199,'EA-ConnectorExport'!A:A,'EA-ConnectorExport'!J:J),
        $Y199
    ),
    _xlpm.result, _xlfn.XLOOKUP(_xlpm.lookupKey,'EA-Fortescue_SDExport'!A:A,'EA-Fortescue_SDExport'!AF:AF),
    IF(_xlpm.result=0,"",_xlpm.result)
)</f>
        <v/>
      </c>
      <c r="AF199" s="2" t="str">
        <f>_xlfn.LET(
    _xlpm.isObject, _xlfn.XLOOKUP($Y199,'EA-Fortescue_SDExport'!A:A,'EA-Fortescue_SDExport'!B:B),
    _xlpm.lookupKey, IF(_xlpm.isObject="Object",
        _xlfn.XLOOKUP($A199,'EA-ConnectorExport'!A:A,'EA-ConnectorExport'!J:J),
        $Y199
    ),
    _xlpm.result, _xlfn.XLOOKUP(_xlpm.lookupKey,'EA-Fortescue_SDExport'!A:A,'EA-Fortescue_SDExport'!AG:AG),
    IF(_xlpm.result=0,"",_xlpm.result)
)</f>
        <v/>
      </c>
    </row>
    <row r="200" spans="1:32" ht="409.5" x14ac:dyDescent="0.25">
      <c r="A200" s="2" t="str">
        <v>DGS-I_0199</v>
      </c>
      <c r="B200" s="2" t="str">
        <f t="shared" si="12"/>
        <v>Power Projects|855DC-1543-008 Monarch</v>
      </c>
      <c r="C200" s="2" t="str">
        <f>_xlfn.LET(_xlpm.result, _xlfn.XLOOKUP(A200,'EA-Fortescue_SDExport'!A:A,'EA-Fortescue_SDExport'!AM:AM), IF(_xlpm.result=0,"",_xlpm.result))</f>
        <v>Energy Operations</v>
      </c>
      <c r="D200" s="2" t="str">
        <f>_xlfn.LET(_xlpm.result, _xlfn.XLOOKUP(A200,'EA-Fortescue_SDExport'!A:A,'EA-Fortescue_SDExport'!AN:AN), IF(_xlpm.result=0,"",_xlpm.result))</f>
        <v/>
      </c>
      <c r="E200" s="2" t="str">
        <f>_xlfn.XLOOKUP(R200&amp;Z200,Lookups!A:A,Lookups!B:B)</f>
        <v>Stakeholder - Project Interface</v>
      </c>
      <c r="F200" s="2" t="str">
        <f>_xlfn.LET(_xlpm.result, _xlfn.XLOOKUP(A200,'EA-Fortescue_SDExport'!A:A,'EA-Fortescue_SDExport'!AP:AP), IF(_xlpm.result=0,"",_xlpm.result))</f>
        <v>Project-Contractual/Organisational</v>
      </c>
      <c r="G200" s="2" t="str">
        <f>IF(OR(AND(T200&lt;&gt;"", COUNTIF(Lookups!J:J, "*"&amp;T200&amp;"*")&gt;0), AND(AB200&lt;&gt;"", COUNTIF(Lookups!J:J, "*"&amp;AB200&amp;"*")&gt;0)), "Yes", "No")</f>
        <v>No</v>
      </c>
      <c r="H200" s="2" t="str">
        <f t="shared" si="13"/>
        <v>N/A|855DC Decarb Green Systems</v>
      </c>
      <c r="I200" s="2" t="str">
        <f t="shared" si="14"/>
        <v>N/A|855DC-1543 Existing Systems - Green Enhancement</v>
      </c>
      <c r="J200" s="2" t="str">
        <f t="shared" si="15"/>
        <v>N/A|855DC-1543-008 Monarch</v>
      </c>
      <c r="K200" s="2" t="str">
        <f>_xlfn.XLOOKUP(A200,'EA-Fortescue_SDExport'!A:A,'EA-Fortescue_SDExport'!N:N)</f>
        <v>Proposed</v>
      </c>
      <c r="L200" s="2" t="str">
        <f>_xlfn.LET(_xlpm.result, _xlfn.XLOOKUP($A200,'EA-Fortescue_SDExport'!$A:$A,'EA-Fortescue_SDExport'!AQ:AQ), IF(_xlpm.result=0,"",_xlpm.result))</f>
        <v>This interface allows Power Projects to provide design, configuration, or commissioning data to Monarch for new or upgraded electrical assets.</v>
      </c>
      <c r="M200" s="2" t="str">
        <f>_xlfn.LET(_xlpm.result, _xlfn.XLOOKUP($A200,'EA-Fortescue_SDExport'!$A:$A,'EA-Fortescue_SDExport'!AR:AR), IF(_xlpm.result=0,"",_xlpm.result))</f>
        <v>LOW</v>
      </c>
      <c r="N200" s="2" t="str">
        <f>_xlfn.LET(_xlpm.result, _xlfn.XLOOKUP($A200,'EA-Fortescue_SDExport'!$A:$A,'EA-Fortescue_SDExport'!AW:AW), IF(_xlpm.result=0,"",_xlpm.result))</f>
        <v>The criticality level is LOW because failure at this interface does not impact real-time production, safety, or core operational control. It only delays project integration workflows.</v>
      </c>
      <c r="O200" s="2" t="str">
        <f>_xlfn.LET(_xlpm.result, _xlfn.XLOOKUP($A200,'EA-Fortescue_SDExport'!$A:$A,'EA-Fortescue_SDExport'!AV:AV), IF(_xlpm.result=0,"",_xlpm.result))</f>
        <v>Data Flow:_x000D_
Power Projects / 855DC-1543 Existing Systems - Green Enhancement -&gt; 855DC-1543-008 Monarch, transmitting design data, configuration parameters, asset models, commissioning settings, and updated network topology information for new or modified electrical assets._x000D_
Monarch -&gt; Power Projects (where applicable), providing validation feedback, integration status, configuration acceptance results, or data quality queries during commissioning and handover.</v>
      </c>
      <c r="P200" s="2" t="str">
        <f>_xlfn.LET(_xlpm.result, _xlfn.XLOOKUP($A200,'EA-Fortescue_SDExport'!$A:$A,'EA-Fortescue_SDExport'!D:D), IF(_xlpm.result=0,"",_xlpm.result))</f>
        <v/>
      </c>
      <c r="Q200" s="2" t="str">
        <f>_xlfn.LET(
    _xlpm.status, _xlfn.XLOOKUP($A200,'EA-ConnectorExport'!$A:$A,'EA-ConnectorExport'!G:G),
    _xlpm.result, _xlfn.XLOOKUP($A200,'EA-ConnectorExport'!$A:$A,'EA-ConnectorExport'!B:B),
    IF(_xlpm.status="allocate", _xlpm.result, "")
)</f>
        <v>Power Projects</v>
      </c>
      <c r="R200" s="2" t="str">
        <f>IF(
    _xlfn.XLOOKUP($Q200,'EA-Fortescue_SDExport'!A:A,'EA-Fortescue_SDExport'!B:B)="Object",
    _xlfn.XLOOKUP(
        _xlfn.XLOOKUP($A200,'EA-ConnectorExport'!A:A,'EA-ConnectorExport'!D:D),
        'EA-Fortescue_SDExport'!A:A,
        'EA-Fortescue_SDExport'!AA:AA
    ),
    _xlfn.XLOOKUP($Q200,'EA-Fortescue_SDExport'!A:A,'EA-Fortescue_SDExport'!AA:AA)
)</f>
        <v>Stakeholder</v>
      </c>
      <c r="S200" s="2" t="str">
        <f>_xlfn.LET(_xlpm.result, _xlfn.XLOOKUP($Q200,'EA-Fortescue_SDExport'!$A:$A,'EA-Fortescue_SDExport'!AB:AB), IF(_xlpm.result=0,"",_xlpm.result))</f>
        <v/>
      </c>
      <c r="T200" s="2" t="str">
        <f>_xlfn.LET(_xlpm.result, _xlfn.XLOOKUP($Q200,'EA-Fortescue_SDExport'!$A:$A,'EA-Fortescue_SDExport'!AC:AC), IF(_xlpm.result=0,"",_xlpm.result))</f>
        <v/>
      </c>
      <c r="U200" s="2" t="str">
        <f>_xlfn.LET(
    _xlpm.isObject, _xlfn.XLOOKUP($Q200,'EA-Fortescue_SDExport'!A:A,'EA-Fortescue_SDExport'!B:B),
    _xlpm.lookupKey, IF(_xlpm.isObject="Object",
        _xlfn.XLOOKUP($A200,'EA-ConnectorExport'!A:A,'EA-ConnectorExport'!D:D),
        $Q200
    ),
    _xlpm.result, _xlfn.XLOOKUP(_xlpm.lookupKey,'EA-Fortescue_SDExport'!A:A,'EA-Fortescue_SDExport'!AD:AD),
    IF(_xlpm.result=0,"",_xlpm.result)
)</f>
        <v/>
      </c>
      <c r="V200" s="2" t="str">
        <f>_xlfn.LET(
    _xlpm.isObject, _xlfn.XLOOKUP($Q200,'EA-Fortescue_SDExport'!A:A,'EA-Fortescue_SDExport'!B:B),
    _xlpm.lookupKey, IF(_xlpm.isObject="Object",
        _xlfn.XLOOKUP($A200,'EA-ConnectorExport'!A:A,'EA-ConnectorExport'!D:D),
        $Q200
    ),
    _xlpm.result, _xlfn.XLOOKUP(_xlpm.lookupKey,'EA-Fortescue_SDExport'!A:A,'EA-Fortescue_SDExport'!AE:AE),
    IF(_xlpm.result=0,"",_xlpm.result)
)</f>
        <v/>
      </c>
      <c r="W200" s="2" t="str">
        <f>_xlfn.LET(
    _xlpm.isObject, _xlfn.XLOOKUP($Q200,'EA-Fortescue_SDExport'!A:A,'EA-Fortescue_SDExport'!B:B),
    _xlpm.lookupKey, IF(_xlpm.isObject="Object",
        _xlfn.XLOOKUP($A200,'EA-ConnectorExport'!A:A,'EA-ConnectorExport'!D:D),
        $Q200
    ),
    _xlpm.result, _xlfn.XLOOKUP(_xlpm.lookupKey,'EA-Fortescue_SDExport'!A:A,'EA-Fortescue_SDExport'!AF:AF),
    IF(_xlpm.result=0,"",_xlpm.result)
)</f>
        <v/>
      </c>
      <c r="X200" s="2" t="str">
        <f>_xlfn.LET(
    _xlpm.isObject, _xlfn.XLOOKUP($Q200,'EA-Fortescue_SDExport'!A:A,'EA-Fortescue_SDExport'!B:B),
    _xlpm.lookupKey, IF(_xlpm.isObject="Object",
        _xlfn.XLOOKUP($A200,'EA-ConnectorExport'!A:A,'EA-ConnectorExport'!D:D),
        $Q200
    ),
    _xlpm.result, _xlfn.XLOOKUP(_xlpm.lookupKey,'EA-Fortescue_SDExport'!A:A,'EA-Fortescue_SDExport'!AG:AG),
    IF(_xlpm.result=0,"",_xlpm.result)
)</f>
        <v/>
      </c>
      <c r="Y200" s="2" t="str">
        <f>_xlfn.LET(
    _xlpm.status, _xlfn.XLOOKUP($A200,'EA-ConnectorExport'!$A:$A,'EA-ConnectorExport'!G:G),
    _xlpm.result, _xlfn.XLOOKUP($A200,'EA-ConnectorExport'!$A:$A,'EA-ConnectorExport'!H:H),
    IF(_xlpm.status="allocate", _xlpm.result, "")
)</f>
        <v>855DC-1543-008 Monarch</v>
      </c>
      <c r="Z200" s="2" t="str">
        <f>_xlfn.LET(
    _xlpm.isObject, _xlfn.XLOOKUP($Y200,'EA-Fortescue_SDExport'!A:A,'EA-Fortescue_SDExport'!B:B),
    _xlpm.lookupKey, IF(_xlpm.isObject="Object",
        _xlfn.XLOOKUP($A200,'EA-ConnectorExport'!A:A,'EA-ConnectorExport'!J:J),
        $Y200
    ),
    _xlpm.result, _xlfn.XLOOKUP(_xlpm.lookupKey,'EA-Fortescue_SDExport'!A:A,'EA-Fortescue_SDExport'!AA:AA),
    IF(_xlpm.result=0,"",_xlpm.result)
)</f>
        <v>Project</v>
      </c>
      <c r="AA200" s="2" t="str">
        <f>_xlfn.LET(_xlpm.result, _xlfn.XLOOKUP($Y200,'EA-Fortescue_SDExport'!$A:$A,'EA-Fortescue_SDExport'!AB:AB), IF(_xlpm.result=0,"",_xlpm.result))</f>
        <v>Energy Operations</v>
      </c>
      <c r="AB200" s="2" t="str">
        <f>_xlfn.LET(_xlpm.result, _xlfn.XLOOKUP($Y200,'EA-Fortescue_SDExport'!$A:$A,'EA-Fortescue_SDExport'!AC:AC), IF(_xlpm.result=0,"",_xlpm.result))</f>
        <v/>
      </c>
      <c r="AC200" s="2" t="str">
        <f>_xlfn.LET(
    _xlpm.isObject, _xlfn.XLOOKUP($Y200,'EA-Fortescue_SDExport'!A:A,'EA-Fortescue_SDExport'!B:B),
    _xlpm.lookupKey, IF(_xlpm.isObject="Object",
        _xlfn.XLOOKUP($A200,'EA-ConnectorExport'!A:A,'EA-ConnectorExport'!J:J),
        $Y200
    ),
    _xlpm.result, _xlfn.XLOOKUP(_xlpm.lookupKey,'EA-Fortescue_SDExport'!A:A,'EA-Fortescue_SDExport'!AD:AD),
    IF(_xlpm.result=0,"",_xlpm.result)
)</f>
        <v>855DC Decarb Green Systems</v>
      </c>
      <c r="AD200" s="2" t="str">
        <f>_xlfn.LET(
    _xlpm.isObject, _xlfn.XLOOKUP($Y200,'EA-Fortescue_SDExport'!A:A,'EA-Fortescue_SDExport'!B:B),
    _xlpm.lookupKey, IF(_xlpm.isObject="Object",
        _xlfn.XLOOKUP($A200,'EA-ConnectorExport'!A:A,'EA-ConnectorExport'!J:J),
        $Y200
    ),
    _xlpm.result, _xlfn.XLOOKUP(_xlpm.lookupKey,'EA-Fortescue_SDExport'!A:A,'EA-Fortescue_SDExport'!AE:AE),
    IF(_xlpm.result=0,"",_xlpm.result)
)</f>
        <v>855DC-1543 Existing Systems - Green Enhancement</v>
      </c>
      <c r="AE200" s="2" t="str">
        <f>_xlfn.LET(
    _xlpm.isObject, _xlfn.XLOOKUP($Y200,'EA-Fortescue_SDExport'!A:A,'EA-Fortescue_SDExport'!B:B),
    _xlpm.lookupKey, IF(_xlpm.isObject="Object",
        _xlfn.XLOOKUP($A200,'EA-ConnectorExport'!A:A,'EA-ConnectorExport'!J:J),
        $Y200
    ),
    _xlpm.result, _xlfn.XLOOKUP(_xlpm.lookupKey,'EA-Fortescue_SDExport'!A:A,'EA-Fortescue_SDExport'!AF:AF),
    IF(_xlpm.result=0,"",_xlpm.result)
)</f>
        <v>855DC-1543-008 Monarch</v>
      </c>
      <c r="AF200" s="2" t="str">
        <f>_xlfn.LET(
    _xlpm.isObject, _xlfn.XLOOKUP($Y200,'EA-Fortescue_SDExport'!A:A,'EA-Fortescue_SDExport'!B:B),
    _xlpm.lookupKey, IF(_xlpm.isObject="Object",
        _xlfn.XLOOKUP($A200,'EA-ConnectorExport'!A:A,'EA-ConnectorExport'!J:J),
        $Y200
    ),
    _xlpm.result, _xlfn.XLOOKUP(_xlpm.lookupKey,'EA-Fortescue_SDExport'!A:A,'EA-Fortescue_SDExport'!AG:AG),
    IF(_xlpm.result=0,"",_xlpm.result)
)</f>
        <v/>
      </c>
    </row>
    <row r="201" spans="1:32" ht="165" x14ac:dyDescent="0.25">
      <c r="A201" s="2" t="str">
        <v>DGS-I_0200</v>
      </c>
      <c r="B201" s="2" t="str">
        <f t="shared" si="12"/>
        <v>854DC-5680-0001 Battery Energy Storage Systems (BESS)|855DC-1543-008 Monarch</v>
      </c>
      <c r="C201" s="2" t="str">
        <f>_xlfn.LET(_xlpm.result, _xlfn.XLOOKUP(A201,'EA-Fortescue_SDExport'!A:A,'EA-Fortescue_SDExport'!AM:AM), IF(_xlpm.result=0,"",_xlpm.result))</f>
        <v/>
      </c>
      <c r="D201" s="2" t="str">
        <f>_xlfn.LET(_xlpm.result, _xlfn.XLOOKUP(A201,'EA-Fortescue_SDExport'!A:A,'EA-Fortescue_SDExport'!AN:AN), IF(_xlpm.result=0,"",_xlpm.result))</f>
        <v/>
      </c>
      <c r="E201" s="2" t="str">
        <f>_xlfn.XLOOKUP(R201&amp;Z201,Lookups!A:A,Lookups!B:B)</f>
        <v>Project - Project Interface</v>
      </c>
      <c r="F201" s="2" t="str">
        <f>_xlfn.LET(_xlpm.result, _xlfn.XLOOKUP(A201,'EA-Fortescue_SDExport'!A:A,'EA-Fortescue_SDExport'!AP:AP), IF(_xlpm.result=0,"",_xlpm.result))</f>
        <v>Technical-Electrical</v>
      </c>
      <c r="G201" s="2" t="str">
        <f>IF(OR(AND(T201&lt;&gt;"", COUNTIF(Lookups!J:J, "*"&amp;T201&amp;"*")&gt;0), AND(AB201&lt;&gt;"", COUNTIF(Lookups!J:J, "*"&amp;AB201&amp;"*")&gt;0)), "Yes", "No")</f>
        <v>No</v>
      </c>
      <c r="H201" s="2" t="str">
        <f t="shared" si="13"/>
        <v>854DC Green Power|855DC Decarb Green Systems</v>
      </c>
      <c r="I201" s="2" t="str">
        <f t="shared" si="14"/>
        <v>854DC-5680 Battery Energy Storage System (BESS)|855DC-1543 Existing Systems - Green Enhancement</v>
      </c>
      <c r="J201" s="2" t="str">
        <f t="shared" si="15"/>
        <v>854DC-5680-0001 Battery Energy Storage Systems (BESS)|855DC-1543-008 Monarch</v>
      </c>
      <c r="K201" s="2" t="str">
        <f>_xlfn.XLOOKUP(A201,'EA-Fortescue_SDExport'!A:A,'EA-Fortescue_SDExport'!N:N)</f>
        <v>Proposed</v>
      </c>
      <c r="L201" s="2" t="str">
        <f>_xlfn.LET(_xlpm.result, _xlfn.XLOOKUP($A201,'EA-Fortescue_SDExport'!$A:$A,'EA-Fortescue_SDExport'!AQ:AQ), IF(_xlpm.result=0,"",_xlpm.result))</f>
        <v>This interface links BESS units to Monarch, enabling the system to monitor storage capacity, state of charge, charge/discharge behaviour, and availability for power dispatch.</v>
      </c>
      <c r="M201" s="2" t="str">
        <f>_xlfn.LET(_xlpm.result, _xlfn.XLOOKUP($A201,'EA-Fortescue_SDExport'!$A:$A,'EA-Fortescue_SDExport'!AR:AR), IF(_xlpm.result=0,"",_xlpm.result))</f>
        <v>HIGH</v>
      </c>
      <c r="N201" s="2" t="str">
        <f>_xlfn.LET(_xlpm.result, _xlfn.XLOOKUP($A201,'EA-Fortescue_SDExport'!$A:$A,'EA-Fortescue_SDExport'!AW:AW), IF(_xlpm.result=0,"",_xlpm.result))</f>
        <v>The criticality level is HIGH because BESS units are essential for stabilising the electrical network. Failure risks voltage instability, affecting production and safety due to the inability to see and control stored energy.</v>
      </c>
      <c r="O201" s="2" t="str">
        <f>_xlfn.LET(_xlpm.result, _xlfn.XLOOKUP($A201,'EA-Fortescue_SDExport'!$A:$A,'EA-Fortescue_SDExport'!AV:AV), IF(_xlpm.result=0,"",_xlpm.result))</f>
        <v>Data Flow: Battery Energy Storage Systems (BESS) -&gt; Monarch (state of charge, available capacity, charge/discharge rates, inverter status, alarms, fault events, availability windows) for real-time monitoring and dispatch coordination._x000D_
Control Flow: Monarch -&gt; BESS (charge/discharge setpoints, dispatch instructions, start/stop commands, operational constraints) to stabilise voltage and balance supply and demand.</v>
      </c>
      <c r="P201" s="2" t="str">
        <f>_xlfn.LET(_xlpm.result, _xlfn.XLOOKUP($A201,'EA-Fortescue_SDExport'!$A:$A,'EA-Fortescue_SDExport'!D:D), IF(_xlpm.result=0,"",_xlpm.result))</f>
        <v>NH 20/02/2026: Fields updated: Interface Type, Interface Flow.</v>
      </c>
      <c r="Q201" s="2" t="str">
        <f>_xlfn.LET(
    _xlpm.status, _xlfn.XLOOKUP($A201,'EA-ConnectorExport'!$A:$A,'EA-ConnectorExport'!G:G),
    _xlpm.result, _xlfn.XLOOKUP($A201,'EA-ConnectorExport'!$A:$A,'EA-ConnectorExport'!B:B),
    IF(_xlpm.status="allocate", _xlpm.result, "")
)</f>
        <v>854DC-5680-0001 Battery Energy Storage Systems (BESS)</v>
      </c>
      <c r="R201" s="2" t="str">
        <f>IF(
    _xlfn.XLOOKUP($Q201,'EA-Fortescue_SDExport'!A:A,'EA-Fortescue_SDExport'!B:B)="Object",
    _xlfn.XLOOKUP(
        _xlfn.XLOOKUP($A201,'EA-ConnectorExport'!A:A,'EA-ConnectorExport'!D:D),
        'EA-Fortescue_SDExport'!A:A,
        'EA-Fortescue_SDExport'!AA:AA
    ),
    _xlfn.XLOOKUP($Q201,'EA-Fortescue_SDExport'!A:A,'EA-Fortescue_SDExport'!AA:AA)
)</f>
        <v>Project</v>
      </c>
      <c r="S201" s="2" t="str">
        <f>_xlfn.LET(_xlpm.result, _xlfn.XLOOKUP($Q201,'EA-Fortescue_SDExport'!$A:$A,'EA-Fortescue_SDExport'!AB:AB), IF(_xlpm.result=0,"",_xlpm.result))</f>
        <v/>
      </c>
      <c r="T201" s="2" t="str">
        <f>_xlfn.LET(_xlpm.result, _xlfn.XLOOKUP($Q201,'EA-Fortescue_SDExport'!$A:$A,'EA-Fortescue_SDExport'!AC:AC), IF(_xlpm.result=0,"",_xlpm.result))</f>
        <v>Generic Physical Asset</v>
      </c>
      <c r="U201" s="2" t="str">
        <f>_xlfn.LET(
    _xlpm.isObject, _xlfn.XLOOKUP($Q201,'EA-Fortescue_SDExport'!A:A,'EA-Fortescue_SDExport'!B:B),
    _xlpm.lookupKey, IF(_xlpm.isObject="Object",
        _xlfn.XLOOKUP($A201,'EA-ConnectorExport'!A:A,'EA-ConnectorExport'!D:D),
        $Q201
    ),
    _xlpm.result, _xlfn.XLOOKUP(_xlpm.lookupKey,'EA-Fortescue_SDExport'!A:A,'EA-Fortescue_SDExport'!AD:AD),
    IF(_xlpm.result=0,"",_xlpm.result)
)</f>
        <v>854DC Green Power</v>
      </c>
      <c r="V201" s="2" t="str">
        <f>_xlfn.LET(
    _xlpm.isObject, _xlfn.XLOOKUP($Q201,'EA-Fortescue_SDExport'!A:A,'EA-Fortescue_SDExport'!B:B),
    _xlpm.lookupKey, IF(_xlpm.isObject="Object",
        _xlfn.XLOOKUP($A201,'EA-ConnectorExport'!A:A,'EA-ConnectorExport'!D:D),
        $Q201
    ),
    _xlpm.result, _xlfn.XLOOKUP(_xlpm.lookupKey,'EA-Fortescue_SDExport'!A:A,'EA-Fortescue_SDExport'!AE:AE),
    IF(_xlpm.result=0,"",_xlpm.result)
)</f>
        <v>854DC-5680 Battery Energy Storage System (BESS)</v>
      </c>
      <c r="W201" s="2" t="str">
        <f>_xlfn.LET(
    _xlpm.isObject, _xlfn.XLOOKUP($Q201,'EA-Fortescue_SDExport'!A:A,'EA-Fortescue_SDExport'!B:B),
    _xlpm.lookupKey, IF(_xlpm.isObject="Object",
        _xlfn.XLOOKUP($A201,'EA-ConnectorExport'!A:A,'EA-ConnectorExport'!D:D),
        $Q201
    ),
    _xlpm.result, _xlfn.XLOOKUP(_xlpm.lookupKey,'EA-Fortescue_SDExport'!A:A,'EA-Fortescue_SDExport'!AF:AF),
    IF(_xlpm.result=0,"",_xlpm.result)
)</f>
        <v>854DC-5680-0001 Battery Energy Storage Systems (BESS)</v>
      </c>
      <c r="X201" s="2" t="str">
        <f>_xlfn.LET(
    _xlpm.isObject, _xlfn.XLOOKUP($Q201,'EA-Fortescue_SDExport'!A:A,'EA-Fortescue_SDExport'!B:B),
    _xlpm.lookupKey, IF(_xlpm.isObject="Object",
        _xlfn.XLOOKUP($A201,'EA-ConnectorExport'!A:A,'EA-ConnectorExport'!D:D),
        $Q201
    ),
    _xlpm.result, _xlfn.XLOOKUP(_xlpm.lookupKey,'EA-Fortescue_SDExport'!A:A,'EA-Fortescue_SDExport'!AG:AG),
    IF(_xlpm.result=0,"",_xlpm.result)
)</f>
        <v/>
      </c>
      <c r="Y201" s="2" t="str">
        <f>_xlfn.LET(
    _xlpm.status, _xlfn.XLOOKUP($A201,'EA-ConnectorExport'!$A:$A,'EA-ConnectorExport'!G:G),
    _xlpm.result, _xlfn.XLOOKUP($A201,'EA-ConnectorExport'!$A:$A,'EA-ConnectorExport'!H:H),
    IF(_xlpm.status="allocate", _xlpm.result, "")
)</f>
        <v>855DC-1543-008 Monarch</v>
      </c>
      <c r="Z201" s="2" t="str">
        <f>_xlfn.LET(
    _xlpm.isObject, _xlfn.XLOOKUP($Y201,'EA-Fortescue_SDExport'!A:A,'EA-Fortescue_SDExport'!B:B),
    _xlpm.lookupKey, IF(_xlpm.isObject="Object",
        _xlfn.XLOOKUP($A201,'EA-ConnectorExport'!A:A,'EA-ConnectorExport'!J:J),
        $Y201
    ),
    _xlpm.result, _xlfn.XLOOKUP(_xlpm.lookupKey,'EA-Fortescue_SDExport'!A:A,'EA-Fortescue_SDExport'!AA:AA),
    IF(_xlpm.result=0,"",_xlpm.result)
)</f>
        <v>Project</v>
      </c>
      <c r="AA201" s="2" t="str">
        <f>_xlfn.LET(_xlpm.result, _xlfn.XLOOKUP($Y201,'EA-Fortescue_SDExport'!$A:$A,'EA-Fortescue_SDExport'!AB:AB), IF(_xlpm.result=0,"",_xlpm.result))</f>
        <v>Energy Operations</v>
      </c>
      <c r="AB201" s="2" t="str">
        <f>_xlfn.LET(_xlpm.result, _xlfn.XLOOKUP($Y201,'EA-Fortescue_SDExport'!$A:$A,'EA-Fortescue_SDExport'!AC:AC), IF(_xlpm.result=0,"",_xlpm.result))</f>
        <v/>
      </c>
      <c r="AC201" s="2" t="str">
        <f>_xlfn.LET(
    _xlpm.isObject, _xlfn.XLOOKUP($Y201,'EA-Fortescue_SDExport'!A:A,'EA-Fortescue_SDExport'!B:B),
    _xlpm.lookupKey, IF(_xlpm.isObject="Object",
        _xlfn.XLOOKUP($A201,'EA-ConnectorExport'!A:A,'EA-ConnectorExport'!J:J),
        $Y201
    ),
    _xlpm.result, _xlfn.XLOOKUP(_xlpm.lookupKey,'EA-Fortescue_SDExport'!A:A,'EA-Fortescue_SDExport'!AD:AD),
    IF(_xlpm.result=0,"",_xlpm.result)
)</f>
        <v>855DC Decarb Green Systems</v>
      </c>
      <c r="AD201" s="2" t="str">
        <f>_xlfn.LET(
    _xlpm.isObject, _xlfn.XLOOKUP($Y201,'EA-Fortescue_SDExport'!A:A,'EA-Fortescue_SDExport'!B:B),
    _xlpm.lookupKey, IF(_xlpm.isObject="Object",
        _xlfn.XLOOKUP($A201,'EA-ConnectorExport'!A:A,'EA-ConnectorExport'!J:J),
        $Y201
    ),
    _xlpm.result, _xlfn.XLOOKUP(_xlpm.lookupKey,'EA-Fortescue_SDExport'!A:A,'EA-Fortescue_SDExport'!AE:AE),
    IF(_xlpm.result=0,"",_xlpm.result)
)</f>
        <v>855DC-1543 Existing Systems - Green Enhancement</v>
      </c>
      <c r="AE201" s="2" t="str">
        <f>_xlfn.LET(
    _xlpm.isObject, _xlfn.XLOOKUP($Y201,'EA-Fortescue_SDExport'!A:A,'EA-Fortescue_SDExport'!B:B),
    _xlpm.lookupKey, IF(_xlpm.isObject="Object",
        _xlfn.XLOOKUP($A201,'EA-ConnectorExport'!A:A,'EA-ConnectorExport'!J:J),
        $Y201
    ),
    _xlpm.result, _xlfn.XLOOKUP(_xlpm.lookupKey,'EA-Fortescue_SDExport'!A:A,'EA-Fortescue_SDExport'!AF:AF),
    IF(_xlpm.result=0,"",_xlpm.result)
)</f>
        <v>855DC-1543-008 Monarch</v>
      </c>
      <c r="AF201" s="2" t="str">
        <f>_xlfn.LET(
    _xlpm.isObject, _xlfn.XLOOKUP($Y201,'EA-Fortescue_SDExport'!A:A,'EA-Fortescue_SDExport'!B:B),
    _xlpm.lookupKey, IF(_xlpm.isObject="Object",
        _xlfn.XLOOKUP($A201,'EA-ConnectorExport'!A:A,'EA-ConnectorExport'!J:J),
        $Y201
    ),
    _xlpm.result, _xlfn.XLOOKUP(_xlpm.lookupKey,'EA-Fortescue_SDExport'!A:A,'EA-Fortescue_SDExport'!AG:AG),
    IF(_xlpm.result=0,"",_xlpm.result)
)</f>
        <v/>
      </c>
    </row>
    <row r="202" spans="1:32" ht="270" x14ac:dyDescent="0.25">
      <c r="A202" s="2" t="str">
        <v>DGS-I_0201</v>
      </c>
      <c r="B202" s="2" t="str">
        <f t="shared" si="12"/>
        <v>Archive - 854DC-5680-- Battery Energy Storage Systems (BESS) - DC|855DC-1543-008 Monarch</v>
      </c>
      <c r="C202" s="2" t="str">
        <f>_xlfn.LET(_xlpm.result, _xlfn.XLOOKUP(A202,'EA-Fortescue_SDExport'!A:A,'EA-Fortescue_SDExport'!AM:AM), IF(_xlpm.result=0,"",_xlpm.result))</f>
        <v/>
      </c>
      <c r="D202" s="2" t="str">
        <f>_xlfn.LET(_xlpm.result, _xlfn.XLOOKUP(A202,'EA-Fortescue_SDExport'!A:A,'EA-Fortescue_SDExport'!AN:AN), IF(_xlpm.result=0,"",_xlpm.result))</f>
        <v/>
      </c>
      <c r="E202" s="2" t="str">
        <f>_xlfn.XLOOKUP(R202&amp;Z202,Lookups!A:A,Lookups!B:B)</f>
        <v>Project - Project Interface</v>
      </c>
      <c r="F202" s="2" t="str">
        <f>_xlfn.LET(_xlpm.result, _xlfn.XLOOKUP(A202,'EA-Fortescue_SDExport'!A:A,'EA-Fortescue_SDExport'!AP:AP), IF(_xlpm.result=0,"",_xlpm.result))</f>
        <v/>
      </c>
      <c r="G202" s="2" t="str">
        <f>IF(OR(AND(T202&lt;&gt;"", COUNTIF(Lookups!J:J, "*"&amp;T202&amp;"*")&gt;0), AND(AB202&lt;&gt;"", COUNTIF(Lookups!J:J, "*"&amp;AB202&amp;"*")&gt;0)), "Yes", "No")</f>
        <v>No</v>
      </c>
      <c r="H202" s="2" t="str">
        <f t="shared" si="13"/>
        <v>N/A|855DC Decarb Green Systems</v>
      </c>
      <c r="I202" s="2" t="str">
        <f t="shared" si="14"/>
        <v>N/A|855DC-1543 Existing Systems - Green Enhancement</v>
      </c>
      <c r="J202" s="2" t="str">
        <f t="shared" si="15"/>
        <v>N/A|855DC-1543-008 Monarch</v>
      </c>
      <c r="K202" s="2" t="str">
        <f>_xlfn.XLOOKUP(A202,'EA-Fortescue_SDExport'!A:A,'EA-Fortescue_SDExport'!N:N)</f>
        <v>Deleted</v>
      </c>
      <c r="L202" s="2" t="str">
        <f>_xlfn.LET(_xlpm.result, _xlfn.XLOOKUP($A202,'EA-Fortescue_SDExport'!$A:$A,'EA-Fortescue_SDExport'!AQ:AQ), IF(_xlpm.result=0,"",_xlpm.result))</f>
        <v>This interface provides Monarch with DC-side storage data and operational control inputs for battery units involved in DC energy systems or hybrid energy configurations.</v>
      </c>
      <c r="M202" s="2" t="str">
        <f>_xlfn.LET(_xlpm.result, _xlfn.XLOOKUP($A202,'EA-Fortescue_SDExport'!$A:$A,'EA-Fortescue_SDExport'!AR:AR), IF(_xlpm.result=0,"",_xlpm.result))</f>
        <v>MEDIUM</v>
      </c>
      <c r="N202" s="2" t="str">
        <f>_xlfn.LET(_xlpm.result, _xlfn.XLOOKUP($A202,'EA-Fortescue_SDExport'!$A:$A,'EA-Fortescue_SDExport'!AW:AW), IF(_xlpm.result=0,"",_xlpm.result))</f>
        <v>The criticality level is MEDIUM because, while BESS-DC still influences energy stability, its effect tends to be more localised or specific to subsystems compared to AC-side BESS. A loss of communication may reduce system insight and responsiveness, but AC systems normally carry a greater load, which limits the immediate operational impact.</v>
      </c>
      <c r="O202" s="2" t="str">
        <f>_xlfn.LET(_xlpm.result, _xlfn.XLOOKUP($A202,'EA-Fortescue_SDExport'!$A:$A,'EA-Fortescue_SDExport'!AV:AV), IF(_xlpm.result=0,"",_xlpm.result))</f>
        <v/>
      </c>
      <c r="P202" s="2" t="str">
        <f>_xlfn.LET(_xlpm.result, _xlfn.XLOOKUP($A202,'EA-Fortescue_SDExport'!$A:$A,'EA-Fortescue_SDExport'!D:D), IF(_xlpm.result=0,"",_xlpm.result))</f>
        <v>SBS-WBS Mapping 02/01/2026: Remove this Item [Battery Energy Storage Systems (BESS) - DC] &amp;amp; Merge all links to above item (854DC-5680-0001) - For simplicity of System Architecture Project level to group BESS together (no reference to AC or DC). This interface is covered by DGS-I_0200 - Interface deleted.</v>
      </c>
      <c r="Q202" s="2" t="str">
        <f>_xlfn.LET(
    _xlpm.status, _xlfn.XLOOKUP($A202,'EA-ConnectorExport'!$A:$A,'EA-ConnectorExport'!G:G),
    _xlpm.result, _xlfn.XLOOKUP($A202,'EA-ConnectorExport'!$A:$A,'EA-ConnectorExport'!B:B),
    IF(_xlpm.status="allocate", _xlpm.result, "")
)</f>
        <v>Archive - 854DC-5680-- Battery Energy Storage Systems (BESS) - DC</v>
      </c>
      <c r="R202" s="2" t="str">
        <f>IF(
    _xlfn.XLOOKUP($Q202,'EA-Fortescue_SDExport'!A:A,'EA-Fortescue_SDExport'!B:B)="Object",
    _xlfn.XLOOKUP(
        _xlfn.XLOOKUP($A202,'EA-ConnectorExport'!A:A,'EA-ConnectorExport'!D:D),
        'EA-Fortescue_SDExport'!A:A,
        'EA-Fortescue_SDExport'!AA:AA
    ),
    _xlfn.XLOOKUP($Q202,'EA-Fortescue_SDExport'!A:A,'EA-Fortescue_SDExport'!AA:AA)
)</f>
        <v>Project</v>
      </c>
      <c r="S202" s="2" t="str">
        <f>_xlfn.LET(_xlpm.result, _xlfn.XLOOKUP($Q202,'EA-Fortescue_SDExport'!$A:$A,'EA-Fortescue_SDExport'!AB:AB), IF(_xlpm.result=0,"",_xlpm.result))</f>
        <v/>
      </c>
      <c r="T202" s="2" t="str">
        <f>_xlfn.LET(_xlpm.result, _xlfn.XLOOKUP($Q202,'EA-Fortescue_SDExport'!$A:$A,'EA-Fortescue_SDExport'!AC:AC), IF(_xlpm.result=0,"",_xlpm.result))</f>
        <v>Generic Physical Asset</v>
      </c>
      <c r="U202" s="2" t="str">
        <f>_xlfn.LET(
    _xlpm.isObject, _xlfn.XLOOKUP($Q202,'EA-Fortescue_SDExport'!A:A,'EA-Fortescue_SDExport'!B:B),
    _xlpm.lookupKey, IF(_xlpm.isObject="Object",
        _xlfn.XLOOKUP($A202,'EA-ConnectorExport'!A:A,'EA-ConnectorExport'!D:D),
        $Q202
    ),
    _xlpm.result, _xlfn.XLOOKUP(_xlpm.lookupKey,'EA-Fortescue_SDExport'!A:A,'EA-Fortescue_SDExport'!AD:AD),
    IF(_xlpm.result=0,"",_xlpm.result)
)</f>
        <v/>
      </c>
      <c r="V202" s="2" t="str">
        <f>_xlfn.LET(
    _xlpm.isObject, _xlfn.XLOOKUP($Q202,'EA-Fortescue_SDExport'!A:A,'EA-Fortescue_SDExport'!B:B),
    _xlpm.lookupKey, IF(_xlpm.isObject="Object",
        _xlfn.XLOOKUP($A202,'EA-ConnectorExport'!A:A,'EA-ConnectorExport'!D:D),
        $Q202
    ),
    _xlpm.result, _xlfn.XLOOKUP(_xlpm.lookupKey,'EA-Fortescue_SDExport'!A:A,'EA-Fortescue_SDExport'!AE:AE),
    IF(_xlpm.result=0,"",_xlpm.result)
)</f>
        <v/>
      </c>
      <c r="W202" s="2" t="str">
        <f>_xlfn.LET(
    _xlpm.isObject, _xlfn.XLOOKUP($Q202,'EA-Fortescue_SDExport'!A:A,'EA-Fortescue_SDExport'!B:B),
    _xlpm.lookupKey, IF(_xlpm.isObject="Object",
        _xlfn.XLOOKUP($A202,'EA-ConnectorExport'!A:A,'EA-ConnectorExport'!D:D),
        $Q202
    ),
    _xlpm.result, _xlfn.XLOOKUP(_xlpm.lookupKey,'EA-Fortescue_SDExport'!A:A,'EA-Fortescue_SDExport'!AF:AF),
    IF(_xlpm.result=0,"",_xlpm.result)
)</f>
        <v/>
      </c>
      <c r="X202" s="2" t="str">
        <f>_xlfn.LET(
    _xlpm.isObject, _xlfn.XLOOKUP($Q202,'EA-Fortescue_SDExport'!A:A,'EA-Fortescue_SDExport'!B:B),
    _xlpm.lookupKey, IF(_xlpm.isObject="Object",
        _xlfn.XLOOKUP($A202,'EA-ConnectorExport'!A:A,'EA-ConnectorExport'!D:D),
        $Q202
    ),
    _xlpm.result, _xlfn.XLOOKUP(_xlpm.lookupKey,'EA-Fortescue_SDExport'!A:A,'EA-Fortescue_SDExport'!AG:AG),
    IF(_xlpm.result=0,"",_xlpm.result)
)</f>
        <v/>
      </c>
      <c r="Y202" s="2" t="str">
        <f>_xlfn.LET(
    _xlpm.status, _xlfn.XLOOKUP($A202,'EA-ConnectorExport'!$A:$A,'EA-ConnectorExport'!G:G),
    _xlpm.result, _xlfn.XLOOKUP($A202,'EA-ConnectorExport'!$A:$A,'EA-ConnectorExport'!H:H),
    IF(_xlpm.status="allocate", _xlpm.result, "")
)</f>
        <v>855DC-1543-008 Monarch</v>
      </c>
      <c r="Z202" s="2" t="str">
        <f>_xlfn.LET(
    _xlpm.isObject, _xlfn.XLOOKUP($Y202,'EA-Fortescue_SDExport'!A:A,'EA-Fortescue_SDExport'!B:B),
    _xlpm.lookupKey, IF(_xlpm.isObject="Object",
        _xlfn.XLOOKUP($A202,'EA-ConnectorExport'!A:A,'EA-ConnectorExport'!J:J),
        $Y202
    ),
    _xlpm.result, _xlfn.XLOOKUP(_xlpm.lookupKey,'EA-Fortescue_SDExport'!A:A,'EA-Fortescue_SDExport'!AA:AA),
    IF(_xlpm.result=0,"",_xlpm.result)
)</f>
        <v>Project</v>
      </c>
      <c r="AA202" s="2" t="str">
        <f>_xlfn.LET(_xlpm.result, _xlfn.XLOOKUP($Y202,'EA-Fortescue_SDExport'!$A:$A,'EA-Fortescue_SDExport'!AB:AB), IF(_xlpm.result=0,"",_xlpm.result))</f>
        <v>Energy Operations</v>
      </c>
      <c r="AB202" s="2" t="str">
        <f>_xlfn.LET(_xlpm.result, _xlfn.XLOOKUP($Y202,'EA-Fortescue_SDExport'!$A:$A,'EA-Fortescue_SDExport'!AC:AC), IF(_xlpm.result=0,"",_xlpm.result))</f>
        <v/>
      </c>
      <c r="AC202" s="2" t="str">
        <f>_xlfn.LET(
    _xlpm.isObject, _xlfn.XLOOKUP($Y202,'EA-Fortescue_SDExport'!A:A,'EA-Fortescue_SDExport'!B:B),
    _xlpm.lookupKey, IF(_xlpm.isObject="Object",
        _xlfn.XLOOKUP($A202,'EA-ConnectorExport'!A:A,'EA-ConnectorExport'!J:J),
        $Y202
    ),
    _xlpm.result, _xlfn.XLOOKUP(_xlpm.lookupKey,'EA-Fortescue_SDExport'!A:A,'EA-Fortescue_SDExport'!AD:AD),
    IF(_xlpm.result=0,"",_xlpm.result)
)</f>
        <v>855DC Decarb Green Systems</v>
      </c>
      <c r="AD202" s="2" t="str">
        <f>_xlfn.LET(
    _xlpm.isObject, _xlfn.XLOOKUP($Y202,'EA-Fortescue_SDExport'!A:A,'EA-Fortescue_SDExport'!B:B),
    _xlpm.lookupKey, IF(_xlpm.isObject="Object",
        _xlfn.XLOOKUP($A202,'EA-ConnectorExport'!A:A,'EA-ConnectorExport'!J:J),
        $Y202
    ),
    _xlpm.result, _xlfn.XLOOKUP(_xlpm.lookupKey,'EA-Fortescue_SDExport'!A:A,'EA-Fortescue_SDExport'!AE:AE),
    IF(_xlpm.result=0,"",_xlpm.result)
)</f>
        <v>855DC-1543 Existing Systems - Green Enhancement</v>
      </c>
      <c r="AE202" s="2" t="str">
        <f>_xlfn.LET(
    _xlpm.isObject, _xlfn.XLOOKUP($Y202,'EA-Fortescue_SDExport'!A:A,'EA-Fortescue_SDExport'!B:B),
    _xlpm.lookupKey, IF(_xlpm.isObject="Object",
        _xlfn.XLOOKUP($A202,'EA-ConnectorExport'!A:A,'EA-ConnectorExport'!J:J),
        $Y202
    ),
    _xlpm.result, _xlfn.XLOOKUP(_xlpm.lookupKey,'EA-Fortescue_SDExport'!A:A,'EA-Fortescue_SDExport'!AF:AF),
    IF(_xlpm.result=0,"",_xlpm.result)
)</f>
        <v>855DC-1543-008 Monarch</v>
      </c>
      <c r="AF202" s="2" t="str">
        <f>_xlfn.LET(
    _xlpm.isObject, _xlfn.XLOOKUP($Y202,'EA-Fortescue_SDExport'!A:A,'EA-Fortescue_SDExport'!B:B),
    _xlpm.lookupKey, IF(_xlpm.isObject="Object",
        _xlfn.XLOOKUP($A202,'EA-ConnectorExport'!A:A,'EA-ConnectorExport'!J:J),
        $Y202
    ),
    _xlpm.result, _xlfn.XLOOKUP(_xlpm.lookupKey,'EA-Fortescue_SDExport'!A:A,'EA-Fortescue_SDExport'!AG:AG),
    IF(_xlpm.result=0,"",_xlpm.result)
)</f>
        <v/>
      </c>
    </row>
    <row r="203" spans="1:32" ht="330" x14ac:dyDescent="0.25">
      <c r="A203" s="2" t="str">
        <v>DGS-I_0202</v>
      </c>
      <c r="B203" s="2" t="str">
        <f t="shared" si="12"/>
        <v>854DC-5680-0003 Long Duration Energy Storage|855DC-1543-008 Monarch</v>
      </c>
      <c r="C203" s="2" t="str">
        <f>_xlfn.LET(_xlpm.result, _xlfn.XLOOKUP(A203,'EA-Fortescue_SDExport'!A:A,'EA-Fortescue_SDExport'!AM:AM), IF(_xlpm.result=0,"",_xlpm.result))</f>
        <v/>
      </c>
      <c r="D203" s="2" t="str">
        <f>_xlfn.LET(_xlpm.result, _xlfn.XLOOKUP(A203,'EA-Fortescue_SDExport'!A:A,'EA-Fortescue_SDExport'!AN:AN), IF(_xlpm.result=0,"",_xlpm.result))</f>
        <v/>
      </c>
      <c r="E203" s="2" t="str">
        <f>_xlfn.XLOOKUP(R203&amp;Z203,Lookups!A:A,Lookups!B:B)</f>
        <v>Project - Project Interface</v>
      </c>
      <c r="F203" s="2" t="str">
        <f>_xlfn.LET(_xlpm.result, _xlfn.XLOOKUP(A203,'EA-Fortescue_SDExport'!A:A,'EA-Fortescue_SDExport'!AP:AP), IF(_xlpm.result=0,"",_xlpm.result))</f>
        <v>Technical-Electrical</v>
      </c>
      <c r="G203" s="2" t="str">
        <f>IF(OR(AND(T203&lt;&gt;"", COUNTIF(Lookups!J:J, "*"&amp;T203&amp;"*")&gt;0), AND(AB203&lt;&gt;"", COUNTIF(Lookups!J:J, "*"&amp;AB203&amp;"*")&gt;0)), "Yes", "No")</f>
        <v>No</v>
      </c>
      <c r="H203" s="2" t="str">
        <f t="shared" si="13"/>
        <v>854DC Green Power|855DC Decarb Green Systems</v>
      </c>
      <c r="I203" s="2" t="str">
        <f t="shared" si="14"/>
        <v>854DC-5680 Battery Energy Storage System (BESS)|855DC-1543 Existing Systems - Green Enhancement</v>
      </c>
      <c r="J203" s="2" t="str">
        <f t="shared" si="15"/>
        <v>854DC-5680-0003 Long Duration Energy Storage|855DC-1543-008 Monarch</v>
      </c>
      <c r="K203" s="2" t="str">
        <f>_xlfn.XLOOKUP(A203,'EA-Fortescue_SDExport'!A:A,'EA-Fortescue_SDExport'!N:N)</f>
        <v>Proposed</v>
      </c>
      <c r="L203" s="2" t="str">
        <f>_xlfn.LET(_xlpm.result, _xlfn.XLOOKUP($A203,'EA-Fortescue_SDExport'!$A:$A,'EA-Fortescue_SDExport'!AQ:AQ), IF(_xlpm.result=0,"",_xlpm.result))</f>
        <v>This interface connects long-duration energy storage systems to Monarch so the platform can monitor their capacity, discharge profiles, and availability for extended support during low-generation periods.</v>
      </c>
      <c r="M203" s="2" t="str">
        <f>_xlfn.LET(_xlpm.result, _xlfn.XLOOKUP($A203,'EA-Fortescue_SDExport'!$A:$A,'EA-Fortescue_SDExport'!AR:AR), IF(_xlpm.result=0,"",_xlpm.result))</f>
        <v>MEDIUM</v>
      </c>
      <c r="N203" s="2" t="str">
        <f>_xlfn.LET(_xlpm.result, _xlfn.XLOOKUP($A203,'EA-Fortescue_SDExport'!$A:$A,'EA-Fortescue_SDExport'!AW:AW), IF(_xlpm.result=0,"",_xlpm.result))</f>
        <v>The criticality level is MEDIUM because, while these systems enhance resilience and decrease dependence on gas or diesel peakers, their temporary failure does not immediately destabilise the electrical network. An outage diminishes the site's capacity to effectively manage extensive energy deficits or peak smoothing, but the short-term power supply usually remains stable through other generation sources.</v>
      </c>
      <c r="O203" s="2" t="str">
        <f>_xlfn.LET(_xlpm.result, _xlfn.XLOOKUP($A203,'EA-Fortescue_SDExport'!$A:$A,'EA-Fortescue_SDExport'!AV:AV), IF(_xlpm.result=0,"",_xlpm.result))</f>
        <v>Data Flow: Long Duration Energy Storage -&gt; Monarch (state of charge, available capacity, discharge/charge rates, operational status, alarms, availability windows) for monitoring and planning support._x000D_
Control Flow: Monarch -&gt; Long Duration Energy Storage (dispatch instructions, charge/discharge setpoints, start/stop commands, operating constraints) to coordinate extended energy support during low-generation periods.</v>
      </c>
      <c r="P203" s="2" t="str">
        <f>_xlfn.LET(_xlpm.result, _xlfn.XLOOKUP($A203,'EA-Fortescue_SDExport'!$A:$A,'EA-Fortescue_SDExport'!D:D), IF(_xlpm.result=0,"",_xlpm.result))</f>
        <v/>
      </c>
      <c r="Q203" s="2" t="str">
        <f>_xlfn.LET(
    _xlpm.status, _xlfn.XLOOKUP($A203,'EA-ConnectorExport'!$A:$A,'EA-ConnectorExport'!G:G),
    _xlpm.result, _xlfn.XLOOKUP($A203,'EA-ConnectorExport'!$A:$A,'EA-ConnectorExport'!B:B),
    IF(_xlpm.status="allocate", _xlpm.result, "")
)</f>
        <v>854DC-5680-0003 Long Duration Energy Storage</v>
      </c>
      <c r="R203" s="2" t="str">
        <f>IF(
    _xlfn.XLOOKUP($Q203,'EA-Fortescue_SDExport'!A:A,'EA-Fortescue_SDExport'!B:B)="Object",
    _xlfn.XLOOKUP(
        _xlfn.XLOOKUP($A203,'EA-ConnectorExport'!A:A,'EA-ConnectorExport'!D:D),
        'EA-Fortescue_SDExport'!A:A,
        'EA-Fortescue_SDExport'!AA:AA
    ),
    _xlfn.XLOOKUP($Q203,'EA-Fortescue_SDExport'!A:A,'EA-Fortescue_SDExport'!AA:AA)
)</f>
        <v>Project</v>
      </c>
      <c r="S203" s="2" t="str">
        <f>_xlfn.LET(_xlpm.result, _xlfn.XLOOKUP($Q203,'EA-Fortescue_SDExport'!$A:$A,'EA-Fortescue_SDExport'!AB:AB), IF(_xlpm.result=0,"",_xlpm.result))</f>
        <v/>
      </c>
      <c r="T203" s="2" t="str">
        <f>_xlfn.LET(_xlpm.result, _xlfn.XLOOKUP($Q203,'EA-Fortescue_SDExport'!$A:$A,'EA-Fortescue_SDExport'!AC:AC), IF(_xlpm.result=0,"",_xlpm.result))</f>
        <v>Generic Physical Asset</v>
      </c>
      <c r="U203" s="2" t="str">
        <f>_xlfn.LET(
    _xlpm.isObject, _xlfn.XLOOKUP($Q203,'EA-Fortescue_SDExport'!A:A,'EA-Fortescue_SDExport'!B:B),
    _xlpm.lookupKey, IF(_xlpm.isObject="Object",
        _xlfn.XLOOKUP($A203,'EA-ConnectorExport'!A:A,'EA-ConnectorExport'!D:D),
        $Q203
    ),
    _xlpm.result, _xlfn.XLOOKUP(_xlpm.lookupKey,'EA-Fortescue_SDExport'!A:A,'EA-Fortescue_SDExport'!AD:AD),
    IF(_xlpm.result=0,"",_xlpm.result)
)</f>
        <v>854DC Green Power</v>
      </c>
      <c r="V203" s="2" t="str">
        <f>_xlfn.LET(
    _xlpm.isObject, _xlfn.XLOOKUP($Q203,'EA-Fortescue_SDExport'!A:A,'EA-Fortescue_SDExport'!B:B),
    _xlpm.lookupKey, IF(_xlpm.isObject="Object",
        _xlfn.XLOOKUP($A203,'EA-ConnectorExport'!A:A,'EA-ConnectorExport'!D:D),
        $Q203
    ),
    _xlpm.result, _xlfn.XLOOKUP(_xlpm.lookupKey,'EA-Fortescue_SDExport'!A:A,'EA-Fortescue_SDExport'!AE:AE),
    IF(_xlpm.result=0,"",_xlpm.result)
)</f>
        <v>854DC-5680 Battery Energy Storage System (BESS)</v>
      </c>
      <c r="W203" s="2" t="str">
        <f>_xlfn.LET(
    _xlpm.isObject, _xlfn.XLOOKUP($Q203,'EA-Fortescue_SDExport'!A:A,'EA-Fortescue_SDExport'!B:B),
    _xlpm.lookupKey, IF(_xlpm.isObject="Object",
        _xlfn.XLOOKUP($A203,'EA-ConnectorExport'!A:A,'EA-ConnectorExport'!D:D),
        $Q203
    ),
    _xlpm.result, _xlfn.XLOOKUP(_xlpm.lookupKey,'EA-Fortescue_SDExport'!A:A,'EA-Fortescue_SDExport'!AF:AF),
    IF(_xlpm.result=0,"",_xlpm.result)
)</f>
        <v>854DC-5680-0003 Long Duration Energy Storage</v>
      </c>
      <c r="X203" s="2" t="str">
        <f>_xlfn.LET(
    _xlpm.isObject, _xlfn.XLOOKUP($Q203,'EA-Fortescue_SDExport'!A:A,'EA-Fortescue_SDExport'!B:B),
    _xlpm.lookupKey, IF(_xlpm.isObject="Object",
        _xlfn.XLOOKUP($A203,'EA-ConnectorExport'!A:A,'EA-ConnectorExport'!D:D),
        $Q203
    ),
    _xlpm.result, _xlfn.XLOOKUP(_xlpm.lookupKey,'EA-Fortescue_SDExport'!A:A,'EA-Fortescue_SDExport'!AG:AG),
    IF(_xlpm.result=0,"",_xlpm.result)
)</f>
        <v/>
      </c>
      <c r="Y203" s="2" t="str">
        <f>_xlfn.LET(
    _xlpm.status, _xlfn.XLOOKUP($A203,'EA-ConnectorExport'!$A:$A,'EA-ConnectorExport'!G:G),
    _xlpm.result, _xlfn.XLOOKUP($A203,'EA-ConnectorExport'!$A:$A,'EA-ConnectorExport'!H:H),
    IF(_xlpm.status="allocate", _xlpm.result, "")
)</f>
        <v>855DC-1543-008 Monarch</v>
      </c>
      <c r="Z203" s="2" t="str">
        <f>_xlfn.LET(
    _xlpm.isObject, _xlfn.XLOOKUP($Y203,'EA-Fortescue_SDExport'!A:A,'EA-Fortescue_SDExport'!B:B),
    _xlpm.lookupKey, IF(_xlpm.isObject="Object",
        _xlfn.XLOOKUP($A203,'EA-ConnectorExport'!A:A,'EA-ConnectorExport'!J:J),
        $Y203
    ),
    _xlpm.result, _xlfn.XLOOKUP(_xlpm.lookupKey,'EA-Fortescue_SDExport'!A:A,'EA-Fortescue_SDExport'!AA:AA),
    IF(_xlpm.result=0,"",_xlpm.result)
)</f>
        <v>Project</v>
      </c>
      <c r="AA203" s="2" t="str">
        <f>_xlfn.LET(_xlpm.result, _xlfn.XLOOKUP($Y203,'EA-Fortescue_SDExport'!$A:$A,'EA-Fortescue_SDExport'!AB:AB), IF(_xlpm.result=0,"",_xlpm.result))</f>
        <v>Energy Operations</v>
      </c>
      <c r="AB203" s="2" t="str">
        <f>_xlfn.LET(_xlpm.result, _xlfn.XLOOKUP($Y203,'EA-Fortescue_SDExport'!$A:$A,'EA-Fortescue_SDExport'!AC:AC), IF(_xlpm.result=0,"",_xlpm.result))</f>
        <v/>
      </c>
      <c r="AC203" s="2" t="str">
        <f>_xlfn.LET(
    _xlpm.isObject, _xlfn.XLOOKUP($Y203,'EA-Fortescue_SDExport'!A:A,'EA-Fortescue_SDExport'!B:B),
    _xlpm.lookupKey, IF(_xlpm.isObject="Object",
        _xlfn.XLOOKUP($A203,'EA-ConnectorExport'!A:A,'EA-ConnectorExport'!J:J),
        $Y203
    ),
    _xlpm.result, _xlfn.XLOOKUP(_xlpm.lookupKey,'EA-Fortescue_SDExport'!A:A,'EA-Fortescue_SDExport'!AD:AD),
    IF(_xlpm.result=0,"",_xlpm.result)
)</f>
        <v>855DC Decarb Green Systems</v>
      </c>
      <c r="AD203" s="2" t="str">
        <f>_xlfn.LET(
    _xlpm.isObject, _xlfn.XLOOKUP($Y203,'EA-Fortescue_SDExport'!A:A,'EA-Fortescue_SDExport'!B:B),
    _xlpm.lookupKey, IF(_xlpm.isObject="Object",
        _xlfn.XLOOKUP($A203,'EA-ConnectorExport'!A:A,'EA-ConnectorExport'!J:J),
        $Y203
    ),
    _xlpm.result, _xlfn.XLOOKUP(_xlpm.lookupKey,'EA-Fortescue_SDExport'!A:A,'EA-Fortescue_SDExport'!AE:AE),
    IF(_xlpm.result=0,"",_xlpm.result)
)</f>
        <v>855DC-1543 Existing Systems - Green Enhancement</v>
      </c>
      <c r="AE203" s="2" t="str">
        <f>_xlfn.LET(
    _xlpm.isObject, _xlfn.XLOOKUP($Y203,'EA-Fortescue_SDExport'!A:A,'EA-Fortescue_SDExport'!B:B),
    _xlpm.lookupKey, IF(_xlpm.isObject="Object",
        _xlfn.XLOOKUP($A203,'EA-ConnectorExport'!A:A,'EA-ConnectorExport'!J:J),
        $Y203
    ),
    _xlpm.result, _xlfn.XLOOKUP(_xlpm.lookupKey,'EA-Fortescue_SDExport'!A:A,'EA-Fortescue_SDExport'!AF:AF),
    IF(_xlpm.result=0,"",_xlpm.result)
)</f>
        <v>855DC-1543-008 Monarch</v>
      </c>
      <c r="AF203" s="2" t="str">
        <f>_xlfn.LET(
    _xlpm.isObject, _xlfn.XLOOKUP($Y203,'EA-Fortescue_SDExport'!A:A,'EA-Fortescue_SDExport'!B:B),
    _xlpm.lookupKey, IF(_xlpm.isObject="Object",
        _xlfn.XLOOKUP($A203,'EA-ConnectorExport'!A:A,'EA-ConnectorExport'!J:J),
        $Y203
    ),
    _xlpm.result, _xlfn.XLOOKUP(_xlpm.lookupKey,'EA-Fortescue_SDExport'!A:A,'EA-Fortescue_SDExport'!AG:AG),
    IF(_xlpm.result=0,"",_xlpm.result)
)</f>
        <v/>
      </c>
    </row>
    <row r="204" spans="1:32" ht="180" x14ac:dyDescent="0.25">
      <c r="A204" s="2" t="str">
        <v>DGS-I_0203</v>
      </c>
      <c r="B204" s="2" t="str">
        <f t="shared" si="12"/>
        <v>854DC-5680-0002 Mobile Battery Bank|855DC-1543-008 Monarch</v>
      </c>
      <c r="C204" s="2" t="str">
        <f>_xlfn.LET(_xlpm.result, _xlfn.XLOOKUP(A204,'EA-Fortescue_SDExport'!A:A,'EA-Fortescue_SDExport'!AM:AM), IF(_xlpm.result=0,"",_xlpm.result))</f>
        <v/>
      </c>
      <c r="D204" s="2" t="str">
        <f>_xlfn.LET(_xlpm.result, _xlfn.XLOOKUP(A204,'EA-Fortescue_SDExport'!A:A,'EA-Fortescue_SDExport'!AN:AN), IF(_xlpm.result=0,"",_xlpm.result))</f>
        <v/>
      </c>
      <c r="E204" s="2" t="str">
        <f>_xlfn.XLOOKUP(R204&amp;Z204,Lookups!A:A,Lookups!B:B)</f>
        <v>Project - Project Interface</v>
      </c>
      <c r="F204" s="2" t="str">
        <f>_xlfn.LET(_xlpm.result, _xlfn.XLOOKUP(A204,'EA-Fortescue_SDExport'!A:A,'EA-Fortescue_SDExport'!AP:AP), IF(_xlpm.result=0,"",_xlpm.result))</f>
        <v>Technical-Data/Software</v>
      </c>
      <c r="G204" s="2" t="str">
        <f>IF(OR(AND(T204&lt;&gt;"", COUNTIF(Lookups!J:J, "*"&amp;T204&amp;"*")&gt;0), AND(AB204&lt;&gt;"", COUNTIF(Lookups!J:J, "*"&amp;AB204&amp;"*")&gt;0)), "Yes", "No")</f>
        <v>No</v>
      </c>
      <c r="H204" s="2" t="str">
        <f t="shared" si="13"/>
        <v>854DC Green Power|855DC Decarb Green Systems</v>
      </c>
      <c r="I204" s="2" t="str">
        <f t="shared" si="14"/>
        <v>854DC-5680 Battery Energy Storage System (BESS)|855DC-1543 Existing Systems - Green Enhancement</v>
      </c>
      <c r="J204" s="2" t="str">
        <f t="shared" si="15"/>
        <v>854DC-5680-0002 Mobile Battery Bank|855DC-1543-008 Monarch</v>
      </c>
      <c r="K204" s="2" t="str">
        <f>_xlfn.XLOOKUP(A204,'EA-Fortescue_SDExport'!A:A,'EA-Fortescue_SDExport'!N:N)</f>
        <v>Proposed</v>
      </c>
      <c r="L204" s="2" t="str">
        <f>_xlfn.LET(_xlpm.result, _xlfn.XLOOKUP($A204,'EA-Fortescue_SDExport'!$A:$A,'EA-Fortescue_SDExport'!AQ:AQ), IF(_xlpm.result=0,"",_xlpm.result))</f>
        <v>This interface provides operational data from mobile battery banks into Monarch, enabling the system to understand available mobile storage capacity and deploy it where needed.</v>
      </c>
      <c r="M204" s="2" t="str">
        <f>_xlfn.LET(_xlpm.result, _xlfn.XLOOKUP($A204,'EA-Fortescue_SDExport'!$A:$A,'EA-Fortescue_SDExport'!AR:AR), IF(_xlpm.result=0,"",_xlpm.result))</f>
        <v>LOW</v>
      </c>
      <c r="N204" s="2" t="str">
        <f>_xlfn.LET(_xlpm.result, _xlfn.XLOOKUP($A204,'EA-Fortescue_SDExport'!$A:$A,'EA-Fortescue_SDExport'!AW:AW), IF(_xlpm.result=0,"",_xlpm.result))</f>
        <v>The criticality level is LOW because mobile battery banks are supplementary assets, and their loss does not significantly impact site-wide energy stability or production. Failure only reduces flexibility in deploying mobile power.</v>
      </c>
      <c r="O204" s="2" t="str">
        <f>_xlfn.LET(_xlpm.result, _xlfn.XLOOKUP($A204,'EA-Fortescue_SDExport'!$A:$A,'EA-Fortescue_SDExport'!AV:AV), IF(_xlpm.result=0,"",_xlpm.result))</f>
        <v>Data Flow:_x000D_
854DC-5680-0002 Mobile Battery Bank -&gt; 855DC-1543-008 Monarch. This interface transmits operational data, including real-time available storage capacity and state-of-charge from mobile battery banks, into the Monarch system to enable coordinated deployment of mobile power assets across the site.</v>
      </c>
      <c r="P204" s="2" t="str">
        <f>_xlfn.LET(_xlpm.result, _xlfn.XLOOKUP($A204,'EA-Fortescue_SDExport'!$A:$A,'EA-Fortescue_SDExport'!D:D), IF(_xlpm.result=0,"",_xlpm.result))</f>
        <v>NH 20/02/2026: Fields updated: Interface Type, Interface Flow.</v>
      </c>
      <c r="Q204" s="2" t="str">
        <f>_xlfn.LET(
    _xlpm.status, _xlfn.XLOOKUP($A204,'EA-ConnectorExport'!$A:$A,'EA-ConnectorExport'!G:G),
    _xlpm.result, _xlfn.XLOOKUP($A204,'EA-ConnectorExport'!$A:$A,'EA-ConnectorExport'!B:B),
    IF(_xlpm.status="allocate", _xlpm.result, "")
)</f>
        <v>854DC-5680-0002 Mobile Battery Bank</v>
      </c>
      <c r="R204" s="2" t="str">
        <f>IF(
    _xlfn.XLOOKUP($Q204,'EA-Fortescue_SDExport'!A:A,'EA-Fortescue_SDExport'!B:B)="Object",
    _xlfn.XLOOKUP(
        _xlfn.XLOOKUP($A204,'EA-ConnectorExport'!A:A,'EA-ConnectorExport'!D:D),
        'EA-Fortescue_SDExport'!A:A,
        'EA-Fortescue_SDExport'!AA:AA
    ),
    _xlfn.XLOOKUP($Q204,'EA-Fortescue_SDExport'!A:A,'EA-Fortescue_SDExport'!AA:AA)
)</f>
        <v>Project</v>
      </c>
      <c r="S204" s="2" t="str">
        <f>_xlfn.LET(_xlpm.result, _xlfn.XLOOKUP($Q204,'EA-Fortescue_SDExport'!$A:$A,'EA-Fortescue_SDExport'!AB:AB), IF(_xlpm.result=0,"",_xlpm.result))</f>
        <v/>
      </c>
      <c r="T204" s="2" t="str">
        <f>_xlfn.LET(_xlpm.result, _xlfn.XLOOKUP($Q204,'EA-Fortescue_SDExport'!$A:$A,'EA-Fortescue_SDExport'!AC:AC), IF(_xlpm.result=0,"",_xlpm.result))</f>
        <v>Generic Physical Asset</v>
      </c>
      <c r="U204" s="2" t="str">
        <f>_xlfn.LET(
    _xlpm.isObject, _xlfn.XLOOKUP($Q204,'EA-Fortescue_SDExport'!A:A,'EA-Fortescue_SDExport'!B:B),
    _xlpm.lookupKey, IF(_xlpm.isObject="Object",
        _xlfn.XLOOKUP($A204,'EA-ConnectorExport'!A:A,'EA-ConnectorExport'!D:D),
        $Q204
    ),
    _xlpm.result, _xlfn.XLOOKUP(_xlpm.lookupKey,'EA-Fortescue_SDExport'!A:A,'EA-Fortescue_SDExport'!AD:AD),
    IF(_xlpm.result=0,"",_xlpm.result)
)</f>
        <v>854DC Green Power</v>
      </c>
      <c r="V204" s="2" t="str">
        <f>_xlfn.LET(
    _xlpm.isObject, _xlfn.XLOOKUP($Q204,'EA-Fortescue_SDExport'!A:A,'EA-Fortescue_SDExport'!B:B),
    _xlpm.lookupKey, IF(_xlpm.isObject="Object",
        _xlfn.XLOOKUP($A204,'EA-ConnectorExport'!A:A,'EA-ConnectorExport'!D:D),
        $Q204
    ),
    _xlpm.result, _xlfn.XLOOKUP(_xlpm.lookupKey,'EA-Fortescue_SDExport'!A:A,'EA-Fortescue_SDExport'!AE:AE),
    IF(_xlpm.result=0,"",_xlpm.result)
)</f>
        <v>854DC-5680 Battery Energy Storage System (BESS)</v>
      </c>
      <c r="W204" s="2" t="str">
        <f>_xlfn.LET(
    _xlpm.isObject, _xlfn.XLOOKUP($Q204,'EA-Fortescue_SDExport'!A:A,'EA-Fortescue_SDExport'!B:B),
    _xlpm.lookupKey, IF(_xlpm.isObject="Object",
        _xlfn.XLOOKUP($A204,'EA-ConnectorExport'!A:A,'EA-ConnectorExport'!D:D),
        $Q204
    ),
    _xlpm.result, _xlfn.XLOOKUP(_xlpm.lookupKey,'EA-Fortescue_SDExport'!A:A,'EA-Fortescue_SDExport'!AF:AF),
    IF(_xlpm.result=0,"",_xlpm.result)
)</f>
        <v>854DC-5680-0002 Mobile Battery Bank</v>
      </c>
      <c r="X204" s="2" t="str">
        <f>_xlfn.LET(
    _xlpm.isObject, _xlfn.XLOOKUP($Q204,'EA-Fortescue_SDExport'!A:A,'EA-Fortescue_SDExport'!B:B),
    _xlpm.lookupKey, IF(_xlpm.isObject="Object",
        _xlfn.XLOOKUP($A204,'EA-ConnectorExport'!A:A,'EA-ConnectorExport'!D:D),
        $Q204
    ),
    _xlpm.result, _xlfn.XLOOKUP(_xlpm.lookupKey,'EA-Fortescue_SDExport'!A:A,'EA-Fortescue_SDExport'!AG:AG),
    IF(_xlpm.result=0,"",_xlpm.result)
)</f>
        <v/>
      </c>
      <c r="Y204" s="2" t="str">
        <f>_xlfn.LET(
    _xlpm.status, _xlfn.XLOOKUP($A204,'EA-ConnectorExport'!$A:$A,'EA-ConnectorExport'!G:G),
    _xlpm.result, _xlfn.XLOOKUP($A204,'EA-ConnectorExport'!$A:$A,'EA-ConnectorExport'!H:H),
    IF(_xlpm.status="allocate", _xlpm.result, "")
)</f>
        <v>855DC-1543-008 Monarch</v>
      </c>
      <c r="Z204" s="2" t="str">
        <f>_xlfn.LET(
    _xlpm.isObject, _xlfn.XLOOKUP($Y204,'EA-Fortescue_SDExport'!A:A,'EA-Fortescue_SDExport'!B:B),
    _xlpm.lookupKey, IF(_xlpm.isObject="Object",
        _xlfn.XLOOKUP($A204,'EA-ConnectorExport'!A:A,'EA-ConnectorExport'!J:J),
        $Y204
    ),
    _xlpm.result, _xlfn.XLOOKUP(_xlpm.lookupKey,'EA-Fortescue_SDExport'!A:A,'EA-Fortescue_SDExport'!AA:AA),
    IF(_xlpm.result=0,"",_xlpm.result)
)</f>
        <v>Project</v>
      </c>
      <c r="AA204" s="2" t="str">
        <f>_xlfn.LET(_xlpm.result, _xlfn.XLOOKUP($Y204,'EA-Fortescue_SDExport'!$A:$A,'EA-Fortescue_SDExport'!AB:AB), IF(_xlpm.result=0,"",_xlpm.result))</f>
        <v>Energy Operations</v>
      </c>
      <c r="AB204" s="2" t="str">
        <f>_xlfn.LET(_xlpm.result, _xlfn.XLOOKUP($Y204,'EA-Fortescue_SDExport'!$A:$A,'EA-Fortescue_SDExport'!AC:AC), IF(_xlpm.result=0,"",_xlpm.result))</f>
        <v/>
      </c>
      <c r="AC204" s="2" t="str">
        <f>_xlfn.LET(
    _xlpm.isObject, _xlfn.XLOOKUP($Y204,'EA-Fortescue_SDExport'!A:A,'EA-Fortescue_SDExport'!B:B),
    _xlpm.lookupKey, IF(_xlpm.isObject="Object",
        _xlfn.XLOOKUP($A204,'EA-ConnectorExport'!A:A,'EA-ConnectorExport'!J:J),
        $Y204
    ),
    _xlpm.result, _xlfn.XLOOKUP(_xlpm.lookupKey,'EA-Fortescue_SDExport'!A:A,'EA-Fortescue_SDExport'!AD:AD),
    IF(_xlpm.result=0,"",_xlpm.result)
)</f>
        <v>855DC Decarb Green Systems</v>
      </c>
      <c r="AD204" s="2" t="str">
        <f>_xlfn.LET(
    _xlpm.isObject, _xlfn.XLOOKUP($Y204,'EA-Fortescue_SDExport'!A:A,'EA-Fortescue_SDExport'!B:B),
    _xlpm.lookupKey, IF(_xlpm.isObject="Object",
        _xlfn.XLOOKUP($A204,'EA-ConnectorExport'!A:A,'EA-ConnectorExport'!J:J),
        $Y204
    ),
    _xlpm.result, _xlfn.XLOOKUP(_xlpm.lookupKey,'EA-Fortescue_SDExport'!A:A,'EA-Fortescue_SDExport'!AE:AE),
    IF(_xlpm.result=0,"",_xlpm.result)
)</f>
        <v>855DC-1543 Existing Systems - Green Enhancement</v>
      </c>
      <c r="AE204" s="2" t="str">
        <f>_xlfn.LET(
    _xlpm.isObject, _xlfn.XLOOKUP($Y204,'EA-Fortescue_SDExport'!A:A,'EA-Fortescue_SDExport'!B:B),
    _xlpm.lookupKey, IF(_xlpm.isObject="Object",
        _xlfn.XLOOKUP($A204,'EA-ConnectorExport'!A:A,'EA-ConnectorExport'!J:J),
        $Y204
    ),
    _xlpm.result, _xlfn.XLOOKUP(_xlpm.lookupKey,'EA-Fortescue_SDExport'!A:A,'EA-Fortescue_SDExport'!AF:AF),
    IF(_xlpm.result=0,"",_xlpm.result)
)</f>
        <v>855DC-1543-008 Monarch</v>
      </c>
      <c r="AF204" s="2" t="str">
        <f>_xlfn.LET(
    _xlpm.isObject, _xlfn.XLOOKUP($Y204,'EA-Fortescue_SDExport'!A:A,'EA-Fortescue_SDExport'!B:B),
    _xlpm.lookupKey, IF(_xlpm.isObject="Object",
        _xlfn.XLOOKUP($A204,'EA-ConnectorExport'!A:A,'EA-ConnectorExport'!J:J),
        $Y204
    ),
    _xlpm.result, _xlfn.XLOOKUP(_xlpm.lookupKey,'EA-Fortescue_SDExport'!A:A,'EA-Fortescue_SDExport'!AG:AG),
    IF(_xlpm.result=0,"",_xlpm.result)
)</f>
        <v/>
      </c>
    </row>
    <row r="205" spans="1:32" ht="225" x14ac:dyDescent="0.25">
      <c r="A205" s="2" t="str">
        <v>DGS-I_0204</v>
      </c>
      <c r="B205" s="2" t="str">
        <f t="shared" si="12"/>
        <v>854DC-5690-0001 Wind Farms|855DC-1543-008 Monarch</v>
      </c>
      <c r="C205" s="2" t="str">
        <f>_xlfn.LET(_xlpm.result, _xlfn.XLOOKUP(A205,'EA-Fortescue_SDExport'!A:A,'EA-Fortescue_SDExport'!AM:AM), IF(_xlpm.result=0,"",_xlpm.result))</f>
        <v/>
      </c>
      <c r="D205" s="2" t="str">
        <f>_xlfn.LET(_xlpm.result, _xlfn.XLOOKUP(A205,'EA-Fortescue_SDExport'!A:A,'EA-Fortescue_SDExport'!AN:AN), IF(_xlpm.result=0,"",_xlpm.result))</f>
        <v/>
      </c>
      <c r="E205" s="2" t="str">
        <f>_xlfn.XLOOKUP(R205&amp;Z205,Lookups!A:A,Lookups!B:B)</f>
        <v>Project - Project Interface</v>
      </c>
      <c r="F205" s="2" t="str">
        <f>_xlfn.LET(_xlpm.result, _xlfn.XLOOKUP(A205,'EA-Fortescue_SDExport'!A:A,'EA-Fortescue_SDExport'!AP:AP), IF(_xlpm.result=0,"",_xlpm.result))</f>
        <v>Technical-Electrical</v>
      </c>
      <c r="G205" s="2" t="str">
        <f>IF(OR(AND(T205&lt;&gt;"", COUNTIF(Lookups!J:J, "*"&amp;T205&amp;"*")&gt;0), AND(AB205&lt;&gt;"", COUNTIF(Lookups!J:J, "*"&amp;AB205&amp;"*")&gt;0)), "Yes", "No")</f>
        <v>No</v>
      </c>
      <c r="H205" s="2" t="str">
        <f t="shared" si="13"/>
        <v>854DC Green Power|855DC Decarb Green Systems</v>
      </c>
      <c r="I205" s="2" t="str">
        <f t="shared" si="14"/>
        <v>854DC-5690 Energy Generation - Wind|855DC-1543 Existing Systems - Green Enhancement</v>
      </c>
      <c r="J205" s="2" t="str">
        <f t="shared" si="15"/>
        <v>854DC-5690-0001 Wind Farms|855DC-1543-008 Monarch</v>
      </c>
      <c r="K205" s="2" t="str">
        <f>_xlfn.XLOOKUP(A205,'EA-Fortescue_SDExport'!A:A,'EA-Fortescue_SDExport'!N:N)</f>
        <v>Proposed</v>
      </c>
      <c r="L205" s="2" t="str">
        <f>_xlfn.LET(_xlpm.result, _xlfn.XLOOKUP($A205,'EA-Fortescue_SDExport'!$A:$A,'EA-Fortescue_SDExport'!AQ:AQ), IF(_xlpm.result=0,"",_xlpm.result))</f>
        <v>This interface links wind generation assets with Monarch, providing real-time generation output, turbine status, and availability.</v>
      </c>
      <c r="M205" s="2" t="str">
        <f>_xlfn.LET(_xlpm.result, _xlfn.XLOOKUP($A205,'EA-Fortescue_SDExport'!$A:$A,'EA-Fortescue_SDExport'!AR:AR), IF(_xlpm.result=0,"",_xlpm.result))</f>
        <v>MEDIUM</v>
      </c>
      <c r="N205" s="2" t="str">
        <f>_xlfn.LET(_xlpm.result, _xlfn.XLOOKUP($A205,'EA-Fortescue_SDExport'!$A:$A,'EA-Fortescue_SDExport'!AW:AW), IF(_xlpm.result=0,"",_xlpm.result))</f>
        <v>The criticality level is MEDIUM because, although wind significantly contributes to renewable energy supply, its inherent variability means the grid is designed to operate without it temporarily. Failure may affect efficiency, but other sources can typically cover the gap.</v>
      </c>
      <c r="O205" s="2" t="str">
        <f>_xlfn.LET(_xlpm.result, _xlfn.XLOOKUP($A205,'EA-Fortescue_SDExport'!$A:$A,'EA-Fortescue_SDExport'!AV:AV), IF(_xlpm.result=0,"",_xlpm.result))</f>
        <v>Data Flow: Wind Farms -&gt; Monarch (real-time generation output, turbine status, availability, wind conditions, alarms, performance metrics) for monitoring and system coordination._x000D_
Control Flow (where applicable): Monarch -&gt; Wind Farms (curtailment commands, generation setpoints, operational constraints) to support grid balancing and stability.</v>
      </c>
      <c r="P205" s="2" t="str">
        <f>_xlfn.LET(_xlpm.result, _xlfn.XLOOKUP($A205,'EA-Fortescue_SDExport'!$A:$A,'EA-Fortescue_SDExport'!D:D), IF(_xlpm.result=0,"",_xlpm.result))</f>
        <v>NH 20/02/2026: Fields updated: Interface Type, Interface Flow.</v>
      </c>
      <c r="Q205" s="2" t="str">
        <f>_xlfn.LET(
    _xlpm.status, _xlfn.XLOOKUP($A205,'EA-ConnectorExport'!$A:$A,'EA-ConnectorExport'!G:G),
    _xlpm.result, _xlfn.XLOOKUP($A205,'EA-ConnectorExport'!$A:$A,'EA-ConnectorExport'!B:B),
    IF(_xlpm.status="allocate", _xlpm.result, "")
)</f>
        <v>854DC-5690-0001 Wind Farms</v>
      </c>
      <c r="R205" s="2" t="str">
        <f>IF(
    _xlfn.XLOOKUP($Q205,'EA-Fortescue_SDExport'!A:A,'EA-Fortescue_SDExport'!B:B)="Object",
    _xlfn.XLOOKUP(
        _xlfn.XLOOKUP($A205,'EA-ConnectorExport'!A:A,'EA-ConnectorExport'!D:D),
        'EA-Fortescue_SDExport'!A:A,
        'EA-Fortescue_SDExport'!AA:AA
    ),
    _xlfn.XLOOKUP($Q205,'EA-Fortescue_SDExport'!A:A,'EA-Fortescue_SDExport'!AA:AA)
)</f>
        <v>Project</v>
      </c>
      <c r="S205" s="2" t="str">
        <f>_xlfn.LET(_xlpm.result, _xlfn.XLOOKUP($Q205,'EA-Fortescue_SDExport'!$A:$A,'EA-Fortescue_SDExport'!AB:AB), IF(_xlpm.result=0,"",_xlpm.result))</f>
        <v/>
      </c>
      <c r="T205" s="2" t="str">
        <f>_xlfn.LET(_xlpm.result, _xlfn.XLOOKUP($Q205,'EA-Fortescue_SDExport'!$A:$A,'EA-Fortescue_SDExport'!AC:AC), IF(_xlpm.result=0,"",_xlpm.result))</f>
        <v>Generic Physical Asset</v>
      </c>
      <c r="U205" s="2" t="str">
        <f>_xlfn.LET(
    _xlpm.isObject, _xlfn.XLOOKUP($Q205,'EA-Fortescue_SDExport'!A:A,'EA-Fortescue_SDExport'!B:B),
    _xlpm.lookupKey, IF(_xlpm.isObject="Object",
        _xlfn.XLOOKUP($A205,'EA-ConnectorExport'!A:A,'EA-ConnectorExport'!D:D),
        $Q205
    ),
    _xlpm.result, _xlfn.XLOOKUP(_xlpm.lookupKey,'EA-Fortescue_SDExport'!A:A,'EA-Fortescue_SDExport'!AD:AD),
    IF(_xlpm.result=0,"",_xlpm.result)
)</f>
        <v>854DC Green Power</v>
      </c>
      <c r="V205" s="2" t="str">
        <f>_xlfn.LET(
    _xlpm.isObject, _xlfn.XLOOKUP($Q205,'EA-Fortescue_SDExport'!A:A,'EA-Fortescue_SDExport'!B:B),
    _xlpm.lookupKey, IF(_xlpm.isObject="Object",
        _xlfn.XLOOKUP($A205,'EA-ConnectorExport'!A:A,'EA-ConnectorExport'!D:D),
        $Q205
    ),
    _xlpm.result, _xlfn.XLOOKUP(_xlpm.lookupKey,'EA-Fortescue_SDExport'!A:A,'EA-Fortescue_SDExport'!AE:AE),
    IF(_xlpm.result=0,"",_xlpm.result)
)</f>
        <v>854DC-5690 Energy Generation - Wind</v>
      </c>
      <c r="W205" s="2" t="str">
        <f>_xlfn.LET(
    _xlpm.isObject, _xlfn.XLOOKUP($Q205,'EA-Fortescue_SDExport'!A:A,'EA-Fortescue_SDExport'!B:B),
    _xlpm.lookupKey, IF(_xlpm.isObject="Object",
        _xlfn.XLOOKUP($A205,'EA-ConnectorExport'!A:A,'EA-ConnectorExport'!D:D),
        $Q205
    ),
    _xlpm.result, _xlfn.XLOOKUP(_xlpm.lookupKey,'EA-Fortescue_SDExport'!A:A,'EA-Fortescue_SDExport'!AF:AF),
    IF(_xlpm.result=0,"",_xlpm.result)
)</f>
        <v>854DC-5690-0001 Wind Farms</v>
      </c>
      <c r="X205" s="2" t="str">
        <f>_xlfn.LET(
    _xlpm.isObject, _xlfn.XLOOKUP($Q205,'EA-Fortescue_SDExport'!A:A,'EA-Fortescue_SDExport'!B:B),
    _xlpm.lookupKey, IF(_xlpm.isObject="Object",
        _xlfn.XLOOKUP($A205,'EA-ConnectorExport'!A:A,'EA-ConnectorExport'!D:D),
        $Q205
    ),
    _xlpm.result, _xlfn.XLOOKUP(_xlpm.lookupKey,'EA-Fortescue_SDExport'!A:A,'EA-Fortescue_SDExport'!AG:AG),
    IF(_xlpm.result=0,"",_xlpm.result)
)</f>
        <v/>
      </c>
      <c r="Y205" s="2" t="str">
        <f>_xlfn.LET(
    _xlpm.status, _xlfn.XLOOKUP($A205,'EA-ConnectorExport'!$A:$A,'EA-ConnectorExport'!G:G),
    _xlpm.result, _xlfn.XLOOKUP($A205,'EA-ConnectorExport'!$A:$A,'EA-ConnectorExport'!H:H),
    IF(_xlpm.status="allocate", _xlpm.result, "")
)</f>
        <v>855DC-1543-008 Monarch</v>
      </c>
      <c r="Z205" s="2" t="str">
        <f>_xlfn.LET(
    _xlpm.isObject, _xlfn.XLOOKUP($Y205,'EA-Fortescue_SDExport'!A:A,'EA-Fortescue_SDExport'!B:B),
    _xlpm.lookupKey, IF(_xlpm.isObject="Object",
        _xlfn.XLOOKUP($A205,'EA-ConnectorExport'!A:A,'EA-ConnectorExport'!J:J),
        $Y205
    ),
    _xlpm.result, _xlfn.XLOOKUP(_xlpm.lookupKey,'EA-Fortescue_SDExport'!A:A,'EA-Fortescue_SDExport'!AA:AA),
    IF(_xlpm.result=0,"",_xlpm.result)
)</f>
        <v>Project</v>
      </c>
      <c r="AA205" s="2" t="str">
        <f>_xlfn.LET(_xlpm.result, _xlfn.XLOOKUP($Y205,'EA-Fortescue_SDExport'!$A:$A,'EA-Fortescue_SDExport'!AB:AB), IF(_xlpm.result=0,"",_xlpm.result))</f>
        <v>Energy Operations</v>
      </c>
      <c r="AB205" s="2" t="str">
        <f>_xlfn.LET(_xlpm.result, _xlfn.XLOOKUP($Y205,'EA-Fortescue_SDExport'!$A:$A,'EA-Fortescue_SDExport'!AC:AC), IF(_xlpm.result=0,"",_xlpm.result))</f>
        <v/>
      </c>
      <c r="AC205" s="2" t="str">
        <f>_xlfn.LET(
    _xlpm.isObject, _xlfn.XLOOKUP($Y205,'EA-Fortescue_SDExport'!A:A,'EA-Fortescue_SDExport'!B:B),
    _xlpm.lookupKey, IF(_xlpm.isObject="Object",
        _xlfn.XLOOKUP($A205,'EA-ConnectorExport'!A:A,'EA-ConnectorExport'!J:J),
        $Y205
    ),
    _xlpm.result, _xlfn.XLOOKUP(_xlpm.lookupKey,'EA-Fortescue_SDExport'!A:A,'EA-Fortescue_SDExport'!AD:AD),
    IF(_xlpm.result=0,"",_xlpm.result)
)</f>
        <v>855DC Decarb Green Systems</v>
      </c>
      <c r="AD205" s="2" t="str">
        <f>_xlfn.LET(
    _xlpm.isObject, _xlfn.XLOOKUP($Y205,'EA-Fortescue_SDExport'!A:A,'EA-Fortescue_SDExport'!B:B),
    _xlpm.lookupKey, IF(_xlpm.isObject="Object",
        _xlfn.XLOOKUP($A205,'EA-ConnectorExport'!A:A,'EA-ConnectorExport'!J:J),
        $Y205
    ),
    _xlpm.result, _xlfn.XLOOKUP(_xlpm.lookupKey,'EA-Fortescue_SDExport'!A:A,'EA-Fortescue_SDExport'!AE:AE),
    IF(_xlpm.result=0,"",_xlpm.result)
)</f>
        <v>855DC-1543 Existing Systems - Green Enhancement</v>
      </c>
      <c r="AE205" s="2" t="str">
        <f>_xlfn.LET(
    _xlpm.isObject, _xlfn.XLOOKUP($Y205,'EA-Fortescue_SDExport'!A:A,'EA-Fortescue_SDExport'!B:B),
    _xlpm.lookupKey, IF(_xlpm.isObject="Object",
        _xlfn.XLOOKUP($A205,'EA-ConnectorExport'!A:A,'EA-ConnectorExport'!J:J),
        $Y205
    ),
    _xlpm.result, _xlfn.XLOOKUP(_xlpm.lookupKey,'EA-Fortescue_SDExport'!A:A,'EA-Fortescue_SDExport'!AF:AF),
    IF(_xlpm.result=0,"",_xlpm.result)
)</f>
        <v>855DC-1543-008 Monarch</v>
      </c>
      <c r="AF205" s="2" t="str">
        <f>_xlfn.LET(
    _xlpm.isObject, _xlfn.XLOOKUP($Y205,'EA-Fortescue_SDExport'!A:A,'EA-Fortescue_SDExport'!B:B),
    _xlpm.lookupKey, IF(_xlpm.isObject="Object",
        _xlfn.XLOOKUP($A205,'EA-ConnectorExport'!A:A,'EA-ConnectorExport'!J:J),
        $Y205
    ),
    _xlpm.result, _xlfn.XLOOKUP(_xlpm.lookupKey,'EA-Fortescue_SDExport'!A:A,'EA-Fortescue_SDExport'!AG:AG),
    IF(_xlpm.result=0,"",_xlpm.result)
)</f>
        <v/>
      </c>
    </row>
    <row r="206" spans="1:32" ht="270" x14ac:dyDescent="0.25">
      <c r="A206" s="2" t="str">
        <v>DGS-I_0205</v>
      </c>
      <c r="B206" s="2" t="str">
        <f t="shared" si="12"/>
        <v>854DC-5670-0001 Solar Photovoltaic (PV) Farms|855DC-1543-008 Monarch</v>
      </c>
      <c r="C206" s="2" t="str">
        <f>_xlfn.LET(_xlpm.result, _xlfn.XLOOKUP(A206,'EA-Fortescue_SDExport'!A:A,'EA-Fortescue_SDExport'!AM:AM), IF(_xlpm.result=0,"",_xlpm.result))</f>
        <v/>
      </c>
      <c r="D206" s="2" t="str">
        <f>_xlfn.LET(_xlpm.result, _xlfn.XLOOKUP(A206,'EA-Fortescue_SDExport'!A:A,'EA-Fortescue_SDExport'!AN:AN), IF(_xlpm.result=0,"",_xlpm.result))</f>
        <v/>
      </c>
      <c r="E206" s="2" t="str">
        <f>_xlfn.XLOOKUP(R206&amp;Z206,Lookups!A:A,Lookups!B:B)</f>
        <v>Project - Project Interface</v>
      </c>
      <c r="F206" s="2" t="str">
        <f>_xlfn.LET(_xlpm.result, _xlfn.XLOOKUP(A206,'EA-Fortescue_SDExport'!A:A,'EA-Fortescue_SDExport'!AP:AP), IF(_xlpm.result=0,"",_xlpm.result))</f>
        <v>Technical-Electrical</v>
      </c>
      <c r="G206" s="2" t="str">
        <f>IF(OR(AND(T206&lt;&gt;"", COUNTIF(Lookups!J:J, "*"&amp;T206&amp;"*")&gt;0), AND(AB206&lt;&gt;"", COUNTIF(Lookups!J:J, "*"&amp;AB206&amp;"*")&gt;0)), "Yes", "No")</f>
        <v>No</v>
      </c>
      <c r="H206" s="2" t="str">
        <f t="shared" si="13"/>
        <v>854DC Green Power|855DC Decarb Green Systems</v>
      </c>
      <c r="I206" s="2" t="str">
        <f t="shared" si="14"/>
        <v>854DC-5670 Energy Generation - Solar|855DC-1543 Existing Systems - Green Enhancement</v>
      </c>
      <c r="J206" s="2" t="str">
        <f t="shared" si="15"/>
        <v>854DC-5670-0001 Solar Photovoltaic (PV) Farms|855DC-1543-008 Monarch</v>
      </c>
      <c r="K206" s="2" t="str">
        <f>_xlfn.XLOOKUP(A206,'EA-Fortescue_SDExport'!A:A,'EA-Fortescue_SDExport'!N:N)</f>
        <v>Proposed</v>
      </c>
      <c r="L206" s="2" t="str">
        <f>_xlfn.LET(_xlpm.result, _xlfn.XLOOKUP($A206,'EA-Fortescue_SDExport'!$A:$A,'EA-Fortescue_SDExport'!AQ:AQ), IF(_xlpm.result=0,"",_xlpm.result))</f>
        <v>This interface provides Monarch with visibility and performance data from solar PV assets.</v>
      </c>
      <c r="M206" s="2" t="str">
        <f>_xlfn.LET(_xlpm.result, _xlfn.XLOOKUP($A206,'EA-Fortescue_SDExport'!$A:$A,'EA-Fortescue_SDExport'!AR:AR), IF(_xlpm.result=0,"",_xlpm.result))</f>
        <v>MEDIUM</v>
      </c>
      <c r="N206" s="2" t="str">
        <f>_xlfn.LET(_xlpm.result, _xlfn.XLOOKUP($A206,'EA-Fortescue_SDExport'!$A:$A,'EA-Fortescue_SDExport'!AW:AW), IF(_xlpm.result=0,"",_xlpm.result))</f>
        <v>The criticality level is MEDIUM because the system can operate temporarily without solar input. However, a loss of visibility may decrease energy optimisation quality and result in higher operational costs or increased load on thermal generation, affecting planning accuracy and renewable utilisation, but not immediately threatening the power system.</v>
      </c>
      <c r="O206" s="2" t="str">
        <f>_xlfn.LET(_xlpm.result, _xlfn.XLOOKUP($A206,'EA-Fortescue_SDExport'!$A:$A,'EA-Fortescue_SDExport'!AV:AV), IF(_xlpm.result=0,"",_xlpm.result))</f>
        <v>Data Flow: Solar PV Farms -&gt; Monarch (real-time generation output, inverter status, availability, irradiance data, alarms, performance metrics) for monitoring and optimisation._x000D_
Control Flow (where applicable): Monarch -&gt; Solar PV Farms (curtailment commands, generation setpoints, operational constraints) to support load balancing and network stability.</v>
      </c>
      <c r="P206" s="2" t="str">
        <f>_xlfn.LET(_xlpm.result, _xlfn.XLOOKUP($A206,'EA-Fortescue_SDExport'!$A:$A,'EA-Fortescue_SDExport'!D:D), IF(_xlpm.result=0,"",_xlpm.result))</f>
        <v>NH 20/02/2026: Fields updated: Interface Type, Interface Flow.</v>
      </c>
      <c r="Q206" s="2" t="str">
        <f>_xlfn.LET(
    _xlpm.status, _xlfn.XLOOKUP($A206,'EA-ConnectorExport'!$A:$A,'EA-ConnectorExport'!G:G),
    _xlpm.result, _xlfn.XLOOKUP($A206,'EA-ConnectorExport'!$A:$A,'EA-ConnectorExport'!B:B),
    IF(_xlpm.status="allocate", _xlpm.result, "")
)</f>
        <v>854DC-5670-0001 Solar Photovoltaic (PV) Farms</v>
      </c>
      <c r="R206" s="2" t="str">
        <f>IF(
    _xlfn.XLOOKUP($Q206,'EA-Fortescue_SDExport'!A:A,'EA-Fortescue_SDExport'!B:B)="Object",
    _xlfn.XLOOKUP(
        _xlfn.XLOOKUP($A206,'EA-ConnectorExport'!A:A,'EA-ConnectorExport'!D:D),
        'EA-Fortescue_SDExport'!A:A,
        'EA-Fortescue_SDExport'!AA:AA
    ),
    _xlfn.XLOOKUP($Q206,'EA-Fortescue_SDExport'!A:A,'EA-Fortescue_SDExport'!AA:AA)
)</f>
        <v>Project</v>
      </c>
      <c r="S206" s="2" t="str">
        <f>_xlfn.LET(_xlpm.result, _xlfn.XLOOKUP($Q206,'EA-Fortescue_SDExport'!$A:$A,'EA-Fortescue_SDExport'!AB:AB), IF(_xlpm.result=0,"",_xlpm.result))</f>
        <v/>
      </c>
      <c r="T206" s="2" t="str">
        <f>_xlfn.LET(_xlpm.result, _xlfn.XLOOKUP($Q206,'EA-Fortescue_SDExport'!$A:$A,'EA-Fortescue_SDExport'!AC:AC), IF(_xlpm.result=0,"",_xlpm.result))</f>
        <v>Generic Physical Asset</v>
      </c>
      <c r="U206" s="2" t="str">
        <f>_xlfn.LET(
    _xlpm.isObject, _xlfn.XLOOKUP($Q206,'EA-Fortescue_SDExport'!A:A,'EA-Fortescue_SDExport'!B:B),
    _xlpm.lookupKey, IF(_xlpm.isObject="Object",
        _xlfn.XLOOKUP($A206,'EA-ConnectorExport'!A:A,'EA-ConnectorExport'!D:D),
        $Q206
    ),
    _xlpm.result, _xlfn.XLOOKUP(_xlpm.lookupKey,'EA-Fortescue_SDExport'!A:A,'EA-Fortescue_SDExport'!AD:AD),
    IF(_xlpm.result=0,"",_xlpm.result)
)</f>
        <v>854DC Green Power</v>
      </c>
      <c r="V206" s="2" t="str">
        <f>_xlfn.LET(
    _xlpm.isObject, _xlfn.XLOOKUP($Q206,'EA-Fortescue_SDExport'!A:A,'EA-Fortescue_SDExport'!B:B),
    _xlpm.lookupKey, IF(_xlpm.isObject="Object",
        _xlfn.XLOOKUP($A206,'EA-ConnectorExport'!A:A,'EA-ConnectorExport'!D:D),
        $Q206
    ),
    _xlpm.result, _xlfn.XLOOKUP(_xlpm.lookupKey,'EA-Fortescue_SDExport'!A:A,'EA-Fortescue_SDExport'!AE:AE),
    IF(_xlpm.result=0,"",_xlpm.result)
)</f>
        <v>854DC-5670 Energy Generation - Solar</v>
      </c>
      <c r="W206" s="2" t="str">
        <f>_xlfn.LET(
    _xlpm.isObject, _xlfn.XLOOKUP($Q206,'EA-Fortescue_SDExport'!A:A,'EA-Fortescue_SDExport'!B:B),
    _xlpm.lookupKey, IF(_xlpm.isObject="Object",
        _xlfn.XLOOKUP($A206,'EA-ConnectorExport'!A:A,'EA-ConnectorExport'!D:D),
        $Q206
    ),
    _xlpm.result, _xlfn.XLOOKUP(_xlpm.lookupKey,'EA-Fortescue_SDExport'!A:A,'EA-Fortescue_SDExport'!AF:AF),
    IF(_xlpm.result=0,"",_xlpm.result)
)</f>
        <v>854DC-5670-0001 Solar Photovoltaic (PV) Farms</v>
      </c>
      <c r="X206" s="2" t="str">
        <f>_xlfn.LET(
    _xlpm.isObject, _xlfn.XLOOKUP($Q206,'EA-Fortescue_SDExport'!A:A,'EA-Fortescue_SDExport'!B:B),
    _xlpm.lookupKey, IF(_xlpm.isObject="Object",
        _xlfn.XLOOKUP($A206,'EA-ConnectorExport'!A:A,'EA-ConnectorExport'!D:D),
        $Q206
    ),
    _xlpm.result, _xlfn.XLOOKUP(_xlpm.lookupKey,'EA-Fortescue_SDExport'!A:A,'EA-Fortescue_SDExport'!AG:AG),
    IF(_xlpm.result=0,"",_xlpm.result)
)</f>
        <v/>
      </c>
      <c r="Y206" s="2" t="str">
        <f>_xlfn.LET(
    _xlpm.status, _xlfn.XLOOKUP($A206,'EA-ConnectorExport'!$A:$A,'EA-ConnectorExport'!G:G),
    _xlpm.result, _xlfn.XLOOKUP($A206,'EA-ConnectorExport'!$A:$A,'EA-ConnectorExport'!H:H),
    IF(_xlpm.status="allocate", _xlpm.result, "")
)</f>
        <v>855DC-1543-008 Monarch</v>
      </c>
      <c r="Z206" s="2" t="str">
        <f>_xlfn.LET(
    _xlpm.isObject, _xlfn.XLOOKUP($Y206,'EA-Fortescue_SDExport'!A:A,'EA-Fortescue_SDExport'!B:B),
    _xlpm.lookupKey, IF(_xlpm.isObject="Object",
        _xlfn.XLOOKUP($A206,'EA-ConnectorExport'!A:A,'EA-ConnectorExport'!J:J),
        $Y206
    ),
    _xlpm.result, _xlfn.XLOOKUP(_xlpm.lookupKey,'EA-Fortescue_SDExport'!A:A,'EA-Fortescue_SDExport'!AA:AA),
    IF(_xlpm.result=0,"",_xlpm.result)
)</f>
        <v>Project</v>
      </c>
      <c r="AA206" s="2" t="str">
        <f>_xlfn.LET(_xlpm.result, _xlfn.XLOOKUP($Y206,'EA-Fortescue_SDExport'!$A:$A,'EA-Fortescue_SDExport'!AB:AB), IF(_xlpm.result=0,"",_xlpm.result))</f>
        <v>Energy Operations</v>
      </c>
      <c r="AB206" s="2" t="str">
        <f>_xlfn.LET(_xlpm.result, _xlfn.XLOOKUP($Y206,'EA-Fortescue_SDExport'!$A:$A,'EA-Fortescue_SDExport'!AC:AC), IF(_xlpm.result=0,"",_xlpm.result))</f>
        <v/>
      </c>
      <c r="AC206" s="2" t="str">
        <f>_xlfn.LET(
    _xlpm.isObject, _xlfn.XLOOKUP($Y206,'EA-Fortescue_SDExport'!A:A,'EA-Fortescue_SDExport'!B:B),
    _xlpm.lookupKey, IF(_xlpm.isObject="Object",
        _xlfn.XLOOKUP($A206,'EA-ConnectorExport'!A:A,'EA-ConnectorExport'!J:J),
        $Y206
    ),
    _xlpm.result, _xlfn.XLOOKUP(_xlpm.lookupKey,'EA-Fortescue_SDExport'!A:A,'EA-Fortescue_SDExport'!AD:AD),
    IF(_xlpm.result=0,"",_xlpm.result)
)</f>
        <v>855DC Decarb Green Systems</v>
      </c>
      <c r="AD206" s="2" t="str">
        <f>_xlfn.LET(
    _xlpm.isObject, _xlfn.XLOOKUP($Y206,'EA-Fortescue_SDExport'!A:A,'EA-Fortescue_SDExport'!B:B),
    _xlpm.lookupKey, IF(_xlpm.isObject="Object",
        _xlfn.XLOOKUP($A206,'EA-ConnectorExport'!A:A,'EA-ConnectorExport'!J:J),
        $Y206
    ),
    _xlpm.result, _xlfn.XLOOKUP(_xlpm.lookupKey,'EA-Fortescue_SDExport'!A:A,'EA-Fortescue_SDExport'!AE:AE),
    IF(_xlpm.result=0,"",_xlpm.result)
)</f>
        <v>855DC-1543 Existing Systems - Green Enhancement</v>
      </c>
      <c r="AE206" s="2" t="str">
        <f>_xlfn.LET(
    _xlpm.isObject, _xlfn.XLOOKUP($Y206,'EA-Fortescue_SDExport'!A:A,'EA-Fortescue_SDExport'!B:B),
    _xlpm.lookupKey, IF(_xlpm.isObject="Object",
        _xlfn.XLOOKUP($A206,'EA-ConnectorExport'!A:A,'EA-ConnectorExport'!J:J),
        $Y206
    ),
    _xlpm.result, _xlfn.XLOOKUP(_xlpm.lookupKey,'EA-Fortescue_SDExport'!A:A,'EA-Fortescue_SDExport'!AF:AF),
    IF(_xlpm.result=0,"",_xlpm.result)
)</f>
        <v>855DC-1543-008 Monarch</v>
      </c>
      <c r="AF206" s="2" t="str">
        <f>_xlfn.LET(
    _xlpm.isObject, _xlfn.XLOOKUP($Y206,'EA-Fortescue_SDExport'!A:A,'EA-Fortescue_SDExport'!B:B),
    _xlpm.lookupKey, IF(_xlpm.isObject="Object",
        _xlfn.XLOOKUP($A206,'EA-ConnectorExport'!A:A,'EA-ConnectorExport'!J:J),
        $Y206
    ),
    _xlpm.result, _xlfn.XLOOKUP(_xlpm.lookupKey,'EA-Fortescue_SDExport'!A:A,'EA-Fortescue_SDExport'!AG:AG),
    IF(_xlpm.result=0,"",_xlpm.result)
)</f>
        <v/>
      </c>
    </row>
    <row r="207" spans="1:32" ht="240" x14ac:dyDescent="0.25">
      <c r="A207" s="2" t="str">
        <v>DGS-I_0206</v>
      </c>
      <c r="B207" s="2" t="str">
        <f t="shared" si="12"/>
        <v>854DC-1521-0006 Substation (11kV)|855DC-1543-008 Monarch</v>
      </c>
      <c r="C207" s="2" t="str">
        <f>_xlfn.LET(_xlpm.result, _xlfn.XLOOKUP(A207,'EA-Fortescue_SDExport'!A:A,'EA-Fortescue_SDExport'!AM:AM), IF(_xlpm.result=0,"",_xlpm.result))</f>
        <v/>
      </c>
      <c r="D207" s="2" t="str">
        <f>_xlfn.LET(_xlpm.result, _xlfn.XLOOKUP(A207,'EA-Fortescue_SDExport'!A:A,'EA-Fortescue_SDExport'!AN:AN), IF(_xlpm.result=0,"",_xlpm.result))</f>
        <v/>
      </c>
      <c r="E207" s="2" t="str">
        <f>_xlfn.XLOOKUP(R207&amp;Z207,Lookups!A:A,Lookups!B:B)</f>
        <v>Project - Project Interface</v>
      </c>
      <c r="F207" s="2" t="str">
        <f>_xlfn.LET(_xlpm.result, _xlfn.XLOOKUP(A207,'EA-Fortescue_SDExport'!A:A,'EA-Fortescue_SDExport'!AP:AP), IF(_xlpm.result=0,"",_xlpm.result))</f>
        <v>Technical-Electrical</v>
      </c>
      <c r="G207" s="2" t="str">
        <f>IF(OR(AND(T207&lt;&gt;"", COUNTIF(Lookups!J:J, "*"&amp;T207&amp;"*")&gt;0), AND(AB207&lt;&gt;"", COUNTIF(Lookups!J:J, "*"&amp;AB207&amp;"*")&gt;0)), "Yes", "No")</f>
        <v>No</v>
      </c>
      <c r="H207" s="2" t="str">
        <f t="shared" si="13"/>
        <v>854DC Green Power|855DC Decarb Green Systems</v>
      </c>
      <c r="I207" s="2" t="str">
        <f t="shared" si="14"/>
        <v>854DC-1521 HV Substations|855DC-1543 Existing Systems - Green Enhancement</v>
      </c>
      <c r="J207" s="2" t="str">
        <f t="shared" si="15"/>
        <v>854DC-1521-0006 Substation (11kV)|855DC-1543-008 Monarch</v>
      </c>
      <c r="K207" s="2" t="str">
        <f>_xlfn.XLOOKUP(A207,'EA-Fortescue_SDExport'!A:A,'EA-Fortescue_SDExport'!N:N)</f>
        <v>Proposed</v>
      </c>
      <c r="L207" s="2" t="str">
        <f>_xlfn.LET(_xlpm.result, _xlfn.XLOOKUP($A207,'EA-Fortescue_SDExport'!$A:$A,'EA-Fortescue_SDExport'!AQ:AQ), IF(_xlpm.result=0,"",_xlpm.result))</f>
        <v>This interface allows Monarch to monitor and receive status updates from an 11kV substation, enabling safe and coordinated distribution of electrical power at the low end of the HV network.</v>
      </c>
      <c r="M207" s="2" t="str">
        <f>_xlfn.LET(_xlpm.result, _xlfn.XLOOKUP($A207,'EA-Fortescue_SDExport'!$A:$A,'EA-Fortescue_SDExport'!AR:AR), IF(_xlpm.result=0,"",_xlpm.result))</f>
        <v>HIGH</v>
      </c>
      <c r="N207" s="2" t="str">
        <f>_xlfn.LET(_xlpm.result, _xlfn.XLOOKUP($A207,'EA-Fortescue_SDExport'!$A:$A,'EA-Fortescue_SDExport'!AW:AW), IF(_xlpm.result=0,"",_xlpm.result))</f>
        <v>The criticality level is HIGH because loss of visibility or incorrect data from a substation can impact localised power distribution, disrupt operations, or hinder rapid fault isolation. Substations are vital assets, and communication failures may cause operational downtime or electrical safety issues.</v>
      </c>
      <c r="O207" s="2" t="str">
        <f>_xlfn.LET(_xlpm.result, _xlfn.XLOOKUP($A207,'EA-Fortescue_SDExport'!$A:$A,'EA-Fortescue_SDExport'!AV:AV), IF(_xlpm.result=0,"",_xlpm.result))</f>
        <v>Data Flow: 11 kV Substation -&gt; Monarch (breaker status, feeder status, transformer status, voltage/current measurements, power flows, protection relay indications, alarms, fault events) for real-time monitoring and coordinated distribution control._x000D_
Control Flow: Monarch -&gt; 11 kV Substation (remote switching commands, open/close breaker instructions, load transfer commands, reset signals) to enable safe isolation and local network reconfiguration.</v>
      </c>
      <c r="P207" s="2" t="str">
        <f>_xlfn.LET(_xlpm.result, _xlfn.XLOOKUP($A207,'EA-Fortescue_SDExport'!$A:$A,'EA-Fortescue_SDExport'!D:D), IF(_xlpm.result=0,"",_xlpm.result))</f>
        <v>NH 20/02/2026: Fields updated: Interface Type, Interface Flow.</v>
      </c>
      <c r="Q207" s="2" t="str">
        <f>_xlfn.LET(
    _xlpm.status, _xlfn.XLOOKUP($A207,'EA-ConnectorExport'!$A:$A,'EA-ConnectorExport'!G:G),
    _xlpm.result, _xlfn.XLOOKUP($A207,'EA-ConnectorExport'!$A:$A,'EA-ConnectorExport'!B:B),
    IF(_xlpm.status="allocate", _xlpm.result, "")
)</f>
        <v>854DC-1521-0006 Substation (11kV)</v>
      </c>
      <c r="R207" s="2" t="str">
        <f>IF(
    _xlfn.XLOOKUP($Q207,'EA-Fortescue_SDExport'!A:A,'EA-Fortescue_SDExport'!B:B)="Object",
    _xlfn.XLOOKUP(
        _xlfn.XLOOKUP($A207,'EA-ConnectorExport'!A:A,'EA-ConnectorExport'!D:D),
        'EA-Fortescue_SDExport'!A:A,
        'EA-Fortescue_SDExport'!AA:AA
    ),
    _xlfn.XLOOKUP($Q207,'EA-Fortescue_SDExport'!A:A,'EA-Fortescue_SDExport'!AA:AA)
)</f>
        <v>Project</v>
      </c>
      <c r="S207" s="2" t="str">
        <f>_xlfn.LET(_xlpm.result, _xlfn.XLOOKUP($Q207,'EA-Fortescue_SDExport'!$A:$A,'EA-Fortescue_SDExport'!AB:AB), IF(_xlpm.result=0,"",_xlpm.result))</f>
        <v/>
      </c>
      <c r="T207" s="2" t="str">
        <f>_xlfn.LET(_xlpm.result, _xlfn.XLOOKUP($Q207,'EA-Fortescue_SDExport'!$A:$A,'EA-Fortescue_SDExport'!AC:AC), IF(_xlpm.result=0,"",_xlpm.result))</f>
        <v>Generic Physical Asset</v>
      </c>
      <c r="U207" s="2" t="str">
        <f>_xlfn.LET(
    _xlpm.isObject, _xlfn.XLOOKUP($Q207,'EA-Fortescue_SDExport'!A:A,'EA-Fortescue_SDExport'!B:B),
    _xlpm.lookupKey, IF(_xlpm.isObject="Object",
        _xlfn.XLOOKUP($A207,'EA-ConnectorExport'!A:A,'EA-ConnectorExport'!D:D),
        $Q207
    ),
    _xlpm.result, _xlfn.XLOOKUP(_xlpm.lookupKey,'EA-Fortescue_SDExport'!A:A,'EA-Fortescue_SDExport'!AD:AD),
    IF(_xlpm.result=0,"",_xlpm.result)
)</f>
        <v>854DC Green Power</v>
      </c>
      <c r="V207" s="2" t="str">
        <f>_xlfn.LET(
    _xlpm.isObject, _xlfn.XLOOKUP($Q207,'EA-Fortescue_SDExport'!A:A,'EA-Fortescue_SDExport'!B:B),
    _xlpm.lookupKey, IF(_xlpm.isObject="Object",
        _xlfn.XLOOKUP($A207,'EA-ConnectorExport'!A:A,'EA-ConnectorExport'!D:D),
        $Q207
    ),
    _xlpm.result, _xlfn.XLOOKUP(_xlpm.lookupKey,'EA-Fortescue_SDExport'!A:A,'EA-Fortescue_SDExport'!AE:AE),
    IF(_xlpm.result=0,"",_xlpm.result)
)</f>
        <v>854DC-1521 HV Substations</v>
      </c>
      <c r="W207" s="2" t="str">
        <f>_xlfn.LET(
    _xlpm.isObject, _xlfn.XLOOKUP($Q207,'EA-Fortescue_SDExport'!A:A,'EA-Fortescue_SDExport'!B:B),
    _xlpm.lookupKey, IF(_xlpm.isObject="Object",
        _xlfn.XLOOKUP($A207,'EA-ConnectorExport'!A:A,'EA-ConnectorExport'!D:D),
        $Q207
    ),
    _xlpm.result, _xlfn.XLOOKUP(_xlpm.lookupKey,'EA-Fortescue_SDExport'!A:A,'EA-Fortescue_SDExport'!AF:AF),
    IF(_xlpm.result=0,"",_xlpm.result)
)</f>
        <v>854DC-1521-0006 Substation (11kV)</v>
      </c>
      <c r="X207" s="2" t="str">
        <f>_xlfn.LET(
    _xlpm.isObject, _xlfn.XLOOKUP($Q207,'EA-Fortescue_SDExport'!A:A,'EA-Fortescue_SDExport'!B:B),
    _xlpm.lookupKey, IF(_xlpm.isObject="Object",
        _xlfn.XLOOKUP($A207,'EA-ConnectorExport'!A:A,'EA-ConnectorExport'!D:D),
        $Q207
    ),
    _xlpm.result, _xlfn.XLOOKUP(_xlpm.lookupKey,'EA-Fortescue_SDExport'!A:A,'EA-Fortescue_SDExport'!AG:AG),
    IF(_xlpm.result=0,"",_xlpm.result)
)</f>
        <v/>
      </c>
      <c r="Y207" s="2" t="str">
        <f>_xlfn.LET(
    _xlpm.status, _xlfn.XLOOKUP($A207,'EA-ConnectorExport'!$A:$A,'EA-ConnectorExport'!G:G),
    _xlpm.result, _xlfn.XLOOKUP($A207,'EA-ConnectorExport'!$A:$A,'EA-ConnectorExport'!H:H),
    IF(_xlpm.status="allocate", _xlpm.result, "")
)</f>
        <v>855DC-1543-008 Monarch</v>
      </c>
      <c r="Z207" s="2" t="str">
        <f>_xlfn.LET(
    _xlpm.isObject, _xlfn.XLOOKUP($Y207,'EA-Fortescue_SDExport'!A:A,'EA-Fortescue_SDExport'!B:B),
    _xlpm.lookupKey, IF(_xlpm.isObject="Object",
        _xlfn.XLOOKUP($A207,'EA-ConnectorExport'!A:A,'EA-ConnectorExport'!J:J),
        $Y207
    ),
    _xlpm.result, _xlfn.XLOOKUP(_xlpm.lookupKey,'EA-Fortescue_SDExport'!A:A,'EA-Fortescue_SDExport'!AA:AA),
    IF(_xlpm.result=0,"",_xlpm.result)
)</f>
        <v>Project</v>
      </c>
      <c r="AA207" s="2" t="str">
        <f>_xlfn.LET(_xlpm.result, _xlfn.XLOOKUP($Y207,'EA-Fortescue_SDExport'!$A:$A,'EA-Fortescue_SDExport'!AB:AB), IF(_xlpm.result=0,"",_xlpm.result))</f>
        <v>Energy Operations</v>
      </c>
      <c r="AB207" s="2" t="str">
        <f>_xlfn.LET(_xlpm.result, _xlfn.XLOOKUP($Y207,'EA-Fortescue_SDExport'!$A:$A,'EA-Fortescue_SDExport'!AC:AC), IF(_xlpm.result=0,"",_xlpm.result))</f>
        <v/>
      </c>
      <c r="AC207" s="2" t="str">
        <f>_xlfn.LET(
    _xlpm.isObject, _xlfn.XLOOKUP($Y207,'EA-Fortescue_SDExport'!A:A,'EA-Fortescue_SDExport'!B:B),
    _xlpm.lookupKey, IF(_xlpm.isObject="Object",
        _xlfn.XLOOKUP($A207,'EA-ConnectorExport'!A:A,'EA-ConnectorExport'!J:J),
        $Y207
    ),
    _xlpm.result, _xlfn.XLOOKUP(_xlpm.lookupKey,'EA-Fortescue_SDExport'!A:A,'EA-Fortescue_SDExport'!AD:AD),
    IF(_xlpm.result=0,"",_xlpm.result)
)</f>
        <v>855DC Decarb Green Systems</v>
      </c>
      <c r="AD207" s="2" t="str">
        <f>_xlfn.LET(
    _xlpm.isObject, _xlfn.XLOOKUP($Y207,'EA-Fortescue_SDExport'!A:A,'EA-Fortescue_SDExport'!B:B),
    _xlpm.lookupKey, IF(_xlpm.isObject="Object",
        _xlfn.XLOOKUP($A207,'EA-ConnectorExport'!A:A,'EA-ConnectorExport'!J:J),
        $Y207
    ),
    _xlpm.result, _xlfn.XLOOKUP(_xlpm.lookupKey,'EA-Fortescue_SDExport'!A:A,'EA-Fortescue_SDExport'!AE:AE),
    IF(_xlpm.result=0,"",_xlpm.result)
)</f>
        <v>855DC-1543 Existing Systems - Green Enhancement</v>
      </c>
      <c r="AE207" s="2" t="str">
        <f>_xlfn.LET(
    _xlpm.isObject, _xlfn.XLOOKUP($Y207,'EA-Fortescue_SDExport'!A:A,'EA-Fortescue_SDExport'!B:B),
    _xlpm.lookupKey, IF(_xlpm.isObject="Object",
        _xlfn.XLOOKUP($A207,'EA-ConnectorExport'!A:A,'EA-ConnectorExport'!J:J),
        $Y207
    ),
    _xlpm.result, _xlfn.XLOOKUP(_xlpm.lookupKey,'EA-Fortescue_SDExport'!A:A,'EA-Fortescue_SDExport'!AF:AF),
    IF(_xlpm.result=0,"",_xlpm.result)
)</f>
        <v>855DC-1543-008 Monarch</v>
      </c>
      <c r="AF207" s="2" t="str">
        <f>_xlfn.LET(
    _xlpm.isObject, _xlfn.XLOOKUP($Y207,'EA-Fortescue_SDExport'!A:A,'EA-Fortescue_SDExport'!B:B),
    _xlpm.lookupKey, IF(_xlpm.isObject="Object",
        _xlfn.XLOOKUP($A207,'EA-ConnectorExport'!A:A,'EA-ConnectorExport'!J:J),
        $Y207
    ),
    _xlpm.result, _xlfn.XLOOKUP(_xlpm.lookupKey,'EA-Fortescue_SDExport'!A:A,'EA-Fortescue_SDExport'!AG:AG),
    IF(_xlpm.result=0,"",_xlpm.result)
)</f>
        <v/>
      </c>
    </row>
    <row r="208" spans="1:32" ht="255" x14ac:dyDescent="0.25">
      <c r="A208" s="2" t="str">
        <v>DGS-I_0207</v>
      </c>
      <c r="B208" s="2" t="str">
        <f t="shared" si="12"/>
        <v>854DC-1521-0005 Substation (22kV)|855DC-1543-008 Monarch</v>
      </c>
      <c r="C208" s="2" t="str">
        <f>_xlfn.LET(_xlpm.result, _xlfn.XLOOKUP(A208,'EA-Fortescue_SDExport'!A:A,'EA-Fortescue_SDExport'!AM:AM), IF(_xlpm.result=0,"",_xlpm.result))</f>
        <v/>
      </c>
      <c r="D208" s="2" t="str">
        <f>_xlfn.LET(_xlpm.result, _xlfn.XLOOKUP(A208,'EA-Fortescue_SDExport'!A:A,'EA-Fortescue_SDExport'!AN:AN), IF(_xlpm.result=0,"",_xlpm.result))</f>
        <v/>
      </c>
      <c r="E208" s="2" t="str">
        <f>_xlfn.XLOOKUP(R208&amp;Z208,Lookups!A:A,Lookups!B:B)</f>
        <v>Project - Project Interface</v>
      </c>
      <c r="F208" s="2" t="str">
        <f>_xlfn.LET(_xlpm.result, _xlfn.XLOOKUP(A208,'EA-Fortescue_SDExport'!A:A,'EA-Fortescue_SDExport'!AP:AP), IF(_xlpm.result=0,"",_xlpm.result))</f>
        <v>Technical-Electrical</v>
      </c>
      <c r="G208" s="2" t="str">
        <f>IF(OR(AND(T208&lt;&gt;"", COUNTIF(Lookups!J:J, "*"&amp;T208&amp;"*")&gt;0), AND(AB208&lt;&gt;"", COUNTIF(Lookups!J:J, "*"&amp;AB208&amp;"*")&gt;0)), "Yes", "No")</f>
        <v>No</v>
      </c>
      <c r="H208" s="2" t="str">
        <f t="shared" si="13"/>
        <v>854DC Green Power|855DC Decarb Green Systems</v>
      </c>
      <c r="I208" s="2" t="str">
        <f t="shared" si="14"/>
        <v>854DC-1521 HV Substations|855DC-1543 Existing Systems - Green Enhancement</v>
      </c>
      <c r="J208" s="2" t="str">
        <f t="shared" si="15"/>
        <v>854DC-1521-0005 Substation (22kV)|855DC-1543-008 Monarch</v>
      </c>
      <c r="K208" s="2" t="str">
        <f>_xlfn.XLOOKUP(A208,'EA-Fortescue_SDExport'!A:A,'EA-Fortescue_SDExport'!N:N)</f>
        <v>Proposed</v>
      </c>
      <c r="L208" s="2" t="str">
        <f>_xlfn.LET(_xlpm.result, _xlfn.XLOOKUP($A208,'EA-Fortescue_SDExport'!$A:$A,'EA-Fortescue_SDExport'!AQ:AQ), IF(_xlpm.result=0,"",_xlpm.result))</f>
        <v>This interface connects the 22kV substation to Monarch, allowing the system to receive live electrical status, alarms, and operational data used for safe power distribution management.</v>
      </c>
      <c r="M208" s="2" t="str">
        <f>_xlfn.LET(_xlpm.result, _xlfn.XLOOKUP($A208,'EA-Fortescue_SDExport'!$A:$A,'EA-Fortescue_SDExport'!AR:AR), IF(_xlpm.result=0,"",_xlpm.result))</f>
        <v>HIGH</v>
      </c>
      <c r="N208" s="2" t="str">
        <f>_xlfn.LET(_xlpm.result, _xlfn.XLOOKUP($A208,'EA-Fortescue_SDExport'!$A:$A,'EA-Fortescue_SDExport'!AW:AW), IF(_xlpm.result=0,"",_xlpm.result))</f>
        <v>The criticality level is HIGH because losing visibility of a substation at this voltage affects the essential site electrical supply and delays fault response, potentially disrupting production. Substations are key electrical assets, and any loss of monitoring or control can undermine power reliability and operational safety.</v>
      </c>
      <c r="O208" s="2" t="str">
        <f>_xlfn.LET(_xlpm.result, _xlfn.XLOOKUP($A208,'EA-Fortescue_SDExport'!$A:$A,'EA-Fortescue_SDExport'!AV:AV), IF(_xlpm.result=0,"",_xlpm.result))</f>
        <v>Data Flow: 22 kV Substation -&gt; Monarch (breaker positions, feeder status, transformer loading, voltage/current measurements, protection relay status, alarms, fault indications) to provide live operational visibility of the medium-voltage network._x000D_
Control Flow: Monarch -&gt; 22 kV Substation (remote switching commands, breaker open/close instructions, load transfer and isolation commands) to support coordinated distribution management and fault response.</v>
      </c>
      <c r="P208" s="2" t="str">
        <f>_xlfn.LET(_xlpm.result, _xlfn.XLOOKUP($A208,'EA-Fortescue_SDExport'!$A:$A,'EA-Fortescue_SDExport'!D:D), IF(_xlpm.result=0,"",_xlpm.result))</f>
        <v>NH 20/02/2026: Fields updated: Interface Type, Interface Flow.</v>
      </c>
      <c r="Q208" s="2" t="str">
        <f>_xlfn.LET(
    _xlpm.status, _xlfn.XLOOKUP($A208,'EA-ConnectorExport'!$A:$A,'EA-ConnectorExport'!G:G),
    _xlpm.result, _xlfn.XLOOKUP($A208,'EA-ConnectorExport'!$A:$A,'EA-ConnectorExport'!B:B),
    IF(_xlpm.status="allocate", _xlpm.result, "")
)</f>
        <v>854DC-1521-0005 Substation (22kV)</v>
      </c>
      <c r="R208" s="2" t="str">
        <f>IF(
    _xlfn.XLOOKUP($Q208,'EA-Fortescue_SDExport'!A:A,'EA-Fortescue_SDExport'!B:B)="Object",
    _xlfn.XLOOKUP(
        _xlfn.XLOOKUP($A208,'EA-ConnectorExport'!A:A,'EA-ConnectorExport'!D:D),
        'EA-Fortescue_SDExport'!A:A,
        'EA-Fortescue_SDExport'!AA:AA
    ),
    _xlfn.XLOOKUP($Q208,'EA-Fortescue_SDExport'!A:A,'EA-Fortescue_SDExport'!AA:AA)
)</f>
        <v>Project</v>
      </c>
      <c r="S208" s="2" t="str">
        <f>_xlfn.LET(_xlpm.result, _xlfn.XLOOKUP($Q208,'EA-Fortescue_SDExport'!$A:$A,'EA-Fortescue_SDExport'!AB:AB), IF(_xlpm.result=0,"",_xlpm.result))</f>
        <v/>
      </c>
      <c r="T208" s="2" t="str">
        <f>_xlfn.LET(_xlpm.result, _xlfn.XLOOKUP($Q208,'EA-Fortescue_SDExport'!$A:$A,'EA-Fortescue_SDExport'!AC:AC), IF(_xlpm.result=0,"",_xlpm.result))</f>
        <v>Generic Physical Asset</v>
      </c>
      <c r="U208" s="2" t="str">
        <f>_xlfn.LET(
    _xlpm.isObject, _xlfn.XLOOKUP($Q208,'EA-Fortescue_SDExport'!A:A,'EA-Fortescue_SDExport'!B:B),
    _xlpm.lookupKey, IF(_xlpm.isObject="Object",
        _xlfn.XLOOKUP($A208,'EA-ConnectorExport'!A:A,'EA-ConnectorExport'!D:D),
        $Q208
    ),
    _xlpm.result, _xlfn.XLOOKUP(_xlpm.lookupKey,'EA-Fortescue_SDExport'!A:A,'EA-Fortescue_SDExport'!AD:AD),
    IF(_xlpm.result=0,"",_xlpm.result)
)</f>
        <v>854DC Green Power</v>
      </c>
      <c r="V208" s="2" t="str">
        <f>_xlfn.LET(
    _xlpm.isObject, _xlfn.XLOOKUP($Q208,'EA-Fortescue_SDExport'!A:A,'EA-Fortescue_SDExport'!B:B),
    _xlpm.lookupKey, IF(_xlpm.isObject="Object",
        _xlfn.XLOOKUP($A208,'EA-ConnectorExport'!A:A,'EA-ConnectorExport'!D:D),
        $Q208
    ),
    _xlpm.result, _xlfn.XLOOKUP(_xlpm.lookupKey,'EA-Fortescue_SDExport'!A:A,'EA-Fortescue_SDExport'!AE:AE),
    IF(_xlpm.result=0,"",_xlpm.result)
)</f>
        <v>854DC-1521 HV Substations</v>
      </c>
      <c r="W208" s="2" t="str">
        <f>_xlfn.LET(
    _xlpm.isObject, _xlfn.XLOOKUP($Q208,'EA-Fortescue_SDExport'!A:A,'EA-Fortescue_SDExport'!B:B),
    _xlpm.lookupKey, IF(_xlpm.isObject="Object",
        _xlfn.XLOOKUP($A208,'EA-ConnectorExport'!A:A,'EA-ConnectorExport'!D:D),
        $Q208
    ),
    _xlpm.result, _xlfn.XLOOKUP(_xlpm.lookupKey,'EA-Fortescue_SDExport'!A:A,'EA-Fortescue_SDExport'!AF:AF),
    IF(_xlpm.result=0,"",_xlpm.result)
)</f>
        <v>854DC-1521-0005 Substation (22kV)</v>
      </c>
      <c r="X208" s="2" t="str">
        <f>_xlfn.LET(
    _xlpm.isObject, _xlfn.XLOOKUP($Q208,'EA-Fortescue_SDExport'!A:A,'EA-Fortescue_SDExport'!B:B),
    _xlpm.lookupKey, IF(_xlpm.isObject="Object",
        _xlfn.XLOOKUP($A208,'EA-ConnectorExport'!A:A,'EA-ConnectorExport'!D:D),
        $Q208
    ),
    _xlpm.result, _xlfn.XLOOKUP(_xlpm.lookupKey,'EA-Fortescue_SDExport'!A:A,'EA-Fortescue_SDExport'!AG:AG),
    IF(_xlpm.result=0,"",_xlpm.result)
)</f>
        <v/>
      </c>
      <c r="Y208" s="2" t="str">
        <f>_xlfn.LET(
    _xlpm.status, _xlfn.XLOOKUP($A208,'EA-ConnectorExport'!$A:$A,'EA-ConnectorExport'!G:G),
    _xlpm.result, _xlfn.XLOOKUP($A208,'EA-ConnectorExport'!$A:$A,'EA-ConnectorExport'!H:H),
    IF(_xlpm.status="allocate", _xlpm.result, "")
)</f>
        <v>855DC-1543-008 Monarch</v>
      </c>
      <c r="Z208" s="2" t="str">
        <f>_xlfn.LET(
    _xlpm.isObject, _xlfn.XLOOKUP($Y208,'EA-Fortescue_SDExport'!A:A,'EA-Fortescue_SDExport'!B:B),
    _xlpm.lookupKey, IF(_xlpm.isObject="Object",
        _xlfn.XLOOKUP($A208,'EA-ConnectorExport'!A:A,'EA-ConnectorExport'!J:J),
        $Y208
    ),
    _xlpm.result, _xlfn.XLOOKUP(_xlpm.lookupKey,'EA-Fortescue_SDExport'!A:A,'EA-Fortescue_SDExport'!AA:AA),
    IF(_xlpm.result=0,"",_xlpm.result)
)</f>
        <v>Project</v>
      </c>
      <c r="AA208" s="2" t="str">
        <f>_xlfn.LET(_xlpm.result, _xlfn.XLOOKUP($Y208,'EA-Fortescue_SDExport'!$A:$A,'EA-Fortescue_SDExport'!AB:AB), IF(_xlpm.result=0,"",_xlpm.result))</f>
        <v>Energy Operations</v>
      </c>
      <c r="AB208" s="2" t="str">
        <f>_xlfn.LET(_xlpm.result, _xlfn.XLOOKUP($Y208,'EA-Fortescue_SDExport'!$A:$A,'EA-Fortescue_SDExport'!AC:AC), IF(_xlpm.result=0,"",_xlpm.result))</f>
        <v/>
      </c>
      <c r="AC208" s="2" t="str">
        <f>_xlfn.LET(
    _xlpm.isObject, _xlfn.XLOOKUP($Y208,'EA-Fortescue_SDExport'!A:A,'EA-Fortescue_SDExport'!B:B),
    _xlpm.lookupKey, IF(_xlpm.isObject="Object",
        _xlfn.XLOOKUP($A208,'EA-ConnectorExport'!A:A,'EA-ConnectorExport'!J:J),
        $Y208
    ),
    _xlpm.result, _xlfn.XLOOKUP(_xlpm.lookupKey,'EA-Fortescue_SDExport'!A:A,'EA-Fortescue_SDExport'!AD:AD),
    IF(_xlpm.result=0,"",_xlpm.result)
)</f>
        <v>855DC Decarb Green Systems</v>
      </c>
      <c r="AD208" s="2" t="str">
        <f>_xlfn.LET(
    _xlpm.isObject, _xlfn.XLOOKUP($Y208,'EA-Fortescue_SDExport'!A:A,'EA-Fortescue_SDExport'!B:B),
    _xlpm.lookupKey, IF(_xlpm.isObject="Object",
        _xlfn.XLOOKUP($A208,'EA-ConnectorExport'!A:A,'EA-ConnectorExport'!J:J),
        $Y208
    ),
    _xlpm.result, _xlfn.XLOOKUP(_xlpm.lookupKey,'EA-Fortescue_SDExport'!A:A,'EA-Fortescue_SDExport'!AE:AE),
    IF(_xlpm.result=0,"",_xlpm.result)
)</f>
        <v>855DC-1543 Existing Systems - Green Enhancement</v>
      </c>
      <c r="AE208" s="2" t="str">
        <f>_xlfn.LET(
    _xlpm.isObject, _xlfn.XLOOKUP($Y208,'EA-Fortescue_SDExport'!A:A,'EA-Fortescue_SDExport'!B:B),
    _xlpm.lookupKey, IF(_xlpm.isObject="Object",
        _xlfn.XLOOKUP($A208,'EA-ConnectorExport'!A:A,'EA-ConnectorExport'!J:J),
        $Y208
    ),
    _xlpm.result, _xlfn.XLOOKUP(_xlpm.lookupKey,'EA-Fortescue_SDExport'!A:A,'EA-Fortescue_SDExport'!AF:AF),
    IF(_xlpm.result=0,"",_xlpm.result)
)</f>
        <v>855DC-1543-008 Monarch</v>
      </c>
      <c r="AF208" s="2" t="str">
        <f>_xlfn.LET(
    _xlpm.isObject, _xlfn.XLOOKUP($Y208,'EA-Fortescue_SDExport'!A:A,'EA-Fortescue_SDExport'!B:B),
    _xlpm.lookupKey, IF(_xlpm.isObject="Object",
        _xlfn.XLOOKUP($A208,'EA-ConnectorExport'!A:A,'EA-ConnectorExport'!J:J),
        $Y208
    ),
    _xlpm.result, _xlfn.XLOOKUP(_xlpm.lookupKey,'EA-Fortescue_SDExport'!A:A,'EA-Fortescue_SDExport'!AG:AG),
    IF(_xlpm.result=0,"",_xlpm.result)
)</f>
        <v/>
      </c>
    </row>
    <row r="209" spans="1:32" ht="255" x14ac:dyDescent="0.25">
      <c r="A209" s="2" t="str">
        <v>DGS-I_0208</v>
      </c>
      <c r="B209" s="2" t="str">
        <f t="shared" si="12"/>
        <v>854DC-1521-0002 Substation (66kV)|855DC-1543-008 Monarch</v>
      </c>
      <c r="C209" s="2" t="str">
        <f>_xlfn.LET(_xlpm.result, _xlfn.XLOOKUP(A209,'EA-Fortescue_SDExport'!A:A,'EA-Fortescue_SDExport'!AM:AM), IF(_xlpm.result=0,"",_xlpm.result))</f>
        <v/>
      </c>
      <c r="D209" s="2" t="str">
        <f>_xlfn.LET(_xlpm.result, _xlfn.XLOOKUP(A209,'EA-Fortescue_SDExport'!A:A,'EA-Fortescue_SDExport'!AN:AN), IF(_xlpm.result=0,"",_xlpm.result))</f>
        <v/>
      </c>
      <c r="E209" s="2" t="str">
        <f>_xlfn.XLOOKUP(R209&amp;Z209,Lookups!A:A,Lookups!B:B)</f>
        <v>Project - Project Interface</v>
      </c>
      <c r="F209" s="2" t="str">
        <f>_xlfn.LET(_xlpm.result, _xlfn.XLOOKUP(A209,'EA-Fortescue_SDExport'!A:A,'EA-Fortescue_SDExport'!AP:AP), IF(_xlpm.result=0,"",_xlpm.result))</f>
        <v>Technical-Electrical</v>
      </c>
      <c r="G209" s="2" t="str">
        <f>IF(OR(AND(T209&lt;&gt;"", COUNTIF(Lookups!J:J, "*"&amp;T209&amp;"*")&gt;0), AND(AB209&lt;&gt;"", COUNTIF(Lookups!J:J, "*"&amp;AB209&amp;"*")&gt;0)), "Yes", "No")</f>
        <v>No</v>
      </c>
      <c r="H209" s="2" t="str">
        <f t="shared" si="13"/>
        <v>854DC Green Power|855DC Decarb Green Systems</v>
      </c>
      <c r="I209" s="2" t="str">
        <f t="shared" si="14"/>
        <v>854DC-1521 HV Substations|855DC-1543 Existing Systems - Green Enhancement</v>
      </c>
      <c r="J209" s="2" t="str">
        <f t="shared" si="15"/>
        <v>854DC-1521-0002 Substation (66kV)|855DC-1543-008 Monarch</v>
      </c>
      <c r="K209" s="2" t="str">
        <f>_xlfn.XLOOKUP(A209,'EA-Fortescue_SDExport'!A:A,'EA-Fortescue_SDExport'!N:N)</f>
        <v>Proposed</v>
      </c>
      <c r="L209" s="2" t="str">
        <f>_xlfn.LET(_xlpm.result, _xlfn.XLOOKUP($A209,'EA-Fortescue_SDExport'!$A:$A,'EA-Fortescue_SDExport'!AQ:AQ), IF(_xlpm.result=0,"",_xlpm.result))</f>
        <v>This interface provides Monarch with status and operational data from the 66kV substation, which supports major site electrical loads and distribution feeders.</v>
      </c>
      <c r="M209" s="2" t="str">
        <f>_xlfn.LET(_xlpm.result, _xlfn.XLOOKUP($A209,'EA-Fortescue_SDExport'!$A:$A,'EA-Fortescue_SDExport'!AR:AR), IF(_xlpm.result=0,"",_xlpm.result))</f>
        <v>HIGH</v>
      </c>
      <c r="N209" s="2" t="str">
        <f>_xlfn.LET(_xlpm.result, _xlfn.XLOOKUP($A209,'EA-Fortescue_SDExport'!$A:$A,'EA-Fortescue_SDExport'!AW:AW), IF(_xlpm.result=0,"",_xlpm.result))</f>
        <v>The criticality level is HIGH because the 66kV network supplies major sections of the mine, and the loss of this interface limits visibility into system health and load conditions. Missing or outdated substation data can cause delays in fault management, increase the risk of overload, or lead to unplanned outages affecting vital mining systems.</v>
      </c>
      <c r="O209" s="2" t="str">
        <f>_xlfn.LET(_xlpm.result, _xlfn.XLOOKUP($A209,'EA-Fortescue_SDExport'!$A:$A,'EA-Fortescue_SDExport'!AV:AV), IF(_xlpm.result=0,"",_xlpm.result))</f>
        <v>Data Flow: 66 kV Substation -&gt; Monarch (breaker and isolator status, busbar configuration, transformer loading, voltage/current measurements, protection relay status, alarms, fault events, feeder loading) to provide visibility of major distribution assets and high-load feeders._x000D_
Control Flow: Monarch -&gt; 66 kV Substation (remote switching commands, breaker open/close operations, load transfer instructions, fault isolation commands) to support coordinated network management and restoration activities.</v>
      </c>
      <c r="P209" s="2" t="str">
        <f>_xlfn.LET(_xlpm.result, _xlfn.XLOOKUP($A209,'EA-Fortescue_SDExport'!$A:$A,'EA-Fortescue_SDExport'!D:D), IF(_xlpm.result=0,"",_xlpm.result))</f>
        <v>NH 20/02/2026: Fields updated: Interface Type, Interface Flow.</v>
      </c>
      <c r="Q209" s="2" t="str">
        <f>_xlfn.LET(
    _xlpm.status, _xlfn.XLOOKUP($A209,'EA-ConnectorExport'!$A:$A,'EA-ConnectorExport'!G:G),
    _xlpm.result, _xlfn.XLOOKUP($A209,'EA-ConnectorExport'!$A:$A,'EA-ConnectorExport'!B:B),
    IF(_xlpm.status="allocate", _xlpm.result, "")
)</f>
        <v>854DC-1521-0002 Substation (66kV)</v>
      </c>
      <c r="R209" s="2" t="str">
        <f>IF(
    _xlfn.XLOOKUP($Q209,'EA-Fortescue_SDExport'!A:A,'EA-Fortescue_SDExport'!B:B)="Object",
    _xlfn.XLOOKUP(
        _xlfn.XLOOKUP($A209,'EA-ConnectorExport'!A:A,'EA-ConnectorExport'!D:D),
        'EA-Fortescue_SDExport'!A:A,
        'EA-Fortescue_SDExport'!AA:AA
    ),
    _xlfn.XLOOKUP($Q209,'EA-Fortescue_SDExport'!A:A,'EA-Fortescue_SDExport'!AA:AA)
)</f>
        <v>Project</v>
      </c>
      <c r="S209" s="2" t="str">
        <f>_xlfn.LET(_xlpm.result, _xlfn.XLOOKUP($Q209,'EA-Fortescue_SDExport'!$A:$A,'EA-Fortescue_SDExport'!AB:AB), IF(_xlpm.result=0,"",_xlpm.result))</f>
        <v/>
      </c>
      <c r="T209" s="2" t="str">
        <f>_xlfn.LET(_xlpm.result, _xlfn.XLOOKUP($Q209,'EA-Fortescue_SDExport'!$A:$A,'EA-Fortescue_SDExport'!AC:AC), IF(_xlpm.result=0,"",_xlpm.result))</f>
        <v>Generic Physical Asset</v>
      </c>
      <c r="U209" s="2" t="str">
        <f>_xlfn.LET(
    _xlpm.isObject, _xlfn.XLOOKUP($Q209,'EA-Fortescue_SDExport'!A:A,'EA-Fortescue_SDExport'!B:B),
    _xlpm.lookupKey, IF(_xlpm.isObject="Object",
        _xlfn.XLOOKUP($A209,'EA-ConnectorExport'!A:A,'EA-ConnectorExport'!D:D),
        $Q209
    ),
    _xlpm.result, _xlfn.XLOOKUP(_xlpm.lookupKey,'EA-Fortescue_SDExport'!A:A,'EA-Fortescue_SDExport'!AD:AD),
    IF(_xlpm.result=0,"",_xlpm.result)
)</f>
        <v>854DC Green Power</v>
      </c>
      <c r="V209" s="2" t="str">
        <f>_xlfn.LET(
    _xlpm.isObject, _xlfn.XLOOKUP($Q209,'EA-Fortescue_SDExport'!A:A,'EA-Fortescue_SDExport'!B:B),
    _xlpm.lookupKey, IF(_xlpm.isObject="Object",
        _xlfn.XLOOKUP($A209,'EA-ConnectorExport'!A:A,'EA-ConnectorExport'!D:D),
        $Q209
    ),
    _xlpm.result, _xlfn.XLOOKUP(_xlpm.lookupKey,'EA-Fortescue_SDExport'!A:A,'EA-Fortescue_SDExport'!AE:AE),
    IF(_xlpm.result=0,"",_xlpm.result)
)</f>
        <v>854DC-1521 HV Substations</v>
      </c>
      <c r="W209" s="2" t="str">
        <f>_xlfn.LET(
    _xlpm.isObject, _xlfn.XLOOKUP($Q209,'EA-Fortescue_SDExport'!A:A,'EA-Fortescue_SDExport'!B:B),
    _xlpm.lookupKey, IF(_xlpm.isObject="Object",
        _xlfn.XLOOKUP($A209,'EA-ConnectorExport'!A:A,'EA-ConnectorExport'!D:D),
        $Q209
    ),
    _xlpm.result, _xlfn.XLOOKUP(_xlpm.lookupKey,'EA-Fortescue_SDExport'!A:A,'EA-Fortescue_SDExport'!AF:AF),
    IF(_xlpm.result=0,"",_xlpm.result)
)</f>
        <v>854DC-1521-0002 Substation (66kV)</v>
      </c>
      <c r="X209" s="2" t="str">
        <f>_xlfn.LET(
    _xlpm.isObject, _xlfn.XLOOKUP($Q209,'EA-Fortescue_SDExport'!A:A,'EA-Fortescue_SDExport'!B:B),
    _xlpm.lookupKey, IF(_xlpm.isObject="Object",
        _xlfn.XLOOKUP($A209,'EA-ConnectorExport'!A:A,'EA-ConnectorExport'!D:D),
        $Q209
    ),
    _xlpm.result, _xlfn.XLOOKUP(_xlpm.lookupKey,'EA-Fortescue_SDExport'!A:A,'EA-Fortescue_SDExport'!AG:AG),
    IF(_xlpm.result=0,"",_xlpm.result)
)</f>
        <v/>
      </c>
      <c r="Y209" s="2" t="str">
        <f>_xlfn.LET(
    _xlpm.status, _xlfn.XLOOKUP($A209,'EA-ConnectorExport'!$A:$A,'EA-ConnectorExport'!G:G),
    _xlpm.result, _xlfn.XLOOKUP($A209,'EA-ConnectorExport'!$A:$A,'EA-ConnectorExport'!H:H),
    IF(_xlpm.status="allocate", _xlpm.result, "")
)</f>
        <v>855DC-1543-008 Monarch</v>
      </c>
      <c r="Z209" s="2" t="str">
        <f>_xlfn.LET(
    _xlpm.isObject, _xlfn.XLOOKUP($Y209,'EA-Fortescue_SDExport'!A:A,'EA-Fortescue_SDExport'!B:B),
    _xlpm.lookupKey, IF(_xlpm.isObject="Object",
        _xlfn.XLOOKUP($A209,'EA-ConnectorExport'!A:A,'EA-ConnectorExport'!J:J),
        $Y209
    ),
    _xlpm.result, _xlfn.XLOOKUP(_xlpm.lookupKey,'EA-Fortescue_SDExport'!A:A,'EA-Fortescue_SDExport'!AA:AA),
    IF(_xlpm.result=0,"",_xlpm.result)
)</f>
        <v>Project</v>
      </c>
      <c r="AA209" s="2" t="str">
        <f>_xlfn.LET(_xlpm.result, _xlfn.XLOOKUP($Y209,'EA-Fortescue_SDExport'!$A:$A,'EA-Fortescue_SDExport'!AB:AB), IF(_xlpm.result=0,"",_xlpm.result))</f>
        <v>Energy Operations</v>
      </c>
      <c r="AB209" s="2" t="str">
        <f>_xlfn.LET(_xlpm.result, _xlfn.XLOOKUP($Y209,'EA-Fortescue_SDExport'!$A:$A,'EA-Fortescue_SDExport'!AC:AC), IF(_xlpm.result=0,"",_xlpm.result))</f>
        <v/>
      </c>
      <c r="AC209" s="2" t="str">
        <f>_xlfn.LET(
    _xlpm.isObject, _xlfn.XLOOKUP($Y209,'EA-Fortescue_SDExport'!A:A,'EA-Fortescue_SDExport'!B:B),
    _xlpm.lookupKey, IF(_xlpm.isObject="Object",
        _xlfn.XLOOKUP($A209,'EA-ConnectorExport'!A:A,'EA-ConnectorExport'!J:J),
        $Y209
    ),
    _xlpm.result, _xlfn.XLOOKUP(_xlpm.lookupKey,'EA-Fortescue_SDExport'!A:A,'EA-Fortescue_SDExport'!AD:AD),
    IF(_xlpm.result=0,"",_xlpm.result)
)</f>
        <v>855DC Decarb Green Systems</v>
      </c>
      <c r="AD209" s="2" t="str">
        <f>_xlfn.LET(
    _xlpm.isObject, _xlfn.XLOOKUP($Y209,'EA-Fortescue_SDExport'!A:A,'EA-Fortescue_SDExport'!B:B),
    _xlpm.lookupKey, IF(_xlpm.isObject="Object",
        _xlfn.XLOOKUP($A209,'EA-ConnectorExport'!A:A,'EA-ConnectorExport'!J:J),
        $Y209
    ),
    _xlpm.result, _xlfn.XLOOKUP(_xlpm.lookupKey,'EA-Fortescue_SDExport'!A:A,'EA-Fortescue_SDExport'!AE:AE),
    IF(_xlpm.result=0,"",_xlpm.result)
)</f>
        <v>855DC-1543 Existing Systems - Green Enhancement</v>
      </c>
      <c r="AE209" s="2" t="str">
        <f>_xlfn.LET(
    _xlpm.isObject, _xlfn.XLOOKUP($Y209,'EA-Fortescue_SDExport'!A:A,'EA-Fortescue_SDExport'!B:B),
    _xlpm.lookupKey, IF(_xlpm.isObject="Object",
        _xlfn.XLOOKUP($A209,'EA-ConnectorExport'!A:A,'EA-ConnectorExport'!J:J),
        $Y209
    ),
    _xlpm.result, _xlfn.XLOOKUP(_xlpm.lookupKey,'EA-Fortescue_SDExport'!A:A,'EA-Fortescue_SDExport'!AF:AF),
    IF(_xlpm.result=0,"",_xlpm.result)
)</f>
        <v>855DC-1543-008 Monarch</v>
      </c>
      <c r="AF209" s="2" t="str">
        <f>_xlfn.LET(
    _xlpm.isObject, _xlfn.XLOOKUP($Y209,'EA-Fortescue_SDExport'!A:A,'EA-Fortescue_SDExport'!B:B),
    _xlpm.lookupKey, IF(_xlpm.isObject="Object",
        _xlfn.XLOOKUP($A209,'EA-ConnectorExport'!A:A,'EA-ConnectorExport'!J:J),
        $Y209
    ),
    _xlpm.result, _xlfn.XLOOKUP(_xlpm.lookupKey,'EA-Fortescue_SDExport'!A:A,'EA-Fortescue_SDExport'!AG:AG),
    IF(_xlpm.result=0,"",_xlpm.result)
)</f>
        <v/>
      </c>
    </row>
    <row r="210" spans="1:32" ht="285" x14ac:dyDescent="0.25">
      <c r="A210" s="2" t="str">
        <v>DGS-I_0209</v>
      </c>
      <c r="B210" s="2" t="str">
        <f t="shared" si="12"/>
        <v>854DC-1521-0003 Substation (132kV)|855DC-1543-008 Monarch</v>
      </c>
      <c r="C210" s="2" t="str">
        <f>_xlfn.LET(_xlpm.result, _xlfn.XLOOKUP(A210,'EA-Fortescue_SDExport'!A:A,'EA-Fortescue_SDExport'!AM:AM), IF(_xlpm.result=0,"",_xlpm.result))</f>
        <v/>
      </c>
      <c r="D210" s="2" t="str">
        <f>_xlfn.LET(_xlpm.result, _xlfn.XLOOKUP(A210,'EA-Fortescue_SDExport'!A:A,'EA-Fortescue_SDExport'!AN:AN), IF(_xlpm.result=0,"",_xlpm.result))</f>
        <v/>
      </c>
      <c r="E210" s="2" t="str">
        <f>_xlfn.XLOOKUP(R210&amp;Z210,Lookups!A:A,Lookups!B:B)</f>
        <v>Project - Project Interface</v>
      </c>
      <c r="F210" s="2" t="str">
        <f>_xlfn.LET(_xlpm.result, _xlfn.XLOOKUP(A210,'EA-Fortescue_SDExport'!A:A,'EA-Fortescue_SDExport'!AP:AP), IF(_xlpm.result=0,"",_xlpm.result))</f>
        <v>Technical-Electrical</v>
      </c>
      <c r="G210" s="2" t="str">
        <f>IF(OR(AND(T210&lt;&gt;"", COUNTIF(Lookups!J:J, "*"&amp;T210&amp;"*")&gt;0), AND(AB210&lt;&gt;"", COUNTIF(Lookups!J:J, "*"&amp;AB210&amp;"*")&gt;0)), "Yes", "No")</f>
        <v>No</v>
      </c>
      <c r="H210" s="2" t="str">
        <f t="shared" si="13"/>
        <v>854DC Green Power|855DC Decarb Green Systems</v>
      </c>
      <c r="I210" s="2" t="str">
        <f t="shared" si="14"/>
        <v>854DC-1521 HV Substations|855DC-1543 Existing Systems - Green Enhancement</v>
      </c>
      <c r="J210" s="2" t="str">
        <f t="shared" si="15"/>
        <v>854DC-1521-0003 Substation (132kV)|855DC-1543-008 Monarch</v>
      </c>
      <c r="K210" s="2" t="str">
        <f>_xlfn.XLOOKUP(A210,'EA-Fortescue_SDExport'!A:A,'EA-Fortescue_SDExport'!N:N)</f>
        <v>Proposed</v>
      </c>
      <c r="L210" s="2" t="str">
        <f>_xlfn.LET(_xlpm.result, _xlfn.XLOOKUP($A210,'EA-Fortescue_SDExport'!$A:$A,'EA-Fortescue_SDExport'!AQ:AQ), IF(_xlpm.result=0,"",_xlpm.result))</f>
        <v>This interface links Monarch to the 132kV substation, a primary high-voltage distribution node that feeds major mine infrastructure.</v>
      </c>
      <c r="M210" s="2" t="str">
        <f>_xlfn.LET(_xlpm.result, _xlfn.XLOOKUP($A210,'EA-Fortescue_SDExport'!$A:$A,'EA-Fortescue_SDExport'!AR:AR), IF(_xlpm.result=0,"",_xlpm.result))</f>
        <v>HIGH</v>
      </c>
      <c r="N210" s="2" t="str">
        <f>_xlfn.LET(_xlpm.result, _xlfn.XLOOKUP($A210,'EA-Fortescue_SDExport'!$A:$A,'EA-Fortescue_SDExport'!AW:AW), IF(_xlpm.result=0,"",_xlpm.result))</f>
        <v>The criticality level is HIGH because a failure of this interface removes essential situational awareness of the backbone power supply, increasing the risk of widespread outages. High-voltage substations require constant monitoring to maintain electrical safety and system stability; without this interface, the site cannot effectively manage grid disturbances.</v>
      </c>
      <c r="O210" s="2" t="str">
        <f>_xlfn.LET(_xlpm.result, _xlfn.XLOOKUP($A210,'EA-Fortescue_SDExport'!$A:$A,'EA-Fortescue_SDExport'!AV:AV), IF(_xlpm.result=0,"",_xlpm.result))</f>
        <v>Data Flow: 132 kV Substation -&gt; Monarch, transmitting breaker and isolator status, busbar configuration, transformer loading, voltage and current measurements, protection relay status, alarms, fault indications, and feeder power flows to provide real-time visibility of the primary backbone supply node feeding major mine infrastructure.</v>
      </c>
      <c r="P210" s="2" t="str">
        <f>_xlfn.LET(_xlpm.result, _xlfn.XLOOKUP($A210,'EA-Fortescue_SDExport'!$A:$A,'EA-Fortescue_SDExport'!D:D), IF(_xlpm.result=0,"",_xlpm.result))</f>
        <v>NH 20/02/2026: Fields updated: Interface Type, Interface Flow.</v>
      </c>
      <c r="Q210" s="2" t="str">
        <f>_xlfn.LET(
    _xlpm.status, _xlfn.XLOOKUP($A210,'EA-ConnectorExport'!$A:$A,'EA-ConnectorExport'!G:G),
    _xlpm.result, _xlfn.XLOOKUP($A210,'EA-ConnectorExport'!$A:$A,'EA-ConnectorExport'!B:B),
    IF(_xlpm.status="allocate", _xlpm.result, "")
)</f>
        <v>854DC-1521-0003 Substation (132kV)</v>
      </c>
      <c r="R210" s="2" t="str">
        <f>IF(
    _xlfn.XLOOKUP($Q210,'EA-Fortescue_SDExport'!A:A,'EA-Fortescue_SDExport'!B:B)="Object",
    _xlfn.XLOOKUP(
        _xlfn.XLOOKUP($A210,'EA-ConnectorExport'!A:A,'EA-ConnectorExport'!D:D),
        'EA-Fortescue_SDExport'!A:A,
        'EA-Fortescue_SDExport'!AA:AA
    ),
    _xlfn.XLOOKUP($Q210,'EA-Fortescue_SDExport'!A:A,'EA-Fortescue_SDExport'!AA:AA)
)</f>
        <v>Project</v>
      </c>
      <c r="S210" s="2" t="str">
        <f>_xlfn.LET(_xlpm.result, _xlfn.XLOOKUP($Q210,'EA-Fortescue_SDExport'!$A:$A,'EA-Fortescue_SDExport'!AB:AB), IF(_xlpm.result=0,"",_xlpm.result))</f>
        <v/>
      </c>
      <c r="T210" s="2" t="str">
        <f>_xlfn.LET(_xlpm.result, _xlfn.XLOOKUP($Q210,'EA-Fortescue_SDExport'!$A:$A,'EA-Fortescue_SDExport'!AC:AC), IF(_xlpm.result=0,"",_xlpm.result))</f>
        <v>Generic Physical Asset</v>
      </c>
      <c r="U210" s="2" t="str">
        <f>_xlfn.LET(
    _xlpm.isObject, _xlfn.XLOOKUP($Q210,'EA-Fortescue_SDExport'!A:A,'EA-Fortescue_SDExport'!B:B),
    _xlpm.lookupKey, IF(_xlpm.isObject="Object",
        _xlfn.XLOOKUP($A210,'EA-ConnectorExport'!A:A,'EA-ConnectorExport'!D:D),
        $Q210
    ),
    _xlpm.result, _xlfn.XLOOKUP(_xlpm.lookupKey,'EA-Fortescue_SDExport'!A:A,'EA-Fortescue_SDExport'!AD:AD),
    IF(_xlpm.result=0,"",_xlpm.result)
)</f>
        <v>854DC Green Power</v>
      </c>
      <c r="V210" s="2" t="str">
        <f>_xlfn.LET(
    _xlpm.isObject, _xlfn.XLOOKUP($Q210,'EA-Fortescue_SDExport'!A:A,'EA-Fortescue_SDExport'!B:B),
    _xlpm.lookupKey, IF(_xlpm.isObject="Object",
        _xlfn.XLOOKUP($A210,'EA-ConnectorExport'!A:A,'EA-ConnectorExport'!D:D),
        $Q210
    ),
    _xlpm.result, _xlfn.XLOOKUP(_xlpm.lookupKey,'EA-Fortescue_SDExport'!A:A,'EA-Fortescue_SDExport'!AE:AE),
    IF(_xlpm.result=0,"",_xlpm.result)
)</f>
        <v>854DC-1521 HV Substations</v>
      </c>
      <c r="W210" s="2" t="str">
        <f>_xlfn.LET(
    _xlpm.isObject, _xlfn.XLOOKUP($Q210,'EA-Fortescue_SDExport'!A:A,'EA-Fortescue_SDExport'!B:B),
    _xlpm.lookupKey, IF(_xlpm.isObject="Object",
        _xlfn.XLOOKUP($A210,'EA-ConnectorExport'!A:A,'EA-ConnectorExport'!D:D),
        $Q210
    ),
    _xlpm.result, _xlfn.XLOOKUP(_xlpm.lookupKey,'EA-Fortescue_SDExport'!A:A,'EA-Fortescue_SDExport'!AF:AF),
    IF(_xlpm.result=0,"",_xlpm.result)
)</f>
        <v>854DC-1521-0003 Substation (132kV)</v>
      </c>
      <c r="X210" s="2" t="str">
        <f>_xlfn.LET(
    _xlpm.isObject, _xlfn.XLOOKUP($Q210,'EA-Fortescue_SDExport'!A:A,'EA-Fortescue_SDExport'!B:B),
    _xlpm.lookupKey, IF(_xlpm.isObject="Object",
        _xlfn.XLOOKUP($A210,'EA-ConnectorExport'!A:A,'EA-ConnectorExport'!D:D),
        $Q210
    ),
    _xlpm.result, _xlfn.XLOOKUP(_xlpm.lookupKey,'EA-Fortescue_SDExport'!A:A,'EA-Fortescue_SDExport'!AG:AG),
    IF(_xlpm.result=0,"",_xlpm.result)
)</f>
        <v/>
      </c>
      <c r="Y210" s="2" t="str">
        <f>_xlfn.LET(
    _xlpm.status, _xlfn.XLOOKUP($A210,'EA-ConnectorExport'!$A:$A,'EA-ConnectorExport'!G:G),
    _xlpm.result, _xlfn.XLOOKUP($A210,'EA-ConnectorExport'!$A:$A,'EA-ConnectorExport'!H:H),
    IF(_xlpm.status="allocate", _xlpm.result, "")
)</f>
        <v>855DC-1543-008 Monarch</v>
      </c>
      <c r="Z210" s="2" t="str">
        <f>_xlfn.LET(
    _xlpm.isObject, _xlfn.XLOOKUP($Y210,'EA-Fortescue_SDExport'!A:A,'EA-Fortescue_SDExport'!B:B),
    _xlpm.lookupKey, IF(_xlpm.isObject="Object",
        _xlfn.XLOOKUP($A210,'EA-ConnectorExport'!A:A,'EA-ConnectorExport'!J:J),
        $Y210
    ),
    _xlpm.result, _xlfn.XLOOKUP(_xlpm.lookupKey,'EA-Fortescue_SDExport'!A:A,'EA-Fortescue_SDExport'!AA:AA),
    IF(_xlpm.result=0,"",_xlpm.result)
)</f>
        <v>Project</v>
      </c>
      <c r="AA210" s="2" t="str">
        <f>_xlfn.LET(_xlpm.result, _xlfn.XLOOKUP($Y210,'EA-Fortescue_SDExport'!$A:$A,'EA-Fortescue_SDExport'!AB:AB), IF(_xlpm.result=0,"",_xlpm.result))</f>
        <v>Energy Operations</v>
      </c>
      <c r="AB210" s="2" t="str">
        <f>_xlfn.LET(_xlpm.result, _xlfn.XLOOKUP($Y210,'EA-Fortescue_SDExport'!$A:$A,'EA-Fortescue_SDExport'!AC:AC), IF(_xlpm.result=0,"",_xlpm.result))</f>
        <v/>
      </c>
      <c r="AC210" s="2" t="str">
        <f>_xlfn.LET(
    _xlpm.isObject, _xlfn.XLOOKUP($Y210,'EA-Fortescue_SDExport'!A:A,'EA-Fortescue_SDExport'!B:B),
    _xlpm.lookupKey, IF(_xlpm.isObject="Object",
        _xlfn.XLOOKUP($A210,'EA-ConnectorExport'!A:A,'EA-ConnectorExport'!J:J),
        $Y210
    ),
    _xlpm.result, _xlfn.XLOOKUP(_xlpm.lookupKey,'EA-Fortescue_SDExport'!A:A,'EA-Fortescue_SDExport'!AD:AD),
    IF(_xlpm.result=0,"",_xlpm.result)
)</f>
        <v>855DC Decarb Green Systems</v>
      </c>
      <c r="AD210" s="2" t="str">
        <f>_xlfn.LET(
    _xlpm.isObject, _xlfn.XLOOKUP($Y210,'EA-Fortescue_SDExport'!A:A,'EA-Fortescue_SDExport'!B:B),
    _xlpm.lookupKey, IF(_xlpm.isObject="Object",
        _xlfn.XLOOKUP($A210,'EA-ConnectorExport'!A:A,'EA-ConnectorExport'!J:J),
        $Y210
    ),
    _xlpm.result, _xlfn.XLOOKUP(_xlpm.lookupKey,'EA-Fortescue_SDExport'!A:A,'EA-Fortescue_SDExport'!AE:AE),
    IF(_xlpm.result=0,"",_xlpm.result)
)</f>
        <v>855DC-1543 Existing Systems - Green Enhancement</v>
      </c>
      <c r="AE210" s="2" t="str">
        <f>_xlfn.LET(
    _xlpm.isObject, _xlfn.XLOOKUP($Y210,'EA-Fortescue_SDExport'!A:A,'EA-Fortescue_SDExport'!B:B),
    _xlpm.lookupKey, IF(_xlpm.isObject="Object",
        _xlfn.XLOOKUP($A210,'EA-ConnectorExport'!A:A,'EA-ConnectorExport'!J:J),
        $Y210
    ),
    _xlpm.result, _xlfn.XLOOKUP(_xlpm.lookupKey,'EA-Fortescue_SDExport'!A:A,'EA-Fortescue_SDExport'!AF:AF),
    IF(_xlpm.result=0,"",_xlpm.result)
)</f>
        <v>855DC-1543-008 Monarch</v>
      </c>
      <c r="AF210" s="2" t="str">
        <f>_xlfn.LET(
    _xlpm.isObject, _xlfn.XLOOKUP($Y210,'EA-Fortescue_SDExport'!A:A,'EA-Fortescue_SDExport'!B:B),
    _xlpm.lookupKey, IF(_xlpm.isObject="Object",
        _xlfn.XLOOKUP($A210,'EA-ConnectorExport'!A:A,'EA-ConnectorExport'!J:J),
        $Y210
    ),
    _xlpm.result, _xlfn.XLOOKUP(_xlpm.lookupKey,'EA-Fortescue_SDExport'!A:A,'EA-Fortescue_SDExport'!AG:AG),
    IF(_xlpm.result=0,"",_xlpm.result)
)</f>
        <v/>
      </c>
    </row>
    <row r="211" spans="1:32" ht="240" x14ac:dyDescent="0.25">
      <c r="A211" s="2" t="str">
        <v>DGS-I_0210</v>
      </c>
      <c r="B211" s="2" t="str">
        <f t="shared" si="12"/>
        <v>854DC-1521-0004 Substation (220kV)|855DC-1543-008 Monarch</v>
      </c>
      <c r="C211" s="2" t="str">
        <f>_xlfn.LET(_xlpm.result, _xlfn.XLOOKUP(A211,'EA-Fortescue_SDExport'!A:A,'EA-Fortescue_SDExport'!AM:AM), IF(_xlpm.result=0,"",_xlpm.result))</f>
        <v/>
      </c>
      <c r="D211" s="2" t="str">
        <f>_xlfn.LET(_xlpm.result, _xlfn.XLOOKUP(A211,'EA-Fortescue_SDExport'!A:A,'EA-Fortescue_SDExport'!AN:AN), IF(_xlpm.result=0,"",_xlpm.result))</f>
        <v/>
      </c>
      <c r="E211" s="2" t="str">
        <f>_xlfn.XLOOKUP(R211&amp;Z211,Lookups!A:A,Lookups!B:B)</f>
        <v>Project - Project Interface</v>
      </c>
      <c r="F211" s="2" t="str">
        <f>_xlfn.LET(_xlpm.result, _xlfn.XLOOKUP(A211,'EA-Fortescue_SDExport'!A:A,'EA-Fortescue_SDExport'!AP:AP), IF(_xlpm.result=0,"",_xlpm.result))</f>
        <v>Technical-Electrical</v>
      </c>
      <c r="G211" s="2" t="str">
        <f>IF(OR(AND(T211&lt;&gt;"", COUNTIF(Lookups!J:J, "*"&amp;T211&amp;"*")&gt;0), AND(AB211&lt;&gt;"", COUNTIF(Lookups!J:J, "*"&amp;AB211&amp;"*")&gt;0)), "Yes", "No")</f>
        <v>No</v>
      </c>
      <c r="H211" s="2" t="str">
        <f t="shared" si="13"/>
        <v>854DC Green Power|855DC Decarb Green Systems</v>
      </c>
      <c r="I211" s="2" t="str">
        <f t="shared" si="14"/>
        <v>854DC-1521 HV Substations|855DC-1543 Existing Systems - Green Enhancement</v>
      </c>
      <c r="J211" s="2" t="str">
        <f t="shared" si="15"/>
        <v>854DC-1521-0004 Substation (220kV)|855DC-1543-008 Monarch</v>
      </c>
      <c r="K211" s="2" t="str">
        <f>_xlfn.XLOOKUP(A211,'EA-Fortescue_SDExport'!A:A,'EA-Fortescue_SDExport'!N:N)</f>
        <v>Proposed</v>
      </c>
      <c r="L211" s="2" t="str">
        <f>_xlfn.LET(_xlpm.result, _xlfn.XLOOKUP($A211,'EA-Fortescue_SDExport'!$A:$A,'EA-Fortescue_SDExport'!AQ:AQ), IF(_xlpm.result=0,"",_xlpm.result))</f>
        <v>This interface provides critical 220kV substation data to Monarch, enabling the system to monitor the incoming high-voltage supply that feeds the rest of the mining operation.</v>
      </c>
      <c r="M211" s="2" t="str">
        <f>_xlfn.LET(_xlpm.result, _xlfn.XLOOKUP($A211,'EA-Fortescue_SDExport'!$A:$A,'EA-Fortescue_SDExport'!AR:AR), IF(_xlpm.result=0,"",_xlpm.result))</f>
        <v>HIGH</v>
      </c>
      <c r="N211" s="2" t="str">
        <f>_xlfn.LET(_xlpm.result, _xlfn.XLOOKUP($A211,'EA-Fortescue_SDExport'!$A:$A,'EA-Fortescue_SDExport'!AW:AW), IF(_xlpm.result=0,"",_xlpm.result))</f>
        <v>The criticality level is HIGH because any failure in monitoring or control at this level could affect the entire network, causing widespread operational shutdowns. The 220kV substation is a top-tier electrical asset, and loss of interface visibility significantly increases the risk to the site's power stability and safety.</v>
      </c>
      <c r="O211" s="2" t="str">
        <f>_xlfn.LET(_xlpm.result, _xlfn.XLOOKUP($A211,'EA-Fortescue_SDExport'!$A:$A,'EA-Fortescue_SDExport'!AV:AV), IF(_xlpm.result=0,"",_xlpm.result))</f>
        <v>Data Flow: 220 kV Substation -&gt; Monarch, transmitting breaker and isolator positions, busbar configuration, transformer status and loading, voltage and current measurements, protection relay indications, alarms, fault events, and incoming supply conditions to provide real-time visibility of the primary grid connection supplying the mining operation.</v>
      </c>
      <c r="P211" s="2" t="str">
        <f>_xlfn.LET(_xlpm.result, _xlfn.XLOOKUP($A211,'EA-Fortescue_SDExport'!$A:$A,'EA-Fortescue_SDExport'!D:D), IF(_xlpm.result=0,"",_xlpm.result))</f>
        <v>NH 20/02/2026: Fields updated: Interface Type, Interface Flow.</v>
      </c>
      <c r="Q211" s="2" t="str">
        <f>_xlfn.LET(
    _xlpm.status, _xlfn.XLOOKUP($A211,'EA-ConnectorExport'!$A:$A,'EA-ConnectorExport'!G:G),
    _xlpm.result, _xlfn.XLOOKUP($A211,'EA-ConnectorExport'!$A:$A,'EA-ConnectorExport'!B:B),
    IF(_xlpm.status="allocate", _xlpm.result, "")
)</f>
        <v>854DC-1521-0004 Substation (220kV)</v>
      </c>
      <c r="R211" s="2" t="str">
        <f>IF(
    _xlfn.XLOOKUP($Q211,'EA-Fortescue_SDExport'!A:A,'EA-Fortescue_SDExport'!B:B)="Object",
    _xlfn.XLOOKUP(
        _xlfn.XLOOKUP($A211,'EA-ConnectorExport'!A:A,'EA-ConnectorExport'!D:D),
        'EA-Fortescue_SDExport'!A:A,
        'EA-Fortescue_SDExport'!AA:AA
    ),
    _xlfn.XLOOKUP($Q211,'EA-Fortescue_SDExport'!A:A,'EA-Fortescue_SDExport'!AA:AA)
)</f>
        <v>Project</v>
      </c>
      <c r="S211" s="2" t="str">
        <f>_xlfn.LET(_xlpm.result, _xlfn.XLOOKUP($Q211,'EA-Fortescue_SDExport'!$A:$A,'EA-Fortescue_SDExport'!AB:AB), IF(_xlpm.result=0,"",_xlpm.result))</f>
        <v/>
      </c>
      <c r="T211" s="2" t="str">
        <f>_xlfn.LET(_xlpm.result, _xlfn.XLOOKUP($Q211,'EA-Fortescue_SDExport'!$A:$A,'EA-Fortescue_SDExport'!AC:AC), IF(_xlpm.result=0,"",_xlpm.result))</f>
        <v>Generic Physical Asset</v>
      </c>
      <c r="U211" s="2" t="str">
        <f>_xlfn.LET(
    _xlpm.isObject, _xlfn.XLOOKUP($Q211,'EA-Fortescue_SDExport'!A:A,'EA-Fortescue_SDExport'!B:B),
    _xlpm.lookupKey, IF(_xlpm.isObject="Object",
        _xlfn.XLOOKUP($A211,'EA-ConnectorExport'!A:A,'EA-ConnectorExport'!D:D),
        $Q211
    ),
    _xlpm.result, _xlfn.XLOOKUP(_xlpm.lookupKey,'EA-Fortescue_SDExport'!A:A,'EA-Fortescue_SDExport'!AD:AD),
    IF(_xlpm.result=0,"",_xlpm.result)
)</f>
        <v>854DC Green Power</v>
      </c>
      <c r="V211" s="2" t="str">
        <f>_xlfn.LET(
    _xlpm.isObject, _xlfn.XLOOKUP($Q211,'EA-Fortescue_SDExport'!A:A,'EA-Fortescue_SDExport'!B:B),
    _xlpm.lookupKey, IF(_xlpm.isObject="Object",
        _xlfn.XLOOKUP($A211,'EA-ConnectorExport'!A:A,'EA-ConnectorExport'!D:D),
        $Q211
    ),
    _xlpm.result, _xlfn.XLOOKUP(_xlpm.lookupKey,'EA-Fortescue_SDExport'!A:A,'EA-Fortescue_SDExport'!AE:AE),
    IF(_xlpm.result=0,"",_xlpm.result)
)</f>
        <v>854DC-1521 HV Substations</v>
      </c>
      <c r="W211" s="2" t="str">
        <f>_xlfn.LET(
    _xlpm.isObject, _xlfn.XLOOKUP($Q211,'EA-Fortescue_SDExport'!A:A,'EA-Fortescue_SDExport'!B:B),
    _xlpm.lookupKey, IF(_xlpm.isObject="Object",
        _xlfn.XLOOKUP($A211,'EA-ConnectorExport'!A:A,'EA-ConnectorExport'!D:D),
        $Q211
    ),
    _xlpm.result, _xlfn.XLOOKUP(_xlpm.lookupKey,'EA-Fortescue_SDExport'!A:A,'EA-Fortescue_SDExport'!AF:AF),
    IF(_xlpm.result=0,"",_xlpm.result)
)</f>
        <v>854DC-1521-0004 Substation (220kV)</v>
      </c>
      <c r="X211" s="2" t="str">
        <f>_xlfn.LET(
    _xlpm.isObject, _xlfn.XLOOKUP($Q211,'EA-Fortescue_SDExport'!A:A,'EA-Fortescue_SDExport'!B:B),
    _xlpm.lookupKey, IF(_xlpm.isObject="Object",
        _xlfn.XLOOKUP($A211,'EA-ConnectorExport'!A:A,'EA-ConnectorExport'!D:D),
        $Q211
    ),
    _xlpm.result, _xlfn.XLOOKUP(_xlpm.lookupKey,'EA-Fortescue_SDExport'!A:A,'EA-Fortescue_SDExport'!AG:AG),
    IF(_xlpm.result=0,"",_xlpm.result)
)</f>
        <v/>
      </c>
      <c r="Y211" s="2" t="str">
        <f>_xlfn.LET(
    _xlpm.status, _xlfn.XLOOKUP($A211,'EA-ConnectorExport'!$A:$A,'EA-ConnectorExport'!G:G),
    _xlpm.result, _xlfn.XLOOKUP($A211,'EA-ConnectorExport'!$A:$A,'EA-ConnectorExport'!H:H),
    IF(_xlpm.status="allocate", _xlpm.result, "")
)</f>
        <v>855DC-1543-008 Monarch</v>
      </c>
      <c r="Z211" s="2" t="str">
        <f>_xlfn.LET(
    _xlpm.isObject, _xlfn.XLOOKUP($Y211,'EA-Fortescue_SDExport'!A:A,'EA-Fortescue_SDExport'!B:B),
    _xlpm.lookupKey, IF(_xlpm.isObject="Object",
        _xlfn.XLOOKUP($A211,'EA-ConnectorExport'!A:A,'EA-ConnectorExport'!J:J),
        $Y211
    ),
    _xlpm.result, _xlfn.XLOOKUP(_xlpm.lookupKey,'EA-Fortescue_SDExport'!A:A,'EA-Fortescue_SDExport'!AA:AA),
    IF(_xlpm.result=0,"",_xlpm.result)
)</f>
        <v>Project</v>
      </c>
      <c r="AA211" s="2" t="str">
        <f>_xlfn.LET(_xlpm.result, _xlfn.XLOOKUP($Y211,'EA-Fortescue_SDExport'!$A:$A,'EA-Fortescue_SDExport'!AB:AB), IF(_xlpm.result=0,"",_xlpm.result))</f>
        <v>Energy Operations</v>
      </c>
      <c r="AB211" s="2" t="str">
        <f>_xlfn.LET(_xlpm.result, _xlfn.XLOOKUP($Y211,'EA-Fortescue_SDExport'!$A:$A,'EA-Fortescue_SDExport'!AC:AC), IF(_xlpm.result=0,"",_xlpm.result))</f>
        <v/>
      </c>
      <c r="AC211" s="2" t="str">
        <f>_xlfn.LET(
    _xlpm.isObject, _xlfn.XLOOKUP($Y211,'EA-Fortescue_SDExport'!A:A,'EA-Fortescue_SDExport'!B:B),
    _xlpm.lookupKey, IF(_xlpm.isObject="Object",
        _xlfn.XLOOKUP($A211,'EA-ConnectorExport'!A:A,'EA-ConnectorExport'!J:J),
        $Y211
    ),
    _xlpm.result, _xlfn.XLOOKUP(_xlpm.lookupKey,'EA-Fortescue_SDExport'!A:A,'EA-Fortescue_SDExport'!AD:AD),
    IF(_xlpm.result=0,"",_xlpm.result)
)</f>
        <v>855DC Decarb Green Systems</v>
      </c>
      <c r="AD211" s="2" t="str">
        <f>_xlfn.LET(
    _xlpm.isObject, _xlfn.XLOOKUP($Y211,'EA-Fortescue_SDExport'!A:A,'EA-Fortescue_SDExport'!B:B),
    _xlpm.lookupKey, IF(_xlpm.isObject="Object",
        _xlfn.XLOOKUP($A211,'EA-ConnectorExport'!A:A,'EA-ConnectorExport'!J:J),
        $Y211
    ),
    _xlpm.result, _xlfn.XLOOKUP(_xlpm.lookupKey,'EA-Fortescue_SDExport'!A:A,'EA-Fortescue_SDExport'!AE:AE),
    IF(_xlpm.result=0,"",_xlpm.result)
)</f>
        <v>855DC-1543 Existing Systems - Green Enhancement</v>
      </c>
      <c r="AE211" s="2" t="str">
        <f>_xlfn.LET(
    _xlpm.isObject, _xlfn.XLOOKUP($Y211,'EA-Fortescue_SDExport'!A:A,'EA-Fortescue_SDExport'!B:B),
    _xlpm.lookupKey, IF(_xlpm.isObject="Object",
        _xlfn.XLOOKUP($A211,'EA-ConnectorExport'!A:A,'EA-ConnectorExport'!J:J),
        $Y211
    ),
    _xlpm.result, _xlfn.XLOOKUP(_xlpm.lookupKey,'EA-Fortescue_SDExport'!A:A,'EA-Fortescue_SDExport'!AF:AF),
    IF(_xlpm.result=0,"",_xlpm.result)
)</f>
        <v>855DC-1543-008 Monarch</v>
      </c>
      <c r="AF211" s="2" t="str">
        <f>_xlfn.LET(
    _xlpm.isObject, _xlfn.XLOOKUP($Y211,'EA-Fortescue_SDExport'!A:A,'EA-Fortescue_SDExport'!B:B),
    _xlpm.lookupKey, IF(_xlpm.isObject="Object",
        _xlfn.XLOOKUP($A211,'EA-ConnectorExport'!A:A,'EA-ConnectorExport'!J:J),
        $Y211
    ),
    _xlpm.result, _xlfn.XLOOKUP(_xlpm.lookupKey,'EA-Fortescue_SDExport'!A:A,'EA-Fortescue_SDExport'!AG:AG),
    IF(_xlpm.result=0,"",_xlpm.result)
)</f>
        <v/>
      </c>
    </row>
    <row r="212" spans="1:32" ht="285" x14ac:dyDescent="0.25">
      <c r="A212" s="2" t="str">
        <v>DGS-I_0211</v>
      </c>
      <c r="B212" s="2" t="str">
        <f t="shared" si="12"/>
        <v>854DC-1521-0001 Substation (33kV)|855DC-1543-008 Monarch</v>
      </c>
      <c r="C212" s="2" t="str">
        <f>_xlfn.LET(_xlpm.result, _xlfn.XLOOKUP(A212,'EA-Fortescue_SDExport'!A:A,'EA-Fortescue_SDExport'!AM:AM), IF(_xlpm.result=0,"",_xlpm.result))</f>
        <v/>
      </c>
      <c r="D212" s="2" t="str">
        <f>_xlfn.LET(_xlpm.result, _xlfn.XLOOKUP(A212,'EA-Fortescue_SDExport'!A:A,'EA-Fortescue_SDExport'!AN:AN), IF(_xlpm.result=0,"",_xlpm.result))</f>
        <v/>
      </c>
      <c r="E212" s="2" t="str">
        <f>_xlfn.XLOOKUP(R212&amp;Z212,Lookups!A:A,Lookups!B:B)</f>
        <v>Project - Project Interface</v>
      </c>
      <c r="F212" s="2" t="str">
        <f>_xlfn.LET(_xlpm.result, _xlfn.XLOOKUP(A212,'EA-Fortescue_SDExport'!A:A,'EA-Fortescue_SDExport'!AP:AP), IF(_xlpm.result=0,"",_xlpm.result))</f>
        <v>Technical-Electrical</v>
      </c>
      <c r="G212" s="2" t="str">
        <f>IF(OR(AND(T212&lt;&gt;"", COUNTIF(Lookups!J:J, "*"&amp;T212&amp;"*")&gt;0), AND(AB212&lt;&gt;"", COUNTIF(Lookups!J:J, "*"&amp;AB212&amp;"*")&gt;0)), "Yes", "No")</f>
        <v>No</v>
      </c>
      <c r="H212" s="2" t="str">
        <f t="shared" si="13"/>
        <v>854DC Green Power|855DC Decarb Green Systems</v>
      </c>
      <c r="I212" s="2" t="str">
        <f t="shared" si="14"/>
        <v>854DC-1521 HV Substations|855DC-1543 Existing Systems - Green Enhancement</v>
      </c>
      <c r="J212" s="2" t="str">
        <f t="shared" si="15"/>
        <v>854DC-1521-0001 Substation (33kV)|855DC-1543-008 Monarch</v>
      </c>
      <c r="K212" s="2" t="str">
        <f>_xlfn.XLOOKUP(A212,'EA-Fortescue_SDExport'!A:A,'EA-Fortescue_SDExport'!N:N)</f>
        <v>Proposed</v>
      </c>
      <c r="L212" s="2" t="str">
        <f>_xlfn.LET(_xlpm.result, _xlfn.XLOOKUP($A212,'EA-Fortescue_SDExport'!$A:$A,'EA-Fortescue_SDExport'!AQ:AQ), IF(_xlpm.result=0,"",_xlpm.result))</f>
        <v>This interface connects the 33kV substation to Monarch for monitoring, alarm handling, and operational coordination.</v>
      </c>
      <c r="M212" s="2" t="str">
        <f>_xlfn.LET(_xlpm.result, _xlfn.XLOOKUP($A212,'EA-Fortescue_SDExport'!$A:$A,'EA-Fortescue_SDExport'!AR:AR), IF(_xlpm.result=0,"",_xlpm.result))</f>
        <v>HIGH</v>
      </c>
      <c r="N212" s="2" t="str">
        <f>_xlfn.LET(_xlpm.result, _xlfn.XLOOKUP($A212,'EA-Fortescue_SDExport'!$A:$A,'EA-Fortescue_SDExport'!AW:AW), IF(_xlpm.result=0,"",_xlpm.result))</f>
        <v>The criticality level is HIGH because the 33kV line typically supplies essential operational facilities, workshops, and distributed mining infrastructure; losing this connection may hamper the response to electrical faults and risk unplanned outages. Substation data is vital for safe and stable electrical operations, and its loss raises both operational and safety risks.</v>
      </c>
      <c r="O212" s="2" t="str">
        <f>_xlfn.LET(_xlpm.result, _xlfn.XLOOKUP($A212,'EA-Fortescue_SDExport'!$A:$A,'EA-Fortescue_SDExport'!AV:AV), IF(_xlpm.result=0,"",_xlpm.result))</f>
        <v>Data Flow: 33 kV Substation -&gt; Monarch, transmitting breaker and isolator status, busbar configuration, transformer loading, feeder status, voltage and current measurements, protection relay indications, alarms, and fault events to provide operational visibility of essential distribution assets._x000D_
Control Flow: Monarch -&gt; 33 kV Substation, issuing remote switching commands, breaker open/close instructions, load transfer commands, and fault isolation signals to enable coordinated distribution management and timely fault response.</v>
      </c>
      <c r="P212" s="2" t="str">
        <f>_xlfn.LET(_xlpm.result, _xlfn.XLOOKUP($A212,'EA-Fortescue_SDExport'!$A:$A,'EA-Fortescue_SDExport'!D:D), IF(_xlpm.result=0,"",_xlpm.result))</f>
        <v>NH 20/02/2026: Fields updated: Interface Type, Interface Flow.</v>
      </c>
      <c r="Q212" s="2" t="str">
        <f>_xlfn.LET(
    _xlpm.status, _xlfn.XLOOKUP($A212,'EA-ConnectorExport'!$A:$A,'EA-ConnectorExport'!G:G),
    _xlpm.result, _xlfn.XLOOKUP($A212,'EA-ConnectorExport'!$A:$A,'EA-ConnectorExport'!B:B),
    IF(_xlpm.status="allocate", _xlpm.result, "")
)</f>
        <v>854DC-1521-0001 Substation (33kV)</v>
      </c>
      <c r="R212" s="2" t="str">
        <f>IF(
    _xlfn.XLOOKUP($Q212,'EA-Fortescue_SDExport'!A:A,'EA-Fortescue_SDExport'!B:B)="Object",
    _xlfn.XLOOKUP(
        _xlfn.XLOOKUP($A212,'EA-ConnectorExport'!A:A,'EA-ConnectorExport'!D:D),
        'EA-Fortescue_SDExport'!A:A,
        'EA-Fortescue_SDExport'!AA:AA
    ),
    _xlfn.XLOOKUP($Q212,'EA-Fortescue_SDExport'!A:A,'EA-Fortescue_SDExport'!AA:AA)
)</f>
        <v>Project</v>
      </c>
      <c r="S212" s="2" t="str">
        <f>_xlfn.LET(_xlpm.result, _xlfn.XLOOKUP($Q212,'EA-Fortescue_SDExport'!$A:$A,'EA-Fortescue_SDExport'!AB:AB), IF(_xlpm.result=0,"",_xlpm.result))</f>
        <v/>
      </c>
      <c r="T212" s="2" t="str">
        <f>_xlfn.LET(_xlpm.result, _xlfn.XLOOKUP($Q212,'EA-Fortescue_SDExport'!$A:$A,'EA-Fortescue_SDExport'!AC:AC), IF(_xlpm.result=0,"",_xlpm.result))</f>
        <v>Generic Physical Asset</v>
      </c>
      <c r="U212" s="2" t="str">
        <f>_xlfn.LET(
    _xlpm.isObject, _xlfn.XLOOKUP($Q212,'EA-Fortescue_SDExport'!A:A,'EA-Fortescue_SDExport'!B:B),
    _xlpm.lookupKey, IF(_xlpm.isObject="Object",
        _xlfn.XLOOKUP($A212,'EA-ConnectorExport'!A:A,'EA-ConnectorExport'!D:D),
        $Q212
    ),
    _xlpm.result, _xlfn.XLOOKUP(_xlpm.lookupKey,'EA-Fortescue_SDExport'!A:A,'EA-Fortescue_SDExport'!AD:AD),
    IF(_xlpm.result=0,"",_xlpm.result)
)</f>
        <v>854DC Green Power</v>
      </c>
      <c r="V212" s="2" t="str">
        <f>_xlfn.LET(
    _xlpm.isObject, _xlfn.XLOOKUP($Q212,'EA-Fortescue_SDExport'!A:A,'EA-Fortescue_SDExport'!B:B),
    _xlpm.lookupKey, IF(_xlpm.isObject="Object",
        _xlfn.XLOOKUP($A212,'EA-ConnectorExport'!A:A,'EA-ConnectorExport'!D:D),
        $Q212
    ),
    _xlpm.result, _xlfn.XLOOKUP(_xlpm.lookupKey,'EA-Fortescue_SDExport'!A:A,'EA-Fortescue_SDExport'!AE:AE),
    IF(_xlpm.result=0,"",_xlpm.result)
)</f>
        <v>854DC-1521 HV Substations</v>
      </c>
      <c r="W212" s="2" t="str">
        <f>_xlfn.LET(
    _xlpm.isObject, _xlfn.XLOOKUP($Q212,'EA-Fortescue_SDExport'!A:A,'EA-Fortescue_SDExport'!B:B),
    _xlpm.lookupKey, IF(_xlpm.isObject="Object",
        _xlfn.XLOOKUP($A212,'EA-ConnectorExport'!A:A,'EA-ConnectorExport'!D:D),
        $Q212
    ),
    _xlpm.result, _xlfn.XLOOKUP(_xlpm.lookupKey,'EA-Fortescue_SDExport'!A:A,'EA-Fortescue_SDExport'!AF:AF),
    IF(_xlpm.result=0,"",_xlpm.result)
)</f>
        <v>854DC-1521-0001 Substation (33kV)</v>
      </c>
      <c r="X212" s="2" t="str">
        <f>_xlfn.LET(
    _xlpm.isObject, _xlfn.XLOOKUP($Q212,'EA-Fortescue_SDExport'!A:A,'EA-Fortescue_SDExport'!B:B),
    _xlpm.lookupKey, IF(_xlpm.isObject="Object",
        _xlfn.XLOOKUP($A212,'EA-ConnectorExport'!A:A,'EA-ConnectorExport'!D:D),
        $Q212
    ),
    _xlpm.result, _xlfn.XLOOKUP(_xlpm.lookupKey,'EA-Fortescue_SDExport'!A:A,'EA-Fortescue_SDExport'!AG:AG),
    IF(_xlpm.result=0,"",_xlpm.result)
)</f>
        <v/>
      </c>
      <c r="Y212" s="2" t="str">
        <f>_xlfn.LET(
    _xlpm.status, _xlfn.XLOOKUP($A212,'EA-ConnectorExport'!$A:$A,'EA-ConnectorExport'!G:G),
    _xlpm.result, _xlfn.XLOOKUP($A212,'EA-ConnectorExport'!$A:$A,'EA-ConnectorExport'!H:H),
    IF(_xlpm.status="allocate", _xlpm.result, "")
)</f>
        <v>855DC-1543-008 Monarch</v>
      </c>
      <c r="Z212" s="2" t="str">
        <f>_xlfn.LET(
    _xlpm.isObject, _xlfn.XLOOKUP($Y212,'EA-Fortescue_SDExport'!A:A,'EA-Fortescue_SDExport'!B:B),
    _xlpm.lookupKey, IF(_xlpm.isObject="Object",
        _xlfn.XLOOKUP($A212,'EA-ConnectorExport'!A:A,'EA-ConnectorExport'!J:J),
        $Y212
    ),
    _xlpm.result, _xlfn.XLOOKUP(_xlpm.lookupKey,'EA-Fortescue_SDExport'!A:A,'EA-Fortescue_SDExport'!AA:AA),
    IF(_xlpm.result=0,"",_xlpm.result)
)</f>
        <v>Project</v>
      </c>
      <c r="AA212" s="2" t="str">
        <f>_xlfn.LET(_xlpm.result, _xlfn.XLOOKUP($Y212,'EA-Fortescue_SDExport'!$A:$A,'EA-Fortescue_SDExport'!AB:AB), IF(_xlpm.result=0,"",_xlpm.result))</f>
        <v>Energy Operations</v>
      </c>
      <c r="AB212" s="2" t="str">
        <f>_xlfn.LET(_xlpm.result, _xlfn.XLOOKUP($Y212,'EA-Fortescue_SDExport'!$A:$A,'EA-Fortescue_SDExport'!AC:AC), IF(_xlpm.result=0,"",_xlpm.result))</f>
        <v/>
      </c>
      <c r="AC212" s="2" t="str">
        <f>_xlfn.LET(
    _xlpm.isObject, _xlfn.XLOOKUP($Y212,'EA-Fortescue_SDExport'!A:A,'EA-Fortescue_SDExport'!B:B),
    _xlpm.lookupKey, IF(_xlpm.isObject="Object",
        _xlfn.XLOOKUP($A212,'EA-ConnectorExport'!A:A,'EA-ConnectorExport'!J:J),
        $Y212
    ),
    _xlpm.result, _xlfn.XLOOKUP(_xlpm.lookupKey,'EA-Fortescue_SDExport'!A:A,'EA-Fortescue_SDExport'!AD:AD),
    IF(_xlpm.result=0,"",_xlpm.result)
)</f>
        <v>855DC Decarb Green Systems</v>
      </c>
      <c r="AD212" s="2" t="str">
        <f>_xlfn.LET(
    _xlpm.isObject, _xlfn.XLOOKUP($Y212,'EA-Fortescue_SDExport'!A:A,'EA-Fortescue_SDExport'!B:B),
    _xlpm.lookupKey, IF(_xlpm.isObject="Object",
        _xlfn.XLOOKUP($A212,'EA-ConnectorExport'!A:A,'EA-ConnectorExport'!J:J),
        $Y212
    ),
    _xlpm.result, _xlfn.XLOOKUP(_xlpm.lookupKey,'EA-Fortescue_SDExport'!A:A,'EA-Fortescue_SDExport'!AE:AE),
    IF(_xlpm.result=0,"",_xlpm.result)
)</f>
        <v>855DC-1543 Existing Systems - Green Enhancement</v>
      </c>
      <c r="AE212" s="2" t="str">
        <f>_xlfn.LET(
    _xlpm.isObject, _xlfn.XLOOKUP($Y212,'EA-Fortescue_SDExport'!A:A,'EA-Fortescue_SDExport'!B:B),
    _xlpm.lookupKey, IF(_xlpm.isObject="Object",
        _xlfn.XLOOKUP($A212,'EA-ConnectorExport'!A:A,'EA-ConnectorExport'!J:J),
        $Y212
    ),
    _xlpm.result, _xlfn.XLOOKUP(_xlpm.lookupKey,'EA-Fortescue_SDExport'!A:A,'EA-Fortescue_SDExport'!AF:AF),
    IF(_xlpm.result=0,"",_xlpm.result)
)</f>
        <v>855DC-1543-008 Monarch</v>
      </c>
      <c r="AF212" s="2" t="str">
        <f>_xlfn.LET(
    _xlpm.isObject, _xlfn.XLOOKUP($Y212,'EA-Fortescue_SDExport'!A:A,'EA-Fortescue_SDExport'!B:B),
    _xlpm.lookupKey, IF(_xlpm.isObject="Object",
        _xlfn.XLOOKUP($A212,'EA-ConnectorExport'!A:A,'EA-ConnectorExport'!J:J),
        $Y212
    ),
    _xlpm.result, _xlfn.XLOOKUP(_xlpm.lookupKey,'EA-Fortescue_SDExport'!A:A,'EA-Fortescue_SDExport'!AG:AG),
    IF(_xlpm.result=0,"",_xlpm.result)
)</f>
        <v/>
      </c>
    </row>
    <row r="213" spans="1:32" ht="240" x14ac:dyDescent="0.25">
      <c r="A213" s="2" t="str">
        <v>DGS-I_0212</v>
      </c>
      <c r="B213" s="2" t="str">
        <f t="shared" si="12"/>
        <v>850DC-1512-0001 HME Chargers - Gen1|005OP-0000-017 Ignition</v>
      </c>
      <c r="C213" s="2" t="str">
        <f>_xlfn.LET(_xlpm.result, _xlfn.XLOOKUP(A213,'EA-Fortescue_SDExport'!A:A,'EA-Fortescue_SDExport'!AM:AM), IF(_xlpm.result=0,"",_xlpm.result))</f>
        <v>Sam Hedgcock</v>
      </c>
      <c r="D213" s="2" t="str">
        <f>_xlfn.LET(_xlpm.result, _xlfn.XLOOKUP(A213,'EA-Fortescue_SDExport'!A:A,'EA-Fortescue_SDExport'!AN:AN), IF(_xlpm.result=0,"",_xlpm.result))</f>
        <v>TBC</v>
      </c>
      <c r="E213" s="2" t="str">
        <f>_xlfn.XLOOKUP(R213&amp;Z213,Lookups!A:A,Lookups!B:B)</f>
        <v>Project - Project Interface</v>
      </c>
      <c r="F213" s="2" t="str">
        <f>_xlfn.LET(_xlpm.result, _xlfn.XLOOKUP(A213,'EA-Fortescue_SDExport'!A:A,'EA-Fortescue_SDExport'!AP:AP), IF(_xlpm.result=0,"",_xlpm.result))</f>
        <v/>
      </c>
      <c r="G213" s="2" t="str">
        <f>IF(OR(AND(T213&lt;&gt;"", COUNTIF(Lookups!J:J, "*"&amp;T213&amp;"*")&gt;0), AND(AB213&lt;&gt;"", COUNTIF(Lookups!J:J, "*"&amp;AB213&amp;"*")&gt;0)), "Yes", "No")</f>
        <v>No</v>
      </c>
      <c r="H213" s="2" t="str">
        <f t="shared" si="13"/>
        <v>850DC Decarb Infrastructure|005OP IT/OT Systems</v>
      </c>
      <c r="I213" s="2" t="str">
        <f t="shared" si="14"/>
        <v>850DC-1510 Chargers|N/A</v>
      </c>
      <c r="J213" s="2" t="str">
        <f t="shared" si="15"/>
        <v>850DC-1512-0001 HME Chargers - Gen1|005OP-0000-017 Ignition</v>
      </c>
      <c r="K213" s="2" t="str">
        <f>_xlfn.XLOOKUP(A213,'EA-Fortescue_SDExport'!A:A,'EA-Fortescue_SDExport'!N:N)</f>
        <v>Proposed</v>
      </c>
      <c r="L213" s="2" t="str">
        <f>_xlfn.LET(_xlpm.result, _xlfn.XLOOKUP($A213,'EA-Fortescue_SDExport'!$A:$A,'EA-Fortescue_SDExport'!AQ:AQ), IF(_xlpm.result=0,"",_xlpm.result))</f>
        <v>The purpose of this interface is to enable Ignition SCADA to monitor, diagnose, and potentially control the Heavy Mobile Equipment (HME) charging infrastructure across the mine. Through real-time data acquisition, SCADA provides operators with visibility of charger availability, health, electrical conditions, and operational states. Furthermore, depending on the specific charger model and site requirements, this integration may also support remote start/stop commands, the clearing of basic faults, and confirmational feedback on whether the chargers are drawing power as expected._x000D_
Intermediate Elements: HME Charger PLC or gateway, Protocol mapping (registers -&gt; SCADA tags), Ignition SCADA data model, and Alarm engine &amp; historian (optional).</v>
      </c>
      <c r="M213" s="2" t="str">
        <f>_xlfn.LET(_xlpm.result, _xlfn.XLOOKUP($A213,'EA-Fortescue_SDExport'!$A:$A,'EA-Fortescue_SDExport'!AR:AR), IF(_xlpm.result=0,"",_xlpm.result))</f>
        <v>MEDIUM</v>
      </c>
      <c r="N213" s="2" t="str">
        <f>_xlfn.LET(_xlpm.result, _xlfn.XLOOKUP($A213,'EA-Fortescue_SDExport'!$A:$A,'EA-Fortescue_SDExport'!AW:AW), IF(_xlpm.result=0,"",_xlpm.result))</f>
        <v>The criticality level is MEDIUM because failure affects efficiency and situational awareness; however, depending on whether remote control is enabled, the core charger function may not be impacted. If remote control is enabled, the criticality is HIGH.</v>
      </c>
      <c r="O213" s="2" t="str">
        <f>_xlfn.LET(_xlpm.result, _xlfn.XLOOKUP($A213,'EA-Fortescue_SDExport'!$A:$A,'EA-Fortescue_SDExport'!AV:AV), IF(_xlpm.result=0,"",_xlpm.result))</f>
        <v>Data Flow:_x000D_
_x000D_
HME Chargers -&gt; PLC/Protocol Gateway -&gt; OPC/UA (or Modbus TCP, depending on vendor) -&gt; Ignition SCADA_x000D_
_x000D_
Optional (if control enabled):_x000D_
Ignition SCADA -&gt; OPC/UA -&gt; Charger Control Logic (start/stop, reset, availability signalling)</v>
      </c>
      <c r="P213" s="2" t="str">
        <f>_xlfn.LET(_xlpm.result, _xlfn.XLOOKUP($A213,'EA-Fortescue_SDExport'!$A:$A,'EA-Fortescue_SDExport'!D:D), IF(_xlpm.result=0,"",_xlpm.result))</f>
        <v>NH 11/12/2025: If remote control is enabled, the criticality is HIGH, therefore this interface should be rated as HIGH.</v>
      </c>
      <c r="Q213" s="2" t="str">
        <f>_xlfn.LET(
    _xlpm.status, _xlfn.XLOOKUP($A213,'EA-ConnectorExport'!$A:$A,'EA-ConnectorExport'!G:G),
    _xlpm.result, _xlfn.XLOOKUP($A213,'EA-ConnectorExport'!$A:$A,'EA-ConnectorExport'!B:B),
    IF(_xlpm.status="allocate", _xlpm.result, "")
)</f>
        <v>850DC-1512-0001 HME Chargers - Gen1</v>
      </c>
      <c r="R213" s="2" t="str">
        <f>IF(
    _xlfn.XLOOKUP($Q213,'EA-Fortescue_SDExport'!A:A,'EA-Fortescue_SDExport'!B:B)="Object",
    _xlfn.XLOOKUP(
        _xlfn.XLOOKUP($A213,'EA-ConnectorExport'!A:A,'EA-ConnectorExport'!D:D),
        'EA-Fortescue_SDExport'!A:A,
        'EA-Fortescue_SDExport'!AA:AA
    ),
    _xlfn.XLOOKUP($Q213,'EA-Fortescue_SDExport'!A:A,'EA-Fortescue_SDExport'!AA:AA)
)</f>
        <v>Project</v>
      </c>
      <c r="S213" s="2" t="str">
        <f>_xlfn.LET(_xlpm.result, _xlfn.XLOOKUP($Q213,'EA-Fortescue_SDExport'!$A:$A,'EA-Fortescue_SDExport'!AB:AB), IF(_xlpm.result=0,"",_xlpm.result))</f>
        <v/>
      </c>
      <c r="T213" s="2" t="str">
        <f>_xlfn.LET(_xlpm.result, _xlfn.XLOOKUP($Q213,'EA-Fortescue_SDExport'!$A:$A,'EA-Fortescue_SDExport'!AC:AC), IF(_xlpm.result=0,"",_xlpm.result))</f>
        <v>Generic Physical Asset</v>
      </c>
      <c r="U213" s="2" t="str">
        <f>_xlfn.LET(
    _xlpm.isObject, _xlfn.XLOOKUP($Q213,'EA-Fortescue_SDExport'!A:A,'EA-Fortescue_SDExport'!B:B),
    _xlpm.lookupKey, IF(_xlpm.isObject="Object",
        _xlfn.XLOOKUP($A213,'EA-ConnectorExport'!A:A,'EA-ConnectorExport'!D:D),
        $Q213
    ),
    _xlpm.result, _xlfn.XLOOKUP(_xlpm.lookupKey,'EA-Fortescue_SDExport'!A:A,'EA-Fortescue_SDExport'!AD:AD),
    IF(_xlpm.result=0,"",_xlpm.result)
)</f>
        <v>850DC Decarb Infrastructure</v>
      </c>
      <c r="V213" s="2" t="str">
        <f>_xlfn.LET(
    _xlpm.isObject, _xlfn.XLOOKUP($Q213,'EA-Fortescue_SDExport'!A:A,'EA-Fortescue_SDExport'!B:B),
    _xlpm.lookupKey, IF(_xlpm.isObject="Object",
        _xlfn.XLOOKUP($A213,'EA-ConnectorExport'!A:A,'EA-ConnectorExport'!D:D),
        $Q213
    ),
    _xlpm.result, _xlfn.XLOOKUP(_xlpm.lookupKey,'EA-Fortescue_SDExport'!A:A,'EA-Fortescue_SDExport'!AE:AE),
    IF(_xlpm.result=0,"",_xlpm.result)
)</f>
        <v>850DC-1510 Chargers</v>
      </c>
      <c r="W213" s="2" t="str">
        <f>_xlfn.LET(
    _xlpm.isObject, _xlfn.XLOOKUP($Q213,'EA-Fortescue_SDExport'!A:A,'EA-Fortescue_SDExport'!B:B),
    _xlpm.lookupKey, IF(_xlpm.isObject="Object",
        _xlfn.XLOOKUP($A213,'EA-ConnectorExport'!A:A,'EA-ConnectorExport'!D:D),
        $Q213
    ),
    _xlpm.result, _xlfn.XLOOKUP(_xlpm.lookupKey,'EA-Fortescue_SDExport'!A:A,'EA-Fortescue_SDExport'!AF:AF),
    IF(_xlpm.result=0,"",_xlpm.result)
)</f>
        <v>850DC-1512-0001 HME Chargers - Gen1</v>
      </c>
      <c r="X213" s="2" t="str">
        <f>_xlfn.LET(
    _xlpm.isObject, _xlfn.XLOOKUP($Q213,'EA-Fortescue_SDExport'!A:A,'EA-Fortescue_SDExport'!B:B),
    _xlpm.lookupKey, IF(_xlpm.isObject="Object",
        _xlfn.XLOOKUP($A213,'EA-ConnectorExport'!A:A,'EA-ConnectorExport'!D:D),
        $Q213
    ),
    _xlpm.result, _xlfn.XLOOKUP(_xlpm.lookupKey,'EA-Fortescue_SDExport'!A:A,'EA-Fortescue_SDExport'!AG:AG),
    IF(_xlpm.result=0,"",_xlpm.result)
)</f>
        <v/>
      </c>
      <c r="Y213" s="2" t="str">
        <f>_xlfn.LET(
    _xlpm.status, _xlfn.XLOOKUP($A213,'EA-ConnectorExport'!$A:$A,'EA-ConnectorExport'!G:G),
    _xlpm.result, _xlfn.XLOOKUP($A213,'EA-ConnectorExport'!$A:$A,'EA-ConnectorExport'!H:H),
    IF(_xlpm.status="allocate", _xlpm.result, "")
)</f>
        <v>005OP-0000-017 Ignition</v>
      </c>
      <c r="Z213" s="2" t="str">
        <f>_xlfn.LET(
    _xlpm.isObject, _xlfn.XLOOKUP($Y213,'EA-Fortescue_SDExport'!A:A,'EA-Fortescue_SDExport'!B:B),
    _xlpm.lookupKey, IF(_xlpm.isObject="Object",
        _xlfn.XLOOKUP($A213,'EA-ConnectorExport'!A:A,'EA-ConnectorExport'!J:J),
        $Y213
    ),
    _xlpm.result, _xlfn.XLOOKUP(_xlpm.lookupKey,'EA-Fortescue_SDExport'!A:A,'EA-Fortescue_SDExport'!AA:AA),
    IF(_xlpm.result=0,"",_xlpm.result)
)</f>
        <v>Project</v>
      </c>
      <c r="AA213" s="2" t="str">
        <f>_xlfn.LET(_xlpm.result, _xlfn.XLOOKUP($Y213,'EA-Fortescue_SDExport'!$A:$A,'EA-Fortescue_SDExport'!AB:AB), IF(_xlpm.result=0,"",_xlpm.result))</f>
        <v/>
      </c>
      <c r="AB213" s="2" t="str">
        <f>_xlfn.LET(_xlpm.result, _xlfn.XLOOKUP($Y213,'EA-Fortescue_SDExport'!$A:$A,'EA-Fortescue_SDExport'!AC:AC), IF(_xlpm.result=0,"",_xlpm.result))</f>
        <v/>
      </c>
      <c r="AC213" s="2" t="str">
        <f>_xlfn.LET(
    _xlpm.isObject, _xlfn.XLOOKUP($Y213,'EA-Fortescue_SDExport'!A:A,'EA-Fortescue_SDExport'!B:B),
    _xlpm.lookupKey, IF(_xlpm.isObject="Object",
        _xlfn.XLOOKUP($A213,'EA-ConnectorExport'!A:A,'EA-ConnectorExport'!J:J),
        $Y213
    ),
    _xlpm.result, _xlfn.XLOOKUP(_xlpm.lookupKey,'EA-Fortescue_SDExport'!A:A,'EA-Fortescue_SDExport'!AD:AD),
    IF(_xlpm.result=0,"",_xlpm.result)
)</f>
        <v>005OP IT/OT Systems</v>
      </c>
      <c r="AD213" s="2" t="str">
        <f>_xlfn.LET(
    _xlpm.isObject, _xlfn.XLOOKUP($Y213,'EA-Fortescue_SDExport'!A:A,'EA-Fortescue_SDExport'!B:B),
    _xlpm.lookupKey, IF(_xlpm.isObject="Object",
        _xlfn.XLOOKUP($A213,'EA-ConnectorExport'!A:A,'EA-ConnectorExport'!J:J),
        $Y213
    ),
    _xlpm.result, _xlfn.XLOOKUP(_xlpm.lookupKey,'EA-Fortescue_SDExport'!A:A,'EA-Fortescue_SDExport'!AE:AE),
    IF(_xlpm.result=0,"",_xlpm.result)
)</f>
        <v/>
      </c>
      <c r="AE213" s="2" t="str">
        <f>_xlfn.LET(
    _xlpm.isObject, _xlfn.XLOOKUP($Y213,'EA-Fortescue_SDExport'!A:A,'EA-Fortescue_SDExport'!B:B),
    _xlpm.lookupKey, IF(_xlpm.isObject="Object",
        _xlfn.XLOOKUP($A213,'EA-ConnectorExport'!A:A,'EA-ConnectorExport'!J:J),
        $Y213
    ),
    _xlpm.result, _xlfn.XLOOKUP(_xlpm.lookupKey,'EA-Fortescue_SDExport'!A:A,'EA-Fortescue_SDExport'!AF:AF),
    IF(_xlpm.result=0,"",_xlpm.result)
)</f>
        <v>005OP-0000-017 Ignition</v>
      </c>
      <c r="AF213" s="2" t="str">
        <f>_xlfn.LET(
    _xlpm.isObject, _xlfn.XLOOKUP($Y213,'EA-Fortescue_SDExport'!A:A,'EA-Fortescue_SDExport'!B:B),
    _xlpm.lookupKey, IF(_xlpm.isObject="Object",
        _xlfn.XLOOKUP($A213,'EA-ConnectorExport'!A:A,'EA-ConnectorExport'!J:J),
        $Y213
    ),
    _xlpm.result, _xlfn.XLOOKUP(_xlpm.lookupKey,'EA-Fortescue_SDExport'!A:A,'EA-Fortescue_SDExport'!AG:AG),
    IF(_xlpm.result=0,"",_xlpm.result)
)</f>
        <v/>
      </c>
    </row>
    <row r="214" spans="1:32" ht="375" x14ac:dyDescent="0.25">
      <c r="A214" s="2" t="str">
        <v>DGS-I_0213</v>
      </c>
      <c r="B214" s="2" t="str">
        <f t="shared" si="12"/>
        <v>Energy Operations (HIVE)|855DC-1541-DEL Delphi</v>
      </c>
      <c r="C214" s="2" t="str">
        <f>_xlfn.LET(_xlpm.result, _xlfn.XLOOKUP(A214,'EA-Fortescue_SDExport'!A:A,'EA-Fortescue_SDExport'!AM:AM), IF(_xlpm.result=0,"",_xlpm.result))</f>
        <v>Abby Buters</v>
      </c>
      <c r="D214" s="2" t="str">
        <f>_xlfn.LET(_xlpm.result, _xlfn.XLOOKUP(A214,'EA-Fortescue_SDExport'!A:A,'EA-Fortescue_SDExport'!AN:AN), IF(_xlpm.result=0,"",_xlpm.result))</f>
        <v>Energy Operations</v>
      </c>
      <c r="E214" s="2" t="str">
        <f>_xlfn.XLOOKUP(R214&amp;Z214,Lookups!A:A,Lookups!B:B)</f>
        <v>Stakeholder - Project Interface</v>
      </c>
      <c r="F214" s="2" t="str">
        <f>_xlfn.LET(_xlpm.result, _xlfn.XLOOKUP(A214,'EA-Fortescue_SDExport'!A:A,'EA-Fortescue_SDExport'!AP:AP), IF(_xlpm.result=0,"",_xlpm.result))</f>
        <v>Technical-Data/Software</v>
      </c>
      <c r="G214" s="2" t="str">
        <f>IF(OR(AND(T214&lt;&gt;"", COUNTIF(Lookups!J:J, "*"&amp;T214&amp;"*")&gt;0), AND(AB214&lt;&gt;"", COUNTIF(Lookups!J:J, "*"&amp;AB214&amp;"*")&gt;0)), "Yes", "No")</f>
        <v>No</v>
      </c>
      <c r="H214" s="2" t="str">
        <f t="shared" si="13"/>
        <v>N/A|855DC Decarb Green Systems</v>
      </c>
      <c r="I214" s="2" t="str">
        <f t="shared" si="14"/>
        <v>N/A|855DC-1541 Planning and Forecast Systems</v>
      </c>
      <c r="J214" s="2" t="str">
        <f t="shared" si="15"/>
        <v>N/A|855DC-1541-DEL Delphi</v>
      </c>
      <c r="K214" s="2" t="str">
        <f>_xlfn.XLOOKUP(A214,'EA-Fortescue_SDExport'!A:A,'EA-Fortescue_SDExport'!N:N)</f>
        <v>Proposed</v>
      </c>
      <c r="L214" s="2" t="str">
        <f>_xlfn.LET(_xlpm.result, _xlfn.XLOOKUP($A214,'EA-Fortescue_SDExport'!$A:$A,'EA-Fortescue_SDExport'!AQ:AQ), IF(_xlpm.result=0,"",_xlpm.result))</f>
        <v>Delphi - Aggregated Weather Platform for Actuals &amp; Forecasts (HIVE Display)_x000D_
The purpose of this interface is for Delphi to serve as the central aggregated weather platform, combining actual measured weather data and multiple forecast sources into a single operational view. Energy Operations uses Delphi to monitor real-time and near-term weather conditions - such as wind, irradiance, rainfall, and lightning - via a dedicated display screen in the HIVE control room._x000D_
Intermediate Elements: the Delphi weather aggregation platform, Snowflake datasets, and the HIVE visualisation screen.</v>
      </c>
      <c r="M214" s="2" t="str">
        <f>_xlfn.LET(_xlpm.result, _xlfn.XLOOKUP($A214,'EA-Fortescue_SDExport'!$A:$A,'EA-Fortescue_SDExport'!AR:AR), IF(_xlpm.result=0,"",_xlpm.result))</f>
        <v>HIGH</v>
      </c>
      <c r="N214" s="2" t="str">
        <f>_xlfn.LET(_xlpm.result, _xlfn.XLOOKUP($A214,'EA-Fortescue_SDExport'!$A:$A,'EA-Fortescue_SDExport'!AW:AW), IF(_xlpm.result=0,"",_xlpm.result))</f>
        <v>The criticality level is HIGH because reliable, consolidated weather visibility is essential for operational decision-making, forecasting accuracy, and reacting to rapidly changing conditions that affect generation, safety, and dispatch. Failure of this interface causes immediate blindness to changing conditions (e.g., wind gusts or solar drops), risking system instability, inaccurate generation curtailment, or compromising safety protocols (e.g., lightning warnings).</v>
      </c>
      <c r="O214" s="2" t="str">
        <f>_xlfn.LET(_xlpm.result, _xlfn.XLOOKUP($A214,'EA-Fortescue_SDExport'!$A:$A,'EA-Fortescue_SDExport'!AV:AV), IF(_xlpm.result=0,"",_xlpm.result))</f>
        <v>Weather APIs &amp; sensors (actuals + forecasts) -&gt; Delphi aggregation platform -&gt; HIVE display for Energy Operations.</v>
      </c>
      <c r="P214" s="2" t="str">
        <f>_xlfn.LET(_xlpm.result, _xlfn.XLOOKUP($A214,'EA-Fortescue_SDExport'!$A:$A,'EA-Fortescue_SDExport'!D:D), IF(_xlpm.result=0,"",_xlpm.result))</f>
        <v>NH 25/02/2026: Fields updated:Interface Type</v>
      </c>
      <c r="Q214" s="2" t="str">
        <f>_xlfn.LET(
    _xlpm.status, _xlfn.XLOOKUP($A214,'EA-ConnectorExport'!$A:$A,'EA-ConnectorExport'!G:G),
    _xlpm.result, _xlfn.XLOOKUP($A214,'EA-ConnectorExport'!$A:$A,'EA-ConnectorExport'!B:B),
    IF(_xlpm.status="allocate", _xlpm.result, "")
)</f>
        <v>Energy Operations (HIVE)</v>
      </c>
      <c r="R214" s="2" t="str">
        <f>IF(
    _xlfn.XLOOKUP($Q214,'EA-Fortescue_SDExport'!A:A,'EA-Fortescue_SDExport'!B:B)="Object",
    _xlfn.XLOOKUP(
        _xlfn.XLOOKUP($A214,'EA-ConnectorExport'!A:A,'EA-ConnectorExport'!D:D),
        'EA-Fortescue_SDExport'!A:A,
        'EA-Fortescue_SDExport'!AA:AA
    ),
    _xlfn.XLOOKUP($Q214,'EA-Fortescue_SDExport'!A:A,'EA-Fortescue_SDExport'!AA:AA)
)</f>
        <v>Stakeholder</v>
      </c>
      <c r="S214" s="2" t="str">
        <f>_xlfn.LET(_xlpm.result, _xlfn.XLOOKUP($Q214,'EA-Fortescue_SDExport'!$A:$A,'EA-Fortescue_SDExport'!AB:AB), IF(_xlpm.result=0,"",_xlpm.result))</f>
        <v/>
      </c>
      <c r="T214" s="2" t="str">
        <f>_xlfn.LET(_xlpm.result, _xlfn.XLOOKUP($Q214,'EA-Fortescue_SDExport'!$A:$A,'EA-Fortescue_SDExport'!AC:AC), IF(_xlpm.result=0,"",_xlpm.result))</f>
        <v/>
      </c>
      <c r="U214" s="2" t="str">
        <f>_xlfn.LET(
    _xlpm.isObject, _xlfn.XLOOKUP($Q214,'EA-Fortescue_SDExport'!A:A,'EA-Fortescue_SDExport'!B:B),
    _xlpm.lookupKey, IF(_xlpm.isObject="Object",
        _xlfn.XLOOKUP($A214,'EA-ConnectorExport'!A:A,'EA-ConnectorExport'!D:D),
        $Q214
    ),
    _xlpm.result, _xlfn.XLOOKUP(_xlpm.lookupKey,'EA-Fortescue_SDExport'!A:A,'EA-Fortescue_SDExport'!AD:AD),
    IF(_xlpm.result=0,"",_xlpm.result)
)</f>
        <v/>
      </c>
      <c r="V214" s="2" t="str">
        <f>_xlfn.LET(
    _xlpm.isObject, _xlfn.XLOOKUP($Q214,'EA-Fortescue_SDExport'!A:A,'EA-Fortescue_SDExport'!B:B),
    _xlpm.lookupKey, IF(_xlpm.isObject="Object",
        _xlfn.XLOOKUP($A214,'EA-ConnectorExport'!A:A,'EA-ConnectorExport'!D:D),
        $Q214
    ),
    _xlpm.result, _xlfn.XLOOKUP(_xlpm.lookupKey,'EA-Fortescue_SDExport'!A:A,'EA-Fortescue_SDExport'!AE:AE),
    IF(_xlpm.result=0,"",_xlpm.result)
)</f>
        <v/>
      </c>
      <c r="W214" s="2" t="str">
        <f>_xlfn.LET(
    _xlpm.isObject, _xlfn.XLOOKUP($Q214,'EA-Fortescue_SDExport'!A:A,'EA-Fortescue_SDExport'!B:B),
    _xlpm.lookupKey, IF(_xlpm.isObject="Object",
        _xlfn.XLOOKUP($A214,'EA-ConnectorExport'!A:A,'EA-ConnectorExport'!D:D),
        $Q214
    ),
    _xlpm.result, _xlfn.XLOOKUP(_xlpm.lookupKey,'EA-Fortescue_SDExport'!A:A,'EA-Fortescue_SDExport'!AF:AF),
    IF(_xlpm.result=0,"",_xlpm.result)
)</f>
        <v/>
      </c>
      <c r="X214" s="2" t="str">
        <f>_xlfn.LET(
    _xlpm.isObject, _xlfn.XLOOKUP($Q214,'EA-Fortescue_SDExport'!A:A,'EA-Fortescue_SDExport'!B:B),
    _xlpm.lookupKey, IF(_xlpm.isObject="Object",
        _xlfn.XLOOKUP($A214,'EA-ConnectorExport'!A:A,'EA-ConnectorExport'!D:D),
        $Q214
    ),
    _xlpm.result, _xlfn.XLOOKUP(_xlpm.lookupKey,'EA-Fortescue_SDExport'!A:A,'EA-Fortescue_SDExport'!AG:AG),
    IF(_xlpm.result=0,"",_xlpm.result)
)</f>
        <v/>
      </c>
      <c r="Y214" s="2" t="str">
        <f>_xlfn.LET(
    _xlpm.status, _xlfn.XLOOKUP($A214,'EA-ConnectorExport'!$A:$A,'EA-ConnectorExport'!G:G),
    _xlpm.result, _xlfn.XLOOKUP($A214,'EA-ConnectorExport'!$A:$A,'EA-ConnectorExport'!H:H),
    IF(_xlpm.status="allocate", _xlpm.result, "")
)</f>
        <v>855DC-1541-DEL Delphi</v>
      </c>
      <c r="Z214" s="2" t="str">
        <f>_xlfn.LET(
    _xlpm.isObject, _xlfn.XLOOKUP($Y214,'EA-Fortescue_SDExport'!A:A,'EA-Fortescue_SDExport'!B:B),
    _xlpm.lookupKey, IF(_xlpm.isObject="Object",
        _xlfn.XLOOKUP($A214,'EA-ConnectorExport'!A:A,'EA-ConnectorExport'!J:J),
        $Y214
    ),
    _xlpm.result, _xlfn.XLOOKUP(_xlpm.lookupKey,'EA-Fortescue_SDExport'!A:A,'EA-Fortescue_SDExport'!AA:AA),
    IF(_xlpm.result=0,"",_xlpm.result)
)</f>
        <v>Project</v>
      </c>
      <c r="AA214" s="2" t="str">
        <f>_xlfn.LET(_xlpm.result, _xlfn.XLOOKUP($Y214,'EA-Fortescue_SDExport'!$A:$A,'EA-Fortescue_SDExport'!AB:AB), IF(_xlpm.result=0,"",_xlpm.result))</f>
        <v>Energy Operations</v>
      </c>
      <c r="AB214" s="2" t="str">
        <f>_xlfn.LET(_xlpm.result, _xlfn.XLOOKUP($Y214,'EA-Fortescue_SDExport'!$A:$A,'EA-Fortescue_SDExport'!AC:AC), IF(_xlpm.result=0,"",_xlpm.result))</f>
        <v/>
      </c>
      <c r="AC214" s="2" t="str">
        <f>_xlfn.LET(
    _xlpm.isObject, _xlfn.XLOOKUP($Y214,'EA-Fortescue_SDExport'!A:A,'EA-Fortescue_SDExport'!B:B),
    _xlpm.lookupKey, IF(_xlpm.isObject="Object",
        _xlfn.XLOOKUP($A214,'EA-ConnectorExport'!A:A,'EA-ConnectorExport'!J:J),
        $Y214
    ),
    _xlpm.result, _xlfn.XLOOKUP(_xlpm.lookupKey,'EA-Fortescue_SDExport'!A:A,'EA-Fortescue_SDExport'!AD:AD),
    IF(_xlpm.result=0,"",_xlpm.result)
)</f>
        <v>855DC Decarb Green Systems</v>
      </c>
      <c r="AD214" s="2" t="str">
        <f>_xlfn.LET(
    _xlpm.isObject, _xlfn.XLOOKUP($Y214,'EA-Fortescue_SDExport'!A:A,'EA-Fortescue_SDExport'!B:B),
    _xlpm.lookupKey, IF(_xlpm.isObject="Object",
        _xlfn.XLOOKUP($A214,'EA-ConnectorExport'!A:A,'EA-ConnectorExport'!J:J),
        $Y214
    ),
    _xlpm.result, _xlfn.XLOOKUP(_xlpm.lookupKey,'EA-Fortescue_SDExport'!A:A,'EA-Fortescue_SDExport'!AE:AE),
    IF(_xlpm.result=0,"",_xlpm.result)
)</f>
        <v>855DC-1541 Planning and Forecast Systems</v>
      </c>
      <c r="AE214" s="2" t="str">
        <f>_xlfn.LET(
    _xlpm.isObject, _xlfn.XLOOKUP($Y214,'EA-Fortescue_SDExport'!A:A,'EA-Fortescue_SDExport'!B:B),
    _xlpm.lookupKey, IF(_xlpm.isObject="Object",
        _xlfn.XLOOKUP($A214,'EA-ConnectorExport'!A:A,'EA-ConnectorExport'!J:J),
        $Y214
    ),
    _xlpm.result, _xlfn.XLOOKUP(_xlpm.lookupKey,'EA-Fortescue_SDExport'!A:A,'EA-Fortescue_SDExport'!AF:AF),
    IF(_xlpm.result=0,"",_xlpm.result)
)</f>
        <v>855DC-1541-DEL Delphi</v>
      </c>
      <c r="AF214" s="2" t="str">
        <f>_xlfn.LET(
    _xlpm.isObject, _xlfn.XLOOKUP($Y214,'EA-Fortescue_SDExport'!A:A,'EA-Fortescue_SDExport'!B:B),
    _xlpm.lookupKey, IF(_xlpm.isObject="Object",
        _xlfn.XLOOKUP($A214,'EA-ConnectorExport'!A:A,'EA-ConnectorExport'!J:J),
        $Y214
    ),
    _xlpm.result, _xlfn.XLOOKUP(_xlpm.lookupKey,'EA-Fortescue_SDExport'!A:A,'EA-Fortescue_SDExport'!AG:AG),
    IF(_xlpm.result=0,"",_xlpm.result)
)</f>
        <v/>
      </c>
    </row>
    <row r="215" spans="1:32" ht="60" x14ac:dyDescent="0.25">
      <c r="A215" s="2" t="str">
        <v>DGS-I_0214</v>
      </c>
      <c r="B215" s="2" t="str">
        <f t="shared" si="12"/>
        <v>855DC-1544-021 GAF24|855DC-1541-ECL Eclipse</v>
      </c>
      <c r="C215" s="2" t="str">
        <f>_xlfn.LET(_xlpm.result, _xlfn.XLOOKUP(A215,'EA-Fortescue_SDExport'!A:A,'EA-Fortescue_SDExport'!AM:AM), IF(_xlpm.result=0,"",_xlpm.result))</f>
        <v>Abby Buters</v>
      </c>
      <c r="D215" s="2" t="str">
        <f>_xlfn.LET(_xlpm.result, _xlfn.XLOOKUP(A215,'EA-Fortescue_SDExport'!A:A,'EA-Fortescue_SDExport'!AN:AN), IF(_xlpm.result=0,"",_xlpm.result))</f>
        <v>Glen Carruthers</v>
      </c>
      <c r="E215" s="2" t="str">
        <f>_xlfn.XLOOKUP(R215&amp;Z215,Lookups!A:A,Lookups!B:B)</f>
        <v>Project - Project Interface</v>
      </c>
      <c r="F215" s="2" t="str">
        <f>_xlfn.LET(_xlpm.result, _xlfn.XLOOKUP(A215,'EA-Fortescue_SDExport'!A:A,'EA-Fortescue_SDExport'!AP:AP), IF(_xlpm.result=0,"",_xlpm.result))</f>
        <v>Technical-Data/Software</v>
      </c>
      <c r="G215" s="2" t="str">
        <f>IF(OR(AND(T215&lt;&gt;"", COUNTIF(Lookups!J:J, "*"&amp;T215&amp;"*")&gt;0), AND(AB215&lt;&gt;"", COUNTIF(Lookups!J:J, "*"&amp;AB215&amp;"*")&gt;0)), "Yes", "No")</f>
        <v>No</v>
      </c>
      <c r="H215" s="2" t="str">
        <f t="shared" si="13"/>
        <v>855DC Decarb Green Systems|855DC Decarb Green Systems</v>
      </c>
      <c r="I215" s="2" t="str">
        <f t="shared" si="14"/>
        <v>855DC-1544 Unassigned / TBC|855DC-1541 Planning and Forecast Systems</v>
      </c>
      <c r="J215" s="2" t="str">
        <f t="shared" si="15"/>
        <v>855DC-1544-021 GAF24|855DC-1541-ECL Eclipse</v>
      </c>
      <c r="K215" s="2" t="str">
        <f>_xlfn.XLOOKUP(A215,'EA-Fortescue_SDExport'!A:A,'EA-Fortescue_SDExport'!N:N)</f>
        <v>Simplified Interface</v>
      </c>
      <c r="L215" s="2" t="str">
        <f>_xlfn.LET(_xlpm.result, _xlfn.XLOOKUP($A215,'EA-Fortescue_SDExport'!$A:$A,'EA-Fortescue_SDExport'!AQ:AQ), IF(_xlpm.result=0,"",_xlpm.result))</f>
        <v>The purpose of this interface is to provide the generator availability for the next 24 hours, which is pulled from Snowflake, specifically for use in short-term planning and the Security-Constrained Unit Commitment (SCUC) process.</v>
      </c>
      <c r="M215" s="2" t="str">
        <f>_xlfn.LET(_xlpm.result, _xlfn.XLOOKUP($A215,'EA-Fortescue_SDExport'!$A:$A,'EA-Fortescue_SDExport'!AR:AR), IF(_xlpm.result=0,"",_xlpm.result))</f>
        <v>MEDIUM</v>
      </c>
      <c r="N215" s="2" t="str">
        <f>_xlfn.LET(_xlpm.result, _xlfn.XLOOKUP($A215,'EA-Fortescue_SDExport'!$A:$A,'EA-Fortescue_SDExport'!AW:AW), IF(_xlpm.result=0,"",_xlpm.result))</f>
        <v>The criticality is MEDIUM because, although the interface failure does not prevent system operation, it reduces the effectiveness of short-term planning and the SCUC process by limiting access to generator availability data. This can cause moderate deviations from optimal dispatch and planning outcomes, impacting overall operational efficiency. The effect is system-wide and sustained, rather than minor and quickly recoverable, supporting a MEDIUM classification rather than LOW.</v>
      </c>
      <c r="O215" s="2" t="str">
        <f>_xlfn.LET(_xlpm.result, _xlfn.XLOOKUP($A215,'EA-Fortescue_SDExport'!$A:$A,'EA-Fortescue_SDExport'!AV:AV), IF(_xlpm.result=0,"",_xlpm.result))</f>
        <v>Eclipse -&gt; GAF24</v>
      </c>
      <c r="P215" s="2" t="str">
        <f>_xlfn.LET(_xlpm.result, _xlfn.XLOOKUP($A215,'EA-Fortescue_SDExport'!$A:$A,'EA-Fortescue_SDExport'!D:D), IF(_xlpm.result=0,"",_xlpm.result))</f>
        <v>NH 25/02/2026: Fields updated:Interface Type, Interface Criticality, Interface Criticality Explanation, Interface Flow</v>
      </c>
      <c r="Q215" s="2" t="str">
        <f>_xlfn.LET(
    _xlpm.status, _xlfn.XLOOKUP($A215,'EA-ConnectorExport'!$A:$A,'EA-ConnectorExport'!G:G),
    _xlpm.result, _xlfn.XLOOKUP($A215,'EA-ConnectorExport'!$A:$A,'EA-ConnectorExport'!B:B),
    IF(_xlpm.status="allocate", _xlpm.result, "")
)</f>
        <v>855DC-1544-021 GAF24</v>
      </c>
      <c r="R215" s="2" t="str">
        <f>IF(
    _xlfn.XLOOKUP($Q215,'EA-Fortescue_SDExport'!A:A,'EA-Fortescue_SDExport'!B:B)="Object",
    _xlfn.XLOOKUP(
        _xlfn.XLOOKUP($A215,'EA-ConnectorExport'!A:A,'EA-ConnectorExport'!D:D),
        'EA-Fortescue_SDExport'!A:A,
        'EA-Fortescue_SDExport'!AA:AA
    ),
    _xlfn.XLOOKUP($Q215,'EA-Fortescue_SDExport'!A:A,'EA-Fortescue_SDExport'!AA:AA)
)</f>
        <v>Project</v>
      </c>
      <c r="S215" s="2" t="str">
        <f>_xlfn.LET(_xlpm.result, _xlfn.XLOOKUP($Q215,'EA-Fortescue_SDExport'!$A:$A,'EA-Fortescue_SDExport'!AB:AB), IF(_xlpm.result=0,"",_xlpm.result))</f>
        <v/>
      </c>
      <c r="T215" s="2" t="str">
        <f>_xlfn.LET(_xlpm.result, _xlfn.XLOOKUP($Q215,'EA-Fortescue_SDExport'!$A:$A,'EA-Fortescue_SDExport'!AC:AC), IF(_xlpm.result=0,"",_xlpm.result))</f>
        <v/>
      </c>
      <c r="U215" s="2" t="str">
        <f>_xlfn.LET(
    _xlpm.isObject, _xlfn.XLOOKUP($Q215,'EA-Fortescue_SDExport'!A:A,'EA-Fortescue_SDExport'!B:B),
    _xlpm.lookupKey, IF(_xlpm.isObject="Object",
        _xlfn.XLOOKUP($A215,'EA-ConnectorExport'!A:A,'EA-ConnectorExport'!D:D),
        $Q215
    ),
    _xlpm.result, _xlfn.XLOOKUP(_xlpm.lookupKey,'EA-Fortescue_SDExport'!A:A,'EA-Fortescue_SDExport'!AD:AD),
    IF(_xlpm.result=0,"",_xlpm.result)
)</f>
        <v>855DC Decarb Green Systems</v>
      </c>
      <c r="V215" s="2" t="str">
        <f>_xlfn.LET(
    _xlpm.isObject, _xlfn.XLOOKUP($Q215,'EA-Fortescue_SDExport'!A:A,'EA-Fortescue_SDExport'!B:B),
    _xlpm.lookupKey, IF(_xlpm.isObject="Object",
        _xlfn.XLOOKUP($A215,'EA-ConnectorExport'!A:A,'EA-ConnectorExport'!D:D),
        $Q215
    ),
    _xlpm.result, _xlfn.XLOOKUP(_xlpm.lookupKey,'EA-Fortescue_SDExport'!A:A,'EA-Fortescue_SDExport'!AE:AE),
    IF(_xlpm.result=0,"",_xlpm.result)
)</f>
        <v>855DC-1544 Unassigned / TBC</v>
      </c>
      <c r="W215" s="2" t="str">
        <f>_xlfn.LET(
    _xlpm.isObject, _xlfn.XLOOKUP($Q215,'EA-Fortescue_SDExport'!A:A,'EA-Fortescue_SDExport'!B:B),
    _xlpm.lookupKey, IF(_xlpm.isObject="Object",
        _xlfn.XLOOKUP($A215,'EA-ConnectorExport'!A:A,'EA-ConnectorExport'!D:D),
        $Q215
    ),
    _xlpm.result, _xlfn.XLOOKUP(_xlpm.lookupKey,'EA-Fortescue_SDExport'!A:A,'EA-Fortescue_SDExport'!AF:AF),
    IF(_xlpm.result=0,"",_xlpm.result)
)</f>
        <v>855DC-1544-021 GAF24</v>
      </c>
      <c r="X215" s="2" t="str">
        <f>_xlfn.LET(
    _xlpm.isObject, _xlfn.XLOOKUP($Q215,'EA-Fortescue_SDExport'!A:A,'EA-Fortescue_SDExport'!B:B),
    _xlpm.lookupKey, IF(_xlpm.isObject="Object",
        _xlfn.XLOOKUP($A215,'EA-ConnectorExport'!A:A,'EA-ConnectorExport'!D:D),
        $Q215
    ),
    _xlpm.result, _xlfn.XLOOKUP(_xlpm.lookupKey,'EA-Fortescue_SDExport'!A:A,'EA-Fortescue_SDExport'!AG:AG),
    IF(_xlpm.result=0,"",_xlpm.result)
)</f>
        <v/>
      </c>
      <c r="Y215" s="2" t="str">
        <f>_xlfn.LET(
    _xlpm.status, _xlfn.XLOOKUP($A215,'EA-ConnectorExport'!$A:$A,'EA-ConnectorExport'!G:G),
    _xlpm.result, _xlfn.XLOOKUP($A215,'EA-ConnectorExport'!$A:$A,'EA-ConnectorExport'!H:H),
    IF(_xlpm.status="allocate", _xlpm.result, "")
)</f>
        <v>855DC-1541-ECL Eclipse</v>
      </c>
      <c r="Z215" s="2" t="str">
        <f>_xlfn.LET(
    _xlpm.isObject, _xlfn.XLOOKUP($Y215,'EA-Fortescue_SDExport'!A:A,'EA-Fortescue_SDExport'!B:B),
    _xlpm.lookupKey, IF(_xlpm.isObject="Object",
        _xlfn.XLOOKUP($A215,'EA-ConnectorExport'!A:A,'EA-ConnectorExport'!J:J),
        $Y215
    ),
    _xlpm.result, _xlfn.XLOOKUP(_xlpm.lookupKey,'EA-Fortescue_SDExport'!A:A,'EA-Fortescue_SDExport'!AA:AA),
    IF(_xlpm.result=0,"",_xlpm.result)
)</f>
        <v>Project</v>
      </c>
      <c r="AA215" s="2" t="str">
        <f>_xlfn.LET(_xlpm.result, _xlfn.XLOOKUP($Y215,'EA-Fortescue_SDExport'!$A:$A,'EA-Fortescue_SDExport'!AB:AB), IF(_xlpm.result=0,"",_xlpm.result))</f>
        <v>Energy Operations</v>
      </c>
      <c r="AB215" s="2" t="str">
        <f>_xlfn.LET(_xlpm.result, _xlfn.XLOOKUP($Y215,'EA-Fortescue_SDExport'!$A:$A,'EA-Fortescue_SDExport'!AC:AC), IF(_xlpm.result=0,"",_xlpm.result))</f>
        <v/>
      </c>
      <c r="AC215" s="2" t="str">
        <f>_xlfn.LET(
    _xlpm.isObject, _xlfn.XLOOKUP($Y215,'EA-Fortescue_SDExport'!A:A,'EA-Fortescue_SDExport'!B:B),
    _xlpm.lookupKey, IF(_xlpm.isObject="Object",
        _xlfn.XLOOKUP($A215,'EA-ConnectorExport'!A:A,'EA-ConnectorExport'!J:J),
        $Y215
    ),
    _xlpm.result, _xlfn.XLOOKUP(_xlpm.lookupKey,'EA-Fortescue_SDExport'!A:A,'EA-Fortescue_SDExport'!AD:AD),
    IF(_xlpm.result=0,"",_xlpm.result)
)</f>
        <v>855DC Decarb Green Systems</v>
      </c>
      <c r="AD215" s="2" t="str">
        <f>_xlfn.LET(
    _xlpm.isObject, _xlfn.XLOOKUP($Y215,'EA-Fortescue_SDExport'!A:A,'EA-Fortescue_SDExport'!B:B),
    _xlpm.lookupKey, IF(_xlpm.isObject="Object",
        _xlfn.XLOOKUP($A215,'EA-ConnectorExport'!A:A,'EA-ConnectorExport'!J:J),
        $Y215
    ),
    _xlpm.result, _xlfn.XLOOKUP(_xlpm.lookupKey,'EA-Fortescue_SDExport'!A:A,'EA-Fortescue_SDExport'!AE:AE),
    IF(_xlpm.result=0,"",_xlpm.result)
)</f>
        <v>855DC-1541 Planning and Forecast Systems</v>
      </c>
      <c r="AE215" s="2" t="str">
        <f>_xlfn.LET(
    _xlpm.isObject, _xlfn.XLOOKUP($Y215,'EA-Fortescue_SDExport'!A:A,'EA-Fortescue_SDExport'!B:B),
    _xlpm.lookupKey, IF(_xlpm.isObject="Object",
        _xlfn.XLOOKUP($A215,'EA-ConnectorExport'!A:A,'EA-ConnectorExport'!J:J),
        $Y215
    ),
    _xlpm.result, _xlfn.XLOOKUP(_xlpm.lookupKey,'EA-Fortescue_SDExport'!A:A,'EA-Fortescue_SDExport'!AF:AF),
    IF(_xlpm.result=0,"",_xlpm.result)
)</f>
        <v>855DC-1541-ECL Eclipse</v>
      </c>
      <c r="AF215" s="2" t="str">
        <f>_xlfn.LET(
    _xlpm.isObject, _xlfn.XLOOKUP($Y215,'EA-Fortescue_SDExport'!A:A,'EA-Fortescue_SDExport'!B:B),
    _xlpm.lookupKey, IF(_xlpm.isObject="Object",
        _xlfn.XLOOKUP($A215,'EA-ConnectorExport'!A:A,'EA-ConnectorExport'!J:J),
        $Y215
    ),
    _xlpm.result, _xlfn.XLOOKUP(_xlpm.lookupKey,'EA-Fortescue_SDExport'!A:A,'EA-Fortescue_SDExport'!AG:AG),
    IF(_xlpm.result=0,"",_xlpm.result)
)</f>
        <v/>
      </c>
    </row>
    <row r="216" spans="1:32" ht="240" x14ac:dyDescent="0.25">
      <c r="A216" s="2" t="str">
        <v>DGS-I_0215</v>
      </c>
      <c r="B216" s="2" t="str">
        <f t="shared" si="12"/>
        <v>855DC-1541-005 HaulAI|859DC-1410-001-001 HaulX Dispatch (Fleet Management System (FMS))</v>
      </c>
      <c r="C216" s="2" t="str">
        <f>_xlfn.LET(_xlpm.result, _xlfn.XLOOKUP(A216,'EA-Fortescue_SDExport'!A:A,'EA-Fortescue_SDExport'!AM:AM), IF(_xlpm.result=0,"",_xlpm.result))</f>
        <v/>
      </c>
      <c r="D216" s="2" t="str">
        <f>_xlfn.LET(_xlpm.result, _xlfn.XLOOKUP(A216,'EA-Fortescue_SDExport'!A:A,'EA-Fortescue_SDExport'!AN:AN), IF(_xlpm.result=0,"",_xlpm.result))</f>
        <v/>
      </c>
      <c r="E216" s="2" t="str">
        <f>_xlfn.XLOOKUP(R216&amp;Z216,Lookups!A:A,Lookups!B:B)</f>
        <v>Project - Subsystem Interface</v>
      </c>
      <c r="F216" s="2" t="str">
        <f>_xlfn.LET(_xlpm.result, _xlfn.XLOOKUP(A216,'EA-Fortescue_SDExport'!A:A,'EA-Fortescue_SDExport'!AP:AP), IF(_xlpm.result=0,"",_xlpm.result))</f>
        <v>Technical-Data/Software</v>
      </c>
      <c r="G216" s="2" t="str">
        <f>IF(OR(AND(T216&lt;&gt;"", COUNTIF(Lookups!J:J, "*"&amp;T216&amp;"*")&gt;0), AND(AB216&lt;&gt;"", COUNTIF(Lookups!J:J, "*"&amp;AB216&amp;"*")&gt;0)), "Yes", "No")</f>
        <v>No</v>
      </c>
      <c r="H216" s="2" t="str">
        <f t="shared" si="13"/>
        <v>855DC Decarb Green Systems|859DC HaulX</v>
      </c>
      <c r="I216" s="2" t="str">
        <f t="shared" si="14"/>
        <v>855DC-1541 Planning and Forecast Systems|N/A</v>
      </c>
      <c r="J216" s="2" t="str">
        <f t="shared" si="15"/>
        <v>855DC-1541-005 HaulAI|859DC-1410-001 HaulX</v>
      </c>
      <c r="K216" s="2" t="str">
        <f>_xlfn.XLOOKUP(A216,'EA-Fortescue_SDExport'!A:A,'EA-Fortescue_SDExport'!N:N)</f>
        <v>Proposed</v>
      </c>
      <c r="L216" s="2" t="str">
        <f>_xlfn.LET(_xlpm.result, _xlfn.XLOOKUP($A216,'EA-Fortescue_SDExport'!$A:$A,'EA-Fortescue_SDExport'!AQ:AQ), IF(_xlpm.result=0,"",_xlpm.result))</f>
        <v>This interface enables HaulAI to supply HaulX Dispatch with simulated haulage performance, cycle-time predictions, and route congestion forecasts, ensuring dispatch decisions mirror real operational conditions.</v>
      </c>
      <c r="M216" s="2" t="str">
        <f>_xlfn.LET(_xlpm.result, _xlfn.XLOOKUP($A216,'EA-Fortescue_SDExport'!$A:$A,'EA-Fortescue_SDExport'!AR:AR), IF(_xlpm.result=0,"",_xlpm.result))</f>
        <v>LOW</v>
      </c>
      <c r="N216" s="2" t="str">
        <f>_xlfn.LET(_xlpm.result, _xlfn.XLOOKUP($A216,'EA-Fortescue_SDExport'!$A:$A,'EA-Fortescue_SDExport'!AW:AW), IF(_xlpm.result=0,"",_xlpm.result))</f>
        <v>The criticality level is LOW because HaulAI supports planning and optimisation rather than real-time execution. If the interface fails, HaulX Dispatch can continue operating normally, though with less forecasting insight. The link improves decision quality but does not impact truck safety or daily production continuity.</v>
      </c>
      <c r="O216" s="2" t="str">
        <f>_xlfn.LET(_xlpm.result, _xlfn.XLOOKUP($A216,'EA-Fortescue_SDExport'!$A:$A,'EA-Fortescue_SDExport'!AV:AV), IF(_xlpm.result=0,"",_xlpm.result))</f>
        <v>Data Flow:_x000D_
855DC-1541-005 HaulAI -&gt; 859DC-1410-001 HaulX. This interface supplies HaulX Dispatch with simulated haulage performance data, including cycle-time predictions and route congestion forecasts. This ensures that dispatch decisions are informed by simulated operational conditions to improve decision quality.</v>
      </c>
      <c r="P216" s="2" t="str">
        <f>_xlfn.LET(_xlpm.result, _xlfn.XLOOKUP($A216,'EA-Fortescue_SDExport'!$A:$A,'EA-Fortescue_SDExport'!D:D), IF(_xlpm.result=0,"",_xlpm.result))</f>
        <v>NH 20/02/2026: Fields updated: Interface Type, Interface Flow.</v>
      </c>
      <c r="Q216" s="2" t="str">
        <f>_xlfn.LET(
    _xlpm.status, _xlfn.XLOOKUP($A216,'EA-ConnectorExport'!$A:$A,'EA-ConnectorExport'!G:G),
    _xlpm.result, _xlfn.XLOOKUP($A216,'EA-ConnectorExport'!$A:$A,'EA-ConnectorExport'!B:B),
    IF(_xlpm.status="allocate", _xlpm.result, "")
)</f>
        <v>855DC-1541-005 HaulAI</v>
      </c>
      <c r="R216" s="2" t="str">
        <f>IF(
    _xlfn.XLOOKUP($Q216,'EA-Fortescue_SDExport'!A:A,'EA-Fortescue_SDExport'!B:B)="Object",
    _xlfn.XLOOKUP(
        _xlfn.XLOOKUP($A216,'EA-ConnectorExport'!A:A,'EA-ConnectorExport'!D:D),
        'EA-Fortescue_SDExport'!A:A,
        'EA-Fortescue_SDExport'!AA:AA
    ),
    _xlfn.XLOOKUP($Q216,'EA-Fortescue_SDExport'!A:A,'EA-Fortescue_SDExport'!AA:AA)
)</f>
        <v>Project</v>
      </c>
      <c r="S216" s="2" t="str">
        <f>_xlfn.LET(_xlpm.result, _xlfn.XLOOKUP($Q216,'EA-Fortescue_SDExport'!$A:$A,'EA-Fortescue_SDExport'!AB:AB), IF(_xlpm.result=0,"",_xlpm.result))</f>
        <v/>
      </c>
      <c r="T216" s="2" t="str">
        <f>_xlfn.LET(_xlpm.result, _xlfn.XLOOKUP($Q216,'EA-Fortescue_SDExport'!$A:$A,'EA-Fortescue_SDExport'!AC:AC), IF(_xlpm.result=0,"",_xlpm.result))</f>
        <v>Vendor Cloud</v>
      </c>
      <c r="U216" s="2" t="str">
        <f>_xlfn.LET(
    _xlpm.isObject, _xlfn.XLOOKUP($Q216,'EA-Fortescue_SDExport'!A:A,'EA-Fortescue_SDExport'!B:B),
    _xlpm.lookupKey, IF(_xlpm.isObject="Object",
        _xlfn.XLOOKUP($A216,'EA-ConnectorExport'!A:A,'EA-ConnectorExport'!D:D),
        $Q216
    ),
    _xlpm.result, _xlfn.XLOOKUP(_xlpm.lookupKey,'EA-Fortescue_SDExport'!A:A,'EA-Fortescue_SDExport'!AD:AD),
    IF(_xlpm.result=0,"",_xlpm.result)
)</f>
        <v>855DC Decarb Green Systems</v>
      </c>
      <c r="V216" s="2" t="str">
        <f>_xlfn.LET(
    _xlpm.isObject, _xlfn.XLOOKUP($Q216,'EA-Fortescue_SDExport'!A:A,'EA-Fortescue_SDExport'!B:B),
    _xlpm.lookupKey, IF(_xlpm.isObject="Object",
        _xlfn.XLOOKUP($A216,'EA-ConnectorExport'!A:A,'EA-ConnectorExport'!D:D),
        $Q216
    ),
    _xlpm.result, _xlfn.XLOOKUP(_xlpm.lookupKey,'EA-Fortescue_SDExport'!A:A,'EA-Fortescue_SDExport'!AE:AE),
    IF(_xlpm.result=0,"",_xlpm.result)
)</f>
        <v>855DC-1541 Planning and Forecast Systems</v>
      </c>
      <c r="W216" s="2" t="str">
        <f>_xlfn.LET(
    _xlpm.isObject, _xlfn.XLOOKUP($Q216,'EA-Fortescue_SDExport'!A:A,'EA-Fortescue_SDExport'!B:B),
    _xlpm.lookupKey, IF(_xlpm.isObject="Object",
        _xlfn.XLOOKUP($A216,'EA-ConnectorExport'!A:A,'EA-ConnectorExport'!D:D),
        $Q216
    ),
    _xlpm.result, _xlfn.XLOOKUP(_xlpm.lookupKey,'EA-Fortescue_SDExport'!A:A,'EA-Fortescue_SDExport'!AF:AF),
    IF(_xlpm.result=0,"",_xlpm.result)
)</f>
        <v>855DC-1541-005 HaulAI</v>
      </c>
      <c r="X216" s="2" t="str">
        <f>_xlfn.LET(
    _xlpm.isObject, _xlfn.XLOOKUP($Q216,'EA-Fortescue_SDExport'!A:A,'EA-Fortescue_SDExport'!B:B),
    _xlpm.lookupKey, IF(_xlpm.isObject="Object",
        _xlfn.XLOOKUP($A216,'EA-ConnectorExport'!A:A,'EA-ConnectorExport'!D:D),
        $Q216
    ),
    _xlpm.result, _xlfn.XLOOKUP(_xlpm.lookupKey,'EA-Fortescue_SDExport'!A:A,'EA-Fortescue_SDExport'!AG:AG),
    IF(_xlpm.result=0,"",_xlpm.result)
)</f>
        <v/>
      </c>
      <c r="Y216" s="2" t="str">
        <f>_xlfn.LET(
    _xlpm.status, _xlfn.XLOOKUP($A216,'EA-ConnectorExport'!$A:$A,'EA-ConnectorExport'!G:G),
    _xlpm.result, _xlfn.XLOOKUP($A216,'EA-ConnectorExport'!$A:$A,'EA-ConnectorExport'!H:H),
    IF(_xlpm.status="allocate", _xlpm.result, "")
)</f>
        <v>859DC-1410-001-001 HaulX Dispatch (Fleet Management System (FMS))</v>
      </c>
      <c r="Z216" s="2" t="str">
        <f>_xlfn.LET(
    _xlpm.isObject, _xlfn.XLOOKUP($Y216,'EA-Fortescue_SDExport'!A:A,'EA-Fortescue_SDExport'!B:B),
    _xlpm.lookupKey, IF(_xlpm.isObject="Object",
        _xlfn.XLOOKUP($A216,'EA-ConnectorExport'!A:A,'EA-ConnectorExport'!J:J),
        $Y216
    ),
    _xlpm.result, _xlfn.XLOOKUP(_xlpm.lookupKey,'EA-Fortescue_SDExport'!A:A,'EA-Fortescue_SDExport'!AA:AA),
    IF(_xlpm.result=0,"",_xlpm.result)
)</f>
        <v>Subsystem</v>
      </c>
      <c r="AA216" s="2" t="str">
        <f>_xlfn.LET(_xlpm.result, _xlfn.XLOOKUP($Y216,'EA-Fortescue_SDExport'!$A:$A,'EA-Fortescue_SDExport'!AB:AB), IF(_xlpm.result=0,"",_xlpm.result))</f>
        <v/>
      </c>
      <c r="AB216" s="2" t="str">
        <f>_xlfn.LET(_xlpm.result, _xlfn.XLOOKUP($Y216,'EA-Fortescue_SDExport'!$A:$A,'EA-Fortescue_SDExport'!AC:AC), IF(_xlpm.result=0,"",_xlpm.result))</f>
        <v/>
      </c>
      <c r="AC216" s="2" t="str">
        <f>_xlfn.LET(
    _xlpm.isObject, _xlfn.XLOOKUP($Y216,'EA-Fortescue_SDExport'!A:A,'EA-Fortescue_SDExport'!B:B),
    _xlpm.lookupKey, IF(_xlpm.isObject="Object",
        _xlfn.XLOOKUP($A216,'EA-ConnectorExport'!A:A,'EA-ConnectorExport'!J:J),
        $Y216
    ),
    _xlpm.result, _xlfn.XLOOKUP(_xlpm.lookupKey,'EA-Fortescue_SDExport'!A:A,'EA-Fortescue_SDExport'!AD:AD),
    IF(_xlpm.result=0,"",_xlpm.result)
)</f>
        <v>859DC HaulX</v>
      </c>
      <c r="AD216" s="2" t="str">
        <f>_xlfn.LET(
    _xlpm.isObject, _xlfn.XLOOKUP($Y216,'EA-Fortescue_SDExport'!A:A,'EA-Fortescue_SDExport'!B:B),
    _xlpm.lookupKey, IF(_xlpm.isObject="Object",
        _xlfn.XLOOKUP($A216,'EA-ConnectorExport'!A:A,'EA-ConnectorExport'!J:J),
        $Y216
    ),
    _xlpm.result, _xlfn.XLOOKUP(_xlpm.lookupKey,'EA-Fortescue_SDExport'!A:A,'EA-Fortescue_SDExport'!AE:AE),
    IF(_xlpm.result=0,"",_xlpm.result)
)</f>
        <v/>
      </c>
      <c r="AE216" s="2" t="str">
        <f>_xlfn.LET(
    _xlpm.isObject, _xlfn.XLOOKUP($Y216,'EA-Fortescue_SDExport'!A:A,'EA-Fortescue_SDExport'!B:B),
    _xlpm.lookupKey, IF(_xlpm.isObject="Object",
        _xlfn.XLOOKUP($A216,'EA-ConnectorExport'!A:A,'EA-ConnectorExport'!J:J),
        $Y216
    ),
    _xlpm.result, _xlfn.XLOOKUP(_xlpm.lookupKey,'EA-Fortescue_SDExport'!A:A,'EA-Fortescue_SDExport'!AF:AF),
    IF(_xlpm.result=0,"",_xlpm.result)
)</f>
        <v>859DC-1410-001 HaulX</v>
      </c>
      <c r="AF216" s="2" t="str">
        <f>_xlfn.LET(
    _xlpm.isObject, _xlfn.XLOOKUP($Y216,'EA-Fortescue_SDExport'!A:A,'EA-Fortescue_SDExport'!B:B),
    _xlpm.lookupKey, IF(_xlpm.isObject="Object",
        _xlfn.XLOOKUP($A216,'EA-ConnectorExport'!A:A,'EA-ConnectorExport'!J:J),
        $Y216
    ),
    _xlpm.result, _xlfn.XLOOKUP(_xlpm.lookupKey,'EA-Fortescue_SDExport'!A:A,'EA-Fortescue_SDExport'!AG:AG),
    IF(_xlpm.result=0,"",_xlpm.result)
)</f>
        <v>859DC-1410-001-001 HaulX Dispatch (Fleet Management System (FMS))</v>
      </c>
    </row>
    <row r="217" spans="1:32" ht="195" x14ac:dyDescent="0.25">
      <c r="A217" s="2" t="str">
        <v>DGS-I_0216</v>
      </c>
      <c r="B217" s="2" t="str">
        <f t="shared" si="12"/>
        <v>005OP-0000-004-002 Alastri Production Scheduler (APS) / Alastri Tactical Scheduler (ATS)|855DC-1541-005 HaulAI</v>
      </c>
      <c r="C217" s="2" t="str">
        <f>_xlfn.LET(_xlpm.result, _xlfn.XLOOKUP(A217,'EA-Fortescue_SDExport'!A:A,'EA-Fortescue_SDExport'!AM:AM), IF(_xlpm.result=0,"",_xlpm.result))</f>
        <v/>
      </c>
      <c r="D217" s="2" t="str">
        <f>_xlfn.LET(_xlpm.result, _xlfn.XLOOKUP(A217,'EA-Fortescue_SDExport'!A:A,'EA-Fortescue_SDExport'!AN:AN), IF(_xlpm.result=0,"",_xlpm.result))</f>
        <v/>
      </c>
      <c r="E217" s="2" t="str">
        <f>_xlfn.XLOOKUP(R217&amp;Z217,Lookups!A:A,Lookups!B:B)</f>
        <v>Project - Subsystem Interface</v>
      </c>
      <c r="F217" s="2" t="str">
        <f>_xlfn.LET(_xlpm.result, _xlfn.XLOOKUP(A217,'EA-Fortescue_SDExport'!A:A,'EA-Fortescue_SDExport'!AP:AP), IF(_xlpm.result=0,"",_xlpm.result))</f>
        <v>Technical-Data/Software</v>
      </c>
      <c r="G217" s="2" t="str">
        <f>IF(OR(AND(T217&lt;&gt;"", COUNTIF(Lookups!J:J, "*"&amp;T217&amp;"*")&gt;0), AND(AB217&lt;&gt;"", COUNTIF(Lookups!J:J, "*"&amp;AB217&amp;"*")&gt;0)), "Yes", "No")</f>
        <v>No</v>
      </c>
      <c r="H217" s="2" t="str">
        <f t="shared" si="13"/>
        <v>005OP IT/OT Systems|855DC Decarb Green Systems</v>
      </c>
      <c r="I217" s="2" t="str">
        <f t="shared" si="14"/>
        <v>N/A|855DC-1541 Planning and Forecast Systems</v>
      </c>
      <c r="J217" s="2" t="str">
        <f t="shared" si="15"/>
        <v>005OP-0000-004 Alastri|855DC-1541-005 HaulAI</v>
      </c>
      <c r="K217" s="2" t="str">
        <f>_xlfn.XLOOKUP(A217,'EA-Fortescue_SDExport'!A:A,'EA-Fortescue_SDExport'!N:N)</f>
        <v>Proposed</v>
      </c>
      <c r="L217" s="2" t="str">
        <f>_xlfn.LET(_xlpm.result, _xlfn.XLOOKUP($A217,'EA-Fortescue_SDExport'!$A:$A,'EA-Fortescue_SDExport'!AQ:AQ), IF(_xlpm.result=0,"",_xlpm.result))</f>
        <v>This interface supplies HaulAI with the production schedule and haulage requirements generated in APS, enabling simulation of planned fleet performance against production targets.</v>
      </c>
      <c r="M217" s="2" t="str">
        <f>_xlfn.LET(_xlpm.result, _xlfn.XLOOKUP($A217,'EA-Fortescue_SDExport'!$A:$A,'EA-Fortescue_SDExport'!AR:AR), IF(_xlpm.result=0,"",_xlpm.result))</f>
        <v>MEDIUM</v>
      </c>
      <c r="N217" s="2" t="str">
        <f>_xlfn.LET(_xlpm.result, _xlfn.XLOOKUP($A217,'EA-Fortescue_SDExport'!$A:$A,'EA-Fortescue_SDExport'!AW:AW), IF(_xlpm.result=0,"",_xlpm.result))</f>
        <v>The criticality level is MEDIUM because inaccurate simulation inputs can impact planning quality and cause inefficiencies, but they do not affect real-time operations. System failure in this context does not hinder operational dispatch or safety-critical tasks.</v>
      </c>
      <c r="O217" s="2" t="str">
        <f>_xlfn.LET(_xlpm.result, _xlfn.XLOOKUP($A217,'EA-Fortescue_SDExport'!$A:$A,'EA-Fortescue_SDExport'!AV:AV), IF(_xlpm.result=0,"",_xlpm.result))</f>
        <v>Data Flow: Alastri (APS) -&gt; HaulAI (production schedules, haulage requirements, material movement targets, sequencing priorities, forecast volumes, operational constraints) to enable simulation and optimisation of planned fleet performance.</v>
      </c>
      <c r="P217" s="2" t="str">
        <f>_xlfn.LET(_xlpm.result, _xlfn.XLOOKUP($A217,'EA-Fortescue_SDExport'!$A:$A,'EA-Fortescue_SDExport'!D:D), IF(_xlpm.result=0,"",_xlpm.result))</f>
        <v>NH 20/02/2026: Fields updated: Interface Type, Interface Flow.</v>
      </c>
      <c r="Q217" s="2" t="str">
        <f>_xlfn.LET(
    _xlpm.status, _xlfn.XLOOKUP($A217,'EA-ConnectorExport'!$A:$A,'EA-ConnectorExport'!G:G),
    _xlpm.result, _xlfn.XLOOKUP($A217,'EA-ConnectorExport'!$A:$A,'EA-ConnectorExport'!B:B),
    IF(_xlpm.status="allocate", _xlpm.result, "")
)</f>
        <v>005OP-0000-004-002 Alastri Production Scheduler (APS) / Alastri Tactical Scheduler (ATS)</v>
      </c>
      <c r="R217" s="2" t="str">
        <f>IF(
    _xlfn.XLOOKUP($Q217,'EA-Fortescue_SDExport'!A:A,'EA-Fortescue_SDExport'!B:B)="Object",
    _xlfn.XLOOKUP(
        _xlfn.XLOOKUP($A217,'EA-ConnectorExport'!A:A,'EA-ConnectorExport'!D:D),
        'EA-Fortescue_SDExport'!A:A,
        'EA-Fortescue_SDExport'!AA:AA
    ),
    _xlfn.XLOOKUP($Q217,'EA-Fortescue_SDExport'!A:A,'EA-Fortescue_SDExport'!AA:AA)
)</f>
        <v>Subsystem</v>
      </c>
      <c r="S217" s="2" t="str">
        <f>_xlfn.LET(_xlpm.result, _xlfn.XLOOKUP($Q217,'EA-Fortescue_SDExport'!$A:$A,'EA-Fortescue_SDExport'!AB:AB), IF(_xlpm.result=0,"",_xlpm.result))</f>
        <v/>
      </c>
      <c r="T217" s="2" t="str">
        <f>_xlfn.LET(_xlpm.result, _xlfn.XLOOKUP($Q217,'EA-Fortescue_SDExport'!$A:$A,'EA-Fortescue_SDExport'!AC:AC), IF(_xlpm.result=0,"",_xlpm.result))</f>
        <v/>
      </c>
      <c r="U217" s="2" t="str">
        <f>_xlfn.LET(
    _xlpm.isObject, _xlfn.XLOOKUP($Q217,'EA-Fortescue_SDExport'!A:A,'EA-Fortescue_SDExport'!B:B),
    _xlpm.lookupKey, IF(_xlpm.isObject="Object",
        _xlfn.XLOOKUP($A217,'EA-ConnectorExport'!A:A,'EA-ConnectorExport'!D:D),
        $Q217
    ),
    _xlpm.result, _xlfn.XLOOKUP(_xlpm.lookupKey,'EA-Fortescue_SDExport'!A:A,'EA-Fortescue_SDExport'!AD:AD),
    IF(_xlpm.result=0,"",_xlpm.result)
)</f>
        <v>005OP IT/OT Systems</v>
      </c>
      <c r="V217" s="2" t="str">
        <f>_xlfn.LET(
    _xlpm.isObject, _xlfn.XLOOKUP($Q217,'EA-Fortescue_SDExport'!A:A,'EA-Fortescue_SDExport'!B:B),
    _xlpm.lookupKey, IF(_xlpm.isObject="Object",
        _xlfn.XLOOKUP($A217,'EA-ConnectorExport'!A:A,'EA-ConnectorExport'!D:D),
        $Q217
    ),
    _xlpm.result, _xlfn.XLOOKUP(_xlpm.lookupKey,'EA-Fortescue_SDExport'!A:A,'EA-Fortescue_SDExport'!AE:AE),
    IF(_xlpm.result=0,"",_xlpm.result)
)</f>
        <v/>
      </c>
      <c r="W217" s="2" t="str">
        <f>_xlfn.LET(
    _xlpm.isObject, _xlfn.XLOOKUP($Q217,'EA-Fortescue_SDExport'!A:A,'EA-Fortescue_SDExport'!B:B),
    _xlpm.lookupKey, IF(_xlpm.isObject="Object",
        _xlfn.XLOOKUP($A217,'EA-ConnectorExport'!A:A,'EA-ConnectorExport'!D:D),
        $Q217
    ),
    _xlpm.result, _xlfn.XLOOKUP(_xlpm.lookupKey,'EA-Fortescue_SDExport'!A:A,'EA-Fortescue_SDExport'!AF:AF),
    IF(_xlpm.result=0,"",_xlpm.result)
)</f>
        <v>005OP-0000-004 Alastri</v>
      </c>
      <c r="X217" s="2" t="str">
        <f>_xlfn.LET(
    _xlpm.isObject, _xlfn.XLOOKUP($Q217,'EA-Fortescue_SDExport'!A:A,'EA-Fortescue_SDExport'!B:B),
    _xlpm.lookupKey, IF(_xlpm.isObject="Object",
        _xlfn.XLOOKUP($A217,'EA-ConnectorExport'!A:A,'EA-ConnectorExport'!D:D),
        $Q217
    ),
    _xlpm.result, _xlfn.XLOOKUP(_xlpm.lookupKey,'EA-Fortescue_SDExport'!A:A,'EA-Fortescue_SDExport'!AG:AG),
    IF(_xlpm.result=0,"",_xlpm.result)
)</f>
        <v>005OP-0000-004-002 Alastri Production Scheduler (APS)</v>
      </c>
      <c r="Y217" s="2" t="str">
        <f>_xlfn.LET(
    _xlpm.status, _xlfn.XLOOKUP($A217,'EA-ConnectorExport'!$A:$A,'EA-ConnectorExport'!G:G),
    _xlpm.result, _xlfn.XLOOKUP($A217,'EA-ConnectorExport'!$A:$A,'EA-ConnectorExport'!H:H),
    IF(_xlpm.status="allocate", _xlpm.result, "")
)</f>
        <v>855DC-1541-005 HaulAI</v>
      </c>
      <c r="Z217" s="2" t="str">
        <f>_xlfn.LET(
    _xlpm.isObject, _xlfn.XLOOKUP($Y217,'EA-Fortescue_SDExport'!A:A,'EA-Fortescue_SDExport'!B:B),
    _xlpm.lookupKey, IF(_xlpm.isObject="Object",
        _xlfn.XLOOKUP($A217,'EA-ConnectorExport'!A:A,'EA-ConnectorExport'!J:J),
        $Y217
    ),
    _xlpm.result, _xlfn.XLOOKUP(_xlpm.lookupKey,'EA-Fortescue_SDExport'!A:A,'EA-Fortescue_SDExport'!AA:AA),
    IF(_xlpm.result=0,"",_xlpm.result)
)</f>
        <v>Project</v>
      </c>
      <c r="AA217" s="2" t="str">
        <f>_xlfn.LET(_xlpm.result, _xlfn.XLOOKUP($Y217,'EA-Fortescue_SDExport'!$A:$A,'EA-Fortescue_SDExport'!AB:AB), IF(_xlpm.result=0,"",_xlpm.result))</f>
        <v/>
      </c>
      <c r="AB217" s="2" t="str">
        <f>_xlfn.LET(_xlpm.result, _xlfn.XLOOKUP($Y217,'EA-Fortescue_SDExport'!$A:$A,'EA-Fortescue_SDExport'!AC:AC), IF(_xlpm.result=0,"",_xlpm.result))</f>
        <v>Vendor Cloud</v>
      </c>
      <c r="AC217" s="2" t="str">
        <f>_xlfn.LET(
    _xlpm.isObject, _xlfn.XLOOKUP($Y217,'EA-Fortescue_SDExport'!A:A,'EA-Fortescue_SDExport'!B:B),
    _xlpm.lookupKey, IF(_xlpm.isObject="Object",
        _xlfn.XLOOKUP($A217,'EA-ConnectorExport'!A:A,'EA-ConnectorExport'!J:J),
        $Y217
    ),
    _xlpm.result, _xlfn.XLOOKUP(_xlpm.lookupKey,'EA-Fortescue_SDExport'!A:A,'EA-Fortescue_SDExport'!AD:AD),
    IF(_xlpm.result=0,"",_xlpm.result)
)</f>
        <v>855DC Decarb Green Systems</v>
      </c>
      <c r="AD217" s="2" t="str">
        <f>_xlfn.LET(
    _xlpm.isObject, _xlfn.XLOOKUP($Y217,'EA-Fortescue_SDExport'!A:A,'EA-Fortescue_SDExport'!B:B),
    _xlpm.lookupKey, IF(_xlpm.isObject="Object",
        _xlfn.XLOOKUP($A217,'EA-ConnectorExport'!A:A,'EA-ConnectorExport'!J:J),
        $Y217
    ),
    _xlpm.result, _xlfn.XLOOKUP(_xlpm.lookupKey,'EA-Fortescue_SDExport'!A:A,'EA-Fortescue_SDExport'!AE:AE),
    IF(_xlpm.result=0,"",_xlpm.result)
)</f>
        <v>855DC-1541 Planning and Forecast Systems</v>
      </c>
      <c r="AE217" s="2" t="str">
        <f>_xlfn.LET(
    _xlpm.isObject, _xlfn.XLOOKUP($Y217,'EA-Fortescue_SDExport'!A:A,'EA-Fortescue_SDExport'!B:B),
    _xlpm.lookupKey, IF(_xlpm.isObject="Object",
        _xlfn.XLOOKUP($A217,'EA-ConnectorExport'!A:A,'EA-ConnectorExport'!J:J),
        $Y217
    ),
    _xlpm.result, _xlfn.XLOOKUP(_xlpm.lookupKey,'EA-Fortescue_SDExport'!A:A,'EA-Fortescue_SDExport'!AF:AF),
    IF(_xlpm.result=0,"",_xlpm.result)
)</f>
        <v>855DC-1541-005 HaulAI</v>
      </c>
      <c r="AF217" s="2" t="str">
        <f>_xlfn.LET(
    _xlpm.isObject, _xlfn.XLOOKUP($Y217,'EA-Fortescue_SDExport'!A:A,'EA-Fortescue_SDExport'!B:B),
    _xlpm.lookupKey, IF(_xlpm.isObject="Object",
        _xlfn.XLOOKUP($A217,'EA-ConnectorExport'!A:A,'EA-ConnectorExport'!J:J),
        $Y217
    ),
    _xlpm.result, _xlfn.XLOOKUP(_xlpm.lookupKey,'EA-Fortescue_SDExport'!A:A,'EA-Fortescue_SDExport'!AG:AG),
    IF(_xlpm.result=0,"",_xlpm.result)
)</f>
        <v/>
      </c>
    </row>
    <row r="218" spans="1:32" ht="240" x14ac:dyDescent="0.25">
      <c r="A218" s="2" t="str">
        <v>DGS-I_0217</v>
      </c>
      <c r="B218" s="2" t="str">
        <f t="shared" si="12"/>
        <v>Archive - 005OP-0000-004-003 Alastri Tactical Scheduler (ATS)|855DC-1541-005 HaulAI</v>
      </c>
      <c r="C218" s="2" t="str">
        <f>_xlfn.LET(_xlpm.result, _xlfn.XLOOKUP(A218,'EA-Fortescue_SDExport'!A:A,'EA-Fortescue_SDExport'!AM:AM), IF(_xlpm.result=0,"",_xlpm.result))</f>
        <v/>
      </c>
      <c r="D218" s="2" t="str">
        <f>_xlfn.LET(_xlpm.result, _xlfn.XLOOKUP(A218,'EA-Fortescue_SDExport'!A:A,'EA-Fortescue_SDExport'!AN:AN), IF(_xlpm.result=0,"",_xlpm.result))</f>
        <v/>
      </c>
      <c r="E218" s="2" t="str">
        <f>_xlfn.XLOOKUP(R218&amp;Z218,Lookups!A:A,Lookups!B:B)</f>
        <v>Project - Subsystem Interface</v>
      </c>
      <c r="F218" s="2" t="str">
        <f>_xlfn.LET(_xlpm.result, _xlfn.XLOOKUP(A218,'EA-Fortescue_SDExport'!A:A,'EA-Fortescue_SDExport'!AP:AP), IF(_xlpm.result=0,"",_xlpm.result))</f>
        <v/>
      </c>
      <c r="G218" s="2" t="str">
        <f>IF(OR(AND(T218&lt;&gt;"", COUNTIF(Lookups!J:J, "*"&amp;T218&amp;"*")&gt;0), AND(AB218&lt;&gt;"", COUNTIF(Lookups!J:J, "*"&amp;AB218&amp;"*")&gt;0)), "Yes", "No")</f>
        <v>No</v>
      </c>
      <c r="H218" s="2" t="str">
        <f t="shared" si="13"/>
        <v>005OP IT/OT Systems|855DC Decarb Green Systems</v>
      </c>
      <c r="I218" s="2" t="str">
        <f t="shared" si="14"/>
        <v>N/A|855DC-1541 Planning and Forecast Systems</v>
      </c>
      <c r="J218" s="2" t="str">
        <f t="shared" si="15"/>
        <v>005OP-0000-004 Alastri|855DC-1541-005 HaulAI</v>
      </c>
      <c r="K218" s="2" t="str">
        <f>_xlfn.XLOOKUP(A218,'EA-Fortescue_SDExport'!A:A,'EA-Fortescue_SDExport'!N:N)</f>
        <v>Deleted</v>
      </c>
      <c r="L218" s="2" t="str">
        <f>_xlfn.LET(_xlpm.result, _xlfn.XLOOKUP($A218,'EA-Fortescue_SDExport'!$A:$A,'EA-Fortescue_SDExport'!AQ:AQ), IF(_xlpm.result=0,"",_xlpm.result))</f>
        <v>This interface passes tactical schedules and short-term operational plans from ATS into HaulAI for high-fidelity modelling and scenario analysis.</v>
      </c>
      <c r="M218" s="2" t="str">
        <f>_xlfn.LET(_xlpm.result, _xlfn.XLOOKUP($A218,'EA-Fortescue_SDExport'!$A:$A,'EA-Fortescue_SDExport'!AR:AR), IF(_xlpm.result=0,"",_xlpm.result))</f>
        <v>MEDIUM</v>
      </c>
      <c r="N218" s="2" t="str">
        <f>_xlfn.LET(_xlpm.result, _xlfn.XLOOKUP($A218,'EA-Fortescue_SDExport'!$A:$A,'EA-Fortescue_SDExport'!AW:AW), IF(_xlpm.result=0,"",_xlpm.result))</f>
        <v>The criticality level is MEDIUM because this interface supports tactical decision-making but is not vital for daily operations. Losing simulation capabilities diminishes planning accuracy and may lead to inefficiencies, although operational fleets can still function normally based on existing plans.</v>
      </c>
      <c r="O218" s="2" t="str">
        <f>_xlfn.LET(_xlpm.result, _xlfn.XLOOKUP($A218,'EA-Fortescue_SDExport'!$A:$A,'EA-Fortescue_SDExport'!AV:AV), IF(_xlpm.result=0,"",_xlpm.result))</f>
        <v/>
      </c>
      <c r="P218" s="2" t="str">
        <f>_xlfn.LET(_xlpm.result, _xlfn.XLOOKUP($A218,'EA-Fortescue_SDExport'!$A:$A,'EA-Fortescue_SDExport'!D:D), IF(_xlpm.result=0,"",_xlpm.result))</f>
        <v>DocStack-SAComparison_Delphi 18/02/2026: APS and ATS to be combined - Interface deleted.</v>
      </c>
      <c r="Q218" s="2" t="str">
        <f>_xlfn.LET(
    _xlpm.status, _xlfn.XLOOKUP($A218,'EA-ConnectorExport'!$A:$A,'EA-ConnectorExport'!G:G),
    _xlpm.result, _xlfn.XLOOKUP($A218,'EA-ConnectorExport'!$A:$A,'EA-ConnectorExport'!B:B),
    IF(_xlpm.status="allocate", _xlpm.result, "")
)</f>
        <v>Archive - 005OP-0000-004-003 Alastri Tactical Scheduler (ATS)</v>
      </c>
      <c r="R218" s="2" t="str">
        <f>IF(
    _xlfn.XLOOKUP($Q218,'EA-Fortescue_SDExport'!A:A,'EA-Fortescue_SDExport'!B:B)="Object",
    _xlfn.XLOOKUP(
        _xlfn.XLOOKUP($A218,'EA-ConnectorExport'!A:A,'EA-ConnectorExport'!D:D),
        'EA-Fortescue_SDExport'!A:A,
        'EA-Fortescue_SDExport'!AA:AA
    ),
    _xlfn.XLOOKUP($Q218,'EA-Fortescue_SDExport'!A:A,'EA-Fortescue_SDExport'!AA:AA)
)</f>
        <v>Subsystem</v>
      </c>
      <c r="S218" s="2" t="str">
        <f>_xlfn.LET(_xlpm.result, _xlfn.XLOOKUP($Q218,'EA-Fortescue_SDExport'!$A:$A,'EA-Fortescue_SDExport'!AB:AB), IF(_xlpm.result=0,"",_xlpm.result))</f>
        <v/>
      </c>
      <c r="T218" s="2" t="str">
        <f>_xlfn.LET(_xlpm.result, _xlfn.XLOOKUP($Q218,'EA-Fortescue_SDExport'!$A:$A,'EA-Fortescue_SDExport'!AC:AC), IF(_xlpm.result=0,"",_xlpm.result))</f>
        <v/>
      </c>
      <c r="U218" s="2" t="str">
        <f>_xlfn.LET(
    _xlpm.isObject, _xlfn.XLOOKUP($Q218,'EA-Fortescue_SDExport'!A:A,'EA-Fortescue_SDExport'!B:B),
    _xlpm.lookupKey, IF(_xlpm.isObject="Object",
        _xlfn.XLOOKUP($A218,'EA-ConnectorExport'!A:A,'EA-ConnectorExport'!D:D),
        $Q218
    ),
    _xlpm.result, _xlfn.XLOOKUP(_xlpm.lookupKey,'EA-Fortescue_SDExport'!A:A,'EA-Fortescue_SDExport'!AD:AD),
    IF(_xlpm.result=0,"",_xlpm.result)
)</f>
        <v>005OP IT/OT Systems</v>
      </c>
      <c r="V218" s="2" t="str">
        <f>_xlfn.LET(
    _xlpm.isObject, _xlfn.XLOOKUP($Q218,'EA-Fortescue_SDExport'!A:A,'EA-Fortescue_SDExport'!B:B),
    _xlpm.lookupKey, IF(_xlpm.isObject="Object",
        _xlfn.XLOOKUP($A218,'EA-ConnectorExport'!A:A,'EA-ConnectorExport'!D:D),
        $Q218
    ),
    _xlpm.result, _xlfn.XLOOKUP(_xlpm.lookupKey,'EA-Fortescue_SDExport'!A:A,'EA-Fortescue_SDExport'!AE:AE),
    IF(_xlpm.result=0,"",_xlpm.result)
)</f>
        <v/>
      </c>
      <c r="W218" s="2" t="str">
        <f>_xlfn.LET(
    _xlpm.isObject, _xlfn.XLOOKUP($Q218,'EA-Fortescue_SDExport'!A:A,'EA-Fortescue_SDExport'!B:B),
    _xlpm.lookupKey, IF(_xlpm.isObject="Object",
        _xlfn.XLOOKUP($A218,'EA-ConnectorExport'!A:A,'EA-ConnectorExport'!D:D),
        $Q218
    ),
    _xlpm.result, _xlfn.XLOOKUP(_xlpm.lookupKey,'EA-Fortescue_SDExport'!A:A,'EA-Fortescue_SDExport'!AF:AF),
    IF(_xlpm.result=0,"",_xlpm.result)
)</f>
        <v>005OP-0000-004 Alastri</v>
      </c>
      <c r="X218" s="2" t="str">
        <f>_xlfn.LET(
    _xlpm.isObject, _xlfn.XLOOKUP($Q218,'EA-Fortescue_SDExport'!A:A,'EA-Fortescue_SDExport'!B:B),
    _xlpm.lookupKey, IF(_xlpm.isObject="Object",
        _xlfn.XLOOKUP($A218,'EA-ConnectorExport'!A:A,'EA-ConnectorExport'!D:D),
        $Q218
    ),
    _xlpm.result, _xlfn.XLOOKUP(_xlpm.lookupKey,'EA-Fortescue_SDExport'!A:A,'EA-Fortescue_SDExport'!AG:AG),
    IF(_xlpm.result=0,"",_xlpm.result)
)</f>
        <v>005OP-0000-004-003 Alastri Tactical Scheduler (ATS)</v>
      </c>
      <c r="Y218" s="2" t="str">
        <f>_xlfn.LET(
    _xlpm.status, _xlfn.XLOOKUP($A218,'EA-ConnectorExport'!$A:$A,'EA-ConnectorExport'!G:G),
    _xlpm.result, _xlfn.XLOOKUP($A218,'EA-ConnectorExport'!$A:$A,'EA-ConnectorExport'!H:H),
    IF(_xlpm.status="allocate", _xlpm.result, "")
)</f>
        <v>855DC-1541-005 HaulAI</v>
      </c>
      <c r="Z218" s="2" t="str">
        <f>_xlfn.LET(
    _xlpm.isObject, _xlfn.XLOOKUP($Y218,'EA-Fortescue_SDExport'!A:A,'EA-Fortescue_SDExport'!B:B),
    _xlpm.lookupKey, IF(_xlpm.isObject="Object",
        _xlfn.XLOOKUP($A218,'EA-ConnectorExport'!A:A,'EA-ConnectorExport'!J:J),
        $Y218
    ),
    _xlpm.result, _xlfn.XLOOKUP(_xlpm.lookupKey,'EA-Fortescue_SDExport'!A:A,'EA-Fortescue_SDExport'!AA:AA),
    IF(_xlpm.result=0,"",_xlpm.result)
)</f>
        <v>Project</v>
      </c>
      <c r="AA218" s="2" t="str">
        <f>_xlfn.LET(_xlpm.result, _xlfn.XLOOKUP($Y218,'EA-Fortescue_SDExport'!$A:$A,'EA-Fortescue_SDExport'!AB:AB), IF(_xlpm.result=0,"",_xlpm.result))</f>
        <v/>
      </c>
      <c r="AB218" s="2" t="str">
        <f>_xlfn.LET(_xlpm.result, _xlfn.XLOOKUP($Y218,'EA-Fortescue_SDExport'!$A:$A,'EA-Fortescue_SDExport'!AC:AC), IF(_xlpm.result=0,"",_xlpm.result))</f>
        <v>Vendor Cloud</v>
      </c>
      <c r="AC218" s="2" t="str">
        <f>_xlfn.LET(
    _xlpm.isObject, _xlfn.XLOOKUP($Y218,'EA-Fortescue_SDExport'!A:A,'EA-Fortescue_SDExport'!B:B),
    _xlpm.lookupKey, IF(_xlpm.isObject="Object",
        _xlfn.XLOOKUP($A218,'EA-ConnectorExport'!A:A,'EA-ConnectorExport'!J:J),
        $Y218
    ),
    _xlpm.result, _xlfn.XLOOKUP(_xlpm.lookupKey,'EA-Fortescue_SDExport'!A:A,'EA-Fortescue_SDExport'!AD:AD),
    IF(_xlpm.result=0,"",_xlpm.result)
)</f>
        <v>855DC Decarb Green Systems</v>
      </c>
      <c r="AD218" s="2" t="str">
        <f>_xlfn.LET(
    _xlpm.isObject, _xlfn.XLOOKUP($Y218,'EA-Fortescue_SDExport'!A:A,'EA-Fortescue_SDExport'!B:B),
    _xlpm.lookupKey, IF(_xlpm.isObject="Object",
        _xlfn.XLOOKUP($A218,'EA-ConnectorExport'!A:A,'EA-ConnectorExport'!J:J),
        $Y218
    ),
    _xlpm.result, _xlfn.XLOOKUP(_xlpm.lookupKey,'EA-Fortescue_SDExport'!A:A,'EA-Fortescue_SDExport'!AE:AE),
    IF(_xlpm.result=0,"",_xlpm.result)
)</f>
        <v>855DC-1541 Planning and Forecast Systems</v>
      </c>
      <c r="AE218" s="2" t="str">
        <f>_xlfn.LET(
    _xlpm.isObject, _xlfn.XLOOKUP($Y218,'EA-Fortescue_SDExport'!A:A,'EA-Fortescue_SDExport'!B:B),
    _xlpm.lookupKey, IF(_xlpm.isObject="Object",
        _xlfn.XLOOKUP($A218,'EA-ConnectorExport'!A:A,'EA-ConnectorExport'!J:J),
        $Y218
    ),
    _xlpm.result, _xlfn.XLOOKUP(_xlpm.lookupKey,'EA-Fortescue_SDExport'!A:A,'EA-Fortescue_SDExport'!AF:AF),
    IF(_xlpm.result=0,"",_xlpm.result)
)</f>
        <v>855DC-1541-005 HaulAI</v>
      </c>
      <c r="AF218" s="2" t="str">
        <f>_xlfn.LET(
    _xlpm.isObject, _xlfn.XLOOKUP($Y218,'EA-Fortescue_SDExport'!A:A,'EA-Fortescue_SDExport'!B:B),
    _xlpm.lookupKey, IF(_xlpm.isObject="Object",
        _xlfn.XLOOKUP($A218,'EA-ConnectorExport'!A:A,'EA-ConnectorExport'!J:J),
        $Y218
    ),
    _xlpm.result, _xlfn.XLOOKUP(_xlpm.lookupKey,'EA-Fortescue_SDExport'!A:A,'EA-Fortescue_SDExport'!AG:AG),
    IF(_xlpm.result=0,"",_xlpm.result)
)</f>
        <v/>
      </c>
    </row>
    <row r="219" spans="1:32" ht="375" x14ac:dyDescent="0.25">
      <c r="A219" s="2" t="str">
        <v>DGS-I_0218</v>
      </c>
      <c r="B219" s="2" t="str">
        <f t="shared" si="12"/>
        <v>855DC-1541-PPC Pit Power Capacity Planning Tool - Design Optimisation|005OP-0000-004-002 Alastri Production Scheduler (APS) / Alastri Tactical Scheduler (ATS)</v>
      </c>
      <c r="C219" s="2" t="str">
        <f>_xlfn.LET(_xlpm.result, _xlfn.XLOOKUP(A219,'EA-Fortescue_SDExport'!A:A,'EA-Fortescue_SDExport'!AM:AM), IF(_xlpm.result=0,"",_xlpm.result))</f>
        <v/>
      </c>
      <c r="D219" s="2" t="str">
        <f>_xlfn.LET(_xlpm.result, _xlfn.XLOOKUP(A219,'EA-Fortescue_SDExport'!A:A,'EA-Fortescue_SDExport'!AN:AN), IF(_xlpm.result=0,"",_xlpm.result))</f>
        <v/>
      </c>
      <c r="E219" s="2" t="str">
        <f>_xlfn.XLOOKUP(R219&amp;Z219,Lookups!A:A,Lookups!B:B)</f>
        <v>Project - Subsystem Interface</v>
      </c>
      <c r="F219" s="2" t="str">
        <f>_xlfn.LET(_xlpm.result, _xlfn.XLOOKUP(A219,'EA-Fortescue_SDExport'!A:A,'EA-Fortescue_SDExport'!AP:AP), IF(_xlpm.result=0,"",_xlpm.result))</f>
        <v>Technical-Data/Software</v>
      </c>
      <c r="G219" s="2" t="str">
        <f>IF(OR(AND(T219&lt;&gt;"", COUNTIF(Lookups!J:J, "*"&amp;T219&amp;"*")&gt;0), AND(AB219&lt;&gt;"", COUNTIF(Lookups!J:J, "*"&amp;AB219&amp;"*")&gt;0)), "Yes", "No")</f>
        <v>No</v>
      </c>
      <c r="H219" s="2" t="str">
        <f t="shared" si="13"/>
        <v>855DC Decarb Green Systems|005OP IT/OT Systems</v>
      </c>
      <c r="I219" s="2" t="str">
        <f t="shared" si="14"/>
        <v>855DC-1541 Planning and Forecast Systems|N/A</v>
      </c>
      <c r="J219" s="2" t="str">
        <f t="shared" si="15"/>
        <v>855DC-1541-PPC Pit Power Capacity Planning Tool - Design Optimisation|005OP-0000-004 Alastri</v>
      </c>
      <c r="K219" s="2" t="str">
        <f>_xlfn.XLOOKUP(A219,'EA-Fortescue_SDExport'!A:A,'EA-Fortescue_SDExport'!N:N)</f>
        <v>Proposed</v>
      </c>
      <c r="L219" s="2" t="str">
        <f>_xlfn.LET(_xlpm.result, _xlfn.XLOOKUP($A219,'EA-Fortescue_SDExport'!$A:$A,'EA-Fortescue_SDExport'!AQ:AQ), IF(_xlpm.result=0,"",_xlpm.result))</f>
        <v>The purpose of this interface is to exchange production schedules and equipment demand assumptions from APS/ATS into the Pit Power Capacity Planning Tool to support power capacity design and optimisation activities aligned with planned mining operations.</v>
      </c>
      <c r="M219" s="2" t="str">
        <f>_xlfn.LET(_xlpm.result, _xlfn.XLOOKUP($A219,'EA-Fortescue_SDExport'!$A:$A,'EA-Fortescue_SDExport'!AR:AR), IF(_xlpm.result=0,"",_xlpm.result))</f>
        <v>LOW</v>
      </c>
      <c r="N219" s="2" t="str">
        <f>_xlfn.LET(_xlpm.result, _xlfn.XLOOKUP($A219,'EA-Fortescue_SDExport'!$A:$A,'EA-Fortescue_SDExport'!AW:AW), IF(_xlpm.result=0,"",_xlpm.result))</f>
        <v>The criticality level is LOW because this interface supports planning and design optimisation rather than real-time execution. Failure would reduce the accuracy of power capacity modelling against planned production schedules, but it would not impact operational dispatch, safety-critical systems, or daily production continuity.</v>
      </c>
      <c r="O219" s="2" t="str">
        <f>_xlfn.LET(_xlpm.result, _xlfn.XLOOKUP($A219,'EA-Fortescue_SDExport'!$A:$A,'EA-Fortescue_SDExport'!AV:AV), IF(_xlpm.result=0,"",_xlpm.result))</f>
        <v>APS / ATS -&gt; Pit Power Capacity Planning Tool - Design Optimisation</v>
      </c>
      <c r="P219" s="2" t="str">
        <f>_xlfn.LET(_xlpm.result, _xlfn.XLOOKUP($A219,'EA-Fortescue_SDExport'!$A:$A,'EA-Fortescue_SDExport'!D:D),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DocStack-SAComparison_Delphi 18/02/2026: APS and ATS to be combined - Interface now with 005OP-0000-004-002 Alastri Production Scheduler (APS) / Alastri Tactical Scheduler (ATS)_x000D_
NH 18/02/2026: Fields updated: Interface Type, Interface Description (Interface Purpose), Interface Criticality, Interface Criticality Explanation, Interface Flow.</v>
      </c>
      <c r="Q219" s="2" t="str">
        <f>_xlfn.LET(
    _xlpm.status, _xlfn.XLOOKUP($A219,'EA-ConnectorExport'!$A:$A,'EA-ConnectorExport'!G:G),
    _xlpm.result, _xlfn.XLOOKUP($A219,'EA-ConnectorExport'!$A:$A,'EA-ConnectorExport'!B:B),
    IF(_xlpm.status="allocate", _xlpm.result, "")
)</f>
        <v>855DC-1541-PPC Pit Power Capacity Planning Tool - Design Optimisation</v>
      </c>
      <c r="R219" s="2" t="str">
        <f>IF(
    _xlfn.XLOOKUP($Q219,'EA-Fortescue_SDExport'!A:A,'EA-Fortescue_SDExport'!B:B)="Object",
    _xlfn.XLOOKUP(
        _xlfn.XLOOKUP($A219,'EA-ConnectorExport'!A:A,'EA-ConnectorExport'!D:D),
        'EA-Fortescue_SDExport'!A:A,
        'EA-Fortescue_SDExport'!AA:AA
    ),
    _xlfn.XLOOKUP($Q219,'EA-Fortescue_SDExport'!A:A,'EA-Fortescue_SDExport'!AA:AA)
)</f>
        <v>Project</v>
      </c>
      <c r="S219" s="2" t="str">
        <f>_xlfn.LET(_xlpm.result, _xlfn.XLOOKUP($Q219,'EA-Fortescue_SDExport'!$A:$A,'EA-Fortescue_SDExport'!AB:AB), IF(_xlpm.result=0,"",_xlpm.result))</f>
        <v/>
      </c>
      <c r="T219" s="2" t="str">
        <f>_xlfn.LET(_xlpm.result, _xlfn.XLOOKUP($Q219,'EA-Fortescue_SDExport'!$A:$A,'EA-Fortescue_SDExport'!AC:AC), IF(_xlpm.result=0,"",_xlpm.result))</f>
        <v>AWS Fortescue Infrastructure</v>
      </c>
      <c r="U219" s="2" t="str">
        <f>_xlfn.LET(
    _xlpm.isObject, _xlfn.XLOOKUP($Q219,'EA-Fortescue_SDExport'!A:A,'EA-Fortescue_SDExport'!B:B),
    _xlpm.lookupKey, IF(_xlpm.isObject="Object",
        _xlfn.XLOOKUP($A219,'EA-ConnectorExport'!A:A,'EA-ConnectorExport'!D:D),
        $Q219
    ),
    _xlpm.result, _xlfn.XLOOKUP(_xlpm.lookupKey,'EA-Fortescue_SDExport'!A:A,'EA-Fortescue_SDExport'!AD:AD),
    IF(_xlpm.result=0,"",_xlpm.result)
)</f>
        <v>855DC Decarb Green Systems</v>
      </c>
      <c r="V219" s="2" t="str">
        <f>_xlfn.LET(
    _xlpm.isObject, _xlfn.XLOOKUP($Q219,'EA-Fortescue_SDExport'!A:A,'EA-Fortescue_SDExport'!B:B),
    _xlpm.lookupKey, IF(_xlpm.isObject="Object",
        _xlfn.XLOOKUP($A219,'EA-ConnectorExport'!A:A,'EA-ConnectorExport'!D:D),
        $Q219
    ),
    _xlpm.result, _xlfn.XLOOKUP(_xlpm.lookupKey,'EA-Fortescue_SDExport'!A:A,'EA-Fortescue_SDExport'!AE:AE),
    IF(_xlpm.result=0,"",_xlpm.result)
)</f>
        <v>855DC-1541 Planning and Forecast Systems</v>
      </c>
      <c r="W219" s="2" t="str">
        <f>_xlfn.LET(
    _xlpm.isObject, _xlfn.XLOOKUP($Q219,'EA-Fortescue_SDExport'!A:A,'EA-Fortescue_SDExport'!B:B),
    _xlpm.lookupKey, IF(_xlpm.isObject="Object",
        _xlfn.XLOOKUP($A219,'EA-ConnectorExport'!A:A,'EA-ConnectorExport'!D:D),
        $Q219
    ),
    _xlpm.result, _xlfn.XLOOKUP(_xlpm.lookupKey,'EA-Fortescue_SDExport'!A:A,'EA-Fortescue_SDExport'!AF:AF),
    IF(_xlpm.result=0,"",_xlpm.result)
)</f>
        <v>855DC-1541-PPC Pit Power Capacity Planning Tool - Design Optimisation</v>
      </c>
      <c r="X219" s="2" t="str">
        <f>_xlfn.LET(
    _xlpm.isObject, _xlfn.XLOOKUP($Q219,'EA-Fortescue_SDExport'!A:A,'EA-Fortescue_SDExport'!B:B),
    _xlpm.lookupKey, IF(_xlpm.isObject="Object",
        _xlfn.XLOOKUP($A219,'EA-ConnectorExport'!A:A,'EA-ConnectorExport'!D:D),
        $Q219
    ),
    _xlpm.result, _xlfn.XLOOKUP(_xlpm.lookupKey,'EA-Fortescue_SDExport'!A:A,'EA-Fortescue_SDExport'!AG:AG),
    IF(_xlpm.result=0,"",_xlpm.result)
)</f>
        <v/>
      </c>
      <c r="Y219" s="2" t="str">
        <f>_xlfn.LET(
    _xlpm.status, _xlfn.XLOOKUP($A219,'EA-ConnectorExport'!$A:$A,'EA-ConnectorExport'!G:G),
    _xlpm.result, _xlfn.XLOOKUP($A219,'EA-ConnectorExport'!$A:$A,'EA-ConnectorExport'!H:H),
    IF(_xlpm.status="allocate", _xlpm.result, "")
)</f>
        <v>005OP-0000-004-002 Alastri Production Scheduler (APS) / Alastri Tactical Scheduler (ATS)</v>
      </c>
      <c r="Z219" s="2" t="str">
        <f>_xlfn.LET(
    _xlpm.isObject, _xlfn.XLOOKUP($Y219,'EA-Fortescue_SDExport'!A:A,'EA-Fortescue_SDExport'!B:B),
    _xlpm.lookupKey, IF(_xlpm.isObject="Object",
        _xlfn.XLOOKUP($A219,'EA-ConnectorExport'!A:A,'EA-ConnectorExport'!J:J),
        $Y219
    ),
    _xlpm.result, _xlfn.XLOOKUP(_xlpm.lookupKey,'EA-Fortescue_SDExport'!A:A,'EA-Fortescue_SDExport'!AA:AA),
    IF(_xlpm.result=0,"",_xlpm.result)
)</f>
        <v>Subsystem</v>
      </c>
      <c r="AA219" s="2" t="str">
        <f>_xlfn.LET(_xlpm.result, _xlfn.XLOOKUP($Y219,'EA-Fortescue_SDExport'!$A:$A,'EA-Fortescue_SDExport'!AB:AB), IF(_xlpm.result=0,"",_xlpm.result))</f>
        <v/>
      </c>
      <c r="AB219" s="2" t="str">
        <f>_xlfn.LET(_xlpm.result, _xlfn.XLOOKUP($Y219,'EA-Fortescue_SDExport'!$A:$A,'EA-Fortescue_SDExport'!AC:AC), IF(_xlpm.result=0,"",_xlpm.result))</f>
        <v/>
      </c>
      <c r="AC219" s="2" t="str">
        <f>_xlfn.LET(
    _xlpm.isObject, _xlfn.XLOOKUP($Y219,'EA-Fortescue_SDExport'!A:A,'EA-Fortescue_SDExport'!B:B),
    _xlpm.lookupKey, IF(_xlpm.isObject="Object",
        _xlfn.XLOOKUP($A219,'EA-ConnectorExport'!A:A,'EA-ConnectorExport'!J:J),
        $Y219
    ),
    _xlpm.result, _xlfn.XLOOKUP(_xlpm.lookupKey,'EA-Fortescue_SDExport'!A:A,'EA-Fortescue_SDExport'!AD:AD),
    IF(_xlpm.result=0,"",_xlpm.result)
)</f>
        <v>005OP IT/OT Systems</v>
      </c>
      <c r="AD219" s="2" t="str">
        <f>_xlfn.LET(
    _xlpm.isObject, _xlfn.XLOOKUP($Y219,'EA-Fortescue_SDExport'!A:A,'EA-Fortescue_SDExport'!B:B),
    _xlpm.lookupKey, IF(_xlpm.isObject="Object",
        _xlfn.XLOOKUP($A219,'EA-ConnectorExport'!A:A,'EA-ConnectorExport'!J:J),
        $Y219
    ),
    _xlpm.result, _xlfn.XLOOKUP(_xlpm.lookupKey,'EA-Fortescue_SDExport'!A:A,'EA-Fortescue_SDExport'!AE:AE),
    IF(_xlpm.result=0,"",_xlpm.result)
)</f>
        <v/>
      </c>
      <c r="AE219" s="2" t="str">
        <f>_xlfn.LET(
    _xlpm.isObject, _xlfn.XLOOKUP($Y219,'EA-Fortescue_SDExport'!A:A,'EA-Fortescue_SDExport'!B:B),
    _xlpm.lookupKey, IF(_xlpm.isObject="Object",
        _xlfn.XLOOKUP($A219,'EA-ConnectorExport'!A:A,'EA-ConnectorExport'!J:J),
        $Y219
    ),
    _xlpm.result, _xlfn.XLOOKUP(_xlpm.lookupKey,'EA-Fortescue_SDExport'!A:A,'EA-Fortescue_SDExport'!AF:AF),
    IF(_xlpm.result=0,"",_xlpm.result)
)</f>
        <v>005OP-0000-004 Alastri</v>
      </c>
      <c r="AF219" s="2" t="str">
        <f>_xlfn.LET(
    _xlpm.isObject, _xlfn.XLOOKUP($Y219,'EA-Fortescue_SDExport'!A:A,'EA-Fortescue_SDExport'!B:B),
    _xlpm.lookupKey, IF(_xlpm.isObject="Object",
        _xlfn.XLOOKUP($A219,'EA-ConnectorExport'!A:A,'EA-ConnectorExport'!J:J),
        $Y219
    ),
    _xlpm.result, _xlfn.XLOOKUP(_xlpm.lookupKey,'EA-Fortescue_SDExport'!A:A,'EA-Fortescue_SDExport'!AG:AG),
    IF(_xlpm.result=0,"",_xlpm.result)
)</f>
        <v>005OP-0000-004-002 Alastri Production Scheduler (APS)</v>
      </c>
    </row>
    <row r="220" spans="1:32" ht="300" x14ac:dyDescent="0.25">
      <c r="A220" s="2" t="str">
        <v>DGS-I_0219</v>
      </c>
      <c r="B220" s="2" t="str">
        <f t="shared" si="12"/>
        <v>005OP-0000-017-001 Non-Process Infrastructure (NPI) SCADA|850DC-1512-0001-004 AC1 (Automated Connection) for T264 Charging Loads</v>
      </c>
      <c r="C220" s="2" t="str">
        <f>_xlfn.LET(_xlpm.result, _xlfn.XLOOKUP(A220,'EA-Fortescue_SDExport'!A:A,'EA-Fortescue_SDExport'!AM:AM), IF(_xlpm.result=0,"",_xlpm.result))</f>
        <v/>
      </c>
      <c r="D220" s="2" t="str">
        <f>_xlfn.LET(_xlpm.result, _xlfn.XLOOKUP(A220,'EA-Fortescue_SDExport'!A:A,'EA-Fortescue_SDExport'!AN:AN), IF(_xlpm.result=0,"",_xlpm.result))</f>
        <v/>
      </c>
      <c r="E220" s="2" t="str">
        <f>_xlfn.XLOOKUP(R220&amp;Z220,Lookups!A:A,Lookups!B:B)</f>
        <v>Subsystem - Subsystem Interface</v>
      </c>
      <c r="F220" s="2" t="str">
        <f>_xlfn.LET(_xlpm.result, _xlfn.XLOOKUP(A220,'EA-Fortescue_SDExport'!A:A,'EA-Fortescue_SDExport'!AP:AP), IF(_xlpm.result=0,"",_xlpm.result))</f>
        <v>Technical-Data/Software</v>
      </c>
      <c r="G220" s="2" t="str">
        <f>IF(OR(AND(T220&lt;&gt;"", COUNTIF(Lookups!J:J, "*"&amp;T220&amp;"*")&gt;0), AND(AB220&lt;&gt;"", COUNTIF(Lookups!J:J, "*"&amp;AB220&amp;"*")&gt;0)), "Yes", "No")</f>
        <v>No</v>
      </c>
      <c r="H220" s="2" t="str">
        <f t="shared" si="13"/>
        <v>005OP IT/OT Systems|850DC Decarb Infrastructure</v>
      </c>
      <c r="I220" s="2" t="str">
        <f t="shared" si="14"/>
        <v>N/A|850DC-1510 Chargers</v>
      </c>
      <c r="J220" s="2" t="str">
        <f t="shared" si="15"/>
        <v>005OP-0000-017 Ignition|850DC-1512-0001 HME Chargers - Gen1</v>
      </c>
      <c r="K220" s="2" t="str">
        <f>_xlfn.XLOOKUP(A220,'EA-Fortescue_SDExport'!A:A,'EA-Fortescue_SDExport'!N:N)</f>
        <v>Proposed</v>
      </c>
      <c r="L220" s="2" t="str">
        <f>_xlfn.LET(_xlpm.result, _xlfn.XLOOKUP($A220,'EA-Fortescue_SDExport'!$A:$A,'EA-Fortescue_SDExport'!AQ:AQ), IF(_xlpm.result=0,"",_xlpm.result))</f>
        <v>This interface supplies AC1 with environmental and facility-related SCADA data from NPI SCADA, including the status of ventilation, lighting, and auxiliary systems necessary for safe automated charging.</v>
      </c>
      <c r="M220" s="2" t="str">
        <f>_xlfn.LET(_xlpm.result, _xlfn.XLOOKUP($A220,'EA-Fortescue_SDExport'!$A:$A,'EA-Fortescue_SDExport'!AR:AR), IF(_xlpm.result=0,"",_xlpm.result))</f>
        <v>MEDIUM</v>
      </c>
      <c r="N220" s="2" t="str">
        <f>_xlfn.LET(_xlpm.result, _xlfn.XLOOKUP($A220,'EA-Fortescue_SDExport'!$A:$A,'EA-Fortescue_SDExport'!AW:AW), IF(_xlpm.result=0,"",_xlpm.result))</f>
        <v>The criticality level is MEDIUM because AC1 automated charging can still occur, but without full NPI context, certain safety preconditions (such as ventilation status) may not be verifiable, which can slow down or prevent automated charging sequences. The AC1 depends on NPI SCADA for safe facility conditions, and losing the interface may lead to conservative behaviour or fallback to manual processes.</v>
      </c>
      <c r="O220" s="2" t="str">
        <f>_xlfn.LET(_xlpm.result, _xlfn.XLOOKUP($A220,'EA-Fortescue_SDExport'!$A:$A,'EA-Fortescue_SDExport'!AV:AV), IF(_xlpm.result=0,"",_xlpm.result))</f>
        <v>Data Flow: Ignition (NPI SCADA) -&gt; AC1 / HME Chargers (ventilation status, lighting status, auxiliary power availability, environmental conditions, alarms, facility readiness signals) to verify safe preconditions for automated charging.</v>
      </c>
      <c r="P220" s="2" t="str">
        <f>_xlfn.LET(_xlpm.result, _xlfn.XLOOKUP($A220,'EA-Fortescue_SDExport'!$A:$A,'EA-Fortescue_SDExport'!D:D), IF(_xlpm.result=0,"",_xlpm.result))</f>
        <v>LMS Review 30/10/2025: Trending data from chargers, diagnostics. OPC/UA_x000D_
NH 20/02/2026: Fields updated: Interface Type, Interface Flow.</v>
      </c>
      <c r="Q220" s="2" t="str">
        <f>_xlfn.LET(
    _xlpm.status, _xlfn.XLOOKUP($A220,'EA-ConnectorExport'!$A:$A,'EA-ConnectorExport'!G:G),
    _xlpm.result, _xlfn.XLOOKUP($A220,'EA-ConnectorExport'!$A:$A,'EA-ConnectorExport'!B:B),
    IF(_xlpm.status="allocate", _xlpm.result, "")
)</f>
        <v>005OP-0000-017-001 Non-Process Infrastructure (NPI) SCADA</v>
      </c>
      <c r="R220" s="2" t="str">
        <f>IF(
    _xlfn.XLOOKUP($Q220,'EA-Fortescue_SDExport'!A:A,'EA-Fortescue_SDExport'!B:B)="Object",
    _xlfn.XLOOKUP(
        _xlfn.XLOOKUP($A220,'EA-ConnectorExport'!A:A,'EA-ConnectorExport'!D:D),
        'EA-Fortescue_SDExport'!A:A,
        'EA-Fortescue_SDExport'!AA:AA
    ),
    _xlfn.XLOOKUP($Q220,'EA-Fortescue_SDExport'!A:A,'EA-Fortescue_SDExport'!AA:AA)
)</f>
        <v>Subsystem</v>
      </c>
      <c r="S220" s="2" t="str">
        <f>_xlfn.LET(_xlpm.result, _xlfn.XLOOKUP($Q220,'EA-Fortescue_SDExport'!$A:$A,'EA-Fortescue_SDExport'!AB:AB), IF(_xlpm.result=0,"",_xlpm.result))</f>
        <v/>
      </c>
      <c r="T220" s="2" t="str">
        <f>_xlfn.LET(_xlpm.result, _xlfn.XLOOKUP($Q220,'EA-Fortescue_SDExport'!$A:$A,'EA-Fortescue_SDExport'!AC:AC), IF(_xlpm.result=0,"",_xlpm.result))</f>
        <v/>
      </c>
      <c r="U220" s="2" t="str">
        <f>_xlfn.LET(
    _xlpm.isObject, _xlfn.XLOOKUP($Q220,'EA-Fortescue_SDExport'!A:A,'EA-Fortescue_SDExport'!B:B),
    _xlpm.lookupKey, IF(_xlpm.isObject="Object",
        _xlfn.XLOOKUP($A220,'EA-ConnectorExport'!A:A,'EA-ConnectorExport'!D:D),
        $Q220
    ),
    _xlpm.result, _xlfn.XLOOKUP(_xlpm.lookupKey,'EA-Fortescue_SDExport'!A:A,'EA-Fortescue_SDExport'!AD:AD),
    IF(_xlpm.result=0,"",_xlpm.result)
)</f>
        <v>005OP IT/OT Systems</v>
      </c>
      <c r="V220" s="2" t="str">
        <f>_xlfn.LET(
    _xlpm.isObject, _xlfn.XLOOKUP($Q220,'EA-Fortescue_SDExport'!A:A,'EA-Fortescue_SDExport'!B:B),
    _xlpm.lookupKey, IF(_xlpm.isObject="Object",
        _xlfn.XLOOKUP($A220,'EA-ConnectorExport'!A:A,'EA-ConnectorExport'!D:D),
        $Q220
    ),
    _xlpm.result, _xlfn.XLOOKUP(_xlpm.lookupKey,'EA-Fortescue_SDExport'!A:A,'EA-Fortescue_SDExport'!AE:AE),
    IF(_xlpm.result=0,"",_xlpm.result)
)</f>
        <v/>
      </c>
      <c r="W220" s="2" t="str">
        <f>_xlfn.LET(
    _xlpm.isObject, _xlfn.XLOOKUP($Q220,'EA-Fortescue_SDExport'!A:A,'EA-Fortescue_SDExport'!B:B),
    _xlpm.lookupKey, IF(_xlpm.isObject="Object",
        _xlfn.XLOOKUP($A220,'EA-ConnectorExport'!A:A,'EA-ConnectorExport'!D:D),
        $Q220
    ),
    _xlpm.result, _xlfn.XLOOKUP(_xlpm.lookupKey,'EA-Fortescue_SDExport'!A:A,'EA-Fortescue_SDExport'!AF:AF),
    IF(_xlpm.result=0,"",_xlpm.result)
)</f>
        <v>005OP-0000-017 Ignition</v>
      </c>
      <c r="X220" s="2" t="str">
        <f>_xlfn.LET(
    _xlpm.isObject, _xlfn.XLOOKUP($Q220,'EA-Fortescue_SDExport'!A:A,'EA-Fortescue_SDExport'!B:B),
    _xlpm.lookupKey, IF(_xlpm.isObject="Object",
        _xlfn.XLOOKUP($A220,'EA-ConnectorExport'!A:A,'EA-ConnectorExport'!D:D),
        $Q220
    ),
    _xlpm.result, _xlfn.XLOOKUP(_xlpm.lookupKey,'EA-Fortescue_SDExport'!A:A,'EA-Fortescue_SDExport'!AG:AG),
    IF(_xlpm.result=0,"",_xlpm.result)
)</f>
        <v>005OP-0000-017-001 Non-Process Infrastructure (NPI) SCADA</v>
      </c>
      <c r="Y220" s="2" t="str">
        <f>_xlfn.LET(
    _xlpm.status, _xlfn.XLOOKUP($A220,'EA-ConnectorExport'!$A:$A,'EA-ConnectorExport'!G:G),
    _xlpm.result, _xlfn.XLOOKUP($A220,'EA-ConnectorExport'!$A:$A,'EA-ConnectorExport'!H:H),
    IF(_xlpm.status="allocate", _xlpm.result, "")
)</f>
        <v>850DC-1512-0001-004 AC1 (Automated Connection) for T264 Charging Loads</v>
      </c>
      <c r="Z220" s="2" t="str">
        <f>_xlfn.LET(
    _xlpm.isObject, _xlfn.XLOOKUP($Y220,'EA-Fortescue_SDExport'!A:A,'EA-Fortescue_SDExport'!B:B),
    _xlpm.lookupKey, IF(_xlpm.isObject="Object",
        _xlfn.XLOOKUP($A220,'EA-ConnectorExport'!A:A,'EA-ConnectorExport'!J:J),
        $Y220
    ),
    _xlpm.result, _xlfn.XLOOKUP(_xlpm.lookupKey,'EA-Fortescue_SDExport'!A:A,'EA-Fortescue_SDExport'!AA:AA),
    IF(_xlpm.result=0,"",_xlpm.result)
)</f>
        <v>Subsystem</v>
      </c>
      <c r="AA220" s="2" t="str">
        <f>_xlfn.LET(_xlpm.result, _xlfn.XLOOKUP($Y220,'EA-Fortescue_SDExport'!$A:$A,'EA-Fortescue_SDExport'!AB:AB), IF(_xlpm.result=0,"",_xlpm.result))</f>
        <v/>
      </c>
      <c r="AB220" s="2" t="str">
        <f>_xlfn.LET(_xlpm.result, _xlfn.XLOOKUP($Y220,'EA-Fortescue_SDExport'!$A:$A,'EA-Fortescue_SDExport'!AC:AC), IF(_xlpm.result=0,"",_xlpm.result))</f>
        <v>Generic Physical Asset</v>
      </c>
      <c r="AC220" s="2" t="str">
        <f>_xlfn.LET(
    _xlpm.isObject, _xlfn.XLOOKUP($Y220,'EA-Fortescue_SDExport'!A:A,'EA-Fortescue_SDExport'!B:B),
    _xlpm.lookupKey, IF(_xlpm.isObject="Object",
        _xlfn.XLOOKUP($A220,'EA-ConnectorExport'!A:A,'EA-ConnectorExport'!J:J),
        $Y220
    ),
    _xlpm.result, _xlfn.XLOOKUP(_xlpm.lookupKey,'EA-Fortescue_SDExport'!A:A,'EA-Fortescue_SDExport'!AD:AD),
    IF(_xlpm.result=0,"",_xlpm.result)
)</f>
        <v>850DC Decarb Infrastructure</v>
      </c>
      <c r="AD220" s="2" t="str">
        <f>_xlfn.LET(
    _xlpm.isObject, _xlfn.XLOOKUP($Y220,'EA-Fortescue_SDExport'!A:A,'EA-Fortescue_SDExport'!B:B),
    _xlpm.lookupKey, IF(_xlpm.isObject="Object",
        _xlfn.XLOOKUP($A220,'EA-ConnectorExport'!A:A,'EA-ConnectorExport'!J:J),
        $Y220
    ),
    _xlpm.result, _xlfn.XLOOKUP(_xlpm.lookupKey,'EA-Fortescue_SDExport'!A:A,'EA-Fortescue_SDExport'!AE:AE),
    IF(_xlpm.result=0,"",_xlpm.result)
)</f>
        <v>850DC-1510 Chargers</v>
      </c>
      <c r="AE220" s="2" t="str">
        <f>_xlfn.LET(
    _xlpm.isObject, _xlfn.XLOOKUP($Y220,'EA-Fortescue_SDExport'!A:A,'EA-Fortescue_SDExport'!B:B),
    _xlpm.lookupKey, IF(_xlpm.isObject="Object",
        _xlfn.XLOOKUP($A220,'EA-ConnectorExport'!A:A,'EA-ConnectorExport'!J:J),
        $Y220
    ),
    _xlpm.result, _xlfn.XLOOKUP(_xlpm.lookupKey,'EA-Fortescue_SDExport'!A:A,'EA-Fortescue_SDExport'!AF:AF),
    IF(_xlpm.result=0,"",_xlpm.result)
)</f>
        <v>850DC-1512-0001 HME Chargers - Gen1</v>
      </c>
      <c r="AF220" s="2" t="str">
        <f>_xlfn.LET(
    _xlpm.isObject, _xlfn.XLOOKUP($Y220,'EA-Fortescue_SDExport'!A:A,'EA-Fortescue_SDExport'!B:B),
    _xlpm.lookupKey, IF(_xlpm.isObject="Object",
        _xlfn.XLOOKUP($A220,'EA-ConnectorExport'!A:A,'EA-ConnectorExport'!J:J),
        $Y220
    ),
    _xlpm.result, _xlfn.XLOOKUP(_xlpm.lookupKey,'EA-Fortescue_SDExport'!A:A,'EA-Fortescue_SDExport'!AG:AG),
    IF(_xlpm.result=0,"",_xlpm.result)
)</f>
        <v>850DC-1512-0001-004 AC1 (Automated Connection) for T264 Charging Loads</v>
      </c>
    </row>
    <row r="221" spans="1:32" ht="240" x14ac:dyDescent="0.25">
      <c r="A221" s="2" t="str">
        <v>DGS-I_0220</v>
      </c>
      <c r="B221" s="2" t="str">
        <f t="shared" si="12"/>
        <v>859DC-1410-001-001 HaulX Dispatch (Fleet Management System (FMS))|850DC-1512-0001-001 SW1+AP1 (Switchroom)</v>
      </c>
      <c r="C221" s="2" t="str">
        <f>_xlfn.LET(_xlpm.result, _xlfn.XLOOKUP(A221,'EA-Fortescue_SDExport'!A:A,'EA-Fortescue_SDExport'!AM:AM), IF(_xlpm.result=0,"",_xlpm.result))</f>
        <v/>
      </c>
      <c r="D221" s="2" t="str">
        <f>_xlfn.LET(_xlpm.result, _xlfn.XLOOKUP(A221,'EA-Fortescue_SDExport'!A:A,'EA-Fortescue_SDExport'!AN:AN), IF(_xlpm.result=0,"",_xlpm.result))</f>
        <v/>
      </c>
      <c r="E221" s="2" t="str">
        <f>_xlfn.XLOOKUP(R221&amp;Z221,Lookups!A:A,Lookups!B:B)</f>
        <v>Subsystem - Subsystem Interface</v>
      </c>
      <c r="F221" s="2" t="str">
        <f>_xlfn.LET(_xlpm.result, _xlfn.XLOOKUP(A221,'EA-Fortescue_SDExport'!A:A,'EA-Fortescue_SDExport'!AP:AP), IF(_xlpm.result=0,"",_xlpm.result))</f>
        <v>Technical-Electrical</v>
      </c>
      <c r="G221" s="2" t="str">
        <f>IF(OR(AND(T221&lt;&gt;"", COUNTIF(Lookups!J:J, "*"&amp;T221&amp;"*")&gt;0), AND(AB221&lt;&gt;"", COUNTIF(Lookups!J:J, "*"&amp;AB221&amp;"*")&gt;0)), "Yes", "No")</f>
        <v>No</v>
      </c>
      <c r="H221" s="2" t="str">
        <f t="shared" si="13"/>
        <v>859DC HaulX|850DC Decarb Infrastructure</v>
      </c>
      <c r="I221" s="2" t="str">
        <f t="shared" si="14"/>
        <v>N/A|850DC-1510 Chargers</v>
      </c>
      <c r="J221" s="2" t="str">
        <f t="shared" si="15"/>
        <v>859DC-1410-001 HaulX|850DC-1512-0001 HME Chargers - Gen1</v>
      </c>
      <c r="K221" s="2" t="str">
        <f>_xlfn.XLOOKUP(A221,'EA-Fortescue_SDExport'!A:A,'EA-Fortescue_SDExport'!N:N)</f>
        <v>Proposed</v>
      </c>
      <c r="L221" s="2" t="str">
        <f>_xlfn.LET(_xlpm.result, _xlfn.XLOOKUP($A221,'EA-Fortescue_SDExport'!$A:$A,'EA-Fortescue_SDExport'!AQ:AQ), IF(_xlpm.result=0,"",_xlpm.result))</f>
        <v>This interface allows HaulX Dispatch to receive switchroom status or energisation information relevant to truck charging or operational readiness in areas supplied by SW1+AP1.</v>
      </c>
      <c r="M221" s="2" t="str">
        <f>_xlfn.LET(_xlpm.result, _xlfn.XLOOKUP($A221,'EA-Fortescue_SDExport'!$A:$A,'EA-Fortescue_SDExport'!AR:AR), IF(_xlpm.result=0,"",_xlpm.result))</f>
        <v>MEDIUM</v>
      </c>
      <c r="N221" s="2" t="str">
        <f>_xlfn.LET(_xlpm.result, _xlfn.XLOOKUP($A221,'EA-Fortescue_SDExport'!$A:$A,'EA-Fortescue_SDExport'!AW:AW), IF(_xlpm.result=0,"",_xlpm.result))</f>
        <v>The criticality level is MEDIUM because, although haulage can continue, the loss of switchroom data might affect charging coordination or route availability. Incorrect or missing electrical-state information can delay charging operations or require manual workarounds, but does not compromise haulage safety.</v>
      </c>
      <c r="O221" s="2" t="str">
        <f>_xlfn.LET(_xlpm.result, _xlfn.XLOOKUP($A221,'EA-Fortescue_SDExport'!$A:$A,'EA-Fortescue_SDExport'!AV:AV), IF(_xlpm.result=0,"",_xlpm.result))</f>
        <v>Data Flow: HME Chargers / Switchroom (SW1+AP1) -&gt; HaulX Dispatch (switchroom energisation status, feeder availability, breaker status, charger supply availability, electrical fault/lockout conditions) to inform charging coordination and operational readiness.</v>
      </c>
      <c r="P221" s="2" t="str">
        <f>_xlfn.LET(_xlpm.result, _xlfn.XLOOKUP($A221,'EA-Fortescue_SDExport'!$A:$A,'EA-Fortescue_SDExport'!D:D), IF(_xlpm.result=0,"",_xlpm.result))</f>
        <v>NH 20/02/2026: Fields updated: Interface Type, Interface Flow.</v>
      </c>
      <c r="Q221" s="2" t="str">
        <f>_xlfn.LET(
    _xlpm.status, _xlfn.XLOOKUP($A221,'EA-ConnectorExport'!$A:$A,'EA-ConnectorExport'!G:G),
    _xlpm.result, _xlfn.XLOOKUP($A221,'EA-ConnectorExport'!$A:$A,'EA-ConnectorExport'!B:B),
    IF(_xlpm.status="allocate", _xlpm.result, "")
)</f>
        <v>859DC-1410-001-001 HaulX Dispatch (Fleet Management System (FMS))</v>
      </c>
      <c r="R221" s="2" t="str">
        <f>IF(
    _xlfn.XLOOKUP($Q221,'EA-Fortescue_SDExport'!A:A,'EA-Fortescue_SDExport'!B:B)="Object",
    _xlfn.XLOOKUP(
        _xlfn.XLOOKUP($A221,'EA-ConnectorExport'!A:A,'EA-ConnectorExport'!D:D),
        'EA-Fortescue_SDExport'!A:A,
        'EA-Fortescue_SDExport'!AA:AA
    ),
    _xlfn.XLOOKUP($Q221,'EA-Fortescue_SDExport'!A:A,'EA-Fortescue_SDExport'!AA:AA)
)</f>
        <v>Subsystem</v>
      </c>
      <c r="S221" s="2" t="str">
        <f>_xlfn.LET(_xlpm.result, _xlfn.XLOOKUP($Q221,'EA-Fortescue_SDExport'!$A:$A,'EA-Fortescue_SDExport'!AB:AB), IF(_xlpm.result=0,"",_xlpm.result))</f>
        <v/>
      </c>
      <c r="T221" s="2" t="str">
        <f>_xlfn.LET(_xlpm.result, _xlfn.XLOOKUP($Q221,'EA-Fortescue_SDExport'!$A:$A,'EA-Fortescue_SDExport'!AC:AC), IF(_xlpm.result=0,"",_xlpm.result))</f>
        <v/>
      </c>
      <c r="U221" s="2" t="str">
        <f>_xlfn.LET(
    _xlpm.isObject, _xlfn.XLOOKUP($Q221,'EA-Fortescue_SDExport'!A:A,'EA-Fortescue_SDExport'!B:B),
    _xlpm.lookupKey, IF(_xlpm.isObject="Object",
        _xlfn.XLOOKUP($A221,'EA-ConnectorExport'!A:A,'EA-ConnectorExport'!D:D),
        $Q221
    ),
    _xlpm.result, _xlfn.XLOOKUP(_xlpm.lookupKey,'EA-Fortescue_SDExport'!A:A,'EA-Fortescue_SDExport'!AD:AD),
    IF(_xlpm.result=0,"",_xlpm.result)
)</f>
        <v>859DC HaulX</v>
      </c>
      <c r="V221" s="2" t="str">
        <f>_xlfn.LET(
    _xlpm.isObject, _xlfn.XLOOKUP($Q221,'EA-Fortescue_SDExport'!A:A,'EA-Fortescue_SDExport'!B:B),
    _xlpm.lookupKey, IF(_xlpm.isObject="Object",
        _xlfn.XLOOKUP($A221,'EA-ConnectorExport'!A:A,'EA-ConnectorExport'!D:D),
        $Q221
    ),
    _xlpm.result, _xlfn.XLOOKUP(_xlpm.lookupKey,'EA-Fortescue_SDExport'!A:A,'EA-Fortescue_SDExport'!AE:AE),
    IF(_xlpm.result=0,"",_xlpm.result)
)</f>
        <v/>
      </c>
      <c r="W221" s="2" t="str">
        <f>_xlfn.LET(
    _xlpm.isObject, _xlfn.XLOOKUP($Q221,'EA-Fortescue_SDExport'!A:A,'EA-Fortescue_SDExport'!B:B),
    _xlpm.lookupKey, IF(_xlpm.isObject="Object",
        _xlfn.XLOOKUP($A221,'EA-ConnectorExport'!A:A,'EA-ConnectorExport'!D:D),
        $Q221
    ),
    _xlpm.result, _xlfn.XLOOKUP(_xlpm.lookupKey,'EA-Fortescue_SDExport'!A:A,'EA-Fortescue_SDExport'!AF:AF),
    IF(_xlpm.result=0,"",_xlpm.result)
)</f>
        <v>859DC-1410-001 HaulX</v>
      </c>
      <c r="X221" s="2" t="str">
        <f>_xlfn.LET(
    _xlpm.isObject, _xlfn.XLOOKUP($Q221,'EA-Fortescue_SDExport'!A:A,'EA-Fortescue_SDExport'!B:B),
    _xlpm.lookupKey, IF(_xlpm.isObject="Object",
        _xlfn.XLOOKUP($A221,'EA-ConnectorExport'!A:A,'EA-ConnectorExport'!D:D),
        $Q221
    ),
    _xlpm.result, _xlfn.XLOOKUP(_xlpm.lookupKey,'EA-Fortescue_SDExport'!A:A,'EA-Fortescue_SDExport'!AG:AG),
    IF(_xlpm.result=0,"",_xlpm.result)
)</f>
        <v>859DC-1410-001-001 HaulX Dispatch (Fleet Management System (FMS))</v>
      </c>
      <c r="Y221" s="2" t="str">
        <f>_xlfn.LET(
    _xlpm.status, _xlfn.XLOOKUP($A221,'EA-ConnectorExport'!$A:$A,'EA-ConnectorExport'!G:G),
    _xlpm.result, _xlfn.XLOOKUP($A221,'EA-ConnectorExport'!$A:$A,'EA-ConnectorExport'!H:H),
    IF(_xlpm.status="allocate", _xlpm.result, "")
)</f>
        <v>850DC-1512-0001-001 SW1+AP1 (Switchroom)</v>
      </c>
      <c r="Z221" s="2" t="str">
        <f>_xlfn.LET(
    _xlpm.isObject, _xlfn.XLOOKUP($Y221,'EA-Fortescue_SDExport'!A:A,'EA-Fortescue_SDExport'!B:B),
    _xlpm.lookupKey, IF(_xlpm.isObject="Object",
        _xlfn.XLOOKUP($A221,'EA-ConnectorExport'!A:A,'EA-ConnectorExport'!J:J),
        $Y221
    ),
    _xlpm.result, _xlfn.XLOOKUP(_xlpm.lookupKey,'EA-Fortescue_SDExport'!A:A,'EA-Fortescue_SDExport'!AA:AA),
    IF(_xlpm.result=0,"",_xlpm.result)
)</f>
        <v>Subsystem</v>
      </c>
      <c r="AA221" s="2" t="str">
        <f>_xlfn.LET(_xlpm.result, _xlfn.XLOOKUP($Y221,'EA-Fortescue_SDExport'!$A:$A,'EA-Fortescue_SDExport'!AB:AB), IF(_xlpm.result=0,"",_xlpm.result))</f>
        <v/>
      </c>
      <c r="AB221" s="2" t="str">
        <f>_xlfn.LET(_xlpm.result, _xlfn.XLOOKUP($Y221,'EA-Fortescue_SDExport'!$A:$A,'EA-Fortescue_SDExport'!AC:AC), IF(_xlpm.result=0,"",_xlpm.result))</f>
        <v>Generic Physical Asset</v>
      </c>
      <c r="AC221" s="2" t="str">
        <f>_xlfn.LET(
    _xlpm.isObject, _xlfn.XLOOKUP($Y221,'EA-Fortescue_SDExport'!A:A,'EA-Fortescue_SDExport'!B:B),
    _xlpm.lookupKey, IF(_xlpm.isObject="Object",
        _xlfn.XLOOKUP($A221,'EA-ConnectorExport'!A:A,'EA-ConnectorExport'!J:J),
        $Y221
    ),
    _xlpm.result, _xlfn.XLOOKUP(_xlpm.lookupKey,'EA-Fortescue_SDExport'!A:A,'EA-Fortescue_SDExport'!AD:AD),
    IF(_xlpm.result=0,"",_xlpm.result)
)</f>
        <v>850DC Decarb Infrastructure</v>
      </c>
      <c r="AD221" s="2" t="str">
        <f>_xlfn.LET(
    _xlpm.isObject, _xlfn.XLOOKUP($Y221,'EA-Fortescue_SDExport'!A:A,'EA-Fortescue_SDExport'!B:B),
    _xlpm.lookupKey, IF(_xlpm.isObject="Object",
        _xlfn.XLOOKUP($A221,'EA-ConnectorExport'!A:A,'EA-ConnectorExport'!J:J),
        $Y221
    ),
    _xlpm.result, _xlfn.XLOOKUP(_xlpm.lookupKey,'EA-Fortescue_SDExport'!A:A,'EA-Fortescue_SDExport'!AE:AE),
    IF(_xlpm.result=0,"",_xlpm.result)
)</f>
        <v>850DC-1510 Chargers</v>
      </c>
      <c r="AE221" s="2" t="str">
        <f>_xlfn.LET(
    _xlpm.isObject, _xlfn.XLOOKUP($Y221,'EA-Fortescue_SDExport'!A:A,'EA-Fortescue_SDExport'!B:B),
    _xlpm.lookupKey, IF(_xlpm.isObject="Object",
        _xlfn.XLOOKUP($A221,'EA-ConnectorExport'!A:A,'EA-ConnectorExport'!J:J),
        $Y221
    ),
    _xlpm.result, _xlfn.XLOOKUP(_xlpm.lookupKey,'EA-Fortescue_SDExport'!A:A,'EA-Fortescue_SDExport'!AF:AF),
    IF(_xlpm.result=0,"",_xlpm.result)
)</f>
        <v>850DC-1512-0001 HME Chargers - Gen1</v>
      </c>
      <c r="AF221" s="2" t="str">
        <f>_xlfn.LET(
    _xlpm.isObject, _xlfn.XLOOKUP($Y221,'EA-Fortescue_SDExport'!A:A,'EA-Fortescue_SDExport'!B:B),
    _xlpm.lookupKey, IF(_xlpm.isObject="Object",
        _xlfn.XLOOKUP($A221,'EA-ConnectorExport'!A:A,'EA-ConnectorExport'!J:J),
        $Y221
    ),
    _xlpm.result, _xlfn.XLOOKUP(_xlpm.lookupKey,'EA-Fortescue_SDExport'!A:A,'EA-Fortescue_SDExport'!AG:AG),
    IF(_xlpm.result=0,"",_xlpm.result)
)</f>
        <v>850DC-1512-0001-001 SW1+AP1 (Switchroom)</v>
      </c>
    </row>
    <row r="222" spans="1:32" ht="90" x14ac:dyDescent="0.25">
      <c r="A222" s="2" t="str">
        <v>DGS-I_0221</v>
      </c>
      <c r="B222" s="2" t="str">
        <f t="shared" si="12"/>
        <v>002OP-1800 CCTV|850DC-1512-0001-004 AC1 (Automated Connection) for T264 Charging Loads</v>
      </c>
      <c r="C222" s="2" t="str">
        <f>_xlfn.LET(_xlpm.result, _xlfn.XLOOKUP(A222,'EA-Fortescue_SDExport'!A:A,'EA-Fortescue_SDExport'!AM:AM), IF(_xlpm.result=0,"",_xlpm.result))</f>
        <v/>
      </c>
      <c r="D222" s="2" t="str">
        <f>_xlfn.LET(_xlpm.result, _xlfn.XLOOKUP(A222,'EA-Fortescue_SDExport'!A:A,'EA-Fortescue_SDExport'!AN:AN), IF(_xlpm.result=0,"",_xlpm.result))</f>
        <v/>
      </c>
      <c r="E222" s="2" t="str">
        <f>_xlfn.XLOOKUP(R222&amp;Z222,Lookups!A:A,Lookups!B:B)</f>
        <v>System - Subsystem Interface</v>
      </c>
      <c r="F222" s="2" t="str">
        <f>_xlfn.LET(_xlpm.result, _xlfn.XLOOKUP(A222,'EA-Fortescue_SDExport'!A:A,'EA-Fortescue_SDExport'!AP:AP), IF(_xlpm.result=0,"",_xlpm.result))</f>
        <v/>
      </c>
      <c r="G222" s="2" t="str">
        <f>IF(OR(AND(T222&lt;&gt;"", COUNTIF(Lookups!J:J, "*"&amp;T222&amp;"*")&gt;0), AND(AB222&lt;&gt;"", COUNTIF(Lookups!J:J, "*"&amp;AB222&amp;"*")&gt;0)), "Yes", "No")</f>
        <v>No</v>
      </c>
      <c r="H222" s="2" t="str">
        <f t="shared" si="13"/>
        <v>002OP Non-Process Infrastructure (NPI)|850DC Decarb Infrastructure</v>
      </c>
      <c r="I222" s="2" t="str">
        <f t="shared" si="14"/>
        <v>002OP-1800 CCTV|850DC-1510 Chargers</v>
      </c>
      <c r="J222" s="2" t="str">
        <f t="shared" si="15"/>
        <v>N/A|850DC-1512-0001 HME Chargers - Gen1</v>
      </c>
      <c r="K222" s="2" t="str">
        <f>_xlfn.XLOOKUP(A222,'EA-Fortescue_SDExport'!A:A,'EA-Fortescue_SDExport'!N:N)</f>
        <v>Proposed</v>
      </c>
      <c r="L222" s="2" t="str">
        <f>_xlfn.LET(_xlpm.result, _xlfn.XLOOKUP($A222,'EA-Fortescue_SDExport'!$A:$A,'EA-Fortescue_SDExport'!AQ:AQ), IF(_xlpm.result=0,"",_xlpm.result))</f>
        <v/>
      </c>
      <c r="M222" s="2" t="str">
        <f>_xlfn.LET(_xlpm.result, _xlfn.XLOOKUP($A222,'EA-Fortescue_SDExport'!$A:$A,'EA-Fortescue_SDExport'!AR:AR), IF(_xlpm.result=0,"",_xlpm.result))</f>
        <v/>
      </c>
      <c r="N222" s="2" t="str">
        <f>_xlfn.LET(_xlpm.result, _xlfn.XLOOKUP($A222,'EA-Fortescue_SDExport'!$A:$A,'EA-Fortescue_SDExport'!AW:AW), IF(_xlpm.result=0,"",_xlpm.result))</f>
        <v/>
      </c>
      <c r="O222" s="2" t="str">
        <f>_xlfn.LET(_xlpm.result, _xlfn.XLOOKUP($A222,'EA-Fortescue_SDExport'!$A:$A,'EA-Fortescue_SDExport'!AV:AV), IF(_xlpm.result=0,"",_xlpm.result))</f>
        <v/>
      </c>
      <c r="P222" s="2" t="str">
        <f>_xlfn.LET(_xlpm.result, _xlfn.XLOOKUP($A222,'EA-Fortescue_SDExport'!$A:$A,'EA-Fortescue_SDExport'!D:D), IF(_xlpm.result=0,"",_xlpm.result))</f>
        <v/>
      </c>
      <c r="Q222" s="2" t="str">
        <f>_xlfn.LET(
    _xlpm.status, _xlfn.XLOOKUP($A222,'EA-ConnectorExport'!$A:$A,'EA-ConnectorExport'!G:G),
    _xlpm.result, _xlfn.XLOOKUP($A222,'EA-ConnectorExport'!$A:$A,'EA-ConnectorExport'!B:B),
    IF(_xlpm.status="allocate", _xlpm.result, "")
)</f>
        <v>002OP-1800 CCTV</v>
      </c>
      <c r="R222" s="2" t="str">
        <f>IF(
    _xlfn.XLOOKUP($Q222,'EA-Fortescue_SDExport'!A:A,'EA-Fortescue_SDExport'!B:B)="Object",
    _xlfn.XLOOKUP(
        _xlfn.XLOOKUP($A222,'EA-ConnectorExport'!A:A,'EA-ConnectorExport'!D:D),
        'EA-Fortescue_SDExport'!A:A,
        'EA-Fortescue_SDExport'!AA:AA
    ),
    _xlfn.XLOOKUP($Q222,'EA-Fortescue_SDExport'!A:A,'EA-Fortescue_SDExport'!AA:AA)
)</f>
        <v>System</v>
      </c>
      <c r="S222" s="2" t="str">
        <f>_xlfn.LET(_xlpm.result, _xlfn.XLOOKUP($Q222,'EA-Fortescue_SDExport'!$A:$A,'EA-Fortescue_SDExport'!AB:AB), IF(_xlpm.result=0,"",_xlpm.result))</f>
        <v/>
      </c>
      <c r="T222" s="2" t="str">
        <f>_xlfn.LET(_xlpm.result, _xlfn.XLOOKUP($Q222,'EA-Fortescue_SDExport'!$A:$A,'EA-Fortescue_SDExport'!AC:AC), IF(_xlpm.result=0,"",_xlpm.result))</f>
        <v>Generic Physical Asset</v>
      </c>
      <c r="U222" s="2" t="str">
        <f>_xlfn.LET(
    _xlpm.isObject, _xlfn.XLOOKUP($Q222,'EA-Fortescue_SDExport'!A:A,'EA-Fortescue_SDExport'!B:B),
    _xlpm.lookupKey, IF(_xlpm.isObject="Object",
        _xlfn.XLOOKUP($A222,'EA-ConnectorExport'!A:A,'EA-ConnectorExport'!D:D),
        $Q222
    ),
    _xlpm.result, _xlfn.XLOOKUP(_xlpm.lookupKey,'EA-Fortescue_SDExport'!A:A,'EA-Fortescue_SDExport'!AD:AD),
    IF(_xlpm.result=0,"",_xlpm.result)
)</f>
        <v>002OP Non-Process Infrastructure (NPI)</v>
      </c>
      <c r="V222" s="2" t="str">
        <f>_xlfn.LET(
    _xlpm.isObject, _xlfn.XLOOKUP($Q222,'EA-Fortescue_SDExport'!A:A,'EA-Fortescue_SDExport'!B:B),
    _xlpm.lookupKey, IF(_xlpm.isObject="Object",
        _xlfn.XLOOKUP($A222,'EA-ConnectorExport'!A:A,'EA-ConnectorExport'!D:D),
        $Q222
    ),
    _xlpm.result, _xlfn.XLOOKUP(_xlpm.lookupKey,'EA-Fortescue_SDExport'!A:A,'EA-Fortescue_SDExport'!AE:AE),
    IF(_xlpm.result=0,"",_xlpm.result)
)</f>
        <v>002OP-1800 CCTV</v>
      </c>
      <c r="W222" s="2" t="str">
        <f>_xlfn.LET(
    _xlpm.isObject, _xlfn.XLOOKUP($Q222,'EA-Fortescue_SDExport'!A:A,'EA-Fortescue_SDExport'!B:B),
    _xlpm.lookupKey, IF(_xlpm.isObject="Object",
        _xlfn.XLOOKUP($A222,'EA-ConnectorExport'!A:A,'EA-ConnectorExport'!D:D),
        $Q222
    ),
    _xlpm.result, _xlfn.XLOOKUP(_xlpm.lookupKey,'EA-Fortescue_SDExport'!A:A,'EA-Fortescue_SDExport'!AF:AF),
    IF(_xlpm.result=0,"",_xlpm.result)
)</f>
        <v/>
      </c>
      <c r="X222" s="2" t="str">
        <f>_xlfn.LET(
    _xlpm.isObject, _xlfn.XLOOKUP($Q222,'EA-Fortescue_SDExport'!A:A,'EA-Fortescue_SDExport'!B:B),
    _xlpm.lookupKey, IF(_xlpm.isObject="Object",
        _xlfn.XLOOKUP($A222,'EA-ConnectorExport'!A:A,'EA-ConnectorExport'!D:D),
        $Q222
    ),
    _xlpm.result, _xlfn.XLOOKUP(_xlpm.lookupKey,'EA-Fortescue_SDExport'!A:A,'EA-Fortescue_SDExport'!AG:AG),
    IF(_xlpm.result=0,"",_xlpm.result)
)</f>
        <v/>
      </c>
      <c r="Y222" s="2" t="str">
        <f>_xlfn.LET(
    _xlpm.status, _xlfn.XLOOKUP($A222,'EA-ConnectorExport'!$A:$A,'EA-ConnectorExport'!G:G),
    _xlpm.result, _xlfn.XLOOKUP($A222,'EA-ConnectorExport'!$A:$A,'EA-ConnectorExport'!H:H),
    IF(_xlpm.status="allocate", _xlpm.result, "")
)</f>
        <v>850DC-1512-0001-004 AC1 (Automated Connection) for T264 Charging Loads</v>
      </c>
      <c r="Z222" s="2" t="str">
        <f>_xlfn.LET(
    _xlpm.isObject, _xlfn.XLOOKUP($Y222,'EA-Fortescue_SDExport'!A:A,'EA-Fortescue_SDExport'!B:B),
    _xlpm.lookupKey, IF(_xlpm.isObject="Object",
        _xlfn.XLOOKUP($A222,'EA-ConnectorExport'!A:A,'EA-ConnectorExport'!J:J),
        $Y222
    ),
    _xlpm.result, _xlfn.XLOOKUP(_xlpm.lookupKey,'EA-Fortescue_SDExport'!A:A,'EA-Fortescue_SDExport'!AA:AA),
    IF(_xlpm.result=0,"",_xlpm.result)
)</f>
        <v>Subsystem</v>
      </c>
      <c r="AA222" s="2" t="str">
        <f>_xlfn.LET(_xlpm.result, _xlfn.XLOOKUP($Y222,'EA-Fortescue_SDExport'!$A:$A,'EA-Fortescue_SDExport'!AB:AB), IF(_xlpm.result=0,"",_xlpm.result))</f>
        <v/>
      </c>
      <c r="AB222" s="2" t="str">
        <f>_xlfn.LET(_xlpm.result, _xlfn.XLOOKUP($Y222,'EA-Fortescue_SDExport'!$A:$A,'EA-Fortescue_SDExport'!AC:AC), IF(_xlpm.result=0,"",_xlpm.result))</f>
        <v>Generic Physical Asset</v>
      </c>
      <c r="AC222" s="2" t="str">
        <f>_xlfn.LET(
    _xlpm.isObject, _xlfn.XLOOKUP($Y222,'EA-Fortescue_SDExport'!A:A,'EA-Fortescue_SDExport'!B:B),
    _xlpm.lookupKey, IF(_xlpm.isObject="Object",
        _xlfn.XLOOKUP($A222,'EA-ConnectorExport'!A:A,'EA-ConnectorExport'!J:J),
        $Y222
    ),
    _xlpm.result, _xlfn.XLOOKUP(_xlpm.lookupKey,'EA-Fortescue_SDExport'!A:A,'EA-Fortescue_SDExport'!AD:AD),
    IF(_xlpm.result=0,"",_xlpm.result)
)</f>
        <v>850DC Decarb Infrastructure</v>
      </c>
      <c r="AD222" s="2" t="str">
        <f>_xlfn.LET(
    _xlpm.isObject, _xlfn.XLOOKUP($Y222,'EA-Fortescue_SDExport'!A:A,'EA-Fortescue_SDExport'!B:B),
    _xlpm.lookupKey, IF(_xlpm.isObject="Object",
        _xlfn.XLOOKUP($A222,'EA-ConnectorExport'!A:A,'EA-ConnectorExport'!J:J),
        $Y222
    ),
    _xlpm.result, _xlfn.XLOOKUP(_xlpm.lookupKey,'EA-Fortescue_SDExport'!A:A,'EA-Fortescue_SDExport'!AE:AE),
    IF(_xlpm.result=0,"",_xlpm.result)
)</f>
        <v>850DC-1510 Chargers</v>
      </c>
      <c r="AE222" s="2" t="str">
        <f>_xlfn.LET(
    _xlpm.isObject, _xlfn.XLOOKUP($Y222,'EA-Fortescue_SDExport'!A:A,'EA-Fortescue_SDExport'!B:B),
    _xlpm.lookupKey, IF(_xlpm.isObject="Object",
        _xlfn.XLOOKUP($A222,'EA-ConnectorExport'!A:A,'EA-ConnectorExport'!J:J),
        $Y222
    ),
    _xlpm.result, _xlfn.XLOOKUP(_xlpm.lookupKey,'EA-Fortescue_SDExport'!A:A,'EA-Fortescue_SDExport'!AF:AF),
    IF(_xlpm.result=0,"",_xlpm.result)
)</f>
        <v>850DC-1512-0001 HME Chargers - Gen1</v>
      </c>
      <c r="AF222" s="2" t="str">
        <f>_xlfn.LET(
    _xlpm.isObject, _xlfn.XLOOKUP($Y222,'EA-Fortescue_SDExport'!A:A,'EA-Fortescue_SDExport'!B:B),
    _xlpm.lookupKey, IF(_xlpm.isObject="Object",
        _xlfn.XLOOKUP($A222,'EA-ConnectorExport'!A:A,'EA-ConnectorExport'!J:J),
        $Y222
    ),
    _xlpm.result, _xlfn.XLOOKUP(_xlpm.lookupKey,'EA-Fortescue_SDExport'!A:A,'EA-Fortescue_SDExport'!AG:AG),
    IF(_xlpm.result=0,"",_xlpm.result)
)</f>
        <v>850DC-1512-0001-004 AC1 (Automated Connection) for T264 Charging Loads</v>
      </c>
    </row>
    <row r="223" spans="1:32" ht="90" x14ac:dyDescent="0.25">
      <c r="A223" s="2" t="str">
        <v>DGS-I_0222</v>
      </c>
      <c r="B223" s="2" t="str">
        <f t="shared" si="12"/>
        <v>851DC-1592 Haulage|850DC-1512-0001-004 AC1 (Automated Connection) for T264 Charging Loads</v>
      </c>
      <c r="C223" s="2" t="str">
        <f>_xlfn.LET(_xlpm.result, _xlfn.XLOOKUP(A223,'EA-Fortescue_SDExport'!A:A,'EA-Fortescue_SDExport'!AM:AM), IF(_xlpm.result=0,"",_xlpm.result))</f>
        <v/>
      </c>
      <c r="D223" s="2" t="str">
        <f>_xlfn.LET(_xlpm.result, _xlfn.XLOOKUP(A223,'EA-Fortescue_SDExport'!A:A,'EA-Fortescue_SDExport'!AN:AN), IF(_xlpm.result=0,"",_xlpm.result))</f>
        <v/>
      </c>
      <c r="E223" s="2" t="str">
        <f>_xlfn.XLOOKUP(R223&amp;Z223,Lookups!A:A,Lookups!B:B)</f>
        <v>System - Subsystem Interface</v>
      </c>
      <c r="F223" s="2" t="str">
        <f>_xlfn.LET(_xlpm.result, _xlfn.XLOOKUP(A223,'EA-Fortescue_SDExport'!A:A,'EA-Fortescue_SDExport'!AP:AP), IF(_xlpm.result=0,"",_xlpm.result))</f>
        <v/>
      </c>
      <c r="G223" s="2" t="str">
        <f>IF(OR(AND(T223&lt;&gt;"", COUNTIF(Lookups!J:J, "*"&amp;T223&amp;"*")&gt;0), AND(AB223&lt;&gt;"", COUNTIF(Lookups!J:J, "*"&amp;AB223&amp;"*")&gt;0)), "Yes", "No")</f>
        <v>No</v>
      </c>
      <c r="H223" s="2" t="str">
        <f t="shared" si="13"/>
        <v>851DC Heavy Mobile Equipment (HME)|850DC Decarb Infrastructure</v>
      </c>
      <c r="I223" s="2" t="str">
        <f t="shared" si="14"/>
        <v>851DC-1592 Haulage|850DC-1510 Chargers</v>
      </c>
      <c r="J223" s="2" t="str">
        <f t="shared" si="15"/>
        <v>N/A|850DC-1512-0001 HME Chargers - Gen1</v>
      </c>
      <c r="K223" s="2" t="str">
        <f>_xlfn.XLOOKUP(A223,'EA-Fortescue_SDExport'!A:A,'EA-Fortescue_SDExport'!N:N)</f>
        <v>Proposed</v>
      </c>
      <c r="L223" s="2" t="str">
        <f>_xlfn.LET(_xlpm.result, _xlfn.XLOOKUP($A223,'EA-Fortescue_SDExport'!$A:$A,'EA-Fortescue_SDExport'!AQ:AQ), IF(_xlpm.result=0,"",_xlpm.result))</f>
        <v/>
      </c>
      <c r="M223" s="2" t="str">
        <f>_xlfn.LET(_xlpm.result, _xlfn.XLOOKUP($A223,'EA-Fortescue_SDExport'!$A:$A,'EA-Fortescue_SDExport'!AR:AR), IF(_xlpm.result=0,"",_xlpm.result))</f>
        <v/>
      </c>
      <c r="N223" s="2" t="str">
        <f>_xlfn.LET(_xlpm.result, _xlfn.XLOOKUP($A223,'EA-Fortescue_SDExport'!$A:$A,'EA-Fortescue_SDExport'!AW:AW), IF(_xlpm.result=0,"",_xlpm.result))</f>
        <v/>
      </c>
      <c r="O223" s="2" t="str">
        <f>_xlfn.LET(_xlpm.result, _xlfn.XLOOKUP($A223,'EA-Fortescue_SDExport'!$A:$A,'EA-Fortescue_SDExport'!AV:AV), IF(_xlpm.result=0,"",_xlpm.result))</f>
        <v/>
      </c>
      <c r="P223" s="2" t="str">
        <f>_xlfn.LET(_xlpm.result, _xlfn.XLOOKUP($A223,'EA-Fortescue_SDExport'!$A:$A,'EA-Fortescue_SDExport'!D:D), IF(_xlpm.result=0,"",_xlpm.result))</f>
        <v/>
      </c>
      <c r="Q223" s="2" t="str">
        <f>_xlfn.LET(
    _xlpm.status, _xlfn.XLOOKUP($A223,'EA-ConnectorExport'!$A:$A,'EA-ConnectorExport'!G:G),
    _xlpm.result, _xlfn.XLOOKUP($A223,'EA-ConnectorExport'!$A:$A,'EA-ConnectorExport'!B:B),
    IF(_xlpm.status="allocate", _xlpm.result, "")
)</f>
        <v>851DC-1592 Haulage</v>
      </c>
      <c r="R223" s="2" t="str">
        <f>IF(
    _xlfn.XLOOKUP($Q223,'EA-Fortescue_SDExport'!A:A,'EA-Fortescue_SDExport'!B:B)="Object",
    _xlfn.XLOOKUP(
        _xlfn.XLOOKUP($A223,'EA-ConnectorExport'!A:A,'EA-ConnectorExport'!D:D),
        'EA-Fortescue_SDExport'!A:A,
        'EA-Fortescue_SDExport'!AA:AA
    ),
    _xlfn.XLOOKUP($Q223,'EA-Fortescue_SDExport'!A:A,'EA-Fortescue_SDExport'!AA:AA)
)</f>
        <v>System</v>
      </c>
      <c r="S223" s="2" t="str">
        <f>_xlfn.LET(_xlpm.result, _xlfn.XLOOKUP($Q223,'EA-Fortescue_SDExport'!$A:$A,'EA-Fortescue_SDExport'!AB:AB), IF(_xlpm.result=0,"",_xlpm.result))</f>
        <v/>
      </c>
      <c r="T223" s="2" t="str">
        <f>_xlfn.LET(_xlpm.result, _xlfn.XLOOKUP($Q223,'EA-Fortescue_SDExport'!$A:$A,'EA-Fortescue_SDExport'!AC:AC), IF(_xlpm.result=0,"",_xlpm.result))</f>
        <v>Generic Physical Asset</v>
      </c>
      <c r="U223" s="2" t="str">
        <f>_xlfn.LET(
    _xlpm.isObject, _xlfn.XLOOKUP($Q223,'EA-Fortescue_SDExport'!A:A,'EA-Fortescue_SDExport'!B:B),
    _xlpm.lookupKey, IF(_xlpm.isObject="Object",
        _xlfn.XLOOKUP($A223,'EA-ConnectorExport'!A:A,'EA-ConnectorExport'!D:D),
        $Q223
    ),
    _xlpm.result, _xlfn.XLOOKUP(_xlpm.lookupKey,'EA-Fortescue_SDExport'!A:A,'EA-Fortescue_SDExport'!AD:AD),
    IF(_xlpm.result=0,"",_xlpm.result)
)</f>
        <v>851DC Heavy Mobile Equipment (HME)</v>
      </c>
      <c r="V223" s="2" t="str">
        <f>_xlfn.LET(
    _xlpm.isObject, _xlfn.XLOOKUP($Q223,'EA-Fortescue_SDExport'!A:A,'EA-Fortescue_SDExport'!B:B),
    _xlpm.lookupKey, IF(_xlpm.isObject="Object",
        _xlfn.XLOOKUP($A223,'EA-ConnectorExport'!A:A,'EA-ConnectorExport'!D:D),
        $Q223
    ),
    _xlpm.result, _xlfn.XLOOKUP(_xlpm.lookupKey,'EA-Fortescue_SDExport'!A:A,'EA-Fortescue_SDExport'!AE:AE),
    IF(_xlpm.result=0,"",_xlpm.result)
)</f>
        <v>851DC-1592 Haulage</v>
      </c>
      <c r="W223" s="2" t="str">
        <f>_xlfn.LET(
    _xlpm.isObject, _xlfn.XLOOKUP($Q223,'EA-Fortescue_SDExport'!A:A,'EA-Fortescue_SDExport'!B:B),
    _xlpm.lookupKey, IF(_xlpm.isObject="Object",
        _xlfn.XLOOKUP($A223,'EA-ConnectorExport'!A:A,'EA-ConnectorExport'!D:D),
        $Q223
    ),
    _xlpm.result, _xlfn.XLOOKUP(_xlpm.lookupKey,'EA-Fortescue_SDExport'!A:A,'EA-Fortescue_SDExport'!AF:AF),
    IF(_xlpm.result=0,"",_xlpm.result)
)</f>
        <v/>
      </c>
      <c r="X223" s="2" t="str">
        <f>_xlfn.LET(
    _xlpm.isObject, _xlfn.XLOOKUP($Q223,'EA-Fortescue_SDExport'!A:A,'EA-Fortescue_SDExport'!B:B),
    _xlpm.lookupKey, IF(_xlpm.isObject="Object",
        _xlfn.XLOOKUP($A223,'EA-ConnectorExport'!A:A,'EA-ConnectorExport'!D:D),
        $Q223
    ),
    _xlpm.result, _xlfn.XLOOKUP(_xlpm.lookupKey,'EA-Fortescue_SDExport'!A:A,'EA-Fortescue_SDExport'!AG:AG),
    IF(_xlpm.result=0,"",_xlpm.result)
)</f>
        <v/>
      </c>
      <c r="Y223" s="2" t="str">
        <f>_xlfn.LET(
    _xlpm.status, _xlfn.XLOOKUP($A223,'EA-ConnectorExport'!$A:$A,'EA-ConnectorExport'!G:G),
    _xlpm.result, _xlfn.XLOOKUP($A223,'EA-ConnectorExport'!$A:$A,'EA-ConnectorExport'!H:H),
    IF(_xlpm.status="allocate", _xlpm.result, "")
)</f>
        <v>850DC-1512-0001-004 AC1 (Automated Connection) for T264 Charging Loads</v>
      </c>
      <c r="Z223" s="2" t="str">
        <f>_xlfn.LET(
    _xlpm.isObject, _xlfn.XLOOKUP($Y223,'EA-Fortescue_SDExport'!A:A,'EA-Fortescue_SDExport'!B:B),
    _xlpm.lookupKey, IF(_xlpm.isObject="Object",
        _xlfn.XLOOKUP($A223,'EA-ConnectorExport'!A:A,'EA-ConnectorExport'!J:J),
        $Y223
    ),
    _xlpm.result, _xlfn.XLOOKUP(_xlpm.lookupKey,'EA-Fortescue_SDExport'!A:A,'EA-Fortescue_SDExport'!AA:AA),
    IF(_xlpm.result=0,"",_xlpm.result)
)</f>
        <v>Subsystem</v>
      </c>
      <c r="AA223" s="2" t="str">
        <f>_xlfn.LET(_xlpm.result, _xlfn.XLOOKUP($Y223,'EA-Fortescue_SDExport'!$A:$A,'EA-Fortescue_SDExport'!AB:AB), IF(_xlpm.result=0,"",_xlpm.result))</f>
        <v/>
      </c>
      <c r="AB223" s="2" t="str">
        <f>_xlfn.LET(_xlpm.result, _xlfn.XLOOKUP($Y223,'EA-Fortescue_SDExport'!$A:$A,'EA-Fortescue_SDExport'!AC:AC), IF(_xlpm.result=0,"",_xlpm.result))</f>
        <v>Generic Physical Asset</v>
      </c>
      <c r="AC223" s="2" t="str">
        <f>_xlfn.LET(
    _xlpm.isObject, _xlfn.XLOOKUP($Y223,'EA-Fortescue_SDExport'!A:A,'EA-Fortescue_SDExport'!B:B),
    _xlpm.lookupKey, IF(_xlpm.isObject="Object",
        _xlfn.XLOOKUP($A223,'EA-ConnectorExport'!A:A,'EA-ConnectorExport'!J:J),
        $Y223
    ),
    _xlpm.result, _xlfn.XLOOKUP(_xlpm.lookupKey,'EA-Fortescue_SDExport'!A:A,'EA-Fortescue_SDExport'!AD:AD),
    IF(_xlpm.result=0,"",_xlpm.result)
)</f>
        <v>850DC Decarb Infrastructure</v>
      </c>
      <c r="AD223" s="2" t="str">
        <f>_xlfn.LET(
    _xlpm.isObject, _xlfn.XLOOKUP($Y223,'EA-Fortescue_SDExport'!A:A,'EA-Fortescue_SDExport'!B:B),
    _xlpm.lookupKey, IF(_xlpm.isObject="Object",
        _xlfn.XLOOKUP($A223,'EA-ConnectorExport'!A:A,'EA-ConnectorExport'!J:J),
        $Y223
    ),
    _xlpm.result, _xlfn.XLOOKUP(_xlpm.lookupKey,'EA-Fortescue_SDExport'!A:A,'EA-Fortescue_SDExport'!AE:AE),
    IF(_xlpm.result=0,"",_xlpm.result)
)</f>
        <v>850DC-1510 Chargers</v>
      </c>
      <c r="AE223" s="2" t="str">
        <f>_xlfn.LET(
    _xlpm.isObject, _xlfn.XLOOKUP($Y223,'EA-Fortescue_SDExport'!A:A,'EA-Fortescue_SDExport'!B:B),
    _xlpm.lookupKey, IF(_xlpm.isObject="Object",
        _xlfn.XLOOKUP($A223,'EA-ConnectorExport'!A:A,'EA-ConnectorExport'!J:J),
        $Y223
    ),
    _xlpm.result, _xlfn.XLOOKUP(_xlpm.lookupKey,'EA-Fortescue_SDExport'!A:A,'EA-Fortescue_SDExport'!AF:AF),
    IF(_xlpm.result=0,"",_xlpm.result)
)</f>
        <v>850DC-1512-0001 HME Chargers - Gen1</v>
      </c>
      <c r="AF223" s="2" t="str">
        <f>_xlfn.LET(
    _xlpm.isObject, _xlfn.XLOOKUP($Y223,'EA-Fortescue_SDExport'!A:A,'EA-Fortescue_SDExport'!B:B),
    _xlpm.lookupKey, IF(_xlpm.isObject="Object",
        _xlfn.XLOOKUP($A223,'EA-ConnectorExport'!A:A,'EA-ConnectorExport'!J:J),
        $Y223
    ),
    _xlpm.result, _xlfn.XLOOKUP(_xlpm.lookupKey,'EA-Fortescue_SDExport'!A:A,'EA-Fortescue_SDExport'!AG:AG),
    IF(_xlpm.result=0,"",_xlpm.result)
)</f>
        <v>850DC-1512-0001-004 AC1 (Automated Connection) for T264 Charging Loads</v>
      </c>
    </row>
    <row r="224" spans="1:32" ht="285" x14ac:dyDescent="0.25">
      <c r="A224" s="2" t="str">
        <v>DGS-I_0223</v>
      </c>
      <c r="B224" s="2" t="str">
        <f t="shared" si="12"/>
        <v>005OP-0000-017-002 Fire SCADA|850DC-1512-0001-001 SW1+AP1 (Switchroom)</v>
      </c>
      <c r="C224" s="2" t="str">
        <f>_xlfn.LET(_xlpm.result, _xlfn.XLOOKUP(A224,'EA-Fortescue_SDExport'!A:A,'EA-Fortescue_SDExport'!AM:AM), IF(_xlpm.result=0,"",_xlpm.result))</f>
        <v/>
      </c>
      <c r="D224" s="2" t="str">
        <f>_xlfn.LET(_xlpm.result, _xlfn.XLOOKUP(A224,'EA-Fortescue_SDExport'!A:A,'EA-Fortescue_SDExport'!AN:AN), IF(_xlpm.result=0,"",_xlpm.result))</f>
        <v/>
      </c>
      <c r="E224" s="2" t="str">
        <f>_xlfn.XLOOKUP(R224&amp;Z224,Lookups!A:A,Lookups!B:B)</f>
        <v>Subsystem - Subsystem Interface</v>
      </c>
      <c r="F224" s="2" t="str">
        <f>_xlfn.LET(_xlpm.result, _xlfn.XLOOKUP(A224,'EA-Fortescue_SDExport'!A:A,'EA-Fortescue_SDExport'!AP:AP), IF(_xlpm.result=0,"",_xlpm.result))</f>
        <v>Technical-Data/Software</v>
      </c>
      <c r="G224" s="2" t="str">
        <f>IF(OR(AND(T224&lt;&gt;"", COUNTIF(Lookups!J:J, "*"&amp;T224&amp;"*")&gt;0), AND(AB224&lt;&gt;"", COUNTIF(Lookups!J:J, "*"&amp;AB224&amp;"*")&gt;0)), "Yes", "No")</f>
        <v>No</v>
      </c>
      <c r="H224" s="2" t="str">
        <f t="shared" si="13"/>
        <v>005OP IT/OT Systems|850DC Decarb Infrastructure</v>
      </c>
      <c r="I224" s="2" t="str">
        <f t="shared" si="14"/>
        <v>N/A|850DC-1510 Chargers</v>
      </c>
      <c r="J224" s="2" t="str">
        <f t="shared" si="15"/>
        <v>005OP-0000-017 Ignition|850DC-1512-0001 HME Chargers - Gen1</v>
      </c>
      <c r="K224" s="2" t="str">
        <f>_xlfn.XLOOKUP(A224,'EA-Fortescue_SDExport'!A:A,'EA-Fortescue_SDExport'!N:N)</f>
        <v>Proposed</v>
      </c>
      <c r="L224" s="2" t="str">
        <f>_xlfn.LET(_xlpm.result, _xlfn.XLOOKUP($A224,'EA-Fortescue_SDExport'!$A:$A,'EA-Fortescue_SDExport'!AQ:AQ), IF(_xlpm.result=0,"",_xlpm.result))</f>
        <v>This interface transmits fire alarms, suppression system activations, and emergency isolation commands from Fire SCADA to the SW1+AP1 switchroom systems.</v>
      </c>
      <c r="M224" s="2" t="str">
        <f>_xlfn.LET(_xlpm.result, _xlfn.XLOOKUP($A224,'EA-Fortescue_SDExport'!$A:$A,'EA-Fortescue_SDExport'!AR:AR), IF(_xlpm.result=0,"",_xlpm.result))</f>
        <v>HIGH</v>
      </c>
      <c r="N224" s="2" t="str">
        <f>_xlfn.LET(_xlpm.result, _xlfn.XLOOKUP($A224,'EA-Fortescue_SDExport'!$A:$A,'EA-Fortescue_SDExport'!AW:AW), IF(_xlpm.result=0,"",_xlpm.result))</f>
        <v>The criticality level is HIGH because switchrooms contain high-voltage equipment and must respond immediately to fire conditions to prevent catastrophic equipment failure and protect personnel. The significance of this is that missing fire signals could prevent switchrooms from isolating circuits or activating emergency protocols, creating serious electrical and life-safety risks.</v>
      </c>
      <c r="O224" s="2" t="str">
        <f>_xlfn.LET(_xlpm.result, _xlfn.XLOOKUP($A224,'EA-Fortescue_SDExport'!$A:$A,'EA-Fortescue_SDExport'!AV:AV), IF(_xlpm.result=0,"",_xlpm.result))</f>
        <v>Data Flow: Fire SCADA -&gt; SW1+AP1 Switchroom Systems, transmitting fire alarms, suppression system activation status, zone isolation signals, smoke/heat detection status, and emergency isolation commands to initiate protective responses within high-voltage switchrooms._x000D_
Control / Interlock Response: SW1+AP1 Switchroom Systems -&gt; Local Electrical Equipment, executing automatic trip signals, breaker isolation, ventilation shutdown, or suppression activation based on validated fire inputs to ensure safe equipment isolation and personnel protection.</v>
      </c>
      <c r="P224" s="2" t="str">
        <f>_xlfn.LET(_xlpm.result, _xlfn.XLOOKUP($A224,'EA-Fortescue_SDExport'!$A:$A,'EA-Fortescue_SDExport'!D:D), IF(_xlpm.result=0,"",_xlpm.result))</f>
        <v>LMS Review 30/10/2025: Trending data from chargers, diagnostics. OPC/UA_x000D_
NH 20/02/2026: Fields updated: Interface Type, Interface Flow.</v>
      </c>
      <c r="Q224" s="2" t="str">
        <f>_xlfn.LET(
    _xlpm.status, _xlfn.XLOOKUP($A224,'EA-ConnectorExport'!$A:$A,'EA-ConnectorExport'!G:G),
    _xlpm.result, _xlfn.XLOOKUP($A224,'EA-ConnectorExport'!$A:$A,'EA-ConnectorExport'!B:B),
    IF(_xlpm.status="allocate", _xlpm.result, "")
)</f>
        <v>005OP-0000-017-002 Fire SCADA</v>
      </c>
      <c r="R224" s="2" t="str">
        <f>IF(
    _xlfn.XLOOKUP($Q224,'EA-Fortescue_SDExport'!A:A,'EA-Fortescue_SDExport'!B:B)="Object",
    _xlfn.XLOOKUP(
        _xlfn.XLOOKUP($A224,'EA-ConnectorExport'!A:A,'EA-ConnectorExport'!D:D),
        'EA-Fortescue_SDExport'!A:A,
        'EA-Fortescue_SDExport'!AA:AA
    ),
    _xlfn.XLOOKUP($Q224,'EA-Fortescue_SDExport'!A:A,'EA-Fortescue_SDExport'!AA:AA)
)</f>
        <v>Subsystem</v>
      </c>
      <c r="S224" s="2" t="str">
        <f>_xlfn.LET(_xlpm.result, _xlfn.XLOOKUP($Q224,'EA-Fortescue_SDExport'!$A:$A,'EA-Fortescue_SDExport'!AB:AB), IF(_xlpm.result=0,"",_xlpm.result))</f>
        <v/>
      </c>
      <c r="T224" s="2" t="str">
        <f>_xlfn.LET(_xlpm.result, _xlfn.XLOOKUP($Q224,'EA-Fortescue_SDExport'!$A:$A,'EA-Fortescue_SDExport'!AC:AC), IF(_xlpm.result=0,"",_xlpm.result))</f>
        <v/>
      </c>
      <c r="U224" s="2" t="str">
        <f>_xlfn.LET(
    _xlpm.isObject, _xlfn.XLOOKUP($Q224,'EA-Fortescue_SDExport'!A:A,'EA-Fortescue_SDExport'!B:B),
    _xlpm.lookupKey, IF(_xlpm.isObject="Object",
        _xlfn.XLOOKUP($A224,'EA-ConnectorExport'!A:A,'EA-ConnectorExport'!D:D),
        $Q224
    ),
    _xlpm.result, _xlfn.XLOOKUP(_xlpm.lookupKey,'EA-Fortescue_SDExport'!A:A,'EA-Fortescue_SDExport'!AD:AD),
    IF(_xlpm.result=0,"",_xlpm.result)
)</f>
        <v>005OP IT/OT Systems</v>
      </c>
      <c r="V224" s="2" t="str">
        <f>_xlfn.LET(
    _xlpm.isObject, _xlfn.XLOOKUP($Q224,'EA-Fortescue_SDExport'!A:A,'EA-Fortescue_SDExport'!B:B),
    _xlpm.lookupKey, IF(_xlpm.isObject="Object",
        _xlfn.XLOOKUP($A224,'EA-ConnectorExport'!A:A,'EA-ConnectorExport'!D:D),
        $Q224
    ),
    _xlpm.result, _xlfn.XLOOKUP(_xlpm.lookupKey,'EA-Fortescue_SDExport'!A:A,'EA-Fortescue_SDExport'!AE:AE),
    IF(_xlpm.result=0,"",_xlpm.result)
)</f>
        <v/>
      </c>
      <c r="W224" s="2" t="str">
        <f>_xlfn.LET(
    _xlpm.isObject, _xlfn.XLOOKUP($Q224,'EA-Fortescue_SDExport'!A:A,'EA-Fortescue_SDExport'!B:B),
    _xlpm.lookupKey, IF(_xlpm.isObject="Object",
        _xlfn.XLOOKUP($A224,'EA-ConnectorExport'!A:A,'EA-ConnectorExport'!D:D),
        $Q224
    ),
    _xlpm.result, _xlfn.XLOOKUP(_xlpm.lookupKey,'EA-Fortescue_SDExport'!A:A,'EA-Fortescue_SDExport'!AF:AF),
    IF(_xlpm.result=0,"",_xlpm.result)
)</f>
        <v>005OP-0000-017 Ignition</v>
      </c>
      <c r="X224" s="2" t="str">
        <f>_xlfn.LET(
    _xlpm.isObject, _xlfn.XLOOKUP($Q224,'EA-Fortescue_SDExport'!A:A,'EA-Fortescue_SDExport'!B:B),
    _xlpm.lookupKey, IF(_xlpm.isObject="Object",
        _xlfn.XLOOKUP($A224,'EA-ConnectorExport'!A:A,'EA-ConnectorExport'!D:D),
        $Q224
    ),
    _xlpm.result, _xlfn.XLOOKUP(_xlpm.lookupKey,'EA-Fortescue_SDExport'!A:A,'EA-Fortescue_SDExport'!AG:AG),
    IF(_xlpm.result=0,"",_xlpm.result)
)</f>
        <v>005OP-0000-017-002 Fire SCADA</v>
      </c>
      <c r="Y224" s="2" t="str">
        <f>_xlfn.LET(
    _xlpm.status, _xlfn.XLOOKUP($A224,'EA-ConnectorExport'!$A:$A,'EA-ConnectorExport'!G:G),
    _xlpm.result, _xlfn.XLOOKUP($A224,'EA-ConnectorExport'!$A:$A,'EA-ConnectorExport'!H:H),
    IF(_xlpm.status="allocate", _xlpm.result, "")
)</f>
        <v>850DC-1512-0001-001 SW1+AP1 (Switchroom)</v>
      </c>
      <c r="Z224" s="2" t="str">
        <f>_xlfn.LET(
    _xlpm.isObject, _xlfn.XLOOKUP($Y224,'EA-Fortescue_SDExport'!A:A,'EA-Fortescue_SDExport'!B:B),
    _xlpm.lookupKey, IF(_xlpm.isObject="Object",
        _xlfn.XLOOKUP($A224,'EA-ConnectorExport'!A:A,'EA-ConnectorExport'!J:J),
        $Y224
    ),
    _xlpm.result, _xlfn.XLOOKUP(_xlpm.lookupKey,'EA-Fortescue_SDExport'!A:A,'EA-Fortescue_SDExport'!AA:AA),
    IF(_xlpm.result=0,"",_xlpm.result)
)</f>
        <v>Subsystem</v>
      </c>
      <c r="AA224" s="2" t="str">
        <f>_xlfn.LET(_xlpm.result, _xlfn.XLOOKUP($Y224,'EA-Fortescue_SDExport'!$A:$A,'EA-Fortescue_SDExport'!AB:AB), IF(_xlpm.result=0,"",_xlpm.result))</f>
        <v/>
      </c>
      <c r="AB224" s="2" t="str">
        <f>_xlfn.LET(_xlpm.result, _xlfn.XLOOKUP($Y224,'EA-Fortescue_SDExport'!$A:$A,'EA-Fortescue_SDExport'!AC:AC), IF(_xlpm.result=0,"",_xlpm.result))</f>
        <v>Generic Physical Asset</v>
      </c>
      <c r="AC224" s="2" t="str">
        <f>_xlfn.LET(
    _xlpm.isObject, _xlfn.XLOOKUP($Y224,'EA-Fortescue_SDExport'!A:A,'EA-Fortescue_SDExport'!B:B),
    _xlpm.lookupKey, IF(_xlpm.isObject="Object",
        _xlfn.XLOOKUP($A224,'EA-ConnectorExport'!A:A,'EA-ConnectorExport'!J:J),
        $Y224
    ),
    _xlpm.result, _xlfn.XLOOKUP(_xlpm.lookupKey,'EA-Fortescue_SDExport'!A:A,'EA-Fortescue_SDExport'!AD:AD),
    IF(_xlpm.result=0,"",_xlpm.result)
)</f>
        <v>850DC Decarb Infrastructure</v>
      </c>
      <c r="AD224" s="2" t="str">
        <f>_xlfn.LET(
    _xlpm.isObject, _xlfn.XLOOKUP($Y224,'EA-Fortescue_SDExport'!A:A,'EA-Fortescue_SDExport'!B:B),
    _xlpm.lookupKey, IF(_xlpm.isObject="Object",
        _xlfn.XLOOKUP($A224,'EA-ConnectorExport'!A:A,'EA-ConnectorExport'!J:J),
        $Y224
    ),
    _xlpm.result, _xlfn.XLOOKUP(_xlpm.lookupKey,'EA-Fortescue_SDExport'!A:A,'EA-Fortescue_SDExport'!AE:AE),
    IF(_xlpm.result=0,"",_xlpm.result)
)</f>
        <v>850DC-1510 Chargers</v>
      </c>
      <c r="AE224" s="2" t="str">
        <f>_xlfn.LET(
    _xlpm.isObject, _xlfn.XLOOKUP($Y224,'EA-Fortescue_SDExport'!A:A,'EA-Fortescue_SDExport'!B:B),
    _xlpm.lookupKey, IF(_xlpm.isObject="Object",
        _xlfn.XLOOKUP($A224,'EA-ConnectorExport'!A:A,'EA-ConnectorExport'!J:J),
        $Y224
    ),
    _xlpm.result, _xlfn.XLOOKUP(_xlpm.lookupKey,'EA-Fortescue_SDExport'!A:A,'EA-Fortescue_SDExport'!AF:AF),
    IF(_xlpm.result=0,"",_xlpm.result)
)</f>
        <v>850DC-1512-0001 HME Chargers - Gen1</v>
      </c>
      <c r="AF224" s="2" t="str">
        <f>_xlfn.LET(
    _xlpm.isObject, _xlfn.XLOOKUP($Y224,'EA-Fortescue_SDExport'!A:A,'EA-Fortescue_SDExport'!B:B),
    _xlpm.lookupKey, IF(_xlpm.isObject="Object",
        _xlfn.XLOOKUP($A224,'EA-ConnectorExport'!A:A,'EA-ConnectorExport'!J:J),
        $Y224
    ),
    _xlpm.result, _xlfn.XLOOKUP(_xlpm.lookupKey,'EA-Fortescue_SDExport'!A:A,'EA-Fortescue_SDExport'!AG:AG),
    IF(_xlpm.result=0,"",_xlpm.result)
)</f>
        <v>850DC-1512-0001-001 SW1+AP1 (Switchroom)</v>
      </c>
    </row>
    <row r="225" spans="1:32" ht="300" x14ac:dyDescent="0.25">
      <c r="A225" s="2" t="str">
        <v>DGS-I_0224</v>
      </c>
      <c r="B225" s="2" t="str">
        <f t="shared" si="12"/>
        <v>851DC-1592 Haulage|859DC-1410-001-002 HaulX Control (Autonomous Haulage System)</v>
      </c>
      <c r="C225" s="2" t="str">
        <f>_xlfn.LET(_xlpm.result, _xlfn.XLOOKUP(A225,'EA-Fortescue_SDExport'!A:A,'EA-Fortescue_SDExport'!AM:AM), IF(_xlpm.result=0,"",_xlpm.result))</f>
        <v/>
      </c>
      <c r="D225" s="2" t="str">
        <f>_xlfn.LET(_xlpm.result, _xlfn.XLOOKUP(A225,'EA-Fortescue_SDExport'!A:A,'EA-Fortescue_SDExport'!AN:AN), IF(_xlpm.result=0,"",_xlpm.result))</f>
        <v/>
      </c>
      <c r="E225" s="2" t="str">
        <f>_xlfn.XLOOKUP(R225&amp;Z225,Lookups!A:A,Lookups!B:B)</f>
        <v>System - Subsystem Interface</v>
      </c>
      <c r="F225" s="2" t="str">
        <f>_xlfn.LET(_xlpm.result, _xlfn.XLOOKUP(A225,'EA-Fortescue_SDExport'!A:A,'EA-Fortescue_SDExport'!AP:AP), IF(_xlpm.result=0,"",_xlpm.result))</f>
        <v>Technical-Data/Software</v>
      </c>
      <c r="G225" s="2" t="str">
        <f>IF(OR(AND(T225&lt;&gt;"", COUNTIF(Lookups!J:J, "*"&amp;T225&amp;"*")&gt;0), AND(AB225&lt;&gt;"", COUNTIF(Lookups!J:J, "*"&amp;AB225&amp;"*")&gt;0)), "Yes", "No")</f>
        <v>No</v>
      </c>
      <c r="H225" s="2" t="str">
        <f t="shared" si="13"/>
        <v>851DC Heavy Mobile Equipment (HME)|859DC HaulX</v>
      </c>
      <c r="I225" s="2" t="str">
        <f t="shared" si="14"/>
        <v>851DC-1592 Haulage|N/A</v>
      </c>
      <c r="J225" s="2" t="str">
        <f t="shared" si="15"/>
        <v>N/A|859DC-1410-001 HaulX</v>
      </c>
      <c r="K225" s="2" t="str">
        <f>_xlfn.XLOOKUP(A225,'EA-Fortescue_SDExport'!A:A,'EA-Fortescue_SDExport'!N:N)</f>
        <v>Proposed</v>
      </c>
      <c r="L225" s="2" t="str">
        <f>_xlfn.LET(_xlpm.result, _xlfn.XLOOKUP($A225,'EA-Fortescue_SDExport'!$A:$A,'EA-Fortescue_SDExport'!AQ:AQ), IF(_xlpm.result=0,"",_xlpm.result))</f>
        <v>This interface connects the Haulage system with HaulX Control to issue high-level haulage instructions while receiving autonomous truck status, safety events, and mission progress updates.</v>
      </c>
      <c r="M225" s="2" t="str">
        <f>_xlfn.LET(_xlpm.result, _xlfn.XLOOKUP($A225,'EA-Fortescue_SDExport'!$A:$A,'EA-Fortescue_SDExport'!AR:AR), IF(_xlpm.result=0,"",_xlpm.result))</f>
        <v>HIGH</v>
      </c>
      <c r="N225" s="2" t="str">
        <f>_xlfn.LET(_xlpm.result, _xlfn.XLOOKUP($A225,'EA-Fortescue_SDExport'!$A:$A,'EA-Fortescue_SDExport'!AW:AW), IF(_xlpm.result=0,"",_xlpm.result))</f>
        <v>The criticality level is HIGH because if the interface fails, autonomous trucks may lose direction or enter safe-halt states, disrupting haulage activities and potentially blocking main routes. HaulX Control depends on this interface to perform safe autonomous movements aligned with haulage requirements, and a failure could have immediate operational impacts.</v>
      </c>
      <c r="O225" s="2" t="str">
        <f>_xlfn.LET(_xlpm.result, _xlfn.XLOOKUP($A225,'EA-Fortescue_SDExport'!$A:$A,'EA-Fortescue_SDExport'!AV:AV), IF(_xlpm.result=0,"",_xlpm.result))</f>
        <v>Data Flow:_x000D_
Haulage System (851DC-1592) -&gt; HaulX Control (859DC-1410-001), transmitting high-level haulage instructions, task allocations, route plans, priority rules, and operational constraints for autonomous truck execution._x000D_
HaulX Control -&gt; Haulage System, providing truck status, mission progress, health and diagnostic data, safety events, exception handling notifications, and task completion confirmations._x000D_
Control Flow:_x000D_
HaulX Control issues low-level motion commands and execution logic to Heavy Mobile Equipment (HME), while receiving supervisory dispatch instructions from the Haulage system to maintain alignment with production objectives.</v>
      </c>
      <c r="P225" s="2" t="str">
        <f>_xlfn.LET(_xlpm.result, _xlfn.XLOOKUP($A225,'EA-Fortescue_SDExport'!$A:$A,'EA-Fortescue_SDExport'!D:D), IF(_xlpm.result=0,"",_xlpm.result))</f>
        <v>NH 20/02/2026: Fields updated: Interface Type, Interface Flow.</v>
      </c>
      <c r="Q225" s="2" t="str">
        <f>_xlfn.LET(
    _xlpm.status, _xlfn.XLOOKUP($A225,'EA-ConnectorExport'!$A:$A,'EA-ConnectorExport'!G:G),
    _xlpm.result, _xlfn.XLOOKUP($A225,'EA-ConnectorExport'!$A:$A,'EA-ConnectorExport'!B:B),
    IF(_xlpm.status="allocate", _xlpm.result, "")
)</f>
        <v>851DC-1592 Haulage</v>
      </c>
      <c r="R225" s="2" t="str">
        <f>IF(
    _xlfn.XLOOKUP($Q225,'EA-Fortescue_SDExport'!A:A,'EA-Fortescue_SDExport'!B:B)="Object",
    _xlfn.XLOOKUP(
        _xlfn.XLOOKUP($A225,'EA-ConnectorExport'!A:A,'EA-ConnectorExport'!D:D),
        'EA-Fortescue_SDExport'!A:A,
        'EA-Fortescue_SDExport'!AA:AA
    ),
    _xlfn.XLOOKUP($Q225,'EA-Fortescue_SDExport'!A:A,'EA-Fortescue_SDExport'!AA:AA)
)</f>
        <v>System</v>
      </c>
      <c r="S225" s="2" t="str">
        <f>_xlfn.LET(_xlpm.result, _xlfn.XLOOKUP($Q225,'EA-Fortescue_SDExport'!$A:$A,'EA-Fortescue_SDExport'!AB:AB), IF(_xlpm.result=0,"",_xlpm.result))</f>
        <v/>
      </c>
      <c r="T225" s="2" t="str">
        <f>_xlfn.LET(_xlpm.result, _xlfn.XLOOKUP($Q225,'EA-Fortescue_SDExport'!$A:$A,'EA-Fortescue_SDExport'!AC:AC), IF(_xlpm.result=0,"",_xlpm.result))</f>
        <v>Generic Physical Asset</v>
      </c>
      <c r="U225" s="2" t="str">
        <f>_xlfn.LET(
    _xlpm.isObject, _xlfn.XLOOKUP($Q225,'EA-Fortescue_SDExport'!A:A,'EA-Fortescue_SDExport'!B:B),
    _xlpm.lookupKey, IF(_xlpm.isObject="Object",
        _xlfn.XLOOKUP($A225,'EA-ConnectorExport'!A:A,'EA-ConnectorExport'!D:D),
        $Q225
    ),
    _xlpm.result, _xlfn.XLOOKUP(_xlpm.lookupKey,'EA-Fortescue_SDExport'!A:A,'EA-Fortescue_SDExport'!AD:AD),
    IF(_xlpm.result=0,"",_xlpm.result)
)</f>
        <v>851DC Heavy Mobile Equipment (HME)</v>
      </c>
      <c r="V225" s="2" t="str">
        <f>_xlfn.LET(
    _xlpm.isObject, _xlfn.XLOOKUP($Q225,'EA-Fortescue_SDExport'!A:A,'EA-Fortescue_SDExport'!B:B),
    _xlpm.lookupKey, IF(_xlpm.isObject="Object",
        _xlfn.XLOOKUP($A225,'EA-ConnectorExport'!A:A,'EA-ConnectorExport'!D:D),
        $Q225
    ),
    _xlpm.result, _xlfn.XLOOKUP(_xlpm.lookupKey,'EA-Fortescue_SDExport'!A:A,'EA-Fortescue_SDExport'!AE:AE),
    IF(_xlpm.result=0,"",_xlpm.result)
)</f>
        <v>851DC-1592 Haulage</v>
      </c>
      <c r="W225" s="2" t="str">
        <f>_xlfn.LET(
    _xlpm.isObject, _xlfn.XLOOKUP($Q225,'EA-Fortescue_SDExport'!A:A,'EA-Fortescue_SDExport'!B:B),
    _xlpm.lookupKey, IF(_xlpm.isObject="Object",
        _xlfn.XLOOKUP($A225,'EA-ConnectorExport'!A:A,'EA-ConnectorExport'!D:D),
        $Q225
    ),
    _xlpm.result, _xlfn.XLOOKUP(_xlpm.lookupKey,'EA-Fortescue_SDExport'!A:A,'EA-Fortescue_SDExport'!AF:AF),
    IF(_xlpm.result=0,"",_xlpm.result)
)</f>
        <v/>
      </c>
      <c r="X225" s="2" t="str">
        <f>_xlfn.LET(
    _xlpm.isObject, _xlfn.XLOOKUP($Q225,'EA-Fortescue_SDExport'!A:A,'EA-Fortescue_SDExport'!B:B),
    _xlpm.lookupKey, IF(_xlpm.isObject="Object",
        _xlfn.XLOOKUP($A225,'EA-ConnectorExport'!A:A,'EA-ConnectorExport'!D:D),
        $Q225
    ),
    _xlpm.result, _xlfn.XLOOKUP(_xlpm.lookupKey,'EA-Fortescue_SDExport'!A:A,'EA-Fortescue_SDExport'!AG:AG),
    IF(_xlpm.result=0,"",_xlpm.result)
)</f>
        <v/>
      </c>
      <c r="Y225" s="2" t="str">
        <f>_xlfn.LET(
    _xlpm.status, _xlfn.XLOOKUP($A225,'EA-ConnectorExport'!$A:$A,'EA-ConnectorExport'!G:G),
    _xlpm.result, _xlfn.XLOOKUP($A225,'EA-ConnectorExport'!$A:$A,'EA-ConnectorExport'!H:H),
    IF(_xlpm.status="allocate", _xlpm.result, "")
)</f>
        <v>859DC-1410-001-002 HaulX Control (Autonomous Haulage System)</v>
      </c>
      <c r="Z225" s="2" t="str">
        <f>_xlfn.LET(
    _xlpm.isObject, _xlfn.XLOOKUP($Y225,'EA-Fortescue_SDExport'!A:A,'EA-Fortescue_SDExport'!B:B),
    _xlpm.lookupKey, IF(_xlpm.isObject="Object",
        _xlfn.XLOOKUP($A225,'EA-ConnectorExport'!A:A,'EA-ConnectorExport'!J:J),
        $Y225
    ),
    _xlpm.result, _xlfn.XLOOKUP(_xlpm.lookupKey,'EA-Fortescue_SDExport'!A:A,'EA-Fortescue_SDExport'!AA:AA),
    IF(_xlpm.result=0,"",_xlpm.result)
)</f>
        <v>Subsystem</v>
      </c>
      <c r="AA225" s="2" t="str">
        <f>_xlfn.LET(_xlpm.result, _xlfn.XLOOKUP($Y225,'EA-Fortescue_SDExport'!$A:$A,'EA-Fortescue_SDExport'!AB:AB), IF(_xlpm.result=0,"",_xlpm.result))</f>
        <v/>
      </c>
      <c r="AB225" s="2" t="str">
        <f>_xlfn.LET(_xlpm.result, _xlfn.XLOOKUP($Y225,'EA-Fortescue_SDExport'!$A:$A,'EA-Fortescue_SDExport'!AC:AC), IF(_xlpm.result=0,"",_xlpm.result))</f>
        <v/>
      </c>
      <c r="AC225" s="2" t="str">
        <f>_xlfn.LET(
    _xlpm.isObject, _xlfn.XLOOKUP($Y225,'EA-Fortescue_SDExport'!A:A,'EA-Fortescue_SDExport'!B:B),
    _xlpm.lookupKey, IF(_xlpm.isObject="Object",
        _xlfn.XLOOKUP($A225,'EA-ConnectorExport'!A:A,'EA-ConnectorExport'!J:J),
        $Y225
    ),
    _xlpm.result, _xlfn.XLOOKUP(_xlpm.lookupKey,'EA-Fortescue_SDExport'!A:A,'EA-Fortescue_SDExport'!AD:AD),
    IF(_xlpm.result=0,"",_xlpm.result)
)</f>
        <v>859DC HaulX</v>
      </c>
      <c r="AD225" s="2" t="str">
        <f>_xlfn.LET(
    _xlpm.isObject, _xlfn.XLOOKUP($Y225,'EA-Fortescue_SDExport'!A:A,'EA-Fortescue_SDExport'!B:B),
    _xlpm.lookupKey, IF(_xlpm.isObject="Object",
        _xlfn.XLOOKUP($A225,'EA-ConnectorExport'!A:A,'EA-ConnectorExport'!J:J),
        $Y225
    ),
    _xlpm.result, _xlfn.XLOOKUP(_xlpm.lookupKey,'EA-Fortescue_SDExport'!A:A,'EA-Fortescue_SDExport'!AE:AE),
    IF(_xlpm.result=0,"",_xlpm.result)
)</f>
        <v/>
      </c>
      <c r="AE225" s="2" t="str">
        <f>_xlfn.LET(
    _xlpm.isObject, _xlfn.XLOOKUP($Y225,'EA-Fortescue_SDExport'!A:A,'EA-Fortescue_SDExport'!B:B),
    _xlpm.lookupKey, IF(_xlpm.isObject="Object",
        _xlfn.XLOOKUP($A225,'EA-ConnectorExport'!A:A,'EA-ConnectorExport'!J:J),
        $Y225
    ),
    _xlpm.result, _xlfn.XLOOKUP(_xlpm.lookupKey,'EA-Fortescue_SDExport'!A:A,'EA-Fortescue_SDExport'!AF:AF),
    IF(_xlpm.result=0,"",_xlpm.result)
)</f>
        <v>859DC-1410-001 HaulX</v>
      </c>
      <c r="AF225" s="2" t="str">
        <f>_xlfn.LET(
    _xlpm.isObject, _xlfn.XLOOKUP($Y225,'EA-Fortescue_SDExport'!A:A,'EA-Fortescue_SDExport'!B:B),
    _xlpm.lookupKey, IF(_xlpm.isObject="Object",
        _xlfn.XLOOKUP($A225,'EA-ConnectorExport'!A:A,'EA-ConnectorExport'!J:J),
        $Y225
    ),
    _xlpm.result, _xlfn.XLOOKUP(_xlpm.lookupKey,'EA-Fortescue_SDExport'!A:A,'EA-Fortescue_SDExport'!AG:AG),
    IF(_xlpm.result=0,"",_xlpm.result)
)</f>
        <v>859DC-1410-001-002 HaulX Control (Autonomous Haulage System)</v>
      </c>
    </row>
    <row r="226" spans="1:32" ht="45" x14ac:dyDescent="0.25">
      <c r="A226" s="2" t="str">
        <v>DGS-I_0225</v>
      </c>
      <c r="B226" s="2" t="str">
        <f t="shared" si="12"/>
        <v>850DC-1520 Trailing Cable|851DC-1591 Excavator (&gt;110t)</v>
      </c>
      <c r="C226" s="2" t="str">
        <f>_xlfn.LET(_xlpm.result, _xlfn.XLOOKUP(A226,'EA-Fortescue_SDExport'!A:A,'EA-Fortescue_SDExport'!AM:AM), IF(_xlpm.result=0,"",_xlpm.result))</f>
        <v/>
      </c>
      <c r="D226" s="2" t="str">
        <f>_xlfn.LET(_xlpm.result, _xlfn.XLOOKUP(A226,'EA-Fortescue_SDExport'!A:A,'EA-Fortescue_SDExport'!AN:AN), IF(_xlpm.result=0,"",_xlpm.result))</f>
        <v/>
      </c>
      <c r="E226" s="2" t="str">
        <f>_xlfn.XLOOKUP(R226&amp;Z226,Lookups!A:A,Lookups!B:B)</f>
        <v>System - System Interface</v>
      </c>
      <c r="F226" s="2" t="str">
        <f>_xlfn.LET(_xlpm.result, _xlfn.XLOOKUP(A226,'EA-Fortescue_SDExport'!A:A,'EA-Fortescue_SDExport'!AP:AP), IF(_xlpm.result=0,"",_xlpm.result))</f>
        <v/>
      </c>
      <c r="G226" s="2" t="str">
        <f>IF(OR(AND(T226&lt;&gt;"", COUNTIF(Lookups!J:J, "*"&amp;T226&amp;"*")&gt;0), AND(AB226&lt;&gt;"", COUNTIF(Lookups!J:J, "*"&amp;AB226&amp;"*")&gt;0)), "Yes", "No")</f>
        <v>No</v>
      </c>
      <c r="H226" s="2" t="str">
        <f t="shared" si="13"/>
        <v>850DC Decarb Infrastructure|851DC Heavy Mobile Equipment (HME)</v>
      </c>
      <c r="I226" s="2" t="str">
        <f t="shared" si="14"/>
        <v>850DC-1520 Trailing Cable|851DC-1591 Excavator (&gt;110t)</v>
      </c>
      <c r="J226" s="2" t="str">
        <f t="shared" si="15"/>
        <v>N/A</v>
      </c>
      <c r="K226" s="2" t="str">
        <f>_xlfn.XLOOKUP(A226,'EA-Fortescue_SDExport'!A:A,'EA-Fortescue_SDExport'!N:N)</f>
        <v>Proposed</v>
      </c>
      <c r="L226" s="2" t="str">
        <f>_xlfn.LET(_xlpm.result, _xlfn.XLOOKUP($A226,'EA-Fortescue_SDExport'!$A:$A,'EA-Fortescue_SDExport'!AQ:AQ), IF(_xlpm.result=0,"",_xlpm.result))</f>
        <v/>
      </c>
      <c r="M226" s="2" t="str">
        <f>_xlfn.LET(_xlpm.result, _xlfn.XLOOKUP($A226,'EA-Fortescue_SDExport'!$A:$A,'EA-Fortescue_SDExport'!AR:AR), IF(_xlpm.result=0,"",_xlpm.result))</f>
        <v/>
      </c>
      <c r="N226" s="2" t="str">
        <f>_xlfn.LET(_xlpm.result, _xlfn.XLOOKUP($A226,'EA-Fortescue_SDExport'!$A:$A,'EA-Fortescue_SDExport'!AW:AW), IF(_xlpm.result=0,"",_xlpm.result))</f>
        <v/>
      </c>
      <c r="O226" s="2" t="str">
        <f>_xlfn.LET(_xlpm.result, _xlfn.XLOOKUP($A226,'EA-Fortescue_SDExport'!$A:$A,'EA-Fortescue_SDExport'!AV:AV), IF(_xlpm.result=0,"",_xlpm.result))</f>
        <v/>
      </c>
      <c r="P226" s="2" t="str">
        <f>_xlfn.LET(_xlpm.result, _xlfn.XLOOKUP($A226,'EA-Fortescue_SDExport'!$A:$A,'EA-Fortescue_SDExport'!D:D), IF(_xlpm.result=0,"",_xlpm.result))</f>
        <v/>
      </c>
      <c r="Q226" s="2" t="str">
        <f>_xlfn.LET(
    _xlpm.status, _xlfn.XLOOKUP($A226,'EA-ConnectorExport'!$A:$A,'EA-ConnectorExport'!G:G),
    _xlpm.result, _xlfn.XLOOKUP($A226,'EA-ConnectorExport'!$A:$A,'EA-ConnectorExport'!B:B),
    IF(_xlpm.status="allocate", _xlpm.result, "")
)</f>
        <v>850DC-1520 Trailing Cable</v>
      </c>
      <c r="R226" s="2" t="str">
        <f>IF(
    _xlfn.XLOOKUP($Q226,'EA-Fortescue_SDExport'!A:A,'EA-Fortescue_SDExport'!B:B)="Object",
    _xlfn.XLOOKUP(
        _xlfn.XLOOKUP($A226,'EA-ConnectorExport'!A:A,'EA-ConnectorExport'!D:D),
        'EA-Fortescue_SDExport'!A:A,
        'EA-Fortescue_SDExport'!AA:AA
    ),
    _xlfn.XLOOKUP($Q226,'EA-Fortescue_SDExport'!A:A,'EA-Fortescue_SDExport'!AA:AA)
)</f>
        <v>System</v>
      </c>
      <c r="S226" s="2" t="str">
        <f>_xlfn.LET(_xlpm.result, _xlfn.XLOOKUP($Q226,'EA-Fortescue_SDExport'!$A:$A,'EA-Fortescue_SDExport'!AB:AB), IF(_xlpm.result=0,"",_xlpm.result))</f>
        <v/>
      </c>
      <c r="T226" s="2" t="str">
        <f>_xlfn.LET(_xlpm.result, _xlfn.XLOOKUP($Q226,'EA-Fortescue_SDExport'!$A:$A,'EA-Fortescue_SDExport'!AC:AC), IF(_xlpm.result=0,"",_xlpm.result))</f>
        <v>Generic Physical Asset</v>
      </c>
      <c r="U226" s="2" t="str">
        <f>_xlfn.LET(
    _xlpm.isObject, _xlfn.XLOOKUP($Q226,'EA-Fortescue_SDExport'!A:A,'EA-Fortescue_SDExport'!B:B),
    _xlpm.lookupKey, IF(_xlpm.isObject="Object",
        _xlfn.XLOOKUP($A226,'EA-ConnectorExport'!A:A,'EA-ConnectorExport'!D:D),
        $Q226
    ),
    _xlpm.result, _xlfn.XLOOKUP(_xlpm.lookupKey,'EA-Fortescue_SDExport'!A:A,'EA-Fortescue_SDExport'!AD:AD),
    IF(_xlpm.result=0,"",_xlpm.result)
)</f>
        <v>850DC Decarb Infrastructure</v>
      </c>
      <c r="V226" s="2" t="str">
        <f>_xlfn.LET(
    _xlpm.isObject, _xlfn.XLOOKUP($Q226,'EA-Fortescue_SDExport'!A:A,'EA-Fortescue_SDExport'!B:B),
    _xlpm.lookupKey, IF(_xlpm.isObject="Object",
        _xlfn.XLOOKUP($A226,'EA-ConnectorExport'!A:A,'EA-ConnectorExport'!D:D),
        $Q226
    ),
    _xlpm.result, _xlfn.XLOOKUP(_xlpm.lookupKey,'EA-Fortescue_SDExport'!A:A,'EA-Fortescue_SDExport'!AE:AE),
    IF(_xlpm.result=0,"",_xlpm.result)
)</f>
        <v>850DC-1520 Trailing Cable</v>
      </c>
      <c r="W226" s="2" t="str">
        <f>_xlfn.LET(
    _xlpm.isObject, _xlfn.XLOOKUP($Q226,'EA-Fortescue_SDExport'!A:A,'EA-Fortescue_SDExport'!B:B),
    _xlpm.lookupKey, IF(_xlpm.isObject="Object",
        _xlfn.XLOOKUP($A226,'EA-ConnectorExport'!A:A,'EA-ConnectorExport'!D:D),
        $Q226
    ),
    _xlpm.result, _xlfn.XLOOKUP(_xlpm.lookupKey,'EA-Fortescue_SDExport'!A:A,'EA-Fortescue_SDExport'!AF:AF),
    IF(_xlpm.result=0,"",_xlpm.result)
)</f>
        <v/>
      </c>
      <c r="X226" s="2" t="str">
        <f>_xlfn.LET(
    _xlpm.isObject, _xlfn.XLOOKUP($Q226,'EA-Fortescue_SDExport'!A:A,'EA-Fortescue_SDExport'!B:B),
    _xlpm.lookupKey, IF(_xlpm.isObject="Object",
        _xlfn.XLOOKUP($A226,'EA-ConnectorExport'!A:A,'EA-ConnectorExport'!D:D),
        $Q226
    ),
    _xlpm.result, _xlfn.XLOOKUP(_xlpm.lookupKey,'EA-Fortescue_SDExport'!A:A,'EA-Fortescue_SDExport'!AG:AG),
    IF(_xlpm.result=0,"",_xlpm.result)
)</f>
        <v/>
      </c>
      <c r="Y226" s="2" t="str">
        <f>_xlfn.LET(
    _xlpm.status, _xlfn.XLOOKUP($A226,'EA-ConnectorExport'!$A:$A,'EA-ConnectorExport'!G:G),
    _xlpm.result, _xlfn.XLOOKUP($A226,'EA-ConnectorExport'!$A:$A,'EA-ConnectorExport'!H:H),
    IF(_xlpm.status="allocate", _xlpm.result, "")
)</f>
        <v>851DC-1591 Excavator (&gt;110t)</v>
      </c>
      <c r="Z226" s="2" t="str">
        <f>_xlfn.LET(
    _xlpm.isObject, _xlfn.XLOOKUP($Y226,'EA-Fortescue_SDExport'!A:A,'EA-Fortescue_SDExport'!B:B),
    _xlpm.lookupKey, IF(_xlpm.isObject="Object",
        _xlfn.XLOOKUP($A226,'EA-ConnectorExport'!A:A,'EA-ConnectorExport'!J:J),
        $Y226
    ),
    _xlpm.result, _xlfn.XLOOKUP(_xlpm.lookupKey,'EA-Fortescue_SDExport'!A:A,'EA-Fortescue_SDExport'!AA:AA),
    IF(_xlpm.result=0,"",_xlpm.result)
)</f>
        <v>System</v>
      </c>
      <c r="AA226" s="2" t="str">
        <f>_xlfn.LET(_xlpm.result, _xlfn.XLOOKUP($Y226,'EA-Fortescue_SDExport'!$A:$A,'EA-Fortescue_SDExport'!AB:AB), IF(_xlpm.result=0,"",_xlpm.result))</f>
        <v/>
      </c>
      <c r="AB226" s="2" t="str">
        <f>_xlfn.LET(_xlpm.result, _xlfn.XLOOKUP($Y226,'EA-Fortescue_SDExport'!$A:$A,'EA-Fortescue_SDExport'!AC:AC), IF(_xlpm.result=0,"",_xlpm.result))</f>
        <v>Generic Physical Asset</v>
      </c>
      <c r="AC226" s="2" t="str">
        <f>_xlfn.LET(
    _xlpm.isObject, _xlfn.XLOOKUP($Y226,'EA-Fortescue_SDExport'!A:A,'EA-Fortescue_SDExport'!B:B),
    _xlpm.lookupKey, IF(_xlpm.isObject="Object",
        _xlfn.XLOOKUP($A226,'EA-ConnectorExport'!A:A,'EA-ConnectorExport'!J:J),
        $Y226
    ),
    _xlpm.result, _xlfn.XLOOKUP(_xlpm.lookupKey,'EA-Fortescue_SDExport'!A:A,'EA-Fortescue_SDExport'!AD:AD),
    IF(_xlpm.result=0,"",_xlpm.result)
)</f>
        <v>851DC Heavy Mobile Equipment (HME)</v>
      </c>
      <c r="AD226" s="2" t="str">
        <f>_xlfn.LET(
    _xlpm.isObject, _xlfn.XLOOKUP($Y226,'EA-Fortescue_SDExport'!A:A,'EA-Fortescue_SDExport'!B:B),
    _xlpm.lookupKey, IF(_xlpm.isObject="Object",
        _xlfn.XLOOKUP($A226,'EA-ConnectorExport'!A:A,'EA-ConnectorExport'!J:J),
        $Y226
    ),
    _xlpm.result, _xlfn.XLOOKUP(_xlpm.lookupKey,'EA-Fortescue_SDExport'!A:A,'EA-Fortescue_SDExport'!AE:AE),
    IF(_xlpm.result=0,"",_xlpm.result)
)</f>
        <v>851DC-1591 Excavator (&gt;110t)</v>
      </c>
      <c r="AE226" s="2" t="str">
        <f>_xlfn.LET(
    _xlpm.isObject, _xlfn.XLOOKUP($Y226,'EA-Fortescue_SDExport'!A:A,'EA-Fortescue_SDExport'!B:B),
    _xlpm.lookupKey, IF(_xlpm.isObject="Object",
        _xlfn.XLOOKUP($A226,'EA-ConnectorExport'!A:A,'EA-ConnectorExport'!J:J),
        $Y226
    ),
    _xlpm.result, _xlfn.XLOOKUP(_xlpm.lookupKey,'EA-Fortescue_SDExport'!A:A,'EA-Fortescue_SDExport'!AF:AF),
    IF(_xlpm.result=0,"",_xlpm.result)
)</f>
        <v/>
      </c>
      <c r="AF226" s="2" t="str">
        <f>_xlfn.LET(
    _xlpm.isObject, _xlfn.XLOOKUP($Y226,'EA-Fortescue_SDExport'!A:A,'EA-Fortescue_SDExport'!B:B),
    _xlpm.lookupKey, IF(_xlpm.isObject="Object",
        _xlfn.XLOOKUP($A226,'EA-ConnectorExport'!A:A,'EA-ConnectorExport'!J:J),
        $Y226
    ),
    _xlpm.result, _xlfn.XLOOKUP(_xlpm.lookupKey,'EA-Fortescue_SDExport'!A:A,'EA-Fortescue_SDExport'!AG:AG),
    IF(_xlpm.result=0,"",_xlpm.result)
)</f>
        <v/>
      </c>
    </row>
    <row r="227" spans="1:32" ht="60" x14ac:dyDescent="0.25">
      <c r="A227" s="2" t="str">
        <v>DGS-I_0226</v>
      </c>
      <c r="B227" s="2" t="str">
        <f t="shared" si="12"/>
        <v>Solomon Mine Hub: Thermal Generators|855DC-1543-008 Monarch</v>
      </c>
      <c r="C227" s="2" t="str">
        <f>_xlfn.LET(_xlpm.result, _xlfn.XLOOKUP(A227,'EA-Fortescue_SDExport'!A:A,'EA-Fortescue_SDExport'!AM:AM), IF(_xlpm.result=0,"",_xlpm.result))</f>
        <v/>
      </c>
      <c r="D227" s="2" t="str">
        <f>_xlfn.LET(_xlpm.result, _xlfn.XLOOKUP(A227,'EA-Fortescue_SDExport'!A:A,'EA-Fortescue_SDExport'!AN:AN), IF(_xlpm.result=0,"",_xlpm.result))</f>
        <v/>
      </c>
      <c r="E227" s="2" t="str">
        <f>_xlfn.XLOOKUP(R227&amp;Z227,Lookups!A:A,Lookups!B:B)</f>
        <v>System - Project Interface</v>
      </c>
      <c r="F227" s="2" t="str">
        <f>_xlfn.LET(_xlpm.result, _xlfn.XLOOKUP(A227,'EA-Fortescue_SDExport'!A:A,'EA-Fortescue_SDExport'!AP:AP), IF(_xlpm.result=0,"",_xlpm.result))</f>
        <v/>
      </c>
      <c r="G227" s="2" t="str">
        <f>IF(OR(AND(T227&lt;&gt;"", COUNTIF(Lookups!J:J, "*"&amp;T227&amp;"*")&gt;0), AND(AB227&lt;&gt;"", COUNTIF(Lookups!J:J, "*"&amp;AB227&amp;"*")&gt;0)), "Yes", "No")</f>
        <v>Yes</v>
      </c>
      <c r="H227" s="2" t="str">
        <f t="shared" si="13"/>
        <v>003OP Power Generation &amp; Transmission|855DC Decarb Green Systems</v>
      </c>
      <c r="I227" s="2" t="str">
        <f t="shared" si="14"/>
        <v>003OP-5612 Diesel Generators|855DC-1543 Existing Systems - Green Enhancement</v>
      </c>
      <c r="J227" s="2" t="str">
        <f t="shared" si="15"/>
        <v>N/A|855DC-1543-008 Monarch</v>
      </c>
      <c r="K227" s="2" t="str">
        <f>_xlfn.XLOOKUP(A227,'EA-Fortescue_SDExport'!A:A,'EA-Fortescue_SDExport'!N:N)</f>
        <v>Proposed</v>
      </c>
      <c r="L227" s="2" t="str">
        <f>_xlfn.LET(_xlpm.result, _xlfn.XLOOKUP($A227,'EA-Fortescue_SDExport'!$A:$A,'EA-Fortescue_SDExport'!AQ:AQ), IF(_xlpm.result=0,"",_xlpm.result))</f>
        <v/>
      </c>
      <c r="M227" s="2" t="str">
        <f>_xlfn.LET(_xlpm.result, _xlfn.XLOOKUP($A227,'EA-Fortescue_SDExport'!$A:$A,'EA-Fortescue_SDExport'!AR:AR), IF(_xlpm.result=0,"",_xlpm.result))</f>
        <v/>
      </c>
      <c r="N227" s="2" t="str">
        <f>_xlfn.LET(_xlpm.result, _xlfn.XLOOKUP($A227,'EA-Fortescue_SDExport'!$A:$A,'EA-Fortescue_SDExport'!AW:AW), IF(_xlpm.result=0,"",_xlpm.result))</f>
        <v/>
      </c>
      <c r="O227" s="2" t="str">
        <f>_xlfn.LET(_xlpm.result, _xlfn.XLOOKUP($A227,'EA-Fortescue_SDExport'!$A:$A,'EA-Fortescue_SDExport'!AV:AV), IF(_xlpm.result=0,"",_xlpm.result))</f>
        <v/>
      </c>
      <c r="P227" s="2" t="str">
        <f>_xlfn.LET(_xlpm.result, _xlfn.XLOOKUP($A227,'EA-Fortescue_SDExport'!$A:$A,'EA-Fortescue_SDExport'!D:D), IF(_xlpm.result=0,"",_xlpm.result))</f>
        <v/>
      </c>
      <c r="Q227" s="2" t="str">
        <f>_xlfn.LET(
    _xlpm.status, _xlfn.XLOOKUP($A227,'EA-ConnectorExport'!$A:$A,'EA-ConnectorExport'!G:G),
    _xlpm.result, _xlfn.XLOOKUP($A227,'EA-ConnectorExport'!$A:$A,'EA-ConnectorExport'!B:B),
    IF(_xlpm.status="allocate", _xlpm.result, "")
)</f>
        <v>Solomon Mine Hub: Thermal Generators</v>
      </c>
      <c r="R227" s="2" t="str">
        <f>IF(
    _xlfn.XLOOKUP($Q227,'EA-Fortescue_SDExport'!A:A,'EA-Fortescue_SDExport'!B:B)="Object",
    _xlfn.XLOOKUP(
        _xlfn.XLOOKUP($A227,'EA-ConnectorExport'!A:A,'EA-ConnectorExport'!D:D),
        'EA-Fortescue_SDExport'!A:A,
        'EA-Fortescue_SDExport'!AA:AA
    ),
    _xlfn.XLOOKUP($Q227,'EA-Fortescue_SDExport'!A:A,'EA-Fortescue_SDExport'!AA:AA)
)</f>
        <v>System</v>
      </c>
      <c r="S227" s="2" t="str">
        <f>_xlfn.LET(_xlpm.result, _xlfn.XLOOKUP($Q227,'EA-Fortescue_SDExport'!$A:$A,'EA-Fortescue_SDExport'!AB:AB), IF(_xlpm.result=0,"",_xlpm.result))</f>
        <v/>
      </c>
      <c r="T227" s="2" t="str">
        <f>_xlfn.LET(_xlpm.result, _xlfn.XLOOKUP($Q227,'EA-Fortescue_SDExport'!$A:$A,'EA-Fortescue_SDExport'!AC:AC), IF(_xlpm.result=0,"",_xlpm.result))</f>
        <v>Solomon Mine Hub</v>
      </c>
      <c r="U227" s="2" t="str">
        <f>_xlfn.LET(
    _xlpm.isObject, _xlfn.XLOOKUP($Q227,'EA-Fortescue_SDExport'!A:A,'EA-Fortescue_SDExport'!B:B),
    _xlpm.lookupKey, IF(_xlpm.isObject="Object",
        _xlfn.XLOOKUP($A227,'EA-ConnectorExport'!A:A,'EA-ConnectorExport'!D:D),
        $Q227
    ),
    _xlpm.result, _xlfn.XLOOKUP(_xlpm.lookupKey,'EA-Fortescue_SDExport'!A:A,'EA-Fortescue_SDExport'!AD:AD),
    IF(_xlpm.result=0,"",_xlpm.result)
)</f>
        <v>003OP Power Generation &amp; Transmission</v>
      </c>
      <c r="V227" s="2" t="str">
        <f>_xlfn.LET(
    _xlpm.isObject, _xlfn.XLOOKUP($Q227,'EA-Fortescue_SDExport'!A:A,'EA-Fortescue_SDExport'!B:B),
    _xlpm.lookupKey, IF(_xlpm.isObject="Object",
        _xlfn.XLOOKUP($A227,'EA-ConnectorExport'!A:A,'EA-ConnectorExport'!D:D),
        $Q227
    ),
    _xlpm.result, _xlfn.XLOOKUP(_xlpm.lookupKey,'EA-Fortescue_SDExport'!A:A,'EA-Fortescue_SDExport'!AE:AE),
    IF(_xlpm.result=0,"",_xlpm.result)
)</f>
        <v>003OP-5612 Diesel Generators</v>
      </c>
      <c r="W227" s="2" t="str">
        <f>_xlfn.LET(
    _xlpm.isObject, _xlfn.XLOOKUP($Q227,'EA-Fortescue_SDExport'!A:A,'EA-Fortescue_SDExport'!B:B),
    _xlpm.lookupKey, IF(_xlpm.isObject="Object",
        _xlfn.XLOOKUP($A227,'EA-ConnectorExport'!A:A,'EA-ConnectorExport'!D:D),
        $Q227
    ),
    _xlpm.result, _xlfn.XLOOKUP(_xlpm.lookupKey,'EA-Fortescue_SDExport'!A:A,'EA-Fortescue_SDExport'!AF:AF),
    IF(_xlpm.result=0,"",_xlpm.result)
)</f>
        <v/>
      </c>
      <c r="X227" s="2" t="str">
        <f>_xlfn.LET(
    _xlpm.isObject, _xlfn.XLOOKUP($Q227,'EA-Fortescue_SDExport'!A:A,'EA-Fortescue_SDExport'!B:B),
    _xlpm.lookupKey, IF(_xlpm.isObject="Object",
        _xlfn.XLOOKUP($A227,'EA-ConnectorExport'!A:A,'EA-ConnectorExport'!D:D),
        $Q227
    ),
    _xlpm.result, _xlfn.XLOOKUP(_xlpm.lookupKey,'EA-Fortescue_SDExport'!A:A,'EA-Fortescue_SDExport'!AG:AG),
    IF(_xlpm.result=0,"",_xlpm.result)
)</f>
        <v/>
      </c>
      <c r="Y227" s="2" t="str">
        <f>_xlfn.LET(
    _xlpm.status, _xlfn.XLOOKUP($A227,'EA-ConnectorExport'!$A:$A,'EA-ConnectorExport'!G:G),
    _xlpm.result, _xlfn.XLOOKUP($A227,'EA-ConnectorExport'!$A:$A,'EA-ConnectorExport'!H:H),
    IF(_xlpm.status="allocate", _xlpm.result, "")
)</f>
        <v>855DC-1543-008 Monarch</v>
      </c>
      <c r="Z227" s="2" t="str">
        <f>_xlfn.LET(
    _xlpm.isObject, _xlfn.XLOOKUP($Y227,'EA-Fortescue_SDExport'!A:A,'EA-Fortescue_SDExport'!B:B),
    _xlpm.lookupKey, IF(_xlpm.isObject="Object",
        _xlfn.XLOOKUP($A227,'EA-ConnectorExport'!A:A,'EA-ConnectorExport'!J:J),
        $Y227
    ),
    _xlpm.result, _xlfn.XLOOKUP(_xlpm.lookupKey,'EA-Fortescue_SDExport'!A:A,'EA-Fortescue_SDExport'!AA:AA),
    IF(_xlpm.result=0,"",_xlpm.result)
)</f>
        <v>Project</v>
      </c>
      <c r="AA227" s="2" t="str">
        <f>_xlfn.LET(_xlpm.result, _xlfn.XLOOKUP($Y227,'EA-Fortescue_SDExport'!$A:$A,'EA-Fortescue_SDExport'!AB:AB), IF(_xlpm.result=0,"",_xlpm.result))</f>
        <v>Energy Operations</v>
      </c>
      <c r="AB227" s="2" t="str">
        <f>_xlfn.LET(_xlpm.result, _xlfn.XLOOKUP($Y227,'EA-Fortescue_SDExport'!$A:$A,'EA-Fortescue_SDExport'!AC:AC), IF(_xlpm.result=0,"",_xlpm.result))</f>
        <v/>
      </c>
      <c r="AC227" s="2" t="str">
        <f>_xlfn.LET(
    _xlpm.isObject, _xlfn.XLOOKUP($Y227,'EA-Fortescue_SDExport'!A:A,'EA-Fortescue_SDExport'!B:B),
    _xlpm.lookupKey, IF(_xlpm.isObject="Object",
        _xlfn.XLOOKUP($A227,'EA-ConnectorExport'!A:A,'EA-ConnectorExport'!J:J),
        $Y227
    ),
    _xlpm.result, _xlfn.XLOOKUP(_xlpm.lookupKey,'EA-Fortescue_SDExport'!A:A,'EA-Fortescue_SDExport'!AD:AD),
    IF(_xlpm.result=0,"",_xlpm.result)
)</f>
        <v>855DC Decarb Green Systems</v>
      </c>
      <c r="AD227" s="2" t="str">
        <f>_xlfn.LET(
    _xlpm.isObject, _xlfn.XLOOKUP($Y227,'EA-Fortescue_SDExport'!A:A,'EA-Fortescue_SDExport'!B:B),
    _xlpm.lookupKey, IF(_xlpm.isObject="Object",
        _xlfn.XLOOKUP($A227,'EA-ConnectorExport'!A:A,'EA-ConnectorExport'!J:J),
        $Y227
    ),
    _xlpm.result, _xlfn.XLOOKUP(_xlpm.lookupKey,'EA-Fortescue_SDExport'!A:A,'EA-Fortescue_SDExport'!AE:AE),
    IF(_xlpm.result=0,"",_xlpm.result)
)</f>
        <v>855DC-1543 Existing Systems - Green Enhancement</v>
      </c>
      <c r="AE227" s="2" t="str">
        <f>_xlfn.LET(
    _xlpm.isObject, _xlfn.XLOOKUP($Y227,'EA-Fortescue_SDExport'!A:A,'EA-Fortescue_SDExport'!B:B),
    _xlpm.lookupKey, IF(_xlpm.isObject="Object",
        _xlfn.XLOOKUP($A227,'EA-ConnectorExport'!A:A,'EA-ConnectorExport'!J:J),
        $Y227
    ),
    _xlpm.result, _xlfn.XLOOKUP(_xlpm.lookupKey,'EA-Fortescue_SDExport'!A:A,'EA-Fortescue_SDExport'!AF:AF),
    IF(_xlpm.result=0,"",_xlpm.result)
)</f>
        <v>855DC-1543-008 Monarch</v>
      </c>
      <c r="AF227" s="2" t="str">
        <f>_xlfn.LET(
    _xlpm.isObject, _xlfn.XLOOKUP($Y227,'EA-Fortescue_SDExport'!A:A,'EA-Fortescue_SDExport'!B:B),
    _xlpm.lookupKey, IF(_xlpm.isObject="Object",
        _xlfn.XLOOKUP($A227,'EA-ConnectorExport'!A:A,'EA-ConnectorExport'!J:J),
        $Y227
    ),
    _xlpm.result, _xlfn.XLOOKUP(_xlpm.lookupKey,'EA-Fortescue_SDExport'!A:A,'EA-Fortescue_SDExport'!AG:AG),
    IF(_xlpm.result=0,"",_xlpm.result)
)</f>
        <v/>
      </c>
    </row>
    <row r="228" spans="1:32" ht="225" x14ac:dyDescent="0.25">
      <c r="A228" s="2" t="str">
        <v>DGS-I_0227</v>
      </c>
      <c r="B228" s="2" t="str">
        <f t="shared" si="12"/>
        <v>Solomon Mine Hub: Substation (33kV)|Solomon Mine Hub: Thermal Generators</v>
      </c>
      <c r="C228" s="2" t="str">
        <f>_xlfn.LET(_xlpm.result, _xlfn.XLOOKUP(A228,'EA-Fortescue_SDExport'!A:A,'EA-Fortescue_SDExport'!AM:AM), IF(_xlpm.result=0,"",_xlpm.result))</f>
        <v/>
      </c>
      <c r="D228" s="2" t="str">
        <f>_xlfn.LET(_xlpm.result, _xlfn.XLOOKUP(A228,'EA-Fortescue_SDExport'!A:A,'EA-Fortescue_SDExport'!AN:AN), IF(_xlpm.result=0,"",_xlpm.result))</f>
        <v/>
      </c>
      <c r="E228" s="2" t="str">
        <f>_xlfn.XLOOKUP(R228&amp;Z228,Lookups!A:A,Lookups!B:B)</f>
        <v>System - Project Interface</v>
      </c>
      <c r="F228" s="2" t="str">
        <f>_xlfn.LET(_xlpm.result, _xlfn.XLOOKUP(A228,'EA-Fortescue_SDExport'!A:A,'EA-Fortescue_SDExport'!AP:AP), IF(_xlpm.result=0,"",_xlpm.result))</f>
        <v>Technical-Data/Software</v>
      </c>
      <c r="G228" s="2" t="str">
        <f>IF(OR(AND(T228&lt;&gt;"", COUNTIF(Lookups!J:J, "*"&amp;T228&amp;"*")&gt;0), AND(AB228&lt;&gt;"", COUNTIF(Lookups!J:J, "*"&amp;AB228&amp;"*")&gt;0)), "Yes", "No")</f>
        <v>Yes</v>
      </c>
      <c r="H228" s="2" t="str">
        <f t="shared" si="13"/>
        <v>854DC Green Power|003OP Power Generation &amp; Transmission</v>
      </c>
      <c r="I228" s="2" t="str">
        <f t="shared" si="14"/>
        <v>854DC-1521 HV Substations|003OP-5612 Diesel Generators</v>
      </c>
      <c r="J228" s="2" t="str">
        <f t="shared" si="15"/>
        <v>854DC-1521-0001 Substation (33kV)|N/A</v>
      </c>
      <c r="K228" s="2" t="str">
        <f>_xlfn.XLOOKUP(A228,'EA-Fortescue_SDExport'!A:A,'EA-Fortescue_SDExport'!N:N)</f>
        <v>Proposed</v>
      </c>
      <c r="L228" s="2" t="str">
        <f>_xlfn.LET(_xlpm.result, _xlfn.XLOOKUP($A228,'EA-Fortescue_SDExport'!$A:$A,'EA-Fortescue_SDExport'!AQ:AQ), IF(_xlpm.result=0,"",_xlpm.result))</f>
        <v>This interface enables FAST to receive planning, haulage, and production inputs from the broader Alastri suite so simulations reflect current mine plans and haulage requirements.</v>
      </c>
      <c r="M228" s="2" t="str">
        <f>_xlfn.LET(_xlpm.result, _xlfn.XLOOKUP($A228,'EA-Fortescue_SDExport'!$A:$A,'EA-Fortescue_SDExport'!AR:AR), IF(_xlpm.result=0,"",_xlpm.result))</f>
        <v>MEDIUM</v>
      </c>
      <c r="N228" s="2" t="str">
        <f>_xlfn.LET(_xlpm.result, _xlfn.XLOOKUP($A228,'EA-Fortescue_SDExport'!$A:$A,'EA-Fortescue_SDExport'!AW:AW), IF(_xlpm.result=0,"",_xlpm.result))</f>
        <v>The criticality level is MEDIUM because this data is essential for simulation accuracy; without it, scenario testing and planning optimisation become less dependable. Losing this interface affects the quality of planning and forecast analysis, but does not impact real-time haulage or production systems.</v>
      </c>
      <c r="O228" s="2" t="str">
        <f>_xlfn.LET(_xlpm.result, _xlfn.XLOOKUP($A228,'EA-Fortescue_SDExport'!$A:$A,'EA-Fortescue_SDExport'!AV:AV), IF(_xlpm.result=0,"",_xlpm.result))</f>
        <v>Data Flow: Alastri Suite -&gt; FAST (planning inputs, haulage schedules, production targets, fleet parameters, scenario assumptions, forecast volumes) to enable simulation and optimisation aligned with current mine plans.</v>
      </c>
      <c r="P228" s="2" t="str">
        <f>_xlfn.LET(_xlpm.result, _xlfn.XLOOKUP($A228,'EA-Fortescue_SDExport'!$A:$A,'EA-Fortescue_SDExport'!D:D), IF(_xlpm.result=0,"",_xlpm.result))</f>
        <v>NH 20/02/2026: Fields updated: Interface Type, Interface Flow.</v>
      </c>
      <c r="Q228" s="2" t="str">
        <f>_xlfn.LET(
    _xlpm.status, _xlfn.XLOOKUP($A228,'EA-ConnectorExport'!$A:$A,'EA-ConnectorExport'!G:G),
    _xlpm.result, _xlfn.XLOOKUP($A228,'EA-ConnectorExport'!$A:$A,'EA-ConnectorExport'!B:B),
    IF(_xlpm.status="allocate", _xlpm.result, "")
)</f>
        <v>Solomon Mine Hub: Substation (33kV)</v>
      </c>
      <c r="R228" s="2" t="str">
        <f>IF(
    _xlfn.XLOOKUP($Q228,'EA-Fortescue_SDExport'!A:A,'EA-Fortescue_SDExport'!B:B)="Object",
    _xlfn.XLOOKUP(
        _xlfn.XLOOKUP($A228,'EA-ConnectorExport'!A:A,'EA-ConnectorExport'!D:D),
        'EA-Fortescue_SDExport'!A:A,
        'EA-Fortescue_SDExport'!AA:AA
    ),
    _xlfn.XLOOKUP($Q228,'EA-Fortescue_SDExport'!A:A,'EA-Fortescue_SDExport'!AA:AA)
)</f>
        <v>Project</v>
      </c>
      <c r="S228" s="2" t="str">
        <f>_xlfn.LET(_xlpm.result, _xlfn.XLOOKUP($Q228,'EA-Fortescue_SDExport'!$A:$A,'EA-Fortescue_SDExport'!AB:AB), IF(_xlpm.result=0,"",_xlpm.result))</f>
        <v/>
      </c>
      <c r="T228" s="2" t="str">
        <f>_xlfn.LET(_xlpm.result, _xlfn.XLOOKUP($Q228,'EA-Fortescue_SDExport'!$A:$A,'EA-Fortescue_SDExport'!AC:AC), IF(_xlpm.result=0,"",_xlpm.result))</f>
        <v>Solomon Mine Hub</v>
      </c>
      <c r="U228" s="2" t="str">
        <f>_xlfn.LET(
    _xlpm.isObject, _xlfn.XLOOKUP($Q228,'EA-Fortescue_SDExport'!A:A,'EA-Fortescue_SDExport'!B:B),
    _xlpm.lookupKey, IF(_xlpm.isObject="Object",
        _xlfn.XLOOKUP($A228,'EA-ConnectorExport'!A:A,'EA-ConnectorExport'!D:D),
        $Q228
    ),
    _xlpm.result, _xlfn.XLOOKUP(_xlpm.lookupKey,'EA-Fortescue_SDExport'!A:A,'EA-Fortescue_SDExport'!AD:AD),
    IF(_xlpm.result=0,"",_xlpm.result)
)</f>
        <v>854DC Green Power</v>
      </c>
      <c r="V228" s="2" t="str">
        <f>_xlfn.LET(
    _xlpm.isObject, _xlfn.XLOOKUP($Q228,'EA-Fortescue_SDExport'!A:A,'EA-Fortescue_SDExport'!B:B),
    _xlpm.lookupKey, IF(_xlpm.isObject="Object",
        _xlfn.XLOOKUP($A228,'EA-ConnectorExport'!A:A,'EA-ConnectorExport'!D:D),
        $Q228
    ),
    _xlpm.result, _xlfn.XLOOKUP(_xlpm.lookupKey,'EA-Fortescue_SDExport'!A:A,'EA-Fortescue_SDExport'!AE:AE),
    IF(_xlpm.result=0,"",_xlpm.result)
)</f>
        <v>854DC-1521 HV Substations</v>
      </c>
      <c r="W228" s="2" t="str">
        <f>_xlfn.LET(
    _xlpm.isObject, _xlfn.XLOOKUP($Q228,'EA-Fortescue_SDExport'!A:A,'EA-Fortescue_SDExport'!B:B),
    _xlpm.lookupKey, IF(_xlpm.isObject="Object",
        _xlfn.XLOOKUP($A228,'EA-ConnectorExport'!A:A,'EA-ConnectorExport'!D:D),
        $Q228
    ),
    _xlpm.result, _xlfn.XLOOKUP(_xlpm.lookupKey,'EA-Fortescue_SDExport'!A:A,'EA-Fortescue_SDExport'!AF:AF),
    IF(_xlpm.result=0,"",_xlpm.result)
)</f>
        <v>854DC-1521-0001 Substation (33kV)</v>
      </c>
      <c r="X228" s="2" t="str">
        <f>_xlfn.LET(
    _xlpm.isObject, _xlfn.XLOOKUP($Q228,'EA-Fortescue_SDExport'!A:A,'EA-Fortescue_SDExport'!B:B),
    _xlpm.lookupKey, IF(_xlpm.isObject="Object",
        _xlfn.XLOOKUP($A228,'EA-ConnectorExport'!A:A,'EA-ConnectorExport'!D:D),
        $Q228
    ),
    _xlpm.result, _xlfn.XLOOKUP(_xlpm.lookupKey,'EA-Fortescue_SDExport'!A:A,'EA-Fortescue_SDExport'!AG:AG),
    IF(_xlpm.result=0,"",_xlpm.result)
)</f>
        <v/>
      </c>
      <c r="Y228" s="2" t="str">
        <f>_xlfn.LET(
    _xlpm.status, _xlfn.XLOOKUP($A228,'EA-ConnectorExport'!$A:$A,'EA-ConnectorExport'!G:G),
    _xlpm.result, _xlfn.XLOOKUP($A228,'EA-ConnectorExport'!$A:$A,'EA-ConnectorExport'!H:H),
    IF(_xlpm.status="allocate", _xlpm.result, "")
)</f>
        <v>Solomon Mine Hub: Thermal Generators</v>
      </c>
      <c r="Z228" s="2" t="str">
        <f>_xlfn.LET(
    _xlpm.isObject, _xlfn.XLOOKUP($Y228,'EA-Fortescue_SDExport'!A:A,'EA-Fortescue_SDExport'!B:B),
    _xlpm.lookupKey, IF(_xlpm.isObject="Object",
        _xlfn.XLOOKUP($A228,'EA-ConnectorExport'!A:A,'EA-ConnectorExport'!J:J),
        $Y228
    ),
    _xlpm.result, _xlfn.XLOOKUP(_xlpm.lookupKey,'EA-Fortescue_SDExport'!A:A,'EA-Fortescue_SDExport'!AA:AA),
    IF(_xlpm.result=0,"",_xlpm.result)
)</f>
        <v>System</v>
      </c>
      <c r="AA228" s="2" t="str">
        <f>_xlfn.LET(_xlpm.result, _xlfn.XLOOKUP($Y228,'EA-Fortescue_SDExport'!$A:$A,'EA-Fortescue_SDExport'!AB:AB), IF(_xlpm.result=0,"",_xlpm.result))</f>
        <v/>
      </c>
      <c r="AB228" s="2" t="str">
        <f>_xlfn.LET(_xlpm.result, _xlfn.XLOOKUP($Y228,'EA-Fortescue_SDExport'!$A:$A,'EA-Fortescue_SDExport'!AC:AC), IF(_xlpm.result=0,"",_xlpm.result))</f>
        <v>Solomon Mine Hub</v>
      </c>
      <c r="AC228" s="2" t="str">
        <f>_xlfn.LET(
    _xlpm.isObject, _xlfn.XLOOKUP($Y228,'EA-Fortescue_SDExport'!A:A,'EA-Fortescue_SDExport'!B:B),
    _xlpm.lookupKey, IF(_xlpm.isObject="Object",
        _xlfn.XLOOKUP($A228,'EA-ConnectorExport'!A:A,'EA-ConnectorExport'!J:J),
        $Y228
    ),
    _xlpm.result, _xlfn.XLOOKUP(_xlpm.lookupKey,'EA-Fortescue_SDExport'!A:A,'EA-Fortescue_SDExport'!AD:AD),
    IF(_xlpm.result=0,"",_xlpm.result)
)</f>
        <v>003OP Power Generation &amp; Transmission</v>
      </c>
      <c r="AD228" s="2" t="str">
        <f>_xlfn.LET(
    _xlpm.isObject, _xlfn.XLOOKUP($Y228,'EA-Fortescue_SDExport'!A:A,'EA-Fortescue_SDExport'!B:B),
    _xlpm.lookupKey, IF(_xlpm.isObject="Object",
        _xlfn.XLOOKUP($A228,'EA-ConnectorExport'!A:A,'EA-ConnectorExport'!J:J),
        $Y228
    ),
    _xlpm.result, _xlfn.XLOOKUP(_xlpm.lookupKey,'EA-Fortescue_SDExport'!A:A,'EA-Fortescue_SDExport'!AE:AE),
    IF(_xlpm.result=0,"",_xlpm.result)
)</f>
        <v>003OP-5612 Diesel Generators</v>
      </c>
      <c r="AE228" s="2" t="str">
        <f>_xlfn.LET(
    _xlpm.isObject, _xlfn.XLOOKUP($Y228,'EA-Fortescue_SDExport'!A:A,'EA-Fortescue_SDExport'!B:B),
    _xlpm.lookupKey, IF(_xlpm.isObject="Object",
        _xlfn.XLOOKUP($A228,'EA-ConnectorExport'!A:A,'EA-ConnectorExport'!J:J),
        $Y228
    ),
    _xlpm.result, _xlfn.XLOOKUP(_xlpm.lookupKey,'EA-Fortescue_SDExport'!A:A,'EA-Fortescue_SDExport'!AF:AF),
    IF(_xlpm.result=0,"",_xlpm.result)
)</f>
        <v/>
      </c>
      <c r="AF228" s="2" t="str">
        <f>_xlfn.LET(
    _xlpm.isObject, _xlfn.XLOOKUP($Y228,'EA-Fortescue_SDExport'!A:A,'EA-Fortescue_SDExport'!B:B),
    _xlpm.lookupKey, IF(_xlpm.isObject="Object",
        _xlfn.XLOOKUP($A228,'EA-ConnectorExport'!A:A,'EA-ConnectorExport'!J:J),
        $Y228
    ),
    _xlpm.result, _xlfn.XLOOKUP(_xlpm.lookupKey,'EA-Fortescue_SDExport'!A:A,'EA-Fortescue_SDExport'!AG:AG),
    IF(_xlpm.result=0,"",_xlpm.result)
)</f>
        <v/>
      </c>
    </row>
    <row r="229" spans="1:32" ht="60" x14ac:dyDescent="0.25">
      <c r="A229" s="2" t="str">
        <v>DGS-I_0228</v>
      </c>
      <c r="B229" s="2" t="str">
        <f t="shared" si="12"/>
        <v>Solomon Mine Hub: Substation (11kV)|855DC-1543-008 Monarch</v>
      </c>
      <c r="C229" s="2" t="str">
        <f>_xlfn.LET(_xlpm.result, _xlfn.XLOOKUP(A229,'EA-Fortescue_SDExport'!A:A,'EA-Fortescue_SDExport'!AM:AM), IF(_xlpm.result=0,"",_xlpm.result))</f>
        <v/>
      </c>
      <c r="D229" s="2" t="str">
        <f>_xlfn.LET(_xlpm.result, _xlfn.XLOOKUP(A229,'EA-Fortescue_SDExport'!A:A,'EA-Fortescue_SDExport'!AN:AN), IF(_xlpm.result=0,"",_xlpm.result))</f>
        <v/>
      </c>
      <c r="E229" s="2" t="str">
        <f>_xlfn.XLOOKUP(R229&amp;Z229,Lookups!A:A,Lookups!B:B)</f>
        <v>Project - Project Interface</v>
      </c>
      <c r="F229" s="2" t="str">
        <f>_xlfn.LET(_xlpm.result, _xlfn.XLOOKUP(A229,'EA-Fortescue_SDExport'!A:A,'EA-Fortescue_SDExport'!AP:AP), IF(_xlpm.result=0,"",_xlpm.result))</f>
        <v/>
      </c>
      <c r="G229" s="2" t="str">
        <f>IF(OR(AND(T229&lt;&gt;"", COUNTIF(Lookups!J:J, "*"&amp;T229&amp;"*")&gt;0), AND(AB229&lt;&gt;"", COUNTIF(Lookups!J:J, "*"&amp;AB229&amp;"*")&gt;0)), "Yes", "No")</f>
        <v>Yes</v>
      </c>
      <c r="H229" s="2" t="str">
        <f t="shared" si="13"/>
        <v>854DC Green Power|855DC Decarb Green Systems</v>
      </c>
      <c r="I229" s="2" t="str">
        <f t="shared" si="14"/>
        <v>854DC-1521 HV Substations|855DC-1543 Existing Systems - Green Enhancement</v>
      </c>
      <c r="J229" s="2" t="str">
        <f t="shared" si="15"/>
        <v>854DC-1521-0006 Substation (11kV)|855DC-1543-008 Monarch</v>
      </c>
      <c r="K229" s="2" t="str">
        <f>_xlfn.XLOOKUP(A229,'EA-Fortescue_SDExport'!A:A,'EA-Fortescue_SDExport'!N:N)</f>
        <v>Proposed</v>
      </c>
      <c r="L229" s="2" t="str">
        <f>_xlfn.LET(_xlpm.result, _xlfn.XLOOKUP($A229,'EA-Fortescue_SDExport'!$A:$A,'EA-Fortescue_SDExport'!AQ:AQ), IF(_xlpm.result=0,"",_xlpm.result))</f>
        <v/>
      </c>
      <c r="M229" s="2" t="str">
        <f>_xlfn.LET(_xlpm.result, _xlfn.XLOOKUP($A229,'EA-Fortescue_SDExport'!$A:$A,'EA-Fortescue_SDExport'!AR:AR), IF(_xlpm.result=0,"",_xlpm.result))</f>
        <v/>
      </c>
      <c r="N229" s="2" t="str">
        <f>_xlfn.LET(_xlpm.result, _xlfn.XLOOKUP($A229,'EA-Fortescue_SDExport'!$A:$A,'EA-Fortescue_SDExport'!AW:AW), IF(_xlpm.result=0,"",_xlpm.result))</f>
        <v/>
      </c>
      <c r="O229" s="2" t="str">
        <f>_xlfn.LET(_xlpm.result, _xlfn.XLOOKUP($A229,'EA-Fortescue_SDExport'!$A:$A,'EA-Fortescue_SDExport'!AV:AV), IF(_xlpm.result=0,"",_xlpm.result))</f>
        <v/>
      </c>
      <c r="P229" s="2" t="str">
        <f>_xlfn.LET(_xlpm.result, _xlfn.XLOOKUP($A229,'EA-Fortescue_SDExport'!$A:$A,'EA-Fortescue_SDExport'!D:D), IF(_xlpm.result=0,"",_xlpm.result))</f>
        <v/>
      </c>
      <c r="Q229" s="2" t="str">
        <f>_xlfn.LET(
    _xlpm.status, _xlfn.XLOOKUP($A229,'EA-ConnectorExport'!$A:$A,'EA-ConnectorExport'!G:G),
    _xlpm.result, _xlfn.XLOOKUP($A229,'EA-ConnectorExport'!$A:$A,'EA-ConnectorExport'!B:B),
    IF(_xlpm.status="allocate", _xlpm.result, "")
)</f>
        <v>Solomon Mine Hub: Substation (11kV)</v>
      </c>
      <c r="R229" s="2" t="str">
        <f>IF(
    _xlfn.XLOOKUP($Q229,'EA-Fortescue_SDExport'!A:A,'EA-Fortescue_SDExport'!B:B)="Object",
    _xlfn.XLOOKUP(
        _xlfn.XLOOKUP($A229,'EA-ConnectorExport'!A:A,'EA-ConnectorExport'!D:D),
        'EA-Fortescue_SDExport'!A:A,
        'EA-Fortescue_SDExport'!AA:AA
    ),
    _xlfn.XLOOKUP($Q229,'EA-Fortescue_SDExport'!A:A,'EA-Fortescue_SDExport'!AA:AA)
)</f>
        <v>Project</v>
      </c>
      <c r="S229" s="2" t="str">
        <f>_xlfn.LET(_xlpm.result, _xlfn.XLOOKUP($Q229,'EA-Fortescue_SDExport'!$A:$A,'EA-Fortescue_SDExport'!AB:AB), IF(_xlpm.result=0,"",_xlpm.result))</f>
        <v/>
      </c>
      <c r="T229" s="2" t="str">
        <f>_xlfn.LET(_xlpm.result, _xlfn.XLOOKUP($Q229,'EA-Fortescue_SDExport'!$A:$A,'EA-Fortescue_SDExport'!AC:AC), IF(_xlpm.result=0,"",_xlpm.result))</f>
        <v>Solomon Mine Hub</v>
      </c>
      <c r="U229" s="2" t="str">
        <f>_xlfn.LET(
    _xlpm.isObject, _xlfn.XLOOKUP($Q229,'EA-Fortescue_SDExport'!A:A,'EA-Fortescue_SDExport'!B:B),
    _xlpm.lookupKey, IF(_xlpm.isObject="Object",
        _xlfn.XLOOKUP($A229,'EA-ConnectorExport'!A:A,'EA-ConnectorExport'!D:D),
        $Q229
    ),
    _xlpm.result, _xlfn.XLOOKUP(_xlpm.lookupKey,'EA-Fortescue_SDExport'!A:A,'EA-Fortescue_SDExport'!AD:AD),
    IF(_xlpm.result=0,"",_xlpm.result)
)</f>
        <v>854DC Green Power</v>
      </c>
      <c r="V229" s="2" t="str">
        <f>_xlfn.LET(
    _xlpm.isObject, _xlfn.XLOOKUP($Q229,'EA-Fortescue_SDExport'!A:A,'EA-Fortescue_SDExport'!B:B),
    _xlpm.lookupKey, IF(_xlpm.isObject="Object",
        _xlfn.XLOOKUP($A229,'EA-ConnectorExport'!A:A,'EA-ConnectorExport'!D:D),
        $Q229
    ),
    _xlpm.result, _xlfn.XLOOKUP(_xlpm.lookupKey,'EA-Fortescue_SDExport'!A:A,'EA-Fortescue_SDExport'!AE:AE),
    IF(_xlpm.result=0,"",_xlpm.result)
)</f>
        <v>854DC-1521 HV Substations</v>
      </c>
      <c r="W229" s="2" t="str">
        <f>_xlfn.LET(
    _xlpm.isObject, _xlfn.XLOOKUP($Q229,'EA-Fortescue_SDExport'!A:A,'EA-Fortescue_SDExport'!B:B),
    _xlpm.lookupKey, IF(_xlpm.isObject="Object",
        _xlfn.XLOOKUP($A229,'EA-ConnectorExport'!A:A,'EA-ConnectorExport'!D:D),
        $Q229
    ),
    _xlpm.result, _xlfn.XLOOKUP(_xlpm.lookupKey,'EA-Fortescue_SDExport'!A:A,'EA-Fortescue_SDExport'!AF:AF),
    IF(_xlpm.result=0,"",_xlpm.result)
)</f>
        <v>854DC-1521-0006 Substation (11kV)</v>
      </c>
      <c r="X229" s="2" t="str">
        <f>_xlfn.LET(
    _xlpm.isObject, _xlfn.XLOOKUP($Q229,'EA-Fortescue_SDExport'!A:A,'EA-Fortescue_SDExport'!B:B),
    _xlpm.lookupKey, IF(_xlpm.isObject="Object",
        _xlfn.XLOOKUP($A229,'EA-ConnectorExport'!A:A,'EA-ConnectorExport'!D:D),
        $Q229
    ),
    _xlpm.result, _xlfn.XLOOKUP(_xlpm.lookupKey,'EA-Fortescue_SDExport'!A:A,'EA-Fortescue_SDExport'!AG:AG),
    IF(_xlpm.result=0,"",_xlpm.result)
)</f>
        <v/>
      </c>
      <c r="Y229" s="2" t="str">
        <f>_xlfn.LET(
    _xlpm.status, _xlfn.XLOOKUP($A229,'EA-ConnectorExport'!$A:$A,'EA-ConnectorExport'!G:G),
    _xlpm.result, _xlfn.XLOOKUP($A229,'EA-ConnectorExport'!$A:$A,'EA-ConnectorExport'!H:H),
    IF(_xlpm.status="allocate", _xlpm.result, "")
)</f>
        <v>855DC-1543-008 Monarch</v>
      </c>
      <c r="Z229" s="2" t="str">
        <f>_xlfn.LET(
    _xlpm.isObject, _xlfn.XLOOKUP($Y229,'EA-Fortescue_SDExport'!A:A,'EA-Fortescue_SDExport'!B:B),
    _xlpm.lookupKey, IF(_xlpm.isObject="Object",
        _xlfn.XLOOKUP($A229,'EA-ConnectorExport'!A:A,'EA-ConnectorExport'!J:J),
        $Y229
    ),
    _xlpm.result, _xlfn.XLOOKUP(_xlpm.lookupKey,'EA-Fortescue_SDExport'!A:A,'EA-Fortescue_SDExport'!AA:AA),
    IF(_xlpm.result=0,"",_xlpm.result)
)</f>
        <v>Project</v>
      </c>
      <c r="AA229" s="2" t="str">
        <f>_xlfn.LET(_xlpm.result, _xlfn.XLOOKUP($Y229,'EA-Fortescue_SDExport'!$A:$A,'EA-Fortescue_SDExport'!AB:AB), IF(_xlpm.result=0,"",_xlpm.result))</f>
        <v>Energy Operations</v>
      </c>
      <c r="AB229" s="2" t="str">
        <f>_xlfn.LET(_xlpm.result, _xlfn.XLOOKUP($Y229,'EA-Fortescue_SDExport'!$A:$A,'EA-Fortescue_SDExport'!AC:AC), IF(_xlpm.result=0,"",_xlpm.result))</f>
        <v/>
      </c>
      <c r="AC229" s="2" t="str">
        <f>_xlfn.LET(
    _xlpm.isObject, _xlfn.XLOOKUP($Y229,'EA-Fortescue_SDExport'!A:A,'EA-Fortescue_SDExport'!B:B),
    _xlpm.lookupKey, IF(_xlpm.isObject="Object",
        _xlfn.XLOOKUP($A229,'EA-ConnectorExport'!A:A,'EA-ConnectorExport'!J:J),
        $Y229
    ),
    _xlpm.result, _xlfn.XLOOKUP(_xlpm.lookupKey,'EA-Fortescue_SDExport'!A:A,'EA-Fortescue_SDExport'!AD:AD),
    IF(_xlpm.result=0,"",_xlpm.result)
)</f>
        <v>855DC Decarb Green Systems</v>
      </c>
      <c r="AD229" s="2" t="str">
        <f>_xlfn.LET(
    _xlpm.isObject, _xlfn.XLOOKUP($Y229,'EA-Fortescue_SDExport'!A:A,'EA-Fortescue_SDExport'!B:B),
    _xlpm.lookupKey, IF(_xlpm.isObject="Object",
        _xlfn.XLOOKUP($A229,'EA-ConnectorExport'!A:A,'EA-ConnectorExport'!J:J),
        $Y229
    ),
    _xlpm.result, _xlfn.XLOOKUP(_xlpm.lookupKey,'EA-Fortescue_SDExport'!A:A,'EA-Fortescue_SDExport'!AE:AE),
    IF(_xlpm.result=0,"",_xlpm.result)
)</f>
        <v>855DC-1543 Existing Systems - Green Enhancement</v>
      </c>
      <c r="AE229" s="2" t="str">
        <f>_xlfn.LET(
    _xlpm.isObject, _xlfn.XLOOKUP($Y229,'EA-Fortescue_SDExport'!A:A,'EA-Fortescue_SDExport'!B:B),
    _xlpm.lookupKey, IF(_xlpm.isObject="Object",
        _xlfn.XLOOKUP($A229,'EA-ConnectorExport'!A:A,'EA-ConnectorExport'!J:J),
        $Y229
    ),
    _xlpm.result, _xlfn.XLOOKUP(_xlpm.lookupKey,'EA-Fortescue_SDExport'!A:A,'EA-Fortescue_SDExport'!AF:AF),
    IF(_xlpm.result=0,"",_xlpm.result)
)</f>
        <v>855DC-1543-008 Monarch</v>
      </c>
      <c r="AF229" s="2" t="str">
        <f>_xlfn.LET(
    _xlpm.isObject, _xlfn.XLOOKUP($Y229,'EA-Fortescue_SDExport'!A:A,'EA-Fortescue_SDExport'!B:B),
    _xlpm.lookupKey, IF(_xlpm.isObject="Object",
        _xlfn.XLOOKUP($A229,'EA-ConnectorExport'!A:A,'EA-ConnectorExport'!J:J),
        $Y229
    ),
    _xlpm.result, _xlfn.XLOOKUP(_xlpm.lookupKey,'EA-Fortescue_SDExport'!A:A,'EA-Fortescue_SDExport'!AG:AG),
    IF(_xlpm.result=0,"",_xlpm.result)
)</f>
        <v/>
      </c>
    </row>
    <row r="230" spans="1:32" ht="60" x14ac:dyDescent="0.25">
      <c r="A230" s="2" t="str">
        <v>DGS-I_0229</v>
      </c>
      <c r="B230" s="2" t="str">
        <f t="shared" si="12"/>
        <v>Solomon Mine Hub: Substation (33kV)|855DC-1543-008 Monarch</v>
      </c>
      <c r="C230" s="2" t="str">
        <f>_xlfn.LET(_xlpm.result, _xlfn.XLOOKUP(A230,'EA-Fortescue_SDExport'!A:A,'EA-Fortescue_SDExport'!AM:AM), IF(_xlpm.result=0,"",_xlpm.result))</f>
        <v/>
      </c>
      <c r="D230" s="2" t="str">
        <f>_xlfn.LET(_xlpm.result, _xlfn.XLOOKUP(A230,'EA-Fortescue_SDExport'!A:A,'EA-Fortescue_SDExport'!AN:AN), IF(_xlpm.result=0,"",_xlpm.result))</f>
        <v/>
      </c>
      <c r="E230" s="2" t="str">
        <f>_xlfn.XLOOKUP(R230&amp;Z230,Lookups!A:A,Lookups!B:B)</f>
        <v>Project - Project Interface</v>
      </c>
      <c r="F230" s="2" t="str">
        <f>_xlfn.LET(_xlpm.result, _xlfn.XLOOKUP(A230,'EA-Fortescue_SDExport'!A:A,'EA-Fortescue_SDExport'!AP:AP), IF(_xlpm.result=0,"",_xlpm.result))</f>
        <v/>
      </c>
      <c r="G230" s="2" t="str">
        <f>IF(OR(AND(T230&lt;&gt;"", COUNTIF(Lookups!J:J, "*"&amp;T230&amp;"*")&gt;0), AND(AB230&lt;&gt;"", COUNTIF(Lookups!J:J, "*"&amp;AB230&amp;"*")&gt;0)), "Yes", "No")</f>
        <v>Yes</v>
      </c>
      <c r="H230" s="2" t="str">
        <f t="shared" si="13"/>
        <v>854DC Green Power|855DC Decarb Green Systems</v>
      </c>
      <c r="I230" s="2" t="str">
        <f t="shared" si="14"/>
        <v>854DC-1521 HV Substations|855DC-1543 Existing Systems - Green Enhancement</v>
      </c>
      <c r="J230" s="2" t="str">
        <f t="shared" si="15"/>
        <v>854DC-1521-0001 Substation (33kV)|855DC-1543-008 Monarch</v>
      </c>
      <c r="K230" s="2" t="str">
        <f>_xlfn.XLOOKUP(A230,'EA-Fortescue_SDExport'!A:A,'EA-Fortescue_SDExport'!N:N)</f>
        <v>Proposed</v>
      </c>
      <c r="L230" s="2" t="str">
        <f>_xlfn.LET(_xlpm.result, _xlfn.XLOOKUP($A230,'EA-Fortescue_SDExport'!$A:$A,'EA-Fortescue_SDExport'!AQ:AQ), IF(_xlpm.result=0,"",_xlpm.result))</f>
        <v/>
      </c>
      <c r="M230" s="2" t="str">
        <f>_xlfn.LET(_xlpm.result, _xlfn.XLOOKUP($A230,'EA-Fortescue_SDExport'!$A:$A,'EA-Fortescue_SDExport'!AR:AR), IF(_xlpm.result=0,"",_xlpm.result))</f>
        <v/>
      </c>
      <c r="N230" s="2" t="str">
        <f>_xlfn.LET(_xlpm.result, _xlfn.XLOOKUP($A230,'EA-Fortescue_SDExport'!$A:$A,'EA-Fortescue_SDExport'!AW:AW), IF(_xlpm.result=0,"",_xlpm.result))</f>
        <v/>
      </c>
      <c r="O230" s="2" t="str">
        <f>_xlfn.LET(_xlpm.result, _xlfn.XLOOKUP($A230,'EA-Fortescue_SDExport'!$A:$A,'EA-Fortescue_SDExport'!AV:AV), IF(_xlpm.result=0,"",_xlpm.result))</f>
        <v/>
      </c>
      <c r="P230" s="2" t="str">
        <f>_xlfn.LET(_xlpm.result, _xlfn.XLOOKUP($A230,'EA-Fortescue_SDExport'!$A:$A,'EA-Fortescue_SDExport'!D:D), IF(_xlpm.result=0,"",_xlpm.result))</f>
        <v/>
      </c>
      <c r="Q230" s="2" t="str">
        <f>_xlfn.LET(
    _xlpm.status, _xlfn.XLOOKUP($A230,'EA-ConnectorExport'!$A:$A,'EA-ConnectorExport'!G:G),
    _xlpm.result, _xlfn.XLOOKUP($A230,'EA-ConnectorExport'!$A:$A,'EA-ConnectorExport'!B:B),
    IF(_xlpm.status="allocate", _xlpm.result, "")
)</f>
        <v>Solomon Mine Hub: Substation (33kV)</v>
      </c>
      <c r="R230" s="2" t="str">
        <f>IF(
    _xlfn.XLOOKUP($Q230,'EA-Fortescue_SDExport'!A:A,'EA-Fortescue_SDExport'!B:B)="Object",
    _xlfn.XLOOKUP(
        _xlfn.XLOOKUP($A230,'EA-ConnectorExport'!A:A,'EA-ConnectorExport'!D:D),
        'EA-Fortescue_SDExport'!A:A,
        'EA-Fortescue_SDExport'!AA:AA
    ),
    _xlfn.XLOOKUP($Q230,'EA-Fortescue_SDExport'!A:A,'EA-Fortescue_SDExport'!AA:AA)
)</f>
        <v>Project</v>
      </c>
      <c r="S230" s="2" t="str">
        <f>_xlfn.LET(_xlpm.result, _xlfn.XLOOKUP($Q230,'EA-Fortescue_SDExport'!$A:$A,'EA-Fortescue_SDExport'!AB:AB), IF(_xlpm.result=0,"",_xlpm.result))</f>
        <v/>
      </c>
      <c r="T230" s="2" t="str">
        <f>_xlfn.LET(_xlpm.result, _xlfn.XLOOKUP($Q230,'EA-Fortescue_SDExport'!$A:$A,'EA-Fortescue_SDExport'!AC:AC), IF(_xlpm.result=0,"",_xlpm.result))</f>
        <v>Solomon Mine Hub</v>
      </c>
      <c r="U230" s="2" t="str">
        <f>_xlfn.LET(
    _xlpm.isObject, _xlfn.XLOOKUP($Q230,'EA-Fortescue_SDExport'!A:A,'EA-Fortescue_SDExport'!B:B),
    _xlpm.lookupKey, IF(_xlpm.isObject="Object",
        _xlfn.XLOOKUP($A230,'EA-ConnectorExport'!A:A,'EA-ConnectorExport'!D:D),
        $Q230
    ),
    _xlpm.result, _xlfn.XLOOKUP(_xlpm.lookupKey,'EA-Fortescue_SDExport'!A:A,'EA-Fortescue_SDExport'!AD:AD),
    IF(_xlpm.result=0,"",_xlpm.result)
)</f>
        <v>854DC Green Power</v>
      </c>
      <c r="V230" s="2" t="str">
        <f>_xlfn.LET(
    _xlpm.isObject, _xlfn.XLOOKUP($Q230,'EA-Fortescue_SDExport'!A:A,'EA-Fortescue_SDExport'!B:B),
    _xlpm.lookupKey, IF(_xlpm.isObject="Object",
        _xlfn.XLOOKUP($A230,'EA-ConnectorExport'!A:A,'EA-ConnectorExport'!D:D),
        $Q230
    ),
    _xlpm.result, _xlfn.XLOOKUP(_xlpm.lookupKey,'EA-Fortescue_SDExport'!A:A,'EA-Fortescue_SDExport'!AE:AE),
    IF(_xlpm.result=0,"",_xlpm.result)
)</f>
        <v>854DC-1521 HV Substations</v>
      </c>
      <c r="W230" s="2" t="str">
        <f>_xlfn.LET(
    _xlpm.isObject, _xlfn.XLOOKUP($Q230,'EA-Fortescue_SDExport'!A:A,'EA-Fortescue_SDExport'!B:B),
    _xlpm.lookupKey, IF(_xlpm.isObject="Object",
        _xlfn.XLOOKUP($A230,'EA-ConnectorExport'!A:A,'EA-ConnectorExport'!D:D),
        $Q230
    ),
    _xlpm.result, _xlfn.XLOOKUP(_xlpm.lookupKey,'EA-Fortescue_SDExport'!A:A,'EA-Fortescue_SDExport'!AF:AF),
    IF(_xlpm.result=0,"",_xlpm.result)
)</f>
        <v>854DC-1521-0001 Substation (33kV)</v>
      </c>
      <c r="X230" s="2" t="str">
        <f>_xlfn.LET(
    _xlpm.isObject, _xlfn.XLOOKUP($Q230,'EA-Fortescue_SDExport'!A:A,'EA-Fortescue_SDExport'!B:B),
    _xlpm.lookupKey, IF(_xlpm.isObject="Object",
        _xlfn.XLOOKUP($A230,'EA-ConnectorExport'!A:A,'EA-ConnectorExport'!D:D),
        $Q230
    ),
    _xlpm.result, _xlfn.XLOOKUP(_xlpm.lookupKey,'EA-Fortescue_SDExport'!A:A,'EA-Fortescue_SDExport'!AG:AG),
    IF(_xlpm.result=0,"",_xlpm.result)
)</f>
        <v/>
      </c>
      <c r="Y230" s="2" t="str">
        <f>_xlfn.LET(
    _xlpm.status, _xlfn.XLOOKUP($A230,'EA-ConnectorExport'!$A:$A,'EA-ConnectorExport'!G:G),
    _xlpm.result, _xlfn.XLOOKUP($A230,'EA-ConnectorExport'!$A:$A,'EA-ConnectorExport'!H:H),
    IF(_xlpm.status="allocate", _xlpm.result, "")
)</f>
        <v>855DC-1543-008 Monarch</v>
      </c>
      <c r="Z230" s="2" t="str">
        <f>_xlfn.LET(
    _xlpm.isObject, _xlfn.XLOOKUP($Y230,'EA-Fortescue_SDExport'!A:A,'EA-Fortescue_SDExport'!B:B),
    _xlpm.lookupKey, IF(_xlpm.isObject="Object",
        _xlfn.XLOOKUP($A230,'EA-ConnectorExport'!A:A,'EA-ConnectorExport'!J:J),
        $Y230
    ),
    _xlpm.result, _xlfn.XLOOKUP(_xlpm.lookupKey,'EA-Fortescue_SDExport'!A:A,'EA-Fortescue_SDExport'!AA:AA),
    IF(_xlpm.result=0,"",_xlpm.result)
)</f>
        <v>Project</v>
      </c>
      <c r="AA230" s="2" t="str">
        <f>_xlfn.LET(_xlpm.result, _xlfn.XLOOKUP($Y230,'EA-Fortescue_SDExport'!$A:$A,'EA-Fortescue_SDExport'!AB:AB), IF(_xlpm.result=0,"",_xlpm.result))</f>
        <v>Energy Operations</v>
      </c>
      <c r="AB230" s="2" t="str">
        <f>_xlfn.LET(_xlpm.result, _xlfn.XLOOKUP($Y230,'EA-Fortescue_SDExport'!$A:$A,'EA-Fortescue_SDExport'!AC:AC), IF(_xlpm.result=0,"",_xlpm.result))</f>
        <v/>
      </c>
      <c r="AC230" s="2" t="str">
        <f>_xlfn.LET(
    _xlpm.isObject, _xlfn.XLOOKUP($Y230,'EA-Fortescue_SDExport'!A:A,'EA-Fortescue_SDExport'!B:B),
    _xlpm.lookupKey, IF(_xlpm.isObject="Object",
        _xlfn.XLOOKUP($A230,'EA-ConnectorExport'!A:A,'EA-ConnectorExport'!J:J),
        $Y230
    ),
    _xlpm.result, _xlfn.XLOOKUP(_xlpm.lookupKey,'EA-Fortescue_SDExport'!A:A,'EA-Fortescue_SDExport'!AD:AD),
    IF(_xlpm.result=0,"",_xlpm.result)
)</f>
        <v>855DC Decarb Green Systems</v>
      </c>
      <c r="AD230" s="2" t="str">
        <f>_xlfn.LET(
    _xlpm.isObject, _xlfn.XLOOKUP($Y230,'EA-Fortescue_SDExport'!A:A,'EA-Fortescue_SDExport'!B:B),
    _xlpm.lookupKey, IF(_xlpm.isObject="Object",
        _xlfn.XLOOKUP($A230,'EA-ConnectorExport'!A:A,'EA-ConnectorExport'!J:J),
        $Y230
    ),
    _xlpm.result, _xlfn.XLOOKUP(_xlpm.lookupKey,'EA-Fortescue_SDExport'!A:A,'EA-Fortescue_SDExport'!AE:AE),
    IF(_xlpm.result=0,"",_xlpm.result)
)</f>
        <v>855DC-1543 Existing Systems - Green Enhancement</v>
      </c>
      <c r="AE230" s="2" t="str">
        <f>_xlfn.LET(
    _xlpm.isObject, _xlfn.XLOOKUP($Y230,'EA-Fortescue_SDExport'!A:A,'EA-Fortescue_SDExport'!B:B),
    _xlpm.lookupKey, IF(_xlpm.isObject="Object",
        _xlfn.XLOOKUP($A230,'EA-ConnectorExport'!A:A,'EA-ConnectorExport'!J:J),
        $Y230
    ),
    _xlpm.result, _xlfn.XLOOKUP(_xlpm.lookupKey,'EA-Fortescue_SDExport'!A:A,'EA-Fortescue_SDExport'!AF:AF),
    IF(_xlpm.result=0,"",_xlpm.result)
)</f>
        <v>855DC-1543-008 Monarch</v>
      </c>
      <c r="AF230" s="2" t="str">
        <f>_xlfn.LET(
    _xlpm.isObject, _xlfn.XLOOKUP($Y230,'EA-Fortescue_SDExport'!A:A,'EA-Fortescue_SDExport'!B:B),
    _xlpm.lookupKey, IF(_xlpm.isObject="Object",
        _xlfn.XLOOKUP($A230,'EA-ConnectorExport'!A:A,'EA-ConnectorExport'!J:J),
        $Y230
    ),
    _xlpm.result, _xlfn.XLOOKUP(_xlpm.lookupKey,'EA-Fortescue_SDExport'!A:A,'EA-Fortescue_SDExport'!AG:AG),
    IF(_xlpm.result=0,"",_xlpm.result)
)</f>
        <v/>
      </c>
    </row>
    <row r="231" spans="1:32" ht="60" x14ac:dyDescent="0.25">
      <c r="A231" s="2" t="str">
        <v>DGS-I_0230</v>
      </c>
      <c r="B231" s="2" t="str">
        <f t="shared" si="12"/>
        <v>Solomon Mine Hub: Substation (132kV)|855DC-1543-008 Monarch</v>
      </c>
      <c r="C231" s="2" t="str">
        <f>_xlfn.LET(_xlpm.result, _xlfn.XLOOKUP(A231,'EA-Fortescue_SDExport'!A:A,'EA-Fortescue_SDExport'!AM:AM), IF(_xlpm.result=0,"",_xlpm.result))</f>
        <v/>
      </c>
      <c r="D231" s="2" t="str">
        <f>_xlfn.LET(_xlpm.result, _xlfn.XLOOKUP(A231,'EA-Fortescue_SDExport'!A:A,'EA-Fortescue_SDExport'!AN:AN), IF(_xlpm.result=0,"",_xlpm.result))</f>
        <v/>
      </c>
      <c r="E231" s="2" t="str">
        <f>_xlfn.XLOOKUP(R231&amp;Z231,Lookups!A:A,Lookups!B:B)</f>
        <v>Project - Project Interface</v>
      </c>
      <c r="F231" s="2" t="str">
        <f>_xlfn.LET(_xlpm.result, _xlfn.XLOOKUP(A231,'EA-Fortescue_SDExport'!A:A,'EA-Fortescue_SDExport'!AP:AP), IF(_xlpm.result=0,"",_xlpm.result))</f>
        <v/>
      </c>
      <c r="G231" s="2" t="str">
        <f>IF(OR(AND(T231&lt;&gt;"", COUNTIF(Lookups!J:J, "*"&amp;T231&amp;"*")&gt;0), AND(AB231&lt;&gt;"", COUNTIF(Lookups!J:J, "*"&amp;AB231&amp;"*")&gt;0)), "Yes", "No")</f>
        <v>Yes</v>
      </c>
      <c r="H231" s="2" t="str">
        <f t="shared" si="13"/>
        <v>854DC Green Power|855DC Decarb Green Systems</v>
      </c>
      <c r="I231" s="2" t="str">
        <f t="shared" si="14"/>
        <v>854DC-1521 HV Substations|855DC-1543 Existing Systems - Green Enhancement</v>
      </c>
      <c r="J231" s="2" t="str">
        <f t="shared" si="15"/>
        <v>854DC-1521-0003 Substation (132kV)|855DC-1543-008 Monarch</v>
      </c>
      <c r="K231" s="2" t="str">
        <f>_xlfn.XLOOKUP(A231,'EA-Fortescue_SDExport'!A:A,'EA-Fortescue_SDExport'!N:N)</f>
        <v>Proposed</v>
      </c>
      <c r="L231" s="2" t="str">
        <f>_xlfn.LET(_xlpm.result, _xlfn.XLOOKUP($A231,'EA-Fortescue_SDExport'!$A:$A,'EA-Fortescue_SDExport'!AQ:AQ), IF(_xlpm.result=0,"",_xlpm.result))</f>
        <v/>
      </c>
      <c r="M231" s="2" t="str">
        <f>_xlfn.LET(_xlpm.result, _xlfn.XLOOKUP($A231,'EA-Fortescue_SDExport'!$A:$A,'EA-Fortescue_SDExport'!AR:AR), IF(_xlpm.result=0,"",_xlpm.result))</f>
        <v/>
      </c>
      <c r="N231" s="2" t="str">
        <f>_xlfn.LET(_xlpm.result, _xlfn.XLOOKUP($A231,'EA-Fortescue_SDExport'!$A:$A,'EA-Fortescue_SDExport'!AW:AW), IF(_xlpm.result=0,"",_xlpm.result))</f>
        <v/>
      </c>
      <c r="O231" s="2" t="str">
        <f>_xlfn.LET(_xlpm.result, _xlfn.XLOOKUP($A231,'EA-Fortescue_SDExport'!$A:$A,'EA-Fortescue_SDExport'!AV:AV), IF(_xlpm.result=0,"",_xlpm.result))</f>
        <v/>
      </c>
      <c r="P231" s="2" t="str">
        <f>_xlfn.LET(_xlpm.result, _xlfn.XLOOKUP($A231,'EA-Fortescue_SDExport'!$A:$A,'EA-Fortescue_SDExport'!D:D), IF(_xlpm.result=0,"",_xlpm.result))</f>
        <v/>
      </c>
      <c r="Q231" s="2" t="str">
        <f>_xlfn.LET(
    _xlpm.status, _xlfn.XLOOKUP($A231,'EA-ConnectorExport'!$A:$A,'EA-ConnectorExport'!G:G),
    _xlpm.result, _xlfn.XLOOKUP($A231,'EA-ConnectorExport'!$A:$A,'EA-ConnectorExport'!B:B),
    IF(_xlpm.status="allocate", _xlpm.result, "")
)</f>
        <v>Solomon Mine Hub: Substation (132kV)</v>
      </c>
      <c r="R231" s="2" t="str">
        <f>IF(
    _xlfn.XLOOKUP($Q231,'EA-Fortescue_SDExport'!A:A,'EA-Fortescue_SDExport'!B:B)="Object",
    _xlfn.XLOOKUP(
        _xlfn.XLOOKUP($A231,'EA-ConnectorExport'!A:A,'EA-ConnectorExport'!D:D),
        'EA-Fortescue_SDExport'!A:A,
        'EA-Fortescue_SDExport'!AA:AA
    ),
    _xlfn.XLOOKUP($Q231,'EA-Fortescue_SDExport'!A:A,'EA-Fortescue_SDExport'!AA:AA)
)</f>
        <v>Project</v>
      </c>
      <c r="S231" s="2" t="str">
        <f>_xlfn.LET(_xlpm.result, _xlfn.XLOOKUP($Q231,'EA-Fortescue_SDExport'!$A:$A,'EA-Fortescue_SDExport'!AB:AB), IF(_xlpm.result=0,"",_xlpm.result))</f>
        <v/>
      </c>
      <c r="T231" s="2" t="str">
        <f>_xlfn.LET(_xlpm.result, _xlfn.XLOOKUP($Q231,'EA-Fortescue_SDExport'!$A:$A,'EA-Fortescue_SDExport'!AC:AC), IF(_xlpm.result=0,"",_xlpm.result))</f>
        <v>Solomon Mine Hub</v>
      </c>
      <c r="U231" s="2" t="str">
        <f>_xlfn.LET(
    _xlpm.isObject, _xlfn.XLOOKUP($Q231,'EA-Fortescue_SDExport'!A:A,'EA-Fortescue_SDExport'!B:B),
    _xlpm.lookupKey, IF(_xlpm.isObject="Object",
        _xlfn.XLOOKUP($A231,'EA-ConnectorExport'!A:A,'EA-ConnectorExport'!D:D),
        $Q231
    ),
    _xlpm.result, _xlfn.XLOOKUP(_xlpm.lookupKey,'EA-Fortescue_SDExport'!A:A,'EA-Fortescue_SDExport'!AD:AD),
    IF(_xlpm.result=0,"",_xlpm.result)
)</f>
        <v>854DC Green Power</v>
      </c>
      <c r="V231" s="2" t="str">
        <f>_xlfn.LET(
    _xlpm.isObject, _xlfn.XLOOKUP($Q231,'EA-Fortescue_SDExport'!A:A,'EA-Fortescue_SDExport'!B:B),
    _xlpm.lookupKey, IF(_xlpm.isObject="Object",
        _xlfn.XLOOKUP($A231,'EA-ConnectorExport'!A:A,'EA-ConnectorExport'!D:D),
        $Q231
    ),
    _xlpm.result, _xlfn.XLOOKUP(_xlpm.lookupKey,'EA-Fortescue_SDExport'!A:A,'EA-Fortescue_SDExport'!AE:AE),
    IF(_xlpm.result=0,"",_xlpm.result)
)</f>
        <v>854DC-1521 HV Substations</v>
      </c>
      <c r="W231" s="2" t="str">
        <f>_xlfn.LET(
    _xlpm.isObject, _xlfn.XLOOKUP($Q231,'EA-Fortescue_SDExport'!A:A,'EA-Fortescue_SDExport'!B:B),
    _xlpm.lookupKey, IF(_xlpm.isObject="Object",
        _xlfn.XLOOKUP($A231,'EA-ConnectorExport'!A:A,'EA-ConnectorExport'!D:D),
        $Q231
    ),
    _xlpm.result, _xlfn.XLOOKUP(_xlpm.lookupKey,'EA-Fortescue_SDExport'!A:A,'EA-Fortescue_SDExport'!AF:AF),
    IF(_xlpm.result=0,"",_xlpm.result)
)</f>
        <v>854DC-1521-0003 Substation (132kV)</v>
      </c>
      <c r="X231" s="2" t="str">
        <f>_xlfn.LET(
    _xlpm.isObject, _xlfn.XLOOKUP($Q231,'EA-Fortescue_SDExport'!A:A,'EA-Fortescue_SDExport'!B:B),
    _xlpm.lookupKey, IF(_xlpm.isObject="Object",
        _xlfn.XLOOKUP($A231,'EA-ConnectorExport'!A:A,'EA-ConnectorExport'!D:D),
        $Q231
    ),
    _xlpm.result, _xlfn.XLOOKUP(_xlpm.lookupKey,'EA-Fortescue_SDExport'!A:A,'EA-Fortescue_SDExport'!AG:AG),
    IF(_xlpm.result=0,"",_xlpm.result)
)</f>
        <v/>
      </c>
      <c r="Y231" s="2" t="str">
        <f>_xlfn.LET(
    _xlpm.status, _xlfn.XLOOKUP($A231,'EA-ConnectorExport'!$A:$A,'EA-ConnectorExport'!G:G),
    _xlpm.result, _xlfn.XLOOKUP($A231,'EA-ConnectorExport'!$A:$A,'EA-ConnectorExport'!H:H),
    IF(_xlpm.status="allocate", _xlpm.result, "")
)</f>
        <v>855DC-1543-008 Monarch</v>
      </c>
      <c r="Z231" s="2" t="str">
        <f>_xlfn.LET(
    _xlpm.isObject, _xlfn.XLOOKUP($Y231,'EA-Fortescue_SDExport'!A:A,'EA-Fortescue_SDExport'!B:B),
    _xlpm.lookupKey, IF(_xlpm.isObject="Object",
        _xlfn.XLOOKUP($A231,'EA-ConnectorExport'!A:A,'EA-ConnectorExport'!J:J),
        $Y231
    ),
    _xlpm.result, _xlfn.XLOOKUP(_xlpm.lookupKey,'EA-Fortescue_SDExport'!A:A,'EA-Fortescue_SDExport'!AA:AA),
    IF(_xlpm.result=0,"",_xlpm.result)
)</f>
        <v>Project</v>
      </c>
      <c r="AA231" s="2" t="str">
        <f>_xlfn.LET(_xlpm.result, _xlfn.XLOOKUP($Y231,'EA-Fortescue_SDExport'!$A:$A,'EA-Fortescue_SDExport'!AB:AB), IF(_xlpm.result=0,"",_xlpm.result))</f>
        <v>Energy Operations</v>
      </c>
      <c r="AB231" s="2" t="str">
        <f>_xlfn.LET(_xlpm.result, _xlfn.XLOOKUP($Y231,'EA-Fortescue_SDExport'!$A:$A,'EA-Fortescue_SDExport'!AC:AC), IF(_xlpm.result=0,"",_xlpm.result))</f>
        <v/>
      </c>
      <c r="AC231" s="2" t="str">
        <f>_xlfn.LET(
    _xlpm.isObject, _xlfn.XLOOKUP($Y231,'EA-Fortescue_SDExport'!A:A,'EA-Fortescue_SDExport'!B:B),
    _xlpm.lookupKey, IF(_xlpm.isObject="Object",
        _xlfn.XLOOKUP($A231,'EA-ConnectorExport'!A:A,'EA-ConnectorExport'!J:J),
        $Y231
    ),
    _xlpm.result, _xlfn.XLOOKUP(_xlpm.lookupKey,'EA-Fortescue_SDExport'!A:A,'EA-Fortescue_SDExport'!AD:AD),
    IF(_xlpm.result=0,"",_xlpm.result)
)</f>
        <v>855DC Decarb Green Systems</v>
      </c>
      <c r="AD231" s="2" t="str">
        <f>_xlfn.LET(
    _xlpm.isObject, _xlfn.XLOOKUP($Y231,'EA-Fortescue_SDExport'!A:A,'EA-Fortescue_SDExport'!B:B),
    _xlpm.lookupKey, IF(_xlpm.isObject="Object",
        _xlfn.XLOOKUP($A231,'EA-ConnectorExport'!A:A,'EA-ConnectorExport'!J:J),
        $Y231
    ),
    _xlpm.result, _xlfn.XLOOKUP(_xlpm.lookupKey,'EA-Fortescue_SDExport'!A:A,'EA-Fortescue_SDExport'!AE:AE),
    IF(_xlpm.result=0,"",_xlpm.result)
)</f>
        <v>855DC-1543 Existing Systems - Green Enhancement</v>
      </c>
      <c r="AE231" s="2" t="str">
        <f>_xlfn.LET(
    _xlpm.isObject, _xlfn.XLOOKUP($Y231,'EA-Fortescue_SDExport'!A:A,'EA-Fortescue_SDExport'!B:B),
    _xlpm.lookupKey, IF(_xlpm.isObject="Object",
        _xlfn.XLOOKUP($A231,'EA-ConnectorExport'!A:A,'EA-ConnectorExport'!J:J),
        $Y231
    ),
    _xlpm.result, _xlfn.XLOOKUP(_xlpm.lookupKey,'EA-Fortescue_SDExport'!A:A,'EA-Fortescue_SDExport'!AF:AF),
    IF(_xlpm.result=0,"",_xlpm.result)
)</f>
        <v>855DC-1543-008 Monarch</v>
      </c>
      <c r="AF231" s="2" t="str">
        <f>_xlfn.LET(
    _xlpm.isObject, _xlfn.XLOOKUP($Y231,'EA-Fortescue_SDExport'!A:A,'EA-Fortescue_SDExport'!B:B),
    _xlpm.lookupKey, IF(_xlpm.isObject="Object",
        _xlfn.XLOOKUP($A231,'EA-ConnectorExport'!A:A,'EA-ConnectorExport'!J:J),
        $Y231
    ),
    _xlpm.result, _xlfn.XLOOKUP(_xlpm.lookupKey,'EA-Fortescue_SDExport'!A:A,'EA-Fortescue_SDExport'!AG:AG),
    IF(_xlpm.result=0,"",_xlpm.result)
)</f>
        <v/>
      </c>
    </row>
    <row r="232" spans="1:32" ht="60" x14ac:dyDescent="0.25">
      <c r="A232" s="2" t="str">
        <v>DGS-I_0231</v>
      </c>
      <c r="B232" s="2" t="str">
        <f t="shared" si="12"/>
        <v>Solomon Mine Hub: Substation (220kV)|855DC-1543-008 Monarch</v>
      </c>
      <c r="C232" s="2" t="str">
        <f>_xlfn.LET(_xlpm.result, _xlfn.XLOOKUP(A232,'EA-Fortescue_SDExport'!A:A,'EA-Fortescue_SDExport'!AM:AM), IF(_xlpm.result=0,"",_xlpm.result))</f>
        <v/>
      </c>
      <c r="D232" s="2" t="str">
        <f>_xlfn.LET(_xlpm.result, _xlfn.XLOOKUP(A232,'EA-Fortescue_SDExport'!A:A,'EA-Fortescue_SDExport'!AN:AN), IF(_xlpm.result=0,"",_xlpm.result))</f>
        <v/>
      </c>
      <c r="E232" s="2" t="str">
        <f>_xlfn.XLOOKUP(R232&amp;Z232,Lookups!A:A,Lookups!B:B)</f>
        <v>Project - Project Interface</v>
      </c>
      <c r="F232" s="2" t="str">
        <f>_xlfn.LET(_xlpm.result, _xlfn.XLOOKUP(A232,'EA-Fortescue_SDExport'!A:A,'EA-Fortescue_SDExport'!AP:AP), IF(_xlpm.result=0,"",_xlpm.result))</f>
        <v/>
      </c>
      <c r="G232" s="2" t="str">
        <f>IF(OR(AND(T232&lt;&gt;"", COUNTIF(Lookups!J:J, "*"&amp;T232&amp;"*")&gt;0), AND(AB232&lt;&gt;"", COUNTIF(Lookups!J:J, "*"&amp;AB232&amp;"*")&gt;0)), "Yes", "No")</f>
        <v>Yes</v>
      </c>
      <c r="H232" s="2" t="str">
        <f t="shared" si="13"/>
        <v>854DC Green Power|855DC Decarb Green Systems</v>
      </c>
      <c r="I232" s="2" t="str">
        <f t="shared" si="14"/>
        <v>854DC-1521 HV Substations|855DC-1543 Existing Systems - Green Enhancement</v>
      </c>
      <c r="J232" s="2" t="str">
        <f t="shared" si="15"/>
        <v>854DC-1521-0004 Substation (220kV)|855DC-1543-008 Monarch</v>
      </c>
      <c r="K232" s="2" t="str">
        <f>_xlfn.XLOOKUP(A232,'EA-Fortescue_SDExport'!A:A,'EA-Fortescue_SDExport'!N:N)</f>
        <v>Proposed</v>
      </c>
      <c r="L232" s="2" t="str">
        <f>_xlfn.LET(_xlpm.result, _xlfn.XLOOKUP($A232,'EA-Fortescue_SDExport'!$A:$A,'EA-Fortescue_SDExport'!AQ:AQ), IF(_xlpm.result=0,"",_xlpm.result))</f>
        <v/>
      </c>
      <c r="M232" s="2" t="str">
        <f>_xlfn.LET(_xlpm.result, _xlfn.XLOOKUP($A232,'EA-Fortescue_SDExport'!$A:$A,'EA-Fortescue_SDExport'!AR:AR), IF(_xlpm.result=0,"",_xlpm.result))</f>
        <v/>
      </c>
      <c r="N232" s="2" t="str">
        <f>_xlfn.LET(_xlpm.result, _xlfn.XLOOKUP($A232,'EA-Fortescue_SDExport'!$A:$A,'EA-Fortescue_SDExport'!AW:AW), IF(_xlpm.result=0,"",_xlpm.result))</f>
        <v/>
      </c>
      <c r="O232" s="2" t="str">
        <f>_xlfn.LET(_xlpm.result, _xlfn.XLOOKUP($A232,'EA-Fortescue_SDExport'!$A:$A,'EA-Fortescue_SDExport'!AV:AV), IF(_xlpm.result=0,"",_xlpm.result))</f>
        <v/>
      </c>
      <c r="P232" s="2" t="str">
        <f>_xlfn.LET(_xlpm.result, _xlfn.XLOOKUP($A232,'EA-Fortescue_SDExport'!$A:$A,'EA-Fortescue_SDExport'!D:D), IF(_xlpm.result=0,"",_xlpm.result))</f>
        <v/>
      </c>
      <c r="Q232" s="2" t="str">
        <f>_xlfn.LET(
    _xlpm.status, _xlfn.XLOOKUP($A232,'EA-ConnectorExport'!$A:$A,'EA-ConnectorExport'!G:G),
    _xlpm.result, _xlfn.XLOOKUP($A232,'EA-ConnectorExport'!$A:$A,'EA-ConnectorExport'!B:B),
    IF(_xlpm.status="allocate", _xlpm.result, "")
)</f>
        <v>Solomon Mine Hub: Substation (220kV)</v>
      </c>
      <c r="R232" s="2" t="str">
        <f>IF(
    _xlfn.XLOOKUP($Q232,'EA-Fortescue_SDExport'!A:A,'EA-Fortescue_SDExport'!B:B)="Object",
    _xlfn.XLOOKUP(
        _xlfn.XLOOKUP($A232,'EA-ConnectorExport'!A:A,'EA-ConnectorExport'!D:D),
        'EA-Fortescue_SDExport'!A:A,
        'EA-Fortescue_SDExport'!AA:AA
    ),
    _xlfn.XLOOKUP($Q232,'EA-Fortescue_SDExport'!A:A,'EA-Fortescue_SDExport'!AA:AA)
)</f>
        <v>Project</v>
      </c>
      <c r="S232" s="2" t="str">
        <f>_xlfn.LET(_xlpm.result, _xlfn.XLOOKUP($Q232,'EA-Fortescue_SDExport'!$A:$A,'EA-Fortescue_SDExport'!AB:AB), IF(_xlpm.result=0,"",_xlpm.result))</f>
        <v/>
      </c>
      <c r="T232" s="2" t="str">
        <f>_xlfn.LET(_xlpm.result, _xlfn.XLOOKUP($Q232,'EA-Fortescue_SDExport'!$A:$A,'EA-Fortescue_SDExport'!AC:AC), IF(_xlpm.result=0,"",_xlpm.result))</f>
        <v>Solomon Mine Hub</v>
      </c>
      <c r="U232" s="2" t="str">
        <f>_xlfn.LET(
    _xlpm.isObject, _xlfn.XLOOKUP($Q232,'EA-Fortescue_SDExport'!A:A,'EA-Fortescue_SDExport'!B:B),
    _xlpm.lookupKey, IF(_xlpm.isObject="Object",
        _xlfn.XLOOKUP($A232,'EA-ConnectorExport'!A:A,'EA-ConnectorExport'!D:D),
        $Q232
    ),
    _xlpm.result, _xlfn.XLOOKUP(_xlpm.lookupKey,'EA-Fortescue_SDExport'!A:A,'EA-Fortescue_SDExport'!AD:AD),
    IF(_xlpm.result=0,"",_xlpm.result)
)</f>
        <v>854DC Green Power</v>
      </c>
      <c r="V232" s="2" t="str">
        <f>_xlfn.LET(
    _xlpm.isObject, _xlfn.XLOOKUP($Q232,'EA-Fortescue_SDExport'!A:A,'EA-Fortescue_SDExport'!B:B),
    _xlpm.lookupKey, IF(_xlpm.isObject="Object",
        _xlfn.XLOOKUP($A232,'EA-ConnectorExport'!A:A,'EA-ConnectorExport'!D:D),
        $Q232
    ),
    _xlpm.result, _xlfn.XLOOKUP(_xlpm.lookupKey,'EA-Fortescue_SDExport'!A:A,'EA-Fortescue_SDExport'!AE:AE),
    IF(_xlpm.result=0,"",_xlpm.result)
)</f>
        <v>854DC-1521 HV Substations</v>
      </c>
      <c r="W232" s="2" t="str">
        <f>_xlfn.LET(
    _xlpm.isObject, _xlfn.XLOOKUP($Q232,'EA-Fortescue_SDExport'!A:A,'EA-Fortescue_SDExport'!B:B),
    _xlpm.lookupKey, IF(_xlpm.isObject="Object",
        _xlfn.XLOOKUP($A232,'EA-ConnectorExport'!A:A,'EA-ConnectorExport'!D:D),
        $Q232
    ),
    _xlpm.result, _xlfn.XLOOKUP(_xlpm.lookupKey,'EA-Fortescue_SDExport'!A:A,'EA-Fortescue_SDExport'!AF:AF),
    IF(_xlpm.result=0,"",_xlpm.result)
)</f>
        <v>854DC-1521-0004 Substation (220kV)</v>
      </c>
      <c r="X232" s="2" t="str">
        <f>_xlfn.LET(
    _xlpm.isObject, _xlfn.XLOOKUP($Q232,'EA-Fortescue_SDExport'!A:A,'EA-Fortescue_SDExport'!B:B),
    _xlpm.lookupKey, IF(_xlpm.isObject="Object",
        _xlfn.XLOOKUP($A232,'EA-ConnectorExport'!A:A,'EA-ConnectorExport'!D:D),
        $Q232
    ),
    _xlpm.result, _xlfn.XLOOKUP(_xlpm.lookupKey,'EA-Fortescue_SDExport'!A:A,'EA-Fortescue_SDExport'!AG:AG),
    IF(_xlpm.result=0,"",_xlpm.result)
)</f>
        <v/>
      </c>
      <c r="Y232" s="2" t="str">
        <f>_xlfn.LET(
    _xlpm.status, _xlfn.XLOOKUP($A232,'EA-ConnectorExport'!$A:$A,'EA-ConnectorExport'!G:G),
    _xlpm.result, _xlfn.XLOOKUP($A232,'EA-ConnectorExport'!$A:$A,'EA-ConnectorExport'!H:H),
    IF(_xlpm.status="allocate", _xlpm.result, "")
)</f>
        <v>855DC-1543-008 Monarch</v>
      </c>
      <c r="Z232" s="2" t="str">
        <f>_xlfn.LET(
    _xlpm.isObject, _xlfn.XLOOKUP($Y232,'EA-Fortescue_SDExport'!A:A,'EA-Fortescue_SDExport'!B:B),
    _xlpm.lookupKey, IF(_xlpm.isObject="Object",
        _xlfn.XLOOKUP($A232,'EA-ConnectorExport'!A:A,'EA-ConnectorExport'!J:J),
        $Y232
    ),
    _xlpm.result, _xlfn.XLOOKUP(_xlpm.lookupKey,'EA-Fortescue_SDExport'!A:A,'EA-Fortescue_SDExport'!AA:AA),
    IF(_xlpm.result=0,"",_xlpm.result)
)</f>
        <v>Project</v>
      </c>
      <c r="AA232" s="2" t="str">
        <f>_xlfn.LET(_xlpm.result, _xlfn.XLOOKUP($Y232,'EA-Fortescue_SDExport'!$A:$A,'EA-Fortescue_SDExport'!AB:AB), IF(_xlpm.result=0,"",_xlpm.result))</f>
        <v>Energy Operations</v>
      </c>
      <c r="AB232" s="2" t="str">
        <f>_xlfn.LET(_xlpm.result, _xlfn.XLOOKUP($Y232,'EA-Fortescue_SDExport'!$A:$A,'EA-Fortescue_SDExport'!AC:AC), IF(_xlpm.result=0,"",_xlpm.result))</f>
        <v/>
      </c>
      <c r="AC232" s="2" t="str">
        <f>_xlfn.LET(
    _xlpm.isObject, _xlfn.XLOOKUP($Y232,'EA-Fortescue_SDExport'!A:A,'EA-Fortescue_SDExport'!B:B),
    _xlpm.lookupKey, IF(_xlpm.isObject="Object",
        _xlfn.XLOOKUP($A232,'EA-ConnectorExport'!A:A,'EA-ConnectorExport'!J:J),
        $Y232
    ),
    _xlpm.result, _xlfn.XLOOKUP(_xlpm.lookupKey,'EA-Fortescue_SDExport'!A:A,'EA-Fortescue_SDExport'!AD:AD),
    IF(_xlpm.result=0,"",_xlpm.result)
)</f>
        <v>855DC Decarb Green Systems</v>
      </c>
      <c r="AD232" s="2" t="str">
        <f>_xlfn.LET(
    _xlpm.isObject, _xlfn.XLOOKUP($Y232,'EA-Fortescue_SDExport'!A:A,'EA-Fortescue_SDExport'!B:B),
    _xlpm.lookupKey, IF(_xlpm.isObject="Object",
        _xlfn.XLOOKUP($A232,'EA-ConnectorExport'!A:A,'EA-ConnectorExport'!J:J),
        $Y232
    ),
    _xlpm.result, _xlfn.XLOOKUP(_xlpm.lookupKey,'EA-Fortescue_SDExport'!A:A,'EA-Fortescue_SDExport'!AE:AE),
    IF(_xlpm.result=0,"",_xlpm.result)
)</f>
        <v>855DC-1543 Existing Systems - Green Enhancement</v>
      </c>
      <c r="AE232" s="2" t="str">
        <f>_xlfn.LET(
    _xlpm.isObject, _xlfn.XLOOKUP($Y232,'EA-Fortescue_SDExport'!A:A,'EA-Fortescue_SDExport'!B:B),
    _xlpm.lookupKey, IF(_xlpm.isObject="Object",
        _xlfn.XLOOKUP($A232,'EA-ConnectorExport'!A:A,'EA-ConnectorExport'!J:J),
        $Y232
    ),
    _xlpm.result, _xlfn.XLOOKUP(_xlpm.lookupKey,'EA-Fortescue_SDExport'!A:A,'EA-Fortescue_SDExport'!AF:AF),
    IF(_xlpm.result=0,"",_xlpm.result)
)</f>
        <v>855DC-1543-008 Monarch</v>
      </c>
      <c r="AF232" s="2" t="str">
        <f>_xlfn.LET(
    _xlpm.isObject, _xlfn.XLOOKUP($Y232,'EA-Fortescue_SDExport'!A:A,'EA-Fortescue_SDExport'!B:B),
    _xlpm.lookupKey, IF(_xlpm.isObject="Object",
        _xlfn.XLOOKUP($A232,'EA-ConnectorExport'!A:A,'EA-ConnectorExport'!J:J),
        $Y232
    ),
    _xlpm.result, _xlfn.XLOOKUP(_xlpm.lookupKey,'EA-Fortescue_SDExport'!A:A,'EA-Fortescue_SDExport'!AG:AG),
    IF(_xlpm.result=0,"",_xlpm.result)
)</f>
        <v/>
      </c>
    </row>
    <row r="233" spans="1:32" ht="30" x14ac:dyDescent="0.25">
      <c r="A233" s="2" t="str">
        <v>DGS-I_0232</v>
      </c>
      <c r="B233" s="2" t="str">
        <f t="shared" si="12"/>
        <v>Solomon Mine Hub: Substation (33kV)|Solomon Mine Hub: Field Switches</v>
      </c>
      <c r="C233" s="2" t="str">
        <f>_xlfn.LET(_xlpm.result, _xlfn.XLOOKUP(A233,'EA-Fortescue_SDExport'!A:A,'EA-Fortescue_SDExport'!AM:AM), IF(_xlpm.result=0,"",_xlpm.result))</f>
        <v/>
      </c>
      <c r="D233" s="2" t="str">
        <f>_xlfn.LET(_xlpm.result, _xlfn.XLOOKUP(A233,'EA-Fortescue_SDExport'!A:A,'EA-Fortescue_SDExport'!AN:AN), IF(_xlpm.result=0,"",_xlpm.result))</f>
        <v/>
      </c>
      <c r="E233" s="2" t="str">
        <f>_xlfn.XLOOKUP(R233&amp;Z233,Lookups!A:A,Lookups!B:B)</f>
        <v>System - Project Interface</v>
      </c>
      <c r="F233" s="2" t="str">
        <f>_xlfn.LET(_xlpm.result, _xlfn.XLOOKUP(A233,'EA-Fortescue_SDExport'!A:A,'EA-Fortescue_SDExport'!AP:AP), IF(_xlpm.result=0,"",_xlpm.result))</f>
        <v/>
      </c>
      <c r="G233" s="2" t="str">
        <f>IF(OR(AND(T233&lt;&gt;"", COUNTIF(Lookups!J:J, "*"&amp;T233&amp;"*")&gt;0), AND(AB233&lt;&gt;"", COUNTIF(Lookups!J:J, "*"&amp;AB233&amp;"*")&gt;0)), "Yes", "No")</f>
        <v>Yes</v>
      </c>
      <c r="H233" s="2" t="str">
        <f t="shared" si="13"/>
        <v>854DC Green Power|850DC Decarb Infrastructure</v>
      </c>
      <c r="I233" s="2" t="str">
        <f t="shared" si="14"/>
        <v>854DC-1521 HV Substations|850DC-1522 Field Switches</v>
      </c>
      <c r="J233" s="2" t="str">
        <f t="shared" si="15"/>
        <v>854DC-1521-0001 Substation (33kV)|N/A</v>
      </c>
      <c r="K233" s="2" t="str">
        <f>_xlfn.XLOOKUP(A233,'EA-Fortescue_SDExport'!A:A,'EA-Fortescue_SDExport'!N:N)</f>
        <v>Proposed</v>
      </c>
      <c r="L233" s="2" t="str">
        <f>_xlfn.LET(_xlpm.result, _xlfn.XLOOKUP($A233,'EA-Fortescue_SDExport'!$A:$A,'EA-Fortescue_SDExport'!AQ:AQ), IF(_xlpm.result=0,"",_xlpm.result))</f>
        <v/>
      </c>
      <c r="M233" s="2" t="str">
        <f>_xlfn.LET(_xlpm.result, _xlfn.XLOOKUP($A233,'EA-Fortescue_SDExport'!$A:$A,'EA-Fortescue_SDExport'!AR:AR), IF(_xlpm.result=0,"",_xlpm.result))</f>
        <v/>
      </c>
      <c r="N233" s="2" t="str">
        <f>_xlfn.LET(_xlpm.result, _xlfn.XLOOKUP($A233,'EA-Fortescue_SDExport'!$A:$A,'EA-Fortescue_SDExport'!AW:AW), IF(_xlpm.result=0,"",_xlpm.result))</f>
        <v/>
      </c>
      <c r="O233" s="2" t="str">
        <f>_xlfn.LET(_xlpm.result, _xlfn.XLOOKUP($A233,'EA-Fortescue_SDExport'!$A:$A,'EA-Fortescue_SDExport'!AV:AV), IF(_xlpm.result=0,"",_xlpm.result))</f>
        <v/>
      </c>
      <c r="P233" s="2" t="str">
        <f>_xlfn.LET(_xlpm.result, _xlfn.XLOOKUP($A233,'EA-Fortescue_SDExport'!$A:$A,'EA-Fortescue_SDExport'!D:D), IF(_xlpm.result=0,"",_xlpm.result))</f>
        <v/>
      </c>
      <c r="Q233" s="2" t="str">
        <f>_xlfn.LET(
    _xlpm.status, _xlfn.XLOOKUP($A233,'EA-ConnectorExport'!$A:$A,'EA-ConnectorExport'!G:G),
    _xlpm.result, _xlfn.XLOOKUP($A233,'EA-ConnectorExport'!$A:$A,'EA-ConnectorExport'!B:B),
    IF(_xlpm.status="allocate", _xlpm.result, "")
)</f>
        <v>Solomon Mine Hub: Substation (33kV)</v>
      </c>
      <c r="R233" s="2" t="str">
        <f>IF(
    _xlfn.XLOOKUP($Q233,'EA-Fortescue_SDExport'!A:A,'EA-Fortescue_SDExport'!B:B)="Object",
    _xlfn.XLOOKUP(
        _xlfn.XLOOKUP($A233,'EA-ConnectorExport'!A:A,'EA-ConnectorExport'!D:D),
        'EA-Fortescue_SDExport'!A:A,
        'EA-Fortescue_SDExport'!AA:AA
    ),
    _xlfn.XLOOKUP($Q233,'EA-Fortescue_SDExport'!A:A,'EA-Fortescue_SDExport'!AA:AA)
)</f>
        <v>Project</v>
      </c>
      <c r="S233" s="2" t="str">
        <f>_xlfn.LET(_xlpm.result, _xlfn.XLOOKUP($Q233,'EA-Fortescue_SDExport'!$A:$A,'EA-Fortescue_SDExport'!AB:AB), IF(_xlpm.result=0,"",_xlpm.result))</f>
        <v/>
      </c>
      <c r="T233" s="2" t="str">
        <f>_xlfn.LET(_xlpm.result, _xlfn.XLOOKUP($Q233,'EA-Fortescue_SDExport'!$A:$A,'EA-Fortescue_SDExport'!AC:AC), IF(_xlpm.result=0,"",_xlpm.result))</f>
        <v>Solomon Mine Hub</v>
      </c>
      <c r="U233" s="2" t="str">
        <f>_xlfn.LET(
    _xlpm.isObject, _xlfn.XLOOKUP($Q233,'EA-Fortescue_SDExport'!A:A,'EA-Fortescue_SDExport'!B:B),
    _xlpm.lookupKey, IF(_xlpm.isObject="Object",
        _xlfn.XLOOKUP($A233,'EA-ConnectorExport'!A:A,'EA-ConnectorExport'!D:D),
        $Q233
    ),
    _xlpm.result, _xlfn.XLOOKUP(_xlpm.lookupKey,'EA-Fortescue_SDExport'!A:A,'EA-Fortescue_SDExport'!AD:AD),
    IF(_xlpm.result=0,"",_xlpm.result)
)</f>
        <v>854DC Green Power</v>
      </c>
      <c r="V233" s="2" t="str">
        <f>_xlfn.LET(
    _xlpm.isObject, _xlfn.XLOOKUP($Q233,'EA-Fortescue_SDExport'!A:A,'EA-Fortescue_SDExport'!B:B),
    _xlpm.lookupKey, IF(_xlpm.isObject="Object",
        _xlfn.XLOOKUP($A233,'EA-ConnectorExport'!A:A,'EA-ConnectorExport'!D:D),
        $Q233
    ),
    _xlpm.result, _xlfn.XLOOKUP(_xlpm.lookupKey,'EA-Fortescue_SDExport'!A:A,'EA-Fortescue_SDExport'!AE:AE),
    IF(_xlpm.result=0,"",_xlpm.result)
)</f>
        <v>854DC-1521 HV Substations</v>
      </c>
      <c r="W233" s="2" t="str">
        <f>_xlfn.LET(
    _xlpm.isObject, _xlfn.XLOOKUP($Q233,'EA-Fortescue_SDExport'!A:A,'EA-Fortescue_SDExport'!B:B),
    _xlpm.lookupKey, IF(_xlpm.isObject="Object",
        _xlfn.XLOOKUP($A233,'EA-ConnectorExport'!A:A,'EA-ConnectorExport'!D:D),
        $Q233
    ),
    _xlpm.result, _xlfn.XLOOKUP(_xlpm.lookupKey,'EA-Fortescue_SDExport'!A:A,'EA-Fortescue_SDExport'!AF:AF),
    IF(_xlpm.result=0,"",_xlpm.result)
)</f>
        <v>854DC-1521-0001 Substation (33kV)</v>
      </c>
      <c r="X233" s="2" t="str">
        <f>_xlfn.LET(
    _xlpm.isObject, _xlfn.XLOOKUP($Q233,'EA-Fortescue_SDExport'!A:A,'EA-Fortescue_SDExport'!B:B),
    _xlpm.lookupKey, IF(_xlpm.isObject="Object",
        _xlfn.XLOOKUP($A233,'EA-ConnectorExport'!A:A,'EA-ConnectorExport'!D:D),
        $Q233
    ),
    _xlpm.result, _xlfn.XLOOKUP(_xlpm.lookupKey,'EA-Fortescue_SDExport'!A:A,'EA-Fortescue_SDExport'!AG:AG),
    IF(_xlpm.result=0,"",_xlpm.result)
)</f>
        <v/>
      </c>
      <c r="Y233" s="2" t="str">
        <f>_xlfn.LET(
    _xlpm.status, _xlfn.XLOOKUP($A233,'EA-ConnectorExport'!$A:$A,'EA-ConnectorExport'!G:G),
    _xlpm.result, _xlfn.XLOOKUP($A233,'EA-ConnectorExport'!$A:$A,'EA-ConnectorExport'!H:H),
    IF(_xlpm.status="allocate", _xlpm.result, "")
)</f>
        <v>Solomon Mine Hub: Field Switches</v>
      </c>
      <c r="Z233" s="2" t="str">
        <f>_xlfn.LET(
    _xlpm.isObject, _xlfn.XLOOKUP($Y233,'EA-Fortescue_SDExport'!A:A,'EA-Fortescue_SDExport'!B:B),
    _xlpm.lookupKey, IF(_xlpm.isObject="Object",
        _xlfn.XLOOKUP($A233,'EA-ConnectorExport'!A:A,'EA-ConnectorExport'!J:J),
        $Y233
    ),
    _xlpm.result, _xlfn.XLOOKUP(_xlpm.lookupKey,'EA-Fortescue_SDExport'!A:A,'EA-Fortescue_SDExport'!AA:AA),
    IF(_xlpm.result=0,"",_xlpm.result)
)</f>
        <v>System</v>
      </c>
      <c r="AA233" s="2" t="str">
        <f>_xlfn.LET(_xlpm.result, _xlfn.XLOOKUP($Y233,'EA-Fortescue_SDExport'!$A:$A,'EA-Fortescue_SDExport'!AB:AB), IF(_xlpm.result=0,"",_xlpm.result))</f>
        <v/>
      </c>
      <c r="AB233" s="2" t="str">
        <f>_xlfn.LET(_xlpm.result, _xlfn.XLOOKUP($Y233,'EA-Fortescue_SDExport'!$A:$A,'EA-Fortescue_SDExport'!AC:AC), IF(_xlpm.result=0,"",_xlpm.result))</f>
        <v>Solomon Mine Hub</v>
      </c>
      <c r="AC233" s="2" t="str">
        <f>_xlfn.LET(
    _xlpm.isObject, _xlfn.XLOOKUP($Y233,'EA-Fortescue_SDExport'!A:A,'EA-Fortescue_SDExport'!B:B),
    _xlpm.lookupKey, IF(_xlpm.isObject="Object",
        _xlfn.XLOOKUP($A233,'EA-ConnectorExport'!A:A,'EA-ConnectorExport'!J:J),
        $Y233
    ),
    _xlpm.result, _xlfn.XLOOKUP(_xlpm.lookupKey,'EA-Fortescue_SDExport'!A:A,'EA-Fortescue_SDExport'!AD:AD),
    IF(_xlpm.result=0,"",_xlpm.result)
)</f>
        <v>850DC Decarb Infrastructure</v>
      </c>
      <c r="AD233" s="2" t="str">
        <f>_xlfn.LET(
    _xlpm.isObject, _xlfn.XLOOKUP($Y233,'EA-Fortescue_SDExport'!A:A,'EA-Fortescue_SDExport'!B:B),
    _xlpm.lookupKey, IF(_xlpm.isObject="Object",
        _xlfn.XLOOKUP($A233,'EA-ConnectorExport'!A:A,'EA-ConnectorExport'!J:J),
        $Y233
    ),
    _xlpm.result, _xlfn.XLOOKUP(_xlpm.lookupKey,'EA-Fortescue_SDExport'!A:A,'EA-Fortescue_SDExport'!AE:AE),
    IF(_xlpm.result=0,"",_xlpm.result)
)</f>
        <v>850DC-1522 Field Switches</v>
      </c>
      <c r="AE233" s="2" t="str">
        <f>_xlfn.LET(
    _xlpm.isObject, _xlfn.XLOOKUP($Y233,'EA-Fortescue_SDExport'!A:A,'EA-Fortescue_SDExport'!B:B),
    _xlpm.lookupKey, IF(_xlpm.isObject="Object",
        _xlfn.XLOOKUP($A233,'EA-ConnectorExport'!A:A,'EA-ConnectorExport'!J:J),
        $Y233
    ),
    _xlpm.result, _xlfn.XLOOKUP(_xlpm.lookupKey,'EA-Fortescue_SDExport'!A:A,'EA-Fortescue_SDExport'!AF:AF),
    IF(_xlpm.result=0,"",_xlpm.result)
)</f>
        <v/>
      </c>
      <c r="AF233" s="2" t="str">
        <f>_xlfn.LET(
    _xlpm.isObject, _xlfn.XLOOKUP($Y233,'EA-Fortescue_SDExport'!A:A,'EA-Fortescue_SDExport'!B:B),
    _xlpm.lookupKey, IF(_xlpm.isObject="Object",
        _xlfn.XLOOKUP($A233,'EA-ConnectorExport'!A:A,'EA-ConnectorExport'!J:J),
        $Y233
    ),
    _xlpm.result, _xlfn.XLOOKUP(_xlpm.lookupKey,'EA-Fortescue_SDExport'!A:A,'EA-Fortescue_SDExport'!AG:AG),
    IF(_xlpm.result=0,"",_xlpm.result)
)</f>
        <v/>
      </c>
    </row>
    <row r="234" spans="1:32" ht="240" x14ac:dyDescent="0.25">
      <c r="A234" s="2" t="str">
        <v>DGS-I_0233</v>
      </c>
      <c r="B234" s="2" t="str">
        <f t="shared" si="12"/>
        <v>Solomon Mine Hub: Substation (33kV)|855DC-1542-CSM-002 vCharM.Edge</v>
      </c>
      <c r="C234" s="2" t="str">
        <f>_xlfn.LET(_xlpm.result, _xlfn.XLOOKUP(A234,'EA-Fortescue_SDExport'!A:A,'EA-Fortescue_SDExport'!AM:AM), IF(_xlpm.result=0,"",_xlpm.result))</f>
        <v/>
      </c>
      <c r="D234" s="2" t="str">
        <f>_xlfn.LET(_xlpm.result, _xlfn.XLOOKUP(A234,'EA-Fortescue_SDExport'!A:A,'EA-Fortescue_SDExport'!AN:AN), IF(_xlpm.result=0,"",_xlpm.result))</f>
        <v/>
      </c>
      <c r="E234" s="2" t="str">
        <f>_xlfn.XLOOKUP(R234&amp;Z234,Lookups!A:A,Lookups!B:B)</f>
        <v>Project - Subsystem Interface</v>
      </c>
      <c r="F234" s="2" t="str">
        <f>_xlfn.LET(_xlpm.result, _xlfn.XLOOKUP(A234,'EA-Fortescue_SDExport'!A:A,'EA-Fortescue_SDExport'!AP:AP), IF(_xlpm.result=0,"",_xlpm.result))</f>
        <v>Technical-Electrical</v>
      </c>
      <c r="G234" s="2" t="str">
        <f>IF(OR(AND(T234&lt;&gt;"", COUNTIF(Lookups!J:J, "*"&amp;T234&amp;"*")&gt;0), AND(AB234&lt;&gt;"", COUNTIF(Lookups!J:J, "*"&amp;AB234&amp;"*")&gt;0)), "Yes", "No")</f>
        <v>Yes</v>
      </c>
      <c r="H234" s="2" t="str">
        <f t="shared" si="13"/>
        <v>854DC Green Power|855DC Decarb Green Systems</v>
      </c>
      <c r="I234" s="2" t="str">
        <f t="shared" si="14"/>
        <v>854DC-1521 HV Substations|855DC-1542 Control &amp; Monitoring Systems</v>
      </c>
      <c r="J234" s="2" t="str">
        <f t="shared" si="15"/>
        <v>854DC-1521-0001 Substation (33kV)|855DC-1542-CSM Charge Station Management System (CSMS)</v>
      </c>
      <c r="K234" s="2" t="str">
        <f>_xlfn.XLOOKUP(A234,'EA-Fortescue_SDExport'!A:A,'EA-Fortescue_SDExport'!N:N)</f>
        <v>Proposed</v>
      </c>
      <c r="L234" s="2" t="str">
        <f>_xlfn.LET(_xlpm.result, _xlfn.XLOOKUP($A234,'EA-Fortescue_SDExport'!$A:$A,'EA-Fortescue_SDExport'!AQ:AQ), IF(_xlpm.result=0,"",_xlpm.result))</f>
        <v>This interface supplies vCharM.Edge with power status and energisation information from the Solomon Hub 33kV substation to safely manage local HME charging operations.</v>
      </c>
      <c r="M234" s="2" t="str">
        <f>_xlfn.LET(_xlpm.result, _xlfn.XLOOKUP($A234,'EA-Fortescue_SDExport'!$A:$A,'EA-Fortescue_SDExport'!AR:AR), IF(_xlpm.result=0,"",_xlpm.result))</f>
        <v>HIGH</v>
      </c>
      <c r="N234" s="2" t="str">
        <f>_xlfn.LET(_xlpm.result, _xlfn.XLOOKUP($A234,'EA-Fortescue_SDExport'!$A:$A,'EA-Fortescue_SDExport'!AW:AW), IF(_xlpm.result=0,"",_xlpm.result))</f>
        <v>The criticality level is HIGH because substation visibility is essential for ensuring chargers receive stable power and that fault or outage conditions can be managed safely. Loss of substation data risks unsafe charging conditions or unexpected outages that directly impact fleet charging availability.</v>
      </c>
      <c r="O234" s="2" t="str">
        <f>_xlfn.LET(_xlpm.result, _xlfn.XLOOKUP($A234,'EA-Fortescue_SDExport'!$A:$A,'EA-Fortescue_SDExport'!AV:AV), IF(_xlpm.result=0,"",_xlpm.result))</f>
        <v>Data Flow:_x000D_
33 kV Substation (854DC-1521-0001) -&gt; vCharM.Edge / CSMS (855DC-1542-CSM), transmitting breaker status, energisation state, feeder availability, transformer loading, voltage and current measurements, alarms, and fault indications to confirm charger power availability and network health._x000D_
Control / Coordination Flow:_x000D_
vCharM.Edge / CSMS -&gt; Charging Infrastructure, using validated substation status to enable or inhibit charger energisation, manage load allocation, and coordinate safe plug-in and charging sequences for HME units.</v>
      </c>
      <c r="P234" s="2" t="str">
        <f>_xlfn.LET(_xlpm.result, _xlfn.XLOOKUP($A234,'EA-Fortescue_SDExport'!$A:$A,'EA-Fortescue_SDExport'!D:D), IF(_xlpm.result=0,"",_xlpm.result))</f>
        <v>From DGS-I_0146 (interface with generic Substation (33kV)): CSMS Review 30/10/2025: Potential measuring from 132kv. Dynamic load management function._x000D_
NH 20/02/2026: Fields updated: Interface Type, Interface Flow.</v>
      </c>
      <c r="Q234" s="2" t="str">
        <f>_xlfn.LET(
    _xlpm.status, _xlfn.XLOOKUP($A234,'EA-ConnectorExport'!$A:$A,'EA-ConnectorExport'!G:G),
    _xlpm.result, _xlfn.XLOOKUP($A234,'EA-ConnectorExport'!$A:$A,'EA-ConnectorExport'!B:B),
    IF(_xlpm.status="allocate", _xlpm.result, "")
)</f>
        <v>Solomon Mine Hub: Substation (33kV)</v>
      </c>
      <c r="R234" s="2" t="str">
        <f>IF(
    _xlfn.XLOOKUP($Q234,'EA-Fortescue_SDExport'!A:A,'EA-Fortescue_SDExport'!B:B)="Object",
    _xlfn.XLOOKUP(
        _xlfn.XLOOKUP($A234,'EA-ConnectorExport'!A:A,'EA-ConnectorExport'!D:D),
        'EA-Fortescue_SDExport'!A:A,
        'EA-Fortescue_SDExport'!AA:AA
    ),
    _xlfn.XLOOKUP($Q234,'EA-Fortescue_SDExport'!A:A,'EA-Fortescue_SDExport'!AA:AA)
)</f>
        <v>Project</v>
      </c>
      <c r="S234" s="2" t="str">
        <f>_xlfn.LET(_xlpm.result, _xlfn.XLOOKUP($Q234,'EA-Fortescue_SDExport'!$A:$A,'EA-Fortescue_SDExport'!AB:AB), IF(_xlpm.result=0,"",_xlpm.result))</f>
        <v/>
      </c>
      <c r="T234" s="2" t="str">
        <f>_xlfn.LET(_xlpm.result, _xlfn.XLOOKUP($Q234,'EA-Fortescue_SDExport'!$A:$A,'EA-Fortescue_SDExport'!AC:AC), IF(_xlpm.result=0,"",_xlpm.result))</f>
        <v>Solomon Mine Hub</v>
      </c>
      <c r="U234" s="2" t="str">
        <f>_xlfn.LET(
    _xlpm.isObject, _xlfn.XLOOKUP($Q234,'EA-Fortescue_SDExport'!A:A,'EA-Fortescue_SDExport'!B:B),
    _xlpm.lookupKey, IF(_xlpm.isObject="Object",
        _xlfn.XLOOKUP($A234,'EA-ConnectorExport'!A:A,'EA-ConnectorExport'!D:D),
        $Q234
    ),
    _xlpm.result, _xlfn.XLOOKUP(_xlpm.lookupKey,'EA-Fortescue_SDExport'!A:A,'EA-Fortescue_SDExport'!AD:AD),
    IF(_xlpm.result=0,"",_xlpm.result)
)</f>
        <v>854DC Green Power</v>
      </c>
      <c r="V234" s="2" t="str">
        <f>_xlfn.LET(
    _xlpm.isObject, _xlfn.XLOOKUP($Q234,'EA-Fortescue_SDExport'!A:A,'EA-Fortescue_SDExport'!B:B),
    _xlpm.lookupKey, IF(_xlpm.isObject="Object",
        _xlfn.XLOOKUP($A234,'EA-ConnectorExport'!A:A,'EA-ConnectorExport'!D:D),
        $Q234
    ),
    _xlpm.result, _xlfn.XLOOKUP(_xlpm.lookupKey,'EA-Fortescue_SDExport'!A:A,'EA-Fortescue_SDExport'!AE:AE),
    IF(_xlpm.result=0,"",_xlpm.result)
)</f>
        <v>854DC-1521 HV Substations</v>
      </c>
      <c r="W234" s="2" t="str">
        <f>_xlfn.LET(
    _xlpm.isObject, _xlfn.XLOOKUP($Q234,'EA-Fortescue_SDExport'!A:A,'EA-Fortescue_SDExport'!B:B),
    _xlpm.lookupKey, IF(_xlpm.isObject="Object",
        _xlfn.XLOOKUP($A234,'EA-ConnectorExport'!A:A,'EA-ConnectorExport'!D:D),
        $Q234
    ),
    _xlpm.result, _xlfn.XLOOKUP(_xlpm.lookupKey,'EA-Fortescue_SDExport'!A:A,'EA-Fortescue_SDExport'!AF:AF),
    IF(_xlpm.result=0,"",_xlpm.result)
)</f>
        <v>854DC-1521-0001 Substation (33kV)</v>
      </c>
      <c r="X234" s="2" t="str">
        <f>_xlfn.LET(
    _xlpm.isObject, _xlfn.XLOOKUP($Q234,'EA-Fortescue_SDExport'!A:A,'EA-Fortescue_SDExport'!B:B),
    _xlpm.lookupKey, IF(_xlpm.isObject="Object",
        _xlfn.XLOOKUP($A234,'EA-ConnectorExport'!A:A,'EA-ConnectorExport'!D:D),
        $Q234
    ),
    _xlpm.result, _xlfn.XLOOKUP(_xlpm.lookupKey,'EA-Fortescue_SDExport'!A:A,'EA-Fortescue_SDExport'!AG:AG),
    IF(_xlpm.result=0,"",_xlpm.result)
)</f>
        <v/>
      </c>
      <c r="Y234" s="2" t="str">
        <f>_xlfn.LET(
    _xlpm.status, _xlfn.XLOOKUP($A234,'EA-ConnectorExport'!$A:$A,'EA-ConnectorExport'!G:G),
    _xlpm.result, _xlfn.XLOOKUP($A234,'EA-ConnectorExport'!$A:$A,'EA-ConnectorExport'!H:H),
    IF(_xlpm.status="allocate", _xlpm.result, "")
)</f>
        <v>855DC-1542-CSM-002 vCharM.Edge</v>
      </c>
      <c r="Z234" s="2" t="str">
        <f>_xlfn.LET(
    _xlpm.isObject, _xlfn.XLOOKUP($Y234,'EA-Fortescue_SDExport'!A:A,'EA-Fortescue_SDExport'!B:B),
    _xlpm.lookupKey, IF(_xlpm.isObject="Object",
        _xlfn.XLOOKUP($A234,'EA-ConnectorExport'!A:A,'EA-ConnectorExport'!J:J),
        $Y234
    ),
    _xlpm.result, _xlfn.XLOOKUP(_xlpm.lookupKey,'EA-Fortescue_SDExport'!A:A,'EA-Fortescue_SDExport'!AA:AA),
    IF(_xlpm.result=0,"",_xlpm.result)
)</f>
        <v>Subsystem</v>
      </c>
      <c r="AA234" s="2" t="str">
        <f>_xlfn.LET(_xlpm.result, _xlfn.XLOOKUP($Y234,'EA-Fortescue_SDExport'!$A:$A,'EA-Fortescue_SDExport'!AB:AB), IF(_xlpm.result=0,"",_xlpm.result))</f>
        <v/>
      </c>
      <c r="AB234" s="2" t="str">
        <f>_xlfn.LET(_xlpm.result, _xlfn.XLOOKUP($Y234,'EA-Fortescue_SDExport'!$A:$A,'EA-Fortescue_SDExport'!AC:AC), IF(_xlpm.result=0,"",_xlpm.result))</f>
        <v/>
      </c>
      <c r="AC234" s="2" t="str">
        <f>_xlfn.LET(
    _xlpm.isObject, _xlfn.XLOOKUP($Y234,'EA-Fortescue_SDExport'!A:A,'EA-Fortescue_SDExport'!B:B),
    _xlpm.lookupKey, IF(_xlpm.isObject="Object",
        _xlfn.XLOOKUP($A234,'EA-ConnectorExport'!A:A,'EA-ConnectorExport'!J:J),
        $Y234
    ),
    _xlpm.result, _xlfn.XLOOKUP(_xlpm.lookupKey,'EA-Fortescue_SDExport'!A:A,'EA-Fortescue_SDExport'!AD:AD),
    IF(_xlpm.result=0,"",_xlpm.result)
)</f>
        <v>855DC Decarb Green Systems</v>
      </c>
      <c r="AD234" s="2" t="str">
        <f>_xlfn.LET(
    _xlpm.isObject, _xlfn.XLOOKUP($Y234,'EA-Fortescue_SDExport'!A:A,'EA-Fortescue_SDExport'!B:B),
    _xlpm.lookupKey, IF(_xlpm.isObject="Object",
        _xlfn.XLOOKUP($A234,'EA-ConnectorExport'!A:A,'EA-ConnectorExport'!J:J),
        $Y234
    ),
    _xlpm.result, _xlfn.XLOOKUP(_xlpm.lookupKey,'EA-Fortescue_SDExport'!A:A,'EA-Fortescue_SDExport'!AE:AE),
    IF(_xlpm.result=0,"",_xlpm.result)
)</f>
        <v>855DC-1542 Control &amp; Monitoring Systems</v>
      </c>
      <c r="AE234" s="2" t="str">
        <f>_xlfn.LET(
    _xlpm.isObject, _xlfn.XLOOKUP($Y234,'EA-Fortescue_SDExport'!A:A,'EA-Fortescue_SDExport'!B:B),
    _xlpm.lookupKey, IF(_xlpm.isObject="Object",
        _xlfn.XLOOKUP($A234,'EA-ConnectorExport'!A:A,'EA-ConnectorExport'!J:J),
        $Y234
    ),
    _xlpm.result, _xlfn.XLOOKUP(_xlpm.lookupKey,'EA-Fortescue_SDExport'!A:A,'EA-Fortescue_SDExport'!AF:AF),
    IF(_xlpm.result=0,"",_xlpm.result)
)</f>
        <v>855DC-1542-CSM Charge Station Management System (CSMS)</v>
      </c>
      <c r="AF234" s="2" t="str">
        <f>_xlfn.LET(
    _xlpm.isObject, _xlfn.XLOOKUP($Y234,'EA-Fortescue_SDExport'!A:A,'EA-Fortescue_SDExport'!B:B),
    _xlpm.lookupKey, IF(_xlpm.isObject="Object",
        _xlfn.XLOOKUP($A234,'EA-ConnectorExport'!A:A,'EA-ConnectorExport'!J:J),
        $Y234
    ),
    _xlpm.result, _xlfn.XLOOKUP(_xlpm.lookupKey,'EA-Fortescue_SDExport'!A:A,'EA-Fortescue_SDExport'!AG:AG),
    IF(_xlpm.result=0,"",_xlpm.result)
)</f>
        <v>855DC-1542-CSM-002 vCharM.Edge</v>
      </c>
    </row>
    <row r="235" spans="1:32" ht="300" x14ac:dyDescent="0.25">
      <c r="A235" s="2" t="str">
        <v>DGS-I_0234</v>
      </c>
      <c r="B235" s="2" t="str">
        <f t="shared" si="12"/>
        <v>Solomon Mine Hub: Substation (33kV)|005OP-0000-017 Ignition</v>
      </c>
      <c r="C235" s="2" t="str">
        <f>_xlfn.LET(_xlpm.result, _xlfn.XLOOKUP(A235,'EA-Fortescue_SDExport'!A:A,'EA-Fortescue_SDExport'!AM:AM), IF(_xlpm.result=0,"",_xlpm.result))</f>
        <v/>
      </c>
      <c r="D235" s="2" t="str">
        <f>_xlfn.LET(_xlpm.result, _xlfn.XLOOKUP(A235,'EA-Fortescue_SDExport'!A:A,'EA-Fortescue_SDExport'!AN:AN), IF(_xlpm.result=0,"",_xlpm.result))</f>
        <v/>
      </c>
      <c r="E235" s="2" t="str">
        <f>_xlfn.XLOOKUP(R235&amp;Z235,Lookups!A:A,Lookups!B:B)</f>
        <v>Project - Project Interface</v>
      </c>
      <c r="F235" s="2" t="str">
        <f>_xlfn.LET(_xlpm.result, _xlfn.XLOOKUP(A235,'EA-Fortescue_SDExport'!A:A,'EA-Fortescue_SDExport'!AP:AP), IF(_xlpm.result=0,"",_xlpm.result))</f>
        <v>Technical-Electrical</v>
      </c>
      <c r="G235" s="2" t="str">
        <f>IF(OR(AND(T235&lt;&gt;"", COUNTIF(Lookups!J:J, "*"&amp;T235&amp;"*")&gt;0), AND(AB235&lt;&gt;"", COUNTIF(Lookups!J:J, "*"&amp;AB235&amp;"*")&gt;0)), "Yes", "No")</f>
        <v>Yes</v>
      </c>
      <c r="H235" s="2" t="str">
        <f t="shared" si="13"/>
        <v>854DC Green Power|005OP IT/OT Systems</v>
      </c>
      <c r="I235" s="2" t="str">
        <f t="shared" si="14"/>
        <v>854DC-1521 HV Substations|N/A</v>
      </c>
      <c r="J235" s="2" t="str">
        <f t="shared" si="15"/>
        <v>854DC-1521-0001 Substation (33kV)|005OP-0000-017 Ignition</v>
      </c>
      <c r="K235" s="2" t="str">
        <f>_xlfn.XLOOKUP(A235,'EA-Fortescue_SDExport'!A:A,'EA-Fortescue_SDExport'!N:N)</f>
        <v>Proposed</v>
      </c>
      <c r="L235" s="2" t="str">
        <f>_xlfn.LET(_xlpm.result, _xlfn.XLOOKUP($A235,'EA-Fortescue_SDExport'!$A:$A,'EA-Fortescue_SDExport'!AQ:AQ), IF(_xlpm.result=0,"",_xlpm.result))</f>
        <v>This interface connects the Solomon 33kV substation to Ignition SCADA so operators can monitor its condition, alarms, and switching states.</v>
      </c>
      <c r="M235" s="2" t="str">
        <f>_xlfn.LET(_xlpm.result, _xlfn.XLOOKUP($A235,'EA-Fortescue_SDExport'!$A:$A,'EA-Fortescue_SDExport'!AR:AR), IF(_xlpm.result=0,"",_xlpm.result))</f>
        <v>HIGH</v>
      </c>
      <c r="N235" s="2" t="str">
        <f>_xlfn.LET(_xlpm.result, _xlfn.XLOOKUP($A235,'EA-Fortescue_SDExport'!$A:$A,'EA-Fortescue_SDExport'!AW:AW), IF(_xlpm.result=0,"",_xlpm.result))</f>
        <v>The criticality level is HIGH because substations are essential parts of the HV network, and SCADA visibility is vital for safe electrical operations, quick fault isolation, and maintaining stable power supplies. Without this interface, operators lose real-time awareness of substation conditions, which raises the risk of prolonged outages or unsafe handling of electrical faults.</v>
      </c>
      <c r="O235" s="2" t="str">
        <f>_xlfn.LET(_xlpm.result, _xlfn.XLOOKUP($A235,'EA-Fortescue_SDExport'!$A:$A,'EA-Fortescue_SDExport'!AV:AV), IF(_xlpm.result=0,"",_xlpm.result))</f>
        <v>Data Flow:_x000D_
33 kV Substation (854DC-1521-0001) -&gt; Ignition SCADA (005OP-0000-017), transmitting breaker and isolator status, busbar configuration, transformer loading, feeder status, voltage and current measurements, protection relay indications, alarms, and fault events to provide real-time operational visibility of the 33 kV network._x000D_
Control Flow:_x000D_
Ignition SCADA -&gt; 33 kV Substation, issuing remote switching commands, breaker open/close instructions, reset signals, and load transfer commands to enable safe isolation, alarm response, and coordinated network operations.</v>
      </c>
      <c r="P235" s="2" t="str">
        <f>_xlfn.LET(_xlpm.result, _xlfn.XLOOKUP($A235,'EA-Fortescue_SDExport'!$A:$A,'EA-Fortescue_SDExport'!D:D), IF(_xlpm.result=0,"",_xlpm.result))</f>
        <v>NH 20/02/2026: Fields updated: Interface Type, Interface Flow.</v>
      </c>
      <c r="Q235" s="2" t="str">
        <f>_xlfn.LET(
    _xlpm.status, _xlfn.XLOOKUP($A235,'EA-ConnectorExport'!$A:$A,'EA-ConnectorExport'!G:G),
    _xlpm.result, _xlfn.XLOOKUP($A235,'EA-ConnectorExport'!$A:$A,'EA-ConnectorExport'!B:B),
    IF(_xlpm.status="allocate", _xlpm.result, "")
)</f>
        <v>Solomon Mine Hub: Substation (33kV)</v>
      </c>
      <c r="R235" s="2" t="str">
        <f>IF(
    _xlfn.XLOOKUP($Q235,'EA-Fortescue_SDExport'!A:A,'EA-Fortescue_SDExport'!B:B)="Object",
    _xlfn.XLOOKUP(
        _xlfn.XLOOKUP($A235,'EA-ConnectorExport'!A:A,'EA-ConnectorExport'!D:D),
        'EA-Fortescue_SDExport'!A:A,
        'EA-Fortescue_SDExport'!AA:AA
    ),
    _xlfn.XLOOKUP($Q235,'EA-Fortescue_SDExport'!A:A,'EA-Fortescue_SDExport'!AA:AA)
)</f>
        <v>Project</v>
      </c>
      <c r="S235" s="2" t="str">
        <f>_xlfn.LET(_xlpm.result, _xlfn.XLOOKUP($Q235,'EA-Fortescue_SDExport'!$A:$A,'EA-Fortescue_SDExport'!AB:AB), IF(_xlpm.result=0,"",_xlpm.result))</f>
        <v/>
      </c>
      <c r="T235" s="2" t="str">
        <f>_xlfn.LET(_xlpm.result, _xlfn.XLOOKUP($Q235,'EA-Fortescue_SDExport'!$A:$A,'EA-Fortescue_SDExport'!AC:AC), IF(_xlpm.result=0,"",_xlpm.result))</f>
        <v>Solomon Mine Hub</v>
      </c>
      <c r="U235" s="2" t="str">
        <f>_xlfn.LET(
    _xlpm.isObject, _xlfn.XLOOKUP($Q235,'EA-Fortescue_SDExport'!A:A,'EA-Fortescue_SDExport'!B:B),
    _xlpm.lookupKey, IF(_xlpm.isObject="Object",
        _xlfn.XLOOKUP($A235,'EA-ConnectorExport'!A:A,'EA-ConnectorExport'!D:D),
        $Q235
    ),
    _xlpm.result, _xlfn.XLOOKUP(_xlpm.lookupKey,'EA-Fortescue_SDExport'!A:A,'EA-Fortescue_SDExport'!AD:AD),
    IF(_xlpm.result=0,"",_xlpm.result)
)</f>
        <v>854DC Green Power</v>
      </c>
      <c r="V235" s="2" t="str">
        <f>_xlfn.LET(
    _xlpm.isObject, _xlfn.XLOOKUP($Q235,'EA-Fortescue_SDExport'!A:A,'EA-Fortescue_SDExport'!B:B),
    _xlpm.lookupKey, IF(_xlpm.isObject="Object",
        _xlfn.XLOOKUP($A235,'EA-ConnectorExport'!A:A,'EA-ConnectorExport'!D:D),
        $Q235
    ),
    _xlpm.result, _xlfn.XLOOKUP(_xlpm.lookupKey,'EA-Fortescue_SDExport'!A:A,'EA-Fortescue_SDExport'!AE:AE),
    IF(_xlpm.result=0,"",_xlpm.result)
)</f>
        <v>854DC-1521 HV Substations</v>
      </c>
      <c r="W235" s="2" t="str">
        <f>_xlfn.LET(
    _xlpm.isObject, _xlfn.XLOOKUP($Q235,'EA-Fortescue_SDExport'!A:A,'EA-Fortescue_SDExport'!B:B),
    _xlpm.lookupKey, IF(_xlpm.isObject="Object",
        _xlfn.XLOOKUP($A235,'EA-ConnectorExport'!A:A,'EA-ConnectorExport'!D:D),
        $Q235
    ),
    _xlpm.result, _xlfn.XLOOKUP(_xlpm.lookupKey,'EA-Fortescue_SDExport'!A:A,'EA-Fortescue_SDExport'!AF:AF),
    IF(_xlpm.result=0,"",_xlpm.result)
)</f>
        <v>854DC-1521-0001 Substation (33kV)</v>
      </c>
      <c r="X235" s="2" t="str">
        <f>_xlfn.LET(
    _xlpm.isObject, _xlfn.XLOOKUP($Q235,'EA-Fortescue_SDExport'!A:A,'EA-Fortescue_SDExport'!B:B),
    _xlpm.lookupKey, IF(_xlpm.isObject="Object",
        _xlfn.XLOOKUP($A235,'EA-ConnectorExport'!A:A,'EA-ConnectorExport'!D:D),
        $Q235
    ),
    _xlpm.result, _xlfn.XLOOKUP(_xlpm.lookupKey,'EA-Fortescue_SDExport'!A:A,'EA-Fortescue_SDExport'!AG:AG),
    IF(_xlpm.result=0,"",_xlpm.result)
)</f>
        <v/>
      </c>
      <c r="Y235" s="2" t="str">
        <f>_xlfn.LET(
    _xlpm.status, _xlfn.XLOOKUP($A235,'EA-ConnectorExport'!$A:$A,'EA-ConnectorExport'!G:G),
    _xlpm.result, _xlfn.XLOOKUP($A235,'EA-ConnectorExport'!$A:$A,'EA-ConnectorExport'!H:H),
    IF(_xlpm.status="allocate", _xlpm.result, "")
)</f>
        <v>005OP-0000-017 Ignition</v>
      </c>
      <c r="Z235" s="2" t="str">
        <f>_xlfn.LET(
    _xlpm.isObject, _xlfn.XLOOKUP($Y235,'EA-Fortescue_SDExport'!A:A,'EA-Fortescue_SDExport'!B:B),
    _xlpm.lookupKey, IF(_xlpm.isObject="Object",
        _xlfn.XLOOKUP($A235,'EA-ConnectorExport'!A:A,'EA-ConnectorExport'!J:J),
        $Y235
    ),
    _xlpm.result, _xlfn.XLOOKUP(_xlpm.lookupKey,'EA-Fortescue_SDExport'!A:A,'EA-Fortescue_SDExport'!AA:AA),
    IF(_xlpm.result=0,"",_xlpm.result)
)</f>
        <v>Project</v>
      </c>
      <c r="AA235" s="2" t="str">
        <f>_xlfn.LET(_xlpm.result, _xlfn.XLOOKUP($Y235,'EA-Fortescue_SDExport'!$A:$A,'EA-Fortescue_SDExport'!AB:AB), IF(_xlpm.result=0,"",_xlpm.result))</f>
        <v/>
      </c>
      <c r="AB235" s="2" t="str">
        <f>_xlfn.LET(_xlpm.result, _xlfn.XLOOKUP($Y235,'EA-Fortescue_SDExport'!$A:$A,'EA-Fortescue_SDExport'!AC:AC), IF(_xlpm.result=0,"",_xlpm.result))</f>
        <v/>
      </c>
      <c r="AC235" s="2" t="str">
        <f>_xlfn.LET(
    _xlpm.isObject, _xlfn.XLOOKUP($Y235,'EA-Fortescue_SDExport'!A:A,'EA-Fortescue_SDExport'!B:B),
    _xlpm.lookupKey, IF(_xlpm.isObject="Object",
        _xlfn.XLOOKUP($A235,'EA-ConnectorExport'!A:A,'EA-ConnectorExport'!J:J),
        $Y235
    ),
    _xlpm.result, _xlfn.XLOOKUP(_xlpm.lookupKey,'EA-Fortescue_SDExport'!A:A,'EA-Fortescue_SDExport'!AD:AD),
    IF(_xlpm.result=0,"",_xlpm.result)
)</f>
        <v>005OP IT/OT Systems</v>
      </c>
      <c r="AD235" s="2" t="str">
        <f>_xlfn.LET(
    _xlpm.isObject, _xlfn.XLOOKUP($Y235,'EA-Fortescue_SDExport'!A:A,'EA-Fortescue_SDExport'!B:B),
    _xlpm.lookupKey, IF(_xlpm.isObject="Object",
        _xlfn.XLOOKUP($A235,'EA-ConnectorExport'!A:A,'EA-ConnectorExport'!J:J),
        $Y235
    ),
    _xlpm.result, _xlfn.XLOOKUP(_xlpm.lookupKey,'EA-Fortescue_SDExport'!A:A,'EA-Fortescue_SDExport'!AE:AE),
    IF(_xlpm.result=0,"",_xlpm.result)
)</f>
        <v/>
      </c>
      <c r="AE235" s="2" t="str">
        <f>_xlfn.LET(
    _xlpm.isObject, _xlfn.XLOOKUP($Y235,'EA-Fortescue_SDExport'!A:A,'EA-Fortescue_SDExport'!B:B),
    _xlpm.lookupKey, IF(_xlpm.isObject="Object",
        _xlfn.XLOOKUP($A235,'EA-ConnectorExport'!A:A,'EA-ConnectorExport'!J:J),
        $Y235
    ),
    _xlpm.result, _xlfn.XLOOKUP(_xlpm.lookupKey,'EA-Fortescue_SDExport'!A:A,'EA-Fortescue_SDExport'!AF:AF),
    IF(_xlpm.result=0,"",_xlpm.result)
)</f>
        <v>005OP-0000-017 Ignition</v>
      </c>
      <c r="AF235" s="2" t="str">
        <f>_xlfn.LET(
    _xlpm.isObject, _xlfn.XLOOKUP($Y235,'EA-Fortescue_SDExport'!A:A,'EA-Fortescue_SDExport'!B:B),
    _xlpm.lookupKey, IF(_xlpm.isObject="Object",
        _xlfn.XLOOKUP($A235,'EA-ConnectorExport'!A:A,'EA-ConnectorExport'!J:J),
        $Y235
    ),
    _xlpm.result, _xlfn.XLOOKUP(_xlpm.lookupKey,'EA-Fortescue_SDExport'!A:A,'EA-Fortescue_SDExport'!AG:AG),
    IF(_xlpm.result=0,"",_xlpm.result)
)</f>
        <v/>
      </c>
    </row>
    <row r="236" spans="1:32" ht="30" x14ac:dyDescent="0.25">
      <c r="A236" s="2" t="str">
        <v>DGS-I_0235</v>
      </c>
      <c r="B236" s="2" t="str">
        <f t="shared" si="12"/>
        <v>Solomon Mine Hub: Field Switches|Solomon Mine Hub: Sub Kiosks</v>
      </c>
      <c r="C236" s="2" t="str">
        <f>_xlfn.LET(_xlpm.result, _xlfn.XLOOKUP(A236,'EA-Fortescue_SDExport'!A:A,'EA-Fortescue_SDExport'!AM:AM), IF(_xlpm.result=0,"",_xlpm.result))</f>
        <v/>
      </c>
      <c r="D236" s="2" t="str">
        <f>_xlfn.LET(_xlpm.result, _xlfn.XLOOKUP(A236,'EA-Fortescue_SDExport'!A:A,'EA-Fortescue_SDExport'!AN:AN), IF(_xlpm.result=0,"",_xlpm.result))</f>
        <v/>
      </c>
      <c r="E236" s="2" t="str">
        <f>_xlfn.XLOOKUP(R236&amp;Z236,Lookups!A:A,Lookups!B:B)</f>
        <v>System - System Interface</v>
      </c>
      <c r="F236" s="2" t="str">
        <f>_xlfn.LET(_xlpm.result, _xlfn.XLOOKUP(A236,'EA-Fortescue_SDExport'!A:A,'EA-Fortescue_SDExport'!AP:AP), IF(_xlpm.result=0,"",_xlpm.result))</f>
        <v/>
      </c>
      <c r="G236" s="2" t="str">
        <f>IF(OR(AND(T236&lt;&gt;"", COUNTIF(Lookups!J:J, "*"&amp;T236&amp;"*")&gt;0), AND(AB236&lt;&gt;"", COUNTIF(Lookups!J:J, "*"&amp;AB236&amp;"*")&gt;0)), "Yes", "No")</f>
        <v>Yes</v>
      </c>
      <c r="H236" s="2" t="str">
        <f t="shared" si="13"/>
        <v>850DC Decarb Infrastructure|850DC Decarb Infrastructure</v>
      </c>
      <c r="I236" s="2" t="str">
        <f t="shared" si="14"/>
        <v>850DC-1522 Field Switches|850DC-1523 Sub Kiosks</v>
      </c>
      <c r="J236" s="2" t="str">
        <f t="shared" si="15"/>
        <v>N/A</v>
      </c>
      <c r="K236" s="2" t="str">
        <f>_xlfn.XLOOKUP(A236,'EA-Fortescue_SDExport'!A:A,'EA-Fortescue_SDExport'!N:N)</f>
        <v>Proposed</v>
      </c>
      <c r="L236" s="2" t="str">
        <f>_xlfn.LET(_xlpm.result, _xlfn.XLOOKUP($A236,'EA-Fortescue_SDExport'!$A:$A,'EA-Fortescue_SDExport'!AQ:AQ), IF(_xlpm.result=0,"",_xlpm.result))</f>
        <v/>
      </c>
      <c r="M236" s="2" t="str">
        <f>_xlfn.LET(_xlpm.result, _xlfn.XLOOKUP($A236,'EA-Fortescue_SDExport'!$A:$A,'EA-Fortescue_SDExport'!AR:AR), IF(_xlpm.result=0,"",_xlpm.result))</f>
        <v/>
      </c>
      <c r="N236" s="2" t="str">
        <f>_xlfn.LET(_xlpm.result, _xlfn.XLOOKUP($A236,'EA-Fortescue_SDExport'!$A:$A,'EA-Fortescue_SDExport'!AW:AW), IF(_xlpm.result=0,"",_xlpm.result))</f>
        <v/>
      </c>
      <c r="O236" s="2" t="str">
        <f>_xlfn.LET(_xlpm.result, _xlfn.XLOOKUP($A236,'EA-Fortescue_SDExport'!$A:$A,'EA-Fortescue_SDExport'!AV:AV), IF(_xlpm.result=0,"",_xlpm.result))</f>
        <v/>
      </c>
      <c r="P236" s="2" t="str">
        <f>_xlfn.LET(_xlpm.result, _xlfn.XLOOKUP($A236,'EA-Fortescue_SDExport'!$A:$A,'EA-Fortescue_SDExport'!D:D), IF(_xlpm.result=0,"",_xlpm.result))</f>
        <v/>
      </c>
      <c r="Q236" s="2" t="str">
        <f>_xlfn.LET(
    _xlpm.status, _xlfn.XLOOKUP($A236,'EA-ConnectorExport'!$A:$A,'EA-ConnectorExport'!G:G),
    _xlpm.result, _xlfn.XLOOKUP($A236,'EA-ConnectorExport'!$A:$A,'EA-ConnectorExport'!B:B),
    IF(_xlpm.status="allocate", _xlpm.result, "")
)</f>
        <v>Solomon Mine Hub: Field Switches</v>
      </c>
      <c r="R236" s="2" t="str">
        <f>IF(
    _xlfn.XLOOKUP($Q236,'EA-Fortescue_SDExport'!A:A,'EA-Fortescue_SDExport'!B:B)="Object",
    _xlfn.XLOOKUP(
        _xlfn.XLOOKUP($A236,'EA-ConnectorExport'!A:A,'EA-ConnectorExport'!D:D),
        'EA-Fortescue_SDExport'!A:A,
        'EA-Fortescue_SDExport'!AA:AA
    ),
    _xlfn.XLOOKUP($Q236,'EA-Fortescue_SDExport'!A:A,'EA-Fortescue_SDExport'!AA:AA)
)</f>
        <v>System</v>
      </c>
      <c r="S236" s="2" t="str">
        <f>_xlfn.LET(_xlpm.result, _xlfn.XLOOKUP($Q236,'EA-Fortescue_SDExport'!$A:$A,'EA-Fortescue_SDExport'!AB:AB), IF(_xlpm.result=0,"",_xlpm.result))</f>
        <v/>
      </c>
      <c r="T236" s="2" t="str">
        <f>_xlfn.LET(_xlpm.result, _xlfn.XLOOKUP($Q236,'EA-Fortescue_SDExport'!$A:$A,'EA-Fortescue_SDExport'!AC:AC), IF(_xlpm.result=0,"",_xlpm.result))</f>
        <v>Solomon Mine Hub</v>
      </c>
      <c r="U236" s="2" t="str">
        <f>_xlfn.LET(
    _xlpm.isObject, _xlfn.XLOOKUP($Q236,'EA-Fortescue_SDExport'!A:A,'EA-Fortescue_SDExport'!B:B),
    _xlpm.lookupKey, IF(_xlpm.isObject="Object",
        _xlfn.XLOOKUP($A236,'EA-ConnectorExport'!A:A,'EA-ConnectorExport'!D:D),
        $Q236
    ),
    _xlpm.result, _xlfn.XLOOKUP(_xlpm.lookupKey,'EA-Fortescue_SDExport'!A:A,'EA-Fortescue_SDExport'!AD:AD),
    IF(_xlpm.result=0,"",_xlpm.result)
)</f>
        <v>850DC Decarb Infrastructure</v>
      </c>
      <c r="V236" s="2" t="str">
        <f>_xlfn.LET(
    _xlpm.isObject, _xlfn.XLOOKUP($Q236,'EA-Fortescue_SDExport'!A:A,'EA-Fortescue_SDExport'!B:B),
    _xlpm.lookupKey, IF(_xlpm.isObject="Object",
        _xlfn.XLOOKUP($A236,'EA-ConnectorExport'!A:A,'EA-ConnectorExport'!D:D),
        $Q236
    ),
    _xlpm.result, _xlfn.XLOOKUP(_xlpm.lookupKey,'EA-Fortescue_SDExport'!A:A,'EA-Fortescue_SDExport'!AE:AE),
    IF(_xlpm.result=0,"",_xlpm.result)
)</f>
        <v>850DC-1522 Field Switches</v>
      </c>
      <c r="W236" s="2" t="str">
        <f>_xlfn.LET(
    _xlpm.isObject, _xlfn.XLOOKUP($Q236,'EA-Fortescue_SDExport'!A:A,'EA-Fortescue_SDExport'!B:B),
    _xlpm.lookupKey, IF(_xlpm.isObject="Object",
        _xlfn.XLOOKUP($A236,'EA-ConnectorExport'!A:A,'EA-ConnectorExport'!D:D),
        $Q236
    ),
    _xlpm.result, _xlfn.XLOOKUP(_xlpm.lookupKey,'EA-Fortescue_SDExport'!A:A,'EA-Fortescue_SDExport'!AF:AF),
    IF(_xlpm.result=0,"",_xlpm.result)
)</f>
        <v/>
      </c>
      <c r="X236" s="2" t="str">
        <f>_xlfn.LET(
    _xlpm.isObject, _xlfn.XLOOKUP($Q236,'EA-Fortescue_SDExport'!A:A,'EA-Fortescue_SDExport'!B:B),
    _xlpm.lookupKey, IF(_xlpm.isObject="Object",
        _xlfn.XLOOKUP($A236,'EA-ConnectorExport'!A:A,'EA-ConnectorExport'!D:D),
        $Q236
    ),
    _xlpm.result, _xlfn.XLOOKUP(_xlpm.lookupKey,'EA-Fortescue_SDExport'!A:A,'EA-Fortescue_SDExport'!AG:AG),
    IF(_xlpm.result=0,"",_xlpm.result)
)</f>
        <v/>
      </c>
      <c r="Y236" s="2" t="str">
        <f>_xlfn.LET(
    _xlpm.status, _xlfn.XLOOKUP($A236,'EA-ConnectorExport'!$A:$A,'EA-ConnectorExport'!G:G),
    _xlpm.result, _xlfn.XLOOKUP($A236,'EA-ConnectorExport'!$A:$A,'EA-ConnectorExport'!H:H),
    IF(_xlpm.status="allocate", _xlpm.result, "")
)</f>
        <v>Solomon Mine Hub: Sub Kiosks</v>
      </c>
      <c r="Z236" s="2" t="str">
        <f>_xlfn.LET(
    _xlpm.isObject, _xlfn.XLOOKUP($Y236,'EA-Fortescue_SDExport'!A:A,'EA-Fortescue_SDExport'!B:B),
    _xlpm.lookupKey, IF(_xlpm.isObject="Object",
        _xlfn.XLOOKUP($A236,'EA-ConnectorExport'!A:A,'EA-ConnectorExport'!J:J),
        $Y236
    ),
    _xlpm.result, _xlfn.XLOOKUP(_xlpm.lookupKey,'EA-Fortescue_SDExport'!A:A,'EA-Fortescue_SDExport'!AA:AA),
    IF(_xlpm.result=0,"",_xlpm.result)
)</f>
        <v>System</v>
      </c>
      <c r="AA236" s="2" t="str">
        <f>_xlfn.LET(_xlpm.result, _xlfn.XLOOKUP($Y236,'EA-Fortescue_SDExport'!$A:$A,'EA-Fortescue_SDExport'!AB:AB), IF(_xlpm.result=0,"",_xlpm.result))</f>
        <v/>
      </c>
      <c r="AB236" s="2" t="str">
        <f>_xlfn.LET(_xlpm.result, _xlfn.XLOOKUP($Y236,'EA-Fortescue_SDExport'!$A:$A,'EA-Fortescue_SDExport'!AC:AC), IF(_xlpm.result=0,"",_xlpm.result))</f>
        <v>Solomon Mine Hub</v>
      </c>
      <c r="AC236" s="2" t="str">
        <f>_xlfn.LET(
    _xlpm.isObject, _xlfn.XLOOKUP($Y236,'EA-Fortescue_SDExport'!A:A,'EA-Fortescue_SDExport'!B:B),
    _xlpm.lookupKey, IF(_xlpm.isObject="Object",
        _xlfn.XLOOKUP($A236,'EA-ConnectorExport'!A:A,'EA-ConnectorExport'!J:J),
        $Y236
    ),
    _xlpm.result, _xlfn.XLOOKUP(_xlpm.lookupKey,'EA-Fortescue_SDExport'!A:A,'EA-Fortescue_SDExport'!AD:AD),
    IF(_xlpm.result=0,"",_xlpm.result)
)</f>
        <v>850DC Decarb Infrastructure</v>
      </c>
      <c r="AD236" s="2" t="str">
        <f>_xlfn.LET(
    _xlpm.isObject, _xlfn.XLOOKUP($Y236,'EA-Fortescue_SDExport'!A:A,'EA-Fortescue_SDExport'!B:B),
    _xlpm.lookupKey, IF(_xlpm.isObject="Object",
        _xlfn.XLOOKUP($A236,'EA-ConnectorExport'!A:A,'EA-ConnectorExport'!J:J),
        $Y236
    ),
    _xlpm.result, _xlfn.XLOOKUP(_xlpm.lookupKey,'EA-Fortescue_SDExport'!A:A,'EA-Fortescue_SDExport'!AE:AE),
    IF(_xlpm.result=0,"",_xlpm.result)
)</f>
        <v>850DC-1523 Sub Kiosks</v>
      </c>
      <c r="AE236" s="2" t="str">
        <f>_xlfn.LET(
    _xlpm.isObject, _xlfn.XLOOKUP($Y236,'EA-Fortescue_SDExport'!A:A,'EA-Fortescue_SDExport'!B:B),
    _xlpm.lookupKey, IF(_xlpm.isObject="Object",
        _xlfn.XLOOKUP($A236,'EA-ConnectorExport'!A:A,'EA-ConnectorExport'!J:J),
        $Y236
    ),
    _xlpm.result, _xlfn.XLOOKUP(_xlpm.lookupKey,'EA-Fortescue_SDExport'!A:A,'EA-Fortescue_SDExport'!AF:AF),
    IF(_xlpm.result=0,"",_xlpm.result)
)</f>
        <v/>
      </c>
      <c r="AF236" s="2" t="str">
        <f>_xlfn.LET(
    _xlpm.isObject, _xlfn.XLOOKUP($Y236,'EA-Fortescue_SDExport'!A:A,'EA-Fortescue_SDExport'!B:B),
    _xlpm.lookupKey, IF(_xlpm.isObject="Object",
        _xlfn.XLOOKUP($A236,'EA-ConnectorExport'!A:A,'EA-ConnectorExport'!J:J),
        $Y236
    ),
    _xlpm.result, _xlfn.XLOOKUP(_xlpm.lookupKey,'EA-Fortescue_SDExport'!A:A,'EA-Fortescue_SDExport'!AG:AG),
    IF(_xlpm.result=0,"",_xlpm.result)
)</f>
        <v/>
      </c>
    </row>
    <row r="237" spans="1:32" ht="255" x14ac:dyDescent="0.25">
      <c r="A237" s="2" t="str">
        <v>DGS-I_0236</v>
      </c>
      <c r="B237" s="2" t="str">
        <f t="shared" si="12"/>
        <v>Solomon Mine Hub: Sub Kiosks|005OP-0000-017 Ignition</v>
      </c>
      <c r="C237" s="2" t="str">
        <f>_xlfn.LET(_xlpm.result, _xlfn.XLOOKUP(A237,'EA-Fortescue_SDExport'!A:A,'EA-Fortescue_SDExport'!AM:AM), IF(_xlpm.result=0,"",_xlpm.result))</f>
        <v/>
      </c>
      <c r="D237" s="2" t="str">
        <f>_xlfn.LET(_xlpm.result, _xlfn.XLOOKUP(A237,'EA-Fortescue_SDExport'!A:A,'EA-Fortescue_SDExport'!AN:AN), IF(_xlpm.result=0,"",_xlpm.result))</f>
        <v/>
      </c>
      <c r="E237" s="2" t="str">
        <f>_xlfn.XLOOKUP(R237&amp;Z237,Lookups!A:A,Lookups!B:B)</f>
        <v>System - Project Interface</v>
      </c>
      <c r="F237" s="2" t="str">
        <f>_xlfn.LET(_xlpm.result, _xlfn.XLOOKUP(A237,'EA-Fortescue_SDExport'!A:A,'EA-Fortescue_SDExport'!AP:AP), IF(_xlpm.result=0,"",_xlpm.result))</f>
        <v/>
      </c>
      <c r="G237" s="2" t="str">
        <f>IF(OR(AND(T237&lt;&gt;"", COUNTIF(Lookups!J:J, "*"&amp;T237&amp;"*")&gt;0), AND(AB237&lt;&gt;"", COUNTIF(Lookups!J:J, "*"&amp;AB237&amp;"*")&gt;0)), "Yes", "No")</f>
        <v>Yes</v>
      </c>
      <c r="H237" s="2" t="str">
        <f t="shared" si="13"/>
        <v>850DC Decarb Infrastructure|005OP IT/OT Systems</v>
      </c>
      <c r="I237" s="2" t="str">
        <f t="shared" si="14"/>
        <v>850DC-1523 Sub Kiosks|N/A</v>
      </c>
      <c r="J237" s="2" t="str">
        <f t="shared" si="15"/>
        <v>N/A|005OP-0000-017 Ignition</v>
      </c>
      <c r="K237" s="2" t="str">
        <f>_xlfn.XLOOKUP(A237,'EA-Fortescue_SDExport'!A:A,'EA-Fortescue_SDExport'!N:N)</f>
        <v>Deleted</v>
      </c>
      <c r="L237" s="2" t="str">
        <f>_xlfn.LET(_xlpm.result, _xlfn.XLOOKUP($A237,'EA-Fortescue_SDExport'!$A:$A,'EA-Fortescue_SDExport'!AQ:AQ), IF(_xlpm.result=0,"",_xlpm.result))</f>
        <v>This interface allows Ignition SCADA to monitor and control the sub kiosks at Solomon, giving access to breaker states, alarms, and electrical measurements.</v>
      </c>
      <c r="M237" s="2" t="str">
        <f>_xlfn.LET(_xlpm.result, _xlfn.XLOOKUP($A237,'EA-Fortescue_SDExport'!$A:$A,'EA-Fortescue_SDExport'!AR:AR), IF(_xlpm.result=0,"",_xlpm.result))</f>
        <v>HIGH</v>
      </c>
      <c r="N237" s="2" t="str">
        <f>_xlfn.LET(_xlpm.result, _xlfn.XLOOKUP($A237,'EA-Fortescue_SDExport'!$A:$A,'EA-Fortescue_SDExport'!AW:AW), IF(_xlpm.result=0,"",_xlpm.result))</f>
        <v>The criticality level is HIGH because loss of SCADA connectivity can hamper the ability to detect and respond to electrical issues, potentially resulting in unsafe conditions or prolonged downtime. The sub kiosks form part of the essential electrical distribution system, and SCADA visibility is required for safe switching and coordination during faults.</v>
      </c>
      <c r="O237" s="2" t="str">
        <f>_xlfn.LET(_xlpm.result, _xlfn.XLOOKUP($A237,'EA-Fortescue_SDExport'!$A:$A,'EA-Fortescue_SDExport'!AV:AV), IF(_xlpm.result=0,"",_xlpm.result))</f>
        <v/>
      </c>
      <c r="P237" s="2" t="str">
        <f>_xlfn.LET(_xlpm.result, _xlfn.XLOOKUP($A237,'EA-Fortescue_SDExport'!$A:$A,'EA-Fortescue_SDExport'!D:D), IF(_xlpm.result=0,"",_xlpm.result))</f>
        <v>From DGS-I_0157 (interface with generic Sub- Kiosk): SCADA Review 30/10/2025:Green substation (in pit sub). 33/6.6kv. Delete, part of substations. To be confirmed._x000D_
05/12/2025: Deleted due to previous comment.</v>
      </c>
      <c r="Q237" s="2" t="str">
        <f>_xlfn.LET(
    _xlpm.status, _xlfn.XLOOKUP($A237,'EA-ConnectorExport'!$A:$A,'EA-ConnectorExport'!G:G),
    _xlpm.result, _xlfn.XLOOKUP($A237,'EA-ConnectorExport'!$A:$A,'EA-ConnectorExport'!B:B),
    IF(_xlpm.status="allocate", _xlpm.result, "")
)</f>
        <v>Solomon Mine Hub: Sub Kiosks</v>
      </c>
      <c r="R237" s="2" t="str">
        <f>IF(
    _xlfn.XLOOKUP($Q237,'EA-Fortescue_SDExport'!A:A,'EA-Fortescue_SDExport'!B:B)="Object",
    _xlfn.XLOOKUP(
        _xlfn.XLOOKUP($A237,'EA-ConnectorExport'!A:A,'EA-ConnectorExport'!D:D),
        'EA-Fortescue_SDExport'!A:A,
        'EA-Fortescue_SDExport'!AA:AA
    ),
    _xlfn.XLOOKUP($Q237,'EA-Fortescue_SDExport'!A:A,'EA-Fortescue_SDExport'!AA:AA)
)</f>
        <v>System</v>
      </c>
      <c r="S237" s="2" t="str">
        <f>_xlfn.LET(_xlpm.result, _xlfn.XLOOKUP($Q237,'EA-Fortescue_SDExport'!$A:$A,'EA-Fortescue_SDExport'!AB:AB), IF(_xlpm.result=0,"",_xlpm.result))</f>
        <v/>
      </c>
      <c r="T237" s="2" t="str">
        <f>_xlfn.LET(_xlpm.result, _xlfn.XLOOKUP($Q237,'EA-Fortescue_SDExport'!$A:$A,'EA-Fortescue_SDExport'!AC:AC), IF(_xlpm.result=0,"",_xlpm.result))</f>
        <v>Solomon Mine Hub</v>
      </c>
      <c r="U237" s="2" t="str">
        <f>_xlfn.LET(
    _xlpm.isObject, _xlfn.XLOOKUP($Q237,'EA-Fortescue_SDExport'!A:A,'EA-Fortescue_SDExport'!B:B),
    _xlpm.lookupKey, IF(_xlpm.isObject="Object",
        _xlfn.XLOOKUP($A237,'EA-ConnectorExport'!A:A,'EA-ConnectorExport'!D:D),
        $Q237
    ),
    _xlpm.result, _xlfn.XLOOKUP(_xlpm.lookupKey,'EA-Fortescue_SDExport'!A:A,'EA-Fortescue_SDExport'!AD:AD),
    IF(_xlpm.result=0,"",_xlpm.result)
)</f>
        <v>850DC Decarb Infrastructure</v>
      </c>
      <c r="V237" s="2" t="str">
        <f>_xlfn.LET(
    _xlpm.isObject, _xlfn.XLOOKUP($Q237,'EA-Fortescue_SDExport'!A:A,'EA-Fortescue_SDExport'!B:B),
    _xlpm.lookupKey, IF(_xlpm.isObject="Object",
        _xlfn.XLOOKUP($A237,'EA-ConnectorExport'!A:A,'EA-ConnectorExport'!D:D),
        $Q237
    ),
    _xlpm.result, _xlfn.XLOOKUP(_xlpm.lookupKey,'EA-Fortescue_SDExport'!A:A,'EA-Fortescue_SDExport'!AE:AE),
    IF(_xlpm.result=0,"",_xlpm.result)
)</f>
        <v>850DC-1523 Sub Kiosks</v>
      </c>
      <c r="W237" s="2" t="str">
        <f>_xlfn.LET(
    _xlpm.isObject, _xlfn.XLOOKUP($Q237,'EA-Fortescue_SDExport'!A:A,'EA-Fortescue_SDExport'!B:B),
    _xlpm.lookupKey, IF(_xlpm.isObject="Object",
        _xlfn.XLOOKUP($A237,'EA-ConnectorExport'!A:A,'EA-ConnectorExport'!D:D),
        $Q237
    ),
    _xlpm.result, _xlfn.XLOOKUP(_xlpm.lookupKey,'EA-Fortescue_SDExport'!A:A,'EA-Fortescue_SDExport'!AF:AF),
    IF(_xlpm.result=0,"",_xlpm.result)
)</f>
        <v/>
      </c>
      <c r="X237" s="2" t="str">
        <f>_xlfn.LET(
    _xlpm.isObject, _xlfn.XLOOKUP($Q237,'EA-Fortescue_SDExport'!A:A,'EA-Fortescue_SDExport'!B:B),
    _xlpm.lookupKey, IF(_xlpm.isObject="Object",
        _xlfn.XLOOKUP($A237,'EA-ConnectorExport'!A:A,'EA-ConnectorExport'!D:D),
        $Q237
    ),
    _xlpm.result, _xlfn.XLOOKUP(_xlpm.lookupKey,'EA-Fortescue_SDExport'!A:A,'EA-Fortescue_SDExport'!AG:AG),
    IF(_xlpm.result=0,"",_xlpm.result)
)</f>
        <v/>
      </c>
      <c r="Y237" s="2" t="str">
        <f>_xlfn.LET(
    _xlpm.status, _xlfn.XLOOKUP($A237,'EA-ConnectorExport'!$A:$A,'EA-ConnectorExport'!G:G),
    _xlpm.result, _xlfn.XLOOKUP($A237,'EA-ConnectorExport'!$A:$A,'EA-ConnectorExport'!H:H),
    IF(_xlpm.status="allocate", _xlpm.result, "")
)</f>
        <v>005OP-0000-017 Ignition</v>
      </c>
      <c r="Z237" s="2" t="str">
        <f>_xlfn.LET(
    _xlpm.isObject, _xlfn.XLOOKUP($Y237,'EA-Fortescue_SDExport'!A:A,'EA-Fortescue_SDExport'!B:B),
    _xlpm.lookupKey, IF(_xlpm.isObject="Object",
        _xlfn.XLOOKUP($A237,'EA-ConnectorExport'!A:A,'EA-ConnectorExport'!J:J),
        $Y237
    ),
    _xlpm.result, _xlfn.XLOOKUP(_xlpm.lookupKey,'EA-Fortescue_SDExport'!A:A,'EA-Fortescue_SDExport'!AA:AA),
    IF(_xlpm.result=0,"",_xlpm.result)
)</f>
        <v>Project</v>
      </c>
      <c r="AA237" s="2" t="str">
        <f>_xlfn.LET(_xlpm.result, _xlfn.XLOOKUP($Y237,'EA-Fortescue_SDExport'!$A:$A,'EA-Fortescue_SDExport'!AB:AB), IF(_xlpm.result=0,"",_xlpm.result))</f>
        <v/>
      </c>
      <c r="AB237" s="2" t="str">
        <f>_xlfn.LET(_xlpm.result, _xlfn.XLOOKUP($Y237,'EA-Fortescue_SDExport'!$A:$A,'EA-Fortescue_SDExport'!AC:AC), IF(_xlpm.result=0,"",_xlpm.result))</f>
        <v/>
      </c>
      <c r="AC237" s="2" t="str">
        <f>_xlfn.LET(
    _xlpm.isObject, _xlfn.XLOOKUP($Y237,'EA-Fortescue_SDExport'!A:A,'EA-Fortescue_SDExport'!B:B),
    _xlpm.lookupKey, IF(_xlpm.isObject="Object",
        _xlfn.XLOOKUP($A237,'EA-ConnectorExport'!A:A,'EA-ConnectorExport'!J:J),
        $Y237
    ),
    _xlpm.result, _xlfn.XLOOKUP(_xlpm.lookupKey,'EA-Fortescue_SDExport'!A:A,'EA-Fortescue_SDExport'!AD:AD),
    IF(_xlpm.result=0,"",_xlpm.result)
)</f>
        <v>005OP IT/OT Systems</v>
      </c>
      <c r="AD237" s="2" t="str">
        <f>_xlfn.LET(
    _xlpm.isObject, _xlfn.XLOOKUP($Y237,'EA-Fortescue_SDExport'!A:A,'EA-Fortescue_SDExport'!B:B),
    _xlpm.lookupKey, IF(_xlpm.isObject="Object",
        _xlfn.XLOOKUP($A237,'EA-ConnectorExport'!A:A,'EA-ConnectorExport'!J:J),
        $Y237
    ),
    _xlpm.result, _xlfn.XLOOKUP(_xlpm.lookupKey,'EA-Fortescue_SDExport'!A:A,'EA-Fortescue_SDExport'!AE:AE),
    IF(_xlpm.result=0,"",_xlpm.result)
)</f>
        <v/>
      </c>
      <c r="AE237" s="2" t="str">
        <f>_xlfn.LET(
    _xlpm.isObject, _xlfn.XLOOKUP($Y237,'EA-Fortescue_SDExport'!A:A,'EA-Fortescue_SDExport'!B:B),
    _xlpm.lookupKey, IF(_xlpm.isObject="Object",
        _xlfn.XLOOKUP($A237,'EA-ConnectorExport'!A:A,'EA-ConnectorExport'!J:J),
        $Y237
    ),
    _xlpm.result, _xlfn.XLOOKUP(_xlpm.lookupKey,'EA-Fortescue_SDExport'!A:A,'EA-Fortescue_SDExport'!AF:AF),
    IF(_xlpm.result=0,"",_xlpm.result)
)</f>
        <v>005OP-0000-017 Ignition</v>
      </c>
      <c r="AF237" s="2" t="str">
        <f>_xlfn.LET(
    _xlpm.isObject, _xlfn.XLOOKUP($Y237,'EA-Fortescue_SDExport'!A:A,'EA-Fortescue_SDExport'!B:B),
    _xlpm.lookupKey, IF(_xlpm.isObject="Object",
        _xlfn.XLOOKUP($A237,'EA-ConnectorExport'!A:A,'EA-ConnectorExport'!J:J),
        $Y237
    ),
    _xlpm.result, _xlfn.XLOOKUP(_xlpm.lookupKey,'EA-Fortescue_SDExport'!A:A,'EA-Fortescue_SDExport'!AG:AG),
    IF(_xlpm.result=0,"",_xlpm.result)
)</f>
        <v/>
      </c>
    </row>
    <row r="238" spans="1:32" ht="255" x14ac:dyDescent="0.25">
      <c r="A238" s="2" t="str">
        <v>DGS-I_0237</v>
      </c>
      <c r="B238" s="2" t="str">
        <f t="shared" si="12"/>
        <v>Solomon Mine Hub: Field Switches|005OP-0000-017 Ignition</v>
      </c>
      <c r="C238" s="2" t="str">
        <f>_xlfn.LET(_xlpm.result, _xlfn.XLOOKUP(A238,'EA-Fortescue_SDExport'!A:A,'EA-Fortescue_SDExport'!AM:AM), IF(_xlpm.result=0,"",_xlpm.result))</f>
        <v/>
      </c>
      <c r="D238" s="2" t="str">
        <f>_xlfn.LET(_xlpm.result, _xlfn.XLOOKUP(A238,'EA-Fortescue_SDExport'!A:A,'EA-Fortescue_SDExport'!AN:AN), IF(_xlpm.result=0,"",_xlpm.result))</f>
        <v/>
      </c>
      <c r="E238" s="2" t="str">
        <f>_xlfn.XLOOKUP(R238&amp;Z238,Lookups!A:A,Lookups!B:B)</f>
        <v>System - Project Interface</v>
      </c>
      <c r="F238" s="2" t="str">
        <f>_xlfn.LET(_xlpm.result, _xlfn.XLOOKUP(A238,'EA-Fortescue_SDExport'!A:A,'EA-Fortescue_SDExport'!AP:AP), IF(_xlpm.result=0,"",_xlpm.result))</f>
        <v>Technical-Electrical</v>
      </c>
      <c r="G238" s="2" t="str">
        <f>IF(OR(AND(T238&lt;&gt;"", COUNTIF(Lookups!J:J, "*"&amp;T238&amp;"*")&gt;0), AND(AB238&lt;&gt;"", COUNTIF(Lookups!J:J, "*"&amp;AB238&amp;"*")&gt;0)), "Yes", "No")</f>
        <v>Yes</v>
      </c>
      <c r="H238" s="2" t="str">
        <f t="shared" si="13"/>
        <v>850DC Decarb Infrastructure|005OP IT/OT Systems</v>
      </c>
      <c r="I238" s="2" t="str">
        <f t="shared" si="14"/>
        <v>850DC-1522 Field Switches|N/A</v>
      </c>
      <c r="J238" s="2" t="str">
        <f t="shared" si="15"/>
        <v>N/A|005OP-0000-017 Ignition</v>
      </c>
      <c r="K238" s="2" t="str">
        <f>_xlfn.XLOOKUP(A238,'EA-Fortescue_SDExport'!A:A,'EA-Fortescue_SDExport'!N:N)</f>
        <v>Proposed</v>
      </c>
      <c r="L238" s="2" t="str">
        <f>_xlfn.LET(_xlpm.result, _xlfn.XLOOKUP($A238,'EA-Fortescue_SDExport'!$A:$A,'EA-Fortescue_SDExport'!AQ:AQ), IF(_xlpm.result=0,"",_xlpm.result))</f>
        <v>This interface provides Ignition SCADA with live status and control of field switches at the Solomon Hub, enabling operators to remotely isolate faults, reroute power, and maintain system stability.</v>
      </c>
      <c r="M238" s="2" t="str">
        <f>_xlfn.LET(_xlpm.result, _xlfn.XLOOKUP($A238,'EA-Fortescue_SDExport'!$A:$A,'EA-Fortescue_SDExport'!AR:AR), IF(_xlpm.result=0,"",_xlpm.result))</f>
        <v>HIGH</v>
      </c>
      <c r="N238" s="2" t="str">
        <f>_xlfn.LET(_xlpm.result, _xlfn.XLOOKUP($A238,'EA-Fortescue_SDExport'!$A:$A,'EA-Fortescue_SDExport'!AW:AW), IF(_xlpm.result=0,"",_xlpm.result))</f>
        <v>The criticality level is HIGH because field switches are essential for protecting equipment and maintaining the safety and stability of the power network. Losing this interface may impair the ability to safely isolate equipment and respond to electrical events, increasing the risk of outages or unsafe work conditions.</v>
      </c>
      <c r="O238" s="2" t="str">
        <f>_xlfn.LET(_xlpm.result, _xlfn.XLOOKUP($A238,'EA-Fortescue_SDExport'!$A:$A,'EA-Fortescue_SDExport'!AV:AV), IF(_xlpm.result=0,"",_xlpm.result))</f>
        <v>Data Flow:_x000D_
Field Switches (850DC-1522) -&gt; Ignition SCADA (005OP-0000-017), transmitting switch position (open/closed), load current, voltage presence, protection indications, alarms, and fault status to provide real-time visibility of distribution network topology and condition._x000D_
Control Flow:_x000D_
Ignition SCADA -&gt; Field Switches, issuing remote open/close commands, isolation instructions, reset signals, and reconfiguration commands to enable safe fault isolation, load transfer, and network stabilisation.</v>
      </c>
      <c r="P238" s="2" t="str">
        <f>_xlfn.LET(_xlpm.result, _xlfn.XLOOKUP($A238,'EA-Fortescue_SDExport'!$A:$A,'EA-Fortescue_SDExport'!D:D), IF(_xlpm.result=0,"",_xlpm.result))</f>
        <v>From DGS-I_0153 (interface with generic Field Switches): LMS Review 30/10/2025: PLC in a field switch OPC/UA._x000D_
Status for SCADA tags, circuit breaker statuses, temp data. _x000D_
_x000D_
Two way (control as well for HV Switching)._x000D_
_x000D_
SCADA Review 30/10/2025: Similar interface and functionality to GSS._x000D_
NH 20/02/2026: Fields updated: Interface Type, Interface Flow.</v>
      </c>
      <c r="Q238" s="2" t="str">
        <f>_xlfn.LET(
    _xlpm.status, _xlfn.XLOOKUP($A238,'EA-ConnectorExport'!$A:$A,'EA-ConnectorExport'!G:G),
    _xlpm.result, _xlfn.XLOOKUP($A238,'EA-ConnectorExport'!$A:$A,'EA-ConnectorExport'!B:B),
    IF(_xlpm.status="allocate", _xlpm.result, "")
)</f>
        <v>Solomon Mine Hub: Field Switches</v>
      </c>
      <c r="R238" s="2" t="str">
        <f>IF(
    _xlfn.XLOOKUP($Q238,'EA-Fortescue_SDExport'!A:A,'EA-Fortescue_SDExport'!B:B)="Object",
    _xlfn.XLOOKUP(
        _xlfn.XLOOKUP($A238,'EA-ConnectorExport'!A:A,'EA-ConnectorExport'!D:D),
        'EA-Fortescue_SDExport'!A:A,
        'EA-Fortescue_SDExport'!AA:AA
    ),
    _xlfn.XLOOKUP($Q238,'EA-Fortescue_SDExport'!A:A,'EA-Fortescue_SDExport'!AA:AA)
)</f>
        <v>System</v>
      </c>
      <c r="S238" s="2" t="str">
        <f>_xlfn.LET(_xlpm.result, _xlfn.XLOOKUP($Q238,'EA-Fortescue_SDExport'!$A:$A,'EA-Fortescue_SDExport'!AB:AB), IF(_xlpm.result=0,"",_xlpm.result))</f>
        <v/>
      </c>
      <c r="T238" s="2" t="str">
        <f>_xlfn.LET(_xlpm.result, _xlfn.XLOOKUP($Q238,'EA-Fortescue_SDExport'!$A:$A,'EA-Fortescue_SDExport'!AC:AC), IF(_xlpm.result=0,"",_xlpm.result))</f>
        <v>Solomon Mine Hub</v>
      </c>
      <c r="U238" s="2" t="str">
        <f>_xlfn.LET(
    _xlpm.isObject, _xlfn.XLOOKUP($Q238,'EA-Fortescue_SDExport'!A:A,'EA-Fortescue_SDExport'!B:B),
    _xlpm.lookupKey, IF(_xlpm.isObject="Object",
        _xlfn.XLOOKUP($A238,'EA-ConnectorExport'!A:A,'EA-ConnectorExport'!D:D),
        $Q238
    ),
    _xlpm.result, _xlfn.XLOOKUP(_xlpm.lookupKey,'EA-Fortescue_SDExport'!A:A,'EA-Fortescue_SDExport'!AD:AD),
    IF(_xlpm.result=0,"",_xlpm.result)
)</f>
        <v>850DC Decarb Infrastructure</v>
      </c>
      <c r="V238" s="2" t="str">
        <f>_xlfn.LET(
    _xlpm.isObject, _xlfn.XLOOKUP($Q238,'EA-Fortescue_SDExport'!A:A,'EA-Fortescue_SDExport'!B:B),
    _xlpm.lookupKey, IF(_xlpm.isObject="Object",
        _xlfn.XLOOKUP($A238,'EA-ConnectorExport'!A:A,'EA-ConnectorExport'!D:D),
        $Q238
    ),
    _xlpm.result, _xlfn.XLOOKUP(_xlpm.lookupKey,'EA-Fortescue_SDExport'!A:A,'EA-Fortescue_SDExport'!AE:AE),
    IF(_xlpm.result=0,"",_xlpm.result)
)</f>
        <v>850DC-1522 Field Switches</v>
      </c>
      <c r="W238" s="2" t="str">
        <f>_xlfn.LET(
    _xlpm.isObject, _xlfn.XLOOKUP($Q238,'EA-Fortescue_SDExport'!A:A,'EA-Fortescue_SDExport'!B:B),
    _xlpm.lookupKey, IF(_xlpm.isObject="Object",
        _xlfn.XLOOKUP($A238,'EA-ConnectorExport'!A:A,'EA-ConnectorExport'!D:D),
        $Q238
    ),
    _xlpm.result, _xlfn.XLOOKUP(_xlpm.lookupKey,'EA-Fortescue_SDExport'!A:A,'EA-Fortescue_SDExport'!AF:AF),
    IF(_xlpm.result=0,"",_xlpm.result)
)</f>
        <v/>
      </c>
      <c r="X238" s="2" t="str">
        <f>_xlfn.LET(
    _xlpm.isObject, _xlfn.XLOOKUP($Q238,'EA-Fortescue_SDExport'!A:A,'EA-Fortescue_SDExport'!B:B),
    _xlpm.lookupKey, IF(_xlpm.isObject="Object",
        _xlfn.XLOOKUP($A238,'EA-ConnectorExport'!A:A,'EA-ConnectorExport'!D:D),
        $Q238
    ),
    _xlpm.result, _xlfn.XLOOKUP(_xlpm.lookupKey,'EA-Fortescue_SDExport'!A:A,'EA-Fortescue_SDExport'!AG:AG),
    IF(_xlpm.result=0,"",_xlpm.result)
)</f>
        <v/>
      </c>
      <c r="Y238" s="2" t="str">
        <f>_xlfn.LET(
    _xlpm.status, _xlfn.XLOOKUP($A238,'EA-ConnectorExport'!$A:$A,'EA-ConnectorExport'!G:G),
    _xlpm.result, _xlfn.XLOOKUP($A238,'EA-ConnectorExport'!$A:$A,'EA-ConnectorExport'!H:H),
    IF(_xlpm.status="allocate", _xlpm.result, "")
)</f>
        <v>005OP-0000-017 Ignition</v>
      </c>
      <c r="Z238" s="2" t="str">
        <f>_xlfn.LET(
    _xlpm.isObject, _xlfn.XLOOKUP($Y238,'EA-Fortescue_SDExport'!A:A,'EA-Fortescue_SDExport'!B:B),
    _xlpm.lookupKey, IF(_xlpm.isObject="Object",
        _xlfn.XLOOKUP($A238,'EA-ConnectorExport'!A:A,'EA-ConnectorExport'!J:J),
        $Y238
    ),
    _xlpm.result, _xlfn.XLOOKUP(_xlpm.lookupKey,'EA-Fortescue_SDExport'!A:A,'EA-Fortescue_SDExport'!AA:AA),
    IF(_xlpm.result=0,"",_xlpm.result)
)</f>
        <v>Project</v>
      </c>
      <c r="AA238" s="2" t="str">
        <f>_xlfn.LET(_xlpm.result, _xlfn.XLOOKUP($Y238,'EA-Fortescue_SDExport'!$A:$A,'EA-Fortescue_SDExport'!AB:AB), IF(_xlpm.result=0,"",_xlpm.result))</f>
        <v/>
      </c>
      <c r="AB238" s="2" t="str">
        <f>_xlfn.LET(_xlpm.result, _xlfn.XLOOKUP($Y238,'EA-Fortescue_SDExport'!$A:$A,'EA-Fortescue_SDExport'!AC:AC), IF(_xlpm.result=0,"",_xlpm.result))</f>
        <v/>
      </c>
      <c r="AC238" s="2" t="str">
        <f>_xlfn.LET(
    _xlpm.isObject, _xlfn.XLOOKUP($Y238,'EA-Fortescue_SDExport'!A:A,'EA-Fortescue_SDExport'!B:B),
    _xlpm.lookupKey, IF(_xlpm.isObject="Object",
        _xlfn.XLOOKUP($A238,'EA-ConnectorExport'!A:A,'EA-ConnectorExport'!J:J),
        $Y238
    ),
    _xlpm.result, _xlfn.XLOOKUP(_xlpm.lookupKey,'EA-Fortescue_SDExport'!A:A,'EA-Fortescue_SDExport'!AD:AD),
    IF(_xlpm.result=0,"",_xlpm.result)
)</f>
        <v>005OP IT/OT Systems</v>
      </c>
      <c r="AD238" s="2" t="str">
        <f>_xlfn.LET(
    _xlpm.isObject, _xlfn.XLOOKUP($Y238,'EA-Fortescue_SDExport'!A:A,'EA-Fortescue_SDExport'!B:B),
    _xlpm.lookupKey, IF(_xlpm.isObject="Object",
        _xlfn.XLOOKUP($A238,'EA-ConnectorExport'!A:A,'EA-ConnectorExport'!J:J),
        $Y238
    ),
    _xlpm.result, _xlfn.XLOOKUP(_xlpm.lookupKey,'EA-Fortescue_SDExport'!A:A,'EA-Fortescue_SDExport'!AE:AE),
    IF(_xlpm.result=0,"",_xlpm.result)
)</f>
        <v/>
      </c>
      <c r="AE238" s="2" t="str">
        <f>_xlfn.LET(
    _xlpm.isObject, _xlfn.XLOOKUP($Y238,'EA-Fortescue_SDExport'!A:A,'EA-Fortescue_SDExport'!B:B),
    _xlpm.lookupKey, IF(_xlpm.isObject="Object",
        _xlfn.XLOOKUP($A238,'EA-ConnectorExport'!A:A,'EA-ConnectorExport'!J:J),
        $Y238
    ),
    _xlpm.result, _xlfn.XLOOKUP(_xlpm.lookupKey,'EA-Fortescue_SDExport'!A:A,'EA-Fortescue_SDExport'!AF:AF),
    IF(_xlpm.result=0,"",_xlpm.result)
)</f>
        <v>005OP-0000-017 Ignition</v>
      </c>
      <c r="AF238" s="2" t="str">
        <f>_xlfn.LET(
    _xlpm.isObject, _xlfn.XLOOKUP($Y238,'EA-Fortescue_SDExport'!A:A,'EA-Fortescue_SDExport'!B:B),
    _xlpm.lookupKey, IF(_xlpm.isObject="Object",
        _xlfn.XLOOKUP($A238,'EA-ConnectorExport'!A:A,'EA-ConnectorExport'!J:J),
        $Y238
    ),
    _xlpm.result, _xlfn.XLOOKUP(_xlpm.lookupKey,'EA-Fortescue_SDExport'!A:A,'EA-Fortescue_SDExport'!AG:AG),
    IF(_xlpm.result=0,"",_xlpm.result)
)</f>
        <v/>
      </c>
    </row>
    <row r="239" spans="1:32" ht="60" x14ac:dyDescent="0.25">
      <c r="A239" s="2" t="str">
        <v>DGS-I_0238</v>
      </c>
      <c r="B239" s="2" t="str">
        <f t="shared" si="12"/>
        <v>854DC-5670-0001-0001 AC Solar Inverter|854DC-5680-0001 Battery Energy Storage Systems (BESS)</v>
      </c>
      <c r="C239" s="2" t="str">
        <f>_xlfn.LET(_xlpm.result, _xlfn.XLOOKUP(A239,'EA-Fortescue_SDExport'!A:A,'EA-Fortescue_SDExport'!AM:AM), IF(_xlpm.result=0,"",_xlpm.result))</f>
        <v/>
      </c>
      <c r="D239" s="2" t="str">
        <f>_xlfn.LET(_xlpm.result, _xlfn.XLOOKUP(A239,'EA-Fortescue_SDExport'!A:A,'EA-Fortescue_SDExport'!AN:AN), IF(_xlpm.result=0,"",_xlpm.result))</f>
        <v/>
      </c>
      <c r="E239" s="2" t="str">
        <f>_xlfn.XLOOKUP(R239&amp;Z239,Lookups!A:A,Lookups!B:B)</f>
        <v>Project - Subsystem Interface</v>
      </c>
      <c r="F239" s="2" t="str">
        <f>_xlfn.LET(_xlpm.result, _xlfn.XLOOKUP(A239,'EA-Fortescue_SDExport'!A:A,'EA-Fortescue_SDExport'!AP:AP), IF(_xlpm.result=0,"",_xlpm.result))</f>
        <v/>
      </c>
      <c r="G239" s="2" t="str">
        <f>IF(OR(AND(T239&lt;&gt;"", COUNTIF(Lookups!J:J, "*"&amp;T239&amp;"*")&gt;0), AND(AB239&lt;&gt;"", COUNTIF(Lookups!J:J, "*"&amp;AB239&amp;"*")&gt;0)), "Yes", "No")</f>
        <v>No</v>
      </c>
      <c r="H239" s="2" t="str">
        <f t="shared" si="13"/>
        <v>854DC Green Power|854DC Green Power</v>
      </c>
      <c r="I239" s="2" t="str">
        <f t="shared" si="14"/>
        <v>854DC-5670 Energy Generation - Solar|854DC-5680 Battery Energy Storage System (BESS)</v>
      </c>
      <c r="J239" s="2" t="str">
        <f t="shared" si="15"/>
        <v>854DC-5670-0001 Solar Photovoltaic (PV) Farms|854DC-5680-0001 Battery Energy Storage Systems (BESS)</v>
      </c>
      <c r="K239" s="2" t="str">
        <f>_xlfn.XLOOKUP(A239,'EA-Fortescue_SDExport'!A:A,'EA-Fortescue_SDExport'!N:N)</f>
        <v>Proposed</v>
      </c>
      <c r="L239" s="2" t="str">
        <f>_xlfn.LET(_xlpm.result, _xlfn.XLOOKUP($A239,'EA-Fortescue_SDExport'!$A:$A,'EA-Fortescue_SDExport'!AQ:AQ), IF(_xlpm.result=0,"",_xlpm.result))</f>
        <v/>
      </c>
      <c r="M239" s="2" t="str">
        <f>_xlfn.LET(_xlpm.result, _xlfn.XLOOKUP($A239,'EA-Fortescue_SDExport'!$A:$A,'EA-Fortescue_SDExport'!AR:AR), IF(_xlpm.result=0,"",_xlpm.result))</f>
        <v/>
      </c>
      <c r="N239" s="2" t="str">
        <f>_xlfn.LET(_xlpm.result, _xlfn.XLOOKUP($A239,'EA-Fortescue_SDExport'!$A:$A,'EA-Fortescue_SDExport'!AW:AW), IF(_xlpm.result=0,"",_xlpm.result))</f>
        <v/>
      </c>
      <c r="O239" s="2" t="str">
        <f>_xlfn.LET(_xlpm.result, _xlfn.XLOOKUP($A239,'EA-Fortescue_SDExport'!$A:$A,'EA-Fortescue_SDExport'!AV:AV), IF(_xlpm.result=0,"",_xlpm.result))</f>
        <v/>
      </c>
      <c r="P239" s="2" t="str">
        <f>_xlfn.LET(_xlpm.result, _xlfn.XLOOKUP($A239,'EA-Fortescue_SDExport'!$A:$A,'EA-Fortescue_SDExport'!D:D), IF(_xlpm.result=0,"",_xlpm.result))</f>
        <v/>
      </c>
      <c r="Q239" s="2" t="str">
        <f>_xlfn.LET(
    _xlpm.status, _xlfn.XLOOKUP($A239,'EA-ConnectorExport'!$A:$A,'EA-ConnectorExport'!G:G),
    _xlpm.result, _xlfn.XLOOKUP($A239,'EA-ConnectorExport'!$A:$A,'EA-ConnectorExport'!B:B),
    IF(_xlpm.status="allocate", _xlpm.result, "")
)</f>
        <v>854DC-5670-0001-0001 AC Solar Inverter</v>
      </c>
      <c r="R239" s="2" t="str">
        <f>IF(
    _xlfn.XLOOKUP($Q239,'EA-Fortescue_SDExport'!A:A,'EA-Fortescue_SDExport'!B:B)="Object",
    _xlfn.XLOOKUP(
        _xlfn.XLOOKUP($A239,'EA-ConnectorExport'!A:A,'EA-ConnectorExport'!D:D),
        'EA-Fortescue_SDExport'!A:A,
        'EA-Fortescue_SDExport'!AA:AA
    ),
    _xlfn.XLOOKUP($Q239,'EA-Fortescue_SDExport'!A:A,'EA-Fortescue_SDExport'!AA:AA)
)</f>
        <v>Subsystem</v>
      </c>
      <c r="S239" s="2" t="str">
        <f>_xlfn.LET(_xlpm.result, _xlfn.XLOOKUP($Q239,'EA-Fortescue_SDExport'!$A:$A,'EA-Fortescue_SDExport'!AB:AB), IF(_xlpm.result=0,"",_xlpm.result))</f>
        <v/>
      </c>
      <c r="T239" s="2" t="str">
        <f>_xlfn.LET(_xlpm.result, _xlfn.XLOOKUP($Q239,'EA-Fortescue_SDExport'!$A:$A,'EA-Fortescue_SDExport'!AC:AC), IF(_xlpm.result=0,"",_xlpm.result))</f>
        <v>Generic Physical Asset</v>
      </c>
      <c r="U239" s="2" t="str">
        <f>_xlfn.LET(
    _xlpm.isObject, _xlfn.XLOOKUP($Q239,'EA-Fortescue_SDExport'!A:A,'EA-Fortescue_SDExport'!B:B),
    _xlpm.lookupKey, IF(_xlpm.isObject="Object",
        _xlfn.XLOOKUP($A239,'EA-ConnectorExport'!A:A,'EA-ConnectorExport'!D:D),
        $Q239
    ),
    _xlpm.result, _xlfn.XLOOKUP(_xlpm.lookupKey,'EA-Fortescue_SDExport'!A:A,'EA-Fortescue_SDExport'!AD:AD),
    IF(_xlpm.result=0,"",_xlpm.result)
)</f>
        <v>854DC Green Power</v>
      </c>
      <c r="V239" s="2" t="str">
        <f>_xlfn.LET(
    _xlpm.isObject, _xlfn.XLOOKUP($Q239,'EA-Fortescue_SDExport'!A:A,'EA-Fortescue_SDExport'!B:B),
    _xlpm.lookupKey, IF(_xlpm.isObject="Object",
        _xlfn.XLOOKUP($A239,'EA-ConnectorExport'!A:A,'EA-ConnectorExport'!D:D),
        $Q239
    ),
    _xlpm.result, _xlfn.XLOOKUP(_xlpm.lookupKey,'EA-Fortescue_SDExport'!A:A,'EA-Fortescue_SDExport'!AE:AE),
    IF(_xlpm.result=0,"",_xlpm.result)
)</f>
        <v>854DC-5670 Energy Generation - Solar</v>
      </c>
      <c r="W239" s="2" t="str">
        <f>_xlfn.LET(
    _xlpm.isObject, _xlfn.XLOOKUP($Q239,'EA-Fortescue_SDExport'!A:A,'EA-Fortescue_SDExport'!B:B),
    _xlpm.lookupKey, IF(_xlpm.isObject="Object",
        _xlfn.XLOOKUP($A239,'EA-ConnectorExport'!A:A,'EA-ConnectorExport'!D:D),
        $Q239
    ),
    _xlpm.result, _xlfn.XLOOKUP(_xlpm.lookupKey,'EA-Fortescue_SDExport'!A:A,'EA-Fortescue_SDExport'!AF:AF),
    IF(_xlpm.result=0,"",_xlpm.result)
)</f>
        <v>854DC-5670-0001 Solar Photovoltaic (PV) Farms</v>
      </c>
      <c r="X239" s="2" t="str">
        <f>_xlfn.LET(
    _xlpm.isObject, _xlfn.XLOOKUP($Q239,'EA-Fortescue_SDExport'!A:A,'EA-Fortescue_SDExport'!B:B),
    _xlpm.lookupKey, IF(_xlpm.isObject="Object",
        _xlfn.XLOOKUP($A239,'EA-ConnectorExport'!A:A,'EA-ConnectorExport'!D:D),
        $Q239
    ),
    _xlpm.result, _xlfn.XLOOKUP(_xlpm.lookupKey,'EA-Fortescue_SDExport'!A:A,'EA-Fortescue_SDExport'!AG:AG),
    IF(_xlpm.result=0,"",_xlpm.result)
)</f>
        <v>854DC-5670-0001-0001 AC Solar Inverter</v>
      </c>
      <c r="Y239" s="2" t="str">
        <f>_xlfn.LET(
    _xlpm.status, _xlfn.XLOOKUP($A239,'EA-ConnectorExport'!$A:$A,'EA-ConnectorExport'!G:G),
    _xlpm.result, _xlfn.XLOOKUP($A239,'EA-ConnectorExport'!$A:$A,'EA-ConnectorExport'!H:H),
    IF(_xlpm.status="allocate", _xlpm.result, "")
)</f>
        <v>854DC-5680-0001 Battery Energy Storage Systems (BESS)</v>
      </c>
      <c r="Z239" s="2" t="str">
        <f>_xlfn.LET(
    _xlpm.isObject, _xlfn.XLOOKUP($Y239,'EA-Fortescue_SDExport'!A:A,'EA-Fortescue_SDExport'!B:B),
    _xlpm.lookupKey, IF(_xlpm.isObject="Object",
        _xlfn.XLOOKUP($A239,'EA-ConnectorExport'!A:A,'EA-ConnectorExport'!J:J),
        $Y239
    ),
    _xlpm.result, _xlfn.XLOOKUP(_xlpm.lookupKey,'EA-Fortescue_SDExport'!A:A,'EA-Fortescue_SDExport'!AA:AA),
    IF(_xlpm.result=0,"",_xlpm.result)
)</f>
        <v>Project</v>
      </c>
      <c r="AA239" s="2" t="str">
        <f>_xlfn.LET(_xlpm.result, _xlfn.XLOOKUP($Y239,'EA-Fortescue_SDExport'!$A:$A,'EA-Fortescue_SDExport'!AB:AB), IF(_xlpm.result=0,"",_xlpm.result))</f>
        <v/>
      </c>
      <c r="AB239" s="2" t="str">
        <f>_xlfn.LET(_xlpm.result, _xlfn.XLOOKUP($Y239,'EA-Fortescue_SDExport'!$A:$A,'EA-Fortescue_SDExport'!AC:AC), IF(_xlpm.result=0,"",_xlpm.result))</f>
        <v>Generic Physical Asset</v>
      </c>
      <c r="AC239" s="2" t="str">
        <f>_xlfn.LET(
    _xlpm.isObject, _xlfn.XLOOKUP($Y239,'EA-Fortescue_SDExport'!A:A,'EA-Fortescue_SDExport'!B:B),
    _xlpm.lookupKey, IF(_xlpm.isObject="Object",
        _xlfn.XLOOKUP($A239,'EA-ConnectorExport'!A:A,'EA-ConnectorExport'!J:J),
        $Y239
    ),
    _xlpm.result, _xlfn.XLOOKUP(_xlpm.lookupKey,'EA-Fortescue_SDExport'!A:A,'EA-Fortescue_SDExport'!AD:AD),
    IF(_xlpm.result=0,"",_xlpm.result)
)</f>
        <v>854DC Green Power</v>
      </c>
      <c r="AD239" s="2" t="str">
        <f>_xlfn.LET(
    _xlpm.isObject, _xlfn.XLOOKUP($Y239,'EA-Fortescue_SDExport'!A:A,'EA-Fortescue_SDExport'!B:B),
    _xlpm.lookupKey, IF(_xlpm.isObject="Object",
        _xlfn.XLOOKUP($A239,'EA-ConnectorExport'!A:A,'EA-ConnectorExport'!J:J),
        $Y239
    ),
    _xlpm.result, _xlfn.XLOOKUP(_xlpm.lookupKey,'EA-Fortescue_SDExport'!A:A,'EA-Fortescue_SDExport'!AE:AE),
    IF(_xlpm.result=0,"",_xlpm.result)
)</f>
        <v>854DC-5680 Battery Energy Storage System (BESS)</v>
      </c>
      <c r="AE239" s="2" t="str">
        <f>_xlfn.LET(
    _xlpm.isObject, _xlfn.XLOOKUP($Y239,'EA-Fortescue_SDExport'!A:A,'EA-Fortescue_SDExport'!B:B),
    _xlpm.lookupKey, IF(_xlpm.isObject="Object",
        _xlfn.XLOOKUP($A239,'EA-ConnectorExport'!A:A,'EA-ConnectorExport'!J:J),
        $Y239
    ),
    _xlpm.result, _xlfn.XLOOKUP(_xlpm.lookupKey,'EA-Fortescue_SDExport'!A:A,'EA-Fortescue_SDExport'!AF:AF),
    IF(_xlpm.result=0,"",_xlpm.result)
)</f>
        <v>854DC-5680-0001 Battery Energy Storage Systems (BESS)</v>
      </c>
      <c r="AF239" s="2" t="str">
        <f>_xlfn.LET(
    _xlpm.isObject, _xlfn.XLOOKUP($Y239,'EA-Fortescue_SDExport'!A:A,'EA-Fortescue_SDExport'!B:B),
    _xlpm.lookupKey, IF(_xlpm.isObject="Object",
        _xlfn.XLOOKUP($A239,'EA-ConnectorExport'!A:A,'EA-ConnectorExport'!J:J),
        $Y239
    ),
    _xlpm.result, _xlfn.XLOOKUP(_xlpm.lookupKey,'EA-Fortescue_SDExport'!A:A,'EA-Fortescue_SDExport'!AG:AG),
    IF(_xlpm.result=0,"",_xlpm.result)
)</f>
        <v/>
      </c>
    </row>
    <row r="240" spans="1:32" ht="45" x14ac:dyDescent="0.25">
      <c r="A240" s="2" t="str">
        <v>DGS-I_0239</v>
      </c>
      <c r="B240" s="2" t="str">
        <f t="shared" si="12"/>
        <v>Solomon Mine Hub: AC Solar Inverter|Solomon Mine Hub: Solar Photovoltaic (PV) Farms</v>
      </c>
      <c r="C240" s="2" t="str">
        <f>_xlfn.LET(_xlpm.result, _xlfn.XLOOKUP(A240,'EA-Fortescue_SDExport'!A:A,'EA-Fortescue_SDExport'!AM:AM), IF(_xlpm.result=0,"",_xlpm.result))</f>
        <v/>
      </c>
      <c r="D240" s="2" t="str">
        <f>_xlfn.LET(_xlpm.result, _xlfn.XLOOKUP(A240,'EA-Fortescue_SDExport'!A:A,'EA-Fortescue_SDExport'!AN:AN), IF(_xlpm.result=0,"",_xlpm.result))</f>
        <v/>
      </c>
      <c r="E240" s="2" t="str">
        <f>_xlfn.XLOOKUP(R240&amp;Z240,Lookups!A:A,Lookups!B:B)</f>
        <v>Project - Subsystem Interface</v>
      </c>
      <c r="F240" s="2" t="str">
        <f>_xlfn.LET(_xlpm.result, _xlfn.XLOOKUP(A240,'EA-Fortescue_SDExport'!A:A,'EA-Fortescue_SDExport'!AP:AP), IF(_xlpm.result=0,"",_xlpm.result))</f>
        <v/>
      </c>
      <c r="G240" s="2" t="str">
        <f>IF(OR(AND(T240&lt;&gt;"", COUNTIF(Lookups!J:J, "*"&amp;T240&amp;"*")&gt;0), AND(AB240&lt;&gt;"", COUNTIF(Lookups!J:J, "*"&amp;AB240&amp;"*")&gt;0)), "Yes", "No")</f>
        <v>Yes</v>
      </c>
      <c r="H240" s="2" t="str">
        <f t="shared" si="13"/>
        <v>854DC Green Power|854DC Green Power</v>
      </c>
      <c r="I240" s="2" t="str">
        <f t="shared" si="14"/>
        <v>854DC-5670 Energy Generation - Solar|854DC-5670 Energy Generation - Solar</v>
      </c>
      <c r="J240" s="2" t="str">
        <f t="shared" si="15"/>
        <v>854DC-5670-0001 Solar Photovoltaic (PV) Farms|854DC-5670-0001 Solar Photovoltaic (PV) Farms</v>
      </c>
      <c r="K240" s="2" t="str">
        <f>_xlfn.XLOOKUP(A240,'EA-Fortescue_SDExport'!A:A,'EA-Fortescue_SDExport'!N:N)</f>
        <v>Proposed</v>
      </c>
      <c r="L240" s="2" t="str">
        <f>_xlfn.LET(_xlpm.result, _xlfn.XLOOKUP($A240,'EA-Fortescue_SDExport'!$A:$A,'EA-Fortescue_SDExport'!AQ:AQ), IF(_xlpm.result=0,"",_xlpm.result))</f>
        <v/>
      </c>
      <c r="M240" s="2" t="str">
        <f>_xlfn.LET(_xlpm.result, _xlfn.XLOOKUP($A240,'EA-Fortescue_SDExport'!$A:$A,'EA-Fortescue_SDExport'!AR:AR), IF(_xlpm.result=0,"",_xlpm.result))</f>
        <v/>
      </c>
      <c r="N240" s="2" t="str">
        <f>_xlfn.LET(_xlpm.result, _xlfn.XLOOKUP($A240,'EA-Fortescue_SDExport'!$A:$A,'EA-Fortescue_SDExport'!AW:AW), IF(_xlpm.result=0,"",_xlpm.result))</f>
        <v/>
      </c>
      <c r="O240" s="2" t="str">
        <f>_xlfn.LET(_xlpm.result, _xlfn.XLOOKUP($A240,'EA-Fortescue_SDExport'!$A:$A,'EA-Fortescue_SDExport'!AV:AV), IF(_xlpm.result=0,"",_xlpm.result))</f>
        <v/>
      </c>
      <c r="P240" s="2" t="str">
        <f>_xlfn.LET(_xlpm.result, _xlfn.XLOOKUP($A240,'EA-Fortescue_SDExport'!$A:$A,'EA-Fortescue_SDExport'!D:D), IF(_xlpm.result=0,"",_xlpm.result))</f>
        <v/>
      </c>
      <c r="Q240" s="2" t="str">
        <f>_xlfn.LET(
    _xlpm.status, _xlfn.XLOOKUP($A240,'EA-ConnectorExport'!$A:$A,'EA-ConnectorExport'!G:G),
    _xlpm.result, _xlfn.XLOOKUP($A240,'EA-ConnectorExport'!$A:$A,'EA-ConnectorExport'!B:B),
    IF(_xlpm.status="allocate", _xlpm.result, "")
)</f>
        <v>Solomon Mine Hub: AC Solar Inverter</v>
      </c>
      <c r="R240" s="2" t="str">
        <f>IF(
    _xlfn.XLOOKUP($Q240,'EA-Fortescue_SDExport'!A:A,'EA-Fortescue_SDExport'!B:B)="Object",
    _xlfn.XLOOKUP(
        _xlfn.XLOOKUP($A240,'EA-ConnectorExport'!A:A,'EA-ConnectorExport'!D:D),
        'EA-Fortescue_SDExport'!A:A,
        'EA-Fortescue_SDExport'!AA:AA
    ),
    _xlfn.XLOOKUP($Q240,'EA-Fortescue_SDExport'!A:A,'EA-Fortescue_SDExport'!AA:AA)
)</f>
        <v>Subsystem</v>
      </c>
      <c r="S240" s="2" t="str">
        <f>_xlfn.LET(_xlpm.result, _xlfn.XLOOKUP($Q240,'EA-Fortescue_SDExport'!$A:$A,'EA-Fortescue_SDExport'!AB:AB), IF(_xlpm.result=0,"",_xlpm.result))</f>
        <v/>
      </c>
      <c r="T240" s="2" t="str">
        <f>_xlfn.LET(_xlpm.result, _xlfn.XLOOKUP($Q240,'EA-Fortescue_SDExport'!$A:$A,'EA-Fortescue_SDExport'!AC:AC), IF(_xlpm.result=0,"",_xlpm.result))</f>
        <v>Solomon Mine Hub</v>
      </c>
      <c r="U240" s="2" t="str">
        <f>_xlfn.LET(
    _xlpm.isObject, _xlfn.XLOOKUP($Q240,'EA-Fortescue_SDExport'!A:A,'EA-Fortescue_SDExport'!B:B),
    _xlpm.lookupKey, IF(_xlpm.isObject="Object",
        _xlfn.XLOOKUP($A240,'EA-ConnectorExport'!A:A,'EA-ConnectorExport'!D:D),
        $Q240
    ),
    _xlpm.result, _xlfn.XLOOKUP(_xlpm.lookupKey,'EA-Fortescue_SDExport'!A:A,'EA-Fortescue_SDExport'!AD:AD),
    IF(_xlpm.result=0,"",_xlpm.result)
)</f>
        <v>854DC Green Power</v>
      </c>
      <c r="V240" s="2" t="str">
        <f>_xlfn.LET(
    _xlpm.isObject, _xlfn.XLOOKUP($Q240,'EA-Fortescue_SDExport'!A:A,'EA-Fortescue_SDExport'!B:B),
    _xlpm.lookupKey, IF(_xlpm.isObject="Object",
        _xlfn.XLOOKUP($A240,'EA-ConnectorExport'!A:A,'EA-ConnectorExport'!D:D),
        $Q240
    ),
    _xlpm.result, _xlfn.XLOOKUP(_xlpm.lookupKey,'EA-Fortescue_SDExport'!A:A,'EA-Fortescue_SDExport'!AE:AE),
    IF(_xlpm.result=0,"",_xlpm.result)
)</f>
        <v>854DC-5670 Energy Generation - Solar</v>
      </c>
      <c r="W240" s="2" t="str">
        <f>_xlfn.LET(
    _xlpm.isObject, _xlfn.XLOOKUP($Q240,'EA-Fortescue_SDExport'!A:A,'EA-Fortescue_SDExport'!B:B),
    _xlpm.lookupKey, IF(_xlpm.isObject="Object",
        _xlfn.XLOOKUP($A240,'EA-ConnectorExport'!A:A,'EA-ConnectorExport'!D:D),
        $Q240
    ),
    _xlpm.result, _xlfn.XLOOKUP(_xlpm.lookupKey,'EA-Fortescue_SDExport'!A:A,'EA-Fortescue_SDExport'!AF:AF),
    IF(_xlpm.result=0,"",_xlpm.result)
)</f>
        <v>854DC-5670-0001 Solar Photovoltaic (PV) Farms</v>
      </c>
      <c r="X240" s="2" t="str">
        <f>_xlfn.LET(
    _xlpm.isObject, _xlfn.XLOOKUP($Q240,'EA-Fortescue_SDExport'!A:A,'EA-Fortescue_SDExport'!B:B),
    _xlpm.lookupKey, IF(_xlpm.isObject="Object",
        _xlfn.XLOOKUP($A240,'EA-ConnectorExport'!A:A,'EA-ConnectorExport'!D:D),
        $Q240
    ),
    _xlpm.result, _xlfn.XLOOKUP(_xlpm.lookupKey,'EA-Fortescue_SDExport'!A:A,'EA-Fortescue_SDExport'!AG:AG),
    IF(_xlpm.result=0,"",_xlpm.result)
)</f>
        <v>854DC-5670-0001-0001 AC Solar Inverter</v>
      </c>
      <c r="Y240" s="2" t="str">
        <f>_xlfn.LET(
    _xlpm.status, _xlfn.XLOOKUP($A240,'EA-ConnectorExport'!$A:$A,'EA-ConnectorExport'!G:G),
    _xlpm.result, _xlfn.XLOOKUP($A240,'EA-ConnectorExport'!$A:$A,'EA-ConnectorExport'!H:H),
    IF(_xlpm.status="allocate", _xlpm.result, "")
)</f>
        <v>Solomon Mine Hub: Solar Photovoltaic (PV) Farms</v>
      </c>
      <c r="Z240" s="2" t="str">
        <f>_xlfn.LET(
    _xlpm.isObject, _xlfn.XLOOKUP($Y240,'EA-Fortescue_SDExport'!A:A,'EA-Fortescue_SDExport'!B:B),
    _xlpm.lookupKey, IF(_xlpm.isObject="Object",
        _xlfn.XLOOKUP($A240,'EA-ConnectorExport'!A:A,'EA-ConnectorExport'!J:J),
        $Y240
    ),
    _xlpm.result, _xlfn.XLOOKUP(_xlpm.lookupKey,'EA-Fortescue_SDExport'!A:A,'EA-Fortescue_SDExport'!AA:AA),
    IF(_xlpm.result=0,"",_xlpm.result)
)</f>
        <v>Project</v>
      </c>
      <c r="AA240" s="2" t="str">
        <f>_xlfn.LET(_xlpm.result, _xlfn.XLOOKUP($Y240,'EA-Fortescue_SDExport'!$A:$A,'EA-Fortescue_SDExport'!AB:AB), IF(_xlpm.result=0,"",_xlpm.result))</f>
        <v/>
      </c>
      <c r="AB240" s="2" t="str">
        <f>_xlfn.LET(_xlpm.result, _xlfn.XLOOKUP($Y240,'EA-Fortescue_SDExport'!$A:$A,'EA-Fortescue_SDExport'!AC:AC), IF(_xlpm.result=0,"",_xlpm.result))</f>
        <v>Solomon Mine Hub</v>
      </c>
      <c r="AC240" s="2" t="str">
        <f>_xlfn.LET(
    _xlpm.isObject, _xlfn.XLOOKUP($Y240,'EA-Fortescue_SDExport'!A:A,'EA-Fortescue_SDExport'!B:B),
    _xlpm.lookupKey, IF(_xlpm.isObject="Object",
        _xlfn.XLOOKUP($A240,'EA-ConnectorExport'!A:A,'EA-ConnectorExport'!J:J),
        $Y240
    ),
    _xlpm.result, _xlfn.XLOOKUP(_xlpm.lookupKey,'EA-Fortescue_SDExport'!A:A,'EA-Fortescue_SDExport'!AD:AD),
    IF(_xlpm.result=0,"",_xlpm.result)
)</f>
        <v>854DC Green Power</v>
      </c>
      <c r="AD240" s="2" t="str">
        <f>_xlfn.LET(
    _xlpm.isObject, _xlfn.XLOOKUP($Y240,'EA-Fortescue_SDExport'!A:A,'EA-Fortescue_SDExport'!B:B),
    _xlpm.lookupKey, IF(_xlpm.isObject="Object",
        _xlfn.XLOOKUP($A240,'EA-ConnectorExport'!A:A,'EA-ConnectorExport'!J:J),
        $Y240
    ),
    _xlpm.result, _xlfn.XLOOKUP(_xlpm.lookupKey,'EA-Fortescue_SDExport'!A:A,'EA-Fortescue_SDExport'!AE:AE),
    IF(_xlpm.result=0,"",_xlpm.result)
)</f>
        <v>854DC-5670 Energy Generation - Solar</v>
      </c>
      <c r="AE240" s="2" t="str">
        <f>_xlfn.LET(
    _xlpm.isObject, _xlfn.XLOOKUP($Y240,'EA-Fortescue_SDExport'!A:A,'EA-Fortescue_SDExport'!B:B),
    _xlpm.lookupKey, IF(_xlpm.isObject="Object",
        _xlfn.XLOOKUP($A240,'EA-ConnectorExport'!A:A,'EA-ConnectorExport'!J:J),
        $Y240
    ),
    _xlpm.result, _xlfn.XLOOKUP(_xlpm.lookupKey,'EA-Fortescue_SDExport'!A:A,'EA-Fortescue_SDExport'!AF:AF),
    IF(_xlpm.result=0,"",_xlpm.result)
)</f>
        <v>854DC-5670-0001 Solar Photovoltaic (PV) Farms</v>
      </c>
      <c r="AF240" s="2" t="str">
        <f>_xlfn.LET(
    _xlpm.isObject, _xlfn.XLOOKUP($Y240,'EA-Fortescue_SDExport'!A:A,'EA-Fortescue_SDExport'!B:B),
    _xlpm.lookupKey, IF(_xlpm.isObject="Object",
        _xlfn.XLOOKUP($A240,'EA-ConnectorExport'!A:A,'EA-ConnectorExport'!J:J),
        $Y240
    ),
    _xlpm.result, _xlfn.XLOOKUP(_xlpm.lookupKey,'EA-Fortescue_SDExport'!A:A,'EA-Fortescue_SDExport'!AG:AG),
    IF(_xlpm.result=0,"",_xlpm.result)
)</f>
        <v/>
      </c>
    </row>
    <row r="241" spans="1:32" ht="60" x14ac:dyDescent="0.25">
      <c r="A241" s="2" t="str">
        <v>DGS-I_0240</v>
      </c>
      <c r="B241" s="2" t="str">
        <f t="shared" si="12"/>
        <v>Solomon Mine Hub: Solar Photovoltaic (PV) Farms|855DC-1543-008 Monarch</v>
      </c>
      <c r="C241" s="2" t="str">
        <f>_xlfn.LET(_xlpm.result, _xlfn.XLOOKUP(A241,'EA-Fortescue_SDExport'!A:A,'EA-Fortescue_SDExport'!AM:AM), IF(_xlpm.result=0,"",_xlpm.result))</f>
        <v/>
      </c>
      <c r="D241" s="2" t="str">
        <f>_xlfn.LET(_xlpm.result, _xlfn.XLOOKUP(A241,'EA-Fortescue_SDExport'!A:A,'EA-Fortescue_SDExport'!AN:AN), IF(_xlpm.result=0,"",_xlpm.result))</f>
        <v/>
      </c>
      <c r="E241" s="2" t="str">
        <f>_xlfn.XLOOKUP(R241&amp;Z241,Lookups!A:A,Lookups!B:B)</f>
        <v>Project - Project Interface</v>
      </c>
      <c r="F241" s="2" t="str">
        <f>_xlfn.LET(_xlpm.result, _xlfn.XLOOKUP(A241,'EA-Fortescue_SDExport'!A:A,'EA-Fortescue_SDExport'!AP:AP), IF(_xlpm.result=0,"",_xlpm.result))</f>
        <v/>
      </c>
      <c r="G241" s="2" t="str">
        <f>IF(OR(AND(T241&lt;&gt;"", COUNTIF(Lookups!J:J, "*"&amp;T241&amp;"*")&gt;0), AND(AB241&lt;&gt;"", COUNTIF(Lookups!J:J, "*"&amp;AB241&amp;"*")&gt;0)), "Yes", "No")</f>
        <v>Yes</v>
      </c>
      <c r="H241" s="2" t="str">
        <f t="shared" si="13"/>
        <v>854DC Green Power|855DC Decarb Green Systems</v>
      </c>
      <c r="I241" s="2" t="str">
        <f t="shared" si="14"/>
        <v>854DC-5670 Energy Generation - Solar|855DC-1543 Existing Systems - Green Enhancement</v>
      </c>
      <c r="J241" s="2" t="str">
        <f t="shared" si="15"/>
        <v>854DC-5670-0001 Solar Photovoltaic (PV) Farms|855DC-1543-008 Monarch</v>
      </c>
      <c r="K241" s="2" t="str">
        <f>_xlfn.XLOOKUP(A241,'EA-Fortescue_SDExport'!A:A,'EA-Fortescue_SDExport'!N:N)</f>
        <v>Proposed</v>
      </c>
      <c r="L241" s="2" t="str">
        <f>_xlfn.LET(_xlpm.result, _xlfn.XLOOKUP($A241,'EA-Fortescue_SDExport'!$A:$A,'EA-Fortescue_SDExport'!AQ:AQ), IF(_xlpm.result=0,"",_xlpm.result))</f>
        <v/>
      </c>
      <c r="M241" s="2" t="str">
        <f>_xlfn.LET(_xlpm.result, _xlfn.XLOOKUP($A241,'EA-Fortescue_SDExport'!$A:$A,'EA-Fortescue_SDExport'!AR:AR), IF(_xlpm.result=0,"",_xlpm.result))</f>
        <v/>
      </c>
      <c r="N241" s="2" t="str">
        <f>_xlfn.LET(_xlpm.result, _xlfn.XLOOKUP($A241,'EA-Fortescue_SDExport'!$A:$A,'EA-Fortescue_SDExport'!AW:AW), IF(_xlpm.result=0,"",_xlpm.result))</f>
        <v/>
      </c>
      <c r="O241" s="2" t="str">
        <f>_xlfn.LET(_xlpm.result, _xlfn.XLOOKUP($A241,'EA-Fortescue_SDExport'!$A:$A,'EA-Fortescue_SDExport'!AV:AV), IF(_xlpm.result=0,"",_xlpm.result))</f>
        <v/>
      </c>
      <c r="P241" s="2" t="str">
        <f>_xlfn.LET(_xlpm.result, _xlfn.XLOOKUP($A241,'EA-Fortescue_SDExport'!$A:$A,'EA-Fortescue_SDExport'!D:D), IF(_xlpm.result=0,"",_xlpm.result))</f>
        <v/>
      </c>
      <c r="Q241" s="2" t="str">
        <f>_xlfn.LET(
    _xlpm.status, _xlfn.XLOOKUP($A241,'EA-ConnectorExport'!$A:$A,'EA-ConnectorExport'!G:G),
    _xlpm.result, _xlfn.XLOOKUP($A241,'EA-ConnectorExport'!$A:$A,'EA-ConnectorExport'!B:B),
    IF(_xlpm.status="allocate", _xlpm.result, "")
)</f>
        <v>Solomon Mine Hub: Solar Photovoltaic (PV) Farms</v>
      </c>
      <c r="R241" s="2" t="str">
        <f>IF(
    _xlfn.XLOOKUP($Q241,'EA-Fortescue_SDExport'!A:A,'EA-Fortescue_SDExport'!B:B)="Object",
    _xlfn.XLOOKUP(
        _xlfn.XLOOKUP($A241,'EA-ConnectorExport'!A:A,'EA-ConnectorExport'!D:D),
        'EA-Fortescue_SDExport'!A:A,
        'EA-Fortescue_SDExport'!AA:AA
    ),
    _xlfn.XLOOKUP($Q241,'EA-Fortescue_SDExport'!A:A,'EA-Fortescue_SDExport'!AA:AA)
)</f>
        <v>Project</v>
      </c>
      <c r="S241" s="2" t="str">
        <f>_xlfn.LET(_xlpm.result, _xlfn.XLOOKUP($Q241,'EA-Fortescue_SDExport'!$A:$A,'EA-Fortescue_SDExport'!AB:AB), IF(_xlpm.result=0,"",_xlpm.result))</f>
        <v/>
      </c>
      <c r="T241" s="2" t="str">
        <f>_xlfn.LET(_xlpm.result, _xlfn.XLOOKUP($Q241,'EA-Fortescue_SDExport'!$A:$A,'EA-Fortescue_SDExport'!AC:AC), IF(_xlpm.result=0,"",_xlpm.result))</f>
        <v>Solomon Mine Hub</v>
      </c>
      <c r="U241" s="2" t="str">
        <f>_xlfn.LET(
    _xlpm.isObject, _xlfn.XLOOKUP($Q241,'EA-Fortescue_SDExport'!A:A,'EA-Fortescue_SDExport'!B:B),
    _xlpm.lookupKey, IF(_xlpm.isObject="Object",
        _xlfn.XLOOKUP($A241,'EA-ConnectorExport'!A:A,'EA-ConnectorExport'!D:D),
        $Q241
    ),
    _xlpm.result, _xlfn.XLOOKUP(_xlpm.lookupKey,'EA-Fortescue_SDExport'!A:A,'EA-Fortescue_SDExport'!AD:AD),
    IF(_xlpm.result=0,"",_xlpm.result)
)</f>
        <v>854DC Green Power</v>
      </c>
      <c r="V241" s="2" t="str">
        <f>_xlfn.LET(
    _xlpm.isObject, _xlfn.XLOOKUP($Q241,'EA-Fortescue_SDExport'!A:A,'EA-Fortescue_SDExport'!B:B),
    _xlpm.lookupKey, IF(_xlpm.isObject="Object",
        _xlfn.XLOOKUP($A241,'EA-ConnectorExport'!A:A,'EA-ConnectorExport'!D:D),
        $Q241
    ),
    _xlpm.result, _xlfn.XLOOKUP(_xlpm.lookupKey,'EA-Fortescue_SDExport'!A:A,'EA-Fortescue_SDExport'!AE:AE),
    IF(_xlpm.result=0,"",_xlpm.result)
)</f>
        <v>854DC-5670 Energy Generation - Solar</v>
      </c>
      <c r="W241" s="2" t="str">
        <f>_xlfn.LET(
    _xlpm.isObject, _xlfn.XLOOKUP($Q241,'EA-Fortescue_SDExport'!A:A,'EA-Fortescue_SDExport'!B:B),
    _xlpm.lookupKey, IF(_xlpm.isObject="Object",
        _xlfn.XLOOKUP($A241,'EA-ConnectorExport'!A:A,'EA-ConnectorExport'!D:D),
        $Q241
    ),
    _xlpm.result, _xlfn.XLOOKUP(_xlpm.lookupKey,'EA-Fortescue_SDExport'!A:A,'EA-Fortescue_SDExport'!AF:AF),
    IF(_xlpm.result=0,"",_xlpm.result)
)</f>
        <v>854DC-5670-0001 Solar Photovoltaic (PV) Farms</v>
      </c>
      <c r="X241" s="2" t="str">
        <f>_xlfn.LET(
    _xlpm.isObject, _xlfn.XLOOKUP($Q241,'EA-Fortescue_SDExport'!A:A,'EA-Fortescue_SDExport'!B:B),
    _xlpm.lookupKey, IF(_xlpm.isObject="Object",
        _xlfn.XLOOKUP($A241,'EA-ConnectorExport'!A:A,'EA-ConnectorExport'!D:D),
        $Q241
    ),
    _xlpm.result, _xlfn.XLOOKUP(_xlpm.lookupKey,'EA-Fortescue_SDExport'!A:A,'EA-Fortescue_SDExport'!AG:AG),
    IF(_xlpm.result=0,"",_xlpm.result)
)</f>
        <v/>
      </c>
      <c r="Y241" s="2" t="str">
        <f>_xlfn.LET(
    _xlpm.status, _xlfn.XLOOKUP($A241,'EA-ConnectorExport'!$A:$A,'EA-ConnectorExport'!G:G),
    _xlpm.result, _xlfn.XLOOKUP($A241,'EA-ConnectorExport'!$A:$A,'EA-ConnectorExport'!H:H),
    IF(_xlpm.status="allocate", _xlpm.result, "")
)</f>
        <v>855DC-1543-008 Monarch</v>
      </c>
      <c r="Z241" s="2" t="str">
        <f>_xlfn.LET(
    _xlpm.isObject, _xlfn.XLOOKUP($Y241,'EA-Fortescue_SDExport'!A:A,'EA-Fortescue_SDExport'!B:B),
    _xlpm.lookupKey, IF(_xlpm.isObject="Object",
        _xlfn.XLOOKUP($A241,'EA-ConnectorExport'!A:A,'EA-ConnectorExport'!J:J),
        $Y241
    ),
    _xlpm.result, _xlfn.XLOOKUP(_xlpm.lookupKey,'EA-Fortescue_SDExport'!A:A,'EA-Fortescue_SDExport'!AA:AA),
    IF(_xlpm.result=0,"",_xlpm.result)
)</f>
        <v>Project</v>
      </c>
      <c r="AA241" s="2" t="str">
        <f>_xlfn.LET(_xlpm.result, _xlfn.XLOOKUP($Y241,'EA-Fortescue_SDExport'!$A:$A,'EA-Fortescue_SDExport'!AB:AB), IF(_xlpm.result=0,"",_xlpm.result))</f>
        <v>Energy Operations</v>
      </c>
      <c r="AB241" s="2" t="str">
        <f>_xlfn.LET(_xlpm.result, _xlfn.XLOOKUP($Y241,'EA-Fortescue_SDExport'!$A:$A,'EA-Fortescue_SDExport'!AC:AC), IF(_xlpm.result=0,"",_xlpm.result))</f>
        <v/>
      </c>
      <c r="AC241" s="2" t="str">
        <f>_xlfn.LET(
    _xlpm.isObject, _xlfn.XLOOKUP($Y241,'EA-Fortescue_SDExport'!A:A,'EA-Fortescue_SDExport'!B:B),
    _xlpm.lookupKey, IF(_xlpm.isObject="Object",
        _xlfn.XLOOKUP($A241,'EA-ConnectorExport'!A:A,'EA-ConnectorExport'!J:J),
        $Y241
    ),
    _xlpm.result, _xlfn.XLOOKUP(_xlpm.lookupKey,'EA-Fortescue_SDExport'!A:A,'EA-Fortescue_SDExport'!AD:AD),
    IF(_xlpm.result=0,"",_xlpm.result)
)</f>
        <v>855DC Decarb Green Systems</v>
      </c>
      <c r="AD241" s="2" t="str">
        <f>_xlfn.LET(
    _xlpm.isObject, _xlfn.XLOOKUP($Y241,'EA-Fortescue_SDExport'!A:A,'EA-Fortescue_SDExport'!B:B),
    _xlpm.lookupKey, IF(_xlpm.isObject="Object",
        _xlfn.XLOOKUP($A241,'EA-ConnectorExport'!A:A,'EA-ConnectorExport'!J:J),
        $Y241
    ),
    _xlpm.result, _xlfn.XLOOKUP(_xlpm.lookupKey,'EA-Fortescue_SDExport'!A:A,'EA-Fortescue_SDExport'!AE:AE),
    IF(_xlpm.result=0,"",_xlpm.result)
)</f>
        <v>855DC-1543 Existing Systems - Green Enhancement</v>
      </c>
      <c r="AE241" s="2" t="str">
        <f>_xlfn.LET(
    _xlpm.isObject, _xlfn.XLOOKUP($Y241,'EA-Fortescue_SDExport'!A:A,'EA-Fortescue_SDExport'!B:B),
    _xlpm.lookupKey, IF(_xlpm.isObject="Object",
        _xlfn.XLOOKUP($A241,'EA-ConnectorExport'!A:A,'EA-ConnectorExport'!J:J),
        $Y241
    ),
    _xlpm.result, _xlfn.XLOOKUP(_xlpm.lookupKey,'EA-Fortescue_SDExport'!A:A,'EA-Fortescue_SDExport'!AF:AF),
    IF(_xlpm.result=0,"",_xlpm.result)
)</f>
        <v>855DC-1543-008 Monarch</v>
      </c>
      <c r="AF241" s="2" t="str">
        <f>_xlfn.LET(
    _xlpm.isObject, _xlfn.XLOOKUP($Y241,'EA-Fortescue_SDExport'!A:A,'EA-Fortescue_SDExport'!B:B),
    _xlpm.lookupKey, IF(_xlpm.isObject="Object",
        _xlfn.XLOOKUP($A241,'EA-ConnectorExport'!A:A,'EA-ConnectorExport'!J:J),
        $Y241
    ),
    _xlpm.result, _xlfn.XLOOKUP(_xlpm.lookupKey,'EA-Fortescue_SDExport'!A:A,'EA-Fortescue_SDExport'!AG:AG),
    IF(_xlpm.result=0,"",_xlpm.result)
)</f>
        <v/>
      </c>
    </row>
    <row r="242" spans="1:32" ht="60" x14ac:dyDescent="0.25">
      <c r="A242" s="2" t="str">
        <v>DGS-I_0241</v>
      </c>
      <c r="B242" s="2" t="str">
        <f t="shared" si="12"/>
        <v>Solomon Mine Hub: Battery Energy Storage Systems (BESS) - AC|855DC-1543-008 Monarch</v>
      </c>
      <c r="C242" s="2" t="str">
        <f>_xlfn.LET(_xlpm.result, _xlfn.XLOOKUP(A242,'EA-Fortescue_SDExport'!A:A,'EA-Fortescue_SDExport'!AM:AM), IF(_xlpm.result=0,"",_xlpm.result))</f>
        <v/>
      </c>
      <c r="D242" s="2" t="str">
        <f>_xlfn.LET(_xlpm.result, _xlfn.XLOOKUP(A242,'EA-Fortescue_SDExport'!A:A,'EA-Fortescue_SDExport'!AN:AN), IF(_xlpm.result=0,"",_xlpm.result))</f>
        <v/>
      </c>
      <c r="E242" s="2" t="str">
        <f>_xlfn.XLOOKUP(R242&amp;Z242,Lookups!A:A,Lookups!B:B)</f>
        <v>Project - Project Interface</v>
      </c>
      <c r="F242" s="2" t="str">
        <f>_xlfn.LET(_xlpm.result, _xlfn.XLOOKUP(A242,'EA-Fortescue_SDExport'!A:A,'EA-Fortescue_SDExport'!AP:AP), IF(_xlpm.result=0,"",_xlpm.result))</f>
        <v/>
      </c>
      <c r="G242" s="2" t="str">
        <f>IF(OR(AND(T242&lt;&gt;"", COUNTIF(Lookups!J:J, "*"&amp;T242&amp;"*")&gt;0), AND(AB242&lt;&gt;"", COUNTIF(Lookups!J:J, "*"&amp;AB242&amp;"*")&gt;0)), "Yes", "No")</f>
        <v>Yes</v>
      </c>
      <c r="H242" s="2" t="str">
        <f t="shared" si="13"/>
        <v>854DC Green Power|855DC Decarb Green Systems</v>
      </c>
      <c r="I242" s="2" t="str">
        <f t="shared" si="14"/>
        <v>854DC-5680 Battery Energy Storage System (BESS)|855DC-1543 Existing Systems - Green Enhancement</v>
      </c>
      <c r="J242" s="2" t="str">
        <f t="shared" si="15"/>
        <v>854DC-5680-0001 Battery Energy Storage Systems (BESS)|855DC-1543-008 Monarch</v>
      </c>
      <c r="K242" s="2" t="str">
        <f>_xlfn.XLOOKUP(A242,'EA-Fortescue_SDExport'!A:A,'EA-Fortescue_SDExport'!N:N)</f>
        <v>Proposed</v>
      </c>
      <c r="L242" s="2" t="str">
        <f>_xlfn.LET(_xlpm.result, _xlfn.XLOOKUP($A242,'EA-Fortescue_SDExport'!$A:$A,'EA-Fortescue_SDExport'!AQ:AQ), IF(_xlpm.result=0,"",_xlpm.result))</f>
        <v/>
      </c>
      <c r="M242" s="2" t="str">
        <f>_xlfn.LET(_xlpm.result, _xlfn.XLOOKUP($A242,'EA-Fortescue_SDExport'!$A:$A,'EA-Fortescue_SDExport'!AR:AR), IF(_xlpm.result=0,"",_xlpm.result))</f>
        <v/>
      </c>
      <c r="N242" s="2" t="str">
        <f>_xlfn.LET(_xlpm.result, _xlfn.XLOOKUP($A242,'EA-Fortescue_SDExport'!$A:$A,'EA-Fortescue_SDExport'!AW:AW), IF(_xlpm.result=0,"",_xlpm.result))</f>
        <v/>
      </c>
      <c r="O242" s="2" t="str">
        <f>_xlfn.LET(_xlpm.result, _xlfn.XLOOKUP($A242,'EA-Fortescue_SDExport'!$A:$A,'EA-Fortescue_SDExport'!AV:AV), IF(_xlpm.result=0,"",_xlpm.result))</f>
        <v/>
      </c>
      <c r="P242" s="2" t="str">
        <f>_xlfn.LET(_xlpm.result, _xlfn.XLOOKUP($A242,'EA-Fortescue_SDExport'!$A:$A,'EA-Fortescue_SDExport'!D:D), IF(_xlpm.result=0,"",_xlpm.result))</f>
        <v/>
      </c>
      <c r="Q242" s="2" t="str">
        <f>_xlfn.LET(
    _xlpm.status, _xlfn.XLOOKUP($A242,'EA-ConnectorExport'!$A:$A,'EA-ConnectorExport'!G:G),
    _xlpm.result, _xlfn.XLOOKUP($A242,'EA-ConnectorExport'!$A:$A,'EA-ConnectorExport'!B:B),
    IF(_xlpm.status="allocate", _xlpm.result, "")
)</f>
        <v>Solomon Mine Hub: Battery Energy Storage Systems (BESS) - AC</v>
      </c>
      <c r="R242" s="2" t="str">
        <f>IF(
    _xlfn.XLOOKUP($Q242,'EA-Fortescue_SDExport'!A:A,'EA-Fortescue_SDExport'!B:B)="Object",
    _xlfn.XLOOKUP(
        _xlfn.XLOOKUP($A242,'EA-ConnectorExport'!A:A,'EA-ConnectorExport'!D:D),
        'EA-Fortescue_SDExport'!A:A,
        'EA-Fortescue_SDExport'!AA:AA
    ),
    _xlfn.XLOOKUP($Q242,'EA-Fortescue_SDExport'!A:A,'EA-Fortescue_SDExport'!AA:AA)
)</f>
        <v>Project</v>
      </c>
      <c r="S242" s="2" t="str">
        <f>_xlfn.LET(_xlpm.result, _xlfn.XLOOKUP($Q242,'EA-Fortescue_SDExport'!$A:$A,'EA-Fortescue_SDExport'!AB:AB), IF(_xlpm.result=0,"",_xlpm.result))</f>
        <v/>
      </c>
      <c r="T242" s="2" t="str">
        <f>_xlfn.LET(_xlpm.result, _xlfn.XLOOKUP($Q242,'EA-Fortescue_SDExport'!$A:$A,'EA-Fortescue_SDExport'!AC:AC), IF(_xlpm.result=0,"",_xlpm.result))</f>
        <v>Solomon Mine Hub</v>
      </c>
      <c r="U242" s="2" t="str">
        <f>_xlfn.LET(
    _xlpm.isObject, _xlfn.XLOOKUP($Q242,'EA-Fortescue_SDExport'!A:A,'EA-Fortescue_SDExport'!B:B),
    _xlpm.lookupKey, IF(_xlpm.isObject="Object",
        _xlfn.XLOOKUP($A242,'EA-ConnectorExport'!A:A,'EA-ConnectorExport'!D:D),
        $Q242
    ),
    _xlpm.result, _xlfn.XLOOKUP(_xlpm.lookupKey,'EA-Fortescue_SDExport'!A:A,'EA-Fortescue_SDExport'!AD:AD),
    IF(_xlpm.result=0,"",_xlpm.result)
)</f>
        <v>854DC Green Power</v>
      </c>
      <c r="V242" s="2" t="str">
        <f>_xlfn.LET(
    _xlpm.isObject, _xlfn.XLOOKUP($Q242,'EA-Fortescue_SDExport'!A:A,'EA-Fortescue_SDExport'!B:B),
    _xlpm.lookupKey, IF(_xlpm.isObject="Object",
        _xlfn.XLOOKUP($A242,'EA-ConnectorExport'!A:A,'EA-ConnectorExport'!D:D),
        $Q242
    ),
    _xlpm.result, _xlfn.XLOOKUP(_xlpm.lookupKey,'EA-Fortescue_SDExport'!A:A,'EA-Fortescue_SDExport'!AE:AE),
    IF(_xlpm.result=0,"",_xlpm.result)
)</f>
        <v>854DC-5680 Battery Energy Storage System (BESS)</v>
      </c>
      <c r="W242" s="2" t="str">
        <f>_xlfn.LET(
    _xlpm.isObject, _xlfn.XLOOKUP($Q242,'EA-Fortescue_SDExport'!A:A,'EA-Fortescue_SDExport'!B:B),
    _xlpm.lookupKey, IF(_xlpm.isObject="Object",
        _xlfn.XLOOKUP($A242,'EA-ConnectorExport'!A:A,'EA-ConnectorExport'!D:D),
        $Q242
    ),
    _xlpm.result, _xlfn.XLOOKUP(_xlpm.lookupKey,'EA-Fortescue_SDExport'!A:A,'EA-Fortescue_SDExport'!AF:AF),
    IF(_xlpm.result=0,"",_xlpm.result)
)</f>
        <v>854DC-5680-0001 Battery Energy Storage Systems (BESS)</v>
      </c>
      <c r="X242" s="2" t="str">
        <f>_xlfn.LET(
    _xlpm.isObject, _xlfn.XLOOKUP($Q242,'EA-Fortescue_SDExport'!A:A,'EA-Fortescue_SDExport'!B:B),
    _xlpm.lookupKey, IF(_xlpm.isObject="Object",
        _xlfn.XLOOKUP($A242,'EA-ConnectorExport'!A:A,'EA-ConnectorExport'!D:D),
        $Q242
    ),
    _xlpm.result, _xlfn.XLOOKUP(_xlpm.lookupKey,'EA-Fortescue_SDExport'!A:A,'EA-Fortescue_SDExport'!AG:AG),
    IF(_xlpm.result=0,"",_xlpm.result)
)</f>
        <v/>
      </c>
      <c r="Y242" s="2" t="str">
        <f>_xlfn.LET(
    _xlpm.status, _xlfn.XLOOKUP($A242,'EA-ConnectorExport'!$A:$A,'EA-ConnectorExport'!G:G),
    _xlpm.result, _xlfn.XLOOKUP($A242,'EA-ConnectorExport'!$A:$A,'EA-ConnectorExport'!H:H),
    IF(_xlpm.status="allocate", _xlpm.result, "")
)</f>
        <v>855DC-1543-008 Monarch</v>
      </c>
      <c r="Z242" s="2" t="str">
        <f>_xlfn.LET(
    _xlpm.isObject, _xlfn.XLOOKUP($Y242,'EA-Fortescue_SDExport'!A:A,'EA-Fortescue_SDExport'!B:B),
    _xlpm.lookupKey, IF(_xlpm.isObject="Object",
        _xlfn.XLOOKUP($A242,'EA-ConnectorExport'!A:A,'EA-ConnectorExport'!J:J),
        $Y242
    ),
    _xlpm.result, _xlfn.XLOOKUP(_xlpm.lookupKey,'EA-Fortescue_SDExport'!A:A,'EA-Fortescue_SDExport'!AA:AA),
    IF(_xlpm.result=0,"",_xlpm.result)
)</f>
        <v>Project</v>
      </c>
      <c r="AA242" s="2" t="str">
        <f>_xlfn.LET(_xlpm.result, _xlfn.XLOOKUP($Y242,'EA-Fortescue_SDExport'!$A:$A,'EA-Fortescue_SDExport'!AB:AB), IF(_xlpm.result=0,"",_xlpm.result))</f>
        <v>Energy Operations</v>
      </c>
      <c r="AB242" s="2" t="str">
        <f>_xlfn.LET(_xlpm.result, _xlfn.XLOOKUP($Y242,'EA-Fortescue_SDExport'!$A:$A,'EA-Fortescue_SDExport'!AC:AC), IF(_xlpm.result=0,"",_xlpm.result))</f>
        <v/>
      </c>
      <c r="AC242" s="2" t="str">
        <f>_xlfn.LET(
    _xlpm.isObject, _xlfn.XLOOKUP($Y242,'EA-Fortescue_SDExport'!A:A,'EA-Fortescue_SDExport'!B:B),
    _xlpm.lookupKey, IF(_xlpm.isObject="Object",
        _xlfn.XLOOKUP($A242,'EA-ConnectorExport'!A:A,'EA-ConnectorExport'!J:J),
        $Y242
    ),
    _xlpm.result, _xlfn.XLOOKUP(_xlpm.lookupKey,'EA-Fortescue_SDExport'!A:A,'EA-Fortescue_SDExport'!AD:AD),
    IF(_xlpm.result=0,"",_xlpm.result)
)</f>
        <v>855DC Decarb Green Systems</v>
      </c>
      <c r="AD242" s="2" t="str">
        <f>_xlfn.LET(
    _xlpm.isObject, _xlfn.XLOOKUP($Y242,'EA-Fortescue_SDExport'!A:A,'EA-Fortescue_SDExport'!B:B),
    _xlpm.lookupKey, IF(_xlpm.isObject="Object",
        _xlfn.XLOOKUP($A242,'EA-ConnectorExport'!A:A,'EA-ConnectorExport'!J:J),
        $Y242
    ),
    _xlpm.result, _xlfn.XLOOKUP(_xlpm.lookupKey,'EA-Fortescue_SDExport'!A:A,'EA-Fortescue_SDExport'!AE:AE),
    IF(_xlpm.result=0,"",_xlpm.result)
)</f>
        <v>855DC-1543 Existing Systems - Green Enhancement</v>
      </c>
      <c r="AE242" s="2" t="str">
        <f>_xlfn.LET(
    _xlpm.isObject, _xlfn.XLOOKUP($Y242,'EA-Fortescue_SDExport'!A:A,'EA-Fortescue_SDExport'!B:B),
    _xlpm.lookupKey, IF(_xlpm.isObject="Object",
        _xlfn.XLOOKUP($A242,'EA-ConnectorExport'!A:A,'EA-ConnectorExport'!J:J),
        $Y242
    ),
    _xlpm.result, _xlfn.XLOOKUP(_xlpm.lookupKey,'EA-Fortescue_SDExport'!A:A,'EA-Fortescue_SDExport'!AF:AF),
    IF(_xlpm.result=0,"",_xlpm.result)
)</f>
        <v>855DC-1543-008 Monarch</v>
      </c>
      <c r="AF242" s="2" t="str">
        <f>_xlfn.LET(
    _xlpm.isObject, _xlfn.XLOOKUP($Y242,'EA-Fortescue_SDExport'!A:A,'EA-Fortescue_SDExport'!B:B),
    _xlpm.lookupKey, IF(_xlpm.isObject="Object",
        _xlfn.XLOOKUP($A242,'EA-ConnectorExport'!A:A,'EA-ConnectorExport'!J:J),
        $Y242
    ),
    _xlpm.result, _xlfn.XLOOKUP(_xlpm.lookupKey,'EA-Fortescue_SDExport'!A:A,'EA-Fortescue_SDExport'!AG:AG),
    IF(_xlpm.result=0,"",_xlpm.result)
)</f>
        <v/>
      </c>
    </row>
    <row r="243" spans="1:32" ht="75" x14ac:dyDescent="0.25">
      <c r="A243" s="2" t="str">
        <v>DGS-I_0242</v>
      </c>
      <c r="B243" s="2" t="str">
        <f t="shared" si="12"/>
        <v>Solomon Mine Hub: Battery Energy Storage Systems (BESS) - DC|855DC-1543-008 Monarch</v>
      </c>
      <c r="C243" s="2" t="str">
        <f>_xlfn.LET(_xlpm.result, _xlfn.XLOOKUP(A243,'EA-Fortescue_SDExport'!A:A,'EA-Fortescue_SDExport'!AM:AM), IF(_xlpm.result=0,"",_xlpm.result))</f>
        <v/>
      </c>
      <c r="D243" s="2" t="str">
        <f>_xlfn.LET(_xlpm.result, _xlfn.XLOOKUP(A243,'EA-Fortescue_SDExport'!A:A,'EA-Fortescue_SDExport'!AN:AN), IF(_xlpm.result=0,"",_xlpm.result))</f>
        <v/>
      </c>
      <c r="E243" s="2" t="str">
        <f>_xlfn.XLOOKUP(R243&amp;Z243,Lookups!A:A,Lookups!B:B)</f>
        <v>Project - Project Interface</v>
      </c>
      <c r="F243" s="2" t="str">
        <f>_xlfn.LET(_xlpm.result, _xlfn.XLOOKUP(A243,'EA-Fortescue_SDExport'!A:A,'EA-Fortescue_SDExport'!AP:AP), IF(_xlpm.result=0,"",_xlpm.result))</f>
        <v/>
      </c>
      <c r="G243" s="2" t="str">
        <f>IF(OR(AND(T243&lt;&gt;"", COUNTIF(Lookups!J:J, "*"&amp;T243&amp;"*")&gt;0), AND(AB243&lt;&gt;"", COUNTIF(Lookups!J:J, "*"&amp;AB243&amp;"*")&gt;0)), "Yes", "No")</f>
        <v>Yes</v>
      </c>
      <c r="H243" s="2" t="str">
        <f t="shared" si="13"/>
        <v>N/A|855DC Decarb Green Systems</v>
      </c>
      <c r="I243" s="2" t="str">
        <f t="shared" si="14"/>
        <v>N/A|855DC-1543 Existing Systems - Green Enhancement</v>
      </c>
      <c r="J243" s="2" t="str">
        <f t="shared" si="15"/>
        <v>N/A|855DC-1543-008 Monarch</v>
      </c>
      <c r="K243" s="2" t="str">
        <f>_xlfn.XLOOKUP(A243,'EA-Fortescue_SDExport'!A:A,'EA-Fortescue_SDExport'!N:N)</f>
        <v>Deleted</v>
      </c>
      <c r="L243" s="2" t="str">
        <f>_xlfn.LET(_xlpm.result, _xlfn.XLOOKUP($A243,'EA-Fortescue_SDExport'!$A:$A,'EA-Fortescue_SDExport'!AQ:AQ), IF(_xlpm.result=0,"",_xlpm.result))</f>
        <v/>
      </c>
      <c r="M243" s="2" t="str">
        <f>_xlfn.LET(_xlpm.result, _xlfn.XLOOKUP($A243,'EA-Fortescue_SDExport'!$A:$A,'EA-Fortescue_SDExport'!AR:AR), IF(_xlpm.result=0,"",_xlpm.result))</f>
        <v/>
      </c>
      <c r="N243" s="2" t="str">
        <f>_xlfn.LET(_xlpm.result, _xlfn.XLOOKUP($A243,'EA-Fortescue_SDExport'!$A:$A,'EA-Fortescue_SDExport'!AW:AW), IF(_xlpm.result=0,"",_xlpm.result))</f>
        <v/>
      </c>
      <c r="O243" s="2" t="str">
        <f>_xlfn.LET(_xlpm.result, _xlfn.XLOOKUP($A243,'EA-Fortescue_SDExport'!$A:$A,'EA-Fortescue_SDExport'!AV:AV), IF(_xlpm.result=0,"",_xlpm.result))</f>
        <v/>
      </c>
      <c r="P243" s="2" t="str">
        <f>_xlfn.LET(_xlpm.result, _xlfn.XLOOKUP($A243,'EA-Fortescue_SDExport'!$A:$A,'EA-Fortescue_SDExport'!D:D), IF(_xlpm.result=0,"",_xlpm.result))</f>
        <v>SBS-WBS Mapping 02/01/2026: For simplicity of System Architecture Project level to group BESS together (no reference to AC or DC).  Battery Energy Storage Systems (BESS) - DC removed. Interface deleted.</v>
      </c>
      <c r="Q243" s="2" t="str">
        <f>_xlfn.LET(
    _xlpm.status, _xlfn.XLOOKUP($A243,'EA-ConnectorExport'!$A:$A,'EA-ConnectorExport'!G:G),
    _xlpm.result, _xlfn.XLOOKUP($A243,'EA-ConnectorExport'!$A:$A,'EA-ConnectorExport'!B:B),
    IF(_xlpm.status="allocate", _xlpm.result, "")
)</f>
        <v>Solomon Mine Hub: Battery Energy Storage Systems (BESS) - DC</v>
      </c>
      <c r="R243" s="2" t="str">
        <f>IF(
    _xlfn.XLOOKUP($Q243,'EA-Fortescue_SDExport'!A:A,'EA-Fortescue_SDExport'!B:B)="Object",
    _xlfn.XLOOKUP(
        _xlfn.XLOOKUP($A243,'EA-ConnectorExport'!A:A,'EA-ConnectorExport'!D:D),
        'EA-Fortescue_SDExport'!A:A,
        'EA-Fortescue_SDExport'!AA:AA
    ),
    _xlfn.XLOOKUP($Q243,'EA-Fortescue_SDExport'!A:A,'EA-Fortescue_SDExport'!AA:AA)
)</f>
        <v>Project</v>
      </c>
      <c r="S243" s="2" t="str">
        <f>_xlfn.LET(_xlpm.result, _xlfn.XLOOKUP($Q243,'EA-Fortescue_SDExport'!$A:$A,'EA-Fortescue_SDExport'!AB:AB), IF(_xlpm.result=0,"",_xlpm.result))</f>
        <v/>
      </c>
      <c r="T243" s="2" t="str">
        <f>_xlfn.LET(_xlpm.result, _xlfn.XLOOKUP($Q243,'EA-Fortescue_SDExport'!$A:$A,'EA-Fortescue_SDExport'!AC:AC), IF(_xlpm.result=0,"",_xlpm.result))</f>
        <v>Solomon Mine Hub</v>
      </c>
      <c r="U243" s="2" t="str">
        <f>_xlfn.LET(
    _xlpm.isObject, _xlfn.XLOOKUP($Q243,'EA-Fortescue_SDExport'!A:A,'EA-Fortescue_SDExport'!B:B),
    _xlpm.lookupKey, IF(_xlpm.isObject="Object",
        _xlfn.XLOOKUP($A243,'EA-ConnectorExport'!A:A,'EA-ConnectorExport'!D:D),
        $Q243
    ),
    _xlpm.result, _xlfn.XLOOKUP(_xlpm.lookupKey,'EA-Fortescue_SDExport'!A:A,'EA-Fortescue_SDExport'!AD:AD),
    IF(_xlpm.result=0,"",_xlpm.result)
)</f>
        <v/>
      </c>
      <c r="V243" s="2" t="str">
        <f>_xlfn.LET(
    _xlpm.isObject, _xlfn.XLOOKUP($Q243,'EA-Fortescue_SDExport'!A:A,'EA-Fortescue_SDExport'!B:B),
    _xlpm.lookupKey, IF(_xlpm.isObject="Object",
        _xlfn.XLOOKUP($A243,'EA-ConnectorExport'!A:A,'EA-ConnectorExport'!D:D),
        $Q243
    ),
    _xlpm.result, _xlfn.XLOOKUP(_xlpm.lookupKey,'EA-Fortescue_SDExport'!A:A,'EA-Fortescue_SDExport'!AE:AE),
    IF(_xlpm.result=0,"",_xlpm.result)
)</f>
        <v/>
      </c>
      <c r="W243" s="2" t="str">
        <f>_xlfn.LET(
    _xlpm.isObject, _xlfn.XLOOKUP($Q243,'EA-Fortescue_SDExport'!A:A,'EA-Fortescue_SDExport'!B:B),
    _xlpm.lookupKey, IF(_xlpm.isObject="Object",
        _xlfn.XLOOKUP($A243,'EA-ConnectorExport'!A:A,'EA-ConnectorExport'!D:D),
        $Q243
    ),
    _xlpm.result, _xlfn.XLOOKUP(_xlpm.lookupKey,'EA-Fortescue_SDExport'!A:A,'EA-Fortescue_SDExport'!AF:AF),
    IF(_xlpm.result=0,"",_xlpm.result)
)</f>
        <v/>
      </c>
      <c r="X243" s="2" t="str">
        <f>_xlfn.LET(
    _xlpm.isObject, _xlfn.XLOOKUP($Q243,'EA-Fortescue_SDExport'!A:A,'EA-Fortescue_SDExport'!B:B),
    _xlpm.lookupKey, IF(_xlpm.isObject="Object",
        _xlfn.XLOOKUP($A243,'EA-ConnectorExport'!A:A,'EA-ConnectorExport'!D:D),
        $Q243
    ),
    _xlpm.result, _xlfn.XLOOKUP(_xlpm.lookupKey,'EA-Fortescue_SDExport'!A:A,'EA-Fortescue_SDExport'!AG:AG),
    IF(_xlpm.result=0,"",_xlpm.result)
)</f>
        <v/>
      </c>
      <c r="Y243" s="2" t="str">
        <f>_xlfn.LET(
    _xlpm.status, _xlfn.XLOOKUP($A243,'EA-ConnectorExport'!$A:$A,'EA-ConnectorExport'!G:G),
    _xlpm.result, _xlfn.XLOOKUP($A243,'EA-ConnectorExport'!$A:$A,'EA-ConnectorExport'!H:H),
    IF(_xlpm.status="allocate", _xlpm.result, "")
)</f>
        <v>855DC-1543-008 Monarch</v>
      </c>
      <c r="Z243" s="2" t="str">
        <f>_xlfn.LET(
    _xlpm.isObject, _xlfn.XLOOKUP($Y243,'EA-Fortescue_SDExport'!A:A,'EA-Fortescue_SDExport'!B:B),
    _xlpm.lookupKey, IF(_xlpm.isObject="Object",
        _xlfn.XLOOKUP($A243,'EA-ConnectorExport'!A:A,'EA-ConnectorExport'!J:J),
        $Y243
    ),
    _xlpm.result, _xlfn.XLOOKUP(_xlpm.lookupKey,'EA-Fortescue_SDExport'!A:A,'EA-Fortescue_SDExport'!AA:AA),
    IF(_xlpm.result=0,"",_xlpm.result)
)</f>
        <v>Project</v>
      </c>
      <c r="AA243" s="2" t="str">
        <f>_xlfn.LET(_xlpm.result, _xlfn.XLOOKUP($Y243,'EA-Fortescue_SDExport'!$A:$A,'EA-Fortescue_SDExport'!AB:AB), IF(_xlpm.result=0,"",_xlpm.result))</f>
        <v>Energy Operations</v>
      </c>
      <c r="AB243" s="2" t="str">
        <f>_xlfn.LET(_xlpm.result, _xlfn.XLOOKUP($Y243,'EA-Fortescue_SDExport'!$A:$A,'EA-Fortescue_SDExport'!AC:AC), IF(_xlpm.result=0,"",_xlpm.result))</f>
        <v/>
      </c>
      <c r="AC243" s="2" t="str">
        <f>_xlfn.LET(
    _xlpm.isObject, _xlfn.XLOOKUP($Y243,'EA-Fortescue_SDExport'!A:A,'EA-Fortescue_SDExport'!B:B),
    _xlpm.lookupKey, IF(_xlpm.isObject="Object",
        _xlfn.XLOOKUP($A243,'EA-ConnectorExport'!A:A,'EA-ConnectorExport'!J:J),
        $Y243
    ),
    _xlpm.result, _xlfn.XLOOKUP(_xlpm.lookupKey,'EA-Fortescue_SDExport'!A:A,'EA-Fortescue_SDExport'!AD:AD),
    IF(_xlpm.result=0,"",_xlpm.result)
)</f>
        <v>855DC Decarb Green Systems</v>
      </c>
      <c r="AD243" s="2" t="str">
        <f>_xlfn.LET(
    _xlpm.isObject, _xlfn.XLOOKUP($Y243,'EA-Fortescue_SDExport'!A:A,'EA-Fortescue_SDExport'!B:B),
    _xlpm.lookupKey, IF(_xlpm.isObject="Object",
        _xlfn.XLOOKUP($A243,'EA-ConnectorExport'!A:A,'EA-ConnectorExport'!J:J),
        $Y243
    ),
    _xlpm.result, _xlfn.XLOOKUP(_xlpm.lookupKey,'EA-Fortescue_SDExport'!A:A,'EA-Fortescue_SDExport'!AE:AE),
    IF(_xlpm.result=0,"",_xlpm.result)
)</f>
        <v>855DC-1543 Existing Systems - Green Enhancement</v>
      </c>
      <c r="AE243" s="2" t="str">
        <f>_xlfn.LET(
    _xlpm.isObject, _xlfn.XLOOKUP($Y243,'EA-Fortescue_SDExport'!A:A,'EA-Fortescue_SDExport'!B:B),
    _xlpm.lookupKey, IF(_xlpm.isObject="Object",
        _xlfn.XLOOKUP($A243,'EA-ConnectorExport'!A:A,'EA-ConnectorExport'!J:J),
        $Y243
    ),
    _xlpm.result, _xlfn.XLOOKUP(_xlpm.lookupKey,'EA-Fortescue_SDExport'!A:A,'EA-Fortescue_SDExport'!AF:AF),
    IF(_xlpm.result=0,"",_xlpm.result)
)</f>
        <v>855DC-1543-008 Monarch</v>
      </c>
      <c r="AF243" s="2" t="str">
        <f>_xlfn.LET(
    _xlpm.isObject, _xlfn.XLOOKUP($Y243,'EA-Fortescue_SDExport'!A:A,'EA-Fortescue_SDExport'!B:B),
    _xlpm.lookupKey, IF(_xlpm.isObject="Object",
        _xlfn.XLOOKUP($A243,'EA-ConnectorExport'!A:A,'EA-ConnectorExport'!J:J),
        $Y243
    ),
    _xlpm.result, _xlfn.XLOOKUP(_xlpm.lookupKey,'EA-Fortescue_SDExport'!A:A,'EA-Fortescue_SDExport'!AG:AG),
    IF(_xlpm.result=0,"",_xlpm.result)
)</f>
        <v/>
      </c>
    </row>
    <row r="244" spans="1:32" ht="60" x14ac:dyDescent="0.25">
      <c r="A244" s="2" t="str">
        <v>DGS-I_0243</v>
      </c>
      <c r="B244" s="2" t="str">
        <f t="shared" si="12"/>
        <v>Solomon Mine Hub: Mobile Battery Bank|855DC-1543-008 Monarch</v>
      </c>
      <c r="C244" s="2" t="str">
        <f>_xlfn.LET(_xlpm.result, _xlfn.XLOOKUP(A244,'EA-Fortescue_SDExport'!A:A,'EA-Fortescue_SDExport'!AM:AM), IF(_xlpm.result=0,"",_xlpm.result))</f>
        <v/>
      </c>
      <c r="D244" s="2" t="str">
        <f>_xlfn.LET(_xlpm.result, _xlfn.XLOOKUP(A244,'EA-Fortescue_SDExport'!A:A,'EA-Fortescue_SDExport'!AN:AN), IF(_xlpm.result=0,"",_xlpm.result))</f>
        <v/>
      </c>
      <c r="E244" s="2" t="str">
        <f>_xlfn.XLOOKUP(R244&amp;Z244,Lookups!A:A,Lookups!B:B)</f>
        <v>Project - Project Interface</v>
      </c>
      <c r="F244" s="2" t="str">
        <f>_xlfn.LET(_xlpm.result, _xlfn.XLOOKUP(A244,'EA-Fortescue_SDExport'!A:A,'EA-Fortescue_SDExport'!AP:AP), IF(_xlpm.result=0,"",_xlpm.result))</f>
        <v/>
      </c>
      <c r="G244" s="2" t="str">
        <f>IF(OR(AND(T244&lt;&gt;"", COUNTIF(Lookups!J:J, "*"&amp;T244&amp;"*")&gt;0), AND(AB244&lt;&gt;"", COUNTIF(Lookups!J:J, "*"&amp;AB244&amp;"*")&gt;0)), "Yes", "No")</f>
        <v>Yes</v>
      </c>
      <c r="H244" s="2" t="str">
        <f t="shared" si="13"/>
        <v>854DC Green Power|855DC Decarb Green Systems</v>
      </c>
      <c r="I244" s="2" t="str">
        <f t="shared" si="14"/>
        <v>854DC-5680 Battery Energy Storage System (BESS)|855DC-1543 Existing Systems - Green Enhancement</v>
      </c>
      <c r="J244" s="2" t="str">
        <f t="shared" si="15"/>
        <v>854DC-5680-0002 Mobile Battery Bank|855DC-1543-008 Monarch</v>
      </c>
      <c r="K244" s="2" t="str">
        <f>_xlfn.XLOOKUP(A244,'EA-Fortescue_SDExport'!A:A,'EA-Fortescue_SDExport'!N:N)</f>
        <v>Proposed</v>
      </c>
      <c r="L244" s="2" t="str">
        <f>_xlfn.LET(_xlpm.result, _xlfn.XLOOKUP($A244,'EA-Fortescue_SDExport'!$A:$A,'EA-Fortescue_SDExport'!AQ:AQ), IF(_xlpm.result=0,"",_xlpm.result))</f>
        <v/>
      </c>
      <c r="M244" s="2" t="str">
        <f>_xlfn.LET(_xlpm.result, _xlfn.XLOOKUP($A244,'EA-Fortescue_SDExport'!$A:$A,'EA-Fortescue_SDExport'!AR:AR), IF(_xlpm.result=0,"",_xlpm.result))</f>
        <v/>
      </c>
      <c r="N244" s="2" t="str">
        <f>_xlfn.LET(_xlpm.result, _xlfn.XLOOKUP($A244,'EA-Fortescue_SDExport'!$A:$A,'EA-Fortescue_SDExport'!AW:AW), IF(_xlpm.result=0,"",_xlpm.result))</f>
        <v/>
      </c>
      <c r="O244" s="2" t="str">
        <f>_xlfn.LET(_xlpm.result, _xlfn.XLOOKUP($A244,'EA-Fortescue_SDExport'!$A:$A,'EA-Fortescue_SDExport'!AV:AV), IF(_xlpm.result=0,"",_xlpm.result))</f>
        <v/>
      </c>
      <c r="P244" s="2" t="str">
        <f>_xlfn.LET(_xlpm.result, _xlfn.XLOOKUP($A244,'EA-Fortescue_SDExport'!$A:$A,'EA-Fortescue_SDExport'!D:D), IF(_xlpm.result=0,"",_xlpm.result))</f>
        <v/>
      </c>
      <c r="Q244" s="2" t="str">
        <f>_xlfn.LET(
    _xlpm.status, _xlfn.XLOOKUP($A244,'EA-ConnectorExport'!$A:$A,'EA-ConnectorExport'!G:G),
    _xlpm.result, _xlfn.XLOOKUP($A244,'EA-ConnectorExport'!$A:$A,'EA-ConnectorExport'!B:B),
    IF(_xlpm.status="allocate", _xlpm.result, "")
)</f>
        <v>Solomon Mine Hub: Mobile Battery Bank</v>
      </c>
      <c r="R244" s="2" t="str">
        <f>IF(
    _xlfn.XLOOKUP($Q244,'EA-Fortescue_SDExport'!A:A,'EA-Fortescue_SDExport'!B:B)="Object",
    _xlfn.XLOOKUP(
        _xlfn.XLOOKUP($A244,'EA-ConnectorExport'!A:A,'EA-ConnectorExport'!D:D),
        'EA-Fortescue_SDExport'!A:A,
        'EA-Fortescue_SDExport'!AA:AA
    ),
    _xlfn.XLOOKUP($Q244,'EA-Fortescue_SDExport'!A:A,'EA-Fortescue_SDExport'!AA:AA)
)</f>
        <v>Project</v>
      </c>
      <c r="S244" s="2" t="str">
        <f>_xlfn.LET(_xlpm.result, _xlfn.XLOOKUP($Q244,'EA-Fortescue_SDExport'!$A:$A,'EA-Fortescue_SDExport'!AB:AB), IF(_xlpm.result=0,"",_xlpm.result))</f>
        <v/>
      </c>
      <c r="T244" s="2" t="str">
        <f>_xlfn.LET(_xlpm.result, _xlfn.XLOOKUP($Q244,'EA-Fortescue_SDExport'!$A:$A,'EA-Fortescue_SDExport'!AC:AC), IF(_xlpm.result=0,"",_xlpm.result))</f>
        <v>Solomon Mine Hub</v>
      </c>
      <c r="U244" s="2" t="str">
        <f>_xlfn.LET(
    _xlpm.isObject, _xlfn.XLOOKUP($Q244,'EA-Fortescue_SDExport'!A:A,'EA-Fortescue_SDExport'!B:B),
    _xlpm.lookupKey, IF(_xlpm.isObject="Object",
        _xlfn.XLOOKUP($A244,'EA-ConnectorExport'!A:A,'EA-ConnectorExport'!D:D),
        $Q244
    ),
    _xlpm.result, _xlfn.XLOOKUP(_xlpm.lookupKey,'EA-Fortescue_SDExport'!A:A,'EA-Fortescue_SDExport'!AD:AD),
    IF(_xlpm.result=0,"",_xlpm.result)
)</f>
        <v>854DC Green Power</v>
      </c>
      <c r="V244" s="2" t="str">
        <f>_xlfn.LET(
    _xlpm.isObject, _xlfn.XLOOKUP($Q244,'EA-Fortescue_SDExport'!A:A,'EA-Fortescue_SDExport'!B:B),
    _xlpm.lookupKey, IF(_xlpm.isObject="Object",
        _xlfn.XLOOKUP($A244,'EA-ConnectorExport'!A:A,'EA-ConnectorExport'!D:D),
        $Q244
    ),
    _xlpm.result, _xlfn.XLOOKUP(_xlpm.lookupKey,'EA-Fortescue_SDExport'!A:A,'EA-Fortescue_SDExport'!AE:AE),
    IF(_xlpm.result=0,"",_xlpm.result)
)</f>
        <v>854DC-5680 Battery Energy Storage System (BESS)</v>
      </c>
      <c r="W244" s="2" t="str">
        <f>_xlfn.LET(
    _xlpm.isObject, _xlfn.XLOOKUP($Q244,'EA-Fortescue_SDExport'!A:A,'EA-Fortescue_SDExport'!B:B),
    _xlpm.lookupKey, IF(_xlpm.isObject="Object",
        _xlfn.XLOOKUP($A244,'EA-ConnectorExport'!A:A,'EA-ConnectorExport'!D:D),
        $Q244
    ),
    _xlpm.result, _xlfn.XLOOKUP(_xlpm.lookupKey,'EA-Fortescue_SDExport'!A:A,'EA-Fortescue_SDExport'!AF:AF),
    IF(_xlpm.result=0,"",_xlpm.result)
)</f>
        <v>854DC-5680-0002 Mobile Battery Bank</v>
      </c>
      <c r="X244" s="2" t="str">
        <f>_xlfn.LET(
    _xlpm.isObject, _xlfn.XLOOKUP($Q244,'EA-Fortescue_SDExport'!A:A,'EA-Fortescue_SDExport'!B:B),
    _xlpm.lookupKey, IF(_xlpm.isObject="Object",
        _xlfn.XLOOKUP($A244,'EA-ConnectorExport'!A:A,'EA-ConnectorExport'!D:D),
        $Q244
    ),
    _xlpm.result, _xlfn.XLOOKUP(_xlpm.lookupKey,'EA-Fortescue_SDExport'!A:A,'EA-Fortescue_SDExport'!AG:AG),
    IF(_xlpm.result=0,"",_xlpm.result)
)</f>
        <v/>
      </c>
      <c r="Y244" s="2" t="str">
        <f>_xlfn.LET(
    _xlpm.status, _xlfn.XLOOKUP($A244,'EA-ConnectorExport'!$A:$A,'EA-ConnectorExport'!G:G),
    _xlpm.result, _xlfn.XLOOKUP($A244,'EA-ConnectorExport'!$A:$A,'EA-ConnectorExport'!H:H),
    IF(_xlpm.status="allocate", _xlpm.result, "")
)</f>
        <v>855DC-1543-008 Monarch</v>
      </c>
      <c r="Z244" s="2" t="str">
        <f>_xlfn.LET(
    _xlpm.isObject, _xlfn.XLOOKUP($Y244,'EA-Fortescue_SDExport'!A:A,'EA-Fortescue_SDExport'!B:B),
    _xlpm.lookupKey, IF(_xlpm.isObject="Object",
        _xlfn.XLOOKUP($A244,'EA-ConnectorExport'!A:A,'EA-ConnectorExport'!J:J),
        $Y244
    ),
    _xlpm.result, _xlfn.XLOOKUP(_xlpm.lookupKey,'EA-Fortescue_SDExport'!A:A,'EA-Fortescue_SDExport'!AA:AA),
    IF(_xlpm.result=0,"",_xlpm.result)
)</f>
        <v>Project</v>
      </c>
      <c r="AA244" s="2" t="str">
        <f>_xlfn.LET(_xlpm.result, _xlfn.XLOOKUP($Y244,'EA-Fortescue_SDExport'!$A:$A,'EA-Fortescue_SDExport'!AB:AB), IF(_xlpm.result=0,"",_xlpm.result))</f>
        <v>Energy Operations</v>
      </c>
      <c r="AB244" s="2" t="str">
        <f>_xlfn.LET(_xlpm.result, _xlfn.XLOOKUP($Y244,'EA-Fortescue_SDExport'!$A:$A,'EA-Fortescue_SDExport'!AC:AC), IF(_xlpm.result=0,"",_xlpm.result))</f>
        <v/>
      </c>
      <c r="AC244" s="2" t="str">
        <f>_xlfn.LET(
    _xlpm.isObject, _xlfn.XLOOKUP($Y244,'EA-Fortescue_SDExport'!A:A,'EA-Fortescue_SDExport'!B:B),
    _xlpm.lookupKey, IF(_xlpm.isObject="Object",
        _xlfn.XLOOKUP($A244,'EA-ConnectorExport'!A:A,'EA-ConnectorExport'!J:J),
        $Y244
    ),
    _xlpm.result, _xlfn.XLOOKUP(_xlpm.lookupKey,'EA-Fortescue_SDExport'!A:A,'EA-Fortescue_SDExport'!AD:AD),
    IF(_xlpm.result=0,"",_xlpm.result)
)</f>
        <v>855DC Decarb Green Systems</v>
      </c>
      <c r="AD244" s="2" t="str">
        <f>_xlfn.LET(
    _xlpm.isObject, _xlfn.XLOOKUP($Y244,'EA-Fortescue_SDExport'!A:A,'EA-Fortescue_SDExport'!B:B),
    _xlpm.lookupKey, IF(_xlpm.isObject="Object",
        _xlfn.XLOOKUP($A244,'EA-ConnectorExport'!A:A,'EA-ConnectorExport'!J:J),
        $Y244
    ),
    _xlpm.result, _xlfn.XLOOKUP(_xlpm.lookupKey,'EA-Fortescue_SDExport'!A:A,'EA-Fortescue_SDExport'!AE:AE),
    IF(_xlpm.result=0,"",_xlpm.result)
)</f>
        <v>855DC-1543 Existing Systems - Green Enhancement</v>
      </c>
      <c r="AE244" s="2" t="str">
        <f>_xlfn.LET(
    _xlpm.isObject, _xlfn.XLOOKUP($Y244,'EA-Fortescue_SDExport'!A:A,'EA-Fortescue_SDExport'!B:B),
    _xlpm.lookupKey, IF(_xlpm.isObject="Object",
        _xlfn.XLOOKUP($A244,'EA-ConnectorExport'!A:A,'EA-ConnectorExport'!J:J),
        $Y244
    ),
    _xlpm.result, _xlfn.XLOOKUP(_xlpm.lookupKey,'EA-Fortescue_SDExport'!A:A,'EA-Fortescue_SDExport'!AF:AF),
    IF(_xlpm.result=0,"",_xlpm.result)
)</f>
        <v>855DC-1543-008 Monarch</v>
      </c>
      <c r="AF244" s="2" t="str">
        <f>_xlfn.LET(
    _xlpm.isObject, _xlfn.XLOOKUP($Y244,'EA-Fortescue_SDExport'!A:A,'EA-Fortescue_SDExport'!B:B),
    _xlpm.lookupKey, IF(_xlpm.isObject="Object",
        _xlfn.XLOOKUP($A244,'EA-ConnectorExport'!A:A,'EA-ConnectorExport'!J:J),
        $Y244
    ),
    _xlpm.result, _xlfn.XLOOKUP(_xlpm.lookupKey,'EA-Fortescue_SDExport'!A:A,'EA-Fortescue_SDExport'!AG:AG),
    IF(_xlpm.result=0,"",_xlpm.result)
)</f>
        <v/>
      </c>
    </row>
    <row r="245" spans="1:32" ht="60" x14ac:dyDescent="0.25">
      <c r="A245" s="2" t="str">
        <v>DGS-I_0244</v>
      </c>
      <c r="B245" s="2" t="str">
        <f t="shared" si="12"/>
        <v>Solomon Mine Hub: Battery Energy Storage Systems (BESS) - AC|Solomon Mine Hub: Substation (132kV)</v>
      </c>
      <c r="C245" s="2" t="str">
        <f>_xlfn.LET(_xlpm.result, _xlfn.XLOOKUP(A245,'EA-Fortescue_SDExport'!A:A,'EA-Fortescue_SDExport'!AM:AM), IF(_xlpm.result=0,"",_xlpm.result))</f>
        <v/>
      </c>
      <c r="D245" s="2" t="str">
        <f>_xlfn.LET(_xlpm.result, _xlfn.XLOOKUP(A245,'EA-Fortescue_SDExport'!A:A,'EA-Fortescue_SDExport'!AN:AN), IF(_xlpm.result=0,"",_xlpm.result))</f>
        <v/>
      </c>
      <c r="E245" s="2" t="str">
        <f>_xlfn.XLOOKUP(R245&amp;Z245,Lookups!A:A,Lookups!B:B)</f>
        <v>Project - Project Interface</v>
      </c>
      <c r="F245" s="2" t="str">
        <f>_xlfn.LET(_xlpm.result, _xlfn.XLOOKUP(A245,'EA-Fortescue_SDExport'!A:A,'EA-Fortescue_SDExport'!AP:AP), IF(_xlpm.result=0,"",_xlpm.result))</f>
        <v/>
      </c>
      <c r="G245" s="2" t="str">
        <f>IF(OR(AND(T245&lt;&gt;"", COUNTIF(Lookups!J:J, "*"&amp;T245&amp;"*")&gt;0), AND(AB245&lt;&gt;"", COUNTIF(Lookups!J:J, "*"&amp;AB245&amp;"*")&gt;0)), "Yes", "No")</f>
        <v>Yes</v>
      </c>
      <c r="H245" s="2" t="str">
        <f t="shared" si="13"/>
        <v>854DC Green Power|854DC Green Power</v>
      </c>
      <c r="I245" s="2" t="str">
        <f t="shared" si="14"/>
        <v>854DC-5680 Battery Energy Storage System (BESS)|854DC-1521 HV Substations</v>
      </c>
      <c r="J245" s="2" t="str">
        <f t="shared" si="15"/>
        <v>854DC-5680-0001 Battery Energy Storage Systems (BESS)|854DC-1521-0003 Substation (132kV)</v>
      </c>
      <c r="K245" s="2" t="str">
        <f>_xlfn.XLOOKUP(A245,'EA-Fortescue_SDExport'!A:A,'EA-Fortescue_SDExport'!N:N)</f>
        <v>Proposed</v>
      </c>
      <c r="L245" s="2" t="str">
        <f>_xlfn.LET(_xlpm.result, _xlfn.XLOOKUP($A245,'EA-Fortescue_SDExport'!$A:$A,'EA-Fortescue_SDExport'!AQ:AQ), IF(_xlpm.result=0,"",_xlpm.result))</f>
        <v/>
      </c>
      <c r="M245" s="2" t="str">
        <f>_xlfn.LET(_xlpm.result, _xlfn.XLOOKUP($A245,'EA-Fortescue_SDExport'!$A:$A,'EA-Fortescue_SDExport'!AR:AR), IF(_xlpm.result=0,"",_xlpm.result))</f>
        <v/>
      </c>
      <c r="N245" s="2" t="str">
        <f>_xlfn.LET(_xlpm.result, _xlfn.XLOOKUP($A245,'EA-Fortescue_SDExport'!$A:$A,'EA-Fortescue_SDExport'!AW:AW), IF(_xlpm.result=0,"",_xlpm.result))</f>
        <v/>
      </c>
      <c r="O245" s="2" t="str">
        <f>_xlfn.LET(_xlpm.result, _xlfn.XLOOKUP($A245,'EA-Fortescue_SDExport'!$A:$A,'EA-Fortescue_SDExport'!AV:AV), IF(_xlpm.result=0,"",_xlpm.result))</f>
        <v/>
      </c>
      <c r="P245" s="2" t="str">
        <f>_xlfn.LET(_xlpm.result, _xlfn.XLOOKUP($A245,'EA-Fortescue_SDExport'!$A:$A,'EA-Fortescue_SDExport'!D:D), IF(_xlpm.result=0,"",_xlpm.result))</f>
        <v/>
      </c>
      <c r="Q245" s="2" t="str">
        <f>_xlfn.LET(
    _xlpm.status, _xlfn.XLOOKUP($A245,'EA-ConnectorExport'!$A:$A,'EA-ConnectorExport'!G:G),
    _xlpm.result, _xlfn.XLOOKUP($A245,'EA-ConnectorExport'!$A:$A,'EA-ConnectorExport'!B:B),
    IF(_xlpm.status="allocate", _xlpm.result, "")
)</f>
        <v>Solomon Mine Hub: Battery Energy Storage Systems (BESS) - AC</v>
      </c>
      <c r="R245" s="2" t="str">
        <f>IF(
    _xlfn.XLOOKUP($Q245,'EA-Fortescue_SDExport'!A:A,'EA-Fortescue_SDExport'!B:B)="Object",
    _xlfn.XLOOKUP(
        _xlfn.XLOOKUP($A245,'EA-ConnectorExport'!A:A,'EA-ConnectorExport'!D:D),
        'EA-Fortescue_SDExport'!A:A,
        'EA-Fortescue_SDExport'!AA:AA
    ),
    _xlfn.XLOOKUP($Q245,'EA-Fortescue_SDExport'!A:A,'EA-Fortescue_SDExport'!AA:AA)
)</f>
        <v>Project</v>
      </c>
      <c r="S245" s="2" t="str">
        <f>_xlfn.LET(_xlpm.result, _xlfn.XLOOKUP($Q245,'EA-Fortescue_SDExport'!$A:$A,'EA-Fortescue_SDExport'!AB:AB), IF(_xlpm.result=0,"",_xlpm.result))</f>
        <v/>
      </c>
      <c r="T245" s="2" t="str">
        <f>_xlfn.LET(_xlpm.result, _xlfn.XLOOKUP($Q245,'EA-Fortescue_SDExport'!$A:$A,'EA-Fortescue_SDExport'!AC:AC), IF(_xlpm.result=0,"",_xlpm.result))</f>
        <v>Solomon Mine Hub</v>
      </c>
      <c r="U245" s="2" t="str">
        <f>_xlfn.LET(
    _xlpm.isObject, _xlfn.XLOOKUP($Q245,'EA-Fortescue_SDExport'!A:A,'EA-Fortescue_SDExport'!B:B),
    _xlpm.lookupKey, IF(_xlpm.isObject="Object",
        _xlfn.XLOOKUP($A245,'EA-ConnectorExport'!A:A,'EA-ConnectorExport'!D:D),
        $Q245
    ),
    _xlpm.result, _xlfn.XLOOKUP(_xlpm.lookupKey,'EA-Fortescue_SDExport'!A:A,'EA-Fortescue_SDExport'!AD:AD),
    IF(_xlpm.result=0,"",_xlpm.result)
)</f>
        <v>854DC Green Power</v>
      </c>
      <c r="V245" s="2" t="str">
        <f>_xlfn.LET(
    _xlpm.isObject, _xlfn.XLOOKUP($Q245,'EA-Fortescue_SDExport'!A:A,'EA-Fortescue_SDExport'!B:B),
    _xlpm.lookupKey, IF(_xlpm.isObject="Object",
        _xlfn.XLOOKUP($A245,'EA-ConnectorExport'!A:A,'EA-ConnectorExport'!D:D),
        $Q245
    ),
    _xlpm.result, _xlfn.XLOOKUP(_xlpm.lookupKey,'EA-Fortescue_SDExport'!A:A,'EA-Fortescue_SDExport'!AE:AE),
    IF(_xlpm.result=0,"",_xlpm.result)
)</f>
        <v>854DC-5680 Battery Energy Storage System (BESS)</v>
      </c>
      <c r="W245" s="2" t="str">
        <f>_xlfn.LET(
    _xlpm.isObject, _xlfn.XLOOKUP($Q245,'EA-Fortescue_SDExport'!A:A,'EA-Fortescue_SDExport'!B:B),
    _xlpm.lookupKey, IF(_xlpm.isObject="Object",
        _xlfn.XLOOKUP($A245,'EA-ConnectorExport'!A:A,'EA-ConnectorExport'!D:D),
        $Q245
    ),
    _xlpm.result, _xlfn.XLOOKUP(_xlpm.lookupKey,'EA-Fortescue_SDExport'!A:A,'EA-Fortescue_SDExport'!AF:AF),
    IF(_xlpm.result=0,"",_xlpm.result)
)</f>
        <v>854DC-5680-0001 Battery Energy Storage Systems (BESS)</v>
      </c>
      <c r="X245" s="2" t="str">
        <f>_xlfn.LET(
    _xlpm.isObject, _xlfn.XLOOKUP($Q245,'EA-Fortescue_SDExport'!A:A,'EA-Fortescue_SDExport'!B:B),
    _xlpm.lookupKey, IF(_xlpm.isObject="Object",
        _xlfn.XLOOKUP($A245,'EA-ConnectorExport'!A:A,'EA-ConnectorExport'!D:D),
        $Q245
    ),
    _xlpm.result, _xlfn.XLOOKUP(_xlpm.lookupKey,'EA-Fortescue_SDExport'!A:A,'EA-Fortescue_SDExport'!AG:AG),
    IF(_xlpm.result=0,"",_xlpm.result)
)</f>
        <v/>
      </c>
      <c r="Y245" s="2" t="str">
        <f>_xlfn.LET(
    _xlpm.status, _xlfn.XLOOKUP($A245,'EA-ConnectorExport'!$A:$A,'EA-ConnectorExport'!G:G),
    _xlpm.result, _xlfn.XLOOKUP($A245,'EA-ConnectorExport'!$A:$A,'EA-ConnectorExport'!H:H),
    IF(_xlpm.status="allocate", _xlpm.result, "")
)</f>
        <v>Solomon Mine Hub: Substation (132kV)</v>
      </c>
      <c r="Z245" s="2" t="str">
        <f>_xlfn.LET(
    _xlpm.isObject, _xlfn.XLOOKUP($Y245,'EA-Fortescue_SDExport'!A:A,'EA-Fortescue_SDExport'!B:B),
    _xlpm.lookupKey, IF(_xlpm.isObject="Object",
        _xlfn.XLOOKUP($A245,'EA-ConnectorExport'!A:A,'EA-ConnectorExport'!J:J),
        $Y245
    ),
    _xlpm.result, _xlfn.XLOOKUP(_xlpm.lookupKey,'EA-Fortescue_SDExport'!A:A,'EA-Fortescue_SDExport'!AA:AA),
    IF(_xlpm.result=0,"",_xlpm.result)
)</f>
        <v>Project</v>
      </c>
      <c r="AA245" s="2" t="str">
        <f>_xlfn.LET(_xlpm.result, _xlfn.XLOOKUP($Y245,'EA-Fortescue_SDExport'!$A:$A,'EA-Fortescue_SDExport'!AB:AB), IF(_xlpm.result=0,"",_xlpm.result))</f>
        <v/>
      </c>
      <c r="AB245" s="2" t="str">
        <f>_xlfn.LET(_xlpm.result, _xlfn.XLOOKUP($Y245,'EA-Fortescue_SDExport'!$A:$A,'EA-Fortescue_SDExport'!AC:AC), IF(_xlpm.result=0,"",_xlpm.result))</f>
        <v>Solomon Mine Hub</v>
      </c>
      <c r="AC245" s="2" t="str">
        <f>_xlfn.LET(
    _xlpm.isObject, _xlfn.XLOOKUP($Y245,'EA-Fortescue_SDExport'!A:A,'EA-Fortescue_SDExport'!B:B),
    _xlpm.lookupKey, IF(_xlpm.isObject="Object",
        _xlfn.XLOOKUP($A245,'EA-ConnectorExport'!A:A,'EA-ConnectorExport'!J:J),
        $Y245
    ),
    _xlpm.result, _xlfn.XLOOKUP(_xlpm.lookupKey,'EA-Fortescue_SDExport'!A:A,'EA-Fortescue_SDExport'!AD:AD),
    IF(_xlpm.result=0,"",_xlpm.result)
)</f>
        <v>854DC Green Power</v>
      </c>
      <c r="AD245" s="2" t="str">
        <f>_xlfn.LET(
    _xlpm.isObject, _xlfn.XLOOKUP($Y245,'EA-Fortescue_SDExport'!A:A,'EA-Fortescue_SDExport'!B:B),
    _xlpm.lookupKey, IF(_xlpm.isObject="Object",
        _xlfn.XLOOKUP($A245,'EA-ConnectorExport'!A:A,'EA-ConnectorExport'!J:J),
        $Y245
    ),
    _xlpm.result, _xlfn.XLOOKUP(_xlpm.lookupKey,'EA-Fortescue_SDExport'!A:A,'EA-Fortescue_SDExport'!AE:AE),
    IF(_xlpm.result=0,"",_xlpm.result)
)</f>
        <v>854DC-1521 HV Substations</v>
      </c>
      <c r="AE245" s="2" t="str">
        <f>_xlfn.LET(
    _xlpm.isObject, _xlfn.XLOOKUP($Y245,'EA-Fortescue_SDExport'!A:A,'EA-Fortescue_SDExport'!B:B),
    _xlpm.lookupKey, IF(_xlpm.isObject="Object",
        _xlfn.XLOOKUP($A245,'EA-ConnectorExport'!A:A,'EA-ConnectorExport'!J:J),
        $Y245
    ),
    _xlpm.result, _xlfn.XLOOKUP(_xlpm.lookupKey,'EA-Fortescue_SDExport'!A:A,'EA-Fortescue_SDExport'!AF:AF),
    IF(_xlpm.result=0,"",_xlpm.result)
)</f>
        <v>854DC-1521-0003 Substation (132kV)</v>
      </c>
      <c r="AF245" s="2" t="str">
        <f>_xlfn.LET(
    _xlpm.isObject, _xlfn.XLOOKUP($Y245,'EA-Fortescue_SDExport'!A:A,'EA-Fortescue_SDExport'!B:B),
    _xlpm.lookupKey, IF(_xlpm.isObject="Object",
        _xlfn.XLOOKUP($A245,'EA-ConnectorExport'!A:A,'EA-ConnectorExport'!J:J),
        $Y245
    ),
    _xlpm.result, _xlfn.XLOOKUP(_xlpm.lookupKey,'EA-Fortescue_SDExport'!A:A,'EA-Fortescue_SDExport'!AG:AG),
    IF(_xlpm.result=0,"",_xlpm.result)
)</f>
        <v/>
      </c>
    </row>
    <row r="246" spans="1:32" ht="240" x14ac:dyDescent="0.25">
      <c r="A246" s="2" t="str">
        <v>DGS-I_0245</v>
      </c>
      <c r="B246" s="2" t="str">
        <f t="shared" si="12"/>
        <v>Solomon Mine Hub: Battery Energy Storage Systems (BESS) - AC|855DC-1543-PPC Pit Power Capacity Planning Tool - Capacity Check</v>
      </c>
      <c r="C246" s="2" t="str">
        <f>_xlfn.LET(_xlpm.result, _xlfn.XLOOKUP(A246,'EA-Fortescue_SDExport'!A:A,'EA-Fortescue_SDExport'!AM:AM), IF(_xlpm.result=0,"",_xlpm.result))</f>
        <v/>
      </c>
      <c r="D246" s="2" t="str">
        <f>_xlfn.LET(_xlpm.result, _xlfn.XLOOKUP(A246,'EA-Fortescue_SDExport'!A:A,'EA-Fortescue_SDExport'!AN:AN), IF(_xlpm.result=0,"",_xlpm.result))</f>
        <v/>
      </c>
      <c r="E246" s="2" t="str">
        <f>_xlfn.XLOOKUP(R246&amp;Z246,Lookups!A:A,Lookups!B:B)</f>
        <v>Project - Project Interface</v>
      </c>
      <c r="F246" s="2" t="str">
        <f>_xlfn.LET(_xlpm.result, _xlfn.XLOOKUP(A246,'EA-Fortescue_SDExport'!A:A,'EA-Fortescue_SDExport'!AP:AP), IF(_xlpm.result=0,"",_xlpm.result))</f>
        <v/>
      </c>
      <c r="G246" s="2" t="str">
        <f>IF(OR(AND(T246&lt;&gt;"", COUNTIF(Lookups!J:J, "*"&amp;T246&amp;"*")&gt;0), AND(AB246&lt;&gt;"", COUNTIF(Lookups!J:J, "*"&amp;AB246&amp;"*")&gt;0)), "Yes", "No")</f>
        <v>Yes</v>
      </c>
      <c r="H246" s="2" t="str">
        <f t="shared" si="13"/>
        <v>854DC Green Power|855DC Decarb Green Systems</v>
      </c>
      <c r="I246" s="2" t="str">
        <f t="shared" si="14"/>
        <v>854DC-5680 Battery Energy Storage System (BESS)|N/A</v>
      </c>
      <c r="J246" s="2" t="str">
        <f t="shared" si="15"/>
        <v>854DC-5680-0001 Battery Energy Storage Systems (BESS)|855DC-1543-PPC Pit Power Capacity Planning Tool - Capacity Check</v>
      </c>
      <c r="K246" s="2" t="str">
        <f>_xlfn.XLOOKUP(A246,'EA-Fortescue_SDExport'!A:A,'EA-Fortescue_SDExport'!N:N)</f>
        <v>Proposed</v>
      </c>
      <c r="L246" s="2" t="str">
        <f>_xlfn.LET(_xlpm.result, _xlfn.XLOOKUP($A246,'EA-Fortescue_SDExport'!$A:$A,'EA-Fortescue_SDExport'!AQ:AQ), IF(_xlpm.result=0,"",_xlpm.result))</f>
        <v/>
      </c>
      <c r="M246" s="2" t="str">
        <f>_xlfn.LET(_xlpm.result, _xlfn.XLOOKUP($A246,'EA-Fortescue_SDExport'!$A:$A,'EA-Fortescue_SDExport'!AR:AR), IF(_xlpm.result=0,"",_xlpm.result))</f>
        <v/>
      </c>
      <c r="N246" s="2" t="str">
        <f>_xlfn.LET(_xlpm.result, _xlfn.XLOOKUP($A246,'EA-Fortescue_SDExport'!$A:$A,'EA-Fortescue_SDExport'!AW:AW), IF(_xlpm.result=0,"",_xlpm.result))</f>
        <v/>
      </c>
      <c r="O246" s="2" t="str">
        <f>_xlfn.LET(_xlpm.result, _xlfn.XLOOKUP($A246,'EA-Fortescue_SDExport'!$A:$A,'EA-Fortescue_SDExport'!AV:AV), IF(_xlpm.result=0,"",_xlpm.result))</f>
        <v/>
      </c>
      <c r="P246" s="2" t="str">
        <f>_xlfn.LET(_xlpm.result, _xlfn.XLOOKUP($A246,'EA-Fortescue_SDExport'!$A:$A,'EA-Fortescue_SDExport'!D:D),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46" s="2" t="str">
        <f>_xlfn.LET(
    _xlpm.status, _xlfn.XLOOKUP($A246,'EA-ConnectorExport'!$A:$A,'EA-ConnectorExport'!G:G),
    _xlpm.result, _xlfn.XLOOKUP($A246,'EA-ConnectorExport'!$A:$A,'EA-ConnectorExport'!B:B),
    IF(_xlpm.status="allocate", _xlpm.result, "")
)</f>
        <v>Solomon Mine Hub: Battery Energy Storage Systems (BESS) - AC</v>
      </c>
      <c r="R246" s="2" t="str">
        <f>IF(
    _xlfn.XLOOKUP($Q246,'EA-Fortescue_SDExport'!A:A,'EA-Fortescue_SDExport'!B:B)="Object",
    _xlfn.XLOOKUP(
        _xlfn.XLOOKUP($A246,'EA-ConnectorExport'!A:A,'EA-ConnectorExport'!D:D),
        'EA-Fortescue_SDExport'!A:A,
        'EA-Fortescue_SDExport'!AA:AA
    ),
    _xlfn.XLOOKUP($Q246,'EA-Fortescue_SDExport'!A:A,'EA-Fortescue_SDExport'!AA:AA)
)</f>
        <v>Project</v>
      </c>
      <c r="S246" s="2" t="str">
        <f>_xlfn.LET(_xlpm.result, _xlfn.XLOOKUP($Q246,'EA-Fortescue_SDExport'!$A:$A,'EA-Fortescue_SDExport'!AB:AB), IF(_xlpm.result=0,"",_xlpm.result))</f>
        <v/>
      </c>
      <c r="T246" s="2" t="str">
        <f>_xlfn.LET(_xlpm.result, _xlfn.XLOOKUP($Q246,'EA-Fortescue_SDExport'!$A:$A,'EA-Fortescue_SDExport'!AC:AC), IF(_xlpm.result=0,"",_xlpm.result))</f>
        <v>Solomon Mine Hub</v>
      </c>
      <c r="U246" s="2" t="str">
        <f>_xlfn.LET(
    _xlpm.isObject, _xlfn.XLOOKUP($Q246,'EA-Fortescue_SDExport'!A:A,'EA-Fortescue_SDExport'!B:B),
    _xlpm.lookupKey, IF(_xlpm.isObject="Object",
        _xlfn.XLOOKUP($A246,'EA-ConnectorExport'!A:A,'EA-ConnectorExport'!D:D),
        $Q246
    ),
    _xlpm.result, _xlfn.XLOOKUP(_xlpm.lookupKey,'EA-Fortescue_SDExport'!A:A,'EA-Fortescue_SDExport'!AD:AD),
    IF(_xlpm.result=0,"",_xlpm.result)
)</f>
        <v>854DC Green Power</v>
      </c>
      <c r="V246" s="2" t="str">
        <f>_xlfn.LET(
    _xlpm.isObject, _xlfn.XLOOKUP($Q246,'EA-Fortescue_SDExport'!A:A,'EA-Fortescue_SDExport'!B:B),
    _xlpm.lookupKey, IF(_xlpm.isObject="Object",
        _xlfn.XLOOKUP($A246,'EA-ConnectorExport'!A:A,'EA-ConnectorExport'!D:D),
        $Q246
    ),
    _xlpm.result, _xlfn.XLOOKUP(_xlpm.lookupKey,'EA-Fortescue_SDExport'!A:A,'EA-Fortescue_SDExport'!AE:AE),
    IF(_xlpm.result=0,"",_xlpm.result)
)</f>
        <v>854DC-5680 Battery Energy Storage System (BESS)</v>
      </c>
      <c r="W246" s="2" t="str">
        <f>_xlfn.LET(
    _xlpm.isObject, _xlfn.XLOOKUP($Q246,'EA-Fortescue_SDExport'!A:A,'EA-Fortescue_SDExport'!B:B),
    _xlpm.lookupKey, IF(_xlpm.isObject="Object",
        _xlfn.XLOOKUP($A246,'EA-ConnectorExport'!A:A,'EA-ConnectorExport'!D:D),
        $Q246
    ),
    _xlpm.result, _xlfn.XLOOKUP(_xlpm.lookupKey,'EA-Fortescue_SDExport'!A:A,'EA-Fortescue_SDExport'!AF:AF),
    IF(_xlpm.result=0,"",_xlpm.result)
)</f>
        <v>854DC-5680-0001 Battery Energy Storage Systems (BESS)</v>
      </c>
      <c r="X246" s="2" t="str">
        <f>_xlfn.LET(
    _xlpm.isObject, _xlfn.XLOOKUP($Q246,'EA-Fortescue_SDExport'!A:A,'EA-Fortescue_SDExport'!B:B),
    _xlpm.lookupKey, IF(_xlpm.isObject="Object",
        _xlfn.XLOOKUP($A246,'EA-ConnectorExport'!A:A,'EA-ConnectorExport'!D:D),
        $Q246
    ),
    _xlpm.result, _xlfn.XLOOKUP(_xlpm.lookupKey,'EA-Fortescue_SDExport'!A:A,'EA-Fortescue_SDExport'!AG:AG),
    IF(_xlpm.result=0,"",_xlpm.result)
)</f>
        <v/>
      </c>
      <c r="Y246" s="2" t="str">
        <f>_xlfn.LET(
    _xlpm.status, _xlfn.XLOOKUP($A246,'EA-ConnectorExport'!$A:$A,'EA-ConnectorExport'!G:G),
    _xlpm.result, _xlfn.XLOOKUP($A246,'EA-ConnectorExport'!$A:$A,'EA-ConnectorExport'!H:H),
    IF(_xlpm.status="allocate", _xlpm.result, "")
)</f>
        <v>855DC-1543-PPC Pit Power Capacity Planning Tool - Capacity Check</v>
      </c>
      <c r="Z246" s="2" t="str">
        <f>_xlfn.LET(
    _xlpm.isObject, _xlfn.XLOOKUP($Y246,'EA-Fortescue_SDExport'!A:A,'EA-Fortescue_SDExport'!B:B),
    _xlpm.lookupKey, IF(_xlpm.isObject="Object",
        _xlfn.XLOOKUP($A246,'EA-ConnectorExport'!A:A,'EA-ConnectorExport'!J:J),
        $Y246
    ),
    _xlpm.result, _xlfn.XLOOKUP(_xlpm.lookupKey,'EA-Fortescue_SDExport'!A:A,'EA-Fortescue_SDExport'!AA:AA),
    IF(_xlpm.result=0,"",_xlpm.result)
)</f>
        <v>Project</v>
      </c>
      <c r="AA246" s="2" t="str">
        <f>_xlfn.LET(_xlpm.result, _xlfn.XLOOKUP($Y246,'EA-Fortescue_SDExport'!$A:$A,'EA-Fortescue_SDExport'!AB:AB), IF(_xlpm.result=0,"",_xlpm.result))</f>
        <v>Operations Planning</v>
      </c>
      <c r="AB246" s="2" t="str">
        <f>_xlfn.LET(_xlpm.result, _xlfn.XLOOKUP($Y246,'EA-Fortescue_SDExport'!$A:$A,'EA-Fortescue_SDExport'!AC:AC), IF(_xlpm.result=0,"",_xlpm.result))</f>
        <v>AWS Fortescue Infrastructure</v>
      </c>
      <c r="AC246" s="2" t="str">
        <f>_xlfn.LET(
    _xlpm.isObject, _xlfn.XLOOKUP($Y246,'EA-Fortescue_SDExport'!A:A,'EA-Fortescue_SDExport'!B:B),
    _xlpm.lookupKey, IF(_xlpm.isObject="Object",
        _xlfn.XLOOKUP($A246,'EA-ConnectorExport'!A:A,'EA-ConnectorExport'!J:J),
        $Y246
    ),
    _xlpm.result, _xlfn.XLOOKUP(_xlpm.lookupKey,'EA-Fortescue_SDExport'!A:A,'EA-Fortescue_SDExport'!AD:AD),
    IF(_xlpm.result=0,"",_xlpm.result)
)</f>
        <v>855DC Decarb Green Systems</v>
      </c>
      <c r="AD246" s="2" t="str">
        <f>_xlfn.LET(
    _xlpm.isObject, _xlfn.XLOOKUP($Y246,'EA-Fortescue_SDExport'!A:A,'EA-Fortescue_SDExport'!B:B),
    _xlpm.lookupKey, IF(_xlpm.isObject="Object",
        _xlfn.XLOOKUP($A246,'EA-ConnectorExport'!A:A,'EA-ConnectorExport'!J:J),
        $Y246
    ),
    _xlpm.result, _xlfn.XLOOKUP(_xlpm.lookupKey,'EA-Fortescue_SDExport'!A:A,'EA-Fortescue_SDExport'!AE:AE),
    IF(_xlpm.result=0,"",_xlpm.result)
)</f>
        <v/>
      </c>
      <c r="AE246" s="2" t="str">
        <f>_xlfn.LET(
    _xlpm.isObject, _xlfn.XLOOKUP($Y246,'EA-Fortescue_SDExport'!A:A,'EA-Fortescue_SDExport'!B:B),
    _xlpm.lookupKey, IF(_xlpm.isObject="Object",
        _xlfn.XLOOKUP($A246,'EA-ConnectorExport'!A:A,'EA-ConnectorExport'!J:J),
        $Y246
    ),
    _xlpm.result, _xlfn.XLOOKUP(_xlpm.lookupKey,'EA-Fortescue_SDExport'!A:A,'EA-Fortescue_SDExport'!AF:AF),
    IF(_xlpm.result=0,"",_xlpm.result)
)</f>
        <v>855DC-1543-PPC Pit Power Capacity Planning Tool - Capacity Check</v>
      </c>
      <c r="AF246" s="2" t="str">
        <f>_xlfn.LET(
    _xlpm.isObject, _xlfn.XLOOKUP($Y246,'EA-Fortescue_SDExport'!A:A,'EA-Fortescue_SDExport'!B:B),
    _xlpm.lookupKey, IF(_xlpm.isObject="Object",
        _xlfn.XLOOKUP($A246,'EA-ConnectorExport'!A:A,'EA-ConnectorExport'!J:J),
        $Y246
    ),
    _xlpm.result, _xlfn.XLOOKUP(_xlpm.lookupKey,'EA-Fortescue_SDExport'!A:A,'EA-Fortescue_SDExport'!AG:AG),
    IF(_xlpm.result=0,"",_xlpm.result)
)</f>
        <v/>
      </c>
    </row>
    <row r="247" spans="1:32" ht="240" x14ac:dyDescent="0.25">
      <c r="A247" s="2" t="str">
        <v>DGS-I_0246</v>
      </c>
      <c r="B247" s="2" t="str">
        <f t="shared" si="12"/>
        <v>Solomon Mine Hub: Mobile Battery Bank|855DC-1543-PPC Pit Power Capacity Planning Tool - Capacity Check</v>
      </c>
      <c r="C247" s="2" t="str">
        <f>_xlfn.LET(_xlpm.result, _xlfn.XLOOKUP(A247,'EA-Fortescue_SDExport'!A:A,'EA-Fortescue_SDExport'!AM:AM), IF(_xlpm.result=0,"",_xlpm.result))</f>
        <v/>
      </c>
      <c r="D247" s="2" t="str">
        <f>_xlfn.LET(_xlpm.result, _xlfn.XLOOKUP(A247,'EA-Fortescue_SDExport'!A:A,'EA-Fortescue_SDExport'!AN:AN), IF(_xlpm.result=0,"",_xlpm.result))</f>
        <v/>
      </c>
      <c r="E247" s="2" t="str">
        <f>_xlfn.XLOOKUP(R247&amp;Z247,Lookups!A:A,Lookups!B:B)</f>
        <v>Project - Project Interface</v>
      </c>
      <c r="F247" s="2" t="str">
        <f>_xlfn.LET(_xlpm.result, _xlfn.XLOOKUP(A247,'EA-Fortescue_SDExport'!A:A,'EA-Fortescue_SDExport'!AP:AP), IF(_xlpm.result=0,"",_xlpm.result))</f>
        <v/>
      </c>
      <c r="G247" s="2" t="str">
        <f>IF(OR(AND(T247&lt;&gt;"", COUNTIF(Lookups!J:J, "*"&amp;T247&amp;"*")&gt;0), AND(AB247&lt;&gt;"", COUNTIF(Lookups!J:J, "*"&amp;AB247&amp;"*")&gt;0)), "Yes", "No")</f>
        <v>Yes</v>
      </c>
      <c r="H247" s="2" t="str">
        <f t="shared" si="13"/>
        <v>854DC Green Power|855DC Decarb Green Systems</v>
      </c>
      <c r="I247" s="2" t="str">
        <f t="shared" si="14"/>
        <v>854DC-5680 Battery Energy Storage System (BESS)|N/A</v>
      </c>
      <c r="J247" s="2" t="str">
        <f t="shared" si="15"/>
        <v>854DC-5680-0002 Mobile Battery Bank|855DC-1543-PPC Pit Power Capacity Planning Tool - Capacity Check</v>
      </c>
      <c r="K247" s="2" t="str">
        <f>_xlfn.XLOOKUP(A247,'EA-Fortescue_SDExport'!A:A,'EA-Fortescue_SDExport'!N:N)</f>
        <v>Proposed</v>
      </c>
      <c r="L247" s="2" t="str">
        <f>_xlfn.LET(_xlpm.result, _xlfn.XLOOKUP($A247,'EA-Fortescue_SDExport'!$A:$A,'EA-Fortescue_SDExport'!AQ:AQ), IF(_xlpm.result=0,"",_xlpm.result))</f>
        <v/>
      </c>
      <c r="M247" s="2" t="str">
        <f>_xlfn.LET(_xlpm.result, _xlfn.XLOOKUP($A247,'EA-Fortescue_SDExport'!$A:$A,'EA-Fortescue_SDExport'!AR:AR), IF(_xlpm.result=0,"",_xlpm.result))</f>
        <v/>
      </c>
      <c r="N247" s="2" t="str">
        <f>_xlfn.LET(_xlpm.result, _xlfn.XLOOKUP($A247,'EA-Fortescue_SDExport'!$A:$A,'EA-Fortescue_SDExport'!AW:AW), IF(_xlpm.result=0,"",_xlpm.result))</f>
        <v/>
      </c>
      <c r="O247" s="2" t="str">
        <f>_xlfn.LET(_xlpm.result, _xlfn.XLOOKUP($A247,'EA-Fortescue_SDExport'!$A:$A,'EA-Fortescue_SDExport'!AV:AV), IF(_xlpm.result=0,"",_xlpm.result))</f>
        <v/>
      </c>
      <c r="P247" s="2" t="str">
        <f>_xlfn.LET(_xlpm.result, _xlfn.XLOOKUP($A247,'EA-Fortescue_SDExport'!$A:$A,'EA-Fortescue_SDExport'!D:D),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47" s="2" t="str">
        <f>_xlfn.LET(
    _xlpm.status, _xlfn.XLOOKUP($A247,'EA-ConnectorExport'!$A:$A,'EA-ConnectorExport'!G:G),
    _xlpm.result, _xlfn.XLOOKUP($A247,'EA-ConnectorExport'!$A:$A,'EA-ConnectorExport'!B:B),
    IF(_xlpm.status="allocate", _xlpm.result, "")
)</f>
        <v>Solomon Mine Hub: Mobile Battery Bank</v>
      </c>
      <c r="R247" s="2" t="str">
        <f>IF(
    _xlfn.XLOOKUP($Q247,'EA-Fortescue_SDExport'!A:A,'EA-Fortescue_SDExport'!B:B)="Object",
    _xlfn.XLOOKUP(
        _xlfn.XLOOKUP($A247,'EA-ConnectorExport'!A:A,'EA-ConnectorExport'!D:D),
        'EA-Fortescue_SDExport'!A:A,
        'EA-Fortescue_SDExport'!AA:AA
    ),
    _xlfn.XLOOKUP($Q247,'EA-Fortescue_SDExport'!A:A,'EA-Fortescue_SDExport'!AA:AA)
)</f>
        <v>Project</v>
      </c>
      <c r="S247" s="2" t="str">
        <f>_xlfn.LET(_xlpm.result, _xlfn.XLOOKUP($Q247,'EA-Fortescue_SDExport'!$A:$A,'EA-Fortescue_SDExport'!AB:AB), IF(_xlpm.result=0,"",_xlpm.result))</f>
        <v/>
      </c>
      <c r="T247" s="2" t="str">
        <f>_xlfn.LET(_xlpm.result, _xlfn.XLOOKUP($Q247,'EA-Fortescue_SDExport'!$A:$A,'EA-Fortescue_SDExport'!AC:AC), IF(_xlpm.result=0,"",_xlpm.result))</f>
        <v>Solomon Mine Hub</v>
      </c>
      <c r="U247" s="2" t="str">
        <f>_xlfn.LET(
    _xlpm.isObject, _xlfn.XLOOKUP($Q247,'EA-Fortescue_SDExport'!A:A,'EA-Fortescue_SDExport'!B:B),
    _xlpm.lookupKey, IF(_xlpm.isObject="Object",
        _xlfn.XLOOKUP($A247,'EA-ConnectorExport'!A:A,'EA-ConnectorExport'!D:D),
        $Q247
    ),
    _xlpm.result, _xlfn.XLOOKUP(_xlpm.lookupKey,'EA-Fortescue_SDExport'!A:A,'EA-Fortescue_SDExport'!AD:AD),
    IF(_xlpm.result=0,"",_xlpm.result)
)</f>
        <v>854DC Green Power</v>
      </c>
      <c r="V247" s="2" t="str">
        <f>_xlfn.LET(
    _xlpm.isObject, _xlfn.XLOOKUP($Q247,'EA-Fortescue_SDExport'!A:A,'EA-Fortescue_SDExport'!B:B),
    _xlpm.lookupKey, IF(_xlpm.isObject="Object",
        _xlfn.XLOOKUP($A247,'EA-ConnectorExport'!A:A,'EA-ConnectorExport'!D:D),
        $Q247
    ),
    _xlpm.result, _xlfn.XLOOKUP(_xlpm.lookupKey,'EA-Fortescue_SDExport'!A:A,'EA-Fortescue_SDExport'!AE:AE),
    IF(_xlpm.result=0,"",_xlpm.result)
)</f>
        <v>854DC-5680 Battery Energy Storage System (BESS)</v>
      </c>
      <c r="W247" s="2" t="str">
        <f>_xlfn.LET(
    _xlpm.isObject, _xlfn.XLOOKUP($Q247,'EA-Fortescue_SDExport'!A:A,'EA-Fortescue_SDExport'!B:B),
    _xlpm.lookupKey, IF(_xlpm.isObject="Object",
        _xlfn.XLOOKUP($A247,'EA-ConnectorExport'!A:A,'EA-ConnectorExport'!D:D),
        $Q247
    ),
    _xlpm.result, _xlfn.XLOOKUP(_xlpm.lookupKey,'EA-Fortescue_SDExport'!A:A,'EA-Fortescue_SDExport'!AF:AF),
    IF(_xlpm.result=0,"",_xlpm.result)
)</f>
        <v>854DC-5680-0002 Mobile Battery Bank</v>
      </c>
      <c r="X247" s="2" t="str">
        <f>_xlfn.LET(
    _xlpm.isObject, _xlfn.XLOOKUP($Q247,'EA-Fortescue_SDExport'!A:A,'EA-Fortescue_SDExport'!B:B),
    _xlpm.lookupKey, IF(_xlpm.isObject="Object",
        _xlfn.XLOOKUP($A247,'EA-ConnectorExport'!A:A,'EA-ConnectorExport'!D:D),
        $Q247
    ),
    _xlpm.result, _xlfn.XLOOKUP(_xlpm.lookupKey,'EA-Fortescue_SDExport'!A:A,'EA-Fortescue_SDExport'!AG:AG),
    IF(_xlpm.result=0,"",_xlpm.result)
)</f>
        <v/>
      </c>
      <c r="Y247" s="2" t="str">
        <f>_xlfn.LET(
    _xlpm.status, _xlfn.XLOOKUP($A247,'EA-ConnectorExport'!$A:$A,'EA-ConnectorExport'!G:G),
    _xlpm.result, _xlfn.XLOOKUP($A247,'EA-ConnectorExport'!$A:$A,'EA-ConnectorExport'!H:H),
    IF(_xlpm.status="allocate", _xlpm.result, "")
)</f>
        <v>855DC-1543-PPC Pit Power Capacity Planning Tool - Capacity Check</v>
      </c>
      <c r="Z247" s="2" t="str">
        <f>_xlfn.LET(
    _xlpm.isObject, _xlfn.XLOOKUP($Y247,'EA-Fortescue_SDExport'!A:A,'EA-Fortescue_SDExport'!B:B),
    _xlpm.lookupKey, IF(_xlpm.isObject="Object",
        _xlfn.XLOOKUP($A247,'EA-ConnectorExport'!A:A,'EA-ConnectorExport'!J:J),
        $Y247
    ),
    _xlpm.result, _xlfn.XLOOKUP(_xlpm.lookupKey,'EA-Fortescue_SDExport'!A:A,'EA-Fortescue_SDExport'!AA:AA),
    IF(_xlpm.result=0,"",_xlpm.result)
)</f>
        <v>Project</v>
      </c>
      <c r="AA247" s="2" t="str">
        <f>_xlfn.LET(_xlpm.result, _xlfn.XLOOKUP($Y247,'EA-Fortescue_SDExport'!$A:$A,'EA-Fortescue_SDExport'!AB:AB), IF(_xlpm.result=0,"",_xlpm.result))</f>
        <v>Operations Planning</v>
      </c>
      <c r="AB247" s="2" t="str">
        <f>_xlfn.LET(_xlpm.result, _xlfn.XLOOKUP($Y247,'EA-Fortescue_SDExport'!$A:$A,'EA-Fortescue_SDExport'!AC:AC), IF(_xlpm.result=0,"",_xlpm.result))</f>
        <v>AWS Fortescue Infrastructure</v>
      </c>
      <c r="AC247" s="2" t="str">
        <f>_xlfn.LET(
    _xlpm.isObject, _xlfn.XLOOKUP($Y247,'EA-Fortescue_SDExport'!A:A,'EA-Fortescue_SDExport'!B:B),
    _xlpm.lookupKey, IF(_xlpm.isObject="Object",
        _xlfn.XLOOKUP($A247,'EA-ConnectorExport'!A:A,'EA-ConnectorExport'!J:J),
        $Y247
    ),
    _xlpm.result, _xlfn.XLOOKUP(_xlpm.lookupKey,'EA-Fortescue_SDExport'!A:A,'EA-Fortescue_SDExport'!AD:AD),
    IF(_xlpm.result=0,"",_xlpm.result)
)</f>
        <v>855DC Decarb Green Systems</v>
      </c>
      <c r="AD247" s="2" t="str">
        <f>_xlfn.LET(
    _xlpm.isObject, _xlfn.XLOOKUP($Y247,'EA-Fortescue_SDExport'!A:A,'EA-Fortescue_SDExport'!B:B),
    _xlpm.lookupKey, IF(_xlpm.isObject="Object",
        _xlfn.XLOOKUP($A247,'EA-ConnectorExport'!A:A,'EA-ConnectorExport'!J:J),
        $Y247
    ),
    _xlpm.result, _xlfn.XLOOKUP(_xlpm.lookupKey,'EA-Fortescue_SDExport'!A:A,'EA-Fortescue_SDExport'!AE:AE),
    IF(_xlpm.result=0,"",_xlpm.result)
)</f>
        <v/>
      </c>
      <c r="AE247" s="2" t="str">
        <f>_xlfn.LET(
    _xlpm.isObject, _xlfn.XLOOKUP($Y247,'EA-Fortescue_SDExport'!A:A,'EA-Fortescue_SDExport'!B:B),
    _xlpm.lookupKey, IF(_xlpm.isObject="Object",
        _xlfn.XLOOKUP($A247,'EA-ConnectorExport'!A:A,'EA-ConnectorExport'!J:J),
        $Y247
    ),
    _xlpm.result, _xlfn.XLOOKUP(_xlpm.lookupKey,'EA-Fortescue_SDExport'!A:A,'EA-Fortescue_SDExport'!AF:AF),
    IF(_xlpm.result=0,"",_xlpm.result)
)</f>
        <v>855DC-1543-PPC Pit Power Capacity Planning Tool - Capacity Check</v>
      </c>
      <c r="AF247" s="2" t="str">
        <f>_xlfn.LET(
    _xlpm.isObject, _xlfn.XLOOKUP($Y247,'EA-Fortescue_SDExport'!A:A,'EA-Fortescue_SDExport'!B:B),
    _xlpm.lookupKey, IF(_xlpm.isObject="Object",
        _xlfn.XLOOKUP($A247,'EA-ConnectorExport'!A:A,'EA-ConnectorExport'!J:J),
        $Y247
    ),
    _xlpm.result, _xlfn.XLOOKUP(_xlpm.lookupKey,'EA-Fortescue_SDExport'!A:A,'EA-Fortescue_SDExport'!AG:AG),
    IF(_xlpm.result=0,"",_xlpm.result)
)</f>
        <v/>
      </c>
    </row>
    <row r="248" spans="1:32" ht="240" x14ac:dyDescent="0.25">
      <c r="A248" s="2" t="str">
        <v>DGS-I_0247</v>
      </c>
      <c r="B248" s="2" t="str">
        <f t="shared" si="12"/>
        <v>Solomon Mine Hub: Battery Energy Storage Systems (BESS) - DC|855DC-1543-PPC Pit Power Capacity Planning Tool - Capacity Check</v>
      </c>
      <c r="C248" s="2" t="str">
        <f>_xlfn.LET(_xlpm.result, _xlfn.XLOOKUP(A248,'EA-Fortescue_SDExport'!A:A,'EA-Fortescue_SDExport'!AM:AM), IF(_xlpm.result=0,"",_xlpm.result))</f>
        <v/>
      </c>
      <c r="D248" s="2" t="str">
        <f>_xlfn.LET(_xlpm.result, _xlfn.XLOOKUP(A248,'EA-Fortescue_SDExport'!A:A,'EA-Fortescue_SDExport'!AN:AN), IF(_xlpm.result=0,"",_xlpm.result))</f>
        <v/>
      </c>
      <c r="E248" s="2" t="str">
        <f>_xlfn.XLOOKUP(R248&amp;Z248,Lookups!A:A,Lookups!B:B)</f>
        <v>Project - Project Interface</v>
      </c>
      <c r="F248" s="2" t="str">
        <f>_xlfn.LET(_xlpm.result, _xlfn.XLOOKUP(A248,'EA-Fortescue_SDExport'!A:A,'EA-Fortescue_SDExport'!AP:AP), IF(_xlpm.result=0,"",_xlpm.result))</f>
        <v/>
      </c>
      <c r="G248" s="2" t="str">
        <f>IF(OR(AND(T248&lt;&gt;"", COUNTIF(Lookups!J:J, "*"&amp;T248&amp;"*")&gt;0), AND(AB248&lt;&gt;"", COUNTIF(Lookups!J:J, "*"&amp;AB248&amp;"*")&gt;0)), "Yes", "No")</f>
        <v>Yes</v>
      </c>
      <c r="H248" s="2" t="str">
        <f t="shared" si="13"/>
        <v>N/A|855DC Decarb Green Systems</v>
      </c>
      <c r="I248" s="2" t="str">
        <f t="shared" si="14"/>
        <v>N/A</v>
      </c>
      <c r="J248" s="2" t="str">
        <f t="shared" si="15"/>
        <v>N/A|855DC-1543-PPC Pit Power Capacity Planning Tool - Capacity Check</v>
      </c>
      <c r="K248" s="2" t="str">
        <f>_xlfn.XLOOKUP(A248,'EA-Fortescue_SDExport'!A:A,'EA-Fortescue_SDExport'!N:N)</f>
        <v>Proposed</v>
      </c>
      <c r="L248" s="2" t="str">
        <f>_xlfn.LET(_xlpm.result, _xlfn.XLOOKUP($A248,'EA-Fortescue_SDExport'!$A:$A,'EA-Fortescue_SDExport'!AQ:AQ), IF(_xlpm.result=0,"",_xlpm.result))</f>
        <v/>
      </c>
      <c r="M248" s="2" t="str">
        <f>_xlfn.LET(_xlpm.result, _xlfn.XLOOKUP($A248,'EA-Fortescue_SDExport'!$A:$A,'EA-Fortescue_SDExport'!AR:AR), IF(_xlpm.result=0,"",_xlpm.result))</f>
        <v/>
      </c>
      <c r="N248" s="2" t="str">
        <f>_xlfn.LET(_xlpm.result, _xlfn.XLOOKUP($A248,'EA-Fortescue_SDExport'!$A:$A,'EA-Fortescue_SDExport'!AW:AW), IF(_xlpm.result=0,"",_xlpm.result))</f>
        <v/>
      </c>
      <c r="O248" s="2" t="str">
        <f>_xlfn.LET(_xlpm.result, _xlfn.XLOOKUP($A248,'EA-Fortescue_SDExport'!$A:$A,'EA-Fortescue_SDExport'!AV:AV), IF(_xlpm.result=0,"",_xlpm.result))</f>
        <v/>
      </c>
      <c r="P248" s="2" t="str">
        <f>_xlfn.LET(_xlpm.result, _xlfn.XLOOKUP($A248,'EA-Fortescue_SDExport'!$A:$A,'EA-Fortescue_SDExport'!D:D),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48" s="2" t="str">
        <f>_xlfn.LET(
    _xlpm.status, _xlfn.XLOOKUP($A248,'EA-ConnectorExport'!$A:$A,'EA-ConnectorExport'!G:G),
    _xlpm.result, _xlfn.XLOOKUP($A248,'EA-ConnectorExport'!$A:$A,'EA-ConnectorExport'!B:B),
    IF(_xlpm.status="allocate", _xlpm.result, "")
)</f>
        <v>Solomon Mine Hub: Battery Energy Storage Systems (BESS) - DC</v>
      </c>
      <c r="R248" s="2" t="str">
        <f>IF(
    _xlfn.XLOOKUP($Q248,'EA-Fortescue_SDExport'!A:A,'EA-Fortescue_SDExport'!B:B)="Object",
    _xlfn.XLOOKUP(
        _xlfn.XLOOKUP($A248,'EA-ConnectorExport'!A:A,'EA-ConnectorExport'!D:D),
        'EA-Fortescue_SDExport'!A:A,
        'EA-Fortescue_SDExport'!AA:AA
    ),
    _xlfn.XLOOKUP($Q248,'EA-Fortescue_SDExport'!A:A,'EA-Fortescue_SDExport'!AA:AA)
)</f>
        <v>Project</v>
      </c>
      <c r="S248" s="2" t="str">
        <f>_xlfn.LET(_xlpm.result, _xlfn.XLOOKUP($Q248,'EA-Fortescue_SDExport'!$A:$A,'EA-Fortescue_SDExport'!AB:AB), IF(_xlpm.result=0,"",_xlpm.result))</f>
        <v/>
      </c>
      <c r="T248" s="2" t="str">
        <f>_xlfn.LET(_xlpm.result, _xlfn.XLOOKUP($Q248,'EA-Fortescue_SDExport'!$A:$A,'EA-Fortescue_SDExport'!AC:AC), IF(_xlpm.result=0,"",_xlpm.result))</f>
        <v>Solomon Mine Hub</v>
      </c>
      <c r="U248" s="2" t="str">
        <f>_xlfn.LET(
    _xlpm.isObject, _xlfn.XLOOKUP($Q248,'EA-Fortescue_SDExport'!A:A,'EA-Fortescue_SDExport'!B:B),
    _xlpm.lookupKey, IF(_xlpm.isObject="Object",
        _xlfn.XLOOKUP($A248,'EA-ConnectorExport'!A:A,'EA-ConnectorExport'!D:D),
        $Q248
    ),
    _xlpm.result, _xlfn.XLOOKUP(_xlpm.lookupKey,'EA-Fortescue_SDExport'!A:A,'EA-Fortescue_SDExport'!AD:AD),
    IF(_xlpm.result=0,"",_xlpm.result)
)</f>
        <v/>
      </c>
      <c r="V248" s="2" t="str">
        <f>_xlfn.LET(
    _xlpm.isObject, _xlfn.XLOOKUP($Q248,'EA-Fortescue_SDExport'!A:A,'EA-Fortescue_SDExport'!B:B),
    _xlpm.lookupKey, IF(_xlpm.isObject="Object",
        _xlfn.XLOOKUP($A248,'EA-ConnectorExport'!A:A,'EA-ConnectorExport'!D:D),
        $Q248
    ),
    _xlpm.result, _xlfn.XLOOKUP(_xlpm.lookupKey,'EA-Fortescue_SDExport'!A:A,'EA-Fortescue_SDExport'!AE:AE),
    IF(_xlpm.result=0,"",_xlpm.result)
)</f>
        <v/>
      </c>
      <c r="W248" s="2" t="str">
        <f>_xlfn.LET(
    _xlpm.isObject, _xlfn.XLOOKUP($Q248,'EA-Fortescue_SDExport'!A:A,'EA-Fortescue_SDExport'!B:B),
    _xlpm.lookupKey, IF(_xlpm.isObject="Object",
        _xlfn.XLOOKUP($A248,'EA-ConnectorExport'!A:A,'EA-ConnectorExport'!D:D),
        $Q248
    ),
    _xlpm.result, _xlfn.XLOOKUP(_xlpm.lookupKey,'EA-Fortescue_SDExport'!A:A,'EA-Fortescue_SDExport'!AF:AF),
    IF(_xlpm.result=0,"",_xlpm.result)
)</f>
        <v/>
      </c>
      <c r="X248" s="2" t="str">
        <f>_xlfn.LET(
    _xlpm.isObject, _xlfn.XLOOKUP($Q248,'EA-Fortescue_SDExport'!A:A,'EA-Fortescue_SDExport'!B:B),
    _xlpm.lookupKey, IF(_xlpm.isObject="Object",
        _xlfn.XLOOKUP($A248,'EA-ConnectorExport'!A:A,'EA-ConnectorExport'!D:D),
        $Q248
    ),
    _xlpm.result, _xlfn.XLOOKUP(_xlpm.lookupKey,'EA-Fortescue_SDExport'!A:A,'EA-Fortescue_SDExport'!AG:AG),
    IF(_xlpm.result=0,"",_xlpm.result)
)</f>
        <v/>
      </c>
      <c r="Y248" s="2" t="str">
        <f>_xlfn.LET(
    _xlpm.status, _xlfn.XLOOKUP($A248,'EA-ConnectorExport'!$A:$A,'EA-ConnectorExport'!G:G),
    _xlpm.result, _xlfn.XLOOKUP($A248,'EA-ConnectorExport'!$A:$A,'EA-ConnectorExport'!H:H),
    IF(_xlpm.status="allocate", _xlpm.result, "")
)</f>
        <v>855DC-1543-PPC Pit Power Capacity Planning Tool - Capacity Check</v>
      </c>
      <c r="Z248" s="2" t="str">
        <f>_xlfn.LET(
    _xlpm.isObject, _xlfn.XLOOKUP($Y248,'EA-Fortescue_SDExport'!A:A,'EA-Fortescue_SDExport'!B:B),
    _xlpm.lookupKey, IF(_xlpm.isObject="Object",
        _xlfn.XLOOKUP($A248,'EA-ConnectorExport'!A:A,'EA-ConnectorExport'!J:J),
        $Y248
    ),
    _xlpm.result, _xlfn.XLOOKUP(_xlpm.lookupKey,'EA-Fortescue_SDExport'!A:A,'EA-Fortescue_SDExport'!AA:AA),
    IF(_xlpm.result=0,"",_xlpm.result)
)</f>
        <v>Project</v>
      </c>
      <c r="AA248" s="2" t="str">
        <f>_xlfn.LET(_xlpm.result, _xlfn.XLOOKUP($Y248,'EA-Fortescue_SDExport'!$A:$A,'EA-Fortescue_SDExport'!AB:AB), IF(_xlpm.result=0,"",_xlpm.result))</f>
        <v>Operations Planning</v>
      </c>
      <c r="AB248" s="2" t="str">
        <f>_xlfn.LET(_xlpm.result, _xlfn.XLOOKUP($Y248,'EA-Fortescue_SDExport'!$A:$A,'EA-Fortescue_SDExport'!AC:AC), IF(_xlpm.result=0,"",_xlpm.result))</f>
        <v>AWS Fortescue Infrastructure</v>
      </c>
      <c r="AC248" s="2" t="str">
        <f>_xlfn.LET(
    _xlpm.isObject, _xlfn.XLOOKUP($Y248,'EA-Fortescue_SDExport'!A:A,'EA-Fortescue_SDExport'!B:B),
    _xlpm.lookupKey, IF(_xlpm.isObject="Object",
        _xlfn.XLOOKUP($A248,'EA-ConnectorExport'!A:A,'EA-ConnectorExport'!J:J),
        $Y248
    ),
    _xlpm.result, _xlfn.XLOOKUP(_xlpm.lookupKey,'EA-Fortescue_SDExport'!A:A,'EA-Fortescue_SDExport'!AD:AD),
    IF(_xlpm.result=0,"",_xlpm.result)
)</f>
        <v>855DC Decarb Green Systems</v>
      </c>
      <c r="AD248" s="2" t="str">
        <f>_xlfn.LET(
    _xlpm.isObject, _xlfn.XLOOKUP($Y248,'EA-Fortescue_SDExport'!A:A,'EA-Fortescue_SDExport'!B:B),
    _xlpm.lookupKey, IF(_xlpm.isObject="Object",
        _xlfn.XLOOKUP($A248,'EA-ConnectorExport'!A:A,'EA-ConnectorExport'!J:J),
        $Y248
    ),
    _xlpm.result, _xlfn.XLOOKUP(_xlpm.lookupKey,'EA-Fortescue_SDExport'!A:A,'EA-Fortescue_SDExport'!AE:AE),
    IF(_xlpm.result=0,"",_xlpm.result)
)</f>
        <v/>
      </c>
      <c r="AE248" s="2" t="str">
        <f>_xlfn.LET(
    _xlpm.isObject, _xlfn.XLOOKUP($Y248,'EA-Fortescue_SDExport'!A:A,'EA-Fortescue_SDExport'!B:B),
    _xlpm.lookupKey, IF(_xlpm.isObject="Object",
        _xlfn.XLOOKUP($A248,'EA-ConnectorExport'!A:A,'EA-ConnectorExport'!J:J),
        $Y248
    ),
    _xlpm.result, _xlfn.XLOOKUP(_xlpm.lookupKey,'EA-Fortescue_SDExport'!A:A,'EA-Fortescue_SDExport'!AF:AF),
    IF(_xlpm.result=0,"",_xlpm.result)
)</f>
        <v>855DC-1543-PPC Pit Power Capacity Planning Tool - Capacity Check</v>
      </c>
      <c r="AF248" s="2" t="str">
        <f>_xlfn.LET(
    _xlpm.isObject, _xlfn.XLOOKUP($Y248,'EA-Fortescue_SDExport'!A:A,'EA-Fortescue_SDExport'!B:B),
    _xlpm.lookupKey, IF(_xlpm.isObject="Object",
        _xlfn.XLOOKUP($A248,'EA-ConnectorExport'!A:A,'EA-ConnectorExport'!J:J),
        $Y248
    ),
    _xlpm.result, _xlfn.XLOOKUP(_xlpm.lookupKey,'EA-Fortescue_SDExport'!A:A,'EA-Fortescue_SDExport'!AG:AG),
    IF(_xlpm.result=0,"",_xlpm.result)
)</f>
        <v/>
      </c>
    </row>
    <row r="249" spans="1:32" ht="240" x14ac:dyDescent="0.25">
      <c r="A249" s="2" t="str">
        <v>DGS-I_0248</v>
      </c>
      <c r="B249" s="2" t="str">
        <f t="shared" si="12"/>
        <v>855DC-1543-PPC Pit Power Capacity Planning Tool - Capacity Check|Solomon Mine Hub: Substation (220kV)</v>
      </c>
      <c r="C249" s="2" t="str">
        <f>_xlfn.LET(_xlpm.result, _xlfn.XLOOKUP(A249,'EA-Fortescue_SDExport'!A:A,'EA-Fortescue_SDExport'!AM:AM), IF(_xlpm.result=0,"",_xlpm.result))</f>
        <v/>
      </c>
      <c r="D249" s="2" t="str">
        <f>_xlfn.LET(_xlpm.result, _xlfn.XLOOKUP(A249,'EA-Fortescue_SDExport'!A:A,'EA-Fortescue_SDExport'!AN:AN), IF(_xlpm.result=0,"",_xlpm.result))</f>
        <v/>
      </c>
      <c r="E249" s="2" t="str">
        <f>_xlfn.XLOOKUP(R249&amp;Z249,Lookups!A:A,Lookups!B:B)</f>
        <v>Project - Project Interface</v>
      </c>
      <c r="F249" s="2" t="str">
        <f>_xlfn.LET(_xlpm.result, _xlfn.XLOOKUP(A249,'EA-Fortescue_SDExport'!A:A,'EA-Fortescue_SDExport'!AP:AP), IF(_xlpm.result=0,"",_xlpm.result))</f>
        <v/>
      </c>
      <c r="G249" s="2" t="str">
        <f>IF(OR(AND(T249&lt;&gt;"", COUNTIF(Lookups!J:J, "*"&amp;T249&amp;"*")&gt;0), AND(AB249&lt;&gt;"", COUNTIF(Lookups!J:J, "*"&amp;AB249&amp;"*")&gt;0)), "Yes", "No")</f>
        <v>Yes</v>
      </c>
      <c r="H249" s="2" t="str">
        <f t="shared" si="13"/>
        <v>855DC Decarb Green Systems|854DC Green Power</v>
      </c>
      <c r="I249" s="2" t="str">
        <f t="shared" si="14"/>
        <v>N/A|854DC-1521 HV Substations</v>
      </c>
      <c r="J249" s="2" t="str">
        <f t="shared" si="15"/>
        <v>855DC-1543-PPC Pit Power Capacity Planning Tool - Capacity Check|854DC-1521-0004 Substation (220kV)</v>
      </c>
      <c r="K249" s="2" t="str">
        <f>_xlfn.XLOOKUP(A249,'EA-Fortescue_SDExport'!A:A,'EA-Fortescue_SDExport'!N:N)</f>
        <v>Proposed</v>
      </c>
      <c r="L249" s="2" t="str">
        <f>_xlfn.LET(_xlpm.result, _xlfn.XLOOKUP($A249,'EA-Fortescue_SDExport'!$A:$A,'EA-Fortescue_SDExport'!AQ:AQ), IF(_xlpm.result=0,"",_xlpm.result))</f>
        <v/>
      </c>
      <c r="M249" s="2" t="str">
        <f>_xlfn.LET(_xlpm.result, _xlfn.XLOOKUP($A249,'EA-Fortescue_SDExport'!$A:$A,'EA-Fortescue_SDExport'!AR:AR), IF(_xlpm.result=0,"",_xlpm.result))</f>
        <v/>
      </c>
      <c r="N249" s="2" t="str">
        <f>_xlfn.LET(_xlpm.result, _xlfn.XLOOKUP($A249,'EA-Fortescue_SDExport'!$A:$A,'EA-Fortescue_SDExport'!AW:AW), IF(_xlpm.result=0,"",_xlpm.result))</f>
        <v/>
      </c>
      <c r="O249" s="2" t="str">
        <f>_xlfn.LET(_xlpm.result, _xlfn.XLOOKUP($A249,'EA-Fortescue_SDExport'!$A:$A,'EA-Fortescue_SDExport'!AV:AV), IF(_xlpm.result=0,"",_xlpm.result))</f>
        <v/>
      </c>
      <c r="P249" s="2" t="str">
        <f>_xlfn.LET(_xlpm.result, _xlfn.XLOOKUP($A249,'EA-Fortescue_SDExport'!$A:$A,'EA-Fortescue_SDExport'!D:D),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49" s="2" t="str">
        <f>_xlfn.LET(
    _xlpm.status, _xlfn.XLOOKUP($A249,'EA-ConnectorExport'!$A:$A,'EA-ConnectorExport'!G:G),
    _xlpm.result, _xlfn.XLOOKUP($A249,'EA-ConnectorExport'!$A:$A,'EA-ConnectorExport'!B:B),
    IF(_xlpm.status="allocate", _xlpm.result, "")
)</f>
        <v>855DC-1543-PPC Pit Power Capacity Planning Tool - Capacity Check</v>
      </c>
      <c r="R249" s="2" t="str">
        <f>IF(
    _xlfn.XLOOKUP($Q249,'EA-Fortescue_SDExport'!A:A,'EA-Fortescue_SDExport'!B:B)="Object",
    _xlfn.XLOOKUP(
        _xlfn.XLOOKUP($A249,'EA-ConnectorExport'!A:A,'EA-ConnectorExport'!D:D),
        'EA-Fortescue_SDExport'!A:A,
        'EA-Fortescue_SDExport'!AA:AA
    ),
    _xlfn.XLOOKUP($Q249,'EA-Fortescue_SDExport'!A:A,'EA-Fortescue_SDExport'!AA:AA)
)</f>
        <v>Project</v>
      </c>
      <c r="S249" s="2" t="str">
        <f>_xlfn.LET(_xlpm.result, _xlfn.XLOOKUP($Q249,'EA-Fortescue_SDExport'!$A:$A,'EA-Fortescue_SDExport'!AB:AB), IF(_xlpm.result=0,"",_xlpm.result))</f>
        <v>Operations Planning</v>
      </c>
      <c r="T249" s="2" t="str">
        <f>_xlfn.LET(_xlpm.result, _xlfn.XLOOKUP($Q249,'EA-Fortescue_SDExport'!$A:$A,'EA-Fortescue_SDExport'!AC:AC), IF(_xlpm.result=0,"",_xlpm.result))</f>
        <v>AWS Fortescue Infrastructure</v>
      </c>
      <c r="U249" s="2" t="str">
        <f>_xlfn.LET(
    _xlpm.isObject, _xlfn.XLOOKUP($Q249,'EA-Fortescue_SDExport'!A:A,'EA-Fortescue_SDExport'!B:B),
    _xlpm.lookupKey, IF(_xlpm.isObject="Object",
        _xlfn.XLOOKUP($A249,'EA-ConnectorExport'!A:A,'EA-ConnectorExport'!D:D),
        $Q249
    ),
    _xlpm.result, _xlfn.XLOOKUP(_xlpm.lookupKey,'EA-Fortescue_SDExport'!A:A,'EA-Fortescue_SDExport'!AD:AD),
    IF(_xlpm.result=0,"",_xlpm.result)
)</f>
        <v>855DC Decarb Green Systems</v>
      </c>
      <c r="V249" s="2" t="str">
        <f>_xlfn.LET(
    _xlpm.isObject, _xlfn.XLOOKUP($Q249,'EA-Fortescue_SDExport'!A:A,'EA-Fortescue_SDExport'!B:B),
    _xlpm.lookupKey, IF(_xlpm.isObject="Object",
        _xlfn.XLOOKUP($A249,'EA-ConnectorExport'!A:A,'EA-ConnectorExport'!D:D),
        $Q249
    ),
    _xlpm.result, _xlfn.XLOOKUP(_xlpm.lookupKey,'EA-Fortescue_SDExport'!A:A,'EA-Fortescue_SDExport'!AE:AE),
    IF(_xlpm.result=0,"",_xlpm.result)
)</f>
        <v/>
      </c>
      <c r="W249" s="2" t="str">
        <f>_xlfn.LET(
    _xlpm.isObject, _xlfn.XLOOKUP($Q249,'EA-Fortescue_SDExport'!A:A,'EA-Fortescue_SDExport'!B:B),
    _xlpm.lookupKey, IF(_xlpm.isObject="Object",
        _xlfn.XLOOKUP($A249,'EA-ConnectorExport'!A:A,'EA-ConnectorExport'!D:D),
        $Q249
    ),
    _xlpm.result, _xlfn.XLOOKUP(_xlpm.lookupKey,'EA-Fortescue_SDExport'!A:A,'EA-Fortescue_SDExport'!AF:AF),
    IF(_xlpm.result=0,"",_xlpm.result)
)</f>
        <v>855DC-1543-PPC Pit Power Capacity Planning Tool - Capacity Check</v>
      </c>
      <c r="X249" s="2" t="str">
        <f>_xlfn.LET(
    _xlpm.isObject, _xlfn.XLOOKUP($Q249,'EA-Fortescue_SDExport'!A:A,'EA-Fortescue_SDExport'!B:B),
    _xlpm.lookupKey, IF(_xlpm.isObject="Object",
        _xlfn.XLOOKUP($A249,'EA-ConnectorExport'!A:A,'EA-ConnectorExport'!D:D),
        $Q249
    ),
    _xlpm.result, _xlfn.XLOOKUP(_xlpm.lookupKey,'EA-Fortescue_SDExport'!A:A,'EA-Fortescue_SDExport'!AG:AG),
    IF(_xlpm.result=0,"",_xlpm.result)
)</f>
        <v/>
      </c>
      <c r="Y249" s="2" t="str">
        <f>_xlfn.LET(
    _xlpm.status, _xlfn.XLOOKUP($A249,'EA-ConnectorExport'!$A:$A,'EA-ConnectorExport'!G:G),
    _xlpm.result, _xlfn.XLOOKUP($A249,'EA-ConnectorExport'!$A:$A,'EA-ConnectorExport'!H:H),
    IF(_xlpm.status="allocate", _xlpm.result, "")
)</f>
        <v>Solomon Mine Hub: Substation (220kV)</v>
      </c>
      <c r="Z249" s="2" t="str">
        <f>_xlfn.LET(
    _xlpm.isObject, _xlfn.XLOOKUP($Y249,'EA-Fortescue_SDExport'!A:A,'EA-Fortescue_SDExport'!B:B),
    _xlpm.lookupKey, IF(_xlpm.isObject="Object",
        _xlfn.XLOOKUP($A249,'EA-ConnectorExport'!A:A,'EA-ConnectorExport'!J:J),
        $Y249
    ),
    _xlpm.result, _xlfn.XLOOKUP(_xlpm.lookupKey,'EA-Fortescue_SDExport'!A:A,'EA-Fortescue_SDExport'!AA:AA),
    IF(_xlpm.result=0,"",_xlpm.result)
)</f>
        <v>Project</v>
      </c>
      <c r="AA249" s="2" t="str">
        <f>_xlfn.LET(_xlpm.result, _xlfn.XLOOKUP($Y249,'EA-Fortescue_SDExport'!$A:$A,'EA-Fortescue_SDExport'!AB:AB), IF(_xlpm.result=0,"",_xlpm.result))</f>
        <v/>
      </c>
      <c r="AB249" s="2" t="str">
        <f>_xlfn.LET(_xlpm.result, _xlfn.XLOOKUP($Y249,'EA-Fortescue_SDExport'!$A:$A,'EA-Fortescue_SDExport'!AC:AC), IF(_xlpm.result=0,"",_xlpm.result))</f>
        <v>Solomon Mine Hub</v>
      </c>
      <c r="AC249" s="2" t="str">
        <f>_xlfn.LET(
    _xlpm.isObject, _xlfn.XLOOKUP($Y249,'EA-Fortescue_SDExport'!A:A,'EA-Fortescue_SDExport'!B:B),
    _xlpm.lookupKey, IF(_xlpm.isObject="Object",
        _xlfn.XLOOKUP($A249,'EA-ConnectorExport'!A:A,'EA-ConnectorExport'!J:J),
        $Y249
    ),
    _xlpm.result, _xlfn.XLOOKUP(_xlpm.lookupKey,'EA-Fortescue_SDExport'!A:A,'EA-Fortescue_SDExport'!AD:AD),
    IF(_xlpm.result=0,"",_xlpm.result)
)</f>
        <v>854DC Green Power</v>
      </c>
      <c r="AD249" s="2" t="str">
        <f>_xlfn.LET(
    _xlpm.isObject, _xlfn.XLOOKUP($Y249,'EA-Fortescue_SDExport'!A:A,'EA-Fortescue_SDExport'!B:B),
    _xlpm.lookupKey, IF(_xlpm.isObject="Object",
        _xlfn.XLOOKUP($A249,'EA-ConnectorExport'!A:A,'EA-ConnectorExport'!J:J),
        $Y249
    ),
    _xlpm.result, _xlfn.XLOOKUP(_xlpm.lookupKey,'EA-Fortescue_SDExport'!A:A,'EA-Fortescue_SDExport'!AE:AE),
    IF(_xlpm.result=0,"",_xlpm.result)
)</f>
        <v>854DC-1521 HV Substations</v>
      </c>
      <c r="AE249" s="2" t="str">
        <f>_xlfn.LET(
    _xlpm.isObject, _xlfn.XLOOKUP($Y249,'EA-Fortescue_SDExport'!A:A,'EA-Fortescue_SDExport'!B:B),
    _xlpm.lookupKey, IF(_xlpm.isObject="Object",
        _xlfn.XLOOKUP($A249,'EA-ConnectorExport'!A:A,'EA-ConnectorExport'!J:J),
        $Y249
    ),
    _xlpm.result, _xlfn.XLOOKUP(_xlpm.lookupKey,'EA-Fortescue_SDExport'!A:A,'EA-Fortescue_SDExport'!AF:AF),
    IF(_xlpm.result=0,"",_xlpm.result)
)</f>
        <v>854DC-1521-0004 Substation (220kV)</v>
      </c>
      <c r="AF249" s="2" t="str">
        <f>_xlfn.LET(
    _xlpm.isObject, _xlfn.XLOOKUP($Y249,'EA-Fortescue_SDExport'!A:A,'EA-Fortescue_SDExport'!B:B),
    _xlpm.lookupKey, IF(_xlpm.isObject="Object",
        _xlfn.XLOOKUP($A249,'EA-ConnectorExport'!A:A,'EA-ConnectorExport'!J:J),
        $Y249
    ),
    _xlpm.result, _xlfn.XLOOKUP(_xlpm.lookupKey,'EA-Fortescue_SDExport'!A:A,'EA-Fortescue_SDExport'!AG:AG),
    IF(_xlpm.result=0,"",_xlpm.result)
)</f>
        <v/>
      </c>
    </row>
    <row r="250" spans="1:32" ht="240" x14ac:dyDescent="0.25">
      <c r="A250" s="2" t="str">
        <v>DGS-I_0249</v>
      </c>
      <c r="B250" s="2" t="str">
        <f t="shared" si="12"/>
        <v>Solomon Mine Hub: Substation (33kV)|855DC-1543-PPC Pit Power Capacity Planning Tool - Capacity Check</v>
      </c>
      <c r="C250" s="2" t="str">
        <f>_xlfn.LET(_xlpm.result, _xlfn.XLOOKUP(A250,'EA-Fortescue_SDExport'!A:A,'EA-Fortescue_SDExport'!AM:AM), IF(_xlpm.result=0,"",_xlpm.result))</f>
        <v/>
      </c>
      <c r="D250" s="2" t="str">
        <f>_xlfn.LET(_xlpm.result, _xlfn.XLOOKUP(A250,'EA-Fortescue_SDExport'!A:A,'EA-Fortescue_SDExport'!AN:AN), IF(_xlpm.result=0,"",_xlpm.result))</f>
        <v/>
      </c>
      <c r="E250" s="2" t="str">
        <f>_xlfn.XLOOKUP(R250&amp;Z250,Lookups!A:A,Lookups!B:B)</f>
        <v>Project - Project Interface</v>
      </c>
      <c r="F250" s="2" t="str">
        <f>_xlfn.LET(_xlpm.result, _xlfn.XLOOKUP(A250,'EA-Fortescue_SDExport'!A:A,'EA-Fortescue_SDExport'!AP:AP), IF(_xlpm.result=0,"",_xlpm.result))</f>
        <v/>
      </c>
      <c r="G250" s="2" t="str">
        <f>IF(OR(AND(T250&lt;&gt;"", COUNTIF(Lookups!J:J, "*"&amp;T250&amp;"*")&gt;0), AND(AB250&lt;&gt;"", COUNTIF(Lookups!J:J, "*"&amp;AB250&amp;"*")&gt;0)), "Yes", "No")</f>
        <v>Yes</v>
      </c>
      <c r="H250" s="2" t="str">
        <f t="shared" si="13"/>
        <v>854DC Green Power|855DC Decarb Green Systems</v>
      </c>
      <c r="I250" s="2" t="str">
        <f t="shared" si="14"/>
        <v>854DC-1521 HV Substations|N/A</v>
      </c>
      <c r="J250" s="2" t="str">
        <f t="shared" si="15"/>
        <v>854DC-1521-0001 Substation (33kV)|855DC-1543-PPC Pit Power Capacity Planning Tool - Capacity Check</v>
      </c>
      <c r="K250" s="2" t="str">
        <f>_xlfn.XLOOKUP(A250,'EA-Fortescue_SDExport'!A:A,'EA-Fortescue_SDExport'!N:N)</f>
        <v>Proposed</v>
      </c>
      <c r="L250" s="2" t="str">
        <f>_xlfn.LET(_xlpm.result, _xlfn.XLOOKUP($A250,'EA-Fortescue_SDExport'!$A:$A,'EA-Fortescue_SDExport'!AQ:AQ), IF(_xlpm.result=0,"",_xlpm.result))</f>
        <v/>
      </c>
      <c r="M250" s="2" t="str">
        <f>_xlfn.LET(_xlpm.result, _xlfn.XLOOKUP($A250,'EA-Fortescue_SDExport'!$A:$A,'EA-Fortescue_SDExport'!AR:AR), IF(_xlpm.result=0,"",_xlpm.result))</f>
        <v/>
      </c>
      <c r="N250" s="2" t="str">
        <f>_xlfn.LET(_xlpm.result, _xlfn.XLOOKUP($A250,'EA-Fortescue_SDExport'!$A:$A,'EA-Fortescue_SDExport'!AW:AW), IF(_xlpm.result=0,"",_xlpm.result))</f>
        <v/>
      </c>
      <c r="O250" s="2" t="str">
        <f>_xlfn.LET(_xlpm.result, _xlfn.XLOOKUP($A250,'EA-Fortescue_SDExport'!$A:$A,'EA-Fortescue_SDExport'!AV:AV), IF(_xlpm.result=0,"",_xlpm.result))</f>
        <v/>
      </c>
      <c r="P250" s="2" t="str">
        <f>_xlfn.LET(_xlpm.result, _xlfn.XLOOKUP($A250,'EA-Fortescue_SDExport'!$A:$A,'EA-Fortescue_SDExport'!D:D),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50" s="2" t="str">
        <f>_xlfn.LET(
    _xlpm.status, _xlfn.XLOOKUP($A250,'EA-ConnectorExport'!$A:$A,'EA-ConnectorExport'!G:G),
    _xlpm.result, _xlfn.XLOOKUP($A250,'EA-ConnectorExport'!$A:$A,'EA-ConnectorExport'!B:B),
    IF(_xlpm.status="allocate", _xlpm.result, "")
)</f>
        <v>Solomon Mine Hub: Substation (33kV)</v>
      </c>
      <c r="R250" s="2" t="str">
        <f>IF(
    _xlfn.XLOOKUP($Q250,'EA-Fortescue_SDExport'!A:A,'EA-Fortescue_SDExport'!B:B)="Object",
    _xlfn.XLOOKUP(
        _xlfn.XLOOKUP($A250,'EA-ConnectorExport'!A:A,'EA-ConnectorExport'!D:D),
        'EA-Fortescue_SDExport'!A:A,
        'EA-Fortescue_SDExport'!AA:AA
    ),
    _xlfn.XLOOKUP($Q250,'EA-Fortescue_SDExport'!A:A,'EA-Fortescue_SDExport'!AA:AA)
)</f>
        <v>Project</v>
      </c>
      <c r="S250" s="2" t="str">
        <f>_xlfn.LET(_xlpm.result, _xlfn.XLOOKUP($Q250,'EA-Fortescue_SDExport'!$A:$A,'EA-Fortescue_SDExport'!AB:AB), IF(_xlpm.result=0,"",_xlpm.result))</f>
        <v/>
      </c>
      <c r="T250" s="2" t="str">
        <f>_xlfn.LET(_xlpm.result, _xlfn.XLOOKUP($Q250,'EA-Fortescue_SDExport'!$A:$A,'EA-Fortescue_SDExport'!AC:AC), IF(_xlpm.result=0,"",_xlpm.result))</f>
        <v>Solomon Mine Hub</v>
      </c>
      <c r="U250" s="2" t="str">
        <f>_xlfn.LET(
    _xlpm.isObject, _xlfn.XLOOKUP($Q250,'EA-Fortescue_SDExport'!A:A,'EA-Fortescue_SDExport'!B:B),
    _xlpm.lookupKey, IF(_xlpm.isObject="Object",
        _xlfn.XLOOKUP($A250,'EA-ConnectorExport'!A:A,'EA-ConnectorExport'!D:D),
        $Q250
    ),
    _xlpm.result, _xlfn.XLOOKUP(_xlpm.lookupKey,'EA-Fortescue_SDExport'!A:A,'EA-Fortescue_SDExport'!AD:AD),
    IF(_xlpm.result=0,"",_xlpm.result)
)</f>
        <v>854DC Green Power</v>
      </c>
      <c r="V250" s="2" t="str">
        <f>_xlfn.LET(
    _xlpm.isObject, _xlfn.XLOOKUP($Q250,'EA-Fortescue_SDExport'!A:A,'EA-Fortescue_SDExport'!B:B),
    _xlpm.lookupKey, IF(_xlpm.isObject="Object",
        _xlfn.XLOOKUP($A250,'EA-ConnectorExport'!A:A,'EA-ConnectorExport'!D:D),
        $Q250
    ),
    _xlpm.result, _xlfn.XLOOKUP(_xlpm.lookupKey,'EA-Fortescue_SDExport'!A:A,'EA-Fortescue_SDExport'!AE:AE),
    IF(_xlpm.result=0,"",_xlpm.result)
)</f>
        <v>854DC-1521 HV Substations</v>
      </c>
      <c r="W250" s="2" t="str">
        <f>_xlfn.LET(
    _xlpm.isObject, _xlfn.XLOOKUP($Q250,'EA-Fortescue_SDExport'!A:A,'EA-Fortescue_SDExport'!B:B),
    _xlpm.lookupKey, IF(_xlpm.isObject="Object",
        _xlfn.XLOOKUP($A250,'EA-ConnectorExport'!A:A,'EA-ConnectorExport'!D:D),
        $Q250
    ),
    _xlpm.result, _xlfn.XLOOKUP(_xlpm.lookupKey,'EA-Fortescue_SDExport'!A:A,'EA-Fortescue_SDExport'!AF:AF),
    IF(_xlpm.result=0,"",_xlpm.result)
)</f>
        <v>854DC-1521-0001 Substation (33kV)</v>
      </c>
      <c r="X250" s="2" t="str">
        <f>_xlfn.LET(
    _xlpm.isObject, _xlfn.XLOOKUP($Q250,'EA-Fortescue_SDExport'!A:A,'EA-Fortescue_SDExport'!B:B),
    _xlpm.lookupKey, IF(_xlpm.isObject="Object",
        _xlfn.XLOOKUP($A250,'EA-ConnectorExport'!A:A,'EA-ConnectorExport'!D:D),
        $Q250
    ),
    _xlpm.result, _xlfn.XLOOKUP(_xlpm.lookupKey,'EA-Fortescue_SDExport'!A:A,'EA-Fortescue_SDExport'!AG:AG),
    IF(_xlpm.result=0,"",_xlpm.result)
)</f>
        <v/>
      </c>
      <c r="Y250" s="2" t="str">
        <f>_xlfn.LET(
    _xlpm.status, _xlfn.XLOOKUP($A250,'EA-ConnectorExport'!$A:$A,'EA-ConnectorExport'!G:G),
    _xlpm.result, _xlfn.XLOOKUP($A250,'EA-ConnectorExport'!$A:$A,'EA-ConnectorExport'!H:H),
    IF(_xlpm.status="allocate", _xlpm.result, "")
)</f>
        <v>855DC-1543-PPC Pit Power Capacity Planning Tool - Capacity Check</v>
      </c>
      <c r="Z250" s="2" t="str">
        <f>_xlfn.LET(
    _xlpm.isObject, _xlfn.XLOOKUP($Y250,'EA-Fortescue_SDExport'!A:A,'EA-Fortescue_SDExport'!B:B),
    _xlpm.lookupKey, IF(_xlpm.isObject="Object",
        _xlfn.XLOOKUP($A250,'EA-ConnectorExport'!A:A,'EA-ConnectorExport'!J:J),
        $Y250
    ),
    _xlpm.result, _xlfn.XLOOKUP(_xlpm.lookupKey,'EA-Fortescue_SDExport'!A:A,'EA-Fortescue_SDExport'!AA:AA),
    IF(_xlpm.result=0,"",_xlpm.result)
)</f>
        <v>Project</v>
      </c>
      <c r="AA250" s="2" t="str">
        <f>_xlfn.LET(_xlpm.result, _xlfn.XLOOKUP($Y250,'EA-Fortescue_SDExport'!$A:$A,'EA-Fortescue_SDExport'!AB:AB), IF(_xlpm.result=0,"",_xlpm.result))</f>
        <v>Operations Planning</v>
      </c>
      <c r="AB250" s="2" t="str">
        <f>_xlfn.LET(_xlpm.result, _xlfn.XLOOKUP($Y250,'EA-Fortescue_SDExport'!$A:$A,'EA-Fortescue_SDExport'!AC:AC), IF(_xlpm.result=0,"",_xlpm.result))</f>
        <v>AWS Fortescue Infrastructure</v>
      </c>
      <c r="AC250" s="2" t="str">
        <f>_xlfn.LET(
    _xlpm.isObject, _xlfn.XLOOKUP($Y250,'EA-Fortescue_SDExport'!A:A,'EA-Fortescue_SDExport'!B:B),
    _xlpm.lookupKey, IF(_xlpm.isObject="Object",
        _xlfn.XLOOKUP($A250,'EA-ConnectorExport'!A:A,'EA-ConnectorExport'!J:J),
        $Y250
    ),
    _xlpm.result, _xlfn.XLOOKUP(_xlpm.lookupKey,'EA-Fortescue_SDExport'!A:A,'EA-Fortescue_SDExport'!AD:AD),
    IF(_xlpm.result=0,"",_xlpm.result)
)</f>
        <v>855DC Decarb Green Systems</v>
      </c>
      <c r="AD250" s="2" t="str">
        <f>_xlfn.LET(
    _xlpm.isObject, _xlfn.XLOOKUP($Y250,'EA-Fortescue_SDExport'!A:A,'EA-Fortescue_SDExport'!B:B),
    _xlpm.lookupKey, IF(_xlpm.isObject="Object",
        _xlfn.XLOOKUP($A250,'EA-ConnectorExport'!A:A,'EA-ConnectorExport'!J:J),
        $Y250
    ),
    _xlpm.result, _xlfn.XLOOKUP(_xlpm.lookupKey,'EA-Fortescue_SDExport'!A:A,'EA-Fortescue_SDExport'!AE:AE),
    IF(_xlpm.result=0,"",_xlpm.result)
)</f>
        <v/>
      </c>
      <c r="AE250" s="2" t="str">
        <f>_xlfn.LET(
    _xlpm.isObject, _xlfn.XLOOKUP($Y250,'EA-Fortescue_SDExport'!A:A,'EA-Fortescue_SDExport'!B:B),
    _xlpm.lookupKey, IF(_xlpm.isObject="Object",
        _xlfn.XLOOKUP($A250,'EA-ConnectorExport'!A:A,'EA-ConnectorExport'!J:J),
        $Y250
    ),
    _xlpm.result, _xlfn.XLOOKUP(_xlpm.lookupKey,'EA-Fortescue_SDExport'!A:A,'EA-Fortescue_SDExport'!AF:AF),
    IF(_xlpm.result=0,"",_xlpm.result)
)</f>
        <v>855DC-1543-PPC Pit Power Capacity Planning Tool - Capacity Check</v>
      </c>
      <c r="AF250" s="2" t="str">
        <f>_xlfn.LET(
    _xlpm.isObject, _xlfn.XLOOKUP($Y250,'EA-Fortescue_SDExport'!A:A,'EA-Fortescue_SDExport'!B:B),
    _xlpm.lookupKey, IF(_xlpm.isObject="Object",
        _xlfn.XLOOKUP($A250,'EA-ConnectorExport'!A:A,'EA-ConnectorExport'!J:J),
        $Y250
    ),
    _xlpm.result, _xlfn.XLOOKUP(_xlpm.lookupKey,'EA-Fortescue_SDExport'!A:A,'EA-Fortescue_SDExport'!AG:AG),
    IF(_xlpm.result=0,"",_xlpm.result)
)</f>
        <v/>
      </c>
    </row>
    <row r="251" spans="1:32" ht="45" x14ac:dyDescent="0.25">
      <c r="A251" s="2" t="str">
        <v>DGS-I_0250</v>
      </c>
      <c r="B251" s="2" t="str">
        <f t="shared" si="12"/>
        <v>Solomon Mine Hub: Solar Photovoltaic (PV) Farms|Solomon Mine Hub: Substation (220kV)</v>
      </c>
      <c r="C251" s="2" t="str">
        <f>_xlfn.LET(_xlpm.result, _xlfn.XLOOKUP(A251,'EA-Fortescue_SDExport'!A:A,'EA-Fortescue_SDExport'!AM:AM), IF(_xlpm.result=0,"",_xlpm.result))</f>
        <v/>
      </c>
      <c r="D251" s="2" t="str">
        <f>_xlfn.LET(_xlpm.result, _xlfn.XLOOKUP(A251,'EA-Fortescue_SDExport'!A:A,'EA-Fortescue_SDExport'!AN:AN), IF(_xlpm.result=0,"",_xlpm.result))</f>
        <v/>
      </c>
      <c r="E251" s="2" t="str">
        <f>_xlfn.XLOOKUP(R251&amp;Z251,Lookups!A:A,Lookups!B:B)</f>
        <v>Project - Project Interface</v>
      </c>
      <c r="F251" s="2" t="str">
        <f>_xlfn.LET(_xlpm.result, _xlfn.XLOOKUP(A251,'EA-Fortescue_SDExport'!A:A,'EA-Fortescue_SDExport'!AP:AP), IF(_xlpm.result=0,"",_xlpm.result))</f>
        <v/>
      </c>
      <c r="G251" s="2" t="str">
        <f>IF(OR(AND(T251&lt;&gt;"", COUNTIF(Lookups!J:J, "*"&amp;T251&amp;"*")&gt;0), AND(AB251&lt;&gt;"", COUNTIF(Lookups!J:J, "*"&amp;AB251&amp;"*")&gt;0)), "Yes", "No")</f>
        <v>Yes</v>
      </c>
      <c r="H251" s="2" t="str">
        <f t="shared" si="13"/>
        <v>854DC Green Power|854DC Green Power</v>
      </c>
      <c r="I251" s="2" t="str">
        <f t="shared" si="14"/>
        <v>854DC-5670 Energy Generation - Solar|854DC-1521 HV Substations</v>
      </c>
      <c r="J251" s="2" t="str">
        <f t="shared" si="15"/>
        <v>854DC-5670-0001 Solar Photovoltaic (PV) Farms|854DC-1521-0004 Substation (220kV)</v>
      </c>
      <c r="K251" s="2" t="str">
        <f>_xlfn.XLOOKUP(A251,'EA-Fortescue_SDExport'!A:A,'EA-Fortescue_SDExport'!N:N)</f>
        <v>Proposed</v>
      </c>
      <c r="L251" s="2" t="str">
        <f>_xlfn.LET(_xlpm.result, _xlfn.XLOOKUP($A251,'EA-Fortescue_SDExport'!$A:$A,'EA-Fortescue_SDExport'!AQ:AQ), IF(_xlpm.result=0,"",_xlpm.result))</f>
        <v/>
      </c>
      <c r="M251" s="2" t="str">
        <f>_xlfn.LET(_xlpm.result, _xlfn.XLOOKUP($A251,'EA-Fortescue_SDExport'!$A:$A,'EA-Fortescue_SDExport'!AR:AR), IF(_xlpm.result=0,"",_xlpm.result))</f>
        <v/>
      </c>
      <c r="N251" s="2" t="str">
        <f>_xlfn.LET(_xlpm.result, _xlfn.XLOOKUP($A251,'EA-Fortescue_SDExport'!$A:$A,'EA-Fortescue_SDExport'!AW:AW), IF(_xlpm.result=0,"",_xlpm.result))</f>
        <v/>
      </c>
      <c r="O251" s="2" t="str">
        <f>_xlfn.LET(_xlpm.result, _xlfn.XLOOKUP($A251,'EA-Fortescue_SDExport'!$A:$A,'EA-Fortescue_SDExport'!AV:AV), IF(_xlpm.result=0,"",_xlpm.result))</f>
        <v/>
      </c>
      <c r="P251" s="2" t="str">
        <f>_xlfn.LET(_xlpm.result, _xlfn.XLOOKUP($A251,'EA-Fortescue_SDExport'!$A:$A,'EA-Fortescue_SDExport'!D:D), IF(_xlpm.result=0,"",_xlpm.result))</f>
        <v/>
      </c>
      <c r="Q251" s="2" t="str">
        <f>_xlfn.LET(
    _xlpm.status, _xlfn.XLOOKUP($A251,'EA-ConnectorExport'!$A:$A,'EA-ConnectorExport'!G:G),
    _xlpm.result, _xlfn.XLOOKUP($A251,'EA-ConnectorExport'!$A:$A,'EA-ConnectorExport'!B:B),
    IF(_xlpm.status="allocate", _xlpm.result, "")
)</f>
        <v>Solomon Mine Hub: Solar Photovoltaic (PV) Farms</v>
      </c>
      <c r="R251" s="2" t="str">
        <f>IF(
    _xlfn.XLOOKUP($Q251,'EA-Fortescue_SDExport'!A:A,'EA-Fortescue_SDExport'!B:B)="Object",
    _xlfn.XLOOKUP(
        _xlfn.XLOOKUP($A251,'EA-ConnectorExport'!A:A,'EA-ConnectorExport'!D:D),
        'EA-Fortescue_SDExport'!A:A,
        'EA-Fortescue_SDExport'!AA:AA
    ),
    _xlfn.XLOOKUP($Q251,'EA-Fortescue_SDExport'!A:A,'EA-Fortescue_SDExport'!AA:AA)
)</f>
        <v>Project</v>
      </c>
      <c r="S251" s="2" t="str">
        <f>_xlfn.LET(_xlpm.result, _xlfn.XLOOKUP($Q251,'EA-Fortescue_SDExport'!$A:$A,'EA-Fortescue_SDExport'!AB:AB), IF(_xlpm.result=0,"",_xlpm.result))</f>
        <v/>
      </c>
      <c r="T251" s="2" t="str">
        <f>_xlfn.LET(_xlpm.result, _xlfn.XLOOKUP($Q251,'EA-Fortescue_SDExport'!$A:$A,'EA-Fortescue_SDExport'!AC:AC), IF(_xlpm.result=0,"",_xlpm.result))</f>
        <v>Solomon Mine Hub</v>
      </c>
      <c r="U251" s="2" t="str">
        <f>_xlfn.LET(
    _xlpm.isObject, _xlfn.XLOOKUP($Q251,'EA-Fortescue_SDExport'!A:A,'EA-Fortescue_SDExport'!B:B),
    _xlpm.lookupKey, IF(_xlpm.isObject="Object",
        _xlfn.XLOOKUP($A251,'EA-ConnectorExport'!A:A,'EA-ConnectorExport'!D:D),
        $Q251
    ),
    _xlpm.result, _xlfn.XLOOKUP(_xlpm.lookupKey,'EA-Fortescue_SDExport'!A:A,'EA-Fortescue_SDExport'!AD:AD),
    IF(_xlpm.result=0,"",_xlpm.result)
)</f>
        <v>854DC Green Power</v>
      </c>
      <c r="V251" s="2" t="str">
        <f>_xlfn.LET(
    _xlpm.isObject, _xlfn.XLOOKUP($Q251,'EA-Fortescue_SDExport'!A:A,'EA-Fortescue_SDExport'!B:B),
    _xlpm.lookupKey, IF(_xlpm.isObject="Object",
        _xlfn.XLOOKUP($A251,'EA-ConnectorExport'!A:A,'EA-ConnectorExport'!D:D),
        $Q251
    ),
    _xlpm.result, _xlfn.XLOOKUP(_xlpm.lookupKey,'EA-Fortescue_SDExport'!A:A,'EA-Fortescue_SDExport'!AE:AE),
    IF(_xlpm.result=0,"",_xlpm.result)
)</f>
        <v>854DC-5670 Energy Generation - Solar</v>
      </c>
      <c r="W251" s="2" t="str">
        <f>_xlfn.LET(
    _xlpm.isObject, _xlfn.XLOOKUP($Q251,'EA-Fortescue_SDExport'!A:A,'EA-Fortescue_SDExport'!B:B),
    _xlpm.lookupKey, IF(_xlpm.isObject="Object",
        _xlfn.XLOOKUP($A251,'EA-ConnectorExport'!A:A,'EA-ConnectorExport'!D:D),
        $Q251
    ),
    _xlpm.result, _xlfn.XLOOKUP(_xlpm.lookupKey,'EA-Fortescue_SDExport'!A:A,'EA-Fortescue_SDExport'!AF:AF),
    IF(_xlpm.result=0,"",_xlpm.result)
)</f>
        <v>854DC-5670-0001 Solar Photovoltaic (PV) Farms</v>
      </c>
      <c r="X251" s="2" t="str">
        <f>_xlfn.LET(
    _xlpm.isObject, _xlfn.XLOOKUP($Q251,'EA-Fortescue_SDExport'!A:A,'EA-Fortescue_SDExport'!B:B),
    _xlpm.lookupKey, IF(_xlpm.isObject="Object",
        _xlfn.XLOOKUP($A251,'EA-ConnectorExport'!A:A,'EA-ConnectorExport'!D:D),
        $Q251
    ),
    _xlpm.result, _xlfn.XLOOKUP(_xlpm.lookupKey,'EA-Fortescue_SDExport'!A:A,'EA-Fortescue_SDExport'!AG:AG),
    IF(_xlpm.result=0,"",_xlpm.result)
)</f>
        <v/>
      </c>
      <c r="Y251" s="2" t="str">
        <f>_xlfn.LET(
    _xlpm.status, _xlfn.XLOOKUP($A251,'EA-ConnectorExport'!$A:$A,'EA-ConnectorExport'!G:G),
    _xlpm.result, _xlfn.XLOOKUP($A251,'EA-ConnectorExport'!$A:$A,'EA-ConnectorExport'!H:H),
    IF(_xlpm.status="allocate", _xlpm.result, "")
)</f>
        <v>Solomon Mine Hub: Substation (220kV)</v>
      </c>
      <c r="Z251" s="2" t="str">
        <f>_xlfn.LET(
    _xlpm.isObject, _xlfn.XLOOKUP($Y251,'EA-Fortescue_SDExport'!A:A,'EA-Fortescue_SDExport'!B:B),
    _xlpm.lookupKey, IF(_xlpm.isObject="Object",
        _xlfn.XLOOKUP($A251,'EA-ConnectorExport'!A:A,'EA-ConnectorExport'!J:J),
        $Y251
    ),
    _xlpm.result, _xlfn.XLOOKUP(_xlpm.lookupKey,'EA-Fortescue_SDExport'!A:A,'EA-Fortescue_SDExport'!AA:AA),
    IF(_xlpm.result=0,"",_xlpm.result)
)</f>
        <v>Project</v>
      </c>
      <c r="AA251" s="2" t="str">
        <f>_xlfn.LET(_xlpm.result, _xlfn.XLOOKUP($Y251,'EA-Fortescue_SDExport'!$A:$A,'EA-Fortescue_SDExport'!AB:AB), IF(_xlpm.result=0,"",_xlpm.result))</f>
        <v/>
      </c>
      <c r="AB251" s="2" t="str">
        <f>_xlfn.LET(_xlpm.result, _xlfn.XLOOKUP($Y251,'EA-Fortescue_SDExport'!$A:$A,'EA-Fortescue_SDExport'!AC:AC), IF(_xlpm.result=0,"",_xlpm.result))</f>
        <v>Solomon Mine Hub</v>
      </c>
      <c r="AC251" s="2" t="str">
        <f>_xlfn.LET(
    _xlpm.isObject, _xlfn.XLOOKUP($Y251,'EA-Fortescue_SDExport'!A:A,'EA-Fortescue_SDExport'!B:B),
    _xlpm.lookupKey, IF(_xlpm.isObject="Object",
        _xlfn.XLOOKUP($A251,'EA-ConnectorExport'!A:A,'EA-ConnectorExport'!J:J),
        $Y251
    ),
    _xlpm.result, _xlfn.XLOOKUP(_xlpm.lookupKey,'EA-Fortescue_SDExport'!A:A,'EA-Fortescue_SDExport'!AD:AD),
    IF(_xlpm.result=0,"",_xlpm.result)
)</f>
        <v>854DC Green Power</v>
      </c>
      <c r="AD251" s="2" t="str">
        <f>_xlfn.LET(
    _xlpm.isObject, _xlfn.XLOOKUP($Y251,'EA-Fortescue_SDExport'!A:A,'EA-Fortescue_SDExport'!B:B),
    _xlpm.lookupKey, IF(_xlpm.isObject="Object",
        _xlfn.XLOOKUP($A251,'EA-ConnectorExport'!A:A,'EA-ConnectorExport'!J:J),
        $Y251
    ),
    _xlpm.result, _xlfn.XLOOKUP(_xlpm.lookupKey,'EA-Fortescue_SDExport'!A:A,'EA-Fortescue_SDExport'!AE:AE),
    IF(_xlpm.result=0,"",_xlpm.result)
)</f>
        <v>854DC-1521 HV Substations</v>
      </c>
      <c r="AE251" s="2" t="str">
        <f>_xlfn.LET(
    _xlpm.isObject, _xlfn.XLOOKUP($Y251,'EA-Fortescue_SDExport'!A:A,'EA-Fortescue_SDExport'!B:B),
    _xlpm.lookupKey, IF(_xlpm.isObject="Object",
        _xlfn.XLOOKUP($A251,'EA-ConnectorExport'!A:A,'EA-ConnectorExport'!J:J),
        $Y251
    ),
    _xlpm.result, _xlfn.XLOOKUP(_xlpm.lookupKey,'EA-Fortescue_SDExport'!A:A,'EA-Fortescue_SDExport'!AF:AF),
    IF(_xlpm.result=0,"",_xlpm.result)
)</f>
        <v>854DC-1521-0004 Substation (220kV)</v>
      </c>
      <c r="AF251" s="2" t="str">
        <f>_xlfn.LET(
    _xlpm.isObject, _xlfn.XLOOKUP($Y251,'EA-Fortescue_SDExport'!A:A,'EA-Fortescue_SDExport'!B:B),
    _xlpm.lookupKey, IF(_xlpm.isObject="Object",
        _xlfn.XLOOKUP($A251,'EA-ConnectorExport'!A:A,'EA-ConnectorExport'!J:J),
        $Y251
    ),
    _xlpm.result, _xlfn.XLOOKUP(_xlpm.lookupKey,'EA-Fortescue_SDExport'!A:A,'EA-Fortescue_SDExport'!AG:AG),
    IF(_xlpm.result=0,"",_xlpm.result)
)</f>
        <v/>
      </c>
    </row>
    <row r="252" spans="1:32" ht="60" x14ac:dyDescent="0.25">
      <c r="A252" s="2" t="str">
        <v>DGS-I_0251</v>
      </c>
      <c r="B252" s="2" t="str">
        <f t="shared" si="12"/>
        <v>Solomon Mine Hub: Battery Energy Storage Systems (BESS) - AC|Solomon Mine Hub: Substation (220kV)</v>
      </c>
      <c r="C252" s="2" t="str">
        <f>_xlfn.LET(_xlpm.result, _xlfn.XLOOKUP(A252,'EA-Fortescue_SDExport'!A:A,'EA-Fortescue_SDExport'!AM:AM), IF(_xlpm.result=0,"",_xlpm.result))</f>
        <v/>
      </c>
      <c r="D252" s="2" t="str">
        <f>_xlfn.LET(_xlpm.result, _xlfn.XLOOKUP(A252,'EA-Fortescue_SDExport'!A:A,'EA-Fortescue_SDExport'!AN:AN), IF(_xlpm.result=0,"",_xlpm.result))</f>
        <v/>
      </c>
      <c r="E252" s="2" t="str">
        <f>_xlfn.XLOOKUP(R252&amp;Z252,Lookups!A:A,Lookups!B:B)</f>
        <v>Project - Project Interface</v>
      </c>
      <c r="F252" s="2" t="str">
        <f>_xlfn.LET(_xlpm.result, _xlfn.XLOOKUP(A252,'EA-Fortescue_SDExport'!A:A,'EA-Fortescue_SDExport'!AP:AP), IF(_xlpm.result=0,"",_xlpm.result))</f>
        <v/>
      </c>
      <c r="G252" s="2" t="str">
        <f>IF(OR(AND(T252&lt;&gt;"", COUNTIF(Lookups!J:J, "*"&amp;T252&amp;"*")&gt;0), AND(AB252&lt;&gt;"", COUNTIF(Lookups!J:J, "*"&amp;AB252&amp;"*")&gt;0)), "Yes", "No")</f>
        <v>Yes</v>
      </c>
      <c r="H252" s="2" t="str">
        <f t="shared" si="13"/>
        <v>854DC Green Power|854DC Green Power</v>
      </c>
      <c r="I252" s="2" t="str">
        <f t="shared" si="14"/>
        <v>854DC-5680 Battery Energy Storage System (BESS)|854DC-1521 HV Substations</v>
      </c>
      <c r="J252" s="2" t="str">
        <f t="shared" si="15"/>
        <v>854DC-5680-0001 Battery Energy Storage Systems (BESS)|854DC-1521-0004 Substation (220kV)</v>
      </c>
      <c r="K252" s="2" t="str">
        <f>_xlfn.XLOOKUP(A252,'EA-Fortescue_SDExport'!A:A,'EA-Fortescue_SDExport'!N:N)</f>
        <v>Proposed</v>
      </c>
      <c r="L252" s="2" t="str">
        <f>_xlfn.LET(_xlpm.result, _xlfn.XLOOKUP($A252,'EA-Fortescue_SDExport'!$A:$A,'EA-Fortescue_SDExport'!AQ:AQ), IF(_xlpm.result=0,"",_xlpm.result))</f>
        <v/>
      </c>
      <c r="M252" s="2" t="str">
        <f>_xlfn.LET(_xlpm.result, _xlfn.XLOOKUP($A252,'EA-Fortescue_SDExport'!$A:$A,'EA-Fortescue_SDExport'!AR:AR), IF(_xlpm.result=0,"",_xlpm.result))</f>
        <v/>
      </c>
      <c r="N252" s="2" t="str">
        <f>_xlfn.LET(_xlpm.result, _xlfn.XLOOKUP($A252,'EA-Fortescue_SDExport'!$A:$A,'EA-Fortescue_SDExport'!AW:AW), IF(_xlpm.result=0,"",_xlpm.result))</f>
        <v/>
      </c>
      <c r="O252" s="2" t="str">
        <f>_xlfn.LET(_xlpm.result, _xlfn.XLOOKUP($A252,'EA-Fortescue_SDExport'!$A:$A,'EA-Fortescue_SDExport'!AV:AV), IF(_xlpm.result=0,"",_xlpm.result))</f>
        <v/>
      </c>
      <c r="P252" s="2" t="str">
        <f>_xlfn.LET(_xlpm.result, _xlfn.XLOOKUP($A252,'EA-Fortescue_SDExport'!$A:$A,'EA-Fortescue_SDExport'!D:D), IF(_xlpm.result=0,"",_xlpm.result))</f>
        <v/>
      </c>
      <c r="Q252" s="2" t="str">
        <f>_xlfn.LET(
    _xlpm.status, _xlfn.XLOOKUP($A252,'EA-ConnectorExport'!$A:$A,'EA-ConnectorExport'!G:G),
    _xlpm.result, _xlfn.XLOOKUP($A252,'EA-ConnectorExport'!$A:$A,'EA-ConnectorExport'!B:B),
    IF(_xlpm.status="allocate", _xlpm.result, "")
)</f>
        <v>Solomon Mine Hub: Battery Energy Storage Systems (BESS) - AC</v>
      </c>
      <c r="R252" s="2" t="str">
        <f>IF(
    _xlfn.XLOOKUP($Q252,'EA-Fortescue_SDExport'!A:A,'EA-Fortescue_SDExport'!B:B)="Object",
    _xlfn.XLOOKUP(
        _xlfn.XLOOKUP($A252,'EA-ConnectorExport'!A:A,'EA-ConnectorExport'!D:D),
        'EA-Fortescue_SDExport'!A:A,
        'EA-Fortescue_SDExport'!AA:AA
    ),
    _xlfn.XLOOKUP($Q252,'EA-Fortescue_SDExport'!A:A,'EA-Fortescue_SDExport'!AA:AA)
)</f>
        <v>Project</v>
      </c>
      <c r="S252" s="2" t="str">
        <f>_xlfn.LET(_xlpm.result, _xlfn.XLOOKUP($Q252,'EA-Fortescue_SDExport'!$A:$A,'EA-Fortescue_SDExport'!AB:AB), IF(_xlpm.result=0,"",_xlpm.result))</f>
        <v/>
      </c>
      <c r="T252" s="2" t="str">
        <f>_xlfn.LET(_xlpm.result, _xlfn.XLOOKUP($Q252,'EA-Fortescue_SDExport'!$A:$A,'EA-Fortescue_SDExport'!AC:AC), IF(_xlpm.result=0,"",_xlpm.result))</f>
        <v>Solomon Mine Hub</v>
      </c>
      <c r="U252" s="2" t="str">
        <f>_xlfn.LET(
    _xlpm.isObject, _xlfn.XLOOKUP($Q252,'EA-Fortescue_SDExport'!A:A,'EA-Fortescue_SDExport'!B:B),
    _xlpm.lookupKey, IF(_xlpm.isObject="Object",
        _xlfn.XLOOKUP($A252,'EA-ConnectorExport'!A:A,'EA-ConnectorExport'!D:D),
        $Q252
    ),
    _xlpm.result, _xlfn.XLOOKUP(_xlpm.lookupKey,'EA-Fortescue_SDExport'!A:A,'EA-Fortescue_SDExport'!AD:AD),
    IF(_xlpm.result=0,"",_xlpm.result)
)</f>
        <v>854DC Green Power</v>
      </c>
      <c r="V252" s="2" t="str">
        <f>_xlfn.LET(
    _xlpm.isObject, _xlfn.XLOOKUP($Q252,'EA-Fortescue_SDExport'!A:A,'EA-Fortescue_SDExport'!B:B),
    _xlpm.lookupKey, IF(_xlpm.isObject="Object",
        _xlfn.XLOOKUP($A252,'EA-ConnectorExport'!A:A,'EA-ConnectorExport'!D:D),
        $Q252
    ),
    _xlpm.result, _xlfn.XLOOKUP(_xlpm.lookupKey,'EA-Fortescue_SDExport'!A:A,'EA-Fortescue_SDExport'!AE:AE),
    IF(_xlpm.result=0,"",_xlpm.result)
)</f>
        <v>854DC-5680 Battery Energy Storage System (BESS)</v>
      </c>
      <c r="W252" s="2" t="str">
        <f>_xlfn.LET(
    _xlpm.isObject, _xlfn.XLOOKUP($Q252,'EA-Fortescue_SDExport'!A:A,'EA-Fortescue_SDExport'!B:B),
    _xlpm.lookupKey, IF(_xlpm.isObject="Object",
        _xlfn.XLOOKUP($A252,'EA-ConnectorExport'!A:A,'EA-ConnectorExport'!D:D),
        $Q252
    ),
    _xlpm.result, _xlfn.XLOOKUP(_xlpm.lookupKey,'EA-Fortescue_SDExport'!A:A,'EA-Fortescue_SDExport'!AF:AF),
    IF(_xlpm.result=0,"",_xlpm.result)
)</f>
        <v>854DC-5680-0001 Battery Energy Storage Systems (BESS)</v>
      </c>
      <c r="X252" s="2" t="str">
        <f>_xlfn.LET(
    _xlpm.isObject, _xlfn.XLOOKUP($Q252,'EA-Fortescue_SDExport'!A:A,'EA-Fortescue_SDExport'!B:B),
    _xlpm.lookupKey, IF(_xlpm.isObject="Object",
        _xlfn.XLOOKUP($A252,'EA-ConnectorExport'!A:A,'EA-ConnectorExport'!D:D),
        $Q252
    ),
    _xlpm.result, _xlfn.XLOOKUP(_xlpm.lookupKey,'EA-Fortescue_SDExport'!A:A,'EA-Fortescue_SDExport'!AG:AG),
    IF(_xlpm.result=0,"",_xlpm.result)
)</f>
        <v/>
      </c>
      <c r="Y252" s="2" t="str">
        <f>_xlfn.LET(
    _xlpm.status, _xlfn.XLOOKUP($A252,'EA-ConnectorExport'!$A:$A,'EA-ConnectorExport'!G:G),
    _xlpm.result, _xlfn.XLOOKUP($A252,'EA-ConnectorExport'!$A:$A,'EA-ConnectorExport'!H:H),
    IF(_xlpm.status="allocate", _xlpm.result, "")
)</f>
        <v>Solomon Mine Hub: Substation (220kV)</v>
      </c>
      <c r="Z252" s="2" t="str">
        <f>_xlfn.LET(
    _xlpm.isObject, _xlfn.XLOOKUP($Y252,'EA-Fortescue_SDExport'!A:A,'EA-Fortescue_SDExport'!B:B),
    _xlpm.lookupKey, IF(_xlpm.isObject="Object",
        _xlfn.XLOOKUP($A252,'EA-ConnectorExport'!A:A,'EA-ConnectorExport'!J:J),
        $Y252
    ),
    _xlpm.result, _xlfn.XLOOKUP(_xlpm.lookupKey,'EA-Fortescue_SDExport'!A:A,'EA-Fortescue_SDExport'!AA:AA),
    IF(_xlpm.result=0,"",_xlpm.result)
)</f>
        <v>Project</v>
      </c>
      <c r="AA252" s="2" t="str">
        <f>_xlfn.LET(_xlpm.result, _xlfn.XLOOKUP($Y252,'EA-Fortescue_SDExport'!$A:$A,'EA-Fortescue_SDExport'!AB:AB), IF(_xlpm.result=0,"",_xlpm.result))</f>
        <v/>
      </c>
      <c r="AB252" s="2" t="str">
        <f>_xlfn.LET(_xlpm.result, _xlfn.XLOOKUP($Y252,'EA-Fortescue_SDExport'!$A:$A,'EA-Fortescue_SDExport'!AC:AC), IF(_xlpm.result=0,"",_xlpm.result))</f>
        <v>Solomon Mine Hub</v>
      </c>
      <c r="AC252" s="2" t="str">
        <f>_xlfn.LET(
    _xlpm.isObject, _xlfn.XLOOKUP($Y252,'EA-Fortescue_SDExport'!A:A,'EA-Fortescue_SDExport'!B:B),
    _xlpm.lookupKey, IF(_xlpm.isObject="Object",
        _xlfn.XLOOKUP($A252,'EA-ConnectorExport'!A:A,'EA-ConnectorExport'!J:J),
        $Y252
    ),
    _xlpm.result, _xlfn.XLOOKUP(_xlpm.lookupKey,'EA-Fortescue_SDExport'!A:A,'EA-Fortescue_SDExport'!AD:AD),
    IF(_xlpm.result=0,"",_xlpm.result)
)</f>
        <v>854DC Green Power</v>
      </c>
      <c r="AD252" s="2" t="str">
        <f>_xlfn.LET(
    _xlpm.isObject, _xlfn.XLOOKUP($Y252,'EA-Fortescue_SDExport'!A:A,'EA-Fortescue_SDExport'!B:B),
    _xlpm.lookupKey, IF(_xlpm.isObject="Object",
        _xlfn.XLOOKUP($A252,'EA-ConnectorExport'!A:A,'EA-ConnectorExport'!J:J),
        $Y252
    ),
    _xlpm.result, _xlfn.XLOOKUP(_xlpm.lookupKey,'EA-Fortescue_SDExport'!A:A,'EA-Fortescue_SDExport'!AE:AE),
    IF(_xlpm.result=0,"",_xlpm.result)
)</f>
        <v>854DC-1521 HV Substations</v>
      </c>
      <c r="AE252" s="2" t="str">
        <f>_xlfn.LET(
    _xlpm.isObject, _xlfn.XLOOKUP($Y252,'EA-Fortescue_SDExport'!A:A,'EA-Fortescue_SDExport'!B:B),
    _xlpm.lookupKey, IF(_xlpm.isObject="Object",
        _xlfn.XLOOKUP($A252,'EA-ConnectorExport'!A:A,'EA-ConnectorExport'!J:J),
        $Y252
    ),
    _xlpm.result, _xlfn.XLOOKUP(_xlpm.lookupKey,'EA-Fortescue_SDExport'!A:A,'EA-Fortescue_SDExport'!AF:AF),
    IF(_xlpm.result=0,"",_xlpm.result)
)</f>
        <v>854DC-1521-0004 Substation (220kV)</v>
      </c>
      <c r="AF252" s="2" t="str">
        <f>_xlfn.LET(
    _xlpm.isObject, _xlfn.XLOOKUP($Y252,'EA-Fortescue_SDExport'!A:A,'EA-Fortescue_SDExport'!B:B),
    _xlpm.lookupKey, IF(_xlpm.isObject="Object",
        _xlfn.XLOOKUP($A252,'EA-ConnectorExport'!A:A,'EA-ConnectorExport'!J:J),
        $Y252
    ),
    _xlpm.result, _xlfn.XLOOKUP(_xlpm.lookupKey,'EA-Fortescue_SDExport'!A:A,'EA-Fortescue_SDExport'!AG:AG),
    IF(_xlpm.result=0,"",_xlpm.result)
)</f>
        <v/>
      </c>
    </row>
    <row r="253" spans="1:32" ht="45" x14ac:dyDescent="0.25">
      <c r="A253" s="2" t="str">
        <v>DGS-I_0252</v>
      </c>
      <c r="B253" s="2" t="str">
        <f t="shared" si="12"/>
        <v>Solomon Mine Hub: Substation (33kV)|Solomon Mine Hub: Mobile Battery Bank</v>
      </c>
      <c r="C253" s="2" t="str">
        <f>_xlfn.LET(_xlpm.result, _xlfn.XLOOKUP(A253,'EA-Fortescue_SDExport'!A:A,'EA-Fortescue_SDExport'!AM:AM), IF(_xlpm.result=0,"",_xlpm.result))</f>
        <v/>
      </c>
      <c r="D253" s="2" t="str">
        <f>_xlfn.LET(_xlpm.result, _xlfn.XLOOKUP(A253,'EA-Fortescue_SDExport'!A:A,'EA-Fortescue_SDExport'!AN:AN), IF(_xlpm.result=0,"",_xlpm.result))</f>
        <v/>
      </c>
      <c r="E253" s="2" t="str">
        <f>_xlfn.XLOOKUP(R253&amp;Z253,Lookups!A:A,Lookups!B:B)</f>
        <v>Project - Project Interface</v>
      </c>
      <c r="F253" s="2" t="str">
        <f>_xlfn.LET(_xlpm.result, _xlfn.XLOOKUP(A253,'EA-Fortescue_SDExport'!A:A,'EA-Fortescue_SDExport'!AP:AP), IF(_xlpm.result=0,"",_xlpm.result))</f>
        <v/>
      </c>
      <c r="G253" s="2" t="str">
        <f>IF(OR(AND(T253&lt;&gt;"", COUNTIF(Lookups!J:J, "*"&amp;T253&amp;"*")&gt;0), AND(AB253&lt;&gt;"", COUNTIF(Lookups!J:J, "*"&amp;AB253&amp;"*")&gt;0)), "Yes", "No")</f>
        <v>Yes</v>
      </c>
      <c r="H253" s="2" t="str">
        <f t="shared" si="13"/>
        <v>854DC Green Power|854DC Green Power</v>
      </c>
      <c r="I253" s="2" t="str">
        <f t="shared" si="14"/>
        <v>854DC-1521 HV Substations|854DC-5680 Battery Energy Storage System (BESS)</v>
      </c>
      <c r="J253" s="2" t="str">
        <f t="shared" si="15"/>
        <v>854DC-1521-0001 Substation (33kV)|854DC-5680-0002 Mobile Battery Bank</v>
      </c>
      <c r="K253" s="2" t="str">
        <f>_xlfn.XLOOKUP(A253,'EA-Fortescue_SDExport'!A:A,'EA-Fortescue_SDExport'!N:N)</f>
        <v>Proposed</v>
      </c>
      <c r="L253" s="2" t="str">
        <f>_xlfn.LET(_xlpm.result, _xlfn.XLOOKUP($A253,'EA-Fortescue_SDExport'!$A:$A,'EA-Fortescue_SDExport'!AQ:AQ), IF(_xlpm.result=0,"",_xlpm.result))</f>
        <v/>
      </c>
      <c r="M253" s="2" t="str">
        <f>_xlfn.LET(_xlpm.result, _xlfn.XLOOKUP($A253,'EA-Fortescue_SDExport'!$A:$A,'EA-Fortescue_SDExport'!AR:AR), IF(_xlpm.result=0,"",_xlpm.result))</f>
        <v/>
      </c>
      <c r="N253" s="2" t="str">
        <f>_xlfn.LET(_xlpm.result, _xlfn.XLOOKUP($A253,'EA-Fortescue_SDExport'!$A:$A,'EA-Fortescue_SDExport'!AW:AW), IF(_xlpm.result=0,"",_xlpm.result))</f>
        <v/>
      </c>
      <c r="O253" s="2" t="str">
        <f>_xlfn.LET(_xlpm.result, _xlfn.XLOOKUP($A253,'EA-Fortescue_SDExport'!$A:$A,'EA-Fortescue_SDExport'!AV:AV), IF(_xlpm.result=0,"",_xlpm.result))</f>
        <v/>
      </c>
      <c r="P253" s="2" t="str">
        <f>_xlfn.LET(_xlpm.result, _xlfn.XLOOKUP($A253,'EA-Fortescue_SDExport'!$A:$A,'EA-Fortescue_SDExport'!D:D), IF(_xlpm.result=0,"",_xlpm.result))</f>
        <v/>
      </c>
      <c r="Q253" s="2" t="str">
        <f>_xlfn.LET(
    _xlpm.status, _xlfn.XLOOKUP($A253,'EA-ConnectorExport'!$A:$A,'EA-ConnectorExport'!G:G),
    _xlpm.result, _xlfn.XLOOKUP($A253,'EA-ConnectorExport'!$A:$A,'EA-ConnectorExport'!B:B),
    IF(_xlpm.status="allocate", _xlpm.result, "")
)</f>
        <v>Solomon Mine Hub: Substation (33kV)</v>
      </c>
      <c r="R253" s="2" t="str">
        <f>IF(
    _xlfn.XLOOKUP($Q253,'EA-Fortescue_SDExport'!A:A,'EA-Fortescue_SDExport'!B:B)="Object",
    _xlfn.XLOOKUP(
        _xlfn.XLOOKUP($A253,'EA-ConnectorExport'!A:A,'EA-ConnectorExport'!D:D),
        'EA-Fortescue_SDExport'!A:A,
        'EA-Fortescue_SDExport'!AA:AA
    ),
    _xlfn.XLOOKUP($Q253,'EA-Fortescue_SDExport'!A:A,'EA-Fortescue_SDExport'!AA:AA)
)</f>
        <v>Project</v>
      </c>
      <c r="S253" s="2" t="str">
        <f>_xlfn.LET(_xlpm.result, _xlfn.XLOOKUP($Q253,'EA-Fortescue_SDExport'!$A:$A,'EA-Fortescue_SDExport'!AB:AB), IF(_xlpm.result=0,"",_xlpm.result))</f>
        <v/>
      </c>
      <c r="T253" s="2" t="str">
        <f>_xlfn.LET(_xlpm.result, _xlfn.XLOOKUP($Q253,'EA-Fortescue_SDExport'!$A:$A,'EA-Fortescue_SDExport'!AC:AC), IF(_xlpm.result=0,"",_xlpm.result))</f>
        <v>Solomon Mine Hub</v>
      </c>
      <c r="U253" s="2" t="str">
        <f>_xlfn.LET(
    _xlpm.isObject, _xlfn.XLOOKUP($Q253,'EA-Fortescue_SDExport'!A:A,'EA-Fortescue_SDExport'!B:B),
    _xlpm.lookupKey, IF(_xlpm.isObject="Object",
        _xlfn.XLOOKUP($A253,'EA-ConnectorExport'!A:A,'EA-ConnectorExport'!D:D),
        $Q253
    ),
    _xlpm.result, _xlfn.XLOOKUP(_xlpm.lookupKey,'EA-Fortescue_SDExport'!A:A,'EA-Fortescue_SDExport'!AD:AD),
    IF(_xlpm.result=0,"",_xlpm.result)
)</f>
        <v>854DC Green Power</v>
      </c>
      <c r="V253" s="2" t="str">
        <f>_xlfn.LET(
    _xlpm.isObject, _xlfn.XLOOKUP($Q253,'EA-Fortescue_SDExport'!A:A,'EA-Fortescue_SDExport'!B:B),
    _xlpm.lookupKey, IF(_xlpm.isObject="Object",
        _xlfn.XLOOKUP($A253,'EA-ConnectorExport'!A:A,'EA-ConnectorExport'!D:D),
        $Q253
    ),
    _xlpm.result, _xlfn.XLOOKUP(_xlpm.lookupKey,'EA-Fortescue_SDExport'!A:A,'EA-Fortescue_SDExport'!AE:AE),
    IF(_xlpm.result=0,"",_xlpm.result)
)</f>
        <v>854DC-1521 HV Substations</v>
      </c>
      <c r="W253" s="2" t="str">
        <f>_xlfn.LET(
    _xlpm.isObject, _xlfn.XLOOKUP($Q253,'EA-Fortescue_SDExport'!A:A,'EA-Fortescue_SDExport'!B:B),
    _xlpm.lookupKey, IF(_xlpm.isObject="Object",
        _xlfn.XLOOKUP($A253,'EA-ConnectorExport'!A:A,'EA-ConnectorExport'!D:D),
        $Q253
    ),
    _xlpm.result, _xlfn.XLOOKUP(_xlpm.lookupKey,'EA-Fortescue_SDExport'!A:A,'EA-Fortescue_SDExport'!AF:AF),
    IF(_xlpm.result=0,"",_xlpm.result)
)</f>
        <v>854DC-1521-0001 Substation (33kV)</v>
      </c>
      <c r="X253" s="2" t="str">
        <f>_xlfn.LET(
    _xlpm.isObject, _xlfn.XLOOKUP($Q253,'EA-Fortescue_SDExport'!A:A,'EA-Fortescue_SDExport'!B:B),
    _xlpm.lookupKey, IF(_xlpm.isObject="Object",
        _xlfn.XLOOKUP($A253,'EA-ConnectorExport'!A:A,'EA-ConnectorExport'!D:D),
        $Q253
    ),
    _xlpm.result, _xlfn.XLOOKUP(_xlpm.lookupKey,'EA-Fortescue_SDExport'!A:A,'EA-Fortescue_SDExport'!AG:AG),
    IF(_xlpm.result=0,"",_xlpm.result)
)</f>
        <v/>
      </c>
      <c r="Y253" s="2" t="str">
        <f>_xlfn.LET(
    _xlpm.status, _xlfn.XLOOKUP($A253,'EA-ConnectorExport'!$A:$A,'EA-ConnectorExport'!G:G),
    _xlpm.result, _xlfn.XLOOKUP($A253,'EA-ConnectorExport'!$A:$A,'EA-ConnectorExport'!H:H),
    IF(_xlpm.status="allocate", _xlpm.result, "")
)</f>
        <v>Solomon Mine Hub: Mobile Battery Bank</v>
      </c>
      <c r="Z253" s="2" t="str">
        <f>_xlfn.LET(
    _xlpm.isObject, _xlfn.XLOOKUP($Y253,'EA-Fortescue_SDExport'!A:A,'EA-Fortescue_SDExport'!B:B),
    _xlpm.lookupKey, IF(_xlpm.isObject="Object",
        _xlfn.XLOOKUP($A253,'EA-ConnectorExport'!A:A,'EA-ConnectorExport'!J:J),
        $Y253
    ),
    _xlpm.result, _xlfn.XLOOKUP(_xlpm.lookupKey,'EA-Fortescue_SDExport'!A:A,'EA-Fortescue_SDExport'!AA:AA),
    IF(_xlpm.result=0,"",_xlpm.result)
)</f>
        <v>Project</v>
      </c>
      <c r="AA253" s="2" t="str">
        <f>_xlfn.LET(_xlpm.result, _xlfn.XLOOKUP($Y253,'EA-Fortescue_SDExport'!$A:$A,'EA-Fortescue_SDExport'!AB:AB), IF(_xlpm.result=0,"",_xlpm.result))</f>
        <v/>
      </c>
      <c r="AB253" s="2" t="str">
        <f>_xlfn.LET(_xlpm.result, _xlfn.XLOOKUP($Y253,'EA-Fortescue_SDExport'!$A:$A,'EA-Fortescue_SDExport'!AC:AC), IF(_xlpm.result=0,"",_xlpm.result))</f>
        <v>Solomon Mine Hub</v>
      </c>
      <c r="AC253" s="2" t="str">
        <f>_xlfn.LET(
    _xlpm.isObject, _xlfn.XLOOKUP($Y253,'EA-Fortescue_SDExport'!A:A,'EA-Fortescue_SDExport'!B:B),
    _xlpm.lookupKey, IF(_xlpm.isObject="Object",
        _xlfn.XLOOKUP($A253,'EA-ConnectorExport'!A:A,'EA-ConnectorExport'!J:J),
        $Y253
    ),
    _xlpm.result, _xlfn.XLOOKUP(_xlpm.lookupKey,'EA-Fortescue_SDExport'!A:A,'EA-Fortescue_SDExport'!AD:AD),
    IF(_xlpm.result=0,"",_xlpm.result)
)</f>
        <v>854DC Green Power</v>
      </c>
      <c r="AD253" s="2" t="str">
        <f>_xlfn.LET(
    _xlpm.isObject, _xlfn.XLOOKUP($Y253,'EA-Fortescue_SDExport'!A:A,'EA-Fortescue_SDExport'!B:B),
    _xlpm.lookupKey, IF(_xlpm.isObject="Object",
        _xlfn.XLOOKUP($A253,'EA-ConnectorExport'!A:A,'EA-ConnectorExport'!J:J),
        $Y253
    ),
    _xlpm.result, _xlfn.XLOOKUP(_xlpm.lookupKey,'EA-Fortescue_SDExport'!A:A,'EA-Fortescue_SDExport'!AE:AE),
    IF(_xlpm.result=0,"",_xlpm.result)
)</f>
        <v>854DC-5680 Battery Energy Storage System (BESS)</v>
      </c>
      <c r="AE253" s="2" t="str">
        <f>_xlfn.LET(
    _xlpm.isObject, _xlfn.XLOOKUP($Y253,'EA-Fortescue_SDExport'!A:A,'EA-Fortescue_SDExport'!B:B),
    _xlpm.lookupKey, IF(_xlpm.isObject="Object",
        _xlfn.XLOOKUP($A253,'EA-ConnectorExport'!A:A,'EA-ConnectorExport'!J:J),
        $Y253
    ),
    _xlpm.result, _xlfn.XLOOKUP(_xlpm.lookupKey,'EA-Fortescue_SDExport'!A:A,'EA-Fortescue_SDExport'!AF:AF),
    IF(_xlpm.result=0,"",_xlpm.result)
)</f>
        <v>854DC-5680-0002 Mobile Battery Bank</v>
      </c>
      <c r="AF253" s="2" t="str">
        <f>_xlfn.LET(
    _xlpm.isObject, _xlfn.XLOOKUP($Y253,'EA-Fortescue_SDExport'!A:A,'EA-Fortescue_SDExport'!B:B),
    _xlpm.lookupKey, IF(_xlpm.isObject="Object",
        _xlfn.XLOOKUP($A253,'EA-ConnectorExport'!A:A,'EA-ConnectorExport'!J:J),
        $Y253
    ),
    _xlpm.result, _xlfn.XLOOKUP(_xlpm.lookupKey,'EA-Fortescue_SDExport'!A:A,'EA-Fortescue_SDExport'!AG:AG),
    IF(_xlpm.result=0,"",_xlpm.result)
)</f>
        <v/>
      </c>
    </row>
    <row r="254" spans="1:32" ht="240" x14ac:dyDescent="0.25">
      <c r="A254" s="2" t="str">
        <v>DGS-I_0253</v>
      </c>
      <c r="B254" s="2" t="str">
        <f t="shared" si="12"/>
        <v>Solomon Mine Hub: Field Switches|855DC-1543-PPC Pit Power Capacity Planning Tool - Capacity Check</v>
      </c>
      <c r="C254" s="2" t="str">
        <f>_xlfn.LET(_xlpm.result, _xlfn.XLOOKUP(A254,'EA-Fortescue_SDExport'!A:A,'EA-Fortescue_SDExport'!AM:AM), IF(_xlpm.result=0,"",_xlpm.result))</f>
        <v/>
      </c>
      <c r="D254" s="2" t="str">
        <f>_xlfn.LET(_xlpm.result, _xlfn.XLOOKUP(A254,'EA-Fortescue_SDExport'!A:A,'EA-Fortescue_SDExport'!AN:AN), IF(_xlpm.result=0,"",_xlpm.result))</f>
        <v/>
      </c>
      <c r="E254" s="2" t="str">
        <f>_xlfn.XLOOKUP(R254&amp;Z254,Lookups!A:A,Lookups!B:B)</f>
        <v>System - Project Interface</v>
      </c>
      <c r="F254" s="2" t="str">
        <f>_xlfn.LET(_xlpm.result, _xlfn.XLOOKUP(A254,'EA-Fortescue_SDExport'!A:A,'EA-Fortescue_SDExport'!AP:AP), IF(_xlpm.result=0,"",_xlpm.result))</f>
        <v/>
      </c>
      <c r="G254" s="2" t="str">
        <f>IF(OR(AND(T254&lt;&gt;"", COUNTIF(Lookups!J:J, "*"&amp;T254&amp;"*")&gt;0), AND(AB254&lt;&gt;"", COUNTIF(Lookups!J:J, "*"&amp;AB254&amp;"*")&gt;0)), "Yes", "No")</f>
        <v>Yes</v>
      </c>
      <c r="H254" s="2" t="str">
        <f t="shared" si="13"/>
        <v>850DC Decarb Infrastructure|855DC Decarb Green Systems</v>
      </c>
      <c r="I254" s="2" t="str">
        <f t="shared" si="14"/>
        <v>850DC-1522 Field Switches|N/A</v>
      </c>
      <c r="J254" s="2" t="str">
        <f t="shared" si="15"/>
        <v>N/A|855DC-1543-PPC Pit Power Capacity Planning Tool - Capacity Check</v>
      </c>
      <c r="K254" s="2" t="str">
        <f>_xlfn.XLOOKUP(A254,'EA-Fortescue_SDExport'!A:A,'EA-Fortescue_SDExport'!N:N)</f>
        <v>Proposed</v>
      </c>
      <c r="L254" s="2" t="str">
        <f>_xlfn.LET(_xlpm.result, _xlfn.XLOOKUP($A254,'EA-Fortescue_SDExport'!$A:$A,'EA-Fortescue_SDExport'!AQ:AQ), IF(_xlpm.result=0,"",_xlpm.result))</f>
        <v/>
      </c>
      <c r="M254" s="2" t="str">
        <f>_xlfn.LET(_xlpm.result, _xlfn.XLOOKUP($A254,'EA-Fortescue_SDExport'!$A:$A,'EA-Fortescue_SDExport'!AR:AR), IF(_xlpm.result=0,"",_xlpm.result))</f>
        <v/>
      </c>
      <c r="N254" s="2" t="str">
        <f>_xlfn.LET(_xlpm.result, _xlfn.XLOOKUP($A254,'EA-Fortescue_SDExport'!$A:$A,'EA-Fortescue_SDExport'!AW:AW), IF(_xlpm.result=0,"",_xlpm.result))</f>
        <v/>
      </c>
      <c r="O254" s="2" t="str">
        <f>_xlfn.LET(_xlpm.result, _xlfn.XLOOKUP($A254,'EA-Fortescue_SDExport'!$A:$A,'EA-Fortescue_SDExport'!AV:AV), IF(_xlpm.result=0,"",_xlpm.result))</f>
        <v/>
      </c>
      <c r="P254" s="2" t="str">
        <f>_xlfn.LET(_xlpm.result, _xlfn.XLOOKUP($A254,'EA-Fortescue_SDExport'!$A:$A,'EA-Fortescue_SDExport'!D:D),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54" s="2" t="str">
        <f>_xlfn.LET(
    _xlpm.status, _xlfn.XLOOKUP($A254,'EA-ConnectorExport'!$A:$A,'EA-ConnectorExport'!G:G),
    _xlpm.result, _xlfn.XLOOKUP($A254,'EA-ConnectorExport'!$A:$A,'EA-ConnectorExport'!B:B),
    IF(_xlpm.status="allocate", _xlpm.result, "")
)</f>
        <v>Solomon Mine Hub: Field Switches</v>
      </c>
      <c r="R254" s="2" t="str">
        <f>IF(
    _xlfn.XLOOKUP($Q254,'EA-Fortescue_SDExport'!A:A,'EA-Fortescue_SDExport'!B:B)="Object",
    _xlfn.XLOOKUP(
        _xlfn.XLOOKUP($A254,'EA-ConnectorExport'!A:A,'EA-ConnectorExport'!D:D),
        'EA-Fortescue_SDExport'!A:A,
        'EA-Fortescue_SDExport'!AA:AA
    ),
    _xlfn.XLOOKUP($Q254,'EA-Fortescue_SDExport'!A:A,'EA-Fortescue_SDExport'!AA:AA)
)</f>
        <v>System</v>
      </c>
      <c r="S254" s="2" t="str">
        <f>_xlfn.LET(_xlpm.result, _xlfn.XLOOKUP($Q254,'EA-Fortescue_SDExport'!$A:$A,'EA-Fortescue_SDExport'!AB:AB), IF(_xlpm.result=0,"",_xlpm.result))</f>
        <v/>
      </c>
      <c r="T254" s="2" t="str">
        <f>_xlfn.LET(_xlpm.result, _xlfn.XLOOKUP($Q254,'EA-Fortescue_SDExport'!$A:$A,'EA-Fortescue_SDExport'!AC:AC), IF(_xlpm.result=0,"",_xlpm.result))</f>
        <v>Solomon Mine Hub</v>
      </c>
      <c r="U254" s="2" t="str">
        <f>_xlfn.LET(
    _xlpm.isObject, _xlfn.XLOOKUP($Q254,'EA-Fortescue_SDExport'!A:A,'EA-Fortescue_SDExport'!B:B),
    _xlpm.lookupKey, IF(_xlpm.isObject="Object",
        _xlfn.XLOOKUP($A254,'EA-ConnectorExport'!A:A,'EA-ConnectorExport'!D:D),
        $Q254
    ),
    _xlpm.result, _xlfn.XLOOKUP(_xlpm.lookupKey,'EA-Fortescue_SDExport'!A:A,'EA-Fortescue_SDExport'!AD:AD),
    IF(_xlpm.result=0,"",_xlpm.result)
)</f>
        <v>850DC Decarb Infrastructure</v>
      </c>
      <c r="V254" s="2" t="str">
        <f>_xlfn.LET(
    _xlpm.isObject, _xlfn.XLOOKUP($Q254,'EA-Fortescue_SDExport'!A:A,'EA-Fortescue_SDExport'!B:B),
    _xlpm.lookupKey, IF(_xlpm.isObject="Object",
        _xlfn.XLOOKUP($A254,'EA-ConnectorExport'!A:A,'EA-ConnectorExport'!D:D),
        $Q254
    ),
    _xlpm.result, _xlfn.XLOOKUP(_xlpm.lookupKey,'EA-Fortescue_SDExport'!A:A,'EA-Fortescue_SDExport'!AE:AE),
    IF(_xlpm.result=0,"",_xlpm.result)
)</f>
        <v>850DC-1522 Field Switches</v>
      </c>
      <c r="W254" s="2" t="str">
        <f>_xlfn.LET(
    _xlpm.isObject, _xlfn.XLOOKUP($Q254,'EA-Fortescue_SDExport'!A:A,'EA-Fortescue_SDExport'!B:B),
    _xlpm.lookupKey, IF(_xlpm.isObject="Object",
        _xlfn.XLOOKUP($A254,'EA-ConnectorExport'!A:A,'EA-ConnectorExport'!D:D),
        $Q254
    ),
    _xlpm.result, _xlfn.XLOOKUP(_xlpm.lookupKey,'EA-Fortescue_SDExport'!A:A,'EA-Fortescue_SDExport'!AF:AF),
    IF(_xlpm.result=0,"",_xlpm.result)
)</f>
        <v/>
      </c>
      <c r="X254" s="2" t="str">
        <f>_xlfn.LET(
    _xlpm.isObject, _xlfn.XLOOKUP($Q254,'EA-Fortescue_SDExport'!A:A,'EA-Fortescue_SDExport'!B:B),
    _xlpm.lookupKey, IF(_xlpm.isObject="Object",
        _xlfn.XLOOKUP($A254,'EA-ConnectorExport'!A:A,'EA-ConnectorExport'!D:D),
        $Q254
    ),
    _xlpm.result, _xlfn.XLOOKUP(_xlpm.lookupKey,'EA-Fortescue_SDExport'!A:A,'EA-Fortescue_SDExport'!AG:AG),
    IF(_xlpm.result=0,"",_xlpm.result)
)</f>
        <v/>
      </c>
      <c r="Y254" s="2" t="str">
        <f>_xlfn.LET(
    _xlpm.status, _xlfn.XLOOKUP($A254,'EA-ConnectorExport'!$A:$A,'EA-ConnectorExport'!G:G),
    _xlpm.result, _xlfn.XLOOKUP($A254,'EA-ConnectorExport'!$A:$A,'EA-ConnectorExport'!H:H),
    IF(_xlpm.status="allocate", _xlpm.result, "")
)</f>
        <v>855DC-1543-PPC Pit Power Capacity Planning Tool - Capacity Check</v>
      </c>
      <c r="Z254" s="2" t="str">
        <f>_xlfn.LET(
    _xlpm.isObject, _xlfn.XLOOKUP($Y254,'EA-Fortescue_SDExport'!A:A,'EA-Fortescue_SDExport'!B:B),
    _xlpm.lookupKey, IF(_xlpm.isObject="Object",
        _xlfn.XLOOKUP($A254,'EA-ConnectorExport'!A:A,'EA-ConnectorExport'!J:J),
        $Y254
    ),
    _xlpm.result, _xlfn.XLOOKUP(_xlpm.lookupKey,'EA-Fortescue_SDExport'!A:A,'EA-Fortescue_SDExport'!AA:AA),
    IF(_xlpm.result=0,"",_xlpm.result)
)</f>
        <v>Project</v>
      </c>
      <c r="AA254" s="2" t="str">
        <f>_xlfn.LET(_xlpm.result, _xlfn.XLOOKUP($Y254,'EA-Fortescue_SDExport'!$A:$A,'EA-Fortescue_SDExport'!AB:AB), IF(_xlpm.result=0,"",_xlpm.result))</f>
        <v>Operations Planning</v>
      </c>
      <c r="AB254" s="2" t="str">
        <f>_xlfn.LET(_xlpm.result, _xlfn.XLOOKUP($Y254,'EA-Fortescue_SDExport'!$A:$A,'EA-Fortescue_SDExport'!AC:AC), IF(_xlpm.result=0,"",_xlpm.result))</f>
        <v>AWS Fortescue Infrastructure</v>
      </c>
      <c r="AC254" s="2" t="str">
        <f>_xlfn.LET(
    _xlpm.isObject, _xlfn.XLOOKUP($Y254,'EA-Fortescue_SDExport'!A:A,'EA-Fortescue_SDExport'!B:B),
    _xlpm.lookupKey, IF(_xlpm.isObject="Object",
        _xlfn.XLOOKUP($A254,'EA-ConnectorExport'!A:A,'EA-ConnectorExport'!J:J),
        $Y254
    ),
    _xlpm.result, _xlfn.XLOOKUP(_xlpm.lookupKey,'EA-Fortescue_SDExport'!A:A,'EA-Fortescue_SDExport'!AD:AD),
    IF(_xlpm.result=0,"",_xlpm.result)
)</f>
        <v>855DC Decarb Green Systems</v>
      </c>
      <c r="AD254" s="2" t="str">
        <f>_xlfn.LET(
    _xlpm.isObject, _xlfn.XLOOKUP($Y254,'EA-Fortescue_SDExport'!A:A,'EA-Fortescue_SDExport'!B:B),
    _xlpm.lookupKey, IF(_xlpm.isObject="Object",
        _xlfn.XLOOKUP($A254,'EA-ConnectorExport'!A:A,'EA-ConnectorExport'!J:J),
        $Y254
    ),
    _xlpm.result, _xlfn.XLOOKUP(_xlpm.lookupKey,'EA-Fortescue_SDExport'!A:A,'EA-Fortescue_SDExport'!AE:AE),
    IF(_xlpm.result=0,"",_xlpm.result)
)</f>
        <v/>
      </c>
      <c r="AE254" s="2" t="str">
        <f>_xlfn.LET(
    _xlpm.isObject, _xlfn.XLOOKUP($Y254,'EA-Fortescue_SDExport'!A:A,'EA-Fortescue_SDExport'!B:B),
    _xlpm.lookupKey, IF(_xlpm.isObject="Object",
        _xlfn.XLOOKUP($A254,'EA-ConnectorExport'!A:A,'EA-ConnectorExport'!J:J),
        $Y254
    ),
    _xlpm.result, _xlfn.XLOOKUP(_xlpm.lookupKey,'EA-Fortescue_SDExport'!A:A,'EA-Fortescue_SDExport'!AF:AF),
    IF(_xlpm.result=0,"",_xlpm.result)
)</f>
        <v>855DC-1543-PPC Pit Power Capacity Planning Tool - Capacity Check</v>
      </c>
      <c r="AF254" s="2" t="str">
        <f>_xlfn.LET(
    _xlpm.isObject, _xlfn.XLOOKUP($Y254,'EA-Fortescue_SDExport'!A:A,'EA-Fortescue_SDExport'!B:B),
    _xlpm.lookupKey, IF(_xlpm.isObject="Object",
        _xlfn.XLOOKUP($A254,'EA-ConnectorExport'!A:A,'EA-ConnectorExport'!J:J),
        $Y254
    ),
    _xlpm.result, _xlfn.XLOOKUP(_xlpm.lookupKey,'EA-Fortescue_SDExport'!A:A,'EA-Fortescue_SDExport'!AG:AG),
    IF(_xlpm.result=0,"",_xlpm.result)
)</f>
        <v/>
      </c>
    </row>
    <row r="255" spans="1:32" ht="240" x14ac:dyDescent="0.25">
      <c r="A255" s="2" t="str">
        <v>DGS-I_0254</v>
      </c>
      <c r="B255" s="2" t="str">
        <f t="shared" si="12"/>
        <v>855DC-1543-PPC Pit Power Capacity Planning Tool - Capacity Check|Solomon Mine Hub: Substation (132kV)</v>
      </c>
      <c r="C255" s="2" t="str">
        <f>_xlfn.LET(_xlpm.result, _xlfn.XLOOKUP(A255,'EA-Fortescue_SDExport'!A:A,'EA-Fortescue_SDExport'!AM:AM), IF(_xlpm.result=0,"",_xlpm.result))</f>
        <v/>
      </c>
      <c r="D255" s="2" t="str">
        <f>_xlfn.LET(_xlpm.result, _xlfn.XLOOKUP(A255,'EA-Fortescue_SDExport'!A:A,'EA-Fortescue_SDExport'!AN:AN), IF(_xlpm.result=0,"",_xlpm.result))</f>
        <v/>
      </c>
      <c r="E255" s="2" t="str">
        <f>_xlfn.XLOOKUP(R255&amp;Z255,Lookups!A:A,Lookups!B:B)</f>
        <v>Project - Project Interface</v>
      </c>
      <c r="F255" s="2" t="str">
        <f>_xlfn.LET(_xlpm.result, _xlfn.XLOOKUP(A255,'EA-Fortescue_SDExport'!A:A,'EA-Fortescue_SDExport'!AP:AP), IF(_xlpm.result=0,"",_xlpm.result))</f>
        <v/>
      </c>
      <c r="G255" s="2" t="str">
        <f>IF(OR(AND(T255&lt;&gt;"", COUNTIF(Lookups!J:J, "*"&amp;T255&amp;"*")&gt;0), AND(AB255&lt;&gt;"", COUNTIF(Lookups!J:J, "*"&amp;AB255&amp;"*")&gt;0)), "Yes", "No")</f>
        <v>Yes</v>
      </c>
      <c r="H255" s="2" t="str">
        <f t="shared" si="13"/>
        <v>855DC Decarb Green Systems|854DC Green Power</v>
      </c>
      <c r="I255" s="2" t="str">
        <f t="shared" si="14"/>
        <v>N/A|854DC-1521 HV Substations</v>
      </c>
      <c r="J255" s="2" t="str">
        <f t="shared" si="15"/>
        <v>855DC-1543-PPC Pit Power Capacity Planning Tool - Capacity Check|854DC-1521-0003 Substation (132kV)</v>
      </c>
      <c r="K255" s="2" t="str">
        <f>_xlfn.XLOOKUP(A255,'EA-Fortescue_SDExport'!A:A,'EA-Fortescue_SDExport'!N:N)</f>
        <v>Proposed</v>
      </c>
      <c r="L255" s="2" t="str">
        <f>_xlfn.LET(_xlpm.result, _xlfn.XLOOKUP($A255,'EA-Fortescue_SDExport'!$A:$A,'EA-Fortescue_SDExport'!AQ:AQ), IF(_xlpm.result=0,"",_xlpm.result))</f>
        <v/>
      </c>
      <c r="M255" s="2" t="str">
        <f>_xlfn.LET(_xlpm.result, _xlfn.XLOOKUP($A255,'EA-Fortescue_SDExport'!$A:$A,'EA-Fortescue_SDExport'!AR:AR), IF(_xlpm.result=0,"",_xlpm.result))</f>
        <v/>
      </c>
      <c r="N255" s="2" t="str">
        <f>_xlfn.LET(_xlpm.result, _xlfn.XLOOKUP($A255,'EA-Fortescue_SDExport'!$A:$A,'EA-Fortescue_SDExport'!AW:AW), IF(_xlpm.result=0,"",_xlpm.result))</f>
        <v/>
      </c>
      <c r="O255" s="2" t="str">
        <f>_xlfn.LET(_xlpm.result, _xlfn.XLOOKUP($A255,'EA-Fortescue_SDExport'!$A:$A,'EA-Fortescue_SDExport'!AV:AV), IF(_xlpm.result=0,"",_xlpm.result))</f>
        <v/>
      </c>
      <c r="P255" s="2" t="str">
        <f>_xlfn.LET(_xlpm.result, _xlfn.XLOOKUP($A255,'EA-Fortescue_SDExport'!$A:$A,'EA-Fortescue_SDExport'!D:D),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55" s="2" t="str">
        <f>_xlfn.LET(
    _xlpm.status, _xlfn.XLOOKUP($A255,'EA-ConnectorExport'!$A:$A,'EA-ConnectorExport'!G:G),
    _xlpm.result, _xlfn.XLOOKUP($A255,'EA-ConnectorExport'!$A:$A,'EA-ConnectorExport'!B:B),
    IF(_xlpm.status="allocate", _xlpm.result, "")
)</f>
        <v>855DC-1543-PPC Pit Power Capacity Planning Tool - Capacity Check</v>
      </c>
      <c r="R255" s="2" t="str">
        <f>IF(
    _xlfn.XLOOKUP($Q255,'EA-Fortescue_SDExport'!A:A,'EA-Fortescue_SDExport'!B:B)="Object",
    _xlfn.XLOOKUP(
        _xlfn.XLOOKUP($A255,'EA-ConnectorExport'!A:A,'EA-ConnectorExport'!D:D),
        'EA-Fortescue_SDExport'!A:A,
        'EA-Fortescue_SDExport'!AA:AA
    ),
    _xlfn.XLOOKUP($Q255,'EA-Fortescue_SDExport'!A:A,'EA-Fortescue_SDExport'!AA:AA)
)</f>
        <v>Project</v>
      </c>
      <c r="S255" s="2" t="str">
        <f>_xlfn.LET(_xlpm.result, _xlfn.XLOOKUP($Q255,'EA-Fortescue_SDExport'!$A:$A,'EA-Fortescue_SDExport'!AB:AB), IF(_xlpm.result=0,"",_xlpm.result))</f>
        <v>Operations Planning</v>
      </c>
      <c r="T255" s="2" t="str">
        <f>_xlfn.LET(_xlpm.result, _xlfn.XLOOKUP($Q255,'EA-Fortescue_SDExport'!$A:$A,'EA-Fortescue_SDExport'!AC:AC), IF(_xlpm.result=0,"",_xlpm.result))</f>
        <v>AWS Fortescue Infrastructure</v>
      </c>
      <c r="U255" s="2" t="str">
        <f>_xlfn.LET(
    _xlpm.isObject, _xlfn.XLOOKUP($Q255,'EA-Fortescue_SDExport'!A:A,'EA-Fortescue_SDExport'!B:B),
    _xlpm.lookupKey, IF(_xlpm.isObject="Object",
        _xlfn.XLOOKUP($A255,'EA-ConnectorExport'!A:A,'EA-ConnectorExport'!D:D),
        $Q255
    ),
    _xlpm.result, _xlfn.XLOOKUP(_xlpm.lookupKey,'EA-Fortescue_SDExport'!A:A,'EA-Fortescue_SDExport'!AD:AD),
    IF(_xlpm.result=0,"",_xlpm.result)
)</f>
        <v>855DC Decarb Green Systems</v>
      </c>
      <c r="V255" s="2" t="str">
        <f>_xlfn.LET(
    _xlpm.isObject, _xlfn.XLOOKUP($Q255,'EA-Fortescue_SDExport'!A:A,'EA-Fortescue_SDExport'!B:B),
    _xlpm.lookupKey, IF(_xlpm.isObject="Object",
        _xlfn.XLOOKUP($A255,'EA-ConnectorExport'!A:A,'EA-ConnectorExport'!D:D),
        $Q255
    ),
    _xlpm.result, _xlfn.XLOOKUP(_xlpm.lookupKey,'EA-Fortescue_SDExport'!A:A,'EA-Fortescue_SDExport'!AE:AE),
    IF(_xlpm.result=0,"",_xlpm.result)
)</f>
        <v/>
      </c>
      <c r="W255" s="2" t="str">
        <f>_xlfn.LET(
    _xlpm.isObject, _xlfn.XLOOKUP($Q255,'EA-Fortescue_SDExport'!A:A,'EA-Fortescue_SDExport'!B:B),
    _xlpm.lookupKey, IF(_xlpm.isObject="Object",
        _xlfn.XLOOKUP($A255,'EA-ConnectorExport'!A:A,'EA-ConnectorExport'!D:D),
        $Q255
    ),
    _xlpm.result, _xlfn.XLOOKUP(_xlpm.lookupKey,'EA-Fortescue_SDExport'!A:A,'EA-Fortescue_SDExport'!AF:AF),
    IF(_xlpm.result=0,"",_xlpm.result)
)</f>
        <v>855DC-1543-PPC Pit Power Capacity Planning Tool - Capacity Check</v>
      </c>
      <c r="X255" s="2" t="str">
        <f>_xlfn.LET(
    _xlpm.isObject, _xlfn.XLOOKUP($Q255,'EA-Fortescue_SDExport'!A:A,'EA-Fortescue_SDExport'!B:B),
    _xlpm.lookupKey, IF(_xlpm.isObject="Object",
        _xlfn.XLOOKUP($A255,'EA-ConnectorExport'!A:A,'EA-ConnectorExport'!D:D),
        $Q255
    ),
    _xlpm.result, _xlfn.XLOOKUP(_xlpm.lookupKey,'EA-Fortescue_SDExport'!A:A,'EA-Fortescue_SDExport'!AG:AG),
    IF(_xlpm.result=0,"",_xlpm.result)
)</f>
        <v/>
      </c>
      <c r="Y255" s="2" t="str">
        <f>_xlfn.LET(
    _xlpm.status, _xlfn.XLOOKUP($A255,'EA-ConnectorExport'!$A:$A,'EA-ConnectorExport'!G:G),
    _xlpm.result, _xlfn.XLOOKUP($A255,'EA-ConnectorExport'!$A:$A,'EA-ConnectorExport'!H:H),
    IF(_xlpm.status="allocate", _xlpm.result, "")
)</f>
        <v>Solomon Mine Hub: Substation (132kV)</v>
      </c>
      <c r="Z255" s="2" t="str">
        <f>_xlfn.LET(
    _xlpm.isObject, _xlfn.XLOOKUP($Y255,'EA-Fortescue_SDExport'!A:A,'EA-Fortescue_SDExport'!B:B),
    _xlpm.lookupKey, IF(_xlpm.isObject="Object",
        _xlfn.XLOOKUP($A255,'EA-ConnectorExport'!A:A,'EA-ConnectorExport'!J:J),
        $Y255
    ),
    _xlpm.result, _xlfn.XLOOKUP(_xlpm.lookupKey,'EA-Fortescue_SDExport'!A:A,'EA-Fortescue_SDExport'!AA:AA),
    IF(_xlpm.result=0,"",_xlpm.result)
)</f>
        <v>Project</v>
      </c>
      <c r="AA255" s="2" t="str">
        <f>_xlfn.LET(_xlpm.result, _xlfn.XLOOKUP($Y255,'EA-Fortescue_SDExport'!$A:$A,'EA-Fortescue_SDExport'!AB:AB), IF(_xlpm.result=0,"",_xlpm.result))</f>
        <v/>
      </c>
      <c r="AB255" s="2" t="str">
        <f>_xlfn.LET(_xlpm.result, _xlfn.XLOOKUP($Y255,'EA-Fortescue_SDExport'!$A:$A,'EA-Fortescue_SDExport'!AC:AC), IF(_xlpm.result=0,"",_xlpm.result))</f>
        <v>Solomon Mine Hub</v>
      </c>
      <c r="AC255" s="2" t="str">
        <f>_xlfn.LET(
    _xlpm.isObject, _xlfn.XLOOKUP($Y255,'EA-Fortescue_SDExport'!A:A,'EA-Fortescue_SDExport'!B:B),
    _xlpm.lookupKey, IF(_xlpm.isObject="Object",
        _xlfn.XLOOKUP($A255,'EA-ConnectorExport'!A:A,'EA-ConnectorExport'!J:J),
        $Y255
    ),
    _xlpm.result, _xlfn.XLOOKUP(_xlpm.lookupKey,'EA-Fortescue_SDExport'!A:A,'EA-Fortescue_SDExport'!AD:AD),
    IF(_xlpm.result=0,"",_xlpm.result)
)</f>
        <v>854DC Green Power</v>
      </c>
      <c r="AD255" s="2" t="str">
        <f>_xlfn.LET(
    _xlpm.isObject, _xlfn.XLOOKUP($Y255,'EA-Fortescue_SDExport'!A:A,'EA-Fortescue_SDExport'!B:B),
    _xlpm.lookupKey, IF(_xlpm.isObject="Object",
        _xlfn.XLOOKUP($A255,'EA-ConnectorExport'!A:A,'EA-ConnectorExport'!J:J),
        $Y255
    ),
    _xlpm.result, _xlfn.XLOOKUP(_xlpm.lookupKey,'EA-Fortescue_SDExport'!A:A,'EA-Fortescue_SDExport'!AE:AE),
    IF(_xlpm.result=0,"",_xlpm.result)
)</f>
        <v>854DC-1521 HV Substations</v>
      </c>
      <c r="AE255" s="2" t="str">
        <f>_xlfn.LET(
    _xlpm.isObject, _xlfn.XLOOKUP($Y255,'EA-Fortescue_SDExport'!A:A,'EA-Fortescue_SDExport'!B:B),
    _xlpm.lookupKey, IF(_xlpm.isObject="Object",
        _xlfn.XLOOKUP($A255,'EA-ConnectorExport'!A:A,'EA-ConnectorExport'!J:J),
        $Y255
    ),
    _xlpm.result, _xlfn.XLOOKUP(_xlpm.lookupKey,'EA-Fortescue_SDExport'!A:A,'EA-Fortescue_SDExport'!AF:AF),
    IF(_xlpm.result=0,"",_xlpm.result)
)</f>
        <v>854DC-1521-0003 Substation (132kV)</v>
      </c>
      <c r="AF255" s="2" t="str">
        <f>_xlfn.LET(
    _xlpm.isObject, _xlfn.XLOOKUP($Y255,'EA-Fortescue_SDExport'!A:A,'EA-Fortescue_SDExport'!B:B),
    _xlpm.lookupKey, IF(_xlpm.isObject="Object",
        _xlfn.XLOOKUP($A255,'EA-ConnectorExport'!A:A,'EA-ConnectorExport'!J:J),
        $Y255
    ),
    _xlpm.result, _xlfn.XLOOKUP(_xlpm.lookupKey,'EA-Fortescue_SDExport'!A:A,'EA-Fortescue_SDExport'!AG:AG),
    IF(_xlpm.result=0,"",_xlpm.result)
)</f>
        <v/>
      </c>
    </row>
    <row r="256" spans="1:32" ht="240" x14ac:dyDescent="0.25">
      <c r="A256" s="2" t="str">
        <v>DGS-I_0255</v>
      </c>
      <c r="B256" s="2" t="str">
        <f t="shared" si="12"/>
        <v>Solomon Mine Hub: Substation (11kV)|855DC-1543-PPC Pit Power Capacity Planning Tool - Capacity Check</v>
      </c>
      <c r="C256" s="2" t="str">
        <f>_xlfn.LET(_xlpm.result, _xlfn.XLOOKUP(A256,'EA-Fortescue_SDExport'!A:A,'EA-Fortescue_SDExport'!AM:AM), IF(_xlpm.result=0,"",_xlpm.result))</f>
        <v/>
      </c>
      <c r="D256" s="2" t="str">
        <f>_xlfn.LET(_xlpm.result, _xlfn.XLOOKUP(A256,'EA-Fortescue_SDExport'!A:A,'EA-Fortescue_SDExport'!AN:AN), IF(_xlpm.result=0,"",_xlpm.result))</f>
        <v/>
      </c>
      <c r="E256" s="2" t="str">
        <f>_xlfn.XLOOKUP(R256&amp;Z256,Lookups!A:A,Lookups!B:B)</f>
        <v>Project - Project Interface</v>
      </c>
      <c r="F256" s="2" t="str">
        <f>_xlfn.LET(_xlpm.result, _xlfn.XLOOKUP(A256,'EA-Fortescue_SDExport'!A:A,'EA-Fortescue_SDExport'!AP:AP), IF(_xlpm.result=0,"",_xlpm.result))</f>
        <v/>
      </c>
      <c r="G256" s="2" t="str">
        <f>IF(OR(AND(T256&lt;&gt;"", COUNTIF(Lookups!J:J, "*"&amp;T256&amp;"*")&gt;0), AND(AB256&lt;&gt;"", COUNTIF(Lookups!J:J, "*"&amp;AB256&amp;"*")&gt;0)), "Yes", "No")</f>
        <v>Yes</v>
      </c>
      <c r="H256" s="2" t="str">
        <f t="shared" si="13"/>
        <v>854DC Green Power|855DC Decarb Green Systems</v>
      </c>
      <c r="I256" s="2" t="str">
        <f t="shared" si="14"/>
        <v>854DC-1521 HV Substations|N/A</v>
      </c>
      <c r="J256" s="2" t="str">
        <f t="shared" si="15"/>
        <v>854DC-1521-0006 Substation (11kV)|855DC-1543-PPC Pit Power Capacity Planning Tool - Capacity Check</v>
      </c>
      <c r="K256" s="2" t="str">
        <f>_xlfn.XLOOKUP(A256,'EA-Fortescue_SDExport'!A:A,'EA-Fortescue_SDExport'!N:N)</f>
        <v>Proposed</v>
      </c>
      <c r="L256" s="2" t="str">
        <f>_xlfn.LET(_xlpm.result, _xlfn.XLOOKUP($A256,'EA-Fortescue_SDExport'!$A:$A,'EA-Fortescue_SDExport'!AQ:AQ), IF(_xlpm.result=0,"",_xlpm.result))</f>
        <v/>
      </c>
      <c r="M256" s="2" t="str">
        <f>_xlfn.LET(_xlpm.result, _xlfn.XLOOKUP($A256,'EA-Fortescue_SDExport'!$A:$A,'EA-Fortescue_SDExport'!AR:AR), IF(_xlpm.result=0,"",_xlpm.result))</f>
        <v/>
      </c>
      <c r="N256" s="2" t="str">
        <f>_xlfn.LET(_xlpm.result, _xlfn.XLOOKUP($A256,'EA-Fortescue_SDExport'!$A:$A,'EA-Fortescue_SDExport'!AW:AW), IF(_xlpm.result=0,"",_xlpm.result))</f>
        <v/>
      </c>
      <c r="O256" s="2" t="str">
        <f>_xlfn.LET(_xlpm.result, _xlfn.XLOOKUP($A256,'EA-Fortescue_SDExport'!$A:$A,'EA-Fortescue_SDExport'!AV:AV), IF(_xlpm.result=0,"",_xlpm.result))</f>
        <v/>
      </c>
      <c r="P256" s="2" t="str">
        <f>_xlfn.LET(_xlpm.result, _xlfn.XLOOKUP($A256,'EA-Fortescue_SDExport'!$A:$A,'EA-Fortescue_SDExport'!D:D),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56" s="2" t="str">
        <f>_xlfn.LET(
    _xlpm.status, _xlfn.XLOOKUP($A256,'EA-ConnectorExport'!$A:$A,'EA-ConnectorExport'!G:G),
    _xlpm.result, _xlfn.XLOOKUP($A256,'EA-ConnectorExport'!$A:$A,'EA-ConnectorExport'!B:B),
    IF(_xlpm.status="allocate", _xlpm.result, "")
)</f>
        <v>Solomon Mine Hub: Substation (11kV)</v>
      </c>
      <c r="R256" s="2" t="str">
        <f>IF(
    _xlfn.XLOOKUP($Q256,'EA-Fortescue_SDExport'!A:A,'EA-Fortescue_SDExport'!B:B)="Object",
    _xlfn.XLOOKUP(
        _xlfn.XLOOKUP($A256,'EA-ConnectorExport'!A:A,'EA-ConnectorExport'!D:D),
        'EA-Fortescue_SDExport'!A:A,
        'EA-Fortescue_SDExport'!AA:AA
    ),
    _xlfn.XLOOKUP($Q256,'EA-Fortescue_SDExport'!A:A,'EA-Fortescue_SDExport'!AA:AA)
)</f>
        <v>Project</v>
      </c>
      <c r="S256" s="2" t="str">
        <f>_xlfn.LET(_xlpm.result, _xlfn.XLOOKUP($Q256,'EA-Fortescue_SDExport'!$A:$A,'EA-Fortescue_SDExport'!AB:AB), IF(_xlpm.result=0,"",_xlpm.result))</f>
        <v/>
      </c>
      <c r="T256" s="2" t="str">
        <f>_xlfn.LET(_xlpm.result, _xlfn.XLOOKUP($Q256,'EA-Fortescue_SDExport'!$A:$A,'EA-Fortescue_SDExport'!AC:AC), IF(_xlpm.result=0,"",_xlpm.result))</f>
        <v>Solomon Mine Hub</v>
      </c>
      <c r="U256" s="2" t="str">
        <f>_xlfn.LET(
    _xlpm.isObject, _xlfn.XLOOKUP($Q256,'EA-Fortescue_SDExport'!A:A,'EA-Fortescue_SDExport'!B:B),
    _xlpm.lookupKey, IF(_xlpm.isObject="Object",
        _xlfn.XLOOKUP($A256,'EA-ConnectorExport'!A:A,'EA-ConnectorExport'!D:D),
        $Q256
    ),
    _xlpm.result, _xlfn.XLOOKUP(_xlpm.lookupKey,'EA-Fortescue_SDExport'!A:A,'EA-Fortescue_SDExport'!AD:AD),
    IF(_xlpm.result=0,"",_xlpm.result)
)</f>
        <v>854DC Green Power</v>
      </c>
      <c r="V256" s="2" t="str">
        <f>_xlfn.LET(
    _xlpm.isObject, _xlfn.XLOOKUP($Q256,'EA-Fortescue_SDExport'!A:A,'EA-Fortescue_SDExport'!B:B),
    _xlpm.lookupKey, IF(_xlpm.isObject="Object",
        _xlfn.XLOOKUP($A256,'EA-ConnectorExport'!A:A,'EA-ConnectorExport'!D:D),
        $Q256
    ),
    _xlpm.result, _xlfn.XLOOKUP(_xlpm.lookupKey,'EA-Fortescue_SDExport'!A:A,'EA-Fortescue_SDExport'!AE:AE),
    IF(_xlpm.result=0,"",_xlpm.result)
)</f>
        <v>854DC-1521 HV Substations</v>
      </c>
      <c r="W256" s="2" t="str">
        <f>_xlfn.LET(
    _xlpm.isObject, _xlfn.XLOOKUP($Q256,'EA-Fortescue_SDExport'!A:A,'EA-Fortescue_SDExport'!B:B),
    _xlpm.lookupKey, IF(_xlpm.isObject="Object",
        _xlfn.XLOOKUP($A256,'EA-ConnectorExport'!A:A,'EA-ConnectorExport'!D:D),
        $Q256
    ),
    _xlpm.result, _xlfn.XLOOKUP(_xlpm.lookupKey,'EA-Fortescue_SDExport'!A:A,'EA-Fortescue_SDExport'!AF:AF),
    IF(_xlpm.result=0,"",_xlpm.result)
)</f>
        <v>854DC-1521-0006 Substation (11kV)</v>
      </c>
      <c r="X256" s="2" t="str">
        <f>_xlfn.LET(
    _xlpm.isObject, _xlfn.XLOOKUP($Q256,'EA-Fortescue_SDExport'!A:A,'EA-Fortescue_SDExport'!B:B),
    _xlpm.lookupKey, IF(_xlpm.isObject="Object",
        _xlfn.XLOOKUP($A256,'EA-ConnectorExport'!A:A,'EA-ConnectorExport'!D:D),
        $Q256
    ),
    _xlpm.result, _xlfn.XLOOKUP(_xlpm.lookupKey,'EA-Fortescue_SDExport'!A:A,'EA-Fortescue_SDExport'!AG:AG),
    IF(_xlpm.result=0,"",_xlpm.result)
)</f>
        <v/>
      </c>
      <c r="Y256" s="2" t="str">
        <f>_xlfn.LET(
    _xlpm.status, _xlfn.XLOOKUP($A256,'EA-ConnectorExport'!$A:$A,'EA-ConnectorExport'!G:G),
    _xlpm.result, _xlfn.XLOOKUP($A256,'EA-ConnectorExport'!$A:$A,'EA-ConnectorExport'!H:H),
    IF(_xlpm.status="allocate", _xlpm.result, "")
)</f>
        <v>855DC-1543-PPC Pit Power Capacity Planning Tool - Capacity Check</v>
      </c>
      <c r="Z256" s="2" t="str">
        <f>_xlfn.LET(
    _xlpm.isObject, _xlfn.XLOOKUP($Y256,'EA-Fortescue_SDExport'!A:A,'EA-Fortescue_SDExport'!B:B),
    _xlpm.lookupKey, IF(_xlpm.isObject="Object",
        _xlfn.XLOOKUP($A256,'EA-ConnectorExport'!A:A,'EA-ConnectorExport'!J:J),
        $Y256
    ),
    _xlpm.result, _xlfn.XLOOKUP(_xlpm.lookupKey,'EA-Fortescue_SDExport'!A:A,'EA-Fortescue_SDExport'!AA:AA),
    IF(_xlpm.result=0,"",_xlpm.result)
)</f>
        <v>Project</v>
      </c>
      <c r="AA256" s="2" t="str">
        <f>_xlfn.LET(_xlpm.result, _xlfn.XLOOKUP($Y256,'EA-Fortescue_SDExport'!$A:$A,'EA-Fortescue_SDExport'!AB:AB), IF(_xlpm.result=0,"",_xlpm.result))</f>
        <v>Operations Planning</v>
      </c>
      <c r="AB256" s="2" t="str">
        <f>_xlfn.LET(_xlpm.result, _xlfn.XLOOKUP($Y256,'EA-Fortescue_SDExport'!$A:$A,'EA-Fortescue_SDExport'!AC:AC), IF(_xlpm.result=0,"",_xlpm.result))</f>
        <v>AWS Fortescue Infrastructure</v>
      </c>
      <c r="AC256" s="2" t="str">
        <f>_xlfn.LET(
    _xlpm.isObject, _xlfn.XLOOKUP($Y256,'EA-Fortescue_SDExport'!A:A,'EA-Fortescue_SDExport'!B:B),
    _xlpm.lookupKey, IF(_xlpm.isObject="Object",
        _xlfn.XLOOKUP($A256,'EA-ConnectorExport'!A:A,'EA-ConnectorExport'!J:J),
        $Y256
    ),
    _xlpm.result, _xlfn.XLOOKUP(_xlpm.lookupKey,'EA-Fortescue_SDExport'!A:A,'EA-Fortescue_SDExport'!AD:AD),
    IF(_xlpm.result=0,"",_xlpm.result)
)</f>
        <v>855DC Decarb Green Systems</v>
      </c>
      <c r="AD256" s="2" t="str">
        <f>_xlfn.LET(
    _xlpm.isObject, _xlfn.XLOOKUP($Y256,'EA-Fortescue_SDExport'!A:A,'EA-Fortescue_SDExport'!B:B),
    _xlpm.lookupKey, IF(_xlpm.isObject="Object",
        _xlfn.XLOOKUP($A256,'EA-ConnectorExport'!A:A,'EA-ConnectorExport'!J:J),
        $Y256
    ),
    _xlpm.result, _xlfn.XLOOKUP(_xlpm.lookupKey,'EA-Fortescue_SDExport'!A:A,'EA-Fortescue_SDExport'!AE:AE),
    IF(_xlpm.result=0,"",_xlpm.result)
)</f>
        <v/>
      </c>
      <c r="AE256" s="2" t="str">
        <f>_xlfn.LET(
    _xlpm.isObject, _xlfn.XLOOKUP($Y256,'EA-Fortescue_SDExport'!A:A,'EA-Fortescue_SDExport'!B:B),
    _xlpm.lookupKey, IF(_xlpm.isObject="Object",
        _xlfn.XLOOKUP($A256,'EA-ConnectorExport'!A:A,'EA-ConnectorExport'!J:J),
        $Y256
    ),
    _xlpm.result, _xlfn.XLOOKUP(_xlpm.lookupKey,'EA-Fortescue_SDExport'!A:A,'EA-Fortescue_SDExport'!AF:AF),
    IF(_xlpm.result=0,"",_xlpm.result)
)</f>
        <v>855DC-1543-PPC Pit Power Capacity Planning Tool - Capacity Check</v>
      </c>
      <c r="AF256" s="2" t="str">
        <f>_xlfn.LET(
    _xlpm.isObject, _xlfn.XLOOKUP($Y256,'EA-Fortescue_SDExport'!A:A,'EA-Fortescue_SDExport'!B:B),
    _xlpm.lookupKey, IF(_xlpm.isObject="Object",
        _xlfn.XLOOKUP($A256,'EA-ConnectorExport'!A:A,'EA-ConnectorExport'!J:J),
        $Y256
    ),
    _xlpm.result, _xlfn.XLOOKUP(_xlpm.lookupKey,'EA-Fortescue_SDExport'!A:A,'EA-Fortescue_SDExport'!AG:AG),
    IF(_xlpm.result=0,"",_xlpm.result)
)</f>
        <v/>
      </c>
    </row>
    <row r="257" spans="1:32" ht="240" x14ac:dyDescent="0.25">
      <c r="A257" s="2" t="str">
        <v>DGS-I_0256</v>
      </c>
      <c r="B257" s="2" t="str">
        <f t="shared" si="12"/>
        <v>Solomon Mine Hub: Sub Kiosks|855DC-1543-PPC Pit Power Capacity Planning Tool - Capacity Check</v>
      </c>
      <c r="C257" s="2" t="str">
        <f>_xlfn.LET(_xlpm.result, _xlfn.XLOOKUP(A257,'EA-Fortescue_SDExport'!A:A,'EA-Fortescue_SDExport'!AM:AM), IF(_xlpm.result=0,"",_xlpm.result))</f>
        <v/>
      </c>
      <c r="D257" s="2" t="str">
        <f>_xlfn.LET(_xlpm.result, _xlfn.XLOOKUP(A257,'EA-Fortescue_SDExport'!A:A,'EA-Fortescue_SDExport'!AN:AN), IF(_xlpm.result=0,"",_xlpm.result))</f>
        <v/>
      </c>
      <c r="E257" s="2" t="str">
        <f>_xlfn.XLOOKUP(R257&amp;Z257,Lookups!A:A,Lookups!B:B)</f>
        <v>System - Project Interface</v>
      </c>
      <c r="F257" s="2" t="str">
        <f>_xlfn.LET(_xlpm.result, _xlfn.XLOOKUP(A257,'EA-Fortescue_SDExport'!A:A,'EA-Fortescue_SDExport'!AP:AP), IF(_xlpm.result=0,"",_xlpm.result))</f>
        <v/>
      </c>
      <c r="G257" s="2" t="str">
        <f>IF(OR(AND(T257&lt;&gt;"", COUNTIF(Lookups!J:J, "*"&amp;T257&amp;"*")&gt;0), AND(AB257&lt;&gt;"", COUNTIF(Lookups!J:J, "*"&amp;AB257&amp;"*")&gt;0)), "Yes", "No")</f>
        <v>Yes</v>
      </c>
      <c r="H257" s="2" t="str">
        <f t="shared" si="13"/>
        <v>850DC Decarb Infrastructure|855DC Decarb Green Systems</v>
      </c>
      <c r="I257" s="2" t="str">
        <f t="shared" si="14"/>
        <v>850DC-1523 Sub Kiosks|N/A</v>
      </c>
      <c r="J257" s="2" t="str">
        <f t="shared" si="15"/>
        <v>N/A|855DC-1543-PPC Pit Power Capacity Planning Tool - Capacity Check</v>
      </c>
      <c r="K257" s="2" t="str">
        <f>_xlfn.XLOOKUP(A257,'EA-Fortescue_SDExport'!A:A,'EA-Fortescue_SDExport'!N:N)</f>
        <v>Proposed</v>
      </c>
      <c r="L257" s="2" t="str">
        <f>_xlfn.LET(_xlpm.result, _xlfn.XLOOKUP($A257,'EA-Fortescue_SDExport'!$A:$A,'EA-Fortescue_SDExport'!AQ:AQ), IF(_xlpm.result=0,"",_xlpm.result))</f>
        <v/>
      </c>
      <c r="M257" s="2" t="str">
        <f>_xlfn.LET(_xlpm.result, _xlfn.XLOOKUP($A257,'EA-Fortescue_SDExport'!$A:$A,'EA-Fortescue_SDExport'!AR:AR), IF(_xlpm.result=0,"",_xlpm.result))</f>
        <v/>
      </c>
      <c r="N257" s="2" t="str">
        <f>_xlfn.LET(_xlpm.result, _xlfn.XLOOKUP($A257,'EA-Fortescue_SDExport'!$A:$A,'EA-Fortescue_SDExport'!AW:AW), IF(_xlpm.result=0,"",_xlpm.result))</f>
        <v/>
      </c>
      <c r="O257" s="2" t="str">
        <f>_xlfn.LET(_xlpm.result, _xlfn.XLOOKUP($A257,'EA-Fortescue_SDExport'!$A:$A,'EA-Fortescue_SDExport'!AV:AV), IF(_xlpm.result=0,"",_xlpm.result))</f>
        <v/>
      </c>
      <c r="P257" s="2" t="str">
        <f>_xlfn.LET(_xlpm.result, _xlfn.XLOOKUP($A257,'EA-Fortescue_SDExport'!$A:$A,'EA-Fortescue_SDExport'!D:D),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57" s="2" t="str">
        <f>_xlfn.LET(
    _xlpm.status, _xlfn.XLOOKUP($A257,'EA-ConnectorExport'!$A:$A,'EA-ConnectorExport'!G:G),
    _xlpm.result, _xlfn.XLOOKUP($A257,'EA-ConnectorExport'!$A:$A,'EA-ConnectorExport'!B:B),
    IF(_xlpm.status="allocate", _xlpm.result, "")
)</f>
        <v>Solomon Mine Hub: Sub Kiosks</v>
      </c>
      <c r="R257" s="2" t="str">
        <f>IF(
    _xlfn.XLOOKUP($Q257,'EA-Fortescue_SDExport'!A:A,'EA-Fortescue_SDExport'!B:B)="Object",
    _xlfn.XLOOKUP(
        _xlfn.XLOOKUP($A257,'EA-ConnectorExport'!A:A,'EA-ConnectorExport'!D:D),
        'EA-Fortescue_SDExport'!A:A,
        'EA-Fortescue_SDExport'!AA:AA
    ),
    _xlfn.XLOOKUP($Q257,'EA-Fortescue_SDExport'!A:A,'EA-Fortescue_SDExport'!AA:AA)
)</f>
        <v>System</v>
      </c>
      <c r="S257" s="2" t="str">
        <f>_xlfn.LET(_xlpm.result, _xlfn.XLOOKUP($Q257,'EA-Fortescue_SDExport'!$A:$A,'EA-Fortescue_SDExport'!AB:AB), IF(_xlpm.result=0,"",_xlpm.result))</f>
        <v/>
      </c>
      <c r="T257" s="2" t="str">
        <f>_xlfn.LET(_xlpm.result, _xlfn.XLOOKUP($Q257,'EA-Fortescue_SDExport'!$A:$A,'EA-Fortescue_SDExport'!AC:AC), IF(_xlpm.result=0,"",_xlpm.result))</f>
        <v>Solomon Mine Hub</v>
      </c>
      <c r="U257" s="2" t="str">
        <f>_xlfn.LET(
    _xlpm.isObject, _xlfn.XLOOKUP($Q257,'EA-Fortescue_SDExport'!A:A,'EA-Fortescue_SDExport'!B:B),
    _xlpm.lookupKey, IF(_xlpm.isObject="Object",
        _xlfn.XLOOKUP($A257,'EA-ConnectorExport'!A:A,'EA-ConnectorExport'!D:D),
        $Q257
    ),
    _xlpm.result, _xlfn.XLOOKUP(_xlpm.lookupKey,'EA-Fortescue_SDExport'!A:A,'EA-Fortescue_SDExport'!AD:AD),
    IF(_xlpm.result=0,"",_xlpm.result)
)</f>
        <v>850DC Decarb Infrastructure</v>
      </c>
      <c r="V257" s="2" t="str">
        <f>_xlfn.LET(
    _xlpm.isObject, _xlfn.XLOOKUP($Q257,'EA-Fortescue_SDExport'!A:A,'EA-Fortescue_SDExport'!B:B),
    _xlpm.lookupKey, IF(_xlpm.isObject="Object",
        _xlfn.XLOOKUP($A257,'EA-ConnectorExport'!A:A,'EA-ConnectorExport'!D:D),
        $Q257
    ),
    _xlpm.result, _xlfn.XLOOKUP(_xlpm.lookupKey,'EA-Fortescue_SDExport'!A:A,'EA-Fortescue_SDExport'!AE:AE),
    IF(_xlpm.result=0,"",_xlpm.result)
)</f>
        <v>850DC-1523 Sub Kiosks</v>
      </c>
      <c r="W257" s="2" t="str">
        <f>_xlfn.LET(
    _xlpm.isObject, _xlfn.XLOOKUP($Q257,'EA-Fortescue_SDExport'!A:A,'EA-Fortescue_SDExport'!B:B),
    _xlpm.lookupKey, IF(_xlpm.isObject="Object",
        _xlfn.XLOOKUP($A257,'EA-ConnectorExport'!A:A,'EA-ConnectorExport'!D:D),
        $Q257
    ),
    _xlpm.result, _xlfn.XLOOKUP(_xlpm.lookupKey,'EA-Fortescue_SDExport'!A:A,'EA-Fortescue_SDExport'!AF:AF),
    IF(_xlpm.result=0,"",_xlpm.result)
)</f>
        <v/>
      </c>
      <c r="X257" s="2" t="str">
        <f>_xlfn.LET(
    _xlpm.isObject, _xlfn.XLOOKUP($Q257,'EA-Fortescue_SDExport'!A:A,'EA-Fortescue_SDExport'!B:B),
    _xlpm.lookupKey, IF(_xlpm.isObject="Object",
        _xlfn.XLOOKUP($A257,'EA-ConnectorExport'!A:A,'EA-ConnectorExport'!D:D),
        $Q257
    ),
    _xlpm.result, _xlfn.XLOOKUP(_xlpm.lookupKey,'EA-Fortescue_SDExport'!A:A,'EA-Fortescue_SDExport'!AG:AG),
    IF(_xlpm.result=0,"",_xlpm.result)
)</f>
        <v/>
      </c>
      <c r="Y257" s="2" t="str">
        <f>_xlfn.LET(
    _xlpm.status, _xlfn.XLOOKUP($A257,'EA-ConnectorExport'!$A:$A,'EA-ConnectorExport'!G:G),
    _xlpm.result, _xlfn.XLOOKUP($A257,'EA-ConnectorExport'!$A:$A,'EA-ConnectorExport'!H:H),
    IF(_xlpm.status="allocate", _xlpm.result, "")
)</f>
        <v>855DC-1543-PPC Pit Power Capacity Planning Tool - Capacity Check</v>
      </c>
      <c r="Z257" s="2" t="str">
        <f>_xlfn.LET(
    _xlpm.isObject, _xlfn.XLOOKUP($Y257,'EA-Fortescue_SDExport'!A:A,'EA-Fortescue_SDExport'!B:B),
    _xlpm.lookupKey, IF(_xlpm.isObject="Object",
        _xlfn.XLOOKUP($A257,'EA-ConnectorExport'!A:A,'EA-ConnectorExport'!J:J),
        $Y257
    ),
    _xlpm.result, _xlfn.XLOOKUP(_xlpm.lookupKey,'EA-Fortescue_SDExport'!A:A,'EA-Fortescue_SDExport'!AA:AA),
    IF(_xlpm.result=0,"",_xlpm.result)
)</f>
        <v>Project</v>
      </c>
      <c r="AA257" s="2" t="str">
        <f>_xlfn.LET(_xlpm.result, _xlfn.XLOOKUP($Y257,'EA-Fortescue_SDExport'!$A:$A,'EA-Fortescue_SDExport'!AB:AB), IF(_xlpm.result=0,"",_xlpm.result))</f>
        <v>Operations Planning</v>
      </c>
      <c r="AB257" s="2" t="str">
        <f>_xlfn.LET(_xlpm.result, _xlfn.XLOOKUP($Y257,'EA-Fortescue_SDExport'!$A:$A,'EA-Fortescue_SDExport'!AC:AC), IF(_xlpm.result=0,"",_xlpm.result))</f>
        <v>AWS Fortescue Infrastructure</v>
      </c>
      <c r="AC257" s="2" t="str">
        <f>_xlfn.LET(
    _xlpm.isObject, _xlfn.XLOOKUP($Y257,'EA-Fortescue_SDExport'!A:A,'EA-Fortescue_SDExport'!B:B),
    _xlpm.lookupKey, IF(_xlpm.isObject="Object",
        _xlfn.XLOOKUP($A257,'EA-ConnectorExport'!A:A,'EA-ConnectorExport'!J:J),
        $Y257
    ),
    _xlpm.result, _xlfn.XLOOKUP(_xlpm.lookupKey,'EA-Fortescue_SDExport'!A:A,'EA-Fortescue_SDExport'!AD:AD),
    IF(_xlpm.result=0,"",_xlpm.result)
)</f>
        <v>855DC Decarb Green Systems</v>
      </c>
      <c r="AD257" s="2" t="str">
        <f>_xlfn.LET(
    _xlpm.isObject, _xlfn.XLOOKUP($Y257,'EA-Fortescue_SDExport'!A:A,'EA-Fortescue_SDExport'!B:B),
    _xlpm.lookupKey, IF(_xlpm.isObject="Object",
        _xlfn.XLOOKUP($A257,'EA-ConnectorExport'!A:A,'EA-ConnectorExport'!J:J),
        $Y257
    ),
    _xlpm.result, _xlfn.XLOOKUP(_xlpm.lookupKey,'EA-Fortescue_SDExport'!A:A,'EA-Fortescue_SDExport'!AE:AE),
    IF(_xlpm.result=0,"",_xlpm.result)
)</f>
        <v/>
      </c>
      <c r="AE257" s="2" t="str">
        <f>_xlfn.LET(
    _xlpm.isObject, _xlfn.XLOOKUP($Y257,'EA-Fortescue_SDExport'!A:A,'EA-Fortescue_SDExport'!B:B),
    _xlpm.lookupKey, IF(_xlpm.isObject="Object",
        _xlfn.XLOOKUP($A257,'EA-ConnectorExport'!A:A,'EA-ConnectorExport'!J:J),
        $Y257
    ),
    _xlpm.result, _xlfn.XLOOKUP(_xlpm.lookupKey,'EA-Fortescue_SDExport'!A:A,'EA-Fortescue_SDExport'!AF:AF),
    IF(_xlpm.result=0,"",_xlpm.result)
)</f>
        <v>855DC-1543-PPC Pit Power Capacity Planning Tool - Capacity Check</v>
      </c>
      <c r="AF257" s="2" t="str">
        <f>_xlfn.LET(
    _xlpm.isObject, _xlfn.XLOOKUP($Y257,'EA-Fortescue_SDExport'!A:A,'EA-Fortescue_SDExport'!B:B),
    _xlpm.lookupKey, IF(_xlpm.isObject="Object",
        _xlfn.XLOOKUP($A257,'EA-ConnectorExport'!A:A,'EA-ConnectorExport'!J:J),
        $Y257
    ),
    _xlpm.result, _xlfn.XLOOKUP(_xlpm.lookupKey,'EA-Fortescue_SDExport'!A:A,'EA-Fortescue_SDExport'!AG:AG),
    IF(_xlpm.result=0,"",_xlpm.result)
)</f>
        <v/>
      </c>
    </row>
    <row r="258" spans="1:32" ht="45" x14ac:dyDescent="0.25">
      <c r="A258" s="2" t="str">
        <v>DGS-I_0257</v>
      </c>
      <c r="B258" s="2" t="str">
        <f t="shared" si="12"/>
        <v>Solomon Mine Hub: Sub Kiosks|Solomon Mine Hub: CCTV</v>
      </c>
      <c r="C258" s="2" t="str">
        <f>_xlfn.LET(_xlpm.result, _xlfn.XLOOKUP(A258,'EA-Fortescue_SDExport'!A:A,'EA-Fortescue_SDExport'!AM:AM), IF(_xlpm.result=0,"",_xlpm.result))</f>
        <v/>
      </c>
      <c r="D258" s="2" t="str">
        <f>_xlfn.LET(_xlpm.result, _xlfn.XLOOKUP(A258,'EA-Fortescue_SDExport'!A:A,'EA-Fortescue_SDExport'!AN:AN), IF(_xlpm.result=0,"",_xlpm.result))</f>
        <v/>
      </c>
      <c r="E258" s="2" t="str">
        <f>_xlfn.XLOOKUP(R258&amp;Z258,Lookups!A:A,Lookups!B:B)</f>
        <v>System - System Interface</v>
      </c>
      <c r="F258" s="2" t="str">
        <f>_xlfn.LET(_xlpm.result, _xlfn.XLOOKUP(A258,'EA-Fortescue_SDExport'!A:A,'EA-Fortescue_SDExport'!AP:AP), IF(_xlpm.result=0,"",_xlpm.result))</f>
        <v/>
      </c>
      <c r="G258" s="2" t="str">
        <f>IF(OR(AND(T258&lt;&gt;"", COUNTIF(Lookups!J:J, "*"&amp;T258&amp;"*")&gt;0), AND(AB258&lt;&gt;"", COUNTIF(Lookups!J:J, "*"&amp;AB258&amp;"*")&gt;0)), "Yes", "No")</f>
        <v>Yes</v>
      </c>
      <c r="H258" s="2" t="str">
        <f t="shared" si="13"/>
        <v>850DC Decarb Infrastructure|002OP Non-Process Infrastructure (NPI)</v>
      </c>
      <c r="I258" s="2" t="str">
        <f t="shared" si="14"/>
        <v>850DC-1523 Sub Kiosks|002OP-1800 CCTV</v>
      </c>
      <c r="J258" s="2" t="str">
        <f t="shared" si="15"/>
        <v>N/A</v>
      </c>
      <c r="K258" s="2" t="str">
        <f>_xlfn.XLOOKUP(A258,'EA-Fortescue_SDExport'!A:A,'EA-Fortescue_SDExport'!N:N)</f>
        <v>Proposed</v>
      </c>
      <c r="L258" s="2" t="str">
        <f>_xlfn.LET(_xlpm.result, _xlfn.XLOOKUP($A258,'EA-Fortescue_SDExport'!$A:$A,'EA-Fortescue_SDExport'!AQ:AQ), IF(_xlpm.result=0,"",_xlpm.result))</f>
        <v/>
      </c>
      <c r="M258" s="2" t="str">
        <f>_xlfn.LET(_xlpm.result, _xlfn.XLOOKUP($A258,'EA-Fortescue_SDExport'!$A:$A,'EA-Fortescue_SDExport'!AR:AR), IF(_xlpm.result=0,"",_xlpm.result))</f>
        <v/>
      </c>
      <c r="N258" s="2" t="str">
        <f>_xlfn.LET(_xlpm.result, _xlfn.XLOOKUP($A258,'EA-Fortescue_SDExport'!$A:$A,'EA-Fortescue_SDExport'!AW:AW), IF(_xlpm.result=0,"",_xlpm.result))</f>
        <v/>
      </c>
      <c r="O258" s="2" t="str">
        <f>_xlfn.LET(_xlpm.result, _xlfn.XLOOKUP($A258,'EA-Fortescue_SDExport'!$A:$A,'EA-Fortescue_SDExport'!AV:AV), IF(_xlpm.result=0,"",_xlpm.result))</f>
        <v/>
      </c>
      <c r="P258" s="2" t="str">
        <f>_xlfn.LET(_xlpm.result, _xlfn.XLOOKUP($A258,'EA-Fortescue_SDExport'!$A:$A,'EA-Fortescue_SDExport'!D:D), IF(_xlpm.result=0,"",_xlpm.result))</f>
        <v/>
      </c>
      <c r="Q258" s="2" t="str">
        <f>_xlfn.LET(
    _xlpm.status, _xlfn.XLOOKUP($A258,'EA-ConnectorExport'!$A:$A,'EA-ConnectorExport'!G:G),
    _xlpm.result, _xlfn.XLOOKUP($A258,'EA-ConnectorExport'!$A:$A,'EA-ConnectorExport'!B:B),
    IF(_xlpm.status="allocate", _xlpm.result, "")
)</f>
        <v>Solomon Mine Hub: Sub Kiosks</v>
      </c>
      <c r="R258" s="2" t="str">
        <f>IF(
    _xlfn.XLOOKUP($Q258,'EA-Fortescue_SDExport'!A:A,'EA-Fortescue_SDExport'!B:B)="Object",
    _xlfn.XLOOKUP(
        _xlfn.XLOOKUP($A258,'EA-ConnectorExport'!A:A,'EA-ConnectorExport'!D:D),
        'EA-Fortescue_SDExport'!A:A,
        'EA-Fortescue_SDExport'!AA:AA
    ),
    _xlfn.XLOOKUP($Q258,'EA-Fortescue_SDExport'!A:A,'EA-Fortescue_SDExport'!AA:AA)
)</f>
        <v>System</v>
      </c>
      <c r="S258" s="2" t="str">
        <f>_xlfn.LET(_xlpm.result, _xlfn.XLOOKUP($Q258,'EA-Fortescue_SDExport'!$A:$A,'EA-Fortescue_SDExport'!AB:AB), IF(_xlpm.result=0,"",_xlpm.result))</f>
        <v/>
      </c>
      <c r="T258" s="2" t="str">
        <f>_xlfn.LET(_xlpm.result, _xlfn.XLOOKUP($Q258,'EA-Fortescue_SDExport'!$A:$A,'EA-Fortescue_SDExport'!AC:AC), IF(_xlpm.result=0,"",_xlpm.result))</f>
        <v>Solomon Mine Hub</v>
      </c>
      <c r="U258" s="2" t="str">
        <f>_xlfn.LET(
    _xlpm.isObject, _xlfn.XLOOKUP($Q258,'EA-Fortescue_SDExport'!A:A,'EA-Fortescue_SDExport'!B:B),
    _xlpm.lookupKey, IF(_xlpm.isObject="Object",
        _xlfn.XLOOKUP($A258,'EA-ConnectorExport'!A:A,'EA-ConnectorExport'!D:D),
        $Q258
    ),
    _xlpm.result, _xlfn.XLOOKUP(_xlpm.lookupKey,'EA-Fortescue_SDExport'!A:A,'EA-Fortescue_SDExport'!AD:AD),
    IF(_xlpm.result=0,"",_xlpm.result)
)</f>
        <v>850DC Decarb Infrastructure</v>
      </c>
      <c r="V258" s="2" t="str">
        <f>_xlfn.LET(
    _xlpm.isObject, _xlfn.XLOOKUP($Q258,'EA-Fortescue_SDExport'!A:A,'EA-Fortescue_SDExport'!B:B),
    _xlpm.lookupKey, IF(_xlpm.isObject="Object",
        _xlfn.XLOOKUP($A258,'EA-ConnectorExport'!A:A,'EA-ConnectorExport'!D:D),
        $Q258
    ),
    _xlpm.result, _xlfn.XLOOKUP(_xlpm.lookupKey,'EA-Fortescue_SDExport'!A:A,'EA-Fortescue_SDExport'!AE:AE),
    IF(_xlpm.result=0,"",_xlpm.result)
)</f>
        <v>850DC-1523 Sub Kiosks</v>
      </c>
      <c r="W258" s="2" t="str">
        <f>_xlfn.LET(
    _xlpm.isObject, _xlfn.XLOOKUP($Q258,'EA-Fortescue_SDExport'!A:A,'EA-Fortescue_SDExport'!B:B),
    _xlpm.lookupKey, IF(_xlpm.isObject="Object",
        _xlfn.XLOOKUP($A258,'EA-ConnectorExport'!A:A,'EA-ConnectorExport'!D:D),
        $Q258
    ),
    _xlpm.result, _xlfn.XLOOKUP(_xlpm.lookupKey,'EA-Fortescue_SDExport'!A:A,'EA-Fortescue_SDExport'!AF:AF),
    IF(_xlpm.result=0,"",_xlpm.result)
)</f>
        <v/>
      </c>
      <c r="X258" s="2" t="str">
        <f>_xlfn.LET(
    _xlpm.isObject, _xlfn.XLOOKUP($Q258,'EA-Fortescue_SDExport'!A:A,'EA-Fortescue_SDExport'!B:B),
    _xlpm.lookupKey, IF(_xlpm.isObject="Object",
        _xlfn.XLOOKUP($A258,'EA-ConnectorExport'!A:A,'EA-ConnectorExport'!D:D),
        $Q258
    ),
    _xlpm.result, _xlfn.XLOOKUP(_xlpm.lookupKey,'EA-Fortescue_SDExport'!A:A,'EA-Fortescue_SDExport'!AG:AG),
    IF(_xlpm.result=0,"",_xlpm.result)
)</f>
        <v/>
      </c>
      <c r="Y258" s="2" t="str">
        <f>_xlfn.LET(
    _xlpm.status, _xlfn.XLOOKUP($A258,'EA-ConnectorExport'!$A:$A,'EA-ConnectorExport'!G:G),
    _xlpm.result, _xlfn.XLOOKUP($A258,'EA-ConnectorExport'!$A:$A,'EA-ConnectorExport'!H:H),
    IF(_xlpm.status="allocate", _xlpm.result, "")
)</f>
        <v>Solomon Mine Hub: CCTV</v>
      </c>
      <c r="Z258" s="2" t="str">
        <f>_xlfn.LET(
    _xlpm.isObject, _xlfn.XLOOKUP($Y258,'EA-Fortescue_SDExport'!A:A,'EA-Fortescue_SDExport'!B:B),
    _xlpm.lookupKey, IF(_xlpm.isObject="Object",
        _xlfn.XLOOKUP($A258,'EA-ConnectorExport'!A:A,'EA-ConnectorExport'!J:J),
        $Y258
    ),
    _xlpm.result, _xlfn.XLOOKUP(_xlpm.lookupKey,'EA-Fortescue_SDExport'!A:A,'EA-Fortescue_SDExport'!AA:AA),
    IF(_xlpm.result=0,"",_xlpm.result)
)</f>
        <v>System</v>
      </c>
      <c r="AA258" s="2" t="str">
        <f>_xlfn.LET(_xlpm.result, _xlfn.XLOOKUP($Y258,'EA-Fortescue_SDExport'!$A:$A,'EA-Fortescue_SDExport'!AB:AB), IF(_xlpm.result=0,"",_xlpm.result))</f>
        <v/>
      </c>
      <c r="AB258" s="2" t="str">
        <f>_xlfn.LET(_xlpm.result, _xlfn.XLOOKUP($Y258,'EA-Fortescue_SDExport'!$A:$A,'EA-Fortescue_SDExport'!AC:AC), IF(_xlpm.result=0,"",_xlpm.result))</f>
        <v>Solomon Mine Hub</v>
      </c>
      <c r="AC258" s="2" t="str">
        <f>_xlfn.LET(
    _xlpm.isObject, _xlfn.XLOOKUP($Y258,'EA-Fortescue_SDExport'!A:A,'EA-Fortescue_SDExport'!B:B),
    _xlpm.lookupKey, IF(_xlpm.isObject="Object",
        _xlfn.XLOOKUP($A258,'EA-ConnectorExport'!A:A,'EA-ConnectorExport'!J:J),
        $Y258
    ),
    _xlpm.result, _xlfn.XLOOKUP(_xlpm.lookupKey,'EA-Fortescue_SDExport'!A:A,'EA-Fortescue_SDExport'!AD:AD),
    IF(_xlpm.result=0,"",_xlpm.result)
)</f>
        <v>002OP Non-Process Infrastructure (NPI)</v>
      </c>
      <c r="AD258" s="2" t="str">
        <f>_xlfn.LET(
    _xlpm.isObject, _xlfn.XLOOKUP($Y258,'EA-Fortescue_SDExport'!A:A,'EA-Fortescue_SDExport'!B:B),
    _xlpm.lookupKey, IF(_xlpm.isObject="Object",
        _xlfn.XLOOKUP($A258,'EA-ConnectorExport'!A:A,'EA-ConnectorExport'!J:J),
        $Y258
    ),
    _xlpm.result, _xlfn.XLOOKUP(_xlpm.lookupKey,'EA-Fortescue_SDExport'!A:A,'EA-Fortescue_SDExport'!AE:AE),
    IF(_xlpm.result=0,"",_xlpm.result)
)</f>
        <v>002OP-1800 CCTV</v>
      </c>
      <c r="AE258" s="2" t="str">
        <f>_xlfn.LET(
    _xlpm.isObject, _xlfn.XLOOKUP($Y258,'EA-Fortescue_SDExport'!A:A,'EA-Fortescue_SDExport'!B:B),
    _xlpm.lookupKey, IF(_xlpm.isObject="Object",
        _xlfn.XLOOKUP($A258,'EA-ConnectorExport'!A:A,'EA-ConnectorExport'!J:J),
        $Y258
    ),
    _xlpm.result, _xlfn.XLOOKUP(_xlpm.lookupKey,'EA-Fortescue_SDExport'!A:A,'EA-Fortescue_SDExport'!AF:AF),
    IF(_xlpm.result=0,"",_xlpm.result)
)</f>
        <v/>
      </c>
      <c r="AF258" s="2" t="str">
        <f>_xlfn.LET(
    _xlpm.isObject, _xlfn.XLOOKUP($Y258,'EA-Fortescue_SDExport'!A:A,'EA-Fortescue_SDExport'!B:B),
    _xlpm.lookupKey, IF(_xlpm.isObject="Object",
        _xlfn.XLOOKUP($A258,'EA-ConnectorExport'!A:A,'EA-ConnectorExport'!J:J),
        $Y258
    ),
    _xlpm.result, _xlfn.XLOOKUP(_xlpm.lookupKey,'EA-Fortescue_SDExport'!A:A,'EA-Fortescue_SDExport'!AG:AG),
    IF(_xlpm.result=0,"",_xlpm.result)
)</f>
        <v/>
      </c>
    </row>
    <row r="259" spans="1:32" ht="30" x14ac:dyDescent="0.25">
      <c r="A259" s="2" t="str">
        <v>DGS-I_0258</v>
      </c>
      <c r="B259" s="2" t="str">
        <f t="shared" ref="B259:B322" si="16">Q259 &amp; "|" &amp; Y259</f>
        <v>Solomon Mine Hub: Sub Kiosks|Solomon Mine Hub: Trailing Cable</v>
      </c>
      <c r="C259" s="2" t="str">
        <f>_xlfn.LET(_xlpm.result, _xlfn.XLOOKUP(A259,'EA-Fortescue_SDExport'!A:A,'EA-Fortescue_SDExport'!AM:AM), IF(_xlpm.result=0,"",_xlpm.result))</f>
        <v/>
      </c>
      <c r="D259" s="2" t="str">
        <f>_xlfn.LET(_xlpm.result, _xlfn.XLOOKUP(A259,'EA-Fortescue_SDExport'!A:A,'EA-Fortescue_SDExport'!AN:AN), IF(_xlpm.result=0,"",_xlpm.result))</f>
        <v/>
      </c>
      <c r="E259" s="2" t="str">
        <f>_xlfn.XLOOKUP(R259&amp;Z259,Lookups!A:A,Lookups!B:B)</f>
        <v>System - System Interface</v>
      </c>
      <c r="F259" s="2" t="str">
        <f>_xlfn.LET(_xlpm.result, _xlfn.XLOOKUP(A259,'EA-Fortescue_SDExport'!A:A,'EA-Fortescue_SDExport'!AP:AP), IF(_xlpm.result=0,"",_xlpm.result))</f>
        <v/>
      </c>
      <c r="G259" s="2" t="str">
        <f>IF(OR(AND(T259&lt;&gt;"", COUNTIF(Lookups!J:J, "*"&amp;T259&amp;"*")&gt;0), AND(AB259&lt;&gt;"", COUNTIF(Lookups!J:J, "*"&amp;AB259&amp;"*")&gt;0)), "Yes", "No")</f>
        <v>Yes</v>
      </c>
      <c r="H259" s="2" t="str">
        <f t="shared" ref="H259:H322" si="17">IF(AND(U259="",AC259=""),"N/A",IF(U259="", "N/A|" &amp; AC259, IF(AC259="", U259 &amp; "|N/A", U259 &amp; "|" &amp; AC259)))</f>
        <v>850DC Decarb Infrastructure|850DC Decarb Infrastructure</v>
      </c>
      <c r="I259" s="2" t="str">
        <f t="shared" ref="I259:I322" si="18">IF(AND(V259="",AD259=""),"N/A",IF(V259="","N/A|" &amp; AD259,IF(AD259="",V259 &amp; "|N/A",V259 &amp; "|" &amp; AD259)))</f>
        <v>850DC-1523 Sub Kiosks|850DC-1520 Trailing Cable</v>
      </c>
      <c r="J259" s="2" t="str">
        <f t="shared" ref="J259:J322" si="19">IF(AND(W259="",AE259=""),"N/A",IF(W259="","N/A|" &amp; AE259,IF(AE259="",W259 &amp; "|N/A",W259 &amp; "|" &amp; AE259)))</f>
        <v>N/A</v>
      </c>
      <c r="K259" s="2" t="str">
        <f>_xlfn.XLOOKUP(A259,'EA-Fortescue_SDExport'!A:A,'EA-Fortescue_SDExport'!N:N)</f>
        <v>Proposed</v>
      </c>
      <c r="L259" s="2" t="str">
        <f>_xlfn.LET(_xlpm.result, _xlfn.XLOOKUP($A259,'EA-Fortescue_SDExport'!$A:$A,'EA-Fortescue_SDExport'!AQ:AQ), IF(_xlpm.result=0,"",_xlpm.result))</f>
        <v/>
      </c>
      <c r="M259" s="2" t="str">
        <f>_xlfn.LET(_xlpm.result, _xlfn.XLOOKUP($A259,'EA-Fortescue_SDExport'!$A:$A,'EA-Fortescue_SDExport'!AR:AR), IF(_xlpm.result=0,"",_xlpm.result))</f>
        <v/>
      </c>
      <c r="N259" s="2" t="str">
        <f>_xlfn.LET(_xlpm.result, _xlfn.XLOOKUP($A259,'EA-Fortescue_SDExport'!$A:$A,'EA-Fortescue_SDExport'!AW:AW), IF(_xlpm.result=0,"",_xlpm.result))</f>
        <v/>
      </c>
      <c r="O259" s="2" t="str">
        <f>_xlfn.LET(_xlpm.result, _xlfn.XLOOKUP($A259,'EA-Fortescue_SDExport'!$A:$A,'EA-Fortescue_SDExport'!AV:AV), IF(_xlpm.result=0,"",_xlpm.result))</f>
        <v/>
      </c>
      <c r="P259" s="2" t="str">
        <f>_xlfn.LET(_xlpm.result, _xlfn.XLOOKUP($A259,'EA-Fortescue_SDExport'!$A:$A,'EA-Fortescue_SDExport'!D:D), IF(_xlpm.result=0,"",_xlpm.result))</f>
        <v/>
      </c>
      <c r="Q259" s="2" t="str">
        <f>_xlfn.LET(
    _xlpm.status, _xlfn.XLOOKUP($A259,'EA-ConnectorExport'!$A:$A,'EA-ConnectorExport'!G:G),
    _xlpm.result, _xlfn.XLOOKUP($A259,'EA-ConnectorExport'!$A:$A,'EA-ConnectorExport'!B:B),
    IF(_xlpm.status="allocate", _xlpm.result, "")
)</f>
        <v>Solomon Mine Hub: Sub Kiosks</v>
      </c>
      <c r="R259" s="2" t="str">
        <f>IF(
    _xlfn.XLOOKUP($Q259,'EA-Fortescue_SDExport'!A:A,'EA-Fortescue_SDExport'!B:B)="Object",
    _xlfn.XLOOKUP(
        _xlfn.XLOOKUP($A259,'EA-ConnectorExport'!A:A,'EA-ConnectorExport'!D:D),
        'EA-Fortescue_SDExport'!A:A,
        'EA-Fortescue_SDExport'!AA:AA
    ),
    _xlfn.XLOOKUP($Q259,'EA-Fortescue_SDExport'!A:A,'EA-Fortescue_SDExport'!AA:AA)
)</f>
        <v>System</v>
      </c>
      <c r="S259" s="2" t="str">
        <f>_xlfn.LET(_xlpm.result, _xlfn.XLOOKUP($Q259,'EA-Fortescue_SDExport'!$A:$A,'EA-Fortescue_SDExport'!AB:AB), IF(_xlpm.result=0,"",_xlpm.result))</f>
        <v/>
      </c>
      <c r="T259" s="2" t="str">
        <f>_xlfn.LET(_xlpm.result, _xlfn.XLOOKUP($Q259,'EA-Fortescue_SDExport'!$A:$A,'EA-Fortescue_SDExport'!AC:AC), IF(_xlpm.result=0,"",_xlpm.result))</f>
        <v>Solomon Mine Hub</v>
      </c>
      <c r="U259" s="2" t="str">
        <f>_xlfn.LET(
    _xlpm.isObject, _xlfn.XLOOKUP($Q259,'EA-Fortescue_SDExport'!A:A,'EA-Fortescue_SDExport'!B:B),
    _xlpm.lookupKey, IF(_xlpm.isObject="Object",
        _xlfn.XLOOKUP($A259,'EA-ConnectorExport'!A:A,'EA-ConnectorExport'!D:D),
        $Q259
    ),
    _xlpm.result, _xlfn.XLOOKUP(_xlpm.lookupKey,'EA-Fortescue_SDExport'!A:A,'EA-Fortescue_SDExport'!AD:AD),
    IF(_xlpm.result=0,"",_xlpm.result)
)</f>
        <v>850DC Decarb Infrastructure</v>
      </c>
      <c r="V259" s="2" t="str">
        <f>_xlfn.LET(
    _xlpm.isObject, _xlfn.XLOOKUP($Q259,'EA-Fortescue_SDExport'!A:A,'EA-Fortescue_SDExport'!B:B),
    _xlpm.lookupKey, IF(_xlpm.isObject="Object",
        _xlfn.XLOOKUP($A259,'EA-ConnectorExport'!A:A,'EA-ConnectorExport'!D:D),
        $Q259
    ),
    _xlpm.result, _xlfn.XLOOKUP(_xlpm.lookupKey,'EA-Fortescue_SDExport'!A:A,'EA-Fortescue_SDExport'!AE:AE),
    IF(_xlpm.result=0,"",_xlpm.result)
)</f>
        <v>850DC-1523 Sub Kiosks</v>
      </c>
      <c r="W259" s="2" t="str">
        <f>_xlfn.LET(
    _xlpm.isObject, _xlfn.XLOOKUP($Q259,'EA-Fortescue_SDExport'!A:A,'EA-Fortescue_SDExport'!B:B),
    _xlpm.lookupKey, IF(_xlpm.isObject="Object",
        _xlfn.XLOOKUP($A259,'EA-ConnectorExport'!A:A,'EA-ConnectorExport'!D:D),
        $Q259
    ),
    _xlpm.result, _xlfn.XLOOKUP(_xlpm.lookupKey,'EA-Fortescue_SDExport'!A:A,'EA-Fortescue_SDExport'!AF:AF),
    IF(_xlpm.result=0,"",_xlpm.result)
)</f>
        <v/>
      </c>
      <c r="X259" s="2" t="str">
        <f>_xlfn.LET(
    _xlpm.isObject, _xlfn.XLOOKUP($Q259,'EA-Fortescue_SDExport'!A:A,'EA-Fortescue_SDExport'!B:B),
    _xlpm.lookupKey, IF(_xlpm.isObject="Object",
        _xlfn.XLOOKUP($A259,'EA-ConnectorExport'!A:A,'EA-ConnectorExport'!D:D),
        $Q259
    ),
    _xlpm.result, _xlfn.XLOOKUP(_xlpm.lookupKey,'EA-Fortescue_SDExport'!A:A,'EA-Fortescue_SDExport'!AG:AG),
    IF(_xlpm.result=0,"",_xlpm.result)
)</f>
        <v/>
      </c>
      <c r="Y259" s="2" t="str">
        <f>_xlfn.LET(
    _xlpm.status, _xlfn.XLOOKUP($A259,'EA-ConnectorExport'!$A:$A,'EA-ConnectorExport'!G:G),
    _xlpm.result, _xlfn.XLOOKUP($A259,'EA-ConnectorExport'!$A:$A,'EA-ConnectorExport'!H:H),
    IF(_xlpm.status="allocate", _xlpm.result, "")
)</f>
        <v>Solomon Mine Hub: Trailing Cable</v>
      </c>
      <c r="Z259" s="2" t="str">
        <f>_xlfn.LET(
    _xlpm.isObject, _xlfn.XLOOKUP($Y259,'EA-Fortescue_SDExport'!A:A,'EA-Fortescue_SDExport'!B:B),
    _xlpm.lookupKey, IF(_xlpm.isObject="Object",
        _xlfn.XLOOKUP($A259,'EA-ConnectorExport'!A:A,'EA-ConnectorExport'!J:J),
        $Y259
    ),
    _xlpm.result, _xlfn.XLOOKUP(_xlpm.lookupKey,'EA-Fortescue_SDExport'!A:A,'EA-Fortescue_SDExport'!AA:AA),
    IF(_xlpm.result=0,"",_xlpm.result)
)</f>
        <v>System</v>
      </c>
      <c r="AA259" s="2" t="str">
        <f>_xlfn.LET(_xlpm.result, _xlfn.XLOOKUP($Y259,'EA-Fortescue_SDExport'!$A:$A,'EA-Fortescue_SDExport'!AB:AB), IF(_xlpm.result=0,"",_xlpm.result))</f>
        <v/>
      </c>
      <c r="AB259" s="2" t="str">
        <f>_xlfn.LET(_xlpm.result, _xlfn.XLOOKUP($Y259,'EA-Fortescue_SDExport'!$A:$A,'EA-Fortescue_SDExport'!AC:AC), IF(_xlpm.result=0,"",_xlpm.result))</f>
        <v>Solomon Mine Hub</v>
      </c>
      <c r="AC259" s="2" t="str">
        <f>_xlfn.LET(
    _xlpm.isObject, _xlfn.XLOOKUP($Y259,'EA-Fortescue_SDExport'!A:A,'EA-Fortescue_SDExport'!B:B),
    _xlpm.lookupKey, IF(_xlpm.isObject="Object",
        _xlfn.XLOOKUP($A259,'EA-ConnectorExport'!A:A,'EA-ConnectorExport'!J:J),
        $Y259
    ),
    _xlpm.result, _xlfn.XLOOKUP(_xlpm.lookupKey,'EA-Fortescue_SDExport'!A:A,'EA-Fortescue_SDExport'!AD:AD),
    IF(_xlpm.result=0,"",_xlpm.result)
)</f>
        <v>850DC Decarb Infrastructure</v>
      </c>
      <c r="AD259" s="2" t="str">
        <f>_xlfn.LET(
    _xlpm.isObject, _xlfn.XLOOKUP($Y259,'EA-Fortescue_SDExport'!A:A,'EA-Fortescue_SDExport'!B:B),
    _xlpm.lookupKey, IF(_xlpm.isObject="Object",
        _xlfn.XLOOKUP($A259,'EA-ConnectorExport'!A:A,'EA-ConnectorExport'!J:J),
        $Y259
    ),
    _xlpm.result, _xlfn.XLOOKUP(_xlpm.lookupKey,'EA-Fortescue_SDExport'!A:A,'EA-Fortescue_SDExport'!AE:AE),
    IF(_xlpm.result=0,"",_xlpm.result)
)</f>
        <v>850DC-1520 Trailing Cable</v>
      </c>
      <c r="AE259" s="2" t="str">
        <f>_xlfn.LET(
    _xlpm.isObject, _xlfn.XLOOKUP($Y259,'EA-Fortescue_SDExport'!A:A,'EA-Fortescue_SDExport'!B:B),
    _xlpm.lookupKey, IF(_xlpm.isObject="Object",
        _xlfn.XLOOKUP($A259,'EA-ConnectorExport'!A:A,'EA-ConnectorExport'!J:J),
        $Y259
    ),
    _xlpm.result, _xlfn.XLOOKUP(_xlpm.lookupKey,'EA-Fortescue_SDExport'!A:A,'EA-Fortescue_SDExport'!AF:AF),
    IF(_xlpm.result=0,"",_xlpm.result)
)</f>
        <v/>
      </c>
      <c r="AF259" s="2" t="str">
        <f>_xlfn.LET(
    _xlpm.isObject, _xlfn.XLOOKUP($Y259,'EA-Fortescue_SDExport'!A:A,'EA-Fortescue_SDExport'!B:B),
    _xlpm.lookupKey, IF(_xlpm.isObject="Object",
        _xlfn.XLOOKUP($A259,'EA-ConnectorExport'!A:A,'EA-ConnectorExport'!J:J),
        $Y259
    ),
    _xlpm.result, _xlfn.XLOOKUP(_xlpm.lookupKey,'EA-Fortescue_SDExport'!A:A,'EA-Fortescue_SDExport'!AG:AG),
    IF(_xlpm.result=0,"",_xlpm.result)
)</f>
        <v/>
      </c>
    </row>
    <row r="260" spans="1:32" ht="90" x14ac:dyDescent="0.25">
      <c r="A260" s="2" t="str">
        <v>DGS-I_0259</v>
      </c>
      <c r="B260" s="2" t="str">
        <f t="shared" si="16"/>
        <v>Solomon Mine Hub: CCTV|Solomon Mine Hub: AC1</v>
      </c>
      <c r="C260" s="2" t="str">
        <f>_xlfn.LET(_xlpm.result, _xlfn.XLOOKUP(A260,'EA-Fortescue_SDExport'!A:A,'EA-Fortescue_SDExport'!AM:AM), IF(_xlpm.result=0,"",_xlpm.result))</f>
        <v/>
      </c>
      <c r="D260" s="2" t="str">
        <f>_xlfn.LET(_xlpm.result, _xlfn.XLOOKUP(A260,'EA-Fortescue_SDExport'!A:A,'EA-Fortescue_SDExport'!AN:AN), IF(_xlpm.result=0,"",_xlpm.result))</f>
        <v/>
      </c>
      <c r="E260" s="2" t="str">
        <f>_xlfn.XLOOKUP(R260&amp;Z260,Lookups!A:A,Lookups!B:B)</f>
        <v>System - Subsystem Interface</v>
      </c>
      <c r="F260" s="2" t="str">
        <f>_xlfn.LET(_xlpm.result, _xlfn.XLOOKUP(A260,'EA-Fortescue_SDExport'!A:A,'EA-Fortescue_SDExport'!AP:AP), IF(_xlpm.result=0,"",_xlpm.result))</f>
        <v/>
      </c>
      <c r="G260" s="2" t="str">
        <f>IF(OR(AND(T260&lt;&gt;"", COUNTIF(Lookups!J:J, "*"&amp;T260&amp;"*")&gt;0), AND(AB260&lt;&gt;"", COUNTIF(Lookups!J:J, "*"&amp;AB260&amp;"*")&gt;0)), "Yes", "No")</f>
        <v>Yes</v>
      </c>
      <c r="H260" s="2" t="str">
        <f t="shared" si="17"/>
        <v>002OP Non-Process Infrastructure (NPI)|850DC Decarb Infrastructure</v>
      </c>
      <c r="I260" s="2" t="str">
        <f t="shared" si="18"/>
        <v>002OP-1800 CCTV|850DC-1510 Chargers</v>
      </c>
      <c r="J260" s="2" t="str">
        <f t="shared" si="19"/>
        <v>N/A|850DC-1512-0001 HME Chargers - Gen1</v>
      </c>
      <c r="K260" s="2" t="str">
        <f>_xlfn.XLOOKUP(A260,'EA-Fortescue_SDExport'!A:A,'EA-Fortescue_SDExport'!N:N)</f>
        <v>Proposed</v>
      </c>
      <c r="L260" s="2" t="str">
        <f>_xlfn.LET(_xlpm.result, _xlfn.XLOOKUP($A260,'EA-Fortescue_SDExport'!$A:$A,'EA-Fortescue_SDExport'!AQ:AQ), IF(_xlpm.result=0,"",_xlpm.result))</f>
        <v/>
      </c>
      <c r="M260" s="2" t="str">
        <f>_xlfn.LET(_xlpm.result, _xlfn.XLOOKUP($A260,'EA-Fortescue_SDExport'!$A:$A,'EA-Fortescue_SDExport'!AR:AR), IF(_xlpm.result=0,"",_xlpm.result))</f>
        <v/>
      </c>
      <c r="N260" s="2" t="str">
        <f>_xlfn.LET(_xlpm.result, _xlfn.XLOOKUP($A260,'EA-Fortescue_SDExport'!$A:$A,'EA-Fortescue_SDExport'!AW:AW), IF(_xlpm.result=0,"",_xlpm.result))</f>
        <v/>
      </c>
      <c r="O260" s="2" t="str">
        <f>_xlfn.LET(_xlpm.result, _xlfn.XLOOKUP($A260,'EA-Fortescue_SDExport'!$A:$A,'EA-Fortescue_SDExport'!AV:AV), IF(_xlpm.result=0,"",_xlpm.result))</f>
        <v/>
      </c>
      <c r="P260" s="2" t="str">
        <f>_xlfn.LET(_xlpm.result, _xlfn.XLOOKUP($A260,'EA-Fortescue_SDExport'!$A:$A,'EA-Fortescue_SDExport'!D:D), IF(_xlpm.result=0,"",_xlpm.result))</f>
        <v/>
      </c>
      <c r="Q260" s="2" t="str">
        <f>_xlfn.LET(
    _xlpm.status, _xlfn.XLOOKUP($A260,'EA-ConnectorExport'!$A:$A,'EA-ConnectorExport'!G:G),
    _xlpm.result, _xlfn.XLOOKUP($A260,'EA-ConnectorExport'!$A:$A,'EA-ConnectorExport'!B:B),
    IF(_xlpm.status="allocate", _xlpm.result, "")
)</f>
        <v>Solomon Mine Hub: CCTV</v>
      </c>
      <c r="R260" s="2" t="str">
        <f>IF(
    _xlfn.XLOOKUP($Q260,'EA-Fortescue_SDExport'!A:A,'EA-Fortescue_SDExport'!B:B)="Object",
    _xlfn.XLOOKUP(
        _xlfn.XLOOKUP($A260,'EA-ConnectorExport'!A:A,'EA-ConnectorExport'!D:D),
        'EA-Fortescue_SDExport'!A:A,
        'EA-Fortescue_SDExport'!AA:AA
    ),
    _xlfn.XLOOKUP($Q260,'EA-Fortescue_SDExport'!A:A,'EA-Fortescue_SDExport'!AA:AA)
)</f>
        <v>System</v>
      </c>
      <c r="S260" s="2" t="str">
        <f>_xlfn.LET(_xlpm.result, _xlfn.XLOOKUP($Q260,'EA-Fortescue_SDExport'!$A:$A,'EA-Fortescue_SDExport'!AB:AB), IF(_xlpm.result=0,"",_xlpm.result))</f>
        <v/>
      </c>
      <c r="T260" s="2" t="str">
        <f>_xlfn.LET(_xlpm.result, _xlfn.XLOOKUP($Q260,'EA-Fortescue_SDExport'!$A:$A,'EA-Fortescue_SDExport'!AC:AC), IF(_xlpm.result=0,"",_xlpm.result))</f>
        <v>Solomon Mine Hub</v>
      </c>
      <c r="U260" s="2" t="str">
        <f>_xlfn.LET(
    _xlpm.isObject, _xlfn.XLOOKUP($Q260,'EA-Fortescue_SDExport'!A:A,'EA-Fortescue_SDExport'!B:B),
    _xlpm.lookupKey, IF(_xlpm.isObject="Object",
        _xlfn.XLOOKUP($A260,'EA-ConnectorExport'!A:A,'EA-ConnectorExport'!D:D),
        $Q260
    ),
    _xlpm.result, _xlfn.XLOOKUP(_xlpm.lookupKey,'EA-Fortescue_SDExport'!A:A,'EA-Fortescue_SDExport'!AD:AD),
    IF(_xlpm.result=0,"",_xlpm.result)
)</f>
        <v>002OP Non-Process Infrastructure (NPI)</v>
      </c>
      <c r="V260" s="2" t="str">
        <f>_xlfn.LET(
    _xlpm.isObject, _xlfn.XLOOKUP($Q260,'EA-Fortescue_SDExport'!A:A,'EA-Fortescue_SDExport'!B:B),
    _xlpm.lookupKey, IF(_xlpm.isObject="Object",
        _xlfn.XLOOKUP($A260,'EA-ConnectorExport'!A:A,'EA-ConnectorExport'!D:D),
        $Q260
    ),
    _xlpm.result, _xlfn.XLOOKUP(_xlpm.lookupKey,'EA-Fortescue_SDExport'!A:A,'EA-Fortescue_SDExport'!AE:AE),
    IF(_xlpm.result=0,"",_xlpm.result)
)</f>
        <v>002OP-1800 CCTV</v>
      </c>
      <c r="W260" s="2" t="str">
        <f>_xlfn.LET(
    _xlpm.isObject, _xlfn.XLOOKUP($Q260,'EA-Fortescue_SDExport'!A:A,'EA-Fortescue_SDExport'!B:B),
    _xlpm.lookupKey, IF(_xlpm.isObject="Object",
        _xlfn.XLOOKUP($A260,'EA-ConnectorExport'!A:A,'EA-ConnectorExport'!D:D),
        $Q260
    ),
    _xlpm.result, _xlfn.XLOOKUP(_xlpm.lookupKey,'EA-Fortescue_SDExport'!A:A,'EA-Fortescue_SDExport'!AF:AF),
    IF(_xlpm.result=0,"",_xlpm.result)
)</f>
        <v/>
      </c>
      <c r="X260" s="2" t="str">
        <f>_xlfn.LET(
    _xlpm.isObject, _xlfn.XLOOKUP($Q260,'EA-Fortescue_SDExport'!A:A,'EA-Fortescue_SDExport'!B:B),
    _xlpm.lookupKey, IF(_xlpm.isObject="Object",
        _xlfn.XLOOKUP($A260,'EA-ConnectorExport'!A:A,'EA-ConnectorExport'!D:D),
        $Q260
    ),
    _xlpm.result, _xlfn.XLOOKUP(_xlpm.lookupKey,'EA-Fortescue_SDExport'!A:A,'EA-Fortescue_SDExport'!AG:AG),
    IF(_xlpm.result=0,"",_xlpm.result)
)</f>
        <v/>
      </c>
      <c r="Y260" s="2" t="str">
        <f>_xlfn.LET(
    _xlpm.status, _xlfn.XLOOKUP($A260,'EA-ConnectorExport'!$A:$A,'EA-ConnectorExport'!G:G),
    _xlpm.result, _xlfn.XLOOKUP($A260,'EA-ConnectorExport'!$A:$A,'EA-ConnectorExport'!H:H),
    IF(_xlpm.status="allocate", _xlpm.result, "")
)</f>
        <v>Solomon Mine Hub: AC1</v>
      </c>
      <c r="Z260" s="2" t="str">
        <f>_xlfn.LET(
    _xlpm.isObject, _xlfn.XLOOKUP($Y260,'EA-Fortescue_SDExport'!A:A,'EA-Fortescue_SDExport'!B:B),
    _xlpm.lookupKey, IF(_xlpm.isObject="Object",
        _xlfn.XLOOKUP($A260,'EA-ConnectorExport'!A:A,'EA-ConnectorExport'!J:J),
        $Y260
    ),
    _xlpm.result, _xlfn.XLOOKUP(_xlpm.lookupKey,'EA-Fortescue_SDExport'!A:A,'EA-Fortescue_SDExport'!AA:AA),
    IF(_xlpm.result=0,"",_xlpm.result)
)</f>
        <v>Subsystem</v>
      </c>
      <c r="AA260" s="2" t="str">
        <f>_xlfn.LET(_xlpm.result, _xlfn.XLOOKUP($Y260,'EA-Fortescue_SDExport'!$A:$A,'EA-Fortescue_SDExport'!AB:AB), IF(_xlpm.result=0,"",_xlpm.result))</f>
        <v/>
      </c>
      <c r="AB260" s="2" t="str">
        <f>_xlfn.LET(_xlpm.result, _xlfn.XLOOKUP($Y260,'EA-Fortescue_SDExport'!$A:$A,'EA-Fortescue_SDExport'!AC:AC), IF(_xlpm.result=0,"",_xlpm.result))</f>
        <v>Solomon Mine Hub</v>
      </c>
      <c r="AC260" s="2" t="str">
        <f>_xlfn.LET(
    _xlpm.isObject, _xlfn.XLOOKUP($Y260,'EA-Fortescue_SDExport'!A:A,'EA-Fortescue_SDExport'!B:B),
    _xlpm.lookupKey, IF(_xlpm.isObject="Object",
        _xlfn.XLOOKUP($A260,'EA-ConnectorExport'!A:A,'EA-ConnectorExport'!J:J),
        $Y260
    ),
    _xlpm.result, _xlfn.XLOOKUP(_xlpm.lookupKey,'EA-Fortescue_SDExport'!A:A,'EA-Fortescue_SDExport'!AD:AD),
    IF(_xlpm.result=0,"",_xlpm.result)
)</f>
        <v>850DC Decarb Infrastructure</v>
      </c>
      <c r="AD260" s="2" t="str">
        <f>_xlfn.LET(
    _xlpm.isObject, _xlfn.XLOOKUP($Y260,'EA-Fortescue_SDExport'!A:A,'EA-Fortescue_SDExport'!B:B),
    _xlpm.lookupKey, IF(_xlpm.isObject="Object",
        _xlfn.XLOOKUP($A260,'EA-ConnectorExport'!A:A,'EA-ConnectorExport'!J:J),
        $Y260
    ),
    _xlpm.result, _xlfn.XLOOKUP(_xlpm.lookupKey,'EA-Fortescue_SDExport'!A:A,'EA-Fortescue_SDExport'!AE:AE),
    IF(_xlpm.result=0,"",_xlpm.result)
)</f>
        <v>850DC-1510 Chargers</v>
      </c>
      <c r="AE260" s="2" t="str">
        <f>_xlfn.LET(
    _xlpm.isObject, _xlfn.XLOOKUP($Y260,'EA-Fortescue_SDExport'!A:A,'EA-Fortescue_SDExport'!B:B),
    _xlpm.lookupKey, IF(_xlpm.isObject="Object",
        _xlfn.XLOOKUP($A260,'EA-ConnectorExport'!A:A,'EA-ConnectorExport'!J:J),
        $Y260
    ),
    _xlpm.result, _xlfn.XLOOKUP(_xlpm.lookupKey,'EA-Fortescue_SDExport'!A:A,'EA-Fortescue_SDExport'!AF:AF),
    IF(_xlpm.result=0,"",_xlpm.result)
)</f>
        <v>850DC-1512-0001 HME Chargers - Gen1</v>
      </c>
      <c r="AF260" s="2" t="str">
        <f>_xlfn.LET(
    _xlpm.isObject, _xlfn.XLOOKUP($Y260,'EA-Fortescue_SDExport'!A:A,'EA-Fortescue_SDExport'!B:B),
    _xlpm.lookupKey, IF(_xlpm.isObject="Object",
        _xlfn.XLOOKUP($A260,'EA-ConnectorExport'!A:A,'EA-ConnectorExport'!J:J),
        $Y260
    ),
    _xlpm.result, _xlfn.XLOOKUP(_xlpm.lookupKey,'EA-Fortescue_SDExport'!A:A,'EA-Fortescue_SDExport'!AG:AG),
    IF(_xlpm.result=0,"",_xlpm.result)
)</f>
        <v>850DC-1512-0001-004 AC1 (Automated Connection) for T264 Charging Loads</v>
      </c>
    </row>
    <row r="261" spans="1:32" ht="45" x14ac:dyDescent="0.25">
      <c r="A261" s="2" t="str">
        <v>DGS-I_0260</v>
      </c>
      <c r="B261" s="2" t="str">
        <f t="shared" si="16"/>
        <v>Solomon Mine Hub: Trailing Cable|Solomon Mine Hub: Dewatering Pumps</v>
      </c>
      <c r="C261" s="2" t="str">
        <f>_xlfn.LET(_xlpm.result, _xlfn.XLOOKUP(A261,'EA-Fortescue_SDExport'!A:A,'EA-Fortescue_SDExport'!AM:AM), IF(_xlpm.result=0,"",_xlpm.result))</f>
        <v/>
      </c>
      <c r="D261" s="2" t="str">
        <f>_xlfn.LET(_xlpm.result, _xlfn.XLOOKUP(A261,'EA-Fortescue_SDExport'!A:A,'EA-Fortescue_SDExport'!AN:AN), IF(_xlpm.result=0,"",_xlpm.result))</f>
        <v/>
      </c>
      <c r="E261" s="2" t="str">
        <f>_xlfn.XLOOKUP(R261&amp;Z261,Lookups!A:A,Lookups!B:B)</f>
        <v>System - System Interface</v>
      </c>
      <c r="F261" s="2" t="str">
        <f>_xlfn.LET(_xlpm.result, _xlfn.XLOOKUP(A261,'EA-Fortescue_SDExport'!A:A,'EA-Fortescue_SDExport'!AP:AP), IF(_xlpm.result=0,"",_xlpm.result))</f>
        <v/>
      </c>
      <c r="G261" s="2" t="str">
        <f>IF(OR(AND(T261&lt;&gt;"", COUNTIF(Lookups!J:J, "*"&amp;T261&amp;"*")&gt;0), AND(AB261&lt;&gt;"", COUNTIF(Lookups!J:J, "*"&amp;AB261&amp;"*")&gt;0)), "Yes", "No")</f>
        <v>Yes</v>
      </c>
      <c r="H261" s="2" t="str">
        <f t="shared" si="17"/>
        <v>850DC Decarb Infrastructure|002OP Non-Process Infrastructure (NPI)</v>
      </c>
      <c r="I261" s="2" t="str">
        <f t="shared" si="18"/>
        <v>850DC-1520 Trailing Cable|002OP-2000 Dewatering Pumps</v>
      </c>
      <c r="J261" s="2" t="str">
        <f t="shared" si="19"/>
        <v>N/A</v>
      </c>
      <c r="K261" s="2" t="str">
        <f>_xlfn.XLOOKUP(A261,'EA-Fortescue_SDExport'!A:A,'EA-Fortescue_SDExport'!N:N)</f>
        <v>Proposed</v>
      </c>
      <c r="L261" s="2" t="str">
        <f>_xlfn.LET(_xlpm.result, _xlfn.XLOOKUP($A261,'EA-Fortescue_SDExport'!$A:$A,'EA-Fortescue_SDExport'!AQ:AQ), IF(_xlpm.result=0,"",_xlpm.result))</f>
        <v/>
      </c>
      <c r="M261" s="2" t="str">
        <f>_xlfn.LET(_xlpm.result, _xlfn.XLOOKUP($A261,'EA-Fortescue_SDExport'!$A:$A,'EA-Fortescue_SDExport'!AR:AR), IF(_xlpm.result=0,"",_xlpm.result))</f>
        <v/>
      </c>
      <c r="N261" s="2" t="str">
        <f>_xlfn.LET(_xlpm.result, _xlfn.XLOOKUP($A261,'EA-Fortescue_SDExport'!$A:$A,'EA-Fortescue_SDExport'!AW:AW), IF(_xlpm.result=0,"",_xlpm.result))</f>
        <v/>
      </c>
      <c r="O261" s="2" t="str">
        <f>_xlfn.LET(_xlpm.result, _xlfn.XLOOKUP($A261,'EA-Fortescue_SDExport'!$A:$A,'EA-Fortescue_SDExport'!AV:AV), IF(_xlpm.result=0,"",_xlpm.result))</f>
        <v/>
      </c>
      <c r="P261" s="2" t="str">
        <f>_xlfn.LET(_xlpm.result, _xlfn.XLOOKUP($A261,'EA-Fortescue_SDExport'!$A:$A,'EA-Fortescue_SDExport'!D:D), IF(_xlpm.result=0,"",_xlpm.result))</f>
        <v/>
      </c>
      <c r="Q261" s="2" t="str">
        <f>_xlfn.LET(
    _xlpm.status, _xlfn.XLOOKUP($A261,'EA-ConnectorExport'!$A:$A,'EA-ConnectorExport'!G:G),
    _xlpm.result, _xlfn.XLOOKUP($A261,'EA-ConnectorExport'!$A:$A,'EA-ConnectorExport'!B:B),
    IF(_xlpm.status="allocate", _xlpm.result, "")
)</f>
        <v>Solomon Mine Hub: Trailing Cable</v>
      </c>
      <c r="R261" s="2" t="str">
        <f>IF(
    _xlfn.XLOOKUP($Q261,'EA-Fortescue_SDExport'!A:A,'EA-Fortescue_SDExport'!B:B)="Object",
    _xlfn.XLOOKUP(
        _xlfn.XLOOKUP($A261,'EA-ConnectorExport'!A:A,'EA-ConnectorExport'!D:D),
        'EA-Fortescue_SDExport'!A:A,
        'EA-Fortescue_SDExport'!AA:AA
    ),
    _xlfn.XLOOKUP($Q261,'EA-Fortescue_SDExport'!A:A,'EA-Fortescue_SDExport'!AA:AA)
)</f>
        <v>System</v>
      </c>
      <c r="S261" s="2" t="str">
        <f>_xlfn.LET(_xlpm.result, _xlfn.XLOOKUP($Q261,'EA-Fortescue_SDExport'!$A:$A,'EA-Fortescue_SDExport'!AB:AB), IF(_xlpm.result=0,"",_xlpm.result))</f>
        <v/>
      </c>
      <c r="T261" s="2" t="str">
        <f>_xlfn.LET(_xlpm.result, _xlfn.XLOOKUP($Q261,'EA-Fortescue_SDExport'!$A:$A,'EA-Fortescue_SDExport'!AC:AC), IF(_xlpm.result=0,"",_xlpm.result))</f>
        <v>Solomon Mine Hub</v>
      </c>
      <c r="U261" s="2" t="str">
        <f>_xlfn.LET(
    _xlpm.isObject, _xlfn.XLOOKUP($Q261,'EA-Fortescue_SDExport'!A:A,'EA-Fortescue_SDExport'!B:B),
    _xlpm.lookupKey, IF(_xlpm.isObject="Object",
        _xlfn.XLOOKUP($A261,'EA-ConnectorExport'!A:A,'EA-ConnectorExport'!D:D),
        $Q261
    ),
    _xlpm.result, _xlfn.XLOOKUP(_xlpm.lookupKey,'EA-Fortescue_SDExport'!A:A,'EA-Fortescue_SDExport'!AD:AD),
    IF(_xlpm.result=0,"",_xlpm.result)
)</f>
        <v>850DC Decarb Infrastructure</v>
      </c>
      <c r="V261" s="2" t="str">
        <f>_xlfn.LET(
    _xlpm.isObject, _xlfn.XLOOKUP($Q261,'EA-Fortescue_SDExport'!A:A,'EA-Fortescue_SDExport'!B:B),
    _xlpm.lookupKey, IF(_xlpm.isObject="Object",
        _xlfn.XLOOKUP($A261,'EA-ConnectorExport'!A:A,'EA-ConnectorExport'!D:D),
        $Q261
    ),
    _xlpm.result, _xlfn.XLOOKUP(_xlpm.lookupKey,'EA-Fortescue_SDExport'!A:A,'EA-Fortescue_SDExport'!AE:AE),
    IF(_xlpm.result=0,"",_xlpm.result)
)</f>
        <v>850DC-1520 Trailing Cable</v>
      </c>
      <c r="W261" s="2" t="str">
        <f>_xlfn.LET(
    _xlpm.isObject, _xlfn.XLOOKUP($Q261,'EA-Fortescue_SDExport'!A:A,'EA-Fortescue_SDExport'!B:B),
    _xlpm.lookupKey, IF(_xlpm.isObject="Object",
        _xlfn.XLOOKUP($A261,'EA-ConnectorExport'!A:A,'EA-ConnectorExport'!D:D),
        $Q261
    ),
    _xlpm.result, _xlfn.XLOOKUP(_xlpm.lookupKey,'EA-Fortescue_SDExport'!A:A,'EA-Fortescue_SDExport'!AF:AF),
    IF(_xlpm.result=0,"",_xlpm.result)
)</f>
        <v/>
      </c>
      <c r="X261" s="2" t="str">
        <f>_xlfn.LET(
    _xlpm.isObject, _xlfn.XLOOKUP($Q261,'EA-Fortescue_SDExport'!A:A,'EA-Fortescue_SDExport'!B:B),
    _xlpm.lookupKey, IF(_xlpm.isObject="Object",
        _xlfn.XLOOKUP($A261,'EA-ConnectorExport'!A:A,'EA-ConnectorExport'!D:D),
        $Q261
    ),
    _xlpm.result, _xlfn.XLOOKUP(_xlpm.lookupKey,'EA-Fortescue_SDExport'!A:A,'EA-Fortescue_SDExport'!AG:AG),
    IF(_xlpm.result=0,"",_xlpm.result)
)</f>
        <v/>
      </c>
      <c r="Y261" s="2" t="str">
        <f>_xlfn.LET(
    _xlpm.status, _xlfn.XLOOKUP($A261,'EA-ConnectorExport'!$A:$A,'EA-ConnectorExport'!G:G),
    _xlpm.result, _xlfn.XLOOKUP($A261,'EA-ConnectorExport'!$A:$A,'EA-ConnectorExport'!H:H),
    IF(_xlpm.status="allocate", _xlpm.result, "")
)</f>
        <v>Solomon Mine Hub: Dewatering Pumps</v>
      </c>
      <c r="Z261" s="2" t="str">
        <f>_xlfn.LET(
    _xlpm.isObject, _xlfn.XLOOKUP($Y261,'EA-Fortescue_SDExport'!A:A,'EA-Fortescue_SDExport'!B:B),
    _xlpm.lookupKey, IF(_xlpm.isObject="Object",
        _xlfn.XLOOKUP($A261,'EA-ConnectorExport'!A:A,'EA-ConnectorExport'!J:J),
        $Y261
    ),
    _xlpm.result, _xlfn.XLOOKUP(_xlpm.lookupKey,'EA-Fortescue_SDExport'!A:A,'EA-Fortescue_SDExport'!AA:AA),
    IF(_xlpm.result=0,"",_xlpm.result)
)</f>
        <v>System</v>
      </c>
      <c r="AA261" s="2" t="str">
        <f>_xlfn.LET(_xlpm.result, _xlfn.XLOOKUP($Y261,'EA-Fortescue_SDExport'!$A:$A,'EA-Fortescue_SDExport'!AB:AB), IF(_xlpm.result=0,"",_xlpm.result))</f>
        <v/>
      </c>
      <c r="AB261" s="2" t="str">
        <f>_xlfn.LET(_xlpm.result, _xlfn.XLOOKUP($Y261,'EA-Fortescue_SDExport'!$A:$A,'EA-Fortescue_SDExport'!AC:AC), IF(_xlpm.result=0,"",_xlpm.result))</f>
        <v>Solomon Mine Hub</v>
      </c>
      <c r="AC261" s="2" t="str">
        <f>_xlfn.LET(
    _xlpm.isObject, _xlfn.XLOOKUP($Y261,'EA-Fortescue_SDExport'!A:A,'EA-Fortescue_SDExport'!B:B),
    _xlpm.lookupKey, IF(_xlpm.isObject="Object",
        _xlfn.XLOOKUP($A261,'EA-ConnectorExport'!A:A,'EA-ConnectorExport'!J:J),
        $Y261
    ),
    _xlpm.result, _xlfn.XLOOKUP(_xlpm.lookupKey,'EA-Fortescue_SDExport'!A:A,'EA-Fortescue_SDExport'!AD:AD),
    IF(_xlpm.result=0,"",_xlpm.result)
)</f>
        <v>002OP Non-Process Infrastructure (NPI)</v>
      </c>
      <c r="AD261" s="2" t="str">
        <f>_xlfn.LET(
    _xlpm.isObject, _xlfn.XLOOKUP($Y261,'EA-Fortescue_SDExport'!A:A,'EA-Fortescue_SDExport'!B:B),
    _xlpm.lookupKey, IF(_xlpm.isObject="Object",
        _xlfn.XLOOKUP($A261,'EA-ConnectorExport'!A:A,'EA-ConnectorExport'!J:J),
        $Y261
    ),
    _xlpm.result, _xlfn.XLOOKUP(_xlpm.lookupKey,'EA-Fortescue_SDExport'!A:A,'EA-Fortescue_SDExport'!AE:AE),
    IF(_xlpm.result=0,"",_xlpm.result)
)</f>
        <v>002OP-2000 Dewatering Pumps</v>
      </c>
      <c r="AE261" s="2" t="str">
        <f>_xlfn.LET(
    _xlpm.isObject, _xlfn.XLOOKUP($Y261,'EA-Fortescue_SDExport'!A:A,'EA-Fortescue_SDExport'!B:B),
    _xlpm.lookupKey, IF(_xlpm.isObject="Object",
        _xlfn.XLOOKUP($A261,'EA-ConnectorExport'!A:A,'EA-ConnectorExport'!J:J),
        $Y261
    ),
    _xlpm.result, _xlfn.XLOOKUP(_xlpm.lookupKey,'EA-Fortescue_SDExport'!A:A,'EA-Fortescue_SDExport'!AF:AF),
    IF(_xlpm.result=0,"",_xlpm.result)
)</f>
        <v/>
      </c>
      <c r="AF261" s="2" t="str">
        <f>_xlfn.LET(
    _xlpm.isObject, _xlfn.XLOOKUP($Y261,'EA-Fortescue_SDExport'!A:A,'EA-Fortescue_SDExport'!B:B),
    _xlpm.lookupKey, IF(_xlpm.isObject="Object",
        _xlfn.XLOOKUP($A261,'EA-ConnectorExport'!A:A,'EA-ConnectorExport'!J:J),
        $Y261
    ),
    _xlpm.result, _xlfn.XLOOKUP(_xlpm.lookupKey,'EA-Fortescue_SDExport'!A:A,'EA-Fortescue_SDExport'!AG:AG),
    IF(_xlpm.result=0,"",_xlpm.result)
)</f>
        <v/>
      </c>
    </row>
    <row r="262" spans="1:32" ht="240" x14ac:dyDescent="0.25">
      <c r="A262" s="2" t="str">
        <v>DGS-I_0261</v>
      </c>
      <c r="B262" s="2" t="str">
        <f t="shared" si="16"/>
        <v>Solomon Mine Hub: Dewatering Pumps|855DC-1543-PPC Pit Power Capacity Planning Tool - Capacity Check</v>
      </c>
      <c r="C262" s="2" t="str">
        <f>_xlfn.LET(_xlpm.result, _xlfn.XLOOKUP(A262,'EA-Fortescue_SDExport'!A:A,'EA-Fortescue_SDExport'!AM:AM), IF(_xlpm.result=0,"",_xlpm.result))</f>
        <v/>
      </c>
      <c r="D262" s="2" t="str">
        <f>_xlfn.LET(_xlpm.result, _xlfn.XLOOKUP(A262,'EA-Fortescue_SDExport'!A:A,'EA-Fortescue_SDExport'!AN:AN), IF(_xlpm.result=0,"",_xlpm.result))</f>
        <v/>
      </c>
      <c r="E262" s="2" t="str">
        <f>_xlfn.XLOOKUP(R262&amp;Z262,Lookups!A:A,Lookups!B:B)</f>
        <v>System - Project Interface</v>
      </c>
      <c r="F262" s="2" t="str">
        <f>_xlfn.LET(_xlpm.result, _xlfn.XLOOKUP(A262,'EA-Fortescue_SDExport'!A:A,'EA-Fortescue_SDExport'!AP:AP), IF(_xlpm.result=0,"",_xlpm.result))</f>
        <v/>
      </c>
      <c r="G262" s="2" t="str">
        <f>IF(OR(AND(T262&lt;&gt;"", COUNTIF(Lookups!J:J, "*"&amp;T262&amp;"*")&gt;0), AND(AB262&lt;&gt;"", COUNTIF(Lookups!J:J, "*"&amp;AB262&amp;"*")&gt;0)), "Yes", "No")</f>
        <v>Yes</v>
      </c>
      <c r="H262" s="2" t="str">
        <f t="shared" si="17"/>
        <v>002OP Non-Process Infrastructure (NPI)|855DC Decarb Green Systems</v>
      </c>
      <c r="I262" s="2" t="str">
        <f t="shared" si="18"/>
        <v>002OP-2000 Dewatering Pumps|N/A</v>
      </c>
      <c r="J262" s="2" t="str">
        <f t="shared" si="19"/>
        <v>N/A|855DC-1543-PPC Pit Power Capacity Planning Tool - Capacity Check</v>
      </c>
      <c r="K262" s="2" t="str">
        <f>_xlfn.XLOOKUP(A262,'EA-Fortescue_SDExport'!A:A,'EA-Fortescue_SDExport'!N:N)</f>
        <v>Proposed</v>
      </c>
      <c r="L262" s="2" t="str">
        <f>_xlfn.LET(_xlpm.result, _xlfn.XLOOKUP($A262,'EA-Fortescue_SDExport'!$A:$A,'EA-Fortescue_SDExport'!AQ:AQ), IF(_xlpm.result=0,"",_xlpm.result))</f>
        <v/>
      </c>
      <c r="M262" s="2" t="str">
        <f>_xlfn.LET(_xlpm.result, _xlfn.XLOOKUP($A262,'EA-Fortescue_SDExport'!$A:$A,'EA-Fortescue_SDExport'!AR:AR), IF(_xlpm.result=0,"",_xlpm.result))</f>
        <v/>
      </c>
      <c r="N262" s="2" t="str">
        <f>_xlfn.LET(_xlpm.result, _xlfn.XLOOKUP($A262,'EA-Fortescue_SDExport'!$A:$A,'EA-Fortescue_SDExport'!AW:AW), IF(_xlpm.result=0,"",_xlpm.result))</f>
        <v/>
      </c>
      <c r="O262" s="2" t="str">
        <f>_xlfn.LET(_xlpm.result, _xlfn.XLOOKUP($A262,'EA-Fortescue_SDExport'!$A:$A,'EA-Fortescue_SDExport'!AV:AV), IF(_xlpm.result=0,"",_xlpm.result))</f>
        <v/>
      </c>
      <c r="P262" s="2" t="str">
        <f>_xlfn.LET(_xlpm.result, _xlfn.XLOOKUP($A262,'EA-Fortescue_SDExport'!$A:$A,'EA-Fortescue_SDExport'!D:D),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62" s="2" t="str">
        <f>_xlfn.LET(
    _xlpm.status, _xlfn.XLOOKUP($A262,'EA-ConnectorExport'!$A:$A,'EA-ConnectorExport'!G:G),
    _xlpm.result, _xlfn.XLOOKUP($A262,'EA-ConnectorExport'!$A:$A,'EA-ConnectorExport'!B:B),
    IF(_xlpm.status="allocate", _xlpm.result, "")
)</f>
        <v>Solomon Mine Hub: Dewatering Pumps</v>
      </c>
      <c r="R262" s="2" t="str">
        <f>IF(
    _xlfn.XLOOKUP($Q262,'EA-Fortescue_SDExport'!A:A,'EA-Fortescue_SDExport'!B:B)="Object",
    _xlfn.XLOOKUP(
        _xlfn.XLOOKUP($A262,'EA-ConnectorExport'!A:A,'EA-ConnectorExport'!D:D),
        'EA-Fortescue_SDExport'!A:A,
        'EA-Fortescue_SDExport'!AA:AA
    ),
    _xlfn.XLOOKUP($Q262,'EA-Fortescue_SDExport'!A:A,'EA-Fortescue_SDExport'!AA:AA)
)</f>
        <v>System</v>
      </c>
      <c r="S262" s="2" t="str">
        <f>_xlfn.LET(_xlpm.result, _xlfn.XLOOKUP($Q262,'EA-Fortescue_SDExport'!$A:$A,'EA-Fortescue_SDExport'!AB:AB), IF(_xlpm.result=0,"",_xlpm.result))</f>
        <v/>
      </c>
      <c r="T262" s="2" t="str">
        <f>_xlfn.LET(_xlpm.result, _xlfn.XLOOKUP($Q262,'EA-Fortescue_SDExport'!$A:$A,'EA-Fortescue_SDExport'!AC:AC), IF(_xlpm.result=0,"",_xlpm.result))</f>
        <v>Solomon Mine Hub</v>
      </c>
      <c r="U262" s="2" t="str">
        <f>_xlfn.LET(
    _xlpm.isObject, _xlfn.XLOOKUP($Q262,'EA-Fortescue_SDExport'!A:A,'EA-Fortescue_SDExport'!B:B),
    _xlpm.lookupKey, IF(_xlpm.isObject="Object",
        _xlfn.XLOOKUP($A262,'EA-ConnectorExport'!A:A,'EA-ConnectorExport'!D:D),
        $Q262
    ),
    _xlpm.result, _xlfn.XLOOKUP(_xlpm.lookupKey,'EA-Fortescue_SDExport'!A:A,'EA-Fortescue_SDExport'!AD:AD),
    IF(_xlpm.result=0,"",_xlpm.result)
)</f>
        <v>002OP Non-Process Infrastructure (NPI)</v>
      </c>
      <c r="V262" s="2" t="str">
        <f>_xlfn.LET(
    _xlpm.isObject, _xlfn.XLOOKUP($Q262,'EA-Fortescue_SDExport'!A:A,'EA-Fortescue_SDExport'!B:B),
    _xlpm.lookupKey, IF(_xlpm.isObject="Object",
        _xlfn.XLOOKUP($A262,'EA-ConnectorExport'!A:A,'EA-ConnectorExport'!D:D),
        $Q262
    ),
    _xlpm.result, _xlfn.XLOOKUP(_xlpm.lookupKey,'EA-Fortescue_SDExport'!A:A,'EA-Fortescue_SDExport'!AE:AE),
    IF(_xlpm.result=0,"",_xlpm.result)
)</f>
        <v>002OP-2000 Dewatering Pumps</v>
      </c>
      <c r="W262" s="2" t="str">
        <f>_xlfn.LET(
    _xlpm.isObject, _xlfn.XLOOKUP($Q262,'EA-Fortescue_SDExport'!A:A,'EA-Fortescue_SDExport'!B:B),
    _xlpm.lookupKey, IF(_xlpm.isObject="Object",
        _xlfn.XLOOKUP($A262,'EA-ConnectorExport'!A:A,'EA-ConnectorExport'!D:D),
        $Q262
    ),
    _xlpm.result, _xlfn.XLOOKUP(_xlpm.lookupKey,'EA-Fortescue_SDExport'!A:A,'EA-Fortescue_SDExport'!AF:AF),
    IF(_xlpm.result=0,"",_xlpm.result)
)</f>
        <v/>
      </c>
      <c r="X262" s="2" t="str">
        <f>_xlfn.LET(
    _xlpm.isObject, _xlfn.XLOOKUP($Q262,'EA-Fortescue_SDExport'!A:A,'EA-Fortescue_SDExport'!B:B),
    _xlpm.lookupKey, IF(_xlpm.isObject="Object",
        _xlfn.XLOOKUP($A262,'EA-ConnectorExport'!A:A,'EA-ConnectorExport'!D:D),
        $Q262
    ),
    _xlpm.result, _xlfn.XLOOKUP(_xlpm.lookupKey,'EA-Fortescue_SDExport'!A:A,'EA-Fortescue_SDExport'!AG:AG),
    IF(_xlpm.result=0,"",_xlpm.result)
)</f>
        <v/>
      </c>
      <c r="Y262" s="2" t="str">
        <f>_xlfn.LET(
    _xlpm.status, _xlfn.XLOOKUP($A262,'EA-ConnectorExport'!$A:$A,'EA-ConnectorExport'!G:G),
    _xlpm.result, _xlfn.XLOOKUP($A262,'EA-ConnectorExport'!$A:$A,'EA-ConnectorExport'!H:H),
    IF(_xlpm.status="allocate", _xlpm.result, "")
)</f>
        <v>855DC-1543-PPC Pit Power Capacity Planning Tool - Capacity Check</v>
      </c>
      <c r="Z262" s="2" t="str">
        <f>_xlfn.LET(
    _xlpm.isObject, _xlfn.XLOOKUP($Y262,'EA-Fortescue_SDExport'!A:A,'EA-Fortescue_SDExport'!B:B),
    _xlpm.lookupKey, IF(_xlpm.isObject="Object",
        _xlfn.XLOOKUP($A262,'EA-ConnectorExport'!A:A,'EA-ConnectorExport'!J:J),
        $Y262
    ),
    _xlpm.result, _xlfn.XLOOKUP(_xlpm.lookupKey,'EA-Fortescue_SDExport'!A:A,'EA-Fortescue_SDExport'!AA:AA),
    IF(_xlpm.result=0,"",_xlpm.result)
)</f>
        <v>Project</v>
      </c>
      <c r="AA262" s="2" t="str">
        <f>_xlfn.LET(_xlpm.result, _xlfn.XLOOKUP($Y262,'EA-Fortescue_SDExport'!$A:$A,'EA-Fortescue_SDExport'!AB:AB), IF(_xlpm.result=0,"",_xlpm.result))</f>
        <v>Operations Planning</v>
      </c>
      <c r="AB262" s="2" t="str">
        <f>_xlfn.LET(_xlpm.result, _xlfn.XLOOKUP($Y262,'EA-Fortescue_SDExport'!$A:$A,'EA-Fortescue_SDExport'!AC:AC), IF(_xlpm.result=0,"",_xlpm.result))</f>
        <v>AWS Fortescue Infrastructure</v>
      </c>
      <c r="AC262" s="2" t="str">
        <f>_xlfn.LET(
    _xlpm.isObject, _xlfn.XLOOKUP($Y262,'EA-Fortescue_SDExport'!A:A,'EA-Fortescue_SDExport'!B:B),
    _xlpm.lookupKey, IF(_xlpm.isObject="Object",
        _xlfn.XLOOKUP($A262,'EA-ConnectorExport'!A:A,'EA-ConnectorExport'!J:J),
        $Y262
    ),
    _xlpm.result, _xlfn.XLOOKUP(_xlpm.lookupKey,'EA-Fortescue_SDExport'!A:A,'EA-Fortescue_SDExport'!AD:AD),
    IF(_xlpm.result=0,"",_xlpm.result)
)</f>
        <v>855DC Decarb Green Systems</v>
      </c>
      <c r="AD262" s="2" t="str">
        <f>_xlfn.LET(
    _xlpm.isObject, _xlfn.XLOOKUP($Y262,'EA-Fortescue_SDExport'!A:A,'EA-Fortescue_SDExport'!B:B),
    _xlpm.lookupKey, IF(_xlpm.isObject="Object",
        _xlfn.XLOOKUP($A262,'EA-ConnectorExport'!A:A,'EA-ConnectorExport'!J:J),
        $Y262
    ),
    _xlpm.result, _xlfn.XLOOKUP(_xlpm.lookupKey,'EA-Fortescue_SDExport'!A:A,'EA-Fortescue_SDExport'!AE:AE),
    IF(_xlpm.result=0,"",_xlpm.result)
)</f>
        <v/>
      </c>
      <c r="AE262" s="2" t="str">
        <f>_xlfn.LET(
    _xlpm.isObject, _xlfn.XLOOKUP($Y262,'EA-Fortescue_SDExport'!A:A,'EA-Fortescue_SDExport'!B:B),
    _xlpm.lookupKey, IF(_xlpm.isObject="Object",
        _xlfn.XLOOKUP($A262,'EA-ConnectorExport'!A:A,'EA-ConnectorExport'!J:J),
        $Y262
    ),
    _xlpm.result, _xlfn.XLOOKUP(_xlpm.lookupKey,'EA-Fortescue_SDExport'!A:A,'EA-Fortescue_SDExport'!AF:AF),
    IF(_xlpm.result=0,"",_xlpm.result)
)</f>
        <v>855DC-1543-PPC Pit Power Capacity Planning Tool - Capacity Check</v>
      </c>
      <c r="AF262" s="2" t="str">
        <f>_xlfn.LET(
    _xlpm.isObject, _xlfn.XLOOKUP($Y262,'EA-Fortescue_SDExport'!A:A,'EA-Fortescue_SDExport'!B:B),
    _xlpm.lookupKey, IF(_xlpm.isObject="Object",
        _xlfn.XLOOKUP($A262,'EA-ConnectorExport'!A:A,'EA-ConnectorExport'!J:J),
        $Y262
    ),
    _xlpm.result, _xlfn.XLOOKUP(_xlpm.lookupKey,'EA-Fortescue_SDExport'!A:A,'EA-Fortescue_SDExport'!AG:AG),
    IF(_xlpm.result=0,"",_xlpm.result)
)</f>
        <v/>
      </c>
    </row>
    <row r="263" spans="1:32" ht="30" x14ac:dyDescent="0.25">
      <c r="A263" s="2" t="str">
        <v>DGS-I_0262</v>
      </c>
      <c r="B263" s="2" t="str">
        <f t="shared" si="16"/>
        <v>Solomon Mine Hub: Drill Rig|Solomon Mine Hub: Trailing Cable</v>
      </c>
      <c r="C263" s="2" t="str">
        <f>_xlfn.LET(_xlpm.result, _xlfn.XLOOKUP(A263,'EA-Fortescue_SDExport'!A:A,'EA-Fortescue_SDExport'!AM:AM), IF(_xlpm.result=0,"",_xlpm.result))</f>
        <v/>
      </c>
      <c r="D263" s="2" t="str">
        <f>_xlfn.LET(_xlpm.result, _xlfn.XLOOKUP(A263,'EA-Fortescue_SDExport'!A:A,'EA-Fortescue_SDExport'!AN:AN), IF(_xlpm.result=0,"",_xlpm.result))</f>
        <v/>
      </c>
      <c r="E263" s="2" t="str">
        <f>_xlfn.XLOOKUP(R263&amp;Z263,Lookups!A:A,Lookups!B:B)</f>
        <v>System - System Interface</v>
      </c>
      <c r="F263" s="2" t="str">
        <f>_xlfn.LET(_xlpm.result, _xlfn.XLOOKUP(A263,'EA-Fortescue_SDExport'!A:A,'EA-Fortescue_SDExport'!AP:AP), IF(_xlpm.result=0,"",_xlpm.result))</f>
        <v/>
      </c>
      <c r="G263" s="2" t="str">
        <f>IF(OR(AND(T263&lt;&gt;"", COUNTIF(Lookups!J:J, "*"&amp;T263&amp;"*")&gt;0), AND(AB263&lt;&gt;"", COUNTIF(Lookups!J:J, "*"&amp;AB263&amp;"*")&gt;0)), "Yes", "No")</f>
        <v>Yes</v>
      </c>
      <c r="H263" s="2" t="str">
        <f t="shared" si="17"/>
        <v>853DC Decarb Ancillary|850DC Decarb Infrastructure</v>
      </c>
      <c r="I263" s="2" t="str">
        <f t="shared" si="18"/>
        <v>853DC-1561 Drill Rig|850DC-1520 Trailing Cable</v>
      </c>
      <c r="J263" s="2" t="str">
        <f t="shared" si="19"/>
        <v>N/A</v>
      </c>
      <c r="K263" s="2" t="str">
        <f>_xlfn.XLOOKUP(A263,'EA-Fortescue_SDExport'!A:A,'EA-Fortescue_SDExport'!N:N)</f>
        <v>Proposed</v>
      </c>
      <c r="L263" s="2" t="str">
        <f>_xlfn.LET(_xlpm.result, _xlfn.XLOOKUP($A263,'EA-Fortescue_SDExport'!$A:$A,'EA-Fortescue_SDExport'!AQ:AQ), IF(_xlpm.result=0,"",_xlpm.result))</f>
        <v/>
      </c>
      <c r="M263" s="2" t="str">
        <f>_xlfn.LET(_xlpm.result, _xlfn.XLOOKUP($A263,'EA-Fortescue_SDExport'!$A:$A,'EA-Fortescue_SDExport'!AR:AR), IF(_xlpm.result=0,"",_xlpm.result))</f>
        <v/>
      </c>
      <c r="N263" s="2" t="str">
        <f>_xlfn.LET(_xlpm.result, _xlfn.XLOOKUP($A263,'EA-Fortescue_SDExport'!$A:$A,'EA-Fortescue_SDExport'!AW:AW), IF(_xlpm.result=0,"",_xlpm.result))</f>
        <v/>
      </c>
      <c r="O263" s="2" t="str">
        <f>_xlfn.LET(_xlpm.result, _xlfn.XLOOKUP($A263,'EA-Fortescue_SDExport'!$A:$A,'EA-Fortescue_SDExport'!AV:AV), IF(_xlpm.result=0,"",_xlpm.result))</f>
        <v/>
      </c>
      <c r="P263" s="2" t="str">
        <f>_xlfn.LET(_xlpm.result, _xlfn.XLOOKUP($A263,'EA-Fortescue_SDExport'!$A:$A,'EA-Fortescue_SDExport'!D:D), IF(_xlpm.result=0,"",_xlpm.result))</f>
        <v/>
      </c>
      <c r="Q263" s="2" t="str">
        <f>_xlfn.LET(
    _xlpm.status, _xlfn.XLOOKUP($A263,'EA-ConnectorExport'!$A:$A,'EA-ConnectorExport'!G:G),
    _xlpm.result, _xlfn.XLOOKUP($A263,'EA-ConnectorExport'!$A:$A,'EA-ConnectorExport'!B:B),
    IF(_xlpm.status="allocate", _xlpm.result, "")
)</f>
        <v>Solomon Mine Hub: Drill Rig</v>
      </c>
      <c r="R263" s="2" t="str">
        <f>IF(
    _xlfn.XLOOKUP($Q263,'EA-Fortescue_SDExport'!A:A,'EA-Fortescue_SDExport'!B:B)="Object",
    _xlfn.XLOOKUP(
        _xlfn.XLOOKUP($A263,'EA-ConnectorExport'!A:A,'EA-ConnectorExport'!D:D),
        'EA-Fortescue_SDExport'!A:A,
        'EA-Fortescue_SDExport'!AA:AA
    ),
    _xlfn.XLOOKUP($Q263,'EA-Fortescue_SDExport'!A:A,'EA-Fortescue_SDExport'!AA:AA)
)</f>
        <v>System</v>
      </c>
      <c r="S263" s="2" t="str">
        <f>_xlfn.LET(_xlpm.result, _xlfn.XLOOKUP($Q263,'EA-Fortescue_SDExport'!$A:$A,'EA-Fortescue_SDExport'!AB:AB), IF(_xlpm.result=0,"",_xlpm.result))</f>
        <v/>
      </c>
      <c r="T263" s="2" t="str">
        <f>_xlfn.LET(_xlpm.result, _xlfn.XLOOKUP($Q263,'EA-Fortescue_SDExport'!$A:$A,'EA-Fortescue_SDExport'!AC:AC), IF(_xlpm.result=0,"",_xlpm.result))</f>
        <v>Solomon Mine Hub</v>
      </c>
      <c r="U263" s="2" t="str">
        <f>_xlfn.LET(
    _xlpm.isObject, _xlfn.XLOOKUP($Q263,'EA-Fortescue_SDExport'!A:A,'EA-Fortescue_SDExport'!B:B),
    _xlpm.lookupKey, IF(_xlpm.isObject="Object",
        _xlfn.XLOOKUP($A263,'EA-ConnectorExport'!A:A,'EA-ConnectorExport'!D:D),
        $Q263
    ),
    _xlpm.result, _xlfn.XLOOKUP(_xlpm.lookupKey,'EA-Fortescue_SDExport'!A:A,'EA-Fortescue_SDExport'!AD:AD),
    IF(_xlpm.result=0,"",_xlpm.result)
)</f>
        <v>853DC Decarb Ancillary</v>
      </c>
      <c r="V263" s="2" t="str">
        <f>_xlfn.LET(
    _xlpm.isObject, _xlfn.XLOOKUP($Q263,'EA-Fortescue_SDExport'!A:A,'EA-Fortescue_SDExport'!B:B),
    _xlpm.lookupKey, IF(_xlpm.isObject="Object",
        _xlfn.XLOOKUP($A263,'EA-ConnectorExport'!A:A,'EA-ConnectorExport'!D:D),
        $Q263
    ),
    _xlpm.result, _xlfn.XLOOKUP(_xlpm.lookupKey,'EA-Fortescue_SDExport'!A:A,'EA-Fortescue_SDExport'!AE:AE),
    IF(_xlpm.result=0,"",_xlpm.result)
)</f>
        <v>853DC-1561 Drill Rig</v>
      </c>
      <c r="W263" s="2" t="str">
        <f>_xlfn.LET(
    _xlpm.isObject, _xlfn.XLOOKUP($Q263,'EA-Fortescue_SDExport'!A:A,'EA-Fortescue_SDExport'!B:B),
    _xlpm.lookupKey, IF(_xlpm.isObject="Object",
        _xlfn.XLOOKUP($A263,'EA-ConnectorExport'!A:A,'EA-ConnectorExport'!D:D),
        $Q263
    ),
    _xlpm.result, _xlfn.XLOOKUP(_xlpm.lookupKey,'EA-Fortescue_SDExport'!A:A,'EA-Fortescue_SDExport'!AF:AF),
    IF(_xlpm.result=0,"",_xlpm.result)
)</f>
        <v/>
      </c>
      <c r="X263" s="2" t="str">
        <f>_xlfn.LET(
    _xlpm.isObject, _xlfn.XLOOKUP($Q263,'EA-Fortescue_SDExport'!A:A,'EA-Fortescue_SDExport'!B:B),
    _xlpm.lookupKey, IF(_xlpm.isObject="Object",
        _xlfn.XLOOKUP($A263,'EA-ConnectorExport'!A:A,'EA-ConnectorExport'!D:D),
        $Q263
    ),
    _xlpm.result, _xlfn.XLOOKUP(_xlpm.lookupKey,'EA-Fortescue_SDExport'!A:A,'EA-Fortescue_SDExport'!AG:AG),
    IF(_xlpm.result=0,"",_xlpm.result)
)</f>
        <v/>
      </c>
      <c r="Y263" s="2" t="str">
        <f>_xlfn.LET(
    _xlpm.status, _xlfn.XLOOKUP($A263,'EA-ConnectorExport'!$A:$A,'EA-ConnectorExport'!G:G),
    _xlpm.result, _xlfn.XLOOKUP($A263,'EA-ConnectorExport'!$A:$A,'EA-ConnectorExport'!H:H),
    IF(_xlpm.status="allocate", _xlpm.result, "")
)</f>
        <v>Solomon Mine Hub: Trailing Cable</v>
      </c>
      <c r="Z263" s="2" t="str">
        <f>_xlfn.LET(
    _xlpm.isObject, _xlfn.XLOOKUP($Y263,'EA-Fortescue_SDExport'!A:A,'EA-Fortescue_SDExport'!B:B),
    _xlpm.lookupKey, IF(_xlpm.isObject="Object",
        _xlfn.XLOOKUP($A263,'EA-ConnectorExport'!A:A,'EA-ConnectorExport'!J:J),
        $Y263
    ),
    _xlpm.result, _xlfn.XLOOKUP(_xlpm.lookupKey,'EA-Fortescue_SDExport'!A:A,'EA-Fortescue_SDExport'!AA:AA),
    IF(_xlpm.result=0,"",_xlpm.result)
)</f>
        <v>System</v>
      </c>
      <c r="AA263" s="2" t="str">
        <f>_xlfn.LET(_xlpm.result, _xlfn.XLOOKUP($Y263,'EA-Fortescue_SDExport'!$A:$A,'EA-Fortescue_SDExport'!AB:AB), IF(_xlpm.result=0,"",_xlpm.result))</f>
        <v/>
      </c>
      <c r="AB263" s="2" t="str">
        <f>_xlfn.LET(_xlpm.result, _xlfn.XLOOKUP($Y263,'EA-Fortescue_SDExport'!$A:$A,'EA-Fortescue_SDExport'!AC:AC), IF(_xlpm.result=0,"",_xlpm.result))</f>
        <v>Solomon Mine Hub</v>
      </c>
      <c r="AC263" s="2" t="str">
        <f>_xlfn.LET(
    _xlpm.isObject, _xlfn.XLOOKUP($Y263,'EA-Fortescue_SDExport'!A:A,'EA-Fortescue_SDExport'!B:B),
    _xlpm.lookupKey, IF(_xlpm.isObject="Object",
        _xlfn.XLOOKUP($A263,'EA-ConnectorExport'!A:A,'EA-ConnectorExport'!J:J),
        $Y263
    ),
    _xlpm.result, _xlfn.XLOOKUP(_xlpm.lookupKey,'EA-Fortescue_SDExport'!A:A,'EA-Fortescue_SDExport'!AD:AD),
    IF(_xlpm.result=0,"",_xlpm.result)
)</f>
        <v>850DC Decarb Infrastructure</v>
      </c>
      <c r="AD263" s="2" t="str">
        <f>_xlfn.LET(
    _xlpm.isObject, _xlfn.XLOOKUP($Y263,'EA-Fortescue_SDExport'!A:A,'EA-Fortescue_SDExport'!B:B),
    _xlpm.lookupKey, IF(_xlpm.isObject="Object",
        _xlfn.XLOOKUP($A263,'EA-ConnectorExport'!A:A,'EA-ConnectorExport'!J:J),
        $Y263
    ),
    _xlpm.result, _xlfn.XLOOKUP(_xlpm.lookupKey,'EA-Fortescue_SDExport'!A:A,'EA-Fortescue_SDExport'!AE:AE),
    IF(_xlpm.result=0,"",_xlpm.result)
)</f>
        <v>850DC-1520 Trailing Cable</v>
      </c>
      <c r="AE263" s="2" t="str">
        <f>_xlfn.LET(
    _xlpm.isObject, _xlfn.XLOOKUP($Y263,'EA-Fortescue_SDExport'!A:A,'EA-Fortescue_SDExport'!B:B),
    _xlpm.lookupKey, IF(_xlpm.isObject="Object",
        _xlfn.XLOOKUP($A263,'EA-ConnectorExport'!A:A,'EA-ConnectorExport'!J:J),
        $Y263
    ),
    _xlpm.result, _xlfn.XLOOKUP(_xlpm.lookupKey,'EA-Fortescue_SDExport'!A:A,'EA-Fortescue_SDExport'!AF:AF),
    IF(_xlpm.result=0,"",_xlpm.result)
)</f>
        <v/>
      </c>
      <c r="AF263" s="2" t="str">
        <f>_xlfn.LET(
    _xlpm.isObject, _xlfn.XLOOKUP($Y263,'EA-Fortescue_SDExport'!A:A,'EA-Fortescue_SDExport'!B:B),
    _xlpm.lookupKey, IF(_xlpm.isObject="Object",
        _xlfn.XLOOKUP($A263,'EA-ConnectorExport'!A:A,'EA-ConnectorExport'!J:J),
        $Y263
    ),
    _xlpm.result, _xlfn.XLOOKUP(_xlpm.lookupKey,'EA-Fortescue_SDExport'!A:A,'EA-Fortescue_SDExport'!AG:AG),
    IF(_xlpm.result=0,"",_xlpm.result)
)</f>
        <v/>
      </c>
    </row>
    <row r="264" spans="1:32" ht="45" x14ac:dyDescent="0.25">
      <c r="A264" s="2" t="str">
        <v>DGS-I_0263</v>
      </c>
      <c r="B264" s="2" t="str">
        <f t="shared" si="16"/>
        <v>Solomon Mine Hub: Trailing Cable|Solomon Mine Hub: Excavator [&gt;110t]</v>
      </c>
      <c r="C264" s="2" t="str">
        <f>_xlfn.LET(_xlpm.result, _xlfn.XLOOKUP(A264,'EA-Fortescue_SDExport'!A:A,'EA-Fortescue_SDExport'!AM:AM), IF(_xlpm.result=0,"",_xlpm.result))</f>
        <v/>
      </c>
      <c r="D264" s="2" t="str">
        <f>_xlfn.LET(_xlpm.result, _xlfn.XLOOKUP(A264,'EA-Fortescue_SDExport'!A:A,'EA-Fortescue_SDExport'!AN:AN), IF(_xlpm.result=0,"",_xlpm.result))</f>
        <v/>
      </c>
      <c r="E264" s="2" t="str">
        <f>_xlfn.XLOOKUP(R264&amp;Z264,Lookups!A:A,Lookups!B:B)</f>
        <v>System - System Interface</v>
      </c>
      <c r="F264" s="2" t="str">
        <f>_xlfn.LET(_xlpm.result, _xlfn.XLOOKUP(A264,'EA-Fortescue_SDExport'!A:A,'EA-Fortescue_SDExport'!AP:AP), IF(_xlpm.result=0,"",_xlpm.result))</f>
        <v/>
      </c>
      <c r="G264" s="2" t="str">
        <f>IF(OR(AND(T264&lt;&gt;"", COUNTIF(Lookups!J:J, "*"&amp;T264&amp;"*")&gt;0), AND(AB264&lt;&gt;"", COUNTIF(Lookups!J:J, "*"&amp;AB264&amp;"*")&gt;0)), "Yes", "No")</f>
        <v>Yes</v>
      </c>
      <c r="H264" s="2" t="str">
        <f t="shared" si="17"/>
        <v>850DC Decarb Infrastructure|851DC Heavy Mobile Equipment (HME)</v>
      </c>
      <c r="I264" s="2" t="str">
        <f t="shared" si="18"/>
        <v>850DC-1520 Trailing Cable|851DC-1591 Excavator (&gt;110t)</v>
      </c>
      <c r="J264" s="2" t="str">
        <f t="shared" si="19"/>
        <v>N/A</v>
      </c>
      <c r="K264" s="2" t="str">
        <f>_xlfn.XLOOKUP(A264,'EA-Fortescue_SDExport'!A:A,'EA-Fortescue_SDExport'!N:N)</f>
        <v>Proposed</v>
      </c>
      <c r="L264" s="2" t="str">
        <f>_xlfn.LET(_xlpm.result, _xlfn.XLOOKUP($A264,'EA-Fortescue_SDExport'!$A:$A,'EA-Fortescue_SDExport'!AQ:AQ), IF(_xlpm.result=0,"",_xlpm.result))</f>
        <v/>
      </c>
      <c r="M264" s="2" t="str">
        <f>_xlfn.LET(_xlpm.result, _xlfn.XLOOKUP($A264,'EA-Fortescue_SDExport'!$A:$A,'EA-Fortescue_SDExport'!AR:AR), IF(_xlpm.result=0,"",_xlpm.result))</f>
        <v/>
      </c>
      <c r="N264" s="2" t="str">
        <f>_xlfn.LET(_xlpm.result, _xlfn.XLOOKUP($A264,'EA-Fortescue_SDExport'!$A:$A,'EA-Fortescue_SDExport'!AW:AW), IF(_xlpm.result=0,"",_xlpm.result))</f>
        <v/>
      </c>
      <c r="O264" s="2" t="str">
        <f>_xlfn.LET(_xlpm.result, _xlfn.XLOOKUP($A264,'EA-Fortescue_SDExport'!$A:$A,'EA-Fortescue_SDExport'!AV:AV), IF(_xlpm.result=0,"",_xlpm.result))</f>
        <v/>
      </c>
      <c r="P264" s="2" t="str">
        <f>_xlfn.LET(_xlpm.result, _xlfn.XLOOKUP($A264,'EA-Fortescue_SDExport'!$A:$A,'EA-Fortescue_SDExport'!D:D), IF(_xlpm.result=0,"",_xlpm.result))</f>
        <v/>
      </c>
      <c r="Q264" s="2" t="str">
        <f>_xlfn.LET(
    _xlpm.status, _xlfn.XLOOKUP($A264,'EA-ConnectorExport'!$A:$A,'EA-ConnectorExport'!G:G),
    _xlpm.result, _xlfn.XLOOKUP($A264,'EA-ConnectorExport'!$A:$A,'EA-ConnectorExport'!B:B),
    IF(_xlpm.status="allocate", _xlpm.result, "")
)</f>
        <v>Solomon Mine Hub: Trailing Cable</v>
      </c>
      <c r="R264" s="2" t="str">
        <f>IF(
    _xlfn.XLOOKUP($Q264,'EA-Fortescue_SDExport'!A:A,'EA-Fortescue_SDExport'!B:B)="Object",
    _xlfn.XLOOKUP(
        _xlfn.XLOOKUP($A264,'EA-ConnectorExport'!A:A,'EA-ConnectorExport'!D:D),
        'EA-Fortescue_SDExport'!A:A,
        'EA-Fortescue_SDExport'!AA:AA
    ),
    _xlfn.XLOOKUP($Q264,'EA-Fortescue_SDExport'!A:A,'EA-Fortescue_SDExport'!AA:AA)
)</f>
        <v>System</v>
      </c>
      <c r="S264" s="2" t="str">
        <f>_xlfn.LET(_xlpm.result, _xlfn.XLOOKUP($Q264,'EA-Fortescue_SDExport'!$A:$A,'EA-Fortescue_SDExport'!AB:AB), IF(_xlpm.result=0,"",_xlpm.result))</f>
        <v/>
      </c>
      <c r="T264" s="2" t="str">
        <f>_xlfn.LET(_xlpm.result, _xlfn.XLOOKUP($Q264,'EA-Fortescue_SDExport'!$A:$A,'EA-Fortescue_SDExport'!AC:AC), IF(_xlpm.result=0,"",_xlpm.result))</f>
        <v>Solomon Mine Hub</v>
      </c>
      <c r="U264" s="2" t="str">
        <f>_xlfn.LET(
    _xlpm.isObject, _xlfn.XLOOKUP($Q264,'EA-Fortescue_SDExport'!A:A,'EA-Fortescue_SDExport'!B:B),
    _xlpm.lookupKey, IF(_xlpm.isObject="Object",
        _xlfn.XLOOKUP($A264,'EA-ConnectorExport'!A:A,'EA-ConnectorExport'!D:D),
        $Q264
    ),
    _xlpm.result, _xlfn.XLOOKUP(_xlpm.lookupKey,'EA-Fortescue_SDExport'!A:A,'EA-Fortescue_SDExport'!AD:AD),
    IF(_xlpm.result=0,"",_xlpm.result)
)</f>
        <v>850DC Decarb Infrastructure</v>
      </c>
      <c r="V264" s="2" t="str">
        <f>_xlfn.LET(
    _xlpm.isObject, _xlfn.XLOOKUP($Q264,'EA-Fortescue_SDExport'!A:A,'EA-Fortescue_SDExport'!B:B),
    _xlpm.lookupKey, IF(_xlpm.isObject="Object",
        _xlfn.XLOOKUP($A264,'EA-ConnectorExport'!A:A,'EA-ConnectorExport'!D:D),
        $Q264
    ),
    _xlpm.result, _xlfn.XLOOKUP(_xlpm.lookupKey,'EA-Fortescue_SDExport'!A:A,'EA-Fortescue_SDExport'!AE:AE),
    IF(_xlpm.result=0,"",_xlpm.result)
)</f>
        <v>850DC-1520 Trailing Cable</v>
      </c>
      <c r="W264" s="2" t="str">
        <f>_xlfn.LET(
    _xlpm.isObject, _xlfn.XLOOKUP($Q264,'EA-Fortescue_SDExport'!A:A,'EA-Fortescue_SDExport'!B:B),
    _xlpm.lookupKey, IF(_xlpm.isObject="Object",
        _xlfn.XLOOKUP($A264,'EA-ConnectorExport'!A:A,'EA-ConnectorExport'!D:D),
        $Q264
    ),
    _xlpm.result, _xlfn.XLOOKUP(_xlpm.lookupKey,'EA-Fortescue_SDExport'!A:A,'EA-Fortescue_SDExport'!AF:AF),
    IF(_xlpm.result=0,"",_xlpm.result)
)</f>
        <v/>
      </c>
      <c r="X264" s="2" t="str">
        <f>_xlfn.LET(
    _xlpm.isObject, _xlfn.XLOOKUP($Q264,'EA-Fortescue_SDExport'!A:A,'EA-Fortescue_SDExport'!B:B),
    _xlpm.lookupKey, IF(_xlpm.isObject="Object",
        _xlfn.XLOOKUP($A264,'EA-ConnectorExport'!A:A,'EA-ConnectorExport'!D:D),
        $Q264
    ),
    _xlpm.result, _xlfn.XLOOKUP(_xlpm.lookupKey,'EA-Fortescue_SDExport'!A:A,'EA-Fortescue_SDExport'!AG:AG),
    IF(_xlpm.result=0,"",_xlpm.result)
)</f>
        <v/>
      </c>
      <c r="Y264" s="2" t="str">
        <f>_xlfn.LET(
    _xlpm.status, _xlfn.XLOOKUP($A264,'EA-ConnectorExport'!$A:$A,'EA-ConnectorExport'!G:G),
    _xlpm.result, _xlfn.XLOOKUP($A264,'EA-ConnectorExport'!$A:$A,'EA-ConnectorExport'!H:H),
    IF(_xlpm.status="allocate", _xlpm.result, "")
)</f>
        <v>Solomon Mine Hub: Excavator [&gt;110t]</v>
      </c>
      <c r="Z264" s="2" t="str">
        <f>_xlfn.LET(
    _xlpm.isObject, _xlfn.XLOOKUP($Y264,'EA-Fortescue_SDExport'!A:A,'EA-Fortescue_SDExport'!B:B),
    _xlpm.lookupKey, IF(_xlpm.isObject="Object",
        _xlfn.XLOOKUP($A264,'EA-ConnectorExport'!A:A,'EA-ConnectorExport'!J:J),
        $Y264
    ),
    _xlpm.result, _xlfn.XLOOKUP(_xlpm.lookupKey,'EA-Fortescue_SDExport'!A:A,'EA-Fortescue_SDExport'!AA:AA),
    IF(_xlpm.result=0,"",_xlpm.result)
)</f>
        <v>System</v>
      </c>
      <c r="AA264" s="2" t="str">
        <f>_xlfn.LET(_xlpm.result, _xlfn.XLOOKUP($Y264,'EA-Fortescue_SDExport'!$A:$A,'EA-Fortescue_SDExport'!AB:AB), IF(_xlpm.result=0,"",_xlpm.result))</f>
        <v/>
      </c>
      <c r="AB264" s="2" t="str">
        <f>_xlfn.LET(_xlpm.result, _xlfn.XLOOKUP($Y264,'EA-Fortescue_SDExport'!$A:$A,'EA-Fortescue_SDExport'!AC:AC), IF(_xlpm.result=0,"",_xlpm.result))</f>
        <v>Solomon Mine Hub</v>
      </c>
      <c r="AC264" s="2" t="str">
        <f>_xlfn.LET(
    _xlpm.isObject, _xlfn.XLOOKUP($Y264,'EA-Fortescue_SDExport'!A:A,'EA-Fortescue_SDExport'!B:B),
    _xlpm.lookupKey, IF(_xlpm.isObject="Object",
        _xlfn.XLOOKUP($A264,'EA-ConnectorExport'!A:A,'EA-ConnectorExport'!J:J),
        $Y264
    ),
    _xlpm.result, _xlfn.XLOOKUP(_xlpm.lookupKey,'EA-Fortescue_SDExport'!A:A,'EA-Fortescue_SDExport'!AD:AD),
    IF(_xlpm.result=0,"",_xlpm.result)
)</f>
        <v>851DC Heavy Mobile Equipment (HME)</v>
      </c>
      <c r="AD264" s="2" t="str">
        <f>_xlfn.LET(
    _xlpm.isObject, _xlfn.XLOOKUP($Y264,'EA-Fortescue_SDExport'!A:A,'EA-Fortescue_SDExport'!B:B),
    _xlpm.lookupKey, IF(_xlpm.isObject="Object",
        _xlfn.XLOOKUP($A264,'EA-ConnectorExport'!A:A,'EA-ConnectorExport'!J:J),
        $Y264
    ),
    _xlpm.result, _xlfn.XLOOKUP(_xlpm.lookupKey,'EA-Fortescue_SDExport'!A:A,'EA-Fortescue_SDExport'!AE:AE),
    IF(_xlpm.result=0,"",_xlpm.result)
)</f>
        <v>851DC-1591 Excavator (&gt;110t)</v>
      </c>
      <c r="AE264" s="2" t="str">
        <f>_xlfn.LET(
    _xlpm.isObject, _xlfn.XLOOKUP($Y264,'EA-Fortescue_SDExport'!A:A,'EA-Fortescue_SDExport'!B:B),
    _xlpm.lookupKey, IF(_xlpm.isObject="Object",
        _xlfn.XLOOKUP($A264,'EA-ConnectorExport'!A:A,'EA-ConnectorExport'!J:J),
        $Y264
    ),
    _xlpm.result, _xlfn.XLOOKUP(_xlpm.lookupKey,'EA-Fortescue_SDExport'!A:A,'EA-Fortescue_SDExport'!AF:AF),
    IF(_xlpm.result=0,"",_xlpm.result)
)</f>
        <v/>
      </c>
      <c r="AF264" s="2" t="str">
        <f>_xlfn.LET(
    _xlpm.isObject, _xlfn.XLOOKUP($Y264,'EA-Fortescue_SDExport'!A:A,'EA-Fortescue_SDExport'!B:B),
    _xlpm.lookupKey, IF(_xlpm.isObject="Object",
        _xlfn.XLOOKUP($A264,'EA-ConnectorExport'!A:A,'EA-ConnectorExport'!J:J),
        $Y264
    ),
    _xlpm.result, _xlfn.XLOOKUP(_xlpm.lookupKey,'EA-Fortescue_SDExport'!A:A,'EA-Fortescue_SDExport'!AG:AG),
    IF(_xlpm.result=0,"",_xlpm.result)
)</f>
        <v/>
      </c>
    </row>
    <row r="265" spans="1:32" ht="45" x14ac:dyDescent="0.25">
      <c r="A265" s="2" t="str">
        <v>DGS-I_0264</v>
      </c>
      <c r="B265" s="2" t="str">
        <f t="shared" si="16"/>
        <v>Solomon Mine Hub: Trailing Cable|Solomon Mine Hub: HME Chargers</v>
      </c>
      <c r="C265" s="2" t="str">
        <f>_xlfn.LET(_xlpm.result, _xlfn.XLOOKUP(A265,'EA-Fortescue_SDExport'!A:A,'EA-Fortescue_SDExport'!AM:AM), IF(_xlpm.result=0,"",_xlpm.result))</f>
        <v/>
      </c>
      <c r="D265" s="2" t="str">
        <f>_xlfn.LET(_xlpm.result, _xlfn.XLOOKUP(A265,'EA-Fortescue_SDExport'!A:A,'EA-Fortescue_SDExport'!AN:AN), IF(_xlpm.result=0,"",_xlpm.result))</f>
        <v/>
      </c>
      <c r="E265" s="2" t="str">
        <f>_xlfn.XLOOKUP(R265&amp;Z265,Lookups!A:A,Lookups!B:B)</f>
        <v>System - Project Interface</v>
      </c>
      <c r="F265" s="2" t="str">
        <f>_xlfn.LET(_xlpm.result, _xlfn.XLOOKUP(A265,'EA-Fortescue_SDExport'!A:A,'EA-Fortescue_SDExport'!AP:AP), IF(_xlpm.result=0,"",_xlpm.result))</f>
        <v/>
      </c>
      <c r="G265" s="2" t="str">
        <f>IF(OR(AND(T265&lt;&gt;"", COUNTIF(Lookups!J:J, "*"&amp;T265&amp;"*")&gt;0), AND(AB265&lt;&gt;"", COUNTIF(Lookups!J:J, "*"&amp;AB265&amp;"*")&gt;0)), "Yes", "No")</f>
        <v>Yes</v>
      </c>
      <c r="H265" s="2" t="str">
        <f t="shared" si="17"/>
        <v>850DC Decarb Infrastructure|850DC Decarb Infrastructure</v>
      </c>
      <c r="I265" s="2" t="str">
        <f t="shared" si="18"/>
        <v>850DC-1520 Trailing Cable|850DC-1510 Chargers</v>
      </c>
      <c r="J265" s="2" t="str">
        <f t="shared" si="19"/>
        <v>N/A|850DC-1512-0001 HME Chargers - Gen1</v>
      </c>
      <c r="K265" s="2" t="str">
        <f>_xlfn.XLOOKUP(A265,'EA-Fortescue_SDExport'!A:A,'EA-Fortescue_SDExport'!N:N)</f>
        <v>Proposed</v>
      </c>
      <c r="L265" s="2" t="str">
        <f>_xlfn.LET(_xlpm.result, _xlfn.XLOOKUP($A265,'EA-Fortescue_SDExport'!$A:$A,'EA-Fortescue_SDExport'!AQ:AQ), IF(_xlpm.result=0,"",_xlpm.result))</f>
        <v/>
      </c>
      <c r="M265" s="2" t="str">
        <f>_xlfn.LET(_xlpm.result, _xlfn.XLOOKUP($A265,'EA-Fortescue_SDExport'!$A:$A,'EA-Fortescue_SDExport'!AR:AR), IF(_xlpm.result=0,"",_xlpm.result))</f>
        <v/>
      </c>
      <c r="N265" s="2" t="str">
        <f>_xlfn.LET(_xlpm.result, _xlfn.XLOOKUP($A265,'EA-Fortescue_SDExport'!$A:$A,'EA-Fortescue_SDExport'!AW:AW), IF(_xlpm.result=0,"",_xlpm.result))</f>
        <v/>
      </c>
      <c r="O265" s="2" t="str">
        <f>_xlfn.LET(_xlpm.result, _xlfn.XLOOKUP($A265,'EA-Fortescue_SDExport'!$A:$A,'EA-Fortescue_SDExport'!AV:AV), IF(_xlpm.result=0,"",_xlpm.result))</f>
        <v/>
      </c>
      <c r="P265" s="2" t="str">
        <f>_xlfn.LET(_xlpm.result, _xlfn.XLOOKUP($A265,'EA-Fortescue_SDExport'!$A:$A,'EA-Fortescue_SDExport'!D:D), IF(_xlpm.result=0,"",_xlpm.result))</f>
        <v/>
      </c>
      <c r="Q265" s="2" t="str">
        <f>_xlfn.LET(
    _xlpm.status, _xlfn.XLOOKUP($A265,'EA-ConnectorExport'!$A:$A,'EA-ConnectorExport'!G:G),
    _xlpm.result, _xlfn.XLOOKUP($A265,'EA-ConnectorExport'!$A:$A,'EA-ConnectorExport'!B:B),
    IF(_xlpm.status="allocate", _xlpm.result, "")
)</f>
        <v>Solomon Mine Hub: Trailing Cable</v>
      </c>
      <c r="R265" s="2" t="str">
        <f>IF(
    _xlfn.XLOOKUP($Q265,'EA-Fortescue_SDExport'!A:A,'EA-Fortescue_SDExport'!B:B)="Object",
    _xlfn.XLOOKUP(
        _xlfn.XLOOKUP($A265,'EA-ConnectorExport'!A:A,'EA-ConnectorExport'!D:D),
        'EA-Fortescue_SDExport'!A:A,
        'EA-Fortescue_SDExport'!AA:AA
    ),
    _xlfn.XLOOKUP($Q265,'EA-Fortescue_SDExport'!A:A,'EA-Fortescue_SDExport'!AA:AA)
)</f>
        <v>System</v>
      </c>
      <c r="S265" s="2" t="str">
        <f>_xlfn.LET(_xlpm.result, _xlfn.XLOOKUP($Q265,'EA-Fortescue_SDExport'!$A:$A,'EA-Fortescue_SDExport'!AB:AB), IF(_xlpm.result=0,"",_xlpm.result))</f>
        <v/>
      </c>
      <c r="T265" s="2" t="str">
        <f>_xlfn.LET(_xlpm.result, _xlfn.XLOOKUP($Q265,'EA-Fortescue_SDExport'!$A:$A,'EA-Fortescue_SDExport'!AC:AC), IF(_xlpm.result=0,"",_xlpm.result))</f>
        <v>Solomon Mine Hub</v>
      </c>
      <c r="U265" s="2" t="str">
        <f>_xlfn.LET(
    _xlpm.isObject, _xlfn.XLOOKUP($Q265,'EA-Fortescue_SDExport'!A:A,'EA-Fortescue_SDExport'!B:B),
    _xlpm.lookupKey, IF(_xlpm.isObject="Object",
        _xlfn.XLOOKUP($A265,'EA-ConnectorExport'!A:A,'EA-ConnectorExport'!D:D),
        $Q265
    ),
    _xlpm.result, _xlfn.XLOOKUP(_xlpm.lookupKey,'EA-Fortescue_SDExport'!A:A,'EA-Fortescue_SDExport'!AD:AD),
    IF(_xlpm.result=0,"",_xlpm.result)
)</f>
        <v>850DC Decarb Infrastructure</v>
      </c>
      <c r="V265" s="2" t="str">
        <f>_xlfn.LET(
    _xlpm.isObject, _xlfn.XLOOKUP($Q265,'EA-Fortescue_SDExport'!A:A,'EA-Fortescue_SDExport'!B:B),
    _xlpm.lookupKey, IF(_xlpm.isObject="Object",
        _xlfn.XLOOKUP($A265,'EA-ConnectorExport'!A:A,'EA-ConnectorExport'!D:D),
        $Q265
    ),
    _xlpm.result, _xlfn.XLOOKUP(_xlpm.lookupKey,'EA-Fortescue_SDExport'!A:A,'EA-Fortescue_SDExport'!AE:AE),
    IF(_xlpm.result=0,"",_xlpm.result)
)</f>
        <v>850DC-1520 Trailing Cable</v>
      </c>
      <c r="W265" s="2" t="str">
        <f>_xlfn.LET(
    _xlpm.isObject, _xlfn.XLOOKUP($Q265,'EA-Fortescue_SDExport'!A:A,'EA-Fortescue_SDExport'!B:B),
    _xlpm.lookupKey, IF(_xlpm.isObject="Object",
        _xlfn.XLOOKUP($A265,'EA-ConnectorExport'!A:A,'EA-ConnectorExport'!D:D),
        $Q265
    ),
    _xlpm.result, _xlfn.XLOOKUP(_xlpm.lookupKey,'EA-Fortescue_SDExport'!A:A,'EA-Fortescue_SDExport'!AF:AF),
    IF(_xlpm.result=0,"",_xlpm.result)
)</f>
        <v/>
      </c>
      <c r="X265" s="2" t="str">
        <f>_xlfn.LET(
    _xlpm.isObject, _xlfn.XLOOKUP($Q265,'EA-Fortescue_SDExport'!A:A,'EA-Fortescue_SDExport'!B:B),
    _xlpm.lookupKey, IF(_xlpm.isObject="Object",
        _xlfn.XLOOKUP($A265,'EA-ConnectorExport'!A:A,'EA-ConnectorExport'!D:D),
        $Q265
    ),
    _xlpm.result, _xlfn.XLOOKUP(_xlpm.lookupKey,'EA-Fortescue_SDExport'!A:A,'EA-Fortescue_SDExport'!AG:AG),
    IF(_xlpm.result=0,"",_xlpm.result)
)</f>
        <v/>
      </c>
      <c r="Y265" s="2" t="str">
        <f>_xlfn.LET(
    _xlpm.status, _xlfn.XLOOKUP($A265,'EA-ConnectorExport'!$A:$A,'EA-ConnectorExport'!G:G),
    _xlpm.result, _xlfn.XLOOKUP($A265,'EA-ConnectorExport'!$A:$A,'EA-ConnectorExport'!H:H),
    IF(_xlpm.status="allocate", _xlpm.result, "")
)</f>
        <v>Solomon Mine Hub: HME Chargers</v>
      </c>
      <c r="Z265" s="2" t="str">
        <f>_xlfn.LET(
    _xlpm.isObject, _xlfn.XLOOKUP($Y265,'EA-Fortescue_SDExport'!A:A,'EA-Fortescue_SDExport'!B:B),
    _xlpm.lookupKey, IF(_xlpm.isObject="Object",
        _xlfn.XLOOKUP($A265,'EA-ConnectorExport'!A:A,'EA-ConnectorExport'!J:J),
        $Y265
    ),
    _xlpm.result, _xlfn.XLOOKUP(_xlpm.lookupKey,'EA-Fortescue_SDExport'!A:A,'EA-Fortescue_SDExport'!AA:AA),
    IF(_xlpm.result=0,"",_xlpm.result)
)</f>
        <v>Project</v>
      </c>
      <c r="AA265" s="2" t="str">
        <f>_xlfn.LET(_xlpm.result, _xlfn.XLOOKUP($Y265,'EA-Fortescue_SDExport'!$A:$A,'EA-Fortescue_SDExport'!AB:AB), IF(_xlpm.result=0,"",_xlpm.result))</f>
        <v/>
      </c>
      <c r="AB265" s="2" t="str">
        <f>_xlfn.LET(_xlpm.result, _xlfn.XLOOKUP($Y265,'EA-Fortescue_SDExport'!$A:$A,'EA-Fortescue_SDExport'!AC:AC), IF(_xlpm.result=0,"",_xlpm.result))</f>
        <v>Solomon Mine Hub</v>
      </c>
      <c r="AC265" s="2" t="str">
        <f>_xlfn.LET(
    _xlpm.isObject, _xlfn.XLOOKUP($Y265,'EA-Fortescue_SDExport'!A:A,'EA-Fortescue_SDExport'!B:B),
    _xlpm.lookupKey, IF(_xlpm.isObject="Object",
        _xlfn.XLOOKUP($A265,'EA-ConnectorExport'!A:A,'EA-ConnectorExport'!J:J),
        $Y265
    ),
    _xlpm.result, _xlfn.XLOOKUP(_xlpm.lookupKey,'EA-Fortescue_SDExport'!A:A,'EA-Fortescue_SDExport'!AD:AD),
    IF(_xlpm.result=0,"",_xlpm.result)
)</f>
        <v>850DC Decarb Infrastructure</v>
      </c>
      <c r="AD265" s="2" t="str">
        <f>_xlfn.LET(
    _xlpm.isObject, _xlfn.XLOOKUP($Y265,'EA-Fortescue_SDExport'!A:A,'EA-Fortescue_SDExport'!B:B),
    _xlpm.lookupKey, IF(_xlpm.isObject="Object",
        _xlfn.XLOOKUP($A265,'EA-ConnectorExport'!A:A,'EA-ConnectorExport'!J:J),
        $Y265
    ),
    _xlpm.result, _xlfn.XLOOKUP(_xlpm.lookupKey,'EA-Fortescue_SDExport'!A:A,'EA-Fortescue_SDExport'!AE:AE),
    IF(_xlpm.result=0,"",_xlpm.result)
)</f>
        <v>850DC-1510 Chargers</v>
      </c>
      <c r="AE265" s="2" t="str">
        <f>_xlfn.LET(
    _xlpm.isObject, _xlfn.XLOOKUP($Y265,'EA-Fortescue_SDExport'!A:A,'EA-Fortescue_SDExport'!B:B),
    _xlpm.lookupKey, IF(_xlpm.isObject="Object",
        _xlfn.XLOOKUP($A265,'EA-ConnectorExport'!A:A,'EA-ConnectorExport'!J:J),
        $Y265
    ),
    _xlpm.result, _xlfn.XLOOKUP(_xlpm.lookupKey,'EA-Fortescue_SDExport'!A:A,'EA-Fortescue_SDExport'!AF:AF),
    IF(_xlpm.result=0,"",_xlpm.result)
)</f>
        <v>850DC-1512-0001 HME Chargers - Gen1</v>
      </c>
      <c r="AF265" s="2" t="str">
        <f>_xlfn.LET(
    _xlpm.isObject, _xlfn.XLOOKUP($Y265,'EA-Fortescue_SDExport'!A:A,'EA-Fortescue_SDExport'!B:B),
    _xlpm.lookupKey, IF(_xlpm.isObject="Object",
        _xlfn.XLOOKUP($A265,'EA-ConnectorExport'!A:A,'EA-ConnectorExport'!J:J),
        $Y265
    ),
    _xlpm.result, _xlfn.XLOOKUP(_xlpm.lookupKey,'EA-Fortescue_SDExport'!A:A,'EA-Fortescue_SDExport'!AG:AG),
    IF(_xlpm.result=0,"",_xlpm.result)
)</f>
        <v/>
      </c>
    </row>
    <row r="266" spans="1:32" ht="45" x14ac:dyDescent="0.25">
      <c r="A266" s="2" t="str">
        <v>DGS-I_0265</v>
      </c>
      <c r="B266" s="2" t="str">
        <f t="shared" si="16"/>
        <v>Solomon Mine Hub: Trailing Cable|Solomon Mine Hub: HME Auxilary Chargers</v>
      </c>
      <c r="C266" s="2" t="str">
        <f>_xlfn.LET(_xlpm.result, _xlfn.XLOOKUP(A266,'EA-Fortescue_SDExport'!A:A,'EA-Fortescue_SDExport'!AM:AM), IF(_xlpm.result=0,"",_xlpm.result))</f>
        <v/>
      </c>
      <c r="D266" s="2" t="str">
        <f>_xlfn.LET(_xlpm.result, _xlfn.XLOOKUP(A266,'EA-Fortescue_SDExport'!A:A,'EA-Fortescue_SDExport'!AN:AN), IF(_xlpm.result=0,"",_xlpm.result))</f>
        <v/>
      </c>
      <c r="E266" s="2" t="str">
        <f>_xlfn.XLOOKUP(R266&amp;Z266,Lookups!A:A,Lookups!B:B)</f>
        <v>System - Project Interface</v>
      </c>
      <c r="F266" s="2" t="str">
        <f>_xlfn.LET(_xlpm.result, _xlfn.XLOOKUP(A266,'EA-Fortescue_SDExport'!A:A,'EA-Fortescue_SDExport'!AP:AP), IF(_xlpm.result=0,"",_xlpm.result))</f>
        <v/>
      </c>
      <c r="G266" s="2" t="str">
        <f>IF(OR(AND(T266&lt;&gt;"", COUNTIF(Lookups!J:J, "*"&amp;T266&amp;"*")&gt;0), AND(AB266&lt;&gt;"", COUNTIF(Lookups!J:J, "*"&amp;AB266&amp;"*")&gt;0)), "Yes", "No")</f>
        <v>Yes</v>
      </c>
      <c r="H266" s="2" t="str">
        <f t="shared" si="17"/>
        <v>850DC Decarb Infrastructure|850DC Decarb Infrastructure</v>
      </c>
      <c r="I266" s="2" t="str">
        <f t="shared" si="18"/>
        <v>850DC-1520 Trailing Cable|850DC-1510 Chargers</v>
      </c>
      <c r="J266" s="2" t="str">
        <f t="shared" si="19"/>
        <v>N/A|850DC-1513-0002 HME Auxilary Chargers</v>
      </c>
      <c r="K266" s="2" t="str">
        <f>_xlfn.XLOOKUP(A266,'EA-Fortescue_SDExport'!A:A,'EA-Fortescue_SDExport'!N:N)</f>
        <v>Proposed</v>
      </c>
      <c r="L266" s="2" t="str">
        <f>_xlfn.LET(_xlpm.result, _xlfn.XLOOKUP($A266,'EA-Fortescue_SDExport'!$A:$A,'EA-Fortescue_SDExport'!AQ:AQ), IF(_xlpm.result=0,"",_xlpm.result))</f>
        <v/>
      </c>
      <c r="M266" s="2" t="str">
        <f>_xlfn.LET(_xlpm.result, _xlfn.XLOOKUP($A266,'EA-Fortescue_SDExport'!$A:$A,'EA-Fortescue_SDExport'!AR:AR), IF(_xlpm.result=0,"",_xlpm.result))</f>
        <v/>
      </c>
      <c r="N266" s="2" t="str">
        <f>_xlfn.LET(_xlpm.result, _xlfn.XLOOKUP($A266,'EA-Fortescue_SDExport'!$A:$A,'EA-Fortescue_SDExport'!AW:AW), IF(_xlpm.result=0,"",_xlpm.result))</f>
        <v/>
      </c>
      <c r="O266" s="2" t="str">
        <f>_xlfn.LET(_xlpm.result, _xlfn.XLOOKUP($A266,'EA-Fortescue_SDExport'!$A:$A,'EA-Fortescue_SDExport'!AV:AV), IF(_xlpm.result=0,"",_xlpm.result))</f>
        <v/>
      </c>
      <c r="P266" s="2" t="str">
        <f>_xlfn.LET(_xlpm.result, _xlfn.XLOOKUP($A266,'EA-Fortescue_SDExport'!$A:$A,'EA-Fortescue_SDExport'!D:D), IF(_xlpm.result=0,"",_xlpm.result))</f>
        <v/>
      </c>
      <c r="Q266" s="2" t="str">
        <f>_xlfn.LET(
    _xlpm.status, _xlfn.XLOOKUP($A266,'EA-ConnectorExport'!$A:$A,'EA-ConnectorExport'!G:G),
    _xlpm.result, _xlfn.XLOOKUP($A266,'EA-ConnectorExport'!$A:$A,'EA-ConnectorExport'!B:B),
    IF(_xlpm.status="allocate", _xlpm.result, "")
)</f>
        <v>Solomon Mine Hub: Trailing Cable</v>
      </c>
      <c r="R266" s="2" t="str">
        <f>IF(
    _xlfn.XLOOKUP($Q266,'EA-Fortescue_SDExport'!A:A,'EA-Fortescue_SDExport'!B:B)="Object",
    _xlfn.XLOOKUP(
        _xlfn.XLOOKUP($A266,'EA-ConnectorExport'!A:A,'EA-ConnectorExport'!D:D),
        'EA-Fortescue_SDExport'!A:A,
        'EA-Fortescue_SDExport'!AA:AA
    ),
    _xlfn.XLOOKUP($Q266,'EA-Fortescue_SDExport'!A:A,'EA-Fortescue_SDExport'!AA:AA)
)</f>
        <v>System</v>
      </c>
      <c r="S266" s="2" t="str">
        <f>_xlfn.LET(_xlpm.result, _xlfn.XLOOKUP($Q266,'EA-Fortescue_SDExport'!$A:$A,'EA-Fortescue_SDExport'!AB:AB), IF(_xlpm.result=0,"",_xlpm.result))</f>
        <v/>
      </c>
      <c r="T266" s="2" t="str">
        <f>_xlfn.LET(_xlpm.result, _xlfn.XLOOKUP($Q266,'EA-Fortescue_SDExport'!$A:$A,'EA-Fortescue_SDExport'!AC:AC), IF(_xlpm.result=0,"",_xlpm.result))</f>
        <v>Solomon Mine Hub</v>
      </c>
      <c r="U266" s="2" t="str">
        <f>_xlfn.LET(
    _xlpm.isObject, _xlfn.XLOOKUP($Q266,'EA-Fortescue_SDExport'!A:A,'EA-Fortescue_SDExport'!B:B),
    _xlpm.lookupKey, IF(_xlpm.isObject="Object",
        _xlfn.XLOOKUP($A266,'EA-ConnectorExport'!A:A,'EA-ConnectorExport'!D:D),
        $Q266
    ),
    _xlpm.result, _xlfn.XLOOKUP(_xlpm.lookupKey,'EA-Fortescue_SDExport'!A:A,'EA-Fortescue_SDExport'!AD:AD),
    IF(_xlpm.result=0,"",_xlpm.result)
)</f>
        <v>850DC Decarb Infrastructure</v>
      </c>
      <c r="V266" s="2" t="str">
        <f>_xlfn.LET(
    _xlpm.isObject, _xlfn.XLOOKUP($Q266,'EA-Fortescue_SDExport'!A:A,'EA-Fortescue_SDExport'!B:B),
    _xlpm.lookupKey, IF(_xlpm.isObject="Object",
        _xlfn.XLOOKUP($A266,'EA-ConnectorExport'!A:A,'EA-ConnectorExport'!D:D),
        $Q266
    ),
    _xlpm.result, _xlfn.XLOOKUP(_xlpm.lookupKey,'EA-Fortescue_SDExport'!A:A,'EA-Fortescue_SDExport'!AE:AE),
    IF(_xlpm.result=0,"",_xlpm.result)
)</f>
        <v>850DC-1520 Trailing Cable</v>
      </c>
      <c r="W266" s="2" t="str">
        <f>_xlfn.LET(
    _xlpm.isObject, _xlfn.XLOOKUP($Q266,'EA-Fortescue_SDExport'!A:A,'EA-Fortescue_SDExport'!B:B),
    _xlpm.lookupKey, IF(_xlpm.isObject="Object",
        _xlfn.XLOOKUP($A266,'EA-ConnectorExport'!A:A,'EA-ConnectorExport'!D:D),
        $Q266
    ),
    _xlpm.result, _xlfn.XLOOKUP(_xlpm.lookupKey,'EA-Fortescue_SDExport'!A:A,'EA-Fortescue_SDExport'!AF:AF),
    IF(_xlpm.result=0,"",_xlpm.result)
)</f>
        <v/>
      </c>
      <c r="X266" s="2" t="str">
        <f>_xlfn.LET(
    _xlpm.isObject, _xlfn.XLOOKUP($Q266,'EA-Fortescue_SDExport'!A:A,'EA-Fortescue_SDExport'!B:B),
    _xlpm.lookupKey, IF(_xlpm.isObject="Object",
        _xlfn.XLOOKUP($A266,'EA-ConnectorExport'!A:A,'EA-ConnectorExport'!D:D),
        $Q266
    ),
    _xlpm.result, _xlfn.XLOOKUP(_xlpm.lookupKey,'EA-Fortescue_SDExport'!A:A,'EA-Fortescue_SDExport'!AG:AG),
    IF(_xlpm.result=0,"",_xlpm.result)
)</f>
        <v/>
      </c>
      <c r="Y266" s="2" t="str">
        <f>_xlfn.LET(
    _xlpm.status, _xlfn.XLOOKUP($A266,'EA-ConnectorExport'!$A:$A,'EA-ConnectorExport'!G:G),
    _xlpm.result, _xlfn.XLOOKUP($A266,'EA-ConnectorExport'!$A:$A,'EA-ConnectorExport'!H:H),
    IF(_xlpm.status="allocate", _xlpm.result, "")
)</f>
        <v>Solomon Mine Hub: HME Auxilary Chargers</v>
      </c>
      <c r="Z266" s="2" t="str">
        <f>_xlfn.LET(
    _xlpm.isObject, _xlfn.XLOOKUP($Y266,'EA-Fortescue_SDExport'!A:A,'EA-Fortescue_SDExport'!B:B),
    _xlpm.lookupKey, IF(_xlpm.isObject="Object",
        _xlfn.XLOOKUP($A266,'EA-ConnectorExport'!A:A,'EA-ConnectorExport'!J:J),
        $Y266
    ),
    _xlpm.result, _xlfn.XLOOKUP(_xlpm.lookupKey,'EA-Fortescue_SDExport'!A:A,'EA-Fortescue_SDExport'!AA:AA),
    IF(_xlpm.result=0,"",_xlpm.result)
)</f>
        <v>Project</v>
      </c>
      <c r="AA266" s="2" t="str">
        <f>_xlfn.LET(_xlpm.result, _xlfn.XLOOKUP($Y266,'EA-Fortescue_SDExport'!$A:$A,'EA-Fortescue_SDExport'!AB:AB), IF(_xlpm.result=0,"",_xlpm.result))</f>
        <v/>
      </c>
      <c r="AB266" s="2" t="str">
        <f>_xlfn.LET(_xlpm.result, _xlfn.XLOOKUP($Y266,'EA-Fortescue_SDExport'!$A:$A,'EA-Fortescue_SDExport'!AC:AC), IF(_xlpm.result=0,"",_xlpm.result))</f>
        <v>Solomon Mine Hub</v>
      </c>
      <c r="AC266" s="2" t="str">
        <f>_xlfn.LET(
    _xlpm.isObject, _xlfn.XLOOKUP($Y266,'EA-Fortescue_SDExport'!A:A,'EA-Fortescue_SDExport'!B:B),
    _xlpm.lookupKey, IF(_xlpm.isObject="Object",
        _xlfn.XLOOKUP($A266,'EA-ConnectorExport'!A:A,'EA-ConnectorExport'!J:J),
        $Y266
    ),
    _xlpm.result, _xlfn.XLOOKUP(_xlpm.lookupKey,'EA-Fortescue_SDExport'!A:A,'EA-Fortescue_SDExport'!AD:AD),
    IF(_xlpm.result=0,"",_xlpm.result)
)</f>
        <v>850DC Decarb Infrastructure</v>
      </c>
      <c r="AD266" s="2" t="str">
        <f>_xlfn.LET(
    _xlpm.isObject, _xlfn.XLOOKUP($Y266,'EA-Fortescue_SDExport'!A:A,'EA-Fortescue_SDExport'!B:B),
    _xlpm.lookupKey, IF(_xlpm.isObject="Object",
        _xlfn.XLOOKUP($A266,'EA-ConnectorExport'!A:A,'EA-ConnectorExport'!J:J),
        $Y266
    ),
    _xlpm.result, _xlfn.XLOOKUP(_xlpm.lookupKey,'EA-Fortescue_SDExport'!A:A,'EA-Fortescue_SDExport'!AE:AE),
    IF(_xlpm.result=0,"",_xlpm.result)
)</f>
        <v>850DC-1510 Chargers</v>
      </c>
      <c r="AE266" s="2" t="str">
        <f>_xlfn.LET(
    _xlpm.isObject, _xlfn.XLOOKUP($Y266,'EA-Fortescue_SDExport'!A:A,'EA-Fortescue_SDExport'!B:B),
    _xlpm.lookupKey, IF(_xlpm.isObject="Object",
        _xlfn.XLOOKUP($A266,'EA-ConnectorExport'!A:A,'EA-ConnectorExport'!J:J),
        $Y266
    ),
    _xlpm.result, _xlfn.XLOOKUP(_xlpm.lookupKey,'EA-Fortescue_SDExport'!A:A,'EA-Fortescue_SDExport'!AF:AF),
    IF(_xlpm.result=0,"",_xlpm.result)
)</f>
        <v>850DC-1513-0002 HME Auxilary Chargers</v>
      </c>
      <c r="AF266" s="2" t="str">
        <f>_xlfn.LET(
    _xlpm.isObject, _xlfn.XLOOKUP($Y266,'EA-Fortescue_SDExport'!A:A,'EA-Fortescue_SDExport'!B:B),
    _xlpm.lookupKey, IF(_xlpm.isObject="Object",
        _xlfn.XLOOKUP($A266,'EA-ConnectorExport'!A:A,'EA-ConnectorExport'!J:J),
        $Y266
    ),
    _xlpm.result, _xlfn.XLOOKUP(_xlpm.lookupKey,'EA-Fortescue_SDExport'!A:A,'EA-Fortescue_SDExport'!AG:AG),
    IF(_xlpm.result=0,"",_xlpm.result)
)</f>
        <v/>
      </c>
    </row>
    <row r="267" spans="1:32" ht="30" x14ac:dyDescent="0.25">
      <c r="A267" s="2" t="str">
        <v>DGS-I_0266</v>
      </c>
      <c r="B267" s="2" t="str">
        <f t="shared" si="16"/>
        <v>Solomon Mine Hub: Trailing Cable|Solomon Mine Hub: LME / SME Chargers</v>
      </c>
      <c r="C267" s="2" t="str">
        <f>_xlfn.LET(_xlpm.result, _xlfn.XLOOKUP(A267,'EA-Fortescue_SDExport'!A:A,'EA-Fortescue_SDExport'!AM:AM), IF(_xlpm.result=0,"",_xlpm.result))</f>
        <v/>
      </c>
      <c r="D267" s="2" t="str">
        <f>_xlfn.LET(_xlpm.result, _xlfn.XLOOKUP(A267,'EA-Fortescue_SDExport'!A:A,'EA-Fortescue_SDExport'!AN:AN), IF(_xlpm.result=0,"",_xlpm.result))</f>
        <v/>
      </c>
      <c r="E267" s="2" t="str">
        <f>_xlfn.XLOOKUP(R267&amp;Z267,Lookups!A:A,Lookups!B:B)</f>
        <v>System - Project Interface</v>
      </c>
      <c r="F267" s="2" t="str">
        <f>_xlfn.LET(_xlpm.result, _xlfn.XLOOKUP(A267,'EA-Fortescue_SDExport'!A:A,'EA-Fortescue_SDExport'!AP:AP), IF(_xlpm.result=0,"",_xlpm.result))</f>
        <v/>
      </c>
      <c r="G267" s="2" t="str">
        <f>IF(OR(AND(T267&lt;&gt;"", COUNTIF(Lookups!J:J, "*"&amp;T267&amp;"*")&gt;0), AND(AB267&lt;&gt;"", COUNTIF(Lookups!J:J, "*"&amp;AB267&amp;"*")&gt;0)), "Yes", "No")</f>
        <v>Yes</v>
      </c>
      <c r="H267" s="2" t="str">
        <f t="shared" si="17"/>
        <v>850DC Decarb Infrastructure|850DC Decarb Infrastructure</v>
      </c>
      <c r="I267" s="2" t="str">
        <f t="shared" si="18"/>
        <v>850DC-1520 Trailing Cable|850DC-1510 Chargers</v>
      </c>
      <c r="J267" s="2" t="str">
        <f t="shared" si="19"/>
        <v>N/A|850DC-1514-0003 LME / SME Chargers</v>
      </c>
      <c r="K267" s="2" t="str">
        <f>_xlfn.XLOOKUP(A267,'EA-Fortescue_SDExport'!A:A,'EA-Fortescue_SDExport'!N:N)</f>
        <v>Proposed</v>
      </c>
      <c r="L267" s="2" t="str">
        <f>_xlfn.LET(_xlpm.result, _xlfn.XLOOKUP($A267,'EA-Fortescue_SDExport'!$A:$A,'EA-Fortescue_SDExport'!AQ:AQ), IF(_xlpm.result=0,"",_xlpm.result))</f>
        <v/>
      </c>
      <c r="M267" s="2" t="str">
        <f>_xlfn.LET(_xlpm.result, _xlfn.XLOOKUP($A267,'EA-Fortescue_SDExport'!$A:$A,'EA-Fortescue_SDExport'!AR:AR), IF(_xlpm.result=0,"",_xlpm.result))</f>
        <v/>
      </c>
      <c r="N267" s="2" t="str">
        <f>_xlfn.LET(_xlpm.result, _xlfn.XLOOKUP($A267,'EA-Fortescue_SDExport'!$A:$A,'EA-Fortescue_SDExport'!AW:AW), IF(_xlpm.result=0,"",_xlpm.result))</f>
        <v/>
      </c>
      <c r="O267" s="2" t="str">
        <f>_xlfn.LET(_xlpm.result, _xlfn.XLOOKUP($A267,'EA-Fortescue_SDExport'!$A:$A,'EA-Fortescue_SDExport'!AV:AV), IF(_xlpm.result=0,"",_xlpm.result))</f>
        <v/>
      </c>
      <c r="P267" s="2" t="str">
        <f>_xlfn.LET(_xlpm.result, _xlfn.XLOOKUP($A267,'EA-Fortescue_SDExport'!$A:$A,'EA-Fortescue_SDExport'!D:D), IF(_xlpm.result=0,"",_xlpm.result))</f>
        <v/>
      </c>
      <c r="Q267" s="2" t="str">
        <f>_xlfn.LET(
    _xlpm.status, _xlfn.XLOOKUP($A267,'EA-ConnectorExport'!$A:$A,'EA-ConnectorExport'!G:G),
    _xlpm.result, _xlfn.XLOOKUP($A267,'EA-ConnectorExport'!$A:$A,'EA-ConnectorExport'!B:B),
    IF(_xlpm.status="allocate", _xlpm.result, "")
)</f>
        <v>Solomon Mine Hub: Trailing Cable</v>
      </c>
      <c r="R267" s="2" t="str">
        <f>IF(
    _xlfn.XLOOKUP($Q267,'EA-Fortescue_SDExport'!A:A,'EA-Fortescue_SDExport'!B:B)="Object",
    _xlfn.XLOOKUP(
        _xlfn.XLOOKUP($A267,'EA-ConnectorExport'!A:A,'EA-ConnectorExport'!D:D),
        'EA-Fortescue_SDExport'!A:A,
        'EA-Fortescue_SDExport'!AA:AA
    ),
    _xlfn.XLOOKUP($Q267,'EA-Fortescue_SDExport'!A:A,'EA-Fortescue_SDExport'!AA:AA)
)</f>
        <v>System</v>
      </c>
      <c r="S267" s="2" t="str">
        <f>_xlfn.LET(_xlpm.result, _xlfn.XLOOKUP($Q267,'EA-Fortescue_SDExport'!$A:$A,'EA-Fortescue_SDExport'!AB:AB), IF(_xlpm.result=0,"",_xlpm.result))</f>
        <v/>
      </c>
      <c r="T267" s="2" t="str">
        <f>_xlfn.LET(_xlpm.result, _xlfn.XLOOKUP($Q267,'EA-Fortescue_SDExport'!$A:$A,'EA-Fortescue_SDExport'!AC:AC), IF(_xlpm.result=0,"",_xlpm.result))</f>
        <v>Solomon Mine Hub</v>
      </c>
      <c r="U267" s="2" t="str">
        <f>_xlfn.LET(
    _xlpm.isObject, _xlfn.XLOOKUP($Q267,'EA-Fortescue_SDExport'!A:A,'EA-Fortescue_SDExport'!B:B),
    _xlpm.lookupKey, IF(_xlpm.isObject="Object",
        _xlfn.XLOOKUP($A267,'EA-ConnectorExport'!A:A,'EA-ConnectorExport'!D:D),
        $Q267
    ),
    _xlpm.result, _xlfn.XLOOKUP(_xlpm.lookupKey,'EA-Fortescue_SDExport'!A:A,'EA-Fortescue_SDExport'!AD:AD),
    IF(_xlpm.result=0,"",_xlpm.result)
)</f>
        <v>850DC Decarb Infrastructure</v>
      </c>
      <c r="V267" s="2" t="str">
        <f>_xlfn.LET(
    _xlpm.isObject, _xlfn.XLOOKUP($Q267,'EA-Fortescue_SDExport'!A:A,'EA-Fortescue_SDExport'!B:B),
    _xlpm.lookupKey, IF(_xlpm.isObject="Object",
        _xlfn.XLOOKUP($A267,'EA-ConnectorExport'!A:A,'EA-ConnectorExport'!D:D),
        $Q267
    ),
    _xlpm.result, _xlfn.XLOOKUP(_xlpm.lookupKey,'EA-Fortescue_SDExport'!A:A,'EA-Fortescue_SDExport'!AE:AE),
    IF(_xlpm.result=0,"",_xlpm.result)
)</f>
        <v>850DC-1520 Trailing Cable</v>
      </c>
      <c r="W267" s="2" t="str">
        <f>_xlfn.LET(
    _xlpm.isObject, _xlfn.XLOOKUP($Q267,'EA-Fortescue_SDExport'!A:A,'EA-Fortescue_SDExport'!B:B),
    _xlpm.lookupKey, IF(_xlpm.isObject="Object",
        _xlfn.XLOOKUP($A267,'EA-ConnectorExport'!A:A,'EA-ConnectorExport'!D:D),
        $Q267
    ),
    _xlpm.result, _xlfn.XLOOKUP(_xlpm.lookupKey,'EA-Fortescue_SDExport'!A:A,'EA-Fortescue_SDExport'!AF:AF),
    IF(_xlpm.result=0,"",_xlpm.result)
)</f>
        <v/>
      </c>
      <c r="X267" s="2" t="str">
        <f>_xlfn.LET(
    _xlpm.isObject, _xlfn.XLOOKUP($Q267,'EA-Fortescue_SDExport'!A:A,'EA-Fortescue_SDExport'!B:B),
    _xlpm.lookupKey, IF(_xlpm.isObject="Object",
        _xlfn.XLOOKUP($A267,'EA-ConnectorExport'!A:A,'EA-ConnectorExport'!D:D),
        $Q267
    ),
    _xlpm.result, _xlfn.XLOOKUP(_xlpm.lookupKey,'EA-Fortescue_SDExport'!A:A,'EA-Fortescue_SDExport'!AG:AG),
    IF(_xlpm.result=0,"",_xlpm.result)
)</f>
        <v/>
      </c>
      <c r="Y267" s="2" t="str">
        <f>_xlfn.LET(
    _xlpm.status, _xlfn.XLOOKUP($A267,'EA-ConnectorExport'!$A:$A,'EA-ConnectorExport'!G:G),
    _xlpm.result, _xlfn.XLOOKUP($A267,'EA-ConnectorExport'!$A:$A,'EA-ConnectorExport'!H:H),
    IF(_xlpm.status="allocate", _xlpm.result, "")
)</f>
        <v>Solomon Mine Hub: LME / SME Chargers</v>
      </c>
      <c r="Z267" s="2" t="str">
        <f>_xlfn.LET(
    _xlpm.isObject, _xlfn.XLOOKUP($Y267,'EA-Fortescue_SDExport'!A:A,'EA-Fortescue_SDExport'!B:B),
    _xlpm.lookupKey, IF(_xlpm.isObject="Object",
        _xlfn.XLOOKUP($A267,'EA-ConnectorExport'!A:A,'EA-ConnectorExport'!J:J),
        $Y267
    ),
    _xlpm.result, _xlfn.XLOOKUP(_xlpm.lookupKey,'EA-Fortescue_SDExport'!A:A,'EA-Fortescue_SDExport'!AA:AA),
    IF(_xlpm.result=0,"",_xlpm.result)
)</f>
        <v>Project</v>
      </c>
      <c r="AA267" s="2" t="str">
        <f>_xlfn.LET(_xlpm.result, _xlfn.XLOOKUP($Y267,'EA-Fortescue_SDExport'!$A:$A,'EA-Fortescue_SDExport'!AB:AB), IF(_xlpm.result=0,"",_xlpm.result))</f>
        <v/>
      </c>
      <c r="AB267" s="2" t="str">
        <f>_xlfn.LET(_xlpm.result, _xlfn.XLOOKUP($Y267,'EA-Fortescue_SDExport'!$A:$A,'EA-Fortescue_SDExport'!AC:AC), IF(_xlpm.result=0,"",_xlpm.result))</f>
        <v>Solomon Mine Hub</v>
      </c>
      <c r="AC267" s="2" t="str">
        <f>_xlfn.LET(
    _xlpm.isObject, _xlfn.XLOOKUP($Y267,'EA-Fortescue_SDExport'!A:A,'EA-Fortescue_SDExport'!B:B),
    _xlpm.lookupKey, IF(_xlpm.isObject="Object",
        _xlfn.XLOOKUP($A267,'EA-ConnectorExport'!A:A,'EA-ConnectorExport'!J:J),
        $Y267
    ),
    _xlpm.result, _xlfn.XLOOKUP(_xlpm.lookupKey,'EA-Fortescue_SDExport'!A:A,'EA-Fortescue_SDExport'!AD:AD),
    IF(_xlpm.result=0,"",_xlpm.result)
)</f>
        <v>850DC Decarb Infrastructure</v>
      </c>
      <c r="AD267" s="2" t="str">
        <f>_xlfn.LET(
    _xlpm.isObject, _xlfn.XLOOKUP($Y267,'EA-Fortescue_SDExport'!A:A,'EA-Fortescue_SDExport'!B:B),
    _xlpm.lookupKey, IF(_xlpm.isObject="Object",
        _xlfn.XLOOKUP($A267,'EA-ConnectorExport'!A:A,'EA-ConnectorExport'!J:J),
        $Y267
    ),
    _xlpm.result, _xlfn.XLOOKUP(_xlpm.lookupKey,'EA-Fortescue_SDExport'!A:A,'EA-Fortescue_SDExport'!AE:AE),
    IF(_xlpm.result=0,"",_xlpm.result)
)</f>
        <v>850DC-1510 Chargers</v>
      </c>
      <c r="AE267" s="2" t="str">
        <f>_xlfn.LET(
    _xlpm.isObject, _xlfn.XLOOKUP($Y267,'EA-Fortescue_SDExport'!A:A,'EA-Fortescue_SDExport'!B:B),
    _xlpm.lookupKey, IF(_xlpm.isObject="Object",
        _xlfn.XLOOKUP($A267,'EA-ConnectorExport'!A:A,'EA-ConnectorExport'!J:J),
        $Y267
    ),
    _xlpm.result, _xlfn.XLOOKUP(_xlpm.lookupKey,'EA-Fortescue_SDExport'!A:A,'EA-Fortescue_SDExport'!AF:AF),
    IF(_xlpm.result=0,"",_xlpm.result)
)</f>
        <v>850DC-1514-0003 LME / SME Chargers</v>
      </c>
      <c r="AF267" s="2" t="str">
        <f>_xlfn.LET(
    _xlpm.isObject, _xlfn.XLOOKUP($Y267,'EA-Fortescue_SDExport'!A:A,'EA-Fortescue_SDExport'!B:B),
    _xlpm.lookupKey, IF(_xlpm.isObject="Object",
        _xlfn.XLOOKUP($A267,'EA-ConnectorExport'!A:A,'EA-ConnectorExport'!J:J),
        $Y267
    ),
    _xlpm.result, _xlfn.XLOOKUP(_xlpm.lookupKey,'EA-Fortescue_SDExport'!A:A,'EA-Fortescue_SDExport'!AG:AG),
    IF(_xlpm.result=0,"",_xlpm.result)
)</f>
        <v/>
      </c>
    </row>
    <row r="268" spans="1:32" ht="285" x14ac:dyDescent="0.25">
      <c r="A268" s="2" t="str">
        <v>DGS-I_0267</v>
      </c>
      <c r="B268" s="2" t="str">
        <f t="shared" si="16"/>
        <v>005OP-0000-017-002 Fire SCADA|Solomon Mine Hub: SW1+AP1</v>
      </c>
      <c r="C268" s="2" t="str">
        <f>_xlfn.LET(_xlpm.result, _xlfn.XLOOKUP(A268,'EA-Fortescue_SDExport'!A:A,'EA-Fortescue_SDExport'!AM:AM), IF(_xlpm.result=0,"",_xlpm.result))</f>
        <v/>
      </c>
      <c r="D268" s="2" t="str">
        <f>_xlfn.LET(_xlpm.result, _xlfn.XLOOKUP(A268,'EA-Fortescue_SDExport'!A:A,'EA-Fortescue_SDExport'!AN:AN), IF(_xlpm.result=0,"",_xlpm.result))</f>
        <v/>
      </c>
      <c r="E268" s="2" t="str">
        <f>_xlfn.XLOOKUP(R268&amp;Z268,Lookups!A:A,Lookups!B:B)</f>
        <v>Subsystem - Subsystem Interface</v>
      </c>
      <c r="F268" s="2" t="str">
        <f>_xlfn.LET(_xlpm.result, _xlfn.XLOOKUP(A268,'EA-Fortescue_SDExport'!A:A,'EA-Fortescue_SDExport'!AP:AP), IF(_xlpm.result=0,"",_xlpm.result))</f>
        <v>Technical-Data/Software</v>
      </c>
      <c r="G268" s="2" t="str">
        <f>IF(OR(AND(T268&lt;&gt;"", COUNTIF(Lookups!J:J, "*"&amp;T268&amp;"*")&gt;0), AND(AB268&lt;&gt;"", COUNTIF(Lookups!J:J, "*"&amp;AB268&amp;"*")&gt;0)), "Yes", "No")</f>
        <v>Yes</v>
      </c>
      <c r="H268" s="2" t="str">
        <f t="shared" si="17"/>
        <v>005OP IT/OT Systems|850DC Decarb Infrastructure</v>
      </c>
      <c r="I268" s="2" t="str">
        <f t="shared" si="18"/>
        <v>N/A|850DC-1510 Chargers</v>
      </c>
      <c r="J268" s="2" t="str">
        <f t="shared" si="19"/>
        <v>005OP-0000-017 Ignition|850DC-1512-0001 HME Chargers - Gen1</v>
      </c>
      <c r="K268" s="2" t="str">
        <f>_xlfn.XLOOKUP(A268,'EA-Fortescue_SDExport'!A:A,'EA-Fortescue_SDExport'!N:N)</f>
        <v>Proposed</v>
      </c>
      <c r="L268" s="2" t="str">
        <f>_xlfn.LET(_xlpm.result, _xlfn.XLOOKUP($A268,'EA-Fortescue_SDExport'!$A:$A,'EA-Fortescue_SDExport'!AQ:AQ), IF(_xlpm.result=0,"",_xlpm.result))</f>
        <v>This interface passes fire alarms, suppression events, and emergency isolation commands from Fire SCADA to the SW1+AP1 switchroom at the Solomon Hub.</v>
      </c>
      <c r="M268" s="2" t="str">
        <f>_xlfn.LET(_xlpm.result, _xlfn.XLOOKUP($A268,'EA-Fortescue_SDExport'!$A:$A,'EA-Fortescue_SDExport'!AR:AR), IF(_xlpm.result=0,"",_xlpm.result))</f>
        <v>HIGH</v>
      </c>
      <c r="N268" s="2" t="str">
        <f>_xlfn.LET(_xlpm.result, _xlfn.XLOOKUP($A268,'EA-Fortescue_SDExport'!$A:$A,'EA-Fortescue_SDExport'!AW:AW), IF(_xlpm.result=0,"",_xlpm.result))</f>
        <v>The criticality level is HIGH because switchrooms contain high-voltage equipment and must respond immediately to fire conditions to prevent electrical faults, equipment damage, or danger to personnel. Without fire-system signals, the switchroom may fail to isolate circuits or activate emergency procedures during a fire event, creating significant safety and operational risks.</v>
      </c>
      <c r="O268" s="2" t="str">
        <f>_xlfn.LET(_xlpm.result, _xlfn.XLOOKUP($A268,'EA-Fortescue_SDExport'!$A:$A,'EA-Fortescue_SDExport'!AV:AV), IF(_xlpm.result=0,"",_xlpm.result))</f>
        <v>Data Flow:_x000D_
Fire SCADA (005OP-0000-017 Ignition) -&gt; SW1+AP1 Switchroom Systems, transmitting fire alarms, suppression activation status, zone detection signals, smoke/heat alarms, and emergency isolation commands to initiate protective actions within the high-voltage switchroom._x000D_
Control / Interlock Response:_x000D_
SW1+AP1 Switchroom Systems -&gt; Local Electrical Infrastructure, executing automatic breaker trips, circuit isolation, ventilation shutdown, suppression release confirmation, and safety interlocks in response to validated fire events to protect personnel and equipment.</v>
      </c>
      <c r="P268" s="2" t="str">
        <f>_xlfn.LET(_xlpm.result, _xlfn.XLOOKUP($A268,'EA-Fortescue_SDExport'!$A:$A,'EA-Fortescue_SDExport'!D:D), IF(_xlpm.result=0,"",_xlpm.result))</f>
        <v>From DGS-I_0154 (interface with generic HME Chargers): LMS Review 30/10/2025: Trending data from chargers, diagnostics. OPC/UA_x000D_
NH 20/02/2026: Fields updated: Interface Type, Interface Flow.</v>
      </c>
      <c r="Q268" s="2" t="str">
        <f>_xlfn.LET(
    _xlpm.status, _xlfn.XLOOKUP($A268,'EA-ConnectorExport'!$A:$A,'EA-ConnectorExport'!G:G),
    _xlpm.result, _xlfn.XLOOKUP($A268,'EA-ConnectorExport'!$A:$A,'EA-ConnectorExport'!B:B),
    IF(_xlpm.status="allocate", _xlpm.result, "")
)</f>
        <v>005OP-0000-017-002 Fire SCADA</v>
      </c>
      <c r="R268" s="2" t="str">
        <f>IF(
    _xlfn.XLOOKUP($Q268,'EA-Fortescue_SDExport'!A:A,'EA-Fortescue_SDExport'!B:B)="Object",
    _xlfn.XLOOKUP(
        _xlfn.XLOOKUP($A268,'EA-ConnectorExport'!A:A,'EA-ConnectorExport'!D:D),
        'EA-Fortescue_SDExport'!A:A,
        'EA-Fortescue_SDExport'!AA:AA
    ),
    _xlfn.XLOOKUP($Q268,'EA-Fortescue_SDExport'!A:A,'EA-Fortescue_SDExport'!AA:AA)
)</f>
        <v>Subsystem</v>
      </c>
      <c r="S268" s="2" t="str">
        <f>_xlfn.LET(_xlpm.result, _xlfn.XLOOKUP($Q268,'EA-Fortescue_SDExport'!$A:$A,'EA-Fortescue_SDExport'!AB:AB), IF(_xlpm.result=0,"",_xlpm.result))</f>
        <v/>
      </c>
      <c r="T268" s="2" t="str">
        <f>_xlfn.LET(_xlpm.result, _xlfn.XLOOKUP($Q268,'EA-Fortescue_SDExport'!$A:$A,'EA-Fortescue_SDExport'!AC:AC), IF(_xlpm.result=0,"",_xlpm.result))</f>
        <v/>
      </c>
      <c r="U268" s="2" t="str">
        <f>_xlfn.LET(
    _xlpm.isObject, _xlfn.XLOOKUP($Q268,'EA-Fortescue_SDExport'!A:A,'EA-Fortescue_SDExport'!B:B),
    _xlpm.lookupKey, IF(_xlpm.isObject="Object",
        _xlfn.XLOOKUP($A268,'EA-ConnectorExport'!A:A,'EA-ConnectorExport'!D:D),
        $Q268
    ),
    _xlpm.result, _xlfn.XLOOKUP(_xlpm.lookupKey,'EA-Fortescue_SDExport'!A:A,'EA-Fortescue_SDExport'!AD:AD),
    IF(_xlpm.result=0,"",_xlpm.result)
)</f>
        <v>005OP IT/OT Systems</v>
      </c>
      <c r="V268" s="2" t="str">
        <f>_xlfn.LET(
    _xlpm.isObject, _xlfn.XLOOKUP($Q268,'EA-Fortescue_SDExport'!A:A,'EA-Fortescue_SDExport'!B:B),
    _xlpm.lookupKey, IF(_xlpm.isObject="Object",
        _xlfn.XLOOKUP($A268,'EA-ConnectorExport'!A:A,'EA-ConnectorExport'!D:D),
        $Q268
    ),
    _xlpm.result, _xlfn.XLOOKUP(_xlpm.lookupKey,'EA-Fortescue_SDExport'!A:A,'EA-Fortescue_SDExport'!AE:AE),
    IF(_xlpm.result=0,"",_xlpm.result)
)</f>
        <v/>
      </c>
      <c r="W268" s="2" t="str">
        <f>_xlfn.LET(
    _xlpm.isObject, _xlfn.XLOOKUP($Q268,'EA-Fortescue_SDExport'!A:A,'EA-Fortescue_SDExport'!B:B),
    _xlpm.lookupKey, IF(_xlpm.isObject="Object",
        _xlfn.XLOOKUP($A268,'EA-ConnectorExport'!A:A,'EA-ConnectorExport'!D:D),
        $Q268
    ),
    _xlpm.result, _xlfn.XLOOKUP(_xlpm.lookupKey,'EA-Fortescue_SDExport'!A:A,'EA-Fortescue_SDExport'!AF:AF),
    IF(_xlpm.result=0,"",_xlpm.result)
)</f>
        <v>005OP-0000-017 Ignition</v>
      </c>
      <c r="X268" s="2" t="str">
        <f>_xlfn.LET(
    _xlpm.isObject, _xlfn.XLOOKUP($Q268,'EA-Fortescue_SDExport'!A:A,'EA-Fortescue_SDExport'!B:B),
    _xlpm.lookupKey, IF(_xlpm.isObject="Object",
        _xlfn.XLOOKUP($A268,'EA-ConnectorExport'!A:A,'EA-ConnectorExport'!D:D),
        $Q268
    ),
    _xlpm.result, _xlfn.XLOOKUP(_xlpm.lookupKey,'EA-Fortescue_SDExport'!A:A,'EA-Fortescue_SDExport'!AG:AG),
    IF(_xlpm.result=0,"",_xlpm.result)
)</f>
        <v>005OP-0000-017-002 Fire SCADA</v>
      </c>
      <c r="Y268" s="2" t="str">
        <f>_xlfn.LET(
    _xlpm.status, _xlfn.XLOOKUP($A268,'EA-ConnectorExport'!$A:$A,'EA-ConnectorExport'!G:G),
    _xlpm.result, _xlfn.XLOOKUP($A268,'EA-ConnectorExport'!$A:$A,'EA-ConnectorExport'!H:H),
    IF(_xlpm.status="allocate", _xlpm.result, "")
)</f>
        <v>Solomon Mine Hub: SW1+AP1</v>
      </c>
      <c r="Z268" s="2" t="str">
        <f>_xlfn.LET(
    _xlpm.isObject, _xlfn.XLOOKUP($Y268,'EA-Fortescue_SDExport'!A:A,'EA-Fortescue_SDExport'!B:B),
    _xlpm.lookupKey, IF(_xlpm.isObject="Object",
        _xlfn.XLOOKUP($A268,'EA-ConnectorExport'!A:A,'EA-ConnectorExport'!J:J),
        $Y268
    ),
    _xlpm.result, _xlfn.XLOOKUP(_xlpm.lookupKey,'EA-Fortescue_SDExport'!A:A,'EA-Fortescue_SDExport'!AA:AA),
    IF(_xlpm.result=0,"",_xlpm.result)
)</f>
        <v>Subsystem</v>
      </c>
      <c r="AA268" s="2" t="str">
        <f>_xlfn.LET(_xlpm.result, _xlfn.XLOOKUP($Y268,'EA-Fortescue_SDExport'!$A:$A,'EA-Fortescue_SDExport'!AB:AB), IF(_xlpm.result=0,"",_xlpm.result))</f>
        <v/>
      </c>
      <c r="AB268" s="2" t="str">
        <f>_xlfn.LET(_xlpm.result, _xlfn.XLOOKUP($Y268,'EA-Fortescue_SDExport'!$A:$A,'EA-Fortescue_SDExport'!AC:AC), IF(_xlpm.result=0,"",_xlpm.result))</f>
        <v>Solomon Mine Hub</v>
      </c>
      <c r="AC268" s="2" t="str">
        <f>_xlfn.LET(
    _xlpm.isObject, _xlfn.XLOOKUP($Y268,'EA-Fortescue_SDExport'!A:A,'EA-Fortescue_SDExport'!B:B),
    _xlpm.lookupKey, IF(_xlpm.isObject="Object",
        _xlfn.XLOOKUP($A268,'EA-ConnectorExport'!A:A,'EA-ConnectorExport'!J:J),
        $Y268
    ),
    _xlpm.result, _xlfn.XLOOKUP(_xlpm.lookupKey,'EA-Fortescue_SDExport'!A:A,'EA-Fortescue_SDExport'!AD:AD),
    IF(_xlpm.result=0,"",_xlpm.result)
)</f>
        <v>850DC Decarb Infrastructure</v>
      </c>
      <c r="AD268" s="2" t="str">
        <f>_xlfn.LET(
    _xlpm.isObject, _xlfn.XLOOKUP($Y268,'EA-Fortescue_SDExport'!A:A,'EA-Fortescue_SDExport'!B:B),
    _xlpm.lookupKey, IF(_xlpm.isObject="Object",
        _xlfn.XLOOKUP($A268,'EA-ConnectorExport'!A:A,'EA-ConnectorExport'!J:J),
        $Y268
    ),
    _xlpm.result, _xlfn.XLOOKUP(_xlpm.lookupKey,'EA-Fortescue_SDExport'!A:A,'EA-Fortescue_SDExport'!AE:AE),
    IF(_xlpm.result=0,"",_xlpm.result)
)</f>
        <v>850DC-1510 Chargers</v>
      </c>
      <c r="AE268" s="2" t="str">
        <f>_xlfn.LET(
    _xlpm.isObject, _xlfn.XLOOKUP($Y268,'EA-Fortescue_SDExport'!A:A,'EA-Fortescue_SDExport'!B:B),
    _xlpm.lookupKey, IF(_xlpm.isObject="Object",
        _xlfn.XLOOKUP($A268,'EA-ConnectorExport'!A:A,'EA-ConnectorExport'!J:J),
        $Y268
    ),
    _xlpm.result, _xlfn.XLOOKUP(_xlpm.lookupKey,'EA-Fortescue_SDExport'!A:A,'EA-Fortescue_SDExport'!AF:AF),
    IF(_xlpm.result=0,"",_xlpm.result)
)</f>
        <v>850DC-1512-0001 HME Chargers - Gen1</v>
      </c>
      <c r="AF268" s="2" t="str">
        <f>_xlfn.LET(
    _xlpm.isObject, _xlfn.XLOOKUP($Y268,'EA-Fortescue_SDExport'!A:A,'EA-Fortescue_SDExport'!B:B),
    _xlpm.lookupKey, IF(_xlpm.isObject="Object",
        _xlfn.XLOOKUP($A268,'EA-ConnectorExport'!A:A,'EA-ConnectorExport'!J:J),
        $Y268
    ),
    _xlpm.result, _xlfn.XLOOKUP(_xlpm.lookupKey,'EA-Fortescue_SDExport'!A:A,'EA-Fortescue_SDExport'!AG:AG),
    IF(_xlpm.result=0,"",_xlpm.result)
)</f>
        <v>850DC-1512-0001-001 SW1+AP1 (Switchroom)</v>
      </c>
    </row>
    <row r="269" spans="1:32" ht="60" x14ac:dyDescent="0.25">
      <c r="A269" s="2" t="str">
        <v>DGS-I_0268</v>
      </c>
      <c r="B269" s="2" t="str">
        <f t="shared" si="16"/>
        <v>Solomon Mine Hub: Haulage|859DC-1410-001-002 HaulX Control (Autonomous Haulage System)</v>
      </c>
      <c r="C269" s="2" t="str">
        <f>_xlfn.LET(_xlpm.result, _xlfn.XLOOKUP(A269,'EA-Fortescue_SDExport'!A:A,'EA-Fortescue_SDExport'!AM:AM), IF(_xlpm.result=0,"",_xlpm.result))</f>
        <v/>
      </c>
      <c r="D269" s="2" t="str">
        <f>_xlfn.LET(_xlpm.result, _xlfn.XLOOKUP(A269,'EA-Fortescue_SDExport'!A:A,'EA-Fortescue_SDExport'!AN:AN), IF(_xlpm.result=0,"",_xlpm.result))</f>
        <v/>
      </c>
      <c r="E269" s="2" t="str">
        <f>_xlfn.XLOOKUP(R269&amp;Z269,Lookups!A:A,Lookups!B:B)</f>
        <v>System - Subsystem Interface</v>
      </c>
      <c r="F269" s="2" t="str">
        <f>_xlfn.LET(_xlpm.result, _xlfn.XLOOKUP(A269,'EA-Fortescue_SDExport'!A:A,'EA-Fortescue_SDExport'!AP:AP), IF(_xlpm.result=0,"",_xlpm.result))</f>
        <v/>
      </c>
      <c r="G269" s="2" t="str">
        <f>IF(OR(AND(T269&lt;&gt;"", COUNTIF(Lookups!J:J, "*"&amp;T269&amp;"*")&gt;0), AND(AB269&lt;&gt;"", COUNTIF(Lookups!J:J, "*"&amp;AB269&amp;"*")&gt;0)), "Yes", "No")</f>
        <v>Yes</v>
      </c>
      <c r="H269" s="2" t="str">
        <f t="shared" si="17"/>
        <v>851DC Heavy Mobile Equipment (HME)|859DC HaulX</v>
      </c>
      <c r="I269" s="2" t="str">
        <f t="shared" si="18"/>
        <v>851DC-1592 Haulage|N/A</v>
      </c>
      <c r="J269" s="2" t="str">
        <f t="shared" si="19"/>
        <v>N/A|859DC-1410-001 HaulX</v>
      </c>
      <c r="K269" s="2" t="str">
        <f>_xlfn.XLOOKUP(A269,'EA-Fortescue_SDExport'!A:A,'EA-Fortescue_SDExport'!N:N)</f>
        <v>Proposed</v>
      </c>
      <c r="L269" s="2" t="str">
        <f>_xlfn.LET(_xlpm.result, _xlfn.XLOOKUP($A269,'EA-Fortescue_SDExport'!$A:$A,'EA-Fortescue_SDExport'!AQ:AQ), IF(_xlpm.result=0,"",_xlpm.result))</f>
        <v/>
      </c>
      <c r="M269" s="2" t="str">
        <f>_xlfn.LET(_xlpm.result, _xlfn.XLOOKUP($A269,'EA-Fortescue_SDExport'!$A:$A,'EA-Fortescue_SDExport'!AR:AR), IF(_xlpm.result=0,"",_xlpm.result))</f>
        <v/>
      </c>
      <c r="N269" s="2" t="str">
        <f>_xlfn.LET(_xlpm.result, _xlfn.XLOOKUP($A269,'EA-Fortescue_SDExport'!$A:$A,'EA-Fortescue_SDExport'!AW:AW), IF(_xlpm.result=0,"",_xlpm.result))</f>
        <v/>
      </c>
      <c r="O269" s="2" t="str">
        <f>_xlfn.LET(_xlpm.result, _xlfn.XLOOKUP($A269,'EA-Fortescue_SDExport'!$A:$A,'EA-Fortescue_SDExport'!AV:AV), IF(_xlpm.result=0,"",_xlpm.result))</f>
        <v/>
      </c>
      <c r="P269" s="2" t="str">
        <f>_xlfn.LET(_xlpm.result, _xlfn.XLOOKUP($A269,'EA-Fortescue_SDExport'!$A:$A,'EA-Fortescue_SDExport'!D:D), IF(_xlpm.result=0,"",_xlpm.result))</f>
        <v/>
      </c>
      <c r="Q269" s="2" t="str">
        <f>_xlfn.LET(
    _xlpm.status, _xlfn.XLOOKUP($A269,'EA-ConnectorExport'!$A:$A,'EA-ConnectorExport'!G:G),
    _xlpm.result, _xlfn.XLOOKUP($A269,'EA-ConnectorExport'!$A:$A,'EA-ConnectorExport'!B:B),
    IF(_xlpm.status="allocate", _xlpm.result, "")
)</f>
        <v>Solomon Mine Hub: Haulage</v>
      </c>
      <c r="R269" s="2" t="str">
        <f>IF(
    _xlfn.XLOOKUP($Q269,'EA-Fortescue_SDExport'!A:A,'EA-Fortescue_SDExport'!B:B)="Object",
    _xlfn.XLOOKUP(
        _xlfn.XLOOKUP($A269,'EA-ConnectorExport'!A:A,'EA-ConnectorExport'!D:D),
        'EA-Fortescue_SDExport'!A:A,
        'EA-Fortescue_SDExport'!AA:AA
    ),
    _xlfn.XLOOKUP($Q269,'EA-Fortescue_SDExport'!A:A,'EA-Fortescue_SDExport'!AA:AA)
)</f>
        <v>System</v>
      </c>
      <c r="S269" s="2" t="str">
        <f>_xlfn.LET(_xlpm.result, _xlfn.XLOOKUP($Q269,'EA-Fortescue_SDExport'!$A:$A,'EA-Fortescue_SDExport'!AB:AB), IF(_xlpm.result=0,"",_xlpm.result))</f>
        <v/>
      </c>
      <c r="T269" s="2" t="str">
        <f>_xlfn.LET(_xlpm.result, _xlfn.XLOOKUP($Q269,'EA-Fortescue_SDExport'!$A:$A,'EA-Fortescue_SDExport'!AC:AC), IF(_xlpm.result=0,"",_xlpm.result))</f>
        <v>Solomon Mine Hub</v>
      </c>
      <c r="U269" s="2" t="str">
        <f>_xlfn.LET(
    _xlpm.isObject, _xlfn.XLOOKUP($Q269,'EA-Fortescue_SDExport'!A:A,'EA-Fortescue_SDExport'!B:B),
    _xlpm.lookupKey, IF(_xlpm.isObject="Object",
        _xlfn.XLOOKUP($A269,'EA-ConnectorExport'!A:A,'EA-ConnectorExport'!D:D),
        $Q269
    ),
    _xlpm.result, _xlfn.XLOOKUP(_xlpm.lookupKey,'EA-Fortescue_SDExport'!A:A,'EA-Fortescue_SDExport'!AD:AD),
    IF(_xlpm.result=0,"",_xlpm.result)
)</f>
        <v>851DC Heavy Mobile Equipment (HME)</v>
      </c>
      <c r="V269" s="2" t="str">
        <f>_xlfn.LET(
    _xlpm.isObject, _xlfn.XLOOKUP($Q269,'EA-Fortescue_SDExport'!A:A,'EA-Fortescue_SDExport'!B:B),
    _xlpm.lookupKey, IF(_xlpm.isObject="Object",
        _xlfn.XLOOKUP($A269,'EA-ConnectorExport'!A:A,'EA-ConnectorExport'!D:D),
        $Q269
    ),
    _xlpm.result, _xlfn.XLOOKUP(_xlpm.lookupKey,'EA-Fortescue_SDExport'!A:A,'EA-Fortescue_SDExport'!AE:AE),
    IF(_xlpm.result=0,"",_xlpm.result)
)</f>
        <v>851DC-1592 Haulage</v>
      </c>
      <c r="W269" s="2" t="str">
        <f>_xlfn.LET(
    _xlpm.isObject, _xlfn.XLOOKUP($Q269,'EA-Fortescue_SDExport'!A:A,'EA-Fortescue_SDExport'!B:B),
    _xlpm.lookupKey, IF(_xlpm.isObject="Object",
        _xlfn.XLOOKUP($A269,'EA-ConnectorExport'!A:A,'EA-ConnectorExport'!D:D),
        $Q269
    ),
    _xlpm.result, _xlfn.XLOOKUP(_xlpm.lookupKey,'EA-Fortescue_SDExport'!A:A,'EA-Fortescue_SDExport'!AF:AF),
    IF(_xlpm.result=0,"",_xlpm.result)
)</f>
        <v/>
      </c>
      <c r="X269" s="2" t="str">
        <f>_xlfn.LET(
    _xlpm.isObject, _xlfn.XLOOKUP($Q269,'EA-Fortescue_SDExport'!A:A,'EA-Fortescue_SDExport'!B:B),
    _xlpm.lookupKey, IF(_xlpm.isObject="Object",
        _xlfn.XLOOKUP($A269,'EA-ConnectorExport'!A:A,'EA-ConnectorExport'!D:D),
        $Q269
    ),
    _xlpm.result, _xlfn.XLOOKUP(_xlpm.lookupKey,'EA-Fortescue_SDExport'!A:A,'EA-Fortescue_SDExport'!AG:AG),
    IF(_xlpm.result=0,"",_xlpm.result)
)</f>
        <v/>
      </c>
      <c r="Y269" s="2" t="str">
        <f>_xlfn.LET(
    _xlpm.status, _xlfn.XLOOKUP($A269,'EA-ConnectorExport'!$A:$A,'EA-ConnectorExport'!G:G),
    _xlpm.result, _xlfn.XLOOKUP($A269,'EA-ConnectorExport'!$A:$A,'EA-ConnectorExport'!H:H),
    IF(_xlpm.status="allocate", _xlpm.result, "")
)</f>
        <v>859DC-1410-001-002 HaulX Control (Autonomous Haulage System)</v>
      </c>
      <c r="Z269" s="2" t="str">
        <f>_xlfn.LET(
    _xlpm.isObject, _xlfn.XLOOKUP($Y269,'EA-Fortescue_SDExport'!A:A,'EA-Fortescue_SDExport'!B:B),
    _xlpm.lookupKey, IF(_xlpm.isObject="Object",
        _xlfn.XLOOKUP($A269,'EA-ConnectorExport'!A:A,'EA-ConnectorExport'!J:J),
        $Y269
    ),
    _xlpm.result, _xlfn.XLOOKUP(_xlpm.lookupKey,'EA-Fortescue_SDExport'!A:A,'EA-Fortescue_SDExport'!AA:AA),
    IF(_xlpm.result=0,"",_xlpm.result)
)</f>
        <v>Subsystem</v>
      </c>
      <c r="AA269" s="2" t="str">
        <f>_xlfn.LET(_xlpm.result, _xlfn.XLOOKUP($Y269,'EA-Fortescue_SDExport'!$A:$A,'EA-Fortescue_SDExport'!AB:AB), IF(_xlpm.result=0,"",_xlpm.result))</f>
        <v/>
      </c>
      <c r="AB269" s="2" t="str">
        <f>_xlfn.LET(_xlpm.result, _xlfn.XLOOKUP($Y269,'EA-Fortescue_SDExport'!$A:$A,'EA-Fortescue_SDExport'!AC:AC), IF(_xlpm.result=0,"",_xlpm.result))</f>
        <v/>
      </c>
      <c r="AC269" s="2" t="str">
        <f>_xlfn.LET(
    _xlpm.isObject, _xlfn.XLOOKUP($Y269,'EA-Fortescue_SDExport'!A:A,'EA-Fortescue_SDExport'!B:B),
    _xlpm.lookupKey, IF(_xlpm.isObject="Object",
        _xlfn.XLOOKUP($A269,'EA-ConnectorExport'!A:A,'EA-ConnectorExport'!J:J),
        $Y269
    ),
    _xlpm.result, _xlfn.XLOOKUP(_xlpm.lookupKey,'EA-Fortescue_SDExport'!A:A,'EA-Fortescue_SDExport'!AD:AD),
    IF(_xlpm.result=0,"",_xlpm.result)
)</f>
        <v>859DC HaulX</v>
      </c>
      <c r="AD269" s="2" t="str">
        <f>_xlfn.LET(
    _xlpm.isObject, _xlfn.XLOOKUP($Y269,'EA-Fortescue_SDExport'!A:A,'EA-Fortescue_SDExport'!B:B),
    _xlpm.lookupKey, IF(_xlpm.isObject="Object",
        _xlfn.XLOOKUP($A269,'EA-ConnectorExport'!A:A,'EA-ConnectorExport'!J:J),
        $Y269
    ),
    _xlpm.result, _xlfn.XLOOKUP(_xlpm.lookupKey,'EA-Fortescue_SDExport'!A:A,'EA-Fortescue_SDExport'!AE:AE),
    IF(_xlpm.result=0,"",_xlpm.result)
)</f>
        <v/>
      </c>
      <c r="AE269" s="2" t="str">
        <f>_xlfn.LET(
    _xlpm.isObject, _xlfn.XLOOKUP($Y269,'EA-Fortescue_SDExport'!A:A,'EA-Fortescue_SDExport'!B:B),
    _xlpm.lookupKey, IF(_xlpm.isObject="Object",
        _xlfn.XLOOKUP($A269,'EA-ConnectorExport'!A:A,'EA-ConnectorExport'!J:J),
        $Y269
    ),
    _xlpm.result, _xlfn.XLOOKUP(_xlpm.lookupKey,'EA-Fortescue_SDExport'!A:A,'EA-Fortescue_SDExport'!AF:AF),
    IF(_xlpm.result=0,"",_xlpm.result)
)</f>
        <v>859DC-1410-001 HaulX</v>
      </c>
      <c r="AF269" s="2" t="str">
        <f>_xlfn.LET(
    _xlpm.isObject, _xlfn.XLOOKUP($Y269,'EA-Fortescue_SDExport'!A:A,'EA-Fortescue_SDExport'!B:B),
    _xlpm.lookupKey, IF(_xlpm.isObject="Object",
        _xlfn.XLOOKUP($A269,'EA-ConnectorExport'!A:A,'EA-ConnectorExport'!J:J),
        $Y269
    ),
    _xlpm.result, _xlfn.XLOOKUP(_xlpm.lookupKey,'EA-Fortescue_SDExport'!A:A,'EA-Fortescue_SDExport'!AG:AG),
    IF(_xlpm.result=0,"",_xlpm.result)
)</f>
        <v>859DC-1410-001-002 HaulX Control (Autonomous Haulage System)</v>
      </c>
    </row>
    <row r="270" spans="1:32" ht="180" x14ac:dyDescent="0.25">
      <c r="A270" s="2" t="str">
        <v>DGS-I_0269</v>
      </c>
      <c r="B270" s="2" t="str">
        <f t="shared" si="16"/>
        <v>851DC-1592 Haulage|859DC-1410-001-001 HaulX Dispatch (Fleet Management System (FMS))</v>
      </c>
      <c r="C270" s="2" t="str">
        <f>_xlfn.LET(_xlpm.result, _xlfn.XLOOKUP(A270,'EA-Fortescue_SDExport'!A:A,'EA-Fortescue_SDExport'!AM:AM), IF(_xlpm.result=0,"",_xlpm.result))</f>
        <v/>
      </c>
      <c r="D270" s="2" t="str">
        <f>_xlfn.LET(_xlpm.result, _xlfn.XLOOKUP(A270,'EA-Fortescue_SDExport'!A:A,'EA-Fortescue_SDExport'!AN:AN), IF(_xlpm.result=0,"",_xlpm.result))</f>
        <v/>
      </c>
      <c r="E270" s="2" t="str">
        <f>_xlfn.XLOOKUP(R270&amp;Z270,Lookups!A:A,Lookups!B:B)</f>
        <v>System - Subsystem Interface</v>
      </c>
      <c r="F270" s="2" t="str">
        <f>_xlfn.LET(_xlpm.result, _xlfn.XLOOKUP(A270,'EA-Fortescue_SDExport'!A:A,'EA-Fortescue_SDExport'!AP:AP), IF(_xlpm.result=0,"",_xlpm.result))</f>
        <v>Technical-Data/Software</v>
      </c>
      <c r="G270" s="2" t="str">
        <f>IF(OR(AND(T270&lt;&gt;"", COUNTIF(Lookups!J:J, "*"&amp;T270&amp;"*")&gt;0), AND(AB270&lt;&gt;"", COUNTIF(Lookups!J:J, "*"&amp;AB270&amp;"*")&gt;0)), "Yes", "No")</f>
        <v>No</v>
      </c>
      <c r="H270" s="2" t="str">
        <f t="shared" si="17"/>
        <v>851DC Heavy Mobile Equipment (HME)|859DC HaulX</v>
      </c>
      <c r="I270" s="2" t="str">
        <f t="shared" si="18"/>
        <v>851DC-1592 Haulage|N/A</v>
      </c>
      <c r="J270" s="2" t="str">
        <f t="shared" si="19"/>
        <v>N/A|859DC-1410-001 HaulX</v>
      </c>
      <c r="K270" s="2" t="str">
        <f>_xlfn.XLOOKUP(A270,'EA-Fortescue_SDExport'!A:A,'EA-Fortescue_SDExport'!N:N)</f>
        <v>Proposed</v>
      </c>
      <c r="L270" s="2" t="str">
        <f>_xlfn.LET(_xlpm.result, _xlfn.XLOOKUP($A270,'EA-Fortescue_SDExport'!$A:$A,'EA-Fortescue_SDExport'!AQ:AQ), IF(_xlpm.result=0,"",_xlpm.result))</f>
        <v>This interface allows Haulage to exchange operational parameters, routing intentions, and fleet-level decisions with HaulX Dispatch to ensure that trucks are dispatched effectively and aligned with production needs.</v>
      </c>
      <c r="M270" s="2" t="str">
        <f>_xlfn.LET(_xlpm.result, _xlfn.XLOOKUP($A270,'EA-Fortescue_SDExport'!$A:$A,'EA-Fortescue_SDExport'!AR:AR), IF(_xlpm.result=0,"",_xlpm.result))</f>
        <v>HIGH</v>
      </c>
      <c r="N270" s="2" t="str">
        <f>_xlfn.LET(_xlpm.result, _xlfn.XLOOKUP($A270,'EA-Fortescue_SDExport'!$A:$A,'EA-Fortescue_SDExport'!AW:AW), IF(_xlpm.result=0,"",_xlpm.result))</f>
        <v>The criticality level is HIGH because dispatch is a vital operational system. Losing this interface disrupts haul assignment flows and production coordination, causing haulage operations to slow down or become fragmented.</v>
      </c>
      <c r="O270" s="2" t="str">
        <f>_xlfn.LET(_xlpm.result, _xlfn.XLOOKUP($A270,'EA-Fortescue_SDExport'!$A:$A,'EA-Fortescue_SDExport'!AV:AV), IF(_xlpm.result=0,"",_xlpm.result))</f>
        <v>Data Flow:_x000D_
Haulage System (851DC-1592) -&gt; HaulX Dispatch (859DC-1410-001), transmitting production targets, routing intentions, assignment rules, fleet priorities, and operational constraints to align dispatch logic with mine plans._x000D_
HaulX Dispatch -&gt; Haulage System, providing truck allocations, task execution status, mission progress, queue states, cycle performance metrics, and exception notifications to maintain coordination and production visibility._x000D_
Control Flow:_x000D_
HaulX Dispatch issues assignment and routing instructions to Heavy Mobile Equipment (HME), ensuring autonomous or assisted haulage movements comply with production schedules and traffic management logic.</v>
      </c>
      <c r="P270" s="2" t="str">
        <f>_xlfn.LET(_xlpm.result, _xlfn.XLOOKUP($A270,'EA-Fortescue_SDExport'!$A:$A,'EA-Fortescue_SDExport'!D:D), IF(_xlpm.result=0,"",_xlpm.result))</f>
        <v/>
      </c>
      <c r="Q270" s="2" t="str">
        <f>_xlfn.LET(
    _xlpm.status, _xlfn.XLOOKUP($A270,'EA-ConnectorExport'!$A:$A,'EA-ConnectorExport'!G:G),
    _xlpm.result, _xlfn.XLOOKUP($A270,'EA-ConnectorExport'!$A:$A,'EA-ConnectorExport'!B:B),
    IF(_xlpm.status="allocate", _xlpm.result, "")
)</f>
        <v>851DC-1592 Haulage</v>
      </c>
      <c r="R270" s="2" t="str">
        <f>IF(
    _xlfn.XLOOKUP($Q270,'EA-Fortescue_SDExport'!A:A,'EA-Fortescue_SDExport'!B:B)="Object",
    _xlfn.XLOOKUP(
        _xlfn.XLOOKUP($A270,'EA-ConnectorExport'!A:A,'EA-ConnectorExport'!D:D),
        'EA-Fortescue_SDExport'!A:A,
        'EA-Fortescue_SDExport'!AA:AA
    ),
    _xlfn.XLOOKUP($Q270,'EA-Fortescue_SDExport'!A:A,'EA-Fortescue_SDExport'!AA:AA)
)</f>
        <v>System</v>
      </c>
      <c r="S270" s="2" t="str">
        <f>_xlfn.LET(_xlpm.result, _xlfn.XLOOKUP($Q270,'EA-Fortescue_SDExport'!$A:$A,'EA-Fortescue_SDExport'!AB:AB), IF(_xlpm.result=0,"",_xlpm.result))</f>
        <v/>
      </c>
      <c r="T270" s="2" t="str">
        <f>_xlfn.LET(_xlpm.result, _xlfn.XLOOKUP($Q270,'EA-Fortescue_SDExport'!$A:$A,'EA-Fortescue_SDExport'!AC:AC), IF(_xlpm.result=0,"",_xlpm.result))</f>
        <v>Generic Physical Asset</v>
      </c>
      <c r="U270" s="2" t="str">
        <f>_xlfn.LET(
    _xlpm.isObject, _xlfn.XLOOKUP($Q270,'EA-Fortescue_SDExport'!A:A,'EA-Fortescue_SDExport'!B:B),
    _xlpm.lookupKey, IF(_xlpm.isObject="Object",
        _xlfn.XLOOKUP($A270,'EA-ConnectorExport'!A:A,'EA-ConnectorExport'!D:D),
        $Q270
    ),
    _xlpm.result, _xlfn.XLOOKUP(_xlpm.lookupKey,'EA-Fortescue_SDExport'!A:A,'EA-Fortescue_SDExport'!AD:AD),
    IF(_xlpm.result=0,"",_xlpm.result)
)</f>
        <v>851DC Heavy Mobile Equipment (HME)</v>
      </c>
      <c r="V270" s="2" t="str">
        <f>_xlfn.LET(
    _xlpm.isObject, _xlfn.XLOOKUP($Q270,'EA-Fortescue_SDExport'!A:A,'EA-Fortescue_SDExport'!B:B),
    _xlpm.lookupKey, IF(_xlpm.isObject="Object",
        _xlfn.XLOOKUP($A270,'EA-ConnectorExport'!A:A,'EA-ConnectorExport'!D:D),
        $Q270
    ),
    _xlpm.result, _xlfn.XLOOKUP(_xlpm.lookupKey,'EA-Fortescue_SDExport'!A:A,'EA-Fortescue_SDExport'!AE:AE),
    IF(_xlpm.result=0,"",_xlpm.result)
)</f>
        <v>851DC-1592 Haulage</v>
      </c>
      <c r="W270" s="2" t="str">
        <f>_xlfn.LET(
    _xlpm.isObject, _xlfn.XLOOKUP($Q270,'EA-Fortescue_SDExport'!A:A,'EA-Fortescue_SDExport'!B:B),
    _xlpm.lookupKey, IF(_xlpm.isObject="Object",
        _xlfn.XLOOKUP($A270,'EA-ConnectorExport'!A:A,'EA-ConnectorExport'!D:D),
        $Q270
    ),
    _xlpm.result, _xlfn.XLOOKUP(_xlpm.lookupKey,'EA-Fortescue_SDExport'!A:A,'EA-Fortescue_SDExport'!AF:AF),
    IF(_xlpm.result=0,"",_xlpm.result)
)</f>
        <v/>
      </c>
      <c r="X270" s="2" t="str">
        <f>_xlfn.LET(
    _xlpm.isObject, _xlfn.XLOOKUP($Q270,'EA-Fortescue_SDExport'!A:A,'EA-Fortescue_SDExport'!B:B),
    _xlpm.lookupKey, IF(_xlpm.isObject="Object",
        _xlfn.XLOOKUP($A270,'EA-ConnectorExport'!A:A,'EA-ConnectorExport'!D:D),
        $Q270
    ),
    _xlpm.result, _xlfn.XLOOKUP(_xlpm.lookupKey,'EA-Fortescue_SDExport'!A:A,'EA-Fortescue_SDExport'!AG:AG),
    IF(_xlpm.result=0,"",_xlpm.result)
)</f>
        <v/>
      </c>
      <c r="Y270" s="2" t="str">
        <f>_xlfn.LET(
    _xlpm.status, _xlfn.XLOOKUP($A270,'EA-ConnectorExport'!$A:$A,'EA-ConnectorExport'!G:G),
    _xlpm.result, _xlfn.XLOOKUP($A270,'EA-ConnectorExport'!$A:$A,'EA-ConnectorExport'!H:H),
    IF(_xlpm.status="allocate", _xlpm.result, "")
)</f>
        <v>859DC-1410-001-001 HaulX Dispatch (Fleet Management System (FMS))</v>
      </c>
      <c r="Z270" s="2" t="str">
        <f>_xlfn.LET(
    _xlpm.isObject, _xlfn.XLOOKUP($Y270,'EA-Fortescue_SDExport'!A:A,'EA-Fortescue_SDExport'!B:B),
    _xlpm.lookupKey, IF(_xlpm.isObject="Object",
        _xlfn.XLOOKUP($A270,'EA-ConnectorExport'!A:A,'EA-ConnectorExport'!J:J),
        $Y270
    ),
    _xlpm.result, _xlfn.XLOOKUP(_xlpm.lookupKey,'EA-Fortescue_SDExport'!A:A,'EA-Fortescue_SDExport'!AA:AA),
    IF(_xlpm.result=0,"",_xlpm.result)
)</f>
        <v>Subsystem</v>
      </c>
      <c r="AA270" s="2" t="str">
        <f>_xlfn.LET(_xlpm.result, _xlfn.XLOOKUP($Y270,'EA-Fortescue_SDExport'!$A:$A,'EA-Fortescue_SDExport'!AB:AB), IF(_xlpm.result=0,"",_xlpm.result))</f>
        <v/>
      </c>
      <c r="AB270" s="2" t="str">
        <f>_xlfn.LET(_xlpm.result, _xlfn.XLOOKUP($Y270,'EA-Fortescue_SDExport'!$A:$A,'EA-Fortescue_SDExport'!AC:AC), IF(_xlpm.result=0,"",_xlpm.result))</f>
        <v/>
      </c>
      <c r="AC270" s="2" t="str">
        <f>_xlfn.LET(
    _xlpm.isObject, _xlfn.XLOOKUP($Y270,'EA-Fortescue_SDExport'!A:A,'EA-Fortescue_SDExport'!B:B),
    _xlpm.lookupKey, IF(_xlpm.isObject="Object",
        _xlfn.XLOOKUP($A270,'EA-ConnectorExport'!A:A,'EA-ConnectorExport'!J:J),
        $Y270
    ),
    _xlpm.result, _xlfn.XLOOKUP(_xlpm.lookupKey,'EA-Fortescue_SDExport'!A:A,'EA-Fortescue_SDExport'!AD:AD),
    IF(_xlpm.result=0,"",_xlpm.result)
)</f>
        <v>859DC HaulX</v>
      </c>
      <c r="AD270" s="2" t="str">
        <f>_xlfn.LET(
    _xlpm.isObject, _xlfn.XLOOKUP($Y270,'EA-Fortescue_SDExport'!A:A,'EA-Fortescue_SDExport'!B:B),
    _xlpm.lookupKey, IF(_xlpm.isObject="Object",
        _xlfn.XLOOKUP($A270,'EA-ConnectorExport'!A:A,'EA-ConnectorExport'!J:J),
        $Y270
    ),
    _xlpm.result, _xlfn.XLOOKUP(_xlpm.lookupKey,'EA-Fortescue_SDExport'!A:A,'EA-Fortescue_SDExport'!AE:AE),
    IF(_xlpm.result=0,"",_xlpm.result)
)</f>
        <v/>
      </c>
      <c r="AE270" s="2" t="str">
        <f>_xlfn.LET(
    _xlpm.isObject, _xlfn.XLOOKUP($Y270,'EA-Fortescue_SDExport'!A:A,'EA-Fortescue_SDExport'!B:B),
    _xlpm.lookupKey, IF(_xlpm.isObject="Object",
        _xlfn.XLOOKUP($A270,'EA-ConnectorExport'!A:A,'EA-ConnectorExport'!J:J),
        $Y270
    ),
    _xlpm.result, _xlfn.XLOOKUP(_xlpm.lookupKey,'EA-Fortescue_SDExport'!A:A,'EA-Fortescue_SDExport'!AF:AF),
    IF(_xlpm.result=0,"",_xlpm.result)
)</f>
        <v>859DC-1410-001 HaulX</v>
      </c>
      <c r="AF270" s="2" t="str">
        <f>_xlfn.LET(
    _xlpm.isObject, _xlfn.XLOOKUP($Y270,'EA-Fortescue_SDExport'!A:A,'EA-Fortescue_SDExport'!B:B),
    _xlpm.lookupKey, IF(_xlpm.isObject="Object",
        _xlfn.XLOOKUP($A270,'EA-ConnectorExport'!A:A,'EA-ConnectorExport'!J:J),
        $Y270
    ),
    _xlpm.result, _xlfn.XLOOKUP(_xlpm.lookupKey,'EA-Fortescue_SDExport'!A:A,'EA-Fortescue_SDExport'!AG:AG),
    IF(_xlpm.result=0,"",_xlpm.result)
)</f>
        <v>859DC-1410-001-001 HaulX Dispatch (Fleet Management System (FMS))</v>
      </c>
    </row>
    <row r="271" spans="1:32" ht="60" x14ac:dyDescent="0.25">
      <c r="A271" s="2" t="str">
        <v>DGS-I_0270</v>
      </c>
      <c r="B271" s="2" t="str">
        <f t="shared" si="16"/>
        <v>859DC-1410-001-001 HaulX Dispatch (Fleet Management System (FMS))|Solomon Mine Hub: Haulage</v>
      </c>
      <c r="C271" s="2" t="str">
        <f>_xlfn.LET(_xlpm.result, _xlfn.XLOOKUP(A271,'EA-Fortescue_SDExport'!A:A,'EA-Fortescue_SDExport'!AM:AM), IF(_xlpm.result=0,"",_xlpm.result))</f>
        <v/>
      </c>
      <c r="D271" s="2" t="str">
        <f>_xlfn.LET(_xlpm.result, _xlfn.XLOOKUP(A271,'EA-Fortescue_SDExport'!A:A,'EA-Fortescue_SDExport'!AN:AN), IF(_xlpm.result=0,"",_xlpm.result))</f>
        <v/>
      </c>
      <c r="E271" s="2" t="str">
        <f>_xlfn.XLOOKUP(R271&amp;Z271,Lookups!A:A,Lookups!B:B)</f>
        <v>System - Subsystem Interface</v>
      </c>
      <c r="F271" s="2" t="str">
        <f>_xlfn.LET(_xlpm.result, _xlfn.XLOOKUP(A271,'EA-Fortescue_SDExport'!A:A,'EA-Fortescue_SDExport'!AP:AP), IF(_xlpm.result=0,"",_xlpm.result))</f>
        <v/>
      </c>
      <c r="G271" s="2" t="str">
        <f>IF(OR(AND(T271&lt;&gt;"", COUNTIF(Lookups!J:J, "*"&amp;T271&amp;"*")&gt;0), AND(AB271&lt;&gt;"", COUNTIF(Lookups!J:J, "*"&amp;AB271&amp;"*")&gt;0)), "Yes", "No")</f>
        <v>Yes</v>
      </c>
      <c r="H271" s="2" t="str">
        <f t="shared" si="17"/>
        <v>859DC HaulX|851DC Heavy Mobile Equipment (HME)</v>
      </c>
      <c r="I271" s="2" t="str">
        <f t="shared" si="18"/>
        <v>N/A|851DC-1592 Haulage</v>
      </c>
      <c r="J271" s="2" t="str">
        <f t="shared" si="19"/>
        <v>859DC-1410-001 HaulX|N/A</v>
      </c>
      <c r="K271" s="2" t="str">
        <f>_xlfn.XLOOKUP(A271,'EA-Fortescue_SDExport'!A:A,'EA-Fortescue_SDExport'!N:N)</f>
        <v>Proposed</v>
      </c>
      <c r="L271" s="2" t="str">
        <f>_xlfn.LET(_xlpm.result, _xlfn.XLOOKUP($A271,'EA-Fortescue_SDExport'!$A:$A,'EA-Fortescue_SDExport'!AQ:AQ), IF(_xlpm.result=0,"",_xlpm.result))</f>
        <v/>
      </c>
      <c r="M271" s="2" t="str">
        <f>_xlfn.LET(_xlpm.result, _xlfn.XLOOKUP($A271,'EA-Fortescue_SDExport'!$A:$A,'EA-Fortescue_SDExport'!AR:AR), IF(_xlpm.result=0,"",_xlpm.result))</f>
        <v/>
      </c>
      <c r="N271" s="2" t="str">
        <f>_xlfn.LET(_xlpm.result, _xlfn.XLOOKUP($A271,'EA-Fortescue_SDExport'!$A:$A,'EA-Fortescue_SDExport'!AW:AW), IF(_xlpm.result=0,"",_xlpm.result))</f>
        <v/>
      </c>
      <c r="O271" s="2" t="str">
        <f>_xlfn.LET(_xlpm.result, _xlfn.XLOOKUP($A271,'EA-Fortescue_SDExport'!$A:$A,'EA-Fortescue_SDExport'!AV:AV), IF(_xlpm.result=0,"",_xlpm.result))</f>
        <v/>
      </c>
      <c r="P271" s="2" t="str">
        <f>_xlfn.LET(_xlpm.result, _xlfn.XLOOKUP($A271,'EA-Fortescue_SDExport'!$A:$A,'EA-Fortescue_SDExport'!D:D), IF(_xlpm.result=0,"",_xlpm.result))</f>
        <v/>
      </c>
      <c r="Q271" s="2" t="str">
        <f>_xlfn.LET(
    _xlpm.status, _xlfn.XLOOKUP($A271,'EA-ConnectorExport'!$A:$A,'EA-ConnectorExport'!G:G),
    _xlpm.result, _xlfn.XLOOKUP($A271,'EA-ConnectorExport'!$A:$A,'EA-ConnectorExport'!B:B),
    IF(_xlpm.status="allocate", _xlpm.result, "")
)</f>
        <v>859DC-1410-001-001 HaulX Dispatch (Fleet Management System (FMS))</v>
      </c>
      <c r="R271" s="2" t="str">
        <f>IF(
    _xlfn.XLOOKUP($Q271,'EA-Fortescue_SDExport'!A:A,'EA-Fortescue_SDExport'!B:B)="Object",
    _xlfn.XLOOKUP(
        _xlfn.XLOOKUP($A271,'EA-ConnectorExport'!A:A,'EA-ConnectorExport'!D:D),
        'EA-Fortescue_SDExport'!A:A,
        'EA-Fortescue_SDExport'!AA:AA
    ),
    _xlfn.XLOOKUP($Q271,'EA-Fortescue_SDExport'!A:A,'EA-Fortescue_SDExport'!AA:AA)
)</f>
        <v>Subsystem</v>
      </c>
      <c r="S271" s="2" t="str">
        <f>_xlfn.LET(_xlpm.result, _xlfn.XLOOKUP($Q271,'EA-Fortescue_SDExport'!$A:$A,'EA-Fortescue_SDExport'!AB:AB), IF(_xlpm.result=0,"",_xlpm.result))</f>
        <v/>
      </c>
      <c r="T271" s="2" t="str">
        <f>_xlfn.LET(_xlpm.result, _xlfn.XLOOKUP($Q271,'EA-Fortescue_SDExport'!$A:$A,'EA-Fortescue_SDExport'!AC:AC), IF(_xlpm.result=0,"",_xlpm.result))</f>
        <v/>
      </c>
      <c r="U271" s="2" t="str">
        <f>_xlfn.LET(
    _xlpm.isObject, _xlfn.XLOOKUP($Q271,'EA-Fortescue_SDExport'!A:A,'EA-Fortescue_SDExport'!B:B),
    _xlpm.lookupKey, IF(_xlpm.isObject="Object",
        _xlfn.XLOOKUP($A271,'EA-ConnectorExport'!A:A,'EA-ConnectorExport'!D:D),
        $Q271
    ),
    _xlpm.result, _xlfn.XLOOKUP(_xlpm.lookupKey,'EA-Fortescue_SDExport'!A:A,'EA-Fortescue_SDExport'!AD:AD),
    IF(_xlpm.result=0,"",_xlpm.result)
)</f>
        <v>859DC HaulX</v>
      </c>
      <c r="V271" s="2" t="str">
        <f>_xlfn.LET(
    _xlpm.isObject, _xlfn.XLOOKUP($Q271,'EA-Fortescue_SDExport'!A:A,'EA-Fortescue_SDExport'!B:B),
    _xlpm.lookupKey, IF(_xlpm.isObject="Object",
        _xlfn.XLOOKUP($A271,'EA-ConnectorExport'!A:A,'EA-ConnectorExport'!D:D),
        $Q271
    ),
    _xlpm.result, _xlfn.XLOOKUP(_xlpm.lookupKey,'EA-Fortescue_SDExport'!A:A,'EA-Fortescue_SDExport'!AE:AE),
    IF(_xlpm.result=0,"",_xlpm.result)
)</f>
        <v/>
      </c>
      <c r="W271" s="2" t="str">
        <f>_xlfn.LET(
    _xlpm.isObject, _xlfn.XLOOKUP($Q271,'EA-Fortescue_SDExport'!A:A,'EA-Fortescue_SDExport'!B:B),
    _xlpm.lookupKey, IF(_xlpm.isObject="Object",
        _xlfn.XLOOKUP($A271,'EA-ConnectorExport'!A:A,'EA-ConnectorExport'!D:D),
        $Q271
    ),
    _xlpm.result, _xlfn.XLOOKUP(_xlpm.lookupKey,'EA-Fortescue_SDExport'!A:A,'EA-Fortescue_SDExport'!AF:AF),
    IF(_xlpm.result=0,"",_xlpm.result)
)</f>
        <v>859DC-1410-001 HaulX</v>
      </c>
      <c r="X271" s="2" t="str">
        <f>_xlfn.LET(
    _xlpm.isObject, _xlfn.XLOOKUP($Q271,'EA-Fortescue_SDExport'!A:A,'EA-Fortescue_SDExport'!B:B),
    _xlpm.lookupKey, IF(_xlpm.isObject="Object",
        _xlfn.XLOOKUP($A271,'EA-ConnectorExport'!A:A,'EA-ConnectorExport'!D:D),
        $Q271
    ),
    _xlpm.result, _xlfn.XLOOKUP(_xlpm.lookupKey,'EA-Fortescue_SDExport'!A:A,'EA-Fortescue_SDExport'!AG:AG),
    IF(_xlpm.result=0,"",_xlpm.result)
)</f>
        <v>859DC-1410-001-001 HaulX Dispatch (Fleet Management System (FMS))</v>
      </c>
      <c r="Y271" s="2" t="str">
        <f>_xlfn.LET(
    _xlpm.status, _xlfn.XLOOKUP($A271,'EA-ConnectorExport'!$A:$A,'EA-ConnectorExport'!G:G),
    _xlpm.result, _xlfn.XLOOKUP($A271,'EA-ConnectorExport'!$A:$A,'EA-ConnectorExport'!H:H),
    IF(_xlpm.status="allocate", _xlpm.result, "")
)</f>
        <v>Solomon Mine Hub: Haulage</v>
      </c>
      <c r="Z271" s="2" t="str">
        <f>_xlfn.LET(
    _xlpm.isObject, _xlfn.XLOOKUP($Y271,'EA-Fortescue_SDExport'!A:A,'EA-Fortescue_SDExport'!B:B),
    _xlpm.lookupKey, IF(_xlpm.isObject="Object",
        _xlfn.XLOOKUP($A271,'EA-ConnectorExport'!A:A,'EA-ConnectorExport'!J:J),
        $Y271
    ),
    _xlpm.result, _xlfn.XLOOKUP(_xlpm.lookupKey,'EA-Fortescue_SDExport'!A:A,'EA-Fortescue_SDExport'!AA:AA),
    IF(_xlpm.result=0,"",_xlpm.result)
)</f>
        <v>System</v>
      </c>
      <c r="AA271" s="2" t="str">
        <f>_xlfn.LET(_xlpm.result, _xlfn.XLOOKUP($Y271,'EA-Fortescue_SDExport'!$A:$A,'EA-Fortescue_SDExport'!AB:AB), IF(_xlpm.result=0,"",_xlpm.result))</f>
        <v/>
      </c>
      <c r="AB271" s="2" t="str">
        <f>_xlfn.LET(_xlpm.result, _xlfn.XLOOKUP($Y271,'EA-Fortescue_SDExport'!$A:$A,'EA-Fortescue_SDExport'!AC:AC), IF(_xlpm.result=0,"",_xlpm.result))</f>
        <v>Solomon Mine Hub</v>
      </c>
      <c r="AC271" s="2" t="str">
        <f>_xlfn.LET(
    _xlpm.isObject, _xlfn.XLOOKUP($Y271,'EA-Fortescue_SDExport'!A:A,'EA-Fortescue_SDExport'!B:B),
    _xlpm.lookupKey, IF(_xlpm.isObject="Object",
        _xlfn.XLOOKUP($A271,'EA-ConnectorExport'!A:A,'EA-ConnectorExport'!J:J),
        $Y271
    ),
    _xlpm.result, _xlfn.XLOOKUP(_xlpm.lookupKey,'EA-Fortescue_SDExport'!A:A,'EA-Fortescue_SDExport'!AD:AD),
    IF(_xlpm.result=0,"",_xlpm.result)
)</f>
        <v>851DC Heavy Mobile Equipment (HME)</v>
      </c>
      <c r="AD271" s="2" t="str">
        <f>_xlfn.LET(
    _xlpm.isObject, _xlfn.XLOOKUP($Y271,'EA-Fortescue_SDExport'!A:A,'EA-Fortescue_SDExport'!B:B),
    _xlpm.lookupKey, IF(_xlpm.isObject="Object",
        _xlfn.XLOOKUP($A271,'EA-ConnectorExport'!A:A,'EA-ConnectorExport'!J:J),
        $Y271
    ),
    _xlpm.result, _xlfn.XLOOKUP(_xlpm.lookupKey,'EA-Fortescue_SDExport'!A:A,'EA-Fortescue_SDExport'!AE:AE),
    IF(_xlpm.result=0,"",_xlpm.result)
)</f>
        <v>851DC-1592 Haulage</v>
      </c>
      <c r="AE271" s="2" t="str">
        <f>_xlfn.LET(
    _xlpm.isObject, _xlfn.XLOOKUP($Y271,'EA-Fortescue_SDExport'!A:A,'EA-Fortescue_SDExport'!B:B),
    _xlpm.lookupKey, IF(_xlpm.isObject="Object",
        _xlfn.XLOOKUP($A271,'EA-ConnectorExport'!A:A,'EA-ConnectorExport'!J:J),
        $Y271
    ),
    _xlpm.result, _xlfn.XLOOKUP(_xlpm.lookupKey,'EA-Fortescue_SDExport'!A:A,'EA-Fortescue_SDExport'!AF:AF),
    IF(_xlpm.result=0,"",_xlpm.result)
)</f>
        <v/>
      </c>
      <c r="AF271" s="2" t="str">
        <f>_xlfn.LET(
    _xlpm.isObject, _xlfn.XLOOKUP($Y271,'EA-Fortescue_SDExport'!A:A,'EA-Fortescue_SDExport'!B:B),
    _xlpm.lookupKey, IF(_xlpm.isObject="Object",
        _xlfn.XLOOKUP($A271,'EA-ConnectorExport'!A:A,'EA-ConnectorExport'!J:J),
        $Y271
    ),
    _xlpm.result, _xlfn.XLOOKUP(_xlpm.lookupKey,'EA-Fortescue_SDExport'!A:A,'EA-Fortescue_SDExport'!AG:AG),
    IF(_xlpm.result=0,"",_xlpm.result)
)</f>
        <v/>
      </c>
    </row>
    <row r="272" spans="1:32" ht="75" x14ac:dyDescent="0.25">
      <c r="A272" s="2" t="str">
        <v>DGS-I_0271</v>
      </c>
      <c r="B272" s="2" t="str">
        <f t="shared" si="16"/>
        <v>859DC-1410-001-003 HaulX Precision (High Precision Machine Guidance)|Solomon Mine Hub: Drill Rig</v>
      </c>
      <c r="C272" s="2" t="str">
        <f>_xlfn.LET(_xlpm.result, _xlfn.XLOOKUP(A272,'EA-Fortescue_SDExport'!A:A,'EA-Fortescue_SDExport'!AM:AM), IF(_xlpm.result=0,"",_xlpm.result))</f>
        <v/>
      </c>
      <c r="D272" s="2" t="str">
        <f>_xlfn.LET(_xlpm.result, _xlfn.XLOOKUP(A272,'EA-Fortescue_SDExport'!A:A,'EA-Fortescue_SDExport'!AN:AN), IF(_xlpm.result=0,"",_xlpm.result))</f>
        <v/>
      </c>
      <c r="E272" s="2" t="str">
        <f>_xlfn.XLOOKUP(R272&amp;Z272,Lookups!A:A,Lookups!B:B)</f>
        <v>System - Subsystem Interface</v>
      </c>
      <c r="F272" s="2" t="str">
        <f>_xlfn.LET(_xlpm.result, _xlfn.XLOOKUP(A272,'EA-Fortescue_SDExport'!A:A,'EA-Fortescue_SDExport'!AP:AP), IF(_xlpm.result=0,"",_xlpm.result))</f>
        <v/>
      </c>
      <c r="G272" s="2" t="str">
        <f>IF(OR(AND(T272&lt;&gt;"", COUNTIF(Lookups!J:J, "*"&amp;T272&amp;"*")&gt;0), AND(AB272&lt;&gt;"", COUNTIF(Lookups!J:J, "*"&amp;AB272&amp;"*")&gt;0)), "Yes", "No")</f>
        <v>Yes</v>
      </c>
      <c r="H272" s="2" t="str">
        <f t="shared" si="17"/>
        <v>859DC HaulX|853DC Decarb Ancillary</v>
      </c>
      <c r="I272" s="2" t="str">
        <f t="shared" si="18"/>
        <v>N/A|853DC-1561 Drill Rig</v>
      </c>
      <c r="J272" s="2" t="str">
        <f t="shared" si="19"/>
        <v>859DC-1410-001 HaulX|N/A</v>
      </c>
      <c r="K272" s="2" t="str">
        <f>_xlfn.XLOOKUP(A272,'EA-Fortescue_SDExport'!A:A,'EA-Fortescue_SDExport'!N:N)</f>
        <v>Proposed</v>
      </c>
      <c r="L272" s="2" t="str">
        <f>_xlfn.LET(_xlpm.result, _xlfn.XLOOKUP($A272,'EA-Fortescue_SDExport'!$A:$A,'EA-Fortescue_SDExport'!AQ:AQ), IF(_xlpm.result=0,"",_xlpm.result))</f>
        <v/>
      </c>
      <c r="M272" s="2" t="str">
        <f>_xlfn.LET(_xlpm.result, _xlfn.XLOOKUP($A272,'EA-Fortescue_SDExport'!$A:$A,'EA-Fortescue_SDExport'!AR:AR), IF(_xlpm.result=0,"",_xlpm.result))</f>
        <v/>
      </c>
      <c r="N272" s="2" t="str">
        <f>_xlfn.LET(_xlpm.result, _xlfn.XLOOKUP($A272,'EA-Fortescue_SDExport'!$A:$A,'EA-Fortescue_SDExport'!AW:AW), IF(_xlpm.result=0,"",_xlpm.result))</f>
        <v/>
      </c>
      <c r="O272" s="2" t="str">
        <f>_xlfn.LET(_xlpm.result, _xlfn.XLOOKUP($A272,'EA-Fortescue_SDExport'!$A:$A,'EA-Fortescue_SDExport'!AV:AV), IF(_xlpm.result=0,"",_xlpm.result))</f>
        <v/>
      </c>
      <c r="P272" s="2" t="str">
        <f>_xlfn.LET(_xlpm.result, _xlfn.XLOOKUP($A272,'EA-Fortescue_SDExport'!$A:$A,'EA-Fortescue_SDExport'!D:D), IF(_xlpm.result=0,"",_xlpm.result))</f>
        <v/>
      </c>
      <c r="Q272" s="2" t="str">
        <f>_xlfn.LET(
    _xlpm.status, _xlfn.XLOOKUP($A272,'EA-ConnectorExport'!$A:$A,'EA-ConnectorExport'!G:G),
    _xlpm.result, _xlfn.XLOOKUP($A272,'EA-ConnectorExport'!$A:$A,'EA-ConnectorExport'!B:B),
    IF(_xlpm.status="allocate", _xlpm.result, "")
)</f>
        <v>859DC-1410-001-003 HaulX Precision (High Precision Machine Guidance)</v>
      </c>
      <c r="R272" s="2" t="str">
        <f>IF(
    _xlfn.XLOOKUP($Q272,'EA-Fortescue_SDExport'!A:A,'EA-Fortescue_SDExport'!B:B)="Object",
    _xlfn.XLOOKUP(
        _xlfn.XLOOKUP($A272,'EA-ConnectorExport'!A:A,'EA-ConnectorExport'!D:D),
        'EA-Fortescue_SDExport'!A:A,
        'EA-Fortescue_SDExport'!AA:AA
    ),
    _xlfn.XLOOKUP($Q272,'EA-Fortescue_SDExport'!A:A,'EA-Fortescue_SDExport'!AA:AA)
)</f>
        <v>Subsystem</v>
      </c>
      <c r="S272" s="2" t="str">
        <f>_xlfn.LET(_xlpm.result, _xlfn.XLOOKUP($Q272,'EA-Fortescue_SDExport'!$A:$A,'EA-Fortescue_SDExport'!AB:AB), IF(_xlpm.result=0,"",_xlpm.result))</f>
        <v/>
      </c>
      <c r="T272" s="2" t="str">
        <f>_xlfn.LET(_xlpm.result, _xlfn.XLOOKUP($Q272,'EA-Fortescue_SDExport'!$A:$A,'EA-Fortescue_SDExport'!AC:AC), IF(_xlpm.result=0,"",_xlpm.result))</f>
        <v/>
      </c>
      <c r="U272" s="2" t="str">
        <f>_xlfn.LET(
    _xlpm.isObject, _xlfn.XLOOKUP($Q272,'EA-Fortescue_SDExport'!A:A,'EA-Fortescue_SDExport'!B:B),
    _xlpm.lookupKey, IF(_xlpm.isObject="Object",
        _xlfn.XLOOKUP($A272,'EA-ConnectorExport'!A:A,'EA-ConnectorExport'!D:D),
        $Q272
    ),
    _xlpm.result, _xlfn.XLOOKUP(_xlpm.lookupKey,'EA-Fortescue_SDExport'!A:A,'EA-Fortescue_SDExport'!AD:AD),
    IF(_xlpm.result=0,"",_xlpm.result)
)</f>
        <v>859DC HaulX</v>
      </c>
      <c r="V272" s="2" t="str">
        <f>_xlfn.LET(
    _xlpm.isObject, _xlfn.XLOOKUP($Q272,'EA-Fortescue_SDExport'!A:A,'EA-Fortescue_SDExport'!B:B),
    _xlpm.lookupKey, IF(_xlpm.isObject="Object",
        _xlfn.XLOOKUP($A272,'EA-ConnectorExport'!A:A,'EA-ConnectorExport'!D:D),
        $Q272
    ),
    _xlpm.result, _xlfn.XLOOKUP(_xlpm.lookupKey,'EA-Fortescue_SDExport'!A:A,'EA-Fortescue_SDExport'!AE:AE),
    IF(_xlpm.result=0,"",_xlpm.result)
)</f>
        <v/>
      </c>
      <c r="W272" s="2" t="str">
        <f>_xlfn.LET(
    _xlpm.isObject, _xlfn.XLOOKUP($Q272,'EA-Fortescue_SDExport'!A:A,'EA-Fortescue_SDExport'!B:B),
    _xlpm.lookupKey, IF(_xlpm.isObject="Object",
        _xlfn.XLOOKUP($A272,'EA-ConnectorExport'!A:A,'EA-ConnectorExport'!D:D),
        $Q272
    ),
    _xlpm.result, _xlfn.XLOOKUP(_xlpm.lookupKey,'EA-Fortescue_SDExport'!A:A,'EA-Fortescue_SDExport'!AF:AF),
    IF(_xlpm.result=0,"",_xlpm.result)
)</f>
        <v>859DC-1410-001 HaulX</v>
      </c>
      <c r="X272" s="2" t="str">
        <f>_xlfn.LET(
    _xlpm.isObject, _xlfn.XLOOKUP($Q272,'EA-Fortescue_SDExport'!A:A,'EA-Fortescue_SDExport'!B:B),
    _xlpm.lookupKey, IF(_xlpm.isObject="Object",
        _xlfn.XLOOKUP($A272,'EA-ConnectorExport'!A:A,'EA-ConnectorExport'!D:D),
        $Q272
    ),
    _xlpm.result, _xlfn.XLOOKUP(_xlpm.lookupKey,'EA-Fortescue_SDExport'!A:A,'EA-Fortescue_SDExport'!AG:AG),
    IF(_xlpm.result=0,"",_xlpm.result)
)</f>
        <v>859DC-1410-001-003 HaulX Precision (High Precision Machine Guidance)</v>
      </c>
      <c r="Y272" s="2" t="str">
        <f>_xlfn.LET(
    _xlpm.status, _xlfn.XLOOKUP($A272,'EA-ConnectorExport'!$A:$A,'EA-ConnectorExport'!G:G),
    _xlpm.result, _xlfn.XLOOKUP($A272,'EA-ConnectorExport'!$A:$A,'EA-ConnectorExport'!H:H),
    IF(_xlpm.status="allocate", _xlpm.result, "")
)</f>
        <v>Solomon Mine Hub: Drill Rig</v>
      </c>
      <c r="Z272" s="2" t="str">
        <f>_xlfn.LET(
    _xlpm.isObject, _xlfn.XLOOKUP($Y272,'EA-Fortescue_SDExport'!A:A,'EA-Fortescue_SDExport'!B:B),
    _xlpm.lookupKey, IF(_xlpm.isObject="Object",
        _xlfn.XLOOKUP($A272,'EA-ConnectorExport'!A:A,'EA-ConnectorExport'!J:J),
        $Y272
    ),
    _xlpm.result, _xlfn.XLOOKUP(_xlpm.lookupKey,'EA-Fortescue_SDExport'!A:A,'EA-Fortescue_SDExport'!AA:AA),
    IF(_xlpm.result=0,"",_xlpm.result)
)</f>
        <v>System</v>
      </c>
      <c r="AA272" s="2" t="str">
        <f>_xlfn.LET(_xlpm.result, _xlfn.XLOOKUP($Y272,'EA-Fortescue_SDExport'!$A:$A,'EA-Fortescue_SDExport'!AB:AB), IF(_xlpm.result=0,"",_xlpm.result))</f>
        <v/>
      </c>
      <c r="AB272" s="2" t="str">
        <f>_xlfn.LET(_xlpm.result, _xlfn.XLOOKUP($Y272,'EA-Fortescue_SDExport'!$A:$A,'EA-Fortescue_SDExport'!AC:AC), IF(_xlpm.result=0,"",_xlpm.result))</f>
        <v>Solomon Mine Hub</v>
      </c>
      <c r="AC272" s="2" t="str">
        <f>_xlfn.LET(
    _xlpm.isObject, _xlfn.XLOOKUP($Y272,'EA-Fortescue_SDExport'!A:A,'EA-Fortescue_SDExport'!B:B),
    _xlpm.lookupKey, IF(_xlpm.isObject="Object",
        _xlfn.XLOOKUP($A272,'EA-ConnectorExport'!A:A,'EA-ConnectorExport'!J:J),
        $Y272
    ),
    _xlpm.result, _xlfn.XLOOKUP(_xlpm.lookupKey,'EA-Fortescue_SDExport'!A:A,'EA-Fortescue_SDExport'!AD:AD),
    IF(_xlpm.result=0,"",_xlpm.result)
)</f>
        <v>853DC Decarb Ancillary</v>
      </c>
      <c r="AD272" s="2" t="str">
        <f>_xlfn.LET(
    _xlpm.isObject, _xlfn.XLOOKUP($Y272,'EA-Fortescue_SDExport'!A:A,'EA-Fortescue_SDExport'!B:B),
    _xlpm.lookupKey, IF(_xlpm.isObject="Object",
        _xlfn.XLOOKUP($A272,'EA-ConnectorExport'!A:A,'EA-ConnectorExport'!J:J),
        $Y272
    ),
    _xlpm.result, _xlfn.XLOOKUP(_xlpm.lookupKey,'EA-Fortescue_SDExport'!A:A,'EA-Fortescue_SDExport'!AE:AE),
    IF(_xlpm.result=0,"",_xlpm.result)
)</f>
        <v>853DC-1561 Drill Rig</v>
      </c>
      <c r="AE272" s="2" t="str">
        <f>_xlfn.LET(
    _xlpm.isObject, _xlfn.XLOOKUP($Y272,'EA-Fortescue_SDExport'!A:A,'EA-Fortescue_SDExport'!B:B),
    _xlpm.lookupKey, IF(_xlpm.isObject="Object",
        _xlfn.XLOOKUP($A272,'EA-ConnectorExport'!A:A,'EA-ConnectorExport'!J:J),
        $Y272
    ),
    _xlpm.result, _xlfn.XLOOKUP(_xlpm.lookupKey,'EA-Fortescue_SDExport'!A:A,'EA-Fortescue_SDExport'!AF:AF),
    IF(_xlpm.result=0,"",_xlpm.result)
)</f>
        <v/>
      </c>
      <c r="AF272" s="2" t="str">
        <f>_xlfn.LET(
    _xlpm.isObject, _xlfn.XLOOKUP($Y272,'EA-Fortescue_SDExport'!A:A,'EA-Fortescue_SDExport'!B:B),
    _xlpm.lookupKey, IF(_xlpm.isObject="Object",
        _xlfn.XLOOKUP($A272,'EA-ConnectorExport'!A:A,'EA-ConnectorExport'!J:J),
        $Y272
    ),
    _xlpm.result, _xlfn.XLOOKUP(_xlpm.lookupKey,'EA-Fortescue_SDExport'!A:A,'EA-Fortescue_SDExport'!AG:AG),
    IF(_xlpm.result=0,"",_xlpm.result)
)</f>
        <v/>
      </c>
    </row>
    <row r="273" spans="1:32" ht="75" x14ac:dyDescent="0.25">
      <c r="A273" s="2" t="str">
        <v>DGS-I_0272</v>
      </c>
      <c r="B273" s="2" t="str">
        <f t="shared" si="16"/>
        <v>859DC-1410-001-003 HaulX Precision (High Precision Machine Guidance)|Solomon Mine Hub: Heavy Mobile Equipment (HME)</v>
      </c>
      <c r="C273" s="2" t="str">
        <f>_xlfn.LET(_xlpm.result, _xlfn.XLOOKUP(A273,'EA-Fortescue_SDExport'!A:A,'EA-Fortescue_SDExport'!AM:AM), IF(_xlpm.result=0,"",_xlpm.result))</f>
        <v/>
      </c>
      <c r="D273" s="2" t="str">
        <f>_xlfn.LET(_xlpm.result, _xlfn.XLOOKUP(A273,'EA-Fortescue_SDExport'!A:A,'EA-Fortescue_SDExport'!AN:AN), IF(_xlpm.result=0,"",_xlpm.result))</f>
        <v/>
      </c>
      <c r="E273" s="2" t="str">
        <f>_xlfn.XLOOKUP(R273&amp;Z273,Lookups!A:A,Lookups!B:B)</f>
        <v>Program - Subsystem Interface</v>
      </c>
      <c r="F273" s="2" t="str">
        <f>_xlfn.LET(_xlpm.result, _xlfn.XLOOKUP(A273,'EA-Fortescue_SDExport'!A:A,'EA-Fortescue_SDExport'!AP:AP), IF(_xlpm.result=0,"",_xlpm.result))</f>
        <v/>
      </c>
      <c r="G273" s="2" t="str">
        <f>IF(OR(AND(T273&lt;&gt;"", COUNTIF(Lookups!J:J, "*"&amp;T273&amp;"*")&gt;0), AND(AB273&lt;&gt;"", COUNTIF(Lookups!J:J, "*"&amp;AB273&amp;"*")&gt;0)), "Yes", "No")</f>
        <v>Yes</v>
      </c>
      <c r="H273" s="2" t="str">
        <f t="shared" si="17"/>
        <v>859DC HaulX|851DC Heavy Mobile Equipment (HME)</v>
      </c>
      <c r="I273" s="2" t="str">
        <f t="shared" si="18"/>
        <v>N/A</v>
      </c>
      <c r="J273" s="2" t="str">
        <f t="shared" si="19"/>
        <v>859DC-1410-001 HaulX|N/A</v>
      </c>
      <c r="K273" s="2" t="str">
        <f>_xlfn.XLOOKUP(A273,'EA-Fortescue_SDExport'!A:A,'EA-Fortescue_SDExport'!N:N)</f>
        <v>Proposed</v>
      </c>
      <c r="L273" s="2" t="str">
        <f>_xlfn.LET(_xlpm.result, _xlfn.XLOOKUP($A273,'EA-Fortescue_SDExport'!$A:$A,'EA-Fortescue_SDExport'!AQ:AQ), IF(_xlpm.result=0,"",_xlpm.result))</f>
        <v/>
      </c>
      <c r="M273" s="2" t="str">
        <f>_xlfn.LET(_xlpm.result, _xlfn.XLOOKUP($A273,'EA-Fortescue_SDExport'!$A:$A,'EA-Fortescue_SDExport'!AR:AR), IF(_xlpm.result=0,"",_xlpm.result))</f>
        <v/>
      </c>
      <c r="N273" s="2" t="str">
        <f>_xlfn.LET(_xlpm.result, _xlfn.XLOOKUP($A273,'EA-Fortescue_SDExport'!$A:$A,'EA-Fortescue_SDExport'!AW:AW), IF(_xlpm.result=0,"",_xlpm.result))</f>
        <v/>
      </c>
      <c r="O273" s="2" t="str">
        <f>_xlfn.LET(_xlpm.result, _xlfn.XLOOKUP($A273,'EA-Fortescue_SDExport'!$A:$A,'EA-Fortescue_SDExport'!AV:AV), IF(_xlpm.result=0,"",_xlpm.result))</f>
        <v/>
      </c>
      <c r="P273" s="2" t="str">
        <f>_xlfn.LET(_xlpm.result, _xlfn.XLOOKUP($A273,'EA-Fortescue_SDExport'!$A:$A,'EA-Fortescue_SDExport'!D:D), IF(_xlpm.result=0,"",_xlpm.result))</f>
        <v/>
      </c>
      <c r="Q273" s="2" t="str">
        <f>_xlfn.LET(
    _xlpm.status, _xlfn.XLOOKUP($A273,'EA-ConnectorExport'!$A:$A,'EA-ConnectorExport'!G:G),
    _xlpm.result, _xlfn.XLOOKUP($A273,'EA-ConnectorExport'!$A:$A,'EA-ConnectorExport'!B:B),
    IF(_xlpm.status="allocate", _xlpm.result, "")
)</f>
        <v>859DC-1410-001-003 HaulX Precision (High Precision Machine Guidance)</v>
      </c>
      <c r="R273" s="2" t="str">
        <f>IF(
    _xlfn.XLOOKUP($Q273,'EA-Fortescue_SDExport'!A:A,'EA-Fortescue_SDExport'!B:B)="Object",
    _xlfn.XLOOKUP(
        _xlfn.XLOOKUP($A273,'EA-ConnectorExport'!A:A,'EA-ConnectorExport'!D:D),
        'EA-Fortescue_SDExport'!A:A,
        'EA-Fortescue_SDExport'!AA:AA
    ),
    _xlfn.XLOOKUP($Q273,'EA-Fortescue_SDExport'!A:A,'EA-Fortescue_SDExport'!AA:AA)
)</f>
        <v>Subsystem</v>
      </c>
      <c r="S273" s="2" t="str">
        <f>_xlfn.LET(_xlpm.result, _xlfn.XLOOKUP($Q273,'EA-Fortescue_SDExport'!$A:$A,'EA-Fortescue_SDExport'!AB:AB), IF(_xlpm.result=0,"",_xlpm.result))</f>
        <v/>
      </c>
      <c r="T273" s="2" t="str">
        <f>_xlfn.LET(_xlpm.result, _xlfn.XLOOKUP($Q273,'EA-Fortescue_SDExport'!$A:$A,'EA-Fortescue_SDExport'!AC:AC), IF(_xlpm.result=0,"",_xlpm.result))</f>
        <v/>
      </c>
      <c r="U273" s="2" t="str">
        <f>_xlfn.LET(
    _xlpm.isObject, _xlfn.XLOOKUP($Q273,'EA-Fortescue_SDExport'!A:A,'EA-Fortescue_SDExport'!B:B),
    _xlpm.lookupKey, IF(_xlpm.isObject="Object",
        _xlfn.XLOOKUP($A273,'EA-ConnectorExport'!A:A,'EA-ConnectorExport'!D:D),
        $Q273
    ),
    _xlpm.result, _xlfn.XLOOKUP(_xlpm.lookupKey,'EA-Fortescue_SDExport'!A:A,'EA-Fortescue_SDExport'!AD:AD),
    IF(_xlpm.result=0,"",_xlpm.result)
)</f>
        <v>859DC HaulX</v>
      </c>
      <c r="V273" s="2" t="str">
        <f>_xlfn.LET(
    _xlpm.isObject, _xlfn.XLOOKUP($Q273,'EA-Fortescue_SDExport'!A:A,'EA-Fortescue_SDExport'!B:B),
    _xlpm.lookupKey, IF(_xlpm.isObject="Object",
        _xlfn.XLOOKUP($A273,'EA-ConnectorExport'!A:A,'EA-ConnectorExport'!D:D),
        $Q273
    ),
    _xlpm.result, _xlfn.XLOOKUP(_xlpm.lookupKey,'EA-Fortescue_SDExport'!A:A,'EA-Fortescue_SDExport'!AE:AE),
    IF(_xlpm.result=0,"",_xlpm.result)
)</f>
        <v/>
      </c>
      <c r="W273" s="2" t="str">
        <f>_xlfn.LET(
    _xlpm.isObject, _xlfn.XLOOKUP($Q273,'EA-Fortescue_SDExport'!A:A,'EA-Fortescue_SDExport'!B:B),
    _xlpm.lookupKey, IF(_xlpm.isObject="Object",
        _xlfn.XLOOKUP($A273,'EA-ConnectorExport'!A:A,'EA-ConnectorExport'!D:D),
        $Q273
    ),
    _xlpm.result, _xlfn.XLOOKUP(_xlpm.lookupKey,'EA-Fortescue_SDExport'!A:A,'EA-Fortescue_SDExport'!AF:AF),
    IF(_xlpm.result=0,"",_xlpm.result)
)</f>
        <v>859DC-1410-001 HaulX</v>
      </c>
      <c r="X273" s="2" t="str">
        <f>_xlfn.LET(
    _xlpm.isObject, _xlfn.XLOOKUP($Q273,'EA-Fortescue_SDExport'!A:A,'EA-Fortescue_SDExport'!B:B),
    _xlpm.lookupKey, IF(_xlpm.isObject="Object",
        _xlfn.XLOOKUP($A273,'EA-ConnectorExport'!A:A,'EA-ConnectorExport'!D:D),
        $Q273
    ),
    _xlpm.result, _xlfn.XLOOKUP(_xlpm.lookupKey,'EA-Fortescue_SDExport'!A:A,'EA-Fortescue_SDExport'!AG:AG),
    IF(_xlpm.result=0,"",_xlpm.result)
)</f>
        <v>859DC-1410-001-003 HaulX Precision (High Precision Machine Guidance)</v>
      </c>
      <c r="Y273" s="2" t="str">
        <f>_xlfn.LET(
    _xlpm.status, _xlfn.XLOOKUP($A273,'EA-ConnectorExport'!$A:$A,'EA-ConnectorExport'!G:G),
    _xlpm.result, _xlfn.XLOOKUP($A273,'EA-ConnectorExport'!$A:$A,'EA-ConnectorExport'!H:H),
    IF(_xlpm.status="allocate", _xlpm.result, "")
)</f>
        <v>Solomon Mine Hub: Heavy Mobile Equipment (HME)</v>
      </c>
      <c r="Z273" s="2" t="str">
        <f>_xlfn.LET(
    _xlpm.isObject, _xlfn.XLOOKUP($Y273,'EA-Fortescue_SDExport'!A:A,'EA-Fortescue_SDExport'!B:B),
    _xlpm.lookupKey, IF(_xlpm.isObject="Object",
        _xlfn.XLOOKUP($A273,'EA-ConnectorExport'!A:A,'EA-ConnectorExport'!J:J),
        $Y273
    ),
    _xlpm.result, _xlfn.XLOOKUP(_xlpm.lookupKey,'EA-Fortescue_SDExport'!A:A,'EA-Fortescue_SDExport'!AA:AA),
    IF(_xlpm.result=0,"",_xlpm.result)
)</f>
        <v>Program</v>
      </c>
      <c r="AA273" s="2" t="str">
        <f>_xlfn.LET(_xlpm.result, _xlfn.XLOOKUP($Y273,'EA-Fortescue_SDExport'!$A:$A,'EA-Fortescue_SDExport'!AB:AB), IF(_xlpm.result=0,"",_xlpm.result))</f>
        <v/>
      </c>
      <c r="AB273" s="2" t="str">
        <f>_xlfn.LET(_xlpm.result, _xlfn.XLOOKUP($Y273,'EA-Fortescue_SDExport'!$A:$A,'EA-Fortescue_SDExport'!AC:AC), IF(_xlpm.result=0,"",_xlpm.result))</f>
        <v>Solomon Mine Hub</v>
      </c>
      <c r="AC273" s="2" t="str">
        <f>_xlfn.LET(
    _xlpm.isObject, _xlfn.XLOOKUP($Y273,'EA-Fortescue_SDExport'!A:A,'EA-Fortescue_SDExport'!B:B),
    _xlpm.lookupKey, IF(_xlpm.isObject="Object",
        _xlfn.XLOOKUP($A273,'EA-ConnectorExport'!A:A,'EA-ConnectorExport'!J:J),
        $Y273
    ),
    _xlpm.result, _xlfn.XLOOKUP(_xlpm.lookupKey,'EA-Fortescue_SDExport'!A:A,'EA-Fortescue_SDExport'!AD:AD),
    IF(_xlpm.result=0,"",_xlpm.result)
)</f>
        <v>851DC Heavy Mobile Equipment (HME)</v>
      </c>
      <c r="AD273" s="2" t="str">
        <f>_xlfn.LET(
    _xlpm.isObject, _xlfn.XLOOKUP($Y273,'EA-Fortescue_SDExport'!A:A,'EA-Fortescue_SDExport'!B:B),
    _xlpm.lookupKey, IF(_xlpm.isObject="Object",
        _xlfn.XLOOKUP($A273,'EA-ConnectorExport'!A:A,'EA-ConnectorExport'!J:J),
        $Y273
    ),
    _xlpm.result, _xlfn.XLOOKUP(_xlpm.lookupKey,'EA-Fortescue_SDExport'!A:A,'EA-Fortescue_SDExport'!AE:AE),
    IF(_xlpm.result=0,"",_xlpm.result)
)</f>
        <v/>
      </c>
      <c r="AE273" s="2" t="str">
        <f>_xlfn.LET(
    _xlpm.isObject, _xlfn.XLOOKUP($Y273,'EA-Fortescue_SDExport'!A:A,'EA-Fortescue_SDExport'!B:B),
    _xlpm.lookupKey, IF(_xlpm.isObject="Object",
        _xlfn.XLOOKUP($A273,'EA-ConnectorExport'!A:A,'EA-ConnectorExport'!J:J),
        $Y273
    ),
    _xlpm.result, _xlfn.XLOOKUP(_xlpm.lookupKey,'EA-Fortescue_SDExport'!A:A,'EA-Fortescue_SDExport'!AF:AF),
    IF(_xlpm.result=0,"",_xlpm.result)
)</f>
        <v/>
      </c>
      <c r="AF273" s="2" t="str">
        <f>_xlfn.LET(
    _xlpm.isObject, _xlfn.XLOOKUP($Y273,'EA-Fortescue_SDExport'!A:A,'EA-Fortescue_SDExport'!B:B),
    _xlpm.lookupKey, IF(_xlpm.isObject="Object",
        _xlfn.XLOOKUP($A273,'EA-ConnectorExport'!A:A,'EA-ConnectorExport'!J:J),
        $Y273
    ),
    _xlpm.result, _xlfn.XLOOKUP(_xlpm.lookupKey,'EA-Fortescue_SDExport'!A:A,'EA-Fortescue_SDExport'!AG:AG),
    IF(_xlpm.result=0,"",_xlpm.result)
)</f>
        <v/>
      </c>
    </row>
    <row r="274" spans="1:32" ht="60" x14ac:dyDescent="0.25">
      <c r="A274" s="2" t="str">
        <v>DGS-I_0273</v>
      </c>
      <c r="B274" s="2" t="str">
        <f t="shared" si="16"/>
        <v>Solomon Mine Hub: Heavy Mobile Equipment (HME)|859DC-1410-001-004 HaulX Shield (Collision Avoidance System)</v>
      </c>
      <c r="C274" s="2" t="str">
        <f>_xlfn.LET(_xlpm.result, _xlfn.XLOOKUP(A274,'EA-Fortescue_SDExport'!A:A,'EA-Fortescue_SDExport'!AM:AM), IF(_xlpm.result=0,"",_xlpm.result))</f>
        <v/>
      </c>
      <c r="D274" s="2" t="str">
        <f>_xlfn.LET(_xlpm.result, _xlfn.XLOOKUP(A274,'EA-Fortescue_SDExport'!A:A,'EA-Fortescue_SDExport'!AN:AN), IF(_xlpm.result=0,"",_xlpm.result))</f>
        <v/>
      </c>
      <c r="E274" s="2" t="str">
        <f>_xlfn.XLOOKUP(R274&amp;Z274,Lookups!A:A,Lookups!B:B)</f>
        <v>Program - Subsystem Interface</v>
      </c>
      <c r="F274" s="2" t="str">
        <f>_xlfn.LET(_xlpm.result, _xlfn.XLOOKUP(A274,'EA-Fortescue_SDExport'!A:A,'EA-Fortescue_SDExport'!AP:AP), IF(_xlpm.result=0,"",_xlpm.result))</f>
        <v/>
      </c>
      <c r="G274" s="2" t="str">
        <f>IF(OR(AND(T274&lt;&gt;"", COUNTIF(Lookups!J:J, "*"&amp;T274&amp;"*")&gt;0), AND(AB274&lt;&gt;"", COUNTIF(Lookups!J:J, "*"&amp;AB274&amp;"*")&gt;0)), "Yes", "No")</f>
        <v>Yes</v>
      </c>
      <c r="H274" s="2" t="str">
        <f t="shared" si="17"/>
        <v>851DC Heavy Mobile Equipment (HME)|859DC HaulX</v>
      </c>
      <c r="I274" s="2" t="str">
        <f t="shared" si="18"/>
        <v>N/A</v>
      </c>
      <c r="J274" s="2" t="str">
        <f t="shared" si="19"/>
        <v>N/A|859DC-1410-001 HaulX</v>
      </c>
      <c r="K274" s="2" t="str">
        <f>_xlfn.XLOOKUP(A274,'EA-Fortescue_SDExport'!A:A,'EA-Fortescue_SDExport'!N:N)</f>
        <v>Proposed</v>
      </c>
      <c r="L274" s="2" t="str">
        <f>_xlfn.LET(_xlpm.result, _xlfn.XLOOKUP($A274,'EA-Fortescue_SDExport'!$A:$A,'EA-Fortescue_SDExport'!AQ:AQ), IF(_xlpm.result=0,"",_xlpm.result))</f>
        <v/>
      </c>
      <c r="M274" s="2" t="str">
        <f>_xlfn.LET(_xlpm.result, _xlfn.XLOOKUP($A274,'EA-Fortescue_SDExport'!$A:$A,'EA-Fortescue_SDExport'!AR:AR), IF(_xlpm.result=0,"",_xlpm.result))</f>
        <v/>
      </c>
      <c r="N274" s="2" t="str">
        <f>_xlfn.LET(_xlpm.result, _xlfn.XLOOKUP($A274,'EA-Fortescue_SDExport'!$A:$A,'EA-Fortescue_SDExport'!AW:AW), IF(_xlpm.result=0,"",_xlpm.result))</f>
        <v/>
      </c>
      <c r="O274" s="2" t="str">
        <f>_xlfn.LET(_xlpm.result, _xlfn.XLOOKUP($A274,'EA-Fortescue_SDExport'!$A:$A,'EA-Fortescue_SDExport'!AV:AV), IF(_xlpm.result=0,"",_xlpm.result))</f>
        <v/>
      </c>
      <c r="P274" s="2" t="str">
        <f>_xlfn.LET(_xlpm.result, _xlfn.XLOOKUP($A274,'EA-Fortescue_SDExport'!$A:$A,'EA-Fortescue_SDExport'!D:D), IF(_xlpm.result=0,"",_xlpm.result))</f>
        <v/>
      </c>
      <c r="Q274" s="2" t="str">
        <f>_xlfn.LET(
    _xlpm.status, _xlfn.XLOOKUP($A274,'EA-ConnectorExport'!$A:$A,'EA-ConnectorExport'!G:G),
    _xlpm.result, _xlfn.XLOOKUP($A274,'EA-ConnectorExport'!$A:$A,'EA-ConnectorExport'!B:B),
    IF(_xlpm.status="allocate", _xlpm.result, "")
)</f>
        <v>Solomon Mine Hub: Heavy Mobile Equipment (HME)</v>
      </c>
      <c r="R274" s="2" t="str">
        <f>IF(
    _xlfn.XLOOKUP($Q274,'EA-Fortescue_SDExport'!A:A,'EA-Fortescue_SDExport'!B:B)="Object",
    _xlfn.XLOOKUP(
        _xlfn.XLOOKUP($A274,'EA-ConnectorExport'!A:A,'EA-ConnectorExport'!D:D),
        'EA-Fortescue_SDExport'!A:A,
        'EA-Fortescue_SDExport'!AA:AA
    ),
    _xlfn.XLOOKUP($Q274,'EA-Fortescue_SDExport'!A:A,'EA-Fortescue_SDExport'!AA:AA)
)</f>
        <v>Program</v>
      </c>
      <c r="S274" s="2" t="str">
        <f>_xlfn.LET(_xlpm.result, _xlfn.XLOOKUP($Q274,'EA-Fortescue_SDExport'!$A:$A,'EA-Fortescue_SDExport'!AB:AB), IF(_xlpm.result=0,"",_xlpm.result))</f>
        <v/>
      </c>
      <c r="T274" s="2" t="str">
        <f>_xlfn.LET(_xlpm.result, _xlfn.XLOOKUP($Q274,'EA-Fortescue_SDExport'!$A:$A,'EA-Fortescue_SDExport'!AC:AC), IF(_xlpm.result=0,"",_xlpm.result))</f>
        <v>Solomon Mine Hub</v>
      </c>
      <c r="U274" s="2" t="str">
        <f>_xlfn.LET(
    _xlpm.isObject, _xlfn.XLOOKUP($Q274,'EA-Fortescue_SDExport'!A:A,'EA-Fortescue_SDExport'!B:B),
    _xlpm.lookupKey, IF(_xlpm.isObject="Object",
        _xlfn.XLOOKUP($A274,'EA-ConnectorExport'!A:A,'EA-ConnectorExport'!D:D),
        $Q274
    ),
    _xlpm.result, _xlfn.XLOOKUP(_xlpm.lookupKey,'EA-Fortescue_SDExport'!A:A,'EA-Fortescue_SDExport'!AD:AD),
    IF(_xlpm.result=0,"",_xlpm.result)
)</f>
        <v>851DC Heavy Mobile Equipment (HME)</v>
      </c>
      <c r="V274" s="2" t="str">
        <f>_xlfn.LET(
    _xlpm.isObject, _xlfn.XLOOKUP($Q274,'EA-Fortescue_SDExport'!A:A,'EA-Fortescue_SDExport'!B:B),
    _xlpm.lookupKey, IF(_xlpm.isObject="Object",
        _xlfn.XLOOKUP($A274,'EA-ConnectorExport'!A:A,'EA-ConnectorExport'!D:D),
        $Q274
    ),
    _xlpm.result, _xlfn.XLOOKUP(_xlpm.lookupKey,'EA-Fortescue_SDExport'!A:A,'EA-Fortescue_SDExport'!AE:AE),
    IF(_xlpm.result=0,"",_xlpm.result)
)</f>
        <v/>
      </c>
      <c r="W274" s="2" t="str">
        <f>_xlfn.LET(
    _xlpm.isObject, _xlfn.XLOOKUP($Q274,'EA-Fortescue_SDExport'!A:A,'EA-Fortescue_SDExport'!B:B),
    _xlpm.lookupKey, IF(_xlpm.isObject="Object",
        _xlfn.XLOOKUP($A274,'EA-ConnectorExport'!A:A,'EA-ConnectorExport'!D:D),
        $Q274
    ),
    _xlpm.result, _xlfn.XLOOKUP(_xlpm.lookupKey,'EA-Fortescue_SDExport'!A:A,'EA-Fortescue_SDExport'!AF:AF),
    IF(_xlpm.result=0,"",_xlpm.result)
)</f>
        <v/>
      </c>
      <c r="X274" s="2" t="str">
        <f>_xlfn.LET(
    _xlpm.isObject, _xlfn.XLOOKUP($Q274,'EA-Fortescue_SDExport'!A:A,'EA-Fortescue_SDExport'!B:B),
    _xlpm.lookupKey, IF(_xlpm.isObject="Object",
        _xlfn.XLOOKUP($A274,'EA-ConnectorExport'!A:A,'EA-ConnectorExport'!D:D),
        $Q274
    ),
    _xlpm.result, _xlfn.XLOOKUP(_xlpm.lookupKey,'EA-Fortescue_SDExport'!A:A,'EA-Fortescue_SDExport'!AG:AG),
    IF(_xlpm.result=0,"",_xlpm.result)
)</f>
        <v/>
      </c>
      <c r="Y274" s="2" t="str">
        <f>_xlfn.LET(
    _xlpm.status, _xlfn.XLOOKUP($A274,'EA-ConnectorExport'!$A:$A,'EA-ConnectorExport'!G:G),
    _xlpm.result, _xlfn.XLOOKUP($A274,'EA-ConnectorExport'!$A:$A,'EA-ConnectorExport'!H:H),
    IF(_xlpm.status="allocate", _xlpm.result, "")
)</f>
        <v>859DC-1410-001-004 HaulX Shield (Collision Avoidance System)</v>
      </c>
      <c r="Z274" s="2" t="str">
        <f>_xlfn.LET(
    _xlpm.isObject, _xlfn.XLOOKUP($Y274,'EA-Fortescue_SDExport'!A:A,'EA-Fortescue_SDExport'!B:B),
    _xlpm.lookupKey, IF(_xlpm.isObject="Object",
        _xlfn.XLOOKUP($A274,'EA-ConnectorExport'!A:A,'EA-ConnectorExport'!J:J),
        $Y274
    ),
    _xlpm.result, _xlfn.XLOOKUP(_xlpm.lookupKey,'EA-Fortescue_SDExport'!A:A,'EA-Fortescue_SDExport'!AA:AA),
    IF(_xlpm.result=0,"",_xlpm.result)
)</f>
        <v>Subsystem</v>
      </c>
      <c r="AA274" s="2" t="str">
        <f>_xlfn.LET(_xlpm.result, _xlfn.XLOOKUP($Y274,'EA-Fortescue_SDExport'!$A:$A,'EA-Fortescue_SDExport'!AB:AB), IF(_xlpm.result=0,"",_xlpm.result))</f>
        <v/>
      </c>
      <c r="AB274" s="2" t="str">
        <f>_xlfn.LET(_xlpm.result, _xlfn.XLOOKUP($Y274,'EA-Fortescue_SDExport'!$A:$A,'EA-Fortescue_SDExport'!AC:AC), IF(_xlpm.result=0,"",_xlpm.result))</f>
        <v/>
      </c>
      <c r="AC274" s="2" t="str">
        <f>_xlfn.LET(
    _xlpm.isObject, _xlfn.XLOOKUP($Y274,'EA-Fortescue_SDExport'!A:A,'EA-Fortescue_SDExport'!B:B),
    _xlpm.lookupKey, IF(_xlpm.isObject="Object",
        _xlfn.XLOOKUP($A274,'EA-ConnectorExport'!A:A,'EA-ConnectorExport'!J:J),
        $Y274
    ),
    _xlpm.result, _xlfn.XLOOKUP(_xlpm.lookupKey,'EA-Fortescue_SDExport'!A:A,'EA-Fortescue_SDExport'!AD:AD),
    IF(_xlpm.result=0,"",_xlpm.result)
)</f>
        <v>859DC HaulX</v>
      </c>
      <c r="AD274" s="2" t="str">
        <f>_xlfn.LET(
    _xlpm.isObject, _xlfn.XLOOKUP($Y274,'EA-Fortescue_SDExport'!A:A,'EA-Fortescue_SDExport'!B:B),
    _xlpm.lookupKey, IF(_xlpm.isObject="Object",
        _xlfn.XLOOKUP($A274,'EA-ConnectorExport'!A:A,'EA-ConnectorExport'!J:J),
        $Y274
    ),
    _xlpm.result, _xlfn.XLOOKUP(_xlpm.lookupKey,'EA-Fortescue_SDExport'!A:A,'EA-Fortescue_SDExport'!AE:AE),
    IF(_xlpm.result=0,"",_xlpm.result)
)</f>
        <v/>
      </c>
      <c r="AE274" s="2" t="str">
        <f>_xlfn.LET(
    _xlpm.isObject, _xlfn.XLOOKUP($Y274,'EA-Fortescue_SDExport'!A:A,'EA-Fortescue_SDExport'!B:B),
    _xlpm.lookupKey, IF(_xlpm.isObject="Object",
        _xlfn.XLOOKUP($A274,'EA-ConnectorExport'!A:A,'EA-ConnectorExport'!J:J),
        $Y274
    ),
    _xlpm.result, _xlfn.XLOOKUP(_xlpm.lookupKey,'EA-Fortescue_SDExport'!A:A,'EA-Fortescue_SDExport'!AF:AF),
    IF(_xlpm.result=0,"",_xlpm.result)
)</f>
        <v>859DC-1410-001 HaulX</v>
      </c>
      <c r="AF274" s="2" t="str">
        <f>_xlfn.LET(
    _xlpm.isObject, _xlfn.XLOOKUP($Y274,'EA-Fortescue_SDExport'!A:A,'EA-Fortescue_SDExport'!B:B),
    _xlpm.lookupKey, IF(_xlpm.isObject="Object",
        _xlfn.XLOOKUP($A274,'EA-ConnectorExport'!A:A,'EA-ConnectorExport'!J:J),
        $Y274
    ),
    _xlpm.result, _xlfn.XLOOKUP(_xlpm.lookupKey,'EA-Fortescue_SDExport'!A:A,'EA-Fortescue_SDExport'!AG:AG),
    IF(_xlpm.result=0,"",_xlpm.result)
)</f>
        <v>859DC-1410-001-004 HaulX Shield (Collision Avoidance System)</v>
      </c>
    </row>
    <row r="275" spans="1:32" ht="60" x14ac:dyDescent="0.25">
      <c r="A275" s="2" t="str">
        <v>DGS-I_0274</v>
      </c>
      <c r="B275" s="2" t="str">
        <f t="shared" si="16"/>
        <v>Solomon Mine Hub: Support Mobile Equipment (SME)|859DC-1410-001-004 HaulX Shield (Collision Avoidance System)</v>
      </c>
      <c r="C275" s="2" t="str">
        <f>_xlfn.LET(_xlpm.result, _xlfn.XLOOKUP(A275,'EA-Fortescue_SDExport'!A:A,'EA-Fortescue_SDExport'!AM:AM), IF(_xlpm.result=0,"",_xlpm.result))</f>
        <v/>
      </c>
      <c r="D275" s="2" t="str">
        <f>_xlfn.LET(_xlpm.result, _xlfn.XLOOKUP(A275,'EA-Fortescue_SDExport'!A:A,'EA-Fortescue_SDExport'!AN:AN), IF(_xlpm.result=0,"",_xlpm.result))</f>
        <v/>
      </c>
      <c r="E275" s="2" t="str">
        <f>_xlfn.XLOOKUP(R275&amp;Z275,Lookups!A:A,Lookups!B:B)</f>
        <v>Program - Subsystem Interface</v>
      </c>
      <c r="F275" s="2" t="str">
        <f>_xlfn.LET(_xlpm.result, _xlfn.XLOOKUP(A275,'EA-Fortescue_SDExport'!A:A,'EA-Fortescue_SDExport'!AP:AP), IF(_xlpm.result=0,"",_xlpm.result))</f>
        <v/>
      </c>
      <c r="G275" s="2" t="str">
        <f>IF(OR(AND(T275&lt;&gt;"", COUNTIF(Lookups!J:J, "*"&amp;T275&amp;"*")&gt;0), AND(AB275&lt;&gt;"", COUNTIF(Lookups!J:J, "*"&amp;AB275&amp;"*")&gt;0)), "Yes", "No")</f>
        <v>Yes</v>
      </c>
      <c r="H275" s="2" t="str">
        <f t="shared" si="17"/>
        <v>852DC Light Mobile Equipment (LME) &amp; Support Mobile Equipment (SME)|859DC HaulX</v>
      </c>
      <c r="I275" s="2" t="str">
        <f t="shared" si="18"/>
        <v>N/A</v>
      </c>
      <c r="J275" s="2" t="str">
        <f t="shared" si="19"/>
        <v>N/A|859DC-1410-001 HaulX</v>
      </c>
      <c r="K275" s="2" t="str">
        <f>_xlfn.XLOOKUP(A275,'EA-Fortescue_SDExport'!A:A,'EA-Fortescue_SDExport'!N:N)</f>
        <v>Proposed</v>
      </c>
      <c r="L275" s="2" t="str">
        <f>_xlfn.LET(_xlpm.result, _xlfn.XLOOKUP($A275,'EA-Fortescue_SDExport'!$A:$A,'EA-Fortescue_SDExport'!AQ:AQ), IF(_xlpm.result=0,"",_xlpm.result))</f>
        <v/>
      </c>
      <c r="M275" s="2" t="str">
        <f>_xlfn.LET(_xlpm.result, _xlfn.XLOOKUP($A275,'EA-Fortescue_SDExport'!$A:$A,'EA-Fortescue_SDExport'!AR:AR), IF(_xlpm.result=0,"",_xlpm.result))</f>
        <v/>
      </c>
      <c r="N275" s="2" t="str">
        <f>_xlfn.LET(_xlpm.result, _xlfn.XLOOKUP($A275,'EA-Fortescue_SDExport'!$A:$A,'EA-Fortescue_SDExport'!AW:AW), IF(_xlpm.result=0,"",_xlpm.result))</f>
        <v/>
      </c>
      <c r="O275" s="2" t="str">
        <f>_xlfn.LET(_xlpm.result, _xlfn.XLOOKUP($A275,'EA-Fortescue_SDExport'!$A:$A,'EA-Fortescue_SDExport'!AV:AV), IF(_xlpm.result=0,"",_xlpm.result))</f>
        <v/>
      </c>
      <c r="P275" s="2" t="str">
        <f>_xlfn.LET(_xlpm.result, _xlfn.XLOOKUP($A275,'EA-Fortescue_SDExport'!$A:$A,'EA-Fortescue_SDExport'!D:D), IF(_xlpm.result=0,"",_xlpm.result))</f>
        <v/>
      </c>
      <c r="Q275" s="2" t="str">
        <f>_xlfn.LET(
    _xlpm.status, _xlfn.XLOOKUP($A275,'EA-ConnectorExport'!$A:$A,'EA-ConnectorExport'!G:G),
    _xlpm.result, _xlfn.XLOOKUP($A275,'EA-ConnectorExport'!$A:$A,'EA-ConnectorExport'!B:B),
    IF(_xlpm.status="allocate", _xlpm.result, "")
)</f>
        <v>Solomon Mine Hub: Support Mobile Equipment (SME)</v>
      </c>
      <c r="R275" s="2" t="str">
        <f>IF(
    _xlfn.XLOOKUP($Q275,'EA-Fortescue_SDExport'!A:A,'EA-Fortescue_SDExport'!B:B)="Object",
    _xlfn.XLOOKUP(
        _xlfn.XLOOKUP($A275,'EA-ConnectorExport'!A:A,'EA-ConnectorExport'!D:D),
        'EA-Fortescue_SDExport'!A:A,
        'EA-Fortescue_SDExport'!AA:AA
    ),
    _xlfn.XLOOKUP($Q275,'EA-Fortescue_SDExport'!A:A,'EA-Fortescue_SDExport'!AA:AA)
)</f>
        <v>Program</v>
      </c>
      <c r="S275" s="2" t="str">
        <f>_xlfn.LET(_xlpm.result, _xlfn.XLOOKUP($Q275,'EA-Fortescue_SDExport'!$A:$A,'EA-Fortescue_SDExport'!AB:AB), IF(_xlpm.result=0,"",_xlpm.result))</f>
        <v/>
      </c>
      <c r="T275" s="2" t="str">
        <f>_xlfn.LET(_xlpm.result, _xlfn.XLOOKUP($Q275,'EA-Fortescue_SDExport'!$A:$A,'EA-Fortescue_SDExport'!AC:AC), IF(_xlpm.result=0,"",_xlpm.result))</f>
        <v>Solomon Mine Hub</v>
      </c>
      <c r="U275" s="2" t="str">
        <f>_xlfn.LET(
    _xlpm.isObject, _xlfn.XLOOKUP($Q275,'EA-Fortescue_SDExport'!A:A,'EA-Fortescue_SDExport'!B:B),
    _xlpm.lookupKey, IF(_xlpm.isObject="Object",
        _xlfn.XLOOKUP($A275,'EA-ConnectorExport'!A:A,'EA-ConnectorExport'!D:D),
        $Q275
    ),
    _xlpm.result, _xlfn.XLOOKUP(_xlpm.lookupKey,'EA-Fortescue_SDExport'!A:A,'EA-Fortescue_SDExport'!AD:AD),
    IF(_xlpm.result=0,"",_xlpm.result)
)</f>
        <v>852DC Light Mobile Equipment (LME) &amp; Support Mobile Equipment (SME)</v>
      </c>
      <c r="V275" s="2" t="str">
        <f>_xlfn.LET(
    _xlpm.isObject, _xlfn.XLOOKUP($Q275,'EA-Fortescue_SDExport'!A:A,'EA-Fortescue_SDExport'!B:B),
    _xlpm.lookupKey, IF(_xlpm.isObject="Object",
        _xlfn.XLOOKUP($A275,'EA-ConnectorExport'!A:A,'EA-ConnectorExport'!D:D),
        $Q275
    ),
    _xlpm.result, _xlfn.XLOOKUP(_xlpm.lookupKey,'EA-Fortescue_SDExport'!A:A,'EA-Fortescue_SDExport'!AE:AE),
    IF(_xlpm.result=0,"",_xlpm.result)
)</f>
        <v/>
      </c>
      <c r="W275" s="2" t="str">
        <f>_xlfn.LET(
    _xlpm.isObject, _xlfn.XLOOKUP($Q275,'EA-Fortescue_SDExport'!A:A,'EA-Fortescue_SDExport'!B:B),
    _xlpm.lookupKey, IF(_xlpm.isObject="Object",
        _xlfn.XLOOKUP($A275,'EA-ConnectorExport'!A:A,'EA-ConnectorExport'!D:D),
        $Q275
    ),
    _xlpm.result, _xlfn.XLOOKUP(_xlpm.lookupKey,'EA-Fortescue_SDExport'!A:A,'EA-Fortescue_SDExport'!AF:AF),
    IF(_xlpm.result=0,"",_xlpm.result)
)</f>
        <v/>
      </c>
      <c r="X275" s="2" t="str">
        <f>_xlfn.LET(
    _xlpm.isObject, _xlfn.XLOOKUP($Q275,'EA-Fortescue_SDExport'!A:A,'EA-Fortescue_SDExport'!B:B),
    _xlpm.lookupKey, IF(_xlpm.isObject="Object",
        _xlfn.XLOOKUP($A275,'EA-ConnectorExport'!A:A,'EA-ConnectorExport'!D:D),
        $Q275
    ),
    _xlpm.result, _xlfn.XLOOKUP(_xlpm.lookupKey,'EA-Fortescue_SDExport'!A:A,'EA-Fortescue_SDExport'!AG:AG),
    IF(_xlpm.result=0,"",_xlpm.result)
)</f>
        <v/>
      </c>
      <c r="Y275" s="2" t="str">
        <f>_xlfn.LET(
    _xlpm.status, _xlfn.XLOOKUP($A275,'EA-ConnectorExport'!$A:$A,'EA-ConnectorExport'!G:G),
    _xlpm.result, _xlfn.XLOOKUP($A275,'EA-ConnectorExport'!$A:$A,'EA-ConnectorExport'!H:H),
    IF(_xlpm.status="allocate", _xlpm.result, "")
)</f>
        <v>859DC-1410-001-004 HaulX Shield (Collision Avoidance System)</v>
      </c>
      <c r="Z275" s="2" t="str">
        <f>_xlfn.LET(
    _xlpm.isObject, _xlfn.XLOOKUP($Y275,'EA-Fortescue_SDExport'!A:A,'EA-Fortescue_SDExport'!B:B),
    _xlpm.lookupKey, IF(_xlpm.isObject="Object",
        _xlfn.XLOOKUP($A275,'EA-ConnectorExport'!A:A,'EA-ConnectorExport'!J:J),
        $Y275
    ),
    _xlpm.result, _xlfn.XLOOKUP(_xlpm.lookupKey,'EA-Fortescue_SDExport'!A:A,'EA-Fortescue_SDExport'!AA:AA),
    IF(_xlpm.result=0,"",_xlpm.result)
)</f>
        <v>Subsystem</v>
      </c>
      <c r="AA275" s="2" t="str">
        <f>_xlfn.LET(_xlpm.result, _xlfn.XLOOKUP($Y275,'EA-Fortescue_SDExport'!$A:$A,'EA-Fortescue_SDExport'!AB:AB), IF(_xlpm.result=0,"",_xlpm.result))</f>
        <v/>
      </c>
      <c r="AB275" s="2" t="str">
        <f>_xlfn.LET(_xlpm.result, _xlfn.XLOOKUP($Y275,'EA-Fortescue_SDExport'!$A:$A,'EA-Fortescue_SDExport'!AC:AC), IF(_xlpm.result=0,"",_xlpm.result))</f>
        <v/>
      </c>
      <c r="AC275" s="2" t="str">
        <f>_xlfn.LET(
    _xlpm.isObject, _xlfn.XLOOKUP($Y275,'EA-Fortescue_SDExport'!A:A,'EA-Fortescue_SDExport'!B:B),
    _xlpm.lookupKey, IF(_xlpm.isObject="Object",
        _xlfn.XLOOKUP($A275,'EA-ConnectorExport'!A:A,'EA-ConnectorExport'!J:J),
        $Y275
    ),
    _xlpm.result, _xlfn.XLOOKUP(_xlpm.lookupKey,'EA-Fortescue_SDExport'!A:A,'EA-Fortescue_SDExport'!AD:AD),
    IF(_xlpm.result=0,"",_xlpm.result)
)</f>
        <v>859DC HaulX</v>
      </c>
      <c r="AD275" s="2" t="str">
        <f>_xlfn.LET(
    _xlpm.isObject, _xlfn.XLOOKUP($Y275,'EA-Fortescue_SDExport'!A:A,'EA-Fortescue_SDExport'!B:B),
    _xlpm.lookupKey, IF(_xlpm.isObject="Object",
        _xlfn.XLOOKUP($A275,'EA-ConnectorExport'!A:A,'EA-ConnectorExport'!J:J),
        $Y275
    ),
    _xlpm.result, _xlfn.XLOOKUP(_xlpm.lookupKey,'EA-Fortescue_SDExport'!A:A,'EA-Fortescue_SDExport'!AE:AE),
    IF(_xlpm.result=0,"",_xlpm.result)
)</f>
        <v/>
      </c>
      <c r="AE275" s="2" t="str">
        <f>_xlfn.LET(
    _xlpm.isObject, _xlfn.XLOOKUP($Y275,'EA-Fortescue_SDExport'!A:A,'EA-Fortescue_SDExport'!B:B),
    _xlpm.lookupKey, IF(_xlpm.isObject="Object",
        _xlfn.XLOOKUP($A275,'EA-ConnectorExport'!A:A,'EA-ConnectorExport'!J:J),
        $Y275
    ),
    _xlpm.result, _xlfn.XLOOKUP(_xlpm.lookupKey,'EA-Fortescue_SDExport'!A:A,'EA-Fortescue_SDExport'!AF:AF),
    IF(_xlpm.result=0,"",_xlpm.result)
)</f>
        <v>859DC-1410-001 HaulX</v>
      </c>
      <c r="AF275" s="2" t="str">
        <f>_xlfn.LET(
    _xlpm.isObject, _xlfn.XLOOKUP($Y275,'EA-Fortescue_SDExport'!A:A,'EA-Fortescue_SDExport'!B:B),
    _xlpm.lookupKey, IF(_xlpm.isObject="Object",
        _xlfn.XLOOKUP($A275,'EA-ConnectorExport'!A:A,'EA-ConnectorExport'!J:J),
        $Y275
    ),
    _xlpm.result, _xlfn.XLOOKUP(_xlpm.lookupKey,'EA-Fortescue_SDExport'!A:A,'EA-Fortescue_SDExport'!AG:AG),
    IF(_xlpm.result=0,"",_xlpm.result)
)</f>
        <v>859DC-1410-001-004 HaulX Shield (Collision Avoidance System)</v>
      </c>
    </row>
    <row r="276" spans="1:32" ht="60" x14ac:dyDescent="0.25">
      <c r="A276" s="2" t="str">
        <v>DGS-I_0275</v>
      </c>
      <c r="B276" s="2" t="str">
        <f t="shared" si="16"/>
        <v>Solomon Mine Hub: Light Mobile Equipment (LME)|859DC-1410-001-004 HaulX Shield (Collision Avoidance System)</v>
      </c>
      <c r="C276" s="2" t="str">
        <f>_xlfn.LET(_xlpm.result, _xlfn.XLOOKUP(A276,'EA-Fortescue_SDExport'!A:A,'EA-Fortescue_SDExport'!AM:AM), IF(_xlpm.result=0,"",_xlpm.result))</f>
        <v/>
      </c>
      <c r="D276" s="2" t="str">
        <f>_xlfn.LET(_xlpm.result, _xlfn.XLOOKUP(A276,'EA-Fortescue_SDExport'!A:A,'EA-Fortescue_SDExport'!AN:AN), IF(_xlpm.result=0,"",_xlpm.result))</f>
        <v/>
      </c>
      <c r="E276" s="2" t="str">
        <f>_xlfn.XLOOKUP(R276&amp;Z276,Lookups!A:A,Lookups!B:B)</f>
        <v>Program - Subsystem Interface</v>
      </c>
      <c r="F276" s="2" t="str">
        <f>_xlfn.LET(_xlpm.result, _xlfn.XLOOKUP(A276,'EA-Fortescue_SDExport'!A:A,'EA-Fortescue_SDExport'!AP:AP), IF(_xlpm.result=0,"",_xlpm.result))</f>
        <v/>
      </c>
      <c r="G276" s="2" t="str">
        <f>IF(OR(AND(T276&lt;&gt;"", COUNTIF(Lookups!J:J, "*"&amp;T276&amp;"*")&gt;0), AND(AB276&lt;&gt;"", COUNTIF(Lookups!J:J, "*"&amp;AB276&amp;"*")&gt;0)), "Yes", "No")</f>
        <v>Yes</v>
      </c>
      <c r="H276" s="2" t="str">
        <f t="shared" si="17"/>
        <v>N/A|859DC HaulX</v>
      </c>
      <c r="I276" s="2" t="str">
        <f t="shared" si="18"/>
        <v>N/A</v>
      </c>
      <c r="J276" s="2" t="str">
        <f t="shared" si="19"/>
        <v>N/A|859DC-1410-001 HaulX</v>
      </c>
      <c r="K276" s="2" t="str">
        <f>_xlfn.XLOOKUP(A276,'EA-Fortescue_SDExport'!A:A,'EA-Fortescue_SDExport'!N:N)</f>
        <v>Deleted</v>
      </c>
      <c r="L276" s="2" t="str">
        <f>_xlfn.LET(_xlpm.result, _xlfn.XLOOKUP($A276,'EA-Fortescue_SDExport'!$A:$A,'EA-Fortescue_SDExport'!AQ:AQ), IF(_xlpm.result=0,"",_xlpm.result))</f>
        <v/>
      </c>
      <c r="M276" s="2" t="str">
        <f>_xlfn.LET(_xlpm.result, _xlfn.XLOOKUP($A276,'EA-Fortescue_SDExport'!$A:$A,'EA-Fortescue_SDExport'!AR:AR), IF(_xlpm.result=0,"",_xlpm.result))</f>
        <v/>
      </c>
      <c r="N276" s="2" t="str">
        <f>_xlfn.LET(_xlpm.result, _xlfn.XLOOKUP($A276,'EA-Fortescue_SDExport'!$A:$A,'EA-Fortescue_SDExport'!AW:AW), IF(_xlpm.result=0,"",_xlpm.result))</f>
        <v/>
      </c>
      <c r="O276" s="2" t="str">
        <f>_xlfn.LET(_xlpm.result, _xlfn.XLOOKUP($A276,'EA-Fortescue_SDExport'!$A:$A,'EA-Fortescue_SDExport'!AV:AV), IF(_xlpm.result=0,"",_xlpm.result))</f>
        <v/>
      </c>
      <c r="P276" s="2" t="str">
        <f>_xlfn.LET(_xlpm.result, _xlfn.XLOOKUP($A276,'EA-Fortescue_SDExport'!$A:$A,'EA-Fortescue_SDExport'!D:D), IF(_xlpm.result=0,"",_xlpm.result))</f>
        <v>SBS-WBS Mapping 02/01/2026: Delete LME &amp;amp; Merge LME &amp;amp; SME to combined Program Level - Interface deleted.</v>
      </c>
      <c r="Q276" s="2" t="str">
        <f>_xlfn.LET(
    _xlpm.status, _xlfn.XLOOKUP($A276,'EA-ConnectorExport'!$A:$A,'EA-ConnectorExport'!G:G),
    _xlpm.result, _xlfn.XLOOKUP($A276,'EA-ConnectorExport'!$A:$A,'EA-ConnectorExport'!B:B),
    IF(_xlpm.status="allocate", _xlpm.result, "")
)</f>
        <v>Solomon Mine Hub: Light Mobile Equipment (LME)</v>
      </c>
      <c r="R276" s="2" t="str">
        <f>IF(
    _xlfn.XLOOKUP($Q276,'EA-Fortescue_SDExport'!A:A,'EA-Fortescue_SDExport'!B:B)="Object",
    _xlfn.XLOOKUP(
        _xlfn.XLOOKUP($A276,'EA-ConnectorExport'!A:A,'EA-ConnectorExport'!D:D),
        'EA-Fortescue_SDExport'!A:A,
        'EA-Fortescue_SDExport'!AA:AA
    ),
    _xlfn.XLOOKUP($Q276,'EA-Fortescue_SDExport'!A:A,'EA-Fortescue_SDExport'!AA:AA)
)</f>
        <v>Program</v>
      </c>
      <c r="S276" s="2" t="str">
        <f>_xlfn.LET(_xlpm.result, _xlfn.XLOOKUP($Q276,'EA-Fortescue_SDExport'!$A:$A,'EA-Fortescue_SDExport'!AB:AB), IF(_xlpm.result=0,"",_xlpm.result))</f>
        <v/>
      </c>
      <c r="T276" s="2" t="str">
        <f>_xlfn.LET(_xlpm.result, _xlfn.XLOOKUP($Q276,'EA-Fortescue_SDExport'!$A:$A,'EA-Fortescue_SDExport'!AC:AC), IF(_xlpm.result=0,"",_xlpm.result))</f>
        <v>Solomon Mine Hub</v>
      </c>
      <c r="U276" s="2" t="str">
        <f>_xlfn.LET(
    _xlpm.isObject, _xlfn.XLOOKUP($Q276,'EA-Fortescue_SDExport'!A:A,'EA-Fortescue_SDExport'!B:B),
    _xlpm.lookupKey, IF(_xlpm.isObject="Object",
        _xlfn.XLOOKUP($A276,'EA-ConnectorExport'!A:A,'EA-ConnectorExport'!D:D),
        $Q276
    ),
    _xlpm.result, _xlfn.XLOOKUP(_xlpm.lookupKey,'EA-Fortescue_SDExport'!A:A,'EA-Fortescue_SDExport'!AD:AD),
    IF(_xlpm.result=0,"",_xlpm.result)
)</f>
        <v/>
      </c>
      <c r="V276" s="2" t="str">
        <f>_xlfn.LET(
    _xlpm.isObject, _xlfn.XLOOKUP($Q276,'EA-Fortescue_SDExport'!A:A,'EA-Fortescue_SDExport'!B:B),
    _xlpm.lookupKey, IF(_xlpm.isObject="Object",
        _xlfn.XLOOKUP($A276,'EA-ConnectorExport'!A:A,'EA-ConnectorExport'!D:D),
        $Q276
    ),
    _xlpm.result, _xlfn.XLOOKUP(_xlpm.lookupKey,'EA-Fortescue_SDExport'!A:A,'EA-Fortescue_SDExport'!AE:AE),
    IF(_xlpm.result=0,"",_xlpm.result)
)</f>
        <v/>
      </c>
      <c r="W276" s="2" t="str">
        <f>_xlfn.LET(
    _xlpm.isObject, _xlfn.XLOOKUP($Q276,'EA-Fortescue_SDExport'!A:A,'EA-Fortescue_SDExport'!B:B),
    _xlpm.lookupKey, IF(_xlpm.isObject="Object",
        _xlfn.XLOOKUP($A276,'EA-ConnectorExport'!A:A,'EA-ConnectorExport'!D:D),
        $Q276
    ),
    _xlpm.result, _xlfn.XLOOKUP(_xlpm.lookupKey,'EA-Fortescue_SDExport'!A:A,'EA-Fortescue_SDExport'!AF:AF),
    IF(_xlpm.result=0,"",_xlpm.result)
)</f>
        <v/>
      </c>
      <c r="X276" s="2" t="str">
        <f>_xlfn.LET(
    _xlpm.isObject, _xlfn.XLOOKUP($Q276,'EA-Fortescue_SDExport'!A:A,'EA-Fortescue_SDExport'!B:B),
    _xlpm.lookupKey, IF(_xlpm.isObject="Object",
        _xlfn.XLOOKUP($A276,'EA-ConnectorExport'!A:A,'EA-ConnectorExport'!D:D),
        $Q276
    ),
    _xlpm.result, _xlfn.XLOOKUP(_xlpm.lookupKey,'EA-Fortescue_SDExport'!A:A,'EA-Fortescue_SDExport'!AG:AG),
    IF(_xlpm.result=0,"",_xlpm.result)
)</f>
        <v/>
      </c>
      <c r="Y276" s="2" t="str">
        <f>_xlfn.LET(
    _xlpm.status, _xlfn.XLOOKUP($A276,'EA-ConnectorExport'!$A:$A,'EA-ConnectorExport'!G:G),
    _xlpm.result, _xlfn.XLOOKUP($A276,'EA-ConnectorExport'!$A:$A,'EA-ConnectorExport'!H:H),
    IF(_xlpm.status="allocate", _xlpm.result, "")
)</f>
        <v>859DC-1410-001-004 HaulX Shield (Collision Avoidance System)</v>
      </c>
      <c r="Z276" s="2" t="str">
        <f>_xlfn.LET(
    _xlpm.isObject, _xlfn.XLOOKUP($Y276,'EA-Fortescue_SDExport'!A:A,'EA-Fortescue_SDExport'!B:B),
    _xlpm.lookupKey, IF(_xlpm.isObject="Object",
        _xlfn.XLOOKUP($A276,'EA-ConnectorExport'!A:A,'EA-ConnectorExport'!J:J),
        $Y276
    ),
    _xlpm.result, _xlfn.XLOOKUP(_xlpm.lookupKey,'EA-Fortescue_SDExport'!A:A,'EA-Fortescue_SDExport'!AA:AA),
    IF(_xlpm.result=0,"",_xlpm.result)
)</f>
        <v>Subsystem</v>
      </c>
      <c r="AA276" s="2" t="str">
        <f>_xlfn.LET(_xlpm.result, _xlfn.XLOOKUP($Y276,'EA-Fortescue_SDExport'!$A:$A,'EA-Fortescue_SDExport'!AB:AB), IF(_xlpm.result=0,"",_xlpm.result))</f>
        <v/>
      </c>
      <c r="AB276" s="2" t="str">
        <f>_xlfn.LET(_xlpm.result, _xlfn.XLOOKUP($Y276,'EA-Fortescue_SDExport'!$A:$A,'EA-Fortescue_SDExport'!AC:AC), IF(_xlpm.result=0,"",_xlpm.result))</f>
        <v/>
      </c>
      <c r="AC276" s="2" t="str">
        <f>_xlfn.LET(
    _xlpm.isObject, _xlfn.XLOOKUP($Y276,'EA-Fortescue_SDExport'!A:A,'EA-Fortescue_SDExport'!B:B),
    _xlpm.lookupKey, IF(_xlpm.isObject="Object",
        _xlfn.XLOOKUP($A276,'EA-ConnectorExport'!A:A,'EA-ConnectorExport'!J:J),
        $Y276
    ),
    _xlpm.result, _xlfn.XLOOKUP(_xlpm.lookupKey,'EA-Fortescue_SDExport'!A:A,'EA-Fortescue_SDExport'!AD:AD),
    IF(_xlpm.result=0,"",_xlpm.result)
)</f>
        <v>859DC HaulX</v>
      </c>
      <c r="AD276" s="2" t="str">
        <f>_xlfn.LET(
    _xlpm.isObject, _xlfn.XLOOKUP($Y276,'EA-Fortescue_SDExport'!A:A,'EA-Fortescue_SDExport'!B:B),
    _xlpm.lookupKey, IF(_xlpm.isObject="Object",
        _xlfn.XLOOKUP($A276,'EA-ConnectorExport'!A:A,'EA-ConnectorExport'!J:J),
        $Y276
    ),
    _xlpm.result, _xlfn.XLOOKUP(_xlpm.lookupKey,'EA-Fortescue_SDExport'!A:A,'EA-Fortescue_SDExport'!AE:AE),
    IF(_xlpm.result=0,"",_xlpm.result)
)</f>
        <v/>
      </c>
      <c r="AE276" s="2" t="str">
        <f>_xlfn.LET(
    _xlpm.isObject, _xlfn.XLOOKUP($Y276,'EA-Fortescue_SDExport'!A:A,'EA-Fortescue_SDExport'!B:B),
    _xlpm.lookupKey, IF(_xlpm.isObject="Object",
        _xlfn.XLOOKUP($A276,'EA-ConnectorExport'!A:A,'EA-ConnectorExport'!J:J),
        $Y276
    ),
    _xlpm.result, _xlfn.XLOOKUP(_xlpm.lookupKey,'EA-Fortescue_SDExport'!A:A,'EA-Fortescue_SDExport'!AF:AF),
    IF(_xlpm.result=0,"",_xlpm.result)
)</f>
        <v>859DC-1410-001 HaulX</v>
      </c>
      <c r="AF276" s="2" t="str">
        <f>_xlfn.LET(
    _xlpm.isObject, _xlfn.XLOOKUP($Y276,'EA-Fortescue_SDExport'!A:A,'EA-Fortescue_SDExport'!B:B),
    _xlpm.lookupKey, IF(_xlpm.isObject="Object",
        _xlfn.XLOOKUP($A276,'EA-ConnectorExport'!A:A,'EA-ConnectorExport'!J:J),
        $Y276
    ),
    _xlpm.result, _xlfn.XLOOKUP(_xlpm.lookupKey,'EA-Fortescue_SDExport'!A:A,'EA-Fortescue_SDExport'!AG:AG),
    IF(_xlpm.result=0,"",_xlpm.result)
)</f>
        <v>859DC-1410-001-004 HaulX Shield (Collision Avoidance System)</v>
      </c>
    </row>
    <row r="277" spans="1:32" ht="240" x14ac:dyDescent="0.25">
      <c r="A277" s="2" t="str">
        <v>DGS-I_0276</v>
      </c>
      <c r="B277" s="2" t="str">
        <f t="shared" si="16"/>
        <v>855DC-1543-PPC Pit Power Capacity Planning Tool - Capacity Check|Solomon Mine Hub: Heavy Mobile Equipment (HME)</v>
      </c>
      <c r="C277" s="2" t="str">
        <f>_xlfn.LET(_xlpm.result, _xlfn.XLOOKUP(A277,'EA-Fortescue_SDExport'!A:A,'EA-Fortescue_SDExport'!AM:AM), IF(_xlpm.result=0,"",_xlpm.result))</f>
        <v/>
      </c>
      <c r="D277" s="2" t="str">
        <f>_xlfn.LET(_xlpm.result, _xlfn.XLOOKUP(A277,'EA-Fortescue_SDExport'!A:A,'EA-Fortescue_SDExport'!AN:AN), IF(_xlpm.result=0,"",_xlpm.result))</f>
        <v/>
      </c>
      <c r="E277" s="2" t="str">
        <f>_xlfn.XLOOKUP(R277&amp;Z277,Lookups!A:A,Lookups!B:B)</f>
        <v>Program - Project Interface</v>
      </c>
      <c r="F277" s="2" t="str">
        <f>_xlfn.LET(_xlpm.result, _xlfn.XLOOKUP(A277,'EA-Fortescue_SDExport'!A:A,'EA-Fortescue_SDExport'!AP:AP), IF(_xlpm.result=0,"",_xlpm.result))</f>
        <v/>
      </c>
      <c r="G277" s="2" t="str">
        <f>IF(OR(AND(T277&lt;&gt;"", COUNTIF(Lookups!J:J, "*"&amp;T277&amp;"*")&gt;0), AND(AB277&lt;&gt;"", COUNTIF(Lookups!J:J, "*"&amp;AB277&amp;"*")&gt;0)), "Yes", "No")</f>
        <v>Yes</v>
      </c>
      <c r="H277" s="2" t="str">
        <f t="shared" si="17"/>
        <v>855DC Decarb Green Systems|851DC Heavy Mobile Equipment (HME)</v>
      </c>
      <c r="I277" s="2" t="str">
        <f t="shared" si="18"/>
        <v>N/A</v>
      </c>
      <c r="J277" s="2" t="str">
        <f t="shared" si="19"/>
        <v>855DC-1543-PPC Pit Power Capacity Planning Tool - Capacity Check|N/A</v>
      </c>
      <c r="K277" s="2" t="str">
        <f>_xlfn.XLOOKUP(A277,'EA-Fortescue_SDExport'!A:A,'EA-Fortescue_SDExport'!N:N)</f>
        <v>Proposed</v>
      </c>
      <c r="L277" s="2" t="str">
        <f>_xlfn.LET(_xlpm.result, _xlfn.XLOOKUP($A277,'EA-Fortescue_SDExport'!$A:$A,'EA-Fortescue_SDExport'!AQ:AQ), IF(_xlpm.result=0,"",_xlpm.result))</f>
        <v/>
      </c>
      <c r="M277" s="2" t="str">
        <f>_xlfn.LET(_xlpm.result, _xlfn.XLOOKUP($A277,'EA-Fortescue_SDExport'!$A:$A,'EA-Fortescue_SDExport'!AR:AR), IF(_xlpm.result=0,"",_xlpm.result))</f>
        <v/>
      </c>
      <c r="N277" s="2" t="str">
        <f>_xlfn.LET(_xlpm.result, _xlfn.XLOOKUP($A277,'EA-Fortescue_SDExport'!$A:$A,'EA-Fortescue_SDExport'!AW:AW), IF(_xlpm.result=0,"",_xlpm.result))</f>
        <v/>
      </c>
      <c r="O277" s="2" t="str">
        <f>_xlfn.LET(_xlpm.result, _xlfn.XLOOKUP($A277,'EA-Fortescue_SDExport'!$A:$A,'EA-Fortescue_SDExport'!AV:AV), IF(_xlpm.result=0,"",_xlpm.result))</f>
        <v/>
      </c>
      <c r="P277" s="2" t="str">
        <f>_xlfn.LET(_xlpm.result, _xlfn.XLOOKUP($A277,'EA-Fortescue_SDExport'!$A:$A,'EA-Fortescue_SDExport'!D:D),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77" s="2" t="str">
        <f>_xlfn.LET(
    _xlpm.status, _xlfn.XLOOKUP($A277,'EA-ConnectorExport'!$A:$A,'EA-ConnectorExport'!G:G),
    _xlpm.result, _xlfn.XLOOKUP($A277,'EA-ConnectorExport'!$A:$A,'EA-ConnectorExport'!B:B),
    IF(_xlpm.status="allocate", _xlpm.result, "")
)</f>
        <v>855DC-1543-PPC Pit Power Capacity Planning Tool - Capacity Check</v>
      </c>
      <c r="R277" s="2" t="str">
        <f>IF(
    _xlfn.XLOOKUP($Q277,'EA-Fortescue_SDExport'!A:A,'EA-Fortescue_SDExport'!B:B)="Object",
    _xlfn.XLOOKUP(
        _xlfn.XLOOKUP($A277,'EA-ConnectorExport'!A:A,'EA-ConnectorExport'!D:D),
        'EA-Fortescue_SDExport'!A:A,
        'EA-Fortescue_SDExport'!AA:AA
    ),
    _xlfn.XLOOKUP($Q277,'EA-Fortescue_SDExport'!A:A,'EA-Fortescue_SDExport'!AA:AA)
)</f>
        <v>Project</v>
      </c>
      <c r="S277" s="2" t="str">
        <f>_xlfn.LET(_xlpm.result, _xlfn.XLOOKUP($Q277,'EA-Fortescue_SDExport'!$A:$A,'EA-Fortescue_SDExport'!AB:AB), IF(_xlpm.result=0,"",_xlpm.result))</f>
        <v>Operations Planning</v>
      </c>
      <c r="T277" s="2" t="str">
        <f>_xlfn.LET(_xlpm.result, _xlfn.XLOOKUP($Q277,'EA-Fortescue_SDExport'!$A:$A,'EA-Fortescue_SDExport'!AC:AC), IF(_xlpm.result=0,"",_xlpm.result))</f>
        <v>AWS Fortescue Infrastructure</v>
      </c>
      <c r="U277" s="2" t="str">
        <f>_xlfn.LET(
    _xlpm.isObject, _xlfn.XLOOKUP($Q277,'EA-Fortescue_SDExport'!A:A,'EA-Fortescue_SDExport'!B:B),
    _xlpm.lookupKey, IF(_xlpm.isObject="Object",
        _xlfn.XLOOKUP($A277,'EA-ConnectorExport'!A:A,'EA-ConnectorExport'!D:D),
        $Q277
    ),
    _xlpm.result, _xlfn.XLOOKUP(_xlpm.lookupKey,'EA-Fortescue_SDExport'!A:A,'EA-Fortescue_SDExport'!AD:AD),
    IF(_xlpm.result=0,"",_xlpm.result)
)</f>
        <v>855DC Decarb Green Systems</v>
      </c>
      <c r="V277" s="2" t="str">
        <f>_xlfn.LET(
    _xlpm.isObject, _xlfn.XLOOKUP($Q277,'EA-Fortescue_SDExport'!A:A,'EA-Fortescue_SDExport'!B:B),
    _xlpm.lookupKey, IF(_xlpm.isObject="Object",
        _xlfn.XLOOKUP($A277,'EA-ConnectorExport'!A:A,'EA-ConnectorExport'!D:D),
        $Q277
    ),
    _xlpm.result, _xlfn.XLOOKUP(_xlpm.lookupKey,'EA-Fortescue_SDExport'!A:A,'EA-Fortescue_SDExport'!AE:AE),
    IF(_xlpm.result=0,"",_xlpm.result)
)</f>
        <v/>
      </c>
      <c r="W277" s="2" t="str">
        <f>_xlfn.LET(
    _xlpm.isObject, _xlfn.XLOOKUP($Q277,'EA-Fortescue_SDExport'!A:A,'EA-Fortescue_SDExport'!B:B),
    _xlpm.lookupKey, IF(_xlpm.isObject="Object",
        _xlfn.XLOOKUP($A277,'EA-ConnectorExport'!A:A,'EA-ConnectorExport'!D:D),
        $Q277
    ),
    _xlpm.result, _xlfn.XLOOKUP(_xlpm.lookupKey,'EA-Fortescue_SDExport'!A:A,'EA-Fortescue_SDExport'!AF:AF),
    IF(_xlpm.result=0,"",_xlpm.result)
)</f>
        <v>855DC-1543-PPC Pit Power Capacity Planning Tool - Capacity Check</v>
      </c>
      <c r="X277" s="2" t="str">
        <f>_xlfn.LET(
    _xlpm.isObject, _xlfn.XLOOKUP($Q277,'EA-Fortescue_SDExport'!A:A,'EA-Fortescue_SDExport'!B:B),
    _xlpm.lookupKey, IF(_xlpm.isObject="Object",
        _xlfn.XLOOKUP($A277,'EA-ConnectorExport'!A:A,'EA-ConnectorExport'!D:D),
        $Q277
    ),
    _xlpm.result, _xlfn.XLOOKUP(_xlpm.lookupKey,'EA-Fortescue_SDExport'!A:A,'EA-Fortescue_SDExport'!AG:AG),
    IF(_xlpm.result=0,"",_xlpm.result)
)</f>
        <v/>
      </c>
      <c r="Y277" s="2" t="str">
        <f>_xlfn.LET(
    _xlpm.status, _xlfn.XLOOKUP($A277,'EA-ConnectorExport'!$A:$A,'EA-ConnectorExport'!G:G),
    _xlpm.result, _xlfn.XLOOKUP($A277,'EA-ConnectorExport'!$A:$A,'EA-ConnectorExport'!H:H),
    IF(_xlpm.status="allocate", _xlpm.result, "")
)</f>
        <v>Solomon Mine Hub: Heavy Mobile Equipment (HME)</v>
      </c>
      <c r="Z277" s="2" t="str">
        <f>_xlfn.LET(
    _xlpm.isObject, _xlfn.XLOOKUP($Y277,'EA-Fortescue_SDExport'!A:A,'EA-Fortescue_SDExport'!B:B),
    _xlpm.lookupKey, IF(_xlpm.isObject="Object",
        _xlfn.XLOOKUP($A277,'EA-ConnectorExport'!A:A,'EA-ConnectorExport'!J:J),
        $Y277
    ),
    _xlpm.result, _xlfn.XLOOKUP(_xlpm.lookupKey,'EA-Fortescue_SDExport'!A:A,'EA-Fortescue_SDExport'!AA:AA),
    IF(_xlpm.result=0,"",_xlpm.result)
)</f>
        <v>Program</v>
      </c>
      <c r="AA277" s="2" t="str">
        <f>_xlfn.LET(_xlpm.result, _xlfn.XLOOKUP($Y277,'EA-Fortescue_SDExport'!$A:$A,'EA-Fortescue_SDExport'!AB:AB), IF(_xlpm.result=0,"",_xlpm.result))</f>
        <v/>
      </c>
      <c r="AB277" s="2" t="str">
        <f>_xlfn.LET(_xlpm.result, _xlfn.XLOOKUP($Y277,'EA-Fortescue_SDExport'!$A:$A,'EA-Fortescue_SDExport'!AC:AC), IF(_xlpm.result=0,"",_xlpm.result))</f>
        <v>Solomon Mine Hub</v>
      </c>
      <c r="AC277" s="2" t="str">
        <f>_xlfn.LET(
    _xlpm.isObject, _xlfn.XLOOKUP($Y277,'EA-Fortescue_SDExport'!A:A,'EA-Fortescue_SDExport'!B:B),
    _xlpm.lookupKey, IF(_xlpm.isObject="Object",
        _xlfn.XLOOKUP($A277,'EA-ConnectorExport'!A:A,'EA-ConnectorExport'!J:J),
        $Y277
    ),
    _xlpm.result, _xlfn.XLOOKUP(_xlpm.lookupKey,'EA-Fortescue_SDExport'!A:A,'EA-Fortescue_SDExport'!AD:AD),
    IF(_xlpm.result=0,"",_xlpm.result)
)</f>
        <v>851DC Heavy Mobile Equipment (HME)</v>
      </c>
      <c r="AD277" s="2" t="str">
        <f>_xlfn.LET(
    _xlpm.isObject, _xlfn.XLOOKUP($Y277,'EA-Fortescue_SDExport'!A:A,'EA-Fortescue_SDExport'!B:B),
    _xlpm.lookupKey, IF(_xlpm.isObject="Object",
        _xlfn.XLOOKUP($A277,'EA-ConnectorExport'!A:A,'EA-ConnectorExport'!J:J),
        $Y277
    ),
    _xlpm.result, _xlfn.XLOOKUP(_xlpm.lookupKey,'EA-Fortescue_SDExport'!A:A,'EA-Fortescue_SDExport'!AE:AE),
    IF(_xlpm.result=0,"",_xlpm.result)
)</f>
        <v/>
      </c>
      <c r="AE277" s="2" t="str">
        <f>_xlfn.LET(
    _xlpm.isObject, _xlfn.XLOOKUP($Y277,'EA-Fortescue_SDExport'!A:A,'EA-Fortescue_SDExport'!B:B),
    _xlpm.lookupKey, IF(_xlpm.isObject="Object",
        _xlfn.XLOOKUP($A277,'EA-ConnectorExport'!A:A,'EA-ConnectorExport'!J:J),
        $Y277
    ),
    _xlpm.result, _xlfn.XLOOKUP(_xlpm.lookupKey,'EA-Fortescue_SDExport'!A:A,'EA-Fortescue_SDExport'!AF:AF),
    IF(_xlpm.result=0,"",_xlpm.result)
)</f>
        <v/>
      </c>
      <c r="AF277" s="2" t="str">
        <f>_xlfn.LET(
    _xlpm.isObject, _xlfn.XLOOKUP($Y277,'EA-Fortescue_SDExport'!A:A,'EA-Fortescue_SDExport'!B:B),
    _xlpm.lookupKey, IF(_xlpm.isObject="Object",
        _xlfn.XLOOKUP($A277,'EA-ConnectorExport'!A:A,'EA-ConnectorExport'!J:J),
        $Y277
    ),
    _xlpm.result, _xlfn.XLOOKUP(_xlpm.lookupKey,'EA-Fortescue_SDExport'!A:A,'EA-Fortescue_SDExport'!AG:AG),
    IF(_xlpm.result=0,"",_xlpm.result)
)</f>
        <v/>
      </c>
    </row>
    <row r="278" spans="1:32" ht="240" x14ac:dyDescent="0.25">
      <c r="A278" s="2" t="str">
        <v>DGS-I_0277</v>
      </c>
      <c r="B278" s="2" t="str">
        <f t="shared" si="16"/>
        <v>855DC-1543-PPC Pit Power Capacity Planning Tool - Capacity Check|Solomon Mine Hub: Support Mobile Equipment (SME)</v>
      </c>
      <c r="C278" s="2" t="str">
        <f>_xlfn.LET(_xlpm.result, _xlfn.XLOOKUP(A278,'EA-Fortescue_SDExport'!A:A,'EA-Fortescue_SDExport'!AM:AM), IF(_xlpm.result=0,"",_xlpm.result))</f>
        <v/>
      </c>
      <c r="D278" s="2" t="str">
        <f>_xlfn.LET(_xlpm.result, _xlfn.XLOOKUP(A278,'EA-Fortescue_SDExport'!A:A,'EA-Fortescue_SDExport'!AN:AN), IF(_xlpm.result=0,"",_xlpm.result))</f>
        <v/>
      </c>
      <c r="E278" s="2" t="str">
        <f>_xlfn.XLOOKUP(R278&amp;Z278,Lookups!A:A,Lookups!B:B)</f>
        <v>Program - Project Interface</v>
      </c>
      <c r="F278" s="2" t="str">
        <f>_xlfn.LET(_xlpm.result, _xlfn.XLOOKUP(A278,'EA-Fortescue_SDExport'!A:A,'EA-Fortescue_SDExport'!AP:AP), IF(_xlpm.result=0,"",_xlpm.result))</f>
        <v/>
      </c>
      <c r="G278" s="2" t="str">
        <f>IF(OR(AND(T278&lt;&gt;"", COUNTIF(Lookups!J:J, "*"&amp;T278&amp;"*")&gt;0), AND(AB278&lt;&gt;"", COUNTIF(Lookups!J:J, "*"&amp;AB278&amp;"*")&gt;0)), "Yes", "No")</f>
        <v>Yes</v>
      </c>
      <c r="H278" s="2" t="str">
        <f t="shared" si="17"/>
        <v>855DC Decarb Green Systems|852DC Light Mobile Equipment (LME) &amp; Support Mobile Equipment (SME)</v>
      </c>
      <c r="I278" s="2" t="str">
        <f t="shared" si="18"/>
        <v>N/A</v>
      </c>
      <c r="J278" s="2" t="str">
        <f t="shared" si="19"/>
        <v>855DC-1543-PPC Pit Power Capacity Planning Tool - Capacity Check|N/A</v>
      </c>
      <c r="K278" s="2" t="str">
        <f>_xlfn.XLOOKUP(A278,'EA-Fortescue_SDExport'!A:A,'EA-Fortescue_SDExport'!N:N)</f>
        <v>Proposed</v>
      </c>
      <c r="L278" s="2" t="str">
        <f>_xlfn.LET(_xlpm.result, _xlfn.XLOOKUP($A278,'EA-Fortescue_SDExport'!$A:$A,'EA-Fortescue_SDExport'!AQ:AQ), IF(_xlpm.result=0,"",_xlpm.result))</f>
        <v/>
      </c>
      <c r="M278" s="2" t="str">
        <f>_xlfn.LET(_xlpm.result, _xlfn.XLOOKUP($A278,'EA-Fortescue_SDExport'!$A:$A,'EA-Fortescue_SDExport'!AR:AR), IF(_xlpm.result=0,"",_xlpm.result))</f>
        <v/>
      </c>
      <c r="N278" s="2" t="str">
        <f>_xlfn.LET(_xlpm.result, _xlfn.XLOOKUP($A278,'EA-Fortescue_SDExport'!$A:$A,'EA-Fortescue_SDExport'!AW:AW), IF(_xlpm.result=0,"",_xlpm.result))</f>
        <v/>
      </c>
      <c r="O278" s="2" t="str">
        <f>_xlfn.LET(_xlpm.result, _xlfn.XLOOKUP($A278,'EA-Fortescue_SDExport'!$A:$A,'EA-Fortescue_SDExport'!AV:AV), IF(_xlpm.result=0,"",_xlpm.result))</f>
        <v/>
      </c>
      <c r="P278" s="2" t="str">
        <f>_xlfn.LET(_xlpm.result, _xlfn.XLOOKUP($A278,'EA-Fortescue_SDExport'!$A:$A,'EA-Fortescue_SDExport'!D:D),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78" s="2" t="str">
        <f>_xlfn.LET(
    _xlpm.status, _xlfn.XLOOKUP($A278,'EA-ConnectorExport'!$A:$A,'EA-ConnectorExport'!G:G),
    _xlpm.result, _xlfn.XLOOKUP($A278,'EA-ConnectorExport'!$A:$A,'EA-ConnectorExport'!B:B),
    IF(_xlpm.status="allocate", _xlpm.result, "")
)</f>
        <v>855DC-1543-PPC Pit Power Capacity Planning Tool - Capacity Check</v>
      </c>
      <c r="R278" s="2" t="str">
        <f>IF(
    _xlfn.XLOOKUP($Q278,'EA-Fortescue_SDExport'!A:A,'EA-Fortescue_SDExport'!B:B)="Object",
    _xlfn.XLOOKUP(
        _xlfn.XLOOKUP($A278,'EA-ConnectorExport'!A:A,'EA-ConnectorExport'!D:D),
        'EA-Fortescue_SDExport'!A:A,
        'EA-Fortescue_SDExport'!AA:AA
    ),
    _xlfn.XLOOKUP($Q278,'EA-Fortescue_SDExport'!A:A,'EA-Fortescue_SDExport'!AA:AA)
)</f>
        <v>Project</v>
      </c>
      <c r="S278" s="2" t="str">
        <f>_xlfn.LET(_xlpm.result, _xlfn.XLOOKUP($Q278,'EA-Fortescue_SDExport'!$A:$A,'EA-Fortescue_SDExport'!AB:AB), IF(_xlpm.result=0,"",_xlpm.result))</f>
        <v>Operations Planning</v>
      </c>
      <c r="T278" s="2" t="str">
        <f>_xlfn.LET(_xlpm.result, _xlfn.XLOOKUP($Q278,'EA-Fortescue_SDExport'!$A:$A,'EA-Fortescue_SDExport'!AC:AC), IF(_xlpm.result=0,"",_xlpm.result))</f>
        <v>AWS Fortescue Infrastructure</v>
      </c>
      <c r="U278" s="2" t="str">
        <f>_xlfn.LET(
    _xlpm.isObject, _xlfn.XLOOKUP($Q278,'EA-Fortescue_SDExport'!A:A,'EA-Fortescue_SDExport'!B:B),
    _xlpm.lookupKey, IF(_xlpm.isObject="Object",
        _xlfn.XLOOKUP($A278,'EA-ConnectorExport'!A:A,'EA-ConnectorExport'!D:D),
        $Q278
    ),
    _xlpm.result, _xlfn.XLOOKUP(_xlpm.lookupKey,'EA-Fortescue_SDExport'!A:A,'EA-Fortescue_SDExport'!AD:AD),
    IF(_xlpm.result=0,"",_xlpm.result)
)</f>
        <v>855DC Decarb Green Systems</v>
      </c>
      <c r="V278" s="2" t="str">
        <f>_xlfn.LET(
    _xlpm.isObject, _xlfn.XLOOKUP($Q278,'EA-Fortescue_SDExport'!A:A,'EA-Fortescue_SDExport'!B:B),
    _xlpm.lookupKey, IF(_xlpm.isObject="Object",
        _xlfn.XLOOKUP($A278,'EA-ConnectorExport'!A:A,'EA-ConnectorExport'!D:D),
        $Q278
    ),
    _xlpm.result, _xlfn.XLOOKUP(_xlpm.lookupKey,'EA-Fortescue_SDExport'!A:A,'EA-Fortescue_SDExport'!AE:AE),
    IF(_xlpm.result=0,"",_xlpm.result)
)</f>
        <v/>
      </c>
      <c r="W278" s="2" t="str">
        <f>_xlfn.LET(
    _xlpm.isObject, _xlfn.XLOOKUP($Q278,'EA-Fortescue_SDExport'!A:A,'EA-Fortescue_SDExport'!B:B),
    _xlpm.lookupKey, IF(_xlpm.isObject="Object",
        _xlfn.XLOOKUP($A278,'EA-ConnectorExport'!A:A,'EA-ConnectorExport'!D:D),
        $Q278
    ),
    _xlpm.result, _xlfn.XLOOKUP(_xlpm.lookupKey,'EA-Fortescue_SDExport'!A:A,'EA-Fortescue_SDExport'!AF:AF),
    IF(_xlpm.result=0,"",_xlpm.result)
)</f>
        <v>855DC-1543-PPC Pit Power Capacity Planning Tool - Capacity Check</v>
      </c>
      <c r="X278" s="2" t="str">
        <f>_xlfn.LET(
    _xlpm.isObject, _xlfn.XLOOKUP($Q278,'EA-Fortescue_SDExport'!A:A,'EA-Fortescue_SDExport'!B:B),
    _xlpm.lookupKey, IF(_xlpm.isObject="Object",
        _xlfn.XLOOKUP($A278,'EA-ConnectorExport'!A:A,'EA-ConnectorExport'!D:D),
        $Q278
    ),
    _xlpm.result, _xlfn.XLOOKUP(_xlpm.lookupKey,'EA-Fortescue_SDExport'!A:A,'EA-Fortescue_SDExport'!AG:AG),
    IF(_xlpm.result=0,"",_xlpm.result)
)</f>
        <v/>
      </c>
      <c r="Y278" s="2" t="str">
        <f>_xlfn.LET(
    _xlpm.status, _xlfn.XLOOKUP($A278,'EA-ConnectorExport'!$A:$A,'EA-ConnectorExport'!G:G),
    _xlpm.result, _xlfn.XLOOKUP($A278,'EA-ConnectorExport'!$A:$A,'EA-ConnectorExport'!H:H),
    IF(_xlpm.status="allocate", _xlpm.result, "")
)</f>
        <v>Solomon Mine Hub: Support Mobile Equipment (SME)</v>
      </c>
      <c r="Z278" s="2" t="str">
        <f>_xlfn.LET(
    _xlpm.isObject, _xlfn.XLOOKUP($Y278,'EA-Fortescue_SDExport'!A:A,'EA-Fortescue_SDExport'!B:B),
    _xlpm.lookupKey, IF(_xlpm.isObject="Object",
        _xlfn.XLOOKUP($A278,'EA-ConnectorExport'!A:A,'EA-ConnectorExport'!J:J),
        $Y278
    ),
    _xlpm.result, _xlfn.XLOOKUP(_xlpm.lookupKey,'EA-Fortescue_SDExport'!A:A,'EA-Fortescue_SDExport'!AA:AA),
    IF(_xlpm.result=0,"",_xlpm.result)
)</f>
        <v>Program</v>
      </c>
      <c r="AA278" s="2" t="str">
        <f>_xlfn.LET(_xlpm.result, _xlfn.XLOOKUP($Y278,'EA-Fortescue_SDExport'!$A:$A,'EA-Fortescue_SDExport'!AB:AB), IF(_xlpm.result=0,"",_xlpm.result))</f>
        <v/>
      </c>
      <c r="AB278" s="2" t="str">
        <f>_xlfn.LET(_xlpm.result, _xlfn.XLOOKUP($Y278,'EA-Fortescue_SDExport'!$A:$A,'EA-Fortescue_SDExport'!AC:AC), IF(_xlpm.result=0,"",_xlpm.result))</f>
        <v>Solomon Mine Hub</v>
      </c>
      <c r="AC278" s="2" t="str">
        <f>_xlfn.LET(
    _xlpm.isObject, _xlfn.XLOOKUP($Y278,'EA-Fortescue_SDExport'!A:A,'EA-Fortescue_SDExport'!B:B),
    _xlpm.lookupKey, IF(_xlpm.isObject="Object",
        _xlfn.XLOOKUP($A278,'EA-ConnectorExport'!A:A,'EA-ConnectorExport'!J:J),
        $Y278
    ),
    _xlpm.result, _xlfn.XLOOKUP(_xlpm.lookupKey,'EA-Fortescue_SDExport'!A:A,'EA-Fortescue_SDExport'!AD:AD),
    IF(_xlpm.result=0,"",_xlpm.result)
)</f>
        <v>852DC Light Mobile Equipment (LME) &amp; Support Mobile Equipment (SME)</v>
      </c>
      <c r="AD278" s="2" t="str">
        <f>_xlfn.LET(
    _xlpm.isObject, _xlfn.XLOOKUP($Y278,'EA-Fortescue_SDExport'!A:A,'EA-Fortescue_SDExport'!B:B),
    _xlpm.lookupKey, IF(_xlpm.isObject="Object",
        _xlfn.XLOOKUP($A278,'EA-ConnectorExport'!A:A,'EA-ConnectorExport'!J:J),
        $Y278
    ),
    _xlpm.result, _xlfn.XLOOKUP(_xlpm.lookupKey,'EA-Fortescue_SDExport'!A:A,'EA-Fortescue_SDExport'!AE:AE),
    IF(_xlpm.result=0,"",_xlpm.result)
)</f>
        <v/>
      </c>
      <c r="AE278" s="2" t="str">
        <f>_xlfn.LET(
    _xlpm.isObject, _xlfn.XLOOKUP($Y278,'EA-Fortescue_SDExport'!A:A,'EA-Fortescue_SDExport'!B:B),
    _xlpm.lookupKey, IF(_xlpm.isObject="Object",
        _xlfn.XLOOKUP($A278,'EA-ConnectorExport'!A:A,'EA-ConnectorExport'!J:J),
        $Y278
    ),
    _xlpm.result, _xlfn.XLOOKUP(_xlpm.lookupKey,'EA-Fortescue_SDExport'!A:A,'EA-Fortescue_SDExport'!AF:AF),
    IF(_xlpm.result=0,"",_xlpm.result)
)</f>
        <v/>
      </c>
      <c r="AF278" s="2" t="str">
        <f>_xlfn.LET(
    _xlpm.isObject, _xlfn.XLOOKUP($Y278,'EA-Fortescue_SDExport'!A:A,'EA-Fortescue_SDExport'!B:B),
    _xlpm.lookupKey, IF(_xlpm.isObject="Object",
        _xlfn.XLOOKUP($A278,'EA-ConnectorExport'!A:A,'EA-ConnectorExport'!J:J),
        $Y278
    ),
    _xlpm.result, _xlfn.XLOOKUP(_xlpm.lookupKey,'EA-Fortescue_SDExport'!A:A,'EA-Fortescue_SDExport'!AG:AG),
    IF(_xlpm.result=0,"",_xlpm.result)
)</f>
        <v/>
      </c>
    </row>
    <row r="279" spans="1:32" ht="240" x14ac:dyDescent="0.25">
      <c r="A279" s="2" t="str">
        <v>DGS-I_0278</v>
      </c>
      <c r="B279" s="2" t="str">
        <f t="shared" si="16"/>
        <v>855DC-1543-PPC Pit Power Capacity Planning Tool - Capacity Check|Solomon Mine Hub: Light Mobile Equipment (LME)</v>
      </c>
      <c r="C279" s="2" t="str">
        <f>_xlfn.LET(_xlpm.result, _xlfn.XLOOKUP(A279,'EA-Fortescue_SDExport'!A:A,'EA-Fortescue_SDExport'!AM:AM), IF(_xlpm.result=0,"",_xlpm.result))</f>
        <v/>
      </c>
      <c r="D279" s="2" t="str">
        <f>_xlfn.LET(_xlpm.result, _xlfn.XLOOKUP(A279,'EA-Fortescue_SDExport'!A:A,'EA-Fortescue_SDExport'!AN:AN), IF(_xlpm.result=0,"",_xlpm.result))</f>
        <v/>
      </c>
      <c r="E279" s="2" t="str">
        <f>_xlfn.XLOOKUP(R279&amp;Z279,Lookups!A:A,Lookups!B:B)</f>
        <v>Program - Project Interface</v>
      </c>
      <c r="F279" s="2" t="str">
        <f>_xlfn.LET(_xlpm.result, _xlfn.XLOOKUP(A279,'EA-Fortescue_SDExport'!A:A,'EA-Fortescue_SDExport'!AP:AP), IF(_xlpm.result=0,"",_xlpm.result))</f>
        <v/>
      </c>
      <c r="G279" s="2" t="str">
        <f>IF(OR(AND(T279&lt;&gt;"", COUNTIF(Lookups!J:J, "*"&amp;T279&amp;"*")&gt;0), AND(AB279&lt;&gt;"", COUNTIF(Lookups!J:J, "*"&amp;AB279&amp;"*")&gt;0)), "Yes", "No")</f>
        <v>Yes</v>
      </c>
      <c r="H279" s="2" t="str">
        <f t="shared" si="17"/>
        <v>855DC Decarb Green Systems|N/A</v>
      </c>
      <c r="I279" s="2" t="str">
        <f t="shared" si="18"/>
        <v>N/A</v>
      </c>
      <c r="J279" s="2" t="str">
        <f t="shared" si="19"/>
        <v>855DC-1543-PPC Pit Power Capacity Planning Tool - Capacity Check|N/A</v>
      </c>
      <c r="K279" s="2" t="str">
        <f>_xlfn.XLOOKUP(A279,'EA-Fortescue_SDExport'!A:A,'EA-Fortescue_SDExport'!N:N)</f>
        <v>Proposed</v>
      </c>
      <c r="L279" s="2" t="str">
        <f>_xlfn.LET(_xlpm.result, _xlfn.XLOOKUP($A279,'EA-Fortescue_SDExport'!$A:$A,'EA-Fortescue_SDExport'!AQ:AQ), IF(_xlpm.result=0,"",_xlpm.result))</f>
        <v/>
      </c>
      <c r="M279" s="2" t="str">
        <f>_xlfn.LET(_xlpm.result, _xlfn.XLOOKUP($A279,'EA-Fortescue_SDExport'!$A:$A,'EA-Fortescue_SDExport'!AR:AR), IF(_xlpm.result=0,"",_xlpm.result))</f>
        <v/>
      </c>
      <c r="N279" s="2" t="str">
        <f>_xlfn.LET(_xlpm.result, _xlfn.XLOOKUP($A279,'EA-Fortescue_SDExport'!$A:$A,'EA-Fortescue_SDExport'!AW:AW), IF(_xlpm.result=0,"",_xlpm.result))</f>
        <v/>
      </c>
      <c r="O279" s="2" t="str">
        <f>_xlfn.LET(_xlpm.result, _xlfn.XLOOKUP($A279,'EA-Fortescue_SDExport'!$A:$A,'EA-Fortescue_SDExport'!AV:AV), IF(_xlpm.result=0,"",_xlpm.result))</f>
        <v/>
      </c>
      <c r="P279" s="2" t="str">
        <f>_xlfn.LET(_xlpm.result, _xlfn.XLOOKUP($A279,'EA-Fortescue_SDExport'!$A:$A,'EA-Fortescue_SDExport'!D:D),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79" s="2" t="str">
        <f>_xlfn.LET(
    _xlpm.status, _xlfn.XLOOKUP($A279,'EA-ConnectorExport'!$A:$A,'EA-ConnectorExport'!G:G),
    _xlpm.result, _xlfn.XLOOKUP($A279,'EA-ConnectorExport'!$A:$A,'EA-ConnectorExport'!B:B),
    IF(_xlpm.status="allocate", _xlpm.result, "")
)</f>
        <v>855DC-1543-PPC Pit Power Capacity Planning Tool - Capacity Check</v>
      </c>
      <c r="R279" s="2" t="str">
        <f>IF(
    _xlfn.XLOOKUP($Q279,'EA-Fortescue_SDExport'!A:A,'EA-Fortescue_SDExport'!B:B)="Object",
    _xlfn.XLOOKUP(
        _xlfn.XLOOKUP($A279,'EA-ConnectorExport'!A:A,'EA-ConnectorExport'!D:D),
        'EA-Fortescue_SDExport'!A:A,
        'EA-Fortescue_SDExport'!AA:AA
    ),
    _xlfn.XLOOKUP($Q279,'EA-Fortescue_SDExport'!A:A,'EA-Fortescue_SDExport'!AA:AA)
)</f>
        <v>Project</v>
      </c>
      <c r="S279" s="2" t="str">
        <f>_xlfn.LET(_xlpm.result, _xlfn.XLOOKUP($Q279,'EA-Fortescue_SDExport'!$A:$A,'EA-Fortescue_SDExport'!AB:AB), IF(_xlpm.result=0,"",_xlpm.result))</f>
        <v>Operations Planning</v>
      </c>
      <c r="T279" s="2" t="str">
        <f>_xlfn.LET(_xlpm.result, _xlfn.XLOOKUP($Q279,'EA-Fortescue_SDExport'!$A:$A,'EA-Fortescue_SDExport'!AC:AC), IF(_xlpm.result=0,"",_xlpm.result))</f>
        <v>AWS Fortescue Infrastructure</v>
      </c>
      <c r="U279" s="2" t="str">
        <f>_xlfn.LET(
    _xlpm.isObject, _xlfn.XLOOKUP($Q279,'EA-Fortescue_SDExport'!A:A,'EA-Fortescue_SDExport'!B:B),
    _xlpm.lookupKey, IF(_xlpm.isObject="Object",
        _xlfn.XLOOKUP($A279,'EA-ConnectorExport'!A:A,'EA-ConnectorExport'!D:D),
        $Q279
    ),
    _xlpm.result, _xlfn.XLOOKUP(_xlpm.lookupKey,'EA-Fortescue_SDExport'!A:A,'EA-Fortescue_SDExport'!AD:AD),
    IF(_xlpm.result=0,"",_xlpm.result)
)</f>
        <v>855DC Decarb Green Systems</v>
      </c>
      <c r="V279" s="2" t="str">
        <f>_xlfn.LET(
    _xlpm.isObject, _xlfn.XLOOKUP($Q279,'EA-Fortescue_SDExport'!A:A,'EA-Fortescue_SDExport'!B:B),
    _xlpm.lookupKey, IF(_xlpm.isObject="Object",
        _xlfn.XLOOKUP($A279,'EA-ConnectorExport'!A:A,'EA-ConnectorExport'!D:D),
        $Q279
    ),
    _xlpm.result, _xlfn.XLOOKUP(_xlpm.lookupKey,'EA-Fortescue_SDExport'!A:A,'EA-Fortescue_SDExport'!AE:AE),
    IF(_xlpm.result=0,"",_xlpm.result)
)</f>
        <v/>
      </c>
      <c r="W279" s="2" t="str">
        <f>_xlfn.LET(
    _xlpm.isObject, _xlfn.XLOOKUP($Q279,'EA-Fortescue_SDExport'!A:A,'EA-Fortescue_SDExport'!B:B),
    _xlpm.lookupKey, IF(_xlpm.isObject="Object",
        _xlfn.XLOOKUP($A279,'EA-ConnectorExport'!A:A,'EA-ConnectorExport'!D:D),
        $Q279
    ),
    _xlpm.result, _xlfn.XLOOKUP(_xlpm.lookupKey,'EA-Fortescue_SDExport'!A:A,'EA-Fortescue_SDExport'!AF:AF),
    IF(_xlpm.result=0,"",_xlpm.result)
)</f>
        <v>855DC-1543-PPC Pit Power Capacity Planning Tool - Capacity Check</v>
      </c>
      <c r="X279" s="2" t="str">
        <f>_xlfn.LET(
    _xlpm.isObject, _xlfn.XLOOKUP($Q279,'EA-Fortescue_SDExport'!A:A,'EA-Fortescue_SDExport'!B:B),
    _xlpm.lookupKey, IF(_xlpm.isObject="Object",
        _xlfn.XLOOKUP($A279,'EA-ConnectorExport'!A:A,'EA-ConnectorExport'!D:D),
        $Q279
    ),
    _xlpm.result, _xlfn.XLOOKUP(_xlpm.lookupKey,'EA-Fortescue_SDExport'!A:A,'EA-Fortescue_SDExport'!AG:AG),
    IF(_xlpm.result=0,"",_xlpm.result)
)</f>
        <v/>
      </c>
      <c r="Y279" s="2" t="str">
        <f>_xlfn.LET(
    _xlpm.status, _xlfn.XLOOKUP($A279,'EA-ConnectorExport'!$A:$A,'EA-ConnectorExport'!G:G),
    _xlpm.result, _xlfn.XLOOKUP($A279,'EA-ConnectorExport'!$A:$A,'EA-ConnectorExport'!H:H),
    IF(_xlpm.status="allocate", _xlpm.result, "")
)</f>
        <v>Solomon Mine Hub: Light Mobile Equipment (LME)</v>
      </c>
      <c r="Z279" s="2" t="str">
        <f>_xlfn.LET(
    _xlpm.isObject, _xlfn.XLOOKUP($Y279,'EA-Fortescue_SDExport'!A:A,'EA-Fortescue_SDExport'!B:B),
    _xlpm.lookupKey, IF(_xlpm.isObject="Object",
        _xlfn.XLOOKUP($A279,'EA-ConnectorExport'!A:A,'EA-ConnectorExport'!J:J),
        $Y279
    ),
    _xlpm.result, _xlfn.XLOOKUP(_xlpm.lookupKey,'EA-Fortescue_SDExport'!A:A,'EA-Fortescue_SDExport'!AA:AA),
    IF(_xlpm.result=0,"",_xlpm.result)
)</f>
        <v>Program</v>
      </c>
      <c r="AA279" s="2" t="str">
        <f>_xlfn.LET(_xlpm.result, _xlfn.XLOOKUP($Y279,'EA-Fortescue_SDExport'!$A:$A,'EA-Fortescue_SDExport'!AB:AB), IF(_xlpm.result=0,"",_xlpm.result))</f>
        <v/>
      </c>
      <c r="AB279" s="2" t="str">
        <f>_xlfn.LET(_xlpm.result, _xlfn.XLOOKUP($Y279,'EA-Fortescue_SDExport'!$A:$A,'EA-Fortescue_SDExport'!AC:AC), IF(_xlpm.result=0,"",_xlpm.result))</f>
        <v>Solomon Mine Hub</v>
      </c>
      <c r="AC279" s="2" t="str">
        <f>_xlfn.LET(
    _xlpm.isObject, _xlfn.XLOOKUP($Y279,'EA-Fortescue_SDExport'!A:A,'EA-Fortescue_SDExport'!B:B),
    _xlpm.lookupKey, IF(_xlpm.isObject="Object",
        _xlfn.XLOOKUP($A279,'EA-ConnectorExport'!A:A,'EA-ConnectorExport'!J:J),
        $Y279
    ),
    _xlpm.result, _xlfn.XLOOKUP(_xlpm.lookupKey,'EA-Fortescue_SDExport'!A:A,'EA-Fortescue_SDExport'!AD:AD),
    IF(_xlpm.result=0,"",_xlpm.result)
)</f>
        <v/>
      </c>
      <c r="AD279" s="2" t="str">
        <f>_xlfn.LET(
    _xlpm.isObject, _xlfn.XLOOKUP($Y279,'EA-Fortescue_SDExport'!A:A,'EA-Fortescue_SDExport'!B:B),
    _xlpm.lookupKey, IF(_xlpm.isObject="Object",
        _xlfn.XLOOKUP($A279,'EA-ConnectorExport'!A:A,'EA-ConnectorExport'!J:J),
        $Y279
    ),
    _xlpm.result, _xlfn.XLOOKUP(_xlpm.lookupKey,'EA-Fortescue_SDExport'!A:A,'EA-Fortescue_SDExport'!AE:AE),
    IF(_xlpm.result=0,"",_xlpm.result)
)</f>
        <v/>
      </c>
      <c r="AE279" s="2" t="str">
        <f>_xlfn.LET(
    _xlpm.isObject, _xlfn.XLOOKUP($Y279,'EA-Fortescue_SDExport'!A:A,'EA-Fortescue_SDExport'!B:B),
    _xlpm.lookupKey, IF(_xlpm.isObject="Object",
        _xlfn.XLOOKUP($A279,'EA-ConnectorExport'!A:A,'EA-ConnectorExport'!J:J),
        $Y279
    ),
    _xlpm.result, _xlfn.XLOOKUP(_xlpm.lookupKey,'EA-Fortescue_SDExport'!A:A,'EA-Fortescue_SDExport'!AF:AF),
    IF(_xlpm.result=0,"",_xlpm.result)
)</f>
        <v/>
      </c>
      <c r="AF279" s="2" t="str">
        <f>_xlfn.LET(
    _xlpm.isObject, _xlfn.XLOOKUP($Y279,'EA-Fortescue_SDExport'!A:A,'EA-Fortescue_SDExport'!B:B),
    _xlpm.lookupKey, IF(_xlpm.isObject="Object",
        _xlfn.XLOOKUP($A279,'EA-ConnectorExport'!A:A,'EA-ConnectorExport'!J:J),
        $Y279
    ),
    _xlpm.result, _xlfn.XLOOKUP(_xlpm.lookupKey,'EA-Fortescue_SDExport'!A:A,'EA-Fortescue_SDExport'!AG:AG),
    IF(_xlpm.result=0,"",_xlpm.result)
)</f>
        <v/>
      </c>
    </row>
    <row r="280" spans="1:32" ht="240" x14ac:dyDescent="0.25">
      <c r="A280" s="2" t="str">
        <v>DGS-I_0279</v>
      </c>
      <c r="B280" s="2" t="str">
        <f t="shared" si="16"/>
        <v>855DC-1543-PPC Pit Power Capacity Planning Tool - Capacity Check|Solomon Mine Hub: Drill Rig</v>
      </c>
      <c r="C280" s="2" t="str">
        <f>_xlfn.LET(_xlpm.result, _xlfn.XLOOKUP(A280,'EA-Fortescue_SDExport'!A:A,'EA-Fortescue_SDExport'!AM:AM), IF(_xlpm.result=0,"",_xlpm.result))</f>
        <v/>
      </c>
      <c r="D280" s="2" t="str">
        <f>_xlfn.LET(_xlpm.result, _xlfn.XLOOKUP(A280,'EA-Fortescue_SDExport'!A:A,'EA-Fortescue_SDExport'!AN:AN), IF(_xlpm.result=0,"",_xlpm.result))</f>
        <v/>
      </c>
      <c r="E280" s="2" t="str">
        <f>_xlfn.XLOOKUP(R280&amp;Z280,Lookups!A:A,Lookups!B:B)</f>
        <v>System - Project Interface</v>
      </c>
      <c r="F280" s="2" t="str">
        <f>_xlfn.LET(_xlpm.result, _xlfn.XLOOKUP(A280,'EA-Fortescue_SDExport'!A:A,'EA-Fortescue_SDExport'!AP:AP), IF(_xlpm.result=0,"",_xlpm.result))</f>
        <v/>
      </c>
      <c r="G280" s="2" t="str">
        <f>IF(OR(AND(T280&lt;&gt;"", COUNTIF(Lookups!J:J, "*"&amp;T280&amp;"*")&gt;0), AND(AB280&lt;&gt;"", COUNTIF(Lookups!J:J, "*"&amp;AB280&amp;"*")&gt;0)), "Yes", "No")</f>
        <v>Yes</v>
      </c>
      <c r="H280" s="2" t="str">
        <f t="shared" si="17"/>
        <v>855DC Decarb Green Systems|853DC Decarb Ancillary</v>
      </c>
      <c r="I280" s="2" t="str">
        <f t="shared" si="18"/>
        <v>N/A|853DC-1561 Drill Rig</v>
      </c>
      <c r="J280" s="2" t="str">
        <f t="shared" si="19"/>
        <v>855DC-1543-PPC Pit Power Capacity Planning Tool - Capacity Check|N/A</v>
      </c>
      <c r="K280" s="2" t="str">
        <f>_xlfn.XLOOKUP(A280,'EA-Fortescue_SDExport'!A:A,'EA-Fortescue_SDExport'!N:N)</f>
        <v>Proposed</v>
      </c>
      <c r="L280" s="2" t="str">
        <f>_xlfn.LET(_xlpm.result, _xlfn.XLOOKUP($A280,'EA-Fortescue_SDExport'!$A:$A,'EA-Fortescue_SDExport'!AQ:AQ), IF(_xlpm.result=0,"",_xlpm.result))</f>
        <v/>
      </c>
      <c r="M280" s="2" t="str">
        <f>_xlfn.LET(_xlpm.result, _xlfn.XLOOKUP($A280,'EA-Fortescue_SDExport'!$A:$A,'EA-Fortescue_SDExport'!AR:AR), IF(_xlpm.result=0,"",_xlpm.result))</f>
        <v/>
      </c>
      <c r="N280" s="2" t="str">
        <f>_xlfn.LET(_xlpm.result, _xlfn.XLOOKUP($A280,'EA-Fortescue_SDExport'!$A:$A,'EA-Fortescue_SDExport'!AW:AW), IF(_xlpm.result=0,"",_xlpm.result))</f>
        <v/>
      </c>
      <c r="O280" s="2" t="str">
        <f>_xlfn.LET(_xlpm.result, _xlfn.XLOOKUP($A280,'EA-Fortescue_SDExport'!$A:$A,'EA-Fortescue_SDExport'!AV:AV), IF(_xlpm.result=0,"",_xlpm.result))</f>
        <v/>
      </c>
      <c r="P280" s="2" t="str">
        <f>_xlfn.LET(_xlpm.result, _xlfn.XLOOKUP($A280,'EA-Fortescue_SDExport'!$A:$A,'EA-Fortescue_SDExport'!D:D),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80" s="2" t="str">
        <f>_xlfn.LET(
    _xlpm.status, _xlfn.XLOOKUP($A280,'EA-ConnectorExport'!$A:$A,'EA-ConnectorExport'!G:G),
    _xlpm.result, _xlfn.XLOOKUP($A280,'EA-ConnectorExport'!$A:$A,'EA-ConnectorExport'!B:B),
    IF(_xlpm.status="allocate", _xlpm.result, "")
)</f>
        <v>855DC-1543-PPC Pit Power Capacity Planning Tool - Capacity Check</v>
      </c>
      <c r="R280" s="2" t="str">
        <f>IF(
    _xlfn.XLOOKUP($Q280,'EA-Fortescue_SDExport'!A:A,'EA-Fortescue_SDExport'!B:B)="Object",
    _xlfn.XLOOKUP(
        _xlfn.XLOOKUP($A280,'EA-ConnectorExport'!A:A,'EA-ConnectorExport'!D:D),
        'EA-Fortescue_SDExport'!A:A,
        'EA-Fortescue_SDExport'!AA:AA
    ),
    _xlfn.XLOOKUP($Q280,'EA-Fortescue_SDExport'!A:A,'EA-Fortescue_SDExport'!AA:AA)
)</f>
        <v>Project</v>
      </c>
      <c r="S280" s="2" t="str">
        <f>_xlfn.LET(_xlpm.result, _xlfn.XLOOKUP($Q280,'EA-Fortescue_SDExport'!$A:$A,'EA-Fortescue_SDExport'!AB:AB), IF(_xlpm.result=0,"",_xlpm.result))</f>
        <v>Operations Planning</v>
      </c>
      <c r="T280" s="2" t="str">
        <f>_xlfn.LET(_xlpm.result, _xlfn.XLOOKUP($Q280,'EA-Fortescue_SDExport'!$A:$A,'EA-Fortescue_SDExport'!AC:AC), IF(_xlpm.result=0,"",_xlpm.result))</f>
        <v>AWS Fortescue Infrastructure</v>
      </c>
      <c r="U280" s="2" t="str">
        <f>_xlfn.LET(
    _xlpm.isObject, _xlfn.XLOOKUP($Q280,'EA-Fortescue_SDExport'!A:A,'EA-Fortescue_SDExport'!B:B),
    _xlpm.lookupKey, IF(_xlpm.isObject="Object",
        _xlfn.XLOOKUP($A280,'EA-ConnectorExport'!A:A,'EA-ConnectorExport'!D:D),
        $Q280
    ),
    _xlpm.result, _xlfn.XLOOKUP(_xlpm.lookupKey,'EA-Fortescue_SDExport'!A:A,'EA-Fortescue_SDExport'!AD:AD),
    IF(_xlpm.result=0,"",_xlpm.result)
)</f>
        <v>855DC Decarb Green Systems</v>
      </c>
      <c r="V280" s="2" t="str">
        <f>_xlfn.LET(
    _xlpm.isObject, _xlfn.XLOOKUP($Q280,'EA-Fortescue_SDExport'!A:A,'EA-Fortescue_SDExport'!B:B),
    _xlpm.lookupKey, IF(_xlpm.isObject="Object",
        _xlfn.XLOOKUP($A280,'EA-ConnectorExport'!A:A,'EA-ConnectorExport'!D:D),
        $Q280
    ),
    _xlpm.result, _xlfn.XLOOKUP(_xlpm.lookupKey,'EA-Fortescue_SDExport'!A:A,'EA-Fortescue_SDExport'!AE:AE),
    IF(_xlpm.result=0,"",_xlpm.result)
)</f>
        <v/>
      </c>
      <c r="W280" s="2" t="str">
        <f>_xlfn.LET(
    _xlpm.isObject, _xlfn.XLOOKUP($Q280,'EA-Fortescue_SDExport'!A:A,'EA-Fortescue_SDExport'!B:B),
    _xlpm.lookupKey, IF(_xlpm.isObject="Object",
        _xlfn.XLOOKUP($A280,'EA-ConnectorExport'!A:A,'EA-ConnectorExport'!D:D),
        $Q280
    ),
    _xlpm.result, _xlfn.XLOOKUP(_xlpm.lookupKey,'EA-Fortescue_SDExport'!A:A,'EA-Fortescue_SDExport'!AF:AF),
    IF(_xlpm.result=0,"",_xlpm.result)
)</f>
        <v>855DC-1543-PPC Pit Power Capacity Planning Tool - Capacity Check</v>
      </c>
      <c r="X280" s="2" t="str">
        <f>_xlfn.LET(
    _xlpm.isObject, _xlfn.XLOOKUP($Q280,'EA-Fortescue_SDExport'!A:A,'EA-Fortescue_SDExport'!B:B),
    _xlpm.lookupKey, IF(_xlpm.isObject="Object",
        _xlfn.XLOOKUP($A280,'EA-ConnectorExport'!A:A,'EA-ConnectorExport'!D:D),
        $Q280
    ),
    _xlpm.result, _xlfn.XLOOKUP(_xlpm.lookupKey,'EA-Fortescue_SDExport'!A:A,'EA-Fortescue_SDExport'!AG:AG),
    IF(_xlpm.result=0,"",_xlpm.result)
)</f>
        <v/>
      </c>
      <c r="Y280" s="2" t="str">
        <f>_xlfn.LET(
    _xlpm.status, _xlfn.XLOOKUP($A280,'EA-ConnectorExport'!$A:$A,'EA-ConnectorExport'!G:G),
    _xlpm.result, _xlfn.XLOOKUP($A280,'EA-ConnectorExport'!$A:$A,'EA-ConnectorExport'!H:H),
    IF(_xlpm.status="allocate", _xlpm.result, "")
)</f>
        <v>Solomon Mine Hub: Drill Rig</v>
      </c>
      <c r="Z280" s="2" t="str">
        <f>_xlfn.LET(
    _xlpm.isObject, _xlfn.XLOOKUP($Y280,'EA-Fortescue_SDExport'!A:A,'EA-Fortescue_SDExport'!B:B),
    _xlpm.lookupKey, IF(_xlpm.isObject="Object",
        _xlfn.XLOOKUP($A280,'EA-ConnectorExport'!A:A,'EA-ConnectorExport'!J:J),
        $Y280
    ),
    _xlpm.result, _xlfn.XLOOKUP(_xlpm.lookupKey,'EA-Fortescue_SDExport'!A:A,'EA-Fortescue_SDExport'!AA:AA),
    IF(_xlpm.result=0,"",_xlpm.result)
)</f>
        <v>System</v>
      </c>
      <c r="AA280" s="2" t="str">
        <f>_xlfn.LET(_xlpm.result, _xlfn.XLOOKUP($Y280,'EA-Fortescue_SDExport'!$A:$A,'EA-Fortescue_SDExport'!AB:AB), IF(_xlpm.result=0,"",_xlpm.result))</f>
        <v/>
      </c>
      <c r="AB280" s="2" t="str">
        <f>_xlfn.LET(_xlpm.result, _xlfn.XLOOKUP($Y280,'EA-Fortescue_SDExport'!$A:$A,'EA-Fortescue_SDExport'!AC:AC), IF(_xlpm.result=0,"",_xlpm.result))</f>
        <v>Solomon Mine Hub</v>
      </c>
      <c r="AC280" s="2" t="str">
        <f>_xlfn.LET(
    _xlpm.isObject, _xlfn.XLOOKUP($Y280,'EA-Fortescue_SDExport'!A:A,'EA-Fortescue_SDExport'!B:B),
    _xlpm.lookupKey, IF(_xlpm.isObject="Object",
        _xlfn.XLOOKUP($A280,'EA-ConnectorExport'!A:A,'EA-ConnectorExport'!J:J),
        $Y280
    ),
    _xlpm.result, _xlfn.XLOOKUP(_xlpm.lookupKey,'EA-Fortescue_SDExport'!A:A,'EA-Fortescue_SDExport'!AD:AD),
    IF(_xlpm.result=0,"",_xlpm.result)
)</f>
        <v>853DC Decarb Ancillary</v>
      </c>
      <c r="AD280" s="2" t="str">
        <f>_xlfn.LET(
    _xlpm.isObject, _xlfn.XLOOKUP($Y280,'EA-Fortescue_SDExport'!A:A,'EA-Fortescue_SDExport'!B:B),
    _xlpm.lookupKey, IF(_xlpm.isObject="Object",
        _xlfn.XLOOKUP($A280,'EA-ConnectorExport'!A:A,'EA-ConnectorExport'!J:J),
        $Y280
    ),
    _xlpm.result, _xlfn.XLOOKUP(_xlpm.lookupKey,'EA-Fortescue_SDExport'!A:A,'EA-Fortescue_SDExport'!AE:AE),
    IF(_xlpm.result=0,"",_xlpm.result)
)</f>
        <v>853DC-1561 Drill Rig</v>
      </c>
      <c r="AE280" s="2" t="str">
        <f>_xlfn.LET(
    _xlpm.isObject, _xlfn.XLOOKUP($Y280,'EA-Fortescue_SDExport'!A:A,'EA-Fortescue_SDExport'!B:B),
    _xlpm.lookupKey, IF(_xlpm.isObject="Object",
        _xlfn.XLOOKUP($A280,'EA-ConnectorExport'!A:A,'EA-ConnectorExport'!J:J),
        $Y280
    ),
    _xlpm.result, _xlfn.XLOOKUP(_xlpm.lookupKey,'EA-Fortescue_SDExport'!A:A,'EA-Fortescue_SDExport'!AF:AF),
    IF(_xlpm.result=0,"",_xlpm.result)
)</f>
        <v/>
      </c>
      <c r="AF280" s="2" t="str">
        <f>_xlfn.LET(
    _xlpm.isObject, _xlfn.XLOOKUP($Y280,'EA-Fortescue_SDExport'!A:A,'EA-Fortescue_SDExport'!B:B),
    _xlpm.lookupKey, IF(_xlpm.isObject="Object",
        _xlfn.XLOOKUP($A280,'EA-ConnectorExport'!A:A,'EA-ConnectorExport'!J:J),
        $Y280
    ),
    _xlpm.result, _xlfn.XLOOKUP(_xlpm.lookupKey,'EA-Fortescue_SDExport'!A:A,'EA-Fortescue_SDExport'!AG:AG),
    IF(_xlpm.result=0,"",_xlpm.result)
)</f>
        <v/>
      </c>
    </row>
    <row r="281" spans="1:32" ht="90" x14ac:dyDescent="0.25">
      <c r="A281" s="2" t="str">
        <v>DGS-I_0280</v>
      </c>
      <c r="B281" s="2" t="str">
        <f t="shared" si="16"/>
        <v>Solomon Mine Hub: AC1|Solomon Mine Hub: Haulage</v>
      </c>
      <c r="C281" s="2" t="str">
        <f>_xlfn.LET(_xlpm.result, _xlfn.XLOOKUP(A281,'EA-Fortescue_SDExport'!A:A,'EA-Fortescue_SDExport'!AM:AM), IF(_xlpm.result=0,"",_xlpm.result))</f>
        <v/>
      </c>
      <c r="D281" s="2" t="str">
        <f>_xlfn.LET(_xlpm.result, _xlfn.XLOOKUP(A281,'EA-Fortescue_SDExport'!A:A,'EA-Fortescue_SDExport'!AN:AN), IF(_xlpm.result=0,"",_xlpm.result))</f>
        <v/>
      </c>
      <c r="E281" s="2" t="str">
        <f>_xlfn.XLOOKUP(R281&amp;Z281,Lookups!A:A,Lookups!B:B)</f>
        <v>System - Subsystem Interface</v>
      </c>
      <c r="F281" s="2" t="str">
        <f>_xlfn.LET(_xlpm.result, _xlfn.XLOOKUP(A281,'EA-Fortescue_SDExport'!A:A,'EA-Fortescue_SDExport'!AP:AP), IF(_xlpm.result=0,"",_xlpm.result))</f>
        <v/>
      </c>
      <c r="G281" s="2" t="str">
        <f>IF(OR(AND(T281&lt;&gt;"", COUNTIF(Lookups!J:J, "*"&amp;T281&amp;"*")&gt;0), AND(AB281&lt;&gt;"", COUNTIF(Lookups!J:J, "*"&amp;AB281&amp;"*")&gt;0)), "Yes", "No")</f>
        <v>Yes</v>
      </c>
      <c r="H281" s="2" t="str">
        <f t="shared" si="17"/>
        <v>850DC Decarb Infrastructure|851DC Heavy Mobile Equipment (HME)</v>
      </c>
      <c r="I281" s="2" t="str">
        <f t="shared" si="18"/>
        <v>850DC-1510 Chargers|851DC-1592 Haulage</v>
      </c>
      <c r="J281" s="2" t="str">
        <f t="shared" si="19"/>
        <v>850DC-1512-0001 HME Chargers - Gen1|N/A</v>
      </c>
      <c r="K281" s="2" t="str">
        <f>_xlfn.XLOOKUP(A281,'EA-Fortescue_SDExport'!A:A,'EA-Fortescue_SDExport'!N:N)</f>
        <v>Proposed</v>
      </c>
      <c r="L281" s="2" t="str">
        <f>_xlfn.LET(_xlpm.result, _xlfn.XLOOKUP($A281,'EA-Fortescue_SDExport'!$A:$A,'EA-Fortescue_SDExport'!AQ:AQ), IF(_xlpm.result=0,"",_xlpm.result))</f>
        <v/>
      </c>
      <c r="M281" s="2" t="str">
        <f>_xlfn.LET(_xlpm.result, _xlfn.XLOOKUP($A281,'EA-Fortescue_SDExport'!$A:$A,'EA-Fortescue_SDExport'!AR:AR), IF(_xlpm.result=0,"",_xlpm.result))</f>
        <v/>
      </c>
      <c r="N281" s="2" t="str">
        <f>_xlfn.LET(_xlpm.result, _xlfn.XLOOKUP($A281,'EA-Fortescue_SDExport'!$A:$A,'EA-Fortescue_SDExport'!AW:AW), IF(_xlpm.result=0,"",_xlpm.result))</f>
        <v/>
      </c>
      <c r="O281" s="2" t="str">
        <f>_xlfn.LET(_xlpm.result, _xlfn.XLOOKUP($A281,'EA-Fortescue_SDExport'!$A:$A,'EA-Fortescue_SDExport'!AV:AV), IF(_xlpm.result=0,"",_xlpm.result))</f>
        <v/>
      </c>
      <c r="P281" s="2" t="str">
        <f>_xlfn.LET(_xlpm.result, _xlfn.XLOOKUP($A281,'EA-Fortescue_SDExport'!$A:$A,'EA-Fortescue_SDExport'!D:D), IF(_xlpm.result=0,"",_xlpm.result))</f>
        <v/>
      </c>
      <c r="Q281" s="2" t="str">
        <f>_xlfn.LET(
    _xlpm.status, _xlfn.XLOOKUP($A281,'EA-ConnectorExport'!$A:$A,'EA-ConnectorExport'!G:G),
    _xlpm.result, _xlfn.XLOOKUP($A281,'EA-ConnectorExport'!$A:$A,'EA-ConnectorExport'!B:B),
    IF(_xlpm.status="allocate", _xlpm.result, "")
)</f>
        <v>Solomon Mine Hub: AC1</v>
      </c>
      <c r="R281" s="2" t="str">
        <f>IF(
    _xlfn.XLOOKUP($Q281,'EA-Fortescue_SDExport'!A:A,'EA-Fortescue_SDExport'!B:B)="Object",
    _xlfn.XLOOKUP(
        _xlfn.XLOOKUP($A281,'EA-ConnectorExport'!A:A,'EA-ConnectorExport'!D:D),
        'EA-Fortescue_SDExport'!A:A,
        'EA-Fortescue_SDExport'!AA:AA
    ),
    _xlfn.XLOOKUP($Q281,'EA-Fortescue_SDExport'!A:A,'EA-Fortescue_SDExport'!AA:AA)
)</f>
        <v>Subsystem</v>
      </c>
      <c r="S281" s="2" t="str">
        <f>_xlfn.LET(_xlpm.result, _xlfn.XLOOKUP($Q281,'EA-Fortescue_SDExport'!$A:$A,'EA-Fortescue_SDExport'!AB:AB), IF(_xlpm.result=0,"",_xlpm.result))</f>
        <v/>
      </c>
      <c r="T281" s="2" t="str">
        <f>_xlfn.LET(_xlpm.result, _xlfn.XLOOKUP($Q281,'EA-Fortescue_SDExport'!$A:$A,'EA-Fortescue_SDExport'!AC:AC), IF(_xlpm.result=0,"",_xlpm.result))</f>
        <v>Solomon Mine Hub</v>
      </c>
      <c r="U281" s="2" t="str">
        <f>_xlfn.LET(
    _xlpm.isObject, _xlfn.XLOOKUP($Q281,'EA-Fortescue_SDExport'!A:A,'EA-Fortescue_SDExport'!B:B),
    _xlpm.lookupKey, IF(_xlpm.isObject="Object",
        _xlfn.XLOOKUP($A281,'EA-ConnectorExport'!A:A,'EA-ConnectorExport'!D:D),
        $Q281
    ),
    _xlpm.result, _xlfn.XLOOKUP(_xlpm.lookupKey,'EA-Fortescue_SDExport'!A:A,'EA-Fortescue_SDExport'!AD:AD),
    IF(_xlpm.result=0,"",_xlpm.result)
)</f>
        <v>850DC Decarb Infrastructure</v>
      </c>
      <c r="V281" s="2" t="str">
        <f>_xlfn.LET(
    _xlpm.isObject, _xlfn.XLOOKUP($Q281,'EA-Fortescue_SDExport'!A:A,'EA-Fortescue_SDExport'!B:B),
    _xlpm.lookupKey, IF(_xlpm.isObject="Object",
        _xlfn.XLOOKUP($A281,'EA-ConnectorExport'!A:A,'EA-ConnectorExport'!D:D),
        $Q281
    ),
    _xlpm.result, _xlfn.XLOOKUP(_xlpm.lookupKey,'EA-Fortescue_SDExport'!A:A,'EA-Fortescue_SDExport'!AE:AE),
    IF(_xlpm.result=0,"",_xlpm.result)
)</f>
        <v>850DC-1510 Chargers</v>
      </c>
      <c r="W281" s="2" t="str">
        <f>_xlfn.LET(
    _xlpm.isObject, _xlfn.XLOOKUP($Q281,'EA-Fortescue_SDExport'!A:A,'EA-Fortescue_SDExport'!B:B),
    _xlpm.lookupKey, IF(_xlpm.isObject="Object",
        _xlfn.XLOOKUP($A281,'EA-ConnectorExport'!A:A,'EA-ConnectorExport'!D:D),
        $Q281
    ),
    _xlpm.result, _xlfn.XLOOKUP(_xlpm.lookupKey,'EA-Fortescue_SDExport'!A:A,'EA-Fortescue_SDExport'!AF:AF),
    IF(_xlpm.result=0,"",_xlpm.result)
)</f>
        <v>850DC-1512-0001 HME Chargers - Gen1</v>
      </c>
      <c r="X281" s="2" t="str">
        <f>_xlfn.LET(
    _xlpm.isObject, _xlfn.XLOOKUP($Q281,'EA-Fortescue_SDExport'!A:A,'EA-Fortescue_SDExport'!B:B),
    _xlpm.lookupKey, IF(_xlpm.isObject="Object",
        _xlfn.XLOOKUP($A281,'EA-ConnectorExport'!A:A,'EA-ConnectorExport'!D:D),
        $Q281
    ),
    _xlpm.result, _xlfn.XLOOKUP(_xlpm.lookupKey,'EA-Fortescue_SDExport'!A:A,'EA-Fortescue_SDExport'!AG:AG),
    IF(_xlpm.result=0,"",_xlpm.result)
)</f>
        <v>850DC-1512-0001-004 AC1 (Automated Connection) for T264 Charging Loads</v>
      </c>
      <c r="Y281" s="2" t="str">
        <f>_xlfn.LET(
    _xlpm.status, _xlfn.XLOOKUP($A281,'EA-ConnectorExport'!$A:$A,'EA-ConnectorExport'!G:G),
    _xlpm.result, _xlfn.XLOOKUP($A281,'EA-ConnectorExport'!$A:$A,'EA-ConnectorExport'!H:H),
    IF(_xlpm.status="allocate", _xlpm.result, "")
)</f>
        <v>Solomon Mine Hub: Haulage</v>
      </c>
      <c r="Z281" s="2" t="str">
        <f>_xlfn.LET(
    _xlpm.isObject, _xlfn.XLOOKUP($Y281,'EA-Fortescue_SDExport'!A:A,'EA-Fortescue_SDExport'!B:B),
    _xlpm.lookupKey, IF(_xlpm.isObject="Object",
        _xlfn.XLOOKUP($A281,'EA-ConnectorExport'!A:A,'EA-ConnectorExport'!J:J),
        $Y281
    ),
    _xlpm.result, _xlfn.XLOOKUP(_xlpm.lookupKey,'EA-Fortescue_SDExport'!A:A,'EA-Fortescue_SDExport'!AA:AA),
    IF(_xlpm.result=0,"",_xlpm.result)
)</f>
        <v>System</v>
      </c>
      <c r="AA281" s="2" t="str">
        <f>_xlfn.LET(_xlpm.result, _xlfn.XLOOKUP($Y281,'EA-Fortescue_SDExport'!$A:$A,'EA-Fortescue_SDExport'!AB:AB), IF(_xlpm.result=0,"",_xlpm.result))</f>
        <v/>
      </c>
      <c r="AB281" s="2" t="str">
        <f>_xlfn.LET(_xlpm.result, _xlfn.XLOOKUP($Y281,'EA-Fortescue_SDExport'!$A:$A,'EA-Fortescue_SDExport'!AC:AC), IF(_xlpm.result=0,"",_xlpm.result))</f>
        <v>Solomon Mine Hub</v>
      </c>
      <c r="AC281" s="2" t="str">
        <f>_xlfn.LET(
    _xlpm.isObject, _xlfn.XLOOKUP($Y281,'EA-Fortescue_SDExport'!A:A,'EA-Fortescue_SDExport'!B:B),
    _xlpm.lookupKey, IF(_xlpm.isObject="Object",
        _xlfn.XLOOKUP($A281,'EA-ConnectorExport'!A:A,'EA-ConnectorExport'!J:J),
        $Y281
    ),
    _xlpm.result, _xlfn.XLOOKUP(_xlpm.lookupKey,'EA-Fortescue_SDExport'!A:A,'EA-Fortescue_SDExport'!AD:AD),
    IF(_xlpm.result=0,"",_xlpm.result)
)</f>
        <v>851DC Heavy Mobile Equipment (HME)</v>
      </c>
      <c r="AD281" s="2" t="str">
        <f>_xlfn.LET(
    _xlpm.isObject, _xlfn.XLOOKUP($Y281,'EA-Fortescue_SDExport'!A:A,'EA-Fortescue_SDExport'!B:B),
    _xlpm.lookupKey, IF(_xlpm.isObject="Object",
        _xlfn.XLOOKUP($A281,'EA-ConnectorExport'!A:A,'EA-ConnectorExport'!J:J),
        $Y281
    ),
    _xlpm.result, _xlfn.XLOOKUP(_xlpm.lookupKey,'EA-Fortescue_SDExport'!A:A,'EA-Fortescue_SDExport'!AE:AE),
    IF(_xlpm.result=0,"",_xlpm.result)
)</f>
        <v>851DC-1592 Haulage</v>
      </c>
      <c r="AE281" s="2" t="str">
        <f>_xlfn.LET(
    _xlpm.isObject, _xlfn.XLOOKUP($Y281,'EA-Fortescue_SDExport'!A:A,'EA-Fortescue_SDExport'!B:B),
    _xlpm.lookupKey, IF(_xlpm.isObject="Object",
        _xlfn.XLOOKUP($A281,'EA-ConnectorExport'!A:A,'EA-ConnectorExport'!J:J),
        $Y281
    ),
    _xlpm.result, _xlfn.XLOOKUP(_xlpm.lookupKey,'EA-Fortescue_SDExport'!A:A,'EA-Fortescue_SDExport'!AF:AF),
    IF(_xlpm.result=0,"",_xlpm.result)
)</f>
        <v/>
      </c>
      <c r="AF281" s="2" t="str">
        <f>_xlfn.LET(
    _xlpm.isObject, _xlfn.XLOOKUP($Y281,'EA-Fortescue_SDExport'!A:A,'EA-Fortescue_SDExport'!B:B),
    _xlpm.lookupKey, IF(_xlpm.isObject="Object",
        _xlfn.XLOOKUP($A281,'EA-ConnectorExport'!A:A,'EA-ConnectorExport'!J:J),
        $Y281
    ),
    _xlpm.result, _xlfn.XLOOKUP(_xlpm.lookupKey,'EA-Fortescue_SDExport'!A:A,'EA-Fortescue_SDExport'!AG:AG),
    IF(_xlpm.result=0,"",_xlpm.result)
)</f>
        <v/>
      </c>
    </row>
    <row r="282" spans="1:32" ht="45" x14ac:dyDescent="0.25">
      <c r="A282" s="2" t="str">
        <v>DGS-I_0281</v>
      </c>
      <c r="B282" s="2" t="str">
        <f t="shared" si="16"/>
        <v>Solomon Mine Hub: Heavy Mobile Equipment (HME)|Solomon Mine Hub: HME Chargers</v>
      </c>
      <c r="C282" s="2" t="str">
        <f>_xlfn.LET(_xlpm.result, _xlfn.XLOOKUP(A282,'EA-Fortescue_SDExport'!A:A,'EA-Fortescue_SDExport'!AM:AM), IF(_xlpm.result=0,"",_xlpm.result))</f>
        <v/>
      </c>
      <c r="D282" s="2" t="str">
        <f>_xlfn.LET(_xlpm.result, _xlfn.XLOOKUP(A282,'EA-Fortescue_SDExport'!A:A,'EA-Fortescue_SDExport'!AN:AN), IF(_xlpm.result=0,"",_xlpm.result))</f>
        <v/>
      </c>
      <c r="E282" s="2" t="str">
        <f>_xlfn.XLOOKUP(R282&amp;Z282,Lookups!A:A,Lookups!B:B)</f>
        <v>Program - Project Interface</v>
      </c>
      <c r="F282" s="2" t="str">
        <f>_xlfn.LET(_xlpm.result, _xlfn.XLOOKUP(A282,'EA-Fortescue_SDExport'!A:A,'EA-Fortescue_SDExport'!AP:AP), IF(_xlpm.result=0,"",_xlpm.result))</f>
        <v/>
      </c>
      <c r="G282" s="2" t="str">
        <f>IF(OR(AND(T282&lt;&gt;"", COUNTIF(Lookups!J:J, "*"&amp;T282&amp;"*")&gt;0), AND(AB282&lt;&gt;"", COUNTIF(Lookups!J:J, "*"&amp;AB282&amp;"*")&gt;0)), "Yes", "No")</f>
        <v>Yes</v>
      </c>
      <c r="H282" s="2" t="str">
        <f t="shared" si="17"/>
        <v>851DC Heavy Mobile Equipment (HME)|850DC Decarb Infrastructure</v>
      </c>
      <c r="I282" s="2" t="str">
        <f t="shared" si="18"/>
        <v>N/A|850DC-1510 Chargers</v>
      </c>
      <c r="J282" s="2" t="str">
        <f t="shared" si="19"/>
        <v>N/A|850DC-1512-0001 HME Chargers - Gen1</v>
      </c>
      <c r="K282" s="2" t="str">
        <f>_xlfn.XLOOKUP(A282,'EA-Fortescue_SDExport'!A:A,'EA-Fortescue_SDExport'!N:N)</f>
        <v>Proposed</v>
      </c>
      <c r="L282" s="2" t="str">
        <f>_xlfn.LET(_xlpm.result, _xlfn.XLOOKUP($A282,'EA-Fortescue_SDExport'!$A:$A,'EA-Fortescue_SDExport'!AQ:AQ), IF(_xlpm.result=0,"",_xlpm.result))</f>
        <v/>
      </c>
      <c r="M282" s="2" t="str">
        <f>_xlfn.LET(_xlpm.result, _xlfn.XLOOKUP($A282,'EA-Fortescue_SDExport'!$A:$A,'EA-Fortescue_SDExport'!AR:AR), IF(_xlpm.result=0,"",_xlpm.result))</f>
        <v/>
      </c>
      <c r="N282" s="2" t="str">
        <f>_xlfn.LET(_xlpm.result, _xlfn.XLOOKUP($A282,'EA-Fortescue_SDExport'!$A:$A,'EA-Fortescue_SDExport'!AW:AW), IF(_xlpm.result=0,"",_xlpm.result))</f>
        <v/>
      </c>
      <c r="O282" s="2" t="str">
        <f>_xlfn.LET(_xlpm.result, _xlfn.XLOOKUP($A282,'EA-Fortescue_SDExport'!$A:$A,'EA-Fortescue_SDExport'!AV:AV), IF(_xlpm.result=0,"",_xlpm.result))</f>
        <v/>
      </c>
      <c r="P282" s="2" t="str">
        <f>_xlfn.LET(_xlpm.result, _xlfn.XLOOKUP($A282,'EA-Fortescue_SDExport'!$A:$A,'EA-Fortescue_SDExport'!D:D), IF(_xlpm.result=0,"",_xlpm.result))</f>
        <v/>
      </c>
      <c r="Q282" s="2" t="str">
        <f>_xlfn.LET(
    _xlpm.status, _xlfn.XLOOKUP($A282,'EA-ConnectorExport'!$A:$A,'EA-ConnectorExport'!G:G),
    _xlpm.result, _xlfn.XLOOKUP($A282,'EA-ConnectorExport'!$A:$A,'EA-ConnectorExport'!B:B),
    IF(_xlpm.status="allocate", _xlpm.result, "")
)</f>
        <v>Solomon Mine Hub: Heavy Mobile Equipment (HME)</v>
      </c>
      <c r="R282" s="2" t="str">
        <f>IF(
    _xlfn.XLOOKUP($Q282,'EA-Fortescue_SDExport'!A:A,'EA-Fortescue_SDExport'!B:B)="Object",
    _xlfn.XLOOKUP(
        _xlfn.XLOOKUP($A282,'EA-ConnectorExport'!A:A,'EA-ConnectorExport'!D:D),
        'EA-Fortescue_SDExport'!A:A,
        'EA-Fortescue_SDExport'!AA:AA
    ),
    _xlfn.XLOOKUP($Q282,'EA-Fortescue_SDExport'!A:A,'EA-Fortescue_SDExport'!AA:AA)
)</f>
        <v>Program</v>
      </c>
      <c r="S282" s="2" t="str">
        <f>_xlfn.LET(_xlpm.result, _xlfn.XLOOKUP($Q282,'EA-Fortescue_SDExport'!$A:$A,'EA-Fortescue_SDExport'!AB:AB), IF(_xlpm.result=0,"",_xlpm.result))</f>
        <v/>
      </c>
      <c r="T282" s="2" t="str">
        <f>_xlfn.LET(_xlpm.result, _xlfn.XLOOKUP($Q282,'EA-Fortescue_SDExport'!$A:$A,'EA-Fortescue_SDExport'!AC:AC), IF(_xlpm.result=0,"",_xlpm.result))</f>
        <v>Solomon Mine Hub</v>
      </c>
      <c r="U282" s="2" t="str">
        <f>_xlfn.LET(
    _xlpm.isObject, _xlfn.XLOOKUP($Q282,'EA-Fortescue_SDExport'!A:A,'EA-Fortescue_SDExport'!B:B),
    _xlpm.lookupKey, IF(_xlpm.isObject="Object",
        _xlfn.XLOOKUP($A282,'EA-ConnectorExport'!A:A,'EA-ConnectorExport'!D:D),
        $Q282
    ),
    _xlpm.result, _xlfn.XLOOKUP(_xlpm.lookupKey,'EA-Fortescue_SDExport'!A:A,'EA-Fortescue_SDExport'!AD:AD),
    IF(_xlpm.result=0,"",_xlpm.result)
)</f>
        <v>851DC Heavy Mobile Equipment (HME)</v>
      </c>
      <c r="V282" s="2" t="str">
        <f>_xlfn.LET(
    _xlpm.isObject, _xlfn.XLOOKUP($Q282,'EA-Fortescue_SDExport'!A:A,'EA-Fortescue_SDExport'!B:B),
    _xlpm.lookupKey, IF(_xlpm.isObject="Object",
        _xlfn.XLOOKUP($A282,'EA-ConnectorExport'!A:A,'EA-ConnectorExport'!D:D),
        $Q282
    ),
    _xlpm.result, _xlfn.XLOOKUP(_xlpm.lookupKey,'EA-Fortescue_SDExport'!A:A,'EA-Fortescue_SDExport'!AE:AE),
    IF(_xlpm.result=0,"",_xlpm.result)
)</f>
        <v/>
      </c>
      <c r="W282" s="2" t="str">
        <f>_xlfn.LET(
    _xlpm.isObject, _xlfn.XLOOKUP($Q282,'EA-Fortescue_SDExport'!A:A,'EA-Fortescue_SDExport'!B:B),
    _xlpm.lookupKey, IF(_xlpm.isObject="Object",
        _xlfn.XLOOKUP($A282,'EA-ConnectorExport'!A:A,'EA-ConnectorExport'!D:D),
        $Q282
    ),
    _xlpm.result, _xlfn.XLOOKUP(_xlpm.lookupKey,'EA-Fortescue_SDExport'!A:A,'EA-Fortescue_SDExport'!AF:AF),
    IF(_xlpm.result=0,"",_xlpm.result)
)</f>
        <v/>
      </c>
      <c r="X282" s="2" t="str">
        <f>_xlfn.LET(
    _xlpm.isObject, _xlfn.XLOOKUP($Q282,'EA-Fortescue_SDExport'!A:A,'EA-Fortescue_SDExport'!B:B),
    _xlpm.lookupKey, IF(_xlpm.isObject="Object",
        _xlfn.XLOOKUP($A282,'EA-ConnectorExport'!A:A,'EA-ConnectorExport'!D:D),
        $Q282
    ),
    _xlpm.result, _xlfn.XLOOKUP(_xlpm.lookupKey,'EA-Fortescue_SDExport'!A:A,'EA-Fortescue_SDExport'!AG:AG),
    IF(_xlpm.result=0,"",_xlpm.result)
)</f>
        <v/>
      </c>
      <c r="Y282" s="2" t="str">
        <f>_xlfn.LET(
    _xlpm.status, _xlfn.XLOOKUP($A282,'EA-ConnectorExport'!$A:$A,'EA-ConnectorExport'!G:G),
    _xlpm.result, _xlfn.XLOOKUP($A282,'EA-ConnectorExport'!$A:$A,'EA-ConnectorExport'!H:H),
    IF(_xlpm.status="allocate", _xlpm.result, "")
)</f>
        <v>Solomon Mine Hub: HME Chargers</v>
      </c>
      <c r="Z282" s="2" t="str">
        <f>_xlfn.LET(
    _xlpm.isObject, _xlfn.XLOOKUP($Y282,'EA-Fortescue_SDExport'!A:A,'EA-Fortescue_SDExport'!B:B),
    _xlpm.lookupKey, IF(_xlpm.isObject="Object",
        _xlfn.XLOOKUP($A282,'EA-ConnectorExport'!A:A,'EA-ConnectorExport'!J:J),
        $Y282
    ),
    _xlpm.result, _xlfn.XLOOKUP(_xlpm.lookupKey,'EA-Fortescue_SDExport'!A:A,'EA-Fortescue_SDExport'!AA:AA),
    IF(_xlpm.result=0,"",_xlpm.result)
)</f>
        <v>Project</v>
      </c>
      <c r="AA282" s="2" t="str">
        <f>_xlfn.LET(_xlpm.result, _xlfn.XLOOKUP($Y282,'EA-Fortescue_SDExport'!$A:$A,'EA-Fortescue_SDExport'!AB:AB), IF(_xlpm.result=0,"",_xlpm.result))</f>
        <v/>
      </c>
      <c r="AB282" s="2" t="str">
        <f>_xlfn.LET(_xlpm.result, _xlfn.XLOOKUP($Y282,'EA-Fortescue_SDExport'!$A:$A,'EA-Fortescue_SDExport'!AC:AC), IF(_xlpm.result=0,"",_xlpm.result))</f>
        <v>Solomon Mine Hub</v>
      </c>
      <c r="AC282" s="2" t="str">
        <f>_xlfn.LET(
    _xlpm.isObject, _xlfn.XLOOKUP($Y282,'EA-Fortescue_SDExport'!A:A,'EA-Fortescue_SDExport'!B:B),
    _xlpm.lookupKey, IF(_xlpm.isObject="Object",
        _xlfn.XLOOKUP($A282,'EA-ConnectorExport'!A:A,'EA-ConnectorExport'!J:J),
        $Y282
    ),
    _xlpm.result, _xlfn.XLOOKUP(_xlpm.lookupKey,'EA-Fortescue_SDExport'!A:A,'EA-Fortescue_SDExport'!AD:AD),
    IF(_xlpm.result=0,"",_xlpm.result)
)</f>
        <v>850DC Decarb Infrastructure</v>
      </c>
      <c r="AD282" s="2" t="str">
        <f>_xlfn.LET(
    _xlpm.isObject, _xlfn.XLOOKUP($Y282,'EA-Fortescue_SDExport'!A:A,'EA-Fortescue_SDExport'!B:B),
    _xlpm.lookupKey, IF(_xlpm.isObject="Object",
        _xlfn.XLOOKUP($A282,'EA-ConnectorExport'!A:A,'EA-ConnectorExport'!J:J),
        $Y282
    ),
    _xlpm.result, _xlfn.XLOOKUP(_xlpm.lookupKey,'EA-Fortescue_SDExport'!A:A,'EA-Fortescue_SDExport'!AE:AE),
    IF(_xlpm.result=0,"",_xlpm.result)
)</f>
        <v>850DC-1510 Chargers</v>
      </c>
      <c r="AE282" s="2" t="str">
        <f>_xlfn.LET(
    _xlpm.isObject, _xlfn.XLOOKUP($Y282,'EA-Fortescue_SDExport'!A:A,'EA-Fortescue_SDExport'!B:B),
    _xlpm.lookupKey, IF(_xlpm.isObject="Object",
        _xlfn.XLOOKUP($A282,'EA-ConnectorExport'!A:A,'EA-ConnectorExport'!J:J),
        $Y282
    ),
    _xlpm.result, _xlfn.XLOOKUP(_xlpm.lookupKey,'EA-Fortescue_SDExport'!A:A,'EA-Fortescue_SDExport'!AF:AF),
    IF(_xlpm.result=0,"",_xlpm.result)
)</f>
        <v>850DC-1512-0001 HME Chargers - Gen1</v>
      </c>
      <c r="AF282" s="2" t="str">
        <f>_xlfn.LET(
    _xlpm.isObject, _xlfn.XLOOKUP($Y282,'EA-Fortescue_SDExport'!A:A,'EA-Fortescue_SDExport'!B:B),
    _xlpm.lookupKey, IF(_xlpm.isObject="Object",
        _xlfn.XLOOKUP($A282,'EA-ConnectorExport'!A:A,'EA-ConnectorExport'!J:J),
        $Y282
    ),
    _xlpm.result, _xlfn.XLOOKUP(_xlpm.lookupKey,'EA-Fortescue_SDExport'!A:A,'EA-Fortescue_SDExport'!AG:AG),
    IF(_xlpm.result=0,"",_xlpm.result)
)</f>
        <v/>
      </c>
    </row>
    <row r="283" spans="1:32" ht="60" x14ac:dyDescent="0.25">
      <c r="A283" s="2" t="str">
        <v>DGS-I_0282</v>
      </c>
      <c r="B283" s="2" t="str">
        <f t="shared" si="16"/>
        <v>Solomon Mine Hub: Support Mobile Equipment (SME)|Solomon Mine Hub: HME Auxilary Chargers</v>
      </c>
      <c r="C283" s="2" t="str">
        <f>_xlfn.LET(_xlpm.result, _xlfn.XLOOKUP(A283,'EA-Fortescue_SDExport'!A:A,'EA-Fortescue_SDExport'!AM:AM), IF(_xlpm.result=0,"",_xlpm.result))</f>
        <v/>
      </c>
      <c r="D283" s="2" t="str">
        <f>_xlfn.LET(_xlpm.result, _xlfn.XLOOKUP(A283,'EA-Fortescue_SDExport'!A:A,'EA-Fortescue_SDExport'!AN:AN), IF(_xlpm.result=0,"",_xlpm.result))</f>
        <v/>
      </c>
      <c r="E283" s="2" t="str">
        <f>_xlfn.XLOOKUP(R283&amp;Z283,Lookups!A:A,Lookups!B:B)</f>
        <v>Program - Project Interface</v>
      </c>
      <c r="F283" s="2" t="str">
        <f>_xlfn.LET(_xlpm.result, _xlfn.XLOOKUP(A283,'EA-Fortescue_SDExport'!A:A,'EA-Fortescue_SDExport'!AP:AP), IF(_xlpm.result=0,"",_xlpm.result))</f>
        <v/>
      </c>
      <c r="G283" s="2" t="str">
        <f>IF(OR(AND(T283&lt;&gt;"", COUNTIF(Lookups!J:J, "*"&amp;T283&amp;"*")&gt;0), AND(AB283&lt;&gt;"", COUNTIF(Lookups!J:J, "*"&amp;AB283&amp;"*")&gt;0)), "Yes", "No")</f>
        <v>Yes</v>
      </c>
      <c r="H283" s="2" t="str">
        <f t="shared" si="17"/>
        <v>852DC Light Mobile Equipment (LME) &amp; Support Mobile Equipment (SME)|850DC Decarb Infrastructure</v>
      </c>
      <c r="I283" s="2" t="str">
        <f t="shared" si="18"/>
        <v>N/A|850DC-1510 Chargers</v>
      </c>
      <c r="J283" s="2" t="str">
        <f t="shared" si="19"/>
        <v>N/A|850DC-1513-0002 HME Auxilary Chargers</v>
      </c>
      <c r="K283" s="2" t="str">
        <f>_xlfn.XLOOKUP(A283,'EA-Fortescue_SDExport'!A:A,'EA-Fortescue_SDExport'!N:N)</f>
        <v>Proposed</v>
      </c>
      <c r="L283" s="2" t="str">
        <f>_xlfn.LET(_xlpm.result, _xlfn.XLOOKUP($A283,'EA-Fortescue_SDExport'!$A:$A,'EA-Fortescue_SDExport'!AQ:AQ), IF(_xlpm.result=0,"",_xlpm.result))</f>
        <v/>
      </c>
      <c r="M283" s="2" t="str">
        <f>_xlfn.LET(_xlpm.result, _xlfn.XLOOKUP($A283,'EA-Fortescue_SDExport'!$A:$A,'EA-Fortescue_SDExport'!AR:AR), IF(_xlpm.result=0,"",_xlpm.result))</f>
        <v/>
      </c>
      <c r="N283" s="2" t="str">
        <f>_xlfn.LET(_xlpm.result, _xlfn.XLOOKUP($A283,'EA-Fortescue_SDExport'!$A:$A,'EA-Fortescue_SDExport'!AW:AW), IF(_xlpm.result=0,"",_xlpm.result))</f>
        <v/>
      </c>
      <c r="O283" s="2" t="str">
        <f>_xlfn.LET(_xlpm.result, _xlfn.XLOOKUP($A283,'EA-Fortescue_SDExport'!$A:$A,'EA-Fortescue_SDExport'!AV:AV), IF(_xlpm.result=0,"",_xlpm.result))</f>
        <v/>
      </c>
      <c r="P283" s="2" t="str">
        <f>_xlfn.LET(_xlpm.result, _xlfn.XLOOKUP($A283,'EA-Fortescue_SDExport'!$A:$A,'EA-Fortescue_SDExport'!D:D), IF(_xlpm.result=0,"",_xlpm.result))</f>
        <v/>
      </c>
      <c r="Q283" s="2" t="str">
        <f>_xlfn.LET(
    _xlpm.status, _xlfn.XLOOKUP($A283,'EA-ConnectorExport'!$A:$A,'EA-ConnectorExport'!G:G),
    _xlpm.result, _xlfn.XLOOKUP($A283,'EA-ConnectorExport'!$A:$A,'EA-ConnectorExport'!B:B),
    IF(_xlpm.status="allocate", _xlpm.result, "")
)</f>
        <v>Solomon Mine Hub: Support Mobile Equipment (SME)</v>
      </c>
      <c r="R283" s="2" t="str">
        <f>IF(
    _xlfn.XLOOKUP($Q283,'EA-Fortescue_SDExport'!A:A,'EA-Fortescue_SDExport'!B:B)="Object",
    _xlfn.XLOOKUP(
        _xlfn.XLOOKUP($A283,'EA-ConnectorExport'!A:A,'EA-ConnectorExport'!D:D),
        'EA-Fortescue_SDExport'!A:A,
        'EA-Fortescue_SDExport'!AA:AA
    ),
    _xlfn.XLOOKUP($Q283,'EA-Fortescue_SDExport'!A:A,'EA-Fortescue_SDExport'!AA:AA)
)</f>
        <v>Program</v>
      </c>
      <c r="S283" s="2" t="str">
        <f>_xlfn.LET(_xlpm.result, _xlfn.XLOOKUP($Q283,'EA-Fortescue_SDExport'!$A:$A,'EA-Fortescue_SDExport'!AB:AB), IF(_xlpm.result=0,"",_xlpm.result))</f>
        <v/>
      </c>
      <c r="T283" s="2" t="str">
        <f>_xlfn.LET(_xlpm.result, _xlfn.XLOOKUP($Q283,'EA-Fortescue_SDExport'!$A:$A,'EA-Fortescue_SDExport'!AC:AC), IF(_xlpm.result=0,"",_xlpm.result))</f>
        <v>Solomon Mine Hub</v>
      </c>
      <c r="U283" s="2" t="str">
        <f>_xlfn.LET(
    _xlpm.isObject, _xlfn.XLOOKUP($Q283,'EA-Fortescue_SDExport'!A:A,'EA-Fortescue_SDExport'!B:B),
    _xlpm.lookupKey, IF(_xlpm.isObject="Object",
        _xlfn.XLOOKUP($A283,'EA-ConnectorExport'!A:A,'EA-ConnectorExport'!D:D),
        $Q283
    ),
    _xlpm.result, _xlfn.XLOOKUP(_xlpm.lookupKey,'EA-Fortescue_SDExport'!A:A,'EA-Fortescue_SDExport'!AD:AD),
    IF(_xlpm.result=0,"",_xlpm.result)
)</f>
        <v>852DC Light Mobile Equipment (LME) &amp; Support Mobile Equipment (SME)</v>
      </c>
      <c r="V283" s="2" t="str">
        <f>_xlfn.LET(
    _xlpm.isObject, _xlfn.XLOOKUP($Q283,'EA-Fortescue_SDExport'!A:A,'EA-Fortescue_SDExport'!B:B),
    _xlpm.lookupKey, IF(_xlpm.isObject="Object",
        _xlfn.XLOOKUP($A283,'EA-ConnectorExport'!A:A,'EA-ConnectorExport'!D:D),
        $Q283
    ),
    _xlpm.result, _xlfn.XLOOKUP(_xlpm.lookupKey,'EA-Fortescue_SDExport'!A:A,'EA-Fortescue_SDExport'!AE:AE),
    IF(_xlpm.result=0,"",_xlpm.result)
)</f>
        <v/>
      </c>
      <c r="W283" s="2" t="str">
        <f>_xlfn.LET(
    _xlpm.isObject, _xlfn.XLOOKUP($Q283,'EA-Fortescue_SDExport'!A:A,'EA-Fortescue_SDExport'!B:B),
    _xlpm.lookupKey, IF(_xlpm.isObject="Object",
        _xlfn.XLOOKUP($A283,'EA-ConnectorExport'!A:A,'EA-ConnectorExport'!D:D),
        $Q283
    ),
    _xlpm.result, _xlfn.XLOOKUP(_xlpm.lookupKey,'EA-Fortescue_SDExport'!A:A,'EA-Fortescue_SDExport'!AF:AF),
    IF(_xlpm.result=0,"",_xlpm.result)
)</f>
        <v/>
      </c>
      <c r="X283" s="2" t="str">
        <f>_xlfn.LET(
    _xlpm.isObject, _xlfn.XLOOKUP($Q283,'EA-Fortescue_SDExport'!A:A,'EA-Fortescue_SDExport'!B:B),
    _xlpm.lookupKey, IF(_xlpm.isObject="Object",
        _xlfn.XLOOKUP($A283,'EA-ConnectorExport'!A:A,'EA-ConnectorExport'!D:D),
        $Q283
    ),
    _xlpm.result, _xlfn.XLOOKUP(_xlpm.lookupKey,'EA-Fortescue_SDExport'!A:A,'EA-Fortescue_SDExport'!AG:AG),
    IF(_xlpm.result=0,"",_xlpm.result)
)</f>
        <v/>
      </c>
      <c r="Y283" s="2" t="str">
        <f>_xlfn.LET(
    _xlpm.status, _xlfn.XLOOKUP($A283,'EA-ConnectorExport'!$A:$A,'EA-ConnectorExport'!G:G),
    _xlpm.result, _xlfn.XLOOKUP($A283,'EA-ConnectorExport'!$A:$A,'EA-ConnectorExport'!H:H),
    IF(_xlpm.status="allocate", _xlpm.result, "")
)</f>
        <v>Solomon Mine Hub: HME Auxilary Chargers</v>
      </c>
      <c r="Z283" s="2" t="str">
        <f>_xlfn.LET(
    _xlpm.isObject, _xlfn.XLOOKUP($Y283,'EA-Fortescue_SDExport'!A:A,'EA-Fortescue_SDExport'!B:B),
    _xlpm.lookupKey, IF(_xlpm.isObject="Object",
        _xlfn.XLOOKUP($A283,'EA-ConnectorExport'!A:A,'EA-ConnectorExport'!J:J),
        $Y283
    ),
    _xlpm.result, _xlfn.XLOOKUP(_xlpm.lookupKey,'EA-Fortescue_SDExport'!A:A,'EA-Fortescue_SDExport'!AA:AA),
    IF(_xlpm.result=0,"",_xlpm.result)
)</f>
        <v>Project</v>
      </c>
      <c r="AA283" s="2" t="str">
        <f>_xlfn.LET(_xlpm.result, _xlfn.XLOOKUP($Y283,'EA-Fortescue_SDExport'!$A:$A,'EA-Fortescue_SDExport'!AB:AB), IF(_xlpm.result=0,"",_xlpm.result))</f>
        <v/>
      </c>
      <c r="AB283" s="2" t="str">
        <f>_xlfn.LET(_xlpm.result, _xlfn.XLOOKUP($Y283,'EA-Fortescue_SDExport'!$A:$A,'EA-Fortescue_SDExport'!AC:AC), IF(_xlpm.result=0,"",_xlpm.result))</f>
        <v>Solomon Mine Hub</v>
      </c>
      <c r="AC283" s="2" t="str">
        <f>_xlfn.LET(
    _xlpm.isObject, _xlfn.XLOOKUP($Y283,'EA-Fortescue_SDExport'!A:A,'EA-Fortescue_SDExport'!B:B),
    _xlpm.lookupKey, IF(_xlpm.isObject="Object",
        _xlfn.XLOOKUP($A283,'EA-ConnectorExport'!A:A,'EA-ConnectorExport'!J:J),
        $Y283
    ),
    _xlpm.result, _xlfn.XLOOKUP(_xlpm.lookupKey,'EA-Fortescue_SDExport'!A:A,'EA-Fortescue_SDExport'!AD:AD),
    IF(_xlpm.result=0,"",_xlpm.result)
)</f>
        <v>850DC Decarb Infrastructure</v>
      </c>
      <c r="AD283" s="2" t="str">
        <f>_xlfn.LET(
    _xlpm.isObject, _xlfn.XLOOKUP($Y283,'EA-Fortescue_SDExport'!A:A,'EA-Fortescue_SDExport'!B:B),
    _xlpm.lookupKey, IF(_xlpm.isObject="Object",
        _xlfn.XLOOKUP($A283,'EA-ConnectorExport'!A:A,'EA-ConnectorExport'!J:J),
        $Y283
    ),
    _xlpm.result, _xlfn.XLOOKUP(_xlpm.lookupKey,'EA-Fortescue_SDExport'!A:A,'EA-Fortescue_SDExport'!AE:AE),
    IF(_xlpm.result=0,"",_xlpm.result)
)</f>
        <v>850DC-1510 Chargers</v>
      </c>
      <c r="AE283" s="2" t="str">
        <f>_xlfn.LET(
    _xlpm.isObject, _xlfn.XLOOKUP($Y283,'EA-Fortescue_SDExport'!A:A,'EA-Fortescue_SDExport'!B:B),
    _xlpm.lookupKey, IF(_xlpm.isObject="Object",
        _xlfn.XLOOKUP($A283,'EA-ConnectorExport'!A:A,'EA-ConnectorExport'!J:J),
        $Y283
    ),
    _xlpm.result, _xlfn.XLOOKUP(_xlpm.lookupKey,'EA-Fortescue_SDExport'!A:A,'EA-Fortescue_SDExport'!AF:AF),
    IF(_xlpm.result=0,"",_xlpm.result)
)</f>
        <v>850DC-1513-0002 HME Auxilary Chargers</v>
      </c>
      <c r="AF283" s="2" t="str">
        <f>_xlfn.LET(
    _xlpm.isObject, _xlfn.XLOOKUP($Y283,'EA-Fortescue_SDExport'!A:A,'EA-Fortescue_SDExport'!B:B),
    _xlpm.lookupKey, IF(_xlpm.isObject="Object",
        _xlfn.XLOOKUP($A283,'EA-ConnectorExport'!A:A,'EA-ConnectorExport'!J:J),
        $Y283
    ),
    _xlpm.result, _xlfn.XLOOKUP(_xlpm.lookupKey,'EA-Fortescue_SDExport'!A:A,'EA-Fortescue_SDExport'!AG:AG),
    IF(_xlpm.result=0,"",_xlpm.result)
)</f>
        <v/>
      </c>
    </row>
    <row r="284" spans="1:32" ht="45" x14ac:dyDescent="0.25">
      <c r="A284" s="2" t="str">
        <v>DGS-I_0283</v>
      </c>
      <c r="B284" s="2" t="str">
        <f t="shared" si="16"/>
        <v>Solomon Mine Hub: Light Mobile Equipment (LME)|Solomon Mine Hub: LME / SME Chargers</v>
      </c>
      <c r="C284" s="2" t="str">
        <f>_xlfn.LET(_xlpm.result, _xlfn.XLOOKUP(A284,'EA-Fortescue_SDExport'!A:A,'EA-Fortescue_SDExport'!AM:AM), IF(_xlpm.result=0,"",_xlpm.result))</f>
        <v/>
      </c>
      <c r="D284" s="2" t="str">
        <f>_xlfn.LET(_xlpm.result, _xlfn.XLOOKUP(A284,'EA-Fortescue_SDExport'!A:A,'EA-Fortescue_SDExport'!AN:AN), IF(_xlpm.result=0,"",_xlpm.result))</f>
        <v/>
      </c>
      <c r="E284" s="2" t="str">
        <f>_xlfn.XLOOKUP(R284&amp;Z284,Lookups!A:A,Lookups!B:B)</f>
        <v>Program - Project Interface</v>
      </c>
      <c r="F284" s="2" t="str">
        <f>_xlfn.LET(_xlpm.result, _xlfn.XLOOKUP(A284,'EA-Fortescue_SDExport'!A:A,'EA-Fortescue_SDExport'!AP:AP), IF(_xlpm.result=0,"",_xlpm.result))</f>
        <v/>
      </c>
      <c r="G284" s="2" t="str">
        <f>IF(OR(AND(T284&lt;&gt;"", COUNTIF(Lookups!J:J, "*"&amp;T284&amp;"*")&gt;0), AND(AB284&lt;&gt;"", COUNTIF(Lookups!J:J, "*"&amp;AB284&amp;"*")&gt;0)), "Yes", "No")</f>
        <v>Yes</v>
      </c>
      <c r="H284" s="2" t="str">
        <f t="shared" si="17"/>
        <v>N/A|850DC Decarb Infrastructure</v>
      </c>
      <c r="I284" s="2" t="str">
        <f t="shared" si="18"/>
        <v>N/A|850DC-1510 Chargers</v>
      </c>
      <c r="J284" s="2" t="str">
        <f t="shared" si="19"/>
        <v>N/A|850DC-1514-0003 LME / SME Chargers</v>
      </c>
      <c r="K284" s="2" t="str">
        <f>_xlfn.XLOOKUP(A284,'EA-Fortescue_SDExport'!A:A,'EA-Fortescue_SDExport'!N:N)</f>
        <v>Deleted</v>
      </c>
      <c r="L284" s="2" t="str">
        <f>_xlfn.LET(_xlpm.result, _xlfn.XLOOKUP($A284,'EA-Fortescue_SDExport'!$A:$A,'EA-Fortescue_SDExport'!AQ:AQ), IF(_xlpm.result=0,"",_xlpm.result))</f>
        <v/>
      </c>
      <c r="M284" s="2" t="str">
        <f>_xlfn.LET(_xlpm.result, _xlfn.XLOOKUP($A284,'EA-Fortescue_SDExport'!$A:$A,'EA-Fortescue_SDExport'!AR:AR), IF(_xlpm.result=0,"",_xlpm.result))</f>
        <v/>
      </c>
      <c r="N284" s="2" t="str">
        <f>_xlfn.LET(_xlpm.result, _xlfn.XLOOKUP($A284,'EA-Fortescue_SDExport'!$A:$A,'EA-Fortescue_SDExport'!AW:AW), IF(_xlpm.result=0,"",_xlpm.result))</f>
        <v/>
      </c>
      <c r="O284" s="2" t="str">
        <f>_xlfn.LET(_xlpm.result, _xlfn.XLOOKUP($A284,'EA-Fortescue_SDExport'!$A:$A,'EA-Fortescue_SDExport'!AV:AV), IF(_xlpm.result=0,"",_xlpm.result))</f>
        <v/>
      </c>
      <c r="P284" s="2" t="str">
        <f>_xlfn.LET(_xlpm.result, _xlfn.XLOOKUP($A284,'EA-Fortescue_SDExport'!$A:$A,'EA-Fortescue_SDExport'!D:D), IF(_xlpm.result=0,"",_xlpm.result))</f>
        <v>SBS-WBS Mapping 02/01/2026: Delete LME &amp;amp; Merge LME &amp;amp; SME to combined Program Level - Interface deleted.</v>
      </c>
      <c r="Q284" s="2" t="str">
        <f>_xlfn.LET(
    _xlpm.status, _xlfn.XLOOKUP($A284,'EA-ConnectorExport'!$A:$A,'EA-ConnectorExport'!G:G),
    _xlpm.result, _xlfn.XLOOKUP($A284,'EA-ConnectorExport'!$A:$A,'EA-ConnectorExport'!B:B),
    IF(_xlpm.status="allocate", _xlpm.result, "")
)</f>
        <v>Solomon Mine Hub: Light Mobile Equipment (LME)</v>
      </c>
      <c r="R284" s="2" t="str">
        <f>IF(
    _xlfn.XLOOKUP($Q284,'EA-Fortescue_SDExport'!A:A,'EA-Fortescue_SDExport'!B:B)="Object",
    _xlfn.XLOOKUP(
        _xlfn.XLOOKUP($A284,'EA-ConnectorExport'!A:A,'EA-ConnectorExport'!D:D),
        'EA-Fortescue_SDExport'!A:A,
        'EA-Fortescue_SDExport'!AA:AA
    ),
    _xlfn.XLOOKUP($Q284,'EA-Fortescue_SDExport'!A:A,'EA-Fortescue_SDExport'!AA:AA)
)</f>
        <v>Program</v>
      </c>
      <c r="S284" s="2" t="str">
        <f>_xlfn.LET(_xlpm.result, _xlfn.XLOOKUP($Q284,'EA-Fortescue_SDExport'!$A:$A,'EA-Fortescue_SDExport'!AB:AB), IF(_xlpm.result=0,"",_xlpm.result))</f>
        <v/>
      </c>
      <c r="T284" s="2" t="str">
        <f>_xlfn.LET(_xlpm.result, _xlfn.XLOOKUP($Q284,'EA-Fortescue_SDExport'!$A:$A,'EA-Fortescue_SDExport'!AC:AC), IF(_xlpm.result=0,"",_xlpm.result))</f>
        <v>Solomon Mine Hub</v>
      </c>
      <c r="U284" s="2" t="str">
        <f>_xlfn.LET(
    _xlpm.isObject, _xlfn.XLOOKUP($Q284,'EA-Fortescue_SDExport'!A:A,'EA-Fortescue_SDExport'!B:B),
    _xlpm.lookupKey, IF(_xlpm.isObject="Object",
        _xlfn.XLOOKUP($A284,'EA-ConnectorExport'!A:A,'EA-ConnectorExport'!D:D),
        $Q284
    ),
    _xlpm.result, _xlfn.XLOOKUP(_xlpm.lookupKey,'EA-Fortescue_SDExport'!A:A,'EA-Fortescue_SDExport'!AD:AD),
    IF(_xlpm.result=0,"",_xlpm.result)
)</f>
        <v/>
      </c>
      <c r="V284" s="2" t="str">
        <f>_xlfn.LET(
    _xlpm.isObject, _xlfn.XLOOKUP($Q284,'EA-Fortescue_SDExport'!A:A,'EA-Fortescue_SDExport'!B:B),
    _xlpm.lookupKey, IF(_xlpm.isObject="Object",
        _xlfn.XLOOKUP($A284,'EA-ConnectorExport'!A:A,'EA-ConnectorExport'!D:D),
        $Q284
    ),
    _xlpm.result, _xlfn.XLOOKUP(_xlpm.lookupKey,'EA-Fortescue_SDExport'!A:A,'EA-Fortescue_SDExport'!AE:AE),
    IF(_xlpm.result=0,"",_xlpm.result)
)</f>
        <v/>
      </c>
      <c r="W284" s="2" t="str">
        <f>_xlfn.LET(
    _xlpm.isObject, _xlfn.XLOOKUP($Q284,'EA-Fortescue_SDExport'!A:A,'EA-Fortescue_SDExport'!B:B),
    _xlpm.lookupKey, IF(_xlpm.isObject="Object",
        _xlfn.XLOOKUP($A284,'EA-ConnectorExport'!A:A,'EA-ConnectorExport'!D:D),
        $Q284
    ),
    _xlpm.result, _xlfn.XLOOKUP(_xlpm.lookupKey,'EA-Fortescue_SDExport'!A:A,'EA-Fortescue_SDExport'!AF:AF),
    IF(_xlpm.result=0,"",_xlpm.result)
)</f>
        <v/>
      </c>
      <c r="X284" s="2" t="str">
        <f>_xlfn.LET(
    _xlpm.isObject, _xlfn.XLOOKUP($Q284,'EA-Fortescue_SDExport'!A:A,'EA-Fortescue_SDExport'!B:B),
    _xlpm.lookupKey, IF(_xlpm.isObject="Object",
        _xlfn.XLOOKUP($A284,'EA-ConnectorExport'!A:A,'EA-ConnectorExport'!D:D),
        $Q284
    ),
    _xlpm.result, _xlfn.XLOOKUP(_xlpm.lookupKey,'EA-Fortescue_SDExport'!A:A,'EA-Fortescue_SDExport'!AG:AG),
    IF(_xlpm.result=0,"",_xlpm.result)
)</f>
        <v/>
      </c>
      <c r="Y284" s="2" t="str">
        <f>_xlfn.LET(
    _xlpm.status, _xlfn.XLOOKUP($A284,'EA-ConnectorExport'!$A:$A,'EA-ConnectorExport'!G:G),
    _xlpm.result, _xlfn.XLOOKUP($A284,'EA-ConnectorExport'!$A:$A,'EA-ConnectorExport'!H:H),
    IF(_xlpm.status="allocate", _xlpm.result, "")
)</f>
        <v>Solomon Mine Hub: LME / SME Chargers</v>
      </c>
      <c r="Z284" s="2" t="str">
        <f>_xlfn.LET(
    _xlpm.isObject, _xlfn.XLOOKUP($Y284,'EA-Fortescue_SDExport'!A:A,'EA-Fortescue_SDExport'!B:B),
    _xlpm.lookupKey, IF(_xlpm.isObject="Object",
        _xlfn.XLOOKUP($A284,'EA-ConnectorExport'!A:A,'EA-ConnectorExport'!J:J),
        $Y284
    ),
    _xlpm.result, _xlfn.XLOOKUP(_xlpm.lookupKey,'EA-Fortescue_SDExport'!A:A,'EA-Fortescue_SDExport'!AA:AA),
    IF(_xlpm.result=0,"",_xlpm.result)
)</f>
        <v>Project</v>
      </c>
      <c r="AA284" s="2" t="str">
        <f>_xlfn.LET(_xlpm.result, _xlfn.XLOOKUP($Y284,'EA-Fortescue_SDExport'!$A:$A,'EA-Fortescue_SDExport'!AB:AB), IF(_xlpm.result=0,"",_xlpm.result))</f>
        <v/>
      </c>
      <c r="AB284" s="2" t="str">
        <f>_xlfn.LET(_xlpm.result, _xlfn.XLOOKUP($Y284,'EA-Fortescue_SDExport'!$A:$A,'EA-Fortescue_SDExport'!AC:AC), IF(_xlpm.result=0,"",_xlpm.result))</f>
        <v>Solomon Mine Hub</v>
      </c>
      <c r="AC284" s="2" t="str">
        <f>_xlfn.LET(
    _xlpm.isObject, _xlfn.XLOOKUP($Y284,'EA-Fortescue_SDExport'!A:A,'EA-Fortescue_SDExport'!B:B),
    _xlpm.lookupKey, IF(_xlpm.isObject="Object",
        _xlfn.XLOOKUP($A284,'EA-ConnectorExport'!A:A,'EA-ConnectorExport'!J:J),
        $Y284
    ),
    _xlpm.result, _xlfn.XLOOKUP(_xlpm.lookupKey,'EA-Fortescue_SDExport'!A:A,'EA-Fortescue_SDExport'!AD:AD),
    IF(_xlpm.result=0,"",_xlpm.result)
)</f>
        <v>850DC Decarb Infrastructure</v>
      </c>
      <c r="AD284" s="2" t="str">
        <f>_xlfn.LET(
    _xlpm.isObject, _xlfn.XLOOKUP($Y284,'EA-Fortescue_SDExport'!A:A,'EA-Fortescue_SDExport'!B:B),
    _xlpm.lookupKey, IF(_xlpm.isObject="Object",
        _xlfn.XLOOKUP($A284,'EA-ConnectorExport'!A:A,'EA-ConnectorExport'!J:J),
        $Y284
    ),
    _xlpm.result, _xlfn.XLOOKUP(_xlpm.lookupKey,'EA-Fortescue_SDExport'!A:A,'EA-Fortescue_SDExport'!AE:AE),
    IF(_xlpm.result=0,"",_xlpm.result)
)</f>
        <v>850DC-1510 Chargers</v>
      </c>
      <c r="AE284" s="2" t="str">
        <f>_xlfn.LET(
    _xlpm.isObject, _xlfn.XLOOKUP($Y284,'EA-Fortescue_SDExport'!A:A,'EA-Fortescue_SDExport'!B:B),
    _xlpm.lookupKey, IF(_xlpm.isObject="Object",
        _xlfn.XLOOKUP($A284,'EA-ConnectorExport'!A:A,'EA-ConnectorExport'!J:J),
        $Y284
    ),
    _xlpm.result, _xlfn.XLOOKUP(_xlpm.lookupKey,'EA-Fortescue_SDExport'!A:A,'EA-Fortescue_SDExport'!AF:AF),
    IF(_xlpm.result=0,"",_xlpm.result)
)</f>
        <v>850DC-1514-0003 LME / SME Chargers</v>
      </c>
      <c r="AF284" s="2" t="str">
        <f>_xlfn.LET(
    _xlpm.isObject, _xlfn.XLOOKUP($Y284,'EA-Fortescue_SDExport'!A:A,'EA-Fortescue_SDExport'!B:B),
    _xlpm.lookupKey, IF(_xlpm.isObject="Object",
        _xlfn.XLOOKUP($A284,'EA-ConnectorExport'!A:A,'EA-ConnectorExport'!J:J),
        $Y284
    ),
    _xlpm.result, _xlfn.XLOOKUP(_xlpm.lookupKey,'EA-Fortescue_SDExport'!A:A,'EA-Fortescue_SDExport'!AG:AG),
    IF(_xlpm.result=0,"",_xlpm.result)
)</f>
        <v/>
      </c>
    </row>
    <row r="285" spans="1:32" ht="255" x14ac:dyDescent="0.25">
      <c r="A285" s="2" t="str">
        <v>DGS-I_0284</v>
      </c>
      <c r="B285" s="2" t="str">
        <f t="shared" si="16"/>
        <v>855DC-1542-CSM-002 vCharM.Edge|Solomon Mine Hub: AC1</v>
      </c>
      <c r="C285" s="2" t="str">
        <f>_xlfn.LET(_xlpm.result, _xlfn.XLOOKUP(A285,'EA-Fortescue_SDExport'!A:A,'EA-Fortescue_SDExport'!AM:AM), IF(_xlpm.result=0,"",_xlpm.result))</f>
        <v/>
      </c>
      <c r="D285" s="2" t="str">
        <f>_xlfn.LET(_xlpm.result, _xlfn.XLOOKUP(A285,'EA-Fortescue_SDExport'!A:A,'EA-Fortescue_SDExport'!AN:AN), IF(_xlpm.result=0,"",_xlpm.result))</f>
        <v/>
      </c>
      <c r="E285" s="2" t="str">
        <f>_xlfn.XLOOKUP(R285&amp;Z285,Lookups!A:A,Lookups!B:B)</f>
        <v>Subsystem - Subsystem Interface</v>
      </c>
      <c r="F285" s="2" t="str">
        <f>_xlfn.LET(_xlpm.result, _xlfn.XLOOKUP(A285,'EA-Fortescue_SDExport'!A:A,'EA-Fortescue_SDExport'!AP:AP), IF(_xlpm.result=0,"",_xlpm.result))</f>
        <v>Technical-Data/Software</v>
      </c>
      <c r="G285" s="2" t="str">
        <f>IF(OR(AND(T285&lt;&gt;"", COUNTIF(Lookups!J:J, "*"&amp;T285&amp;"*")&gt;0), AND(AB285&lt;&gt;"", COUNTIF(Lookups!J:J, "*"&amp;AB285&amp;"*")&gt;0)), "Yes", "No")</f>
        <v>Yes</v>
      </c>
      <c r="H285" s="2" t="str">
        <f t="shared" si="17"/>
        <v>855DC Decarb Green Systems|850DC Decarb Infrastructure</v>
      </c>
      <c r="I285" s="2" t="str">
        <f t="shared" si="18"/>
        <v>855DC-1542 Control &amp; Monitoring Systems|850DC-1510 Chargers</v>
      </c>
      <c r="J285" s="2" t="str">
        <f t="shared" si="19"/>
        <v>855DC-1542-CSM Charge Station Management System (CSMS)|850DC-1512-0001 HME Chargers - Gen1</v>
      </c>
      <c r="K285" s="2" t="str">
        <f>_xlfn.XLOOKUP(A285,'EA-Fortescue_SDExport'!A:A,'EA-Fortescue_SDExport'!N:N)</f>
        <v>Proposed</v>
      </c>
      <c r="L285" s="2" t="str">
        <f>_xlfn.LET(_xlpm.result, _xlfn.XLOOKUP($A285,'EA-Fortescue_SDExport'!$A:$A,'EA-Fortescue_SDExport'!AQ:AQ), IF(_xlpm.result=0,"",_xlpm.result))</f>
        <v>This interface connects vCharM.Edge to the AC1 automated charging system at the Solomon Mine Hub, providing the real-time control signals and charger status required for automated plug-in and charging operations.</v>
      </c>
      <c r="M285" s="2" t="str">
        <f>_xlfn.LET(_xlpm.result, _xlfn.XLOOKUP($A285,'EA-Fortescue_SDExport'!$A:$A,'EA-Fortescue_SDExport'!AR:AR), IF(_xlpm.result=0,"",_xlpm.result))</f>
        <v>HIGH</v>
      </c>
      <c r="N285" s="2" t="str">
        <f>_xlfn.LET(_xlpm.result, _xlfn.XLOOKUP($A285,'EA-Fortescue_SDExport'!$A:$A,'EA-Fortescue_SDExport'!AW:AW), IF(_xlpm.result=0,"",_xlpm.result))</f>
        <v>The criticality level is HIGH because the AC1 system relies on accurate, live data from vCharM.Edge to safely start and manage high-power automated charging. Failure could prevent automated charging from beginning, force trucks into manual charging procedures, or create electrical safety hazards during automated connection.</v>
      </c>
      <c r="O285" s="2" t="str">
        <f>_xlfn.LET(_xlpm.result, _xlfn.XLOOKUP($A285,'EA-Fortescue_SDExport'!$A:$A,'EA-Fortescue_SDExport'!AV:AV), IF(_xlpm.result=0,"",_xlpm.result))</f>
        <v>Data Flow:_x000D_
vCharM.Edge / CSMS (855DC-1542) -&gt; AC1 Automated Charging System (850DC-1512-0001), transmitting charger availability, energisation status, authorisation signals, load limits, fault states, and interlock confirmations required for automated plug-in and charging initiation._x000D_
AC1 Automated Charging System -&gt; vCharM.Edge / CSMS, returning charger status, connection state, charging progress, power draw, alarms, and exception conditions to support real-time monitoring and load coordination._x000D_
Control Flow:_x000D_
vCharM.Edge issues start/stop commands, charging setpoints, authorisation approvals, and load management instructions to AC1 units to ensure safe, coordinated, high-power charging operations.</v>
      </c>
      <c r="P285" s="2" t="str">
        <f>_xlfn.LET(_xlpm.result, _xlfn.XLOOKUP($A285,'EA-Fortescue_SDExport'!$A:$A,'EA-Fortescue_SDExport'!D:D), IF(_xlpm.result=0,"",_xlpm.result))</f>
        <v>From DGS-I_0175 (interface with generic AC1): CSMS Review 30/10/2025: Speak OCPP to a vCharm Edge._x000D_
State, current voltage, car plugged in?_x000D_
Getting back charge auth, charge rate profiles. set charge rate._x000D_
Depending on charger the charger, potentially phoning home to manufacturers cloud.</v>
      </c>
      <c r="Q285" s="2" t="str">
        <f>_xlfn.LET(
    _xlpm.status, _xlfn.XLOOKUP($A285,'EA-ConnectorExport'!$A:$A,'EA-ConnectorExport'!G:G),
    _xlpm.result, _xlfn.XLOOKUP($A285,'EA-ConnectorExport'!$A:$A,'EA-ConnectorExport'!B:B),
    IF(_xlpm.status="allocate", _xlpm.result, "")
)</f>
        <v>855DC-1542-CSM-002 vCharM.Edge</v>
      </c>
      <c r="R285" s="2" t="str">
        <f>IF(
    _xlfn.XLOOKUP($Q285,'EA-Fortescue_SDExport'!A:A,'EA-Fortescue_SDExport'!B:B)="Object",
    _xlfn.XLOOKUP(
        _xlfn.XLOOKUP($A285,'EA-ConnectorExport'!A:A,'EA-ConnectorExport'!D:D),
        'EA-Fortescue_SDExport'!A:A,
        'EA-Fortescue_SDExport'!AA:AA
    ),
    _xlfn.XLOOKUP($Q285,'EA-Fortescue_SDExport'!A:A,'EA-Fortescue_SDExport'!AA:AA)
)</f>
        <v>Subsystem</v>
      </c>
      <c r="S285" s="2" t="str">
        <f>_xlfn.LET(_xlpm.result, _xlfn.XLOOKUP($Q285,'EA-Fortescue_SDExport'!$A:$A,'EA-Fortescue_SDExport'!AB:AB), IF(_xlpm.result=0,"",_xlpm.result))</f>
        <v/>
      </c>
      <c r="T285" s="2" t="str">
        <f>_xlfn.LET(_xlpm.result, _xlfn.XLOOKUP($Q285,'EA-Fortescue_SDExport'!$A:$A,'EA-Fortescue_SDExport'!AC:AC), IF(_xlpm.result=0,"",_xlpm.result))</f>
        <v/>
      </c>
      <c r="U285" s="2" t="str">
        <f>_xlfn.LET(
    _xlpm.isObject, _xlfn.XLOOKUP($Q285,'EA-Fortescue_SDExport'!A:A,'EA-Fortescue_SDExport'!B:B),
    _xlpm.lookupKey, IF(_xlpm.isObject="Object",
        _xlfn.XLOOKUP($A285,'EA-ConnectorExport'!A:A,'EA-ConnectorExport'!D:D),
        $Q285
    ),
    _xlpm.result, _xlfn.XLOOKUP(_xlpm.lookupKey,'EA-Fortescue_SDExport'!A:A,'EA-Fortescue_SDExport'!AD:AD),
    IF(_xlpm.result=0,"",_xlpm.result)
)</f>
        <v>855DC Decarb Green Systems</v>
      </c>
      <c r="V285" s="2" t="str">
        <f>_xlfn.LET(
    _xlpm.isObject, _xlfn.XLOOKUP($Q285,'EA-Fortescue_SDExport'!A:A,'EA-Fortescue_SDExport'!B:B),
    _xlpm.lookupKey, IF(_xlpm.isObject="Object",
        _xlfn.XLOOKUP($A285,'EA-ConnectorExport'!A:A,'EA-ConnectorExport'!D:D),
        $Q285
    ),
    _xlpm.result, _xlfn.XLOOKUP(_xlpm.lookupKey,'EA-Fortescue_SDExport'!A:A,'EA-Fortescue_SDExport'!AE:AE),
    IF(_xlpm.result=0,"",_xlpm.result)
)</f>
        <v>855DC-1542 Control &amp; Monitoring Systems</v>
      </c>
      <c r="W285" s="2" t="str">
        <f>_xlfn.LET(
    _xlpm.isObject, _xlfn.XLOOKUP($Q285,'EA-Fortescue_SDExport'!A:A,'EA-Fortescue_SDExport'!B:B),
    _xlpm.lookupKey, IF(_xlpm.isObject="Object",
        _xlfn.XLOOKUP($A285,'EA-ConnectorExport'!A:A,'EA-ConnectorExport'!D:D),
        $Q285
    ),
    _xlpm.result, _xlfn.XLOOKUP(_xlpm.lookupKey,'EA-Fortescue_SDExport'!A:A,'EA-Fortescue_SDExport'!AF:AF),
    IF(_xlpm.result=0,"",_xlpm.result)
)</f>
        <v>855DC-1542-CSM Charge Station Management System (CSMS)</v>
      </c>
      <c r="X285" s="2" t="str">
        <f>_xlfn.LET(
    _xlpm.isObject, _xlfn.XLOOKUP($Q285,'EA-Fortescue_SDExport'!A:A,'EA-Fortescue_SDExport'!B:B),
    _xlpm.lookupKey, IF(_xlpm.isObject="Object",
        _xlfn.XLOOKUP($A285,'EA-ConnectorExport'!A:A,'EA-ConnectorExport'!D:D),
        $Q285
    ),
    _xlpm.result, _xlfn.XLOOKUP(_xlpm.lookupKey,'EA-Fortescue_SDExport'!A:A,'EA-Fortescue_SDExport'!AG:AG),
    IF(_xlpm.result=0,"",_xlpm.result)
)</f>
        <v>855DC-1542-CSM-002 vCharM.Edge</v>
      </c>
      <c r="Y285" s="2" t="str">
        <f>_xlfn.LET(
    _xlpm.status, _xlfn.XLOOKUP($A285,'EA-ConnectorExport'!$A:$A,'EA-ConnectorExport'!G:G),
    _xlpm.result, _xlfn.XLOOKUP($A285,'EA-ConnectorExport'!$A:$A,'EA-ConnectorExport'!H:H),
    IF(_xlpm.status="allocate", _xlpm.result, "")
)</f>
        <v>Solomon Mine Hub: AC1</v>
      </c>
      <c r="Z285" s="2" t="str">
        <f>_xlfn.LET(
    _xlpm.isObject, _xlfn.XLOOKUP($Y285,'EA-Fortescue_SDExport'!A:A,'EA-Fortescue_SDExport'!B:B),
    _xlpm.lookupKey, IF(_xlpm.isObject="Object",
        _xlfn.XLOOKUP($A285,'EA-ConnectorExport'!A:A,'EA-ConnectorExport'!J:J),
        $Y285
    ),
    _xlpm.result, _xlfn.XLOOKUP(_xlpm.lookupKey,'EA-Fortescue_SDExport'!A:A,'EA-Fortescue_SDExport'!AA:AA),
    IF(_xlpm.result=0,"",_xlpm.result)
)</f>
        <v>Subsystem</v>
      </c>
      <c r="AA285" s="2" t="str">
        <f>_xlfn.LET(_xlpm.result, _xlfn.XLOOKUP($Y285,'EA-Fortescue_SDExport'!$A:$A,'EA-Fortescue_SDExport'!AB:AB), IF(_xlpm.result=0,"",_xlpm.result))</f>
        <v/>
      </c>
      <c r="AB285" s="2" t="str">
        <f>_xlfn.LET(_xlpm.result, _xlfn.XLOOKUP($Y285,'EA-Fortescue_SDExport'!$A:$A,'EA-Fortescue_SDExport'!AC:AC), IF(_xlpm.result=0,"",_xlpm.result))</f>
        <v>Solomon Mine Hub</v>
      </c>
      <c r="AC285" s="2" t="str">
        <f>_xlfn.LET(
    _xlpm.isObject, _xlfn.XLOOKUP($Y285,'EA-Fortescue_SDExport'!A:A,'EA-Fortescue_SDExport'!B:B),
    _xlpm.lookupKey, IF(_xlpm.isObject="Object",
        _xlfn.XLOOKUP($A285,'EA-ConnectorExport'!A:A,'EA-ConnectorExport'!J:J),
        $Y285
    ),
    _xlpm.result, _xlfn.XLOOKUP(_xlpm.lookupKey,'EA-Fortescue_SDExport'!A:A,'EA-Fortescue_SDExport'!AD:AD),
    IF(_xlpm.result=0,"",_xlpm.result)
)</f>
        <v>850DC Decarb Infrastructure</v>
      </c>
      <c r="AD285" s="2" t="str">
        <f>_xlfn.LET(
    _xlpm.isObject, _xlfn.XLOOKUP($Y285,'EA-Fortescue_SDExport'!A:A,'EA-Fortescue_SDExport'!B:B),
    _xlpm.lookupKey, IF(_xlpm.isObject="Object",
        _xlfn.XLOOKUP($A285,'EA-ConnectorExport'!A:A,'EA-ConnectorExport'!J:J),
        $Y285
    ),
    _xlpm.result, _xlfn.XLOOKUP(_xlpm.lookupKey,'EA-Fortescue_SDExport'!A:A,'EA-Fortescue_SDExport'!AE:AE),
    IF(_xlpm.result=0,"",_xlpm.result)
)</f>
        <v>850DC-1510 Chargers</v>
      </c>
      <c r="AE285" s="2" t="str">
        <f>_xlfn.LET(
    _xlpm.isObject, _xlfn.XLOOKUP($Y285,'EA-Fortescue_SDExport'!A:A,'EA-Fortescue_SDExport'!B:B),
    _xlpm.lookupKey, IF(_xlpm.isObject="Object",
        _xlfn.XLOOKUP($A285,'EA-ConnectorExport'!A:A,'EA-ConnectorExport'!J:J),
        $Y285
    ),
    _xlpm.result, _xlfn.XLOOKUP(_xlpm.lookupKey,'EA-Fortescue_SDExport'!A:A,'EA-Fortescue_SDExport'!AF:AF),
    IF(_xlpm.result=0,"",_xlpm.result)
)</f>
        <v>850DC-1512-0001 HME Chargers - Gen1</v>
      </c>
      <c r="AF285" s="2" t="str">
        <f>_xlfn.LET(
    _xlpm.isObject, _xlfn.XLOOKUP($Y285,'EA-Fortescue_SDExport'!A:A,'EA-Fortescue_SDExport'!B:B),
    _xlpm.lookupKey, IF(_xlpm.isObject="Object",
        _xlfn.XLOOKUP($A285,'EA-ConnectorExport'!A:A,'EA-ConnectorExport'!J:J),
        $Y285
    ),
    _xlpm.result, _xlfn.XLOOKUP(_xlpm.lookupKey,'EA-Fortescue_SDExport'!A:A,'EA-Fortescue_SDExport'!AG:AG),
    IF(_xlpm.result=0,"",_xlpm.result)
)</f>
        <v>850DC-1512-0001-004 AC1 (Automated Connection) for T264 Charging Loads</v>
      </c>
    </row>
    <row r="286" spans="1:32" ht="225" x14ac:dyDescent="0.25">
      <c r="A286" s="2" t="str">
        <v>DGS-I_0285</v>
      </c>
      <c r="B286" s="2" t="str">
        <f t="shared" si="16"/>
        <v>855DC-1542-CSM-001 vCharM by Vector|Solomon Mine Hub: AC1</v>
      </c>
      <c r="C286" s="2" t="str">
        <f>_xlfn.LET(_xlpm.result, _xlfn.XLOOKUP(A286,'EA-Fortescue_SDExport'!A:A,'EA-Fortescue_SDExport'!AM:AM), IF(_xlpm.result=0,"",_xlpm.result))</f>
        <v/>
      </c>
      <c r="D286" s="2" t="str">
        <f>_xlfn.LET(_xlpm.result, _xlfn.XLOOKUP(A286,'EA-Fortescue_SDExport'!A:A,'EA-Fortescue_SDExport'!AN:AN), IF(_xlpm.result=0,"",_xlpm.result))</f>
        <v/>
      </c>
      <c r="E286" s="2" t="str">
        <f>_xlfn.XLOOKUP(R286&amp;Z286,Lookups!A:A,Lookups!B:B)</f>
        <v>Subsystem - Subsystem Interface</v>
      </c>
      <c r="F286" s="2" t="str">
        <f>_xlfn.LET(_xlpm.result, _xlfn.XLOOKUP(A286,'EA-Fortescue_SDExport'!A:A,'EA-Fortescue_SDExport'!AP:AP), IF(_xlpm.result=0,"",_xlpm.result))</f>
        <v>Technical-Data/Software</v>
      </c>
      <c r="G286" s="2" t="str">
        <f>IF(OR(AND(T286&lt;&gt;"", COUNTIF(Lookups!J:J, "*"&amp;T286&amp;"*")&gt;0), AND(AB286&lt;&gt;"", COUNTIF(Lookups!J:J, "*"&amp;AB286&amp;"*")&gt;0)), "Yes", "No")</f>
        <v>Yes</v>
      </c>
      <c r="H286" s="2" t="str">
        <f t="shared" si="17"/>
        <v>855DC Decarb Green Systems|850DC Decarb Infrastructure</v>
      </c>
      <c r="I286" s="2" t="str">
        <f t="shared" si="18"/>
        <v>855DC-1542 Control &amp; Monitoring Systems|850DC-1510 Chargers</v>
      </c>
      <c r="J286" s="2" t="str">
        <f t="shared" si="19"/>
        <v>855DC-1542-CSM Charge Station Management System (CSMS)|850DC-1512-0001 HME Chargers - Gen1</v>
      </c>
      <c r="K286" s="2" t="str">
        <f>_xlfn.XLOOKUP(A286,'EA-Fortescue_SDExport'!A:A,'EA-Fortescue_SDExport'!N:N)</f>
        <v>Proposed</v>
      </c>
      <c r="L286" s="2" t="str">
        <f>_xlfn.LET(_xlpm.result, _xlfn.XLOOKUP($A286,'EA-Fortescue_SDExport'!$A:$A,'EA-Fortescue_SDExport'!AQ:AQ), IF(_xlpm.result=0,"",_xlpm.result))</f>
        <v>This interface allows vCharM to coordinate with the AC1 automated charging hardware at Solomon, controlling charger readiness, authorisation, and energy delivery to haul trucks.</v>
      </c>
      <c r="M286" s="2" t="str">
        <f>_xlfn.LET(_xlpm.result, _xlfn.XLOOKUP($A286,'EA-Fortescue_SDExport'!$A:$A,'EA-Fortescue_SDExport'!AR:AR), IF(_xlpm.result=0,"",_xlpm.result))</f>
        <v>HIGH</v>
      </c>
      <c r="N286" s="2" t="str">
        <f>_xlfn.LET(_xlpm.result, _xlfn.XLOOKUP($A286,'EA-Fortescue_SDExport'!$A:$A,'EA-Fortescue_SDExport'!AW:AW), IF(_xlpm.result=0,"",_xlpm.result))</f>
        <v>The criticality level is HIGH because the AC1 system requires correct instructions from vCharM to dock, energise, and manage charging cycles safely. Incorrect or missing data can result in failed automated charging sequences, production losses, or unsafe electrical states affecting critical equipment.</v>
      </c>
      <c r="O286" s="2" t="str">
        <f>_xlfn.LET(_xlpm.result, _xlfn.XLOOKUP($A286,'EA-Fortescue_SDExport'!$A:$A,'EA-Fortescue_SDExport'!AV:AV), IF(_xlpm.result=0,"",_xlpm.result))</f>
        <v>Data Flow:_x000D_
vCharM / CSMS (855DC-1542) -&gt; AC1 Automated Charging Hardware (850DC-1512-0001), transmitting charger readiness status, authorisation signals, energisation commands, load limits, charging setpoints, and safety interlock conditions required to initiate and control automated charging cycles._x000D_
AC1 Automated Charging Hardware -&gt; vCharM / CSMS, returning connection status, dock confirmation, charging progress, real-time power draw, fault states, alarms, and completion notifications to enable monitoring and coordinated load management._x000D_
Control Flow:_x000D_
vCharM issues start/stop commands, charging profiles, authorisation approvals, and dynamic load control instructions to ensure safe energisation and controlled high-power energy delivery to haul trucks.</v>
      </c>
      <c r="P286" s="2" t="str">
        <f>_xlfn.LET(_xlpm.result, _xlfn.XLOOKUP($A286,'EA-Fortescue_SDExport'!$A:$A,'EA-Fortescue_SDExport'!D:D), IF(_xlpm.result=0,"",_xlpm.result))</f>
        <v>From DGS-I_0176 (interface with generic AC1): CSMS Review 30/10/2025: Standard OCPP Comms between (Open Charge Point Protocol).</v>
      </c>
      <c r="Q286" s="2" t="str">
        <f>_xlfn.LET(
    _xlpm.status, _xlfn.XLOOKUP($A286,'EA-ConnectorExport'!$A:$A,'EA-ConnectorExport'!G:G),
    _xlpm.result, _xlfn.XLOOKUP($A286,'EA-ConnectorExport'!$A:$A,'EA-ConnectorExport'!B:B),
    IF(_xlpm.status="allocate", _xlpm.result, "")
)</f>
        <v>855DC-1542-CSM-001 vCharM by Vector</v>
      </c>
      <c r="R286" s="2" t="str">
        <f>IF(
    _xlfn.XLOOKUP($Q286,'EA-Fortescue_SDExport'!A:A,'EA-Fortescue_SDExport'!B:B)="Object",
    _xlfn.XLOOKUP(
        _xlfn.XLOOKUP($A286,'EA-ConnectorExport'!A:A,'EA-ConnectorExport'!D:D),
        'EA-Fortescue_SDExport'!A:A,
        'EA-Fortescue_SDExport'!AA:AA
    ),
    _xlfn.XLOOKUP($Q286,'EA-Fortescue_SDExport'!A:A,'EA-Fortescue_SDExport'!AA:AA)
)</f>
        <v>Subsystem</v>
      </c>
      <c r="S286" s="2" t="str">
        <f>_xlfn.LET(_xlpm.result, _xlfn.XLOOKUP($Q286,'EA-Fortescue_SDExport'!$A:$A,'EA-Fortescue_SDExport'!AB:AB), IF(_xlpm.result=0,"",_xlpm.result))</f>
        <v/>
      </c>
      <c r="T286" s="2" t="str">
        <f>_xlfn.LET(_xlpm.result, _xlfn.XLOOKUP($Q286,'EA-Fortescue_SDExport'!$A:$A,'EA-Fortescue_SDExport'!AC:AC), IF(_xlpm.result=0,"",_xlpm.result))</f>
        <v/>
      </c>
      <c r="U286" s="2" t="str">
        <f>_xlfn.LET(
    _xlpm.isObject, _xlfn.XLOOKUP($Q286,'EA-Fortescue_SDExport'!A:A,'EA-Fortescue_SDExport'!B:B),
    _xlpm.lookupKey, IF(_xlpm.isObject="Object",
        _xlfn.XLOOKUP($A286,'EA-ConnectorExport'!A:A,'EA-ConnectorExport'!D:D),
        $Q286
    ),
    _xlpm.result, _xlfn.XLOOKUP(_xlpm.lookupKey,'EA-Fortescue_SDExport'!A:A,'EA-Fortescue_SDExport'!AD:AD),
    IF(_xlpm.result=0,"",_xlpm.result)
)</f>
        <v>855DC Decarb Green Systems</v>
      </c>
      <c r="V286" s="2" t="str">
        <f>_xlfn.LET(
    _xlpm.isObject, _xlfn.XLOOKUP($Q286,'EA-Fortescue_SDExport'!A:A,'EA-Fortescue_SDExport'!B:B),
    _xlpm.lookupKey, IF(_xlpm.isObject="Object",
        _xlfn.XLOOKUP($A286,'EA-ConnectorExport'!A:A,'EA-ConnectorExport'!D:D),
        $Q286
    ),
    _xlpm.result, _xlfn.XLOOKUP(_xlpm.lookupKey,'EA-Fortescue_SDExport'!A:A,'EA-Fortescue_SDExport'!AE:AE),
    IF(_xlpm.result=0,"",_xlpm.result)
)</f>
        <v>855DC-1542 Control &amp; Monitoring Systems</v>
      </c>
      <c r="W286" s="2" t="str">
        <f>_xlfn.LET(
    _xlpm.isObject, _xlfn.XLOOKUP($Q286,'EA-Fortescue_SDExport'!A:A,'EA-Fortescue_SDExport'!B:B),
    _xlpm.lookupKey, IF(_xlpm.isObject="Object",
        _xlfn.XLOOKUP($A286,'EA-ConnectorExport'!A:A,'EA-ConnectorExport'!D:D),
        $Q286
    ),
    _xlpm.result, _xlfn.XLOOKUP(_xlpm.lookupKey,'EA-Fortescue_SDExport'!A:A,'EA-Fortescue_SDExport'!AF:AF),
    IF(_xlpm.result=0,"",_xlpm.result)
)</f>
        <v>855DC-1542-CSM Charge Station Management System (CSMS)</v>
      </c>
      <c r="X286" s="2" t="str">
        <f>_xlfn.LET(
    _xlpm.isObject, _xlfn.XLOOKUP($Q286,'EA-Fortescue_SDExport'!A:A,'EA-Fortescue_SDExport'!B:B),
    _xlpm.lookupKey, IF(_xlpm.isObject="Object",
        _xlfn.XLOOKUP($A286,'EA-ConnectorExport'!A:A,'EA-ConnectorExport'!D:D),
        $Q286
    ),
    _xlpm.result, _xlfn.XLOOKUP(_xlpm.lookupKey,'EA-Fortescue_SDExport'!A:A,'EA-Fortescue_SDExport'!AG:AG),
    IF(_xlpm.result=0,"",_xlpm.result)
)</f>
        <v>855DC-1542-CSM-001 vCharM by Vector</v>
      </c>
      <c r="Y286" s="2" t="str">
        <f>_xlfn.LET(
    _xlpm.status, _xlfn.XLOOKUP($A286,'EA-ConnectorExport'!$A:$A,'EA-ConnectorExport'!G:G),
    _xlpm.result, _xlfn.XLOOKUP($A286,'EA-ConnectorExport'!$A:$A,'EA-ConnectorExport'!H:H),
    IF(_xlpm.status="allocate", _xlpm.result, "")
)</f>
        <v>Solomon Mine Hub: AC1</v>
      </c>
      <c r="Z286" s="2" t="str">
        <f>_xlfn.LET(
    _xlpm.isObject, _xlfn.XLOOKUP($Y286,'EA-Fortescue_SDExport'!A:A,'EA-Fortescue_SDExport'!B:B),
    _xlpm.lookupKey, IF(_xlpm.isObject="Object",
        _xlfn.XLOOKUP($A286,'EA-ConnectorExport'!A:A,'EA-ConnectorExport'!J:J),
        $Y286
    ),
    _xlpm.result, _xlfn.XLOOKUP(_xlpm.lookupKey,'EA-Fortescue_SDExport'!A:A,'EA-Fortescue_SDExport'!AA:AA),
    IF(_xlpm.result=0,"",_xlpm.result)
)</f>
        <v>Subsystem</v>
      </c>
      <c r="AA286" s="2" t="str">
        <f>_xlfn.LET(_xlpm.result, _xlfn.XLOOKUP($Y286,'EA-Fortescue_SDExport'!$A:$A,'EA-Fortescue_SDExport'!AB:AB), IF(_xlpm.result=0,"",_xlpm.result))</f>
        <v/>
      </c>
      <c r="AB286" s="2" t="str">
        <f>_xlfn.LET(_xlpm.result, _xlfn.XLOOKUP($Y286,'EA-Fortescue_SDExport'!$A:$A,'EA-Fortescue_SDExport'!AC:AC), IF(_xlpm.result=0,"",_xlpm.result))</f>
        <v>Solomon Mine Hub</v>
      </c>
      <c r="AC286" s="2" t="str">
        <f>_xlfn.LET(
    _xlpm.isObject, _xlfn.XLOOKUP($Y286,'EA-Fortescue_SDExport'!A:A,'EA-Fortescue_SDExport'!B:B),
    _xlpm.lookupKey, IF(_xlpm.isObject="Object",
        _xlfn.XLOOKUP($A286,'EA-ConnectorExport'!A:A,'EA-ConnectorExport'!J:J),
        $Y286
    ),
    _xlpm.result, _xlfn.XLOOKUP(_xlpm.lookupKey,'EA-Fortescue_SDExport'!A:A,'EA-Fortescue_SDExport'!AD:AD),
    IF(_xlpm.result=0,"",_xlpm.result)
)</f>
        <v>850DC Decarb Infrastructure</v>
      </c>
      <c r="AD286" s="2" t="str">
        <f>_xlfn.LET(
    _xlpm.isObject, _xlfn.XLOOKUP($Y286,'EA-Fortescue_SDExport'!A:A,'EA-Fortescue_SDExport'!B:B),
    _xlpm.lookupKey, IF(_xlpm.isObject="Object",
        _xlfn.XLOOKUP($A286,'EA-ConnectorExport'!A:A,'EA-ConnectorExport'!J:J),
        $Y286
    ),
    _xlpm.result, _xlfn.XLOOKUP(_xlpm.lookupKey,'EA-Fortescue_SDExport'!A:A,'EA-Fortescue_SDExport'!AE:AE),
    IF(_xlpm.result=0,"",_xlpm.result)
)</f>
        <v>850DC-1510 Chargers</v>
      </c>
      <c r="AE286" s="2" t="str">
        <f>_xlfn.LET(
    _xlpm.isObject, _xlfn.XLOOKUP($Y286,'EA-Fortescue_SDExport'!A:A,'EA-Fortescue_SDExport'!B:B),
    _xlpm.lookupKey, IF(_xlpm.isObject="Object",
        _xlfn.XLOOKUP($A286,'EA-ConnectorExport'!A:A,'EA-ConnectorExport'!J:J),
        $Y286
    ),
    _xlpm.result, _xlfn.XLOOKUP(_xlpm.lookupKey,'EA-Fortescue_SDExport'!A:A,'EA-Fortescue_SDExport'!AF:AF),
    IF(_xlpm.result=0,"",_xlpm.result)
)</f>
        <v>850DC-1512-0001 HME Chargers - Gen1</v>
      </c>
      <c r="AF286" s="2" t="str">
        <f>_xlfn.LET(
    _xlpm.isObject, _xlfn.XLOOKUP($Y286,'EA-Fortescue_SDExport'!A:A,'EA-Fortescue_SDExport'!B:B),
    _xlpm.lookupKey, IF(_xlpm.isObject="Object",
        _xlfn.XLOOKUP($A286,'EA-ConnectorExport'!A:A,'EA-ConnectorExport'!J:J),
        $Y286
    ),
    _xlpm.result, _xlfn.XLOOKUP(_xlpm.lookupKey,'EA-Fortescue_SDExport'!A:A,'EA-Fortescue_SDExport'!AG:AG),
    IF(_xlpm.result=0,"",_xlpm.result)
)</f>
        <v>850DC-1512-0001-004 AC1 (Automated Connection) for T264 Charging Loads</v>
      </c>
    </row>
    <row r="287" spans="1:32" ht="240" x14ac:dyDescent="0.25">
      <c r="A287" s="2" t="str">
        <v>DGS-I_0286</v>
      </c>
      <c r="B287" s="2" t="str">
        <f t="shared" si="16"/>
        <v>Solomon Mine Hub: Chargers|855DC-1543-PPC Pit Power Capacity Planning Tool - Capacity Check</v>
      </c>
      <c r="C287" s="2" t="str">
        <f>_xlfn.LET(_xlpm.result, _xlfn.XLOOKUP(A287,'EA-Fortescue_SDExport'!A:A,'EA-Fortescue_SDExport'!AM:AM), IF(_xlpm.result=0,"",_xlpm.result))</f>
        <v/>
      </c>
      <c r="D287" s="2" t="str">
        <f>_xlfn.LET(_xlpm.result, _xlfn.XLOOKUP(A287,'EA-Fortescue_SDExport'!A:A,'EA-Fortescue_SDExport'!AN:AN), IF(_xlpm.result=0,"",_xlpm.result))</f>
        <v/>
      </c>
      <c r="E287" s="2" t="str">
        <f>_xlfn.XLOOKUP(R287&amp;Z287,Lookups!A:A,Lookups!B:B)</f>
        <v>System - Project Interface</v>
      </c>
      <c r="F287" s="2" t="str">
        <f>_xlfn.LET(_xlpm.result, _xlfn.XLOOKUP(A287,'EA-Fortescue_SDExport'!A:A,'EA-Fortescue_SDExport'!AP:AP), IF(_xlpm.result=0,"",_xlpm.result))</f>
        <v/>
      </c>
      <c r="G287" s="2" t="str">
        <f>IF(OR(AND(T287&lt;&gt;"", COUNTIF(Lookups!J:J, "*"&amp;T287&amp;"*")&gt;0), AND(AB287&lt;&gt;"", COUNTIF(Lookups!J:J, "*"&amp;AB287&amp;"*")&gt;0)), "Yes", "No")</f>
        <v>Yes</v>
      </c>
      <c r="H287" s="2" t="str">
        <f t="shared" si="17"/>
        <v>850DC Decarb Infrastructure|855DC Decarb Green Systems</v>
      </c>
      <c r="I287" s="2" t="str">
        <f t="shared" si="18"/>
        <v>850DC-1510 Chargers|N/A</v>
      </c>
      <c r="J287" s="2" t="str">
        <f t="shared" si="19"/>
        <v>N/A|855DC-1543-PPC Pit Power Capacity Planning Tool - Capacity Check</v>
      </c>
      <c r="K287" s="2" t="str">
        <f>_xlfn.XLOOKUP(A287,'EA-Fortescue_SDExport'!A:A,'EA-Fortescue_SDExport'!N:N)</f>
        <v>Proposed</v>
      </c>
      <c r="L287" s="2" t="str">
        <f>_xlfn.LET(_xlpm.result, _xlfn.XLOOKUP($A287,'EA-Fortescue_SDExport'!$A:$A,'EA-Fortescue_SDExport'!AQ:AQ), IF(_xlpm.result=0,"",_xlpm.result))</f>
        <v/>
      </c>
      <c r="M287" s="2" t="str">
        <f>_xlfn.LET(_xlpm.result, _xlfn.XLOOKUP($A287,'EA-Fortescue_SDExport'!$A:$A,'EA-Fortescue_SDExport'!AR:AR), IF(_xlpm.result=0,"",_xlpm.result))</f>
        <v/>
      </c>
      <c r="N287" s="2" t="str">
        <f>_xlfn.LET(_xlpm.result, _xlfn.XLOOKUP($A287,'EA-Fortescue_SDExport'!$A:$A,'EA-Fortescue_SDExport'!AW:AW), IF(_xlpm.result=0,"",_xlpm.result))</f>
        <v/>
      </c>
      <c r="O287" s="2" t="str">
        <f>_xlfn.LET(_xlpm.result, _xlfn.XLOOKUP($A287,'EA-Fortescue_SDExport'!$A:$A,'EA-Fortescue_SDExport'!AV:AV), IF(_xlpm.result=0,"",_xlpm.result))</f>
        <v/>
      </c>
      <c r="P287" s="2" t="str">
        <f>_xlfn.LET(_xlpm.result, _xlfn.XLOOKUP($A287,'EA-Fortescue_SDExport'!$A:$A,'EA-Fortescue_SDExport'!D:D),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87" s="2" t="str">
        <f>_xlfn.LET(
    _xlpm.status, _xlfn.XLOOKUP($A287,'EA-ConnectorExport'!$A:$A,'EA-ConnectorExport'!G:G),
    _xlpm.result, _xlfn.XLOOKUP($A287,'EA-ConnectorExport'!$A:$A,'EA-ConnectorExport'!B:B),
    IF(_xlpm.status="allocate", _xlpm.result, "")
)</f>
        <v>Solomon Mine Hub: Chargers</v>
      </c>
      <c r="R287" s="2" t="str">
        <f>IF(
    _xlfn.XLOOKUP($Q287,'EA-Fortescue_SDExport'!A:A,'EA-Fortescue_SDExport'!B:B)="Object",
    _xlfn.XLOOKUP(
        _xlfn.XLOOKUP($A287,'EA-ConnectorExport'!A:A,'EA-ConnectorExport'!D:D),
        'EA-Fortescue_SDExport'!A:A,
        'EA-Fortescue_SDExport'!AA:AA
    ),
    _xlfn.XLOOKUP($Q287,'EA-Fortescue_SDExport'!A:A,'EA-Fortescue_SDExport'!AA:AA)
)</f>
        <v>System</v>
      </c>
      <c r="S287" s="2" t="str">
        <f>_xlfn.LET(_xlpm.result, _xlfn.XLOOKUP($Q287,'EA-Fortescue_SDExport'!$A:$A,'EA-Fortescue_SDExport'!AB:AB), IF(_xlpm.result=0,"",_xlpm.result))</f>
        <v/>
      </c>
      <c r="T287" s="2" t="str">
        <f>_xlfn.LET(_xlpm.result, _xlfn.XLOOKUP($Q287,'EA-Fortescue_SDExport'!$A:$A,'EA-Fortescue_SDExport'!AC:AC), IF(_xlpm.result=0,"",_xlpm.result))</f>
        <v>Solomon Mine Hub</v>
      </c>
      <c r="U287" s="2" t="str">
        <f>_xlfn.LET(
    _xlpm.isObject, _xlfn.XLOOKUP($Q287,'EA-Fortescue_SDExport'!A:A,'EA-Fortescue_SDExport'!B:B),
    _xlpm.lookupKey, IF(_xlpm.isObject="Object",
        _xlfn.XLOOKUP($A287,'EA-ConnectorExport'!A:A,'EA-ConnectorExport'!D:D),
        $Q287
    ),
    _xlpm.result, _xlfn.XLOOKUP(_xlpm.lookupKey,'EA-Fortescue_SDExport'!A:A,'EA-Fortescue_SDExport'!AD:AD),
    IF(_xlpm.result=0,"",_xlpm.result)
)</f>
        <v>850DC Decarb Infrastructure</v>
      </c>
      <c r="V287" s="2" t="str">
        <f>_xlfn.LET(
    _xlpm.isObject, _xlfn.XLOOKUP($Q287,'EA-Fortescue_SDExport'!A:A,'EA-Fortescue_SDExport'!B:B),
    _xlpm.lookupKey, IF(_xlpm.isObject="Object",
        _xlfn.XLOOKUP($A287,'EA-ConnectorExport'!A:A,'EA-ConnectorExport'!D:D),
        $Q287
    ),
    _xlpm.result, _xlfn.XLOOKUP(_xlpm.lookupKey,'EA-Fortescue_SDExport'!A:A,'EA-Fortescue_SDExport'!AE:AE),
    IF(_xlpm.result=0,"",_xlpm.result)
)</f>
        <v>850DC-1510 Chargers</v>
      </c>
      <c r="W287" s="2" t="str">
        <f>_xlfn.LET(
    _xlpm.isObject, _xlfn.XLOOKUP($Q287,'EA-Fortescue_SDExport'!A:A,'EA-Fortescue_SDExport'!B:B),
    _xlpm.lookupKey, IF(_xlpm.isObject="Object",
        _xlfn.XLOOKUP($A287,'EA-ConnectorExport'!A:A,'EA-ConnectorExport'!D:D),
        $Q287
    ),
    _xlpm.result, _xlfn.XLOOKUP(_xlpm.lookupKey,'EA-Fortescue_SDExport'!A:A,'EA-Fortescue_SDExport'!AF:AF),
    IF(_xlpm.result=0,"",_xlpm.result)
)</f>
        <v/>
      </c>
      <c r="X287" s="2" t="str">
        <f>_xlfn.LET(
    _xlpm.isObject, _xlfn.XLOOKUP($Q287,'EA-Fortescue_SDExport'!A:A,'EA-Fortescue_SDExport'!B:B),
    _xlpm.lookupKey, IF(_xlpm.isObject="Object",
        _xlfn.XLOOKUP($A287,'EA-ConnectorExport'!A:A,'EA-ConnectorExport'!D:D),
        $Q287
    ),
    _xlpm.result, _xlfn.XLOOKUP(_xlpm.lookupKey,'EA-Fortescue_SDExport'!A:A,'EA-Fortescue_SDExport'!AG:AG),
    IF(_xlpm.result=0,"",_xlpm.result)
)</f>
        <v/>
      </c>
      <c r="Y287" s="2" t="str">
        <f>_xlfn.LET(
    _xlpm.status, _xlfn.XLOOKUP($A287,'EA-ConnectorExport'!$A:$A,'EA-ConnectorExport'!G:G),
    _xlpm.result, _xlfn.XLOOKUP($A287,'EA-ConnectorExport'!$A:$A,'EA-ConnectorExport'!H:H),
    IF(_xlpm.status="allocate", _xlpm.result, "")
)</f>
        <v>855DC-1543-PPC Pit Power Capacity Planning Tool - Capacity Check</v>
      </c>
      <c r="Z287" s="2" t="str">
        <f>_xlfn.LET(
    _xlpm.isObject, _xlfn.XLOOKUP($Y287,'EA-Fortescue_SDExport'!A:A,'EA-Fortescue_SDExport'!B:B),
    _xlpm.lookupKey, IF(_xlpm.isObject="Object",
        _xlfn.XLOOKUP($A287,'EA-ConnectorExport'!A:A,'EA-ConnectorExport'!J:J),
        $Y287
    ),
    _xlpm.result, _xlfn.XLOOKUP(_xlpm.lookupKey,'EA-Fortescue_SDExport'!A:A,'EA-Fortescue_SDExport'!AA:AA),
    IF(_xlpm.result=0,"",_xlpm.result)
)</f>
        <v>Project</v>
      </c>
      <c r="AA287" s="2" t="str">
        <f>_xlfn.LET(_xlpm.result, _xlfn.XLOOKUP($Y287,'EA-Fortescue_SDExport'!$A:$A,'EA-Fortescue_SDExport'!AB:AB), IF(_xlpm.result=0,"",_xlpm.result))</f>
        <v>Operations Planning</v>
      </c>
      <c r="AB287" s="2" t="str">
        <f>_xlfn.LET(_xlpm.result, _xlfn.XLOOKUP($Y287,'EA-Fortescue_SDExport'!$A:$A,'EA-Fortescue_SDExport'!AC:AC), IF(_xlpm.result=0,"",_xlpm.result))</f>
        <v>AWS Fortescue Infrastructure</v>
      </c>
      <c r="AC287" s="2" t="str">
        <f>_xlfn.LET(
    _xlpm.isObject, _xlfn.XLOOKUP($Y287,'EA-Fortescue_SDExport'!A:A,'EA-Fortescue_SDExport'!B:B),
    _xlpm.lookupKey, IF(_xlpm.isObject="Object",
        _xlfn.XLOOKUP($A287,'EA-ConnectorExport'!A:A,'EA-ConnectorExport'!J:J),
        $Y287
    ),
    _xlpm.result, _xlfn.XLOOKUP(_xlpm.lookupKey,'EA-Fortescue_SDExport'!A:A,'EA-Fortescue_SDExport'!AD:AD),
    IF(_xlpm.result=0,"",_xlpm.result)
)</f>
        <v>855DC Decarb Green Systems</v>
      </c>
      <c r="AD287" s="2" t="str">
        <f>_xlfn.LET(
    _xlpm.isObject, _xlfn.XLOOKUP($Y287,'EA-Fortescue_SDExport'!A:A,'EA-Fortescue_SDExport'!B:B),
    _xlpm.lookupKey, IF(_xlpm.isObject="Object",
        _xlfn.XLOOKUP($A287,'EA-ConnectorExport'!A:A,'EA-ConnectorExport'!J:J),
        $Y287
    ),
    _xlpm.result, _xlfn.XLOOKUP(_xlpm.lookupKey,'EA-Fortescue_SDExport'!A:A,'EA-Fortescue_SDExport'!AE:AE),
    IF(_xlpm.result=0,"",_xlpm.result)
)</f>
        <v/>
      </c>
      <c r="AE287" s="2" t="str">
        <f>_xlfn.LET(
    _xlpm.isObject, _xlfn.XLOOKUP($Y287,'EA-Fortescue_SDExport'!A:A,'EA-Fortescue_SDExport'!B:B),
    _xlpm.lookupKey, IF(_xlpm.isObject="Object",
        _xlfn.XLOOKUP($A287,'EA-ConnectorExport'!A:A,'EA-ConnectorExport'!J:J),
        $Y287
    ),
    _xlpm.result, _xlfn.XLOOKUP(_xlpm.lookupKey,'EA-Fortescue_SDExport'!A:A,'EA-Fortescue_SDExport'!AF:AF),
    IF(_xlpm.result=0,"",_xlpm.result)
)</f>
        <v>855DC-1543-PPC Pit Power Capacity Planning Tool - Capacity Check</v>
      </c>
      <c r="AF287" s="2" t="str">
        <f>_xlfn.LET(
    _xlpm.isObject, _xlfn.XLOOKUP($Y287,'EA-Fortescue_SDExport'!A:A,'EA-Fortescue_SDExport'!B:B),
    _xlpm.lookupKey, IF(_xlpm.isObject="Object",
        _xlfn.XLOOKUP($A287,'EA-ConnectorExport'!A:A,'EA-ConnectorExport'!J:J),
        $Y287
    ),
    _xlpm.result, _xlfn.XLOOKUP(_xlpm.lookupKey,'EA-Fortescue_SDExport'!A:A,'EA-Fortescue_SDExport'!AG:AG),
    IF(_xlpm.result=0,"",_xlpm.result)
)</f>
        <v/>
      </c>
    </row>
    <row r="288" spans="1:32" ht="30" x14ac:dyDescent="0.25">
      <c r="A288" s="2" t="str">
        <v>DGS-I_0287</v>
      </c>
      <c r="B288" s="2" t="str">
        <f t="shared" si="16"/>
        <v>Solomon Mine Hub: Run of Mine (ROM)|Solomon Mine Hub: Primary Crusher</v>
      </c>
      <c r="C288" s="2" t="str">
        <f>_xlfn.LET(_xlpm.result, _xlfn.XLOOKUP(A288,'EA-Fortescue_SDExport'!A:A,'EA-Fortescue_SDExport'!AM:AM), IF(_xlpm.result=0,"",_xlpm.result))</f>
        <v/>
      </c>
      <c r="D288" s="2" t="str">
        <f>_xlfn.LET(_xlpm.result, _xlfn.XLOOKUP(A288,'EA-Fortescue_SDExport'!A:A,'EA-Fortescue_SDExport'!AN:AN), IF(_xlpm.result=0,"",_xlpm.result))</f>
        <v/>
      </c>
      <c r="E288" s="2" t="str">
        <f>_xlfn.XLOOKUP(R288&amp;Z288,Lookups!A:A,Lookups!B:B)</f>
        <v>System - System Interface</v>
      </c>
      <c r="F288" s="2" t="str">
        <f>_xlfn.LET(_xlpm.result, _xlfn.XLOOKUP(A288,'EA-Fortescue_SDExport'!A:A,'EA-Fortescue_SDExport'!AP:AP), IF(_xlpm.result=0,"",_xlpm.result))</f>
        <v/>
      </c>
      <c r="G288" s="2" t="str">
        <f>IF(OR(AND(T288&lt;&gt;"", COUNTIF(Lookups!J:J, "*"&amp;T288&amp;"*")&gt;0), AND(AB288&lt;&gt;"", COUNTIF(Lookups!J:J, "*"&amp;AB288&amp;"*")&gt;0)), "Yes", "No")</f>
        <v>Yes</v>
      </c>
      <c r="H288" s="2" t="str">
        <f t="shared" si="17"/>
        <v>004OP Product Storage|001OP Fixed Process Plant</v>
      </c>
      <c r="I288" s="2" t="str">
        <f t="shared" si="18"/>
        <v>004OP-1301 Run of Mine (ROM)|001OP-2110 Primary Crusher</v>
      </c>
      <c r="J288" s="2" t="str">
        <f t="shared" si="19"/>
        <v>N/A</v>
      </c>
      <c r="K288" s="2" t="str">
        <f>_xlfn.XLOOKUP(A288,'EA-Fortescue_SDExport'!A:A,'EA-Fortescue_SDExport'!N:N)</f>
        <v>Proposed</v>
      </c>
      <c r="L288" s="2" t="str">
        <f>_xlfn.LET(_xlpm.result, _xlfn.XLOOKUP($A288,'EA-Fortescue_SDExport'!$A:$A,'EA-Fortescue_SDExport'!AQ:AQ), IF(_xlpm.result=0,"",_xlpm.result))</f>
        <v/>
      </c>
      <c r="M288" s="2" t="str">
        <f>_xlfn.LET(_xlpm.result, _xlfn.XLOOKUP($A288,'EA-Fortescue_SDExport'!$A:$A,'EA-Fortescue_SDExport'!AR:AR), IF(_xlpm.result=0,"",_xlpm.result))</f>
        <v/>
      </c>
      <c r="N288" s="2" t="str">
        <f>_xlfn.LET(_xlpm.result, _xlfn.XLOOKUP($A288,'EA-Fortescue_SDExport'!$A:$A,'EA-Fortescue_SDExport'!AW:AW), IF(_xlpm.result=0,"",_xlpm.result))</f>
        <v/>
      </c>
      <c r="O288" s="2" t="str">
        <f>_xlfn.LET(_xlpm.result, _xlfn.XLOOKUP($A288,'EA-Fortescue_SDExport'!$A:$A,'EA-Fortescue_SDExport'!AV:AV), IF(_xlpm.result=0,"",_xlpm.result))</f>
        <v/>
      </c>
      <c r="P288" s="2" t="str">
        <f>_xlfn.LET(_xlpm.result, _xlfn.XLOOKUP($A288,'EA-Fortescue_SDExport'!$A:$A,'EA-Fortescue_SDExport'!D:D), IF(_xlpm.result=0,"",_xlpm.result))</f>
        <v/>
      </c>
      <c r="Q288" s="2" t="str">
        <f>_xlfn.LET(
    _xlpm.status, _xlfn.XLOOKUP($A288,'EA-ConnectorExport'!$A:$A,'EA-ConnectorExport'!G:G),
    _xlpm.result, _xlfn.XLOOKUP($A288,'EA-ConnectorExport'!$A:$A,'EA-ConnectorExport'!B:B),
    IF(_xlpm.status="allocate", _xlpm.result, "")
)</f>
        <v>Solomon Mine Hub: Run of Mine (ROM)</v>
      </c>
      <c r="R288" s="2" t="str">
        <f>IF(
    _xlfn.XLOOKUP($Q288,'EA-Fortescue_SDExport'!A:A,'EA-Fortescue_SDExport'!B:B)="Object",
    _xlfn.XLOOKUP(
        _xlfn.XLOOKUP($A288,'EA-ConnectorExport'!A:A,'EA-ConnectorExport'!D:D),
        'EA-Fortescue_SDExport'!A:A,
        'EA-Fortescue_SDExport'!AA:AA
    ),
    _xlfn.XLOOKUP($Q288,'EA-Fortescue_SDExport'!A:A,'EA-Fortescue_SDExport'!AA:AA)
)</f>
        <v>System</v>
      </c>
      <c r="S288" s="2" t="str">
        <f>_xlfn.LET(_xlpm.result, _xlfn.XLOOKUP($Q288,'EA-Fortescue_SDExport'!$A:$A,'EA-Fortescue_SDExport'!AB:AB), IF(_xlpm.result=0,"",_xlpm.result))</f>
        <v/>
      </c>
      <c r="T288" s="2" t="str">
        <f>_xlfn.LET(_xlpm.result, _xlfn.XLOOKUP($Q288,'EA-Fortescue_SDExport'!$A:$A,'EA-Fortescue_SDExport'!AC:AC), IF(_xlpm.result=0,"",_xlpm.result))</f>
        <v>Solomon Mine Hub</v>
      </c>
      <c r="U288" s="2" t="str">
        <f>_xlfn.LET(
    _xlpm.isObject, _xlfn.XLOOKUP($Q288,'EA-Fortescue_SDExport'!A:A,'EA-Fortescue_SDExport'!B:B),
    _xlpm.lookupKey, IF(_xlpm.isObject="Object",
        _xlfn.XLOOKUP($A288,'EA-ConnectorExport'!A:A,'EA-ConnectorExport'!D:D),
        $Q288
    ),
    _xlpm.result, _xlfn.XLOOKUP(_xlpm.lookupKey,'EA-Fortescue_SDExport'!A:A,'EA-Fortescue_SDExport'!AD:AD),
    IF(_xlpm.result=0,"",_xlpm.result)
)</f>
        <v>004OP Product Storage</v>
      </c>
      <c r="V288" s="2" t="str">
        <f>_xlfn.LET(
    _xlpm.isObject, _xlfn.XLOOKUP($Q288,'EA-Fortescue_SDExport'!A:A,'EA-Fortescue_SDExport'!B:B),
    _xlpm.lookupKey, IF(_xlpm.isObject="Object",
        _xlfn.XLOOKUP($A288,'EA-ConnectorExport'!A:A,'EA-ConnectorExport'!D:D),
        $Q288
    ),
    _xlpm.result, _xlfn.XLOOKUP(_xlpm.lookupKey,'EA-Fortescue_SDExport'!A:A,'EA-Fortescue_SDExport'!AE:AE),
    IF(_xlpm.result=0,"",_xlpm.result)
)</f>
        <v>004OP-1301 Run of Mine (ROM)</v>
      </c>
      <c r="W288" s="2" t="str">
        <f>_xlfn.LET(
    _xlpm.isObject, _xlfn.XLOOKUP($Q288,'EA-Fortescue_SDExport'!A:A,'EA-Fortescue_SDExport'!B:B),
    _xlpm.lookupKey, IF(_xlpm.isObject="Object",
        _xlfn.XLOOKUP($A288,'EA-ConnectorExport'!A:A,'EA-ConnectorExport'!D:D),
        $Q288
    ),
    _xlpm.result, _xlfn.XLOOKUP(_xlpm.lookupKey,'EA-Fortescue_SDExport'!A:A,'EA-Fortescue_SDExport'!AF:AF),
    IF(_xlpm.result=0,"",_xlpm.result)
)</f>
        <v/>
      </c>
      <c r="X288" s="2" t="str">
        <f>_xlfn.LET(
    _xlpm.isObject, _xlfn.XLOOKUP($Q288,'EA-Fortescue_SDExport'!A:A,'EA-Fortescue_SDExport'!B:B),
    _xlpm.lookupKey, IF(_xlpm.isObject="Object",
        _xlfn.XLOOKUP($A288,'EA-ConnectorExport'!A:A,'EA-ConnectorExport'!D:D),
        $Q288
    ),
    _xlpm.result, _xlfn.XLOOKUP(_xlpm.lookupKey,'EA-Fortescue_SDExport'!A:A,'EA-Fortescue_SDExport'!AG:AG),
    IF(_xlpm.result=0,"",_xlpm.result)
)</f>
        <v/>
      </c>
      <c r="Y288" s="2" t="str">
        <f>_xlfn.LET(
    _xlpm.status, _xlfn.XLOOKUP($A288,'EA-ConnectorExport'!$A:$A,'EA-ConnectorExport'!G:G),
    _xlpm.result, _xlfn.XLOOKUP($A288,'EA-ConnectorExport'!$A:$A,'EA-ConnectorExport'!H:H),
    IF(_xlpm.status="allocate", _xlpm.result, "")
)</f>
        <v>Solomon Mine Hub: Primary Crusher</v>
      </c>
      <c r="Z288" s="2" t="str">
        <f>_xlfn.LET(
    _xlpm.isObject, _xlfn.XLOOKUP($Y288,'EA-Fortescue_SDExport'!A:A,'EA-Fortescue_SDExport'!B:B),
    _xlpm.lookupKey, IF(_xlpm.isObject="Object",
        _xlfn.XLOOKUP($A288,'EA-ConnectorExport'!A:A,'EA-ConnectorExport'!J:J),
        $Y288
    ),
    _xlpm.result, _xlfn.XLOOKUP(_xlpm.lookupKey,'EA-Fortescue_SDExport'!A:A,'EA-Fortescue_SDExport'!AA:AA),
    IF(_xlpm.result=0,"",_xlpm.result)
)</f>
        <v>System</v>
      </c>
      <c r="AA288" s="2" t="str">
        <f>_xlfn.LET(_xlpm.result, _xlfn.XLOOKUP($Y288,'EA-Fortescue_SDExport'!$A:$A,'EA-Fortescue_SDExport'!AB:AB), IF(_xlpm.result=0,"",_xlpm.result))</f>
        <v/>
      </c>
      <c r="AB288" s="2" t="str">
        <f>_xlfn.LET(_xlpm.result, _xlfn.XLOOKUP($Y288,'EA-Fortescue_SDExport'!$A:$A,'EA-Fortescue_SDExport'!AC:AC), IF(_xlpm.result=0,"",_xlpm.result))</f>
        <v>Solomon Mine Hub</v>
      </c>
      <c r="AC288" s="2" t="str">
        <f>_xlfn.LET(
    _xlpm.isObject, _xlfn.XLOOKUP($Y288,'EA-Fortescue_SDExport'!A:A,'EA-Fortescue_SDExport'!B:B),
    _xlpm.lookupKey, IF(_xlpm.isObject="Object",
        _xlfn.XLOOKUP($A288,'EA-ConnectorExport'!A:A,'EA-ConnectorExport'!J:J),
        $Y288
    ),
    _xlpm.result, _xlfn.XLOOKUP(_xlpm.lookupKey,'EA-Fortescue_SDExport'!A:A,'EA-Fortescue_SDExport'!AD:AD),
    IF(_xlpm.result=0,"",_xlpm.result)
)</f>
        <v>001OP Fixed Process Plant</v>
      </c>
      <c r="AD288" s="2" t="str">
        <f>_xlfn.LET(
    _xlpm.isObject, _xlfn.XLOOKUP($Y288,'EA-Fortescue_SDExport'!A:A,'EA-Fortescue_SDExport'!B:B),
    _xlpm.lookupKey, IF(_xlpm.isObject="Object",
        _xlfn.XLOOKUP($A288,'EA-ConnectorExport'!A:A,'EA-ConnectorExport'!J:J),
        $Y288
    ),
    _xlpm.result, _xlfn.XLOOKUP(_xlpm.lookupKey,'EA-Fortescue_SDExport'!A:A,'EA-Fortescue_SDExport'!AE:AE),
    IF(_xlpm.result=0,"",_xlpm.result)
)</f>
        <v>001OP-2110 Primary Crusher</v>
      </c>
      <c r="AE288" s="2" t="str">
        <f>_xlfn.LET(
    _xlpm.isObject, _xlfn.XLOOKUP($Y288,'EA-Fortescue_SDExport'!A:A,'EA-Fortescue_SDExport'!B:B),
    _xlpm.lookupKey, IF(_xlpm.isObject="Object",
        _xlfn.XLOOKUP($A288,'EA-ConnectorExport'!A:A,'EA-ConnectorExport'!J:J),
        $Y288
    ),
    _xlpm.result, _xlfn.XLOOKUP(_xlpm.lookupKey,'EA-Fortescue_SDExport'!A:A,'EA-Fortescue_SDExport'!AF:AF),
    IF(_xlpm.result=0,"",_xlpm.result)
)</f>
        <v/>
      </c>
      <c r="AF288" s="2" t="str">
        <f>_xlfn.LET(
    _xlpm.isObject, _xlfn.XLOOKUP($Y288,'EA-Fortescue_SDExport'!A:A,'EA-Fortescue_SDExport'!B:B),
    _xlpm.lookupKey, IF(_xlpm.isObject="Object",
        _xlfn.XLOOKUP($A288,'EA-ConnectorExport'!A:A,'EA-ConnectorExport'!J:J),
        $Y288
    ),
    _xlpm.result, _xlfn.XLOOKUP(_xlpm.lookupKey,'EA-Fortescue_SDExport'!A:A,'EA-Fortescue_SDExport'!AG:AG),
    IF(_xlpm.result=0,"",_xlpm.result)
)</f>
        <v/>
      </c>
    </row>
    <row r="289" spans="1:32" ht="45" x14ac:dyDescent="0.25">
      <c r="A289" s="2" t="str">
        <v>DGS-I_0288</v>
      </c>
      <c r="B289" s="2" t="str">
        <f t="shared" si="16"/>
        <v>Solomon Mine Hub: Primary Crusher|Solomon Mine Hub: Coarse Ore Stockpile (COS)</v>
      </c>
      <c r="C289" s="2" t="str">
        <f>_xlfn.LET(_xlpm.result, _xlfn.XLOOKUP(A289,'EA-Fortescue_SDExport'!A:A,'EA-Fortescue_SDExport'!AM:AM), IF(_xlpm.result=0,"",_xlpm.result))</f>
        <v/>
      </c>
      <c r="D289" s="2" t="str">
        <f>_xlfn.LET(_xlpm.result, _xlfn.XLOOKUP(A289,'EA-Fortescue_SDExport'!A:A,'EA-Fortescue_SDExport'!AN:AN), IF(_xlpm.result=0,"",_xlpm.result))</f>
        <v/>
      </c>
      <c r="E289" s="2" t="str">
        <f>_xlfn.XLOOKUP(R289&amp;Z289,Lookups!A:A,Lookups!B:B)</f>
        <v>System - System Interface</v>
      </c>
      <c r="F289" s="2" t="str">
        <f>_xlfn.LET(_xlpm.result, _xlfn.XLOOKUP(A289,'EA-Fortescue_SDExport'!A:A,'EA-Fortescue_SDExport'!AP:AP), IF(_xlpm.result=0,"",_xlpm.result))</f>
        <v/>
      </c>
      <c r="G289" s="2" t="str">
        <f>IF(OR(AND(T289&lt;&gt;"", COUNTIF(Lookups!J:J, "*"&amp;T289&amp;"*")&gt;0), AND(AB289&lt;&gt;"", COUNTIF(Lookups!J:J, "*"&amp;AB289&amp;"*")&gt;0)), "Yes", "No")</f>
        <v>Yes</v>
      </c>
      <c r="H289" s="2" t="str">
        <f t="shared" si="17"/>
        <v>001OP Fixed Process Plant|004OP Product Storage</v>
      </c>
      <c r="I289" s="2" t="str">
        <f t="shared" si="18"/>
        <v>001OP-2110 Primary Crusher|004OP-1302 Coarse Ore Stockpile (COS)</v>
      </c>
      <c r="J289" s="2" t="str">
        <f t="shared" si="19"/>
        <v>N/A</v>
      </c>
      <c r="K289" s="2" t="str">
        <f>_xlfn.XLOOKUP(A289,'EA-Fortescue_SDExport'!A:A,'EA-Fortescue_SDExport'!N:N)</f>
        <v>Proposed</v>
      </c>
      <c r="L289" s="2" t="str">
        <f>_xlfn.LET(_xlpm.result, _xlfn.XLOOKUP($A289,'EA-Fortescue_SDExport'!$A:$A,'EA-Fortescue_SDExport'!AQ:AQ), IF(_xlpm.result=0,"",_xlpm.result))</f>
        <v/>
      </c>
      <c r="M289" s="2" t="str">
        <f>_xlfn.LET(_xlpm.result, _xlfn.XLOOKUP($A289,'EA-Fortescue_SDExport'!$A:$A,'EA-Fortescue_SDExport'!AR:AR), IF(_xlpm.result=0,"",_xlpm.result))</f>
        <v/>
      </c>
      <c r="N289" s="2" t="str">
        <f>_xlfn.LET(_xlpm.result, _xlfn.XLOOKUP($A289,'EA-Fortescue_SDExport'!$A:$A,'EA-Fortescue_SDExport'!AW:AW), IF(_xlpm.result=0,"",_xlpm.result))</f>
        <v/>
      </c>
      <c r="O289" s="2" t="str">
        <f>_xlfn.LET(_xlpm.result, _xlfn.XLOOKUP($A289,'EA-Fortescue_SDExport'!$A:$A,'EA-Fortescue_SDExport'!AV:AV), IF(_xlpm.result=0,"",_xlpm.result))</f>
        <v/>
      </c>
      <c r="P289" s="2" t="str">
        <f>_xlfn.LET(_xlpm.result, _xlfn.XLOOKUP($A289,'EA-Fortescue_SDExport'!$A:$A,'EA-Fortescue_SDExport'!D:D), IF(_xlpm.result=0,"",_xlpm.result))</f>
        <v/>
      </c>
      <c r="Q289" s="2" t="str">
        <f>_xlfn.LET(
    _xlpm.status, _xlfn.XLOOKUP($A289,'EA-ConnectorExport'!$A:$A,'EA-ConnectorExport'!G:G),
    _xlpm.result, _xlfn.XLOOKUP($A289,'EA-ConnectorExport'!$A:$A,'EA-ConnectorExport'!B:B),
    IF(_xlpm.status="allocate", _xlpm.result, "")
)</f>
        <v>Solomon Mine Hub: Primary Crusher</v>
      </c>
      <c r="R289" s="2" t="str">
        <f>IF(
    _xlfn.XLOOKUP($Q289,'EA-Fortescue_SDExport'!A:A,'EA-Fortescue_SDExport'!B:B)="Object",
    _xlfn.XLOOKUP(
        _xlfn.XLOOKUP($A289,'EA-ConnectorExport'!A:A,'EA-ConnectorExport'!D:D),
        'EA-Fortescue_SDExport'!A:A,
        'EA-Fortescue_SDExport'!AA:AA
    ),
    _xlfn.XLOOKUP($Q289,'EA-Fortescue_SDExport'!A:A,'EA-Fortescue_SDExport'!AA:AA)
)</f>
        <v>System</v>
      </c>
      <c r="S289" s="2" t="str">
        <f>_xlfn.LET(_xlpm.result, _xlfn.XLOOKUP($Q289,'EA-Fortescue_SDExport'!$A:$A,'EA-Fortescue_SDExport'!AB:AB), IF(_xlpm.result=0,"",_xlpm.result))</f>
        <v/>
      </c>
      <c r="T289" s="2" t="str">
        <f>_xlfn.LET(_xlpm.result, _xlfn.XLOOKUP($Q289,'EA-Fortescue_SDExport'!$A:$A,'EA-Fortescue_SDExport'!AC:AC), IF(_xlpm.result=0,"",_xlpm.result))</f>
        <v>Solomon Mine Hub</v>
      </c>
      <c r="U289" s="2" t="str">
        <f>_xlfn.LET(
    _xlpm.isObject, _xlfn.XLOOKUP($Q289,'EA-Fortescue_SDExport'!A:A,'EA-Fortescue_SDExport'!B:B),
    _xlpm.lookupKey, IF(_xlpm.isObject="Object",
        _xlfn.XLOOKUP($A289,'EA-ConnectorExport'!A:A,'EA-ConnectorExport'!D:D),
        $Q289
    ),
    _xlpm.result, _xlfn.XLOOKUP(_xlpm.lookupKey,'EA-Fortescue_SDExport'!A:A,'EA-Fortescue_SDExport'!AD:AD),
    IF(_xlpm.result=0,"",_xlpm.result)
)</f>
        <v>001OP Fixed Process Plant</v>
      </c>
      <c r="V289" s="2" t="str">
        <f>_xlfn.LET(
    _xlpm.isObject, _xlfn.XLOOKUP($Q289,'EA-Fortescue_SDExport'!A:A,'EA-Fortescue_SDExport'!B:B),
    _xlpm.lookupKey, IF(_xlpm.isObject="Object",
        _xlfn.XLOOKUP($A289,'EA-ConnectorExport'!A:A,'EA-ConnectorExport'!D:D),
        $Q289
    ),
    _xlpm.result, _xlfn.XLOOKUP(_xlpm.lookupKey,'EA-Fortescue_SDExport'!A:A,'EA-Fortescue_SDExport'!AE:AE),
    IF(_xlpm.result=0,"",_xlpm.result)
)</f>
        <v>001OP-2110 Primary Crusher</v>
      </c>
      <c r="W289" s="2" t="str">
        <f>_xlfn.LET(
    _xlpm.isObject, _xlfn.XLOOKUP($Q289,'EA-Fortescue_SDExport'!A:A,'EA-Fortescue_SDExport'!B:B),
    _xlpm.lookupKey, IF(_xlpm.isObject="Object",
        _xlfn.XLOOKUP($A289,'EA-ConnectorExport'!A:A,'EA-ConnectorExport'!D:D),
        $Q289
    ),
    _xlpm.result, _xlfn.XLOOKUP(_xlpm.lookupKey,'EA-Fortescue_SDExport'!A:A,'EA-Fortescue_SDExport'!AF:AF),
    IF(_xlpm.result=0,"",_xlpm.result)
)</f>
        <v/>
      </c>
      <c r="X289" s="2" t="str">
        <f>_xlfn.LET(
    _xlpm.isObject, _xlfn.XLOOKUP($Q289,'EA-Fortescue_SDExport'!A:A,'EA-Fortescue_SDExport'!B:B),
    _xlpm.lookupKey, IF(_xlpm.isObject="Object",
        _xlfn.XLOOKUP($A289,'EA-ConnectorExport'!A:A,'EA-ConnectorExport'!D:D),
        $Q289
    ),
    _xlpm.result, _xlfn.XLOOKUP(_xlpm.lookupKey,'EA-Fortescue_SDExport'!A:A,'EA-Fortescue_SDExport'!AG:AG),
    IF(_xlpm.result=0,"",_xlpm.result)
)</f>
        <v/>
      </c>
      <c r="Y289" s="2" t="str">
        <f>_xlfn.LET(
    _xlpm.status, _xlfn.XLOOKUP($A289,'EA-ConnectorExport'!$A:$A,'EA-ConnectorExport'!G:G),
    _xlpm.result, _xlfn.XLOOKUP($A289,'EA-ConnectorExport'!$A:$A,'EA-ConnectorExport'!H:H),
    IF(_xlpm.status="allocate", _xlpm.result, "")
)</f>
        <v>Solomon Mine Hub: Coarse Ore Stockpile (COS)</v>
      </c>
      <c r="Z289" s="2" t="str">
        <f>_xlfn.LET(
    _xlpm.isObject, _xlfn.XLOOKUP($Y289,'EA-Fortescue_SDExport'!A:A,'EA-Fortescue_SDExport'!B:B),
    _xlpm.lookupKey, IF(_xlpm.isObject="Object",
        _xlfn.XLOOKUP($A289,'EA-ConnectorExport'!A:A,'EA-ConnectorExport'!J:J),
        $Y289
    ),
    _xlpm.result, _xlfn.XLOOKUP(_xlpm.lookupKey,'EA-Fortescue_SDExport'!A:A,'EA-Fortescue_SDExport'!AA:AA),
    IF(_xlpm.result=0,"",_xlpm.result)
)</f>
        <v>System</v>
      </c>
      <c r="AA289" s="2" t="str">
        <f>_xlfn.LET(_xlpm.result, _xlfn.XLOOKUP($Y289,'EA-Fortescue_SDExport'!$A:$A,'EA-Fortescue_SDExport'!AB:AB), IF(_xlpm.result=0,"",_xlpm.result))</f>
        <v/>
      </c>
      <c r="AB289" s="2" t="str">
        <f>_xlfn.LET(_xlpm.result, _xlfn.XLOOKUP($Y289,'EA-Fortescue_SDExport'!$A:$A,'EA-Fortescue_SDExport'!AC:AC), IF(_xlpm.result=0,"",_xlpm.result))</f>
        <v>Solomon Mine Hub</v>
      </c>
      <c r="AC289" s="2" t="str">
        <f>_xlfn.LET(
    _xlpm.isObject, _xlfn.XLOOKUP($Y289,'EA-Fortescue_SDExport'!A:A,'EA-Fortescue_SDExport'!B:B),
    _xlpm.lookupKey, IF(_xlpm.isObject="Object",
        _xlfn.XLOOKUP($A289,'EA-ConnectorExport'!A:A,'EA-ConnectorExport'!J:J),
        $Y289
    ),
    _xlpm.result, _xlfn.XLOOKUP(_xlpm.lookupKey,'EA-Fortescue_SDExport'!A:A,'EA-Fortescue_SDExport'!AD:AD),
    IF(_xlpm.result=0,"",_xlpm.result)
)</f>
        <v>004OP Product Storage</v>
      </c>
      <c r="AD289" s="2" t="str">
        <f>_xlfn.LET(
    _xlpm.isObject, _xlfn.XLOOKUP($Y289,'EA-Fortescue_SDExport'!A:A,'EA-Fortescue_SDExport'!B:B),
    _xlpm.lookupKey, IF(_xlpm.isObject="Object",
        _xlfn.XLOOKUP($A289,'EA-ConnectorExport'!A:A,'EA-ConnectorExport'!J:J),
        $Y289
    ),
    _xlpm.result, _xlfn.XLOOKUP(_xlpm.lookupKey,'EA-Fortescue_SDExport'!A:A,'EA-Fortescue_SDExport'!AE:AE),
    IF(_xlpm.result=0,"",_xlpm.result)
)</f>
        <v>004OP-1302 Coarse Ore Stockpile (COS)</v>
      </c>
      <c r="AE289" s="2" t="str">
        <f>_xlfn.LET(
    _xlpm.isObject, _xlfn.XLOOKUP($Y289,'EA-Fortescue_SDExport'!A:A,'EA-Fortescue_SDExport'!B:B),
    _xlpm.lookupKey, IF(_xlpm.isObject="Object",
        _xlfn.XLOOKUP($A289,'EA-ConnectorExport'!A:A,'EA-ConnectorExport'!J:J),
        $Y289
    ),
    _xlpm.result, _xlfn.XLOOKUP(_xlpm.lookupKey,'EA-Fortescue_SDExport'!A:A,'EA-Fortescue_SDExport'!AF:AF),
    IF(_xlpm.result=0,"",_xlpm.result)
)</f>
        <v/>
      </c>
      <c r="AF289" s="2" t="str">
        <f>_xlfn.LET(
    _xlpm.isObject, _xlfn.XLOOKUP($Y289,'EA-Fortescue_SDExport'!A:A,'EA-Fortescue_SDExport'!B:B),
    _xlpm.lookupKey, IF(_xlpm.isObject="Object",
        _xlfn.XLOOKUP($A289,'EA-ConnectorExport'!A:A,'EA-ConnectorExport'!J:J),
        $Y289
    ),
    _xlpm.result, _xlfn.XLOOKUP(_xlpm.lookupKey,'EA-Fortescue_SDExport'!A:A,'EA-Fortescue_SDExport'!AG:AG),
    IF(_xlpm.result=0,"",_xlpm.result)
)</f>
        <v/>
      </c>
    </row>
    <row r="290" spans="1:32" ht="45" x14ac:dyDescent="0.25">
      <c r="A290" s="2" t="str">
        <v>DGS-I_0289</v>
      </c>
      <c r="B290" s="2" t="str">
        <f t="shared" si="16"/>
        <v>Solomon Mine Hub: Coarse Ore Stockpile (COS)|Solomon Mine Hub: Ore Processing Facility (OPF)</v>
      </c>
      <c r="C290" s="2" t="str">
        <f>_xlfn.LET(_xlpm.result, _xlfn.XLOOKUP(A290,'EA-Fortescue_SDExport'!A:A,'EA-Fortescue_SDExport'!AM:AM), IF(_xlpm.result=0,"",_xlpm.result))</f>
        <v/>
      </c>
      <c r="D290" s="2" t="str">
        <f>_xlfn.LET(_xlpm.result, _xlfn.XLOOKUP(A290,'EA-Fortescue_SDExport'!A:A,'EA-Fortescue_SDExport'!AN:AN), IF(_xlpm.result=0,"",_xlpm.result))</f>
        <v/>
      </c>
      <c r="E290" s="2" t="str">
        <f>_xlfn.XLOOKUP(R290&amp;Z290,Lookups!A:A,Lookups!B:B)</f>
        <v>System - System Interface</v>
      </c>
      <c r="F290" s="2" t="str">
        <f>_xlfn.LET(_xlpm.result, _xlfn.XLOOKUP(A290,'EA-Fortescue_SDExport'!A:A,'EA-Fortescue_SDExport'!AP:AP), IF(_xlpm.result=0,"",_xlpm.result))</f>
        <v/>
      </c>
      <c r="G290" s="2" t="str">
        <f>IF(OR(AND(T290&lt;&gt;"", COUNTIF(Lookups!J:J, "*"&amp;T290&amp;"*")&gt;0), AND(AB290&lt;&gt;"", COUNTIF(Lookups!J:J, "*"&amp;AB290&amp;"*")&gt;0)), "Yes", "No")</f>
        <v>Yes</v>
      </c>
      <c r="H290" s="2" t="str">
        <f t="shared" si="17"/>
        <v>004OP Product Storage|001OP Fixed Process Plant</v>
      </c>
      <c r="I290" s="2" t="str">
        <f t="shared" si="18"/>
        <v>004OP-1302 Coarse Ore Stockpile (COS)|001OP-2001 Ore Processing Facility (OPF)</v>
      </c>
      <c r="J290" s="2" t="str">
        <f t="shared" si="19"/>
        <v>N/A</v>
      </c>
      <c r="K290" s="2" t="str">
        <f>_xlfn.XLOOKUP(A290,'EA-Fortescue_SDExport'!A:A,'EA-Fortescue_SDExport'!N:N)</f>
        <v>Proposed</v>
      </c>
      <c r="L290" s="2" t="str">
        <f>_xlfn.LET(_xlpm.result, _xlfn.XLOOKUP($A290,'EA-Fortescue_SDExport'!$A:$A,'EA-Fortescue_SDExport'!AQ:AQ), IF(_xlpm.result=0,"",_xlpm.result))</f>
        <v/>
      </c>
      <c r="M290" s="2" t="str">
        <f>_xlfn.LET(_xlpm.result, _xlfn.XLOOKUP($A290,'EA-Fortescue_SDExport'!$A:$A,'EA-Fortescue_SDExport'!AR:AR), IF(_xlpm.result=0,"",_xlpm.result))</f>
        <v/>
      </c>
      <c r="N290" s="2" t="str">
        <f>_xlfn.LET(_xlpm.result, _xlfn.XLOOKUP($A290,'EA-Fortescue_SDExport'!$A:$A,'EA-Fortescue_SDExport'!AW:AW), IF(_xlpm.result=0,"",_xlpm.result))</f>
        <v/>
      </c>
      <c r="O290" s="2" t="str">
        <f>_xlfn.LET(_xlpm.result, _xlfn.XLOOKUP($A290,'EA-Fortescue_SDExport'!$A:$A,'EA-Fortescue_SDExport'!AV:AV), IF(_xlpm.result=0,"",_xlpm.result))</f>
        <v/>
      </c>
      <c r="P290" s="2" t="str">
        <f>_xlfn.LET(_xlpm.result, _xlfn.XLOOKUP($A290,'EA-Fortescue_SDExport'!$A:$A,'EA-Fortescue_SDExport'!D:D), IF(_xlpm.result=0,"",_xlpm.result))</f>
        <v/>
      </c>
      <c r="Q290" s="2" t="str">
        <f>_xlfn.LET(
    _xlpm.status, _xlfn.XLOOKUP($A290,'EA-ConnectorExport'!$A:$A,'EA-ConnectorExport'!G:G),
    _xlpm.result, _xlfn.XLOOKUP($A290,'EA-ConnectorExport'!$A:$A,'EA-ConnectorExport'!B:B),
    IF(_xlpm.status="allocate", _xlpm.result, "")
)</f>
        <v>Solomon Mine Hub: Coarse Ore Stockpile (COS)</v>
      </c>
      <c r="R290" s="2" t="str">
        <f>IF(
    _xlfn.XLOOKUP($Q290,'EA-Fortescue_SDExport'!A:A,'EA-Fortescue_SDExport'!B:B)="Object",
    _xlfn.XLOOKUP(
        _xlfn.XLOOKUP($A290,'EA-ConnectorExport'!A:A,'EA-ConnectorExport'!D:D),
        'EA-Fortescue_SDExport'!A:A,
        'EA-Fortescue_SDExport'!AA:AA
    ),
    _xlfn.XLOOKUP($Q290,'EA-Fortescue_SDExport'!A:A,'EA-Fortescue_SDExport'!AA:AA)
)</f>
        <v>System</v>
      </c>
      <c r="S290" s="2" t="str">
        <f>_xlfn.LET(_xlpm.result, _xlfn.XLOOKUP($Q290,'EA-Fortescue_SDExport'!$A:$A,'EA-Fortescue_SDExport'!AB:AB), IF(_xlpm.result=0,"",_xlpm.result))</f>
        <v/>
      </c>
      <c r="T290" s="2" t="str">
        <f>_xlfn.LET(_xlpm.result, _xlfn.XLOOKUP($Q290,'EA-Fortescue_SDExport'!$A:$A,'EA-Fortescue_SDExport'!AC:AC), IF(_xlpm.result=0,"",_xlpm.result))</f>
        <v>Solomon Mine Hub</v>
      </c>
      <c r="U290" s="2" t="str">
        <f>_xlfn.LET(
    _xlpm.isObject, _xlfn.XLOOKUP($Q290,'EA-Fortescue_SDExport'!A:A,'EA-Fortescue_SDExport'!B:B),
    _xlpm.lookupKey, IF(_xlpm.isObject="Object",
        _xlfn.XLOOKUP($A290,'EA-ConnectorExport'!A:A,'EA-ConnectorExport'!D:D),
        $Q290
    ),
    _xlpm.result, _xlfn.XLOOKUP(_xlpm.lookupKey,'EA-Fortescue_SDExport'!A:A,'EA-Fortescue_SDExport'!AD:AD),
    IF(_xlpm.result=0,"",_xlpm.result)
)</f>
        <v>004OP Product Storage</v>
      </c>
      <c r="V290" s="2" t="str">
        <f>_xlfn.LET(
    _xlpm.isObject, _xlfn.XLOOKUP($Q290,'EA-Fortescue_SDExport'!A:A,'EA-Fortescue_SDExport'!B:B),
    _xlpm.lookupKey, IF(_xlpm.isObject="Object",
        _xlfn.XLOOKUP($A290,'EA-ConnectorExport'!A:A,'EA-ConnectorExport'!D:D),
        $Q290
    ),
    _xlpm.result, _xlfn.XLOOKUP(_xlpm.lookupKey,'EA-Fortescue_SDExport'!A:A,'EA-Fortescue_SDExport'!AE:AE),
    IF(_xlpm.result=0,"",_xlpm.result)
)</f>
        <v>004OP-1302 Coarse Ore Stockpile (COS)</v>
      </c>
      <c r="W290" s="2" t="str">
        <f>_xlfn.LET(
    _xlpm.isObject, _xlfn.XLOOKUP($Q290,'EA-Fortescue_SDExport'!A:A,'EA-Fortescue_SDExport'!B:B),
    _xlpm.lookupKey, IF(_xlpm.isObject="Object",
        _xlfn.XLOOKUP($A290,'EA-ConnectorExport'!A:A,'EA-ConnectorExport'!D:D),
        $Q290
    ),
    _xlpm.result, _xlfn.XLOOKUP(_xlpm.lookupKey,'EA-Fortescue_SDExport'!A:A,'EA-Fortescue_SDExport'!AF:AF),
    IF(_xlpm.result=0,"",_xlpm.result)
)</f>
        <v/>
      </c>
      <c r="X290" s="2" t="str">
        <f>_xlfn.LET(
    _xlpm.isObject, _xlfn.XLOOKUP($Q290,'EA-Fortescue_SDExport'!A:A,'EA-Fortescue_SDExport'!B:B),
    _xlpm.lookupKey, IF(_xlpm.isObject="Object",
        _xlfn.XLOOKUP($A290,'EA-ConnectorExport'!A:A,'EA-ConnectorExport'!D:D),
        $Q290
    ),
    _xlpm.result, _xlfn.XLOOKUP(_xlpm.lookupKey,'EA-Fortescue_SDExport'!A:A,'EA-Fortescue_SDExport'!AG:AG),
    IF(_xlpm.result=0,"",_xlpm.result)
)</f>
        <v/>
      </c>
      <c r="Y290" s="2" t="str">
        <f>_xlfn.LET(
    _xlpm.status, _xlfn.XLOOKUP($A290,'EA-ConnectorExport'!$A:$A,'EA-ConnectorExport'!G:G),
    _xlpm.result, _xlfn.XLOOKUP($A290,'EA-ConnectorExport'!$A:$A,'EA-ConnectorExport'!H:H),
    IF(_xlpm.status="allocate", _xlpm.result, "")
)</f>
        <v>Solomon Mine Hub: Ore Processing Facility (OPF)</v>
      </c>
      <c r="Z290" s="2" t="str">
        <f>_xlfn.LET(
    _xlpm.isObject, _xlfn.XLOOKUP($Y290,'EA-Fortescue_SDExport'!A:A,'EA-Fortescue_SDExport'!B:B),
    _xlpm.lookupKey, IF(_xlpm.isObject="Object",
        _xlfn.XLOOKUP($A290,'EA-ConnectorExport'!A:A,'EA-ConnectorExport'!J:J),
        $Y290
    ),
    _xlpm.result, _xlfn.XLOOKUP(_xlpm.lookupKey,'EA-Fortescue_SDExport'!A:A,'EA-Fortescue_SDExport'!AA:AA),
    IF(_xlpm.result=0,"",_xlpm.result)
)</f>
        <v>System</v>
      </c>
      <c r="AA290" s="2" t="str">
        <f>_xlfn.LET(_xlpm.result, _xlfn.XLOOKUP($Y290,'EA-Fortescue_SDExport'!$A:$A,'EA-Fortescue_SDExport'!AB:AB), IF(_xlpm.result=0,"",_xlpm.result))</f>
        <v/>
      </c>
      <c r="AB290" s="2" t="str">
        <f>_xlfn.LET(_xlpm.result, _xlfn.XLOOKUP($Y290,'EA-Fortescue_SDExport'!$A:$A,'EA-Fortescue_SDExport'!AC:AC), IF(_xlpm.result=0,"",_xlpm.result))</f>
        <v>Solomon Mine Hub</v>
      </c>
      <c r="AC290" s="2" t="str">
        <f>_xlfn.LET(
    _xlpm.isObject, _xlfn.XLOOKUP($Y290,'EA-Fortescue_SDExport'!A:A,'EA-Fortescue_SDExport'!B:B),
    _xlpm.lookupKey, IF(_xlpm.isObject="Object",
        _xlfn.XLOOKUP($A290,'EA-ConnectorExport'!A:A,'EA-ConnectorExport'!J:J),
        $Y290
    ),
    _xlpm.result, _xlfn.XLOOKUP(_xlpm.lookupKey,'EA-Fortescue_SDExport'!A:A,'EA-Fortescue_SDExport'!AD:AD),
    IF(_xlpm.result=0,"",_xlpm.result)
)</f>
        <v>001OP Fixed Process Plant</v>
      </c>
      <c r="AD290" s="2" t="str">
        <f>_xlfn.LET(
    _xlpm.isObject, _xlfn.XLOOKUP($Y290,'EA-Fortescue_SDExport'!A:A,'EA-Fortescue_SDExport'!B:B),
    _xlpm.lookupKey, IF(_xlpm.isObject="Object",
        _xlfn.XLOOKUP($A290,'EA-ConnectorExport'!A:A,'EA-ConnectorExport'!J:J),
        $Y290
    ),
    _xlpm.result, _xlfn.XLOOKUP(_xlpm.lookupKey,'EA-Fortescue_SDExport'!A:A,'EA-Fortescue_SDExport'!AE:AE),
    IF(_xlpm.result=0,"",_xlpm.result)
)</f>
        <v>001OP-2001 Ore Processing Facility (OPF)</v>
      </c>
      <c r="AE290" s="2" t="str">
        <f>_xlfn.LET(
    _xlpm.isObject, _xlfn.XLOOKUP($Y290,'EA-Fortescue_SDExport'!A:A,'EA-Fortescue_SDExport'!B:B),
    _xlpm.lookupKey, IF(_xlpm.isObject="Object",
        _xlfn.XLOOKUP($A290,'EA-ConnectorExport'!A:A,'EA-ConnectorExport'!J:J),
        $Y290
    ),
    _xlpm.result, _xlfn.XLOOKUP(_xlpm.lookupKey,'EA-Fortescue_SDExport'!A:A,'EA-Fortescue_SDExport'!AF:AF),
    IF(_xlpm.result=0,"",_xlpm.result)
)</f>
        <v/>
      </c>
      <c r="AF290" s="2" t="str">
        <f>_xlfn.LET(
    _xlpm.isObject, _xlfn.XLOOKUP($Y290,'EA-Fortescue_SDExport'!A:A,'EA-Fortescue_SDExport'!B:B),
    _xlpm.lookupKey, IF(_xlpm.isObject="Object",
        _xlfn.XLOOKUP($A290,'EA-ConnectorExport'!A:A,'EA-ConnectorExport'!J:J),
        $Y290
    ),
    _xlpm.result, _xlfn.XLOOKUP(_xlpm.lookupKey,'EA-Fortescue_SDExport'!A:A,'EA-Fortescue_SDExport'!AG:AG),
    IF(_xlpm.result=0,"",_xlpm.result)
)</f>
        <v/>
      </c>
    </row>
    <row r="291" spans="1:32" ht="45" x14ac:dyDescent="0.25">
      <c r="A291" s="2" t="str">
        <v>DGS-I_0290</v>
      </c>
      <c r="B291" s="2" t="str">
        <f t="shared" si="16"/>
        <v>Solomon Mine Hub: Ore Stockpile|Solomon Mine Hub: Ore Processing Facility (OPF)</v>
      </c>
      <c r="C291" s="2" t="str">
        <f>_xlfn.LET(_xlpm.result, _xlfn.XLOOKUP(A291,'EA-Fortescue_SDExport'!A:A,'EA-Fortescue_SDExport'!AM:AM), IF(_xlpm.result=0,"",_xlpm.result))</f>
        <v/>
      </c>
      <c r="D291" s="2" t="str">
        <f>_xlfn.LET(_xlpm.result, _xlfn.XLOOKUP(A291,'EA-Fortescue_SDExport'!A:A,'EA-Fortescue_SDExport'!AN:AN), IF(_xlpm.result=0,"",_xlpm.result))</f>
        <v/>
      </c>
      <c r="E291" s="2" t="str">
        <f>_xlfn.XLOOKUP(R291&amp;Z291,Lookups!A:A,Lookups!B:B)</f>
        <v>System - System Interface</v>
      </c>
      <c r="F291" s="2" t="str">
        <f>_xlfn.LET(_xlpm.result, _xlfn.XLOOKUP(A291,'EA-Fortescue_SDExport'!A:A,'EA-Fortescue_SDExport'!AP:AP), IF(_xlpm.result=0,"",_xlpm.result))</f>
        <v/>
      </c>
      <c r="G291" s="2" t="str">
        <f>IF(OR(AND(T291&lt;&gt;"", COUNTIF(Lookups!J:J, "*"&amp;T291&amp;"*")&gt;0), AND(AB291&lt;&gt;"", COUNTIF(Lookups!J:J, "*"&amp;AB291&amp;"*")&gt;0)), "Yes", "No")</f>
        <v>Yes</v>
      </c>
      <c r="H291" s="2" t="str">
        <f t="shared" si="17"/>
        <v>004OP Product Storage|001OP Fixed Process Plant</v>
      </c>
      <c r="I291" s="2" t="str">
        <f t="shared" si="18"/>
        <v>004OP-1303 Train Loadout (TLO) Ore Stockpile|001OP-2001 Ore Processing Facility (OPF)</v>
      </c>
      <c r="J291" s="2" t="str">
        <f t="shared" si="19"/>
        <v>N/A</v>
      </c>
      <c r="K291" s="2" t="str">
        <f>_xlfn.XLOOKUP(A291,'EA-Fortescue_SDExport'!A:A,'EA-Fortescue_SDExport'!N:N)</f>
        <v>Proposed</v>
      </c>
      <c r="L291" s="2" t="str">
        <f>_xlfn.LET(_xlpm.result, _xlfn.XLOOKUP($A291,'EA-Fortescue_SDExport'!$A:$A,'EA-Fortescue_SDExport'!AQ:AQ), IF(_xlpm.result=0,"",_xlpm.result))</f>
        <v/>
      </c>
      <c r="M291" s="2" t="str">
        <f>_xlfn.LET(_xlpm.result, _xlfn.XLOOKUP($A291,'EA-Fortescue_SDExport'!$A:$A,'EA-Fortescue_SDExport'!AR:AR), IF(_xlpm.result=0,"",_xlpm.result))</f>
        <v/>
      </c>
      <c r="N291" s="2" t="str">
        <f>_xlfn.LET(_xlpm.result, _xlfn.XLOOKUP($A291,'EA-Fortescue_SDExport'!$A:$A,'EA-Fortescue_SDExport'!AW:AW), IF(_xlpm.result=0,"",_xlpm.result))</f>
        <v/>
      </c>
      <c r="O291" s="2" t="str">
        <f>_xlfn.LET(_xlpm.result, _xlfn.XLOOKUP($A291,'EA-Fortescue_SDExport'!$A:$A,'EA-Fortescue_SDExport'!AV:AV), IF(_xlpm.result=0,"",_xlpm.result))</f>
        <v/>
      </c>
      <c r="P291" s="2" t="str">
        <f>_xlfn.LET(_xlpm.result, _xlfn.XLOOKUP($A291,'EA-Fortescue_SDExport'!$A:$A,'EA-Fortescue_SDExport'!D:D), IF(_xlpm.result=0,"",_xlpm.result))</f>
        <v/>
      </c>
      <c r="Q291" s="2" t="str">
        <f>_xlfn.LET(
    _xlpm.status, _xlfn.XLOOKUP($A291,'EA-ConnectorExport'!$A:$A,'EA-ConnectorExport'!G:G),
    _xlpm.result, _xlfn.XLOOKUP($A291,'EA-ConnectorExport'!$A:$A,'EA-ConnectorExport'!B:B),
    IF(_xlpm.status="allocate", _xlpm.result, "")
)</f>
        <v>Solomon Mine Hub: Ore Stockpile</v>
      </c>
      <c r="R291" s="2" t="str">
        <f>IF(
    _xlfn.XLOOKUP($Q291,'EA-Fortescue_SDExport'!A:A,'EA-Fortescue_SDExport'!B:B)="Object",
    _xlfn.XLOOKUP(
        _xlfn.XLOOKUP($A291,'EA-ConnectorExport'!A:A,'EA-ConnectorExport'!D:D),
        'EA-Fortescue_SDExport'!A:A,
        'EA-Fortescue_SDExport'!AA:AA
    ),
    _xlfn.XLOOKUP($Q291,'EA-Fortescue_SDExport'!A:A,'EA-Fortescue_SDExport'!AA:AA)
)</f>
        <v>System</v>
      </c>
      <c r="S291" s="2" t="str">
        <f>_xlfn.LET(_xlpm.result, _xlfn.XLOOKUP($Q291,'EA-Fortescue_SDExport'!$A:$A,'EA-Fortescue_SDExport'!AB:AB), IF(_xlpm.result=0,"",_xlpm.result))</f>
        <v/>
      </c>
      <c r="T291" s="2" t="str">
        <f>_xlfn.LET(_xlpm.result, _xlfn.XLOOKUP($Q291,'EA-Fortescue_SDExport'!$A:$A,'EA-Fortescue_SDExport'!AC:AC), IF(_xlpm.result=0,"",_xlpm.result))</f>
        <v>Solomon Mine Hub</v>
      </c>
      <c r="U291" s="2" t="str">
        <f>_xlfn.LET(
    _xlpm.isObject, _xlfn.XLOOKUP($Q291,'EA-Fortescue_SDExport'!A:A,'EA-Fortescue_SDExport'!B:B),
    _xlpm.lookupKey, IF(_xlpm.isObject="Object",
        _xlfn.XLOOKUP($A291,'EA-ConnectorExport'!A:A,'EA-ConnectorExport'!D:D),
        $Q291
    ),
    _xlpm.result, _xlfn.XLOOKUP(_xlpm.lookupKey,'EA-Fortescue_SDExport'!A:A,'EA-Fortescue_SDExport'!AD:AD),
    IF(_xlpm.result=0,"",_xlpm.result)
)</f>
        <v>004OP Product Storage</v>
      </c>
      <c r="V291" s="2" t="str">
        <f>_xlfn.LET(
    _xlpm.isObject, _xlfn.XLOOKUP($Q291,'EA-Fortescue_SDExport'!A:A,'EA-Fortescue_SDExport'!B:B),
    _xlpm.lookupKey, IF(_xlpm.isObject="Object",
        _xlfn.XLOOKUP($A291,'EA-ConnectorExport'!A:A,'EA-ConnectorExport'!D:D),
        $Q291
    ),
    _xlpm.result, _xlfn.XLOOKUP(_xlpm.lookupKey,'EA-Fortescue_SDExport'!A:A,'EA-Fortescue_SDExport'!AE:AE),
    IF(_xlpm.result=0,"",_xlpm.result)
)</f>
        <v>004OP-1303 Train Loadout (TLO) Ore Stockpile</v>
      </c>
      <c r="W291" s="2" t="str">
        <f>_xlfn.LET(
    _xlpm.isObject, _xlfn.XLOOKUP($Q291,'EA-Fortescue_SDExport'!A:A,'EA-Fortescue_SDExport'!B:B),
    _xlpm.lookupKey, IF(_xlpm.isObject="Object",
        _xlfn.XLOOKUP($A291,'EA-ConnectorExport'!A:A,'EA-ConnectorExport'!D:D),
        $Q291
    ),
    _xlpm.result, _xlfn.XLOOKUP(_xlpm.lookupKey,'EA-Fortescue_SDExport'!A:A,'EA-Fortescue_SDExport'!AF:AF),
    IF(_xlpm.result=0,"",_xlpm.result)
)</f>
        <v/>
      </c>
      <c r="X291" s="2" t="str">
        <f>_xlfn.LET(
    _xlpm.isObject, _xlfn.XLOOKUP($Q291,'EA-Fortescue_SDExport'!A:A,'EA-Fortescue_SDExport'!B:B),
    _xlpm.lookupKey, IF(_xlpm.isObject="Object",
        _xlfn.XLOOKUP($A291,'EA-ConnectorExport'!A:A,'EA-ConnectorExport'!D:D),
        $Q291
    ),
    _xlpm.result, _xlfn.XLOOKUP(_xlpm.lookupKey,'EA-Fortescue_SDExport'!A:A,'EA-Fortescue_SDExport'!AG:AG),
    IF(_xlpm.result=0,"",_xlpm.result)
)</f>
        <v/>
      </c>
      <c r="Y291" s="2" t="str">
        <f>_xlfn.LET(
    _xlpm.status, _xlfn.XLOOKUP($A291,'EA-ConnectorExport'!$A:$A,'EA-ConnectorExport'!G:G),
    _xlpm.result, _xlfn.XLOOKUP($A291,'EA-ConnectorExport'!$A:$A,'EA-ConnectorExport'!H:H),
    IF(_xlpm.status="allocate", _xlpm.result, "")
)</f>
        <v>Solomon Mine Hub: Ore Processing Facility (OPF)</v>
      </c>
      <c r="Z291" s="2" t="str">
        <f>_xlfn.LET(
    _xlpm.isObject, _xlfn.XLOOKUP($Y291,'EA-Fortescue_SDExport'!A:A,'EA-Fortescue_SDExport'!B:B),
    _xlpm.lookupKey, IF(_xlpm.isObject="Object",
        _xlfn.XLOOKUP($A291,'EA-ConnectorExport'!A:A,'EA-ConnectorExport'!J:J),
        $Y291
    ),
    _xlpm.result, _xlfn.XLOOKUP(_xlpm.lookupKey,'EA-Fortescue_SDExport'!A:A,'EA-Fortescue_SDExport'!AA:AA),
    IF(_xlpm.result=0,"",_xlpm.result)
)</f>
        <v>System</v>
      </c>
      <c r="AA291" s="2" t="str">
        <f>_xlfn.LET(_xlpm.result, _xlfn.XLOOKUP($Y291,'EA-Fortescue_SDExport'!$A:$A,'EA-Fortescue_SDExport'!AB:AB), IF(_xlpm.result=0,"",_xlpm.result))</f>
        <v/>
      </c>
      <c r="AB291" s="2" t="str">
        <f>_xlfn.LET(_xlpm.result, _xlfn.XLOOKUP($Y291,'EA-Fortescue_SDExport'!$A:$A,'EA-Fortescue_SDExport'!AC:AC), IF(_xlpm.result=0,"",_xlpm.result))</f>
        <v>Solomon Mine Hub</v>
      </c>
      <c r="AC291" s="2" t="str">
        <f>_xlfn.LET(
    _xlpm.isObject, _xlfn.XLOOKUP($Y291,'EA-Fortescue_SDExport'!A:A,'EA-Fortescue_SDExport'!B:B),
    _xlpm.lookupKey, IF(_xlpm.isObject="Object",
        _xlfn.XLOOKUP($A291,'EA-ConnectorExport'!A:A,'EA-ConnectorExport'!J:J),
        $Y291
    ),
    _xlpm.result, _xlfn.XLOOKUP(_xlpm.lookupKey,'EA-Fortescue_SDExport'!A:A,'EA-Fortescue_SDExport'!AD:AD),
    IF(_xlpm.result=0,"",_xlpm.result)
)</f>
        <v>001OP Fixed Process Plant</v>
      </c>
      <c r="AD291" s="2" t="str">
        <f>_xlfn.LET(
    _xlpm.isObject, _xlfn.XLOOKUP($Y291,'EA-Fortescue_SDExport'!A:A,'EA-Fortescue_SDExport'!B:B),
    _xlpm.lookupKey, IF(_xlpm.isObject="Object",
        _xlfn.XLOOKUP($A291,'EA-ConnectorExport'!A:A,'EA-ConnectorExport'!J:J),
        $Y291
    ),
    _xlpm.result, _xlfn.XLOOKUP(_xlpm.lookupKey,'EA-Fortescue_SDExport'!A:A,'EA-Fortescue_SDExport'!AE:AE),
    IF(_xlpm.result=0,"",_xlpm.result)
)</f>
        <v>001OP-2001 Ore Processing Facility (OPF)</v>
      </c>
      <c r="AE291" s="2" t="str">
        <f>_xlfn.LET(
    _xlpm.isObject, _xlfn.XLOOKUP($Y291,'EA-Fortescue_SDExport'!A:A,'EA-Fortescue_SDExport'!B:B),
    _xlpm.lookupKey, IF(_xlpm.isObject="Object",
        _xlfn.XLOOKUP($A291,'EA-ConnectorExport'!A:A,'EA-ConnectorExport'!J:J),
        $Y291
    ),
    _xlpm.result, _xlfn.XLOOKUP(_xlpm.lookupKey,'EA-Fortescue_SDExport'!A:A,'EA-Fortescue_SDExport'!AF:AF),
    IF(_xlpm.result=0,"",_xlpm.result)
)</f>
        <v/>
      </c>
      <c r="AF291" s="2" t="str">
        <f>_xlfn.LET(
    _xlpm.isObject, _xlfn.XLOOKUP($Y291,'EA-Fortescue_SDExport'!A:A,'EA-Fortescue_SDExport'!B:B),
    _xlpm.lookupKey, IF(_xlpm.isObject="Object",
        _xlfn.XLOOKUP($A291,'EA-ConnectorExport'!A:A,'EA-ConnectorExport'!J:J),
        $Y291
    ),
    _xlpm.result, _xlfn.XLOOKUP(_xlpm.lookupKey,'EA-Fortescue_SDExport'!A:A,'EA-Fortescue_SDExport'!AG:AG),
    IF(_xlpm.result=0,"",_xlpm.result)
)</f>
        <v/>
      </c>
    </row>
    <row r="292" spans="1:32" ht="45" x14ac:dyDescent="0.25">
      <c r="A292" s="2" t="str">
        <v>DGS-I_0291</v>
      </c>
      <c r="B292" s="2" t="str">
        <f t="shared" si="16"/>
        <v>Solomon Mine Hub: Ore Stockpile|Solomon Mine Hub: Train Load Out (TLO)</v>
      </c>
      <c r="C292" s="2" t="str">
        <f>_xlfn.LET(_xlpm.result, _xlfn.XLOOKUP(A292,'EA-Fortescue_SDExport'!A:A,'EA-Fortescue_SDExport'!AM:AM), IF(_xlpm.result=0,"",_xlpm.result))</f>
        <v/>
      </c>
      <c r="D292" s="2" t="str">
        <f>_xlfn.LET(_xlpm.result, _xlfn.XLOOKUP(A292,'EA-Fortescue_SDExport'!A:A,'EA-Fortescue_SDExport'!AN:AN), IF(_xlpm.result=0,"",_xlpm.result))</f>
        <v/>
      </c>
      <c r="E292" s="2" t="str">
        <f>_xlfn.XLOOKUP(R292&amp;Z292,Lookups!A:A,Lookups!B:B)</f>
        <v>System - System Interface</v>
      </c>
      <c r="F292" s="2" t="str">
        <f>_xlfn.LET(_xlpm.result, _xlfn.XLOOKUP(A292,'EA-Fortescue_SDExport'!A:A,'EA-Fortescue_SDExport'!AP:AP), IF(_xlpm.result=0,"",_xlpm.result))</f>
        <v/>
      </c>
      <c r="G292" s="2" t="str">
        <f>IF(OR(AND(T292&lt;&gt;"", COUNTIF(Lookups!J:J, "*"&amp;T292&amp;"*")&gt;0), AND(AB292&lt;&gt;"", COUNTIF(Lookups!J:J, "*"&amp;AB292&amp;"*")&gt;0)), "Yes", "No")</f>
        <v>Yes</v>
      </c>
      <c r="H292" s="2" t="str">
        <f t="shared" si="17"/>
        <v>004OP Product Storage|001OP Fixed Process Plant</v>
      </c>
      <c r="I292" s="2" t="str">
        <f t="shared" si="18"/>
        <v>004OP-1303 Train Loadout (TLO) Ore Stockpile|001OP-2920 Train Load Out (TLO)</v>
      </c>
      <c r="J292" s="2" t="str">
        <f t="shared" si="19"/>
        <v>N/A</v>
      </c>
      <c r="K292" s="2" t="str">
        <f>_xlfn.XLOOKUP(A292,'EA-Fortescue_SDExport'!A:A,'EA-Fortescue_SDExport'!N:N)</f>
        <v>Proposed</v>
      </c>
      <c r="L292" s="2" t="str">
        <f>_xlfn.LET(_xlpm.result, _xlfn.XLOOKUP($A292,'EA-Fortescue_SDExport'!$A:$A,'EA-Fortescue_SDExport'!AQ:AQ), IF(_xlpm.result=0,"",_xlpm.result))</f>
        <v/>
      </c>
      <c r="M292" s="2" t="str">
        <f>_xlfn.LET(_xlpm.result, _xlfn.XLOOKUP($A292,'EA-Fortescue_SDExport'!$A:$A,'EA-Fortescue_SDExport'!AR:AR), IF(_xlpm.result=0,"",_xlpm.result))</f>
        <v/>
      </c>
      <c r="N292" s="2" t="str">
        <f>_xlfn.LET(_xlpm.result, _xlfn.XLOOKUP($A292,'EA-Fortescue_SDExport'!$A:$A,'EA-Fortescue_SDExport'!AW:AW), IF(_xlpm.result=0,"",_xlpm.result))</f>
        <v/>
      </c>
      <c r="O292" s="2" t="str">
        <f>_xlfn.LET(_xlpm.result, _xlfn.XLOOKUP($A292,'EA-Fortescue_SDExport'!$A:$A,'EA-Fortescue_SDExport'!AV:AV), IF(_xlpm.result=0,"",_xlpm.result))</f>
        <v/>
      </c>
      <c r="P292" s="2" t="str">
        <f>_xlfn.LET(_xlpm.result, _xlfn.XLOOKUP($A292,'EA-Fortescue_SDExport'!$A:$A,'EA-Fortescue_SDExport'!D:D), IF(_xlpm.result=0,"",_xlpm.result))</f>
        <v/>
      </c>
      <c r="Q292" s="2" t="str">
        <f>_xlfn.LET(
    _xlpm.status, _xlfn.XLOOKUP($A292,'EA-ConnectorExport'!$A:$A,'EA-ConnectorExport'!G:G),
    _xlpm.result, _xlfn.XLOOKUP($A292,'EA-ConnectorExport'!$A:$A,'EA-ConnectorExport'!B:B),
    IF(_xlpm.status="allocate", _xlpm.result, "")
)</f>
        <v>Solomon Mine Hub: Ore Stockpile</v>
      </c>
      <c r="R292" s="2" t="str">
        <f>IF(
    _xlfn.XLOOKUP($Q292,'EA-Fortescue_SDExport'!A:A,'EA-Fortescue_SDExport'!B:B)="Object",
    _xlfn.XLOOKUP(
        _xlfn.XLOOKUP($A292,'EA-ConnectorExport'!A:A,'EA-ConnectorExport'!D:D),
        'EA-Fortescue_SDExport'!A:A,
        'EA-Fortescue_SDExport'!AA:AA
    ),
    _xlfn.XLOOKUP($Q292,'EA-Fortescue_SDExport'!A:A,'EA-Fortescue_SDExport'!AA:AA)
)</f>
        <v>System</v>
      </c>
      <c r="S292" s="2" t="str">
        <f>_xlfn.LET(_xlpm.result, _xlfn.XLOOKUP($Q292,'EA-Fortescue_SDExport'!$A:$A,'EA-Fortescue_SDExport'!AB:AB), IF(_xlpm.result=0,"",_xlpm.result))</f>
        <v/>
      </c>
      <c r="T292" s="2" t="str">
        <f>_xlfn.LET(_xlpm.result, _xlfn.XLOOKUP($Q292,'EA-Fortescue_SDExport'!$A:$A,'EA-Fortescue_SDExport'!AC:AC), IF(_xlpm.result=0,"",_xlpm.result))</f>
        <v>Solomon Mine Hub</v>
      </c>
      <c r="U292" s="2" t="str">
        <f>_xlfn.LET(
    _xlpm.isObject, _xlfn.XLOOKUP($Q292,'EA-Fortescue_SDExport'!A:A,'EA-Fortescue_SDExport'!B:B),
    _xlpm.lookupKey, IF(_xlpm.isObject="Object",
        _xlfn.XLOOKUP($A292,'EA-ConnectorExport'!A:A,'EA-ConnectorExport'!D:D),
        $Q292
    ),
    _xlpm.result, _xlfn.XLOOKUP(_xlpm.lookupKey,'EA-Fortescue_SDExport'!A:A,'EA-Fortescue_SDExport'!AD:AD),
    IF(_xlpm.result=0,"",_xlpm.result)
)</f>
        <v>004OP Product Storage</v>
      </c>
      <c r="V292" s="2" t="str">
        <f>_xlfn.LET(
    _xlpm.isObject, _xlfn.XLOOKUP($Q292,'EA-Fortescue_SDExport'!A:A,'EA-Fortescue_SDExport'!B:B),
    _xlpm.lookupKey, IF(_xlpm.isObject="Object",
        _xlfn.XLOOKUP($A292,'EA-ConnectorExport'!A:A,'EA-ConnectorExport'!D:D),
        $Q292
    ),
    _xlpm.result, _xlfn.XLOOKUP(_xlpm.lookupKey,'EA-Fortescue_SDExport'!A:A,'EA-Fortescue_SDExport'!AE:AE),
    IF(_xlpm.result=0,"",_xlpm.result)
)</f>
        <v>004OP-1303 Train Loadout (TLO) Ore Stockpile</v>
      </c>
      <c r="W292" s="2" t="str">
        <f>_xlfn.LET(
    _xlpm.isObject, _xlfn.XLOOKUP($Q292,'EA-Fortescue_SDExport'!A:A,'EA-Fortescue_SDExport'!B:B),
    _xlpm.lookupKey, IF(_xlpm.isObject="Object",
        _xlfn.XLOOKUP($A292,'EA-ConnectorExport'!A:A,'EA-ConnectorExport'!D:D),
        $Q292
    ),
    _xlpm.result, _xlfn.XLOOKUP(_xlpm.lookupKey,'EA-Fortescue_SDExport'!A:A,'EA-Fortescue_SDExport'!AF:AF),
    IF(_xlpm.result=0,"",_xlpm.result)
)</f>
        <v/>
      </c>
      <c r="X292" s="2" t="str">
        <f>_xlfn.LET(
    _xlpm.isObject, _xlfn.XLOOKUP($Q292,'EA-Fortescue_SDExport'!A:A,'EA-Fortescue_SDExport'!B:B),
    _xlpm.lookupKey, IF(_xlpm.isObject="Object",
        _xlfn.XLOOKUP($A292,'EA-ConnectorExport'!A:A,'EA-ConnectorExport'!D:D),
        $Q292
    ),
    _xlpm.result, _xlfn.XLOOKUP(_xlpm.lookupKey,'EA-Fortescue_SDExport'!A:A,'EA-Fortescue_SDExport'!AG:AG),
    IF(_xlpm.result=0,"",_xlpm.result)
)</f>
        <v/>
      </c>
      <c r="Y292" s="2" t="str">
        <f>_xlfn.LET(
    _xlpm.status, _xlfn.XLOOKUP($A292,'EA-ConnectorExport'!$A:$A,'EA-ConnectorExport'!G:G),
    _xlpm.result, _xlfn.XLOOKUP($A292,'EA-ConnectorExport'!$A:$A,'EA-ConnectorExport'!H:H),
    IF(_xlpm.status="allocate", _xlpm.result, "")
)</f>
        <v>Solomon Mine Hub: Train Load Out (TLO)</v>
      </c>
      <c r="Z292" s="2" t="str">
        <f>_xlfn.LET(
    _xlpm.isObject, _xlfn.XLOOKUP($Y292,'EA-Fortescue_SDExport'!A:A,'EA-Fortescue_SDExport'!B:B),
    _xlpm.lookupKey, IF(_xlpm.isObject="Object",
        _xlfn.XLOOKUP($A292,'EA-ConnectorExport'!A:A,'EA-ConnectorExport'!J:J),
        $Y292
    ),
    _xlpm.result, _xlfn.XLOOKUP(_xlpm.lookupKey,'EA-Fortescue_SDExport'!A:A,'EA-Fortescue_SDExport'!AA:AA),
    IF(_xlpm.result=0,"",_xlpm.result)
)</f>
        <v>System</v>
      </c>
      <c r="AA292" s="2" t="str">
        <f>_xlfn.LET(_xlpm.result, _xlfn.XLOOKUP($Y292,'EA-Fortescue_SDExport'!$A:$A,'EA-Fortescue_SDExport'!AB:AB), IF(_xlpm.result=0,"",_xlpm.result))</f>
        <v/>
      </c>
      <c r="AB292" s="2" t="str">
        <f>_xlfn.LET(_xlpm.result, _xlfn.XLOOKUP($Y292,'EA-Fortescue_SDExport'!$A:$A,'EA-Fortescue_SDExport'!AC:AC), IF(_xlpm.result=0,"",_xlpm.result))</f>
        <v>Solomon Mine Hub</v>
      </c>
      <c r="AC292" s="2" t="str">
        <f>_xlfn.LET(
    _xlpm.isObject, _xlfn.XLOOKUP($Y292,'EA-Fortescue_SDExport'!A:A,'EA-Fortescue_SDExport'!B:B),
    _xlpm.lookupKey, IF(_xlpm.isObject="Object",
        _xlfn.XLOOKUP($A292,'EA-ConnectorExport'!A:A,'EA-ConnectorExport'!J:J),
        $Y292
    ),
    _xlpm.result, _xlfn.XLOOKUP(_xlpm.lookupKey,'EA-Fortescue_SDExport'!A:A,'EA-Fortescue_SDExport'!AD:AD),
    IF(_xlpm.result=0,"",_xlpm.result)
)</f>
        <v>001OP Fixed Process Plant</v>
      </c>
      <c r="AD292" s="2" t="str">
        <f>_xlfn.LET(
    _xlpm.isObject, _xlfn.XLOOKUP($Y292,'EA-Fortescue_SDExport'!A:A,'EA-Fortescue_SDExport'!B:B),
    _xlpm.lookupKey, IF(_xlpm.isObject="Object",
        _xlfn.XLOOKUP($A292,'EA-ConnectorExport'!A:A,'EA-ConnectorExport'!J:J),
        $Y292
    ),
    _xlpm.result, _xlfn.XLOOKUP(_xlpm.lookupKey,'EA-Fortescue_SDExport'!A:A,'EA-Fortescue_SDExport'!AE:AE),
    IF(_xlpm.result=0,"",_xlpm.result)
)</f>
        <v>001OP-2920 Train Load Out (TLO)</v>
      </c>
      <c r="AE292" s="2" t="str">
        <f>_xlfn.LET(
    _xlpm.isObject, _xlfn.XLOOKUP($Y292,'EA-Fortescue_SDExport'!A:A,'EA-Fortescue_SDExport'!B:B),
    _xlpm.lookupKey, IF(_xlpm.isObject="Object",
        _xlfn.XLOOKUP($A292,'EA-ConnectorExport'!A:A,'EA-ConnectorExport'!J:J),
        $Y292
    ),
    _xlpm.result, _xlfn.XLOOKUP(_xlpm.lookupKey,'EA-Fortescue_SDExport'!A:A,'EA-Fortescue_SDExport'!AF:AF),
    IF(_xlpm.result=0,"",_xlpm.result)
)</f>
        <v/>
      </c>
      <c r="AF292" s="2" t="str">
        <f>_xlfn.LET(
    _xlpm.isObject, _xlfn.XLOOKUP($Y292,'EA-Fortescue_SDExport'!A:A,'EA-Fortescue_SDExport'!B:B),
    _xlpm.lookupKey, IF(_xlpm.isObject="Object",
        _xlfn.XLOOKUP($A292,'EA-ConnectorExport'!A:A,'EA-ConnectorExport'!J:J),
        $Y292
    ),
    _xlpm.result, _xlfn.XLOOKUP(_xlpm.lookupKey,'EA-Fortescue_SDExport'!A:A,'EA-Fortescue_SDExport'!AG:AG),
    IF(_xlpm.result=0,"",_xlpm.result)
)</f>
        <v/>
      </c>
    </row>
    <row r="293" spans="1:32" ht="315" x14ac:dyDescent="0.25">
      <c r="A293" s="2" t="str">
        <v>DGS-I_0292</v>
      </c>
      <c r="B293" s="2" t="str">
        <f t="shared" si="16"/>
        <v>Solomon Mine Hub: Excavator [&gt;110t]|855DC-1542-LMS Load Management System (LMS)</v>
      </c>
      <c r="C293" s="2" t="str">
        <f>_xlfn.LET(_xlpm.result, _xlfn.XLOOKUP(A293,'EA-Fortescue_SDExport'!A:A,'EA-Fortescue_SDExport'!AM:AM), IF(_xlpm.result=0,"",_xlpm.result))</f>
        <v/>
      </c>
      <c r="D293" s="2" t="str">
        <f>_xlfn.LET(_xlpm.result, _xlfn.XLOOKUP(A293,'EA-Fortescue_SDExport'!A:A,'EA-Fortescue_SDExport'!AN:AN), IF(_xlpm.result=0,"",_xlpm.result))</f>
        <v/>
      </c>
      <c r="E293" s="2" t="str">
        <f>_xlfn.XLOOKUP(R293&amp;Z293,Lookups!A:A,Lookups!B:B)</f>
        <v>System - Project Interface</v>
      </c>
      <c r="F293" s="2" t="str">
        <f>_xlfn.LET(_xlpm.result, _xlfn.XLOOKUP(A293,'EA-Fortescue_SDExport'!A:A,'EA-Fortescue_SDExport'!AP:AP), IF(_xlpm.result=0,"",_xlpm.result))</f>
        <v>Technical-Electrical</v>
      </c>
      <c r="G293" s="2" t="str">
        <f>IF(OR(AND(T293&lt;&gt;"", COUNTIF(Lookups!J:J, "*"&amp;T293&amp;"*")&gt;0), AND(AB293&lt;&gt;"", COUNTIF(Lookups!J:J, "*"&amp;AB293&amp;"*")&gt;0)), "Yes", "No")</f>
        <v>Yes</v>
      </c>
      <c r="H293" s="2" t="str">
        <f t="shared" si="17"/>
        <v>851DC Heavy Mobile Equipment (HME)|855DC Decarb Green Systems</v>
      </c>
      <c r="I293" s="2" t="str">
        <f t="shared" si="18"/>
        <v>851DC-1591 Excavator (&gt;110t)|855DC-1542 Control &amp; Monitoring Systems</v>
      </c>
      <c r="J293" s="2" t="str">
        <f t="shared" si="19"/>
        <v>N/A|855DC-1542-LMS Load Management System (LMS)</v>
      </c>
      <c r="K293" s="2" t="str">
        <f>_xlfn.XLOOKUP(A293,'EA-Fortescue_SDExport'!A:A,'EA-Fortescue_SDExport'!N:N)</f>
        <v>Proposed</v>
      </c>
      <c r="L293" s="2" t="str">
        <f>_xlfn.LET(_xlpm.result, _xlfn.XLOOKUP($A293,'EA-Fortescue_SDExport'!$A:$A,'EA-Fortescue_SDExport'!AQ:AQ), IF(_xlpm.result=0,"",_xlpm.result))</f>
        <v>This interface connects large excavators at the Solomon Mine Hub to LMS so the machines receive real-time electrical load constraints and power availability information, ensuring operation within safe network limits.</v>
      </c>
      <c r="M293" s="2" t="str">
        <f>_xlfn.LET(_xlpm.result, _xlfn.XLOOKUP($A293,'EA-Fortescue_SDExport'!$A:$A,'EA-Fortescue_SDExport'!AR:AR), IF(_xlpm.result=0,"",_xlpm.result))</f>
        <v>MEDIUM</v>
      </c>
      <c r="N293" s="2" t="str">
        <f>_xlfn.LET(_xlpm.result, _xlfn.XLOOKUP($A293,'EA-Fortescue_SDExport'!$A:$A,'EA-Fortescue_SDExport'!AW:AW), IF(_xlpm.result=0,"",_xlpm.result))</f>
        <v>The criticality level is MEDIUM because the loss of this interface may require operators to reduce auxiliary power use or temporarily limit operations, but excavation and loading can still continue. The interface helps balance heavy electrical load demands, but failure does not prevent excavators from working; it only reduces efficiency and situational awareness.</v>
      </c>
      <c r="O293" s="2" t="str">
        <f>_xlfn.LET(_xlpm.result, _xlfn.XLOOKUP($A293,'EA-Fortescue_SDExport'!$A:$A,'EA-Fortescue_SDExport'!AV:AV), IF(_xlpm.result=0,"",_xlpm.result))</f>
        <v>Data Flow: Load Management System (LMS) -&gt; Excavators (&gt;110t) (real-time electrical load limits, available capacity, curtailment signals, network status, overload warnings) to ensure operation within network constraints.</v>
      </c>
      <c r="P293" s="2" t="str">
        <f>_xlfn.LET(_xlpm.result, _xlfn.XLOOKUP($A293,'EA-Fortescue_SDExport'!$A:$A,'EA-Fortescue_SDExport'!D:D), IF(_xlpm.result=0,"",_xlpm.result))</f>
        <v>From DGS-I_0144 (interface with generic Excavator): LMS Review 30/10/2025: PLC is on the interlock sequence of the Excavator._x000D_
NH 20/02/2026: Fields updated: Interface Type, Interface Flow.</v>
      </c>
      <c r="Q293" s="2" t="str">
        <f>_xlfn.LET(
    _xlpm.status, _xlfn.XLOOKUP($A293,'EA-ConnectorExport'!$A:$A,'EA-ConnectorExport'!G:G),
    _xlpm.result, _xlfn.XLOOKUP($A293,'EA-ConnectorExport'!$A:$A,'EA-ConnectorExport'!B:B),
    IF(_xlpm.status="allocate", _xlpm.result, "")
)</f>
        <v>Solomon Mine Hub: Excavator [&gt;110t]</v>
      </c>
      <c r="R293" s="2" t="str">
        <f>IF(
    _xlfn.XLOOKUP($Q293,'EA-Fortescue_SDExport'!A:A,'EA-Fortescue_SDExport'!B:B)="Object",
    _xlfn.XLOOKUP(
        _xlfn.XLOOKUP($A293,'EA-ConnectorExport'!A:A,'EA-ConnectorExport'!D:D),
        'EA-Fortescue_SDExport'!A:A,
        'EA-Fortescue_SDExport'!AA:AA
    ),
    _xlfn.XLOOKUP($Q293,'EA-Fortescue_SDExport'!A:A,'EA-Fortescue_SDExport'!AA:AA)
)</f>
        <v>System</v>
      </c>
      <c r="S293" s="2" t="str">
        <f>_xlfn.LET(_xlpm.result, _xlfn.XLOOKUP($Q293,'EA-Fortescue_SDExport'!$A:$A,'EA-Fortescue_SDExport'!AB:AB), IF(_xlpm.result=0,"",_xlpm.result))</f>
        <v/>
      </c>
      <c r="T293" s="2" t="str">
        <f>_xlfn.LET(_xlpm.result, _xlfn.XLOOKUP($Q293,'EA-Fortescue_SDExport'!$A:$A,'EA-Fortescue_SDExport'!AC:AC), IF(_xlpm.result=0,"",_xlpm.result))</f>
        <v>Solomon Mine Hub</v>
      </c>
      <c r="U293" s="2" t="str">
        <f>_xlfn.LET(
    _xlpm.isObject, _xlfn.XLOOKUP($Q293,'EA-Fortescue_SDExport'!A:A,'EA-Fortescue_SDExport'!B:B),
    _xlpm.lookupKey, IF(_xlpm.isObject="Object",
        _xlfn.XLOOKUP($A293,'EA-ConnectorExport'!A:A,'EA-ConnectorExport'!D:D),
        $Q293
    ),
    _xlpm.result, _xlfn.XLOOKUP(_xlpm.lookupKey,'EA-Fortescue_SDExport'!A:A,'EA-Fortescue_SDExport'!AD:AD),
    IF(_xlpm.result=0,"",_xlpm.result)
)</f>
        <v>851DC Heavy Mobile Equipment (HME)</v>
      </c>
      <c r="V293" s="2" t="str">
        <f>_xlfn.LET(
    _xlpm.isObject, _xlfn.XLOOKUP($Q293,'EA-Fortescue_SDExport'!A:A,'EA-Fortescue_SDExport'!B:B),
    _xlpm.lookupKey, IF(_xlpm.isObject="Object",
        _xlfn.XLOOKUP($A293,'EA-ConnectorExport'!A:A,'EA-ConnectorExport'!D:D),
        $Q293
    ),
    _xlpm.result, _xlfn.XLOOKUP(_xlpm.lookupKey,'EA-Fortescue_SDExport'!A:A,'EA-Fortescue_SDExport'!AE:AE),
    IF(_xlpm.result=0,"",_xlpm.result)
)</f>
        <v>851DC-1591 Excavator (&gt;110t)</v>
      </c>
      <c r="W293" s="2" t="str">
        <f>_xlfn.LET(
    _xlpm.isObject, _xlfn.XLOOKUP($Q293,'EA-Fortescue_SDExport'!A:A,'EA-Fortescue_SDExport'!B:B),
    _xlpm.lookupKey, IF(_xlpm.isObject="Object",
        _xlfn.XLOOKUP($A293,'EA-ConnectorExport'!A:A,'EA-ConnectorExport'!D:D),
        $Q293
    ),
    _xlpm.result, _xlfn.XLOOKUP(_xlpm.lookupKey,'EA-Fortescue_SDExport'!A:A,'EA-Fortescue_SDExport'!AF:AF),
    IF(_xlpm.result=0,"",_xlpm.result)
)</f>
        <v/>
      </c>
      <c r="X293" s="2" t="str">
        <f>_xlfn.LET(
    _xlpm.isObject, _xlfn.XLOOKUP($Q293,'EA-Fortescue_SDExport'!A:A,'EA-Fortescue_SDExport'!B:B),
    _xlpm.lookupKey, IF(_xlpm.isObject="Object",
        _xlfn.XLOOKUP($A293,'EA-ConnectorExport'!A:A,'EA-ConnectorExport'!D:D),
        $Q293
    ),
    _xlpm.result, _xlfn.XLOOKUP(_xlpm.lookupKey,'EA-Fortescue_SDExport'!A:A,'EA-Fortescue_SDExport'!AG:AG),
    IF(_xlpm.result=0,"",_xlpm.result)
)</f>
        <v/>
      </c>
      <c r="Y293" s="2" t="str">
        <f>_xlfn.LET(
    _xlpm.status, _xlfn.XLOOKUP($A293,'EA-ConnectorExport'!$A:$A,'EA-ConnectorExport'!G:G),
    _xlpm.result, _xlfn.XLOOKUP($A293,'EA-ConnectorExport'!$A:$A,'EA-ConnectorExport'!H:H),
    IF(_xlpm.status="allocate", _xlpm.result, "")
)</f>
        <v>855DC-1542-LMS Load Management System (LMS)</v>
      </c>
      <c r="Z293" s="2" t="str">
        <f>_xlfn.LET(
    _xlpm.isObject, _xlfn.XLOOKUP($Y293,'EA-Fortescue_SDExport'!A:A,'EA-Fortescue_SDExport'!B:B),
    _xlpm.lookupKey, IF(_xlpm.isObject="Object",
        _xlfn.XLOOKUP($A293,'EA-ConnectorExport'!A:A,'EA-ConnectorExport'!J:J),
        $Y293
    ),
    _xlpm.result, _xlfn.XLOOKUP(_xlpm.lookupKey,'EA-Fortescue_SDExport'!A:A,'EA-Fortescue_SDExport'!AA:AA),
    IF(_xlpm.result=0,"",_xlpm.result)
)</f>
        <v>Project</v>
      </c>
      <c r="AA293" s="2" t="str">
        <f>_xlfn.LET(_xlpm.result, _xlfn.XLOOKUP($Y293,'EA-Fortescue_SDExport'!$A:$A,'EA-Fortescue_SDExport'!AB:AB), IF(_xlpm.result=0,"",_xlpm.result))</f>
        <v>Mine Services</v>
      </c>
      <c r="AB293" s="2" t="str">
        <f>_xlfn.LET(_xlpm.result, _xlfn.XLOOKUP($Y293,'EA-Fortescue_SDExport'!$A:$A,'EA-Fortescue_SDExport'!AC:AC), IF(_xlpm.result=0,"",_xlpm.result))</f>
        <v/>
      </c>
      <c r="AC293" s="2" t="str">
        <f>_xlfn.LET(
    _xlpm.isObject, _xlfn.XLOOKUP($Y293,'EA-Fortescue_SDExport'!A:A,'EA-Fortescue_SDExport'!B:B),
    _xlpm.lookupKey, IF(_xlpm.isObject="Object",
        _xlfn.XLOOKUP($A293,'EA-ConnectorExport'!A:A,'EA-ConnectorExport'!J:J),
        $Y293
    ),
    _xlpm.result, _xlfn.XLOOKUP(_xlpm.lookupKey,'EA-Fortescue_SDExport'!A:A,'EA-Fortescue_SDExport'!AD:AD),
    IF(_xlpm.result=0,"",_xlpm.result)
)</f>
        <v>855DC Decarb Green Systems</v>
      </c>
      <c r="AD293" s="2" t="str">
        <f>_xlfn.LET(
    _xlpm.isObject, _xlfn.XLOOKUP($Y293,'EA-Fortescue_SDExport'!A:A,'EA-Fortescue_SDExport'!B:B),
    _xlpm.lookupKey, IF(_xlpm.isObject="Object",
        _xlfn.XLOOKUP($A293,'EA-ConnectorExport'!A:A,'EA-ConnectorExport'!J:J),
        $Y293
    ),
    _xlpm.result, _xlfn.XLOOKUP(_xlpm.lookupKey,'EA-Fortescue_SDExport'!A:A,'EA-Fortescue_SDExport'!AE:AE),
    IF(_xlpm.result=0,"",_xlpm.result)
)</f>
        <v>855DC-1542 Control &amp; Monitoring Systems</v>
      </c>
      <c r="AE293" s="2" t="str">
        <f>_xlfn.LET(
    _xlpm.isObject, _xlfn.XLOOKUP($Y293,'EA-Fortescue_SDExport'!A:A,'EA-Fortescue_SDExport'!B:B),
    _xlpm.lookupKey, IF(_xlpm.isObject="Object",
        _xlfn.XLOOKUP($A293,'EA-ConnectorExport'!A:A,'EA-ConnectorExport'!J:J),
        $Y293
    ),
    _xlpm.result, _xlfn.XLOOKUP(_xlpm.lookupKey,'EA-Fortescue_SDExport'!A:A,'EA-Fortescue_SDExport'!AF:AF),
    IF(_xlpm.result=0,"",_xlpm.result)
)</f>
        <v>855DC-1542-LMS Load Management System (LMS)</v>
      </c>
      <c r="AF293" s="2" t="str">
        <f>_xlfn.LET(
    _xlpm.isObject, _xlfn.XLOOKUP($Y293,'EA-Fortescue_SDExport'!A:A,'EA-Fortescue_SDExport'!B:B),
    _xlpm.lookupKey, IF(_xlpm.isObject="Object",
        _xlfn.XLOOKUP($A293,'EA-ConnectorExport'!A:A,'EA-ConnectorExport'!J:J),
        $Y293
    ),
    _xlpm.result, _xlfn.XLOOKUP(_xlpm.lookupKey,'EA-Fortescue_SDExport'!A:A,'EA-Fortescue_SDExport'!AG:AG),
    IF(_xlpm.result=0,"",_xlpm.result)
)</f>
        <v/>
      </c>
    </row>
    <row r="294" spans="1:32" ht="240" x14ac:dyDescent="0.25">
      <c r="A294" s="2" t="str">
        <v>DGS-I_0293</v>
      </c>
      <c r="B294" s="2" t="str">
        <f t="shared" si="16"/>
        <v>Solomon Mine Hub: Primary Crusher|855DC-1543-PPC Pit Power Capacity Planning Tool - Capacity Check</v>
      </c>
      <c r="C294" s="2" t="str">
        <f>_xlfn.LET(_xlpm.result, _xlfn.XLOOKUP(A294,'EA-Fortescue_SDExport'!A:A,'EA-Fortescue_SDExport'!AM:AM), IF(_xlpm.result=0,"",_xlpm.result))</f>
        <v/>
      </c>
      <c r="D294" s="2" t="str">
        <f>_xlfn.LET(_xlpm.result, _xlfn.XLOOKUP(A294,'EA-Fortescue_SDExport'!A:A,'EA-Fortescue_SDExport'!AN:AN), IF(_xlpm.result=0,"",_xlpm.result))</f>
        <v/>
      </c>
      <c r="E294" s="2" t="str">
        <f>_xlfn.XLOOKUP(R294&amp;Z294,Lookups!A:A,Lookups!B:B)</f>
        <v>System - Project Interface</v>
      </c>
      <c r="F294" s="2" t="str">
        <f>_xlfn.LET(_xlpm.result, _xlfn.XLOOKUP(A294,'EA-Fortescue_SDExport'!A:A,'EA-Fortescue_SDExport'!AP:AP), IF(_xlpm.result=0,"",_xlpm.result))</f>
        <v/>
      </c>
      <c r="G294" s="2" t="str">
        <f>IF(OR(AND(T294&lt;&gt;"", COUNTIF(Lookups!J:J, "*"&amp;T294&amp;"*")&gt;0), AND(AB294&lt;&gt;"", COUNTIF(Lookups!J:J, "*"&amp;AB294&amp;"*")&gt;0)), "Yes", "No")</f>
        <v>Yes</v>
      </c>
      <c r="H294" s="2" t="str">
        <f t="shared" si="17"/>
        <v>001OP Fixed Process Plant|855DC Decarb Green Systems</v>
      </c>
      <c r="I294" s="2" t="str">
        <f t="shared" si="18"/>
        <v>001OP-2110 Primary Crusher|N/A</v>
      </c>
      <c r="J294" s="2" t="str">
        <f t="shared" si="19"/>
        <v>N/A|855DC-1543-PPC Pit Power Capacity Planning Tool - Capacity Check</v>
      </c>
      <c r="K294" s="2" t="str">
        <f>_xlfn.XLOOKUP(A294,'EA-Fortescue_SDExport'!A:A,'EA-Fortescue_SDExport'!N:N)</f>
        <v>Proposed</v>
      </c>
      <c r="L294" s="2" t="str">
        <f>_xlfn.LET(_xlpm.result, _xlfn.XLOOKUP($A294,'EA-Fortescue_SDExport'!$A:$A,'EA-Fortescue_SDExport'!AQ:AQ), IF(_xlpm.result=0,"",_xlpm.result))</f>
        <v/>
      </c>
      <c r="M294" s="2" t="str">
        <f>_xlfn.LET(_xlpm.result, _xlfn.XLOOKUP($A294,'EA-Fortescue_SDExport'!$A:$A,'EA-Fortescue_SDExport'!AR:AR), IF(_xlpm.result=0,"",_xlpm.result))</f>
        <v/>
      </c>
      <c r="N294" s="2" t="str">
        <f>_xlfn.LET(_xlpm.result, _xlfn.XLOOKUP($A294,'EA-Fortescue_SDExport'!$A:$A,'EA-Fortescue_SDExport'!AW:AW), IF(_xlpm.result=0,"",_xlpm.result))</f>
        <v/>
      </c>
      <c r="O294" s="2" t="str">
        <f>_xlfn.LET(_xlpm.result, _xlfn.XLOOKUP($A294,'EA-Fortescue_SDExport'!$A:$A,'EA-Fortescue_SDExport'!AV:AV), IF(_xlpm.result=0,"",_xlpm.result))</f>
        <v/>
      </c>
      <c r="P294" s="2" t="str">
        <f>_xlfn.LET(_xlpm.result, _xlfn.XLOOKUP($A294,'EA-Fortescue_SDExport'!$A:$A,'EA-Fortescue_SDExport'!D:D),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94" s="2" t="str">
        <f>_xlfn.LET(
    _xlpm.status, _xlfn.XLOOKUP($A294,'EA-ConnectorExport'!$A:$A,'EA-ConnectorExport'!G:G),
    _xlpm.result, _xlfn.XLOOKUP($A294,'EA-ConnectorExport'!$A:$A,'EA-ConnectorExport'!B:B),
    IF(_xlpm.status="allocate", _xlpm.result, "")
)</f>
        <v>Solomon Mine Hub: Primary Crusher</v>
      </c>
      <c r="R294" s="2" t="str">
        <f>IF(
    _xlfn.XLOOKUP($Q294,'EA-Fortescue_SDExport'!A:A,'EA-Fortescue_SDExport'!B:B)="Object",
    _xlfn.XLOOKUP(
        _xlfn.XLOOKUP($A294,'EA-ConnectorExport'!A:A,'EA-ConnectorExport'!D:D),
        'EA-Fortescue_SDExport'!A:A,
        'EA-Fortescue_SDExport'!AA:AA
    ),
    _xlfn.XLOOKUP($Q294,'EA-Fortescue_SDExport'!A:A,'EA-Fortescue_SDExport'!AA:AA)
)</f>
        <v>System</v>
      </c>
      <c r="S294" s="2" t="str">
        <f>_xlfn.LET(_xlpm.result, _xlfn.XLOOKUP($Q294,'EA-Fortescue_SDExport'!$A:$A,'EA-Fortescue_SDExport'!AB:AB), IF(_xlpm.result=0,"",_xlpm.result))</f>
        <v/>
      </c>
      <c r="T294" s="2" t="str">
        <f>_xlfn.LET(_xlpm.result, _xlfn.XLOOKUP($Q294,'EA-Fortescue_SDExport'!$A:$A,'EA-Fortescue_SDExport'!AC:AC), IF(_xlpm.result=0,"",_xlpm.result))</f>
        <v>Solomon Mine Hub</v>
      </c>
      <c r="U294" s="2" t="str">
        <f>_xlfn.LET(
    _xlpm.isObject, _xlfn.XLOOKUP($Q294,'EA-Fortescue_SDExport'!A:A,'EA-Fortescue_SDExport'!B:B),
    _xlpm.lookupKey, IF(_xlpm.isObject="Object",
        _xlfn.XLOOKUP($A294,'EA-ConnectorExport'!A:A,'EA-ConnectorExport'!D:D),
        $Q294
    ),
    _xlpm.result, _xlfn.XLOOKUP(_xlpm.lookupKey,'EA-Fortescue_SDExport'!A:A,'EA-Fortescue_SDExport'!AD:AD),
    IF(_xlpm.result=0,"",_xlpm.result)
)</f>
        <v>001OP Fixed Process Plant</v>
      </c>
      <c r="V294" s="2" t="str">
        <f>_xlfn.LET(
    _xlpm.isObject, _xlfn.XLOOKUP($Q294,'EA-Fortescue_SDExport'!A:A,'EA-Fortescue_SDExport'!B:B),
    _xlpm.lookupKey, IF(_xlpm.isObject="Object",
        _xlfn.XLOOKUP($A294,'EA-ConnectorExport'!A:A,'EA-ConnectorExport'!D:D),
        $Q294
    ),
    _xlpm.result, _xlfn.XLOOKUP(_xlpm.lookupKey,'EA-Fortescue_SDExport'!A:A,'EA-Fortescue_SDExport'!AE:AE),
    IF(_xlpm.result=0,"",_xlpm.result)
)</f>
        <v>001OP-2110 Primary Crusher</v>
      </c>
      <c r="W294" s="2" t="str">
        <f>_xlfn.LET(
    _xlpm.isObject, _xlfn.XLOOKUP($Q294,'EA-Fortescue_SDExport'!A:A,'EA-Fortescue_SDExport'!B:B),
    _xlpm.lookupKey, IF(_xlpm.isObject="Object",
        _xlfn.XLOOKUP($A294,'EA-ConnectorExport'!A:A,'EA-ConnectorExport'!D:D),
        $Q294
    ),
    _xlpm.result, _xlfn.XLOOKUP(_xlpm.lookupKey,'EA-Fortescue_SDExport'!A:A,'EA-Fortescue_SDExport'!AF:AF),
    IF(_xlpm.result=0,"",_xlpm.result)
)</f>
        <v/>
      </c>
      <c r="X294" s="2" t="str">
        <f>_xlfn.LET(
    _xlpm.isObject, _xlfn.XLOOKUP($Q294,'EA-Fortescue_SDExport'!A:A,'EA-Fortescue_SDExport'!B:B),
    _xlpm.lookupKey, IF(_xlpm.isObject="Object",
        _xlfn.XLOOKUP($A294,'EA-ConnectorExport'!A:A,'EA-ConnectorExport'!D:D),
        $Q294
    ),
    _xlpm.result, _xlfn.XLOOKUP(_xlpm.lookupKey,'EA-Fortescue_SDExport'!A:A,'EA-Fortescue_SDExport'!AG:AG),
    IF(_xlpm.result=0,"",_xlpm.result)
)</f>
        <v/>
      </c>
      <c r="Y294" s="2" t="str">
        <f>_xlfn.LET(
    _xlpm.status, _xlfn.XLOOKUP($A294,'EA-ConnectorExport'!$A:$A,'EA-ConnectorExport'!G:G),
    _xlpm.result, _xlfn.XLOOKUP($A294,'EA-ConnectorExport'!$A:$A,'EA-ConnectorExport'!H:H),
    IF(_xlpm.status="allocate", _xlpm.result, "")
)</f>
        <v>855DC-1543-PPC Pit Power Capacity Planning Tool - Capacity Check</v>
      </c>
      <c r="Z294" s="2" t="str">
        <f>_xlfn.LET(
    _xlpm.isObject, _xlfn.XLOOKUP($Y294,'EA-Fortescue_SDExport'!A:A,'EA-Fortescue_SDExport'!B:B),
    _xlpm.lookupKey, IF(_xlpm.isObject="Object",
        _xlfn.XLOOKUP($A294,'EA-ConnectorExport'!A:A,'EA-ConnectorExport'!J:J),
        $Y294
    ),
    _xlpm.result, _xlfn.XLOOKUP(_xlpm.lookupKey,'EA-Fortescue_SDExport'!A:A,'EA-Fortescue_SDExport'!AA:AA),
    IF(_xlpm.result=0,"",_xlpm.result)
)</f>
        <v>Project</v>
      </c>
      <c r="AA294" s="2" t="str">
        <f>_xlfn.LET(_xlpm.result, _xlfn.XLOOKUP($Y294,'EA-Fortescue_SDExport'!$A:$A,'EA-Fortescue_SDExport'!AB:AB), IF(_xlpm.result=0,"",_xlpm.result))</f>
        <v>Operations Planning</v>
      </c>
      <c r="AB294" s="2" t="str">
        <f>_xlfn.LET(_xlpm.result, _xlfn.XLOOKUP($Y294,'EA-Fortescue_SDExport'!$A:$A,'EA-Fortescue_SDExport'!AC:AC), IF(_xlpm.result=0,"",_xlpm.result))</f>
        <v>AWS Fortescue Infrastructure</v>
      </c>
      <c r="AC294" s="2" t="str">
        <f>_xlfn.LET(
    _xlpm.isObject, _xlfn.XLOOKUP($Y294,'EA-Fortescue_SDExport'!A:A,'EA-Fortescue_SDExport'!B:B),
    _xlpm.lookupKey, IF(_xlpm.isObject="Object",
        _xlfn.XLOOKUP($A294,'EA-ConnectorExport'!A:A,'EA-ConnectorExport'!J:J),
        $Y294
    ),
    _xlpm.result, _xlfn.XLOOKUP(_xlpm.lookupKey,'EA-Fortescue_SDExport'!A:A,'EA-Fortescue_SDExport'!AD:AD),
    IF(_xlpm.result=0,"",_xlpm.result)
)</f>
        <v>855DC Decarb Green Systems</v>
      </c>
      <c r="AD294" s="2" t="str">
        <f>_xlfn.LET(
    _xlpm.isObject, _xlfn.XLOOKUP($Y294,'EA-Fortescue_SDExport'!A:A,'EA-Fortescue_SDExport'!B:B),
    _xlpm.lookupKey, IF(_xlpm.isObject="Object",
        _xlfn.XLOOKUP($A294,'EA-ConnectorExport'!A:A,'EA-ConnectorExport'!J:J),
        $Y294
    ),
    _xlpm.result, _xlfn.XLOOKUP(_xlpm.lookupKey,'EA-Fortescue_SDExport'!A:A,'EA-Fortescue_SDExport'!AE:AE),
    IF(_xlpm.result=0,"",_xlpm.result)
)</f>
        <v/>
      </c>
      <c r="AE294" s="2" t="str">
        <f>_xlfn.LET(
    _xlpm.isObject, _xlfn.XLOOKUP($Y294,'EA-Fortescue_SDExport'!A:A,'EA-Fortescue_SDExport'!B:B),
    _xlpm.lookupKey, IF(_xlpm.isObject="Object",
        _xlfn.XLOOKUP($A294,'EA-ConnectorExport'!A:A,'EA-ConnectorExport'!J:J),
        $Y294
    ),
    _xlpm.result, _xlfn.XLOOKUP(_xlpm.lookupKey,'EA-Fortescue_SDExport'!A:A,'EA-Fortescue_SDExport'!AF:AF),
    IF(_xlpm.result=0,"",_xlpm.result)
)</f>
        <v>855DC-1543-PPC Pit Power Capacity Planning Tool - Capacity Check</v>
      </c>
      <c r="AF294" s="2" t="str">
        <f>_xlfn.LET(
    _xlpm.isObject, _xlfn.XLOOKUP($Y294,'EA-Fortescue_SDExport'!A:A,'EA-Fortescue_SDExport'!B:B),
    _xlpm.lookupKey, IF(_xlpm.isObject="Object",
        _xlfn.XLOOKUP($A294,'EA-ConnectorExport'!A:A,'EA-ConnectorExport'!J:J),
        $Y294
    ),
    _xlpm.result, _xlfn.XLOOKUP(_xlpm.lookupKey,'EA-Fortescue_SDExport'!A:A,'EA-Fortescue_SDExport'!AG:AG),
    IF(_xlpm.result=0,"",_xlpm.result)
)</f>
        <v/>
      </c>
    </row>
    <row r="295" spans="1:32" ht="240" x14ac:dyDescent="0.25">
      <c r="A295" s="2" t="str">
        <v>DGS-I_0294</v>
      </c>
      <c r="B295" s="2" t="str">
        <f t="shared" si="16"/>
        <v>855DC-1543-PPC Pit Power Capacity Planning Tool - Capacity Check|Solomon Mine Hub: Ore Processing Facility (OPF)</v>
      </c>
      <c r="C295" s="2" t="str">
        <f>_xlfn.LET(_xlpm.result, _xlfn.XLOOKUP(A295,'EA-Fortescue_SDExport'!A:A,'EA-Fortescue_SDExport'!AM:AM), IF(_xlpm.result=0,"",_xlpm.result))</f>
        <v/>
      </c>
      <c r="D295" s="2" t="str">
        <f>_xlfn.LET(_xlpm.result, _xlfn.XLOOKUP(A295,'EA-Fortescue_SDExport'!A:A,'EA-Fortescue_SDExport'!AN:AN), IF(_xlpm.result=0,"",_xlpm.result))</f>
        <v/>
      </c>
      <c r="E295" s="2" t="str">
        <f>_xlfn.XLOOKUP(R295&amp;Z295,Lookups!A:A,Lookups!B:B)</f>
        <v>System - Project Interface</v>
      </c>
      <c r="F295" s="2" t="str">
        <f>_xlfn.LET(_xlpm.result, _xlfn.XLOOKUP(A295,'EA-Fortescue_SDExport'!A:A,'EA-Fortescue_SDExport'!AP:AP), IF(_xlpm.result=0,"",_xlpm.result))</f>
        <v/>
      </c>
      <c r="G295" s="2" t="str">
        <f>IF(OR(AND(T295&lt;&gt;"", COUNTIF(Lookups!J:J, "*"&amp;T295&amp;"*")&gt;0), AND(AB295&lt;&gt;"", COUNTIF(Lookups!J:J, "*"&amp;AB295&amp;"*")&gt;0)), "Yes", "No")</f>
        <v>Yes</v>
      </c>
      <c r="H295" s="2" t="str">
        <f t="shared" si="17"/>
        <v>855DC Decarb Green Systems|001OP Fixed Process Plant</v>
      </c>
      <c r="I295" s="2" t="str">
        <f t="shared" si="18"/>
        <v>N/A|001OP-2001 Ore Processing Facility (OPF)</v>
      </c>
      <c r="J295" s="2" t="str">
        <f t="shared" si="19"/>
        <v>855DC-1543-PPC Pit Power Capacity Planning Tool - Capacity Check|N/A</v>
      </c>
      <c r="K295" s="2" t="str">
        <f>_xlfn.XLOOKUP(A295,'EA-Fortescue_SDExport'!A:A,'EA-Fortescue_SDExport'!N:N)</f>
        <v>Proposed</v>
      </c>
      <c r="L295" s="2" t="str">
        <f>_xlfn.LET(_xlpm.result, _xlfn.XLOOKUP($A295,'EA-Fortescue_SDExport'!$A:$A,'EA-Fortescue_SDExport'!AQ:AQ), IF(_xlpm.result=0,"",_xlpm.result))</f>
        <v/>
      </c>
      <c r="M295" s="2" t="str">
        <f>_xlfn.LET(_xlpm.result, _xlfn.XLOOKUP($A295,'EA-Fortescue_SDExport'!$A:$A,'EA-Fortescue_SDExport'!AR:AR), IF(_xlpm.result=0,"",_xlpm.result))</f>
        <v/>
      </c>
      <c r="N295" s="2" t="str">
        <f>_xlfn.LET(_xlpm.result, _xlfn.XLOOKUP($A295,'EA-Fortescue_SDExport'!$A:$A,'EA-Fortescue_SDExport'!AW:AW), IF(_xlpm.result=0,"",_xlpm.result))</f>
        <v/>
      </c>
      <c r="O295" s="2" t="str">
        <f>_xlfn.LET(_xlpm.result, _xlfn.XLOOKUP($A295,'EA-Fortescue_SDExport'!$A:$A,'EA-Fortescue_SDExport'!AV:AV), IF(_xlpm.result=0,"",_xlpm.result))</f>
        <v/>
      </c>
      <c r="P295" s="2" t="str">
        <f>_xlfn.LET(_xlpm.result, _xlfn.XLOOKUP($A295,'EA-Fortescue_SDExport'!$A:$A,'EA-Fortescue_SDExport'!D:D),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95" s="2" t="str">
        <f>_xlfn.LET(
    _xlpm.status, _xlfn.XLOOKUP($A295,'EA-ConnectorExport'!$A:$A,'EA-ConnectorExport'!G:G),
    _xlpm.result, _xlfn.XLOOKUP($A295,'EA-ConnectorExport'!$A:$A,'EA-ConnectorExport'!B:B),
    IF(_xlpm.status="allocate", _xlpm.result, "")
)</f>
        <v>855DC-1543-PPC Pit Power Capacity Planning Tool - Capacity Check</v>
      </c>
      <c r="R295" s="2" t="str">
        <f>IF(
    _xlfn.XLOOKUP($Q295,'EA-Fortescue_SDExport'!A:A,'EA-Fortescue_SDExport'!B:B)="Object",
    _xlfn.XLOOKUP(
        _xlfn.XLOOKUP($A295,'EA-ConnectorExport'!A:A,'EA-ConnectorExport'!D:D),
        'EA-Fortescue_SDExport'!A:A,
        'EA-Fortescue_SDExport'!AA:AA
    ),
    _xlfn.XLOOKUP($Q295,'EA-Fortescue_SDExport'!A:A,'EA-Fortescue_SDExport'!AA:AA)
)</f>
        <v>Project</v>
      </c>
      <c r="S295" s="2" t="str">
        <f>_xlfn.LET(_xlpm.result, _xlfn.XLOOKUP($Q295,'EA-Fortescue_SDExport'!$A:$A,'EA-Fortescue_SDExport'!AB:AB), IF(_xlpm.result=0,"",_xlpm.result))</f>
        <v>Operations Planning</v>
      </c>
      <c r="T295" s="2" t="str">
        <f>_xlfn.LET(_xlpm.result, _xlfn.XLOOKUP($Q295,'EA-Fortescue_SDExport'!$A:$A,'EA-Fortescue_SDExport'!AC:AC), IF(_xlpm.result=0,"",_xlpm.result))</f>
        <v>AWS Fortescue Infrastructure</v>
      </c>
      <c r="U295" s="2" t="str">
        <f>_xlfn.LET(
    _xlpm.isObject, _xlfn.XLOOKUP($Q295,'EA-Fortescue_SDExport'!A:A,'EA-Fortescue_SDExport'!B:B),
    _xlpm.lookupKey, IF(_xlpm.isObject="Object",
        _xlfn.XLOOKUP($A295,'EA-ConnectorExport'!A:A,'EA-ConnectorExport'!D:D),
        $Q295
    ),
    _xlpm.result, _xlfn.XLOOKUP(_xlpm.lookupKey,'EA-Fortescue_SDExport'!A:A,'EA-Fortescue_SDExport'!AD:AD),
    IF(_xlpm.result=0,"",_xlpm.result)
)</f>
        <v>855DC Decarb Green Systems</v>
      </c>
      <c r="V295" s="2" t="str">
        <f>_xlfn.LET(
    _xlpm.isObject, _xlfn.XLOOKUP($Q295,'EA-Fortescue_SDExport'!A:A,'EA-Fortescue_SDExport'!B:B),
    _xlpm.lookupKey, IF(_xlpm.isObject="Object",
        _xlfn.XLOOKUP($A295,'EA-ConnectorExport'!A:A,'EA-ConnectorExport'!D:D),
        $Q295
    ),
    _xlpm.result, _xlfn.XLOOKUP(_xlpm.lookupKey,'EA-Fortescue_SDExport'!A:A,'EA-Fortescue_SDExport'!AE:AE),
    IF(_xlpm.result=0,"",_xlpm.result)
)</f>
        <v/>
      </c>
      <c r="W295" s="2" t="str">
        <f>_xlfn.LET(
    _xlpm.isObject, _xlfn.XLOOKUP($Q295,'EA-Fortescue_SDExport'!A:A,'EA-Fortescue_SDExport'!B:B),
    _xlpm.lookupKey, IF(_xlpm.isObject="Object",
        _xlfn.XLOOKUP($A295,'EA-ConnectorExport'!A:A,'EA-ConnectorExport'!D:D),
        $Q295
    ),
    _xlpm.result, _xlfn.XLOOKUP(_xlpm.lookupKey,'EA-Fortescue_SDExport'!A:A,'EA-Fortescue_SDExport'!AF:AF),
    IF(_xlpm.result=0,"",_xlpm.result)
)</f>
        <v>855DC-1543-PPC Pit Power Capacity Planning Tool - Capacity Check</v>
      </c>
      <c r="X295" s="2" t="str">
        <f>_xlfn.LET(
    _xlpm.isObject, _xlfn.XLOOKUP($Q295,'EA-Fortescue_SDExport'!A:A,'EA-Fortescue_SDExport'!B:B),
    _xlpm.lookupKey, IF(_xlpm.isObject="Object",
        _xlfn.XLOOKUP($A295,'EA-ConnectorExport'!A:A,'EA-ConnectorExport'!D:D),
        $Q295
    ),
    _xlpm.result, _xlfn.XLOOKUP(_xlpm.lookupKey,'EA-Fortescue_SDExport'!A:A,'EA-Fortescue_SDExport'!AG:AG),
    IF(_xlpm.result=0,"",_xlpm.result)
)</f>
        <v/>
      </c>
      <c r="Y295" s="2" t="str">
        <f>_xlfn.LET(
    _xlpm.status, _xlfn.XLOOKUP($A295,'EA-ConnectorExport'!$A:$A,'EA-ConnectorExport'!G:G),
    _xlpm.result, _xlfn.XLOOKUP($A295,'EA-ConnectorExport'!$A:$A,'EA-ConnectorExport'!H:H),
    IF(_xlpm.status="allocate", _xlpm.result, "")
)</f>
        <v>Solomon Mine Hub: Ore Processing Facility (OPF)</v>
      </c>
      <c r="Z295" s="2" t="str">
        <f>_xlfn.LET(
    _xlpm.isObject, _xlfn.XLOOKUP($Y295,'EA-Fortescue_SDExport'!A:A,'EA-Fortescue_SDExport'!B:B),
    _xlpm.lookupKey, IF(_xlpm.isObject="Object",
        _xlfn.XLOOKUP($A295,'EA-ConnectorExport'!A:A,'EA-ConnectorExport'!J:J),
        $Y295
    ),
    _xlpm.result, _xlfn.XLOOKUP(_xlpm.lookupKey,'EA-Fortescue_SDExport'!A:A,'EA-Fortescue_SDExport'!AA:AA),
    IF(_xlpm.result=0,"",_xlpm.result)
)</f>
        <v>System</v>
      </c>
      <c r="AA295" s="2" t="str">
        <f>_xlfn.LET(_xlpm.result, _xlfn.XLOOKUP($Y295,'EA-Fortescue_SDExport'!$A:$A,'EA-Fortescue_SDExport'!AB:AB), IF(_xlpm.result=0,"",_xlpm.result))</f>
        <v/>
      </c>
      <c r="AB295" s="2" t="str">
        <f>_xlfn.LET(_xlpm.result, _xlfn.XLOOKUP($Y295,'EA-Fortescue_SDExport'!$A:$A,'EA-Fortescue_SDExport'!AC:AC), IF(_xlpm.result=0,"",_xlpm.result))</f>
        <v>Solomon Mine Hub</v>
      </c>
      <c r="AC295" s="2" t="str">
        <f>_xlfn.LET(
    _xlpm.isObject, _xlfn.XLOOKUP($Y295,'EA-Fortescue_SDExport'!A:A,'EA-Fortescue_SDExport'!B:B),
    _xlpm.lookupKey, IF(_xlpm.isObject="Object",
        _xlfn.XLOOKUP($A295,'EA-ConnectorExport'!A:A,'EA-ConnectorExport'!J:J),
        $Y295
    ),
    _xlpm.result, _xlfn.XLOOKUP(_xlpm.lookupKey,'EA-Fortescue_SDExport'!A:A,'EA-Fortescue_SDExport'!AD:AD),
    IF(_xlpm.result=0,"",_xlpm.result)
)</f>
        <v>001OP Fixed Process Plant</v>
      </c>
      <c r="AD295" s="2" t="str">
        <f>_xlfn.LET(
    _xlpm.isObject, _xlfn.XLOOKUP($Y295,'EA-Fortescue_SDExport'!A:A,'EA-Fortescue_SDExport'!B:B),
    _xlpm.lookupKey, IF(_xlpm.isObject="Object",
        _xlfn.XLOOKUP($A295,'EA-ConnectorExport'!A:A,'EA-ConnectorExport'!J:J),
        $Y295
    ),
    _xlpm.result, _xlfn.XLOOKUP(_xlpm.lookupKey,'EA-Fortescue_SDExport'!A:A,'EA-Fortescue_SDExport'!AE:AE),
    IF(_xlpm.result=0,"",_xlpm.result)
)</f>
        <v>001OP-2001 Ore Processing Facility (OPF)</v>
      </c>
      <c r="AE295" s="2" t="str">
        <f>_xlfn.LET(
    _xlpm.isObject, _xlfn.XLOOKUP($Y295,'EA-Fortescue_SDExport'!A:A,'EA-Fortescue_SDExport'!B:B),
    _xlpm.lookupKey, IF(_xlpm.isObject="Object",
        _xlfn.XLOOKUP($A295,'EA-ConnectorExport'!A:A,'EA-ConnectorExport'!J:J),
        $Y295
    ),
    _xlpm.result, _xlfn.XLOOKUP(_xlpm.lookupKey,'EA-Fortescue_SDExport'!A:A,'EA-Fortescue_SDExport'!AF:AF),
    IF(_xlpm.result=0,"",_xlpm.result)
)</f>
        <v/>
      </c>
      <c r="AF295" s="2" t="str">
        <f>_xlfn.LET(
    _xlpm.isObject, _xlfn.XLOOKUP($Y295,'EA-Fortescue_SDExport'!A:A,'EA-Fortescue_SDExport'!B:B),
    _xlpm.lookupKey, IF(_xlpm.isObject="Object",
        _xlfn.XLOOKUP($A295,'EA-ConnectorExport'!A:A,'EA-ConnectorExport'!J:J),
        $Y295
    ),
    _xlpm.result, _xlfn.XLOOKUP(_xlpm.lookupKey,'EA-Fortescue_SDExport'!A:A,'EA-Fortescue_SDExport'!AG:AG),
    IF(_xlpm.result=0,"",_xlpm.result)
)</f>
        <v/>
      </c>
    </row>
    <row r="296" spans="1:32" ht="240" x14ac:dyDescent="0.25">
      <c r="A296" s="2" t="str">
        <v>DGS-I_0295</v>
      </c>
      <c r="B296" s="2" t="str">
        <f t="shared" si="16"/>
        <v>Solomon Mine Hub: Train Load Out (TLO)|855DC-1543-PPC Pit Power Capacity Planning Tool - Capacity Check</v>
      </c>
      <c r="C296" s="2" t="str">
        <f>_xlfn.LET(_xlpm.result, _xlfn.XLOOKUP(A296,'EA-Fortescue_SDExport'!A:A,'EA-Fortescue_SDExport'!AM:AM), IF(_xlpm.result=0,"",_xlpm.result))</f>
        <v/>
      </c>
      <c r="D296" s="2" t="str">
        <f>_xlfn.LET(_xlpm.result, _xlfn.XLOOKUP(A296,'EA-Fortescue_SDExport'!A:A,'EA-Fortescue_SDExport'!AN:AN), IF(_xlpm.result=0,"",_xlpm.result))</f>
        <v/>
      </c>
      <c r="E296" s="2" t="str">
        <f>_xlfn.XLOOKUP(R296&amp;Z296,Lookups!A:A,Lookups!B:B)</f>
        <v>System - Project Interface</v>
      </c>
      <c r="F296" s="2" t="str">
        <f>_xlfn.LET(_xlpm.result, _xlfn.XLOOKUP(A296,'EA-Fortescue_SDExport'!A:A,'EA-Fortescue_SDExport'!AP:AP), IF(_xlpm.result=0,"",_xlpm.result))</f>
        <v/>
      </c>
      <c r="G296" s="2" t="str">
        <f>IF(OR(AND(T296&lt;&gt;"", COUNTIF(Lookups!J:J, "*"&amp;T296&amp;"*")&gt;0), AND(AB296&lt;&gt;"", COUNTIF(Lookups!J:J, "*"&amp;AB296&amp;"*")&gt;0)), "Yes", "No")</f>
        <v>Yes</v>
      </c>
      <c r="H296" s="2" t="str">
        <f t="shared" si="17"/>
        <v>001OP Fixed Process Plant|855DC Decarb Green Systems</v>
      </c>
      <c r="I296" s="2" t="str">
        <f t="shared" si="18"/>
        <v>001OP-2920 Train Load Out (TLO)|N/A</v>
      </c>
      <c r="J296" s="2" t="str">
        <f t="shared" si="19"/>
        <v>N/A|855DC-1543-PPC Pit Power Capacity Planning Tool - Capacity Check</v>
      </c>
      <c r="K296" s="2" t="str">
        <f>_xlfn.XLOOKUP(A296,'EA-Fortescue_SDExport'!A:A,'EA-Fortescue_SDExport'!N:N)</f>
        <v>Proposed</v>
      </c>
      <c r="L296" s="2" t="str">
        <f>_xlfn.LET(_xlpm.result, _xlfn.XLOOKUP($A296,'EA-Fortescue_SDExport'!$A:$A,'EA-Fortescue_SDExport'!AQ:AQ), IF(_xlpm.result=0,"",_xlpm.result))</f>
        <v/>
      </c>
      <c r="M296" s="2" t="str">
        <f>_xlfn.LET(_xlpm.result, _xlfn.XLOOKUP($A296,'EA-Fortescue_SDExport'!$A:$A,'EA-Fortescue_SDExport'!AR:AR), IF(_xlpm.result=0,"",_xlpm.result))</f>
        <v/>
      </c>
      <c r="N296" s="2" t="str">
        <f>_xlfn.LET(_xlpm.result, _xlfn.XLOOKUP($A296,'EA-Fortescue_SDExport'!$A:$A,'EA-Fortescue_SDExport'!AW:AW), IF(_xlpm.result=0,"",_xlpm.result))</f>
        <v/>
      </c>
      <c r="O296" s="2" t="str">
        <f>_xlfn.LET(_xlpm.result, _xlfn.XLOOKUP($A296,'EA-Fortescue_SDExport'!$A:$A,'EA-Fortescue_SDExport'!AV:AV), IF(_xlpm.result=0,"",_xlpm.result))</f>
        <v/>
      </c>
      <c r="P296" s="2" t="str">
        <f>_xlfn.LET(_xlpm.result, _xlfn.XLOOKUP($A296,'EA-Fortescue_SDExport'!$A:$A,'EA-Fortescue_SDExport'!D:D),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296" s="2" t="str">
        <f>_xlfn.LET(
    _xlpm.status, _xlfn.XLOOKUP($A296,'EA-ConnectorExport'!$A:$A,'EA-ConnectorExport'!G:G),
    _xlpm.result, _xlfn.XLOOKUP($A296,'EA-ConnectorExport'!$A:$A,'EA-ConnectorExport'!B:B),
    IF(_xlpm.status="allocate", _xlpm.result, "")
)</f>
        <v>Solomon Mine Hub: Train Load Out (TLO)</v>
      </c>
      <c r="R296" s="2" t="str">
        <f>IF(
    _xlfn.XLOOKUP($Q296,'EA-Fortescue_SDExport'!A:A,'EA-Fortescue_SDExport'!B:B)="Object",
    _xlfn.XLOOKUP(
        _xlfn.XLOOKUP($A296,'EA-ConnectorExport'!A:A,'EA-ConnectorExport'!D:D),
        'EA-Fortescue_SDExport'!A:A,
        'EA-Fortescue_SDExport'!AA:AA
    ),
    _xlfn.XLOOKUP($Q296,'EA-Fortescue_SDExport'!A:A,'EA-Fortescue_SDExport'!AA:AA)
)</f>
        <v>System</v>
      </c>
      <c r="S296" s="2" t="str">
        <f>_xlfn.LET(_xlpm.result, _xlfn.XLOOKUP($Q296,'EA-Fortescue_SDExport'!$A:$A,'EA-Fortescue_SDExport'!AB:AB), IF(_xlpm.result=0,"",_xlpm.result))</f>
        <v/>
      </c>
      <c r="T296" s="2" t="str">
        <f>_xlfn.LET(_xlpm.result, _xlfn.XLOOKUP($Q296,'EA-Fortescue_SDExport'!$A:$A,'EA-Fortescue_SDExport'!AC:AC), IF(_xlpm.result=0,"",_xlpm.result))</f>
        <v>Solomon Mine Hub</v>
      </c>
      <c r="U296" s="2" t="str">
        <f>_xlfn.LET(
    _xlpm.isObject, _xlfn.XLOOKUP($Q296,'EA-Fortescue_SDExport'!A:A,'EA-Fortescue_SDExport'!B:B),
    _xlpm.lookupKey, IF(_xlpm.isObject="Object",
        _xlfn.XLOOKUP($A296,'EA-ConnectorExport'!A:A,'EA-ConnectorExport'!D:D),
        $Q296
    ),
    _xlpm.result, _xlfn.XLOOKUP(_xlpm.lookupKey,'EA-Fortescue_SDExport'!A:A,'EA-Fortescue_SDExport'!AD:AD),
    IF(_xlpm.result=0,"",_xlpm.result)
)</f>
        <v>001OP Fixed Process Plant</v>
      </c>
      <c r="V296" s="2" t="str">
        <f>_xlfn.LET(
    _xlpm.isObject, _xlfn.XLOOKUP($Q296,'EA-Fortescue_SDExport'!A:A,'EA-Fortescue_SDExport'!B:B),
    _xlpm.lookupKey, IF(_xlpm.isObject="Object",
        _xlfn.XLOOKUP($A296,'EA-ConnectorExport'!A:A,'EA-ConnectorExport'!D:D),
        $Q296
    ),
    _xlpm.result, _xlfn.XLOOKUP(_xlpm.lookupKey,'EA-Fortescue_SDExport'!A:A,'EA-Fortescue_SDExport'!AE:AE),
    IF(_xlpm.result=0,"",_xlpm.result)
)</f>
        <v>001OP-2920 Train Load Out (TLO)</v>
      </c>
      <c r="W296" s="2" t="str">
        <f>_xlfn.LET(
    _xlpm.isObject, _xlfn.XLOOKUP($Q296,'EA-Fortescue_SDExport'!A:A,'EA-Fortescue_SDExport'!B:B),
    _xlpm.lookupKey, IF(_xlpm.isObject="Object",
        _xlfn.XLOOKUP($A296,'EA-ConnectorExport'!A:A,'EA-ConnectorExport'!D:D),
        $Q296
    ),
    _xlpm.result, _xlfn.XLOOKUP(_xlpm.lookupKey,'EA-Fortescue_SDExport'!A:A,'EA-Fortescue_SDExport'!AF:AF),
    IF(_xlpm.result=0,"",_xlpm.result)
)</f>
        <v/>
      </c>
      <c r="X296" s="2" t="str">
        <f>_xlfn.LET(
    _xlpm.isObject, _xlfn.XLOOKUP($Q296,'EA-Fortescue_SDExport'!A:A,'EA-Fortescue_SDExport'!B:B),
    _xlpm.lookupKey, IF(_xlpm.isObject="Object",
        _xlfn.XLOOKUP($A296,'EA-ConnectorExport'!A:A,'EA-ConnectorExport'!D:D),
        $Q296
    ),
    _xlpm.result, _xlfn.XLOOKUP(_xlpm.lookupKey,'EA-Fortescue_SDExport'!A:A,'EA-Fortescue_SDExport'!AG:AG),
    IF(_xlpm.result=0,"",_xlpm.result)
)</f>
        <v/>
      </c>
      <c r="Y296" s="2" t="str">
        <f>_xlfn.LET(
    _xlpm.status, _xlfn.XLOOKUP($A296,'EA-ConnectorExport'!$A:$A,'EA-ConnectorExport'!G:G),
    _xlpm.result, _xlfn.XLOOKUP($A296,'EA-ConnectorExport'!$A:$A,'EA-ConnectorExport'!H:H),
    IF(_xlpm.status="allocate", _xlpm.result, "")
)</f>
        <v>855DC-1543-PPC Pit Power Capacity Planning Tool - Capacity Check</v>
      </c>
      <c r="Z296" s="2" t="str">
        <f>_xlfn.LET(
    _xlpm.isObject, _xlfn.XLOOKUP($Y296,'EA-Fortescue_SDExport'!A:A,'EA-Fortescue_SDExport'!B:B),
    _xlpm.lookupKey, IF(_xlpm.isObject="Object",
        _xlfn.XLOOKUP($A296,'EA-ConnectorExport'!A:A,'EA-ConnectorExport'!J:J),
        $Y296
    ),
    _xlpm.result, _xlfn.XLOOKUP(_xlpm.lookupKey,'EA-Fortescue_SDExport'!A:A,'EA-Fortescue_SDExport'!AA:AA),
    IF(_xlpm.result=0,"",_xlpm.result)
)</f>
        <v>Project</v>
      </c>
      <c r="AA296" s="2" t="str">
        <f>_xlfn.LET(_xlpm.result, _xlfn.XLOOKUP($Y296,'EA-Fortescue_SDExport'!$A:$A,'EA-Fortescue_SDExport'!AB:AB), IF(_xlpm.result=0,"",_xlpm.result))</f>
        <v>Operations Planning</v>
      </c>
      <c r="AB296" s="2" t="str">
        <f>_xlfn.LET(_xlpm.result, _xlfn.XLOOKUP($Y296,'EA-Fortescue_SDExport'!$A:$A,'EA-Fortescue_SDExport'!AC:AC), IF(_xlpm.result=0,"",_xlpm.result))</f>
        <v>AWS Fortescue Infrastructure</v>
      </c>
      <c r="AC296" s="2" t="str">
        <f>_xlfn.LET(
    _xlpm.isObject, _xlfn.XLOOKUP($Y296,'EA-Fortescue_SDExport'!A:A,'EA-Fortescue_SDExport'!B:B),
    _xlpm.lookupKey, IF(_xlpm.isObject="Object",
        _xlfn.XLOOKUP($A296,'EA-ConnectorExport'!A:A,'EA-ConnectorExport'!J:J),
        $Y296
    ),
    _xlpm.result, _xlfn.XLOOKUP(_xlpm.lookupKey,'EA-Fortescue_SDExport'!A:A,'EA-Fortescue_SDExport'!AD:AD),
    IF(_xlpm.result=0,"",_xlpm.result)
)</f>
        <v>855DC Decarb Green Systems</v>
      </c>
      <c r="AD296" s="2" t="str">
        <f>_xlfn.LET(
    _xlpm.isObject, _xlfn.XLOOKUP($Y296,'EA-Fortescue_SDExport'!A:A,'EA-Fortescue_SDExport'!B:B),
    _xlpm.lookupKey, IF(_xlpm.isObject="Object",
        _xlfn.XLOOKUP($A296,'EA-ConnectorExport'!A:A,'EA-ConnectorExport'!J:J),
        $Y296
    ),
    _xlpm.result, _xlfn.XLOOKUP(_xlpm.lookupKey,'EA-Fortescue_SDExport'!A:A,'EA-Fortescue_SDExport'!AE:AE),
    IF(_xlpm.result=0,"",_xlpm.result)
)</f>
        <v/>
      </c>
      <c r="AE296" s="2" t="str">
        <f>_xlfn.LET(
    _xlpm.isObject, _xlfn.XLOOKUP($Y296,'EA-Fortescue_SDExport'!A:A,'EA-Fortescue_SDExport'!B:B),
    _xlpm.lookupKey, IF(_xlpm.isObject="Object",
        _xlfn.XLOOKUP($A296,'EA-ConnectorExport'!A:A,'EA-ConnectorExport'!J:J),
        $Y296
    ),
    _xlpm.result, _xlfn.XLOOKUP(_xlpm.lookupKey,'EA-Fortescue_SDExport'!A:A,'EA-Fortescue_SDExport'!AF:AF),
    IF(_xlpm.result=0,"",_xlpm.result)
)</f>
        <v>855DC-1543-PPC Pit Power Capacity Planning Tool - Capacity Check</v>
      </c>
      <c r="AF296" s="2" t="str">
        <f>_xlfn.LET(
    _xlpm.isObject, _xlfn.XLOOKUP($Y296,'EA-Fortescue_SDExport'!A:A,'EA-Fortescue_SDExport'!B:B),
    _xlpm.lookupKey, IF(_xlpm.isObject="Object",
        _xlfn.XLOOKUP($A296,'EA-ConnectorExport'!A:A,'EA-ConnectorExport'!J:J),
        $Y296
    ),
    _xlpm.result, _xlfn.XLOOKUP(_xlpm.lookupKey,'EA-Fortescue_SDExport'!A:A,'EA-Fortescue_SDExport'!AG:AG),
    IF(_xlpm.result=0,"",_xlpm.result)
)</f>
        <v/>
      </c>
    </row>
    <row r="297" spans="1:32" ht="45" x14ac:dyDescent="0.25">
      <c r="A297" s="2" t="str">
        <v>DGS-I_0296</v>
      </c>
      <c r="B297" s="2" t="str">
        <f t="shared" si="16"/>
        <v>HV Transmission lines PEC # [W. Hub - SOL]|Eliwana Mine: Substation (33kV)</v>
      </c>
      <c r="C297" s="2" t="str">
        <f>_xlfn.LET(_xlpm.result, _xlfn.XLOOKUP(A297,'EA-Fortescue_SDExport'!A:A,'EA-Fortescue_SDExport'!AM:AM), IF(_xlpm.result=0,"",_xlpm.result))</f>
        <v/>
      </c>
      <c r="D297" s="2" t="str">
        <f>_xlfn.LET(_xlpm.result, _xlfn.XLOOKUP(A297,'EA-Fortescue_SDExport'!A:A,'EA-Fortescue_SDExport'!AN:AN), IF(_xlpm.result=0,"",_xlpm.result))</f>
        <v/>
      </c>
      <c r="E297" s="2" t="str">
        <f>_xlfn.XLOOKUP(R297&amp;Z297,Lookups!A:A,Lookups!B:B)</f>
        <v>System - Project Interface</v>
      </c>
      <c r="F297" s="2" t="str">
        <f>_xlfn.LET(_xlpm.result, _xlfn.XLOOKUP(A297,'EA-Fortescue_SDExport'!A:A,'EA-Fortescue_SDExport'!AP:AP), IF(_xlpm.result=0,"",_xlpm.result))</f>
        <v/>
      </c>
      <c r="G297" s="2" t="str">
        <f>IF(OR(AND(T297&lt;&gt;"", COUNTIF(Lookups!J:J, "*"&amp;T297&amp;"*")&gt;0), AND(AB297&lt;&gt;"", COUNTIF(Lookups!J:J, "*"&amp;AB297&amp;"*")&gt;0)), "Yes", "No")</f>
        <v>Yes</v>
      </c>
      <c r="H297" s="2" t="str">
        <f t="shared" si="17"/>
        <v>854DC Green Power|854DC Green Power</v>
      </c>
      <c r="I297" s="2" t="str">
        <f t="shared" si="18"/>
        <v>854DC-5660 HV Transmission lines|854DC-1521 HV Substations</v>
      </c>
      <c r="J297" s="2" t="str">
        <f t="shared" si="19"/>
        <v>N/A|854DC-1521-0001 Substation (33kV)</v>
      </c>
      <c r="K297" s="2" t="str">
        <f>_xlfn.XLOOKUP(A297,'EA-Fortescue_SDExport'!A:A,'EA-Fortescue_SDExport'!N:N)</f>
        <v>Proposed</v>
      </c>
      <c r="L297" s="2" t="str">
        <f>_xlfn.LET(_xlpm.result, _xlfn.XLOOKUP($A297,'EA-Fortescue_SDExport'!$A:$A,'EA-Fortescue_SDExport'!AQ:AQ), IF(_xlpm.result=0,"",_xlpm.result))</f>
        <v/>
      </c>
      <c r="M297" s="2" t="str">
        <f>_xlfn.LET(_xlpm.result, _xlfn.XLOOKUP($A297,'EA-Fortescue_SDExport'!$A:$A,'EA-Fortescue_SDExport'!AR:AR), IF(_xlpm.result=0,"",_xlpm.result))</f>
        <v/>
      </c>
      <c r="N297" s="2" t="str">
        <f>_xlfn.LET(_xlpm.result, _xlfn.XLOOKUP($A297,'EA-Fortescue_SDExport'!$A:$A,'EA-Fortescue_SDExport'!AW:AW), IF(_xlpm.result=0,"",_xlpm.result))</f>
        <v/>
      </c>
      <c r="O297" s="2" t="str">
        <f>_xlfn.LET(_xlpm.result, _xlfn.XLOOKUP($A297,'EA-Fortescue_SDExport'!$A:$A,'EA-Fortescue_SDExport'!AV:AV), IF(_xlpm.result=0,"",_xlpm.result))</f>
        <v/>
      </c>
      <c r="P297" s="2" t="str">
        <f>_xlfn.LET(_xlpm.result, _xlfn.XLOOKUP($A297,'EA-Fortescue_SDExport'!$A:$A,'EA-Fortescue_SDExport'!D:D), IF(_xlpm.result=0,"",_xlpm.result))</f>
        <v/>
      </c>
      <c r="Q297" s="2" t="str">
        <f>_xlfn.LET(
    _xlpm.status, _xlfn.XLOOKUP($A297,'EA-ConnectorExport'!$A:$A,'EA-ConnectorExport'!G:G),
    _xlpm.result, _xlfn.XLOOKUP($A297,'EA-ConnectorExport'!$A:$A,'EA-ConnectorExport'!B:B),
    IF(_xlpm.status="allocate", _xlpm.result, "")
)</f>
        <v>HV Transmission lines PEC # [W. Hub - SOL]</v>
      </c>
      <c r="R297" s="2" t="str">
        <f>IF(
    _xlfn.XLOOKUP($Q297,'EA-Fortescue_SDExport'!A:A,'EA-Fortescue_SDExport'!B:B)="Object",
    _xlfn.XLOOKUP(
        _xlfn.XLOOKUP($A297,'EA-ConnectorExport'!A:A,'EA-ConnectorExport'!D:D),
        'EA-Fortescue_SDExport'!A:A,
        'EA-Fortescue_SDExport'!AA:AA
    ),
    _xlfn.XLOOKUP($Q297,'EA-Fortescue_SDExport'!A:A,'EA-Fortescue_SDExport'!AA:AA)
)</f>
        <v>System</v>
      </c>
      <c r="S297" s="2" t="str">
        <f>_xlfn.LET(_xlpm.result, _xlfn.XLOOKUP($Q297,'EA-Fortescue_SDExport'!$A:$A,'EA-Fortescue_SDExport'!AB:AB), IF(_xlpm.result=0,"",_xlpm.result))</f>
        <v/>
      </c>
      <c r="T297" s="2" t="str">
        <f>_xlfn.LET(_xlpm.result, _xlfn.XLOOKUP($Q297,'EA-Fortescue_SDExport'!$A:$A,'EA-Fortescue_SDExport'!AC:AC), IF(_xlpm.result=0,"",_xlpm.result))</f>
        <v>PEC # [W. Hub - SOL]</v>
      </c>
      <c r="U297" s="2" t="str">
        <f>_xlfn.LET(
    _xlpm.isObject, _xlfn.XLOOKUP($Q297,'EA-Fortescue_SDExport'!A:A,'EA-Fortescue_SDExport'!B:B),
    _xlpm.lookupKey, IF(_xlpm.isObject="Object",
        _xlfn.XLOOKUP($A297,'EA-ConnectorExport'!A:A,'EA-ConnectorExport'!D:D),
        $Q297
    ),
    _xlpm.result, _xlfn.XLOOKUP(_xlpm.lookupKey,'EA-Fortescue_SDExport'!A:A,'EA-Fortescue_SDExport'!AD:AD),
    IF(_xlpm.result=0,"",_xlpm.result)
)</f>
        <v>854DC Green Power</v>
      </c>
      <c r="V297" s="2" t="str">
        <f>_xlfn.LET(
    _xlpm.isObject, _xlfn.XLOOKUP($Q297,'EA-Fortescue_SDExport'!A:A,'EA-Fortescue_SDExport'!B:B),
    _xlpm.lookupKey, IF(_xlpm.isObject="Object",
        _xlfn.XLOOKUP($A297,'EA-ConnectorExport'!A:A,'EA-ConnectorExport'!D:D),
        $Q297
    ),
    _xlpm.result, _xlfn.XLOOKUP(_xlpm.lookupKey,'EA-Fortescue_SDExport'!A:A,'EA-Fortescue_SDExport'!AE:AE),
    IF(_xlpm.result=0,"",_xlpm.result)
)</f>
        <v>854DC-5660 HV Transmission lines</v>
      </c>
      <c r="W297" s="2" t="str">
        <f>_xlfn.LET(
    _xlpm.isObject, _xlfn.XLOOKUP($Q297,'EA-Fortescue_SDExport'!A:A,'EA-Fortescue_SDExport'!B:B),
    _xlpm.lookupKey, IF(_xlpm.isObject="Object",
        _xlfn.XLOOKUP($A297,'EA-ConnectorExport'!A:A,'EA-ConnectorExport'!D:D),
        $Q297
    ),
    _xlpm.result, _xlfn.XLOOKUP(_xlpm.lookupKey,'EA-Fortescue_SDExport'!A:A,'EA-Fortescue_SDExport'!AF:AF),
    IF(_xlpm.result=0,"",_xlpm.result)
)</f>
        <v/>
      </c>
      <c r="X297" s="2" t="str">
        <f>_xlfn.LET(
    _xlpm.isObject, _xlfn.XLOOKUP($Q297,'EA-Fortescue_SDExport'!A:A,'EA-Fortescue_SDExport'!B:B),
    _xlpm.lookupKey, IF(_xlpm.isObject="Object",
        _xlfn.XLOOKUP($A297,'EA-ConnectorExport'!A:A,'EA-ConnectorExport'!D:D),
        $Q297
    ),
    _xlpm.result, _xlfn.XLOOKUP(_xlpm.lookupKey,'EA-Fortescue_SDExport'!A:A,'EA-Fortescue_SDExport'!AG:AG),
    IF(_xlpm.result=0,"",_xlpm.result)
)</f>
        <v/>
      </c>
      <c r="Y297" s="2" t="str">
        <f>_xlfn.LET(
    _xlpm.status, _xlfn.XLOOKUP($A297,'EA-ConnectorExport'!$A:$A,'EA-ConnectorExport'!G:G),
    _xlpm.result, _xlfn.XLOOKUP($A297,'EA-ConnectorExport'!$A:$A,'EA-ConnectorExport'!H:H),
    IF(_xlpm.status="allocate", _xlpm.result, "")
)</f>
        <v>Eliwana Mine: Substation (33kV)</v>
      </c>
      <c r="Z297" s="2" t="str">
        <f>_xlfn.LET(
    _xlpm.isObject, _xlfn.XLOOKUP($Y297,'EA-Fortescue_SDExport'!A:A,'EA-Fortescue_SDExport'!B:B),
    _xlpm.lookupKey, IF(_xlpm.isObject="Object",
        _xlfn.XLOOKUP($A297,'EA-ConnectorExport'!A:A,'EA-ConnectorExport'!J:J),
        $Y297
    ),
    _xlpm.result, _xlfn.XLOOKUP(_xlpm.lookupKey,'EA-Fortescue_SDExport'!A:A,'EA-Fortescue_SDExport'!AA:AA),
    IF(_xlpm.result=0,"",_xlpm.result)
)</f>
        <v>Project</v>
      </c>
      <c r="AA297" s="2" t="str">
        <f>_xlfn.LET(_xlpm.result, _xlfn.XLOOKUP($Y297,'EA-Fortescue_SDExport'!$A:$A,'EA-Fortescue_SDExport'!AB:AB), IF(_xlpm.result=0,"",_xlpm.result))</f>
        <v/>
      </c>
      <c r="AB297" s="2" t="str">
        <f>_xlfn.LET(_xlpm.result, _xlfn.XLOOKUP($Y297,'EA-Fortescue_SDExport'!$A:$A,'EA-Fortescue_SDExport'!AC:AC), IF(_xlpm.result=0,"",_xlpm.result))</f>
        <v>Eliwana Mine</v>
      </c>
      <c r="AC297" s="2" t="str">
        <f>_xlfn.LET(
    _xlpm.isObject, _xlfn.XLOOKUP($Y297,'EA-Fortescue_SDExport'!A:A,'EA-Fortescue_SDExport'!B:B),
    _xlpm.lookupKey, IF(_xlpm.isObject="Object",
        _xlfn.XLOOKUP($A297,'EA-ConnectorExport'!A:A,'EA-ConnectorExport'!J:J),
        $Y297
    ),
    _xlpm.result, _xlfn.XLOOKUP(_xlpm.lookupKey,'EA-Fortescue_SDExport'!A:A,'EA-Fortescue_SDExport'!AD:AD),
    IF(_xlpm.result=0,"",_xlpm.result)
)</f>
        <v>854DC Green Power</v>
      </c>
      <c r="AD297" s="2" t="str">
        <f>_xlfn.LET(
    _xlpm.isObject, _xlfn.XLOOKUP($Y297,'EA-Fortescue_SDExport'!A:A,'EA-Fortescue_SDExport'!B:B),
    _xlpm.lookupKey, IF(_xlpm.isObject="Object",
        _xlfn.XLOOKUP($A297,'EA-ConnectorExport'!A:A,'EA-ConnectorExport'!J:J),
        $Y297
    ),
    _xlpm.result, _xlfn.XLOOKUP(_xlpm.lookupKey,'EA-Fortescue_SDExport'!A:A,'EA-Fortescue_SDExport'!AE:AE),
    IF(_xlpm.result=0,"",_xlpm.result)
)</f>
        <v>854DC-1521 HV Substations</v>
      </c>
      <c r="AE297" s="2" t="str">
        <f>_xlfn.LET(
    _xlpm.isObject, _xlfn.XLOOKUP($Y297,'EA-Fortescue_SDExport'!A:A,'EA-Fortescue_SDExport'!B:B),
    _xlpm.lookupKey, IF(_xlpm.isObject="Object",
        _xlfn.XLOOKUP($A297,'EA-ConnectorExport'!A:A,'EA-ConnectorExport'!J:J),
        $Y297
    ),
    _xlpm.result, _xlfn.XLOOKUP(_xlpm.lookupKey,'EA-Fortescue_SDExport'!A:A,'EA-Fortescue_SDExport'!AF:AF),
    IF(_xlpm.result=0,"",_xlpm.result)
)</f>
        <v>854DC-1521-0001 Substation (33kV)</v>
      </c>
      <c r="AF297" s="2" t="str">
        <f>_xlfn.LET(
    _xlpm.isObject, _xlfn.XLOOKUP($Y297,'EA-Fortescue_SDExport'!A:A,'EA-Fortescue_SDExport'!B:B),
    _xlpm.lookupKey, IF(_xlpm.isObject="Object",
        _xlfn.XLOOKUP($A297,'EA-ConnectorExport'!A:A,'EA-ConnectorExport'!J:J),
        $Y297
    ),
    _xlpm.result, _xlfn.XLOOKUP(_xlpm.lookupKey,'EA-Fortescue_SDExport'!A:A,'EA-Fortescue_SDExport'!AG:AG),
    IF(_xlpm.result=0,"",_xlpm.result)
)</f>
        <v/>
      </c>
    </row>
    <row r="298" spans="1:32" ht="45" x14ac:dyDescent="0.25">
      <c r="A298" s="2" t="str">
        <v>DGS-I_0297</v>
      </c>
      <c r="B298" s="2" t="str">
        <f t="shared" si="16"/>
        <v>HV Transmission lines PEC # [W. Hub - SOL]|Solomon Mine Hub: Substation (220kV)</v>
      </c>
      <c r="C298" s="2" t="str">
        <f>_xlfn.LET(_xlpm.result, _xlfn.XLOOKUP(A298,'EA-Fortescue_SDExport'!A:A,'EA-Fortescue_SDExport'!AM:AM), IF(_xlpm.result=0,"",_xlpm.result))</f>
        <v/>
      </c>
      <c r="D298" s="2" t="str">
        <f>_xlfn.LET(_xlpm.result, _xlfn.XLOOKUP(A298,'EA-Fortescue_SDExport'!A:A,'EA-Fortescue_SDExport'!AN:AN), IF(_xlpm.result=0,"",_xlpm.result))</f>
        <v/>
      </c>
      <c r="E298" s="2" t="str">
        <f>_xlfn.XLOOKUP(R298&amp;Z298,Lookups!A:A,Lookups!B:B)</f>
        <v>System - Project Interface</v>
      </c>
      <c r="F298" s="2" t="str">
        <f>_xlfn.LET(_xlpm.result, _xlfn.XLOOKUP(A298,'EA-Fortescue_SDExport'!A:A,'EA-Fortescue_SDExport'!AP:AP), IF(_xlpm.result=0,"",_xlpm.result))</f>
        <v/>
      </c>
      <c r="G298" s="2" t="str">
        <f>IF(OR(AND(T298&lt;&gt;"", COUNTIF(Lookups!J:J, "*"&amp;T298&amp;"*")&gt;0), AND(AB298&lt;&gt;"", COUNTIF(Lookups!J:J, "*"&amp;AB298&amp;"*")&gt;0)), "Yes", "No")</f>
        <v>Yes</v>
      </c>
      <c r="H298" s="2" t="str">
        <f t="shared" si="17"/>
        <v>854DC Green Power|854DC Green Power</v>
      </c>
      <c r="I298" s="2" t="str">
        <f t="shared" si="18"/>
        <v>854DC-5660 HV Transmission lines|854DC-1521 HV Substations</v>
      </c>
      <c r="J298" s="2" t="str">
        <f t="shared" si="19"/>
        <v>N/A|854DC-1521-0004 Substation (220kV)</v>
      </c>
      <c r="K298" s="2" t="str">
        <f>_xlfn.XLOOKUP(A298,'EA-Fortescue_SDExport'!A:A,'EA-Fortescue_SDExport'!N:N)</f>
        <v>Proposed</v>
      </c>
      <c r="L298" s="2" t="str">
        <f>_xlfn.LET(_xlpm.result, _xlfn.XLOOKUP($A298,'EA-Fortescue_SDExport'!$A:$A,'EA-Fortescue_SDExport'!AQ:AQ), IF(_xlpm.result=0,"",_xlpm.result))</f>
        <v/>
      </c>
      <c r="M298" s="2" t="str">
        <f>_xlfn.LET(_xlpm.result, _xlfn.XLOOKUP($A298,'EA-Fortescue_SDExport'!$A:$A,'EA-Fortescue_SDExport'!AR:AR), IF(_xlpm.result=0,"",_xlpm.result))</f>
        <v/>
      </c>
      <c r="N298" s="2" t="str">
        <f>_xlfn.LET(_xlpm.result, _xlfn.XLOOKUP($A298,'EA-Fortescue_SDExport'!$A:$A,'EA-Fortescue_SDExport'!AW:AW), IF(_xlpm.result=0,"",_xlpm.result))</f>
        <v/>
      </c>
      <c r="O298" s="2" t="str">
        <f>_xlfn.LET(_xlpm.result, _xlfn.XLOOKUP($A298,'EA-Fortescue_SDExport'!$A:$A,'EA-Fortescue_SDExport'!AV:AV), IF(_xlpm.result=0,"",_xlpm.result))</f>
        <v/>
      </c>
      <c r="P298" s="2" t="str">
        <f>_xlfn.LET(_xlpm.result, _xlfn.XLOOKUP($A298,'EA-Fortescue_SDExport'!$A:$A,'EA-Fortescue_SDExport'!D:D), IF(_xlpm.result=0,"",_xlpm.result))</f>
        <v/>
      </c>
      <c r="Q298" s="2" t="str">
        <f>_xlfn.LET(
    _xlpm.status, _xlfn.XLOOKUP($A298,'EA-ConnectorExport'!$A:$A,'EA-ConnectorExport'!G:G),
    _xlpm.result, _xlfn.XLOOKUP($A298,'EA-ConnectorExport'!$A:$A,'EA-ConnectorExport'!B:B),
    IF(_xlpm.status="allocate", _xlpm.result, "")
)</f>
        <v>HV Transmission lines PEC # [W. Hub - SOL]</v>
      </c>
      <c r="R298" s="2" t="str">
        <f>IF(
    _xlfn.XLOOKUP($Q298,'EA-Fortescue_SDExport'!A:A,'EA-Fortescue_SDExport'!B:B)="Object",
    _xlfn.XLOOKUP(
        _xlfn.XLOOKUP($A298,'EA-ConnectorExport'!A:A,'EA-ConnectorExport'!D:D),
        'EA-Fortescue_SDExport'!A:A,
        'EA-Fortescue_SDExport'!AA:AA
    ),
    _xlfn.XLOOKUP($Q298,'EA-Fortescue_SDExport'!A:A,'EA-Fortescue_SDExport'!AA:AA)
)</f>
        <v>System</v>
      </c>
      <c r="S298" s="2" t="str">
        <f>_xlfn.LET(_xlpm.result, _xlfn.XLOOKUP($Q298,'EA-Fortescue_SDExport'!$A:$A,'EA-Fortescue_SDExport'!AB:AB), IF(_xlpm.result=0,"",_xlpm.result))</f>
        <v/>
      </c>
      <c r="T298" s="2" t="str">
        <f>_xlfn.LET(_xlpm.result, _xlfn.XLOOKUP($Q298,'EA-Fortescue_SDExport'!$A:$A,'EA-Fortescue_SDExport'!AC:AC), IF(_xlpm.result=0,"",_xlpm.result))</f>
        <v>PEC # [W. Hub - SOL]</v>
      </c>
      <c r="U298" s="2" t="str">
        <f>_xlfn.LET(
    _xlpm.isObject, _xlfn.XLOOKUP($Q298,'EA-Fortescue_SDExport'!A:A,'EA-Fortescue_SDExport'!B:B),
    _xlpm.lookupKey, IF(_xlpm.isObject="Object",
        _xlfn.XLOOKUP($A298,'EA-ConnectorExport'!A:A,'EA-ConnectorExport'!D:D),
        $Q298
    ),
    _xlpm.result, _xlfn.XLOOKUP(_xlpm.lookupKey,'EA-Fortescue_SDExport'!A:A,'EA-Fortescue_SDExport'!AD:AD),
    IF(_xlpm.result=0,"",_xlpm.result)
)</f>
        <v>854DC Green Power</v>
      </c>
      <c r="V298" s="2" t="str">
        <f>_xlfn.LET(
    _xlpm.isObject, _xlfn.XLOOKUP($Q298,'EA-Fortescue_SDExport'!A:A,'EA-Fortescue_SDExport'!B:B),
    _xlpm.lookupKey, IF(_xlpm.isObject="Object",
        _xlfn.XLOOKUP($A298,'EA-ConnectorExport'!A:A,'EA-ConnectorExport'!D:D),
        $Q298
    ),
    _xlpm.result, _xlfn.XLOOKUP(_xlpm.lookupKey,'EA-Fortescue_SDExport'!A:A,'EA-Fortescue_SDExport'!AE:AE),
    IF(_xlpm.result=0,"",_xlpm.result)
)</f>
        <v>854DC-5660 HV Transmission lines</v>
      </c>
      <c r="W298" s="2" t="str">
        <f>_xlfn.LET(
    _xlpm.isObject, _xlfn.XLOOKUP($Q298,'EA-Fortescue_SDExport'!A:A,'EA-Fortescue_SDExport'!B:B),
    _xlpm.lookupKey, IF(_xlpm.isObject="Object",
        _xlfn.XLOOKUP($A298,'EA-ConnectorExport'!A:A,'EA-ConnectorExport'!D:D),
        $Q298
    ),
    _xlpm.result, _xlfn.XLOOKUP(_xlpm.lookupKey,'EA-Fortescue_SDExport'!A:A,'EA-Fortescue_SDExport'!AF:AF),
    IF(_xlpm.result=0,"",_xlpm.result)
)</f>
        <v/>
      </c>
      <c r="X298" s="2" t="str">
        <f>_xlfn.LET(
    _xlpm.isObject, _xlfn.XLOOKUP($Q298,'EA-Fortescue_SDExport'!A:A,'EA-Fortescue_SDExport'!B:B),
    _xlpm.lookupKey, IF(_xlpm.isObject="Object",
        _xlfn.XLOOKUP($A298,'EA-ConnectorExport'!A:A,'EA-ConnectorExport'!D:D),
        $Q298
    ),
    _xlpm.result, _xlfn.XLOOKUP(_xlpm.lookupKey,'EA-Fortescue_SDExport'!A:A,'EA-Fortescue_SDExport'!AG:AG),
    IF(_xlpm.result=0,"",_xlpm.result)
)</f>
        <v/>
      </c>
      <c r="Y298" s="2" t="str">
        <f>_xlfn.LET(
    _xlpm.status, _xlfn.XLOOKUP($A298,'EA-ConnectorExport'!$A:$A,'EA-ConnectorExport'!G:G),
    _xlpm.result, _xlfn.XLOOKUP($A298,'EA-ConnectorExport'!$A:$A,'EA-ConnectorExport'!H:H),
    IF(_xlpm.status="allocate", _xlpm.result, "")
)</f>
        <v>Solomon Mine Hub: Substation (220kV)</v>
      </c>
      <c r="Z298" s="2" t="str">
        <f>_xlfn.LET(
    _xlpm.isObject, _xlfn.XLOOKUP($Y298,'EA-Fortescue_SDExport'!A:A,'EA-Fortescue_SDExport'!B:B),
    _xlpm.lookupKey, IF(_xlpm.isObject="Object",
        _xlfn.XLOOKUP($A298,'EA-ConnectorExport'!A:A,'EA-ConnectorExport'!J:J),
        $Y298
    ),
    _xlpm.result, _xlfn.XLOOKUP(_xlpm.lookupKey,'EA-Fortescue_SDExport'!A:A,'EA-Fortescue_SDExport'!AA:AA),
    IF(_xlpm.result=0,"",_xlpm.result)
)</f>
        <v>Project</v>
      </c>
      <c r="AA298" s="2" t="str">
        <f>_xlfn.LET(_xlpm.result, _xlfn.XLOOKUP($Y298,'EA-Fortescue_SDExport'!$A:$A,'EA-Fortescue_SDExport'!AB:AB), IF(_xlpm.result=0,"",_xlpm.result))</f>
        <v/>
      </c>
      <c r="AB298" s="2" t="str">
        <f>_xlfn.LET(_xlpm.result, _xlfn.XLOOKUP($Y298,'EA-Fortescue_SDExport'!$A:$A,'EA-Fortescue_SDExport'!AC:AC), IF(_xlpm.result=0,"",_xlpm.result))</f>
        <v>Solomon Mine Hub</v>
      </c>
      <c r="AC298" s="2" t="str">
        <f>_xlfn.LET(
    _xlpm.isObject, _xlfn.XLOOKUP($Y298,'EA-Fortescue_SDExport'!A:A,'EA-Fortescue_SDExport'!B:B),
    _xlpm.lookupKey, IF(_xlpm.isObject="Object",
        _xlfn.XLOOKUP($A298,'EA-ConnectorExport'!A:A,'EA-ConnectorExport'!J:J),
        $Y298
    ),
    _xlpm.result, _xlfn.XLOOKUP(_xlpm.lookupKey,'EA-Fortescue_SDExport'!A:A,'EA-Fortescue_SDExport'!AD:AD),
    IF(_xlpm.result=0,"",_xlpm.result)
)</f>
        <v>854DC Green Power</v>
      </c>
      <c r="AD298" s="2" t="str">
        <f>_xlfn.LET(
    _xlpm.isObject, _xlfn.XLOOKUP($Y298,'EA-Fortescue_SDExport'!A:A,'EA-Fortescue_SDExport'!B:B),
    _xlpm.lookupKey, IF(_xlpm.isObject="Object",
        _xlfn.XLOOKUP($A298,'EA-ConnectorExport'!A:A,'EA-ConnectorExport'!J:J),
        $Y298
    ),
    _xlpm.result, _xlfn.XLOOKUP(_xlpm.lookupKey,'EA-Fortescue_SDExport'!A:A,'EA-Fortescue_SDExport'!AE:AE),
    IF(_xlpm.result=0,"",_xlpm.result)
)</f>
        <v>854DC-1521 HV Substations</v>
      </c>
      <c r="AE298" s="2" t="str">
        <f>_xlfn.LET(
    _xlpm.isObject, _xlfn.XLOOKUP($Y298,'EA-Fortescue_SDExport'!A:A,'EA-Fortescue_SDExport'!B:B),
    _xlpm.lookupKey, IF(_xlpm.isObject="Object",
        _xlfn.XLOOKUP($A298,'EA-ConnectorExport'!A:A,'EA-ConnectorExport'!J:J),
        $Y298
    ),
    _xlpm.result, _xlfn.XLOOKUP(_xlpm.lookupKey,'EA-Fortescue_SDExport'!A:A,'EA-Fortescue_SDExport'!AF:AF),
    IF(_xlpm.result=0,"",_xlpm.result)
)</f>
        <v>854DC-1521-0004 Substation (220kV)</v>
      </c>
      <c r="AF298" s="2" t="str">
        <f>_xlfn.LET(
    _xlpm.isObject, _xlfn.XLOOKUP($Y298,'EA-Fortescue_SDExport'!A:A,'EA-Fortescue_SDExport'!B:B),
    _xlpm.lookupKey, IF(_xlpm.isObject="Object",
        _xlfn.XLOOKUP($A298,'EA-ConnectorExport'!A:A,'EA-ConnectorExport'!J:J),
        $Y298
    ),
    _xlpm.result, _xlfn.XLOOKUP(_xlpm.lookupKey,'EA-Fortescue_SDExport'!A:A,'EA-Fortescue_SDExport'!AG:AG),
    IF(_xlpm.result=0,"",_xlpm.result)
)</f>
        <v/>
      </c>
    </row>
    <row r="299" spans="1:32" ht="45" x14ac:dyDescent="0.25">
      <c r="A299" s="2" t="str">
        <v>DGS-I_0298</v>
      </c>
      <c r="B299" s="2" t="str">
        <f t="shared" si="16"/>
        <v>HV Transmission lines PEC # [SOL - LBD]|Solomon Mine Hub: Substation (220kV)</v>
      </c>
      <c r="C299" s="2" t="str">
        <f>_xlfn.LET(_xlpm.result, _xlfn.XLOOKUP(A299,'EA-Fortescue_SDExport'!A:A,'EA-Fortescue_SDExport'!AM:AM), IF(_xlpm.result=0,"",_xlpm.result))</f>
        <v/>
      </c>
      <c r="D299" s="2" t="str">
        <f>_xlfn.LET(_xlpm.result, _xlfn.XLOOKUP(A299,'EA-Fortescue_SDExport'!A:A,'EA-Fortescue_SDExport'!AN:AN), IF(_xlpm.result=0,"",_xlpm.result))</f>
        <v/>
      </c>
      <c r="E299" s="2" t="str">
        <f>_xlfn.XLOOKUP(R299&amp;Z299,Lookups!A:A,Lookups!B:B)</f>
        <v>System - Project Interface</v>
      </c>
      <c r="F299" s="2" t="str">
        <f>_xlfn.LET(_xlpm.result, _xlfn.XLOOKUP(A299,'EA-Fortescue_SDExport'!A:A,'EA-Fortescue_SDExport'!AP:AP), IF(_xlpm.result=0,"",_xlpm.result))</f>
        <v/>
      </c>
      <c r="G299" s="2" t="str">
        <f>IF(OR(AND(T299&lt;&gt;"", COUNTIF(Lookups!J:J, "*"&amp;T299&amp;"*")&gt;0), AND(AB299&lt;&gt;"", COUNTIF(Lookups!J:J, "*"&amp;AB299&amp;"*")&gt;0)), "Yes", "No")</f>
        <v>Yes</v>
      </c>
      <c r="H299" s="2" t="str">
        <f t="shared" si="17"/>
        <v>854DC Green Power|854DC Green Power</v>
      </c>
      <c r="I299" s="2" t="str">
        <f t="shared" si="18"/>
        <v>854DC-5660 HV Transmission lines|854DC-1521 HV Substations</v>
      </c>
      <c r="J299" s="2" t="str">
        <f t="shared" si="19"/>
        <v>N/A|854DC-1521-0004 Substation (220kV)</v>
      </c>
      <c r="K299" s="2" t="str">
        <f>_xlfn.XLOOKUP(A299,'EA-Fortescue_SDExport'!A:A,'EA-Fortescue_SDExport'!N:N)</f>
        <v>Proposed</v>
      </c>
      <c r="L299" s="2" t="str">
        <f>_xlfn.LET(_xlpm.result, _xlfn.XLOOKUP($A299,'EA-Fortescue_SDExport'!$A:$A,'EA-Fortescue_SDExport'!AQ:AQ), IF(_xlpm.result=0,"",_xlpm.result))</f>
        <v/>
      </c>
      <c r="M299" s="2" t="str">
        <f>_xlfn.LET(_xlpm.result, _xlfn.XLOOKUP($A299,'EA-Fortescue_SDExport'!$A:$A,'EA-Fortescue_SDExport'!AR:AR), IF(_xlpm.result=0,"",_xlpm.result))</f>
        <v/>
      </c>
      <c r="N299" s="2" t="str">
        <f>_xlfn.LET(_xlpm.result, _xlfn.XLOOKUP($A299,'EA-Fortescue_SDExport'!$A:$A,'EA-Fortescue_SDExport'!AW:AW), IF(_xlpm.result=0,"",_xlpm.result))</f>
        <v/>
      </c>
      <c r="O299" s="2" t="str">
        <f>_xlfn.LET(_xlpm.result, _xlfn.XLOOKUP($A299,'EA-Fortescue_SDExport'!$A:$A,'EA-Fortescue_SDExport'!AV:AV), IF(_xlpm.result=0,"",_xlpm.result))</f>
        <v/>
      </c>
      <c r="P299" s="2" t="str">
        <f>_xlfn.LET(_xlpm.result, _xlfn.XLOOKUP($A299,'EA-Fortescue_SDExport'!$A:$A,'EA-Fortescue_SDExport'!D:D), IF(_xlpm.result=0,"",_xlpm.result))</f>
        <v/>
      </c>
      <c r="Q299" s="2" t="str">
        <f>_xlfn.LET(
    _xlpm.status, _xlfn.XLOOKUP($A299,'EA-ConnectorExport'!$A:$A,'EA-ConnectorExport'!G:G),
    _xlpm.result, _xlfn.XLOOKUP($A299,'EA-ConnectorExport'!$A:$A,'EA-ConnectorExport'!B:B),
    IF(_xlpm.status="allocate", _xlpm.result, "")
)</f>
        <v>HV Transmission lines PEC # [SOL - LBD]</v>
      </c>
      <c r="R299" s="2" t="str">
        <f>IF(
    _xlfn.XLOOKUP($Q299,'EA-Fortescue_SDExport'!A:A,'EA-Fortescue_SDExport'!B:B)="Object",
    _xlfn.XLOOKUP(
        _xlfn.XLOOKUP($A299,'EA-ConnectorExport'!A:A,'EA-ConnectorExport'!D:D),
        'EA-Fortescue_SDExport'!A:A,
        'EA-Fortescue_SDExport'!AA:AA
    ),
    _xlfn.XLOOKUP($Q299,'EA-Fortescue_SDExport'!A:A,'EA-Fortescue_SDExport'!AA:AA)
)</f>
        <v>System</v>
      </c>
      <c r="S299" s="2" t="str">
        <f>_xlfn.LET(_xlpm.result, _xlfn.XLOOKUP($Q299,'EA-Fortescue_SDExport'!$A:$A,'EA-Fortescue_SDExport'!AB:AB), IF(_xlpm.result=0,"",_xlpm.result))</f>
        <v/>
      </c>
      <c r="T299" s="2" t="str">
        <f>_xlfn.LET(_xlpm.result, _xlfn.XLOOKUP($Q299,'EA-Fortescue_SDExport'!$A:$A,'EA-Fortescue_SDExport'!AC:AC), IF(_xlpm.result=0,"",_xlpm.result))</f>
        <v>PEC # [SOL - LBD]</v>
      </c>
      <c r="U299" s="2" t="str">
        <f>_xlfn.LET(
    _xlpm.isObject, _xlfn.XLOOKUP($Q299,'EA-Fortescue_SDExport'!A:A,'EA-Fortescue_SDExport'!B:B),
    _xlpm.lookupKey, IF(_xlpm.isObject="Object",
        _xlfn.XLOOKUP($A299,'EA-ConnectorExport'!A:A,'EA-ConnectorExport'!D:D),
        $Q299
    ),
    _xlpm.result, _xlfn.XLOOKUP(_xlpm.lookupKey,'EA-Fortescue_SDExport'!A:A,'EA-Fortescue_SDExport'!AD:AD),
    IF(_xlpm.result=0,"",_xlpm.result)
)</f>
        <v>854DC Green Power</v>
      </c>
      <c r="V299" s="2" t="str">
        <f>_xlfn.LET(
    _xlpm.isObject, _xlfn.XLOOKUP($Q299,'EA-Fortescue_SDExport'!A:A,'EA-Fortescue_SDExport'!B:B),
    _xlpm.lookupKey, IF(_xlpm.isObject="Object",
        _xlfn.XLOOKUP($A299,'EA-ConnectorExport'!A:A,'EA-ConnectorExport'!D:D),
        $Q299
    ),
    _xlpm.result, _xlfn.XLOOKUP(_xlpm.lookupKey,'EA-Fortescue_SDExport'!A:A,'EA-Fortescue_SDExport'!AE:AE),
    IF(_xlpm.result=0,"",_xlpm.result)
)</f>
        <v>854DC-5660 HV Transmission lines</v>
      </c>
      <c r="W299" s="2" t="str">
        <f>_xlfn.LET(
    _xlpm.isObject, _xlfn.XLOOKUP($Q299,'EA-Fortescue_SDExport'!A:A,'EA-Fortescue_SDExport'!B:B),
    _xlpm.lookupKey, IF(_xlpm.isObject="Object",
        _xlfn.XLOOKUP($A299,'EA-ConnectorExport'!A:A,'EA-ConnectorExport'!D:D),
        $Q299
    ),
    _xlpm.result, _xlfn.XLOOKUP(_xlpm.lookupKey,'EA-Fortescue_SDExport'!A:A,'EA-Fortescue_SDExport'!AF:AF),
    IF(_xlpm.result=0,"",_xlpm.result)
)</f>
        <v/>
      </c>
      <c r="X299" s="2" t="str">
        <f>_xlfn.LET(
    _xlpm.isObject, _xlfn.XLOOKUP($Q299,'EA-Fortescue_SDExport'!A:A,'EA-Fortescue_SDExport'!B:B),
    _xlpm.lookupKey, IF(_xlpm.isObject="Object",
        _xlfn.XLOOKUP($A299,'EA-ConnectorExport'!A:A,'EA-ConnectorExport'!D:D),
        $Q299
    ),
    _xlpm.result, _xlfn.XLOOKUP(_xlpm.lookupKey,'EA-Fortescue_SDExport'!A:A,'EA-Fortescue_SDExport'!AG:AG),
    IF(_xlpm.result=0,"",_xlpm.result)
)</f>
        <v/>
      </c>
      <c r="Y299" s="2" t="str">
        <f>_xlfn.LET(
    _xlpm.status, _xlfn.XLOOKUP($A299,'EA-ConnectorExport'!$A:$A,'EA-ConnectorExport'!G:G),
    _xlpm.result, _xlfn.XLOOKUP($A299,'EA-ConnectorExport'!$A:$A,'EA-ConnectorExport'!H:H),
    IF(_xlpm.status="allocate", _xlpm.result, "")
)</f>
        <v>Solomon Mine Hub: Substation (220kV)</v>
      </c>
      <c r="Z299" s="2" t="str">
        <f>_xlfn.LET(
    _xlpm.isObject, _xlfn.XLOOKUP($Y299,'EA-Fortescue_SDExport'!A:A,'EA-Fortescue_SDExport'!B:B),
    _xlpm.lookupKey, IF(_xlpm.isObject="Object",
        _xlfn.XLOOKUP($A299,'EA-ConnectorExport'!A:A,'EA-ConnectorExport'!J:J),
        $Y299
    ),
    _xlpm.result, _xlfn.XLOOKUP(_xlpm.lookupKey,'EA-Fortescue_SDExport'!A:A,'EA-Fortescue_SDExport'!AA:AA),
    IF(_xlpm.result=0,"",_xlpm.result)
)</f>
        <v>Project</v>
      </c>
      <c r="AA299" s="2" t="str">
        <f>_xlfn.LET(_xlpm.result, _xlfn.XLOOKUP($Y299,'EA-Fortescue_SDExport'!$A:$A,'EA-Fortescue_SDExport'!AB:AB), IF(_xlpm.result=0,"",_xlpm.result))</f>
        <v/>
      </c>
      <c r="AB299" s="2" t="str">
        <f>_xlfn.LET(_xlpm.result, _xlfn.XLOOKUP($Y299,'EA-Fortescue_SDExport'!$A:$A,'EA-Fortescue_SDExport'!AC:AC), IF(_xlpm.result=0,"",_xlpm.result))</f>
        <v>Solomon Mine Hub</v>
      </c>
      <c r="AC299" s="2" t="str">
        <f>_xlfn.LET(
    _xlpm.isObject, _xlfn.XLOOKUP($Y299,'EA-Fortescue_SDExport'!A:A,'EA-Fortescue_SDExport'!B:B),
    _xlpm.lookupKey, IF(_xlpm.isObject="Object",
        _xlfn.XLOOKUP($A299,'EA-ConnectorExport'!A:A,'EA-ConnectorExport'!J:J),
        $Y299
    ),
    _xlpm.result, _xlfn.XLOOKUP(_xlpm.lookupKey,'EA-Fortescue_SDExport'!A:A,'EA-Fortescue_SDExport'!AD:AD),
    IF(_xlpm.result=0,"",_xlpm.result)
)</f>
        <v>854DC Green Power</v>
      </c>
      <c r="AD299" s="2" t="str">
        <f>_xlfn.LET(
    _xlpm.isObject, _xlfn.XLOOKUP($Y299,'EA-Fortescue_SDExport'!A:A,'EA-Fortescue_SDExport'!B:B),
    _xlpm.lookupKey, IF(_xlpm.isObject="Object",
        _xlfn.XLOOKUP($A299,'EA-ConnectorExport'!A:A,'EA-ConnectorExport'!J:J),
        $Y299
    ),
    _xlpm.result, _xlfn.XLOOKUP(_xlpm.lookupKey,'EA-Fortescue_SDExport'!A:A,'EA-Fortescue_SDExport'!AE:AE),
    IF(_xlpm.result=0,"",_xlpm.result)
)</f>
        <v>854DC-1521 HV Substations</v>
      </c>
      <c r="AE299" s="2" t="str">
        <f>_xlfn.LET(
    _xlpm.isObject, _xlfn.XLOOKUP($Y299,'EA-Fortescue_SDExport'!A:A,'EA-Fortescue_SDExport'!B:B),
    _xlpm.lookupKey, IF(_xlpm.isObject="Object",
        _xlfn.XLOOKUP($A299,'EA-ConnectorExport'!A:A,'EA-ConnectorExport'!J:J),
        $Y299
    ),
    _xlpm.result, _xlfn.XLOOKUP(_xlpm.lookupKey,'EA-Fortescue_SDExport'!A:A,'EA-Fortescue_SDExport'!AF:AF),
    IF(_xlpm.result=0,"",_xlpm.result)
)</f>
        <v>854DC-1521-0004 Substation (220kV)</v>
      </c>
      <c r="AF299" s="2" t="str">
        <f>_xlfn.LET(
    _xlpm.isObject, _xlfn.XLOOKUP($Y299,'EA-Fortescue_SDExport'!A:A,'EA-Fortescue_SDExport'!B:B),
    _xlpm.lookupKey, IF(_xlpm.isObject="Object",
        _xlfn.XLOOKUP($A299,'EA-ConnectorExport'!A:A,'EA-ConnectorExport'!J:J),
        $Y299
    ),
    _xlpm.result, _xlfn.XLOOKUP(_xlpm.lookupKey,'EA-Fortescue_SDExport'!A:A,'EA-Fortescue_SDExport'!AG:AG),
    IF(_xlpm.result=0,"",_xlpm.result)
)</f>
        <v/>
      </c>
    </row>
    <row r="300" spans="1:32" ht="300" x14ac:dyDescent="0.25">
      <c r="A300" s="2" t="str">
        <v>DGS-I_0299</v>
      </c>
      <c r="B300" s="2" t="str">
        <f t="shared" si="16"/>
        <v>855DC-1542-LMS Load Management System (LMS)|Solomon Mine Hub: Drill Rig</v>
      </c>
      <c r="C300" s="2" t="str">
        <f>_xlfn.LET(_xlpm.result, _xlfn.XLOOKUP(A300,'EA-Fortescue_SDExport'!A:A,'EA-Fortescue_SDExport'!AM:AM), IF(_xlpm.result=0,"",_xlpm.result))</f>
        <v/>
      </c>
      <c r="D300" s="2" t="str">
        <f>_xlfn.LET(_xlpm.result, _xlfn.XLOOKUP(A300,'EA-Fortescue_SDExport'!A:A,'EA-Fortescue_SDExport'!AN:AN), IF(_xlpm.result=0,"",_xlpm.result))</f>
        <v/>
      </c>
      <c r="E300" s="2" t="str">
        <f>_xlfn.XLOOKUP(R300&amp;Z300,Lookups!A:A,Lookups!B:B)</f>
        <v>System - Project Interface</v>
      </c>
      <c r="F300" s="2" t="str">
        <f>_xlfn.LET(_xlpm.result, _xlfn.XLOOKUP(A300,'EA-Fortescue_SDExport'!A:A,'EA-Fortescue_SDExport'!AP:AP), IF(_xlpm.result=0,"",_xlpm.result))</f>
        <v>Technical-Electrical</v>
      </c>
      <c r="G300" s="2" t="str">
        <f>IF(OR(AND(T300&lt;&gt;"", COUNTIF(Lookups!J:J, "*"&amp;T300&amp;"*")&gt;0), AND(AB300&lt;&gt;"", COUNTIF(Lookups!J:J, "*"&amp;AB300&amp;"*")&gt;0)), "Yes", "No")</f>
        <v>Yes</v>
      </c>
      <c r="H300" s="2" t="str">
        <f t="shared" si="17"/>
        <v>855DC Decarb Green Systems|853DC Decarb Ancillary</v>
      </c>
      <c r="I300" s="2" t="str">
        <f t="shared" si="18"/>
        <v>855DC-1542 Control &amp; Monitoring Systems|853DC-1561 Drill Rig</v>
      </c>
      <c r="J300" s="2" t="str">
        <f t="shared" si="19"/>
        <v>855DC-1542-LMS Load Management System (LMS)|N/A</v>
      </c>
      <c r="K300" s="2" t="str">
        <f>_xlfn.XLOOKUP(A300,'EA-Fortescue_SDExport'!A:A,'EA-Fortescue_SDExport'!N:N)</f>
        <v>Proposed</v>
      </c>
      <c r="L300" s="2" t="str">
        <f>_xlfn.LET(_xlpm.result, _xlfn.XLOOKUP($A300,'EA-Fortescue_SDExport'!$A:$A,'EA-Fortescue_SDExport'!AQ:AQ), IF(_xlpm.result=0,"",_xlpm.result))</f>
        <v>This interface provides drill rigs at the Solomon Mine Hub with real-time load limits and power-availability signals from LMS so drilling activities do not exceed electrical capacity.</v>
      </c>
      <c r="M300" s="2" t="str">
        <f>_xlfn.LET(_xlpm.result, _xlfn.XLOOKUP($A300,'EA-Fortescue_SDExport'!$A:$A,'EA-Fortescue_SDExport'!AR:AR), IF(_xlpm.result=0,"",_xlpm.result))</f>
        <v>MEDIUM</v>
      </c>
      <c r="N300" s="2" t="str">
        <f>_xlfn.LET(_xlpm.result, _xlfn.XLOOKUP($A300,'EA-Fortescue_SDExport'!$A:$A,'EA-Fortescue_SDExport'!AW:AW), IF(_xlpm.result=0,"",_xlpm.result))</f>
        <v>The criticality level is MEDIUM because, while drilling can continue, it may need to be throttled or paused if power conditions cannot be verified. LMS prevents electrical overloading and helps maintain safe operating conditions for drill rigs; losing the interface reduces safety margins and may cause operational inefficiencies, but not a complete loss of production.</v>
      </c>
      <c r="O300" s="2" t="str">
        <f>_xlfn.LET(_xlpm.result, _xlfn.XLOOKUP($A300,'EA-Fortescue_SDExport'!$A:$A,'EA-Fortescue_SDExport'!AV:AV), IF(_xlpm.result=0,"",_xlpm.result))</f>
        <v>Data Flow: Load Management System (LMS) -&gt; Drill Rigs (real-time load limits, available electrical capacity, curtailment signals, network status, overload warnings) to ensure drilling operations remain within safe network constraints.</v>
      </c>
      <c r="P300" s="2" t="str">
        <f>_xlfn.LET(_xlpm.result, _xlfn.XLOOKUP($A300,'EA-Fortescue_SDExport'!$A:$A,'EA-Fortescue_SDExport'!D:D), IF(_xlpm.result=0,"",_xlpm.result))</f>
        <v>From DGS-I_0038 (interface with generic Drill Rig): LMS Review 30/10/2025: Planning to connect with Drill rig platform. _x000D_
Unknown platform to interface with. talking directly to the PLC for the first drill. _x000D_
Sam Ward is closer to Drill Rig platform._x000D_
Owner of interface (Green systems Project team)_x000D_
NH 20/02/2026: Fields updated: Interface Type, Interface Flow.</v>
      </c>
      <c r="Q300" s="2" t="str">
        <f>_xlfn.LET(
    _xlpm.status, _xlfn.XLOOKUP($A300,'EA-ConnectorExport'!$A:$A,'EA-ConnectorExport'!G:G),
    _xlpm.result, _xlfn.XLOOKUP($A300,'EA-ConnectorExport'!$A:$A,'EA-ConnectorExport'!B:B),
    IF(_xlpm.status="allocate", _xlpm.result, "")
)</f>
        <v>855DC-1542-LMS Load Management System (LMS)</v>
      </c>
      <c r="R300" s="2" t="str">
        <f>IF(
    _xlfn.XLOOKUP($Q300,'EA-Fortescue_SDExport'!A:A,'EA-Fortescue_SDExport'!B:B)="Object",
    _xlfn.XLOOKUP(
        _xlfn.XLOOKUP($A300,'EA-ConnectorExport'!A:A,'EA-ConnectorExport'!D:D),
        'EA-Fortescue_SDExport'!A:A,
        'EA-Fortescue_SDExport'!AA:AA
    ),
    _xlfn.XLOOKUP($Q300,'EA-Fortescue_SDExport'!A:A,'EA-Fortescue_SDExport'!AA:AA)
)</f>
        <v>Project</v>
      </c>
      <c r="S300" s="2" t="str">
        <f>_xlfn.LET(_xlpm.result, _xlfn.XLOOKUP($Q300,'EA-Fortescue_SDExport'!$A:$A,'EA-Fortescue_SDExport'!AB:AB), IF(_xlpm.result=0,"",_xlpm.result))</f>
        <v>Mine Services</v>
      </c>
      <c r="T300" s="2" t="str">
        <f>_xlfn.LET(_xlpm.result, _xlfn.XLOOKUP($Q300,'EA-Fortescue_SDExport'!$A:$A,'EA-Fortescue_SDExport'!AC:AC), IF(_xlpm.result=0,"",_xlpm.result))</f>
        <v/>
      </c>
      <c r="U300" s="2" t="str">
        <f>_xlfn.LET(
    _xlpm.isObject, _xlfn.XLOOKUP($Q300,'EA-Fortescue_SDExport'!A:A,'EA-Fortescue_SDExport'!B:B),
    _xlpm.lookupKey, IF(_xlpm.isObject="Object",
        _xlfn.XLOOKUP($A300,'EA-ConnectorExport'!A:A,'EA-ConnectorExport'!D:D),
        $Q300
    ),
    _xlpm.result, _xlfn.XLOOKUP(_xlpm.lookupKey,'EA-Fortescue_SDExport'!A:A,'EA-Fortescue_SDExport'!AD:AD),
    IF(_xlpm.result=0,"",_xlpm.result)
)</f>
        <v>855DC Decarb Green Systems</v>
      </c>
      <c r="V300" s="2" t="str">
        <f>_xlfn.LET(
    _xlpm.isObject, _xlfn.XLOOKUP($Q300,'EA-Fortescue_SDExport'!A:A,'EA-Fortescue_SDExport'!B:B),
    _xlpm.lookupKey, IF(_xlpm.isObject="Object",
        _xlfn.XLOOKUP($A300,'EA-ConnectorExport'!A:A,'EA-ConnectorExport'!D:D),
        $Q300
    ),
    _xlpm.result, _xlfn.XLOOKUP(_xlpm.lookupKey,'EA-Fortescue_SDExport'!A:A,'EA-Fortescue_SDExport'!AE:AE),
    IF(_xlpm.result=0,"",_xlpm.result)
)</f>
        <v>855DC-1542 Control &amp; Monitoring Systems</v>
      </c>
      <c r="W300" s="2" t="str">
        <f>_xlfn.LET(
    _xlpm.isObject, _xlfn.XLOOKUP($Q300,'EA-Fortescue_SDExport'!A:A,'EA-Fortescue_SDExport'!B:B),
    _xlpm.lookupKey, IF(_xlpm.isObject="Object",
        _xlfn.XLOOKUP($A300,'EA-ConnectorExport'!A:A,'EA-ConnectorExport'!D:D),
        $Q300
    ),
    _xlpm.result, _xlfn.XLOOKUP(_xlpm.lookupKey,'EA-Fortescue_SDExport'!A:A,'EA-Fortescue_SDExport'!AF:AF),
    IF(_xlpm.result=0,"",_xlpm.result)
)</f>
        <v>855DC-1542-LMS Load Management System (LMS)</v>
      </c>
      <c r="X300" s="2" t="str">
        <f>_xlfn.LET(
    _xlpm.isObject, _xlfn.XLOOKUP($Q300,'EA-Fortescue_SDExport'!A:A,'EA-Fortescue_SDExport'!B:B),
    _xlpm.lookupKey, IF(_xlpm.isObject="Object",
        _xlfn.XLOOKUP($A300,'EA-ConnectorExport'!A:A,'EA-ConnectorExport'!D:D),
        $Q300
    ),
    _xlpm.result, _xlfn.XLOOKUP(_xlpm.lookupKey,'EA-Fortescue_SDExport'!A:A,'EA-Fortescue_SDExport'!AG:AG),
    IF(_xlpm.result=0,"",_xlpm.result)
)</f>
        <v/>
      </c>
      <c r="Y300" s="2" t="str">
        <f>_xlfn.LET(
    _xlpm.status, _xlfn.XLOOKUP($A300,'EA-ConnectorExport'!$A:$A,'EA-ConnectorExport'!G:G),
    _xlpm.result, _xlfn.XLOOKUP($A300,'EA-ConnectorExport'!$A:$A,'EA-ConnectorExport'!H:H),
    IF(_xlpm.status="allocate", _xlpm.result, "")
)</f>
        <v>Solomon Mine Hub: Drill Rig</v>
      </c>
      <c r="Z300" s="2" t="str">
        <f>_xlfn.LET(
    _xlpm.isObject, _xlfn.XLOOKUP($Y300,'EA-Fortescue_SDExport'!A:A,'EA-Fortescue_SDExport'!B:B),
    _xlpm.lookupKey, IF(_xlpm.isObject="Object",
        _xlfn.XLOOKUP($A300,'EA-ConnectorExport'!A:A,'EA-ConnectorExport'!J:J),
        $Y300
    ),
    _xlpm.result, _xlfn.XLOOKUP(_xlpm.lookupKey,'EA-Fortescue_SDExport'!A:A,'EA-Fortescue_SDExport'!AA:AA),
    IF(_xlpm.result=0,"",_xlpm.result)
)</f>
        <v>System</v>
      </c>
      <c r="AA300" s="2" t="str">
        <f>_xlfn.LET(_xlpm.result, _xlfn.XLOOKUP($Y300,'EA-Fortescue_SDExport'!$A:$A,'EA-Fortescue_SDExport'!AB:AB), IF(_xlpm.result=0,"",_xlpm.result))</f>
        <v/>
      </c>
      <c r="AB300" s="2" t="str">
        <f>_xlfn.LET(_xlpm.result, _xlfn.XLOOKUP($Y300,'EA-Fortescue_SDExport'!$A:$A,'EA-Fortescue_SDExport'!AC:AC), IF(_xlpm.result=0,"",_xlpm.result))</f>
        <v>Solomon Mine Hub</v>
      </c>
      <c r="AC300" s="2" t="str">
        <f>_xlfn.LET(
    _xlpm.isObject, _xlfn.XLOOKUP($Y300,'EA-Fortescue_SDExport'!A:A,'EA-Fortescue_SDExport'!B:B),
    _xlpm.lookupKey, IF(_xlpm.isObject="Object",
        _xlfn.XLOOKUP($A300,'EA-ConnectorExport'!A:A,'EA-ConnectorExport'!J:J),
        $Y300
    ),
    _xlpm.result, _xlfn.XLOOKUP(_xlpm.lookupKey,'EA-Fortescue_SDExport'!A:A,'EA-Fortescue_SDExport'!AD:AD),
    IF(_xlpm.result=0,"",_xlpm.result)
)</f>
        <v>853DC Decarb Ancillary</v>
      </c>
      <c r="AD300" s="2" t="str">
        <f>_xlfn.LET(
    _xlpm.isObject, _xlfn.XLOOKUP($Y300,'EA-Fortescue_SDExport'!A:A,'EA-Fortescue_SDExport'!B:B),
    _xlpm.lookupKey, IF(_xlpm.isObject="Object",
        _xlfn.XLOOKUP($A300,'EA-ConnectorExport'!A:A,'EA-ConnectorExport'!J:J),
        $Y300
    ),
    _xlpm.result, _xlfn.XLOOKUP(_xlpm.lookupKey,'EA-Fortescue_SDExport'!A:A,'EA-Fortescue_SDExport'!AE:AE),
    IF(_xlpm.result=0,"",_xlpm.result)
)</f>
        <v>853DC-1561 Drill Rig</v>
      </c>
      <c r="AE300" s="2" t="str">
        <f>_xlfn.LET(
    _xlpm.isObject, _xlfn.XLOOKUP($Y300,'EA-Fortescue_SDExport'!A:A,'EA-Fortescue_SDExport'!B:B),
    _xlpm.lookupKey, IF(_xlpm.isObject="Object",
        _xlfn.XLOOKUP($A300,'EA-ConnectorExport'!A:A,'EA-ConnectorExport'!J:J),
        $Y300
    ),
    _xlpm.result, _xlfn.XLOOKUP(_xlpm.lookupKey,'EA-Fortescue_SDExport'!A:A,'EA-Fortescue_SDExport'!AF:AF),
    IF(_xlpm.result=0,"",_xlpm.result)
)</f>
        <v/>
      </c>
      <c r="AF300" s="2" t="str">
        <f>_xlfn.LET(
    _xlpm.isObject, _xlfn.XLOOKUP($Y300,'EA-Fortescue_SDExport'!A:A,'EA-Fortescue_SDExport'!B:B),
    _xlpm.lookupKey, IF(_xlpm.isObject="Object",
        _xlfn.XLOOKUP($A300,'EA-ConnectorExport'!A:A,'EA-ConnectorExport'!J:J),
        $Y300
    ),
    _xlpm.result, _xlfn.XLOOKUP(_xlpm.lookupKey,'EA-Fortescue_SDExport'!A:A,'EA-Fortescue_SDExport'!AG:AG),
    IF(_xlpm.result=0,"",_xlpm.result)
)</f>
        <v/>
      </c>
    </row>
    <row r="301" spans="1:32" ht="270" x14ac:dyDescent="0.25">
      <c r="A301" s="2" t="str">
        <v>DGS-I_0300</v>
      </c>
      <c r="B301" s="2" t="str">
        <f t="shared" si="16"/>
        <v>005OP-0000-017-001 Non-Process Infrastructure (NPI) SCADA|Solomon Mine Hub: AC1</v>
      </c>
      <c r="C301" s="2" t="str">
        <f>_xlfn.LET(_xlpm.result, _xlfn.XLOOKUP(A301,'EA-Fortescue_SDExport'!A:A,'EA-Fortescue_SDExport'!AM:AM), IF(_xlpm.result=0,"",_xlpm.result))</f>
        <v/>
      </c>
      <c r="D301" s="2" t="str">
        <f>_xlfn.LET(_xlpm.result, _xlfn.XLOOKUP(A301,'EA-Fortescue_SDExport'!A:A,'EA-Fortescue_SDExport'!AN:AN), IF(_xlpm.result=0,"",_xlpm.result))</f>
        <v/>
      </c>
      <c r="E301" s="2" t="str">
        <f>_xlfn.XLOOKUP(R301&amp;Z301,Lookups!A:A,Lookups!B:B)</f>
        <v>Subsystem - Subsystem Interface</v>
      </c>
      <c r="F301" s="2" t="str">
        <f>_xlfn.LET(_xlpm.result, _xlfn.XLOOKUP(A301,'EA-Fortescue_SDExport'!A:A,'EA-Fortescue_SDExport'!AP:AP), IF(_xlpm.result=0,"",_xlpm.result))</f>
        <v>Technical-Data/Software</v>
      </c>
      <c r="G301" s="2" t="str">
        <f>IF(OR(AND(T301&lt;&gt;"", COUNTIF(Lookups!J:J, "*"&amp;T301&amp;"*")&gt;0), AND(AB301&lt;&gt;"", COUNTIF(Lookups!J:J, "*"&amp;AB301&amp;"*")&gt;0)), "Yes", "No")</f>
        <v>Yes</v>
      </c>
      <c r="H301" s="2" t="str">
        <f t="shared" si="17"/>
        <v>005OP IT/OT Systems|850DC Decarb Infrastructure</v>
      </c>
      <c r="I301" s="2" t="str">
        <f t="shared" si="18"/>
        <v>N/A|850DC-1510 Chargers</v>
      </c>
      <c r="J301" s="2" t="str">
        <f t="shared" si="19"/>
        <v>005OP-0000-017 Ignition|850DC-1512-0001 HME Chargers - Gen1</v>
      </c>
      <c r="K301" s="2" t="str">
        <f>_xlfn.XLOOKUP(A301,'EA-Fortescue_SDExport'!A:A,'EA-Fortescue_SDExport'!N:N)</f>
        <v>Proposed</v>
      </c>
      <c r="L301" s="2" t="str">
        <f>_xlfn.LET(_xlpm.result, _xlfn.XLOOKUP($A301,'EA-Fortescue_SDExport'!$A:$A,'EA-Fortescue_SDExport'!AQ:AQ), IF(_xlpm.result=0,"",_xlpm.result))</f>
        <v>This interface provides the AC1 automated charging system at Solomon with NPI SCADA data, such as ventilation, building services, and auxiliary facility conditions that must be verified before high-power automated charging occurs.</v>
      </c>
      <c r="M301" s="2" t="str">
        <f>_xlfn.LET(_xlpm.result, _xlfn.XLOOKUP($A301,'EA-Fortescue_SDExport'!$A:$A,'EA-Fortescue_SDExport'!AR:AR), IF(_xlpm.result=0,"",_xlpm.result))</f>
        <v>MEDIUM</v>
      </c>
      <c r="N301" s="2" t="str">
        <f>_xlfn.LET(_xlpm.result, _xlfn.XLOOKUP($A301,'EA-Fortescue_SDExport'!$A:$A,'EA-Fortescue_SDExport'!AW:AW), IF(_xlpm.result=0,"",_xlpm.result))</f>
        <v>The criticality level is MEDIUM because the loss of this interface may prevent AC1 from completing automated charging cycles or cause it to switch to conservative fallback modes, but manual charging is still possible. NPI conditions affect safe charging procedures, and without this data, AC1 might stop or delay automated sequences to prevent risk.</v>
      </c>
      <c r="O301" s="2" t="str">
        <f>_xlfn.LET(_xlpm.result, _xlfn.XLOOKUP($A301,'EA-Fortescue_SDExport'!$A:$A,'EA-Fortescue_SDExport'!AV:AV), IF(_xlpm.result=0,"",_xlpm.result))</f>
        <v>Data Flow: Ignition (NPI SCADA) -&gt; AC1 Automated Charging System (ventilation status, building services status, auxiliary power availability, environmental conditions, safety interlock status, alarms) to verify facility readiness before high-power automated charging._x000D_
Optional return flow (if applicable): AC1 -&gt; Ignition SCADA (charging state, interlock confirmations, fault notifications, cycle completion status).</v>
      </c>
      <c r="P301" s="2" t="str">
        <f>_xlfn.LET(_xlpm.result, _xlfn.XLOOKUP($A301,'EA-Fortescue_SDExport'!$A:$A,'EA-Fortescue_SDExport'!D:D), IF(_xlpm.result=0,"",_xlpm.result))</f>
        <v>NH 20/02/2026: Fields updated: Interface Type, Interface Flow.</v>
      </c>
      <c r="Q301" s="2" t="str">
        <f>_xlfn.LET(
    _xlpm.status, _xlfn.XLOOKUP($A301,'EA-ConnectorExport'!$A:$A,'EA-ConnectorExport'!G:G),
    _xlpm.result, _xlfn.XLOOKUP($A301,'EA-ConnectorExport'!$A:$A,'EA-ConnectorExport'!B:B),
    IF(_xlpm.status="allocate", _xlpm.result, "")
)</f>
        <v>005OP-0000-017-001 Non-Process Infrastructure (NPI) SCADA</v>
      </c>
      <c r="R301" s="2" t="str">
        <f>IF(
    _xlfn.XLOOKUP($Q301,'EA-Fortescue_SDExport'!A:A,'EA-Fortescue_SDExport'!B:B)="Object",
    _xlfn.XLOOKUP(
        _xlfn.XLOOKUP($A301,'EA-ConnectorExport'!A:A,'EA-ConnectorExport'!D:D),
        'EA-Fortescue_SDExport'!A:A,
        'EA-Fortescue_SDExport'!AA:AA
    ),
    _xlfn.XLOOKUP($Q301,'EA-Fortescue_SDExport'!A:A,'EA-Fortescue_SDExport'!AA:AA)
)</f>
        <v>Subsystem</v>
      </c>
      <c r="S301" s="2" t="str">
        <f>_xlfn.LET(_xlpm.result, _xlfn.XLOOKUP($Q301,'EA-Fortescue_SDExport'!$A:$A,'EA-Fortescue_SDExport'!AB:AB), IF(_xlpm.result=0,"",_xlpm.result))</f>
        <v/>
      </c>
      <c r="T301" s="2" t="str">
        <f>_xlfn.LET(_xlpm.result, _xlfn.XLOOKUP($Q301,'EA-Fortescue_SDExport'!$A:$A,'EA-Fortescue_SDExport'!AC:AC), IF(_xlpm.result=0,"",_xlpm.result))</f>
        <v/>
      </c>
      <c r="U301" s="2" t="str">
        <f>_xlfn.LET(
    _xlpm.isObject, _xlfn.XLOOKUP($Q301,'EA-Fortescue_SDExport'!A:A,'EA-Fortescue_SDExport'!B:B),
    _xlpm.lookupKey, IF(_xlpm.isObject="Object",
        _xlfn.XLOOKUP($A301,'EA-ConnectorExport'!A:A,'EA-ConnectorExport'!D:D),
        $Q301
    ),
    _xlpm.result, _xlfn.XLOOKUP(_xlpm.lookupKey,'EA-Fortescue_SDExport'!A:A,'EA-Fortescue_SDExport'!AD:AD),
    IF(_xlpm.result=0,"",_xlpm.result)
)</f>
        <v>005OP IT/OT Systems</v>
      </c>
      <c r="V301" s="2" t="str">
        <f>_xlfn.LET(
    _xlpm.isObject, _xlfn.XLOOKUP($Q301,'EA-Fortescue_SDExport'!A:A,'EA-Fortescue_SDExport'!B:B),
    _xlpm.lookupKey, IF(_xlpm.isObject="Object",
        _xlfn.XLOOKUP($A301,'EA-ConnectorExport'!A:A,'EA-ConnectorExport'!D:D),
        $Q301
    ),
    _xlpm.result, _xlfn.XLOOKUP(_xlpm.lookupKey,'EA-Fortescue_SDExport'!A:A,'EA-Fortescue_SDExport'!AE:AE),
    IF(_xlpm.result=0,"",_xlpm.result)
)</f>
        <v/>
      </c>
      <c r="W301" s="2" t="str">
        <f>_xlfn.LET(
    _xlpm.isObject, _xlfn.XLOOKUP($Q301,'EA-Fortescue_SDExport'!A:A,'EA-Fortescue_SDExport'!B:B),
    _xlpm.lookupKey, IF(_xlpm.isObject="Object",
        _xlfn.XLOOKUP($A301,'EA-ConnectorExport'!A:A,'EA-ConnectorExport'!D:D),
        $Q301
    ),
    _xlpm.result, _xlfn.XLOOKUP(_xlpm.lookupKey,'EA-Fortescue_SDExport'!A:A,'EA-Fortescue_SDExport'!AF:AF),
    IF(_xlpm.result=0,"",_xlpm.result)
)</f>
        <v>005OP-0000-017 Ignition</v>
      </c>
      <c r="X301" s="2" t="str">
        <f>_xlfn.LET(
    _xlpm.isObject, _xlfn.XLOOKUP($Q301,'EA-Fortescue_SDExport'!A:A,'EA-Fortescue_SDExport'!B:B),
    _xlpm.lookupKey, IF(_xlpm.isObject="Object",
        _xlfn.XLOOKUP($A301,'EA-ConnectorExport'!A:A,'EA-ConnectorExport'!D:D),
        $Q301
    ),
    _xlpm.result, _xlfn.XLOOKUP(_xlpm.lookupKey,'EA-Fortescue_SDExport'!A:A,'EA-Fortescue_SDExport'!AG:AG),
    IF(_xlpm.result=0,"",_xlpm.result)
)</f>
        <v>005OP-0000-017-001 Non-Process Infrastructure (NPI) SCADA</v>
      </c>
      <c r="Y301" s="2" t="str">
        <f>_xlfn.LET(
    _xlpm.status, _xlfn.XLOOKUP($A301,'EA-ConnectorExport'!$A:$A,'EA-ConnectorExport'!G:G),
    _xlpm.result, _xlfn.XLOOKUP($A301,'EA-ConnectorExport'!$A:$A,'EA-ConnectorExport'!H:H),
    IF(_xlpm.status="allocate", _xlpm.result, "")
)</f>
        <v>Solomon Mine Hub: AC1</v>
      </c>
      <c r="Z301" s="2" t="str">
        <f>_xlfn.LET(
    _xlpm.isObject, _xlfn.XLOOKUP($Y301,'EA-Fortescue_SDExport'!A:A,'EA-Fortescue_SDExport'!B:B),
    _xlpm.lookupKey, IF(_xlpm.isObject="Object",
        _xlfn.XLOOKUP($A301,'EA-ConnectorExport'!A:A,'EA-ConnectorExport'!J:J),
        $Y301
    ),
    _xlpm.result, _xlfn.XLOOKUP(_xlpm.lookupKey,'EA-Fortescue_SDExport'!A:A,'EA-Fortescue_SDExport'!AA:AA),
    IF(_xlpm.result=0,"",_xlpm.result)
)</f>
        <v>Subsystem</v>
      </c>
      <c r="AA301" s="2" t="str">
        <f>_xlfn.LET(_xlpm.result, _xlfn.XLOOKUP($Y301,'EA-Fortescue_SDExport'!$A:$A,'EA-Fortescue_SDExport'!AB:AB), IF(_xlpm.result=0,"",_xlpm.result))</f>
        <v/>
      </c>
      <c r="AB301" s="2" t="str">
        <f>_xlfn.LET(_xlpm.result, _xlfn.XLOOKUP($Y301,'EA-Fortescue_SDExport'!$A:$A,'EA-Fortescue_SDExport'!AC:AC), IF(_xlpm.result=0,"",_xlpm.result))</f>
        <v>Solomon Mine Hub</v>
      </c>
      <c r="AC301" s="2" t="str">
        <f>_xlfn.LET(
    _xlpm.isObject, _xlfn.XLOOKUP($Y301,'EA-Fortescue_SDExport'!A:A,'EA-Fortescue_SDExport'!B:B),
    _xlpm.lookupKey, IF(_xlpm.isObject="Object",
        _xlfn.XLOOKUP($A301,'EA-ConnectorExport'!A:A,'EA-ConnectorExport'!J:J),
        $Y301
    ),
    _xlpm.result, _xlfn.XLOOKUP(_xlpm.lookupKey,'EA-Fortescue_SDExport'!A:A,'EA-Fortescue_SDExport'!AD:AD),
    IF(_xlpm.result=0,"",_xlpm.result)
)</f>
        <v>850DC Decarb Infrastructure</v>
      </c>
      <c r="AD301" s="2" t="str">
        <f>_xlfn.LET(
    _xlpm.isObject, _xlfn.XLOOKUP($Y301,'EA-Fortescue_SDExport'!A:A,'EA-Fortescue_SDExport'!B:B),
    _xlpm.lookupKey, IF(_xlpm.isObject="Object",
        _xlfn.XLOOKUP($A301,'EA-ConnectorExport'!A:A,'EA-ConnectorExport'!J:J),
        $Y301
    ),
    _xlpm.result, _xlfn.XLOOKUP(_xlpm.lookupKey,'EA-Fortescue_SDExport'!A:A,'EA-Fortescue_SDExport'!AE:AE),
    IF(_xlpm.result=0,"",_xlpm.result)
)</f>
        <v>850DC-1510 Chargers</v>
      </c>
      <c r="AE301" s="2" t="str">
        <f>_xlfn.LET(
    _xlpm.isObject, _xlfn.XLOOKUP($Y301,'EA-Fortescue_SDExport'!A:A,'EA-Fortescue_SDExport'!B:B),
    _xlpm.lookupKey, IF(_xlpm.isObject="Object",
        _xlfn.XLOOKUP($A301,'EA-ConnectorExport'!A:A,'EA-ConnectorExport'!J:J),
        $Y301
    ),
    _xlpm.result, _xlfn.XLOOKUP(_xlpm.lookupKey,'EA-Fortescue_SDExport'!A:A,'EA-Fortescue_SDExport'!AF:AF),
    IF(_xlpm.result=0,"",_xlpm.result)
)</f>
        <v>850DC-1512-0001 HME Chargers - Gen1</v>
      </c>
      <c r="AF301" s="2" t="str">
        <f>_xlfn.LET(
    _xlpm.isObject, _xlfn.XLOOKUP($Y301,'EA-Fortescue_SDExport'!A:A,'EA-Fortescue_SDExport'!B:B),
    _xlpm.lookupKey, IF(_xlpm.isObject="Object",
        _xlfn.XLOOKUP($A301,'EA-ConnectorExport'!A:A,'EA-ConnectorExport'!J:J),
        $Y301
    ),
    _xlpm.result, _xlfn.XLOOKUP(_xlpm.lookupKey,'EA-Fortescue_SDExport'!A:A,'EA-Fortescue_SDExport'!AG:AG),
    IF(_xlpm.result=0,"",_xlpm.result)
)</f>
        <v>850DC-1512-0001-004 AC1 (Automated Connection) for T264 Charging Loads</v>
      </c>
    </row>
    <row r="302" spans="1:32" ht="45" x14ac:dyDescent="0.25">
      <c r="A302" s="2" t="str">
        <v>DGS-I_0301</v>
      </c>
      <c r="B302" s="2" t="str">
        <f t="shared" si="16"/>
        <v>HV Transmission lines PEC # [W. Hub - SOL]|Flying Fish Mine: Substation (33kV)</v>
      </c>
      <c r="C302" s="2" t="str">
        <f>_xlfn.LET(_xlpm.result, _xlfn.XLOOKUP(A302,'EA-Fortescue_SDExport'!A:A,'EA-Fortescue_SDExport'!AM:AM), IF(_xlpm.result=0,"",_xlpm.result))</f>
        <v/>
      </c>
      <c r="D302" s="2" t="str">
        <f>_xlfn.LET(_xlpm.result, _xlfn.XLOOKUP(A302,'EA-Fortescue_SDExport'!A:A,'EA-Fortescue_SDExport'!AN:AN), IF(_xlpm.result=0,"",_xlpm.result))</f>
        <v/>
      </c>
      <c r="E302" s="2" t="str">
        <f>_xlfn.XLOOKUP(R302&amp;Z302,Lookups!A:A,Lookups!B:B)</f>
        <v>System - Project Interface</v>
      </c>
      <c r="F302" s="2" t="str">
        <f>_xlfn.LET(_xlpm.result, _xlfn.XLOOKUP(A302,'EA-Fortescue_SDExport'!A:A,'EA-Fortescue_SDExport'!AP:AP), IF(_xlpm.result=0,"",_xlpm.result))</f>
        <v/>
      </c>
      <c r="G302" s="2" t="str">
        <f>IF(OR(AND(T302&lt;&gt;"", COUNTIF(Lookups!J:J, "*"&amp;T302&amp;"*")&gt;0), AND(AB302&lt;&gt;"", COUNTIF(Lookups!J:J, "*"&amp;AB302&amp;"*")&gt;0)), "Yes", "No")</f>
        <v>Yes</v>
      </c>
      <c r="H302" s="2" t="str">
        <f t="shared" si="17"/>
        <v>854DC Green Power|854DC Green Power</v>
      </c>
      <c r="I302" s="2" t="str">
        <f t="shared" si="18"/>
        <v>854DC-5660 HV Transmission lines|854DC-1521 HV Substations</v>
      </c>
      <c r="J302" s="2" t="str">
        <f t="shared" si="19"/>
        <v>N/A|854DC-1521-0001 Substation (33kV)</v>
      </c>
      <c r="K302" s="2" t="str">
        <f>_xlfn.XLOOKUP(A302,'EA-Fortescue_SDExport'!A:A,'EA-Fortescue_SDExport'!N:N)</f>
        <v>Proposed</v>
      </c>
      <c r="L302" s="2" t="str">
        <f>_xlfn.LET(_xlpm.result, _xlfn.XLOOKUP($A302,'EA-Fortescue_SDExport'!$A:$A,'EA-Fortescue_SDExport'!AQ:AQ), IF(_xlpm.result=0,"",_xlpm.result))</f>
        <v/>
      </c>
      <c r="M302" s="2" t="str">
        <f>_xlfn.LET(_xlpm.result, _xlfn.XLOOKUP($A302,'EA-Fortescue_SDExport'!$A:$A,'EA-Fortescue_SDExport'!AR:AR), IF(_xlpm.result=0,"",_xlpm.result))</f>
        <v/>
      </c>
      <c r="N302" s="2" t="str">
        <f>_xlfn.LET(_xlpm.result, _xlfn.XLOOKUP($A302,'EA-Fortescue_SDExport'!$A:$A,'EA-Fortescue_SDExport'!AW:AW), IF(_xlpm.result=0,"",_xlpm.result))</f>
        <v/>
      </c>
      <c r="O302" s="2" t="str">
        <f>_xlfn.LET(_xlpm.result, _xlfn.XLOOKUP($A302,'EA-Fortescue_SDExport'!$A:$A,'EA-Fortescue_SDExport'!AV:AV), IF(_xlpm.result=0,"",_xlpm.result))</f>
        <v/>
      </c>
      <c r="P302" s="2" t="str">
        <f>_xlfn.LET(_xlpm.result, _xlfn.XLOOKUP($A302,'EA-Fortescue_SDExport'!$A:$A,'EA-Fortescue_SDExport'!D:D), IF(_xlpm.result=0,"",_xlpm.result))</f>
        <v/>
      </c>
      <c r="Q302" s="2" t="str">
        <f>_xlfn.LET(
    _xlpm.status, _xlfn.XLOOKUP($A302,'EA-ConnectorExport'!$A:$A,'EA-ConnectorExport'!G:G),
    _xlpm.result, _xlfn.XLOOKUP($A302,'EA-ConnectorExport'!$A:$A,'EA-ConnectorExport'!B:B),
    IF(_xlpm.status="allocate", _xlpm.result, "")
)</f>
        <v>HV Transmission lines PEC # [W. Hub - SOL]</v>
      </c>
      <c r="R302" s="2" t="str">
        <f>IF(
    _xlfn.XLOOKUP($Q302,'EA-Fortescue_SDExport'!A:A,'EA-Fortescue_SDExport'!B:B)="Object",
    _xlfn.XLOOKUP(
        _xlfn.XLOOKUP($A302,'EA-ConnectorExport'!A:A,'EA-ConnectorExport'!D:D),
        'EA-Fortescue_SDExport'!A:A,
        'EA-Fortescue_SDExport'!AA:AA
    ),
    _xlfn.XLOOKUP($Q302,'EA-Fortescue_SDExport'!A:A,'EA-Fortescue_SDExport'!AA:AA)
)</f>
        <v>System</v>
      </c>
      <c r="S302" s="2" t="str">
        <f>_xlfn.LET(_xlpm.result, _xlfn.XLOOKUP($Q302,'EA-Fortescue_SDExport'!$A:$A,'EA-Fortescue_SDExport'!AB:AB), IF(_xlpm.result=0,"",_xlpm.result))</f>
        <v/>
      </c>
      <c r="T302" s="2" t="str">
        <f>_xlfn.LET(_xlpm.result, _xlfn.XLOOKUP($Q302,'EA-Fortescue_SDExport'!$A:$A,'EA-Fortescue_SDExport'!AC:AC), IF(_xlpm.result=0,"",_xlpm.result))</f>
        <v>PEC # [W. Hub - SOL]</v>
      </c>
      <c r="U302" s="2" t="str">
        <f>_xlfn.LET(
    _xlpm.isObject, _xlfn.XLOOKUP($Q302,'EA-Fortescue_SDExport'!A:A,'EA-Fortescue_SDExport'!B:B),
    _xlpm.lookupKey, IF(_xlpm.isObject="Object",
        _xlfn.XLOOKUP($A302,'EA-ConnectorExport'!A:A,'EA-ConnectorExport'!D:D),
        $Q302
    ),
    _xlpm.result, _xlfn.XLOOKUP(_xlpm.lookupKey,'EA-Fortescue_SDExport'!A:A,'EA-Fortescue_SDExport'!AD:AD),
    IF(_xlpm.result=0,"",_xlpm.result)
)</f>
        <v>854DC Green Power</v>
      </c>
      <c r="V302" s="2" t="str">
        <f>_xlfn.LET(
    _xlpm.isObject, _xlfn.XLOOKUP($Q302,'EA-Fortescue_SDExport'!A:A,'EA-Fortescue_SDExport'!B:B),
    _xlpm.lookupKey, IF(_xlpm.isObject="Object",
        _xlfn.XLOOKUP($A302,'EA-ConnectorExport'!A:A,'EA-ConnectorExport'!D:D),
        $Q302
    ),
    _xlpm.result, _xlfn.XLOOKUP(_xlpm.lookupKey,'EA-Fortescue_SDExport'!A:A,'EA-Fortescue_SDExport'!AE:AE),
    IF(_xlpm.result=0,"",_xlpm.result)
)</f>
        <v>854DC-5660 HV Transmission lines</v>
      </c>
      <c r="W302" s="2" t="str">
        <f>_xlfn.LET(
    _xlpm.isObject, _xlfn.XLOOKUP($Q302,'EA-Fortescue_SDExport'!A:A,'EA-Fortescue_SDExport'!B:B),
    _xlpm.lookupKey, IF(_xlpm.isObject="Object",
        _xlfn.XLOOKUP($A302,'EA-ConnectorExport'!A:A,'EA-ConnectorExport'!D:D),
        $Q302
    ),
    _xlpm.result, _xlfn.XLOOKUP(_xlpm.lookupKey,'EA-Fortescue_SDExport'!A:A,'EA-Fortescue_SDExport'!AF:AF),
    IF(_xlpm.result=0,"",_xlpm.result)
)</f>
        <v/>
      </c>
      <c r="X302" s="2" t="str">
        <f>_xlfn.LET(
    _xlpm.isObject, _xlfn.XLOOKUP($Q302,'EA-Fortescue_SDExport'!A:A,'EA-Fortescue_SDExport'!B:B),
    _xlpm.lookupKey, IF(_xlpm.isObject="Object",
        _xlfn.XLOOKUP($A302,'EA-ConnectorExport'!A:A,'EA-ConnectorExport'!D:D),
        $Q302
    ),
    _xlpm.result, _xlfn.XLOOKUP(_xlpm.lookupKey,'EA-Fortescue_SDExport'!A:A,'EA-Fortescue_SDExport'!AG:AG),
    IF(_xlpm.result=0,"",_xlpm.result)
)</f>
        <v/>
      </c>
      <c r="Y302" s="2" t="str">
        <f>_xlfn.LET(
    _xlpm.status, _xlfn.XLOOKUP($A302,'EA-ConnectorExport'!$A:$A,'EA-ConnectorExport'!G:G),
    _xlpm.result, _xlfn.XLOOKUP($A302,'EA-ConnectorExport'!$A:$A,'EA-ConnectorExport'!H:H),
    IF(_xlpm.status="allocate", _xlpm.result, "")
)</f>
        <v>Flying Fish Mine: Substation (33kV)</v>
      </c>
      <c r="Z302" s="2" t="str">
        <f>_xlfn.LET(
    _xlpm.isObject, _xlfn.XLOOKUP($Y302,'EA-Fortescue_SDExport'!A:A,'EA-Fortescue_SDExport'!B:B),
    _xlpm.lookupKey, IF(_xlpm.isObject="Object",
        _xlfn.XLOOKUP($A302,'EA-ConnectorExport'!A:A,'EA-ConnectorExport'!J:J),
        $Y302
    ),
    _xlpm.result, _xlfn.XLOOKUP(_xlpm.lookupKey,'EA-Fortescue_SDExport'!A:A,'EA-Fortescue_SDExport'!AA:AA),
    IF(_xlpm.result=0,"",_xlpm.result)
)</f>
        <v>Project</v>
      </c>
      <c r="AA302" s="2" t="str">
        <f>_xlfn.LET(_xlpm.result, _xlfn.XLOOKUP($Y302,'EA-Fortescue_SDExport'!$A:$A,'EA-Fortescue_SDExport'!AB:AB), IF(_xlpm.result=0,"",_xlpm.result))</f>
        <v/>
      </c>
      <c r="AB302" s="2" t="str">
        <f>_xlfn.LET(_xlpm.result, _xlfn.XLOOKUP($Y302,'EA-Fortescue_SDExport'!$A:$A,'EA-Fortescue_SDExport'!AC:AC), IF(_xlpm.result=0,"",_xlpm.result))</f>
        <v>Flying Fish Mine</v>
      </c>
      <c r="AC302" s="2" t="str">
        <f>_xlfn.LET(
    _xlpm.isObject, _xlfn.XLOOKUP($Y302,'EA-Fortescue_SDExport'!A:A,'EA-Fortescue_SDExport'!B:B),
    _xlpm.lookupKey, IF(_xlpm.isObject="Object",
        _xlfn.XLOOKUP($A302,'EA-ConnectorExport'!A:A,'EA-ConnectorExport'!J:J),
        $Y302
    ),
    _xlpm.result, _xlfn.XLOOKUP(_xlpm.lookupKey,'EA-Fortescue_SDExport'!A:A,'EA-Fortescue_SDExport'!AD:AD),
    IF(_xlpm.result=0,"",_xlpm.result)
)</f>
        <v>854DC Green Power</v>
      </c>
      <c r="AD302" s="2" t="str">
        <f>_xlfn.LET(
    _xlpm.isObject, _xlfn.XLOOKUP($Y302,'EA-Fortescue_SDExport'!A:A,'EA-Fortescue_SDExport'!B:B),
    _xlpm.lookupKey, IF(_xlpm.isObject="Object",
        _xlfn.XLOOKUP($A302,'EA-ConnectorExport'!A:A,'EA-ConnectorExport'!J:J),
        $Y302
    ),
    _xlpm.result, _xlfn.XLOOKUP(_xlpm.lookupKey,'EA-Fortescue_SDExport'!A:A,'EA-Fortescue_SDExport'!AE:AE),
    IF(_xlpm.result=0,"",_xlpm.result)
)</f>
        <v>854DC-1521 HV Substations</v>
      </c>
      <c r="AE302" s="2" t="str">
        <f>_xlfn.LET(
    _xlpm.isObject, _xlfn.XLOOKUP($Y302,'EA-Fortescue_SDExport'!A:A,'EA-Fortescue_SDExport'!B:B),
    _xlpm.lookupKey, IF(_xlpm.isObject="Object",
        _xlfn.XLOOKUP($A302,'EA-ConnectorExport'!A:A,'EA-ConnectorExport'!J:J),
        $Y302
    ),
    _xlpm.result, _xlfn.XLOOKUP(_xlpm.lookupKey,'EA-Fortescue_SDExport'!A:A,'EA-Fortescue_SDExport'!AF:AF),
    IF(_xlpm.result=0,"",_xlpm.result)
)</f>
        <v>854DC-1521-0001 Substation (33kV)</v>
      </c>
      <c r="AF302" s="2" t="str">
        <f>_xlfn.LET(
    _xlpm.isObject, _xlfn.XLOOKUP($Y302,'EA-Fortescue_SDExport'!A:A,'EA-Fortescue_SDExport'!B:B),
    _xlpm.lookupKey, IF(_xlpm.isObject="Object",
        _xlfn.XLOOKUP($A302,'EA-ConnectorExport'!A:A,'EA-ConnectorExport'!J:J),
        $Y302
    ),
    _xlpm.result, _xlfn.XLOOKUP(_xlpm.lookupKey,'EA-Fortescue_SDExport'!A:A,'EA-Fortescue_SDExport'!AG:AG),
    IF(_xlpm.result=0,"",_xlpm.result)
)</f>
        <v/>
      </c>
    </row>
    <row r="303" spans="1:32" ht="45" x14ac:dyDescent="0.25">
      <c r="A303" s="2" t="str">
        <v>DGS-I_0302</v>
      </c>
      <c r="B303" s="2" t="str">
        <f t="shared" si="16"/>
        <v>HV Transmission lines PEC # [Iron Bridge - Port]|Iron Bridge Mine: Substation (220kV)</v>
      </c>
      <c r="C303" s="2" t="str">
        <f>_xlfn.LET(_xlpm.result, _xlfn.XLOOKUP(A303,'EA-Fortescue_SDExport'!A:A,'EA-Fortescue_SDExport'!AM:AM), IF(_xlpm.result=0,"",_xlpm.result))</f>
        <v/>
      </c>
      <c r="D303" s="2" t="str">
        <f>_xlfn.LET(_xlpm.result, _xlfn.XLOOKUP(A303,'EA-Fortescue_SDExport'!A:A,'EA-Fortescue_SDExport'!AN:AN), IF(_xlpm.result=0,"",_xlpm.result))</f>
        <v/>
      </c>
      <c r="E303" s="2" t="str">
        <f>_xlfn.XLOOKUP(R303&amp;Z303,Lookups!A:A,Lookups!B:B)</f>
        <v>System - Project Interface</v>
      </c>
      <c r="F303" s="2" t="str">
        <f>_xlfn.LET(_xlpm.result, _xlfn.XLOOKUP(A303,'EA-Fortescue_SDExport'!A:A,'EA-Fortescue_SDExport'!AP:AP), IF(_xlpm.result=0,"",_xlpm.result))</f>
        <v/>
      </c>
      <c r="G303" s="2" t="str">
        <f>IF(OR(AND(T303&lt;&gt;"", COUNTIF(Lookups!J:J, "*"&amp;T303&amp;"*")&gt;0), AND(AB303&lt;&gt;"", COUNTIF(Lookups!J:J, "*"&amp;AB303&amp;"*")&gt;0)), "Yes", "No")</f>
        <v>Yes</v>
      </c>
      <c r="H303" s="2" t="str">
        <f t="shared" si="17"/>
        <v>854DC Green Power|854DC Green Power</v>
      </c>
      <c r="I303" s="2" t="str">
        <f t="shared" si="18"/>
        <v>854DC-5660 HV Transmission lines|854DC-1521 HV Substations</v>
      </c>
      <c r="J303" s="2" t="str">
        <f t="shared" si="19"/>
        <v>N/A|854DC-1521-0004 Substation (220kV)</v>
      </c>
      <c r="K303" s="2" t="str">
        <f>_xlfn.XLOOKUP(A303,'EA-Fortescue_SDExport'!A:A,'EA-Fortescue_SDExport'!N:N)</f>
        <v>Proposed</v>
      </c>
      <c r="L303" s="2" t="str">
        <f>_xlfn.LET(_xlpm.result, _xlfn.XLOOKUP($A303,'EA-Fortescue_SDExport'!$A:$A,'EA-Fortescue_SDExport'!AQ:AQ), IF(_xlpm.result=0,"",_xlpm.result))</f>
        <v/>
      </c>
      <c r="M303" s="2" t="str">
        <f>_xlfn.LET(_xlpm.result, _xlfn.XLOOKUP($A303,'EA-Fortescue_SDExport'!$A:$A,'EA-Fortescue_SDExport'!AR:AR), IF(_xlpm.result=0,"",_xlpm.result))</f>
        <v/>
      </c>
      <c r="N303" s="2" t="str">
        <f>_xlfn.LET(_xlpm.result, _xlfn.XLOOKUP($A303,'EA-Fortescue_SDExport'!$A:$A,'EA-Fortescue_SDExport'!AW:AW), IF(_xlpm.result=0,"",_xlpm.result))</f>
        <v/>
      </c>
      <c r="O303" s="2" t="str">
        <f>_xlfn.LET(_xlpm.result, _xlfn.XLOOKUP($A303,'EA-Fortescue_SDExport'!$A:$A,'EA-Fortescue_SDExport'!AV:AV), IF(_xlpm.result=0,"",_xlpm.result))</f>
        <v/>
      </c>
      <c r="P303" s="2" t="str">
        <f>_xlfn.LET(_xlpm.result, _xlfn.XLOOKUP($A303,'EA-Fortescue_SDExport'!$A:$A,'EA-Fortescue_SDExport'!D:D), IF(_xlpm.result=0,"",_xlpm.result))</f>
        <v/>
      </c>
      <c r="Q303" s="2" t="str">
        <f>_xlfn.LET(
    _xlpm.status, _xlfn.XLOOKUP($A303,'EA-ConnectorExport'!$A:$A,'EA-ConnectorExport'!G:G),
    _xlpm.result, _xlfn.XLOOKUP($A303,'EA-ConnectorExport'!$A:$A,'EA-ConnectorExport'!B:B),
    IF(_xlpm.status="allocate", _xlpm.result, "")
)</f>
        <v>HV Transmission lines PEC # [Iron Bridge - Port]</v>
      </c>
      <c r="R303" s="2" t="str">
        <f>IF(
    _xlfn.XLOOKUP($Q303,'EA-Fortescue_SDExport'!A:A,'EA-Fortescue_SDExport'!B:B)="Object",
    _xlfn.XLOOKUP(
        _xlfn.XLOOKUP($A303,'EA-ConnectorExport'!A:A,'EA-ConnectorExport'!D:D),
        'EA-Fortescue_SDExport'!A:A,
        'EA-Fortescue_SDExport'!AA:AA
    ),
    _xlfn.XLOOKUP($Q303,'EA-Fortescue_SDExport'!A:A,'EA-Fortescue_SDExport'!AA:AA)
)</f>
        <v>System</v>
      </c>
      <c r="S303" s="2" t="str">
        <f>_xlfn.LET(_xlpm.result, _xlfn.XLOOKUP($Q303,'EA-Fortescue_SDExport'!$A:$A,'EA-Fortescue_SDExport'!AB:AB), IF(_xlpm.result=0,"",_xlpm.result))</f>
        <v/>
      </c>
      <c r="T303" s="2" t="str">
        <f>_xlfn.LET(_xlpm.result, _xlfn.XLOOKUP($Q303,'EA-Fortescue_SDExport'!$A:$A,'EA-Fortescue_SDExport'!AC:AC), IF(_xlpm.result=0,"",_xlpm.result))</f>
        <v>PEC # [Iron Bridge - Port Hedland]</v>
      </c>
      <c r="U303" s="2" t="str">
        <f>_xlfn.LET(
    _xlpm.isObject, _xlfn.XLOOKUP($Q303,'EA-Fortescue_SDExport'!A:A,'EA-Fortescue_SDExport'!B:B),
    _xlpm.lookupKey, IF(_xlpm.isObject="Object",
        _xlfn.XLOOKUP($A303,'EA-ConnectorExport'!A:A,'EA-ConnectorExport'!D:D),
        $Q303
    ),
    _xlpm.result, _xlfn.XLOOKUP(_xlpm.lookupKey,'EA-Fortescue_SDExport'!A:A,'EA-Fortescue_SDExport'!AD:AD),
    IF(_xlpm.result=0,"",_xlpm.result)
)</f>
        <v>854DC Green Power</v>
      </c>
      <c r="V303" s="2" t="str">
        <f>_xlfn.LET(
    _xlpm.isObject, _xlfn.XLOOKUP($Q303,'EA-Fortescue_SDExport'!A:A,'EA-Fortescue_SDExport'!B:B),
    _xlpm.lookupKey, IF(_xlpm.isObject="Object",
        _xlfn.XLOOKUP($A303,'EA-ConnectorExport'!A:A,'EA-ConnectorExport'!D:D),
        $Q303
    ),
    _xlpm.result, _xlfn.XLOOKUP(_xlpm.lookupKey,'EA-Fortescue_SDExport'!A:A,'EA-Fortescue_SDExport'!AE:AE),
    IF(_xlpm.result=0,"",_xlpm.result)
)</f>
        <v>854DC-5660 HV Transmission lines</v>
      </c>
      <c r="W303" s="2" t="str">
        <f>_xlfn.LET(
    _xlpm.isObject, _xlfn.XLOOKUP($Q303,'EA-Fortescue_SDExport'!A:A,'EA-Fortescue_SDExport'!B:B),
    _xlpm.lookupKey, IF(_xlpm.isObject="Object",
        _xlfn.XLOOKUP($A303,'EA-ConnectorExport'!A:A,'EA-ConnectorExport'!D:D),
        $Q303
    ),
    _xlpm.result, _xlfn.XLOOKUP(_xlpm.lookupKey,'EA-Fortescue_SDExport'!A:A,'EA-Fortescue_SDExport'!AF:AF),
    IF(_xlpm.result=0,"",_xlpm.result)
)</f>
        <v/>
      </c>
      <c r="X303" s="2" t="str">
        <f>_xlfn.LET(
    _xlpm.isObject, _xlfn.XLOOKUP($Q303,'EA-Fortescue_SDExport'!A:A,'EA-Fortescue_SDExport'!B:B),
    _xlpm.lookupKey, IF(_xlpm.isObject="Object",
        _xlfn.XLOOKUP($A303,'EA-ConnectorExport'!A:A,'EA-ConnectorExport'!D:D),
        $Q303
    ),
    _xlpm.result, _xlfn.XLOOKUP(_xlpm.lookupKey,'EA-Fortescue_SDExport'!A:A,'EA-Fortescue_SDExport'!AG:AG),
    IF(_xlpm.result=0,"",_xlpm.result)
)</f>
        <v/>
      </c>
      <c r="Y303" s="2" t="str">
        <f>_xlfn.LET(
    _xlpm.status, _xlfn.XLOOKUP($A303,'EA-ConnectorExport'!$A:$A,'EA-ConnectorExport'!G:G),
    _xlpm.result, _xlfn.XLOOKUP($A303,'EA-ConnectorExport'!$A:$A,'EA-ConnectorExport'!H:H),
    IF(_xlpm.status="allocate", _xlpm.result, "")
)</f>
        <v>Iron Bridge Mine: Substation (220kV)</v>
      </c>
      <c r="Z303" s="2" t="str">
        <f>_xlfn.LET(
    _xlpm.isObject, _xlfn.XLOOKUP($Y303,'EA-Fortescue_SDExport'!A:A,'EA-Fortescue_SDExport'!B:B),
    _xlpm.lookupKey, IF(_xlpm.isObject="Object",
        _xlfn.XLOOKUP($A303,'EA-ConnectorExport'!A:A,'EA-ConnectorExport'!J:J),
        $Y303
    ),
    _xlpm.result, _xlfn.XLOOKUP(_xlpm.lookupKey,'EA-Fortescue_SDExport'!A:A,'EA-Fortescue_SDExport'!AA:AA),
    IF(_xlpm.result=0,"",_xlpm.result)
)</f>
        <v>Project</v>
      </c>
      <c r="AA303" s="2" t="str">
        <f>_xlfn.LET(_xlpm.result, _xlfn.XLOOKUP($Y303,'EA-Fortescue_SDExport'!$A:$A,'EA-Fortescue_SDExport'!AB:AB), IF(_xlpm.result=0,"",_xlpm.result))</f>
        <v/>
      </c>
      <c r="AB303" s="2" t="str">
        <f>_xlfn.LET(_xlpm.result, _xlfn.XLOOKUP($Y303,'EA-Fortescue_SDExport'!$A:$A,'EA-Fortescue_SDExport'!AC:AC), IF(_xlpm.result=0,"",_xlpm.result))</f>
        <v>Iron Bridge Mine</v>
      </c>
      <c r="AC303" s="2" t="str">
        <f>_xlfn.LET(
    _xlpm.isObject, _xlfn.XLOOKUP($Y303,'EA-Fortescue_SDExport'!A:A,'EA-Fortescue_SDExport'!B:B),
    _xlpm.lookupKey, IF(_xlpm.isObject="Object",
        _xlfn.XLOOKUP($A303,'EA-ConnectorExport'!A:A,'EA-ConnectorExport'!J:J),
        $Y303
    ),
    _xlpm.result, _xlfn.XLOOKUP(_xlpm.lookupKey,'EA-Fortescue_SDExport'!A:A,'EA-Fortescue_SDExport'!AD:AD),
    IF(_xlpm.result=0,"",_xlpm.result)
)</f>
        <v>854DC Green Power</v>
      </c>
      <c r="AD303" s="2" t="str">
        <f>_xlfn.LET(
    _xlpm.isObject, _xlfn.XLOOKUP($Y303,'EA-Fortescue_SDExport'!A:A,'EA-Fortescue_SDExport'!B:B),
    _xlpm.lookupKey, IF(_xlpm.isObject="Object",
        _xlfn.XLOOKUP($A303,'EA-ConnectorExport'!A:A,'EA-ConnectorExport'!J:J),
        $Y303
    ),
    _xlpm.result, _xlfn.XLOOKUP(_xlpm.lookupKey,'EA-Fortescue_SDExport'!A:A,'EA-Fortescue_SDExport'!AE:AE),
    IF(_xlpm.result=0,"",_xlpm.result)
)</f>
        <v>854DC-1521 HV Substations</v>
      </c>
      <c r="AE303" s="2" t="str">
        <f>_xlfn.LET(
    _xlpm.isObject, _xlfn.XLOOKUP($Y303,'EA-Fortescue_SDExport'!A:A,'EA-Fortescue_SDExport'!B:B),
    _xlpm.lookupKey, IF(_xlpm.isObject="Object",
        _xlfn.XLOOKUP($A303,'EA-ConnectorExport'!A:A,'EA-ConnectorExport'!J:J),
        $Y303
    ),
    _xlpm.result, _xlfn.XLOOKUP(_xlpm.lookupKey,'EA-Fortescue_SDExport'!A:A,'EA-Fortescue_SDExport'!AF:AF),
    IF(_xlpm.result=0,"",_xlpm.result)
)</f>
        <v>854DC-1521-0004 Substation (220kV)</v>
      </c>
      <c r="AF303" s="2" t="str">
        <f>_xlfn.LET(
    _xlpm.isObject, _xlfn.XLOOKUP($Y303,'EA-Fortescue_SDExport'!A:A,'EA-Fortescue_SDExport'!B:B),
    _xlpm.lookupKey, IF(_xlpm.isObject="Object",
        _xlfn.XLOOKUP($A303,'EA-ConnectorExport'!A:A,'EA-ConnectorExport'!J:J),
        $Y303
    ),
    _xlpm.result, _xlfn.XLOOKUP(_xlpm.lookupKey,'EA-Fortescue_SDExport'!A:A,'EA-Fortescue_SDExport'!AG:AG),
    IF(_xlpm.result=0,"",_xlpm.result)
)</f>
        <v/>
      </c>
    </row>
    <row r="304" spans="1:32" ht="45" x14ac:dyDescent="0.25">
      <c r="A304" s="2" t="str">
        <v>DGS-I_0303</v>
      </c>
      <c r="B304" s="2" t="str">
        <f t="shared" si="16"/>
        <v>HV Transmission lines PEC # [SOL - LBD]|Lambda Junction (LBD): Substation (220kV)</v>
      </c>
      <c r="C304" s="2" t="str">
        <f>_xlfn.LET(_xlpm.result, _xlfn.XLOOKUP(A304,'EA-Fortescue_SDExport'!A:A,'EA-Fortescue_SDExport'!AM:AM), IF(_xlpm.result=0,"",_xlpm.result))</f>
        <v/>
      </c>
      <c r="D304" s="2" t="str">
        <f>_xlfn.LET(_xlpm.result, _xlfn.XLOOKUP(A304,'EA-Fortescue_SDExport'!A:A,'EA-Fortescue_SDExport'!AN:AN), IF(_xlpm.result=0,"",_xlpm.result))</f>
        <v/>
      </c>
      <c r="E304" s="2" t="str">
        <f>_xlfn.XLOOKUP(R304&amp;Z304,Lookups!A:A,Lookups!B:B)</f>
        <v>System - Project Interface</v>
      </c>
      <c r="F304" s="2" t="str">
        <f>_xlfn.LET(_xlpm.result, _xlfn.XLOOKUP(A304,'EA-Fortescue_SDExport'!A:A,'EA-Fortescue_SDExport'!AP:AP), IF(_xlpm.result=0,"",_xlpm.result))</f>
        <v/>
      </c>
      <c r="G304" s="2" t="str">
        <f>IF(OR(AND(T304&lt;&gt;"", COUNTIF(Lookups!J:J, "*"&amp;T304&amp;"*")&gt;0), AND(AB304&lt;&gt;"", COUNTIF(Lookups!J:J, "*"&amp;AB304&amp;"*")&gt;0)), "Yes", "No")</f>
        <v>Yes</v>
      </c>
      <c r="H304" s="2" t="str">
        <f t="shared" si="17"/>
        <v>854DC Green Power|854DC Green Power</v>
      </c>
      <c r="I304" s="2" t="str">
        <f t="shared" si="18"/>
        <v>854DC-5660 HV Transmission lines|854DC-1521 HV Substations</v>
      </c>
      <c r="J304" s="2" t="str">
        <f t="shared" si="19"/>
        <v>N/A|854DC-1521-0004 Substation (220kV)</v>
      </c>
      <c r="K304" s="2" t="str">
        <f>_xlfn.XLOOKUP(A304,'EA-Fortescue_SDExport'!A:A,'EA-Fortescue_SDExport'!N:N)</f>
        <v>Proposed</v>
      </c>
      <c r="L304" s="2" t="str">
        <f>_xlfn.LET(_xlpm.result, _xlfn.XLOOKUP($A304,'EA-Fortescue_SDExport'!$A:$A,'EA-Fortescue_SDExport'!AQ:AQ), IF(_xlpm.result=0,"",_xlpm.result))</f>
        <v/>
      </c>
      <c r="M304" s="2" t="str">
        <f>_xlfn.LET(_xlpm.result, _xlfn.XLOOKUP($A304,'EA-Fortescue_SDExport'!$A:$A,'EA-Fortescue_SDExport'!AR:AR), IF(_xlpm.result=0,"",_xlpm.result))</f>
        <v/>
      </c>
      <c r="N304" s="2" t="str">
        <f>_xlfn.LET(_xlpm.result, _xlfn.XLOOKUP($A304,'EA-Fortescue_SDExport'!$A:$A,'EA-Fortescue_SDExport'!AW:AW), IF(_xlpm.result=0,"",_xlpm.result))</f>
        <v/>
      </c>
      <c r="O304" s="2" t="str">
        <f>_xlfn.LET(_xlpm.result, _xlfn.XLOOKUP($A304,'EA-Fortescue_SDExport'!$A:$A,'EA-Fortescue_SDExport'!AV:AV), IF(_xlpm.result=0,"",_xlpm.result))</f>
        <v/>
      </c>
      <c r="P304" s="2" t="str">
        <f>_xlfn.LET(_xlpm.result, _xlfn.XLOOKUP($A304,'EA-Fortescue_SDExport'!$A:$A,'EA-Fortescue_SDExport'!D:D), IF(_xlpm.result=0,"",_xlpm.result))</f>
        <v/>
      </c>
      <c r="Q304" s="2" t="str">
        <f>_xlfn.LET(
    _xlpm.status, _xlfn.XLOOKUP($A304,'EA-ConnectorExport'!$A:$A,'EA-ConnectorExport'!G:G),
    _xlpm.result, _xlfn.XLOOKUP($A304,'EA-ConnectorExport'!$A:$A,'EA-ConnectorExport'!B:B),
    IF(_xlpm.status="allocate", _xlpm.result, "")
)</f>
        <v>HV Transmission lines PEC # [SOL - LBD]</v>
      </c>
      <c r="R304" s="2" t="str">
        <f>IF(
    _xlfn.XLOOKUP($Q304,'EA-Fortescue_SDExport'!A:A,'EA-Fortescue_SDExport'!B:B)="Object",
    _xlfn.XLOOKUP(
        _xlfn.XLOOKUP($A304,'EA-ConnectorExport'!A:A,'EA-ConnectorExport'!D:D),
        'EA-Fortescue_SDExport'!A:A,
        'EA-Fortescue_SDExport'!AA:AA
    ),
    _xlfn.XLOOKUP($Q304,'EA-Fortescue_SDExport'!A:A,'EA-Fortescue_SDExport'!AA:AA)
)</f>
        <v>System</v>
      </c>
      <c r="S304" s="2" t="str">
        <f>_xlfn.LET(_xlpm.result, _xlfn.XLOOKUP($Q304,'EA-Fortescue_SDExport'!$A:$A,'EA-Fortescue_SDExport'!AB:AB), IF(_xlpm.result=0,"",_xlpm.result))</f>
        <v/>
      </c>
      <c r="T304" s="2" t="str">
        <f>_xlfn.LET(_xlpm.result, _xlfn.XLOOKUP($Q304,'EA-Fortescue_SDExport'!$A:$A,'EA-Fortescue_SDExport'!AC:AC), IF(_xlpm.result=0,"",_xlpm.result))</f>
        <v>PEC # [SOL - LBD]</v>
      </c>
      <c r="U304" s="2" t="str">
        <f>_xlfn.LET(
    _xlpm.isObject, _xlfn.XLOOKUP($Q304,'EA-Fortescue_SDExport'!A:A,'EA-Fortescue_SDExport'!B:B),
    _xlpm.lookupKey, IF(_xlpm.isObject="Object",
        _xlfn.XLOOKUP($A304,'EA-ConnectorExport'!A:A,'EA-ConnectorExport'!D:D),
        $Q304
    ),
    _xlpm.result, _xlfn.XLOOKUP(_xlpm.lookupKey,'EA-Fortescue_SDExport'!A:A,'EA-Fortescue_SDExport'!AD:AD),
    IF(_xlpm.result=0,"",_xlpm.result)
)</f>
        <v>854DC Green Power</v>
      </c>
      <c r="V304" s="2" t="str">
        <f>_xlfn.LET(
    _xlpm.isObject, _xlfn.XLOOKUP($Q304,'EA-Fortescue_SDExport'!A:A,'EA-Fortescue_SDExport'!B:B),
    _xlpm.lookupKey, IF(_xlpm.isObject="Object",
        _xlfn.XLOOKUP($A304,'EA-ConnectorExport'!A:A,'EA-ConnectorExport'!D:D),
        $Q304
    ),
    _xlpm.result, _xlfn.XLOOKUP(_xlpm.lookupKey,'EA-Fortescue_SDExport'!A:A,'EA-Fortescue_SDExport'!AE:AE),
    IF(_xlpm.result=0,"",_xlpm.result)
)</f>
        <v>854DC-5660 HV Transmission lines</v>
      </c>
      <c r="W304" s="2" t="str">
        <f>_xlfn.LET(
    _xlpm.isObject, _xlfn.XLOOKUP($Q304,'EA-Fortescue_SDExport'!A:A,'EA-Fortescue_SDExport'!B:B),
    _xlpm.lookupKey, IF(_xlpm.isObject="Object",
        _xlfn.XLOOKUP($A304,'EA-ConnectorExport'!A:A,'EA-ConnectorExport'!D:D),
        $Q304
    ),
    _xlpm.result, _xlfn.XLOOKUP(_xlpm.lookupKey,'EA-Fortescue_SDExport'!A:A,'EA-Fortescue_SDExport'!AF:AF),
    IF(_xlpm.result=0,"",_xlpm.result)
)</f>
        <v/>
      </c>
      <c r="X304" s="2" t="str">
        <f>_xlfn.LET(
    _xlpm.isObject, _xlfn.XLOOKUP($Q304,'EA-Fortescue_SDExport'!A:A,'EA-Fortescue_SDExport'!B:B),
    _xlpm.lookupKey, IF(_xlpm.isObject="Object",
        _xlfn.XLOOKUP($A304,'EA-ConnectorExport'!A:A,'EA-ConnectorExport'!D:D),
        $Q304
    ),
    _xlpm.result, _xlfn.XLOOKUP(_xlpm.lookupKey,'EA-Fortescue_SDExport'!A:A,'EA-Fortescue_SDExport'!AG:AG),
    IF(_xlpm.result=0,"",_xlpm.result)
)</f>
        <v/>
      </c>
      <c r="Y304" s="2" t="str">
        <f>_xlfn.LET(
    _xlpm.status, _xlfn.XLOOKUP($A304,'EA-ConnectorExport'!$A:$A,'EA-ConnectorExport'!G:G),
    _xlpm.result, _xlfn.XLOOKUP($A304,'EA-ConnectorExport'!$A:$A,'EA-ConnectorExport'!H:H),
    IF(_xlpm.status="allocate", _xlpm.result, "")
)</f>
        <v>Lambda Junction (LBD): Substation (220kV)</v>
      </c>
      <c r="Z304" s="2" t="str">
        <f>_xlfn.LET(
    _xlpm.isObject, _xlfn.XLOOKUP($Y304,'EA-Fortescue_SDExport'!A:A,'EA-Fortescue_SDExport'!B:B),
    _xlpm.lookupKey, IF(_xlpm.isObject="Object",
        _xlfn.XLOOKUP($A304,'EA-ConnectorExport'!A:A,'EA-ConnectorExport'!J:J),
        $Y304
    ),
    _xlpm.result, _xlfn.XLOOKUP(_xlpm.lookupKey,'EA-Fortescue_SDExport'!A:A,'EA-Fortescue_SDExport'!AA:AA),
    IF(_xlpm.result=0,"",_xlpm.result)
)</f>
        <v>Project</v>
      </c>
      <c r="AA304" s="2" t="str">
        <f>_xlfn.LET(_xlpm.result, _xlfn.XLOOKUP($Y304,'EA-Fortescue_SDExport'!$A:$A,'EA-Fortescue_SDExport'!AB:AB), IF(_xlpm.result=0,"",_xlpm.result))</f>
        <v/>
      </c>
      <c r="AB304" s="2" t="str">
        <f>_xlfn.LET(_xlpm.result, _xlfn.XLOOKUP($Y304,'EA-Fortescue_SDExport'!$A:$A,'EA-Fortescue_SDExport'!AC:AC), IF(_xlpm.result=0,"",_xlpm.result))</f>
        <v>Lambda Junction (LBD)</v>
      </c>
      <c r="AC304" s="2" t="str">
        <f>_xlfn.LET(
    _xlpm.isObject, _xlfn.XLOOKUP($Y304,'EA-Fortescue_SDExport'!A:A,'EA-Fortescue_SDExport'!B:B),
    _xlpm.lookupKey, IF(_xlpm.isObject="Object",
        _xlfn.XLOOKUP($A304,'EA-ConnectorExport'!A:A,'EA-ConnectorExport'!J:J),
        $Y304
    ),
    _xlpm.result, _xlfn.XLOOKUP(_xlpm.lookupKey,'EA-Fortescue_SDExport'!A:A,'EA-Fortescue_SDExport'!AD:AD),
    IF(_xlpm.result=0,"",_xlpm.result)
)</f>
        <v>854DC Green Power</v>
      </c>
      <c r="AD304" s="2" t="str">
        <f>_xlfn.LET(
    _xlpm.isObject, _xlfn.XLOOKUP($Y304,'EA-Fortescue_SDExport'!A:A,'EA-Fortescue_SDExport'!B:B),
    _xlpm.lookupKey, IF(_xlpm.isObject="Object",
        _xlfn.XLOOKUP($A304,'EA-ConnectorExport'!A:A,'EA-ConnectorExport'!J:J),
        $Y304
    ),
    _xlpm.result, _xlfn.XLOOKUP(_xlpm.lookupKey,'EA-Fortescue_SDExport'!A:A,'EA-Fortescue_SDExport'!AE:AE),
    IF(_xlpm.result=0,"",_xlpm.result)
)</f>
        <v>854DC-1521 HV Substations</v>
      </c>
      <c r="AE304" s="2" t="str">
        <f>_xlfn.LET(
    _xlpm.isObject, _xlfn.XLOOKUP($Y304,'EA-Fortescue_SDExport'!A:A,'EA-Fortescue_SDExport'!B:B),
    _xlpm.lookupKey, IF(_xlpm.isObject="Object",
        _xlfn.XLOOKUP($A304,'EA-ConnectorExport'!A:A,'EA-ConnectorExport'!J:J),
        $Y304
    ),
    _xlpm.result, _xlfn.XLOOKUP(_xlpm.lookupKey,'EA-Fortescue_SDExport'!A:A,'EA-Fortescue_SDExport'!AF:AF),
    IF(_xlpm.result=0,"",_xlpm.result)
)</f>
        <v>854DC-1521-0004 Substation (220kV)</v>
      </c>
      <c r="AF304" s="2" t="str">
        <f>_xlfn.LET(
    _xlpm.isObject, _xlfn.XLOOKUP($Y304,'EA-Fortescue_SDExport'!A:A,'EA-Fortescue_SDExport'!B:B),
    _xlpm.lookupKey, IF(_xlpm.isObject="Object",
        _xlfn.XLOOKUP($A304,'EA-ConnectorExport'!A:A,'EA-ConnectorExport'!J:J),
        $Y304
    ),
    _xlpm.result, _xlfn.XLOOKUP(_xlpm.lookupKey,'EA-Fortescue_SDExport'!A:A,'EA-Fortescue_SDExport'!AG:AG),
    IF(_xlpm.result=0,"",_xlpm.result)
)</f>
        <v/>
      </c>
    </row>
    <row r="305" spans="1:32" ht="45" x14ac:dyDescent="0.25">
      <c r="A305" s="2" t="str">
        <v>DGS-I_0304</v>
      </c>
      <c r="B305" s="2" t="str">
        <f t="shared" si="16"/>
        <v>HV Transmission lines PEC # [LBD - Iron Bridge]|Iron Bridge Mine: Substation (220kV)</v>
      </c>
      <c r="C305" s="2" t="str">
        <f>_xlfn.LET(_xlpm.result, _xlfn.XLOOKUP(A305,'EA-Fortescue_SDExport'!A:A,'EA-Fortescue_SDExport'!AM:AM), IF(_xlpm.result=0,"",_xlpm.result))</f>
        <v/>
      </c>
      <c r="D305" s="2" t="str">
        <f>_xlfn.LET(_xlpm.result, _xlfn.XLOOKUP(A305,'EA-Fortescue_SDExport'!A:A,'EA-Fortescue_SDExport'!AN:AN), IF(_xlpm.result=0,"",_xlpm.result))</f>
        <v/>
      </c>
      <c r="E305" s="2" t="str">
        <f>_xlfn.XLOOKUP(R305&amp;Z305,Lookups!A:A,Lookups!B:B)</f>
        <v>System - Project Interface</v>
      </c>
      <c r="F305" s="2" t="str">
        <f>_xlfn.LET(_xlpm.result, _xlfn.XLOOKUP(A305,'EA-Fortescue_SDExport'!A:A,'EA-Fortescue_SDExport'!AP:AP), IF(_xlpm.result=0,"",_xlpm.result))</f>
        <v/>
      </c>
      <c r="G305" s="2" t="str">
        <f>IF(OR(AND(T305&lt;&gt;"", COUNTIF(Lookups!J:J, "*"&amp;T305&amp;"*")&gt;0), AND(AB305&lt;&gt;"", COUNTIF(Lookups!J:J, "*"&amp;AB305&amp;"*")&gt;0)), "Yes", "No")</f>
        <v>Yes</v>
      </c>
      <c r="H305" s="2" t="str">
        <f t="shared" si="17"/>
        <v>854DC Green Power|854DC Green Power</v>
      </c>
      <c r="I305" s="2" t="str">
        <f t="shared" si="18"/>
        <v>854DC-5660 HV Transmission lines|854DC-1521 HV Substations</v>
      </c>
      <c r="J305" s="2" t="str">
        <f t="shared" si="19"/>
        <v>N/A|854DC-1521-0004 Substation (220kV)</v>
      </c>
      <c r="K305" s="2" t="str">
        <f>_xlfn.XLOOKUP(A305,'EA-Fortescue_SDExport'!A:A,'EA-Fortescue_SDExport'!N:N)</f>
        <v>Proposed</v>
      </c>
      <c r="L305" s="2" t="str">
        <f>_xlfn.LET(_xlpm.result, _xlfn.XLOOKUP($A305,'EA-Fortescue_SDExport'!$A:$A,'EA-Fortescue_SDExport'!AQ:AQ), IF(_xlpm.result=0,"",_xlpm.result))</f>
        <v/>
      </c>
      <c r="M305" s="2" t="str">
        <f>_xlfn.LET(_xlpm.result, _xlfn.XLOOKUP($A305,'EA-Fortescue_SDExport'!$A:$A,'EA-Fortescue_SDExport'!AR:AR), IF(_xlpm.result=0,"",_xlpm.result))</f>
        <v/>
      </c>
      <c r="N305" s="2" t="str">
        <f>_xlfn.LET(_xlpm.result, _xlfn.XLOOKUP($A305,'EA-Fortescue_SDExport'!$A:$A,'EA-Fortescue_SDExport'!AW:AW), IF(_xlpm.result=0,"",_xlpm.result))</f>
        <v/>
      </c>
      <c r="O305" s="2" t="str">
        <f>_xlfn.LET(_xlpm.result, _xlfn.XLOOKUP($A305,'EA-Fortescue_SDExport'!$A:$A,'EA-Fortescue_SDExport'!AV:AV), IF(_xlpm.result=0,"",_xlpm.result))</f>
        <v/>
      </c>
      <c r="P305" s="2" t="str">
        <f>_xlfn.LET(_xlpm.result, _xlfn.XLOOKUP($A305,'EA-Fortescue_SDExport'!$A:$A,'EA-Fortescue_SDExport'!D:D), IF(_xlpm.result=0,"",_xlpm.result))</f>
        <v/>
      </c>
      <c r="Q305" s="2" t="str">
        <f>_xlfn.LET(
    _xlpm.status, _xlfn.XLOOKUP($A305,'EA-ConnectorExport'!$A:$A,'EA-ConnectorExport'!G:G),
    _xlpm.result, _xlfn.XLOOKUP($A305,'EA-ConnectorExport'!$A:$A,'EA-ConnectorExport'!B:B),
    IF(_xlpm.status="allocate", _xlpm.result, "")
)</f>
        <v>HV Transmission lines PEC # [LBD - Iron Bridge]</v>
      </c>
      <c r="R305" s="2" t="str">
        <f>IF(
    _xlfn.XLOOKUP($Q305,'EA-Fortescue_SDExport'!A:A,'EA-Fortescue_SDExport'!B:B)="Object",
    _xlfn.XLOOKUP(
        _xlfn.XLOOKUP($A305,'EA-ConnectorExport'!A:A,'EA-ConnectorExport'!D:D),
        'EA-Fortescue_SDExport'!A:A,
        'EA-Fortescue_SDExport'!AA:AA
    ),
    _xlfn.XLOOKUP($Q305,'EA-Fortescue_SDExport'!A:A,'EA-Fortescue_SDExport'!AA:AA)
)</f>
        <v>System</v>
      </c>
      <c r="S305" s="2" t="str">
        <f>_xlfn.LET(_xlpm.result, _xlfn.XLOOKUP($Q305,'EA-Fortescue_SDExport'!$A:$A,'EA-Fortescue_SDExport'!AB:AB), IF(_xlpm.result=0,"",_xlpm.result))</f>
        <v/>
      </c>
      <c r="T305" s="2" t="str">
        <f>_xlfn.LET(_xlpm.result, _xlfn.XLOOKUP($Q305,'EA-Fortescue_SDExport'!$A:$A,'EA-Fortescue_SDExport'!AC:AC), IF(_xlpm.result=0,"",_xlpm.result))</f>
        <v>PEC # [LBD - Iron Bridge]</v>
      </c>
      <c r="U305" s="2" t="str">
        <f>_xlfn.LET(
    _xlpm.isObject, _xlfn.XLOOKUP($Q305,'EA-Fortescue_SDExport'!A:A,'EA-Fortescue_SDExport'!B:B),
    _xlpm.lookupKey, IF(_xlpm.isObject="Object",
        _xlfn.XLOOKUP($A305,'EA-ConnectorExport'!A:A,'EA-ConnectorExport'!D:D),
        $Q305
    ),
    _xlpm.result, _xlfn.XLOOKUP(_xlpm.lookupKey,'EA-Fortescue_SDExport'!A:A,'EA-Fortescue_SDExport'!AD:AD),
    IF(_xlpm.result=0,"",_xlpm.result)
)</f>
        <v>854DC Green Power</v>
      </c>
      <c r="V305" s="2" t="str">
        <f>_xlfn.LET(
    _xlpm.isObject, _xlfn.XLOOKUP($Q305,'EA-Fortescue_SDExport'!A:A,'EA-Fortescue_SDExport'!B:B),
    _xlpm.lookupKey, IF(_xlpm.isObject="Object",
        _xlfn.XLOOKUP($A305,'EA-ConnectorExport'!A:A,'EA-ConnectorExport'!D:D),
        $Q305
    ),
    _xlpm.result, _xlfn.XLOOKUP(_xlpm.lookupKey,'EA-Fortescue_SDExport'!A:A,'EA-Fortescue_SDExport'!AE:AE),
    IF(_xlpm.result=0,"",_xlpm.result)
)</f>
        <v>854DC-5660 HV Transmission lines</v>
      </c>
      <c r="W305" s="2" t="str">
        <f>_xlfn.LET(
    _xlpm.isObject, _xlfn.XLOOKUP($Q305,'EA-Fortescue_SDExport'!A:A,'EA-Fortescue_SDExport'!B:B),
    _xlpm.lookupKey, IF(_xlpm.isObject="Object",
        _xlfn.XLOOKUP($A305,'EA-ConnectorExport'!A:A,'EA-ConnectorExport'!D:D),
        $Q305
    ),
    _xlpm.result, _xlfn.XLOOKUP(_xlpm.lookupKey,'EA-Fortescue_SDExport'!A:A,'EA-Fortescue_SDExport'!AF:AF),
    IF(_xlpm.result=0,"",_xlpm.result)
)</f>
        <v/>
      </c>
      <c r="X305" s="2" t="str">
        <f>_xlfn.LET(
    _xlpm.isObject, _xlfn.XLOOKUP($Q305,'EA-Fortescue_SDExport'!A:A,'EA-Fortescue_SDExport'!B:B),
    _xlpm.lookupKey, IF(_xlpm.isObject="Object",
        _xlfn.XLOOKUP($A305,'EA-ConnectorExport'!A:A,'EA-ConnectorExport'!D:D),
        $Q305
    ),
    _xlpm.result, _xlfn.XLOOKUP(_xlpm.lookupKey,'EA-Fortescue_SDExport'!A:A,'EA-Fortescue_SDExport'!AG:AG),
    IF(_xlpm.result=0,"",_xlpm.result)
)</f>
        <v/>
      </c>
      <c r="Y305" s="2" t="str">
        <f>_xlfn.LET(
    _xlpm.status, _xlfn.XLOOKUP($A305,'EA-ConnectorExport'!$A:$A,'EA-ConnectorExport'!G:G),
    _xlpm.result, _xlfn.XLOOKUP($A305,'EA-ConnectorExport'!$A:$A,'EA-ConnectorExport'!H:H),
    IF(_xlpm.status="allocate", _xlpm.result, "")
)</f>
        <v>Iron Bridge Mine: Substation (220kV)</v>
      </c>
      <c r="Z305" s="2" t="str">
        <f>_xlfn.LET(
    _xlpm.isObject, _xlfn.XLOOKUP($Y305,'EA-Fortescue_SDExport'!A:A,'EA-Fortescue_SDExport'!B:B),
    _xlpm.lookupKey, IF(_xlpm.isObject="Object",
        _xlfn.XLOOKUP($A305,'EA-ConnectorExport'!A:A,'EA-ConnectorExport'!J:J),
        $Y305
    ),
    _xlpm.result, _xlfn.XLOOKUP(_xlpm.lookupKey,'EA-Fortescue_SDExport'!A:A,'EA-Fortescue_SDExport'!AA:AA),
    IF(_xlpm.result=0,"",_xlpm.result)
)</f>
        <v>Project</v>
      </c>
      <c r="AA305" s="2" t="str">
        <f>_xlfn.LET(_xlpm.result, _xlfn.XLOOKUP($Y305,'EA-Fortescue_SDExport'!$A:$A,'EA-Fortescue_SDExport'!AB:AB), IF(_xlpm.result=0,"",_xlpm.result))</f>
        <v/>
      </c>
      <c r="AB305" s="2" t="str">
        <f>_xlfn.LET(_xlpm.result, _xlfn.XLOOKUP($Y305,'EA-Fortescue_SDExport'!$A:$A,'EA-Fortescue_SDExport'!AC:AC), IF(_xlpm.result=0,"",_xlpm.result))</f>
        <v>Iron Bridge Mine</v>
      </c>
      <c r="AC305" s="2" t="str">
        <f>_xlfn.LET(
    _xlpm.isObject, _xlfn.XLOOKUP($Y305,'EA-Fortescue_SDExport'!A:A,'EA-Fortescue_SDExport'!B:B),
    _xlpm.lookupKey, IF(_xlpm.isObject="Object",
        _xlfn.XLOOKUP($A305,'EA-ConnectorExport'!A:A,'EA-ConnectorExport'!J:J),
        $Y305
    ),
    _xlpm.result, _xlfn.XLOOKUP(_xlpm.lookupKey,'EA-Fortescue_SDExport'!A:A,'EA-Fortescue_SDExport'!AD:AD),
    IF(_xlpm.result=0,"",_xlpm.result)
)</f>
        <v>854DC Green Power</v>
      </c>
      <c r="AD305" s="2" t="str">
        <f>_xlfn.LET(
    _xlpm.isObject, _xlfn.XLOOKUP($Y305,'EA-Fortescue_SDExport'!A:A,'EA-Fortescue_SDExport'!B:B),
    _xlpm.lookupKey, IF(_xlpm.isObject="Object",
        _xlfn.XLOOKUP($A305,'EA-ConnectorExport'!A:A,'EA-ConnectorExport'!J:J),
        $Y305
    ),
    _xlpm.result, _xlfn.XLOOKUP(_xlpm.lookupKey,'EA-Fortescue_SDExport'!A:A,'EA-Fortescue_SDExport'!AE:AE),
    IF(_xlpm.result=0,"",_xlpm.result)
)</f>
        <v>854DC-1521 HV Substations</v>
      </c>
      <c r="AE305" s="2" t="str">
        <f>_xlfn.LET(
    _xlpm.isObject, _xlfn.XLOOKUP($Y305,'EA-Fortescue_SDExport'!A:A,'EA-Fortescue_SDExport'!B:B),
    _xlpm.lookupKey, IF(_xlpm.isObject="Object",
        _xlfn.XLOOKUP($A305,'EA-ConnectorExport'!A:A,'EA-ConnectorExport'!J:J),
        $Y305
    ),
    _xlpm.result, _xlfn.XLOOKUP(_xlpm.lookupKey,'EA-Fortescue_SDExport'!A:A,'EA-Fortescue_SDExport'!AF:AF),
    IF(_xlpm.result=0,"",_xlpm.result)
)</f>
        <v>854DC-1521-0004 Substation (220kV)</v>
      </c>
      <c r="AF305" s="2" t="str">
        <f>_xlfn.LET(
    _xlpm.isObject, _xlfn.XLOOKUP($Y305,'EA-Fortescue_SDExport'!A:A,'EA-Fortescue_SDExport'!B:B),
    _xlpm.lookupKey, IF(_xlpm.isObject="Object",
        _xlfn.XLOOKUP($A305,'EA-ConnectorExport'!A:A,'EA-ConnectorExport'!J:J),
        $Y305
    ),
    _xlpm.result, _xlfn.XLOOKUP(_xlpm.lookupKey,'EA-Fortescue_SDExport'!A:A,'EA-Fortescue_SDExport'!AG:AG),
    IF(_xlpm.result=0,"",_xlpm.result)
)</f>
        <v/>
      </c>
    </row>
    <row r="306" spans="1:32" ht="45" x14ac:dyDescent="0.25">
      <c r="A306" s="2" t="str">
        <v>DGS-I_0305</v>
      </c>
      <c r="B306" s="2" t="str">
        <f t="shared" si="16"/>
        <v>HV Transmission lines PEC # [Iron Bridge - Port]|Port Hedland: Substation (220kV)</v>
      </c>
      <c r="C306" s="2" t="str">
        <f>_xlfn.LET(_xlpm.result, _xlfn.XLOOKUP(A306,'EA-Fortescue_SDExport'!A:A,'EA-Fortescue_SDExport'!AM:AM), IF(_xlpm.result=0,"",_xlpm.result))</f>
        <v/>
      </c>
      <c r="D306" s="2" t="str">
        <f>_xlfn.LET(_xlpm.result, _xlfn.XLOOKUP(A306,'EA-Fortescue_SDExport'!A:A,'EA-Fortescue_SDExport'!AN:AN), IF(_xlpm.result=0,"",_xlpm.result))</f>
        <v/>
      </c>
      <c r="E306" s="2" t="str">
        <f>_xlfn.XLOOKUP(R306&amp;Z306,Lookups!A:A,Lookups!B:B)</f>
        <v>System - Project Interface</v>
      </c>
      <c r="F306" s="2" t="str">
        <f>_xlfn.LET(_xlpm.result, _xlfn.XLOOKUP(A306,'EA-Fortescue_SDExport'!A:A,'EA-Fortescue_SDExport'!AP:AP), IF(_xlpm.result=0,"",_xlpm.result))</f>
        <v/>
      </c>
      <c r="G306" s="2" t="str">
        <f>IF(OR(AND(T306&lt;&gt;"", COUNTIF(Lookups!J:J, "*"&amp;T306&amp;"*")&gt;0), AND(AB306&lt;&gt;"", COUNTIF(Lookups!J:J, "*"&amp;AB306&amp;"*")&gt;0)), "Yes", "No")</f>
        <v>Yes</v>
      </c>
      <c r="H306" s="2" t="str">
        <f t="shared" si="17"/>
        <v>854DC Green Power|854DC Green Power</v>
      </c>
      <c r="I306" s="2" t="str">
        <f t="shared" si="18"/>
        <v>854DC-5660 HV Transmission lines|854DC-1521 HV Substations</v>
      </c>
      <c r="J306" s="2" t="str">
        <f t="shared" si="19"/>
        <v>N/A|854DC-1521-0004 Substation (220kV)</v>
      </c>
      <c r="K306" s="2" t="str">
        <f>_xlfn.XLOOKUP(A306,'EA-Fortescue_SDExport'!A:A,'EA-Fortescue_SDExport'!N:N)</f>
        <v>Proposed</v>
      </c>
      <c r="L306" s="2" t="str">
        <f>_xlfn.LET(_xlpm.result, _xlfn.XLOOKUP($A306,'EA-Fortescue_SDExport'!$A:$A,'EA-Fortescue_SDExport'!AQ:AQ), IF(_xlpm.result=0,"",_xlpm.result))</f>
        <v/>
      </c>
      <c r="M306" s="2" t="str">
        <f>_xlfn.LET(_xlpm.result, _xlfn.XLOOKUP($A306,'EA-Fortescue_SDExport'!$A:$A,'EA-Fortescue_SDExport'!AR:AR), IF(_xlpm.result=0,"",_xlpm.result))</f>
        <v/>
      </c>
      <c r="N306" s="2" t="str">
        <f>_xlfn.LET(_xlpm.result, _xlfn.XLOOKUP($A306,'EA-Fortescue_SDExport'!$A:$A,'EA-Fortescue_SDExport'!AW:AW), IF(_xlpm.result=0,"",_xlpm.result))</f>
        <v/>
      </c>
      <c r="O306" s="2" t="str">
        <f>_xlfn.LET(_xlpm.result, _xlfn.XLOOKUP($A306,'EA-Fortescue_SDExport'!$A:$A,'EA-Fortescue_SDExport'!AV:AV), IF(_xlpm.result=0,"",_xlpm.result))</f>
        <v/>
      </c>
      <c r="P306" s="2" t="str">
        <f>_xlfn.LET(_xlpm.result, _xlfn.XLOOKUP($A306,'EA-Fortescue_SDExport'!$A:$A,'EA-Fortescue_SDExport'!D:D), IF(_xlpm.result=0,"",_xlpm.result))</f>
        <v/>
      </c>
      <c r="Q306" s="2" t="str">
        <f>_xlfn.LET(
    _xlpm.status, _xlfn.XLOOKUP($A306,'EA-ConnectorExport'!$A:$A,'EA-ConnectorExport'!G:G),
    _xlpm.result, _xlfn.XLOOKUP($A306,'EA-ConnectorExport'!$A:$A,'EA-ConnectorExport'!B:B),
    IF(_xlpm.status="allocate", _xlpm.result, "")
)</f>
        <v>HV Transmission lines PEC # [Iron Bridge - Port]</v>
      </c>
      <c r="R306" s="2" t="str">
        <f>IF(
    _xlfn.XLOOKUP($Q306,'EA-Fortescue_SDExport'!A:A,'EA-Fortescue_SDExport'!B:B)="Object",
    _xlfn.XLOOKUP(
        _xlfn.XLOOKUP($A306,'EA-ConnectorExport'!A:A,'EA-ConnectorExport'!D:D),
        'EA-Fortescue_SDExport'!A:A,
        'EA-Fortescue_SDExport'!AA:AA
    ),
    _xlfn.XLOOKUP($Q306,'EA-Fortescue_SDExport'!A:A,'EA-Fortescue_SDExport'!AA:AA)
)</f>
        <v>System</v>
      </c>
      <c r="S306" s="2" t="str">
        <f>_xlfn.LET(_xlpm.result, _xlfn.XLOOKUP($Q306,'EA-Fortescue_SDExport'!$A:$A,'EA-Fortescue_SDExport'!AB:AB), IF(_xlpm.result=0,"",_xlpm.result))</f>
        <v/>
      </c>
      <c r="T306" s="2" t="str">
        <f>_xlfn.LET(_xlpm.result, _xlfn.XLOOKUP($Q306,'EA-Fortescue_SDExport'!$A:$A,'EA-Fortescue_SDExport'!AC:AC), IF(_xlpm.result=0,"",_xlpm.result))</f>
        <v>PEC # [Iron Bridge - Port Hedland]</v>
      </c>
      <c r="U306" s="2" t="str">
        <f>_xlfn.LET(
    _xlpm.isObject, _xlfn.XLOOKUP($Q306,'EA-Fortescue_SDExport'!A:A,'EA-Fortescue_SDExport'!B:B),
    _xlpm.lookupKey, IF(_xlpm.isObject="Object",
        _xlfn.XLOOKUP($A306,'EA-ConnectorExport'!A:A,'EA-ConnectorExport'!D:D),
        $Q306
    ),
    _xlpm.result, _xlfn.XLOOKUP(_xlpm.lookupKey,'EA-Fortescue_SDExport'!A:A,'EA-Fortescue_SDExport'!AD:AD),
    IF(_xlpm.result=0,"",_xlpm.result)
)</f>
        <v>854DC Green Power</v>
      </c>
      <c r="V306" s="2" t="str">
        <f>_xlfn.LET(
    _xlpm.isObject, _xlfn.XLOOKUP($Q306,'EA-Fortescue_SDExport'!A:A,'EA-Fortescue_SDExport'!B:B),
    _xlpm.lookupKey, IF(_xlpm.isObject="Object",
        _xlfn.XLOOKUP($A306,'EA-ConnectorExport'!A:A,'EA-ConnectorExport'!D:D),
        $Q306
    ),
    _xlpm.result, _xlfn.XLOOKUP(_xlpm.lookupKey,'EA-Fortescue_SDExport'!A:A,'EA-Fortescue_SDExport'!AE:AE),
    IF(_xlpm.result=0,"",_xlpm.result)
)</f>
        <v>854DC-5660 HV Transmission lines</v>
      </c>
      <c r="W306" s="2" t="str">
        <f>_xlfn.LET(
    _xlpm.isObject, _xlfn.XLOOKUP($Q306,'EA-Fortescue_SDExport'!A:A,'EA-Fortescue_SDExport'!B:B),
    _xlpm.lookupKey, IF(_xlpm.isObject="Object",
        _xlfn.XLOOKUP($A306,'EA-ConnectorExport'!A:A,'EA-ConnectorExport'!D:D),
        $Q306
    ),
    _xlpm.result, _xlfn.XLOOKUP(_xlpm.lookupKey,'EA-Fortescue_SDExport'!A:A,'EA-Fortescue_SDExport'!AF:AF),
    IF(_xlpm.result=0,"",_xlpm.result)
)</f>
        <v/>
      </c>
      <c r="X306" s="2" t="str">
        <f>_xlfn.LET(
    _xlpm.isObject, _xlfn.XLOOKUP($Q306,'EA-Fortescue_SDExport'!A:A,'EA-Fortescue_SDExport'!B:B),
    _xlpm.lookupKey, IF(_xlpm.isObject="Object",
        _xlfn.XLOOKUP($A306,'EA-ConnectorExport'!A:A,'EA-ConnectorExport'!D:D),
        $Q306
    ),
    _xlpm.result, _xlfn.XLOOKUP(_xlpm.lookupKey,'EA-Fortescue_SDExport'!A:A,'EA-Fortescue_SDExport'!AG:AG),
    IF(_xlpm.result=0,"",_xlpm.result)
)</f>
        <v/>
      </c>
      <c r="Y306" s="2" t="str">
        <f>_xlfn.LET(
    _xlpm.status, _xlfn.XLOOKUP($A306,'EA-ConnectorExport'!$A:$A,'EA-ConnectorExport'!G:G),
    _xlpm.result, _xlfn.XLOOKUP($A306,'EA-ConnectorExport'!$A:$A,'EA-ConnectorExport'!H:H),
    IF(_xlpm.status="allocate", _xlpm.result, "")
)</f>
        <v>Port Hedland: Substation (220kV)</v>
      </c>
      <c r="Z306" s="2" t="str">
        <f>_xlfn.LET(
    _xlpm.isObject, _xlfn.XLOOKUP($Y306,'EA-Fortescue_SDExport'!A:A,'EA-Fortescue_SDExport'!B:B),
    _xlpm.lookupKey, IF(_xlpm.isObject="Object",
        _xlfn.XLOOKUP($A306,'EA-ConnectorExport'!A:A,'EA-ConnectorExport'!J:J),
        $Y306
    ),
    _xlpm.result, _xlfn.XLOOKUP(_xlpm.lookupKey,'EA-Fortescue_SDExport'!A:A,'EA-Fortescue_SDExport'!AA:AA),
    IF(_xlpm.result=0,"",_xlpm.result)
)</f>
        <v>Project</v>
      </c>
      <c r="AA306" s="2" t="str">
        <f>_xlfn.LET(_xlpm.result, _xlfn.XLOOKUP($Y306,'EA-Fortescue_SDExport'!$A:$A,'EA-Fortescue_SDExport'!AB:AB), IF(_xlpm.result=0,"",_xlpm.result))</f>
        <v/>
      </c>
      <c r="AB306" s="2" t="str">
        <f>_xlfn.LET(_xlpm.result, _xlfn.XLOOKUP($Y306,'EA-Fortescue_SDExport'!$A:$A,'EA-Fortescue_SDExport'!AC:AC), IF(_xlpm.result=0,"",_xlpm.result))</f>
        <v>Port Hedland</v>
      </c>
      <c r="AC306" s="2" t="str">
        <f>_xlfn.LET(
    _xlpm.isObject, _xlfn.XLOOKUP($Y306,'EA-Fortescue_SDExport'!A:A,'EA-Fortescue_SDExport'!B:B),
    _xlpm.lookupKey, IF(_xlpm.isObject="Object",
        _xlfn.XLOOKUP($A306,'EA-ConnectorExport'!A:A,'EA-ConnectorExport'!J:J),
        $Y306
    ),
    _xlpm.result, _xlfn.XLOOKUP(_xlpm.lookupKey,'EA-Fortescue_SDExport'!A:A,'EA-Fortescue_SDExport'!AD:AD),
    IF(_xlpm.result=0,"",_xlpm.result)
)</f>
        <v>854DC Green Power</v>
      </c>
      <c r="AD306" s="2" t="str">
        <f>_xlfn.LET(
    _xlpm.isObject, _xlfn.XLOOKUP($Y306,'EA-Fortescue_SDExport'!A:A,'EA-Fortescue_SDExport'!B:B),
    _xlpm.lookupKey, IF(_xlpm.isObject="Object",
        _xlfn.XLOOKUP($A306,'EA-ConnectorExport'!A:A,'EA-ConnectorExport'!J:J),
        $Y306
    ),
    _xlpm.result, _xlfn.XLOOKUP(_xlpm.lookupKey,'EA-Fortescue_SDExport'!A:A,'EA-Fortescue_SDExport'!AE:AE),
    IF(_xlpm.result=0,"",_xlpm.result)
)</f>
        <v>854DC-1521 HV Substations</v>
      </c>
      <c r="AE306" s="2" t="str">
        <f>_xlfn.LET(
    _xlpm.isObject, _xlfn.XLOOKUP($Y306,'EA-Fortescue_SDExport'!A:A,'EA-Fortescue_SDExport'!B:B),
    _xlpm.lookupKey, IF(_xlpm.isObject="Object",
        _xlfn.XLOOKUP($A306,'EA-ConnectorExport'!A:A,'EA-ConnectorExport'!J:J),
        $Y306
    ),
    _xlpm.result, _xlfn.XLOOKUP(_xlpm.lookupKey,'EA-Fortescue_SDExport'!A:A,'EA-Fortescue_SDExport'!AF:AF),
    IF(_xlpm.result=0,"",_xlpm.result)
)</f>
        <v>854DC-1521-0004 Substation (220kV)</v>
      </c>
      <c r="AF306" s="2" t="str">
        <f>_xlfn.LET(
    _xlpm.isObject, _xlfn.XLOOKUP($Y306,'EA-Fortescue_SDExport'!A:A,'EA-Fortescue_SDExport'!B:B),
    _xlpm.lookupKey, IF(_xlpm.isObject="Object",
        _xlfn.XLOOKUP($A306,'EA-ConnectorExport'!A:A,'EA-ConnectorExport'!J:J),
        $Y306
    ),
    _xlpm.result, _xlfn.XLOOKUP(_xlpm.lookupKey,'EA-Fortescue_SDExport'!A:A,'EA-Fortescue_SDExport'!AG:AG),
    IF(_xlpm.result=0,"",_xlpm.result)
)</f>
        <v/>
      </c>
    </row>
    <row r="307" spans="1:32" ht="45" x14ac:dyDescent="0.25">
      <c r="A307" s="2" t="str">
        <v>DGS-I_0306</v>
      </c>
      <c r="B307" s="2" t="str">
        <f t="shared" si="16"/>
        <v>HV Transmission lines PEC # [LBD - Iron Bridge]|Lambda Junction (LBD): Substation (220kV)</v>
      </c>
      <c r="C307" s="2" t="str">
        <f>_xlfn.LET(_xlpm.result, _xlfn.XLOOKUP(A307,'EA-Fortescue_SDExport'!A:A,'EA-Fortescue_SDExport'!AM:AM), IF(_xlpm.result=0,"",_xlpm.result))</f>
        <v/>
      </c>
      <c r="D307" s="2" t="str">
        <f>_xlfn.LET(_xlpm.result, _xlfn.XLOOKUP(A307,'EA-Fortescue_SDExport'!A:A,'EA-Fortescue_SDExport'!AN:AN), IF(_xlpm.result=0,"",_xlpm.result))</f>
        <v/>
      </c>
      <c r="E307" s="2" t="str">
        <f>_xlfn.XLOOKUP(R307&amp;Z307,Lookups!A:A,Lookups!B:B)</f>
        <v>System - Project Interface</v>
      </c>
      <c r="F307" s="2" t="str">
        <f>_xlfn.LET(_xlpm.result, _xlfn.XLOOKUP(A307,'EA-Fortescue_SDExport'!A:A,'EA-Fortescue_SDExport'!AP:AP), IF(_xlpm.result=0,"",_xlpm.result))</f>
        <v/>
      </c>
      <c r="G307" s="2" t="str">
        <f>IF(OR(AND(T307&lt;&gt;"", COUNTIF(Lookups!J:J, "*"&amp;T307&amp;"*")&gt;0), AND(AB307&lt;&gt;"", COUNTIF(Lookups!J:J, "*"&amp;AB307&amp;"*")&gt;0)), "Yes", "No")</f>
        <v>Yes</v>
      </c>
      <c r="H307" s="2" t="str">
        <f t="shared" si="17"/>
        <v>854DC Green Power|854DC Green Power</v>
      </c>
      <c r="I307" s="2" t="str">
        <f t="shared" si="18"/>
        <v>854DC-5660 HV Transmission lines|854DC-1521 HV Substations</v>
      </c>
      <c r="J307" s="2" t="str">
        <f t="shared" si="19"/>
        <v>N/A|854DC-1521-0004 Substation (220kV)</v>
      </c>
      <c r="K307" s="2" t="str">
        <f>_xlfn.XLOOKUP(A307,'EA-Fortescue_SDExport'!A:A,'EA-Fortescue_SDExport'!N:N)</f>
        <v>Proposed</v>
      </c>
      <c r="L307" s="2" t="str">
        <f>_xlfn.LET(_xlpm.result, _xlfn.XLOOKUP($A307,'EA-Fortescue_SDExport'!$A:$A,'EA-Fortescue_SDExport'!AQ:AQ), IF(_xlpm.result=0,"",_xlpm.result))</f>
        <v/>
      </c>
      <c r="M307" s="2" t="str">
        <f>_xlfn.LET(_xlpm.result, _xlfn.XLOOKUP($A307,'EA-Fortescue_SDExport'!$A:$A,'EA-Fortescue_SDExport'!AR:AR), IF(_xlpm.result=0,"",_xlpm.result))</f>
        <v/>
      </c>
      <c r="N307" s="2" t="str">
        <f>_xlfn.LET(_xlpm.result, _xlfn.XLOOKUP($A307,'EA-Fortescue_SDExport'!$A:$A,'EA-Fortescue_SDExport'!AW:AW), IF(_xlpm.result=0,"",_xlpm.result))</f>
        <v/>
      </c>
      <c r="O307" s="2" t="str">
        <f>_xlfn.LET(_xlpm.result, _xlfn.XLOOKUP($A307,'EA-Fortescue_SDExport'!$A:$A,'EA-Fortescue_SDExport'!AV:AV), IF(_xlpm.result=0,"",_xlpm.result))</f>
        <v/>
      </c>
      <c r="P307" s="2" t="str">
        <f>_xlfn.LET(_xlpm.result, _xlfn.XLOOKUP($A307,'EA-Fortescue_SDExport'!$A:$A,'EA-Fortescue_SDExport'!D:D), IF(_xlpm.result=0,"",_xlpm.result))</f>
        <v/>
      </c>
      <c r="Q307" s="2" t="str">
        <f>_xlfn.LET(
    _xlpm.status, _xlfn.XLOOKUP($A307,'EA-ConnectorExport'!$A:$A,'EA-ConnectorExport'!G:G),
    _xlpm.result, _xlfn.XLOOKUP($A307,'EA-ConnectorExport'!$A:$A,'EA-ConnectorExport'!B:B),
    IF(_xlpm.status="allocate", _xlpm.result, "")
)</f>
        <v>HV Transmission lines PEC # [LBD - Iron Bridge]</v>
      </c>
      <c r="R307" s="2" t="str">
        <f>IF(
    _xlfn.XLOOKUP($Q307,'EA-Fortescue_SDExport'!A:A,'EA-Fortescue_SDExport'!B:B)="Object",
    _xlfn.XLOOKUP(
        _xlfn.XLOOKUP($A307,'EA-ConnectorExport'!A:A,'EA-ConnectorExport'!D:D),
        'EA-Fortescue_SDExport'!A:A,
        'EA-Fortescue_SDExport'!AA:AA
    ),
    _xlfn.XLOOKUP($Q307,'EA-Fortescue_SDExport'!A:A,'EA-Fortescue_SDExport'!AA:AA)
)</f>
        <v>System</v>
      </c>
      <c r="S307" s="2" t="str">
        <f>_xlfn.LET(_xlpm.result, _xlfn.XLOOKUP($Q307,'EA-Fortescue_SDExport'!$A:$A,'EA-Fortescue_SDExport'!AB:AB), IF(_xlpm.result=0,"",_xlpm.result))</f>
        <v/>
      </c>
      <c r="T307" s="2" t="str">
        <f>_xlfn.LET(_xlpm.result, _xlfn.XLOOKUP($Q307,'EA-Fortescue_SDExport'!$A:$A,'EA-Fortescue_SDExport'!AC:AC), IF(_xlpm.result=0,"",_xlpm.result))</f>
        <v>PEC # [LBD - Iron Bridge]</v>
      </c>
      <c r="U307" s="2" t="str">
        <f>_xlfn.LET(
    _xlpm.isObject, _xlfn.XLOOKUP($Q307,'EA-Fortescue_SDExport'!A:A,'EA-Fortescue_SDExport'!B:B),
    _xlpm.lookupKey, IF(_xlpm.isObject="Object",
        _xlfn.XLOOKUP($A307,'EA-ConnectorExport'!A:A,'EA-ConnectorExport'!D:D),
        $Q307
    ),
    _xlpm.result, _xlfn.XLOOKUP(_xlpm.lookupKey,'EA-Fortescue_SDExport'!A:A,'EA-Fortescue_SDExport'!AD:AD),
    IF(_xlpm.result=0,"",_xlpm.result)
)</f>
        <v>854DC Green Power</v>
      </c>
      <c r="V307" s="2" t="str">
        <f>_xlfn.LET(
    _xlpm.isObject, _xlfn.XLOOKUP($Q307,'EA-Fortescue_SDExport'!A:A,'EA-Fortescue_SDExport'!B:B),
    _xlpm.lookupKey, IF(_xlpm.isObject="Object",
        _xlfn.XLOOKUP($A307,'EA-ConnectorExport'!A:A,'EA-ConnectorExport'!D:D),
        $Q307
    ),
    _xlpm.result, _xlfn.XLOOKUP(_xlpm.lookupKey,'EA-Fortescue_SDExport'!A:A,'EA-Fortescue_SDExport'!AE:AE),
    IF(_xlpm.result=0,"",_xlpm.result)
)</f>
        <v>854DC-5660 HV Transmission lines</v>
      </c>
      <c r="W307" s="2" t="str">
        <f>_xlfn.LET(
    _xlpm.isObject, _xlfn.XLOOKUP($Q307,'EA-Fortescue_SDExport'!A:A,'EA-Fortescue_SDExport'!B:B),
    _xlpm.lookupKey, IF(_xlpm.isObject="Object",
        _xlfn.XLOOKUP($A307,'EA-ConnectorExport'!A:A,'EA-ConnectorExport'!D:D),
        $Q307
    ),
    _xlpm.result, _xlfn.XLOOKUP(_xlpm.lookupKey,'EA-Fortescue_SDExport'!A:A,'EA-Fortescue_SDExport'!AF:AF),
    IF(_xlpm.result=0,"",_xlpm.result)
)</f>
        <v/>
      </c>
      <c r="X307" s="2" t="str">
        <f>_xlfn.LET(
    _xlpm.isObject, _xlfn.XLOOKUP($Q307,'EA-Fortescue_SDExport'!A:A,'EA-Fortescue_SDExport'!B:B),
    _xlpm.lookupKey, IF(_xlpm.isObject="Object",
        _xlfn.XLOOKUP($A307,'EA-ConnectorExport'!A:A,'EA-ConnectorExport'!D:D),
        $Q307
    ),
    _xlpm.result, _xlfn.XLOOKUP(_xlpm.lookupKey,'EA-Fortescue_SDExport'!A:A,'EA-Fortescue_SDExport'!AG:AG),
    IF(_xlpm.result=0,"",_xlpm.result)
)</f>
        <v/>
      </c>
      <c r="Y307" s="2" t="str">
        <f>_xlfn.LET(
    _xlpm.status, _xlfn.XLOOKUP($A307,'EA-ConnectorExport'!$A:$A,'EA-ConnectorExport'!G:G),
    _xlpm.result, _xlfn.XLOOKUP($A307,'EA-ConnectorExport'!$A:$A,'EA-ConnectorExport'!H:H),
    IF(_xlpm.status="allocate", _xlpm.result, "")
)</f>
        <v>Lambda Junction (LBD): Substation (220kV)</v>
      </c>
      <c r="Z307" s="2" t="str">
        <f>_xlfn.LET(
    _xlpm.isObject, _xlfn.XLOOKUP($Y307,'EA-Fortescue_SDExport'!A:A,'EA-Fortescue_SDExport'!B:B),
    _xlpm.lookupKey, IF(_xlpm.isObject="Object",
        _xlfn.XLOOKUP($A307,'EA-ConnectorExport'!A:A,'EA-ConnectorExport'!J:J),
        $Y307
    ),
    _xlpm.result, _xlfn.XLOOKUP(_xlpm.lookupKey,'EA-Fortescue_SDExport'!A:A,'EA-Fortescue_SDExport'!AA:AA),
    IF(_xlpm.result=0,"",_xlpm.result)
)</f>
        <v>Project</v>
      </c>
      <c r="AA307" s="2" t="str">
        <f>_xlfn.LET(_xlpm.result, _xlfn.XLOOKUP($Y307,'EA-Fortescue_SDExport'!$A:$A,'EA-Fortescue_SDExport'!AB:AB), IF(_xlpm.result=0,"",_xlpm.result))</f>
        <v/>
      </c>
      <c r="AB307" s="2" t="str">
        <f>_xlfn.LET(_xlpm.result, _xlfn.XLOOKUP($Y307,'EA-Fortescue_SDExport'!$A:$A,'EA-Fortescue_SDExport'!AC:AC), IF(_xlpm.result=0,"",_xlpm.result))</f>
        <v>Lambda Junction (LBD)</v>
      </c>
      <c r="AC307" s="2" t="str">
        <f>_xlfn.LET(
    _xlpm.isObject, _xlfn.XLOOKUP($Y307,'EA-Fortescue_SDExport'!A:A,'EA-Fortescue_SDExport'!B:B),
    _xlpm.lookupKey, IF(_xlpm.isObject="Object",
        _xlfn.XLOOKUP($A307,'EA-ConnectorExport'!A:A,'EA-ConnectorExport'!J:J),
        $Y307
    ),
    _xlpm.result, _xlfn.XLOOKUP(_xlpm.lookupKey,'EA-Fortescue_SDExport'!A:A,'EA-Fortescue_SDExport'!AD:AD),
    IF(_xlpm.result=0,"",_xlpm.result)
)</f>
        <v>854DC Green Power</v>
      </c>
      <c r="AD307" s="2" t="str">
        <f>_xlfn.LET(
    _xlpm.isObject, _xlfn.XLOOKUP($Y307,'EA-Fortescue_SDExport'!A:A,'EA-Fortescue_SDExport'!B:B),
    _xlpm.lookupKey, IF(_xlpm.isObject="Object",
        _xlfn.XLOOKUP($A307,'EA-ConnectorExport'!A:A,'EA-ConnectorExport'!J:J),
        $Y307
    ),
    _xlpm.result, _xlfn.XLOOKUP(_xlpm.lookupKey,'EA-Fortescue_SDExport'!A:A,'EA-Fortescue_SDExport'!AE:AE),
    IF(_xlpm.result=0,"",_xlpm.result)
)</f>
        <v>854DC-1521 HV Substations</v>
      </c>
      <c r="AE307" s="2" t="str">
        <f>_xlfn.LET(
    _xlpm.isObject, _xlfn.XLOOKUP($Y307,'EA-Fortescue_SDExport'!A:A,'EA-Fortescue_SDExport'!B:B),
    _xlpm.lookupKey, IF(_xlpm.isObject="Object",
        _xlfn.XLOOKUP($A307,'EA-ConnectorExport'!A:A,'EA-ConnectorExport'!J:J),
        $Y307
    ),
    _xlpm.result, _xlfn.XLOOKUP(_xlpm.lookupKey,'EA-Fortescue_SDExport'!A:A,'EA-Fortescue_SDExport'!AF:AF),
    IF(_xlpm.result=0,"",_xlpm.result)
)</f>
        <v>854DC-1521-0004 Substation (220kV)</v>
      </c>
      <c r="AF307" s="2" t="str">
        <f>_xlfn.LET(
    _xlpm.isObject, _xlfn.XLOOKUP($Y307,'EA-Fortescue_SDExport'!A:A,'EA-Fortescue_SDExport'!B:B),
    _xlpm.lookupKey, IF(_xlpm.isObject="Object",
        _xlfn.XLOOKUP($A307,'EA-ConnectorExport'!A:A,'EA-ConnectorExport'!J:J),
        $Y307
    ),
    _xlpm.result, _xlfn.XLOOKUP(_xlpm.lookupKey,'EA-Fortescue_SDExport'!A:A,'EA-Fortescue_SDExport'!AG:AG),
    IF(_xlpm.result=0,"",_xlpm.result)
)</f>
        <v/>
      </c>
    </row>
    <row r="308" spans="1:32" ht="45" x14ac:dyDescent="0.25">
      <c r="A308" s="2" t="str">
        <v>DGS-I_0307</v>
      </c>
      <c r="B308" s="2" t="str">
        <f t="shared" si="16"/>
        <v>Lambda Junction (LBD): Substation (220kV)|HV Transmission lines PEC # [LBD - CLB]</v>
      </c>
      <c r="C308" s="2" t="str">
        <f>_xlfn.LET(_xlpm.result, _xlfn.XLOOKUP(A308,'EA-Fortescue_SDExport'!A:A,'EA-Fortescue_SDExport'!AM:AM), IF(_xlpm.result=0,"",_xlpm.result))</f>
        <v/>
      </c>
      <c r="D308" s="2" t="str">
        <f>_xlfn.LET(_xlpm.result, _xlfn.XLOOKUP(A308,'EA-Fortescue_SDExport'!A:A,'EA-Fortescue_SDExport'!AN:AN), IF(_xlpm.result=0,"",_xlpm.result))</f>
        <v/>
      </c>
      <c r="E308" s="2" t="str">
        <f>_xlfn.XLOOKUP(R308&amp;Z308,Lookups!A:A,Lookups!B:B)</f>
        <v>System - Project Interface</v>
      </c>
      <c r="F308" s="2" t="str">
        <f>_xlfn.LET(_xlpm.result, _xlfn.XLOOKUP(A308,'EA-Fortescue_SDExport'!A:A,'EA-Fortescue_SDExport'!AP:AP), IF(_xlpm.result=0,"",_xlpm.result))</f>
        <v/>
      </c>
      <c r="G308" s="2" t="str">
        <f>IF(OR(AND(T308&lt;&gt;"", COUNTIF(Lookups!J:J, "*"&amp;T308&amp;"*")&gt;0), AND(AB308&lt;&gt;"", COUNTIF(Lookups!J:J, "*"&amp;AB308&amp;"*")&gt;0)), "Yes", "No")</f>
        <v>Yes</v>
      </c>
      <c r="H308" s="2" t="str">
        <f t="shared" si="17"/>
        <v>854DC Green Power|854DC Green Power</v>
      </c>
      <c r="I308" s="2" t="str">
        <f t="shared" si="18"/>
        <v>854DC-1521 HV Substations|854DC-5660 HV Transmission lines</v>
      </c>
      <c r="J308" s="2" t="str">
        <f t="shared" si="19"/>
        <v>854DC-1521-0004 Substation (220kV)|N/A</v>
      </c>
      <c r="K308" s="2" t="str">
        <f>_xlfn.XLOOKUP(A308,'EA-Fortescue_SDExport'!A:A,'EA-Fortescue_SDExport'!N:N)</f>
        <v>Proposed</v>
      </c>
      <c r="L308" s="2" t="str">
        <f>_xlfn.LET(_xlpm.result, _xlfn.XLOOKUP($A308,'EA-Fortescue_SDExport'!$A:$A,'EA-Fortescue_SDExport'!AQ:AQ), IF(_xlpm.result=0,"",_xlpm.result))</f>
        <v/>
      </c>
      <c r="M308" s="2" t="str">
        <f>_xlfn.LET(_xlpm.result, _xlfn.XLOOKUP($A308,'EA-Fortescue_SDExport'!$A:$A,'EA-Fortescue_SDExport'!AR:AR), IF(_xlpm.result=0,"",_xlpm.result))</f>
        <v/>
      </c>
      <c r="N308" s="2" t="str">
        <f>_xlfn.LET(_xlpm.result, _xlfn.XLOOKUP($A308,'EA-Fortescue_SDExport'!$A:$A,'EA-Fortescue_SDExport'!AW:AW), IF(_xlpm.result=0,"",_xlpm.result))</f>
        <v/>
      </c>
      <c r="O308" s="2" t="str">
        <f>_xlfn.LET(_xlpm.result, _xlfn.XLOOKUP($A308,'EA-Fortescue_SDExport'!$A:$A,'EA-Fortescue_SDExport'!AV:AV), IF(_xlpm.result=0,"",_xlpm.result))</f>
        <v/>
      </c>
      <c r="P308" s="2" t="str">
        <f>_xlfn.LET(_xlpm.result, _xlfn.XLOOKUP($A308,'EA-Fortescue_SDExport'!$A:$A,'EA-Fortescue_SDExport'!D:D), IF(_xlpm.result=0,"",_xlpm.result))</f>
        <v/>
      </c>
      <c r="Q308" s="2" t="str">
        <f>_xlfn.LET(
    _xlpm.status, _xlfn.XLOOKUP($A308,'EA-ConnectorExport'!$A:$A,'EA-ConnectorExport'!G:G),
    _xlpm.result, _xlfn.XLOOKUP($A308,'EA-ConnectorExport'!$A:$A,'EA-ConnectorExport'!B:B),
    IF(_xlpm.status="allocate", _xlpm.result, "")
)</f>
        <v>Lambda Junction (LBD): Substation (220kV)</v>
      </c>
      <c r="R308" s="2" t="str">
        <f>IF(
    _xlfn.XLOOKUP($Q308,'EA-Fortescue_SDExport'!A:A,'EA-Fortescue_SDExport'!B:B)="Object",
    _xlfn.XLOOKUP(
        _xlfn.XLOOKUP($A308,'EA-ConnectorExport'!A:A,'EA-ConnectorExport'!D:D),
        'EA-Fortescue_SDExport'!A:A,
        'EA-Fortescue_SDExport'!AA:AA
    ),
    _xlfn.XLOOKUP($Q308,'EA-Fortescue_SDExport'!A:A,'EA-Fortescue_SDExport'!AA:AA)
)</f>
        <v>Project</v>
      </c>
      <c r="S308" s="2" t="str">
        <f>_xlfn.LET(_xlpm.result, _xlfn.XLOOKUP($Q308,'EA-Fortescue_SDExport'!$A:$A,'EA-Fortescue_SDExport'!AB:AB), IF(_xlpm.result=0,"",_xlpm.result))</f>
        <v/>
      </c>
      <c r="T308" s="2" t="str">
        <f>_xlfn.LET(_xlpm.result, _xlfn.XLOOKUP($Q308,'EA-Fortescue_SDExport'!$A:$A,'EA-Fortescue_SDExport'!AC:AC), IF(_xlpm.result=0,"",_xlpm.result))</f>
        <v>Lambda Junction (LBD)</v>
      </c>
      <c r="U308" s="2" t="str">
        <f>_xlfn.LET(
    _xlpm.isObject, _xlfn.XLOOKUP($Q308,'EA-Fortescue_SDExport'!A:A,'EA-Fortescue_SDExport'!B:B),
    _xlpm.lookupKey, IF(_xlpm.isObject="Object",
        _xlfn.XLOOKUP($A308,'EA-ConnectorExport'!A:A,'EA-ConnectorExport'!D:D),
        $Q308
    ),
    _xlpm.result, _xlfn.XLOOKUP(_xlpm.lookupKey,'EA-Fortescue_SDExport'!A:A,'EA-Fortescue_SDExport'!AD:AD),
    IF(_xlpm.result=0,"",_xlpm.result)
)</f>
        <v>854DC Green Power</v>
      </c>
      <c r="V308" s="2" t="str">
        <f>_xlfn.LET(
    _xlpm.isObject, _xlfn.XLOOKUP($Q308,'EA-Fortescue_SDExport'!A:A,'EA-Fortescue_SDExport'!B:B),
    _xlpm.lookupKey, IF(_xlpm.isObject="Object",
        _xlfn.XLOOKUP($A308,'EA-ConnectorExport'!A:A,'EA-ConnectorExport'!D:D),
        $Q308
    ),
    _xlpm.result, _xlfn.XLOOKUP(_xlpm.lookupKey,'EA-Fortescue_SDExport'!A:A,'EA-Fortescue_SDExport'!AE:AE),
    IF(_xlpm.result=0,"",_xlpm.result)
)</f>
        <v>854DC-1521 HV Substations</v>
      </c>
      <c r="W308" s="2" t="str">
        <f>_xlfn.LET(
    _xlpm.isObject, _xlfn.XLOOKUP($Q308,'EA-Fortescue_SDExport'!A:A,'EA-Fortescue_SDExport'!B:B),
    _xlpm.lookupKey, IF(_xlpm.isObject="Object",
        _xlfn.XLOOKUP($A308,'EA-ConnectorExport'!A:A,'EA-ConnectorExport'!D:D),
        $Q308
    ),
    _xlpm.result, _xlfn.XLOOKUP(_xlpm.lookupKey,'EA-Fortescue_SDExport'!A:A,'EA-Fortescue_SDExport'!AF:AF),
    IF(_xlpm.result=0,"",_xlpm.result)
)</f>
        <v>854DC-1521-0004 Substation (220kV)</v>
      </c>
      <c r="X308" s="2" t="str">
        <f>_xlfn.LET(
    _xlpm.isObject, _xlfn.XLOOKUP($Q308,'EA-Fortescue_SDExport'!A:A,'EA-Fortescue_SDExport'!B:B),
    _xlpm.lookupKey, IF(_xlpm.isObject="Object",
        _xlfn.XLOOKUP($A308,'EA-ConnectorExport'!A:A,'EA-ConnectorExport'!D:D),
        $Q308
    ),
    _xlpm.result, _xlfn.XLOOKUP(_xlpm.lookupKey,'EA-Fortescue_SDExport'!A:A,'EA-Fortescue_SDExport'!AG:AG),
    IF(_xlpm.result=0,"",_xlpm.result)
)</f>
        <v/>
      </c>
      <c r="Y308" s="2" t="str">
        <f>_xlfn.LET(
    _xlpm.status, _xlfn.XLOOKUP($A308,'EA-ConnectorExport'!$A:$A,'EA-ConnectorExport'!G:G),
    _xlpm.result, _xlfn.XLOOKUP($A308,'EA-ConnectorExport'!$A:$A,'EA-ConnectorExport'!H:H),
    IF(_xlpm.status="allocate", _xlpm.result, "")
)</f>
        <v>HV Transmission lines PEC # [LBD - CLB]</v>
      </c>
      <c r="Z308" s="2" t="str">
        <f>_xlfn.LET(
    _xlpm.isObject, _xlfn.XLOOKUP($Y308,'EA-Fortescue_SDExport'!A:A,'EA-Fortescue_SDExport'!B:B),
    _xlpm.lookupKey, IF(_xlpm.isObject="Object",
        _xlfn.XLOOKUP($A308,'EA-ConnectorExport'!A:A,'EA-ConnectorExport'!J:J),
        $Y308
    ),
    _xlpm.result, _xlfn.XLOOKUP(_xlpm.lookupKey,'EA-Fortescue_SDExport'!A:A,'EA-Fortescue_SDExport'!AA:AA),
    IF(_xlpm.result=0,"",_xlpm.result)
)</f>
        <v>System</v>
      </c>
      <c r="AA308" s="2" t="str">
        <f>_xlfn.LET(_xlpm.result, _xlfn.XLOOKUP($Y308,'EA-Fortescue_SDExport'!$A:$A,'EA-Fortescue_SDExport'!AB:AB), IF(_xlpm.result=0,"",_xlpm.result))</f>
        <v/>
      </c>
      <c r="AB308" s="2" t="str">
        <f>_xlfn.LET(_xlpm.result, _xlfn.XLOOKUP($Y308,'EA-Fortescue_SDExport'!$A:$A,'EA-Fortescue_SDExport'!AC:AC), IF(_xlpm.result=0,"",_xlpm.result))</f>
        <v>PEC # [LBD - CLB]</v>
      </c>
      <c r="AC308" s="2" t="str">
        <f>_xlfn.LET(
    _xlpm.isObject, _xlfn.XLOOKUP($Y308,'EA-Fortescue_SDExport'!A:A,'EA-Fortescue_SDExport'!B:B),
    _xlpm.lookupKey, IF(_xlpm.isObject="Object",
        _xlfn.XLOOKUP($A308,'EA-ConnectorExport'!A:A,'EA-ConnectorExport'!J:J),
        $Y308
    ),
    _xlpm.result, _xlfn.XLOOKUP(_xlpm.lookupKey,'EA-Fortescue_SDExport'!A:A,'EA-Fortescue_SDExport'!AD:AD),
    IF(_xlpm.result=0,"",_xlpm.result)
)</f>
        <v>854DC Green Power</v>
      </c>
      <c r="AD308" s="2" t="str">
        <f>_xlfn.LET(
    _xlpm.isObject, _xlfn.XLOOKUP($Y308,'EA-Fortescue_SDExport'!A:A,'EA-Fortescue_SDExport'!B:B),
    _xlpm.lookupKey, IF(_xlpm.isObject="Object",
        _xlfn.XLOOKUP($A308,'EA-ConnectorExport'!A:A,'EA-ConnectorExport'!J:J),
        $Y308
    ),
    _xlpm.result, _xlfn.XLOOKUP(_xlpm.lookupKey,'EA-Fortescue_SDExport'!A:A,'EA-Fortescue_SDExport'!AE:AE),
    IF(_xlpm.result=0,"",_xlpm.result)
)</f>
        <v>854DC-5660 HV Transmission lines</v>
      </c>
      <c r="AE308" s="2" t="str">
        <f>_xlfn.LET(
    _xlpm.isObject, _xlfn.XLOOKUP($Y308,'EA-Fortescue_SDExport'!A:A,'EA-Fortescue_SDExport'!B:B),
    _xlpm.lookupKey, IF(_xlpm.isObject="Object",
        _xlfn.XLOOKUP($A308,'EA-ConnectorExport'!A:A,'EA-ConnectorExport'!J:J),
        $Y308
    ),
    _xlpm.result, _xlfn.XLOOKUP(_xlpm.lookupKey,'EA-Fortescue_SDExport'!A:A,'EA-Fortescue_SDExport'!AF:AF),
    IF(_xlpm.result=0,"",_xlpm.result)
)</f>
        <v/>
      </c>
      <c r="AF308" s="2" t="str">
        <f>_xlfn.LET(
    _xlpm.isObject, _xlfn.XLOOKUP($Y308,'EA-Fortescue_SDExport'!A:A,'EA-Fortescue_SDExport'!B:B),
    _xlpm.lookupKey, IF(_xlpm.isObject="Object",
        _xlfn.XLOOKUP($A308,'EA-ConnectorExport'!A:A,'EA-ConnectorExport'!J:J),
        $Y308
    ),
    _xlpm.result, _xlfn.XLOOKUP(_xlpm.lookupKey,'EA-Fortescue_SDExport'!A:A,'EA-Fortescue_SDExport'!AG:AG),
    IF(_xlpm.result=0,"",_xlpm.result)
)</f>
        <v/>
      </c>
    </row>
    <row r="309" spans="1:32" ht="45" x14ac:dyDescent="0.25">
      <c r="A309" s="2" t="str">
        <v>DGS-I_0308</v>
      </c>
      <c r="B309" s="2" t="str">
        <f t="shared" si="16"/>
        <v>HV Transmission lines PEC # [LBD - CLB]|Cloudbreak Mine: Substation (220kV)</v>
      </c>
      <c r="C309" s="2" t="str">
        <f>_xlfn.LET(_xlpm.result, _xlfn.XLOOKUP(A309,'EA-Fortescue_SDExport'!A:A,'EA-Fortescue_SDExport'!AM:AM), IF(_xlpm.result=0,"",_xlpm.result))</f>
        <v/>
      </c>
      <c r="D309" s="2" t="str">
        <f>_xlfn.LET(_xlpm.result, _xlfn.XLOOKUP(A309,'EA-Fortescue_SDExport'!A:A,'EA-Fortescue_SDExport'!AN:AN), IF(_xlpm.result=0,"",_xlpm.result))</f>
        <v/>
      </c>
      <c r="E309" s="2" t="str">
        <f>_xlfn.XLOOKUP(R309&amp;Z309,Lookups!A:A,Lookups!B:B)</f>
        <v>System - Project Interface</v>
      </c>
      <c r="F309" s="2" t="str">
        <f>_xlfn.LET(_xlpm.result, _xlfn.XLOOKUP(A309,'EA-Fortescue_SDExport'!A:A,'EA-Fortescue_SDExport'!AP:AP), IF(_xlpm.result=0,"",_xlpm.result))</f>
        <v/>
      </c>
      <c r="G309" s="2" t="str">
        <f>IF(OR(AND(T309&lt;&gt;"", COUNTIF(Lookups!J:J, "*"&amp;T309&amp;"*")&gt;0), AND(AB309&lt;&gt;"", COUNTIF(Lookups!J:J, "*"&amp;AB309&amp;"*")&gt;0)), "Yes", "No")</f>
        <v>Yes</v>
      </c>
      <c r="H309" s="2" t="str">
        <f t="shared" si="17"/>
        <v>854DC Green Power|854DC Green Power</v>
      </c>
      <c r="I309" s="2" t="str">
        <f t="shared" si="18"/>
        <v>854DC-5660 HV Transmission lines|854DC-1521 HV Substations</v>
      </c>
      <c r="J309" s="2" t="str">
        <f t="shared" si="19"/>
        <v>N/A|854DC-1521-0004 Substation (220kV)</v>
      </c>
      <c r="K309" s="2" t="str">
        <f>_xlfn.XLOOKUP(A309,'EA-Fortescue_SDExport'!A:A,'EA-Fortescue_SDExport'!N:N)</f>
        <v>Proposed</v>
      </c>
      <c r="L309" s="2" t="str">
        <f>_xlfn.LET(_xlpm.result, _xlfn.XLOOKUP($A309,'EA-Fortescue_SDExport'!$A:$A,'EA-Fortescue_SDExport'!AQ:AQ), IF(_xlpm.result=0,"",_xlpm.result))</f>
        <v/>
      </c>
      <c r="M309" s="2" t="str">
        <f>_xlfn.LET(_xlpm.result, _xlfn.XLOOKUP($A309,'EA-Fortescue_SDExport'!$A:$A,'EA-Fortescue_SDExport'!AR:AR), IF(_xlpm.result=0,"",_xlpm.result))</f>
        <v/>
      </c>
      <c r="N309" s="2" t="str">
        <f>_xlfn.LET(_xlpm.result, _xlfn.XLOOKUP($A309,'EA-Fortescue_SDExport'!$A:$A,'EA-Fortescue_SDExport'!AW:AW), IF(_xlpm.result=0,"",_xlpm.result))</f>
        <v/>
      </c>
      <c r="O309" s="2" t="str">
        <f>_xlfn.LET(_xlpm.result, _xlfn.XLOOKUP($A309,'EA-Fortescue_SDExport'!$A:$A,'EA-Fortescue_SDExport'!AV:AV), IF(_xlpm.result=0,"",_xlpm.result))</f>
        <v/>
      </c>
      <c r="P309" s="2" t="str">
        <f>_xlfn.LET(_xlpm.result, _xlfn.XLOOKUP($A309,'EA-Fortescue_SDExport'!$A:$A,'EA-Fortescue_SDExport'!D:D), IF(_xlpm.result=0,"",_xlpm.result))</f>
        <v/>
      </c>
      <c r="Q309" s="2" t="str">
        <f>_xlfn.LET(
    _xlpm.status, _xlfn.XLOOKUP($A309,'EA-ConnectorExport'!$A:$A,'EA-ConnectorExport'!G:G),
    _xlpm.result, _xlfn.XLOOKUP($A309,'EA-ConnectorExport'!$A:$A,'EA-ConnectorExport'!B:B),
    IF(_xlpm.status="allocate", _xlpm.result, "")
)</f>
        <v>HV Transmission lines PEC # [LBD - CLB]</v>
      </c>
      <c r="R309" s="2" t="str">
        <f>IF(
    _xlfn.XLOOKUP($Q309,'EA-Fortescue_SDExport'!A:A,'EA-Fortescue_SDExport'!B:B)="Object",
    _xlfn.XLOOKUP(
        _xlfn.XLOOKUP($A309,'EA-ConnectorExport'!A:A,'EA-ConnectorExport'!D:D),
        'EA-Fortescue_SDExport'!A:A,
        'EA-Fortescue_SDExport'!AA:AA
    ),
    _xlfn.XLOOKUP($Q309,'EA-Fortescue_SDExport'!A:A,'EA-Fortescue_SDExport'!AA:AA)
)</f>
        <v>System</v>
      </c>
      <c r="S309" s="2" t="str">
        <f>_xlfn.LET(_xlpm.result, _xlfn.XLOOKUP($Q309,'EA-Fortescue_SDExport'!$A:$A,'EA-Fortescue_SDExport'!AB:AB), IF(_xlpm.result=0,"",_xlpm.result))</f>
        <v/>
      </c>
      <c r="T309" s="2" t="str">
        <f>_xlfn.LET(_xlpm.result, _xlfn.XLOOKUP($Q309,'EA-Fortescue_SDExport'!$A:$A,'EA-Fortescue_SDExport'!AC:AC), IF(_xlpm.result=0,"",_xlpm.result))</f>
        <v>PEC # [LBD - CLB]</v>
      </c>
      <c r="U309" s="2" t="str">
        <f>_xlfn.LET(
    _xlpm.isObject, _xlfn.XLOOKUP($Q309,'EA-Fortescue_SDExport'!A:A,'EA-Fortescue_SDExport'!B:B),
    _xlpm.lookupKey, IF(_xlpm.isObject="Object",
        _xlfn.XLOOKUP($A309,'EA-ConnectorExport'!A:A,'EA-ConnectorExport'!D:D),
        $Q309
    ),
    _xlpm.result, _xlfn.XLOOKUP(_xlpm.lookupKey,'EA-Fortescue_SDExport'!A:A,'EA-Fortescue_SDExport'!AD:AD),
    IF(_xlpm.result=0,"",_xlpm.result)
)</f>
        <v>854DC Green Power</v>
      </c>
      <c r="V309" s="2" t="str">
        <f>_xlfn.LET(
    _xlpm.isObject, _xlfn.XLOOKUP($Q309,'EA-Fortescue_SDExport'!A:A,'EA-Fortescue_SDExport'!B:B),
    _xlpm.lookupKey, IF(_xlpm.isObject="Object",
        _xlfn.XLOOKUP($A309,'EA-ConnectorExport'!A:A,'EA-ConnectorExport'!D:D),
        $Q309
    ),
    _xlpm.result, _xlfn.XLOOKUP(_xlpm.lookupKey,'EA-Fortescue_SDExport'!A:A,'EA-Fortescue_SDExport'!AE:AE),
    IF(_xlpm.result=0,"",_xlpm.result)
)</f>
        <v>854DC-5660 HV Transmission lines</v>
      </c>
      <c r="W309" s="2" t="str">
        <f>_xlfn.LET(
    _xlpm.isObject, _xlfn.XLOOKUP($Q309,'EA-Fortescue_SDExport'!A:A,'EA-Fortescue_SDExport'!B:B),
    _xlpm.lookupKey, IF(_xlpm.isObject="Object",
        _xlfn.XLOOKUP($A309,'EA-ConnectorExport'!A:A,'EA-ConnectorExport'!D:D),
        $Q309
    ),
    _xlpm.result, _xlfn.XLOOKUP(_xlpm.lookupKey,'EA-Fortescue_SDExport'!A:A,'EA-Fortescue_SDExport'!AF:AF),
    IF(_xlpm.result=0,"",_xlpm.result)
)</f>
        <v/>
      </c>
      <c r="X309" s="2" t="str">
        <f>_xlfn.LET(
    _xlpm.isObject, _xlfn.XLOOKUP($Q309,'EA-Fortescue_SDExport'!A:A,'EA-Fortescue_SDExport'!B:B),
    _xlpm.lookupKey, IF(_xlpm.isObject="Object",
        _xlfn.XLOOKUP($A309,'EA-ConnectorExport'!A:A,'EA-ConnectorExport'!D:D),
        $Q309
    ),
    _xlpm.result, _xlfn.XLOOKUP(_xlpm.lookupKey,'EA-Fortescue_SDExport'!A:A,'EA-Fortescue_SDExport'!AG:AG),
    IF(_xlpm.result=0,"",_xlpm.result)
)</f>
        <v/>
      </c>
      <c r="Y309" s="2" t="str">
        <f>_xlfn.LET(
    _xlpm.status, _xlfn.XLOOKUP($A309,'EA-ConnectorExport'!$A:$A,'EA-ConnectorExport'!G:G),
    _xlpm.result, _xlfn.XLOOKUP($A309,'EA-ConnectorExport'!$A:$A,'EA-ConnectorExport'!H:H),
    IF(_xlpm.status="allocate", _xlpm.result, "")
)</f>
        <v>Cloudbreak Mine: Substation (220kV)</v>
      </c>
      <c r="Z309" s="2" t="str">
        <f>_xlfn.LET(
    _xlpm.isObject, _xlfn.XLOOKUP($Y309,'EA-Fortescue_SDExport'!A:A,'EA-Fortescue_SDExport'!B:B),
    _xlpm.lookupKey, IF(_xlpm.isObject="Object",
        _xlfn.XLOOKUP($A309,'EA-ConnectorExport'!A:A,'EA-ConnectorExport'!J:J),
        $Y309
    ),
    _xlpm.result, _xlfn.XLOOKUP(_xlpm.lookupKey,'EA-Fortescue_SDExport'!A:A,'EA-Fortescue_SDExport'!AA:AA),
    IF(_xlpm.result=0,"",_xlpm.result)
)</f>
        <v>Project</v>
      </c>
      <c r="AA309" s="2" t="str">
        <f>_xlfn.LET(_xlpm.result, _xlfn.XLOOKUP($Y309,'EA-Fortescue_SDExport'!$A:$A,'EA-Fortescue_SDExport'!AB:AB), IF(_xlpm.result=0,"",_xlpm.result))</f>
        <v/>
      </c>
      <c r="AB309" s="2" t="str">
        <f>_xlfn.LET(_xlpm.result, _xlfn.XLOOKUP($Y309,'EA-Fortescue_SDExport'!$A:$A,'EA-Fortescue_SDExport'!AC:AC), IF(_xlpm.result=0,"",_xlpm.result))</f>
        <v>Cloudbreak Mine</v>
      </c>
      <c r="AC309" s="2" t="str">
        <f>_xlfn.LET(
    _xlpm.isObject, _xlfn.XLOOKUP($Y309,'EA-Fortescue_SDExport'!A:A,'EA-Fortescue_SDExport'!B:B),
    _xlpm.lookupKey, IF(_xlpm.isObject="Object",
        _xlfn.XLOOKUP($A309,'EA-ConnectorExport'!A:A,'EA-ConnectorExport'!J:J),
        $Y309
    ),
    _xlpm.result, _xlfn.XLOOKUP(_xlpm.lookupKey,'EA-Fortescue_SDExport'!A:A,'EA-Fortescue_SDExport'!AD:AD),
    IF(_xlpm.result=0,"",_xlpm.result)
)</f>
        <v>854DC Green Power</v>
      </c>
      <c r="AD309" s="2" t="str">
        <f>_xlfn.LET(
    _xlpm.isObject, _xlfn.XLOOKUP($Y309,'EA-Fortescue_SDExport'!A:A,'EA-Fortescue_SDExport'!B:B),
    _xlpm.lookupKey, IF(_xlpm.isObject="Object",
        _xlfn.XLOOKUP($A309,'EA-ConnectorExport'!A:A,'EA-ConnectorExport'!J:J),
        $Y309
    ),
    _xlpm.result, _xlfn.XLOOKUP(_xlpm.lookupKey,'EA-Fortescue_SDExport'!A:A,'EA-Fortescue_SDExport'!AE:AE),
    IF(_xlpm.result=0,"",_xlpm.result)
)</f>
        <v>854DC-1521 HV Substations</v>
      </c>
      <c r="AE309" s="2" t="str">
        <f>_xlfn.LET(
    _xlpm.isObject, _xlfn.XLOOKUP($Y309,'EA-Fortescue_SDExport'!A:A,'EA-Fortescue_SDExport'!B:B),
    _xlpm.lookupKey, IF(_xlpm.isObject="Object",
        _xlfn.XLOOKUP($A309,'EA-ConnectorExport'!A:A,'EA-ConnectorExport'!J:J),
        $Y309
    ),
    _xlpm.result, _xlfn.XLOOKUP(_xlpm.lookupKey,'EA-Fortescue_SDExport'!A:A,'EA-Fortescue_SDExport'!AF:AF),
    IF(_xlpm.result=0,"",_xlpm.result)
)</f>
        <v>854DC-1521-0004 Substation (220kV)</v>
      </c>
      <c r="AF309" s="2" t="str">
        <f>_xlfn.LET(
    _xlpm.isObject, _xlfn.XLOOKUP($Y309,'EA-Fortescue_SDExport'!A:A,'EA-Fortescue_SDExport'!B:B),
    _xlpm.lookupKey, IF(_xlpm.isObject="Object",
        _xlfn.XLOOKUP($A309,'EA-ConnectorExport'!A:A,'EA-ConnectorExport'!J:J),
        $Y309
    ),
    _xlpm.result, _xlfn.XLOOKUP(_xlpm.lookupKey,'EA-Fortescue_SDExport'!A:A,'EA-Fortescue_SDExport'!AG:AG),
    IF(_xlpm.result=0,"",_xlpm.result)
)</f>
        <v/>
      </c>
    </row>
    <row r="310" spans="1:32" ht="45" x14ac:dyDescent="0.25">
      <c r="A310" s="2" t="str">
        <v>DGS-I_0309</v>
      </c>
      <c r="B310" s="2" t="str">
        <f t="shared" si="16"/>
        <v>HV Transmission lines PEC # [CLB - CCK]|Cloudbreak Mine: Substation (220kV)</v>
      </c>
      <c r="C310" s="2" t="str">
        <f>_xlfn.LET(_xlpm.result, _xlfn.XLOOKUP(A310,'EA-Fortescue_SDExport'!A:A,'EA-Fortescue_SDExport'!AM:AM), IF(_xlpm.result=0,"",_xlpm.result))</f>
        <v/>
      </c>
      <c r="D310" s="2" t="str">
        <f>_xlfn.LET(_xlpm.result, _xlfn.XLOOKUP(A310,'EA-Fortescue_SDExport'!A:A,'EA-Fortescue_SDExport'!AN:AN), IF(_xlpm.result=0,"",_xlpm.result))</f>
        <v/>
      </c>
      <c r="E310" s="2" t="str">
        <f>_xlfn.XLOOKUP(R310&amp;Z310,Lookups!A:A,Lookups!B:B)</f>
        <v>System - Project Interface</v>
      </c>
      <c r="F310" s="2" t="str">
        <f>_xlfn.LET(_xlpm.result, _xlfn.XLOOKUP(A310,'EA-Fortescue_SDExport'!A:A,'EA-Fortescue_SDExport'!AP:AP), IF(_xlpm.result=0,"",_xlpm.result))</f>
        <v/>
      </c>
      <c r="G310" s="2" t="str">
        <f>IF(OR(AND(T310&lt;&gt;"", COUNTIF(Lookups!J:J, "*"&amp;T310&amp;"*")&gt;0), AND(AB310&lt;&gt;"", COUNTIF(Lookups!J:J, "*"&amp;AB310&amp;"*")&gt;0)), "Yes", "No")</f>
        <v>Yes</v>
      </c>
      <c r="H310" s="2" t="str">
        <f t="shared" si="17"/>
        <v>854DC Green Power|854DC Green Power</v>
      </c>
      <c r="I310" s="2" t="str">
        <f t="shared" si="18"/>
        <v>854DC-5660 HV Transmission lines|854DC-1521 HV Substations</v>
      </c>
      <c r="J310" s="2" t="str">
        <f t="shared" si="19"/>
        <v>N/A|854DC-1521-0004 Substation (220kV)</v>
      </c>
      <c r="K310" s="2" t="str">
        <f>_xlfn.XLOOKUP(A310,'EA-Fortescue_SDExport'!A:A,'EA-Fortescue_SDExport'!N:N)</f>
        <v>Proposed</v>
      </c>
      <c r="L310" s="2" t="str">
        <f>_xlfn.LET(_xlpm.result, _xlfn.XLOOKUP($A310,'EA-Fortescue_SDExport'!$A:$A,'EA-Fortescue_SDExport'!AQ:AQ), IF(_xlpm.result=0,"",_xlpm.result))</f>
        <v/>
      </c>
      <c r="M310" s="2" t="str">
        <f>_xlfn.LET(_xlpm.result, _xlfn.XLOOKUP($A310,'EA-Fortescue_SDExport'!$A:$A,'EA-Fortescue_SDExport'!AR:AR), IF(_xlpm.result=0,"",_xlpm.result))</f>
        <v/>
      </c>
      <c r="N310" s="2" t="str">
        <f>_xlfn.LET(_xlpm.result, _xlfn.XLOOKUP($A310,'EA-Fortescue_SDExport'!$A:$A,'EA-Fortescue_SDExport'!AW:AW), IF(_xlpm.result=0,"",_xlpm.result))</f>
        <v/>
      </c>
      <c r="O310" s="2" t="str">
        <f>_xlfn.LET(_xlpm.result, _xlfn.XLOOKUP($A310,'EA-Fortescue_SDExport'!$A:$A,'EA-Fortescue_SDExport'!AV:AV), IF(_xlpm.result=0,"",_xlpm.result))</f>
        <v/>
      </c>
      <c r="P310" s="2" t="str">
        <f>_xlfn.LET(_xlpm.result, _xlfn.XLOOKUP($A310,'EA-Fortescue_SDExport'!$A:$A,'EA-Fortescue_SDExport'!D:D), IF(_xlpm.result=0,"",_xlpm.result))</f>
        <v/>
      </c>
      <c r="Q310" s="2" t="str">
        <f>_xlfn.LET(
    _xlpm.status, _xlfn.XLOOKUP($A310,'EA-ConnectorExport'!$A:$A,'EA-ConnectorExport'!G:G),
    _xlpm.result, _xlfn.XLOOKUP($A310,'EA-ConnectorExport'!$A:$A,'EA-ConnectorExport'!B:B),
    IF(_xlpm.status="allocate", _xlpm.result, "")
)</f>
        <v>HV Transmission lines PEC # [CLB - CCK]</v>
      </c>
      <c r="R310" s="2" t="str">
        <f>IF(
    _xlfn.XLOOKUP($Q310,'EA-Fortescue_SDExport'!A:A,'EA-Fortescue_SDExport'!B:B)="Object",
    _xlfn.XLOOKUP(
        _xlfn.XLOOKUP($A310,'EA-ConnectorExport'!A:A,'EA-ConnectorExport'!D:D),
        'EA-Fortescue_SDExport'!A:A,
        'EA-Fortescue_SDExport'!AA:AA
    ),
    _xlfn.XLOOKUP($Q310,'EA-Fortescue_SDExport'!A:A,'EA-Fortescue_SDExport'!AA:AA)
)</f>
        <v>System</v>
      </c>
      <c r="S310" s="2" t="str">
        <f>_xlfn.LET(_xlpm.result, _xlfn.XLOOKUP($Q310,'EA-Fortescue_SDExport'!$A:$A,'EA-Fortescue_SDExport'!AB:AB), IF(_xlpm.result=0,"",_xlpm.result))</f>
        <v/>
      </c>
      <c r="T310" s="2" t="str">
        <f>_xlfn.LET(_xlpm.result, _xlfn.XLOOKUP($Q310,'EA-Fortescue_SDExport'!$A:$A,'EA-Fortescue_SDExport'!AC:AC), IF(_xlpm.result=0,"",_xlpm.result))</f>
        <v>PEC # [CLB - CCK]</v>
      </c>
      <c r="U310" s="2" t="str">
        <f>_xlfn.LET(
    _xlpm.isObject, _xlfn.XLOOKUP($Q310,'EA-Fortescue_SDExport'!A:A,'EA-Fortescue_SDExport'!B:B),
    _xlpm.lookupKey, IF(_xlpm.isObject="Object",
        _xlfn.XLOOKUP($A310,'EA-ConnectorExport'!A:A,'EA-ConnectorExport'!D:D),
        $Q310
    ),
    _xlpm.result, _xlfn.XLOOKUP(_xlpm.lookupKey,'EA-Fortescue_SDExport'!A:A,'EA-Fortescue_SDExport'!AD:AD),
    IF(_xlpm.result=0,"",_xlpm.result)
)</f>
        <v>854DC Green Power</v>
      </c>
      <c r="V310" s="2" t="str">
        <f>_xlfn.LET(
    _xlpm.isObject, _xlfn.XLOOKUP($Q310,'EA-Fortescue_SDExport'!A:A,'EA-Fortescue_SDExport'!B:B),
    _xlpm.lookupKey, IF(_xlpm.isObject="Object",
        _xlfn.XLOOKUP($A310,'EA-ConnectorExport'!A:A,'EA-ConnectorExport'!D:D),
        $Q310
    ),
    _xlpm.result, _xlfn.XLOOKUP(_xlpm.lookupKey,'EA-Fortescue_SDExport'!A:A,'EA-Fortescue_SDExport'!AE:AE),
    IF(_xlpm.result=0,"",_xlpm.result)
)</f>
        <v>854DC-5660 HV Transmission lines</v>
      </c>
      <c r="W310" s="2" t="str">
        <f>_xlfn.LET(
    _xlpm.isObject, _xlfn.XLOOKUP($Q310,'EA-Fortescue_SDExport'!A:A,'EA-Fortescue_SDExport'!B:B),
    _xlpm.lookupKey, IF(_xlpm.isObject="Object",
        _xlfn.XLOOKUP($A310,'EA-ConnectorExport'!A:A,'EA-ConnectorExport'!D:D),
        $Q310
    ),
    _xlpm.result, _xlfn.XLOOKUP(_xlpm.lookupKey,'EA-Fortescue_SDExport'!A:A,'EA-Fortescue_SDExport'!AF:AF),
    IF(_xlpm.result=0,"",_xlpm.result)
)</f>
        <v/>
      </c>
      <c r="X310" s="2" t="str">
        <f>_xlfn.LET(
    _xlpm.isObject, _xlfn.XLOOKUP($Q310,'EA-Fortescue_SDExport'!A:A,'EA-Fortescue_SDExport'!B:B),
    _xlpm.lookupKey, IF(_xlpm.isObject="Object",
        _xlfn.XLOOKUP($A310,'EA-ConnectorExport'!A:A,'EA-ConnectorExport'!D:D),
        $Q310
    ),
    _xlpm.result, _xlfn.XLOOKUP(_xlpm.lookupKey,'EA-Fortescue_SDExport'!A:A,'EA-Fortescue_SDExport'!AG:AG),
    IF(_xlpm.result=0,"",_xlpm.result)
)</f>
        <v/>
      </c>
      <c r="Y310" s="2" t="str">
        <f>_xlfn.LET(
    _xlpm.status, _xlfn.XLOOKUP($A310,'EA-ConnectorExport'!$A:$A,'EA-ConnectorExport'!G:G),
    _xlpm.result, _xlfn.XLOOKUP($A310,'EA-ConnectorExport'!$A:$A,'EA-ConnectorExport'!H:H),
    IF(_xlpm.status="allocate", _xlpm.result, "")
)</f>
        <v>Cloudbreak Mine: Substation (220kV)</v>
      </c>
      <c r="Z310" s="2" t="str">
        <f>_xlfn.LET(
    _xlpm.isObject, _xlfn.XLOOKUP($Y310,'EA-Fortescue_SDExport'!A:A,'EA-Fortescue_SDExport'!B:B),
    _xlpm.lookupKey, IF(_xlpm.isObject="Object",
        _xlfn.XLOOKUP($A310,'EA-ConnectorExport'!A:A,'EA-ConnectorExport'!J:J),
        $Y310
    ),
    _xlpm.result, _xlfn.XLOOKUP(_xlpm.lookupKey,'EA-Fortescue_SDExport'!A:A,'EA-Fortescue_SDExport'!AA:AA),
    IF(_xlpm.result=0,"",_xlpm.result)
)</f>
        <v>Project</v>
      </c>
      <c r="AA310" s="2" t="str">
        <f>_xlfn.LET(_xlpm.result, _xlfn.XLOOKUP($Y310,'EA-Fortescue_SDExport'!$A:$A,'EA-Fortescue_SDExport'!AB:AB), IF(_xlpm.result=0,"",_xlpm.result))</f>
        <v/>
      </c>
      <c r="AB310" s="2" t="str">
        <f>_xlfn.LET(_xlpm.result, _xlfn.XLOOKUP($Y310,'EA-Fortescue_SDExport'!$A:$A,'EA-Fortescue_SDExport'!AC:AC), IF(_xlpm.result=0,"",_xlpm.result))</f>
        <v>Cloudbreak Mine</v>
      </c>
      <c r="AC310" s="2" t="str">
        <f>_xlfn.LET(
    _xlpm.isObject, _xlfn.XLOOKUP($Y310,'EA-Fortescue_SDExport'!A:A,'EA-Fortescue_SDExport'!B:B),
    _xlpm.lookupKey, IF(_xlpm.isObject="Object",
        _xlfn.XLOOKUP($A310,'EA-ConnectorExport'!A:A,'EA-ConnectorExport'!J:J),
        $Y310
    ),
    _xlpm.result, _xlfn.XLOOKUP(_xlpm.lookupKey,'EA-Fortescue_SDExport'!A:A,'EA-Fortescue_SDExport'!AD:AD),
    IF(_xlpm.result=0,"",_xlpm.result)
)</f>
        <v>854DC Green Power</v>
      </c>
      <c r="AD310" s="2" t="str">
        <f>_xlfn.LET(
    _xlpm.isObject, _xlfn.XLOOKUP($Y310,'EA-Fortescue_SDExport'!A:A,'EA-Fortescue_SDExport'!B:B),
    _xlpm.lookupKey, IF(_xlpm.isObject="Object",
        _xlfn.XLOOKUP($A310,'EA-ConnectorExport'!A:A,'EA-ConnectorExport'!J:J),
        $Y310
    ),
    _xlpm.result, _xlfn.XLOOKUP(_xlpm.lookupKey,'EA-Fortescue_SDExport'!A:A,'EA-Fortescue_SDExport'!AE:AE),
    IF(_xlpm.result=0,"",_xlpm.result)
)</f>
        <v>854DC-1521 HV Substations</v>
      </c>
      <c r="AE310" s="2" t="str">
        <f>_xlfn.LET(
    _xlpm.isObject, _xlfn.XLOOKUP($Y310,'EA-Fortescue_SDExport'!A:A,'EA-Fortescue_SDExport'!B:B),
    _xlpm.lookupKey, IF(_xlpm.isObject="Object",
        _xlfn.XLOOKUP($A310,'EA-ConnectorExport'!A:A,'EA-ConnectorExport'!J:J),
        $Y310
    ),
    _xlpm.result, _xlfn.XLOOKUP(_xlpm.lookupKey,'EA-Fortescue_SDExport'!A:A,'EA-Fortescue_SDExport'!AF:AF),
    IF(_xlpm.result=0,"",_xlpm.result)
)</f>
        <v>854DC-1521-0004 Substation (220kV)</v>
      </c>
      <c r="AF310" s="2" t="str">
        <f>_xlfn.LET(
    _xlpm.isObject, _xlfn.XLOOKUP($Y310,'EA-Fortescue_SDExport'!A:A,'EA-Fortescue_SDExport'!B:B),
    _xlpm.lookupKey, IF(_xlpm.isObject="Object",
        _xlfn.XLOOKUP($A310,'EA-ConnectorExport'!A:A,'EA-ConnectorExport'!J:J),
        $Y310
    ),
    _xlpm.result, _xlfn.XLOOKUP(_xlpm.lookupKey,'EA-Fortescue_SDExport'!A:A,'EA-Fortescue_SDExport'!AG:AG),
    IF(_xlpm.result=0,"",_xlpm.result)
)</f>
        <v/>
      </c>
    </row>
    <row r="311" spans="1:32" ht="45" x14ac:dyDescent="0.25">
      <c r="A311" s="2" t="str">
        <v>DGS-I_0310</v>
      </c>
      <c r="B311" s="2" t="str">
        <f t="shared" si="16"/>
        <v>HV Transmission lines PEC # [CLB - CCK]|Christmas Creek Mine: Substation (220kV)</v>
      </c>
      <c r="C311" s="2" t="str">
        <f>_xlfn.LET(_xlpm.result, _xlfn.XLOOKUP(A311,'EA-Fortescue_SDExport'!A:A,'EA-Fortescue_SDExport'!AM:AM), IF(_xlpm.result=0,"",_xlpm.result))</f>
        <v/>
      </c>
      <c r="D311" s="2" t="str">
        <f>_xlfn.LET(_xlpm.result, _xlfn.XLOOKUP(A311,'EA-Fortescue_SDExport'!A:A,'EA-Fortescue_SDExport'!AN:AN), IF(_xlpm.result=0,"",_xlpm.result))</f>
        <v/>
      </c>
      <c r="E311" s="2" t="str">
        <f>_xlfn.XLOOKUP(R311&amp;Z311,Lookups!A:A,Lookups!B:B)</f>
        <v>System - Project Interface</v>
      </c>
      <c r="F311" s="2" t="str">
        <f>_xlfn.LET(_xlpm.result, _xlfn.XLOOKUP(A311,'EA-Fortescue_SDExport'!A:A,'EA-Fortescue_SDExport'!AP:AP), IF(_xlpm.result=0,"",_xlpm.result))</f>
        <v/>
      </c>
      <c r="G311" s="2" t="str">
        <f>IF(OR(AND(T311&lt;&gt;"", COUNTIF(Lookups!J:J, "*"&amp;T311&amp;"*")&gt;0), AND(AB311&lt;&gt;"", COUNTIF(Lookups!J:J, "*"&amp;AB311&amp;"*")&gt;0)), "Yes", "No")</f>
        <v>Yes</v>
      </c>
      <c r="H311" s="2" t="str">
        <f t="shared" si="17"/>
        <v>854DC Green Power|854DC Green Power</v>
      </c>
      <c r="I311" s="2" t="str">
        <f t="shared" si="18"/>
        <v>854DC-5660 HV Transmission lines|854DC-1521 HV Substations</v>
      </c>
      <c r="J311" s="2" t="str">
        <f t="shared" si="19"/>
        <v>N/A|854DC-1521-0004 Substation (220kV)</v>
      </c>
      <c r="K311" s="2" t="str">
        <f>_xlfn.XLOOKUP(A311,'EA-Fortescue_SDExport'!A:A,'EA-Fortescue_SDExport'!N:N)</f>
        <v>Proposed</v>
      </c>
      <c r="L311" s="2" t="str">
        <f>_xlfn.LET(_xlpm.result, _xlfn.XLOOKUP($A311,'EA-Fortescue_SDExport'!$A:$A,'EA-Fortescue_SDExport'!AQ:AQ), IF(_xlpm.result=0,"",_xlpm.result))</f>
        <v/>
      </c>
      <c r="M311" s="2" t="str">
        <f>_xlfn.LET(_xlpm.result, _xlfn.XLOOKUP($A311,'EA-Fortescue_SDExport'!$A:$A,'EA-Fortescue_SDExport'!AR:AR), IF(_xlpm.result=0,"",_xlpm.result))</f>
        <v/>
      </c>
      <c r="N311" s="2" t="str">
        <f>_xlfn.LET(_xlpm.result, _xlfn.XLOOKUP($A311,'EA-Fortescue_SDExport'!$A:$A,'EA-Fortescue_SDExport'!AW:AW), IF(_xlpm.result=0,"",_xlpm.result))</f>
        <v/>
      </c>
      <c r="O311" s="2" t="str">
        <f>_xlfn.LET(_xlpm.result, _xlfn.XLOOKUP($A311,'EA-Fortescue_SDExport'!$A:$A,'EA-Fortescue_SDExport'!AV:AV), IF(_xlpm.result=0,"",_xlpm.result))</f>
        <v/>
      </c>
      <c r="P311" s="2" t="str">
        <f>_xlfn.LET(_xlpm.result, _xlfn.XLOOKUP($A311,'EA-Fortescue_SDExport'!$A:$A,'EA-Fortescue_SDExport'!D:D), IF(_xlpm.result=0,"",_xlpm.result))</f>
        <v/>
      </c>
      <c r="Q311" s="2" t="str">
        <f>_xlfn.LET(
    _xlpm.status, _xlfn.XLOOKUP($A311,'EA-ConnectorExport'!$A:$A,'EA-ConnectorExport'!G:G),
    _xlpm.result, _xlfn.XLOOKUP($A311,'EA-ConnectorExport'!$A:$A,'EA-ConnectorExport'!B:B),
    IF(_xlpm.status="allocate", _xlpm.result, "")
)</f>
        <v>HV Transmission lines PEC # [CLB - CCK]</v>
      </c>
      <c r="R311" s="2" t="str">
        <f>IF(
    _xlfn.XLOOKUP($Q311,'EA-Fortescue_SDExport'!A:A,'EA-Fortescue_SDExport'!B:B)="Object",
    _xlfn.XLOOKUP(
        _xlfn.XLOOKUP($A311,'EA-ConnectorExport'!A:A,'EA-ConnectorExport'!D:D),
        'EA-Fortescue_SDExport'!A:A,
        'EA-Fortescue_SDExport'!AA:AA
    ),
    _xlfn.XLOOKUP($Q311,'EA-Fortescue_SDExport'!A:A,'EA-Fortescue_SDExport'!AA:AA)
)</f>
        <v>System</v>
      </c>
      <c r="S311" s="2" t="str">
        <f>_xlfn.LET(_xlpm.result, _xlfn.XLOOKUP($Q311,'EA-Fortescue_SDExport'!$A:$A,'EA-Fortescue_SDExport'!AB:AB), IF(_xlpm.result=0,"",_xlpm.result))</f>
        <v/>
      </c>
      <c r="T311" s="2" t="str">
        <f>_xlfn.LET(_xlpm.result, _xlfn.XLOOKUP($Q311,'EA-Fortescue_SDExport'!$A:$A,'EA-Fortescue_SDExport'!AC:AC), IF(_xlpm.result=0,"",_xlpm.result))</f>
        <v>PEC # [CLB - CCK]</v>
      </c>
      <c r="U311" s="2" t="str">
        <f>_xlfn.LET(
    _xlpm.isObject, _xlfn.XLOOKUP($Q311,'EA-Fortescue_SDExport'!A:A,'EA-Fortescue_SDExport'!B:B),
    _xlpm.lookupKey, IF(_xlpm.isObject="Object",
        _xlfn.XLOOKUP($A311,'EA-ConnectorExport'!A:A,'EA-ConnectorExport'!D:D),
        $Q311
    ),
    _xlpm.result, _xlfn.XLOOKUP(_xlpm.lookupKey,'EA-Fortescue_SDExport'!A:A,'EA-Fortescue_SDExport'!AD:AD),
    IF(_xlpm.result=0,"",_xlpm.result)
)</f>
        <v>854DC Green Power</v>
      </c>
      <c r="V311" s="2" t="str">
        <f>_xlfn.LET(
    _xlpm.isObject, _xlfn.XLOOKUP($Q311,'EA-Fortescue_SDExport'!A:A,'EA-Fortescue_SDExport'!B:B),
    _xlpm.lookupKey, IF(_xlpm.isObject="Object",
        _xlfn.XLOOKUP($A311,'EA-ConnectorExport'!A:A,'EA-ConnectorExport'!D:D),
        $Q311
    ),
    _xlpm.result, _xlfn.XLOOKUP(_xlpm.lookupKey,'EA-Fortescue_SDExport'!A:A,'EA-Fortescue_SDExport'!AE:AE),
    IF(_xlpm.result=0,"",_xlpm.result)
)</f>
        <v>854DC-5660 HV Transmission lines</v>
      </c>
      <c r="W311" s="2" t="str">
        <f>_xlfn.LET(
    _xlpm.isObject, _xlfn.XLOOKUP($Q311,'EA-Fortescue_SDExport'!A:A,'EA-Fortescue_SDExport'!B:B),
    _xlpm.lookupKey, IF(_xlpm.isObject="Object",
        _xlfn.XLOOKUP($A311,'EA-ConnectorExport'!A:A,'EA-ConnectorExport'!D:D),
        $Q311
    ),
    _xlpm.result, _xlfn.XLOOKUP(_xlpm.lookupKey,'EA-Fortescue_SDExport'!A:A,'EA-Fortescue_SDExport'!AF:AF),
    IF(_xlpm.result=0,"",_xlpm.result)
)</f>
        <v/>
      </c>
      <c r="X311" s="2" t="str">
        <f>_xlfn.LET(
    _xlpm.isObject, _xlfn.XLOOKUP($Q311,'EA-Fortescue_SDExport'!A:A,'EA-Fortescue_SDExport'!B:B),
    _xlpm.lookupKey, IF(_xlpm.isObject="Object",
        _xlfn.XLOOKUP($A311,'EA-ConnectorExport'!A:A,'EA-ConnectorExport'!D:D),
        $Q311
    ),
    _xlpm.result, _xlfn.XLOOKUP(_xlpm.lookupKey,'EA-Fortescue_SDExport'!A:A,'EA-Fortescue_SDExport'!AG:AG),
    IF(_xlpm.result=0,"",_xlpm.result)
)</f>
        <v/>
      </c>
      <c r="Y311" s="2" t="str">
        <f>_xlfn.LET(
    _xlpm.status, _xlfn.XLOOKUP($A311,'EA-ConnectorExport'!$A:$A,'EA-ConnectorExport'!G:G),
    _xlpm.result, _xlfn.XLOOKUP($A311,'EA-ConnectorExport'!$A:$A,'EA-ConnectorExport'!H:H),
    IF(_xlpm.status="allocate", _xlpm.result, "")
)</f>
        <v>Christmas Creek Mine: Substation (220kV)</v>
      </c>
      <c r="Z311" s="2" t="str">
        <f>_xlfn.LET(
    _xlpm.isObject, _xlfn.XLOOKUP($Y311,'EA-Fortescue_SDExport'!A:A,'EA-Fortescue_SDExport'!B:B),
    _xlpm.lookupKey, IF(_xlpm.isObject="Object",
        _xlfn.XLOOKUP($A311,'EA-ConnectorExport'!A:A,'EA-ConnectorExport'!J:J),
        $Y311
    ),
    _xlpm.result, _xlfn.XLOOKUP(_xlpm.lookupKey,'EA-Fortescue_SDExport'!A:A,'EA-Fortescue_SDExport'!AA:AA),
    IF(_xlpm.result=0,"",_xlpm.result)
)</f>
        <v>Project</v>
      </c>
      <c r="AA311" s="2" t="str">
        <f>_xlfn.LET(_xlpm.result, _xlfn.XLOOKUP($Y311,'EA-Fortescue_SDExport'!$A:$A,'EA-Fortescue_SDExport'!AB:AB), IF(_xlpm.result=0,"",_xlpm.result))</f>
        <v/>
      </c>
      <c r="AB311" s="2" t="str">
        <f>_xlfn.LET(_xlpm.result, _xlfn.XLOOKUP($Y311,'EA-Fortescue_SDExport'!$A:$A,'EA-Fortescue_SDExport'!AC:AC), IF(_xlpm.result=0,"",_xlpm.result))</f>
        <v>Christmas Creek Mine</v>
      </c>
      <c r="AC311" s="2" t="str">
        <f>_xlfn.LET(
    _xlpm.isObject, _xlfn.XLOOKUP($Y311,'EA-Fortescue_SDExport'!A:A,'EA-Fortescue_SDExport'!B:B),
    _xlpm.lookupKey, IF(_xlpm.isObject="Object",
        _xlfn.XLOOKUP($A311,'EA-ConnectorExport'!A:A,'EA-ConnectorExport'!J:J),
        $Y311
    ),
    _xlpm.result, _xlfn.XLOOKUP(_xlpm.lookupKey,'EA-Fortescue_SDExport'!A:A,'EA-Fortescue_SDExport'!AD:AD),
    IF(_xlpm.result=0,"",_xlpm.result)
)</f>
        <v>854DC Green Power</v>
      </c>
      <c r="AD311" s="2" t="str">
        <f>_xlfn.LET(
    _xlpm.isObject, _xlfn.XLOOKUP($Y311,'EA-Fortescue_SDExport'!A:A,'EA-Fortescue_SDExport'!B:B),
    _xlpm.lookupKey, IF(_xlpm.isObject="Object",
        _xlfn.XLOOKUP($A311,'EA-ConnectorExport'!A:A,'EA-ConnectorExport'!J:J),
        $Y311
    ),
    _xlpm.result, _xlfn.XLOOKUP(_xlpm.lookupKey,'EA-Fortescue_SDExport'!A:A,'EA-Fortescue_SDExport'!AE:AE),
    IF(_xlpm.result=0,"",_xlpm.result)
)</f>
        <v>854DC-1521 HV Substations</v>
      </c>
      <c r="AE311" s="2" t="str">
        <f>_xlfn.LET(
    _xlpm.isObject, _xlfn.XLOOKUP($Y311,'EA-Fortescue_SDExport'!A:A,'EA-Fortescue_SDExport'!B:B),
    _xlpm.lookupKey, IF(_xlpm.isObject="Object",
        _xlfn.XLOOKUP($A311,'EA-ConnectorExport'!A:A,'EA-ConnectorExport'!J:J),
        $Y311
    ),
    _xlpm.result, _xlfn.XLOOKUP(_xlpm.lookupKey,'EA-Fortescue_SDExport'!A:A,'EA-Fortescue_SDExport'!AF:AF),
    IF(_xlpm.result=0,"",_xlpm.result)
)</f>
        <v>854DC-1521-0004 Substation (220kV)</v>
      </c>
      <c r="AF311" s="2" t="str">
        <f>_xlfn.LET(
    _xlpm.isObject, _xlfn.XLOOKUP($Y311,'EA-Fortescue_SDExport'!A:A,'EA-Fortescue_SDExport'!B:B),
    _xlpm.lookupKey, IF(_xlpm.isObject="Object",
        _xlfn.XLOOKUP($A311,'EA-ConnectorExport'!A:A,'EA-ConnectorExport'!J:J),
        $Y311
    ),
    _xlpm.result, _xlfn.XLOOKUP(_xlpm.lookupKey,'EA-Fortescue_SDExport'!A:A,'EA-Fortescue_SDExport'!AG:AG),
    IF(_xlpm.result=0,"",_xlpm.result)
)</f>
        <v/>
      </c>
    </row>
    <row r="312" spans="1:32" ht="45" x14ac:dyDescent="0.25">
      <c r="A312" s="2" t="str">
        <v>DGS-I_0311</v>
      </c>
      <c r="B312" s="2" t="str">
        <f t="shared" si="16"/>
        <v>HV Transmission lines PEC # [CCK - BDN]|Christmas Creek Mine: Substation (220kV)</v>
      </c>
      <c r="C312" s="2" t="str">
        <f>_xlfn.LET(_xlpm.result, _xlfn.XLOOKUP(A312,'EA-Fortescue_SDExport'!A:A,'EA-Fortescue_SDExport'!AM:AM), IF(_xlpm.result=0,"",_xlpm.result))</f>
        <v/>
      </c>
      <c r="D312" s="2" t="str">
        <f>_xlfn.LET(_xlpm.result, _xlfn.XLOOKUP(A312,'EA-Fortescue_SDExport'!A:A,'EA-Fortescue_SDExport'!AN:AN), IF(_xlpm.result=0,"",_xlpm.result))</f>
        <v/>
      </c>
      <c r="E312" s="2" t="str">
        <f>_xlfn.XLOOKUP(R312&amp;Z312,Lookups!A:A,Lookups!B:B)</f>
        <v>System - Project Interface</v>
      </c>
      <c r="F312" s="2" t="str">
        <f>_xlfn.LET(_xlpm.result, _xlfn.XLOOKUP(A312,'EA-Fortescue_SDExport'!A:A,'EA-Fortescue_SDExport'!AP:AP), IF(_xlpm.result=0,"",_xlpm.result))</f>
        <v/>
      </c>
      <c r="G312" s="2" t="str">
        <f>IF(OR(AND(T312&lt;&gt;"", COUNTIF(Lookups!J:J, "*"&amp;T312&amp;"*")&gt;0), AND(AB312&lt;&gt;"", COUNTIF(Lookups!J:J, "*"&amp;AB312&amp;"*")&gt;0)), "Yes", "No")</f>
        <v>Yes</v>
      </c>
      <c r="H312" s="2" t="str">
        <f t="shared" si="17"/>
        <v>854DC Green Power|854DC Green Power</v>
      </c>
      <c r="I312" s="2" t="str">
        <f t="shared" si="18"/>
        <v>854DC-5660 HV Transmission lines|854DC-1521 HV Substations</v>
      </c>
      <c r="J312" s="2" t="str">
        <f t="shared" si="19"/>
        <v>N/A|854DC-1521-0004 Substation (220kV)</v>
      </c>
      <c r="K312" s="2" t="str">
        <f>_xlfn.XLOOKUP(A312,'EA-Fortescue_SDExport'!A:A,'EA-Fortescue_SDExport'!N:N)</f>
        <v>Proposed</v>
      </c>
      <c r="L312" s="2" t="str">
        <f>_xlfn.LET(_xlpm.result, _xlfn.XLOOKUP($A312,'EA-Fortescue_SDExport'!$A:$A,'EA-Fortescue_SDExport'!AQ:AQ), IF(_xlpm.result=0,"",_xlpm.result))</f>
        <v/>
      </c>
      <c r="M312" s="2" t="str">
        <f>_xlfn.LET(_xlpm.result, _xlfn.XLOOKUP($A312,'EA-Fortescue_SDExport'!$A:$A,'EA-Fortescue_SDExport'!AR:AR), IF(_xlpm.result=0,"",_xlpm.result))</f>
        <v/>
      </c>
      <c r="N312" s="2" t="str">
        <f>_xlfn.LET(_xlpm.result, _xlfn.XLOOKUP($A312,'EA-Fortescue_SDExport'!$A:$A,'EA-Fortescue_SDExport'!AW:AW), IF(_xlpm.result=0,"",_xlpm.result))</f>
        <v/>
      </c>
      <c r="O312" s="2" t="str">
        <f>_xlfn.LET(_xlpm.result, _xlfn.XLOOKUP($A312,'EA-Fortescue_SDExport'!$A:$A,'EA-Fortescue_SDExport'!AV:AV), IF(_xlpm.result=0,"",_xlpm.result))</f>
        <v/>
      </c>
      <c r="P312" s="2" t="str">
        <f>_xlfn.LET(_xlpm.result, _xlfn.XLOOKUP($A312,'EA-Fortescue_SDExport'!$A:$A,'EA-Fortescue_SDExport'!D:D), IF(_xlpm.result=0,"",_xlpm.result))</f>
        <v/>
      </c>
      <c r="Q312" s="2" t="str">
        <f>_xlfn.LET(
    _xlpm.status, _xlfn.XLOOKUP($A312,'EA-ConnectorExport'!$A:$A,'EA-ConnectorExport'!G:G),
    _xlpm.result, _xlfn.XLOOKUP($A312,'EA-ConnectorExport'!$A:$A,'EA-ConnectorExport'!B:B),
    IF(_xlpm.status="allocate", _xlpm.result, "")
)</f>
        <v>HV Transmission lines PEC # [CCK - BDN]</v>
      </c>
      <c r="R312" s="2" t="str">
        <f>IF(
    _xlfn.XLOOKUP($Q312,'EA-Fortescue_SDExport'!A:A,'EA-Fortescue_SDExport'!B:B)="Object",
    _xlfn.XLOOKUP(
        _xlfn.XLOOKUP($A312,'EA-ConnectorExport'!A:A,'EA-ConnectorExport'!D:D),
        'EA-Fortescue_SDExport'!A:A,
        'EA-Fortescue_SDExport'!AA:AA
    ),
    _xlfn.XLOOKUP($Q312,'EA-Fortescue_SDExport'!A:A,'EA-Fortescue_SDExport'!AA:AA)
)</f>
        <v>System</v>
      </c>
      <c r="S312" s="2" t="str">
        <f>_xlfn.LET(_xlpm.result, _xlfn.XLOOKUP($Q312,'EA-Fortescue_SDExport'!$A:$A,'EA-Fortescue_SDExport'!AB:AB), IF(_xlpm.result=0,"",_xlpm.result))</f>
        <v/>
      </c>
      <c r="T312" s="2" t="str">
        <f>_xlfn.LET(_xlpm.result, _xlfn.XLOOKUP($Q312,'EA-Fortescue_SDExport'!$A:$A,'EA-Fortescue_SDExport'!AC:AC), IF(_xlpm.result=0,"",_xlpm.result))</f>
        <v>PEC # [CCK - BDN]</v>
      </c>
      <c r="U312" s="2" t="str">
        <f>_xlfn.LET(
    _xlpm.isObject, _xlfn.XLOOKUP($Q312,'EA-Fortescue_SDExport'!A:A,'EA-Fortescue_SDExport'!B:B),
    _xlpm.lookupKey, IF(_xlpm.isObject="Object",
        _xlfn.XLOOKUP($A312,'EA-ConnectorExport'!A:A,'EA-ConnectorExport'!D:D),
        $Q312
    ),
    _xlpm.result, _xlfn.XLOOKUP(_xlpm.lookupKey,'EA-Fortescue_SDExport'!A:A,'EA-Fortescue_SDExport'!AD:AD),
    IF(_xlpm.result=0,"",_xlpm.result)
)</f>
        <v>854DC Green Power</v>
      </c>
      <c r="V312" s="2" t="str">
        <f>_xlfn.LET(
    _xlpm.isObject, _xlfn.XLOOKUP($Q312,'EA-Fortescue_SDExport'!A:A,'EA-Fortescue_SDExport'!B:B),
    _xlpm.lookupKey, IF(_xlpm.isObject="Object",
        _xlfn.XLOOKUP($A312,'EA-ConnectorExport'!A:A,'EA-ConnectorExport'!D:D),
        $Q312
    ),
    _xlpm.result, _xlfn.XLOOKUP(_xlpm.lookupKey,'EA-Fortescue_SDExport'!A:A,'EA-Fortescue_SDExport'!AE:AE),
    IF(_xlpm.result=0,"",_xlpm.result)
)</f>
        <v>854DC-5660 HV Transmission lines</v>
      </c>
      <c r="W312" s="2" t="str">
        <f>_xlfn.LET(
    _xlpm.isObject, _xlfn.XLOOKUP($Q312,'EA-Fortescue_SDExport'!A:A,'EA-Fortescue_SDExport'!B:B),
    _xlpm.lookupKey, IF(_xlpm.isObject="Object",
        _xlfn.XLOOKUP($A312,'EA-ConnectorExport'!A:A,'EA-ConnectorExport'!D:D),
        $Q312
    ),
    _xlpm.result, _xlfn.XLOOKUP(_xlpm.lookupKey,'EA-Fortescue_SDExport'!A:A,'EA-Fortescue_SDExport'!AF:AF),
    IF(_xlpm.result=0,"",_xlpm.result)
)</f>
        <v/>
      </c>
      <c r="X312" s="2" t="str">
        <f>_xlfn.LET(
    _xlpm.isObject, _xlfn.XLOOKUP($Q312,'EA-Fortescue_SDExport'!A:A,'EA-Fortescue_SDExport'!B:B),
    _xlpm.lookupKey, IF(_xlpm.isObject="Object",
        _xlfn.XLOOKUP($A312,'EA-ConnectorExport'!A:A,'EA-ConnectorExport'!D:D),
        $Q312
    ),
    _xlpm.result, _xlfn.XLOOKUP(_xlpm.lookupKey,'EA-Fortescue_SDExport'!A:A,'EA-Fortescue_SDExport'!AG:AG),
    IF(_xlpm.result=0,"",_xlpm.result)
)</f>
        <v/>
      </c>
      <c r="Y312" s="2" t="str">
        <f>_xlfn.LET(
    _xlpm.status, _xlfn.XLOOKUP($A312,'EA-ConnectorExport'!$A:$A,'EA-ConnectorExport'!G:G),
    _xlpm.result, _xlfn.XLOOKUP($A312,'EA-ConnectorExport'!$A:$A,'EA-ConnectorExport'!H:H),
    IF(_xlpm.status="allocate", _xlpm.result, "")
)</f>
        <v>Christmas Creek Mine: Substation (220kV)</v>
      </c>
      <c r="Z312" s="2" t="str">
        <f>_xlfn.LET(
    _xlpm.isObject, _xlfn.XLOOKUP($Y312,'EA-Fortescue_SDExport'!A:A,'EA-Fortescue_SDExport'!B:B),
    _xlpm.lookupKey, IF(_xlpm.isObject="Object",
        _xlfn.XLOOKUP($A312,'EA-ConnectorExport'!A:A,'EA-ConnectorExport'!J:J),
        $Y312
    ),
    _xlpm.result, _xlfn.XLOOKUP(_xlpm.lookupKey,'EA-Fortescue_SDExport'!A:A,'EA-Fortescue_SDExport'!AA:AA),
    IF(_xlpm.result=0,"",_xlpm.result)
)</f>
        <v>Project</v>
      </c>
      <c r="AA312" s="2" t="str">
        <f>_xlfn.LET(_xlpm.result, _xlfn.XLOOKUP($Y312,'EA-Fortescue_SDExport'!$A:$A,'EA-Fortescue_SDExport'!AB:AB), IF(_xlpm.result=0,"",_xlpm.result))</f>
        <v/>
      </c>
      <c r="AB312" s="2" t="str">
        <f>_xlfn.LET(_xlpm.result, _xlfn.XLOOKUP($Y312,'EA-Fortescue_SDExport'!$A:$A,'EA-Fortescue_SDExport'!AC:AC), IF(_xlpm.result=0,"",_xlpm.result))</f>
        <v>Christmas Creek Mine</v>
      </c>
      <c r="AC312" s="2" t="str">
        <f>_xlfn.LET(
    _xlpm.isObject, _xlfn.XLOOKUP($Y312,'EA-Fortescue_SDExport'!A:A,'EA-Fortescue_SDExport'!B:B),
    _xlpm.lookupKey, IF(_xlpm.isObject="Object",
        _xlfn.XLOOKUP($A312,'EA-ConnectorExport'!A:A,'EA-ConnectorExport'!J:J),
        $Y312
    ),
    _xlpm.result, _xlfn.XLOOKUP(_xlpm.lookupKey,'EA-Fortescue_SDExport'!A:A,'EA-Fortescue_SDExport'!AD:AD),
    IF(_xlpm.result=0,"",_xlpm.result)
)</f>
        <v>854DC Green Power</v>
      </c>
      <c r="AD312" s="2" t="str">
        <f>_xlfn.LET(
    _xlpm.isObject, _xlfn.XLOOKUP($Y312,'EA-Fortescue_SDExport'!A:A,'EA-Fortescue_SDExport'!B:B),
    _xlpm.lookupKey, IF(_xlpm.isObject="Object",
        _xlfn.XLOOKUP($A312,'EA-ConnectorExport'!A:A,'EA-ConnectorExport'!J:J),
        $Y312
    ),
    _xlpm.result, _xlfn.XLOOKUP(_xlpm.lookupKey,'EA-Fortescue_SDExport'!A:A,'EA-Fortescue_SDExport'!AE:AE),
    IF(_xlpm.result=0,"",_xlpm.result)
)</f>
        <v>854DC-1521 HV Substations</v>
      </c>
      <c r="AE312" s="2" t="str">
        <f>_xlfn.LET(
    _xlpm.isObject, _xlfn.XLOOKUP($Y312,'EA-Fortescue_SDExport'!A:A,'EA-Fortescue_SDExport'!B:B),
    _xlpm.lookupKey, IF(_xlpm.isObject="Object",
        _xlfn.XLOOKUP($A312,'EA-ConnectorExport'!A:A,'EA-ConnectorExport'!J:J),
        $Y312
    ),
    _xlpm.result, _xlfn.XLOOKUP(_xlpm.lookupKey,'EA-Fortescue_SDExport'!A:A,'EA-Fortescue_SDExport'!AF:AF),
    IF(_xlpm.result=0,"",_xlpm.result)
)</f>
        <v>854DC-1521-0004 Substation (220kV)</v>
      </c>
      <c r="AF312" s="2" t="str">
        <f>_xlfn.LET(
    _xlpm.isObject, _xlfn.XLOOKUP($Y312,'EA-Fortescue_SDExport'!A:A,'EA-Fortescue_SDExport'!B:B),
    _xlpm.lookupKey, IF(_xlpm.isObject="Object",
        _xlfn.XLOOKUP($A312,'EA-ConnectorExport'!A:A,'EA-ConnectorExport'!J:J),
        $Y312
    ),
    _xlpm.result, _xlfn.XLOOKUP(_xlpm.lookupKey,'EA-Fortescue_SDExport'!A:A,'EA-Fortescue_SDExport'!AG:AG),
    IF(_xlpm.result=0,"",_xlpm.result)
)</f>
        <v/>
      </c>
    </row>
    <row r="313" spans="1:32" ht="45" x14ac:dyDescent="0.25">
      <c r="A313" s="2" t="str">
        <v>DGS-I_0312</v>
      </c>
      <c r="B313" s="2" t="str">
        <f t="shared" si="16"/>
        <v>HV Transmission lines PEC # [CCK - BDN]|Bonney Downs: Substation (220kV)</v>
      </c>
      <c r="C313" s="2" t="str">
        <f>_xlfn.LET(_xlpm.result, _xlfn.XLOOKUP(A313,'EA-Fortescue_SDExport'!A:A,'EA-Fortescue_SDExport'!AM:AM), IF(_xlpm.result=0,"",_xlpm.result))</f>
        <v/>
      </c>
      <c r="D313" s="2" t="str">
        <f>_xlfn.LET(_xlpm.result, _xlfn.XLOOKUP(A313,'EA-Fortescue_SDExport'!A:A,'EA-Fortescue_SDExport'!AN:AN), IF(_xlpm.result=0,"",_xlpm.result))</f>
        <v/>
      </c>
      <c r="E313" s="2" t="str">
        <f>_xlfn.XLOOKUP(R313&amp;Z313,Lookups!A:A,Lookups!B:B)</f>
        <v>System - Project Interface</v>
      </c>
      <c r="F313" s="2" t="str">
        <f>_xlfn.LET(_xlpm.result, _xlfn.XLOOKUP(A313,'EA-Fortescue_SDExport'!A:A,'EA-Fortescue_SDExport'!AP:AP), IF(_xlpm.result=0,"",_xlpm.result))</f>
        <v/>
      </c>
      <c r="G313" s="2" t="str">
        <f>IF(OR(AND(T313&lt;&gt;"", COUNTIF(Lookups!J:J, "*"&amp;T313&amp;"*")&gt;0), AND(AB313&lt;&gt;"", COUNTIF(Lookups!J:J, "*"&amp;AB313&amp;"*")&gt;0)), "Yes", "No")</f>
        <v>Yes</v>
      </c>
      <c r="H313" s="2" t="str">
        <f t="shared" si="17"/>
        <v>854DC Green Power|854DC Green Power</v>
      </c>
      <c r="I313" s="2" t="str">
        <f t="shared" si="18"/>
        <v>854DC-5660 HV Transmission lines|854DC-1521 HV Substations</v>
      </c>
      <c r="J313" s="2" t="str">
        <f t="shared" si="19"/>
        <v>N/A|854DC-1521-0004 Substation (220kV)</v>
      </c>
      <c r="K313" s="2" t="str">
        <f>_xlfn.XLOOKUP(A313,'EA-Fortescue_SDExport'!A:A,'EA-Fortescue_SDExport'!N:N)</f>
        <v>Proposed</v>
      </c>
      <c r="L313" s="2" t="str">
        <f>_xlfn.LET(_xlpm.result, _xlfn.XLOOKUP($A313,'EA-Fortescue_SDExport'!$A:$A,'EA-Fortescue_SDExport'!AQ:AQ), IF(_xlpm.result=0,"",_xlpm.result))</f>
        <v/>
      </c>
      <c r="M313" s="2" t="str">
        <f>_xlfn.LET(_xlpm.result, _xlfn.XLOOKUP($A313,'EA-Fortescue_SDExport'!$A:$A,'EA-Fortescue_SDExport'!AR:AR), IF(_xlpm.result=0,"",_xlpm.result))</f>
        <v/>
      </c>
      <c r="N313" s="2" t="str">
        <f>_xlfn.LET(_xlpm.result, _xlfn.XLOOKUP($A313,'EA-Fortescue_SDExport'!$A:$A,'EA-Fortescue_SDExport'!AW:AW), IF(_xlpm.result=0,"",_xlpm.result))</f>
        <v/>
      </c>
      <c r="O313" s="2" t="str">
        <f>_xlfn.LET(_xlpm.result, _xlfn.XLOOKUP($A313,'EA-Fortescue_SDExport'!$A:$A,'EA-Fortescue_SDExport'!AV:AV), IF(_xlpm.result=0,"",_xlpm.result))</f>
        <v/>
      </c>
      <c r="P313" s="2" t="str">
        <f>_xlfn.LET(_xlpm.result, _xlfn.XLOOKUP($A313,'EA-Fortescue_SDExport'!$A:$A,'EA-Fortescue_SDExport'!D:D), IF(_xlpm.result=0,"",_xlpm.result))</f>
        <v/>
      </c>
      <c r="Q313" s="2" t="str">
        <f>_xlfn.LET(
    _xlpm.status, _xlfn.XLOOKUP($A313,'EA-ConnectorExport'!$A:$A,'EA-ConnectorExport'!G:G),
    _xlpm.result, _xlfn.XLOOKUP($A313,'EA-ConnectorExport'!$A:$A,'EA-ConnectorExport'!B:B),
    IF(_xlpm.status="allocate", _xlpm.result, "")
)</f>
        <v>HV Transmission lines PEC # [CCK - BDN]</v>
      </c>
      <c r="R313" s="2" t="str">
        <f>IF(
    _xlfn.XLOOKUP($Q313,'EA-Fortescue_SDExport'!A:A,'EA-Fortescue_SDExport'!B:B)="Object",
    _xlfn.XLOOKUP(
        _xlfn.XLOOKUP($A313,'EA-ConnectorExport'!A:A,'EA-ConnectorExport'!D:D),
        'EA-Fortescue_SDExport'!A:A,
        'EA-Fortescue_SDExport'!AA:AA
    ),
    _xlfn.XLOOKUP($Q313,'EA-Fortescue_SDExport'!A:A,'EA-Fortescue_SDExport'!AA:AA)
)</f>
        <v>System</v>
      </c>
      <c r="S313" s="2" t="str">
        <f>_xlfn.LET(_xlpm.result, _xlfn.XLOOKUP($Q313,'EA-Fortescue_SDExport'!$A:$A,'EA-Fortescue_SDExport'!AB:AB), IF(_xlpm.result=0,"",_xlpm.result))</f>
        <v/>
      </c>
      <c r="T313" s="2" t="str">
        <f>_xlfn.LET(_xlpm.result, _xlfn.XLOOKUP($Q313,'EA-Fortescue_SDExport'!$A:$A,'EA-Fortescue_SDExport'!AC:AC), IF(_xlpm.result=0,"",_xlpm.result))</f>
        <v>PEC # [CCK - BDN]</v>
      </c>
      <c r="U313" s="2" t="str">
        <f>_xlfn.LET(
    _xlpm.isObject, _xlfn.XLOOKUP($Q313,'EA-Fortescue_SDExport'!A:A,'EA-Fortescue_SDExport'!B:B),
    _xlpm.lookupKey, IF(_xlpm.isObject="Object",
        _xlfn.XLOOKUP($A313,'EA-ConnectorExport'!A:A,'EA-ConnectorExport'!D:D),
        $Q313
    ),
    _xlpm.result, _xlfn.XLOOKUP(_xlpm.lookupKey,'EA-Fortescue_SDExport'!A:A,'EA-Fortescue_SDExport'!AD:AD),
    IF(_xlpm.result=0,"",_xlpm.result)
)</f>
        <v>854DC Green Power</v>
      </c>
      <c r="V313" s="2" t="str">
        <f>_xlfn.LET(
    _xlpm.isObject, _xlfn.XLOOKUP($Q313,'EA-Fortescue_SDExport'!A:A,'EA-Fortescue_SDExport'!B:B),
    _xlpm.lookupKey, IF(_xlpm.isObject="Object",
        _xlfn.XLOOKUP($A313,'EA-ConnectorExport'!A:A,'EA-ConnectorExport'!D:D),
        $Q313
    ),
    _xlpm.result, _xlfn.XLOOKUP(_xlpm.lookupKey,'EA-Fortescue_SDExport'!A:A,'EA-Fortescue_SDExport'!AE:AE),
    IF(_xlpm.result=0,"",_xlpm.result)
)</f>
        <v>854DC-5660 HV Transmission lines</v>
      </c>
      <c r="W313" s="2" t="str">
        <f>_xlfn.LET(
    _xlpm.isObject, _xlfn.XLOOKUP($Q313,'EA-Fortescue_SDExport'!A:A,'EA-Fortescue_SDExport'!B:B),
    _xlpm.lookupKey, IF(_xlpm.isObject="Object",
        _xlfn.XLOOKUP($A313,'EA-ConnectorExport'!A:A,'EA-ConnectorExport'!D:D),
        $Q313
    ),
    _xlpm.result, _xlfn.XLOOKUP(_xlpm.lookupKey,'EA-Fortescue_SDExport'!A:A,'EA-Fortescue_SDExport'!AF:AF),
    IF(_xlpm.result=0,"",_xlpm.result)
)</f>
        <v/>
      </c>
      <c r="X313" s="2" t="str">
        <f>_xlfn.LET(
    _xlpm.isObject, _xlfn.XLOOKUP($Q313,'EA-Fortescue_SDExport'!A:A,'EA-Fortescue_SDExport'!B:B),
    _xlpm.lookupKey, IF(_xlpm.isObject="Object",
        _xlfn.XLOOKUP($A313,'EA-ConnectorExport'!A:A,'EA-ConnectorExport'!D:D),
        $Q313
    ),
    _xlpm.result, _xlfn.XLOOKUP(_xlpm.lookupKey,'EA-Fortescue_SDExport'!A:A,'EA-Fortescue_SDExport'!AG:AG),
    IF(_xlpm.result=0,"",_xlpm.result)
)</f>
        <v/>
      </c>
      <c r="Y313" s="2" t="str">
        <f>_xlfn.LET(
    _xlpm.status, _xlfn.XLOOKUP($A313,'EA-ConnectorExport'!$A:$A,'EA-ConnectorExport'!G:G),
    _xlpm.result, _xlfn.XLOOKUP($A313,'EA-ConnectorExport'!$A:$A,'EA-ConnectorExport'!H:H),
    IF(_xlpm.status="allocate", _xlpm.result, "")
)</f>
        <v>Bonney Downs: Substation (220kV)</v>
      </c>
      <c r="Z313" s="2" t="str">
        <f>_xlfn.LET(
    _xlpm.isObject, _xlfn.XLOOKUP($Y313,'EA-Fortescue_SDExport'!A:A,'EA-Fortescue_SDExport'!B:B),
    _xlpm.lookupKey, IF(_xlpm.isObject="Object",
        _xlfn.XLOOKUP($A313,'EA-ConnectorExport'!A:A,'EA-ConnectorExport'!J:J),
        $Y313
    ),
    _xlpm.result, _xlfn.XLOOKUP(_xlpm.lookupKey,'EA-Fortescue_SDExport'!A:A,'EA-Fortescue_SDExport'!AA:AA),
    IF(_xlpm.result=0,"",_xlpm.result)
)</f>
        <v>Project</v>
      </c>
      <c r="AA313" s="2" t="str">
        <f>_xlfn.LET(_xlpm.result, _xlfn.XLOOKUP($Y313,'EA-Fortescue_SDExport'!$A:$A,'EA-Fortescue_SDExport'!AB:AB), IF(_xlpm.result=0,"",_xlpm.result))</f>
        <v/>
      </c>
      <c r="AB313" s="2" t="str">
        <f>_xlfn.LET(_xlpm.result, _xlfn.XLOOKUP($Y313,'EA-Fortescue_SDExport'!$A:$A,'EA-Fortescue_SDExport'!AC:AC), IF(_xlpm.result=0,"",_xlpm.result))</f>
        <v>Bonney Downs</v>
      </c>
      <c r="AC313" s="2" t="str">
        <f>_xlfn.LET(
    _xlpm.isObject, _xlfn.XLOOKUP($Y313,'EA-Fortescue_SDExport'!A:A,'EA-Fortescue_SDExport'!B:B),
    _xlpm.lookupKey, IF(_xlpm.isObject="Object",
        _xlfn.XLOOKUP($A313,'EA-ConnectorExport'!A:A,'EA-ConnectorExport'!J:J),
        $Y313
    ),
    _xlpm.result, _xlfn.XLOOKUP(_xlpm.lookupKey,'EA-Fortescue_SDExport'!A:A,'EA-Fortescue_SDExport'!AD:AD),
    IF(_xlpm.result=0,"",_xlpm.result)
)</f>
        <v>854DC Green Power</v>
      </c>
      <c r="AD313" s="2" t="str">
        <f>_xlfn.LET(
    _xlpm.isObject, _xlfn.XLOOKUP($Y313,'EA-Fortescue_SDExport'!A:A,'EA-Fortescue_SDExport'!B:B),
    _xlpm.lookupKey, IF(_xlpm.isObject="Object",
        _xlfn.XLOOKUP($A313,'EA-ConnectorExport'!A:A,'EA-ConnectorExport'!J:J),
        $Y313
    ),
    _xlpm.result, _xlfn.XLOOKUP(_xlpm.lookupKey,'EA-Fortescue_SDExport'!A:A,'EA-Fortescue_SDExport'!AE:AE),
    IF(_xlpm.result=0,"",_xlpm.result)
)</f>
        <v>854DC-1521 HV Substations</v>
      </c>
      <c r="AE313" s="2" t="str">
        <f>_xlfn.LET(
    _xlpm.isObject, _xlfn.XLOOKUP($Y313,'EA-Fortescue_SDExport'!A:A,'EA-Fortescue_SDExport'!B:B),
    _xlpm.lookupKey, IF(_xlpm.isObject="Object",
        _xlfn.XLOOKUP($A313,'EA-ConnectorExport'!A:A,'EA-ConnectorExport'!J:J),
        $Y313
    ),
    _xlpm.result, _xlfn.XLOOKUP(_xlpm.lookupKey,'EA-Fortescue_SDExport'!A:A,'EA-Fortescue_SDExport'!AF:AF),
    IF(_xlpm.result=0,"",_xlpm.result)
)</f>
        <v>854DC-1521-0004 Substation (220kV)</v>
      </c>
      <c r="AF313" s="2" t="str">
        <f>_xlfn.LET(
    _xlpm.isObject, _xlfn.XLOOKUP($Y313,'EA-Fortescue_SDExport'!A:A,'EA-Fortescue_SDExport'!B:B),
    _xlpm.lookupKey, IF(_xlpm.isObject="Object",
        _xlfn.XLOOKUP($A313,'EA-ConnectorExport'!A:A,'EA-ConnectorExport'!J:J),
        $Y313
    ),
    _xlpm.result, _xlfn.XLOOKUP(_xlpm.lookupKey,'EA-Fortescue_SDExport'!A:A,'EA-Fortescue_SDExport'!AG:AG),
    IF(_xlpm.result=0,"",_xlpm.result)
)</f>
        <v/>
      </c>
    </row>
    <row r="314" spans="1:32" ht="45" x14ac:dyDescent="0.25">
      <c r="A314" s="2" t="str">
        <v>DGS-I_0313</v>
      </c>
      <c r="B314" s="2" t="str">
        <f t="shared" si="16"/>
        <v>HV Transmission lines PEC # [NYD - CLB]|Cloudbreak Mine: Substation (220kV)</v>
      </c>
      <c r="C314" s="2" t="str">
        <f>_xlfn.LET(_xlpm.result, _xlfn.XLOOKUP(A314,'EA-Fortescue_SDExport'!A:A,'EA-Fortescue_SDExport'!AM:AM), IF(_xlpm.result=0,"",_xlpm.result))</f>
        <v/>
      </c>
      <c r="D314" s="2" t="str">
        <f>_xlfn.LET(_xlpm.result, _xlfn.XLOOKUP(A314,'EA-Fortescue_SDExport'!A:A,'EA-Fortescue_SDExport'!AN:AN), IF(_xlpm.result=0,"",_xlpm.result))</f>
        <v/>
      </c>
      <c r="E314" s="2" t="str">
        <f>_xlfn.XLOOKUP(R314&amp;Z314,Lookups!A:A,Lookups!B:B)</f>
        <v>System - Project Interface</v>
      </c>
      <c r="F314" s="2" t="str">
        <f>_xlfn.LET(_xlpm.result, _xlfn.XLOOKUP(A314,'EA-Fortescue_SDExport'!A:A,'EA-Fortescue_SDExport'!AP:AP), IF(_xlpm.result=0,"",_xlpm.result))</f>
        <v/>
      </c>
      <c r="G314" s="2" t="str">
        <f>IF(OR(AND(T314&lt;&gt;"", COUNTIF(Lookups!J:J, "*"&amp;T314&amp;"*")&gt;0), AND(AB314&lt;&gt;"", COUNTIF(Lookups!J:J, "*"&amp;AB314&amp;"*")&gt;0)), "Yes", "No")</f>
        <v>Yes</v>
      </c>
      <c r="H314" s="2" t="str">
        <f t="shared" si="17"/>
        <v>854DC Green Power|854DC Green Power</v>
      </c>
      <c r="I314" s="2" t="str">
        <f t="shared" si="18"/>
        <v>854DC-5660 HV Transmission lines|854DC-1521 HV Substations</v>
      </c>
      <c r="J314" s="2" t="str">
        <f t="shared" si="19"/>
        <v>N/A|854DC-1521-0004 Substation (220kV)</v>
      </c>
      <c r="K314" s="2" t="str">
        <f>_xlfn.XLOOKUP(A314,'EA-Fortescue_SDExport'!A:A,'EA-Fortescue_SDExport'!N:N)</f>
        <v>Proposed</v>
      </c>
      <c r="L314" s="2" t="str">
        <f>_xlfn.LET(_xlpm.result, _xlfn.XLOOKUP($A314,'EA-Fortescue_SDExport'!$A:$A,'EA-Fortescue_SDExport'!AQ:AQ), IF(_xlpm.result=0,"",_xlpm.result))</f>
        <v/>
      </c>
      <c r="M314" s="2" t="str">
        <f>_xlfn.LET(_xlpm.result, _xlfn.XLOOKUP($A314,'EA-Fortescue_SDExport'!$A:$A,'EA-Fortescue_SDExport'!AR:AR), IF(_xlpm.result=0,"",_xlpm.result))</f>
        <v/>
      </c>
      <c r="N314" s="2" t="str">
        <f>_xlfn.LET(_xlpm.result, _xlfn.XLOOKUP($A314,'EA-Fortescue_SDExport'!$A:$A,'EA-Fortescue_SDExport'!AW:AW), IF(_xlpm.result=0,"",_xlpm.result))</f>
        <v/>
      </c>
      <c r="O314" s="2" t="str">
        <f>_xlfn.LET(_xlpm.result, _xlfn.XLOOKUP($A314,'EA-Fortescue_SDExport'!$A:$A,'EA-Fortescue_SDExport'!AV:AV), IF(_xlpm.result=0,"",_xlpm.result))</f>
        <v/>
      </c>
      <c r="P314" s="2" t="str">
        <f>_xlfn.LET(_xlpm.result, _xlfn.XLOOKUP($A314,'EA-Fortescue_SDExport'!$A:$A,'EA-Fortescue_SDExport'!D:D), IF(_xlpm.result=0,"",_xlpm.result))</f>
        <v/>
      </c>
      <c r="Q314" s="2" t="str">
        <f>_xlfn.LET(
    _xlpm.status, _xlfn.XLOOKUP($A314,'EA-ConnectorExport'!$A:$A,'EA-ConnectorExport'!G:G),
    _xlpm.result, _xlfn.XLOOKUP($A314,'EA-ConnectorExport'!$A:$A,'EA-ConnectorExport'!B:B),
    IF(_xlpm.status="allocate", _xlpm.result, "")
)</f>
        <v>HV Transmission lines PEC # [NYD - CLB]</v>
      </c>
      <c r="R314" s="2" t="str">
        <f>IF(
    _xlfn.XLOOKUP($Q314,'EA-Fortescue_SDExport'!A:A,'EA-Fortescue_SDExport'!B:B)="Object",
    _xlfn.XLOOKUP(
        _xlfn.XLOOKUP($A314,'EA-ConnectorExport'!A:A,'EA-ConnectorExport'!D:D),
        'EA-Fortescue_SDExport'!A:A,
        'EA-Fortescue_SDExport'!AA:AA
    ),
    _xlfn.XLOOKUP($Q314,'EA-Fortescue_SDExport'!A:A,'EA-Fortescue_SDExport'!AA:AA)
)</f>
        <v>System</v>
      </c>
      <c r="S314" s="2" t="str">
        <f>_xlfn.LET(_xlpm.result, _xlfn.XLOOKUP($Q314,'EA-Fortescue_SDExport'!$A:$A,'EA-Fortescue_SDExport'!AB:AB), IF(_xlpm.result=0,"",_xlpm.result))</f>
        <v/>
      </c>
      <c r="T314" s="2" t="str">
        <f>_xlfn.LET(_xlpm.result, _xlfn.XLOOKUP($Q314,'EA-Fortescue_SDExport'!$A:$A,'EA-Fortescue_SDExport'!AC:AC), IF(_xlpm.result=0,"",_xlpm.result))</f>
        <v>PEC # [NYD - CLB]</v>
      </c>
      <c r="U314" s="2" t="str">
        <f>_xlfn.LET(
    _xlpm.isObject, _xlfn.XLOOKUP($Q314,'EA-Fortescue_SDExport'!A:A,'EA-Fortescue_SDExport'!B:B),
    _xlpm.lookupKey, IF(_xlpm.isObject="Object",
        _xlfn.XLOOKUP($A314,'EA-ConnectorExport'!A:A,'EA-ConnectorExport'!D:D),
        $Q314
    ),
    _xlpm.result, _xlfn.XLOOKUP(_xlpm.lookupKey,'EA-Fortescue_SDExport'!A:A,'EA-Fortescue_SDExport'!AD:AD),
    IF(_xlpm.result=0,"",_xlpm.result)
)</f>
        <v>854DC Green Power</v>
      </c>
      <c r="V314" s="2" t="str">
        <f>_xlfn.LET(
    _xlpm.isObject, _xlfn.XLOOKUP($Q314,'EA-Fortescue_SDExport'!A:A,'EA-Fortescue_SDExport'!B:B),
    _xlpm.lookupKey, IF(_xlpm.isObject="Object",
        _xlfn.XLOOKUP($A314,'EA-ConnectorExport'!A:A,'EA-ConnectorExport'!D:D),
        $Q314
    ),
    _xlpm.result, _xlfn.XLOOKUP(_xlpm.lookupKey,'EA-Fortescue_SDExport'!A:A,'EA-Fortescue_SDExport'!AE:AE),
    IF(_xlpm.result=0,"",_xlpm.result)
)</f>
        <v>854DC-5660 HV Transmission lines</v>
      </c>
      <c r="W314" s="2" t="str">
        <f>_xlfn.LET(
    _xlpm.isObject, _xlfn.XLOOKUP($Q314,'EA-Fortescue_SDExport'!A:A,'EA-Fortescue_SDExport'!B:B),
    _xlpm.lookupKey, IF(_xlpm.isObject="Object",
        _xlfn.XLOOKUP($A314,'EA-ConnectorExport'!A:A,'EA-ConnectorExport'!D:D),
        $Q314
    ),
    _xlpm.result, _xlfn.XLOOKUP(_xlpm.lookupKey,'EA-Fortescue_SDExport'!A:A,'EA-Fortescue_SDExport'!AF:AF),
    IF(_xlpm.result=0,"",_xlpm.result)
)</f>
        <v/>
      </c>
      <c r="X314" s="2" t="str">
        <f>_xlfn.LET(
    _xlpm.isObject, _xlfn.XLOOKUP($Q314,'EA-Fortescue_SDExport'!A:A,'EA-Fortescue_SDExport'!B:B),
    _xlpm.lookupKey, IF(_xlpm.isObject="Object",
        _xlfn.XLOOKUP($A314,'EA-ConnectorExport'!A:A,'EA-ConnectorExport'!D:D),
        $Q314
    ),
    _xlpm.result, _xlfn.XLOOKUP(_xlpm.lookupKey,'EA-Fortescue_SDExport'!A:A,'EA-Fortescue_SDExport'!AG:AG),
    IF(_xlpm.result=0,"",_xlpm.result)
)</f>
        <v/>
      </c>
      <c r="Y314" s="2" t="str">
        <f>_xlfn.LET(
    _xlpm.status, _xlfn.XLOOKUP($A314,'EA-ConnectorExport'!$A:$A,'EA-ConnectorExport'!G:G),
    _xlpm.result, _xlfn.XLOOKUP($A314,'EA-ConnectorExport'!$A:$A,'EA-ConnectorExport'!H:H),
    IF(_xlpm.status="allocate", _xlpm.result, "")
)</f>
        <v>Cloudbreak Mine: Substation (220kV)</v>
      </c>
      <c r="Z314" s="2" t="str">
        <f>_xlfn.LET(
    _xlpm.isObject, _xlfn.XLOOKUP($Y314,'EA-Fortescue_SDExport'!A:A,'EA-Fortescue_SDExport'!B:B),
    _xlpm.lookupKey, IF(_xlpm.isObject="Object",
        _xlfn.XLOOKUP($A314,'EA-ConnectorExport'!A:A,'EA-ConnectorExport'!J:J),
        $Y314
    ),
    _xlpm.result, _xlfn.XLOOKUP(_xlpm.lookupKey,'EA-Fortescue_SDExport'!A:A,'EA-Fortescue_SDExport'!AA:AA),
    IF(_xlpm.result=0,"",_xlpm.result)
)</f>
        <v>Project</v>
      </c>
      <c r="AA314" s="2" t="str">
        <f>_xlfn.LET(_xlpm.result, _xlfn.XLOOKUP($Y314,'EA-Fortescue_SDExport'!$A:$A,'EA-Fortescue_SDExport'!AB:AB), IF(_xlpm.result=0,"",_xlpm.result))</f>
        <v/>
      </c>
      <c r="AB314" s="2" t="str">
        <f>_xlfn.LET(_xlpm.result, _xlfn.XLOOKUP($Y314,'EA-Fortescue_SDExport'!$A:$A,'EA-Fortescue_SDExport'!AC:AC), IF(_xlpm.result=0,"",_xlpm.result))</f>
        <v>Cloudbreak Mine</v>
      </c>
      <c r="AC314" s="2" t="str">
        <f>_xlfn.LET(
    _xlpm.isObject, _xlfn.XLOOKUP($Y314,'EA-Fortescue_SDExport'!A:A,'EA-Fortescue_SDExport'!B:B),
    _xlpm.lookupKey, IF(_xlpm.isObject="Object",
        _xlfn.XLOOKUP($A314,'EA-ConnectorExport'!A:A,'EA-ConnectorExport'!J:J),
        $Y314
    ),
    _xlpm.result, _xlfn.XLOOKUP(_xlpm.lookupKey,'EA-Fortescue_SDExport'!A:A,'EA-Fortescue_SDExport'!AD:AD),
    IF(_xlpm.result=0,"",_xlpm.result)
)</f>
        <v>854DC Green Power</v>
      </c>
      <c r="AD314" s="2" t="str">
        <f>_xlfn.LET(
    _xlpm.isObject, _xlfn.XLOOKUP($Y314,'EA-Fortescue_SDExport'!A:A,'EA-Fortescue_SDExport'!B:B),
    _xlpm.lookupKey, IF(_xlpm.isObject="Object",
        _xlfn.XLOOKUP($A314,'EA-ConnectorExport'!A:A,'EA-ConnectorExport'!J:J),
        $Y314
    ),
    _xlpm.result, _xlfn.XLOOKUP(_xlpm.lookupKey,'EA-Fortescue_SDExport'!A:A,'EA-Fortescue_SDExport'!AE:AE),
    IF(_xlpm.result=0,"",_xlpm.result)
)</f>
        <v>854DC-1521 HV Substations</v>
      </c>
      <c r="AE314" s="2" t="str">
        <f>_xlfn.LET(
    _xlpm.isObject, _xlfn.XLOOKUP($Y314,'EA-Fortescue_SDExport'!A:A,'EA-Fortescue_SDExport'!B:B),
    _xlpm.lookupKey, IF(_xlpm.isObject="Object",
        _xlfn.XLOOKUP($A314,'EA-ConnectorExport'!A:A,'EA-ConnectorExport'!J:J),
        $Y314
    ),
    _xlpm.result, _xlfn.XLOOKUP(_xlpm.lookupKey,'EA-Fortescue_SDExport'!A:A,'EA-Fortescue_SDExport'!AF:AF),
    IF(_xlpm.result=0,"",_xlpm.result)
)</f>
        <v>854DC-1521-0004 Substation (220kV)</v>
      </c>
      <c r="AF314" s="2" t="str">
        <f>_xlfn.LET(
    _xlpm.isObject, _xlfn.XLOOKUP($Y314,'EA-Fortescue_SDExport'!A:A,'EA-Fortescue_SDExport'!B:B),
    _xlpm.lookupKey, IF(_xlpm.isObject="Object",
        _xlfn.XLOOKUP($A314,'EA-ConnectorExport'!A:A,'EA-ConnectorExport'!J:J),
        $Y314
    ),
    _xlpm.result, _xlfn.XLOOKUP(_xlpm.lookupKey,'EA-Fortescue_SDExport'!A:A,'EA-Fortescue_SDExport'!AG:AG),
    IF(_xlpm.result=0,"",_xlpm.result)
)</f>
        <v/>
      </c>
    </row>
    <row r="315" spans="1:32" ht="45" x14ac:dyDescent="0.25">
      <c r="A315" s="2" t="str">
        <v>DGS-I_0314</v>
      </c>
      <c r="B315" s="2" t="str">
        <f t="shared" si="16"/>
        <v>HV Transmission lines PEC # [NYD - CLB]|Nyidinghu Hub: Substation (33kV)</v>
      </c>
      <c r="C315" s="2" t="str">
        <f>_xlfn.LET(_xlpm.result, _xlfn.XLOOKUP(A315,'EA-Fortescue_SDExport'!A:A,'EA-Fortescue_SDExport'!AM:AM), IF(_xlpm.result=0,"",_xlpm.result))</f>
        <v/>
      </c>
      <c r="D315" s="2" t="str">
        <f>_xlfn.LET(_xlpm.result, _xlfn.XLOOKUP(A315,'EA-Fortescue_SDExport'!A:A,'EA-Fortescue_SDExport'!AN:AN), IF(_xlpm.result=0,"",_xlpm.result))</f>
        <v/>
      </c>
      <c r="E315" s="2" t="str">
        <f>_xlfn.XLOOKUP(R315&amp;Z315,Lookups!A:A,Lookups!B:B)</f>
        <v>System - Project Interface</v>
      </c>
      <c r="F315" s="2" t="str">
        <f>_xlfn.LET(_xlpm.result, _xlfn.XLOOKUP(A315,'EA-Fortescue_SDExport'!A:A,'EA-Fortescue_SDExport'!AP:AP), IF(_xlpm.result=0,"",_xlpm.result))</f>
        <v/>
      </c>
      <c r="G315" s="2" t="str">
        <f>IF(OR(AND(T315&lt;&gt;"", COUNTIF(Lookups!J:J, "*"&amp;T315&amp;"*")&gt;0), AND(AB315&lt;&gt;"", COUNTIF(Lookups!J:J, "*"&amp;AB315&amp;"*")&gt;0)), "Yes", "No")</f>
        <v>Yes</v>
      </c>
      <c r="H315" s="2" t="str">
        <f t="shared" si="17"/>
        <v>854DC Green Power|854DC Green Power</v>
      </c>
      <c r="I315" s="2" t="str">
        <f t="shared" si="18"/>
        <v>854DC-5660 HV Transmission lines|854DC-1521 HV Substations</v>
      </c>
      <c r="J315" s="2" t="str">
        <f t="shared" si="19"/>
        <v>N/A|854DC-1521-0001 Substation (33kV)</v>
      </c>
      <c r="K315" s="2" t="str">
        <f>_xlfn.XLOOKUP(A315,'EA-Fortescue_SDExport'!A:A,'EA-Fortescue_SDExport'!N:N)</f>
        <v>Proposed</v>
      </c>
      <c r="L315" s="2" t="str">
        <f>_xlfn.LET(_xlpm.result, _xlfn.XLOOKUP($A315,'EA-Fortescue_SDExport'!$A:$A,'EA-Fortescue_SDExport'!AQ:AQ), IF(_xlpm.result=0,"",_xlpm.result))</f>
        <v/>
      </c>
      <c r="M315" s="2" t="str">
        <f>_xlfn.LET(_xlpm.result, _xlfn.XLOOKUP($A315,'EA-Fortescue_SDExport'!$A:$A,'EA-Fortescue_SDExport'!AR:AR), IF(_xlpm.result=0,"",_xlpm.result))</f>
        <v/>
      </c>
      <c r="N315" s="2" t="str">
        <f>_xlfn.LET(_xlpm.result, _xlfn.XLOOKUP($A315,'EA-Fortescue_SDExport'!$A:$A,'EA-Fortescue_SDExport'!AW:AW), IF(_xlpm.result=0,"",_xlpm.result))</f>
        <v/>
      </c>
      <c r="O315" s="2" t="str">
        <f>_xlfn.LET(_xlpm.result, _xlfn.XLOOKUP($A315,'EA-Fortescue_SDExport'!$A:$A,'EA-Fortescue_SDExport'!AV:AV), IF(_xlpm.result=0,"",_xlpm.result))</f>
        <v/>
      </c>
      <c r="P315" s="2" t="str">
        <f>_xlfn.LET(_xlpm.result, _xlfn.XLOOKUP($A315,'EA-Fortescue_SDExport'!$A:$A,'EA-Fortescue_SDExport'!D:D), IF(_xlpm.result=0,"",_xlpm.result))</f>
        <v/>
      </c>
      <c r="Q315" s="2" t="str">
        <f>_xlfn.LET(
    _xlpm.status, _xlfn.XLOOKUP($A315,'EA-ConnectorExport'!$A:$A,'EA-ConnectorExport'!G:G),
    _xlpm.result, _xlfn.XLOOKUP($A315,'EA-ConnectorExport'!$A:$A,'EA-ConnectorExport'!B:B),
    IF(_xlpm.status="allocate", _xlpm.result, "")
)</f>
        <v>HV Transmission lines PEC # [NYD - CLB]</v>
      </c>
      <c r="R315" s="2" t="str">
        <f>IF(
    _xlfn.XLOOKUP($Q315,'EA-Fortescue_SDExport'!A:A,'EA-Fortescue_SDExport'!B:B)="Object",
    _xlfn.XLOOKUP(
        _xlfn.XLOOKUP($A315,'EA-ConnectorExport'!A:A,'EA-ConnectorExport'!D:D),
        'EA-Fortescue_SDExport'!A:A,
        'EA-Fortescue_SDExport'!AA:AA
    ),
    _xlfn.XLOOKUP($Q315,'EA-Fortescue_SDExport'!A:A,'EA-Fortescue_SDExport'!AA:AA)
)</f>
        <v>System</v>
      </c>
      <c r="S315" s="2" t="str">
        <f>_xlfn.LET(_xlpm.result, _xlfn.XLOOKUP($Q315,'EA-Fortescue_SDExport'!$A:$A,'EA-Fortescue_SDExport'!AB:AB), IF(_xlpm.result=0,"",_xlpm.result))</f>
        <v/>
      </c>
      <c r="T315" s="2" t="str">
        <f>_xlfn.LET(_xlpm.result, _xlfn.XLOOKUP($Q315,'EA-Fortescue_SDExport'!$A:$A,'EA-Fortescue_SDExport'!AC:AC), IF(_xlpm.result=0,"",_xlpm.result))</f>
        <v>PEC # [NYD - CLB]</v>
      </c>
      <c r="U315" s="2" t="str">
        <f>_xlfn.LET(
    _xlpm.isObject, _xlfn.XLOOKUP($Q315,'EA-Fortescue_SDExport'!A:A,'EA-Fortescue_SDExport'!B:B),
    _xlpm.lookupKey, IF(_xlpm.isObject="Object",
        _xlfn.XLOOKUP($A315,'EA-ConnectorExport'!A:A,'EA-ConnectorExport'!D:D),
        $Q315
    ),
    _xlpm.result, _xlfn.XLOOKUP(_xlpm.lookupKey,'EA-Fortescue_SDExport'!A:A,'EA-Fortescue_SDExport'!AD:AD),
    IF(_xlpm.result=0,"",_xlpm.result)
)</f>
        <v>854DC Green Power</v>
      </c>
      <c r="V315" s="2" t="str">
        <f>_xlfn.LET(
    _xlpm.isObject, _xlfn.XLOOKUP($Q315,'EA-Fortescue_SDExport'!A:A,'EA-Fortescue_SDExport'!B:B),
    _xlpm.lookupKey, IF(_xlpm.isObject="Object",
        _xlfn.XLOOKUP($A315,'EA-ConnectorExport'!A:A,'EA-ConnectorExport'!D:D),
        $Q315
    ),
    _xlpm.result, _xlfn.XLOOKUP(_xlpm.lookupKey,'EA-Fortescue_SDExport'!A:A,'EA-Fortescue_SDExport'!AE:AE),
    IF(_xlpm.result=0,"",_xlpm.result)
)</f>
        <v>854DC-5660 HV Transmission lines</v>
      </c>
      <c r="W315" s="2" t="str">
        <f>_xlfn.LET(
    _xlpm.isObject, _xlfn.XLOOKUP($Q315,'EA-Fortescue_SDExport'!A:A,'EA-Fortescue_SDExport'!B:B),
    _xlpm.lookupKey, IF(_xlpm.isObject="Object",
        _xlfn.XLOOKUP($A315,'EA-ConnectorExport'!A:A,'EA-ConnectorExport'!D:D),
        $Q315
    ),
    _xlpm.result, _xlfn.XLOOKUP(_xlpm.lookupKey,'EA-Fortescue_SDExport'!A:A,'EA-Fortescue_SDExport'!AF:AF),
    IF(_xlpm.result=0,"",_xlpm.result)
)</f>
        <v/>
      </c>
      <c r="X315" s="2" t="str">
        <f>_xlfn.LET(
    _xlpm.isObject, _xlfn.XLOOKUP($Q315,'EA-Fortescue_SDExport'!A:A,'EA-Fortescue_SDExport'!B:B),
    _xlpm.lookupKey, IF(_xlpm.isObject="Object",
        _xlfn.XLOOKUP($A315,'EA-ConnectorExport'!A:A,'EA-ConnectorExport'!D:D),
        $Q315
    ),
    _xlpm.result, _xlfn.XLOOKUP(_xlpm.lookupKey,'EA-Fortescue_SDExport'!A:A,'EA-Fortescue_SDExport'!AG:AG),
    IF(_xlpm.result=0,"",_xlpm.result)
)</f>
        <v/>
      </c>
      <c r="Y315" s="2" t="str">
        <f>_xlfn.LET(
    _xlpm.status, _xlfn.XLOOKUP($A315,'EA-ConnectorExport'!$A:$A,'EA-ConnectorExport'!G:G),
    _xlpm.result, _xlfn.XLOOKUP($A315,'EA-ConnectorExport'!$A:$A,'EA-ConnectorExport'!H:H),
    IF(_xlpm.status="allocate", _xlpm.result, "")
)</f>
        <v>Nyidinghu Hub: Substation (33kV)</v>
      </c>
      <c r="Z315" s="2" t="str">
        <f>_xlfn.LET(
    _xlpm.isObject, _xlfn.XLOOKUP($Y315,'EA-Fortescue_SDExport'!A:A,'EA-Fortescue_SDExport'!B:B),
    _xlpm.lookupKey, IF(_xlpm.isObject="Object",
        _xlfn.XLOOKUP($A315,'EA-ConnectorExport'!A:A,'EA-ConnectorExport'!J:J),
        $Y315
    ),
    _xlpm.result, _xlfn.XLOOKUP(_xlpm.lookupKey,'EA-Fortescue_SDExport'!A:A,'EA-Fortescue_SDExport'!AA:AA),
    IF(_xlpm.result=0,"",_xlpm.result)
)</f>
        <v>Project</v>
      </c>
      <c r="AA315" s="2" t="str">
        <f>_xlfn.LET(_xlpm.result, _xlfn.XLOOKUP($Y315,'EA-Fortescue_SDExport'!$A:$A,'EA-Fortescue_SDExport'!AB:AB), IF(_xlpm.result=0,"",_xlpm.result))</f>
        <v/>
      </c>
      <c r="AB315" s="2" t="str">
        <f>_xlfn.LET(_xlpm.result, _xlfn.XLOOKUP($Y315,'EA-Fortescue_SDExport'!$A:$A,'EA-Fortescue_SDExport'!AC:AC), IF(_xlpm.result=0,"",_xlpm.result))</f>
        <v>Nyidinghu Hub</v>
      </c>
      <c r="AC315" s="2" t="str">
        <f>_xlfn.LET(
    _xlpm.isObject, _xlfn.XLOOKUP($Y315,'EA-Fortescue_SDExport'!A:A,'EA-Fortescue_SDExport'!B:B),
    _xlpm.lookupKey, IF(_xlpm.isObject="Object",
        _xlfn.XLOOKUP($A315,'EA-ConnectorExport'!A:A,'EA-ConnectorExport'!J:J),
        $Y315
    ),
    _xlpm.result, _xlfn.XLOOKUP(_xlpm.lookupKey,'EA-Fortescue_SDExport'!A:A,'EA-Fortescue_SDExport'!AD:AD),
    IF(_xlpm.result=0,"",_xlpm.result)
)</f>
        <v>854DC Green Power</v>
      </c>
      <c r="AD315" s="2" t="str">
        <f>_xlfn.LET(
    _xlpm.isObject, _xlfn.XLOOKUP($Y315,'EA-Fortescue_SDExport'!A:A,'EA-Fortescue_SDExport'!B:B),
    _xlpm.lookupKey, IF(_xlpm.isObject="Object",
        _xlfn.XLOOKUP($A315,'EA-ConnectorExport'!A:A,'EA-ConnectorExport'!J:J),
        $Y315
    ),
    _xlpm.result, _xlfn.XLOOKUP(_xlpm.lookupKey,'EA-Fortescue_SDExport'!A:A,'EA-Fortescue_SDExport'!AE:AE),
    IF(_xlpm.result=0,"",_xlpm.result)
)</f>
        <v>854DC-1521 HV Substations</v>
      </c>
      <c r="AE315" s="2" t="str">
        <f>_xlfn.LET(
    _xlpm.isObject, _xlfn.XLOOKUP($Y315,'EA-Fortescue_SDExport'!A:A,'EA-Fortescue_SDExport'!B:B),
    _xlpm.lookupKey, IF(_xlpm.isObject="Object",
        _xlfn.XLOOKUP($A315,'EA-ConnectorExport'!A:A,'EA-ConnectorExport'!J:J),
        $Y315
    ),
    _xlpm.result, _xlfn.XLOOKUP(_xlpm.lookupKey,'EA-Fortescue_SDExport'!A:A,'EA-Fortescue_SDExport'!AF:AF),
    IF(_xlpm.result=0,"",_xlpm.result)
)</f>
        <v>854DC-1521-0001 Substation (33kV)</v>
      </c>
      <c r="AF315" s="2" t="str">
        <f>_xlfn.LET(
    _xlpm.isObject, _xlfn.XLOOKUP($Y315,'EA-Fortescue_SDExport'!A:A,'EA-Fortescue_SDExport'!B:B),
    _xlpm.lookupKey, IF(_xlpm.isObject="Object",
        _xlfn.XLOOKUP($A315,'EA-ConnectorExport'!A:A,'EA-ConnectorExport'!J:J),
        $Y315
    ),
    _xlpm.result, _xlfn.XLOOKUP(_xlpm.lookupKey,'EA-Fortescue_SDExport'!A:A,'EA-Fortescue_SDExport'!AG:AG),
    IF(_xlpm.result=0,"",_xlpm.result)
)</f>
        <v/>
      </c>
    </row>
    <row r="316" spans="1:32" ht="60" x14ac:dyDescent="0.25">
      <c r="A316" s="2" t="str">
        <v>DGS-I_0315</v>
      </c>
      <c r="B316" s="2" t="str">
        <f t="shared" si="16"/>
        <v>855DC-1543-008 Monarch|Eliwana Mine: Substation (33kV)</v>
      </c>
      <c r="C316" s="2" t="str">
        <f>_xlfn.LET(_xlpm.result, _xlfn.XLOOKUP(A316,'EA-Fortescue_SDExport'!A:A,'EA-Fortescue_SDExport'!AM:AM), IF(_xlpm.result=0,"",_xlpm.result))</f>
        <v/>
      </c>
      <c r="D316" s="2" t="str">
        <f>_xlfn.LET(_xlpm.result, _xlfn.XLOOKUP(A316,'EA-Fortescue_SDExport'!A:A,'EA-Fortescue_SDExport'!AN:AN), IF(_xlpm.result=0,"",_xlpm.result))</f>
        <v/>
      </c>
      <c r="E316" s="2" t="str">
        <f>_xlfn.XLOOKUP(R316&amp;Z316,Lookups!A:A,Lookups!B:B)</f>
        <v>Project - Project Interface</v>
      </c>
      <c r="F316" s="2" t="str">
        <f>_xlfn.LET(_xlpm.result, _xlfn.XLOOKUP(A316,'EA-Fortescue_SDExport'!A:A,'EA-Fortescue_SDExport'!AP:AP), IF(_xlpm.result=0,"",_xlpm.result))</f>
        <v/>
      </c>
      <c r="G316" s="2" t="str">
        <f>IF(OR(AND(T316&lt;&gt;"", COUNTIF(Lookups!J:J, "*"&amp;T316&amp;"*")&gt;0), AND(AB316&lt;&gt;"", COUNTIF(Lookups!J:J, "*"&amp;AB316&amp;"*")&gt;0)), "Yes", "No")</f>
        <v>Yes</v>
      </c>
      <c r="H316" s="2" t="str">
        <f t="shared" si="17"/>
        <v>855DC Decarb Green Systems|854DC Green Power</v>
      </c>
      <c r="I316" s="2" t="str">
        <f t="shared" si="18"/>
        <v>855DC-1543 Existing Systems - Green Enhancement|854DC-1521 HV Substations</v>
      </c>
      <c r="J316" s="2" t="str">
        <f t="shared" si="19"/>
        <v>855DC-1543-008 Monarch|854DC-1521-0001 Substation (33kV)</v>
      </c>
      <c r="K316" s="2" t="str">
        <f>_xlfn.XLOOKUP(A316,'EA-Fortescue_SDExport'!A:A,'EA-Fortescue_SDExport'!N:N)</f>
        <v>Proposed</v>
      </c>
      <c r="L316" s="2" t="str">
        <f>_xlfn.LET(_xlpm.result, _xlfn.XLOOKUP($A316,'EA-Fortescue_SDExport'!$A:$A,'EA-Fortescue_SDExport'!AQ:AQ), IF(_xlpm.result=0,"",_xlpm.result))</f>
        <v/>
      </c>
      <c r="M316" s="2" t="str">
        <f>_xlfn.LET(_xlpm.result, _xlfn.XLOOKUP($A316,'EA-Fortescue_SDExport'!$A:$A,'EA-Fortescue_SDExport'!AR:AR), IF(_xlpm.result=0,"",_xlpm.result))</f>
        <v/>
      </c>
      <c r="N316" s="2" t="str">
        <f>_xlfn.LET(_xlpm.result, _xlfn.XLOOKUP($A316,'EA-Fortescue_SDExport'!$A:$A,'EA-Fortescue_SDExport'!AW:AW), IF(_xlpm.result=0,"",_xlpm.result))</f>
        <v/>
      </c>
      <c r="O316" s="2" t="str">
        <f>_xlfn.LET(_xlpm.result, _xlfn.XLOOKUP($A316,'EA-Fortescue_SDExport'!$A:$A,'EA-Fortescue_SDExport'!AV:AV), IF(_xlpm.result=0,"",_xlpm.result))</f>
        <v/>
      </c>
      <c r="P316" s="2" t="str">
        <f>_xlfn.LET(_xlpm.result, _xlfn.XLOOKUP($A316,'EA-Fortescue_SDExport'!$A:$A,'EA-Fortescue_SDExport'!D:D), IF(_xlpm.result=0,"",_xlpm.result))</f>
        <v/>
      </c>
      <c r="Q316" s="2" t="str">
        <f>_xlfn.LET(
    _xlpm.status, _xlfn.XLOOKUP($A316,'EA-ConnectorExport'!$A:$A,'EA-ConnectorExport'!G:G),
    _xlpm.result, _xlfn.XLOOKUP($A316,'EA-ConnectorExport'!$A:$A,'EA-ConnectorExport'!B:B),
    IF(_xlpm.status="allocate", _xlpm.result, "")
)</f>
        <v>855DC-1543-008 Monarch</v>
      </c>
      <c r="R316" s="2" t="str">
        <f>IF(
    _xlfn.XLOOKUP($Q316,'EA-Fortescue_SDExport'!A:A,'EA-Fortescue_SDExport'!B:B)="Object",
    _xlfn.XLOOKUP(
        _xlfn.XLOOKUP($A316,'EA-ConnectorExport'!A:A,'EA-ConnectorExport'!D:D),
        'EA-Fortescue_SDExport'!A:A,
        'EA-Fortescue_SDExport'!AA:AA
    ),
    _xlfn.XLOOKUP($Q316,'EA-Fortescue_SDExport'!A:A,'EA-Fortescue_SDExport'!AA:AA)
)</f>
        <v>Project</v>
      </c>
      <c r="S316" s="2" t="str">
        <f>_xlfn.LET(_xlpm.result, _xlfn.XLOOKUP($Q316,'EA-Fortescue_SDExport'!$A:$A,'EA-Fortescue_SDExport'!AB:AB), IF(_xlpm.result=0,"",_xlpm.result))</f>
        <v>Energy Operations</v>
      </c>
      <c r="T316" s="2" t="str">
        <f>_xlfn.LET(_xlpm.result, _xlfn.XLOOKUP($Q316,'EA-Fortescue_SDExport'!$A:$A,'EA-Fortescue_SDExport'!AC:AC), IF(_xlpm.result=0,"",_xlpm.result))</f>
        <v/>
      </c>
      <c r="U316" s="2" t="str">
        <f>_xlfn.LET(
    _xlpm.isObject, _xlfn.XLOOKUP($Q316,'EA-Fortescue_SDExport'!A:A,'EA-Fortescue_SDExport'!B:B),
    _xlpm.lookupKey, IF(_xlpm.isObject="Object",
        _xlfn.XLOOKUP($A316,'EA-ConnectorExport'!A:A,'EA-ConnectorExport'!D:D),
        $Q316
    ),
    _xlpm.result, _xlfn.XLOOKUP(_xlpm.lookupKey,'EA-Fortescue_SDExport'!A:A,'EA-Fortescue_SDExport'!AD:AD),
    IF(_xlpm.result=0,"",_xlpm.result)
)</f>
        <v>855DC Decarb Green Systems</v>
      </c>
      <c r="V316" s="2" t="str">
        <f>_xlfn.LET(
    _xlpm.isObject, _xlfn.XLOOKUP($Q316,'EA-Fortescue_SDExport'!A:A,'EA-Fortescue_SDExport'!B:B),
    _xlpm.lookupKey, IF(_xlpm.isObject="Object",
        _xlfn.XLOOKUP($A316,'EA-ConnectorExport'!A:A,'EA-ConnectorExport'!D:D),
        $Q316
    ),
    _xlpm.result, _xlfn.XLOOKUP(_xlpm.lookupKey,'EA-Fortescue_SDExport'!A:A,'EA-Fortescue_SDExport'!AE:AE),
    IF(_xlpm.result=0,"",_xlpm.result)
)</f>
        <v>855DC-1543 Existing Systems - Green Enhancement</v>
      </c>
      <c r="W316" s="2" t="str">
        <f>_xlfn.LET(
    _xlpm.isObject, _xlfn.XLOOKUP($Q316,'EA-Fortescue_SDExport'!A:A,'EA-Fortescue_SDExport'!B:B),
    _xlpm.lookupKey, IF(_xlpm.isObject="Object",
        _xlfn.XLOOKUP($A316,'EA-ConnectorExport'!A:A,'EA-ConnectorExport'!D:D),
        $Q316
    ),
    _xlpm.result, _xlfn.XLOOKUP(_xlpm.lookupKey,'EA-Fortescue_SDExport'!A:A,'EA-Fortescue_SDExport'!AF:AF),
    IF(_xlpm.result=0,"",_xlpm.result)
)</f>
        <v>855DC-1543-008 Monarch</v>
      </c>
      <c r="X316" s="2" t="str">
        <f>_xlfn.LET(
    _xlpm.isObject, _xlfn.XLOOKUP($Q316,'EA-Fortescue_SDExport'!A:A,'EA-Fortescue_SDExport'!B:B),
    _xlpm.lookupKey, IF(_xlpm.isObject="Object",
        _xlfn.XLOOKUP($A316,'EA-ConnectorExport'!A:A,'EA-ConnectorExport'!D:D),
        $Q316
    ),
    _xlpm.result, _xlfn.XLOOKUP(_xlpm.lookupKey,'EA-Fortescue_SDExport'!A:A,'EA-Fortescue_SDExport'!AG:AG),
    IF(_xlpm.result=0,"",_xlpm.result)
)</f>
        <v/>
      </c>
      <c r="Y316" s="2" t="str">
        <f>_xlfn.LET(
    _xlpm.status, _xlfn.XLOOKUP($A316,'EA-ConnectorExport'!$A:$A,'EA-ConnectorExport'!G:G),
    _xlpm.result, _xlfn.XLOOKUP($A316,'EA-ConnectorExport'!$A:$A,'EA-ConnectorExport'!H:H),
    IF(_xlpm.status="allocate", _xlpm.result, "")
)</f>
        <v>Eliwana Mine: Substation (33kV)</v>
      </c>
      <c r="Z316" s="2" t="str">
        <f>_xlfn.LET(
    _xlpm.isObject, _xlfn.XLOOKUP($Y316,'EA-Fortescue_SDExport'!A:A,'EA-Fortescue_SDExport'!B:B),
    _xlpm.lookupKey, IF(_xlpm.isObject="Object",
        _xlfn.XLOOKUP($A316,'EA-ConnectorExport'!A:A,'EA-ConnectorExport'!J:J),
        $Y316
    ),
    _xlpm.result, _xlfn.XLOOKUP(_xlpm.lookupKey,'EA-Fortescue_SDExport'!A:A,'EA-Fortescue_SDExport'!AA:AA),
    IF(_xlpm.result=0,"",_xlpm.result)
)</f>
        <v>Project</v>
      </c>
      <c r="AA316" s="2" t="str">
        <f>_xlfn.LET(_xlpm.result, _xlfn.XLOOKUP($Y316,'EA-Fortescue_SDExport'!$A:$A,'EA-Fortescue_SDExport'!AB:AB), IF(_xlpm.result=0,"",_xlpm.result))</f>
        <v/>
      </c>
      <c r="AB316" s="2" t="str">
        <f>_xlfn.LET(_xlpm.result, _xlfn.XLOOKUP($Y316,'EA-Fortescue_SDExport'!$A:$A,'EA-Fortescue_SDExport'!AC:AC), IF(_xlpm.result=0,"",_xlpm.result))</f>
        <v>Eliwana Mine</v>
      </c>
      <c r="AC316" s="2" t="str">
        <f>_xlfn.LET(
    _xlpm.isObject, _xlfn.XLOOKUP($Y316,'EA-Fortescue_SDExport'!A:A,'EA-Fortescue_SDExport'!B:B),
    _xlpm.lookupKey, IF(_xlpm.isObject="Object",
        _xlfn.XLOOKUP($A316,'EA-ConnectorExport'!A:A,'EA-ConnectorExport'!J:J),
        $Y316
    ),
    _xlpm.result, _xlfn.XLOOKUP(_xlpm.lookupKey,'EA-Fortescue_SDExport'!A:A,'EA-Fortescue_SDExport'!AD:AD),
    IF(_xlpm.result=0,"",_xlpm.result)
)</f>
        <v>854DC Green Power</v>
      </c>
      <c r="AD316" s="2" t="str">
        <f>_xlfn.LET(
    _xlpm.isObject, _xlfn.XLOOKUP($Y316,'EA-Fortescue_SDExport'!A:A,'EA-Fortescue_SDExport'!B:B),
    _xlpm.lookupKey, IF(_xlpm.isObject="Object",
        _xlfn.XLOOKUP($A316,'EA-ConnectorExport'!A:A,'EA-ConnectorExport'!J:J),
        $Y316
    ),
    _xlpm.result, _xlfn.XLOOKUP(_xlpm.lookupKey,'EA-Fortescue_SDExport'!A:A,'EA-Fortescue_SDExport'!AE:AE),
    IF(_xlpm.result=0,"",_xlpm.result)
)</f>
        <v>854DC-1521 HV Substations</v>
      </c>
      <c r="AE316" s="2" t="str">
        <f>_xlfn.LET(
    _xlpm.isObject, _xlfn.XLOOKUP($Y316,'EA-Fortescue_SDExport'!A:A,'EA-Fortescue_SDExport'!B:B),
    _xlpm.lookupKey, IF(_xlpm.isObject="Object",
        _xlfn.XLOOKUP($A316,'EA-ConnectorExport'!A:A,'EA-ConnectorExport'!J:J),
        $Y316
    ),
    _xlpm.result, _xlfn.XLOOKUP(_xlpm.lookupKey,'EA-Fortescue_SDExport'!A:A,'EA-Fortescue_SDExport'!AF:AF),
    IF(_xlpm.result=0,"",_xlpm.result)
)</f>
        <v>854DC-1521-0001 Substation (33kV)</v>
      </c>
      <c r="AF316" s="2" t="str">
        <f>_xlfn.LET(
    _xlpm.isObject, _xlfn.XLOOKUP($Y316,'EA-Fortescue_SDExport'!A:A,'EA-Fortescue_SDExport'!B:B),
    _xlpm.lookupKey, IF(_xlpm.isObject="Object",
        _xlfn.XLOOKUP($A316,'EA-ConnectorExport'!A:A,'EA-ConnectorExport'!J:J),
        $Y316
    ),
    _xlpm.result, _xlfn.XLOOKUP(_xlpm.lookupKey,'EA-Fortescue_SDExport'!A:A,'EA-Fortescue_SDExport'!AG:AG),
    IF(_xlpm.result=0,"",_xlpm.result)
)</f>
        <v/>
      </c>
    </row>
    <row r="317" spans="1:32" ht="60" x14ac:dyDescent="0.25">
      <c r="A317" s="2" t="str">
        <v>DGS-I_0316</v>
      </c>
      <c r="B317" s="2" t="str">
        <f t="shared" si="16"/>
        <v>855DC-1543-008 Monarch|Flying Fish Mine: Substation (33kV)</v>
      </c>
      <c r="C317" s="2" t="str">
        <f>_xlfn.LET(_xlpm.result, _xlfn.XLOOKUP(A317,'EA-Fortescue_SDExport'!A:A,'EA-Fortescue_SDExport'!AM:AM), IF(_xlpm.result=0,"",_xlpm.result))</f>
        <v/>
      </c>
      <c r="D317" s="2" t="str">
        <f>_xlfn.LET(_xlpm.result, _xlfn.XLOOKUP(A317,'EA-Fortescue_SDExport'!A:A,'EA-Fortescue_SDExport'!AN:AN), IF(_xlpm.result=0,"",_xlpm.result))</f>
        <v/>
      </c>
      <c r="E317" s="2" t="str">
        <f>_xlfn.XLOOKUP(R317&amp;Z317,Lookups!A:A,Lookups!B:B)</f>
        <v>Project - Project Interface</v>
      </c>
      <c r="F317" s="2" t="str">
        <f>_xlfn.LET(_xlpm.result, _xlfn.XLOOKUP(A317,'EA-Fortescue_SDExport'!A:A,'EA-Fortescue_SDExport'!AP:AP), IF(_xlpm.result=0,"",_xlpm.result))</f>
        <v/>
      </c>
      <c r="G317" s="2" t="str">
        <f>IF(OR(AND(T317&lt;&gt;"", COUNTIF(Lookups!J:J, "*"&amp;T317&amp;"*")&gt;0), AND(AB317&lt;&gt;"", COUNTIF(Lookups!J:J, "*"&amp;AB317&amp;"*")&gt;0)), "Yes", "No")</f>
        <v>Yes</v>
      </c>
      <c r="H317" s="2" t="str">
        <f t="shared" si="17"/>
        <v>855DC Decarb Green Systems|854DC Green Power</v>
      </c>
      <c r="I317" s="2" t="str">
        <f t="shared" si="18"/>
        <v>855DC-1543 Existing Systems - Green Enhancement|854DC-1521 HV Substations</v>
      </c>
      <c r="J317" s="2" t="str">
        <f t="shared" si="19"/>
        <v>855DC-1543-008 Monarch|854DC-1521-0001 Substation (33kV)</v>
      </c>
      <c r="K317" s="2" t="str">
        <f>_xlfn.XLOOKUP(A317,'EA-Fortescue_SDExport'!A:A,'EA-Fortescue_SDExport'!N:N)</f>
        <v>Proposed</v>
      </c>
      <c r="L317" s="2" t="str">
        <f>_xlfn.LET(_xlpm.result, _xlfn.XLOOKUP($A317,'EA-Fortescue_SDExport'!$A:$A,'EA-Fortescue_SDExport'!AQ:AQ), IF(_xlpm.result=0,"",_xlpm.result))</f>
        <v/>
      </c>
      <c r="M317" s="2" t="str">
        <f>_xlfn.LET(_xlpm.result, _xlfn.XLOOKUP($A317,'EA-Fortescue_SDExport'!$A:$A,'EA-Fortescue_SDExport'!AR:AR), IF(_xlpm.result=0,"",_xlpm.result))</f>
        <v/>
      </c>
      <c r="N317" s="2" t="str">
        <f>_xlfn.LET(_xlpm.result, _xlfn.XLOOKUP($A317,'EA-Fortescue_SDExport'!$A:$A,'EA-Fortescue_SDExport'!AW:AW), IF(_xlpm.result=0,"",_xlpm.result))</f>
        <v/>
      </c>
      <c r="O317" s="2" t="str">
        <f>_xlfn.LET(_xlpm.result, _xlfn.XLOOKUP($A317,'EA-Fortescue_SDExport'!$A:$A,'EA-Fortescue_SDExport'!AV:AV), IF(_xlpm.result=0,"",_xlpm.result))</f>
        <v/>
      </c>
      <c r="P317" s="2" t="str">
        <f>_xlfn.LET(_xlpm.result, _xlfn.XLOOKUP($A317,'EA-Fortescue_SDExport'!$A:$A,'EA-Fortescue_SDExport'!D:D), IF(_xlpm.result=0,"",_xlpm.result))</f>
        <v/>
      </c>
      <c r="Q317" s="2" t="str">
        <f>_xlfn.LET(
    _xlpm.status, _xlfn.XLOOKUP($A317,'EA-ConnectorExport'!$A:$A,'EA-ConnectorExport'!G:G),
    _xlpm.result, _xlfn.XLOOKUP($A317,'EA-ConnectorExport'!$A:$A,'EA-ConnectorExport'!B:B),
    IF(_xlpm.status="allocate", _xlpm.result, "")
)</f>
        <v>855DC-1543-008 Monarch</v>
      </c>
      <c r="R317" s="2" t="str">
        <f>IF(
    _xlfn.XLOOKUP($Q317,'EA-Fortescue_SDExport'!A:A,'EA-Fortescue_SDExport'!B:B)="Object",
    _xlfn.XLOOKUP(
        _xlfn.XLOOKUP($A317,'EA-ConnectorExport'!A:A,'EA-ConnectorExport'!D:D),
        'EA-Fortescue_SDExport'!A:A,
        'EA-Fortescue_SDExport'!AA:AA
    ),
    _xlfn.XLOOKUP($Q317,'EA-Fortescue_SDExport'!A:A,'EA-Fortescue_SDExport'!AA:AA)
)</f>
        <v>Project</v>
      </c>
      <c r="S317" s="2" t="str">
        <f>_xlfn.LET(_xlpm.result, _xlfn.XLOOKUP($Q317,'EA-Fortescue_SDExport'!$A:$A,'EA-Fortescue_SDExport'!AB:AB), IF(_xlpm.result=0,"",_xlpm.result))</f>
        <v>Energy Operations</v>
      </c>
      <c r="T317" s="2" t="str">
        <f>_xlfn.LET(_xlpm.result, _xlfn.XLOOKUP($Q317,'EA-Fortescue_SDExport'!$A:$A,'EA-Fortescue_SDExport'!AC:AC), IF(_xlpm.result=0,"",_xlpm.result))</f>
        <v/>
      </c>
      <c r="U317" s="2" t="str">
        <f>_xlfn.LET(
    _xlpm.isObject, _xlfn.XLOOKUP($Q317,'EA-Fortescue_SDExport'!A:A,'EA-Fortescue_SDExport'!B:B),
    _xlpm.lookupKey, IF(_xlpm.isObject="Object",
        _xlfn.XLOOKUP($A317,'EA-ConnectorExport'!A:A,'EA-ConnectorExport'!D:D),
        $Q317
    ),
    _xlpm.result, _xlfn.XLOOKUP(_xlpm.lookupKey,'EA-Fortescue_SDExport'!A:A,'EA-Fortescue_SDExport'!AD:AD),
    IF(_xlpm.result=0,"",_xlpm.result)
)</f>
        <v>855DC Decarb Green Systems</v>
      </c>
      <c r="V317" s="2" t="str">
        <f>_xlfn.LET(
    _xlpm.isObject, _xlfn.XLOOKUP($Q317,'EA-Fortescue_SDExport'!A:A,'EA-Fortescue_SDExport'!B:B),
    _xlpm.lookupKey, IF(_xlpm.isObject="Object",
        _xlfn.XLOOKUP($A317,'EA-ConnectorExport'!A:A,'EA-ConnectorExport'!D:D),
        $Q317
    ),
    _xlpm.result, _xlfn.XLOOKUP(_xlpm.lookupKey,'EA-Fortescue_SDExport'!A:A,'EA-Fortescue_SDExport'!AE:AE),
    IF(_xlpm.result=0,"",_xlpm.result)
)</f>
        <v>855DC-1543 Existing Systems - Green Enhancement</v>
      </c>
      <c r="W317" s="2" t="str">
        <f>_xlfn.LET(
    _xlpm.isObject, _xlfn.XLOOKUP($Q317,'EA-Fortescue_SDExport'!A:A,'EA-Fortescue_SDExport'!B:B),
    _xlpm.lookupKey, IF(_xlpm.isObject="Object",
        _xlfn.XLOOKUP($A317,'EA-ConnectorExport'!A:A,'EA-ConnectorExport'!D:D),
        $Q317
    ),
    _xlpm.result, _xlfn.XLOOKUP(_xlpm.lookupKey,'EA-Fortescue_SDExport'!A:A,'EA-Fortescue_SDExport'!AF:AF),
    IF(_xlpm.result=0,"",_xlpm.result)
)</f>
        <v>855DC-1543-008 Monarch</v>
      </c>
      <c r="X317" s="2" t="str">
        <f>_xlfn.LET(
    _xlpm.isObject, _xlfn.XLOOKUP($Q317,'EA-Fortescue_SDExport'!A:A,'EA-Fortescue_SDExport'!B:B),
    _xlpm.lookupKey, IF(_xlpm.isObject="Object",
        _xlfn.XLOOKUP($A317,'EA-ConnectorExport'!A:A,'EA-ConnectorExport'!D:D),
        $Q317
    ),
    _xlpm.result, _xlfn.XLOOKUP(_xlpm.lookupKey,'EA-Fortescue_SDExport'!A:A,'EA-Fortescue_SDExport'!AG:AG),
    IF(_xlpm.result=0,"",_xlpm.result)
)</f>
        <v/>
      </c>
      <c r="Y317" s="2" t="str">
        <f>_xlfn.LET(
    _xlpm.status, _xlfn.XLOOKUP($A317,'EA-ConnectorExport'!$A:$A,'EA-ConnectorExport'!G:G),
    _xlpm.result, _xlfn.XLOOKUP($A317,'EA-ConnectorExport'!$A:$A,'EA-ConnectorExport'!H:H),
    IF(_xlpm.status="allocate", _xlpm.result, "")
)</f>
        <v>Flying Fish Mine: Substation (33kV)</v>
      </c>
      <c r="Z317" s="2" t="str">
        <f>_xlfn.LET(
    _xlpm.isObject, _xlfn.XLOOKUP($Y317,'EA-Fortescue_SDExport'!A:A,'EA-Fortescue_SDExport'!B:B),
    _xlpm.lookupKey, IF(_xlpm.isObject="Object",
        _xlfn.XLOOKUP($A317,'EA-ConnectorExport'!A:A,'EA-ConnectorExport'!J:J),
        $Y317
    ),
    _xlpm.result, _xlfn.XLOOKUP(_xlpm.lookupKey,'EA-Fortescue_SDExport'!A:A,'EA-Fortescue_SDExport'!AA:AA),
    IF(_xlpm.result=0,"",_xlpm.result)
)</f>
        <v>Project</v>
      </c>
      <c r="AA317" s="2" t="str">
        <f>_xlfn.LET(_xlpm.result, _xlfn.XLOOKUP($Y317,'EA-Fortescue_SDExport'!$A:$A,'EA-Fortescue_SDExport'!AB:AB), IF(_xlpm.result=0,"",_xlpm.result))</f>
        <v/>
      </c>
      <c r="AB317" s="2" t="str">
        <f>_xlfn.LET(_xlpm.result, _xlfn.XLOOKUP($Y317,'EA-Fortescue_SDExport'!$A:$A,'EA-Fortescue_SDExport'!AC:AC), IF(_xlpm.result=0,"",_xlpm.result))</f>
        <v>Flying Fish Mine</v>
      </c>
      <c r="AC317" s="2" t="str">
        <f>_xlfn.LET(
    _xlpm.isObject, _xlfn.XLOOKUP($Y317,'EA-Fortescue_SDExport'!A:A,'EA-Fortescue_SDExport'!B:B),
    _xlpm.lookupKey, IF(_xlpm.isObject="Object",
        _xlfn.XLOOKUP($A317,'EA-ConnectorExport'!A:A,'EA-ConnectorExport'!J:J),
        $Y317
    ),
    _xlpm.result, _xlfn.XLOOKUP(_xlpm.lookupKey,'EA-Fortescue_SDExport'!A:A,'EA-Fortescue_SDExport'!AD:AD),
    IF(_xlpm.result=0,"",_xlpm.result)
)</f>
        <v>854DC Green Power</v>
      </c>
      <c r="AD317" s="2" t="str">
        <f>_xlfn.LET(
    _xlpm.isObject, _xlfn.XLOOKUP($Y317,'EA-Fortescue_SDExport'!A:A,'EA-Fortescue_SDExport'!B:B),
    _xlpm.lookupKey, IF(_xlpm.isObject="Object",
        _xlfn.XLOOKUP($A317,'EA-ConnectorExport'!A:A,'EA-ConnectorExport'!J:J),
        $Y317
    ),
    _xlpm.result, _xlfn.XLOOKUP(_xlpm.lookupKey,'EA-Fortescue_SDExport'!A:A,'EA-Fortescue_SDExport'!AE:AE),
    IF(_xlpm.result=0,"",_xlpm.result)
)</f>
        <v>854DC-1521 HV Substations</v>
      </c>
      <c r="AE317" s="2" t="str">
        <f>_xlfn.LET(
    _xlpm.isObject, _xlfn.XLOOKUP($Y317,'EA-Fortescue_SDExport'!A:A,'EA-Fortescue_SDExport'!B:B),
    _xlpm.lookupKey, IF(_xlpm.isObject="Object",
        _xlfn.XLOOKUP($A317,'EA-ConnectorExport'!A:A,'EA-ConnectorExport'!J:J),
        $Y317
    ),
    _xlpm.result, _xlfn.XLOOKUP(_xlpm.lookupKey,'EA-Fortescue_SDExport'!A:A,'EA-Fortescue_SDExport'!AF:AF),
    IF(_xlpm.result=0,"",_xlpm.result)
)</f>
        <v>854DC-1521-0001 Substation (33kV)</v>
      </c>
      <c r="AF317" s="2" t="str">
        <f>_xlfn.LET(
    _xlpm.isObject, _xlfn.XLOOKUP($Y317,'EA-Fortescue_SDExport'!A:A,'EA-Fortescue_SDExport'!B:B),
    _xlpm.lookupKey, IF(_xlpm.isObject="Object",
        _xlfn.XLOOKUP($A317,'EA-ConnectorExport'!A:A,'EA-ConnectorExport'!J:J),
        $Y317
    ),
    _xlpm.result, _xlfn.XLOOKUP(_xlpm.lookupKey,'EA-Fortescue_SDExport'!A:A,'EA-Fortescue_SDExport'!AG:AG),
    IF(_xlpm.result=0,"",_xlpm.result)
)</f>
        <v/>
      </c>
    </row>
    <row r="318" spans="1:32" ht="240" x14ac:dyDescent="0.25">
      <c r="A318" s="2" t="str">
        <v>DGS-I_0317</v>
      </c>
      <c r="B318" s="2" t="str">
        <f t="shared" si="16"/>
        <v>Decarbonisation Site Infrastructure Projects|855DC-1543-PPC Pit Power Capacity Planning Tool - Capacity Check</v>
      </c>
      <c r="C318" s="2" t="str">
        <f>_xlfn.LET(_xlpm.result, _xlfn.XLOOKUP(A318,'EA-Fortescue_SDExport'!A:A,'EA-Fortescue_SDExport'!AM:AM), IF(_xlpm.result=0,"",_xlpm.result))</f>
        <v/>
      </c>
      <c r="D318" s="2" t="str">
        <f>_xlfn.LET(_xlpm.result, _xlfn.XLOOKUP(A318,'EA-Fortescue_SDExport'!A:A,'EA-Fortescue_SDExport'!AN:AN), IF(_xlpm.result=0,"",_xlpm.result))</f>
        <v/>
      </c>
      <c r="E318" s="2" t="str">
        <f>_xlfn.XLOOKUP(R318&amp;Z318,Lookups!A:A,Lookups!B:B)</f>
        <v>Stakeholder - Project Interface</v>
      </c>
      <c r="F318" s="2" t="str">
        <f>_xlfn.LET(_xlpm.result, _xlfn.XLOOKUP(A318,'EA-Fortescue_SDExport'!A:A,'EA-Fortescue_SDExport'!AP:AP), IF(_xlpm.result=0,"",_xlpm.result))</f>
        <v/>
      </c>
      <c r="G318" s="2" t="str">
        <f>IF(OR(AND(T318&lt;&gt;"", COUNTIF(Lookups!J:J, "*"&amp;T318&amp;"*")&gt;0), AND(AB318&lt;&gt;"", COUNTIF(Lookups!J:J, "*"&amp;AB318&amp;"*")&gt;0)), "Yes", "No")</f>
        <v>No</v>
      </c>
      <c r="H318" s="2" t="str">
        <f t="shared" si="17"/>
        <v>N/A|855DC Decarb Green Systems</v>
      </c>
      <c r="I318" s="2" t="str">
        <f t="shared" si="18"/>
        <v>N/A</v>
      </c>
      <c r="J318" s="2" t="str">
        <f t="shared" si="19"/>
        <v>N/A|855DC-1543-PPC Pit Power Capacity Planning Tool - Capacity Check</v>
      </c>
      <c r="K318" s="2" t="str">
        <f>_xlfn.XLOOKUP(A318,'EA-Fortescue_SDExport'!A:A,'EA-Fortescue_SDExport'!N:N)</f>
        <v>Proposed</v>
      </c>
      <c r="L318" s="2" t="str">
        <f>_xlfn.LET(_xlpm.result, _xlfn.XLOOKUP($A318,'EA-Fortescue_SDExport'!$A:$A,'EA-Fortescue_SDExport'!AQ:AQ), IF(_xlpm.result=0,"",_xlpm.result))</f>
        <v/>
      </c>
      <c r="M318" s="2" t="str">
        <f>_xlfn.LET(_xlpm.result, _xlfn.XLOOKUP($A318,'EA-Fortescue_SDExport'!$A:$A,'EA-Fortescue_SDExport'!AR:AR), IF(_xlpm.result=0,"",_xlpm.result))</f>
        <v/>
      </c>
      <c r="N318" s="2" t="str">
        <f>_xlfn.LET(_xlpm.result, _xlfn.XLOOKUP($A318,'EA-Fortescue_SDExport'!$A:$A,'EA-Fortescue_SDExport'!AW:AW), IF(_xlpm.result=0,"",_xlpm.result))</f>
        <v/>
      </c>
      <c r="O318" s="2" t="str">
        <f>_xlfn.LET(_xlpm.result, _xlfn.XLOOKUP($A318,'EA-Fortescue_SDExport'!$A:$A,'EA-Fortescue_SDExport'!AV:AV), IF(_xlpm.result=0,"",_xlpm.result))</f>
        <v/>
      </c>
      <c r="P318" s="2" t="str">
        <f>_xlfn.LET(_xlpm.result, _xlfn.XLOOKUP($A318,'EA-Fortescue_SDExport'!$A:$A,'EA-Fortescue_SDExport'!D:D),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318" s="2" t="str">
        <f>_xlfn.LET(
    _xlpm.status, _xlfn.XLOOKUP($A318,'EA-ConnectorExport'!$A:$A,'EA-ConnectorExport'!G:G),
    _xlpm.result, _xlfn.XLOOKUP($A318,'EA-ConnectorExport'!$A:$A,'EA-ConnectorExport'!B:B),
    IF(_xlpm.status="allocate", _xlpm.result, "")
)</f>
        <v>Decarbonisation Site Infrastructure Projects</v>
      </c>
      <c r="R318" s="2" t="str">
        <f>IF(
    _xlfn.XLOOKUP($Q318,'EA-Fortescue_SDExport'!A:A,'EA-Fortescue_SDExport'!B:B)="Object",
    _xlfn.XLOOKUP(
        _xlfn.XLOOKUP($A318,'EA-ConnectorExport'!A:A,'EA-ConnectorExport'!D:D),
        'EA-Fortescue_SDExport'!A:A,
        'EA-Fortescue_SDExport'!AA:AA
    ),
    _xlfn.XLOOKUP($Q318,'EA-Fortescue_SDExport'!A:A,'EA-Fortescue_SDExport'!AA:AA)
)</f>
        <v>Stakeholder</v>
      </c>
      <c r="S318" s="2" t="str">
        <f>_xlfn.LET(_xlpm.result, _xlfn.XLOOKUP($Q318,'EA-Fortescue_SDExport'!$A:$A,'EA-Fortescue_SDExport'!AB:AB), IF(_xlpm.result=0,"",_xlpm.result))</f>
        <v/>
      </c>
      <c r="T318" s="2" t="str">
        <f>_xlfn.LET(_xlpm.result, _xlfn.XLOOKUP($Q318,'EA-Fortescue_SDExport'!$A:$A,'EA-Fortescue_SDExport'!AC:AC), IF(_xlpm.result=0,"",_xlpm.result))</f>
        <v/>
      </c>
      <c r="U318" s="2" t="str">
        <f>_xlfn.LET(
    _xlpm.isObject, _xlfn.XLOOKUP($Q318,'EA-Fortescue_SDExport'!A:A,'EA-Fortescue_SDExport'!B:B),
    _xlpm.lookupKey, IF(_xlpm.isObject="Object",
        _xlfn.XLOOKUP($A318,'EA-ConnectorExport'!A:A,'EA-ConnectorExport'!D:D),
        $Q318
    ),
    _xlpm.result, _xlfn.XLOOKUP(_xlpm.lookupKey,'EA-Fortescue_SDExport'!A:A,'EA-Fortescue_SDExport'!AD:AD),
    IF(_xlpm.result=0,"",_xlpm.result)
)</f>
        <v/>
      </c>
      <c r="V318" s="2" t="str">
        <f>_xlfn.LET(
    _xlpm.isObject, _xlfn.XLOOKUP($Q318,'EA-Fortescue_SDExport'!A:A,'EA-Fortescue_SDExport'!B:B),
    _xlpm.lookupKey, IF(_xlpm.isObject="Object",
        _xlfn.XLOOKUP($A318,'EA-ConnectorExport'!A:A,'EA-ConnectorExport'!D:D),
        $Q318
    ),
    _xlpm.result, _xlfn.XLOOKUP(_xlpm.lookupKey,'EA-Fortescue_SDExport'!A:A,'EA-Fortescue_SDExport'!AE:AE),
    IF(_xlpm.result=0,"",_xlpm.result)
)</f>
        <v/>
      </c>
      <c r="W318" s="2" t="str">
        <f>_xlfn.LET(
    _xlpm.isObject, _xlfn.XLOOKUP($Q318,'EA-Fortescue_SDExport'!A:A,'EA-Fortescue_SDExport'!B:B),
    _xlpm.lookupKey, IF(_xlpm.isObject="Object",
        _xlfn.XLOOKUP($A318,'EA-ConnectorExport'!A:A,'EA-ConnectorExport'!D:D),
        $Q318
    ),
    _xlpm.result, _xlfn.XLOOKUP(_xlpm.lookupKey,'EA-Fortescue_SDExport'!A:A,'EA-Fortescue_SDExport'!AF:AF),
    IF(_xlpm.result=0,"",_xlpm.result)
)</f>
        <v/>
      </c>
      <c r="X318" s="2" t="str">
        <f>_xlfn.LET(
    _xlpm.isObject, _xlfn.XLOOKUP($Q318,'EA-Fortescue_SDExport'!A:A,'EA-Fortescue_SDExport'!B:B),
    _xlpm.lookupKey, IF(_xlpm.isObject="Object",
        _xlfn.XLOOKUP($A318,'EA-ConnectorExport'!A:A,'EA-ConnectorExport'!D:D),
        $Q318
    ),
    _xlpm.result, _xlfn.XLOOKUP(_xlpm.lookupKey,'EA-Fortescue_SDExport'!A:A,'EA-Fortescue_SDExport'!AG:AG),
    IF(_xlpm.result=0,"",_xlpm.result)
)</f>
        <v/>
      </c>
      <c r="Y318" s="2" t="str">
        <f>_xlfn.LET(
    _xlpm.status, _xlfn.XLOOKUP($A318,'EA-ConnectorExport'!$A:$A,'EA-ConnectorExport'!G:G),
    _xlpm.result, _xlfn.XLOOKUP($A318,'EA-ConnectorExport'!$A:$A,'EA-ConnectorExport'!H:H),
    IF(_xlpm.status="allocate", _xlpm.result, "")
)</f>
        <v>855DC-1543-PPC Pit Power Capacity Planning Tool - Capacity Check</v>
      </c>
      <c r="Z318" s="2" t="str">
        <f>_xlfn.LET(
    _xlpm.isObject, _xlfn.XLOOKUP($Y318,'EA-Fortescue_SDExport'!A:A,'EA-Fortescue_SDExport'!B:B),
    _xlpm.lookupKey, IF(_xlpm.isObject="Object",
        _xlfn.XLOOKUP($A318,'EA-ConnectorExport'!A:A,'EA-ConnectorExport'!J:J),
        $Y318
    ),
    _xlpm.result, _xlfn.XLOOKUP(_xlpm.lookupKey,'EA-Fortescue_SDExport'!A:A,'EA-Fortescue_SDExport'!AA:AA),
    IF(_xlpm.result=0,"",_xlpm.result)
)</f>
        <v>Project</v>
      </c>
      <c r="AA318" s="2" t="str">
        <f>_xlfn.LET(_xlpm.result, _xlfn.XLOOKUP($Y318,'EA-Fortescue_SDExport'!$A:$A,'EA-Fortescue_SDExport'!AB:AB), IF(_xlpm.result=0,"",_xlpm.result))</f>
        <v>Operations Planning</v>
      </c>
      <c r="AB318" s="2" t="str">
        <f>_xlfn.LET(_xlpm.result, _xlfn.XLOOKUP($Y318,'EA-Fortescue_SDExport'!$A:$A,'EA-Fortescue_SDExport'!AC:AC), IF(_xlpm.result=0,"",_xlpm.result))</f>
        <v>AWS Fortescue Infrastructure</v>
      </c>
      <c r="AC318" s="2" t="str">
        <f>_xlfn.LET(
    _xlpm.isObject, _xlfn.XLOOKUP($Y318,'EA-Fortescue_SDExport'!A:A,'EA-Fortescue_SDExport'!B:B),
    _xlpm.lookupKey, IF(_xlpm.isObject="Object",
        _xlfn.XLOOKUP($A318,'EA-ConnectorExport'!A:A,'EA-ConnectorExport'!J:J),
        $Y318
    ),
    _xlpm.result, _xlfn.XLOOKUP(_xlpm.lookupKey,'EA-Fortescue_SDExport'!A:A,'EA-Fortescue_SDExport'!AD:AD),
    IF(_xlpm.result=0,"",_xlpm.result)
)</f>
        <v>855DC Decarb Green Systems</v>
      </c>
      <c r="AD318" s="2" t="str">
        <f>_xlfn.LET(
    _xlpm.isObject, _xlfn.XLOOKUP($Y318,'EA-Fortescue_SDExport'!A:A,'EA-Fortescue_SDExport'!B:B),
    _xlpm.lookupKey, IF(_xlpm.isObject="Object",
        _xlfn.XLOOKUP($A318,'EA-ConnectorExport'!A:A,'EA-ConnectorExport'!J:J),
        $Y318
    ),
    _xlpm.result, _xlfn.XLOOKUP(_xlpm.lookupKey,'EA-Fortescue_SDExport'!A:A,'EA-Fortescue_SDExport'!AE:AE),
    IF(_xlpm.result=0,"",_xlpm.result)
)</f>
        <v/>
      </c>
      <c r="AE318" s="2" t="str">
        <f>_xlfn.LET(
    _xlpm.isObject, _xlfn.XLOOKUP($Y318,'EA-Fortescue_SDExport'!A:A,'EA-Fortescue_SDExport'!B:B),
    _xlpm.lookupKey, IF(_xlpm.isObject="Object",
        _xlfn.XLOOKUP($A318,'EA-ConnectorExport'!A:A,'EA-ConnectorExport'!J:J),
        $Y318
    ),
    _xlpm.result, _xlfn.XLOOKUP(_xlpm.lookupKey,'EA-Fortescue_SDExport'!A:A,'EA-Fortescue_SDExport'!AF:AF),
    IF(_xlpm.result=0,"",_xlpm.result)
)</f>
        <v>855DC-1543-PPC Pit Power Capacity Planning Tool - Capacity Check</v>
      </c>
      <c r="AF318" s="2" t="str">
        <f>_xlfn.LET(
    _xlpm.isObject, _xlfn.XLOOKUP($Y318,'EA-Fortescue_SDExport'!A:A,'EA-Fortescue_SDExport'!B:B),
    _xlpm.lookupKey, IF(_xlpm.isObject="Object",
        _xlfn.XLOOKUP($A318,'EA-ConnectorExport'!A:A,'EA-ConnectorExport'!J:J),
        $Y318
    ),
    _xlpm.result, _xlfn.XLOOKUP(_xlpm.lookupKey,'EA-Fortescue_SDExport'!A:A,'EA-Fortescue_SDExport'!AG:AG),
    IF(_xlpm.result=0,"",_xlpm.result)
)</f>
        <v/>
      </c>
    </row>
    <row r="319" spans="1:32" ht="240" x14ac:dyDescent="0.25">
      <c r="A319" s="2" t="str">
        <v>DGS-I_0318</v>
      </c>
      <c r="B319" s="2" t="str">
        <f t="shared" si="16"/>
        <v>Decarbonisation Delivery|855DC-1543-PPC Pit Power Capacity Planning Tool - Capacity Check</v>
      </c>
      <c r="C319" s="2" t="str">
        <f>_xlfn.LET(_xlpm.result, _xlfn.XLOOKUP(A319,'EA-Fortescue_SDExport'!A:A,'EA-Fortescue_SDExport'!AM:AM), IF(_xlpm.result=0,"",_xlpm.result))</f>
        <v/>
      </c>
      <c r="D319" s="2" t="str">
        <f>_xlfn.LET(_xlpm.result, _xlfn.XLOOKUP(A319,'EA-Fortescue_SDExport'!A:A,'EA-Fortescue_SDExport'!AN:AN), IF(_xlpm.result=0,"",_xlpm.result))</f>
        <v/>
      </c>
      <c r="E319" s="2" t="str">
        <f>_xlfn.XLOOKUP(R319&amp;Z319,Lookups!A:A,Lookups!B:B)</f>
        <v>Stakeholder - Project Interface</v>
      </c>
      <c r="F319" s="2" t="str">
        <f>_xlfn.LET(_xlpm.result, _xlfn.XLOOKUP(A319,'EA-Fortescue_SDExport'!A:A,'EA-Fortescue_SDExport'!AP:AP), IF(_xlpm.result=0,"",_xlpm.result))</f>
        <v/>
      </c>
      <c r="G319" s="2" t="str">
        <f>IF(OR(AND(T319&lt;&gt;"", COUNTIF(Lookups!J:J, "*"&amp;T319&amp;"*")&gt;0), AND(AB319&lt;&gt;"", COUNTIF(Lookups!J:J, "*"&amp;AB319&amp;"*")&gt;0)), "Yes", "No")</f>
        <v>No</v>
      </c>
      <c r="H319" s="2" t="str">
        <f t="shared" si="17"/>
        <v>N/A|855DC Decarb Green Systems</v>
      </c>
      <c r="I319" s="2" t="str">
        <f t="shared" si="18"/>
        <v>N/A</v>
      </c>
      <c r="J319" s="2" t="str">
        <f t="shared" si="19"/>
        <v>N/A|855DC-1543-PPC Pit Power Capacity Planning Tool - Capacity Check</v>
      </c>
      <c r="K319" s="2" t="str">
        <f>_xlfn.XLOOKUP(A319,'EA-Fortescue_SDExport'!A:A,'EA-Fortescue_SDExport'!N:N)</f>
        <v>Proposed</v>
      </c>
      <c r="L319" s="2" t="str">
        <f>_xlfn.LET(_xlpm.result, _xlfn.XLOOKUP($A319,'EA-Fortescue_SDExport'!$A:$A,'EA-Fortescue_SDExport'!AQ:AQ), IF(_xlpm.result=0,"",_xlpm.result))</f>
        <v/>
      </c>
      <c r="M319" s="2" t="str">
        <f>_xlfn.LET(_xlpm.result, _xlfn.XLOOKUP($A319,'EA-Fortescue_SDExport'!$A:$A,'EA-Fortescue_SDExport'!AR:AR), IF(_xlpm.result=0,"",_xlpm.result))</f>
        <v/>
      </c>
      <c r="N319" s="2" t="str">
        <f>_xlfn.LET(_xlpm.result, _xlfn.XLOOKUP($A319,'EA-Fortescue_SDExport'!$A:$A,'EA-Fortescue_SDExport'!AW:AW), IF(_xlpm.result=0,"",_xlpm.result))</f>
        <v/>
      </c>
      <c r="O319" s="2" t="str">
        <f>_xlfn.LET(_xlpm.result, _xlfn.XLOOKUP($A319,'EA-Fortescue_SDExport'!$A:$A,'EA-Fortescue_SDExport'!AV:AV), IF(_xlpm.result=0,"",_xlpm.result))</f>
        <v/>
      </c>
      <c r="P319" s="2" t="str">
        <f>_xlfn.LET(_xlpm.result, _xlfn.XLOOKUP($A319,'EA-Fortescue_SDExport'!$A:$A,'EA-Fortescue_SDExport'!D:D),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319" s="2" t="str">
        <f>_xlfn.LET(
    _xlpm.status, _xlfn.XLOOKUP($A319,'EA-ConnectorExport'!$A:$A,'EA-ConnectorExport'!G:G),
    _xlpm.result, _xlfn.XLOOKUP($A319,'EA-ConnectorExport'!$A:$A,'EA-ConnectorExport'!B:B),
    IF(_xlpm.status="allocate", _xlpm.result, "")
)</f>
        <v>Decarbonisation Delivery</v>
      </c>
      <c r="R319" s="2" t="str">
        <f>IF(
    _xlfn.XLOOKUP($Q319,'EA-Fortescue_SDExport'!A:A,'EA-Fortescue_SDExport'!B:B)="Object",
    _xlfn.XLOOKUP(
        _xlfn.XLOOKUP($A319,'EA-ConnectorExport'!A:A,'EA-ConnectorExport'!D:D),
        'EA-Fortescue_SDExport'!A:A,
        'EA-Fortescue_SDExport'!AA:AA
    ),
    _xlfn.XLOOKUP($Q319,'EA-Fortescue_SDExport'!A:A,'EA-Fortescue_SDExport'!AA:AA)
)</f>
        <v>Stakeholder</v>
      </c>
      <c r="S319" s="2" t="str">
        <f>_xlfn.LET(_xlpm.result, _xlfn.XLOOKUP($Q319,'EA-Fortescue_SDExport'!$A:$A,'EA-Fortescue_SDExport'!AB:AB), IF(_xlpm.result=0,"",_xlpm.result))</f>
        <v/>
      </c>
      <c r="T319" s="2" t="str">
        <f>_xlfn.LET(_xlpm.result, _xlfn.XLOOKUP($Q319,'EA-Fortescue_SDExport'!$A:$A,'EA-Fortescue_SDExport'!AC:AC), IF(_xlpm.result=0,"",_xlpm.result))</f>
        <v/>
      </c>
      <c r="U319" s="2" t="str">
        <f>_xlfn.LET(
    _xlpm.isObject, _xlfn.XLOOKUP($Q319,'EA-Fortescue_SDExport'!A:A,'EA-Fortescue_SDExport'!B:B),
    _xlpm.lookupKey, IF(_xlpm.isObject="Object",
        _xlfn.XLOOKUP($A319,'EA-ConnectorExport'!A:A,'EA-ConnectorExport'!D:D),
        $Q319
    ),
    _xlpm.result, _xlfn.XLOOKUP(_xlpm.lookupKey,'EA-Fortescue_SDExport'!A:A,'EA-Fortescue_SDExport'!AD:AD),
    IF(_xlpm.result=0,"",_xlpm.result)
)</f>
        <v/>
      </c>
      <c r="V319" s="2" t="str">
        <f>_xlfn.LET(
    _xlpm.isObject, _xlfn.XLOOKUP($Q319,'EA-Fortescue_SDExport'!A:A,'EA-Fortescue_SDExport'!B:B),
    _xlpm.lookupKey, IF(_xlpm.isObject="Object",
        _xlfn.XLOOKUP($A319,'EA-ConnectorExport'!A:A,'EA-ConnectorExport'!D:D),
        $Q319
    ),
    _xlpm.result, _xlfn.XLOOKUP(_xlpm.lookupKey,'EA-Fortescue_SDExport'!A:A,'EA-Fortescue_SDExport'!AE:AE),
    IF(_xlpm.result=0,"",_xlpm.result)
)</f>
        <v/>
      </c>
      <c r="W319" s="2" t="str">
        <f>_xlfn.LET(
    _xlpm.isObject, _xlfn.XLOOKUP($Q319,'EA-Fortescue_SDExport'!A:A,'EA-Fortescue_SDExport'!B:B),
    _xlpm.lookupKey, IF(_xlpm.isObject="Object",
        _xlfn.XLOOKUP($A319,'EA-ConnectorExport'!A:A,'EA-ConnectorExport'!D:D),
        $Q319
    ),
    _xlpm.result, _xlfn.XLOOKUP(_xlpm.lookupKey,'EA-Fortescue_SDExport'!A:A,'EA-Fortescue_SDExport'!AF:AF),
    IF(_xlpm.result=0,"",_xlpm.result)
)</f>
        <v/>
      </c>
      <c r="X319" s="2" t="str">
        <f>_xlfn.LET(
    _xlpm.isObject, _xlfn.XLOOKUP($Q319,'EA-Fortescue_SDExport'!A:A,'EA-Fortescue_SDExport'!B:B),
    _xlpm.lookupKey, IF(_xlpm.isObject="Object",
        _xlfn.XLOOKUP($A319,'EA-ConnectorExport'!A:A,'EA-ConnectorExport'!D:D),
        $Q319
    ),
    _xlpm.result, _xlfn.XLOOKUP(_xlpm.lookupKey,'EA-Fortescue_SDExport'!A:A,'EA-Fortescue_SDExport'!AG:AG),
    IF(_xlpm.result=0,"",_xlpm.result)
)</f>
        <v/>
      </c>
      <c r="Y319" s="2" t="str">
        <f>_xlfn.LET(
    _xlpm.status, _xlfn.XLOOKUP($A319,'EA-ConnectorExport'!$A:$A,'EA-ConnectorExport'!G:G),
    _xlpm.result, _xlfn.XLOOKUP($A319,'EA-ConnectorExport'!$A:$A,'EA-ConnectorExport'!H:H),
    IF(_xlpm.status="allocate", _xlpm.result, "")
)</f>
        <v>855DC-1543-PPC Pit Power Capacity Planning Tool - Capacity Check</v>
      </c>
      <c r="Z319" s="2" t="str">
        <f>_xlfn.LET(
    _xlpm.isObject, _xlfn.XLOOKUP($Y319,'EA-Fortescue_SDExport'!A:A,'EA-Fortescue_SDExport'!B:B),
    _xlpm.lookupKey, IF(_xlpm.isObject="Object",
        _xlfn.XLOOKUP($A319,'EA-ConnectorExport'!A:A,'EA-ConnectorExport'!J:J),
        $Y319
    ),
    _xlpm.result, _xlfn.XLOOKUP(_xlpm.lookupKey,'EA-Fortescue_SDExport'!A:A,'EA-Fortescue_SDExport'!AA:AA),
    IF(_xlpm.result=0,"",_xlpm.result)
)</f>
        <v>Project</v>
      </c>
      <c r="AA319" s="2" t="str">
        <f>_xlfn.LET(_xlpm.result, _xlfn.XLOOKUP($Y319,'EA-Fortescue_SDExport'!$A:$A,'EA-Fortescue_SDExport'!AB:AB), IF(_xlpm.result=0,"",_xlpm.result))</f>
        <v>Operations Planning</v>
      </c>
      <c r="AB319" s="2" t="str">
        <f>_xlfn.LET(_xlpm.result, _xlfn.XLOOKUP($Y319,'EA-Fortescue_SDExport'!$A:$A,'EA-Fortescue_SDExport'!AC:AC), IF(_xlpm.result=0,"",_xlpm.result))</f>
        <v>AWS Fortescue Infrastructure</v>
      </c>
      <c r="AC319" s="2" t="str">
        <f>_xlfn.LET(
    _xlpm.isObject, _xlfn.XLOOKUP($Y319,'EA-Fortescue_SDExport'!A:A,'EA-Fortescue_SDExport'!B:B),
    _xlpm.lookupKey, IF(_xlpm.isObject="Object",
        _xlfn.XLOOKUP($A319,'EA-ConnectorExport'!A:A,'EA-ConnectorExport'!J:J),
        $Y319
    ),
    _xlpm.result, _xlfn.XLOOKUP(_xlpm.lookupKey,'EA-Fortescue_SDExport'!A:A,'EA-Fortescue_SDExport'!AD:AD),
    IF(_xlpm.result=0,"",_xlpm.result)
)</f>
        <v>855DC Decarb Green Systems</v>
      </c>
      <c r="AD319" s="2" t="str">
        <f>_xlfn.LET(
    _xlpm.isObject, _xlfn.XLOOKUP($Y319,'EA-Fortescue_SDExport'!A:A,'EA-Fortescue_SDExport'!B:B),
    _xlpm.lookupKey, IF(_xlpm.isObject="Object",
        _xlfn.XLOOKUP($A319,'EA-ConnectorExport'!A:A,'EA-ConnectorExport'!J:J),
        $Y319
    ),
    _xlpm.result, _xlfn.XLOOKUP(_xlpm.lookupKey,'EA-Fortescue_SDExport'!A:A,'EA-Fortescue_SDExport'!AE:AE),
    IF(_xlpm.result=0,"",_xlpm.result)
)</f>
        <v/>
      </c>
      <c r="AE319" s="2" t="str">
        <f>_xlfn.LET(
    _xlpm.isObject, _xlfn.XLOOKUP($Y319,'EA-Fortescue_SDExport'!A:A,'EA-Fortescue_SDExport'!B:B),
    _xlpm.lookupKey, IF(_xlpm.isObject="Object",
        _xlfn.XLOOKUP($A319,'EA-ConnectorExport'!A:A,'EA-ConnectorExport'!J:J),
        $Y319
    ),
    _xlpm.result, _xlfn.XLOOKUP(_xlpm.lookupKey,'EA-Fortescue_SDExport'!A:A,'EA-Fortescue_SDExport'!AF:AF),
    IF(_xlpm.result=0,"",_xlpm.result)
)</f>
        <v>855DC-1543-PPC Pit Power Capacity Planning Tool - Capacity Check</v>
      </c>
      <c r="AF319" s="2" t="str">
        <f>_xlfn.LET(
    _xlpm.isObject, _xlfn.XLOOKUP($Y319,'EA-Fortescue_SDExport'!A:A,'EA-Fortescue_SDExport'!B:B),
    _xlpm.lookupKey, IF(_xlpm.isObject="Object",
        _xlfn.XLOOKUP($A319,'EA-ConnectorExport'!A:A,'EA-ConnectorExport'!J:J),
        $Y319
    ),
    _xlpm.result, _xlfn.XLOOKUP(_xlpm.lookupKey,'EA-Fortescue_SDExport'!A:A,'EA-Fortescue_SDExport'!AG:AG),
    IF(_xlpm.result=0,"",_xlpm.result)
)</f>
        <v/>
      </c>
    </row>
    <row r="320" spans="1:32" ht="240" x14ac:dyDescent="0.25">
      <c r="A320" s="2" t="str">
        <v>DGS-I_0319</v>
      </c>
      <c r="B320" s="2" t="str">
        <f t="shared" si="16"/>
        <v>855DC-1541-PPC Pit Power Capacity Planning Tool - Design Optimisation|Decarbonisation Delivery</v>
      </c>
      <c r="C320" s="2" t="str">
        <f>_xlfn.LET(_xlpm.result, _xlfn.XLOOKUP(A320,'EA-Fortescue_SDExport'!A:A,'EA-Fortescue_SDExport'!AM:AM), IF(_xlpm.result=0,"",_xlpm.result))</f>
        <v/>
      </c>
      <c r="D320" s="2" t="str">
        <f>_xlfn.LET(_xlpm.result, _xlfn.XLOOKUP(A320,'EA-Fortescue_SDExport'!A:A,'EA-Fortescue_SDExport'!AN:AN), IF(_xlpm.result=0,"",_xlpm.result))</f>
        <v/>
      </c>
      <c r="E320" s="2" t="str">
        <f>_xlfn.XLOOKUP(R320&amp;Z320,Lookups!A:A,Lookups!B:B)</f>
        <v>Stakeholder - Project Interface</v>
      </c>
      <c r="F320" s="2" t="str">
        <f>_xlfn.LET(_xlpm.result, _xlfn.XLOOKUP(A320,'EA-Fortescue_SDExport'!A:A,'EA-Fortescue_SDExport'!AP:AP), IF(_xlpm.result=0,"",_xlpm.result))</f>
        <v/>
      </c>
      <c r="G320" s="2" t="str">
        <f>IF(OR(AND(T320&lt;&gt;"", COUNTIF(Lookups!J:J, "*"&amp;T320&amp;"*")&gt;0), AND(AB320&lt;&gt;"", COUNTIF(Lookups!J:J, "*"&amp;AB320&amp;"*")&gt;0)), "Yes", "No")</f>
        <v>No</v>
      </c>
      <c r="H320" s="2" t="str">
        <f t="shared" si="17"/>
        <v>855DC Decarb Green Systems|N/A</v>
      </c>
      <c r="I320" s="2" t="str">
        <f t="shared" si="18"/>
        <v>855DC-1541 Planning and Forecast Systems|N/A</v>
      </c>
      <c r="J320" s="2" t="str">
        <f t="shared" si="19"/>
        <v>855DC-1541-PPC Pit Power Capacity Planning Tool - Design Optimisation|N/A</v>
      </c>
      <c r="K320" s="2" t="str">
        <f>_xlfn.XLOOKUP(A320,'EA-Fortescue_SDExport'!A:A,'EA-Fortescue_SDExport'!N:N)</f>
        <v>Proposed</v>
      </c>
      <c r="L320" s="2" t="str">
        <f>_xlfn.LET(_xlpm.result, _xlfn.XLOOKUP($A320,'EA-Fortescue_SDExport'!$A:$A,'EA-Fortescue_SDExport'!AQ:AQ), IF(_xlpm.result=0,"",_xlpm.result))</f>
        <v/>
      </c>
      <c r="M320" s="2" t="str">
        <f>_xlfn.LET(_xlpm.result, _xlfn.XLOOKUP($A320,'EA-Fortescue_SDExport'!$A:$A,'EA-Fortescue_SDExport'!AR:AR), IF(_xlpm.result=0,"",_xlpm.result))</f>
        <v/>
      </c>
      <c r="N320" s="2" t="str">
        <f>_xlfn.LET(_xlpm.result, _xlfn.XLOOKUP($A320,'EA-Fortescue_SDExport'!$A:$A,'EA-Fortescue_SDExport'!AW:AW), IF(_xlpm.result=0,"",_xlpm.result))</f>
        <v/>
      </c>
      <c r="O320" s="2" t="str">
        <f>_xlfn.LET(_xlpm.result, _xlfn.XLOOKUP($A320,'EA-Fortescue_SDExport'!$A:$A,'EA-Fortescue_SDExport'!AV:AV), IF(_xlpm.result=0,"",_xlpm.result))</f>
        <v/>
      </c>
      <c r="P320" s="2" t="str">
        <f>_xlfn.LET(_xlpm.result, _xlfn.XLOOKUP($A320,'EA-Fortescue_SDExport'!$A:$A,'EA-Fortescue_SDExport'!D:D),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320" s="2" t="str">
        <f>_xlfn.LET(
    _xlpm.status, _xlfn.XLOOKUP($A320,'EA-ConnectorExport'!$A:$A,'EA-ConnectorExport'!G:G),
    _xlpm.result, _xlfn.XLOOKUP($A320,'EA-ConnectorExport'!$A:$A,'EA-ConnectorExport'!B:B),
    IF(_xlpm.status="allocate", _xlpm.result, "")
)</f>
        <v>855DC-1541-PPC Pit Power Capacity Planning Tool - Design Optimisation</v>
      </c>
      <c r="R320" s="2" t="str">
        <f>IF(
    _xlfn.XLOOKUP($Q320,'EA-Fortescue_SDExport'!A:A,'EA-Fortescue_SDExport'!B:B)="Object",
    _xlfn.XLOOKUP(
        _xlfn.XLOOKUP($A320,'EA-ConnectorExport'!A:A,'EA-ConnectorExport'!D:D),
        'EA-Fortescue_SDExport'!A:A,
        'EA-Fortescue_SDExport'!AA:AA
    ),
    _xlfn.XLOOKUP($Q320,'EA-Fortescue_SDExport'!A:A,'EA-Fortescue_SDExport'!AA:AA)
)</f>
        <v>Project</v>
      </c>
      <c r="S320" s="2" t="str">
        <f>_xlfn.LET(_xlpm.result, _xlfn.XLOOKUP($Q320,'EA-Fortescue_SDExport'!$A:$A,'EA-Fortescue_SDExport'!AB:AB), IF(_xlpm.result=0,"",_xlpm.result))</f>
        <v/>
      </c>
      <c r="T320" s="2" t="str">
        <f>_xlfn.LET(_xlpm.result, _xlfn.XLOOKUP($Q320,'EA-Fortescue_SDExport'!$A:$A,'EA-Fortescue_SDExport'!AC:AC), IF(_xlpm.result=0,"",_xlpm.result))</f>
        <v>AWS Fortescue Infrastructure</v>
      </c>
      <c r="U320" s="2" t="str">
        <f>_xlfn.LET(
    _xlpm.isObject, _xlfn.XLOOKUP($Q320,'EA-Fortescue_SDExport'!A:A,'EA-Fortescue_SDExport'!B:B),
    _xlpm.lookupKey, IF(_xlpm.isObject="Object",
        _xlfn.XLOOKUP($A320,'EA-ConnectorExport'!A:A,'EA-ConnectorExport'!D:D),
        $Q320
    ),
    _xlpm.result, _xlfn.XLOOKUP(_xlpm.lookupKey,'EA-Fortescue_SDExport'!A:A,'EA-Fortescue_SDExport'!AD:AD),
    IF(_xlpm.result=0,"",_xlpm.result)
)</f>
        <v>855DC Decarb Green Systems</v>
      </c>
      <c r="V320" s="2" t="str">
        <f>_xlfn.LET(
    _xlpm.isObject, _xlfn.XLOOKUP($Q320,'EA-Fortescue_SDExport'!A:A,'EA-Fortescue_SDExport'!B:B),
    _xlpm.lookupKey, IF(_xlpm.isObject="Object",
        _xlfn.XLOOKUP($A320,'EA-ConnectorExport'!A:A,'EA-ConnectorExport'!D:D),
        $Q320
    ),
    _xlpm.result, _xlfn.XLOOKUP(_xlpm.lookupKey,'EA-Fortescue_SDExport'!A:A,'EA-Fortescue_SDExport'!AE:AE),
    IF(_xlpm.result=0,"",_xlpm.result)
)</f>
        <v>855DC-1541 Planning and Forecast Systems</v>
      </c>
      <c r="W320" s="2" t="str">
        <f>_xlfn.LET(
    _xlpm.isObject, _xlfn.XLOOKUP($Q320,'EA-Fortescue_SDExport'!A:A,'EA-Fortescue_SDExport'!B:B),
    _xlpm.lookupKey, IF(_xlpm.isObject="Object",
        _xlfn.XLOOKUP($A320,'EA-ConnectorExport'!A:A,'EA-ConnectorExport'!D:D),
        $Q320
    ),
    _xlpm.result, _xlfn.XLOOKUP(_xlpm.lookupKey,'EA-Fortescue_SDExport'!A:A,'EA-Fortescue_SDExport'!AF:AF),
    IF(_xlpm.result=0,"",_xlpm.result)
)</f>
        <v>855DC-1541-PPC Pit Power Capacity Planning Tool - Design Optimisation</v>
      </c>
      <c r="X320" s="2" t="str">
        <f>_xlfn.LET(
    _xlpm.isObject, _xlfn.XLOOKUP($Q320,'EA-Fortescue_SDExport'!A:A,'EA-Fortescue_SDExport'!B:B),
    _xlpm.lookupKey, IF(_xlpm.isObject="Object",
        _xlfn.XLOOKUP($A320,'EA-ConnectorExport'!A:A,'EA-ConnectorExport'!D:D),
        $Q320
    ),
    _xlpm.result, _xlfn.XLOOKUP(_xlpm.lookupKey,'EA-Fortescue_SDExport'!A:A,'EA-Fortescue_SDExport'!AG:AG),
    IF(_xlpm.result=0,"",_xlpm.result)
)</f>
        <v/>
      </c>
      <c r="Y320" s="2" t="str">
        <f>_xlfn.LET(
    _xlpm.status, _xlfn.XLOOKUP($A320,'EA-ConnectorExport'!$A:$A,'EA-ConnectorExport'!G:G),
    _xlpm.result, _xlfn.XLOOKUP($A320,'EA-ConnectorExport'!$A:$A,'EA-ConnectorExport'!H:H),
    IF(_xlpm.status="allocate", _xlpm.result, "")
)</f>
        <v>Decarbonisation Delivery</v>
      </c>
      <c r="Z320" s="2" t="str">
        <f>_xlfn.LET(
    _xlpm.isObject, _xlfn.XLOOKUP($Y320,'EA-Fortescue_SDExport'!A:A,'EA-Fortescue_SDExport'!B:B),
    _xlpm.lookupKey, IF(_xlpm.isObject="Object",
        _xlfn.XLOOKUP($A320,'EA-ConnectorExport'!A:A,'EA-ConnectorExport'!J:J),
        $Y320
    ),
    _xlpm.result, _xlfn.XLOOKUP(_xlpm.lookupKey,'EA-Fortescue_SDExport'!A:A,'EA-Fortescue_SDExport'!AA:AA),
    IF(_xlpm.result=0,"",_xlpm.result)
)</f>
        <v>Stakeholder</v>
      </c>
      <c r="AA320" s="2" t="str">
        <f>_xlfn.LET(_xlpm.result, _xlfn.XLOOKUP($Y320,'EA-Fortescue_SDExport'!$A:$A,'EA-Fortescue_SDExport'!AB:AB), IF(_xlpm.result=0,"",_xlpm.result))</f>
        <v/>
      </c>
      <c r="AB320" s="2" t="str">
        <f>_xlfn.LET(_xlpm.result, _xlfn.XLOOKUP($Y320,'EA-Fortescue_SDExport'!$A:$A,'EA-Fortescue_SDExport'!AC:AC), IF(_xlpm.result=0,"",_xlpm.result))</f>
        <v/>
      </c>
      <c r="AC320" s="2" t="str">
        <f>_xlfn.LET(
    _xlpm.isObject, _xlfn.XLOOKUP($Y320,'EA-Fortescue_SDExport'!A:A,'EA-Fortescue_SDExport'!B:B),
    _xlpm.lookupKey, IF(_xlpm.isObject="Object",
        _xlfn.XLOOKUP($A320,'EA-ConnectorExport'!A:A,'EA-ConnectorExport'!J:J),
        $Y320
    ),
    _xlpm.result, _xlfn.XLOOKUP(_xlpm.lookupKey,'EA-Fortescue_SDExport'!A:A,'EA-Fortescue_SDExport'!AD:AD),
    IF(_xlpm.result=0,"",_xlpm.result)
)</f>
        <v/>
      </c>
      <c r="AD320" s="2" t="str">
        <f>_xlfn.LET(
    _xlpm.isObject, _xlfn.XLOOKUP($Y320,'EA-Fortescue_SDExport'!A:A,'EA-Fortescue_SDExport'!B:B),
    _xlpm.lookupKey, IF(_xlpm.isObject="Object",
        _xlfn.XLOOKUP($A320,'EA-ConnectorExport'!A:A,'EA-ConnectorExport'!J:J),
        $Y320
    ),
    _xlpm.result, _xlfn.XLOOKUP(_xlpm.lookupKey,'EA-Fortescue_SDExport'!A:A,'EA-Fortescue_SDExport'!AE:AE),
    IF(_xlpm.result=0,"",_xlpm.result)
)</f>
        <v/>
      </c>
      <c r="AE320" s="2" t="str">
        <f>_xlfn.LET(
    _xlpm.isObject, _xlfn.XLOOKUP($Y320,'EA-Fortescue_SDExport'!A:A,'EA-Fortescue_SDExport'!B:B),
    _xlpm.lookupKey, IF(_xlpm.isObject="Object",
        _xlfn.XLOOKUP($A320,'EA-ConnectorExport'!A:A,'EA-ConnectorExport'!J:J),
        $Y320
    ),
    _xlpm.result, _xlfn.XLOOKUP(_xlpm.lookupKey,'EA-Fortescue_SDExport'!A:A,'EA-Fortescue_SDExport'!AF:AF),
    IF(_xlpm.result=0,"",_xlpm.result)
)</f>
        <v/>
      </c>
      <c r="AF320" s="2" t="str">
        <f>_xlfn.LET(
    _xlpm.isObject, _xlfn.XLOOKUP($Y320,'EA-Fortescue_SDExport'!A:A,'EA-Fortescue_SDExport'!B:B),
    _xlpm.lookupKey, IF(_xlpm.isObject="Object",
        _xlfn.XLOOKUP($A320,'EA-ConnectorExport'!A:A,'EA-ConnectorExport'!J:J),
        $Y320
    ),
    _xlpm.result, _xlfn.XLOOKUP(_xlpm.lookupKey,'EA-Fortescue_SDExport'!A:A,'EA-Fortescue_SDExport'!AG:AG),
    IF(_xlpm.result=0,"",_xlpm.result)
)</f>
        <v/>
      </c>
    </row>
    <row r="321" spans="1:32" ht="240" x14ac:dyDescent="0.25">
      <c r="A321" s="2" t="str">
        <v>DGS-I_0320</v>
      </c>
      <c r="B321" s="2" t="str">
        <f t="shared" si="16"/>
        <v>855DC-1541-PPC Pit Power Capacity Planning Tool - Design Optimisation|Decarbonisation Site Infrastructure Projects</v>
      </c>
      <c r="C321" s="2" t="str">
        <f>_xlfn.LET(_xlpm.result, _xlfn.XLOOKUP(A321,'EA-Fortescue_SDExport'!A:A,'EA-Fortescue_SDExport'!AM:AM), IF(_xlpm.result=0,"",_xlpm.result))</f>
        <v/>
      </c>
      <c r="D321" s="2" t="str">
        <f>_xlfn.LET(_xlpm.result, _xlfn.XLOOKUP(A321,'EA-Fortescue_SDExport'!A:A,'EA-Fortescue_SDExport'!AN:AN), IF(_xlpm.result=0,"",_xlpm.result))</f>
        <v/>
      </c>
      <c r="E321" s="2" t="str">
        <f>_xlfn.XLOOKUP(R321&amp;Z321,Lookups!A:A,Lookups!B:B)</f>
        <v>Stakeholder - Project Interface</v>
      </c>
      <c r="F321" s="2" t="str">
        <f>_xlfn.LET(_xlpm.result, _xlfn.XLOOKUP(A321,'EA-Fortescue_SDExport'!A:A,'EA-Fortescue_SDExport'!AP:AP), IF(_xlpm.result=0,"",_xlpm.result))</f>
        <v/>
      </c>
      <c r="G321" s="2" t="str">
        <f>IF(OR(AND(T321&lt;&gt;"", COUNTIF(Lookups!J:J, "*"&amp;T321&amp;"*")&gt;0), AND(AB321&lt;&gt;"", COUNTIF(Lookups!J:J, "*"&amp;AB321&amp;"*")&gt;0)), "Yes", "No")</f>
        <v>No</v>
      </c>
      <c r="H321" s="2" t="str">
        <f t="shared" si="17"/>
        <v>855DC Decarb Green Systems|N/A</v>
      </c>
      <c r="I321" s="2" t="str">
        <f t="shared" si="18"/>
        <v>855DC-1541 Planning and Forecast Systems|N/A</v>
      </c>
      <c r="J321" s="2" t="str">
        <f t="shared" si="19"/>
        <v>855DC-1541-PPC Pit Power Capacity Planning Tool - Design Optimisation|N/A</v>
      </c>
      <c r="K321" s="2" t="str">
        <f>_xlfn.XLOOKUP(A321,'EA-Fortescue_SDExport'!A:A,'EA-Fortescue_SDExport'!N:N)</f>
        <v>Proposed</v>
      </c>
      <c r="L321" s="2" t="str">
        <f>_xlfn.LET(_xlpm.result, _xlfn.XLOOKUP($A321,'EA-Fortescue_SDExport'!$A:$A,'EA-Fortescue_SDExport'!AQ:AQ), IF(_xlpm.result=0,"",_xlpm.result))</f>
        <v/>
      </c>
      <c r="M321" s="2" t="str">
        <f>_xlfn.LET(_xlpm.result, _xlfn.XLOOKUP($A321,'EA-Fortescue_SDExport'!$A:$A,'EA-Fortescue_SDExport'!AR:AR), IF(_xlpm.result=0,"",_xlpm.result))</f>
        <v/>
      </c>
      <c r="N321" s="2" t="str">
        <f>_xlfn.LET(_xlpm.result, _xlfn.XLOOKUP($A321,'EA-Fortescue_SDExport'!$A:$A,'EA-Fortescue_SDExport'!AW:AW), IF(_xlpm.result=0,"",_xlpm.result))</f>
        <v/>
      </c>
      <c r="O321" s="2" t="str">
        <f>_xlfn.LET(_xlpm.result, _xlfn.XLOOKUP($A321,'EA-Fortescue_SDExport'!$A:$A,'EA-Fortescue_SDExport'!AV:AV), IF(_xlpm.result=0,"",_xlpm.result))</f>
        <v/>
      </c>
      <c r="P321" s="2" t="str">
        <f>_xlfn.LET(_xlpm.result, _xlfn.XLOOKUP($A321,'EA-Fortescue_SDExport'!$A:$A,'EA-Fortescue_SDExport'!D:D),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321" s="2" t="str">
        <f>_xlfn.LET(
    _xlpm.status, _xlfn.XLOOKUP($A321,'EA-ConnectorExport'!$A:$A,'EA-ConnectorExport'!G:G),
    _xlpm.result, _xlfn.XLOOKUP($A321,'EA-ConnectorExport'!$A:$A,'EA-ConnectorExport'!B:B),
    IF(_xlpm.status="allocate", _xlpm.result, "")
)</f>
        <v>855DC-1541-PPC Pit Power Capacity Planning Tool - Design Optimisation</v>
      </c>
      <c r="R321" s="2" t="str">
        <f>IF(
    _xlfn.XLOOKUP($Q321,'EA-Fortescue_SDExport'!A:A,'EA-Fortescue_SDExport'!B:B)="Object",
    _xlfn.XLOOKUP(
        _xlfn.XLOOKUP($A321,'EA-ConnectorExport'!A:A,'EA-ConnectorExport'!D:D),
        'EA-Fortescue_SDExport'!A:A,
        'EA-Fortescue_SDExport'!AA:AA
    ),
    _xlfn.XLOOKUP($Q321,'EA-Fortescue_SDExport'!A:A,'EA-Fortescue_SDExport'!AA:AA)
)</f>
        <v>Project</v>
      </c>
      <c r="S321" s="2" t="str">
        <f>_xlfn.LET(_xlpm.result, _xlfn.XLOOKUP($Q321,'EA-Fortescue_SDExport'!$A:$A,'EA-Fortescue_SDExport'!AB:AB), IF(_xlpm.result=0,"",_xlpm.result))</f>
        <v/>
      </c>
      <c r="T321" s="2" t="str">
        <f>_xlfn.LET(_xlpm.result, _xlfn.XLOOKUP($Q321,'EA-Fortescue_SDExport'!$A:$A,'EA-Fortescue_SDExport'!AC:AC), IF(_xlpm.result=0,"",_xlpm.result))</f>
        <v>AWS Fortescue Infrastructure</v>
      </c>
      <c r="U321" s="2" t="str">
        <f>_xlfn.LET(
    _xlpm.isObject, _xlfn.XLOOKUP($Q321,'EA-Fortescue_SDExport'!A:A,'EA-Fortescue_SDExport'!B:B),
    _xlpm.lookupKey, IF(_xlpm.isObject="Object",
        _xlfn.XLOOKUP($A321,'EA-ConnectorExport'!A:A,'EA-ConnectorExport'!D:D),
        $Q321
    ),
    _xlpm.result, _xlfn.XLOOKUP(_xlpm.lookupKey,'EA-Fortescue_SDExport'!A:A,'EA-Fortescue_SDExport'!AD:AD),
    IF(_xlpm.result=0,"",_xlpm.result)
)</f>
        <v>855DC Decarb Green Systems</v>
      </c>
      <c r="V321" s="2" t="str">
        <f>_xlfn.LET(
    _xlpm.isObject, _xlfn.XLOOKUP($Q321,'EA-Fortescue_SDExport'!A:A,'EA-Fortescue_SDExport'!B:B),
    _xlpm.lookupKey, IF(_xlpm.isObject="Object",
        _xlfn.XLOOKUP($A321,'EA-ConnectorExport'!A:A,'EA-ConnectorExport'!D:D),
        $Q321
    ),
    _xlpm.result, _xlfn.XLOOKUP(_xlpm.lookupKey,'EA-Fortescue_SDExport'!A:A,'EA-Fortescue_SDExport'!AE:AE),
    IF(_xlpm.result=0,"",_xlpm.result)
)</f>
        <v>855DC-1541 Planning and Forecast Systems</v>
      </c>
      <c r="W321" s="2" t="str">
        <f>_xlfn.LET(
    _xlpm.isObject, _xlfn.XLOOKUP($Q321,'EA-Fortescue_SDExport'!A:A,'EA-Fortescue_SDExport'!B:B),
    _xlpm.lookupKey, IF(_xlpm.isObject="Object",
        _xlfn.XLOOKUP($A321,'EA-ConnectorExport'!A:A,'EA-ConnectorExport'!D:D),
        $Q321
    ),
    _xlpm.result, _xlfn.XLOOKUP(_xlpm.lookupKey,'EA-Fortescue_SDExport'!A:A,'EA-Fortescue_SDExport'!AF:AF),
    IF(_xlpm.result=0,"",_xlpm.result)
)</f>
        <v>855DC-1541-PPC Pit Power Capacity Planning Tool - Design Optimisation</v>
      </c>
      <c r="X321" s="2" t="str">
        <f>_xlfn.LET(
    _xlpm.isObject, _xlfn.XLOOKUP($Q321,'EA-Fortescue_SDExport'!A:A,'EA-Fortescue_SDExport'!B:B),
    _xlpm.lookupKey, IF(_xlpm.isObject="Object",
        _xlfn.XLOOKUP($A321,'EA-ConnectorExport'!A:A,'EA-ConnectorExport'!D:D),
        $Q321
    ),
    _xlpm.result, _xlfn.XLOOKUP(_xlpm.lookupKey,'EA-Fortescue_SDExport'!A:A,'EA-Fortescue_SDExport'!AG:AG),
    IF(_xlpm.result=0,"",_xlpm.result)
)</f>
        <v/>
      </c>
      <c r="Y321" s="2" t="str">
        <f>_xlfn.LET(
    _xlpm.status, _xlfn.XLOOKUP($A321,'EA-ConnectorExport'!$A:$A,'EA-ConnectorExport'!G:G),
    _xlpm.result, _xlfn.XLOOKUP($A321,'EA-ConnectorExport'!$A:$A,'EA-ConnectorExport'!H:H),
    IF(_xlpm.status="allocate", _xlpm.result, "")
)</f>
        <v>Decarbonisation Site Infrastructure Projects</v>
      </c>
      <c r="Z321" s="2" t="str">
        <f>_xlfn.LET(
    _xlpm.isObject, _xlfn.XLOOKUP($Y321,'EA-Fortescue_SDExport'!A:A,'EA-Fortescue_SDExport'!B:B),
    _xlpm.lookupKey, IF(_xlpm.isObject="Object",
        _xlfn.XLOOKUP($A321,'EA-ConnectorExport'!A:A,'EA-ConnectorExport'!J:J),
        $Y321
    ),
    _xlpm.result, _xlfn.XLOOKUP(_xlpm.lookupKey,'EA-Fortescue_SDExport'!A:A,'EA-Fortescue_SDExport'!AA:AA),
    IF(_xlpm.result=0,"",_xlpm.result)
)</f>
        <v>Stakeholder</v>
      </c>
      <c r="AA321" s="2" t="str">
        <f>_xlfn.LET(_xlpm.result, _xlfn.XLOOKUP($Y321,'EA-Fortescue_SDExport'!$A:$A,'EA-Fortescue_SDExport'!AB:AB), IF(_xlpm.result=0,"",_xlpm.result))</f>
        <v/>
      </c>
      <c r="AB321" s="2" t="str">
        <f>_xlfn.LET(_xlpm.result, _xlfn.XLOOKUP($Y321,'EA-Fortescue_SDExport'!$A:$A,'EA-Fortescue_SDExport'!AC:AC), IF(_xlpm.result=0,"",_xlpm.result))</f>
        <v/>
      </c>
      <c r="AC321" s="2" t="str">
        <f>_xlfn.LET(
    _xlpm.isObject, _xlfn.XLOOKUP($Y321,'EA-Fortescue_SDExport'!A:A,'EA-Fortescue_SDExport'!B:B),
    _xlpm.lookupKey, IF(_xlpm.isObject="Object",
        _xlfn.XLOOKUP($A321,'EA-ConnectorExport'!A:A,'EA-ConnectorExport'!J:J),
        $Y321
    ),
    _xlpm.result, _xlfn.XLOOKUP(_xlpm.lookupKey,'EA-Fortescue_SDExport'!A:A,'EA-Fortescue_SDExport'!AD:AD),
    IF(_xlpm.result=0,"",_xlpm.result)
)</f>
        <v/>
      </c>
      <c r="AD321" s="2" t="str">
        <f>_xlfn.LET(
    _xlpm.isObject, _xlfn.XLOOKUP($Y321,'EA-Fortescue_SDExport'!A:A,'EA-Fortescue_SDExport'!B:B),
    _xlpm.lookupKey, IF(_xlpm.isObject="Object",
        _xlfn.XLOOKUP($A321,'EA-ConnectorExport'!A:A,'EA-ConnectorExport'!J:J),
        $Y321
    ),
    _xlpm.result, _xlfn.XLOOKUP(_xlpm.lookupKey,'EA-Fortescue_SDExport'!A:A,'EA-Fortescue_SDExport'!AE:AE),
    IF(_xlpm.result=0,"",_xlpm.result)
)</f>
        <v/>
      </c>
      <c r="AE321" s="2" t="str">
        <f>_xlfn.LET(
    _xlpm.isObject, _xlfn.XLOOKUP($Y321,'EA-Fortescue_SDExport'!A:A,'EA-Fortescue_SDExport'!B:B),
    _xlpm.lookupKey, IF(_xlpm.isObject="Object",
        _xlfn.XLOOKUP($A321,'EA-ConnectorExport'!A:A,'EA-ConnectorExport'!J:J),
        $Y321
    ),
    _xlpm.result, _xlfn.XLOOKUP(_xlpm.lookupKey,'EA-Fortescue_SDExport'!A:A,'EA-Fortescue_SDExport'!AF:AF),
    IF(_xlpm.result=0,"",_xlpm.result)
)</f>
        <v/>
      </c>
      <c r="AF321" s="2" t="str">
        <f>_xlfn.LET(
    _xlpm.isObject, _xlfn.XLOOKUP($Y321,'EA-Fortescue_SDExport'!A:A,'EA-Fortescue_SDExport'!B:B),
    _xlpm.lookupKey, IF(_xlpm.isObject="Object",
        _xlfn.XLOOKUP($A321,'EA-ConnectorExport'!A:A,'EA-ConnectorExport'!J:J),
        $Y321
    ),
    _xlpm.result, _xlfn.XLOOKUP(_xlpm.lookupKey,'EA-Fortescue_SDExport'!A:A,'EA-Fortescue_SDExport'!AG:AG),
    IF(_xlpm.result=0,"",_xlpm.result)
)</f>
        <v/>
      </c>
    </row>
    <row r="322" spans="1:32" ht="255" x14ac:dyDescent="0.25">
      <c r="A322" s="2" t="str">
        <v>DGS-I_0321</v>
      </c>
      <c r="B322" s="2" t="str">
        <f t="shared" si="16"/>
        <v>859DC-1410-001 HaulX|Mining Operations</v>
      </c>
      <c r="C322" s="2" t="str">
        <f>_xlfn.LET(_xlpm.result, _xlfn.XLOOKUP(A322,'EA-Fortescue_SDExport'!A:A,'EA-Fortescue_SDExport'!AM:AM), IF(_xlpm.result=0,"",_xlpm.result))</f>
        <v/>
      </c>
      <c r="D322" s="2" t="str">
        <f>_xlfn.LET(_xlpm.result, _xlfn.XLOOKUP(A322,'EA-Fortescue_SDExport'!A:A,'EA-Fortescue_SDExport'!AN:AN), IF(_xlpm.result=0,"",_xlpm.result))</f>
        <v/>
      </c>
      <c r="E322" s="2" t="str">
        <f>_xlfn.XLOOKUP(R322&amp;Z322,Lookups!A:A,Lookups!B:B)</f>
        <v>Stakeholder - Project Interface</v>
      </c>
      <c r="F322" s="2" t="str">
        <f>_xlfn.LET(_xlpm.result, _xlfn.XLOOKUP(A322,'EA-Fortescue_SDExport'!A:A,'EA-Fortescue_SDExport'!AP:AP), IF(_xlpm.result=0,"",_xlpm.result))</f>
        <v>Technical-Data/Software</v>
      </c>
      <c r="G322" s="2" t="str">
        <f>IF(OR(AND(T322&lt;&gt;"", COUNTIF(Lookups!J:J, "*"&amp;T322&amp;"*")&gt;0), AND(AB322&lt;&gt;"", COUNTIF(Lookups!J:J, "*"&amp;AB322&amp;"*")&gt;0)), "Yes", "No")</f>
        <v>No</v>
      </c>
      <c r="H322" s="2" t="str">
        <f t="shared" si="17"/>
        <v>859DC HaulX|N/A</v>
      </c>
      <c r="I322" s="2" t="str">
        <f t="shared" si="18"/>
        <v>N/A</v>
      </c>
      <c r="J322" s="2" t="str">
        <f t="shared" si="19"/>
        <v>859DC-1410-001 HaulX|N/A</v>
      </c>
      <c r="K322" s="2" t="str">
        <f>_xlfn.XLOOKUP(A322,'EA-Fortescue_SDExport'!A:A,'EA-Fortescue_SDExport'!N:N)</f>
        <v>Proposed</v>
      </c>
      <c r="L322" s="2" t="str">
        <f>_xlfn.LET(_xlpm.result, _xlfn.XLOOKUP($A322,'EA-Fortescue_SDExport'!$A:$A,'EA-Fortescue_SDExport'!AQ:AQ), IF(_xlpm.result=0,"",_xlpm.result))</f>
        <v>This interface provides Mining Operations with operational visibility, production insights, and real-time haulage status from HaulX so supervisors can coordinate dig, dump, and fleet priorities.</v>
      </c>
      <c r="M322" s="2" t="str">
        <f>_xlfn.LET(_xlpm.result, _xlfn.XLOOKUP($A322,'EA-Fortescue_SDExport'!$A:$A,'EA-Fortescue_SDExport'!AR:AR), IF(_xlpm.result=0,"",_xlpm.result))</f>
        <v>MEDIUM</v>
      </c>
      <c r="N322" s="2" t="str">
        <f>_xlfn.LET(_xlpm.result, _xlfn.XLOOKUP($A322,'EA-Fortescue_SDExport'!$A:$A,'EA-Fortescue_SDExport'!AW:AW), IF(_xlpm.result=0,"",_xlpm.result))</f>
        <v>The criticality level is MEDIUM because, while the link is vital for efficient coordination, haulage can continue even if Mining Operations temporarily lose visibility. An outage affects decision-making speed and alignment with production goals, rather than safety or the continuous operation of the haul fleet.</v>
      </c>
      <c r="O322" s="2" t="str">
        <f>_xlfn.LET(_xlpm.result, _xlfn.XLOOKUP($A322,'EA-Fortescue_SDExport'!$A:$A,'EA-Fortescue_SDExport'!AV:AV), IF(_xlpm.result=0,"",_xlpm.result))</f>
        <v>Data Flow: HaulX -&gt; Mining Operations (real-time haulage status, fleet locations, truck assignments, cycle times, production metrics, priority updates, exceptions/alarms) to support supervisory coordination and decision-making.</v>
      </c>
      <c r="P322" s="2" t="str">
        <f>_xlfn.LET(_xlpm.result, _xlfn.XLOOKUP($A322,'EA-Fortescue_SDExport'!$A:$A,'EA-Fortescue_SDExport'!D:D), IF(_xlpm.result=0,"",_xlpm.result))</f>
        <v>NH 20/02/2026: Fields updated: Interface Type, Interface Flow.</v>
      </c>
      <c r="Q322" s="2" t="str">
        <f>_xlfn.LET(
    _xlpm.status, _xlfn.XLOOKUP($A322,'EA-ConnectorExport'!$A:$A,'EA-ConnectorExport'!G:G),
    _xlpm.result, _xlfn.XLOOKUP($A322,'EA-ConnectorExport'!$A:$A,'EA-ConnectorExport'!B:B),
    IF(_xlpm.status="allocate", _xlpm.result, "")
)</f>
        <v>859DC-1410-001 HaulX</v>
      </c>
      <c r="R322" s="2" t="str">
        <f>IF(
    _xlfn.XLOOKUP($Q322,'EA-Fortescue_SDExport'!A:A,'EA-Fortescue_SDExport'!B:B)="Object",
    _xlfn.XLOOKUP(
        _xlfn.XLOOKUP($A322,'EA-ConnectorExport'!A:A,'EA-ConnectorExport'!D:D),
        'EA-Fortescue_SDExport'!A:A,
        'EA-Fortescue_SDExport'!AA:AA
    ),
    _xlfn.XLOOKUP($Q322,'EA-Fortescue_SDExport'!A:A,'EA-Fortescue_SDExport'!AA:AA)
)</f>
        <v>Project</v>
      </c>
      <c r="S322" s="2" t="str">
        <f>_xlfn.LET(_xlpm.result, _xlfn.XLOOKUP($Q322,'EA-Fortescue_SDExport'!$A:$A,'EA-Fortescue_SDExport'!AB:AB), IF(_xlpm.result=0,"",_xlpm.result))</f>
        <v/>
      </c>
      <c r="T322" s="2" t="str">
        <f>_xlfn.LET(_xlpm.result, _xlfn.XLOOKUP($Q322,'EA-Fortescue_SDExport'!$A:$A,'EA-Fortescue_SDExport'!AC:AC), IF(_xlpm.result=0,"",_xlpm.result))</f>
        <v/>
      </c>
      <c r="U322" s="2" t="str">
        <f>_xlfn.LET(
    _xlpm.isObject, _xlfn.XLOOKUP($Q322,'EA-Fortescue_SDExport'!A:A,'EA-Fortescue_SDExport'!B:B),
    _xlpm.lookupKey, IF(_xlpm.isObject="Object",
        _xlfn.XLOOKUP($A322,'EA-ConnectorExport'!A:A,'EA-ConnectorExport'!D:D),
        $Q322
    ),
    _xlpm.result, _xlfn.XLOOKUP(_xlpm.lookupKey,'EA-Fortescue_SDExport'!A:A,'EA-Fortescue_SDExport'!AD:AD),
    IF(_xlpm.result=0,"",_xlpm.result)
)</f>
        <v>859DC HaulX</v>
      </c>
      <c r="V322" s="2" t="str">
        <f>_xlfn.LET(
    _xlpm.isObject, _xlfn.XLOOKUP($Q322,'EA-Fortescue_SDExport'!A:A,'EA-Fortescue_SDExport'!B:B),
    _xlpm.lookupKey, IF(_xlpm.isObject="Object",
        _xlfn.XLOOKUP($A322,'EA-ConnectorExport'!A:A,'EA-ConnectorExport'!D:D),
        $Q322
    ),
    _xlpm.result, _xlfn.XLOOKUP(_xlpm.lookupKey,'EA-Fortescue_SDExport'!A:A,'EA-Fortescue_SDExport'!AE:AE),
    IF(_xlpm.result=0,"",_xlpm.result)
)</f>
        <v/>
      </c>
      <c r="W322" s="2" t="str">
        <f>_xlfn.LET(
    _xlpm.isObject, _xlfn.XLOOKUP($Q322,'EA-Fortescue_SDExport'!A:A,'EA-Fortescue_SDExport'!B:B),
    _xlpm.lookupKey, IF(_xlpm.isObject="Object",
        _xlfn.XLOOKUP($A322,'EA-ConnectorExport'!A:A,'EA-ConnectorExport'!D:D),
        $Q322
    ),
    _xlpm.result, _xlfn.XLOOKUP(_xlpm.lookupKey,'EA-Fortescue_SDExport'!A:A,'EA-Fortescue_SDExport'!AF:AF),
    IF(_xlpm.result=0,"",_xlpm.result)
)</f>
        <v>859DC-1410-001 HaulX</v>
      </c>
      <c r="X322" s="2" t="str">
        <f>_xlfn.LET(
    _xlpm.isObject, _xlfn.XLOOKUP($Q322,'EA-Fortescue_SDExport'!A:A,'EA-Fortescue_SDExport'!B:B),
    _xlpm.lookupKey, IF(_xlpm.isObject="Object",
        _xlfn.XLOOKUP($A322,'EA-ConnectorExport'!A:A,'EA-ConnectorExport'!D:D),
        $Q322
    ),
    _xlpm.result, _xlfn.XLOOKUP(_xlpm.lookupKey,'EA-Fortescue_SDExport'!A:A,'EA-Fortescue_SDExport'!AG:AG),
    IF(_xlpm.result=0,"",_xlpm.result)
)</f>
        <v/>
      </c>
      <c r="Y322" s="2" t="str">
        <f>_xlfn.LET(
    _xlpm.status, _xlfn.XLOOKUP($A322,'EA-ConnectorExport'!$A:$A,'EA-ConnectorExport'!G:G),
    _xlpm.result, _xlfn.XLOOKUP($A322,'EA-ConnectorExport'!$A:$A,'EA-ConnectorExport'!H:H),
    IF(_xlpm.status="allocate", _xlpm.result, "")
)</f>
        <v>Mining Operations</v>
      </c>
      <c r="Z322" s="2" t="str">
        <f>_xlfn.LET(
    _xlpm.isObject, _xlfn.XLOOKUP($Y322,'EA-Fortescue_SDExport'!A:A,'EA-Fortescue_SDExport'!B:B),
    _xlpm.lookupKey, IF(_xlpm.isObject="Object",
        _xlfn.XLOOKUP($A322,'EA-ConnectorExport'!A:A,'EA-ConnectorExport'!J:J),
        $Y322
    ),
    _xlpm.result, _xlfn.XLOOKUP(_xlpm.lookupKey,'EA-Fortescue_SDExport'!A:A,'EA-Fortescue_SDExport'!AA:AA),
    IF(_xlpm.result=0,"",_xlpm.result)
)</f>
        <v>Stakeholder</v>
      </c>
      <c r="AA322" s="2" t="str">
        <f>_xlfn.LET(_xlpm.result, _xlfn.XLOOKUP($Y322,'EA-Fortescue_SDExport'!$A:$A,'EA-Fortescue_SDExport'!AB:AB), IF(_xlpm.result=0,"",_xlpm.result))</f>
        <v>Sam Ward</v>
      </c>
      <c r="AB322" s="2" t="str">
        <f>_xlfn.LET(_xlpm.result, _xlfn.XLOOKUP($Y322,'EA-Fortescue_SDExport'!$A:$A,'EA-Fortescue_SDExport'!AC:AC), IF(_xlpm.result=0,"",_xlpm.result))</f>
        <v/>
      </c>
      <c r="AC322" s="2" t="str">
        <f>_xlfn.LET(
    _xlpm.isObject, _xlfn.XLOOKUP($Y322,'EA-Fortescue_SDExport'!A:A,'EA-Fortescue_SDExport'!B:B),
    _xlpm.lookupKey, IF(_xlpm.isObject="Object",
        _xlfn.XLOOKUP($A322,'EA-ConnectorExport'!A:A,'EA-ConnectorExport'!J:J),
        $Y322
    ),
    _xlpm.result, _xlfn.XLOOKUP(_xlpm.lookupKey,'EA-Fortescue_SDExport'!A:A,'EA-Fortescue_SDExport'!AD:AD),
    IF(_xlpm.result=0,"",_xlpm.result)
)</f>
        <v/>
      </c>
      <c r="AD322" s="2" t="str">
        <f>_xlfn.LET(
    _xlpm.isObject, _xlfn.XLOOKUP($Y322,'EA-Fortescue_SDExport'!A:A,'EA-Fortescue_SDExport'!B:B),
    _xlpm.lookupKey, IF(_xlpm.isObject="Object",
        _xlfn.XLOOKUP($A322,'EA-ConnectorExport'!A:A,'EA-ConnectorExport'!J:J),
        $Y322
    ),
    _xlpm.result, _xlfn.XLOOKUP(_xlpm.lookupKey,'EA-Fortescue_SDExport'!A:A,'EA-Fortescue_SDExport'!AE:AE),
    IF(_xlpm.result=0,"",_xlpm.result)
)</f>
        <v/>
      </c>
      <c r="AE322" s="2" t="str">
        <f>_xlfn.LET(
    _xlpm.isObject, _xlfn.XLOOKUP($Y322,'EA-Fortescue_SDExport'!A:A,'EA-Fortescue_SDExport'!B:B),
    _xlpm.lookupKey, IF(_xlpm.isObject="Object",
        _xlfn.XLOOKUP($A322,'EA-ConnectorExport'!A:A,'EA-ConnectorExport'!J:J),
        $Y322
    ),
    _xlpm.result, _xlfn.XLOOKUP(_xlpm.lookupKey,'EA-Fortescue_SDExport'!A:A,'EA-Fortescue_SDExport'!AF:AF),
    IF(_xlpm.result=0,"",_xlpm.result)
)</f>
        <v/>
      </c>
      <c r="AF322" s="2" t="str">
        <f>_xlfn.LET(
    _xlpm.isObject, _xlfn.XLOOKUP($Y322,'EA-Fortescue_SDExport'!A:A,'EA-Fortescue_SDExport'!B:B),
    _xlpm.lookupKey, IF(_xlpm.isObject="Object",
        _xlfn.XLOOKUP($A322,'EA-ConnectorExport'!A:A,'EA-ConnectorExport'!J:J),
        $Y322
    ),
    _xlpm.result, _xlfn.XLOOKUP(_xlpm.lookupKey,'EA-Fortescue_SDExport'!A:A,'EA-Fortescue_SDExport'!AG:AG),
    IF(_xlpm.result=0,"",_xlpm.result)
)</f>
        <v/>
      </c>
    </row>
    <row r="323" spans="1:32" ht="225" x14ac:dyDescent="0.25">
      <c r="A323" s="2" t="str">
        <v>DGS-I_0322</v>
      </c>
      <c r="B323" s="2" t="str">
        <f t="shared" ref="B323:B355" si="20">Q323 &amp; "|" &amp; Y323</f>
        <v>859DC-1410-001 HaulX|HIVE</v>
      </c>
      <c r="C323" s="2" t="str">
        <f>_xlfn.LET(_xlpm.result, _xlfn.XLOOKUP(A323,'EA-Fortescue_SDExport'!A:A,'EA-Fortescue_SDExport'!AM:AM), IF(_xlpm.result=0,"",_xlpm.result))</f>
        <v/>
      </c>
      <c r="D323" s="2" t="str">
        <f>_xlfn.LET(_xlpm.result, _xlfn.XLOOKUP(A323,'EA-Fortescue_SDExport'!A:A,'EA-Fortescue_SDExport'!AN:AN), IF(_xlpm.result=0,"",_xlpm.result))</f>
        <v/>
      </c>
      <c r="E323" s="2" t="str">
        <f>_xlfn.XLOOKUP(R323&amp;Z323,Lookups!A:A,Lookups!B:B)</f>
        <v>Stakeholder - Project Interface</v>
      </c>
      <c r="F323" s="2" t="str">
        <f>_xlfn.LET(_xlpm.result, _xlfn.XLOOKUP(A323,'EA-Fortescue_SDExport'!A:A,'EA-Fortescue_SDExport'!AP:AP), IF(_xlpm.result=0,"",_xlpm.result))</f>
        <v>Functional-Operational</v>
      </c>
      <c r="G323" s="2" t="str">
        <f>IF(OR(AND(T323&lt;&gt;"", COUNTIF(Lookups!J:J, "*"&amp;T323&amp;"*")&gt;0), AND(AB323&lt;&gt;"", COUNTIF(Lookups!J:J, "*"&amp;AB323&amp;"*")&gt;0)), "Yes", "No")</f>
        <v>No</v>
      </c>
      <c r="H323" s="2" t="str">
        <f t="shared" ref="H323:H355" si="21">IF(AND(U323="",AC323=""),"N/A",IF(U323="", "N/A|" &amp; AC323, IF(AC323="", U323 &amp; "|N/A", U323 &amp; "|" &amp; AC323)))</f>
        <v>859DC HaulX|N/A</v>
      </c>
      <c r="I323" s="2" t="str">
        <f t="shared" ref="I323:I355" si="22">IF(AND(V323="",AD323=""),"N/A",IF(V323="","N/A|" &amp; AD323,IF(AD323="",V323 &amp; "|N/A",V323 &amp; "|" &amp; AD323)))</f>
        <v>N/A</v>
      </c>
      <c r="J323" s="2" t="str">
        <f t="shared" ref="J323:J355" si="23">IF(AND(W323="",AE323=""),"N/A",IF(W323="","N/A|" &amp; AE323,IF(AE323="",W323 &amp; "|N/A",W323 &amp; "|" &amp; AE323)))</f>
        <v>859DC-1410-001 HaulX|N/A</v>
      </c>
      <c r="K323" s="2" t="str">
        <f>_xlfn.XLOOKUP(A323,'EA-Fortescue_SDExport'!A:A,'EA-Fortescue_SDExport'!N:N)</f>
        <v>Proposed</v>
      </c>
      <c r="L323" s="2" t="str">
        <f>_xlfn.LET(_xlpm.result, _xlfn.XLOOKUP($A323,'EA-Fortescue_SDExport'!$A:$A,'EA-Fortescue_SDExport'!AQ:AQ), IF(_xlpm.result=0,"",_xlpm.result))</f>
        <v>This interface allows HaulX to share real-time haulage performance, fleet locations, production status, and operational insights with HIVE so supervisors and planners can monitor fleet behaviour and make informed decisions.</v>
      </c>
      <c r="M323" s="2" t="str">
        <f>_xlfn.LET(_xlpm.result, _xlfn.XLOOKUP($A323,'EA-Fortescue_SDExport'!$A:$A,'EA-Fortescue_SDExport'!AR:AR), IF(_xlpm.result=0,"",_xlpm.result))</f>
        <v>LOW</v>
      </c>
      <c r="N323" s="2" t="str">
        <f>_xlfn.LET(_xlpm.result, _xlfn.XLOOKUP($A323,'EA-Fortescue_SDExport'!$A:$A,'EA-Fortescue_SDExport'!AW:AW), IF(_xlpm.result=0,"",_xlpm.result))</f>
        <v>The criticality level is LOW because this interface supports visibility and decision support rather than direct operational control. If the interface fails, haulage continues normally, but HIVE users lose live oversight, reducing coordination efficiency and situational awareness.</v>
      </c>
      <c r="O323" s="2" t="str">
        <f>_xlfn.LET(_xlpm.result, _xlfn.XLOOKUP($A323,'EA-Fortescue_SDExport'!$A:$A,'EA-Fortescue_SDExport'!AV:AV), IF(_xlpm.result=0,"",_xlpm.result))</f>
        <v>Data Flow:_x000D_
859DC-1410-001 HaulX -&gt; HIVE. This interface allows HaulX to share real-time haulage performance data, fleet locations, production status, and operational insights with the HIVE. This provides supervisors and planners with the necessary visibility to monitor fleet behaviour and make informed decisions._x000D_
Control Flow:_x000D_
This interface is for visibility and decision support rather than direct operational control. In the event of a failure, haulage operations continue as normal, though HIVE users lose live oversight, which reduces coordination efficiency and situational awareness.</v>
      </c>
      <c r="P323" s="2" t="str">
        <f>_xlfn.LET(_xlpm.result, _xlfn.XLOOKUP($A323,'EA-Fortescue_SDExport'!$A:$A,'EA-Fortescue_SDExport'!D:D), IF(_xlpm.result=0,"",_xlpm.result))</f>
        <v/>
      </c>
      <c r="Q323" s="2" t="str">
        <f>_xlfn.LET(
    _xlpm.status, _xlfn.XLOOKUP($A323,'EA-ConnectorExport'!$A:$A,'EA-ConnectorExport'!G:G),
    _xlpm.result, _xlfn.XLOOKUP($A323,'EA-ConnectorExport'!$A:$A,'EA-ConnectorExport'!B:B),
    IF(_xlpm.status="allocate", _xlpm.result, "")
)</f>
        <v>859DC-1410-001 HaulX</v>
      </c>
      <c r="R323" s="2" t="str">
        <f>IF(
    _xlfn.XLOOKUP($Q323,'EA-Fortescue_SDExport'!A:A,'EA-Fortescue_SDExport'!B:B)="Object",
    _xlfn.XLOOKUP(
        _xlfn.XLOOKUP($A323,'EA-ConnectorExport'!A:A,'EA-ConnectorExport'!D:D),
        'EA-Fortescue_SDExport'!A:A,
        'EA-Fortescue_SDExport'!AA:AA
    ),
    _xlfn.XLOOKUP($Q323,'EA-Fortescue_SDExport'!A:A,'EA-Fortescue_SDExport'!AA:AA)
)</f>
        <v>Project</v>
      </c>
      <c r="S323" s="2" t="str">
        <f>_xlfn.LET(_xlpm.result, _xlfn.XLOOKUP($Q323,'EA-Fortescue_SDExport'!$A:$A,'EA-Fortescue_SDExport'!AB:AB), IF(_xlpm.result=0,"",_xlpm.result))</f>
        <v/>
      </c>
      <c r="T323" s="2" t="str">
        <f>_xlfn.LET(_xlpm.result, _xlfn.XLOOKUP($Q323,'EA-Fortescue_SDExport'!$A:$A,'EA-Fortescue_SDExport'!AC:AC), IF(_xlpm.result=0,"",_xlpm.result))</f>
        <v/>
      </c>
      <c r="U323" s="2" t="str">
        <f>_xlfn.LET(
    _xlpm.isObject, _xlfn.XLOOKUP($Q323,'EA-Fortescue_SDExport'!A:A,'EA-Fortescue_SDExport'!B:B),
    _xlpm.lookupKey, IF(_xlpm.isObject="Object",
        _xlfn.XLOOKUP($A323,'EA-ConnectorExport'!A:A,'EA-ConnectorExport'!D:D),
        $Q323
    ),
    _xlpm.result, _xlfn.XLOOKUP(_xlpm.lookupKey,'EA-Fortescue_SDExport'!A:A,'EA-Fortescue_SDExport'!AD:AD),
    IF(_xlpm.result=0,"",_xlpm.result)
)</f>
        <v>859DC HaulX</v>
      </c>
      <c r="V323" s="2" t="str">
        <f>_xlfn.LET(
    _xlpm.isObject, _xlfn.XLOOKUP($Q323,'EA-Fortescue_SDExport'!A:A,'EA-Fortescue_SDExport'!B:B),
    _xlpm.lookupKey, IF(_xlpm.isObject="Object",
        _xlfn.XLOOKUP($A323,'EA-ConnectorExport'!A:A,'EA-ConnectorExport'!D:D),
        $Q323
    ),
    _xlpm.result, _xlfn.XLOOKUP(_xlpm.lookupKey,'EA-Fortescue_SDExport'!A:A,'EA-Fortescue_SDExport'!AE:AE),
    IF(_xlpm.result=0,"",_xlpm.result)
)</f>
        <v/>
      </c>
      <c r="W323" s="2" t="str">
        <f>_xlfn.LET(
    _xlpm.isObject, _xlfn.XLOOKUP($Q323,'EA-Fortescue_SDExport'!A:A,'EA-Fortescue_SDExport'!B:B),
    _xlpm.lookupKey, IF(_xlpm.isObject="Object",
        _xlfn.XLOOKUP($A323,'EA-ConnectorExport'!A:A,'EA-ConnectorExport'!D:D),
        $Q323
    ),
    _xlpm.result, _xlfn.XLOOKUP(_xlpm.lookupKey,'EA-Fortescue_SDExport'!A:A,'EA-Fortescue_SDExport'!AF:AF),
    IF(_xlpm.result=0,"",_xlpm.result)
)</f>
        <v>859DC-1410-001 HaulX</v>
      </c>
      <c r="X323" s="2" t="str">
        <f>_xlfn.LET(
    _xlpm.isObject, _xlfn.XLOOKUP($Q323,'EA-Fortescue_SDExport'!A:A,'EA-Fortescue_SDExport'!B:B),
    _xlpm.lookupKey, IF(_xlpm.isObject="Object",
        _xlfn.XLOOKUP($A323,'EA-ConnectorExport'!A:A,'EA-ConnectorExport'!D:D),
        $Q323
    ),
    _xlpm.result, _xlfn.XLOOKUP(_xlpm.lookupKey,'EA-Fortescue_SDExport'!A:A,'EA-Fortescue_SDExport'!AG:AG),
    IF(_xlpm.result=0,"",_xlpm.result)
)</f>
        <v/>
      </c>
      <c r="Y323" s="2" t="str">
        <f>_xlfn.LET(
    _xlpm.status, _xlfn.XLOOKUP($A323,'EA-ConnectorExport'!$A:$A,'EA-ConnectorExport'!G:G),
    _xlpm.result, _xlfn.XLOOKUP($A323,'EA-ConnectorExport'!$A:$A,'EA-ConnectorExport'!H:H),
    IF(_xlpm.status="allocate", _xlpm.result, "")
)</f>
        <v>HIVE</v>
      </c>
      <c r="Z323" s="2" t="str">
        <f>_xlfn.LET(
    _xlpm.isObject, _xlfn.XLOOKUP($Y323,'EA-Fortescue_SDExport'!A:A,'EA-Fortescue_SDExport'!B:B),
    _xlpm.lookupKey, IF(_xlpm.isObject="Object",
        _xlfn.XLOOKUP($A323,'EA-ConnectorExport'!A:A,'EA-ConnectorExport'!J:J),
        $Y323
    ),
    _xlpm.result, _xlfn.XLOOKUP(_xlpm.lookupKey,'EA-Fortescue_SDExport'!A:A,'EA-Fortescue_SDExport'!AA:AA),
    IF(_xlpm.result=0,"",_xlpm.result)
)</f>
        <v>Stakeholder</v>
      </c>
      <c r="AA323" s="2" t="str">
        <f>_xlfn.LET(_xlpm.result, _xlfn.XLOOKUP($Y323,'EA-Fortescue_SDExport'!$A:$A,'EA-Fortescue_SDExport'!AB:AB), IF(_xlpm.result=0,"",_xlpm.result))</f>
        <v>Charlotte Lavin (Ops Readiness)</v>
      </c>
      <c r="AB323" s="2" t="str">
        <f>_xlfn.LET(_xlpm.result, _xlfn.XLOOKUP($Y323,'EA-Fortescue_SDExport'!$A:$A,'EA-Fortescue_SDExport'!AC:AC), IF(_xlpm.result=0,"",_xlpm.result))</f>
        <v/>
      </c>
      <c r="AC323" s="2" t="str">
        <f>_xlfn.LET(
    _xlpm.isObject, _xlfn.XLOOKUP($Y323,'EA-Fortescue_SDExport'!A:A,'EA-Fortescue_SDExport'!B:B),
    _xlpm.lookupKey, IF(_xlpm.isObject="Object",
        _xlfn.XLOOKUP($A323,'EA-ConnectorExport'!A:A,'EA-ConnectorExport'!J:J),
        $Y323
    ),
    _xlpm.result, _xlfn.XLOOKUP(_xlpm.lookupKey,'EA-Fortescue_SDExport'!A:A,'EA-Fortescue_SDExport'!AD:AD),
    IF(_xlpm.result=0,"",_xlpm.result)
)</f>
        <v/>
      </c>
      <c r="AD323" s="2" t="str">
        <f>_xlfn.LET(
    _xlpm.isObject, _xlfn.XLOOKUP($Y323,'EA-Fortescue_SDExport'!A:A,'EA-Fortescue_SDExport'!B:B),
    _xlpm.lookupKey, IF(_xlpm.isObject="Object",
        _xlfn.XLOOKUP($A323,'EA-ConnectorExport'!A:A,'EA-ConnectorExport'!J:J),
        $Y323
    ),
    _xlpm.result, _xlfn.XLOOKUP(_xlpm.lookupKey,'EA-Fortescue_SDExport'!A:A,'EA-Fortescue_SDExport'!AE:AE),
    IF(_xlpm.result=0,"",_xlpm.result)
)</f>
        <v/>
      </c>
      <c r="AE323" s="2" t="str">
        <f>_xlfn.LET(
    _xlpm.isObject, _xlfn.XLOOKUP($Y323,'EA-Fortescue_SDExport'!A:A,'EA-Fortescue_SDExport'!B:B),
    _xlpm.lookupKey, IF(_xlpm.isObject="Object",
        _xlfn.XLOOKUP($A323,'EA-ConnectorExport'!A:A,'EA-ConnectorExport'!J:J),
        $Y323
    ),
    _xlpm.result, _xlfn.XLOOKUP(_xlpm.lookupKey,'EA-Fortescue_SDExport'!A:A,'EA-Fortescue_SDExport'!AF:AF),
    IF(_xlpm.result=0,"",_xlpm.result)
)</f>
        <v/>
      </c>
      <c r="AF323" s="2" t="str">
        <f>_xlfn.LET(
    _xlpm.isObject, _xlfn.XLOOKUP($Y323,'EA-Fortescue_SDExport'!A:A,'EA-Fortescue_SDExport'!B:B),
    _xlpm.lookupKey, IF(_xlpm.isObject="Object",
        _xlfn.XLOOKUP($A323,'EA-ConnectorExport'!A:A,'EA-ConnectorExport'!J:J),
        $Y323
    ),
    _xlpm.result, _xlfn.XLOOKUP(_xlpm.lookupKey,'EA-Fortescue_SDExport'!A:A,'EA-Fortescue_SDExport'!AG:AG),
    IF(_xlpm.result=0,"",_xlpm.result)
)</f>
        <v/>
      </c>
    </row>
    <row r="324" spans="1:32" ht="240" x14ac:dyDescent="0.25">
      <c r="A324" s="2" t="str">
        <v>DGS-I_0323</v>
      </c>
      <c r="B324" s="2" t="str">
        <f t="shared" si="20"/>
        <v>Operations Planning|859DC-1410-001 HaulX</v>
      </c>
      <c r="C324" s="2" t="str">
        <f>_xlfn.LET(_xlpm.result, _xlfn.XLOOKUP(A324,'EA-Fortescue_SDExport'!A:A,'EA-Fortescue_SDExport'!AM:AM), IF(_xlpm.result=0,"",_xlpm.result))</f>
        <v/>
      </c>
      <c r="D324" s="2" t="str">
        <f>_xlfn.LET(_xlpm.result, _xlfn.XLOOKUP(A324,'EA-Fortescue_SDExport'!A:A,'EA-Fortescue_SDExport'!AN:AN), IF(_xlpm.result=0,"",_xlpm.result))</f>
        <v/>
      </c>
      <c r="E324" s="2" t="str">
        <f>_xlfn.XLOOKUP(R324&amp;Z324,Lookups!A:A,Lookups!B:B)</f>
        <v>Stakeholder - Project Interface</v>
      </c>
      <c r="F324" s="2" t="str">
        <f>_xlfn.LET(_xlpm.result, _xlfn.XLOOKUP(A324,'EA-Fortescue_SDExport'!A:A,'EA-Fortescue_SDExport'!AP:AP), IF(_xlpm.result=0,"",_xlpm.result))</f>
        <v>Functional</v>
      </c>
      <c r="G324" s="2" t="str">
        <f>IF(OR(AND(T324&lt;&gt;"", COUNTIF(Lookups!J:J, "*"&amp;T324&amp;"*")&gt;0), AND(AB324&lt;&gt;"", COUNTIF(Lookups!J:J, "*"&amp;AB324&amp;"*")&gt;0)), "Yes", "No")</f>
        <v>No</v>
      </c>
      <c r="H324" s="2" t="str">
        <f t="shared" si="21"/>
        <v>N/A|859DC HaulX</v>
      </c>
      <c r="I324" s="2" t="str">
        <f t="shared" si="22"/>
        <v>N/A</v>
      </c>
      <c r="J324" s="2" t="str">
        <f t="shared" si="23"/>
        <v>N/A|859DC-1410-001 HaulX</v>
      </c>
      <c r="K324" s="2" t="str">
        <f>_xlfn.XLOOKUP(A324,'EA-Fortescue_SDExport'!A:A,'EA-Fortescue_SDExport'!N:N)</f>
        <v>Proposed</v>
      </c>
      <c r="L324" s="2" t="str">
        <f>_xlfn.LET(_xlpm.result, _xlfn.XLOOKUP($A324,'EA-Fortescue_SDExport'!$A:$A,'EA-Fortescue_SDExport'!AQ:AQ), IF(_xlpm.result=0,"",_xlpm.result))</f>
        <v>This interface enables Operations Planning to provide HaulX with medium-term production expectations, dig priorities, and operational targets so fleet dispatch aligns with the upcoming plan.</v>
      </c>
      <c r="M324" s="2" t="str">
        <f>_xlfn.LET(_xlpm.result, _xlfn.XLOOKUP($A324,'EA-Fortescue_SDExport'!$A:$A,'EA-Fortescue_SDExport'!AR:AR), IF(_xlpm.result=0,"",_xlpm.result))</f>
        <v>LOW</v>
      </c>
      <c r="N324" s="2" t="str">
        <f>_xlfn.LET(_xlpm.result, _xlfn.XLOOKUP($A324,'EA-Fortescue_SDExport'!$A:$A,'EA-Fortescue_SDExport'!AW:AW), IF(_xlpm.result=0,"",_xlpm.result))</f>
        <v>The criticality level is LOW because, while alignment with medium-term production goals will be reduced, dispatching can continue without planning context. Loss of this interface affects planning accuracy and operational efficiency but does not interrupt haulage or create safety risks.</v>
      </c>
      <c r="O324" s="2" t="str">
        <f>_xlfn.LET(_xlpm.result, _xlfn.XLOOKUP($A324,'EA-Fortescue_SDExport'!$A:$A,'EA-Fortescue_SDExport'!AV:AV), IF(_xlpm.result=0,"",_xlpm.result))</f>
        <v>Data Flow:_x000D_
Operations Planning -&gt; 859DC-1410-001 HaulX. This interface enables Operations Planning to provide HaulX with medium-term production expectations, dig priorities, and operational targets so fleet dispatch aligns with the upcoming plan.</v>
      </c>
      <c r="P324" s="2" t="str">
        <f>_xlfn.LET(_xlpm.result, _xlfn.XLOOKUP($A324,'EA-Fortescue_SDExport'!$A:$A,'EA-Fortescue_SDExport'!D:D), IF(_xlpm.result=0,"",_xlpm.result))</f>
        <v/>
      </c>
      <c r="Q324" s="2" t="str">
        <f>_xlfn.LET(
    _xlpm.status, _xlfn.XLOOKUP($A324,'EA-ConnectorExport'!$A:$A,'EA-ConnectorExport'!G:G),
    _xlpm.result, _xlfn.XLOOKUP($A324,'EA-ConnectorExport'!$A:$A,'EA-ConnectorExport'!B:B),
    IF(_xlpm.status="allocate", _xlpm.result, "")
)</f>
        <v>Operations Planning</v>
      </c>
      <c r="R324" s="2" t="str">
        <f>IF(
    _xlfn.XLOOKUP($Q324,'EA-Fortescue_SDExport'!A:A,'EA-Fortescue_SDExport'!B:B)="Object",
    _xlfn.XLOOKUP(
        _xlfn.XLOOKUP($A324,'EA-ConnectorExport'!A:A,'EA-ConnectorExport'!D:D),
        'EA-Fortescue_SDExport'!A:A,
        'EA-Fortescue_SDExport'!AA:AA
    ),
    _xlfn.XLOOKUP($Q324,'EA-Fortescue_SDExport'!A:A,'EA-Fortescue_SDExport'!AA:AA)
)</f>
        <v>Stakeholder</v>
      </c>
      <c r="S324" s="2" t="str">
        <f>_xlfn.LET(_xlpm.result, _xlfn.XLOOKUP($Q324,'EA-Fortescue_SDExport'!$A:$A,'EA-Fortescue_SDExport'!AB:AB), IF(_xlpm.result=0,"",_xlpm.result))</f>
        <v/>
      </c>
      <c r="T324" s="2" t="str">
        <f>_xlfn.LET(_xlpm.result, _xlfn.XLOOKUP($Q324,'EA-Fortescue_SDExport'!$A:$A,'EA-Fortescue_SDExport'!AC:AC), IF(_xlpm.result=0,"",_xlpm.result))</f>
        <v/>
      </c>
      <c r="U324" s="2" t="str">
        <f>_xlfn.LET(
    _xlpm.isObject, _xlfn.XLOOKUP($Q324,'EA-Fortescue_SDExport'!A:A,'EA-Fortescue_SDExport'!B:B),
    _xlpm.lookupKey, IF(_xlpm.isObject="Object",
        _xlfn.XLOOKUP($A324,'EA-ConnectorExport'!A:A,'EA-ConnectorExport'!D:D),
        $Q324
    ),
    _xlpm.result, _xlfn.XLOOKUP(_xlpm.lookupKey,'EA-Fortescue_SDExport'!A:A,'EA-Fortescue_SDExport'!AD:AD),
    IF(_xlpm.result=0,"",_xlpm.result)
)</f>
        <v/>
      </c>
      <c r="V324" s="2" t="str">
        <f>_xlfn.LET(
    _xlpm.isObject, _xlfn.XLOOKUP($Q324,'EA-Fortescue_SDExport'!A:A,'EA-Fortescue_SDExport'!B:B),
    _xlpm.lookupKey, IF(_xlpm.isObject="Object",
        _xlfn.XLOOKUP($A324,'EA-ConnectorExport'!A:A,'EA-ConnectorExport'!D:D),
        $Q324
    ),
    _xlpm.result, _xlfn.XLOOKUP(_xlpm.lookupKey,'EA-Fortescue_SDExport'!A:A,'EA-Fortescue_SDExport'!AE:AE),
    IF(_xlpm.result=0,"",_xlpm.result)
)</f>
        <v/>
      </c>
      <c r="W324" s="2" t="str">
        <f>_xlfn.LET(
    _xlpm.isObject, _xlfn.XLOOKUP($Q324,'EA-Fortescue_SDExport'!A:A,'EA-Fortescue_SDExport'!B:B),
    _xlpm.lookupKey, IF(_xlpm.isObject="Object",
        _xlfn.XLOOKUP($A324,'EA-ConnectorExport'!A:A,'EA-ConnectorExport'!D:D),
        $Q324
    ),
    _xlpm.result, _xlfn.XLOOKUP(_xlpm.lookupKey,'EA-Fortescue_SDExport'!A:A,'EA-Fortescue_SDExport'!AF:AF),
    IF(_xlpm.result=0,"",_xlpm.result)
)</f>
        <v/>
      </c>
      <c r="X324" s="2" t="str">
        <f>_xlfn.LET(
    _xlpm.isObject, _xlfn.XLOOKUP($Q324,'EA-Fortescue_SDExport'!A:A,'EA-Fortescue_SDExport'!B:B),
    _xlpm.lookupKey, IF(_xlpm.isObject="Object",
        _xlfn.XLOOKUP($A324,'EA-ConnectorExport'!A:A,'EA-ConnectorExport'!D:D),
        $Q324
    ),
    _xlpm.result, _xlfn.XLOOKUP(_xlpm.lookupKey,'EA-Fortescue_SDExport'!A:A,'EA-Fortescue_SDExport'!AG:AG),
    IF(_xlpm.result=0,"",_xlpm.result)
)</f>
        <v/>
      </c>
      <c r="Y324" s="2" t="str">
        <f>_xlfn.LET(
    _xlpm.status, _xlfn.XLOOKUP($A324,'EA-ConnectorExport'!$A:$A,'EA-ConnectorExport'!G:G),
    _xlpm.result, _xlfn.XLOOKUP($A324,'EA-ConnectorExport'!$A:$A,'EA-ConnectorExport'!H:H),
    IF(_xlpm.status="allocate", _xlpm.result, "")
)</f>
        <v>859DC-1410-001 HaulX</v>
      </c>
      <c r="Z324" s="2" t="str">
        <f>_xlfn.LET(
    _xlpm.isObject, _xlfn.XLOOKUP($Y324,'EA-Fortescue_SDExport'!A:A,'EA-Fortescue_SDExport'!B:B),
    _xlpm.lookupKey, IF(_xlpm.isObject="Object",
        _xlfn.XLOOKUP($A324,'EA-ConnectorExport'!A:A,'EA-ConnectorExport'!J:J),
        $Y324
    ),
    _xlpm.result, _xlfn.XLOOKUP(_xlpm.lookupKey,'EA-Fortescue_SDExport'!A:A,'EA-Fortescue_SDExport'!AA:AA),
    IF(_xlpm.result=0,"",_xlpm.result)
)</f>
        <v>Project</v>
      </c>
      <c r="AA324" s="2" t="str">
        <f>_xlfn.LET(_xlpm.result, _xlfn.XLOOKUP($Y324,'EA-Fortescue_SDExport'!$A:$A,'EA-Fortescue_SDExport'!AB:AB), IF(_xlpm.result=0,"",_xlpm.result))</f>
        <v/>
      </c>
      <c r="AB324" s="2" t="str">
        <f>_xlfn.LET(_xlpm.result, _xlfn.XLOOKUP($Y324,'EA-Fortescue_SDExport'!$A:$A,'EA-Fortescue_SDExport'!AC:AC), IF(_xlpm.result=0,"",_xlpm.result))</f>
        <v/>
      </c>
      <c r="AC324" s="2" t="str">
        <f>_xlfn.LET(
    _xlpm.isObject, _xlfn.XLOOKUP($Y324,'EA-Fortescue_SDExport'!A:A,'EA-Fortescue_SDExport'!B:B),
    _xlpm.lookupKey, IF(_xlpm.isObject="Object",
        _xlfn.XLOOKUP($A324,'EA-ConnectorExport'!A:A,'EA-ConnectorExport'!J:J),
        $Y324
    ),
    _xlpm.result, _xlfn.XLOOKUP(_xlpm.lookupKey,'EA-Fortescue_SDExport'!A:A,'EA-Fortescue_SDExport'!AD:AD),
    IF(_xlpm.result=0,"",_xlpm.result)
)</f>
        <v>859DC HaulX</v>
      </c>
      <c r="AD324" s="2" t="str">
        <f>_xlfn.LET(
    _xlpm.isObject, _xlfn.XLOOKUP($Y324,'EA-Fortescue_SDExport'!A:A,'EA-Fortescue_SDExport'!B:B),
    _xlpm.lookupKey, IF(_xlpm.isObject="Object",
        _xlfn.XLOOKUP($A324,'EA-ConnectorExport'!A:A,'EA-ConnectorExport'!J:J),
        $Y324
    ),
    _xlpm.result, _xlfn.XLOOKUP(_xlpm.lookupKey,'EA-Fortescue_SDExport'!A:A,'EA-Fortescue_SDExport'!AE:AE),
    IF(_xlpm.result=0,"",_xlpm.result)
)</f>
        <v/>
      </c>
      <c r="AE324" s="2" t="str">
        <f>_xlfn.LET(
    _xlpm.isObject, _xlfn.XLOOKUP($Y324,'EA-Fortescue_SDExport'!A:A,'EA-Fortescue_SDExport'!B:B),
    _xlpm.lookupKey, IF(_xlpm.isObject="Object",
        _xlfn.XLOOKUP($A324,'EA-ConnectorExport'!A:A,'EA-ConnectorExport'!J:J),
        $Y324
    ),
    _xlpm.result, _xlfn.XLOOKUP(_xlpm.lookupKey,'EA-Fortescue_SDExport'!A:A,'EA-Fortescue_SDExport'!AF:AF),
    IF(_xlpm.result=0,"",_xlpm.result)
)</f>
        <v>859DC-1410-001 HaulX</v>
      </c>
      <c r="AF324" s="2" t="str">
        <f>_xlfn.LET(
    _xlpm.isObject, _xlfn.XLOOKUP($Y324,'EA-Fortescue_SDExport'!A:A,'EA-Fortescue_SDExport'!B:B),
    _xlpm.lookupKey, IF(_xlpm.isObject="Object",
        _xlfn.XLOOKUP($A324,'EA-ConnectorExport'!A:A,'EA-ConnectorExport'!J:J),
        $Y324
    ),
    _xlpm.result, _xlfn.XLOOKUP(_xlpm.lookupKey,'EA-Fortescue_SDExport'!A:A,'EA-Fortescue_SDExport'!AG:AG),
    IF(_xlpm.result=0,"",_xlpm.result)
)</f>
        <v/>
      </c>
    </row>
    <row r="325" spans="1:32" ht="240" x14ac:dyDescent="0.25">
      <c r="A325" s="2" t="str">
        <v>DGS-I_0324</v>
      </c>
      <c r="B325" s="2" t="str">
        <f t="shared" si="20"/>
        <v>Operations Planning|855DC-1541-PPC Pit Power Capacity Planning Tool - Design Optimisation</v>
      </c>
      <c r="C325" s="2" t="str">
        <f>_xlfn.LET(_xlpm.result, _xlfn.XLOOKUP(A325,'EA-Fortescue_SDExport'!A:A,'EA-Fortescue_SDExport'!AM:AM), IF(_xlpm.result=0,"",_xlpm.result))</f>
        <v/>
      </c>
      <c r="D325" s="2" t="str">
        <f>_xlfn.LET(_xlpm.result, _xlfn.XLOOKUP(A325,'EA-Fortescue_SDExport'!A:A,'EA-Fortescue_SDExport'!AN:AN), IF(_xlpm.result=0,"",_xlpm.result))</f>
        <v/>
      </c>
      <c r="E325" s="2" t="str">
        <f>_xlfn.XLOOKUP(R325&amp;Z325,Lookups!A:A,Lookups!B:B)</f>
        <v>Stakeholder - Project Interface</v>
      </c>
      <c r="F325" s="2" t="str">
        <f>_xlfn.LET(_xlpm.result, _xlfn.XLOOKUP(A325,'EA-Fortescue_SDExport'!A:A,'EA-Fortescue_SDExport'!AP:AP), IF(_xlpm.result=0,"",_xlpm.result))</f>
        <v/>
      </c>
      <c r="G325" s="2" t="str">
        <f>IF(OR(AND(T325&lt;&gt;"", COUNTIF(Lookups!J:J, "*"&amp;T325&amp;"*")&gt;0), AND(AB325&lt;&gt;"", COUNTIF(Lookups!J:J, "*"&amp;AB325&amp;"*")&gt;0)), "Yes", "No")</f>
        <v>No</v>
      </c>
      <c r="H325" s="2" t="str">
        <f t="shared" si="21"/>
        <v>N/A|855DC Decarb Green Systems</v>
      </c>
      <c r="I325" s="2" t="str">
        <f t="shared" si="22"/>
        <v>N/A|855DC-1541 Planning and Forecast Systems</v>
      </c>
      <c r="J325" s="2" t="str">
        <f t="shared" si="23"/>
        <v>N/A|855DC-1541-PPC Pit Power Capacity Planning Tool - Design Optimisation</v>
      </c>
      <c r="K325" s="2" t="str">
        <f>_xlfn.XLOOKUP(A325,'EA-Fortescue_SDExport'!A:A,'EA-Fortescue_SDExport'!N:N)</f>
        <v>Proposed</v>
      </c>
      <c r="L325" s="2" t="str">
        <f>_xlfn.LET(_xlpm.result, _xlfn.XLOOKUP($A325,'EA-Fortescue_SDExport'!$A:$A,'EA-Fortescue_SDExport'!AQ:AQ), IF(_xlpm.result=0,"",_xlpm.result))</f>
        <v/>
      </c>
      <c r="M325" s="2" t="str">
        <f>_xlfn.LET(_xlpm.result, _xlfn.XLOOKUP($A325,'EA-Fortescue_SDExport'!$A:$A,'EA-Fortescue_SDExport'!AR:AR), IF(_xlpm.result=0,"",_xlpm.result))</f>
        <v/>
      </c>
      <c r="N325" s="2" t="str">
        <f>_xlfn.LET(_xlpm.result, _xlfn.XLOOKUP($A325,'EA-Fortescue_SDExport'!$A:$A,'EA-Fortescue_SDExport'!AW:AW), IF(_xlpm.result=0,"",_xlpm.result))</f>
        <v/>
      </c>
      <c r="O325" s="2" t="str">
        <f>_xlfn.LET(_xlpm.result, _xlfn.XLOOKUP($A325,'EA-Fortescue_SDExport'!$A:$A,'EA-Fortescue_SDExport'!AV:AV), IF(_xlpm.result=0,"",_xlpm.result))</f>
        <v/>
      </c>
      <c r="P325" s="2" t="str">
        <f>_xlfn.LET(_xlpm.result, _xlfn.XLOOKUP($A325,'EA-Fortescue_SDExport'!$A:$A,'EA-Fortescue_SDExport'!D:D), IF(_xlpm.result=0,"",_xlpm.result))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Q325" s="2" t="str">
        <f>_xlfn.LET(
    _xlpm.status, _xlfn.XLOOKUP($A325,'EA-ConnectorExport'!$A:$A,'EA-ConnectorExport'!G:G),
    _xlpm.result, _xlfn.XLOOKUP($A325,'EA-ConnectorExport'!$A:$A,'EA-ConnectorExport'!B:B),
    IF(_xlpm.status="allocate", _xlpm.result, "")
)</f>
        <v>Operations Planning</v>
      </c>
      <c r="R325" s="2" t="str">
        <f>IF(
    _xlfn.XLOOKUP($Q325,'EA-Fortescue_SDExport'!A:A,'EA-Fortescue_SDExport'!B:B)="Object",
    _xlfn.XLOOKUP(
        _xlfn.XLOOKUP($A325,'EA-ConnectorExport'!A:A,'EA-ConnectorExport'!D:D),
        'EA-Fortescue_SDExport'!A:A,
        'EA-Fortescue_SDExport'!AA:AA
    ),
    _xlfn.XLOOKUP($Q325,'EA-Fortescue_SDExport'!A:A,'EA-Fortescue_SDExport'!AA:AA)
)</f>
        <v>Stakeholder</v>
      </c>
      <c r="S325" s="2" t="str">
        <f>_xlfn.LET(_xlpm.result, _xlfn.XLOOKUP($Q325,'EA-Fortescue_SDExport'!$A:$A,'EA-Fortescue_SDExport'!AB:AB), IF(_xlpm.result=0,"",_xlpm.result))</f>
        <v/>
      </c>
      <c r="T325" s="2" t="str">
        <f>_xlfn.LET(_xlpm.result, _xlfn.XLOOKUP($Q325,'EA-Fortescue_SDExport'!$A:$A,'EA-Fortescue_SDExport'!AC:AC), IF(_xlpm.result=0,"",_xlpm.result))</f>
        <v/>
      </c>
      <c r="U325" s="2" t="str">
        <f>_xlfn.LET(
    _xlpm.isObject, _xlfn.XLOOKUP($Q325,'EA-Fortescue_SDExport'!A:A,'EA-Fortescue_SDExport'!B:B),
    _xlpm.lookupKey, IF(_xlpm.isObject="Object",
        _xlfn.XLOOKUP($A325,'EA-ConnectorExport'!A:A,'EA-ConnectorExport'!D:D),
        $Q325
    ),
    _xlpm.result, _xlfn.XLOOKUP(_xlpm.lookupKey,'EA-Fortescue_SDExport'!A:A,'EA-Fortescue_SDExport'!AD:AD),
    IF(_xlpm.result=0,"",_xlpm.result)
)</f>
        <v/>
      </c>
      <c r="V325" s="2" t="str">
        <f>_xlfn.LET(
    _xlpm.isObject, _xlfn.XLOOKUP($Q325,'EA-Fortescue_SDExport'!A:A,'EA-Fortescue_SDExport'!B:B),
    _xlpm.lookupKey, IF(_xlpm.isObject="Object",
        _xlfn.XLOOKUP($A325,'EA-ConnectorExport'!A:A,'EA-ConnectorExport'!D:D),
        $Q325
    ),
    _xlpm.result, _xlfn.XLOOKUP(_xlpm.lookupKey,'EA-Fortescue_SDExport'!A:A,'EA-Fortescue_SDExport'!AE:AE),
    IF(_xlpm.result=0,"",_xlpm.result)
)</f>
        <v/>
      </c>
      <c r="W325" s="2" t="str">
        <f>_xlfn.LET(
    _xlpm.isObject, _xlfn.XLOOKUP($Q325,'EA-Fortescue_SDExport'!A:A,'EA-Fortescue_SDExport'!B:B),
    _xlpm.lookupKey, IF(_xlpm.isObject="Object",
        _xlfn.XLOOKUP($A325,'EA-ConnectorExport'!A:A,'EA-ConnectorExport'!D:D),
        $Q325
    ),
    _xlpm.result, _xlfn.XLOOKUP(_xlpm.lookupKey,'EA-Fortescue_SDExport'!A:A,'EA-Fortescue_SDExport'!AF:AF),
    IF(_xlpm.result=0,"",_xlpm.result)
)</f>
        <v/>
      </c>
      <c r="X325" s="2" t="str">
        <f>_xlfn.LET(
    _xlpm.isObject, _xlfn.XLOOKUP($Q325,'EA-Fortescue_SDExport'!A:A,'EA-Fortescue_SDExport'!B:B),
    _xlpm.lookupKey, IF(_xlpm.isObject="Object",
        _xlfn.XLOOKUP($A325,'EA-ConnectorExport'!A:A,'EA-ConnectorExport'!D:D),
        $Q325
    ),
    _xlpm.result, _xlfn.XLOOKUP(_xlpm.lookupKey,'EA-Fortescue_SDExport'!A:A,'EA-Fortescue_SDExport'!AG:AG),
    IF(_xlpm.result=0,"",_xlpm.result)
)</f>
        <v/>
      </c>
      <c r="Y325" s="2" t="str">
        <f>_xlfn.LET(
    _xlpm.status, _xlfn.XLOOKUP($A325,'EA-ConnectorExport'!$A:$A,'EA-ConnectorExport'!G:G),
    _xlpm.result, _xlfn.XLOOKUP($A325,'EA-ConnectorExport'!$A:$A,'EA-ConnectorExport'!H:H),
    IF(_xlpm.status="allocate", _xlpm.result, "")
)</f>
        <v>855DC-1541-PPC Pit Power Capacity Planning Tool - Design Optimisation</v>
      </c>
      <c r="Z325" s="2" t="str">
        <f>_xlfn.LET(
    _xlpm.isObject, _xlfn.XLOOKUP($Y325,'EA-Fortescue_SDExport'!A:A,'EA-Fortescue_SDExport'!B:B),
    _xlpm.lookupKey, IF(_xlpm.isObject="Object",
        _xlfn.XLOOKUP($A325,'EA-ConnectorExport'!A:A,'EA-ConnectorExport'!J:J),
        $Y325
    ),
    _xlpm.result, _xlfn.XLOOKUP(_xlpm.lookupKey,'EA-Fortescue_SDExport'!A:A,'EA-Fortescue_SDExport'!AA:AA),
    IF(_xlpm.result=0,"",_xlpm.result)
)</f>
        <v>Project</v>
      </c>
      <c r="AA325" s="2" t="str">
        <f>_xlfn.LET(_xlpm.result, _xlfn.XLOOKUP($Y325,'EA-Fortescue_SDExport'!$A:$A,'EA-Fortescue_SDExport'!AB:AB), IF(_xlpm.result=0,"",_xlpm.result))</f>
        <v/>
      </c>
      <c r="AB325" s="2" t="str">
        <f>_xlfn.LET(_xlpm.result, _xlfn.XLOOKUP($Y325,'EA-Fortescue_SDExport'!$A:$A,'EA-Fortescue_SDExport'!AC:AC), IF(_xlpm.result=0,"",_xlpm.result))</f>
        <v>AWS Fortescue Infrastructure</v>
      </c>
      <c r="AC325" s="2" t="str">
        <f>_xlfn.LET(
    _xlpm.isObject, _xlfn.XLOOKUP($Y325,'EA-Fortescue_SDExport'!A:A,'EA-Fortescue_SDExport'!B:B),
    _xlpm.lookupKey, IF(_xlpm.isObject="Object",
        _xlfn.XLOOKUP($A325,'EA-ConnectorExport'!A:A,'EA-ConnectorExport'!J:J),
        $Y325
    ),
    _xlpm.result, _xlfn.XLOOKUP(_xlpm.lookupKey,'EA-Fortescue_SDExport'!A:A,'EA-Fortescue_SDExport'!AD:AD),
    IF(_xlpm.result=0,"",_xlpm.result)
)</f>
        <v>855DC Decarb Green Systems</v>
      </c>
      <c r="AD325" s="2" t="str">
        <f>_xlfn.LET(
    _xlpm.isObject, _xlfn.XLOOKUP($Y325,'EA-Fortescue_SDExport'!A:A,'EA-Fortescue_SDExport'!B:B),
    _xlpm.lookupKey, IF(_xlpm.isObject="Object",
        _xlfn.XLOOKUP($A325,'EA-ConnectorExport'!A:A,'EA-ConnectorExport'!J:J),
        $Y325
    ),
    _xlpm.result, _xlfn.XLOOKUP(_xlpm.lookupKey,'EA-Fortescue_SDExport'!A:A,'EA-Fortescue_SDExport'!AE:AE),
    IF(_xlpm.result=0,"",_xlpm.result)
)</f>
        <v>855DC-1541 Planning and Forecast Systems</v>
      </c>
      <c r="AE325" s="2" t="str">
        <f>_xlfn.LET(
    _xlpm.isObject, _xlfn.XLOOKUP($Y325,'EA-Fortescue_SDExport'!A:A,'EA-Fortescue_SDExport'!B:B),
    _xlpm.lookupKey, IF(_xlpm.isObject="Object",
        _xlfn.XLOOKUP($A325,'EA-ConnectorExport'!A:A,'EA-ConnectorExport'!J:J),
        $Y325
    ),
    _xlpm.result, _xlfn.XLOOKUP(_xlpm.lookupKey,'EA-Fortescue_SDExport'!A:A,'EA-Fortescue_SDExport'!AF:AF),
    IF(_xlpm.result=0,"",_xlpm.result)
)</f>
        <v>855DC-1541-PPC Pit Power Capacity Planning Tool - Design Optimisation</v>
      </c>
      <c r="AF325" s="2" t="str">
        <f>_xlfn.LET(
    _xlpm.isObject, _xlfn.XLOOKUP($Y325,'EA-Fortescue_SDExport'!A:A,'EA-Fortescue_SDExport'!B:B),
    _xlpm.lookupKey, IF(_xlpm.isObject="Object",
        _xlfn.XLOOKUP($A325,'EA-ConnectorExport'!A:A,'EA-ConnectorExport'!J:J),
        $Y325
    ),
    _xlpm.result, _xlfn.XLOOKUP(_xlpm.lookupKey,'EA-Fortescue_SDExport'!A:A,'EA-Fortescue_SDExport'!AG:AG),
    IF(_xlpm.result=0,"",_xlpm.result)
)</f>
        <v/>
      </c>
    </row>
    <row r="326" spans="1:32" ht="165" x14ac:dyDescent="0.25">
      <c r="A326" s="2" t="str">
        <v>DGS-I_0325</v>
      </c>
      <c r="B326" s="2" t="str">
        <f t="shared" si="20"/>
        <v>005OP-0000-005-003 Snowflake (Weather)|855DC-1541-DEL Delphi</v>
      </c>
      <c r="C326" s="2" t="str">
        <f>_xlfn.LET(_xlpm.result, _xlfn.XLOOKUP(A326,'EA-Fortescue_SDExport'!A:A,'EA-Fortescue_SDExport'!AM:AM), IF(_xlpm.result=0,"",_xlpm.result))</f>
        <v>Abby Buters</v>
      </c>
      <c r="D326" s="2" t="str">
        <f>_xlfn.LET(_xlpm.result, _xlfn.XLOOKUP(A326,'EA-Fortescue_SDExport'!A:A,'EA-Fortescue_SDExport'!AN:AN), IF(_xlpm.result=0,"",_xlpm.result))</f>
        <v>Snowflake BAZ TBC</v>
      </c>
      <c r="E326" s="2" t="str">
        <f>_xlfn.XLOOKUP(R326&amp;Z326,Lookups!A:A,Lookups!B:B)</f>
        <v>Project - Subsystem Interface</v>
      </c>
      <c r="F326" s="2" t="str">
        <f>_xlfn.LET(_xlpm.result, _xlfn.XLOOKUP(A326,'EA-Fortescue_SDExport'!A:A,'EA-Fortescue_SDExport'!AP:AP), IF(_xlpm.result=0,"",_xlpm.result))</f>
        <v>Technical-Data/Software</v>
      </c>
      <c r="G326" s="2" t="str">
        <f>IF(OR(AND(T326&lt;&gt;"", COUNTIF(Lookups!J:J, "*"&amp;T326&amp;"*")&gt;0), AND(AB326&lt;&gt;"", COUNTIF(Lookups!J:J, "*"&amp;AB326&amp;"*")&gt;0)), "Yes", "No")</f>
        <v>No</v>
      </c>
      <c r="H326" s="2" t="str">
        <f t="shared" si="21"/>
        <v>005OP IT/OT Systems|855DC Decarb Green Systems</v>
      </c>
      <c r="I326" s="2" t="str">
        <f t="shared" si="22"/>
        <v>N/A|855DC-1541 Planning and Forecast Systems</v>
      </c>
      <c r="J326" s="2" t="str">
        <f t="shared" si="23"/>
        <v>005OP-0000-005 Weather Forecasting|855DC-1541-DEL Delphi</v>
      </c>
      <c r="K326" s="2" t="str">
        <f>_xlfn.XLOOKUP(A326,'EA-Fortescue_SDExport'!A:A,'EA-Fortescue_SDExport'!N:N)</f>
        <v>Proposed</v>
      </c>
      <c r="L326" s="2" t="str">
        <f>_xlfn.LET(_xlpm.result, _xlfn.XLOOKUP($A326,'EA-Fortescue_SDExport'!$A:$A,'EA-Fortescue_SDExport'!AQ:AQ), IF(_xlpm.result=0,"",_xlpm.result))</f>
        <v>Weather Actuals - 15-Year Historical Weather Dataset (Snowflake)_x000D_
The purpose of this interface is to provide up to 15 years of historical weather data - including rain, wind, lightning, and other key variables - via Snowflake through the Weather Actuals system. Eclipse uses this long-term dataset to train and validate forecasting models, analyse historical patterns, and support long-term operational and strategic planning.</v>
      </c>
      <c r="M326" s="2" t="str">
        <f>_xlfn.LET(_xlpm.result, _xlfn.XLOOKUP($A326,'EA-Fortescue_SDExport'!$A:$A,'EA-Fortescue_SDExport'!AR:AR), IF(_xlpm.result=0,"",_xlpm.result))</f>
        <v>HIGH</v>
      </c>
      <c r="N326" s="2" t="str">
        <f>_xlfn.LET(_xlpm.result, _xlfn.XLOOKUP($A326,'EA-Fortescue_SDExport'!$A:$A,'EA-Fortescue_SDExport'!AW:AW), IF(_xlpm.result=0,"",_xlpm.result))</f>
        <v>The criticality level is HIGH because a deep and accurate historical weather record is essential for building reliable forecasting models. Failure compromises long-term operational and strategic planning decisions.</v>
      </c>
      <c r="O326" s="2" t="str">
        <f>_xlfn.LET(_xlpm.result, _xlfn.XLOOKUP($A326,'EA-Fortescue_SDExport'!$A:$A,'EA-Fortescue_SDExport'!AV:AV), IF(_xlpm.result=0,"",_xlpm.result))</f>
        <v>Weather Actuals Snowflake dataset -&gt; Delphi/Eclipse Snowflake (uni-directional).</v>
      </c>
      <c r="P326" s="2" t="str">
        <f>_xlfn.LET(_xlpm.result, _xlfn.XLOOKUP($A326,'EA-Fortescue_SDExport'!$A:$A,'EA-Fortescue_SDExport'!D:D), IF(_xlpm.result=0,"",_xlpm.result))</f>
        <v/>
      </c>
      <c r="Q326" s="2" t="str">
        <f>_xlfn.LET(
    _xlpm.status, _xlfn.XLOOKUP($A326,'EA-ConnectorExport'!$A:$A,'EA-ConnectorExport'!G:G),
    _xlpm.result, _xlfn.XLOOKUP($A326,'EA-ConnectorExport'!$A:$A,'EA-ConnectorExport'!B:B),
    IF(_xlpm.status="allocate", _xlpm.result, "")
)</f>
        <v>005OP-0000-005-003 Snowflake (Weather)</v>
      </c>
      <c r="R326" s="2" t="str">
        <f>IF(
    _xlfn.XLOOKUP($Q326,'EA-Fortescue_SDExport'!A:A,'EA-Fortescue_SDExport'!B:B)="Object",
    _xlfn.XLOOKUP(
        _xlfn.XLOOKUP($A326,'EA-ConnectorExport'!A:A,'EA-ConnectorExport'!D:D),
        'EA-Fortescue_SDExport'!A:A,
        'EA-Fortescue_SDExport'!AA:AA
    ),
    _xlfn.XLOOKUP($Q326,'EA-Fortescue_SDExport'!A:A,'EA-Fortescue_SDExport'!AA:AA)
)</f>
        <v>Subsystem</v>
      </c>
      <c r="S326" s="2" t="str">
        <f>_xlfn.LET(_xlpm.result, _xlfn.XLOOKUP($Q326,'EA-Fortescue_SDExport'!$A:$A,'EA-Fortescue_SDExport'!AB:AB), IF(_xlpm.result=0,"",_xlpm.result))</f>
        <v/>
      </c>
      <c r="T326" s="2" t="str">
        <f>_xlfn.LET(_xlpm.result, _xlfn.XLOOKUP($Q326,'EA-Fortescue_SDExport'!$A:$A,'EA-Fortescue_SDExport'!AC:AC), IF(_xlpm.result=0,"",_xlpm.result))</f>
        <v/>
      </c>
      <c r="U326" s="2" t="str">
        <f>_xlfn.LET(
    _xlpm.isObject, _xlfn.XLOOKUP($Q326,'EA-Fortescue_SDExport'!A:A,'EA-Fortescue_SDExport'!B:B),
    _xlpm.lookupKey, IF(_xlpm.isObject="Object",
        _xlfn.XLOOKUP($A326,'EA-ConnectorExport'!A:A,'EA-ConnectorExport'!D:D),
        $Q326
    ),
    _xlpm.result, _xlfn.XLOOKUP(_xlpm.lookupKey,'EA-Fortescue_SDExport'!A:A,'EA-Fortescue_SDExport'!AD:AD),
    IF(_xlpm.result=0,"",_xlpm.result)
)</f>
        <v>005OP IT/OT Systems</v>
      </c>
      <c r="V326" s="2" t="str">
        <f>_xlfn.LET(
    _xlpm.isObject, _xlfn.XLOOKUP($Q326,'EA-Fortescue_SDExport'!A:A,'EA-Fortescue_SDExport'!B:B),
    _xlpm.lookupKey, IF(_xlpm.isObject="Object",
        _xlfn.XLOOKUP($A326,'EA-ConnectorExport'!A:A,'EA-ConnectorExport'!D:D),
        $Q326
    ),
    _xlpm.result, _xlfn.XLOOKUP(_xlpm.lookupKey,'EA-Fortescue_SDExport'!A:A,'EA-Fortescue_SDExport'!AE:AE),
    IF(_xlpm.result=0,"",_xlpm.result)
)</f>
        <v/>
      </c>
      <c r="W326" s="2" t="str">
        <f>_xlfn.LET(
    _xlpm.isObject, _xlfn.XLOOKUP($Q326,'EA-Fortescue_SDExport'!A:A,'EA-Fortescue_SDExport'!B:B),
    _xlpm.lookupKey, IF(_xlpm.isObject="Object",
        _xlfn.XLOOKUP($A326,'EA-ConnectorExport'!A:A,'EA-ConnectorExport'!D:D),
        $Q326
    ),
    _xlpm.result, _xlfn.XLOOKUP(_xlpm.lookupKey,'EA-Fortescue_SDExport'!A:A,'EA-Fortescue_SDExport'!AF:AF),
    IF(_xlpm.result=0,"",_xlpm.result)
)</f>
        <v>005OP-0000-005 Weather Forecasting</v>
      </c>
      <c r="X326" s="2" t="str">
        <f>_xlfn.LET(
    _xlpm.isObject, _xlfn.XLOOKUP($Q326,'EA-Fortescue_SDExport'!A:A,'EA-Fortescue_SDExport'!B:B),
    _xlpm.lookupKey, IF(_xlpm.isObject="Object",
        _xlfn.XLOOKUP($A326,'EA-ConnectorExport'!A:A,'EA-ConnectorExport'!D:D),
        $Q326
    ),
    _xlpm.result, _xlfn.XLOOKUP(_xlpm.lookupKey,'EA-Fortescue_SDExport'!A:A,'EA-Fortescue_SDExport'!AG:AG),
    IF(_xlpm.result=0,"",_xlpm.result)
)</f>
        <v>005OP-0000-005-003 Snowflake (Weather)</v>
      </c>
      <c r="Y326" s="2" t="str">
        <f>_xlfn.LET(
    _xlpm.status, _xlfn.XLOOKUP($A326,'EA-ConnectorExport'!$A:$A,'EA-ConnectorExport'!G:G),
    _xlpm.result, _xlfn.XLOOKUP($A326,'EA-ConnectorExport'!$A:$A,'EA-ConnectorExport'!H:H),
    IF(_xlpm.status="allocate", _xlpm.result, "")
)</f>
        <v>855DC-1541-DEL Delphi</v>
      </c>
      <c r="Z326" s="2" t="str">
        <f>_xlfn.LET(
    _xlpm.isObject, _xlfn.XLOOKUP($Y326,'EA-Fortescue_SDExport'!A:A,'EA-Fortescue_SDExport'!B:B),
    _xlpm.lookupKey, IF(_xlpm.isObject="Object",
        _xlfn.XLOOKUP($A326,'EA-ConnectorExport'!A:A,'EA-ConnectorExport'!J:J),
        $Y326
    ),
    _xlpm.result, _xlfn.XLOOKUP(_xlpm.lookupKey,'EA-Fortescue_SDExport'!A:A,'EA-Fortescue_SDExport'!AA:AA),
    IF(_xlpm.result=0,"",_xlpm.result)
)</f>
        <v>Project</v>
      </c>
      <c r="AA326" s="2" t="str">
        <f>_xlfn.LET(_xlpm.result, _xlfn.XLOOKUP($Y326,'EA-Fortescue_SDExport'!$A:$A,'EA-Fortescue_SDExport'!AB:AB), IF(_xlpm.result=0,"",_xlpm.result))</f>
        <v>Energy Operations</v>
      </c>
      <c r="AB326" s="2" t="str">
        <f>_xlfn.LET(_xlpm.result, _xlfn.XLOOKUP($Y326,'EA-Fortescue_SDExport'!$A:$A,'EA-Fortescue_SDExport'!AC:AC), IF(_xlpm.result=0,"",_xlpm.result))</f>
        <v/>
      </c>
      <c r="AC326" s="2" t="str">
        <f>_xlfn.LET(
    _xlpm.isObject, _xlfn.XLOOKUP($Y326,'EA-Fortescue_SDExport'!A:A,'EA-Fortescue_SDExport'!B:B),
    _xlpm.lookupKey, IF(_xlpm.isObject="Object",
        _xlfn.XLOOKUP($A326,'EA-ConnectorExport'!A:A,'EA-ConnectorExport'!J:J),
        $Y326
    ),
    _xlpm.result, _xlfn.XLOOKUP(_xlpm.lookupKey,'EA-Fortescue_SDExport'!A:A,'EA-Fortescue_SDExport'!AD:AD),
    IF(_xlpm.result=0,"",_xlpm.result)
)</f>
        <v>855DC Decarb Green Systems</v>
      </c>
      <c r="AD326" s="2" t="str">
        <f>_xlfn.LET(
    _xlpm.isObject, _xlfn.XLOOKUP($Y326,'EA-Fortescue_SDExport'!A:A,'EA-Fortescue_SDExport'!B:B),
    _xlpm.lookupKey, IF(_xlpm.isObject="Object",
        _xlfn.XLOOKUP($A326,'EA-ConnectorExport'!A:A,'EA-ConnectorExport'!J:J),
        $Y326
    ),
    _xlpm.result, _xlfn.XLOOKUP(_xlpm.lookupKey,'EA-Fortescue_SDExport'!A:A,'EA-Fortescue_SDExport'!AE:AE),
    IF(_xlpm.result=0,"",_xlpm.result)
)</f>
        <v>855DC-1541 Planning and Forecast Systems</v>
      </c>
      <c r="AE326" s="2" t="str">
        <f>_xlfn.LET(
    _xlpm.isObject, _xlfn.XLOOKUP($Y326,'EA-Fortescue_SDExport'!A:A,'EA-Fortescue_SDExport'!B:B),
    _xlpm.lookupKey, IF(_xlpm.isObject="Object",
        _xlfn.XLOOKUP($A326,'EA-ConnectorExport'!A:A,'EA-ConnectorExport'!J:J),
        $Y326
    ),
    _xlpm.result, _xlfn.XLOOKUP(_xlpm.lookupKey,'EA-Fortescue_SDExport'!A:A,'EA-Fortescue_SDExport'!AF:AF),
    IF(_xlpm.result=0,"",_xlpm.result)
)</f>
        <v>855DC-1541-DEL Delphi</v>
      </c>
      <c r="AF326" s="2" t="str">
        <f>_xlfn.LET(
    _xlpm.isObject, _xlfn.XLOOKUP($Y326,'EA-Fortescue_SDExport'!A:A,'EA-Fortescue_SDExport'!B:B),
    _xlpm.lookupKey, IF(_xlpm.isObject="Object",
        _xlfn.XLOOKUP($A326,'EA-ConnectorExport'!A:A,'EA-ConnectorExport'!J:J),
        $Y326
    ),
    _xlpm.result, _xlfn.XLOOKUP(_xlpm.lookupKey,'EA-Fortescue_SDExport'!A:A,'EA-Fortescue_SDExport'!AG:AG),
    IF(_xlpm.result=0,"",_xlpm.result)
)</f>
        <v/>
      </c>
    </row>
    <row r="327" spans="1:32" ht="150" x14ac:dyDescent="0.25">
      <c r="A327" s="2" t="str">
        <v>DGS-I_0326</v>
      </c>
      <c r="B327" s="2" t="str">
        <f t="shared" si="20"/>
        <v>BoM|855DC-1541-DEL Delphi</v>
      </c>
      <c r="C327" s="2" t="str">
        <f>_xlfn.LET(_xlpm.result, _xlfn.XLOOKUP(A327,'EA-Fortescue_SDExport'!A:A,'EA-Fortescue_SDExport'!AM:AM), IF(_xlpm.result=0,"",_xlpm.result))</f>
        <v>Abby Buters</v>
      </c>
      <c r="D327" s="2" t="str">
        <f>_xlfn.LET(_xlpm.result, _xlfn.XLOOKUP(A327,'EA-Fortescue_SDExport'!A:A,'EA-Fortescue_SDExport'!AN:AN), IF(_xlpm.result=0,"",_xlpm.result))</f>
        <v>External Government</v>
      </c>
      <c r="E327" s="2" t="str">
        <f>_xlfn.XLOOKUP(R327&amp;Z327,Lookups!A:A,Lookups!B:B)</f>
        <v>External Software - Project Interface</v>
      </c>
      <c r="F327" s="2" t="str">
        <f>_xlfn.LET(_xlpm.result, _xlfn.XLOOKUP(A327,'EA-Fortescue_SDExport'!A:A,'EA-Fortescue_SDExport'!AP:AP), IF(_xlpm.result=0,"",_xlpm.result))</f>
        <v>Technical-Data/Software</v>
      </c>
      <c r="G327" s="2" t="str">
        <f>IF(OR(AND(T327&lt;&gt;"", COUNTIF(Lookups!J:J, "*"&amp;T327&amp;"*")&gt;0), AND(AB327&lt;&gt;"", COUNTIF(Lookups!J:J, "*"&amp;AB327&amp;"*")&gt;0)), "Yes", "No")</f>
        <v>No</v>
      </c>
      <c r="H327" s="2" t="str">
        <f t="shared" si="21"/>
        <v>External Software|855DC Decarb Green Systems</v>
      </c>
      <c r="I327" s="2" t="str">
        <f t="shared" si="22"/>
        <v>External Software|855DC-1541 Planning and Forecast Systems</v>
      </c>
      <c r="J327" s="2" t="str">
        <f t="shared" si="23"/>
        <v>External Software|855DC-1541-DEL Delphi</v>
      </c>
      <c r="K327" s="2" t="str">
        <f>_xlfn.XLOOKUP(A327,'EA-Fortescue_SDExport'!A:A,'EA-Fortescue_SDExport'!N:N)</f>
        <v>Proposed</v>
      </c>
      <c r="L327" s="2" t="str">
        <f>_xlfn.LET(_xlpm.result, _xlfn.XLOOKUP($A327,'EA-Fortescue_SDExport'!$A:$A,'EA-Fortescue_SDExport'!AQ:AQ), IF(_xlpm.result=0,"",_xlpm.result))</f>
        <v>Delphi data transfer through Snowflake (BOM API)_x000D_
The purpose of this interface is to provide Eclipse with up-to-date Bureau of Meteorology (BOM) weather forecasts and actuals to support the short-term planning cycle (up to 48 hours ahead) and to build long-term planning models from historical data. This weather data includes wind, solar, rain, and lightning. Additionally, Elysia Battery Energy Storage System (BESS) state of charge (SoC) actuals are provided to Delphi to support operational decisions regarding charging, discharging, and curtailment.</v>
      </c>
      <c r="M327" s="2" t="str">
        <f>_xlfn.LET(_xlpm.result, _xlfn.XLOOKUP($A327,'EA-Fortescue_SDExport'!$A:$A,'EA-Fortescue_SDExport'!AR:AR), IF(_xlpm.result=0,"",_xlpm.result))</f>
        <v>HIGH</v>
      </c>
      <c r="N327" s="2" t="str">
        <f>_xlfn.LET(_xlpm.result, _xlfn.XLOOKUP($A327,'EA-Fortescue_SDExport'!$A:$A,'EA-Fortescue_SDExport'!AW:AW), IF(_xlpm.result=0,"",_xlpm.result))</f>
        <v>The criticality level is HIGH because failure to receive timely BOM forecast and actual weather data will cause near- and long-term mine plans to be inaccurate, severely compromising planning feasibility.</v>
      </c>
      <c r="O327" s="2" t="str">
        <f>_xlfn.LET(_xlpm.result, _xlfn.XLOOKUP($A327,'EA-Fortescue_SDExport'!$A:$A,'EA-Fortescue_SDExport'!AV:AV), IF(_xlpm.result=0,"",_xlpm.result))</f>
        <v>BOM API -&gt; Delphi (ingest/aggregation) -&gt; Delphi Snowflake database -&gt; Eclipse Snowflake database (uni-directional).</v>
      </c>
      <c r="P327" s="2" t="str">
        <f>_xlfn.LET(_xlpm.result, _xlfn.XLOOKUP($A327,'EA-Fortescue_SDExport'!$A:$A,'EA-Fortescue_SDExport'!D:D), IF(_xlpm.result=0,"",_xlpm.result))</f>
        <v/>
      </c>
      <c r="Q327" s="2" t="str">
        <f>_xlfn.LET(
    _xlpm.status, _xlfn.XLOOKUP($A327,'EA-ConnectorExport'!$A:$A,'EA-ConnectorExport'!G:G),
    _xlpm.result, _xlfn.XLOOKUP($A327,'EA-ConnectorExport'!$A:$A,'EA-ConnectorExport'!B:B),
    IF(_xlpm.status="allocate", _xlpm.result, "")
)</f>
        <v>BoM</v>
      </c>
      <c r="R327" s="2" t="str">
        <f>IF(
    _xlfn.XLOOKUP($Q327,'EA-Fortescue_SDExport'!A:A,'EA-Fortescue_SDExport'!B:B)="Object",
    _xlfn.XLOOKUP(
        _xlfn.XLOOKUP($A327,'EA-ConnectorExport'!A:A,'EA-ConnectorExport'!D:D),
        'EA-Fortescue_SDExport'!A:A,
        'EA-Fortescue_SDExport'!AA:AA
    ),
    _xlfn.XLOOKUP($Q327,'EA-Fortescue_SDExport'!A:A,'EA-Fortescue_SDExport'!AA:AA)
)</f>
        <v>External Software</v>
      </c>
      <c r="S327" s="2" t="str">
        <f>_xlfn.LET(_xlpm.result, _xlfn.XLOOKUP($Q327,'EA-Fortescue_SDExport'!$A:$A,'EA-Fortescue_SDExport'!AB:AB), IF(_xlpm.result=0,"",_xlpm.result))</f>
        <v/>
      </c>
      <c r="T327" s="2" t="str">
        <f>_xlfn.LET(_xlpm.result, _xlfn.XLOOKUP($Q327,'EA-Fortescue_SDExport'!$A:$A,'EA-Fortescue_SDExport'!AC:AC), IF(_xlpm.result=0,"",_xlpm.result))</f>
        <v/>
      </c>
      <c r="U327" s="2" t="str">
        <f>_xlfn.LET(
    _xlpm.isObject, _xlfn.XLOOKUP($Q327,'EA-Fortescue_SDExport'!A:A,'EA-Fortescue_SDExport'!B:B),
    _xlpm.lookupKey, IF(_xlpm.isObject="Object",
        _xlfn.XLOOKUP($A327,'EA-ConnectorExport'!A:A,'EA-ConnectorExport'!D:D),
        $Q327
    ),
    _xlpm.result, _xlfn.XLOOKUP(_xlpm.lookupKey,'EA-Fortescue_SDExport'!A:A,'EA-Fortescue_SDExport'!AD:AD),
    IF(_xlpm.result=0,"",_xlpm.result)
)</f>
        <v>External Software</v>
      </c>
      <c r="V327" s="2" t="str">
        <f>_xlfn.LET(
    _xlpm.isObject, _xlfn.XLOOKUP($Q327,'EA-Fortescue_SDExport'!A:A,'EA-Fortescue_SDExport'!B:B),
    _xlpm.lookupKey, IF(_xlpm.isObject="Object",
        _xlfn.XLOOKUP($A327,'EA-ConnectorExport'!A:A,'EA-ConnectorExport'!D:D),
        $Q327
    ),
    _xlpm.result, _xlfn.XLOOKUP(_xlpm.lookupKey,'EA-Fortescue_SDExport'!A:A,'EA-Fortescue_SDExport'!AE:AE),
    IF(_xlpm.result=0,"",_xlpm.result)
)</f>
        <v>External Software</v>
      </c>
      <c r="W327" s="2" t="str">
        <f>_xlfn.LET(
    _xlpm.isObject, _xlfn.XLOOKUP($Q327,'EA-Fortescue_SDExport'!A:A,'EA-Fortescue_SDExport'!B:B),
    _xlpm.lookupKey, IF(_xlpm.isObject="Object",
        _xlfn.XLOOKUP($A327,'EA-ConnectorExport'!A:A,'EA-ConnectorExport'!D:D),
        $Q327
    ),
    _xlpm.result, _xlfn.XLOOKUP(_xlpm.lookupKey,'EA-Fortescue_SDExport'!A:A,'EA-Fortescue_SDExport'!AF:AF),
    IF(_xlpm.result=0,"",_xlpm.result)
)</f>
        <v>External Software</v>
      </c>
      <c r="X327" s="2" t="str">
        <f>_xlfn.LET(
    _xlpm.isObject, _xlfn.XLOOKUP($Q327,'EA-Fortescue_SDExport'!A:A,'EA-Fortescue_SDExport'!B:B),
    _xlpm.lookupKey, IF(_xlpm.isObject="Object",
        _xlfn.XLOOKUP($A327,'EA-ConnectorExport'!A:A,'EA-ConnectorExport'!D:D),
        $Q327
    ),
    _xlpm.result, _xlfn.XLOOKUP(_xlpm.lookupKey,'EA-Fortescue_SDExport'!A:A,'EA-Fortescue_SDExport'!AG:AG),
    IF(_xlpm.result=0,"",_xlpm.result)
)</f>
        <v>External Software</v>
      </c>
      <c r="Y327" s="2" t="str">
        <f>_xlfn.LET(
    _xlpm.status, _xlfn.XLOOKUP($A327,'EA-ConnectorExport'!$A:$A,'EA-ConnectorExport'!G:G),
    _xlpm.result, _xlfn.XLOOKUP($A327,'EA-ConnectorExport'!$A:$A,'EA-ConnectorExport'!H:H),
    IF(_xlpm.status="allocate", _xlpm.result, "")
)</f>
        <v>855DC-1541-DEL Delphi</v>
      </c>
      <c r="Z327" s="2" t="str">
        <f>_xlfn.LET(
    _xlpm.isObject, _xlfn.XLOOKUP($Y327,'EA-Fortescue_SDExport'!A:A,'EA-Fortescue_SDExport'!B:B),
    _xlpm.lookupKey, IF(_xlpm.isObject="Object",
        _xlfn.XLOOKUP($A327,'EA-ConnectorExport'!A:A,'EA-ConnectorExport'!J:J),
        $Y327
    ),
    _xlpm.result, _xlfn.XLOOKUP(_xlpm.lookupKey,'EA-Fortescue_SDExport'!A:A,'EA-Fortescue_SDExport'!AA:AA),
    IF(_xlpm.result=0,"",_xlpm.result)
)</f>
        <v>Project</v>
      </c>
      <c r="AA327" s="2" t="str">
        <f>_xlfn.LET(_xlpm.result, _xlfn.XLOOKUP($Y327,'EA-Fortescue_SDExport'!$A:$A,'EA-Fortescue_SDExport'!AB:AB), IF(_xlpm.result=0,"",_xlpm.result))</f>
        <v>Energy Operations</v>
      </c>
      <c r="AB327" s="2" t="str">
        <f>_xlfn.LET(_xlpm.result, _xlfn.XLOOKUP($Y327,'EA-Fortescue_SDExport'!$A:$A,'EA-Fortescue_SDExport'!AC:AC), IF(_xlpm.result=0,"",_xlpm.result))</f>
        <v/>
      </c>
      <c r="AC327" s="2" t="str">
        <f>_xlfn.LET(
    _xlpm.isObject, _xlfn.XLOOKUP($Y327,'EA-Fortescue_SDExport'!A:A,'EA-Fortescue_SDExport'!B:B),
    _xlpm.lookupKey, IF(_xlpm.isObject="Object",
        _xlfn.XLOOKUP($A327,'EA-ConnectorExport'!A:A,'EA-ConnectorExport'!J:J),
        $Y327
    ),
    _xlpm.result, _xlfn.XLOOKUP(_xlpm.lookupKey,'EA-Fortescue_SDExport'!A:A,'EA-Fortescue_SDExport'!AD:AD),
    IF(_xlpm.result=0,"",_xlpm.result)
)</f>
        <v>855DC Decarb Green Systems</v>
      </c>
      <c r="AD327" s="2" t="str">
        <f>_xlfn.LET(
    _xlpm.isObject, _xlfn.XLOOKUP($Y327,'EA-Fortescue_SDExport'!A:A,'EA-Fortescue_SDExport'!B:B),
    _xlpm.lookupKey, IF(_xlpm.isObject="Object",
        _xlfn.XLOOKUP($A327,'EA-ConnectorExport'!A:A,'EA-ConnectorExport'!J:J),
        $Y327
    ),
    _xlpm.result, _xlfn.XLOOKUP(_xlpm.lookupKey,'EA-Fortescue_SDExport'!A:A,'EA-Fortescue_SDExport'!AE:AE),
    IF(_xlpm.result=0,"",_xlpm.result)
)</f>
        <v>855DC-1541 Planning and Forecast Systems</v>
      </c>
      <c r="AE327" s="2" t="str">
        <f>_xlfn.LET(
    _xlpm.isObject, _xlfn.XLOOKUP($Y327,'EA-Fortescue_SDExport'!A:A,'EA-Fortescue_SDExport'!B:B),
    _xlpm.lookupKey, IF(_xlpm.isObject="Object",
        _xlfn.XLOOKUP($A327,'EA-ConnectorExport'!A:A,'EA-ConnectorExport'!J:J),
        $Y327
    ),
    _xlpm.result, _xlfn.XLOOKUP(_xlpm.lookupKey,'EA-Fortescue_SDExport'!A:A,'EA-Fortescue_SDExport'!AF:AF),
    IF(_xlpm.result=0,"",_xlpm.result)
)</f>
        <v>855DC-1541-DEL Delphi</v>
      </c>
      <c r="AF327" s="2" t="str">
        <f>_xlfn.LET(
    _xlpm.isObject, _xlfn.XLOOKUP($Y327,'EA-Fortescue_SDExport'!A:A,'EA-Fortescue_SDExport'!B:B),
    _xlpm.lookupKey, IF(_xlpm.isObject="Object",
        _xlfn.XLOOKUP($A327,'EA-ConnectorExport'!A:A,'EA-ConnectorExport'!J:J),
        $Y327
    ),
    _xlpm.result, _xlfn.XLOOKUP(_xlpm.lookupKey,'EA-Fortescue_SDExport'!A:A,'EA-Fortescue_SDExport'!AG:AG),
    IF(_xlpm.result=0,"",_xlpm.result)
)</f>
        <v/>
      </c>
    </row>
    <row r="328" spans="1:32" ht="195" x14ac:dyDescent="0.25">
      <c r="A328" s="2" t="str">
        <v>DGS-I_0327</v>
      </c>
      <c r="B328" s="2" t="str">
        <f t="shared" si="20"/>
        <v>005OP-0000-005-004 Solstice|855DC-1541-DEL Delphi</v>
      </c>
      <c r="C328" s="2" t="str">
        <f>_xlfn.LET(_xlpm.result, _xlfn.XLOOKUP(A328,'EA-Fortescue_SDExport'!A:A,'EA-Fortescue_SDExport'!AM:AM), IF(_xlpm.result=0,"",_xlpm.result))</f>
        <v>Abby Buters</v>
      </c>
      <c r="D328" s="2" t="str">
        <f>_xlfn.LET(_xlpm.result, _xlfn.XLOOKUP(A328,'EA-Fortescue_SDExport'!A:A,'EA-Fortescue_SDExport'!AN:AN), IF(_xlpm.result=0,"",_xlpm.result))</f>
        <v>External Vendor</v>
      </c>
      <c r="E328" s="2" t="str">
        <f>_xlfn.XLOOKUP(R328&amp;Z328,Lookups!A:A,Lookups!B:B)</f>
        <v>Project - Subsystem Interface</v>
      </c>
      <c r="F328" s="2" t="str">
        <f>_xlfn.LET(_xlpm.result, _xlfn.XLOOKUP(A328,'EA-Fortescue_SDExport'!A:A,'EA-Fortescue_SDExport'!AP:AP), IF(_xlpm.result=0,"",_xlpm.result))</f>
        <v>Technical-Data/Software</v>
      </c>
      <c r="G328" s="2" t="str">
        <f>IF(OR(AND(T328&lt;&gt;"", COUNTIF(Lookups!J:J, "*"&amp;T328&amp;"*")&gt;0), AND(AB328&lt;&gt;"", COUNTIF(Lookups!J:J, "*"&amp;AB328&amp;"*")&gt;0)), "Yes", "No")</f>
        <v>No</v>
      </c>
      <c r="H328" s="2" t="str">
        <f t="shared" si="21"/>
        <v>005OP IT/OT Systems|855DC Decarb Green Systems</v>
      </c>
      <c r="I328" s="2" t="str">
        <f t="shared" si="22"/>
        <v>N/A|855DC-1541 Planning and Forecast Systems</v>
      </c>
      <c r="J328" s="2" t="str">
        <f t="shared" si="23"/>
        <v>005OP-0000-005 Weather Forecasting|855DC-1541-DEL Delphi</v>
      </c>
      <c r="K328" s="2" t="str">
        <f>_xlfn.XLOOKUP(A328,'EA-Fortescue_SDExport'!A:A,'EA-Fortescue_SDExport'!N:N)</f>
        <v>Proposed</v>
      </c>
      <c r="L328" s="2" t="str">
        <f>_xlfn.LET(_xlpm.result, _xlfn.XLOOKUP($A328,'EA-Fortescue_SDExport'!$A:$A,'EA-Fortescue_SDExport'!AQ:AQ), IF(_xlpm.result=0,"",_xlpm.result))</f>
        <v>Solstice AI - North Star Junction Irradiance Forecasting_x000D_
The purpose of this interface is for Solstice AI to provide high-resolution solar irradiance forecasting for the North Star Junction site to support short-term operational decision-making. These forecasts will specifically help operators to anticipate changes in solar generation, adjust dispatch, and manage Battery Energy Storage System (BESS) behaviour proactively.</v>
      </c>
      <c r="M328" s="2" t="str">
        <f>_xlfn.LET(_xlpm.result, _xlfn.XLOOKUP($A328,'EA-Fortescue_SDExport'!$A:$A,'EA-Fortescue_SDExport'!AR:AR), IF(_xlpm.result=0,"",_xlpm.result))</f>
        <v>HIGH</v>
      </c>
      <c r="N328" s="2" t="str">
        <f>_xlfn.LET(_xlpm.result, _xlfn.XLOOKUP($A328,'EA-Fortescue_SDExport'!$A:$A,'EA-Fortescue_SDExport'!AW:AW), IF(_xlpm.result=0,"",_xlpm.result))</f>
        <v>The criticality level is HIGH because accurate near-term irradiance forecasts are essential for reliable solar output planning and maintaining stability of site operations. Failure risks incorrect dispatch and management of BESS behaviour.</v>
      </c>
      <c r="O328" s="2" t="str">
        <f>_xlfn.LET(_xlpm.result, _xlfn.XLOOKUP($A328,'EA-Fortescue_SDExport'!$A:$A,'EA-Fortescue_SDExport'!AV:AV), IF(_xlpm.result=0,"",_xlpm.result))</f>
        <v>Solstice AI service -&gt; Solstice AI Snowflake dataset -&gt; Delphi/Eclipse Snowflake (uni-directional).</v>
      </c>
      <c r="P328" s="2" t="str">
        <f>_xlfn.LET(_xlpm.result, _xlfn.XLOOKUP($A328,'EA-Fortescue_SDExport'!$A:$A,'EA-Fortescue_SDExport'!D:D), IF(_xlpm.result=0,"",_xlpm.result))</f>
        <v/>
      </c>
      <c r="Q328" s="2" t="str">
        <f>_xlfn.LET(
    _xlpm.status, _xlfn.XLOOKUP($A328,'EA-ConnectorExport'!$A:$A,'EA-ConnectorExport'!G:G),
    _xlpm.result, _xlfn.XLOOKUP($A328,'EA-ConnectorExport'!$A:$A,'EA-ConnectorExport'!B:B),
    IF(_xlpm.status="allocate", _xlpm.result, "")
)</f>
        <v>005OP-0000-005-004 Solstice</v>
      </c>
      <c r="R328" s="2" t="str">
        <f>IF(
    _xlfn.XLOOKUP($Q328,'EA-Fortescue_SDExport'!A:A,'EA-Fortescue_SDExport'!B:B)="Object",
    _xlfn.XLOOKUP(
        _xlfn.XLOOKUP($A328,'EA-ConnectorExport'!A:A,'EA-ConnectorExport'!D:D),
        'EA-Fortescue_SDExport'!A:A,
        'EA-Fortescue_SDExport'!AA:AA
    ),
    _xlfn.XLOOKUP($Q328,'EA-Fortescue_SDExport'!A:A,'EA-Fortescue_SDExport'!AA:AA)
)</f>
        <v>Subsystem</v>
      </c>
      <c r="S328" s="2" t="str">
        <f>_xlfn.LET(_xlpm.result, _xlfn.XLOOKUP($Q328,'EA-Fortescue_SDExport'!$A:$A,'EA-Fortescue_SDExport'!AB:AB), IF(_xlpm.result=0,"",_xlpm.result))</f>
        <v/>
      </c>
      <c r="T328" s="2" t="str">
        <f>_xlfn.LET(_xlpm.result, _xlfn.XLOOKUP($Q328,'EA-Fortescue_SDExport'!$A:$A,'EA-Fortescue_SDExport'!AC:AC), IF(_xlpm.result=0,"",_xlpm.result))</f>
        <v/>
      </c>
      <c r="U328" s="2" t="str">
        <f>_xlfn.LET(
    _xlpm.isObject, _xlfn.XLOOKUP($Q328,'EA-Fortescue_SDExport'!A:A,'EA-Fortescue_SDExport'!B:B),
    _xlpm.lookupKey, IF(_xlpm.isObject="Object",
        _xlfn.XLOOKUP($A328,'EA-ConnectorExport'!A:A,'EA-ConnectorExport'!D:D),
        $Q328
    ),
    _xlpm.result, _xlfn.XLOOKUP(_xlpm.lookupKey,'EA-Fortescue_SDExport'!A:A,'EA-Fortescue_SDExport'!AD:AD),
    IF(_xlpm.result=0,"",_xlpm.result)
)</f>
        <v>005OP IT/OT Systems</v>
      </c>
      <c r="V328" s="2" t="str">
        <f>_xlfn.LET(
    _xlpm.isObject, _xlfn.XLOOKUP($Q328,'EA-Fortescue_SDExport'!A:A,'EA-Fortescue_SDExport'!B:B),
    _xlpm.lookupKey, IF(_xlpm.isObject="Object",
        _xlfn.XLOOKUP($A328,'EA-ConnectorExport'!A:A,'EA-ConnectorExport'!D:D),
        $Q328
    ),
    _xlpm.result, _xlfn.XLOOKUP(_xlpm.lookupKey,'EA-Fortescue_SDExport'!A:A,'EA-Fortescue_SDExport'!AE:AE),
    IF(_xlpm.result=0,"",_xlpm.result)
)</f>
        <v/>
      </c>
      <c r="W328" s="2" t="str">
        <f>_xlfn.LET(
    _xlpm.isObject, _xlfn.XLOOKUP($Q328,'EA-Fortescue_SDExport'!A:A,'EA-Fortescue_SDExport'!B:B),
    _xlpm.lookupKey, IF(_xlpm.isObject="Object",
        _xlfn.XLOOKUP($A328,'EA-ConnectorExport'!A:A,'EA-ConnectorExport'!D:D),
        $Q328
    ),
    _xlpm.result, _xlfn.XLOOKUP(_xlpm.lookupKey,'EA-Fortescue_SDExport'!A:A,'EA-Fortescue_SDExport'!AF:AF),
    IF(_xlpm.result=0,"",_xlpm.result)
)</f>
        <v>005OP-0000-005 Weather Forecasting</v>
      </c>
      <c r="X328" s="2" t="str">
        <f>_xlfn.LET(
    _xlpm.isObject, _xlfn.XLOOKUP($Q328,'EA-Fortescue_SDExport'!A:A,'EA-Fortescue_SDExport'!B:B),
    _xlpm.lookupKey, IF(_xlpm.isObject="Object",
        _xlfn.XLOOKUP($A328,'EA-ConnectorExport'!A:A,'EA-ConnectorExport'!D:D),
        $Q328
    ),
    _xlpm.result, _xlfn.XLOOKUP(_xlpm.lookupKey,'EA-Fortescue_SDExport'!A:A,'EA-Fortescue_SDExport'!AG:AG),
    IF(_xlpm.result=0,"",_xlpm.result)
)</f>
        <v>005OP-0000-005-004 Solstice</v>
      </c>
      <c r="Y328" s="2" t="str">
        <f>_xlfn.LET(
    _xlpm.status, _xlfn.XLOOKUP($A328,'EA-ConnectorExport'!$A:$A,'EA-ConnectorExport'!G:G),
    _xlpm.result, _xlfn.XLOOKUP($A328,'EA-ConnectorExport'!$A:$A,'EA-ConnectorExport'!H:H),
    IF(_xlpm.status="allocate", _xlpm.result, "")
)</f>
        <v>855DC-1541-DEL Delphi</v>
      </c>
      <c r="Z328" s="2" t="str">
        <f>_xlfn.LET(
    _xlpm.isObject, _xlfn.XLOOKUP($Y328,'EA-Fortescue_SDExport'!A:A,'EA-Fortescue_SDExport'!B:B),
    _xlpm.lookupKey, IF(_xlpm.isObject="Object",
        _xlfn.XLOOKUP($A328,'EA-ConnectorExport'!A:A,'EA-ConnectorExport'!J:J),
        $Y328
    ),
    _xlpm.result, _xlfn.XLOOKUP(_xlpm.lookupKey,'EA-Fortescue_SDExport'!A:A,'EA-Fortescue_SDExport'!AA:AA),
    IF(_xlpm.result=0,"",_xlpm.result)
)</f>
        <v>Project</v>
      </c>
      <c r="AA328" s="2" t="str">
        <f>_xlfn.LET(_xlpm.result, _xlfn.XLOOKUP($Y328,'EA-Fortescue_SDExport'!$A:$A,'EA-Fortescue_SDExport'!AB:AB), IF(_xlpm.result=0,"",_xlpm.result))</f>
        <v>Energy Operations</v>
      </c>
      <c r="AB328" s="2" t="str">
        <f>_xlfn.LET(_xlpm.result, _xlfn.XLOOKUP($Y328,'EA-Fortescue_SDExport'!$A:$A,'EA-Fortescue_SDExport'!AC:AC), IF(_xlpm.result=0,"",_xlpm.result))</f>
        <v/>
      </c>
      <c r="AC328" s="2" t="str">
        <f>_xlfn.LET(
    _xlpm.isObject, _xlfn.XLOOKUP($Y328,'EA-Fortescue_SDExport'!A:A,'EA-Fortescue_SDExport'!B:B),
    _xlpm.lookupKey, IF(_xlpm.isObject="Object",
        _xlfn.XLOOKUP($A328,'EA-ConnectorExport'!A:A,'EA-ConnectorExport'!J:J),
        $Y328
    ),
    _xlpm.result, _xlfn.XLOOKUP(_xlpm.lookupKey,'EA-Fortescue_SDExport'!A:A,'EA-Fortescue_SDExport'!AD:AD),
    IF(_xlpm.result=0,"",_xlpm.result)
)</f>
        <v>855DC Decarb Green Systems</v>
      </c>
      <c r="AD328" s="2" t="str">
        <f>_xlfn.LET(
    _xlpm.isObject, _xlfn.XLOOKUP($Y328,'EA-Fortescue_SDExport'!A:A,'EA-Fortescue_SDExport'!B:B),
    _xlpm.lookupKey, IF(_xlpm.isObject="Object",
        _xlfn.XLOOKUP($A328,'EA-ConnectorExport'!A:A,'EA-ConnectorExport'!J:J),
        $Y328
    ),
    _xlpm.result, _xlfn.XLOOKUP(_xlpm.lookupKey,'EA-Fortescue_SDExport'!A:A,'EA-Fortescue_SDExport'!AE:AE),
    IF(_xlpm.result=0,"",_xlpm.result)
)</f>
        <v>855DC-1541 Planning and Forecast Systems</v>
      </c>
      <c r="AE328" s="2" t="str">
        <f>_xlfn.LET(
    _xlpm.isObject, _xlfn.XLOOKUP($Y328,'EA-Fortescue_SDExport'!A:A,'EA-Fortescue_SDExport'!B:B),
    _xlpm.lookupKey, IF(_xlpm.isObject="Object",
        _xlfn.XLOOKUP($A328,'EA-ConnectorExport'!A:A,'EA-ConnectorExport'!J:J),
        $Y328
    ),
    _xlpm.result, _xlfn.XLOOKUP(_xlpm.lookupKey,'EA-Fortescue_SDExport'!A:A,'EA-Fortescue_SDExport'!AF:AF),
    IF(_xlpm.result=0,"",_xlpm.result)
)</f>
        <v>855DC-1541-DEL Delphi</v>
      </c>
      <c r="AF328" s="2" t="str">
        <f>_xlfn.LET(
    _xlpm.isObject, _xlfn.XLOOKUP($Y328,'EA-Fortescue_SDExport'!A:A,'EA-Fortescue_SDExport'!B:B),
    _xlpm.lookupKey, IF(_xlpm.isObject="Object",
        _xlfn.XLOOKUP($A328,'EA-ConnectorExport'!A:A,'EA-ConnectorExport'!J:J),
        $Y328
    ),
    _xlpm.result, _xlfn.XLOOKUP(_xlpm.lookupKey,'EA-Fortescue_SDExport'!A:A,'EA-Fortescue_SDExport'!AG:AG),
    IF(_xlpm.result=0,"",_xlpm.result)
)</f>
        <v/>
      </c>
    </row>
    <row r="329" spans="1:32" ht="180" x14ac:dyDescent="0.25">
      <c r="A329" s="2" t="str">
        <v>DGS-I_0328</v>
      </c>
      <c r="B329" s="2" t="str">
        <f t="shared" si="20"/>
        <v>005OP-0000-005-005 Weatherzone|855DC-1541-DEL Delphi</v>
      </c>
      <c r="C329" s="2" t="str">
        <f>_xlfn.LET(_xlpm.result, _xlfn.XLOOKUP(A329,'EA-Fortescue_SDExport'!A:A,'EA-Fortescue_SDExport'!AM:AM), IF(_xlpm.result=0,"",_xlpm.result))</f>
        <v>Abby Buters</v>
      </c>
      <c r="D329" s="2" t="str">
        <f>_xlfn.LET(_xlpm.result, _xlfn.XLOOKUP(A329,'EA-Fortescue_SDExport'!A:A,'EA-Fortescue_SDExport'!AN:AN), IF(_xlpm.result=0,"",_xlpm.result))</f>
        <v>Weatherzone Snowflake BAZ owner</v>
      </c>
      <c r="E329" s="2" t="str">
        <f>_xlfn.XLOOKUP(R329&amp;Z329,Lookups!A:A,Lookups!B:B)</f>
        <v>Project - Subsystem Interface</v>
      </c>
      <c r="F329" s="2" t="str">
        <f>_xlfn.LET(_xlpm.result, _xlfn.XLOOKUP(A329,'EA-Fortescue_SDExport'!A:A,'EA-Fortescue_SDExport'!AP:AP), IF(_xlpm.result=0,"",_xlpm.result))</f>
        <v>Technical-Data/Software</v>
      </c>
      <c r="G329" s="2" t="str">
        <f>IF(OR(AND(T329&lt;&gt;"", COUNTIF(Lookups!J:J, "*"&amp;T329&amp;"*")&gt;0), AND(AB329&lt;&gt;"", COUNTIF(Lookups!J:J, "*"&amp;AB329&amp;"*")&gt;0)), "Yes", "No")</f>
        <v>No</v>
      </c>
      <c r="H329" s="2" t="str">
        <f t="shared" si="21"/>
        <v>005OP IT/OT Systems|855DC Decarb Green Systems</v>
      </c>
      <c r="I329" s="2" t="str">
        <f t="shared" si="22"/>
        <v>N/A|855DC-1541 Planning and Forecast Systems</v>
      </c>
      <c r="J329" s="2" t="str">
        <f t="shared" si="23"/>
        <v>005OP-0000-005 Weather Forecasting|855DC-1541-DEL Delphi</v>
      </c>
      <c r="K329" s="2" t="str">
        <f>_xlfn.XLOOKUP(A329,'EA-Fortescue_SDExport'!A:A,'EA-Fortescue_SDExport'!N:N)</f>
        <v>Proposed</v>
      </c>
      <c r="L329" s="2" t="str">
        <f>_xlfn.LET(_xlpm.result, _xlfn.XLOOKUP($A329,'EA-Fortescue_SDExport'!$A:$A,'EA-Fortescue_SDExport'!AQ:AQ), IF(_xlpm.result=0,"",_xlpm.result))</f>
        <v>Weatherzone - Rain &amp; Lightning Forecasting (Snowflake Integration)_x000D_
The purpose of this interface is to allow Delphi to consume near-term rain and lightning forecast data provided by Weatherzone through Snowflake to support operator awareness and short-horizon planning. This information helps operators anticipate weather-driven impacts on operations, producing energy, manage risk, and adjust site activities proactively.</v>
      </c>
      <c r="M329" s="2" t="str">
        <f>_xlfn.LET(_xlpm.result, _xlfn.XLOOKUP($A329,'EA-Fortescue_SDExport'!$A:$A,'EA-Fortescue_SDExport'!AR:AR), IF(_xlpm.result=0,"",_xlpm.result))</f>
        <v>HIGH</v>
      </c>
      <c r="N329" s="2" t="str">
        <f>_xlfn.LET(_xlpm.result, _xlfn.XLOOKUP($A329,'EA-Fortescue_SDExport'!$A:$A,'EA-Fortescue_SDExport'!AW:AW), IF(_xlpm.result=0,"",_xlpm.result))</f>
        <v>The criticality level is HIGH because timely rain and lightning forecasts are essential for maintaining safe and reliable operational planning. Failure risks safety and prevents proactive adjustment of site activities during volatile weather.</v>
      </c>
      <c r="O329" s="2" t="str">
        <f>_xlfn.LET(_xlpm.result, _xlfn.XLOOKUP($A329,'EA-Fortescue_SDExport'!$A:$A,'EA-Fortescue_SDExport'!AV:AV), IF(_xlpm.result=0,"",_xlpm.result))</f>
        <v>Weatherzone Snowflake dataset -&gt; Delphi/Eclipse Snowflake (uni-directional).</v>
      </c>
      <c r="P329" s="2" t="str">
        <f>_xlfn.LET(_xlpm.result, _xlfn.XLOOKUP($A329,'EA-Fortescue_SDExport'!$A:$A,'EA-Fortescue_SDExport'!D:D), IF(_xlpm.result=0,"",_xlpm.result))</f>
        <v>251125 NH: same as DGS-I_0001?</v>
      </c>
      <c r="Q329" s="2" t="str">
        <f>_xlfn.LET(
    _xlpm.status, _xlfn.XLOOKUP($A329,'EA-ConnectorExport'!$A:$A,'EA-ConnectorExport'!G:G),
    _xlpm.result, _xlfn.XLOOKUP($A329,'EA-ConnectorExport'!$A:$A,'EA-ConnectorExport'!B:B),
    IF(_xlpm.status="allocate", _xlpm.result, "")
)</f>
        <v>005OP-0000-005-005 Weatherzone</v>
      </c>
      <c r="R329" s="2" t="str">
        <f>IF(
    _xlfn.XLOOKUP($Q329,'EA-Fortescue_SDExport'!A:A,'EA-Fortescue_SDExport'!B:B)="Object",
    _xlfn.XLOOKUP(
        _xlfn.XLOOKUP($A329,'EA-ConnectorExport'!A:A,'EA-ConnectorExport'!D:D),
        'EA-Fortescue_SDExport'!A:A,
        'EA-Fortescue_SDExport'!AA:AA
    ),
    _xlfn.XLOOKUP($Q329,'EA-Fortescue_SDExport'!A:A,'EA-Fortescue_SDExport'!AA:AA)
)</f>
        <v>Subsystem</v>
      </c>
      <c r="S329" s="2" t="str">
        <f>_xlfn.LET(_xlpm.result, _xlfn.XLOOKUP($Q329,'EA-Fortescue_SDExport'!$A:$A,'EA-Fortescue_SDExport'!AB:AB), IF(_xlpm.result=0,"",_xlpm.result))</f>
        <v/>
      </c>
      <c r="T329" s="2" t="str">
        <f>_xlfn.LET(_xlpm.result, _xlfn.XLOOKUP($Q329,'EA-Fortescue_SDExport'!$A:$A,'EA-Fortescue_SDExport'!AC:AC), IF(_xlpm.result=0,"",_xlpm.result))</f>
        <v/>
      </c>
      <c r="U329" s="2" t="str">
        <f>_xlfn.LET(
    _xlpm.isObject, _xlfn.XLOOKUP($Q329,'EA-Fortescue_SDExport'!A:A,'EA-Fortescue_SDExport'!B:B),
    _xlpm.lookupKey, IF(_xlpm.isObject="Object",
        _xlfn.XLOOKUP($A329,'EA-ConnectorExport'!A:A,'EA-ConnectorExport'!D:D),
        $Q329
    ),
    _xlpm.result, _xlfn.XLOOKUP(_xlpm.lookupKey,'EA-Fortescue_SDExport'!A:A,'EA-Fortescue_SDExport'!AD:AD),
    IF(_xlpm.result=0,"",_xlpm.result)
)</f>
        <v>005OP IT/OT Systems</v>
      </c>
      <c r="V329" s="2" t="str">
        <f>_xlfn.LET(
    _xlpm.isObject, _xlfn.XLOOKUP($Q329,'EA-Fortescue_SDExport'!A:A,'EA-Fortescue_SDExport'!B:B),
    _xlpm.lookupKey, IF(_xlpm.isObject="Object",
        _xlfn.XLOOKUP($A329,'EA-ConnectorExport'!A:A,'EA-ConnectorExport'!D:D),
        $Q329
    ),
    _xlpm.result, _xlfn.XLOOKUP(_xlpm.lookupKey,'EA-Fortescue_SDExport'!A:A,'EA-Fortescue_SDExport'!AE:AE),
    IF(_xlpm.result=0,"",_xlpm.result)
)</f>
        <v/>
      </c>
      <c r="W329" s="2" t="str">
        <f>_xlfn.LET(
    _xlpm.isObject, _xlfn.XLOOKUP($Q329,'EA-Fortescue_SDExport'!A:A,'EA-Fortescue_SDExport'!B:B),
    _xlpm.lookupKey, IF(_xlpm.isObject="Object",
        _xlfn.XLOOKUP($A329,'EA-ConnectorExport'!A:A,'EA-ConnectorExport'!D:D),
        $Q329
    ),
    _xlpm.result, _xlfn.XLOOKUP(_xlpm.lookupKey,'EA-Fortescue_SDExport'!A:A,'EA-Fortescue_SDExport'!AF:AF),
    IF(_xlpm.result=0,"",_xlpm.result)
)</f>
        <v>005OP-0000-005 Weather Forecasting</v>
      </c>
      <c r="X329" s="2" t="str">
        <f>_xlfn.LET(
    _xlpm.isObject, _xlfn.XLOOKUP($Q329,'EA-Fortescue_SDExport'!A:A,'EA-Fortescue_SDExport'!B:B),
    _xlpm.lookupKey, IF(_xlpm.isObject="Object",
        _xlfn.XLOOKUP($A329,'EA-ConnectorExport'!A:A,'EA-ConnectorExport'!D:D),
        $Q329
    ),
    _xlpm.result, _xlfn.XLOOKUP(_xlpm.lookupKey,'EA-Fortescue_SDExport'!A:A,'EA-Fortescue_SDExport'!AG:AG),
    IF(_xlpm.result=0,"",_xlpm.result)
)</f>
        <v>005OP-0000-005-005 Weatherzone</v>
      </c>
      <c r="Y329" s="2" t="str">
        <f>_xlfn.LET(
    _xlpm.status, _xlfn.XLOOKUP($A329,'EA-ConnectorExport'!$A:$A,'EA-ConnectorExport'!G:G),
    _xlpm.result, _xlfn.XLOOKUP($A329,'EA-ConnectorExport'!$A:$A,'EA-ConnectorExport'!H:H),
    IF(_xlpm.status="allocate", _xlpm.result, "")
)</f>
        <v>855DC-1541-DEL Delphi</v>
      </c>
      <c r="Z329" s="2" t="str">
        <f>_xlfn.LET(
    _xlpm.isObject, _xlfn.XLOOKUP($Y329,'EA-Fortescue_SDExport'!A:A,'EA-Fortescue_SDExport'!B:B),
    _xlpm.lookupKey, IF(_xlpm.isObject="Object",
        _xlfn.XLOOKUP($A329,'EA-ConnectorExport'!A:A,'EA-ConnectorExport'!J:J),
        $Y329
    ),
    _xlpm.result, _xlfn.XLOOKUP(_xlpm.lookupKey,'EA-Fortescue_SDExport'!A:A,'EA-Fortescue_SDExport'!AA:AA),
    IF(_xlpm.result=0,"",_xlpm.result)
)</f>
        <v>Project</v>
      </c>
      <c r="AA329" s="2" t="str">
        <f>_xlfn.LET(_xlpm.result, _xlfn.XLOOKUP($Y329,'EA-Fortescue_SDExport'!$A:$A,'EA-Fortescue_SDExport'!AB:AB), IF(_xlpm.result=0,"",_xlpm.result))</f>
        <v>Energy Operations</v>
      </c>
      <c r="AB329" s="2" t="str">
        <f>_xlfn.LET(_xlpm.result, _xlfn.XLOOKUP($Y329,'EA-Fortescue_SDExport'!$A:$A,'EA-Fortescue_SDExport'!AC:AC), IF(_xlpm.result=0,"",_xlpm.result))</f>
        <v/>
      </c>
      <c r="AC329" s="2" t="str">
        <f>_xlfn.LET(
    _xlpm.isObject, _xlfn.XLOOKUP($Y329,'EA-Fortescue_SDExport'!A:A,'EA-Fortescue_SDExport'!B:B),
    _xlpm.lookupKey, IF(_xlpm.isObject="Object",
        _xlfn.XLOOKUP($A329,'EA-ConnectorExport'!A:A,'EA-ConnectorExport'!J:J),
        $Y329
    ),
    _xlpm.result, _xlfn.XLOOKUP(_xlpm.lookupKey,'EA-Fortescue_SDExport'!A:A,'EA-Fortescue_SDExport'!AD:AD),
    IF(_xlpm.result=0,"",_xlpm.result)
)</f>
        <v>855DC Decarb Green Systems</v>
      </c>
      <c r="AD329" s="2" t="str">
        <f>_xlfn.LET(
    _xlpm.isObject, _xlfn.XLOOKUP($Y329,'EA-Fortescue_SDExport'!A:A,'EA-Fortescue_SDExport'!B:B),
    _xlpm.lookupKey, IF(_xlpm.isObject="Object",
        _xlfn.XLOOKUP($A329,'EA-ConnectorExport'!A:A,'EA-ConnectorExport'!J:J),
        $Y329
    ),
    _xlpm.result, _xlfn.XLOOKUP(_xlpm.lookupKey,'EA-Fortescue_SDExport'!A:A,'EA-Fortescue_SDExport'!AE:AE),
    IF(_xlpm.result=0,"",_xlpm.result)
)</f>
        <v>855DC-1541 Planning and Forecast Systems</v>
      </c>
      <c r="AE329" s="2" t="str">
        <f>_xlfn.LET(
    _xlpm.isObject, _xlfn.XLOOKUP($Y329,'EA-Fortescue_SDExport'!A:A,'EA-Fortescue_SDExport'!B:B),
    _xlpm.lookupKey, IF(_xlpm.isObject="Object",
        _xlfn.XLOOKUP($A329,'EA-ConnectorExport'!A:A,'EA-ConnectorExport'!J:J),
        $Y329
    ),
    _xlpm.result, _xlfn.XLOOKUP(_xlpm.lookupKey,'EA-Fortescue_SDExport'!A:A,'EA-Fortescue_SDExport'!AF:AF),
    IF(_xlpm.result=0,"",_xlpm.result)
)</f>
        <v>855DC-1541-DEL Delphi</v>
      </c>
      <c r="AF329" s="2" t="str">
        <f>_xlfn.LET(
    _xlpm.isObject, _xlfn.XLOOKUP($Y329,'EA-Fortescue_SDExport'!A:A,'EA-Fortescue_SDExport'!B:B),
    _xlpm.lookupKey, IF(_xlpm.isObject="Object",
        _xlfn.XLOOKUP($A329,'EA-ConnectorExport'!A:A,'EA-ConnectorExport'!J:J),
        $Y329
    ),
    _xlpm.result, _xlfn.XLOOKUP(_xlpm.lookupKey,'EA-Fortescue_SDExport'!A:A,'EA-Fortescue_SDExport'!AG:AG),
    IF(_xlpm.result=0,"",_xlpm.result)
)</f>
        <v/>
      </c>
    </row>
    <row r="330" spans="1:32" ht="210" x14ac:dyDescent="0.25">
      <c r="A330" s="2" t="str">
        <v>DGS-I_0329</v>
      </c>
      <c r="B330" s="2" t="str">
        <f t="shared" si="20"/>
        <v>005OP-0000-005-006 Atevia (Solar NSJ)|855DC-1541-DEL Delphi</v>
      </c>
      <c r="C330" s="2" t="str">
        <f>_xlfn.LET(_xlpm.result, _xlfn.XLOOKUP(A330,'EA-Fortescue_SDExport'!A:A,'EA-Fortescue_SDExport'!AM:AM), IF(_xlpm.result=0,"",_xlpm.result))</f>
        <v>Abby Buters</v>
      </c>
      <c r="D330" s="2" t="str">
        <f>_xlfn.LET(_xlpm.result, _xlfn.XLOOKUP(A330,'EA-Fortescue_SDExport'!A:A,'EA-Fortescue_SDExport'!AN:AN), IF(_xlpm.result=0,"",_xlpm.result))</f>
        <v>Energy Operations Kareema Ramli</v>
      </c>
      <c r="E330" s="2" t="str">
        <f>_xlfn.XLOOKUP(R330&amp;Z330,Lookups!A:A,Lookups!B:B)</f>
        <v>Project - Subsystem Interface</v>
      </c>
      <c r="F330" s="2" t="str">
        <f>_xlfn.LET(_xlpm.result, _xlfn.XLOOKUP(A330,'EA-Fortescue_SDExport'!A:A,'EA-Fortescue_SDExport'!AP:AP), IF(_xlpm.result=0,"",_xlpm.result))</f>
        <v>Technical-Data/Software</v>
      </c>
      <c r="G330" s="2" t="str">
        <f>IF(OR(AND(T330&lt;&gt;"", COUNTIF(Lookups!J:J, "*"&amp;T330&amp;"*")&gt;0), AND(AB330&lt;&gt;"", COUNTIF(Lookups!J:J, "*"&amp;AB330&amp;"*")&gt;0)), "Yes", "No")</f>
        <v>No</v>
      </c>
      <c r="H330" s="2" t="str">
        <f t="shared" si="21"/>
        <v>005OP IT/OT Systems|855DC Decarb Green Systems</v>
      </c>
      <c r="I330" s="2" t="str">
        <f t="shared" si="22"/>
        <v>N/A|855DC-1541 Planning and Forecast Systems</v>
      </c>
      <c r="J330" s="2" t="str">
        <f t="shared" si="23"/>
        <v>005OP-0000-005 Weather Forecasting|855DC-1541-DEL Delphi</v>
      </c>
      <c r="K330" s="2" t="str">
        <f>_xlfn.XLOOKUP(A330,'EA-Fortescue_SDExport'!A:A,'EA-Fortescue_SDExport'!N:N)</f>
        <v>Proposed</v>
      </c>
      <c r="L330" s="2" t="str">
        <f>_xlfn.LET(_xlpm.result, _xlfn.XLOOKUP($A330,'EA-Fortescue_SDExport'!$A:$A,'EA-Fortescue_SDExport'!AQ:AQ), IF(_xlpm.result=0,"",_xlpm.result))</f>
        <v>Atevia PI - North Star Junction Solar Irradiance Actuals_x000D_
The purpose of this interface is for Eclipse to consume real-time and historical irradiance (W/m2) measurements provided by the Atevia PI web API from the North Star Junction solar farm. Eclipse uses this data to understand actual solar resource availability, validate forecast performance, and support short-term operational decisions for solar generation and Battery Energy Storage System (BESS) management.</v>
      </c>
      <c r="M330" s="2" t="str">
        <f>_xlfn.LET(_xlpm.result, _xlfn.XLOOKUP($A330,'EA-Fortescue_SDExport'!$A:$A,'EA-Fortescue_SDExport'!AR:AR), IF(_xlpm.result=0,"",_xlpm.result))</f>
        <v>HIGH</v>
      </c>
      <c r="N330" s="2" t="str">
        <f>_xlfn.LET(_xlpm.result, _xlfn.XLOOKUP($A330,'EA-Fortescue_SDExport'!$A:$A,'EA-Fortescue_SDExport'!AW:AW), IF(_xlpm.result=0,"",_xlpm.result))</f>
        <v>The criticality level is HIGH because accurate irradiance actuals are essential for near-term operational awareness, forecast validation, and reliable solar generation planning. Failure can compromise short-term operational decisions.</v>
      </c>
      <c r="O330" s="2" t="str">
        <f>_xlfn.LET(_xlpm.result, _xlfn.XLOOKUP($A330,'EA-Fortescue_SDExport'!$A:$A,'EA-Fortescue_SDExport'!AV:AV), IF(_xlpm.result=0,"",_xlpm.result))</f>
        <v>Atevia PI Web API -&gt; Delphi ingestion -&gt; Delphi Snowflake (uni-directional).</v>
      </c>
      <c r="P330" s="2" t="str">
        <f>_xlfn.LET(_xlpm.result, _xlfn.XLOOKUP($A330,'EA-Fortescue_SDExport'!$A:$A,'EA-Fortescue_SDExport'!D:D), IF(_xlpm.result=0,"",_xlpm.result))</f>
        <v/>
      </c>
      <c r="Q330" s="2" t="str">
        <f>_xlfn.LET(
    _xlpm.status, _xlfn.XLOOKUP($A330,'EA-ConnectorExport'!$A:$A,'EA-ConnectorExport'!G:G),
    _xlpm.result, _xlfn.XLOOKUP($A330,'EA-ConnectorExport'!$A:$A,'EA-ConnectorExport'!B:B),
    IF(_xlpm.status="allocate", _xlpm.result, "")
)</f>
        <v>005OP-0000-005-006 Atevia (Solar NSJ)</v>
      </c>
      <c r="R330" s="2" t="str">
        <f>IF(
    _xlfn.XLOOKUP($Q330,'EA-Fortescue_SDExport'!A:A,'EA-Fortescue_SDExport'!B:B)="Object",
    _xlfn.XLOOKUP(
        _xlfn.XLOOKUP($A330,'EA-ConnectorExport'!A:A,'EA-ConnectorExport'!D:D),
        'EA-Fortescue_SDExport'!A:A,
        'EA-Fortescue_SDExport'!AA:AA
    ),
    _xlfn.XLOOKUP($Q330,'EA-Fortescue_SDExport'!A:A,'EA-Fortescue_SDExport'!AA:AA)
)</f>
        <v>Subsystem</v>
      </c>
      <c r="S330" s="2" t="str">
        <f>_xlfn.LET(_xlpm.result, _xlfn.XLOOKUP($Q330,'EA-Fortescue_SDExport'!$A:$A,'EA-Fortescue_SDExport'!AB:AB), IF(_xlpm.result=0,"",_xlpm.result))</f>
        <v/>
      </c>
      <c r="T330" s="2" t="str">
        <f>_xlfn.LET(_xlpm.result, _xlfn.XLOOKUP($Q330,'EA-Fortescue_SDExport'!$A:$A,'EA-Fortescue_SDExport'!AC:AC), IF(_xlpm.result=0,"",_xlpm.result))</f>
        <v/>
      </c>
      <c r="U330" s="2" t="str">
        <f>_xlfn.LET(
    _xlpm.isObject, _xlfn.XLOOKUP($Q330,'EA-Fortescue_SDExport'!A:A,'EA-Fortescue_SDExport'!B:B),
    _xlpm.lookupKey, IF(_xlpm.isObject="Object",
        _xlfn.XLOOKUP($A330,'EA-ConnectorExport'!A:A,'EA-ConnectorExport'!D:D),
        $Q330
    ),
    _xlpm.result, _xlfn.XLOOKUP(_xlpm.lookupKey,'EA-Fortescue_SDExport'!A:A,'EA-Fortescue_SDExport'!AD:AD),
    IF(_xlpm.result=0,"",_xlpm.result)
)</f>
        <v>005OP IT/OT Systems</v>
      </c>
      <c r="V330" s="2" t="str">
        <f>_xlfn.LET(
    _xlpm.isObject, _xlfn.XLOOKUP($Q330,'EA-Fortescue_SDExport'!A:A,'EA-Fortescue_SDExport'!B:B),
    _xlpm.lookupKey, IF(_xlpm.isObject="Object",
        _xlfn.XLOOKUP($A330,'EA-ConnectorExport'!A:A,'EA-ConnectorExport'!D:D),
        $Q330
    ),
    _xlpm.result, _xlfn.XLOOKUP(_xlpm.lookupKey,'EA-Fortescue_SDExport'!A:A,'EA-Fortescue_SDExport'!AE:AE),
    IF(_xlpm.result=0,"",_xlpm.result)
)</f>
        <v/>
      </c>
      <c r="W330" s="2" t="str">
        <f>_xlfn.LET(
    _xlpm.isObject, _xlfn.XLOOKUP($Q330,'EA-Fortescue_SDExport'!A:A,'EA-Fortescue_SDExport'!B:B),
    _xlpm.lookupKey, IF(_xlpm.isObject="Object",
        _xlfn.XLOOKUP($A330,'EA-ConnectorExport'!A:A,'EA-ConnectorExport'!D:D),
        $Q330
    ),
    _xlpm.result, _xlfn.XLOOKUP(_xlpm.lookupKey,'EA-Fortescue_SDExport'!A:A,'EA-Fortescue_SDExport'!AF:AF),
    IF(_xlpm.result=0,"",_xlpm.result)
)</f>
        <v>005OP-0000-005 Weather Forecasting</v>
      </c>
      <c r="X330" s="2" t="str">
        <f>_xlfn.LET(
    _xlpm.isObject, _xlfn.XLOOKUP($Q330,'EA-Fortescue_SDExport'!A:A,'EA-Fortescue_SDExport'!B:B),
    _xlpm.lookupKey, IF(_xlpm.isObject="Object",
        _xlfn.XLOOKUP($A330,'EA-ConnectorExport'!A:A,'EA-ConnectorExport'!D:D),
        $Q330
    ),
    _xlpm.result, _xlfn.XLOOKUP(_xlpm.lookupKey,'EA-Fortescue_SDExport'!A:A,'EA-Fortescue_SDExport'!AG:AG),
    IF(_xlpm.result=0,"",_xlpm.result)
)</f>
        <v>005OP-0000-005-006 Atevia (Solar NSJ)</v>
      </c>
      <c r="Y330" s="2" t="str">
        <f>_xlfn.LET(
    _xlpm.status, _xlfn.XLOOKUP($A330,'EA-ConnectorExport'!$A:$A,'EA-ConnectorExport'!G:G),
    _xlpm.result, _xlfn.XLOOKUP($A330,'EA-ConnectorExport'!$A:$A,'EA-ConnectorExport'!H:H),
    IF(_xlpm.status="allocate", _xlpm.result, "")
)</f>
        <v>855DC-1541-DEL Delphi</v>
      </c>
      <c r="Z330" s="2" t="str">
        <f>_xlfn.LET(
    _xlpm.isObject, _xlfn.XLOOKUP($Y330,'EA-Fortescue_SDExport'!A:A,'EA-Fortescue_SDExport'!B:B),
    _xlpm.lookupKey, IF(_xlpm.isObject="Object",
        _xlfn.XLOOKUP($A330,'EA-ConnectorExport'!A:A,'EA-ConnectorExport'!J:J),
        $Y330
    ),
    _xlpm.result, _xlfn.XLOOKUP(_xlpm.lookupKey,'EA-Fortescue_SDExport'!A:A,'EA-Fortescue_SDExport'!AA:AA),
    IF(_xlpm.result=0,"",_xlpm.result)
)</f>
        <v>Project</v>
      </c>
      <c r="AA330" s="2" t="str">
        <f>_xlfn.LET(_xlpm.result, _xlfn.XLOOKUP($Y330,'EA-Fortescue_SDExport'!$A:$A,'EA-Fortescue_SDExport'!AB:AB), IF(_xlpm.result=0,"",_xlpm.result))</f>
        <v>Energy Operations</v>
      </c>
      <c r="AB330" s="2" t="str">
        <f>_xlfn.LET(_xlpm.result, _xlfn.XLOOKUP($Y330,'EA-Fortescue_SDExport'!$A:$A,'EA-Fortescue_SDExport'!AC:AC), IF(_xlpm.result=0,"",_xlpm.result))</f>
        <v/>
      </c>
      <c r="AC330" s="2" t="str">
        <f>_xlfn.LET(
    _xlpm.isObject, _xlfn.XLOOKUP($Y330,'EA-Fortescue_SDExport'!A:A,'EA-Fortescue_SDExport'!B:B),
    _xlpm.lookupKey, IF(_xlpm.isObject="Object",
        _xlfn.XLOOKUP($A330,'EA-ConnectorExport'!A:A,'EA-ConnectorExport'!J:J),
        $Y330
    ),
    _xlpm.result, _xlfn.XLOOKUP(_xlpm.lookupKey,'EA-Fortescue_SDExport'!A:A,'EA-Fortescue_SDExport'!AD:AD),
    IF(_xlpm.result=0,"",_xlpm.result)
)</f>
        <v>855DC Decarb Green Systems</v>
      </c>
      <c r="AD330" s="2" t="str">
        <f>_xlfn.LET(
    _xlpm.isObject, _xlfn.XLOOKUP($Y330,'EA-Fortescue_SDExport'!A:A,'EA-Fortescue_SDExport'!B:B),
    _xlpm.lookupKey, IF(_xlpm.isObject="Object",
        _xlfn.XLOOKUP($A330,'EA-ConnectorExport'!A:A,'EA-ConnectorExport'!J:J),
        $Y330
    ),
    _xlpm.result, _xlfn.XLOOKUP(_xlpm.lookupKey,'EA-Fortescue_SDExport'!A:A,'EA-Fortescue_SDExport'!AE:AE),
    IF(_xlpm.result=0,"",_xlpm.result)
)</f>
        <v>855DC-1541 Planning and Forecast Systems</v>
      </c>
      <c r="AE330" s="2" t="str">
        <f>_xlfn.LET(
    _xlpm.isObject, _xlfn.XLOOKUP($Y330,'EA-Fortescue_SDExport'!A:A,'EA-Fortescue_SDExport'!B:B),
    _xlpm.lookupKey, IF(_xlpm.isObject="Object",
        _xlfn.XLOOKUP($A330,'EA-ConnectorExport'!A:A,'EA-ConnectorExport'!J:J),
        $Y330
    ),
    _xlpm.result, _xlfn.XLOOKUP(_xlpm.lookupKey,'EA-Fortescue_SDExport'!A:A,'EA-Fortescue_SDExport'!AF:AF),
    IF(_xlpm.result=0,"",_xlpm.result)
)</f>
        <v>855DC-1541-DEL Delphi</v>
      </c>
      <c r="AF330" s="2" t="str">
        <f>_xlfn.LET(
    _xlpm.isObject, _xlfn.XLOOKUP($Y330,'EA-Fortescue_SDExport'!A:A,'EA-Fortescue_SDExport'!B:B),
    _xlpm.lookupKey, IF(_xlpm.isObject="Object",
        _xlfn.XLOOKUP($A330,'EA-ConnectorExport'!A:A,'EA-ConnectorExport'!J:J),
        $Y330
    ),
    _xlpm.result, _xlfn.XLOOKUP(_xlpm.lookupKey,'EA-Fortescue_SDExport'!A:A,'EA-Fortescue_SDExport'!AG:AG),
    IF(_xlpm.result=0,"",_xlpm.result)
)</f>
        <v/>
      </c>
    </row>
    <row r="331" spans="1:32" ht="180" x14ac:dyDescent="0.25">
      <c r="A331" s="2" t="str">
        <v>DGS-I_0330</v>
      </c>
      <c r="B331" s="2" t="str">
        <f t="shared" si="20"/>
        <v>Vaisala|855DC-1541-DEL Delphi</v>
      </c>
      <c r="C331" s="2" t="str">
        <f>_xlfn.LET(_xlpm.result, _xlfn.XLOOKUP(A331,'EA-Fortescue_SDExport'!A:A,'EA-Fortescue_SDExport'!AM:AM), IF(_xlpm.result=0,"",_xlpm.result))</f>
        <v>Abby Buters</v>
      </c>
      <c r="D331" s="2" t="str">
        <f>_xlfn.LET(_xlpm.result, _xlfn.XLOOKUP(A331,'EA-Fortescue_SDExport'!A:A,'EA-Fortescue_SDExport'!AN:AN), IF(_xlpm.result=0,"",_xlpm.result))</f>
        <v>External Vendor</v>
      </c>
      <c r="E331" s="2" t="str">
        <f>_xlfn.XLOOKUP(R331&amp;Z331,Lookups!A:A,Lookups!B:B)</f>
        <v>External Software - Project Interface</v>
      </c>
      <c r="F331" s="2" t="str">
        <f>_xlfn.LET(_xlpm.result, _xlfn.XLOOKUP(A331,'EA-Fortescue_SDExport'!A:A,'EA-Fortescue_SDExport'!AP:AP), IF(_xlpm.result=0,"",_xlpm.result))</f>
        <v>Technical-Data/Software</v>
      </c>
      <c r="G331" s="2" t="str">
        <f>IF(OR(AND(T331&lt;&gt;"", COUNTIF(Lookups!J:J, "*"&amp;T331&amp;"*")&gt;0), AND(AB331&lt;&gt;"", COUNTIF(Lookups!J:J, "*"&amp;AB331&amp;"*")&gt;0)), "Yes", "No")</f>
        <v>No</v>
      </c>
      <c r="H331" s="2" t="str">
        <f t="shared" si="21"/>
        <v>External Software|855DC Decarb Green Systems</v>
      </c>
      <c r="I331" s="2" t="str">
        <f t="shared" si="22"/>
        <v>External Software|855DC-1541 Planning and Forecast Systems</v>
      </c>
      <c r="J331" s="2" t="str">
        <f t="shared" si="23"/>
        <v>External Software|855DC-1541-DEL Delphi</v>
      </c>
      <c r="K331" s="2" t="str">
        <f>_xlfn.XLOOKUP(A331,'EA-Fortescue_SDExport'!A:A,'EA-Fortescue_SDExport'!N:N)</f>
        <v>Proposed</v>
      </c>
      <c r="L331" s="2" t="str">
        <f>_xlfn.LET(_xlpm.result, _xlfn.XLOOKUP($A331,'EA-Fortescue_SDExport'!$A:$A,'EA-Fortescue_SDExport'!AQ:AQ), IF(_xlpm.result=0,"",_xlpm.result))</f>
        <v>Vaisala -Wind Forecast API Integration_x000D_
The purpose of this interface is to allow Delphi to consume the high-resolution wind forecasting provided by Vaisala via API to support short-term operational planning. These forecasts - covering wind speed, direction, and gust information - help operators anticipate generation impacts, manage variability, and adjust site operations proactively.</v>
      </c>
      <c r="M331" s="2" t="str">
        <f>_xlfn.LET(_xlpm.result, _xlfn.XLOOKUP($A331,'EA-Fortescue_SDExport'!$A:$A,'EA-Fortescue_SDExport'!AR:AR), IF(_xlpm.result=0,"",_xlpm.result))</f>
        <v>HIGH</v>
      </c>
      <c r="N331" s="2" t="str">
        <f>_xlfn.LET(_xlpm.result, _xlfn.XLOOKUP($A331,'EA-Fortescue_SDExport'!$A:$A,'EA-Fortescue_SDExport'!AW:AW), IF(_xlpm.result=0,"",_xlpm.result))</f>
        <v>The criticality level is HIGH because accurate and timely wind forecasts are essential for maintaining reliable operational planning. Failure risks safety considerations and prevents proactive management of wind-sensitive generation.</v>
      </c>
      <c r="O331" s="2" t="str">
        <f>_xlfn.LET(_xlpm.result, _xlfn.XLOOKUP($A331,'EA-Fortescue_SDExport'!$A:$A,'EA-Fortescue_SDExport'!AV:AV), IF(_xlpm.result=0,"",_xlpm.result))</f>
        <v>Vaisala Wind Forecast API -&gt; Delphi ingest -&gt; Delphi Snowflake (uni-directional).</v>
      </c>
      <c r="P331" s="2" t="str">
        <f>_xlfn.LET(_xlpm.result, _xlfn.XLOOKUP($A331,'EA-Fortescue_SDExport'!$A:$A,'EA-Fortescue_SDExport'!D:D), IF(_xlpm.result=0,"",_xlpm.result))</f>
        <v/>
      </c>
      <c r="Q331" s="2" t="str">
        <f>_xlfn.LET(
    _xlpm.status, _xlfn.XLOOKUP($A331,'EA-ConnectorExport'!$A:$A,'EA-ConnectorExport'!G:G),
    _xlpm.result, _xlfn.XLOOKUP($A331,'EA-ConnectorExport'!$A:$A,'EA-ConnectorExport'!B:B),
    IF(_xlpm.status="allocate", _xlpm.result, "")
)</f>
        <v>Vaisala</v>
      </c>
      <c r="R331" s="2" t="str">
        <f>IF(
    _xlfn.XLOOKUP($Q331,'EA-Fortescue_SDExport'!A:A,'EA-Fortescue_SDExport'!B:B)="Object",
    _xlfn.XLOOKUP(
        _xlfn.XLOOKUP($A331,'EA-ConnectorExport'!A:A,'EA-ConnectorExport'!D:D),
        'EA-Fortescue_SDExport'!A:A,
        'EA-Fortescue_SDExport'!AA:AA
    ),
    _xlfn.XLOOKUP($Q331,'EA-Fortescue_SDExport'!A:A,'EA-Fortescue_SDExport'!AA:AA)
)</f>
        <v>External Software</v>
      </c>
      <c r="S331" s="2" t="str">
        <f>_xlfn.LET(_xlpm.result, _xlfn.XLOOKUP($Q331,'EA-Fortescue_SDExport'!$A:$A,'EA-Fortescue_SDExport'!AB:AB), IF(_xlpm.result=0,"",_xlpm.result))</f>
        <v/>
      </c>
      <c r="T331" s="2" t="str">
        <f>_xlfn.LET(_xlpm.result, _xlfn.XLOOKUP($Q331,'EA-Fortescue_SDExport'!$A:$A,'EA-Fortescue_SDExport'!AC:AC), IF(_xlpm.result=0,"",_xlpm.result))</f>
        <v/>
      </c>
      <c r="U331" s="2" t="str">
        <f>_xlfn.LET(
    _xlpm.isObject, _xlfn.XLOOKUP($Q331,'EA-Fortescue_SDExport'!A:A,'EA-Fortescue_SDExport'!B:B),
    _xlpm.lookupKey, IF(_xlpm.isObject="Object",
        _xlfn.XLOOKUP($A331,'EA-ConnectorExport'!A:A,'EA-ConnectorExport'!D:D),
        $Q331
    ),
    _xlpm.result, _xlfn.XLOOKUP(_xlpm.lookupKey,'EA-Fortescue_SDExport'!A:A,'EA-Fortescue_SDExport'!AD:AD),
    IF(_xlpm.result=0,"",_xlpm.result)
)</f>
        <v>External Software</v>
      </c>
      <c r="V331" s="2" t="str">
        <f>_xlfn.LET(
    _xlpm.isObject, _xlfn.XLOOKUP($Q331,'EA-Fortescue_SDExport'!A:A,'EA-Fortescue_SDExport'!B:B),
    _xlpm.lookupKey, IF(_xlpm.isObject="Object",
        _xlfn.XLOOKUP($A331,'EA-ConnectorExport'!A:A,'EA-ConnectorExport'!D:D),
        $Q331
    ),
    _xlpm.result, _xlfn.XLOOKUP(_xlpm.lookupKey,'EA-Fortescue_SDExport'!A:A,'EA-Fortescue_SDExport'!AE:AE),
    IF(_xlpm.result=0,"",_xlpm.result)
)</f>
        <v>External Software</v>
      </c>
      <c r="W331" s="2" t="str">
        <f>_xlfn.LET(
    _xlpm.isObject, _xlfn.XLOOKUP($Q331,'EA-Fortescue_SDExport'!A:A,'EA-Fortescue_SDExport'!B:B),
    _xlpm.lookupKey, IF(_xlpm.isObject="Object",
        _xlfn.XLOOKUP($A331,'EA-ConnectorExport'!A:A,'EA-ConnectorExport'!D:D),
        $Q331
    ),
    _xlpm.result, _xlfn.XLOOKUP(_xlpm.lookupKey,'EA-Fortescue_SDExport'!A:A,'EA-Fortescue_SDExport'!AF:AF),
    IF(_xlpm.result=0,"",_xlpm.result)
)</f>
        <v>External Software</v>
      </c>
      <c r="X331" s="2" t="str">
        <f>_xlfn.LET(
    _xlpm.isObject, _xlfn.XLOOKUP($Q331,'EA-Fortescue_SDExport'!A:A,'EA-Fortescue_SDExport'!B:B),
    _xlpm.lookupKey, IF(_xlpm.isObject="Object",
        _xlfn.XLOOKUP($A331,'EA-ConnectorExport'!A:A,'EA-ConnectorExport'!D:D),
        $Q331
    ),
    _xlpm.result, _xlfn.XLOOKUP(_xlpm.lookupKey,'EA-Fortescue_SDExport'!A:A,'EA-Fortescue_SDExport'!AG:AG),
    IF(_xlpm.result=0,"",_xlpm.result)
)</f>
        <v>External Software</v>
      </c>
      <c r="Y331" s="2" t="str">
        <f>_xlfn.LET(
    _xlpm.status, _xlfn.XLOOKUP($A331,'EA-ConnectorExport'!$A:$A,'EA-ConnectorExport'!G:G),
    _xlpm.result, _xlfn.XLOOKUP($A331,'EA-ConnectorExport'!$A:$A,'EA-ConnectorExport'!H:H),
    IF(_xlpm.status="allocate", _xlpm.result, "")
)</f>
        <v>855DC-1541-DEL Delphi</v>
      </c>
      <c r="Z331" s="2" t="str">
        <f>_xlfn.LET(
    _xlpm.isObject, _xlfn.XLOOKUP($Y331,'EA-Fortescue_SDExport'!A:A,'EA-Fortescue_SDExport'!B:B),
    _xlpm.lookupKey, IF(_xlpm.isObject="Object",
        _xlfn.XLOOKUP($A331,'EA-ConnectorExport'!A:A,'EA-ConnectorExport'!J:J),
        $Y331
    ),
    _xlpm.result, _xlfn.XLOOKUP(_xlpm.lookupKey,'EA-Fortescue_SDExport'!A:A,'EA-Fortescue_SDExport'!AA:AA),
    IF(_xlpm.result=0,"",_xlpm.result)
)</f>
        <v>Project</v>
      </c>
      <c r="AA331" s="2" t="str">
        <f>_xlfn.LET(_xlpm.result, _xlfn.XLOOKUP($Y331,'EA-Fortescue_SDExport'!$A:$A,'EA-Fortescue_SDExport'!AB:AB), IF(_xlpm.result=0,"",_xlpm.result))</f>
        <v>Energy Operations</v>
      </c>
      <c r="AB331" s="2" t="str">
        <f>_xlfn.LET(_xlpm.result, _xlfn.XLOOKUP($Y331,'EA-Fortescue_SDExport'!$A:$A,'EA-Fortescue_SDExport'!AC:AC), IF(_xlpm.result=0,"",_xlpm.result))</f>
        <v/>
      </c>
      <c r="AC331" s="2" t="str">
        <f>_xlfn.LET(
    _xlpm.isObject, _xlfn.XLOOKUP($Y331,'EA-Fortescue_SDExport'!A:A,'EA-Fortescue_SDExport'!B:B),
    _xlpm.lookupKey, IF(_xlpm.isObject="Object",
        _xlfn.XLOOKUP($A331,'EA-ConnectorExport'!A:A,'EA-ConnectorExport'!J:J),
        $Y331
    ),
    _xlpm.result, _xlfn.XLOOKUP(_xlpm.lookupKey,'EA-Fortescue_SDExport'!A:A,'EA-Fortescue_SDExport'!AD:AD),
    IF(_xlpm.result=0,"",_xlpm.result)
)</f>
        <v>855DC Decarb Green Systems</v>
      </c>
      <c r="AD331" s="2" t="str">
        <f>_xlfn.LET(
    _xlpm.isObject, _xlfn.XLOOKUP($Y331,'EA-Fortescue_SDExport'!A:A,'EA-Fortescue_SDExport'!B:B),
    _xlpm.lookupKey, IF(_xlpm.isObject="Object",
        _xlfn.XLOOKUP($A331,'EA-ConnectorExport'!A:A,'EA-ConnectorExport'!J:J),
        $Y331
    ),
    _xlpm.result, _xlfn.XLOOKUP(_xlpm.lookupKey,'EA-Fortescue_SDExport'!A:A,'EA-Fortescue_SDExport'!AE:AE),
    IF(_xlpm.result=0,"",_xlpm.result)
)</f>
        <v>855DC-1541 Planning and Forecast Systems</v>
      </c>
      <c r="AE331" s="2" t="str">
        <f>_xlfn.LET(
    _xlpm.isObject, _xlfn.XLOOKUP($Y331,'EA-Fortescue_SDExport'!A:A,'EA-Fortescue_SDExport'!B:B),
    _xlpm.lookupKey, IF(_xlpm.isObject="Object",
        _xlfn.XLOOKUP($A331,'EA-ConnectorExport'!A:A,'EA-ConnectorExport'!J:J),
        $Y331
    ),
    _xlpm.result, _xlfn.XLOOKUP(_xlpm.lookupKey,'EA-Fortescue_SDExport'!A:A,'EA-Fortescue_SDExport'!AF:AF),
    IF(_xlpm.result=0,"",_xlpm.result)
)</f>
        <v>855DC-1541-DEL Delphi</v>
      </c>
      <c r="AF331" s="2" t="str">
        <f>_xlfn.LET(
    _xlpm.isObject, _xlfn.XLOOKUP($Y331,'EA-Fortescue_SDExport'!A:A,'EA-Fortescue_SDExport'!B:B),
    _xlpm.lookupKey, IF(_xlpm.isObject="Object",
        _xlfn.XLOOKUP($A331,'EA-ConnectorExport'!A:A,'EA-ConnectorExport'!J:J),
        $Y331
    ),
    _xlpm.result, _xlfn.XLOOKUP(_xlpm.lookupKey,'EA-Fortescue_SDExport'!A:A,'EA-Fortescue_SDExport'!AG:AG),
    IF(_xlpm.result=0,"",_xlpm.result)
)</f>
        <v/>
      </c>
    </row>
    <row r="332" spans="1:32" ht="180" x14ac:dyDescent="0.25">
      <c r="A332" s="2" t="str">
        <v>DGS-I_0331</v>
      </c>
      <c r="B332" s="2" t="str">
        <f t="shared" si="20"/>
        <v>005OP-0000-005-002 Snowflake (Wind)|855DC-1541-DEL Delphi</v>
      </c>
      <c r="C332" s="2" t="str">
        <f>_xlfn.LET(_xlpm.result, _xlfn.XLOOKUP(A332,'EA-Fortescue_SDExport'!A:A,'EA-Fortescue_SDExport'!AM:AM), IF(_xlpm.result=0,"",_xlpm.result))</f>
        <v>Abby Buters</v>
      </c>
      <c r="D332" s="2" t="str">
        <f>_xlfn.LET(_xlpm.result, _xlfn.XLOOKUP(A332,'EA-Fortescue_SDExport'!A:A,'EA-Fortescue_SDExport'!AN:AN), IF(_xlpm.result=0,"",_xlpm.result))</f>
        <v>Steve Alilovic, Wind engineering team</v>
      </c>
      <c r="E332" s="2" t="str">
        <f>_xlfn.XLOOKUP(R332&amp;Z332,Lookups!A:A,Lookups!B:B)</f>
        <v>Project - Subsystem Interface</v>
      </c>
      <c r="F332" s="2" t="str">
        <f>_xlfn.LET(_xlpm.result, _xlfn.XLOOKUP(A332,'EA-Fortescue_SDExport'!A:A,'EA-Fortescue_SDExport'!AP:AP), IF(_xlpm.result=0,"",_xlpm.result))</f>
        <v>Technical-Data/Software</v>
      </c>
      <c r="G332" s="2" t="str">
        <f>IF(OR(AND(T332&lt;&gt;"", COUNTIF(Lookups!J:J, "*"&amp;T332&amp;"*")&gt;0), AND(AB332&lt;&gt;"", COUNTIF(Lookups!J:J, "*"&amp;AB332&amp;"*")&gt;0)), "Yes", "No")</f>
        <v>No</v>
      </c>
      <c r="H332" s="2" t="str">
        <f t="shared" si="21"/>
        <v>005OP IT/OT Systems|855DC Decarb Green Systems</v>
      </c>
      <c r="I332" s="2" t="str">
        <f t="shared" si="22"/>
        <v>N/A|855DC-1541 Planning and Forecast Systems</v>
      </c>
      <c r="J332" s="2" t="str">
        <f t="shared" si="23"/>
        <v>005OP-0000-005 Weather Forecasting|855DC-1541-DEL Delphi</v>
      </c>
      <c r="K332" s="2" t="str">
        <f>_xlfn.XLOOKUP(A332,'EA-Fortescue_SDExport'!A:A,'EA-Fortescue_SDExport'!N:N)</f>
        <v>Proposed</v>
      </c>
      <c r="L332" s="2" t="str">
        <f>_xlfn.LET(_xlpm.result, _xlfn.XLOOKUP($A332,'EA-Fortescue_SDExport'!$A:$A,'EA-Fortescue_SDExport'!AQ:AQ), IF(_xlpm.result=0,"",_xlpm.result))</f>
        <v>Wind Actuals - Field Measurement Data (Multiple Heights)_x000D_
The purpose of this interface is to allow Delphi to collect wind actuals from on-site field instruments, which provide measured wind speeds at multiple heights. Delphi uses this data to validate wind forecasts, support operational decision-making, and improve modelling accuracy for short-term planning.</v>
      </c>
      <c r="M332" s="2" t="str">
        <f>_xlfn.LET(_xlpm.result, _xlfn.XLOOKUP($A332,'EA-Fortescue_SDExport'!$A:$A,'EA-Fortescue_SDExport'!AR:AR), IF(_xlpm.result=0,"",_xlpm.result))</f>
        <v>HIGH</v>
      </c>
      <c r="N332" s="2" t="str">
        <f>_xlfn.LET(_xlpm.result, _xlfn.XLOOKUP($A332,'EA-Fortescue_SDExport'!$A:$A,'EA-Fortescue_SDExport'!AW:AW), IF(_xlpm.result=0,"",_xlpm.result))</f>
        <v>The criticality level is HIGH because accurate multi-height wind measurements are essential for validating forecast models and supporting reliable near-term operational planning. Failure compromises modelling accuracy.</v>
      </c>
      <c r="O332" s="2" t="str">
        <f>_xlfn.LET(_xlpm.result, _xlfn.XLOOKUP($A332,'EA-Fortescue_SDExport'!$A:$A,'EA-Fortescue_SDExport'!AV:AV), IF(_xlpm.result=0,"",_xlpm.result))</f>
        <v>Field wind measurement systems -&gt; Wind Actuals Snowflake -&gt; Delphi ingest -&gt; Delphi Snowflake (uni-directional).</v>
      </c>
      <c r="P332" s="2" t="str">
        <f>_xlfn.LET(_xlpm.result, _xlfn.XLOOKUP($A332,'EA-Fortescue_SDExport'!$A:$A,'EA-Fortescue_SDExport'!D:D), IF(_xlpm.result=0,"",_xlpm.result))</f>
        <v/>
      </c>
      <c r="Q332" s="2" t="str">
        <f>_xlfn.LET(
    _xlpm.status, _xlfn.XLOOKUP($A332,'EA-ConnectorExport'!$A:$A,'EA-ConnectorExport'!G:G),
    _xlpm.result, _xlfn.XLOOKUP($A332,'EA-ConnectorExport'!$A:$A,'EA-ConnectorExport'!B:B),
    IF(_xlpm.status="allocate", _xlpm.result, "")
)</f>
        <v>005OP-0000-005-002 Snowflake (Wind)</v>
      </c>
      <c r="R332" s="2" t="str">
        <f>IF(
    _xlfn.XLOOKUP($Q332,'EA-Fortescue_SDExport'!A:A,'EA-Fortescue_SDExport'!B:B)="Object",
    _xlfn.XLOOKUP(
        _xlfn.XLOOKUP($A332,'EA-ConnectorExport'!A:A,'EA-ConnectorExport'!D:D),
        'EA-Fortescue_SDExport'!A:A,
        'EA-Fortescue_SDExport'!AA:AA
    ),
    _xlfn.XLOOKUP($Q332,'EA-Fortescue_SDExport'!A:A,'EA-Fortescue_SDExport'!AA:AA)
)</f>
        <v>Subsystem</v>
      </c>
      <c r="S332" s="2" t="str">
        <f>_xlfn.LET(_xlpm.result, _xlfn.XLOOKUP($Q332,'EA-Fortescue_SDExport'!$A:$A,'EA-Fortescue_SDExport'!AB:AB), IF(_xlpm.result=0,"",_xlpm.result))</f>
        <v/>
      </c>
      <c r="T332" s="2" t="str">
        <f>_xlfn.LET(_xlpm.result, _xlfn.XLOOKUP($Q332,'EA-Fortescue_SDExport'!$A:$A,'EA-Fortescue_SDExport'!AC:AC), IF(_xlpm.result=0,"",_xlpm.result))</f>
        <v/>
      </c>
      <c r="U332" s="2" t="str">
        <f>_xlfn.LET(
    _xlpm.isObject, _xlfn.XLOOKUP($Q332,'EA-Fortescue_SDExport'!A:A,'EA-Fortescue_SDExport'!B:B),
    _xlpm.lookupKey, IF(_xlpm.isObject="Object",
        _xlfn.XLOOKUP($A332,'EA-ConnectorExport'!A:A,'EA-ConnectorExport'!D:D),
        $Q332
    ),
    _xlpm.result, _xlfn.XLOOKUP(_xlpm.lookupKey,'EA-Fortescue_SDExport'!A:A,'EA-Fortescue_SDExport'!AD:AD),
    IF(_xlpm.result=0,"",_xlpm.result)
)</f>
        <v>005OP IT/OT Systems</v>
      </c>
      <c r="V332" s="2" t="str">
        <f>_xlfn.LET(
    _xlpm.isObject, _xlfn.XLOOKUP($Q332,'EA-Fortescue_SDExport'!A:A,'EA-Fortescue_SDExport'!B:B),
    _xlpm.lookupKey, IF(_xlpm.isObject="Object",
        _xlfn.XLOOKUP($A332,'EA-ConnectorExport'!A:A,'EA-ConnectorExport'!D:D),
        $Q332
    ),
    _xlpm.result, _xlfn.XLOOKUP(_xlpm.lookupKey,'EA-Fortescue_SDExport'!A:A,'EA-Fortescue_SDExport'!AE:AE),
    IF(_xlpm.result=0,"",_xlpm.result)
)</f>
        <v/>
      </c>
      <c r="W332" s="2" t="str">
        <f>_xlfn.LET(
    _xlpm.isObject, _xlfn.XLOOKUP($Q332,'EA-Fortescue_SDExport'!A:A,'EA-Fortescue_SDExport'!B:B),
    _xlpm.lookupKey, IF(_xlpm.isObject="Object",
        _xlfn.XLOOKUP($A332,'EA-ConnectorExport'!A:A,'EA-ConnectorExport'!D:D),
        $Q332
    ),
    _xlpm.result, _xlfn.XLOOKUP(_xlpm.lookupKey,'EA-Fortescue_SDExport'!A:A,'EA-Fortescue_SDExport'!AF:AF),
    IF(_xlpm.result=0,"",_xlpm.result)
)</f>
        <v>005OP-0000-005 Weather Forecasting</v>
      </c>
      <c r="X332" s="2" t="str">
        <f>_xlfn.LET(
    _xlpm.isObject, _xlfn.XLOOKUP($Q332,'EA-Fortescue_SDExport'!A:A,'EA-Fortescue_SDExport'!B:B),
    _xlpm.lookupKey, IF(_xlpm.isObject="Object",
        _xlfn.XLOOKUP($A332,'EA-ConnectorExport'!A:A,'EA-ConnectorExport'!D:D),
        $Q332
    ),
    _xlpm.result, _xlfn.XLOOKUP(_xlpm.lookupKey,'EA-Fortescue_SDExport'!A:A,'EA-Fortescue_SDExport'!AG:AG),
    IF(_xlpm.result=0,"",_xlpm.result)
)</f>
        <v>005OP-0000-005-002 Snowflake (Wind)</v>
      </c>
      <c r="Y332" s="2" t="str">
        <f>_xlfn.LET(
    _xlpm.status, _xlfn.XLOOKUP($A332,'EA-ConnectorExport'!$A:$A,'EA-ConnectorExport'!G:G),
    _xlpm.result, _xlfn.XLOOKUP($A332,'EA-ConnectorExport'!$A:$A,'EA-ConnectorExport'!H:H),
    IF(_xlpm.status="allocate", _xlpm.result, "")
)</f>
        <v>855DC-1541-DEL Delphi</v>
      </c>
      <c r="Z332" s="2" t="str">
        <f>_xlfn.LET(
    _xlpm.isObject, _xlfn.XLOOKUP($Y332,'EA-Fortescue_SDExport'!A:A,'EA-Fortescue_SDExport'!B:B),
    _xlpm.lookupKey, IF(_xlpm.isObject="Object",
        _xlfn.XLOOKUP($A332,'EA-ConnectorExport'!A:A,'EA-ConnectorExport'!J:J),
        $Y332
    ),
    _xlpm.result, _xlfn.XLOOKUP(_xlpm.lookupKey,'EA-Fortescue_SDExport'!A:A,'EA-Fortescue_SDExport'!AA:AA),
    IF(_xlpm.result=0,"",_xlpm.result)
)</f>
        <v>Project</v>
      </c>
      <c r="AA332" s="2" t="str">
        <f>_xlfn.LET(_xlpm.result, _xlfn.XLOOKUP($Y332,'EA-Fortescue_SDExport'!$A:$A,'EA-Fortescue_SDExport'!AB:AB), IF(_xlpm.result=0,"",_xlpm.result))</f>
        <v>Energy Operations</v>
      </c>
      <c r="AB332" s="2" t="str">
        <f>_xlfn.LET(_xlpm.result, _xlfn.XLOOKUP($Y332,'EA-Fortescue_SDExport'!$A:$A,'EA-Fortescue_SDExport'!AC:AC), IF(_xlpm.result=0,"",_xlpm.result))</f>
        <v/>
      </c>
      <c r="AC332" s="2" t="str">
        <f>_xlfn.LET(
    _xlpm.isObject, _xlfn.XLOOKUP($Y332,'EA-Fortescue_SDExport'!A:A,'EA-Fortescue_SDExport'!B:B),
    _xlpm.lookupKey, IF(_xlpm.isObject="Object",
        _xlfn.XLOOKUP($A332,'EA-ConnectorExport'!A:A,'EA-ConnectorExport'!J:J),
        $Y332
    ),
    _xlpm.result, _xlfn.XLOOKUP(_xlpm.lookupKey,'EA-Fortescue_SDExport'!A:A,'EA-Fortescue_SDExport'!AD:AD),
    IF(_xlpm.result=0,"",_xlpm.result)
)</f>
        <v>855DC Decarb Green Systems</v>
      </c>
      <c r="AD332" s="2" t="str">
        <f>_xlfn.LET(
    _xlpm.isObject, _xlfn.XLOOKUP($Y332,'EA-Fortescue_SDExport'!A:A,'EA-Fortescue_SDExport'!B:B),
    _xlpm.lookupKey, IF(_xlpm.isObject="Object",
        _xlfn.XLOOKUP($A332,'EA-ConnectorExport'!A:A,'EA-ConnectorExport'!J:J),
        $Y332
    ),
    _xlpm.result, _xlfn.XLOOKUP(_xlpm.lookupKey,'EA-Fortescue_SDExport'!A:A,'EA-Fortescue_SDExport'!AE:AE),
    IF(_xlpm.result=0,"",_xlpm.result)
)</f>
        <v>855DC-1541 Planning and Forecast Systems</v>
      </c>
      <c r="AE332" s="2" t="str">
        <f>_xlfn.LET(
    _xlpm.isObject, _xlfn.XLOOKUP($Y332,'EA-Fortescue_SDExport'!A:A,'EA-Fortescue_SDExport'!B:B),
    _xlpm.lookupKey, IF(_xlpm.isObject="Object",
        _xlfn.XLOOKUP($A332,'EA-ConnectorExport'!A:A,'EA-ConnectorExport'!J:J),
        $Y332
    ),
    _xlpm.result, _xlfn.XLOOKUP(_xlpm.lookupKey,'EA-Fortescue_SDExport'!A:A,'EA-Fortescue_SDExport'!AF:AF),
    IF(_xlpm.result=0,"",_xlpm.result)
)</f>
        <v>855DC-1541-DEL Delphi</v>
      </c>
      <c r="AF332" s="2" t="str">
        <f>_xlfn.LET(
    _xlpm.isObject, _xlfn.XLOOKUP($Y332,'EA-Fortescue_SDExport'!A:A,'EA-Fortescue_SDExport'!B:B),
    _xlpm.lookupKey, IF(_xlpm.isObject="Object",
        _xlfn.XLOOKUP($A332,'EA-ConnectorExport'!A:A,'EA-ConnectorExport'!J:J),
        $Y332
    ),
    _xlpm.result, _xlfn.XLOOKUP(_xlpm.lookupKey,'EA-Fortescue_SDExport'!A:A,'EA-Fortescue_SDExport'!AG:AG),
    IF(_xlpm.result=0,"",_xlpm.result)
)</f>
        <v/>
      </c>
    </row>
    <row r="333" spans="1:32" ht="165" x14ac:dyDescent="0.25">
      <c r="A333" s="2" t="str">
        <v>DGS-I_0332</v>
      </c>
      <c r="B333" s="2" t="str">
        <f t="shared" si="20"/>
        <v>DNV|855DC-1541-DEL Delphi</v>
      </c>
      <c r="C333" s="2" t="str">
        <f>_xlfn.LET(_xlpm.result, _xlfn.XLOOKUP(A333,'EA-Fortescue_SDExport'!A:A,'EA-Fortescue_SDExport'!AM:AM), IF(_xlpm.result=0,"",_xlpm.result))</f>
        <v>Abby Buters</v>
      </c>
      <c r="D333" s="2" t="str">
        <f>_xlfn.LET(_xlpm.result, _xlfn.XLOOKUP(A333,'EA-Fortescue_SDExport'!A:A,'EA-Fortescue_SDExport'!AN:AN), IF(_xlpm.result=0,"",_xlpm.result))</f>
        <v>External Vendor</v>
      </c>
      <c r="E333" s="2" t="str">
        <f>_xlfn.XLOOKUP(R333&amp;Z333,Lookups!A:A,Lookups!B:B)</f>
        <v>External Software - Project Interface</v>
      </c>
      <c r="F333" s="2" t="str">
        <f>_xlfn.LET(_xlpm.result, _xlfn.XLOOKUP(A333,'EA-Fortescue_SDExport'!A:A,'EA-Fortescue_SDExport'!AP:AP), IF(_xlpm.result=0,"",_xlpm.result))</f>
        <v>Technical-Data/Software</v>
      </c>
      <c r="G333" s="2" t="str">
        <f>IF(OR(AND(T333&lt;&gt;"", COUNTIF(Lookups!J:J, "*"&amp;T333&amp;"*")&gt;0), AND(AB333&lt;&gt;"", COUNTIF(Lookups!J:J, "*"&amp;AB333&amp;"*")&gt;0)), "Yes", "No")</f>
        <v>No</v>
      </c>
      <c r="H333" s="2" t="str">
        <f t="shared" si="21"/>
        <v>External Software|855DC Decarb Green Systems</v>
      </c>
      <c r="I333" s="2" t="str">
        <f t="shared" si="22"/>
        <v>External Software|855DC-1541 Planning and Forecast Systems</v>
      </c>
      <c r="J333" s="2" t="str">
        <f t="shared" si="23"/>
        <v>External Software|855DC-1541-DEL Delphi</v>
      </c>
      <c r="K333" s="2" t="str">
        <f>_xlfn.XLOOKUP(A333,'EA-Fortescue_SDExport'!A:A,'EA-Fortescue_SDExport'!N:N)</f>
        <v>Proposed</v>
      </c>
      <c r="L333" s="2" t="str">
        <f>_xlfn.LET(_xlpm.result, _xlfn.XLOOKUP($A333,'EA-Fortescue_SDExport'!$A:$A,'EA-Fortescue_SDExport'!AQ:AQ), IF(_xlpm.result=0,"",_xlpm.result))</f>
        <v>DNV - External Wind Forecast Provider_x000D_
The purpose of this interface is for Delphi to integrate with DNV to receive external wind forecast data in support of short-term and medium-term operational planning. These forecasts include wind speed, direction, and related metrics, enabling comparison against internal forecasts, improving confidence in planning decisions, and informing generation and curtailment strategies._x000D_
Intermediate Elements: Snowflake (storage and distribution of DNV wind forecast data).</v>
      </c>
      <c r="M333" s="2" t="str">
        <f>_xlfn.LET(_xlpm.result, _xlfn.XLOOKUP($A333,'EA-Fortescue_SDExport'!$A:$A,'EA-Fortescue_SDExport'!AR:AR), IF(_xlpm.result=0,"",_xlpm.result))</f>
        <v>HIGH</v>
      </c>
      <c r="N333" s="2" t="str">
        <f>_xlfn.LET(_xlpm.result, _xlfn.XLOOKUP($A333,'EA-Fortescue_SDExport'!$A:$A,'EA-Fortescue_SDExport'!AW:AW), IF(_xlpm.result=0,"",_xlpm.result))</f>
        <v>The criticality level is HIGH because independent, high-quality wind forecasts are important for validating internal models and reducing forecast risk. Failure impacts the reliability of generation and curtailment strategies.</v>
      </c>
      <c r="O333" s="2" t="str">
        <f>_xlfn.LET(_xlpm.result, _xlfn.XLOOKUP($A333,'EA-Fortescue_SDExport'!$A:$A,'EA-Fortescue_SDExport'!AV:AV), IF(_xlpm.result=0,"",_xlpm.result))</f>
        <v>DNV wind forecast feed/API -&gt; Delphi ingest -&gt; Delphi Snowflake (uni-directional).</v>
      </c>
      <c r="P333" s="2" t="str">
        <f>_xlfn.LET(_xlpm.result, _xlfn.XLOOKUP($A333,'EA-Fortescue_SDExport'!$A:$A,'EA-Fortescue_SDExport'!D:D), IF(_xlpm.result=0,"",_xlpm.result))</f>
        <v/>
      </c>
      <c r="Q333" s="2" t="str">
        <f>_xlfn.LET(
    _xlpm.status, _xlfn.XLOOKUP($A333,'EA-ConnectorExport'!$A:$A,'EA-ConnectorExport'!G:G),
    _xlpm.result, _xlfn.XLOOKUP($A333,'EA-ConnectorExport'!$A:$A,'EA-ConnectorExport'!B:B),
    IF(_xlpm.status="allocate", _xlpm.result, "")
)</f>
        <v>DNV</v>
      </c>
      <c r="R333" s="2" t="str">
        <f>IF(
    _xlfn.XLOOKUP($Q333,'EA-Fortescue_SDExport'!A:A,'EA-Fortescue_SDExport'!B:B)="Object",
    _xlfn.XLOOKUP(
        _xlfn.XLOOKUP($A333,'EA-ConnectorExport'!A:A,'EA-ConnectorExport'!D:D),
        'EA-Fortescue_SDExport'!A:A,
        'EA-Fortescue_SDExport'!AA:AA
    ),
    _xlfn.XLOOKUP($Q333,'EA-Fortescue_SDExport'!A:A,'EA-Fortescue_SDExport'!AA:AA)
)</f>
        <v>External Software</v>
      </c>
      <c r="S333" s="2" t="str">
        <f>_xlfn.LET(_xlpm.result, _xlfn.XLOOKUP($Q333,'EA-Fortescue_SDExport'!$A:$A,'EA-Fortescue_SDExport'!AB:AB), IF(_xlpm.result=0,"",_xlpm.result))</f>
        <v/>
      </c>
      <c r="T333" s="2" t="str">
        <f>_xlfn.LET(_xlpm.result, _xlfn.XLOOKUP($Q333,'EA-Fortescue_SDExport'!$A:$A,'EA-Fortescue_SDExport'!AC:AC), IF(_xlpm.result=0,"",_xlpm.result))</f>
        <v/>
      </c>
      <c r="U333" s="2" t="str">
        <f>_xlfn.LET(
    _xlpm.isObject, _xlfn.XLOOKUP($Q333,'EA-Fortescue_SDExport'!A:A,'EA-Fortescue_SDExport'!B:B),
    _xlpm.lookupKey, IF(_xlpm.isObject="Object",
        _xlfn.XLOOKUP($A333,'EA-ConnectorExport'!A:A,'EA-ConnectorExport'!D:D),
        $Q333
    ),
    _xlpm.result, _xlfn.XLOOKUP(_xlpm.lookupKey,'EA-Fortescue_SDExport'!A:A,'EA-Fortescue_SDExport'!AD:AD),
    IF(_xlpm.result=0,"",_xlpm.result)
)</f>
        <v>External Software</v>
      </c>
      <c r="V333" s="2" t="str">
        <f>_xlfn.LET(
    _xlpm.isObject, _xlfn.XLOOKUP($Q333,'EA-Fortescue_SDExport'!A:A,'EA-Fortescue_SDExport'!B:B),
    _xlpm.lookupKey, IF(_xlpm.isObject="Object",
        _xlfn.XLOOKUP($A333,'EA-ConnectorExport'!A:A,'EA-ConnectorExport'!D:D),
        $Q333
    ),
    _xlpm.result, _xlfn.XLOOKUP(_xlpm.lookupKey,'EA-Fortescue_SDExport'!A:A,'EA-Fortescue_SDExport'!AE:AE),
    IF(_xlpm.result=0,"",_xlpm.result)
)</f>
        <v>External Software</v>
      </c>
      <c r="W333" s="2" t="str">
        <f>_xlfn.LET(
    _xlpm.isObject, _xlfn.XLOOKUP($Q333,'EA-Fortescue_SDExport'!A:A,'EA-Fortescue_SDExport'!B:B),
    _xlpm.lookupKey, IF(_xlpm.isObject="Object",
        _xlfn.XLOOKUP($A333,'EA-ConnectorExport'!A:A,'EA-ConnectorExport'!D:D),
        $Q333
    ),
    _xlpm.result, _xlfn.XLOOKUP(_xlpm.lookupKey,'EA-Fortescue_SDExport'!A:A,'EA-Fortescue_SDExport'!AF:AF),
    IF(_xlpm.result=0,"",_xlpm.result)
)</f>
        <v>External Software</v>
      </c>
      <c r="X333" s="2" t="str">
        <f>_xlfn.LET(
    _xlpm.isObject, _xlfn.XLOOKUP($Q333,'EA-Fortescue_SDExport'!A:A,'EA-Fortescue_SDExport'!B:B),
    _xlpm.lookupKey, IF(_xlpm.isObject="Object",
        _xlfn.XLOOKUP($A333,'EA-ConnectorExport'!A:A,'EA-ConnectorExport'!D:D),
        $Q333
    ),
    _xlpm.result, _xlfn.XLOOKUP(_xlpm.lookupKey,'EA-Fortescue_SDExport'!A:A,'EA-Fortescue_SDExport'!AG:AG),
    IF(_xlpm.result=0,"",_xlpm.result)
)</f>
        <v>External Software</v>
      </c>
      <c r="Y333" s="2" t="str">
        <f>_xlfn.LET(
    _xlpm.status, _xlfn.XLOOKUP($A333,'EA-ConnectorExport'!$A:$A,'EA-ConnectorExport'!G:G),
    _xlpm.result, _xlfn.XLOOKUP($A333,'EA-ConnectorExport'!$A:$A,'EA-ConnectorExport'!H:H),
    IF(_xlpm.status="allocate", _xlpm.result, "")
)</f>
        <v>855DC-1541-DEL Delphi</v>
      </c>
      <c r="Z333" s="2" t="str">
        <f>_xlfn.LET(
    _xlpm.isObject, _xlfn.XLOOKUP($Y333,'EA-Fortescue_SDExport'!A:A,'EA-Fortescue_SDExport'!B:B),
    _xlpm.lookupKey, IF(_xlpm.isObject="Object",
        _xlfn.XLOOKUP($A333,'EA-ConnectorExport'!A:A,'EA-ConnectorExport'!J:J),
        $Y333
    ),
    _xlpm.result, _xlfn.XLOOKUP(_xlpm.lookupKey,'EA-Fortescue_SDExport'!A:A,'EA-Fortescue_SDExport'!AA:AA),
    IF(_xlpm.result=0,"",_xlpm.result)
)</f>
        <v>Project</v>
      </c>
      <c r="AA333" s="2" t="str">
        <f>_xlfn.LET(_xlpm.result, _xlfn.XLOOKUP($Y333,'EA-Fortescue_SDExport'!$A:$A,'EA-Fortescue_SDExport'!AB:AB), IF(_xlpm.result=0,"",_xlpm.result))</f>
        <v>Energy Operations</v>
      </c>
      <c r="AB333" s="2" t="str">
        <f>_xlfn.LET(_xlpm.result, _xlfn.XLOOKUP($Y333,'EA-Fortescue_SDExport'!$A:$A,'EA-Fortescue_SDExport'!AC:AC), IF(_xlpm.result=0,"",_xlpm.result))</f>
        <v/>
      </c>
      <c r="AC333" s="2" t="str">
        <f>_xlfn.LET(
    _xlpm.isObject, _xlfn.XLOOKUP($Y333,'EA-Fortescue_SDExport'!A:A,'EA-Fortescue_SDExport'!B:B),
    _xlpm.lookupKey, IF(_xlpm.isObject="Object",
        _xlfn.XLOOKUP($A333,'EA-ConnectorExport'!A:A,'EA-ConnectorExport'!J:J),
        $Y333
    ),
    _xlpm.result, _xlfn.XLOOKUP(_xlpm.lookupKey,'EA-Fortescue_SDExport'!A:A,'EA-Fortescue_SDExport'!AD:AD),
    IF(_xlpm.result=0,"",_xlpm.result)
)</f>
        <v>855DC Decarb Green Systems</v>
      </c>
      <c r="AD333" s="2" t="str">
        <f>_xlfn.LET(
    _xlpm.isObject, _xlfn.XLOOKUP($Y333,'EA-Fortescue_SDExport'!A:A,'EA-Fortescue_SDExport'!B:B),
    _xlpm.lookupKey, IF(_xlpm.isObject="Object",
        _xlfn.XLOOKUP($A333,'EA-ConnectorExport'!A:A,'EA-ConnectorExport'!J:J),
        $Y333
    ),
    _xlpm.result, _xlfn.XLOOKUP(_xlpm.lookupKey,'EA-Fortescue_SDExport'!A:A,'EA-Fortescue_SDExport'!AE:AE),
    IF(_xlpm.result=0,"",_xlpm.result)
)</f>
        <v>855DC-1541 Planning and Forecast Systems</v>
      </c>
      <c r="AE333" s="2" t="str">
        <f>_xlfn.LET(
    _xlpm.isObject, _xlfn.XLOOKUP($Y333,'EA-Fortescue_SDExport'!A:A,'EA-Fortescue_SDExport'!B:B),
    _xlpm.lookupKey, IF(_xlpm.isObject="Object",
        _xlfn.XLOOKUP($A333,'EA-ConnectorExport'!A:A,'EA-ConnectorExport'!J:J),
        $Y333
    ),
    _xlpm.result, _xlfn.XLOOKUP(_xlpm.lookupKey,'EA-Fortescue_SDExport'!A:A,'EA-Fortescue_SDExport'!AF:AF),
    IF(_xlpm.result=0,"",_xlpm.result)
)</f>
        <v>855DC-1541-DEL Delphi</v>
      </c>
      <c r="AF333" s="2" t="str">
        <f>_xlfn.LET(
    _xlpm.isObject, _xlfn.XLOOKUP($Y333,'EA-Fortescue_SDExport'!A:A,'EA-Fortescue_SDExport'!B:B),
    _xlpm.lookupKey, IF(_xlpm.isObject="Object",
        _xlfn.XLOOKUP($A333,'EA-ConnectorExport'!A:A,'EA-ConnectorExport'!J:J),
        $Y333
    ),
    _xlpm.result, _xlfn.XLOOKUP(_xlpm.lookupKey,'EA-Fortescue_SDExport'!A:A,'EA-Fortescue_SDExport'!AG:AG),
    IF(_xlpm.result=0,"",_xlpm.result)
)</f>
        <v/>
      </c>
    </row>
    <row r="334" spans="1:32" ht="195" x14ac:dyDescent="0.25">
      <c r="A334" s="2" t="str">
        <v>DGS-I_0333</v>
      </c>
      <c r="B334" s="2" t="str">
        <f t="shared" si="20"/>
        <v>855DC-1541-DEL Delphi|855DC-1542-009 Elysia</v>
      </c>
      <c r="C334" s="2" t="str">
        <f>_xlfn.LET(_xlpm.result, _xlfn.XLOOKUP(A334,'EA-Fortescue_SDExport'!A:A,'EA-Fortescue_SDExport'!AM:AM), IF(_xlpm.result=0,"",_xlpm.result))</f>
        <v>Abby Buters</v>
      </c>
      <c r="D334" s="2" t="str">
        <f>_xlfn.LET(_xlpm.result, _xlfn.XLOOKUP(A334,'EA-Fortescue_SDExport'!A:A,'EA-Fortescue_SDExport'!AN:AN), IF(_xlpm.result=0,"",_xlpm.result))</f>
        <v>Energy Operations Kareema Ramli</v>
      </c>
      <c r="E334" s="2" t="str">
        <f>_xlfn.XLOOKUP(R334&amp;Z334,Lookups!A:A,Lookups!B:B)</f>
        <v>Project - Project Interface</v>
      </c>
      <c r="F334" s="2" t="str">
        <f>_xlfn.LET(_xlpm.result, _xlfn.XLOOKUP(A334,'EA-Fortescue_SDExport'!A:A,'EA-Fortescue_SDExport'!AP:AP), IF(_xlpm.result=0,"",_xlpm.result))</f>
        <v>Technical-Data/Software</v>
      </c>
      <c r="G334" s="2" t="str">
        <f>IF(OR(AND(T334&lt;&gt;"", COUNTIF(Lookups!J:J, "*"&amp;T334&amp;"*")&gt;0), AND(AB334&lt;&gt;"", COUNTIF(Lookups!J:J, "*"&amp;AB334&amp;"*")&gt;0)), "Yes", "No")</f>
        <v>No</v>
      </c>
      <c r="H334" s="2" t="str">
        <f t="shared" si="21"/>
        <v>855DC Decarb Green Systems|855DC Decarb Green Systems</v>
      </c>
      <c r="I334" s="2" t="str">
        <f t="shared" si="22"/>
        <v>855DC-1541 Planning and Forecast Systems|855DC-1542 Control &amp; Monitoring Systems</v>
      </c>
      <c r="J334" s="2" t="str">
        <f t="shared" si="23"/>
        <v>855DC-1541-DEL Delphi|855DC-1542-009 Elysia</v>
      </c>
      <c r="K334" s="2" t="str">
        <f>_xlfn.XLOOKUP(A334,'EA-Fortescue_SDExport'!A:A,'EA-Fortescue_SDExport'!N:N)</f>
        <v>Proposed</v>
      </c>
      <c r="L334" s="2" t="str">
        <f>_xlfn.LET(_xlpm.result, _xlfn.XLOOKUP($A334,'EA-Fortescue_SDExport'!$A:$A,'EA-Fortescue_SDExport'!AQ:AQ), IF(_xlpm.result=0,"",_xlpm.result))</f>
        <v>Elysia BESS -State of Charge Actuals (Atevia Web API)_x000D_
The purpose of this interface is for Delphi to consume the real-time state of charge (SoC) and related battery performance metrics for the BESS via the Atevia Web API used by Energy Operations. These SoC actuals support short-term operational decision-making, including when to charge, discharge, or curtail based on site conditions and energy demand._x000D_
Intermediate Elements: Snowflake (storage and distribution of BESS SoC actuals).</v>
      </c>
      <c r="M334" s="2" t="str">
        <f>_xlfn.LET(_xlpm.result, _xlfn.XLOOKUP($A334,'EA-Fortescue_SDExport'!$A:$A,'EA-Fortescue_SDExport'!AR:AR), IF(_xlpm.result=0,"",_xlpm.result))</f>
        <v>HIGH</v>
      </c>
      <c r="N334" s="2" t="str">
        <f>_xlfn.LET(_xlpm.result, _xlfn.XLOOKUP($A334,'EA-Fortescue_SDExport'!$A:$A,'EA-Fortescue_SDExport'!AW:AW), IF(_xlpm.result=0,"",_xlpm.result))</f>
        <v>The criticality level is HIGH because accurate and timely SoC information is essential for safe and efficient BESS operation, energy optimisation, and maintaining system stability. Failure compromises operational decision-making.</v>
      </c>
      <c r="O334" s="2" t="str">
        <f>_xlfn.LET(_xlpm.result, _xlfn.XLOOKUP($A334,'EA-Fortescue_SDExport'!$A:$A,'EA-Fortescue_SDExport'!AV:AV), IF(_xlpm.result=0,"",_xlpm.result))</f>
        <v>Atevia Web API (Elysia BESS data) -&gt; Delphi ingest -&gt; Delphi Snowflake (uni-directional).</v>
      </c>
      <c r="P334" s="2" t="str">
        <f>_xlfn.LET(_xlpm.result, _xlfn.XLOOKUP($A334,'EA-Fortescue_SDExport'!$A:$A,'EA-Fortescue_SDExport'!D:D), IF(_xlpm.result=0,"",_xlpm.result))</f>
        <v/>
      </c>
      <c r="Q334" s="2" t="str">
        <f>_xlfn.LET(
    _xlpm.status, _xlfn.XLOOKUP($A334,'EA-ConnectorExport'!$A:$A,'EA-ConnectorExport'!G:G),
    _xlpm.result, _xlfn.XLOOKUP($A334,'EA-ConnectorExport'!$A:$A,'EA-ConnectorExport'!B:B),
    IF(_xlpm.status="allocate", _xlpm.result, "")
)</f>
        <v>855DC-1541-DEL Delphi</v>
      </c>
      <c r="R334" s="2" t="str">
        <f>IF(
    _xlfn.XLOOKUP($Q334,'EA-Fortescue_SDExport'!A:A,'EA-Fortescue_SDExport'!B:B)="Object",
    _xlfn.XLOOKUP(
        _xlfn.XLOOKUP($A334,'EA-ConnectorExport'!A:A,'EA-ConnectorExport'!D:D),
        'EA-Fortescue_SDExport'!A:A,
        'EA-Fortescue_SDExport'!AA:AA
    ),
    _xlfn.XLOOKUP($Q334,'EA-Fortescue_SDExport'!A:A,'EA-Fortescue_SDExport'!AA:AA)
)</f>
        <v>Project</v>
      </c>
      <c r="S334" s="2" t="str">
        <f>_xlfn.LET(_xlpm.result, _xlfn.XLOOKUP($Q334,'EA-Fortescue_SDExport'!$A:$A,'EA-Fortescue_SDExport'!AB:AB), IF(_xlpm.result=0,"",_xlpm.result))</f>
        <v>Energy Operations</v>
      </c>
      <c r="T334" s="2" t="str">
        <f>_xlfn.LET(_xlpm.result, _xlfn.XLOOKUP($Q334,'EA-Fortescue_SDExport'!$A:$A,'EA-Fortescue_SDExport'!AC:AC), IF(_xlpm.result=0,"",_xlpm.result))</f>
        <v/>
      </c>
      <c r="U334" s="2" t="str">
        <f>_xlfn.LET(
    _xlpm.isObject, _xlfn.XLOOKUP($Q334,'EA-Fortescue_SDExport'!A:A,'EA-Fortescue_SDExport'!B:B),
    _xlpm.lookupKey, IF(_xlpm.isObject="Object",
        _xlfn.XLOOKUP($A334,'EA-ConnectorExport'!A:A,'EA-ConnectorExport'!D:D),
        $Q334
    ),
    _xlpm.result, _xlfn.XLOOKUP(_xlpm.lookupKey,'EA-Fortescue_SDExport'!A:A,'EA-Fortescue_SDExport'!AD:AD),
    IF(_xlpm.result=0,"",_xlpm.result)
)</f>
        <v>855DC Decarb Green Systems</v>
      </c>
      <c r="V334" s="2" t="str">
        <f>_xlfn.LET(
    _xlpm.isObject, _xlfn.XLOOKUP($Q334,'EA-Fortescue_SDExport'!A:A,'EA-Fortescue_SDExport'!B:B),
    _xlpm.lookupKey, IF(_xlpm.isObject="Object",
        _xlfn.XLOOKUP($A334,'EA-ConnectorExport'!A:A,'EA-ConnectorExport'!D:D),
        $Q334
    ),
    _xlpm.result, _xlfn.XLOOKUP(_xlpm.lookupKey,'EA-Fortescue_SDExport'!A:A,'EA-Fortescue_SDExport'!AE:AE),
    IF(_xlpm.result=0,"",_xlpm.result)
)</f>
        <v>855DC-1541 Planning and Forecast Systems</v>
      </c>
      <c r="W334" s="2" t="str">
        <f>_xlfn.LET(
    _xlpm.isObject, _xlfn.XLOOKUP($Q334,'EA-Fortescue_SDExport'!A:A,'EA-Fortescue_SDExport'!B:B),
    _xlpm.lookupKey, IF(_xlpm.isObject="Object",
        _xlfn.XLOOKUP($A334,'EA-ConnectorExport'!A:A,'EA-ConnectorExport'!D:D),
        $Q334
    ),
    _xlpm.result, _xlfn.XLOOKUP(_xlpm.lookupKey,'EA-Fortescue_SDExport'!A:A,'EA-Fortescue_SDExport'!AF:AF),
    IF(_xlpm.result=0,"",_xlpm.result)
)</f>
        <v>855DC-1541-DEL Delphi</v>
      </c>
      <c r="X334" s="2" t="str">
        <f>_xlfn.LET(
    _xlpm.isObject, _xlfn.XLOOKUP($Q334,'EA-Fortescue_SDExport'!A:A,'EA-Fortescue_SDExport'!B:B),
    _xlpm.lookupKey, IF(_xlpm.isObject="Object",
        _xlfn.XLOOKUP($A334,'EA-ConnectorExport'!A:A,'EA-ConnectorExport'!D:D),
        $Q334
    ),
    _xlpm.result, _xlfn.XLOOKUP(_xlpm.lookupKey,'EA-Fortescue_SDExport'!A:A,'EA-Fortescue_SDExport'!AG:AG),
    IF(_xlpm.result=0,"",_xlpm.result)
)</f>
        <v/>
      </c>
      <c r="Y334" s="2" t="str">
        <f>_xlfn.LET(
    _xlpm.status, _xlfn.XLOOKUP($A334,'EA-ConnectorExport'!$A:$A,'EA-ConnectorExport'!G:G),
    _xlpm.result, _xlfn.XLOOKUP($A334,'EA-ConnectorExport'!$A:$A,'EA-ConnectorExport'!H:H),
    IF(_xlpm.status="allocate", _xlpm.result, "")
)</f>
        <v>855DC-1542-009 Elysia</v>
      </c>
      <c r="Z334" s="2" t="str">
        <f>_xlfn.LET(
    _xlpm.isObject, _xlfn.XLOOKUP($Y334,'EA-Fortescue_SDExport'!A:A,'EA-Fortescue_SDExport'!B:B),
    _xlpm.lookupKey, IF(_xlpm.isObject="Object",
        _xlfn.XLOOKUP($A334,'EA-ConnectorExport'!A:A,'EA-ConnectorExport'!J:J),
        $Y334
    ),
    _xlpm.result, _xlfn.XLOOKUP(_xlpm.lookupKey,'EA-Fortescue_SDExport'!A:A,'EA-Fortescue_SDExport'!AA:AA),
    IF(_xlpm.result=0,"",_xlpm.result)
)</f>
        <v>Project</v>
      </c>
      <c r="AA334" s="2" t="str">
        <f>_xlfn.LET(_xlpm.result, _xlfn.XLOOKUP($Y334,'EA-Fortescue_SDExport'!$A:$A,'EA-Fortescue_SDExport'!AB:AB), IF(_xlpm.result=0,"",_xlpm.result))</f>
        <v/>
      </c>
      <c r="AB334" s="2" t="str">
        <f>_xlfn.LET(_xlpm.result, _xlfn.XLOOKUP($Y334,'EA-Fortescue_SDExport'!$A:$A,'EA-Fortescue_SDExport'!AC:AC), IF(_xlpm.result=0,"",_xlpm.result))</f>
        <v/>
      </c>
      <c r="AC334" s="2" t="str">
        <f>_xlfn.LET(
    _xlpm.isObject, _xlfn.XLOOKUP($Y334,'EA-Fortescue_SDExport'!A:A,'EA-Fortescue_SDExport'!B:B),
    _xlpm.lookupKey, IF(_xlpm.isObject="Object",
        _xlfn.XLOOKUP($A334,'EA-ConnectorExport'!A:A,'EA-ConnectorExport'!J:J),
        $Y334
    ),
    _xlpm.result, _xlfn.XLOOKUP(_xlpm.lookupKey,'EA-Fortescue_SDExport'!A:A,'EA-Fortescue_SDExport'!AD:AD),
    IF(_xlpm.result=0,"",_xlpm.result)
)</f>
        <v>855DC Decarb Green Systems</v>
      </c>
      <c r="AD334" s="2" t="str">
        <f>_xlfn.LET(
    _xlpm.isObject, _xlfn.XLOOKUP($Y334,'EA-Fortescue_SDExport'!A:A,'EA-Fortescue_SDExport'!B:B),
    _xlpm.lookupKey, IF(_xlpm.isObject="Object",
        _xlfn.XLOOKUP($A334,'EA-ConnectorExport'!A:A,'EA-ConnectorExport'!J:J),
        $Y334
    ),
    _xlpm.result, _xlfn.XLOOKUP(_xlpm.lookupKey,'EA-Fortescue_SDExport'!A:A,'EA-Fortescue_SDExport'!AE:AE),
    IF(_xlpm.result=0,"",_xlpm.result)
)</f>
        <v>855DC-1542 Control &amp; Monitoring Systems</v>
      </c>
      <c r="AE334" s="2" t="str">
        <f>_xlfn.LET(
    _xlpm.isObject, _xlfn.XLOOKUP($Y334,'EA-Fortescue_SDExport'!A:A,'EA-Fortescue_SDExport'!B:B),
    _xlpm.lookupKey, IF(_xlpm.isObject="Object",
        _xlfn.XLOOKUP($A334,'EA-ConnectorExport'!A:A,'EA-ConnectorExport'!J:J),
        $Y334
    ),
    _xlpm.result, _xlfn.XLOOKUP(_xlpm.lookupKey,'EA-Fortescue_SDExport'!A:A,'EA-Fortescue_SDExport'!AF:AF),
    IF(_xlpm.result=0,"",_xlpm.result)
)</f>
        <v>855DC-1542-009 Elysia</v>
      </c>
      <c r="AF334" s="2" t="str">
        <f>_xlfn.LET(
    _xlpm.isObject, _xlfn.XLOOKUP($Y334,'EA-Fortescue_SDExport'!A:A,'EA-Fortescue_SDExport'!B:B),
    _xlpm.lookupKey, IF(_xlpm.isObject="Object",
        _xlfn.XLOOKUP($A334,'EA-ConnectorExport'!A:A,'EA-ConnectorExport'!J:J),
        $Y334
    ),
    _xlpm.result, _xlfn.XLOOKUP(_xlpm.lookupKey,'EA-Fortescue_SDExport'!A:A,'EA-Fortescue_SDExport'!AG:AG),
    IF(_xlpm.result=0,"",_xlpm.result)
)</f>
        <v/>
      </c>
    </row>
    <row r="335" spans="1:32" ht="45" x14ac:dyDescent="0.25">
      <c r="A335" s="2" t="str">
        <v>DGS-I_0334</v>
      </c>
      <c r="B335" s="2" t="str">
        <f t="shared" si="20"/>
        <v>005OP-0000-001 Atlas|855DC-1541-ECL Eclipse</v>
      </c>
      <c r="C335" s="2" t="str">
        <f>_xlfn.LET(_xlpm.result, _xlfn.XLOOKUP(A335,'EA-Fortescue_SDExport'!A:A,'EA-Fortescue_SDExport'!AM:AM), IF(_xlpm.result=0,"",_xlpm.result))</f>
        <v>Abby Buters</v>
      </c>
      <c r="D335" s="2" t="str">
        <f>_xlfn.LET(_xlpm.result, _xlfn.XLOOKUP(A335,'EA-Fortescue_SDExport'!A:A,'EA-Fortescue_SDExport'!AN:AN), IF(_xlpm.result=0,"",_xlpm.result))</f>
        <v>Integrated Planning</v>
      </c>
      <c r="E335" s="2" t="str">
        <f>_xlfn.XLOOKUP(R335&amp;Z335,Lookups!A:A,Lookups!B:B)</f>
        <v>Project - Project Interface</v>
      </c>
      <c r="F335" s="2" t="str">
        <f>_xlfn.LET(_xlpm.result, _xlfn.XLOOKUP(A335,'EA-Fortescue_SDExport'!A:A,'EA-Fortescue_SDExport'!AP:AP), IF(_xlpm.result=0,"",_xlpm.result))</f>
        <v>Technical-Data/Software</v>
      </c>
      <c r="G335" s="2" t="str">
        <f>IF(OR(AND(T335&lt;&gt;"", COUNTIF(Lookups!J:J, "*"&amp;T335&amp;"*")&gt;0), AND(AB335&lt;&gt;"", COUNTIF(Lookups!J:J, "*"&amp;AB335&amp;"*")&gt;0)), "Yes", "No")</f>
        <v>No</v>
      </c>
      <c r="H335" s="2" t="str">
        <f t="shared" si="21"/>
        <v>005OP IT/OT Systems|855DC Decarb Green Systems</v>
      </c>
      <c r="I335" s="2" t="str">
        <f t="shared" si="22"/>
        <v>N/A|855DC-1541 Planning and Forecast Systems</v>
      </c>
      <c r="J335" s="2" t="str">
        <f t="shared" si="23"/>
        <v>005OP-0000-001 Atlas|855DC-1541-ECL Eclipse</v>
      </c>
      <c r="K335" s="2" t="str">
        <f>_xlfn.XLOOKUP(A335,'EA-Fortescue_SDExport'!A:A,'EA-Fortescue_SDExport'!N:N)</f>
        <v>Proposed</v>
      </c>
      <c r="L335" s="2" t="str">
        <f>_xlfn.LET(_xlpm.result, _xlfn.XLOOKUP($A335,'EA-Fortescue_SDExport'!$A:$A,'EA-Fortescue_SDExport'!AQ:AQ), IF(_xlpm.result=0,"",_xlpm.result))</f>
        <v>The purpose of this interface is to provide Atlas data via a Snowflake database.</v>
      </c>
      <c r="M335" s="2" t="str">
        <f>_xlfn.LET(_xlpm.result, _xlfn.XLOOKUP($A335,'EA-Fortescue_SDExport'!$A:$A,'EA-Fortescue_SDExport'!AR:AR), IF(_xlpm.result=0,"",_xlpm.result))</f>
        <v>HIGH</v>
      </c>
      <c r="N335" s="2" t="str">
        <f>_xlfn.LET(_xlpm.result, _xlfn.XLOOKUP($A335,'EA-Fortescue_SDExport'!$A:$A,'EA-Fortescue_SDExport'!AW:AW), IF(_xlpm.result=0,"",_xlpm.result))</f>
        <v>The interface is rated HIGH because Eclipse relies on accurate and current Atlas data to produce valid optimisation and planning outcomes. Incorrect, incomplete, or unavailable data can lead to flawed long-term planning decisions, inaccurate production forecasts, and suboptimal capital or energy strategies. While it may not immediately impact real-time operations, errors at this level can propagate into strategic decision-making, creating significant operational and financial risk.</v>
      </c>
      <c r="O335" s="2" t="str">
        <f>_xlfn.LET(_xlpm.result, _xlfn.XLOOKUP($A335,'EA-Fortescue_SDExport'!$A:$A,'EA-Fortescue_SDExport'!AV:AV), IF(_xlpm.result=0,"",_xlpm.result))</f>
        <v>Data Flow:_x000D_
Atlas (005OP-0000-001) -&gt; Snowflake Data Platform -&gt; Eclipse (855DC-1541-ECL), transmitting structured planning, operational, and production datasets required to support forecasting, optimisation modelling, and long-term scenario analysis._x000D_
Data includes mine plan parameters, production forecasts, resource models, asset constraints, cost assumptions, and other structured inputs required by Eclipse for optimisation processing._x000D_
Control / Query Flow:_x000D_
Eclipse -&gt; Snowflake, executing read/query operations to retrieve validated Atlas datasets for planning runs and scenario simulations. No direct control commands are issued back to Atlas.</v>
      </c>
      <c r="P335" s="2" t="str">
        <f>_xlfn.LET(_xlpm.result, _xlfn.XLOOKUP($A335,'EA-Fortescue_SDExport'!$A:$A,'EA-Fortescue_SDExport'!D:D), IF(_xlpm.result=0,"",_xlpm.result))</f>
        <v>NH 20/02/2026: Fields updated: Interface Criticality Explanation, Interface Flow.</v>
      </c>
      <c r="Q335" s="2" t="str">
        <f>_xlfn.LET(
    _xlpm.status, _xlfn.XLOOKUP($A335,'EA-ConnectorExport'!$A:$A,'EA-ConnectorExport'!G:G),
    _xlpm.result, _xlfn.XLOOKUP($A335,'EA-ConnectorExport'!$A:$A,'EA-ConnectorExport'!B:B),
    IF(_xlpm.status="allocate", _xlpm.result, "")
)</f>
        <v>005OP-0000-001 Atlas</v>
      </c>
      <c r="R335" s="2" t="str">
        <f>IF(
    _xlfn.XLOOKUP($Q335,'EA-Fortescue_SDExport'!A:A,'EA-Fortescue_SDExport'!B:B)="Object",
    _xlfn.XLOOKUP(
        _xlfn.XLOOKUP($A335,'EA-ConnectorExport'!A:A,'EA-ConnectorExport'!D:D),
        'EA-Fortescue_SDExport'!A:A,
        'EA-Fortescue_SDExport'!AA:AA
    ),
    _xlfn.XLOOKUP($Q335,'EA-Fortescue_SDExport'!A:A,'EA-Fortescue_SDExport'!AA:AA)
)</f>
        <v>Project</v>
      </c>
      <c r="S335" s="2" t="str">
        <f>_xlfn.LET(_xlpm.result, _xlfn.XLOOKUP($Q335,'EA-Fortescue_SDExport'!$A:$A,'EA-Fortescue_SDExport'!AB:AB), IF(_xlpm.result=0,"",_xlpm.result))</f>
        <v/>
      </c>
      <c r="T335" s="2" t="str">
        <f>_xlfn.LET(_xlpm.result, _xlfn.XLOOKUP($Q335,'EA-Fortescue_SDExport'!$A:$A,'EA-Fortescue_SDExport'!AC:AC), IF(_xlpm.result=0,"",_xlpm.result))</f>
        <v/>
      </c>
      <c r="U335" s="2" t="str">
        <f>_xlfn.LET(
    _xlpm.isObject, _xlfn.XLOOKUP($Q335,'EA-Fortescue_SDExport'!A:A,'EA-Fortescue_SDExport'!B:B),
    _xlpm.lookupKey, IF(_xlpm.isObject="Object",
        _xlfn.XLOOKUP($A335,'EA-ConnectorExport'!A:A,'EA-ConnectorExport'!D:D),
        $Q335
    ),
    _xlpm.result, _xlfn.XLOOKUP(_xlpm.lookupKey,'EA-Fortescue_SDExport'!A:A,'EA-Fortescue_SDExport'!AD:AD),
    IF(_xlpm.result=0,"",_xlpm.result)
)</f>
        <v>005OP IT/OT Systems</v>
      </c>
      <c r="V335" s="2" t="str">
        <f>_xlfn.LET(
    _xlpm.isObject, _xlfn.XLOOKUP($Q335,'EA-Fortescue_SDExport'!A:A,'EA-Fortescue_SDExport'!B:B),
    _xlpm.lookupKey, IF(_xlpm.isObject="Object",
        _xlfn.XLOOKUP($A335,'EA-ConnectorExport'!A:A,'EA-ConnectorExport'!D:D),
        $Q335
    ),
    _xlpm.result, _xlfn.XLOOKUP(_xlpm.lookupKey,'EA-Fortescue_SDExport'!A:A,'EA-Fortescue_SDExport'!AE:AE),
    IF(_xlpm.result=0,"",_xlpm.result)
)</f>
        <v/>
      </c>
      <c r="W335" s="2" t="str">
        <f>_xlfn.LET(
    _xlpm.isObject, _xlfn.XLOOKUP($Q335,'EA-Fortescue_SDExport'!A:A,'EA-Fortescue_SDExport'!B:B),
    _xlpm.lookupKey, IF(_xlpm.isObject="Object",
        _xlfn.XLOOKUP($A335,'EA-ConnectorExport'!A:A,'EA-ConnectorExport'!D:D),
        $Q335
    ),
    _xlpm.result, _xlfn.XLOOKUP(_xlpm.lookupKey,'EA-Fortescue_SDExport'!A:A,'EA-Fortescue_SDExport'!AF:AF),
    IF(_xlpm.result=0,"",_xlpm.result)
)</f>
        <v>005OP-0000-001 Atlas</v>
      </c>
      <c r="X335" s="2" t="str">
        <f>_xlfn.LET(
    _xlpm.isObject, _xlfn.XLOOKUP($Q335,'EA-Fortescue_SDExport'!A:A,'EA-Fortescue_SDExport'!B:B),
    _xlpm.lookupKey, IF(_xlpm.isObject="Object",
        _xlfn.XLOOKUP($A335,'EA-ConnectorExport'!A:A,'EA-ConnectorExport'!D:D),
        $Q335
    ),
    _xlpm.result, _xlfn.XLOOKUP(_xlpm.lookupKey,'EA-Fortescue_SDExport'!A:A,'EA-Fortescue_SDExport'!AG:AG),
    IF(_xlpm.result=0,"",_xlpm.result)
)</f>
        <v/>
      </c>
      <c r="Y335" s="2" t="str">
        <f>_xlfn.LET(
    _xlpm.status, _xlfn.XLOOKUP($A335,'EA-ConnectorExport'!$A:$A,'EA-ConnectorExport'!G:G),
    _xlpm.result, _xlfn.XLOOKUP($A335,'EA-ConnectorExport'!$A:$A,'EA-ConnectorExport'!H:H),
    IF(_xlpm.status="allocate", _xlpm.result, "")
)</f>
        <v>855DC-1541-ECL Eclipse</v>
      </c>
      <c r="Z335" s="2" t="str">
        <f>_xlfn.LET(
    _xlpm.isObject, _xlfn.XLOOKUP($Y335,'EA-Fortescue_SDExport'!A:A,'EA-Fortescue_SDExport'!B:B),
    _xlpm.lookupKey, IF(_xlpm.isObject="Object",
        _xlfn.XLOOKUP($A335,'EA-ConnectorExport'!A:A,'EA-ConnectorExport'!J:J),
        $Y335
    ),
    _xlpm.result, _xlfn.XLOOKUP(_xlpm.lookupKey,'EA-Fortescue_SDExport'!A:A,'EA-Fortescue_SDExport'!AA:AA),
    IF(_xlpm.result=0,"",_xlpm.result)
)</f>
        <v>Project</v>
      </c>
      <c r="AA335" s="2" t="str">
        <f>_xlfn.LET(_xlpm.result, _xlfn.XLOOKUP($Y335,'EA-Fortescue_SDExport'!$A:$A,'EA-Fortescue_SDExport'!AB:AB), IF(_xlpm.result=0,"",_xlpm.result))</f>
        <v>Energy Operations</v>
      </c>
      <c r="AB335" s="2" t="str">
        <f>_xlfn.LET(_xlpm.result, _xlfn.XLOOKUP($Y335,'EA-Fortescue_SDExport'!$A:$A,'EA-Fortescue_SDExport'!AC:AC), IF(_xlpm.result=0,"",_xlpm.result))</f>
        <v/>
      </c>
      <c r="AC335" s="2" t="str">
        <f>_xlfn.LET(
    _xlpm.isObject, _xlfn.XLOOKUP($Y335,'EA-Fortescue_SDExport'!A:A,'EA-Fortescue_SDExport'!B:B),
    _xlpm.lookupKey, IF(_xlpm.isObject="Object",
        _xlfn.XLOOKUP($A335,'EA-ConnectorExport'!A:A,'EA-ConnectorExport'!J:J),
        $Y335
    ),
    _xlpm.result, _xlfn.XLOOKUP(_xlpm.lookupKey,'EA-Fortescue_SDExport'!A:A,'EA-Fortescue_SDExport'!AD:AD),
    IF(_xlpm.result=0,"",_xlpm.result)
)</f>
        <v>855DC Decarb Green Systems</v>
      </c>
      <c r="AD335" s="2" t="str">
        <f>_xlfn.LET(
    _xlpm.isObject, _xlfn.XLOOKUP($Y335,'EA-Fortescue_SDExport'!A:A,'EA-Fortescue_SDExport'!B:B),
    _xlpm.lookupKey, IF(_xlpm.isObject="Object",
        _xlfn.XLOOKUP($A335,'EA-ConnectorExport'!A:A,'EA-ConnectorExport'!J:J),
        $Y335
    ),
    _xlpm.result, _xlfn.XLOOKUP(_xlpm.lookupKey,'EA-Fortescue_SDExport'!A:A,'EA-Fortescue_SDExport'!AE:AE),
    IF(_xlpm.result=0,"",_xlpm.result)
)</f>
        <v>855DC-1541 Planning and Forecast Systems</v>
      </c>
      <c r="AE335" s="2" t="str">
        <f>_xlfn.LET(
    _xlpm.isObject, _xlfn.XLOOKUP($Y335,'EA-Fortescue_SDExport'!A:A,'EA-Fortescue_SDExport'!B:B),
    _xlpm.lookupKey, IF(_xlpm.isObject="Object",
        _xlfn.XLOOKUP($A335,'EA-ConnectorExport'!A:A,'EA-ConnectorExport'!J:J),
        $Y335
    ),
    _xlpm.result, _xlfn.XLOOKUP(_xlpm.lookupKey,'EA-Fortescue_SDExport'!A:A,'EA-Fortescue_SDExport'!AF:AF),
    IF(_xlpm.result=0,"",_xlpm.result)
)</f>
        <v>855DC-1541-ECL Eclipse</v>
      </c>
      <c r="AF335" s="2" t="str">
        <f>_xlfn.LET(
    _xlpm.isObject, _xlfn.XLOOKUP($Y335,'EA-Fortescue_SDExport'!A:A,'EA-Fortescue_SDExport'!B:B),
    _xlpm.lookupKey, IF(_xlpm.isObject="Object",
        _xlfn.XLOOKUP($A335,'EA-ConnectorExport'!A:A,'EA-ConnectorExport'!J:J),
        $Y335
    ),
    _xlpm.result, _xlfn.XLOOKUP(_xlpm.lookupKey,'EA-Fortescue_SDExport'!A:A,'EA-Fortescue_SDExport'!AG:AG),
    IF(_xlpm.result=0,"",_xlpm.result)
)</f>
        <v/>
      </c>
    </row>
    <row r="336" spans="1:32" ht="150" x14ac:dyDescent="0.25">
      <c r="A336" s="2" t="str">
        <v>DGS-I_0335</v>
      </c>
      <c r="B336" s="2" t="str">
        <f t="shared" si="20"/>
        <v>855DC-1543-007 MECO|855DC-1541-ECL Eclipse</v>
      </c>
      <c r="C336" s="2" t="str">
        <f>_xlfn.LET(_xlpm.result, _xlfn.XLOOKUP(A336,'EA-Fortescue_SDExport'!A:A,'EA-Fortescue_SDExport'!AM:AM), IF(_xlpm.result=0,"",_xlpm.result))</f>
        <v>Abby Buters</v>
      </c>
      <c r="D336" s="2" t="str">
        <f>_xlfn.LET(_xlpm.result, _xlfn.XLOOKUP(A336,'EA-Fortescue_SDExport'!A:A,'EA-Fortescue_SDExport'!AN:AN), IF(_xlpm.result=0,"",_xlpm.result))</f>
        <v>Energy Operations</v>
      </c>
      <c r="E336" s="2" t="str">
        <f>_xlfn.XLOOKUP(R336&amp;Z336,Lookups!A:A,Lookups!B:B)</f>
        <v>Project - Subsystem Interface</v>
      </c>
      <c r="F336" s="2" t="str">
        <f>_xlfn.LET(_xlpm.result, _xlfn.XLOOKUP(A336,'EA-Fortescue_SDExport'!A:A,'EA-Fortescue_SDExport'!AP:AP), IF(_xlpm.result=0,"",_xlpm.result))</f>
        <v>Technical-Data/Software</v>
      </c>
      <c r="G336" s="2" t="str">
        <f>IF(OR(AND(T336&lt;&gt;"", COUNTIF(Lookups!J:J, "*"&amp;T336&amp;"*")&gt;0), AND(AB336&lt;&gt;"", COUNTIF(Lookups!J:J, "*"&amp;AB336&amp;"*")&gt;0)), "Yes", "No")</f>
        <v>No</v>
      </c>
      <c r="H336" s="2" t="str">
        <f t="shared" si="21"/>
        <v>855DC Decarb Green Systems|855DC Decarb Green Systems</v>
      </c>
      <c r="I336" s="2" t="str">
        <f t="shared" si="22"/>
        <v>855DC-1541 Planning and Forecast Systems|855DC-1541 Planning and Forecast Systems</v>
      </c>
      <c r="J336" s="2" t="str">
        <f t="shared" si="23"/>
        <v>855DC-1541-DEL Delphi|855DC-1541-ECL Eclipse</v>
      </c>
      <c r="K336" s="2" t="str">
        <f>_xlfn.XLOOKUP(A336,'EA-Fortescue_SDExport'!A:A,'EA-Fortescue_SDExport'!N:N)</f>
        <v>Proposed</v>
      </c>
      <c r="L336" s="2" t="str">
        <f>_xlfn.LET(_xlpm.result, _xlfn.XLOOKUP($A336,'EA-Fortescue_SDExport'!$A:$A,'EA-Fortescue_SDExport'!AQ:AQ), IF(_xlpm.result=0,"",_xlpm.result))</f>
        <v>MECO data transfer through Snowflake _x000D_
The purpose of this interface is to facilitate the transfer of MECO data through Snowflake to understand the amount of power required to run the Optimal Power Flow (OPF). Specifically, the data transferred includes OPF Coefficients and upcoming loads necessary for the OPF calculation. Additionally, NPI-related loads are also included in this data transfer._x000D_
Intermediate Elements: Snowflake.</v>
      </c>
      <c r="M336" s="2" t="str">
        <f>_xlfn.LET(_xlpm.result, _xlfn.XLOOKUP($A336,'EA-Fortescue_SDExport'!$A:$A,'EA-Fortescue_SDExport'!AR:AR), IF(_xlpm.result=0,"",_xlpm.result))</f>
        <v>HIGH</v>
      </c>
      <c r="N336" s="2" t="str">
        <f>_xlfn.LET(_xlpm.result, _xlfn.XLOOKUP($A336,'EA-Fortescue_SDExport'!$A:$A,'EA-Fortescue_SDExport'!AW:AW), IF(_xlpm.result=0,"",_xlpm.result))</f>
        <v>The criticality level is HIGH because failure to receive timely OPF load data will cause near and long-term mine plans to be inaccurate. This severely compromises planning feasibility and execution.</v>
      </c>
      <c r="O336" s="2" t="str">
        <f>_xlfn.LET(_xlpm.result, _xlfn.XLOOKUP($A336,'EA-Fortescue_SDExport'!$A:$A,'EA-Fortescue_SDExport'!AV:AV), IF(_xlpm.result=0,"",_xlpm.result))</f>
        <v>Uni-directional -&gt; MECO Snowflake database -&gt; Eclipse Snowflake database.</v>
      </c>
      <c r="P336" s="2" t="str">
        <f>_xlfn.LET(_xlpm.result, _xlfn.XLOOKUP($A336,'EA-Fortescue_SDExport'!$A:$A,'EA-Fortescue_SDExport'!D:D), IF(_xlpm.result=0,"",_xlpm.result))</f>
        <v/>
      </c>
      <c r="Q336" s="2" t="str">
        <f>_xlfn.LET(
    _xlpm.status, _xlfn.XLOOKUP($A336,'EA-ConnectorExport'!$A:$A,'EA-ConnectorExport'!G:G),
    _xlpm.result, _xlfn.XLOOKUP($A336,'EA-ConnectorExport'!$A:$A,'EA-ConnectorExport'!B:B),
    IF(_xlpm.status="allocate", _xlpm.result, "")
)</f>
        <v>855DC-1543-007 MECO</v>
      </c>
      <c r="R336" s="2" t="str">
        <f>IF(
    _xlfn.XLOOKUP($Q336,'EA-Fortescue_SDExport'!A:A,'EA-Fortescue_SDExport'!B:B)="Object",
    _xlfn.XLOOKUP(
        _xlfn.XLOOKUP($A336,'EA-ConnectorExport'!A:A,'EA-ConnectorExport'!D:D),
        'EA-Fortescue_SDExport'!A:A,
        'EA-Fortescue_SDExport'!AA:AA
    ),
    _xlfn.XLOOKUP($Q336,'EA-Fortescue_SDExport'!A:A,'EA-Fortescue_SDExport'!AA:AA)
)</f>
        <v>Subsystem</v>
      </c>
      <c r="S336" s="2" t="str">
        <f>_xlfn.LET(_xlpm.result, _xlfn.XLOOKUP($Q336,'EA-Fortescue_SDExport'!$A:$A,'EA-Fortescue_SDExport'!AB:AB), IF(_xlpm.result=0,"",_xlpm.result))</f>
        <v/>
      </c>
      <c r="T336" s="2" t="str">
        <f>_xlfn.LET(_xlpm.result, _xlfn.XLOOKUP($Q336,'EA-Fortescue_SDExport'!$A:$A,'EA-Fortescue_SDExport'!AC:AC), IF(_xlpm.result=0,"",_xlpm.result))</f>
        <v/>
      </c>
      <c r="U336" s="2" t="str">
        <f>_xlfn.LET(
    _xlpm.isObject, _xlfn.XLOOKUP($Q336,'EA-Fortescue_SDExport'!A:A,'EA-Fortescue_SDExport'!B:B),
    _xlpm.lookupKey, IF(_xlpm.isObject="Object",
        _xlfn.XLOOKUP($A336,'EA-ConnectorExport'!A:A,'EA-ConnectorExport'!D:D),
        $Q336
    ),
    _xlpm.result, _xlfn.XLOOKUP(_xlpm.lookupKey,'EA-Fortescue_SDExport'!A:A,'EA-Fortescue_SDExport'!AD:AD),
    IF(_xlpm.result=0,"",_xlpm.result)
)</f>
        <v>855DC Decarb Green Systems</v>
      </c>
      <c r="V336" s="2" t="str">
        <f>_xlfn.LET(
    _xlpm.isObject, _xlfn.XLOOKUP($Q336,'EA-Fortescue_SDExport'!A:A,'EA-Fortescue_SDExport'!B:B),
    _xlpm.lookupKey, IF(_xlpm.isObject="Object",
        _xlfn.XLOOKUP($A336,'EA-ConnectorExport'!A:A,'EA-ConnectorExport'!D:D),
        $Q336
    ),
    _xlpm.result, _xlfn.XLOOKUP(_xlpm.lookupKey,'EA-Fortescue_SDExport'!A:A,'EA-Fortescue_SDExport'!AE:AE),
    IF(_xlpm.result=0,"",_xlpm.result)
)</f>
        <v>855DC-1541 Planning and Forecast Systems</v>
      </c>
      <c r="W336" s="2" t="str">
        <f>_xlfn.LET(
    _xlpm.isObject, _xlfn.XLOOKUP($Q336,'EA-Fortescue_SDExport'!A:A,'EA-Fortescue_SDExport'!B:B),
    _xlpm.lookupKey, IF(_xlpm.isObject="Object",
        _xlfn.XLOOKUP($A336,'EA-ConnectorExport'!A:A,'EA-ConnectorExport'!D:D),
        $Q336
    ),
    _xlpm.result, _xlfn.XLOOKUP(_xlpm.lookupKey,'EA-Fortescue_SDExport'!A:A,'EA-Fortescue_SDExport'!AF:AF),
    IF(_xlpm.result=0,"",_xlpm.result)
)</f>
        <v>855DC-1541-DEL Delphi</v>
      </c>
      <c r="X336" s="2" t="str">
        <f>_xlfn.LET(
    _xlpm.isObject, _xlfn.XLOOKUP($Q336,'EA-Fortescue_SDExport'!A:A,'EA-Fortescue_SDExport'!B:B),
    _xlpm.lookupKey, IF(_xlpm.isObject="Object",
        _xlfn.XLOOKUP($A336,'EA-ConnectorExport'!A:A,'EA-ConnectorExport'!D:D),
        $Q336
    ),
    _xlpm.result, _xlfn.XLOOKUP(_xlpm.lookupKey,'EA-Fortescue_SDExport'!A:A,'EA-Fortescue_SDExport'!AG:AG),
    IF(_xlpm.result=0,"",_xlpm.result)
)</f>
        <v>855DC-1543-007 MECO</v>
      </c>
      <c r="Y336" s="2" t="str">
        <f>_xlfn.LET(
    _xlpm.status, _xlfn.XLOOKUP($A336,'EA-ConnectorExport'!$A:$A,'EA-ConnectorExport'!G:G),
    _xlpm.result, _xlfn.XLOOKUP($A336,'EA-ConnectorExport'!$A:$A,'EA-ConnectorExport'!H:H),
    IF(_xlpm.status="allocate", _xlpm.result, "")
)</f>
        <v>855DC-1541-ECL Eclipse</v>
      </c>
      <c r="Z336" s="2" t="str">
        <f>_xlfn.LET(
    _xlpm.isObject, _xlfn.XLOOKUP($Y336,'EA-Fortescue_SDExport'!A:A,'EA-Fortescue_SDExport'!B:B),
    _xlpm.lookupKey, IF(_xlpm.isObject="Object",
        _xlfn.XLOOKUP($A336,'EA-ConnectorExport'!A:A,'EA-ConnectorExport'!J:J),
        $Y336
    ),
    _xlpm.result, _xlfn.XLOOKUP(_xlpm.lookupKey,'EA-Fortescue_SDExport'!A:A,'EA-Fortescue_SDExport'!AA:AA),
    IF(_xlpm.result=0,"",_xlpm.result)
)</f>
        <v>Project</v>
      </c>
      <c r="AA336" s="2" t="str">
        <f>_xlfn.LET(_xlpm.result, _xlfn.XLOOKUP($Y336,'EA-Fortescue_SDExport'!$A:$A,'EA-Fortescue_SDExport'!AB:AB), IF(_xlpm.result=0,"",_xlpm.result))</f>
        <v>Energy Operations</v>
      </c>
      <c r="AB336" s="2" t="str">
        <f>_xlfn.LET(_xlpm.result, _xlfn.XLOOKUP($Y336,'EA-Fortescue_SDExport'!$A:$A,'EA-Fortescue_SDExport'!AC:AC), IF(_xlpm.result=0,"",_xlpm.result))</f>
        <v/>
      </c>
      <c r="AC336" s="2" t="str">
        <f>_xlfn.LET(
    _xlpm.isObject, _xlfn.XLOOKUP($Y336,'EA-Fortescue_SDExport'!A:A,'EA-Fortescue_SDExport'!B:B),
    _xlpm.lookupKey, IF(_xlpm.isObject="Object",
        _xlfn.XLOOKUP($A336,'EA-ConnectorExport'!A:A,'EA-ConnectorExport'!J:J),
        $Y336
    ),
    _xlpm.result, _xlfn.XLOOKUP(_xlpm.lookupKey,'EA-Fortescue_SDExport'!A:A,'EA-Fortescue_SDExport'!AD:AD),
    IF(_xlpm.result=0,"",_xlpm.result)
)</f>
        <v>855DC Decarb Green Systems</v>
      </c>
      <c r="AD336" s="2" t="str">
        <f>_xlfn.LET(
    _xlpm.isObject, _xlfn.XLOOKUP($Y336,'EA-Fortescue_SDExport'!A:A,'EA-Fortescue_SDExport'!B:B),
    _xlpm.lookupKey, IF(_xlpm.isObject="Object",
        _xlfn.XLOOKUP($A336,'EA-ConnectorExport'!A:A,'EA-ConnectorExport'!J:J),
        $Y336
    ),
    _xlpm.result, _xlfn.XLOOKUP(_xlpm.lookupKey,'EA-Fortescue_SDExport'!A:A,'EA-Fortescue_SDExport'!AE:AE),
    IF(_xlpm.result=0,"",_xlpm.result)
)</f>
        <v>855DC-1541 Planning and Forecast Systems</v>
      </c>
      <c r="AE336" s="2" t="str">
        <f>_xlfn.LET(
    _xlpm.isObject, _xlfn.XLOOKUP($Y336,'EA-Fortescue_SDExport'!A:A,'EA-Fortescue_SDExport'!B:B),
    _xlpm.lookupKey, IF(_xlpm.isObject="Object",
        _xlfn.XLOOKUP($A336,'EA-ConnectorExport'!A:A,'EA-ConnectorExport'!J:J),
        $Y336
    ),
    _xlpm.result, _xlfn.XLOOKUP(_xlpm.lookupKey,'EA-Fortescue_SDExport'!A:A,'EA-Fortescue_SDExport'!AF:AF),
    IF(_xlpm.result=0,"",_xlpm.result)
)</f>
        <v>855DC-1541-ECL Eclipse</v>
      </c>
      <c r="AF336" s="2" t="str">
        <f>_xlfn.LET(
    _xlpm.isObject, _xlfn.XLOOKUP($Y336,'EA-Fortescue_SDExport'!A:A,'EA-Fortescue_SDExport'!B:B),
    _xlpm.lookupKey, IF(_xlpm.isObject="Object",
        _xlfn.XLOOKUP($A336,'EA-ConnectorExport'!A:A,'EA-ConnectorExport'!J:J),
        $Y336
    ),
    _xlpm.result, _xlfn.XLOOKUP(_xlpm.lookupKey,'EA-Fortescue_SDExport'!A:A,'EA-Fortescue_SDExport'!AG:AG),
    IF(_xlpm.result=0,"",_xlpm.result)
)</f>
        <v/>
      </c>
    </row>
    <row r="337" spans="1:32" ht="180" x14ac:dyDescent="0.25">
      <c r="A337" s="2" t="str">
        <v>DGS-I_0336</v>
      </c>
      <c r="B337" s="2" t="str">
        <f t="shared" si="20"/>
        <v>Archive - 855DC-1544-023 Gas usage|855DC-1541-ECL Eclipse</v>
      </c>
      <c r="C337" s="2" t="str">
        <f>_xlfn.LET(_xlpm.result, _xlfn.XLOOKUP(A337,'EA-Fortescue_SDExport'!A:A,'EA-Fortescue_SDExport'!AM:AM), IF(_xlpm.result=0,"",_xlpm.result))</f>
        <v>Abby Buters</v>
      </c>
      <c r="D337" s="2" t="str">
        <f>_xlfn.LET(_xlpm.result, _xlfn.XLOOKUP(A337,'EA-Fortescue_SDExport'!A:A,'EA-Fortescue_SDExport'!AN:AN), IF(_xlpm.result=0,"",_xlpm.result))</f>
        <v>Energy Operations</v>
      </c>
      <c r="E337" s="2" t="str">
        <f>_xlfn.XLOOKUP(R337&amp;Z337,Lookups!A:A,Lookups!B:B)</f>
        <v>Project - Project Interface</v>
      </c>
      <c r="F337" s="2" t="str">
        <f>_xlfn.LET(_xlpm.result, _xlfn.XLOOKUP(A337,'EA-Fortescue_SDExport'!A:A,'EA-Fortescue_SDExport'!AP:AP), IF(_xlpm.result=0,"",_xlpm.result))</f>
        <v>TBC</v>
      </c>
      <c r="G337" s="2" t="str">
        <f>IF(OR(AND(T337&lt;&gt;"", COUNTIF(Lookups!J:J, "*"&amp;T337&amp;"*")&gt;0), AND(AB337&lt;&gt;"", COUNTIF(Lookups!J:J, "*"&amp;AB337&amp;"*")&gt;0)), "Yes", "No")</f>
        <v>No</v>
      </c>
      <c r="H337" s="2" t="str">
        <f t="shared" si="21"/>
        <v>N/A|855DC Decarb Green Systems</v>
      </c>
      <c r="I337" s="2" t="str">
        <f t="shared" si="22"/>
        <v>N/A|855DC-1541 Planning and Forecast Systems</v>
      </c>
      <c r="J337" s="2" t="str">
        <f t="shared" si="23"/>
        <v>N/A|855DC-1541-ECL Eclipse</v>
      </c>
      <c r="K337" s="2" t="str">
        <f>_xlfn.XLOOKUP(A337,'EA-Fortescue_SDExport'!A:A,'EA-Fortescue_SDExport'!N:N)</f>
        <v>Deleted</v>
      </c>
      <c r="L337" s="2" t="str">
        <f>_xlfn.LET(_xlpm.result, _xlfn.XLOOKUP($A337,'EA-Fortescue_SDExport'!$A:$A,'EA-Fortescue_SDExport'!AQ:AQ), IF(_xlpm.result=0,"",_xlpm.result))</f>
        <v>Energy Operations - Gas Usage Data for Forecasting &amp; Future Modelling_x000D_
The purpose of this interface is to enable Energy Operations to provide gas usage data to Eclipse to support the modelling of current and future gas demand. This dataset enables planners to understand how much gas is being consumed, identify usage trends, and forecast future requirements for both operational and strategic planning._x000D_
Intermediate Elements: Snowflake (storage and analysis layer for gas usage data).</v>
      </c>
      <c r="M337" s="2" t="str">
        <f>_xlfn.LET(_xlpm.result, _xlfn.XLOOKUP($A337,'EA-Fortescue_SDExport'!$A:$A,'EA-Fortescue_SDExport'!AR:AR), IF(_xlpm.result=0,"",_xlpm.result))</f>
        <v>HIGH</v>
      </c>
      <c r="N337" s="2" t="str">
        <f>_xlfn.LET(_xlpm.result, _xlfn.XLOOKUP($A337,'EA-Fortescue_SDExport'!$A:$A,'EA-Fortescue_SDExport'!AW:AW), IF(_xlpm.result=0,"",_xlpm.result))</f>
        <v>The criticality level is HIGH because accurate gas usage information is essential for forecasting future demand and ensuring adequate supply. Failure compromises long-term energy planning across the site.</v>
      </c>
      <c r="O337" s="2" t="str">
        <f>_xlfn.LET(_xlpm.result, _xlfn.XLOOKUP($A337,'EA-Fortescue_SDExport'!$A:$A,'EA-Fortescue_SDExport'!AV:AV), IF(_xlpm.result=0,"",_xlpm.result))</f>
        <v>Energy Operations gas usage data -&gt; Eclipse ingest -&gt; Eclipse Snowflake (uni-directional).</v>
      </c>
      <c r="P337" s="2" t="str">
        <f>_xlfn.LET(_xlpm.result, _xlfn.XLOOKUP($A337,'EA-Fortescue_SDExport'!$A:$A,'EA-Fortescue_SDExport'!D:D), IF(_xlpm.result=0,"",_xlpm.result))</f>
        <v>SBS-WBS Mapping 02/01/2026: Gas Usage to be removed - Not an identified system. Interface deleted.</v>
      </c>
      <c r="Q337" s="2" t="str">
        <f>_xlfn.LET(
    _xlpm.status, _xlfn.XLOOKUP($A337,'EA-ConnectorExport'!$A:$A,'EA-ConnectorExport'!G:G),
    _xlpm.result, _xlfn.XLOOKUP($A337,'EA-ConnectorExport'!$A:$A,'EA-ConnectorExport'!B:B),
    IF(_xlpm.status="allocate", _xlpm.result, "")
)</f>
        <v>Archive - 855DC-1544-023 Gas usage</v>
      </c>
      <c r="R337" s="2" t="str">
        <f>IF(
    _xlfn.XLOOKUP($Q337,'EA-Fortescue_SDExport'!A:A,'EA-Fortescue_SDExport'!B:B)="Object",
    _xlfn.XLOOKUP(
        _xlfn.XLOOKUP($A337,'EA-ConnectorExport'!A:A,'EA-ConnectorExport'!D:D),
        'EA-Fortescue_SDExport'!A:A,
        'EA-Fortescue_SDExport'!AA:AA
    ),
    _xlfn.XLOOKUP($Q337,'EA-Fortescue_SDExport'!A:A,'EA-Fortescue_SDExport'!AA:AA)
)</f>
        <v>Project</v>
      </c>
      <c r="S337" s="2" t="str">
        <f>_xlfn.LET(_xlpm.result, _xlfn.XLOOKUP($Q337,'EA-Fortescue_SDExport'!$A:$A,'EA-Fortescue_SDExport'!AB:AB), IF(_xlpm.result=0,"",_xlpm.result))</f>
        <v/>
      </c>
      <c r="T337" s="2" t="str">
        <f>_xlfn.LET(_xlpm.result, _xlfn.XLOOKUP($Q337,'EA-Fortescue_SDExport'!$A:$A,'EA-Fortescue_SDExport'!AC:AC), IF(_xlpm.result=0,"",_xlpm.result))</f>
        <v/>
      </c>
      <c r="U337" s="2" t="str">
        <f>_xlfn.LET(
    _xlpm.isObject, _xlfn.XLOOKUP($Q337,'EA-Fortescue_SDExport'!A:A,'EA-Fortescue_SDExport'!B:B),
    _xlpm.lookupKey, IF(_xlpm.isObject="Object",
        _xlfn.XLOOKUP($A337,'EA-ConnectorExport'!A:A,'EA-ConnectorExport'!D:D),
        $Q337
    ),
    _xlpm.result, _xlfn.XLOOKUP(_xlpm.lookupKey,'EA-Fortescue_SDExport'!A:A,'EA-Fortescue_SDExport'!AD:AD),
    IF(_xlpm.result=0,"",_xlpm.result)
)</f>
        <v/>
      </c>
      <c r="V337" s="2" t="str">
        <f>_xlfn.LET(
    _xlpm.isObject, _xlfn.XLOOKUP($Q337,'EA-Fortescue_SDExport'!A:A,'EA-Fortescue_SDExport'!B:B),
    _xlpm.lookupKey, IF(_xlpm.isObject="Object",
        _xlfn.XLOOKUP($A337,'EA-ConnectorExport'!A:A,'EA-ConnectorExport'!D:D),
        $Q337
    ),
    _xlpm.result, _xlfn.XLOOKUP(_xlpm.lookupKey,'EA-Fortescue_SDExport'!A:A,'EA-Fortescue_SDExport'!AE:AE),
    IF(_xlpm.result=0,"",_xlpm.result)
)</f>
        <v/>
      </c>
      <c r="W337" s="2" t="str">
        <f>_xlfn.LET(
    _xlpm.isObject, _xlfn.XLOOKUP($Q337,'EA-Fortescue_SDExport'!A:A,'EA-Fortescue_SDExport'!B:B),
    _xlpm.lookupKey, IF(_xlpm.isObject="Object",
        _xlfn.XLOOKUP($A337,'EA-ConnectorExport'!A:A,'EA-ConnectorExport'!D:D),
        $Q337
    ),
    _xlpm.result, _xlfn.XLOOKUP(_xlpm.lookupKey,'EA-Fortescue_SDExport'!A:A,'EA-Fortescue_SDExport'!AF:AF),
    IF(_xlpm.result=0,"",_xlpm.result)
)</f>
        <v/>
      </c>
      <c r="X337" s="2" t="str">
        <f>_xlfn.LET(
    _xlpm.isObject, _xlfn.XLOOKUP($Q337,'EA-Fortescue_SDExport'!A:A,'EA-Fortescue_SDExport'!B:B),
    _xlpm.lookupKey, IF(_xlpm.isObject="Object",
        _xlfn.XLOOKUP($A337,'EA-ConnectorExport'!A:A,'EA-ConnectorExport'!D:D),
        $Q337
    ),
    _xlpm.result, _xlfn.XLOOKUP(_xlpm.lookupKey,'EA-Fortescue_SDExport'!A:A,'EA-Fortescue_SDExport'!AG:AG),
    IF(_xlpm.result=0,"",_xlpm.result)
)</f>
        <v/>
      </c>
      <c r="Y337" s="2" t="str">
        <f>_xlfn.LET(
    _xlpm.status, _xlfn.XLOOKUP($A337,'EA-ConnectorExport'!$A:$A,'EA-ConnectorExport'!G:G),
    _xlpm.result, _xlfn.XLOOKUP($A337,'EA-ConnectorExport'!$A:$A,'EA-ConnectorExport'!H:H),
    IF(_xlpm.status="allocate", _xlpm.result, "")
)</f>
        <v>855DC-1541-ECL Eclipse</v>
      </c>
      <c r="Z337" s="2" t="str">
        <f>_xlfn.LET(
    _xlpm.isObject, _xlfn.XLOOKUP($Y337,'EA-Fortescue_SDExport'!A:A,'EA-Fortescue_SDExport'!B:B),
    _xlpm.lookupKey, IF(_xlpm.isObject="Object",
        _xlfn.XLOOKUP($A337,'EA-ConnectorExport'!A:A,'EA-ConnectorExport'!J:J),
        $Y337
    ),
    _xlpm.result, _xlfn.XLOOKUP(_xlpm.lookupKey,'EA-Fortescue_SDExport'!A:A,'EA-Fortescue_SDExport'!AA:AA),
    IF(_xlpm.result=0,"",_xlpm.result)
)</f>
        <v>Project</v>
      </c>
      <c r="AA337" s="2" t="str">
        <f>_xlfn.LET(_xlpm.result, _xlfn.XLOOKUP($Y337,'EA-Fortescue_SDExport'!$A:$A,'EA-Fortescue_SDExport'!AB:AB), IF(_xlpm.result=0,"",_xlpm.result))</f>
        <v>Energy Operations</v>
      </c>
      <c r="AB337" s="2" t="str">
        <f>_xlfn.LET(_xlpm.result, _xlfn.XLOOKUP($Y337,'EA-Fortescue_SDExport'!$A:$A,'EA-Fortescue_SDExport'!AC:AC), IF(_xlpm.result=0,"",_xlpm.result))</f>
        <v/>
      </c>
      <c r="AC337" s="2" t="str">
        <f>_xlfn.LET(
    _xlpm.isObject, _xlfn.XLOOKUP($Y337,'EA-Fortescue_SDExport'!A:A,'EA-Fortescue_SDExport'!B:B),
    _xlpm.lookupKey, IF(_xlpm.isObject="Object",
        _xlfn.XLOOKUP($A337,'EA-ConnectorExport'!A:A,'EA-ConnectorExport'!J:J),
        $Y337
    ),
    _xlpm.result, _xlfn.XLOOKUP(_xlpm.lookupKey,'EA-Fortescue_SDExport'!A:A,'EA-Fortescue_SDExport'!AD:AD),
    IF(_xlpm.result=0,"",_xlpm.result)
)</f>
        <v>855DC Decarb Green Systems</v>
      </c>
      <c r="AD337" s="2" t="str">
        <f>_xlfn.LET(
    _xlpm.isObject, _xlfn.XLOOKUP($Y337,'EA-Fortescue_SDExport'!A:A,'EA-Fortescue_SDExport'!B:B),
    _xlpm.lookupKey, IF(_xlpm.isObject="Object",
        _xlfn.XLOOKUP($A337,'EA-ConnectorExport'!A:A,'EA-ConnectorExport'!J:J),
        $Y337
    ),
    _xlpm.result, _xlfn.XLOOKUP(_xlpm.lookupKey,'EA-Fortescue_SDExport'!A:A,'EA-Fortescue_SDExport'!AE:AE),
    IF(_xlpm.result=0,"",_xlpm.result)
)</f>
        <v>855DC-1541 Planning and Forecast Systems</v>
      </c>
      <c r="AE337" s="2" t="str">
        <f>_xlfn.LET(
    _xlpm.isObject, _xlfn.XLOOKUP($Y337,'EA-Fortescue_SDExport'!A:A,'EA-Fortescue_SDExport'!B:B),
    _xlpm.lookupKey, IF(_xlpm.isObject="Object",
        _xlfn.XLOOKUP($A337,'EA-ConnectorExport'!A:A,'EA-ConnectorExport'!J:J),
        $Y337
    ),
    _xlpm.result, _xlfn.XLOOKUP(_xlpm.lookupKey,'EA-Fortescue_SDExport'!A:A,'EA-Fortescue_SDExport'!AF:AF),
    IF(_xlpm.result=0,"",_xlpm.result)
)</f>
        <v>855DC-1541-ECL Eclipse</v>
      </c>
      <c r="AF337" s="2" t="str">
        <f>_xlfn.LET(
    _xlpm.isObject, _xlfn.XLOOKUP($Y337,'EA-Fortescue_SDExport'!A:A,'EA-Fortescue_SDExport'!B:B),
    _xlpm.lookupKey, IF(_xlpm.isObject="Object",
        _xlfn.XLOOKUP($A337,'EA-ConnectorExport'!A:A,'EA-ConnectorExport'!J:J),
        $Y337
    ),
    _xlpm.result, _xlfn.XLOOKUP(_xlpm.lookupKey,'EA-Fortescue_SDExport'!A:A,'EA-Fortescue_SDExport'!AG:AG),
    IF(_xlpm.result=0,"",_xlpm.result)
)</f>
        <v/>
      </c>
    </row>
    <row r="338" spans="1:32" ht="195" x14ac:dyDescent="0.25">
      <c r="A338" s="2" t="str">
        <v>DGS-I_0337</v>
      </c>
      <c r="B338" s="2" t="str">
        <f t="shared" si="20"/>
        <v>005OP-0000-007 Shuthub|855DC-1541-ECL Eclipse</v>
      </c>
      <c r="C338" s="2" t="str">
        <f>_xlfn.LET(_xlpm.result, _xlfn.XLOOKUP(A338,'EA-Fortescue_SDExport'!A:A,'EA-Fortescue_SDExport'!AM:AM), IF(_xlpm.result=0,"",_xlpm.result))</f>
        <v>Abby Buters</v>
      </c>
      <c r="D338" s="2" t="str">
        <f>_xlfn.LET(_xlpm.result, _xlfn.XLOOKUP(A338,'EA-Fortescue_SDExport'!A:A,'EA-Fortescue_SDExport'!AN:AN), IF(_xlpm.result=0,"",_xlpm.result))</f>
        <v>Mining Operations</v>
      </c>
      <c r="E338" s="2" t="str">
        <f>_xlfn.XLOOKUP(R338&amp;Z338,Lookups!A:A,Lookups!B:B)</f>
        <v>Project - Project Interface</v>
      </c>
      <c r="F338" s="2" t="str">
        <f>_xlfn.LET(_xlpm.result, _xlfn.XLOOKUP(A338,'EA-Fortescue_SDExport'!A:A,'EA-Fortescue_SDExport'!AP:AP), IF(_xlpm.result=0,"",_xlpm.result))</f>
        <v>Technical-Data/Software</v>
      </c>
      <c r="G338" s="2" t="str">
        <f>IF(OR(AND(T338&lt;&gt;"", COUNTIF(Lookups!J:J, "*"&amp;T338&amp;"*")&gt;0), AND(AB338&lt;&gt;"", COUNTIF(Lookups!J:J, "*"&amp;AB338&amp;"*")&gt;0)), "Yes", "No")</f>
        <v>No</v>
      </c>
      <c r="H338" s="2" t="str">
        <f t="shared" si="21"/>
        <v>005OP IT/OT Systems|855DC Decarb Green Systems</v>
      </c>
      <c r="I338" s="2" t="str">
        <f t="shared" si="22"/>
        <v>N/A|855DC-1541 Planning and Forecast Systems</v>
      </c>
      <c r="J338" s="2" t="str">
        <f t="shared" si="23"/>
        <v>005OP-0000-007 Shuthub|855DC-1541-ECL Eclipse</v>
      </c>
      <c r="K338" s="2" t="str">
        <f>_xlfn.XLOOKUP(A338,'EA-Fortescue_SDExport'!A:A,'EA-Fortescue_SDExport'!N:N)</f>
        <v>Proposed</v>
      </c>
      <c r="L338" s="2" t="str">
        <f>_xlfn.LET(_xlpm.result, _xlfn.XLOOKUP($A338,'EA-Fortescue_SDExport'!$A:$A,'EA-Fortescue_SDExport'!AQ:AQ), IF(_xlpm.result=0,"",_xlpm.result))</f>
        <v>Mining Operations - Site Shutdown Calendar Data_x000D_
The purpose of this interface is to allow Eclipse to receive shutdown calendar data from Mining Operations so that planners can accurately account for site-wide shutdowns, maintenance windows, and operational restrictions. This information ensures that forecasting, energy planning, and production modelling accurately reflect periods when generation, access, or equipment availability is reduced or halted._x000D_
Intermediate Elements: Snowflake (storage and query layer for shutdown calendar events).</v>
      </c>
      <c r="M338" s="2" t="str">
        <f>_xlfn.LET(_xlpm.result, _xlfn.XLOOKUP($A338,'EA-Fortescue_SDExport'!$A:$A,'EA-Fortescue_SDExport'!AR:AR), IF(_xlpm.result=0,"",_xlpm.result))</f>
        <v>HIGH</v>
      </c>
      <c r="N338" s="2" t="str">
        <f>_xlfn.LET(_xlpm.result, _xlfn.XLOOKUP($A338,'EA-Fortescue_SDExport'!$A:$A,'EA-Fortescue_SDExport'!AW:AW), IF(_xlpm.result=0,"",_xlpm.result))</f>
        <v>The criticality level is HIGH because accurate shutdown schedules are essential for realistic planning and production modelling. Failure leads to overestimation of production and misalignment with actual site availability.</v>
      </c>
      <c r="O338" s="2" t="str">
        <f>_xlfn.LET(_xlpm.result, _xlfn.XLOOKUP($A338,'EA-Fortescue_SDExport'!$A:$A,'EA-Fortescue_SDExport'!AV:AV), IF(_xlpm.result=0,"",_xlpm.result))</f>
        <v>Mining Operations shutdown calendar -&gt; Eclipse ingest -&gt; Eclipse Snowflake (uni-directional).</v>
      </c>
      <c r="P338" s="2" t="str">
        <f>_xlfn.LET(_xlpm.result, _xlfn.XLOOKUP($A338,'EA-Fortescue_SDExport'!$A:$A,'EA-Fortescue_SDExport'!D:D), IF(_xlpm.result=0,"",_xlpm.result))</f>
        <v/>
      </c>
      <c r="Q338" s="2" t="str">
        <f>_xlfn.LET(
    _xlpm.status, _xlfn.XLOOKUP($A338,'EA-ConnectorExport'!$A:$A,'EA-ConnectorExport'!G:G),
    _xlpm.result, _xlfn.XLOOKUP($A338,'EA-ConnectorExport'!$A:$A,'EA-ConnectorExport'!B:B),
    IF(_xlpm.status="allocate", _xlpm.result, "")
)</f>
        <v>005OP-0000-007 Shuthub</v>
      </c>
      <c r="R338" s="2" t="str">
        <f>IF(
    _xlfn.XLOOKUP($Q338,'EA-Fortescue_SDExport'!A:A,'EA-Fortescue_SDExport'!B:B)="Object",
    _xlfn.XLOOKUP(
        _xlfn.XLOOKUP($A338,'EA-ConnectorExport'!A:A,'EA-ConnectorExport'!D:D),
        'EA-Fortescue_SDExport'!A:A,
        'EA-Fortescue_SDExport'!AA:AA
    ),
    _xlfn.XLOOKUP($Q338,'EA-Fortescue_SDExport'!A:A,'EA-Fortescue_SDExport'!AA:AA)
)</f>
        <v>Project</v>
      </c>
      <c r="S338" s="2" t="str">
        <f>_xlfn.LET(_xlpm.result, _xlfn.XLOOKUP($Q338,'EA-Fortescue_SDExport'!$A:$A,'EA-Fortescue_SDExport'!AB:AB), IF(_xlpm.result=0,"",_xlpm.result))</f>
        <v/>
      </c>
      <c r="T338" s="2" t="str">
        <f>_xlfn.LET(_xlpm.result, _xlfn.XLOOKUP($Q338,'EA-Fortescue_SDExport'!$A:$A,'EA-Fortescue_SDExport'!AC:AC), IF(_xlpm.result=0,"",_xlpm.result))</f>
        <v/>
      </c>
      <c r="U338" s="2" t="str">
        <f>_xlfn.LET(
    _xlpm.isObject, _xlfn.XLOOKUP($Q338,'EA-Fortescue_SDExport'!A:A,'EA-Fortescue_SDExport'!B:B),
    _xlpm.lookupKey, IF(_xlpm.isObject="Object",
        _xlfn.XLOOKUP($A338,'EA-ConnectorExport'!A:A,'EA-ConnectorExport'!D:D),
        $Q338
    ),
    _xlpm.result, _xlfn.XLOOKUP(_xlpm.lookupKey,'EA-Fortescue_SDExport'!A:A,'EA-Fortescue_SDExport'!AD:AD),
    IF(_xlpm.result=0,"",_xlpm.result)
)</f>
        <v>005OP IT/OT Systems</v>
      </c>
      <c r="V338" s="2" t="str">
        <f>_xlfn.LET(
    _xlpm.isObject, _xlfn.XLOOKUP($Q338,'EA-Fortescue_SDExport'!A:A,'EA-Fortescue_SDExport'!B:B),
    _xlpm.lookupKey, IF(_xlpm.isObject="Object",
        _xlfn.XLOOKUP($A338,'EA-ConnectorExport'!A:A,'EA-ConnectorExport'!D:D),
        $Q338
    ),
    _xlpm.result, _xlfn.XLOOKUP(_xlpm.lookupKey,'EA-Fortescue_SDExport'!A:A,'EA-Fortescue_SDExport'!AE:AE),
    IF(_xlpm.result=0,"",_xlpm.result)
)</f>
        <v/>
      </c>
      <c r="W338" s="2" t="str">
        <f>_xlfn.LET(
    _xlpm.isObject, _xlfn.XLOOKUP($Q338,'EA-Fortescue_SDExport'!A:A,'EA-Fortescue_SDExport'!B:B),
    _xlpm.lookupKey, IF(_xlpm.isObject="Object",
        _xlfn.XLOOKUP($A338,'EA-ConnectorExport'!A:A,'EA-ConnectorExport'!D:D),
        $Q338
    ),
    _xlpm.result, _xlfn.XLOOKUP(_xlpm.lookupKey,'EA-Fortescue_SDExport'!A:A,'EA-Fortescue_SDExport'!AF:AF),
    IF(_xlpm.result=0,"",_xlpm.result)
)</f>
        <v>005OP-0000-007 Shuthub</v>
      </c>
      <c r="X338" s="2" t="str">
        <f>_xlfn.LET(
    _xlpm.isObject, _xlfn.XLOOKUP($Q338,'EA-Fortescue_SDExport'!A:A,'EA-Fortescue_SDExport'!B:B),
    _xlpm.lookupKey, IF(_xlpm.isObject="Object",
        _xlfn.XLOOKUP($A338,'EA-ConnectorExport'!A:A,'EA-ConnectorExport'!D:D),
        $Q338
    ),
    _xlpm.result, _xlfn.XLOOKUP(_xlpm.lookupKey,'EA-Fortescue_SDExport'!A:A,'EA-Fortescue_SDExport'!AG:AG),
    IF(_xlpm.result=0,"",_xlpm.result)
)</f>
        <v/>
      </c>
      <c r="Y338" s="2" t="str">
        <f>_xlfn.LET(
    _xlpm.status, _xlfn.XLOOKUP($A338,'EA-ConnectorExport'!$A:$A,'EA-ConnectorExport'!G:G),
    _xlpm.result, _xlfn.XLOOKUP($A338,'EA-ConnectorExport'!$A:$A,'EA-ConnectorExport'!H:H),
    IF(_xlpm.status="allocate", _xlpm.result, "")
)</f>
        <v>855DC-1541-ECL Eclipse</v>
      </c>
      <c r="Z338" s="2" t="str">
        <f>_xlfn.LET(
    _xlpm.isObject, _xlfn.XLOOKUP($Y338,'EA-Fortescue_SDExport'!A:A,'EA-Fortescue_SDExport'!B:B),
    _xlpm.lookupKey, IF(_xlpm.isObject="Object",
        _xlfn.XLOOKUP($A338,'EA-ConnectorExport'!A:A,'EA-ConnectorExport'!J:J),
        $Y338
    ),
    _xlpm.result, _xlfn.XLOOKUP(_xlpm.lookupKey,'EA-Fortescue_SDExport'!A:A,'EA-Fortescue_SDExport'!AA:AA),
    IF(_xlpm.result=0,"",_xlpm.result)
)</f>
        <v>Project</v>
      </c>
      <c r="AA338" s="2" t="str">
        <f>_xlfn.LET(_xlpm.result, _xlfn.XLOOKUP($Y338,'EA-Fortescue_SDExport'!$A:$A,'EA-Fortescue_SDExport'!AB:AB), IF(_xlpm.result=0,"",_xlpm.result))</f>
        <v>Energy Operations</v>
      </c>
      <c r="AB338" s="2" t="str">
        <f>_xlfn.LET(_xlpm.result, _xlfn.XLOOKUP($Y338,'EA-Fortescue_SDExport'!$A:$A,'EA-Fortescue_SDExport'!AC:AC), IF(_xlpm.result=0,"",_xlpm.result))</f>
        <v/>
      </c>
      <c r="AC338" s="2" t="str">
        <f>_xlfn.LET(
    _xlpm.isObject, _xlfn.XLOOKUP($Y338,'EA-Fortescue_SDExport'!A:A,'EA-Fortescue_SDExport'!B:B),
    _xlpm.lookupKey, IF(_xlpm.isObject="Object",
        _xlfn.XLOOKUP($A338,'EA-ConnectorExport'!A:A,'EA-ConnectorExport'!J:J),
        $Y338
    ),
    _xlpm.result, _xlfn.XLOOKUP(_xlpm.lookupKey,'EA-Fortescue_SDExport'!A:A,'EA-Fortescue_SDExport'!AD:AD),
    IF(_xlpm.result=0,"",_xlpm.result)
)</f>
        <v>855DC Decarb Green Systems</v>
      </c>
      <c r="AD338" s="2" t="str">
        <f>_xlfn.LET(
    _xlpm.isObject, _xlfn.XLOOKUP($Y338,'EA-Fortescue_SDExport'!A:A,'EA-Fortescue_SDExport'!B:B),
    _xlpm.lookupKey, IF(_xlpm.isObject="Object",
        _xlfn.XLOOKUP($A338,'EA-ConnectorExport'!A:A,'EA-ConnectorExport'!J:J),
        $Y338
    ),
    _xlpm.result, _xlfn.XLOOKUP(_xlpm.lookupKey,'EA-Fortescue_SDExport'!A:A,'EA-Fortescue_SDExport'!AE:AE),
    IF(_xlpm.result=0,"",_xlpm.result)
)</f>
        <v>855DC-1541 Planning and Forecast Systems</v>
      </c>
      <c r="AE338" s="2" t="str">
        <f>_xlfn.LET(
    _xlpm.isObject, _xlfn.XLOOKUP($Y338,'EA-Fortescue_SDExport'!A:A,'EA-Fortescue_SDExport'!B:B),
    _xlpm.lookupKey, IF(_xlpm.isObject="Object",
        _xlfn.XLOOKUP($A338,'EA-ConnectorExport'!A:A,'EA-ConnectorExport'!J:J),
        $Y338
    ),
    _xlpm.result, _xlfn.XLOOKUP(_xlpm.lookupKey,'EA-Fortescue_SDExport'!A:A,'EA-Fortescue_SDExport'!AF:AF),
    IF(_xlpm.result=0,"",_xlpm.result)
)</f>
        <v>855DC-1541-ECL Eclipse</v>
      </c>
      <c r="AF338" s="2" t="str">
        <f>_xlfn.LET(
    _xlpm.isObject, _xlfn.XLOOKUP($Y338,'EA-Fortescue_SDExport'!A:A,'EA-Fortescue_SDExport'!B:B),
    _xlpm.lookupKey, IF(_xlpm.isObject="Object",
        _xlfn.XLOOKUP($A338,'EA-ConnectorExport'!A:A,'EA-ConnectorExport'!J:J),
        $Y338
    ),
    _xlpm.result, _xlfn.XLOOKUP(_xlpm.lookupKey,'EA-Fortescue_SDExport'!A:A,'EA-Fortescue_SDExport'!AG:AG),
    IF(_xlpm.result=0,"",_xlpm.result)
)</f>
        <v/>
      </c>
    </row>
    <row r="339" spans="1:32" ht="210" x14ac:dyDescent="0.25">
      <c r="A339" s="2" t="str">
        <v>DGS-I_0338</v>
      </c>
      <c r="B339" s="2" t="str">
        <f t="shared" si="20"/>
        <v>855DC-1542-CSM-001 vCharM by Vector|855DC-1542-LMS Load Management System (LMS)</v>
      </c>
      <c r="C339" s="2" t="str">
        <f>_xlfn.LET(_xlpm.result, _xlfn.XLOOKUP(A339,'EA-Fortescue_SDExport'!A:A,'EA-Fortescue_SDExport'!AM:AM), IF(_xlpm.result=0,"",_xlpm.result))</f>
        <v>Sam Hedgcock</v>
      </c>
      <c r="D339" s="2" t="str">
        <f>_xlfn.LET(_xlpm.result, _xlfn.XLOOKUP(A339,'EA-Fortescue_SDExport'!A:A,'EA-Fortescue_SDExport'!AN:AN), IF(_xlpm.result=0,"",_xlpm.result))</f>
        <v>Glen Carruthers</v>
      </c>
      <c r="E339" s="2" t="str">
        <f>_xlfn.XLOOKUP(R339&amp;Z339,Lookups!A:A,Lookups!B:B)</f>
        <v>Project - Subsystem Interface</v>
      </c>
      <c r="F339" s="2" t="str">
        <f>_xlfn.LET(_xlpm.result, _xlfn.XLOOKUP(A339,'EA-Fortescue_SDExport'!A:A,'EA-Fortescue_SDExport'!AP:AP), IF(_xlpm.result=0,"",_xlpm.result))</f>
        <v>Technical-Data/Software</v>
      </c>
      <c r="G339" s="2" t="str">
        <f>IF(OR(AND(T339&lt;&gt;"", COUNTIF(Lookups!J:J, "*"&amp;T339&amp;"*")&gt;0), AND(AB339&lt;&gt;"", COUNTIF(Lookups!J:J, "*"&amp;AB339&amp;"*")&gt;0)), "Yes", "No")</f>
        <v>No</v>
      </c>
      <c r="H339" s="2" t="str">
        <f t="shared" si="21"/>
        <v>855DC Decarb Green Systems|855DC Decarb Green Systems</v>
      </c>
      <c r="I339" s="2" t="str">
        <f t="shared" si="22"/>
        <v>855DC-1542 Control &amp; Monitoring Systems|855DC-1542 Control &amp; Monitoring Systems</v>
      </c>
      <c r="J339" s="2" t="str">
        <f t="shared" si="23"/>
        <v>855DC-1542-CSM Charge Station Management System (CSMS)|855DC-1542-LMS Load Management System (LMS)</v>
      </c>
      <c r="K339" s="2" t="str">
        <f>_xlfn.XLOOKUP(A339,'EA-Fortescue_SDExport'!A:A,'EA-Fortescue_SDExport'!N:N)</f>
        <v>Proposed</v>
      </c>
      <c r="L339" s="2" t="str">
        <f>_xlfn.LET(_xlpm.result, _xlfn.XLOOKUP($A339,'EA-Fortescue_SDExport'!$A:$A,'EA-Fortescue_SDExport'!AQ:AQ), IF(_xlpm.result=0,"",_xlpm.result))</f>
        <v>Load Management System - PLC-Controlled Integration with vCharm Vector (Charging Station Management System)_x000D_
The purpose of this interface is to allow the load management system, which uses PLCs to control and coordinate electrical loads on site, to integrate with the vCharm Vector Charging Station Management System to ensure safe and efficient distribution of available power. This integration manages EV and equipment charging demand by balancing charging schedules with real-time site load conditions and operational priorities._x000D_
Intermediate Elements: PLCs, Load Management System, vCharm Vector Charging Station Management System.</v>
      </c>
      <c r="M339" s="2" t="str">
        <f>_xlfn.LET(_xlpm.result, _xlfn.XLOOKUP($A339,'EA-Fortescue_SDExport'!$A:$A,'EA-Fortescue_SDExport'!AR:AR), IF(_xlpm.result=0,"",_xlpm.result))</f>
        <v>HIGH</v>
      </c>
      <c r="N339" s="2" t="str">
        <f>_xlfn.LET(_xlpm.result, _xlfn.XLOOKUP($A339,'EA-Fortescue_SDExport'!$A:$A,'EA-Fortescue_SDExport'!AW:AW), IF(_xlpm.result=0,"",_xlpm.result))</f>
        <v>The criticality level is HIGH because accurate coordination between PLC-controlled loads and the charging system is essential for avoiding overloads and maintaining power stability. Failure risks production delays by disrupting vehicle charging when required.</v>
      </c>
      <c r="O339" s="2" t="str">
        <f>_xlfn.LET(_xlpm.result, _xlfn.XLOOKUP($A339,'EA-Fortescue_SDExport'!$A:$A,'EA-Fortescue_SDExport'!AV:AV), IF(_xlpm.result=0,"",_xlpm.result))</f>
        <v>PLCs (load controllers) -&gt; Load Management System -&gt; vCharm Vector (charging management) -&gt; Operational systems.</v>
      </c>
      <c r="P339" s="2" t="str">
        <f>_xlfn.LET(_xlpm.result, _xlfn.XLOOKUP($A339,'EA-Fortescue_SDExport'!$A:$A,'EA-Fortescue_SDExport'!D:D), IF(_xlpm.result=0,"",_xlpm.result))</f>
        <v>NH 25/02/2026: Fields updated:Interface Type</v>
      </c>
      <c r="Q339" s="2" t="str">
        <f>_xlfn.LET(
    _xlpm.status, _xlfn.XLOOKUP($A339,'EA-ConnectorExport'!$A:$A,'EA-ConnectorExport'!G:G),
    _xlpm.result, _xlfn.XLOOKUP($A339,'EA-ConnectorExport'!$A:$A,'EA-ConnectorExport'!B:B),
    IF(_xlpm.status="allocate", _xlpm.result, "")
)</f>
        <v>855DC-1542-CSM-001 vCharM by Vector</v>
      </c>
      <c r="R339" s="2" t="str">
        <f>IF(
    _xlfn.XLOOKUP($Q339,'EA-Fortescue_SDExport'!A:A,'EA-Fortescue_SDExport'!B:B)="Object",
    _xlfn.XLOOKUP(
        _xlfn.XLOOKUP($A339,'EA-ConnectorExport'!A:A,'EA-ConnectorExport'!D:D),
        'EA-Fortescue_SDExport'!A:A,
        'EA-Fortescue_SDExport'!AA:AA
    ),
    _xlfn.XLOOKUP($Q339,'EA-Fortescue_SDExport'!A:A,'EA-Fortescue_SDExport'!AA:AA)
)</f>
        <v>Subsystem</v>
      </c>
      <c r="S339" s="2" t="str">
        <f>_xlfn.LET(_xlpm.result, _xlfn.XLOOKUP($Q339,'EA-Fortescue_SDExport'!$A:$A,'EA-Fortescue_SDExport'!AB:AB), IF(_xlpm.result=0,"",_xlpm.result))</f>
        <v/>
      </c>
      <c r="T339" s="2" t="str">
        <f>_xlfn.LET(_xlpm.result, _xlfn.XLOOKUP($Q339,'EA-Fortescue_SDExport'!$A:$A,'EA-Fortescue_SDExport'!AC:AC), IF(_xlpm.result=0,"",_xlpm.result))</f>
        <v/>
      </c>
      <c r="U339" s="2" t="str">
        <f>_xlfn.LET(
    _xlpm.isObject, _xlfn.XLOOKUP($Q339,'EA-Fortescue_SDExport'!A:A,'EA-Fortescue_SDExport'!B:B),
    _xlpm.lookupKey, IF(_xlpm.isObject="Object",
        _xlfn.XLOOKUP($A339,'EA-ConnectorExport'!A:A,'EA-ConnectorExport'!D:D),
        $Q339
    ),
    _xlpm.result, _xlfn.XLOOKUP(_xlpm.lookupKey,'EA-Fortescue_SDExport'!A:A,'EA-Fortescue_SDExport'!AD:AD),
    IF(_xlpm.result=0,"",_xlpm.result)
)</f>
        <v>855DC Decarb Green Systems</v>
      </c>
      <c r="V339" s="2" t="str">
        <f>_xlfn.LET(
    _xlpm.isObject, _xlfn.XLOOKUP($Q339,'EA-Fortescue_SDExport'!A:A,'EA-Fortescue_SDExport'!B:B),
    _xlpm.lookupKey, IF(_xlpm.isObject="Object",
        _xlfn.XLOOKUP($A339,'EA-ConnectorExport'!A:A,'EA-ConnectorExport'!D:D),
        $Q339
    ),
    _xlpm.result, _xlfn.XLOOKUP(_xlpm.lookupKey,'EA-Fortescue_SDExport'!A:A,'EA-Fortescue_SDExport'!AE:AE),
    IF(_xlpm.result=0,"",_xlpm.result)
)</f>
        <v>855DC-1542 Control &amp; Monitoring Systems</v>
      </c>
      <c r="W339" s="2" t="str">
        <f>_xlfn.LET(
    _xlpm.isObject, _xlfn.XLOOKUP($Q339,'EA-Fortescue_SDExport'!A:A,'EA-Fortescue_SDExport'!B:B),
    _xlpm.lookupKey, IF(_xlpm.isObject="Object",
        _xlfn.XLOOKUP($A339,'EA-ConnectorExport'!A:A,'EA-ConnectorExport'!D:D),
        $Q339
    ),
    _xlpm.result, _xlfn.XLOOKUP(_xlpm.lookupKey,'EA-Fortescue_SDExport'!A:A,'EA-Fortescue_SDExport'!AF:AF),
    IF(_xlpm.result=0,"",_xlpm.result)
)</f>
        <v>855DC-1542-CSM Charge Station Management System (CSMS)</v>
      </c>
      <c r="X339" s="2" t="str">
        <f>_xlfn.LET(
    _xlpm.isObject, _xlfn.XLOOKUP($Q339,'EA-Fortescue_SDExport'!A:A,'EA-Fortescue_SDExport'!B:B),
    _xlpm.lookupKey, IF(_xlpm.isObject="Object",
        _xlfn.XLOOKUP($A339,'EA-ConnectorExport'!A:A,'EA-ConnectorExport'!D:D),
        $Q339
    ),
    _xlpm.result, _xlfn.XLOOKUP(_xlpm.lookupKey,'EA-Fortescue_SDExport'!A:A,'EA-Fortescue_SDExport'!AG:AG),
    IF(_xlpm.result=0,"",_xlpm.result)
)</f>
        <v>855DC-1542-CSM-001 vCharM by Vector</v>
      </c>
      <c r="Y339" s="2" t="str">
        <f>_xlfn.LET(
    _xlpm.status, _xlfn.XLOOKUP($A339,'EA-ConnectorExport'!$A:$A,'EA-ConnectorExport'!G:G),
    _xlpm.result, _xlfn.XLOOKUP($A339,'EA-ConnectorExport'!$A:$A,'EA-ConnectorExport'!H:H),
    IF(_xlpm.status="allocate", _xlpm.result, "")
)</f>
        <v>855DC-1542-LMS Load Management System (LMS)</v>
      </c>
      <c r="Z339" s="2" t="str">
        <f>_xlfn.LET(
    _xlpm.isObject, _xlfn.XLOOKUP($Y339,'EA-Fortescue_SDExport'!A:A,'EA-Fortescue_SDExport'!B:B),
    _xlpm.lookupKey, IF(_xlpm.isObject="Object",
        _xlfn.XLOOKUP($A339,'EA-ConnectorExport'!A:A,'EA-ConnectorExport'!J:J),
        $Y339
    ),
    _xlpm.result, _xlfn.XLOOKUP(_xlpm.lookupKey,'EA-Fortescue_SDExport'!A:A,'EA-Fortescue_SDExport'!AA:AA),
    IF(_xlpm.result=0,"",_xlpm.result)
)</f>
        <v>Project</v>
      </c>
      <c r="AA339" s="2" t="str">
        <f>_xlfn.LET(_xlpm.result, _xlfn.XLOOKUP($Y339,'EA-Fortescue_SDExport'!$A:$A,'EA-Fortescue_SDExport'!AB:AB), IF(_xlpm.result=0,"",_xlpm.result))</f>
        <v>Mine Services</v>
      </c>
      <c r="AB339" s="2" t="str">
        <f>_xlfn.LET(_xlpm.result, _xlfn.XLOOKUP($Y339,'EA-Fortescue_SDExport'!$A:$A,'EA-Fortescue_SDExport'!AC:AC), IF(_xlpm.result=0,"",_xlpm.result))</f>
        <v/>
      </c>
      <c r="AC339" s="2" t="str">
        <f>_xlfn.LET(
    _xlpm.isObject, _xlfn.XLOOKUP($Y339,'EA-Fortescue_SDExport'!A:A,'EA-Fortescue_SDExport'!B:B),
    _xlpm.lookupKey, IF(_xlpm.isObject="Object",
        _xlfn.XLOOKUP($A339,'EA-ConnectorExport'!A:A,'EA-ConnectorExport'!J:J),
        $Y339
    ),
    _xlpm.result, _xlfn.XLOOKUP(_xlpm.lookupKey,'EA-Fortescue_SDExport'!A:A,'EA-Fortescue_SDExport'!AD:AD),
    IF(_xlpm.result=0,"",_xlpm.result)
)</f>
        <v>855DC Decarb Green Systems</v>
      </c>
      <c r="AD339" s="2" t="str">
        <f>_xlfn.LET(
    _xlpm.isObject, _xlfn.XLOOKUP($Y339,'EA-Fortescue_SDExport'!A:A,'EA-Fortescue_SDExport'!B:B),
    _xlpm.lookupKey, IF(_xlpm.isObject="Object",
        _xlfn.XLOOKUP($A339,'EA-ConnectorExport'!A:A,'EA-ConnectorExport'!J:J),
        $Y339
    ),
    _xlpm.result, _xlfn.XLOOKUP(_xlpm.lookupKey,'EA-Fortescue_SDExport'!A:A,'EA-Fortescue_SDExport'!AE:AE),
    IF(_xlpm.result=0,"",_xlpm.result)
)</f>
        <v>855DC-1542 Control &amp; Monitoring Systems</v>
      </c>
      <c r="AE339" s="2" t="str">
        <f>_xlfn.LET(
    _xlpm.isObject, _xlfn.XLOOKUP($Y339,'EA-Fortescue_SDExport'!A:A,'EA-Fortescue_SDExport'!B:B),
    _xlpm.lookupKey, IF(_xlpm.isObject="Object",
        _xlfn.XLOOKUP($A339,'EA-ConnectorExport'!A:A,'EA-ConnectorExport'!J:J),
        $Y339
    ),
    _xlpm.result, _xlfn.XLOOKUP(_xlpm.lookupKey,'EA-Fortescue_SDExport'!A:A,'EA-Fortescue_SDExport'!AF:AF),
    IF(_xlpm.result=0,"",_xlpm.result)
)</f>
        <v>855DC-1542-LMS Load Management System (LMS)</v>
      </c>
      <c r="AF339" s="2" t="str">
        <f>_xlfn.LET(
    _xlpm.isObject, _xlfn.XLOOKUP($Y339,'EA-Fortescue_SDExport'!A:A,'EA-Fortescue_SDExport'!B:B),
    _xlpm.lookupKey, IF(_xlpm.isObject="Object",
        _xlfn.XLOOKUP($A339,'EA-ConnectorExport'!A:A,'EA-ConnectorExport'!J:J),
        $Y339
    ),
    _xlpm.result, _xlfn.XLOOKUP(_xlpm.lookupKey,'EA-Fortescue_SDExport'!A:A,'EA-Fortescue_SDExport'!AG:AG),
    IF(_xlpm.result=0,"",_xlpm.result)
)</f>
        <v/>
      </c>
    </row>
    <row r="340" spans="1:32" ht="375" x14ac:dyDescent="0.25">
      <c r="A340" s="2" t="str">
        <v>DGS-I_0339</v>
      </c>
      <c r="B340" s="2" t="str">
        <f t="shared" si="20"/>
        <v>005OP-0000-011 Fortescue Maps (ArcGIS) Geographical Information System (GIS)|855DC-1541-LIV LiveWire</v>
      </c>
      <c r="C340" s="2" t="str">
        <f>_xlfn.LET(_xlpm.result, _xlfn.XLOOKUP(A340,'EA-Fortescue_SDExport'!A:A,'EA-Fortescue_SDExport'!AM:AM), IF(_xlpm.result=0,"",_xlpm.result))</f>
        <v>Abby Buters</v>
      </c>
      <c r="D340" s="2" t="str">
        <f>_xlfn.LET(_xlpm.result, _xlfn.XLOOKUP(A340,'EA-Fortescue_SDExport'!A:A,'EA-Fortescue_SDExport'!AN:AN), IF(_xlpm.result=0,"",_xlpm.result))</f>
        <v>Alex Weston</v>
      </c>
      <c r="E340" s="2" t="str">
        <f>_xlfn.XLOOKUP(R340&amp;Z340,Lookups!A:A,Lookups!B:B)</f>
        <v>Project - Project Interface</v>
      </c>
      <c r="F340" s="2" t="str">
        <f>_xlfn.LET(_xlpm.result, _xlfn.XLOOKUP(A340,'EA-Fortescue_SDExport'!A:A,'EA-Fortescue_SDExport'!AP:AP), IF(_xlpm.result=0,"",_xlpm.result))</f>
        <v>Technical-Data/Software</v>
      </c>
      <c r="G340" s="2" t="str">
        <f>IF(OR(AND(T340&lt;&gt;"", COUNTIF(Lookups!J:J, "*"&amp;T340&amp;"*")&gt;0), AND(AB340&lt;&gt;"", COUNTIF(Lookups!J:J, "*"&amp;AB340&amp;"*")&gt;0)), "Yes", "No")</f>
        <v>No</v>
      </c>
      <c r="H340" s="2" t="str">
        <f t="shared" si="21"/>
        <v>005OP IT/OT Systems|855DC Decarb Green Systems</v>
      </c>
      <c r="I340" s="2" t="str">
        <f t="shared" si="22"/>
        <v>N/A|855DC-1541 Planning and Forecast Systems</v>
      </c>
      <c r="J340" s="2" t="str">
        <f t="shared" si="23"/>
        <v>005OP-0000-011 Fortescue Maps (ArcGIS) Geographical Information System (GIS)|855DC-1541-LIV LiveWire</v>
      </c>
      <c r="K340" s="2" t="str">
        <f>_xlfn.XLOOKUP(A340,'EA-Fortescue_SDExport'!A:A,'EA-Fortescue_SDExport'!N:N)</f>
        <v>Proposed</v>
      </c>
      <c r="L340" s="2" t="str">
        <f>_xlfn.LET(_xlpm.result, _xlfn.XLOOKUP($A340,'EA-Fortescue_SDExport'!$A:$A,'EA-Fortescue_SDExport'!AQ:AQ), IF(_xlpm.result=0,"",_xlpm.result))</f>
        <v>LiveWire -&gt; Fortescue Maps (GIS) - ArcGIS Token &amp; Map Tile Integration_x000D_
The purpose of this interface is to facilitate LiveWire's integration with Fortescue Maps (ArcGIS) to provide geospatial visualisations such as network layouts, cable paths, equipment locations, and pit spatial data. The UI requires secure access to ArcGIS map tiles, which is managed through token-based authentication handled by the LiveWire backend._x000D_
Intermediate Elements: LiveWire backend (token broker), ArcGIS API (Fortescue Maps), and LiveWire UI map viewer.</v>
      </c>
      <c r="M340" s="2" t="str">
        <f>_xlfn.LET(_xlpm.result, _xlfn.XLOOKUP($A340,'EA-Fortescue_SDExport'!$A:$A,'EA-Fortescue_SDExport'!AR:AR), IF(_xlpm.result=0,"",_xlpm.result))</f>
        <v>HIGH</v>
      </c>
      <c r="N340" s="2" t="str">
        <f>_xlfn.LET(_xlpm.result, _xlfn.XLOOKUP($A340,'EA-Fortescue_SDExport'!$A:$A,'EA-Fortescue_SDExport'!AW:AW), IF(_xlpm.result=0,"",_xlpm.result))</f>
        <v>The criticality level is HIGH because reliable map tile access is essential for accurate spatial awareness, visualising network infrastructure, and supporting operational safety and planning within LiveWire. Failure may cause immediate loss of positional context for all cable assets and prevent safe, coordinated field operations.</v>
      </c>
      <c r="O340" s="2" t="str">
        <f>_xlfn.LET(_xlpm.result, _xlfn.XLOOKUP($A340,'EA-Fortescue_SDExport'!$A:$A,'EA-Fortescue_SDExport'!AV:AV), IF(_xlpm.result=0,"",_xlpm.result))</f>
        <v>Data Flow (HTTP Requests):_x000D_
_x000D_
LiveWire UI requests an ArcGIS access token from the LiveWire API._x000D_
_x000D_
LiveWire backend acquires a valid token from the ArcGIS API and returns it to the UI._x000D_
_x000D_
UI requests ArcGIS map tiles (TileLayer) directly from the ArcGIS API using this token until expiry._x000D_
_x000D_
When the token expires, the UI requests a refreshed token from the LiveWire API.</v>
      </c>
      <c r="P340" s="2" t="str">
        <f>_xlfn.LET(_xlpm.result, _xlfn.XLOOKUP($A340,'EA-Fortescue_SDExport'!$A:$A,'EA-Fortescue_SDExport'!D:D), IF(_xlpm.result=0,"",_xlpm.result))</f>
        <v>Meeting Remarks 02/12/2025: A degree of redundancy may be required, with the option to revert to the Google Maps API view. The existing interface can still be used in this fallback mode. If ArcGIS becomes unavailable, operations will shift to the Google Maps API view to maintain continuity.</v>
      </c>
      <c r="Q340" s="2" t="str">
        <f>_xlfn.LET(
    _xlpm.status, _xlfn.XLOOKUP($A340,'EA-ConnectorExport'!$A:$A,'EA-ConnectorExport'!G:G),
    _xlpm.result, _xlfn.XLOOKUP($A340,'EA-ConnectorExport'!$A:$A,'EA-ConnectorExport'!B:B),
    IF(_xlpm.status="allocate", _xlpm.result, "")
)</f>
        <v>005OP-0000-011 Fortescue Maps (ArcGIS) Geographical Information System (GIS)</v>
      </c>
      <c r="R340" s="2" t="str">
        <f>IF(
    _xlfn.XLOOKUP($Q340,'EA-Fortescue_SDExport'!A:A,'EA-Fortescue_SDExport'!B:B)="Object",
    _xlfn.XLOOKUP(
        _xlfn.XLOOKUP($A340,'EA-ConnectorExport'!A:A,'EA-ConnectorExport'!D:D),
        'EA-Fortescue_SDExport'!A:A,
        'EA-Fortescue_SDExport'!AA:AA
    ),
    _xlfn.XLOOKUP($Q340,'EA-Fortescue_SDExport'!A:A,'EA-Fortescue_SDExport'!AA:AA)
)</f>
        <v>Project</v>
      </c>
      <c r="S340" s="2" t="str">
        <f>_xlfn.LET(_xlpm.result, _xlfn.XLOOKUP($Q340,'EA-Fortescue_SDExport'!$A:$A,'EA-Fortescue_SDExport'!AB:AB), IF(_xlpm.result=0,"",_xlpm.result))</f>
        <v/>
      </c>
      <c r="T340" s="2" t="str">
        <f>_xlfn.LET(_xlpm.result, _xlfn.XLOOKUP($Q340,'EA-Fortescue_SDExport'!$A:$A,'EA-Fortescue_SDExport'!AC:AC), IF(_xlpm.result=0,"",_xlpm.result))</f>
        <v/>
      </c>
      <c r="U340" s="2" t="str">
        <f>_xlfn.LET(
    _xlpm.isObject, _xlfn.XLOOKUP($Q340,'EA-Fortescue_SDExport'!A:A,'EA-Fortescue_SDExport'!B:B),
    _xlpm.lookupKey, IF(_xlpm.isObject="Object",
        _xlfn.XLOOKUP($A340,'EA-ConnectorExport'!A:A,'EA-ConnectorExport'!D:D),
        $Q340
    ),
    _xlpm.result, _xlfn.XLOOKUP(_xlpm.lookupKey,'EA-Fortescue_SDExport'!A:A,'EA-Fortescue_SDExport'!AD:AD),
    IF(_xlpm.result=0,"",_xlpm.result)
)</f>
        <v>005OP IT/OT Systems</v>
      </c>
      <c r="V340" s="2" t="str">
        <f>_xlfn.LET(
    _xlpm.isObject, _xlfn.XLOOKUP($Q340,'EA-Fortescue_SDExport'!A:A,'EA-Fortescue_SDExport'!B:B),
    _xlpm.lookupKey, IF(_xlpm.isObject="Object",
        _xlfn.XLOOKUP($A340,'EA-ConnectorExport'!A:A,'EA-ConnectorExport'!D:D),
        $Q340
    ),
    _xlpm.result, _xlfn.XLOOKUP(_xlpm.lookupKey,'EA-Fortescue_SDExport'!A:A,'EA-Fortescue_SDExport'!AE:AE),
    IF(_xlpm.result=0,"",_xlpm.result)
)</f>
        <v/>
      </c>
      <c r="W340" s="2" t="str">
        <f>_xlfn.LET(
    _xlpm.isObject, _xlfn.XLOOKUP($Q340,'EA-Fortescue_SDExport'!A:A,'EA-Fortescue_SDExport'!B:B),
    _xlpm.lookupKey, IF(_xlpm.isObject="Object",
        _xlfn.XLOOKUP($A340,'EA-ConnectorExport'!A:A,'EA-ConnectorExport'!D:D),
        $Q340
    ),
    _xlpm.result, _xlfn.XLOOKUP(_xlpm.lookupKey,'EA-Fortescue_SDExport'!A:A,'EA-Fortescue_SDExport'!AF:AF),
    IF(_xlpm.result=0,"",_xlpm.result)
)</f>
        <v>005OP-0000-011 Fortescue Maps (ArcGIS) Geographical Information System (GIS)</v>
      </c>
      <c r="X340" s="2" t="str">
        <f>_xlfn.LET(
    _xlpm.isObject, _xlfn.XLOOKUP($Q340,'EA-Fortescue_SDExport'!A:A,'EA-Fortescue_SDExport'!B:B),
    _xlpm.lookupKey, IF(_xlpm.isObject="Object",
        _xlfn.XLOOKUP($A340,'EA-ConnectorExport'!A:A,'EA-ConnectorExport'!D:D),
        $Q340
    ),
    _xlpm.result, _xlfn.XLOOKUP(_xlpm.lookupKey,'EA-Fortescue_SDExport'!A:A,'EA-Fortescue_SDExport'!AG:AG),
    IF(_xlpm.result=0,"",_xlpm.result)
)</f>
        <v/>
      </c>
      <c r="Y340" s="2" t="str">
        <f>_xlfn.LET(
    _xlpm.status, _xlfn.XLOOKUP($A340,'EA-ConnectorExport'!$A:$A,'EA-ConnectorExport'!G:G),
    _xlpm.result, _xlfn.XLOOKUP($A340,'EA-ConnectorExport'!$A:$A,'EA-ConnectorExport'!H:H),
    IF(_xlpm.status="allocate", _xlpm.result, "")
)</f>
        <v>855DC-1541-LIV LiveWire</v>
      </c>
      <c r="Z340" s="2" t="str">
        <f>_xlfn.LET(
    _xlpm.isObject, _xlfn.XLOOKUP($Y340,'EA-Fortescue_SDExport'!A:A,'EA-Fortescue_SDExport'!B:B),
    _xlpm.lookupKey, IF(_xlpm.isObject="Object",
        _xlfn.XLOOKUP($A340,'EA-ConnectorExport'!A:A,'EA-ConnectorExport'!J:J),
        $Y340
    ),
    _xlpm.result, _xlfn.XLOOKUP(_xlpm.lookupKey,'EA-Fortescue_SDExport'!A:A,'EA-Fortescue_SDExport'!AA:AA),
    IF(_xlpm.result=0,"",_xlpm.result)
)</f>
        <v>Project</v>
      </c>
      <c r="AA340" s="2" t="str">
        <f>_xlfn.LET(_xlpm.result, _xlfn.XLOOKUP($Y340,'EA-Fortescue_SDExport'!$A:$A,'EA-Fortescue_SDExport'!AB:AB), IF(_xlpm.result=0,"",_xlpm.result))</f>
        <v>Operations Planning</v>
      </c>
      <c r="AB340" s="2" t="str">
        <f>_xlfn.LET(_xlpm.result, _xlfn.XLOOKUP($Y340,'EA-Fortescue_SDExport'!$A:$A,'EA-Fortescue_SDExport'!AC:AC), IF(_xlpm.result=0,"",_xlpm.result))</f>
        <v>AWS Fortescue Cloud</v>
      </c>
      <c r="AC340" s="2" t="str">
        <f>_xlfn.LET(
    _xlpm.isObject, _xlfn.XLOOKUP($Y340,'EA-Fortescue_SDExport'!A:A,'EA-Fortescue_SDExport'!B:B),
    _xlpm.lookupKey, IF(_xlpm.isObject="Object",
        _xlfn.XLOOKUP($A340,'EA-ConnectorExport'!A:A,'EA-ConnectorExport'!J:J),
        $Y340
    ),
    _xlpm.result, _xlfn.XLOOKUP(_xlpm.lookupKey,'EA-Fortescue_SDExport'!A:A,'EA-Fortescue_SDExport'!AD:AD),
    IF(_xlpm.result=0,"",_xlpm.result)
)</f>
        <v>855DC Decarb Green Systems</v>
      </c>
      <c r="AD340" s="2" t="str">
        <f>_xlfn.LET(
    _xlpm.isObject, _xlfn.XLOOKUP($Y340,'EA-Fortescue_SDExport'!A:A,'EA-Fortescue_SDExport'!B:B),
    _xlpm.lookupKey, IF(_xlpm.isObject="Object",
        _xlfn.XLOOKUP($A340,'EA-ConnectorExport'!A:A,'EA-ConnectorExport'!J:J),
        $Y340
    ),
    _xlpm.result, _xlfn.XLOOKUP(_xlpm.lookupKey,'EA-Fortescue_SDExport'!A:A,'EA-Fortescue_SDExport'!AE:AE),
    IF(_xlpm.result=0,"",_xlpm.result)
)</f>
        <v>855DC-1541 Planning and Forecast Systems</v>
      </c>
      <c r="AE340" s="2" t="str">
        <f>_xlfn.LET(
    _xlpm.isObject, _xlfn.XLOOKUP($Y340,'EA-Fortescue_SDExport'!A:A,'EA-Fortescue_SDExport'!B:B),
    _xlpm.lookupKey, IF(_xlpm.isObject="Object",
        _xlfn.XLOOKUP($A340,'EA-ConnectorExport'!A:A,'EA-ConnectorExport'!J:J),
        $Y340
    ),
    _xlpm.result, _xlfn.XLOOKUP(_xlpm.lookupKey,'EA-Fortescue_SDExport'!A:A,'EA-Fortescue_SDExport'!AF:AF),
    IF(_xlpm.result=0,"",_xlpm.result)
)</f>
        <v>855DC-1541-LIV LiveWire</v>
      </c>
      <c r="AF340" s="2" t="str">
        <f>_xlfn.LET(
    _xlpm.isObject, _xlfn.XLOOKUP($Y340,'EA-Fortescue_SDExport'!A:A,'EA-Fortescue_SDExport'!B:B),
    _xlpm.lookupKey, IF(_xlpm.isObject="Object",
        _xlfn.XLOOKUP($A340,'EA-ConnectorExport'!A:A,'EA-ConnectorExport'!J:J),
        $Y340
    ),
    _xlpm.result, _xlfn.XLOOKUP(_xlpm.lookupKey,'EA-Fortescue_SDExport'!A:A,'EA-Fortescue_SDExport'!AG:AG),
    IF(_xlpm.result=0,"",_xlpm.result)
)</f>
        <v/>
      </c>
    </row>
    <row r="341" spans="1:32" ht="195" x14ac:dyDescent="0.25">
      <c r="A341" s="2" t="str">
        <v>DGS-I_0340</v>
      </c>
      <c r="B341" s="2" t="str">
        <f t="shared" si="20"/>
        <v>859DC-1410-001 HaulX|855DC-1541-LIV LiveWire</v>
      </c>
      <c r="C341" s="2" t="str">
        <f>_xlfn.LET(_xlpm.result, _xlfn.XLOOKUP(A341,'EA-Fortescue_SDExport'!A:A,'EA-Fortescue_SDExport'!AM:AM), IF(_xlpm.result=0,"",_xlpm.result))</f>
        <v>Abby Buters</v>
      </c>
      <c r="D341" s="2" t="str">
        <f>_xlfn.LET(_xlpm.result, _xlfn.XLOOKUP(A341,'EA-Fortescue_SDExport'!A:A,'EA-Fortescue_SDExport'!AN:AN), IF(_xlpm.result=0,"",_xlpm.result))</f>
        <v>Michael Chambers (Technical)</v>
      </c>
      <c r="E341" s="2" t="str">
        <f>_xlfn.XLOOKUP(R341&amp;Z341,Lookups!A:A,Lookups!B:B)</f>
        <v>Project - Project Interface</v>
      </c>
      <c r="F341" s="2" t="str">
        <f>_xlfn.LET(_xlpm.result, _xlfn.XLOOKUP(A341,'EA-Fortescue_SDExport'!A:A,'EA-Fortescue_SDExport'!AP:AP), IF(_xlpm.result=0,"",_xlpm.result))</f>
        <v>Technical-Data/Software</v>
      </c>
      <c r="G341" s="2" t="str">
        <f>IF(OR(AND(T341&lt;&gt;"", COUNTIF(Lookups!J:J, "*"&amp;T341&amp;"*")&gt;0), AND(AB341&lt;&gt;"", COUNTIF(Lookups!J:J, "*"&amp;AB341&amp;"*")&gt;0)), "Yes", "No")</f>
        <v>No</v>
      </c>
      <c r="H341" s="2" t="str">
        <f t="shared" si="21"/>
        <v>859DC HaulX|855DC Decarb Green Systems</v>
      </c>
      <c r="I341" s="2" t="str">
        <f t="shared" si="22"/>
        <v>N/A|855DC-1541 Planning and Forecast Systems</v>
      </c>
      <c r="J341" s="2" t="str">
        <f t="shared" si="23"/>
        <v>859DC-1410-001 HaulX|855DC-1541-LIV LiveWire</v>
      </c>
      <c r="K341" s="2" t="str">
        <f>_xlfn.XLOOKUP(A341,'EA-Fortescue_SDExport'!A:A,'EA-Fortescue_SDExport'!N:N)</f>
        <v>Proposed</v>
      </c>
      <c r="L341" s="2" t="str">
        <f>_xlfn.LET(_xlpm.result, _xlfn.XLOOKUP($A341,'EA-Fortescue_SDExport'!$A:$A,'EA-Fortescue_SDExport'!AQ:AQ), IF(_xlpm.result=0,"",_xlpm.result))</f>
        <v>LiveWire -&gt; HaulX - Asset Position &amp; Exclusion Zone Data (Snowflake Integration)_x000D_
The purpose of this interface is for LiveWire to consume the real-time asset position data and defined exclusion zones provided by HaulX, the autonomous driving system, which supports operational safety and spatial awareness. If HaulX exposes these datasets through Snowflake, LiveWire can use them to display live autonomous vehicle locations and identify restricted areas, thereby supporting safe cable routing, switching operations, and field planning._x000D_
Intermediate Elements: HaulX Snowflake shared dataset, LiveWire spatial layer, GIS map overlays.</v>
      </c>
      <c r="M341" s="2" t="str">
        <f>_xlfn.LET(_xlpm.result, _xlfn.XLOOKUP($A341,'EA-Fortescue_SDExport'!$A:$A,'EA-Fortescue_SDExport'!AR:AR), IF(_xlpm.result=0,"",_xlpm.result))</f>
        <v>MEDIUM</v>
      </c>
      <c r="N341" s="2" t="str">
        <f>_xlfn.LET(_xlpm.result, _xlfn.XLOOKUP($A341,'EA-Fortescue_SDExport'!$A:$A,'EA-Fortescue_SDExport'!AW:AW), IF(_xlpm.result=0,"",_xlpm.result))</f>
        <v>The criticality level is MEDIUM because accurate vehicle positions and exclusion zones are essential for field safety and preventing conflicts. Failure may degrade reliable situational awareness, but it is not immediately production-critical.</v>
      </c>
      <c r="O341" s="2" t="str">
        <f>_xlfn.LET(_xlpm.result, _xlfn.XLOOKUP($A341,'EA-Fortescue_SDExport'!$A:$A,'EA-Fortescue_SDExport'!AV:AV), IF(_xlpm.result=0,"",_xlpm.result))</f>
        <v>Data Flow:_x000D_
HaulX Snowflake table/view (asset positions, exclusion zones) -&gt; LiveWire ingest -&gt; LiveWire geospatial visualisation.</v>
      </c>
      <c r="P341" s="2" t="str">
        <f>_xlfn.LET(_xlpm.result, _xlfn.XLOOKUP($A341,'EA-Fortescue_SDExport'!$A:$A,'EA-Fortescue_SDExport'!D:D), IF(_xlpm.result=0,"",_xlpm.result))</f>
        <v>Meeting Remarks 02/12/2025: There is an emerging idea for LiveWire to expose cable run information back into MineStar and HaulX, enabling cross-system checks and balances. A hazard assessment will be required for this part of the process, particularly for any workflow in which a person is responsible for approving the ingestion and use of data exchanged between the systems.</v>
      </c>
      <c r="Q341" s="2" t="str">
        <f>_xlfn.LET(
    _xlpm.status, _xlfn.XLOOKUP($A341,'EA-ConnectorExport'!$A:$A,'EA-ConnectorExport'!G:G),
    _xlpm.result, _xlfn.XLOOKUP($A341,'EA-ConnectorExport'!$A:$A,'EA-ConnectorExport'!B:B),
    IF(_xlpm.status="allocate", _xlpm.result, "")
)</f>
        <v>859DC-1410-001 HaulX</v>
      </c>
      <c r="R341" s="2" t="str">
        <f>IF(
    _xlfn.XLOOKUP($Q341,'EA-Fortescue_SDExport'!A:A,'EA-Fortescue_SDExport'!B:B)="Object",
    _xlfn.XLOOKUP(
        _xlfn.XLOOKUP($A341,'EA-ConnectorExport'!A:A,'EA-ConnectorExport'!D:D),
        'EA-Fortescue_SDExport'!A:A,
        'EA-Fortescue_SDExport'!AA:AA
    ),
    _xlfn.XLOOKUP($Q341,'EA-Fortescue_SDExport'!A:A,'EA-Fortescue_SDExport'!AA:AA)
)</f>
        <v>Project</v>
      </c>
      <c r="S341" s="2" t="str">
        <f>_xlfn.LET(_xlpm.result, _xlfn.XLOOKUP($Q341,'EA-Fortescue_SDExport'!$A:$A,'EA-Fortescue_SDExport'!AB:AB), IF(_xlpm.result=0,"",_xlpm.result))</f>
        <v/>
      </c>
      <c r="T341" s="2" t="str">
        <f>_xlfn.LET(_xlpm.result, _xlfn.XLOOKUP($Q341,'EA-Fortescue_SDExport'!$A:$A,'EA-Fortescue_SDExport'!AC:AC), IF(_xlpm.result=0,"",_xlpm.result))</f>
        <v/>
      </c>
      <c r="U341" s="2" t="str">
        <f>_xlfn.LET(
    _xlpm.isObject, _xlfn.XLOOKUP($Q341,'EA-Fortescue_SDExport'!A:A,'EA-Fortescue_SDExport'!B:B),
    _xlpm.lookupKey, IF(_xlpm.isObject="Object",
        _xlfn.XLOOKUP($A341,'EA-ConnectorExport'!A:A,'EA-ConnectorExport'!D:D),
        $Q341
    ),
    _xlpm.result, _xlfn.XLOOKUP(_xlpm.lookupKey,'EA-Fortescue_SDExport'!A:A,'EA-Fortescue_SDExport'!AD:AD),
    IF(_xlpm.result=0,"",_xlpm.result)
)</f>
        <v>859DC HaulX</v>
      </c>
      <c r="V341" s="2" t="str">
        <f>_xlfn.LET(
    _xlpm.isObject, _xlfn.XLOOKUP($Q341,'EA-Fortescue_SDExport'!A:A,'EA-Fortescue_SDExport'!B:B),
    _xlpm.lookupKey, IF(_xlpm.isObject="Object",
        _xlfn.XLOOKUP($A341,'EA-ConnectorExport'!A:A,'EA-ConnectorExport'!D:D),
        $Q341
    ),
    _xlpm.result, _xlfn.XLOOKUP(_xlpm.lookupKey,'EA-Fortescue_SDExport'!A:A,'EA-Fortescue_SDExport'!AE:AE),
    IF(_xlpm.result=0,"",_xlpm.result)
)</f>
        <v/>
      </c>
      <c r="W341" s="2" t="str">
        <f>_xlfn.LET(
    _xlpm.isObject, _xlfn.XLOOKUP($Q341,'EA-Fortescue_SDExport'!A:A,'EA-Fortescue_SDExport'!B:B),
    _xlpm.lookupKey, IF(_xlpm.isObject="Object",
        _xlfn.XLOOKUP($A341,'EA-ConnectorExport'!A:A,'EA-ConnectorExport'!D:D),
        $Q341
    ),
    _xlpm.result, _xlfn.XLOOKUP(_xlpm.lookupKey,'EA-Fortescue_SDExport'!A:A,'EA-Fortescue_SDExport'!AF:AF),
    IF(_xlpm.result=0,"",_xlpm.result)
)</f>
        <v>859DC-1410-001 HaulX</v>
      </c>
      <c r="X341" s="2" t="str">
        <f>_xlfn.LET(
    _xlpm.isObject, _xlfn.XLOOKUP($Q341,'EA-Fortescue_SDExport'!A:A,'EA-Fortescue_SDExport'!B:B),
    _xlpm.lookupKey, IF(_xlpm.isObject="Object",
        _xlfn.XLOOKUP($A341,'EA-ConnectorExport'!A:A,'EA-ConnectorExport'!D:D),
        $Q341
    ),
    _xlpm.result, _xlfn.XLOOKUP(_xlpm.lookupKey,'EA-Fortescue_SDExport'!A:A,'EA-Fortescue_SDExport'!AG:AG),
    IF(_xlpm.result=0,"",_xlpm.result)
)</f>
        <v/>
      </c>
      <c r="Y341" s="2" t="str">
        <f>_xlfn.LET(
    _xlpm.status, _xlfn.XLOOKUP($A341,'EA-ConnectorExport'!$A:$A,'EA-ConnectorExport'!G:G),
    _xlpm.result, _xlfn.XLOOKUP($A341,'EA-ConnectorExport'!$A:$A,'EA-ConnectorExport'!H:H),
    IF(_xlpm.status="allocate", _xlpm.result, "")
)</f>
        <v>855DC-1541-LIV LiveWire</v>
      </c>
      <c r="Z341" s="2" t="str">
        <f>_xlfn.LET(
    _xlpm.isObject, _xlfn.XLOOKUP($Y341,'EA-Fortescue_SDExport'!A:A,'EA-Fortescue_SDExport'!B:B),
    _xlpm.lookupKey, IF(_xlpm.isObject="Object",
        _xlfn.XLOOKUP($A341,'EA-ConnectorExport'!A:A,'EA-ConnectorExport'!J:J),
        $Y341
    ),
    _xlpm.result, _xlfn.XLOOKUP(_xlpm.lookupKey,'EA-Fortescue_SDExport'!A:A,'EA-Fortescue_SDExport'!AA:AA),
    IF(_xlpm.result=0,"",_xlpm.result)
)</f>
        <v>Project</v>
      </c>
      <c r="AA341" s="2" t="str">
        <f>_xlfn.LET(_xlpm.result, _xlfn.XLOOKUP($Y341,'EA-Fortescue_SDExport'!$A:$A,'EA-Fortescue_SDExport'!AB:AB), IF(_xlpm.result=0,"",_xlpm.result))</f>
        <v>Operations Planning</v>
      </c>
      <c r="AB341" s="2" t="str">
        <f>_xlfn.LET(_xlpm.result, _xlfn.XLOOKUP($Y341,'EA-Fortescue_SDExport'!$A:$A,'EA-Fortescue_SDExport'!AC:AC), IF(_xlpm.result=0,"",_xlpm.result))</f>
        <v>AWS Fortescue Cloud</v>
      </c>
      <c r="AC341" s="2" t="str">
        <f>_xlfn.LET(
    _xlpm.isObject, _xlfn.XLOOKUP($Y341,'EA-Fortescue_SDExport'!A:A,'EA-Fortescue_SDExport'!B:B),
    _xlpm.lookupKey, IF(_xlpm.isObject="Object",
        _xlfn.XLOOKUP($A341,'EA-ConnectorExport'!A:A,'EA-ConnectorExport'!J:J),
        $Y341
    ),
    _xlpm.result, _xlfn.XLOOKUP(_xlpm.lookupKey,'EA-Fortescue_SDExport'!A:A,'EA-Fortescue_SDExport'!AD:AD),
    IF(_xlpm.result=0,"",_xlpm.result)
)</f>
        <v>855DC Decarb Green Systems</v>
      </c>
      <c r="AD341" s="2" t="str">
        <f>_xlfn.LET(
    _xlpm.isObject, _xlfn.XLOOKUP($Y341,'EA-Fortescue_SDExport'!A:A,'EA-Fortescue_SDExport'!B:B),
    _xlpm.lookupKey, IF(_xlpm.isObject="Object",
        _xlfn.XLOOKUP($A341,'EA-ConnectorExport'!A:A,'EA-ConnectorExport'!J:J),
        $Y341
    ),
    _xlpm.result, _xlfn.XLOOKUP(_xlpm.lookupKey,'EA-Fortescue_SDExport'!A:A,'EA-Fortescue_SDExport'!AE:AE),
    IF(_xlpm.result=0,"",_xlpm.result)
)</f>
        <v>855DC-1541 Planning and Forecast Systems</v>
      </c>
      <c r="AE341" s="2" t="str">
        <f>_xlfn.LET(
    _xlpm.isObject, _xlfn.XLOOKUP($Y341,'EA-Fortescue_SDExport'!A:A,'EA-Fortescue_SDExport'!B:B),
    _xlpm.lookupKey, IF(_xlpm.isObject="Object",
        _xlfn.XLOOKUP($A341,'EA-ConnectorExport'!A:A,'EA-ConnectorExport'!J:J),
        $Y341
    ),
    _xlpm.result, _xlfn.XLOOKUP(_xlpm.lookupKey,'EA-Fortescue_SDExport'!A:A,'EA-Fortescue_SDExport'!AF:AF),
    IF(_xlpm.result=0,"",_xlpm.result)
)</f>
        <v>855DC-1541-LIV LiveWire</v>
      </c>
      <c r="AF341" s="2" t="str">
        <f>_xlfn.LET(
    _xlpm.isObject, _xlfn.XLOOKUP($Y341,'EA-Fortescue_SDExport'!A:A,'EA-Fortescue_SDExport'!B:B),
    _xlpm.lookupKey, IF(_xlpm.isObject="Object",
        _xlfn.XLOOKUP($A341,'EA-ConnectorExport'!A:A,'EA-ConnectorExport'!J:J),
        $Y341
    ),
    _xlpm.result, _xlfn.XLOOKUP(_xlpm.lookupKey,'EA-Fortescue_SDExport'!A:A,'EA-Fortescue_SDExport'!AG:AG),
    IF(_xlpm.result=0,"",_xlpm.result)
)</f>
        <v/>
      </c>
    </row>
    <row r="342" spans="1:32" ht="210" x14ac:dyDescent="0.25">
      <c r="A342" s="2" t="str">
        <v>DGS-I_0341</v>
      </c>
      <c r="B342" s="2" t="str">
        <f t="shared" si="20"/>
        <v>850DC-1520-0004 Cable Coupler GPS Sensors (LORA)|855DC-1541-LIV LiveWire</v>
      </c>
      <c r="C342" s="2" t="str">
        <f>_xlfn.LET(_xlpm.result, _xlfn.XLOOKUP(A342,'EA-Fortescue_SDExport'!A:A,'EA-Fortescue_SDExport'!AM:AM), IF(_xlpm.result=0,"",_xlpm.result))</f>
        <v>Abby Buters</v>
      </c>
      <c r="D342" s="2" t="str">
        <f>_xlfn.LET(_xlpm.result, _xlfn.XLOOKUP(A342,'EA-Fortescue_SDExport'!A:A,'EA-Fortescue_SDExport'!AN:AN), IF(_xlpm.result=0,"",_xlpm.result))</f>
        <v>Nicolas Alberto</v>
      </c>
      <c r="E342" s="2" t="str">
        <f>_xlfn.XLOOKUP(R342&amp;Z342,Lookups!A:A,Lookups!B:B)</f>
        <v>Project - Project Interface</v>
      </c>
      <c r="F342" s="2" t="str">
        <f>_xlfn.LET(_xlpm.result, _xlfn.XLOOKUP(A342,'EA-Fortescue_SDExport'!A:A,'EA-Fortescue_SDExport'!AP:AP), IF(_xlpm.result=0,"",_xlpm.result))</f>
        <v>Technical-Data/Software</v>
      </c>
      <c r="G342" s="2" t="str">
        <f>IF(OR(AND(T342&lt;&gt;"", COUNTIF(Lookups!J:J, "*"&amp;T342&amp;"*")&gt;0), AND(AB342&lt;&gt;"", COUNTIF(Lookups!J:J, "*"&amp;AB342&amp;"*")&gt;0)), "Yes", "No")</f>
        <v>No</v>
      </c>
      <c r="H342" s="2" t="str">
        <f t="shared" si="21"/>
        <v>850DC Decarb Infrastructure|855DC Decarb Green Systems</v>
      </c>
      <c r="I342" s="2" t="str">
        <f t="shared" si="22"/>
        <v>850DC-1520 Trailing Cable|855DC-1541 Planning and Forecast Systems</v>
      </c>
      <c r="J342" s="2" t="str">
        <f t="shared" si="23"/>
        <v>850DC-1520-0004 Cable Coupler GPS Sensors (LORA)|855DC-1541-LIV LiveWire</v>
      </c>
      <c r="K342" s="2" t="str">
        <f>_xlfn.XLOOKUP(A342,'EA-Fortescue_SDExport'!A:A,'EA-Fortescue_SDExport'!N:N)</f>
        <v>Proposed</v>
      </c>
      <c r="L342" s="2" t="str">
        <f>_xlfn.LET(_xlpm.result, _xlfn.XLOOKUP($A342,'EA-Fortescue_SDExport'!$A:$A,'EA-Fortescue_SDExport'!AQ:AQ), IF(_xlpm.result=0,"",_xlpm.result))</f>
        <v>GPS Sensors &lt;-&gt; LiveWire - Cable Coupler &amp; Infrastructure Location Tracking_x000D_
The purpose of this interface is to use GPS sensors, mounted on cable couplers and potentially on key assets such as towers, in-pit switches, and other cable infrastructure, to provide accurate real-time location tracking. LiveWire consumes this GPS data to maintain an up-to-date spatial view of cable positions across the site. If GPS sensors fail or communications drop, operators can manually update cable locations directly in LiveWire. LiveWire will also assist in diagnosing failure modes by identifying whether a specific gateway, sensor, or wider network segment has gone offline._x000D_
Intermediate Elements: GPS sensor hardware, telemetry/gateway network, LiveWire ingest service, and LiveWire spatial map.</v>
      </c>
      <c r="M342" s="2" t="str">
        <f>_xlfn.LET(_xlpm.result, _xlfn.XLOOKUP($A342,'EA-Fortescue_SDExport'!$A:$A,'EA-Fortescue_SDExport'!AR:AR), IF(_xlpm.result=0,"",_xlpm.result))</f>
        <v>HIGH</v>
      </c>
      <c r="N342" s="2" t="str">
        <f>_xlfn.LET(_xlpm.result, _xlfn.XLOOKUP($A342,'EA-Fortescue_SDExport'!$A:$A,'EA-Fortescue_SDExport'!AW:AW), IF(_xlpm.result=0,"",_xlpm.result))</f>
        <v>The criticality level is HIGH because accurate cable location tracking is essential for safe pit operations, avoiding cable strikes, and supporting switching operations. Failure compromises safety and rapid fault detection.</v>
      </c>
      <c r="O342" s="2" t="str">
        <f>_xlfn.LET(_xlpm.result, _xlfn.XLOOKUP($A342,'EA-Fortescue_SDExport'!$A:$A,'EA-Fortescue_SDExport'!AV:AV), IF(_xlpm.result=0,"",_xlpm.result))</f>
        <v>Data Flow:_x000D_
GPS sensors (couplers, infra, switches) -&gt; Gateway/telemetry layer -&gt; LiveWire ingest -&gt; LiveWire geospatial visualisation._x000D_
Fallback: manual location updates in LiveWire UI.</v>
      </c>
      <c r="P342" s="2" t="str">
        <f>_xlfn.LET(_xlpm.result, _xlfn.XLOOKUP($A342,'EA-Fortescue_SDExport'!$A:$A,'EA-Fortescue_SDExport'!D:D), IF(_xlpm.result=0,"",_xlpm.result))</f>
        <v>Meeting Remarks 02/12/2025: GPS sensors will be mounted on the cable couplers to enable accurate cable location tracking. Chance will also assess options for installing GPS units on the supporting cable infrastructure, including towers and in-pit switch locations._x000D_
If the system becomes unavailable, the fallback process will be to update cable locations manually in LiveWire. LiveWire will also support fault diagnosis by indicating whether a specific gateway, sensor, or an entire site has gone offline._x000D_
NH 25/02/2026: Fields updated:Interface Type</v>
      </c>
      <c r="Q342" s="2" t="str">
        <f>_xlfn.LET(
    _xlpm.status, _xlfn.XLOOKUP($A342,'EA-ConnectorExport'!$A:$A,'EA-ConnectorExport'!G:G),
    _xlpm.result, _xlfn.XLOOKUP($A342,'EA-ConnectorExport'!$A:$A,'EA-ConnectorExport'!B:B),
    IF(_xlpm.status="allocate", _xlpm.result, "")
)</f>
        <v>850DC-1520-0004 Cable Coupler GPS Sensors (LORA)</v>
      </c>
      <c r="R342" s="2" t="str">
        <f>IF(
    _xlfn.XLOOKUP($Q342,'EA-Fortescue_SDExport'!A:A,'EA-Fortescue_SDExport'!B:B)="Object",
    _xlfn.XLOOKUP(
        _xlfn.XLOOKUP($A342,'EA-ConnectorExport'!A:A,'EA-ConnectorExport'!D:D),
        'EA-Fortescue_SDExport'!A:A,
        'EA-Fortescue_SDExport'!AA:AA
    ),
    _xlfn.XLOOKUP($Q342,'EA-Fortescue_SDExport'!A:A,'EA-Fortescue_SDExport'!AA:AA)
)</f>
        <v>Project</v>
      </c>
      <c r="S342" s="2" t="str">
        <f>_xlfn.LET(_xlpm.result, _xlfn.XLOOKUP($Q342,'EA-Fortescue_SDExport'!$A:$A,'EA-Fortescue_SDExport'!AB:AB), IF(_xlpm.result=0,"",_xlpm.result))</f>
        <v/>
      </c>
      <c r="T342" s="2" t="str">
        <f>_xlfn.LET(_xlpm.result, _xlfn.XLOOKUP($Q342,'EA-Fortescue_SDExport'!$A:$A,'EA-Fortescue_SDExport'!AC:AC), IF(_xlpm.result=0,"",_xlpm.result))</f>
        <v>Generic Physical Asset</v>
      </c>
      <c r="U342" s="2" t="str">
        <f>_xlfn.LET(
    _xlpm.isObject, _xlfn.XLOOKUP($Q342,'EA-Fortescue_SDExport'!A:A,'EA-Fortescue_SDExport'!B:B),
    _xlpm.lookupKey, IF(_xlpm.isObject="Object",
        _xlfn.XLOOKUP($A342,'EA-ConnectorExport'!A:A,'EA-ConnectorExport'!D:D),
        $Q342
    ),
    _xlpm.result, _xlfn.XLOOKUP(_xlpm.lookupKey,'EA-Fortescue_SDExport'!A:A,'EA-Fortescue_SDExport'!AD:AD),
    IF(_xlpm.result=0,"",_xlpm.result)
)</f>
        <v>850DC Decarb Infrastructure</v>
      </c>
      <c r="V342" s="2" t="str">
        <f>_xlfn.LET(
    _xlpm.isObject, _xlfn.XLOOKUP($Q342,'EA-Fortescue_SDExport'!A:A,'EA-Fortescue_SDExport'!B:B),
    _xlpm.lookupKey, IF(_xlpm.isObject="Object",
        _xlfn.XLOOKUP($A342,'EA-ConnectorExport'!A:A,'EA-ConnectorExport'!D:D),
        $Q342
    ),
    _xlpm.result, _xlfn.XLOOKUP(_xlpm.lookupKey,'EA-Fortescue_SDExport'!A:A,'EA-Fortescue_SDExport'!AE:AE),
    IF(_xlpm.result=0,"",_xlpm.result)
)</f>
        <v>850DC-1520 Trailing Cable</v>
      </c>
      <c r="W342" s="2" t="str">
        <f>_xlfn.LET(
    _xlpm.isObject, _xlfn.XLOOKUP($Q342,'EA-Fortescue_SDExport'!A:A,'EA-Fortescue_SDExport'!B:B),
    _xlpm.lookupKey, IF(_xlpm.isObject="Object",
        _xlfn.XLOOKUP($A342,'EA-ConnectorExport'!A:A,'EA-ConnectorExport'!D:D),
        $Q342
    ),
    _xlpm.result, _xlfn.XLOOKUP(_xlpm.lookupKey,'EA-Fortescue_SDExport'!A:A,'EA-Fortescue_SDExport'!AF:AF),
    IF(_xlpm.result=0,"",_xlpm.result)
)</f>
        <v>850DC-1520-0004 Cable Coupler GPS Sensors (LORA)</v>
      </c>
      <c r="X342" s="2" t="str">
        <f>_xlfn.LET(
    _xlpm.isObject, _xlfn.XLOOKUP($Q342,'EA-Fortescue_SDExport'!A:A,'EA-Fortescue_SDExport'!B:B),
    _xlpm.lookupKey, IF(_xlpm.isObject="Object",
        _xlfn.XLOOKUP($A342,'EA-ConnectorExport'!A:A,'EA-ConnectorExport'!D:D),
        $Q342
    ),
    _xlpm.result, _xlfn.XLOOKUP(_xlpm.lookupKey,'EA-Fortescue_SDExport'!A:A,'EA-Fortescue_SDExport'!AG:AG),
    IF(_xlpm.result=0,"",_xlpm.result)
)</f>
        <v/>
      </c>
      <c r="Y342" s="2" t="str">
        <f>_xlfn.LET(
    _xlpm.status, _xlfn.XLOOKUP($A342,'EA-ConnectorExport'!$A:$A,'EA-ConnectorExport'!G:G),
    _xlpm.result, _xlfn.XLOOKUP($A342,'EA-ConnectorExport'!$A:$A,'EA-ConnectorExport'!H:H),
    IF(_xlpm.status="allocate", _xlpm.result, "")
)</f>
        <v>855DC-1541-LIV LiveWire</v>
      </c>
      <c r="Z342" s="2" t="str">
        <f>_xlfn.LET(
    _xlpm.isObject, _xlfn.XLOOKUP($Y342,'EA-Fortescue_SDExport'!A:A,'EA-Fortescue_SDExport'!B:B),
    _xlpm.lookupKey, IF(_xlpm.isObject="Object",
        _xlfn.XLOOKUP($A342,'EA-ConnectorExport'!A:A,'EA-ConnectorExport'!J:J),
        $Y342
    ),
    _xlpm.result, _xlfn.XLOOKUP(_xlpm.lookupKey,'EA-Fortescue_SDExport'!A:A,'EA-Fortescue_SDExport'!AA:AA),
    IF(_xlpm.result=0,"",_xlpm.result)
)</f>
        <v>Project</v>
      </c>
      <c r="AA342" s="2" t="str">
        <f>_xlfn.LET(_xlpm.result, _xlfn.XLOOKUP($Y342,'EA-Fortescue_SDExport'!$A:$A,'EA-Fortescue_SDExport'!AB:AB), IF(_xlpm.result=0,"",_xlpm.result))</f>
        <v>Operations Planning</v>
      </c>
      <c r="AB342" s="2" t="str">
        <f>_xlfn.LET(_xlpm.result, _xlfn.XLOOKUP($Y342,'EA-Fortescue_SDExport'!$A:$A,'EA-Fortescue_SDExport'!AC:AC), IF(_xlpm.result=0,"",_xlpm.result))</f>
        <v>AWS Fortescue Cloud</v>
      </c>
      <c r="AC342" s="2" t="str">
        <f>_xlfn.LET(
    _xlpm.isObject, _xlfn.XLOOKUP($Y342,'EA-Fortescue_SDExport'!A:A,'EA-Fortescue_SDExport'!B:B),
    _xlpm.lookupKey, IF(_xlpm.isObject="Object",
        _xlfn.XLOOKUP($A342,'EA-ConnectorExport'!A:A,'EA-ConnectorExport'!J:J),
        $Y342
    ),
    _xlpm.result, _xlfn.XLOOKUP(_xlpm.lookupKey,'EA-Fortescue_SDExport'!A:A,'EA-Fortescue_SDExport'!AD:AD),
    IF(_xlpm.result=0,"",_xlpm.result)
)</f>
        <v>855DC Decarb Green Systems</v>
      </c>
      <c r="AD342" s="2" t="str">
        <f>_xlfn.LET(
    _xlpm.isObject, _xlfn.XLOOKUP($Y342,'EA-Fortescue_SDExport'!A:A,'EA-Fortescue_SDExport'!B:B),
    _xlpm.lookupKey, IF(_xlpm.isObject="Object",
        _xlfn.XLOOKUP($A342,'EA-ConnectorExport'!A:A,'EA-ConnectorExport'!J:J),
        $Y342
    ),
    _xlpm.result, _xlfn.XLOOKUP(_xlpm.lookupKey,'EA-Fortescue_SDExport'!A:A,'EA-Fortescue_SDExport'!AE:AE),
    IF(_xlpm.result=0,"",_xlpm.result)
)</f>
        <v>855DC-1541 Planning and Forecast Systems</v>
      </c>
      <c r="AE342" s="2" t="str">
        <f>_xlfn.LET(
    _xlpm.isObject, _xlfn.XLOOKUP($Y342,'EA-Fortescue_SDExport'!A:A,'EA-Fortescue_SDExport'!B:B),
    _xlpm.lookupKey, IF(_xlpm.isObject="Object",
        _xlfn.XLOOKUP($A342,'EA-ConnectorExport'!A:A,'EA-ConnectorExport'!J:J),
        $Y342
    ),
    _xlpm.result, _xlfn.XLOOKUP(_xlpm.lookupKey,'EA-Fortescue_SDExport'!A:A,'EA-Fortescue_SDExport'!AF:AF),
    IF(_xlpm.result=0,"",_xlpm.result)
)</f>
        <v>855DC-1541-LIV LiveWire</v>
      </c>
      <c r="AF342" s="2" t="str">
        <f>_xlfn.LET(
    _xlpm.isObject, _xlfn.XLOOKUP($Y342,'EA-Fortescue_SDExport'!A:A,'EA-Fortescue_SDExport'!B:B),
    _xlpm.lookupKey, IF(_xlpm.isObject="Object",
        _xlfn.XLOOKUP($A342,'EA-ConnectorExport'!A:A,'EA-ConnectorExport'!J:J),
        $Y342
    ),
    _xlpm.result, _xlfn.XLOOKUP(_xlpm.lookupKey,'EA-Fortescue_SDExport'!A:A,'EA-Fortescue_SDExport'!AG:AG),
    IF(_xlpm.result=0,"",_xlpm.result)
)</f>
        <v/>
      </c>
    </row>
    <row r="343" spans="1:32" ht="300" x14ac:dyDescent="0.25">
      <c r="A343" s="2" t="str">
        <v>DGS-I_0342</v>
      </c>
      <c r="B343" s="2" t="str">
        <f t="shared" si="20"/>
        <v>005OP-0000-008 MineStar|855DC-1541-LIV LiveWire</v>
      </c>
      <c r="C343" s="2" t="str">
        <f>_xlfn.LET(_xlpm.result, _xlfn.XLOOKUP(A343,'EA-Fortescue_SDExport'!A:A,'EA-Fortescue_SDExport'!AM:AM), IF(_xlpm.result=0,"",_xlpm.result))</f>
        <v>Abby Buters</v>
      </c>
      <c r="D343" s="2" t="str">
        <f>_xlfn.LET(_xlpm.result, _xlfn.XLOOKUP(A343,'EA-Fortescue_SDExport'!A:A,'EA-Fortescue_SDExport'!AN:AN), IF(_xlpm.result=0,"",_xlpm.result))</f>
        <v>Michael Chambers (Technical)</v>
      </c>
      <c r="E343" s="2" t="str">
        <f>_xlfn.XLOOKUP(R343&amp;Z343,Lookups!A:A,Lookups!B:B)</f>
        <v>Project - Project Interface</v>
      </c>
      <c r="F343" s="2" t="str">
        <f>_xlfn.LET(_xlpm.result, _xlfn.XLOOKUP(A343,'EA-Fortescue_SDExport'!A:A,'EA-Fortescue_SDExport'!AP:AP), IF(_xlpm.result=0,"",_xlpm.result))</f>
        <v>Technical-Data/Software</v>
      </c>
      <c r="G343" s="2" t="str">
        <f>IF(OR(AND(T343&lt;&gt;"", COUNTIF(Lookups!J:J, "*"&amp;T343&amp;"*")&gt;0), AND(AB343&lt;&gt;"", COUNTIF(Lookups!J:J, "*"&amp;AB343&amp;"*")&gt;0)), "Yes", "No")</f>
        <v>No</v>
      </c>
      <c r="H343" s="2" t="str">
        <f t="shared" si="21"/>
        <v>005OP IT/OT Systems|855DC Decarb Green Systems</v>
      </c>
      <c r="I343" s="2" t="str">
        <f t="shared" si="22"/>
        <v>N/A|855DC-1541 Planning and Forecast Systems</v>
      </c>
      <c r="J343" s="2" t="str">
        <f t="shared" si="23"/>
        <v>005OP-0000-008 MineStar|855DC-1541-LIV LiveWire</v>
      </c>
      <c r="K343" s="2" t="str">
        <f>_xlfn.XLOOKUP(A343,'EA-Fortescue_SDExport'!A:A,'EA-Fortescue_SDExport'!N:N)</f>
        <v>Proposed</v>
      </c>
      <c r="L343" s="2" t="str">
        <f>_xlfn.LET(_xlpm.result, _xlfn.XLOOKUP($A343,'EA-Fortescue_SDExport'!$A:$A,'EA-Fortescue_SDExport'!AQ:AQ), IF(_xlpm.result=0,"",_xlpm.result))</f>
        <v>LiveWire &lt;-&gt; MineStar - Cable Layers, Exclusion Zones &amp; Cavity Visibility_x000D_
The purpose of this interface is to integrate LiveWire with MineStar to access cable layer data, exclusion zones, and geospatial safety information, specifically concerning areas like cavity or surface instability areas where ground crust may not support personnel. This data provides operators and planners with accurate spatial awareness, thereby improving safety when routing cables, planning field work, and managing electrical infrastructure around active mining areas._x000D_
Intermediate Elements: MineStar API, MineStar Snowflake database, LiveWire spatial and safety visualisation layers.</v>
      </c>
      <c r="M343" s="2" t="str">
        <f>_xlfn.LET(_xlpm.result, _xlfn.XLOOKUP($A343,'EA-Fortescue_SDExport'!$A:$A,'EA-Fortescue_SDExport'!AR:AR), IF(_xlpm.result=0,"",_xlpm.result))</f>
        <v>HIGH</v>
      </c>
      <c r="N343" s="2" t="str">
        <f>_xlfn.LET(_xlpm.result, _xlfn.XLOOKUP($A343,'EA-Fortescue_SDExport'!$A:$A,'EA-Fortescue_SDExport'!AW:AW), IF(_xlpm.result=0,"",_xlpm.result))</f>
        <v>The criticality level is HIGH because reliable MineStar data is essential for ensuring cables are routed safely and maintaining exclusion zone compliance. Failure risks serious safety incidents and the need for major operational replanning.</v>
      </c>
      <c r="O343" s="2" t="str">
        <f>_xlfn.LET(_xlpm.result, _xlfn.XLOOKUP($A343,'EA-Fortescue_SDExport'!$A:$A,'EA-Fortescue_SDExport'!AV:AV), IF(_xlpm.result=0,"",_xlpm.result))</f>
        <v>Data Flow:_x000D_
MineStar APIs / Snowflake datasets (cable layers, exclusion zones, cavity/surface integrity data) -&gt; LiveWire ingest -&gt; LiveWire geospatial visualisation.</v>
      </c>
      <c r="P343" s="2" t="str">
        <f>_xlfn.LET(_xlpm.result, _xlfn.XLOOKUP($A343,'EA-Fortescue_SDExport'!$A:$A,'EA-Fortescue_SDExport'!D:D), IF(_xlpm.result=0,"",_xlpm.result))</f>
        <v>Meeting Remarks 02/12/2025: A potential safety risk arises from MineStar rather than LiveWire, as vehicles may be notified of a no-go zone._x000D_
For the time being, the team has pivoted to focus on MineStar, including extracting the cable layer data from MineStar, integrating exclusion zones, working with available APIs, and connecting to the Snowflake databases._x000D_
Improved visibility of the cavity is required, as the surface crust is not strong enough to safely support personnel._x000D_
_x000D_
NH 04/12/2025: Note MineStar was archived as a result of the comment 'Archive - N/A for current SA' from DGS_SBS-WBS_Comparison_20251001(JV2025.10.06). MineStar is now reinstated, and DGS-I_0342 was created between it and LiveWire.</v>
      </c>
      <c r="Q343" s="2" t="str">
        <f>_xlfn.LET(
    _xlpm.status, _xlfn.XLOOKUP($A343,'EA-ConnectorExport'!$A:$A,'EA-ConnectorExport'!G:G),
    _xlpm.result, _xlfn.XLOOKUP($A343,'EA-ConnectorExport'!$A:$A,'EA-ConnectorExport'!B:B),
    IF(_xlpm.status="allocate", _xlpm.result, "")
)</f>
        <v>005OP-0000-008 MineStar</v>
      </c>
      <c r="R343" s="2" t="str">
        <f>IF(
    _xlfn.XLOOKUP($Q343,'EA-Fortescue_SDExport'!A:A,'EA-Fortescue_SDExport'!B:B)="Object",
    _xlfn.XLOOKUP(
        _xlfn.XLOOKUP($A343,'EA-ConnectorExport'!A:A,'EA-ConnectorExport'!D:D),
        'EA-Fortescue_SDExport'!A:A,
        'EA-Fortescue_SDExport'!AA:AA
    ),
    _xlfn.XLOOKUP($Q343,'EA-Fortescue_SDExport'!A:A,'EA-Fortescue_SDExport'!AA:AA)
)</f>
        <v>Project</v>
      </c>
      <c r="S343" s="2" t="str">
        <f>_xlfn.LET(_xlpm.result, _xlfn.XLOOKUP($Q343,'EA-Fortescue_SDExport'!$A:$A,'EA-Fortescue_SDExport'!AB:AB), IF(_xlpm.result=0,"",_xlpm.result))</f>
        <v/>
      </c>
      <c r="T343" s="2" t="str">
        <f>_xlfn.LET(_xlpm.result, _xlfn.XLOOKUP($Q343,'EA-Fortescue_SDExport'!$A:$A,'EA-Fortescue_SDExport'!AC:AC), IF(_xlpm.result=0,"",_xlpm.result))</f>
        <v/>
      </c>
      <c r="U343" s="2" t="str">
        <f>_xlfn.LET(
    _xlpm.isObject, _xlfn.XLOOKUP($Q343,'EA-Fortescue_SDExport'!A:A,'EA-Fortescue_SDExport'!B:B),
    _xlpm.lookupKey, IF(_xlpm.isObject="Object",
        _xlfn.XLOOKUP($A343,'EA-ConnectorExport'!A:A,'EA-ConnectorExport'!D:D),
        $Q343
    ),
    _xlpm.result, _xlfn.XLOOKUP(_xlpm.lookupKey,'EA-Fortescue_SDExport'!A:A,'EA-Fortescue_SDExport'!AD:AD),
    IF(_xlpm.result=0,"",_xlpm.result)
)</f>
        <v>005OP IT/OT Systems</v>
      </c>
      <c r="V343" s="2" t="str">
        <f>_xlfn.LET(
    _xlpm.isObject, _xlfn.XLOOKUP($Q343,'EA-Fortescue_SDExport'!A:A,'EA-Fortescue_SDExport'!B:B),
    _xlpm.lookupKey, IF(_xlpm.isObject="Object",
        _xlfn.XLOOKUP($A343,'EA-ConnectorExport'!A:A,'EA-ConnectorExport'!D:D),
        $Q343
    ),
    _xlpm.result, _xlfn.XLOOKUP(_xlpm.lookupKey,'EA-Fortescue_SDExport'!A:A,'EA-Fortescue_SDExport'!AE:AE),
    IF(_xlpm.result=0,"",_xlpm.result)
)</f>
        <v/>
      </c>
      <c r="W343" s="2" t="str">
        <f>_xlfn.LET(
    _xlpm.isObject, _xlfn.XLOOKUP($Q343,'EA-Fortescue_SDExport'!A:A,'EA-Fortescue_SDExport'!B:B),
    _xlpm.lookupKey, IF(_xlpm.isObject="Object",
        _xlfn.XLOOKUP($A343,'EA-ConnectorExport'!A:A,'EA-ConnectorExport'!D:D),
        $Q343
    ),
    _xlpm.result, _xlfn.XLOOKUP(_xlpm.lookupKey,'EA-Fortescue_SDExport'!A:A,'EA-Fortescue_SDExport'!AF:AF),
    IF(_xlpm.result=0,"",_xlpm.result)
)</f>
        <v>005OP-0000-008 MineStar</v>
      </c>
      <c r="X343" s="2" t="str">
        <f>_xlfn.LET(
    _xlpm.isObject, _xlfn.XLOOKUP($Q343,'EA-Fortescue_SDExport'!A:A,'EA-Fortescue_SDExport'!B:B),
    _xlpm.lookupKey, IF(_xlpm.isObject="Object",
        _xlfn.XLOOKUP($A343,'EA-ConnectorExport'!A:A,'EA-ConnectorExport'!D:D),
        $Q343
    ),
    _xlpm.result, _xlfn.XLOOKUP(_xlpm.lookupKey,'EA-Fortescue_SDExport'!A:A,'EA-Fortescue_SDExport'!AG:AG),
    IF(_xlpm.result=0,"",_xlpm.result)
)</f>
        <v/>
      </c>
      <c r="Y343" s="2" t="str">
        <f>_xlfn.LET(
    _xlpm.status, _xlfn.XLOOKUP($A343,'EA-ConnectorExport'!$A:$A,'EA-ConnectorExport'!G:G),
    _xlpm.result, _xlfn.XLOOKUP($A343,'EA-ConnectorExport'!$A:$A,'EA-ConnectorExport'!H:H),
    IF(_xlpm.status="allocate", _xlpm.result, "")
)</f>
        <v>855DC-1541-LIV LiveWire</v>
      </c>
      <c r="Z343" s="2" t="str">
        <f>_xlfn.LET(
    _xlpm.isObject, _xlfn.XLOOKUP($Y343,'EA-Fortescue_SDExport'!A:A,'EA-Fortescue_SDExport'!B:B),
    _xlpm.lookupKey, IF(_xlpm.isObject="Object",
        _xlfn.XLOOKUP($A343,'EA-ConnectorExport'!A:A,'EA-ConnectorExport'!J:J),
        $Y343
    ),
    _xlpm.result, _xlfn.XLOOKUP(_xlpm.lookupKey,'EA-Fortescue_SDExport'!A:A,'EA-Fortescue_SDExport'!AA:AA),
    IF(_xlpm.result=0,"",_xlpm.result)
)</f>
        <v>Project</v>
      </c>
      <c r="AA343" s="2" t="str">
        <f>_xlfn.LET(_xlpm.result, _xlfn.XLOOKUP($Y343,'EA-Fortescue_SDExport'!$A:$A,'EA-Fortescue_SDExport'!AB:AB), IF(_xlpm.result=0,"",_xlpm.result))</f>
        <v>Operations Planning</v>
      </c>
      <c r="AB343" s="2" t="str">
        <f>_xlfn.LET(_xlpm.result, _xlfn.XLOOKUP($Y343,'EA-Fortescue_SDExport'!$A:$A,'EA-Fortescue_SDExport'!AC:AC), IF(_xlpm.result=0,"",_xlpm.result))</f>
        <v>AWS Fortescue Cloud</v>
      </c>
      <c r="AC343" s="2" t="str">
        <f>_xlfn.LET(
    _xlpm.isObject, _xlfn.XLOOKUP($Y343,'EA-Fortescue_SDExport'!A:A,'EA-Fortescue_SDExport'!B:B),
    _xlpm.lookupKey, IF(_xlpm.isObject="Object",
        _xlfn.XLOOKUP($A343,'EA-ConnectorExport'!A:A,'EA-ConnectorExport'!J:J),
        $Y343
    ),
    _xlpm.result, _xlfn.XLOOKUP(_xlpm.lookupKey,'EA-Fortescue_SDExport'!A:A,'EA-Fortescue_SDExport'!AD:AD),
    IF(_xlpm.result=0,"",_xlpm.result)
)</f>
        <v>855DC Decarb Green Systems</v>
      </c>
      <c r="AD343" s="2" t="str">
        <f>_xlfn.LET(
    _xlpm.isObject, _xlfn.XLOOKUP($Y343,'EA-Fortescue_SDExport'!A:A,'EA-Fortescue_SDExport'!B:B),
    _xlpm.lookupKey, IF(_xlpm.isObject="Object",
        _xlfn.XLOOKUP($A343,'EA-ConnectorExport'!A:A,'EA-ConnectorExport'!J:J),
        $Y343
    ),
    _xlpm.result, _xlfn.XLOOKUP(_xlpm.lookupKey,'EA-Fortescue_SDExport'!A:A,'EA-Fortescue_SDExport'!AE:AE),
    IF(_xlpm.result=0,"",_xlpm.result)
)</f>
        <v>855DC-1541 Planning and Forecast Systems</v>
      </c>
      <c r="AE343" s="2" t="str">
        <f>_xlfn.LET(
    _xlpm.isObject, _xlfn.XLOOKUP($Y343,'EA-Fortescue_SDExport'!A:A,'EA-Fortescue_SDExport'!B:B),
    _xlpm.lookupKey, IF(_xlpm.isObject="Object",
        _xlfn.XLOOKUP($A343,'EA-ConnectorExport'!A:A,'EA-ConnectorExport'!J:J),
        $Y343
    ),
    _xlpm.result, _xlfn.XLOOKUP(_xlpm.lookupKey,'EA-Fortescue_SDExport'!A:A,'EA-Fortescue_SDExport'!AF:AF),
    IF(_xlpm.result=0,"",_xlpm.result)
)</f>
        <v>855DC-1541-LIV LiveWire</v>
      </c>
      <c r="AF343" s="2" t="str">
        <f>_xlfn.LET(
    _xlpm.isObject, _xlfn.XLOOKUP($Y343,'EA-Fortescue_SDExport'!A:A,'EA-Fortescue_SDExport'!B:B),
    _xlpm.lookupKey, IF(_xlpm.isObject="Object",
        _xlfn.XLOOKUP($A343,'EA-ConnectorExport'!A:A,'EA-ConnectorExport'!J:J),
        $Y343
    ),
    _xlpm.result, _xlfn.XLOOKUP(_xlpm.lookupKey,'EA-Fortescue_SDExport'!A:A,'EA-Fortescue_SDExport'!AG:AG),
    IF(_xlpm.result=0,"",_xlpm.result)
)</f>
        <v/>
      </c>
    </row>
    <row r="344" spans="1:32" ht="195" x14ac:dyDescent="0.25">
      <c r="A344" s="2" t="str">
        <v>DGS-I_0343</v>
      </c>
      <c r="B344" s="2" t="str">
        <f t="shared" si="20"/>
        <v>005OP-0000-013 Cimplicity|855DC-1541-DEL Delphi</v>
      </c>
      <c r="C344" s="2" t="str">
        <f>_xlfn.LET(_xlpm.result, _xlfn.XLOOKUP(A344,'EA-Fortescue_SDExport'!A:A,'EA-Fortescue_SDExport'!AM:AM), IF(_xlpm.result=0,"",_xlpm.result))</f>
        <v/>
      </c>
      <c r="D344" s="2" t="str">
        <f>_xlfn.LET(_xlpm.result, _xlfn.XLOOKUP(A344,'EA-Fortescue_SDExport'!A:A,'EA-Fortescue_SDExport'!AN:AN), IF(_xlpm.result=0,"",_xlpm.result))</f>
        <v/>
      </c>
      <c r="E344" s="2" t="str">
        <f>_xlfn.XLOOKUP(R344&amp;Z344,Lookups!A:A,Lookups!B:B)</f>
        <v>Project - Project Interface</v>
      </c>
      <c r="F344" s="2" t="str">
        <f>_xlfn.LET(_xlpm.result, _xlfn.XLOOKUP(A344,'EA-Fortescue_SDExport'!A:A,'EA-Fortescue_SDExport'!AP:AP), IF(_xlpm.result=0,"",_xlpm.result))</f>
        <v>Technical-Data/Software</v>
      </c>
      <c r="G344" s="2" t="str">
        <f>IF(OR(AND(T344&lt;&gt;"", COUNTIF(Lookups!J:J, "*"&amp;T344&amp;"*")&gt;0), AND(AB344&lt;&gt;"", COUNTIF(Lookups!J:J, "*"&amp;AB344&amp;"*")&gt;0)), "Yes", "No")</f>
        <v>No</v>
      </c>
      <c r="H344" s="2" t="str">
        <f t="shared" si="21"/>
        <v>005OP IT/OT Systems|855DC Decarb Green Systems</v>
      </c>
      <c r="I344" s="2" t="str">
        <f t="shared" si="22"/>
        <v>N/A|855DC-1541 Planning and Forecast Systems</v>
      </c>
      <c r="J344" s="2" t="str">
        <f t="shared" si="23"/>
        <v>005OP-0000-013 Cimplicity|855DC-1541-DEL Delphi</v>
      </c>
      <c r="K344" s="2" t="str">
        <f>_xlfn.XLOOKUP(A344,'EA-Fortescue_SDExport'!A:A,'EA-Fortescue_SDExport'!N:N)</f>
        <v>Proposed</v>
      </c>
      <c r="L344" s="2" t="str">
        <f>_xlfn.LET(_xlpm.result, _xlfn.XLOOKUP($A344,'EA-Fortescue_SDExport'!$A:$A,'EA-Fortescue_SDExport'!AQ:AQ), IF(_xlpm.result=0,"",_xlpm.result))</f>
        <v>This interface provides real-time operational data from fixed plant control systems for calculating actual loads.</v>
      </c>
      <c r="M344" s="2" t="str">
        <f>_xlfn.LET(_xlpm.result, _xlfn.XLOOKUP($A344,'EA-Fortescue_SDExport'!$A:$A,'EA-Fortescue_SDExport'!AR:AR), IF(_xlpm.result=0,"",_xlpm.result))</f>
        <v>HIGH</v>
      </c>
      <c r="N344" s="2" t="str">
        <f>_xlfn.LET(_xlpm.result, _xlfn.XLOOKUP($A344,'EA-Fortescue_SDExport'!$A:$A,'EA-Fortescue_SDExport'!AW:AW), IF(_xlpm.result=0,"",_xlpm.result))</f>
        <v>The criticality level is HIGH because failure prevents accurate real-time load assessment, which is essential for load curtailment and control decisions. Failure risks serious safety incidents and the need for major operational replanning.</v>
      </c>
      <c r="O344" s="2" t="str">
        <f>_xlfn.LET(_xlpm.result, _xlfn.XLOOKUP($A344,'EA-Fortescue_SDExport'!$A:$A,'EA-Fortescue_SDExport'!AV:AV), IF(_xlpm.result=0,"",_xlpm.result))</f>
        <v>Data Flow:_x000D_
Simplicity (005OP-0000-013) -&gt; Delphi (855DC-1541-DEL) / Planning &amp; Forecast Systems (855DC-1541), transmitting real-time fixed plant operational data including active load measurements, feeder currents, equipment status, power consumption, process demand, alarms, and availability signals used for calculating actual site electrical loads._x000D_
Data supports load monitoring, curtailment decisions, constraint modelling, and short-term operational optimisation._x000D_
Control / Query Flow:_x000D_
Planning &amp; Forecast Systems -&gt; Simplicity (read/query only), retrieving validated operational data for load calculations and forecasting. No direct control commands are issued to plant control systems via this interface.</v>
      </c>
      <c r="P344" s="2" t="str">
        <f>_xlfn.LET(_xlpm.result, _xlfn.XLOOKUP($A344,'EA-Fortescue_SDExport'!$A:$A,'EA-Fortescue_SDExport'!D:D), IF(_xlpm.result=0,"",_xlpm.result))</f>
        <v/>
      </c>
      <c r="Q344" s="2" t="str">
        <f>_xlfn.LET(
    _xlpm.status, _xlfn.XLOOKUP($A344,'EA-ConnectorExport'!$A:$A,'EA-ConnectorExport'!G:G),
    _xlpm.result, _xlfn.XLOOKUP($A344,'EA-ConnectorExport'!$A:$A,'EA-ConnectorExport'!B:B),
    IF(_xlpm.status="allocate", _xlpm.result, "")
)</f>
        <v>005OP-0000-013 Cimplicity</v>
      </c>
      <c r="R344" s="2" t="str">
        <f>IF(
    _xlfn.XLOOKUP($Q344,'EA-Fortescue_SDExport'!A:A,'EA-Fortescue_SDExport'!B:B)="Object",
    _xlfn.XLOOKUP(
        _xlfn.XLOOKUP($A344,'EA-ConnectorExport'!A:A,'EA-ConnectorExport'!D:D),
        'EA-Fortescue_SDExport'!A:A,
        'EA-Fortescue_SDExport'!AA:AA
    ),
    _xlfn.XLOOKUP($Q344,'EA-Fortescue_SDExport'!A:A,'EA-Fortescue_SDExport'!AA:AA)
)</f>
        <v>Project</v>
      </c>
      <c r="S344" s="2" t="str">
        <f>_xlfn.LET(_xlpm.result, _xlfn.XLOOKUP($Q344,'EA-Fortescue_SDExport'!$A:$A,'EA-Fortescue_SDExport'!AB:AB), IF(_xlpm.result=0,"",_xlpm.result))</f>
        <v/>
      </c>
      <c r="T344" s="2" t="str">
        <f>_xlfn.LET(_xlpm.result, _xlfn.XLOOKUP($Q344,'EA-Fortescue_SDExport'!$A:$A,'EA-Fortescue_SDExport'!AC:AC), IF(_xlpm.result=0,"",_xlpm.result))</f>
        <v/>
      </c>
      <c r="U344" s="2" t="str">
        <f>_xlfn.LET(
    _xlpm.isObject, _xlfn.XLOOKUP($Q344,'EA-Fortescue_SDExport'!A:A,'EA-Fortescue_SDExport'!B:B),
    _xlpm.lookupKey, IF(_xlpm.isObject="Object",
        _xlfn.XLOOKUP($A344,'EA-ConnectorExport'!A:A,'EA-ConnectorExport'!D:D),
        $Q344
    ),
    _xlpm.result, _xlfn.XLOOKUP(_xlpm.lookupKey,'EA-Fortescue_SDExport'!A:A,'EA-Fortescue_SDExport'!AD:AD),
    IF(_xlpm.result=0,"",_xlpm.result)
)</f>
        <v>005OP IT/OT Systems</v>
      </c>
      <c r="V344" s="2" t="str">
        <f>_xlfn.LET(
    _xlpm.isObject, _xlfn.XLOOKUP($Q344,'EA-Fortescue_SDExport'!A:A,'EA-Fortescue_SDExport'!B:B),
    _xlpm.lookupKey, IF(_xlpm.isObject="Object",
        _xlfn.XLOOKUP($A344,'EA-ConnectorExport'!A:A,'EA-ConnectorExport'!D:D),
        $Q344
    ),
    _xlpm.result, _xlfn.XLOOKUP(_xlpm.lookupKey,'EA-Fortescue_SDExport'!A:A,'EA-Fortescue_SDExport'!AE:AE),
    IF(_xlpm.result=0,"",_xlpm.result)
)</f>
        <v/>
      </c>
      <c r="W344" s="2" t="str">
        <f>_xlfn.LET(
    _xlpm.isObject, _xlfn.XLOOKUP($Q344,'EA-Fortescue_SDExport'!A:A,'EA-Fortescue_SDExport'!B:B),
    _xlpm.lookupKey, IF(_xlpm.isObject="Object",
        _xlfn.XLOOKUP($A344,'EA-ConnectorExport'!A:A,'EA-ConnectorExport'!D:D),
        $Q344
    ),
    _xlpm.result, _xlfn.XLOOKUP(_xlpm.lookupKey,'EA-Fortescue_SDExport'!A:A,'EA-Fortescue_SDExport'!AF:AF),
    IF(_xlpm.result=0,"",_xlpm.result)
)</f>
        <v>005OP-0000-013 Cimplicity</v>
      </c>
      <c r="X344" s="2" t="str">
        <f>_xlfn.LET(
    _xlpm.isObject, _xlfn.XLOOKUP($Q344,'EA-Fortescue_SDExport'!A:A,'EA-Fortescue_SDExport'!B:B),
    _xlpm.lookupKey, IF(_xlpm.isObject="Object",
        _xlfn.XLOOKUP($A344,'EA-ConnectorExport'!A:A,'EA-ConnectorExport'!D:D),
        $Q344
    ),
    _xlpm.result, _xlfn.XLOOKUP(_xlpm.lookupKey,'EA-Fortescue_SDExport'!A:A,'EA-Fortescue_SDExport'!AG:AG),
    IF(_xlpm.result=0,"",_xlpm.result)
)</f>
        <v/>
      </c>
      <c r="Y344" s="2" t="str">
        <f>_xlfn.LET(
    _xlpm.status, _xlfn.XLOOKUP($A344,'EA-ConnectorExport'!$A:$A,'EA-ConnectorExport'!G:G),
    _xlpm.result, _xlfn.XLOOKUP($A344,'EA-ConnectorExport'!$A:$A,'EA-ConnectorExport'!H:H),
    IF(_xlpm.status="allocate", _xlpm.result, "")
)</f>
        <v>855DC-1541-DEL Delphi</v>
      </c>
      <c r="Z344" s="2" t="str">
        <f>_xlfn.LET(
    _xlpm.isObject, _xlfn.XLOOKUP($Y344,'EA-Fortescue_SDExport'!A:A,'EA-Fortescue_SDExport'!B:B),
    _xlpm.lookupKey, IF(_xlpm.isObject="Object",
        _xlfn.XLOOKUP($A344,'EA-ConnectorExport'!A:A,'EA-ConnectorExport'!J:J),
        $Y344
    ),
    _xlpm.result, _xlfn.XLOOKUP(_xlpm.lookupKey,'EA-Fortescue_SDExport'!A:A,'EA-Fortescue_SDExport'!AA:AA),
    IF(_xlpm.result=0,"",_xlpm.result)
)</f>
        <v>Project</v>
      </c>
      <c r="AA344" s="2" t="str">
        <f>_xlfn.LET(_xlpm.result, _xlfn.XLOOKUP($Y344,'EA-Fortescue_SDExport'!$A:$A,'EA-Fortescue_SDExport'!AB:AB), IF(_xlpm.result=0,"",_xlpm.result))</f>
        <v>Energy Operations</v>
      </c>
      <c r="AB344" s="2" t="str">
        <f>_xlfn.LET(_xlpm.result, _xlfn.XLOOKUP($Y344,'EA-Fortescue_SDExport'!$A:$A,'EA-Fortescue_SDExport'!AC:AC), IF(_xlpm.result=0,"",_xlpm.result))</f>
        <v/>
      </c>
      <c r="AC344" s="2" t="str">
        <f>_xlfn.LET(
    _xlpm.isObject, _xlfn.XLOOKUP($Y344,'EA-Fortescue_SDExport'!A:A,'EA-Fortescue_SDExport'!B:B),
    _xlpm.lookupKey, IF(_xlpm.isObject="Object",
        _xlfn.XLOOKUP($A344,'EA-ConnectorExport'!A:A,'EA-ConnectorExport'!J:J),
        $Y344
    ),
    _xlpm.result, _xlfn.XLOOKUP(_xlpm.lookupKey,'EA-Fortescue_SDExport'!A:A,'EA-Fortescue_SDExport'!AD:AD),
    IF(_xlpm.result=0,"",_xlpm.result)
)</f>
        <v>855DC Decarb Green Systems</v>
      </c>
      <c r="AD344" s="2" t="str">
        <f>_xlfn.LET(
    _xlpm.isObject, _xlfn.XLOOKUP($Y344,'EA-Fortescue_SDExport'!A:A,'EA-Fortescue_SDExport'!B:B),
    _xlpm.lookupKey, IF(_xlpm.isObject="Object",
        _xlfn.XLOOKUP($A344,'EA-ConnectorExport'!A:A,'EA-ConnectorExport'!J:J),
        $Y344
    ),
    _xlpm.result, _xlfn.XLOOKUP(_xlpm.lookupKey,'EA-Fortescue_SDExport'!A:A,'EA-Fortescue_SDExport'!AE:AE),
    IF(_xlpm.result=0,"",_xlpm.result)
)</f>
        <v>855DC-1541 Planning and Forecast Systems</v>
      </c>
      <c r="AE344" s="2" t="str">
        <f>_xlfn.LET(
    _xlpm.isObject, _xlfn.XLOOKUP($Y344,'EA-Fortescue_SDExport'!A:A,'EA-Fortescue_SDExport'!B:B),
    _xlpm.lookupKey, IF(_xlpm.isObject="Object",
        _xlfn.XLOOKUP($A344,'EA-ConnectorExport'!A:A,'EA-ConnectorExport'!J:J),
        $Y344
    ),
    _xlpm.result, _xlfn.XLOOKUP(_xlpm.lookupKey,'EA-Fortescue_SDExport'!A:A,'EA-Fortescue_SDExport'!AF:AF),
    IF(_xlpm.result=0,"",_xlpm.result)
)</f>
        <v>855DC-1541-DEL Delphi</v>
      </c>
      <c r="AF344" s="2" t="str">
        <f>_xlfn.LET(
    _xlpm.isObject, _xlfn.XLOOKUP($Y344,'EA-Fortescue_SDExport'!A:A,'EA-Fortescue_SDExport'!B:B),
    _xlpm.lookupKey, IF(_xlpm.isObject="Object",
        _xlfn.XLOOKUP($A344,'EA-ConnectorExport'!A:A,'EA-ConnectorExport'!J:J),
        $Y344
    ),
    _xlpm.result, _xlfn.XLOOKUP(_xlpm.lookupKey,'EA-Fortescue_SDExport'!A:A,'EA-Fortescue_SDExport'!AG:AG),
    IF(_xlpm.result=0,"",_xlpm.result)
)</f>
        <v/>
      </c>
    </row>
    <row r="345" spans="1:32" ht="180" x14ac:dyDescent="0.25">
      <c r="A345" s="2" t="str">
        <v>DGS-I_0344</v>
      </c>
      <c r="B345" s="2" t="str">
        <f t="shared" si="20"/>
        <v>005OP-0000-017 Ignition|855DC-1541-DEL Delphi</v>
      </c>
      <c r="C345" s="2" t="str">
        <f>_xlfn.LET(_xlpm.result, _xlfn.XLOOKUP(A345,'EA-Fortescue_SDExport'!A:A,'EA-Fortescue_SDExport'!AM:AM), IF(_xlpm.result=0,"",_xlpm.result))</f>
        <v/>
      </c>
      <c r="D345" s="2" t="str">
        <f>_xlfn.LET(_xlpm.result, _xlfn.XLOOKUP(A345,'EA-Fortescue_SDExport'!A:A,'EA-Fortescue_SDExport'!AN:AN), IF(_xlpm.result=0,"",_xlpm.result))</f>
        <v/>
      </c>
      <c r="E345" s="2" t="str">
        <f>_xlfn.XLOOKUP(R345&amp;Z345,Lookups!A:A,Lookups!B:B)</f>
        <v>Project - Project Interface</v>
      </c>
      <c r="F345" s="2" t="str">
        <f>_xlfn.LET(_xlpm.result, _xlfn.XLOOKUP(A345,'EA-Fortescue_SDExport'!A:A,'EA-Fortescue_SDExport'!AP:AP), IF(_xlpm.result=0,"",_xlpm.result))</f>
        <v>Technical-Data/Software</v>
      </c>
      <c r="G345" s="2" t="str">
        <f>IF(OR(AND(T345&lt;&gt;"", COUNTIF(Lookups!J:J, "*"&amp;T345&amp;"*")&gt;0), AND(AB345&lt;&gt;"", COUNTIF(Lookups!J:J, "*"&amp;AB345&amp;"*")&gt;0)), "Yes", "No")</f>
        <v>No</v>
      </c>
      <c r="H345" s="2" t="str">
        <f t="shared" si="21"/>
        <v>005OP IT/OT Systems|855DC Decarb Green Systems</v>
      </c>
      <c r="I345" s="2" t="str">
        <f t="shared" si="22"/>
        <v>N/A|855DC-1541 Planning and Forecast Systems</v>
      </c>
      <c r="J345" s="2" t="str">
        <f t="shared" si="23"/>
        <v>005OP-0000-017 Ignition|855DC-1541-DEL Delphi</v>
      </c>
      <c r="K345" s="2" t="str">
        <f>_xlfn.XLOOKUP(A345,'EA-Fortescue_SDExport'!A:A,'EA-Fortescue_SDExport'!N:N)</f>
        <v>Proposed</v>
      </c>
      <c r="L345" s="2" t="str">
        <f>_xlfn.LET(_xlpm.result, _xlfn.XLOOKUP($A345,'EA-Fortescue_SDExport'!$A:$A,'EA-Fortescue_SDExport'!AQ:AQ), IF(_xlpm.result=0,"",_xlpm.result))</f>
        <v>This interface supplies operational data for ground-truth load for plan/forecast vs. actual load calculations.</v>
      </c>
      <c r="M345" s="2" t="str">
        <f>_xlfn.LET(_xlpm.result, _xlfn.XLOOKUP($A345,'EA-Fortescue_SDExport'!$A:$A,'EA-Fortescue_SDExport'!AR:AR), IF(_xlpm.result=0,"",_xlpm.result))</f>
        <v>HIGH</v>
      </c>
      <c r="N345" s="2" t="str">
        <f>_xlfn.LET(_xlpm.result, _xlfn.XLOOKUP($A345,'EA-Fortescue_SDExport'!$A:$A,'EA-Fortescue_SDExport'!AW:AW), IF(_xlpm.result=0,"",_xlpm.result))</f>
        <v>This interface is rated HIGH because it provides the authoritative operational load data required to maintain an accurate view of total system demand. Loss, delay, or corruption of this data undermines the integrity of load calculations and forecasting models, increasing the risk of overload conditions, incorrect dispatch or curtailment decisions, and potential safety incidents. Reliable ground-truth data is essential for maintaining power system stability and operational assurance.</v>
      </c>
      <c r="O345" s="2" t="str">
        <f>_xlfn.LET(_xlpm.result, _xlfn.XLOOKUP($A345,'EA-Fortescue_SDExport'!$A:$A,'EA-Fortescue_SDExport'!AV:AV), IF(_xlpm.result=0,"",_xlpm.result))</f>
        <v>Data Flow:_x000D_
Ignition (005OP-0000-017) -&gt; Delphi (855DC-1541-DEL) / Planning &amp; Forecast Systems (855DC-1541), transmitting operational electrical data including feeder loads, equipment status, breaker states, alarms, and real-time demand measurements to provide ground-truth inputs for plan-versus-actual load reconciliation and forecasting accuracy._x000D_
Data supports validation of forecast models, load balancing analysis, curtailment planning, and operational performance assessment._x000D_
Control / Query Flow:_x000D_
Planning &amp; Forecast Systems -&gt; Ignition (read/query only), retrieving validated operational data for analytical processing. No direct control commands are issued to field equipment through this interface.</v>
      </c>
      <c r="P345" s="2" t="str">
        <f>_xlfn.LET(_xlpm.result, _xlfn.XLOOKUP($A345,'EA-Fortescue_SDExport'!$A:$A,'EA-Fortescue_SDExport'!D:D), IF(_xlpm.result=0,"",_xlpm.result))</f>
        <v>NH 20/02/2026: Fields updated: Interface Criticality Explanation, Interface Flow.</v>
      </c>
      <c r="Q345" s="2" t="str">
        <f>_xlfn.LET(
    _xlpm.status, _xlfn.XLOOKUP($A345,'EA-ConnectorExport'!$A:$A,'EA-ConnectorExport'!G:G),
    _xlpm.result, _xlfn.XLOOKUP($A345,'EA-ConnectorExport'!$A:$A,'EA-ConnectorExport'!B:B),
    IF(_xlpm.status="allocate", _xlpm.result, "")
)</f>
        <v>005OP-0000-017 Ignition</v>
      </c>
      <c r="R345" s="2" t="str">
        <f>IF(
    _xlfn.XLOOKUP($Q345,'EA-Fortescue_SDExport'!A:A,'EA-Fortescue_SDExport'!B:B)="Object",
    _xlfn.XLOOKUP(
        _xlfn.XLOOKUP($A345,'EA-ConnectorExport'!A:A,'EA-ConnectorExport'!D:D),
        'EA-Fortescue_SDExport'!A:A,
        'EA-Fortescue_SDExport'!AA:AA
    ),
    _xlfn.XLOOKUP($Q345,'EA-Fortescue_SDExport'!A:A,'EA-Fortescue_SDExport'!AA:AA)
)</f>
        <v>Project</v>
      </c>
      <c r="S345" s="2" t="str">
        <f>_xlfn.LET(_xlpm.result, _xlfn.XLOOKUP($Q345,'EA-Fortescue_SDExport'!$A:$A,'EA-Fortescue_SDExport'!AB:AB), IF(_xlpm.result=0,"",_xlpm.result))</f>
        <v/>
      </c>
      <c r="T345" s="2" t="str">
        <f>_xlfn.LET(_xlpm.result, _xlfn.XLOOKUP($Q345,'EA-Fortescue_SDExport'!$A:$A,'EA-Fortescue_SDExport'!AC:AC), IF(_xlpm.result=0,"",_xlpm.result))</f>
        <v/>
      </c>
      <c r="U345" s="2" t="str">
        <f>_xlfn.LET(
    _xlpm.isObject, _xlfn.XLOOKUP($Q345,'EA-Fortescue_SDExport'!A:A,'EA-Fortescue_SDExport'!B:B),
    _xlpm.lookupKey, IF(_xlpm.isObject="Object",
        _xlfn.XLOOKUP($A345,'EA-ConnectorExport'!A:A,'EA-ConnectorExport'!D:D),
        $Q345
    ),
    _xlpm.result, _xlfn.XLOOKUP(_xlpm.lookupKey,'EA-Fortescue_SDExport'!A:A,'EA-Fortescue_SDExport'!AD:AD),
    IF(_xlpm.result=0,"",_xlpm.result)
)</f>
        <v>005OP IT/OT Systems</v>
      </c>
      <c r="V345" s="2" t="str">
        <f>_xlfn.LET(
    _xlpm.isObject, _xlfn.XLOOKUP($Q345,'EA-Fortescue_SDExport'!A:A,'EA-Fortescue_SDExport'!B:B),
    _xlpm.lookupKey, IF(_xlpm.isObject="Object",
        _xlfn.XLOOKUP($A345,'EA-ConnectorExport'!A:A,'EA-ConnectorExport'!D:D),
        $Q345
    ),
    _xlpm.result, _xlfn.XLOOKUP(_xlpm.lookupKey,'EA-Fortescue_SDExport'!A:A,'EA-Fortescue_SDExport'!AE:AE),
    IF(_xlpm.result=0,"",_xlpm.result)
)</f>
        <v/>
      </c>
      <c r="W345" s="2" t="str">
        <f>_xlfn.LET(
    _xlpm.isObject, _xlfn.XLOOKUP($Q345,'EA-Fortescue_SDExport'!A:A,'EA-Fortescue_SDExport'!B:B),
    _xlpm.lookupKey, IF(_xlpm.isObject="Object",
        _xlfn.XLOOKUP($A345,'EA-ConnectorExport'!A:A,'EA-ConnectorExport'!D:D),
        $Q345
    ),
    _xlpm.result, _xlfn.XLOOKUP(_xlpm.lookupKey,'EA-Fortescue_SDExport'!A:A,'EA-Fortescue_SDExport'!AF:AF),
    IF(_xlpm.result=0,"",_xlpm.result)
)</f>
        <v>005OP-0000-017 Ignition</v>
      </c>
      <c r="X345" s="2" t="str">
        <f>_xlfn.LET(
    _xlpm.isObject, _xlfn.XLOOKUP($Q345,'EA-Fortescue_SDExport'!A:A,'EA-Fortescue_SDExport'!B:B),
    _xlpm.lookupKey, IF(_xlpm.isObject="Object",
        _xlfn.XLOOKUP($A345,'EA-ConnectorExport'!A:A,'EA-ConnectorExport'!D:D),
        $Q345
    ),
    _xlpm.result, _xlfn.XLOOKUP(_xlpm.lookupKey,'EA-Fortescue_SDExport'!A:A,'EA-Fortescue_SDExport'!AG:AG),
    IF(_xlpm.result=0,"",_xlpm.result)
)</f>
        <v/>
      </c>
      <c r="Y345" s="2" t="str">
        <f>_xlfn.LET(
    _xlpm.status, _xlfn.XLOOKUP($A345,'EA-ConnectorExport'!$A:$A,'EA-ConnectorExport'!G:G),
    _xlpm.result, _xlfn.XLOOKUP($A345,'EA-ConnectorExport'!$A:$A,'EA-ConnectorExport'!H:H),
    IF(_xlpm.status="allocate", _xlpm.result, "")
)</f>
        <v>855DC-1541-DEL Delphi</v>
      </c>
      <c r="Z345" s="2" t="str">
        <f>_xlfn.LET(
    _xlpm.isObject, _xlfn.XLOOKUP($Y345,'EA-Fortescue_SDExport'!A:A,'EA-Fortescue_SDExport'!B:B),
    _xlpm.lookupKey, IF(_xlpm.isObject="Object",
        _xlfn.XLOOKUP($A345,'EA-ConnectorExport'!A:A,'EA-ConnectorExport'!J:J),
        $Y345
    ),
    _xlpm.result, _xlfn.XLOOKUP(_xlpm.lookupKey,'EA-Fortescue_SDExport'!A:A,'EA-Fortescue_SDExport'!AA:AA),
    IF(_xlpm.result=0,"",_xlpm.result)
)</f>
        <v>Project</v>
      </c>
      <c r="AA345" s="2" t="str">
        <f>_xlfn.LET(_xlpm.result, _xlfn.XLOOKUP($Y345,'EA-Fortescue_SDExport'!$A:$A,'EA-Fortescue_SDExport'!AB:AB), IF(_xlpm.result=0,"",_xlpm.result))</f>
        <v>Energy Operations</v>
      </c>
      <c r="AB345" s="2" t="str">
        <f>_xlfn.LET(_xlpm.result, _xlfn.XLOOKUP($Y345,'EA-Fortescue_SDExport'!$A:$A,'EA-Fortescue_SDExport'!AC:AC), IF(_xlpm.result=0,"",_xlpm.result))</f>
        <v/>
      </c>
      <c r="AC345" s="2" t="str">
        <f>_xlfn.LET(
    _xlpm.isObject, _xlfn.XLOOKUP($Y345,'EA-Fortescue_SDExport'!A:A,'EA-Fortescue_SDExport'!B:B),
    _xlpm.lookupKey, IF(_xlpm.isObject="Object",
        _xlfn.XLOOKUP($A345,'EA-ConnectorExport'!A:A,'EA-ConnectorExport'!J:J),
        $Y345
    ),
    _xlpm.result, _xlfn.XLOOKUP(_xlpm.lookupKey,'EA-Fortescue_SDExport'!A:A,'EA-Fortescue_SDExport'!AD:AD),
    IF(_xlpm.result=0,"",_xlpm.result)
)</f>
        <v>855DC Decarb Green Systems</v>
      </c>
      <c r="AD345" s="2" t="str">
        <f>_xlfn.LET(
    _xlpm.isObject, _xlfn.XLOOKUP($Y345,'EA-Fortescue_SDExport'!A:A,'EA-Fortescue_SDExport'!B:B),
    _xlpm.lookupKey, IF(_xlpm.isObject="Object",
        _xlfn.XLOOKUP($A345,'EA-ConnectorExport'!A:A,'EA-ConnectorExport'!J:J),
        $Y345
    ),
    _xlpm.result, _xlfn.XLOOKUP(_xlpm.lookupKey,'EA-Fortescue_SDExport'!A:A,'EA-Fortescue_SDExport'!AE:AE),
    IF(_xlpm.result=0,"",_xlpm.result)
)</f>
        <v>855DC-1541 Planning and Forecast Systems</v>
      </c>
      <c r="AE345" s="2" t="str">
        <f>_xlfn.LET(
    _xlpm.isObject, _xlfn.XLOOKUP($Y345,'EA-Fortescue_SDExport'!A:A,'EA-Fortescue_SDExport'!B:B),
    _xlpm.lookupKey, IF(_xlpm.isObject="Object",
        _xlfn.XLOOKUP($A345,'EA-ConnectorExport'!A:A,'EA-ConnectorExport'!J:J),
        $Y345
    ),
    _xlpm.result, _xlfn.XLOOKUP(_xlpm.lookupKey,'EA-Fortescue_SDExport'!A:A,'EA-Fortescue_SDExport'!AF:AF),
    IF(_xlpm.result=0,"",_xlpm.result)
)</f>
        <v>855DC-1541-DEL Delphi</v>
      </c>
      <c r="AF345" s="2" t="str">
        <f>_xlfn.LET(
    _xlpm.isObject, _xlfn.XLOOKUP($Y345,'EA-Fortescue_SDExport'!A:A,'EA-Fortescue_SDExport'!B:B),
    _xlpm.lookupKey, IF(_xlpm.isObject="Object",
        _xlfn.XLOOKUP($A345,'EA-ConnectorExport'!A:A,'EA-ConnectorExport'!J:J),
        $Y345
    ),
    _xlpm.result, _xlfn.XLOOKUP(_xlpm.lookupKey,'EA-Fortescue_SDExport'!A:A,'EA-Fortescue_SDExport'!AG:AG),
    IF(_xlpm.result=0,"",_xlpm.result)
)</f>
        <v/>
      </c>
    </row>
    <row r="346" spans="1:32" ht="409.5" x14ac:dyDescent="0.25">
      <c r="A346" s="2" t="str">
        <v>DGS-I_0345</v>
      </c>
      <c r="B346" s="2" t="str">
        <f t="shared" si="20"/>
        <v>005OP-0000-006 Snowflake (General)|855DC-1541-DEL Delphi</v>
      </c>
      <c r="C346" s="2" t="str">
        <f>_xlfn.LET(_xlpm.result, _xlfn.XLOOKUP(A346,'EA-Fortescue_SDExport'!A:A,'EA-Fortescue_SDExport'!AM:AM), IF(_xlpm.result=0,"",_xlpm.result))</f>
        <v/>
      </c>
      <c r="D346" s="2" t="str">
        <f>_xlfn.LET(_xlpm.result, _xlfn.XLOOKUP(A346,'EA-Fortescue_SDExport'!A:A,'EA-Fortescue_SDExport'!AN:AN), IF(_xlpm.result=0,"",_xlpm.result))</f>
        <v/>
      </c>
      <c r="E346" s="2" t="str">
        <f>_xlfn.XLOOKUP(R346&amp;Z346,Lookups!A:A,Lookups!B:B)</f>
        <v>Project - Project Interface</v>
      </c>
      <c r="F346" s="2" t="str">
        <f>_xlfn.LET(_xlpm.result, _xlfn.XLOOKUP(A346,'EA-Fortescue_SDExport'!A:A,'EA-Fortescue_SDExport'!AP:AP), IF(_xlpm.result=0,"",_xlpm.result))</f>
        <v>Technical-Data/Software</v>
      </c>
      <c r="G346" s="2" t="str">
        <f>IF(OR(AND(T346&lt;&gt;"", COUNTIF(Lookups!J:J, "*"&amp;T346&amp;"*")&gt;0), AND(AB346&lt;&gt;"", COUNTIF(Lookups!J:J, "*"&amp;AB346&amp;"*")&gt;0)), "Yes", "No")</f>
        <v>No</v>
      </c>
      <c r="H346" s="2" t="str">
        <f t="shared" si="21"/>
        <v>005OP IT/OT Systems|855DC Decarb Green Systems</v>
      </c>
      <c r="I346" s="2" t="str">
        <f t="shared" si="22"/>
        <v>N/A|855DC-1541 Planning and Forecast Systems</v>
      </c>
      <c r="J346" s="2" t="str">
        <f t="shared" si="23"/>
        <v>005OP-0000-006 Snowflake (General)|855DC-1541-DEL Delphi</v>
      </c>
      <c r="K346" s="2" t="str">
        <f>_xlfn.XLOOKUP(A346,'EA-Fortescue_SDExport'!A:A,'EA-Fortescue_SDExport'!N:N)</f>
        <v>Proposed</v>
      </c>
      <c r="L346" s="2" t="str">
        <f>_xlfn.LET(_xlpm.result, _xlfn.XLOOKUP($A346,'EA-Fortescue_SDExport'!$A:$A,'EA-Fortescue_SDExport'!AQ:AQ), IF(_xlpm.result=0,"",_xlpm.result))</f>
        <v>This interface collects general actuals and historical data residing in Snowflake. Snowflake provides a 'time travel' function, which is from 1 day (default) up to a maximum of 90 days.</v>
      </c>
      <c r="M346" s="2" t="str">
        <f>_xlfn.LET(_xlpm.result, _xlfn.XLOOKUP($A346,'EA-Fortescue_SDExport'!$A:$A,'EA-Fortescue_SDExport'!AR:AR), IF(_xlpm.result=0,"",_xlpm.result))</f>
        <v>HIGH</v>
      </c>
      <c r="N346" s="2" t="str">
        <f>_xlfn.LET(_xlpm.result, _xlfn.XLOOKUP($A346,'EA-Fortescue_SDExport'!$A:$A,'EA-Fortescue_SDExport'!AW:AW), IF(_xlpm.result=0,"",_xlpm.result))</f>
        <v>This interface is rated HIGH because accurate historical and actual data underpins short-term forecasting, model validation, and operational planning accuracy. Loss or corruption of this data materially degrades forecast reliability, increasing the risk of incorrect generation dispatch, inefficient curtailment decisions, and potential instability in power management. Reliable historical data is essential for maintaining confidence in optimisation and planning outputs.</v>
      </c>
      <c r="O346" s="2" t="str">
        <f>_xlfn.LET(_xlpm.result, _xlfn.XLOOKUP($A346,'EA-Fortescue_SDExport'!$A:$A,'EA-Fortescue_SDExport'!AV:AV), IF(_xlpm.result=0,"",_xlpm.result))</f>
        <v>Data Flow:_x000D_
Snowflake (005OP-0000-006 General) -&gt; Delphi (855DC-1541-DEL) / Planning &amp; Forecast Systems (855DC-1541), transmitting general actuals and historical datasets including load history, generation output, asset performance metrics, operational events, and forecast reference data._x000D_
Snowflake provides time-travel capability (default 1 day, configurable up to 90 days) to enable retrieval of historical data snapshots for reconciliation, back-testing, and scenario analysis._x000D_
Control / Query Flow:_x000D_
Delphi / Planning Systems -&gt; Snowflake (read/query only), executing structured queries to retrieve validated actuals and historical data for short-term forecasting, trend analysis, and model calibration. No operational control is issued via this interface.</v>
      </c>
      <c r="P346" s="2" t="str">
        <f>_xlfn.LET(_xlpm.result, _xlfn.XLOOKUP($A346,'EA-Fortescue_SDExport'!$A:$A,'EA-Fortescue_SDExport'!D:D), IF(_xlpm.result=0,"",_xlpm.result))</f>
        <v>NH 20/02/2026: Fields updated: Interface Criticality Explanation, Interface Flow.</v>
      </c>
      <c r="Q346" s="2" t="str">
        <f>_xlfn.LET(
    _xlpm.status, _xlfn.XLOOKUP($A346,'EA-ConnectorExport'!$A:$A,'EA-ConnectorExport'!G:G),
    _xlpm.result, _xlfn.XLOOKUP($A346,'EA-ConnectorExport'!$A:$A,'EA-ConnectorExport'!B:B),
    IF(_xlpm.status="allocate", _xlpm.result, "")
)</f>
        <v>005OP-0000-006 Snowflake (General)</v>
      </c>
      <c r="R346" s="2" t="str">
        <f>IF(
    _xlfn.XLOOKUP($Q346,'EA-Fortescue_SDExport'!A:A,'EA-Fortescue_SDExport'!B:B)="Object",
    _xlfn.XLOOKUP(
        _xlfn.XLOOKUP($A346,'EA-ConnectorExport'!A:A,'EA-ConnectorExport'!D:D),
        'EA-Fortescue_SDExport'!A:A,
        'EA-Fortescue_SDExport'!AA:AA
    ),
    _xlfn.XLOOKUP($Q346,'EA-Fortescue_SDExport'!A:A,'EA-Fortescue_SDExport'!AA:AA)
)</f>
        <v>Project</v>
      </c>
      <c r="S346" s="2" t="str">
        <f>_xlfn.LET(_xlpm.result, _xlfn.XLOOKUP($Q346,'EA-Fortescue_SDExport'!$A:$A,'EA-Fortescue_SDExport'!AB:AB), IF(_xlpm.result=0,"",_xlpm.result))</f>
        <v/>
      </c>
      <c r="T346" s="2" t="str">
        <f>_xlfn.LET(_xlpm.result, _xlfn.XLOOKUP($Q346,'EA-Fortescue_SDExport'!$A:$A,'EA-Fortescue_SDExport'!AC:AC), IF(_xlpm.result=0,"",_xlpm.result))</f>
        <v/>
      </c>
      <c r="U346" s="2" t="str">
        <f>_xlfn.LET(
    _xlpm.isObject, _xlfn.XLOOKUP($Q346,'EA-Fortescue_SDExport'!A:A,'EA-Fortescue_SDExport'!B:B),
    _xlpm.lookupKey, IF(_xlpm.isObject="Object",
        _xlfn.XLOOKUP($A346,'EA-ConnectorExport'!A:A,'EA-ConnectorExport'!D:D),
        $Q346
    ),
    _xlpm.result, _xlfn.XLOOKUP(_xlpm.lookupKey,'EA-Fortescue_SDExport'!A:A,'EA-Fortescue_SDExport'!AD:AD),
    IF(_xlpm.result=0,"",_xlpm.result)
)</f>
        <v>005OP IT/OT Systems</v>
      </c>
      <c r="V346" s="2" t="str">
        <f>_xlfn.LET(
    _xlpm.isObject, _xlfn.XLOOKUP($Q346,'EA-Fortescue_SDExport'!A:A,'EA-Fortescue_SDExport'!B:B),
    _xlpm.lookupKey, IF(_xlpm.isObject="Object",
        _xlfn.XLOOKUP($A346,'EA-ConnectorExport'!A:A,'EA-ConnectorExport'!D:D),
        $Q346
    ),
    _xlpm.result, _xlfn.XLOOKUP(_xlpm.lookupKey,'EA-Fortescue_SDExport'!A:A,'EA-Fortescue_SDExport'!AE:AE),
    IF(_xlpm.result=0,"",_xlpm.result)
)</f>
        <v/>
      </c>
      <c r="W346" s="2" t="str">
        <f>_xlfn.LET(
    _xlpm.isObject, _xlfn.XLOOKUP($Q346,'EA-Fortescue_SDExport'!A:A,'EA-Fortescue_SDExport'!B:B),
    _xlpm.lookupKey, IF(_xlpm.isObject="Object",
        _xlfn.XLOOKUP($A346,'EA-ConnectorExport'!A:A,'EA-ConnectorExport'!D:D),
        $Q346
    ),
    _xlpm.result, _xlfn.XLOOKUP(_xlpm.lookupKey,'EA-Fortescue_SDExport'!A:A,'EA-Fortescue_SDExport'!AF:AF),
    IF(_xlpm.result=0,"",_xlpm.result)
)</f>
        <v>005OP-0000-006 Snowflake (General)</v>
      </c>
      <c r="X346" s="2" t="str">
        <f>_xlfn.LET(
    _xlpm.isObject, _xlfn.XLOOKUP($Q346,'EA-Fortescue_SDExport'!A:A,'EA-Fortescue_SDExport'!B:B),
    _xlpm.lookupKey, IF(_xlpm.isObject="Object",
        _xlfn.XLOOKUP($A346,'EA-ConnectorExport'!A:A,'EA-ConnectorExport'!D:D),
        $Q346
    ),
    _xlpm.result, _xlfn.XLOOKUP(_xlpm.lookupKey,'EA-Fortescue_SDExport'!A:A,'EA-Fortescue_SDExport'!AG:AG),
    IF(_xlpm.result=0,"",_xlpm.result)
)</f>
        <v/>
      </c>
      <c r="Y346" s="2" t="str">
        <f>_xlfn.LET(
    _xlpm.status, _xlfn.XLOOKUP($A346,'EA-ConnectorExport'!$A:$A,'EA-ConnectorExport'!G:G),
    _xlpm.result, _xlfn.XLOOKUP($A346,'EA-ConnectorExport'!$A:$A,'EA-ConnectorExport'!H:H),
    IF(_xlpm.status="allocate", _xlpm.result, "")
)</f>
        <v>855DC-1541-DEL Delphi</v>
      </c>
      <c r="Z346" s="2" t="str">
        <f>_xlfn.LET(
    _xlpm.isObject, _xlfn.XLOOKUP($Y346,'EA-Fortescue_SDExport'!A:A,'EA-Fortescue_SDExport'!B:B),
    _xlpm.lookupKey, IF(_xlpm.isObject="Object",
        _xlfn.XLOOKUP($A346,'EA-ConnectorExport'!A:A,'EA-ConnectorExport'!J:J),
        $Y346
    ),
    _xlpm.result, _xlfn.XLOOKUP(_xlpm.lookupKey,'EA-Fortescue_SDExport'!A:A,'EA-Fortescue_SDExport'!AA:AA),
    IF(_xlpm.result=0,"",_xlpm.result)
)</f>
        <v>Project</v>
      </c>
      <c r="AA346" s="2" t="str">
        <f>_xlfn.LET(_xlpm.result, _xlfn.XLOOKUP($Y346,'EA-Fortescue_SDExport'!$A:$A,'EA-Fortescue_SDExport'!AB:AB), IF(_xlpm.result=0,"",_xlpm.result))</f>
        <v>Energy Operations</v>
      </c>
      <c r="AB346" s="2" t="str">
        <f>_xlfn.LET(_xlpm.result, _xlfn.XLOOKUP($Y346,'EA-Fortescue_SDExport'!$A:$A,'EA-Fortescue_SDExport'!AC:AC), IF(_xlpm.result=0,"",_xlpm.result))</f>
        <v/>
      </c>
      <c r="AC346" s="2" t="str">
        <f>_xlfn.LET(
    _xlpm.isObject, _xlfn.XLOOKUP($Y346,'EA-Fortescue_SDExport'!A:A,'EA-Fortescue_SDExport'!B:B),
    _xlpm.lookupKey, IF(_xlpm.isObject="Object",
        _xlfn.XLOOKUP($A346,'EA-ConnectorExport'!A:A,'EA-ConnectorExport'!J:J),
        $Y346
    ),
    _xlpm.result, _xlfn.XLOOKUP(_xlpm.lookupKey,'EA-Fortescue_SDExport'!A:A,'EA-Fortescue_SDExport'!AD:AD),
    IF(_xlpm.result=0,"",_xlpm.result)
)</f>
        <v>855DC Decarb Green Systems</v>
      </c>
      <c r="AD346" s="2" t="str">
        <f>_xlfn.LET(
    _xlpm.isObject, _xlfn.XLOOKUP($Y346,'EA-Fortescue_SDExport'!A:A,'EA-Fortescue_SDExport'!B:B),
    _xlpm.lookupKey, IF(_xlpm.isObject="Object",
        _xlfn.XLOOKUP($A346,'EA-ConnectorExport'!A:A,'EA-ConnectorExport'!J:J),
        $Y346
    ),
    _xlpm.result, _xlfn.XLOOKUP(_xlpm.lookupKey,'EA-Fortescue_SDExport'!A:A,'EA-Fortescue_SDExport'!AE:AE),
    IF(_xlpm.result=0,"",_xlpm.result)
)</f>
        <v>855DC-1541 Planning and Forecast Systems</v>
      </c>
      <c r="AE346" s="2" t="str">
        <f>_xlfn.LET(
    _xlpm.isObject, _xlfn.XLOOKUP($Y346,'EA-Fortescue_SDExport'!A:A,'EA-Fortescue_SDExport'!B:B),
    _xlpm.lookupKey, IF(_xlpm.isObject="Object",
        _xlfn.XLOOKUP($A346,'EA-ConnectorExport'!A:A,'EA-ConnectorExport'!J:J),
        $Y346
    ),
    _xlpm.result, _xlfn.XLOOKUP(_xlpm.lookupKey,'EA-Fortescue_SDExport'!A:A,'EA-Fortescue_SDExport'!AF:AF),
    IF(_xlpm.result=0,"",_xlpm.result)
)</f>
        <v>855DC-1541-DEL Delphi</v>
      </c>
      <c r="AF346" s="2" t="str">
        <f>_xlfn.LET(
    _xlpm.isObject, _xlfn.XLOOKUP($Y346,'EA-Fortescue_SDExport'!A:A,'EA-Fortescue_SDExport'!B:B),
    _xlpm.lookupKey, IF(_xlpm.isObject="Object",
        _xlfn.XLOOKUP($A346,'EA-ConnectorExport'!A:A,'EA-ConnectorExport'!J:J),
        $Y346
    ),
    _xlpm.result, _xlfn.XLOOKUP(_xlpm.lookupKey,'EA-Fortescue_SDExport'!A:A,'EA-Fortescue_SDExport'!AG:AG),
    IF(_xlpm.result=0,"",_xlpm.result)
)</f>
        <v/>
      </c>
    </row>
    <row r="347" spans="1:32" ht="195" x14ac:dyDescent="0.25">
      <c r="A347" s="2" t="str">
        <v>DGS-I_0346</v>
      </c>
      <c r="B347" s="2" t="str">
        <f t="shared" si="20"/>
        <v>Archive - 005OP-0000-009 OrePath|855DC-1541-DEL Delphi</v>
      </c>
      <c r="C347" s="2" t="str">
        <f>_xlfn.LET(_xlpm.result, _xlfn.XLOOKUP(A347,'EA-Fortescue_SDExport'!A:A,'EA-Fortescue_SDExport'!AM:AM), IF(_xlpm.result=0,"",_xlpm.result))</f>
        <v/>
      </c>
      <c r="D347" s="2" t="str">
        <f>_xlfn.LET(_xlpm.result, _xlfn.XLOOKUP(A347,'EA-Fortescue_SDExport'!A:A,'EA-Fortescue_SDExport'!AN:AN), IF(_xlpm.result=0,"",_xlpm.result))</f>
        <v/>
      </c>
      <c r="E347" s="2" t="str">
        <f>_xlfn.XLOOKUP(R347&amp;Z347,Lookups!A:A,Lookups!B:B)</f>
        <v>Project - Project Interface</v>
      </c>
      <c r="F347" s="2" t="str">
        <f>_xlfn.LET(_xlpm.result, _xlfn.XLOOKUP(A347,'EA-Fortescue_SDExport'!A:A,'EA-Fortescue_SDExport'!AP:AP), IF(_xlpm.result=0,"",_xlpm.result))</f>
        <v>Technical-Data/Software</v>
      </c>
      <c r="G347" s="2" t="str">
        <f>IF(OR(AND(T347&lt;&gt;"", COUNTIF(Lookups!J:J, "*"&amp;T347&amp;"*")&gt;0), AND(AB347&lt;&gt;"", COUNTIF(Lookups!J:J, "*"&amp;AB347&amp;"*")&gt;0)), "Yes", "No")</f>
        <v>No</v>
      </c>
      <c r="H347" s="2" t="str">
        <f t="shared" si="21"/>
        <v>005OP IT/OT Systems|855DC Decarb Green Systems</v>
      </c>
      <c r="I347" s="2" t="str">
        <f t="shared" si="22"/>
        <v>N/A|855DC-1541 Planning and Forecast Systems</v>
      </c>
      <c r="J347" s="2" t="str">
        <f t="shared" si="23"/>
        <v>005OP-0000-009 OrePath|855DC-1541-DEL Delphi</v>
      </c>
      <c r="K347" s="2" t="str">
        <f>_xlfn.XLOOKUP(A347,'EA-Fortescue_SDExport'!A:A,'EA-Fortescue_SDExport'!N:N)</f>
        <v>Deleted</v>
      </c>
      <c r="L347" s="2" t="str">
        <f>_xlfn.LET(_xlpm.result, _xlfn.XLOOKUP($A347,'EA-Fortescue_SDExport'!$A:$A,'EA-Fortescue_SDExport'!AQ:AQ), IF(_xlpm.result=0,"",_xlpm.result))</f>
        <v>This interface supplies data for calculating HME load profiles (fleet simulations).</v>
      </c>
      <c r="M347" s="2" t="str">
        <f>_xlfn.LET(_xlpm.result, _xlfn.XLOOKUP($A347,'EA-Fortescue_SDExport'!$A:$A,'EA-Fortescue_SDExport'!AR:AR), IF(_xlpm.result=0,"",_xlpm.result))</f>
        <v>MEDIUM</v>
      </c>
      <c r="N347" s="2" t="str">
        <f>_xlfn.LET(_xlpm.result, _xlfn.XLOOKUP($A347,'EA-Fortescue_SDExport'!$A:$A,'EA-Fortescue_SDExport'!AW:AW), IF(_xlpm.result=0,"",_xlpm.result))</f>
        <v>The criticality level is MEDIUM because failure means Eclipse cannot run energy feasibility checks, and Mine Controllers cannot manage curtailment, directly preventing Mission Success. While serious, failure does not immediately risk a major safety incident.</v>
      </c>
      <c r="O347" s="2" t="str">
        <f>_xlfn.LET(_xlpm.result, _xlfn.XLOOKUP($A347,'EA-Fortescue_SDExport'!$A:$A,'EA-Fortescue_SDExport'!AV:AV), IF(_xlpm.result=0,"",_xlpm.result))</f>
        <v/>
      </c>
      <c r="P347" s="2" t="str">
        <f>_xlfn.LET(_xlpm.result, _xlfn.XLOOKUP($A347,'EA-Fortescue_SDExport'!$A:$A,'EA-Fortescue_SDExport'!D:D), IF(_xlpm.result=0,"",_xlpm.result))</f>
        <v>Delphi Requirements Review 19/01/2026: Retire OrePath and replace/link to HaulX.</v>
      </c>
      <c r="Q347" s="2" t="str">
        <f>_xlfn.LET(
    _xlpm.status, _xlfn.XLOOKUP($A347,'EA-ConnectorExport'!$A:$A,'EA-ConnectorExport'!G:G),
    _xlpm.result, _xlfn.XLOOKUP($A347,'EA-ConnectorExport'!$A:$A,'EA-ConnectorExport'!B:B),
    IF(_xlpm.status="allocate", _xlpm.result, "")
)</f>
        <v>Archive - 005OP-0000-009 OrePath</v>
      </c>
      <c r="R347" s="2" t="str">
        <f>IF(
    _xlfn.XLOOKUP($Q347,'EA-Fortescue_SDExport'!A:A,'EA-Fortescue_SDExport'!B:B)="Object",
    _xlfn.XLOOKUP(
        _xlfn.XLOOKUP($A347,'EA-ConnectorExport'!A:A,'EA-ConnectorExport'!D:D),
        'EA-Fortescue_SDExport'!A:A,
        'EA-Fortescue_SDExport'!AA:AA
    ),
    _xlfn.XLOOKUP($Q347,'EA-Fortescue_SDExport'!A:A,'EA-Fortescue_SDExport'!AA:AA)
)</f>
        <v>Project</v>
      </c>
      <c r="S347" s="2" t="str">
        <f>_xlfn.LET(_xlpm.result, _xlfn.XLOOKUP($Q347,'EA-Fortescue_SDExport'!$A:$A,'EA-Fortescue_SDExport'!AB:AB), IF(_xlpm.result=0,"",_xlpm.result))</f>
        <v/>
      </c>
      <c r="T347" s="2" t="str">
        <f>_xlfn.LET(_xlpm.result, _xlfn.XLOOKUP($Q347,'EA-Fortescue_SDExport'!$A:$A,'EA-Fortescue_SDExport'!AC:AC), IF(_xlpm.result=0,"",_xlpm.result))</f>
        <v/>
      </c>
      <c r="U347" s="2" t="str">
        <f>_xlfn.LET(
    _xlpm.isObject, _xlfn.XLOOKUP($Q347,'EA-Fortescue_SDExport'!A:A,'EA-Fortescue_SDExport'!B:B),
    _xlpm.lookupKey, IF(_xlpm.isObject="Object",
        _xlfn.XLOOKUP($A347,'EA-ConnectorExport'!A:A,'EA-ConnectorExport'!D:D),
        $Q347
    ),
    _xlpm.result, _xlfn.XLOOKUP(_xlpm.lookupKey,'EA-Fortescue_SDExport'!A:A,'EA-Fortescue_SDExport'!AD:AD),
    IF(_xlpm.result=0,"",_xlpm.result)
)</f>
        <v>005OP IT/OT Systems</v>
      </c>
      <c r="V347" s="2" t="str">
        <f>_xlfn.LET(
    _xlpm.isObject, _xlfn.XLOOKUP($Q347,'EA-Fortescue_SDExport'!A:A,'EA-Fortescue_SDExport'!B:B),
    _xlpm.lookupKey, IF(_xlpm.isObject="Object",
        _xlfn.XLOOKUP($A347,'EA-ConnectorExport'!A:A,'EA-ConnectorExport'!D:D),
        $Q347
    ),
    _xlpm.result, _xlfn.XLOOKUP(_xlpm.lookupKey,'EA-Fortescue_SDExport'!A:A,'EA-Fortescue_SDExport'!AE:AE),
    IF(_xlpm.result=0,"",_xlpm.result)
)</f>
        <v/>
      </c>
      <c r="W347" s="2" t="str">
        <f>_xlfn.LET(
    _xlpm.isObject, _xlfn.XLOOKUP($Q347,'EA-Fortescue_SDExport'!A:A,'EA-Fortescue_SDExport'!B:B),
    _xlpm.lookupKey, IF(_xlpm.isObject="Object",
        _xlfn.XLOOKUP($A347,'EA-ConnectorExport'!A:A,'EA-ConnectorExport'!D:D),
        $Q347
    ),
    _xlpm.result, _xlfn.XLOOKUP(_xlpm.lookupKey,'EA-Fortescue_SDExport'!A:A,'EA-Fortescue_SDExport'!AF:AF),
    IF(_xlpm.result=0,"",_xlpm.result)
)</f>
        <v>005OP-0000-009 OrePath</v>
      </c>
      <c r="X347" s="2" t="str">
        <f>_xlfn.LET(
    _xlpm.isObject, _xlfn.XLOOKUP($Q347,'EA-Fortescue_SDExport'!A:A,'EA-Fortescue_SDExport'!B:B),
    _xlpm.lookupKey, IF(_xlpm.isObject="Object",
        _xlfn.XLOOKUP($A347,'EA-ConnectorExport'!A:A,'EA-ConnectorExport'!D:D),
        $Q347
    ),
    _xlpm.result, _xlfn.XLOOKUP(_xlpm.lookupKey,'EA-Fortescue_SDExport'!A:A,'EA-Fortescue_SDExport'!AG:AG),
    IF(_xlpm.result=0,"",_xlpm.result)
)</f>
        <v/>
      </c>
      <c r="Y347" s="2" t="str">
        <f>_xlfn.LET(
    _xlpm.status, _xlfn.XLOOKUP($A347,'EA-ConnectorExport'!$A:$A,'EA-ConnectorExport'!G:G),
    _xlpm.result, _xlfn.XLOOKUP($A347,'EA-ConnectorExport'!$A:$A,'EA-ConnectorExport'!H:H),
    IF(_xlpm.status="allocate", _xlpm.result, "")
)</f>
        <v>855DC-1541-DEL Delphi</v>
      </c>
      <c r="Z347" s="2" t="str">
        <f>_xlfn.LET(
    _xlpm.isObject, _xlfn.XLOOKUP($Y347,'EA-Fortescue_SDExport'!A:A,'EA-Fortescue_SDExport'!B:B),
    _xlpm.lookupKey, IF(_xlpm.isObject="Object",
        _xlfn.XLOOKUP($A347,'EA-ConnectorExport'!A:A,'EA-ConnectorExport'!J:J),
        $Y347
    ),
    _xlpm.result, _xlfn.XLOOKUP(_xlpm.lookupKey,'EA-Fortescue_SDExport'!A:A,'EA-Fortescue_SDExport'!AA:AA),
    IF(_xlpm.result=0,"",_xlpm.result)
)</f>
        <v>Project</v>
      </c>
      <c r="AA347" s="2" t="str">
        <f>_xlfn.LET(_xlpm.result, _xlfn.XLOOKUP($Y347,'EA-Fortescue_SDExport'!$A:$A,'EA-Fortescue_SDExport'!AB:AB), IF(_xlpm.result=0,"",_xlpm.result))</f>
        <v>Energy Operations</v>
      </c>
      <c r="AB347" s="2" t="str">
        <f>_xlfn.LET(_xlpm.result, _xlfn.XLOOKUP($Y347,'EA-Fortescue_SDExport'!$A:$A,'EA-Fortescue_SDExport'!AC:AC), IF(_xlpm.result=0,"",_xlpm.result))</f>
        <v/>
      </c>
      <c r="AC347" s="2" t="str">
        <f>_xlfn.LET(
    _xlpm.isObject, _xlfn.XLOOKUP($Y347,'EA-Fortescue_SDExport'!A:A,'EA-Fortescue_SDExport'!B:B),
    _xlpm.lookupKey, IF(_xlpm.isObject="Object",
        _xlfn.XLOOKUP($A347,'EA-ConnectorExport'!A:A,'EA-ConnectorExport'!J:J),
        $Y347
    ),
    _xlpm.result, _xlfn.XLOOKUP(_xlpm.lookupKey,'EA-Fortescue_SDExport'!A:A,'EA-Fortescue_SDExport'!AD:AD),
    IF(_xlpm.result=0,"",_xlpm.result)
)</f>
        <v>855DC Decarb Green Systems</v>
      </c>
      <c r="AD347" s="2" t="str">
        <f>_xlfn.LET(
    _xlpm.isObject, _xlfn.XLOOKUP($Y347,'EA-Fortescue_SDExport'!A:A,'EA-Fortescue_SDExport'!B:B),
    _xlpm.lookupKey, IF(_xlpm.isObject="Object",
        _xlfn.XLOOKUP($A347,'EA-ConnectorExport'!A:A,'EA-ConnectorExport'!J:J),
        $Y347
    ),
    _xlpm.result, _xlfn.XLOOKUP(_xlpm.lookupKey,'EA-Fortescue_SDExport'!A:A,'EA-Fortescue_SDExport'!AE:AE),
    IF(_xlpm.result=0,"",_xlpm.result)
)</f>
        <v>855DC-1541 Planning and Forecast Systems</v>
      </c>
      <c r="AE347" s="2" t="str">
        <f>_xlfn.LET(
    _xlpm.isObject, _xlfn.XLOOKUP($Y347,'EA-Fortescue_SDExport'!A:A,'EA-Fortescue_SDExport'!B:B),
    _xlpm.lookupKey, IF(_xlpm.isObject="Object",
        _xlfn.XLOOKUP($A347,'EA-ConnectorExport'!A:A,'EA-ConnectorExport'!J:J),
        $Y347
    ),
    _xlpm.result, _xlfn.XLOOKUP(_xlpm.lookupKey,'EA-Fortescue_SDExport'!A:A,'EA-Fortescue_SDExport'!AF:AF),
    IF(_xlpm.result=0,"",_xlpm.result)
)</f>
        <v>855DC-1541-DEL Delphi</v>
      </c>
      <c r="AF347" s="2" t="str">
        <f>_xlfn.LET(
    _xlpm.isObject, _xlfn.XLOOKUP($Y347,'EA-Fortescue_SDExport'!A:A,'EA-Fortescue_SDExport'!B:B),
    _xlpm.lookupKey, IF(_xlpm.isObject="Object",
        _xlfn.XLOOKUP($A347,'EA-ConnectorExport'!A:A,'EA-ConnectorExport'!J:J),
        $Y347
    ),
    _xlpm.result, _xlfn.XLOOKUP(_xlpm.lookupKey,'EA-Fortescue_SDExport'!A:A,'EA-Fortescue_SDExport'!AG:AG),
    IF(_xlpm.result=0,"",_xlpm.result)
)</f>
        <v/>
      </c>
    </row>
    <row r="348" spans="1:32" ht="150" x14ac:dyDescent="0.25">
      <c r="A348" s="2" t="str">
        <v>DGS-I_0347</v>
      </c>
      <c r="B348" s="2" t="str">
        <f t="shared" si="20"/>
        <v>005OP-0000-006 Snowflake (General)|855DC-1541-ECL-001 Eclipse Planning</v>
      </c>
      <c r="C348" s="2" t="str">
        <f>_xlfn.LET(_xlpm.result, _xlfn.XLOOKUP(A348,'EA-Fortescue_SDExport'!A:A,'EA-Fortescue_SDExport'!AM:AM), IF(_xlpm.result=0,"",_xlpm.result))</f>
        <v/>
      </c>
      <c r="D348" s="2" t="str">
        <f>_xlfn.LET(_xlpm.result, _xlfn.XLOOKUP(A348,'EA-Fortescue_SDExport'!A:A,'EA-Fortescue_SDExport'!AN:AN), IF(_xlpm.result=0,"",_xlpm.result))</f>
        <v/>
      </c>
      <c r="E348" s="2" t="str">
        <f>_xlfn.XLOOKUP(R348&amp;Z348,Lookups!A:A,Lookups!B:B)</f>
        <v>Project - Subsystem Interface</v>
      </c>
      <c r="F348" s="2" t="str">
        <f>_xlfn.LET(_xlpm.result, _xlfn.XLOOKUP(A348,'EA-Fortescue_SDExport'!A:A,'EA-Fortescue_SDExport'!AP:AP), IF(_xlpm.result=0,"",_xlpm.result))</f>
        <v>Technical-Data/Software</v>
      </c>
      <c r="G348" s="2" t="str">
        <f>IF(OR(AND(T348&lt;&gt;"", COUNTIF(Lookups!J:J, "*"&amp;T348&amp;"*")&gt;0), AND(AB348&lt;&gt;"", COUNTIF(Lookups!J:J, "*"&amp;AB348&amp;"*")&gt;0)), "Yes", "No")</f>
        <v>No</v>
      </c>
      <c r="H348" s="2" t="str">
        <f t="shared" si="21"/>
        <v>005OP IT/OT Systems|855DC Decarb Green Systems</v>
      </c>
      <c r="I348" s="2" t="str">
        <f t="shared" si="22"/>
        <v>N/A|855DC-1541 Planning and Forecast Systems</v>
      </c>
      <c r="J348" s="2" t="str">
        <f t="shared" si="23"/>
        <v>005OP-0000-006 Snowflake (General)|855DC-1541-ECL Eclipse</v>
      </c>
      <c r="K348" s="2" t="str">
        <f>_xlfn.XLOOKUP(A348,'EA-Fortescue_SDExport'!A:A,'EA-Fortescue_SDExport'!N:N)</f>
        <v>Proposed</v>
      </c>
      <c r="L348" s="2" t="str">
        <f>_xlfn.LET(_xlpm.result, _xlfn.XLOOKUP($A348,'EA-Fortescue_SDExport'!$A:$A,'EA-Fortescue_SDExport'!AQ:AQ), IF(_xlpm.result=0,"",_xlpm.result))</f>
        <v>This interface supplies aggregated results warehoused in Snowflake, making them available for consumption by other applications and reporting users.</v>
      </c>
      <c r="M348" s="2" t="str">
        <f>_xlfn.LET(_xlpm.result, _xlfn.XLOOKUP($A348,'EA-Fortescue_SDExport'!$A:$A,'EA-Fortescue_SDExport'!AR:AR), IF(_xlpm.result=0,"",_xlpm.result))</f>
        <v>LOW</v>
      </c>
      <c r="N348" s="2" t="str">
        <f>_xlfn.LET(_xlpm.result, _xlfn.XLOOKUP($A348,'EA-Fortescue_SDExport'!$A:$A,'EA-Fortescue_SDExport'!AW:AW), IF(_xlpm.result=0,"",_xlpm.result))</f>
        <v>The criticality level is LOW because failure impacts the ability of external teams to perform secondary analysis but has no measurable immediate impact on planning or control functions.</v>
      </c>
      <c r="O348" s="2" t="str">
        <f>_xlfn.LET(_xlpm.result, _xlfn.XLOOKUP($A348,'EA-Fortescue_SDExport'!$A:$A,'EA-Fortescue_SDExport'!AV:AV), IF(_xlpm.result=0,"",_xlpm.result))</f>
        <v>Data Flow:_x000D_
005OP-0000-006 Snowflake (General) -&gt; 855DC-1541-ECL Eclipse. This interface supplies aggregated results warehoused in Snowflake, making them available for consumption by other applications and reporting users.</v>
      </c>
      <c r="P348" s="2" t="str">
        <f>_xlfn.LET(_xlpm.result, _xlfn.XLOOKUP($A348,'EA-Fortescue_SDExport'!$A:$A,'EA-Fortescue_SDExport'!D:D), IF(_xlpm.result=0,"",_xlpm.result))</f>
        <v/>
      </c>
      <c r="Q348" s="2" t="str">
        <f>_xlfn.LET(
    _xlpm.status, _xlfn.XLOOKUP($A348,'EA-ConnectorExport'!$A:$A,'EA-ConnectorExport'!G:G),
    _xlpm.result, _xlfn.XLOOKUP($A348,'EA-ConnectorExport'!$A:$A,'EA-ConnectorExport'!B:B),
    IF(_xlpm.status="allocate", _xlpm.result, "")
)</f>
        <v>005OP-0000-006 Snowflake (General)</v>
      </c>
      <c r="R348" s="2" t="str">
        <f>IF(
    _xlfn.XLOOKUP($Q348,'EA-Fortescue_SDExport'!A:A,'EA-Fortescue_SDExport'!B:B)="Object",
    _xlfn.XLOOKUP(
        _xlfn.XLOOKUP($A348,'EA-ConnectorExport'!A:A,'EA-ConnectorExport'!D:D),
        'EA-Fortescue_SDExport'!A:A,
        'EA-Fortescue_SDExport'!AA:AA
    ),
    _xlfn.XLOOKUP($Q348,'EA-Fortescue_SDExport'!A:A,'EA-Fortescue_SDExport'!AA:AA)
)</f>
        <v>Project</v>
      </c>
      <c r="S348" s="2" t="str">
        <f>_xlfn.LET(_xlpm.result, _xlfn.XLOOKUP($Q348,'EA-Fortescue_SDExport'!$A:$A,'EA-Fortescue_SDExport'!AB:AB), IF(_xlpm.result=0,"",_xlpm.result))</f>
        <v/>
      </c>
      <c r="T348" s="2" t="str">
        <f>_xlfn.LET(_xlpm.result, _xlfn.XLOOKUP($Q348,'EA-Fortescue_SDExport'!$A:$A,'EA-Fortescue_SDExport'!AC:AC), IF(_xlpm.result=0,"",_xlpm.result))</f>
        <v/>
      </c>
      <c r="U348" s="2" t="str">
        <f>_xlfn.LET(
    _xlpm.isObject, _xlfn.XLOOKUP($Q348,'EA-Fortescue_SDExport'!A:A,'EA-Fortescue_SDExport'!B:B),
    _xlpm.lookupKey, IF(_xlpm.isObject="Object",
        _xlfn.XLOOKUP($A348,'EA-ConnectorExport'!A:A,'EA-ConnectorExport'!D:D),
        $Q348
    ),
    _xlpm.result, _xlfn.XLOOKUP(_xlpm.lookupKey,'EA-Fortescue_SDExport'!A:A,'EA-Fortescue_SDExport'!AD:AD),
    IF(_xlpm.result=0,"",_xlpm.result)
)</f>
        <v>005OP IT/OT Systems</v>
      </c>
      <c r="V348" s="2" t="str">
        <f>_xlfn.LET(
    _xlpm.isObject, _xlfn.XLOOKUP($Q348,'EA-Fortescue_SDExport'!A:A,'EA-Fortescue_SDExport'!B:B),
    _xlpm.lookupKey, IF(_xlpm.isObject="Object",
        _xlfn.XLOOKUP($A348,'EA-ConnectorExport'!A:A,'EA-ConnectorExport'!D:D),
        $Q348
    ),
    _xlpm.result, _xlfn.XLOOKUP(_xlpm.lookupKey,'EA-Fortescue_SDExport'!A:A,'EA-Fortescue_SDExport'!AE:AE),
    IF(_xlpm.result=0,"",_xlpm.result)
)</f>
        <v/>
      </c>
      <c r="W348" s="2" t="str">
        <f>_xlfn.LET(
    _xlpm.isObject, _xlfn.XLOOKUP($Q348,'EA-Fortescue_SDExport'!A:A,'EA-Fortescue_SDExport'!B:B),
    _xlpm.lookupKey, IF(_xlpm.isObject="Object",
        _xlfn.XLOOKUP($A348,'EA-ConnectorExport'!A:A,'EA-ConnectorExport'!D:D),
        $Q348
    ),
    _xlpm.result, _xlfn.XLOOKUP(_xlpm.lookupKey,'EA-Fortescue_SDExport'!A:A,'EA-Fortescue_SDExport'!AF:AF),
    IF(_xlpm.result=0,"",_xlpm.result)
)</f>
        <v>005OP-0000-006 Snowflake (General)</v>
      </c>
      <c r="X348" s="2" t="str">
        <f>_xlfn.LET(
    _xlpm.isObject, _xlfn.XLOOKUP($Q348,'EA-Fortescue_SDExport'!A:A,'EA-Fortescue_SDExport'!B:B),
    _xlpm.lookupKey, IF(_xlpm.isObject="Object",
        _xlfn.XLOOKUP($A348,'EA-ConnectorExport'!A:A,'EA-ConnectorExport'!D:D),
        $Q348
    ),
    _xlpm.result, _xlfn.XLOOKUP(_xlpm.lookupKey,'EA-Fortescue_SDExport'!A:A,'EA-Fortescue_SDExport'!AG:AG),
    IF(_xlpm.result=0,"",_xlpm.result)
)</f>
        <v/>
      </c>
      <c r="Y348" s="2" t="str">
        <f>_xlfn.LET(
    _xlpm.status, _xlfn.XLOOKUP($A348,'EA-ConnectorExport'!$A:$A,'EA-ConnectorExport'!G:G),
    _xlpm.result, _xlfn.XLOOKUP($A348,'EA-ConnectorExport'!$A:$A,'EA-ConnectorExport'!H:H),
    IF(_xlpm.status="allocate", _xlpm.result, "")
)</f>
        <v>855DC-1541-ECL-001 Eclipse Planning</v>
      </c>
      <c r="Z348" s="2" t="str">
        <f>_xlfn.LET(
    _xlpm.isObject, _xlfn.XLOOKUP($Y348,'EA-Fortescue_SDExport'!A:A,'EA-Fortescue_SDExport'!B:B),
    _xlpm.lookupKey, IF(_xlpm.isObject="Object",
        _xlfn.XLOOKUP($A348,'EA-ConnectorExport'!A:A,'EA-ConnectorExport'!J:J),
        $Y348
    ),
    _xlpm.result, _xlfn.XLOOKUP(_xlpm.lookupKey,'EA-Fortescue_SDExport'!A:A,'EA-Fortescue_SDExport'!AA:AA),
    IF(_xlpm.result=0,"",_xlpm.result)
)</f>
        <v>Subsystem</v>
      </c>
      <c r="AA348" s="2" t="str">
        <f>_xlfn.LET(_xlpm.result, _xlfn.XLOOKUP($Y348,'EA-Fortescue_SDExport'!$A:$A,'EA-Fortescue_SDExport'!AB:AB), IF(_xlpm.result=0,"",_xlpm.result))</f>
        <v/>
      </c>
      <c r="AB348" s="2" t="str">
        <f>_xlfn.LET(_xlpm.result, _xlfn.XLOOKUP($Y348,'EA-Fortescue_SDExport'!$A:$A,'EA-Fortescue_SDExport'!AC:AC), IF(_xlpm.result=0,"",_xlpm.result))</f>
        <v/>
      </c>
      <c r="AC348" s="2" t="str">
        <f>_xlfn.LET(
    _xlpm.isObject, _xlfn.XLOOKUP($Y348,'EA-Fortescue_SDExport'!A:A,'EA-Fortescue_SDExport'!B:B),
    _xlpm.lookupKey, IF(_xlpm.isObject="Object",
        _xlfn.XLOOKUP($A348,'EA-ConnectorExport'!A:A,'EA-ConnectorExport'!J:J),
        $Y348
    ),
    _xlpm.result, _xlfn.XLOOKUP(_xlpm.lookupKey,'EA-Fortescue_SDExport'!A:A,'EA-Fortescue_SDExport'!AD:AD),
    IF(_xlpm.result=0,"",_xlpm.result)
)</f>
        <v>855DC Decarb Green Systems</v>
      </c>
      <c r="AD348" s="2" t="str">
        <f>_xlfn.LET(
    _xlpm.isObject, _xlfn.XLOOKUP($Y348,'EA-Fortescue_SDExport'!A:A,'EA-Fortescue_SDExport'!B:B),
    _xlpm.lookupKey, IF(_xlpm.isObject="Object",
        _xlfn.XLOOKUP($A348,'EA-ConnectorExport'!A:A,'EA-ConnectorExport'!J:J),
        $Y348
    ),
    _xlpm.result, _xlfn.XLOOKUP(_xlpm.lookupKey,'EA-Fortescue_SDExport'!A:A,'EA-Fortescue_SDExport'!AE:AE),
    IF(_xlpm.result=0,"",_xlpm.result)
)</f>
        <v>855DC-1541 Planning and Forecast Systems</v>
      </c>
      <c r="AE348" s="2" t="str">
        <f>_xlfn.LET(
    _xlpm.isObject, _xlfn.XLOOKUP($Y348,'EA-Fortescue_SDExport'!A:A,'EA-Fortescue_SDExport'!B:B),
    _xlpm.lookupKey, IF(_xlpm.isObject="Object",
        _xlfn.XLOOKUP($A348,'EA-ConnectorExport'!A:A,'EA-ConnectorExport'!J:J),
        $Y348
    ),
    _xlpm.result, _xlfn.XLOOKUP(_xlpm.lookupKey,'EA-Fortescue_SDExport'!A:A,'EA-Fortescue_SDExport'!AF:AF),
    IF(_xlpm.result=0,"",_xlpm.result)
)</f>
        <v>855DC-1541-ECL Eclipse</v>
      </c>
      <c r="AF348" s="2" t="str">
        <f>_xlfn.LET(
    _xlpm.isObject, _xlfn.XLOOKUP($Y348,'EA-Fortescue_SDExport'!A:A,'EA-Fortescue_SDExport'!B:B),
    _xlpm.lookupKey, IF(_xlpm.isObject="Object",
        _xlfn.XLOOKUP($A348,'EA-ConnectorExport'!A:A,'EA-ConnectorExport'!J:J),
        $Y348
    ),
    _xlpm.result, _xlfn.XLOOKUP(_xlpm.lookupKey,'EA-Fortescue_SDExport'!A:A,'EA-Fortescue_SDExport'!AG:AG),
    IF(_xlpm.result=0,"",_xlpm.result)
)</f>
        <v>855DC-1541-ECL-001 Eclipse Planning</v>
      </c>
    </row>
    <row r="349" spans="1:32" ht="210" x14ac:dyDescent="0.25">
      <c r="A349" s="2" t="str">
        <v>DGS-I_0348</v>
      </c>
      <c r="B349" s="2" t="str">
        <f t="shared" si="20"/>
        <v>005OP-0000-010 10YP &amp; LOM Tool|855DC-1541-ECL-001 Eclipse Planning</v>
      </c>
      <c r="C349" s="2" t="str">
        <f>_xlfn.LET(_xlpm.result, _xlfn.XLOOKUP(A349,'EA-Fortescue_SDExport'!A:A,'EA-Fortescue_SDExport'!AM:AM), IF(_xlpm.result=0,"",_xlpm.result))</f>
        <v/>
      </c>
      <c r="D349" s="2" t="str">
        <f>_xlfn.LET(_xlpm.result, _xlfn.XLOOKUP(A349,'EA-Fortescue_SDExport'!A:A,'EA-Fortescue_SDExport'!AN:AN), IF(_xlpm.result=0,"",_xlpm.result))</f>
        <v/>
      </c>
      <c r="E349" s="2" t="str">
        <f>_xlfn.XLOOKUP(R349&amp;Z349,Lookups!A:A,Lookups!B:B)</f>
        <v>Project - Subsystem Interface</v>
      </c>
      <c r="F349" s="2" t="str">
        <f>_xlfn.LET(_xlpm.result, _xlfn.XLOOKUP(A349,'EA-Fortescue_SDExport'!A:A,'EA-Fortescue_SDExport'!AP:AP), IF(_xlpm.result=0,"",_xlpm.result))</f>
        <v>Technical-Data/Software</v>
      </c>
      <c r="G349" s="2" t="str">
        <f>IF(OR(AND(T349&lt;&gt;"", COUNTIF(Lookups!J:J, "*"&amp;T349&amp;"*")&gt;0), AND(AB349&lt;&gt;"", COUNTIF(Lookups!J:J, "*"&amp;AB349&amp;"*")&gt;0)), "Yes", "No")</f>
        <v>No</v>
      </c>
      <c r="H349" s="2" t="str">
        <f t="shared" si="21"/>
        <v>005OP IT/OT Systems|855DC Decarb Green Systems</v>
      </c>
      <c r="I349" s="2" t="str">
        <f t="shared" si="22"/>
        <v>N/A|855DC-1541 Planning and Forecast Systems</v>
      </c>
      <c r="J349" s="2" t="str">
        <f t="shared" si="23"/>
        <v>005OP-0000-010 10YP &amp; LOM Tool|855DC-1541-ECL Eclipse</v>
      </c>
      <c r="K349" s="2" t="str">
        <f>_xlfn.XLOOKUP(A349,'EA-Fortescue_SDExport'!A:A,'EA-Fortescue_SDExport'!N:N)</f>
        <v>Proposed</v>
      </c>
      <c r="L349" s="2" t="str">
        <f>_xlfn.LET(_xlpm.result, _xlfn.XLOOKUP($A349,'EA-Fortescue_SDExport'!$A:$A,'EA-Fortescue_SDExport'!AQ:AQ), IF(_xlpm.result=0,"",_xlpm.result))</f>
        <v>This interface sources the 10-Year long-term mine plan from a local file when running the long-term horizon scenario.</v>
      </c>
      <c r="M349" s="2" t="str">
        <f>_xlfn.LET(_xlpm.result, _xlfn.XLOOKUP($A349,'EA-Fortescue_SDExport'!$A:$A,'EA-Fortescue_SDExport'!AR:AR), IF(_xlpm.result=0,"",_xlpm.result))</f>
        <v>MEDIUM</v>
      </c>
      <c r="N349" s="2" t="str">
        <f>_xlfn.LET(_xlpm.result, _xlfn.XLOOKUP($A349,'EA-Fortescue_SDExport'!$A:$A,'EA-Fortescue_SDExport'!AW:AW), IF(_xlpm.result=0,"",_xlpm.result))</f>
        <v>The criticality level is MEDIUM because its failure primarily impacts strategic studies, not the immediate reliability of the system, forcing planners to use outdated data. While serious for long-term strategic planning, failure does not immediately risk a major safety incident.</v>
      </c>
      <c r="O349" s="2" t="str">
        <f>_xlfn.LET(_xlpm.result, _xlfn.XLOOKUP($A349,'EA-Fortescue_SDExport'!$A:$A,'EA-Fortescue_SDExport'!AV:AV), IF(_xlpm.result=0,"",_xlpm.result))</f>
        <v>Data Flow: 10YP &amp; LOM Tool -&gt; Planning and Forecast Systems (ECL Eclipse) (10-year mine plan data, production forecasts, resource schedules, long-term haulage volumes, strategic assumptions) sourced from local files for long-horizon scenario modelling.</v>
      </c>
      <c r="P349" s="2" t="str">
        <f>_xlfn.LET(_xlpm.result, _xlfn.XLOOKUP($A349,'EA-Fortescue_SDExport'!$A:$A,'EA-Fortescue_SDExport'!D:D), IF(_xlpm.result=0,"",_xlpm.result))</f>
        <v/>
      </c>
      <c r="Q349" s="2" t="str">
        <f>_xlfn.LET(
    _xlpm.status, _xlfn.XLOOKUP($A349,'EA-ConnectorExport'!$A:$A,'EA-ConnectorExport'!G:G),
    _xlpm.result, _xlfn.XLOOKUP($A349,'EA-ConnectorExport'!$A:$A,'EA-ConnectorExport'!B:B),
    IF(_xlpm.status="allocate", _xlpm.result, "")
)</f>
        <v>005OP-0000-010 10YP &amp; LOM Tool</v>
      </c>
      <c r="R349" s="2" t="str">
        <f>IF(
    _xlfn.XLOOKUP($Q349,'EA-Fortescue_SDExport'!A:A,'EA-Fortescue_SDExport'!B:B)="Object",
    _xlfn.XLOOKUP(
        _xlfn.XLOOKUP($A349,'EA-ConnectorExport'!A:A,'EA-ConnectorExport'!D:D),
        'EA-Fortescue_SDExport'!A:A,
        'EA-Fortescue_SDExport'!AA:AA
    ),
    _xlfn.XLOOKUP($Q349,'EA-Fortescue_SDExport'!A:A,'EA-Fortescue_SDExport'!AA:AA)
)</f>
        <v>Project</v>
      </c>
      <c r="S349" s="2" t="str">
        <f>_xlfn.LET(_xlpm.result, _xlfn.XLOOKUP($Q349,'EA-Fortescue_SDExport'!$A:$A,'EA-Fortescue_SDExport'!AB:AB), IF(_xlpm.result=0,"",_xlpm.result))</f>
        <v/>
      </c>
      <c r="T349" s="2" t="str">
        <f>_xlfn.LET(_xlpm.result, _xlfn.XLOOKUP($Q349,'EA-Fortescue_SDExport'!$A:$A,'EA-Fortescue_SDExport'!AC:AC), IF(_xlpm.result=0,"",_xlpm.result))</f>
        <v/>
      </c>
      <c r="U349" s="2" t="str">
        <f>_xlfn.LET(
    _xlpm.isObject, _xlfn.XLOOKUP($Q349,'EA-Fortescue_SDExport'!A:A,'EA-Fortescue_SDExport'!B:B),
    _xlpm.lookupKey, IF(_xlpm.isObject="Object",
        _xlfn.XLOOKUP($A349,'EA-ConnectorExport'!A:A,'EA-ConnectorExport'!D:D),
        $Q349
    ),
    _xlpm.result, _xlfn.XLOOKUP(_xlpm.lookupKey,'EA-Fortescue_SDExport'!A:A,'EA-Fortescue_SDExport'!AD:AD),
    IF(_xlpm.result=0,"",_xlpm.result)
)</f>
        <v>005OP IT/OT Systems</v>
      </c>
      <c r="V349" s="2" t="str">
        <f>_xlfn.LET(
    _xlpm.isObject, _xlfn.XLOOKUP($Q349,'EA-Fortescue_SDExport'!A:A,'EA-Fortescue_SDExport'!B:B),
    _xlpm.lookupKey, IF(_xlpm.isObject="Object",
        _xlfn.XLOOKUP($A349,'EA-ConnectorExport'!A:A,'EA-ConnectorExport'!D:D),
        $Q349
    ),
    _xlpm.result, _xlfn.XLOOKUP(_xlpm.lookupKey,'EA-Fortescue_SDExport'!A:A,'EA-Fortescue_SDExport'!AE:AE),
    IF(_xlpm.result=0,"",_xlpm.result)
)</f>
        <v/>
      </c>
      <c r="W349" s="2" t="str">
        <f>_xlfn.LET(
    _xlpm.isObject, _xlfn.XLOOKUP($Q349,'EA-Fortescue_SDExport'!A:A,'EA-Fortescue_SDExport'!B:B),
    _xlpm.lookupKey, IF(_xlpm.isObject="Object",
        _xlfn.XLOOKUP($A349,'EA-ConnectorExport'!A:A,'EA-ConnectorExport'!D:D),
        $Q349
    ),
    _xlpm.result, _xlfn.XLOOKUP(_xlpm.lookupKey,'EA-Fortescue_SDExport'!A:A,'EA-Fortescue_SDExport'!AF:AF),
    IF(_xlpm.result=0,"",_xlpm.result)
)</f>
        <v>005OP-0000-010 10YP &amp; LOM Tool</v>
      </c>
      <c r="X349" s="2" t="str">
        <f>_xlfn.LET(
    _xlpm.isObject, _xlfn.XLOOKUP($Q349,'EA-Fortescue_SDExport'!A:A,'EA-Fortescue_SDExport'!B:B),
    _xlpm.lookupKey, IF(_xlpm.isObject="Object",
        _xlfn.XLOOKUP($A349,'EA-ConnectorExport'!A:A,'EA-ConnectorExport'!D:D),
        $Q349
    ),
    _xlpm.result, _xlfn.XLOOKUP(_xlpm.lookupKey,'EA-Fortescue_SDExport'!A:A,'EA-Fortescue_SDExport'!AG:AG),
    IF(_xlpm.result=0,"",_xlpm.result)
)</f>
        <v/>
      </c>
      <c r="Y349" s="2" t="str">
        <f>_xlfn.LET(
    _xlpm.status, _xlfn.XLOOKUP($A349,'EA-ConnectorExport'!$A:$A,'EA-ConnectorExport'!G:G),
    _xlpm.result, _xlfn.XLOOKUP($A349,'EA-ConnectorExport'!$A:$A,'EA-ConnectorExport'!H:H),
    IF(_xlpm.status="allocate", _xlpm.result, "")
)</f>
        <v>855DC-1541-ECL-001 Eclipse Planning</v>
      </c>
      <c r="Z349" s="2" t="str">
        <f>_xlfn.LET(
    _xlpm.isObject, _xlfn.XLOOKUP($Y349,'EA-Fortescue_SDExport'!A:A,'EA-Fortescue_SDExport'!B:B),
    _xlpm.lookupKey, IF(_xlpm.isObject="Object",
        _xlfn.XLOOKUP($A349,'EA-ConnectorExport'!A:A,'EA-ConnectorExport'!J:J),
        $Y349
    ),
    _xlpm.result, _xlfn.XLOOKUP(_xlpm.lookupKey,'EA-Fortescue_SDExport'!A:A,'EA-Fortescue_SDExport'!AA:AA),
    IF(_xlpm.result=0,"",_xlpm.result)
)</f>
        <v>Subsystem</v>
      </c>
      <c r="AA349" s="2" t="str">
        <f>_xlfn.LET(_xlpm.result, _xlfn.XLOOKUP($Y349,'EA-Fortescue_SDExport'!$A:$A,'EA-Fortescue_SDExport'!AB:AB), IF(_xlpm.result=0,"",_xlpm.result))</f>
        <v/>
      </c>
      <c r="AB349" s="2" t="str">
        <f>_xlfn.LET(_xlpm.result, _xlfn.XLOOKUP($Y349,'EA-Fortescue_SDExport'!$A:$A,'EA-Fortescue_SDExport'!AC:AC), IF(_xlpm.result=0,"",_xlpm.result))</f>
        <v/>
      </c>
      <c r="AC349" s="2" t="str">
        <f>_xlfn.LET(
    _xlpm.isObject, _xlfn.XLOOKUP($Y349,'EA-Fortescue_SDExport'!A:A,'EA-Fortescue_SDExport'!B:B),
    _xlpm.lookupKey, IF(_xlpm.isObject="Object",
        _xlfn.XLOOKUP($A349,'EA-ConnectorExport'!A:A,'EA-ConnectorExport'!J:J),
        $Y349
    ),
    _xlpm.result, _xlfn.XLOOKUP(_xlpm.lookupKey,'EA-Fortescue_SDExport'!A:A,'EA-Fortescue_SDExport'!AD:AD),
    IF(_xlpm.result=0,"",_xlpm.result)
)</f>
        <v>855DC Decarb Green Systems</v>
      </c>
      <c r="AD349" s="2" t="str">
        <f>_xlfn.LET(
    _xlpm.isObject, _xlfn.XLOOKUP($Y349,'EA-Fortescue_SDExport'!A:A,'EA-Fortescue_SDExport'!B:B),
    _xlpm.lookupKey, IF(_xlpm.isObject="Object",
        _xlfn.XLOOKUP($A349,'EA-ConnectorExport'!A:A,'EA-ConnectorExport'!J:J),
        $Y349
    ),
    _xlpm.result, _xlfn.XLOOKUP(_xlpm.lookupKey,'EA-Fortescue_SDExport'!A:A,'EA-Fortescue_SDExport'!AE:AE),
    IF(_xlpm.result=0,"",_xlpm.result)
)</f>
        <v>855DC-1541 Planning and Forecast Systems</v>
      </c>
      <c r="AE349" s="2" t="str">
        <f>_xlfn.LET(
    _xlpm.isObject, _xlfn.XLOOKUP($Y349,'EA-Fortescue_SDExport'!A:A,'EA-Fortescue_SDExport'!B:B),
    _xlpm.lookupKey, IF(_xlpm.isObject="Object",
        _xlfn.XLOOKUP($A349,'EA-ConnectorExport'!A:A,'EA-ConnectorExport'!J:J),
        $Y349
    ),
    _xlpm.result, _xlfn.XLOOKUP(_xlpm.lookupKey,'EA-Fortescue_SDExport'!A:A,'EA-Fortescue_SDExport'!AF:AF),
    IF(_xlpm.result=0,"",_xlpm.result)
)</f>
        <v>855DC-1541-ECL Eclipse</v>
      </c>
      <c r="AF349" s="2" t="str">
        <f>_xlfn.LET(
    _xlpm.isObject, _xlfn.XLOOKUP($Y349,'EA-Fortescue_SDExport'!A:A,'EA-Fortescue_SDExport'!B:B),
    _xlpm.lookupKey, IF(_xlpm.isObject="Object",
        _xlfn.XLOOKUP($A349,'EA-ConnectorExport'!A:A,'EA-ConnectorExport'!J:J),
        $Y349
    ),
    _xlpm.result, _xlfn.XLOOKUP(_xlpm.lookupKey,'EA-Fortescue_SDExport'!A:A,'EA-Fortescue_SDExport'!AG:AG),
    IF(_xlpm.result=0,"",_xlpm.result)
)</f>
        <v>855DC-1541-ECL-001 Eclipse Planning</v>
      </c>
    </row>
    <row r="350" spans="1:32" ht="255" x14ac:dyDescent="0.25">
      <c r="A350" s="2" t="str">
        <v>DGS-I_0349</v>
      </c>
      <c r="B350" s="2" t="str">
        <f t="shared" si="20"/>
        <v>005OP-0000-005-001 Weather data|855DC-1541-ECL-001 Eclipse Planning</v>
      </c>
      <c r="C350" s="2" t="str">
        <f>_xlfn.LET(_xlpm.result, _xlfn.XLOOKUP(A350,'EA-Fortescue_SDExport'!A:A,'EA-Fortescue_SDExport'!AM:AM), IF(_xlpm.result=0,"",_xlpm.result))</f>
        <v/>
      </c>
      <c r="D350" s="2" t="str">
        <f>_xlfn.LET(_xlpm.result, _xlfn.XLOOKUP(A350,'EA-Fortescue_SDExport'!A:A,'EA-Fortescue_SDExport'!AN:AN), IF(_xlpm.result=0,"",_xlpm.result))</f>
        <v/>
      </c>
      <c r="E350" s="2" t="str">
        <f>_xlfn.XLOOKUP(R350&amp;Z350,Lookups!A:A,Lookups!B:B)</f>
        <v>Subsystem - Subsystem Interface</v>
      </c>
      <c r="F350" s="2" t="str">
        <f>_xlfn.LET(_xlpm.result, _xlfn.XLOOKUP(A350,'EA-Fortescue_SDExport'!A:A,'EA-Fortescue_SDExport'!AP:AP), IF(_xlpm.result=0,"",_xlpm.result))</f>
        <v>Technical-Data/Software</v>
      </c>
      <c r="G350" s="2" t="str">
        <f>IF(OR(AND(T350&lt;&gt;"", COUNTIF(Lookups!J:J, "*"&amp;T350&amp;"*")&gt;0), AND(AB350&lt;&gt;"", COUNTIF(Lookups!J:J, "*"&amp;AB350&amp;"*")&gt;0)), "Yes", "No")</f>
        <v>No</v>
      </c>
      <c r="H350" s="2" t="str">
        <f t="shared" si="21"/>
        <v>005OP IT/OT Systems|855DC Decarb Green Systems</v>
      </c>
      <c r="I350" s="2" t="str">
        <f t="shared" si="22"/>
        <v>N/A|855DC-1541 Planning and Forecast Systems</v>
      </c>
      <c r="J350" s="2" t="str">
        <f t="shared" si="23"/>
        <v>005OP-0000-005 Weather Forecasting|855DC-1541-ECL Eclipse</v>
      </c>
      <c r="K350" s="2" t="str">
        <f>_xlfn.XLOOKUP(A350,'EA-Fortescue_SDExport'!A:A,'EA-Fortescue_SDExport'!N:N)</f>
        <v>Proposed</v>
      </c>
      <c r="L350" s="2" t="str">
        <f>_xlfn.LET(_xlpm.result, _xlfn.XLOOKUP($A350,'EA-Fortescue_SDExport'!$A:$A,'EA-Fortescue_SDExport'!AQ:AQ), IF(_xlpm.result=0,"",_xlpm.result))</f>
        <v>This interface sources synthesised weather data (wind, solar) as capacity factors (CFs). This time-series data is used to generate the hourly renewable generation profiles for Sienna.</v>
      </c>
      <c r="M350" s="2" t="str">
        <f>_xlfn.LET(_xlpm.result, _xlfn.XLOOKUP($A350,'EA-Fortescue_SDExport'!$A:$A,'EA-Fortescue_SDExport'!AR:AR), IF(_xlpm.result=0,"",_xlpm.result))</f>
        <v>HIGH</v>
      </c>
      <c r="N350" s="2" t="str">
        <f>_xlfn.LET(_xlpm.result, _xlfn.XLOOKUP($A350,'EA-Fortescue_SDExport'!$A:$A,'EA-Fortescue_SDExport'!AW:AW), IF(_xlpm.result=0,"",_xlpm.result))</f>
        <v>This interface is rated HIGH because weather-derived capacity factors form the foundational input for renewable generation modelling. Loss, delay, or inaccuracy in this data prevents the optimisation model from correctly representing renewable variability and uncertainty. This undermines dispatch planning, reserve calculations, and curtailment strategies, increasing the risk of instability, inefficient generation decisions, and potential safety impacts arising from misaligned supply-demand forecasts.</v>
      </c>
      <c r="O350" s="2" t="str">
        <f>_xlfn.LET(_xlpm.result, _xlfn.XLOOKUP($A350,'EA-Fortescue_SDExport'!$A:$A,'EA-Fortescue_SDExport'!AV:AV), IF(_xlpm.result=0,"",_xlpm.result))</f>
        <v>Data Flow:_x000D_
Weather Forecasting System (005OP-0000-005) -&gt; Eclipse (855DC-1541-ECL), transmitting synthesised time-series weather data including wind speed, solar irradiance, temperature, and derived capacity factors (CFs)._x000D_
These datasets are used to generate hourly renewable generation profiles (e.g. wind and solar) for optimisation modelling, dispatch simulation, and scenario analysis within Eclipse._x000D_
Control / Query Flow:_x000D_
Eclipse -&gt; Weather Data Source (read/query only), retrieving validated forecast and historical weather datasets for model execution. No operational control commands are issued through this interface.</v>
      </c>
      <c r="P350" s="2" t="str">
        <f>_xlfn.LET(_xlpm.result, _xlfn.XLOOKUP($A350,'EA-Fortescue_SDExport'!$A:$A,'EA-Fortescue_SDExport'!D:D), IF(_xlpm.result=0,"",_xlpm.result))</f>
        <v>NH 20/02/2026: Fields updated: Interface Criticality Explanation, Interface Flow.</v>
      </c>
      <c r="Q350" s="2" t="str">
        <f>_xlfn.LET(
    _xlpm.status, _xlfn.XLOOKUP($A350,'EA-ConnectorExport'!$A:$A,'EA-ConnectorExport'!G:G),
    _xlpm.result, _xlfn.XLOOKUP($A350,'EA-ConnectorExport'!$A:$A,'EA-ConnectorExport'!B:B),
    IF(_xlpm.status="allocate", _xlpm.result, "")
)</f>
        <v>005OP-0000-005-001 Weather data</v>
      </c>
      <c r="R350" s="2" t="str">
        <f>IF(
    _xlfn.XLOOKUP($Q350,'EA-Fortescue_SDExport'!A:A,'EA-Fortescue_SDExport'!B:B)="Object",
    _xlfn.XLOOKUP(
        _xlfn.XLOOKUP($A350,'EA-ConnectorExport'!A:A,'EA-ConnectorExport'!D:D),
        'EA-Fortescue_SDExport'!A:A,
        'EA-Fortescue_SDExport'!AA:AA
    ),
    _xlfn.XLOOKUP($Q350,'EA-Fortescue_SDExport'!A:A,'EA-Fortescue_SDExport'!AA:AA)
)</f>
        <v>Subsystem</v>
      </c>
      <c r="S350" s="2" t="str">
        <f>_xlfn.LET(_xlpm.result, _xlfn.XLOOKUP($Q350,'EA-Fortescue_SDExport'!$A:$A,'EA-Fortescue_SDExport'!AB:AB), IF(_xlpm.result=0,"",_xlpm.result))</f>
        <v/>
      </c>
      <c r="T350" s="2" t="str">
        <f>_xlfn.LET(_xlpm.result, _xlfn.XLOOKUP($Q350,'EA-Fortescue_SDExport'!$A:$A,'EA-Fortescue_SDExport'!AC:AC), IF(_xlpm.result=0,"",_xlpm.result))</f>
        <v/>
      </c>
      <c r="U350" s="2" t="str">
        <f>_xlfn.LET(
    _xlpm.isObject, _xlfn.XLOOKUP($Q350,'EA-Fortescue_SDExport'!A:A,'EA-Fortescue_SDExport'!B:B),
    _xlpm.lookupKey, IF(_xlpm.isObject="Object",
        _xlfn.XLOOKUP($A350,'EA-ConnectorExport'!A:A,'EA-ConnectorExport'!D:D),
        $Q350
    ),
    _xlpm.result, _xlfn.XLOOKUP(_xlpm.lookupKey,'EA-Fortescue_SDExport'!A:A,'EA-Fortescue_SDExport'!AD:AD),
    IF(_xlpm.result=0,"",_xlpm.result)
)</f>
        <v>005OP IT/OT Systems</v>
      </c>
      <c r="V350" s="2" t="str">
        <f>_xlfn.LET(
    _xlpm.isObject, _xlfn.XLOOKUP($Q350,'EA-Fortescue_SDExport'!A:A,'EA-Fortescue_SDExport'!B:B),
    _xlpm.lookupKey, IF(_xlpm.isObject="Object",
        _xlfn.XLOOKUP($A350,'EA-ConnectorExport'!A:A,'EA-ConnectorExport'!D:D),
        $Q350
    ),
    _xlpm.result, _xlfn.XLOOKUP(_xlpm.lookupKey,'EA-Fortescue_SDExport'!A:A,'EA-Fortescue_SDExport'!AE:AE),
    IF(_xlpm.result=0,"",_xlpm.result)
)</f>
        <v/>
      </c>
      <c r="W350" s="2" t="str">
        <f>_xlfn.LET(
    _xlpm.isObject, _xlfn.XLOOKUP($Q350,'EA-Fortescue_SDExport'!A:A,'EA-Fortescue_SDExport'!B:B),
    _xlpm.lookupKey, IF(_xlpm.isObject="Object",
        _xlfn.XLOOKUP($A350,'EA-ConnectorExport'!A:A,'EA-ConnectorExport'!D:D),
        $Q350
    ),
    _xlpm.result, _xlfn.XLOOKUP(_xlpm.lookupKey,'EA-Fortescue_SDExport'!A:A,'EA-Fortescue_SDExport'!AF:AF),
    IF(_xlpm.result=0,"",_xlpm.result)
)</f>
        <v>005OP-0000-005 Weather Forecasting</v>
      </c>
      <c r="X350" s="2" t="str">
        <f>_xlfn.LET(
    _xlpm.isObject, _xlfn.XLOOKUP($Q350,'EA-Fortescue_SDExport'!A:A,'EA-Fortescue_SDExport'!B:B),
    _xlpm.lookupKey, IF(_xlpm.isObject="Object",
        _xlfn.XLOOKUP($A350,'EA-ConnectorExport'!A:A,'EA-ConnectorExport'!D:D),
        $Q350
    ),
    _xlpm.result, _xlfn.XLOOKUP(_xlpm.lookupKey,'EA-Fortescue_SDExport'!A:A,'EA-Fortescue_SDExport'!AG:AG),
    IF(_xlpm.result=0,"",_xlpm.result)
)</f>
        <v>005OP-0000-005-001 Weather data</v>
      </c>
      <c r="Y350" s="2" t="str">
        <f>_xlfn.LET(
    _xlpm.status, _xlfn.XLOOKUP($A350,'EA-ConnectorExport'!$A:$A,'EA-ConnectorExport'!G:G),
    _xlpm.result, _xlfn.XLOOKUP($A350,'EA-ConnectorExport'!$A:$A,'EA-ConnectorExport'!H:H),
    IF(_xlpm.status="allocate", _xlpm.result, "")
)</f>
        <v>855DC-1541-ECL-001 Eclipse Planning</v>
      </c>
      <c r="Z350" s="2" t="str">
        <f>_xlfn.LET(
    _xlpm.isObject, _xlfn.XLOOKUP($Y350,'EA-Fortescue_SDExport'!A:A,'EA-Fortescue_SDExport'!B:B),
    _xlpm.lookupKey, IF(_xlpm.isObject="Object",
        _xlfn.XLOOKUP($A350,'EA-ConnectorExport'!A:A,'EA-ConnectorExport'!J:J),
        $Y350
    ),
    _xlpm.result, _xlfn.XLOOKUP(_xlpm.lookupKey,'EA-Fortescue_SDExport'!A:A,'EA-Fortescue_SDExport'!AA:AA),
    IF(_xlpm.result=0,"",_xlpm.result)
)</f>
        <v>Subsystem</v>
      </c>
      <c r="AA350" s="2" t="str">
        <f>_xlfn.LET(_xlpm.result, _xlfn.XLOOKUP($Y350,'EA-Fortescue_SDExport'!$A:$A,'EA-Fortescue_SDExport'!AB:AB), IF(_xlpm.result=0,"",_xlpm.result))</f>
        <v/>
      </c>
      <c r="AB350" s="2" t="str">
        <f>_xlfn.LET(_xlpm.result, _xlfn.XLOOKUP($Y350,'EA-Fortescue_SDExport'!$A:$A,'EA-Fortescue_SDExport'!AC:AC), IF(_xlpm.result=0,"",_xlpm.result))</f>
        <v/>
      </c>
      <c r="AC350" s="2" t="str">
        <f>_xlfn.LET(
    _xlpm.isObject, _xlfn.XLOOKUP($Y350,'EA-Fortescue_SDExport'!A:A,'EA-Fortescue_SDExport'!B:B),
    _xlpm.lookupKey, IF(_xlpm.isObject="Object",
        _xlfn.XLOOKUP($A350,'EA-ConnectorExport'!A:A,'EA-ConnectorExport'!J:J),
        $Y350
    ),
    _xlpm.result, _xlfn.XLOOKUP(_xlpm.lookupKey,'EA-Fortescue_SDExport'!A:A,'EA-Fortescue_SDExport'!AD:AD),
    IF(_xlpm.result=0,"",_xlpm.result)
)</f>
        <v>855DC Decarb Green Systems</v>
      </c>
      <c r="AD350" s="2" t="str">
        <f>_xlfn.LET(
    _xlpm.isObject, _xlfn.XLOOKUP($Y350,'EA-Fortescue_SDExport'!A:A,'EA-Fortescue_SDExport'!B:B),
    _xlpm.lookupKey, IF(_xlpm.isObject="Object",
        _xlfn.XLOOKUP($A350,'EA-ConnectorExport'!A:A,'EA-ConnectorExport'!J:J),
        $Y350
    ),
    _xlpm.result, _xlfn.XLOOKUP(_xlpm.lookupKey,'EA-Fortescue_SDExport'!A:A,'EA-Fortescue_SDExport'!AE:AE),
    IF(_xlpm.result=0,"",_xlpm.result)
)</f>
        <v>855DC-1541 Planning and Forecast Systems</v>
      </c>
      <c r="AE350" s="2" t="str">
        <f>_xlfn.LET(
    _xlpm.isObject, _xlfn.XLOOKUP($Y350,'EA-Fortescue_SDExport'!A:A,'EA-Fortescue_SDExport'!B:B),
    _xlpm.lookupKey, IF(_xlpm.isObject="Object",
        _xlfn.XLOOKUP($A350,'EA-ConnectorExport'!A:A,'EA-ConnectorExport'!J:J),
        $Y350
    ),
    _xlpm.result, _xlfn.XLOOKUP(_xlpm.lookupKey,'EA-Fortescue_SDExport'!A:A,'EA-Fortescue_SDExport'!AF:AF),
    IF(_xlpm.result=0,"",_xlpm.result)
)</f>
        <v>855DC-1541-ECL Eclipse</v>
      </c>
      <c r="AF350" s="2" t="str">
        <f>_xlfn.LET(
    _xlpm.isObject, _xlfn.XLOOKUP($Y350,'EA-Fortescue_SDExport'!A:A,'EA-Fortescue_SDExport'!B:B),
    _xlpm.lookupKey, IF(_xlpm.isObject="Object",
        _xlfn.XLOOKUP($A350,'EA-ConnectorExport'!A:A,'EA-ConnectorExport'!J:J),
        $Y350
    ),
    _xlpm.result, _xlfn.XLOOKUP(_xlpm.lookupKey,'EA-Fortescue_SDExport'!A:A,'EA-Fortescue_SDExport'!AG:AG),
    IF(_xlpm.result=0,"",_xlpm.result)
)</f>
        <v>855DC-1541-ECL-001 Eclipse Planning</v>
      </c>
    </row>
    <row r="351" spans="1:32" ht="120" x14ac:dyDescent="0.25">
      <c r="A351" s="2" t="str">
        <v>DGS-I_0350</v>
      </c>
      <c r="B351" s="2" t="str">
        <f t="shared" si="20"/>
        <v>855DC-1541-LIV LiveWire|855DC-1543-008 Monarch</v>
      </c>
      <c r="C351" s="2" t="str">
        <f>_xlfn.LET(_xlpm.result, _xlfn.XLOOKUP(A351,'EA-Fortescue_SDExport'!A:A,'EA-Fortescue_SDExport'!AM:AM), IF(_xlpm.result=0,"",_xlpm.result))</f>
        <v/>
      </c>
      <c r="D351" s="2" t="str">
        <f>_xlfn.LET(_xlpm.result, _xlfn.XLOOKUP(A351,'EA-Fortescue_SDExport'!A:A,'EA-Fortescue_SDExport'!AN:AN), IF(_xlpm.result=0,"",_xlpm.result))</f>
        <v/>
      </c>
      <c r="E351" s="2" t="str">
        <f>_xlfn.XLOOKUP(R351&amp;Z351,Lookups!A:A,Lookups!B:B)</f>
        <v>Project - Project Interface</v>
      </c>
      <c r="F351" s="2" t="str">
        <f>_xlfn.LET(_xlpm.result, _xlfn.XLOOKUP(A351,'EA-Fortescue_SDExport'!A:A,'EA-Fortescue_SDExport'!AP:AP), IF(_xlpm.result=0,"",_xlpm.result))</f>
        <v>Technical-Data/Software</v>
      </c>
      <c r="G351" s="2" t="str">
        <f>IF(OR(AND(T351&lt;&gt;"", COUNTIF(Lookups!J:J, "*"&amp;T351&amp;"*")&gt;0), AND(AB351&lt;&gt;"", COUNTIF(Lookups!J:J, "*"&amp;AB351&amp;"*")&gt;0)), "Yes", "No")</f>
        <v>No</v>
      </c>
      <c r="H351" s="2" t="str">
        <f t="shared" si="21"/>
        <v>855DC Decarb Green Systems|855DC Decarb Green Systems</v>
      </c>
      <c r="I351" s="2" t="str">
        <f t="shared" si="22"/>
        <v>855DC-1541 Planning and Forecast Systems|855DC-1543 Existing Systems - Green Enhancement</v>
      </c>
      <c r="J351" s="2" t="str">
        <f t="shared" si="23"/>
        <v>855DC-1541-LIV LiveWire|855DC-1543-008 Monarch</v>
      </c>
      <c r="K351" s="2" t="str">
        <f>_xlfn.XLOOKUP(A351,'EA-Fortescue_SDExport'!A:A,'EA-Fortescue_SDExport'!N:N)</f>
        <v>Proposed</v>
      </c>
      <c r="L351" s="2" t="str">
        <f>_xlfn.LET(_xlpm.result, _xlfn.XLOOKUP($A351,'EA-Fortescue_SDExport'!$A:$A,'EA-Fortescue_SDExport'!AQ:AQ), IF(_xlpm.result=0,"",_xlpm.result))</f>
        <v>This interface provides data on Overhead Lines before substations for visualisation and context on the map interface.</v>
      </c>
      <c r="M351" s="2" t="str">
        <f>_xlfn.LET(_xlpm.result, _xlfn.XLOOKUP($A351,'EA-Fortescue_SDExport'!$A:$A,'EA-Fortescue_SDExport'!AR:AR), IF(_xlpm.result=0,"",_xlpm.result))</f>
        <v>LOW</v>
      </c>
      <c r="N351" s="2" t="str">
        <f>_xlfn.LET(_xlpm.result, _xlfn.XLOOKUP($A351,'EA-Fortescue_SDExport'!$A:$A,'EA-Fortescue_SDExport'!AW:AW), IF(_xlpm.result=0,"",_xlpm.result))</f>
        <v>The criticality level is LOW because it supports visualisation and contextual awareness, but does not impact core cable planning or safety functions directly.</v>
      </c>
      <c r="O351" s="2" t="str">
        <f>_xlfn.LET(_xlpm.result, _xlfn.XLOOKUP($A351,'EA-Fortescue_SDExport'!$A:$A,'EA-Fortescue_SDExport'!AV:AV), IF(_xlpm.result=0,"",_xlpm.result))</f>
        <v>Data Flow:_x000D_
855DC-1541-LIV LiveWire -&gt; 855DC-1543-008 Monarch. This interface provides data on Overhead Lines before substations for visualisation and context on the map interface.</v>
      </c>
      <c r="P351" s="2" t="str">
        <f>_xlfn.LET(_xlpm.result, _xlfn.XLOOKUP($A351,'EA-Fortescue_SDExport'!$A:$A,'EA-Fortescue_SDExport'!D:D), IF(_xlpm.result=0,"",_xlpm.result))</f>
        <v/>
      </c>
      <c r="Q351" s="2" t="str">
        <f>_xlfn.LET(
    _xlpm.status, _xlfn.XLOOKUP($A351,'EA-ConnectorExport'!$A:$A,'EA-ConnectorExport'!G:G),
    _xlpm.result, _xlfn.XLOOKUP($A351,'EA-ConnectorExport'!$A:$A,'EA-ConnectorExport'!B:B),
    IF(_xlpm.status="allocate", _xlpm.result, "")
)</f>
        <v>855DC-1541-LIV LiveWire</v>
      </c>
      <c r="R351" s="2" t="str">
        <f>IF(
    _xlfn.XLOOKUP($Q351,'EA-Fortescue_SDExport'!A:A,'EA-Fortescue_SDExport'!B:B)="Object",
    _xlfn.XLOOKUP(
        _xlfn.XLOOKUP($A351,'EA-ConnectorExport'!A:A,'EA-ConnectorExport'!D:D),
        'EA-Fortescue_SDExport'!A:A,
        'EA-Fortescue_SDExport'!AA:AA
    ),
    _xlfn.XLOOKUP($Q351,'EA-Fortescue_SDExport'!A:A,'EA-Fortescue_SDExport'!AA:AA)
)</f>
        <v>Project</v>
      </c>
      <c r="S351" s="2" t="str">
        <f>_xlfn.LET(_xlpm.result, _xlfn.XLOOKUP($Q351,'EA-Fortescue_SDExport'!$A:$A,'EA-Fortescue_SDExport'!AB:AB), IF(_xlpm.result=0,"",_xlpm.result))</f>
        <v>Operations Planning</v>
      </c>
      <c r="T351" s="2" t="str">
        <f>_xlfn.LET(_xlpm.result, _xlfn.XLOOKUP($Q351,'EA-Fortescue_SDExport'!$A:$A,'EA-Fortescue_SDExport'!AC:AC), IF(_xlpm.result=0,"",_xlpm.result))</f>
        <v>AWS Fortescue Cloud</v>
      </c>
      <c r="U351" s="2" t="str">
        <f>_xlfn.LET(
    _xlpm.isObject, _xlfn.XLOOKUP($Q351,'EA-Fortescue_SDExport'!A:A,'EA-Fortescue_SDExport'!B:B),
    _xlpm.lookupKey, IF(_xlpm.isObject="Object",
        _xlfn.XLOOKUP($A351,'EA-ConnectorExport'!A:A,'EA-ConnectorExport'!D:D),
        $Q351
    ),
    _xlpm.result, _xlfn.XLOOKUP(_xlpm.lookupKey,'EA-Fortescue_SDExport'!A:A,'EA-Fortescue_SDExport'!AD:AD),
    IF(_xlpm.result=0,"",_xlpm.result)
)</f>
        <v>855DC Decarb Green Systems</v>
      </c>
      <c r="V351" s="2" t="str">
        <f>_xlfn.LET(
    _xlpm.isObject, _xlfn.XLOOKUP($Q351,'EA-Fortescue_SDExport'!A:A,'EA-Fortescue_SDExport'!B:B),
    _xlpm.lookupKey, IF(_xlpm.isObject="Object",
        _xlfn.XLOOKUP($A351,'EA-ConnectorExport'!A:A,'EA-ConnectorExport'!D:D),
        $Q351
    ),
    _xlpm.result, _xlfn.XLOOKUP(_xlpm.lookupKey,'EA-Fortescue_SDExport'!A:A,'EA-Fortescue_SDExport'!AE:AE),
    IF(_xlpm.result=0,"",_xlpm.result)
)</f>
        <v>855DC-1541 Planning and Forecast Systems</v>
      </c>
      <c r="W351" s="2" t="str">
        <f>_xlfn.LET(
    _xlpm.isObject, _xlfn.XLOOKUP($Q351,'EA-Fortescue_SDExport'!A:A,'EA-Fortescue_SDExport'!B:B),
    _xlpm.lookupKey, IF(_xlpm.isObject="Object",
        _xlfn.XLOOKUP($A351,'EA-ConnectorExport'!A:A,'EA-ConnectorExport'!D:D),
        $Q351
    ),
    _xlpm.result, _xlfn.XLOOKUP(_xlpm.lookupKey,'EA-Fortescue_SDExport'!A:A,'EA-Fortescue_SDExport'!AF:AF),
    IF(_xlpm.result=0,"",_xlpm.result)
)</f>
        <v>855DC-1541-LIV LiveWire</v>
      </c>
      <c r="X351" s="2" t="str">
        <f>_xlfn.LET(
    _xlpm.isObject, _xlfn.XLOOKUP($Q351,'EA-Fortescue_SDExport'!A:A,'EA-Fortescue_SDExport'!B:B),
    _xlpm.lookupKey, IF(_xlpm.isObject="Object",
        _xlfn.XLOOKUP($A351,'EA-ConnectorExport'!A:A,'EA-ConnectorExport'!D:D),
        $Q351
    ),
    _xlpm.result, _xlfn.XLOOKUP(_xlpm.lookupKey,'EA-Fortescue_SDExport'!A:A,'EA-Fortescue_SDExport'!AG:AG),
    IF(_xlpm.result=0,"",_xlpm.result)
)</f>
        <v/>
      </c>
      <c r="Y351" s="2" t="str">
        <f>_xlfn.LET(
    _xlpm.status, _xlfn.XLOOKUP($A351,'EA-ConnectorExport'!$A:$A,'EA-ConnectorExport'!G:G),
    _xlpm.result, _xlfn.XLOOKUP($A351,'EA-ConnectorExport'!$A:$A,'EA-ConnectorExport'!H:H),
    IF(_xlpm.status="allocate", _xlpm.result, "")
)</f>
        <v>855DC-1543-008 Monarch</v>
      </c>
      <c r="Z351" s="2" t="str">
        <f>_xlfn.LET(
    _xlpm.isObject, _xlfn.XLOOKUP($Y351,'EA-Fortescue_SDExport'!A:A,'EA-Fortescue_SDExport'!B:B),
    _xlpm.lookupKey, IF(_xlpm.isObject="Object",
        _xlfn.XLOOKUP($A351,'EA-ConnectorExport'!A:A,'EA-ConnectorExport'!J:J),
        $Y351
    ),
    _xlpm.result, _xlfn.XLOOKUP(_xlpm.lookupKey,'EA-Fortescue_SDExport'!A:A,'EA-Fortescue_SDExport'!AA:AA),
    IF(_xlpm.result=0,"",_xlpm.result)
)</f>
        <v>Project</v>
      </c>
      <c r="AA351" s="2" t="str">
        <f>_xlfn.LET(_xlpm.result, _xlfn.XLOOKUP($Y351,'EA-Fortescue_SDExport'!$A:$A,'EA-Fortescue_SDExport'!AB:AB), IF(_xlpm.result=0,"",_xlpm.result))</f>
        <v>Energy Operations</v>
      </c>
      <c r="AB351" s="2" t="str">
        <f>_xlfn.LET(_xlpm.result, _xlfn.XLOOKUP($Y351,'EA-Fortescue_SDExport'!$A:$A,'EA-Fortescue_SDExport'!AC:AC), IF(_xlpm.result=0,"",_xlpm.result))</f>
        <v/>
      </c>
      <c r="AC351" s="2" t="str">
        <f>_xlfn.LET(
    _xlpm.isObject, _xlfn.XLOOKUP($Y351,'EA-Fortescue_SDExport'!A:A,'EA-Fortescue_SDExport'!B:B),
    _xlpm.lookupKey, IF(_xlpm.isObject="Object",
        _xlfn.XLOOKUP($A351,'EA-ConnectorExport'!A:A,'EA-ConnectorExport'!J:J),
        $Y351
    ),
    _xlpm.result, _xlfn.XLOOKUP(_xlpm.lookupKey,'EA-Fortescue_SDExport'!A:A,'EA-Fortescue_SDExport'!AD:AD),
    IF(_xlpm.result=0,"",_xlpm.result)
)</f>
        <v>855DC Decarb Green Systems</v>
      </c>
      <c r="AD351" s="2" t="str">
        <f>_xlfn.LET(
    _xlpm.isObject, _xlfn.XLOOKUP($Y351,'EA-Fortescue_SDExport'!A:A,'EA-Fortescue_SDExport'!B:B),
    _xlpm.lookupKey, IF(_xlpm.isObject="Object",
        _xlfn.XLOOKUP($A351,'EA-ConnectorExport'!A:A,'EA-ConnectorExport'!J:J),
        $Y351
    ),
    _xlpm.result, _xlfn.XLOOKUP(_xlpm.lookupKey,'EA-Fortescue_SDExport'!A:A,'EA-Fortescue_SDExport'!AE:AE),
    IF(_xlpm.result=0,"",_xlpm.result)
)</f>
        <v>855DC-1543 Existing Systems - Green Enhancement</v>
      </c>
      <c r="AE351" s="2" t="str">
        <f>_xlfn.LET(
    _xlpm.isObject, _xlfn.XLOOKUP($Y351,'EA-Fortescue_SDExport'!A:A,'EA-Fortescue_SDExport'!B:B),
    _xlpm.lookupKey, IF(_xlpm.isObject="Object",
        _xlfn.XLOOKUP($A351,'EA-ConnectorExport'!A:A,'EA-ConnectorExport'!J:J),
        $Y351
    ),
    _xlpm.result, _xlfn.XLOOKUP(_xlpm.lookupKey,'EA-Fortescue_SDExport'!A:A,'EA-Fortescue_SDExport'!AF:AF),
    IF(_xlpm.result=0,"",_xlpm.result)
)</f>
        <v>855DC-1543-008 Monarch</v>
      </c>
      <c r="AF351" s="2" t="str">
        <f>_xlfn.LET(
    _xlpm.isObject, _xlfn.XLOOKUP($Y351,'EA-Fortescue_SDExport'!A:A,'EA-Fortescue_SDExport'!B:B),
    _xlpm.lookupKey, IF(_xlpm.isObject="Object",
        _xlfn.XLOOKUP($A351,'EA-ConnectorExport'!A:A,'EA-ConnectorExport'!J:J),
        $Y351
    ),
    _xlpm.result, _xlfn.XLOOKUP(_xlpm.lookupKey,'EA-Fortescue_SDExport'!A:A,'EA-Fortescue_SDExport'!AG:AG),
    IF(_xlpm.result=0,"",_xlpm.result)
)</f>
        <v/>
      </c>
    </row>
    <row r="352" spans="1:32" ht="105" x14ac:dyDescent="0.25">
      <c r="A352" s="2" t="str">
        <v>DGS-I_0351</v>
      </c>
      <c r="B352" s="2" t="str">
        <f t="shared" si="20"/>
        <v>005OP-0000-006 Snowflake (General)|855DC-1541-LIV LiveWire</v>
      </c>
      <c r="C352" s="2" t="str">
        <f>_xlfn.LET(_xlpm.result, _xlfn.XLOOKUP(A352,'EA-Fortescue_SDExport'!A:A,'EA-Fortescue_SDExport'!AM:AM), IF(_xlpm.result=0,"",_xlpm.result))</f>
        <v/>
      </c>
      <c r="D352" s="2" t="str">
        <f>_xlfn.LET(_xlpm.result, _xlfn.XLOOKUP(A352,'EA-Fortescue_SDExport'!A:A,'EA-Fortescue_SDExport'!AN:AN), IF(_xlpm.result=0,"",_xlpm.result))</f>
        <v/>
      </c>
      <c r="E352" s="2" t="str">
        <f>_xlfn.XLOOKUP(R352&amp;Z352,Lookups!A:A,Lookups!B:B)</f>
        <v>Project - Project Interface</v>
      </c>
      <c r="F352" s="2" t="str">
        <f>_xlfn.LET(_xlpm.result, _xlfn.XLOOKUP(A352,'EA-Fortescue_SDExport'!A:A,'EA-Fortescue_SDExport'!AP:AP), IF(_xlpm.result=0,"",_xlpm.result))</f>
        <v>Technical-Data/Software</v>
      </c>
      <c r="G352" s="2" t="str">
        <f>IF(OR(AND(T352&lt;&gt;"", COUNTIF(Lookups!J:J, "*"&amp;T352&amp;"*")&gt;0), AND(AB352&lt;&gt;"", COUNTIF(Lookups!J:J, "*"&amp;AB352&amp;"*")&gt;0)), "Yes", "No")</f>
        <v>No</v>
      </c>
      <c r="H352" s="2" t="str">
        <f t="shared" si="21"/>
        <v>005OP IT/OT Systems|855DC Decarb Green Systems</v>
      </c>
      <c r="I352" s="2" t="str">
        <f t="shared" si="22"/>
        <v>N/A|855DC-1541 Planning and Forecast Systems</v>
      </c>
      <c r="J352" s="2" t="str">
        <f t="shared" si="23"/>
        <v>005OP-0000-006 Snowflake (General)|855DC-1541-LIV LiveWire</v>
      </c>
      <c r="K352" s="2" t="str">
        <f>_xlfn.XLOOKUP(A352,'EA-Fortescue_SDExport'!A:A,'EA-Fortescue_SDExport'!N:N)</f>
        <v>Proposed</v>
      </c>
      <c r="L352" s="2" t="str">
        <f>_xlfn.LET(_xlpm.result, _xlfn.XLOOKUP($A352,'EA-Fortescue_SDExport'!$A:$A,'EA-Fortescue_SDExport'!AQ:AQ), IF(_xlpm.result=0,"",_xlpm.result))</f>
        <v>This interface exposes the entire Livewire database via HVR replication to Snowflake, enabling downstream reporting and view creation.</v>
      </c>
      <c r="M352" s="2" t="str">
        <f>_xlfn.LET(_xlpm.result, _xlfn.XLOOKUP($A352,'EA-Fortescue_SDExport'!$A:$A,'EA-Fortescue_SDExport'!AR:AR), IF(_xlpm.result=0,"",_xlpm.result))</f>
        <v>LOW</v>
      </c>
      <c r="N352" s="2" t="str">
        <f>_xlfn.LET(_xlpm.result, _xlfn.XLOOKUP($A352,'EA-Fortescue_SDExport'!$A:$A,'EA-Fortescue_SDExport'!AW:AW), IF(_xlpm.result=0,"",_xlpm.result))</f>
        <v>The criticality level is LOW because failure impacts external analytics but does not halt the operation or management of cabled assets.</v>
      </c>
      <c r="O352" s="2" t="str">
        <f>_xlfn.LET(_xlpm.result, _xlfn.XLOOKUP($A352,'EA-Fortescue_SDExport'!$A:$A,'EA-Fortescue_SDExport'!AV:AV), IF(_xlpm.result=0,"",_xlpm.result))</f>
        <v>Data Flow:_x000D_
855DC-1541-LIV LiveWire -&gt; 005OP-0000-006 Snowflake (General). This interface exposes the entire Livewire database via HVR replication to Snowflake, enabling downstream reporting and view creation.</v>
      </c>
      <c r="P352" s="2" t="str">
        <f>_xlfn.LET(_xlpm.result, _xlfn.XLOOKUP($A352,'EA-Fortescue_SDExport'!$A:$A,'EA-Fortescue_SDExport'!D:D), IF(_xlpm.result=0,"",_xlpm.result))</f>
        <v/>
      </c>
      <c r="Q352" s="2" t="str">
        <f>_xlfn.LET(
    _xlpm.status, _xlfn.XLOOKUP($A352,'EA-ConnectorExport'!$A:$A,'EA-ConnectorExport'!G:G),
    _xlpm.result, _xlfn.XLOOKUP($A352,'EA-ConnectorExport'!$A:$A,'EA-ConnectorExport'!B:B),
    IF(_xlpm.status="allocate", _xlpm.result, "")
)</f>
        <v>005OP-0000-006 Snowflake (General)</v>
      </c>
      <c r="R352" s="2" t="str">
        <f>IF(
    _xlfn.XLOOKUP($Q352,'EA-Fortescue_SDExport'!A:A,'EA-Fortescue_SDExport'!B:B)="Object",
    _xlfn.XLOOKUP(
        _xlfn.XLOOKUP($A352,'EA-ConnectorExport'!A:A,'EA-ConnectorExport'!D:D),
        'EA-Fortescue_SDExport'!A:A,
        'EA-Fortescue_SDExport'!AA:AA
    ),
    _xlfn.XLOOKUP($Q352,'EA-Fortescue_SDExport'!A:A,'EA-Fortescue_SDExport'!AA:AA)
)</f>
        <v>Project</v>
      </c>
      <c r="S352" s="2" t="str">
        <f>_xlfn.LET(_xlpm.result, _xlfn.XLOOKUP($Q352,'EA-Fortescue_SDExport'!$A:$A,'EA-Fortescue_SDExport'!AB:AB), IF(_xlpm.result=0,"",_xlpm.result))</f>
        <v/>
      </c>
      <c r="T352" s="2" t="str">
        <f>_xlfn.LET(_xlpm.result, _xlfn.XLOOKUP($Q352,'EA-Fortescue_SDExport'!$A:$A,'EA-Fortescue_SDExport'!AC:AC), IF(_xlpm.result=0,"",_xlpm.result))</f>
        <v/>
      </c>
      <c r="U352" s="2" t="str">
        <f>_xlfn.LET(
    _xlpm.isObject, _xlfn.XLOOKUP($Q352,'EA-Fortescue_SDExport'!A:A,'EA-Fortescue_SDExport'!B:B),
    _xlpm.lookupKey, IF(_xlpm.isObject="Object",
        _xlfn.XLOOKUP($A352,'EA-ConnectorExport'!A:A,'EA-ConnectorExport'!D:D),
        $Q352
    ),
    _xlpm.result, _xlfn.XLOOKUP(_xlpm.lookupKey,'EA-Fortescue_SDExport'!A:A,'EA-Fortescue_SDExport'!AD:AD),
    IF(_xlpm.result=0,"",_xlpm.result)
)</f>
        <v>005OP IT/OT Systems</v>
      </c>
      <c r="V352" s="2" t="str">
        <f>_xlfn.LET(
    _xlpm.isObject, _xlfn.XLOOKUP($Q352,'EA-Fortescue_SDExport'!A:A,'EA-Fortescue_SDExport'!B:B),
    _xlpm.lookupKey, IF(_xlpm.isObject="Object",
        _xlfn.XLOOKUP($A352,'EA-ConnectorExport'!A:A,'EA-ConnectorExport'!D:D),
        $Q352
    ),
    _xlpm.result, _xlfn.XLOOKUP(_xlpm.lookupKey,'EA-Fortescue_SDExport'!A:A,'EA-Fortescue_SDExport'!AE:AE),
    IF(_xlpm.result=0,"",_xlpm.result)
)</f>
        <v/>
      </c>
      <c r="W352" s="2" t="str">
        <f>_xlfn.LET(
    _xlpm.isObject, _xlfn.XLOOKUP($Q352,'EA-Fortescue_SDExport'!A:A,'EA-Fortescue_SDExport'!B:B),
    _xlpm.lookupKey, IF(_xlpm.isObject="Object",
        _xlfn.XLOOKUP($A352,'EA-ConnectorExport'!A:A,'EA-ConnectorExport'!D:D),
        $Q352
    ),
    _xlpm.result, _xlfn.XLOOKUP(_xlpm.lookupKey,'EA-Fortescue_SDExport'!A:A,'EA-Fortescue_SDExport'!AF:AF),
    IF(_xlpm.result=0,"",_xlpm.result)
)</f>
        <v>005OP-0000-006 Snowflake (General)</v>
      </c>
      <c r="X352" s="2" t="str">
        <f>_xlfn.LET(
    _xlpm.isObject, _xlfn.XLOOKUP($Q352,'EA-Fortescue_SDExport'!A:A,'EA-Fortescue_SDExport'!B:B),
    _xlpm.lookupKey, IF(_xlpm.isObject="Object",
        _xlfn.XLOOKUP($A352,'EA-ConnectorExport'!A:A,'EA-ConnectorExport'!D:D),
        $Q352
    ),
    _xlpm.result, _xlfn.XLOOKUP(_xlpm.lookupKey,'EA-Fortescue_SDExport'!A:A,'EA-Fortescue_SDExport'!AG:AG),
    IF(_xlpm.result=0,"",_xlpm.result)
)</f>
        <v/>
      </c>
      <c r="Y352" s="2" t="str">
        <f>_xlfn.LET(
    _xlpm.status, _xlfn.XLOOKUP($A352,'EA-ConnectorExport'!$A:$A,'EA-ConnectorExport'!G:G),
    _xlpm.result, _xlfn.XLOOKUP($A352,'EA-ConnectorExport'!$A:$A,'EA-ConnectorExport'!H:H),
    IF(_xlpm.status="allocate", _xlpm.result, "")
)</f>
        <v>855DC-1541-LIV LiveWire</v>
      </c>
      <c r="Z352" s="2" t="str">
        <f>_xlfn.LET(
    _xlpm.isObject, _xlfn.XLOOKUP($Y352,'EA-Fortescue_SDExport'!A:A,'EA-Fortescue_SDExport'!B:B),
    _xlpm.lookupKey, IF(_xlpm.isObject="Object",
        _xlfn.XLOOKUP($A352,'EA-ConnectorExport'!A:A,'EA-ConnectorExport'!J:J),
        $Y352
    ),
    _xlpm.result, _xlfn.XLOOKUP(_xlpm.lookupKey,'EA-Fortescue_SDExport'!A:A,'EA-Fortescue_SDExport'!AA:AA),
    IF(_xlpm.result=0,"",_xlpm.result)
)</f>
        <v>Project</v>
      </c>
      <c r="AA352" s="2" t="str">
        <f>_xlfn.LET(_xlpm.result, _xlfn.XLOOKUP($Y352,'EA-Fortescue_SDExport'!$A:$A,'EA-Fortescue_SDExport'!AB:AB), IF(_xlpm.result=0,"",_xlpm.result))</f>
        <v>Operations Planning</v>
      </c>
      <c r="AB352" s="2" t="str">
        <f>_xlfn.LET(_xlpm.result, _xlfn.XLOOKUP($Y352,'EA-Fortescue_SDExport'!$A:$A,'EA-Fortescue_SDExport'!AC:AC), IF(_xlpm.result=0,"",_xlpm.result))</f>
        <v>AWS Fortescue Cloud</v>
      </c>
      <c r="AC352" s="2" t="str">
        <f>_xlfn.LET(
    _xlpm.isObject, _xlfn.XLOOKUP($Y352,'EA-Fortescue_SDExport'!A:A,'EA-Fortescue_SDExport'!B:B),
    _xlpm.lookupKey, IF(_xlpm.isObject="Object",
        _xlfn.XLOOKUP($A352,'EA-ConnectorExport'!A:A,'EA-ConnectorExport'!J:J),
        $Y352
    ),
    _xlpm.result, _xlfn.XLOOKUP(_xlpm.lookupKey,'EA-Fortescue_SDExport'!A:A,'EA-Fortescue_SDExport'!AD:AD),
    IF(_xlpm.result=0,"",_xlpm.result)
)</f>
        <v>855DC Decarb Green Systems</v>
      </c>
      <c r="AD352" s="2" t="str">
        <f>_xlfn.LET(
    _xlpm.isObject, _xlfn.XLOOKUP($Y352,'EA-Fortescue_SDExport'!A:A,'EA-Fortescue_SDExport'!B:B),
    _xlpm.lookupKey, IF(_xlpm.isObject="Object",
        _xlfn.XLOOKUP($A352,'EA-ConnectorExport'!A:A,'EA-ConnectorExport'!J:J),
        $Y352
    ),
    _xlpm.result, _xlfn.XLOOKUP(_xlpm.lookupKey,'EA-Fortescue_SDExport'!A:A,'EA-Fortescue_SDExport'!AE:AE),
    IF(_xlpm.result=0,"",_xlpm.result)
)</f>
        <v>855DC-1541 Planning and Forecast Systems</v>
      </c>
      <c r="AE352" s="2" t="str">
        <f>_xlfn.LET(
    _xlpm.isObject, _xlfn.XLOOKUP($Y352,'EA-Fortescue_SDExport'!A:A,'EA-Fortescue_SDExport'!B:B),
    _xlpm.lookupKey, IF(_xlpm.isObject="Object",
        _xlfn.XLOOKUP($A352,'EA-ConnectorExport'!A:A,'EA-ConnectorExport'!J:J),
        $Y352
    ),
    _xlpm.result, _xlfn.XLOOKUP(_xlpm.lookupKey,'EA-Fortescue_SDExport'!A:A,'EA-Fortescue_SDExport'!AF:AF),
    IF(_xlpm.result=0,"",_xlpm.result)
)</f>
        <v>855DC-1541-LIV LiveWire</v>
      </c>
      <c r="AF352" s="2" t="str">
        <f>_xlfn.LET(
    _xlpm.isObject, _xlfn.XLOOKUP($Y352,'EA-Fortescue_SDExport'!A:A,'EA-Fortescue_SDExport'!B:B),
    _xlpm.lookupKey, IF(_xlpm.isObject="Object",
        _xlfn.XLOOKUP($A352,'EA-ConnectorExport'!A:A,'EA-ConnectorExport'!J:J),
        $Y352
    ),
    _xlpm.result, _xlfn.XLOOKUP(_xlpm.lookupKey,'EA-Fortescue_SDExport'!A:A,'EA-Fortescue_SDExport'!AG:AG),
    IF(_xlpm.result=0,"",_xlpm.result)
)</f>
        <v/>
      </c>
    </row>
    <row r="353" spans="1:32" ht="90" x14ac:dyDescent="0.25">
      <c r="A353" s="2" t="str">
        <v>DGS-I_0352</v>
      </c>
      <c r="B353" s="2" t="str">
        <f t="shared" si="20"/>
        <v>005OP-0000-010 10YP &amp; LOM Tool|005OP-0000-004-002 Alastri Production Scheduler (APS) / Alastri Tactical Scheduler (ATS)</v>
      </c>
      <c r="C353" s="2" t="str">
        <f>_xlfn.LET(_xlpm.result, _xlfn.XLOOKUP(A353,'EA-Fortescue_SDExport'!A:A,'EA-Fortescue_SDExport'!AM:AM), IF(_xlpm.result=0,"",_xlpm.result))</f>
        <v/>
      </c>
      <c r="D353" s="2" t="str">
        <f>_xlfn.LET(_xlpm.result, _xlfn.XLOOKUP(A353,'EA-Fortescue_SDExport'!A:A,'EA-Fortescue_SDExport'!AN:AN), IF(_xlpm.result=0,"",_xlpm.result))</f>
        <v/>
      </c>
      <c r="E353" s="2" t="str">
        <f>_xlfn.XLOOKUP(R353&amp;Z353,Lookups!A:A,Lookups!B:B)</f>
        <v>Project - Subsystem Interface</v>
      </c>
      <c r="F353" s="2" t="str">
        <f>_xlfn.LET(_xlpm.result, _xlfn.XLOOKUP(A353,'EA-Fortescue_SDExport'!A:A,'EA-Fortescue_SDExport'!AP:AP), IF(_xlpm.result=0,"",_xlpm.result))</f>
        <v>Technical-Data/Software</v>
      </c>
      <c r="G353" s="2" t="str">
        <f>IF(OR(AND(T353&lt;&gt;"", COUNTIF(Lookups!J:J, "*"&amp;T353&amp;"*")&gt;0), AND(AB353&lt;&gt;"", COUNTIF(Lookups!J:J, "*"&amp;AB353&amp;"*")&gt;0)), "Yes", "No")</f>
        <v>No</v>
      </c>
      <c r="H353" s="2" t="str">
        <f t="shared" si="21"/>
        <v>005OP IT/OT Systems|005OP IT/OT Systems</v>
      </c>
      <c r="I353" s="2" t="str">
        <f t="shared" si="22"/>
        <v>N/A</v>
      </c>
      <c r="J353" s="2" t="str">
        <f t="shared" si="23"/>
        <v>005OP-0000-010 10YP &amp; LOM Tool|005OP-0000-004 Alastri</v>
      </c>
      <c r="K353" s="2" t="str">
        <f>_xlfn.XLOOKUP(A353,'EA-Fortescue_SDExport'!A:A,'EA-Fortescue_SDExport'!N:N)</f>
        <v>Proposed</v>
      </c>
      <c r="L353" s="2" t="str">
        <f>_xlfn.LET(_xlpm.result, _xlfn.XLOOKUP($A353,'EA-Fortescue_SDExport'!$A:$A,'EA-Fortescue_SDExport'!AQ:AQ), IF(_xlpm.result=0,"",_xlpm.result))</f>
        <v/>
      </c>
      <c r="M353" s="2" t="str">
        <f>_xlfn.LET(_xlpm.result, _xlfn.XLOOKUP($A353,'EA-Fortescue_SDExport'!$A:$A,'EA-Fortescue_SDExport'!AR:AR), IF(_xlpm.result=0,"",_xlpm.result))</f>
        <v/>
      </c>
      <c r="N353" s="2" t="str">
        <f>_xlfn.LET(_xlpm.result, _xlfn.XLOOKUP($A353,'EA-Fortescue_SDExport'!$A:$A,'EA-Fortescue_SDExport'!AW:AW), IF(_xlpm.result=0,"",_xlpm.result))</f>
        <v/>
      </c>
      <c r="O353" s="2" t="str">
        <f>_xlfn.LET(_xlpm.result, _xlfn.XLOOKUP($A353,'EA-Fortescue_SDExport'!$A:$A,'EA-Fortescue_SDExport'!AV:AV), IF(_xlpm.result=0,"",_xlpm.result))</f>
        <v/>
      </c>
      <c r="P353" s="2" t="str">
        <f>_xlfn.LET(_xlpm.result, _xlfn.XLOOKUP($A353,'EA-Fortescue_SDExport'!$A:$A,'EA-Fortescue_SDExport'!D:D), IF(_xlpm.result=0,"",_xlpm.result))</f>
        <v>DocStack-SAComparison_Delphi 18/02/2026: APS and ATS to be combined - Interface now with 005OP-0000-004-002 Alastri Production Scheduler (APS) / Alastri Tactical Scheduler (ATS)</v>
      </c>
      <c r="Q353" s="2" t="str">
        <f>_xlfn.LET(
    _xlpm.status, _xlfn.XLOOKUP($A353,'EA-ConnectorExport'!$A:$A,'EA-ConnectorExport'!G:G),
    _xlpm.result, _xlfn.XLOOKUP($A353,'EA-ConnectorExport'!$A:$A,'EA-ConnectorExport'!B:B),
    IF(_xlpm.status="allocate", _xlpm.result, "")
)</f>
        <v>005OP-0000-010 10YP &amp; LOM Tool</v>
      </c>
      <c r="R353" s="2" t="str">
        <f>IF(
    _xlfn.XLOOKUP($Q353,'EA-Fortescue_SDExport'!A:A,'EA-Fortescue_SDExport'!B:B)="Object",
    _xlfn.XLOOKUP(
        _xlfn.XLOOKUP($A353,'EA-ConnectorExport'!A:A,'EA-ConnectorExport'!D:D),
        'EA-Fortescue_SDExport'!A:A,
        'EA-Fortescue_SDExport'!AA:AA
    ),
    _xlfn.XLOOKUP($Q353,'EA-Fortescue_SDExport'!A:A,'EA-Fortescue_SDExport'!AA:AA)
)</f>
        <v>Project</v>
      </c>
      <c r="S353" s="2" t="str">
        <f>_xlfn.LET(_xlpm.result, _xlfn.XLOOKUP($Q353,'EA-Fortescue_SDExport'!$A:$A,'EA-Fortescue_SDExport'!AB:AB), IF(_xlpm.result=0,"",_xlpm.result))</f>
        <v/>
      </c>
      <c r="T353" s="2" t="str">
        <f>_xlfn.LET(_xlpm.result, _xlfn.XLOOKUP($Q353,'EA-Fortescue_SDExport'!$A:$A,'EA-Fortescue_SDExport'!AC:AC), IF(_xlpm.result=0,"",_xlpm.result))</f>
        <v/>
      </c>
      <c r="U353" s="2" t="str">
        <f>_xlfn.LET(
    _xlpm.isObject, _xlfn.XLOOKUP($Q353,'EA-Fortescue_SDExport'!A:A,'EA-Fortescue_SDExport'!B:B),
    _xlpm.lookupKey, IF(_xlpm.isObject="Object",
        _xlfn.XLOOKUP($A353,'EA-ConnectorExport'!A:A,'EA-ConnectorExport'!D:D),
        $Q353
    ),
    _xlpm.result, _xlfn.XLOOKUP(_xlpm.lookupKey,'EA-Fortescue_SDExport'!A:A,'EA-Fortescue_SDExport'!AD:AD),
    IF(_xlpm.result=0,"",_xlpm.result)
)</f>
        <v>005OP IT/OT Systems</v>
      </c>
      <c r="V353" s="2" t="str">
        <f>_xlfn.LET(
    _xlpm.isObject, _xlfn.XLOOKUP($Q353,'EA-Fortescue_SDExport'!A:A,'EA-Fortescue_SDExport'!B:B),
    _xlpm.lookupKey, IF(_xlpm.isObject="Object",
        _xlfn.XLOOKUP($A353,'EA-ConnectorExport'!A:A,'EA-ConnectorExport'!D:D),
        $Q353
    ),
    _xlpm.result, _xlfn.XLOOKUP(_xlpm.lookupKey,'EA-Fortescue_SDExport'!A:A,'EA-Fortescue_SDExport'!AE:AE),
    IF(_xlpm.result=0,"",_xlpm.result)
)</f>
        <v/>
      </c>
      <c r="W353" s="2" t="str">
        <f>_xlfn.LET(
    _xlpm.isObject, _xlfn.XLOOKUP($Q353,'EA-Fortescue_SDExport'!A:A,'EA-Fortescue_SDExport'!B:B),
    _xlpm.lookupKey, IF(_xlpm.isObject="Object",
        _xlfn.XLOOKUP($A353,'EA-ConnectorExport'!A:A,'EA-ConnectorExport'!D:D),
        $Q353
    ),
    _xlpm.result, _xlfn.XLOOKUP(_xlpm.lookupKey,'EA-Fortescue_SDExport'!A:A,'EA-Fortescue_SDExport'!AF:AF),
    IF(_xlpm.result=0,"",_xlpm.result)
)</f>
        <v>005OP-0000-010 10YP &amp; LOM Tool</v>
      </c>
      <c r="X353" s="2" t="str">
        <f>_xlfn.LET(
    _xlpm.isObject, _xlfn.XLOOKUP($Q353,'EA-Fortescue_SDExport'!A:A,'EA-Fortescue_SDExport'!B:B),
    _xlpm.lookupKey, IF(_xlpm.isObject="Object",
        _xlfn.XLOOKUP($A353,'EA-ConnectorExport'!A:A,'EA-ConnectorExport'!D:D),
        $Q353
    ),
    _xlpm.result, _xlfn.XLOOKUP(_xlpm.lookupKey,'EA-Fortescue_SDExport'!A:A,'EA-Fortescue_SDExport'!AG:AG),
    IF(_xlpm.result=0,"",_xlpm.result)
)</f>
        <v/>
      </c>
      <c r="Y353" s="2" t="str">
        <f>_xlfn.LET(
    _xlpm.status, _xlfn.XLOOKUP($A353,'EA-ConnectorExport'!$A:$A,'EA-ConnectorExport'!G:G),
    _xlpm.result, _xlfn.XLOOKUP($A353,'EA-ConnectorExport'!$A:$A,'EA-ConnectorExport'!H:H),
    IF(_xlpm.status="allocate", _xlpm.result, "")
)</f>
        <v>005OP-0000-004-002 Alastri Production Scheduler (APS) / Alastri Tactical Scheduler (ATS)</v>
      </c>
      <c r="Z353" s="2" t="str">
        <f>_xlfn.LET(
    _xlpm.isObject, _xlfn.XLOOKUP($Y353,'EA-Fortescue_SDExport'!A:A,'EA-Fortescue_SDExport'!B:B),
    _xlpm.lookupKey, IF(_xlpm.isObject="Object",
        _xlfn.XLOOKUP($A353,'EA-ConnectorExport'!A:A,'EA-ConnectorExport'!J:J),
        $Y353
    ),
    _xlpm.result, _xlfn.XLOOKUP(_xlpm.lookupKey,'EA-Fortescue_SDExport'!A:A,'EA-Fortescue_SDExport'!AA:AA),
    IF(_xlpm.result=0,"",_xlpm.result)
)</f>
        <v>Subsystem</v>
      </c>
      <c r="AA353" s="2" t="str">
        <f>_xlfn.LET(_xlpm.result, _xlfn.XLOOKUP($Y353,'EA-Fortescue_SDExport'!$A:$A,'EA-Fortescue_SDExport'!AB:AB), IF(_xlpm.result=0,"",_xlpm.result))</f>
        <v/>
      </c>
      <c r="AB353" s="2" t="str">
        <f>_xlfn.LET(_xlpm.result, _xlfn.XLOOKUP($Y353,'EA-Fortescue_SDExport'!$A:$A,'EA-Fortescue_SDExport'!AC:AC), IF(_xlpm.result=0,"",_xlpm.result))</f>
        <v/>
      </c>
      <c r="AC353" s="2" t="str">
        <f>_xlfn.LET(
    _xlpm.isObject, _xlfn.XLOOKUP($Y353,'EA-Fortescue_SDExport'!A:A,'EA-Fortescue_SDExport'!B:B),
    _xlpm.lookupKey, IF(_xlpm.isObject="Object",
        _xlfn.XLOOKUP($A353,'EA-ConnectorExport'!A:A,'EA-ConnectorExport'!J:J),
        $Y353
    ),
    _xlpm.result, _xlfn.XLOOKUP(_xlpm.lookupKey,'EA-Fortescue_SDExport'!A:A,'EA-Fortescue_SDExport'!AD:AD),
    IF(_xlpm.result=0,"",_xlpm.result)
)</f>
        <v>005OP IT/OT Systems</v>
      </c>
      <c r="AD353" s="2" t="str">
        <f>_xlfn.LET(
    _xlpm.isObject, _xlfn.XLOOKUP($Y353,'EA-Fortescue_SDExport'!A:A,'EA-Fortescue_SDExport'!B:B),
    _xlpm.lookupKey, IF(_xlpm.isObject="Object",
        _xlfn.XLOOKUP($A353,'EA-ConnectorExport'!A:A,'EA-ConnectorExport'!J:J),
        $Y353
    ),
    _xlpm.result, _xlfn.XLOOKUP(_xlpm.lookupKey,'EA-Fortescue_SDExport'!A:A,'EA-Fortescue_SDExport'!AE:AE),
    IF(_xlpm.result=0,"",_xlpm.result)
)</f>
        <v/>
      </c>
      <c r="AE353" s="2" t="str">
        <f>_xlfn.LET(
    _xlpm.isObject, _xlfn.XLOOKUP($Y353,'EA-Fortescue_SDExport'!A:A,'EA-Fortescue_SDExport'!B:B),
    _xlpm.lookupKey, IF(_xlpm.isObject="Object",
        _xlfn.XLOOKUP($A353,'EA-ConnectorExport'!A:A,'EA-ConnectorExport'!J:J),
        $Y353
    ),
    _xlpm.result, _xlfn.XLOOKUP(_xlpm.lookupKey,'EA-Fortescue_SDExport'!A:A,'EA-Fortescue_SDExport'!AF:AF),
    IF(_xlpm.result=0,"",_xlpm.result)
)</f>
        <v>005OP-0000-004 Alastri</v>
      </c>
      <c r="AF353" s="2" t="str">
        <f>_xlfn.LET(
    _xlpm.isObject, _xlfn.XLOOKUP($Y353,'EA-Fortescue_SDExport'!A:A,'EA-Fortescue_SDExport'!B:B),
    _xlpm.lookupKey, IF(_xlpm.isObject="Object",
        _xlfn.XLOOKUP($A353,'EA-ConnectorExport'!A:A,'EA-ConnectorExport'!J:J),
        $Y353
    ),
    _xlpm.result, _xlfn.XLOOKUP(_xlpm.lookupKey,'EA-Fortescue_SDExport'!A:A,'EA-Fortescue_SDExport'!AG:AG),
    IF(_xlpm.result=0,"",_xlpm.result)
)</f>
        <v>005OP-0000-004-002 Alastri Production Scheduler (APS)</v>
      </c>
    </row>
    <row r="354" spans="1:32" ht="90" x14ac:dyDescent="0.25">
      <c r="A354" s="2" t="str">
        <v>DGS-I_0353</v>
      </c>
      <c r="B354" s="2" t="str">
        <f t="shared" si="20"/>
        <v>005OP-0000-001 Atlas|005OP-0000-004-002 Alastri Production Scheduler (APS) / Alastri Tactical Scheduler (ATS)</v>
      </c>
      <c r="C354" s="2" t="str">
        <f>_xlfn.LET(_xlpm.result, _xlfn.XLOOKUP(A354,'EA-Fortescue_SDExport'!A:A,'EA-Fortescue_SDExport'!AM:AM), IF(_xlpm.result=0,"",_xlpm.result))</f>
        <v/>
      </c>
      <c r="D354" s="2" t="str">
        <f>_xlfn.LET(_xlpm.result, _xlfn.XLOOKUP(A354,'EA-Fortescue_SDExport'!A:A,'EA-Fortescue_SDExport'!AN:AN), IF(_xlpm.result=0,"",_xlpm.result))</f>
        <v/>
      </c>
      <c r="E354" s="2" t="str">
        <f>_xlfn.XLOOKUP(R354&amp;Z354,Lookups!A:A,Lookups!B:B)</f>
        <v>Project - Subsystem Interface</v>
      </c>
      <c r="F354" s="2" t="str">
        <f>_xlfn.LET(_xlpm.result, _xlfn.XLOOKUP(A354,'EA-Fortescue_SDExport'!A:A,'EA-Fortescue_SDExport'!AP:AP), IF(_xlpm.result=0,"",_xlpm.result))</f>
        <v>Technical-Data/Software</v>
      </c>
      <c r="G354" s="2" t="str">
        <f>IF(OR(AND(T354&lt;&gt;"", COUNTIF(Lookups!J:J, "*"&amp;T354&amp;"*")&gt;0), AND(AB354&lt;&gt;"", COUNTIF(Lookups!J:J, "*"&amp;AB354&amp;"*")&gt;0)), "Yes", "No")</f>
        <v>No</v>
      </c>
      <c r="H354" s="2" t="str">
        <f t="shared" si="21"/>
        <v>005OP IT/OT Systems|005OP IT/OT Systems</v>
      </c>
      <c r="I354" s="2" t="str">
        <f t="shared" si="22"/>
        <v>N/A</v>
      </c>
      <c r="J354" s="2" t="str">
        <f t="shared" si="23"/>
        <v>005OP-0000-001 Atlas|005OP-0000-004 Alastri</v>
      </c>
      <c r="K354" s="2" t="str">
        <f>_xlfn.XLOOKUP(A354,'EA-Fortescue_SDExport'!A:A,'EA-Fortescue_SDExport'!N:N)</f>
        <v>Proposed</v>
      </c>
      <c r="L354" s="2" t="str">
        <f>_xlfn.LET(_xlpm.result, _xlfn.XLOOKUP($A354,'EA-Fortescue_SDExport'!$A:$A,'EA-Fortescue_SDExport'!AQ:AQ), IF(_xlpm.result=0,"",_xlpm.result))</f>
        <v/>
      </c>
      <c r="M354" s="2" t="str">
        <f>_xlfn.LET(_xlpm.result, _xlfn.XLOOKUP($A354,'EA-Fortescue_SDExport'!$A:$A,'EA-Fortescue_SDExport'!AR:AR), IF(_xlpm.result=0,"",_xlpm.result))</f>
        <v/>
      </c>
      <c r="N354" s="2" t="str">
        <f>_xlfn.LET(_xlpm.result, _xlfn.XLOOKUP($A354,'EA-Fortescue_SDExport'!$A:$A,'EA-Fortescue_SDExport'!AW:AW), IF(_xlpm.result=0,"",_xlpm.result))</f>
        <v/>
      </c>
      <c r="O354" s="2" t="str">
        <f>_xlfn.LET(_xlpm.result, _xlfn.XLOOKUP($A354,'EA-Fortescue_SDExport'!$A:$A,'EA-Fortescue_SDExport'!AV:AV), IF(_xlpm.result=0,"",_xlpm.result))</f>
        <v/>
      </c>
      <c r="P354" s="2" t="str">
        <f>_xlfn.LET(_xlpm.result, _xlfn.XLOOKUP($A354,'EA-Fortescue_SDExport'!$A:$A,'EA-Fortescue_SDExport'!D:D), IF(_xlpm.result=0,"",_xlpm.result))</f>
        <v/>
      </c>
      <c r="Q354" s="2" t="str">
        <f>_xlfn.LET(
    _xlpm.status, _xlfn.XLOOKUP($A354,'EA-ConnectorExport'!$A:$A,'EA-ConnectorExport'!G:G),
    _xlpm.result, _xlfn.XLOOKUP($A354,'EA-ConnectorExport'!$A:$A,'EA-ConnectorExport'!B:B),
    IF(_xlpm.status="allocate", _xlpm.result, "")
)</f>
        <v>005OP-0000-001 Atlas</v>
      </c>
      <c r="R354" s="2" t="str">
        <f>IF(
    _xlfn.XLOOKUP($Q354,'EA-Fortescue_SDExport'!A:A,'EA-Fortescue_SDExport'!B:B)="Object",
    _xlfn.XLOOKUP(
        _xlfn.XLOOKUP($A354,'EA-ConnectorExport'!A:A,'EA-ConnectorExport'!D:D),
        'EA-Fortescue_SDExport'!A:A,
        'EA-Fortescue_SDExport'!AA:AA
    ),
    _xlfn.XLOOKUP($Q354,'EA-Fortescue_SDExport'!A:A,'EA-Fortescue_SDExport'!AA:AA)
)</f>
        <v>Project</v>
      </c>
      <c r="S354" s="2" t="str">
        <f>_xlfn.LET(_xlpm.result, _xlfn.XLOOKUP($Q354,'EA-Fortescue_SDExport'!$A:$A,'EA-Fortescue_SDExport'!AB:AB), IF(_xlpm.result=0,"",_xlpm.result))</f>
        <v/>
      </c>
      <c r="T354" s="2" t="str">
        <f>_xlfn.LET(_xlpm.result, _xlfn.XLOOKUP($Q354,'EA-Fortescue_SDExport'!$A:$A,'EA-Fortescue_SDExport'!AC:AC), IF(_xlpm.result=0,"",_xlpm.result))</f>
        <v/>
      </c>
      <c r="U354" s="2" t="str">
        <f>_xlfn.LET(
    _xlpm.isObject, _xlfn.XLOOKUP($Q354,'EA-Fortescue_SDExport'!A:A,'EA-Fortescue_SDExport'!B:B),
    _xlpm.lookupKey, IF(_xlpm.isObject="Object",
        _xlfn.XLOOKUP($A354,'EA-ConnectorExport'!A:A,'EA-ConnectorExport'!D:D),
        $Q354
    ),
    _xlpm.result, _xlfn.XLOOKUP(_xlpm.lookupKey,'EA-Fortescue_SDExport'!A:A,'EA-Fortescue_SDExport'!AD:AD),
    IF(_xlpm.result=0,"",_xlpm.result)
)</f>
        <v>005OP IT/OT Systems</v>
      </c>
      <c r="V354" s="2" t="str">
        <f>_xlfn.LET(
    _xlpm.isObject, _xlfn.XLOOKUP($Q354,'EA-Fortescue_SDExport'!A:A,'EA-Fortescue_SDExport'!B:B),
    _xlpm.lookupKey, IF(_xlpm.isObject="Object",
        _xlfn.XLOOKUP($A354,'EA-ConnectorExport'!A:A,'EA-ConnectorExport'!D:D),
        $Q354
    ),
    _xlpm.result, _xlfn.XLOOKUP(_xlpm.lookupKey,'EA-Fortescue_SDExport'!A:A,'EA-Fortescue_SDExport'!AE:AE),
    IF(_xlpm.result=0,"",_xlpm.result)
)</f>
        <v/>
      </c>
      <c r="W354" s="2" t="str">
        <f>_xlfn.LET(
    _xlpm.isObject, _xlfn.XLOOKUP($Q354,'EA-Fortescue_SDExport'!A:A,'EA-Fortescue_SDExport'!B:B),
    _xlpm.lookupKey, IF(_xlpm.isObject="Object",
        _xlfn.XLOOKUP($A354,'EA-ConnectorExport'!A:A,'EA-ConnectorExport'!D:D),
        $Q354
    ),
    _xlpm.result, _xlfn.XLOOKUP(_xlpm.lookupKey,'EA-Fortescue_SDExport'!A:A,'EA-Fortescue_SDExport'!AF:AF),
    IF(_xlpm.result=0,"",_xlpm.result)
)</f>
        <v>005OP-0000-001 Atlas</v>
      </c>
      <c r="X354" s="2" t="str">
        <f>_xlfn.LET(
    _xlpm.isObject, _xlfn.XLOOKUP($Q354,'EA-Fortescue_SDExport'!A:A,'EA-Fortescue_SDExport'!B:B),
    _xlpm.lookupKey, IF(_xlpm.isObject="Object",
        _xlfn.XLOOKUP($A354,'EA-ConnectorExport'!A:A,'EA-ConnectorExport'!D:D),
        $Q354
    ),
    _xlpm.result, _xlfn.XLOOKUP(_xlpm.lookupKey,'EA-Fortescue_SDExport'!A:A,'EA-Fortescue_SDExport'!AG:AG),
    IF(_xlpm.result=0,"",_xlpm.result)
)</f>
        <v/>
      </c>
      <c r="Y354" s="2" t="str">
        <f>_xlfn.LET(
    _xlpm.status, _xlfn.XLOOKUP($A354,'EA-ConnectorExport'!$A:$A,'EA-ConnectorExport'!G:G),
    _xlpm.result, _xlfn.XLOOKUP($A354,'EA-ConnectorExport'!$A:$A,'EA-ConnectorExport'!H:H),
    IF(_xlpm.status="allocate", _xlpm.result, "")
)</f>
        <v>005OP-0000-004-002 Alastri Production Scheduler (APS) / Alastri Tactical Scheduler (ATS)</v>
      </c>
      <c r="Z354" s="2" t="str">
        <f>_xlfn.LET(
    _xlpm.isObject, _xlfn.XLOOKUP($Y354,'EA-Fortescue_SDExport'!A:A,'EA-Fortescue_SDExport'!B:B),
    _xlpm.lookupKey, IF(_xlpm.isObject="Object",
        _xlfn.XLOOKUP($A354,'EA-ConnectorExport'!A:A,'EA-ConnectorExport'!J:J),
        $Y354
    ),
    _xlpm.result, _xlfn.XLOOKUP(_xlpm.lookupKey,'EA-Fortescue_SDExport'!A:A,'EA-Fortescue_SDExport'!AA:AA),
    IF(_xlpm.result=0,"",_xlpm.result)
)</f>
        <v>Subsystem</v>
      </c>
      <c r="AA354" s="2" t="str">
        <f>_xlfn.LET(_xlpm.result, _xlfn.XLOOKUP($Y354,'EA-Fortescue_SDExport'!$A:$A,'EA-Fortescue_SDExport'!AB:AB), IF(_xlpm.result=0,"",_xlpm.result))</f>
        <v/>
      </c>
      <c r="AB354" s="2" t="str">
        <f>_xlfn.LET(_xlpm.result, _xlfn.XLOOKUP($Y354,'EA-Fortescue_SDExport'!$A:$A,'EA-Fortescue_SDExport'!AC:AC), IF(_xlpm.result=0,"",_xlpm.result))</f>
        <v/>
      </c>
      <c r="AC354" s="2" t="str">
        <f>_xlfn.LET(
    _xlpm.isObject, _xlfn.XLOOKUP($Y354,'EA-Fortescue_SDExport'!A:A,'EA-Fortescue_SDExport'!B:B),
    _xlpm.lookupKey, IF(_xlpm.isObject="Object",
        _xlfn.XLOOKUP($A354,'EA-ConnectorExport'!A:A,'EA-ConnectorExport'!J:J),
        $Y354
    ),
    _xlpm.result, _xlfn.XLOOKUP(_xlpm.lookupKey,'EA-Fortescue_SDExport'!A:A,'EA-Fortescue_SDExport'!AD:AD),
    IF(_xlpm.result=0,"",_xlpm.result)
)</f>
        <v>005OP IT/OT Systems</v>
      </c>
      <c r="AD354" s="2" t="str">
        <f>_xlfn.LET(
    _xlpm.isObject, _xlfn.XLOOKUP($Y354,'EA-Fortescue_SDExport'!A:A,'EA-Fortescue_SDExport'!B:B),
    _xlpm.lookupKey, IF(_xlpm.isObject="Object",
        _xlfn.XLOOKUP($A354,'EA-ConnectorExport'!A:A,'EA-ConnectorExport'!J:J),
        $Y354
    ),
    _xlpm.result, _xlfn.XLOOKUP(_xlpm.lookupKey,'EA-Fortescue_SDExport'!A:A,'EA-Fortescue_SDExport'!AE:AE),
    IF(_xlpm.result=0,"",_xlpm.result)
)</f>
        <v/>
      </c>
      <c r="AE354" s="2" t="str">
        <f>_xlfn.LET(
    _xlpm.isObject, _xlfn.XLOOKUP($Y354,'EA-Fortescue_SDExport'!A:A,'EA-Fortescue_SDExport'!B:B),
    _xlpm.lookupKey, IF(_xlpm.isObject="Object",
        _xlfn.XLOOKUP($A354,'EA-ConnectorExport'!A:A,'EA-ConnectorExport'!J:J),
        $Y354
    ),
    _xlpm.result, _xlfn.XLOOKUP(_xlpm.lookupKey,'EA-Fortescue_SDExport'!A:A,'EA-Fortescue_SDExport'!AF:AF),
    IF(_xlpm.result=0,"",_xlpm.result)
)</f>
        <v>005OP-0000-004 Alastri</v>
      </c>
      <c r="AF354" s="2" t="str">
        <f>_xlfn.LET(
    _xlpm.isObject, _xlfn.XLOOKUP($Y354,'EA-Fortescue_SDExport'!A:A,'EA-Fortescue_SDExport'!B:B),
    _xlpm.lookupKey, IF(_xlpm.isObject="Object",
        _xlfn.XLOOKUP($A354,'EA-ConnectorExport'!A:A,'EA-ConnectorExport'!J:J),
        $Y354
    ),
    _xlpm.result, _xlfn.XLOOKUP(_xlpm.lookupKey,'EA-Fortescue_SDExport'!A:A,'EA-Fortescue_SDExport'!AG:AG),
    IF(_xlpm.result=0,"",_xlpm.result)
)</f>
        <v>005OP-0000-004-002 Alastri Production Scheduler (APS)</v>
      </c>
    </row>
    <row r="355" spans="1:32" ht="30" x14ac:dyDescent="0.25">
      <c r="A355" s="2" t="str">
        <v>DGS-I_0354</v>
      </c>
      <c r="B355" s="2" t="str">
        <f t="shared" si="20"/>
        <v>005OP-0000-010 10YP &amp; LOM Tool|005OP-0000-001 Atlas</v>
      </c>
      <c r="C355" s="2" t="str">
        <f>_xlfn.LET(_xlpm.result, _xlfn.XLOOKUP(A355,'EA-Fortescue_SDExport'!A:A,'EA-Fortescue_SDExport'!AM:AM), IF(_xlpm.result=0,"",_xlpm.result))</f>
        <v/>
      </c>
      <c r="D355" s="2" t="str">
        <f>_xlfn.LET(_xlpm.result, _xlfn.XLOOKUP(A355,'EA-Fortescue_SDExport'!A:A,'EA-Fortescue_SDExport'!AN:AN), IF(_xlpm.result=0,"",_xlpm.result))</f>
        <v/>
      </c>
      <c r="E355" s="2" t="str">
        <f>_xlfn.XLOOKUP(R355&amp;Z355,Lookups!A:A,Lookups!B:B)</f>
        <v>Project - Project Interface</v>
      </c>
      <c r="F355" s="2" t="str">
        <f>_xlfn.LET(_xlpm.result, _xlfn.XLOOKUP(A355,'EA-Fortescue_SDExport'!A:A,'EA-Fortescue_SDExport'!AP:AP), IF(_xlpm.result=0,"",_xlpm.result))</f>
        <v>Technical-Data/Software</v>
      </c>
      <c r="G355" s="2" t="str">
        <f>IF(OR(AND(T355&lt;&gt;"", COUNTIF(Lookups!J:J, "*"&amp;T355&amp;"*")&gt;0), AND(AB355&lt;&gt;"", COUNTIF(Lookups!J:J, "*"&amp;AB355&amp;"*")&gt;0)), "Yes", "No")</f>
        <v>No</v>
      </c>
      <c r="H355" s="2" t="str">
        <f t="shared" si="21"/>
        <v>005OP IT/OT Systems|005OP IT/OT Systems</v>
      </c>
      <c r="I355" s="2" t="str">
        <f t="shared" si="22"/>
        <v>N/A</v>
      </c>
      <c r="J355" s="2" t="str">
        <f t="shared" si="23"/>
        <v>005OP-0000-010 10YP &amp; LOM Tool|005OP-0000-001 Atlas</v>
      </c>
      <c r="K355" s="2" t="str">
        <f>_xlfn.XLOOKUP(A355,'EA-Fortescue_SDExport'!A:A,'EA-Fortescue_SDExport'!N:N)</f>
        <v>Proposed</v>
      </c>
      <c r="L355" s="2" t="str">
        <f>_xlfn.LET(_xlpm.result, _xlfn.XLOOKUP($A355,'EA-Fortescue_SDExport'!$A:$A,'EA-Fortescue_SDExport'!AQ:AQ), IF(_xlpm.result=0,"",_xlpm.result))</f>
        <v/>
      </c>
      <c r="M355" s="2" t="str">
        <f>_xlfn.LET(_xlpm.result, _xlfn.XLOOKUP($A355,'EA-Fortescue_SDExport'!$A:$A,'EA-Fortescue_SDExport'!AR:AR), IF(_xlpm.result=0,"",_xlpm.result))</f>
        <v/>
      </c>
      <c r="N355" s="2" t="str">
        <f>_xlfn.LET(_xlpm.result, _xlfn.XLOOKUP($A355,'EA-Fortescue_SDExport'!$A:$A,'EA-Fortescue_SDExport'!AW:AW), IF(_xlpm.result=0,"",_xlpm.result))</f>
        <v/>
      </c>
      <c r="O355" s="2" t="str">
        <f>_xlfn.LET(_xlpm.result, _xlfn.XLOOKUP($A355,'EA-Fortescue_SDExport'!$A:$A,'EA-Fortescue_SDExport'!AV:AV), IF(_xlpm.result=0,"",_xlpm.result))</f>
        <v/>
      </c>
      <c r="P355" s="2" t="str">
        <f>_xlfn.LET(_xlpm.result, _xlfn.XLOOKUP($A355,'EA-Fortescue_SDExport'!$A:$A,'EA-Fortescue_SDExport'!D:D), IF(_xlpm.result=0,"",_xlpm.result))</f>
        <v/>
      </c>
      <c r="Q355" s="2" t="str">
        <f>_xlfn.LET(
    _xlpm.status, _xlfn.XLOOKUP($A355,'EA-ConnectorExport'!$A:$A,'EA-ConnectorExport'!G:G),
    _xlpm.result, _xlfn.XLOOKUP($A355,'EA-ConnectorExport'!$A:$A,'EA-ConnectorExport'!B:B),
    IF(_xlpm.status="allocate", _xlpm.result, "")
)</f>
        <v>005OP-0000-010 10YP &amp; LOM Tool</v>
      </c>
      <c r="R355" s="2" t="str">
        <f>IF(
    _xlfn.XLOOKUP($Q355,'EA-Fortescue_SDExport'!A:A,'EA-Fortescue_SDExport'!B:B)="Object",
    _xlfn.XLOOKUP(
        _xlfn.XLOOKUP($A355,'EA-ConnectorExport'!A:A,'EA-ConnectorExport'!D:D),
        'EA-Fortescue_SDExport'!A:A,
        'EA-Fortescue_SDExport'!AA:AA
    ),
    _xlfn.XLOOKUP($Q355,'EA-Fortescue_SDExport'!A:A,'EA-Fortescue_SDExport'!AA:AA)
)</f>
        <v>Project</v>
      </c>
      <c r="S355" s="2" t="str">
        <f>_xlfn.LET(_xlpm.result, _xlfn.XLOOKUP($Q355,'EA-Fortescue_SDExport'!$A:$A,'EA-Fortescue_SDExport'!AB:AB), IF(_xlpm.result=0,"",_xlpm.result))</f>
        <v/>
      </c>
      <c r="T355" s="2" t="str">
        <f>_xlfn.LET(_xlpm.result, _xlfn.XLOOKUP($Q355,'EA-Fortescue_SDExport'!$A:$A,'EA-Fortescue_SDExport'!AC:AC), IF(_xlpm.result=0,"",_xlpm.result))</f>
        <v/>
      </c>
      <c r="U355" s="2" t="str">
        <f>_xlfn.LET(
    _xlpm.isObject, _xlfn.XLOOKUP($Q355,'EA-Fortescue_SDExport'!A:A,'EA-Fortescue_SDExport'!B:B),
    _xlpm.lookupKey, IF(_xlpm.isObject="Object",
        _xlfn.XLOOKUP($A355,'EA-ConnectorExport'!A:A,'EA-ConnectorExport'!D:D),
        $Q355
    ),
    _xlpm.result, _xlfn.XLOOKUP(_xlpm.lookupKey,'EA-Fortescue_SDExport'!A:A,'EA-Fortescue_SDExport'!AD:AD),
    IF(_xlpm.result=0,"",_xlpm.result)
)</f>
        <v>005OP IT/OT Systems</v>
      </c>
      <c r="V355" s="2" t="str">
        <f>_xlfn.LET(
    _xlpm.isObject, _xlfn.XLOOKUP($Q355,'EA-Fortescue_SDExport'!A:A,'EA-Fortescue_SDExport'!B:B),
    _xlpm.lookupKey, IF(_xlpm.isObject="Object",
        _xlfn.XLOOKUP($A355,'EA-ConnectorExport'!A:A,'EA-ConnectorExport'!D:D),
        $Q355
    ),
    _xlpm.result, _xlfn.XLOOKUP(_xlpm.lookupKey,'EA-Fortescue_SDExport'!A:A,'EA-Fortescue_SDExport'!AE:AE),
    IF(_xlpm.result=0,"",_xlpm.result)
)</f>
        <v/>
      </c>
      <c r="W355" s="2" t="str">
        <f>_xlfn.LET(
    _xlpm.isObject, _xlfn.XLOOKUP($Q355,'EA-Fortescue_SDExport'!A:A,'EA-Fortescue_SDExport'!B:B),
    _xlpm.lookupKey, IF(_xlpm.isObject="Object",
        _xlfn.XLOOKUP($A355,'EA-ConnectorExport'!A:A,'EA-ConnectorExport'!D:D),
        $Q355
    ),
    _xlpm.result, _xlfn.XLOOKUP(_xlpm.lookupKey,'EA-Fortescue_SDExport'!A:A,'EA-Fortescue_SDExport'!AF:AF),
    IF(_xlpm.result=0,"",_xlpm.result)
)</f>
        <v>005OP-0000-010 10YP &amp; LOM Tool</v>
      </c>
      <c r="X355" s="2" t="str">
        <f>_xlfn.LET(
    _xlpm.isObject, _xlfn.XLOOKUP($Q355,'EA-Fortescue_SDExport'!A:A,'EA-Fortescue_SDExport'!B:B),
    _xlpm.lookupKey, IF(_xlpm.isObject="Object",
        _xlfn.XLOOKUP($A355,'EA-ConnectorExport'!A:A,'EA-ConnectorExport'!D:D),
        $Q355
    ),
    _xlpm.result, _xlfn.XLOOKUP(_xlpm.lookupKey,'EA-Fortescue_SDExport'!A:A,'EA-Fortescue_SDExport'!AG:AG),
    IF(_xlpm.result=0,"",_xlpm.result)
)</f>
        <v/>
      </c>
      <c r="Y355" s="2" t="str">
        <f>_xlfn.LET(
    _xlpm.status, _xlfn.XLOOKUP($A355,'EA-ConnectorExport'!$A:$A,'EA-ConnectorExport'!G:G),
    _xlpm.result, _xlfn.XLOOKUP($A355,'EA-ConnectorExport'!$A:$A,'EA-ConnectorExport'!H:H),
    IF(_xlpm.status="allocate", _xlpm.result, "")
)</f>
        <v>005OP-0000-001 Atlas</v>
      </c>
      <c r="Z355" s="2" t="str">
        <f>_xlfn.LET(
    _xlpm.isObject, _xlfn.XLOOKUP($Y355,'EA-Fortescue_SDExport'!A:A,'EA-Fortescue_SDExport'!B:B),
    _xlpm.lookupKey, IF(_xlpm.isObject="Object",
        _xlfn.XLOOKUP($A355,'EA-ConnectorExport'!A:A,'EA-ConnectorExport'!J:J),
        $Y355
    ),
    _xlpm.result, _xlfn.XLOOKUP(_xlpm.lookupKey,'EA-Fortescue_SDExport'!A:A,'EA-Fortescue_SDExport'!AA:AA),
    IF(_xlpm.result=0,"",_xlpm.result)
)</f>
        <v>Project</v>
      </c>
      <c r="AA355" s="2" t="str">
        <f>_xlfn.LET(_xlpm.result, _xlfn.XLOOKUP($Y355,'EA-Fortescue_SDExport'!$A:$A,'EA-Fortescue_SDExport'!AB:AB), IF(_xlpm.result=0,"",_xlpm.result))</f>
        <v/>
      </c>
      <c r="AB355" s="2" t="str">
        <f>_xlfn.LET(_xlpm.result, _xlfn.XLOOKUP($Y355,'EA-Fortescue_SDExport'!$A:$A,'EA-Fortescue_SDExport'!AC:AC), IF(_xlpm.result=0,"",_xlpm.result))</f>
        <v/>
      </c>
      <c r="AC355" s="2" t="str">
        <f>_xlfn.LET(
    _xlpm.isObject, _xlfn.XLOOKUP($Y355,'EA-Fortescue_SDExport'!A:A,'EA-Fortescue_SDExport'!B:B),
    _xlpm.lookupKey, IF(_xlpm.isObject="Object",
        _xlfn.XLOOKUP($A355,'EA-ConnectorExport'!A:A,'EA-ConnectorExport'!J:J),
        $Y355
    ),
    _xlpm.result, _xlfn.XLOOKUP(_xlpm.lookupKey,'EA-Fortescue_SDExport'!A:A,'EA-Fortescue_SDExport'!AD:AD),
    IF(_xlpm.result=0,"",_xlpm.result)
)</f>
        <v>005OP IT/OT Systems</v>
      </c>
      <c r="AD355" s="2" t="str">
        <f>_xlfn.LET(
    _xlpm.isObject, _xlfn.XLOOKUP($Y355,'EA-Fortescue_SDExport'!A:A,'EA-Fortescue_SDExport'!B:B),
    _xlpm.lookupKey, IF(_xlpm.isObject="Object",
        _xlfn.XLOOKUP($A355,'EA-ConnectorExport'!A:A,'EA-ConnectorExport'!J:J),
        $Y355
    ),
    _xlpm.result, _xlfn.XLOOKUP(_xlpm.lookupKey,'EA-Fortescue_SDExport'!A:A,'EA-Fortescue_SDExport'!AE:AE),
    IF(_xlpm.result=0,"",_xlpm.result)
)</f>
        <v/>
      </c>
      <c r="AE355" s="2" t="str">
        <f>_xlfn.LET(
    _xlpm.isObject, _xlfn.XLOOKUP($Y355,'EA-Fortescue_SDExport'!A:A,'EA-Fortescue_SDExport'!B:B),
    _xlpm.lookupKey, IF(_xlpm.isObject="Object",
        _xlfn.XLOOKUP($A355,'EA-ConnectorExport'!A:A,'EA-ConnectorExport'!J:J),
        $Y355
    ),
    _xlpm.result, _xlfn.XLOOKUP(_xlpm.lookupKey,'EA-Fortescue_SDExport'!A:A,'EA-Fortescue_SDExport'!AF:AF),
    IF(_xlpm.result=0,"",_xlpm.result)
)</f>
        <v>005OP-0000-001 Atlas</v>
      </c>
      <c r="AF355" s="2" t="str">
        <f>_xlfn.LET(
    _xlpm.isObject, _xlfn.XLOOKUP($Y355,'EA-Fortescue_SDExport'!A:A,'EA-Fortescue_SDExport'!B:B),
    _xlpm.lookupKey, IF(_xlpm.isObject="Object",
        _xlfn.XLOOKUP($A355,'EA-ConnectorExport'!A:A,'EA-ConnectorExport'!J:J),
        $Y355
    ),
    _xlpm.result, _xlfn.XLOOKUP(_xlpm.lookupKey,'EA-Fortescue_SDExport'!A:A,'EA-Fortescue_SDExport'!AG:AG),
    IF(_xlpm.result=0,"",_xlpm.result)
)</f>
        <v/>
      </c>
    </row>
    <row r="356" spans="1:32" ht="30" x14ac:dyDescent="0.25">
      <c r="A356" s="2" t="str">
        <v>DGS-I_0355</v>
      </c>
      <c r="B356" s="2" t="str">
        <f t="shared" ref="B356:B357" si="24">Q356 &amp; "|" &amp; Y356</f>
        <v>854DC-5690 Energy Generation - Wind|854DC-1521 HV Substations</v>
      </c>
      <c r="C356" s="2" t="str">
        <f>_xlfn.LET(_xlpm.result, _xlfn.XLOOKUP(A356,'EA-Fortescue_SDExport'!A:A,'EA-Fortescue_SDExport'!AM:AM), IF(_xlpm.result=0,"",_xlpm.result))</f>
        <v/>
      </c>
      <c r="D356" s="2" t="str">
        <f>_xlfn.LET(_xlpm.result, _xlfn.XLOOKUP(A356,'EA-Fortescue_SDExport'!A:A,'EA-Fortescue_SDExport'!AN:AN), IF(_xlpm.result=0,"",_xlpm.result))</f>
        <v/>
      </c>
      <c r="E356" s="2" t="str">
        <f>_xlfn.XLOOKUP(R356&amp;Z356,Lookups!A:A,Lookups!B:B)</f>
        <v>System - System Interface</v>
      </c>
      <c r="F356" s="2" t="str">
        <f>_xlfn.LET(_xlpm.result, _xlfn.XLOOKUP(A356,'EA-Fortescue_SDExport'!A:A,'EA-Fortescue_SDExport'!AP:AP), IF(_xlpm.result=0,"",_xlpm.result))</f>
        <v/>
      </c>
      <c r="G356" s="2" t="str">
        <f>IF(OR(AND(T356&lt;&gt;"", COUNTIF(Lookups!J:J, "*"&amp;T356&amp;"*")&gt;0), AND(AB356&lt;&gt;"", COUNTIF(Lookups!J:J, "*"&amp;AB356&amp;"*")&gt;0)), "Yes", "No")</f>
        <v>No</v>
      </c>
      <c r="H356" s="2" t="str">
        <f t="shared" ref="H356:H357" si="25">IF(AND(U356="",AC356=""),"N/A",IF(U356="", "N/A|" &amp; AC356, IF(AC356="", U356 &amp; "|N/A", U356 &amp; "|" &amp; AC356)))</f>
        <v>854DC Green Power|854DC Green Power</v>
      </c>
      <c r="I356" s="2" t="str">
        <f t="shared" ref="I356:I357" si="26">IF(AND(V356="",AD356=""),"N/A",IF(V356="","N/A|" &amp; AD356,IF(AD356="",V356 &amp; "|N/A",V356 &amp; "|" &amp; AD356)))</f>
        <v>854DC-5690 Energy Generation - Wind|854DC-1521 HV Substations</v>
      </c>
      <c r="J356" s="2" t="str">
        <f t="shared" ref="J356:J357" si="27">IF(AND(W356="",AE356=""),"N/A",IF(W356="","N/A|" &amp; AE356,IF(AE356="",W356 &amp; "|N/A",W356 &amp; "|" &amp; AE356)))</f>
        <v>N/A</v>
      </c>
      <c r="K356" s="2" t="str">
        <f>_xlfn.XLOOKUP(A356,'EA-Fortescue_SDExport'!A:A,'EA-Fortescue_SDExport'!N:N)</f>
        <v>Proposed</v>
      </c>
      <c r="L356" s="2" t="str">
        <f>_xlfn.LET(_xlpm.result, _xlfn.XLOOKUP($A356,'EA-Fortescue_SDExport'!$A:$A,'EA-Fortescue_SDExport'!AQ:AQ), IF(_xlpm.result=0,"",_xlpm.result))</f>
        <v/>
      </c>
      <c r="M356" s="2" t="str">
        <f>_xlfn.LET(_xlpm.result, _xlfn.XLOOKUP($A356,'EA-Fortescue_SDExport'!$A:$A,'EA-Fortescue_SDExport'!AR:AR), IF(_xlpm.result=0,"",_xlpm.result))</f>
        <v/>
      </c>
      <c r="N356" s="2" t="str">
        <f>_xlfn.LET(_xlpm.result, _xlfn.XLOOKUP($A356,'EA-Fortescue_SDExport'!$A:$A,'EA-Fortescue_SDExport'!AW:AW), IF(_xlpm.result=0,"",_xlpm.result))</f>
        <v/>
      </c>
      <c r="O356" s="2" t="str">
        <f>_xlfn.LET(_xlpm.result, _xlfn.XLOOKUP($A356,'EA-Fortescue_SDExport'!$A:$A,'EA-Fortescue_SDExport'!AV:AV), IF(_xlpm.result=0,"",_xlpm.result))</f>
        <v/>
      </c>
      <c r="P356" s="2" t="str">
        <f>_xlfn.LET(_xlpm.result, _xlfn.XLOOKUP($A356,'EA-Fortescue_SDExport'!$A:$A,'EA-Fortescue_SDExport'!D:D), IF(_xlpm.result=0,"",_xlpm.result))</f>
        <v/>
      </c>
      <c r="Q356" s="2" t="str">
        <f>_xlfn.LET(
    _xlpm.status, _xlfn.XLOOKUP($A356,'EA-ConnectorExport'!$A:$A,'EA-ConnectorExport'!G:G),
    _xlpm.result, _xlfn.XLOOKUP($A356,'EA-ConnectorExport'!$A:$A,'EA-ConnectorExport'!B:B),
    IF(_xlpm.status="allocate", _xlpm.result, "")
)</f>
        <v>854DC-5690 Energy Generation - Wind</v>
      </c>
      <c r="R356" s="2" t="str">
        <f>IF(
    _xlfn.XLOOKUP($Q356,'EA-Fortescue_SDExport'!A:A,'EA-Fortescue_SDExport'!B:B)="Object",
    _xlfn.XLOOKUP(
        _xlfn.XLOOKUP($A356,'EA-ConnectorExport'!A:A,'EA-ConnectorExport'!D:D),
        'EA-Fortescue_SDExport'!A:A,
        'EA-Fortescue_SDExport'!AA:AA
    ),
    _xlfn.XLOOKUP($Q356,'EA-Fortescue_SDExport'!A:A,'EA-Fortescue_SDExport'!AA:AA)
)</f>
        <v>System</v>
      </c>
      <c r="S356" s="2" t="str">
        <f>_xlfn.LET(_xlpm.result, _xlfn.XLOOKUP($Q356,'EA-Fortescue_SDExport'!$A:$A,'EA-Fortescue_SDExport'!AB:AB), IF(_xlpm.result=0,"",_xlpm.result))</f>
        <v/>
      </c>
      <c r="T356" s="2" t="str">
        <f>_xlfn.LET(_xlpm.result, _xlfn.XLOOKUP($Q356,'EA-Fortescue_SDExport'!$A:$A,'EA-Fortescue_SDExport'!AC:AC), IF(_xlpm.result=0,"",_xlpm.result))</f>
        <v>Generic Physical Asset</v>
      </c>
      <c r="U356" s="2" t="str">
        <f>_xlfn.LET(
    _xlpm.isObject, _xlfn.XLOOKUP($Q356,'EA-Fortescue_SDExport'!A:A,'EA-Fortescue_SDExport'!B:B),
    _xlpm.lookupKey, IF(_xlpm.isObject="Object",
        _xlfn.XLOOKUP($A356,'EA-ConnectorExport'!A:A,'EA-ConnectorExport'!D:D),
        $Q356
    ),
    _xlpm.result, _xlfn.XLOOKUP(_xlpm.lookupKey,'EA-Fortescue_SDExport'!A:A,'EA-Fortescue_SDExport'!AD:AD),
    IF(_xlpm.result=0,"",_xlpm.result)
)</f>
        <v>854DC Green Power</v>
      </c>
      <c r="V356" s="2" t="str">
        <f>_xlfn.LET(
    _xlpm.isObject, _xlfn.XLOOKUP($Q356,'EA-Fortescue_SDExport'!A:A,'EA-Fortescue_SDExport'!B:B),
    _xlpm.lookupKey, IF(_xlpm.isObject="Object",
        _xlfn.XLOOKUP($A356,'EA-ConnectorExport'!A:A,'EA-ConnectorExport'!D:D),
        $Q356
    ),
    _xlpm.result, _xlfn.XLOOKUP(_xlpm.lookupKey,'EA-Fortescue_SDExport'!A:A,'EA-Fortescue_SDExport'!AE:AE),
    IF(_xlpm.result=0,"",_xlpm.result)
)</f>
        <v>854DC-5690 Energy Generation - Wind</v>
      </c>
      <c r="W356" s="2" t="str">
        <f>_xlfn.LET(
    _xlpm.isObject, _xlfn.XLOOKUP($Q356,'EA-Fortescue_SDExport'!A:A,'EA-Fortescue_SDExport'!B:B),
    _xlpm.lookupKey, IF(_xlpm.isObject="Object",
        _xlfn.XLOOKUP($A356,'EA-ConnectorExport'!A:A,'EA-ConnectorExport'!D:D),
        $Q356
    ),
    _xlpm.result, _xlfn.XLOOKUP(_xlpm.lookupKey,'EA-Fortescue_SDExport'!A:A,'EA-Fortescue_SDExport'!AF:AF),
    IF(_xlpm.result=0,"",_xlpm.result)
)</f>
        <v/>
      </c>
      <c r="X356" s="2" t="str">
        <f>_xlfn.LET(
    _xlpm.isObject, _xlfn.XLOOKUP($Q356,'EA-Fortescue_SDExport'!A:A,'EA-Fortescue_SDExport'!B:B),
    _xlpm.lookupKey, IF(_xlpm.isObject="Object",
        _xlfn.XLOOKUP($A356,'EA-ConnectorExport'!A:A,'EA-ConnectorExport'!D:D),
        $Q356
    ),
    _xlpm.result, _xlfn.XLOOKUP(_xlpm.lookupKey,'EA-Fortescue_SDExport'!A:A,'EA-Fortescue_SDExport'!AG:AG),
    IF(_xlpm.result=0,"",_xlpm.result)
)</f>
        <v/>
      </c>
      <c r="Y356" s="2" t="str">
        <f>_xlfn.LET(
    _xlpm.status, _xlfn.XLOOKUP($A356,'EA-ConnectorExport'!$A:$A,'EA-ConnectorExport'!G:G),
    _xlpm.result, _xlfn.XLOOKUP($A356,'EA-ConnectorExport'!$A:$A,'EA-ConnectorExport'!H:H),
    IF(_xlpm.status="allocate", _xlpm.result, "")
)</f>
        <v>854DC-1521 HV Substations</v>
      </c>
      <c r="Z356" s="2" t="str">
        <f>_xlfn.LET(
    _xlpm.isObject, _xlfn.XLOOKUP($Y356,'EA-Fortescue_SDExport'!A:A,'EA-Fortescue_SDExport'!B:B),
    _xlpm.lookupKey, IF(_xlpm.isObject="Object",
        _xlfn.XLOOKUP($A356,'EA-ConnectorExport'!A:A,'EA-ConnectorExport'!J:J),
        $Y356
    ),
    _xlpm.result, _xlfn.XLOOKUP(_xlpm.lookupKey,'EA-Fortescue_SDExport'!A:A,'EA-Fortescue_SDExport'!AA:AA),
    IF(_xlpm.result=0,"",_xlpm.result)
)</f>
        <v>System</v>
      </c>
      <c r="AA356" s="2" t="str">
        <f>_xlfn.LET(_xlpm.result, _xlfn.XLOOKUP($Y356,'EA-Fortescue_SDExport'!$A:$A,'EA-Fortescue_SDExport'!AB:AB), IF(_xlpm.result=0,"",_xlpm.result))</f>
        <v/>
      </c>
      <c r="AB356" s="2" t="str">
        <f>_xlfn.LET(_xlpm.result, _xlfn.XLOOKUP($Y356,'EA-Fortescue_SDExport'!$A:$A,'EA-Fortescue_SDExport'!AC:AC), IF(_xlpm.result=0,"",_xlpm.result))</f>
        <v>Generic Physical Asset</v>
      </c>
      <c r="AC356" s="2" t="str">
        <f>_xlfn.LET(
    _xlpm.isObject, _xlfn.XLOOKUP($Y356,'EA-Fortescue_SDExport'!A:A,'EA-Fortescue_SDExport'!B:B),
    _xlpm.lookupKey, IF(_xlpm.isObject="Object",
        _xlfn.XLOOKUP($A356,'EA-ConnectorExport'!A:A,'EA-ConnectorExport'!J:J),
        $Y356
    ),
    _xlpm.result, _xlfn.XLOOKUP(_xlpm.lookupKey,'EA-Fortescue_SDExport'!A:A,'EA-Fortescue_SDExport'!AD:AD),
    IF(_xlpm.result=0,"",_xlpm.result)
)</f>
        <v>854DC Green Power</v>
      </c>
      <c r="AD356" s="2" t="str">
        <f>_xlfn.LET(
    _xlpm.isObject, _xlfn.XLOOKUP($Y356,'EA-Fortescue_SDExport'!A:A,'EA-Fortescue_SDExport'!B:B),
    _xlpm.lookupKey, IF(_xlpm.isObject="Object",
        _xlfn.XLOOKUP($A356,'EA-ConnectorExport'!A:A,'EA-ConnectorExport'!J:J),
        $Y356
    ),
    _xlpm.result, _xlfn.XLOOKUP(_xlpm.lookupKey,'EA-Fortescue_SDExport'!A:A,'EA-Fortescue_SDExport'!AE:AE),
    IF(_xlpm.result=0,"",_xlpm.result)
)</f>
        <v>854DC-1521 HV Substations</v>
      </c>
      <c r="AE356" s="2" t="str">
        <f>_xlfn.LET(
    _xlpm.isObject, _xlfn.XLOOKUP($Y356,'EA-Fortescue_SDExport'!A:A,'EA-Fortescue_SDExport'!B:B),
    _xlpm.lookupKey, IF(_xlpm.isObject="Object",
        _xlfn.XLOOKUP($A356,'EA-ConnectorExport'!A:A,'EA-ConnectorExport'!J:J),
        $Y356
    ),
    _xlpm.result, _xlfn.XLOOKUP(_xlpm.lookupKey,'EA-Fortescue_SDExport'!A:A,'EA-Fortescue_SDExport'!AF:AF),
    IF(_xlpm.result=0,"",_xlpm.result)
)</f>
        <v/>
      </c>
      <c r="AF356" s="2" t="str">
        <f>_xlfn.LET(
    _xlpm.isObject, _xlfn.XLOOKUP($Y356,'EA-Fortescue_SDExport'!A:A,'EA-Fortescue_SDExport'!B:B),
    _xlpm.lookupKey, IF(_xlpm.isObject="Object",
        _xlfn.XLOOKUP($A356,'EA-ConnectorExport'!A:A,'EA-ConnectorExport'!J:J),
        $Y356
    ),
    _xlpm.result, _xlfn.XLOOKUP(_xlpm.lookupKey,'EA-Fortescue_SDExport'!A:A,'EA-Fortescue_SDExport'!AG:AG),
    IF(_xlpm.result=0,"",_xlpm.result)
)</f>
        <v/>
      </c>
    </row>
    <row r="357" spans="1:32" ht="135" x14ac:dyDescent="0.25">
      <c r="A357" s="2" t="str">
        <v>DGS-I_0356</v>
      </c>
      <c r="B357" s="2" t="str">
        <f t="shared" si="24"/>
        <v>855DC-1542-010 WAMS|855DC-1541-DEL Delphi</v>
      </c>
      <c r="C357" s="2" t="str">
        <f>_xlfn.LET(_xlpm.result, _xlfn.XLOOKUP(A357,'EA-Fortescue_SDExport'!A:A,'EA-Fortescue_SDExport'!AM:AM), IF(_xlpm.result=0,"",_xlpm.result))</f>
        <v/>
      </c>
      <c r="D357" s="2" t="str">
        <f>_xlfn.LET(_xlpm.result, _xlfn.XLOOKUP(A357,'EA-Fortescue_SDExport'!A:A,'EA-Fortescue_SDExport'!AN:AN), IF(_xlpm.result=0,"",_xlpm.result))</f>
        <v/>
      </c>
      <c r="E357" s="2" t="str">
        <f>_xlfn.XLOOKUP(R357&amp;Z357,Lookups!A:A,Lookups!B:B)</f>
        <v>Project - Project Interface</v>
      </c>
      <c r="F357" s="2" t="str">
        <f>_xlfn.LET(_xlpm.result, _xlfn.XLOOKUP(A357,'EA-Fortescue_SDExport'!A:A,'EA-Fortescue_SDExport'!AP:AP), IF(_xlpm.result=0,"",_xlpm.result))</f>
        <v>Technical-Data/Software</v>
      </c>
      <c r="G357" s="2" t="str">
        <f>IF(OR(AND(T357&lt;&gt;"", COUNTIF(Lookups!J:J, "*"&amp;T357&amp;"*")&gt;0), AND(AB357&lt;&gt;"", COUNTIF(Lookups!J:J, "*"&amp;AB357&amp;"*")&gt;0)), "Yes", "No")</f>
        <v>No</v>
      </c>
      <c r="H357" s="2" t="str">
        <f t="shared" si="25"/>
        <v>855DC Decarb Green Systems|855DC Decarb Green Systems</v>
      </c>
      <c r="I357" s="2" t="str">
        <f t="shared" si="26"/>
        <v>855DC-1542 Control &amp; Monitoring Systems|855DC-1541 Planning and Forecast Systems</v>
      </c>
      <c r="J357" s="2" t="str">
        <f t="shared" si="27"/>
        <v>855DC-1542-010 WAMS|855DC-1541-DEL Delphi</v>
      </c>
      <c r="K357" s="2" t="str">
        <f>_xlfn.XLOOKUP(A357,'EA-Fortescue_SDExport'!A:A,'EA-Fortescue_SDExport'!N:N)</f>
        <v>Proposed</v>
      </c>
      <c r="L357" s="2" t="str">
        <f>_xlfn.LET(_xlpm.result, _xlfn.XLOOKUP($A357,'EA-Fortescue_SDExport'!$A:$A,'EA-Fortescue_SDExport'!AQ:AQ), IF(_xlpm.result=0,"",_xlpm.result))</f>
        <v>This interface enables the transfer of wide-area power system monitoring data from WAMS to Delphi. WAMS provides high-resolution grid stability measurements, including voltage, frequency, phase angle, oscillation, and other synchrophasor-derived metrics. Delphi ingests this time-aligned operational data for storage, visualisation, analytics, and integration with forecasting and planning systems. The interface supports monitoring and analysis only and does not perform control or protection functions.</v>
      </c>
      <c r="M357" s="2" t="str">
        <f>_xlfn.LET(_xlpm.result, _xlfn.XLOOKUP($A357,'EA-Fortescue_SDExport'!$A:$A,'EA-Fortescue_SDExport'!AR:AR), IF(_xlpm.result=0,"",_xlpm.result))</f>
        <v>LOW</v>
      </c>
      <c r="N357" s="2" t="str">
        <f>_xlfn.LET(_xlpm.result, _xlfn.XLOOKUP($A357,'EA-Fortescue_SDExport'!$A:$A,'EA-Fortescue_SDExport'!AW:AW), IF(_xlpm.result=0,"",_xlpm.result))</f>
        <v>The criticality level is LOW because a failure of this interface only affects the transfer of high-resolution monitoring data to Delphi for visualisation, analytics, and planning support. Core power system control, protection, and grid stability are not impacted, and operational teams can continue monitoring and forecasting using alternative sources or delayed data.</v>
      </c>
      <c r="O357" s="2" t="str">
        <f>_xlfn.LET(_xlpm.result, _xlfn.XLOOKUP($A357,'EA-Fortescue_SDExport'!$A:$A,'EA-Fortescue_SDExport'!AV:AV), IF(_xlpm.result=0,"",_xlpm.result))</f>
        <v>WAMS -&gt; Delphi</v>
      </c>
      <c r="P357" s="2" t="str">
        <f>_xlfn.LET(_xlpm.result, _xlfn.XLOOKUP($A357,'EA-Fortescue_SDExport'!$A:$A,'EA-Fortescue_SDExport'!D:D), IF(_xlpm.result=0,"",_xlpm.result))</f>
        <v>NH 18/02/2026: Fields updated: Interface Type, Interface Description (Interface Purpose), Interface Criticality, Interface Criticality Explanation, Interface Flow._x000D_
NH 25/02/2026: Fields updated:Interface Criticality, Interface Criticality Explanation, Interface Flow</v>
      </c>
      <c r="Q357" s="2" t="str">
        <f>_xlfn.LET(
    _xlpm.status, _xlfn.XLOOKUP($A357,'EA-ConnectorExport'!$A:$A,'EA-ConnectorExport'!G:G),
    _xlpm.result, _xlfn.XLOOKUP($A357,'EA-ConnectorExport'!$A:$A,'EA-ConnectorExport'!B:B),
    IF(_xlpm.status="allocate", _xlpm.result, "")
)</f>
        <v>855DC-1542-010 WAMS</v>
      </c>
      <c r="R357" s="2" t="str">
        <f>IF(
    _xlfn.XLOOKUP($Q357,'EA-Fortescue_SDExport'!A:A,'EA-Fortescue_SDExport'!B:B)="Object",
    _xlfn.XLOOKUP(
        _xlfn.XLOOKUP($A357,'EA-ConnectorExport'!A:A,'EA-ConnectorExport'!D:D),
        'EA-Fortescue_SDExport'!A:A,
        'EA-Fortescue_SDExport'!AA:AA
    ),
    _xlfn.XLOOKUP($Q357,'EA-Fortescue_SDExport'!A:A,'EA-Fortescue_SDExport'!AA:AA)
)</f>
        <v>Project</v>
      </c>
      <c r="S357" s="2" t="str">
        <f>_xlfn.LET(_xlpm.result, _xlfn.XLOOKUP($Q357,'EA-Fortescue_SDExport'!$A:$A,'EA-Fortescue_SDExport'!AB:AB), IF(_xlpm.result=0,"",_xlpm.result))</f>
        <v/>
      </c>
      <c r="T357" s="2" t="str">
        <f>_xlfn.LET(_xlpm.result, _xlfn.XLOOKUP($Q357,'EA-Fortescue_SDExport'!$A:$A,'EA-Fortescue_SDExport'!AC:AC), IF(_xlpm.result=0,"",_xlpm.result))</f>
        <v/>
      </c>
      <c r="U357" s="2" t="str">
        <f>_xlfn.LET(
    _xlpm.isObject, _xlfn.XLOOKUP($Q357,'EA-Fortescue_SDExport'!A:A,'EA-Fortescue_SDExport'!B:B),
    _xlpm.lookupKey, IF(_xlpm.isObject="Object",
        _xlfn.XLOOKUP($A357,'EA-ConnectorExport'!A:A,'EA-ConnectorExport'!D:D),
        $Q357
    ),
    _xlpm.result, _xlfn.XLOOKUP(_xlpm.lookupKey,'EA-Fortescue_SDExport'!A:A,'EA-Fortescue_SDExport'!AD:AD),
    IF(_xlpm.result=0,"",_xlpm.result)
)</f>
        <v>855DC Decarb Green Systems</v>
      </c>
      <c r="V357" s="2" t="str">
        <f>_xlfn.LET(
    _xlpm.isObject, _xlfn.XLOOKUP($Q357,'EA-Fortescue_SDExport'!A:A,'EA-Fortescue_SDExport'!B:B),
    _xlpm.lookupKey, IF(_xlpm.isObject="Object",
        _xlfn.XLOOKUP($A357,'EA-ConnectorExport'!A:A,'EA-ConnectorExport'!D:D),
        $Q357
    ),
    _xlpm.result, _xlfn.XLOOKUP(_xlpm.lookupKey,'EA-Fortescue_SDExport'!A:A,'EA-Fortescue_SDExport'!AE:AE),
    IF(_xlpm.result=0,"",_xlpm.result)
)</f>
        <v>855DC-1542 Control &amp; Monitoring Systems</v>
      </c>
      <c r="W357" s="2" t="str">
        <f>_xlfn.LET(
    _xlpm.isObject, _xlfn.XLOOKUP($Q357,'EA-Fortescue_SDExport'!A:A,'EA-Fortescue_SDExport'!B:B),
    _xlpm.lookupKey, IF(_xlpm.isObject="Object",
        _xlfn.XLOOKUP($A357,'EA-ConnectorExport'!A:A,'EA-ConnectorExport'!D:D),
        $Q357
    ),
    _xlpm.result, _xlfn.XLOOKUP(_xlpm.lookupKey,'EA-Fortescue_SDExport'!A:A,'EA-Fortescue_SDExport'!AF:AF),
    IF(_xlpm.result=0,"",_xlpm.result)
)</f>
        <v>855DC-1542-010 WAMS</v>
      </c>
      <c r="X357" s="2" t="str">
        <f>_xlfn.LET(
    _xlpm.isObject, _xlfn.XLOOKUP($Q357,'EA-Fortescue_SDExport'!A:A,'EA-Fortescue_SDExport'!B:B),
    _xlpm.lookupKey, IF(_xlpm.isObject="Object",
        _xlfn.XLOOKUP($A357,'EA-ConnectorExport'!A:A,'EA-ConnectorExport'!D:D),
        $Q357
    ),
    _xlpm.result, _xlfn.XLOOKUP(_xlpm.lookupKey,'EA-Fortescue_SDExport'!A:A,'EA-Fortescue_SDExport'!AG:AG),
    IF(_xlpm.result=0,"",_xlpm.result)
)</f>
        <v/>
      </c>
      <c r="Y357" s="2" t="str">
        <f>_xlfn.LET(
    _xlpm.status, _xlfn.XLOOKUP($A357,'EA-ConnectorExport'!$A:$A,'EA-ConnectorExport'!G:G),
    _xlpm.result, _xlfn.XLOOKUP($A357,'EA-ConnectorExport'!$A:$A,'EA-ConnectorExport'!H:H),
    IF(_xlpm.status="allocate", _xlpm.result, "")
)</f>
        <v>855DC-1541-DEL Delphi</v>
      </c>
      <c r="Z357" s="2" t="str">
        <f>_xlfn.LET(
    _xlpm.isObject, _xlfn.XLOOKUP($Y357,'EA-Fortescue_SDExport'!A:A,'EA-Fortescue_SDExport'!B:B),
    _xlpm.lookupKey, IF(_xlpm.isObject="Object",
        _xlfn.XLOOKUP($A357,'EA-ConnectorExport'!A:A,'EA-ConnectorExport'!J:J),
        $Y357
    ),
    _xlpm.result, _xlfn.XLOOKUP(_xlpm.lookupKey,'EA-Fortescue_SDExport'!A:A,'EA-Fortescue_SDExport'!AA:AA),
    IF(_xlpm.result=0,"",_xlpm.result)
)</f>
        <v>Project</v>
      </c>
      <c r="AA357" s="2" t="str">
        <f>_xlfn.LET(_xlpm.result, _xlfn.XLOOKUP($Y357,'EA-Fortescue_SDExport'!$A:$A,'EA-Fortescue_SDExport'!AB:AB), IF(_xlpm.result=0,"",_xlpm.result))</f>
        <v>Energy Operations</v>
      </c>
      <c r="AB357" s="2" t="str">
        <f>_xlfn.LET(_xlpm.result, _xlfn.XLOOKUP($Y357,'EA-Fortescue_SDExport'!$A:$A,'EA-Fortescue_SDExport'!AC:AC), IF(_xlpm.result=0,"",_xlpm.result))</f>
        <v/>
      </c>
      <c r="AC357" s="2" t="str">
        <f>_xlfn.LET(
    _xlpm.isObject, _xlfn.XLOOKUP($Y357,'EA-Fortescue_SDExport'!A:A,'EA-Fortescue_SDExport'!B:B),
    _xlpm.lookupKey, IF(_xlpm.isObject="Object",
        _xlfn.XLOOKUP($A357,'EA-ConnectorExport'!A:A,'EA-ConnectorExport'!J:J),
        $Y357
    ),
    _xlpm.result, _xlfn.XLOOKUP(_xlpm.lookupKey,'EA-Fortescue_SDExport'!A:A,'EA-Fortescue_SDExport'!AD:AD),
    IF(_xlpm.result=0,"",_xlpm.result)
)</f>
        <v>855DC Decarb Green Systems</v>
      </c>
      <c r="AD357" s="2" t="str">
        <f>_xlfn.LET(
    _xlpm.isObject, _xlfn.XLOOKUP($Y357,'EA-Fortescue_SDExport'!A:A,'EA-Fortescue_SDExport'!B:B),
    _xlpm.lookupKey, IF(_xlpm.isObject="Object",
        _xlfn.XLOOKUP($A357,'EA-ConnectorExport'!A:A,'EA-ConnectorExport'!J:J),
        $Y357
    ),
    _xlpm.result, _xlfn.XLOOKUP(_xlpm.lookupKey,'EA-Fortescue_SDExport'!A:A,'EA-Fortescue_SDExport'!AE:AE),
    IF(_xlpm.result=0,"",_xlpm.result)
)</f>
        <v>855DC-1541 Planning and Forecast Systems</v>
      </c>
      <c r="AE357" s="2" t="str">
        <f>_xlfn.LET(
    _xlpm.isObject, _xlfn.XLOOKUP($Y357,'EA-Fortescue_SDExport'!A:A,'EA-Fortescue_SDExport'!B:B),
    _xlpm.lookupKey, IF(_xlpm.isObject="Object",
        _xlfn.XLOOKUP($A357,'EA-ConnectorExport'!A:A,'EA-ConnectorExport'!J:J),
        $Y357
    ),
    _xlpm.result, _xlfn.XLOOKUP(_xlpm.lookupKey,'EA-Fortescue_SDExport'!A:A,'EA-Fortescue_SDExport'!AF:AF),
    IF(_xlpm.result=0,"",_xlpm.result)
)</f>
        <v>855DC-1541-DEL Delphi</v>
      </c>
      <c r="AF357" s="2" t="str">
        <f>_xlfn.LET(
    _xlpm.isObject, _xlfn.XLOOKUP($Y357,'EA-Fortescue_SDExport'!A:A,'EA-Fortescue_SDExport'!B:B),
    _xlpm.lookupKey, IF(_xlpm.isObject="Object",
        _xlfn.XLOOKUP($A357,'EA-ConnectorExport'!A:A,'EA-ConnectorExport'!J:J),
        $Y357
    ),
    _xlpm.result, _xlfn.XLOOKUP(_xlpm.lookupKey,'EA-Fortescue_SDExport'!A:A,'EA-Fortescue_SDExport'!AG:AG),
    IF(_xlpm.result=0,"",_xlpm.result)
)</f>
        <v/>
      </c>
    </row>
    <row r="358" spans="1:32" ht="255" x14ac:dyDescent="0.25">
      <c r="A358" s="2" t="str">
        <v>DGS-I_0357</v>
      </c>
      <c r="B358" s="2" t="str">
        <f t="shared" ref="B358" si="28">Q358 &amp; "|" &amp; Y358</f>
        <v>855DC-1541-DEL Delphi|855DC-1541-PPC Pit Power Capacity Planning Tool - Design Optimisation</v>
      </c>
      <c r="C358" s="2" t="str">
        <f>_xlfn.LET(_xlpm.result, _xlfn.XLOOKUP(A358,'EA-Fortescue_SDExport'!A:A,'EA-Fortescue_SDExport'!AM:AM), IF(_xlpm.result=0,"",_xlpm.result))</f>
        <v/>
      </c>
      <c r="D358" s="2" t="str">
        <f>_xlfn.LET(_xlpm.result, _xlfn.XLOOKUP(A358,'EA-Fortescue_SDExport'!A:A,'EA-Fortescue_SDExport'!AN:AN), IF(_xlpm.result=0,"",_xlpm.result))</f>
        <v/>
      </c>
      <c r="E358" s="2" t="str">
        <f>_xlfn.XLOOKUP(R358&amp;Z358,Lookups!A:A,Lookups!B:B)</f>
        <v>Project - Project Interface</v>
      </c>
      <c r="F358" s="2" t="str">
        <f>_xlfn.LET(_xlpm.result, _xlfn.XLOOKUP(A358,'EA-Fortescue_SDExport'!A:A,'EA-Fortescue_SDExport'!AP:AP), IF(_xlpm.result=0,"",_xlpm.result))</f>
        <v>Technical-Data/Software</v>
      </c>
      <c r="G358" s="2" t="str">
        <f>IF(OR(AND(T358&lt;&gt;"", COUNTIF(Lookups!J:J, "*"&amp;T358&amp;"*")&gt;0), AND(AB358&lt;&gt;"", COUNTIF(Lookups!J:J, "*"&amp;AB358&amp;"*")&gt;0)), "Yes", "No")</f>
        <v>No</v>
      </c>
      <c r="H358" s="2" t="str">
        <f t="shared" ref="H358" si="29">IF(AND(U358="",AC358=""),"N/A",IF(U358="", "N/A|" &amp; AC358, IF(AC358="", U358 &amp; "|N/A", U358 &amp; "|" &amp; AC358)))</f>
        <v>855DC Decarb Green Systems|855DC Decarb Green Systems</v>
      </c>
      <c r="I358" s="2" t="str">
        <f t="shared" ref="I358" si="30">IF(AND(V358="",AD358=""),"N/A",IF(V358="","N/A|" &amp; AD358,IF(AD358="",V358 &amp; "|N/A",V358 &amp; "|" &amp; AD358)))</f>
        <v>855DC-1541 Planning and Forecast Systems|855DC-1541 Planning and Forecast Systems</v>
      </c>
      <c r="J358" s="2" t="str">
        <f t="shared" ref="J358" si="31">IF(AND(W358="",AE358=""),"N/A",IF(W358="","N/A|" &amp; AE358,IF(AE358="",W358 &amp; "|N/A",W358 &amp; "|" &amp; AE358)))</f>
        <v>855DC-1541-DEL Delphi|855DC-1541-PPC Pit Power Capacity Planning Tool - Design Optimisation</v>
      </c>
      <c r="K358" s="2" t="str">
        <f>_xlfn.XLOOKUP(A358,'EA-Fortescue_SDExport'!A:A,'EA-Fortescue_SDExport'!N:N)</f>
        <v>Proposed</v>
      </c>
      <c r="L358" s="2" t="str">
        <f>_xlfn.LET(_xlpm.result, _xlfn.XLOOKUP($A358,'EA-Fortescue_SDExport'!$A:$A,'EA-Fortescue_SDExport'!AQ:AQ), IF(_xlpm.result=0,"",_xlpm.result))</f>
        <v>This interface enables Pit Power Capacity Planning Tool - Design Optimisation to exchange forecast and energy system data with Delphi, Fortescue's forecasting and forecast-governance platform. Delphi provides governed load and generation forecasts, scenario sets, and trust-state context to support energy-aware planning and optimisation within PPCP. The interface ensures planning studies align with the same authoritative forecast logic used in operational scheduling, while preserving traceability and consistency of forecast assumptions.</v>
      </c>
      <c r="M358" s="2" t="str">
        <f>_xlfn.LET(_xlpm.result, _xlfn.XLOOKUP($A358,'EA-Fortescue_SDExport'!$A:$A,'EA-Fortescue_SDExport'!AR:AR), IF(_xlpm.result=0,"",_xlpm.result))</f>
        <v>MEDIUM</v>
      </c>
      <c r="N358" s="2" t="str">
        <f>_xlfn.LET(_xlpm.result, _xlfn.XLOOKUP($A358,'EA-Fortescue_SDExport'!$A:$A,'EA-Fortescue_SDExport'!AW:AW), IF(_xlpm.result=0,"",_xlpm.result))</f>
        <v>The criticality level is MEDIUM because this interface supports energy-aware planning accuracy and alignment with governed forecasts, but it does not affect real-time dispatch, control systems, or safety-critical operations. Failure would reduce planning confidence and consistency but would not interrupt production continuity.</v>
      </c>
      <c r="O358" s="2" t="str">
        <f>_xlfn.LET(_xlpm.result, _xlfn.XLOOKUP($A358,'EA-Fortescue_SDExport'!$A:$A,'EA-Fortescue_SDExport'!AV:AV), IF(_xlpm.result=0,"",_xlpm.result))</f>
        <v>Delphi -&gt; Pit Power Capacity Planning Tool - Design Optimisation</v>
      </c>
      <c r="P358" s="2" t="str">
        <f>_xlfn.LET(_xlpm.result, _xlfn.XLOOKUP($A358,'EA-Fortescue_SDExport'!$A:$A,'EA-Fortescue_SDExport'!D:D), IF(_xlpm.result=0,"",_xlpm.result))</f>
        <v>NH 18/02/2026: Fields updated: Interface Type, Interface Description (Interface Purpose), Interface Criticality, Interface Criticality Explanation, Interface Flow.</v>
      </c>
      <c r="Q358" s="2" t="str">
        <f>_xlfn.LET(
    _xlpm.status, _xlfn.XLOOKUP($A358,'EA-ConnectorExport'!$A:$A,'EA-ConnectorExport'!G:G),
    _xlpm.result, _xlfn.XLOOKUP($A358,'EA-ConnectorExport'!$A:$A,'EA-ConnectorExport'!B:B),
    IF(_xlpm.status="allocate", _xlpm.result, "")
)</f>
        <v>855DC-1541-DEL Delphi</v>
      </c>
      <c r="R358" s="2" t="str">
        <f>IF(
    _xlfn.XLOOKUP($Q358,'EA-Fortescue_SDExport'!A:A,'EA-Fortescue_SDExport'!B:B)="Object",
    _xlfn.XLOOKUP(
        _xlfn.XLOOKUP($A358,'EA-ConnectorExport'!A:A,'EA-ConnectorExport'!D:D),
        'EA-Fortescue_SDExport'!A:A,
        'EA-Fortescue_SDExport'!AA:AA
    ),
    _xlfn.XLOOKUP($Q358,'EA-Fortescue_SDExport'!A:A,'EA-Fortescue_SDExport'!AA:AA)
)</f>
        <v>Project</v>
      </c>
      <c r="S358" s="2" t="str">
        <f>_xlfn.LET(_xlpm.result, _xlfn.XLOOKUP($Q358,'EA-Fortescue_SDExport'!$A:$A,'EA-Fortescue_SDExport'!AB:AB), IF(_xlpm.result=0,"",_xlpm.result))</f>
        <v>Energy Operations</v>
      </c>
      <c r="T358" s="2" t="str">
        <f>_xlfn.LET(_xlpm.result, _xlfn.XLOOKUP($Q358,'EA-Fortescue_SDExport'!$A:$A,'EA-Fortescue_SDExport'!AC:AC), IF(_xlpm.result=0,"",_xlpm.result))</f>
        <v/>
      </c>
      <c r="U358" s="2" t="str">
        <f>_xlfn.LET(
    _xlpm.isObject, _xlfn.XLOOKUP($Q358,'EA-Fortescue_SDExport'!A:A,'EA-Fortescue_SDExport'!B:B),
    _xlpm.lookupKey, IF(_xlpm.isObject="Object",
        _xlfn.XLOOKUP($A358,'EA-ConnectorExport'!A:A,'EA-ConnectorExport'!D:D),
        $Q358
    ),
    _xlpm.result, _xlfn.XLOOKUP(_xlpm.lookupKey,'EA-Fortescue_SDExport'!A:A,'EA-Fortescue_SDExport'!AD:AD),
    IF(_xlpm.result=0,"",_xlpm.result)
)</f>
        <v>855DC Decarb Green Systems</v>
      </c>
      <c r="V358" s="2" t="str">
        <f>_xlfn.LET(
    _xlpm.isObject, _xlfn.XLOOKUP($Q358,'EA-Fortescue_SDExport'!A:A,'EA-Fortescue_SDExport'!B:B),
    _xlpm.lookupKey, IF(_xlpm.isObject="Object",
        _xlfn.XLOOKUP($A358,'EA-ConnectorExport'!A:A,'EA-ConnectorExport'!D:D),
        $Q358
    ),
    _xlpm.result, _xlfn.XLOOKUP(_xlpm.lookupKey,'EA-Fortescue_SDExport'!A:A,'EA-Fortescue_SDExport'!AE:AE),
    IF(_xlpm.result=0,"",_xlpm.result)
)</f>
        <v>855DC-1541 Planning and Forecast Systems</v>
      </c>
      <c r="W358" s="2" t="str">
        <f>_xlfn.LET(
    _xlpm.isObject, _xlfn.XLOOKUP($Q358,'EA-Fortescue_SDExport'!A:A,'EA-Fortescue_SDExport'!B:B),
    _xlpm.lookupKey, IF(_xlpm.isObject="Object",
        _xlfn.XLOOKUP($A358,'EA-ConnectorExport'!A:A,'EA-ConnectorExport'!D:D),
        $Q358
    ),
    _xlpm.result, _xlfn.XLOOKUP(_xlpm.lookupKey,'EA-Fortescue_SDExport'!A:A,'EA-Fortescue_SDExport'!AF:AF),
    IF(_xlpm.result=0,"",_xlpm.result)
)</f>
        <v>855DC-1541-DEL Delphi</v>
      </c>
      <c r="X358" s="2" t="str">
        <f>_xlfn.LET(
    _xlpm.isObject, _xlfn.XLOOKUP($Q358,'EA-Fortescue_SDExport'!A:A,'EA-Fortescue_SDExport'!B:B),
    _xlpm.lookupKey, IF(_xlpm.isObject="Object",
        _xlfn.XLOOKUP($A358,'EA-ConnectorExport'!A:A,'EA-ConnectorExport'!D:D),
        $Q358
    ),
    _xlpm.result, _xlfn.XLOOKUP(_xlpm.lookupKey,'EA-Fortescue_SDExport'!A:A,'EA-Fortescue_SDExport'!AG:AG),
    IF(_xlpm.result=0,"",_xlpm.result)
)</f>
        <v/>
      </c>
      <c r="Y358" s="2" t="str">
        <f>_xlfn.LET(
    _xlpm.status, _xlfn.XLOOKUP($A358,'EA-ConnectorExport'!$A:$A,'EA-ConnectorExport'!G:G),
    _xlpm.result, _xlfn.XLOOKUP($A358,'EA-ConnectorExport'!$A:$A,'EA-ConnectorExport'!H:H),
    IF(_xlpm.status="allocate", _xlpm.result, "")
)</f>
        <v>855DC-1541-PPC Pit Power Capacity Planning Tool - Design Optimisation</v>
      </c>
      <c r="Z358" s="2" t="str">
        <f>_xlfn.LET(
    _xlpm.isObject, _xlfn.XLOOKUP($Y358,'EA-Fortescue_SDExport'!A:A,'EA-Fortescue_SDExport'!B:B),
    _xlpm.lookupKey, IF(_xlpm.isObject="Object",
        _xlfn.XLOOKUP($A358,'EA-ConnectorExport'!A:A,'EA-ConnectorExport'!J:J),
        $Y358
    ),
    _xlpm.result, _xlfn.XLOOKUP(_xlpm.lookupKey,'EA-Fortescue_SDExport'!A:A,'EA-Fortescue_SDExport'!AA:AA),
    IF(_xlpm.result=0,"",_xlpm.result)
)</f>
        <v>Project</v>
      </c>
      <c r="AA358" s="2" t="str">
        <f>_xlfn.LET(_xlpm.result, _xlfn.XLOOKUP($Y358,'EA-Fortescue_SDExport'!$A:$A,'EA-Fortescue_SDExport'!AB:AB), IF(_xlpm.result=0,"",_xlpm.result))</f>
        <v/>
      </c>
      <c r="AB358" s="2" t="str">
        <f>_xlfn.LET(_xlpm.result, _xlfn.XLOOKUP($Y358,'EA-Fortescue_SDExport'!$A:$A,'EA-Fortescue_SDExport'!AC:AC), IF(_xlpm.result=0,"",_xlpm.result))</f>
        <v>AWS Fortescue Infrastructure</v>
      </c>
      <c r="AC358" s="2" t="str">
        <f>_xlfn.LET(
    _xlpm.isObject, _xlfn.XLOOKUP($Y358,'EA-Fortescue_SDExport'!A:A,'EA-Fortescue_SDExport'!B:B),
    _xlpm.lookupKey, IF(_xlpm.isObject="Object",
        _xlfn.XLOOKUP($A358,'EA-ConnectorExport'!A:A,'EA-ConnectorExport'!J:J),
        $Y358
    ),
    _xlpm.result, _xlfn.XLOOKUP(_xlpm.lookupKey,'EA-Fortescue_SDExport'!A:A,'EA-Fortescue_SDExport'!AD:AD),
    IF(_xlpm.result=0,"",_xlpm.result)
)</f>
        <v>855DC Decarb Green Systems</v>
      </c>
      <c r="AD358" s="2" t="str">
        <f>_xlfn.LET(
    _xlpm.isObject, _xlfn.XLOOKUP($Y358,'EA-Fortescue_SDExport'!A:A,'EA-Fortescue_SDExport'!B:B),
    _xlpm.lookupKey, IF(_xlpm.isObject="Object",
        _xlfn.XLOOKUP($A358,'EA-ConnectorExport'!A:A,'EA-ConnectorExport'!J:J),
        $Y358
    ),
    _xlpm.result, _xlfn.XLOOKUP(_xlpm.lookupKey,'EA-Fortescue_SDExport'!A:A,'EA-Fortescue_SDExport'!AE:AE),
    IF(_xlpm.result=0,"",_xlpm.result)
)</f>
        <v>855DC-1541 Planning and Forecast Systems</v>
      </c>
      <c r="AE358" s="2" t="str">
        <f>_xlfn.LET(
    _xlpm.isObject, _xlfn.XLOOKUP($Y358,'EA-Fortescue_SDExport'!A:A,'EA-Fortescue_SDExport'!B:B),
    _xlpm.lookupKey, IF(_xlpm.isObject="Object",
        _xlfn.XLOOKUP($A358,'EA-ConnectorExport'!A:A,'EA-ConnectorExport'!J:J),
        $Y358
    ),
    _xlpm.result, _xlfn.XLOOKUP(_xlpm.lookupKey,'EA-Fortescue_SDExport'!A:A,'EA-Fortescue_SDExport'!AF:AF),
    IF(_xlpm.result=0,"",_xlpm.result)
)</f>
        <v>855DC-1541-PPC Pit Power Capacity Planning Tool - Design Optimisation</v>
      </c>
      <c r="AF358" s="2" t="str">
        <f>_xlfn.LET(
    _xlpm.isObject, _xlfn.XLOOKUP($Y358,'EA-Fortescue_SDExport'!A:A,'EA-Fortescue_SDExport'!B:B),
    _xlpm.lookupKey, IF(_xlpm.isObject="Object",
        _xlfn.XLOOKUP($A358,'EA-ConnectorExport'!A:A,'EA-ConnectorExport'!J:J),
        $Y358
    ),
    _xlpm.result, _xlfn.XLOOKUP(_xlpm.lookupKey,'EA-Fortescue_SDExport'!A:A,'EA-Fortescue_SDExport'!AG:AG),
    IF(_xlpm.result=0,"",_xlpm.result)
)</f>
        <v/>
      </c>
    </row>
    <row r="359" spans="1:32" ht="315" x14ac:dyDescent="0.25">
      <c r="A359" s="2" t="str">
        <v>DGS-I_0358</v>
      </c>
      <c r="B359" s="2" t="str">
        <f t="shared" ref="B359:B360" si="32">Q359 &amp; "|" &amp; Y359</f>
        <v>005OP-0000-002 ALF|855DC-1541-ECL-002 Online Security Constrained Unit Commitment (SCUC)</v>
      </c>
      <c r="C359" s="2" t="str">
        <f>_xlfn.LET(_xlpm.result, _xlfn.XLOOKUP(A359,'EA-Fortescue_SDExport'!A:A,'EA-Fortescue_SDExport'!AM:AM), IF(_xlpm.result=0,"",_xlpm.result))</f>
        <v/>
      </c>
      <c r="D359" s="2" t="str">
        <f>_xlfn.LET(_xlpm.result, _xlfn.XLOOKUP(A359,'EA-Fortescue_SDExport'!A:A,'EA-Fortescue_SDExport'!AN:AN), IF(_xlpm.result=0,"",_xlpm.result))</f>
        <v/>
      </c>
      <c r="E359" s="2" t="str">
        <f>_xlfn.XLOOKUP(R359&amp;Z359,Lookups!A:A,Lookups!B:B)</f>
        <v>Project - Subsystem Interface</v>
      </c>
      <c r="F359" s="2" t="str">
        <f>_xlfn.LET(_xlpm.result, _xlfn.XLOOKUP(A359,'EA-Fortescue_SDExport'!A:A,'EA-Fortescue_SDExport'!AP:AP), IF(_xlpm.result=0,"",_xlpm.result))</f>
        <v>Technical-Data/Software</v>
      </c>
      <c r="G359" s="2" t="str">
        <f>IF(OR(AND(T359&lt;&gt;"", COUNTIF(Lookups!J:J, "*"&amp;T359&amp;"*")&gt;0), AND(AB359&lt;&gt;"", COUNTIF(Lookups!J:J, "*"&amp;AB359&amp;"*")&gt;0)), "Yes", "No")</f>
        <v>No</v>
      </c>
      <c r="H359" s="2" t="str">
        <f t="shared" ref="H359:H360" si="33">IF(AND(U359="",AC359=""),"N/A",IF(U359="", "N/A|" &amp; AC359, IF(AC359="", U359 &amp; "|N/A", U359 &amp; "|" &amp; AC359)))</f>
        <v>005OP IT/OT Systems|855DC Decarb Green Systems</v>
      </c>
      <c r="I359" s="2" t="str">
        <f t="shared" ref="I359:I360" si="34">IF(AND(V359="",AD359=""),"N/A",IF(V359="","N/A|" &amp; AD359,IF(AD359="",V359 &amp; "|N/A",V359 &amp; "|" &amp; AD359)))</f>
        <v>N/A|855DC-1541 Planning and Forecast Systems</v>
      </c>
      <c r="J359" s="2" t="str">
        <f t="shared" ref="J359:J360" si="35">IF(AND(W359="",AE359=""),"N/A",IF(W359="","N/A|" &amp; AE359,IF(AE359="",W359 &amp; "|N/A",W359 &amp; "|" &amp; AE359)))</f>
        <v>005OP-0000-002 ALF|855DC-1541-ECL Eclipse</v>
      </c>
      <c r="K359" s="2" t="str">
        <f>_xlfn.XLOOKUP(A359,'EA-Fortescue_SDExport'!A:A,'EA-Fortescue_SDExport'!N:N)</f>
        <v>Proposed</v>
      </c>
      <c r="L359" s="2" t="str">
        <f>_xlfn.LET(_xlpm.result, _xlfn.XLOOKUP($A359,'EA-Fortescue_SDExport'!$A:$A,'EA-Fortescue_SDExport'!AQ:AQ), IF(_xlpm.result=0,"",_xlpm.result))</f>
        <v>This interface enables the transfer of train schedule data originating from ALF to Online Security Constrained Unit Commitment (SCUC). Train movement schedules stored in Snowflake are provided to SCUC to inform short-term operational forecasting, load projections, and power system scheduling decisions across the 72-hour optimisation horizon. The interface supports data exchange only and does not initiate control actions.</v>
      </c>
      <c r="M359" s="2" t="str">
        <f>_xlfn.LET(_xlpm.result, _xlfn.XLOOKUP($A359,'EA-Fortescue_SDExport'!$A:$A,'EA-Fortescue_SDExport'!AR:AR), IF(_xlpm.result=0,"",_xlpm.result))</f>
        <v>HIGH</v>
      </c>
      <c r="N359" s="2" t="str">
        <f>_xlfn.LET(_xlpm.result, _xlfn.XLOOKUP($A359,'EA-Fortescue_SDExport'!$A:$A,'EA-Fortescue_SDExport'!AW:AW), IF(_xlpm.result=0,"",_xlpm.result))</f>
        <v>The criticality is HIGH because train schedules materially influence short-term load forecasts and operational demand profiles used within the risk-aware optimisation process. Inaccurate or missing schedule data could result in misforecasted load, increased SOC reserve breach risk, inefficient gas nominations, or suboptimal commitment decisions affecting grid stability and production continuity.</v>
      </c>
      <c r="O359" s="2" t="str">
        <f>_xlfn.LET(_xlpm.result, _xlfn.XLOOKUP($A359,'EA-Fortescue_SDExport'!$A:$A,'EA-Fortescue_SDExport'!AV:AV), IF(_xlpm.result=0,"",_xlpm.result))</f>
        <v>ALF -&gt; Online Security Constrained Unit Commitment (SCUC)</v>
      </c>
      <c r="P359" s="2" t="str">
        <f>_xlfn.LET(_xlpm.result, _xlfn.XLOOKUP($A359,'EA-Fortescue_SDExport'!$A:$A,'EA-Fortescue_SDExport'!D:D), IF(_xlpm.result=0,"",_xlpm.result))</f>
        <v>DocStack-SAComparison_SCUC 18/02/2026: Add planning systems to SCUC interface (Just Alastri and ALF). Atlas is more long-term planning and not for SCUC. Interfaces DGS-I_0358 &amp; DGS-I_0359 created.</v>
      </c>
      <c r="Q359" s="2" t="str">
        <f>_xlfn.LET(
    _xlpm.status, _xlfn.XLOOKUP($A359,'EA-ConnectorExport'!$A:$A,'EA-ConnectorExport'!G:G),
    _xlpm.result, _xlfn.XLOOKUP($A359,'EA-ConnectorExport'!$A:$A,'EA-ConnectorExport'!B:B),
    IF(_xlpm.status="allocate", _xlpm.result, "")
)</f>
        <v>005OP-0000-002 ALF</v>
      </c>
      <c r="R359" s="2" t="str">
        <f>IF(
    _xlfn.XLOOKUP($Q359,'EA-Fortescue_SDExport'!A:A,'EA-Fortescue_SDExport'!B:B)="Object",
    _xlfn.XLOOKUP(
        _xlfn.XLOOKUP($A359,'EA-ConnectorExport'!A:A,'EA-ConnectorExport'!D:D),
        'EA-Fortescue_SDExport'!A:A,
        'EA-Fortescue_SDExport'!AA:AA
    ),
    _xlfn.XLOOKUP($Q359,'EA-Fortescue_SDExport'!A:A,'EA-Fortescue_SDExport'!AA:AA)
)</f>
        <v>Project</v>
      </c>
      <c r="S359" s="2" t="str">
        <f>_xlfn.LET(_xlpm.result, _xlfn.XLOOKUP($Q359,'EA-Fortescue_SDExport'!$A:$A,'EA-Fortescue_SDExport'!AB:AB), IF(_xlpm.result=0,"",_xlpm.result))</f>
        <v/>
      </c>
      <c r="T359" s="2" t="str">
        <f>_xlfn.LET(_xlpm.result, _xlfn.XLOOKUP($Q359,'EA-Fortescue_SDExport'!$A:$A,'EA-Fortescue_SDExport'!AC:AC), IF(_xlpm.result=0,"",_xlpm.result))</f>
        <v/>
      </c>
      <c r="U359" s="2" t="str">
        <f>_xlfn.LET(
    _xlpm.isObject, _xlfn.XLOOKUP($Q359,'EA-Fortescue_SDExport'!A:A,'EA-Fortescue_SDExport'!B:B),
    _xlpm.lookupKey, IF(_xlpm.isObject="Object",
        _xlfn.XLOOKUP($A359,'EA-ConnectorExport'!A:A,'EA-ConnectorExport'!D:D),
        $Q359
    ),
    _xlpm.result, _xlfn.XLOOKUP(_xlpm.lookupKey,'EA-Fortescue_SDExport'!A:A,'EA-Fortescue_SDExport'!AD:AD),
    IF(_xlpm.result=0,"",_xlpm.result)
)</f>
        <v>005OP IT/OT Systems</v>
      </c>
      <c r="V359" s="2" t="str">
        <f>_xlfn.LET(
    _xlpm.isObject, _xlfn.XLOOKUP($Q359,'EA-Fortescue_SDExport'!A:A,'EA-Fortescue_SDExport'!B:B),
    _xlpm.lookupKey, IF(_xlpm.isObject="Object",
        _xlfn.XLOOKUP($A359,'EA-ConnectorExport'!A:A,'EA-ConnectorExport'!D:D),
        $Q359
    ),
    _xlpm.result, _xlfn.XLOOKUP(_xlpm.lookupKey,'EA-Fortescue_SDExport'!A:A,'EA-Fortescue_SDExport'!AE:AE),
    IF(_xlpm.result=0,"",_xlpm.result)
)</f>
        <v/>
      </c>
      <c r="W359" s="2" t="str">
        <f>_xlfn.LET(
    _xlpm.isObject, _xlfn.XLOOKUP($Q359,'EA-Fortescue_SDExport'!A:A,'EA-Fortescue_SDExport'!B:B),
    _xlpm.lookupKey, IF(_xlpm.isObject="Object",
        _xlfn.XLOOKUP($A359,'EA-ConnectorExport'!A:A,'EA-ConnectorExport'!D:D),
        $Q359
    ),
    _xlpm.result, _xlfn.XLOOKUP(_xlpm.lookupKey,'EA-Fortescue_SDExport'!A:A,'EA-Fortescue_SDExport'!AF:AF),
    IF(_xlpm.result=0,"",_xlpm.result)
)</f>
        <v>005OP-0000-002 ALF</v>
      </c>
      <c r="X359" s="2" t="str">
        <f>_xlfn.LET(
    _xlpm.isObject, _xlfn.XLOOKUP($Q359,'EA-Fortescue_SDExport'!A:A,'EA-Fortescue_SDExport'!B:B),
    _xlpm.lookupKey, IF(_xlpm.isObject="Object",
        _xlfn.XLOOKUP($A359,'EA-ConnectorExport'!A:A,'EA-ConnectorExport'!D:D),
        $Q359
    ),
    _xlpm.result, _xlfn.XLOOKUP(_xlpm.lookupKey,'EA-Fortescue_SDExport'!A:A,'EA-Fortescue_SDExport'!AG:AG),
    IF(_xlpm.result=0,"",_xlpm.result)
)</f>
        <v/>
      </c>
      <c r="Y359" s="2" t="str">
        <f>_xlfn.LET(
    _xlpm.status, _xlfn.XLOOKUP($A359,'EA-ConnectorExport'!$A:$A,'EA-ConnectorExport'!G:G),
    _xlpm.result, _xlfn.XLOOKUP($A359,'EA-ConnectorExport'!$A:$A,'EA-ConnectorExport'!H:H),
    IF(_xlpm.status="allocate", _xlpm.result, "")
)</f>
        <v>855DC-1541-ECL-002 Online Security Constrained Unit Commitment (SCUC)</v>
      </c>
      <c r="Z359" s="2" t="str">
        <f>_xlfn.LET(
    _xlpm.isObject, _xlfn.XLOOKUP($Y359,'EA-Fortescue_SDExport'!A:A,'EA-Fortescue_SDExport'!B:B),
    _xlpm.lookupKey, IF(_xlpm.isObject="Object",
        _xlfn.XLOOKUP($A359,'EA-ConnectorExport'!A:A,'EA-ConnectorExport'!J:J),
        $Y359
    ),
    _xlpm.result, _xlfn.XLOOKUP(_xlpm.lookupKey,'EA-Fortescue_SDExport'!A:A,'EA-Fortescue_SDExport'!AA:AA),
    IF(_xlpm.result=0,"",_xlpm.result)
)</f>
        <v>Subsystem</v>
      </c>
      <c r="AA359" s="2" t="str">
        <f>_xlfn.LET(_xlpm.result, _xlfn.XLOOKUP($Y359,'EA-Fortescue_SDExport'!$A:$A,'EA-Fortescue_SDExport'!AB:AB), IF(_xlpm.result=0,"",_xlpm.result))</f>
        <v/>
      </c>
      <c r="AB359" s="2" t="str">
        <f>_xlfn.LET(_xlpm.result, _xlfn.XLOOKUP($Y359,'EA-Fortescue_SDExport'!$A:$A,'EA-Fortescue_SDExport'!AC:AC), IF(_xlpm.result=0,"",_xlpm.result))</f>
        <v/>
      </c>
      <c r="AC359" s="2" t="str">
        <f>_xlfn.LET(
    _xlpm.isObject, _xlfn.XLOOKUP($Y359,'EA-Fortescue_SDExport'!A:A,'EA-Fortescue_SDExport'!B:B),
    _xlpm.lookupKey, IF(_xlpm.isObject="Object",
        _xlfn.XLOOKUP($A359,'EA-ConnectorExport'!A:A,'EA-ConnectorExport'!J:J),
        $Y359
    ),
    _xlpm.result, _xlfn.XLOOKUP(_xlpm.lookupKey,'EA-Fortescue_SDExport'!A:A,'EA-Fortescue_SDExport'!AD:AD),
    IF(_xlpm.result=0,"",_xlpm.result)
)</f>
        <v>855DC Decarb Green Systems</v>
      </c>
      <c r="AD359" s="2" t="str">
        <f>_xlfn.LET(
    _xlpm.isObject, _xlfn.XLOOKUP($Y359,'EA-Fortescue_SDExport'!A:A,'EA-Fortescue_SDExport'!B:B),
    _xlpm.lookupKey, IF(_xlpm.isObject="Object",
        _xlfn.XLOOKUP($A359,'EA-ConnectorExport'!A:A,'EA-ConnectorExport'!J:J),
        $Y359
    ),
    _xlpm.result, _xlfn.XLOOKUP(_xlpm.lookupKey,'EA-Fortescue_SDExport'!A:A,'EA-Fortescue_SDExport'!AE:AE),
    IF(_xlpm.result=0,"",_xlpm.result)
)</f>
        <v>855DC-1541 Planning and Forecast Systems</v>
      </c>
      <c r="AE359" s="2" t="str">
        <f>_xlfn.LET(
    _xlpm.isObject, _xlfn.XLOOKUP($Y359,'EA-Fortescue_SDExport'!A:A,'EA-Fortescue_SDExport'!B:B),
    _xlpm.lookupKey, IF(_xlpm.isObject="Object",
        _xlfn.XLOOKUP($A359,'EA-ConnectorExport'!A:A,'EA-ConnectorExport'!J:J),
        $Y359
    ),
    _xlpm.result, _xlfn.XLOOKUP(_xlpm.lookupKey,'EA-Fortescue_SDExport'!A:A,'EA-Fortescue_SDExport'!AF:AF),
    IF(_xlpm.result=0,"",_xlpm.result)
)</f>
        <v>855DC-1541-ECL Eclipse</v>
      </c>
      <c r="AF359" s="2" t="str">
        <f>_xlfn.LET(
    _xlpm.isObject, _xlfn.XLOOKUP($Y359,'EA-Fortescue_SDExport'!A:A,'EA-Fortescue_SDExport'!B:B),
    _xlpm.lookupKey, IF(_xlpm.isObject="Object",
        _xlfn.XLOOKUP($A359,'EA-ConnectorExport'!A:A,'EA-ConnectorExport'!J:J),
        $Y359
    ),
    _xlpm.result, _xlfn.XLOOKUP(_xlpm.lookupKey,'EA-Fortescue_SDExport'!A:A,'EA-Fortescue_SDExport'!AG:AG),
    IF(_xlpm.result=0,"",_xlpm.result)
)</f>
        <v>855DC-1541-ECL-002 Online Security Constrained Unit Commitment (SCUC)</v>
      </c>
    </row>
    <row r="360" spans="1:32" ht="345" x14ac:dyDescent="0.25">
      <c r="A360" s="2" t="str">
        <v>DGS-I_0359</v>
      </c>
      <c r="B360" s="2" t="str">
        <f t="shared" si="32"/>
        <v>855DC-1541-ECL-002 Online Security Constrained Unit Commitment (SCUC)|005OP-0000-004-002 Alastri Production Scheduler (APS) / Alastri Tactical Scheduler (ATS)</v>
      </c>
      <c r="C360" s="2" t="str">
        <f>_xlfn.LET(_xlpm.result, _xlfn.XLOOKUP(A360,'EA-Fortescue_SDExport'!A:A,'EA-Fortescue_SDExport'!AM:AM), IF(_xlpm.result=0,"",_xlpm.result))</f>
        <v/>
      </c>
      <c r="D360" s="2" t="str">
        <f>_xlfn.LET(_xlpm.result, _xlfn.XLOOKUP(A360,'EA-Fortescue_SDExport'!A:A,'EA-Fortescue_SDExport'!AN:AN), IF(_xlpm.result=0,"",_xlpm.result))</f>
        <v/>
      </c>
      <c r="E360" s="2" t="str">
        <f>_xlfn.XLOOKUP(R360&amp;Z360,Lookups!A:A,Lookups!B:B)</f>
        <v>Subsystem - Subsystem Interface</v>
      </c>
      <c r="F360" s="2" t="str">
        <f>_xlfn.LET(_xlpm.result, _xlfn.XLOOKUP(A360,'EA-Fortescue_SDExport'!A:A,'EA-Fortescue_SDExport'!AP:AP), IF(_xlpm.result=0,"",_xlpm.result))</f>
        <v>Technical-Data/Software</v>
      </c>
      <c r="G360" s="2" t="str">
        <f>IF(OR(AND(T360&lt;&gt;"", COUNTIF(Lookups!J:J, "*"&amp;T360&amp;"*")&gt;0), AND(AB360&lt;&gt;"", COUNTIF(Lookups!J:J, "*"&amp;AB360&amp;"*")&gt;0)), "Yes", "No")</f>
        <v>No</v>
      </c>
      <c r="H360" s="2" t="str">
        <f t="shared" si="33"/>
        <v>855DC Decarb Green Systems|005OP IT/OT Systems</v>
      </c>
      <c r="I360" s="2" t="str">
        <f t="shared" si="34"/>
        <v>855DC-1541 Planning and Forecast Systems|N/A</v>
      </c>
      <c r="J360" s="2" t="str">
        <f t="shared" si="35"/>
        <v>855DC-1541-ECL Eclipse|005OP-0000-004 Alastri</v>
      </c>
      <c r="K360" s="2" t="str">
        <f>_xlfn.XLOOKUP(A360,'EA-Fortescue_SDExport'!A:A,'EA-Fortescue_SDExport'!N:N)</f>
        <v>Proposed</v>
      </c>
      <c r="L360" s="2" t="str">
        <f>_xlfn.LET(_xlpm.result, _xlfn.XLOOKUP($A360,'EA-Fortescue_SDExport'!$A:$A,'EA-Fortescue_SDExport'!AQ:AQ), IF(_xlpm.result=0,"",_xlpm.result))</f>
        <v>This interface enables bidirectional data exchange between  Online Security Constrained Unit Commitment (SCUC) and Alastri Production Scheduler APS / Alastri Tactical Scheduler ATS. Alastri provides production schedules, haulage plans, mining sequences, and fleet utilisation forecasts that inform load projections, demand response availability, and operational constraints within the 72-hour risk-aware optimisation horizon. SCUC returns operating mode classifications Long - Balanced - Short, demand response trigger points, and power system constraint signals to ensure alignment between energy availability and mining production plans. The interface supports planning and optimisation alignment only and does not directly execute control actions.</v>
      </c>
      <c r="M360" s="2" t="str">
        <f>_xlfn.LET(_xlpm.result, _xlfn.XLOOKUP($A360,'EA-Fortescue_SDExport'!$A:$A,'EA-Fortescue_SDExport'!AR:AR), IF(_xlpm.result=0,"",_xlpm.result))</f>
        <v>HIGH</v>
      </c>
      <c r="N360" s="2" t="str">
        <f>_xlfn.LET(_xlpm.result, _xlfn.XLOOKUP($A360,'EA-Fortescue_SDExport'!$A:$A,'EA-Fortescue_SDExport'!AW:AW), IF(_xlpm.result=0,"",_xlpm.result))</f>
        <v>The criticality is HIGH because this interface aligns mine production scheduling with power system commitment decisions in a high-renewable, islanded grid environment. Inaccurate or delayed exchange of production schedules or energy constraint signals could result in misaligned haulage demand, increased SOC reserve breach risk, inefficient gas utilisation, or elevated probability of non recoverable load shedding impacting production continuity.</v>
      </c>
      <c r="O360" s="2" t="str">
        <f>_xlfn.LET(_xlpm.result, _xlfn.XLOOKUP($A360,'EA-Fortescue_SDExport'!$A:$A,'EA-Fortescue_SDExport'!AV:AV), IF(_xlpm.result=0,"",_xlpm.result))</f>
        <v>Online Security Constrained Unit Commitment (SCUC) &lt;-&gt; Alastri Production Scheduler APS / Alastri Tactical Scheduler ATS</v>
      </c>
      <c r="P360" s="2" t="str">
        <f>_xlfn.LET(_xlpm.result, _xlfn.XLOOKUP($A360,'EA-Fortescue_SDExport'!$A:$A,'EA-Fortescue_SDExport'!D:D), IF(_xlpm.result=0,"",_xlpm.result))</f>
        <v>DocStack-SAComparison_SCUC 18/02/2026: Add planning systems to SCUC interface (Just Alastri and ALF). Atlas is more long-term planning and not for SCUC. Interfaces DGS-I_0358 &amp; DGS-I_0359 created._x000D_
NH 25/02/2026: Fields updated:Interface Criticality</v>
      </c>
      <c r="Q360" s="2" t="str">
        <f>_xlfn.LET(
    _xlpm.status, _xlfn.XLOOKUP($A360,'EA-ConnectorExport'!$A:$A,'EA-ConnectorExport'!G:G),
    _xlpm.result, _xlfn.XLOOKUP($A360,'EA-ConnectorExport'!$A:$A,'EA-ConnectorExport'!B:B),
    IF(_xlpm.status="allocate", _xlpm.result, "")
)</f>
        <v>855DC-1541-ECL-002 Online Security Constrained Unit Commitment (SCUC)</v>
      </c>
      <c r="R360" s="2" t="str">
        <f>IF(
    _xlfn.XLOOKUP($Q360,'EA-Fortescue_SDExport'!A:A,'EA-Fortescue_SDExport'!B:B)="Object",
    _xlfn.XLOOKUP(
        _xlfn.XLOOKUP($A360,'EA-ConnectorExport'!A:A,'EA-ConnectorExport'!D:D),
        'EA-Fortescue_SDExport'!A:A,
        'EA-Fortescue_SDExport'!AA:AA
    ),
    _xlfn.XLOOKUP($Q360,'EA-Fortescue_SDExport'!A:A,'EA-Fortescue_SDExport'!AA:AA)
)</f>
        <v>Subsystem</v>
      </c>
      <c r="S360" s="2" t="str">
        <f>_xlfn.LET(_xlpm.result, _xlfn.XLOOKUP($Q360,'EA-Fortescue_SDExport'!$A:$A,'EA-Fortescue_SDExport'!AB:AB), IF(_xlpm.result=0,"",_xlpm.result))</f>
        <v/>
      </c>
      <c r="T360" s="2" t="str">
        <f>_xlfn.LET(_xlpm.result, _xlfn.XLOOKUP($Q360,'EA-Fortescue_SDExport'!$A:$A,'EA-Fortescue_SDExport'!AC:AC), IF(_xlpm.result=0,"",_xlpm.result))</f>
        <v/>
      </c>
      <c r="U360" s="2" t="str">
        <f>_xlfn.LET(
    _xlpm.isObject, _xlfn.XLOOKUP($Q360,'EA-Fortescue_SDExport'!A:A,'EA-Fortescue_SDExport'!B:B),
    _xlpm.lookupKey, IF(_xlpm.isObject="Object",
        _xlfn.XLOOKUP($A360,'EA-ConnectorExport'!A:A,'EA-ConnectorExport'!D:D),
        $Q360
    ),
    _xlpm.result, _xlfn.XLOOKUP(_xlpm.lookupKey,'EA-Fortescue_SDExport'!A:A,'EA-Fortescue_SDExport'!AD:AD),
    IF(_xlpm.result=0,"",_xlpm.result)
)</f>
        <v>855DC Decarb Green Systems</v>
      </c>
      <c r="V360" s="2" t="str">
        <f>_xlfn.LET(
    _xlpm.isObject, _xlfn.XLOOKUP($Q360,'EA-Fortescue_SDExport'!A:A,'EA-Fortescue_SDExport'!B:B),
    _xlpm.lookupKey, IF(_xlpm.isObject="Object",
        _xlfn.XLOOKUP($A360,'EA-ConnectorExport'!A:A,'EA-ConnectorExport'!D:D),
        $Q360
    ),
    _xlpm.result, _xlfn.XLOOKUP(_xlpm.lookupKey,'EA-Fortescue_SDExport'!A:A,'EA-Fortescue_SDExport'!AE:AE),
    IF(_xlpm.result=0,"",_xlpm.result)
)</f>
        <v>855DC-1541 Planning and Forecast Systems</v>
      </c>
      <c r="W360" s="2" t="str">
        <f>_xlfn.LET(
    _xlpm.isObject, _xlfn.XLOOKUP($Q360,'EA-Fortescue_SDExport'!A:A,'EA-Fortescue_SDExport'!B:B),
    _xlpm.lookupKey, IF(_xlpm.isObject="Object",
        _xlfn.XLOOKUP($A360,'EA-ConnectorExport'!A:A,'EA-ConnectorExport'!D:D),
        $Q360
    ),
    _xlpm.result, _xlfn.XLOOKUP(_xlpm.lookupKey,'EA-Fortescue_SDExport'!A:A,'EA-Fortescue_SDExport'!AF:AF),
    IF(_xlpm.result=0,"",_xlpm.result)
)</f>
        <v>855DC-1541-ECL Eclipse</v>
      </c>
      <c r="X360" s="2" t="str">
        <f>_xlfn.LET(
    _xlpm.isObject, _xlfn.XLOOKUP($Q360,'EA-Fortescue_SDExport'!A:A,'EA-Fortescue_SDExport'!B:B),
    _xlpm.lookupKey, IF(_xlpm.isObject="Object",
        _xlfn.XLOOKUP($A360,'EA-ConnectorExport'!A:A,'EA-ConnectorExport'!D:D),
        $Q360
    ),
    _xlpm.result, _xlfn.XLOOKUP(_xlpm.lookupKey,'EA-Fortescue_SDExport'!A:A,'EA-Fortescue_SDExport'!AG:AG),
    IF(_xlpm.result=0,"",_xlpm.result)
)</f>
        <v>855DC-1541-ECL-002 Online Security Constrained Unit Commitment (SCUC)</v>
      </c>
      <c r="Y360" s="2" t="str">
        <f>_xlfn.LET(
    _xlpm.status, _xlfn.XLOOKUP($A360,'EA-ConnectorExport'!$A:$A,'EA-ConnectorExport'!G:G),
    _xlpm.result, _xlfn.XLOOKUP($A360,'EA-ConnectorExport'!$A:$A,'EA-ConnectorExport'!H:H),
    IF(_xlpm.status="allocate", _xlpm.result, "")
)</f>
        <v>005OP-0000-004-002 Alastri Production Scheduler (APS) / Alastri Tactical Scheduler (ATS)</v>
      </c>
      <c r="Z360" s="2" t="str">
        <f>_xlfn.LET(
    _xlpm.isObject, _xlfn.XLOOKUP($Y360,'EA-Fortescue_SDExport'!A:A,'EA-Fortescue_SDExport'!B:B),
    _xlpm.lookupKey, IF(_xlpm.isObject="Object",
        _xlfn.XLOOKUP($A360,'EA-ConnectorExport'!A:A,'EA-ConnectorExport'!J:J),
        $Y360
    ),
    _xlpm.result, _xlfn.XLOOKUP(_xlpm.lookupKey,'EA-Fortescue_SDExport'!A:A,'EA-Fortescue_SDExport'!AA:AA),
    IF(_xlpm.result=0,"",_xlpm.result)
)</f>
        <v>Subsystem</v>
      </c>
      <c r="AA360" s="2" t="str">
        <f>_xlfn.LET(_xlpm.result, _xlfn.XLOOKUP($Y360,'EA-Fortescue_SDExport'!$A:$A,'EA-Fortescue_SDExport'!AB:AB), IF(_xlpm.result=0,"",_xlpm.result))</f>
        <v/>
      </c>
      <c r="AB360" s="2" t="str">
        <f>_xlfn.LET(_xlpm.result, _xlfn.XLOOKUP($Y360,'EA-Fortescue_SDExport'!$A:$A,'EA-Fortescue_SDExport'!AC:AC), IF(_xlpm.result=0,"",_xlpm.result))</f>
        <v/>
      </c>
      <c r="AC360" s="2" t="str">
        <f>_xlfn.LET(
    _xlpm.isObject, _xlfn.XLOOKUP($Y360,'EA-Fortescue_SDExport'!A:A,'EA-Fortescue_SDExport'!B:B),
    _xlpm.lookupKey, IF(_xlpm.isObject="Object",
        _xlfn.XLOOKUP($A360,'EA-ConnectorExport'!A:A,'EA-ConnectorExport'!J:J),
        $Y360
    ),
    _xlpm.result, _xlfn.XLOOKUP(_xlpm.lookupKey,'EA-Fortescue_SDExport'!A:A,'EA-Fortescue_SDExport'!AD:AD),
    IF(_xlpm.result=0,"",_xlpm.result)
)</f>
        <v>005OP IT/OT Systems</v>
      </c>
      <c r="AD360" s="2" t="str">
        <f>_xlfn.LET(
    _xlpm.isObject, _xlfn.XLOOKUP($Y360,'EA-Fortescue_SDExport'!A:A,'EA-Fortescue_SDExport'!B:B),
    _xlpm.lookupKey, IF(_xlpm.isObject="Object",
        _xlfn.XLOOKUP($A360,'EA-ConnectorExport'!A:A,'EA-ConnectorExport'!J:J),
        $Y360
    ),
    _xlpm.result, _xlfn.XLOOKUP(_xlpm.lookupKey,'EA-Fortescue_SDExport'!A:A,'EA-Fortescue_SDExport'!AE:AE),
    IF(_xlpm.result=0,"",_xlpm.result)
)</f>
        <v/>
      </c>
      <c r="AE360" s="2" t="str">
        <f>_xlfn.LET(
    _xlpm.isObject, _xlfn.XLOOKUP($Y360,'EA-Fortescue_SDExport'!A:A,'EA-Fortescue_SDExport'!B:B),
    _xlpm.lookupKey, IF(_xlpm.isObject="Object",
        _xlfn.XLOOKUP($A360,'EA-ConnectorExport'!A:A,'EA-ConnectorExport'!J:J),
        $Y360
    ),
    _xlpm.result, _xlfn.XLOOKUP(_xlpm.lookupKey,'EA-Fortescue_SDExport'!A:A,'EA-Fortescue_SDExport'!AF:AF),
    IF(_xlpm.result=0,"",_xlpm.result)
)</f>
        <v>005OP-0000-004 Alastri</v>
      </c>
      <c r="AF360" s="2" t="str">
        <f>_xlfn.LET(
    _xlpm.isObject, _xlfn.XLOOKUP($Y360,'EA-Fortescue_SDExport'!A:A,'EA-Fortescue_SDExport'!B:B),
    _xlpm.lookupKey, IF(_xlpm.isObject="Object",
        _xlfn.XLOOKUP($A360,'EA-ConnectorExport'!A:A,'EA-ConnectorExport'!J:J),
        $Y360
    ),
    _xlpm.result, _xlfn.XLOOKUP(_xlpm.lookupKey,'EA-Fortescue_SDExport'!A:A,'EA-Fortescue_SDExport'!AG:AG),
    IF(_xlpm.result=0,"",_xlpm.result)
)</f>
        <v>005OP-0000-004-002 Alastri Production Scheduler (APS)</v>
      </c>
    </row>
  </sheetData>
  <autoFilter ref="A1:AF357" xr:uid="{5792BEE8-F455-4357-9B38-79C3C9D6CB58}"/>
  <dataValidations count="2">
    <dataValidation type="list" allowBlank="1" showInputMessage="1" showErrorMessage="1" sqref="F2:F360" xr:uid="{B95BBDB0-4A2B-4B51-93B4-B9B19781C3A2}">
      <formula1>InterfaceType</formula1>
    </dataValidation>
    <dataValidation type="list" allowBlank="1" showInputMessage="1" showErrorMessage="1" sqref="O2:O360 M2:M360" xr:uid="{55DA19E9-F0C5-421B-8346-77B583FDA8D8}">
      <formula1>InterfaceCriticality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8217F-5253-44D7-99E4-7B0AFF00A00B}">
  <sheetPr codeName="Sheet5"/>
  <dimension ref="A1:D11"/>
  <sheetViews>
    <sheetView zoomScale="150" workbookViewId="0">
      <pane ySplit="1" topLeftCell="A7" activePane="bottomLeft" state="frozen"/>
      <selection pane="bottomLeft" sqref="A1:D11"/>
    </sheetView>
  </sheetViews>
  <sheetFormatPr defaultColWidth="10.85546875" defaultRowHeight="15" x14ac:dyDescent="0.25"/>
  <cols>
    <col min="1" max="1" width="16.7109375" style="3" customWidth="1"/>
    <col min="2" max="2" width="24.85546875" style="3" customWidth="1"/>
    <col min="3" max="4" width="35.28515625" style="3" customWidth="1"/>
    <col min="5" max="16384" width="10.85546875" style="3"/>
  </cols>
  <sheetData>
    <row r="1" spans="1:4" s="5" customFormat="1" x14ac:dyDescent="0.25">
      <c r="A1" s="6" t="s">
        <v>1022</v>
      </c>
      <c r="B1" s="6" t="s">
        <v>8</v>
      </c>
      <c r="C1" s="6" t="s">
        <v>1023</v>
      </c>
      <c r="D1" s="6" t="s">
        <v>1024</v>
      </c>
    </row>
    <row r="2" spans="1:4" ht="45" x14ac:dyDescent="0.25">
      <c r="A2" s="4" t="s">
        <v>1025</v>
      </c>
      <c r="B2" s="4" t="s">
        <v>1026</v>
      </c>
      <c r="C2" s="4" t="s">
        <v>1027</v>
      </c>
      <c r="D2" s="4" t="s">
        <v>1028</v>
      </c>
    </row>
    <row r="3" spans="1:4" ht="30" x14ac:dyDescent="0.25">
      <c r="A3" s="4" t="s">
        <v>1025</v>
      </c>
      <c r="B3" s="4" t="s">
        <v>164</v>
      </c>
      <c r="C3" s="4" t="s">
        <v>1029</v>
      </c>
      <c r="D3" s="4" t="s">
        <v>1030</v>
      </c>
    </row>
    <row r="4" spans="1:4" ht="45" x14ac:dyDescent="0.25">
      <c r="A4" s="4" t="s">
        <v>1025</v>
      </c>
      <c r="B4" s="4" t="s">
        <v>62</v>
      </c>
      <c r="C4" s="4" t="s">
        <v>1031</v>
      </c>
      <c r="D4" s="4" t="s">
        <v>1032</v>
      </c>
    </row>
    <row r="5" spans="1:4" ht="45" x14ac:dyDescent="0.25">
      <c r="A5" s="4" t="s">
        <v>1025</v>
      </c>
      <c r="B5" s="4" t="s">
        <v>1033</v>
      </c>
      <c r="C5" s="4" t="s">
        <v>1034</v>
      </c>
      <c r="D5" s="4" t="s">
        <v>1035</v>
      </c>
    </row>
    <row r="6" spans="1:4" ht="30" x14ac:dyDescent="0.25">
      <c r="A6" s="4" t="s">
        <v>1025</v>
      </c>
      <c r="B6" s="4" t="s">
        <v>1036</v>
      </c>
      <c r="C6" s="4" t="s">
        <v>1037</v>
      </c>
      <c r="D6" s="4" t="s">
        <v>1038</v>
      </c>
    </row>
    <row r="7" spans="1:4" ht="54.95" customHeight="1" x14ac:dyDescent="0.25">
      <c r="A7" s="4" t="s">
        <v>870</v>
      </c>
      <c r="B7" s="4" t="s">
        <v>870</v>
      </c>
      <c r="C7" s="4" t="s">
        <v>1039</v>
      </c>
      <c r="D7" s="4" t="s">
        <v>1040</v>
      </c>
    </row>
    <row r="8" spans="1:4" ht="45" x14ac:dyDescent="0.25">
      <c r="A8" s="4" t="s">
        <v>870</v>
      </c>
      <c r="B8" s="4" t="s">
        <v>49</v>
      </c>
      <c r="C8" s="4" t="s">
        <v>1041</v>
      </c>
      <c r="D8" s="4" t="s">
        <v>1042</v>
      </c>
    </row>
    <row r="9" spans="1:4" ht="45" x14ac:dyDescent="0.25">
      <c r="A9" s="4" t="s">
        <v>870</v>
      </c>
      <c r="B9" s="4" t="s">
        <v>1043</v>
      </c>
      <c r="C9" s="4" t="s">
        <v>1044</v>
      </c>
      <c r="D9" s="4" t="s">
        <v>1045</v>
      </c>
    </row>
    <row r="10" spans="1:4" ht="45" x14ac:dyDescent="0.25">
      <c r="A10" s="4" t="s">
        <v>45</v>
      </c>
      <c r="B10" s="4" t="s">
        <v>362</v>
      </c>
      <c r="C10" s="4" t="s">
        <v>1046</v>
      </c>
      <c r="D10" s="4" t="s">
        <v>1047</v>
      </c>
    </row>
    <row r="11" spans="1:4" ht="45" x14ac:dyDescent="0.25">
      <c r="A11" s="4" t="s">
        <v>45</v>
      </c>
      <c r="B11" s="4" t="s">
        <v>1048</v>
      </c>
      <c r="C11" s="4" t="s">
        <v>1049</v>
      </c>
      <c r="D11" s="4" t="s">
        <v>1050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EC7B5-C97F-4526-9DE9-EC5DBE926D86}">
  <dimension ref="A1:B9"/>
  <sheetViews>
    <sheetView workbookViewId="0"/>
  </sheetViews>
  <sheetFormatPr defaultColWidth="8.85546875" defaultRowHeight="15" x14ac:dyDescent="0.25"/>
  <cols>
    <col min="1" max="1" width="18" bestFit="1" customWidth="1"/>
    <col min="2" max="2" width="92.85546875" customWidth="1"/>
  </cols>
  <sheetData>
    <row r="1" spans="1:2" x14ac:dyDescent="0.25">
      <c r="A1" s="27" t="s">
        <v>13</v>
      </c>
      <c r="B1" s="27" t="s">
        <v>1051</v>
      </c>
    </row>
    <row r="2" spans="1:2" ht="45" x14ac:dyDescent="0.25">
      <c r="A2" s="28" t="s">
        <v>50</v>
      </c>
      <c r="B2" s="28" t="s">
        <v>1052</v>
      </c>
    </row>
    <row r="3" spans="1:2" x14ac:dyDescent="0.25">
      <c r="A3" s="28" t="s">
        <v>1053</v>
      </c>
      <c r="B3" s="28" t="s">
        <v>1054</v>
      </c>
    </row>
    <row r="4" spans="1:2" ht="30" x14ac:dyDescent="0.25">
      <c r="A4" s="28" t="s">
        <v>41</v>
      </c>
      <c r="B4" s="28" t="s">
        <v>1055</v>
      </c>
    </row>
    <row r="5" spans="1:2" ht="45" x14ac:dyDescent="0.25">
      <c r="A5" s="28" t="s">
        <v>87</v>
      </c>
      <c r="B5" s="28" t="s">
        <v>1056</v>
      </c>
    </row>
    <row r="6" spans="1:2" x14ac:dyDescent="0.25">
      <c r="A6" s="26"/>
      <c r="B6" s="26"/>
    </row>
    <row r="7" spans="1:2" x14ac:dyDescent="0.25">
      <c r="A7" s="26"/>
      <c r="B7" s="26"/>
    </row>
    <row r="8" spans="1:2" x14ac:dyDescent="0.25">
      <c r="A8" s="26"/>
      <c r="B8" s="26"/>
    </row>
    <row r="9" spans="1:2" x14ac:dyDescent="0.25">
      <c r="A9" s="26"/>
      <c r="B9" s="2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258C9-C344-4394-B60C-03DB62339301}">
  <sheetPr codeName="Sheet6"/>
  <dimension ref="A1:E10"/>
  <sheetViews>
    <sheetView zoomScale="159" workbookViewId="0">
      <pane ySplit="1" topLeftCell="A2" activePane="bottomLeft" state="frozen"/>
      <selection pane="bottomLeft" activeCell="E10" sqref="A4:E10"/>
    </sheetView>
  </sheetViews>
  <sheetFormatPr defaultColWidth="10.85546875" defaultRowHeight="15" x14ac:dyDescent="0.25"/>
  <cols>
    <col min="1" max="1" width="23.42578125" style="8" customWidth="1"/>
    <col min="2" max="2" width="32.42578125" style="8" customWidth="1"/>
    <col min="3" max="3" width="34.28515625" style="8" customWidth="1"/>
    <col min="4" max="4" width="33.42578125" style="8" customWidth="1"/>
    <col min="5" max="5" width="14.42578125" style="8" customWidth="1"/>
    <col min="6" max="16384" width="10.85546875" style="8"/>
  </cols>
  <sheetData>
    <row r="1" spans="1:5" x14ac:dyDescent="0.25">
      <c r="A1" s="7" t="s">
        <v>1057</v>
      </c>
    </row>
    <row r="2" spans="1:5" ht="33.950000000000003" customHeight="1" x14ac:dyDescent="0.25">
      <c r="A2" s="37" t="s">
        <v>1058</v>
      </c>
      <c r="B2" s="37"/>
      <c r="C2" s="37"/>
      <c r="D2" s="37"/>
    </row>
    <row r="4" spans="1:5" x14ac:dyDescent="0.25">
      <c r="A4" s="9" t="s">
        <v>1059</v>
      </c>
      <c r="B4" s="9" t="s">
        <v>1060</v>
      </c>
      <c r="C4" s="9" t="s">
        <v>1051</v>
      </c>
      <c r="D4" s="9" t="s">
        <v>1061</v>
      </c>
      <c r="E4" s="9" t="s">
        <v>1062</v>
      </c>
    </row>
    <row r="5" spans="1:5" ht="165" x14ac:dyDescent="0.25">
      <c r="A5" s="38" t="s">
        <v>1063</v>
      </c>
      <c r="B5" s="10" t="s">
        <v>1064</v>
      </c>
      <c r="C5" s="11" t="s">
        <v>1065</v>
      </c>
      <c r="D5" s="11" t="s">
        <v>1066</v>
      </c>
      <c r="E5" s="39" t="s">
        <v>630</v>
      </c>
    </row>
    <row r="6" spans="1:5" ht="75" x14ac:dyDescent="0.25">
      <c r="A6" s="38"/>
      <c r="B6" s="10" t="s">
        <v>1067</v>
      </c>
      <c r="C6" s="11" t="s">
        <v>1068</v>
      </c>
      <c r="D6" s="11" t="s">
        <v>1069</v>
      </c>
      <c r="E6" s="39"/>
    </row>
    <row r="7" spans="1:5" ht="165" x14ac:dyDescent="0.25">
      <c r="A7" s="40" t="s">
        <v>73</v>
      </c>
      <c r="B7" s="10" t="s">
        <v>1070</v>
      </c>
      <c r="C7" s="11" t="s">
        <v>1071</v>
      </c>
      <c r="D7" s="41" t="s">
        <v>1072</v>
      </c>
      <c r="E7" s="39" t="s">
        <v>1073</v>
      </c>
    </row>
    <row r="8" spans="1:5" ht="60" x14ac:dyDescent="0.25">
      <c r="A8" s="40"/>
      <c r="B8" s="10" t="s">
        <v>1074</v>
      </c>
      <c r="C8" s="11" t="s">
        <v>1075</v>
      </c>
      <c r="D8" s="41"/>
      <c r="E8" s="39"/>
    </row>
    <row r="9" spans="1:5" ht="150" x14ac:dyDescent="0.25">
      <c r="A9" s="13" t="s">
        <v>51</v>
      </c>
      <c r="B9" s="10" t="s">
        <v>1076</v>
      </c>
      <c r="C9" s="11" t="s">
        <v>1077</v>
      </c>
      <c r="D9" s="11" t="s">
        <v>1078</v>
      </c>
      <c r="E9" s="12" t="s">
        <v>40</v>
      </c>
    </row>
    <row r="10" spans="1:5" ht="60" x14ac:dyDescent="0.25">
      <c r="A10" s="25" t="s">
        <v>67</v>
      </c>
      <c r="B10" s="11" t="s">
        <v>67</v>
      </c>
      <c r="C10" s="11" t="s">
        <v>1079</v>
      </c>
      <c r="D10" s="10" t="s">
        <v>1080</v>
      </c>
      <c r="E10" s="12" t="s">
        <v>67</v>
      </c>
    </row>
  </sheetData>
  <mergeCells count="6">
    <mergeCell ref="A2:D2"/>
    <mergeCell ref="A5:A6"/>
    <mergeCell ref="E5:E6"/>
    <mergeCell ref="A7:A8"/>
    <mergeCell ref="D7:D8"/>
    <mergeCell ref="E7:E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57A6B-E6F4-4D49-96DA-94D2E78E426D}">
  <sheetPr codeName="Sheet7"/>
  <dimension ref="A1:C16389"/>
  <sheetViews>
    <sheetView zoomScale="167" workbookViewId="0">
      <pane ySplit="1" topLeftCell="A32" activePane="bottomLeft" state="frozen"/>
      <selection pane="bottomLeft" activeCell="D38" sqref="D38"/>
    </sheetView>
  </sheetViews>
  <sheetFormatPr defaultColWidth="10.85546875" defaultRowHeight="15" x14ac:dyDescent="0.25"/>
  <cols>
    <col min="1" max="1" width="24.7109375" style="17" customWidth="1"/>
    <col min="2" max="2" width="72.42578125" style="15" customWidth="1"/>
    <col min="3" max="3" width="49" style="17" customWidth="1"/>
    <col min="4" max="16384" width="10.85546875" style="17"/>
  </cols>
  <sheetData>
    <row r="1" spans="1:3" s="7" customFormat="1" x14ac:dyDescent="0.25">
      <c r="A1" s="7" t="s">
        <v>1081</v>
      </c>
      <c r="B1" s="14" t="s">
        <v>1023</v>
      </c>
      <c r="C1" s="7" t="s">
        <v>1022</v>
      </c>
    </row>
    <row r="2" spans="1:3" x14ac:dyDescent="0.25">
      <c r="A2" s="15" t="s">
        <v>3</v>
      </c>
      <c r="B2" s="15" t="s">
        <v>1082</v>
      </c>
      <c r="C2" s="16" t="s">
        <v>1083</v>
      </c>
    </row>
    <row r="3" spans="1:3" ht="30" x14ac:dyDescent="0.25">
      <c r="A3" s="15" t="s">
        <v>4</v>
      </c>
      <c r="B3" s="15" t="s">
        <v>1084</v>
      </c>
      <c r="C3" s="16" t="s">
        <v>1083</v>
      </c>
    </row>
    <row r="4" spans="1:3" ht="45" x14ac:dyDescent="0.25">
      <c r="A4" s="18" t="s">
        <v>5</v>
      </c>
      <c r="B4" s="15" t="s">
        <v>1085</v>
      </c>
      <c r="C4" s="16" t="s">
        <v>1083</v>
      </c>
    </row>
    <row r="5" spans="1:3" ht="60" x14ac:dyDescent="0.25">
      <c r="A5" s="18" t="s">
        <v>6</v>
      </c>
      <c r="B5" s="15" t="s">
        <v>1086</v>
      </c>
      <c r="C5" s="16" t="s">
        <v>1083</v>
      </c>
    </row>
    <row r="6" spans="1:3" ht="30" x14ac:dyDescent="0.25">
      <c r="A6" s="15" t="s">
        <v>7</v>
      </c>
      <c r="B6" s="15" t="s">
        <v>1087</v>
      </c>
      <c r="C6" s="17" t="s">
        <v>1088</v>
      </c>
    </row>
    <row r="7" spans="1:3" ht="45" x14ac:dyDescent="0.25">
      <c r="A7" s="15" t="s">
        <v>8</v>
      </c>
      <c r="B7" s="15" t="s">
        <v>1089</v>
      </c>
      <c r="C7" s="17" t="s">
        <v>1088</v>
      </c>
    </row>
    <row r="8" spans="1:3" ht="30" x14ac:dyDescent="0.25">
      <c r="A8" s="15" t="s">
        <v>9</v>
      </c>
      <c r="B8" s="15" t="s">
        <v>1090</v>
      </c>
      <c r="C8" s="17" t="s">
        <v>1088</v>
      </c>
    </row>
    <row r="9" spans="1:3" ht="30" x14ac:dyDescent="0.25">
      <c r="A9" s="15" t="s">
        <v>10</v>
      </c>
      <c r="B9" s="15" t="s">
        <v>1091</v>
      </c>
      <c r="C9" s="17" t="s">
        <v>1088</v>
      </c>
    </row>
    <row r="10" spans="1:3" ht="45" x14ac:dyDescent="0.25">
      <c r="A10" s="15" t="s">
        <v>11</v>
      </c>
      <c r="B10" s="15" t="s">
        <v>1092</v>
      </c>
      <c r="C10" s="17" t="s">
        <v>1088</v>
      </c>
    </row>
    <row r="11" spans="1:3" ht="30" x14ac:dyDescent="0.25">
      <c r="A11" s="15" t="s">
        <v>12</v>
      </c>
      <c r="B11" s="15" t="s">
        <v>1093</v>
      </c>
      <c r="C11" s="17" t="s">
        <v>1088</v>
      </c>
    </row>
    <row r="12" spans="1:3" ht="45" x14ac:dyDescent="0.25">
      <c r="A12" s="15" t="s">
        <v>13</v>
      </c>
      <c r="B12" s="21" t="s">
        <v>1094</v>
      </c>
      <c r="C12" s="17" t="s">
        <v>1083</v>
      </c>
    </row>
    <row r="13" spans="1:3" ht="30" x14ac:dyDescent="0.25">
      <c r="A13" s="15" t="s">
        <v>14</v>
      </c>
      <c r="B13" s="15" t="s">
        <v>1095</v>
      </c>
      <c r="C13" s="17" t="s">
        <v>1096</v>
      </c>
    </row>
    <row r="14" spans="1:3" ht="45" x14ac:dyDescent="0.25">
      <c r="A14" s="15" t="s">
        <v>15</v>
      </c>
      <c r="B14" s="15" t="s">
        <v>1097</v>
      </c>
      <c r="C14" s="17" t="s">
        <v>1096</v>
      </c>
    </row>
    <row r="15" spans="1:3" ht="30" x14ac:dyDescent="0.25">
      <c r="A15" s="15" t="s">
        <v>16</v>
      </c>
      <c r="B15" s="15" t="s">
        <v>1098</v>
      </c>
      <c r="C15" s="17" t="s">
        <v>1096</v>
      </c>
    </row>
    <row r="16" spans="1:3" ht="75" x14ac:dyDescent="0.25">
      <c r="A16" s="15" t="s">
        <v>17</v>
      </c>
      <c r="B16" s="15" t="s">
        <v>1099</v>
      </c>
      <c r="C16" s="17" t="s">
        <v>1096</v>
      </c>
    </row>
    <row r="17" spans="1:3" x14ac:dyDescent="0.25">
      <c r="A17" s="15" t="s">
        <v>18</v>
      </c>
      <c r="B17" s="15" t="s">
        <v>1100</v>
      </c>
      <c r="C17" s="17" t="s">
        <v>1096</v>
      </c>
    </row>
    <row r="18" spans="1:3" ht="30" x14ac:dyDescent="0.25">
      <c r="A18" s="15" t="s">
        <v>1101</v>
      </c>
      <c r="B18" s="15" t="s">
        <v>1102</v>
      </c>
      <c r="C18" s="17" t="s">
        <v>1096</v>
      </c>
    </row>
    <row r="19" spans="1:3" ht="75" x14ac:dyDescent="0.25">
      <c r="A19" s="15" t="s">
        <v>19</v>
      </c>
      <c r="B19" s="15" t="s">
        <v>1103</v>
      </c>
      <c r="C19" s="15" t="s">
        <v>1104</v>
      </c>
    </row>
    <row r="20" spans="1:3" ht="75" x14ac:dyDescent="0.25">
      <c r="A20" s="15" t="s">
        <v>20</v>
      </c>
      <c r="B20" s="15" t="s">
        <v>1105</v>
      </c>
      <c r="C20" s="15" t="s">
        <v>1104</v>
      </c>
    </row>
    <row r="21" spans="1:3" ht="75" x14ac:dyDescent="0.25">
      <c r="A21" s="15" t="s">
        <v>21</v>
      </c>
      <c r="B21" s="15" t="s">
        <v>1106</v>
      </c>
      <c r="C21" s="15" t="s">
        <v>1104</v>
      </c>
    </row>
    <row r="22" spans="1:3" ht="75" x14ac:dyDescent="0.25">
      <c r="A22" s="15" t="s">
        <v>23</v>
      </c>
      <c r="B22" s="15" t="s">
        <v>1107</v>
      </c>
      <c r="C22" s="15" t="s">
        <v>1104</v>
      </c>
    </row>
    <row r="23" spans="1:3" ht="75" x14ac:dyDescent="0.25">
      <c r="A23" s="15" t="s">
        <v>24</v>
      </c>
      <c r="B23" s="15" t="s">
        <v>1108</v>
      </c>
      <c r="C23" s="15" t="s">
        <v>1104</v>
      </c>
    </row>
    <row r="24" spans="1:3" ht="75" x14ac:dyDescent="0.25">
      <c r="A24" s="15" t="s">
        <v>25</v>
      </c>
      <c r="B24" s="15" t="s">
        <v>1109</v>
      </c>
      <c r="C24" s="15" t="s">
        <v>1104</v>
      </c>
    </row>
    <row r="25" spans="1:3" ht="75" x14ac:dyDescent="0.25">
      <c r="A25" s="15" t="s">
        <v>26</v>
      </c>
      <c r="B25" s="15" t="s">
        <v>1110</v>
      </c>
      <c r="C25" s="15" t="s">
        <v>1104</v>
      </c>
    </row>
    <row r="26" spans="1:3" ht="75" x14ac:dyDescent="0.25">
      <c r="A26" s="15" t="s">
        <v>27</v>
      </c>
      <c r="B26" s="15" t="s">
        <v>1111</v>
      </c>
      <c r="C26" s="15" t="s">
        <v>1112</v>
      </c>
    </row>
    <row r="27" spans="1:3" ht="75" x14ac:dyDescent="0.25">
      <c r="A27" s="15" t="s">
        <v>28</v>
      </c>
      <c r="B27" s="15" t="s">
        <v>1105</v>
      </c>
      <c r="C27" s="15" t="s">
        <v>1112</v>
      </c>
    </row>
    <row r="28" spans="1:3" ht="75" x14ac:dyDescent="0.25">
      <c r="A28" s="15" t="s">
        <v>29</v>
      </c>
      <c r="B28" s="15" t="s">
        <v>1113</v>
      </c>
      <c r="C28" s="15" t="s">
        <v>1112</v>
      </c>
    </row>
    <row r="29" spans="1:3" ht="75" x14ac:dyDescent="0.25">
      <c r="A29" s="15" t="s">
        <v>31</v>
      </c>
      <c r="B29" s="15" t="s">
        <v>1114</v>
      </c>
      <c r="C29" s="15" t="s">
        <v>1112</v>
      </c>
    </row>
    <row r="30" spans="1:3" ht="75" x14ac:dyDescent="0.25">
      <c r="A30" s="15" t="s">
        <v>32</v>
      </c>
      <c r="B30" s="15" t="s">
        <v>1115</v>
      </c>
      <c r="C30" s="15" t="s">
        <v>1112</v>
      </c>
    </row>
    <row r="31" spans="1:3" ht="75" x14ac:dyDescent="0.25">
      <c r="A31" s="15" t="s">
        <v>33</v>
      </c>
      <c r="B31" s="15" t="s">
        <v>1116</v>
      </c>
      <c r="C31" s="15" t="s">
        <v>1112</v>
      </c>
    </row>
    <row r="32" spans="1:3" ht="75" x14ac:dyDescent="0.25">
      <c r="A32" s="15" t="s">
        <v>34</v>
      </c>
      <c r="B32" s="15" t="s">
        <v>1117</v>
      </c>
      <c r="C32" s="15" t="s">
        <v>1112</v>
      </c>
    </row>
    <row r="33" spans="1:3" ht="75" x14ac:dyDescent="0.25">
      <c r="A33" s="15" t="s">
        <v>35</v>
      </c>
      <c r="B33" s="21" t="s">
        <v>1118</v>
      </c>
      <c r="C33" s="17" t="s">
        <v>1119</v>
      </c>
    </row>
    <row r="34" spans="1:3" x14ac:dyDescent="0.25">
      <c r="A34" s="15"/>
    </row>
    <row r="35" spans="1:3" x14ac:dyDescent="0.25">
      <c r="A35" s="15"/>
    </row>
    <row r="36" spans="1:3" x14ac:dyDescent="0.25">
      <c r="A36" s="15"/>
    </row>
    <row r="37" spans="1:3" x14ac:dyDescent="0.25">
      <c r="A37" s="15"/>
    </row>
    <row r="38" spans="1:3" x14ac:dyDescent="0.25">
      <c r="A38" s="15"/>
    </row>
    <row r="39" spans="1:3" x14ac:dyDescent="0.25">
      <c r="A39" s="15"/>
    </row>
    <row r="40" spans="1:3" x14ac:dyDescent="0.25">
      <c r="A40" s="15"/>
    </row>
    <row r="41" spans="1:3" x14ac:dyDescent="0.25">
      <c r="A41" s="15"/>
    </row>
    <row r="42" spans="1:3" x14ac:dyDescent="0.25">
      <c r="A42" s="15"/>
    </row>
    <row r="43" spans="1:3" x14ac:dyDescent="0.25">
      <c r="A43" s="15"/>
    </row>
    <row r="44" spans="1:3" x14ac:dyDescent="0.25">
      <c r="A44" s="15"/>
    </row>
    <row r="45" spans="1:3" x14ac:dyDescent="0.25">
      <c r="A45" s="15"/>
    </row>
    <row r="46" spans="1:3" x14ac:dyDescent="0.25">
      <c r="A46" s="15"/>
    </row>
    <row r="47" spans="1:3" x14ac:dyDescent="0.25">
      <c r="A47" s="15"/>
    </row>
    <row r="48" spans="1:3" x14ac:dyDescent="0.25">
      <c r="A48" s="15"/>
    </row>
    <row r="49" spans="1:1" x14ac:dyDescent="0.25">
      <c r="A49" s="15"/>
    </row>
    <row r="50" spans="1:1" x14ac:dyDescent="0.25">
      <c r="A50" s="15"/>
    </row>
    <row r="51" spans="1:1" x14ac:dyDescent="0.25">
      <c r="A51" s="15"/>
    </row>
    <row r="52" spans="1:1" x14ac:dyDescent="0.25">
      <c r="A52" s="15"/>
    </row>
    <row r="53" spans="1:1" x14ac:dyDescent="0.25">
      <c r="A53" s="15"/>
    </row>
    <row r="54" spans="1:1" x14ac:dyDescent="0.25">
      <c r="A54" s="15"/>
    </row>
    <row r="55" spans="1:1" x14ac:dyDescent="0.25">
      <c r="A55" s="15"/>
    </row>
    <row r="56" spans="1:1" x14ac:dyDescent="0.25">
      <c r="A56" s="15"/>
    </row>
    <row r="57" spans="1:1" x14ac:dyDescent="0.25">
      <c r="A57" s="15"/>
    </row>
    <row r="58" spans="1:1" x14ac:dyDescent="0.25">
      <c r="A58" s="15"/>
    </row>
    <row r="59" spans="1:1" x14ac:dyDescent="0.25">
      <c r="A59" s="15"/>
    </row>
    <row r="60" spans="1:1" x14ac:dyDescent="0.25">
      <c r="A60" s="15"/>
    </row>
    <row r="61" spans="1:1" x14ac:dyDescent="0.25">
      <c r="A61" s="15"/>
    </row>
    <row r="62" spans="1:1" x14ac:dyDescent="0.25">
      <c r="A62" s="15"/>
    </row>
    <row r="63" spans="1:1" x14ac:dyDescent="0.25">
      <c r="A63" s="15"/>
    </row>
    <row r="64" spans="1:1" x14ac:dyDescent="0.25">
      <c r="A64" s="15"/>
    </row>
    <row r="65" spans="1:1" x14ac:dyDescent="0.25">
      <c r="A65" s="15"/>
    </row>
    <row r="66" spans="1:1" x14ac:dyDescent="0.25">
      <c r="A66" s="15"/>
    </row>
    <row r="67" spans="1:1" x14ac:dyDescent="0.25">
      <c r="A67" s="15"/>
    </row>
    <row r="68" spans="1:1" x14ac:dyDescent="0.25">
      <c r="A68" s="15"/>
    </row>
    <row r="69" spans="1:1" x14ac:dyDescent="0.25">
      <c r="A69" s="15"/>
    </row>
    <row r="70" spans="1:1" x14ac:dyDescent="0.25">
      <c r="A70" s="15"/>
    </row>
    <row r="71" spans="1:1" x14ac:dyDescent="0.25">
      <c r="A71" s="15"/>
    </row>
    <row r="72" spans="1:1" x14ac:dyDescent="0.25">
      <c r="A72" s="15"/>
    </row>
    <row r="73" spans="1:1" x14ac:dyDescent="0.25">
      <c r="A73" s="15"/>
    </row>
    <row r="74" spans="1:1" x14ac:dyDescent="0.25">
      <c r="A74" s="15"/>
    </row>
    <row r="75" spans="1:1" x14ac:dyDescent="0.25">
      <c r="A75" s="15"/>
    </row>
    <row r="76" spans="1:1" x14ac:dyDescent="0.25">
      <c r="A76" s="15"/>
    </row>
    <row r="77" spans="1:1" x14ac:dyDescent="0.25">
      <c r="A77" s="15"/>
    </row>
    <row r="78" spans="1:1" x14ac:dyDescent="0.25">
      <c r="A78" s="15"/>
    </row>
    <row r="79" spans="1:1" x14ac:dyDescent="0.25">
      <c r="A79" s="15"/>
    </row>
    <row r="80" spans="1:1" x14ac:dyDescent="0.25">
      <c r="A80" s="15"/>
    </row>
    <row r="81" spans="1:1" x14ac:dyDescent="0.25">
      <c r="A81" s="15"/>
    </row>
    <row r="82" spans="1:1" x14ac:dyDescent="0.25">
      <c r="A82" s="15"/>
    </row>
    <row r="83" spans="1:1" x14ac:dyDescent="0.25">
      <c r="A83" s="15"/>
    </row>
    <row r="84" spans="1:1" x14ac:dyDescent="0.25">
      <c r="A84" s="15"/>
    </row>
    <row r="85" spans="1:1" x14ac:dyDescent="0.25">
      <c r="A85" s="15"/>
    </row>
    <row r="86" spans="1:1" x14ac:dyDescent="0.25">
      <c r="A86" s="15"/>
    </row>
    <row r="87" spans="1:1" x14ac:dyDescent="0.25">
      <c r="A87" s="15"/>
    </row>
    <row r="88" spans="1:1" x14ac:dyDescent="0.25">
      <c r="A88" s="15"/>
    </row>
    <row r="89" spans="1:1" x14ac:dyDescent="0.25">
      <c r="A89" s="15"/>
    </row>
    <row r="90" spans="1:1" x14ac:dyDescent="0.25">
      <c r="A90" s="15"/>
    </row>
    <row r="91" spans="1:1" x14ac:dyDescent="0.25">
      <c r="A91" s="15"/>
    </row>
    <row r="92" spans="1:1" x14ac:dyDescent="0.25">
      <c r="A92" s="15"/>
    </row>
    <row r="93" spans="1:1" x14ac:dyDescent="0.25">
      <c r="A93" s="15"/>
    </row>
    <row r="94" spans="1:1" x14ac:dyDescent="0.25">
      <c r="A94" s="15"/>
    </row>
    <row r="95" spans="1:1" x14ac:dyDescent="0.25">
      <c r="A95" s="15"/>
    </row>
    <row r="96" spans="1:1" x14ac:dyDescent="0.25">
      <c r="A96" s="15"/>
    </row>
    <row r="97" spans="1:1" x14ac:dyDescent="0.25">
      <c r="A97" s="15"/>
    </row>
    <row r="98" spans="1:1" x14ac:dyDescent="0.25">
      <c r="A98" s="15"/>
    </row>
    <row r="99" spans="1:1" x14ac:dyDescent="0.25">
      <c r="A99" s="15"/>
    </row>
    <row r="100" spans="1:1" x14ac:dyDescent="0.25">
      <c r="A100" s="15"/>
    </row>
    <row r="101" spans="1:1" x14ac:dyDescent="0.25">
      <c r="A101" s="15"/>
    </row>
    <row r="102" spans="1:1" x14ac:dyDescent="0.25">
      <c r="A102" s="15"/>
    </row>
    <row r="103" spans="1:1" x14ac:dyDescent="0.25">
      <c r="A103" s="15"/>
    </row>
    <row r="104" spans="1:1" x14ac:dyDescent="0.25">
      <c r="A104" s="15"/>
    </row>
    <row r="105" spans="1:1" x14ac:dyDescent="0.25">
      <c r="A105" s="15"/>
    </row>
    <row r="106" spans="1:1" x14ac:dyDescent="0.25">
      <c r="A106" s="15"/>
    </row>
    <row r="107" spans="1:1" x14ac:dyDescent="0.25">
      <c r="A107" s="15"/>
    </row>
    <row r="108" spans="1:1" x14ac:dyDescent="0.25">
      <c r="A108" s="15"/>
    </row>
    <row r="109" spans="1:1" x14ac:dyDescent="0.25">
      <c r="A109" s="15"/>
    </row>
    <row r="110" spans="1:1" x14ac:dyDescent="0.25">
      <c r="A110" s="15"/>
    </row>
    <row r="111" spans="1:1" x14ac:dyDescent="0.25">
      <c r="A111" s="15"/>
    </row>
    <row r="112" spans="1:1" x14ac:dyDescent="0.25">
      <c r="A112" s="15"/>
    </row>
    <row r="113" spans="1:1" x14ac:dyDescent="0.25">
      <c r="A113" s="15"/>
    </row>
    <row r="114" spans="1:1" x14ac:dyDescent="0.25">
      <c r="A114" s="15"/>
    </row>
    <row r="115" spans="1:1" x14ac:dyDescent="0.25">
      <c r="A115" s="15"/>
    </row>
    <row r="116" spans="1:1" x14ac:dyDescent="0.25">
      <c r="A116" s="15"/>
    </row>
    <row r="117" spans="1:1" x14ac:dyDescent="0.25">
      <c r="A117" s="15"/>
    </row>
    <row r="118" spans="1:1" x14ac:dyDescent="0.25">
      <c r="A118" s="15"/>
    </row>
    <row r="119" spans="1:1" x14ac:dyDescent="0.25">
      <c r="A119" s="15"/>
    </row>
    <row r="120" spans="1:1" x14ac:dyDescent="0.25">
      <c r="A120" s="15"/>
    </row>
    <row r="121" spans="1:1" x14ac:dyDescent="0.25">
      <c r="A121" s="15"/>
    </row>
    <row r="122" spans="1:1" x14ac:dyDescent="0.25">
      <c r="A122" s="15"/>
    </row>
    <row r="123" spans="1:1" x14ac:dyDescent="0.25">
      <c r="A123" s="15"/>
    </row>
    <row r="124" spans="1:1" x14ac:dyDescent="0.25">
      <c r="A124" s="15"/>
    </row>
    <row r="125" spans="1:1" x14ac:dyDescent="0.25">
      <c r="A125" s="15"/>
    </row>
    <row r="126" spans="1:1" x14ac:dyDescent="0.25">
      <c r="A126" s="15"/>
    </row>
    <row r="127" spans="1:1" x14ac:dyDescent="0.25">
      <c r="A127" s="15"/>
    </row>
    <row r="128" spans="1:1" x14ac:dyDescent="0.25">
      <c r="A128" s="15"/>
    </row>
    <row r="129" spans="1:1" x14ac:dyDescent="0.25">
      <c r="A129" s="15"/>
    </row>
    <row r="130" spans="1:1" x14ac:dyDescent="0.25">
      <c r="A130" s="15"/>
    </row>
    <row r="131" spans="1:1" x14ac:dyDescent="0.25">
      <c r="A131" s="15"/>
    </row>
    <row r="132" spans="1:1" x14ac:dyDescent="0.25">
      <c r="A132" s="15"/>
    </row>
    <row r="133" spans="1:1" x14ac:dyDescent="0.25">
      <c r="A133" s="15"/>
    </row>
    <row r="134" spans="1:1" x14ac:dyDescent="0.25">
      <c r="A134" s="15"/>
    </row>
    <row r="135" spans="1:1" x14ac:dyDescent="0.25">
      <c r="A135" s="15"/>
    </row>
    <row r="136" spans="1:1" x14ac:dyDescent="0.25">
      <c r="A136" s="15"/>
    </row>
    <row r="137" spans="1:1" x14ac:dyDescent="0.25">
      <c r="A137" s="15"/>
    </row>
    <row r="138" spans="1:1" x14ac:dyDescent="0.25">
      <c r="A138" s="15"/>
    </row>
    <row r="139" spans="1:1" x14ac:dyDescent="0.25">
      <c r="A139" s="15"/>
    </row>
    <row r="140" spans="1:1" x14ac:dyDescent="0.25">
      <c r="A140" s="15"/>
    </row>
    <row r="141" spans="1:1" x14ac:dyDescent="0.25">
      <c r="A141" s="15"/>
    </row>
    <row r="142" spans="1:1" x14ac:dyDescent="0.25">
      <c r="A142" s="15"/>
    </row>
    <row r="143" spans="1:1" x14ac:dyDescent="0.25">
      <c r="A143" s="15"/>
    </row>
    <row r="144" spans="1:1" x14ac:dyDescent="0.25">
      <c r="A144" s="15"/>
    </row>
    <row r="145" spans="1:1" x14ac:dyDescent="0.25">
      <c r="A145" s="15"/>
    </row>
    <row r="146" spans="1:1" x14ac:dyDescent="0.25">
      <c r="A146" s="15"/>
    </row>
    <row r="147" spans="1:1" x14ac:dyDescent="0.25">
      <c r="A147" s="15"/>
    </row>
    <row r="148" spans="1:1" x14ac:dyDescent="0.25">
      <c r="A148" s="15"/>
    </row>
    <row r="149" spans="1:1" x14ac:dyDescent="0.25">
      <c r="A149" s="15"/>
    </row>
    <row r="150" spans="1:1" x14ac:dyDescent="0.25">
      <c r="A150" s="15"/>
    </row>
    <row r="151" spans="1:1" x14ac:dyDescent="0.25">
      <c r="A151" s="15"/>
    </row>
    <row r="152" spans="1:1" x14ac:dyDescent="0.25">
      <c r="A152" s="15"/>
    </row>
    <row r="153" spans="1:1" x14ac:dyDescent="0.25">
      <c r="A153" s="15"/>
    </row>
    <row r="154" spans="1:1" x14ac:dyDescent="0.25">
      <c r="A154" s="15"/>
    </row>
    <row r="155" spans="1:1" x14ac:dyDescent="0.25">
      <c r="A155" s="15"/>
    </row>
    <row r="156" spans="1:1" x14ac:dyDescent="0.25">
      <c r="A156" s="15"/>
    </row>
    <row r="157" spans="1:1" x14ac:dyDescent="0.25">
      <c r="A157" s="15"/>
    </row>
    <row r="158" spans="1:1" x14ac:dyDescent="0.25">
      <c r="A158" s="15"/>
    </row>
    <row r="159" spans="1:1" x14ac:dyDescent="0.25">
      <c r="A159" s="15"/>
    </row>
    <row r="160" spans="1:1" x14ac:dyDescent="0.25">
      <c r="A160" s="15"/>
    </row>
    <row r="161" spans="1:1" x14ac:dyDescent="0.25">
      <c r="A161" s="15"/>
    </row>
    <row r="162" spans="1:1" x14ac:dyDescent="0.25">
      <c r="A162" s="15"/>
    </row>
    <row r="163" spans="1:1" x14ac:dyDescent="0.25">
      <c r="A163" s="15"/>
    </row>
    <row r="164" spans="1:1" x14ac:dyDescent="0.25">
      <c r="A164" s="15"/>
    </row>
    <row r="165" spans="1:1" x14ac:dyDescent="0.25">
      <c r="A165" s="15"/>
    </row>
    <row r="166" spans="1:1" x14ac:dyDescent="0.25">
      <c r="A166" s="15"/>
    </row>
    <row r="167" spans="1:1" x14ac:dyDescent="0.25">
      <c r="A167" s="15"/>
    </row>
    <row r="168" spans="1:1" x14ac:dyDescent="0.25">
      <c r="A168" s="15"/>
    </row>
    <row r="169" spans="1:1" x14ac:dyDescent="0.25">
      <c r="A169" s="15"/>
    </row>
    <row r="170" spans="1:1" x14ac:dyDescent="0.25">
      <c r="A170" s="15"/>
    </row>
    <row r="171" spans="1:1" x14ac:dyDescent="0.25">
      <c r="A171" s="15"/>
    </row>
    <row r="172" spans="1:1" x14ac:dyDescent="0.25">
      <c r="A172" s="15"/>
    </row>
    <row r="173" spans="1:1" x14ac:dyDescent="0.25">
      <c r="A173" s="15"/>
    </row>
    <row r="174" spans="1:1" x14ac:dyDescent="0.25">
      <c r="A174" s="15"/>
    </row>
    <row r="175" spans="1:1" x14ac:dyDescent="0.25">
      <c r="A175" s="15"/>
    </row>
    <row r="176" spans="1:1" x14ac:dyDescent="0.25">
      <c r="A176" s="15"/>
    </row>
    <row r="177" spans="1:1" x14ac:dyDescent="0.25">
      <c r="A177" s="15"/>
    </row>
    <row r="178" spans="1:1" x14ac:dyDescent="0.25">
      <c r="A178" s="15"/>
    </row>
    <row r="179" spans="1:1" x14ac:dyDescent="0.25">
      <c r="A179" s="15"/>
    </row>
    <row r="180" spans="1:1" x14ac:dyDescent="0.25">
      <c r="A180" s="15"/>
    </row>
    <row r="181" spans="1:1" x14ac:dyDescent="0.25">
      <c r="A181" s="15"/>
    </row>
    <row r="182" spans="1:1" x14ac:dyDescent="0.25">
      <c r="A182" s="15"/>
    </row>
    <row r="183" spans="1:1" x14ac:dyDescent="0.25">
      <c r="A183" s="15"/>
    </row>
    <row r="184" spans="1:1" x14ac:dyDescent="0.25">
      <c r="A184" s="15"/>
    </row>
    <row r="185" spans="1:1" x14ac:dyDescent="0.25">
      <c r="A185" s="15"/>
    </row>
    <row r="186" spans="1:1" x14ac:dyDescent="0.25">
      <c r="A186" s="15"/>
    </row>
    <row r="187" spans="1:1" x14ac:dyDescent="0.25">
      <c r="A187" s="15"/>
    </row>
    <row r="188" spans="1:1" x14ac:dyDescent="0.25">
      <c r="A188" s="15"/>
    </row>
    <row r="189" spans="1:1" x14ac:dyDescent="0.25">
      <c r="A189" s="15"/>
    </row>
    <row r="190" spans="1:1" x14ac:dyDescent="0.25">
      <c r="A190" s="15"/>
    </row>
    <row r="191" spans="1:1" x14ac:dyDescent="0.25">
      <c r="A191" s="15"/>
    </row>
    <row r="192" spans="1:1" x14ac:dyDescent="0.25">
      <c r="A192" s="15"/>
    </row>
    <row r="193" spans="1:1" x14ac:dyDescent="0.25">
      <c r="A193" s="15"/>
    </row>
    <row r="194" spans="1:1" x14ac:dyDescent="0.25">
      <c r="A194" s="15"/>
    </row>
    <row r="195" spans="1:1" x14ac:dyDescent="0.25">
      <c r="A195" s="15"/>
    </row>
    <row r="196" spans="1:1" x14ac:dyDescent="0.25">
      <c r="A196" s="15"/>
    </row>
    <row r="197" spans="1:1" x14ac:dyDescent="0.25">
      <c r="A197" s="15"/>
    </row>
    <row r="198" spans="1:1" x14ac:dyDescent="0.25">
      <c r="A198" s="15"/>
    </row>
    <row r="199" spans="1:1" x14ac:dyDescent="0.25">
      <c r="A199" s="15"/>
    </row>
    <row r="200" spans="1:1" x14ac:dyDescent="0.25">
      <c r="A200" s="15"/>
    </row>
    <row r="201" spans="1:1" x14ac:dyDescent="0.25">
      <c r="A201" s="15"/>
    </row>
    <row r="202" spans="1:1" x14ac:dyDescent="0.25">
      <c r="A202" s="15"/>
    </row>
    <row r="203" spans="1:1" x14ac:dyDescent="0.25">
      <c r="A203" s="15"/>
    </row>
    <row r="204" spans="1:1" x14ac:dyDescent="0.25">
      <c r="A204" s="15"/>
    </row>
    <row r="205" spans="1:1" x14ac:dyDescent="0.25">
      <c r="A205" s="15"/>
    </row>
    <row r="206" spans="1:1" x14ac:dyDescent="0.25">
      <c r="A206" s="15"/>
    </row>
    <row r="207" spans="1:1" x14ac:dyDescent="0.25">
      <c r="A207" s="15"/>
    </row>
    <row r="208" spans="1:1" x14ac:dyDescent="0.25">
      <c r="A208" s="15"/>
    </row>
    <row r="209" spans="1:1" x14ac:dyDescent="0.25">
      <c r="A209" s="15"/>
    </row>
    <row r="210" spans="1:1" x14ac:dyDescent="0.25">
      <c r="A210" s="15"/>
    </row>
    <row r="211" spans="1:1" x14ac:dyDescent="0.25">
      <c r="A211" s="15"/>
    </row>
    <row r="212" spans="1:1" x14ac:dyDescent="0.25">
      <c r="A212" s="15"/>
    </row>
    <row r="213" spans="1:1" x14ac:dyDescent="0.25">
      <c r="A213" s="15"/>
    </row>
    <row r="214" spans="1:1" x14ac:dyDescent="0.25">
      <c r="A214" s="15"/>
    </row>
    <row r="215" spans="1:1" x14ac:dyDescent="0.25">
      <c r="A215" s="15"/>
    </row>
    <row r="216" spans="1:1" x14ac:dyDescent="0.25">
      <c r="A216" s="15"/>
    </row>
    <row r="217" spans="1:1" x14ac:dyDescent="0.25">
      <c r="A217" s="15"/>
    </row>
    <row r="218" spans="1:1" x14ac:dyDescent="0.25">
      <c r="A218" s="15"/>
    </row>
    <row r="219" spans="1:1" x14ac:dyDescent="0.25">
      <c r="A219" s="15"/>
    </row>
    <row r="220" spans="1:1" x14ac:dyDescent="0.25">
      <c r="A220" s="15"/>
    </row>
    <row r="221" spans="1:1" x14ac:dyDescent="0.25">
      <c r="A221" s="15"/>
    </row>
    <row r="222" spans="1:1" x14ac:dyDescent="0.25">
      <c r="A222" s="15"/>
    </row>
    <row r="223" spans="1:1" x14ac:dyDescent="0.25">
      <c r="A223" s="15"/>
    </row>
    <row r="224" spans="1:1" x14ac:dyDescent="0.25">
      <c r="A224" s="15"/>
    </row>
    <row r="225" spans="1:1" x14ac:dyDescent="0.25">
      <c r="A225" s="15"/>
    </row>
    <row r="226" spans="1:1" x14ac:dyDescent="0.25">
      <c r="A226" s="15"/>
    </row>
    <row r="227" spans="1:1" x14ac:dyDescent="0.25">
      <c r="A227" s="15"/>
    </row>
    <row r="228" spans="1:1" x14ac:dyDescent="0.25">
      <c r="A228" s="15"/>
    </row>
    <row r="229" spans="1:1" x14ac:dyDescent="0.25">
      <c r="A229" s="15"/>
    </row>
    <row r="230" spans="1:1" x14ac:dyDescent="0.25">
      <c r="A230" s="15"/>
    </row>
    <row r="231" spans="1:1" x14ac:dyDescent="0.25">
      <c r="A231" s="15"/>
    </row>
    <row r="232" spans="1:1" x14ac:dyDescent="0.25">
      <c r="A232" s="15"/>
    </row>
    <row r="233" spans="1:1" x14ac:dyDescent="0.25">
      <c r="A233" s="15"/>
    </row>
    <row r="234" spans="1:1" x14ac:dyDescent="0.25">
      <c r="A234" s="15"/>
    </row>
    <row r="235" spans="1:1" x14ac:dyDescent="0.25">
      <c r="A235" s="15"/>
    </row>
    <row r="236" spans="1:1" x14ac:dyDescent="0.25">
      <c r="A236" s="15"/>
    </row>
    <row r="237" spans="1:1" x14ac:dyDescent="0.25">
      <c r="A237" s="15"/>
    </row>
    <row r="238" spans="1:1" x14ac:dyDescent="0.25">
      <c r="A238" s="15"/>
    </row>
    <row r="239" spans="1:1" x14ac:dyDescent="0.25">
      <c r="A239" s="15"/>
    </row>
    <row r="240" spans="1:1" x14ac:dyDescent="0.25">
      <c r="A240" s="15"/>
    </row>
    <row r="241" spans="1:1" x14ac:dyDescent="0.25">
      <c r="A241" s="15"/>
    </row>
    <row r="242" spans="1:1" x14ac:dyDescent="0.25">
      <c r="A242" s="15"/>
    </row>
    <row r="243" spans="1:1" x14ac:dyDescent="0.25">
      <c r="A243" s="15"/>
    </row>
    <row r="244" spans="1:1" x14ac:dyDescent="0.25">
      <c r="A244" s="15"/>
    </row>
    <row r="245" spans="1:1" x14ac:dyDescent="0.25">
      <c r="A245" s="15"/>
    </row>
    <row r="246" spans="1:1" x14ac:dyDescent="0.25">
      <c r="A246" s="15"/>
    </row>
    <row r="247" spans="1:1" x14ac:dyDescent="0.25">
      <c r="A247" s="15"/>
    </row>
    <row r="248" spans="1:1" x14ac:dyDescent="0.25">
      <c r="A248" s="15"/>
    </row>
    <row r="249" spans="1:1" x14ac:dyDescent="0.25">
      <c r="A249" s="15"/>
    </row>
    <row r="250" spans="1:1" x14ac:dyDescent="0.25">
      <c r="A250" s="15"/>
    </row>
    <row r="251" spans="1:1" x14ac:dyDescent="0.25">
      <c r="A251" s="15"/>
    </row>
    <row r="252" spans="1:1" x14ac:dyDescent="0.25">
      <c r="A252" s="15"/>
    </row>
    <row r="253" spans="1:1" x14ac:dyDescent="0.25">
      <c r="A253" s="15"/>
    </row>
    <row r="254" spans="1:1" x14ac:dyDescent="0.25">
      <c r="A254" s="15"/>
    </row>
    <row r="255" spans="1:1" x14ac:dyDescent="0.25">
      <c r="A255" s="15"/>
    </row>
    <row r="256" spans="1:1" x14ac:dyDescent="0.25">
      <c r="A256" s="15"/>
    </row>
    <row r="257" spans="1:1" x14ac:dyDescent="0.25">
      <c r="A257" s="15"/>
    </row>
    <row r="258" spans="1:1" x14ac:dyDescent="0.25">
      <c r="A258" s="15"/>
    </row>
    <row r="259" spans="1:1" x14ac:dyDescent="0.25">
      <c r="A259" s="15"/>
    </row>
    <row r="260" spans="1:1" x14ac:dyDescent="0.25">
      <c r="A260" s="15"/>
    </row>
    <row r="261" spans="1:1" x14ac:dyDescent="0.25">
      <c r="A261" s="15"/>
    </row>
    <row r="262" spans="1:1" x14ac:dyDescent="0.25">
      <c r="A262" s="15"/>
    </row>
    <row r="263" spans="1:1" x14ac:dyDescent="0.25">
      <c r="A263" s="15"/>
    </row>
    <row r="264" spans="1:1" x14ac:dyDescent="0.25">
      <c r="A264" s="15"/>
    </row>
    <row r="265" spans="1:1" x14ac:dyDescent="0.25">
      <c r="A265" s="15"/>
    </row>
    <row r="266" spans="1:1" x14ac:dyDescent="0.25">
      <c r="A266" s="15"/>
    </row>
    <row r="267" spans="1:1" x14ac:dyDescent="0.25">
      <c r="A267" s="15"/>
    </row>
    <row r="268" spans="1:1" x14ac:dyDescent="0.25">
      <c r="A268" s="15"/>
    </row>
    <row r="269" spans="1:1" x14ac:dyDescent="0.25">
      <c r="A269" s="15"/>
    </row>
    <row r="270" spans="1:1" x14ac:dyDescent="0.25">
      <c r="A270" s="15"/>
    </row>
    <row r="271" spans="1:1" x14ac:dyDescent="0.25">
      <c r="A271" s="15"/>
    </row>
    <row r="272" spans="1:1" x14ac:dyDescent="0.25">
      <c r="A272" s="15"/>
    </row>
    <row r="273" spans="1:1" x14ac:dyDescent="0.25">
      <c r="A273" s="15"/>
    </row>
    <row r="274" spans="1:1" x14ac:dyDescent="0.25">
      <c r="A274" s="15"/>
    </row>
    <row r="275" spans="1:1" x14ac:dyDescent="0.25">
      <c r="A275" s="15"/>
    </row>
    <row r="276" spans="1:1" x14ac:dyDescent="0.25">
      <c r="A276" s="15"/>
    </row>
    <row r="277" spans="1:1" x14ac:dyDescent="0.25">
      <c r="A277" s="15"/>
    </row>
    <row r="278" spans="1:1" x14ac:dyDescent="0.25">
      <c r="A278" s="15"/>
    </row>
    <row r="279" spans="1:1" x14ac:dyDescent="0.25">
      <c r="A279" s="15"/>
    </row>
    <row r="280" spans="1:1" x14ac:dyDescent="0.25">
      <c r="A280" s="15"/>
    </row>
    <row r="281" spans="1:1" x14ac:dyDescent="0.25">
      <c r="A281" s="15"/>
    </row>
    <row r="282" spans="1:1" x14ac:dyDescent="0.25">
      <c r="A282" s="15"/>
    </row>
    <row r="283" spans="1:1" x14ac:dyDescent="0.25">
      <c r="A283" s="15"/>
    </row>
    <row r="284" spans="1:1" x14ac:dyDescent="0.25">
      <c r="A284" s="15"/>
    </row>
    <row r="285" spans="1:1" x14ac:dyDescent="0.25">
      <c r="A285" s="15"/>
    </row>
    <row r="286" spans="1:1" x14ac:dyDescent="0.25">
      <c r="A286" s="15"/>
    </row>
    <row r="287" spans="1:1" x14ac:dyDescent="0.25">
      <c r="A287" s="15"/>
    </row>
    <row r="288" spans="1:1" x14ac:dyDescent="0.25">
      <c r="A288" s="15"/>
    </row>
    <row r="289" spans="1:1" x14ac:dyDescent="0.25">
      <c r="A289" s="15"/>
    </row>
    <row r="290" spans="1:1" x14ac:dyDescent="0.25">
      <c r="A290" s="15"/>
    </row>
    <row r="291" spans="1:1" x14ac:dyDescent="0.25">
      <c r="A291" s="15"/>
    </row>
    <row r="292" spans="1:1" x14ac:dyDescent="0.25">
      <c r="A292" s="15"/>
    </row>
    <row r="293" spans="1:1" x14ac:dyDescent="0.25">
      <c r="A293" s="15"/>
    </row>
    <row r="294" spans="1:1" x14ac:dyDescent="0.25">
      <c r="A294" s="15"/>
    </row>
    <row r="295" spans="1:1" x14ac:dyDescent="0.25">
      <c r="A295" s="15"/>
    </row>
    <row r="296" spans="1:1" x14ac:dyDescent="0.25">
      <c r="A296" s="15"/>
    </row>
    <row r="297" spans="1:1" x14ac:dyDescent="0.25">
      <c r="A297" s="15"/>
    </row>
    <row r="298" spans="1:1" x14ac:dyDescent="0.25">
      <c r="A298" s="15"/>
    </row>
    <row r="299" spans="1:1" x14ac:dyDescent="0.25">
      <c r="A299" s="15"/>
    </row>
    <row r="300" spans="1:1" x14ac:dyDescent="0.25">
      <c r="A300" s="15"/>
    </row>
    <row r="301" spans="1:1" x14ac:dyDescent="0.25">
      <c r="A301" s="15"/>
    </row>
    <row r="302" spans="1:1" x14ac:dyDescent="0.25">
      <c r="A302" s="15"/>
    </row>
    <row r="303" spans="1:1" x14ac:dyDescent="0.25">
      <c r="A303" s="15"/>
    </row>
    <row r="304" spans="1:1" x14ac:dyDescent="0.25">
      <c r="A304" s="15"/>
    </row>
    <row r="305" spans="1:1" x14ac:dyDescent="0.25">
      <c r="A305" s="15"/>
    </row>
    <row r="306" spans="1:1" x14ac:dyDescent="0.25">
      <c r="A306" s="15"/>
    </row>
    <row r="307" spans="1:1" x14ac:dyDescent="0.25">
      <c r="A307" s="15"/>
    </row>
    <row r="308" spans="1:1" x14ac:dyDescent="0.25">
      <c r="A308" s="15"/>
    </row>
    <row r="309" spans="1:1" x14ac:dyDescent="0.25">
      <c r="A309" s="15"/>
    </row>
    <row r="310" spans="1:1" x14ac:dyDescent="0.25">
      <c r="A310" s="15"/>
    </row>
    <row r="311" spans="1:1" x14ac:dyDescent="0.25">
      <c r="A311" s="15"/>
    </row>
    <row r="312" spans="1:1" x14ac:dyDescent="0.25">
      <c r="A312" s="15"/>
    </row>
    <row r="313" spans="1:1" x14ac:dyDescent="0.25">
      <c r="A313" s="15"/>
    </row>
    <row r="314" spans="1:1" x14ac:dyDescent="0.25">
      <c r="A314" s="15"/>
    </row>
    <row r="315" spans="1:1" x14ac:dyDescent="0.25">
      <c r="A315" s="15"/>
    </row>
    <row r="316" spans="1:1" x14ac:dyDescent="0.25">
      <c r="A316" s="15"/>
    </row>
    <row r="317" spans="1:1" x14ac:dyDescent="0.25">
      <c r="A317" s="15"/>
    </row>
    <row r="318" spans="1:1" x14ac:dyDescent="0.25">
      <c r="A318" s="15"/>
    </row>
    <row r="319" spans="1:1" x14ac:dyDescent="0.25">
      <c r="A319" s="15"/>
    </row>
    <row r="320" spans="1:1" x14ac:dyDescent="0.25">
      <c r="A320" s="15"/>
    </row>
    <row r="321" spans="1:1" x14ac:dyDescent="0.25">
      <c r="A321" s="15"/>
    </row>
    <row r="322" spans="1:1" x14ac:dyDescent="0.25">
      <c r="A322" s="15"/>
    </row>
    <row r="323" spans="1:1" x14ac:dyDescent="0.25">
      <c r="A323" s="15"/>
    </row>
    <row r="324" spans="1:1" x14ac:dyDescent="0.25">
      <c r="A324" s="15"/>
    </row>
    <row r="325" spans="1:1" x14ac:dyDescent="0.25">
      <c r="A325" s="15"/>
    </row>
    <row r="326" spans="1:1" x14ac:dyDescent="0.25">
      <c r="A326" s="15"/>
    </row>
    <row r="327" spans="1:1" x14ac:dyDescent="0.25">
      <c r="A327" s="15"/>
    </row>
    <row r="328" spans="1:1" x14ac:dyDescent="0.25">
      <c r="A328" s="15"/>
    </row>
    <row r="329" spans="1:1" x14ac:dyDescent="0.25">
      <c r="A329" s="15"/>
    </row>
    <row r="330" spans="1:1" x14ac:dyDescent="0.25">
      <c r="A330" s="15"/>
    </row>
    <row r="331" spans="1:1" x14ac:dyDescent="0.25">
      <c r="A331" s="15"/>
    </row>
    <row r="332" spans="1:1" x14ac:dyDescent="0.25">
      <c r="A332" s="15"/>
    </row>
    <row r="333" spans="1:1" x14ac:dyDescent="0.25">
      <c r="A333" s="15"/>
    </row>
    <row r="334" spans="1:1" x14ac:dyDescent="0.25">
      <c r="A334" s="15"/>
    </row>
    <row r="335" spans="1:1" x14ac:dyDescent="0.25">
      <c r="A335" s="15"/>
    </row>
    <row r="336" spans="1:1" x14ac:dyDescent="0.25">
      <c r="A336" s="15"/>
    </row>
    <row r="337" spans="1:1" x14ac:dyDescent="0.25">
      <c r="A337" s="15"/>
    </row>
    <row r="338" spans="1:1" x14ac:dyDescent="0.25">
      <c r="A338" s="15"/>
    </row>
    <row r="339" spans="1:1" x14ac:dyDescent="0.25">
      <c r="A339" s="15"/>
    </row>
    <row r="340" spans="1:1" x14ac:dyDescent="0.25">
      <c r="A340" s="15"/>
    </row>
    <row r="341" spans="1:1" x14ac:dyDescent="0.25">
      <c r="A341" s="15"/>
    </row>
    <row r="342" spans="1:1" x14ac:dyDescent="0.25">
      <c r="A342" s="15"/>
    </row>
    <row r="343" spans="1:1" x14ac:dyDescent="0.25">
      <c r="A343" s="15"/>
    </row>
    <row r="344" spans="1:1" x14ac:dyDescent="0.25">
      <c r="A344" s="15"/>
    </row>
    <row r="345" spans="1:1" x14ac:dyDescent="0.25">
      <c r="A345" s="15"/>
    </row>
    <row r="346" spans="1:1" x14ac:dyDescent="0.25">
      <c r="A346" s="15"/>
    </row>
    <row r="347" spans="1:1" x14ac:dyDescent="0.25">
      <c r="A347" s="15"/>
    </row>
    <row r="348" spans="1:1" x14ac:dyDescent="0.25">
      <c r="A348" s="15"/>
    </row>
    <row r="349" spans="1:1" x14ac:dyDescent="0.25">
      <c r="A349" s="15"/>
    </row>
    <row r="350" spans="1:1" x14ac:dyDescent="0.25">
      <c r="A350" s="15"/>
    </row>
    <row r="351" spans="1:1" x14ac:dyDescent="0.25">
      <c r="A351" s="15"/>
    </row>
    <row r="352" spans="1:1" x14ac:dyDescent="0.25">
      <c r="A352" s="15"/>
    </row>
    <row r="353" spans="1:1" x14ac:dyDescent="0.25">
      <c r="A353" s="15"/>
    </row>
    <row r="354" spans="1:1" x14ac:dyDescent="0.25">
      <c r="A354" s="15"/>
    </row>
    <row r="355" spans="1:1" x14ac:dyDescent="0.25">
      <c r="A355" s="15"/>
    </row>
    <row r="356" spans="1:1" x14ac:dyDescent="0.25">
      <c r="A356" s="15"/>
    </row>
    <row r="357" spans="1:1" x14ac:dyDescent="0.25">
      <c r="A357" s="15"/>
    </row>
    <row r="358" spans="1:1" x14ac:dyDescent="0.25">
      <c r="A358" s="15"/>
    </row>
    <row r="359" spans="1:1" x14ac:dyDescent="0.25">
      <c r="A359" s="15"/>
    </row>
    <row r="360" spans="1:1" x14ac:dyDescent="0.25">
      <c r="A360" s="15"/>
    </row>
    <row r="361" spans="1:1" x14ac:dyDescent="0.25">
      <c r="A361" s="15"/>
    </row>
    <row r="362" spans="1:1" x14ac:dyDescent="0.25">
      <c r="A362" s="15"/>
    </row>
    <row r="363" spans="1:1" x14ac:dyDescent="0.25">
      <c r="A363" s="15"/>
    </row>
    <row r="364" spans="1:1" x14ac:dyDescent="0.25">
      <c r="A364" s="15"/>
    </row>
    <row r="365" spans="1:1" x14ac:dyDescent="0.25">
      <c r="A365" s="15"/>
    </row>
    <row r="366" spans="1:1" x14ac:dyDescent="0.25">
      <c r="A366" s="15"/>
    </row>
    <row r="367" spans="1:1" x14ac:dyDescent="0.25">
      <c r="A367" s="15"/>
    </row>
    <row r="368" spans="1:1" x14ac:dyDescent="0.25">
      <c r="A368" s="15"/>
    </row>
    <row r="369" spans="1:1" x14ac:dyDescent="0.25">
      <c r="A369" s="15"/>
    </row>
    <row r="370" spans="1:1" x14ac:dyDescent="0.25">
      <c r="A370" s="15"/>
    </row>
    <row r="371" spans="1:1" x14ac:dyDescent="0.25">
      <c r="A371" s="15"/>
    </row>
    <row r="372" spans="1:1" x14ac:dyDescent="0.25">
      <c r="A372" s="15"/>
    </row>
    <row r="373" spans="1:1" x14ac:dyDescent="0.25">
      <c r="A373" s="15"/>
    </row>
    <row r="374" spans="1:1" x14ac:dyDescent="0.25">
      <c r="A374" s="15"/>
    </row>
    <row r="375" spans="1:1" x14ac:dyDescent="0.25">
      <c r="A375" s="15"/>
    </row>
    <row r="376" spans="1:1" x14ac:dyDescent="0.25">
      <c r="A376" s="15"/>
    </row>
    <row r="377" spans="1:1" x14ac:dyDescent="0.25">
      <c r="A377" s="15"/>
    </row>
    <row r="378" spans="1:1" x14ac:dyDescent="0.25">
      <c r="A378" s="15"/>
    </row>
    <row r="379" spans="1:1" x14ac:dyDescent="0.25">
      <c r="A379" s="15"/>
    </row>
    <row r="380" spans="1:1" x14ac:dyDescent="0.25">
      <c r="A380" s="15"/>
    </row>
    <row r="381" spans="1:1" x14ac:dyDescent="0.25">
      <c r="A381" s="15"/>
    </row>
    <row r="382" spans="1:1" x14ac:dyDescent="0.25">
      <c r="A382" s="15"/>
    </row>
    <row r="383" spans="1:1" x14ac:dyDescent="0.25">
      <c r="A383" s="15"/>
    </row>
    <row r="384" spans="1:1" x14ac:dyDescent="0.25">
      <c r="A384" s="15"/>
    </row>
    <row r="385" spans="1:1" x14ac:dyDescent="0.25">
      <c r="A385" s="15"/>
    </row>
    <row r="386" spans="1:1" x14ac:dyDescent="0.25">
      <c r="A386" s="15"/>
    </row>
    <row r="387" spans="1:1" x14ac:dyDescent="0.25">
      <c r="A387" s="15"/>
    </row>
    <row r="388" spans="1:1" x14ac:dyDescent="0.25">
      <c r="A388" s="15"/>
    </row>
    <row r="389" spans="1:1" x14ac:dyDescent="0.25">
      <c r="A389" s="15"/>
    </row>
    <row r="390" spans="1:1" x14ac:dyDescent="0.25">
      <c r="A390" s="15"/>
    </row>
    <row r="391" spans="1:1" x14ac:dyDescent="0.25">
      <c r="A391" s="15"/>
    </row>
    <row r="392" spans="1:1" x14ac:dyDescent="0.25">
      <c r="A392" s="15"/>
    </row>
    <row r="393" spans="1:1" x14ac:dyDescent="0.25">
      <c r="A393" s="15"/>
    </row>
    <row r="394" spans="1:1" x14ac:dyDescent="0.25">
      <c r="A394" s="15"/>
    </row>
    <row r="395" spans="1:1" x14ac:dyDescent="0.25">
      <c r="A395" s="15"/>
    </row>
    <row r="396" spans="1:1" x14ac:dyDescent="0.25">
      <c r="A396" s="15"/>
    </row>
    <row r="397" spans="1:1" x14ac:dyDescent="0.25">
      <c r="A397" s="15"/>
    </row>
    <row r="398" spans="1:1" x14ac:dyDescent="0.25">
      <c r="A398" s="15"/>
    </row>
    <row r="399" spans="1:1" x14ac:dyDescent="0.25">
      <c r="A399" s="15"/>
    </row>
    <row r="400" spans="1:1" x14ac:dyDescent="0.25">
      <c r="A400" s="15"/>
    </row>
    <row r="401" spans="1:1" x14ac:dyDescent="0.25">
      <c r="A401" s="15"/>
    </row>
    <row r="402" spans="1:1" x14ac:dyDescent="0.25">
      <c r="A402" s="15"/>
    </row>
    <row r="403" spans="1:1" x14ac:dyDescent="0.25">
      <c r="A403" s="15"/>
    </row>
    <row r="404" spans="1:1" x14ac:dyDescent="0.25">
      <c r="A404" s="15"/>
    </row>
    <row r="405" spans="1:1" x14ac:dyDescent="0.25">
      <c r="A405" s="15"/>
    </row>
    <row r="406" spans="1:1" x14ac:dyDescent="0.25">
      <c r="A406" s="15"/>
    </row>
    <row r="407" spans="1:1" x14ac:dyDescent="0.25">
      <c r="A407" s="15"/>
    </row>
    <row r="408" spans="1:1" x14ac:dyDescent="0.25">
      <c r="A408" s="15"/>
    </row>
    <row r="409" spans="1:1" x14ac:dyDescent="0.25">
      <c r="A409" s="15"/>
    </row>
    <row r="410" spans="1:1" x14ac:dyDescent="0.25">
      <c r="A410" s="15"/>
    </row>
    <row r="411" spans="1:1" x14ac:dyDescent="0.25">
      <c r="A411" s="15"/>
    </row>
    <row r="412" spans="1:1" x14ac:dyDescent="0.25">
      <c r="A412" s="15"/>
    </row>
    <row r="413" spans="1:1" x14ac:dyDescent="0.25">
      <c r="A413" s="15"/>
    </row>
    <row r="414" spans="1:1" x14ac:dyDescent="0.25">
      <c r="A414" s="15"/>
    </row>
    <row r="415" spans="1:1" x14ac:dyDescent="0.25">
      <c r="A415" s="15"/>
    </row>
    <row r="416" spans="1:1" x14ac:dyDescent="0.25">
      <c r="A416" s="15"/>
    </row>
    <row r="417" spans="1:1" x14ac:dyDescent="0.25">
      <c r="A417" s="15"/>
    </row>
    <row r="418" spans="1:1" x14ac:dyDescent="0.25">
      <c r="A418" s="15"/>
    </row>
    <row r="419" spans="1:1" x14ac:dyDescent="0.25">
      <c r="A419" s="15"/>
    </row>
    <row r="420" spans="1:1" x14ac:dyDescent="0.25">
      <c r="A420" s="15"/>
    </row>
    <row r="421" spans="1:1" x14ac:dyDescent="0.25">
      <c r="A421" s="15"/>
    </row>
    <row r="422" spans="1:1" x14ac:dyDescent="0.25">
      <c r="A422" s="15"/>
    </row>
    <row r="423" spans="1:1" x14ac:dyDescent="0.25">
      <c r="A423" s="15"/>
    </row>
    <row r="424" spans="1:1" x14ac:dyDescent="0.25">
      <c r="A424" s="15"/>
    </row>
    <row r="425" spans="1:1" x14ac:dyDescent="0.25">
      <c r="A425" s="15"/>
    </row>
    <row r="426" spans="1:1" x14ac:dyDescent="0.25">
      <c r="A426" s="15"/>
    </row>
    <row r="427" spans="1:1" x14ac:dyDescent="0.25">
      <c r="A427" s="15"/>
    </row>
    <row r="428" spans="1:1" x14ac:dyDescent="0.25">
      <c r="A428" s="15"/>
    </row>
    <row r="429" spans="1:1" x14ac:dyDescent="0.25">
      <c r="A429" s="15"/>
    </row>
    <row r="430" spans="1:1" x14ac:dyDescent="0.25">
      <c r="A430" s="15"/>
    </row>
    <row r="431" spans="1:1" x14ac:dyDescent="0.25">
      <c r="A431" s="15"/>
    </row>
    <row r="432" spans="1:1" x14ac:dyDescent="0.25">
      <c r="A432" s="15"/>
    </row>
    <row r="433" spans="1:1" x14ac:dyDescent="0.25">
      <c r="A433" s="15"/>
    </row>
    <row r="434" spans="1:1" x14ac:dyDescent="0.25">
      <c r="A434" s="15"/>
    </row>
    <row r="435" spans="1:1" x14ac:dyDescent="0.25">
      <c r="A435" s="15"/>
    </row>
    <row r="436" spans="1:1" x14ac:dyDescent="0.25">
      <c r="A436" s="15"/>
    </row>
    <row r="437" spans="1:1" x14ac:dyDescent="0.25">
      <c r="A437" s="15"/>
    </row>
    <row r="438" spans="1:1" x14ac:dyDescent="0.25">
      <c r="A438" s="15"/>
    </row>
    <row r="439" spans="1:1" x14ac:dyDescent="0.25">
      <c r="A439" s="15"/>
    </row>
    <row r="440" spans="1:1" x14ac:dyDescent="0.25">
      <c r="A440" s="15"/>
    </row>
    <row r="441" spans="1:1" x14ac:dyDescent="0.25">
      <c r="A441" s="15"/>
    </row>
    <row r="442" spans="1:1" x14ac:dyDescent="0.25">
      <c r="A442" s="15"/>
    </row>
    <row r="443" spans="1:1" x14ac:dyDescent="0.25">
      <c r="A443" s="15"/>
    </row>
    <row r="444" spans="1:1" x14ac:dyDescent="0.25">
      <c r="A444" s="15"/>
    </row>
    <row r="445" spans="1:1" x14ac:dyDescent="0.25">
      <c r="A445" s="15"/>
    </row>
    <row r="446" spans="1:1" x14ac:dyDescent="0.25">
      <c r="A446" s="15"/>
    </row>
    <row r="447" spans="1:1" x14ac:dyDescent="0.25">
      <c r="A447" s="15"/>
    </row>
    <row r="448" spans="1:1" x14ac:dyDescent="0.25">
      <c r="A448" s="15"/>
    </row>
    <row r="449" spans="1:1" x14ac:dyDescent="0.25">
      <c r="A449" s="15"/>
    </row>
    <row r="450" spans="1:1" x14ac:dyDescent="0.25">
      <c r="A450" s="15"/>
    </row>
    <row r="451" spans="1:1" x14ac:dyDescent="0.25">
      <c r="A451" s="15"/>
    </row>
    <row r="452" spans="1:1" x14ac:dyDescent="0.25">
      <c r="A452" s="15"/>
    </row>
    <row r="453" spans="1:1" x14ac:dyDescent="0.25">
      <c r="A453" s="15"/>
    </row>
    <row r="454" spans="1:1" x14ac:dyDescent="0.25">
      <c r="A454" s="15"/>
    </row>
    <row r="455" spans="1:1" x14ac:dyDescent="0.25">
      <c r="A455" s="15"/>
    </row>
    <row r="456" spans="1:1" x14ac:dyDescent="0.25">
      <c r="A456" s="15"/>
    </row>
    <row r="457" spans="1:1" x14ac:dyDescent="0.25">
      <c r="A457" s="15"/>
    </row>
    <row r="458" spans="1:1" x14ac:dyDescent="0.25">
      <c r="A458" s="15"/>
    </row>
    <row r="459" spans="1:1" x14ac:dyDescent="0.25">
      <c r="A459" s="15"/>
    </row>
    <row r="460" spans="1:1" x14ac:dyDescent="0.25">
      <c r="A460" s="15"/>
    </row>
    <row r="461" spans="1:1" x14ac:dyDescent="0.25">
      <c r="A461" s="15"/>
    </row>
    <row r="462" spans="1:1" x14ac:dyDescent="0.25">
      <c r="A462" s="15"/>
    </row>
    <row r="463" spans="1:1" x14ac:dyDescent="0.25">
      <c r="A463" s="15"/>
    </row>
    <row r="464" spans="1:1" x14ac:dyDescent="0.25">
      <c r="A464" s="15"/>
    </row>
    <row r="465" spans="1:1" x14ac:dyDescent="0.25">
      <c r="A465" s="15"/>
    </row>
    <row r="466" spans="1:1" x14ac:dyDescent="0.25">
      <c r="A466" s="15"/>
    </row>
    <row r="467" spans="1:1" x14ac:dyDescent="0.25">
      <c r="A467" s="15"/>
    </row>
    <row r="468" spans="1:1" x14ac:dyDescent="0.25">
      <c r="A468" s="15"/>
    </row>
    <row r="469" spans="1:1" x14ac:dyDescent="0.25">
      <c r="A469" s="15"/>
    </row>
    <row r="470" spans="1:1" x14ac:dyDescent="0.25">
      <c r="A470" s="15"/>
    </row>
    <row r="471" spans="1:1" x14ac:dyDescent="0.25">
      <c r="A471" s="15"/>
    </row>
    <row r="472" spans="1:1" x14ac:dyDescent="0.25">
      <c r="A472" s="15"/>
    </row>
    <row r="473" spans="1:1" x14ac:dyDescent="0.25">
      <c r="A473" s="15"/>
    </row>
    <row r="474" spans="1:1" x14ac:dyDescent="0.25">
      <c r="A474" s="15"/>
    </row>
    <row r="475" spans="1:1" x14ac:dyDescent="0.25">
      <c r="A475" s="15"/>
    </row>
    <row r="476" spans="1:1" x14ac:dyDescent="0.25">
      <c r="A476" s="15"/>
    </row>
    <row r="477" spans="1:1" x14ac:dyDescent="0.25">
      <c r="A477" s="15"/>
    </row>
    <row r="478" spans="1:1" x14ac:dyDescent="0.25">
      <c r="A478" s="15"/>
    </row>
    <row r="479" spans="1:1" x14ac:dyDescent="0.25">
      <c r="A479" s="15"/>
    </row>
    <row r="480" spans="1:1" x14ac:dyDescent="0.25">
      <c r="A480" s="15"/>
    </row>
    <row r="481" spans="1:1" x14ac:dyDescent="0.25">
      <c r="A481" s="15"/>
    </row>
    <row r="482" spans="1:1" x14ac:dyDescent="0.25">
      <c r="A482" s="15"/>
    </row>
    <row r="483" spans="1:1" x14ac:dyDescent="0.25">
      <c r="A483" s="15"/>
    </row>
    <row r="484" spans="1:1" x14ac:dyDescent="0.25">
      <c r="A484" s="15"/>
    </row>
    <row r="485" spans="1:1" x14ac:dyDescent="0.25">
      <c r="A485" s="15"/>
    </row>
    <row r="486" spans="1:1" x14ac:dyDescent="0.25">
      <c r="A486" s="15"/>
    </row>
    <row r="487" spans="1:1" x14ac:dyDescent="0.25">
      <c r="A487" s="15"/>
    </row>
    <row r="488" spans="1:1" x14ac:dyDescent="0.25">
      <c r="A488" s="15"/>
    </row>
    <row r="489" spans="1:1" x14ac:dyDescent="0.25">
      <c r="A489" s="15"/>
    </row>
    <row r="490" spans="1:1" x14ac:dyDescent="0.25">
      <c r="A490" s="15"/>
    </row>
    <row r="491" spans="1:1" x14ac:dyDescent="0.25">
      <c r="A491" s="15"/>
    </row>
    <row r="492" spans="1:1" x14ac:dyDescent="0.25">
      <c r="A492" s="15"/>
    </row>
    <row r="493" spans="1:1" x14ac:dyDescent="0.25">
      <c r="A493" s="15"/>
    </row>
    <row r="494" spans="1:1" x14ac:dyDescent="0.25">
      <c r="A494" s="15"/>
    </row>
    <row r="495" spans="1:1" x14ac:dyDescent="0.25">
      <c r="A495" s="15"/>
    </row>
    <row r="496" spans="1:1" x14ac:dyDescent="0.25">
      <c r="A496" s="15"/>
    </row>
    <row r="497" spans="1:1" x14ac:dyDescent="0.25">
      <c r="A497" s="15"/>
    </row>
    <row r="498" spans="1:1" x14ac:dyDescent="0.25">
      <c r="A498" s="15"/>
    </row>
    <row r="499" spans="1:1" x14ac:dyDescent="0.25">
      <c r="A499" s="15"/>
    </row>
    <row r="500" spans="1:1" x14ac:dyDescent="0.25">
      <c r="A500" s="15"/>
    </row>
    <row r="501" spans="1:1" x14ac:dyDescent="0.25">
      <c r="A501" s="15"/>
    </row>
    <row r="502" spans="1:1" x14ac:dyDescent="0.25">
      <c r="A502" s="15"/>
    </row>
    <row r="503" spans="1:1" x14ac:dyDescent="0.25">
      <c r="A503" s="15"/>
    </row>
    <row r="504" spans="1:1" x14ac:dyDescent="0.25">
      <c r="A504" s="15"/>
    </row>
    <row r="505" spans="1:1" x14ac:dyDescent="0.25">
      <c r="A505" s="15"/>
    </row>
    <row r="506" spans="1:1" x14ac:dyDescent="0.25">
      <c r="A506" s="15"/>
    </row>
    <row r="507" spans="1:1" x14ac:dyDescent="0.25">
      <c r="A507" s="15"/>
    </row>
    <row r="508" spans="1:1" x14ac:dyDescent="0.25">
      <c r="A508" s="15"/>
    </row>
    <row r="509" spans="1:1" x14ac:dyDescent="0.25">
      <c r="A509" s="15"/>
    </row>
    <row r="510" spans="1:1" x14ac:dyDescent="0.25">
      <c r="A510" s="15"/>
    </row>
    <row r="511" spans="1:1" x14ac:dyDescent="0.25">
      <c r="A511" s="15"/>
    </row>
    <row r="512" spans="1:1" x14ac:dyDescent="0.25">
      <c r="A512" s="15"/>
    </row>
    <row r="513" spans="1:1" x14ac:dyDescent="0.25">
      <c r="A513" s="15"/>
    </row>
    <row r="514" spans="1:1" x14ac:dyDescent="0.25">
      <c r="A514" s="15"/>
    </row>
    <row r="515" spans="1:1" x14ac:dyDescent="0.25">
      <c r="A515" s="15"/>
    </row>
    <row r="516" spans="1:1" x14ac:dyDescent="0.25">
      <c r="A516" s="15"/>
    </row>
    <row r="517" spans="1:1" x14ac:dyDescent="0.25">
      <c r="A517" s="15"/>
    </row>
    <row r="518" spans="1:1" x14ac:dyDescent="0.25">
      <c r="A518" s="15"/>
    </row>
    <row r="519" spans="1:1" x14ac:dyDescent="0.25">
      <c r="A519" s="15"/>
    </row>
    <row r="520" spans="1:1" x14ac:dyDescent="0.25">
      <c r="A520" s="15"/>
    </row>
    <row r="521" spans="1:1" x14ac:dyDescent="0.25">
      <c r="A521" s="15"/>
    </row>
    <row r="522" spans="1:1" x14ac:dyDescent="0.25">
      <c r="A522" s="15"/>
    </row>
    <row r="523" spans="1:1" x14ac:dyDescent="0.25">
      <c r="A523" s="15"/>
    </row>
    <row r="524" spans="1:1" x14ac:dyDescent="0.25">
      <c r="A524" s="15"/>
    </row>
    <row r="525" spans="1:1" x14ac:dyDescent="0.25">
      <c r="A525" s="15"/>
    </row>
    <row r="526" spans="1:1" x14ac:dyDescent="0.25">
      <c r="A526" s="15"/>
    </row>
    <row r="527" spans="1:1" x14ac:dyDescent="0.25">
      <c r="A527" s="15"/>
    </row>
    <row r="528" spans="1:1" x14ac:dyDescent="0.25">
      <c r="A528" s="15"/>
    </row>
    <row r="529" spans="1:1" x14ac:dyDescent="0.25">
      <c r="A529" s="15"/>
    </row>
    <row r="530" spans="1:1" x14ac:dyDescent="0.25">
      <c r="A530" s="15"/>
    </row>
    <row r="531" spans="1:1" x14ac:dyDescent="0.25">
      <c r="A531" s="15"/>
    </row>
    <row r="532" spans="1:1" x14ac:dyDescent="0.25">
      <c r="A532" s="15"/>
    </row>
    <row r="533" spans="1:1" x14ac:dyDescent="0.25">
      <c r="A533" s="15"/>
    </row>
    <row r="534" spans="1:1" x14ac:dyDescent="0.25">
      <c r="A534" s="15"/>
    </row>
    <row r="535" spans="1:1" x14ac:dyDescent="0.25">
      <c r="A535" s="15"/>
    </row>
    <row r="536" spans="1:1" x14ac:dyDescent="0.25">
      <c r="A536" s="15"/>
    </row>
    <row r="537" spans="1:1" x14ac:dyDescent="0.25">
      <c r="A537" s="15"/>
    </row>
    <row r="538" spans="1:1" x14ac:dyDescent="0.25">
      <c r="A538" s="15"/>
    </row>
    <row r="539" spans="1:1" x14ac:dyDescent="0.25">
      <c r="A539" s="15"/>
    </row>
    <row r="540" spans="1:1" x14ac:dyDescent="0.25">
      <c r="A540" s="15"/>
    </row>
    <row r="541" spans="1:1" x14ac:dyDescent="0.25">
      <c r="A541" s="15"/>
    </row>
    <row r="542" spans="1:1" x14ac:dyDescent="0.25">
      <c r="A542" s="15"/>
    </row>
    <row r="543" spans="1:1" x14ac:dyDescent="0.25">
      <c r="A543" s="15"/>
    </row>
    <row r="544" spans="1:1" x14ac:dyDescent="0.25">
      <c r="A544" s="15"/>
    </row>
    <row r="545" spans="1:1" x14ac:dyDescent="0.25">
      <c r="A545" s="15"/>
    </row>
    <row r="546" spans="1:1" x14ac:dyDescent="0.25">
      <c r="A546" s="15"/>
    </row>
    <row r="547" spans="1:1" x14ac:dyDescent="0.25">
      <c r="A547" s="15"/>
    </row>
    <row r="548" spans="1:1" x14ac:dyDescent="0.25">
      <c r="A548" s="15"/>
    </row>
    <row r="549" spans="1:1" x14ac:dyDescent="0.25">
      <c r="A549" s="15"/>
    </row>
    <row r="550" spans="1:1" x14ac:dyDescent="0.25">
      <c r="A550" s="15"/>
    </row>
    <row r="551" spans="1:1" x14ac:dyDescent="0.25">
      <c r="A551" s="15"/>
    </row>
    <row r="552" spans="1:1" x14ac:dyDescent="0.25">
      <c r="A552" s="15"/>
    </row>
    <row r="553" spans="1:1" x14ac:dyDescent="0.25">
      <c r="A553" s="15"/>
    </row>
    <row r="554" spans="1:1" x14ac:dyDescent="0.25">
      <c r="A554" s="15"/>
    </row>
    <row r="555" spans="1:1" x14ac:dyDescent="0.25">
      <c r="A555" s="15"/>
    </row>
    <row r="556" spans="1:1" x14ac:dyDescent="0.25">
      <c r="A556" s="15"/>
    </row>
    <row r="557" spans="1:1" x14ac:dyDescent="0.25">
      <c r="A557" s="15"/>
    </row>
    <row r="558" spans="1:1" x14ac:dyDescent="0.25">
      <c r="A558" s="15"/>
    </row>
    <row r="559" spans="1:1" x14ac:dyDescent="0.25">
      <c r="A559" s="15"/>
    </row>
    <row r="560" spans="1:1" x14ac:dyDescent="0.25">
      <c r="A560" s="15"/>
    </row>
    <row r="561" spans="1:1" x14ac:dyDescent="0.25">
      <c r="A561" s="15"/>
    </row>
    <row r="562" spans="1:1" x14ac:dyDescent="0.25">
      <c r="A562" s="15"/>
    </row>
    <row r="563" spans="1:1" x14ac:dyDescent="0.25">
      <c r="A563" s="15"/>
    </row>
    <row r="564" spans="1:1" x14ac:dyDescent="0.25">
      <c r="A564" s="15"/>
    </row>
    <row r="565" spans="1:1" x14ac:dyDescent="0.25">
      <c r="A565" s="15"/>
    </row>
    <row r="566" spans="1:1" x14ac:dyDescent="0.25">
      <c r="A566" s="15"/>
    </row>
    <row r="567" spans="1:1" x14ac:dyDescent="0.25">
      <c r="A567" s="15"/>
    </row>
    <row r="568" spans="1:1" x14ac:dyDescent="0.25">
      <c r="A568" s="15"/>
    </row>
    <row r="569" spans="1:1" x14ac:dyDescent="0.25">
      <c r="A569" s="15"/>
    </row>
    <row r="570" spans="1:1" x14ac:dyDescent="0.25">
      <c r="A570" s="15"/>
    </row>
    <row r="571" spans="1:1" x14ac:dyDescent="0.25">
      <c r="A571" s="15"/>
    </row>
    <row r="572" spans="1:1" x14ac:dyDescent="0.25">
      <c r="A572" s="15"/>
    </row>
    <row r="573" spans="1:1" x14ac:dyDescent="0.25">
      <c r="A573" s="15"/>
    </row>
    <row r="574" spans="1:1" x14ac:dyDescent="0.25">
      <c r="A574" s="15"/>
    </row>
    <row r="575" spans="1:1" x14ac:dyDescent="0.25">
      <c r="A575" s="15"/>
    </row>
    <row r="576" spans="1:1" x14ac:dyDescent="0.25">
      <c r="A576" s="15"/>
    </row>
    <row r="577" spans="1:1" x14ac:dyDescent="0.25">
      <c r="A577" s="15"/>
    </row>
    <row r="578" spans="1:1" x14ac:dyDescent="0.25">
      <c r="A578" s="15"/>
    </row>
    <row r="579" spans="1:1" x14ac:dyDescent="0.25">
      <c r="A579" s="15"/>
    </row>
    <row r="580" spans="1:1" x14ac:dyDescent="0.25">
      <c r="A580" s="15"/>
    </row>
    <row r="581" spans="1:1" x14ac:dyDescent="0.25">
      <c r="A581" s="15"/>
    </row>
    <row r="582" spans="1:1" x14ac:dyDescent="0.25">
      <c r="A582" s="15"/>
    </row>
    <row r="583" spans="1:1" x14ac:dyDescent="0.25">
      <c r="A583" s="15"/>
    </row>
    <row r="584" spans="1:1" x14ac:dyDescent="0.25">
      <c r="A584" s="15"/>
    </row>
    <row r="585" spans="1:1" x14ac:dyDescent="0.25">
      <c r="A585" s="15"/>
    </row>
    <row r="586" spans="1:1" x14ac:dyDescent="0.25">
      <c r="A586" s="15"/>
    </row>
    <row r="587" spans="1:1" x14ac:dyDescent="0.25">
      <c r="A587" s="15"/>
    </row>
    <row r="588" spans="1:1" x14ac:dyDescent="0.25">
      <c r="A588" s="15"/>
    </row>
    <row r="589" spans="1:1" x14ac:dyDescent="0.25">
      <c r="A589" s="15"/>
    </row>
    <row r="590" spans="1:1" x14ac:dyDescent="0.25">
      <c r="A590" s="15"/>
    </row>
    <row r="591" spans="1:1" x14ac:dyDescent="0.25">
      <c r="A591" s="15"/>
    </row>
    <row r="592" spans="1:1" x14ac:dyDescent="0.25">
      <c r="A592" s="15"/>
    </row>
    <row r="593" spans="1:1" x14ac:dyDescent="0.25">
      <c r="A593" s="15"/>
    </row>
    <row r="594" spans="1:1" x14ac:dyDescent="0.25">
      <c r="A594" s="15"/>
    </row>
    <row r="595" spans="1:1" x14ac:dyDescent="0.25">
      <c r="A595" s="15"/>
    </row>
    <row r="596" spans="1:1" x14ac:dyDescent="0.25">
      <c r="A596" s="15"/>
    </row>
    <row r="597" spans="1:1" x14ac:dyDescent="0.25">
      <c r="A597" s="15"/>
    </row>
    <row r="598" spans="1:1" x14ac:dyDescent="0.25">
      <c r="A598" s="15"/>
    </row>
    <row r="599" spans="1:1" x14ac:dyDescent="0.25">
      <c r="A599" s="15"/>
    </row>
    <row r="600" spans="1:1" x14ac:dyDescent="0.25">
      <c r="A600" s="15"/>
    </row>
    <row r="601" spans="1:1" x14ac:dyDescent="0.25">
      <c r="A601" s="15"/>
    </row>
    <row r="602" spans="1:1" x14ac:dyDescent="0.25">
      <c r="A602" s="15"/>
    </row>
    <row r="603" spans="1:1" x14ac:dyDescent="0.25">
      <c r="A603" s="15"/>
    </row>
    <row r="604" spans="1:1" x14ac:dyDescent="0.25">
      <c r="A604" s="15"/>
    </row>
    <row r="605" spans="1:1" x14ac:dyDescent="0.25">
      <c r="A605" s="15"/>
    </row>
    <row r="606" spans="1:1" x14ac:dyDescent="0.25">
      <c r="A606" s="15"/>
    </row>
    <row r="607" spans="1:1" x14ac:dyDescent="0.25">
      <c r="A607" s="15"/>
    </row>
    <row r="608" spans="1:1" x14ac:dyDescent="0.25">
      <c r="A608" s="15"/>
    </row>
    <row r="609" spans="1:1" x14ac:dyDescent="0.25">
      <c r="A609" s="15"/>
    </row>
    <row r="610" spans="1:1" x14ac:dyDescent="0.25">
      <c r="A610" s="15"/>
    </row>
    <row r="611" spans="1:1" x14ac:dyDescent="0.25">
      <c r="A611" s="15"/>
    </row>
    <row r="612" spans="1:1" x14ac:dyDescent="0.25">
      <c r="A612" s="15"/>
    </row>
    <row r="613" spans="1:1" x14ac:dyDescent="0.25">
      <c r="A613" s="15"/>
    </row>
    <row r="614" spans="1:1" x14ac:dyDescent="0.25">
      <c r="A614" s="15"/>
    </row>
    <row r="615" spans="1:1" x14ac:dyDescent="0.25">
      <c r="A615" s="15"/>
    </row>
    <row r="616" spans="1:1" x14ac:dyDescent="0.25">
      <c r="A616" s="15"/>
    </row>
    <row r="617" spans="1:1" x14ac:dyDescent="0.25">
      <c r="A617" s="15"/>
    </row>
    <row r="618" spans="1:1" x14ac:dyDescent="0.25">
      <c r="A618" s="15"/>
    </row>
    <row r="619" spans="1:1" x14ac:dyDescent="0.25">
      <c r="A619" s="15"/>
    </row>
    <row r="620" spans="1:1" x14ac:dyDescent="0.25">
      <c r="A620" s="15"/>
    </row>
    <row r="621" spans="1:1" x14ac:dyDescent="0.25">
      <c r="A621" s="15"/>
    </row>
    <row r="622" spans="1:1" x14ac:dyDescent="0.25">
      <c r="A622" s="15"/>
    </row>
    <row r="623" spans="1:1" x14ac:dyDescent="0.25">
      <c r="A623" s="15"/>
    </row>
    <row r="624" spans="1:1" x14ac:dyDescent="0.25">
      <c r="A624" s="15"/>
    </row>
    <row r="625" spans="1:1" x14ac:dyDescent="0.25">
      <c r="A625" s="15"/>
    </row>
    <row r="626" spans="1:1" x14ac:dyDescent="0.25">
      <c r="A626" s="15"/>
    </row>
    <row r="627" spans="1:1" x14ac:dyDescent="0.25">
      <c r="A627" s="15"/>
    </row>
    <row r="628" spans="1:1" x14ac:dyDescent="0.25">
      <c r="A628" s="15"/>
    </row>
    <row r="629" spans="1:1" x14ac:dyDescent="0.25">
      <c r="A629" s="15"/>
    </row>
    <row r="630" spans="1:1" x14ac:dyDescent="0.25">
      <c r="A630" s="15"/>
    </row>
    <row r="631" spans="1:1" x14ac:dyDescent="0.25">
      <c r="A631" s="15"/>
    </row>
    <row r="632" spans="1:1" x14ac:dyDescent="0.25">
      <c r="A632" s="15"/>
    </row>
    <row r="633" spans="1:1" x14ac:dyDescent="0.25">
      <c r="A633" s="15"/>
    </row>
    <row r="634" spans="1:1" x14ac:dyDescent="0.25">
      <c r="A634" s="15"/>
    </row>
    <row r="635" spans="1:1" x14ac:dyDescent="0.25">
      <c r="A635" s="15"/>
    </row>
    <row r="636" spans="1:1" x14ac:dyDescent="0.25">
      <c r="A636" s="15"/>
    </row>
    <row r="637" spans="1:1" x14ac:dyDescent="0.25">
      <c r="A637" s="15"/>
    </row>
    <row r="638" spans="1:1" x14ac:dyDescent="0.25">
      <c r="A638" s="15"/>
    </row>
    <row r="639" spans="1:1" x14ac:dyDescent="0.25">
      <c r="A639" s="15"/>
    </row>
    <row r="640" spans="1:1" x14ac:dyDescent="0.25">
      <c r="A640" s="15"/>
    </row>
    <row r="641" spans="1:1" x14ac:dyDescent="0.25">
      <c r="A641" s="15"/>
    </row>
    <row r="642" spans="1:1" x14ac:dyDescent="0.25">
      <c r="A642" s="15"/>
    </row>
    <row r="643" spans="1:1" x14ac:dyDescent="0.25">
      <c r="A643" s="15"/>
    </row>
    <row r="644" spans="1:1" x14ac:dyDescent="0.25">
      <c r="A644" s="15"/>
    </row>
    <row r="645" spans="1:1" x14ac:dyDescent="0.25">
      <c r="A645" s="15"/>
    </row>
    <row r="646" spans="1:1" x14ac:dyDescent="0.25">
      <c r="A646" s="15"/>
    </row>
    <row r="647" spans="1:1" x14ac:dyDescent="0.25">
      <c r="A647" s="15"/>
    </row>
    <row r="648" spans="1:1" x14ac:dyDescent="0.25">
      <c r="A648" s="15"/>
    </row>
    <row r="649" spans="1:1" x14ac:dyDescent="0.25">
      <c r="A649" s="15"/>
    </row>
    <row r="650" spans="1:1" x14ac:dyDescent="0.25">
      <c r="A650" s="15"/>
    </row>
    <row r="651" spans="1:1" x14ac:dyDescent="0.25">
      <c r="A651" s="15"/>
    </row>
    <row r="652" spans="1:1" x14ac:dyDescent="0.25">
      <c r="A652" s="15"/>
    </row>
    <row r="653" spans="1:1" x14ac:dyDescent="0.25">
      <c r="A653" s="15"/>
    </row>
    <row r="654" spans="1:1" x14ac:dyDescent="0.25">
      <c r="A654" s="15"/>
    </row>
    <row r="655" spans="1:1" x14ac:dyDescent="0.25">
      <c r="A655" s="15"/>
    </row>
    <row r="656" spans="1:1" x14ac:dyDescent="0.25">
      <c r="A656" s="15"/>
    </row>
    <row r="657" spans="1:1" x14ac:dyDescent="0.25">
      <c r="A657" s="15"/>
    </row>
    <row r="658" spans="1:1" x14ac:dyDescent="0.25">
      <c r="A658" s="15"/>
    </row>
    <row r="659" spans="1:1" x14ac:dyDescent="0.25">
      <c r="A659" s="15"/>
    </row>
    <row r="660" spans="1:1" x14ac:dyDescent="0.25">
      <c r="A660" s="15"/>
    </row>
    <row r="661" spans="1:1" x14ac:dyDescent="0.25">
      <c r="A661" s="15"/>
    </row>
    <row r="662" spans="1:1" x14ac:dyDescent="0.25">
      <c r="A662" s="15"/>
    </row>
    <row r="663" spans="1:1" x14ac:dyDescent="0.25">
      <c r="A663" s="15"/>
    </row>
    <row r="664" spans="1:1" x14ac:dyDescent="0.25">
      <c r="A664" s="15"/>
    </row>
    <row r="665" spans="1:1" x14ac:dyDescent="0.25">
      <c r="A665" s="15"/>
    </row>
    <row r="666" spans="1:1" x14ac:dyDescent="0.25">
      <c r="A666" s="15"/>
    </row>
    <row r="667" spans="1:1" x14ac:dyDescent="0.25">
      <c r="A667" s="15"/>
    </row>
    <row r="668" spans="1:1" x14ac:dyDescent="0.25">
      <c r="A668" s="15"/>
    </row>
    <row r="669" spans="1:1" x14ac:dyDescent="0.25">
      <c r="A669" s="15"/>
    </row>
    <row r="670" spans="1:1" x14ac:dyDescent="0.25">
      <c r="A670" s="15"/>
    </row>
    <row r="671" spans="1:1" x14ac:dyDescent="0.25">
      <c r="A671" s="15"/>
    </row>
    <row r="672" spans="1:1" x14ac:dyDescent="0.25">
      <c r="A672" s="15"/>
    </row>
    <row r="673" spans="1:1" x14ac:dyDescent="0.25">
      <c r="A673" s="15"/>
    </row>
    <row r="674" spans="1:1" x14ac:dyDescent="0.25">
      <c r="A674" s="15"/>
    </row>
    <row r="675" spans="1:1" x14ac:dyDescent="0.25">
      <c r="A675" s="15"/>
    </row>
    <row r="676" spans="1:1" x14ac:dyDescent="0.25">
      <c r="A676" s="15"/>
    </row>
    <row r="677" spans="1:1" x14ac:dyDescent="0.25">
      <c r="A677" s="15"/>
    </row>
    <row r="678" spans="1:1" x14ac:dyDescent="0.25">
      <c r="A678" s="15"/>
    </row>
    <row r="679" spans="1:1" x14ac:dyDescent="0.25">
      <c r="A679" s="15"/>
    </row>
    <row r="680" spans="1:1" x14ac:dyDescent="0.25">
      <c r="A680" s="15"/>
    </row>
    <row r="681" spans="1:1" x14ac:dyDescent="0.25">
      <c r="A681" s="15"/>
    </row>
    <row r="682" spans="1:1" x14ac:dyDescent="0.25">
      <c r="A682" s="15"/>
    </row>
    <row r="683" spans="1:1" x14ac:dyDescent="0.25">
      <c r="A683" s="15"/>
    </row>
    <row r="684" spans="1:1" x14ac:dyDescent="0.25">
      <c r="A684" s="15"/>
    </row>
    <row r="685" spans="1:1" x14ac:dyDescent="0.25">
      <c r="A685" s="15"/>
    </row>
    <row r="686" spans="1:1" x14ac:dyDescent="0.25">
      <c r="A686" s="15"/>
    </row>
    <row r="687" spans="1:1" x14ac:dyDescent="0.25">
      <c r="A687" s="15"/>
    </row>
    <row r="688" spans="1:1" x14ac:dyDescent="0.25">
      <c r="A688" s="15"/>
    </row>
    <row r="689" spans="1:1" x14ac:dyDescent="0.25">
      <c r="A689" s="15"/>
    </row>
    <row r="690" spans="1:1" x14ac:dyDescent="0.25">
      <c r="A690" s="15"/>
    </row>
    <row r="691" spans="1:1" x14ac:dyDescent="0.25">
      <c r="A691" s="15"/>
    </row>
    <row r="692" spans="1:1" x14ac:dyDescent="0.25">
      <c r="A692" s="15"/>
    </row>
    <row r="693" spans="1:1" x14ac:dyDescent="0.25">
      <c r="A693" s="15"/>
    </row>
    <row r="694" spans="1:1" x14ac:dyDescent="0.25">
      <c r="A694" s="15"/>
    </row>
    <row r="695" spans="1:1" x14ac:dyDescent="0.25">
      <c r="A695" s="15"/>
    </row>
    <row r="696" spans="1:1" x14ac:dyDescent="0.25">
      <c r="A696" s="15"/>
    </row>
    <row r="697" spans="1:1" x14ac:dyDescent="0.25">
      <c r="A697" s="15"/>
    </row>
    <row r="698" spans="1:1" x14ac:dyDescent="0.25">
      <c r="A698" s="15"/>
    </row>
    <row r="699" spans="1:1" x14ac:dyDescent="0.25">
      <c r="A699" s="15"/>
    </row>
    <row r="700" spans="1:1" x14ac:dyDescent="0.25">
      <c r="A700" s="15"/>
    </row>
    <row r="701" spans="1:1" x14ac:dyDescent="0.25">
      <c r="A701" s="15"/>
    </row>
    <row r="702" spans="1:1" x14ac:dyDescent="0.25">
      <c r="A702" s="15"/>
    </row>
    <row r="703" spans="1:1" x14ac:dyDescent="0.25">
      <c r="A703" s="15"/>
    </row>
    <row r="704" spans="1:1" x14ac:dyDescent="0.25">
      <c r="A704" s="15"/>
    </row>
    <row r="705" spans="1:1" x14ac:dyDescent="0.25">
      <c r="A705" s="15"/>
    </row>
    <row r="706" spans="1:1" x14ac:dyDescent="0.25">
      <c r="A706" s="15"/>
    </row>
    <row r="707" spans="1:1" x14ac:dyDescent="0.25">
      <c r="A707" s="15"/>
    </row>
    <row r="708" spans="1:1" x14ac:dyDescent="0.25">
      <c r="A708" s="15"/>
    </row>
    <row r="709" spans="1:1" x14ac:dyDescent="0.25">
      <c r="A709" s="15"/>
    </row>
    <row r="710" spans="1:1" x14ac:dyDescent="0.25">
      <c r="A710" s="15"/>
    </row>
    <row r="711" spans="1:1" x14ac:dyDescent="0.25">
      <c r="A711" s="15"/>
    </row>
    <row r="712" spans="1:1" x14ac:dyDescent="0.25">
      <c r="A712" s="15"/>
    </row>
    <row r="713" spans="1:1" x14ac:dyDescent="0.25">
      <c r="A713" s="15"/>
    </row>
    <row r="714" spans="1:1" x14ac:dyDescent="0.25">
      <c r="A714" s="15"/>
    </row>
    <row r="715" spans="1:1" x14ac:dyDescent="0.25">
      <c r="A715" s="15"/>
    </row>
    <row r="716" spans="1:1" x14ac:dyDescent="0.25">
      <c r="A716" s="15"/>
    </row>
    <row r="717" spans="1:1" x14ac:dyDescent="0.25">
      <c r="A717" s="15"/>
    </row>
    <row r="718" spans="1:1" x14ac:dyDescent="0.25">
      <c r="A718" s="15"/>
    </row>
    <row r="719" spans="1:1" x14ac:dyDescent="0.25">
      <c r="A719" s="15"/>
    </row>
    <row r="720" spans="1:1" x14ac:dyDescent="0.25">
      <c r="A720" s="15"/>
    </row>
    <row r="721" spans="1:1" x14ac:dyDescent="0.25">
      <c r="A721" s="15"/>
    </row>
    <row r="722" spans="1:1" x14ac:dyDescent="0.25">
      <c r="A722" s="15"/>
    </row>
    <row r="723" spans="1:1" x14ac:dyDescent="0.25">
      <c r="A723" s="15"/>
    </row>
    <row r="724" spans="1:1" x14ac:dyDescent="0.25">
      <c r="A724" s="15"/>
    </row>
    <row r="725" spans="1:1" x14ac:dyDescent="0.25">
      <c r="A725" s="15"/>
    </row>
    <row r="726" spans="1:1" x14ac:dyDescent="0.25">
      <c r="A726" s="15"/>
    </row>
    <row r="727" spans="1:1" x14ac:dyDescent="0.25">
      <c r="A727" s="15"/>
    </row>
    <row r="728" spans="1:1" x14ac:dyDescent="0.25">
      <c r="A728" s="15"/>
    </row>
    <row r="729" spans="1:1" x14ac:dyDescent="0.25">
      <c r="A729" s="15"/>
    </row>
    <row r="730" spans="1:1" x14ac:dyDescent="0.25">
      <c r="A730" s="15"/>
    </row>
    <row r="731" spans="1:1" x14ac:dyDescent="0.25">
      <c r="A731" s="15"/>
    </row>
    <row r="732" spans="1:1" x14ac:dyDescent="0.25">
      <c r="A732" s="15"/>
    </row>
    <row r="733" spans="1:1" x14ac:dyDescent="0.25">
      <c r="A733" s="15"/>
    </row>
    <row r="734" spans="1:1" x14ac:dyDescent="0.25">
      <c r="A734" s="15"/>
    </row>
    <row r="735" spans="1:1" x14ac:dyDescent="0.25">
      <c r="A735" s="15"/>
    </row>
    <row r="736" spans="1:1" x14ac:dyDescent="0.25">
      <c r="A736" s="15"/>
    </row>
    <row r="737" spans="1:1" x14ac:dyDescent="0.25">
      <c r="A737" s="15"/>
    </row>
    <row r="738" spans="1:1" x14ac:dyDescent="0.25">
      <c r="A738" s="15"/>
    </row>
    <row r="739" spans="1:1" x14ac:dyDescent="0.25">
      <c r="A739" s="15"/>
    </row>
    <row r="740" spans="1:1" x14ac:dyDescent="0.25">
      <c r="A740" s="15"/>
    </row>
    <row r="741" spans="1:1" x14ac:dyDescent="0.25">
      <c r="A741" s="15"/>
    </row>
    <row r="742" spans="1:1" x14ac:dyDescent="0.25">
      <c r="A742" s="15"/>
    </row>
    <row r="743" spans="1:1" x14ac:dyDescent="0.25">
      <c r="A743" s="15"/>
    </row>
    <row r="744" spans="1:1" x14ac:dyDescent="0.25">
      <c r="A744" s="15"/>
    </row>
    <row r="745" spans="1:1" x14ac:dyDescent="0.25">
      <c r="A745" s="15"/>
    </row>
    <row r="746" spans="1:1" x14ac:dyDescent="0.25">
      <c r="A746" s="15"/>
    </row>
    <row r="747" spans="1:1" x14ac:dyDescent="0.25">
      <c r="A747" s="15"/>
    </row>
    <row r="748" spans="1:1" x14ac:dyDescent="0.25">
      <c r="A748" s="15"/>
    </row>
    <row r="749" spans="1:1" x14ac:dyDescent="0.25">
      <c r="A749" s="15"/>
    </row>
    <row r="750" spans="1:1" x14ac:dyDescent="0.25">
      <c r="A750" s="15"/>
    </row>
    <row r="751" spans="1:1" x14ac:dyDescent="0.25">
      <c r="A751" s="15"/>
    </row>
    <row r="752" spans="1:1" x14ac:dyDescent="0.25">
      <c r="A752" s="15"/>
    </row>
    <row r="753" spans="1:1" x14ac:dyDescent="0.25">
      <c r="A753" s="15"/>
    </row>
    <row r="754" spans="1:1" x14ac:dyDescent="0.25">
      <c r="A754" s="15"/>
    </row>
    <row r="755" spans="1:1" x14ac:dyDescent="0.25">
      <c r="A755" s="15"/>
    </row>
    <row r="756" spans="1:1" x14ac:dyDescent="0.25">
      <c r="A756" s="15"/>
    </row>
    <row r="757" spans="1:1" x14ac:dyDescent="0.25">
      <c r="A757" s="15"/>
    </row>
    <row r="758" spans="1:1" x14ac:dyDescent="0.25">
      <c r="A758" s="15"/>
    </row>
    <row r="759" spans="1:1" x14ac:dyDescent="0.25">
      <c r="A759" s="15"/>
    </row>
    <row r="760" spans="1:1" x14ac:dyDescent="0.25">
      <c r="A760" s="15"/>
    </row>
    <row r="761" spans="1:1" x14ac:dyDescent="0.25">
      <c r="A761" s="15"/>
    </row>
    <row r="762" spans="1:1" x14ac:dyDescent="0.25">
      <c r="A762" s="15"/>
    </row>
    <row r="763" spans="1:1" x14ac:dyDescent="0.25">
      <c r="A763" s="15"/>
    </row>
    <row r="764" spans="1:1" x14ac:dyDescent="0.25">
      <c r="A764" s="15"/>
    </row>
    <row r="765" spans="1:1" x14ac:dyDescent="0.25">
      <c r="A765" s="15"/>
    </row>
    <row r="766" spans="1:1" x14ac:dyDescent="0.25">
      <c r="A766" s="15"/>
    </row>
    <row r="767" spans="1:1" x14ac:dyDescent="0.25">
      <c r="A767" s="15"/>
    </row>
    <row r="768" spans="1:1" x14ac:dyDescent="0.25">
      <c r="A768" s="15"/>
    </row>
    <row r="769" spans="1:1" x14ac:dyDescent="0.25">
      <c r="A769" s="15"/>
    </row>
    <row r="770" spans="1:1" x14ac:dyDescent="0.25">
      <c r="A770" s="15"/>
    </row>
    <row r="771" spans="1:1" x14ac:dyDescent="0.25">
      <c r="A771" s="15"/>
    </row>
    <row r="772" spans="1:1" x14ac:dyDescent="0.25">
      <c r="A772" s="15"/>
    </row>
    <row r="773" spans="1:1" x14ac:dyDescent="0.25">
      <c r="A773" s="15"/>
    </row>
    <row r="774" spans="1:1" x14ac:dyDescent="0.25">
      <c r="A774" s="15"/>
    </row>
    <row r="775" spans="1:1" x14ac:dyDescent="0.25">
      <c r="A775" s="15"/>
    </row>
    <row r="776" spans="1:1" x14ac:dyDescent="0.25">
      <c r="A776" s="15"/>
    </row>
    <row r="777" spans="1:1" x14ac:dyDescent="0.25">
      <c r="A777" s="15"/>
    </row>
    <row r="778" spans="1:1" x14ac:dyDescent="0.25">
      <c r="A778" s="15"/>
    </row>
    <row r="779" spans="1:1" x14ac:dyDescent="0.25">
      <c r="A779" s="15"/>
    </row>
    <row r="780" spans="1:1" x14ac:dyDescent="0.25">
      <c r="A780" s="15"/>
    </row>
    <row r="781" spans="1:1" x14ac:dyDescent="0.25">
      <c r="A781" s="15"/>
    </row>
    <row r="782" spans="1:1" x14ac:dyDescent="0.25">
      <c r="A782" s="15"/>
    </row>
    <row r="783" spans="1:1" x14ac:dyDescent="0.25">
      <c r="A783" s="15"/>
    </row>
    <row r="784" spans="1:1" x14ac:dyDescent="0.25">
      <c r="A784" s="15"/>
    </row>
    <row r="785" spans="1:1" x14ac:dyDescent="0.25">
      <c r="A785" s="15"/>
    </row>
    <row r="786" spans="1:1" x14ac:dyDescent="0.25">
      <c r="A786" s="15"/>
    </row>
    <row r="787" spans="1:1" x14ac:dyDescent="0.25">
      <c r="A787" s="15"/>
    </row>
    <row r="788" spans="1:1" x14ac:dyDescent="0.25">
      <c r="A788" s="15"/>
    </row>
    <row r="789" spans="1:1" x14ac:dyDescent="0.25">
      <c r="A789" s="15"/>
    </row>
    <row r="790" spans="1:1" x14ac:dyDescent="0.25">
      <c r="A790" s="15"/>
    </row>
    <row r="791" spans="1:1" x14ac:dyDescent="0.25">
      <c r="A791" s="15"/>
    </row>
    <row r="792" spans="1:1" x14ac:dyDescent="0.25">
      <c r="A792" s="15"/>
    </row>
    <row r="793" spans="1:1" x14ac:dyDescent="0.25">
      <c r="A793" s="15"/>
    </row>
    <row r="794" spans="1:1" x14ac:dyDescent="0.25">
      <c r="A794" s="15"/>
    </row>
    <row r="795" spans="1:1" x14ac:dyDescent="0.25">
      <c r="A795" s="15"/>
    </row>
    <row r="796" spans="1:1" x14ac:dyDescent="0.25">
      <c r="A796" s="15"/>
    </row>
    <row r="797" spans="1:1" x14ac:dyDescent="0.25">
      <c r="A797" s="15"/>
    </row>
    <row r="798" spans="1:1" x14ac:dyDescent="0.25">
      <c r="A798" s="15"/>
    </row>
    <row r="799" spans="1:1" x14ac:dyDescent="0.25">
      <c r="A799" s="15"/>
    </row>
    <row r="800" spans="1:1" x14ac:dyDescent="0.25">
      <c r="A800" s="15"/>
    </row>
    <row r="801" spans="1:1" x14ac:dyDescent="0.25">
      <c r="A801" s="15"/>
    </row>
    <row r="802" spans="1:1" x14ac:dyDescent="0.25">
      <c r="A802" s="15"/>
    </row>
    <row r="803" spans="1:1" x14ac:dyDescent="0.25">
      <c r="A803" s="15"/>
    </row>
    <row r="804" spans="1:1" x14ac:dyDescent="0.25">
      <c r="A804" s="15"/>
    </row>
    <row r="805" spans="1:1" x14ac:dyDescent="0.25">
      <c r="A805" s="15"/>
    </row>
    <row r="806" spans="1:1" x14ac:dyDescent="0.25">
      <c r="A806" s="15"/>
    </row>
    <row r="807" spans="1:1" x14ac:dyDescent="0.25">
      <c r="A807" s="15"/>
    </row>
    <row r="808" spans="1:1" x14ac:dyDescent="0.25">
      <c r="A808" s="15"/>
    </row>
    <row r="809" spans="1:1" x14ac:dyDescent="0.25">
      <c r="A809" s="15"/>
    </row>
    <row r="810" spans="1:1" x14ac:dyDescent="0.25">
      <c r="A810" s="15"/>
    </row>
    <row r="811" spans="1:1" x14ac:dyDescent="0.25">
      <c r="A811" s="15"/>
    </row>
    <row r="812" spans="1:1" x14ac:dyDescent="0.25">
      <c r="A812" s="15"/>
    </row>
    <row r="813" spans="1:1" x14ac:dyDescent="0.25">
      <c r="A813" s="15"/>
    </row>
    <row r="814" spans="1:1" x14ac:dyDescent="0.25">
      <c r="A814" s="15"/>
    </row>
    <row r="815" spans="1:1" x14ac:dyDescent="0.25">
      <c r="A815" s="15"/>
    </row>
    <row r="816" spans="1:1" x14ac:dyDescent="0.25">
      <c r="A816" s="15"/>
    </row>
    <row r="817" spans="1:1" x14ac:dyDescent="0.25">
      <c r="A817" s="15"/>
    </row>
    <row r="818" spans="1:1" x14ac:dyDescent="0.25">
      <c r="A818" s="15"/>
    </row>
    <row r="819" spans="1:1" x14ac:dyDescent="0.25">
      <c r="A819" s="15"/>
    </row>
    <row r="820" spans="1:1" x14ac:dyDescent="0.25">
      <c r="A820" s="15"/>
    </row>
    <row r="821" spans="1:1" x14ac:dyDescent="0.25">
      <c r="A821" s="15"/>
    </row>
    <row r="822" spans="1:1" x14ac:dyDescent="0.25">
      <c r="A822" s="15"/>
    </row>
    <row r="823" spans="1:1" x14ac:dyDescent="0.25">
      <c r="A823" s="15"/>
    </row>
    <row r="824" spans="1:1" x14ac:dyDescent="0.25">
      <c r="A824" s="15"/>
    </row>
    <row r="825" spans="1:1" x14ac:dyDescent="0.25">
      <c r="A825" s="15"/>
    </row>
    <row r="826" spans="1:1" x14ac:dyDescent="0.25">
      <c r="A826" s="15"/>
    </row>
    <row r="827" spans="1:1" x14ac:dyDescent="0.25">
      <c r="A827" s="15"/>
    </row>
    <row r="828" spans="1:1" x14ac:dyDescent="0.25">
      <c r="A828" s="15"/>
    </row>
    <row r="829" spans="1:1" x14ac:dyDescent="0.25">
      <c r="A829" s="15"/>
    </row>
    <row r="830" spans="1:1" x14ac:dyDescent="0.25">
      <c r="A830" s="15"/>
    </row>
    <row r="831" spans="1:1" x14ac:dyDescent="0.25">
      <c r="A831" s="15"/>
    </row>
    <row r="832" spans="1:1" x14ac:dyDescent="0.25">
      <c r="A832" s="15"/>
    </row>
    <row r="833" spans="1:1" x14ac:dyDescent="0.25">
      <c r="A833" s="15"/>
    </row>
    <row r="834" spans="1:1" x14ac:dyDescent="0.25">
      <c r="A834" s="15"/>
    </row>
    <row r="835" spans="1:1" x14ac:dyDescent="0.25">
      <c r="A835" s="15"/>
    </row>
    <row r="836" spans="1:1" x14ac:dyDescent="0.25">
      <c r="A836" s="15"/>
    </row>
    <row r="837" spans="1:1" x14ac:dyDescent="0.25">
      <c r="A837" s="15"/>
    </row>
    <row r="838" spans="1:1" x14ac:dyDescent="0.25">
      <c r="A838" s="15"/>
    </row>
    <row r="839" spans="1:1" x14ac:dyDescent="0.25">
      <c r="A839" s="15"/>
    </row>
    <row r="840" spans="1:1" x14ac:dyDescent="0.25">
      <c r="A840" s="15"/>
    </row>
    <row r="841" spans="1:1" x14ac:dyDescent="0.25">
      <c r="A841" s="15"/>
    </row>
    <row r="842" spans="1:1" x14ac:dyDescent="0.25">
      <c r="A842" s="15"/>
    </row>
    <row r="843" spans="1:1" x14ac:dyDescent="0.25">
      <c r="A843" s="15"/>
    </row>
    <row r="844" spans="1:1" x14ac:dyDescent="0.25">
      <c r="A844" s="15"/>
    </row>
    <row r="845" spans="1:1" x14ac:dyDescent="0.25">
      <c r="A845" s="15"/>
    </row>
    <row r="846" spans="1:1" x14ac:dyDescent="0.25">
      <c r="A846" s="15"/>
    </row>
    <row r="847" spans="1:1" x14ac:dyDescent="0.25">
      <c r="A847" s="15"/>
    </row>
    <row r="848" spans="1:1" x14ac:dyDescent="0.25">
      <c r="A848" s="15"/>
    </row>
    <row r="849" spans="1:1" x14ac:dyDescent="0.25">
      <c r="A849" s="15"/>
    </row>
    <row r="850" spans="1:1" x14ac:dyDescent="0.25">
      <c r="A850" s="15"/>
    </row>
    <row r="851" spans="1:1" x14ac:dyDescent="0.25">
      <c r="A851" s="15"/>
    </row>
    <row r="852" spans="1:1" x14ac:dyDescent="0.25">
      <c r="A852" s="15"/>
    </row>
    <row r="853" spans="1:1" x14ac:dyDescent="0.25">
      <c r="A853" s="15"/>
    </row>
    <row r="854" spans="1:1" x14ac:dyDescent="0.25">
      <c r="A854" s="15"/>
    </row>
    <row r="855" spans="1:1" x14ac:dyDescent="0.25">
      <c r="A855" s="15"/>
    </row>
    <row r="856" spans="1:1" x14ac:dyDescent="0.25">
      <c r="A856" s="15"/>
    </row>
    <row r="857" spans="1:1" x14ac:dyDescent="0.25">
      <c r="A857" s="15"/>
    </row>
    <row r="858" spans="1:1" x14ac:dyDescent="0.25">
      <c r="A858" s="15"/>
    </row>
    <row r="859" spans="1:1" x14ac:dyDescent="0.25">
      <c r="A859" s="15"/>
    </row>
    <row r="860" spans="1:1" x14ac:dyDescent="0.25">
      <c r="A860" s="15"/>
    </row>
    <row r="861" spans="1:1" x14ac:dyDescent="0.25">
      <c r="A861" s="15"/>
    </row>
    <row r="862" spans="1:1" x14ac:dyDescent="0.25">
      <c r="A862" s="15"/>
    </row>
    <row r="863" spans="1:1" x14ac:dyDescent="0.25">
      <c r="A863" s="15"/>
    </row>
    <row r="864" spans="1:1" x14ac:dyDescent="0.25">
      <c r="A864" s="15"/>
    </row>
    <row r="865" spans="1:1" x14ac:dyDescent="0.25">
      <c r="A865" s="15"/>
    </row>
    <row r="866" spans="1:1" x14ac:dyDescent="0.25">
      <c r="A866" s="15"/>
    </row>
    <row r="867" spans="1:1" x14ac:dyDescent="0.25">
      <c r="A867" s="15"/>
    </row>
    <row r="868" spans="1:1" x14ac:dyDescent="0.25">
      <c r="A868" s="15"/>
    </row>
    <row r="869" spans="1:1" x14ac:dyDescent="0.25">
      <c r="A869" s="15"/>
    </row>
    <row r="870" spans="1:1" x14ac:dyDescent="0.25">
      <c r="A870" s="15"/>
    </row>
    <row r="871" spans="1:1" x14ac:dyDescent="0.25">
      <c r="A871" s="15"/>
    </row>
    <row r="872" spans="1:1" x14ac:dyDescent="0.25">
      <c r="A872" s="15"/>
    </row>
    <row r="873" spans="1:1" x14ac:dyDescent="0.25">
      <c r="A873" s="15"/>
    </row>
    <row r="874" spans="1:1" x14ac:dyDescent="0.25">
      <c r="A874" s="15"/>
    </row>
    <row r="875" spans="1:1" x14ac:dyDescent="0.25">
      <c r="A875" s="15"/>
    </row>
    <row r="876" spans="1:1" x14ac:dyDescent="0.25">
      <c r="A876" s="15"/>
    </row>
    <row r="877" spans="1:1" x14ac:dyDescent="0.25">
      <c r="A877" s="15"/>
    </row>
    <row r="878" spans="1:1" x14ac:dyDescent="0.25">
      <c r="A878" s="15"/>
    </row>
    <row r="879" spans="1:1" x14ac:dyDescent="0.25">
      <c r="A879" s="15"/>
    </row>
    <row r="880" spans="1:1" x14ac:dyDescent="0.25">
      <c r="A880" s="15"/>
    </row>
    <row r="881" spans="1:1" x14ac:dyDescent="0.25">
      <c r="A881" s="15"/>
    </row>
    <row r="882" spans="1:1" x14ac:dyDescent="0.25">
      <c r="A882" s="15"/>
    </row>
    <row r="883" spans="1:1" x14ac:dyDescent="0.25">
      <c r="A883" s="15"/>
    </row>
    <row r="884" spans="1:1" x14ac:dyDescent="0.25">
      <c r="A884" s="15"/>
    </row>
    <row r="885" spans="1:1" x14ac:dyDescent="0.25">
      <c r="A885" s="15"/>
    </row>
    <row r="886" spans="1:1" x14ac:dyDescent="0.25">
      <c r="A886" s="15"/>
    </row>
    <row r="887" spans="1:1" x14ac:dyDescent="0.25">
      <c r="A887" s="15"/>
    </row>
    <row r="888" spans="1:1" x14ac:dyDescent="0.25">
      <c r="A888" s="15"/>
    </row>
    <row r="889" spans="1:1" x14ac:dyDescent="0.25">
      <c r="A889" s="15"/>
    </row>
    <row r="890" spans="1:1" x14ac:dyDescent="0.25">
      <c r="A890" s="15"/>
    </row>
    <row r="891" spans="1:1" x14ac:dyDescent="0.25">
      <c r="A891" s="15"/>
    </row>
    <row r="892" spans="1:1" x14ac:dyDescent="0.25">
      <c r="A892" s="15"/>
    </row>
    <row r="893" spans="1:1" x14ac:dyDescent="0.25">
      <c r="A893" s="15"/>
    </row>
    <row r="894" spans="1:1" x14ac:dyDescent="0.25">
      <c r="A894" s="15"/>
    </row>
    <row r="895" spans="1:1" x14ac:dyDescent="0.25">
      <c r="A895" s="15"/>
    </row>
    <row r="896" spans="1:1" x14ac:dyDescent="0.25">
      <c r="A896" s="15"/>
    </row>
    <row r="897" spans="1:1" x14ac:dyDescent="0.25">
      <c r="A897" s="15"/>
    </row>
    <row r="898" spans="1:1" x14ac:dyDescent="0.25">
      <c r="A898" s="15"/>
    </row>
    <row r="899" spans="1:1" x14ac:dyDescent="0.25">
      <c r="A899" s="15"/>
    </row>
    <row r="900" spans="1:1" x14ac:dyDescent="0.25">
      <c r="A900" s="15"/>
    </row>
    <row r="901" spans="1:1" x14ac:dyDescent="0.25">
      <c r="A901" s="15"/>
    </row>
    <row r="902" spans="1:1" x14ac:dyDescent="0.25">
      <c r="A902" s="15"/>
    </row>
    <row r="903" spans="1:1" x14ac:dyDescent="0.25">
      <c r="A903" s="15"/>
    </row>
    <row r="904" spans="1:1" x14ac:dyDescent="0.25">
      <c r="A904" s="15"/>
    </row>
    <row r="905" spans="1:1" x14ac:dyDescent="0.25">
      <c r="A905" s="15"/>
    </row>
    <row r="906" spans="1:1" x14ac:dyDescent="0.25">
      <c r="A906" s="15"/>
    </row>
    <row r="907" spans="1:1" x14ac:dyDescent="0.25">
      <c r="A907" s="15"/>
    </row>
    <row r="908" spans="1:1" x14ac:dyDescent="0.25">
      <c r="A908" s="15"/>
    </row>
    <row r="909" spans="1:1" x14ac:dyDescent="0.25">
      <c r="A909" s="15"/>
    </row>
    <row r="910" spans="1:1" x14ac:dyDescent="0.25">
      <c r="A910" s="15"/>
    </row>
    <row r="911" spans="1:1" x14ac:dyDescent="0.25">
      <c r="A911" s="15"/>
    </row>
    <row r="912" spans="1:1" x14ac:dyDescent="0.25">
      <c r="A912" s="15"/>
    </row>
    <row r="913" spans="1:1" x14ac:dyDescent="0.25">
      <c r="A913" s="15"/>
    </row>
    <row r="914" spans="1:1" x14ac:dyDescent="0.25">
      <c r="A914" s="15"/>
    </row>
    <row r="915" spans="1:1" x14ac:dyDescent="0.25">
      <c r="A915" s="15"/>
    </row>
    <row r="916" spans="1:1" x14ac:dyDescent="0.25">
      <c r="A916" s="15"/>
    </row>
    <row r="917" spans="1:1" x14ac:dyDescent="0.25">
      <c r="A917" s="15"/>
    </row>
    <row r="918" spans="1:1" x14ac:dyDescent="0.25">
      <c r="A918" s="15"/>
    </row>
    <row r="919" spans="1:1" x14ac:dyDescent="0.25">
      <c r="A919" s="15"/>
    </row>
    <row r="920" spans="1:1" x14ac:dyDescent="0.25">
      <c r="A920" s="15"/>
    </row>
    <row r="921" spans="1:1" x14ac:dyDescent="0.25">
      <c r="A921" s="15"/>
    </row>
    <row r="922" spans="1:1" x14ac:dyDescent="0.25">
      <c r="A922" s="15"/>
    </row>
    <row r="923" spans="1:1" x14ac:dyDescent="0.25">
      <c r="A923" s="15"/>
    </row>
    <row r="924" spans="1:1" x14ac:dyDescent="0.25">
      <c r="A924" s="15"/>
    </row>
    <row r="925" spans="1:1" x14ac:dyDescent="0.25">
      <c r="A925" s="15"/>
    </row>
    <row r="926" spans="1:1" x14ac:dyDescent="0.25">
      <c r="A926" s="15"/>
    </row>
    <row r="927" spans="1:1" x14ac:dyDescent="0.25">
      <c r="A927" s="15"/>
    </row>
    <row r="928" spans="1:1" x14ac:dyDescent="0.25">
      <c r="A928" s="15"/>
    </row>
    <row r="929" spans="1:1" x14ac:dyDescent="0.25">
      <c r="A929" s="15"/>
    </row>
    <row r="930" spans="1:1" x14ac:dyDescent="0.25">
      <c r="A930" s="15"/>
    </row>
    <row r="931" spans="1:1" x14ac:dyDescent="0.25">
      <c r="A931" s="15"/>
    </row>
    <row r="932" spans="1:1" x14ac:dyDescent="0.25">
      <c r="A932" s="15"/>
    </row>
    <row r="933" spans="1:1" x14ac:dyDescent="0.25">
      <c r="A933" s="15"/>
    </row>
    <row r="934" spans="1:1" x14ac:dyDescent="0.25">
      <c r="A934" s="15"/>
    </row>
    <row r="935" spans="1:1" x14ac:dyDescent="0.25">
      <c r="A935" s="15"/>
    </row>
    <row r="936" spans="1:1" x14ac:dyDescent="0.25">
      <c r="A936" s="15"/>
    </row>
    <row r="937" spans="1:1" x14ac:dyDescent="0.25">
      <c r="A937" s="15"/>
    </row>
    <row r="938" spans="1:1" x14ac:dyDescent="0.25">
      <c r="A938" s="15"/>
    </row>
    <row r="939" spans="1:1" x14ac:dyDescent="0.25">
      <c r="A939" s="15"/>
    </row>
    <row r="940" spans="1:1" x14ac:dyDescent="0.25">
      <c r="A940" s="15"/>
    </row>
    <row r="941" spans="1:1" x14ac:dyDescent="0.25">
      <c r="A941" s="15"/>
    </row>
    <row r="942" spans="1:1" x14ac:dyDescent="0.25">
      <c r="A942" s="15"/>
    </row>
    <row r="943" spans="1:1" x14ac:dyDescent="0.25">
      <c r="A943" s="15"/>
    </row>
    <row r="944" spans="1:1" x14ac:dyDescent="0.25">
      <c r="A944" s="15"/>
    </row>
    <row r="945" spans="1:1" x14ac:dyDescent="0.25">
      <c r="A945" s="15"/>
    </row>
    <row r="946" spans="1:1" x14ac:dyDescent="0.25">
      <c r="A946" s="15"/>
    </row>
    <row r="947" spans="1:1" x14ac:dyDescent="0.25">
      <c r="A947" s="15"/>
    </row>
    <row r="948" spans="1:1" x14ac:dyDescent="0.25">
      <c r="A948" s="15"/>
    </row>
    <row r="949" spans="1:1" x14ac:dyDescent="0.25">
      <c r="A949" s="15"/>
    </row>
    <row r="950" spans="1:1" x14ac:dyDescent="0.25">
      <c r="A950" s="15"/>
    </row>
    <row r="951" spans="1:1" x14ac:dyDescent="0.25">
      <c r="A951" s="15"/>
    </row>
    <row r="952" spans="1:1" x14ac:dyDescent="0.25">
      <c r="A952" s="15"/>
    </row>
    <row r="953" spans="1:1" x14ac:dyDescent="0.25">
      <c r="A953" s="15"/>
    </row>
    <row r="954" spans="1:1" x14ac:dyDescent="0.25">
      <c r="A954" s="15"/>
    </row>
    <row r="955" spans="1:1" x14ac:dyDescent="0.25">
      <c r="A955" s="15"/>
    </row>
    <row r="956" spans="1:1" x14ac:dyDescent="0.25">
      <c r="A956" s="15"/>
    </row>
    <row r="957" spans="1:1" x14ac:dyDescent="0.25">
      <c r="A957" s="15"/>
    </row>
    <row r="958" spans="1:1" x14ac:dyDescent="0.25">
      <c r="A958" s="15"/>
    </row>
    <row r="959" spans="1:1" x14ac:dyDescent="0.25">
      <c r="A959" s="15"/>
    </row>
    <row r="960" spans="1:1" x14ac:dyDescent="0.25">
      <c r="A960" s="15"/>
    </row>
    <row r="961" spans="1:1" x14ac:dyDescent="0.25">
      <c r="A961" s="15"/>
    </row>
    <row r="962" spans="1:1" x14ac:dyDescent="0.25">
      <c r="A962" s="15"/>
    </row>
    <row r="963" spans="1:1" x14ac:dyDescent="0.25">
      <c r="A963" s="15"/>
    </row>
    <row r="964" spans="1:1" x14ac:dyDescent="0.25">
      <c r="A964" s="15"/>
    </row>
    <row r="965" spans="1:1" x14ac:dyDescent="0.25">
      <c r="A965" s="15"/>
    </row>
    <row r="966" spans="1:1" x14ac:dyDescent="0.25">
      <c r="A966" s="15"/>
    </row>
    <row r="967" spans="1:1" x14ac:dyDescent="0.25">
      <c r="A967" s="15"/>
    </row>
    <row r="968" spans="1:1" x14ac:dyDescent="0.25">
      <c r="A968" s="15"/>
    </row>
    <row r="969" spans="1:1" x14ac:dyDescent="0.25">
      <c r="A969" s="15"/>
    </row>
    <row r="970" spans="1:1" x14ac:dyDescent="0.25">
      <c r="A970" s="15"/>
    </row>
    <row r="971" spans="1:1" x14ac:dyDescent="0.25">
      <c r="A971" s="15"/>
    </row>
    <row r="972" spans="1:1" x14ac:dyDescent="0.25">
      <c r="A972" s="15"/>
    </row>
    <row r="973" spans="1:1" x14ac:dyDescent="0.25">
      <c r="A973" s="15"/>
    </row>
    <row r="974" spans="1:1" x14ac:dyDescent="0.25">
      <c r="A974" s="15"/>
    </row>
    <row r="975" spans="1:1" x14ac:dyDescent="0.25">
      <c r="A975" s="15"/>
    </row>
    <row r="976" spans="1:1" x14ac:dyDescent="0.25">
      <c r="A976" s="15"/>
    </row>
    <row r="977" spans="1:1" x14ac:dyDescent="0.25">
      <c r="A977" s="15"/>
    </row>
    <row r="978" spans="1:1" x14ac:dyDescent="0.25">
      <c r="A978" s="15"/>
    </row>
    <row r="979" spans="1:1" x14ac:dyDescent="0.25">
      <c r="A979" s="15"/>
    </row>
    <row r="980" spans="1:1" x14ac:dyDescent="0.25">
      <c r="A980" s="15"/>
    </row>
    <row r="981" spans="1:1" x14ac:dyDescent="0.25">
      <c r="A981" s="15"/>
    </row>
    <row r="982" spans="1:1" x14ac:dyDescent="0.25">
      <c r="A982" s="15"/>
    </row>
    <row r="983" spans="1:1" x14ac:dyDescent="0.25">
      <c r="A983" s="15"/>
    </row>
    <row r="984" spans="1:1" x14ac:dyDescent="0.25">
      <c r="A984" s="15"/>
    </row>
    <row r="985" spans="1:1" x14ac:dyDescent="0.25">
      <c r="A985" s="15"/>
    </row>
    <row r="986" spans="1:1" x14ac:dyDescent="0.25">
      <c r="A986" s="15"/>
    </row>
    <row r="987" spans="1:1" x14ac:dyDescent="0.25">
      <c r="A987" s="15"/>
    </row>
    <row r="988" spans="1:1" x14ac:dyDescent="0.25">
      <c r="A988" s="15"/>
    </row>
    <row r="989" spans="1:1" x14ac:dyDescent="0.25">
      <c r="A989" s="15"/>
    </row>
    <row r="990" spans="1:1" x14ac:dyDescent="0.25">
      <c r="A990" s="15"/>
    </row>
    <row r="991" spans="1:1" x14ac:dyDescent="0.25">
      <c r="A991" s="15"/>
    </row>
    <row r="992" spans="1:1" x14ac:dyDescent="0.25">
      <c r="A992" s="15"/>
    </row>
    <row r="993" spans="1:1" x14ac:dyDescent="0.25">
      <c r="A993" s="15"/>
    </row>
    <row r="994" spans="1:1" x14ac:dyDescent="0.25">
      <c r="A994" s="15"/>
    </row>
    <row r="995" spans="1:1" x14ac:dyDescent="0.25">
      <c r="A995" s="15"/>
    </row>
    <row r="996" spans="1:1" x14ac:dyDescent="0.25">
      <c r="A996" s="15"/>
    </row>
    <row r="997" spans="1:1" x14ac:dyDescent="0.25">
      <c r="A997" s="15"/>
    </row>
    <row r="998" spans="1:1" x14ac:dyDescent="0.25">
      <c r="A998" s="15"/>
    </row>
    <row r="999" spans="1:1" x14ac:dyDescent="0.25">
      <c r="A999" s="15"/>
    </row>
    <row r="1000" spans="1:1" x14ac:dyDescent="0.25">
      <c r="A1000" s="15"/>
    </row>
    <row r="1001" spans="1:1" x14ac:dyDescent="0.25">
      <c r="A1001" s="15"/>
    </row>
    <row r="1002" spans="1:1" x14ac:dyDescent="0.25">
      <c r="A1002" s="15"/>
    </row>
    <row r="1003" spans="1:1" x14ac:dyDescent="0.25">
      <c r="A1003" s="15"/>
    </row>
    <row r="1004" spans="1:1" x14ac:dyDescent="0.25">
      <c r="A1004" s="15"/>
    </row>
    <row r="1005" spans="1:1" x14ac:dyDescent="0.25">
      <c r="A1005" s="15"/>
    </row>
    <row r="1006" spans="1:1" x14ac:dyDescent="0.25">
      <c r="A1006" s="15"/>
    </row>
    <row r="1007" spans="1:1" x14ac:dyDescent="0.25">
      <c r="A1007" s="15"/>
    </row>
    <row r="1008" spans="1:1" x14ac:dyDescent="0.25">
      <c r="A1008" s="15"/>
    </row>
    <row r="1009" spans="1:1" x14ac:dyDescent="0.25">
      <c r="A1009" s="15"/>
    </row>
    <row r="1010" spans="1:1" x14ac:dyDescent="0.25">
      <c r="A1010" s="15"/>
    </row>
    <row r="1011" spans="1:1" x14ac:dyDescent="0.25">
      <c r="A1011" s="15"/>
    </row>
    <row r="1012" spans="1:1" x14ac:dyDescent="0.25">
      <c r="A1012" s="15"/>
    </row>
    <row r="1013" spans="1:1" x14ac:dyDescent="0.25">
      <c r="A1013" s="15"/>
    </row>
    <row r="1014" spans="1:1" x14ac:dyDescent="0.25">
      <c r="A1014" s="15"/>
    </row>
    <row r="1015" spans="1:1" x14ac:dyDescent="0.25">
      <c r="A1015" s="15"/>
    </row>
    <row r="1016" spans="1:1" x14ac:dyDescent="0.25">
      <c r="A1016" s="15"/>
    </row>
    <row r="1017" spans="1:1" x14ac:dyDescent="0.25">
      <c r="A1017" s="15"/>
    </row>
    <row r="1018" spans="1:1" x14ac:dyDescent="0.25">
      <c r="A1018" s="15"/>
    </row>
    <row r="1019" spans="1:1" x14ac:dyDescent="0.25">
      <c r="A1019" s="15"/>
    </row>
    <row r="1020" spans="1:1" x14ac:dyDescent="0.25">
      <c r="A1020" s="15"/>
    </row>
    <row r="1021" spans="1:1" x14ac:dyDescent="0.25">
      <c r="A1021" s="15"/>
    </row>
    <row r="1022" spans="1:1" x14ac:dyDescent="0.25">
      <c r="A1022" s="15"/>
    </row>
    <row r="1023" spans="1:1" x14ac:dyDescent="0.25">
      <c r="A1023" s="15"/>
    </row>
    <row r="1024" spans="1:1" x14ac:dyDescent="0.25">
      <c r="A1024" s="15"/>
    </row>
    <row r="1025" spans="1:1" x14ac:dyDescent="0.25">
      <c r="A1025" s="15"/>
    </row>
    <row r="1026" spans="1:1" x14ac:dyDescent="0.25">
      <c r="A1026" s="15"/>
    </row>
    <row r="1027" spans="1:1" x14ac:dyDescent="0.25">
      <c r="A1027" s="15"/>
    </row>
    <row r="1028" spans="1:1" x14ac:dyDescent="0.25">
      <c r="A1028" s="15"/>
    </row>
    <row r="1029" spans="1:1" x14ac:dyDescent="0.25">
      <c r="A1029" s="15"/>
    </row>
    <row r="1030" spans="1:1" x14ac:dyDescent="0.25">
      <c r="A1030" s="15"/>
    </row>
    <row r="1031" spans="1:1" x14ac:dyDescent="0.25">
      <c r="A1031" s="15"/>
    </row>
    <row r="1032" spans="1:1" x14ac:dyDescent="0.25">
      <c r="A1032" s="15"/>
    </row>
    <row r="1033" spans="1:1" x14ac:dyDescent="0.25">
      <c r="A1033" s="15"/>
    </row>
    <row r="1034" spans="1:1" x14ac:dyDescent="0.25">
      <c r="A1034" s="15"/>
    </row>
    <row r="1035" spans="1:1" x14ac:dyDescent="0.25">
      <c r="A1035" s="15"/>
    </row>
    <row r="1036" spans="1:1" x14ac:dyDescent="0.25">
      <c r="A1036" s="15"/>
    </row>
    <row r="1037" spans="1:1" x14ac:dyDescent="0.25">
      <c r="A1037" s="15"/>
    </row>
    <row r="1038" spans="1:1" x14ac:dyDescent="0.25">
      <c r="A1038" s="15"/>
    </row>
    <row r="1039" spans="1:1" x14ac:dyDescent="0.25">
      <c r="A1039" s="15"/>
    </row>
    <row r="1040" spans="1:1" x14ac:dyDescent="0.25">
      <c r="A1040" s="15"/>
    </row>
    <row r="1041" spans="1:1" x14ac:dyDescent="0.25">
      <c r="A1041" s="15"/>
    </row>
    <row r="1042" spans="1:1" x14ac:dyDescent="0.25">
      <c r="A1042" s="15"/>
    </row>
    <row r="1043" spans="1:1" x14ac:dyDescent="0.25">
      <c r="A1043" s="15"/>
    </row>
    <row r="1044" spans="1:1" x14ac:dyDescent="0.25">
      <c r="A1044" s="15"/>
    </row>
    <row r="1045" spans="1:1" x14ac:dyDescent="0.25">
      <c r="A1045" s="15"/>
    </row>
    <row r="1046" spans="1:1" x14ac:dyDescent="0.25">
      <c r="A1046" s="15"/>
    </row>
    <row r="1047" spans="1:1" x14ac:dyDescent="0.25">
      <c r="A1047" s="15"/>
    </row>
    <row r="1048" spans="1:1" x14ac:dyDescent="0.25">
      <c r="A1048" s="15"/>
    </row>
    <row r="1049" spans="1:1" x14ac:dyDescent="0.25">
      <c r="A1049" s="15"/>
    </row>
    <row r="1050" spans="1:1" x14ac:dyDescent="0.25">
      <c r="A1050" s="15"/>
    </row>
    <row r="1051" spans="1:1" x14ac:dyDescent="0.25">
      <c r="A1051" s="15"/>
    </row>
    <row r="1052" spans="1:1" x14ac:dyDescent="0.25">
      <c r="A1052" s="15"/>
    </row>
    <row r="1053" spans="1:1" x14ac:dyDescent="0.25">
      <c r="A1053" s="15"/>
    </row>
    <row r="1054" spans="1:1" x14ac:dyDescent="0.25">
      <c r="A1054" s="15"/>
    </row>
    <row r="1055" spans="1:1" x14ac:dyDescent="0.25">
      <c r="A1055" s="15"/>
    </row>
    <row r="1056" spans="1:1" x14ac:dyDescent="0.25">
      <c r="A1056" s="15"/>
    </row>
    <row r="1057" spans="1:1" x14ac:dyDescent="0.25">
      <c r="A1057" s="15"/>
    </row>
    <row r="1058" spans="1:1" x14ac:dyDescent="0.25">
      <c r="A1058" s="15"/>
    </row>
    <row r="1059" spans="1:1" x14ac:dyDescent="0.25">
      <c r="A1059" s="15"/>
    </row>
    <row r="1060" spans="1:1" x14ac:dyDescent="0.25">
      <c r="A1060" s="15"/>
    </row>
    <row r="1061" spans="1:1" x14ac:dyDescent="0.25">
      <c r="A1061" s="15"/>
    </row>
    <row r="1062" spans="1:1" x14ac:dyDescent="0.25">
      <c r="A1062" s="15"/>
    </row>
    <row r="1063" spans="1:1" x14ac:dyDescent="0.25">
      <c r="A1063" s="15"/>
    </row>
    <row r="1064" spans="1:1" x14ac:dyDescent="0.25">
      <c r="A1064" s="15"/>
    </row>
    <row r="1065" spans="1:1" x14ac:dyDescent="0.25">
      <c r="A1065" s="15"/>
    </row>
    <row r="1066" spans="1:1" x14ac:dyDescent="0.25">
      <c r="A1066" s="15"/>
    </row>
    <row r="1067" spans="1:1" x14ac:dyDescent="0.25">
      <c r="A1067" s="15"/>
    </row>
    <row r="1068" spans="1:1" x14ac:dyDescent="0.25">
      <c r="A1068" s="15"/>
    </row>
    <row r="1069" spans="1:1" x14ac:dyDescent="0.25">
      <c r="A1069" s="15"/>
    </row>
    <row r="1070" spans="1:1" x14ac:dyDescent="0.25">
      <c r="A1070" s="15"/>
    </row>
    <row r="1071" spans="1:1" x14ac:dyDescent="0.25">
      <c r="A1071" s="15"/>
    </row>
    <row r="1072" spans="1:1" x14ac:dyDescent="0.25">
      <c r="A1072" s="15"/>
    </row>
    <row r="1073" spans="1:1" x14ac:dyDescent="0.25">
      <c r="A1073" s="15"/>
    </row>
    <row r="1074" spans="1:1" x14ac:dyDescent="0.25">
      <c r="A1074" s="15"/>
    </row>
    <row r="1075" spans="1:1" x14ac:dyDescent="0.25">
      <c r="A1075" s="15"/>
    </row>
    <row r="1076" spans="1:1" x14ac:dyDescent="0.25">
      <c r="A1076" s="15"/>
    </row>
    <row r="1077" spans="1:1" x14ac:dyDescent="0.25">
      <c r="A1077" s="15"/>
    </row>
    <row r="1078" spans="1:1" x14ac:dyDescent="0.25">
      <c r="A1078" s="15"/>
    </row>
    <row r="1079" spans="1:1" x14ac:dyDescent="0.25">
      <c r="A1079" s="15"/>
    </row>
    <row r="1080" spans="1:1" x14ac:dyDescent="0.25">
      <c r="A1080" s="15"/>
    </row>
    <row r="1081" spans="1:1" x14ac:dyDescent="0.25">
      <c r="A1081" s="15"/>
    </row>
    <row r="1082" spans="1:1" x14ac:dyDescent="0.25">
      <c r="A1082" s="15"/>
    </row>
    <row r="1083" spans="1:1" x14ac:dyDescent="0.25">
      <c r="A1083" s="15"/>
    </row>
    <row r="1084" spans="1:1" x14ac:dyDescent="0.25">
      <c r="A1084" s="15"/>
    </row>
    <row r="1085" spans="1:1" x14ac:dyDescent="0.25">
      <c r="A1085" s="15"/>
    </row>
    <row r="1086" spans="1:1" x14ac:dyDescent="0.25">
      <c r="A1086" s="15"/>
    </row>
    <row r="1087" spans="1:1" x14ac:dyDescent="0.25">
      <c r="A1087" s="15"/>
    </row>
    <row r="1088" spans="1:1" x14ac:dyDescent="0.25">
      <c r="A1088" s="15"/>
    </row>
    <row r="1089" spans="1:1" x14ac:dyDescent="0.25">
      <c r="A1089" s="15"/>
    </row>
    <row r="1090" spans="1:1" x14ac:dyDescent="0.25">
      <c r="A1090" s="15"/>
    </row>
    <row r="1091" spans="1:1" x14ac:dyDescent="0.25">
      <c r="A1091" s="15"/>
    </row>
    <row r="1092" spans="1:1" x14ac:dyDescent="0.25">
      <c r="A1092" s="15"/>
    </row>
    <row r="1093" spans="1:1" x14ac:dyDescent="0.25">
      <c r="A1093" s="15"/>
    </row>
    <row r="1094" spans="1:1" x14ac:dyDescent="0.25">
      <c r="A1094" s="15"/>
    </row>
    <row r="1095" spans="1:1" x14ac:dyDescent="0.25">
      <c r="A1095" s="15"/>
    </row>
    <row r="1096" spans="1:1" x14ac:dyDescent="0.25">
      <c r="A1096" s="15"/>
    </row>
    <row r="1097" spans="1:1" x14ac:dyDescent="0.25">
      <c r="A1097" s="15"/>
    </row>
    <row r="1098" spans="1:1" x14ac:dyDescent="0.25">
      <c r="A1098" s="15"/>
    </row>
    <row r="1099" spans="1:1" x14ac:dyDescent="0.25">
      <c r="A1099" s="15"/>
    </row>
    <row r="1100" spans="1:1" x14ac:dyDescent="0.25">
      <c r="A1100" s="15"/>
    </row>
    <row r="1101" spans="1:1" x14ac:dyDescent="0.25">
      <c r="A1101" s="15"/>
    </row>
    <row r="1102" spans="1:1" x14ac:dyDescent="0.25">
      <c r="A1102" s="15"/>
    </row>
    <row r="1103" spans="1:1" x14ac:dyDescent="0.25">
      <c r="A1103" s="15"/>
    </row>
    <row r="1104" spans="1:1" x14ac:dyDescent="0.25">
      <c r="A1104" s="15"/>
    </row>
    <row r="1105" spans="1:1" x14ac:dyDescent="0.25">
      <c r="A1105" s="15"/>
    </row>
    <row r="1106" spans="1:1" x14ac:dyDescent="0.25">
      <c r="A1106" s="15"/>
    </row>
    <row r="1107" spans="1:1" x14ac:dyDescent="0.25">
      <c r="A1107" s="15"/>
    </row>
    <row r="1108" spans="1:1" x14ac:dyDescent="0.25">
      <c r="A1108" s="15"/>
    </row>
    <row r="1109" spans="1:1" x14ac:dyDescent="0.25">
      <c r="A1109" s="15"/>
    </row>
    <row r="1110" spans="1:1" x14ac:dyDescent="0.25">
      <c r="A1110" s="15"/>
    </row>
    <row r="1111" spans="1:1" x14ac:dyDescent="0.25">
      <c r="A1111" s="15"/>
    </row>
    <row r="1112" spans="1:1" x14ac:dyDescent="0.25">
      <c r="A1112" s="15"/>
    </row>
    <row r="1113" spans="1:1" x14ac:dyDescent="0.25">
      <c r="A1113" s="15"/>
    </row>
    <row r="1114" spans="1:1" x14ac:dyDescent="0.25">
      <c r="A1114" s="15"/>
    </row>
    <row r="1115" spans="1:1" x14ac:dyDescent="0.25">
      <c r="A1115" s="15"/>
    </row>
    <row r="1116" spans="1:1" x14ac:dyDescent="0.25">
      <c r="A1116" s="15"/>
    </row>
    <row r="1117" spans="1:1" x14ac:dyDescent="0.25">
      <c r="A1117" s="15"/>
    </row>
    <row r="1118" spans="1:1" x14ac:dyDescent="0.25">
      <c r="A1118" s="15"/>
    </row>
    <row r="1119" spans="1:1" x14ac:dyDescent="0.25">
      <c r="A1119" s="15"/>
    </row>
    <row r="1120" spans="1:1" x14ac:dyDescent="0.25">
      <c r="A1120" s="15"/>
    </row>
    <row r="1121" spans="1:1" x14ac:dyDescent="0.25">
      <c r="A1121" s="15"/>
    </row>
    <row r="1122" spans="1:1" x14ac:dyDescent="0.25">
      <c r="A1122" s="15"/>
    </row>
    <row r="1123" spans="1:1" x14ac:dyDescent="0.25">
      <c r="A1123" s="15"/>
    </row>
    <row r="1124" spans="1:1" x14ac:dyDescent="0.25">
      <c r="A1124" s="15"/>
    </row>
    <row r="1125" spans="1:1" x14ac:dyDescent="0.25">
      <c r="A1125" s="15"/>
    </row>
    <row r="1126" spans="1:1" x14ac:dyDescent="0.25">
      <c r="A1126" s="15"/>
    </row>
    <row r="1127" spans="1:1" x14ac:dyDescent="0.25">
      <c r="A1127" s="15"/>
    </row>
    <row r="1128" spans="1:1" x14ac:dyDescent="0.25">
      <c r="A1128" s="15"/>
    </row>
    <row r="1129" spans="1:1" x14ac:dyDescent="0.25">
      <c r="A1129" s="15"/>
    </row>
    <row r="1130" spans="1:1" x14ac:dyDescent="0.25">
      <c r="A1130" s="15"/>
    </row>
    <row r="1131" spans="1:1" x14ac:dyDescent="0.25">
      <c r="A1131" s="15"/>
    </row>
    <row r="1132" spans="1:1" x14ac:dyDescent="0.25">
      <c r="A1132" s="15"/>
    </row>
    <row r="1133" spans="1:1" x14ac:dyDescent="0.25">
      <c r="A1133" s="15"/>
    </row>
    <row r="1134" spans="1:1" x14ac:dyDescent="0.25">
      <c r="A1134" s="15"/>
    </row>
    <row r="1135" spans="1:1" x14ac:dyDescent="0.25">
      <c r="A1135" s="15"/>
    </row>
    <row r="1136" spans="1:1" x14ac:dyDescent="0.25">
      <c r="A1136" s="15"/>
    </row>
    <row r="1137" spans="1:1" x14ac:dyDescent="0.25">
      <c r="A1137" s="15"/>
    </row>
    <row r="1138" spans="1:1" x14ac:dyDescent="0.25">
      <c r="A1138" s="15"/>
    </row>
    <row r="1139" spans="1:1" x14ac:dyDescent="0.25">
      <c r="A1139" s="15"/>
    </row>
    <row r="1140" spans="1:1" x14ac:dyDescent="0.25">
      <c r="A1140" s="15"/>
    </row>
    <row r="1141" spans="1:1" x14ac:dyDescent="0.25">
      <c r="A1141" s="15"/>
    </row>
    <row r="1142" spans="1:1" x14ac:dyDescent="0.25">
      <c r="A1142" s="15"/>
    </row>
    <row r="1143" spans="1:1" x14ac:dyDescent="0.25">
      <c r="A1143" s="15"/>
    </row>
    <row r="1144" spans="1:1" x14ac:dyDescent="0.25">
      <c r="A1144" s="15"/>
    </row>
    <row r="1145" spans="1:1" x14ac:dyDescent="0.25">
      <c r="A1145" s="15"/>
    </row>
    <row r="1146" spans="1:1" x14ac:dyDescent="0.25">
      <c r="A1146" s="15"/>
    </row>
    <row r="1147" spans="1:1" x14ac:dyDescent="0.25">
      <c r="A1147" s="15"/>
    </row>
    <row r="1148" spans="1:1" x14ac:dyDescent="0.25">
      <c r="A1148" s="15"/>
    </row>
    <row r="1149" spans="1:1" x14ac:dyDescent="0.25">
      <c r="A1149" s="15"/>
    </row>
    <row r="1150" spans="1:1" x14ac:dyDescent="0.25">
      <c r="A1150" s="15"/>
    </row>
    <row r="1151" spans="1:1" x14ac:dyDescent="0.25">
      <c r="A1151" s="15"/>
    </row>
    <row r="1152" spans="1:1" x14ac:dyDescent="0.25">
      <c r="A1152" s="15"/>
    </row>
    <row r="1153" spans="1:1" x14ac:dyDescent="0.25">
      <c r="A1153" s="15"/>
    </row>
    <row r="1154" spans="1:1" x14ac:dyDescent="0.25">
      <c r="A1154" s="15"/>
    </row>
    <row r="1155" spans="1:1" x14ac:dyDescent="0.25">
      <c r="A1155" s="15"/>
    </row>
    <row r="1156" spans="1:1" x14ac:dyDescent="0.25">
      <c r="A1156" s="15"/>
    </row>
    <row r="1157" spans="1:1" x14ac:dyDescent="0.25">
      <c r="A1157" s="15"/>
    </row>
    <row r="1158" spans="1:1" x14ac:dyDescent="0.25">
      <c r="A1158" s="15"/>
    </row>
    <row r="1159" spans="1:1" x14ac:dyDescent="0.25">
      <c r="A1159" s="15"/>
    </row>
    <row r="1160" spans="1:1" x14ac:dyDescent="0.25">
      <c r="A1160" s="15"/>
    </row>
    <row r="1161" spans="1:1" x14ac:dyDescent="0.25">
      <c r="A1161" s="15"/>
    </row>
    <row r="1162" spans="1:1" x14ac:dyDescent="0.25">
      <c r="A1162" s="15"/>
    </row>
    <row r="1163" spans="1:1" x14ac:dyDescent="0.25">
      <c r="A1163" s="15"/>
    </row>
    <row r="1164" spans="1:1" x14ac:dyDescent="0.25">
      <c r="A1164" s="15"/>
    </row>
    <row r="1165" spans="1:1" x14ac:dyDescent="0.25">
      <c r="A1165" s="15"/>
    </row>
    <row r="1166" spans="1:1" x14ac:dyDescent="0.25">
      <c r="A1166" s="15"/>
    </row>
    <row r="1167" spans="1:1" x14ac:dyDescent="0.25">
      <c r="A1167" s="15"/>
    </row>
    <row r="1168" spans="1:1" x14ac:dyDescent="0.25">
      <c r="A1168" s="15"/>
    </row>
    <row r="1169" spans="1:1" x14ac:dyDescent="0.25">
      <c r="A1169" s="15"/>
    </row>
    <row r="1170" spans="1:1" x14ac:dyDescent="0.25">
      <c r="A1170" s="15"/>
    </row>
    <row r="1171" spans="1:1" x14ac:dyDescent="0.25">
      <c r="A1171" s="15"/>
    </row>
    <row r="1172" spans="1:1" x14ac:dyDescent="0.25">
      <c r="A1172" s="15"/>
    </row>
    <row r="1173" spans="1:1" x14ac:dyDescent="0.25">
      <c r="A1173" s="15"/>
    </row>
    <row r="1174" spans="1:1" x14ac:dyDescent="0.25">
      <c r="A1174" s="15"/>
    </row>
    <row r="1175" spans="1:1" x14ac:dyDescent="0.25">
      <c r="A1175" s="15"/>
    </row>
    <row r="1176" spans="1:1" x14ac:dyDescent="0.25">
      <c r="A1176" s="15"/>
    </row>
    <row r="1177" spans="1:1" x14ac:dyDescent="0.25">
      <c r="A1177" s="15"/>
    </row>
    <row r="1178" spans="1:1" x14ac:dyDescent="0.25">
      <c r="A1178" s="15"/>
    </row>
    <row r="1179" spans="1:1" x14ac:dyDescent="0.25">
      <c r="A1179" s="15"/>
    </row>
    <row r="1180" spans="1:1" x14ac:dyDescent="0.25">
      <c r="A1180" s="15"/>
    </row>
    <row r="1181" spans="1:1" x14ac:dyDescent="0.25">
      <c r="A1181" s="15"/>
    </row>
    <row r="1182" spans="1:1" x14ac:dyDescent="0.25">
      <c r="A1182" s="15"/>
    </row>
    <row r="1183" spans="1:1" x14ac:dyDescent="0.25">
      <c r="A1183" s="15"/>
    </row>
    <row r="1184" spans="1:1" x14ac:dyDescent="0.25">
      <c r="A1184" s="15"/>
    </row>
    <row r="1185" spans="1:1" x14ac:dyDescent="0.25">
      <c r="A1185" s="15"/>
    </row>
    <row r="1186" spans="1:1" x14ac:dyDescent="0.25">
      <c r="A1186" s="15"/>
    </row>
    <row r="1187" spans="1:1" x14ac:dyDescent="0.25">
      <c r="A1187" s="15"/>
    </row>
    <row r="1188" spans="1:1" x14ac:dyDescent="0.25">
      <c r="A1188" s="15"/>
    </row>
    <row r="1189" spans="1:1" x14ac:dyDescent="0.25">
      <c r="A1189" s="15"/>
    </row>
    <row r="1190" spans="1:1" x14ac:dyDescent="0.25">
      <c r="A1190" s="15"/>
    </row>
    <row r="1191" spans="1:1" x14ac:dyDescent="0.25">
      <c r="A1191" s="15"/>
    </row>
    <row r="1192" spans="1:1" x14ac:dyDescent="0.25">
      <c r="A1192" s="15"/>
    </row>
    <row r="1193" spans="1:1" x14ac:dyDescent="0.25">
      <c r="A1193" s="15"/>
    </row>
    <row r="1194" spans="1:1" x14ac:dyDescent="0.25">
      <c r="A1194" s="15"/>
    </row>
    <row r="1195" spans="1:1" x14ac:dyDescent="0.25">
      <c r="A1195" s="15"/>
    </row>
    <row r="1196" spans="1:1" x14ac:dyDescent="0.25">
      <c r="A1196" s="15"/>
    </row>
    <row r="1197" spans="1:1" x14ac:dyDescent="0.25">
      <c r="A1197" s="15"/>
    </row>
    <row r="1198" spans="1:1" x14ac:dyDescent="0.25">
      <c r="A1198" s="15"/>
    </row>
    <row r="1199" spans="1:1" x14ac:dyDescent="0.25">
      <c r="A1199" s="15"/>
    </row>
    <row r="1200" spans="1:1" x14ac:dyDescent="0.25">
      <c r="A1200" s="15"/>
    </row>
    <row r="1201" spans="1:1" x14ac:dyDescent="0.25">
      <c r="A1201" s="15"/>
    </row>
    <row r="1202" spans="1:1" x14ac:dyDescent="0.25">
      <c r="A1202" s="15"/>
    </row>
    <row r="1203" spans="1:1" x14ac:dyDescent="0.25">
      <c r="A1203" s="15"/>
    </row>
    <row r="1204" spans="1:1" x14ac:dyDescent="0.25">
      <c r="A1204" s="15"/>
    </row>
    <row r="1205" spans="1:1" x14ac:dyDescent="0.25">
      <c r="A1205" s="15"/>
    </row>
    <row r="1206" spans="1:1" x14ac:dyDescent="0.25">
      <c r="A1206" s="15"/>
    </row>
    <row r="1207" spans="1:1" x14ac:dyDescent="0.25">
      <c r="A1207" s="15"/>
    </row>
    <row r="1208" spans="1:1" x14ac:dyDescent="0.25">
      <c r="A1208" s="15"/>
    </row>
    <row r="1209" spans="1:1" x14ac:dyDescent="0.25">
      <c r="A1209" s="15"/>
    </row>
    <row r="1210" spans="1:1" x14ac:dyDescent="0.25">
      <c r="A1210" s="15"/>
    </row>
    <row r="1211" spans="1:1" x14ac:dyDescent="0.25">
      <c r="A1211" s="15"/>
    </row>
    <row r="1212" spans="1:1" x14ac:dyDescent="0.25">
      <c r="A1212" s="15"/>
    </row>
    <row r="1213" spans="1:1" x14ac:dyDescent="0.25">
      <c r="A1213" s="15"/>
    </row>
    <row r="1214" spans="1:1" x14ac:dyDescent="0.25">
      <c r="A1214" s="15"/>
    </row>
    <row r="1215" spans="1:1" x14ac:dyDescent="0.25">
      <c r="A1215" s="15"/>
    </row>
    <row r="1216" spans="1:1" x14ac:dyDescent="0.25">
      <c r="A1216" s="15"/>
    </row>
    <row r="1217" spans="1:1" x14ac:dyDescent="0.25">
      <c r="A1217" s="15"/>
    </row>
    <row r="1218" spans="1:1" x14ac:dyDescent="0.25">
      <c r="A1218" s="15"/>
    </row>
    <row r="1219" spans="1:1" x14ac:dyDescent="0.25">
      <c r="A1219" s="15"/>
    </row>
    <row r="1220" spans="1:1" x14ac:dyDescent="0.25">
      <c r="A1220" s="15"/>
    </row>
    <row r="1221" spans="1:1" x14ac:dyDescent="0.25">
      <c r="A1221" s="15"/>
    </row>
    <row r="1222" spans="1:1" x14ac:dyDescent="0.25">
      <c r="A1222" s="15"/>
    </row>
    <row r="1223" spans="1:1" x14ac:dyDescent="0.25">
      <c r="A1223" s="15"/>
    </row>
    <row r="1224" spans="1:1" x14ac:dyDescent="0.25">
      <c r="A1224" s="15"/>
    </row>
    <row r="1225" spans="1:1" x14ac:dyDescent="0.25">
      <c r="A1225" s="15"/>
    </row>
    <row r="1226" spans="1:1" x14ac:dyDescent="0.25">
      <c r="A1226" s="15"/>
    </row>
    <row r="1227" spans="1:1" x14ac:dyDescent="0.25">
      <c r="A1227" s="15"/>
    </row>
    <row r="1228" spans="1:1" x14ac:dyDescent="0.25">
      <c r="A1228" s="15"/>
    </row>
    <row r="1229" spans="1:1" x14ac:dyDescent="0.25">
      <c r="A1229" s="15"/>
    </row>
    <row r="1230" spans="1:1" x14ac:dyDescent="0.25">
      <c r="A1230" s="15"/>
    </row>
    <row r="1231" spans="1:1" x14ac:dyDescent="0.25">
      <c r="A1231" s="15"/>
    </row>
    <row r="1232" spans="1:1" x14ac:dyDescent="0.25">
      <c r="A1232" s="15"/>
    </row>
    <row r="1233" spans="1:1" x14ac:dyDescent="0.25">
      <c r="A1233" s="15"/>
    </row>
    <row r="1234" spans="1:1" x14ac:dyDescent="0.25">
      <c r="A1234" s="15"/>
    </row>
    <row r="1235" spans="1:1" x14ac:dyDescent="0.25">
      <c r="A1235" s="15"/>
    </row>
    <row r="1236" spans="1:1" x14ac:dyDescent="0.25">
      <c r="A1236" s="15"/>
    </row>
    <row r="1237" spans="1:1" x14ac:dyDescent="0.25">
      <c r="A1237" s="15"/>
    </row>
    <row r="1238" spans="1:1" x14ac:dyDescent="0.25">
      <c r="A1238" s="15"/>
    </row>
    <row r="1239" spans="1:1" x14ac:dyDescent="0.25">
      <c r="A1239" s="15"/>
    </row>
    <row r="1240" spans="1:1" x14ac:dyDescent="0.25">
      <c r="A1240" s="15"/>
    </row>
    <row r="1241" spans="1:1" x14ac:dyDescent="0.25">
      <c r="A1241" s="15"/>
    </row>
    <row r="1242" spans="1:1" x14ac:dyDescent="0.25">
      <c r="A1242" s="15"/>
    </row>
    <row r="1243" spans="1:1" x14ac:dyDescent="0.25">
      <c r="A1243" s="15"/>
    </row>
    <row r="1244" spans="1:1" x14ac:dyDescent="0.25">
      <c r="A1244" s="15"/>
    </row>
    <row r="1245" spans="1:1" x14ac:dyDescent="0.25">
      <c r="A1245" s="15"/>
    </row>
    <row r="1246" spans="1:1" x14ac:dyDescent="0.25">
      <c r="A1246" s="15"/>
    </row>
    <row r="1247" spans="1:1" x14ac:dyDescent="0.25">
      <c r="A1247" s="15"/>
    </row>
    <row r="1248" spans="1:1" x14ac:dyDescent="0.25">
      <c r="A1248" s="15"/>
    </row>
    <row r="1249" spans="1:1" x14ac:dyDescent="0.25">
      <c r="A1249" s="15"/>
    </row>
    <row r="1250" spans="1:1" x14ac:dyDescent="0.25">
      <c r="A1250" s="15"/>
    </row>
    <row r="1251" spans="1:1" x14ac:dyDescent="0.25">
      <c r="A1251" s="15"/>
    </row>
    <row r="1252" spans="1:1" x14ac:dyDescent="0.25">
      <c r="A1252" s="15"/>
    </row>
    <row r="1253" spans="1:1" x14ac:dyDescent="0.25">
      <c r="A1253" s="15"/>
    </row>
    <row r="1254" spans="1:1" x14ac:dyDescent="0.25">
      <c r="A1254" s="15"/>
    </row>
    <row r="1255" spans="1:1" x14ac:dyDescent="0.25">
      <c r="A1255" s="15"/>
    </row>
    <row r="1256" spans="1:1" x14ac:dyDescent="0.25">
      <c r="A1256" s="15"/>
    </row>
    <row r="1257" spans="1:1" x14ac:dyDescent="0.25">
      <c r="A1257" s="15"/>
    </row>
    <row r="1258" spans="1:1" x14ac:dyDescent="0.25">
      <c r="A1258" s="15"/>
    </row>
    <row r="1259" spans="1:1" x14ac:dyDescent="0.25">
      <c r="A1259" s="15"/>
    </row>
    <row r="1260" spans="1:1" x14ac:dyDescent="0.25">
      <c r="A1260" s="15"/>
    </row>
    <row r="1261" spans="1:1" x14ac:dyDescent="0.25">
      <c r="A1261" s="15"/>
    </row>
    <row r="1262" spans="1:1" x14ac:dyDescent="0.25">
      <c r="A1262" s="15"/>
    </row>
    <row r="1263" spans="1:1" x14ac:dyDescent="0.25">
      <c r="A1263" s="15"/>
    </row>
    <row r="1264" spans="1:1" x14ac:dyDescent="0.25">
      <c r="A1264" s="15"/>
    </row>
    <row r="1265" spans="1:1" x14ac:dyDescent="0.25">
      <c r="A1265" s="15"/>
    </row>
    <row r="1266" spans="1:1" x14ac:dyDescent="0.25">
      <c r="A1266" s="15"/>
    </row>
    <row r="1267" spans="1:1" x14ac:dyDescent="0.25">
      <c r="A1267" s="15"/>
    </row>
    <row r="1268" spans="1:1" x14ac:dyDescent="0.25">
      <c r="A1268" s="15"/>
    </row>
    <row r="1269" spans="1:1" x14ac:dyDescent="0.25">
      <c r="A1269" s="15"/>
    </row>
    <row r="1270" spans="1:1" x14ac:dyDescent="0.25">
      <c r="A1270" s="15"/>
    </row>
    <row r="1271" spans="1:1" x14ac:dyDescent="0.25">
      <c r="A1271" s="15"/>
    </row>
    <row r="1272" spans="1:1" x14ac:dyDescent="0.25">
      <c r="A1272" s="15"/>
    </row>
    <row r="1273" spans="1:1" x14ac:dyDescent="0.25">
      <c r="A1273" s="15"/>
    </row>
    <row r="1274" spans="1:1" x14ac:dyDescent="0.25">
      <c r="A1274" s="15"/>
    </row>
    <row r="1275" spans="1:1" x14ac:dyDescent="0.25">
      <c r="A1275" s="15"/>
    </row>
    <row r="1276" spans="1:1" x14ac:dyDescent="0.25">
      <c r="A1276" s="15"/>
    </row>
    <row r="1277" spans="1:1" x14ac:dyDescent="0.25">
      <c r="A1277" s="15"/>
    </row>
    <row r="1278" spans="1:1" x14ac:dyDescent="0.25">
      <c r="A1278" s="15"/>
    </row>
    <row r="1279" spans="1:1" x14ac:dyDescent="0.25">
      <c r="A1279" s="15"/>
    </row>
    <row r="1280" spans="1:1" x14ac:dyDescent="0.25">
      <c r="A1280" s="15"/>
    </row>
    <row r="1281" spans="1:1" x14ac:dyDescent="0.25">
      <c r="A1281" s="15"/>
    </row>
    <row r="1282" spans="1:1" x14ac:dyDescent="0.25">
      <c r="A1282" s="15"/>
    </row>
    <row r="1283" spans="1:1" x14ac:dyDescent="0.25">
      <c r="A1283" s="15"/>
    </row>
    <row r="1284" spans="1:1" x14ac:dyDescent="0.25">
      <c r="A1284" s="15"/>
    </row>
    <row r="1285" spans="1:1" x14ac:dyDescent="0.25">
      <c r="A1285" s="15"/>
    </row>
    <row r="1286" spans="1:1" x14ac:dyDescent="0.25">
      <c r="A1286" s="15"/>
    </row>
    <row r="1287" spans="1:1" x14ac:dyDescent="0.25">
      <c r="A1287" s="15"/>
    </row>
    <row r="1288" spans="1:1" x14ac:dyDescent="0.25">
      <c r="A1288" s="15"/>
    </row>
    <row r="1289" spans="1:1" x14ac:dyDescent="0.25">
      <c r="A1289" s="15"/>
    </row>
    <row r="1290" spans="1:1" x14ac:dyDescent="0.25">
      <c r="A1290" s="15"/>
    </row>
    <row r="1291" spans="1:1" x14ac:dyDescent="0.25">
      <c r="A1291" s="15"/>
    </row>
    <row r="1292" spans="1:1" x14ac:dyDescent="0.25">
      <c r="A1292" s="15"/>
    </row>
    <row r="1293" spans="1:1" x14ac:dyDescent="0.25">
      <c r="A1293" s="15"/>
    </row>
    <row r="1294" spans="1:1" x14ac:dyDescent="0.25">
      <c r="A1294" s="15"/>
    </row>
    <row r="1295" spans="1:1" x14ac:dyDescent="0.25">
      <c r="A1295" s="15"/>
    </row>
    <row r="1296" spans="1:1" x14ac:dyDescent="0.25">
      <c r="A1296" s="15"/>
    </row>
    <row r="1297" spans="1:1" x14ac:dyDescent="0.25">
      <c r="A1297" s="15"/>
    </row>
    <row r="1298" spans="1:1" x14ac:dyDescent="0.25">
      <c r="A1298" s="15"/>
    </row>
    <row r="1299" spans="1:1" x14ac:dyDescent="0.25">
      <c r="A1299" s="15"/>
    </row>
    <row r="1300" spans="1:1" x14ac:dyDescent="0.25">
      <c r="A1300" s="15"/>
    </row>
    <row r="1301" spans="1:1" x14ac:dyDescent="0.25">
      <c r="A1301" s="15"/>
    </row>
    <row r="1302" spans="1:1" x14ac:dyDescent="0.25">
      <c r="A1302" s="15"/>
    </row>
    <row r="1303" spans="1:1" x14ac:dyDescent="0.25">
      <c r="A1303" s="15"/>
    </row>
    <row r="1304" spans="1:1" x14ac:dyDescent="0.25">
      <c r="A1304" s="15"/>
    </row>
    <row r="1305" spans="1:1" x14ac:dyDescent="0.25">
      <c r="A1305" s="15"/>
    </row>
    <row r="1306" spans="1:1" x14ac:dyDescent="0.25">
      <c r="A1306" s="15"/>
    </row>
    <row r="1307" spans="1:1" x14ac:dyDescent="0.25">
      <c r="A1307" s="15"/>
    </row>
    <row r="1308" spans="1:1" x14ac:dyDescent="0.25">
      <c r="A1308" s="15"/>
    </row>
    <row r="1309" spans="1:1" x14ac:dyDescent="0.25">
      <c r="A1309" s="15"/>
    </row>
    <row r="1310" spans="1:1" x14ac:dyDescent="0.25">
      <c r="A1310" s="15"/>
    </row>
    <row r="1311" spans="1:1" x14ac:dyDescent="0.25">
      <c r="A1311" s="15"/>
    </row>
    <row r="1312" spans="1:1" x14ac:dyDescent="0.25">
      <c r="A1312" s="15"/>
    </row>
    <row r="1313" spans="1:1" x14ac:dyDescent="0.25">
      <c r="A1313" s="15"/>
    </row>
    <row r="1314" spans="1:1" x14ac:dyDescent="0.25">
      <c r="A1314" s="15"/>
    </row>
    <row r="1315" spans="1:1" x14ac:dyDescent="0.25">
      <c r="A1315" s="15"/>
    </row>
    <row r="1316" spans="1:1" x14ac:dyDescent="0.25">
      <c r="A1316" s="15"/>
    </row>
    <row r="1317" spans="1:1" x14ac:dyDescent="0.25">
      <c r="A1317" s="15"/>
    </row>
    <row r="1318" spans="1:1" x14ac:dyDescent="0.25">
      <c r="A1318" s="15"/>
    </row>
    <row r="1319" spans="1:1" x14ac:dyDescent="0.25">
      <c r="A1319" s="15"/>
    </row>
    <row r="1320" spans="1:1" x14ac:dyDescent="0.25">
      <c r="A1320" s="15"/>
    </row>
    <row r="1321" spans="1:1" x14ac:dyDescent="0.25">
      <c r="A1321" s="15"/>
    </row>
    <row r="1322" spans="1:1" x14ac:dyDescent="0.25">
      <c r="A1322" s="15"/>
    </row>
    <row r="1323" spans="1:1" x14ac:dyDescent="0.25">
      <c r="A1323" s="15"/>
    </row>
    <row r="1324" spans="1:1" x14ac:dyDescent="0.25">
      <c r="A1324" s="15"/>
    </row>
    <row r="1325" spans="1:1" x14ac:dyDescent="0.25">
      <c r="A1325" s="15"/>
    </row>
    <row r="1326" spans="1:1" x14ac:dyDescent="0.25">
      <c r="A1326" s="15"/>
    </row>
    <row r="1327" spans="1:1" x14ac:dyDescent="0.25">
      <c r="A1327" s="15"/>
    </row>
    <row r="1328" spans="1:1" x14ac:dyDescent="0.25">
      <c r="A1328" s="15"/>
    </row>
    <row r="1329" spans="1:1" x14ac:dyDescent="0.25">
      <c r="A1329" s="15"/>
    </row>
    <row r="1330" spans="1:1" x14ac:dyDescent="0.25">
      <c r="A1330" s="15"/>
    </row>
    <row r="1331" spans="1:1" x14ac:dyDescent="0.25">
      <c r="A1331" s="15"/>
    </row>
    <row r="1332" spans="1:1" x14ac:dyDescent="0.25">
      <c r="A1332" s="15"/>
    </row>
    <row r="1333" spans="1:1" x14ac:dyDescent="0.25">
      <c r="A1333" s="15"/>
    </row>
    <row r="1334" spans="1:1" x14ac:dyDescent="0.25">
      <c r="A1334" s="15"/>
    </row>
    <row r="1335" spans="1:1" x14ac:dyDescent="0.25">
      <c r="A1335" s="15"/>
    </row>
    <row r="1336" spans="1:1" x14ac:dyDescent="0.25">
      <c r="A1336" s="15"/>
    </row>
    <row r="1337" spans="1:1" x14ac:dyDescent="0.25">
      <c r="A1337" s="15"/>
    </row>
    <row r="1338" spans="1:1" x14ac:dyDescent="0.25">
      <c r="A1338" s="15"/>
    </row>
    <row r="1339" spans="1:1" x14ac:dyDescent="0.25">
      <c r="A1339" s="15"/>
    </row>
    <row r="1340" spans="1:1" x14ac:dyDescent="0.25">
      <c r="A1340" s="15"/>
    </row>
    <row r="1341" spans="1:1" x14ac:dyDescent="0.25">
      <c r="A1341" s="15"/>
    </row>
    <row r="1342" spans="1:1" x14ac:dyDescent="0.25">
      <c r="A1342" s="15"/>
    </row>
    <row r="1343" spans="1:1" x14ac:dyDescent="0.25">
      <c r="A1343" s="15"/>
    </row>
    <row r="1344" spans="1:1" x14ac:dyDescent="0.25">
      <c r="A1344" s="15"/>
    </row>
    <row r="1345" spans="1:1" x14ac:dyDescent="0.25">
      <c r="A1345" s="15"/>
    </row>
    <row r="1346" spans="1:1" x14ac:dyDescent="0.25">
      <c r="A1346" s="15"/>
    </row>
    <row r="1347" spans="1:1" x14ac:dyDescent="0.25">
      <c r="A1347" s="15"/>
    </row>
    <row r="1348" spans="1:1" x14ac:dyDescent="0.25">
      <c r="A1348" s="15"/>
    </row>
    <row r="1349" spans="1:1" x14ac:dyDescent="0.25">
      <c r="A1349" s="15"/>
    </row>
    <row r="1350" spans="1:1" x14ac:dyDescent="0.25">
      <c r="A1350" s="15"/>
    </row>
    <row r="1351" spans="1:1" x14ac:dyDescent="0.25">
      <c r="A1351" s="15"/>
    </row>
    <row r="1352" spans="1:1" x14ac:dyDescent="0.25">
      <c r="A1352" s="15"/>
    </row>
    <row r="1353" spans="1:1" x14ac:dyDescent="0.25">
      <c r="A1353" s="15"/>
    </row>
    <row r="1354" spans="1:1" x14ac:dyDescent="0.25">
      <c r="A1354" s="15"/>
    </row>
    <row r="1355" spans="1:1" x14ac:dyDescent="0.25">
      <c r="A1355" s="15"/>
    </row>
    <row r="1356" spans="1:1" x14ac:dyDescent="0.25">
      <c r="A1356" s="15"/>
    </row>
    <row r="1357" spans="1:1" x14ac:dyDescent="0.25">
      <c r="A1357" s="15"/>
    </row>
    <row r="1358" spans="1:1" x14ac:dyDescent="0.25">
      <c r="A1358" s="15"/>
    </row>
    <row r="1359" spans="1:1" x14ac:dyDescent="0.25">
      <c r="A1359" s="15"/>
    </row>
    <row r="1360" spans="1:1" x14ac:dyDescent="0.25">
      <c r="A1360" s="15"/>
    </row>
    <row r="1361" spans="1:1" x14ac:dyDescent="0.25">
      <c r="A1361" s="15"/>
    </row>
    <row r="1362" spans="1:1" x14ac:dyDescent="0.25">
      <c r="A1362" s="15"/>
    </row>
    <row r="1363" spans="1:1" x14ac:dyDescent="0.25">
      <c r="A1363" s="15"/>
    </row>
    <row r="1364" spans="1:1" x14ac:dyDescent="0.25">
      <c r="A1364" s="15"/>
    </row>
    <row r="1365" spans="1:1" x14ac:dyDescent="0.25">
      <c r="A1365" s="15"/>
    </row>
    <row r="1366" spans="1:1" x14ac:dyDescent="0.25">
      <c r="A1366" s="15"/>
    </row>
    <row r="1367" spans="1:1" x14ac:dyDescent="0.25">
      <c r="A1367" s="15"/>
    </row>
    <row r="1368" spans="1:1" x14ac:dyDescent="0.25">
      <c r="A1368" s="15"/>
    </row>
    <row r="1369" spans="1:1" x14ac:dyDescent="0.25">
      <c r="A1369" s="15"/>
    </row>
    <row r="1370" spans="1:1" x14ac:dyDescent="0.25">
      <c r="A1370" s="15"/>
    </row>
    <row r="1371" spans="1:1" x14ac:dyDescent="0.25">
      <c r="A1371" s="15"/>
    </row>
    <row r="1372" spans="1:1" x14ac:dyDescent="0.25">
      <c r="A1372" s="15"/>
    </row>
    <row r="1373" spans="1:1" x14ac:dyDescent="0.25">
      <c r="A1373" s="15"/>
    </row>
    <row r="1374" spans="1:1" x14ac:dyDescent="0.25">
      <c r="A1374" s="15"/>
    </row>
    <row r="1375" spans="1:1" x14ac:dyDescent="0.25">
      <c r="A1375" s="15"/>
    </row>
    <row r="1376" spans="1:1" x14ac:dyDescent="0.25">
      <c r="A1376" s="15"/>
    </row>
    <row r="1377" spans="1:1" x14ac:dyDescent="0.25">
      <c r="A1377" s="15"/>
    </row>
    <row r="1378" spans="1:1" x14ac:dyDescent="0.25">
      <c r="A1378" s="15"/>
    </row>
    <row r="1379" spans="1:1" x14ac:dyDescent="0.25">
      <c r="A1379" s="15"/>
    </row>
    <row r="1380" spans="1:1" x14ac:dyDescent="0.25">
      <c r="A1380" s="15"/>
    </row>
    <row r="1381" spans="1:1" x14ac:dyDescent="0.25">
      <c r="A1381" s="15"/>
    </row>
    <row r="1382" spans="1:1" x14ac:dyDescent="0.25">
      <c r="A1382" s="15"/>
    </row>
    <row r="1383" spans="1:1" x14ac:dyDescent="0.25">
      <c r="A1383" s="15"/>
    </row>
    <row r="1384" spans="1:1" x14ac:dyDescent="0.25">
      <c r="A1384" s="15"/>
    </row>
    <row r="1385" spans="1:1" x14ac:dyDescent="0.25">
      <c r="A1385" s="15"/>
    </row>
    <row r="1386" spans="1:1" x14ac:dyDescent="0.25">
      <c r="A1386" s="15"/>
    </row>
    <row r="1387" spans="1:1" x14ac:dyDescent="0.25">
      <c r="A1387" s="15"/>
    </row>
    <row r="1388" spans="1:1" x14ac:dyDescent="0.25">
      <c r="A1388" s="15"/>
    </row>
    <row r="1389" spans="1:1" x14ac:dyDescent="0.25">
      <c r="A1389" s="15"/>
    </row>
    <row r="1390" spans="1:1" x14ac:dyDescent="0.25">
      <c r="A1390" s="15"/>
    </row>
    <row r="1391" spans="1:1" x14ac:dyDescent="0.25">
      <c r="A1391" s="15"/>
    </row>
    <row r="1392" spans="1:1" x14ac:dyDescent="0.25">
      <c r="A1392" s="15"/>
    </row>
    <row r="1393" spans="1:1" x14ac:dyDescent="0.25">
      <c r="A1393" s="15"/>
    </row>
    <row r="1394" spans="1:1" x14ac:dyDescent="0.25">
      <c r="A1394" s="15"/>
    </row>
    <row r="1395" spans="1:1" x14ac:dyDescent="0.25">
      <c r="A1395" s="15"/>
    </row>
    <row r="1396" spans="1:1" x14ac:dyDescent="0.25">
      <c r="A1396" s="15"/>
    </row>
    <row r="1397" spans="1:1" x14ac:dyDescent="0.25">
      <c r="A1397" s="15"/>
    </row>
    <row r="1398" spans="1:1" x14ac:dyDescent="0.25">
      <c r="A1398" s="15"/>
    </row>
    <row r="1399" spans="1:1" x14ac:dyDescent="0.25">
      <c r="A1399" s="15"/>
    </row>
    <row r="1400" spans="1:1" x14ac:dyDescent="0.25">
      <c r="A1400" s="15"/>
    </row>
    <row r="1401" spans="1:1" x14ac:dyDescent="0.25">
      <c r="A1401" s="15"/>
    </row>
    <row r="1402" spans="1:1" x14ac:dyDescent="0.25">
      <c r="A1402" s="15"/>
    </row>
    <row r="1403" spans="1:1" x14ac:dyDescent="0.25">
      <c r="A1403" s="15"/>
    </row>
    <row r="1404" spans="1:1" x14ac:dyDescent="0.25">
      <c r="A1404" s="15"/>
    </row>
    <row r="1405" spans="1:1" x14ac:dyDescent="0.25">
      <c r="A1405" s="15"/>
    </row>
    <row r="1406" spans="1:1" x14ac:dyDescent="0.25">
      <c r="A1406" s="15"/>
    </row>
    <row r="1407" spans="1:1" x14ac:dyDescent="0.25">
      <c r="A1407" s="15"/>
    </row>
    <row r="1408" spans="1:1" x14ac:dyDescent="0.25">
      <c r="A1408" s="15"/>
    </row>
    <row r="1409" spans="1:1" x14ac:dyDescent="0.25">
      <c r="A1409" s="15"/>
    </row>
    <row r="1410" spans="1:1" x14ac:dyDescent="0.25">
      <c r="A1410" s="15"/>
    </row>
    <row r="1411" spans="1:1" x14ac:dyDescent="0.25">
      <c r="A1411" s="15"/>
    </row>
    <row r="1412" spans="1:1" x14ac:dyDescent="0.25">
      <c r="A1412" s="15"/>
    </row>
    <row r="1413" spans="1:1" x14ac:dyDescent="0.25">
      <c r="A1413" s="15"/>
    </row>
    <row r="1414" spans="1:1" x14ac:dyDescent="0.25">
      <c r="A1414" s="15"/>
    </row>
    <row r="1415" spans="1:1" x14ac:dyDescent="0.25">
      <c r="A1415" s="15"/>
    </row>
    <row r="1416" spans="1:1" x14ac:dyDescent="0.25">
      <c r="A1416" s="15"/>
    </row>
    <row r="1417" spans="1:1" x14ac:dyDescent="0.25">
      <c r="A1417" s="15"/>
    </row>
    <row r="1418" spans="1:1" x14ac:dyDescent="0.25">
      <c r="A1418" s="15"/>
    </row>
    <row r="1419" spans="1:1" x14ac:dyDescent="0.25">
      <c r="A1419" s="15"/>
    </row>
    <row r="1420" spans="1:1" x14ac:dyDescent="0.25">
      <c r="A1420" s="15"/>
    </row>
    <row r="1421" spans="1:1" x14ac:dyDescent="0.25">
      <c r="A1421" s="15"/>
    </row>
    <row r="1422" spans="1:1" x14ac:dyDescent="0.25">
      <c r="A1422" s="15"/>
    </row>
    <row r="1423" spans="1:1" x14ac:dyDescent="0.25">
      <c r="A1423" s="15"/>
    </row>
    <row r="1424" spans="1:1" x14ac:dyDescent="0.25">
      <c r="A1424" s="15"/>
    </row>
    <row r="1425" spans="1:1" x14ac:dyDescent="0.25">
      <c r="A1425" s="15"/>
    </row>
    <row r="1426" spans="1:1" x14ac:dyDescent="0.25">
      <c r="A1426" s="15"/>
    </row>
    <row r="1427" spans="1:1" x14ac:dyDescent="0.25">
      <c r="A1427" s="15"/>
    </row>
    <row r="1428" spans="1:1" x14ac:dyDescent="0.25">
      <c r="A1428" s="15"/>
    </row>
    <row r="1429" spans="1:1" x14ac:dyDescent="0.25">
      <c r="A1429" s="15"/>
    </row>
    <row r="1430" spans="1:1" x14ac:dyDescent="0.25">
      <c r="A1430" s="15"/>
    </row>
    <row r="1431" spans="1:1" x14ac:dyDescent="0.25">
      <c r="A1431" s="15"/>
    </row>
    <row r="1432" spans="1:1" x14ac:dyDescent="0.25">
      <c r="A1432" s="15"/>
    </row>
    <row r="1433" spans="1:1" x14ac:dyDescent="0.25">
      <c r="A1433" s="15"/>
    </row>
    <row r="1434" spans="1:1" x14ac:dyDescent="0.25">
      <c r="A1434" s="15"/>
    </row>
    <row r="1435" spans="1:1" x14ac:dyDescent="0.25">
      <c r="A1435" s="15"/>
    </row>
    <row r="1436" spans="1:1" x14ac:dyDescent="0.25">
      <c r="A1436" s="15"/>
    </row>
    <row r="1437" spans="1:1" x14ac:dyDescent="0.25">
      <c r="A1437" s="15"/>
    </row>
    <row r="1438" spans="1:1" x14ac:dyDescent="0.25">
      <c r="A1438" s="15"/>
    </row>
    <row r="1439" spans="1:1" x14ac:dyDescent="0.25">
      <c r="A1439" s="15"/>
    </row>
    <row r="1440" spans="1:1" x14ac:dyDescent="0.25">
      <c r="A1440" s="15"/>
    </row>
    <row r="1441" spans="1:1" x14ac:dyDescent="0.25">
      <c r="A1441" s="15"/>
    </row>
    <row r="1442" spans="1:1" x14ac:dyDescent="0.25">
      <c r="A1442" s="15"/>
    </row>
    <row r="1443" spans="1:1" x14ac:dyDescent="0.25">
      <c r="A1443" s="15"/>
    </row>
    <row r="1444" spans="1:1" x14ac:dyDescent="0.25">
      <c r="A1444" s="15"/>
    </row>
    <row r="1445" spans="1:1" x14ac:dyDescent="0.25">
      <c r="A1445" s="15"/>
    </row>
    <row r="1446" spans="1:1" x14ac:dyDescent="0.25">
      <c r="A1446" s="15"/>
    </row>
    <row r="1447" spans="1:1" x14ac:dyDescent="0.25">
      <c r="A1447" s="15"/>
    </row>
    <row r="1448" spans="1:1" x14ac:dyDescent="0.25">
      <c r="A1448" s="15"/>
    </row>
    <row r="1449" spans="1:1" x14ac:dyDescent="0.25">
      <c r="A1449" s="15"/>
    </row>
    <row r="1450" spans="1:1" x14ac:dyDescent="0.25">
      <c r="A1450" s="15"/>
    </row>
    <row r="1451" spans="1:1" x14ac:dyDescent="0.25">
      <c r="A1451" s="15"/>
    </row>
    <row r="1452" spans="1:1" x14ac:dyDescent="0.25">
      <c r="A1452" s="15"/>
    </row>
    <row r="1453" spans="1:1" x14ac:dyDescent="0.25">
      <c r="A1453" s="15"/>
    </row>
    <row r="1454" spans="1:1" x14ac:dyDescent="0.25">
      <c r="A1454" s="15"/>
    </row>
    <row r="1455" spans="1:1" x14ac:dyDescent="0.25">
      <c r="A1455" s="15"/>
    </row>
    <row r="1456" spans="1:1" x14ac:dyDescent="0.25">
      <c r="A1456" s="15"/>
    </row>
    <row r="1457" spans="1:1" x14ac:dyDescent="0.25">
      <c r="A1457" s="15"/>
    </row>
    <row r="1458" spans="1:1" x14ac:dyDescent="0.25">
      <c r="A1458" s="15"/>
    </row>
    <row r="1459" spans="1:1" x14ac:dyDescent="0.25">
      <c r="A1459" s="15"/>
    </row>
    <row r="1460" spans="1:1" x14ac:dyDescent="0.25">
      <c r="A1460" s="15"/>
    </row>
    <row r="1461" spans="1:1" x14ac:dyDescent="0.25">
      <c r="A1461" s="15"/>
    </row>
    <row r="1462" spans="1:1" x14ac:dyDescent="0.25">
      <c r="A1462" s="15"/>
    </row>
    <row r="1463" spans="1:1" x14ac:dyDescent="0.25">
      <c r="A1463" s="15"/>
    </row>
    <row r="1464" spans="1:1" x14ac:dyDescent="0.25">
      <c r="A1464" s="15"/>
    </row>
    <row r="1465" spans="1:1" x14ac:dyDescent="0.25">
      <c r="A1465" s="15"/>
    </row>
    <row r="1466" spans="1:1" x14ac:dyDescent="0.25">
      <c r="A1466" s="15"/>
    </row>
    <row r="1467" spans="1:1" x14ac:dyDescent="0.25">
      <c r="A1467" s="15"/>
    </row>
    <row r="1468" spans="1:1" x14ac:dyDescent="0.25">
      <c r="A1468" s="15"/>
    </row>
    <row r="1469" spans="1:1" x14ac:dyDescent="0.25">
      <c r="A1469" s="15"/>
    </row>
    <row r="1470" spans="1:1" x14ac:dyDescent="0.25">
      <c r="A1470" s="15"/>
    </row>
    <row r="1471" spans="1:1" x14ac:dyDescent="0.25">
      <c r="A1471" s="15"/>
    </row>
    <row r="1472" spans="1:1" x14ac:dyDescent="0.25">
      <c r="A1472" s="15"/>
    </row>
    <row r="1473" spans="1:1" x14ac:dyDescent="0.25">
      <c r="A1473" s="15"/>
    </row>
    <row r="1474" spans="1:1" x14ac:dyDescent="0.25">
      <c r="A1474" s="15"/>
    </row>
    <row r="1475" spans="1:1" x14ac:dyDescent="0.25">
      <c r="A1475" s="15"/>
    </row>
    <row r="1476" spans="1:1" x14ac:dyDescent="0.25">
      <c r="A1476" s="15"/>
    </row>
    <row r="1477" spans="1:1" x14ac:dyDescent="0.25">
      <c r="A1477" s="15"/>
    </row>
    <row r="1478" spans="1:1" x14ac:dyDescent="0.25">
      <c r="A1478" s="15"/>
    </row>
    <row r="1479" spans="1:1" x14ac:dyDescent="0.25">
      <c r="A1479" s="15"/>
    </row>
    <row r="1480" spans="1:1" x14ac:dyDescent="0.25">
      <c r="A1480" s="15"/>
    </row>
    <row r="1481" spans="1:1" x14ac:dyDescent="0.25">
      <c r="A1481" s="15"/>
    </row>
    <row r="1482" spans="1:1" x14ac:dyDescent="0.25">
      <c r="A1482" s="15"/>
    </row>
    <row r="1483" spans="1:1" x14ac:dyDescent="0.25">
      <c r="A1483" s="15"/>
    </row>
    <row r="1484" spans="1:1" x14ac:dyDescent="0.25">
      <c r="A1484" s="15"/>
    </row>
    <row r="1485" spans="1:1" x14ac:dyDescent="0.25">
      <c r="A1485" s="15"/>
    </row>
    <row r="1486" spans="1:1" x14ac:dyDescent="0.25">
      <c r="A1486" s="15"/>
    </row>
    <row r="1487" spans="1:1" x14ac:dyDescent="0.25">
      <c r="A1487" s="15"/>
    </row>
    <row r="1488" spans="1:1" x14ac:dyDescent="0.25">
      <c r="A1488" s="15"/>
    </row>
    <row r="1489" spans="1:1" x14ac:dyDescent="0.25">
      <c r="A1489" s="15"/>
    </row>
    <row r="1490" spans="1:1" x14ac:dyDescent="0.25">
      <c r="A1490" s="15"/>
    </row>
    <row r="1491" spans="1:1" x14ac:dyDescent="0.25">
      <c r="A1491" s="15"/>
    </row>
    <row r="1492" spans="1:1" x14ac:dyDescent="0.25">
      <c r="A1492" s="15"/>
    </row>
    <row r="1493" spans="1:1" x14ac:dyDescent="0.25">
      <c r="A1493" s="15"/>
    </row>
    <row r="1494" spans="1:1" x14ac:dyDescent="0.25">
      <c r="A1494" s="15"/>
    </row>
    <row r="1495" spans="1:1" x14ac:dyDescent="0.25">
      <c r="A1495" s="15"/>
    </row>
    <row r="1496" spans="1:1" x14ac:dyDescent="0.25">
      <c r="A1496" s="15"/>
    </row>
    <row r="1497" spans="1:1" x14ac:dyDescent="0.25">
      <c r="A1497" s="15"/>
    </row>
    <row r="1498" spans="1:1" x14ac:dyDescent="0.25">
      <c r="A1498" s="15"/>
    </row>
    <row r="1499" spans="1:1" x14ac:dyDescent="0.25">
      <c r="A1499" s="15"/>
    </row>
    <row r="1500" spans="1:1" x14ac:dyDescent="0.25">
      <c r="A1500" s="15"/>
    </row>
    <row r="1501" spans="1:1" x14ac:dyDescent="0.25">
      <c r="A1501" s="15"/>
    </row>
    <row r="1502" spans="1:1" x14ac:dyDescent="0.25">
      <c r="A1502" s="15"/>
    </row>
    <row r="1503" spans="1:1" x14ac:dyDescent="0.25">
      <c r="A1503" s="15"/>
    </row>
    <row r="1504" spans="1:1" x14ac:dyDescent="0.25">
      <c r="A1504" s="15"/>
    </row>
    <row r="1505" spans="1:1" x14ac:dyDescent="0.25">
      <c r="A1505" s="15"/>
    </row>
    <row r="1506" spans="1:1" x14ac:dyDescent="0.25">
      <c r="A1506" s="15"/>
    </row>
    <row r="1507" spans="1:1" x14ac:dyDescent="0.25">
      <c r="A1507" s="15"/>
    </row>
    <row r="1508" spans="1:1" x14ac:dyDescent="0.25">
      <c r="A1508" s="15"/>
    </row>
    <row r="1509" spans="1:1" x14ac:dyDescent="0.25">
      <c r="A1509" s="15"/>
    </row>
    <row r="1510" spans="1:1" x14ac:dyDescent="0.25">
      <c r="A1510" s="15"/>
    </row>
    <row r="1511" spans="1:1" x14ac:dyDescent="0.25">
      <c r="A1511" s="15"/>
    </row>
    <row r="1512" spans="1:1" x14ac:dyDescent="0.25">
      <c r="A1512" s="15"/>
    </row>
    <row r="1513" spans="1:1" x14ac:dyDescent="0.25">
      <c r="A1513" s="15"/>
    </row>
    <row r="1514" spans="1:1" x14ac:dyDescent="0.25">
      <c r="A1514" s="15"/>
    </row>
    <row r="1515" spans="1:1" x14ac:dyDescent="0.25">
      <c r="A1515" s="15"/>
    </row>
    <row r="1516" spans="1:1" x14ac:dyDescent="0.25">
      <c r="A1516" s="15"/>
    </row>
    <row r="1517" spans="1:1" x14ac:dyDescent="0.25">
      <c r="A1517" s="15"/>
    </row>
    <row r="1518" spans="1:1" x14ac:dyDescent="0.25">
      <c r="A1518" s="15"/>
    </row>
    <row r="1519" spans="1:1" x14ac:dyDescent="0.25">
      <c r="A1519" s="15"/>
    </row>
    <row r="1520" spans="1:1" x14ac:dyDescent="0.25">
      <c r="A1520" s="15"/>
    </row>
    <row r="1521" spans="1:1" x14ac:dyDescent="0.25">
      <c r="A1521" s="15"/>
    </row>
    <row r="1522" spans="1:1" x14ac:dyDescent="0.25">
      <c r="A1522" s="15"/>
    </row>
    <row r="1523" spans="1:1" x14ac:dyDescent="0.25">
      <c r="A1523" s="15"/>
    </row>
    <row r="1524" spans="1:1" x14ac:dyDescent="0.25">
      <c r="A1524" s="15"/>
    </row>
    <row r="1525" spans="1:1" x14ac:dyDescent="0.25">
      <c r="A1525" s="15"/>
    </row>
    <row r="1526" spans="1:1" x14ac:dyDescent="0.25">
      <c r="A1526" s="15"/>
    </row>
    <row r="1527" spans="1:1" x14ac:dyDescent="0.25">
      <c r="A1527" s="15"/>
    </row>
    <row r="1528" spans="1:1" x14ac:dyDescent="0.25">
      <c r="A1528" s="15"/>
    </row>
    <row r="1529" spans="1:1" x14ac:dyDescent="0.25">
      <c r="A1529" s="15"/>
    </row>
    <row r="1530" spans="1:1" x14ac:dyDescent="0.25">
      <c r="A1530" s="15"/>
    </row>
    <row r="1531" spans="1:1" x14ac:dyDescent="0.25">
      <c r="A1531" s="15"/>
    </row>
    <row r="1532" spans="1:1" x14ac:dyDescent="0.25">
      <c r="A1532" s="15"/>
    </row>
    <row r="1533" spans="1:1" x14ac:dyDescent="0.25">
      <c r="A1533" s="15"/>
    </row>
    <row r="1534" spans="1:1" x14ac:dyDescent="0.25">
      <c r="A1534" s="15"/>
    </row>
    <row r="1535" spans="1:1" x14ac:dyDescent="0.25">
      <c r="A1535" s="15"/>
    </row>
    <row r="1536" spans="1:1" x14ac:dyDescent="0.25">
      <c r="A1536" s="15"/>
    </row>
    <row r="1537" spans="1:1" x14ac:dyDescent="0.25">
      <c r="A1537" s="15"/>
    </row>
    <row r="1538" spans="1:1" x14ac:dyDescent="0.25">
      <c r="A1538" s="15"/>
    </row>
    <row r="1539" spans="1:1" x14ac:dyDescent="0.25">
      <c r="A1539" s="15"/>
    </row>
    <row r="1540" spans="1:1" x14ac:dyDescent="0.25">
      <c r="A1540" s="15"/>
    </row>
    <row r="1541" spans="1:1" x14ac:dyDescent="0.25">
      <c r="A1541" s="15"/>
    </row>
    <row r="1542" spans="1:1" x14ac:dyDescent="0.25">
      <c r="A1542" s="15"/>
    </row>
    <row r="1543" spans="1:1" x14ac:dyDescent="0.25">
      <c r="A1543" s="15"/>
    </row>
    <row r="1544" spans="1:1" x14ac:dyDescent="0.25">
      <c r="A1544" s="15"/>
    </row>
    <row r="1545" spans="1:1" x14ac:dyDescent="0.25">
      <c r="A1545" s="15"/>
    </row>
    <row r="1546" spans="1:1" x14ac:dyDescent="0.25">
      <c r="A1546" s="15"/>
    </row>
    <row r="1547" spans="1:1" x14ac:dyDescent="0.25">
      <c r="A1547" s="15"/>
    </row>
    <row r="1548" spans="1:1" x14ac:dyDescent="0.25">
      <c r="A1548" s="15"/>
    </row>
    <row r="1549" spans="1:1" x14ac:dyDescent="0.25">
      <c r="A1549" s="15"/>
    </row>
    <row r="1550" spans="1:1" x14ac:dyDescent="0.25">
      <c r="A1550" s="15"/>
    </row>
    <row r="1551" spans="1:1" x14ac:dyDescent="0.25">
      <c r="A1551" s="15"/>
    </row>
    <row r="1552" spans="1:1" x14ac:dyDescent="0.25">
      <c r="A1552" s="15"/>
    </row>
    <row r="1553" spans="1:1" x14ac:dyDescent="0.25">
      <c r="A1553" s="15"/>
    </row>
    <row r="1554" spans="1:1" x14ac:dyDescent="0.25">
      <c r="A1554" s="15"/>
    </row>
    <row r="1555" spans="1:1" x14ac:dyDescent="0.25">
      <c r="A1555" s="15"/>
    </row>
    <row r="1556" spans="1:1" x14ac:dyDescent="0.25">
      <c r="A1556" s="15"/>
    </row>
    <row r="1557" spans="1:1" x14ac:dyDescent="0.25">
      <c r="A1557" s="15"/>
    </row>
    <row r="1558" spans="1:1" x14ac:dyDescent="0.25">
      <c r="A1558" s="15"/>
    </row>
    <row r="1559" spans="1:1" x14ac:dyDescent="0.25">
      <c r="A1559" s="15"/>
    </row>
    <row r="1560" spans="1:1" x14ac:dyDescent="0.25">
      <c r="A1560" s="15"/>
    </row>
    <row r="1561" spans="1:1" x14ac:dyDescent="0.25">
      <c r="A1561" s="15"/>
    </row>
    <row r="1562" spans="1:1" x14ac:dyDescent="0.25">
      <c r="A1562" s="15"/>
    </row>
    <row r="1563" spans="1:1" x14ac:dyDescent="0.25">
      <c r="A1563" s="15"/>
    </row>
    <row r="1564" spans="1:1" x14ac:dyDescent="0.25">
      <c r="A1564" s="15"/>
    </row>
    <row r="1565" spans="1:1" x14ac:dyDescent="0.25">
      <c r="A1565" s="15"/>
    </row>
    <row r="1566" spans="1:1" x14ac:dyDescent="0.25">
      <c r="A1566" s="15"/>
    </row>
    <row r="1567" spans="1:1" x14ac:dyDescent="0.25">
      <c r="A1567" s="15"/>
    </row>
    <row r="1568" spans="1:1" x14ac:dyDescent="0.25">
      <c r="A1568" s="15"/>
    </row>
    <row r="1569" spans="1:1" x14ac:dyDescent="0.25">
      <c r="A1569" s="15"/>
    </row>
    <row r="1570" spans="1:1" x14ac:dyDescent="0.25">
      <c r="A1570" s="15"/>
    </row>
    <row r="1571" spans="1:1" x14ac:dyDescent="0.25">
      <c r="A1571" s="15"/>
    </row>
    <row r="1572" spans="1:1" x14ac:dyDescent="0.25">
      <c r="A1572" s="15"/>
    </row>
    <row r="1573" spans="1:1" x14ac:dyDescent="0.25">
      <c r="A1573" s="15"/>
    </row>
    <row r="1574" spans="1:1" x14ac:dyDescent="0.25">
      <c r="A1574" s="15"/>
    </row>
    <row r="1575" spans="1:1" x14ac:dyDescent="0.25">
      <c r="A1575" s="15"/>
    </row>
    <row r="1576" spans="1:1" x14ac:dyDescent="0.25">
      <c r="A1576" s="15"/>
    </row>
    <row r="1577" spans="1:1" x14ac:dyDescent="0.25">
      <c r="A1577" s="15"/>
    </row>
    <row r="1578" spans="1:1" x14ac:dyDescent="0.25">
      <c r="A1578" s="15"/>
    </row>
    <row r="1579" spans="1:1" x14ac:dyDescent="0.25">
      <c r="A1579" s="15"/>
    </row>
    <row r="1580" spans="1:1" x14ac:dyDescent="0.25">
      <c r="A1580" s="15"/>
    </row>
    <row r="1581" spans="1:1" x14ac:dyDescent="0.25">
      <c r="A1581" s="15"/>
    </row>
    <row r="1582" spans="1:1" x14ac:dyDescent="0.25">
      <c r="A1582" s="15"/>
    </row>
    <row r="1583" spans="1:1" x14ac:dyDescent="0.25">
      <c r="A1583" s="15"/>
    </row>
    <row r="1584" spans="1:1" x14ac:dyDescent="0.25">
      <c r="A1584" s="15"/>
    </row>
    <row r="1585" spans="1:1" x14ac:dyDescent="0.25">
      <c r="A1585" s="15"/>
    </row>
    <row r="1586" spans="1:1" x14ac:dyDescent="0.25">
      <c r="A1586" s="15"/>
    </row>
    <row r="1587" spans="1:1" x14ac:dyDescent="0.25">
      <c r="A1587" s="15"/>
    </row>
    <row r="1588" spans="1:1" x14ac:dyDescent="0.25">
      <c r="A1588" s="15"/>
    </row>
    <row r="1589" spans="1:1" x14ac:dyDescent="0.25">
      <c r="A1589" s="15"/>
    </row>
    <row r="1590" spans="1:1" x14ac:dyDescent="0.25">
      <c r="A1590" s="15"/>
    </row>
    <row r="1591" spans="1:1" x14ac:dyDescent="0.25">
      <c r="A1591" s="15"/>
    </row>
    <row r="1592" spans="1:1" x14ac:dyDescent="0.25">
      <c r="A1592" s="15"/>
    </row>
    <row r="1593" spans="1:1" x14ac:dyDescent="0.25">
      <c r="A1593" s="15"/>
    </row>
    <row r="1594" spans="1:1" x14ac:dyDescent="0.25">
      <c r="A1594" s="15"/>
    </row>
    <row r="1595" spans="1:1" x14ac:dyDescent="0.25">
      <c r="A1595" s="15"/>
    </row>
    <row r="1596" spans="1:1" x14ac:dyDescent="0.25">
      <c r="A1596" s="15"/>
    </row>
    <row r="1597" spans="1:1" x14ac:dyDescent="0.25">
      <c r="A1597" s="15"/>
    </row>
    <row r="1598" spans="1:1" x14ac:dyDescent="0.25">
      <c r="A1598" s="15"/>
    </row>
    <row r="1599" spans="1:1" x14ac:dyDescent="0.25">
      <c r="A1599" s="15"/>
    </row>
    <row r="1600" spans="1:1" x14ac:dyDescent="0.25">
      <c r="A1600" s="15"/>
    </row>
    <row r="1601" spans="1:1" x14ac:dyDescent="0.25">
      <c r="A1601" s="15"/>
    </row>
    <row r="1602" spans="1:1" x14ac:dyDescent="0.25">
      <c r="A1602" s="15"/>
    </row>
    <row r="1603" spans="1:1" x14ac:dyDescent="0.25">
      <c r="A1603" s="15"/>
    </row>
    <row r="1604" spans="1:1" x14ac:dyDescent="0.25">
      <c r="A1604" s="15"/>
    </row>
    <row r="1605" spans="1:1" x14ac:dyDescent="0.25">
      <c r="A1605" s="15"/>
    </row>
    <row r="1606" spans="1:1" x14ac:dyDescent="0.25">
      <c r="A1606" s="15"/>
    </row>
    <row r="1607" spans="1:1" x14ac:dyDescent="0.25">
      <c r="A1607" s="15"/>
    </row>
    <row r="1608" spans="1:1" x14ac:dyDescent="0.25">
      <c r="A1608" s="15"/>
    </row>
    <row r="1609" spans="1:1" x14ac:dyDescent="0.25">
      <c r="A1609" s="15"/>
    </row>
    <row r="1610" spans="1:1" x14ac:dyDescent="0.25">
      <c r="A1610" s="15"/>
    </row>
    <row r="1611" spans="1:1" x14ac:dyDescent="0.25">
      <c r="A1611" s="15"/>
    </row>
    <row r="1612" spans="1:1" x14ac:dyDescent="0.25">
      <c r="A1612" s="15"/>
    </row>
    <row r="1613" spans="1:1" x14ac:dyDescent="0.25">
      <c r="A1613" s="15"/>
    </row>
    <row r="1614" spans="1:1" x14ac:dyDescent="0.25">
      <c r="A1614" s="15"/>
    </row>
    <row r="1615" spans="1:1" x14ac:dyDescent="0.25">
      <c r="A1615" s="15"/>
    </row>
    <row r="1616" spans="1:1" x14ac:dyDescent="0.25">
      <c r="A1616" s="15"/>
    </row>
    <row r="1617" spans="1:1" x14ac:dyDescent="0.25">
      <c r="A1617" s="15"/>
    </row>
    <row r="1618" spans="1:1" x14ac:dyDescent="0.25">
      <c r="A1618" s="15"/>
    </row>
    <row r="1619" spans="1:1" x14ac:dyDescent="0.25">
      <c r="A1619" s="15"/>
    </row>
    <row r="1620" spans="1:1" x14ac:dyDescent="0.25">
      <c r="A1620" s="15"/>
    </row>
    <row r="1621" spans="1:1" x14ac:dyDescent="0.25">
      <c r="A1621" s="15"/>
    </row>
    <row r="1622" spans="1:1" x14ac:dyDescent="0.25">
      <c r="A1622" s="15"/>
    </row>
    <row r="1623" spans="1:1" x14ac:dyDescent="0.25">
      <c r="A1623" s="15"/>
    </row>
    <row r="1624" spans="1:1" x14ac:dyDescent="0.25">
      <c r="A1624" s="15"/>
    </row>
    <row r="1625" spans="1:1" x14ac:dyDescent="0.25">
      <c r="A1625" s="15"/>
    </row>
    <row r="1626" spans="1:1" x14ac:dyDescent="0.25">
      <c r="A1626" s="15"/>
    </row>
    <row r="1627" spans="1:1" x14ac:dyDescent="0.25">
      <c r="A1627" s="15"/>
    </row>
    <row r="1628" spans="1:1" x14ac:dyDescent="0.25">
      <c r="A1628" s="15"/>
    </row>
    <row r="1629" spans="1:1" x14ac:dyDescent="0.25">
      <c r="A1629" s="15"/>
    </row>
    <row r="1630" spans="1:1" x14ac:dyDescent="0.25">
      <c r="A1630" s="15"/>
    </row>
    <row r="1631" spans="1:1" x14ac:dyDescent="0.25">
      <c r="A1631" s="15"/>
    </row>
    <row r="1632" spans="1:1" x14ac:dyDescent="0.25">
      <c r="A1632" s="15"/>
    </row>
    <row r="1633" spans="1:1" x14ac:dyDescent="0.25">
      <c r="A1633" s="15"/>
    </row>
    <row r="1634" spans="1:1" x14ac:dyDescent="0.25">
      <c r="A1634" s="15"/>
    </row>
    <row r="1635" spans="1:1" x14ac:dyDescent="0.25">
      <c r="A1635" s="15"/>
    </row>
    <row r="1636" spans="1:1" x14ac:dyDescent="0.25">
      <c r="A1636" s="15"/>
    </row>
    <row r="1637" spans="1:1" x14ac:dyDescent="0.25">
      <c r="A1637" s="15"/>
    </row>
    <row r="1638" spans="1:1" x14ac:dyDescent="0.25">
      <c r="A1638" s="15"/>
    </row>
    <row r="1639" spans="1:1" x14ac:dyDescent="0.25">
      <c r="A1639" s="15"/>
    </row>
    <row r="1640" spans="1:1" x14ac:dyDescent="0.25">
      <c r="A1640" s="15"/>
    </row>
    <row r="1641" spans="1:1" x14ac:dyDescent="0.25">
      <c r="A1641" s="15"/>
    </row>
    <row r="1642" spans="1:1" x14ac:dyDescent="0.25">
      <c r="A1642" s="15"/>
    </row>
    <row r="1643" spans="1:1" x14ac:dyDescent="0.25">
      <c r="A1643" s="15"/>
    </row>
    <row r="1644" spans="1:1" x14ac:dyDescent="0.25">
      <c r="A1644" s="15"/>
    </row>
    <row r="1645" spans="1:1" x14ac:dyDescent="0.25">
      <c r="A1645" s="15"/>
    </row>
    <row r="1646" spans="1:1" x14ac:dyDescent="0.25">
      <c r="A1646" s="15"/>
    </row>
    <row r="1647" spans="1:1" x14ac:dyDescent="0.25">
      <c r="A1647" s="15"/>
    </row>
    <row r="1648" spans="1:1" x14ac:dyDescent="0.25">
      <c r="A1648" s="15"/>
    </row>
    <row r="1649" spans="1:1" x14ac:dyDescent="0.25">
      <c r="A1649" s="15"/>
    </row>
    <row r="1650" spans="1:1" x14ac:dyDescent="0.25">
      <c r="A1650" s="15"/>
    </row>
    <row r="1651" spans="1:1" x14ac:dyDescent="0.25">
      <c r="A1651" s="15"/>
    </row>
    <row r="1652" spans="1:1" x14ac:dyDescent="0.25">
      <c r="A1652" s="15"/>
    </row>
    <row r="1653" spans="1:1" x14ac:dyDescent="0.25">
      <c r="A1653" s="15"/>
    </row>
    <row r="1654" spans="1:1" x14ac:dyDescent="0.25">
      <c r="A1654" s="15"/>
    </row>
    <row r="1655" spans="1:1" x14ac:dyDescent="0.25">
      <c r="A1655" s="15"/>
    </row>
    <row r="1656" spans="1:1" x14ac:dyDescent="0.25">
      <c r="A1656" s="15"/>
    </row>
    <row r="1657" spans="1:1" x14ac:dyDescent="0.25">
      <c r="A1657" s="15"/>
    </row>
    <row r="1658" spans="1:1" x14ac:dyDescent="0.25">
      <c r="A1658" s="15"/>
    </row>
    <row r="1659" spans="1:1" x14ac:dyDescent="0.25">
      <c r="A1659" s="15"/>
    </row>
    <row r="1660" spans="1:1" x14ac:dyDescent="0.25">
      <c r="A1660" s="15"/>
    </row>
    <row r="1661" spans="1:1" x14ac:dyDescent="0.25">
      <c r="A1661" s="15"/>
    </row>
    <row r="1662" spans="1:1" x14ac:dyDescent="0.25">
      <c r="A1662" s="15"/>
    </row>
    <row r="1663" spans="1:1" x14ac:dyDescent="0.25">
      <c r="A1663" s="15"/>
    </row>
    <row r="1664" spans="1:1" x14ac:dyDescent="0.25">
      <c r="A1664" s="15"/>
    </row>
    <row r="1665" spans="1:1" x14ac:dyDescent="0.25">
      <c r="A1665" s="15"/>
    </row>
    <row r="1666" spans="1:1" x14ac:dyDescent="0.25">
      <c r="A1666" s="15"/>
    </row>
    <row r="1667" spans="1:1" x14ac:dyDescent="0.25">
      <c r="A1667" s="15"/>
    </row>
    <row r="1668" spans="1:1" x14ac:dyDescent="0.25">
      <c r="A1668" s="15"/>
    </row>
    <row r="1669" spans="1:1" x14ac:dyDescent="0.25">
      <c r="A1669" s="15"/>
    </row>
    <row r="1670" spans="1:1" x14ac:dyDescent="0.25">
      <c r="A1670" s="15"/>
    </row>
    <row r="1671" spans="1:1" x14ac:dyDescent="0.25">
      <c r="A1671" s="15"/>
    </row>
    <row r="1672" spans="1:1" x14ac:dyDescent="0.25">
      <c r="A1672" s="15"/>
    </row>
    <row r="1673" spans="1:1" x14ac:dyDescent="0.25">
      <c r="A1673" s="15"/>
    </row>
    <row r="1674" spans="1:1" x14ac:dyDescent="0.25">
      <c r="A1674" s="15"/>
    </row>
    <row r="1675" spans="1:1" x14ac:dyDescent="0.25">
      <c r="A1675" s="15"/>
    </row>
    <row r="1676" spans="1:1" x14ac:dyDescent="0.25">
      <c r="A1676" s="15"/>
    </row>
    <row r="1677" spans="1:1" x14ac:dyDescent="0.25">
      <c r="A1677" s="15"/>
    </row>
    <row r="1678" spans="1:1" x14ac:dyDescent="0.25">
      <c r="A1678" s="15"/>
    </row>
    <row r="1679" spans="1:1" x14ac:dyDescent="0.25">
      <c r="A1679" s="15"/>
    </row>
    <row r="1680" spans="1:1" x14ac:dyDescent="0.25">
      <c r="A1680" s="15"/>
    </row>
    <row r="1681" spans="1:1" x14ac:dyDescent="0.25">
      <c r="A1681" s="15"/>
    </row>
    <row r="1682" spans="1:1" x14ac:dyDescent="0.25">
      <c r="A1682" s="15"/>
    </row>
    <row r="1683" spans="1:1" x14ac:dyDescent="0.25">
      <c r="A1683" s="15"/>
    </row>
    <row r="1684" spans="1:1" x14ac:dyDescent="0.25">
      <c r="A1684" s="15"/>
    </row>
    <row r="1685" spans="1:1" x14ac:dyDescent="0.25">
      <c r="A1685" s="15"/>
    </row>
    <row r="1686" spans="1:1" x14ac:dyDescent="0.25">
      <c r="A1686" s="15"/>
    </row>
    <row r="1687" spans="1:1" x14ac:dyDescent="0.25">
      <c r="A1687" s="15"/>
    </row>
    <row r="1688" spans="1:1" x14ac:dyDescent="0.25">
      <c r="A1688" s="15"/>
    </row>
    <row r="1689" spans="1:1" x14ac:dyDescent="0.25">
      <c r="A1689" s="15"/>
    </row>
    <row r="1690" spans="1:1" x14ac:dyDescent="0.25">
      <c r="A1690" s="15"/>
    </row>
    <row r="1691" spans="1:1" x14ac:dyDescent="0.25">
      <c r="A1691" s="15"/>
    </row>
    <row r="1692" spans="1:1" x14ac:dyDescent="0.25">
      <c r="A1692" s="15"/>
    </row>
    <row r="1693" spans="1:1" x14ac:dyDescent="0.25">
      <c r="A1693" s="15"/>
    </row>
    <row r="1694" spans="1:1" x14ac:dyDescent="0.25">
      <c r="A1694" s="15"/>
    </row>
    <row r="1695" spans="1:1" x14ac:dyDescent="0.25">
      <c r="A1695" s="15"/>
    </row>
    <row r="1696" spans="1:1" x14ac:dyDescent="0.25">
      <c r="A1696" s="15"/>
    </row>
    <row r="1697" spans="1:1" x14ac:dyDescent="0.25">
      <c r="A1697" s="15"/>
    </row>
    <row r="1698" spans="1:1" x14ac:dyDescent="0.25">
      <c r="A1698" s="15"/>
    </row>
    <row r="1699" spans="1:1" x14ac:dyDescent="0.25">
      <c r="A1699" s="15"/>
    </row>
    <row r="1700" spans="1:1" x14ac:dyDescent="0.25">
      <c r="A1700" s="15"/>
    </row>
    <row r="1701" spans="1:1" x14ac:dyDescent="0.25">
      <c r="A1701" s="15"/>
    </row>
    <row r="1702" spans="1:1" x14ac:dyDescent="0.25">
      <c r="A1702" s="15"/>
    </row>
    <row r="1703" spans="1:1" x14ac:dyDescent="0.25">
      <c r="A1703" s="15"/>
    </row>
    <row r="1704" spans="1:1" x14ac:dyDescent="0.25">
      <c r="A1704" s="15"/>
    </row>
    <row r="1705" spans="1:1" x14ac:dyDescent="0.25">
      <c r="A1705" s="15"/>
    </row>
    <row r="1706" spans="1:1" x14ac:dyDescent="0.25">
      <c r="A1706" s="15"/>
    </row>
    <row r="1707" spans="1:1" x14ac:dyDescent="0.25">
      <c r="A1707" s="15"/>
    </row>
    <row r="1708" spans="1:1" x14ac:dyDescent="0.25">
      <c r="A1708" s="15"/>
    </row>
    <row r="1709" spans="1:1" x14ac:dyDescent="0.25">
      <c r="A1709" s="15"/>
    </row>
    <row r="1710" spans="1:1" x14ac:dyDescent="0.25">
      <c r="A1710" s="15"/>
    </row>
    <row r="1711" spans="1:1" x14ac:dyDescent="0.25">
      <c r="A1711" s="15"/>
    </row>
    <row r="1712" spans="1:1" x14ac:dyDescent="0.25">
      <c r="A1712" s="15"/>
    </row>
    <row r="1713" spans="1:1" x14ac:dyDescent="0.25">
      <c r="A1713" s="15"/>
    </row>
    <row r="1714" spans="1:1" x14ac:dyDescent="0.25">
      <c r="A1714" s="15"/>
    </row>
    <row r="1715" spans="1:1" x14ac:dyDescent="0.25">
      <c r="A1715" s="15"/>
    </row>
    <row r="1716" spans="1:1" x14ac:dyDescent="0.25">
      <c r="A1716" s="15"/>
    </row>
    <row r="1717" spans="1:1" x14ac:dyDescent="0.25">
      <c r="A1717" s="15"/>
    </row>
    <row r="1718" spans="1:1" x14ac:dyDescent="0.25">
      <c r="A1718" s="15"/>
    </row>
    <row r="1719" spans="1:1" x14ac:dyDescent="0.25">
      <c r="A1719" s="15"/>
    </row>
    <row r="1720" spans="1:1" x14ac:dyDescent="0.25">
      <c r="A1720" s="15"/>
    </row>
    <row r="1721" spans="1:1" x14ac:dyDescent="0.25">
      <c r="A1721" s="15"/>
    </row>
    <row r="1722" spans="1:1" x14ac:dyDescent="0.25">
      <c r="A1722" s="15"/>
    </row>
    <row r="1723" spans="1:1" x14ac:dyDescent="0.25">
      <c r="A1723" s="15"/>
    </row>
    <row r="1724" spans="1:1" x14ac:dyDescent="0.25">
      <c r="A1724" s="15"/>
    </row>
    <row r="1725" spans="1:1" x14ac:dyDescent="0.25">
      <c r="A1725" s="15"/>
    </row>
    <row r="1726" spans="1:1" x14ac:dyDescent="0.25">
      <c r="A1726" s="15"/>
    </row>
    <row r="1727" spans="1:1" x14ac:dyDescent="0.25">
      <c r="A1727" s="15"/>
    </row>
    <row r="1728" spans="1:1" x14ac:dyDescent="0.25">
      <c r="A1728" s="15"/>
    </row>
    <row r="1729" spans="1:1" x14ac:dyDescent="0.25">
      <c r="A1729" s="15"/>
    </row>
    <row r="1730" spans="1:1" x14ac:dyDescent="0.25">
      <c r="A1730" s="15"/>
    </row>
    <row r="1731" spans="1:1" x14ac:dyDescent="0.25">
      <c r="A1731" s="15"/>
    </row>
    <row r="1732" spans="1:1" x14ac:dyDescent="0.25">
      <c r="A1732" s="15"/>
    </row>
    <row r="1733" spans="1:1" x14ac:dyDescent="0.25">
      <c r="A1733" s="15"/>
    </row>
    <row r="1734" spans="1:1" x14ac:dyDescent="0.25">
      <c r="A1734" s="15"/>
    </row>
    <row r="1735" spans="1:1" x14ac:dyDescent="0.25">
      <c r="A1735" s="15"/>
    </row>
    <row r="1736" spans="1:1" x14ac:dyDescent="0.25">
      <c r="A1736" s="15"/>
    </row>
    <row r="1737" spans="1:1" x14ac:dyDescent="0.25">
      <c r="A1737" s="15"/>
    </row>
    <row r="1738" spans="1:1" x14ac:dyDescent="0.25">
      <c r="A1738" s="15"/>
    </row>
    <row r="1739" spans="1:1" x14ac:dyDescent="0.25">
      <c r="A1739" s="15"/>
    </row>
    <row r="1740" spans="1:1" x14ac:dyDescent="0.25">
      <c r="A1740" s="15"/>
    </row>
    <row r="1741" spans="1:1" x14ac:dyDescent="0.25">
      <c r="A1741" s="15"/>
    </row>
    <row r="1742" spans="1:1" x14ac:dyDescent="0.25">
      <c r="A1742" s="15"/>
    </row>
    <row r="1743" spans="1:1" x14ac:dyDescent="0.25">
      <c r="A1743" s="15"/>
    </row>
    <row r="1744" spans="1:1" x14ac:dyDescent="0.25">
      <c r="A1744" s="15"/>
    </row>
    <row r="1745" spans="1:1" x14ac:dyDescent="0.25">
      <c r="A1745" s="15"/>
    </row>
    <row r="1746" spans="1:1" x14ac:dyDescent="0.25">
      <c r="A1746" s="15"/>
    </row>
    <row r="1747" spans="1:1" x14ac:dyDescent="0.25">
      <c r="A1747" s="15"/>
    </row>
    <row r="1748" spans="1:1" x14ac:dyDescent="0.25">
      <c r="A1748" s="15"/>
    </row>
    <row r="1749" spans="1:1" x14ac:dyDescent="0.25">
      <c r="A1749" s="15"/>
    </row>
    <row r="1750" spans="1:1" x14ac:dyDescent="0.25">
      <c r="A1750" s="15"/>
    </row>
    <row r="1751" spans="1:1" x14ac:dyDescent="0.25">
      <c r="A1751" s="15"/>
    </row>
    <row r="1752" spans="1:1" x14ac:dyDescent="0.25">
      <c r="A1752" s="15"/>
    </row>
    <row r="1753" spans="1:1" x14ac:dyDescent="0.25">
      <c r="A1753" s="15"/>
    </row>
    <row r="1754" spans="1:1" x14ac:dyDescent="0.25">
      <c r="A1754" s="15"/>
    </row>
    <row r="1755" spans="1:1" x14ac:dyDescent="0.25">
      <c r="A1755" s="15"/>
    </row>
    <row r="1756" spans="1:1" x14ac:dyDescent="0.25">
      <c r="A1756" s="15"/>
    </row>
    <row r="1757" spans="1:1" x14ac:dyDescent="0.25">
      <c r="A1757" s="15"/>
    </row>
    <row r="1758" spans="1:1" x14ac:dyDescent="0.25">
      <c r="A1758" s="15"/>
    </row>
    <row r="1759" spans="1:1" x14ac:dyDescent="0.25">
      <c r="A1759" s="15"/>
    </row>
    <row r="1760" spans="1:1" x14ac:dyDescent="0.25">
      <c r="A1760" s="15"/>
    </row>
    <row r="1761" spans="1:1" x14ac:dyDescent="0.25">
      <c r="A1761" s="15"/>
    </row>
    <row r="1762" spans="1:1" x14ac:dyDescent="0.25">
      <c r="A1762" s="15"/>
    </row>
    <row r="1763" spans="1:1" x14ac:dyDescent="0.25">
      <c r="A1763" s="15"/>
    </row>
    <row r="1764" spans="1:1" x14ac:dyDescent="0.25">
      <c r="A1764" s="15"/>
    </row>
    <row r="1765" spans="1:1" x14ac:dyDescent="0.25">
      <c r="A1765" s="15"/>
    </row>
    <row r="1766" spans="1:1" x14ac:dyDescent="0.25">
      <c r="A1766" s="15"/>
    </row>
    <row r="1767" spans="1:1" x14ac:dyDescent="0.25">
      <c r="A1767" s="15"/>
    </row>
    <row r="1768" spans="1:1" x14ac:dyDescent="0.25">
      <c r="A1768" s="15"/>
    </row>
    <row r="1769" spans="1:1" x14ac:dyDescent="0.25">
      <c r="A1769" s="15"/>
    </row>
    <row r="1770" spans="1:1" x14ac:dyDescent="0.25">
      <c r="A1770" s="15"/>
    </row>
    <row r="1771" spans="1:1" x14ac:dyDescent="0.25">
      <c r="A1771" s="15"/>
    </row>
    <row r="1772" spans="1:1" x14ac:dyDescent="0.25">
      <c r="A1772" s="15"/>
    </row>
    <row r="1773" spans="1:1" x14ac:dyDescent="0.25">
      <c r="A1773" s="15"/>
    </row>
    <row r="1774" spans="1:1" x14ac:dyDescent="0.25">
      <c r="A1774" s="15"/>
    </row>
    <row r="1775" spans="1:1" x14ac:dyDescent="0.25">
      <c r="A1775" s="15"/>
    </row>
    <row r="1776" spans="1:1" x14ac:dyDescent="0.25">
      <c r="A1776" s="15"/>
    </row>
    <row r="1777" spans="1:1" x14ac:dyDescent="0.25">
      <c r="A1777" s="15"/>
    </row>
    <row r="1778" spans="1:1" x14ac:dyDescent="0.25">
      <c r="A1778" s="15"/>
    </row>
    <row r="1779" spans="1:1" x14ac:dyDescent="0.25">
      <c r="A1779" s="15"/>
    </row>
    <row r="1780" spans="1:1" x14ac:dyDescent="0.25">
      <c r="A1780" s="15"/>
    </row>
    <row r="1781" spans="1:1" x14ac:dyDescent="0.25">
      <c r="A1781" s="15"/>
    </row>
    <row r="1782" spans="1:1" x14ac:dyDescent="0.25">
      <c r="A1782" s="15"/>
    </row>
    <row r="1783" spans="1:1" x14ac:dyDescent="0.25">
      <c r="A1783" s="15"/>
    </row>
    <row r="1784" spans="1:1" x14ac:dyDescent="0.25">
      <c r="A1784" s="15"/>
    </row>
    <row r="1785" spans="1:1" x14ac:dyDescent="0.25">
      <c r="A1785" s="15"/>
    </row>
    <row r="1786" spans="1:1" x14ac:dyDescent="0.25">
      <c r="A1786" s="15"/>
    </row>
    <row r="1787" spans="1:1" x14ac:dyDescent="0.25">
      <c r="A1787" s="15"/>
    </row>
    <row r="1788" spans="1:1" x14ac:dyDescent="0.25">
      <c r="A1788" s="15"/>
    </row>
    <row r="1789" spans="1:1" x14ac:dyDescent="0.25">
      <c r="A1789" s="15"/>
    </row>
    <row r="1790" spans="1:1" x14ac:dyDescent="0.25">
      <c r="A1790" s="15"/>
    </row>
    <row r="1791" spans="1:1" x14ac:dyDescent="0.25">
      <c r="A1791" s="15"/>
    </row>
    <row r="1792" spans="1:1" x14ac:dyDescent="0.25">
      <c r="A1792" s="15"/>
    </row>
    <row r="1793" spans="1:1" x14ac:dyDescent="0.25">
      <c r="A1793" s="15"/>
    </row>
    <row r="1794" spans="1:1" x14ac:dyDescent="0.25">
      <c r="A1794" s="15"/>
    </row>
    <row r="1795" spans="1:1" x14ac:dyDescent="0.25">
      <c r="A1795" s="15"/>
    </row>
    <row r="1796" spans="1:1" x14ac:dyDescent="0.25">
      <c r="A1796" s="15"/>
    </row>
    <row r="1797" spans="1:1" x14ac:dyDescent="0.25">
      <c r="A1797" s="15"/>
    </row>
    <row r="1798" spans="1:1" x14ac:dyDescent="0.25">
      <c r="A1798" s="15"/>
    </row>
    <row r="1799" spans="1:1" x14ac:dyDescent="0.25">
      <c r="A1799" s="15"/>
    </row>
    <row r="1800" spans="1:1" x14ac:dyDescent="0.25">
      <c r="A1800" s="15"/>
    </row>
    <row r="1801" spans="1:1" x14ac:dyDescent="0.25">
      <c r="A1801" s="15"/>
    </row>
    <row r="1802" spans="1:1" x14ac:dyDescent="0.25">
      <c r="A1802" s="15"/>
    </row>
    <row r="1803" spans="1:1" x14ac:dyDescent="0.25">
      <c r="A1803" s="15"/>
    </row>
    <row r="1804" spans="1:1" x14ac:dyDescent="0.25">
      <c r="A1804" s="15"/>
    </row>
    <row r="1805" spans="1:1" x14ac:dyDescent="0.25">
      <c r="A1805" s="15"/>
    </row>
    <row r="1806" spans="1:1" x14ac:dyDescent="0.25">
      <c r="A1806" s="15"/>
    </row>
    <row r="1807" spans="1:1" x14ac:dyDescent="0.25">
      <c r="A1807" s="15"/>
    </row>
    <row r="1808" spans="1:1" x14ac:dyDescent="0.25">
      <c r="A1808" s="15"/>
    </row>
    <row r="1809" spans="1:1" x14ac:dyDescent="0.25">
      <c r="A1809" s="15"/>
    </row>
    <row r="1810" spans="1:1" x14ac:dyDescent="0.25">
      <c r="A1810" s="15"/>
    </row>
    <row r="1811" spans="1:1" x14ac:dyDescent="0.25">
      <c r="A1811" s="15"/>
    </row>
    <row r="1812" spans="1:1" x14ac:dyDescent="0.25">
      <c r="A1812" s="15"/>
    </row>
    <row r="1813" spans="1:1" x14ac:dyDescent="0.25">
      <c r="A1813" s="15"/>
    </row>
    <row r="1814" spans="1:1" x14ac:dyDescent="0.25">
      <c r="A1814" s="15"/>
    </row>
    <row r="1815" spans="1:1" x14ac:dyDescent="0.25">
      <c r="A1815" s="15"/>
    </row>
    <row r="1816" spans="1:1" x14ac:dyDescent="0.25">
      <c r="A1816" s="15"/>
    </row>
    <row r="1817" spans="1:1" x14ac:dyDescent="0.25">
      <c r="A1817" s="15"/>
    </row>
    <row r="1818" spans="1:1" x14ac:dyDescent="0.25">
      <c r="A1818" s="15"/>
    </row>
    <row r="1819" spans="1:1" x14ac:dyDescent="0.25">
      <c r="A1819" s="15"/>
    </row>
    <row r="1820" spans="1:1" x14ac:dyDescent="0.25">
      <c r="A1820" s="15"/>
    </row>
    <row r="1821" spans="1:1" x14ac:dyDescent="0.25">
      <c r="A1821" s="15"/>
    </row>
    <row r="1822" spans="1:1" x14ac:dyDescent="0.25">
      <c r="A1822" s="15"/>
    </row>
    <row r="1823" spans="1:1" x14ac:dyDescent="0.25">
      <c r="A1823" s="15"/>
    </row>
    <row r="1824" spans="1:1" x14ac:dyDescent="0.25">
      <c r="A1824" s="15"/>
    </row>
    <row r="1825" spans="1:1" x14ac:dyDescent="0.25">
      <c r="A1825" s="15"/>
    </row>
    <row r="1826" spans="1:1" x14ac:dyDescent="0.25">
      <c r="A1826" s="15"/>
    </row>
    <row r="1827" spans="1:1" x14ac:dyDescent="0.25">
      <c r="A1827" s="15"/>
    </row>
    <row r="1828" spans="1:1" x14ac:dyDescent="0.25">
      <c r="A1828" s="15"/>
    </row>
    <row r="1829" spans="1:1" x14ac:dyDescent="0.25">
      <c r="A1829" s="15"/>
    </row>
    <row r="1830" spans="1:1" x14ac:dyDescent="0.25">
      <c r="A1830" s="15"/>
    </row>
    <row r="1831" spans="1:1" x14ac:dyDescent="0.25">
      <c r="A1831" s="15"/>
    </row>
    <row r="1832" spans="1:1" x14ac:dyDescent="0.25">
      <c r="A1832" s="15"/>
    </row>
    <row r="1833" spans="1:1" x14ac:dyDescent="0.25">
      <c r="A1833" s="15"/>
    </row>
    <row r="1834" spans="1:1" x14ac:dyDescent="0.25">
      <c r="A1834" s="15"/>
    </row>
    <row r="1835" spans="1:1" x14ac:dyDescent="0.25">
      <c r="A1835" s="15"/>
    </row>
    <row r="1836" spans="1:1" x14ac:dyDescent="0.25">
      <c r="A1836" s="15"/>
    </row>
    <row r="1837" spans="1:1" x14ac:dyDescent="0.25">
      <c r="A1837" s="15"/>
    </row>
    <row r="1838" spans="1:1" x14ac:dyDescent="0.25">
      <c r="A1838" s="15"/>
    </row>
    <row r="1839" spans="1:1" x14ac:dyDescent="0.25">
      <c r="A1839" s="15"/>
    </row>
    <row r="1840" spans="1:1" x14ac:dyDescent="0.25">
      <c r="A1840" s="15"/>
    </row>
    <row r="1841" spans="1:1" x14ac:dyDescent="0.25">
      <c r="A1841" s="15"/>
    </row>
    <row r="1842" spans="1:1" x14ac:dyDescent="0.25">
      <c r="A1842" s="15"/>
    </row>
    <row r="1843" spans="1:1" x14ac:dyDescent="0.25">
      <c r="A1843" s="15"/>
    </row>
    <row r="1844" spans="1:1" x14ac:dyDescent="0.25">
      <c r="A1844" s="15"/>
    </row>
    <row r="1845" spans="1:1" x14ac:dyDescent="0.25">
      <c r="A1845" s="15"/>
    </row>
    <row r="1846" spans="1:1" x14ac:dyDescent="0.25">
      <c r="A1846" s="15"/>
    </row>
    <row r="1847" spans="1:1" x14ac:dyDescent="0.25">
      <c r="A1847" s="15"/>
    </row>
    <row r="1848" spans="1:1" x14ac:dyDescent="0.25">
      <c r="A1848" s="15"/>
    </row>
    <row r="1849" spans="1:1" x14ac:dyDescent="0.25">
      <c r="A1849" s="15"/>
    </row>
    <row r="1850" spans="1:1" x14ac:dyDescent="0.25">
      <c r="A1850" s="15"/>
    </row>
    <row r="1851" spans="1:1" x14ac:dyDescent="0.25">
      <c r="A1851" s="15"/>
    </row>
    <row r="1852" spans="1:1" x14ac:dyDescent="0.25">
      <c r="A1852" s="15"/>
    </row>
    <row r="1853" spans="1:1" x14ac:dyDescent="0.25">
      <c r="A1853" s="15"/>
    </row>
    <row r="1854" spans="1:1" x14ac:dyDescent="0.25">
      <c r="A1854" s="15"/>
    </row>
    <row r="1855" spans="1:1" x14ac:dyDescent="0.25">
      <c r="A1855" s="15"/>
    </row>
    <row r="1856" spans="1:1" x14ac:dyDescent="0.25">
      <c r="A1856" s="15"/>
    </row>
    <row r="1857" spans="1:1" x14ac:dyDescent="0.25">
      <c r="A1857" s="15"/>
    </row>
    <row r="1858" spans="1:1" x14ac:dyDescent="0.25">
      <c r="A1858" s="15"/>
    </row>
    <row r="1859" spans="1:1" x14ac:dyDescent="0.25">
      <c r="A1859" s="15"/>
    </row>
    <row r="1860" spans="1:1" x14ac:dyDescent="0.25">
      <c r="A1860" s="15"/>
    </row>
    <row r="1861" spans="1:1" x14ac:dyDescent="0.25">
      <c r="A1861" s="15"/>
    </row>
    <row r="1862" spans="1:1" x14ac:dyDescent="0.25">
      <c r="A1862" s="15"/>
    </row>
    <row r="1863" spans="1:1" x14ac:dyDescent="0.25">
      <c r="A1863" s="15"/>
    </row>
    <row r="1864" spans="1:1" x14ac:dyDescent="0.25">
      <c r="A1864" s="15"/>
    </row>
    <row r="1865" spans="1:1" x14ac:dyDescent="0.25">
      <c r="A1865" s="15"/>
    </row>
    <row r="1866" spans="1:1" x14ac:dyDescent="0.25">
      <c r="A1866" s="15"/>
    </row>
    <row r="1867" spans="1:1" x14ac:dyDescent="0.25">
      <c r="A1867" s="15"/>
    </row>
    <row r="1868" spans="1:1" x14ac:dyDescent="0.25">
      <c r="A1868" s="15"/>
    </row>
    <row r="1869" spans="1:1" x14ac:dyDescent="0.25">
      <c r="A1869" s="15"/>
    </row>
    <row r="1870" spans="1:1" x14ac:dyDescent="0.25">
      <c r="A1870" s="15"/>
    </row>
    <row r="1871" spans="1:1" x14ac:dyDescent="0.25">
      <c r="A1871" s="15"/>
    </row>
    <row r="1872" spans="1:1" x14ac:dyDescent="0.25">
      <c r="A1872" s="15"/>
    </row>
    <row r="1873" spans="1:1" x14ac:dyDescent="0.25">
      <c r="A1873" s="15"/>
    </row>
    <row r="1874" spans="1:1" x14ac:dyDescent="0.25">
      <c r="A1874" s="15"/>
    </row>
    <row r="1875" spans="1:1" x14ac:dyDescent="0.25">
      <c r="A1875" s="15"/>
    </row>
    <row r="1876" spans="1:1" x14ac:dyDescent="0.25">
      <c r="A1876" s="15"/>
    </row>
    <row r="1877" spans="1:1" x14ac:dyDescent="0.25">
      <c r="A1877" s="15"/>
    </row>
    <row r="1878" spans="1:1" x14ac:dyDescent="0.25">
      <c r="A1878" s="15"/>
    </row>
    <row r="1879" spans="1:1" x14ac:dyDescent="0.25">
      <c r="A1879" s="15"/>
    </row>
    <row r="1880" spans="1:1" x14ac:dyDescent="0.25">
      <c r="A1880" s="15"/>
    </row>
    <row r="1881" spans="1:1" x14ac:dyDescent="0.25">
      <c r="A1881" s="15"/>
    </row>
    <row r="1882" spans="1:1" x14ac:dyDescent="0.25">
      <c r="A1882" s="15"/>
    </row>
    <row r="1883" spans="1:1" x14ac:dyDescent="0.25">
      <c r="A1883" s="15"/>
    </row>
    <row r="1884" spans="1:1" x14ac:dyDescent="0.25">
      <c r="A1884" s="15"/>
    </row>
    <row r="1885" spans="1:1" x14ac:dyDescent="0.25">
      <c r="A1885" s="15"/>
    </row>
    <row r="1886" spans="1:1" x14ac:dyDescent="0.25">
      <c r="A1886" s="15"/>
    </row>
    <row r="1887" spans="1:1" x14ac:dyDescent="0.25">
      <c r="A1887" s="15"/>
    </row>
    <row r="1888" spans="1:1" x14ac:dyDescent="0.25">
      <c r="A1888" s="15"/>
    </row>
    <row r="1889" spans="1:1" x14ac:dyDescent="0.25">
      <c r="A1889" s="15"/>
    </row>
    <row r="1890" spans="1:1" x14ac:dyDescent="0.25">
      <c r="A1890" s="15"/>
    </row>
    <row r="1891" spans="1:1" x14ac:dyDescent="0.25">
      <c r="A1891" s="15"/>
    </row>
    <row r="1892" spans="1:1" x14ac:dyDescent="0.25">
      <c r="A1892" s="15"/>
    </row>
    <row r="1893" spans="1:1" x14ac:dyDescent="0.25">
      <c r="A1893" s="15"/>
    </row>
    <row r="1894" spans="1:1" x14ac:dyDescent="0.25">
      <c r="A1894" s="15"/>
    </row>
    <row r="1895" spans="1:1" x14ac:dyDescent="0.25">
      <c r="A1895" s="15"/>
    </row>
    <row r="1896" spans="1:1" x14ac:dyDescent="0.25">
      <c r="A1896" s="15"/>
    </row>
    <row r="1897" spans="1:1" x14ac:dyDescent="0.25">
      <c r="A1897" s="15"/>
    </row>
    <row r="1898" spans="1:1" x14ac:dyDescent="0.25">
      <c r="A1898" s="15"/>
    </row>
    <row r="1899" spans="1:1" x14ac:dyDescent="0.25">
      <c r="A1899" s="15"/>
    </row>
    <row r="1900" spans="1:1" x14ac:dyDescent="0.25">
      <c r="A1900" s="15"/>
    </row>
    <row r="1901" spans="1:1" x14ac:dyDescent="0.25">
      <c r="A1901" s="15"/>
    </row>
    <row r="1902" spans="1:1" x14ac:dyDescent="0.25">
      <c r="A1902" s="15"/>
    </row>
    <row r="1903" spans="1:1" x14ac:dyDescent="0.25">
      <c r="A1903" s="15"/>
    </row>
    <row r="1904" spans="1:1" x14ac:dyDescent="0.25">
      <c r="A1904" s="15"/>
    </row>
    <row r="1905" spans="1:1" x14ac:dyDescent="0.25">
      <c r="A1905" s="15"/>
    </row>
    <row r="1906" spans="1:1" x14ac:dyDescent="0.25">
      <c r="A1906" s="15"/>
    </row>
    <row r="1907" spans="1:1" x14ac:dyDescent="0.25">
      <c r="A1907" s="15"/>
    </row>
    <row r="1908" spans="1:1" x14ac:dyDescent="0.25">
      <c r="A1908" s="15"/>
    </row>
    <row r="1909" spans="1:1" x14ac:dyDescent="0.25">
      <c r="A1909" s="15"/>
    </row>
    <row r="1910" spans="1:1" x14ac:dyDescent="0.25">
      <c r="A1910" s="15"/>
    </row>
    <row r="1911" spans="1:1" x14ac:dyDescent="0.25">
      <c r="A1911" s="15"/>
    </row>
    <row r="1912" spans="1:1" x14ac:dyDescent="0.25">
      <c r="A1912" s="15"/>
    </row>
    <row r="1913" spans="1:1" x14ac:dyDescent="0.25">
      <c r="A1913" s="15"/>
    </row>
    <row r="1914" spans="1:1" x14ac:dyDescent="0.25">
      <c r="A1914" s="15"/>
    </row>
    <row r="1915" spans="1:1" x14ac:dyDescent="0.25">
      <c r="A1915" s="15"/>
    </row>
    <row r="1916" spans="1:1" x14ac:dyDescent="0.25">
      <c r="A1916" s="15"/>
    </row>
    <row r="1917" spans="1:1" x14ac:dyDescent="0.25">
      <c r="A1917" s="15"/>
    </row>
    <row r="1918" spans="1:1" x14ac:dyDescent="0.25">
      <c r="A1918" s="15"/>
    </row>
    <row r="1919" spans="1:1" x14ac:dyDescent="0.25">
      <c r="A1919" s="15"/>
    </row>
    <row r="1920" spans="1:1" x14ac:dyDescent="0.25">
      <c r="A1920" s="15"/>
    </row>
    <row r="1921" spans="1:1" x14ac:dyDescent="0.25">
      <c r="A1921" s="15"/>
    </row>
    <row r="1922" spans="1:1" x14ac:dyDescent="0.25">
      <c r="A1922" s="15"/>
    </row>
    <row r="1923" spans="1:1" x14ac:dyDescent="0.25">
      <c r="A1923" s="15"/>
    </row>
    <row r="1924" spans="1:1" x14ac:dyDescent="0.25">
      <c r="A1924" s="15"/>
    </row>
    <row r="1925" spans="1:1" x14ac:dyDescent="0.25">
      <c r="A1925" s="15"/>
    </row>
    <row r="1926" spans="1:1" x14ac:dyDescent="0.25">
      <c r="A1926" s="15"/>
    </row>
    <row r="1927" spans="1:1" x14ac:dyDescent="0.25">
      <c r="A1927" s="15"/>
    </row>
    <row r="1928" spans="1:1" x14ac:dyDescent="0.25">
      <c r="A1928" s="15"/>
    </row>
    <row r="1929" spans="1:1" x14ac:dyDescent="0.25">
      <c r="A1929" s="15"/>
    </row>
    <row r="1930" spans="1:1" x14ac:dyDescent="0.25">
      <c r="A1930" s="15"/>
    </row>
    <row r="1931" spans="1:1" x14ac:dyDescent="0.25">
      <c r="A1931" s="15"/>
    </row>
    <row r="1932" spans="1:1" x14ac:dyDescent="0.25">
      <c r="A1932" s="15"/>
    </row>
    <row r="1933" spans="1:1" x14ac:dyDescent="0.25">
      <c r="A1933" s="15"/>
    </row>
    <row r="1934" spans="1:1" x14ac:dyDescent="0.25">
      <c r="A1934" s="15"/>
    </row>
    <row r="1935" spans="1:1" x14ac:dyDescent="0.25">
      <c r="A1935" s="15"/>
    </row>
    <row r="1936" spans="1:1" x14ac:dyDescent="0.25">
      <c r="A1936" s="15"/>
    </row>
    <row r="1937" spans="1:1" x14ac:dyDescent="0.25">
      <c r="A1937" s="15"/>
    </row>
    <row r="1938" spans="1:1" x14ac:dyDescent="0.25">
      <c r="A1938" s="15"/>
    </row>
    <row r="1939" spans="1:1" x14ac:dyDescent="0.25">
      <c r="A1939" s="15"/>
    </row>
    <row r="1940" spans="1:1" x14ac:dyDescent="0.25">
      <c r="A1940" s="15"/>
    </row>
    <row r="1941" spans="1:1" x14ac:dyDescent="0.25">
      <c r="A1941" s="15"/>
    </row>
    <row r="1942" spans="1:1" x14ac:dyDescent="0.25">
      <c r="A1942" s="15"/>
    </row>
    <row r="1943" spans="1:1" x14ac:dyDescent="0.25">
      <c r="A1943" s="15"/>
    </row>
    <row r="1944" spans="1:1" x14ac:dyDescent="0.25">
      <c r="A1944" s="15"/>
    </row>
    <row r="1945" spans="1:1" x14ac:dyDescent="0.25">
      <c r="A1945" s="15"/>
    </row>
    <row r="1946" spans="1:1" x14ac:dyDescent="0.25">
      <c r="A1946" s="15"/>
    </row>
    <row r="1947" spans="1:1" x14ac:dyDescent="0.25">
      <c r="A1947" s="15"/>
    </row>
    <row r="1948" spans="1:1" x14ac:dyDescent="0.25">
      <c r="A1948" s="15"/>
    </row>
    <row r="1949" spans="1:1" x14ac:dyDescent="0.25">
      <c r="A1949" s="15"/>
    </row>
    <row r="1950" spans="1:1" x14ac:dyDescent="0.25">
      <c r="A1950" s="15"/>
    </row>
    <row r="1951" spans="1:1" x14ac:dyDescent="0.25">
      <c r="A1951" s="15"/>
    </row>
    <row r="1952" spans="1:1" x14ac:dyDescent="0.25">
      <c r="A1952" s="15"/>
    </row>
    <row r="1953" spans="1:1" x14ac:dyDescent="0.25">
      <c r="A1953" s="15"/>
    </row>
    <row r="1954" spans="1:1" x14ac:dyDescent="0.25">
      <c r="A1954" s="15"/>
    </row>
    <row r="1955" spans="1:1" x14ac:dyDescent="0.25">
      <c r="A1955" s="15"/>
    </row>
    <row r="1956" spans="1:1" x14ac:dyDescent="0.25">
      <c r="A1956" s="15"/>
    </row>
    <row r="1957" spans="1:1" x14ac:dyDescent="0.25">
      <c r="A1957" s="15"/>
    </row>
    <row r="1958" spans="1:1" x14ac:dyDescent="0.25">
      <c r="A1958" s="15"/>
    </row>
    <row r="1959" spans="1:1" x14ac:dyDescent="0.25">
      <c r="A1959" s="15"/>
    </row>
    <row r="1960" spans="1:1" x14ac:dyDescent="0.25">
      <c r="A1960" s="15"/>
    </row>
    <row r="1961" spans="1:1" x14ac:dyDescent="0.25">
      <c r="A1961" s="15"/>
    </row>
    <row r="1962" spans="1:1" x14ac:dyDescent="0.25">
      <c r="A1962" s="15"/>
    </row>
    <row r="1963" spans="1:1" x14ac:dyDescent="0.25">
      <c r="A1963" s="15"/>
    </row>
    <row r="1964" spans="1:1" x14ac:dyDescent="0.25">
      <c r="A1964" s="15"/>
    </row>
    <row r="1965" spans="1:1" x14ac:dyDescent="0.25">
      <c r="A1965" s="15"/>
    </row>
    <row r="1966" spans="1:1" x14ac:dyDescent="0.25">
      <c r="A1966" s="15"/>
    </row>
    <row r="1967" spans="1:1" x14ac:dyDescent="0.25">
      <c r="A1967" s="15"/>
    </row>
    <row r="1968" spans="1:1" x14ac:dyDescent="0.25">
      <c r="A1968" s="15"/>
    </row>
    <row r="1969" spans="1:1" x14ac:dyDescent="0.25">
      <c r="A1969" s="15"/>
    </row>
    <row r="1970" spans="1:1" x14ac:dyDescent="0.25">
      <c r="A1970" s="15"/>
    </row>
    <row r="1971" spans="1:1" x14ac:dyDescent="0.25">
      <c r="A1971" s="15"/>
    </row>
    <row r="1972" spans="1:1" x14ac:dyDescent="0.25">
      <c r="A1972" s="15"/>
    </row>
    <row r="1973" spans="1:1" x14ac:dyDescent="0.25">
      <c r="A1973" s="15"/>
    </row>
    <row r="1974" spans="1:1" x14ac:dyDescent="0.25">
      <c r="A1974" s="15"/>
    </row>
    <row r="1975" spans="1:1" x14ac:dyDescent="0.25">
      <c r="A1975" s="15"/>
    </row>
    <row r="1976" spans="1:1" x14ac:dyDescent="0.25">
      <c r="A1976" s="15"/>
    </row>
    <row r="1977" spans="1:1" x14ac:dyDescent="0.25">
      <c r="A1977" s="15"/>
    </row>
    <row r="1978" spans="1:1" x14ac:dyDescent="0.25">
      <c r="A1978" s="15"/>
    </row>
    <row r="1979" spans="1:1" x14ac:dyDescent="0.25">
      <c r="A1979" s="15"/>
    </row>
    <row r="1980" spans="1:1" x14ac:dyDescent="0.25">
      <c r="A1980" s="15"/>
    </row>
    <row r="1981" spans="1:1" x14ac:dyDescent="0.25">
      <c r="A1981" s="15"/>
    </row>
    <row r="1982" spans="1:1" x14ac:dyDescent="0.25">
      <c r="A1982" s="15"/>
    </row>
    <row r="1983" spans="1:1" x14ac:dyDescent="0.25">
      <c r="A1983" s="15"/>
    </row>
    <row r="1984" spans="1:1" x14ac:dyDescent="0.25">
      <c r="A1984" s="15"/>
    </row>
    <row r="1985" spans="1:1" x14ac:dyDescent="0.25">
      <c r="A1985" s="15"/>
    </row>
    <row r="1986" spans="1:1" x14ac:dyDescent="0.25">
      <c r="A1986" s="15"/>
    </row>
    <row r="1987" spans="1:1" x14ac:dyDescent="0.25">
      <c r="A1987" s="15"/>
    </row>
    <row r="1988" spans="1:1" x14ac:dyDescent="0.25">
      <c r="A1988" s="15"/>
    </row>
    <row r="1989" spans="1:1" x14ac:dyDescent="0.25">
      <c r="A1989" s="15"/>
    </row>
    <row r="1990" spans="1:1" x14ac:dyDescent="0.25">
      <c r="A1990" s="15"/>
    </row>
    <row r="1991" spans="1:1" x14ac:dyDescent="0.25">
      <c r="A1991" s="15"/>
    </row>
    <row r="1992" spans="1:1" x14ac:dyDescent="0.25">
      <c r="A1992" s="15"/>
    </row>
    <row r="1993" spans="1:1" x14ac:dyDescent="0.25">
      <c r="A1993" s="15"/>
    </row>
    <row r="1994" spans="1:1" x14ac:dyDescent="0.25">
      <c r="A1994" s="15"/>
    </row>
    <row r="1995" spans="1:1" x14ac:dyDescent="0.25">
      <c r="A1995" s="15"/>
    </row>
    <row r="1996" spans="1:1" x14ac:dyDescent="0.25">
      <c r="A1996" s="15"/>
    </row>
    <row r="1997" spans="1:1" x14ac:dyDescent="0.25">
      <c r="A1997" s="15"/>
    </row>
    <row r="1998" spans="1:1" x14ac:dyDescent="0.25">
      <c r="A1998" s="15"/>
    </row>
    <row r="1999" spans="1:1" x14ac:dyDescent="0.25">
      <c r="A1999" s="15"/>
    </row>
    <row r="2000" spans="1:1" x14ac:dyDescent="0.25">
      <c r="A2000" s="15"/>
    </row>
    <row r="2001" spans="1:1" x14ac:dyDescent="0.25">
      <c r="A2001" s="15"/>
    </row>
    <row r="2002" spans="1:1" x14ac:dyDescent="0.25">
      <c r="A2002" s="15"/>
    </row>
    <row r="2003" spans="1:1" x14ac:dyDescent="0.25">
      <c r="A2003" s="15"/>
    </row>
    <row r="2004" spans="1:1" x14ac:dyDescent="0.25">
      <c r="A2004" s="15"/>
    </row>
    <row r="2005" spans="1:1" x14ac:dyDescent="0.25">
      <c r="A2005" s="15"/>
    </row>
    <row r="2006" spans="1:1" x14ac:dyDescent="0.25">
      <c r="A2006" s="15"/>
    </row>
    <row r="2007" spans="1:1" x14ac:dyDescent="0.25">
      <c r="A2007" s="15"/>
    </row>
    <row r="2008" spans="1:1" x14ac:dyDescent="0.25">
      <c r="A2008" s="15"/>
    </row>
    <row r="2009" spans="1:1" x14ac:dyDescent="0.25">
      <c r="A2009" s="15"/>
    </row>
    <row r="2010" spans="1:1" x14ac:dyDescent="0.25">
      <c r="A2010" s="15"/>
    </row>
    <row r="2011" spans="1:1" x14ac:dyDescent="0.25">
      <c r="A2011" s="15"/>
    </row>
    <row r="2012" spans="1:1" x14ac:dyDescent="0.25">
      <c r="A2012" s="15"/>
    </row>
    <row r="2013" spans="1:1" x14ac:dyDescent="0.25">
      <c r="A2013" s="15"/>
    </row>
    <row r="2014" spans="1:1" x14ac:dyDescent="0.25">
      <c r="A2014" s="15"/>
    </row>
    <row r="2015" spans="1:1" x14ac:dyDescent="0.25">
      <c r="A2015" s="15"/>
    </row>
    <row r="2016" spans="1:1" x14ac:dyDescent="0.25">
      <c r="A2016" s="15"/>
    </row>
    <row r="2017" spans="1:1" x14ac:dyDescent="0.25">
      <c r="A2017" s="15"/>
    </row>
    <row r="2018" spans="1:1" x14ac:dyDescent="0.25">
      <c r="A2018" s="15"/>
    </row>
    <row r="2019" spans="1:1" x14ac:dyDescent="0.25">
      <c r="A2019" s="15"/>
    </row>
    <row r="2020" spans="1:1" x14ac:dyDescent="0.25">
      <c r="A2020" s="15"/>
    </row>
    <row r="2021" spans="1:1" x14ac:dyDescent="0.25">
      <c r="A2021" s="15"/>
    </row>
    <row r="2022" spans="1:1" x14ac:dyDescent="0.25">
      <c r="A2022" s="15"/>
    </row>
    <row r="2023" spans="1:1" x14ac:dyDescent="0.25">
      <c r="A2023" s="15"/>
    </row>
    <row r="2024" spans="1:1" x14ac:dyDescent="0.25">
      <c r="A2024" s="15"/>
    </row>
    <row r="2025" spans="1:1" x14ac:dyDescent="0.25">
      <c r="A2025" s="15"/>
    </row>
    <row r="2026" spans="1:1" x14ac:dyDescent="0.25">
      <c r="A2026" s="15"/>
    </row>
    <row r="2027" spans="1:1" x14ac:dyDescent="0.25">
      <c r="A2027" s="15"/>
    </row>
    <row r="2028" spans="1:1" x14ac:dyDescent="0.25">
      <c r="A2028" s="15"/>
    </row>
    <row r="2029" spans="1:1" x14ac:dyDescent="0.25">
      <c r="A2029" s="15"/>
    </row>
    <row r="2030" spans="1:1" x14ac:dyDescent="0.25">
      <c r="A2030" s="15"/>
    </row>
    <row r="2031" spans="1:1" x14ac:dyDescent="0.25">
      <c r="A2031" s="15"/>
    </row>
    <row r="2032" spans="1:1" x14ac:dyDescent="0.25">
      <c r="A2032" s="15"/>
    </row>
    <row r="2033" spans="1:1" x14ac:dyDescent="0.25">
      <c r="A2033" s="15"/>
    </row>
    <row r="2034" spans="1:1" x14ac:dyDescent="0.25">
      <c r="A2034" s="15"/>
    </row>
    <row r="2035" spans="1:1" x14ac:dyDescent="0.25">
      <c r="A2035" s="15"/>
    </row>
    <row r="2036" spans="1:1" x14ac:dyDescent="0.25">
      <c r="A2036" s="15"/>
    </row>
    <row r="2037" spans="1:1" x14ac:dyDescent="0.25">
      <c r="A2037" s="15"/>
    </row>
    <row r="2038" spans="1:1" x14ac:dyDescent="0.25">
      <c r="A2038" s="15"/>
    </row>
    <row r="2039" spans="1:1" x14ac:dyDescent="0.25">
      <c r="A2039" s="15"/>
    </row>
    <row r="2040" spans="1:1" x14ac:dyDescent="0.25">
      <c r="A2040" s="15"/>
    </row>
    <row r="2041" spans="1:1" x14ac:dyDescent="0.25">
      <c r="A2041" s="15"/>
    </row>
    <row r="2042" spans="1:1" x14ac:dyDescent="0.25">
      <c r="A2042" s="15"/>
    </row>
    <row r="2043" spans="1:1" x14ac:dyDescent="0.25">
      <c r="A2043" s="15"/>
    </row>
    <row r="2044" spans="1:1" x14ac:dyDescent="0.25">
      <c r="A2044" s="15"/>
    </row>
    <row r="2045" spans="1:1" x14ac:dyDescent="0.25">
      <c r="A2045" s="15"/>
    </row>
    <row r="2046" spans="1:1" x14ac:dyDescent="0.25">
      <c r="A2046" s="15"/>
    </row>
    <row r="2047" spans="1:1" x14ac:dyDescent="0.25">
      <c r="A2047" s="15"/>
    </row>
    <row r="2048" spans="1:1" x14ac:dyDescent="0.25">
      <c r="A2048" s="15"/>
    </row>
    <row r="2049" spans="1:1" x14ac:dyDescent="0.25">
      <c r="A2049" s="15"/>
    </row>
    <row r="2050" spans="1:1" x14ac:dyDescent="0.25">
      <c r="A2050" s="15"/>
    </row>
    <row r="2051" spans="1:1" x14ac:dyDescent="0.25">
      <c r="A2051" s="15"/>
    </row>
    <row r="2052" spans="1:1" x14ac:dyDescent="0.25">
      <c r="A2052" s="15"/>
    </row>
    <row r="2053" spans="1:1" x14ac:dyDescent="0.25">
      <c r="A2053" s="15"/>
    </row>
    <row r="2054" spans="1:1" x14ac:dyDescent="0.25">
      <c r="A2054" s="15"/>
    </row>
    <row r="2055" spans="1:1" x14ac:dyDescent="0.25">
      <c r="A2055" s="15"/>
    </row>
    <row r="2056" spans="1:1" x14ac:dyDescent="0.25">
      <c r="A2056" s="15"/>
    </row>
    <row r="2057" spans="1:1" x14ac:dyDescent="0.25">
      <c r="A2057" s="15"/>
    </row>
    <row r="2058" spans="1:1" x14ac:dyDescent="0.25">
      <c r="A2058" s="15"/>
    </row>
    <row r="2059" spans="1:1" x14ac:dyDescent="0.25">
      <c r="A2059" s="15"/>
    </row>
    <row r="2060" spans="1:1" x14ac:dyDescent="0.25">
      <c r="A2060" s="15"/>
    </row>
    <row r="2061" spans="1:1" x14ac:dyDescent="0.25">
      <c r="A2061" s="15"/>
    </row>
    <row r="2062" spans="1:1" x14ac:dyDescent="0.25">
      <c r="A2062" s="15"/>
    </row>
    <row r="2063" spans="1:1" x14ac:dyDescent="0.25">
      <c r="A2063" s="15"/>
    </row>
    <row r="2064" spans="1:1" x14ac:dyDescent="0.25">
      <c r="A2064" s="15"/>
    </row>
    <row r="2065" spans="1:1" x14ac:dyDescent="0.25">
      <c r="A2065" s="15"/>
    </row>
    <row r="2066" spans="1:1" x14ac:dyDescent="0.25">
      <c r="A2066" s="15"/>
    </row>
    <row r="2067" spans="1:1" x14ac:dyDescent="0.25">
      <c r="A2067" s="15"/>
    </row>
    <row r="2068" spans="1:1" x14ac:dyDescent="0.25">
      <c r="A2068" s="15"/>
    </row>
    <row r="2069" spans="1:1" x14ac:dyDescent="0.25">
      <c r="A2069" s="15"/>
    </row>
    <row r="2070" spans="1:1" x14ac:dyDescent="0.25">
      <c r="A2070" s="15"/>
    </row>
    <row r="2071" spans="1:1" x14ac:dyDescent="0.25">
      <c r="A2071" s="15"/>
    </row>
    <row r="2072" spans="1:1" x14ac:dyDescent="0.25">
      <c r="A2072" s="15"/>
    </row>
    <row r="2073" spans="1:1" x14ac:dyDescent="0.25">
      <c r="A2073" s="15"/>
    </row>
    <row r="2074" spans="1:1" x14ac:dyDescent="0.25">
      <c r="A2074" s="15"/>
    </row>
    <row r="2075" spans="1:1" x14ac:dyDescent="0.25">
      <c r="A2075" s="15"/>
    </row>
    <row r="2076" spans="1:1" x14ac:dyDescent="0.25">
      <c r="A2076" s="15"/>
    </row>
    <row r="2077" spans="1:1" x14ac:dyDescent="0.25">
      <c r="A2077" s="15"/>
    </row>
    <row r="2078" spans="1:1" x14ac:dyDescent="0.25">
      <c r="A2078" s="15"/>
    </row>
    <row r="2079" spans="1:1" x14ac:dyDescent="0.25">
      <c r="A2079" s="15"/>
    </row>
    <row r="2080" spans="1:1" x14ac:dyDescent="0.25">
      <c r="A2080" s="15"/>
    </row>
    <row r="2081" spans="1:1" x14ac:dyDescent="0.25">
      <c r="A2081" s="15"/>
    </row>
    <row r="2082" spans="1:1" x14ac:dyDescent="0.25">
      <c r="A2082" s="15"/>
    </row>
    <row r="2083" spans="1:1" x14ac:dyDescent="0.25">
      <c r="A2083" s="15"/>
    </row>
    <row r="2084" spans="1:1" x14ac:dyDescent="0.25">
      <c r="A2084" s="15"/>
    </row>
    <row r="2085" spans="1:1" x14ac:dyDescent="0.25">
      <c r="A2085" s="15"/>
    </row>
    <row r="2086" spans="1:1" x14ac:dyDescent="0.25">
      <c r="A2086" s="15"/>
    </row>
    <row r="2087" spans="1:1" x14ac:dyDescent="0.25">
      <c r="A2087" s="15"/>
    </row>
    <row r="2088" spans="1:1" x14ac:dyDescent="0.25">
      <c r="A2088" s="15"/>
    </row>
    <row r="2089" spans="1:1" x14ac:dyDescent="0.25">
      <c r="A2089" s="15"/>
    </row>
    <row r="2090" spans="1:1" x14ac:dyDescent="0.25">
      <c r="A2090" s="15"/>
    </row>
    <row r="2091" spans="1:1" x14ac:dyDescent="0.25">
      <c r="A2091" s="15"/>
    </row>
    <row r="2092" spans="1:1" x14ac:dyDescent="0.25">
      <c r="A2092" s="15"/>
    </row>
    <row r="2093" spans="1:1" x14ac:dyDescent="0.25">
      <c r="A2093" s="15"/>
    </row>
    <row r="2094" spans="1:1" x14ac:dyDescent="0.25">
      <c r="A2094" s="15"/>
    </row>
    <row r="2095" spans="1:1" x14ac:dyDescent="0.25">
      <c r="A2095" s="15"/>
    </row>
    <row r="2096" spans="1:1" x14ac:dyDescent="0.25">
      <c r="A2096" s="15"/>
    </row>
    <row r="2097" spans="1:1" x14ac:dyDescent="0.25">
      <c r="A2097" s="15"/>
    </row>
    <row r="2098" spans="1:1" x14ac:dyDescent="0.25">
      <c r="A2098" s="15"/>
    </row>
    <row r="2099" spans="1:1" x14ac:dyDescent="0.25">
      <c r="A2099" s="15"/>
    </row>
    <row r="2100" spans="1:1" x14ac:dyDescent="0.25">
      <c r="A2100" s="15"/>
    </row>
    <row r="2101" spans="1:1" x14ac:dyDescent="0.25">
      <c r="A2101" s="15"/>
    </row>
    <row r="2102" spans="1:1" x14ac:dyDescent="0.25">
      <c r="A2102" s="15"/>
    </row>
    <row r="2103" spans="1:1" x14ac:dyDescent="0.25">
      <c r="A2103" s="15"/>
    </row>
    <row r="2104" spans="1:1" x14ac:dyDescent="0.25">
      <c r="A2104" s="15"/>
    </row>
    <row r="2105" spans="1:1" x14ac:dyDescent="0.25">
      <c r="A2105" s="15"/>
    </row>
    <row r="2106" spans="1:1" x14ac:dyDescent="0.25">
      <c r="A2106" s="15"/>
    </row>
    <row r="2107" spans="1:1" x14ac:dyDescent="0.25">
      <c r="A2107" s="15"/>
    </row>
    <row r="2108" spans="1:1" x14ac:dyDescent="0.25">
      <c r="A2108" s="15"/>
    </row>
    <row r="2109" spans="1:1" x14ac:dyDescent="0.25">
      <c r="A2109" s="15"/>
    </row>
    <row r="2110" spans="1:1" x14ac:dyDescent="0.25">
      <c r="A2110" s="15"/>
    </row>
    <row r="2111" spans="1:1" x14ac:dyDescent="0.25">
      <c r="A2111" s="15"/>
    </row>
    <row r="2112" spans="1:1" x14ac:dyDescent="0.25">
      <c r="A2112" s="15"/>
    </row>
    <row r="2113" spans="1:1" x14ac:dyDescent="0.25">
      <c r="A2113" s="15"/>
    </row>
    <row r="2114" spans="1:1" x14ac:dyDescent="0.25">
      <c r="A2114" s="15"/>
    </row>
    <row r="2115" spans="1:1" x14ac:dyDescent="0.25">
      <c r="A2115" s="15"/>
    </row>
    <row r="2116" spans="1:1" x14ac:dyDescent="0.25">
      <c r="A2116" s="15"/>
    </row>
    <row r="2117" spans="1:1" x14ac:dyDescent="0.25">
      <c r="A2117" s="15"/>
    </row>
    <row r="2118" spans="1:1" x14ac:dyDescent="0.25">
      <c r="A2118" s="15"/>
    </row>
    <row r="2119" spans="1:1" x14ac:dyDescent="0.25">
      <c r="A2119" s="15"/>
    </row>
    <row r="2120" spans="1:1" x14ac:dyDescent="0.25">
      <c r="A2120" s="15"/>
    </row>
    <row r="2121" spans="1:1" x14ac:dyDescent="0.25">
      <c r="A2121" s="15"/>
    </row>
    <row r="2122" spans="1:1" x14ac:dyDescent="0.25">
      <c r="A2122" s="15"/>
    </row>
    <row r="2123" spans="1:1" x14ac:dyDescent="0.25">
      <c r="A2123" s="15"/>
    </row>
    <row r="2124" spans="1:1" x14ac:dyDescent="0.25">
      <c r="A2124" s="15"/>
    </row>
    <row r="2125" spans="1:1" x14ac:dyDescent="0.25">
      <c r="A2125" s="15"/>
    </row>
    <row r="2126" spans="1:1" x14ac:dyDescent="0.25">
      <c r="A2126" s="15"/>
    </row>
    <row r="2127" spans="1:1" x14ac:dyDescent="0.25">
      <c r="A2127" s="15"/>
    </row>
    <row r="2128" spans="1:1" x14ac:dyDescent="0.25">
      <c r="A2128" s="15"/>
    </row>
    <row r="2129" spans="1:1" x14ac:dyDescent="0.25">
      <c r="A2129" s="15"/>
    </row>
    <row r="2130" spans="1:1" x14ac:dyDescent="0.25">
      <c r="A2130" s="15"/>
    </row>
    <row r="2131" spans="1:1" x14ac:dyDescent="0.25">
      <c r="A2131" s="15"/>
    </row>
    <row r="2132" spans="1:1" x14ac:dyDescent="0.25">
      <c r="A2132" s="15"/>
    </row>
    <row r="2133" spans="1:1" x14ac:dyDescent="0.25">
      <c r="A2133" s="15"/>
    </row>
    <row r="2134" spans="1:1" x14ac:dyDescent="0.25">
      <c r="A2134" s="15"/>
    </row>
    <row r="2135" spans="1:1" x14ac:dyDescent="0.25">
      <c r="A2135" s="15"/>
    </row>
    <row r="2136" spans="1:1" x14ac:dyDescent="0.25">
      <c r="A2136" s="15"/>
    </row>
    <row r="2137" spans="1:1" x14ac:dyDescent="0.25">
      <c r="A2137" s="15"/>
    </row>
    <row r="2138" spans="1:1" x14ac:dyDescent="0.25">
      <c r="A2138" s="15"/>
    </row>
    <row r="2139" spans="1:1" x14ac:dyDescent="0.25">
      <c r="A2139" s="15"/>
    </row>
    <row r="2140" spans="1:1" x14ac:dyDescent="0.25">
      <c r="A2140" s="15"/>
    </row>
    <row r="2141" spans="1:1" x14ac:dyDescent="0.25">
      <c r="A2141" s="15"/>
    </row>
    <row r="2142" spans="1:1" x14ac:dyDescent="0.25">
      <c r="A2142" s="15"/>
    </row>
    <row r="2143" spans="1:1" x14ac:dyDescent="0.25">
      <c r="A2143" s="15"/>
    </row>
    <row r="2144" spans="1:1" x14ac:dyDescent="0.25">
      <c r="A2144" s="15"/>
    </row>
    <row r="2145" spans="1:1" x14ac:dyDescent="0.25">
      <c r="A2145" s="15"/>
    </row>
    <row r="2146" spans="1:1" x14ac:dyDescent="0.25">
      <c r="A2146" s="15"/>
    </row>
    <row r="2147" spans="1:1" x14ac:dyDescent="0.25">
      <c r="A2147" s="15"/>
    </row>
    <row r="2148" spans="1:1" x14ac:dyDescent="0.25">
      <c r="A2148" s="15"/>
    </row>
    <row r="2149" spans="1:1" x14ac:dyDescent="0.25">
      <c r="A2149" s="15"/>
    </row>
    <row r="2150" spans="1:1" x14ac:dyDescent="0.25">
      <c r="A2150" s="15"/>
    </row>
    <row r="2151" spans="1:1" x14ac:dyDescent="0.25">
      <c r="A2151" s="15"/>
    </row>
    <row r="2152" spans="1:1" x14ac:dyDescent="0.25">
      <c r="A2152" s="15"/>
    </row>
    <row r="2153" spans="1:1" x14ac:dyDescent="0.25">
      <c r="A2153" s="15"/>
    </row>
    <row r="2154" spans="1:1" x14ac:dyDescent="0.25">
      <c r="A2154" s="15"/>
    </row>
    <row r="2155" spans="1:1" x14ac:dyDescent="0.25">
      <c r="A2155" s="15"/>
    </row>
    <row r="2156" spans="1:1" x14ac:dyDescent="0.25">
      <c r="A2156" s="15"/>
    </row>
    <row r="2157" spans="1:1" x14ac:dyDescent="0.25">
      <c r="A2157" s="15"/>
    </row>
    <row r="2158" spans="1:1" x14ac:dyDescent="0.25">
      <c r="A2158" s="15"/>
    </row>
    <row r="2159" spans="1:1" x14ac:dyDescent="0.25">
      <c r="A2159" s="15"/>
    </row>
    <row r="2160" spans="1:1" x14ac:dyDescent="0.25">
      <c r="A2160" s="15"/>
    </row>
    <row r="2161" spans="1:1" x14ac:dyDescent="0.25">
      <c r="A2161" s="15"/>
    </row>
    <row r="2162" spans="1:1" x14ac:dyDescent="0.25">
      <c r="A2162" s="15"/>
    </row>
    <row r="2163" spans="1:1" x14ac:dyDescent="0.25">
      <c r="A2163" s="15"/>
    </row>
    <row r="2164" spans="1:1" x14ac:dyDescent="0.25">
      <c r="A2164" s="15"/>
    </row>
    <row r="2165" spans="1:1" x14ac:dyDescent="0.25">
      <c r="A2165" s="15"/>
    </row>
    <row r="2166" spans="1:1" x14ac:dyDescent="0.25">
      <c r="A2166" s="15"/>
    </row>
    <row r="2167" spans="1:1" x14ac:dyDescent="0.25">
      <c r="A2167" s="15"/>
    </row>
    <row r="2168" spans="1:1" x14ac:dyDescent="0.25">
      <c r="A2168" s="15"/>
    </row>
    <row r="2169" spans="1:1" x14ac:dyDescent="0.25">
      <c r="A2169" s="15"/>
    </row>
    <row r="2170" spans="1:1" x14ac:dyDescent="0.25">
      <c r="A2170" s="15"/>
    </row>
    <row r="2171" spans="1:1" x14ac:dyDescent="0.25">
      <c r="A2171" s="15"/>
    </row>
    <row r="2172" spans="1:1" x14ac:dyDescent="0.25">
      <c r="A2172" s="15"/>
    </row>
    <row r="2173" spans="1:1" x14ac:dyDescent="0.25">
      <c r="A2173" s="15"/>
    </row>
    <row r="2174" spans="1:1" x14ac:dyDescent="0.25">
      <c r="A2174" s="15"/>
    </row>
    <row r="2175" spans="1:1" x14ac:dyDescent="0.25">
      <c r="A2175" s="15"/>
    </row>
    <row r="2176" spans="1:1" x14ac:dyDescent="0.25">
      <c r="A2176" s="15"/>
    </row>
    <row r="2177" spans="1:1" x14ac:dyDescent="0.25">
      <c r="A2177" s="15"/>
    </row>
    <row r="2178" spans="1:1" x14ac:dyDescent="0.25">
      <c r="A2178" s="15"/>
    </row>
    <row r="2179" spans="1:1" x14ac:dyDescent="0.25">
      <c r="A2179" s="15"/>
    </row>
    <row r="2180" spans="1:1" x14ac:dyDescent="0.25">
      <c r="A2180" s="15"/>
    </row>
    <row r="2181" spans="1:1" x14ac:dyDescent="0.25">
      <c r="A2181" s="15"/>
    </row>
    <row r="2182" spans="1:1" x14ac:dyDescent="0.25">
      <c r="A2182" s="15"/>
    </row>
    <row r="2183" spans="1:1" x14ac:dyDescent="0.25">
      <c r="A2183" s="15"/>
    </row>
    <row r="2184" spans="1:1" x14ac:dyDescent="0.25">
      <c r="A2184" s="15"/>
    </row>
    <row r="2185" spans="1:1" x14ac:dyDescent="0.25">
      <c r="A2185" s="15"/>
    </row>
    <row r="2186" spans="1:1" x14ac:dyDescent="0.25">
      <c r="A2186" s="15"/>
    </row>
    <row r="2187" spans="1:1" x14ac:dyDescent="0.25">
      <c r="A2187" s="15"/>
    </row>
    <row r="2188" spans="1:1" x14ac:dyDescent="0.25">
      <c r="A2188" s="15"/>
    </row>
    <row r="2189" spans="1:1" x14ac:dyDescent="0.25">
      <c r="A2189" s="15"/>
    </row>
    <row r="2190" spans="1:1" x14ac:dyDescent="0.25">
      <c r="A2190" s="15"/>
    </row>
    <row r="2191" spans="1:1" x14ac:dyDescent="0.25">
      <c r="A2191" s="15"/>
    </row>
    <row r="2192" spans="1:1" x14ac:dyDescent="0.25">
      <c r="A2192" s="15"/>
    </row>
    <row r="2193" spans="1:1" x14ac:dyDescent="0.25">
      <c r="A2193" s="15"/>
    </row>
    <row r="2194" spans="1:1" x14ac:dyDescent="0.25">
      <c r="A2194" s="15"/>
    </row>
    <row r="2195" spans="1:1" x14ac:dyDescent="0.25">
      <c r="A2195" s="15"/>
    </row>
    <row r="2196" spans="1:1" x14ac:dyDescent="0.25">
      <c r="A2196" s="15"/>
    </row>
    <row r="2197" spans="1:1" x14ac:dyDescent="0.25">
      <c r="A2197" s="15"/>
    </row>
    <row r="2198" spans="1:1" x14ac:dyDescent="0.25">
      <c r="A2198" s="15"/>
    </row>
    <row r="2199" spans="1:1" x14ac:dyDescent="0.25">
      <c r="A2199" s="15"/>
    </row>
    <row r="2200" spans="1:1" x14ac:dyDescent="0.25">
      <c r="A2200" s="15"/>
    </row>
    <row r="2201" spans="1:1" x14ac:dyDescent="0.25">
      <c r="A2201" s="15"/>
    </row>
    <row r="2202" spans="1:1" x14ac:dyDescent="0.25">
      <c r="A2202" s="15"/>
    </row>
    <row r="2203" spans="1:1" x14ac:dyDescent="0.25">
      <c r="A2203" s="15"/>
    </row>
    <row r="2204" spans="1:1" x14ac:dyDescent="0.25">
      <c r="A2204" s="15"/>
    </row>
    <row r="2205" spans="1:1" x14ac:dyDescent="0.25">
      <c r="A2205" s="15"/>
    </row>
    <row r="2206" spans="1:1" x14ac:dyDescent="0.25">
      <c r="A2206" s="15"/>
    </row>
    <row r="2207" spans="1:1" x14ac:dyDescent="0.25">
      <c r="A2207" s="15"/>
    </row>
    <row r="2208" spans="1:1" x14ac:dyDescent="0.25">
      <c r="A2208" s="15"/>
    </row>
    <row r="2209" spans="1:1" x14ac:dyDescent="0.25">
      <c r="A2209" s="15"/>
    </row>
    <row r="2210" spans="1:1" x14ac:dyDescent="0.25">
      <c r="A2210" s="15"/>
    </row>
    <row r="2211" spans="1:1" x14ac:dyDescent="0.25">
      <c r="A2211" s="15"/>
    </row>
    <row r="2212" spans="1:1" x14ac:dyDescent="0.25">
      <c r="A2212" s="15"/>
    </row>
    <row r="2213" spans="1:1" x14ac:dyDescent="0.25">
      <c r="A2213" s="15"/>
    </row>
    <row r="2214" spans="1:1" x14ac:dyDescent="0.25">
      <c r="A2214" s="15"/>
    </row>
    <row r="2215" spans="1:1" x14ac:dyDescent="0.25">
      <c r="A2215" s="15"/>
    </row>
    <row r="2216" spans="1:1" x14ac:dyDescent="0.25">
      <c r="A2216" s="15"/>
    </row>
    <row r="2217" spans="1:1" x14ac:dyDescent="0.25">
      <c r="A2217" s="15"/>
    </row>
    <row r="2218" spans="1:1" x14ac:dyDescent="0.25">
      <c r="A2218" s="15"/>
    </row>
    <row r="2219" spans="1:1" x14ac:dyDescent="0.25">
      <c r="A2219" s="15"/>
    </row>
    <row r="2220" spans="1:1" x14ac:dyDescent="0.25">
      <c r="A2220" s="15"/>
    </row>
    <row r="2221" spans="1:1" x14ac:dyDescent="0.25">
      <c r="A2221" s="15"/>
    </row>
    <row r="2222" spans="1:1" x14ac:dyDescent="0.25">
      <c r="A2222" s="15"/>
    </row>
    <row r="2223" spans="1:1" x14ac:dyDescent="0.25">
      <c r="A2223" s="15"/>
    </row>
    <row r="2224" spans="1:1" x14ac:dyDescent="0.25">
      <c r="A2224" s="15"/>
    </row>
    <row r="2225" spans="1:1" x14ac:dyDescent="0.25">
      <c r="A2225" s="15"/>
    </row>
    <row r="2226" spans="1:1" x14ac:dyDescent="0.25">
      <c r="A2226" s="15"/>
    </row>
    <row r="2227" spans="1:1" x14ac:dyDescent="0.25">
      <c r="A2227" s="15"/>
    </row>
    <row r="2228" spans="1:1" x14ac:dyDescent="0.25">
      <c r="A2228" s="15"/>
    </row>
    <row r="2229" spans="1:1" x14ac:dyDescent="0.25">
      <c r="A2229" s="15"/>
    </row>
    <row r="2230" spans="1:1" x14ac:dyDescent="0.25">
      <c r="A2230" s="15"/>
    </row>
    <row r="2231" spans="1:1" x14ac:dyDescent="0.25">
      <c r="A2231" s="15"/>
    </row>
    <row r="2232" spans="1:1" x14ac:dyDescent="0.25">
      <c r="A2232" s="15"/>
    </row>
    <row r="2233" spans="1:1" x14ac:dyDescent="0.25">
      <c r="A2233" s="15"/>
    </row>
    <row r="2234" spans="1:1" x14ac:dyDescent="0.25">
      <c r="A2234" s="15"/>
    </row>
    <row r="2235" spans="1:1" x14ac:dyDescent="0.25">
      <c r="A2235" s="15"/>
    </row>
    <row r="2236" spans="1:1" x14ac:dyDescent="0.25">
      <c r="A2236" s="15"/>
    </row>
    <row r="2237" spans="1:1" x14ac:dyDescent="0.25">
      <c r="A2237" s="15"/>
    </row>
    <row r="2238" spans="1:1" x14ac:dyDescent="0.25">
      <c r="A2238" s="15"/>
    </row>
    <row r="2239" spans="1:1" x14ac:dyDescent="0.25">
      <c r="A2239" s="15"/>
    </row>
    <row r="2240" spans="1:1" x14ac:dyDescent="0.25">
      <c r="A2240" s="15"/>
    </row>
    <row r="2241" spans="1:1" x14ac:dyDescent="0.25">
      <c r="A2241" s="15"/>
    </row>
    <row r="2242" spans="1:1" x14ac:dyDescent="0.25">
      <c r="A2242" s="15"/>
    </row>
    <row r="2243" spans="1:1" x14ac:dyDescent="0.25">
      <c r="A2243" s="15"/>
    </row>
    <row r="2244" spans="1:1" x14ac:dyDescent="0.25">
      <c r="A2244" s="15"/>
    </row>
    <row r="2245" spans="1:1" x14ac:dyDescent="0.25">
      <c r="A2245" s="15"/>
    </row>
    <row r="2246" spans="1:1" x14ac:dyDescent="0.25">
      <c r="A2246" s="15"/>
    </row>
    <row r="2247" spans="1:1" x14ac:dyDescent="0.25">
      <c r="A2247" s="15"/>
    </row>
    <row r="2248" spans="1:1" x14ac:dyDescent="0.25">
      <c r="A2248" s="15"/>
    </row>
    <row r="2249" spans="1:1" x14ac:dyDescent="0.25">
      <c r="A2249" s="15"/>
    </row>
    <row r="2250" spans="1:1" x14ac:dyDescent="0.25">
      <c r="A2250" s="15"/>
    </row>
    <row r="2251" spans="1:1" x14ac:dyDescent="0.25">
      <c r="A2251" s="15"/>
    </row>
    <row r="2252" spans="1:1" x14ac:dyDescent="0.25">
      <c r="A2252" s="15"/>
    </row>
    <row r="2253" spans="1:1" x14ac:dyDescent="0.25">
      <c r="A2253" s="15"/>
    </row>
    <row r="2254" spans="1:1" x14ac:dyDescent="0.25">
      <c r="A2254" s="15"/>
    </row>
    <row r="2255" spans="1:1" x14ac:dyDescent="0.25">
      <c r="A2255" s="15"/>
    </row>
    <row r="2256" spans="1:1" x14ac:dyDescent="0.25">
      <c r="A2256" s="15"/>
    </row>
    <row r="2257" spans="1:1" x14ac:dyDescent="0.25">
      <c r="A2257" s="15"/>
    </row>
    <row r="2258" spans="1:1" x14ac:dyDescent="0.25">
      <c r="A2258" s="15"/>
    </row>
    <row r="2259" spans="1:1" x14ac:dyDescent="0.25">
      <c r="A2259" s="15"/>
    </row>
    <row r="2260" spans="1:1" x14ac:dyDescent="0.25">
      <c r="A2260" s="15"/>
    </row>
    <row r="2261" spans="1:1" x14ac:dyDescent="0.25">
      <c r="A2261" s="15"/>
    </row>
    <row r="2262" spans="1:1" x14ac:dyDescent="0.25">
      <c r="A2262" s="15"/>
    </row>
    <row r="2263" spans="1:1" x14ac:dyDescent="0.25">
      <c r="A2263" s="15"/>
    </row>
    <row r="2264" spans="1:1" x14ac:dyDescent="0.25">
      <c r="A2264" s="15"/>
    </row>
    <row r="2265" spans="1:1" x14ac:dyDescent="0.25">
      <c r="A2265" s="15"/>
    </row>
    <row r="2266" spans="1:1" x14ac:dyDescent="0.25">
      <c r="A2266" s="15"/>
    </row>
    <row r="2267" spans="1:1" x14ac:dyDescent="0.25">
      <c r="A2267" s="15"/>
    </row>
    <row r="2268" spans="1:1" x14ac:dyDescent="0.25">
      <c r="A2268" s="15"/>
    </row>
    <row r="2269" spans="1:1" x14ac:dyDescent="0.25">
      <c r="A2269" s="15"/>
    </row>
    <row r="2270" spans="1:1" x14ac:dyDescent="0.25">
      <c r="A2270" s="15"/>
    </row>
    <row r="2271" spans="1:1" x14ac:dyDescent="0.25">
      <c r="A2271" s="15"/>
    </row>
    <row r="2272" spans="1:1" x14ac:dyDescent="0.25">
      <c r="A2272" s="15"/>
    </row>
    <row r="2273" spans="1:1" x14ac:dyDescent="0.25">
      <c r="A2273" s="15"/>
    </row>
    <row r="2274" spans="1:1" x14ac:dyDescent="0.25">
      <c r="A2274" s="15"/>
    </row>
    <row r="2275" spans="1:1" x14ac:dyDescent="0.25">
      <c r="A2275" s="15"/>
    </row>
    <row r="2276" spans="1:1" x14ac:dyDescent="0.25">
      <c r="A2276" s="15"/>
    </row>
    <row r="2277" spans="1:1" x14ac:dyDescent="0.25">
      <c r="A2277" s="15"/>
    </row>
    <row r="2278" spans="1:1" x14ac:dyDescent="0.25">
      <c r="A2278" s="15"/>
    </row>
    <row r="2279" spans="1:1" x14ac:dyDescent="0.25">
      <c r="A2279" s="15"/>
    </row>
    <row r="2280" spans="1:1" x14ac:dyDescent="0.25">
      <c r="A2280" s="15"/>
    </row>
    <row r="2281" spans="1:1" x14ac:dyDescent="0.25">
      <c r="A2281" s="15"/>
    </row>
    <row r="2282" spans="1:1" x14ac:dyDescent="0.25">
      <c r="A2282" s="15"/>
    </row>
    <row r="2283" spans="1:1" x14ac:dyDescent="0.25">
      <c r="A2283" s="15"/>
    </row>
    <row r="2284" spans="1:1" x14ac:dyDescent="0.25">
      <c r="A2284" s="15"/>
    </row>
    <row r="2285" spans="1:1" x14ac:dyDescent="0.25">
      <c r="A2285" s="15"/>
    </row>
    <row r="2286" spans="1:1" x14ac:dyDescent="0.25">
      <c r="A2286" s="15"/>
    </row>
    <row r="2287" spans="1:1" x14ac:dyDescent="0.25">
      <c r="A2287" s="15"/>
    </row>
    <row r="2288" spans="1:1" x14ac:dyDescent="0.25">
      <c r="A2288" s="15"/>
    </row>
    <row r="2289" spans="1:1" x14ac:dyDescent="0.25">
      <c r="A2289" s="15"/>
    </row>
    <row r="2290" spans="1:1" x14ac:dyDescent="0.25">
      <c r="A2290" s="15"/>
    </row>
    <row r="2291" spans="1:1" x14ac:dyDescent="0.25">
      <c r="A2291" s="15"/>
    </row>
    <row r="2292" spans="1:1" x14ac:dyDescent="0.25">
      <c r="A2292" s="15"/>
    </row>
    <row r="2293" spans="1:1" x14ac:dyDescent="0.25">
      <c r="A2293" s="15"/>
    </row>
    <row r="2294" spans="1:1" x14ac:dyDescent="0.25">
      <c r="A2294" s="15"/>
    </row>
    <row r="2295" spans="1:1" x14ac:dyDescent="0.25">
      <c r="A2295" s="15"/>
    </row>
    <row r="2296" spans="1:1" x14ac:dyDescent="0.25">
      <c r="A2296" s="15"/>
    </row>
    <row r="2297" spans="1:1" x14ac:dyDescent="0.25">
      <c r="A2297" s="15"/>
    </row>
    <row r="2298" spans="1:1" x14ac:dyDescent="0.25">
      <c r="A2298" s="15"/>
    </row>
    <row r="2299" spans="1:1" x14ac:dyDescent="0.25">
      <c r="A2299" s="15"/>
    </row>
    <row r="2300" spans="1:1" x14ac:dyDescent="0.25">
      <c r="A2300" s="15"/>
    </row>
    <row r="2301" spans="1:1" x14ac:dyDescent="0.25">
      <c r="A2301" s="15"/>
    </row>
    <row r="2302" spans="1:1" x14ac:dyDescent="0.25">
      <c r="A2302" s="15"/>
    </row>
    <row r="2303" spans="1:1" x14ac:dyDescent="0.25">
      <c r="A2303" s="15"/>
    </row>
    <row r="2304" spans="1:1" x14ac:dyDescent="0.25">
      <c r="A2304" s="15"/>
    </row>
    <row r="2305" spans="1:1" x14ac:dyDescent="0.25">
      <c r="A2305" s="15"/>
    </row>
    <row r="2306" spans="1:1" x14ac:dyDescent="0.25">
      <c r="A2306" s="15"/>
    </row>
    <row r="2307" spans="1:1" x14ac:dyDescent="0.25">
      <c r="A2307" s="15"/>
    </row>
    <row r="2308" spans="1:1" x14ac:dyDescent="0.25">
      <c r="A2308" s="15"/>
    </row>
    <row r="2309" spans="1:1" x14ac:dyDescent="0.25">
      <c r="A2309" s="15"/>
    </row>
    <row r="2310" spans="1:1" x14ac:dyDescent="0.25">
      <c r="A2310" s="15"/>
    </row>
    <row r="2311" spans="1:1" x14ac:dyDescent="0.25">
      <c r="A2311" s="15"/>
    </row>
    <row r="2312" spans="1:1" x14ac:dyDescent="0.25">
      <c r="A2312" s="15"/>
    </row>
    <row r="2313" spans="1:1" x14ac:dyDescent="0.25">
      <c r="A2313" s="15"/>
    </row>
    <row r="2314" spans="1:1" x14ac:dyDescent="0.25">
      <c r="A2314" s="15"/>
    </row>
    <row r="2315" spans="1:1" x14ac:dyDescent="0.25">
      <c r="A2315" s="15"/>
    </row>
    <row r="2316" spans="1:1" x14ac:dyDescent="0.25">
      <c r="A2316" s="15"/>
    </row>
    <row r="2317" spans="1:1" x14ac:dyDescent="0.25">
      <c r="A2317" s="15"/>
    </row>
    <row r="2318" spans="1:1" x14ac:dyDescent="0.25">
      <c r="A2318" s="15"/>
    </row>
    <row r="2319" spans="1:1" x14ac:dyDescent="0.25">
      <c r="A2319" s="15"/>
    </row>
    <row r="2320" spans="1:1" x14ac:dyDescent="0.25">
      <c r="A2320" s="15"/>
    </row>
    <row r="2321" spans="1:1" x14ac:dyDescent="0.25">
      <c r="A2321" s="15"/>
    </row>
    <row r="2322" spans="1:1" x14ac:dyDescent="0.25">
      <c r="A2322" s="15"/>
    </row>
    <row r="2323" spans="1:1" x14ac:dyDescent="0.25">
      <c r="A2323" s="15"/>
    </row>
    <row r="2324" spans="1:1" x14ac:dyDescent="0.25">
      <c r="A2324" s="15"/>
    </row>
    <row r="2325" spans="1:1" x14ac:dyDescent="0.25">
      <c r="A2325" s="15"/>
    </row>
    <row r="2326" spans="1:1" x14ac:dyDescent="0.25">
      <c r="A2326" s="15"/>
    </row>
    <row r="2327" spans="1:1" x14ac:dyDescent="0.25">
      <c r="A2327" s="15"/>
    </row>
    <row r="2328" spans="1:1" x14ac:dyDescent="0.25">
      <c r="A2328" s="15"/>
    </row>
    <row r="2329" spans="1:1" x14ac:dyDescent="0.25">
      <c r="A2329" s="15"/>
    </row>
    <row r="2330" spans="1:1" x14ac:dyDescent="0.25">
      <c r="A2330" s="15"/>
    </row>
    <row r="2331" spans="1:1" x14ac:dyDescent="0.25">
      <c r="A2331" s="15"/>
    </row>
    <row r="2332" spans="1:1" x14ac:dyDescent="0.25">
      <c r="A2332" s="15"/>
    </row>
    <row r="2333" spans="1:1" x14ac:dyDescent="0.25">
      <c r="A2333" s="15"/>
    </row>
    <row r="2334" spans="1:1" x14ac:dyDescent="0.25">
      <c r="A2334" s="15"/>
    </row>
    <row r="2335" spans="1:1" x14ac:dyDescent="0.25">
      <c r="A2335" s="15"/>
    </row>
    <row r="2336" spans="1:1" x14ac:dyDescent="0.25">
      <c r="A2336" s="15"/>
    </row>
    <row r="2337" spans="1:1" x14ac:dyDescent="0.25">
      <c r="A2337" s="15"/>
    </row>
    <row r="2338" spans="1:1" x14ac:dyDescent="0.25">
      <c r="A2338" s="15"/>
    </row>
    <row r="2339" spans="1:1" x14ac:dyDescent="0.25">
      <c r="A2339" s="15"/>
    </row>
    <row r="2340" spans="1:1" x14ac:dyDescent="0.25">
      <c r="A2340" s="15"/>
    </row>
    <row r="2341" spans="1:1" x14ac:dyDescent="0.25">
      <c r="A2341" s="15"/>
    </row>
    <row r="2342" spans="1:1" x14ac:dyDescent="0.25">
      <c r="A2342" s="15"/>
    </row>
    <row r="2343" spans="1:1" x14ac:dyDescent="0.25">
      <c r="A2343" s="15"/>
    </row>
    <row r="2344" spans="1:1" x14ac:dyDescent="0.25">
      <c r="A2344" s="15"/>
    </row>
    <row r="2345" spans="1:1" x14ac:dyDescent="0.25">
      <c r="A2345" s="15"/>
    </row>
    <row r="2346" spans="1:1" x14ac:dyDescent="0.25">
      <c r="A2346" s="15"/>
    </row>
    <row r="2347" spans="1:1" x14ac:dyDescent="0.25">
      <c r="A2347" s="15"/>
    </row>
    <row r="2348" spans="1:1" x14ac:dyDescent="0.25">
      <c r="A2348" s="15"/>
    </row>
    <row r="2349" spans="1:1" x14ac:dyDescent="0.25">
      <c r="A2349" s="15"/>
    </row>
    <row r="2350" spans="1:1" x14ac:dyDescent="0.25">
      <c r="A2350" s="15"/>
    </row>
    <row r="2351" spans="1:1" x14ac:dyDescent="0.25">
      <c r="A2351" s="15"/>
    </row>
    <row r="2352" spans="1:1" x14ac:dyDescent="0.25">
      <c r="A2352" s="15"/>
    </row>
    <row r="2353" spans="1:1" x14ac:dyDescent="0.25">
      <c r="A2353" s="15"/>
    </row>
    <row r="2354" spans="1:1" x14ac:dyDescent="0.25">
      <c r="A2354" s="15"/>
    </row>
    <row r="2355" spans="1:1" x14ac:dyDescent="0.25">
      <c r="A2355" s="15"/>
    </row>
    <row r="2356" spans="1:1" x14ac:dyDescent="0.25">
      <c r="A2356" s="15"/>
    </row>
    <row r="2357" spans="1:1" x14ac:dyDescent="0.25">
      <c r="A2357" s="15"/>
    </row>
    <row r="2358" spans="1:1" x14ac:dyDescent="0.25">
      <c r="A2358" s="15"/>
    </row>
    <row r="2359" spans="1:1" x14ac:dyDescent="0.25">
      <c r="A2359" s="15"/>
    </row>
    <row r="2360" spans="1:1" x14ac:dyDescent="0.25">
      <c r="A2360" s="15"/>
    </row>
    <row r="2361" spans="1:1" x14ac:dyDescent="0.25">
      <c r="A2361" s="15"/>
    </row>
    <row r="2362" spans="1:1" x14ac:dyDescent="0.25">
      <c r="A2362" s="15"/>
    </row>
    <row r="2363" spans="1:1" x14ac:dyDescent="0.25">
      <c r="A2363" s="15"/>
    </row>
    <row r="2364" spans="1:1" x14ac:dyDescent="0.25">
      <c r="A2364" s="15"/>
    </row>
    <row r="2365" spans="1:1" x14ac:dyDescent="0.25">
      <c r="A2365" s="15"/>
    </row>
    <row r="2366" spans="1:1" x14ac:dyDescent="0.25">
      <c r="A2366" s="15"/>
    </row>
    <row r="2367" spans="1:1" x14ac:dyDescent="0.25">
      <c r="A2367" s="15"/>
    </row>
    <row r="2368" spans="1:1" x14ac:dyDescent="0.25">
      <c r="A2368" s="15"/>
    </row>
    <row r="2369" spans="1:1" x14ac:dyDescent="0.25">
      <c r="A2369" s="15"/>
    </row>
    <row r="2370" spans="1:1" x14ac:dyDescent="0.25">
      <c r="A2370" s="15"/>
    </row>
    <row r="2371" spans="1:1" x14ac:dyDescent="0.25">
      <c r="A2371" s="15"/>
    </row>
    <row r="2372" spans="1:1" x14ac:dyDescent="0.25">
      <c r="A2372" s="15"/>
    </row>
    <row r="2373" spans="1:1" x14ac:dyDescent="0.25">
      <c r="A2373" s="15"/>
    </row>
    <row r="2374" spans="1:1" x14ac:dyDescent="0.25">
      <c r="A2374" s="15"/>
    </row>
    <row r="2375" spans="1:1" x14ac:dyDescent="0.25">
      <c r="A2375" s="15"/>
    </row>
    <row r="2376" spans="1:1" x14ac:dyDescent="0.25">
      <c r="A2376" s="15"/>
    </row>
    <row r="2377" spans="1:1" x14ac:dyDescent="0.25">
      <c r="A2377" s="15"/>
    </row>
    <row r="2378" spans="1:1" x14ac:dyDescent="0.25">
      <c r="A2378" s="15"/>
    </row>
    <row r="2379" spans="1:1" x14ac:dyDescent="0.25">
      <c r="A2379" s="15"/>
    </row>
    <row r="2380" spans="1:1" x14ac:dyDescent="0.25">
      <c r="A2380" s="15"/>
    </row>
    <row r="2381" spans="1:1" x14ac:dyDescent="0.25">
      <c r="A2381" s="15"/>
    </row>
    <row r="2382" spans="1:1" x14ac:dyDescent="0.25">
      <c r="A2382" s="15"/>
    </row>
    <row r="2383" spans="1:1" x14ac:dyDescent="0.25">
      <c r="A2383" s="15"/>
    </row>
    <row r="2384" spans="1:1" x14ac:dyDescent="0.25">
      <c r="A2384" s="15"/>
    </row>
    <row r="2385" spans="1:1" x14ac:dyDescent="0.25">
      <c r="A2385" s="15"/>
    </row>
    <row r="2386" spans="1:1" x14ac:dyDescent="0.25">
      <c r="A2386" s="15"/>
    </row>
    <row r="2387" spans="1:1" x14ac:dyDescent="0.25">
      <c r="A2387" s="15"/>
    </row>
    <row r="2388" spans="1:1" x14ac:dyDescent="0.25">
      <c r="A2388" s="15"/>
    </row>
    <row r="2389" spans="1:1" x14ac:dyDescent="0.25">
      <c r="A2389" s="15"/>
    </row>
    <row r="2390" spans="1:1" x14ac:dyDescent="0.25">
      <c r="A2390" s="15"/>
    </row>
    <row r="2391" spans="1:1" x14ac:dyDescent="0.25">
      <c r="A2391" s="15"/>
    </row>
    <row r="2392" spans="1:1" x14ac:dyDescent="0.25">
      <c r="A2392" s="15"/>
    </row>
    <row r="2393" spans="1:1" x14ac:dyDescent="0.25">
      <c r="A2393" s="15"/>
    </row>
    <row r="2394" spans="1:1" x14ac:dyDescent="0.25">
      <c r="A2394" s="15"/>
    </row>
    <row r="2395" spans="1:1" x14ac:dyDescent="0.25">
      <c r="A2395" s="15"/>
    </row>
    <row r="2396" spans="1:1" x14ac:dyDescent="0.25">
      <c r="A2396" s="15"/>
    </row>
    <row r="2397" spans="1:1" x14ac:dyDescent="0.25">
      <c r="A2397" s="15"/>
    </row>
    <row r="2398" spans="1:1" x14ac:dyDescent="0.25">
      <c r="A2398" s="15"/>
    </row>
    <row r="2399" spans="1:1" x14ac:dyDescent="0.25">
      <c r="A2399" s="15"/>
    </row>
    <row r="2400" spans="1:1" x14ac:dyDescent="0.25">
      <c r="A2400" s="15"/>
    </row>
    <row r="2401" spans="1:1" x14ac:dyDescent="0.25">
      <c r="A2401" s="15"/>
    </row>
    <row r="2402" spans="1:1" x14ac:dyDescent="0.25">
      <c r="A2402" s="15"/>
    </row>
    <row r="2403" spans="1:1" x14ac:dyDescent="0.25">
      <c r="A2403" s="15"/>
    </row>
    <row r="2404" spans="1:1" x14ac:dyDescent="0.25">
      <c r="A2404" s="15"/>
    </row>
    <row r="2405" spans="1:1" x14ac:dyDescent="0.25">
      <c r="A2405" s="15"/>
    </row>
    <row r="2406" spans="1:1" x14ac:dyDescent="0.25">
      <c r="A2406" s="15"/>
    </row>
    <row r="2407" spans="1:1" x14ac:dyDescent="0.25">
      <c r="A2407" s="15"/>
    </row>
    <row r="2408" spans="1:1" x14ac:dyDescent="0.25">
      <c r="A2408" s="15"/>
    </row>
    <row r="2409" spans="1:1" x14ac:dyDescent="0.25">
      <c r="A2409" s="15"/>
    </row>
    <row r="2410" spans="1:1" x14ac:dyDescent="0.25">
      <c r="A2410" s="15"/>
    </row>
    <row r="2411" spans="1:1" x14ac:dyDescent="0.25">
      <c r="A2411" s="15"/>
    </row>
    <row r="2412" spans="1:1" x14ac:dyDescent="0.25">
      <c r="A2412" s="15"/>
    </row>
    <row r="2413" spans="1:1" x14ac:dyDescent="0.25">
      <c r="A2413" s="15"/>
    </row>
    <row r="2414" spans="1:1" x14ac:dyDescent="0.25">
      <c r="A2414" s="15"/>
    </row>
    <row r="2415" spans="1:1" x14ac:dyDescent="0.25">
      <c r="A2415" s="15"/>
    </row>
    <row r="2416" spans="1:1" x14ac:dyDescent="0.25">
      <c r="A2416" s="15"/>
    </row>
    <row r="2417" spans="1:1" x14ac:dyDescent="0.25">
      <c r="A2417" s="15"/>
    </row>
    <row r="2418" spans="1:1" x14ac:dyDescent="0.25">
      <c r="A2418" s="15"/>
    </row>
    <row r="2419" spans="1:1" x14ac:dyDescent="0.25">
      <c r="A2419" s="15"/>
    </row>
    <row r="2420" spans="1:1" x14ac:dyDescent="0.25">
      <c r="A2420" s="15"/>
    </row>
    <row r="2421" spans="1:1" x14ac:dyDescent="0.25">
      <c r="A2421" s="15"/>
    </row>
    <row r="2422" spans="1:1" x14ac:dyDescent="0.25">
      <c r="A2422" s="15"/>
    </row>
    <row r="2423" spans="1:1" x14ac:dyDescent="0.25">
      <c r="A2423" s="15"/>
    </row>
    <row r="2424" spans="1:1" x14ac:dyDescent="0.25">
      <c r="A2424" s="15"/>
    </row>
    <row r="2425" spans="1:1" x14ac:dyDescent="0.25">
      <c r="A2425" s="15"/>
    </row>
    <row r="2426" spans="1:1" x14ac:dyDescent="0.25">
      <c r="A2426" s="15"/>
    </row>
    <row r="2427" spans="1:1" x14ac:dyDescent="0.25">
      <c r="A2427" s="15"/>
    </row>
    <row r="2428" spans="1:1" x14ac:dyDescent="0.25">
      <c r="A2428" s="15"/>
    </row>
    <row r="2429" spans="1:1" x14ac:dyDescent="0.25">
      <c r="A2429" s="15"/>
    </row>
    <row r="2430" spans="1:1" x14ac:dyDescent="0.25">
      <c r="A2430" s="15"/>
    </row>
    <row r="2431" spans="1:1" x14ac:dyDescent="0.25">
      <c r="A2431" s="15"/>
    </row>
    <row r="2432" spans="1:1" x14ac:dyDescent="0.25">
      <c r="A2432" s="15"/>
    </row>
    <row r="2433" spans="1:1" x14ac:dyDescent="0.25">
      <c r="A2433" s="15"/>
    </row>
    <row r="2434" spans="1:1" x14ac:dyDescent="0.25">
      <c r="A2434" s="15"/>
    </row>
    <row r="2435" spans="1:1" x14ac:dyDescent="0.25">
      <c r="A2435" s="15"/>
    </row>
    <row r="2436" spans="1:1" x14ac:dyDescent="0.25">
      <c r="A2436" s="15"/>
    </row>
    <row r="2437" spans="1:1" x14ac:dyDescent="0.25">
      <c r="A2437" s="15"/>
    </row>
    <row r="2438" spans="1:1" x14ac:dyDescent="0.25">
      <c r="A2438" s="15"/>
    </row>
    <row r="2439" spans="1:1" x14ac:dyDescent="0.25">
      <c r="A2439" s="15"/>
    </row>
    <row r="2440" spans="1:1" x14ac:dyDescent="0.25">
      <c r="A2440" s="15"/>
    </row>
    <row r="2441" spans="1:1" x14ac:dyDescent="0.25">
      <c r="A2441" s="15"/>
    </row>
    <row r="2442" spans="1:1" x14ac:dyDescent="0.25">
      <c r="A2442" s="15"/>
    </row>
    <row r="2443" spans="1:1" x14ac:dyDescent="0.25">
      <c r="A2443" s="15"/>
    </row>
    <row r="2444" spans="1:1" x14ac:dyDescent="0.25">
      <c r="A2444" s="15"/>
    </row>
    <row r="2445" spans="1:1" x14ac:dyDescent="0.25">
      <c r="A2445" s="15"/>
    </row>
    <row r="2446" spans="1:1" x14ac:dyDescent="0.25">
      <c r="A2446" s="15"/>
    </row>
    <row r="2447" spans="1:1" x14ac:dyDescent="0.25">
      <c r="A2447" s="15"/>
    </row>
    <row r="2448" spans="1:1" x14ac:dyDescent="0.25">
      <c r="A2448" s="15"/>
    </row>
    <row r="2449" spans="1:1" x14ac:dyDescent="0.25">
      <c r="A2449" s="15"/>
    </row>
    <row r="2450" spans="1:1" x14ac:dyDescent="0.25">
      <c r="A2450" s="15"/>
    </row>
    <row r="2451" spans="1:1" x14ac:dyDescent="0.25">
      <c r="A2451" s="15"/>
    </row>
    <row r="2452" spans="1:1" x14ac:dyDescent="0.25">
      <c r="A2452" s="15"/>
    </row>
    <row r="2453" spans="1:1" x14ac:dyDescent="0.25">
      <c r="A2453" s="15"/>
    </row>
    <row r="2454" spans="1:1" x14ac:dyDescent="0.25">
      <c r="A2454" s="15"/>
    </row>
    <row r="2455" spans="1:1" x14ac:dyDescent="0.25">
      <c r="A2455" s="15"/>
    </row>
    <row r="2456" spans="1:1" x14ac:dyDescent="0.25">
      <c r="A2456" s="15"/>
    </row>
    <row r="2457" spans="1:1" x14ac:dyDescent="0.25">
      <c r="A2457" s="15"/>
    </row>
    <row r="2458" spans="1:1" x14ac:dyDescent="0.25">
      <c r="A2458" s="15"/>
    </row>
    <row r="2459" spans="1:1" x14ac:dyDescent="0.25">
      <c r="A2459" s="15"/>
    </row>
    <row r="2460" spans="1:1" x14ac:dyDescent="0.25">
      <c r="A2460" s="15"/>
    </row>
    <row r="2461" spans="1:1" x14ac:dyDescent="0.25">
      <c r="A2461" s="15"/>
    </row>
    <row r="2462" spans="1:1" x14ac:dyDescent="0.25">
      <c r="A2462" s="15"/>
    </row>
    <row r="2463" spans="1:1" x14ac:dyDescent="0.25">
      <c r="A2463" s="15"/>
    </row>
    <row r="2464" spans="1:1" x14ac:dyDescent="0.25">
      <c r="A2464" s="15"/>
    </row>
    <row r="2465" spans="1:1" x14ac:dyDescent="0.25">
      <c r="A2465" s="15"/>
    </row>
    <row r="2466" spans="1:1" x14ac:dyDescent="0.25">
      <c r="A2466" s="15"/>
    </row>
    <row r="2467" spans="1:1" x14ac:dyDescent="0.25">
      <c r="A2467" s="15"/>
    </row>
    <row r="2468" spans="1:1" x14ac:dyDescent="0.25">
      <c r="A2468" s="15"/>
    </row>
    <row r="2469" spans="1:1" x14ac:dyDescent="0.25">
      <c r="A2469" s="15"/>
    </row>
    <row r="2470" spans="1:1" x14ac:dyDescent="0.25">
      <c r="A2470" s="15"/>
    </row>
    <row r="2471" spans="1:1" x14ac:dyDescent="0.25">
      <c r="A2471" s="15"/>
    </row>
    <row r="2472" spans="1:1" x14ac:dyDescent="0.25">
      <c r="A2472" s="15"/>
    </row>
    <row r="2473" spans="1:1" x14ac:dyDescent="0.25">
      <c r="A2473" s="15"/>
    </row>
    <row r="2474" spans="1:1" x14ac:dyDescent="0.25">
      <c r="A2474" s="15"/>
    </row>
    <row r="2475" spans="1:1" x14ac:dyDescent="0.25">
      <c r="A2475" s="15"/>
    </row>
    <row r="2476" spans="1:1" x14ac:dyDescent="0.25">
      <c r="A2476" s="15"/>
    </row>
    <row r="2477" spans="1:1" x14ac:dyDescent="0.25">
      <c r="A2477" s="15"/>
    </row>
    <row r="2478" spans="1:1" x14ac:dyDescent="0.25">
      <c r="A2478" s="15"/>
    </row>
    <row r="2479" spans="1:1" x14ac:dyDescent="0.25">
      <c r="A2479" s="15"/>
    </row>
    <row r="2480" spans="1:1" x14ac:dyDescent="0.25">
      <c r="A2480" s="15"/>
    </row>
    <row r="2481" spans="1:1" x14ac:dyDescent="0.25">
      <c r="A2481" s="15"/>
    </row>
    <row r="2482" spans="1:1" x14ac:dyDescent="0.25">
      <c r="A2482" s="15"/>
    </row>
    <row r="2483" spans="1:1" x14ac:dyDescent="0.25">
      <c r="A2483" s="15"/>
    </row>
    <row r="2484" spans="1:1" x14ac:dyDescent="0.25">
      <c r="A2484" s="15"/>
    </row>
    <row r="2485" spans="1:1" x14ac:dyDescent="0.25">
      <c r="A2485" s="15"/>
    </row>
    <row r="2486" spans="1:1" x14ac:dyDescent="0.25">
      <c r="A2486" s="15"/>
    </row>
    <row r="2487" spans="1:1" x14ac:dyDescent="0.25">
      <c r="A2487" s="15"/>
    </row>
    <row r="2488" spans="1:1" x14ac:dyDescent="0.25">
      <c r="A2488" s="15"/>
    </row>
    <row r="2489" spans="1:1" x14ac:dyDescent="0.25">
      <c r="A2489" s="15"/>
    </row>
    <row r="2490" spans="1:1" x14ac:dyDescent="0.25">
      <c r="A2490" s="15"/>
    </row>
    <row r="2491" spans="1:1" x14ac:dyDescent="0.25">
      <c r="A2491" s="15"/>
    </row>
    <row r="2492" spans="1:1" x14ac:dyDescent="0.25">
      <c r="A2492" s="15"/>
    </row>
    <row r="2493" spans="1:1" x14ac:dyDescent="0.25">
      <c r="A2493" s="15"/>
    </row>
    <row r="2494" spans="1:1" x14ac:dyDescent="0.25">
      <c r="A2494" s="15"/>
    </row>
    <row r="2495" spans="1:1" x14ac:dyDescent="0.25">
      <c r="A2495" s="15"/>
    </row>
    <row r="2496" spans="1:1" x14ac:dyDescent="0.25">
      <c r="A2496" s="15"/>
    </row>
    <row r="2497" spans="1:1" x14ac:dyDescent="0.25">
      <c r="A2497" s="15"/>
    </row>
    <row r="2498" spans="1:1" x14ac:dyDescent="0.25">
      <c r="A2498" s="15"/>
    </row>
    <row r="2499" spans="1:1" x14ac:dyDescent="0.25">
      <c r="A2499" s="15"/>
    </row>
    <row r="2500" spans="1:1" x14ac:dyDescent="0.25">
      <c r="A2500" s="15"/>
    </row>
    <row r="2501" spans="1:1" x14ac:dyDescent="0.25">
      <c r="A2501" s="15"/>
    </row>
    <row r="2502" spans="1:1" x14ac:dyDescent="0.25">
      <c r="A2502" s="15"/>
    </row>
    <row r="2503" spans="1:1" x14ac:dyDescent="0.25">
      <c r="A2503" s="15"/>
    </row>
    <row r="2504" spans="1:1" x14ac:dyDescent="0.25">
      <c r="A2504" s="15"/>
    </row>
    <row r="2505" spans="1:1" x14ac:dyDescent="0.25">
      <c r="A2505" s="15"/>
    </row>
    <row r="2506" spans="1:1" x14ac:dyDescent="0.25">
      <c r="A2506" s="15"/>
    </row>
    <row r="2507" spans="1:1" x14ac:dyDescent="0.25">
      <c r="A2507" s="15"/>
    </row>
    <row r="2508" spans="1:1" x14ac:dyDescent="0.25">
      <c r="A2508" s="15"/>
    </row>
    <row r="2509" spans="1:1" x14ac:dyDescent="0.25">
      <c r="A2509" s="15"/>
    </row>
    <row r="2510" spans="1:1" x14ac:dyDescent="0.25">
      <c r="A2510" s="15"/>
    </row>
    <row r="2511" spans="1:1" x14ac:dyDescent="0.25">
      <c r="A2511" s="15"/>
    </row>
    <row r="2512" spans="1:1" x14ac:dyDescent="0.25">
      <c r="A2512" s="15"/>
    </row>
    <row r="2513" spans="1:1" x14ac:dyDescent="0.25">
      <c r="A2513" s="15"/>
    </row>
    <row r="2514" spans="1:1" x14ac:dyDescent="0.25">
      <c r="A2514" s="15"/>
    </row>
    <row r="2515" spans="1:1" x14ac:dyDescent="0.25">
      <c r="A2515" s="15"/>
    </row>
    <row r="2516" spans="1:1" x14ac:dyDescent="0.25">
      <c r="A2516" s="15"/>
    </row>
    <row r="2517" spans="1:1" x14ac:dyDescent="0.25">
      <c r="A2517" s="15"/>
    </row>
    <row r="2518" spans="1:1" x14ac:dyDescent="0.25">
      <c r="A2518" s="15"/>
    </row>
    <row r="2519" spans="1:1" x14ac:dyDescent="0.25">
      <c r="A2519" s="15"/>
    </row>
    <row r="2520" spans="1:1" x14ac:dyDescent="0.25">
      <c r="A2520" s="15"/>
    </row>
    <row r="2521" spans="1:1" x14ac:dyDescent="0.25">
      <c r="A2521" s="15"/>
    </row>
    <row r="2522" spans="1:1" x14ac:dyDescent="0.25">
      <c r="A2522" s="15"/>
    </row>
    <row r="2523" spans="1:1" x14ac:dyDescent="0.25">
      <c r="A2523" s="15"/>
    </row>
    <row r="2524" spans="1:1" x14ac:dyDescent="0.25">
      <c r="A2524" s="15"/>
    </row>
    <row r="2525" spans="1:1" x14ac:dyDescent="0.25">
      <c r="A2525" s="15"/>
    </row>
    <row r="2526" spans="1:1" x14ac:dyDescent="0.25">
      <c r="A2526" s="15"/>
    </row>
    <row r="2527" spans="1:1" x14ac:dyDescent="0.25">
      <c r="A2527" s="15"/>
    </row>
    <row r="2528" spans="1:1" x14ac:dyDescent="0.25">
      <c r="A2528" s="15"/>
    </row>
    <row r="2529" spans="1:1" x14ac:dyDescent="0.25">
      <c r="A2529" s="15"/>
    </row>
    <row r="2530" spans="1:1" x14ac:dyDescent="0.25">
      <c r="A2530" s="15"/>
    </row>
    <row r="2531" spans="1:1" x14ac:dyDescent="0.25">
      <c r="A2531" s="15"/>
    </row>
    <row r="2532" spans="1:1" x14ac:dyDescent="0.25">
      <c r="A2532" s="15"/>
    </row>
    <row r="2533" spans="1:1" x14ac:dyDescent="0.25">
      <c r="A2533" s="15"/>
    </row>
    <row r="2534" spans="1:1" x14ac:dyDescent="0.25">
      <c r="A2534" s="15"/>
    </row>
    <row r="2535" spans="1:1" x14ac:dyDescent="0.25">
      <c r="A2535" s="15"/>
    </row>
    <row r="2536" spans="1:1" x14ac:dyDescent="0.25">
      <c r="A2536" s="15"/>
    </row>
    <row r="2537" spans="1:1" x14ac:dyDescent="0.25">
      <c r="A2537" s="15"/>
    </row>
    <row r="2538" spans="1:1" x14ac:dyDescent="0.25">
      <c r="A2538" s="15"/>
    </row>
    <row r="2539" spans="1:1" x14ac:dyDescent="0.25">
      <c r="A2539" s="15"/>
    </row>
    <row r="2540" spans="1:1" x14ac:dyDescent="0.25">
      <c r="A2540" s="15"/>
    </row>
    <row r="2541" spans="1:1" x14ac:dyDescent="0.25">
      <c r="A2541" s="15"/>
    </row>
    <row r="2542" spans="1:1" x14ac:dyDescent="0.25">
      <c r="A2542" s="15"/>
    </row>
    <row r="2543" spans="1:1" x14ac:dyDescent="0.25">
      <c r="A2543" s="15"/>
    </row>
    <row r="2544" spans="1:1" x14ac:dyDescent="0.25">
      <c r="A2544" s="15"/>
    </row>
    <row r="2545" spans="1:1" x14ac:dyDescent="0.25">
      <c r="A2545" s="15"/>
    </row>
    <row r="2546" spans="1:1" x14ac:dyDescent="0.25">
      <c r="A2546" s="15"/>
    </row>
    <row r="2547" spans="1:1" x14ac:dyDescent="0.25">
      <c r="A2547" s="15"/>
    </row>
    <row r="2548" spans="1:1" x14ac:dyDescent="0.25">
      <c r="A2548" s="15"/>
    </row>
    <row r="2549" spans="1:1" x14ac:dyDescent="0.25">
      <c r="A2549" s="15"/>
    </row>
    <row r="2550" spans="1:1" x14ac:dyDescent="0.25">
      <c r="A2550" s="15"/>
    </row>
    <row r="2551" spans="1:1" x14ac:dyDescent="0.25">
      <c r="A2551" s="15"/>
    </row>
    <row r="2552" spans="1:1" x14ac:dyDescent="0.25">
      <c r="A2552" s="15"/>
    </row>
    <row r="2553" spans="1:1" x14ac:dyDescent="0.25">
      <c r="A2553" s="15"/>
    </row>
    <row r="2554" spans="1:1" x14ac:dyDescent="0.25">
      <c r="A2554" s="15"/>
    </row>
    <row r="2555" spans="1:1" x14ac:dyDescent="0.25">
      <c r="A2555" s="15"/>
    </row>
    <row r="2556" spans="1:1" x14ac:dyDescent="0.25">
      <c r="A2556" s="15"/>
    </row>
    <row r="2557" spans="1:1" x14ac:dyDescent="0.25">
      <c r="A2557" s="15"/>
    </row>
    <row r="2558" spans="1:1" x14ac:dyDescent="0.25">
      <c r="A2558" s="15"/>
    </row>
    <row r="2559" spans="1:1" x14ac:dyDescent="0.25">
      <c r="A2559" s="15"/>
    </row>
    <row r="2560" spans="1:1" x14ac:dyDescent="0.25">
      <c r="A2560" s="15"/>
    </row>
    <row r="2561" spans="1:1" x14ac:dyDescent="0.25">
      <c r="A2561" s="15"/>
    </row>
    <row r="2562" spans="1:1" x14ac:dyDescent="0.25">
      <c r="A2562" s="15"/>
    </row>
    <row r="2563" spans="1:1" x14ac:dyDescent="0.25">
      <c r="A2563" s="15"/>
    </row>
    <row r="2564" spans="1:1" x14ac:dyDescent="0.25">
      <c r="A2564" s="15"/>
    </row>
    <row r="2565" spans="1:1" x14ac:dyDescent="0.25">
      <c r="A2565" s="15"/>
    </row>
    <row r="2566" spans="1:1" x14ac:dyDescent="0.25">
      <c r="A2566" s="15"/>
    </row>
    <row r="2567" spans="1:1" x14ac:dyDescent="0.25">
      <c r="A2567" s="15"/>
    </row>
    <row r="2568" spans="1:1" x14ac:dyDescent="0.25">
      <c r="A2568" s="15"/>
    </row>
    <row r="2569" spans="1:1" x14ac:dyDescent="0.25">
      <c r="A2569" s="15"/>
    </row>
    <row r="2570" spans="1:1" x14ac:dyDescent="0.25">
      <c r="A2570" s="15"/>
    </row>
    <row r="2571" spans="1:1" x14ac:dyDescent="0.25">
      <c r="A2571" s="15"/>
    </row>
    <row r="2572" spans="1:1" x14ac:dyDescent="0.25">
      <c r="A2572" s="15"/>
    </row>
    <row r="2573" spans="1:1" x14ac:dyDescent="0.25">
      <c r="A2573" s="15"/>
    </row>
    <row r="2574" spans="1:1" x14ac:dyDescent="0.25">
      <c r="A2574" s="15"/>
    </row>
    <row r="2575" spans="1:1" x14ac:dyDescent="0.25">
      <c r="A2575" s="15"/>
    </row>
    <row r="2576" spans="1:1" x14ac:dyDescent="0.25">
      <c r="A2576" s="15"/>
    </row>
    <row r="2577" spans="1:1" x14ac:dyDescent="0.25">
      <c r="A2577" s="15"/>
    </row>
    <row r="2578" spans="1:1" x14ac:dyDescent="0.25">
      <c r="A2578" s="15"/>
    </row>
    <row r="2579" spans="1:1" x14ac:dyDescent="0.25">
      <c r="A2579" s="15"/>
    </row>
    <row r="2580" spans="1:1" x14ac:dyDescent="0.25">
      <c r="A2580" s="15"/>
    </row>
    <row r="2581" spans="1:1" x14ac:dyDescent="0.25">
      <c r="A2581" s="15"/>
    </row>
    <row r="2582" spans="1:1" x14ac:dyDescent="0.25">
      <c r="A2582" s="15"/>
    </row>
    <row r="2583" spans="1:1" x14ac:dyDescent="0.25">
      <c r="A2583" s="15"/>
    </row>
    <row r="2584" spans="1:1" x14ac:dyDescent="0.25">
      <c r="A2584" s="15"/>
    </row>
    <row r="2585" spans="1:1" x14ac:dyDescent="0.25">
      <c r="A2585" s="15"/>
    </row>
    <row r="2586" spans="1:1" x14ac:dyDescent="0.25">
      <c r="A2586" s="15"/>
    </row>
    <row r="2587" spans="1:1" x14ac:dyDescent="0.25">
      <c r="A2587" s="15"/>
    </row>
    <row r="2588" spans="1:1" x14ac:dyDescent="0.25">
      <c r="A2588" s="15"/>
    </row>
    <row r="2589" spans="1:1" x14ac:dyDescent="0.25">
      <c r="A2589" s="15"/>
    </row>
    <row r="2590" spans="1:1" x14ac:dyDescent="0.25">
      <c r="A2590" s="15"/>
    </row>
    <row r="2591" spans="1:1" x14ac:dyDescent="0.25">
      <c r="A2591" s="15"/>
    </row>
    <row r="2592" spans="1:1" x14ac:dyDescent="0.25">
      <c r="A2592" s="15"/>
    </row>
    <row r="2593" spans="1:1" x14ac:dyDescent="0.25">
      <c r="A2593" s="15"/>
    </row>
    <row r="2594" spans="1:1" x14ac:dyDescent="0.25">
      <c r="A2594" s="15"/>
    </row>
    <row r="2595" spans="1:1" x14ac:dyDescent="0.25">
      <c r="A2595" s="15"/>
    </row>
    <row r="2596" spans="1:1" x14ac:dyDescent="0.25">
      <c r="A2596" s="15"/>
    </row>
    <row r="2597" spans="1:1" x14ac:dyDescent="0.25">
      <c r="A2597" s="15"/>
    </row>
    <row r="2598" spans="1:1" x14ac:dyDescent="0.25">
      <c r="A2598" s="15"/>
    </row>
    <row r="2599" spans="1:1" x14ac:dyDescent="0.25">
      <c r="A2599" s="15"/>
    </row>
    <row r="2600" spans="1:1" x14ac:dyDescent="0.25">
      <c r="A2600" s="15"/>
    </row>
    <row r="2601" spans="1:1" x14ac:dyDescent="0.25">
      <c r="A2601" s="15"/>
    </row>
    <row r="2602" spans="1:1" x14ac:dyDescent="0.25">
      <c r="A2602" s="15"/>
    </row>
    <row r="2603" spans="1:1" x14ac:dyDescent="0.25">
      <c r="A2603" s="15"/>
    </row>
    <row r="2604" spans="1:1" x14ac:dyDescent="0.25">
      <c r="A2604" s="15"/>
    </row>
    <row r="2605" spans="1:1" x14ac:dyDescent="0.25">
      <c r="A2605" s="15"/>
    </row>
    <row r="2606" spans="1:1" x14ac:dyDescent="0.25">
      <c r="A2606" s="15"/>
    </row>
    <row r="2607" spans="1:1" x14ac:dyDescent="0.25">
      <c r="A2607" s="15"/>
    </row>
    <row r="2608" spans="1:1" x14ac:dyDescent="0.25">
      <c r="A2608" s="15"/>
    </row>
    <row r="2609" spans="1:1" x14ac:dyDescent="0.25">
      <c r="A2609" s="15"/>
    </row>
    <row r="2610" spans="1:1" x14ac:dyDescent="0.25">
      <c r="A2610" s="15"/>
    </row>
    <row r="2611" spans="1:1" x14ac:dyDescent="0.25">
      <c r="A2611" s="15"/>
    </row>
    <row r="2612" spans="1:1" x14ac:dyDescent="0.25">
      <c r="A2612" s="15"/>
    </row>
    <row r="2613" spans="1:1" x14ac:dyDescent="0.25">
      <c r="A2613" s="15"/>
    </row>
    <row r="2614" spans="1:1" x14ac:dyDescent="0.25">
      <c r="A2614" s="15"/>
    </row>
    <row r="2615" spans="1:1" x14ac:dyDescent="0.25">
      <c r="A2615" s="15"/>
    </row>
    <row r="2616" spans="1:1" x14ac:dyDescent="0.25">
      <c r="A2616" s="15"/>
    </row>
    <row r="2617" spans="1:1" x14ac:dyDescent="0.25">
      <c r="A2617" s="15"/>
    </row>
    <row r="2618" spans="1:1" x14ac:dyDescent="0.25">
      <c r="A2618" s="15"/>
    </row>
    <row r="2619" spans="1:1" x14ac:dyDescent="0.25">
      <c r="A2619" s="15"/>
    </row>
    <row r="2620" spans="1:1" x14ac:dyDescent="0.25">
      <c r="A2620" s="15"/>
    </row>
    <row r="2621" spans="1:1" x14ac:dyDescent="0.25">
      <c r="A2621" s="15"/>
    </row>
    <row r="2622" spans="1:1" x14ac:dyDescent="0.25">
      <c r="A2622" s="15"/>
    </row>
    <row r="2623" spans="1:1" x14ac:dyDescent="0.25">
      <c r="A2623" s="15"/>
    </row>
    <row r="2624" spans="1:1" x14ac:dyDescent="0.25">
      <c r="A2624" s="15"/>
    </row>
    <row r="2625" spans="1:1" x14ac:dyDescent="0.25">
      <c r="A2625" s="15"/>
    </row>
    <row r="2626" spans="1:1" x14ac:dyDescent="0.25">
      <c r="A2626" s="15"/>
    </row>
    <row r="2627" spans="1:1" x14ac:dyDescent="0.25">
      <c r="A2627" s="15"/>
    </row>
    <row r="2628" spans="1:1" x14ac:dyDescent="0.25">
      <c r="A2628" s="15"/>
    </row>
    <row r="2629" spans="1:1" x14ac:dyDescent="0.25">
      <c r="A2629" s="15"/>
    </row>
    <row r="2630" spans="1:1" x14ac:dyDescent="0.25">
      <c r="A2630" s="15"/>
    </row>
    <row r="2631" spans="1:1" x14ac:dyDescent="0.25">
      <c r="A2631" s="15"/>
    </row>
    <row r="2632" spans="1:1" x14ac:dyDescent="0.25">
      <c r="A2632" s="15"/>
    </row>
    <row r="2633" spans="1:1" x14ac:dyDescent="0.25">
      <c r="A2633" s="15"/>
    </row>
    <row r="2634" spans="1:1" x14ac:dyDescent="0.25">
      <c r="A2634" s="15"/>
    </row>
    <row r="2635" spans="1:1" x14ac:dyDescent="0.25">
      <c r="A2635" s="15"/>
    </row>
    <row r="2636" spans="1:1" x14ac:dyDescent="0.25">
      <c r="A2636" s="15"/>
    </row>
    <row r="2637" spans="1:1" x14ac:dyDescent="0.25">
      <c r="A2637" s="15"/>
    </row>
    <row r="2638" spans="1:1" x14ac:dyDescent="0.25">
      <c r="A2638" s="15"/>
    </row>
    <row r="2639" spans="1:1" x14ac:dyDescent="0.25">
      <c r="A2639" s="15"/>
    </row>
    <row r="2640" spans="1:1" x14ac:dyDescent="0.25">
      <c r="A2640" s="15"/>
    </row>
    <row r="2641" spans="1:1" x14ac:dyDescent="0.25">
      <c r="A2641" s="15"/>
    </row>
    <row r="2642" spans="1:1" x14ac:dyDescent="0.25">
      <c r="A2642" s="15"/>
    </row>
    <row r="2643" spans="1:1" x14ac:dyDescent="0.25">
      <c r="A2643" s="15"/>
    </row>
    <row r="2644" spans="1:1" x14ac:dyDescent="0.25">
      <c r="A2644" s="15"/>
    </row>
    <row r="2645" spans="1:1" x14ac:dyDescent="0.25">
      <c r="A2645" s="15"/>
    </row>
    <row r="2646" spans="1:1" x14ac:dyDescent="0.25">
      <c r="A2646" s="15"/>
    </row>
    <row r="2647" spans="1:1" x14ac:dyDescent="0.25">
      <c r="A2647" s="15"/>
    </row>
    <row r="2648" spans="1:1" x14ac:dyDescent="0.25">
      <c r="A2648" s="15"/>
    </row>
    <row r="2649" spans="1:1" x14ac:dyDescent="0.25">
      <c r="A2649" s="15"/>
    </row>
    <row r="2650" spans="1:1" x14ac:dyDescent="0.25">
      <c r="A2650" s="15"/>
    </row>
    <row r="2651" spans="1:1" x14ac:dyDescent="0.25">
      <c r="A2651" s="15"/>
    </row>
    <row r="2652" spans="1:1" x14ac:dyDescent="0.25">
      <c r="A2652" s="15"/>
    </row>
    <row r="2653" spans="1:1" x14ac:dyDescent="0.25">
      <c r="A2653" s="15"/>
    </row>
    <row r="2654" spans="1:1" x14ac:dyDescent="0.25">
      <c r="A2654" s="15"/>
    </row>
    <row r="2655" spans="1:1" x14ac:dyDescent="0.25">
      <c r="A2655" s="15"/>
    </row>
    <row r="2656" spans="1:1" x14ac:dyDescent="0.25">
      <c r="A2656" s="15"/>
    </row>
    <row r="2657" spans="1:1" x14ac:dyDescent="0.25">
      <c r="A2657" s="15"/>
    </row>
    <row r="2658" spans="1:1" x14ac:dyDescent="0.25">
      <c r="A2658" s="15"/>
    </row>
    <row r="2659" spans="1:1" x14ac:dyDescent="0.25">
      <c r="A2659" s="15"/>
    </row>
    <row r="2660" spans="1:1" x14ac:dyDescent="0.25">
      <c r="A2660" s="15"/>
    </row>
    <row r="2661" spans="1:1" x14ac:dyDescent="0.25">
      <c r="A2661" s="15"/>
    </row>
    <row r="2662" spans="1:1" x14ac:dyDescent="0.25">
      <c r="A2662" s="15"/>
    </row>
    <row r="2663" spans="1:1" x14ac:dyDescent="0.25">
      <c r="A2663" s="15"/>
    </row>
    <row r="2664" spans="1:1" x14ac:dyDescent="0.25">
      <c r="A2664" s="15"/>
    </row>
    <row r="2665" spans="1:1" x14ac:dyDescent="0.25">
      <c r="A2665" s="15"/>
    </row>
    <row r="2666" spans="1:1" x14ac:dyDescent="0.25">
      <c r="A2666" s="15"/>
    </row>
    <row r="2667" spans="1:1" x14ac:dyDescent="0.25">
      <c r="A2667" s="15"/>
    </row>
    <row r="2668" spans="1:1" x14ac:dyDescent="0.25">
      <c r="A2668" s="15"/>
    </row>
    <row r="2669" spans="1:1" x14ac:dyDescent="0.25">
      <c r="A2669" s="15"/>
    </row>
    <row r="2670" spans="1:1" x14ac:dyDescent="0.25">
      <c r="A2670" s="15"/>
    </row>
    <row r="2671" spans="1:1" x14ac:dyDescent="0.25">
      <c r="A2671" s="15"/>
    </row>
    <row r="2672" spans="1:1" x14ac:dyDescent="0.25">
      <c r="A2672" s="15"/>
    </row>
    <row r="2673" spans="1:1" x14ac:dyDescent="0.25">
      <c r="A2673" s="15"/>
    </row>
    <row r="2674" spans="1:1" x14ac:dyDescent="0.25">
      <c r="A2674" s="15"/>
    </row>
    <row r="2675" spans="1:1" x14ac:dyDescent="0.25">
      <c r="A2675" s="15"/>
    </row>
    <row r="2676" spans="1:1" x14ac:dyDescent="0.25">
      <c r="A2676" s="15"/>
    </row>
    <row r="2677" spans="1:1" x14ac:dyDescent="0.25">
      <c r="A2677" s="15"/>
    </row>
    <row r="2678" spans="1:1" x14ac:dyDescent="0.25">
      <c r="A2678" s="15"/>
    </row>
    <row r="2679" spans="1:1" x14ac:dyDescent="0.25">
      <c r="A2679" s="15"/>
    </row>
    <row r="2680" spans="1:1" x14ac:dyDescent="0.25">
      <c r="A2680" s="15"/>
    </row>
    <row r="2681" spans="1:1" x14ac:dyDescent="0.25">
      <c r="A2681" s="15"/>
    </row>
    <row r="2682" spans="1:1" x14ac:dyDescent="0.25">
      <c r="A2682" s="15"/>
    </row>
    <row r="2683" spans="1:1" x14ac:dyDescent="0.25">
      <c r="A2683" s="15"/>
    </row>
    <row r="2684" spans="1:1" x14ac:dyDescent="0.25">
      <c r="A2684" s="15"/>
    </row>
    <row r="2685" spans="1:1" x14ac:dyDescent="0.25">
      <c r="A2685" s="15"/>
    </row>
    <row r="2686" spans="1:1" x14ac:dyDescent="0.25">
      <c r="A2686" s="15"/>
    </row>
    <row r="2687" spans="1:1" x14ac:dyDescent="0.25">
      <c r="A2687" s="15"/>
    </row>
    <row r="2688" spans="1:1" x14ac:dyDescent="0.25">
      <c r="A2688" s="15"/>
    </row>
    <row r="2689" spans="1:1" x14ac:dyDescent="0.25">
      <c r="A2689" s="15"/>
    </row>
    <row r="2690" spans="1:1" x14ac:dyDescent="0.25">
      <c r="A2690" s="15"/>
    </row>
    <row r="2691" spans="1:1" x14ac:dyDescent="0.25">
      <c r="A2691" s="15"/>
    </row>
    <row r="2692" spans="1:1" x14ac:dyDescent="0.25">
      <c r="A2692" s="15"/>
    </row>
    <row r="2693" spans="1:1" x14ac:dyDescent="0.25">
      <c r="A2693" s="15"/>
    </row>
    <row r="2694" spans="1:1" x14ac:dyDescent="0.25">
      <c r="A2694" s="15"/>
    </row>
    <row r="2695" spans="1:1" x14ac:dyDescent="0.25">
      <c r="A2695" s="15"/>
    </row>
    <row r="2696" spans="1:1" x14ac:dyDescent="0.25">
      <c r="A2696" s="15"/>
    </row>
    <row r="2697" spans="1:1" x14ac:dyDescent="0.25">
      <c r="A2697" s="15"/>
    </row>
    <row r="2698" spans="1:1" x14ac:dyDescent="0.25">
      <c r="A2698" s="15"/>
    </row>
    <row r="2699" spans="1:1" x14ac:dyDescent="0.25">
      <c r="A2699" s="15"/>
    </row>
    <row r="2700" spans="1:1" x14ac:dyDescent="0.25">
      <c r="A2700" s="15"/>
    </row>
    <row r="2701" spans="1:1" x14ac:dyDescent="0.25">
      <c r="A2701" s="15"/>
    </row>
    <row r="2702" spans="1:1" x14ac:dyDescent="0.25">
      <c r="A2702" s="15"/>
    </row>
    <row r="2703" spans="1:1" x14ac:dyDescent="0.25">
      <c r="A2703" s="15"/>
    </row>
    <row r="2704" spans="1:1" x14ac:dyDescent="0.25">
      <c r="A2704" s="15"/>
    </row>
    <row r="2705" spans="1:1" x14ac:dyDescent="0.25">
      <c r="A2705" s="15"/>
    </row>
    <row r="2706" spans="1:1" x14ac:dyDescent="0.25">
      <c r="A2706" s="15"/>
    </row>
    <row r="2707" spans="1:1" x14ac:dyDescent="0.25">
      <c r="A2707" s="15"/>
    </row>
    <row r="2708" spans="1:1" x14ac:dyDescent="0.25">
      <c r="A2708" s="15"/>
    </row>
    <row r="2709" spans="1:1" x14ac:dyDescent="0.25">
      <c r="A2709" s="15"/>
    </row>
    <row r="2710" spans="1:1" x14ac:dyDescent="0.25">
      <c r="A2710" s="15"/>
    </row>
    <row r="2711" spans="1:1" x14ac:dyDescent="0.25">
      <c r="A2711" s="15"/>
    </row>
    <row r="2712" spans="1:1" x14ac:dyDescent="0.25">
      <c r="A2712" s="15"/>
    </row>
    <row r="2713" spans="1:1" x14ac:dyDescent="0.25">
      <c r="A2713" s="15"/>
    </row>
    <row r="2714" spans="1:1" x14ac:dyDescent="0.25">
      <c r="A2714" s="15"/>
    </row>
    <row r="2715" spans="1:1" x14ac:dyDescent="0.25">
      <c r="A2715" s="15"/>
    </row>
    <row r="2716" spans="1:1" x14ac:dyDescent="0.25">
      <c r="A2716" s="15"/>
    </row>
    <row r="2717" spans="1:1" x14ac:dyDescent="0.25">
      <c r="A2717" s="15"/>
    </row>
    <row r="2718" spans="1:1" x14ac:dyDescent="0.25">
      <c r="A2718" s="15"/>
    </row>
    <row r="2719" spans="1:1" x14ac:dyDescent="0.25">
      <c r="A2719" s="15"/>
    </row>
    <row r="2720" spans="1:1" x14ac:dyDescent="0.25">
      <c r="A2720" s="15"/>
    </row>
    <row r="2721" spans="1:1" x14ac:dyDescent="0.25">
      <c r="A2721" s="15"/>
    </row>
    <row r="2722" spans="1:1" x14ac:dyDescent="0.25">
      <c r="A2722" s="15"/>
    </row>
    <row r="2723" spans="1:1" x14ac:dyDescent="0.25">
      <c r="A2723" s="15"/>
    </row>
    <row r="2724" spans="1:1" x14ac:dyDescent="0.25">
      <c r="A2724" s="15"/>
    </row>
    <row r="2725" spans="1:1" x14ac:dyDescent="0.25">
      <c r="A2725" s="15"/>
    </row>
    <row r="2726" spans="1:1" x14ac:dyDescent="0.25">
      <c r="A2726" s="15"/>
    </row>
    <row r="2727" spans="1:1" x14ac:dyDescent="0.25">
      <c r="A2727" s="15"/>
    </row>
    <row r="2728" spans="1:1" x14ac:dyDescent="0.25">
      <c r="A2728" s="15"/>
    </row>
    <row r="2729" spans="1:1" x14ac:dyDescent="0.25">
      <c r="A2729" s="15"/>
    </row>
    <row r="2730" spans="1:1" x14ac:dyDescent="0.25">
      <c r="A2730" s="15"/>
    </row>
    <row r="2731" spans="1:1" x14ac:dyDescent="0.25">
      <c r="A2731" s="15"/>
    </row>
    <row r="2732" spans="1:1" x14ac:dyDescent="0.25">
      <c r="A2732" s="15"/>
    </row>
    <row r="2733" spans="1:1" x14ac:dyDescent="0.25">
      <c r="A2733" s="15"/>
    </row>
    <row r="2734" spans="1:1" x14ac:dyDescent="0.25">
      <c r="A2734" s="15"/>
    </row>
    <row r="2735" spans="1:1" x14ac:dyDescent="0.25">
      <c r="A2735" s="15"/>
    </row>
    <row r="2736" spans="1:1" x14ac:dyDescent="0.25">
      <c r="A2736" s="15"/>
    </row>
    <row r="2737" spans="1:1" x14ac:dyDescent="0.25">
      <c r="A2737" s="15"/>
    </row>
    <row r="2738" spans="1:1" x14ac:dyDescent="0.25">
      <c r="A2738" s="15"/>
    </row>
    <row r="2739" spans="1:1" x14ac:dyDescent="0.25">
      <c r="A2739" s="15"/>
    </row>
    <row r="2740" spans="1:1" x14ac:dyDescent="0.25">
      <c r="A2740" s="15"/>
    </row>
    <row r="2741" spans="1:1" x14ac:dyDescent="0.25">
      <c r="A2741" s="15"/>
    </row>
    <row r="2742" spans="1:1" x14ac:dyDescent="0.25">
      <c r="A2742" s="15"/>
    </row>
    <row r="2743" spans="1:1" x14ac:dyDescent="0.25">
      <c r="A2743" s="15"/>
    </row>
    <row r="2744" spans="1:1" x14ac:dyDescent="0.25">
      <c r="A2744" s="15"/>
    </row>
    <row r="2745" spans="1:1" x14ac:dyDescent="0.25">
      <c r="A2745" s="15"/>
    </row>
    <row r="2746" spans="1:1" x14ac:dyDescent="0.25">
      <c r="A2746" s="15"/>
    </row>
    <row r="2747" spans="1:1" x14ac:dyDescent="0.25">
      <c r="A2747" s="15"/>
    </row>
    <row r="2748" spans="1:1" x14ac:dyDescent="0.25">
      <c r="A2748" s="15"/>
    </row>
    <row r="2749" spans="1:1" x14ac:dyDescent="0.25">
      <c r="A2749" s="15"/>
    </row>
    <row r="2750" spans="1:1" x14ac:dyDescent="0.25">
      <c r="A2750" s="15"/>
    </row>
    <row r="2751" spans="1:1" x14ac:dyDescent="0.25">
      <c r="A2751" s="15"/>
    </row>
    <row r="2752" spans="1:1" x14ac:dyDescent="0.25">
      <c r="A2752" s="15"/>
    </row>
    <row r="2753" spans="1:1" x14ac:dyDescent="0.25">
      <c r="A2753" s="15"/>
    </row>
    <row r="2754" spans="1:1" x14ac:dyDescent="0.25">
      <c r="A2754" s="15"/>
    </row>
    <row r="2755" spans="1:1" x14ac:dyDescent="0.25">
      <c r="A2755" s="15"/>
    </row>
    <row r="2756" spans="1:1" x14ac:dyDescent="0.25">
      <c r="A2756" s="15"/>
    </row>
    <row r="2757" spans="1:1" x14ac:dyDescent="0.25">
      <c r="A2757" s="15"/>
    </row>
    <row r="2758" spans="1:1" x14ac:dyDescent="0.25">
      <c r="A2758" s="15"/>
    </row>
    <row r="2759" spans="1:1" x14ac:dyDescent="0.25">
      <c r="A2759" s="15"/>
    </row>
    <row r="2760" spans="1:1" x14ac:dyDescent="0.25">
      <c r="A2760" s="15"/>
    </row>
    <row r="2761" spans="1:1" x14ac:dyDescent="0.25">
      <c r="A2761" s="15"/>
    </row>
    <row r="2762" spans="1:1" x14ac:dyDescent="0.25">
      <c r="A2762" s="15"/>
    </row>
    <row r="2763" spans="1:1" x14ac:dyDescent="0.25">
      <c r="A2763" s="15"/>
    </row>
    <row r="2764" spans="1:1" x14ac:dyDescent="0.25">
      <c r="A2764" s="15"/>
    </row>
    <row r="2765" spans="1:1" x14ac:dyDescent="0.25">
      <c r="A2765" s="15"/>
    </row>
    <row r="2766" spans="1:1" x14ac:dyDescent="0.25">
      <c r="A2766" s="15"/>
    </row>
    <row r="2767" spans="1:1" x14ac:dyDescent="0.25">
      <c r="A2767" s="15"/>
    </row>
    <row r="2768" spans="1:1" x14ac:dyDescent="0.25">
      <c r="A2768" s="15"/>
    </row>
    <row r="2769" spans="1:1" x14ac:dyDescent="0.25">
      <c r="A2769" s="15"/>
    </row>
    <row r="2770" spans="1:1" x14ac:dyDescent="0.25">
      <c r="A2770" s="15"/>
    </row>
    <row r="2771" spans="1:1" x14ac:dyDescent="0.25">
      <c r="A2771" s="15"/>
    </row>
    <row r="2772" spans="1:1" x14ac:dyDescent="0.25">
      <c r="A2772" s="15"/>
    </row>
    <row r="2773" spans="1:1" x14ac:dyDescent="0.25">
      <c r="A2773" s="15"/>
    </row>
    <row r="2774" spans="1:1" x14ac:dyDescent="0.25">
      <c r="A2774" s="15"/>
    </row>
    <row r="2775" spans="1:1" x14ac:dyDescent="0.25">
      <c r="A2775" s="15"/>
    </row>
    <row r="2776" spans="1:1" x14ac:dyDescent="0.25">
      <c r="A2776" s="15"/>
    </row>
    <row r="2777" spans="1:1" x14ac:dyDescent="0.25">
      <c r="A2777" s="15"/>
    </row>
    <row r="2778" spans="1:1" x14ac:dyDescent="0.25">
      <c r="A2778" s="15"/>
    </row>
    <row r="2779" spans="1:1" x14ac:dyDescent="0.25">
      <c r="A2779" s="15"/>
    </row>
    <row r="2780" spans="1:1" x14ac:dyDescent="0.25">
      <c r="A2780" s="15"/>
    </row>
    <row r="2781" spans="1:1" x14ac:dyDescent="0.25">
      <c r="A2781" s="15"/>
    </row>
    <row r="2782" spans="1:1" x14ac:dyDescent="0.25">
      <c r="A2782" s="15"/>
    </row>
    <row r="2783" spans="1:1" x14ac:dyDescent="0.25">
      <c r="A2783" s="15"/>
    </row>
    <row r="2784" spans="1:1" x14ac:dyDescent="0.25">
      <c r="A2784" s="15"/>
    </row>
    <row r="2785" spans="1:1" x14ac:dyDescent="0.25">
      <c r="A2785" s="15"/>
    </row>
    <row r="2786" spans="1:1" x14ac:dyDescent="0.25">
      <c r="A2786" s="15"/>
    </row>
    <row r="2787" spans="1:1" x14ac:dyDescent="0.25">
      <c r="A2787" s="15"/>
    </row>
    <row r="2788" spans="1:1" x14ac:dyDescent="0.25">
      <c r="A2788" s="15"/>
    </row>
    <row r="2789" spans="1:1" x14ac:dyDescent="0.25">
      <c r="A2789" s="15"/>
    </row>
    <row r="2790" spans="1:1" x14ac:dyDescent="0.25">
      <c r="A2790" s="15"/>
    </row>
    <row r="2791" spans="1:1" x14ac:dyDescent="0.25">
      <c r="A2791" s="15"/>
    </row>
    <row r="2792" spans="1:1" x14ac:dyDescent="0.25">
      <c r="A2792" s="15"/>
    </row>
    <row r="2793" spans="1:1" x14ac:dyDescent="0.25">
      <c r="A2793" s="15"/>
    </row>
    <row r="2794" spans="1:1" x14ac:dyDescent="0.25">
      <c r="A2794" s="15"/>
    </row>
    <row r="2795" spans="1:1" x14ac:dyDescent="0.25">
      <c r="A2795" s="15"/>
    </row>
    <row r="2796" spans="1:1" x14ac:dyDescent="0.25">
      <c r="A2796" s="15"/>
    </row>
    <row r="2797" spans="1:1" x14ac:dyDescent="0.25">
      <c r="A2797" s="15"/>
    </row>
    <row r="2798" spans="1:1" x14ac:dyDescent="0.25">
      <c r="A2798" s="15"/>
    </row>
    <row r="2799" spans="1:1" x14ac:dyDescent="0.25">
      <c r="A2799" s="15"/>
    </row>
    <row r="2800" spans="1:1" x14ac:dyDescent="0.25">
      <c r="A2800" s="15"/>
    </row>
    <row r="2801" spans="1:1" x14ac:dyDescent="0.25">
      <c r="A2801" s="15"/>
    </row>
    <row r="2802" spans="1:1" x14ac:dyDescent="0.25">
      <c r="A2802" s="15"/>
    </row>
    <row r="2803" spans="1:1" x14ac:dyDescent="0.25">
      <c r="A2803" s="15"/>
    </row>
    <row r="2804" spans="1:1" x14ac:dyDescent="0.25">
      <c r="A2804" s="15"/>
    </row>
    <row r="2805" spans="1:1" x14ac:dyDescent="0.25">
      <c r="A2805" s="15"/>
    </row>
    <row r="2806" spans="1:1" x14ac:dyDescent="0.25">
      <c r="A2806" s="15"/>
    </row>
    <row r="2807" spans="1:1" x14ac:dyDescent="0.25">
      <c r="A2807" s="15"/>
    </row>
    <row r="2808" spans="1:1" x14ac:dyDescent="0.25">
      <c r="A2808" s="15"/>
    </row>
    <row r="2809" spans="1:1" x14ac:dyDescent="0.25">
      <c r="A2809" s="15"/>
    </row>
    <row r="2810" spans="1:1" x14ac:dyDescent="0.25">
      <c r="A2810" s="15"/>
    </row>
    <row r="2811" spans="1:1" x14ac:dyDescent="0.25">
      <c r="A2811" s="15"/>
    </row>
    <row r="2812" spans="1:1" x14ac:dyDescent="0.25">
      <c r="A2812" s="15"/>
    </row>
    <row r="2813" spans="1:1" x14ac:dyDescent="0.25">
      <c r="A2813" s="15"/>
    </row>
    <row r="2814" spans="1:1" x14ac:dyDescent="0.25">
      <c r="A2814" s="15"/>
    </row>
    <row r="2815" spans="1:1" x14ac:dyDescent="0.25">
      <c r="A2815" s="15"/>
    </row>
    <row r="2816" spans="1:1" x14ac:dyDescent="0.25">
      <c r="A2816" s="15"/>
    </row>
    <row r="2817" spans="1:1" x14ac:dyDescent="0.25">
      <c r="A2817" s="15"/>
    </row>
    <row r="2818" spans="1:1" x14ac:dyDescent="0.25">
      <c r="A2818" s="15"/>
    </row>
    <row r="2819" spans="1:1" x14ac:dyDescent="0.25">
      <c r="A2819" s="15"/>
    </row>
    <row r="2820" spans="1:1" x14ac:dyDescent="0.25">
      <c r="A2820" s="15"/>
    </row>
    <row r="2821" spans="1:1" x14ac:dyDescent="0.25">
      <c r="A2821" s="15"/>
    </row>
    <row r="2822" spans="1:1" x14ac:dyDescent="0.25">
      <c r="A2822" s="15"/>
    </row>
    <row r="2823" spans="1:1" x14ac:dyDescent="0.25">
      <c r="A2823" s="15"/>
    </row>
    <row r="2824" spans="1:1" x14ac:dyDescent="0.25">
      <c r="A2824" s="15"/>
    </row>
    <row r="2825" spans="1:1" x14ac:dyDescent="0.25">
      <c r="A2825" s="15"/>
    </row>
    <row r="2826" spans="1:1" x14ac:dyDescent="0.25">
      <c r="A2826" s="15"/>
    </row>
    <row r="2827" spans="1:1" x14ac:dyDescent="0.25">
      <c r="A2827" s="15"/>
    </row>
    <row r="2828" spans="1:1" x14ac:dyDescent="0.25">
      <c r="A2828" s="15"/>
    </row>
    <row r="2829" spans="1:1" x14ac:dyDescent="0.25">
      <c r="A2829" s="15"/>
    </row>
    <row r="2830" spans="1:1" x14ac:dyDescent="0.25">
      <c r="A2830" s="15"/>
    </row>
    <row r="2831" spans="1:1" x14ac:dyDescent="0.25">
      <c r="A2831" s="15"/>
    </row>
    <row r="2832" spans="1:1" x14ac:dyDescent="0.25">
      <c r="A2832" s="15"/>
    </row>
    <row r="2833" spans="1:1" x14ac:dyDescent="0.25">
      <c r="A2833" s="15"/>
    </row>
    <row r="2834" spans="1:1" x14ac:dyDescent="0.25">
      <c r="A2834" s="15"/>
    </row>
    <row r="2835" spans="1:1" x14ac:dyDescent="0.25">
      <c r="A2835" s="15"/>
    </row>
    <row r="2836" spans="1:1" x14ac:dyDescent="0.25">
      <c r="A2836" s="15"/>
    </row>
    <row r="2837" spans="1:1" x14ac:dyDescent="0.25">
      <c r="A2837" s="15"/>
    </row>
    <row r="2838" spans="1:1" x14ac:dyDescent="0.25">
      <c r="A2838" s="15"/>
    </row>
    <row r="2839" spans="1:1" x14ac:dyDescent="0.25">
      <c r="A2839" s="15"/>
    </row>
    <row r="2840" spans="1:1" x14ac:dyDescent="0.25">
      <c r="A2840" s="15"/>
    </row>
    <row r="2841" spans="1:1" x14ac:dyDescent="0.25">
      <c r="A2841" s="15"/>
    </row>
    <row r="2842" spans="1:1" x14ac:dyDescent="0.25">
      <c r="A2842" s="15"/>
    </row>
    <row r="2843" spans="1:1" x14ac:dyDescent="0.25">
      <c r="A2843" s="15"/>
    </row>
    <row r="2844" spans="1:1" x14ac:dyDescent="0.25">
      <c r="A2844" s="15"/>
    </row>
    <row r="2845" spans="1:1" x14ac:dyDescent="0.25">
      <c r="A2845" s="15"/>
    </row>
    <row r="2846" spans="1:1" x14ac:dyDescent="0.25">
      <c r="A2846" s="15"/>
    </row>
    <row r="2847" spans="1:1" x14ac:dyDescent="0.25">
      <c r="A2847" s="15"/>
    </row>
    <row r="2848" spans="1:1" x14ac:dyDescent="0.25">
      <c r="A2848" s="15"/>
    </row>
    <row r="2849" spans="1:1" x14ac:dyDescent="0.25">
      <c r="A2849" s="15"/>
    </row>
    <row r="2850" spans="1:1" x14ac:dyDescent="0.25">
      <c r="A2850" s="15"/>
    </row>
    <row r="2851" spans="1:1" x14ac:dyDescent="0.25">
      <c r="A2851" s="15"/>
    </row>
    <row r="2852" spans="1:1" x14ac:dyDescent="0.25">
      <c r="A2852" s="15"/>
    </row>
    <row r="2853" spans="1:1" x14ac:dyDescent="0.25">
      <c r="A2853" s="15"/>
    </row>
    <row r="2854" spans="1:1" x14ac:dyDescent="0.25">
      <c r="A2854" s="15"/>
    </row>
    <row r="2855" spans="1:1" x14ac:dyDescent="0.25">
      <c r="A2855" s="15"/>
    </row>
    <row r="2856" spans="1:1" x14ac:dyDescent="0.25">
      <c r="A2856" s="15"/>
    </row>
    <row r="2857" spans="1:1" x14ac:dyDescent="0.25">
      <c r="A2857" s="15"/>
    </row>
    <row r="2858" spans="1:1" x14ac:dyDescent="0.25">
      <c r="A2858" s="15"/>
    </row>
    <row r="2859" spans="1:1" x14ac:dyDescent="0.25">
      <c r="A2859" s="15"/>
    </row>
    <row r="2860" spans="1:1" x14ac:dyDescent="0.25">
      <c r="A2860" s="15"/>
    </row>
    <row r="2861" spans="1:1" x14ac:dyDescent="0.25">
      <c r="A2861" s="15"/>
    </row>
    <row r="2862" spans="1:1" x14ac:dyDescent="0.25">
      <c r="A2862" s="15"/>
    </row>
    <row r="2863" spans="1:1" x14ac:dyDescent="0.25">
      <c r="A2863" s="15"/>
    </row>
    <row r="2864" spans="1:1" x14ac:dyDescent="0.25">
      <c r="A2864" s="15"/>
    </row>
    <row r="2865" spans="1:1" x14ac:dyDescent="0.25">
      <c r="A2865" s="15"/>
    </row>
    <row r="2866" spans="1:1" x14ac:dyDescent="0.25">
      <c r="A2866" s="15"/>
    </row>
    <row r="2867" spans="1:1" x14ac:dyDescent="0.25">
      <c r="A2867" s="15"/>
    </row>
    <row r="2868" spans="1:1" x14ac:dyDescent="0.25">
      <c r="A2868" s="15"/>
    </row>
    <row r="2869" spans="1:1" x14ac:dyDescent="0.25">
      <c r="A2869" s="15"/>
    </row>
    <row r="2870" spans="1:1" x14ac:dyDescent="0.25">
      <c r="A2870" s="15"/>
    </row>
    <row r="2871" spans="1:1" x14ac:dyDescent="0.25">
      <c r="A2871" s="15"/>
    </row>
    <row r="2872" spans="1:1" x14ac:dyDescent="0.25">
      <c r="A2872" s="15"/>
    </row>
    <row r="2873" spans="1:1" x14ac:dyDescent="0.25">
      <c r="A2873" s="15"/>
    </row>
    <row r="2874" spans="1:1" x14ac:dyDescent="0.25">
      <c r="A2874" s="15"/>
    </row>
    <row r="2875" spans="1:1" x14ac:dyDescent="0.25">
      <c r="A2875" s="15"/>
    </row>
    <row r="2876" spans="1:1" x14ac:dyDescent="0.25">
      <c r="A2876" s="15"/>
    </row>
    <row r="2877" spans="1:1" x14ac:dyDescent="0.25">
      <c r="A2877" s="15"/>
    </row>
    <row r="2878" spans="1:1" x14ac:dyDescent="0.25">
      <c r="A2878" s="15"/>
    </row>
    <row r="2879" spans="1:1" x14ac:dyDescent="0.25">
      <c r="A2879" s="15"/>
    </row>
    <row r="2880" spans="1:1" x14ac:dyDescent="0.25">
      <c r="A2880" s="15"/>
    </row>
    <row r="2881" spans="1:1" x14ac:dyDescent="0.25">
      <c r="A2881" s="15"/>
    </row>
    <row r="2882" spans="1:1" x14ac:dyDescent="0.25">
      <c r="A2882" s="15"/>
    </row>
    <row r="2883" spans="1:1" x14ac:dyDescent="0.25">
      <c r="A2883" s="15"/>
    </row>
    <row r="2884" spans="1:1" x14ac:dyDescent="0.25">
      <c r="A2884" s="15"/>
    </row>
    <row r="2885" spans="1:1" x14ac:dyDescent="0.25">
      <c r="A2885" s="15"/>
    </row>
    <row r="2886" spans="1:1" x14ac:dyDescent="0.25">
      <c r="A2886" s="15"/>
    </row>
    <row r="2887" spans="1:1" x14ac:dyDescent="0.25">
      <c r="A2887" s="15"/>
    </row>
    <row r="2888" spans="1:1" x14ac:dyDescent="0.25">
      <c r="A2888" s="15"/>
    </row>
    <row r="2889" spans="1:1" x14ac:dyDescent="0.25">
      <c r="A2889" s="15"/>
    </row>
    <row r="2890" spans="1:1" x14ac:dyDescent="0.25">
      <c r="A2890" s="15"/>
    </row>
    <row r="2891" spans="1:1" x14ac:dyDescent="0.25">
      <c r="A2891" s="15"/>
    </row>
    <row r="2892" spans="1:1" x14ac:dyDescent="0.25">
      <c r="A2892" s="15"/>
    </row>
    <row r="2893" spans="1:1" x14ac:dyDescent="0.25">
      <c r="A2893" s="15"/>
    </row>
    <row r="2894" spans="1:1" x14ac:dyDescent="0.25">
      <c r="A2894" s="15"/>
    </row>
    <row r="2895" spans="1:1" x14ac:dyDescent="0.25">
      <c r="A2895" s="15"/>
    </row>
    <row r="2896" spans="1:1" x14ac:dyDescent="0.25">
      <c r="A2896" s="15"/>
    </row>
    <row r="2897" spans="1:1" x14ac:dyDescent="0.25">
      <c r="A2897" s="15"/>
    </row>
    <row r="2898" spans="1:1" x14ac:dyDescent="0.25">
      <c r="A2898" s="15"/>
    </row>
    <row r="2899" spans="1:1" x14ac:dyDescent="0.25">
      <c r="A2899" s="15"/>
    </row>
    <row r="2900" spans="1:1" x14ac:dyDescent="0.25">
      <c r="A2900" s="15"/>
    </row>
    <row r="2901" spans="1:1" x14ac:dyDescent="0.25">
      <c r="A2901" s="15"/>
    </row>
    <row r="2902" spans="1:1" x14ac:dyDescent="0.25">
      <c r="A2902" s="15"/>
    </row>
    <row r="2903" spans="1:1" x14ac:dyDescent="0.25">
      <c r="A2903" s="15"/>
    </row>
    <row r="2904" spans="1:1" x14ac:dyDescent="0.25">
      <c r="A2904" s="15"/>
    </row>
    <row r="2905" spans="1:1" x14ac:dyDescent="0.25">
      <c r="A2905" s="15"/>
    </row>
    <row r="2906" spans="1:1" x14ac:dyDescent="0.25">
      <c r="A2906" s="15"/>
    </row>
    <row r="2907" spans="1:1" x14ac:dyDescent="0.25">
      <c r="A2907" s="15"/>
    </row>
    <row r="2908" spans="1:1" x14ac:dyDescent="0.25">
      <c r="A2908" s="15"/>
    </row>
    <row r="2909" spans="1:1" x14ac:dyDescent="0.25">
      <c r="A2909" s="15"/>
    </row>
    <row r="2910" spans="1:1" x14ac:dyDescent="0.25">
      <c r="A2910" s="15"/>
    </row>
    <row r="2911" spans="1:1" x14ac:dyDescent="0.25">
      <c r="A2911" s="15"/>
    </row>
    <row r="2912" spans="1:1" x14ac:dyDescent="0.25">
      <c r="A2912" s="15"/>
    </row>
    <row r="2913" spans="1:1" x14ac:dyDescent="0.25">
      <c r="A2913" s="15"/>
    </row>
    <row r="2914" spans="1:1" x14ac:dyDescent="0.25">
      <c r="A2914" s="15"/>
    </row>
    <row r="2915" spans="1:1" x14ac:dyDescent="0.25">
      <c r="A2915" s="15"/>
    </row>
    <row r="2916" spans="1:1" x14ac:dyDescent="0.25">
      <c r="A2916" s="15"/>
    </row>
    <row r="2917" spans="1:1" x14ac:dyDescent="0.25">
      <c r="A2917" s="15"/>
    </row>
    <row r="2918" spans="1:1" x14ac:dyDescent="0.25">
      <c r="A2918" s="15"/>
    </row>
    <row r="2919" spans="1:1" x14ac:dyDescent="0.25">
      <c r="A2919" s="15"/>
    </row>
    <row r="2920" spans="1:1" x14ac:dyDescent="0.25">
      <c r="A2920" s="15"/>
    </row>
    <row r="2921" spans="1:1" x14ac:dyDescent="0.25">
      <c r="A2921" s="15"/>
    </row>
    <row r="2922" spans="1:1" x14ac:dyDescent="0.25">
      <c r="A2922" s="15"/>
    </row>
    <row r="2923" spans="1:1" x14ac:dyDescent="0.25">
      <c r="A2923" s="15"/>
    </row>
    <row r="2924" spans="1:1" x14ac:dyDescent="0.25">
      <c r="A2924" s="15"/>
    </row>
    <row r="2925" spans="1:1" x14ac:dyDescent="0.25">
      <c r="A2925" s="15"/>
    </row>
    <row r="2926" spans="1:1" x14ac:dyDescent="0.25">
      <c r="A2926" s="15"/>
    </row>
    <row r="2927" spans="1:1" x14ac:dyDescent="0.25">
      <c r="A2927" s="15"/>
    </row>
    <row r="2928" spans="1:1" x14ac:dyDescent="0.25">
      <c r="A2928" s="15"/>
    </row>
    <row r="2929" spans="1:1" x14ac:dyDescent="0.25">
      <c r="A2929" s="15"/>
    </row>
    <row r="2930" spans="1:1" x14ac:dyDescent="0.25">
      <c r="A2930" s="15"/>
    </row>
    <row r="2931" spans="1:1" x14ac:dyDescent="0.25">
      <c r="A2931" s="15"/>
    </row>
    <row r="2932" spans="1:1" x14ac:dyDescent="0.25">
      <c r="A2932" s="15"/>
    </row>
    <row r="2933" spans="1:1" x14ac:dyDescent="0.25">
      <c r="A2933" s="15"/>
    </row>
    <row r="2934" spans="1:1" x14ac:dyDescent="0.25">
      <c r="A2934" s="15"/>
    </row>
    <row r="2935" spans="1:1" x14ac:dyDescent="0.25">
      <c r="A2935" s="15"/>
    </row>
    <row r="2936" spans="1:1" x14ac:dyDescent="0.25">
      <c r="A2936" s="15"/>
    </row>
    <row r="2937" spans="1:1" x14ac:dyDescent="0.25">
      <c r="A2937" s="15"/>
    </row>
    <row r="2938" spans="1:1" x14ac:dyDescent="0.25">
      <c r="A2938" s="15"/>
    </row>
    <row r="2939" spans="1:1" x14ac:dyDescent="0.25">
      <c r="A2939" s="15"/>
    </row>
    <row r="2940" spans="1:1" x14ac:dyDescent="0.25">
      <c r="A2940" s="15"/>
    </row>
    <row r="2941" spans="1:1" x14ac:dyDescent="0.25">
      <c r="A2941" s="15"/>
    </row>
    <row r="2942" spans="1:1" x14ac:dyDescent="0.25">
      <c r="A2942" s="15"/>
    </row>
    <row r="2943" spans="1:1" x14ac:dyDescent="0.25">
      <c r="A2943" s="15"/>
    </row>
    <row r="2944" spans="1:1" x14ac:dyDescent="0.25">
      <c r="A2944" s="15"/>
    </row>
    <row r="2945" spans="1:1" x14ac:dyDescent="0.25">
      <c r="A2945" s="15"/>
    </row>
    <row r="2946" spans="1:1" x14ac:dyDescent="0.25">
      <c r="A2946" s="15"/>
    </row>
    <row r="2947" spans="1:1" x14ac:dyDescent="0.25">
      <c r="A2947" s="15"/>
    </row>
    <row r="2948" spans="1:1" x14ac:dyDescent="0.25">
      <c r="A2948" s="15"/>
    </row>
    <row r="2949" spans="1:1" x14ac:dyDescent="0.25">
      <c r="A2949" s="15"/>
    </row>
    <row r="2950" spans="1:1" x14ac:dyDescent="0.25">
      <c r="A2950" s="15"/>
    </row>
    <row r="2951" spans="1:1" x14ac:dyDescent="0.25">
      <c r="A2951" s="15"/>
    </row>
    <row r="2952" spans="1:1" x14ac:dyDescent="0.25">
      <c r="A2952" s="15"/>
    </row>
    <row r="2953" spans="1:1" x14ac:dyDescent="0.25">
      <c r="A2953" s="15"/>
    </row>
    <row r="2954" spans="1:1" x14ac:dyDescent="0.25">
      <c r="A2954" s="15"/>
    </row>
    <row r="2955" spans="1:1" x14ac:dyDescent="0.25">
      <c r="A2955" s="15"/>
    </row>
    <row r="2956" spans="1:1" x14ac:dyDescent="0.25">
      <c r="A2956" s="15"/>
    </row>
    <row r="2957" spans="1:1" x14ac:dyDescent="0.25">
      <c r="A2957" s="15"/>
    </row>
    <row r="2958" spans="1:1" x14ac:dyDescent="0.25">
      <c r="A2958" s="15"/>
    </row>
    <row r="2959" spans="1:1" x14ac:dyDescent="0.25">
      <c r="A2959" s="15"/>
    </row>
    <row r="2960" spans="1:1" x14ac:dyDescent="0.25">
      <c r="A2960" s="15"/>
    </row>
    <row r="2961" spans="1:1" x14ac:dyDescent="0.25">
      <c r="A2961" s="15"/>
    </row>
    <row r="2962" spans="1:1" x14ac:dyDescent="0.25">
      <c r="A2962" s="15"/>
    </row>
    <row r="2963" spans="1:1" x14ac:dyDescent="0.25">
      <c r="A2963" s="15"/>
    </row>
    <row r="2964" spans="1:1" x14ac:dyDescent="0.25">
      <c r="A2964" s="15"/>
    </row>
    <row r="2965" spans="1:1" x14ac:dyDescent="0.25">
      <c r="A2965" s="15"/>
    </row>
    <row r="2966" spans="1:1" x14ac:dyDescent="0.25">
      <c r="A2966" s="15"/>
    </row>
    <row r="2967" spans="1:1" x14ac:dyDescent="0.25">
      <c r="A2967" s="15"/>
    </row>
    <row r="2968" spans="1:1" x14ac:dyDescent="0.25">
      <c r="A2968" s="15"/>
    </row>
    <row r="2969" spans="1:1" x14ac:dyDescent="0.25">
      <c r="A2969" s="15"/>
    </row>
    <row r="2970" spans="1:1" x14ac:dyDescent="0.25">
      <c r="A2970" s="15"/>
    </row>
    <row r="2971" spans="1:1" x14ac:dyDescent="0.25">
      <c r="A2971" s="15"/>
    </row>
    <row r="2972" spans="1:1" x14ac:dyDescent="0.25">
      <c r="A2972" s="15"/>
    </row>
    <row r="2973" spans="1:1" x14ac:dyDescent="0.25">
      <c r="A2973" s="15"/>
    </row>
    <row r="2974" spans="1:1" x14ac:dyDescent="0.25">
      <c r="A2974" s="15"/>
    </row>
    <row r="2975" spans="1:1" x14ac:dyDescent="0.25">
      <c r="A2975" s="15"/>
    </row>
    <row r="2976" spans="1:1" x14ac:dyDescent="0.25">
      <c r="A2976" s="15"/>
    </row>
    <row r="2977" spans="1:1" x14ac:dyDescent="0.25">
      <c r="A2977" s="15"/>
    </row>
    <row r="2978" spans="1:1" x14ac:dyDescent="0.25">
      <c r="A2978" s="15"/>
    </row>
    <row r="2979" spans="1:1" x14ac:dyDescent="0.25">
      <c r="A2979" s="15"/>
    </row>
    <row r="2980" spans="1:1" x14ac:dyDescent="0.25">
      <c r="A2980" s="15"/>
    </row>
    <row r="2981" spans="1:1" x14ac:dyDescent="0.25">
      <c r="A2981" s="15"/>
    </row>
    <row r="2982" spans="1:1" x14ac:dyDescent="0.25">
      <c r="A2982" s="15"/>
    </row>
    <row r="2983" spans="1:1" x14ac:dyDescent="0.25">
      <c r="A2983" s="15"/>
    </row>
    <row r="2984" spans="1:1" x14ac:dyDescent="0.25">
      <c r="A2984" s="15"/>
    </row>
    <row r="2985" spans="1:1" x14ac:dyDescent="0.25">
      <c r="A2985" s="15"/>
    </row>
    <row r="2986" spans="1:1" x14ac:dyDescent="0.25">
      <c r="A2986" s="15"/>
    </row>
    <row r="2987" spans="1:1" x14ac:dyDescent="0.25">
      <c r="A2987" s="15"/>
    </row>
    <row r="2988" spans="1:1" x14ac:dyDescent="0.25">
      <c r="A2988" s="15"/>
    </row>
    <row r="2989" spans="1:1" x14ac:dyDescent="0.25">
      <c r="A2989" s="15"/>
    </row>
    <row r="2990" spans="1:1" x14ac:dyDescent="0.25">
      <c r="A2990" s="15"/>
    </row>
    <row r="2991" spans="1:1" x14ac:dyDescent="0.25">
      <c r="A2991" s="15"/>
    </row>
    <row r="2992" spans="1:1" x14ac:dyDescent="0.25">
      <c r="A2992" s="15"/>
    </row>
    <row r="2993" spans="1:1" x14ac:dyDescent="0.25">
      <c r="A2993" s="15"/>
    </row>
    <row r="2994" spans="1:1" x14ac:dyDescent="0.25">
      <c r="A2994" s="15"/>
    </row>
    <row r="2995" spans="1:1" x14ac:dyDescent="0.25">
      <c r="A2995" s="15"/>
    </row>
    <row r="2996" spans="1:1" x14ac:dyDescent="0.25">
      <c r="A2996" s="15"/>
    </row>
    <row r="2997" spans="1:1" x14ac:dyDescent="0.25">
      <c r="A2997" s="15"/>
    </row>
    <row r="2998" spans="1:1" x14ac:dyDescent="0.25">
      <c r="A2998" s="15"/>
    </row>
    <row r="2999" spans="1:1" x14ac:dyDescent="0.25">
      <c r="A2999" s="15"/>
    </row>
    <row r="3000" spans="1:1" x14ac:dyDescent="0.25">
      <c r="A3000" s="15"/>
    </row>
    <row r="3001" spans="1:1" x14ac:dyDescent="0.25">
      <c r="A3001" s="15"/>
    </row>
    <row r="3002" spans="1:1" x14ac:dyDescent="0.25">
      <c r="A3002" s="15"/>
    </row>
    <row r="3003" spans="1:1" x14ac:dyDescent="0.25">
      <c r="A3003" s="15"/>
    </row>
    <row r="3004" spans="1:1" x14ac:dyDescent="0.25">
      <c r="A3004" s="15"/>
    </row>
    <row r="3005" spans="1:1" x14ac:dyDescent="0.25">
      <c r="A3005" s="15"/>
    </row>
    <row r="3006" spans="1:1" x14ac:dyDescent="0.25">
      <c r="A3006" s="15"/>
    </row>
    <row r="3007" spans="1:1" x14ac:dyDescent="0.25">
      <c r="A3007" s="15"/>
    </row>
    <row r="3008" spans="1:1" x14ac:dyDescent="0.25">
      <c r="A3008" s="15"/>
    </row>
    <row r="3009" spans="1:1" x14ac:dyDescent="0.25">
      <c r="A3009" s="15"/>
    </row>
    <row r="3010" spans="1:1" x14ac:dyDescent="0.25">
      <c r="A3010" s="15"/>
    </row>
    <row r="3011" spans="1:1" x14ac:dyDescent="0.25">
      <c r="A3011" s="15"/>
    </row>
    <row r="3012" spans="1:1" x14ac:dyDescent="0.25">
      <c r="A3012" s="15"/>
    </row>
    <row r="3013" spans="1:1" x14ac:dyDescent="0.25">
      <c r="A3013" s="15"/>
    </row>
    <row r="3014" spans="1:1" x14ac:dyDescent="0.25">
      <c r="A3014" s="15"/>
    </row>
    <row r="3015" spans="1:1" x14ac:dyDescent="0.25">
      <c r="A3015" s="15"/>
    </row>
    <row r="3016" spans="1:1" x14ac:dyDescent="0.25">
      <c r="A3016" s="15"/>
    </row>
    <row r="3017" spans="1:1" x14ac:dyDescent="0.25">
      <c r="A3017" s="15"/>
    </row>
    <row r="3018" spans="1:1" x14ac:dyDescent="0.25">
      <c r="A3018" s="15"/>
    </row>
    <row r="3019" spans="1:1" x14ac:dyDescent="0.25">
      <c r="A3019" s="15"/>
    </row>
    <row r="3020" spans="1:1" x14ac:dyDescent="0.25">
      <c r="A3020" s="15"/>
    </row>
    <row r="3021" spans="1:1" x14ac:dyDescent="0.25">
      <c r="A3021" s="15"/>
    </row>
    <row r="3022" spans="1:1" x14ac:dyDescent="0.25">
      <c r="A3022" s="15"/>
    </row>
    <row r="3023" spans="1:1" x14ac:dyDescent="0.25">
      <c r="A3023" s="15"/>
    </row>
    <row r="3024" spans="1:1" x14ac:dyDescent="0.25">
      <c r="A3024" s="15"/>
    </row>
    <row r="3025" spans="1:1" x14ac:dyDescent="0.25">
      <c r="A3025" s="15"/>
    </row>
    <row r="3026" spans="1:1" x14ac:dyDescent="0.25">
      <c r="A3026" s="15"/>
    </row>
    <row r="3027" spans="1:1" x14ac:dyDescent="0.25">
      <c r="A3027" s="15"/>
    </row>
    <row r="3028" spans="1:1" x14ac:dyDescent="0.25">
      <c r="A3028" s="15"/>
    </row>
    <row r="3029" spans="1:1" x14ac:dyDescent="0.25">
      <c r="A3029" s="15"/>
    </row>
    <row r="3030" spans="1:1" x14ac:dyDescent="0.25">
      <c r="A3030" s="15"/>
    </row>
    <row r="3031" spans="1:1" x14ac:dyDescent="0.25">
      <c r="A3031" s="15"/>
    </row>
    <row r="3032" spans="1:1" x14ac:dyDescent="0.25">
      <c r="A3032" s="15"/>
    </row>
    <row r="3033" spans="1:1" x14ac:dyDescent="0.25">
      <c r="A3033" s="15"/>
    </row>
    <row r="3034" spans="1:1" x14ac:dyDescent="0.25">
      <c r="A3034" s="15"/>
    </row>
    <row r="3035" spans="1:1" x14ac:dyDescent="0.25">
      <c r="A3035" s="15"/>
    </row>
    <row r="3036" spans="1:1" x14ac:dyDescent="0.25">
      <c r="A3036" s="15"/>
    </row>
    <row r="3037" spans="1:1" x14ac:dyDescent="0.25">
      <c r="A3037" s="15"/>
    </row>
    <row r="3038" spans="1:1" x14ac:dyDescent="0.25">
      <c r="A3038" s="15"/>
    </row>
    <row r="3039" spans="1:1" x14ac:dyDescent="0.25">
      <c r="A3039" s="15"/>
    </row>
    <row r="3040" spans="1:1" x14ac:dyDescent="0.25">
      <c r="A3040" s="15"/>
    </row>
    <row r="3041" spans="1:1" x14ac:dyDescent="0.25">
      <c r="A3041" s="15"/>
    </row>
    <row r="3042" spans="1:1" x14ac:dyDescent="0.25">
      <c r="A3042" s="15"/>
    </row>
    <row r="3043" spans="1:1" x14ac:dyDescent="0.25">
      <c r="A3043" s="15"/>
    </row>
    <row r="3044" spans="1:1" x14ac:dyDescent="0.25">
      <c r="A3044" s="15"/>
    </row>
    <row r="3045" spans="1:1" x14ac:dyDescent="0.25">
      <c r="A3045" s="15"/>
    </row>
    <row r="3046" spans="1:1" x14ac:dyDescent="0.25">
      <c r="A3046" s="15"/>
    </row>
    <row r="3047" spans="1:1" x14ac:dyDescent="0.25">
      <c r="A3047" s="15"/>
    </row>
    <row r="3048" spans="1:1" x14ac:dyDescent="0.25">
      <c r="A3048" s="15"/>
    </row>
    <row r="3049" spans="1:1" x14ac:dyDescent="0.25">
      <c r="A3049" s="15"/>
    </row>
    <row r="3050" spans="1:1" x14ac:dyDescent="0.25">
      <c r="A3050" s="15"/>
    </row>
    <row r="3051" spans="1:1" x14ac:dyDescent="0.25">
      <c r="A3051" s="15"/>
    </row>
    <row r="3052" spans="1:1" x14ac:dyDescent="0.25">
      <c r="A3052" s="15"/>
    </row>
    <row r="3053" spans="1:1" x14ac:dyDescent="0.25">
      <c r="A3053" s="15"/>
    </row>
    <row r="3054" spans="1:1" x14ac:dyDescent="0.25">
      <c r="A3054" s="15"/>
    </row>
    <row r="3055" spans="1:1" x14ac:dyDescent="0.25">
      <c r="A3055" s="15"/>
    </row>
    <row r="3056" spans="1:1" x14ac:dyDescent="0.25">
      <c r="A3056" s="15"/>
    </row>
    <row r="3057" spans="1:1" x14ac:dyDescent="0.25">
      <c r="A3057" s="15"/>
    </row>
    <row r="3058" spans="1:1" x14ac:dyDescent="0.25">
      <c r="A3058" s="15"/>
    </row>
    <row r="3059" spans="1:1" x14ac:dyDescent="0.25">
      <c r="A3059" s="15"/>
    </row>
    <row r="3060" spans="1:1" x14ac:dyDescent="0.25">
      <c r="A3060" s="15"/>
    </row>
    <row r="3061" spans="1:1" x14ac:dyDescent="0.25">
      <c r="A3061" s="15"/>
    </row>
    <row r="3062" spans="1:1" x14ac:dyDescent="0.25">
      <c r="A3062" s="15"/>
    </row>
    <row r="3063" spans="1:1" x14ac:dyDescent="0.25">
      <c r="A3063" s="15"/>
    </row>
    <row r="3064" spans="1:1" x14ac:dyDescent="0.25">
      <c r="A3064" s="15"/>
    </row>
    <row r="3065" spans="1:1" x14ac:dyDescent="0.25">
      <c r="A3065" s="15"/>
    </row>
    <row r="3066" spans="1:1" x14ac:dyDescent="0.25">
      <c r="A3066" s="15"/>
    </row>
    <row r="3067" spans="1:1" x14ac:dyDescent="0.25">
      <c r="A3067" s="15"/>
    </row>
    <row r="3068" spans="1:1" x14ac:dyDescent="0.25">
      <c r="A3068" s="15"/>
    </row>
    <row r="3069" spans="1:1" x14ac:dyDescent="0.25">
      <c r="A3069" s="15"/>
    </row>
    <row r="3070" spans="1:1" x14ac:dyDescent="0.25">
      <c r="A3070" s="15"/>
    </row>
    <row r="3071" spans="1:1" x14ac:dyDescent="0.25">
      <c r="A3071" s="15"/>
    </row>
    <row r="3072" spans="1:1" x14ac:dyDescent="0.25">
      <c r="A3072" s="15"/>
    </row>
    <row r="3073" spans="1:1" x14ac:dyDescent="0.25">
      <c r="A3073" s="15"/>
    </row>
    <row r="3074" spans="1:1" x14ac:dyDescent="0.25">
      <c r="A3074" s="15"/>
    </row>
    <row r="3075" spans="1:1" x14ac:dyDescent="0.25">
      <c r="A3075" s="15"/>
    </row>
    <row r="3076" spans="1:1" x14ac:dyDescent="0.25">
      <c r="A3076" s="15"/>
    </row>
    <row r="3077" spans="1:1" x14ac:dyDescent="0.25">
      <c r="A3077" s="15"/>
    </row>
    <row r="3078" spans="1:1" x14ac:dyDescent="0.25">
      <c r="A3078" s="15"/>
    </row>
    <row r="3079" spans="1:1" x14ac:dyDescent="0.25">
      <c r="A3079" s="15"/>
    </row>
    <row r="3080" spans="1:1" x14ac:dyDescent="0.25">
      <c r="A3080" s="15"/>
    </row>
    <row r="3081" spans="1:1" x14ac:dyDescent="0.25">
      <c r="A3081" s="15"/>
    </row>
    <row r="3082" spans="1:1" x14ac:dyDescent="0.25">
      <c r="A3082" s="15"/>
    </row>
    <row r="3083" spans="1:1" x14ac:dyDescent="0.25">
      <c r="A3083" s="15"/>
    </row>
    <row r="3084" spans="1:1" x14ac:dyDescent="0.25">
      <c r="A3084" s="15"/>
    </row>
    <row r="3085" spans="1:1" x14ac:dyDescent="0.25">
      <c r="A3085" s="15"/>
    </row>
    <row r="3086" spans="1:1" x14ac:dyDescent="0.25">
      <c r="A3086" s="15"/>
    </row>
    <row r="3087" spans="1:1" x14ac:dyDescent="0.25">
      <c r="A3087" s="15"/>
    </row>
    <row r="3088" spans="1:1" x14ac:dyDescent="0.25">
      <c r="A3088" s="15"/>
    </row>
    <row r="3089" spans="1:1" x14ac:dyDescent="0.25">
      <c r="A3089" s="15"/>
    </row>
    <row r="3090" spans="1:1" x14ac:dyDescent="0.25">
      <c r="A3090" s="15"/>
    </row>
    <row r="3091" spans="1:1" x14ac:dyDescent="0.25">
      <c r="A3091" s="15"/>
    </row>
    <row r="3092" spans="1:1" x14ac:dyDescent="0.25">
      <c r="A3092" s="15"/>
    </row>
    <row r="3093" spans="1:1" x14ac:dyDescent="0.25">
      <c r="A3093" s="15"/>
    </row>
    <row r="3094" spans="1:1" x14ac:dyDescent="0.25">
      <c r="A3094" s="15"/>
    </row>
    <row r="3095" spans="1:1" x14ac:dyDescent="0.25">
      <c r="A3095" s="15"/>
    </row>
    <row r="3096" spans="1:1" x14ac:dyDescent="0.25">
      <c r="A3096" s="15"/>
    </row>
    <row r="3097" spans="1:1" x14ac:dyDescent="0.25">
      <c r="A3097" s="15"/>
    </row>
    <row r="3098" spans="1:1" x14ac:dyDescent="0.25">
      <c r="A3098" s="15"/>
    </row>
    <row r="3099" spans="1:1" x14ac:dyDescent="0.25">
      <c r="A3099" s="15"/>
    </row>
    <row r="3100" spans="1:1" x14ac:dyDescent="0.25">
      <c r="A3100" s="15"/>
    </row>
    <row r="3101" spans="1:1" x14ac:dyDescent="0.25">
      <c r="A3101" s="15"/>
    </row>
    <row r="3102" spans="1:1" x14ac:dyDescent="0.25">
      <c r="A3102" s="15"/>
    </row>
    <row r="3103" spans="1:1" x14ac:dyDescent="0.25">
      <c r="A3103" s="15"/>
    </row>
    <row r="3104" spans="1:1" x14ac:dyDescent="0.25">
      <c r="A3104" s="15"/>
    </row>
    <row r="3105" spans="1:1" x14ac:dyDescent="0.25">
      <c r="A3105" s="15"/>
    </row>
    <row r="3106" spans="1:1" x14ac:dyDescent="0.25">
      <c r="A3106" s="15"/>
    </row>
    <row r="3107" spans="1:1" x14ac:dyDescent="0.25">
      <c r="A3107" s="15"/>
    </row>
    <row r="3108" spans="1:1" x14ac:dyDescent="0.25">
      <c r="A3108" s="15"/>
    </row>
    <row r="3109" spans="1:1" x14ac:dyDescent="0.25">
      <c r="A3109" s="15"/>
    </row>
    <row r="3110" spans="1:1" x14ac:dyDescent="0.25">
      <c r="A3110" s="15"/>
    </row>
    <row r="3111" spans="1:1" x14ac:dyDescent="0.25">
      <c r="A3111" s="15"/>
    </row>
    <row r="3112" spans="1:1" x14ac:dyDescent="0.25">
      <c r="A3112" s="15"/>
    </row>
    <row r="3113" spans="1:1" x14ac:dyDescent="0.25">
      <c r="A3113" s="15"/>
    </row>
    <row r="3114" spans="1:1" x14ac:dyDescent="0.25">
      <c r="A3114" s="15"/>
    </row>
    <row r="3115" spans="1:1" x14ac:dyDescent="0.25">
      <c r="A3115" s="15"/>
    </row>
    <row r="3116" spans="1:1" x14ac:dyDescent="0.25">
      <c r="A3116" s="15"/>
    </row>
    <row r="3117" spans="1:1" x14ac:dyDescent="0.25">
      <c r="A3117" s="15"/>
    </row>
    <row r="3118" spans="1:1" x14ac:dyDescent="0.25">
      <c r="A3118" s="15"/>
    </row>
    <row r="3119" spans="1:1" x14ac:dyDescent="0.25">
      <c r="A3119" s="15"/>
    </row>
    <row r="3120" spans="1:1" x14ac:dyDescent="0.25">
      <c r="A3120" s="15"/>
    </row>
    <row r="3121" spans="1:1" x14ac:dyDescent="0.25">
      <c r="A3121" s="15"/>
    </row>
    <row r="3122" spans="1:1" x14ac:dyDescent="0.25">
      <c r="A3122" s="15"/>
    </row>
    <row r="3123" spans="1:1" x14ac:dyDescent="0.25">
      <c r="A3123" s="15"/>
    </row>
    <row r="3124" spans="1:1" x14ac:dyDescent="0.25">
      <c r="A3124" s="15"/>
    </row>
    <row r="3125" spans="1:1" x14ac:dyDescent="0.25">
      <c r="A3125" s="15"/>
    </row>
    <row r="3126" spans="1:1" x14ac:dyDescent="0.25">
      <c r="A3126" s="15"/>
    </row>
    <row r="3127" spans="1:1" x14ac:dyDescent="0.25">
      <c r="A3127" s="15"/>
    </row>
    <row r="3128" spans="1:1" x14ac:dyDescent="0.25">
      <c r="A3128" s="15"/>
    </row>
    <row r="3129" spans="1:1" x14ac:dyDescent="0.25">
      <c r="A3129" s="15"/>
    </row>
    <row r="3130" spans="1:1" x14ac:dyDescent="0.25">
      <c r="A3130" s="15"/>
    </row>
    <row r="3131" spans="1:1" x14ac:dyDescent="0.25">
      <c r="A3131" s="15"/>
    </row>
    <row r="3132" spans="1:1" x14ac:dyDescent="0.25">
      <c r="A3132" s="15"/>
    </row>
    <row r="3133" spans="1:1" x14ac:dyDescent="0.25">
      <c r="A3133" s="15"/>
    </row>
    <row r="3134" spans="1:1" x14ac:dyDescent="0.25">
      <c r="A3134" s="15"/>
    </row>
    <row r="3135" spans="1:1" x14ac:dyDescent="0.25">
      <c r="A3135" s="15"/>
    </row>
    <row r="3136" spans="1:1" x14ac:dyDescent="0.25">
      <c r="A3136" s="15"/>
    </row>
    <row r="3137" spans="1:1" x14ac:dyDescent="0.25">
      <c r="A3137" s="15"/>
    </row>
    <row r="3138" spans="1:1" x14ac:dyDescent="0.25">
      <c r="A3138" s="15"/>
    </row>
    <row r="3139" spans="1:1" x14ac:dyDescent="0.25">
      <c r="A3139" s="15"/>
    </row>
    <row r="3140" spans="1:1" x14ac:dyDescent="0.25">
      <c r="A3140" s="15"/>
    </row>
    <row r="3141" spans="1:1" x14ac:dyDescent="0.25">
      <c r="A3141" s="15"/>
    </row>
    <row r="3142" spans="1:1" x14ac:dyDescent="0.25">
      <c r="A3142" s="15"/>
    </row>
    <row r="3143" spans="1:1" x14ac:dyDescent="0.25">
      <c r="A3143" s="15"/>
    </row>
    <row r="3144" spans="1:1" x14ac:dyDescent="0.25">
      <c r="A3144" s="15"/>
    </row>
    <row r="3145" spans="1:1" x14ac:dyDescent="0.25">
      <c r="A3145" s="15"/>
    </row>
    <row r="3146" spans="1:1" x14ac:dyDescent="0.25">
      <c r="A3146" s="15"/>
    </row>
    <row r="3147" spans="1:1" x14ac:dyDescent="0.25">
      <c r="A3147" s="15"/>
    </row>
    <row r="3148" spans="1:1" x14ac:dyDescent="0.25">
      <c r="A3148" s="15"/>
    </row>
    <row r="3149" spans="1:1" x14ac:dyDescent="0.25">
      <c r="A3149" s="15"/>
    </row>
    <row r="3150" spans="1:1" x14ac:dyDescent="0.25">
      <c r="A3150" s="15"/>
    </row>
    <row r="3151" spans="1:1" x14ac:dyDescent="0.25">
      <c r="A3151" s="15"/>
    </row>
    <row r="3152" spans="1:1" x14ac:dyDescent="0.25">
      <c r="A3152" s="15"/>
    </row>
    <row r="3153" spans="1:1" x14ac:dyDescent="0.25">
      <c r="A3153" s="15"/>
    </row>
    <row r="3154" spans="1:1" x14ac:dyDescent="0.25">
      <c r="A3154" s="15"/>
    </row>
    <row r="3155" spans="1:1" x14ac:dyDescent="0.25">
      <c r="A3155" s="15"/>
    </row>
    <row r="3156" spans="1:1" x14ac:dyDescent="0.25">
      <c r="A3156" s="15"/>
    </row>
    <row r="3157" spans="1:1" x14ac:dyDescent="0.25">
      <c r="A3157" s="15"/>
    </row>
    <row r="3158" spans="1:1" x14ac:dyDescent="0.25">
      <c r="A3158" s="15"/>
    </row>
    <row r="3159" spans="1:1" x14ac:dyDescent="0.25">
      <c r="A3159" s="15"/>
    </row>
    <row r="3160" spans="1:1" x14ac:dyDescent="0.25">
      <c r="A3160" s="15"/>
    </row>
    <row r="3161" spans="1:1" x14ac:dyDescent="0.25">
      <c r="A3161" s="15"/>
    </row>
    <row r="3162" spans="1:1" x14ac:dyDescent="0.25">
      <c r="A3162" s="15"/>
    </row>
    <row r="3163" spans="1:1" x14ac:dyDescent="0.25">
      <c r="A3163" s="15"/>
    </row>
    <row r="3164" spans="1:1" x14ac:dyDescent="0.25">
      <c r="A3164" s="15"/>
    </row>
    <row r="3165" spans="1:1" x14ac:dyDescent="0.25">
      <c r="A3165" s="15"/>
    </row>
    <row r="3166" spans="1:1" x14ac:dyDescent="0.25">
      <c r="A3166" s="15"/>
    </row>
    <row r="3167" spans="1:1" x14ac:dyDescent="0.25">
      <c r="A3167" s="15"/>
    </row>
    <row r="3168" spans="1:1" x14ac:dyDescent="0.25">
      <c r="A3168" s="15"/>
    </row>
    <row r="3169" spans="1:1" x14ac:dyDescent="0.25">
      <c r="A3169" s="15"/>
    </row>
    <row r="3170" spans="1:1" x14ac:dyDescent="0.25">
      <c r="A3170" s="15"/>
    </row>
    <row r="3171" spans="1:1" x14ac:dyDescent="0.25">
      <c r="A3171" s="15"/>
    </row>
    <row r="3172" spans="1:1" x14ac:dyDescent="0.25">
      <c r="A3172" s="15"/>
    </row>
    <row r="3173" spans="1:1" x14ac:dyDescent="0.25">
      <c r="A3173" s="15"/>
    </row>
    <row r="3174" spans="1:1" x14ac:dyDescent="0.25">
      <c r="A3174" s="15"/>
    </row>
    <row r="3175" spans="1:1" x14ac:dyDescent="0.25">
      <c r="A3175" s="15"/>
    </row>
    <row r="3176" spans="1:1" x14ac:dyDescent="0.25">
      <c r="A3176" s="15"/>
    </row>
    <row r="3177" spans="1:1" x14ac:dyDescent="0.25">
      <c r="A3177" s="15"/>
    </row>
    <row r="3178" spans="1:1" x14ac:dyDescent="0.25">
      <c r="A3178" s="15"/>
    </row>
    <row r="3179" spans="1:1" x14ac:dyDescent="0.25">
      <c r="A3179" s="15"/>
    </row>
    <row r="3180" spans="1:1" x14ac:dyDescent="0.25">
      <c r="A3180" s="15"/>
    </row>
    <row r="3181" spans="1:1" x14ac:dyDescent="0.25">
      <c r="A3181" s="15"/>
    </row>
    <row r="3182" spans="1:1" x14ac:dyDescent="0.25">
      <c r="A3182" s="15"/>
    </row>
    <row r="3183" spans="1:1" x14ac:dyDescent="0.25">
      <c r="A3183" s="15"/>
    </row>
    <row r="3184" spans="1:1" x14ac:dyDescent="0.25">
      <c r="A3184" s="15"/>
    </row>
    <row r="3185" spans="1:1" x14ac:dyDescent="0.25">
      <c r="A3185" s="15"/>
    </row>
    <row r="3186" spans="1:1" x14ac:dyDescent="0.25">
      <c r="A3186" s="15"/>
    </row>
    <row r="3187" spans="1:1" x14ac:dyDescent="0.25">
      <c r="A3187" s="15"/>
    </row>
    <row r="3188" spans="1:1" x14ac:dyDescent="0.25">
      <c r="A3188" s="15"/>
    </row>
    <row r="3189" spans="1:1" x14ac:dyDescent="0.25">
      <c r="A3189" s="15"/>
    </row>
    <row r="3190" spans="1:1" x14ac:dyDescent="0.25">
      <c r="A3190" s="15"/>
    </row>
    <row r="3191" spans="1:1" x14ac:dyDescent="0.25">
      <c r="A3191" s="15"/>
    </row>
    <row r="3192" spans="1:1" x14ac:dyDescent="0.25">
      <c r="A3192" s="15"/>
    </row>
    <row r="3193" spans="1:1" x14ac:dyDescent="0.25">
      <c r="A3193" s="15"/>
    </row>
    <row r="3194" spans="1:1" x14ac:dyDescent="0.25">
      <c r="A3194" s="15"/>
    </row>
    <row r="3195" spans="1:1" x14ac:dyDescent="0.25">
      <c r="A3195" s="15"/>
    </row>
    <row r="3196" spans="1:1" x14ac:dyDescent="0.25">
      <c r="A3196" s="15"/>
    </row>
    <row r="3197" spans="1:1" x14ac:dyDescent="0.25">
      <c r="A3197" s="15"/>
    </row>
    <row r="3198" spans="1:1" x14ac:dyDescent="0.25">
      <c r="A3198" s="15"/>
    </row>
    <row r="3199" spans="1:1" x14ac:dyDescent="0.25">
      <c r="A3199" s="15"/>
    </row>
    <row r="3200" spans="1:1" x14ac:dyDescent="0.25">
      <c r="A3200" s="15"/>
    </row>
    <row r="3201" spans="1:1" x14ac:dyDescent="0.25">
      <c r="A3201" s="15"/>
    </row>
    <row r="3202" spans="1:1" x14ac:dyDescent="0.25">
      <c r="A3202" s="15"/>
    </row>
    <row r="3203" spans="1:1" x14ac:dyDescent="0.25">
      <c r="A3203" s="15"/>
    </row>
    <row r="3204" spans="1:1" x14ac:dyDescent="0.25">
      <c r="A3204" s="15"/>
    </row>
    <row r="3205" spans="1:1" x14ac:dyDescent="0.25">
      <c r="A3205" s="15"/>
    </row>
    <row r="3206" spans="1:1" x14ac:dyDescent="0.25">
      <c r="A3206" s="15"/>
    </row>
    <row r="3207" spans="1:1" x14ac:dyDescent="0.25">
      <c r="A3207" s="15"/>
    </row>
    <row r="3208" spans="1:1" x14ac:dyDescent="0.25">
      <c r="A3208" s="15"/>
    </row>
    <row r="3209" spans="1:1" x14ac:dyDescent="0.25">
      <c r="A3209" s="15"/>
    </row>
    <row r="3210" spans="1:1" x14ac:dyDescent="0.25">
      <c r="A3210" s="15"/>
    </row>
    <row r="3211" spans="1:1" x14ac:dyDescent="0.25">
      <c r="A3211" s="15"/>
    </row>
    <row r="3212" spans="1:1" x14ac:dyDescent="0.25">
      <c r="A3212" s="15"/>
    </row>
    <row r="3213" spans="1:1" x14ac:dyDescent="0.25">
      <c r="A3213" s="15"/>
    </row>
    <row r="3214" spans="1:1" x14ac:dyDescent="0.25">
      <c r="A3214" s="15"/>
    </row>
    <row r="3215" spans="1:1" x14ac:dyDescent="0.25">
      <c r="A3215" s="15"/>
    </row>
    <row r="3216" spans="1:1" x14ac:dyDescent="0.25">
      <c r="A3216" s="15"/>
    </row>
    <row r="3217" spans="1:1" x14ac:dyDescent="0.25">
      <c r="A3217" s="15"/>
    </row>
    <row r="3218" spans="1:1" x14ac:dyDescent="0.25">
      <c r="A3218" s="15"/>
    </row>
    <row r="3219" spans="1:1" x14ac:dyDescent="0.25">
      <c r="A3219" s="15"/>
    </row>
    <row r="3220" spans="1:1" x14ac:dyDescent="0.25">
      <c r="A3220" s="15"/>
    </row>
    <row r="3221" spans="1:1" x14ac:dyDescent="0.25">
      <c r="A3221" s="15"/>
    </row>
    <row r="3222" spans="1:1" x14ac:dyDescent="0.25">
      <c r="A3222" s="15"/>
    </row>
    <row r="3223" spans="1:1" x14ac:dyDescent="0.25">
      <c r="A3223" s="15"/>
    </row>
    <row r="3224" spans="1:1" x14ac:dyDescent="0.25">
      <c r="A3224" s="15"/>
    </row>
    <row r="3225" spans="1:1" x14ac:dyDescent="0.25">
      <c r="A3225" s="15"/>
    </row>
    <row r="3226" spans="1:1" x14ac:dyDescent="0.25">
      <c r="A3226" s="15"/>
    </row>
    <row r="3227" spans="1:1" x14ac:dyDescent="0.25">
      <c r="A3227" s="15"/>
    </row>
    <row r="3228" spans="1:1" x14ac:dyDescent="0.25">
      <c r="A3228" s="15"/>
    </row>
    <row r="3229" spans="1:1" x14ac:dyDescent="0.25">
      <c r="A3229" s="15"/>
    </row>
    <row r="3230" spans="1:1" x14ac:dyDescent="0.25">
      <c r="A3230" s="15"/>
    </row>
    <row r="3231" spans="1:1" x14ac:dyDescent="0.25">
      <c r="A3231" s="15"/>
    </row>
    <row r="3232" spans="1:1" x14ac:dyDescent="0.25">
      <c r="A3232" s="15"/>
    </row>
    <row r="3233" spans="1:1" x14ac:dyDescent="0.25">
      <c r="A3233" s="15"/>
    </row>
    <row r="3234" spans="1:1" x14ac:dyDescent="0.25">
      <c r="A3234" s="15"/>
    </row>
    <row r="3235" spans="1:1" x14ac:dyDescent="0.25">
      <c r="A3235" s="15"/>
    </row>
    <row r="3236" spans="1:1" x14ac:dyDescent="0.25">
      <c r="A3236" s="15"/>
    </row>
    <row r="3237" spans="1:1" x14ac:dyDescent="0.25">
      <c r="A3237" s="15"/>
    </row>
    <row r="3238" spans="1:1" x14ac:dyDescent="0.25">
      <c r="A3238" s="15"/>
    </row>
    <row r="3239" spans="1:1" x14ac:dyDescent="0.25">
      <c r="A3239" s="15"/>
    </row>
    <row r="3240" spans="1:1" x14ac:dyDescent="0.25">
      <c r="A3240" s="15"/>
    </row>
    <row r="3241" spans="1:1" x14ac:dyDescent="0.25">
      <c r="A3241" s="15"/>
    </row>
    <row r="3242" spans="1:1" x14ac:dyDescent="0.25">
      <c r="A3242" s="15"/>
    </row>
    <row r="3243" spans="1:1" x14ac:dyDescent="0.25">
      <c r="A3243" s="15"/>
    </row>
    <row r="3244" spans="1:1" x14ac:dyDescent="0.25">
      <c r="A3244" s="15"/>
    </row>
    <row r="3245" spans="1:1" x14ac:dyDescent="0.25">
      <c r="A3245" s="15"/>
    </row>
    <row r="3246" spans="1:1" x14ac:dyDescent="0.25">
      <c r="A3246" s="15"/>
    </row>
    <row r="3247" spans="1:1" x14ac:dyDescent="0.25">
      <c r="A3247" s="15"/>
    </row>
    <row r="3248" spans="1:1" x14ac:dyDescent="0.25">
      <c r="A3248" s="15"/>
    </row>
    <row r="3249" spans="1:1" x14ac:dyDescent="0.25">
      <c r="A3249" s="15"/>
    </row>
    <row r="3250" spans="1:1" x14ac:dyDescent="0.25">
      <c r="A3250" s="15"/>
    </row>
    <row r="3251" spans="1:1" x14ac:dyDescent="0.25">
      <c r="A3251" s="15"/>
    </row>
    <row r="3252" spans="1:1" x14ac:dyDescent="0.25">
      <c r="A3252" s="15"/>
    </row>
    <row r="3253" spans="1:1" x14ac:dyDescent="0.25">
      <c r="A3253" s="15"/>
    </row>
    <row r="3254" spans="1:1" x14ac:dyDescent="0.25">
      <c r="A3254" s="15"/>
    </row>
    <row r="3255" spans="1:1" x14ac:dyDescent="0.25">
      <c r="A3255" s="15"/>
    </row>
    <row r="3256" spans="1:1" x14ac:dyDescent="0.25">
      <c r="A3256" s="15"/>
    </row>
    <row r="3257" spans="1:1" x14ac:dyDescent="0.25">
      <c r="A3257" s="15"/>
    </row>
    <row r="3258" spans="1:1" x14ac:dyDescent="0.25">
      <c r="A3258" s="15"/>
    </row>
    <row r="3259" spans="1:1" x14ac:dyDescent="0.25">
      <c r="A3259" s="15"/>
    </row>
    <row r="3260" spans="1:1" x14ac:dyDescent="0.25">
      <c r="A3260" s="15"/>
    </row>
    <row r="3261" spans="1:1" x14ac:dyDescent="0.25">
      <c r="A3261" s="15"/>
    </row>
    <row r="3262" spans="1:1" x14ac:dyDescent="0.25">
      <c r="A3262" s="15"/>
    </row>
    <row r="3263" spans="1:1" x14ac:dyDescent="0.25">
      <c r="A3263" s="15"/>
    </row>
    <row r="3264" spans="1:1" x14ac:dyDescent="0.25">
      <c r="A3264" s="15"/>
    </row>
    <row r="3265" spans="1:1" x14ac:dyDescent="0.25">
      <c r="A3265" s="15"/>
    </row>
    <row r="3266" spans="1:1" x14ac:dyDescent="0.25">
      <c r="A3266" s="15"/>
    </row>
    <row r="3267" spans="1:1" x14ac:dyDescent="0.25">
      <c r="A3267" s="15"/>
    </row>
    <row r="3268" spans="1:1" x14ac:dyDescent="0.25">
      <c r="A3268" s="15"/>
    </row>
    <row r="3269" spans="1:1" x14ac:dyDescent="0.25">
      <c r="A3269" s="15"/>
    </row>
    <row r="3270" spans="1:1" x14ac:dyDescent="0.25">
      <c r="A3270" s="15"/>
    </row>
    <row r="3271" spans="1:1" x14ac:dyDescent="0.25">
      <c r="A3271" s="15"/>
    </row>
    <row r="3272" spans="1:1" x14ac:dyDescent="0.25">
      <c r="A3272" s="15"/>
    </row>
    <row r="3273" spans="1:1" x14ac:dyDescent="0.25">
      <c r="A3273" s="15"/>
    </row>
    <row r="3274" spans="1:1" x14ac:dyDescent="0.25">
      <c r="A3274" s="15"/>
    </row>
    <row r="3275" spans="1:1" x14ac:dyDescent="0.25">
      <c r="A3275" s="15"/>
    </row>
    <row r="3276" spans="1:1" x14ac:dyDescent="0.25">
      <c r="A3276" s="15"/>
    </row>
    <row r="3277" spans="1:1" x14ac:dyDescent="0.25">
      <c r="A3277" s="15"/>
    </row>
    <row r="3278" spans="1:1" x14ac:dyDescent="0.25">
      <c r="A3278" s="15"/>
    </row>
    <row r="3279" spans="1:1" x14ac:dyDescent="0.25">
      <c r="A3279" s="15"/>
    </row>
    <row r="3280" spans="1:1" x14ac:dyDescent="0.25">
      <c r="A3280" s="15"/>
    </row>
    <row r="3281" spans="1:1" x14ac:dyDescent="0.25">
      <c r="A3281" s="15"/>
    </row>
    <row r="3282" spans="1:1" x14ac:dyDescent="0.25">
      <c r="A3282" s="15"/>
    </row>
    <row r="3283" spans="1:1" x14ac:dyDescent="0.25">
      <c r="A3283" s="15"/>
    </row>
    <row r="3284" spans="1:1" x14ac:dyDescent="0.25">
      <c r="A3284" s="15"/>
    </row>
    <row r="3285" spans="1:1" x14ac:dyDescent="0.25">
      <c r="A3285" s="15"/>
    </row>
    <row r="3286" spans="1:1" x14ac:dyDescent="0.25">
      <c r="A3286" s="15"/>
    </row>
    <row r="3287" spans="1:1" x14ac:dyDescent="0.25">
      <c r="A3287" s="15"/>
    </row>
    <row r="3288" spans="1:1" x14ac:dyDescent="0.25">
      <c r="A3288" s="15"/>
    </row>
    <row r="3289" spans="1:1" x14ac:dyDescent="0.25">
      <c r="A3289" s="15"/>
    </row>
    <row r="3290" spans="1:1" x14ac:dyDescent="0.25">
      <c r="A3290" s="15"/>
    </row>
    <row r="3291" spans="1:1" x14ac:dyDescent="0.25">
      <c r="A3291" s="15"/>
    </row>
    <row r="3292" spans="1:1" x14ac:dyDescent="0.25">
      <c r="A3292" s="15"/>
    </row>
    <row r="3293" spans="1:1" x14ac:dyDescent="0.25">
      <c r="A3293" s="15"/>
    </row>
    <row r="3294" spans="1:1" x14ac:dyDescent="0.25">
      <c r="A3294" s="15"/>
    </row>
    <row r="3295" spans="1:1" x14ac:dyDescent="0.25">
      <c r="A3295" s="15"/>
    </row>
    <row r="3296" spans="1:1" x14ac:dyDescent="0.25">
      <c r="A3296" s="15"/>
    </row>
    <row r="3297" spans="1:1" x14ac:dyDescent="0.25">
      <c r="A3297" s="15"/>
    </row>
    <row r="3298" spans="1:1" x14ac:dyDescent="0.25">
      <c r="A3298" s="15"/>
    </row>
    <row r="3299" spans="1:1" x14ac:dyDescent="0.25">
      <c r="A3299" s="15"/>
    </row>
    <row r="3300" spans="1:1" x14ac:dyDescent="0.25">
      <c r="A3300" s="15"/>
    </row>
    <row r="3301" spans="1:1" x14ac:dyDescent="0.25">
      <c r="A3301" s="15"/>
    </row>
    <row r="3302" spans="1:1" x14ac:dyDescent="0.25">
      <c r="A3302" s="15"/>
    </row>
    <row r="3303" spans="1:1" x14ac:dyDescent="0.25">
      <c r="A3303" s="15"/>
    </row>
    <row r="3304" spans="1:1" x14ac:dyDescent="0.25">
      <c r="A3304" s="15"/>
    </row>
    <row r="3305" spans="1:1" x14ac:dyDescent="0.25">
      <c r="A3305" s="15"/>
    </row>
    <row r="3306" spans="1:1" x14ac:dyDescent="0.25">
      <c r="A3306" s="15"/>
    </row>
    <row r="3307" spans="1:1" x14ac:dyDescent="0.25">
      <c r="A3307" s="15"/>
    </row>
    <row r="3308" spans="1:1" x14ac:dyDescent="0.25">
      <c r="A3308" s="15"/>
    </row>
    <row r="3309" spans="1:1" x14ac:dyDescent="0.25">
      <c r="A3309" s="15"/>
    </row>
    <row r="3310" spans="1:1" x14ac:dyDescent="0.25">
      <c r="A3310" s="15"/>
    </row>
    <row r="3311" spans="1:1" x14ac:dyDescent="0.25">
      <c r="A3311" s="15"/>
    </row>
    <row r="3312" spans="1:1" x14ac:dyDescent="0.25">
      <c r="A3312" s="15"/>
    </row>
    <row r="3313" spans="1:1" x14ac:dyDescent="0.25">
      <c r="A3313" s="15"/>
    </row>
    <row r="3314" spans="1:1" x14ac:dyDescent="0.25">
      <c r="A3314" s="15"/>
    </row>
    <row r="3315" spans="1:1" x14ac:dyDescent="0.25">
      <c r="A3315" s="15"/>
    </row>
    <row r="3316" spans="1:1" x14ac:dyDescent="0.25">
      <c r="A3316" s="15"/>
    </row>
    <row r="3317" spans="1:1" x14ac:dyDescent="0.25">
      <c r="A3317" s="15"/>
    </row>
    <row r="3318" spans="1:1" x14ac:dyDescent="0.25">
      <c r="A3318" s="15"/>
    </row>
    <row r="3319" spans="1:1" x14ac:dyDescent="0.25">
      <c r="A3319" s="15"/>
    </row>
    <row r="3320" spans="1:1" x14ac:dyDescent="0.25">
      <c r="A3320" s="15"/>
    </row>
    <row r="3321" spans="1:1" x14ac:dyDescent="0.25">
      <c r="A3321" s="15"/>
    </row>
    <row r="3322" spans="1:1" x14ac:dyDescent="0.25">
      <c r="A3322" s="15"/>
    </row>
    <row r="3323" spans="1:1" x14ac:dyDescent="0.25">
      <c r="A3323" s="15"/>
    </row>
    <row r="3324" spans="1:1" x14ac:dyDescent="0.25">
      <c r="A3324" s="15"/>
    </row>
    <row r="3325" spans="1:1" x14ac:dyDescent="0.25">
      <c r="A3325" s="15"/>
    </row>
    <row r="3326" spans="1:1" x14ac:dyDescent="0.25">
      <c r="A3326" s="15"/>
    </row>
    <row r="3327" spans="1:1" x14ac:dyDescent="0.25">
      <c r="A3327" s="15"/>
    </row>
    <row r="3328" spans="1:1" x14ac:dyDescent="0.25">
      <c r="A3328" s="15"/>
    </row>
    <row r="3329" spans="1:1" x14ac:dyDescent="0.25">
      <c r="A3329" s="15"/>
    </row>
    <row r="3330" spans="1:1" x14ac:dyDescent="0.25">
      <c r="A3330" s="15"/>
    </row>
    <row r="3331" spans="1:1" x14ac:dyDescent="0.25">
      <c r="A3331" s="15"/>
    </row>
    <row r="3332" spans="1:1" x14ac:dyDescent="0.25">
      <c r="A3332" s="15"/>
    </row>
    <row r="3333" spans="1:1" x14ac:dyDescent="0.25">
      <c r="A3333" s="15"/>
    </row>
    <row r="3334" spans="1:1" x14ac:dyDescent="0.25">
      <c r="A3334" s="15"/>
    </row>
    <row r="3335" spans="1:1" x14ac:dyDescent="0.25">
      <c r="A3335" s="15"/>
    </row>
    <row r="3336" spans="1:1" x14ac:dyDescent="0.25">
      <c r="A3336" s="15"/>
    </row>
    <row r="3337" spans="1:1" x14ac:dyDescent="0.25">
      <c r="A3337" s="15"/>
    </row>
    <row r="3338" spans="1:1" x14ac:dyDescent="0.25">
      <c r="A3338" s="15"/>
    </row>
    <row r="3339" spans="1:1" x14ac:dyDescent="0.25">
      <c r="A3339" s="15"/>
    </row>
    <row r="3340" spans="1:1" x14ac:dyDescent="0.25">
      <c r="A3340" s="15"/>
    </row>
    <row r="3341" spans="1:1" x14ac:dyDescent="0.25">
      <c r="A3341" s="15"/>
    </row>
    <row r="3342" spans="1:1" x14ac:dyDescent="0.25">
      <c r="A3342" s="15"/>
    </row>
    <row r="3343" spans="1:1" x14ac:dyDescent="0.25">
      <c r="A3343" s="15"/>
    </row>
    <row r="3344" spans="1:1" x14ac:dyDescent="0.25">
      <c r="A3344" s="15"/>
    </row>
    <row r="3345" spans="1:1" x14ac:dyDescent="0.25">
      <c r="A3345" s="15"/>
    </row>
    <row r="3346" spans="1:1" x14ac:dyDescent="0.25">
      <c r="A3346" s="15"/>
    </row>
    <row r="3347" spans="1:1" x14ac:dyDescent="0.25">
      <c r="A3347" s="15"/>
    </row>
    <row r="3348" spans="1:1" x14ac:dyDescent="0.25">
      <c r="A3348" s="15"/>
    </row>
    <row r="3349" spans="1:1" x14ac:dyDescent="0.25">
      <c r="A3349" s="15"/>
    </row>
    <row r="3350" spans="1:1" x14ac:dyDescent="0.25">
      <c r="A3350" s="15"/>
    </row>
    <row r="3351" spans="1:1" x14ac:dyDescent="0.25">
      <c r="A3351" s="15"/>
    </row>
    <row r="3352" spans="1:1" x14ac:dyDescent="0.25">
      <c r="A3352" s="15"/>
    </row>
    <row r="3353" spans="1:1" x14ac:dyDescent="0.25">
      <c r="A3353" s="15"/>
    </row>
    <row r="3354" spans="1:1" x14ac:dyDescent="0.25">
      <c r="A3354" s="15"/>
    </row>
    <row r="3355" spans="1:1" x14ac:dyDescent="0.25">
      <c r="A3355" s="15"/>
    </row>
    <row r="3356" spans="1:1" x14ac:dyDescent="0.25">
      <c r="A3356" s="15"/>
    </row>
    <row r="3357" spans="1:1" x14ac:dyDescent="0.25">
      <c r="A3357" s="15"/>
    </row>
    <row r="3358" spans="1:1" x14ac:dyDescent="0.25">
      <c r="A3358" s="15"/>
    </row>
    <row r="3359" spans="1:1" x14ac:dyDescent="0.25">
      <c r="A3359" s="15"/>
    </row>
    <row r="3360" spans="1:1" x14ac:dyDescent="0.25">
      <c r="A3360" s="15"/>
    </row>
    <row r="3361" spans="1:1" x14ac:dyDescent="0.25">
      <c r="A3361" s="15"/>
    </row>
    <row r="3362" spans="1:1" x14ac:dyDescent="0.25">
      <c r="A3362" s="15"/>
    </row>
    <row r="3363" spans="1:1" x14ac:dyDescent="0.25">
      <c r="A3363" s="15"/>
    </row>
    <row r="3364" spans="1:1" x14ac:dyDescent="0.25">
      <c r="A3364" s="15"/>
    </row>
    <row r="3365" spans="1:1" x14ac:dyDescent="0.25">
      <c r="A3365" s="15"/>
    </row>
    <row r="3366" spans="1:1" x14ac:dyDescent="0.25">
      <c r="A3366" s="15"/>
    </row>
    <row r="3367" spans="1:1" x14ac:dyDescent="0.25">
      <c r="A3367" s="15"/>
    </row>
    <row r="3368" spans="1:1" x14ac:dyDescent="0.25">
      <c r="A3368" s="15"/>
    </row>
    <row r="3369" spans="1:1" x14ac:dyDescent="0.25">
      <c r="A3369" s="15"/>
    </row>
    <row r="3370" spans="1:1" x14ac:dyDescent="0.25">
      <c r="A3370" s="15"/>
    </row>
    <row r="3371" spans="1:1" x14ac:dyDescent="0.25">
      <c r="A3371" s="15"/>
    </row>
    <row r="3372" spans="1:1" x14ac:dyDescent="0.25">
      <c r="A3372" s="15"/>
    </row>
    <row r="3373" spans="1:1" x14ac:dyDescent="0.25">
      <c r="A3373" s="15"/>
    </row>
    <row r="3374" spans="1:1" x14ac:dyDescent="0.25">
      <c r="A3374" s="15"/>
    </row>
    <row r="3375" spans="1:1" x14ac:dyDescent="0.25">
      <c r="A3375" s="15"/>
    </row>
    <row r="3376" spans="1:1" x14ac:dyDescent="0.25">
      <c r="A3376" s="15"/>
    </row>
    <row r="3377" spans="1:1" x14ac:dyDescent="0.25">
      <c r="A3377" s="15"/>
    </row>
    <row r="3378" spans="1:1" x14ac:dyDescent="0.25">
      <c r="A3378" s="15"/>
    </row>
    <row r="3379" spans="1:1" x14ac:dyDescent="0.25">
      <c r="A3379" s="15"/>
    </row>
    <row r="3380" spans="1:1" x14ac:dyDescent="0.25">
      <c r="A3380" s="15"/>
    </row>
    <row r="3381" spans="1:1" x14ac:dyDescent="0.25">
      <c r="A3381" s="15"/>
    </row>
    <row r="3382" spans="1:1" x14ac:dyDescent="0.25">
      <c r="A3382" s="15"/>
    </row>
    <row r="3383" spans="1:1" x14ac:dyDescent="0.25">
      <c r="A3383" s="15"/>
    </row>
    <row r="3384" spans="1:1" x14ac:dyDescent="0.25">
      <c r="A3384" s="15"/>
    </row>
    <row r="3385" spans="1:1" x14ac:dyDescent="0.25">
      <c r="A3385" s="15"/>
    </row>
    <row r="3386" spans="1:1" x14ac:dyDescent="0.25">
      <c r="A3386" s="15"/>
    </row>
    <row r="3387" spans="1:1" x14ac:dyDescent="0.25">
      <c r="A3387" s="15"/>
    </row>
    <row r="3388" spans="1:1" x14ac:dyDescent="0.25">
      <c r="A3388" s="15"/>
    </row>
    <row r="3389" spans="1:1" x14ac:dyDescent="0.25">
      <c r="A3389" s="15"/>
    </row>
    <row r="3390" spans="1:1" x14ac:dyDescent="0.25">
      <c r="A3390" s="15"/>
    </row>
    <row r="3391" spans="1:1" x14ac:dyDescent="0.25">
      <c r="A3391" s="15"/>
    </row>
    <row r="3392" spans="1:1" x14ac:dyDescent="0.25">
      <c r="A3392" s="15"/>
    </row>
    <row r="3393" spans="1:1" x14ac:dyDescent="0.25">
      <c r="A3393" s="15"/>
    </row>
    <row r="3394" spans="1:1" x14ac:dyDescent="0.25">
      <c r="A3394" s="15"/>
    </row>
    <row r="3395" spans="1:1" x14ac:dyDescent="0.25">
      <c r="A3395" s="15"/>
    </row>
    <row r="3396" spans="1:1" x14ac:dyDescent="0.25">
      <c r="A3396" s="15"/>
    </row>
    <row r="3397" spans="1:1" x14ac:dyDescent="0.25">
      <c r="A3397" s="15"/>
    </row>
    <row r="3398" spans="1:1" x14ac:dyDescent="0.25">
      <c r="A3398" s="15"/>
    </row>
    <row r="3399" spans="1:1" x14ac:dyDescent="0.25">
      <c r="A3399" s="15"/>
    </row>
    <row r="3400" spans="1:1" x14ac:dyDescent="0.25">
      <c r="A3400" s="15"/>
    </row>
    <row r="3401" spans="1:1" x14ac:dyDescent="0.25">
      <c r="A3401" s="15"/>
    </row>
    <row r="3402" spans="1:1" x14ac:dyDescent="0.25">
      <c r="A3402" s="15"/>
    </row>
    <row r="3403" spans="1:1" x14ac:dyDescent="0.25">
      <c r="A3403" s="15"/>
    </row>
    <row r="3404" spans="1:1" x14ac:dyDescent="0.25">
      <c r="A3404" s="15"/>
    </row>
    <row r="3405" spans="1:1" x14ac:dyDescent="0.25">
      <c r="A3405" s="15"/>
    </row>
    <row r="3406" spans="1:1" x14ac:dyDescent="0.25">
      <c r="A3406" s="15"/>
    </row>
    <row r="3407" spans="1:1" x14ac:dyDescent="0.25">
      <c r="A3407" s="15"/>
    </row>
    <row r="3408" spans="1:1" x14ac:dyDescent="0.25">
      <c r="A3408" s="15"/>
    </row>
    <row r="3409" spans="1:1" x14ac:dyDescent="0.25">
      <c r="A3409" s="15"/>
    </row>
    <row r="3410" spans="1:1" x14ac:dyDescent="0.25">
      <c r="A3410" s="15"/>
    </row>
    <row r="3411" spans="1:1" x14ac:dyDescent="0.25">
      <c r="A3411" s="15"/>
    </row>
    <row r="3412" spans="1:1" x14ac:dyDescent="0.25">
      <c r="A3412" s="15"/>
    </row>
    <row r="3413" spans="1:1" x14ac:dyDescent="0.25">
      <c r="A3413" s="15"/>
    </row>
    <row r="3414" spans="1:1" x14ac:dyDescent="0.25">
      <c r="A3414" s="15"/>
    </row>
    <row r="3415" spans="1:1" x14ac:dyDescent="0.25">
      <c r="A3415" s="15"/>
    </row>
    <row r="3416" spans="1:1" x14ac:dyDescent="0.25">
      <c r="A3416" s="15"/>
    </row>
    <row r="3417" spans="1:1" x14ac:dyDescent="0.25">
      <c r="A3417" s="15"/>
    </row>
    <row r="3418" spans="1:1" x14ac:dyDescent="0.25">
      <c r="A3418" s="15"/>
    </row>
    <row r="3419" spans="1:1" x14ac:dyDescent="0.25">
      <c r="A3419" s="15"/>
    </row>
    <row r="3420" spans="1:1" x14ac:dyDescent="0.25">
      <c r="A3420" s="15"/>
    </row>
    <row r="3421" spans="1:1" x14ac:dyDescent="0.25">
      <c r="A3421" s="15"/>
    </row>
    <row r="3422" spans="1:1" x14ac:dyDescent="0.25">
      <c r="A3422" s="15"/>
    </row>
    <row r="3423" spans="1:1" x14ac:dyDescent="0.25">
      <c r="A3423" s="15"/>
    </row>
    <row r="3424" spans="1:1" x14ac:dyDescent="0.25">
      <c r="A3424" s="15"/>
    </row>
    <row r="3425" spans="1:1" x14ac:dyDescent="0.25">
      <c r="A3425" s="15"/>
    </row>
    <row r="3426" spans="1:1" x14ac:dyDescent="0.25">
      <c r="A3426" s="15"/>
    </row>
    <row r="3427" spans="1:1" x14ac:dyDescent="0.25">
      <c r="A3427" s="15"/>
    </row>
    <row r="3428" spans="1:1" x14ac:dyDescent="0.25">
      <c r="A3428" s="15"/>
    </row>
    <row r="3429" spans="1:1" x14ac:dyDescent="0.25">
      <c r="A3429" s="15"/>
    </row>
    <row r="3430" spans="1:1" x14ac:dyDescent="0.25">
      <c r="A3430" s="15"/>
    </row>
    <row r="3431" spans="1:1" x14ac:dyDescent="0.25">
      <c r="A3431" s="15"/>
    </row>
    <row r="3432" spans="1:1" x14ac:dyDescent="0.25">
      <c r="A3432" s="15"/>
    </row>
    <row r="3433" spans="1:1" x14ac:dyDescent="0.25">
      <c r="A3433" s="15"/>
    </row>
    <row r="3434" spans="1:1" x14ac:dyDescent="0.25">
      <c r="A3434" s="15"/>
    </row>
    <row r="3435" spans="1:1" x14ac:dyDescent="0.25">
      <c r="A3435" s="15"/>
    </row>
    <row r="3436" spans="1:1" x14ac:dyDescent="0.25">
      <c r="A3436" s="15"/>
    </row>
    <row r="3437" spans="1:1" x14ac:dyDescent="0.25">
      <c r="A3437" s="15"/>
    </row>
    <row r="3438" spans="1:1" x14ac:dyDescent="0.25">
      <c r="A3438" s="15"/>
    </row>
    <row r="3439" spans="1:1" x14ac:dyDescent="0.25">
      <c r="A3439" s="15"/>
    </row>
    <row r="3440" spans="1:1" x14ac:dyDescent="0.25">
      <c r="A3440" s="15"/>
    </row>
    <row r="3441" spans="1:1" x14ac:dyDescent="0.25">
      <c r="A3441" s="15"/>
    </row>
    <row r="3442" spans="1:1" x14ac:dyDescent="0.25">
      <c r="A3442" s="15"/>
    </row>
    <row r="3443" spans="1:1" x14ac:dyDescent="0.25">
      <c r="A3443" s="15"/>
    </row>
    <row r="3444" spans="1:1" x14ac:dyDescent="0.25">
      <c r="A3444" s="15"/>
    </row>
    <row r="3445" spans="1:1" x14ac:dyDescent="0.25">
      <c r="A3445" s="15"/>
    </row>
    <row r="3446" spans="1:1" x14ac:dyDescent="0.25">
      <c r="A3446" s="15"/>
    </row>
    <row r="3447" spans="1:1" x14ac:dyDescent="0.25">
      <c r="A3447" s="15"/>
    </row>
    <row r="3448" spans="1:1" x14ac:dyDescent="0.25">
      <c r="A3448" s="15"/>
    </row>
    <row r="3449" spans="1:1" x14ac:dyDescent="0.25">
      <c r="A3449" s="15"/>
    </row>
    <row r="3450" spans="1:1" x14ac:dyDescent="0.25">
      <c r="A3450" s="15"/>
    </row>
    <row r="3451" spans="1:1" x14ac:dyDescent="0.25">
      <c r="A3451" s="15"/>
    </row>
    <row r="3452" spans="1:1" x14ac:dyDescent="0.25">
      <c r="A3452" s="15"/>
    </row>
    <row r="3453" spans="1:1" x14ac:dyDescent="0.25">
      <c r="A3453" s="15"/>
    </row>
    <row r="3454" spans="1:1" x14ac:dyDescent="0.25">
      <c r="A3454" s="15"/>
    </row>
    <row r="3455" spans="1:1" x14ac:dyDescent="0.25">
      <c r="A3455" s="15"/>
    </row>
    <row r="3456" spans="1:1" x14ac:dyDescent="0.25">
      <c r="A3456" s="15"/>
    </row>
    <row r="3457" spans="1:1" x14ac:dyDescent="0.25">
      <c r="A3457" s="15"/>
    </row>
    <row r="3458" spans="1:1" x14ac:dyDescent="0.25">
      <c r="A3458" s="15"/>
    </row>
    <row r="3459" spans="1:1" x14ac:dyDescent="0.25">
      <c r="A3459" s="15"/>
    </row>
    <row r="3460" spans="1:1" x14ac:dyDescent="0.25">
      <c r="A3460" s="15"/>
    </row>
    <row r="3461" spans="1:1" x14ac:dyDescent="0.25">
      <c r="A3461" s="15"/>
    </row>
    <row r="3462" spans="1:1" x14ac:dyDescent="0.25">
      <c r="A3462" s="15"/>
    </row>
    <row r="3463" spans="1:1" x14ac:dyDescent="0.25">
      <c r="A3463" s="15"/>
    </row>
    <row r="3464" spans="1:1" x14ac:dyDescent="0.25">
      <c r="A3464" s="15"/>
    </row>
    <row r="3465" spans="1:1" x14ac:dyDescent="0.25">
      <c r="A3465" s="15"/>
    </row>
    <row r="3466" spans="1:1" x14ac:dyDescent="0.25">
      <c r="A3466" s="15"/>
    </row>
    <row r="3467" spans="1:1" x14ac:dyDescent="0.25">
      <c r="A3467" s="15"/>
    </row>
    <row r="3468" spans="1:1" x14ac:dyDescent="0.25">
      <c r="A3468" s="15"/>
    </row>
    <row r="3469" spans="1:1" x14ac:dyDescent="0.25">
      <c r="A3469" s="15"/>
    </row>
    <row r="3470" spans="1:1" x14ac:dyDescent="0.25">
      <c r="A3470" s="15"/>
    </row>
    <row r="3471" spans="1:1" x14ac:dyDescent="0.25">
      <c r="A3471" s="15"/>
    </row>
    <row r="3472" spans="1:1" x14ac:dyDescent="0.25">
      <c r="A3472" s="15"/>
    </row>
    <row r="3473" spans="1:1" x14ac:dyDescent="0.25">
      <c r="A3473" s="15"/>
    </row>
    <row r="3474" spans="1:1" x14ac:dyDescent="0.25">
      <c r="A3474" s="15"/>
    </row>
    <row r="3475" spans="1:1" x14ac:dyDescent="0.25">
      <c r="A3475" s="15"/>
    </row>
    <row r="3476" spans="1:1" x14ac:dyDescent="0.25">
      <c r="A3476" s="15"/>
    </row>
    <row r="3477" spans="1:1" x14ac:dyDescent="0.25">
      <c r="A3477" s="15"/>
    </row>
    <row r="3478" spans="1:1" x14ac:dyDescent="0.25">
      <c r="A3478" s="15"/>
    </row>
    <row r="3479" spans="1:1" x14ac:dyDescent="0.25">
      <c r="A3479" s="15"/>
    </row>
    <row r="3480" spans="1:1" x14ac:dyDescent="0.25">
      <c r="A3480" s="15"/>
    </row>
    <row r="3481" spans="1:1" x14ac:dyDescent="0.25">
      <c r="A3481" s="15"/>
    </row>
    <row r="3482" spans="1:1" x14ac:dyDescent="0.25">
      <c r="A3482" s="15"/>
    </row>
    <row r="3483" spans="1:1" x14ac:dyDescent="0.25">
      <c r="A3483" s="15"/>
    </row>
    <row r="3484" spans="1:1" x14ac:dyDescent="0.25">
      <c r="A3484" s="15"/>
    </row>
    <row r="3485" spans="1:1" x14ac:dyDescent="0.25">
      <c r="A3485" s="15"/>
    </row>
    <row r="3486" spans="1:1" x14ac:dyDescent="0.25">
      <c r="A3486" s="15"/>
    </row>
    <row r="3487" spans="1:1" x14ac:dyDescent="0.25">
      <c r="A3487" s="15"/>
    </row>
    <row r="3488" spans="1:1" x14ac:dyDescent="0.25">
      <c r="A3488" s="15"/>
    </row>
    <row r="3489" spans="1:1" x14ac:dyDescent="0.25">
      <c r="A3489" s="15"/>
    </row>
    <row r="3490" spans="1:1" x14ac:dyDescent="0.25">
      <c r="A3490" s="15"/>
    </row>
    <row r="3491" spans="1:1" x14ac:dyDescent="0.25">
      <c r="A3491" s="15"/>
    </row>
    <row r="3492" spans="1:1" x14ac:dyDescent="0.25">
      <c r="A3492" s="15"/>
    </row>
    <row r="3493" spans="1:1" x14ac:dyDescent="0.25">
      <c r="A3493" s="15"/>
    </row>
    <row r="3494" spans="1:1" x14ac:dyDescent="0.25">
      <c r="A3494" s="15"/>
    </row>
    <row r="3495" spans="1:1" x14ac:dyDescent="0.25">
      <c r="A3495" s="15"/>
    </row>
    <row r="3496" spans="1:1" x14ac:dyDescent="0.25">
      <c r="A3496" s="15"/>
    </row>
    <row r="3497" spans="1:1" x14ac:dyDescent="0.25">
      <c r="A3497" s="15"/>
    </row>
    <row r="3498" spans="1:1" x14ac:dyDescent="0.25">
      <c r="A3498" s="15"/>
    </row>
    <row r="3499" spans="1:1" x14ac:dyDescent="0.25">
      <c r="A3499" s="15"/>
    </row>
    <row r="3500" spans="1:1" x14ac:dyDescent="0.25">
      <c r="A3500" s="15"/>
    </row>
    <row r="3501" spans="1:1" x14ac:dyDescent="0.25">
      <c r="A3501" s="15"/>
    </row>
    <row r="3502" spans="1:1" x14ac:dyDescent="0.25">
      <c r="A3502" s="15"/>
    </row>
    <row r="3503" spans="1:1" x14ac:dyDescent="0.25">
      <c r="A3503" s="15"/>
    </row>
    <row r="3504" spans="1:1" x14ac:dyDescent="0.25">
      <c r="A3504" s="15"/>
    </row>
    <row r="3505" spans="1:1" x14ac:dyDescent="0.25">
      <c r="A3505" s="15"/>
    </row>
    <row r="3506" spans="1:1" x14ac:dyDescent="0.25">
      <c r="A3506" s="15"/>
    </row>
    <row r="3507" spans="1:1" x14ac:dyDescent="0.25">
      <c r="A3507" s="15"/>
    </row>
    <row r="3508" spans="1:1" x14ac:dyDescent="0.25">
      <c r="A3508" s="15"/>
    </row>
    <row r="3509" spans="1:1" x14ac:dyDescent="0.25">
      <c r="A3509" s="15"/>
    </row>
    <row r="3510" spans="1:1" x14ac:dyDescent="0.25">
      <c r="A3510" s="15"/>
    </row>
    <row r="3511" spans="1:1" x14ac:dyDescent="0.25">
      <c r="A3511" s="15"/>
    </row>
    <row r="3512" spans="1:1" x14ac:dyDescent="0.25">
      <c r="A3512" s="15"/>
    </row>
    <row r="3513" spans="1:1" x14ac:dyDescent="0.25">
      <c r="A3513" s="15"/>
    </row>
    <row r="3514" spans="1:1" x14ac:dyDescent="0.25">
      <c r="A3514" s="15"/>
    </row>
    <row r="3515" spans="1:1" x14ac:dyDescent="0.25">
      <c r="A3515" s="15"/>
    </row>
    <row r="3516" spans="1:1" x14ac:dyDescent="0.25">
      <c r="A3516" s="15"/>
    </row>
    <row r="3517" spans="1:1" x14ac:dyDescent="0.25">
      <c r="A3517" s="15"/>
    </row>
    <row r="3518" spans="1:1" x14ac:dyDescent="0.25">
      <c r="A3518" s="15"/>
    </row>
    <row r="3519" spans="1:1" x14ac:dyDescent="0.25">
      <c r="A3519" s="15"/>
    </row>
    <row r="3520" spans="1:1" x14ac:dyDescent="0.25">
      <c r="A3520" s="15"/>
    </row>
    <row r="3521" spans="1:1" x14ac:dyDescent="0.25">
      <c r="A3521" s="15"/>
    </row>
    <row r="3522" spans="1:1" x14ac:dyDescent="0.25">
      <c r="A3522" s="15"/>
    </row>
    <row r="3523" spans="1:1" x14ac:dyDescent="0.25">
      <c r="A3523" s="15"/>
    </row>
    <row r="3524" spans="1:1" x14ac:dyDescent="0.25">
      <c r="A3524" s="15"/>
    </row>
    <row r="3525" spans="1:1" x14ac:dyDescent="0.25">
      <c r="A3525" s="15"/>
    </row>
    <row r="3526" spans="1:1" x14ac:dyDescent="0.25">
      <c r="A3526" s="15"/>
    </row>
    <row r="3527" spans="1:1" x14ac:dyDescent="0.25">
      <c r="A3527" s="15"/>
    </row>
    <row r="3528" spans="1:1" x14ac:dyDescent="0.25">
      <c r="A3528" s="15"/>
    </row>
    <row r="3529" spans="1:1" x14ac:dyDescent="0.25">
      <c r="A3529" s="15"/>
    </row>
    <row r="3530" spans="1:1" x14ac:dyDescent="0.25">
      <c r="A3530" s="15"/>
    </row>
    <row r="3531" spans="1:1" x14ac:dyDescent="0.25">
      <c r="A3531" s="15"/>
    </row>
    <row r="3532" spans="1:1" x14ac:dyDescent="0.25">
      <c r="A3532" s="15"/>
    </row>
    <row r="3533" spans="1:1" x14ac:dyDescent="0.25">
      <c r="A3533" s="15"/>
    </row>
    <row r="3534" spans="1:1" x14ac:dyDescent="0.25">
      <c r="A3534" s="15"/>
    </row>
    <row r="3535" spans="1:1" x14ac:dyDescent="0.25">
      <c r="A3535" s="15"/>
    </row>
    <row r="3536" spans="1:1" x14ac:dyDescent="0.25">
      <c r="A3536" s="15"/>
    </row>
    <row r="3537" spans="1:1" x14ac:dyDescent="0.25">
      <c r="A3537" s="15"/>
    </row>
    <row r="3538" spans="1:1" x14ac:dyDescent="0.25">
      <c r="A3538" s="15"/>
    </row>
    <row r="3539" spans="1:1" x14ac:dyDescent="0.25">
      <c r="A3539" s="15"/>
    </row>
    <row r="3540" spans="1:1" x14ac:dyDescent="0.25">
      <c r="A3540" s="15"/>
    </row>
    <row r="3541" spans="1:1" x14ac:dyDescent="0.25">
      <c r="A3541" s="15"/>
    </row>
    <row r="3542" spans="1:1" x14ac:dyDescent="0.25">
      <c r="A3542" s="15"/>
    </row>
    <row r="3543" spans="1:1" x14ac:dyDescent="0.25">
      <c r="A3543" s="15"/>
    </row>
    <row r="3544" spans="1:1" x14ac:dyDescent="0.25">
      <c r="A3544" s="15"/>
    </row>
    <row r="3545" spans="1:1" x14ac:dyDescent="0.25">
      <c r="A3545" s="15"/>
    </row>
    <row r="3546" spans="1:1" x14ac:dyDescent="0.25">
      <c r="A3546" s="15"/>
    </row>
    <row r="3547" spans="1:1" x14ac:dyDescent="0.25">
      <c r="A3547" s="15"/>
    </row>
    <row r="3548" spans="1:1" x14ac:dyDescent="0.25">
      <c r="A3548" s="15"/>
    </row>
    <row r="3549" spans="1:1" x14ac:dyDescent="0.25">
      <c r="A3549" s="15"/>
    </row>
    <row r="3550" spans="1:1" x14ac:dyDescent="0.25">
      <c r="A3550" s="15"/>
    </row>
    <row r="3551" spans="1:1" x14ac:dyDescent="0.25">
      <c r="A3551" s="15"/>
    </row>
    <row r="3552" spans="1:1" x14ac:dyDescent="0.25">
      <c r="A3552" s="15"/>
    </row>
    <row r="3553" spans="1:1" x14ac:dyDescent="0.25">
      <c r="A3553" s="15"/>
    </row>
    <row r="3554" spans="1:1" x14ac:dyDescent="0.25">
      <c r="A3554" s="15"/>
    </row>
    <row r="3555" spans="1:1" x14ac:dyDescent="0.25">
      <c r="A3555" s="15"/>
    </row>
    <row r="3556" spans="1:1" x14ac:dyDescent="0.25">
      <c r="A3556" s="15"/>
    </row>
    <row r="3557" spans="1:1" x14ac:dyDescent="0.25">
      <c r="A3557" s="15"/>
    </row>
    <row r="3558" spans="1:1" x14ac:dyDescent="0.25">
      <c r="A3558" s="15"/>
    </row>
    <row r="3559" spans="1:1" x14ac:dyDescent="0.25">
      <c r="A3559" s="15"/>
    </row>
    <row r="3560" spans="1:1" x14ac:dyDescent="0.25">
      <c r="A3560" s="15"/>
    </row>
    <row r="3561" spans="1:1" x14ac:dyDescent="0.25">
      <c r="A3561" s="15"/>
    </row>
    <row r="3562" spans="1:1" x14ac:dyDescent="0.25">
      <c r="A3562" s="15"/>
    </row>
    <row r="3563" spans="1:1" x14ac:dyDescent="0.25">
      <c r="A3563" s="15"/>
    </row>
    <row r="3564" spans="1:1" x14ac:dyDescent="0.25">
      <c r="A3564" s="15"/>
    </row>
    <row r="3565" spans="1:1" x14ac:dyDescent="0.25">
      <c r="A3565" s="15"/>
    </row>
    <row r="3566" spans="1:1" x14ac:dyDescent="0.25">
      <c r="A3566" s="15"/>
    </row>
    <row r="3567" spans="1:1" x14ac:dyDescent="0.25">
      <c r="A3567" s="15"/>
    </row>
    <row r="3568" spans="1:1" x14ac:dyDescent="0.25">
      <c r="A3568" s="15"/>
    </row>
    <row r="3569" spans="1:1" x14ac:dyDescent="0.25">
      <c r="A3569" s="15"/>
    </row>
    <row r="3570" spans="1:1" x14ac:dyDescent="0.25">
      <c r="A3570" s="15"/>
    </row>
    <row r="3571" spans="1:1" x14ac:dyDescent="0.25">
      <c r="A3571" s="15"/>
    </row>
    <row r="3572" spans="1:1" x14ac:dyDescent="0.25">
      <c r="A3572" s="15"/>
    </row>
    <row r="3573" spans="1:1" x14ac:dyDescent="0.25">
      <c r="A3573" s="15"/>
    </row>
    <row r="3574" spans="1:1" x14ac:dyDescent="0.25">
      <c r="A3574" s="15"/>
    </row>
    <row r="3575" spans="1:1" x14ac:dyDescent="0.25">
      <c r="A3575" s="15"/>
    </row>
    <row r="3576" spans="1:1" x14ac:dyDescent="0.25">
      <c r="A3576" s="15"/>
    </row>
    <row r="3577" spans="1:1" x14ac:dyDescent="0.25">
      <c r="A3577" s="15"/>
    </row>
    <row r="3578" spans="1:1" x14ac:dyDescent="0.25">
      <c r="A3578" s="15"/>
    </row>
    <row r="3579" spans="1:1" x14ac:dyDescent="0.25">
      <c r="A3579" s="15"/>
    </row>
    <row r="3580" spans="1:1" x14ac:dyDescent="0.25">
      <c r="A3580" s="15"/>
    </row>
    <row r="3581" spans="1:1" x14ac:dyDescent="0.25">
      <c r="A3581" s="15"/>
    </row>
    <row r="3582" spans="1:1" x14ac:dyDescent="0.25">
      <c r="A3582" s="15"/>
    </row>
    <row r="3583" spans="1:1" x14ac:dyDescent="0.25">
      <c r="A3583" s="15"/>
    </row>
    <row r="3584" spans="1:1" x14ac:dyDescent="0.25">
      <c r="A3584" s="15"/>
    </row>
    <row r="3585" spans="1:1" x14ac:dyDescent="0.25">
      <c r="A3585" s="15"/>
    </row>
    <row r="3586" spans="1:1" x14ac:dyDescent="0.25">
      <c r="A3586" s="15"/>
    </row>
    <row r="3587" spans="1:1" x14ac:dyDescent="0.25">
      <c r="A3587" s="15"/>
    </row>
    <row r="3588" spans="1:1" x14ac:dyDescent="0.25">
      <c r="A3588" s="15"/>
    </row>
    <row r="3589" spans="1:1" x14ac:dyDescent="0.25">
      <c r="A3589" s="15"/>
    </row>
    <row r="3590" spans="1:1" x14ac:dyDescent="0.25">
      <c r="A3590" s="15"/>
    </row>
    <row r="3591" spans="1:1" x14ac:dyDescent="0.25">
      <c r="A3591" s="15"/>
    </row>
    <row r="3592" spans="1:1" x14ac:dyDescent="0.25">
      <c r="A3592" s="15"/>
    </row>
    <row r="3593" spans="1:1" x14ac:dyDescent="0.25">
      <c r="A3593" s="15"/>
    </row>
    <row r="3594" spans="1:1" x14ac:dyDescent="0.25">
      <c r="A3594" s="15"/>
    </row>
    <row r="3595" spans="1:1" x14ac:dyDescent="0.25">
      <c r="A3595" s="15"/>
    </row>
    <row r="3596" spans="1:1" x14ac:dyDescent="0.25">
      <c r="A3596" s="15"/>
    </row>
    <row r="3597" spans="1:1" x14ac:dyDescent="0.25">
      <c r="A3597" s="15"/>
    </row>
    <row r="3598" spans="1:1" x14ac:dyDescent="0.25">
      <c r="A3598" s="15"/>
    </row>
    <row r="3599" spans="1:1" x14ac:dyDescent="0.25">
      <c r="A3599" s="15"/>
    </row>
    <row r="3600" spans="1:1" x14ac:dyDescent="0.25">
      <c r="A3600" s="15"/>
    </row>
    <row r="3601" spans="1:1" x14ac:dyDescent="0.25">
      <c r="A3601" s="15"/>
    </row>
    <row r="3602" spans="1:1" x14ac:dyDescent="0.25">
      <c r="A3602" s="15"/>
    </row>
    <row r="3603" spans="1:1" x14ac:dyDescent="0.25">
      <c r="A3603" s="15"/>
    </row>
    <row r="3604" spans="1:1" x14ac:dyDescent="0.25">
      <c r="A3604" s="15"/>
    </row>
    <row r="3605" spans="1:1" x14ac:dyDescent="0.25">
      <c r="A3605" s="15"/>
    </row>
    <row r="3606" spans="1:1" x14ac:dyDescent="0.25">
      <c r="A3606" s="15"/>
    </row>
    <row r="3607" spans="1:1" x14ac:dyDescent="0.25">
      <c r="A3607" s="15"/>
    </row>
    <row r="3608" spans="1:1" x14ac:dyDescent="0.25">
      <c r="A3608" s="15"/>
    </row>
    <row r="3609" spans="1:1" x14ac:dyDescent="0.25">
      <c r="A3609" s="15"/>
    </row>
    <row r="3610" spans="1:1" x14ac:dyDescent="0.25">
      <c r="A3610" s="15"/>
    </row>
    <row r="3611" spans="1:1" x14ac:dyDescent="0.25">
      <c r="A3611" s="15"/>
    </row>
    <row r="3612" spans="1:1" x14ac:dyDescent="0.25">
      <c r="A3612" s="15"/>
    </row>
    <row r="3613" spans="1:1" x14ac:dyDescent="0.25">
      <c r="A3613" s="15"/>
    </row>
    <row r="3614" spans="1:1" x14ac:dyDescent="0.25">
      <c r="A3614" s="15"/>
    </row>
    <row r="3615" spans="1:1" x14ac:dyDescent="0.25">
      <c r="A3615" s="15"/>
    </row>
    <row r="3616" spans="1:1" x14ac:dyDescent="0.25">
      <c r="A3616" s="15"/>
    </row>
    <row r="3617" spans="1:1" x14ac:dyDescent="0.25">
      <c r="A3617" s="15"/>
    </row>
    <row r="3618" spans="1:1" x14ac:dyDescent="0.25">
      <c r="A3618" s="15"/>
    </row>
    <row r="3619" spans="1:1" x14ac:dyDescent="0.25">
      <c r="A3619" s="15"/>
    </row>
    <row r="3620" spans="1:1" x14ac:dyDescent="0.25">
      <c r="A3620" s="15"/>
    </row>
    <row r="3621" spans="1:1" x14ac:dyDescent="0.25">
      <c r="A3621" s="15"/>
    </row>
    <row r="3622" spans="1:1" x14ac:dyDescent="0.25">
      <c r="A3622" s="15"/>
    </row>
    <row r="3623" spans="1:1" x14ac:dyDescent="0.25">
      <c r="A3623" s="15"/>
    </row>
    <row r="3624" spans="1:1" x14ac:dyDescent="0.25">
      <c r="A3624" s="15"/>
    </row>
    <row r="3625" spans="1:1" x14ac:dyDescent="0.25">
      <c r="A3625" s="15"/>
    </row>
    <row r="3626" spans="1:1" x14ac:dyDescent="0.25">
      <c r="A3626" s="15"/>
    </row>
    <row r="3627" spans="1:1" x14ac:dyDescent="0.25">
      <c r="A3627" s="15"/>
    </row>
    <row r="3628" spans="1:1" x14ac:dyDescent="0.25">
      <c r="A3628" s="15"/>
    </row>
    <row r="3629" spans="1:1" x14ac:dyDescent="0.25">
      <c r="A3629" s="15"/>
    </row>
    <row r="3630" spans="1:1" x14ac:dyDescent="0.25">
      <c r="A3630" s="15"/>
    </row>
    <row r="3631" spans="1:1" x14ac:dyDescent="0.25">
      <c r="A3631" s="15"/>
    </row>
    <row r="3632" spans="1:1" x14ac:dyDescent="0.25">
      <c r="A3632" s="15"/>
    </row>
    <row r="3633" spans="1:1" x14ac:dyDescent="0.25">
      <c r="A3633" s="15"/>
    </row>
    <row r="3634" spans="1:1" x14ac:dyDescent="0.25">
      <c r="A3634" s="15"/>
    </row>
    <row r="3635" spans="1:1" x14ac:dyDescent="0.25">
      <c r="A3635" s="15"/>
    </row>
    <row r="3636" spans="1:1" x14ac:dyDescent="0.25">
      <c r="A3636" s="15"/>
    </row>
    <row r="3637" spans="1:1" x14ac:dyDescent="0.25">
      <c r="A3637" s="15"/>
    </row>
    <row r="3638" spans="1:1" x14ac:dyDescent="0.25">
      <c r="A3638" s="15"/>
    </row>
    <row r="3639" spans="1:1" x14ac:dyDescent="0.25">
      <c r="A3639" s="15"/>
    </row>
    <row r="3640" spans="1:1" x14ac:dyDescent="0.25">
      <c r="A3640" s="15"/>
    </row>
    <row r="3641" spans="1:1" x14ac:dyDescent="0.25">
      <c r="A3641" s="15"/>
    </row>
    <row r="3642" spans="1:1" x14ac:dyDescent="0.25">
      <c r="A3642" s="15"/>
    </row>
    <row r="3643" spans="1:1" x14ac:dyDescent="0.25">
      <c r="A3643" s="15"/>
    </row>
    <row r="3644" spans="1:1" x14ac:dyDescent="0.25">
      <c r="A3644" s="15"/>
    </row>
    <row r="3645" spans="1:1" x14ac:dyDescent="0.25">
      <c r="A3645" s="15"/>
    </row>
    <row r="3646" spans="1:1" x14ac:dyDescent="0.25">
      <c r="A3646" s="15"/>
    </row>
    <row r="3647" spans="1:1" x14ac:dyDescent="0.25">
      <c r="A3647" s="15"/>
    </row>
    <row r="3648" spans="1:1" x14ac:dyDescent="0.25">
      <c r="A3648" s="15"/>
    </row>
    <row r="3649" spans="1:1" x14ac:dyDescent="0.25">
      <c r="A3649" s="15"/>
    </row>
    <row r="3650" spans="1:1" x14ac:dyDescent="0.25">
      <c r="A3650" s="15"/>
    </row>
    <row r="3651" spans="1:1" x14ac:dyDescent="0.25">
      <c r="A3651" s="15"/>
    </row>
    <row r="3652" spans="1:1" x14ac:dyDescent="0.25">
      <c r="A3652" s="15"/>
    </row>
    <row r="3653" spans="1:1" x14ac:dyDescent="0.25">
      <c r="A3653" s="15"/>
    </row>
    <row r="3654" spans="1:1" x14ac:dyDescent="0.25">
      <c r="A3654" s="15"/>
    </row>
    <row r="3655" spans="1:1" x14ac:dyDescent="0.25">
      <c r="A3655" s="15"/>
    </row>
    <row r="3656" spans="1:1" x14ac:dyDescent="0.25">
      <c r="A3656" s="15"/>
    </row>
    <row r="3657" spans="1:1" x14ac:dyDescent="0.25">
      <c r="A3657" s="15"/>
    </row>
    <row r="3658" spans="1:1" x14ac:dyDescent="0.25">
      <c r="A3658" s="15"/>
    </row>
    <row r="3659" spans="1:1" x14ac:dyDescent="0.25">
      <c r="A3659" s="15"/>
    </row>
    <row r="3660" spans="1:1" x14ac:dyDescent="0.25">
      <c r="A3660" s="15"/>
    </row>
    <row r="3661" spans="1:1" x14ac:dyDescent="0.25">
      <c r="A3661" s="15"/>
    </row>
    <row r="3662" spans="1:1" x14ac:dyDescent="0.25">
      <c r="A3662" s="15"/>
    </row>
    <row r="3663" spans="1:1" x14ac:dyDescent="0.25">
      <c r="A3663" s="15"/>
    </row>
    <row r="3664" spans="1:1" x14ac:dyDescent="0.25">
      <c r="A3664" s="15"/>
    </row>
    <row r="3665" spans="1:1" x14ac:dyDescent="0.25">
      <c r="A3665" s="15"/>
    </row>
    <row r="3666" spans="1:1" x14ac:dyDescent="0.25">
      <c r="A3666" s="15"/>
    </row>
    <row r="3667" spans="1:1" x14ac:dyDescent="0.25">
      <c r="A3667" s="15"/>
    </row>
    <row r="3668" spans="1:1" x14ac:dyDescent="0.25">
      <c r="A3668" s="15"/>
    </row>
    <row r="3669" spans="1:1" x14ac:dyDescent="0.25">
      <c r="A3669" s="15"/>
    </row>
    <row r="3670" spans="1:1" x14ac:dyDescent="0.25">
      <c r="A3670" s="15"/>
    </row>
    <row r="3671" spans="1:1" x14ac:dyDescent="0.25">
      <c r="A3671" s="15"/>
    </row>
    <row r="3672" spans="1:1" x14ac:dyDescent="0.25">
      <c r="A3672" s="15"/>
    </row>
    <row r="3673" spans="1:1" x14ac:dyDescent="0.25">
      <c r="A3673" s="15"/>
    </row>
    <row r="3674" spans="1:1" x14ac:dyDescent="0.25">
      <c r="A3674" s="15"/>
    </row>
    <row r="3675" spans="1:1" x14ac:dyDescent="0.25">
      <c r="A3675" s="15"/>
    </row>
    <row r="3676" spans="1:1" x14ac:dyDescent="0.25">
      <c r="A3676" s="15"/>
    </row>
    <row r="3677" spans="1:1" x14ac:dyDescent="0.25">
      <c r="A3677" s="15"/>
    </row>
    <row r="3678" spans="1:1" x14ac:dyDescent="0.25">
      <c r="A3678" s="15"/>
    </row>
    <row r="3679" spans="1:1" x14ac:dyDescent="0.25">
      <c r="A3679" s="15"/>
    </row>
    <row r="3680" spans="1:1" x14ac:dyDescent="0.25">
      <c r="A3680" s="15"/>
    </row>
    <row r="3681" spans="1:1" x14ac:dyDescent="0.25">
      <c r="A3681" s="15"/>
    </row>
    <row r="3682" spans="1:1" x14ac:dyDescent="0.25">
      <c r="A3682" s="15"/>
    </row>
    <row r="3683" spans="1:1" x14ac:dyDescent="0.25">
      <c r="A3683" s="15"/>
    </row>
    <row r="3684" spans="1:1" x14ac:dyDescent="0.25">
      <c r="A3684" s="15"/>
    </row>
    <row r="3685" spans="1:1" x14ac:dyDescent="0.25">
      <c r="A3685" s="15"/>
    </row>
    <row r="3686" spans="1:1" x14ac:dyDescent="0.25">
      <c r="A3686" s="15"/>
    </row>
    <row r="3687" spans="1:1" x14ac:dyDescent="0.25">
      <c r="A3687" s="15"/>
    </row>
    <row r="3688" spans="1:1" x14ac:dyDescent="0.25">
      <c r="A3688" s="15"/>
    </row>
    <row r="3689" spans="1:1" x14ac:dyDescent="0.25">
      <c r="A3689" s="15"/>
    </row>
    <row r="3690" spans="1:1" x14ac:dyDescent="0.25">
      <c r="A3690" s="15"/>
    </row>
    <row r="3691" spans="1:1" x14ac:dyDescent="0.25">
      <c r="A3691" s="15"/>
    </row>
    <row r="3692" spans="1:1" x14ac:dyDescent="0.25">
      <c r="A3692" s="15"/>
    </row>
    <row r="3693" spans="1:1" x14ac:dyDescent="0.25">
      <c r="A3693" s="15"/>
    </row>
    <row r="3694" spans="1:1" x14ac:dyDescent="0.25">
      <c r="A3694" s="15"/>
    </row>
    <row r="3695" spans="1:1" x14ac:dyDescent="0.25">
      <c r="A3695" s="15"/>
    </row>
    <row r="3696" spans="1:1" x14ac:dyDescent="0.25">
      <c r="A3696" s="15"/>
    </row>
    <row r="3697" spans="1:1" x14ac:dyDescent="0.25">
      <c r="A3697" s="15"/>
    </row>
    <row r="3698" spans="1:1" x14ac:dyDescent="0.25">
      <c r="A3698" s="15"/>
    </row>
    <row r="3699" spans="1:1" x14ac:dyDescent="0.25">
      <c r="A3699" s="15"/>
    </row>
    <row r="3700" spans="1:1" x14ac:dyDescent="0.25">
      <c r="A3700" s="15"/>
    </row>
    <row r="3701" spans="1:1" x14ac:dyDescent="0.25">
      <c r="A3701" s="15"/>
    </row>
    <row r="3702" spans="1:1" x14ac:dyDescent="0.25">
      <c r="A3702" s="15"/>
    </row>
    <row r="3703" spans="1:1" x14ac:dyDescent="0.25">
      <c r="A3703" s="15"/>
    </row>
    <row r="3704" spans="1:1" x14ac:dyDescent="0.25">
      <c r="A3704" s="15"/>
    </row>
    <row r="3705" spans="1:1" x14ac:dyDescent="0.25">
      <c r="A3705" s="15"/>
    </row>
    <row r="3706" spans="1:1" x14ac:dyDescent="0.25">
      <c r="A3706" s="15"/>
    </row>
    <row r="3707" spans="1:1" x14ac:dyDescent="0.25">
      <c r="A3707" s="15"/>
    </row>
    <row r="3708" spans="1:1" x14ac:dyDescent="0.25">
      <c r="A3708" s="15"/>
    </row>
    <row r="3709" spans="1:1" x14ac:dyDescent="0.25">
      <c r="A3709" s="15"/>
    </row>
    <row r="3710" spans="1:1" x14ac:dyDescent="0.25">
      <c r="A3710" s="15"/>
    </row>
    <row r="3711" spans="1:1" x14ac:dyDescent="0.25">
      <c r="A3711" s="15"/>
    </row>
    <row r="3712" spans="1:1" x14ac:dyDescent="0.25">
      <c r="A3712" s="15"/>
    </row>
    <row r="3713" spans="1:1" x14ac:dyDescent="0.25">
      <c r="A3713" s="15"/>
    </row>
    <row r="3714" spans="1:1" x14ac:dyDescent="0.25">
      <c r="A3714" s="15"/>
    </row>
    <row r="3715" spans="1:1" x14ac:dyDescent="0.25">
      <c r="A3715" s="15"/>
    </row>
    <row r="3716" spans="1:1" x14ac:dyDescent="0.25">
      <c r="A3716" s="15"/>
    </row>
    <row r="3717" spans="1:1" x14ac:dyDescent="0.25">
      <c r="A3717" s="15"/>
    </row>
    <row r="3718" spans="1:1" x14ac:dyDescent="0.25">
      <c r="A3718" s="15"/>
    </row>
    <row r="3719" spans="1:1" x14ac:dyDescent="0.25">
      <c r="A3719" s="15"/>
    </row>
    <row r="3720" spans="1:1" x14ac:dyDescent="0.25">
      <c r="A3720" s="15"/>
    </row>
    <row r="3721" spans="1:1" x14ac:dyDescent="0.25">
      <c r="A3721" s="15"/>
    </row>
    <row r="3722" spans="1:1" x14ac:dyDescent="0.25">
      <c r="A3722" s="15"/>
    </row>
    <row r="3723" spans="1:1" x14ac:dyDescent="0.25">
      <c r="A3723" s="15"/>
    </row>
    <row r="3724" spans="1:1" x14ac:dyDescent="0.25">
      <c r="A3724" s="15"/>
    </row>
    <row r="3725" spans="1:1" x14ac:dyDescent="0.25">
      <c r="A3725" s="15"/>
    </row>
    <row r="3726" spans="1:1" x14ac:dyDescent="0.25">
      <c r="A3726" s="15"/>
    </row>
    <row r="3727" spans="1:1" x14ac:dyDescent="0.25">
      <c r="A3727" s="15"/>
    </row>
    <row r="3728" spans="1:1" x14ac:dyDescent="0.25">
      <c r="A3728" s="15"/>
    </row>
    <row r="3729" spans="1:1" x14ac:dyDescent="0.25">
      <c r="A3729" s="15"/>
    </row>
    <row r="3730" spans="1:1" x14ac:dyDescent="0.25">
      <c r="A3730" s="15"/>
    </row>
    <row r="3731" spans="1:1" x14ac:dyDescent="0.25">
      <c r="A3731" s="15"/>
    </row>
    <row r="3732" spans="1:1" x14ac:dyDescent="0.25">
      <c r="A3732" s="15"/>
    </row>
    <row r="3733" spans="1:1" x14ac:dyDescent="0.25">
      <c r="A3733" s="15"/>
    </row>
    <row r="3734" spans="1:1" x14ac:dyDescent="0.25">
      <c r="A3734" s="15"/>
    </row>
    <row r="3735" spans="1:1" x14ac:dyDescent="0.25">
      <c r="A3735" s="15"/>
    </row>
    <row r="3736" spans="1:1" x14ac:dyDescent="0.25">
      <c r="A3736" s="15"/>
    </row>
    <row r="3737" spans="1:1" x14ac:dyDescent="0.25">
      <c r="A3737" s="15"/>
    </row>
    <row r="3738" spans="1:1" x14ac:dyDescent="0.25">
      <c r="A3738" s="15"/>
    </row>
    <row r="3739" spans="1:1" x14ac:dyDescent="0.25">
      <c r="A3739" s="15"/>
    </row>
    <row r="3740" spans="1:1" x14ac:dyDescent="0.25">
      <c r="A3740" s="15"/>
    </row>
    <row r="3741" spans="1:1" x14ac:dyDescent="0.25">
      <c r="A3741" s="15"/>
    </row>
    <row r="3742" spans="1:1" x14ac:dyDescent="0.25">
      <c r="A3742" s="15"/>
    </row>
    <row r="3743" spans="1:1" x14ac:dyDescent="0.25">
      <c r="A3743" s="15"/>
    </row>
    <row r="3744" spans="1:1" x14ac:dyDescent="0.25">
      <c r="A3744" s="15"/>
    </row>
    <row r="3745" spans="1:1" x14ac:dyDescent="0.25">
      <c r="A3745" s="15"/>
    </row>
    <row r="3746" spans="1:1" x14ac:dyDescent="0.25">
      <c r="A3746" s="15"/>
    </row>
    <row r="3747" spans="1:1" x14ac:dyDescent="0.25">
      <c r="A3747" s="15"/>
    </row>
    <row r="3748" spans="1:1" x14ac:dyDescent="0.25">
      <c r="A3748" s="15"/>
    </row>
    <row r="3749" spans="1:1" x14ac:dyDescent="0.25">
      <c r="A3749" s="15"/>
    </row>
    <row r="3750" spans="1:1" x14ac:dyDescent="0.25">
      <c r="A3750" s="15"/>
    </row>
    <row r="3751" spans="1:1" x14ac:dyDescent="0.25">
      <c r="A3751" s="15"/>
    </row>
    <row r="3752" spans="1:1" x14ac:dyDescent="0.25">
      <c r="A3752" s="15"/>
    </row>
    <row r="3753" spans="1:1" x14ac:dyDescent="0.25">
      <c r="A3753" s="15"/>
    </row>
    <row r="3754" spans="1:1" x14ac:dyDescent="0.25">
      <c r="A3754" s="15"/>
    </row>
    <row r="3755" spans="1:1" x14ac:dyDescent="0.25">
      <c r="A3755" s="15"/>
    </row>
    <row r="3756" spans="1:1" x14ac:dyDescent="0.25">
      <c r="A3756" s="15"/>
    </row>
    <row r="3757" spans="1:1" x14ac:dyDescent="0.25">
      <c r="A3757" s="15"/>
    </row>
    <row r="3758" spans="1:1" x14ac:dyDescent="0.25">
      <c r="A3758" s="15"/>
    </row>
    <row r="3759" spans="1:1" x14ac:dyDescent="0.25">
      <c r="A3759" s="15"/>
    </row>
    <row r="3760" spans="1:1" x14ac:dyDescent="0.25">
      <c r="A3760" s="15"/>
    </row>
    <row r="3761" spans="1:1" x14ac:dyDescent="0.25">
      <c r="A3761" s="15"/>
    </row>
    <row r="3762" spans="1:1" x14ac:dyDescent="0.25">
      <c r="A3762" s="15"/>
    </row>
    <row r="3763" spans="1:1" x14ac:dyDescent="0.25">
      <c r="A3763" s="15"/>
    </row>
    <row r="3764" spans="1:1" x14ac:dyDescent="0.25">
      <c r="A3764" s="15"/>
    </row>
    <row r="3765" spans="1:1" x14ac:dyDescent="0.25">
      <c r="A3765" s="15"/>
    </row>
    <row r="3766" spans="1:1" x14ac:dyDescent="0.25">
      <c r="A3766" s="15"/>
    </row>
    <row r="3767" spans="1:1" x14ac:dyDescent="0.25">
      <c r="A3767" s="15"/>
    </row>
    <row r="3768" spans="1:1" x14ac:dyDescent="0.25">
      <c r="A3768" s="15"/>
    </row>
    <row r="3769" spans="1:1" x14ac:dyDescent="0.25">
      <c r="A3769" s="15"/>
    </row>
    <row r="3770" spans="1:1" x14ac:dyDescent="0.25">
      <c r="A3770" s="15"/>
    </row>
    <row r="3771" spans="1:1" x14ac:dyDescent="0.25">
      <c r="A3771" s="15"/>
    </row>
    <row r="3772" spans="1:1" x14ac:dyDescent="0.25">
      <c r="A3772" s="15"/>
    </row>
    <row r="3773" spans="1:1" x14ac:dyDescent="0.25">
      <c r="A3773" s="15"/>
    </row>
    <row r="3774" spans="1:1" x14ac:dyDescent="0.25">
      <c r="A3774" s="15"/>
    </row>
    <row r="3775" spans="1:1" x14ac:dyDescent="0.25">
      <c r="A3775" s="15"/>
    </row>
    <row r="3776" spans="1:1" x14ac:dyDescent="0.25">
      <c r="A3776" s="15"/>
    </row>
    <row r="3777" spans="1:1" x14ac:dyDescent="0.25">
      <c r="A3777" s="15"/>
    </row>
    <row r="3778" spans="1:1" x14ac:dyDescent="0.25">
      <c r="A3778" s="15"/>
    </row>
    <row r="3779" spans="1:1" x14ac:dyDescent="0.25">
      <c r="A3779" s="15"/>
    </row>
    <row r="3780" spans="1:1" x14ac:dyDescent="0.25">
      <c r="A3780" s="15"/>
    </row>
    <row r="3781" spans="1:1" x14ac:dyDescent="0.25">
      <c r="A3781" s="15"/>
    </row>
    <row r="3782" spans="1:1" x14ac:dyDescent="0.25">
      <c r="A3782" s="15"/>
    </row>
    <row r="3783" spans="1:1" x14ac:dyDescent="0.25">
      <c r="A3783" s="15"/>
    </row>
    <row r="3784" spans="1:1" x14ac:dyDescent="0.25">
      <c r="A3784" s="15"/>
    </row>
    <row r="3785" spans="1:1" x14ac:dyDescent="0.25">
      <c r="A3785" s="15"/>
    </row>
    <row r="3786" spans="1:1" x14ac:dyDescent="0.25">
      <c r="A3786" s="15"/>
    </row>
    <row r="3787" spans="1:1" x14ac:dyDescent="0.25">
      <c r="A3787" s="15"/>
    </row>
    <row r="3788" spans="1:1" x14ac:dyDescent="0.25">
      <c r="A3788" s="15"/>
    </row>
    <row r="3789" spans="1:1" x14ac:dyDescent="0.25">
      <c r="A3789" s="15"/>
    </row>
    <row r="3790" spans="1:1" x14ac:dyDescent="0.25">
      <c r="A3790" s="15"/>
    </row>
    <row r="3791" spans="1:1" x14ac:dyDescent="0.25">
      <c r="A3791" s="15"/>
    </row>
    <row r="3792" spans="1:1" x14ac:dyDescent="0.25">
      <c r="A3792" s="15"/>
    </row>
    <row r="3793" spans="1:1" x14ac:dyDescent="0.25">
      <c r="A3793" s="15"/>
    </row>
    <row r="3794" spans="1:1" x14ac:dyDescent="0.25">
      <c r="A3794" s="15"/>
    </row>
    <row r="3795" spans="1:1" x14ac:dyDescent="0.25">
      <c r="A3795" s="15"/>
    </row>
    <row r="3796" spans="1:1" x14ac:dyDescent="0.25">
      <c r="A3796" s="15"/>
    </row>
    <row r="3797" spans="1:1" x14ac:dyDescent="0.25">
      <c r="A3797" s="15"/>
    </row>
    <row r="3798" spans="1:1" x14ac:dyDescent="0.25">
      <c r="A3798" s="15"/>
    </row>
    <row r="3799" spans="1:1" x14ac:dyDescent="0.25">
      <c r="A3799" s="15"/>
    </row>
    <row r="3800" spans="1:1" x14ac:dyDescent="0.25">
      <c r="A3800" s="15"/>
    </row>
    <row r="3801" spans="1:1" x14ac:dyDescent="0.25">
      <c r="A3801" s="15"/>
    </row>
    <row r="3802" spans="1:1" x14ac:dyDescent="0.25">
      <c r="A3802" s="15"/>
    </row>
    <row r="3803" spans="1:1" x14ac:dyDescent="0.25">
      <c r="A3803" s="15"/>
    </row>
    <row r="3804" spans="1:1" x14ac:dyDescent="0.25">
      <c r="A3804" s="15"/>
    </row>
    <row r="3805" spans="1:1" x14ac:dyDescent="0.25">
      <c r="A3805" s="15"/>
    </row>
    <row r="3806" spans="1:1" x14ac:dyDescent="0.25">
      <c r="A3806" s="15"/>
    </row>
    <row r="3807" spans="1:1" x14ac:dyDescent="0.25">
      <c r="A3807" s="15"/>
    </row>
    <row r="3808" spans="1:1" x14ac:dyDescent="0.25">
      <c r="A3808" s="15"/>
    </row>
    <row r="3809" spans="1:1" x14ac:dyDescent="0.25">
      <c r="A3809" s="15"/>
    </row>
    <row r="3810" spans="1:1" x14ac:dyDescent="0.25">
      <c r="A3810" s="15"/>
    </row>
    <row r="3811" spans="1:1" x14ac:dyDescent="0.25">
      <c r="A3811" s="15"/>
    </row>
    <row r="3812" spans="1:1" x14ac:dyDescent="0.25">
      <c r="A3812" s="15"/>
    </row>
    <row r="3813" spans="1:1" x14ac:dyDescent="0.25">
      <c r="A3813" s="15"/>
    </row>
    <row r="3814" spans="1:1" x14ac:dyDescent="0.25">
      <c r="A3814" s="15"/>
    </row>
    <row r="3815" spans="1:1" x14ac:dyDescent="0.25">
      <c r="A3815" s="15"/>
    </row>
    <row r="3816" spans="1:1" x14ac:dyDescent="0.25">
      <c r="A3816" s="15"/>
    </row>
    <row r="3817" spans="1:1" x14ac:dyDescent="0.25">
      <c r="A3817" s="15"/>
    </row>
    <row r="3818" spans="1:1" x14ac:dyDescent="0.25">
      <c r="A3818" s="15"/>
    </row>
    <row r="3819" spans="1:1" x14ac:dyDescent="0.25">
      <c r="A3819" s="15"/>
    </row>
    <row r="3820" spans="1:1" x14ac:dyDescent="0.25">
      <c r="A3820" s="15"/>
    </row>
    <row r="3821" spans="1:1" x14ac:dyDescent="0.25">
      <c r="A3821" s="15"/>
    </row>
    <row r="3822" spans="1:1" x14ac:dyDescent="0.25">
      <c r="A3822" s="15"/>
    </row>
    <row r="3823" spans="1:1" x14ac:dyDescent="0.25">
      <c r="A3823" s="15"/>
    </row>
    <row r="3824" spans="1:1" x14ac:dyDescent="0.25">
      <c r="A3824" s="15"/>
    </row>
    <row r="3825" spans="1:1" x14ac:dyDescent="0.25">
      <c r="A3825" s="15"/>
    </row>
    <row r="3826" spans="1:1" x14ac:dyDescent="0.25">
      <c r="A3826" s="15"/>
    </row>
    <row r="3827" spans="1:1" x14ac:dyDescent="0.25">
      <c r="A3827" s="15"/>
    </row>
    <row r="3828" spans="1:1" x14ac:dyDescent="0.25">
      <c r="A3828" s="15"/>
    </row>
    <row r="3829" spans="1:1" x14ac:dyDescent="0.25">
      <c r="A3829" s="15"/>
    </row>
    <row r="3830" spans="1:1" x14ac:dyDescent="0.25">
      <c r="A3830" s="15"/>
    </row>
    <row r="3831" spans="1:1" x14ac:dyDescent="0.25">
      <c r="A3831" s="15"/>
    </row>
    <row r="3832" spans="1:1" x14ac:dyDescent="0.25">
      <c r="A3832" s="15"/>
    </row>
    <row r="3833" spans="1:1" x14ac:dyDescent="0.25">
      <c r="A3833" s="15"/>
    </row>
    <row r="3834" spans="1:1" x14ac:dyDescent="0.25">
      <c r="A3834" s="15"/>
    </row>
    <row r="3835" spans="1:1" x14ac:dyDescent="0.25">
      <c r="A3835" s="15"/>
    </row>
    <row r="3836" spans="1:1" x14ac:dyDescent="0.25">
      <c r="A3836" s="15"/>
    </row>
    <row r="3837" spans="1:1" x14ac:dyDescent="0.25">
      <c r="A3837" s="15"/>
    </row>
    <row r="3838" spans="1:1" x14ac:dyDescent="0.25">
      <c r="A3838" s="15"/>
    </row>
    <row r="3839" spans="1:1" x14ac:dyDescent="0.25">
      <c r="A3839" s="15"/>
    </row>
    <row r="3840" spans="1:1" x14ac:dyDescent="0.25">
      <c r="A3840" s="15"/>
    </row>
    <row r="3841" spans="1:1" x14ac:dyDescent="0.25">
      <c r="A3841" s="15"/>
    </row>
    <row r="3842" spans="1:1" x14ac:dyDescent="0.25">
      <c r="A3842" s="15"/>
    </row>
    <row r="3843" spans="1:1" x14ac:dyDescent="0.25">
      <c r="A3843" s="15"/>
    </row>
    <row r="3844" spans="1:1" x14ac:dyDescent="0.25">
      <c r="A3844" s="15"/>
    </row>
    <row r="3845" spans="1:1" x14ac:dyDescent="0.25">
      <c r="A3845" s="15"/>
    </row>
    <row r="3846" spans="1:1" x14ac:dyDescent="0.25">
      <c r="A3846" s="15"/>
    </row>
    <row r="3847" spans="1:1" x14ac:dyDescent="0.25">
      <c r="A3847" s="15"/>
    </row>
    <row r="3848" spans="1:1" x14ac:dyDescent="0.25">
      <c r="A3848" s="15"/>
    </row>
    <row r="3849" spans="1:1" x14ac:dyDescent="0.25">
      <c r="A3849" s="15"/>
    </row>
    <row r="3850" spans="1:1" x14ac:dyDescent="0.25">
      <c r="A3850" s="15"/>
    </row>
    <row r="3851" spans="1:1" x14ac:dyDescent="0.25">
      <c r="A3851" s="15"/>
    </row>
    <row r="3852" spans="1:1" x14ac:dyDescent="0.25">
      <c r="A3852" s="15"/>
    </row>
    <row r="3853" spans="1:1" x14ac:dyDescent="0.25">
      <c r="A3853" s="15"/>
    </row>
    <row r="3854" spans="1:1" x14ac:dyDescent="0.25">
      <c r="A3854" s="15"/>
    </row>
    <row r="3855" spans="1:1" x14ac:dyDescent="0.25">
      <c r="A3855" s="15"/>
    </row>
    <row r="3856" spans="1:1" x14ac:dyDescent="0.25">
      <c r="A3856" s="15"/>
    </row>
    <row r="3857" spans="1:1" x14ac:dyDescent="0.25">
      <c r="A3857" s="15"/>
    </row>
    <row r="3858" spans="1:1" x14ac:dyDescent="0.25">
      <c r="A3858" s="15"/>
    </row>
    <row r="3859" spans="1:1" x14ac:dyDescent="0.25">
      <c r="A3859" s="15"/>
    </row>
    <row r="3860" spans="1:1" x14ac:dyDescent="0.25">
      <c r="A3860" s="15"/>
    </row>
    <row r="3861" spans="1:1" x14ac:dyDescent="0.25">
      <c r="A3861" s="15"/>
    </row>
    <row r="3862" spans="1:1" x14ac:dyDescent="0.25">
      <c r="A3862" s="15"/>
    </row>
    <row r="3863" spans="1:1" x14ac:dyDescent="0.25">
      <c r="A3863" s="15"/>
    </row>
    <row r="3864" spans="1:1" x14ac:dyDescent="0.25">
      <c r="A3864" s="15"/>
    </row>
    <row r="3865" spans="1:1" x14ac:dyDescent="0.25">
      <c r="A3865" s="15"/>
    </row>
    <row r="3866" spans="1:1" x14ac:dyDescent="0.25">
      <c r="A3866" s="15"/>
    </row>
    <row r="3867" spans="1:1" x14ac:dyDescent="0.25">
      <c r="A3867" s="15"/>
    </row>
    <row r="3868" spans="1:1" x14ac:dyDescent="0.25">
      <c r="A3868" s="15"/>
    </row>
    <row r="3869" spans="1:1" x14ac:dyDescent="0.25">
      <c r="A3869" s="15"/>
    </row>
    <row r="3870" spans="1:1" x14ac:dyDescent="0.25">
      <c r="A3870" s="15"/>
    </row>
    <row r="3871" spans="1:1" x14ac:dyDescent="0.25">
      <c r="A3871" s="15"/>
    </row>
    <row r="3872" spans="1:1" x14ac:dyDescent="0.25">
      <c r="A3872" s="15"/>
    </row>
    <row r="3873" spans="1:1" x14ac:dyDescent="0.25">
      <c r="A3873" s="15"/>
    </row>
    <row r="3874" spans="1:1" x14ac:dyDescent="0.25">
      <c r="A3874" s="15"/>
    </row>
    <row r="3875" spans="1:1" x14ac:dyDescent="0.25">
      <c r="A3875" s="15"/>
    </row>
    <row r="3876" spans="1:1" x14ac:dyDescent="0.25">
      <c r="A3876" s="15"/>
    </row>
    <row r="3877" spans="1:1" x14ac:dyDescent="0.25">
      <c r="A3877" s="15"/>
    </row>
    <row r="3878" spans="1:1" x14ac:dyDescent="0.25">
      <c r="A3878" s="15"/>
    </row>
    <row r="3879" spans="1:1" x14ac:dyDescent="0.25">
      <c r="A3879" s="15"/>
    </row>
    <row r="3880" spans="1:1" x14ac:dyDescent="0.25">
      <c r="A3880" s="15"/>
    </row>
    <row r="3881" spans="1:1" x14ac:dyDescent="0.25">
      <c r="A3881" s="15"/>
    </row>
    <row r="3882" spans="1:1" x14ac:dyDescent="0.25">
      <c r="A3882" s="15"/>
    </row>
    <row r="3883" spans="1:1" x14ac:dyDescent="0.25">
      <c r="A3883" s="15"/>
    </row>
    <row r="3884" spans="1:1" x14ac:dyDescent="0.25">
      <c r="A3884" s="15"/>
    </row>
    <row r="3885" spans="1:1" x14ac:dyDescent="0.25">
      <c r="A3885" s="15"/>
    </row>
    <row r="3886" spans="1:1" x14ac:dyDescent="0.25">
      <c r="A3886" s="15"/>
    </row>
    <row r="3887" spans="1:1" x14ac:dyDescent="0.25">
      <c r="A3887" s="15"/>
    </row>
    <row r="3888" spans="1:1" x14ac:dyDescent="0.25">
      <c r="A3888" s="15"/>
    </row>
    <row r="3889" spans="1:1" x14ac:dyDescent="0.25">
      <c r="A3889" s="15"/>
    </row>
    <row r="3890" spans="1:1" x14ac:dyDescent="0.25">
      <c r="A3890" s="15"/>
    </row>
    <row r="3891" spans="1:1" x14ac:dyDescent="0.25">
      <c r="A3891" s="15"/>
    </row>
    <row r="3892" spans="1:1" x14ac:dyDescent="0.25">
      <c r="A3892" s="15"/>
    </row>
    <row r="3893" spans="1:1" x14ac:dyDescent="0.25">
      <c r="A3893" s="15"/>
    </row>
    <row r="3894" spans="1:1" x14ac:dyDescent="0.25">
      <c r="A3894" s="15"/>
    </row>
    <row r="3895" spans="1:1" x14ac:dyDescent="0.25">
      <c r="A3895" s="15"/>
    </row>
    <row r="3896" spans="1:1" x14ac:dyDescent="0.25">
      <c r="A3896" s="15"/>
    </row>
    <row r="3897" spans="1:1" x14ac:dyDescent="0.25">
      <c r="A3897" s="15"/>
    </row>
    <row r="3898" spans="1:1" x14ac:dyDescent="0.25">
      <c r="A3898" s="15"/>
    </row>
    <row r="3899" spans="1:1" x14ac:dyDescent="0.25">
      <c r="A3899" s="15"/>
    </row>
    <row r="3900" spans="1:1" x14ac:dyDescent="0.25">
      <c r="A3900" s="15"/>
    </row>
    <row r="3901" spans="1:1" x14ac:dyDescent="0.25">
      <c r="A3901" s="15"/>
    </row>
    <row r="3902" spans="1:1" x14ac:dyDescent="0.25">
      <c r="A3902" s="15"/>
    </row>
    <row r="3903" spans="1:1" x14ac:dyDescent="0.25">
      <c r="A3903" s="15"/>
    </row>
    <row r="3904" spans="1:1" x14ac:dyDescent="0.25">
      <c r="A3904" s="15"/>
    </row>
    <row r="3905" spans="1:1" x14ac:dyDescent="0.25">
      <c r="A3905" s="15"/>
    </row>
    <row r="3906" spans="1:1" x14ac:dyDescent="0.25">
      <c r="A3906" s="15"/>
    </row>
    <row r="3907" spans="1:1" x14ac:dyDescent="0.25">
      <c r="A3907" s="15"/>
    </row>
    <row r="3908" spans="1:1" x14ac:dyDescent="0.25">
      <c r="A3908" s="15"/>
    </row>
    <row r="3909" spans="1:1" x14ac:dyDescent="0.25">
      <c r="A3909" s="15"/>
    </row>
    <row r="3910" spans="1:1" x14ac:dyDescent="0.25">
      <c r="A3910" s="15"/>
    </row>
    <row r="3911" spans="1:1" x14ac:dyDescent="0.25">
      <c r="A3911" s="15"/>
    </row>
    <row r="3912" spans="1:1" x14ac:dyDescent="0.25">
      <c r="A3912" s="15"/>
    </row>
    <row r="3913" spans="1:1" x14ac:dyDescent="0.25">
      <c r="A3913" s="15"/>
    </row>
    <row r="3914" spans="1:1" x14ac:dyDescent="0.25">
      <c r="A3914" s="15"/>
    </row>
    <row r="3915" spans="1:1" x14ac:dyDescent="0.25">
      <c r="A3915" s="15"/>
    </row>
    <row r="3916" spans="1:1" x14ac:dyDescent="0.25">
      <c r="A3916" s="15"/>
    </row>
    <row r="3917" spans="1:1" x14ac:dyDescent="0.25">
      <c r="A3917" s="15"/>
    </row>
    <row r="3918" spans="1:1" x14ac:dyDescent="0.25">
      <c r="A3918" s="15"/>
    </row>
    <row r="3919" spans="1:1" x14ac:dyDescent="0.25">
      <c r="A3919" s="15"/>
    </row>
    <row r="3920" spans="1:1" x14ac:dyDescent="0.25">
      <c r="A3920" s="15"/>
    </row>
    <row r="3921" spans="1:1" x14ac:dyDescent="0.25">
      <c r="A3921" s="15"/>
    </row>
    <row r="3922" spans="1:1" x14ac:dyDescent="0.25">
      <c r="A3922" s="15"/>
    </row>
    <row r="3923" spans="1:1" x14ac:dyDescent="0.25">
      <c r="A3923" s="15"/>
    </row>
    <row r="3924" spans="1:1" x14ac:dyDescent="0.25">
      <c r="A3924" s="15"/>
    </row>
    <row r="3925" spans="1:1" x14ac:dyDescent="0.25">
      <c r="A3925" s="15"/>
    </row>
    <row r="3926" spans="1:1" x14ac:dyDescent="0.25">
      <c r="A3926" s="15"/>
    </row>
    <row r="3927" spans="1:1" x14ac:dyDescent="0.25">
      <c r="A3927" s="15"/>
    </row>
    <row r="3928" spans="1:1" x14ac:dyDescent="0.25">
      <c r="A3928" s="15"/>
    </row>
    <row r="3929" spans="1:1" x14ac:dyDescent="0.25">
      <c r="A3929" s="15"/>
    </row>
    <row r="3930" spans="1:1" x14ac:dyDescent="0.25">
      <c r="A3930" s="15"/>
    </row>
    <row r="3931" spans="1:1" x14ac:dyDescent="0.25">
      <c r="A3931" s="15"/>
    </row>
    <row r="3932" spans="1:1" x14ac:dyDescent="0.25">
      <c r="A3932" s="15"/>
    </row>
    <row r="3933" spans="1:1" x14ac:dyDescent="0.25">
      <c r="A3933" s="15"/>
    </row>
    <row r="3934" spans="1:1" x14ac:dyDescent="0.25">
      <c r="A3934" s="15"/>
    </row>
    <row r="3935" spans="1:1" x14ac:dyDescent="0.25">
      <c r="A3935" s="15"/>
    </row>
    <row r="3936" spans="1:1" x14ac:dyDescent="0.25">
      <c r="A3936" s="15"/>
    </row>
    <row r="3937" spans="1:1" x14ac:dyDescent="0.25">
      <c r="A3937" s="15"/>
    </row>
    <row r="3938" spans="1:1" x14ac:dyDescent="0.25">
      <c r="A3938" s="15"/>
    </row>
    <row r="3939" spans="1:1" x14ac:dyDescent="0.25">
      <c r="A3939" s="15"/>
    </row>
    <row r="3940" spans="1:1" x14ac:dyDescent="0.25">
      <c r="A3940" s="15"/>
    </row>
    <row r="3941" spans="1:1" x14ac:dyDescent="0.25">
      <c r="A3941" s="15"/>
    </row>
    <row r="3942" spans="1:1" x14ac:dyDescent="0.25">
      <c r="A3942" s="15"/>
    </row>
    <row r="3943" spans="1:1" x14ac:dyDescent="0.25">
      <c r="A3943" s="15"/>
    </row>
    <row r="3944" spans="1:1" x14ac:dyDescent="0.25">
      <c r="A3944" s="15"/>
    </row>
    <row r="3945" spans="1:1" x14ac:dyDescent="0.25">
      <c r="A3945" s="15"/>
    </row>
    <row r="3946" spans="1:1" x14ac:dyDescent="0.25">
      <c r="A3946" s="15"/>
    </row>
    <row r="3947" spans="1:1" x14ac:dyDescent="0.25">
      <c r="A3947" s="15"/>
    </row>
    <row r="3948" spans="1:1" x14ac:dyDescent="0.25">
      <c r="A3948" s="15"/>
    </row>
    <row r="3949" spans="1:1" x14ac:dyDescent="0.25">
      <c r="A3949" s="15"/>
    </row>
    <row r="3950" spans="1:1" x14ac:dyDescent="0.25">
      <c r="A3950" s="15"/>
    </row>
    <row r="3951" spans="1:1" x14ac:dyDescent="0.25">
      <c r="A3951" s="15"/>
    </row>
    <row r="3952" spans="1:1" x14ac:dyDescent="0.25">
      <c r="A3952" s="15"/>
    </row>
    <row r="3953" spans="1:1" x14ac:dyDescent="0.25">
      <c r="A3953" s="15"/>
    </row>
    <row r="3954" spans="1:1" x14ac:dyDescent="0.25">
      <c r="A3954" s="15"/>
    </row>
    <row r="3955" spans="1:1" x14ac:dyDescent="0.25">
      <c r="A3955" s="15"/>
    </row>
    <row r="3956" spans="1:1" x14ac:dyDescent="0.25">
      <c r="A3956" s="15"/>
    </row>
    <row r="3957" spans="1:1" x14ac:dyDescent="0.25">
      <c r="A3957" s="15"/>
    </row>
    <row r="3958" spans="1:1" x14ac:dyDescent="0.25">
      <c r="A3958" s="15"/>
    </row>
    <row r="3959" spans="1:1" x14ac:dyDescent="0.25">
      <c r="A3959" s="15"/>
    </row>
    <row r="3960" spans="1:1" x14ac:dyDescent="0.25">
      <c r="A3960" s="15"/>
    </row>
    <row r="3961" spans="1:1" x14ac:dyDescent="0.25">
      <c r="A3961" s="15"/>
    </row>
    <row r="3962" spans="1:1" x14ac:dyDescent="0.25">
      <c r="A3962" s="15"/>
    </row>
    <row r="3963" spans="1:1" x14ac:dyDescent="0.25">
      <c r="A3963" s="15"/>
    </row>
    <row r="3964" spans="1:1" x14ac:dyDescent="0.25">
      <c r="A3964" s="15"/>
    </row>
    <row r="3965" spans="1:1" x14ac:dyDescent="0.25">
      <c r="A3965" s="15"/>
    </row>
    <row r="3966" spans="1:1" x14ac:dyDescent="0.25">
      <c r="A3966" s="15"/>
    </row>
    <row r="3967" spans="1:1" x14ac:dyDescent="0.25">
      <c r="A3967" s="15"/>
    </row>
    <row r="3968" spans="1:1" x14ac:dyDescent="0.25">
      <c r="A3968" s="15"/>
    </row>
    <row r="3969" spans="1:1" x14ac:dyDescent="0.25">
      <c r="A3969" s="15"/>
    </row>
    <row r="3970" spans="1:1" x14ac:dyDescent="0.25">
      <c r="A3970" s="15"/>
    </row>
    <row r="3971" spans="1:1" x14ac:dyDescent="0.25">
      <c r="A3971" s="15"/>
    </row>
    <row r="3972" spans="1:1" x14ac:dyDescent="0.25">
      <c r="A3972" s="15"/>
    </row>
    <row r="3973" spans="1:1" x14ac:dyDescent="0.25">
      <c r="A3973" s="15"/>
    </row>
    <row r="3974" spans="1:1" x14ac:dyDescent="0.25">
      <c r="A3974" s="15"/>
    </row>
    <row r="3975" spans="1:1" x14ac:dyDescent="0.25">
      <c r="A3975" s="15"/>
    </row>
    <row r="3976" spans="1:1" x14ac:dyDescent="0.25">
      <c r="A3976" s="15"/>
    </row>
    <row r="3977" spans="1:1" x14ac:dyDescent="0.25">
      <c r="A3977" s="15"/>
    </row>
    <row r="3978" spans="1:1" x14ac:dyDescent="0.25">
      <c r="A3978" s="15"/>
    </row>
    <row r="3979" spans="1:1" x14ac:dyDescent="0.25">
      <c r="A3979" s="15"/>
    </row>
    <row r="3980" spans="1:1" x14ac:dyDescent="0.25">
      <c r="A3980" s="15"/>
    </row>
    <row r="3981" spans="1:1" x14ac:dyDescent="0.25">
      <c r="A3981" s="15"/>
    </row>
    <row r="3982" spans="1:1" x14ac:dyDescent="0.25">
      <c r="A3982" s="15"/>
    </row>
    <row r="3983" spans="1:1" x14ac:dyDescent="0.25">
      <c r="A3983" s="15"/>
    </row>
    <row r="3984" spans="1:1" x14ac:dyDescent="0.25">
      <c r="A3984" s="15"/>
    </row>
    <row r="3985" spans="1:1" x14ac:dyDescent="0.25">
      <c r="A3985" s="15"/>
    </row>
    <row r="3986" spans="1:1" x14ac:dyDescent="0.25">
      <c r="A3986" s="15"/>
    </row>
    <row r="3987" spans="1:1" x14ac:dyDescent="0.25">
      <c r="A3987" s="15"/>
    </row>
    <row r="3988" spans="1:1" x14ac:dyDescent="0.25">
      <c r="A3988" s="15"/>
    </row>
    <row r="3989" spans="1:1" x14ac:dyDescent="0.25">
      <c r="A3989" s="15"/>
    </row>
    <row r="3990" spans="1:1" x14ac:dyDescent="0.25">
      <c r="A3990" s="15"/>
    </row>
    <row r="3991" spans="1:1" x14ac:dyDescent="0.25">
      <c r="A3991" s="15"/>
    </row>
    <row r="3992" spans="1:1" x14ac:dyDescent="0.25">
      <c r="A3992" s="15"/>
    </row>
    <row r="3993" spans="1:1" x14ac:dyDescent="0.25">
      <c r="A3993" s="15"/>
    </row>
    <row r="3994" spans="1:1" x14ac:dyDescent="0.25">
      <c r="A3994" s="15"/>
    </row>
    <row r="3995" spans="1:1" x14ac:dyDescent="0.25">
      <c r="A3995" s="15"/>
    </row>
    <row r="3996" spans="1:1" x14ac:dyDescent="0.25">
      <c r="A3996" s="15"/>
    </row>
    <row r="3997" spans="1:1" x14ac:dyDescent="0.25">
      <c r="A3997" s="15"/>
    </row>
    <row r="3998" spans="1:1" x14ac:dyDescent="0.25">
      <c r="A3998" s="15"/>
    </row>
    <row r="3999" spans="1:1" x14ac:dyDescent="0.25">
      <c r="A3999" s="15"/>
    </row>
    <row r="4000" spans="1:1" x14ac:dyDescent="0.25">
      <c r="A4000" s="15"/>
    </row>
    <row r="4001" spans="1:1" x14ac:dyDescent="0.25">
      <c r="A4001" s="15"/>
    </row>
    <row r="4002" spans="1:1" x14ac:dyDescent="0.25">
      <c r="A4002" s="15"/>
    </row>
    <row r="4003" spans="1:1" x14ac:dyDescent="0.25">
      <c r="A4003" s="15"/>
    </row>
    <row r="4004" spans="1:1" x14ac:dyDescent="0.25">
      <c r="A4004" s="15"/>
    </row>
    <row r="4005" spans="1:1" x14ac:dyDescent="0.25">
      <c r="A4005" s="15"/>
    </row>
    <row r="4006" spans="1:1" x14ac:dyDescent="0.25">
      <c r="A4006" s="15"/>
    </row>
    <row r="4007" spans="1:1" x14ac:dyDescent="0.25">
      <c r="A4007" s="15"/>
    </row>
    <row r="4008" spans="1:1" x14ac:dyDescent="0.25">
      <c r="A4008" s="15"/>
    </row>
    <row r="4009" spans="1:1" x14ac:dyDescent="0.25">
      <c r="A4009" s="15"/>
    </row>
    <row r="4010" spans="1:1" x14ac:dyDescent="0.25">
      <c r="A4010" s="15"/>
    </row>
    <row r="4011" spans="1:1" x14ac:dyDescent="0.25">
      <c r="A4011" s="15"/>
    </row>
    <row r="4012" spans="1:1" x14ac:dyDescent="0.25">
      <c r="A4012" s="15"/>
    </row>
    <row r="4013" spans="1:1" x14ac:dyDescent="0.25">
      <c r="A4013" s="15"/>
    </row>
    <row r="4014" spans="1:1" x14ac:dyDescent="0.25">
      <c r="A4014" s="15"/>
    </row>
    <row r="4015" spans="1:1" x14ac:dyDescent="0.25">
      <c r="A4015" s="15"/>
    </row>
    <row r="4016" spans="1:1" x14ac:dyDescent="0.25">
      <c r="A4016" s="15"/>
    </row>
    <row r="4017" spans="1:1" x14ac:dyDescent="0.25">
      <c r="A4017" s="15"/>
    </row>
    <row r="4018" spans="1:1" x14ac:dyDescent="0.25">
      <c r="A4018" s="15"/>
    </row>
    <row r="4019" spans="1:1" x14ac:dyDescent="0.25">
      <c r="A4019" s="15"/>
    </row>
    <row r="4020" spans="1:1" x14ac:dyDescent="0.25">
      <c r="A4020" s="15"/>
    </row>
    <row r="4021" spans="1:1" x14ac:dyDescent="0.25">
      <c r="A4021" s="15"/>
    </row>
    <row r="4022" spans="1:1" x14ac:dyDescent="0.25">
      <c r="A4022" s="15"/>
    </row>
    <row r="4023" spans="1:1" x14ac:dyDescent="0.25">
      <c r="A4023" s="15"/>
    </row>
    <row r="4024" spans="1:1" x14ac:dyDescent="0.25">
      <c r="A4024" s="15"/>
    </row>
    <row r="4025" spans="1:1" x14ac:dyDescent="0.25">
      <c r="A4025" s="15"/>
    </row>
    <row r="4026" spans="1:1" x14ac:dyDescent="0.25">
      <c r="A4026" s="15"/>
    </row>
    <row r="4027" spans="1:1" x14ac:dyDescent="0.25">
      <c r="A4027" s="15"/>
    </row>
    <row r="4028" spans="1:1" x14ac:dyDescent="0.25">
      <c r="A4028" s="15"/>
    </row>
    <row r="4029" spans="1:1" x14ac:dyDescent="0.25">
      <c r="A4029" s="15"/>
    </row>
    <row r="4030" spans="1:1" x14ac:dyDescent="0.25">
      <c r="A4030" s="15"/>
    </row>
    <row r="4031" spans="1:1" x14ac:dyDescent="0.25">
      <c r="A4031" s="15"/>
    </row>
    <row r="4032" spans="1:1" x14ac:dyDescent="0.25">
      <c r="A4032" s="15"/>
    </row>
    <row r="4033" spans="1:1" x14ac:dyDescent="0.25">
      <c r="A4033" s="15"/>
    </row>
    <row r="4034" spans="1:1" x14ac:dyDescent="0.25">
      <c r="A4034" s="15"/>
    </row>
    <row r="4035" spans="1:1" x14ac:dyDescent="0.25">
      <c r="A4035" s="15"/>
    </row>
    <row r="4036" spans="1:1" x14ac:dyDescent="0.25">
      <c r="A4036" s="15"/>
    </row>
    <row r="4037" spans="1:1" x14ac:dyDescent="0.25">
      <c r="A4037" s="15"/>
    </row>
    <row r="4038" spans="1:1" x14ac:dyDescent="0.25">
      <c r="A4038" s="15"/>
    </row>
    <row r="4039" spans="1:1" x14ac:dyDescent="0.25">
      <c r="A4039" s="15"/>
    </row>
    <row r="4040" spans="1:1" x14ac:dyDescent="0.25">
      <c r="A4040" s="15"/>
    </row>
    <row r="4041" spans="1:1" x14ac:dyDescent="0.25">
      <c r="A4041" s="15"/>
    </row>
    <row r="4042" spans="1:1" x14ac:dyDescent="0.25">
      <c r="A4042" s="15"/>
    </row>
    <row r="4043" spans="1:1" x14ac:dyDescent="0.25">
      <c r="A4043" s="15"/>
    </row>
    <row r="4044" spans="1:1" x14ac:dyDescent="0.25">
      <c r="A4044" s="15"/>
    </row>
    <row r="4045" spans="1:1" x14ac:dyDescent="0.25">
      <c r="A4045" s="15"/>
    </row>
    <row r="4046" spans="1:1" x14ac:dyDescent="0.25">
      <c r="A4046" s="15"/>
    </row>
    <row r="4047" spans="1:1" x14ac:dyDescent="0.25">
      <c r="A4047" s="15"/>
    </row>
    <row r="4048" spans="1:1" x14ac:dyDescent="0.25">
      <c r="A4048" s="15"/>
    </row>
    <row r="4049" spans="1:1" x14ac:dyDescent="0.25">
      <c r="A4049" s="15"/>
    </row>
    <row r="4050" spans="1:1" x14ac:dyDescent="0.25">
      <c r="A4050" s="15"/>
    </row>
    <row r="4051" spans="1:1" x14ac:dyDescent="0.25">
      <c r="A4051" s="15"/>
    </row>
    <row r="4052" spans="1:1" x14ac:dyDescent="0.25">
      <c r="A4052" s="15"/>
    </row>
    <row r="4053" spans="1:1" x14ac:dyDescent="0.25">
      <c r="A4053" s="15"/>
    </row>
    <row r="4054" spans="1:1" x14ac:dyDescent="0.25">
      <c r="A4054" s="15"/>
    </row>
    <row r="4055" spans="1:1" x14ac:dyDescent="0.25">
      <c r="A4055" s="15"/>
    </row>
    <row r="4056" spans="1:1" x14ac:dyDescent="0.25">
      <c r="A4056" s="15"/>
    </row>
    <row r="4057" spans="1:1" x14ac:dyDescent="0.25">
      <c r="A4057" s="15"/>
    </row>
    <row r="4058" spans="1:1" x14ac:dyDescent="0.25">
      <c r="A4058" s="15"/>
    </row>
    <row r="4059" spans="1:1" x14ac:dyDescent="0.25">
      <c r="A4059" s="15"/>
    </row>
    <row r="4060" spans="1:1" x14ac:dyDescent="0.25">
      <c r="A4060" s="15"/>
    </row>
    <row r="4061" spans="1:1" x14ac:dyDescent="0.25">
      <c r="A4061" s="15"/>
    </row>
    <row r="4062" spans="1:1" x14ac:dyDescent="0.25">
      <c r="A4062" s="15"/>
    </row>
    <row r="4063" spans="1:1" x14ac:dyDescent="0.25">
      <c r="A4063" s="15"/>
    </row>
    <row r="4064" spans="1:1" x14ac:dyDescent="0.25">
      <c r="A4064" s="15"/>
    </row>
    <row r="4065" spans="1:1" x14ac:dyDescent="0.25">
      <c r="A4065" s="15"/>
    </row>
    <row r="4066" spans="1:1" x14ac:dyDescent="0.25">
      <c r="A4066" s="15"/>
    </row>
    <row r="4067" spans="1:1" x14ac:dyDescent="0.25">
      <c r="A4067" s="15"/>
    </row>
    <row r="4068" spans="1:1" x14ac:dyDescent="0.25">
      <c r="A4068" s="15"/>
    </row>
    <row r="4069" spans="1:1" x14ac:dyDescent="0.25">
      <c r="A4069" s="15"/>
    </row>
    <row r="4070" spans="1:1" x14ac:dyDescent="0.25">
      <c r="A4070" s="15"/>
    </row>
    <row r="4071" spans="1:1" x14ac:dyDescent="0.25">
      <c r="A4071" s="15"/>
    </row>
    <row r="4072" spans="1:1" x14ac:dyDescent="0.25">
      <c r="A4072" s="15"/>
    </row>
    <row r="4073" spans="1:1" x14ac:dyDescent="0.25">
      <c r="A4073" s="15"/>
    </row>
    <row r="4074" spans="1:1" x14ac:dyDescent="0.25">
      <c r="A4074" s="15"/>
    </row>
    <row r="4075" spans="1:1" x14ac:dyDescent="0.25">
      <c r="A4075" s="15"/>
    </row>
    <row r="4076" spans="1:1" x14ac:dyDescent="0.25">
      <c r="A4076" s="15"/>
    </row>
    <row r="4077" spans="1:1" x14ac:dyDescent="0.25">
      <c r="A4077" s="15"/>
    </row>
    <row r="4078" spans="1:1" x14ac:dyDescent="0.25">
      <c r="A4078" s="15"/>
    </row>
    <row r="4079" spans="1:1" x14ac:dyDescent="0.25">
      <c r="A4079" s="15"/>
    </row>
    <row r="4080" spans="1:1" x14ac:dyDescent="0.25">
      <c r="A4080" s="15"/>
    </row>
    <row r="4081" spans="1:1" x14ac:dyDescent="0.25">
      <c r="A4081" s="15"/>
    </row>
    <row r="4082" spans="1:1" x14ac:dyDescent="0.25">
      <c r="A4082" s="15"/>
    </row>
    <row r="4083" spans="1:1" x14ac:dyDescent="0.25">
      <c r="A4083" s="15"/>
    </row>
    <row r="4084" spans="1:1" x14ac:dyDescent="0.25">
      <c r="A4084" s="15"/>
    </row>
    <row r="4085" spans="1:1" x14ac:dyDescent="0.25">
      <c r="A4085" s="15"/>
    </row>
    <row r="4086" spans="1:1" x14ac:dyDescent="0.25">
      <c r="A4086" s="15"/>
    </row>
    <row r="4087" spans="1:1" x14ac:dyDescent="0.25">
      <c r="A4087" s="15"/>
    </row>
    <row r="4088" spans="1:1" x14ac:dyDescent="0.25">
      <c r="A4088" s="15"/>
    </row>
    <row r="4089" spans="1:1" x14ac:dyDescent="0.25">
      <c r="A4089" s="15"/>
    </row>
    <row r="4090" spans="1:1" x14ac:dyDescent="0.25">
      <c r="A4090" s="15"/>
    </row>
    <row r="4091" spans="1:1" x14ac:dyDescent="0.25">
      <c r="A4091" s="15"/>
    </row>
    <row r="4092" spans="1:1" x14ac:dyDescent="0.25">
      <c r="A4092" s="15"/>
    </row>
    <row r="4093" spans="1:1" x14ac:dyDescent="0.25">
      <c r="A4093" s="15"/>
    </row>
    <row r="4094" spans="1:1" x14ac:dyDescent="0.25">
      <c r="A4094" s="15"/>
    </row>
    <row r="4095" spans="1:1" x14ac:dyDescent="0.25">
      <c r="A4095" s="15"/>
    </row>
    <row r="4096" spans="1:1" x14ac:dyDescent="0.25">
      <c r="A4096" s="15"/>
    </row>
    <row r="4097" spans="1:1" x14ac:dyDescent="0.25">
      <c r="A4097" s="15"/>
    </row>
    <row r="4098" spans="1:1" x14ac:dyDescent="0.25">
      <c r="A4098" s="15"/>
    </row>
    <row r="4099" spans="1:1" x14ac:dyDescent="0.25">
      <c r="A4099" s="15"/>
    </row>
    <row r="4100" spans="1:1" x14ac:dyDescent="0.25">
      <c r="A4100" s="15"/>
    </row>
    <row r="4101" spans="1:1" x14ac:dyDescent="0.25">
      <c r="A4101" s="15"/>
    </row>
    <row r="4102" spans="1:1" x14ac:dyDescent="0.25">
      <c r="A4102" s="15"/>
    </row>
    <row r="4103" spans="1:1" x14ac:dyDescent="0.25">
      <c r="A4103" s="15"/>
    </row>
    <row r="4104" spans="1:1" x14ac:dyDescent="0.25">
      <c r="A4104" s="15"/>
    </row>
    <row r="4105" spans="1:1" x14ac:dyDescent="0.25">
      <c r="A4105" s="15"/>
    </row>
    <row r="4106" spans="1:1" x14ac:dyDescent="0.25">
      <c r="A4106" s="15"/>
    </row>
    <row r="4107" spans="1:1" x14ac:dyDescent="0.25">
      <c r="A4107" s="15"/>
    </row>
    <row r="4108" spans="1:1" x14ac:dyDescent="0.25">
      <c r="A4108" s="15"/>
    </row>
    <row r="4109" spans="1:1" x14ac:dyDescent="0.25">
      <c r="A4109" s="15"/>
    </row>
    <row r="4110" spans="1:1" x14ac:dyDescent="0.25">
      <c r="A4110" s="15"/>
    </row>
    <row r="4111" spans="1:1" x14ac:dyDescent="0.25">
      <c r="A4111" s="15"/>
    </row>
    <row r="4112" spans="1:1" x14ac:dyDescent="0.25">
      <c r="A4112" s="15"/>
    </row>
    <row r="4113" spans="1:1" x14ac:dyDescent="0.25">
      <c r="A4113" s="15"/>
    </row>
    <row r="4114" spans="1:1" x14ac:dyDescent="0.25">
      <c r="A4114" s="15"/>
    </row>
    <row r="4115" spans="1:1" x14ac:dyDescent="0.25">
      <c r="A4115" s="15"/>
    </row>
    <row r="4116" spans="1:1" x14ac:dyDescent="0.25">
      <c r="A4116" s="15"/>
    </row>
    <row r="4117" spans="1:1" x14ac:dyDescent="0.25">
      <c r="A4117" s="15"/>
    </row>
    <row r="4118" spans="1:1" x14ac:dyDescent="0.25">
      <c r="A4118" s="15"/>
    </row>
    <row r="4119" spans="1:1" x14ac:dyDescent="0.25">
      <c r="A4119" s="15"/>
    </row>
    <row r="4120" spans="1:1" x14ac:dyDescent="0.25">
      <c r="A4120" s="15"/>
    </row>
    <row r="4121" spans="1:1" x14ac:dyDescent="0.25">
      <c r="A4121" s="15"/>
    </row>
    <row r="4122" spans="1:1" x14ac:dyDescent="0.25">
      <c r="A4122" s="15"/>
    </row>
    <row r="4123" spans="1:1" x14ac:dyDescent="0.25">
      <c r="A4123" s="15"/>
    </row>
    <row r="4124" spans="1:1" x14ac:dyDescent="0.25">
      <c r="A4124" s="15"/>
    </row>
    <row r="4125" spans="1:1" x14ac:dyDescent="0.25">
      <c r="A4125" s="15"/>
    </row>
    <row r="4126" spans="1:1" x14ac:dyDescent="0.25">
      <c r="A4126" s="15"/>
    </row>
    <row r="4127" spans="1:1" x14ac:dyDescent="0.25">
      <c r="A4127" s="15"/>
    </row>
    <row r="4128" spans="1:1" x14ac:dyDescent="0.25">
      <c r="A4128" s="15"/>
    </row>
    <row r="4129" spans="1:1" x14ac:dyDescent="0.25">
      <c r="A4129" s="15"/>
    </row>
    <row r="4130" spans="1:1" x14ac:dyDescent="0.25">
      <c r="A4130" s="15"/>
    </row>
    <row r="4131" spans="1:1" x14ac:dyDescent="0.25">
      <c r="A4131" s="15"/>
    </row>
    <row r="4132" spans="1:1" x14ac:dyDescent="0.25">
      <c r="A4132" s="15"/>
    </row>
    <row r="4133" spans="1:1" x14ac:dyDescent="0.25">
      <c r="A4133" s="15"/>
    </row>
    <row r="4134" spans="1:1" x14ac:dyDescent="0.25">
      <c r="A4134" s="15"/>
    </row>
    <row r="4135" spans="1:1" x14ac:dyDescent="0.25">
      <c r="A4135" s="15"/>
    </row>
    <row r="4136" spans="1:1" x14ac:dyDescent="0.25">
      <c r="A4136" s="15"/>
    </row>
    <row r="4137" spans="1:1" x14ac:dyDescent="0.25">
      <c r="A4137" s="15"/>
    </row>
    <row r="4138" spans="1:1" x14ac:dyDescent="0.25">
      <c r="A4138" s="15"/>
    </row>
    <row r="4139" spans="1:1" x14ac:dyDescent="0.25">
      <c r="A4139" s="15"/>
    </row>
    <row r="4140" spans="1:1" x14ac:dyDescent="0.25">
      <c r="A4140" s="15"/>
    </row>
    <row r="4141" spans="1:1" x14ac:dyDescent="0.25">
      <c r="A4141" s="15"/>
    </row>
    <row r="4142" spans="1:1" x14ac:dyDescent="0.25">
      <c r="A4142" s="15"/>
    </row>
    <row r="4143" spans="1:1" x14ac:dyDescent="0.25">
      <c r="A4143" s="15"/>
    </row>
    <row r="4144" spans="1:1" x14ac:dyDescent="0.25">
      <c r="A4144" s="15"/>
    </row>
    <row r="4145" spans="1:1" x14ac:dyDescent="0.25">
      <c r="A4145" s="15"/>
    </row>
    <row r="4146" spans="1:1" x14ac:dyDescent="0.25">
      <c r="A4146" s="15"/>
    </row>
    <row r="4147" spans="1:1" x14ac:dyDescent="0.25">
      <c r="A4147" s="15"/>
    </row>
    <row r="4148" spans="1:1" x14ac:dyDescent="0.25">
      <c r="A4148" s="15"/>
    </row>
    <row r="4149" spans="1:1" x14ac:dyDescent="0.25">
      <c r="A4149" s="15"/>
    </row>
    <row r="4150" spans="1:1" x14ac:dyDescent="0.25">
      <c r="A4150" s="15"/>
    </row>
    <row r="4151" spans="1:1" x14ac:dyDescent="0.25">
      <c r="A4151" s="15"/>
    </row>
    <row r="4152" spans="1:1" x14ac:dyDescent="0.25">
      <c r="A4152" s="15"/>
    </row>
    <row r="4153" spans="1:1" x14ac:dyDescent="0.25">
      <c r="A4153" s="15"/>
    </row>
    <row r="4154" spans="1:1" x14ac:dyDescent="0.25">
      <c r="A4154" s="15"/>
    </row>
    <row r="4155" spans="1:1" x14ac:dyDescent="0.25">
      <c r="A4155" s="15"/>
    </row>
    <row r="4156" spans="1:1" x14ac:dyDescent="0.25">
      <c r="A4156" s="15"/>
    </row>
    <row r="4157" spans="1:1" x14ac:dyDescent="0.25">
      <c r="A4157" s="15"/>
    </row>
    <row r="4158" spans="1:1" x14ac:dyDescent="0.25">
      <c r="A4158" s="15"/>
    </row>
    <row r="4159" spans="1:1" x14ac:dyDescent="0.25">
      <c r="A4159" s="15"/>
    </row>
    <row r="4160" spans="1:1" x14ac:dyDescent="0.25">
      <c r="A4160" s="15"/>
    </row>
    <row r="4161" spans="1:1" x14ac:dyDescent="0.25">
      <c r="A4161" s="15"/>
    </row>
    <row r="4162" spans="1:1" x14ac:dyDescent="0.25">
      <c r="A4162" s="15"/>
    </row>
    <row r="4163" spans="1:1" x14ac:dyDescent="0.25">
      <c r="A4163" s="15"/>
    </row>
    <row r="4164" spans="1:1" x14ac:dyDescent="0.25">
      <c r="A4164" s="15"/>
    </row>
    <row r="4165" spans="1:1" x14ac:dyDescent="0.25">
      <c r="A4165" s="15"/>
    </row>
    <row r="4166" spans="1:1" x14ac:dyDescent="0.25">
      <c r="A4166" s="15"/>
    </row>
    <row r="4167" spans="1:1" x14ac:dyDescent="0.25">
      <c r="A4167" s="15"/>
    </row>
    <row r="4168" spans="1:1" x14ac:dyDescent="0.25">
      <c r="A4168" s="15"/>
    </row>
    <row r="4169" spans="1:1" x14ac:dyDescent="0.25">
      <c r="A4169" s="15"/>
    </row>
    <row r="4170" spans="1:1" x14ac:dyDescent="0.25">
      <c r="A4170" s="15"/>
    </row>
    <row r="4171" spans="1:1" x14ac:dyDescent="0.25">
      <c r="A4171" s="15"/>
    </row>
    <row r="4172" spans="1:1" x14ac:dyDescent="0.25">
      <c r="A4172" s="15"/>
    </row>
    <row r="4173" spans="1:1" x14ac:dyDescent="0.25">
      <c r="A4173" s="15"/>
    </row>
    <row r="4174" spans="1:1" x14ac:dyDescent="0.25">
      <c r="A4174" s="15"/>
    </row>
    <row r="4175" spans="1:1" x14ac:dyDescent="0.25">
      <c r="A4175" s="15"/>
    </row>
    <row r="4176" spans="1:1" x14ac:dyDescent="0.25">
      <c r="A4176" s="15"/>
    </row>
    <row r="4177" spans="1:1" x14ac:dyDescent="0.25">
      <c r="A4177" s="15"/>
    </row>
    <row r="4178" spans="1:1" x14ac:dyDescent="0.25">
      <c r="A4178" s="15"/>
    </row>
    <row r="4179" spans="1:1" x14ac:dyDescent="0.25">
      <c r="A4179" s="15"/>
    </row>
    <row r="4180" spans="1:1" x14ac:dyDescent="0.25">
      <c r="A4180" s="15"/>
    </row>
    <row r="4181" spans="1:1" x14ac:dyDescent="0.25">
      <c r="A4181" s="15"/>
    </row>
    <row r="4182" spans="1:1" x14ac:dyDescent="0.25">
      <c r="A4182" s="15"/>
    </row>
    <row r="4183" spans="1:1" x14ac:dyDescent="0.25">
      <c r="A4183" s="15"/>
    </row>
    <row r="4184" spans="1:1" x14ac:dyDescent="0.25">
      <c r="A4184" s="15"/>
    </row>
    <row r="4185" spans="1:1" x14ac:dyDescent="0.25">
      <c r="A4185" s="15"/>
    </row>
    <row r="4186" spans="1:1" x14ac:dyDescent="0.25">
      <c r="A4186" s="15"/>
    </row>
    <row r="4187" spans="1:1" x14ac:dyDescent="0.25">
      <c r="A4187" s="15"/>
    </row>
    <row r="4188" spans="1:1" x14ac:dyDescent="0.25">
      <c r="A4188" s="15"/>
    </row>
    <row r="4189" spans="1:1" x14ac:dyDescent="0.25">
      <c r="A4189" s="15"/>
    </row>
    <row r="4190" spans="1:1" x14ac:dyDescent="0.25">
      <c r="A4190" s="15"/>
    </row>
    <row r="4191" spans="1:1" x14ac:dyDescent="0.25">
      <c r="A4191" s="15"/>
    </row>
    <row r="4192" spans="1:1" x14ac:dyDescent="0.25">
      <c r="A4192" s="15"/>
    </row>
    <row r="4193" spans="1:1" x14ac:dyDescent="0.25">
      <c r="A4193" s="15"/>
    </row>
    <row r="4194" spans="1:1" x14ac:dyDescent="0.25">
      <c r="A4194" s="15"/>
    </row>
    <row r="4195" spans="1:1" x14ac:dyDescent="0.25">
      <c r="A4195" s="15"/>
    </row>
    <row r="4196" spans="1:1" x14ac:dyDescent="0.25">
      <c r="A4196" s="15"/>
    </row>
    <row r="4197" spans="1:1" x14ac:dyDescent="0.25">
      <c r="A4197" s="15"/>
    </row>
    <row r="4198" spans="1:1" x14ac:dyDescent="0.25">
      <c r="A4198" s="15"/>
    </row>
    <row r="4199" spans="1:1" x14ac:dyDescent="0.25">
      <c r="A4199" s="15"/>
    </row>
    <row r="4200" spans="1:1" x14ac:dyDescent="0.25">
      <c r="A4200" s="15"/>
    </row>
    <row r="4201" spans="1:1" x14ac:dyDescent="0.25">
      <c r="A4201" s="15"/>
    </row>
    <row r="4202" spans="1:1" x14ac:dyDescent="0.25">
      <c r="A4202" s="15"/>
    </row>
    <row r="4203" spans="1:1" x14ac:dyDescent="0.25">
      <c r="A4203" s="15"/>
    </row>
    <row r="4204" spans="1:1" x14ac:dyDescent="0.25">
      <c r="A4204" s="15"/>
    </row>
    <row r="4205" spans="1:1" x14ac:dyDescent="0.25">
      <c r="A4205" s="15"/>
    </row>
    <row r="4206" spans="1:1" x14ac:dyDescent="0.25">
      <c r="A4206" s="15"/>
    </row>
    <row r="4207" spans="1:1" x14ac:dyDescent="0.25">
      <c r="A4207" s="15"/>
    </row>
    <row r="4208" spans="1:1" x14ac:dyDescent="0.25">
      <c r="A4208" s="15"/>
    </row>
    <row r="4209" spans="1:1" x14ac:dyDescent="0.25">
      <c r="A4209" s="15"/>
    </row>
    <row r="4210" spans="1:1" x14ac:dyDescent="0.25">
      <c r="A4210" s="15"/>
    </row>
    <row r="4211" spans="1:1" x14ac:dyDescent="0.25">
      <c r="A4211" s="15"/>
    </row>
    <row r="4212" spans="1:1" x14ac:dyDescent="0.25">
      <c r="A4212" s="15"/>
    </row>
    <row r="4213" spans="1:1" x14ac:dyDescent="0.25">
      <c r="A4213" s="15"/>
    </row>
    <row r="4214" spans="1:1" x14ac:dyDescent="0.25">
      <c r="A4214" s="15"/>
    </row>
    <row r="4215" spans="1:1" x14ac:dyDescent="0.25">
      <c r="A4215" s="15"/>
    </row>
    <row r="4216" spans="1:1" x14ac:dyDescent="0.25">
      <c r="A4216" s="15"/>
    </row>
    <row r="4217" spans="1:1" x14ac:dyDescent="0.25">
      <c r="A4217" s="15"/>
    </row>
    <row r="4218" spans="1:1" x14ac:dyDescent="0.25">
      <c r="A4218" s="15"/>
    </row>
    <row r="4219" spans="1:1" x14ac:dyDescent="0.25">
      <c r="A4219" s="15"/>
    </row>
    <row r="4220" spans="1:1" x14ac:dyDescent="0.25">
      <c r="A4220" s="15"/>
    </row>
    <row r="4221" spans="1:1" x14ac:dyDescent="0.25">
      <c r="A4221" s="15"/>
    </row>
    <row r="4222" spans="1:1" x14ac:dyDescent="0.25">
      <c r="A4222" s="15"/>
    </row>
    <row r="4223" spans="1:1" x14ac:dyDescent="0.25">
      <c r="A4223" s="15"/>
    </row>
    <row r="4224" spans="1:1" x14ac:dyDescent="0.25">
      <c r="A4224" s="15"/>
    </row>
    <row r="4225" spans="1:1" x14ac:dyDescent="0.25">
      <c r="A4225" s="15"/>
    </row>
    <row r="4226" spans="1:1" x14ac:dyDescent="0.25">
      <c r="A4226" s="15"/>
    </row>
    <row r="4227" spans="1:1" x14ac:dyDescent="0.25">
      <c r="A4227" s="15"/>
    </row>
    <row r="4228" spans="1:1" x14ac:dyDescent="0.25">
      <c r="A4228" s="15"/>
    </row>
    <row r="4229" spans="1:1" x14ac:dyDescent="0.25">
      <c r="A4229" s="15"/>
    </row>
    <row r="4230" spans="1:1" x14ac:dyDescent="0.25">
      <c r="A4230" s="15"/>
    </row>
    <row r="4231" spans="1:1" x14ac:dyDescent="0.25">
      <c r="A4231" s="15"/>
    </row>
    <row r="4232" spans="1:1" x14ac:dyDescent="0.25">
      <c r="A4232" s="15"/>
    </row>
    <row r="4233" spans="1:1" x14ac:dyDescent="0.25">
      <c r="A4233" s="15"/>
    </row>
    <row r="4234" spans="1:1" x14ac:dyDescent="0.25">
      <c r="A4234" s="15"/>
    </row>
    <row r="4235" spans="1:1" x14ac:dyDescent="0.25">
      <c r="A4235" s="15"/>
    </row>
    <row r="4236" spans="1:1" x14ac:dyDescent="0.25">
      <c r="A4236" s="15"/>
    </row>
    <row r="4237" spans="1:1" x14ac:dyDescent="0.25">
      <c r="A4237" s="15"/>
    </row>
    <row r="4238" spans="1:1" x14ac:dyDescent="0.25">
      <c r="A4238" s="15"/>
    </row>
    <row r="4239" spans="1:1" x14ac:dyDescent="0.25">
      <c r="A4239" s="15"/>
    </row>
    <row r="4240" spans="1:1" x14ac:dyDescent="0.25">
      <c r="A4240" s="15"/>
    </row>
    <row r="4241" spans="1:1" x14ac:dyDescent="0.25">
      <c r="A4241" s="15"/>
    </row>
    <row r="4242" spans="1:1" x14ac:dyDescent="0.25">
      <c r="A4242" s="15"/>
    </row>
    <row r="4243" spans="1:1" x14ac:dyDescent="0.25">
      <c r="A4243" s="15"/>
    </row>
    <row r="4244" spans="1:1" x14ac:dyDescent="0.25">
      <c r="A4244" s="15"/>
    </row>
    <row r="4245" spans="1:1" x14ac:dyDescent="0.25">
      <c r="A4245" s="15"/>
    </row>
    <row r="4246" spans="1:1" x14ac:dyDescent="0.25">
      <c r="A4246" s="15"/>
    </row>
    <row r="4247" spans="1:1" x14ac:dyDescent="0.25">
      <c r="A4247" s="15"/>
    </row>
    <row r="4248" spans="1:1" x14ac:dyDescent="0.25">
      <c r="A4248" s="15"/>
    </row>
    <row r="4249" spans="1:1" x14ac:dyDescent="0.25">
      <c r="A4249" s="15"/>
    </row>
    <row r="4250" spans="1:1" x14ac:dyDescent="0.25">
      <c r="A4250" s="15"/>
    </row>
    <row r="4251" spans="1:1" x14ac:dyDescent="0.25">
      <c r="A4251" s="15"/>
    </row>
    <row r="4252" spans="1:1" x14ac:dyDescent="0.25">
      <c r="A4252" s="15"/>
    </row>
    <row r="4253" spans="1:1" x14ac:dyDescent="0.25">
      <c r="A4253" s="15"/>
    </row>
    <row r="4254" spans="1:1" x14ac:dyDescent="0.25">
      <c r="A4254" s="15"/>
    </row>
    <row r="4255" spans="1:1" x14ac:dyDescent="0.25">
      <c r="A4255" s="15"/>
    </row>
    <row r="4256" spans="1:1" x14ac:dyDescent="0.25">
      <c r="A4256" s="15"/>
    </row>
    <row r="4257" spans="1:1" x14ac:dyDescent="0.25">
      <c r="A4257" s="15"/>
    </row>
    <row r="4258" spans="1:1" x14ac:dyDescent="0.25">
      <c r="A4258" s="15"/>
    </row>
    <row r="4259" spans="1:1" x14ac:dyDescent="0.25">
      <c r="A4259" s="15"/>
    </row>
    <row r="4260" spans="1:1" x14ac:dyDescent="0.25">
      <c r="A4260" s="15"/>
    </row>
    <row r="4261" spans="1:1" x14ac:dyDescent="0.25">
      <c r="A4261" s="15"/>
    </row>
    <row r="4262" spans="1:1" x14ac:dyDescent="0.25">
      <c r="A4262" s="15"/>
    </row>
    <row r="4263" spans="1:1" x14ac:dyDescent="0.25">
      <c r="A4263" s="15"/>
    </row>
    <row r="4264" spans="1:1" x14ac:dyDescent="0.25">
      <c r="A4264" s="15"/>
    </row>
    <row r="4265" spans="1:1" x14ac:dyDescent="0.25">
      <c r="A4265" s="15"/>
    </row>
    <row r="4266" spans="1:1" x14ac:dyDescent="0.25">
      <c r="A4266" s="15"/>
    </row>
    <row r="4267" spans="1:1" x14ac:dyDescent="0.25">
      <c r="A4267" s="15"/>
    </row>
    <row r="4268" spans="1:1" x14ac:dyDescent="0.25">
      <c r="A4268" s="15"/>
    </row>
    <row r="4269" spans="1:1" x14ac:dyDescent="0.25">
      <c r="A4269" s="15"/>
    </row>
    <row r="4270" spans="1:1" x14ac:dyDescent="0.25">
      <c r="A4270" s="15"/>
    </row>
    <row r="4271" spans="1:1" x14ac:dyDescent="0.25">
      <c r="A4271" s="15"/>
    </row>
    <row r="4272" spans="1:1" x14ac:dyDescent="0.25">
      <c r="A4272" s="15"/>
    </row>
    <row r="4273" spans="1:1" x14ac:dyDescent="0.25">
      <c r="A4273" s="15"/>
    </row>
    <row r="4274" spans="1:1" x14ac:dyDescent="0.25">
      <c r="A4274" s="15"/>
    </row>
    <row r="4275" spans="1:1" x14ac:dyDescent="0.25">
      <c r="A4275" s="15"/>
    </row>
    <row r="4276" spans="1:1" x14ac:dyDescent="0.25">
      <c r="A4276" s="15"/>
    </row>
    <row r="4277" spans="1:1" x14ac:dyDescent="0.25">
      <c r="A4277" s="15"/>
    </row>
    <row r="4278" spans="1:1" x14ac:dyDescent="0.25">
      <c r="A4278" s="15"/>
    </row>
    <row r="4279" spans="1:1" x14ac:dyDescent="0.25">
      <c r="A4279" s="15"/>
    </row>
    <row r="4280" spans="1:1" x14ac:dyDescent="0.25">
      <c r="A4280" s="15"/>
    </row>
    <row r="4281" spans="1:1" x14ac:dyDescent="0.25">
      <c r="A4281" s="15"/>
    </row>
    <row r="4282" spans="1:1" x14ac:dyDescent="0.25">
      <c r="A4282" s="15"/>
    </row>
    <row r="4283" spans="1:1" x14ac:dyDescent="0.25">
      <c r="A4283" s="15"/>
    </row>
    <row r="4284" spans="1:1" x14ac:dyDescent="0.25">
      <c r="A4284" s="15"/>
    </row>
    <row r="4285" spans="1:1" x14ac:dyDescent="0.25">
      <c r="A4285" s="15"/>
    </row>
    <row r="4286" spans="1:1" x14ac:dyDescent="0.25">
      <c r="A4286" s="15"/>
    </row>
    <row r="4287" spans="1:1" x14ac:dyDescent="0.25">
      <c r="A4287" s="15"/>
    </row>
    <row r="4288" spans="1:1" x14ac:dyDescent="0.25">
      <c r="A4288" s="15"/>
    </row>
    <row r="4289" spans="1:1" x14ac:dyDescent="0.25">
      <c r="A4289" s="15"/>
    </row>
    <row r="4290" spans="1:1" x14ac:dyDescent="0.25">
      <c r="A4290" s="15"/>
    </row>
    <row r="4291" spans="1:1" x14ac:dyDescent="0.25">
      <c r="A4291" s="15"/>
    </row>
    <row r="4292" spans="1:1" x14ac:dyDescent="0.25">
      <c r="A4292" s="15"/>
    </row>
    <row r="4293" spans="1:1" x14ac:dyDescent="0.25">
      <c r="A4293" s="15"/>
    </row>
    <row r="4294" spans="1:1" x14ac:dyDescent="0.25">
      <c r="A4294" s="15"/>
    </row>
    <row r="4295" spans="1:1" x14ac:dyDescent="0.25">
      <c r="A4295" s="15"/>
    </row>
    <row r="4296" spans="1:1" x14ac:dyDescent="0.25">
      <c r="A4296" s="15"/>
    </row>
    <row r="4297" spans="1:1" x14ac:dyDescent="0.25">
      <c r="A4297" s="15"/>
    </row>
    <row r="4298" spans="1:1" x14ac:dyDescent="0.25">
      <c r="A4298" s="15"/>
    </row>
    <row r="4299" spans="1:1" x14ac:dyDescent="0.25">
      <c r="A4299" s="15"/>
    </row>
    <row r="4300" spans="1:1" x14ac:dyDescent="0.25">
      <c r="A4300" s="15"/>
    </row>
    <row r="4301" spans="1:1" x14ac:dyDescent="0.25">
      <c r="A4301" s="15"/>
    </row>
    <row r="4302" spans="1:1" x14ac:dyDescent="0.25">
      <c r="A4302" s="15"/>
    </row>
    <row r="4303" spans="1:1" x14ac:dyDescent="0.25">
      <c r="A4303" s="15"/>
    </row>
    <row r="4304" spans="1:1" x14ac:dyDescent="0.25">
      <c r="A4304" s="15"/>
    </row>
    <row r="4305" spans="1:1" x14ac:dyDescent="0.25">
      <c r="A4305" s="15"/>
    </row>
    <row r="4306" spans="1:1" x14ac:dyDescent="0.25">
      <c r="A4306" s="15"/>
    </row>
    <row r="4307" spans="1:1" x14ac:dyDescent="0.25">
      <c r="A4307" s="15"/>
    </row>
    <row r="4308" spans="1:1" x14ac:dyDescent="0.25">
      <c r="A4308" s="15"/>
    </row>
    <row r="4309" spans="1:1" x14ac:dyDescent="0.25">
      <c r="A4309" s="15"/>
    </row>
    <row r="4310" spans="1:1" x14ac:dyDescent="0.25">
      <c r="A4310" s="15"/>
    </row>
    <row r="4311" spans="1:1" x14ac:dyDescent="0.25">
      <c r="A4311" s="15"/>
    </row>
    <row r="4312" spans="1:1" x14ac:dyDescent="0.25">
      <c r="A4312" s="15"/>
    </row>
    <row r="4313" spans="1:1" x14ac:dyDescent="0.25">
      <c r="A4313" s="15"/>
    </row>
    <row r="4314" spans="1:1" x14ac:dyDescent="0.25">
      <c r="A4314" s="15"/>
    </row>
    <row r="4315" spans="1:1" x14ac:dyDescent="0.25">
      <c r="A4315" s="15"/>
    </row>
    <row r="4316" spans="1:1" x14ac:dyDescent="0.25">
      <c r="A4316" s="15"/>
    </row>
    <row r="4317" spans="1:1" x14ac:dyDescent="0.25">
      <c r="A4317" s="15"/>
    </row>
    <row r="4318" spans="1:1" x14ac:dyDescent="0.25">
      <c r="A4318" s="15"/>
    </row>
    <row r="4319" spans="1:1" x14ac:dyDescent="0.25">
      <c r="A4319" s="15"/>
    </row>
    <row r="4320" spans="1:1" x14ac:dyDescent="0.25">
      <c r="A4320" s="15"/>
    </row>
    <row r="4321" spans="1:1" x14ac:dyDescent="0.25">
      <c r="A4321" s="15"/>
    </row>
    <row r="4322" spans="1:1" x14ac:dyDescent="0.25">
      <c r="A4322" s="15"/>
    </row>
    <row r="4323" spans="1:1" x14ac:dyDescent="0.25">
      <c r="A4323" s="15"/>
    </row>
    <row r="4324" spans="1:1" x14ac:dyDescent="0.25">
      <c r="A4324" s="15"/>
    </row>
    <row r="4325" spans="1:1" x14ac:dyDescent="0.25">
      <c r="A4325" s="15"/>
    </row>
    <row r="4326" spans="1:1" x14ac:dyDescent="0.25">
      <c r="A4326" s="15"/>
    </row>
    <row r="4327" spans="1:1" x14ac:dyDescent="0.25">
      <c r="A4327" s="15"/>
    </row>
    <row r="4328" spans="1:1" x14ac:dyDescent="0.25">
      <c r="A4328" s="15"/>
    </row>
    <row r="4329" spans="1:1" x14ac:dyDescent="0.25">
      <c r="A4329" s="15"/>
    </row>
    <row r="4330" spans="1:1" x14ac:dyDescent="0.25">
      <c r="A4330" s="15"/>
    </row>
    <row r="4331" spans="1:1" x14ac:dyDescent="0.25">
      <c r="A4331" s="15"/>
    </row>
    <row r="4332" spans="1:1" x14ac:dyDescent="0.25">
      <c r="A4332" s="15"/>
    </row>
    <row r="4333" spans="1:1" x14ac:dyDescent="0.25">
      <c r="A4333" s="15"/>
    </row>
    <row r="4334" spans="1:1" x14ac:dyDescent="0.25">
      <c r="A4334" s="15"/>
    </row>
    <row r="4335" spans="1:1" x14ac:dyDescent="0.25">
      <c r="A4335" s="15"/>
    </row>
    <row r="4336" spans="1:1" x14ac:dyDescent="0.25">
      <c r="A4336" s="15"/>
    </row>
    <row r="4337" spans="1:1" x14ac:dyDescent="0.25">
      <c r="A4337" s="15"/>
    </row>
    <row r="4338" spans="1:1" x14ac:dyDescent="0.25">
      <c r="A4338" s="15"/>
    </row>
    <row r="4339" spans="1:1" x14ac:dyDescent="0.25">
      <c r="A4339" s="15"/>
    </row>
    <row r="4340" spans="1:1" x14ac:dyDescent="0.25">
      <c r="A4340" s="15"/>
    </row>
    <row r="4341" spans="1:1" x14ac:dyDescent="0.25">
      <c r="A4341" s="15"/>
    </row>
    <row r="4342" spans="1:1" x14ac:dyDescent="0.25">
      <c r="A4342" s="15"/>
    </row>
    <row r="4343" spans="1:1" x14ac:dyDescent="0.25">
      <c r="A4343" s="15"/>
    </row>
    <row r="4344" spans="1:1" x14ac:dyDescent="0.25">
      <c r="A4344" s="15"/>
    </row>
    <row r="4345" spans="1:1" x14ac:dyDescent="0.25">
      <c r="A4345" s="15"/>
    </row>
    <row r="4346" spans="1:1" x14ac:dyDescent="0.25">
      <c r="A4346" s="15"/>
    </row>
    <row r="4347" spans="1:1" x14ac:dyDescent="0.25">
      <c r="A4347" s="15"/>
    </row>
    <row r="4348" spans="1:1" x14ac:dyDescent="0.25">
      <c r="A4348" s="15"/>
    </row>
    <row r="4349" spans="1:1" x14ac:dyDescent="0.25">
      <c r="A4349" s="15"/>
    </row>
    <row r="4350" spans="1:1" x14ac:dyDescent="0.25">
      <c r="A4350" s="15"/>
    </row>
    <row r="4351" spans="1:1" x14ac:dyDescent="0.25">
      <c r="A4351" s="15"/>
    </row>
    <row r="4352" spans="1:1" x14ac:dyDescent="0.25">
      <c r="A4352" s="15"/>
    </row>
    <row r="4353" spans="1:1" x14ac:dyDescent="0.25">
      <c r="A4353" s="15"/>
    </row>
    <row r="4354" spans="1:1" x14ac:dyDescent="0.25">
      <c r="A4354" s="15"/>
    </row>
    <row r="4355" spans="1:1" x14ac:dyDescent="0.25">
      <c r="A4355" s="15"/>
    </row>
    <row r="4356" spans="1:1" x14ac:dyDescent="0.25">
      <c r="A4356" s="15"/>
    </row>
    <row r="4357" spans="1:1" x14ac:dyDescent="0.25">
      <c r="A4357" s="15"/>
    </row>
    <row r="4358" spans="1:1" x14ac:dyDescent="0.25">
      <c r="A4358" s="15"/>
    </row>
    <row r="4359" spans="1:1" x14ac:dyDescent="0.25">
      <c r="A4359" s="15"/>
    </row>
    <row r="4360" spans="1:1" x14ac:dyDescent="0.25">
      <c r="A4360" s="15"/>
    </row>
    <row r="4361" spans="1:1" x14ac:dyDescent="0.25">
      <c r="A4361" s="15"/>
    </row>
    <row r="4362" spans="1:1" x14ac:dyDescent="0.25">
      <c r="A4362" s="15"/>
    </row>
    <row r="4363" spans="1:1" x14ac:dyDescent="0.25">
      <c r="A4363" s="15"/>
    </row>
    <row r="4364" spans="1:1" x14ac:dyDescent="0.25">
      <c r="A4364" s="15"/>
    </row>
    <row r="4365" spans="1:1" x14ac:dyDescent="0.25">
      <c r="A4365" s="15"/>
    </row>
    <row r="4366" spans="1:1" x14ac:dyDescent="0.25">
      <c r="A4366" s="15"/>
    </row>
    <row r="4367" spans="1:1" x14ac:dyDescent="0.25">
      <c r="A4367" s="15"/>
    </row>
    <row r="4368" spans="1:1" x14ac:dyDescent="0.25">
      <c r="A4368" s="15"/>
    </row>
    <row r="4369" spans="1:1" x14ac:dyDescent="0.25">
      <c r="A4369" s="15"/>
    </row>
    <row r="4370" spans="1:1" x14ac:dyDescent="0.25">
      <c r="A4370" s="15"/>
    </row>
    <row r="4371" spans="1:1" x14ac:dyDescent="0.25">
      <c r="A4371" s="15"/>
    </row>
    <row r="4372" spans="1:1" x14ac:dyDescent="0.25">
      <c r="A4372" s="15"/>
    </row>
    <row r="4373" spans="1:1" x14ac:dyDescent="0.25">
      <c r="A4373" s="15"/>
    </row>
    <row r="4374" spans="1:1" x14ac:dyDescent="0.25">
      <c r="A4374" s="15"/>
    </row>
    <row r="4375" spans="1:1" x14ac:dyDescent="0.25">
      <c r="A4375" s="15"/>
    </row>
    <row r="4376" spans="1:1" x14ac:dyDescent="0.25">
      <c r="A4376" s="15"/>
    </row>
    <row r="4377" spans="1:1" x14ac:dyDescent="0.25">
      <c r="A4377" s="15"/>
    </row>
    <row r="4378" spans="1:1" x14ac:dyDescent="0.25">
      <c r="A4378" s="15"/>
    </row>
    <row r="4379" spans="1:1" x14ac:dyDescent="0.25">
      <c r="A4379" s="15"/>
    </row>
    <row r="4380" spans="1:1" x14ac:dyDescent="0.25">
      <c r="A4380" s="15"/>
    </row>
    <row r="4381" spans="1:1" x14ac:dyDescent="0.25">
      <c r="A4381" s="15"/>
    </row>
    <row r="4382" spans="1:1" x14ac:dyDescent="0.25">
      <c r="A4382" s="15"/>
    </row>
    <row r="4383" spans="1:1" x14ac:dyDescent="0.25">
      <c r="A4383" s="15"/>
    </row>
    <row r="4384" spans="1:1" x14ac:dyDescent="0.25">
      <c r="A4384" s="15"/>
    </row>
    <row r="4385" spans="1:1" x14ac:dyDescent="0.25">
      <c r="A4385" s="15"/>
    </row>
    <row r="4386" spans="1:1" x14ac:dyDescent="0.25">
      <c r="A4386" s="15"/>
    </row>
    <row r="4387" spans="1:1" x14ac:dyDescent="0.25">
      <c r="A4387" s="15"/>
    </row>
    <row r="4388" spans="1:1" x14ac:dyDescent="0.25">
      <c r="A4388" s="15"/>
    </row>
    <row r="4389" spans="1:1" x14ac:dyDescent="0.25">
      <c r="A4389" s="15"/>
    </row>
    <row r="4390" spans="1:1" x14ac:dyDescent="0.25">
      <c r="A4390" s="15"/>
    </row>
    <row r="4391" spans="1:1" x14ac:dyDescent="0.25">
      <c r="A4391" s="15"/>
    </row>
    <row r="4392" spans="1:1" x14ac:dyDescent="0.25">
      <c r="A4392" s="15"/>
    </row>
    <row r="4393" spans="1:1" x14ac:dyDescent="0.25">
      <c r="A4393" s="15"/>
    </row>
    <row r="4394" spans="1:1" x14ac:dyDescent="0.25">
      <c r="A4394" s="15"/>
    </row>
    <row r="4395" spans="1:1" x14ac:dyDescent="0.25">
      <c r="A4395" s="15"/>
    </row>
    <row r="4396" spans="1:1" x14ac:dyDescent="0.25">
      <c r="A4396" s="15"/>
    </row>
    <row r="4397" spans="1:1" x14ac:dyDescent="0.25">
      <c r="A4397" s="15"/>
    </row>
    <row r="4398" spans="1:1" x14ac:dyDescent="0.25">
      <c r="A4398" s="15"/>
    </row>
    <row r="4399" spans="1:1" x14ac:dyDescent="0.25">
      <c r="A4399" s="15"/>
    </row>
    <row r="4400" spans="1:1" x14ac:dyDescent="0.25">
      <c r="A4400" s="15"/>
    </row>
    <row r="4401" spans="1:1" x14ac:dyDescent="0.25">
      <c r="A4401" s="15"/>
    </row>
    <row r="4402" spans="1:1" x14ac:dyDescent="0.25">
      <c r="A4402" s="15"/>
    </row>
    <row r="4403" spans="1:1" x14ac:dyDescent="0.25">
      <c r="A4403" s="15"/>
    </row>
    <row r="4404" spans="1:1" x14ac:dyDescent="0.25">
      <c r="A4404" s="15"/>
    </row>
    <row r="4405" spans="1:1" x14ac:dyDescent="0.25">
      <c r="A4405" s="15"/>
    </row>
    <row r="4406" spans="1:1" x14ac:dyDescent="0.25">
      <c r="A4406" s="15"/>
    </row>
    <row r="4407" spans="1:1" x14ac:dyDescent="0.25">
      <c r="A4407" s="15"/>
    </row>
    <row r="4408" spans="1:1" x14ac:dyDescent="0.25">
      <c r="A4408" s="15"/>
    </row>
    <row r="4409" spans="1:1" x14ac:dyDescent="0.25">
      <c r="A4409" s="15"/>
    </row>
    <row r="4410" spans="1:1" x14ac:dyDescent="0.25">
      <c r="A4410" s="15"/>
    </row>
    <row r="4411" spans="1:1" x14ac:dyDescent="0.25">
      <c r="A4411" s="15"/>
    </row>
    <row r="4412" spans="1:1" x14ac:dyDescent="0.25">
      <c r="A4412" s="15"/>
    </row>
    <row r="4413" spans="1:1" x14ac:dyDescent="0.25">
      <c r="A4413" s="15"/>
    </row>
    <row r="4414" spans="1:1" x14ac:dyDescent="0.25">
      <c r="A4414" s="15"/>
    </row>
    <row r="4415" spans="1:1" x14ac:dyDescent="0.25">
      <c r="A4415" s="15"/>
    </row>
    <row r="4416" spans="1:1" x14ac:dyDescent="0.25">
      <c r="A4416" s="15"/>
    </row>
    <row r="4417" spans="1:1" x14ac:dyDescent="0.25">
      <c r="A4417" s="15"/>
    </row>
    <row r="4418" spans="1:1" x14ac:dyDescent="0.25">
      <c r="A4418" s="15"/>
    </row>
    <row r="4419" spans="1:1" x14ac:dyDescent="0.25">
      <c r="A4419" s="15"/>
    </row>
    <row r="4420" spans="1:1" x14ac:dyDescent="0.25">
      <c r="A4420" s="15"/>
    </row>
    <row r="4421" spans="1:1" x14ac:dyDescent="0.25">
      <c r="A4421" s="15"/>
    </row>
    <row r="4422" spans="1:1" x14ac:dyDescent="0.25">
      <c r="A4422" s="15"/>
    </row>
    <row r="4423" spans="1:1" x14ac:dyDescent="0.25">
      <c r="A4423" s="15"/>
    </row>
    <row r="4424" spans="1:1" x14ac:dyDescent="0.25">
      <c r="A4424" s="15"/>
    </row>
    <row r="4425" spans="1:1" x14ac:dyDescent="0.25">
      <c r="A4425" s="15"/>
    </row>
    <row r="4426" spans="1:1" x14ac:dyDescent="0.25">
      <c r="A4426" s="15"/>
    </row>
    <row r="4427" spans="1:1" x14ac:dyDescent="0.25">
      <c r="A4427" s="15"/>
    </row>
    <row r="4428" spans="1:1" x14ac:dyDescent="0.25">
      <c r="A4428" s="15"/>
    </row>
    <row r="4429" spans="1:1" x14ac:dyDescent="0.25">
      <c r="A4429" s="15"/>
    </row>
    <row r="4430" spans="1:1" x14ac:dyDescent="0.25">
      <c r="A4430" s="15"/>
    </row>
    <row r="4431" spans="1:1" x14ac:dyDescent="0.25">
      <c r="A4431" s="15"/>
    </row>
    <row r="4432" spans="1:1" x14ac:dyDescent="0.25">
      <c r="A4432" s="15"/>
    </row>
    <row r="4433" spans="1:1" x14ac:dyDescent="0.25">
      <c r="A4433" s="15"/>
    </row>
    <row r="4434" spans="1:1" x14ac:dyDescent="0.25">
      <c r="A4434" s="15"/>
    </row>
    <row r="4435" spans="1:1" x14ac:dyDescent="0.25">
      <c r="A4435" s="15"/>
    </row>
    <row r="4436" spans="1:1" x14ac:dyDescent="0.25">
      <c r="A4436" s="15"/>
    </row>
    <row r="4437" spans="1:1" x14ac:dyDescent="0.25">
      <c r="A4437" s="15"/>
    </row>
    <row r="4438" spans="1:1" x14ac:dyDescent="0.25">
      <c r="A4438" s="15"/>
    </row>
    <row r="4439" spans="1:1" x14ac:dyDescent="0.25">
      <c r="A4439" s="15"/>
    </row>
    <row r="4440" spans="1:1" x14ac:dyDescent="0.25">
      <c r="A4440" s="15"/>
    </row>
    <row r="4441" spans="1:1" x14ac:dyDescent="0.25">
      <c r="A4441" s="15"/>
    </row>
    <row r="4442" spans="1:1" x14ac:dyDescent="0.25">
      <c r="A4442" s="15"/>
    </row>
    <row r="4443" spans="1:1" x14ac:dyDescent="0.25">
      <c r="A4443" s="15"/>
    </row>
    <row r="4444" spans="1:1" x14ac:dyDescent="0.25">
      <c r="A4444" s="15"/>
    </row>
    <row r="4445" spans="1:1" x14ac:dyDescent="0.25">
      <c r="A4445" s="15"/>
    </row>
    <row r="4446" spans="1:1" x14ac:dyDescent="0.25">
      <c r="A4446" s="15"/>
    </row>
    <row r="4447" spans="1:1" x14ac:dyDescent="0.25">
      <c r="A4447" s="15"/>
    </row>
    <row r="4448" spans="1:1" x14ac:dyDescent="0.25">
      <c r="A4448" s="15"/>
    </row>
    <row r="4449" spans="1:1" x14ac:dyDescent="0.25">
      <c r="A4449" s="15"/>
    </row>
    <row r="4450" spans="1:1" x14ac:dyDescent="0.25">
      <c r="A4450" s="15"/>
    </row>
    <row r="4451" spans="1:1" x14ac:dyDescent="0.25">
      <c r="A4451" s="15"/>
    </row>
    <row r="4452" spans="1:1" x14ac:dyDescent="0.25">
      <c r="A4452" s="15"/>
    </row>
    <row r="4453" spans="1:1" x14ac:dyDescent="0.25">
      <c r="A4453" s="15"/>
    </row>
    <row r="4454" spans="1:1" x14ac:dyDescent="0.25">
      <c r="A4454" s="15"/>
    </row>
    <row r="4455" spans="1:1" x14ac:dyDescent="0.25">
      <c r="A4455" s="15"/>
    </row>
    <row r="4456" spans="1:1" x14ac:dyDescent="0.25">
      <c r="A4456" s="15"/>
    </row>
    <row r="4457" spans="1:1" x14ac:dyDescent="0.25">
      <c r="A4457" s="15"/>
    </row>
    <row r="4458" spans="1:1" x14ac:dyDescent="0.25">
      <c r="A4458" s="15"/>
    </row>
    <row r="4459" spans="1:1" x14ac:dyDescent="0.25">
      <c r="A4459" s="15"/>
    </row>
    <row r="4460" spans="1:1" x14ac:dyDescent="0.25">
      <c r="A4460" s="15"/>
    </row>
    <row r="4461" spans="1:1" x14ac:dyDescent="0.25">
      <c r="A4461" s="15"/>
    </row>
    <row r="4462" spans="1:1" x14ac:dyDescent="0.25">
      <c r="A4462" s="15"/>
    </row>
    <row r="4463" spans="1:1" x14ac:dyDescent="0.25">
      <c r="A4463" s="15"/>
    </row>
    <row r="4464" spans="1:1" x14ac:dyDescent="0.25">
      <c r="A4464" s="15"/>
    </row>
    <row r="4465" spans="1:1" x14ac:dyDescent="0.25">
      <c r="A4465" s="15"/>
    </row>
    <row r="4466" spans="1:1" x14ac:dyDescent="0.25">
      <c r="A4466" s="15"/>
    </row>
    <row r="4467" spans="1:1" x14ac:dyDescent="0.25">
      <c r="A4467" s="15"/>
    </row>
    <row r="4468" spans="1:1" x14ac:dyDescent="0.25">
      <c r="A4468" s="15"/>
    </row>
    <row r="4469" spans="1:1" x14ac:dyDescent="0.25">
      <c r="A4469" s="15"/>
    </row>
    <row r="4470" spans="1:1" x14ac:dyDescent="0.25">
      <c r="A4470" s="15"/>
    </row>
    <row r="4471" spans="1:1" x14ac:dyDescent="0.25">
      <c r="A4471" s="15"/>
    </row>
    <row r="4472" spans="1:1" x14ac:dyDescent="0.25">
      <c r="A4472" s="15"/>
    </row>
    <row r="4473" spans="1:1" x14ac:dyDescent="0.25">
      <c r="A4473" s="15"/>
    </row>
    <row r="4474" spans="1:1" x14ac:dyDescent="0.25">
      <c r="A4474" s="15"/>
    </row>
    <row r="4475" spans="1:1" x14ac:dyDescent="0.25">
      <c r="A4475" s="15"/>
    </row>
    <row r="4476" spans="1:1" x14ac:dyDescent="0.25">
      <c r="A4476" s="15"/>
    </row>
    <row r="4477" spans="1:1" x14ac:dyDescent="0.25">
      <c r="A4477" s="15"/>
    </row>
    <row r="4478" spans="1:1" x14ac:dyDescent="0.25">
      <c r="A4478" s="15"/>
    </row>
    <row r="4479" spans="1:1" x14ac:dyDescent="0.25">
      <c r="A4479" s="15"/>
    </row>
    <row r="4480" spans="1:1" x14ac:dyDescent="0.25">
      <c r="A4480" s="15"/>
    </row>
    <row r="4481" spans="1:1" x14ac:dyDescent="0.25">
      <c r="A4481" s="15"/>
    </row>
    <row r="4482" spans="1:1" x14ac:dyDescent="0.25">
      <c r="A4482" s="15"/>
    </row>
    <row r="4483" spans="1:1" x14ac:dyDescent="0.25">
      <c r="A4483" s="15"/>
    </row>
    <row r="4484" spans="1:1" x14ac:dyDescent="0.25">
      <c r="A4484" s="15"/>
    </row>
    <row r="4485" spans="1:1" x14ac:dyDescent="0.25">
      <c r="A4485" s="15"/>
    </row>
    <row r="4486" spans="1:1" x14ac:dyDescent="0.25">
      <c r="A4486" s="15"/>
    </row>
    <row r="4487" spans="1:1" x14ac:dyDescent="0.25">
      <c r="A4487" s="15"/>
    </row>
    <row r="4488" spans="1:1" x14ac:dyDescent="0.25">
      <c r="A4488" s="15"/>
    </row>
    <row r="4489" spans="1:1" x14ac:dyDescent="0.25">
      <c r="A4489" s="15"/>
    </row>
    <row r="4490" spans="1:1" x14ac:dyDescent="0.25">
      <c r="A4490" s="15"/>
    </row>
    <row r="4491" spans="1:1" x14ac:dyDescent="0.25">
      <c r="A4491" s="15"/>
    </row>
    <row r="4492" spans="1:1" x14ac:dyDescent="0.25">
      <c r="A4492" s="15"/>
    </row>
    <row r="4493" spans="1:1" x14ac:dyDescent="0.25">
      <c r="A4493" s="15"/>
    </row>
    <row r="4494" spans="1:1" x14ac:dyDescent="0.25">
      <c r="A4494" s="15"/>
    </row>
    <row r="4495" spans="1:1" x14ac:dyDescent="0.25">
      <c r="A4495" s="15"/>
    </row>
    <row r="4496" spans="1:1" x14ac:dyDescent="0.25">
      <c r="A4496" s="15"/>
    </row>
    <row r="4497" spans="1:1" x14ac:dyDescent="0.25">
      <c r="A4497" s="15"/>
    </row>
    <row r="4498" spans="1:1" x14ac:dyDescent="0.25">
      <c r="A4498" s="15"/>
    </row>
    <row r="4499" spans="1:1" x14ac:dyDescent="0.25">
      <c r="A4499" s="15"/>
    </row>
    <row r="4500" spans="1:1" x14ac:dyDescent="0.25">
      <c r="A4500" s="15"/>
    </row>
    <row r="4501" spans="1:1" x14ac:dyDescent="0.25">
      <c r="A4501" s="15"/>
    </row>
    <row r="4502" spans="1:1" x14ac:dyDescent="0.25">
      <c r="A4502" s="15"/>
    </row>
    <row r="4503" spans="1:1" x14ac:dyDescent="0.25">
      <c r="A4503" s="15"/>
    </row>
    <row r="4504" spans="1:1" x14ac:dyDescent="0.25">
      <c r="A4504" s="15"/>
    </row>
    <row r="4505" spans="1:1" x14ac:dyDescent="0.25">
      <c r="A4505" s="15"/>
    </row>
    <row r="4506" spans="1:1" x14ac:dyDescent="0.25">
      <c r="A4506" s="15"/>
    </row>
    <row r="4507" spans="1:1" x14ac:dyDescent="0.25">
      <c r="A4507" s="15"/>
    </row>
    <row r="4508" spans="1:1" x14ac:dyDescent="0.25">
      <c r="A4508" s="15"/>
    </row>
    <row r="4509" spans="1:1" x14ac:dyDescent="0.25">
      <c r="A4509" s="15"/>
    </row>
    <row r="4510" spans="1:1" x14ac:dyDescent="0.25">
      <c r="A4510" s="15"/>
    </row>
    <row r="4511" spans="1:1" x14ac:dyDescent="0.25">
      <c r="A4511" s="15"/>
    </row>
    <row r="4512" spans="1:1" x14ac:dyDescent="0.25">
      <c r="A4512" s="15"/>
    </row>
    <row r="4513" spans="1:1" x14ac:dyDescent="0.25">
      <c r="A4513" s="15"/>
    </row>
    <row r="4514" spans="1:1" x14ac:dyDescent="0.25">
      <c r="A4514" s="15"/>
    </row>
    <row r="4515" spans="1:1" x14ac:dyDescent="0.25">
      <c r="A4515" s="15"/>
    </row>
    <row r="4516" spans="1:1" x14ac:dyDescent="0.25">
      <c r="A4516" s="15"/>
    </row>
    <row r="4517" spans="1:1" x14ac:dyDescent="0.25">
      <c r="A4517" s="15"/>
    </row>
    <row r="4518" spans="1:1" x14ac:dyDescent="0.25">
      <c r="A4518" s="15"/>
    </row>
    <row r="4519" spans="1:1" x14ac:dyDescent="0.25">
      <c r="A4519" s="15"/>
    </row>
    <row r="4520" spans="1:1" x14ac:dyDescent="0.25">
      <c r="A4520" s="15"/>
    </row>
    <row r="4521" spans="1:1" x14ac:dyDescent="0.25">
      <c r="A4521" s="15"/>
    </row>
    <row r="4522" spans="1:1" x14ac:dyDescent="0.25">
      <c r="A4522" s="15"/>
    </row>
    <row r="4523" spans="1:1" x14ac:dyDescent="0.25">
      <c r="A4523" s="15"/>
    </row>
    <row r="4524" spans="1:1" x14ac:dyDescent="0.25">
      <c r="A4524" s="15"/>
    </row>
    <row r="4525" spans="1:1" x14ac:dyDescent="0.25">
      <c r="A4525" s="15"/>
    </row>
    <row r="4526" spans="1:1" x14ac:dyDescent="0.25">
      <c r="A4526" s="15"/>
    </row>
    <row r="4527" spans="1:1" x14ac:dyDescent="0.25">
      <c r="A4527" s="15"/>
    </row>
    <row r="4528" spans="1:1" x14ac:dyDescent="0.25">
      <c r="A4528" s="15"/>
    </row>
    <row r="4529" spans="1:1" x14ac:dyDescent="0.25">
      <c r="A4529" s="15"/>
    </row>
    <row r="4530" spans="1:1" x14ac:dyDescent="0.25">
      <c r="A4530" s="15"/>
    </row>
    <row r="4531" spans="1:1" x14ac:dyDescent="0.25">
      <c r="A4531" s="15"/>
    </row>
    <row r="4532" spans="1:1" x14ac:dyDescent="0.25">
      <c r="A4532" s="15"/>
    </row>
    <row r="4533" spans="1:1" x14ac:dyDescent="0.25">
      <c r="A4533" s="15"/>
    </row>
    <row r="4534" spans="1:1" x14ac:dyDescent="0.25">
      <c r="A4534" s="15"/>
    </row>
    <row r="4535" spans="1:1" x14ac:dyDescent="0.25">
      <c r="A4535" s="15"/>
    </row>
    <row r="4536" spans="1:1" x14ac:dyDescent="0.25">
      <c r="A4536" s="15"/>
    </row>
    <row r="4537" spans="1:1" x14ac:dyDescent="0.25">
      <c r="A4537" s="15"/>
    </row>
    <row r="4538" spans="1:1" x14ac:dyDescent="0.25">
      <c r="A4538" s="15"/>
    </row>
    <row r="4539" spans="1:1" x14ac:dyDescent="0.25">
      <c r="A4539" s="15"/>
    </row>
    <row r="4540" spans="1:1" x14ac:dyDescent="0.25">
      <c r="A4540" s="15"/>
    </row>
    <row r="4541" spans="1:1" x14ac:dyDescent="0.25">
      <c r="A4541" s="15"/>
    </row>
    <row r="4542" spans="1:1" x14ac:dyDescent="0.25">
      <c r="A4542" s="15"/>
    </row>
    <row r="4543" spans="1:1" x14ac:dyDescent="0.25">
      <c r="A4543" s="15"/>
    </row>
    <row r="4544" spans="1:1" x14ac:dyDescent="0.25">
      <c r="A4544" s="15"/>
    </row>
    <row r="4545" spans="1:1" x14ac:dyDescent="0.25">
      <c r="A4545" s="15"/>
    </row>
    <row r="4546" spans="1:1" x14ac:dyDescent="0.25">
      <c r="A4546" s="15"/>
    </row>
    <row r="4547" spans="1:1" x14ac:dyDescent="0.25">
      <c r="A4547" s="15"/>
    </row>
    <row r="4548" spans="1:1" x14ac:dyDescent="0.25">
      <c r="A4548" s="15"/>
    </row>
    <row r="4549" spans="1:1" x14ac:dyDescent="0.25">
      <c r="A4549" s="15"/>
    </row>
    <row r="4550" spans="1:1" x14ac:dyDescent="0.25">
      <c r="A4550" s="15"/>
    </row>
    <row r="4551" spans="1:1" x14ac:dyDescent="0.25">
      <c r="A4551" s="15"/>
    </row>
    <row r="4552" spans="1:1" x14ac:dyDescent="0.25">
      <c r="A4552" s="15"/>
    </row>
    <row r="4553" spans="1:1" x14ac:dyDescent="0.25">
      <c r="A4553" s="15"/>
    </row>
    <row r="4554" spans="1:1" x14ac:dyDescent="0.25">
      <c r="A4554" s="15"/>
    </row>
    <row r="4555" spans="1:1" x14ac:dyDescent="0.25">
      <c r="A4555" s="15"/>
    </row>
    <row r="4556" spans="1:1" x14ac:dyDescent="0.25">
      <c r="A4556" s="15"/>
    </row>
    <row r="4557" spans="1:1" x14ac:dyDescent="0.25">
      <c r="A4557" s="15"/>
    </row>
    <row r="4558" spans="1:1" x14ac:dyDescent="0.25">
      <c r="A4558" s="15"/>
    </row>
    <row r="4559" spans="1:1" x14ac:dyDescent="0.25">
      <c r="A4559" s="15"/>
    </row>
    <row r="4560" spans="1:1" x14ac:dyDescent="0.25">
      <c r="A4560" s="15"/>
    </row>
    <row r="4561" spans="1:1" x14ac:dyDescent="0.25">
      <c r="A4561" s="15"/>
    </row>
    <row r="4562" spans="1:1" x14ac:dyDescent="0.25">
      <c r="A4562" s="15"/>
    </row>
    <row r="4563" spans="1:1" x14ac:dyDescent="0.25">
      <c r="A4563" s="15"/>
    </row>
    <row r="4564" spans="1:1" x14ac:dyDescent="0.25">
      <c r="A4564" s="15"/>
    </row>
    <row r="4565" spans="1:1" x14ac:dyDescent="0.25">
      <c r="A4565" s="15"/>
    </row>
    <row r="4566" spans="1:1" x14ac:dyDescent="0.25">
      <c r="A4566" s="15"/>
    </row>
    <row r="4567" spans="1:1" x14ac:dyDescent="0.25">
      <c r="A4567" s="15"/>
    </row>
    <row r="4568" spans="1:1" x14ac:dyDescent="0.25">
      <c r="A4568" s="15"/>
    </row>
    <row r="4569" spans="1:1" x14ac:dyDescent="0.25">
      <c r="A4569" s="15"/>
    </row>
    <row r="4570" spans="1:1" x14ac:dyDescent="0.25">
      <c r="A4570" s="15"/>
    </row>
    <row r="4571" spans="1:1" x14ac:dyDescent="0.25">
      <c r="A4571" s="15"/>
    </row>
    <row r="4572" spans="1:1" x14ac:dyDescent="0.25">
      <c r="A4572" s="15"/>
    </row>
    <row r="4573" spans="1:1" x14ac:dyDescent="0.25">
      <c r="A4573" s="15"/>
    </row>
    <row r="4574" spans="1:1" x14ac:dyDescent="0.25">
      <c r="A4574" s="15"/>
    </row>
    <row r="4575" spans="1:1" x14ac:dyDescent="0.25">
      <c r="A4575" s="15"/>
    </row>
    <row r="4576" spans="1:1" x14ac:dyDescent="0.25">
      <c r="A4576" s="15"/>
    </row>
    <row r="4577" spans="1:1" x14ac:dyDescent="0.25">
      <c r="A4577" s="15"/>
    </row>
    <row r="4578" spans="1:1" x14ac:dyDescent="0.25">
      <c r="A4578" s="15"/>
    </row>
    <row r="4579" spans="1:1" x14ac:dyDescent="0.25">
      <c r="A4579" s="15"/>
    </row>
    <row r="4580" spans="1:1" x14ac:dyDescent="0.25">
      <c r="A4580" s="15"/>
    </row>
    <row r="4581" spans="1:1" x14ac:dyDescent="0.25">
      <c r="A4581" s="15"/>
    </row>
    <row r="4582" spans="1:1" x14ac:dyDescent="0.25">
      <c r="A4582" s="15"/>
    </row>
    <row r="4583" spans="1:1" x14ac:dyDescent="0.25">
      <c r="A4583" s="15"/>
    </row>
    <row r="4584" spans="1:1" x14ac:dyDescent="0.25">
      <c r="A4584" s="15"/>
    </row>
    <row r="4585" spans="1:1" x14ac:dyDescent="0.25">
      <c r="A4585" s="15"/>
    </row>
    <row r="4586" spans="1:1" x14ac:dyDescent="0.25">
      <c r="A4586" s="15"/>
    </row>
    <row r="4587" spans="1:1" x14ac:dyDescent="0.25">
      <c r="A4587" s="15"/>
    </row>
    <row r="4588" spans="1:1" x14ac:dyDescent="0.25">
      <c r="A4588" s="15"/>
    </row>
    <row r="4589" spans="1:1" x14ac:dyDescent="0.25">
      <c r="A4589" s="15"/>
    </row>
    <row r="4590" spans="1:1" x14ac:dyDescent="0.25">
      <c r="A4590" s="15"/>
    </row>
    <row r="4591" spans="1:1" x14ac:dyDescent="0.25">
      <c r="A4591" s="15"/>
    </row>
    <row r="4592" spans="1:1" x14ac:dyDescent="0.25">
      <c r="A4592" s="15"/>
    </row>
    <row r="4593" spans="1:1" x14ac:dyDescent="0.25">
      <c r="A4593" s="15"/>
    </row>
    <row r="4594" spans="1:1" x14ac:dyDescent="0.25">
      <c r="A4594" s="15"/>
    </row>
    <row r="4595" spans="1:1" x14ac:dyDescent="0.25">
      <c r="A4595" s="15"/>
    </row>
    <row r="4596" spans="1:1" x14ac:dyDescent="0.25">
      <c r="A4596" s="15"/>
    </row>
    <row r="4597" spans="1:1" x14ac:dyDescent="0.25">
      <c r="A4597" s="15"/>
    </row>
    <row r="4598" spans="1:1" x14ac:dyDescent="0.25">
      <c r="A4598" s="15"/>
    </row>
    <row r="4599" spans="1:1" x14ac:dyDescent="0.25">
      <c r="A4599" s="15"/>
    </row>
    <row r="4600" spans="1:1" x14ac:dyDescent="0.25">
      <c r="A4600" s="15"/>
    </row>
    <row r="4601" spans="1:1" x14ac:dyDescent="0.25">
      <c r="A4601" s="15"/>
    </row>
    <row r="4602" spans="1:1" x14ac:dyDescent="0.25">
      <c r="A4602" s="15"/>
    </row>
    <row r="4603" spans="1:1" x14ac:dyDescent="0.25">
      <c r="A4603" s="15"/>
    </row>
    <row r="4604" spans="1:1" x14ac:dyDescent="0.25">
      <c r="A4604" s="15"/>
    </row>
    <row r="4605" spans="1:1" x14ac:dyDescent="0.25">
      <c r="A4605" s="15"/>
    </row>
    <row r="4606" spans="1:1" x14ac:dyDescent="0.25">
      <c r="A4606" s="15"/>
    </row>
    <row r="4607" spans="1:1" x14ac:dyDescent="0.25">
      <c r="A4607" s="15"/>
    </row>
    <row r="4608" spans="1:1" x14ac:dyDescent="0.25">
      <c r="A4608" s="15"/>
    </row>
    <row r="4609" spans="1:1" x14ac:dyDescent="0.25">
      <c r="A4609" s="15"/>
    </row>
    <row r="4610" spans="1:1" x14ac:dyDescent="0.25">
      <c r="A4610" s="15"/>
    </row>
    <row r="4611" spans="1:1" x14ac:dyDescent="0.25">
      <c r="A4611" s="15"/>
    </row>
    <row r="4612" spans="1:1" x14ac:dyDescent="0.25">
      <c r="A4612" s="15"/>
    </row>
    <row r="4613" spans="1:1" x14ac:dyDescent="0.25">
      <c r="A4613" s="15"/>
    </row>
    <row r="4614" spans="1:1" x14ac:dyDescent="0.25">
      <c r="A4614" s="15"/>
    </row>
    <row r="4615" spans="1:1" x14ac:dyDescent="0.25">
      <c r="A4615" s="15"/>
    </row>
    <row r="4616" spans="1:1" x14ac:dyDescent="0.25">
      <c r="A4616" s="15"/>
    </row>
    <row r="4617" spans="1:1" x14ac:dyDescent="0.25">
      <c r="A4617" s="15"/>
    </row>
    <row r="4618" spans="1:1" x14ac:dyDescent="0.25">
      <c r="A4618" s="15"/>
    </row>
    <row r="4619" spans="1:1" x14ac:dyDescent="0.25">
      <c r="A4619" s="15"/>
    </row>
    <row r="4620" spans="1:1" x14ac:dyDescent="0.25">
      <c r="A4620" s="15"/>
    </row>
    <row r="4621" spans="1:1" x14ac:dyDescent="0.25">
      <c r="A4621" s="15"/>
    </row>
    <row r="4622" spans="1:1" x14ac:dyDescent="0.25">
      <c r="A4622" s="15"/>
    </row>
    <row r="4623" spans="1:1" x14ac:dyDescent="0.25">
      <c r="A4623" s="15"/>
    </row>
    <row r="4624" spans="1:1" x14ac:dyDescent="0.25">
      <c r="A4624" s="15"/>
    </row>
    <row r="4625" spans="1:1" x14ac:dyDescent="0.25">
      <c r="A4625" s="15"/>
    </row>
    <row r="4626" spans="1:1" x14ac:dyDescent="0.25">
      <c r="A4626" s="15"/>
    </row>
    <row r="4627" spans="1:1" x14ac:dyDescent="0.25">
      <c r="A4627" s="15"/>
    </row>
    <row r="4628" spans="1:1" x14ac:dyDescent="0.25">
      <c r="A4628" s="15"/>
    </row>
    <row r="4629" spans="1:1" x14ac:dyDescent="0.25">
      <c r="A4629" s="15"/>
    </row>
    <row r="4630" spans="1:1" x14ac:dyDescent="0.25">
      <c r="A4630" s="15"/>
    </row>
    <row r="4631" spans="1:1" x14ac:dyDescent="0.25">
      <c r="A4631" s="15"/>
    </row>
    <row r="4632" spans="1:1" x14ac:dyDescent="0.25">
      <c r="A4632" s="15"/>
    </row>
    <row r="4633" spans="1:1" x14ac:dyDescent="0.25">
      <c r="A4633" s="15"/>
    </row>
    <row r="4634" spans="1:1" x14ac:dyDescent="0.25">
      <c r="A4634" s="15"/>
    </row>
    <row r="4635" spans="1:1" x14ac:dyDescent="0.25">
      <c r="A4635" s="15"/>
    </row>
    <row r="4636" spans="1:1" x14ac:dyDescent="0.25">
      <c r="A4636" s="15"/>
    </row>
    <row r="4637" spans="1:1" x14ac:dyDescent="0.25">
      <c r="A4637" s="15"/>
    </row>
    <row r="4638" spans="1:1" x14ac:dyDescent="0.25">
      <c r="A4638" s="15"/>
    </row>
    <row r="4639" spans="1:1" x14ac:dyDescent="0.25">
      <c r="A4639" s="15"/>
    </row>
    <row r="4640" spans="1:1" x14ac:dyDescent="0.25">
      <c r="A4640" s="15"/>
    </row>
    <row r="4641" spans="1:1" x14ac:dyDescent="0.25">
      <c r="A4641" s="15"/>
    </row>
    <row r="4642" spans="1:1" x14ac:dyDescent="0.25">
      <c r="A4642" s="15"/>
    </row>
    <row r="4643" spans="1:1" x14ac:dyDescent="0.25">
      <c r="A4643" s="15"/>
    </row>
    <row r="4644" spans="1:1" x14ac:dyDescent="0.25">
      <c r="A4644" s="15"/>
    </row>
    <row r="4645" spans="1:1" x14ac:dyDescent="0.25">
      <c r="A4645" s="15"/>
    </row>
    <row r="4646" spans="1:1" x14ac:dyDescent="0.25">
      <c r="A4646" s="15"/>
    </row>
    <row r="4647" spans="1:1" x14ac:dyDescent="0.25">
      <c r="A4647" s="15"/>
    </row>
    <row r="4648" spans="1:1" x14ac:dyDescent="0.25">
      <c r="A4648" s="15"/>
    </row>
    <row r="4649" spans="1:1" x14ac:dyDescent="0.25">
      <c r="A4649" s="15"/>
    </row>
    <row r="4650" spans="1:1" x14ac:dyDescent="0.25">
      <c r="A4650" s="15"/>
    </row>
    <row r="4651" spans="1:1" x14ac:dyDescent="0.25">
      <c r="A4651" s="15"/>
    </row>
    <row r="4652" spans="1:1" x14ac:dyDescent="0.25">
      <c r="A4652" s="15"/>
    </row>
    <row r="4653" spans="1:1" x14ac:dyDescent="0.25">
      <c r="A4653" s="15"/>
    </row>
    <row r="4654" spans="1:1" x14ac:dyDescent="0.25">
      <c r="A4654" s="15"/>
    </row>
    <row r="4655" spans="1:1" x14ac:dyDescent="0.25">
      <c r="A4655" s="15"/>
    </row>
    <row r="4656" spans="1:1" x14ac:dyDescent="0.25">
      <c r="A4656" s="15"/>
    </row>
    <row r="4657" spans="1:1" x14ac:dyDescent="0.25">
      <c r="A4657" s="15"/>
    </row>
    <row r="4658" spans="1:1" x14ac:dyDescent="0.25">
      <c r="A4658" s="15"/>
    </row>
    <row r="4659" spans="1:1" x14ac:dyDescent="0.25">
      <c r="A4659" s="15"/>
    </row>
    <row r="4660" spans="1:1" x14ac:dyDescent="0.25">
      <c r="A4660" s="15"/>
    </row>
    <row r="4661" spans="1:1" x14ac:dyDescent="0.25">
      <c r="A4661" s="15"/>
    </row>
    <row r="4662" spans="1:1" x14ac:dyDescent="0.25">
      <c r="A4662" s="15"/>
    </row>
    <row r="4663" spans="1:1" x14ac:dyDescent="0.25">
      <c r="A4663" s="15"/>
    </row>
    <row r="4664" spans="1:1" x14ac:dyDescent="0.25">
      <c r="A4664" s="15"/>
    </row>
    <row r="4665" spans="1:1" x14ac:dyDescent="0.25">
      <c r="A4665" s="15"/>
    </row>
    <row r="4666" spans="1:1" x14ac:dyDescent="0.25">
      <c r="A4666" s="15"/>
    </row>
    <row r="4667" spans="1:1" x14ac:dyDescent="0.25">
      <c r="A4667" s="15"/>
    </row>
    <row r="4668" spans="1:1" x14ac:dyDescent="0.25">
      <c r="A4668" s="15"/>
    </row>
    <row r="4669" spans="1:1" x14ac:dyDescent="0.25">
      <c r="A4669" s="15"/>
    </row>
    <row r="4670" spans="1:1" x14ac:dyDescent="0.25">
      <c r="A4670" s="15"/>
    </row>
    <row r="4671" spans="1:1" x14ac:dyDescent="0.25">
      <c r="A4671" s="15"/>
    </row>
    <row r="4672" spans="1:1" x14ac:dyDescent="0.25">
      <c r="A4672" s="15"/>
    </row>
    <row r="4673" spans="1:1" x14ac:dyDescent="0.25">
      <c r="A4673" s="15"/>
    </row>
    <row r="4674" spans="1:1" x14ac:dyDescent="0.25">
      <c r="A4674" s="15"/>
    </row>
    <row r="4675" spans="1:1" x14ac:dyDescent="0.25">
      <c r="A4675" s="15"/>
    </row>
    <row r="4676" spans="1:1" x14ac:dyDescent="0.25">
      <c r="A4676" s="15"/>
    </row>
    <row r="4677" spans="1:1" x14ac:dyDescent="0.25">
      <c r="A4677" s="15"/>
    </row>
    <row r="4678" spans="1:1" x14ac:dyDescent="0.25">
      <c r="A4678" s="15"/>
    </row>
    <row r="4679" spans="1:1" x14ac:dyDescent="0.25">
      <c r="A4679" s="15"/>
    </row>
    <row r="4680" spans="1:1" x14ac:dyDescent="0.25">
      <c r="A4680" s="15"/>
    </row>
    <row r="4681" spans="1:1" x14ac:dyDescent="0.25">
      <c r="A4681" s="15"/>
    </row>
    <row r="4682" spans="1:1" x14ac:dyDescent="0.25">
      <c r="A4682" s="15"/>
    </row>
    <row r="4683" spans="1:1" x14ac:dyDescent="0.25">
      <c r="A4683" s="15"/>
    </row>
    <row r="4684" spans="1:1" x14ac:dyDescent="0.25">
      <c r="A4684" s="15"/>
    </row>
    <row r="4685" spans="1:1" x14ac:dyDescent="0.25">
      <c r="A4685" s="15"/>
    </row>
    <row r="4686" spans="1:1" x14ac:dyDescent="0.25">
      <c r="A4686" s="15"/>
    </row>
    <row r="4687" spans="1:1" x14ac:dyDescent="0.25">
      <c r="A4687" s="15"/>
    </row>
    <row r="4688" spans="1:1" x14ac:dyDescent="0.25">
      <c r="A4688" s="15"/>
    </row>
    <row r="4689" spans="1:1" x14ac:dyDescent="0.25">
      <c r="A4689" s="15"/>
    </row>
    <row r="4690" spans="1:1" x14ac:dyDescent="0.25">
      <c r="A4690" s="15"/>
    </row>
    <row r="4691" spans="1:1" x14ac:dyDescent="0.25">
      <c r="A4691" s="15"/>
    </row>
    <row r="4692" spans="1:1" x14ac:dyDescent="0.25">
      <c r="A4692" s="15"/>
    </row>
    <row r="4693" spans="1:1" x14ac:dyDescent="0.25">
      <c r="A4693" s="15"/>
    </row>
    <row r="4694" spans="1:1" x14ac:dyDescent="0.25">
      <c r="A4694" s="15"/>
    </row>
    <row r="4695" spans="1:1" x14ac:dyDescent="0.25">
      <c r="A4695" s="15"/>
    </row>
    <row r="4696" spans="1:1" x14ac:dyDescent="0.25">
      <c r="A4696" s="15"/>
    </row>
    <row r="4697" spans="1:1" x14ac:dyDescent="0.25">
      <c r="A4697" s="15"/>
    </row>
    <row r="4698" spans="1:1" x14ac:dyDescent="0.25">
      <c r="A4698" s="15"/>
    </row>
    <row r="4699" spans="1:1" x14ac:dyDescent="0.25">
      <c r="A4699" s="15"/>
    </row>
    <row r="4700" spans="1:1" x14ac:dyDescent="0.25">
      <c r="A4700" s="15"/>
    </row>
    <row r="4701" spans="1:1" x14ac:dyDescent="0.25">
      <c r="A4701" s="15"/>
    </row>
    <row r="4702" spans="1:1" x14ac:dyDescent="0.25">
      <c r="A4702" s="15"/>
    </row>
    <row r="4703" spans="1:1" x14ac:dyDescent="0.25">
      <c r="A4703" s="15"/>
    </row>
    <row r="4704" spans="1:1" x14ac:dyDescent="0.25">
      <c r="A4704" s="15"/>
    </row>
    <row r="4705" spans="1:1" x14ac:dyDescent="0.25">
      <c r="A4705" s="15"/>
    </row>
    <row r="4706" spans="1:1" x14ac:dyDescent="0.25">
      <c r="A4706" s="15"/>
    </row>
    <row r="4707" spans="1:1" x14ac:dyDescent="0.25">
      <c r="A4707" s="15"/>
    </row>
    <row r="4708" spans="1:1" x14ac:dyDescent="0.25">
      <c r="A4708" s="15"/>
    </row>
    <row r="4709" spans="1:1" x14ac:dyDescent="0.25">
      <c r="A4709" s="15"/>
    </row>
    <row r="4710" spans="1:1" x14ac:dyDescent="0.25">
      <c r="A4710" s="15"/>
    </row>
    <row r="4711" spans="1:1" x14ac:dyDescent="0.25">
      <c r="A4711" s="15"/>
    </row>
    <row r="4712" spans="1:1" x14ac:dyDescent="0.25">
      <c r="A4712" s="15"/>
    </row>
    <row r="4713" spans="1:1" x14ac:dyDescent="0.25">
      <c r="A4713" s="15"/>
    </row>
    <row r="4714" spans="1:1" x14ac:dyDescent="0.25">
      <c r="A4714" s="15"/>
    </row>
    <row r="4715" spans="1:1" x14ac:dyDescent="0.25">
      <c r="A4715" s="15"/>
    </row>
    <row r="4716" spans="1:1" x14ac:dyDescent="0.25">
      <c r="A4716" s="15"/>
    </row>
    <row r="4717" spans="1:1" x14ac:dyDescent="0.25">
      <c r="A4717" s="15"/>
    </row>
    <row r="4718" spans="1:1" x14ac:dyDescent="0.25">
      <c r="A4718" s="15"/>
    </row>
    <row r="4719" spans="1:1" x14ac:dyDescent="0.25">
      <c r="A4719" s="15"/>
    </row>
    <row r="4720" spans="1:1" x14ac:dyDescent="0.25">
      <c r="A4720" s="15"/>
    </row>
    <row r="4721" spans="1:1" x14ac:dyDescent="0.25">
      <c r="A4721" s="15"/>
    </row>
    <row r="4722" spans="1:1" x14ac:dyDescent="0.25">
      <c r="A4722" s="15"/>
    </row>
    <row r="4723" spans="1:1" x14ac:dyDescent="0.25">
      <c r="A4723" s="15"/>
    </row>
    <row r="4724" spans="1:1" x14ac:dyDescent="0.25">
      <c r="A4724" s="15"/>
    </row>
    <row r="4725" spans="1:1" x14ac:dyDescent="0.25">
      <c r="A4725" s="15"/>
    </row>
    <row r="4726" spans="1:1" x14ac:dyDescent="0.25">
      <c r="A4726" s="15"/>
    </row>
    <row r="4727" spans="1:1" x14ac:dyDescent="0.25">
      <c r="A4727" s="15"/>
    </row>
    <row r="4728" spans="1:1" x14ac:dyDescent="0.25">
      <c r="A4728" s="15"/>
    </row>
    <row r="4729" spans="1:1" x14ac:dyDescent="0.25">
      <c r="A4729" s="15"/>
    </row>
    <row r="4730" spans="1:1" x14ac:dyDescent="0.25">
      <c r="A4730" s="15"/>
    </row>
    <row r="4731" spans="1:1" x14ac:dyDescent="0.25">
      <c r="A4731" s="15"/>
    </row>
    <row r="4732" spans="1:1" x14ac:dyDescent="0.25">
      <c r="A4732" s="15"/>
    </row>
    <row r="4733" spans="1:1" x14ac:dyDescent="0.25">
      <c r="A4733" s="15"/>
    </row>
    <row r="4734" spans="1:1" x14ac:dyDescent="0.25">
      <c r="A4734" s="15"/>
    </row>
    <row r="4735" spans="1:1" x14ac:dyDescent="0.25">
      <c r="A4735" s="15"/>
    </row>
    <row r="4736" spans="1:1" x14ac:dyDescent="0.25">
      <c r="A4736" s="15"/>
    </row>
    <row r="4737" spans="1:1" x14ac:dyDescent="0.25">
      <c r="A4737" s="15"/>
    </row>
    <row r="4738" spans="1:1" x14ac:dyDescent="0.25">
      <c r="A4738" s="15"/>
    </row>
    <row r="4739" spans="1:1" x14ac:dyDescent="0.25">
      <c r="A4739" s="15"/>
    </row>
    <row r="4740" spans="1:1" x14ac:dyDescent="0.25">
      <c r="A4740" s="15"/>
    </row>
    <row r="4741" spans="1:1" x14ac:dyDescent="0.25">
      <c r="A4741" s="15"/>
    </row>
    <row r="4742" spans="1:1" x14ac:dyDescent="0.25">
      <c r="A4742" s="15"/>
    </row>
    <row r="4743" spans="1:1" x14ac:dyDescent="0.25">
      <c r="A4743" s="15"/>
    </row>
    <row r="4744" spans="1:1" x14ac:dyDescent="0.25">
      <c r="A4744" s="15"/>
    </row>
    <row r="4745" spans="1:1" x14ac:dyDescent="0.25">
      <c r="A4745" s="15"/>
    </row>
    <row r="4746" spans="1:1" x14ac:dyDescent="0.25">
      <c r="A4746" s="15"/>
    </row>
    <row r="4747" spans="1:1" x14ac:dyDescent="0.25">
      <c r="A4747" s="15"/>
    </row>
    <row r="4748" spans="1:1" x14ac:dyDescent="0.25">
      <c r="A4748" s="15"/>
    </row>
    <row r="4749" spans="1:1" x14ac:dyDescent="0.25">
      <c r="A4749" s="15"/>
    </row>
    <row r="4750" spans="1:1" x14ac:dyDescent="0.25">
      <c r="A4750" s="15"/>
    </row>
    <row r="4751" spans="1:1" x14ac:dyDescent="0.25">
      <c r="A4751" s="15"/>
    </row>
    <row r="4752" spans="1:1" x14ac:dyDescent="0.25">
      <c r="A4752" s="15"/>
    </row>
    <row r="4753" spans="1:1" x14ac:dyDescent="0.25">
      <c r="A4753" s="15"/>
    </row>
    <row r="4754" spans="1:1" x14ac:dyDescent="0.25">
      <c r="A4754" s="15"/>
    </row>
    <row r="4755" spans="1:1" x14ac:dyDescent="0.25">
      <c r="A4755" s="15"/>
    </row>
    <row r="4756" spans="1:1" x14ac:dyDescent="0.25">
      <c r="A4756" s="15"/>
    </row>
    <row r="4757" spans="1:1" x14ac:dyDescent="0.25">
      <c r="A4757" s="15"/>
    </row>
    <row r="4758" spans="1:1" x14ac:dyDescent="0.25">
      <c r="A4758" s="15"/>
    </row>
    <row r="4759" spans="1:1" x14ac:dyDescent="0.25">
      <c r="A4759" s="15"/>
    </row>
    <row r="4760" spans="1:1" x14ac:dyDescent="0.25">
      <c r="A4760" s="15"/>
    </row>
    <row r="4761" spans="1:1" x14ac:dyDescent="0.25">
      <c r="A4761" s="15"/>
    </row>
    <row r="4762" spans="1:1" x14ac:dyDescent="0.25">
      <c r="A4762" s="15"/>
    </row>
    <row r="4763" spans="1:1" x14ac:dyDescent="0.25">
      <c r="A4763" s="15"/>
    </row>
    <row r="4764" spans="1:1" x14ac:dyDescent="0.25">
      <c r="A4764" s="15"/>
    </row>
    <row r="4765" spans="1:1" x14ac:dyDescent="0.25">
      <c r="A4765" s="15"/>
    </row>
    <row r="4766" spans="1:1" x14ac:dyDescent="0.25">
      <c r="A4766" s="15"/>
    </row>
    <row r="4767" spans="1:1" x14ac:dyDescent="0.25">
      <c r="A4767" s="15"/>
    </row>
    <row r="4768" spans="1:1" x14ac:dyDescent="0.25">
      <c r="A4768" s="15"/>
    </row>
    <row r="4769" spans="1:1" x14ac:dyDescent="0.25">
      <c r="A4769" s="15"/>
    </row>
    <row r="4770" spans="1:1" x14ac:dyDescent="0.25">
      <c r="A4770" s="15"/>
    </row>
    <row r="4771" spans="1:1" x14ac:dyDescent="0.25">
      <c r="A4771" s="15"/>
    </row>
    <row r="4772" spans="1:1" x14ac:dyDescent="0.25">
      <c r="A4772" s="15"/>
    </row>
    <row r="4773" spans="1:1" x14ac:dyDescent="0.25">
      <c r="A4773" s="15"/>
    </row>
    <row r="4774" spans="1:1" x14ac:dyDescent="0.25">
      <c r="A4774" s="15"/>
    </row>
    <row r="4775" spans="1:1" x14ac:dyDescent="0.25">
      <c r="A4775" s="15"/>
    </row>
    <row r="4776" spans="1:1" x14ac:dyDescent="0.25">
      <c r="A4776" s="15"/>
    </row>
    <row r="4777" spans="1:1" x14ac:dyDescent="0.25">
      <c r="A4777" s="15"/>
    </row>
    <row r="4778" spans="1:1" x14ac:dyDescent="0.25">
      <c r="A4778" s="15"/>
    </row>
    <row r="4779" spans="1:1" x14ac:dyDescent="0.25">
      <c r="A4779" s="15"/>
    </row>
    <row r="4780" spans="1:1" x14ac:dyDescent="0.25">
      <c r="A4780" s="15"/>
    </row>
    <row r="4781" spans="1:1" x14ac:dyDescent="0.25">
      <c r="A4781" s="15"/>
    </row>
    <row r="4782" spans="1:1" x14ac:dyDescent="0.25">
      <c r="A4782" s="15"/>
    </row>
    <row r="4783" spans="1:1" x14ac:dyDescent="0.25">
      <c r="A4783" s="15"/>
    </row>
    <row r="4784" spans="1:1" x14ac:dyDescent="0.25">
      <c r="A4784" s="15"/>
    </row>
    <row r="4785" spans="1:1" x14ac:dyDescent="0.25">
      <c r="A4785" s="15"/>
    </row>
    <row r="4786" spans="1:1" x14ac:dyDescent="0.25">
      <c r="A4786" s="15"/>
    </row>
    <row r="4787" spans="1:1" x14ac:dyDescent="0.25">
      <c r="A4787" s="15"/>
    </row>
    <row r="4788" spans="1:1" x14ac:dyDescent="0.25">
      <c r="A4788" s="15"/>
    </row>
    <row r="4789" spans="1:1" x14ac:dyDescent="0.25">
      <c r="A4789" s="15"/>
    </row>
    <row r="4790" spans="1:1" x14ac:dyDescent="0.25">
      <c r="A4790" s="15"/>
    </row>
    <row r="4791" spans="1:1" x14ac:dyDescent="0.25">
      <c r="A4791" s="15"/>
    </row>
    <row r="4792" spans="1:1" x14ac:dyDescent="0.25">
      <c r="A4792" s="15"/>
    </row>
    <row r="4793" spans="1:1" x14ac:dyDescent="0.25">
      <c r="A4793" s="15"/>
    </row>
    <row r="4794" spans="1:1" x14ac:dyDescent="0.25">
      <c r="A4794" s="15"/>
    </row>
    <row r="4795" spans="1:1" x14ac:dyDescent="0.25">
      <c r="A4795" s="15"/>
    </row>
    <row r="4796" spans="1:1" x14ac:dyDescent="0.25">
      <c r="A4796" s="15"/>
    </row>
    <row r="4797" spans="1:1" x14ac:dyDescent="0.25">
      <c r="A4797" s="15"/>
    </row>
    <row r="4798" spans="1:1" x14ac:dyDescent="0.25">
      <c r="A4798" s="15"/>
    </row>
    <row r="4799" spans="1:1" x14ac:dyDescent="0.25">
      <c r="A4799" s="15"/>
    </row>
    <row r="4800" spans="1:1" x14ac:dyDescent="0.25">
      <c r="A4800" s="15"/>
    </row>
    <row r="4801" spans="1:1" x14ac:dyDescent="0.25">
      <c r="A4801" s="15"/>
    </row>
    <row r="4802" spans="1:1" x14ac:dyDescent="0.25">
      <c r="A4802" s="15"/>
    </row>
    <row r="4803" spans="1:1" x14ac:dyDescent="0.25">
      <c r="A4803" s="15"/>
    </row>
    <row r="4804" spans="1:1" x14ac:dyDescent="0.25">
      <c r="A4804" s="15"/>
    </row>
    <row r="4805" spans="1:1" x14ac:dyDescent="0.25">
      <c r="A4805" s="15"/>
    </row>
    <row r="4806" spans="1:1" x14ac:dyDescent="0.25">
      <c r="A4806" s="15"/>
    </row>
    <row r="4807" spans="1:1" x14ac:dyDescent="0.25">
      <c r="A4807" s="15"/>
    </row>
    <row r="4808" spans="1:1" x14ac:dyDescent="0.25">
      <c r="A4808" s="15"/>
    </row>
    <row r="4809" spans="1:1" x14ac:dyDescent="0.25">
      <c r="A4809" s="15"/>
    </row>
    <row r="4810" spans="1:1" x14ac:dyDescent="0.25">
      <c r="A4810" s="15"/>
    </row>
    <row r="4811" spans="1:1" x14ac:dyDescent="0.25">
      <c r="A4811" s="15"/>
    </row>
    <row r="4812" spans="1:1" x14ac:dyDescent="0.25">
      <c r="A4812" s="15"/>
    </row>
    <row r="4813" spans="1:1" x14ac:dyDescent="0.25">
      <c r="A4813" s="15"/>
    </row>
    <row r="4814" spans="1:1" x14ac:dyDescent="0.25">
      <c r="A4814" s="15"/>
    </row>
    <row r="4815" spans="1:1" x14ac:dyDescent="0.25">
      <c r="A4815" s="15"/>
    </row>
    <row r="4816" spans="1:1" x14ac:dyDescent="0.25">
      <c r="A4816" s="15"/>
    </row>
    <row r="4817" spans="1:1" x14ac:dyDescent="0.25">
      <c r="A4817" s="15"/>
    </row>
    <row r="4818" spans="1:1" x14ac:dyDescent="0.25">
      <c r="A4818" s="15"/>
    </row>
    <row r="4819" spans="1:1" x14ac:dyDescent="0.25">
      <c r="A4819" s="15"/>
    </row>
    <row r="4820" spans="1:1" x14ac:dyDescent="0.25">
      <c r="A4820" s="15"/>
    </row>
    <row r="4821" spans="1:1" x14ac:dyDescent="0.25">
      <c r="A4821" s="15"/>
    </row>
    <row r="4822" spans="1:1" x14ac:dyDescent="0.25">
      <c r="A4822" s="15"/>
    </row>
    <row r="4823" spans="1:1" x14ac:dyDescent="0.25">
      <c r="A4823" s="15"/>
    </row>
    <row r="4824" spans="1:1" x14ac:dyDescent="0.25">
      <c r="A4824" s="15"/>
    </row>
    <row r="4825" spans="1:1" x14ac:dyDescent="0.25">
      <c r="A4825" s="15"/>
    </row>
    <row r="4826" spans="1:1" x14ac:dyDescent="0.25">
      <c r="A4826" s="15"/>
    </row>
    <row r="4827" spans="1:1" x14ac:dyDescent="0.25">
      <c r="A4827" s="15"/>
    </row>
    <row r="4828" spans="1:1" x14ac:dyDescent="0.25">
      <c r="A4828" s="15"/>
    </row>
    <row r="4829" spans="1:1" x14ac:dyDescent="0.25">
      <c r="A4829" s="15"/>
    </row>
    <row r="4830" spans="1:1" x14ac:dyDescent="0.25">
      <c r="A4830" s="15"/>
    </row>
    <row r="4831" spans="1:1" x14ac:dyDescent="0.25">
      <c r="A4831" s="15"/>
    </row>
    <row r="4832" spans="1:1" x14ac:dyDescent="0.25">
      <c r="A4832" s="15"/>
    </row>
    <row r="4833" spans="1:1" x14ac:dyDescent="0.25">
      <c r="A4833" s="15"/>
    </row>
    <row r="4834" spans="1:1" x14ac:dyDescent="0.25">
      <c r="A4834" s="15"/>
    </row>
    <row r="4835" spans="1:1" x14ac:dyDescent="0.25">
      <c r="A4835" s="15"/>
    </row>
    <row r="4836" spans="1:1" x14ac:dyDescent="0.25">
      <c r="A4836" s="15"/>
    </row>
    <row r="4837" spans="1:1" x14ac:dyDescent="0.25">
      <c r="A4837" s="15"/>
    </row>
    <row r="4838" spans="1:1" x14ac:dyDescent="0.25">
      <c r="A4838" s="15"/>
    </row>
    <row r="4839" spans="1:1" x14ac:dyDescent="0.25">
      <c r="A4839" s="15"/>
    </row>
    <row r="4840" spans="1:1" x14ac:dyDescent="0.25">
      <c r="A4840" s="15"/>
    </row>
    <row r="4841" spans="1:1" x14ac:dyDescent="0.25">
      <c r="A4841" s="15"/>
    </row>
    <row r="4842" spans="1:1" x14ac:dyDescent="0.25">
      <c r="A4842" s="15"/>
    </row>
    <row r="4843" spans="1:1" x14ac:dyDescent="0.25">
      <c r="A4843" s="15"/>
    </row>
    <row r="4844" spans="1:1" x14ac:dyDescent="0.25">
      <c r="A4844" s="15"/>
    </row>
    <row r="4845" spans="1:1" x14ac:dyDescent="0.25">
      <c r="A4845" s="15"/>
    </row>
    <row r="4846" spans="1:1" x14ac:dyDescent="0.25">
      <c r="A4846" s="15"/>
    </row>
    <row r="4847" spans="1:1" x14ac:dyDescent="0.25">
      <c r="A4847" s="15"/>
    </row>
    <row r="4848" spans="1:1" x14ac:dyDescent="0.25">
      <c r="A4848" s="15"/>
    </row>
    <row r="4849" spans="1:1" x14ac:dyDescent="0.25">
      <c r="A4849" s="15"/>
    </row>
    <row r="4850" spans="1:1" x14ac:dyDescent="0.25">
      <c r="A4850" s="15"/>
    </row>
    <row r="4851" spans="1:1" x14ac:dyDescent="0.25">
      <c r="A4851" s="15"/>
    </row>
    <row r="4852" spans="1:1" x14ac:dyDescent="0.25">
      <c r="A4852" s="15"/>
    </row>
    <row r="4853" spans="1:1" x14ac:dyDescent="0.25">
      <c r="A4853" s="15"/>
    </row>
    <row r="4854" spans="1:1" x14ac:dyDescent="0.25">
      <c r="A4854" s="15"/>
    </row>
    <row r="4855" spans="1:1" x14ac:dyDescent="0.25">
      <c r="A4855" s="15"/>
    </row>
    <row r="4856" spans="1:1" x14ac:dyDescent="0.25">
      <c r="A4856" s="15"/>
    </row>
    <row r="4857" spans="1:1" x14ac:dyDescent="0.25">
      <c r="A4857" s="15"/>
    </row>
    <row r="4858" spans="1:1" x14ac:dyDescent="0.25">
      <c r="A4858" s="15"/>
    </row>
    <row r="4859" spans="1:1" x14ac:dyDescent="0.25">
      <c r="A4859" s="15"/>
    </row>
    <row r="4860" spans="1:1" x14ac:dyDescent="0.25">
      <c r="A4860" s="15"/>
    </row>
    <row r="4861" spans="1:1" x14ac:dyDescent="0.25">
      <c r="A4861" s="15"/>
    </row>
    <row r="4862" spans="1:1" x14ac:dyDescent="0.25">
      <c r="A4862" s="15"/>
    </row>
    <row r="4863" spans="1:1" x14ac:dyDescent="0.25">
      <c r="A4863" s="15"/>
    </row>
    <row r="4864" spans="1:1" x14ac:dyDescent="0.25">
      <c r="A4864" s="15"/>
    </row>
    <row r="4865" spans="1:1" x14ac:dyDescent="0.25">
      <c r="A4865" s="15"/>
    </row>
    <row r="4866" spans="1:1" x14ac:dyDescent="0.25">
      <c r="A4866" s="15"/>
    </row>
    <row r="4867" spans="1:1" x14ac:dyDescent="0.25">
      <c r="A4867" s="15"/>
    </row>
    <row r="4868" spans="1:1" x14ac:dyDescent="0.25">
      <c r="A4868" s="15"/>
    </row>
    <row r="4869" spans="1:1" x14ac:dyDescent="0.25">
      <c r="A4869" s="15"/>
    </row>
    <row r="4870" spans="1:1" x14ac:dyDescent="0.25">
      <c r="A4870" s="15"/>
    </row>
    <row r="4871" spans="1:1" x14ac:dyDescent="0.25">
      <c r="A4871" s="15"/>
    </row>
    <row r="4872" spans="1:1" x14ac:dyDescent="0.25">
      <c r="A4872" s="15"/>
    </row>
    <row r="4873" spans="1:1" x14ac:dyDescent="0.25">
      <c r="A4873" s="15"/>
    </row>
    <row r="4874" spans="1:1" x14ac:dyDescent="0.25">
      <c r="A4874" s="15"/>
    </row>
    <row r="4875" spans="1:1" x14ac:dyDescent="0.25">
      <c r="A4875" s="15"/>
    </row>
    <row r="4876" spans="1:1" x14ac:dyDescent="0.25">
      <c r="A4876" s="15"/>
    </row>
    <row r="4877" spans="1:1" x14ac:dyDescent="0.25">
      <c r="A4877" s="15"/>
    </row>
    <row r="4878" spans="1:1" x14ac:dyDescent="0.25">
      <c r="A4878" s="15"/>
    </row>
    <row r="4879" spans="1:1" x14ac:dyDescent="0.25">
      <c r="A4879" s="15"/>
    </row>
    <row r="4880" spans="1:1" x14ac:dyDescent="0.25">
      <c r="A4880" s="15"/>
    </row>
    <row r="4881" spans="1:1" x14ac:dyDescent="0.25">
      <c r="A4881" s="15"/>
    </row>
    <row r="4882" spans="1:1" x14ac:dyDescent="0.25">
      <c r="A4882" s="15"/>
    </row>
    <row r="4883" spans="1:1" x14ac:dyDescent="0.25">
      <c r="A4883" s="15"/>
    </row>
    <row r="4884" spans="1:1" x14ac:dyDescent="0.25">
      <c r="A4884" s="15"/>
    </row>
    <row r="4885" spans="1:1" x14ac:dyDescent="0.25">
      <c r="A4885" s="15"/>
    </row>
    <row r="4886" spans="1:1" x14ac:dyDescent="0.25">
      <c r="A4886" s="15"/>
    </row>
    <row r="4887" spans="1:1" x14ac:dyDescent="0.25">
      <c r="A4887" s="15"/>
    </row>
    <row r="4888" spans="1:1" x14ac:dyDescent="0.25">
      <c r="A4888" s="15"/>
    </row>
    <row r="4889" spans="1:1" x14ac:dyDescent="0.25">
      <c r="A4889" s="15"/>
    </row>
    <row r="4890" spans="1:1" x14ac:dyDescent="0.25">
      <c r="A4890" s="15"/>
    </row>
    <row r="4891" spans="1:1" x14ac:dyDescent="0.25">
      <c r="A4891" s="15"/>
    </row>
    <row r="4892" spans="1:1" x14ac:dyDescent="0.25">
      <c r="A4892" s="15"/>
    </row>
    <row r="4893" spans="1:1" x14ac:dyDescent="0.25">
      <c r="A4893" s="15"/>
    </row>
    <row r="4894" spans="1:1" x14ac:dyDescent="0.25">
      <c r="A4894" s="15"/>
    </row>
    <row r="4895" spans="1:1" x14ac:dyDescent="0.25">
      <c r="A4895" s="15"/>
    </row>
    <row r="4896" spans="1:1" x14ac:dyDescent="0.25">
      <c r="A4896" s="15"/>
    </row>
    <row r="4897" spans="1:1" x14ac:dyDescent="0.25">
      <c r="A4897" s="15"/>
    </row>
    <row r="4898" spans="1:1" x14ac:dyDescent="0.25">
      <c r="A4898" s="15"/>
    </row>
    <row r="4899" spans="1:1" x14ac:dyDescent="0.25">
      <c r="A4899" s="15"/>
    </row>
    <row r="4900" spans="1:1" x14ac:dyDescent="0.25">
      <c r="A4900" s="15"/>
    </row>
    <row r="4901" spans="1:1" x14ac:dyDescent="0.25">
      <c r="A4901" s="15"/>
    </row>
    <row r="4902" spans="1:1" x14ac:dyDescent="0.25">
      <c r="A4902" s="15"/>
    </row>
    <row r="4903" spans="1:1" x14ac:dyDescent="0.25">
      <c r="A4903" s="15"/>
    </row>
    <row r="4904" spans="1:1" x14ac:dyDescent="0.25">
      <c r="A4904" s="15"/>
    </row>
    <row r="4905" spans="1:1" x14ac:dyDescent="0.25">
      <c r="A4905" s="15"/>
    </row>
    <row r="4906" spans="1:1" x14ac:dyDescent="0.25">
      <c r="A4906" s="15"/>
    </row>
    <row r="4907" spans="1:1" x14ac:dyDescent="0.25">
      <c r="A4907" s="15"/>
    </row>
    <row r="4908" spans="1:1" x14ac:dyDescent="0.25">
      <c r="A4908" s="15"/>
    </row>
    <row r="4909" spans="1:1" x14ac:dyDescent="0.25">
      <c r="A4909" s="15"/>
    </row>
    <row r="4910" spans="1:1" x14ac:dyDescent="0.25">
      <c r="A4910" s="15"/>
    </row>
    <row r="4911" spans="1:1" x14ac:dyDescent="0.25">
      <c r="A4911" s="15"/>
    </row>
    <row r="4912" spans="1:1" x14ac:dyDescent="0.25">
      <c r="A4912" s="15"/>
    </row>
    <row r="4913" spans="1:1" x14ac:dyDescent="0.25">
      <c r="A4913" s="15"/>
    </row>
    <row r="4914" spans="1:1" x14ac:dyDescent="0.25">
      <c r="A4914" s="15"/>
    </row>
    <row r="4915" spans="1:1" x14ac:dyDescent="0.25">
      <c r="A4915" s="15"/>
    </row>
    <row r="4916" spans="1:1" x14ac:dyDescent="0.25">
      <c r="A4916" s="15"/>
    </row>
    <row r="4917" spans="1:1" x14ac:dyDescent="0.25">
      <c r="A4917" s="15"/>
    </row>
    <row r="4918" spans="1:1" x14ac:dyDescent="0.25">
      <c r="A4918" s="15"/>
    </row>
    <row r="4919" spans="1:1" x14ac:dyDescent="0.25">
      <c r="A4919" s="15"/>
    </row>
    <row r="4920" spans="1:1" x14ac:dyDescent="0.25">
      <c r="A4920" s="15"/>
    </row>
    <row r="4921" spans="1:1" x14ac:dyDescent="0.25">
      <c r="A4921" s="15"/>
    </row>
    <row r="4922" spans="1:1" x14ac:dyDescent="0.25">
      <c r="A4922" s="15"/>
    </row>
    <row r="4923" spans="1:1" x14ac:dyDescent="0.25">
      <c r="A4923" s="15"/>
    </row>
    <row r="4924" spans="1:1" x14ac:dyDescent="0.25">
      <c r="A4924" s="15"/>
    </row>
    <row r="4925" spans="1:1" x14ac:dyDescent="0.25">
      <c r="A4925" s="15"/>
    </row>
    <row r="4926" spans="1:1" x14ac:dyDescent="0.25">
      <c r="A4926" s="15"/>
    </row>
    <row r="4927" spans="1:1" x14ac:dyDescent="0.25">
      <c r="A4927" s="15"/>
    </row>
    <row r="4928" spans="1:1" x14ac:dyDescent="0.25">
      <c r="A4928" s="15"/>
    </row>
    <row r="4929" spans="1:1" x14ac:dyDescent="0.25">
      <c r="A4929" s="15"/>
    </row>
    <row r="4930" spans="1:1" x14ac:dyDescent="0.25">
      <c r="A4930" s="15"/>
    </row>
    <row r="4931" spans="1:1" x14ac:dyDescent="0.25">
      <c r="A4931" s="15"/>
    </row>
    <row r="4932" spans="1:1" x14ac:dyDescent="0.25">
      <c r="A4932" s="15"/>
    </row>
    <row r="4933" spans="1:1" x14ac:dyDescent="0.25">
      <c r="A4933" s="15"/>
    </row>
    <row r="4934" spans="1:1" x14ac:dyDescent="0.25">
      <c r="A4934" s="15"/>
    </row>
    <row r="4935" spans="1:1" x14ac:dyDescent="0.25">
      <c r="A4935" s="15"/>
    </row>
    <row r="4936" spans="1:1" x14ac:dyDescent="0.25">
      <c r="A4936" s="15"/>
    </row>
    <row r="4937" spans="1:1" x14ac:dyDescent="0.25">
      <c r="A4937" s="15"/>
    </row>
    <row r="4938" spans="1:1" x14ac:dyDescent="0.25">
      <c r="A4938" s="15"/>
    </row>
    <row r="4939" spans="1:1" x14ac:dyDescent="0.25">
      <c r="A4939" s="15"/>
    </row>
    <row r="4940" spans="1:1" x14ac:dyDescent="0.25">
      <c r="A4940" s="15"/>
    </row>
    <row r="4941" spans="1:1" x14ac:dyDescent="0.25">
      <c r="A4941" s="15"/>
    </row>
    <row r="4942" spans="1:1" x14ac:dyDescent="0.25">
      <c r="A4942" s="15"/>
    </row>
    <row r="4943" spans="1:1" x14ac:dyDescent="0.25">
      <c r="A4943" s="15"/>
    </row>
    <row r="4944" spans="1:1" x14ac:dyDescent="0.25">
      <c r="A4944" s="15"/>
    </row>
    <row r="4945" spans="1:1" x14ac:dyDescent="0.25">
      <c r="A4945" s="15"/>
    </row>
    <row r="4946" spans="1:1" x14ac:dyDescent="0.25">
      <c r="A4946" s="15"/>
    </row>
    <row r="4947" spans="1:1" x14ac:dyDescent="0.25">
      <c r="A4947" s="15"/>
    </row>
    <row r="4948" spans="1:1" x14ac:dyDescent="0.25">
      <c r="A4948" s="15"/>
    </row>
    <row r="4949" spans="1:1" x14ac:dyDescent="0.25">
      <c r="A4949" s="15"/>
    </row>
    <row r="4950" spans="1:1" x14ac:dyDescent="0.25">
      <c r="A4950" s="15"/>
    </row>
    <row r="4951" spans="1:1" x14ac:dyDescent="0.25">
      <c r="A4951" s="15"/>
    </row>
    <row r="4952" spans="1:1" x14ac:dyDescent="0.25">
      <c r="A4952" s="15"/>
    </row>
    <row r="4953" spans="1:1" x14ac:dyDescent="0.25">
      <c r="A4953" s="15"/>
    </row>
    <row r="4954" spans="1:1" x14ac:dyDescent="0.25">
      <c r="A4954" s="15"/>
    </row>
    <row r="4955" spans="1:1" x14ac:dyDescent="0.25">
      <c r="A4955" s="15"/>
    </row>
    <row r="4956" spans="1:1" x14ac:dyDescent="0.25">
      <c r="A4956" s="15"/>
    </row>
    <row r="4957" spans="1:1" x14ac:dyDescent="0.25">
      <c r="A4957" s="15"/>
    </row>
    <row r="4958" spans="1:1" x14ac:dyDescent="0.25">
      <c r="A4958" s="15"/>
    </row>
    <row r="4959" spans="1:1" x14ac:dyDescent="0.25">
      <c r="A4959" s="15"/>
    </row>
    <row r="4960" spans="1:1" x14ac:dyDescent="0.25">
      <c r="A4960" s="15"/>
    </row>
    <row r="4961" spans="1:1" x14ac:dyDescent="0.25">
      <c r="A4961" s="15"/>
    </row>
    <row r="4962" spans="1:1" x14ac:dyDescent="0.25">
      <c r="A4962" s="15"/>
    </row>
    <row r="4963" spans="1:1" x14ac:dyDescent="0.25">
      <c r="A4963" s="15"/>
    </row>
    <row r="4964" spans="1:1" x14ac:dyDescent="0.25">
      <c r="A4964" s="15"/>
    </row>
    <row r="4965" spans="1:1" x14ac:dyDescent="0.25">
      <c r="A4965" s="15"/>
    </row>
    <row r="4966" spans="1:1" x14ac:dyDescent="0.25">
      <c r="A4966" s="15"/>
    </row>
    <row r="4967" spans="1:1" x14ac:dyDescent="0.25">
      <c r="A4967" s="15"/>
    </row>
    <row r="4968" spans="1:1" x14ac:dyDescent="0.25">
      <c r="A4968" s="15"/>
    </row>
    <row r="4969" spans="1:1" x14ac:dyDescent="0.25">
      <c r="A4969" s="15"/>
    </row>
    <row r="4970" spans="1:1" x14ac:dyDescent="0.25">
      <c r="A4970" s="15"/>
    </row>
    <row r="4971" spans="1:1" x14ac:dyDescent="0.25">
      <c r="A4971" s="15"/>
    </row>
    <row r="4972" spans="1:1" x14ac:dyDescent="0.25">
      <c r="A4972" s="15"/>
    </row>
    <row r="4973" spans="1:1" x14ac:dyDescent="0.25">
      <c r="A4973" s="15"/>
    </row>
    <row r="4974" spans="1:1" x14ac:dyDescent="0.25">
      <c r="A4974" s="15"/>
    </row>
    <row r="4975" spans="1:1" x14ac:dyDescent="0.25">
      <c r="A4975" s="15"/>
    </row>
    <row r="4976" spans="1:1" x14ac:dyDescent="0.25">
      <c r="A4976" s="15"/>
    </row>
    <row r="4977" spans="1:1" x14ac:dyDescent="0.25">
      <c r="A4977" s="15"/>
    </row>
    <row r="4978" spans="1:1" x14ac:dyDescent="0.25">
      <c r="A4978" s="15"/>
    </row>
    <row r="4979" spans="1:1" x14ac:dyDescent="0.25">
      <c r="A4979" s="15"/>
    </row>
    <row r="4980" spans="1:1" x14ac:dyDescent="0.25">
      <c r="A4980" s="15"/>
    </row>
    <row r="4981" spans="1:1" x14ac:dyDescent="0.25">
      <c r="A4981" s="15"/>
    </row>
    <row r="4982" spans="1:1" x14ac:dyDescent="0.25">
      <c r="A4982" s="15"/>
    </row>
    <row r="4983" spans="1:1" x14ac:dyDescent="0.25">
      <c r="A4983" s="15"/>
    </row>
    <row r="4984" spans="1:1" x14ac:dyDescent="0.25">
      <c r="A4984" s="15"/>
    </row>
    <row r="4985" spans="1:1" x14ac:dyDescent="0.25">
      <c r="A4985" s="15"/>
    </row>
    <row r="4986" spans="1:1" x14ac:dyDescent="0.25">
      <c r="A4986" s="15"/>
    </row>
    <row r="4987" spans="1:1" x14ac:dyDescent="0.25">
      <c r="A4987" s="15"/>
    </row>
    <row r="4988" spans="1:1" x14ac:dyDescent="0.25">
      <c r="A4988" s="15"/>
    </row>
    <row r="4989" spans="1:1" x14ac:dyDescent="0.25">
      <c r="A4989" s="15"/>
    </row>
    <row r="4990" spans="1:1" x14ac:dyDescent="0.25">
      <c r="A4990" s="15"/>
    </row>
    <row r="4991" spans="1:1" x14ac:dyDescent="0.25">
      <c r="A4991" s="15"/>
    </row>
    <row r="4992" spans="1:1" x14ac:dyDescent="0.25">
      <c r="A4992" s="15"/>
    </row>
    <row r="4993" spans="1:1" x14ac:dyDescent="0.25">
      <c r="A4993" s="15"/>
    </row>
    <row r="4994" spans="1:1" x14ac:dyDescent="0.25">
      <c r="A4994" s="15"/>
    </row>
    <row r="4995" spans="1:1" x14ac:dyDescent="0.25">
      <c r="A4995" s="15"/>
    </row>
    <row r="4996" spans="1:1" x14ac:dyDescent="0.25">
      <c r="A4996" s="15"/>
    </row>
    <row r="4997" spans="1:1" x14ac:dyDescent="0.25">
      <c r="A4997" s="15"/>
    </row>
    <row r="4998" spans="1:1" x14ac:dyDescent="0.25">
      <c r="A4998" s="15"/>
    </row>
    <row r="4999" spans="1:1" x14ac:dyDescent="0.25">
      <c r="A4999" s="15"/>
    </row>
    <row r="5000" spans="1:1" x14ac:dyDescent="0.25">
      <c r="A5000" s="15"/>
    </row>
    <row r="5001" spans="1:1" x14ac:dyDescent="0.25">
      <c r="A5001" s="15"/>
    </row>
    <row r="5002" spans="1:1" x14ac:dyDescent="0.25">
      <c r="A5002" s="15"/>
    </row>
    <row r="5003" spans="1:1" x14ac:dyDescent="0.25">
      <c r="A5003" s="15"/>
    </row>
    <row r="5004" spans="1:1" x14ac:dyDescent="0.25">
      <c r="A5004" s="15"/>
    </row>
    <row r="5005" spans="1:1" x14ac:dyDescent="0.25">
      <c r="A5005" s="15"/>
    </row>
    <row r="5006" spans="1:1" x14ac:dyDescent="0.25">
      <c r="A5006" s="15"/>
    </row>
    <row r="5007" spans="1:1" x14ac:dyDescent="0.25">
      <c r="A5007" s="15"/>
    </row>
    <row r="5008" spans="1:1" x14ac:dyDescent="0.25">
      <c r="A5008" s="15"/>
    </row>
    <row r="5009" spans="1:1" x14ac:dyDescent="0.25">
      <c r="A5009" s="15"/>
    </row>
    <row r="5010" spans="1:1" x14ac:dyDescent="0.25">
      <c r="A5010" s="15"/>
    </row>
    <row r="5011" spans="1:1" x14ac:dyDescent="0.25">
      <c r="A5011" s="15"/>
    </row>
    <row r="5012" spans="1:1" x14ac:dyDescent="0.25">
      <c r="A5012" s="15"/>
    </row>
    <row r="5013" spans="1:1" x14ac:dyDescent="0.25">
      <c r="A5013" s="15"/>
    </row>
    <row r="5014" spans="1:1" x14ac:dyDescent="0.25">
      <c r="A5014" s="15"/>
    </row>
    <row r="5015" spans="1:1" x14ac:dyDescent="0.25">
      <c r="A5015" s="15"/>
    </row>
    <row r="5016" spans="1:1" x14ac:dyDescent="0.25">
      <c r="A5016" s="15"/>
    </row>
    <row r="5017" spans="1:1" x14ac:dyDescent="0.25">
      <c r="A5017" s="15"/>
    </row>
    <row r="5018" spans="1:1" x14ac:dyDescent="0.25">
      <c r="A5018" s="15"/>
    </row>
    <row r="5019" spans="1:1" x14ac:dyDescent="0.25">
      <c r="A5019" s="15"/>
    </row>
    <row r="5020" spans="1:1" x14ac:dyDescent="0.25">
      <c r="A5020" s="15"/>
    </row>
    <row r="5021" spans="1:1" x14ac:dyDescent="0.25">
      <c r="A5021" s="15"/>
    </row>
    <row r="5022" spans="1:1" x14ac:dyDescent="0.25">
      <c r="A5022" s="15"/>
    </row>
    <row r="5023" spans="1:1" x14ac:dyDescent="0.25">
      <c r="A5023" s="15"/>
    </row>
    <row r="5024" spans="1:1" x14ac:dyDescent="0.25">
      <c r="A5024" s="15"/>
    </row>
    <row r="5025" spans="1:1" x14ac:dyDescent="0.25">
      <c r="A5025" s="15"/>
    </row>
    <row r="5026" spans="1:1" x14ac:dyDescent="0.25">
      <c r="A5026" s="15"/>
    </row>
    <row r="5027" spans="1:1" x14ac:dyDescent="0.25">
      <c r="A5027" s="15"/>
    </row>
    <row r="5028" spans="1:1" x14ac:dyDescent="0.25">
      <c r="A5028" s="15"/>
    </row>
    <row r="5029" spans="1:1" x14ac:dyDescent="0.25">
      <c r="A5029" s="15"/>
    </row>
    <row r="5030" spans="1:1" x14ac:dyDescent="0.25">
      <c r="A5030" s="15"/>
    </row>
    <row r="5031" spans="1:1" x14ac:dyDescent="0.25">
      <c r="A5031" s="15"/>
    </row>
    <row r="5032" spans="1:1" x14ac:dyDescent="0.25">
      <c r="A5032" s="15"/>
    </row>
    <row r="5033" spans="1:1" x14ac:dyDescent="0.25">
      <c r="A5033" s="15"/>
    </row>
    <row r="5034" spans="1:1" x14ac:dyDescent="0.25">
      <c r="A5034" s="15"/>
    </row>
    <row r="5035" spans="1:1" x14ac:dyDescent="0.25">
      <c r="A5035" s="15"/>
    </row>
    <row r="5036" spans="1:1" x14ac:dyDescent="0.25">
      <c r="A5036" s="15"/>
    </row>
    <row r="5037" spans="1:1" x14ac:dyDescent="0.25">
      <c r="A5037" s="15"/>
    </row>
    <row r="5038" spans="1:1" x14ac:dyDescent="0.25">
      <c r="A5038" s="15"/>
    </row>
    <row r="5039" spans="1:1" x14ac:dyDescent="0.25">
      <c r="A5039" s="15"/>
    </row>
    <row r="5040" spans="1:1" x14ac:dyDescent="0.25">
      <c r="A5040" s="15"/>
    </row>
    <row r="5041" spans="1:1" x14ac:dyDescent="0.25">
      <c r="A5041" s="15"/>
    </row>
    <row r="5042" spans="1:1" x14ac:dyDescent="0.25">
      <c r="A5042" s="15"/>
    </row>
    <row r="5043" spans="1:1" x14ac:dyDescent="0.25">
      <c r="A5043" s="15"/>
    </row>
    <row r="5044" spans="1:1" x14ac:dyDescent="0.25">
      <c r="A5044" s="15"/>
    </row>
    <row r="5045" spans="1:1" x14ac:dyDescent="0.25">
      <c r="A5045" s="15"/>
    </row>
    <row r="5046" spans="1:1" x14ac:dyDescent="0.25">
      <c r="A5046" s="15"/>
    </row>
    <row r="5047" spans="1:1" x14ac:dyDescent="0.25">
      <c r="A5047" s="15"/>
    </row>
    <row r="5048" spans="1:1" x14ac:dyDescent="0.25">
      <c r="A5048" s="15"/>
    </row>
    <row r="5049" spans="1:1" x14ac:dyDescent="0.25">
      <c r="A5049" s="15"/>
    </row>
    <row r="5050" spans="1:1" x14ac:dyDescent="0.25">
      <c r="A5050" s="15"/>
    </row>
    <row r="5051" spans="1:1" x14ac:dyDescent="0.25">
      <c r="A5051" s="15"/>
    </row>
    <row r="5052" spans="1:1" x14ac:dyDescent="0.25">
      <c r="A5052" s="15"/>
    </row>
    <row r="5053" spans="1:1" x14ac:dyDescent="0.25">
      <c r="A5053" s="15"/>
    </row>
    <row r="5054" spans="1:1" x14ac:dyDescent="0.25">
      <c r="A5054" s="15"/>
    </row>
    <row r="5055" spans="1:1" x14ac:dyDescent="0.25">
      <c r="A5055" s="15"/>
    </row>
    <row r="5056" spans="1:1" x14ac:dyDescent="0.25">
      <c r="A5056" s="15"/>
    </row>
    <row r="5057" spans="1:1" x14ac:dyDescent="0.25">
      <c r="A5057" s="15"/>
    </row>
    <row r="5058" spans="1:1" x14ac:dyDescent="0.25">
      <c r="A5058" s="15"/>
    </row>
    <row r="5059" spans="1:1" x14ac:dyDescent="0.25">
      <c r="A5059" s="15"/>
    </row>
    <row r="5060" spans="1:1" x14ac:dyDescent="0.25">
      <c r="A5060" s="15"/>
    </row>
    <row r="5061" spans="1:1" x14ac:dyDescent="0.25">
      <c r="A5061" s="15"/>
    </row>
    <row r="5062" spans="1:1" x14ac:dyDescent="0.25">
      <c r="A5062" s="15"/>
    </row>
    <row r="5063" spans="1:1" x14ac:dyDescent="0.25">
      <c r="A5063" s="15"/>
    </row>
    <row r="5064" spans="1:1" x14ac:dyDescent="0.25">
      <c r="A5064" s="15"/>
    </row>
    <row r="5065" spans="1:1" x14ac:dyDescent="0.25">
      <c r="A5065" s="15"/>
    </row>
    <row r="5066" spans="1:1" x14ac:dyDescent="0.25">
      <c r="A5066" s="15"/>
    </row>
    <row r="5067" spans="1:1" x14ac:dyDescent="0.25">
      <c r="A5067" s="15"/>
    </row>
    <row r="5068" spans="1:1" x14ac:dyDescent="0.25">
      <c r="A5068" s="15"/>
    </row>
    <row r="5069" spans="1:1" x14ac:dyDescent="0.25">
      <c r="A5069" s="15"/>
    </row>
    <row r="5070" spans="1:1" x14ac:dyDescent="0.25">
      <c r="A5070" s="15"/>
    </row>
    <row r="5071" spans="1:1" x14ac:dyDescent="0.25">
      <c r="A5071" s="15"/>
    </row>
    <row r="5072" spans="1:1" x14ac:dyDescent="0.25">
      <c r="A5072" s="15"/>
    </row>
    <row r="5073" spans="1:1" x14ac:dyDescent="0.25">
      <c r="A5073" s="15"/>
    </row>
    <row r="5074" spans="1:1" x14ac:dyDescent="0.25">
      <c r="A5074" s="15"/>
    </row>
    <row r="5075" spans="1:1" x14ac:dyDescent="0.25">
      <c r="A5075" s="15"/>
    </row>
    <row r="5076" spans="1:1" x14ac:dyDescent="0.25">
      <c r="A5076" s="15"/>
    </row>
    <row r="5077" spans="1:1" x14ac:dyDescent="0.25">
      <c r="A5077" s="15"/>
    </row>
    <row r="5078" spans="1:1" x14ac:dyDescent="0.25">
      <c r="A5078" s="15"/>
    </row>
    <row r="5079" spans="1:1" x14ac:dyDescent="0.25">
      <c r="A5079" s="15"/>
    </row>
    <row r="5080" spans="1:1" x14ac:dyDescent="0.25">
      <c r="A5080" s="15"/>
    </row>
    <row r="5081" spans="1:1" x14ac:dyDescent="0.25">
      <c r="A5081" s="15"/>
    </row>
    <row r="5082" spans="1:1" x14ac:dyDescent="0.25">
      <c r="A5082" s="15"/>
    </row>
    <row r="5083" spans="1:1" x14ac:dyDescent="0.25">
      <c r="A5083" s="15"/>
    </row>
    <row r="5084" spans="1:1" x14ac:dyDescent="0.25">
      <c r="A5084" s="15"/>
    </row>
    <row r="5085" spans="1:1" x14ac:dyDescent="0.25">
      <c r="A5085" s="15"/>
    </row>
    <row r="5086" spans="1:1" x14ac:dyDescent="0.25">
      <c r="A5086" s="15"/>
    </row>
    <row r="5087" spans="1:1" x14ac:dyDescent="0.25">
      <c r="A5087" s="15"/>
    </row>
    <row r="5088" spans="1:1" x14ac:dyDescent="0.25">
      <c r="A5088" s="15"/>
    </row>
    <row r="5089" spans="1:1" x14ac:dyDescent="0.25">
      <c r="A5089" s="15"/>
    </row>
    <row r="5090" spans="1:1" x14ac:dyDescent="0.25">
      <c r="A5090" s="15"/>
    </row>
    <row r="5091" spans="1:1" x14ac:dyDescent="0.25">
      <c r="A5091" s="15"/>
    </row>
    <row r="5092" spans="1:1" x14ac:dyDescent="0.25">
      <c r="A5092" s="15"/>
    </row>
    <row r="5093" spans="1:1" x14ac:dyDescent="0.25">
      <c r="A5093" s="15"/>
    </row>
    <row r="5094" spans="1:1" x14ac:dyDescent="0.25">
      <c r="A5094" s="15"/>
    </row>
    <row r="5095" spans="1:1" x14ac:dyDescent="0.25">
      <c r="A5095" s="15"/>
    </row>
    <row r="5096" spans="1:1" x14ac:dyDescent="0.25">
      <c r="A5096" s="15"/>
    </row>
    <row r="5097" spans="1:1" x14ac:dyDescent="0.25">
      <c r="A5097" s="15"/>
    </row>
    <row r="5098" spans="1:1" x14ac:dyDescent="0.25">
      <c r="A5098" s="15"/>
    </row>
    <row r="5099" spans="1:1" x14ac:dyDescent="0.25">
      <c r="A5099" s="15"/>
    </row>
    <row r="5100" spans="1:1" x14ac:dyDescent="0.25">
      <c r="A5100" s="15"/>
    </row>
    <row r="5101" spans="1:1" x14ac:dyDescent="0.25">
      <c r="A5101" s="15"/>
    </row>
    <row r="5102" spans="1:1" x14ac:dyDescent="0.25">
      <c r="A5102" s="15"/>
    </row>
    <row r="5103" spans="1:1" x14ac:dyDescent="0.25">
      <c r="A5103" s="15"/>
    </row>
    <row r="5104" spans="1:1" x14ac:dyDescent="0.25">
      <c r="A5104" s="15"/>
    </row>
    <row r="5105" spans="1:1" x14ac:dyDescent="0.25">
      <c r="A5105" s="15"/>
    </row>
    <row r="5106" spans="1:1" x14ac:dyDescent="0.25">
      <c r="A5106" s="15"/>
    </row>
    <row r="5107" spans="1:1" x14ac:dyDescent="0.25">
      <c r="A5107" s="15"/>
    </row>
    <row r="5108" spans="1:1" x14ac:dyDescent="0.25">
      <c r="A5108" s="15"/>
    </row>
    <row r="5109" spans="1:1" x14ac:dyDescent="0.25">
      <c r="A5109" s="15"/>
    </row>
    <row r="5110" spans="1:1" x14ac:dyDescent="0.25">
      <c r="A5110" s="15"/>
    </row>
    <row r="5111" spans="1:1" x14ac:dyDescent="0.25">
      <c r="A5111" s="15"/>
    </row>
    <row r="5112" spans="1:1" x14ac:dyDescent="0.25">
      <c r="A5112" s="15"/>
    </row>
    <row r="5113" spans="1:1" x14ac:dyDescent="0.25">
      <c r="A5113" s="15"/>
    </row>
    <row r="5114" spans="1:1" x14ac:dyDescent="0.25">
      <c r="A5114" s="15"/>
    </row>
    <row r="5115" spans="1:1" x14ac:dyDescent="0.25">
      <c r="A5115" s="15"/>
    </row>
    <row r="5116" spans="1:1" x14ac:dyDescent="0.25">
      <c r="A5116" s="15"/>
    </row>
    <row r="5117" spans="1:1" x14ac:dyDescent="0.25">
      <c r="A5117" s="15"/>
    </row>
    <row r="5118" spans="1:1" x14ac:dyDescent="0.25">
      <c r="A5118" s="15"/>
    </row>
    <row r="5119" spans="1:1" x14ac:dyDescent="0.25">
      <c r="A5119" s="15"/>
    </row>
    <row r="5120" spans="1:1" x14ac:dyDescent="0.25">
      <c r="A5120" s="15"/>
    </row>
    <row r="5121" spans="1:1" x14ac:dyDescent="0.25">
      <c r="A5121" s="15"/>
    </row>
    <row r="5122" spans="1:1" x14ac:dyDescent="0.25">
      <c r="A5122" s="15"/>
    </row>
    <row r="5123" spans="1:1" x14ac:dyDescent="0.25">
      <c r="A5123" s="15"/>
    </row>
    <row r="5124" spans="1:1" x14ac:dyDescent="0.25">
      <c r="A5124" s="15"/>
    </row>
    <row r="5125" spans="1:1" x14ac:dyDescent="0.25">
      <c r="A5125" s="15"/>
    </row>
    <row r="5126" spans="1:1" x14ac:dyDescent="0.25">
      <c r="A5126" s="15"/>
    </row>
    <row r="5127" spans="1:1" x14ac:dyDescent="0.25">
      <c r="A5127" s="15"/>
    </row>
    <row r="5128" spans="1:1" x14ac:dyDescent="0.25">
      <c r="A5128" s="15"/>
    </row>
    <row r="5129" spans="1:1" x14ac:dyDescent="0.25">
      <c r="A5129" s="15"/>
    </row>
    <row r="5130" spans="1:1" x14ac:dyDescent="0.25">
      <c r="A5130" s="15"/>
    </row>
    <row r="5131" spans="1:1" x14ac:dyDescent="0.25">
      <c r="A5131" s="15"/>
    </row>
    <row r="5132" spans="1:1" x14ac:dyDescent="0.25">
      <c r="A5132" s="15"/>
    </row>
    <row r="5133" spans="1:1" x14ac:dyDescent="0.25">
      <c r="A5133" s="15"/>
    </row>
    <row r="5134" spans="1:1" x14ac:dyDescent="0.25">
      <c r="A5134" s="15"/>
    </row>
    <row r="5135" spans="1:1" x14ac:dyDescent="0.25">
      <c r="A5135" s="15"/>
    </row>
    <row r="5136" spans="1:1" x14ac:dyDescent="0.25">
      <c r="A5136" s="15"/>
    </row>
    <row r="5137" spans="1:1" x14ac:dyDescent="0.25">
      <c r="A5137" s="15"/>
    </row>
    <row r="5138" spans="1:1" x14ac:dyDescent="0.25">
      <c r="A5138" s="15"/>
    </row>
    <row r="5139" spans="1:1" x14ac:dyDescent="0.25">
      <c r="A5139" s="15"/>
    </row>
    <row r="5140" spans="1:1" x14ac:dyDescent="0.25">
      <c r="A5140" s="15"/>
    </row>
    <row r="5141" spans="1:1" x14ac:dyDescent="0.25">
      <c r="A5141" s="15"/>
    </row>
    <row r="5142" spans="1:1" x14ac:dyDescent="0.25">
      <c r="A5142" s="15"/>
    </row>
    <row r="5143" spans="1:1" x14ac:dyDescent="0.25">
      <c r="A5143" s="15"/>
    </row>
    <row r="5144" spans="1:1" x14ac:dyDescent="0.25">
      <c r="A5144" s="15"/>
    </row>
    <row r="5145" spans="1:1" x14ac:dyDescent="0.25">
      <c r="A5145" s="15"/>
    </row>
    <row r="5146" spans="1:1" x14ac:dyDescent="0.25">
      <c r="A5146" s="15"/>
    </row>
    <row r="5147" spans="1:1" x14ac:dyDescent="0.25">
      <c r="A5147" s="15"/>
    </row>
    <row r="5148" spans="1:1" x14ac:dyDescent="0.25">
      <c r="A5148" s="15"/>
    </row>
    <row r="5149" spans="1:1" x14ac:dyDescent="0.25">
      <c r="A5149" s="15"/>
    </row>
    <row r="5150" spans="1:1" x14ac:dyDescent="0.25">
      <c r="A5150" s="15"/>
    </row>
    <row r="5151" spans="1:1" x14ac:dyDescent="0.25">
      <c r="A5151" s="15"/>
    </row>
    <row r="5152" spans="1:1" x14ac:dyDescent="0.25">
      <c r="A5152" s="15"/>
    </row>
    <row r="5153" spans="1:1" x14ac:dyDescent="0.25">
      <c r="A5153" s="15"/>
    </row>
    <row r="5154" spans="1:1" x14ac:dyDescent="0.25">
      <c r="A5154" s="15"/>
    </row>
    <row r="5155" spans="1:1" x14ac:dyDescent="0.25">
      <c r="A5155" s="15"/>
    </row>
    <row r="5156" spans="1:1" x14ac:dyDescent="0.25">
      <c r="A5156" s="15"/>
    </row>
    <row r="5157" spans="1:1" x14ac:dyDescent="0.25">
      <c r="A5157" s="15"/>
    </row>
    <row r="5158" spans="1:1" x14ac:dyDescent="0.25">
      <c r="A5158" s="15"/>
    </row>
    <row r="5159" spans="1:1" x14ac:dyDescent="0.25">
      <c r="A5159" s="15"/>
    </row>
    <row r="5160" spans="1:1" x14ac:dyDescent="0.25">
      <c r="A5160" s="15"/>
    </row>
    <row r="5161" spans="1:1" x14ac:dyDescent="0.25">
      <c r="A5161" s="15"/>
    </row>
    <row r="5162" spans="1:1" x14ac:dyDescent="0.25">
      <c r="A5162" s="15"/>
    </row>
    <row r="5163" spans="1:1" x14ac:dyDescent="0.25">
      <c r="A5163" s="15"/>
    </row>
    <row r="5164" spans="1:1" x14ac:dyDescent="0.25">
      <c r="A5164" s="15"/>
    </row>
    <row r="5165" spans="1:1" x14ac:dyDescent="0.25">
      <c r="A5165" s="15"/>
    </row>
    <row r="5166" spans="1:1" x14ac:dyDescent="0.25">
      <c r="A5166" s="15"/>
    </row>
    <row r="5167" spans="1:1" x14ac:dyDescent="0.25">
      <c r="A5167" s="15"/>
    </row>
    <row r="5168" spans="1:1" x14ac:dyDescent="0.25">
      <c r="A5168" s="15"/>
    </row>
    <row r="5169" spans="1:1" x14ac:dyDescent="0.25">
      <c r="A5169" s="15"/>
    </row>
    <row r="5170" spans="1:1" x14ac:dyDescent="0.25">
      <c r="A5170" s="15"/>
    </row>
    <row r="5171" spans="1:1" x14ac:dyDescent="0.25">
      <c r="A5171" s="15"/>
    </row>
    <row r="5172" spans="1:1" x14ac:dyDescent="0.25">
      <c r="A5172" s="15"/>
    </row>
    <row r="5173" spans="1:1" x14ac:dyDescent="0.25">
      <c r="A5173" s="15"/>
    </row>
    <row r="5174" spans="1:1" x14ac:dyDescent="0.25">
      <c r="A5174" s="15"/>
    </row>
    <row r="5175" spans="1:1" x14ac:dyDescent="0.25">
      <c r="A5175" s="15"/>
    </row>
    <row r="5176" spans="1:1" x14ac:dyDescent="0.25">
      <c r="A5176" s="15"/>
    </row>
    <row r="5177" spans="1:1" x14ac:dyDescent="0.25">
      <c r="A5177" s="15"/>
    </row>
    <row r="5178" spans="1:1" x14ac:dyDescent="0.25">
      <c r="A5178" s="15"/>
    </row>
    <row r="5179" spans="1:1" x14ac:dyDescent="0.25">
      <c r="A5179" s="15"/>
    </row>
    <row r="5180" spans="1:1" x14ac:dyDescent="0.25">
      <c r="A5180" s="15"/>
    </row>
    <row r="5181" spans="1:1" x14ac:dyDescent="0.25">
      <c r="A5181" s="15"/>
    </row>
    <row r="5182" spans="1:1" x14ac:dyDescent="0.25">
      <c r="A5182" s="15"/>
    </row>
    <row r="5183" spans="1:1" x14ac:dyDescent="0.25">
      <c r="A5183" s="15"/>
    </row>
    <row r="5184" spans="1:1" x14ac:dyDescent="0.25">
      <c r="A5184" s="15"/>
    </row>
    <row r="5185" spans="1:1" x14ac:dyDescent="0.25">
      <c r="A5185" s="15"/>
    </row>
    <row r="5186" spans="1:1" x14ac:dyDescent="0.25">
      <c r="A5186" s="15"/>
    </row>
    <row r="5187" spans="1:1" x14ac:dyDescent="0.25">
      <c r="A5187" s="15"/>
    </row>
    <row r="5188" spans="1:1" x14ac:dyDescent="0.25">
      <c r="A5188" s="15"/>
    </row>
    <row r="5189" spans="1:1" x14ac:dyDescent="0.25">
      <c r="A5189" s="15"/>
    </row>
    <row r="5190" spans="1:1" x14ac:dyDescent="0.25">
      <c r="A5190" s="15"/>
    </row>
    <row r="5191" spans="1:1" x14ac:dyDescent="0.25">
      <c r="A5191" s="15"/>
    </row>
    <row r="5192" spans="1:1" x14ac:dyDescent="0.25">
      <c r="A5192" s="15"/>
    </row>
    <row r="5193" spans="1:1" x14ac:dyDescent="0.25">
      <c r="A5193" s="15"/>
    </row>
    <row r="5194" spans="1:1" x14ac:dyDescent="0.25">
      <c r="A5194" s="15"/>
    </row>
    <row r="5195" spans="1:1" x14ac:dyDescent="0.25">
      <c r="A5195" s="15"/>
    </row>
    <row r="5196" spans="1:1" x14ac:dyDescent="0.25">
      <c r="A5196" s="15"/>
    </row>
    <row r="5197" spans="1:1" x14ac:dyDescent="0.25">
      <c r="A5197" s="15"/>
    </row>
    <row r="5198" spans="1:1" x14ac:dyDescent="0.25">
      <c r="A5198" s="15"/>
    </row>
    <row r="5199" spans="1:1" x14ac:dyDescent="0.25">
      <c r="A5199" s="15"/>
    </row>
    <row r="5200" spans="1:1" x14ac:dyDescent="0.25">
      <c r="A5200" s="15"/>
    </row>
    <row r="5201" spans="1:1" x14ac:dyDescent="0.25">
      <c r="A5201" s="15"/>
    </row>
    <row r="5202" spans="1:1" x14ac:dyDescent="0.25">
      <c r="A5202" s="15"/>
    </row>
    <row r="5203" spans="1:1" x14ac:dyDescent="0.25">
      <c r="A5203" s="15"/>
    </row>
    <row r="5204" spans="1:1" x14ac:dyDescent="0.25">
      <c r="A5204" s="15"/>
    </row>
    <row r="5205" spans="1:1" x14ac:dyDescent="0.25">
      <c r="A5205" s="15"/>
    </row>
    <row r="5206" spans="1:1" x14ac:dyDescent="0.25">
      <c r="A5206" s="15"/>
    </row>
    <row r="5207" spans="1:1" x14ac:dyDescent="0.25">
      <c r="A5207" s="15"/>
    </row>
    <row r="5208" spans="1:1" x14ac:dyDescent="0.25">
      <c r="A5208" s="15"/>
    </row>
    <row r="5209" spans="1:1" x14ac:dyDescent="0.25">
      <c r="A5209" s="15"/>
    </row>
    <row r="5210" spans="1:1" x14ac:dyDescent="0.25">
      <c r="A5210" s="15"/>
    </row>
    <row r="5211" spans="1:1" x14ac:dyDescent="0.25">
      <c r="A5211" s="15"/>
    </row>
    <row r="5212" spans="1:1" x14ac:dyDescent="0.25">
      <c r="A5212" s="15"/>
    </row>
    <row r="5213" spans="1:1" x14ac:dyDescent="0.25">
      <c r="A5213" s="15"/>
    </row>
    <row r="5214" spans="1:1" x14ac:dyDescent="0.25">
      <c r="A5214" s="15"/>
    </row>
    <row r="5215" spans="1:1" x14ac:dyDescent="0.25">
      <c r="A5215" s="15"/>
    </row>
    <row r="5216" spans="1:1" x14ac:dyDescent="0.25">
      <c r="A5216" s="15"/>
    </row>
    <row r="5217" spans="1:1" x14ac:dyDescent="0.25">
      <c r="A5217" s="15"/>
    </row>
    <row r="5218" spans="1:1" x14ac:dyDescent="0.25">
      <c r="A5218" s="15"/>
    </row>
    <row r="5219" spans="1:1" x14ac:dyDescent="0.25">
      <c r="A5219" s="15"/>
    </row>
    <row r="5220" spans="1:1" x14ac:dyDescent="0.25">
      <c r="A5220" s="15"/>
    </row>
    <row r="5221" spans="1:1" x14ac:dyDescent="0.25">
      <c r="A5221" s="15"/>
    </row>
    <row r="5222" spans="1:1" x14ac:dyDescent="0.25">
      <c r="A5222" s="15"/>
    </row>
    <row r="5223" spans="1:1" x14ac:dyDescent="0.25">
      <c r="A5223" s="15"/>
    </row>
    <row r="5224" spans="1:1" x14ac:dyDescent="0.25">
      <c r="A5224" s="15"/>
    </row>
    <row r="5225" spans="1:1" x14ac:dyDescent="0.25">
      <c r="A5225" s="15"/>
    </row>
    <row r="5226" spans="1:1" x14ac:dyDescent="0.25">
      <c r="A5226" s="15"/>
    </row>
    <row r="5227" spans="1:1" x14ac:dyDescent="0.25">
      <c r="A5227" s="15"/>
    </row>
    <row r="5228" spans="1:1" x14ac:dyDescent="0.25">
      <c r="A5228" s="15"/>
    </row>
    <row r="5229" spans="1:1" x14ac:dyDescent="0.25">
      <c r="A5229" s="15"/>
    </row>
    <row r="5230" spans="1:1" x14ac:dyDescent="0.25">
      <c r="A5230" s="15"/>
    </row>
    <row r="5231" spans="1:1" x14ac:dyDescent="0.25">
      <c r="A5231" s="15"/>
    </row>
    <row r="5232" spans="1:1" x14ac:dyDescent="0.25">
      <c r="A5232" s="15"/>
    </row>
    <row r="5233" spans="1:1" x14ac:dyDescent="0.25">
      <c r="A5233" s="15"/>
    </row>
    <row r="5234" spans="1:1" x14ac:dyDescent="0.25">
      <c r="A5234" s="15"/>
    </row>
    <row r="5235" spans="1:1" x14ac:dyDescent="0.25">
      <c r="A5235" s="15"/>
    </row>
    <row r="5236" spans="1:1" x14ac:dyDescent="0.25">
      <c r="A5236" s="15"/>
    </row>
    <row r="5237" spans="1:1" x14ac:dyDescent="0.25">
      <c r="A5237" s="15"/>
    </row>
    <row r="5238" spans="1:1" x14ac:dyDescent="0.25">
      <c r="A5238" s="15"/>
    </row>
    <row r="5239" spans="1:1" x14ac:dyDescent="0.25">
      <c r="A5239" s="15"/>
    </row>
    <row r="5240" spans="1:1" x14ac:dyDescent="0.25">
      <c r="A5240" s="15"/>
    </row>
    <row r="5241" spans="1:1" x14ac:dyDescent="0.25">
      <c r="A5241" s="15"/>
    </row>
    <row r="5242" spans="1:1" x14ac:dyDescent="0.25">
      <c r="A5242" s="15"/>
    </row>
    <row r="5243" spans="1:1" x14ac:dyDescent="0.25">
      <c r="A5243" s="15"/>
    </row>
    <row r="5244" spans="1:1" x14ac:dyDescent="0.25">
      <c r="A5244" s="15"/>
    </row>
    <row r="5245" spans="1:1" x14ac:dyDescent="0.25">
      <c r="A5245" s="15"/>
    </row>
    <row r="5246" spans="1:1" x14ac:dyDescent="0.25">
      <c r="A5246" s="15"/>
    </row>
    <row r="5247" spans="1:1" x14ac:dyDescent="0.25">
      <c r="A5247" s="15"/>
    </row>
    <row r="5248" spans="1:1" x14ac:dyDescent="0.25">
      <c r="A5248" s="15"/>
    </row>
    <row r="5249" spans="1:1" x14ac:dyDescent="0.25">
      <c r="A5249" s="15"/>
    </row>
    <row r="5250" spans="1:1" x14ac:dyDescent="0.25">
      <c r="A5250" s="15"/>
    </row>
    <row r="5251" spans="1:1" x14ac:dyDescent="0.25">
      <c r="A5251" s="15"/>
    </row>
    <row r="5252" spans="1:1" x14ac:dyDescent="0.25">
      <c r="A5252" s="15"/>
    </row>
    <row r="5253" spans="1:1" x14ac:dyDescent="0.25">
      <c r="A5253" s="15"/>
    </row>
    <row r="5254" spans="1:1" x14ac:dyDescent="0.25">
      <c r="A5254" s="15"/>
    </row>
    <row r="5255" spans="1:1" x14ac:dyDescent="0.25">
      <c r="A5255" s="15"/>
    </row>
    <row r="5256" spans="1:1" x14ac:dyDescent="0.25">
      <c r="A5256" s="15"/>
    </row>
    <row r="5257" spans="1:1" x14ac:dyDescent="0.25">
      <c r="A5257" s="15"/>
    </row>
    <row r="5258" spans="1:1" x14ac:dyDescent="0.25">
      <c r="A5258" s="15"/>
    </row>
    <row r="5259" spans="1:1" x14ac:dyDescent="0.25">
      <c r="A5259" s="15"/>
    </row>
    <row r="5260" spans="1:1" x14ac:dyDescent="0.25">
      <c r="A5260" s="15"/>
    </row>
    <row r="5261" spans="1:1" x14ac:dyDescent="0.25">
      <c r="A5261" s="15"/>
    </row>
    <row r="5262" spans="1:1" x14ac:dyDescent="0.25">
      <c r="A5262" s="15"/>
    </row>
    <row r="5263" spans="1:1" x14ac:dyDescent="0.25">
      <c r="A5263" s="15"/>
    </row>
    <row r="5264" spans="1:1" x14ac:dyDescent="0.25">
      <c r="A5264" s="15"/>
    </row>
    <row r="5265" spans="1:1" x14ac:dyDescent="0.25">
      <c r="A5265" s="15"/>
    </row>
    <row r="5266" spans="1:1" x14ac:dyDescent="0.25">
      <c r="A5266" s="15"/>
    </row>
    <row r="5267" spans="1:1" x14ac:dyDescent="0.25">
      <c r="A5267" s="15"/>
    </row>
    <row r="5268" spans="1:1" x14ac:dyDescent="0.25">
      <c r="A5268" s="15"/>
    </row>
    <row r="5269" spans="1:1" x14ac:dyDescent="0.25">
      <c r="A5269" s="15"/>
    </row>
    <row r="5270" spans="1:1" x14ac:dyDescent="0.25">
      <c r="A5270" s="15"/>
    </row>
    <row r="5271" spans="1:1" x14ac:dyDescent="0.25">
      <c r="A5271" s="15"/>
    </row>
    <row r="5272" spans="1:1" x14ac:dyDescent="0.25">
      <c r="A5272" s="15"/>
    </row>
    <row r="5273" spans="1:1" x14ac:dyDescent="0.25">
      <c r="A5273" s="15"/>
    </row>
    <row r="5274" spans="1:1" x14ac:dyDescent="0.25">
      <c r="A5274" s="15"/>
    </row>
    <row r="5275" spans="1:1" x14ac:dyDescent="0.25">
      <c r="A5275" s="15"/>
    </row>
    <row r="5276" spans="1:1" x14ac:dyDescent="0.25">
      <c r="A5276" s="15"/>
    </row>
    <row r="5277" spans="1:1" x14ac:dyDescent="0.25">
      <c r="A5277" s="15"/>
    </row>
    <row r="5278" spans="1:1" x14ac:dyDescent="0.25">
      <c r="A5278" s="15"/>
    </row>
    <row r="5279" spans="1:1" x14ac:dyDescent="0.25">
      <c r="A5279" s="15"/>
    </row>
    <row r="5280" spans="1:1" x14ac:dyDescent="0.25">
      <c r="A5280" s="15"/>
    </row>
    <row r="5281" spans="1:1" x14ac:dyDescent="0.25">
      <c r="A5281" s="15"/>
    </row>
    <row r="5282" spans="1:1" x14ac:dyDescent="0.25">
      <c r="A5282" s="15"/>
    </row>
    <row r="5283" spans="1:1" x14ac:dyDescent="0.25">
      <c r="A5283" s="15"/>
    </row>
    <row r="5284" spans="1:1" x14ac:dyDescent="0.25">
      <c r="A5284" s="15"/>
    </row>
    <row r="5285" spans="1:1" x14ac:dyDescent="0.25">
      <c r="A5285" s="15"/>
    </row>
    <row r="5286" spans="1:1" x14ac:dyDescent="0.25">
      <c r="A5286" s="15"/>
    </row>
    <row r="5287" spans="1:1" x14ac:dyDescent="0.25">
      <c r="A5287" s="15"/>
    </row>
    <row r="5288" spans="1:1" x14ac:dyDescent="0.25">
      <c r="A5288" s="15"/>
    </row>
    <row r="5289" spans="1:1" x14ac:dyDescent="0.25">
      <c r="A5289" s="15"/>
    </row>
    <row r="5290" spans="1:1" x14ac:dyDescent="0.25">
      <c r="A5290" s="15"/>
    </row>
    <row r="5291" spans="1:1" x14ac:dyDescent="0.25">
      <c r="A5291" s="15"/>
    </row>
    <row r="5292" spans="1:1" x14ac:dyDescent="0.25">
      <c r="A5292" s="15"/>
    </row>
    <row r="5293" spans="1:1" x14ac:dyDescent="0.25">
      <c r="A5293" s="15"/>
    </row>
    <row r="5294" spans="1:1" x14ac:dyDescent="0.25">
      <c r="A5294" s="15"/>
    </row>
    <row r="5295" spans="1:1" x14ac:dyDescent="0.25">
      <c r="A5295" s="15"/>
    </row>
    <row r="5296" spans="1:1" x14ac:dyDescent="0.25">
      <c r="A5296" s="15"/>
    </row>
    <row r="5297" spans="1:1" x14ac:dyDescent="0.25">
      <c r="A5297" s="15"/>
    </row>
    <row r="5298" spans="1:1" x14ac:dyDescent="0.25">
      <c r="A5298" s="15"/>
    </row>
    <row r="5299" spans="1:1" x14ac:dyDescent="0.25">
      <c r="A5299" s="15"/>
    </row>
    <row r="5300" spans="1:1" x14ac:dyDescent="0.25">
      <c r="A5300" s="15"/>
    </row>
    <row r="5301" spans="1:1" x14ac:dyDescent="0.25">
      <c r="A5301" s="15"/>
    </row>
    <row r="5302" spans="1:1" x14ac:dyDescent="0.25">
      <c r="A5302" s="15"/>
    </row>
    <row r="5303" spans="1:1" x14ac:dyDescent="0.25">
      <c r="A5303" s="15"/>
    </row>
    <row r="5304" spans="1:1" x14ac:dyDescent="0.25">
      <c r="A5304" s="15"/>
    </row>
    <row r="5305" spans="1:1" x14ac:dyDescent="0.25">
      <c r="A5305" s="15"/>
    </row>
    <row r="5306" spans="1:1" x14ac:dyDescent="0.25">
      <c r="A5306" s="15"/>
    </row>
    <row r="5307" spans="1:1" x14ac:dyDescent="0.25">
      <c r="A5307" s="15"/>
    </row>
    <row r="5308" spans="1:1" x14ac:dyDescent="0.25">
      <c r="A5308" s="15"/>
    </row>
    <row r="5309" spans="1:1" x14ac:dyDescent="0.25">
      <c r="A5309" s="15"/>
    </row>
    <row r="5310" spans="1:1" x14ac:dyDescent="0.25">
      <c r="A5310" s="15"/>
    </row>
    <row r="5311" spans="1:1" x14ac:dyDescent="0.25">
      <c r="A5311" s="15"/>
    </row>
    <row r="5312" spans="1:1" x14ac:dyDescent="0.25">
      <c r="A5312" s="15"/>
    </row>
    <row r="5313" spans="1:1" x14ac:dyDescent="0.25">
      <c r="A5313" s="15"/>
    </row>
    <row r="5314" spans="1:1" x14ac:dyDescent="0.25">
      <c r="A5314" s="15"/>
    </row>
    <row r="5315" spans="1:1" x14ac:dyDescent="0.25">
      <c r="A5315" s="15"/>
    </row>
    <row r="5316" spans="1:1" x14ac:dyDescent="0.25">
      <c r="A5316" s="15"/>
    </row>
    <row r="5317" spans="1:1" x14ac:dyDescent="0.25">
      <c r="A5317" s="15"/>
    </row>
    <row r="5318" spans="1:1" x14ac:dyDescent="0.25">
      <c r="A5318" s="15"/>
    </row>
    <row r="5319" spans="1:1" x14ac:dyDescent="0.25">
      <c r="A5319" s="15"/>
    </row>
    <row r="5320" spans="1:1" x14ac:dyDescent="0.25">
      <c r="A5320" s="15"/>
    </row>
    <row r="5321" spans="1:1" x14ac:dyDescent="0.25">
      <c r="A5321" s="15"/>
    </row>
    <row r="5322" spans="1:1" x14ac:dyDescent="0.25">
      <c r="A5322" s="15"/>
    </row>
    <row r="5323" spans="1:1" x14ac:dyDescent="0.25">
      <c r="A5323" s="15"/>
    </row>
    <row r="5324" spans="1:1" x14ac:dyDescent="0.25">
      <c r="A5324" s="15"/>
    </row>
    <row r="5325" spans="1:1" x14ac:dyDescent="0.25">
      <c r="A5325" s="15"/>
    </row>
    <row r="5326" spans="1:1" x14ac:dyDescent="0.25">
      <c r="A5326" s="15"/>
    </row>
    <row r="5327" spans="1:1" x14ac:dyDescent="0.25">
      <c r="A5327" s="15"/>
    </row>
    <row r="5328" spans="1:1" x14ac:dyDescent="0.25">
      <c r="A5328" s="15"/>
    </row>
    <row r="5329" spans="1:1" x14ac:dyDescent="0.25">
      <c r="A5329" s="15"/>
    </row>
    <row r="5330" spans="1:1" x14ac:dyDescent="0.25">
      <c r="A5330" s="15"/>
    </row>
    <row r="5331" spans="1:1" x14ac:dyDescent="0.25">
      <c r="A5331" s="15"/>
    </row>
    <row r="5332" spans="1:1" x14ac:dyDescent="0.25">
      <c r="A5332" s="15"/>
    </row>
    <row r="5333" spans="1:1" x14ac:dyDescent="0.25">
      <c r="A5333" s="15"/>
    </row>
    <row r="5334" spans="1:1" x14ac:dyDescent="0.25">
      <c r="A5334" s="15"/>
    </row>
    <row r="5335" spans="1:1" x14ac:dyDescent="0.25">
      <c r="A5335" s="15"/>
    </row>
    <row r="5336" spans="1:1" x14ac:dyDescent="0.25">
      <c r="A5336" s="15"/>
    </row>
    <row r="5337" spans="1:1" x14ac:dyDescent="0.25">
      <c r="A5337" s="15"/>
    </row>
    <row r="5338" spans="1:1" x14ac:dyDescent="0.25">
      <c r="A5338" s="15"/>
    </row>
    <row r="5339" spans="1:1" x14ac:dyDescent="0.25">
      <c r="A5339" s="15"/>
    </row>
    <row r="5340" spans="1:1" x14ac:dyDescent="0.25">
      <c r="A5340" s="15"/>
    </row>
    <row r="5341" spans="1:1" x14ac:dyDescent="0.25">
      <c r="A5341" s="15"/>
    </row>
    <row r="5342" spans="1:1" x14ac:dyDescent="0.25">
      <c r="A5342" s="15"/>
    </row>
    <row r="5343" spans="1:1" x14ac:dyDescent="0.25">
      <c r="A5343" s="15"/>
    </row>
    <row r="5344" spans="1:1" x14ac:dyDescent="0.25">
      <c r="A5344" s="15"/>
    </row>
    <row r="5345" spans="1:1" x14ac:dyDescent="0.25">
      <c r="A5345" s="15"/>
    </row>
    <row r="5346" spans="1:1" x14ac:dyDescent="0.25">
      <c r="A5346" s="15"/>
    </row>
    <row r="5347" spans="1:1" x14ac:dyDescent="0.25">
      <c r="A5347" s="15"/>
    </row>
    <row r="5348" spans="1:1" x14ac:dyDescent="0.25">
      <c r="A5348" s="15"/>
    </row>
    <row r="5349" spans="1:1" x14ac:dyDescent="0.25">
      <c r="A5349" s="15"/>
    </row>
    <row r="5350" spans="1:1" x14ac:dyDescent="0.25">
      <c r="A5350" s="15"/>
    </row>
    <row r="5351" spans="1:1" x14ac:dyDescent="0.25">
      <c r="A5351" s="15"/>
    </row>
    <row r="5352" spans="1:1" x14ac:dyDescent="0.25">
      <c r="A5352" s="15"/>
    </row>
    <row r="5353" spans="1:1" x14ac:dyDescent="0.25">
      <c r="A5353" s="15"/>
    </row>
    <row r="5354" spans="1:1" x14ac:dyDescent="0.25">
      <c r="A5354" s="15"/>
    </row>
    <row r="5355" spans="1:1" x14ac:dyDescent="0.25">
      <c r="A5355" s="15"/>
    </row>
    <row r="5356" spans="1:1" x14ac:dyDescent="0.25">
      <c r="A5356" s="15"/>
    </row>
    <row r="5357" spans="1:1" x14ac:dyDescent="0.25">
      <c r="A5357" s="15"/>
    </row>
    <row r="5358" spans="1:1" x14ac:dyDescent="0.25">
      <c r="A5358" s="15"/>
    </row>
    <row r="5359" spans="1:1" x14ac:dyDescent="0.25">
      <c r="A5359" s="15"/>
    </row>
    <row r="5360" spans="1:1" x14ac:dyDescent="0.25">
      <c r="A5360" s="15"/>
    </row>
    <row r="5361" spans="1:1" x14ac:dyDescent="0.25">
      <c r="A5361" s="15"/>
    </row>
    <row r="5362" spans="1:1" x14ac:dyDescent="0.25">
      <c r="A5362" s="15"/>
    </row>
    <row r="5363" spans="1:1" x14ac:dyDescent="0.25">
      <c r="A5363" s="15"/>
    </row>
    <row r="5364" spans="1:1" x14ac:dyDescent="0.25">
      <c r="A5364" s="15"/>
    </row>
    <row r="5365" spans="1:1" x14ac:dyDescent="0.25">
      <c r="A5365" s="15"/>
    </row>
    <row r="5366" spans="1:1" x14ac:dyDescent="0.25">
      <c r="A5366" s="15"/>
    </row>
    <row r="5367" spans="1:1" x14ac:dyDescent="0.25">
      <c r="A5367" s="15"/>
    </row>
    <row r="5368" spans="1:1" x14ac:dyDescent="0.25">
      <c r="A5368" s="15"/>
    </row>
    <row r="5369" spans="1:1" x14ac:dyDescent="0.25">
      <c r="A5369" s="15"/>
    </row>
    <row r="5370" spans="1:1" x14ac:dyDescent="0.25">
      <c r="A5370" s="15"/>
    </row>
    <row r="5371" spans="1:1" x14ac:dyDescent="0.25">
      <c r="A5371" s="15"/>
    </row>
    <row r="5372" spans="1:1" x14ac:dyDescent="0.25">
      <c r="A5372" s="15"/>
    </row>
    <row r="5373" spans="1:1" x14ac:dyDescent="0.25">
      <c r="A5373" s="15"/>
    </row>
    <row r="5374" spans="1:1" x14ac:dyDescent="0.25">
      <c r="A5374" s="15"/>
    </row>
    <row r="5375" spans="1:1" x14ac:dyDescent="0.25">
      <c r="A5375" s="15"/>
    </row>
    <row r="5376" spans="1:1" x14ac:dyDescent="0.25">
      <c r="A5376" s="15"/>
    </row>
    <row r="5377" spans="1:1" x14ac:dyDescent="0.25">
      <c r="A5377" s="15"/>
    </row>
    <row r="5378" spans="1:1" x14ac:dyDescent="0.25">
      <c r="A5378" s="15"/>
    </row>
    <row r="5379" spans="1:1" x14ac:dyDescent="0.25">
      <c r="A5379" s="15"/>
    </row>
    <row r="5380" spans="1:1" x14ac:dyDescent="0.25">
      <c r="A5380" s="15"/>
    </row>
    <row r="5381" spans="1:1" x14ac:dyDescent="0.25">
      <c r="A5381" s="15"/>
    </row>
    <row r="5382" spans="1:1" x14ac:dyDescent="0.25">
      <c r="A5382" s="15"/>
    </row>
    <row r="5383" spans="1:1" x14ac:dyDescent="0.25">
      <c r="A5383" s="15"/>
    </row>
    <row r="5384" spans="1:1" x14ac:dyDescent="0.25">
      <c r="A5384" s="15"/>
    </row>
    <row r="5385" spans="1:1" x14ac:dyDescent="0.25">
      <c r="A5385" s="15"/>
    </row>
    <row r="5386" spans="1:1" x14ac:dyDescent="0.25">
      <c r="A5386" s="15"/>
    </row>
    <row r="5387" spans="1:1" x14ac:dyDescent="0.25">
      <c r="A5387" s="15"/>
    </row>
    <row r="5388" spans="1:1" x14ac:dyDescent="0.25">
      <c r="A5388" s="15"/>
    </row>
    <row r="5389" spans="1:1" x14ac:dyDescent="0.25">
      <c r="A5389" s="15"/>
    </row>
    <row r="5390" spans="1:1" x14ac:dyDescent="0.25">
      <c r="A5390" s="15"/>
    </row>
    <row r="5391" spans="1:1" x14ac:dyDescent="0.25">
      <c r="A5391" s="15"/>
    </row>
    <row r="5392" spans="1:1" x14ac:dyDescent="0.25">
      <c r="A5392" s="15"/>
    </row>
    <row r="5393" spans="1:1" x14ac:dyDescent="0.25">
      <c r="A5393" s="15"/>
    </row>
    <row r="5394" spans="1:1" x14ac:dyDescent="0.25">
      <c r="A5394" s="15"/>
    </row>
    <row r="5395" spans="1:1" x14ac:dyDescent="0.25">
      <c r="A5395" s="15"/>
    </row>
    <row r="5396" spans="1:1" x14ac:dyDescent="0.25">
      <c r="A5396" s="15"/>
    </row>
    <row r="5397" spans="1:1" x14ac:dyDescent="0.25">
      <c r="A5397" s="15"/>
    </row>
    <row r="5398" spans="1:1" x14ac:dyDescent="0.25">
      <c r="A5398" s="15"/>
    </row>
    <row r="5399" spans="1:1" x14ac:dyDescent="0.25">
      <c r="A5399" s="15"/>
    </row>
    <row r="5400" spans="1:1" x14ac:dyDescent="0.25">
      <c r="A5400" s="15"/>
    </row>
    <row r="5401" spans="1:1" x14ac:dyDescent="0.25">
      <c r="A5401" s="15"/>
    </row>
    <row r="5402" spans="1:1" x14ac:dyDescent="0.25">
      <c r="A5402" s="15"/>
    </row>
    <row r="5403" spans="1:1" x14ac:dyDescent="0.25">
      <c r="A5403" s="15"/>
    </row>
    <row r="5404" spans="1:1" x14ac:dyDescent="0.25">
      <c r="A5404" s="15"/>
    </row>
    <row r="5405" spans="1:1" x14ac:dyDescent="0.25">
      <c r="A5405" s="15"/>
    </row>
    <row r="5406" spans="1:1" x14ac:dyDescent="0.25">
      <c r="A5406" s="15"/>
    </row>
    <row r="5407" spans="1:1" x14ac:dyDescent="0.25">
      <c r="A5407" s="15"/>
    </row>
    <row r="5408" spans="1:1" x14ac:dyDescent="0.25">
      <c r="A5408" s="15"/>
    </row>
    <row r="5409" spans="1:1" x14ac:dyDescent="0.25">
      <c r="A5409" s="15"/>
    </row>
    <row r="5410" spans="1:1" x14ac:dyDescent="0.25">
      <c r="A5410" s="15"/>
    </row>
    <row r="5411" spans="1:1" x14ac:dyDescent="0.25">
      <c r="A5411" s="15"/>
    </row>
    <row r="5412" spans="1:1" x14ac:dyDescent="0.25">
      <c r="A5412" s="15"/>
    </row>
    <row r="5413" spans="1:1" x14ac:dyDescent="0.25">
      <c r="A5413" s="15"/>
    </row>
    <row r="5414" spans="1:1" x14ac:dyDescent="0.25">
      <c r="A5414" s="15"/>
    </row>
    <row r="5415" spans="1:1" x14ac:dyDescent="0.25">
      <c r="A5415" s="15"/>
    </row>
    <row r="5416" spans="1:1" x14ac:dyDescent="0.25">
      <c r="A5416" s="15"/>
    </row>
    <row r="5417" spans="1:1" x14ac:dyDescent="0.25">
      <c r="A5417" s="15"/>
    </row>
    <row r="5418" spans="1:1" x14ac:dyDescent="0.25">
      <c r="A5418" s="15"/>
    </row>
    <row r="5419" spans="1:1" x14ac:dyDescent="0.25">
      <c r="A5419" s="15"/>
    </row>
    <row r="5420" spans="1:1" x14ac:dyDescent="0.25">
      <c r="A5420" s="15"/>
    </row>
    <row r="5421" spans="1:1" x14ac:dyDescent="0.25">
      <c r="A5421" s="15"/>
    </row>
    <row r="5422" spans="1:1" x14ac:dyDescent="0.25">
      <c r="A5422" s="15"/>
    </row>
    <row r="5423" spans="1:1" x14ac:dyDescent="0.25">
      <c r="A5423" s="15"/>
    </row>
    <row r="5424" spans="1:1" x14ac:dyDescent="0.25">
      <c r="A5424" s="15"/>
    </row>
    <row r="5425" spans="1:1" x14ac:dyDescent="0.25">
      <c r="A5425" s="15"/>
    </row>
    <row r="5426" spans="1:1" x14ac:dyDescent="0.25">
      <c r="A5426" s="15"/>
    </row>
    <row r="5427" spans="1:1" x14ac:dyDescent="0.25">
      <c r="A5427" s="15"/>
    </row>
    <row r="5428" spans="1:1" x14ac:dyDescent="0.25">
      <c r="A5428" s="15"/>
    </row>
    <row r="5429" spans="1:1" x14ac:dyDescent="0.25">
      <c r="A5429" s="15"/>
    </row>
    <row r="5430" spans="1:1" x14ac:dyDescent="0.25">
      <c r="A5430" s="15"/>
    </row>
    <row r="5431" spans="1:1" x14ac:dyDescent="0.25">
      <c r="A5431" s="15"/>
    </row>
    <row r="5432" spans="1:1" x14ac:dyDescent="0.25">
      <c r="A5432" s="15"/>
    </row>
    <row r="5433" spans="1:1" x14ac:dyDescent="0.25">
      <c r="A5433" s="15"/>
    </row>
    <row r="5434" spans="1:1" x14ac:dyDescent="0.25">
      <c r="A5434" s="15"/>
    </row>
    <row r="5435" spans="1:1" x14ac:dyDescent="0.25">
      <c r="A5435" s="15"/>
    </row>
    <row r="5436" spans="1:1" x14ac:dyDescent="0.25">
      <c r="A5436" s="15"/>
    </row>
    <row r="5437" spans="1:1" x14ac:dyDescent="0.25">
      <c r="A5437" s="15"/>
    </row>
    <row r="5438" spans="1:1" x14ac:dyDescent="0.25">
      <c r="A5438" s="15"/>
    </row>
    <row r="5439" spans="1:1" x14ac:dyDescent="0.25">
      <c r="A5439" s="15"/>
    </row>
    <row r="5440" spans="1:1" x14ac:dyDescent="0.25">
      <c r="A5440" s="15"/>
    </row>
    <row r="5441" spans="1:1" x14ac:dyDescent="0.25">
      <c r="A5441" s="15"/>
    </row>
    <row r="5442" spans="1:1" x14ac:dyDescent="0.25">
      <c r="A5442" s="15"/>
    </row>
    <row r="5443" spans="1:1" x14ac:dyDescent="0.25">
      <c r="A5443" s="15"/>
    </row>
    <row r="5444" spans="1:1" x14ac:dyDescent="0.25">
      <c r="A5444" s="15"/>
    </row>
    <row r="5445" spans="1:1" x14ac:dyDescent="0.25">
      <c r="A5445" s="15"/>
    </row>
    <row r="5446" spans="1:1" x14ac:dyDescent="0.25">
      <c r="A5446" s="15"/>
    </row>
    <row r="5447" spans="1:1" x14ac:dyDescent="0.25">
      <c r="A5447" s="15"/>
    </row>
    <row r="5448" spans="1:1" x14ac:dyDescent="0.25">
      <c r="A5448" s="15"/>
    </row>
    <row r="5449" spans="1:1" x14ac:dyDescent="0.25">
      <c r="A5449" s="15"/>
    </row>
    <row r="5450" spans="1:1" x14ac:dyDescent="0.25">
      <c r="A5450" s="15"/>
    </row>
    <row r="5451" spans="1:1" x14ac:dyDescent="0.25">
      <c r="A5451" s="15"/>
    </row>
    <row r="5452" spans="1:1" x14ac:dyDescent="0.25">
      <c r="A5452" s="15"/>
    </row>
    <row r="5453" spans="1:1" x14ac:dyDescent="0.25">
      <c r="A5453" s="15"/>
    </row>
    <row r="5454" spans="1:1" x14ac:dyDescent="0.25">
      <c r="A5454" s="15"/>
    </row>
    <row r="5455" spans="1:1" x14ac:dyDescent="0.25">
      <c r="A5455" s="15"/>
    </row>
    <row r="5456" spans="1:1" x14ac:dyDescent="0.25">
      <c r="A5456" s="15"/>
    </row>
    <row r="5457" spans="1:1" x14ac:dyDescent="0.25">
      <c r="A5457" s="15"/>
    </row>
    <row r="5458" spans="1:1" x14ac:dyDescent="0.25">
      <c r="A5458" s="15"/>
    </row>
    <row r="5459" spans="1:1" x14ac:dyDescent="0.25">
      <c r="A5459" s="15"/>
    </row>
    <row r="5460" spans="1:1" x14ac:dyDescent="0.25">
      <c r="A5460" s="15"/>
    </row>
    <row r="5461" spans="1:1" x14ac:dyDescent="0.25">
      <c r="A5461" s="15"/>
    </row>
    <row r="5462" spans="1:1" x14ac:dyDescent="0.25">
      <c r="A5462" s="15"/>
    </row>
    <row r="5463" spans="1:1" x14ac:dyDescent="0.25">
      <c r="A5463" s="15"/>
    </row>
    <row r="5464" spans="1:1" x14ac:dyDescent="0.25">
      <c r="A5464" s="15"/>
    </row>
    <row r="5465" spans="1:1" x14ac:dyDescent="0.25">
      <c r="A5465" s="15"/>
    </row>
    <row r="5466" spans="1:1" x14ac:dyDescent="0.25">
      <c r="A5466" s="15"/>
    </row>
    <row r="5467" spans="1:1" x14ac:dyDescent="0.25">
      <c r="A5467" s="15"/>
    </row>
    <row r="5468" spans="1:1" x14ac:dyDescent="0.25">
      <c r="A5468" s="15"/>
    </row>
    <row r="5469" spans="1:1" x14ac:dyDescent="0.25">
      <c r="A5469" s="15"/>
    </row>
    <row r="5470" spans="1:1" x14ac:dyDescent="0.25">
      <c r="A5470" s="15"/>
    </row>
    <row r="5471" spans="1:1" x14ac:dyDescent="0.25">
      <c r="A5471" s="15"/>
    </row>
    <row r="5472" spans="1:1" x14ac:dyDescent="0.25">
      <c r="A5472" s="15"/>
    </row>
    <row r="5473" spans="1:1" x14ac:dyDescent="0.25">
      <c r="A5473" s="15"/>
    </row>
    <row r="5474" spans="1:1" x14ac:dyDescent="0.25">
      <c r="A5474" s="15"/>
    </row>
    <row r="5475" spans="1:1" x14ac:dyDescent="0.25">
      <c r="A5475" s="15"/>
    </row>
    <row r="5476" spans="1:1" x14ac:dyDescent="0.25">
      <c r="A5476" s="15"/>
    </row>
    <row r="5477" spans="1:1" x14ac:dyDescent="0.25">
      <c r="A5477" s="15"/>
    </row>
    <row r="5478" spans="1:1" x14ac:dyDescent="0.25">
      <c r="A5478" s="15"/>
    </row>
    <row r="5479" spans="1:1" x14ac:dyDescent="0.25">
      <c r="A5479" s="15"/>
    </row>
    <row r="5480" spans="1:1" x14ac:dyDescent="0.25">
      <c r="A5480" s="15"/>
    </row>
    <row r="5481" spans="1:1" x14ac:dyDescent="0.25">
      <c r="A5481" s="15"/>
    </row>
    <row r="5482" spans="1:1" x14ac:dyDescent="0.25">
      <c r="A5482" s="15"/>
    </row>
    <row r="5483" spans="1:1" x14ac:dyDescent="0.25">
      <c r="A5483" s="15"/>
    </row>
    <row r="5484" spans="1:1" x14ac:dyDescent="0.25">
      <c r="A5484" s="15"/>
    </row>
    <row r="5485" spans="1:1" x14ac:dyDescent="0.25">
      <c r="A5485" s="15"/>
    </row>
    <row r="5486" spans="1:1" x14ac:dyDescent="0.25">
      <c r="A5486" s="15"/>
    </row>
    <row r="5487" spans="1:1" x14ac:dyDescent="0.25">
      <c r="A5487" s="15"/>
    </row>
    <row r="5488" spans="1:1" x14ac:dyDescent="0.25">
      <c r="A5488" s="15"/>
    </row>
    <row r="5489" spans="1:1" x14ac:dyDescent="0.25">
      <c r="A5489" s="15"/>
    </row>
    <row r="5490" spans="1:1" x14ac:dyDescent="0.25">
      <c r="A5490" s="15"/>
    </row>
    <row r="5491" spans="1:1" x14ac:dyDescent="0.25">
      <c r="A5491" s="15"/>
    </row>
    <row r="5492" spans="1:1" x14ac:dyDescent="0.25">
      <c r="A5492" s="15"/>
    </row>
    <row r="5493" spans="1:1" x14ac:dyDescent="0.25">
      <c r="A5493" s="15"/>
    </row>
    <row r="5494" spans="1:1" x14ac:dyDescent="0.25">
      <c r="A5494" s="15"/>
    </row>
    <row r="5495" spans="1:1" x14ac:dyDescent="0.25">
      <c r="A5495" s="15"/>
    </row>
    <row r="5496" spans="1:1" x14ac:dyDescent="0.25">
      <c r="A5496" s="15"/>
    </row>
    <row r="5497" spans="1:1" x14ac:dyDescent="0.25">
      <c r="A5497" s="15"/>
    </row>
    <row r="5498" spans="1:1" x14ac:dyDescent="0.25">
      <c r="A5498" s="15"/>
    </row>
    <row r="5499" spans="1:1" x14ac:dyDescent="0.25">
      <c r="A5499" s="15"/>
    </row>
    <row r="5500" spans="1:1" x14ac:dyDescent="0.25">
      <c r="A5500" s="15"/>
    </row>
    <row r="5501" spans="1:1" x14ac:dyDescent="0.25">
      <c r="A5501" s="15"/>
    </row>
    <row r="5502" spans="1:1" x14ac:dyDescent="0.25">
      <c r="A5502" s="15"/>
    </row>
    <row r="5503" spans="1:1" x14ac:dyDescent="0.25">
      <c r="A5503" s="15"/>
    </row>
    <row r="5504" spans="1:1" x14ac:dyDescent="0.25">
      <c r="A5504" s="15"/>
    </row>
    <row r="5505" spans="1:1" x14ac:dyDescent="0.25">
      <c r="A5505" s="15"/>
    </row>
    <row r="5506" spans="1:1" x14ac:dyDescent="0.25">
      <c r="A5506" s="15"/>
    </row>
    <row r="5507" spans="1:1" x14ac:dyDescent="0.25">
      <c r="A5507" s="15"/>
    </row>
    <row r="5508" spans="1:1" x14ac:dyDescent="0.25">
      <c r="A5508" s="15"/>
    </row>
    <row r="5509" spans="1:1" x14ac:dyDescent="0.25">
      <c r="A5509" s="15"/>
    </row>
    <row r="5510" spans="1:1" x14ac:dyDescent="0.25">
      <c r="A5510" s="15"/>
    </row>
    <row r="5511" spans="1:1" x14ac:dyDescent="0.25">
      <c r="A5511" s="15"/>
    </row>
    <row r="5512" spans="1:1" x14ac:dyDescent="0.25">
      <c r="A5512" s="15"/>
    </row>
    <row r="5513" spans="1:1" x14ac:dyDescent="0.25">
      <c r="A5513" s="15"/>
    </row>
    <row r="5514" spans="1:1" x14ac:dyDescent="0.25">
      <c r="A5514" s="15"/>
    </row>
    <row r="5515" spans="1:1" x14ac:dyDescent="0.25">
      <c r="A5515" s="15"/>
    </row>
    <row r="5516" spans="1:1" x14ac:dyDescent="0.25">
      <c r="A5516" s="15"/>
    </row>
    <row r="5517" spans="1:1" x14ac:dyDescent="0.25">
      <c r="A5517" s="15"/>
    </row>
    <row r="5518" spans="1:1" x14ac:dyDescent="0.25">
      <c r="A5518" s="15"/>
    </row>
    <row r="5519" spans="1:1" x14ac:dyDescent="0.25">
      <c r="A5519" s="15"/>
    </row>
    <row r="5520" spans="1:1" x14ac:dyDescent="0.25">
      <c r="A5520" s="15"/>
    </row>
    <row r="5521" spans="1:1" x14ac:dyDescent="0.25">
      <c r="A5521" s="15"/>
    </row>
    <row r="5522" spans="1:1" x14ac:dyDescent="0.25">
      <c r="A5522" s="15"/>
    </row>
    <row r="5523" spans="1:1" x14ac:dyDescent="0.25">
      <c r="A5523" s="15"/>
    </row>
    <row r="5524" spans="1:1" x14ac:dyDescent="0.25">
      <c r="A5524" s="15"/>
    </row>
    <row r="5525" spans="1:1" x14ac:dyDescent="0.25">
      <c r="A5525" s="15"/>
    </row>
    <row r="5526" spans="1:1" x14ac:dyDescent="0.25">
      <c r="A5526" s="15"/>
    </row>
    <row r="5527" spans="1:1" x14ac:dyDescent="0.25">
      <c r="A5527" s="15"/>
    </row>
    <row r="5528" spans="1:1" x14ac:dyDescent="0.25">
      <c r="A5528" s="15"/>
    </row>
    <row r="5529" spans="1:1" x14ac:dyDescent="0.25">
      <c r="A5529" s="15"/>
    </row>
    <row r="5530" spans="1:1" x14ac:dyDescent="0.25">
      <c r="A5530" s="15"/>
    </row>
    <row r="5531" spans="1:1" x14ac:dyDescent="0.25">
      <c r="A5531" s="15"/>
    </row>
    <row r="5532" spans="1:1" x14ac:dyDescent="0.25">
      <c r="A5532" s="15"/>
    </row>
    <row r="5533" spans="1:1" x14ac:dyDescent="0.25">
      <c r="A5533" s="15"/>
    </row>
    <row r="5534" spans="1:1" x14ac:dyDescent="0.25">
      <c r="A5534" s="15"/>
    </row>
    <row r="5535" spans="1:1" x14ac:dyDescent="0.25">
      <c r="A5535" s="15"/>
    </row>
    <row r="5536" spans="1:1" x14ac:dyDescent="0.25">
      <c r="A5536" s="15"/>
    </row>
    <row r="5537" spans="1:1" x14ac:dyDescent="0.25">
      <c r="A5537" s="15"/>
    </row>
    <row r="5538" spans="1:1" x14ac:dyDescent="0.25">
      <c r="A5538" s="15"/>
    </row>
    <row r="5539" spans="1:1" x14ac:dyDescent="0.25">
      <c r="A5539" s="15"/>
    </row>
    <row r="5540" spans="1:1" x14ac:dyDescent="0.25">
      <c r="A5540" s="15"/>
    </row>
    <row r="5541" spans="1:1" x14ac:dyDescent="0.25">
      <c r="A5541" s="15"/>
    </row>
    <row r="5542" spans="1:1" x14ac:dyDescent="0.25">
      <c r="A5542" s="15"/>
    </row>
    <row r="5543" spans="1:1" x14ac:dyDescent="0.25">
      <c r="A5543" s="15"/>
    </row>
    <row r="5544" spans="1:1" x14ac:dyDescent="0.25">
      <c r="A5544" s="15"/>
    </row>
    <row r="5545" spans="1:1" x14ac:dyDescent="0.25">
      <c r="A5545" s="15"/>
    </row>
    <row r="5546" spans="1:1" x14ac:dyDescent="0.25">
      <c r="A5546" s="15"/>
    </row>
    <row r="5547" spans="1:1" x14ac:dyDescent="0.25">
      <c r="A5547" s="15"/>
    </row>
    <row r="5548" spans="1:1" x14ac:dyDescent="0.25">
      <c r="A5548" s="15"/>
    </row>
    <row r="5549" spans="1:1" x14ac:dyDescent="0.25">
      <c r="A5549" s="15"/>
    </row>
    <row r="5550" spans="1:1" x14ac:dyDescent="0.25">
      <c r="A5550" s="15"/>
    </row>
    <row r="5551" spans="1:1" x14ac:dyDescent="0.25">
      <c r="A5551" s="15"/>
    </row>
    <row r="5552" spans="1:1" x14ac:dyDescent="0.25">
      <c r="A5552" s="15"/>
    </row>
    <row r="5553" spans="1:1" x14ac:dyDescent="0.25">
      <c r="A5553" s="15"/>
    </row>
    <row r="5554" spans="1:1" x14ac:dyDescent="0.25">
      <c r="A5554" s="15"/>
    </row>
    <row r="5555" spans="1:1" x14ac:dyDescent="0.25">
      <c r="A5555" s="15"/>
    </row>
    <row r="5556" spans="1:1" x14ac:dyDescent="0.25">
      <c r="A5556" s="15"/>
    </row>
    <row r="5557" spans="1:1" x14ac:dyDescent="0.25">
      <c r="A5557" s="15"/>
    </row>
    <row r="5558" spans="1:1" x14ac:dyDescent="0.25">
      <c r="A5558" s="15"/>
    </row>
    <row r="5559" spans="1:1" x14ac:dyDescent="0.25">
      <c r="A5559" s="15"/>
    </row>
    <row r="5560" spans="1:1" x14ac:dyDescent="0.25">
      <c r="A5560" s="15"/>
    </row>
    <row r="5561" spans="1:1" x14ac:dyDescent="0.25">
      <c r="A5561" s="15"/>
    </row>
    <row r="5562" spans="1:1" x14ac:dyDescent="0.25">
      <c r="A5562" s="15"/>
    </row>
    <row r="5563" spans="1:1" x14ac:dyDescent="0.25">
      <c r="A5563" s="15"/>
    </row>
    <row r="5564" spans="1:1" x14ac:dyDescent="0.25">
      <c r="A5564" s="15"/>
    </row>
    <row r="5565" spans="1:1" x14ac:dyDescent="0.25">
      <c r="A5565" s="15"/>
    </row>
    <row r="5566" spans="1:1" x14ac:dyDescent="0.25">
      <c r="A5566" s="15"/>
    </row>
    <row r="5567" spans="1:1" x14ac:dyDescent="0.25">
      <c r="A5567" s="15"/>
    </row>
    <row r="5568" spans="1:1" x14ac:dyDescent="0.25">
      <c r="A5568" s="15"/>
    </row>
    <row r="5569" spans="1:1" x14ac:dyDescent="0.25">
      <c r="A5569" s="15"/>
    </row>
    <row r="5570" spans="1:1" x14ac:dyDescent="0.25">
      <c r="A5570" s="15"/>
    </row>
    <row r="5571" spans="1:1" x14ac:dyDescent="0.25">
      <c r="A5571" s="15"/>
    </row>
    <row r="5572" spans="1:1" x14ac:dyDescent="0.25">
      <c r="A5572" s="15"/>
    </row>
    <row r="5573" spans="1:1" x14ac:dyDescent="0.25">
      <c r="A5573" s="15"/>
    </row>
    <row r="5574" spans="1:1" x14ac:dyDescent="0.25">
      <c r="A5574" s="15"/>
    </row>
    <row r="5575" spans="1:1" x14ac:dyDescent="0.25">
      <c r="A5575" s="15"/>
    </row>
    <row r="5576" spans="1:1" x14ac:dyDescent="0.25">
      <c r="A5576" s="15"/>
    </row>
    <row r="5577" spans="1:1" x14ac:dyDescent="0.25">
      <c r="A5577" s="15"/>
    </row>
    <row r="5578" spans="1:1" x14ac:dyDescent="0.25">
      <c r="A5578" s="15"/>
    </row>
    <row r="5579" spans="1:1" x14ac:dyDescent="0.25">
      <c r="A5579" s="15"/>
    </row>
    <row r="5580" spans="1:1" x14ac:dyDescent="0.25">
      <c r="A5580" s="15"/>
    </row>
    <row r="5581" spans="1:1" x14ac:dyDescent="0.25">
      <c r="A5581" s="15"/>
    </row>
    <row r="5582" spans="1:1" x14ac:dyDescent="0.25">
      <c r="A5582" s="15"/>
    </row>
    <row r="5583" spans="1:1" x14ac:dyDescent="0.25">
      <c r="A5583" s="15"/>
    </row>
    <row r="5584" spans="1:1" x14ac:dyDescent="0.25">
      <c r="A5584" s="15"/>
    </row>
    <row r="5585" spans="1:1" x14ac:dyDescent="0.25">
      <c r="A5585" s="15"/>
    </row>
    <row r="5586" spans="1:1" x14ac:dyDescent="0.25">
      <c r="A5586" s="15"/>
    </row>
    <row r="5587" spans="1:1" x14ac:dyDescent="0.25">
      <c r="A5587" s="15"/>
    </row>
    <row r="5588" spans="1:1" x14ac:dyDescent="0.25">
      <c r="A5588" s="15"/>
    </row>
    <row r="5589" spans="1:1" x14ac:dyDescent="0.25">
      <c r="A5589" s="15"/>
    </row>
    <row r="5590" spans="1:1" x14ac:dyDescent="0.25">
      <c r="A5590" s="15"/>
    </row>
    <row r="5591" spans="1:1" x14ac:dyDescent="0.25">
      <c r="A5591" s="15"/>
    </row>
    <row r="5592" spans="1:1" x14ac:dyDescent="0.25">
      <c r="A5592" s="15"/>
    </row>
    <row r="5593" spans="1:1" x14ac:dyDescent="0.25">
      <c r="A5593" s="15"/>
    </row>
    <row r="5594" spans="1:1" x14ac:dyDescent="0.25">
      <c r="A5594" s="15"/>
    </row>
    <row r="5595" spans="1:1" x14ac:dyDescent="0.25">
      <c r="A5595" s="15"/>
    </row>
    <row r="5596" spans="1:1" x14ac:dyDescent="0.25">
      <c r="A5596" s="15"/>
    </row>
    <row r="5597" spans="1:1" x14ac:dyDescent="0.25">
      <c r="A5597" s="15"/>
    </row>
    <row r="5598" spans="1:1" x14ac:dyDescent="0.25">
      <c r="A5598" s="15"/>
    </row>
    <row r="5599" spans="1:1" x14ac:dyDescent="0.25">
      <c r="A5599" s="15"/>
    </row>
    <row r="5600" spans="1:1" x14ac:dyDescent="0.25">
      <c r="A5600" s="15"/>
    </row>
    <row r="5601" spans="1:1" x14ac:dyDescent="0.25">
      <c r="A5601" s="15"/>
    </row>
    <row r="5602" spans="1:1" x14ac:dyDescent="0.25">
      <c r="A5602" s="15"/>
    </row>
    <row r="5603" spans="1:1" x14ac:dyDescent="0.25">
      <c r="A5603" s="15"/>
    </row>
    <row r="5604" spans="1:1" x14ac:dyDescent="0.25">
      <c r="A5604" s="15"/>
    </row>
    <row r="5605" spans="1:1" x14ac:dyDescent="0.25">
      <c r="A5605" s="15"/>
    </row>
    <row r="5606" spans="1:1" x14ac:dyDescent="0.25">
      <c r="A5606" s="15"/>
    </row>
    <row r="5607" spans="1:1" x14ac:dyDescent="0.25">
      <c r="A5607" s="15"/>
    </row>
    <row r="5608" spans="1:1" x14ac:dyDescent="0.25">
      <c r="A5608" s="15"/>
    </row>
    <row r="5609" spans="1:1" x14ac:dyDescent="0.25">
      <c r="A5609" s="15"/>
    </row>
    <row r="5610" spans="1:1" x14ac:dyDescent="0.25">
      <c r="A5610" s="15"/>
    </row>
    <row r="5611" spans="1:1" x14ac:dyDescent="0.25">
      <c r="A5611" s="15"/>
    </row>
    <row r="5612" spans="1:1" x14ac:dyDescent="0.25">
      <c r="A5612" s="15"/>
    </row>
    <row r="5613" spans="1:1" x14ac:dyDescent="0.25">
      <c r="A5613" s="15"/>
    </row>
    <row r="5614" spans="1:1" x14ac:dyDescent="0.25">
      <c r="A5614" s="15"/>
    </row>
    <row r="5615" spans="1:1" x14ac:dyDescent="0.25">
      <c r="A5615" s="15"/>
    </row>
    <row r="5616" spans="1:1" x14ac:dyDescent="0.25">
      <c r="A5616" s="15"/>
    </row>
    <row r="5617" spans="1:1" x14ac:dyDescent="0.25">
      <c r="A5617" s="15"/>
    </row>
    <row r="5618" spans="1:1" x14ac:dyDescent="0.25">
      <c r="A5618" s="15"/>
    </row>
    <row r="5619" spans="1:1" x14ac:dyDescent="0.25">
      <c r="A5619" s="15"/>
    </row>
    <row r="5620" spans="1:1" x14ac:dyDescent="0.25">
      <c r="A5620" s="15"/>
    </row>
    <row r="5621" spans="1:1" x14ac:dyDescent="0.25">
      <c r="A5621" s="15"/>
    </row>
    <row r="5622" spans="1:1" x14ac:dyDescent="0.25">
      <c r="A5622" s="15"/>
    </row>
    <row r="5623" spans="1:1" x14ac:dyDescent="0.25">
      <c r="A5623" s="15"/>
    </row>
    <row r="5624" spans="1:1" x14ac:dyDescent="0.25">
      <c r="A5624" s="15"/>
    </row>
    <row r="5625" spans="1:1" x14ac:dyDescent="0.25">
      <c r="A5625" s="15"/>
    </row>
    <row r="5626" spans="1:1" x14ac:dyDescent="0.25">
      <c r="A5626" s="15"/>
    </row>
    <row r="5627" spans="1:1" x14ac:dyDescent="0.25">
      <c r="A5627" s="15"/>
    </row>
    <row r="5628" spans="1:1" x14ac:dyDescent="0.25">
      <c r="A5628" s="15"/>
    </row>
    <row r="5629" spans="1:1" x14ac:dyDescent="0.25">
      <c r="A5629" s="15"/>
    </row>
    <row r="5630" spans="1:1" x14ac:dyDescent="0.25">
      <c r="A5630" s="15"/>
    </row>
    <row r="5631" spans="1:1" x14ac:dyDescent="0.25">
      <c r="A5631" s="15"/>
    </row>
    <row r="5632" spans="1:1" x14ac:dyDescent="0.25">
      <c r="A5632" s="15"/>
    </row>
    <row r="5633" spans="1:1" x14ac:dyDescent="0.25">
      <c r="A5633" s="15"/>
    </row>
    <row r="5634" spans="1:1" x14ac:dyDescent="0.25">
      <c r="A5634" s="15"/>
    </row>
    <row r="5635" spans="1:1" x14ac:dyDescent="0.25">
      <c r="A5635" s="15"/>
    </row>
    <row r="5636" spans="1:1" x14ac:dyDescent="0.25">
      <c r="A5636" s="15"/>
    </row>
    <row r="5637" spans="1:1" x14ac:dyDescent="0.25">
      <c r="A5637" s="15"/>
    </row>
    <row r="5638" spans="1:1" x14ac:dyDescent="0.25">
      <c r="A5638" s="15"/>
    </row>
    <row r="5639" spans="1:1" x14ac:dyDescent="0.25">
      <c r="A5639" s="15"/>
    </row>
    <row r="5640" spans="1:1" x14ac:dyDescent="0.25">
      <c r="A5640" s="15"/>
    </row>
    <row r="5641" spans="1:1" x14ac:dyDescent="0.25">
      <c r="A5641" s="15"/>
    </row>
    <row r="5642" spans="1:1" x14ac:dyDescent="0.25">
      <c r="A5642" s="15"/>
    </row>
    <row r="5643" spans="1:1" x14ac:dyDescent="0.25">
      <c r="A5643" s="15"/>
    </row>
    <row r="5644" spans="1:1" x14ac:dyDescent="0.25">
      <c r="A5644" s="15"/>
    </row>
    <row r="5645" spans="1:1" x14ac:dyDescent="0.25">
      <c r="A5645" s="15"/>
    </row>
    <row r="5646" spans="1:1" x14ac:dyDescent="0.25">
      <c r="A5646" s="15"/>
    </row>
    <row r="5647" spans="1:1" x14ac:dyDescent="0.25">
      <c r="A5647" s="15"/>
    </row>
    <row r="5648" spans="1:1" x14ac:dyDescent="0.25">
      <c r="A5648" s="15"/>
    </row>
    <row r="5649" spans="1:1" x14ac:dyDescent="0.25">
      <c r="A5649" s="15"/>
    </row>
    <row r="5650" spans="1:1" x14ac:dyDescent="0.25">
      <c r="A5650" s="15"/>
    </row>
    <row r="5651" spans="1:1" x14ac:dyDescent="0.25">
      <c r="A5651" s="15"/>
    </row>
    <row r="5652" spans="1:1" x14ac:dyDescent="0.25">
      <c r="A5652" s="15"/>
    </row>
    <row r="5653" spans="1:1" x14ac:dyDescent="0.25">
      <c r="A5653" s="15"/>
    </row>
    <row r="5654" spans="1:1" x14ac:dyDescent="0.25">
      <c r="A5654" s="15"/>
    </row>
    <row r="5655" spans="1:1" x14ac:dyDescent="0.25">
      <c r="A5655" s="15"/>
    </row>
    <row r="5656" spans="1:1" x14ac:dyDescent="0.25">
      <c r="A5656" s="15"/>
    </row>
    <row r="5657" spans="1:1" x14ac:dyDescent="0.25">
      <c r="A5657" s="15"/>
    </row>
    <row r="5658" spans="1:1" x14ac:dyDescent="0.25">
      <c r="A5658" s="15"/>
    </row>
    <row r="5659" spans="1:1" x14ac:dyDescent="0.25">
      <c r="A5659" s="15"/>
    </row>
    <row r="5660" spans="1:1" x14ac:dyDescent="0.25">
      <c r="A5660" s="15"/>
    </row>
    <row r="5661" spans="1:1" x14ac:dyDescent="0.25">
      <c r="A5661" s="15"/>
    </row>
    <row r="5662" spans="1:1" x14ac:dyDescent="0.25">
      <c r="A5662" s="15"/>
    </row>
    <row r="5663" spans="1:1" x14ac:dyDescent="0.25">
      <c r="A5663" s="15"/>
    </row>
    <row r="5664" spans="1:1" x14ac:dyDescent="0.25">
      <c r="A5664" s="15"/>
    </row>
    <row r="5665" spans="1:1" x14ac:dyDescent="0.25">
      <c r="A5665" s="15"/>
    </row>
    <row r="5666" spans="1:1" x14ac:dyDescent="0.25">
      <c r="A5666" s="15"/>
    </row>
    <row r="5667" spans="1:1" x14ac:dyDescent="0.25">
      <c r="A5667" s="15"/>
    </row>
    <row r="5668" spans="1:1" x14ac:dyDescent="0.25">
      <c r="A5668" s="15"/>
    </row>
    <row r="5669" spans="1:1" x14ac:dyDescent="0.25">
      <c r="A5669" s="15"/>
    </row>
    <row r="5670" spans="1:1" x14ac:dyDescent="0.25">
      <c r="A5670" s="15"/>
    </row>
    <row r="5671" spans="1:1" x14ac:dyDescent="0.25">
      <c r="A5671" s="15"/>
    </row>
    <row r="5672" spans="1:1" x14ac:dyDescent="0.25">
      <c r="A5672" s="15"/>
    </row>
    <row r="5673" spans="1:1" x14ac:dyDescent="0.25">
      <c r="A5673" s="15"/>
    </row>
    <row r="5674" spans="1:1" x14ac:dyDescent="0.25">
      <c r="A5674" s="15"/>
    </row>
    <row r="5675" spans="1:1" x14ac:dyDescent="0.25">
      <c r="A5675" s="15"/>
    </row>
    <row r="5676" spans="1:1" x14ac:dyDescent="0.25">
      <c r="A5676" s="15"/>
    </row>
    <row r="5677" spans="1:1" x14ac:dyDescent="0.25">
      <c r="A5677" s="15"/>
    </row>
    <row r="5678" spans="1:1" x14ac:dyDescent="0.25">
      <c r="A5678" s="15"/>
    </row>
    <row r="5679" spans="1:1" x14ac:dyDescent="0.25">
      <c r="A5679" s="15"/>
    </row>
    <row r="5680" spans="1:1" x14ac:dyDescent="0.25">
      <c r="A5680" s="15"/>
    </row>
    <row r="5681" spans="1:1" x14ac:dyDescent="0.25">
      <c r="A5681" s="15"/>
    </row>
    <row r="5682" spans="1:1" x14ac:dyDescent="0.25">
      <c r="A5682" s="15"/>
    </row>
    <row r="5683" spans="1:1" x14ac:dyDescent="0.25">
      <c r="A5683" s="15"/>
    </row>
    <row r="5684" spans="1:1" x14ac:dyDescent="0.25">
      <c r="A5684" s="15"/>
    </row>
    <row r="5685" spans="1:1" x14ac:dyDescent="0.25">
      <c r="A5685" s="15"/>
    </row>
    <row r="5686" spans="1:1" x14ac:dyDescent="0.25">
      <c r="A5686" s="15"/>
    </row>
    <row r="5687" spans="1:1" x14ac:dyDescent="0.25">
      <c r="A5687" s="15"/>
    </row>
    <row r="5688" spans="1:1" x14ac:dyDescent="0.25">
      <c r="A5688" s="15"/>
    </row>
    <row r="5689" spans="1:1" x14ac:dyDescent="0.25">
      <c r="A5689" s="15"/>
    </row>
    <row r="5690" spans="1:1" x14ac:dyDescent="0.25">
      <c r="A5690" s="15"/>
    </row>
    <row r="5691" spans="1:1" x14ac:dyDescent="0.25">
      <c r="A5691" s="15"/>
    </row>
    <row r="5692" spans="1:1" x14ac:dyDescent="0.25">
      <c r="A5692" s="15"/>
    </row>
    <row r="5693" spans="1:1" x14ac:dyDescent="0.25">
      <c r="A5693" s="15"/>
    </row>
    <row r="5694" spans="1:1" x14ac:dyDescent="0.25">
      <c r="A5694" s="15"/>
    </row>
    <row r="5695" spans="1:1" x14ac:dyDescent="0.25">
      <c r="A5695" s="15"/>
    </row>
    <row r="5696" spans="1:1" x14ac:dyDescent="0.25">
      <c r="A5696" s="15"/>
    </row>
    <row r="5697" spans="1:1" x14ac:dyDescent="0.25">
      <c r="A5697" s="15"/>
    </row>
    <row r="5698" spans="1:1" x14ac:dyDescent="0.25">
      <c r="A5698" s="15"/>
    </row>
    <row r="5699" spans="1:1" x14ac:dyDescent="0.25">
      <c r="A5699" s="15"/>
    </row>
    <row r="5700" spans="1:1" x14ac:dyDescent="0.25">
      <c r="A5700" s="15"/>
    </row>
    <row r="5701" spans="1:1" x14ac:dyDescent="0.25">
      <c r="A5701" s="15"/>
    </row>
    <row r="5702" spans="1:1" x14ac:dyDescent="0.25">
      <c r="A5702" s="15"/>
    </row>
    <row r="5703" spans="1:1" x14ac:dyDescent="0.25">
      <c r="A5703" s="15"/>
    </row>
    <row r="5704" spans="1:1" x14ac:dyDescent="0.25">
      <c r="A5704" s="15"/>
    </row>
    <row r="5705" spans="1:1" x14ac:dyDescent="0.25">
      <c r="A5705" s="15"/>
    </row>
    <row r="5706" spans="1:1" x14ac:dyDescent="0.25">
      <c r="A5706" s="15"/>
    </row>
    <row r="5707" spans="1:1" x14ac:dyDescent="0.25">
      <c r="A5707" s="15"/>
    </row>
    <row r="5708" spans="1:1" x14ac:dyDescent="0.25">
      <c r="A5708" s="15"/>
    </row>
    <row r="5709" spans="1:1" x14ac:dyDescent="0.25">
      <c r="A5709" s="15"/>
    </row>
    <row r="5710" spans="1:1" x14ac:dyDescent="0.25">
      <c r="A5710" s="15"/>
    </row>
    <row r="5711" spans="1:1" x14ac:dyDescent="0.25">
      <c r="A5711" s="15"/>
    </row>
    <row r="5712" spans="1:1" x14ac:dyDescent="0.25">
      <c r="A5712" s="15"/>
    </row>
    <row r="5713" spans="1:1" x14ac:dyDescent="0.25">
      <c r="A5713" s="15"/>
    </row>
    <row r="5714" spans="1:1" x14ac:dyDescent="0.25">
      <c r="A5714" s="15"/>
    </row>
    <row r="5715" spans="1:1" x14ac:dyDescent="0.25">
      <c r="A5715" s="15"/>
    </row>
    <row r="5716" spans="1:1" x14ac:dyDescent="0.25">
      <c r="A5716" s="15"/>
    </row>
    <row r="5717" spans="1:1" x14ac:dyDescent="0.25">
      <c r="A5717" s="15"/>
    </row>
    <row r="5718" spans="1:1" x14ac:dyDescent="0.25">
      <c r="A5718" s="15"/>
    </row>
    <row r="5719" spans="1:1" x14ac:dyDescent="0.25">
      <c r="A5719" s="15"/>
    </row>
    <row r="5720" spans="1:1" x14ac:dyDescent="0.25">
      <c r="A5720" s="15"/>
    </row>
    <row r="5721" spans="1:1" x14ac:dyDescent="0.25">
      <c r="A5721" s="15"/>
    </row>
    <row r="5722" spans="1:1" x14ac:dyDescent="0.25">
      <c r="A5722" s="15"/>
    </row>
    <row r="5723" spans="1:1" x14ac:dyDescent="0.25">
      <c r="A5723" s="15"/>
    </row>
    <row r="5724" spans="1:1" x14ac:dyDescent="0.25">
      <c r="A5724" s="15"/>
    </row>
    <row r="5725" spans="1:1" x14ac:dyDescent="0.25">
      <c r="A5725" s="15"/>
    </row>
    <row r="5726" spans="1:1" x14ac:dyDescent="0.25">
      <c r="A5726" s="15"/>
    </row>
    <row r="5727" spans="1:1" x14ac:dyDescent="0.25">
      <c r="A5727" s="15"/>
    </row>
    <row r="5728" spans="1:1" x14ac:dyDescent="0.25">
      <c r="A5728" s="15"/>
    </row>
    <row r="5729" spans="1:1" x14ac:dyDescent="0.25">
      <c r="A5729" s="15"/>
    </row>
    <row r="5730" spans="1:1" x14ac:dyDescent="0.25">
      <c r="A5730" s="15"/>
    </row>
    <row r="5731" spans="1:1" x14ac:dyDescent="0.25">
      <c r="A5731" s="15"/>
    </row>
    <row r="5732" spans="1:1" x14ac:dyDescent="0.25">
      <c r="A5732" s="15"/>
    </row>
    <row r="5733" spans="1:1" x14ac:dyDescent="0.25">
      <c r="A5733" s="15"/>
    </row>
    <row r="5734" spans="1:1" x14ac:dyDescent="0.25">
      <c r="A5734" s="15"/>
    </row>
    <row r="5735" spans="1:1" x14ac:dyDescent="0.25">
      <c r="A5735" s="15"/>
    </row>
    <row r="5736" spans="1:1" x14ac:dyDescent="0.25">
      <c r="A5736" s="15"/>
    </row>
    <row r="5737" spans="1:1" x14ac:dyDescent="0.25">
      <c r="A5737" s="15"/>
    </row>
    <row r="5738" spans="1:1" x14ac:dyDescent="0.25">
      <c r="A5738" s="15"/>
    </row>
    <row r="5739" spans="1:1" x14ac:dyDescent="0.25">
      <c r="A5739" s="15"/>
    </row>
    <row r="5740" spans="1:1" x14ac:dyDescent="0.25">
      <c r="A5740" s="15"/>
    </row>
    <row r="5741" spans="1:1" x14ac:dyDescent="0.25">
      <c r="A5741" s="15"/>
    </row>
    <row r="5742" spans="1:1" x14ac:dyDescent="0.25">
      <c r="A5742" s="15"/>
    </row>
    <row r="5743" spans="1:1" x14ac:dyDescent="0.25">
      <c r="A5743" s="15"/>
    </row>
    <row r="5744" spans="1:1" x14ac:dyDescent="0.25">
      <c r="A5744" s="15"/>
    </row>
    <row r="5745" spans="1:1" x14ac:dyDescent="0.25">
      <c r="A5745" s="15"/>
    </row>
    <row r="5746" spans="1:1" x14ac:dyDescent="0.25">
      <c r="A5746" s="15"/>
    </row>
    <row r="5747" spans="1:1" x14ac:dyDescent="0.25">
      <c r="A5747" s="15"/>
    </row>
    <row r="5748" spans="1:1" x14ac:dyDescent="0.25">
      <c r="A5748" s="15"/>
    </row>
    <row r="5749" spans="1:1" x14ac:dyDescent="0.25">
      <c r="A5749" s="15"/>
    </row>
    <row r="5750" spans="1:1" x14ac:dyDescent="0.25">
      <c r="A5750" s="15"/>
    </row>
    <row r="5751" spans="1:1" x14ac:dyDescent="0.25">
      <c r="A5751" s="15"/>
    </row>
    <row r="5752" spans="1:1" x14ac:dyDescent="0.25">
      <c r="A5752" s="15"/>
    </row>
    <row r="5753" spans="1:1" x14ac:dyDescent="0.25">
      <c r="A5753" s="15"/>
    </row>
    <row r="5754" spans="1:1" x14ac:dyDescent="0.25">
      <c r="A5754" s="15"/>
    </row>
    <row r="5755" spans="1:1" x14ac:dyDescent="0.25">
      <c r="A5755" s="15"/>
    </row>
    <row r="5756" spans="1:1" x14ac:dyDescent="0.25">
      <c r="A5756" s="15"/>
    </row>
    <row r="5757" spans="1:1" x14ac:dyDescent="0.25">
      <c r="A5757" s="15"/>
    </row>
    <row r="5758" spans="1:1" x14ac:dyDescent="0.25">
      <c r="A5758" s="15"/>
    </row>
    <row r="5759" spans="1:1" x14ac:dyDescent="0.25">
      <c r="A5759" s="15"/>
    </row>
    <row r="5760" spans="1:1" x14ac:dyDescent="0.25">
      <c r="A5760" s="15"/>
    </row>
    <row r="5761" spans="1:1" x14ac:dyDescent="0.25">
      <c r="A5761" s="15"/>
    </row>
    <row r="5762" spans="1:1" x14ac:dyDescent="0.25">
      <c r="A5762" s="15"/>
    </row>
    <row r="5763" spans="1:1" x14ac:dyDescent="0.25">
      <c r="A5763" s="15"/>
    </row>
    <row r="5764" spans="1:1" x14ac:dyDescent="0.25">
      <c r="A5764" s="15"/>
    </row>
    <row r="5765" spans="1:1" x14ac:dyDescent="0.25">
      <c r="A5765" s="15"/>
    </row>
    <row r="5766" spans="1:1" x14ac:dyDescent="0.25">
      <c r="A5766" s="15"/>
    </row>
    <row r="5767" spans="1:1" x14ac:dyDescent="0.25">
      <c r="A5767" s="15"/>
    </row>
    <row r="5768" spans="1:1" x14ac:dyDescent="0.25">
      <c r="A5768" s="15"/>
    </row>
    <row r="5769" spans="1:1" x14ac:dyDescent="0.25">
      <c r="A5769" s="15"/>
    </row>
    <row r="5770" spans="1:1" x14ac:dyDescent="0.25">
      <c r="A5770" s="15"/>
    </row>
    <row r="5771" spans="1:1" x14ac:dyDescent="0.25">
      <c r="A5771" s="15"/>
    </row>
    <row r="5772" spans="1:1" x14ac:dyDescent="0.25">
      <c r="A5772" s="15"/>
    </row>
    <row r="5773" spans="1:1" x14ac:dyDescent="0.25">
      <c r="A5773" s="15"/>
    </row>
    <row r="5774" spans="1:1" x14ac:dyDescent="0.25">
      <c r="A5774" s="15"/>
    </row>
    <row r="5775" spans="1:1" x14ac:dyDescent="0.25">
      <c r="A5775" s="15"/>
    </row>
    <row r="5776" spans="1:1" x14ac:dyDescent="0.25">
      <c r="A5776" s="15"/>
    </row>
    <row r="5777" spans="1:1" x14ac:dyDescent="0.25">
      <c r="A5777" s="15"/>
    </row>
    <row r="5778" spans="1:1" x14ac:dyDescent="0.25">
      <c r="A5778" s="15"/>
    </row>
    <row r="5779" spans="1:1" x14ac:dyDescent="0.25">
      <c r="A5779" s="15"/>
    </row>
    <row r="5780" spans="1:1" x14ac:dyDescent="0.25">
      <c r="A5780" s="15"/>
    </row>
    <row r="5781" spans="1:1" x14ac:dyDescent="0.25">
      <c r="A5781" s="15"/>
    </row>
    <row r="5782" spans="1:1" x14ac:dyDescent="0.25">
      <c r="A5782" s="15"/>
    </row>
    <row r="5783" spans="1:1" x14ac:dyDescent="0.25">
      <c r="A5783" s="15"/>
    </row>
    <row r="5784" spans="1:1" x14ac:dyDescent="0.25">
      <c r="A5784" s="15"/>
    </row>
    <row r="5785" spans="1:1" x14ac:dyDescent="0.25">
      <c r="A5785" s="15"/>
    </row>
    <row r="5786" spans="1:1" x14ac:dyDescent="0.25">
      <c r="A5786" s="15"/>
    </row>
    <row r="5787" spans="1:1" x14ac:dyDescent="0.25">
      <c r="A5787" s="15"/>
    </row>
    <row r="5788" spans="1:1" x14ac:dyDescent="0.25">
      <c r="A5788" s="15"/>
    </row>
    <row r="5789" spans="1:1" x14ac:dyDescent="0.25">
      <c r="A5789" s="15"/>
    </row>
    <row r="5790" spans="1:1" x14ac:dyDescent="0.25">
      <c r="A5790" s="15"/>
    </row>
    <row r="5791" spans="1:1" x14ac:dyDescent="0.25">
      <c r="A5791" s="15"/>
    </row>
    <row r="5792" spans="1:1" x14ac:dyDescent="0.25">
      <c r="A5792" s="15"/>
    </row>
    <row r="5793" spans="1:1" x14ac:dyDescent="0.25">
      <c r="A5793" s="15"/>
    </row>
    <row r="5794" spans="1:1" x14ac:dyDescent="0.25">
      <c r="A5794" s="15"/>
    </row>
    <row r="5795" spans="1:1" x14ac:dyDescent="0.25">
      <c r="A5795" s="15"/>
    </row>
    <row r="5796" spans="1:1" x14ac:dyDescent="0.25">
      <c r="A5796" s="15"/>
    </row>
    <row r="5797" spans="1:1" x14ac:dyDescent="0.25">
      <c r="A5797" s="15"/>
    </row>
    <row r="5798" spans="1:1" x14ac:dyDescent="0.25">
      <c r="A5798" s="15"/>
    </row>
    <row r="5799" spans="1:1" x14ac:dyDescent="0.25">
      <c r="A5799" s="15"/>
    </row>
    <row r="5800" spans="1:1" x14ac:dyDescent="0.25">
      <c r="A5800" s="15"/>
    </row>
    <row r="5801" spans="1:1" x14ac:dyDescent="0.25">
      <c r="A5801" s="15"/>
    </row>
    <row r="5802" spans="1:1" x14ac:dyDescent="0.25">
      <c r="A5802" s="15"/>
    </row>
    <row r="5803" spans="1:1" x14ac:dyDescent="0.25">
      <c r="A5803" s="15"/>
    </row>
    <row r="5804" spans="1:1" x14ac:dyDescent="0.25">
      <c r="A5804" s="15"/>
    </row>
    <row r="5805" spans="1:1" x14ac:dyDescent="0.25">
      <c r="A5805" s="15"/>
    </row>
    <row r="5806" spans="1:1" x14ac:dyDescent="0.25">
      <c r="A5806" s="15"/>
    </row>
    <row r="5807" spans="1:1" x14ac:dyDescent="0.25">
      <c r="A5807" s="15"/>
    </row>
    <row r="5808" spans="1:1" x14ac:dyDescent="0.25">
      <c r="A5808" s="15"/>
    </row>
    <row r="5809" spans="1:1" x14ac:dyDescent="0.25">
      <c r="A5809" s="15"/>
    </row>
    <row r="5810" spans="1:1" x14ac:dyDescent="0.25">
      <c r="A5810" s="15"/>
    </row>
    <row r="5811" spans="1:1" x14ac:dyDescent="0.25">
      <c r="A5811" s="15"/>
    </row>
    <row r="5812" spans="1:1" x14ac:dyDescent="0.25">
      <c r="A5812" s="15"/>
    </row>
    <row r="5813" spans="1:1" x14ac:dyDescent="0.25">
      <c r="A5813" s="15"/>
    </row>
    <row r="5814" spans="1:1" x14ac:dyDescent="0.25">
      <c r="A5814" s="15"/>
    </row>
    <row r="5815" spans="1:1" x14ac:dyDescent="0.25">
      <c r="A5815" s="15"/>
    </row>
    <row r="5816" spans="1:1" x14ac:dyDescent="0.25">
      <c r="A5816" s="15"/>
    </row>
    <row r="5817" spans="1:1" x14ac:dyDescent="0.25">
      <c r="A5817" s="15"/>
    </row>
    <row r="5818" spans="1:1" x14ac:dyDescent="0.25">
      <c r="A5818" s="15"/>
    </row>
    <row r="5819" spans="1:1" x14ac:dyDescent="0.25">
      <c r="A5819" s="15"/>
    </row>
    <row r="5820" spans="1:1" x14ac:dyDescent="0.25">
      <c r="A5820" s="15"/>
    </row>
    <row r="5821" spans="1:1" x14ac:dyDescent="0.25">
      <c r="A5821" s="15"/>
    </row>
    <row r="5822" spans="1:1" x14ac:dyDescent="0.25">
      <c r="A5822" s="15"/>
    </row>
    <row r="5823" spans="1:1" x14ac:dyDescent="0.25">
      <c r="A5823" s="15"/>
    </row>
    <row r="5824" spans="1:1" x14ac:dyDescent="0.25">
      <c r="A5824" s="15"/>
    </row>
    <row r="5825" spans="1:1" x14ac:dyDescent="0.25">
      <c r="A5825" s="15"/>
    </row>
    <row r="5826" spans="1:1" x14ac:dyDescent="0.25">
      <c r="A5826" s="15"/>
    </row>
    <row r="5827" spans="1:1" x14ac:dyDescent="0.25">
      <c r="A5827" s="15"/>
    </row>
    <row r="5828" spans="1:1" x14ac:dyDescent="0.25">
      <c r="A5828" s="15"/>
    </row>
    <row r="5829" spans="1:1" x14ac:dyDescent="0.25">
      <c r="A5829" s="15"/>
    </row>
    <row r="5830" spans="1:1" x14ac:dyDescent="0.25">
      <c r="A5830" s="15"/>
    </row>
    <row r="5831" spans="1:1" x14ac:dyDescent="0.25">
      <c r="A5831" s="15"/>
    </row>
    <row r="5832" spans="1:1" x14ac:dyDescent="0.25">
      <c r="A5832" s="15"/>
    </row>
    <row r="5833" spans="1:1" x14ac:dyDescent="0.25">
      <c r="A5833" s="15"/>
    </row>
    <row r="5834" spans="1:1" x14ac:dyDescent="0.25">
      <c r="A5834" s="15"/>
    </row>
    <row r="5835" spans="1:1" x14ac:dyDescent="0.25">
      <c r="A5835" s="15"/>
    </row>
    <row r="5836" spans="1:1" x14ac:dyDescent="0.25">
      <c r="A5836" s="15"/>
    </row>
    <row r="5837" spans="1:1" x14ac:dyDescent="0.25">
      <c r="A5837" s="15"/>
    </row>
    <row r="5838" spans="1:1" x14ac:dyDescent="0.25">
      <c r="A5838" s="15"/>
    </row>
    <row r="5839" spans="1:1" x14ac:dyDescent="0.25">
      <c r="A5839" s="15"/>
    </row>
    <row r="5840" spans="1:1" x14ac:dyDescent="0.25">
      <c r="A5840" s="15"/>
    </row>
    <row r="5841" spans="1:1" x14ac:dyDescent="0.25">
      <c r="A5841" s="15"/>
    </row>
    <row r="5842" spans="1:1" x14ac:dyDescent="0.25">
      <c r="A5842" s="15"/>
    </row>
    <row r="5843" spans="1:1" x14ac:dyDescent="0.25">
      <c r="A5843" s="15"/>
    </row>
    <row r="5844" spans="1:1" x14ac:dyDescent="0.25">
      <c r="A5844" s="15"/>
    </row>
    <row r="5845" spans="1:1" x14ac:dyDescent="0.25">
      <c r="A5845" s="15"/>
    </row>
    <row r="5846" spans="1:1" x14ac:dyDescent="0.25">
      <c r="A5846" s="15"/>
    </row>
    <row r="5847" spans="1:1" x14ac:dyDescent="0.25">
      <c r="A5847" s="15"/>
    </row>
    <row r="5848" spans="1:1" x14ac:dyDescent="0.25">
      <c r="A5848" s="15"/>
    </row>
    <row r="5849" spans="1:1" x14ac:dyDescent="0.25">
      <c r="A5849" s="15"/>
    </row>
    <row r="5850" spans="1:1" x14ac:dyDescent="0.25">
      <c r="A5850" s="15"/>
    </row>
    <row r="5851" spans="1:1" x14ac:dyDescent="0.25">
      <c r="A5851" s="15"/>
    </row>
    <row r="5852" spans="1:1" x14ac:dyDescent="0.25">
      <c r="A5852" s="15"/>
    </row>
    <row r="5853" spans="1:1" x14ac:dyDescent="0.25">
      <c r="A5853" s="15"/>
    </row>
    <row r="5854" spans="1:1" x14ac:dyDescent="0.25">
      <c r="A5854" s="15"/>
    </row>
    <row r="5855" spans="1:1" x14ac:dyDescent="0.25">
      <c r="A5855" s="15"/>
    </row>
    <row r="5856" spans="1:1" x14ac:dyDescent="0.25">
      <c r="A5856" s="15"/>
    </row>
    <row r="5857" spans="1:1" x14ac:dyDescent="0.25">
      <c r="A5857" s="15"/>
    </row>
    <row r="5858" spans="1:1" x14ac:dyDescent="0.25">
      <c r="A5858" s="15"/>
    </row>
    <row r="5859" spans="1:1" x14ac:dyDescent="0.25">
      <c r="A5859" s="15"/>
    </row>
    <row r="5860" spans="1:1" x14ac:dyDescent="0.25">
      <c r="A5860" s="15"/>
    </row>
    <row r="5861" spans="1:1" x14ac:dyDescent="0.25">
      <c r="A5861" s="15"/>
    </row>
    <row r="5862" spans="1:1" x14ac:dyDescent="0.25">
      <c r="A5862" s="15"/>
    </row>
    <row r="5863" spans="1:1" x14ac:dyDescent="0.25">
      <c r="A5863" s="15"/>
    </row>
    <row r="5864" spans="1:1" x14ac:dyDescent="0.25">
      <c r="A5864" s="15"/>
    </row>
    <row r="5865" spans="1:1" x14ac:dyDescent="0.25">
      <c r="A5865" s="15"/>
    </row>
    <row r="5866" spans="1:1" x14ac:dyDescent="0.25">
      <c r="A5866" s="15"/>
    </row>
    <row r="5867" spans="1:1" x14ac:dyDescent="0.25">
      <c r="A5867" s="15"/>
    </row>
    <row r="5868" spans="1:1" x14ac:dyDescent="0.25">
      <c r="A5868" s="15"/>
    </row>
    <row r="5869" spans="1:1" x14ac:dyDescent="0.25">
      <c r="A5869" s="15"/>
    </row>
    <row r="5870" spans="1:1" x14ac:dyDescent="0.25">
      <c r="A5870" s="15"/>
    </row>
    <row r="5871" spans="1:1" x14ac:dyDescent="0.25">
      <c r="A5871" s="15"/>
    </row>
    <row r="5872" spans="1:1" x14ac:dyDescent="0.25">
      <c r="A5872" s="15"/>
    </row>
    <row r="5873" spans="1:1" x14ac:dyDescent="0.25">
      <c r="A5873" s="15"/>
    </row>
    <row r="5874" spans="1:1" x14ac:dyDescent="0.25">
      <c r="A5874" s="15"/>
    </row>
    <row r="5875" spans="1:1" x14ac:dyDescent="0.25">
      <c r="A5875" s="15"/>
    </row>
    <row r="5876" spans="1:1" x14ac:dyDescent="0.25">
      <c r="A5876" s="15"/>
    </row>
    <row r="5877" spans="1:1" x14ac:dyDescent="0.25">
      <c r="A5877" s="15"/>
    </row>
    <row r="5878" spans="1:1" x14ac:dyDescent="0.25">
      <c r="A5878" s="15"/>
    </row>
    <row r="5879" spans="1:1" x14ac:dyDescent="0.25">
      <c r="A5879" s="15"/>
    </row>
    <row r="5880" spans="1:1" x14ac:dyDescent="0.25">
      <c r="A5880" s="15"/>
    </row>
    <row r="5881" spans="1:1" x14ac:dyDescent="0.25">
      <c r="A5881" s="15"/>
    </row>
    <row r="5882" spans="1:1" x14ac:dyDescent="0.25">
      <c r="A5882" s="15"/>
    </row>
    <row r="5883" spans="1:1" x14ac:dyDescent="0.25">
      <c r="A5883" s="15"/>
    </row>
    <row r="5884" spans="1:1" x14ac:dyDescent="0.25">
      <c r="A5884" s="15"/>
    </row>
    <row r="5885" spans="1:1" x14ac:dyDescent="0.25">
      <c r="A5885" s="15"/>
    </row>
    <row r="5886" spans="1:1" x14ac:dyDescent="0.25">
      <c r="A5886" s="15"/>
    </row>
    <row r="5887" spans="1:1" x14ac:dyDescent="0.25">
      <c r="A5887" s="15"/>
    </row>
    <row r="5888" spans="1:1" x14ac:dyDescent="0.25">
      <c r="A5888" s="15"/>
    </row>
    <row r="5889" spans="1:1" x14ac:dyDescent="0.25">
      <c r="A5889" s="15"/>
    </row>
    <row r="5890" spans="1:1" x14ac:dyDescent="0.25">
      <c r="A5890" s="15"/>
    </row>
    <row r="5891" spans="1:1" x14ac:dyDescent="0.25">
      <c r="A5891" s="15"/>
    </row>
    <row r="5892" spans="1:1" x14ac:dyDescent="0.25">
      <c r="A5892" s="15"/>
    </row>
    <row r="5893" spans="1:1" x14ac:dyDescent="0.25">
      <c r="A5893" s="15"/>
    </row>
    <row r="5894" spans="1:1" x14ac:dyDescent="0.25">
      <c r="A5894" s="15"/>
    </row>
    <row r="5895" spans="1:1" x14ac:dyDescent="0.25">
      <c r="A5895" s="15"/>
    </row>
    <row r="5896" spans="1:1" x14ac:dyDescent="0.25">
      <c r="A5896" s="15"/>
    </row>
    <row r="5897" spans="1:1" x14ac:dyDescent="0.25">
      <c r="A5897" s="15"/>
    </row>
    <row r="5898" spans="1:1" x14ac:dyDescent="0.25">
      <c r="A5898" s="15"/>
    </row>
    <row r="5899" spans="1:1" x14ac:dyDescent="0.25">
      <c r="A5899" s="15"/>
    </row>
    <row r="5900" spans="1:1" x14ac:dyDescent="0.25">
      <c r="A5900" s="15"/>
    </row>
    <row r="5901" spans="1:1" x14ac:dyDescent="0.25">
      <c r="A5901" s="15"/>
    </row>
    <row r="5902" spans="1:1" x14ac:dyDescent="0.25">
      <c r="A5902" s="15"/>
    </row>
    <row r="5903" spans="1:1" x14ac:dyDescent="0.25">
      <c r="A5903" s="15"/>
    </row>
    <row r="5904" spans="1:1" x14ac:dyDescent="0.25">
      <c r="A5904" s="15"/>
    </row>
    <row r="5905" spans="1:1" x14ac:dyDescent="0.25">
      <c r="A5905" s="15"/>
    </row>
    <row r="5906" spans="1:1" x14ac:dyDescent="0.25">
      <c r="A5906" s="15"/>
    </row>
    <row r="5907" spans="1:1" x14ac:dyDescent="0.25">
      <c r="A5907" s="15"/>
    </row>
    <row r="5908" spans="1:1" x14ac:dyDescent="0.25">
      <c r="A5908" s="15"/>
    </row>
    <row r="5909" spans="1:1" x14ac:dyDescent="0.25">
      <c r="A5909" s="15"/>
    </row>
    <row r="5910" spans="1:1" x14ac:dyDescent="0.25">
      <c r="A5910" s="15"/>
    </row>
    <row r="5911" spans="1:1" x14ac:dyDescent="0.25">
      <c r="A5911" s="15"/>
    </row>
    <row r="5912" spans="1:1" x14ac:dyDescent="0.25">
      <c r="A5912" s="15"/>
    </row>
    <row r="5913" spans="1:1" x14ac:dyDescent="0.25">
      <c r="A5913" s="15"/>
    </row>
    <row r="5914" spans="1:1" x14ac:dyDescent="0.25">
      <c r="A5914" s="15"/>
    </row>
    <row r="5915" spans="1:1" x14ac:dyDescent="0.25">
      <c r="A5915" s="15"/>
    </row>
    <row r="5916" spans="1:1" x14ac:dyDescent="0.25">
      <c r="A5916" s="15"/>
    </row>
    <row r="5917" spans="1:1" x14ac:dyDescent="0.25">
      <c r="A5917" s="15"/>
    </row>
    <row r="5918" spans="1:1" x14ac:dyDescent="0.25">
      <c r="A5918" s="15"/>
    </row>
    <row r="5919" spans="1:1" x14ac:dyDescent="0.25">
      <c r="A5919" s="15"/>
    </row>
    <row r="5920" spans="1:1" x14ac:dyDescent="0.25">
      <c r="A5920" s="15"/>
    </row>
    <row r="5921" spans="1:1" x14ac:dyDescent="0.25">
      <c r="A5921" s="15"/>
    </row>
    <row r="5922" spans="1:1" x14ac:dyDescent="0.25">
      <c r="A5922" s="15"/>
    </row>
    <row r="5923" spans="1:1" x14ac:dyDescent="0.25">
      <c r="A5923" s="15"/>
    </row>
    <row r="5924" spans="1:1" x14ac:dyDescent="0.25">
      <c r="A5924" s="15"/>
    </row>
    <row r="5925" spans="1:1" x14ac:dyDescent="0.25">
      <c r="A5925" s="15"/>
    </row>
    <row r="5926" spans="1:1" x14ac:dyDescent="0.25">
      <c r="A5926" s="15"/>
    </row>
    <row r="5927" spans="1:1" x14ac:dyDescent="0.25">
      <c r="A5927" s="15"/>
    </row>
    <row r="5928" spans="1:1" x14ac:dyDescent="0.25">
      <c r="A5928" s="15"/>
    </row>
    <row r="5929" spans="1:1" x14ac:dyDescent="0.25">
      <c r="A5929" s="15"/>
    </row>
    <row r="5930" spans="1:1" x14ac:dyDescent="0.25">
      <c r="A5930" s="15"/>
    </row>
    <row r="5931" spans="1:1" x14ac:dyDescent="0.25">
      <c r="A5931" s="15"/>
    </row>
    <row r="5932" spans="1:1" x14ac:dyDescent="0.25">
      <c r="A5932" s="15"/>
    </row>
    <row r="5933" spans="1:1" x14ac:dyDescent="0.25">
      <c r="A5933" s="15"/>
    </row>
    <row r="5934" spans="1:1" x14ac:dyDescent="0.25">
      <c r="A5934" s="15"/>
    </row>
    <row r="5935" spans="1:1" x14ac:dyDescent="0.25">
      <c r="A5935" s="15"/>
    </row>
    <row r="5936" spans="1:1" x14ac:dyDescent="0.25">
      <c r="A5936" s="15"/>
    </row>
    <row r="5937" spans="1:1" x14ac:dyDescent="0.25">
      <c r="A5937" s="15"/>
    </row>
    <row r="5938" spans="1:1" x14ac:dyDescent="0.25">
      <c r="A5938" s="15"/>
    </row>
    <row r="5939" spans="1:1" x14ac:dyDescent="0.25">
      <c r="A5939" s="15"/>
    </row>
    <row r="5940" spans="1:1" x14ac:dyDescent="0.25">
      <c r="A5940" s="15"/>
    </row>
    <row r="5941" spans="1:1" x14ac:dyDescent="0.25">
      <c r="A5941" s="15"/>
    </row>
    <row r="5942" spans="1:1" x14ac:dyDescent="0.25">
      <c r="A5942" s="15"/>
    </row>
    <row r="5943" spans="1:1" x14ac:dyDescent="0.25">
      <c r="A5943" s="15"/>
    </row>
    <row r="5944" spans="1:1" x14ac:dyDescent="0.25">
      <c r="A5944" s="15"/>
    </row>
    <row r="5945" spans="1:1" x14ac:dyDescent="0.25">
      <c r="A5945" s="15"/>
    </row>
    <row r="5946" spans="1:1" x14ac:dyDescent="0.25">
      <c r="A5946" s="15"/>
    </row>
    <row r="5947" spans="1:1" x14ac:dyDescent="0.25">
      <c r="A5947" s="15"/>
    </row>
    <row r="5948" spans="1:1" x14ac:dyDescent="0.25">
      <c r="A5948" s="15"/>
    </row>
    <row r="5949" spans="1:1" x14ac:dyDescent="0.25">
      <c r="A5949" s="15"/>
    </row>
    <row r="5950" spans="1:1" x14ac:dyDescent="0.25">
      <c r="A5950" s="15"/>
    </row>
    <row r="5951" spans="1:1" x14ac:dyDescent="0.25">
      <c r="A5951" s="15"/>
    </row>
    <row r="5952" spans="1:1" x14ac:dyDescent="0.25">
      <c r="A5952" s="15"/>
    </row>
    <row r="5953" spans="1:1" x14ac:dyDescent="0.25">
      <c r="A5953" s="15"/>
    </row>
    <row r="5954" spans="1:1" x14ac:dyDescent="0.25">
      <c r="A5954" s="15"/>
    </row>
    <row r="5955" spans="1:1" x14ac:dyDescent="0.25">
      <c r="A5955" s="15"/>
    </row>
    <row r="5956" spans="1:1" x14ac:dyDescent="0.25">
      <c r="A5956" s="15"/>
    </row>
    <row r="5957" spans="1:1" x14ac:dyDescent="0.25">
      <c r="A5957" s="15"/>
    </row>
    <row r="5958" spans="1:1" x14ac:dyDescent="0.25">
      <c r="A5958" s="15"/>
    </row>
    <row r="5959" spans="1:1" x14ac:dyDescent="0.25">
      <c r="A5959" s="15"/>
    </row>
    <row r="5960" spans="1:1" x14ac:dyDescent="0.25">
      <c r="A5960" s="15"/>
    </row>
    <row r="5961" spans="1:1" x14ac:dyDescent="0.25">
      <c r="A5961" s="15"/>
    </row>
    <row r="5962" spans="1:1" x14ac:dyDescent="0.25">
      <c r="A5962" s="15"/>
    </row>
    <row r="5963" spans="1:1" x14ac:dyDescent="0.25">
      <c r="A5963" s="15"/>
    </row>
    <row r="5964" spans="1:1" x14ac:dyDescent="0.25">
      <c r="A5964" s="15"/>
    </row>
    <row r="5965" spans="1:1" x14ac:dyDescent="0.25">
      <c r="A5965" s="15"/>
    </row>
    <row r="5966" spans="1:1" x14ac:dyDescent="0.25">
      <c r="A5966" s="15"/>
    </row>
    <row r="5967" spans="1:1" x14ac:dyDescent="0.25">
      <c r="A5967" s="15"/>
    </row>
    <row r="5968" spans="1:1" x14ac:dyDescent="0.25">
      <c r="A5968" s="15"/>
    </row>
    <row r="5969" spans="1:1" x14ac:dyDescent="0.25">
      <c r="A5969" s="15"/>
    </row>
    <row r="5970" spans="1:1" x14ac:dyDescent="0.25">
      <c r="A5970" s="15"/>
    </row>
    <row r="5971" spans="1:1" x14ac:dyDescent="0.25">
      <c r="A5971" s="15"/>
    </row>
    <row r="5972" spans="1:1" x14ac:dyDescent="0.25">
      <c r="A5972" s="15"/>
    </row>
    <row r="5973" spans="1:1" x14ac:dyDescent="0.25">
      <c r="A5973" s="15"/>
    </row>
    <row r="5974" spans="1:1" x14ac:dyDescent="0.25">
      <c r="A5974" s="15"/>
    </row>
    <row r="5975" spans="1:1" x14ac:dyDescent="0.25">
      <c r="A5975" s="15"/>
    </row>
    <row r="5976" spans="1:1" x14ac:dyDescent="0.25">
      <c r="A5976" s="15"/>
    </row>
    <row r="5977" spans="1:1" x14ac:dyDescent="0.25">
      <c r="A5977" s="15"/>
    </row>
    <row r="5978" spans="1:1" x14ac:dyDescent="0.25">
      <c r="A5978" s="15"/>
    </row>
    <row r="5979" spans="1:1" x14ac:dyDescent="0.25">
      <c r="A5979" s="15"/>
    </row>
    <row r="5980" spans="1:1" x14ac:dyDescent="0.25">
      <c r="A5980" s="15"/>
    </row>
    <row r="5981" spans="1:1" x14ac:dyDescent="0.25">
      <c r="A5981" s="15"/>
    </row>
    <row r="5982" spans="1:1" x14ac:dyDescent="0.25">
      <c r="A5982" s="15"/>
    </row>
    <row r="5983" spans="1:1" x14ac:dyDescent="0.25">
      <c r="A5983" s="15"/>
    </row>
    <row r="5984" spans="1:1" x14ac:dyDescent="0.25">
      <c r="A5984" s="15"/>
    </row>
    <row r="5985" spans="1:1" x14ac:dyDescent="0.25">
      <c r="A5985" s="15"/>
    </row>
    <row r="5986" spans="1:1" x14ac:dyDescent="0.25">
      <c r="A5986" s="15"/>
    </row>
    <row r="5987" spans="1:1" x14ac:dyDescent="0.25">
      <c r="A5987" s="15"/>
    </row>
    <row r="5988" spans="1:1" x14ac:dyDescent="0.25">
      <c r="A5988" s="15"/>
    </row>
    <row r="5989" spans="1:1" x14ac:dyDescent="0.25">
      <c r="A5989" s="15"/>
    </row>
    <row r="5990" spans="1:1" x14ac:dyDescent="0.25">
      <c r="A5990" s="15"/>
    </row>
    <row r="5991" spans="1:1" x14ac:dyDescent="0.25">
      <c r="A5991" s="15"/>
    </row>
    <row r="5992" spans="1:1" x14ac:dyDescent="0.25">
      <c r="A5992" s="15"/>
    </row>
    <row r="5993" spans="1:1" x14ac:dyDescent="0.25">
      <c r="A5993" s="15"/>
    </row>
    <row r="5994" spans="1:1" x14ac:dyDescent="0.25">
      <c r="A5994" s="15"/>
    </row>
    <row r="5995" spans="1:1" x14ac:dyDescent="0.25">
      <c r="A5995" s="15"/>
    </row>
    <row r="5996" spans="1:1" x14ac:dyDescent="0.25">
      <c r="A5996" s="15"/>
    </row>
    <row r="5997" spans="1:1" x14ac:dyDescent="0.25">
      <c r="A5997" s="15"/>
    </row>
    <row r="5998" spans="1:1" x14ac:dyDescent="0.25">
      <c r="A5998" s="15"/>
    </row>
    <row r="5999" spans="1:1" x14ac:dyDescent="0.25">
      <c r="A5999" s="15"/>
    </row>
    <row r="6000" spans="1:1" x14ac:dyDescent="0.25">
      <c r="A6000" s="15"/>
    </row>
    <row r="6001" spans="1:1" x14ac:dyDescent="0.25">
      <c r="A6001" s="15"/>
    </row>
    <row r="6002" spans="1:1" x14ac:dyDescent="0.25">
      <c r="A6002" s="15"/>
    </row>
    <row r="6003" spans="1:1" x14ac:dyDescent="0.25">
      <c r="A6003" s="15"/>
    </row>
    <row r="6004" spans="1:1" x14ac:dyDescent="0.25">
      <c r="A6004" s="15"/>
    </row>
    <row r="6005" spans="1:1" x14ac:dyDescent="0.25">
      <c r="A6005" s="15"/>
    </row>
    <row r="6006" spans="1:1" x14ac:dyDescent="0.25">
      <c r="A6006" s="15"/>
    </row>
    <row r="6007" spans="1:1" x14ac:dyDescent="0.25">
      <c r="A6007" s="15"/>
    </row>
    <row r="6008" spans="1:1" x14ac:dyDescent="0.25">
      <c r="A6008" s="15"/>
    </row>
    <row r="6009" spans="1:1" x14ac:dyDescent="0.25">
      <c r="A6009" s="15"/>
    </row>
    <row r="6010" spans="1:1" x14ac:dyDescent="0.25">
      <c r="A6010" s="15"/>
    </row>
    <row r="6011" spans="1:1" x14ac:dyDescent="0.25">
      <c r="A6011" s="15"/>
    </row>
    <row r="6012" spans="1:1" x14ac:dyDescent="0.25">
      <c r="A6012" s="15"/>
    </row>
    <row r="6013" spans="1:1" x14ac:dyDescent="0.25">
      <c r="A6013" s="15"/>
    </row>
    <row r="6014" spans="1:1" x14ac:dyDescent="0.25">
      <c r="A6014" s="15"/>
    </row>
    <row r="6015" spans="1:1" x14ac:dyDescent="0.25">
      <c r="A6015" s="15"/>
    </row>
    <row r="6016" spans="1:1" x14ac:dyDescent="0.25">
      <c r="A6016" s="15"/>
    </row>
    <row r="6017" spans="1:1" x14ac:dyDescent="0.25">
      <c r="A6017" s="15"/>
    </row>
    <row r="6018" spans="1:1" x14ac:dyDescent="0.25">
      <c r="A6018" s="15"/>
    </row>
    <row r="6019" spans="1:1" x14ac:dyDescent="0.25">
      <c r="A6019" s="15"/>
    </row>
    <row r="6020" spans="1:1" x14ac:dyDescent="0.25">
      <c r="A6020" s="15"/>
    </row>
    <row r="6021" spans="1:1" x14ac:dyDescent="0.25">
      <c r="A6021" s="15"/>
    </row>
    <row r="6022" spans="1:1" x14ac:dyDescent="0.25">
      <c r="A6022" s="15"/>
    </row>
    <row r="6023" spans="1:1" x14ac:dyDescent="0.25">
      <c r="A6023" s="15"/>
    </row>
    <row r="6024" spans="1:1" x14ac:dyDescent="0.25">
      <c r="A6024" s="15"/>
    </row>
    <row r="6025" spans="1:1" x14ac:dyDescent="0.25">
      <c r="A6025" s="15"/>
    </row>
    <row r="6026" spans="1:1" x14ac:dyDescent="0.25">
      <c r="A6026" s="15"/>
    </row>
    <row r="6027" spans="1:1" x14ac:dyDescent="0.25">
      <c r="A6027" s="15"/>
    </row>
    <row r="6028" spans="1:1" x14ac:dyDescent="0.25">
      <c r="A6028" s="15"/>
    </row>
    <row r="6029" spans="1:1" x14ac:dyDescent="0.25">
      <c r="A6029" s="15"/>
    </row>
    <row r="6030" spans="1:1" x14ac:dyDescent="0.25">
      <c r="A6030" s="15"/>
    </row>
    <row r="6031" spans="1:1" x14ac:dyDescent="0.25">
      <c r="A6031" s="15"/>
    </row>
    <row r="6032" spans="1:1" x14ac:dyDescent="0.25">
      <c r="A6032" s="15"/>
    </row>
    <row r="6033" spans="1:1" x14ac:dyDescent="0.25">
      <c r="A6033" s="15"/>
    </row>
    <row r="6034" spans="1:1" x14ac:dyDescent="0.25">
      <c r="A6034" s="15"/>
    </row>
    <row r="6035" spans="1:1" x14ac:dyDescent="0.25">
      <c r="A6035" s="15"/>
    </row>
    <row r="6036" spans="1:1" x14ac:dyDescent="0.25">
      <c r="A6036" s="15"/>
    </row>
    <row r="6037" spans="1:1" x14ac:dyDescent="0.25">
      <c r="A6037" s="15"/>
    </row>
    <row r="6038" spans="1:1" x14ac:dyDescent="0.25">
      <c r="A6038" s="15"/>
    </row>
    <row r="6039" spans="1:1" x14ac:dyDescent="0.25">
      <c r="A6039" s="15"/>
    </row>
    <row r="6040" spans="1:1" x14ac:dyDescent="0.25">
      <c r="A6040" s="15"/>
    </row>
    <row r="6041" spans="1:1" x14ac:dyDescent="0.25">
      <c r="A6041" s="15"/>
    </row>
    <row r="6042" spans="1:1" x14ac:dyDescent="0.25">
      <c r="A6042" s="15"/>
    </row>
    <row r="6043" spans="1:1" x14ac:dyDescent="0.25">
      <c r="A6043" s="15"/>
    </row>
    <row r="6044" spans="1:1" x14ac:dyDescent="0.25">
      <c r="A6044" s="15"/>
    </row>
    <row r="6045" spans="1:1" x14ac:dyDescent="0.25">
      <c r="A6045" s="15"/>
    </row>
    <row r="6046" spans="1:1" x14ac:dyDescent="0.25">
      <c r="A6046" s="15"/>
    </row>
    <row r="6047" spans="1:1" x14ac:dyDescent="0.25">
      <c r="A6047" s="15"/>
    </row>
    <row r="6048" spans="1:1" x14ac:dyDescent="0.25">
      <c r="A6048" s="15"/>
    </row>
    <row r="6049" spans="1:1" x14ac:dyDescent="0.25">
      <c r="A6049" s="15"/>
    </row>
    <row r="6050" spans="1:1" x14ac:dyDescent="0.25">
      <c r="A6050" s="15"/>
    </row>
    <row r="6051" spans="1:1" x14ac:dyDescent="0.25">
      <c r="A6051" s="15"/>
    </row>
    <row r="6052" spans="1:1" x14ac:dyDescent="0.25">
      <c r="A6052" s="15"/>
    </row>
    <row r="6053" spans="1:1" x14ac:dyDescent="0.25">
      <c r="A6053" s="15"/>
    </row>
    <row r="6054" spans="1:1" x14ac:dyDescent="0.25">
      <c r="A6054" s="15"/>
    </row>
    <row r="6055" spans="1:1" x14ac:dyDescent="0.25">
      <c r="A6055" s="15"/>
    </row>
    <row r="6056" spans="1:1" x14ac:dyDescent="0.25">
      <c r="A6056" s="15"/>
    </row>
    <row r="6057" spans="1:1" x14ac:dyDescent="0.25">
      <c r="A6057" s="15"/>
    </row>
    <row r="6058" spans="1:1" x14ac:dyDescent="0.25">
      <c r="A6058" s="15"/>
    </row>
    <row r="6059" spans="1:1" x14ac:dyDescent="0.25">
      <c r="A6059" s="15"/>
    </row>
    <row r="6060" spans="1:1" x14ac:dyDescent="0.25">
      <c r="A6060" s="15"/>
    </row>
    <row r="6061" spans="1:1" x14ac:dyDescent="0.25">
      <c r="A6061" s="15"/>
    </row>
    <row r="6062" spans="1:1" x14ac:dyDescent="0.25">
      <c r="A6062" s="15"/>
    </row>
    <row r="6063" spans="1:1" x14ac:dyDescent="0.25">
      <c r="A6063" s="15"/>
    </row>
    <row r="6064" spans="1:1" x14ac:dyDescent="0.25">
      <c r="A6064" s="15"/>
    </row>
    <row r="6065" spans="1:1" x14ac:dyDescent="0.25">
      <c r="A6065" s="15"/>
    </row>
    <row r="6066" spans="1:1" x14ac:dyDescent="0.25">
      <c r="A6066" s="15"/>
    </row>
    <row r="6067" spans="1:1" x14ac:dyDescent="0.25">
      <c r="A6067" s="15"/>
    </row>
    <row r="6068" spans="1:1" x14ac:dyDescent="0.25">
      <c r="A6068" s="15"/>
    </row>
    <row r="6069" spans="1:1" x14ac:dyDescent="0.25">
      <c r="A6069" s="15"/>
    </row>
    <row r="6070" spans="1:1" x14ac:dyDescent="0.25">
      <c r="A6070" s="15"/>
    </row>
    <row r="6071" spans="1:1" x14ac:dyDescent="0.25">
      <c r="A6071" s="15"/>
    </row>
    <row r="6072" spans="1:1" x14ac:dyDescent="0.25">
      <c r="A6072" s="15"/>
    </row>
    <row r="6073" spans="1:1" x14ac:dyDescent="0.25">
      <c r="A6073" s="15"/>
    </row>
    <row r="6074" spans="1:1" x14ac:dyDescent="0.25">
      <c r="A6074" s="15"/>
    </row>
    <row r="6075" spans="1:1" x14ac:dyDescent="0.25">
      <c r="A6075" s="15"/>
    </row>
    <row r="6076" spans="1:1" x14ac:dyDescent="0.25">
      <c r="A6076" s="15"/>
    </row>
    <row r="6077" spans="1:1" x14ac:dyDescent="0.25">
      <c r="A6077" s="15"/>
    </row>
    <row r="6078" spans="1:1" x14ac:dyDescent="0.25">
      <c r="A6078" s="15"/>
    </row>
    <row r="6079" spans="1:1" x14ac:dyDescent="0.25">
      <c r="A6079" s="15"/>
    </row>
    <row r="6080" spans="1:1" x14ac:dyDescent="0.25">
      <c r="A6080" s="15"/>
    </row>
    <row r="6081" spans="1:1" x14ac:dyDescent="0.25">
      <c r="A6081" s="15"/>
    </row>
    <row r="6082" spans="1:1" x14ac:dyDescent="0.25">
      <c r="A6082" s="15"/>
    </row>
    <row r="6083" spans="1:1" x14ac:dyDescent="0.25">
      <c r="A6083" s="15"/>
    </row>
    <row r="6084" spans="1:1" x14ac:dyDescent="0.25">
      <c r="A6084" s="15"/>
    </row>
    <row r="6085" spans="1:1" x14ac:dyDescent="0.25">
      <c r="A6085" s="15"/>
    </row>
    <row r="6086" spans="1:1" x14ac:dyDescent="0.25">
      <c r="A6086" s="15"/>
    </row>
    <row r="6087" spans="1:1" x14ac:dyDescent="0.25">
      <c r="A6087" s="15"/>
    </row>
    <row r="6088" spans="1:1" x14ac:dyDescent="0.25">
      <c r="A6088" s="15"/>
    </row>
    <row r="6089" spans="1:1" x14ac:dyDescent="0.25">
      <c r="A6089" s="15"/>
    </row>
    <row r="6090" spans="1:1" x14ac:dyDescent="0.25">
      <c r="A6090" s="15"/>
    </row>
    <row r="6091" spans="1:1" x14ac:dyDescent="0.25">
      <c r="A6091" s="15"/>
    </row>
    <row r="6092" spans="1:1" x14ac:dyDescent="0.25">
      <c r="A6092" s="15"/>
    </row>
    <row r="6093" spans="1:1" x14ac:dyDescent="0.25">
      <c r="A6093" s="15"/>
    </row>
    <row r="6094" spans="1:1" x14ac:dyDescent="0.25">
      <c r="A6094" s="15"/>
    </row>
    <row r="6095" spans="1:1" x14ac:dyDescent="0.25">
      <c r="A6095" s="15"/>
    </row>
    <row r="6096" spans="1:1" x14ac:dyDescent="0.25">
      <c r="A6096" s="15"/>
    </row>
    <row r="6097" spans="1:1" x14ac:dyDescent="0.25">
      <c r="A6097" s="15"/>
    </row>
    <row r="6098" spans="1:1" x14ac:dyDescent="0.25">
      <c r="A6098" s="15"/>
    </row>
    <row r="6099" spans="1:1" x14ac:dyDescent="0.25">
      <c r="A6099" s="15"/>
    </row>
    <row r="6100" spans="1:1" x14ac:dyDescent="0.25">
      <c r="A6100" s="15"/>
    </row>
    <row r="6101" spans="1:1" x14ac:dyDescent="0.25">
      <c r="A6101" s="15"/>
    </row>
    <row r="6102" spans="1:1" x14ac:dyDescent="0.25">
      <c r="A6102" s="15"/>
    </row>
    <row r="6103" spans="1:1" x14ac:dyDescent="0.25">
      <c r="A6103" s="15"/>
    </row>
    <row r="6104" spans="1:1" x14ac:dyDescent="0.25">
      <c r="A6104" s="15"/>
    </row>
    <row r="6105" spans="1:1" x14ac:dyDescent="0.25">
      <c r="A6105" s="15"/>
    </row>
    <row r="6106" spans="1:1" x14ac:dyDescent="0.25">
      <c r="A6106" s="15"/>
    </row>
    <row r="6107" spans="1:1" x14ac:dyDescent="0.25">
      <c r="A6107" s="15"/>
    </row>
    <row r="6108" spans="1:1" x14ac:dyDescent="0.25">
      <c r="A6108" s="15"/>
    </row>
    <row r="6109" spans="1:1" x14ac:dyDescent="0.25">
      <c r="A6109" s="15"/>
    </row>
    <row r="6110" spans="1:1" x14ac:dyDescent="0.25">
      <c r="A6110" s="15"/>
    </row>
    <row r="6111" spans="1:1" x14ac:dyDescent="0.25">
      <c r="A6111" s="15"/>
    </row>
    <row r="6112" spans="1:1" x14ac:dyDescent="0.25">
      <c r="A6112" s="15"/>
    </row>
    <row r="6113" spans="1:1" x14ac:dyDescent="0.25">
      <c r="A6113" s="15"/>
    </row>
    <row r="6114" spans="1:1" x14ac:dyDescent="0.25">
      <c r="A6114" s="15"/>
    </row>
    <row r="6115" spans="1:1" x14ac:dyDescent="0.25">
      <c r="A6115" s="15"/>
    </row>
    <row r="6116" spans="1:1" x14ac:dyDescent="0.25">
      <c r="A6116" s="15"/>
    </row>
    <row r="6117" spans="1:1" x14ac:dyDescent="0.25">
      <c r="A6117" s="15"/>
    </row>
    <row r="6118" spans="1:1" x14ac:dyDescent="0.25">
      <c r="A6118" s="15"/>
    </row>
    <row r="6119" spans="1:1" x14ac:dyDescent="0.25">
      <c r="A6119" s="15"/>
    </row>
    <row r="6120" spans="1:1" x14ac:dyDescent="0.25">
      <c r="A6120" s="15"/>
    </row>
    <row r="6121" spans="1:1" x14ac:dyDescent="0.25">
      <c r="A6121" s="15"/>
    </row>
    <row r="6122" spans="1:1" x14ac:dyDescent="0.25">
      <c r="A6122" s="15"/>
    </row>
    <row r="6123" spans="1:1" x14ac:dyDescent="0.25">
      <c r="A6123" s="15"/>
    </row>
    <row r="6124" spans="1:1" x14ac:dyDescent="0.25">
      <c r="A6124" s="15"/>
    </row>
    <row r="6125" spans="1:1" x14ac:dyDescent="0.25">
      <c r="A6125" s="15"/>
    </row>
    <row r="6126" spans="1:1" x14ac:dyDescent="0.25">
      <c r="A6126" s="15"/>
    </row>
    <row r="6127" spans="1:1" x14ac:dyDescent="0.25">
      <c r="A6127" s="15"/>
    </row>
    <row r="6128" spans="1:1" x14ac:dyDescent="0.25">
      <c r="A6128" s="15"/>
    </row>
    <row r="6129" spans="1:1" x14ac:dyDescent="0.25">
      <c r="A6129" s="15"/>
    </row>
    <row r="6130" spans="1:1" x14ac:dyDescent="0.25">
      <c r="A6130" s="15"/>
    </row>
    <row r="6131" spans="1:1" x14ac:dyDescent="0.25">
      <c r="A6131" s="15"/>
    </row>
    <row r="6132" spans="1:1" x14ac:dyDescent="0.25">
      <c r="A6132" s="15"/>
    </row>
    <row r="6133" spans="1:1" x14ac:dyDescent="0.25">
      <c r="A6133" s="15"/>
    </row>
    <row r="6134" spans="1:1" x14ac:dyDescent="0.25">
      <c r="A6134" s="15"/>
    </row>
    <row r="6135" spans="1:1" x14ac:dyDescent="0.25">
      <c r="A6135" s="15"/>
    </row>
    <row r="6136" spans="1:1" x14ac:dyDescent="0.25">
      <c r="A6136" s="15"/>
    </row>
    <row r="6137" spans="1:1" x14ac:dyDescent="0.25">
      <c r="A6137" s="15"/>
    </row>
    <row r="6138" spans="1:1" x14ac:dyDescent="0.25">
      <c r="A6138" s="15"/>
    </row>
    <row r="6139" spans="1:1" x14ac:dyDescent="0.25">
      <c r="A6139" s="15"/>
    </row>
    <row r="6140" spans="1:1" x14ac:dyDescent="0.25">
      <c r="A6140" s="15"/>
    </row>
    <row r="6141" spans="1:1" x14ac:dyDescent="0.25">
      <c r="A6141" s="15"/>
    </row>
    <row r="6142" spans="1:1" x14ac:dyDescent="0.25">
      <c r="A6142" s="15"/>
    </row>
    <row r="6143" spans="1:1" x14ac:dyDescent="0.25">
      <c r="A6143" s="15"/>
    </row>
    <row r="6144" spans="1:1" x14ac:dyDescent="0.25">
      <c r="A6144" s="15"/>
    </row>
    <row r="6145" spans="1:1" x14ac:dyDescent="0.25">
      <c r="A6145" s="15"/>
    </row>
    <row r="6146" spans="1:1" x14ac:dyDescent="0.25">
      <c r="A6146" s="15"/>
    </row>
    <row r="6147" spans="1:1" x14ac:dyDescent="0.25">
      <c r="A6147" s="15"/>
    </row>
    <row r="6148" spans="1:1" x14ac:dyDescent="0.25">
      <c r="A6148" s="15"/>
    </row>
    <row r="6149" spans="1:1" x14ac:dyDescent="0.25">
      <c r="A6149" s="15"/>
    </row>
    <row r="6150" spans="1:1" x14ac:dyDescent="0.25">
      <c r="A6150" s="15"/>
    </row>
    <row r="6151" spans="1:1" x14ac:dyDescent="0.25">
      <c r="A6151" s="15"/>
    </row>
    <row r="6152" spans="1:1" x14ac:dyDescent="0.25">
      <c r="A6152" s="15"/>
    </row>
    <row r="6153" spans="1:1" x14ac:dyDescent="0.25">
      <c r="A6153" s="15"/>
    </row>
    <row r="6154" spans="1:1" x14ac:dyDescent="0.25">
      <c r="A6154" s="15"/>
    </row>
    <row r="6155" spans="1:1" x14ac:dyDescent="0.25">
      <c r="A6155" s="15"/>
    </row>
    <row r="6156" spans="1:1" x14ac:dyDescent="0.25">
      <c r="A6156" s="15"/>
    </row>
    <row r="6157" spans="1:1" x14ac:dyDescent="0.25">
      <c r="A6157" s="15"/>
    </row>
    <row r="6158" spans="1:1" x14ac:dyDescent="0.25">
      <c r="A6158" s="15"/>
    </row>
    <row r="6159" spans="1:1" x14ac:dyDescent="0.25">
      <c r="A6159" s="15"/>
    </row>
    <row r="6160" spans="1:1" x14ac:dyDescent="0.25">
      <c r="A6160" s="15"/>
    </row>
    <row r="6161" spans="1:1" x14ac:dyDescent="0.25">
      <c r="A6161" s="15"/>
    </row>
    <row r="6162" spans="1:1" x14ac:dyDescent="0.25">
      <c r="A6162" s="15"/>
    </row>
    <row r="6163" spans="1:1" x14ac:dyDescent="0.25">
      <c r="A6163" s="15"/>
    </row>
    <row r="6164" spans="1:1" x14ac:dyDescent="0.25">
      <c r="A6164" s="15"/>
    </row>
    <row r="6165" spans="1:1" x14ac:dyDescent="0.25">
      <c r="A6165" s="15"/>
    </row>
    <row r="6166" spans="1:1" x14ac:dyDescent="0.25">
      <c r="A6166" s="15"/>
    </row>
    <row r="6167" spans="1:1" x14ac:dyDescent="0.25">
      <c r="A6167" s="15"/>
    </row>
    <row r="6168" spans="1:1" x14ac:dyDescent="0.25">
      <c r="A6168" s="15"/>
    </row>
    <row r="6169" spans="1:1" x14ac:dyDescent="0.25">
      <c r="A6169" s="15"/>
    </row>
    <row r="6170" spans="1:1" x14ac:dyDescent="0.25">
      <c r="A6170" s="15"/>
    </row>
    <row r="6171" spans="1:1" x14ac:dyDescent="0.25">
      <c r="A6171" s="15"/>
    </row>
    <row r="6172" spans="1:1" x14ac:dyDescent="0.25">
      <c r="A6172" s="15"/>
    </row>
    <row r="6173" spans="1:1" x14ac:dyDescent="0.25">
      <c r="A6173" s="15"/>
    </row>
    <row r="6174" spans="1:1" x14ac:dyDescent="0.25">
      <c r="A6174" s="15"/>
    </row>
    <row r="6175" spans="1:1" x14ac:dyDescent="0.25">
      <c r="A6175" s="15"/>
    </row>
    <row r="6176" spans="1:1" x14ac:dyDescent="0.25">
      <c r="A6176" s="15"/>
    </row>
    <row r="6177" spans="1:1" x14ac:dyDescent="0.25">
      <c r="A6177" s="15"/>
    </row>
    <row r="6178" spans="1:1" x14ac:dyDescent="0.25">
      <c r="A6178" s="15"/>
    </row>
    <row r="6179" spans="1:1" x14ac:dyDescent="0.25">
      <c r="A6179" s="15"/>
    </row>
    <row r="6180" spans="1:1" x14ac:dyDescent="0.25">
      <c r="A6180" s="15"/>
    </row>
    <row r="6181" spans="1:1" x14ac:dyDescent="0.25">
      <c r="A6181" s="15"/>
    </row>
    <row r="6182" spans="1:1" x14ac:dyDescent="0.25">
      <c r="A6182" s="15"/>
    </row>
    <row r="6183" spans="1:1" x14ac:dyDescent="0.25">
      <c r="A6183" s="15"/>
    </row>
    <row r="6184" spans="1:1" x14ac:dyDescent="0.25">
      <c r="A6184" s="15"/>
    </row>
    <row r="6185" spans="1:1" x14ac:dyDescent="0.25">
      <c r="A6185" s="15"/>
    </row>
    <row r="6186" spans="1:1" x14ac:dyDescent="0.25">
      <c r="A6186" s="15"/>
    </row>
    <row r="6187" spans="1:1" x14ac:dyDescent="0.25">
      <c r="A6187" s="15"/>
    </row>
    <row r="6188" spans="1:1" x14ac:dyDescent="0.25">
      <c r="A6188" s="15"/>
    </row>
    <row r="6189" spans="1:1" x14ac:dyDescent="0.25">
      <c r="A6189" s="15"/>
    </row>
    <row r="6190" spans="1:1" x14ac:dyDescent="0.25">
      <c r="A6190" s="15"/>
    </row>
    <row r="6191" spans="1:1" x14ac:dyDescent="0.25">
      <c r="A6191" s="15"/>
    </row>
    <row r="6192" spans="1:1" x14ac:dyDescent="0.25">
      <c r="A6192" s="15"/>
    </row>
    <row r="6193" spans="1:1" x14ac:dyDescent="0.25">
      <c r="A6193" s="15"/>
    </row>
    <row r="6194" spans="1:1" x14ac:dyDescent="0.25">
      <c r="A6194" s="15"/>
    </row>
    <row r="6195" spans="1:1" x14ac:dyDescent="0.25">
      <c r="A6195" s="15"/>
    </row>
    <row r="6196" spans="1:1" x14ac:dyDescent="0.25">
      <c r="A6196" s="15"/>
    </row>
    <row r="6197" spans="1:1" x14ac:dyDescent="0.25">
      <c r="A6197" s="15"/>
    </row>
    <row r="6198" spans="1:1" x14ac:dyDescent="0.25">
      <c r="A6198" s="15"/>
    </row>
    <row r="6199" spans="1:1" x14ac:dyDescent="0.25">
      <c r="A6199" s="15"/>
    </row>
    <row r="6200" spans="1:1" x14ac:dyDescent="0.25">
      <c r="A6200" s="15"/>
    </row>
    <row r="6201" spans="1:1" x14ac:dyDescent="0.25">
      <c r="A6201" s="15"/>
    </row>
    <row r="6202" spans="1:1" x14ac:dyDescent="0.25">
      <c r="A6202" s="15"/>
    </row>
    <row r="6203" spans="1:1" x14ac:dyDescent="0.25">
      <c r="A6203" s="15"/>
    </row>
    <row r="6204" spans="1:1" x14ac:dyDescent="0.25">
      <c r="A6204" s="15"/>
    </row>
    <row r="6205" spans="1:1" x14ac:dyDescent="0.25">
      <c r="A6205" s="15"/>
    </row>
    <row r="6206" spans="1:1" x14ac:dyDescent="0.25">
      <c r="A6206" s="15"/>
    </row>
    <row r="6207" spans="1:1" x14ac:dyDescent="0.25">
      <c r="A6207" s="15"/>
    </row>
    <row r="6208" spans="1:1" x14ac:dyDescent="0.25">
      <c r="A6208" s="15"/>
    </row>
    <row r="6209" spans="1:1" x14ac:dyDescent="0.25">
      <c r="A6209" s="15"/>
    </row>
    <row r="6210" spans="1:1" x14ac:dyDescent="0.25">
      <c r="A6210" s="15"/>
    </row>
    <row r="6211" spans="1:1" x14ac:dyDescent="0.25">
      <c r="A6211" s="15"/>
    </row>
    <row r="6212" spans="1:1" x14ac:dyDescent="0.25">
      <c r="A6212" s="15"/>
    </row>
    <row r="6213" spans="1:1" x14ac:dyDescent="0.25">
      <c r="A6213" s="15"/>
    </row>
    <row r="6214" spans="1:1" x14ac:dyDescent="0.25">
      <c r="A6214" s="15"/>
    </row>
    <row r="6215" spans="1:1" x14ac:dyDescent="0.25">
      <c r="A6215" s="15"/>
    </row>
    <row r="6216" spans="1:1" x14ac:dyDescent="0.25">
      <c r="A6216" s="15"/>
    </row>
    <row r="6217" spans="1:1" x14ac:dyDescent="0.25">
      <c r="A6217" s="15"/>
    </row>
    <row r="6218" spans="1:1" x14ac:dyDescent="0.25">
      <c r="A6218" s="15"/>
    </row>
    <row r="6219" spans="1:1" x14ac:dyDescent="0.25">
      <c r="A6219" s="15"/>
    </row>
    <row r="6220" spans="1:1" x14ac:dyDescent="0.25">
      <c r="A6220" s="15"/>
    </row>
    <row r="6221" spans="1:1" x14ac:dyDescent="0.25">
      <c r="A6221" s="15"/>
    </row>
    <row r="6222" spans="1:1" x14ac:dyDescent="0.25">
      <c r="A6222" s="15"/>
    </row>
    <row r="6223" spans="1:1" x14ac:dyDescent="0.25">
      <c r="A6223" s="15"/>
    </row>
    <row r="6224" spans="1:1" x14ac:dyDescent="0.25">
      <c r="A6224" s="15"/>
    </row>
    <row r="6225" spans="1:1" x14ac:dyDescent="0.25">
      <c r="A6225" s="15"/>
    </row>
    <row r="6226" spans="1:1" x14ac:dyDescent="0.25">
      <c r="A6226" s="15"/>
    </row>
    <row r="6227" spans="1:1" x14ac:dyDescent="0.25">
      <c r="A6227" s="15"/>
    </row>
    <row r="6228" spans="1:1" x14ac:dyDescent="0.25">
      <c r="A6228" s="15"/>
    </row>
    <row r="6229" spans="1:1" x14ac:dyDescent="0.25">
      <c r="A6229" s="15"/>
    </row>
    <row r="6230" spans="1:1" x14ac:dyDescent="0.25">
      <c r="A6230" s="15"/>
    </row>
    <row r="6231" spans="1:1" x14ac:dyDescent="0.25">
      <c r="A6231" s="15"/>
    </row>
    <row r="6232" spans="1:1" x14ac:dyDescent="0.25">
      <c r="A6232" s="15"/>
    </row>
    <row r="6233" spans="1:1" x14ac:dyDescent="0.25">
      <c r="A6233" s="15"/>
    </row>
    <row r="6234" spans="1:1" x14ac:dyDescent="0.25">
      <c r="A6234" s="15"/>
    </row>
    <row r="6235" spans="1:1" x14ac:dyDescent="0.25">
      <c r="A6235" s="15"/>
    </row>
    <row r="6236" spans="1:1" x14ac:dyDescent="0.25">
      <c r="A6236" s="15"/>
    </row>
    <row r="6237" spans="1:1" x14ac:dyDescent="0.25">
      <c r="A6237" s="15"/>
    </row>
    <row r="6238" spans="1:1" x14ac:dyDescent="0.25">
      <c r="A6238" s="15"/>
    </row>
    <row r="6239" spans="1:1" x14ac:dyDescent="0.25">
      <c r="A6239" s="15"/>
    </row>
    <row r="6240" spans="1:1" x14ac:dyDescent="0.25">
      <c r="A6240" s="15"/>
    </row>
    <row r="6241" spans="1:1" x14ac:dyDescent="0.25">
      <c r="A6241" s="15"/>
    </row>
    <row r="6242" spans="1:1" x14ac:dyDescent="0.25">
      <c r="A6242" s="15"/>
    </row>
    <row r="6243" spans="1:1" x14ac:dyDescent="0.25">
      <c r="A6243" s="15"/>
    </row>
    <row r="6244" spans="1:1" x14ac:dyDescent="0.25">
      <c r="A6244" s="15"/>
    </row>
    <row r="6245" spans="1:1" x14ac:dyDescent="0.25">
      <c r="A6245" s="15"/>
    </row>
    <row r="6246" spans="1:1" x14ac:dyDescent="0.25">
      <c r="A6246" s="15"/>
    </row>
    <row r="6247" spans="1:1" x14ac:dyDescent="0.25">
      <c r="A6247" s="15"/>
    </row>
    <row r="6248" spans="1:1" x14ac:dyDescent="0.25">
      <c r="A6248" s="15"/>
    </row>
    <row r="6249" spans="1:1" x14ac:dyDescent="0.25">
      <c r="A6249" s="15"/>
    </row>
    <row r="6250" spans="1:1" x14ac:dyDescent="0.25">
      <c r="A6250" s="15"/>
    </row>
    <row r="6251" spans="1:1" x14ac:dyDescent="0.25">
      <c r="A6251" s="15"/>
    </row>
    <row r="6252" spans="1:1" x14ac:dyDescent="0.25">
      <c r="A6252" s="15"/>
    </row>
    <row r="6253" spans="1:1" x14ac:dyDescent="0.25">
      <c r="A6253" s="15"/>
    </row>
    <row r="6254" spans="1:1" x14ac:dyDescent="0.25">
      <c r="A6254" s="15"/>
    </row>
    <row r="6255" spans="1:1" x14ac:dyDescent="0.25">
      <c r="A6255" s="15"/>
    </row>
    <row r="6256" spans="1:1" x14ac:dyDescent="0.25">
      <c r="A6256" s="15"/>
    </row>
    <row r="6257" spans="1:1" x14ac:dyDescent="0.25">
      <c r="A6257" s="15"/>
    </row>
    <row r="6258" spans="1:1" x14ac:dyDescent="0.25">
      <c r="A6258" s="15"/>
    </row>
    <row r="6259" spans="1:1" x14ac:dyDescent="0.25">
      <c r="A6259" s="15"/>
    </row>
    <row r="6260" spans="1:1" x14ac:dyDescent="0.25">
      <c r="A6260" s="15"/>
    </row>
    <row r="6261" spans="1:1" x14ac:dyDescent="0.25">
      <c r="A6261" s="15"/>
    </row>
    <row r="6262" spans="1:1" x14ac:dyDescent="0.25">
      <c r="A6262" s="15"/>
    </row>
    <row r="6263" spans="1:1" x14ac:dyDescent="0.25">
      <c r="A6263" s="15"/>
    </row>
    <row r="6264" spans="1:1" x14ac:dyDescent="0.25">
      <c r="A6264" s="15"/>
    </row>
    <row r="6265" spans="1:1" x14ac:dyDescent="0.25">
      <c r="A6265" s="15"/>
    </row>
    <row r="6266" spans="1:1" x14ac:dyDescent="0.25">
      <c r="A6266" s="15"/>
    </row>
    <row r="6267" spans="1:1" x14ac:dyDescent="0.25">
      <c r="A6267" s="15"/>
    </row>
    <row r="6268" spans="1:1" x14ac:dyDescent="0.25">
      <c r="A6268" s="15"/>
    </row>
    <row r="6269" spans="1:1" x14ac:dyDescent="0.25">
      <c r="A6269" s="15"/>
    </row>
    <row r="6270" spans="1:1" x14ac:dyDescent="0.25">
      <c r="A6270" s="15"/>
    </row>
    <row r="6271" spans="1:1" x14ac:dyDescent="0.25">
      <c r="A6271" s="15"/>
    </row>
    <row r="6272" spans="1:1" x14ac:dyDescent="0.25">
      <c r="A6272" s="15"/>
    </row>
    <row r="6273" spans="1:1" x14ac:dyDescent="0.25">
      <c r="A6273" s="15"/>
    </row>
    <row r="6274" spans="1:1" x14ac:dyDescent="0.25">
      <c r="A6274" s="15"/>
    </row>
    <row r="6275" spans="1:1" x14ac:dyDescent="0.25">
      <c r="A6275" s="15"/>
    </row>
    <row r="6276" spans="1:1" x14ac:dyDescent="0.25">
      <c r="A6276" s="15"/>
    </row>
    <row r="6277" spans="1:1" x14ac:dyDescent="0.25">
      <c r="A6277" s="15"/>
    </row>
    <row r="6278" spans="1:1" x14ac:dyDescent="0.25">
      <c r="A6278" s="15"/>
    </row>
    <row r="6279" spans="1:1" x14ac:dyDescent="0.25">
      <c r="A6279" s="15"/>
    </row>
    <row r="6280" spans="1:1" x14ac:dyDescent="0.25">
      <c r="A6280" s="15"/>
    </row>
    <row r="6281" spans="1:1" x14ac:dyDescent="0.25">
      <c r="A6281" s="15"/>
    </row>
    <row r="6282" spans="1:1" x14ac:dyDescent="0.25">
      <c r="A6282" s="15"/>
    </row>
    <row r="6283" spans="1:1" x14ac:dyDescent="0.25">
      <c r="A6283" s="15"/>
    </row>
    <row r="6284" spans="1:1" x14ac:dyDescent="0.25">
      <c r="A6284" s="15"/>
    </row>
    <row r="6285" spans="1:1" x14ac:dyDescent="0.25">
      <c r="A6285" s="15"/>
    </row>
    <row r="6286" spans="1:1" x14ac:dyDescent="0.25">
      <c r="A6286" s="15"/>
    </row>
    <row r="6287" spans="1:1" x14ac:dyDescent="0.25">
      <c r="A6287" s="15"/>
    </row>
    <row r="6288" spans="1:1" x14ac:dyDescent="0.25">
      <c r="A6288" s="15"/>
    </row>
    <row r="6289" spans="1:1" x14ac:dyDescent="0.25">
      <c r="A6289" s="15"/>
    </row>
    <row r="6290" spans="1:1" x14ac:dyDescent="0.25">
      <c r="A6290" s="15"/>
    </row>
    <row r="6291" spans="1:1" x14ac:dyDescent="0.25">
      <c r="A6291" s="15"/>
    </row>
    <row r="6292" spans="1:1" x14ac:dyDescent="0.25">
      <c r="A6292" s="15"/>
    </row>
    <row r="6293" spans="1:1" x14ac:dyDescent="0.25">
      <c r="A6293" s="15"/>
    </row>
    <row r="6294" spans="1:1" x14ac:dyDescent="0.25">
      <c r="A6294" s="15"/>
    </row>
    <row r="6295" spans="1:1" x14ac:dyDescent="0.25">
      <c r="A6295" s="15"/>
    </row>
    <row r="6296" spans="1:1" x14ac:dyDescent="0.25">
      <c r="A6296" s="15"/>
    </row>
    <row r="6297" spans="1:1" x14ac:dyDescent="0.25">
      <c r="A6297" s="15"/>
    </row>
    <row r="6298" spans="1:1" x14ac:dyDescent="0.25">
      <c r="A6298" s="15"/>
    </row>
    <row r="6299" spans="1:1" x14ac:dyDescent="0.25">
      <c r="A6299" s="15"/>
    </row>
    <row r="6300" spans="1:1" x14ac:dyDescent="0.25">
      <c r="A6300" s="15"/>
    </row>
    <row r="6301" spans="1:1" x14ac:dyDescent="0.25">
      <c r="A6301" s="15"/>
    </row>
    <row r="6302" spans="1:1" x14ac:dyDescent="0.25">
      <c r="A6302" s="15"/>
    </row>
    <row r="6303" spans="1:1" x14ac:dyDescent="0.25">
      <c r="A6303" s="15"/>
    </row>
    <row r="6304" spans="1:1" x14ac:dyDescent="0.25">
      <c r="A6304" s="15"/>
    </row>
    <row r="6305" spans="1:1" x14ac:dyDescent="0.25">
      <c r="A6305" s="15"/>
    </row>
    <row r="6306" spans="1:1" x14ac:dyDescent="0.25">
      <c r="A6306" s="15"/>
    </row>
    <row r="6307" spans="1:1" x14ac:dyDescent="0.25">
      <c r="A6307" s="15"/>
    </row>
    <row r="6308" spans="1:1" x14ac:dyDescent="0.25">
      <c r="A6308" s="15"/>
    </row>
    <row r="6309" spans="1:1" x14ac:dyDescent="0.25">
      <c r="A6309" s="15"/>
    </row>
    <row r="6310" spans="1:1" x14ac:dyDescent="0.25">
      <c r="A6310" s="15"/>
    </row>
    <row r="6311" spans="1:1" x14ac:dyDescent="0.25">
      <c r="A6311" s="15"/>
    </row>
    <row r="6312" spans="1:1" x14ac:dyDescent="0.25">
      <c r="A6312" s="15"/>
    </row>
    <row r="6313" spans="1:1" x14ac:dyDescent="0.25">
      <c r="A6313" s="15"/>
    </row>
    <row r="6314" spans="1:1" x14ac:dyDescent="0.25">
      <c r="A6314" s="15"/>
    </row>
    <row r="6315" spans="1:1" x14ac:dyDescent="0.25">
      <c r="A6315" s="15"/>
    </row>
    <row r="6316" spans="1:1" x14ac:dyDescent="0.25">
      <c r="A6316" s="15"/>
    </row>
    <row r="6317" spans="1:1" x14ac:dyDescent="0.25">
      <c r="A6317" s="15"/>
    </row>
    <row r="6318" spans="1:1" x14ac:dyDescent="0.25">
      <c r="A6318" s="15"/>
    </row>
    <row r="6319" spans="1:1" x14ac:dyDescent="0.25">
      <c r="A6319" s="15"/>
    </row>
    <row r="6320" spans="1:1" x14ac:dyDescent="0.25">
      <c r="A6320" s="15"/>
    </row>
    <row r="6321" spans="1:1" x14ac:dyDescent="0.25">
      <c r="A6321" s="15"/>
    </row>
    <row r="6322" spans="1:1" x14ac:dyDescent="0.25">
      <c r="A6322" s="15"/>
    </row>
    <row r="6323" spans="1:1" x14ac:dyDescent="0.25">
      <c r="A6323" s="15"/>
    </row>
    <row r="6324" spans="1:1" x14ac:dyDescent="0.25">
      <c r="A6324" s="15"/>
    </row>
    <row r="6325" spans="1:1" x14ac:dyDescent="0.25">
      <c r="A6325" s="15"/>
    </row>
    <row r="6326" spans="1:1" x14ac:dyDescent="0.25">
      <c r="A6326" s="15"/>
    </row>
    <row r="6327" spans="1:1" x14ac:dyDescent="0.25">
      <c r="A6327" s="15"/>
    </row>
    <row r="6328" spans="1:1" x14ac:dyDescent="0.25">
      <c r="A6328" s="15"/>
    </row>
    <row r="6329" spans="1:1" x14ac:dyDescent="0.25">
      <c r="A6329" s="15"/>
    </row>
    <row r="6330" spans="1:1" x14ac:dyDescent="0.25">
      <c r="A6330" s="15"/>
    </row>
    <row r="6331" spans="1:1" x14ac:dyDescent="0.25">
      <c r="A6331" s="15"/>
    </row>
    <row r="6332" spans="1:1" x14ac:dyDescent="0.25">
      <c r="A6332" s="15"/>
    </row>
    <row r="6333" spans="1:1" x14ac:dyDescent="0.25">
      <c r="A6333" s="15"/>
    </row>
    <row r="6334" spans="1:1" x14ac:dyDescent="0.25">
      <c r="A6334" s="15"/>
    </row>
    <row r="6335" spans="1:1" x14ac:dyDescent="0.25">
      <c r="A6335" s="15"/>
    </row>
    <row r="6336" spans="1:1" x14ac:dyDescent="0.25">
      <c r="A6336" s="15"/>
    </row>
    <row r="6337" spans="1:1" x14ac:dyDescent="0.25">
      <c r="A6337" s="15"/>
    </row>
    <row r="6338" spans="1:1" x14ac:dyDescent="0.25">
      <c r="A6338" s="15"/>
    </row>
    <row r="6339" spans="1:1" x14ac:dyDescent="0.25">
      <c r="A6339" s="15"/>
    </row>
    <row r="6340" spans="1:1" x14ac:dyDescent="0.25">
      <c r="A6340" s="15"/>
    </row>
    <row r="6341" spans="1:1" x14ac:dyDescent="0.25">
      <c r="A6341" s="15"/>
    </row>
    <row r="6342" spans="1:1" x14ac:dyDescent="0.25">
      <c r="A6342" s="15"/>
    </row>
    <row r="6343" spans="1:1" x14ac:dyDescent="0.25">
      <c r="A6343" s="15"/>
    </row>
    <row r="6344" spans="1:1" x14ac:dyDescent="0.25">
      <c r="A6344" s="15"/>
    </row>
    <row r="6345" spans="1:1" x14ac:dyDescent="0.25">
      <c r="A6345" s="15"/>
    </row>
    <row r="6346" spans="1:1" x14ac:dyDescent="0.25">
      <c r="A6346" s="15"/>
    </row>
    <row r="6347" spans="1:1" x14ac:dyDescent="0.25">
      <c r="A6347" s="15"/>
    </row>
    <row r="6348" spans="1:1" x14ac:dyDescent="0.25">
      <c r="A6348" s="15"/>
    </row>
    <row r="6349" spans="1:1" x14ac:dyDescent="0.25">
      <c r="A6349" s="15"/>
    </row>
    <row r="6350" spans="1:1" x14ac:dyDescent="0.25">
      <c r="A6350" s="15"/>
    </row>
    <row r="6351" spans="1:1" x14ac:dyDescent="0.25">
      <c r="A6351" s="15"/>
    </row>
    <row r="6352" spans="1:1" x14ac:dyDescent="0.25">
      <c r="A6352" s="15"/>
    </row>
    <row r="6353" spans="1:1" x14ac:dyDescent="0.25">
      <c r="A6353" s="15"/>
    </row>
    <row r="6354" spans="1:1" x14ac:dyDescent="0.25">
      <c r="A6354" s="15"/>
    </row>
    <row r="6355" spans="1:1" x14ac:dyDescent="0.25">
      <c r="A6355" s="15"/>
    </row>
    <row r="6356" spans="1:1" x14ac:dyDescent="0.25">
      <c r="A6356" s="15"/>
    </row>
    <row r="6357" spans="1:1" x14ac:dyDescent="0.25">
      <c r="A6357" s="15"/>
    </row>
    <row r="6358" spans="1:1" x14ac:dyDescent="0.25">
      <c r="A6358" s="15"/>
    </row>
    <row r="6359" spans="1:1" x14ac:dyDescent="0.25">
      <c r="A6359" s="15"/>
    </row>
    <row r="6360" spans="1:1" x14ac:dyDescent="0.25">
      <c r="A6360" s="15"/>
    </row>
    <row r="6361" spans="1:1" x14ac:dyDescent="0.25">
      <c r="A6361" s="15"/>
    </row>
    <row r="6362" spans="1:1" x14ac:dyDescent="0.25">
      <c r="A6362" s="15"/>
    </row>
    <row r="6363" spans="1:1" x14ac:dyDescent="0.25">
      <c r="A6363" s="15"/>
    </row>
    <row r="6364" spans="1:1" x14ac:dyDescent="0.25">
      <c r="A6364" s="15"/>
    </row>
    <row r="6365" spans="1:1" x14ac:dyDescent="0.25">
      <c r="A6365" s="15"/>
    </row>
    <row r="6366" spans="1:1" x14ac:dyDescent="0.25">
      <c r="A6366" s="15"/>
    </row>
    <row r="6367" spans="1:1" x14ac:dyDescent="0.25">
      <c r="A6367" s="15"/>
    </row>
    <row r="6368" spans="1:1" x14ac:dyDescent="0.25">
      <c r="A6368" s="15"/>
    </row>
    <row r="6369" spans="1:1" x14ac:dyDescent="0.25">
      <c r="A6369" s="15"/>
    </row>
    <row r="6370" spans="1:1" x14ac:dyDescent="0.25">
      <c r="A6370" s="15"/>
    </row>
    <row r="6371" spans="1:1" x14ac:dyDescent="0.25">
      <c r="A6371" s="15"/>
    </row>
    <row r="6372" spans="1:1" x14ac:dyDescent="0.25">
      <c r="A6372" s="15"/>
    </row>
    <row r="6373" spans="1:1" x14ac:dyDescent="0.25">
      <c r="A6373" s="15"/>
    </row>
    <row r="6374" spans="1:1" x14ac:dyDescent="0.25">
      <c r="A6374" s="15"/>
    </row>
    <row r="6375" spans="1:1" x14ac:dyDescent="0.25">
      <c r="A6375" s="15"/>
    </row>
    <row r="6376" spans="1:1" x14ac:dyDescent="0.25">
      <c r="A6376" s="15"/>
    </row>
    <row r="6377" spans="1:1" x14ac:dyDescent="0.25">
      <c r="A6377" s="15"/>
    </row>
    <row r="6378" spans="1:1" x14ac:dyDescent="0.25">
      <c r="A6378" s="15"/>
    </row>
    <row r="6379" spans="1:1" x14ac:dyDescent="0.25">
      <c r="A6379" s="15"/>
    </row>
    <row r="6380" spans="1:1" x14ac:dyDescent="0.25">
      <c r="A6380" s="15"/>
    </row>
    <row r="6381" spans="1:1" x14ac:dyDescent="0.25">
      <c r="A6381" s="15"/>
    </row>
    <row r="6382" spans="1:1" x14ac:dyDescent="0.25">
      <c r="A6382" s="15"/>
    </row>
    <row r="6383" spans="1:1" x14ac:dyDescent="0.25">
      <c r="A6383" s="15"/>
    </row>
    <row r="6384" spans="1:1" x14ac:dyDescent="0.25">
      <c r="A6384" s="15"/>
    </row>
    <row r="6385" spans="1:1" x14ac:dyDescent="0.25">
      <c r="A6385" s="15"/>
    </row>
    <row r="6386" spans="1:1" x14ac:dyDescent="0.25">
      <c r="A6386" s="15"/>
    </row>
    <row r="6387" spans="1:1" x14ac:dyDescent="0.25">
      <c r="A6387" s="15"/>
    </row>
    <row r="6388" spans="1:1" x14ac:dyDescent="0.25">
      <c r="A6388" s="15"/>
    </row>
    <row r="6389" spans="1:1" x14ac:dyDescent="0.25">
      <c r="A6389" s="15"/>
    </row>
    <row r="6390" spans="1:1" x14ac:dyDescent="0.25">
      <c r="A6390" s="15"/>
    </row>
    <row r="6391" spans="1:1" x14ac:dyDescent="0.25">
      <c r="A6391" s="15"/>
    </row>
    <row r="6392" spans="1:1" x14ac:dyDescent="0.25">
      <c r="A6392" s="15"/>
    </row>
    <row r="6393" spans="1:1" x14ac:dyDescent="0.25">
      <c r="A6393" s="15"/>
    </row>
    <row r="6394" spans="1:1" x14ac:dyDescent="0.25">
      <c r="A6394" s="15"/>
    </row>
    <row r="6395" spans="1:1" x14ac:dyDescent="0.25">
      <c r="A6395" s="15"/>
    </row>
    <row r="6396" spans="1:1" x14ac:dyDescent="0.25">
      <c r="A6396" s="15"/>
    </row>
    <row r="6397" spans="1:1" x14ac:dyDescent="0.25">
      <c r="A6397" s="15"/>
    </row>
    <row r="6398" spans="1:1" x14ac:dyDescent="0.25">
      <c r="A6398" s="15"/>
    </row>
    <row r="6399" spans="1:1" x14ac:dyDescent="0.25">
      <c r="A6399" s="15"/>
    </row>
    <row r="6400" spans="1:1" x14ac:dyDescent="0.25">
      <c r="A6400" s="15"/>
    </row>
    <row r="6401" spans="1:1" x14ac:dyDescent="0.25">
      <c r="A6401" s="15"/>
    </row>
    <row r="6402" spans="1:1" x14ac:dyDescent="0.25">
      <c r="A6402" s="15"/>
    </row>
    <row r="6403" spans="1:1" x14ac:dyDescent="0.25">
      <c r="A6403" s="15"/>
    </row>
    <row r="6404" spans="1:1" x14ac:dyDescent="0.25">
      <c r="A6404" s="15"/>
    </row>
    <row r="6405" spans="1:1" x14ac:dyDescent="0.25">
      <c r="A6405" s="15"/>
    </row>
    <row r="6406" spans="1:1" x14ac:dyDescent="0.25">
      <c r="A6406" s="15"/>
    </row>
    <row r="6407" spans="1:1" x14ac:dyDescent="0.25">
      <c r="A6407" s="15"/>
    </row>
    <row r="6408" spans="1:1" x14ac:dyDescent="0.25">
      <c r="A6408" s="15"/>
    </row>
    <row r="6409" spans="1:1" x14ac:dyDescent="0.25">
      <c r="A6409" s="15"/>
    </row>
    <row r="6410" spans="1:1" x14ac:dyDescent="0.25">
      <c r="A6410" s="15"/>
    </row>
    <row r="6411" spans="1:1" x14ac:dyDescent="0.25">
      <c r="A6411" s="15"/>
    </row>
    <row r="6412" spans="1:1" x14ac:dyDescent="0.25">
      <c r="A6412" s="15"/>
    </row>
    <row r="6413" spans="1:1" x14ac:dyDescent="0.25">
      <c r="A6413" s="15"/>
    </row>
    <row r="6414" spans="1:1" x14ac:dyDescent="0.25">
      <c r="A6414" s="15"/>
    </row>
    <row r="6415" spans="1:1" x14ac:dyDescent="0.25">
      <c r="A6415" s="15"/>
    </row>
    <row r="6416" spans="1:1" x14ac:dyDescent="0.25">
      <c r="A6416" s="15"/>
    </row>
    <row r="6417" spans="1:1" x14ac:dyDescent="0.25">
      <c r="A6417" s="15"/>
    </row>
    <row r="6418" spans="1:1" x14ac:dyDescent="0.25">
      <c r="A6418" s="15"/>
    </row>
    <row r="6419" spans="1:1" x14ac:dyDescent="0.25">
      <c r="A6419" s="15"/>
    </row>
    <row r="6420" spans="1:1" x14ac:dyDescent="0.25">
      <c r="A6420" s="15"/>
    </row>
    <row r="6421" spans="1:1" x14ac:dyDescent="0.25">
      <c r="A6421" s="15"/>
    </row>
    <row r="6422" spans="1:1" x14ac:dyDescent="0.25">
      <c r="A6422" s="15"/>
    </row>
    <row r="6423" spans="1:1" x14ac:dyDescent="0.25">
      <c r="A6423" s="15"/>
    </row>
    <row r="6424" spans="1:1" x14ac:dyDescent="0.25">
      <c r="A6424" s="15"/>
    </row>
    <row r="6425" spans="1:1" x14ac:dyDescent="0.25">
      <c r="A6425" s="15"/>
    </row>
    <row r="6426" spans="1:1" x14ac:dyDescent="0.25">
      <c r="A6426" s="15"/>
    </row>
    <row r="6427" spans="1:1" x14ac:dyDescent="0.25">
      <c r="A6427" s="15"/>
    </row>
    <row r="6428" spans="1:1" x14ac:dyDescent="0.25">
      <c r="A6428" s="15"/>
    </row>
    <row r="6429" spans="1:1" x14ac:dyDescent="0.25">
      <c r="A6429" s="15"/>
    </row>
    <row r="6430" spans="1:1" x14ac:dyDescent="0.25">
      <c r="A6430" s="15"/>
    </row>
    <row r="6431" spans="1:1" x14ac:dyDescent="0.25">
      <c r="A6431" s="15"/>
    </row>
    <row r="6432" spans="1:1" x14ac:dyDescent="0.25">
      <c r="A6432" s="15"/>
    </row>
    <row r="6433" spans="1:1" x14ac:dyDescent="0.25">
      <c r="A6433" s="15"/>
    </row>
    <row r="6434" spans="1:1" x14ac:dyDescent="0.25">
      <c r="A6434" s="15"/>
    </row>
    <row r="6435" spans="1:1" x14ac:dyDescent="0.25">
      <c r="A6435" s="15"/>
    </row>
    <row r="6436" spans="1:1" x14ac:dyDescent="0.25">
      <c r="A6436" s="15"/>
    </row>
    <row r="6437" spans="1:1" x14ac:dyDescent="0.25">
      <c r="A6437" s="15"/>
    </row>
    <row r="6438" spans="1:1" x14ac:dyDescent="0.25">
      <c r="A6438" s="15"/>
    </row>
    <row r="6439" spans="1:1" x14ac:dyDescent="0.25">
      <c r="A6439" s="15"/>
    </row>
    <row r="6440" spans="1:1" x14ac:dyDescent="0.25">
      <c r="A6440" s="15"/>
    </row>
    <row r="6441" spans="1:1" x14ac:dyDescent="0.25">
      <c r="A6441" s="15"/>
    </row>
    <row r="6442" spans="1:1" x14ac:dyDescent="0.25">
      <c r="A6442" s="15"/>
    </row>
    <row r="6443" spans="1:1" x14ac:dyDescent="0.25">
      <c r="A6443" s="15"/>
    </row>
    <row r="6444" spans="1:1" x14ac:dyDescent="0.25">
      <c r="A6444" s="15"/>
    </row>
    <row r="6445" spans="1:1" x14ac:dyDescent="0.25">
      <c r="A6445" s="15"/>
    </row>
    <row r="6446" spans="1:1" x14ac:dyDescent="0.25">
      <c r="A6446" s="15"/>
    </row>
    <row r="6447" spans="1:1" x14ac:dyDescent="0.25">
      <c r="A6447" s="15"/>
    </row>
    <row r="6448" spans="1:1" x14ac:dyDescent="0.25">
      <c r="A6448" s="15"/>
    </row>
    <row r="6449" spans="1:1" x14ac:dyDescent="0.25">
      <c r="A6449" s="15"/>
    </row>
    <row r="6450" spans="1:1" x14ac:dyDescent="0.25">
      <c r="A6450" s="15"/>
    </row>
    <row r="6451" spans="1:1" x14ac:dyDescent="0.25">
      <c r="A6451" s="15"/>
    </row>
    <row r="6452" spans="1:1" x14ac:dyDescent="0.25">
      <c r="A6452" s="15"/>
    </row>
    <row r="6453" spans="1:1" x14ac:dyDescent="0.25">
      <c r="A6453" s="15"/>
    </row>
    <row r="6454" spans="1:1" x14ac:dyDescent="0.25">
      <c r="A6454" s="15"/>
    </row>
    <row r="6455" spans="1:1" x14ac:dyDescent="0.25">
      <c r="A6455" s="15"/>
    </row>
    <row r="6456" spans="1:1" x14ac:dyDescent="0.25">
      <c r="A6456" s="15"/>
    </row>
    <row r="6457" spans="1:1" x14ac:dyDescent="0.25">
      <c r="A6457" s="15"/>
    </row>
    <row r="6458" spans="1:1" x14ac:dyDescent="0.25">
      <c r="A6458" s="15"/>
    </row>
    <row r="6459" spans="1:1" x14ac:dyDescent="0.25">
      <c r="A6459" s="15"/>
    </row>
    <row r="6460" spans="1:1" x14ac:dyDescent="0.25">
      <c r="A6460" s="15"/>
    </row>
    <row r="6461" spans="1:1" x14ac:dyDescent="0.25">
      <c r="A6461" s="15"/>
    </row>
    <row r="6462" spans="1:1" x14ac:dyDescent="0.25">
      <c r="A6462" s="15"/>
    </row>
    <row r="6463" spans="1:1" x14ac:dyDescent="0.25">
      <c r="A6463" s="15"/>
    </row>
    <row r="6464" spans="1:1" x14ac:dyDescent="0.25">
      <c r="A6464" s="15"/>
    </row>
    <row r="6465" spans="1:1" x14ac:dyDescent="0.25">
      <c r="A6465" s="15"/>
    </row>
    <row r="6466" spans="1:1" x14ac:dyDescent="0.25">
      <c r="A6466" s="15"/>
    </row>
    <row r="6467" spans="1:1" x14ac:dyDescent="0.25">
      <c r="A6467" s="15"/>
    </row>
    <row r="6468" spans="1:1" x14ac:dyDescent="0.25">
      <c r="A6468" s="15"/>
    </row>
    <row r="6469" spans="1:1" x14ac:dyDescent="0.25">
      <c r="A6469" s="15"/>
    </row>
    <row r="6470" spans="1:1" x14ac:dyDescent="0.25">
      <c r="A6470" s="15"/>
    </row>
    <row r="6471" spans="1:1" x14ac:dyDescent="0.25">
      <c r="A6471" s="15"/>
    </row>
    <row r="6472" spans="1:1" x14ac:dyDescent="0.25">
      <c r="A6472" s="15"/>
    </row>
    <row r="6473" spans="1:1" x14ac:dyDescent="0.25">
      <c r="A6473" s="15"/>
    </row>
    <row r="6474" spans="1:1" x14ac:dyDescent="0.25">
      <c r="A6474" s="15"/>
    </row>
    <row r="6475" spans="1:1" x14ac:dyDescent="0.25">
      <c r="A6475" s="15"/>
    </row>
    <row r="6476" spans="1:1" x14ac:dyDescent="0.25">
      <c r="A6476" s="15"/>
    </row>
    <row r="6477" spans="1:1" x14ac:dyDescent="0.25">
      <c r="A6477" s="15"/>
    </row>
    <row r="6478" spans="1:1" x14ac:dyDescent="0.25">
      <c r="A6478" s="15"/>
    </row>
    <row r="6479" spans="1:1" x14ac:dyDescent="0.25">
      <c r="A6479" s="15"/>
    </row>
    <row r="6480" spans="1:1" x14ac:dyDescent="0.25">
      <c r="A6480" s="15"/>
    </row>
    <row r="6481" spans="1:1" x14ac:dyDescent="0.25">
      <c r="A6481" s="15"/>
    </row>
    <row r="6482" spans="1:1" x14ac:dyDescent="0.25">
      <c r="A6482" s="15"/>
    </row>
    <row r="6483" spans="1:1" x14ac:dyDescent="0.25">
      <c r="A6483" s="15"/>
    </row>
    <row r="6484" spans="1:1" x14ac:dyDescent="0.25">
      <c r="A6484" s="15"/>
    </row>
    <row r="6485" spans="1:1" x14ac:dyDescent="0.25">
      <c r="A6485" s="15"/>
    </row>
    <row r="6486" spans="1:1" x14ac:dyDescent="0.25">
      <c r="A6486" s="15"/>
    </row>
    <row r="6487" spans="1:1" x14ac:dyDescent="0.25">
      <c r="A6487" s="15"/>
    </row>
    <row r="6488" spans="1:1" x14ac:dyDescent="0.25">
      <c r="A6488" s="15"/>
    </row>
    <row r="6489" spans="1:1" x14ac:dyDescent="0.25">
      <c r="A6489" s="15"/>
    </row>
    <row r="6490" spans="1:1" x14ac:dyDescent="0.25">
      <c r="A6490" s="15"/>
    </row>
    <row r="6491" spans="1:1" x14ac:dyDescent="0.25">
      <c r="A6491" s="15"/>
    </row>
    <row r="6492" spans="1:1" x14ac:dyDescent="0.25">
      <c r="A6492" s="15"/>
    </row>
    <row r="6493" spans="1:1" x14ac:dyDescent="0.25">
      <c r="A6493" s="15"/>
    </row>
    <row r="6494" spans="1:1" x14ac:dyDescent="0.25">
      <c r="A6494" s="15"/>
    </row>
    <row r="6495" spans="1:1" x14ac:dyDescent="0.25">
      <c r="A6495" s="15"/>
    </row>
    <row r="6496" spans="1:1" x14ac:dyDescent="0.25">
      <c r="A6496" s="15"/>
    </row>
    <row r="6497" spans="1:1" x14ac:dyDescent="0.25">
      <c r="A6497" s="15"/>
    </row>
    <row r="6498" spans="1:1" x14ac:dyDescent="0.25">
      <c r="A6498" s="15"/>
    </row>
    <row r="6499" spans="1:1" x14ac:dyDescent="0.25">
      <c r="A6499" s="15"/>
    </row>
    <row r="6500" spans="1:1" x14ac:dyDescent="0.25">
      <c r="A6500" s="15"/>
    </row>
    <row r="6501" spans="1:1" x14ac:dyDescent="0.25">
      <c r="A6501" s="15"/>
    </row>
    <row r="6502" spans="1:1" x14ac:dyDescent="0.25">
      <c r="A6502" s="15"/>
    </row>
    <row r="6503" spans="1:1" x14ac:dyDescent="0.25">
      <c r="A6503" s="15"/>
    </row>
    <row r="6504" spans="1:1" x14ac:dyDescent="0.25">
      <c r="A6504" s="15"/>
    </row>
    <row r="6505" spans="1:1" x14ac:dyDescent="0.25">
      <c r="A6505" s="15"/>
    </row>
    <row r="6506" spans="1:1" x14ac:dyDescent="0.25">
      <c r="A6506" s="15"/>
    </row>
    <row r="6507" spans="1:1" x14ac:dyDescent="0.25">
      <c r="A6507" s="15"/>
    </row>
    <row r="6508" spans="1:1" x14ac:dyDescent="0.25">
      <c r="A6508" s="15"/>
    </row>
    <row r="6509" spans="1:1" x14ac:dyDescent="0.25">
      <c r="A6509" s="15"/>
    </row>
    <row r="6510" spans="1:1" x14ac:dyDescent="0.25">
      <c r="A6510" s="15"/>
    </row>
    <row r="6511" spans="1:1" x14ac:dyDescent="0.25">
      <c r="A6511" s="15"/>
    </row>
    <row r="6512" spans="1:1" x14ac:dyDescent="0.25">
      <c r="A6512" s="15"/>
    </row>
    <row r="6513" spans="1:1" x14ac:dyDescent="0.25">
      <c r="A6513" s="15"/>
    </row>
    <row r="6514" spans="1:1" x14ac:dyDescent="0.25">
      <c r="A6514" s="15"/>
    </row>
    <row r="6515" spans="1:1" x14ac:dyDescent="0.25">
      <c r="A6515" s="15"/>
    </row>
    <row r="6516" spans="1:1" x14ac:dyDescent="0.25">
      <c r="A6516" s="15"/>
    </row>
    <row r="6517" spans="1:1" x14ac:dyDescent="0.25">
      <c r="A6517" s="15"/>
    </row>
    <row r="6518" spans="1:1" x14ac:dyDescent="0.25">
      <c r="A6518" s="15"/>
    </row>
    <row r="6519" spans="1:1" x14ac:dyDescent="0.25">
      <c r="A6519" s="15"/>
    </row>
    <row r="6520" spans="1:1" x14ac:dyDescent="0.25">
      <c r="A6520" s="15"/>
    </row>
    <row r="6521" spans="1:1" x14ac:dyDescent="0.25">
      <c r="A6521" s="15"/>
    </row>
    <row r="6522" spans="1:1" x14ac:dyDescent="0.25">
      <c r="A6522" s="15"/>
    </row>
    <row r="6523" spans="1:1" x14ac:dyDescent="0.25">
      <c r="A6523" s="15"/>
    </row>
    <row r="6524" spans="1:1" x14ac:dyDescent="0.25">
      <c r="A6524" s="15"/>
    </row>
    <row r="6525" spans="1:1" x14ac:dyDescent="0.25">
      <c r="A6525" s="15"/>
    </row>
    <row r="6526" spans="1:1" x14ac:dyDescent="0.25">
      <c r="A6526" s="15"/>
    </row>
    <row r="6527" spans="1:1" x14ac:dyDescent="0.25">
      <c r="A6527" s="15"/>
    </row>
    <row r="6528" spans="1:1" x14ac:dyDescent="0.25">
      <c r="A6528" s="15"/>
    </row>
    <row r="6529" spans="1:1" x14ac:dyDescent="0.25">
      <c r="A6529" s="15"/>
    </row>
    <row r="6530" spans="1:1" x14ac:dyDescent="0.25">
      <c r="A6530" s="15"/>
    </row>
    <row r="6531" spans="1:1" x14ac:dyDescent="0.25">
      <c r="A6531" s="15"/>
    </row>
    <row r="6532" spans="1:1" x14ac:dyDescent="0.25">
      <c r="A6532" s="15"/>
    </row>
    <row r="6533" spans="1:1" x14ac:dyDescent="0.25">
      <c r="A6533" s="15"/>
    </row>
    <row r="6534" spans="1:1" x14ac:dyDescent="0.25">
      <c r="A6534" s="15"/>
    </row>
    <row r="6535" spans="1:1" x14ac:dyDescent="0.25">
      <c r="A6535" s="15"/>
    </row>
    <row r="6536" spans="1:1" x14ac:dyDescent="0.25">
      <c r="A6536" s="15"/>
    </row>
    <row r="6537" spans="1:1" x14ac:dyDescent="0.25">
      <c r="A6537" s="15"/>
    </row>
    <row r="6538" spans="1:1" x14ac:dyDescent="0.25">
      <c r="A6538" s="15"/>
    </row>
    <row r="6539" spans="1:1" x14ac:dyDescent="0.25">
      <c r="A6539" s="15"/>
    </row>
    <row r="6540" spans="1:1" x14ac:dyDescent="0.25">
      <c r="A6540" s="15"/>
    </row>
    <row r="6541" spans="1:1" x14ac:dyDescent="0.25">
      <c r="A6541" s="15"/>
    </row>
    <row r="6542" spans="1:1" x14ac:dyDescent="0.25">
      <c r="A6542" s="15"/>
    </row>
    <row r="6543" spans="1:1" x14ac:dyDescent="0.25">
      <c r="A6543" s="15"/>
    </row>
    <row r="6544" spans="1:1" x14ac:dyDescent="0.25">
      <c r="A6544" s="15"/>
    </row>
    <row r="6545" spans="1:1" x14ac:dyDescent="0.25">
      <c r="A6545" s="15"/>
    </row>
    <row r="6546" spans="1:1" x14ac:dyDescent="0.25">
      <c r="A6546" s="15"/>
    </row>
    <row r="6547" spans="1:1" x14ac:dyDescent="0.25">
      <c r="A6547" s="15"/>
    </row>
    <row r="6548" spans="1:1" x14ac:dyDescent="0.25">
      <c r="A6548" s="15"/>
    </row>
    <row r="6549" spans="1:1" x14ac:dyDescent="0.25">
      <c r="A6549" s="15"/>
    </row>
    <row r="6550" spans="1:1" x14ac:dyDescent="0.25">
      <c r="A6550" s="15"/>
    </row>
    <row r="6551" spans="1:1" x14ac:dyDescent="0.25">
      <c r="A6551" s="15"/>
    </row>
    <row r="6552" spans="1:1" x14ac:dyDescent="0.25">
      <c r="A6552" s="15"/>
    </row>
    <row r="6553" spans="1:1" x14ac:dyDescent="0.25">
      <c r="A6553" s="15"/>
    </row>
    <row r="6554" spans="1:1" x14ac:dyDescent="0.25">
      <c r="A6554" s="15"/>
    </row>
    <row r="6555" spans="1:1" x14ac:dyDescent="0.25">
      <c r="A6555" s="15"/>
    </row>
    <row r="6556" spans="1:1" x14ac:dyDescent="0.25">
      <c r="A6556" s="15"/>
    </row>
    <row r="6557" spans="1:1" x14ac:dyDescent="0.25">
      <c r="A6557" s="15"/>
    </row>
    <row r="6558" spans="1:1" x14ac:dyDescent="0.25">
      <c r="A6558" s="15"/>
    </row>
    <row r="6559" spans="1:1" x14ac:dyDescent="0.25">
      <c r="A6559" s="15"/>
    </row>
    <row r="6560" spans="1:1" x14ac:dyDescent="0.25">
      <c r="A6560" s="15"/>
    </row>
    <row r="6561" spans="1:1" x14ac:dyDescent="0.25">
      <c r="A6561" s="15"/>
    </row>
    <row r="6562" spans="1:1" x14ac:dyDescent="0.25">
      <c r="A6562" s="15"/>
    </row>
    <row r="6563" spans="1:1" x14ac:dyDescent="0.25">
      <c r="A6563" s="15"/>
    </row>
    <row r="6564" spans="1:1" x14ac:dyDescent="0.25">
      <c r="A6564" s="15"/>
    </row>
    <row r="6565" spans="1:1" x14ac:dyDescent="0.25">
      <c r="A6565" s="15"/>
    </row>
    <row r="6566" spans="1:1" x14ac:dyDescent="0.25">
      <c r="A6566" s="15"/>
    </row>
    <row r="6567" spans="1:1" x14ac:dyDescent="0.25">
      <c r="A6567" s="15"/>
    </row>
    <row r="6568" spans="1:1" x14ac:dyDescent="0.25">
      <c r="A6568" s="15"/>
    </row>
    <row r="6569" spans="1:1" x14ac:dyDescent="0.25">
      <c r="A6569" s="15"/>
    </row>
    <row r="6570" spans="1:1" x14ac:dyDescent="0.25">
      <c r="A6570" s="15"/>
    </row>
    <row r="6571" spans="1:1" x14ac:dyDescent="0.25">
      <c r="A6571" s="15"/>
    </row>
    <row r="6572" spans="1:1" x14ac:dyDescent="0.25">
      <c r="A6572" s="15"/>
    </row>
    <row r="6573" spans="1:1" x14ac:dyDescent="0.25">
      <c r="A6573" s="15"/>
    </row>
    <row r="6574" spans="1:1" x14ac:dyDescent="0.25">
      <c r="A6574" s="15"/>
    </row>
    <row r="6575" spans="1:1" x14ac:dyDescent="0.25">
      <c r="A6575" s="15"/>
    </row>
    <row r="6576" spans="1:1" x14ac:dyDescent="0.25">
      <c r="A6576" s="15"/>
    </row>
    <row r="6577" spans="1:1" x14ac:dyDescent="0.25">
      <c r="A6577" s="15"/>
    </row>
    <row r="6578" spans="1:1" x14ac:dyDescent="0.25">
      <c r="A6578" s="15"/>
    </row>
    <row r="6579" spans="1:1" x14ac:dyDescent="0.25">
      <c r="A6579" s="15"/>
    </row>
    <row r="6580" spans="1:1" x14ac:dyDescent="0.25">
      <c r="A6580" s="15"/>
    </row>
    <row r="6581" spans="1:1" x14ac:dyDescent="0.25">
      <c r="A6581" s="15"/>
    </row>
    <row r="6582" spans="1:1" x14ac:dyDescent="0.25">
      <c r="A6582" s="15"/>
    </row>
    <row r="6583" spans="1:1" x14ac:dyDescent="0.25">
      <c r="A6583" s="15"/>
    </row>
    <row r="6584" spans="1:1" x14ac:dyDescent="0.25">
      <c r="A6584" s="15"/>
    </row>
    <row r="6585" spans="1:1" x14ac:dyDescent="0.25">
      <c r="A6585" s="15"/>
    </row>
    <row r="6586" spans="1:1" x14ac:dyDescent="0.25">
      <c r="A6586" s="15"/>
    </row>
    <row r="6587" spans="1:1" x14ac:dyDescent="0.25">
      <c r="A6587" s="15"/>
    </row>
    <row r="6588" spans="1:1" x14ac:dyDescent="0.25">
      <c r="A6588" s="15"/>
    </row>
    <row r="6589" spans="1:1" x14ac:dyDescent="0.25">
      <c r="A6589" s="15"/>
    </row>
    <row r="6590" spans="1:1" x14ac:dyDescent="0.25">
      <c r="A6590" s="15"/>
    </row>
    <row r="6591" spans="1:1" x14ac:dyDescent="0.25">
      <c r="A6591" s="15"/>
    </row>
    <row r="6592" spans="1:1" x14ac:dyDescent="0.25">
      <c r="A6592" s="15"/>
    </row>
    <row r="6593" spans="1:1" x14ac:dyDescent="0.25">
      <c r="A6593" s="15"/>
    </row>
    <row r="6594" spans="1:1" x14ac:dyDescent="0.25">
      <c r="A6594" s="15"/>
    </row>
    <row r="6595" spans="1:1" x14ac:dyDescent="0.25">
      <c r="A6595" s="15"/>
    </row>
    <row r="6596" spans="1:1" x14ac:dyDescent="0.25">
      <c r="A6596" s="15"/>
    </row>
    <row r="6597" spans="1:1" x14ac:dyDescent="0.25">
      <c r="A6597" s="15"/>
    </row>
    <row r="6598" spans="1:1" x14ac:dyDescent="0.25">
      <c r="A6598" s="15"/>
    </row>
    <row r="6599" spans="1:1" x14ac:dyDescent="0.25">
      <c r="A6599" s="15"/>
    </row>
    <row r="6600" spans="1:1" x14ac:dyDescent="0.25">
      <c r="A6600" s="15"/>
    </row>
    <row r="6601" spans="1:1" x14ac:dyDescent="0.25">
      <c r="A6601" s="15"/>
    </row>
    <row r="6602" spans="1:1" x14ac:dyDescent="0.25">
      <c r="A6602" s="15"/>
    </row>
    <row r="6603" spans="1:1" x14ac:dyDescent="0.25">
      <c r="A6603" s="15"/>
    </row>
    <row r="6604" spans="1:1" x14ac:dyDescent="0.25">
      <c r="A6604" s="15"/>
    </row>
    <row r="6605" spans="1:1" x14ac:dyDescent="0.25">
      <c r="A6605" s="15"/>
    </row>
    <row r="6606" spans="1:1" x14ac:dyDescent="0.25">
      <c r="A6606" s="15"/>
    </row>
    <row r="6607" spans="1:1" x14ac:dyDescent="0.25">
      <c r="A6607" s="15"/>
    </row>
    <row r="6608" spans="1:1" x14ac:dyDescent="0.25">
      <c r="A6608" s="15"/>
    </row>
    <row r="6609" spans="1:1" x14ac:dyDescent="0.25">
      <c r="A6609" s="15"/>
    </row>
    <row r="6610" spans="1:1" x14ac:dyDescent="0.25">
      <c r="A6610" s="15"/>
    </row>
    <row r="6611" spans="1:1" x14ac:dyDescent="0.25">
      <c r="A6611" s="15"/>
    </row>
    <row r="6612" spans="1:1" x14ac:dyDescent="0.25">
      <c r="A6612" s="15"/>
    </row>
    <row r="6613" spans="1:1" x14ac:dyDescent="0.25">
      <c r="A6613" s="15"/>
    </row>
    <row r="6614" spans="1:1" x14ac:dyDescent="0.25">
      <c r="A6614" s="15"/>
    </row>
    <row r="6615" spans="1:1" x14ac:dyDescent="0.25">
      <c r="A6615" s="15"/>
    </row>
    <row r="6616" spans="1:1" x14ac:dyDescent="0.25">
      <c r="A6616" s="15"/>
    </row>
    <row r="6617" spans="1:1" x14ac:dyDescent="0.25">
      <c r="A6617" s="15"/>
    </row>
    <row r="6618" spans="1:1" x14ac:dyDescent="0.25">
      <c r="A6618" s="15"/>
    </row>
    <row r="6619" spans="1:1" x14ac:dyDescent="0.25">
      <c r="A6619" s="15"/>
    </row>
    <row r="6620" spans="1:1" x14ac:dyDescent="0.25">
      <c r="A6620" s="15"/>
    </row>
    <row r="6621" spans="1:1" x14ac:dyDescent="0.25">
      <c r="A6621" s="15"/>
    </row>
    <row r="6622" spans="1:1" x14ac:dyDescent="0.25">
      <c r="A6622" s="15"/>
    </row>
    <row r="6623" spans="1:1" x14ac:dyDescent="0.25">
      <c r="A6623" s="15"/>
    </row>
    <row r="6624" spans="1:1" x14ac:dyDescent="0.25">
      <c r="A6624" s="15"/>
    </row>
    <row r="6625" spans="1:1" x14ac:dyDescent="0.25">
      <c r="A6625" s="15"/>
    </row>
    <row r="6626" spans="1:1" x14ac:dyDescent="0.25">
      <c r="A6626" s="15"/>
    </row>
    <row r="6627" spans="1:1" x14ac:dyDescent="0.25">
      <c r="A6627" s="15"/>
    </row>
    <row r="6628" spans="1:1" x14ac:dyDescent="0.25">
      <c r="A6628" s="15"/>
    </row>
    <row r="6629" spans="1:1" x14ac:dyDescent="0.25">
      <c r="A6629" s="15"/>
    </row>
    <row r="6630" spans="1:1" x14ac:dyDescent="0.25">
      <c r="A6630" s="15"/>
    </row>
    <row r="6631" spans="1:1" x14ac:dyDescent="0.25">
      <c r="A6631" s="15"/>
    </row>
    <row r="6632" spans="1:1" x14ac:dyDescent="0.25">
      <c r="A6632" s="15"/>
    </row>
    <row r="6633" spans="1:1" x14ac:dyDescent="0.25">
      <c r="A6633" s="15"/>
    </row>
    <row r="6634" spans="1:1" x14ac:dyDescent="0.25">
      <c r="A6634" s="15"/>
    </row>
    <row r="6635" spans="1:1" x14ac:dyDescent="0.25">
      <c r="A6635" s="15"/>
    </row>
    <row r="6636" spans="1:1" x14ac:dyDescent="0.25">
      <c r="A6636" s="15"/>
    </row>
    <row r="6637" spans="1:1" x14ac:dyDescent="0.25">
      <c r="A6637" s="15"/>
    </row>
    <row r="6638" spans="1:1" x14ac:dyDescent="0.25">
      <c r="A6638" s="15"/>
    </row>
    <row r="6639" spans="1:1" x14ac:dyDescent="0.25">
      <c r="A6639" s="15"/>
    </row>
    <row r="6640" spans="1:1" x14ac:dyDescent="0.25">
      <c r="A6640" s="15"/>
    </row>
    <row r="6641" spans="1:1" x14ac:dyDescent="0.25">
      <c r="A6641" s="15"/>
    </row>
    <row r="6642" spans="1:1" x14ac:dyDescent="0.25">
      <c r="A6642" s="15"/>
    </row>
    <row r="6643" spans="1:1" x14ac:dyDescent="0.25">
      <c r="A6643" s="15"/>
    </row>
    <row r="6644" spans="1:1" x14ac:dyDescent="0.25">
      <c r="A6644" s="15"/>
    </row>
    <row r="6645" spans="1:1" x14ac:dyDescent="0.25">
      <c r="A6645" s="15"/>
    </row>
    <row r="6646" spans="1:1" x14ac:dyDescent="0.25">
      <c r="A6646" s="15"/>
    </row>
    <row r="6647" spans="1:1" x14ac:dyDescent="0.25">
      <c r="A6647" s="15"/>
    </row>
    <row r="6648" spans="1:1" x14ac:dyDescent="0.25">
      <c r="A6648" s="15"/>
    </row>
    <row r="6649" spans="1:1" x14ac:dyDescent="0.25">
      <c r="A6649" s="15"/>
    </row>
    <row r="6650" spans="1:1" x14ac:dyDescent="0.25">
      <c r="A6650" s="15"/>
    </row>
    <row r="6651" spans="1:1" x14ac:dyDescent="0.25">
      <c r="A6651" s="15"/>
    </row>
    <row r="6652" spans="1:1" x14ac:dyDescent="0.25">
      <c r="A6652" s="15"/>
    </row>
    <row r="6653" spans="1:1" x14ac:dyDescent="0.25">
      <c r="A6653" s="15"/>
    </row>
    <row r="6654" spans="1:1" x14ac:dyDescent="0.25">
      <c r="A6654" s="15"/>
    </row>
    <row r="6655" spans="1:1" x14ac:dyDescent="0.25">
      <c r="A6655" s="15"/>
    </row>
    <row r="6656" spans="1:1" x14ac:dyDescent="0.25">
      <c r="A6656" s="15"/>
    </row>
    <row r="6657" spans="1:1" x14ac:dyDescent="0.25">
      <c r="A6657" s="15"/>
    </row>
    <row r="6658" spans="1:1" x14ac:dyDescent="0.25">
      <c r="A6658" s="15"/>
    </row>
    <row r="6659" spans="1:1" x14ac:dyDescent="0.25">
      <c r="A6659" s="15"/>
    </row>
    <row r="6660" spans="1:1" x14ac:dyDescent="0.25">
      <c r="A6660" s="15"/>
    </row>
    <row r="6661" spans="1:1" x14ac:dyDescent="0.25">
      <c r="A6661" s="15"/>
    </row>
    <row r="6662" spans="1:1" x14ac:dyDescent="0.25">
      <c r="A6662" s="15"/>
    </row>
    <row r="6663" spans="1:1" x14ac:dyDescent="0.25">
      <c r="A6663" s="15"/>
    </row>
    <row r="6664" spans="1:1" x14ac:dyDescent="0.25">
      <c r="A6664" s="15"/>
    </row>
    <row r="6665" spans="1:1" x14ac:dyDescent="0.25">
      <c r="A6665" s="15"/>
    </row>
    <row r="6666" spans="1:1" x14ac:dyDescent="0.25">
      <c r="A6666" s="15"/>
    </row>
    <row r="6667" spans="1:1" x14ac:dyDescent="0.25">
      <c r="A6667" s="15"/>
    </row>
    <row r="6668" spans="1:1" x14ac:dyDescent="0.25">
      <c r="A6668" s="15"/>
    </row>
    <row r="6669" spans="1:1" x14ac:dyDescent="0.25">
      <c r="A6669" s="15"/>
    </row>
    <row r="6670" spans="1:1" x14ac:dyDescent="0.25">
      <c r="A6670" s="15"/>
    </row>
    <row r="6671" spans="1:1" x14ac:dyDescent="0.25">
      <c r="A6671" s="15"/>
    </row>
    <row r="6672" spans="1:1" x14ac:dyDescent="0.25">
      <c r="A6672" s="15"/>
    </row>
    <row r="6673" spans="1:1" x14ac:dyDescent="0.25">
      <c r="A6673" s="15"/>
    </row>
    <row r="6674" spans="1:1" x14ac:dyDescent="0.25">
      <c r="A6674" s="15"/>
    </row>
    <row r="6675" spans="1:1" x14ac:dyDescent="0.25">
      <c r="A6675" s="15"/>
    </row>
    <row r="6676" spans="1:1" x14ac:dyDescent="0.25">
      <c r="A6676" s="15"/>
    </row>
    <row r="6677" spans="1:1" x14ac:dyDescent="0.25">
      <c r="A6677" s="15"/>
    </row>
    <row r="6678" spans="1:1" x14ac:dyDescent="0.25">
      <c r="A6678" s="15"/>
    </row>
    <row r="6679" spans="1:1" x14ac:dyDescent="0.25">
      <c r="A6679" s="15"/>
    </row>
    <row r="6680" spans="1:1" x14ac:dyDescent="0.25">
      <c r="A6680" s="15"/>
    </row>
    <row r="6681" spans="1:1" x14ac:dyDescent="0.25">
      <c r="A6681" s="15"/>
    </row>
    <row r="6682" spans="1:1" x14ac:dyDescent="0.25">
      <c r="A6682" s="15"/>
    </row>
    <row r="6683" spans="1:1" x14ac:dyDescent="0.25">
      <c r="A6683" s="15"/>
    </row>
    <row r="6684" spans="1:1" x14ac:dyDescent="0.25">
      <c r="A6684" s="15"/>
    </row>
    <row r="6685" spans="1:1" x14ac:dyDescent="0.25">
      <c r="A6685" s="15"/>
    </row>
    <row r="6686" spans="1:1" x14ac:dyDescent="0.25">
      <c r="A6686" s="15"/>
    </row>
    <row r="6687" spans="1:1" x14ac:dyDescent="0.25">
      <c r="A6687" s="15"/>
    </row>
    <row r="6688" spans="1:1" x14ac:dyDescent="0.25">
      <c r="A6688" s="15"/>
    </row>
    <row r="6689" spans="1:1" x14ac:dyDescent="0.25">
      <c r="A6689" s="15"/>
    </row>
    <row r="6690" spans="1:1" x14ac:dyDescent="0.25">
      <c r="A6690" s="15"/>
    </row>
    <row r="6691" spans="1:1" x14ac:dyDescent="0.25">
      <c r="A6691" s="15"/>
    </row>
    <row r="6692" spans="1:1" x14ac:dyDescent="0.25">
      <c r="A6692" s="15"/>
    </row>
    <row r="6693" spans="1:1" x14ac:dyDescent="0.25">
      <c r="A6693" s="15"/>
    </row>
    <row r="6694" spans="1:1" x14ac:dyDescent="0.25">
      <c r="A6694" s="15"/>
    </row>
    <row r="6695" spans="1:1" x14ac:dyDescent="0.25">
      <c r="A6695" s="15"/>
    </row>
    <row r="6696" spans="1:1" x14ac:dyDescent="0.25">
      <c r="A6696" s="15"/>
    </row>
    <row r="6697" spans="1:1" x14ac:dyDescent="0.25">
      <c r="A6697" s="15"/>
    </row>
    <row r="6698" spans="1:1" x14ac:dyDescent="0.25">
      <c r="A6698" s="15"/>
    </row>
    <row r="6699" spans="1:1" x14ac:dyDescent="0.25">
      <c r="A6699" s="15"/>
    </row>
    <row r="6700" spans="1:1" x14ac:dyDescent="0.25">
      <c r="A6700" s="15"/>
    </row>
    <row r="6701" spans="1:1" x14ac:dyDescent="0.25">
      <c r="A6701" s="15"/>
    </row>
    <row r="6702" spans="1:1" x14ac:dyDescent="0.25">
      <c r="A6702" s="15"/>
    </row>
    <row r="6703" spans="1:1" x14ac:dyDescent="0.25">
      <c r="A6703" s="15"/>
    </row>
    <row r="6704" spans="1:1" x14ac:dyDescent="0.25">
      <c r="A6704" s="15"/>
    </row>
    <row r="6705" spans="1:1" x14ac:dyDescent="0.25">
      <c r="A6705" s="15"/>
    </row>
    <row r="6706" spans="1:1" x14ac:dyDescent="0.25">
      <c r="A6706" s="15"/>
    </row>
    <row r="6707" spans="1:1" x14ac:dyDescent="0.25">
      <c r="A6707" s="15"/>
    </row>
    <row r="6708" spans="1:1" x14ac:dyDescent="0.25">
      <c r="A6708" s="15"/>
    </row>
    <row r="6709" spans="1:1" x14ac:dyDescent="0.25">
      <c r="A6709" s="15"/>
    </row>
    <row r="6710" spans="1:1" x14ac:dyDescent="0.25">
      <c r="A6710" s="15"/>
    </row>
    <row r="6711" spans="1:1" x14ac:dyDescent="0.25">
      <c r="A6711" s="15"/>
    </row>
    <row r="6712" spans="1:1" x14ac:dyDescent="0.25">
      <c r="A6712" s="15"/>
    </row>
    <row r="6713" spans="1:1" x14ac:dyDescent="0.25">
      <c r="A6713" s="15"/>
    </row>
    <row r="6714" spans="1:1" x14ac:dyDescent="0.25">
      <c r="A6714" s="15"/>
    </row>
    <row r="6715" spans="1:1" x14ac:dyDescent="0.25">
      <c r="A6715" s="15"/>
    </row>
    <row r="6716" spans="1:1" x14ac:dyDescent="0.25">
      <c r="A6716" s="15"/>
    </row>
    <row r="6717" spans="1:1" x14ac:dyDescent="0.25">
      <c r="A6717" s="15"/>
    </row>
    <row r="6718" spans="1:1" x14ac:dyDescent="0.25">
      <c r="A6718" s="15"/>
    </row>
    <row r="6719" spans="1:1" x14ac:dyDescent="0.25">
      <c r="A6719" s="15"/>
    </row>
    <row r="6720" spans="1:1" x14ac:dyDescent="0.25">
      <c r="A6720" s="15"/>
    </row>
    <row r="6721" spans="1:1" x14ac:dyDescent="0.25">
      <c r="A6721" s="15"/>
    </row>
    <row r="6722" spans="1:1" x14ac:dyDescent="0.25">
      <c r="A6722" s="15"/>
    </row>
    <row r="6723" spans="1:1" x14ac:dyDescent="0.25">
      <c r="A6723" s="15"/>
    </row>
    <row r="6724" spans="1:1" x14ac:dyDescent="0.25">
      <c r="A6724" s="15"/>
    </row>
    <row r="6725" spans="1:1" x14ac:dyDescent="0.25">
      <c r="A6725" s="15"/>
    </row>
    <row r="6726" spans="1:1" x14ac:dyDescent="0.25">
      <c r="A6726" s="15"/>
    </row>
    <row r="6727" spans="1:1" x14ac:dyDescent="0.25">
      <c r="A6727" s="15"/>
    </row>
    <row r="6728" spans="1:1" x14ac:dyDescent="0.25">
      <c r="A6728" s="15"/>
    </row>
    <row r="6729" spans="1:1" x14ac:dyDescent="0.25">
      <c r="A6729" s="15"/>
    </row>
    <row r="6730" spans="1:1" x14ac:dyDescent="0.25">
      <c r="A6730" s="15"/>
    </row>
    <row r="6731" spans="1:1" x14ac:dyDescent="0.25">
      <c r="A6731" s="15"/>
    </row>
    <row r="6732" spans="1:1" x14ac:dyDescent="0.25">
      <c r="A6732" s="15"/>
    </row>
    <row r="6733" spans="1:1" x14ac:dyDescent="0.25">
      <c r="A6733" s="15"/>
    </row>
    <row r="6734" spans="1:1" x14ac:dyDescent="0.25">
      <c r="A6734" s="15"/>
    </row>
    <row r="6735" spans="1:1" x14ac:dyDescent="0.25">
      <c r="A6735" s="15"/>
    </row>
    <row r="6736" spans="1:1" x14ac:dyDescent="0.25">
      <c r="A6736" s="15"/>
    </row>
    <row r="6737" spans="1:1" x14ac:dyDescent="0.25">
      <c r="A6737" s="15"/>
    </row>
    <row r="6738" spans="1:1" x14ac:dyDescent="0.25">
      <c r="A6738" s="15"/>
    </row>
    <row r="6739" spans="1:1" x14ac:dyDescent="0.25">
      <c r="A6739" s="15"/>
    </row>
    <row r="6740" spans="1:1" x14ac:dyDescent="0.25">
      <c r="A6740" s="15"/>
    </row>
    <row r="6741" spans="1:1" x14ac:dyDescent="0.25">
      <c r="A6741" s="15"/>
    </row>
    <row r="6742" spans="1:1" x14ac:dyDescent="0.25">
      <c r="A6742" s="15"/>
    </row>
    <row r="6743" spans="1:1" x14ac:dyDescent="0.25">
      <c r="A6743" s="15"/>
    </row>
    <row r="6744" spans="1:1" x14ac:dyDescent="0.25">
      <c r="A6744" s="15"/>
    </row>
    <row r="6745" spans="1:1" x14ac:dyDescent="0.25">
      <c r="A6745" s="15"/>
    </row>
    <row r="6746" spans="1:1" x14ac:dyDescent="0.25">
      <c r="A6746" s="15"/>
    </row>
    <row r="6747" spans="1:1" x14ac:dyDescent="0.25">
      <c r="A6747" s="15"/>
    </row>
    <row r="6748" spans="1:1" x14ac:dyDescent="0.25">
      <c r="A6748" s="15"/>
    </row>
    <row r="6749" spans="1:1" x14ac:dyDescent="0.25">
      <c r="A6749" s="15"/>
    </row>
    <row r="6750" spans="1:1" x14ac:dyDescent="0.25">
      <c r="A6750" s="15"/>
    </row>
    <row r="6751" spans="1:1" x14ac:dyDescent="0.25">
      <c r="A6751" s="15"/>
    </row>
    <row r="6752" spans="1:1" x14ac:dyDescent="0.25">
      <c r="A6752" s="15"/>
    </row>
    <row r="6753" spans="1:1" x14ac:dyDescent="0.25">
      <c r="A6753" s="15"/>
    </row>
    <row r="6754" spans="1:1" x14ac:dyDescent="0.25">
      <c r="A6754" s="15"/>
    </row>
    <row r="6755" spans="1:1" x14ac:dyDescent="0.25">
      <c r="A6755" s="15"/>
    </row>
    <row r="6756" spans="1:1" x14ac:dyDescent="0.25">
      <c r="A6756" s="15"/>
    </row>
    <row r="6757" spans="1:1" x14ac:dyDescent="0.25">
      <c r="A6757" s="15"/>
    </row>
    <row r="6758" spans="1:1" x14ac:dyDescent="0.25">
      <c r="A6758" s="15"/>
    </row>
    <row r="6759" spans="1:1" x14ac:dyDescent="0.25">
      <c r="A6759" s="15"/>
    </row>
    <row r="6760" spans="1:1" x14ac:dyDescent="0.25">
      <c r="A6760" s="15"/>
    </row>
    <row r="6761" spans="1:1" x14ac:dyDescent="0.25">
      <c r="A6761" s="15"/>
    </row>
    <row r="6762" spans="1:1" x14ac:dyDescent="0.25">
      <c r="A6762" s="15"/>
    </row>
    <row r="6763" spans="1:1" x14ac:dyDescent="0.25">
      <c r="A6763" s="15"/>
    </row>
    <row r="6764" spans="1:1" x14ac:dyDescent="0.25">
      <c r="A6764" s="15"/>
    </row>
    <row r="6765" spans="1:1" x14ac:dyDescent="0.25">
      <c r="A6765" s="15"/>
    </row>
    <row r="6766" spans="1:1" x14ac:dyDescent="0.25">
      <c r="A6766" s="15"/>
    </row>
    <row r="6767" spans="1:1" x14ac:dyDescent="0.25">
      <c r="A6767" s="15"/>
    </row>
    <row r="6768" spans="1:1" x14ac:dyDescent="0.25">
      <c r="A6768" s="15"/>
    </row>
    <row r="6769" spans="1:1" x14ac:dyDescent="0.25">
      <c r="A6769" s="15"/>
    </row>
    <row r="6770" spans="1:1" x14ac:dyDescent="0.25">
      <c r="A6770" s="15"/>
    </row>
    <row r="6771" spans="1:1" x14ac:dyDescent="0.25">
      <c r="A6771" s="15"/>
    </row>
    <row r="6772" spans="1:1" x14ac:dyDescent="0.25">
      <c r="A6772" s="15"/>
    </row>
    <row r="6773" spans="1:1" x14ac:dyDescent="0.25">
      <c r="A6773" s="15"/>
    </row>
    <row r="6774" spans="1:1" x14ac:dyDescent="0.25">
      <c r="A6774" s="15"/>
    </row>
    <row r="6775" spans="1:1" x14ac:dyDescent="0.25">
      <c r="A6775" s="15"/>
    </row>
    <row r="6776" spans="1:1" x14ac:dyDescent="0.25">
      <c r="A6776" s="15"/>
    </row>
    <row r="6777" spans="1:1" x14ac:dyDescent="0.25">
      <c r="A6777" s="15"/>
    </row>
    <row r="6778" spans="1:1" x14ac:dyDescent="0.25">
      <c r="A6778" s="15"/>
    </row>
    <row r="6779" spans="1:1" x14ac:dyDescent="0.25">
      <c r="A6779" s="15"/>
    </row>
    <row r="6780" spans="1:1" x14ac:dyDescent="0.25">
      <c r="A6780" s="15"/>
    </row>
    <row r="6781" spans="1:1" x14ac:dyDescent="0.25">
      <c r="A6781" s="15"/>
    </row>
    <row r="6782" spans="1:1" x14ac:dyDescent="0.25">
      <c r="A6782" s="15"/>
    </row>
    <row r="6783" spans="1:1" x14ac:dyDescent="0.25">
      <c r="A6783" s="15"/>
    </row>
    <row r="6784" spans="1:1" x14ac:dyDescent="0.25">
      <c r="A6784" s="15"/>
    </row>
    <row r="6785" spans="1:1" x14ac:dyDescent="0.25">
      <c r="A6785" s="15"/>
    </row>
    <row r="6786" spans="1:1" x14ac:dyDescent="0.25">
      <c r="A6786" s="15"/>
    </row>
    <row r="6787" spans="1:1" x14ac:dyDescent="0.25">
      <c r="A6787" s="15"/>
    </row>
    <row r="6788" spans="1:1" x14ac:dyDescent="0.25">
      <c r="A6788" s="15"/>
    </row>
    <row r="6789" spans="1:1" x14ac:dyDescent="0.25">
      <c r="A6789" s="15"/>
    </row>
    <row r="6790" spans="1:1" x14ac:dyDescent="0.25">
      <c r="A6790" s="15"/>
    </row>
    <row r="6791" spans="1:1" x14ac:dyDescent="0.25">
      <c r="A6791" s="15"/>
    </row>
    <row r="6792" spans="1:1" x14ac:dyDescent="0.25">
      <c r="A6792" s="15"/>
    </row>
    <row r="6793" spans="1:1" x14ac:dyDescent="0.25">
      <c r="A6793" s="15"/>
    </row>
    <row r="6794" spans="1:1" x14ac:dyDescent="0.25">
      <c r="A6794" s="15"/>
    </row>
    <row r="6795" spans="1:1" x14ac:dyDescent="0.25">
      <c r="A6795" s="15"/>
    </row>
    <row r="6796" spans="1:1" x14ac:dyDescent="0.25">
      <c r="A6796" s="15"/>
    </row>
    <row r="6797" spans="1:1" x14ac:dyDescent="0.25">
      <c r="A6797" s="15"/>
    </row>
    <row r="6798" spans="1:1" x14ac:dyDescent="0.25">
      <c r="A6798" s="15"/>
    </row>
    <row r="6799" spans="1:1" x14ac:dyDescent="0.25">
      <c r="A6799" s="15"/>
    </row>
    <row r="6800" spans="1:1" x14ac:dyDescent="0.25">
      <c r="A6800" s="15"/>
    </row>
    <row r="6801" spans="1:1" x14ac:dyDescent="0.25">
      <c r="A6801" s="15"/>
    </row>
    <row r="6802" spans="1:1" x14ac:dyDescent="0.25">
      <c r="A6802" s="15"/>
    </row>
    <row r="6803" spans="1:1" x14ac:dyDescent="0.25">
      <c r="A6803" s="15"/>
    </row>
    <row r="6804" spans="1:1" x14ac:dyDescent="0.25">
      <c r="A6804" s="15"/>
    </row>
    <row r="6805" spans="1:1" x14ac:dyDescent="0.25">
      <c r="A6805" s="15"/>
    </row>
    <row r="6806" spans="1:1" x14ac:dyDescent="0.25">
      <c r="A6806" s="15"/>
    </row>
    <row r="6807" spans="1:1" x14ac:dyDescent="0.25">
      <c r="A6807" s="15"/>
    </row>
    <row r="6808" spans="1:1" x14ac:dyDescent="0.25">
      <c r="A6808" s="15"/>
    </row>
    <row r="6809" spans="1:1" x14ac:dyDescent="0.25">
      <c r="A6809" s="15"/>
    </row>
    <row r="6810" spans="1:1" x14ac:dyDescent="0.25">
      <c r="A6810" s="15"/>
    </row>
    <row r="6811" spans="1:1" x14ac:dyDescent="0.25">
      <c r="A6811" s="15"/>
    </row>
    <row r="6812" spans="1:1" x14ac:dyDescent="0.25">
      <c r="A6812" s="15"/>
    </row>
    <row r="6813" spans="1:1" x14ac:dyDescent="0.25">
      <c r="A6813" s="15"/>
    </row>
    <row r="6814" spans="1:1" x14ac:dyDescent="0.25">
      <c r="A6814" s="15"/>
    </row>
    <row r="6815" spans="1:1" x14ac:dyDescent="0.25">
      <c r="A6815" s="15"/>
    </row>
    <row r="6816" spans="1:1" x14ac:dyDescent="0.25">
      <c r="A6816" s="15"/>
    </row>
    <row r="6817" spans="1:1" x14ac:dyDescent="0.25">
      <c r="A6817" s="15"/>
    </row>
    <row r="6818" spans="1:1" x14ac:dyDescent="0.25">
      <c r="A6818" s="15"/>
    </row>
    <row r="6819" spans="1:1" x14ac:dyDescent="0.25">
      <c r="A6819" s="15"/>
    </row>
    <row r="6820" spans="1:1" x14ac:dyDescent="0.25">
      <c r="A6820" s="15"/>
    </row>
    <row r="6821" spans="1:1" x14ac:dyDescent="0.25">
      <c r="A6821" s="15"/>
    </row>
    <row r="6822" spans="1:1" x14ac:dyDescent="0.25">
      <c r="A6822" s="15"/>
    </row>
    <row r="6823" spans="1:1" x14ac:dyDescent="0.25">
      <c r="A6823" s="15"/>
    </row>
    <row r="6824" spans="1:1" x14ac:dyDescent="0.25">
      <c r="A6824" s="15"/>
    </row>
    <row r="6825" spans="1:1" x14ac:dyDescent="0.25">
      <c r="A6825" s="15"/>
    </row>
    <row r="6826" spans="1:1" x14ac:dyDescent="0.25">
      <c r="A6826" s="15"/>
    </row>
    <row r="6827" spans="1:1" x14ac:dyDescent="0.25">
      <c r="A6827" s="15"/>
    </row>
    <row r="6828" spans="1:1" x14ac:dyDescent="0.25">
      <c r="A6828" s="15"/>
    </row>
    <row r="6829" spans="1:1" x14ac:dyDescent="0.25">
      <c r="A6829" s="15"/>
    </row>
    <row r="6830" spans="1:1" x14ac:dyDescent="0.25">
      <c r="A6830" s="15"/>
    </row>
    <row r="6831" spans="1:1" x14ac:dyDescent="0.25">
      <c r="A6831" s="15"/>
    </row>
    <row r="6832" spans="1:1" x14ac:dyDescent="0.25">
      <c r="A6832" s="15"/>
    </row>
    <row r="6833" spans="1:1" x14ac:dyDescent="0.25">
      <c r="A6833" s="15"/>
    </row>
    <row r="6834" spans="1:1" x14ac:dyDescent="0.25">
      <c r="A6834" s="15"/>
    </row>
    <row r="6835" spans="1:1" x14ac:dyDescent="0.25">
      <c r="A6835" s="15"/>
    </row>
    <row r="6836" spans="1:1" x14ac:dyDescent="0.25">
      <c r="A6836" s="15"/>
    </row>
    <row r="6837" spans="1:1" x14ac:dyDescent="0.25">
      <c r="A6837" s="15"/>
    </row>
    <row r="6838" spans="1:1" x14ac:dyDescent="0.25">
      <c r="A6838" s="15"/>
    </row>
    <row r="6839" spans="1:1" x14ac:dyDescent="0.25">
      <c r="A6839" s="15"/>
    </row>
    <row r="6840" spans="1:1" x14ac:dyDescent="0.25">
      <c r="A6840" s="15"/>
    </row>
    <row r="6841" spans="1:1" x14ac:dyDescent="0.25">
      <c r="A6841" s="15"/>
    </row>
    <row r="6842" spans="1:1" x14ac:dyDescent="0.25">
      <c r="A6842" s="15"/>
    </row>
    <row r="6843" spans="1:1" x14ac:dyDescent="0.25">
      <c r="A6843" s="15"/>
    </row>
    <row r="6844" spans="1:1" x14ac:dyDescent="0.25">
      <c r="A6844" s="15"/>
    </row>
    <row r="6845" spans="1:1" x14ac:dyDescent="0.25">
      <c r="A6845" s="15"/>
    </row>
    <row r="6846" spans="1:1" x14ac:dyDescent="0.25">
      <c r="A6846" s="15"/>
    </row>
    <row r="6847" spans="1:1" x14ac:dyDescent="0.25">
      <c r="A6847" s="15"/>
    </row>
    <row r="6848" spans="1:1" x14ac:dyDescent="0.25">
      <c r="A6848" s="15"/>
    </row>
    <row r="6849" spans="1:1" x14ac:dyDescent="0.25">
      <c r="A6849" s="15"/>
    </row>
    <row r="6850" spans="1:1" x14ac:dyDescent="0.25">
      <c r="A6850" s="15"/>
    </row>
    <row r="6851" spans="1:1" x14ac:dyDescent="0.25">
      <c r="A6851" s="15"/>
    </row>
    <row r="6852" spans="1:1" x14ac:dyDescent="0.25">
      <c r="A6852" s="15"/>
    </row>
    <row r="6853" spans="1:1" x14ac:dyDescent="0.25">
      <c r="A6853" s="15"/>
    </row>
    <row r="6854" spans="1:1" x14ac:dyDescent="0.25">
      <c r="A6854" s="15"/>
    </row>
    <row r="6855" spans="1:1" x14ac:dyDescent="0.25">
      <c r="A6855" s="15"/>
    </row>
    <row r="6856" spans="1:1" x14ac:dyDescent="0.25">
      <c r="A6856" s="15"/>
    </row>
    <row r="6857" spans="1:1" x14ac:dyDescent="0.25">
      <c r="A6857" s="15"/>
    </row>
    <row r="6858" spans="1:1" x14ac:dyDescent="0.25">
      <c r="A6858" s="15"/>
    </row>
    <row r="6859" spans="1:1" x14ac:dyDescent="0.25">
      <c r="A6859" s="15"/>
    </row>
    <row r="6860" spans="1:1" x14ac:dyDescent="0.25">
      <c r="A6860" s="15"/>
    </row>
    <row r="6861" spans="1:1" x14ac:dyDescent="0.25">
      <c r="A6861" s="15"/>
    </row>
    <row r="6862" spans="1:1" x14ac:dyDescent="0.25">
      <c r="A6862" s="15"/>
    </row>
    <row r="6863" spans="1:1" x14ac:dyDescent="0.25">
      <c r="A6863" s="15"/>
    </row>
    <row r="6864" spans="1:1" x14ac:dyDescent="0.25">
      <c r="A6864" s="15"/>
    </row>
    <row r="6865" spans="1:1" x14ac:dyDescent="0.25">
      <c r="A6865" s="15"/>
    </row>
    <row r="6866" spans="1:1" x14ac:dyDescent="0.25">
      <c r="A6866" s="15"/>
    </row>
    <row r="6867" spans="1:1" x14ac:dyDescent="0.25">
      <c r="A6867" s="15"/>
    </row>
    <row r="6868" spans="1:1" x14ac:dyDescent="0.25">
      <c r="A6868" s="15"/>
    </row>
    <row r="6869" spans="1:1" x14ac:dyDescent="0.25">
      <c r="A6869" s="15"/>
    </row>
    <row r="6870" spans="1:1" x14ac:dyDescent="0.25">
      <c r="A6870" s="15"/>
    </row>
    <row r="6871" spans="1:1" x14ac:dyDescent="0.25">
      <c r="A6871" s="15"/>
    </row>
    <row r="6872" spans="1:1" x14ac:dyDescent="0.25">
      <c r="A6872" s="15"/>
    </row>
    <row r="6873" spans="1:1" x14ac:dyDescent="0.25">
      <c r="A6873" s="15"/>
    </row>
    <row r="6874" spans="1:1" x14ac:dyDescent="0.25">
      <c r="A6874" s="15"/>
    </row>
    <row r="6875" spans="1:1" x14ac:dyDescent="0.25">
      <c r="A6875" s="15"/>
    </row>
    <row r="6876" spans="1:1" x14ac:dyDescent="0.25">
      <c r="A6876" s="15"/>
    </row>
    <row r="6877" spans="1:1" x14ac:dyDescent="0.25">
      <c r="A6877" s="15"/>
    </row>
    <row r="6878" spans="1:1" x14ac:dyDescent="0.25">
      <c r="A6878" s="15"/>
    </row>
    <row r="6879" spans="1:1" x14ac:dyDescent="0.25">
      <c r="A6879" s="15"/>
    </row>
    <row r="6880" spans="1:1" x14ac:dyDescent="0.25">
      <c r="A6880" s="15"/>
    </row>
    <row r="6881" spans="1:1" x14ac:dyDescent="0.25">
      <c r="A6881" s="15"/>
    </row>
    <row r="6882" spans="1:1" x14ac:dyDescent="0.25">
      <c r="A6882" s="15"/>
    </row>
    <row r="6883" spans="1:1" x14ac:dyDescent="0.25">
      <c r="A6883" s="15"/>
    </row>
    <row r="6884" spans="1:1" x14ac:dyDescent="0.25">
      <c r="A6884" s="15"/>
    </row>
    <row r="6885" spans="1:1" x14ac:dyDescent="0.25">
      <c r="A6885" s="15"/>
    </row>
    <row r="6886" spans="1:1" x14ac:dyDescent="0.25">
      <c r="A6886" s="15"/>
    </row>
    <row r="6887" spans="1:1" x14ac:dyDescent="0.25">
      <c r="A6887" s="15"/>
    </row>
    <row r="6888" spans="1:1" x14ac:dyDescent="0.25">
      <c r="A6888" s="15"/>
    </row>
    <row r="6889" spans="1:1" x14ac:dyDescent="0.25">
      <c r="A6889" s="15"/>
    </row>
    <row r="6890" spans="1:1" x14ac:dyDescent="0.25">
      <c r="A6890" s="15"/>
    </row>
    <row r="6891" spans="1:1" x14ac:dyDescent="0.25">
      <c r="A6891" s="15"/>
    </row>
    <row r="6892" spans="1:1" x14ac:dyDescent="0.25">
      <c r="A6892" s="15"/>
    </row>
    <row r="6893" spans="1:1" x14ac:dyDescent="0.25">
      <c r="A6893" s="15"/>
    </row>
    <row r="6894" spans="1:1" x14ac:dyDescent="0.25">
      <c r="A6894" s="15"/>
    </row>
    <row r="6895" spans="1:1" x14ac:dyDescent="0.25">
      <c r="A6895" s="15"/>
    </row>
    <row r="6896" spans="1:1" x14ac:dyDescent="0.25">
      <c r="A6896" s="15"/>
    </row>
    <row r="6897" spans="1:1" x14ac:dyDescent="0.25">
      <c r="A6897" s="15"/>
    </row>
    <row r="6898" spans="1:1" x14ac:dyDescent="0.25">
      <c r="A6898" s="15"/>
    </row>
    <row r="6899" spans="1:1" x14ac:dyDescent="0.25">
      <c r="A6899" s="15"/>
    </row>
    <row r="6900" spans="1:1" x14ac:dyDescent="0.25">
      <c r="A6900" s="15"/>
    </row>
    <row r="6901" spans="1:1" x14ac:dyDescent="0.25">
      <c r="A6901" s="15"/>
    </row>
    <row r="6902" spans="1:1" x14ac:dyDescent="0.25">
      <c r="A6902" s="15"/>
    </row>
    <row r="6903" spans="1:1" x14ac:dyDescent="0.25">
      <c r="A6903" s="15"/>
    </row>
    <row r="6904" spans="1:1" x14ac:dyDescent="0.25">
      <c r="A6904" s="15"/>
    </row>
    <row r="6905" spans="1:1" x14ac:dyDescent="0.25">
      <c r="A6905" s="15"/>
    </row>
    <row r="6906" spans="1:1" x14ac:dyDescent="0.25">
      <c r="A6906" s="15"/>
    </row>
    <row r="6907" spans="1:1" x14ac:dyDescent="0.25">
      <c r="A6907" s="15"/>
    </row>
    <row r="6908" spans="1:1" x14ac:dyDescent="0.25">
      <c r="A6908" s="15"/>
    </row>
    <row r="6909" spans="1:1" x14ac:dyDescent="0.25">
      <c r="A6909" s="15"/>
    </row>
    <row r="6910" spans="1:1" x14ac:dyDescent="0.25">
      <c r="A6910" s="15"/>
    </row>
    <row r="6911" spans="1:1" x14ac:dyDescent="0.25">
      <c r="A6911" s="15"/>
    </row>
    <row r="6912" spans="1:1" x14ac:dyDescent="0.25">
      <c r="A6912" s="15"/>
    </row>
    <row r="6913" spans="1:1" x14ac:dyDescent="0.25">
      <c r="A6913" s="15"/>
    </row>
    <row r="6914" spans="1:1" x14ac:dyDescent="0.25">
      <c r="A6914" s="15"/>
    </row>
    <row r="6915" spans="1:1" x14ac:dyDescent="0.25">
      <c r="A6915" s="15"/>
    </row>
    <row r="6916" spans="1:1" x14ac:dyDescent="0.25">
      <c r="A6916" s="15"/>
    </row>
    <row r="6917" spans="1:1" x14ac:dyDescent="0.25">
      <c r="A6917" s="15"/>
    </row>
    <row r="6918" spans="1:1" x14ac:dyDescent="0.25">
      <c r="A6918" s="15"/>
    </row>
    <row r="6919" spans="1:1" x14ac:dyDescent="0.25">
      <c r="A6919" s="15"/>
    </row>
    <row r="6920" spans="1:1" x14ac:dyDescent="0.25">
      <c r="A6920" s="15"/>
    </row>
    <row r="6921" spans="1:1" x14ac:dyDescent="0.25">
      <c r="A6921" s="15"/>
    </row>
    <row r="6922" spans="1:1" x14ac:dyDescent="0.25">
      <c r="A6922" s="15"/>
    </row>
    <row r="6923" spans="1:1" x14ac:dyDescent="0.25">
      <c r="A6923" s="15"/>
    </row>
    <row r="6924" spans="1:1" x14ac:dyDescent="0.25">
      <c r="A6924" s="15"/>
    </row>
    <row r="6925" spans="1:1" x14ac:dyDescent="0.25">
      <c r="A6925" s="15"/>
    </row>
    <row r="6926" spans="1:1" x14ac:dyDescent="0.25">
      <c r="A6926" s="15"/>
    </row>
    <row r="6927" spans="1:1" x14ac:dyDescent="0.25">
      <c r="A6927" s="15"/>
    </row>
    <row r="6928" spans="1:1" x14ac:dyDescent="0.25">
      <c r="A6928" s="15"/>
    </row>
    <row r="6929" spans="1:1" x14ac:dyDescent="0.25">
      <c r="A6929" s="15"/>
    </row>
    <row r="6930" spans="1:1" x14ac:dyDescent="0.25">
      <c r="A6930" s="15"/>
    </row>
    <row r="6931" spans="1:1" x14ac:dyDescent="0.25">
      <c r="A6931" s="15"/>
    </row>
    <row r="6932" spans="1:1" x14ac:dyDescent="0.25">
      <c r="A6932" s="15"/>
    </row>
    <row r="6933" spans="1:1" x14ac:dyDescent="0.25">
      <c r="A6933" s="15"/>
    </row>
    <row r="6934" spans="1:1" x14ac:dyDescent="0.25">
      <c r="A6934" s="15"/>
    </row>
    <row r="6935" spans="1:1" x14ac:dyDescent="0.25">
      <c r="A6935" s="15"/>
    </row>
    <row r="6936" spans="1:1" x14ac:dyDescent="0.25">
      <c r="A6936" s="15"/>
    </row>
    <row r="6937" spans="1:1" x14ac:dyDescent="0.25">
      <c r="A6937" s="15"/>
    </row>
    <row r="6938" spans="1:1" x14ac:dyDescent="0.25">
      <c r="A6938" s="15"/>
    </row>
    <row r="6939" spans="1:1" x14ac:dyDescent="0.25">
      <c r="A6939" s="15"/>
    </row>
    <row r="6940" spans="1:1" x14ac:dyDescent="0.25">
      <c r="A6940" s="15"/>
    </row>
    <row r="6941" spans="1:1" x14ac:dyDescent="0.25">
      <c r="A6941" s="15"/>
    </row>
    <row r="6942" spans="1:1" x14ac:dyDescent="0.25">
      <c r="A6942" s="15"/>
    </row>
    <row r="6943" spans="1:1" x14ac:dyDescent="0.25">
      <c r="A6943" s="15"/>
    </row>
    <row r="6944" spans="1:1" x14ac:dyDescent="0.25">
      <c r="A6944" s="15"/>
    </row>
    <row r="6945" spans="1:1" x14ac:dyDescent="0.25">
      <c r="A6945" s="15"/>
    </row>
    <row r="6946" spans="1:1" x14ac:dyDescent="0.25">
      <c r="A6946" s="15"/>
    </row>
    <row r="6947" spans="1:1" x14ac:dyDescent="0.25">
      <c r="A6947" s="15"/>
    </row>
    <row r="6948" spans="1:1" x14ac:dyDescent="0.25">
      <c r="A6948" s="15"/>
    </row>
    <row r="6949" spans="1:1" x14ac:dyDescent="0.25">
      <c r="A6949" s="15"/>
    </row>
    <row r="6950" spans="1:1" x14ac:dyDescent="0.25">
      <c r="A6950" s="15"/>
    </row>
    <row r="6951" spans="1:1" x14ac:dyDescent="0.25">
      <c r="A6951" s="15"/>
    </row>
    <row r="6952" spans="1:1" x14ac:dyDescent="0.25">
      <c r="A6952" s="15"/>
    </row>
    <row r="6953" spans="1:1" x14ac:dyDescent="0.25">
      <c r="A6953" s="15"/>
    </row>
    <row r="6954" spans="1:1" x14ac:dyDescent="0.25">
      <c r="A6954" s="15"/>
    </row>
    <row r="6955" spans="1:1" x14ac:dyDescent="0.25">
      <c r="A6955" s="15"/>
    </row>
    <row r="6956" spans="1:1" x14ac:dyDescent="0.25">
      <c r="A6956" s="15"/>
    </row>
    <row r="6957" spans="1:1" x14ac:dyDescent="0.25">
      <c r="A6957" s="15"/>
    </row>
    <row r="6958" spans="1:1" x14ac:dyDescent="0.25">
      <c r="A6958" s="15"/>
    </row>
    <row r="6959" spans="1:1" x14ac:dyDescent="0.25">
      <c r="A6959" s="15"/>
    </row>
    <row r="6960" spans="1:1" x14ac:dyDescent="0.25">
      <c r="A6960" s="15"/>
    </row>
    <row r="6961" spans="1:1" x14ac:dyDescent="0.25">
      <c r="A6961" s="15"/>
    </row>
    <row r="6962" spans="1:1" x14ac:dyDescent="0.25">
      <c r="A6962" s="15"/>
    </row>
    <row r="6963" spans="1:1" x14ac:dyDescent="0.25">
      <c r="A6963" s="15"/>
    </row>
    <row r="6964" spans="1:1" x14ac:dyDescent="0.25">
      <c r="A6964" s="15"/>
    </row>
    <row r="6965" spans="1:1" x14ac:dyDescent="0.25">
      <c r="A6965" s="15"/>
    </row>
    <row r="6966" spans="1:1" x14ac:dyDescent="0.25">
      <c r="A6966" s="15"/>
    </row>
    <row r="6967" spans="1:1" x14ac:dyDescent="0.25">
      <c r="A6967" s="15"/>
    </row>
    <row r="6968" spans="1:1" x14ac:dyDescent="0.25">
      <c r="A6968" s="15"/>
    </row>
    <row r="6969" spans="1:1" x14ac:dyDescent="0.25">
      <c r="A6969" s="15"/>
    </row>
    <row r="6970" spans="1:1" x14ac:dyDescent="0.25">
      <c r="A6970" s="15"/>
    </row>
    <row r="6971" spans="1:1" x14ac:dyDescent="0.25">
      <c r="A6971" s="15"/>
    </row>
    <row r="6972" spans="1:1" x14ac:dyDescent="0.25">
      <c r="A6972" s="15"/>
    </row>
    <row r="6973" spans="1:1" x14ac:dyDescent="0.25">
      <c r="A6973" s="15"/>
    </row>
    <row r="6974" spans="1:1" x14ac:dyDescent="0.25">
      <c r="A6974" s="15"/>
    </row>
    <row r="6975" spans="1:1" x14ac:dyDescent="0.25">
      <c r="A6975" s="15"/>
    </row>
    <row r="6976" spans="1:1" x14ac:dyDescent="0.25">
      <c r="A6976" s="15"/>
    </row>
    <row r="6977" spans="1:1" x14ac:dyDescent="0.25">
      <c r="A6977" s="15"/>
    </row>
    <row r="6978" spans="1:1" x14ac:dyDescent="0.25">
      <c r="A6978" s="15"/>
    </row>
    <row r="6979" spans="1:1" x14ac:dyDescent="0.25">
      <c r="A6979" s="15"/>
    </row>
    <row r="6980" spans="1:1" x14ac:dyDescent="0.25">
      <c r="A6980" s="15"/>
    </row>
    <row r="6981" spans="1:1" x14ac:dyDescent="0.25">
      <c r="A6981" s="15"/>
    </row>
    <row r="6982" spans="1:1" x14ac:dyDescent="0.25">
      <c r="A6982" s="15"/>
    </row>
    <row r="6983" spans="1:1" x14ac:dyDescent="0.25">
      <c r="A6983" s="15"/>
    </row>
    <row r="6984" spans="1:1" x14ac:dyDescent="0.25">
      <c r="A6984" s="15"/>
    </row>
    <row r="6985" spans="1:1" x14ac:dyDescent="0.25">
      <c r="A6985" s="15"/>
    </row>
    <row r="6986" spans="1:1" x14ac:dyDescent="0.25">
      <c r="A6986" s="15"/>
    </row>
    <row r="6987" spans="1:1" x14ac:dyDescent="0.25">
      <c r="A6987" s="15"/>
    </row>
    <row r="6988" spans="1:1" x14ac:dyDescent="0.25">
      <c r="A6988" s="15"/>
    </row>
    <row r="6989" spans="1:1" x14ac:dyDescent="0.25">
      <c r="A6989" s="15"/>
    </row>
    <row r="6990" spans="1:1" x14ac:dyDescent="0.25">
      <c r="A6990" s="15"/>
    </row>
    <row r="6991" spans="1:1" x14ac:dyDescent="0.25">
      <c r="A6991" s="15"/>
    </row>
    <row r="6992" spans="1:1" x14ac:dyDescent="0.25">
      <c r="A6992" s="15"/>
    </row>
    <row r="6993" spans="1:1" x14ac:dyDescent="0.25">
      <c r="A6993" s="15"/>
    </row>
    <row r="6994" spans="1:1" x14ac:dyDescent="0.25">
      <c r="A6994" s="15"/>
    </row>
    <row r="6995" spans="1:1" x14ac:dyDescent="0.25">
      <c r="A6995" s="15"/>
    </row>
    <row r="6996" spans="1:1" x14ac:dyDescent="0.25">
      <c r="A6996" s="15"/>
    </row>
    <row r="6997" spans="1:1" x14ac:dyDescent="0.25">
      <c r="A6997" s="15"/>
    </row>
    <row r="6998" spans="1:1" x14ac:dyDescent="0.25">
      <c r="A6998" s="15"/>
    </row>
    <row r="6999" spans="1:1" x14ac:dyDescent="0.25">
      <c r="A6999" s="15"/>
    </row>
    <row r="7000" spans="1:1" x14ac:dyDescent="0.25">
      <c r="A7000" s="15"/>
    </row>
    <row r="7001" spans="1:1" x14ac:dyDescent="0.25">
      <c r="A7001" s="15"/>
    </row>
    <row r="7002" spans="1:1" x14ac:dyDescent="0.25">
      <c r="A7002" s="15"/>
    </row>
    <row r="7003" spans="1:1" x14ac:dyDescent="0.25">
      <c r="A7003" s="15"/>
    </row>
    <row r="7004" spans="1:1" x14ac:dyDescent="0.25">
      <c r="A7004" s="15"/>
    </row>
    <row r="7005" spans="1:1" x14ac:dyDescent="0.25">
      <c r="A7005" s="15"/>
    </row>
    <row r="7006" spans="1:1" x14ac:dyDescent="0.25">
      <c r="A7006" s="15"/>
    </row>
    <row r="7007" spans="1:1" x14ac:dyDescent="0.25">
      <c r="A7007" s="15"/>
    </row>
    <row r="7008" spans="1:1" x14ac:dyDescent="0.25">
      <c r="A7008" s="15"/>
    </row>
    <row r="7009" spans="1:1" x14ac:dyDescent="0.25">
      <c r="A7009" s="15"/>
    </row>
    <row r="7010" spans="1:1" x14ac:dyDescent="0.25">
      <c r="A7010" s="15"/>
    </row>
    <row r="7011" spans="1:1" x14ac:dyDescent="0.25">
      <c r="A7011" s="15"/>
    </row>
    <row r="7012" spans="1:1" x14ac:dyDescent="0.25">
      <c r="A7012" s="15"/>
    </row>
    <row r="7013" spans="1:1" x14ac:dyDescent="0.25">
      <c r="A7013" s="15"/>
    </row>
    <row r="7014" spans="1:1" x14ac:dyDescent="0.25">
      <c r="A7014" s="15"/>
    </row>
    <row r="7015" spans="1:1" x14ac:dyDescent="0.25">
      <c r="A7015" s="15"/>
    </row>
    <row r="7016" spans="1:1" x14ac:dyDescent="0.25">
      <c r="A7016" s="15"/>
    </row>
    <row r="7017" spans="1:1" x14ac:dyDescent="0.25">
      <c r="A7017" s="15"/>
    </row>
    <row r="7018" spans="1:1" x14ac:dyDescent="0.25">
      <c r="A7018" s="15"/>
    </row>
    <row r="7019" spans="1:1" x14ac:dyDescent="0.25">
      <c r="A7019" s="15"/>
    </row>
    <row r="7020" spans="1:1" x14ac:dyDescent="0.25">
      <c r="A7020" s="15"/>
    </row>
    <row r="7021" spans="1:1" x14ac:dyDescent="0.25">
      <c r="A7021" s="15"/>
    </row>
    <row r="7022" spans="1:1" x14ac:dyDescent="0.25">
      <c r="A7022" s="15"/>
    </row>
    <row r="7023" spans="1:1" x14ac:dyDescent="0.25">
      <c r="A7023" s="15"/>
    </row>
    <row r="7024" spans="1:1" x14ac:dyDescent="0.25">
      <c r="A7024" s="15"/>
    </row>
    <row r="7025" spans="1:1" x14ac:dyDescent="0.25">
      <c r="A7025" s="15"/>
    </row>
    <row r="7026" spans="1:1" x14ac:dyDescent="0.25">
      <c r="A7026" s="15"/>
    </row>
    <row r="7027" spans="1:1" x14ac:dyDescent="0.25">
      <c r="A7027" s="15"/>
    </row>
    <row r="7028" spans="1:1" x14ac:dyDescent="0.25">
      <c r="A7028" s="15"/>
    </row>
    <row r="7029" spans="1:1" x14ac:dyDescent="0.25">
      <c r="A7029" s="15"/>
    </row>
    <row r="7030" spans="1:1" x14ac:dyDescent="0.25">
      <c r="A7030" s="15"/>
    </row>
    <row r="7031" spans="1:1" x14ac:dyDescent="0.25">
      <c r="A7031" s="15"/>
    </row>
    <row r="7032" spans="1:1" x14ac:dyDescent="0.25">
      <c r="A7032" s="15"/>
    </row>
    <row r="7033" spans="1:1" x14ac:dyDescent="0.25">
      <c r="A7033" s="15"/>
    </row>
    <row r="7034" spans="1:1" x14ac:dyDescent="0.25">
      <c r="A7034" s="15"/>
    </row>
    <row r="7035" spans="1:1" x14ac:dyDescent="0.25">
      <c r="A7035" s="15"/>
    </row>
    <row r="7036" spans="1:1" x14ac:dyDescent="0.25">
      <c r="A7036" s="15"/>
    </row>
    <row r="7037" spans="1:1" x14ac:dyDescent="0.25">
      <c r="A7037" s="15"/>
    </row>
    <row r="7038" spans="1:1" x14ac:dyDescent="0.25">
      <c r="A7038" s="15"/>
    </row>
    <row r="7039" spans="1:1" x14ac:dyDescent="0.25">
      <c r="A7039" s="15"/>
    </row>
    <row r="7040" spans="1:1" x14ac:dyDescent="0.25">
      <c r="A7040" s="15"/>
    </row>
    <row r="7041" spans="1:1" x14ac:dyDescent="0.25">
      <c r="A7041" s="15"/>
    </row>
    <row r="7042" spans="1:1" x14ac:dyDescent="0.25">
      <c r="A7042" s="15"/>
    </row>
    <row r="7043" spans="1:1" x14ac:dyDescent="0.25">
      <c r="A7043" s="15"/>
    </row>
    <row r="7044" spans="1:1" x14ac:dyDescent="0.25">
      <c r="A7044" s="15"/>
    </row>
    <row r="7045" spans="1:1" x14ac:dyDescent="0.25">
      <c r="A7045" s="15"/>
    </row>
    <row r="7046" spans="1:1" x14ac:dyDescent="0.25">
      <c r="A7046" s="15"/>
    </row>
    <row r="7047" spans="1:1" x14ac:dyDescent="0.25">
      <c r="A7047" s="15"/>
    </row>
    <row r="7048" spans="1:1" x14ac:dyDescent="0.25">
      <c r="A7048" s="15"/>
    </row>
    <row r="7049" spans="1:1" x14ac:dyDescent="0.25">
      <c r="A7049" s="15"/>
    </row>
    <row r="7050" spans="1:1" x14ac:dyDescent="0.25">
      <c r="A7050" s="15"/>
    </row>
    <row r="7051" spans="1:1" x14ac:dyDescent="0.25">
      <c r="A7051" s="15"/>
    </row>
    <row r="7052" spans="1:1" x14ac:dyDescent="0.25">
      <c r="A7052" s="15"/>
    </row>
    <row r="7053" spans="1:1" x14ac:dyDescent="0.25">
      <c r="A7053" s="15"/>
    </row>
    <row r="7054" spans="1:1" x14ac:dyDescent="0.25">
      <c r="A7054" s="15"/>
    </row>
    <row r="7055" spans="1:1" x14ac:dyDescent="0.25">
      <c r="A7055" s="15"/>
    </row>
    <row r="7056" spans="1:1" x14ac:dyDescent="0.25">
      <c r="A7056" s="15"/>
    </row>
    <row r="7057" spans="1:1" x14ac:dyDescent="0.25">
      <c r="A7057" s="15"/>
    </row>
    <row r="7058" spans="1:1" x14ac:dyDescent="0.25">
      <c r="A7058" s="15"/>
    </row>
    <row r="7059" spans="1:1" x14ac:dyDescent="0.25">
      <c r="A7059" s="15"/>
    </row>
    <row r="7060" spans="1:1" x14ac:dyDescent="0.25">
      <c r="A7060" s="15"/>
    </row>
    <row r="7061" spans="1:1" x14ac:dyDescent="0.25">
      <c r="A7061" s="15"/>
    </row>
    <row r="7062" spans="1:1" x14ac:dyDescent="0.25">
      <c r="A7062" s="15"/>
    </row>
    <row r="7063" spans="1:1" x14ac:dyDescent="0.25">
      <c r="A7063" s="15"/>
    </row>
    <row r="7064" spans="1:1" x14ac:dyDescent="0.25">
      <c r="A7064" s="15"/>
    </row>
    <row r="7065" spans="1:1" x14ac:dyDescent="0.25">
      <c r="A7065" s="15"/>
    </row>
    <row r="7066" spans="1:1" x14ac:dyDescent="0.25">
      <c r="A7066" s="15"/>
    </row>
    <row r="7067" spans="1:1" x14ac:dyDescent="0.25">
      <c r="A7067" s="15"/>
    </row>
    <row r="7068" spans="1:1" x14ac:dyDescent="0.25">
      <c r="A7068" s="15"/>
    </row>
    <row r="7069" spans="1:1" x14ac:dyDescent="0.25">
      <c r="A7069" s="15"/>
    </row>
    <row r="7070" spans="1:1" x14ac:dyDescent="0.25">
      <c r="A7070" s="15"/>
    </row>
    <row r="7071" spans="1:1" x14ac:dyDescent="0.25">
      <c r="A7071" s="15"/>
    </row>
    <row r="7072" spans="1:1" x14ac:dyDescent="0.25">
      <c r="A7072" s="15"/>
    </row>
    <row r="7073" spans="1:1" x14ac:dyDescent="0.25">
      <c r="A7073" s="15"/>
    </row>
    <row r="7074" spans="1:1" x14ac:dyDescent="0.25">
      <c r="A7074" s="15"/>
    </row>
    <row r="7075" spans="1:1" x14ac:dyDescent="0.25">
      <c r="A7075" s="15"/>
    </row>
    <row r="7076" spans="1:1" x14ac:dyDescent="0.25">
      <c r="A7076" s="15"/>
    </row>
    <row r="7077" spans="1:1" x14ac:dyDescent="0.25">
      <c r="A7077" s="15"/>
    </row>
    <row r="7078" spans="1:1" x14ac:dyDescent="0.25">
      <c r="A7078" s="15"/>
    </row>
    <row r="7079" spans="1:1" x14ac:dyDescent="0.25">
      <c r="A7079" s="15"/>
    </row>
    <row r="7080" spans="1:1" x14ac:dyDescent="0.25">
      <c r="A7080" s="15"/>
    </row>
    <row r="7081" spans="1:1" x14ac:dyDescent="0.25">
      <c r="A7081" s="15"/>
    </row>
    <row r="7082" spans="1:1" x14ac:dyDescent="0.25">
      <c r="A7082" s="15"/>
    </row>
    <row r="7083" spans="1:1" x14ac:dyDescent="0.25">
      <c r="A7083" s="15"/>
    </row>
    <row r="7084" spans="1:1" x14ac:dyDescent="0.25">
      <c r="A7084" s="15"/>
    </row>
    <row r="7085" spans="1:1" x14ac:dyDescent="0.25">
      <c r="A7085" s="15"/>
    </row>
    <row r="7086" spans="1:1" x14ac:dyDescent="0.25">
      <c r="A7086" s="15"/>
    </row>
    <row r="7087" spans="1:1" x14ac:dyDescent="0.25">
      <c r="A7087" s="15"/>
    </row>
    <row r="7088" spans="1:1" x14ac:dyDescent="0.25">
      <c r="A7088" s="15"/>
    </row>
    <row r="7089" spans="1:1" x14ac:dyDescent="0.25">
      <c r="A7089" s="15"/>
    </row>
    <row r="7090" spans="1:1" x14ac:dyDescent="0.25">
      <c r="A7090" s="15"/>
    </row>
    <row r="7091" spans="1:1" x14ac:dyDescent="0.25">
      <c r="A7091" s="15"/>
    </row>
    <row r="7092" spans="1:1" x14ac:dyDescent="0.25">
      <c r="A7092" s="15"/>
    </row>
    <row r="7093" spans="1:1" x14ac:dyDescent="0.25">
      <c r="A7093" s="15"/>
    </row>
    <row r="7094" spans="1:1" x14ac:dyDescent="0.25">
      <c r="A7094" s="15"/>
    </row>
    <row r="7095" spans="1:1" x14ac:dyDescent="0.25">
      <c r="A7095" s="15"/>
    </row>
    <row r="7096" spans="1:1" x14ac:dyDescent="0.25">
      <c r="A7096" s="15"/>
    </row>
    <row r="7097" spans="1:1" x14ac:dyDescent="0.25">
      <c r="A7097" s="15"/>
    </row>
    <row r="7098" spans="1:1" x14ac:dyDescent="0.25">
      <c r="A7098" s="15"/>
    </row>
    <row r="7099" spans="1:1" x14ac:dyDescent="0.25">
      <c r="A7099" s="15"/>
    </row>
    <row r="7100" spans="1:1" x14ac:dyDescent="0.25">
      <c r="A7100" s="15"/>
    </row>
    <row r="7101" spans="1:1" x14ac:dyDescent="0.25">
      <c r="A7101" s="15"/>
    </row>
    <row r="7102" spans="1:1" x14ac:dyDescent="0.25">
      <c r="A7102" s="15"/>
    </row>
    <row r="7103" spans="1:1" x14ac:dyDescent="0.25">
      <c r="A7103" s="15"/>
    </row>
    <row r="7104" spans="1:1" x14ac:dyDescent="0.25">
      <c r="A7104" s="15"/>
    </row>
    <row r="7105" spans="1:1" x14ac:dyDescent="0.25">
      <c r="A7105" s="15"/>
    </row>
    <row r="7106" spans="1:1" x14ac:dyDescent="0.25">
      <c r="A7106" s="15"/>
    </row>
    <row r="7107" spans="1:1" x14ac:dyDescent="0.25">
      <c r="A7107" s="15"/>
    </row>
    <row r="7108" spans="1:1" x14ac:dyDescent="0.25">
      <c r="A7108" s="15"/>
    </row>
    <row r="7109" spans="1:1" x14ac:dyDescent="0.25">
      <c r="A7109" s="15"/>
    </row>
    <row r="7110" spans="1:1" x14ac:dyDescent="0.25">
      <c r="A7110" s="15"/>
    </row>
    <row r="7111" spans="1:1" x14ac:dyDescent="0.25">
      <c r="A7111" s="15"/>
    </row>
    <row r="7112" spans="1:1" x14ac:dyDescent="0.25">
      <c r="A7112" s="15"/>
    </row>
    <row r="7113" spans="1:1" x14ac:dyDescent="0.25">
      <c r="A7113" s="15"/>
    </row>
    <row r="7114" spans="1:1" x14ac:dyDescent="0.25">
      <c r="A7114" s="15"/>
    </row>
    <row r="7115" spans="1:1" x14ac:dyDescent="0.25">
      <c r="A7115" s="15"/>
    </row>
    <row r="7116" spans="1:1" x14ac:dyDescent="0.25">
      <c r="A7116" s="15"/>
    </row>
    <row r="7117" spans="1:1" x14ac:dyDescent="0.25">
      <c r="A7117" s="15"/>
    </row>
    <row r="7118" spans="1:1" x14ac:dyDescent="0.25">
      <c r="A7118" s="15"/>
    </row>
    <row r="7119" spans="1:1" x14ac:dyDescent="0.25">
      <c r="A7119" s="15"/>
    </row>
    <row r="7120" spans="1:1" x14ac:dyDescent="0.25">
      <c r="A7120" s="15"/>
    </row>
    <row r="7121" spans="1:1" x14ac:dyDescent="0.25">
      <c r="A7121" s="15"/>
    </row>
    <row r="7122" spans="1:1" x14ac:dyDescent="0.25">
      <c r="A7122" s="15"/>
    </row>
    <row r="7123" spans="1:1" x14ac:dyDescent="0.25">
      <c r="A7123" s="15"/>
    </row>
    <row r="7124" spans="1:1" x14ac:dyDescent="0.25">
      <c r="A7124" s="15"/>
    </row>
    <row r="7125" spans="1:1" x14ac:dyDescent="0.25">
      <c r="A7125" s="15"/>
    </row>
    <row r="7126" spans="1:1" x14ac:dyDescent="0.25">
      <c r="A7126" s="15"/>
    </row>
    <row r="7127" spans="1:1" x14ac:dyDescent="0.25">
      <c r="A7127" s="15"/>
    </row>
    <row r="7128" spans="1:1" x14ac:dyDescent="0.25">
      <c r="A7128" s="15"/>
    </row>
    <row r="7129" spans="1:1" x14ac:dyDescent="0.25">
      <c r="A7129" s="15"/>
    </row>
    <row r="7130" spans="1:1" x14ac:dyDescent="0.25">
      <c r="A7130" s="15"/>
    </row>
    <row r="7131" spans="1:1" x14ac:dyDescent="0.25">
      <c r="A7131" s="15"/>
    </row>
    <row r="7132" spans="1:1" x14ac:dyDescent="0.25">
      <c r="A7132" s="15"/>
    </row>
    <row r="7133" spans="1:1" x14ac:dyDescent="0.25">
      <c r="A7133" s="15"/>
    </row>
    <row r="7134" spans="1:1" x14ac:dyDescent="0.25">
      <c r="A7134" s="15"/>
    </row>
    <row r="7135" spans="1:1" x14ac:dyDescent="0.25">
      <c r="A7135" s="15"/>
    </row>
    <row r="7136" spans="1:1" x14ac:dyDescent="0.25">
      <c r="A7136" s="15"/>
    </row>
    <row r="7137" spans="1:1" x14ac:dyDescent="0.25">
      <c r="A7137" s="15"/>
    </row>
    <row r="7138" spans="1:1" x14ac:dyDescent="0.25">
      <c r="A7138" s="15"/>
    </row>
    <row r="7139" spans="1:1" x14ac:dyDescent="0.25">
      <c r="A7139" s="15"/>
    </row>
    <row r="7140" spans="1:1" x14ac:dyDescent="0.25">
      <c r="A7140" s="15"/>
    </row>
    <row r="7141" spans="1:1" x14ac:dyDescent="0.25">
      <c r="A7141" s="15"/>
    </row>
    <row r="7142" spans="1:1" x14ac:dyDescent="0.25">
      <c r="A7142" s="15"/>
    </row>
    <row r="7143" spans="1:1" x14ac:dyDescent="0.25">
      <c r="A7143" s="15"/>
    </row>
    <row r="7144" spans="1:1" x14ac:dyDescent="0.25">
      <c r="A7144" s="15"/>
    </row>
    <row r="7145" spans="1:1" x14ac:dyDescent="0.25">
      <c r="A7145" s="15"/>
    </row>
    <row r="7146" spans="1:1" x14ac:dyDescent="0.25">
      <c r="A7146" s="15"/>
    </row>
    <row r="7147" spans="1:1" x14ac:dyDescent="0.25">
      <c r="A7147" s="15"/>
    </row>
    <row r="7148" spans="1:1" x14ac:dyDescent="0.25">
      <c r="A7148" s="15"/>
    </row>
    <row r="7149" spans="1:1" x14ac:dyDescent="0.25">
      <c r="A7149" s="15"/>
    </row>
    <row r="7150" spans="1:1" x14ac:dyDescent="0.25">
      <c r="A7150" s="15"/>
    </row>
    <row r="7151" spans="1:1" x14ac:dyDescent="0.25">
      <c r="A7151" s="15"/>
    </row>
    <row r="7152" spans="1:1" x14ac:dyDescent="0.25">
      <c r="A7152" s="15"/>
    </row>
    <row r="7153" spans="1:1" x14ac:dyDescent="0.25">
      <c r="A7153" s="15"/>
    </row>
    <row r="7154" spans="1:1" x14ac:dyDescent="0.25">
      <c r="A7154" s="15"/>
    </row>
    <row r="7155" spans="1:1" x14ac:dyDescent="0.25">
      <c r="A7155" s="15"/>
    </row>
    <row r="7156" spans="1:1" x14ac:dyDescent="0.25">
      <c r="A7156" s="15"/>
    </row>
    <row r="7157" spans="1:1" x14ac:dyDescent="0.25">
      <c r="A7157" s="15"/>
    </row>
    <row r="7158" spans="1:1" x14ac:dyDescent="0.25">
      <c r="A7158" s="15"/>
    </row>
    <row r="7159" spans="1:1" x14ac:dyDescent="0.25">
      <c r="A7159" s="15"/>
    </row>
    <row r="7160" spans="1:1" x14ac:dyDescent="0.25">
      <c r="A7160" s="15"/>
    </row>
    <row r="7161" spans="1:1" x14ac:dyDescent="0.25">
      <c r="A7161" s="15"/>
    </row>
    <row r="7162" spans="1:1" x14ac:dyDescent="0.25">
      <c r="A7162" s="15"/>
    </row>
    <row r="7163" spans="1:1" x14ac:dyDescent="0.25">
      <c r="A7163" s="15"/>
    </row>
    <row r="7164" spans="1:1" x14ac:dyDescent="0.25">
      <c r="A7164" s="15"/>
    </row>
    <row r="7165" spans="1:1" x14ac:dyDescent="0.25">
      <c r="A7165" s="15"/>
    </row>
    <row r="7166" spans="1:1" x14ac:dyDescent="0.25">
      <c r="A7166" s="15"/>
    </row>
    <row r="7167" spans="1:1" x14ac:dyDescent="0.25">
      <c r="A7167" s="15"/>
    </row>
    <row r="7168" spans="1:1" x14ac:dyDescent="0.25">
      <c r="A7168" s="15"/>
    </row>
    <row r="7169" spans="1:1" x14ac:dyDescent="0.25">
      <c r="A7169" s="15"/>
    </row>
    <row r="7170" spans="1:1" x14ac:dyDescent="0.25">
      <c r="A7170" s="15"/>
    </row>
    <row r="7171" spans="1:1" x14ac:dyDescent="0.25">
      <c r="A7171" s="15"/>
    </row>
    <row r="7172" spans="1:1" x14ac:dyDescent="0.25">
      <c r="A7172" s="15"/>
    </row>
    <row r="7173" spans="1:1" x14ac:dyDescent="0.25">
      <c r="A7173" s="15"/>
    </row>
    <row r="7174" spans="1:1" x14ac:dyDescent="0.25">
      <c r="A7174" s="15"/>
    </row>
    <row r="7175" spans="1:1" x14ac:dyDescent="0.25">
      <c r="A7175" s="15"/>
    </row>
    <row r="7176" spans="1:1" x14ac:dyDescent="0.25">
      <c r="A7176" s="15"/>
    </row>
    <row r="7177" spans="1:1" x14ac:dyDescent="0.25">
      <c r="A7177" s="15"/>
    </row>
    <row r="7178" spans="1:1" x14ac:dyDescent="0.25">
      <c r="A7178" s="15"/>
    </row>
    <row r="7179" spans="1:1" x14ac:dyDescent="0.25">
      <c r="A7179" s="15"/>
    </row>
    <row r="7180" spans="1:1" x14ac:dyDescent="0.25">
      <c r="A7180" s="15"/>
    </row>
    <row r="7181" spans="1:1" x14ac:dyDescent="0.25">
      <c r="A7181" s="15"/>
    </row>
    <row r="7182" spans="1:1" x14ac:dyDescent="0.25">
      <c r="A7182" s="15"/>
    </row>
    <row r="7183" spans="1:1" x14ac:dyDescent="0.25">
      <c r="A7183" s="15"/>
    </row>
    <row r="7184" spans="1:1" x14ac:dyDescent="0.25">
      <c r="A7184" s="15"/>
    </row>
    <row r="7185" spans="1:1" x14ac:dyDescent="0.25">
      <c r="A7185" s="15"/>
    </row>
    <row r="7186" spans="1:1" x14ac:dyDescent="0.25">
      <c r="A7186" s="15"/>
    </row>
    <row r="7187" spans="1:1" x14ac:dyDescent="0.25">
      <c r="A7187" s="15"/>
    </row>
    <row r="7188" spans="1:1" x14ac:dyDescent="0.25">
      <c r="A7188" s="15"/>
    </row>
    <row r="7189" spans="1:1" x14ac:dyDescent="0.25">
      <c r="A7189" s="15"/>
    </row>
    <row r="7190" spans="1:1" x14ac:dyDescent="0.25">
      <c r="A7190" s="15"/>
    </row>
    <row r="7191" spans="1:1" x14ac:dyDescent="0.25">
      <c r="A7191" s="15"/>
    </row>
    <row r="7192" spans="1:1" x14ac:dyDescent="0.25">
      <c r="A7192" s="15"/>
    </row>
    <row r="7193" spans="1:1" x14ac:dyDescent="0.25">
      <c r="A7193" s="15"/>
    </row>
    <row r="7194" spans="1:1" x14ac:dyDescent="0.25">
      <c r="A7194" s="15"/>
    </row>
    <row r="7195" spans="1:1" x14ac:dyDescent="0.25">
      <c r="A7195" s="15"/>
    </row>
    <row r="7196" spans="1:1" x14ac:dyDescent="0.25">
      <c r="A7196" s="15"/>
    </row>
    <row r="7197" spans="1:1" x14ac:dyDescent="0.25">
      <c r="A7197" s="15"/>
    </row>
    <row r="7198" spans="1:1" x14ac:dyDescent="0.25">
      <c r="A7198" s="15"/>
    </row>
    <row r="7199" spans="1:1" x14ac:dyDescent="0.25">
      <c r="A7199" s="15"/>
    </row>
    <row r="7200" spans="1:1" x14ac:dyDescent="0.25">
      <c r="A7200" s="15"/>
    </row>
    <row r="7201" spans="1:1" x14ac:dyDescent="0.25">
      <c r="A7201" s="15"/>
    </row>
    <row r="7202" spans="1:1" x14ac:dyDescent="0.25">
      <c r="A7202" s="15"/>
    </row>
    <row r="7203" spans="1:1" x14ac:dyDescent="0.25">
      <c r="A7203" s="15"/>
    </row>
    <row r="7204" spans="1:1" x14ac:dyDescent="0.25">
      <c r="A7204" s="15"/>
    </row>
    <row r="7205" spans="1:1" x14ac:dyDescent="0.25">
      <c r="A7205" s="15"/>
    </row>
    <row r="7206" spans="1:1" x14ac:dyDescent="0.25">
      <c r="A7206" s="15"/>
    </row>
    <row r="7207" spans="1:1" x14ac:dyDescent="0.25">
      <c r="A7207" s="15"/>
    </row>
    <row r="7208" spans="1:1" x14ac:dyDescent="0.25">
      <c r="A7208" s="15"/>
    </row>
    <row r="7209" spans="1:1" x14ac:dyDescent="0.25">
      <c r="A7209" s="15"/>
    </row>
    <row r="7210" spans="1:1" x14ac:dyDescent="0.25">
      <c r="A7210" s="15"/>
    </row>
    <row r="7211" spans="1:1" x14ac:dyDescent="0.25">
      <c r="A7211" s="15"/>
    </row>
    <row r="7212" spans="1:1" x14ac:dyDescent="0.25">
      <c r="A7212" s="15"/>
    </row>
    <row r="7213" spans="1:1" x14ac:dyDescent="0.25">
      <c r="A7213" s="15"/>
    </row>
    <row r="7214" spans="1:1" x14ac:dyDescent="0.25">
      <c r="A7214" s="15"/>
    </row>
    <row r="7215" spans="1:1" x14ac:dyDescent="0.25">
      <c r="A7215" s="15"/>
    </row>
    <row r="7216" spans="1:1" x14ac:dyDescent="0.25">
      <c r="A7216" s="15"/>
    </row>
    <row r="7217" spans="1:1" x14ac:dyDescent="0.25">
      <c r="A7217" s="15"/>
    </row>
    <row r="7218" spans="1:1" x14ac:dyDescent="0.25">
      <c r="A7218" s="15"/>
    </row>
    <row r="7219" spans="1:1" x14ac:dyDescent="0.25">
      <c r="A7219" s="15"/>
    </row>
    <row r="7220" spans="1:1" x14ac:dyDescent="0.25">
      <c r="A7220" s="15"/>
    </row>
    <row r="7221" spans="1:1" x14ac:dyDescent="0.25">
      <c r="A7221" s="15"/>
    </row>
    <row r="7222" spans="1:1" x14ac:dyDescent="0.25">
      <c r="A7222" s="15"/>
    </row>
    <row r="7223" spans="1:1" x14ac:dyDescent="0.25">
      <c r="A7223" s="15"/>
    </row>
    <row r="7224" spans="1:1" x14ac:dyDescent="0.25">
      <c r="A7224" s="15"/>
    </row>
    <row r="7225" spans="1:1" x14ac:dyDescent="0.25">
      <c r="A7225" s="15"/>
    </row>
    <row r="7226" spans="1:1" x14ac:dyDescent="0.25">
      <c r="A7226" s="15"/>
    </row>
    <row r="7227" spans="1:1" x14ac:dyDescent="0.25">
      <c r="A7227" s="15"/>
    </row>
    <row r="7228" spans="1:1" x14ac:dyDescent="0.25">
      <c r="A7228" s="15"/>
    </row>
    <row r="7229" spans="1:1" x14ac:dyDescent="0.25">
      <c r="A7229" s="15"/>
    </row>
    <row r="7230" spans="1:1" x14ac:dyDescent="0.25">
      <c r="A7230" s="15"/>
    </row>
    <row r="7231" spans="1:1" x14ac:dyDescent="0.25">
      <c r="A7231" s="15"/>
    </row>
    <row r="7232" spans="1:1" x14ac:dyDescent="0.25">
      <c r="A7232" s="15"/>
    </row>
    <row r="7233" spans="1:1" x14ac:dyDescent="0.25">
      <c r="A7233" s="15"/>
    </row>
    <row r="7234" spans="1:1" x14ac:dyDescent="0.25">
      <c r="A7234" s="15"/>
    </row>
    <row r="7235" spans="1:1" x14ac:dyDescent="0.25">
      <c r="A7235" s="15"/>
    </row>
    <row r="7236" spans="1:1" x14ac:dyDescent="0.25">
      <c r="A7236" s="15"/>
    </row>
    <row r="7237" spans="1:1" x14ac:dyDescent="0.25">
      <c r="A7237" s="15"/>
    </row>
    <row r="7238" spans="1:1" x14ac:dyDescent="0.25">
      <c r="A7238" s="15"/>
    </row>
    <row r="7239" spans="1:1" x14ac:dyDescent="0.25">
      <c r="A7239" s="15"/>
    </row>
    <row r="7240" spans="1:1" x14ac:dyDescent="0.25">
      <c r="A7240" s="15"/>
    </row>
    <row r="7241" spans="1:1" x14ac:dyDescent="0.25">
      <c r="A7241" s="15"/>
    </row>
    <row r="7242" spans="1:1" x14ac:dyDescent="0.25">
      <c r="A7242" s="15"/>
    </row>
    <row r="7243" spans="1:1" x14ac:dyDescent="0.25">
      <c r="A7243" s="15"/>
    </row>
    <row r="7244" spans="1:1" x14ac:dyDescent="0.25">
      <c r="A7244" s="15"/>
    </row>
    <row r="7245" spans="1:1" x14ac:dyDescent="0.25">
      <c r="A7245" s="15"/>
    </row>
    <row r="7246" spans="1:1" x14ac:dyDescent="0.25">
      <c r="A7246" s="15"/>
    </row>
    <row r="7247" spans="1:1" x14ac:dyDescent="0.25">
      <c r="A7247" s="15"/>
    </row>
    <row r="7248" spans="1:1" x14ac:dyDescent="0.25">
      <c r="A7248" s="15"/>
    </row>
    <row r="7249" spans="1:1" x14ac:dyDescent="0.25">
      <c r="A7249" s="15"/>
    </row>
    <row r="7250" spans="1:1" x14ac:dyDescent="0.25">
      <c r="A7250" s="15"/>
    </row>
    <row r="7251" spans="1:1" x14ac:dyDescent="0.25">
      <c r="A7251" s="15"/>
    </row>
    <row r="7252" spans="1:1" x14ac:dyDescent="0.25">
      <c r="A7252" s="15"/>
    </row>
    <row r="7253" spans="1:1" x14ac:dyDescent="0.25">
      <c r="A7253" s="15"/>
    </row>
    <row r="7254" spans="1:1" x14ac:dyDescent="0.25">
      <c r="A7254" s="15"/>
    </row>
    <row r="7255" spans="1:1" x14ac:dyDescent="0.25">
      <c r="A7255" s="15"/>
    </row>
    <row r="7256" spans="1:1" x14ac:dyDescent="0.25">
      <c r="A7256" s="15"/>
    </row>
    <row r="7257" spans="1:1" x14ac:dyDescent="0.25">
      <c r="A7257" s="15"/>
    </row>
    <row r="7258" spans="1:1" x14ac:dyDescent="0.25">
      <c r="A7258" s="15"/>
    </row>
    <row r="7259" spans="1:1" x14ac:dyDescent="0.25">
      <c r="A7259" s="15"/>
    </row>
    <row r="7260" spans="1:1" x14ac:dyDescent="0.25">
      <c r="A7260" s="15"/>
    </row>
    <row r="7261" spans="1:1" x14ac:dyDescent="0.25">
      <c r="A7261" s="15"/>
    </row>
    <row r="7262" spans="1:1" x14ac:dyDescent="0.25">
      <c r="A7262" s="15"/>
    </row>
    <row r="7263" spans="1:1" x14ac:dyDescent="0.25">
      <c r="A7263" s="15"/>
    </row>
    <row r="7264" spans="1:1" x14ac:dyDescent="0.25">
      <c r="A7264" s="15"/>
    </row>
    <row r="7265" spans="1:1" x14ac:dyDescent="0.25">
      <c r="A7265" s="15"/>
    </row>
    <row r="7266" spans="1:1" x14ac:dyDescent="0.25">
      <c r="A7266" s="15"/>
    </row>
    <row r="7267" spans="1:1" x14ac:dyDescent="0.25">
      <c r="A7267" s="15"/>
    </row>
    <row r="7268" spans="1:1" x14ac:dyDescent="0.25">
      <c r="A7268" s="15"/>
    </row>
    <row r="7269" spans="1:1" x14ac:dyDescent="0.25">
      <c r="A7269" s="15"/>
    </row>
    <row r="7270" spans="1:1" x14ac:dyDescent="0.25">
      <c r="A7270" s="15"/>
    </row>
    <row r="7271" spans="1:1" x14ac:dyDescent="0.25">
      <c r="A7271" s="15"/>
    </row>
    <row r="7272" spans="1:1" x14ac:dyDescent="0.25">
      <c r="A7272" s="15"/>
    </row>
    <row r="7273" spans="1:1" x14ac:dyDescent="0.25">
      <c r="A7273" s="15"/>
    </row>
    <row r="7274" spans="1:1" x14ac:dyDescent="0.25">
      <c r="A7274" s="15"/>
    </row>
    <row r="7275" spans="1:1" x14ac:dyDescent="0.25">
      <c r="A7275" s="15"/>
    </row>
    <row r="7276" spans="1:1" x14ac:dyDescent="0.25">
      <c r="A7276" s="15"/>
    </row>
    <row r="7277" spans="1:1" x14ac:dyDescent="0.25">
      <c r="A7277" s="15"/>
    </row>
    <row r="7278" spans="1:1" x14ac:dyDescent="0.25">
      <c r="A7278" s="15"/>
    </row>
    <row r="7279" spans="1:1" x14ac:dyDescent="0.25">
      <c r="A7279" s="15"/>
    </row>
    <row r="7280" spans="1:1" x14ac:dyDescent="0.25">
      <c r="A7280" s="15"/>
    </row>
    <row r="7281" spans="1:1" x14ac:dyDescent="0.25">
      <c r="A7281" s="15"/>
    </row>
    <row r="7282" spans="1:1" x14ac:dyDescent="0.25">
      <c r="A7282" s="15"/>
    </row>
    <row r="7283" spans="1:1" x14ac:dyDescent="0.25">
      <c r="A7283" s="15"/>
    </row>
    <row r="7284" spans="1:1" x14ac:dyDescent="0.25">
      <c r="A7284" s="15"/>
    </row>
    <row r="7285" spans="1:1" x14ac:dyDescent="0.25">
      <c r="A7285" s="15"/>
    </row>
    <row r="7286" spans="1:1" x14ac:dyDescent="0.25">
      <c r="A7286" s="15"/>
    </row>
    <row r="7287" spans="1:1" x14ac:dyDescent="0.25">
      <c r="A7287" s="15"/>
    </row>
    <row r="7288" spans="1:1" x14ac:dyDescent="0.25">
      <c r="A7288" s="15"/>
    </row>
    <row r="7289" spans="1:1" x14ac:dyDescent="0.25">
      <c r="A7289" s="15"/>
    </row>
    <row r="7290" spans="1:1" x14ac:dyDescent="0.25">
      <c r="A7290" s="15"/>
    </row>
    <row r="7291" spans="1:1" x14ac:dyDescent="0.25">
      <c r="A7291" s="15"/>
    </row>
    <row r="7292" spans="1:1" x14ac:dyDescent="0.25">
      <c r="A7292" s="15"/>
    </row>
    <row r="7293" spans="1:1" x14ac:dyDescent="0.25">
      <c r="A7293" s="15"/>
    </row>
    <row r="7294" spans="1:1" x14ac:dyDescent="0.25">
      <c r="A7294" s="15"/>
    </row>
    <row r="7295" spans="1:1" x14ac:dyDescent="0.25">
      <c r="A7295" s="15"/>
    </row>
    <row r="7296" spans="1:1" x14ac:dyDescent="0.25">
      <c r="A7296" s="15"/>
    </row>
    <row r="7297" spans="1:1" x14ac:dyDescent="0.25">
      <c r="A7297" s="15"/>
    </row>
    <row r="7298" spans="1:1" x14ac:dyDescent="0.25">
      <c r="A7298" s="15"/>
    </row>
    <row r="7299" spans="1:1" x14ac:dyDescent="0.25">
      <c r="A7299" s="15"/>
    </row>
    <row r="7300" spans="1:1" x14ac:dyDescent="0.25">
      <c r="A7300" s="15"/>
    </row>
    <row r="7301" spans="1:1" x14ac:dyDescent="0.25">
      <c r="A7301" s="15"/>
    </row>
    <row r="7302" spans="1:1" x14ac:dyDescent="0.25">
      <c r="A7302" s="15"/>
    </row>
    <row r="7303" spans="1:1" x14ac:dyDescent="0.25">
      <c r="A7303" s="15"/>
    </row>
    <row r="7304" spans="1:1" x14ac:dyDescent="0.25">
      <c r="A7304" s="15"/>
    </row>
    <row r="7305" spans="1:1" x14ac:dyDescent="0.25">
      <c r="A7305" s="15"/>
    </row>
    <row r="7306" spans="1:1" x14ac:dyDescent="0.25">
      <c r="A7306" s="15"/>
    </row>
    <row r="7307" spans="1:1" x14ac:dyDescent="0.25">
      <c r="A7307" s="15"/>
    </row>
    <row r="7308" spans="1:1" x14ac:dyDescent="0.25">
      <c r="A7308" s="15"/>
    </row>
    <row r="7309" spans="1:1" x14ac:dyDescent="0.25">
      <c r="A7309" s="15"/>
    </row>
    <row r="7310" spans="1:1" x14ac:dyDescent="0.25">
      <c r="A7310" s="15"/>
    </row>
    <row r="7311" spans="1:1" x14ac:dyDescent="0.25">
      <c r="A7311" s="15"/>
    </row>
    <row r="7312" spans="1:1" x14ac:dyDescent="0.25">
      <c r="A7312" s="15"/>
    </row>
    <row r="7313" spans="1:1" x14ac:dyDescent="0.25">
      <c r="A7313" s="15"/>
    </row>
    <row r="7314" spans="1:1" x14ac:dyDescent="0.25">
      <c r="A7314" s="15"/>
    </row>
    <row r="7315" spans="1:1" x14ac:dyDescent="0.25">
      <c r="A7315" s="15"/>
    </row>
    <row r="7316" spans="1:1" x14ac:dyDescent="0.25">
      <c r="A7316" s="15"/>
    </row>
    <row r="7317" spans="1:1" x14ac:dyDescent="0.25">
      <c r="A7317" s="15"/>
    </row>
    <row r="7318" spans="1:1" x14ac:dyDescent="0.25">
      <c r="A7318" s="15"/>
    </row>
    <row r="7319" spans="1:1" x14ac:dyDescent="0.25">
      <c r="A7319" s="15"/>
    </row>
    <row r="7320" spans="1:1" x14ac:dyDescent="0.25">
      <c r="A7320" s="15"/>
    </row>
    <row r="7321" spans="1:1" x14ac:dyDescent="0.25">
      <c r="A7321" s="15"/>
    </row>
    <row r="7322" spans="1:1" x14ac:dyDescent="0.25">
      <c r="A7322" s="15"/>
    </row>
    <row r="7323" spans="1:1" x14ac:dyDescent="0.25">
      <c r="A7323" s="15"/>
    </row>
    <row r="7324" spans="1:1" x14ac:dyDescent="0.25">
      <c r="A7324" s="15"/>
    </row>
    <row r="7325" spans="1:1" x14ac:dyDescent="0.25">
      <c r="A7325" s="15"/>
    </row>
    <row r="7326" spans="1:1" x14ac:dyDescent="0.25">
      <c r="A7326" s="15"/>
    </row>
    <row r="7327" spans="1:1" x14ac:dyDescent="0.25">
      <c r="A7327" s="15"/>
    </row>
    <row r="7328" spans="1:1" x14ac:dyDescent="0.25">
      <c r="A7328" s="15"/>
    </row>
    <row r="7329" spans="1:1" x14ac:dyDescent="0.25">
      <c r="A7329" s="15"/>
    </row>
    <row r="7330" spans="1:1" x14ac:dyDescent="0.25">
      <c r="A7330" s="15"/>
    </row>
    <row r="7331" spans="1:1" x14ac:dyDescent="0.25">
      <c r="A7331" s="15"/>
    </row>
    <row r="7332" spans="1:1" x14ac:dyDescent="0.25">
      <c r="A7332" s="15"/>
    </row>
    <row r="7333" spans="1:1" x14ac:dyDescent="0.25">
      <c r="A7333" s="15"/>
    </row>
    <row r="7334" spans="1:1" x14ac:dyDescent="0.25">
      <c r="A7334" s="15"/>
    </row>
    <row r="7335" spans="1:1" x14ac:dyDescent="0.25">
      <c r="A7335" s="15"/>
    </row>
    <row r="7336" spans="1:1" x14ac:dyDescent="0.25">
      <c r="A7336" s="15"/>
    </row>
    <row r="7337" spans="1:1" x14ac:dyDescent="0.25">
      <c r="A7337" s="15"/>
    </row>
    <row r="7338" spans="1:1" x14ac:dyDescent="0.25">
      <c r="A7338" s="15"/>
    </row>
    <row r="7339" spans="1:1" x14ac:dyDescent="0.25">
      <c r="A7339" s="15"/>
    </row>
    <row r="7340" spans="1:1" x14ac:dyDescent="0.25">
      <c r="A7340" s="15"/>
    </row>
    <row r="7341" spans="1:1" x14ac:dyDescent="0.25">
      <c r="A7341" s="15"/>
    </row>
    <row r="7342" spans="1:1" x14ac:dyDescent="0.25">
      <c r="A7342" s="15"/>
    </row>
    <row r="7343" spans="1:1" x14ac:dyDescent="0.25">
      <c r="A7343" s="15"/>
    </row>
    <row r="7344" spans="1:1" x14ac:dyDescent="0.25">
      <c r="A7344" s="15"/>
    </row>
    <row r="7345" spans="1:1" x14ac:dyDescent="0.25">
      <c r="A7345" s="15"/>
    </row>
    <row r="7346" spans="1:1" x14ac:dyDescent="0.25">
      <c r="A7346" s="15"/>
    </row>
    <row r="7347" spans="1:1" x14ac:dyDescent="0.25">
      <c r="A7347" s="15"/>
    </row>
    <row r="7348" spans="1:1" x14ac:dyDescent="0.25">
      <c r="A7348" s="15"/>
    </row>
    <row r="7349" spans="1:1" x14ac:dyDescent="0.25">
      <c r="A7349" s="15"/>
    </row>
    <row r="7350" spans="1:1" x14ac:dyDescent="0.25">
      <c r="A7350" s="15"/>
    </row>
    <row r="7351" spans="1:1" x14ac:dyDescent="0.25">
      <c r="A7351" s="15"/>
    </row>
    <row r="7352" spans="1:1" x14ac:dyDescent="0.25">
      <c r="A7352" s="15"/>
    </row>
    <row r="7353" spans="1:1" x14ac:dyDescent="0.25">
      <c r="A7353" s="15"/>
    </row>
    <row r="7354" spans="1:1" x14ac:dyDescent="0.25">
      <c r="A7354" s="15"/>
    </row>
    <row r="7355" spans="1:1" x14ac:dyDescent="0.25">
      <c r="A7355" s="15"/>
    </row>
    <row r="7356" spans="1:1" x14ac:dyDescent="0.25">
      <c r="A7356" s="15"/>
    </row>
    <row r="7357" spans="1:1" x14ac:dyDescent="0.25">
      <c r="A7357" s="15"/>
    </row>
    <row r="7358" spans="1:1" x14ac:dyDescent="0.25">
      <c r="A7358" s="15"/>
    </row>
    <row r="7359" spans="1:1" x14ac:dyDescent="0.25">
      <c r="A7359" s="15"/>
    </row>
    <row r="7360" spans="1:1" x14ac:dyDescent="0.25">
      <c r="A7360" s="15"/>
    </row>
    <row r="7361" spans="1:1" x14ac:dyDescent="0.25">
      <c r="A7361" s="15"/>
    </row>
    <row r="7362" spans="1:1" x14ac:dyDescent="0.25">
      <c r="A7362" s="15"/>
    </row>
    <row r="7363" spans="1:1" x14ac:dyDescent="0.25">
      <c r="A7363" s="15"/>
    </row>
    <row r="7364" spans="1:1" x14ac:dyDescent="0.25">
      <c r="A7364" s="15"/>
    </row>
    <row r="7365" spans="1:1" x14ac:dyDescent="0.25">
      <c r="A7365" s="15"/>
    </row>
    <row r="7366" spans="1:1" x14ac:dyDescent="0.25">
      <c r="A7366" s="15"/>
    </row>
    <row r="7367" spans="1:1" x14ac:dyDescent="0.25">
      <c r="A7367" s="15"/>
    </row>
    <row r="7368" spans="1:1" x14ac:dyDescent="0.25">
      <c r="A7368" s="15"/>
    </row>
    <row r="7369" spans="1:1" x14ac:dyDescent="0.25">
      <c r="A7369" s="15"/>
    </row>
    <row r="7370" spans="1:1" x14ac:dyDescent="0.25">
      <c r="A7370" s="15"/>
    </row>
    <row r="7371" spans="1:1" x14ac:dyDescent="0.25">
      <c r="A7371" s="15"/>
    </row>
    <row r="7372" spans="1:1" x14ac:dyDescent="0.25">
      <c r="A7372" s="15"/>
    </row>
    <row r="7373" spans="1:1" x14ac:dyDescent="0.25">
      <c r="A7373" s="15"/>
    </row>
    <row r="7374" spans="1:1" x14ac:dyDescent="0.25">
      <c r="A7374" s="15"/>
    </row>
    <row r="7375" spans="1:1" x14ac:dyDescent="0.25">
      <c r="A7375" s="15"/>
    </row>
    <row r="7376" spans="1:1" x14ac:dyDescent="0.25">
      <c r="A7376" s="15"/>
    </row>
    <row r="7377" spans="1:1" x14ac:dyDescent="0.25">
      <c r="A7377" s="15"/>
    </row>
    <row r="7378" spans="1:1" x14ac:dyDescent="0.25">
      <c r="A7378" s="15"/>
    </row>
    <row r="7379" spans="1:1" x14ac:dyDescent="0.25">
      <c r="A7379" s="15"/>
    </row>
    <row r="7380" spans="1:1" x14ac:dyDescent="0.25">
      <c r="A7380" s="15"/>
    </row>
    <row r="7381" spans="1:1" x14ac:dyDescent="0.25">
      <c r="A7381" s="15"/>
    </row>
    <row r="7382" spans="1:1" x14ac:dyDescent="0.25">
      <c r="A7382" s="15"/>
    </row>
    <row r="7383" spans="1:1" x14ac:dyDescent="0.25">
      <c r="A7383" s="15"/>
    </row>
    <row r="7384" spans="1:1" x14ac:dyDescent="0.25">
      <c r="A7384" s="15"/>
    </row>
    <row r="7385" spans="1:1" x14ac:dyDescent="0.25">
      <c r="A7385" s="15"/>
    </row>
    <row r="7386" spans="1:1" x14ac:dyDescent="0.25">
      <c r="A7386" s="15"/>
    </row>
    <row r="7387" spans="1:1" x14ac:dyDescent="0.25">
      <c r="A7387" s="15"/>
    </row>
    <row r="7388" spans="1:1" x14ac:dyDescent="0.25">
      <c r="A7388" s="15"/>
    </row>
    <row r="7389" spans="1:1" x14ac:dyDescent="0.25">
      <c r="A7389" s="15"/>
    </row>
    <row r="7390" spans="1:1" x14ac:dyDescent="0.25">
      <c r="A7390" s="15"/>
    </row>
    <row r="7391" spans="1:1" x14ac:dyDescent="0.25">
      <c r="A7391" s="15"/>
    </row>
    <row r="7392" spans="1:1" x14ac:dyDescent="0.25">
      <c r="A7392" s="15"/>
    </row>
    <row r="7393" spans="1:1" x14ac:dyDescent="0.25">
      <c r="A7393" s="15"/>
    </row>
    <row r="7394" spans="1:1" x14ac:dyDescent="0.25">
      <c r="A7394" s="15"/>
    </row>
    <row r="7395" spans="1:1" x14ac:dyDescent="0.25">
      <c r="A7395" s="15"/>
    </row>
    <row r="7396" spans="1:1" x14ac:dyDescent="0.25">
      <c r="A7396" s="15"/>
    </row>
    <row r="7397" spans="1:1" x14ac:dyDescent="0.25">
      <c r="A7397" s="15"/>
    </row>
    <row r="7398" spans="1:1" x14ac:dyDescent="0.25">
      <c r="A7398" s="15"/>
    </row>
    <row r="7399" spans="1:1" x14ac:dyDescent="0.25">
      <c r="A7399" s="15"/>
    </row>
    <row r="7400" spans="1:1" x14ac:dyDescent="0.25">
      <c r="A7400" s="15"/>
    </row>
    <row r="7401" spans="1:1" x14ac:dyDescent="0.25">
      <c r="A7401" s="15"/>
    </row>
    <row r="7402" spans="1:1" x14ac:dyDescent="0.25">
      <c r="A7402" s="15"/>
    </row>
    <row r="7403" spans="1:1" x14ac:dyDescent="0.25">
      <c r="A7403" s="15"/>
    </row>
    <row r="7404" spans="1:1" x14ac:dyDescent="0.25">
      <c r="A7404" s="15"/>
    </row>
    <row r="7405" spans="1:1" x14ac:dyDescent="0.25">
      <c r="A7405" s="15"/>
    </row>
    <row r="7406" spans="1:1" x14ac:dyDescent="0.25">
      <c r="A7406" s="15"/>
    </row>
    <row r="7407" spans="1:1" x14ac:dyDescent="0.25">
      <c r="A7407" s="15"/>
    </row>
    <row r="7408" spans="1:1" x14ac:dyDescent="0.25">
      <c r="A7408" s="15"/>
    </row>
    <row r="7409" spans="1:1" x14ac:dyDescent="0.25">
      <c r="A7409" s="15"/>
    </row>
    <row r="7410" spans="1:1" x14ac:dyDescent="0.25">
      <c r="A7410" s="15"/>
    </row>
    <row r="7411" spans="1:1" x14ac:dyDescent="0.25">
      <c r="A7411" s="15"/>
    </row>
    <row r="7412" spans="1:1" x14ac:dyDescent="0.25">
      <c r="A7412" s="15"/>
    </row>
    <row r="7413" spans="1:1" x14ac:dyDescent="0.25">
      <c r="A7413" s="15"/>
    </row>
    <row r="7414" spans="1:1" x14ac:dyDescent="0.25">
      <c r="A7414" s="15"/>
    </row>
    <row r="7415" spans="1:1" x14ac:dyDescent="0.25">
      <c r="A7415" s="15"/>
    </row>
    <row r="7416" spans="1:1" x14ac:dyDescent="0.25">
      <c r="A7416" s="15"/>
    </row>
    <row r="7417" spans="1:1" x14ac:dyDescent="0.25">
      <c r="A7417" s="15"/>
    </row>
    <row r="7418" spans="1:1" x14ac:dyDescent="0.25">
      <c r="A7418" s="15"/>
    </row>
    <row r="7419" spans="1:1" x14ac:dyDescent="0.25">
      <c r="A7419" s="15"/>
    </row>
    <row r="7420" spans="1:1" x14ac:dyDescent="0.25">
      <c r="A7420" s="15"/>
    </row>
    <row r="7421" spans="1:1" x14ac:dyDescent="0.25">
      <c r="A7421" s="15"/>
    </row>
    <row r="7422" spans="1:1" x14ac:dyDescent="0.25">
      <c r="A7422" s="15"/>
    </row>
    <row r="7423" spans="1:1" x14ac:dyDescent="0.25">
      <c r="A7423" s="15"/>
    </row>
    <row r="7424" spans="1:1" x14ac:dyDescent="0.25">
      <c r="A7424" s="15"/>
    </row>
    <row r="7425" spans="1:1" x14ac:dyDescent="0.25">
      <c r="A7425" s="15"/>
    </row>
    <row r="7426" spans="1:1" x14ac:dyDescent="0.25">
      <c r="A7426" s="15"/>
    </row>
    <row r="7427" spans="1:1" x14ac:dyDescent="0.25">
      <c r="A7427" s="15"/>
    </row>
    <row r="7428" spans="1:1" x14ac:dyDescent="0.25">
      <c r="A7428" s="15"/>
    </row>
    <row r="7429" spans="1:1" x14ac:dyDescent="0.25">
      <c r="A7429" s="15"/>
    </row>
    <row r="7430" spans="1:1" x14ac:dyDescent="0.25">
      <c r="A7430" s="15"/>
    </row>
    <row r="7431" spans="1:1" x14ac:dyDescent="0.25">
      <c r="A7431" s="15"/>
    </row>
    <row r="7432" spans="1:1" x14ac:dyDescent="0.25">
      <c r="A7432" s="15"/>
    </row>
    <row r="7433" spans="1:1" x14ac:dyDescent="0.25">
      <c r="A7433" s="15"/>
    </row>
    <row r="7434" spans="1:1" x14ac:dyDescent="0.25">
      <c r="A7434" s="15"/>
    </row>
    <row r="7435" spans="1:1" x14ac:dyDescent="0.25">
      <c r="A7435" s="15"/>
    </row>
    <row r="7436" spans="1:1" x14ac:dyDescent="0.25">
      <c r="A7436" s="15"/>
    </row>
    <row r="7437" spans="1:1" x14ac:dyDescent="0.25">
      <c r="A7437" s="15"/>
    </row>
    <row r="7438" spans="1:1" x14ac:dyDescent="0.25">
      <c r="A7438" s="15"/>
    </row>
    <row r="7439" spans="1:1" x14ac:dyDescent="0.25">
      <c r="A7439" s="15"/>
    </row>
    <row r="7440" spans="1:1" x14ac:dyDescent="0.25">
      <c r="A7440" s="15"/>
    </row>
    <row r="7441" spans="1:1" x14ac:dyDescent="0.25">
      <c r="A7441" s="15"/>
    </row>
    <row r="7442" spans="1:1" x14ac:dyDescent="0.25">
      <c r="A7442" s="15"/>
    </row>
    <row r="7443" spans="1:1" x14ac:dyDescent="0.25">
      <c r="A7443" s="15"/>
    </row>
    <row r="7444" spans="1:1" x14ac:dyDescent="0.25">
      <c r="A7444" s="15"/>
    </row>
    <row r="7445" spans="1:1" x14ac:dyDescent="0.25">
      <c r="A7445" s="15"/>
    </row>
    <row r="7446" spans="1:1" x14ac:dyDescent="0.25">
      <c r="A7446" s="15"/>
    </row>
    <row r="7447" spans="1:1" x14ac:dyDescent="0.25">
      <c r="A7447" s="15"/>
    </row>
    <row r="7448" spans="1:1" x14ac:dyDescent="0.25">
      <c r="A7448" s="15"/>
    </row>
    <row r="7449" spans="1:1" x14ac:dyDescent="0.25">
      <c r="A7449" s="15"/>
    </row>
    <row r="7450" spans="1:1" x14ac:dyDescent="0.25">
      <c r="A7450" s="15"/>
    </row>
    <row r="7451" spans="1:1" x14ac:dyDescent="0.25">
      <c r="A7451" s="15"/>
    </row>
    <row r="7452" spans="1:1" x14ac:dyDescent="0.25">
      <c r="A7452" s="15"/>
    </row>
    <row r="7453" spans="1:1" x14ac:dyDescent="0.25">
      <c r="A7453" s="15"/>
    </row>
    <row r="7454" spans="1:1" x14ac:dyDescent="0.25">
      <c r="A7454" s="15"/>
    </row>
    <row r="7455" spans="1:1" x14ac:dyDescent="0.25">
      <c r="A7455" s="15"/>
    </row>
    <row r="7456" spans="1:1" x14ac:dyDescent="0.25">
      <c r="A7456" s="15"/>
    </row>
    <row r="7457" spans="1:1" x14ac:dyDescent="0.25">
      <c r="A7457" s="15"/>
    </row>
    <row r="7458" spans="1:1" x14ac:dyDescent="0.25">
      <c r="A7458" s="15"/>
    </row>
    <row r="7459" spans="1:1" x14ac:dyDescent="0.25">
      <c r="A7459" s="15"/>
    </row>
    <row r="7460" spans="1:1" x14ac:dyDescent="0.25">
      <c r="A7460" s="15"/>
    </row>
    <row r="7461" spans="1:1" x14ac:dyDescent="0.25">
      <c r="A7461" s="15"/>
    </row>
    <row r="7462" spans="1:1" x14ac:dyDescent="0.25">
      <c r="A7462" s="15"/>
    </row>
    <row r="7463" spans="1:1" x14ac:dyDescent="0.25">
      <c r="A7463" s="15"/>
    </row>
    <row r="7464" spans="1:1" x14ac:dyDescent="0.25">
      <c r="A7464" s="15"/>
    </row>
    <row r="7465" spans="1:1" x14ac:dyDescent="0.25">
      <c r="A7465" s="15"/>
    </row>
    <row r="7466" spans="1:1" x14ac:dyDescent="0.25">
      <c r="A7466" s="15"/>
    </row>
    <row r="7467" spans="1:1" x14ac:dyDescent="0.25">
      <c r="A7467" s="15"/>
    </row>
    <row r="7468" spans="1:1" x14ac:dyDescent="0.25">
      <c r="A7468" s="15"/>
    </row>
    <row r="7469" spans="1:1" x14ac:dyDescent="0.25">
      <c r="A7469" s="15"/>
    </row>
    <row r="7470" spans="1:1" x14ac:dyDescent="0.25">
      <c r="A7470" s="15"/>
    </row>
    <row r="7471" spans="1:1" x14ac:dyDescent="0.25">
      <c r="A7471" s="15"/>
    </row>
    <row r="7472" spans="1:1" x14ac:dyDescent="0.25">
      <c r="A7472" s="15"/>
    </row>
    <row r="7473" spans="1:1" x14ac:dyDescent="0.25">
      <c r="A7473" s="15"/>
    </row>
    <row r="7474" spans="1:1" x14ac:dyDescent="0.25">
      <c r="A7474" s="15"/>
    </row>
    <row r="7475" spans="1:1" x14ac:dyDescent="0.25">
      <c r="A7475" s="15"/>
    </row>
    <row r="7476" spans="1:1" x14ac:dyDescent="0.25">
      <c r="A7476" s="15"/>
    </row>
    <row r="7477" spans="1:1" x14ac:dyDescent="0.25">
      <c r="A7477" s="15"/>
    </row>
    <row r="7478" spans="1:1" x14ac:dyDescent="0.25">
      <c r="A7478" s="15"/>
    </row>
    <row r="7479" spans="1:1" x14ac:dyDescent="0.25">
      <c r="A7479" s="15"/>
    </row>
    <row r="7480" spans="1:1" x14ac:dyDescent="0.25">
      <c r="A7480" s="15"/>
    </row>
    <row r="7481" spans="1:1" x14ac:dyDescent="0.25">
      <c r="A7481" s="15"/>
    </row>
    <row r="7482" spans="1:1" x14ac:dyDescent="0.25">
      <c r="A7482" s="15"/>
    </row>
    <row r="7483" spans="1:1" x14ac:dyDescent="0.25">
      <c r="A7483" s="15"/>
    </row>
    <row r="7484" spans="1:1" x14ac:dyDescent="0.25">
      <c r="A7484" s="15"/>
    </row>
    <row r="7485" spans="1:1" x14ac:dyDescent="0.25">
      <c r="A7485" s="15"/>
    </row>
    <row r="7486" spans="1:1" x14ac:dyDescent="0.25">
      <c r="A7486" s="15"/>
    </row>
    <row r="7487" spans="1:1" x14ac:dyDescent="0.25">
      <c r="A7487" s="15"/>
    </row>
    <row r="7488" spans="1:1" x14ac:dyDescent="0.25">
      <c r="A7488" s="15"/>
    </row>
    <row r="7489" spans="1:1" x14ac:dyDescent="0.25">
      <c r="A7489" s="15"/>
    </row>
    <row r="7490" spans="1:1" x14ac:dyDescent="0.25">
      <c r="A7490" s="15"/>
    </row>
    <row r="7491" spans="1:1" x14ac:dyDescent="0.25">
      <c r="A7491" s="15"/>
    </row>
    <row r="7492" spans="1:1" x14ac:dyDescent="0.25">
      <c r="A7492" s="15"/>
    </row>
    <row r="7493" spans="1:1" x14ac:dyDescent="0.25">
      <c r="A7493" s="15"/>
    </row>
    <row r="7494" spans="1:1" x14ac:dyDescent="0.25">
      <c r="A7494" s="15"/>
    </row>
    <row r="7495" spans="1:1" x14ac:dyDescent="0.25">
      <c r="A7495" s="15"/>
    </row>
    <row r="7496" spans="1:1" x14ac:dyDescent="0.25">
      <c r="A7496" s="15"/>
    </row>
    <row r="7497" spans="1:1" x14ac:dyDescent="0.25">
      <c r="A7497" s="15"/>
    </row>
    <row r="7498" spans="1:1" x14ac:dyDescent="0.25">
      <c r="A7498" s="15"/>
    </row>
    <row r="7499" spans="1:1" x14ac:dyDescent="0.25">
      <c r="A7499" s="15"/>
    </row>
    <row r="7500" spans="1:1" x14ac:dyDescent="0.25">
      <c r="A7500" s="15"/>
    </row>
    <row r="7501" spans="1:1" x14ac:dyDescent="0.25">
      <c r="A7501" s="15"/>
    </row>
    <row r="7502" spans="1:1" x14ac:dyDescent="0.25">
      <c r="A7502" s="15"/>
    </row>
    <row r="7503" spans="1:1" x14ac:dyDescent="0.25">
      <c r="A7503" s="15"/>
    </row>
    <row r="7504" spans="1:1" x14ac:dyDescent="0.25">
      <c r="A7504" s="15"/>
    </row>
    <row r="7505" spans="1:1" x14ac:dyDescent="0.25">
      <c r="A7505" s="15"/>
    </row>
    <row r="7506" spans="1:1" x14ac:dyDescent="0.25">
      <c r="A7506" s="15"/>
    </row>
    <row r="7507" spans="1:1" x14ac:dyDescent="0.25">
      <c r="A7507" s="15"/>
    </row>
    <row r="7508" spans="1:1" x14ac:dyDescent="0.25">
      <c r="A7508" s="15"/>
    </row>
    <row r="7509" spans="1:1" x14ac:dyDescent="0.25">
      <c r="A7509" s="15"/>
    </row>
    <row r="7510" spans="1:1" x14ac:dyDescent="0.25">
      <c r="A7510" s="15"/>
    </row>
    <row r="7511" spans="1:1" x14ac:dyDescent="0.25">
      <c r="A7511" s="15"/>
    </row>
    <row r="7512" spans="1:1" x14ac:dyDescent="0.25">
      <c r="A7512" s="15"/>
    </row>
    <row r="7513" spans="1:1" x14ac:dyDescent="0.25">
      <c r="A7513" s="15"/>
    </row>
    <row r="7514" spans="1:1" x14ac:dyDescent="0.25">
      <c r="A7514" s="15"/>
    </row>
    <row r="7515" spans="1:1" x14ac:dyDescent="0.25">
      <c r="A7515" s="15"/>
    </row>
    <row r="7516" spans="1:1" x14ac:dyDescent="0.25">
      <c r="A7516" s="15"/>
    </row>
    <row r="7517" spans="1:1" x14ac:dyDescent="0.25">
      <c r="A7517" s="15"/>
    </row>
    <row r="7518" spans="1:1" x14ac:dyDescent="0.25">
      <c r="A7518" s="15"/>
    </row>
    <row r="7519" spans="1:1" x14ac:dyDescent="0.25">
      <c r="A7519" s="15"/>
    </row>
    <row r="7520" spans="1:1" x14ac:dyDescent="0.25">
      <c r="A7520" s="15"/>
    </row>
    <row r="7521" spans="1:1" x14ac:dyDescent="0.25">
      <c r="A7521" s="15"/>
    </row>
    <row r="7522" spans="1:1" x14ac:dyDescent="0.25">
      <c r="A7522" s="15"/>
    </row>
    <row r="7523" spans="1:1" x14ac:dyDescent="0.25">
      <c r="A7523" s="15"/>
    </row>
    <row r="7524" spans="1:1" x14ac:dyDescent="0.25">
      <c r="A7524" s="15"/>
    </row>
    <row r="7525" spans="1:1" x14ac:dyDescent="0.25">
      <c r="A7525" s="15"/>
    </row>
    <row r="7526" spans="1:1" x14ac:dyDescent="0.25">
      <c r="A7526" s="15"/>
    </row>
    <row r="7527" spans="1:1" x14ac:dyDescent="0.25">
      <c r="A7527" s="15"/>
    </row>
    <row r="7528" spans="1:1" x14ac:dyDescent="0.25">
      <c r="A7528" s="15"/>
    </row>
    <row r="7529" spans="1:1" x14ac:dyDescent="0.25">
      <c r="A7529" s="15"/>
    </row>
    <row r="7530" spans="1:1" x14ac:dyDescent="0.25">
      <c r="A7530" s="15"/>
    </row>
    <row r="7531" spans="1:1" x14ac:dyDescent="0.25">
      <c r="A7531" s="15"/>
    </row>
    <row r="7532" spans="1:1" x14ac:dyDescent="0.25">
      <c r="A7532" s="15"/>
    </row>
    <row r="7533" spans="1:1" x14ac:dyDescent="0.25">
      <c r="A7533" s="15"/>
    </row>
    <row r="7534" spans="1:1" x14ac:dyDescent="0.25">
      <c r="A7534" s="15"/>
    </row>
    <row r="7535" spans="1:1" x14ac:dyDescent="0.25">
      <c r="A7535" s="15"/>
    </row>
    <row r="7536" spans="1:1" x14ac:dyDescent="0.25">
      <c r="A7536" s="15"/>
    </row>
    <row r="7537" spans="1:1" x14ac:dyDescent="0.25">
      <c r="A7537" s="15"/>
    </row>
    <row r="7538" spans="1:1" x14ac:dyDescent="0.25">
      <c r="A7538" s="15"/>
    </row>
    <row r="7539" spans="1:1" x14ac:dyDescent="0.25">
      <c r="A7539" s="15"/>
    </row>
    <row r="7540" spans="1:1" x14ac:dyDescent="0.25">
      <c r="A7540" s="15"/>
    </row>
    <row r="7541" spans="1:1" x14ac:dyDescent="0.25">
      <c r="A7541" s="15"/>
    </row>
    <row r="7542" spans="1:1" x14ac:dyDescent="0.25">
      <c r="A7542" s="15"/>
    </row>
    <row r="7543" spans="1:1" x14ac:dyDescent="0.25">
      <c r="A7543" s="15"/>
    </row>
    <row r="7544" spans="1:1" x14ac:dyDescent="0.25">
      <c r="A7544" s="15"/>
    </row>
    <row r="7545" spans="1:1" x14ac:dyDescent="0.25">
      <c r="A7545" s="15"/>
    </row>
    <row r="7546" spans="1:1" x14ac:dyDescent="0.25">
      <c r="A7546" s="15"/>
    </row>
    <row r="7547" spans="1:1" x14ac:dyDescent="0.25">
      <c r="A7547" s="15"/>
    </row>
    <row r="7548" spans="1:1" x14ac:dyDescent="0.25">
      <c r="A7548" s="15"/>
    </row>
    <row r="7549" spans="1:1" x14ac:dyDescent="0.25">
      <c r="A7549" s="15"/>
    </row>
    <row r="7550" spans="1:1" x14ac:dyDescent="0.25">
      <c r="A7550" s="15"/>
    </row>
    <row r="7551" spans="1:1" x14ac:dyDescent="0.25">
      <c r="A7551" s="15"/>
    </row>
    <row r="7552" spans="1:1" x14ac:dyDescent="0.25">
      <c r="A7552" s="15"/>
    </row>
    <row r="7553" spans="1:1" x14ac:dyDescent="0.25">
      <c r="A7553" s="15"/>
    </row>
    <row r="7554" spans="1:1" x14ac:dyDescent="0.25">
      <c r="A7554" s="15"/>
    </row>
    <row r="7555" spans="1:1" x14ac:dyDescent="0.25">
      <c r="A7555" s="15"/>
    </row>
    <row r="7556" spans="1:1" x14ac:dyDescent="0.25">
      <c r="A7556" s="15"/>
    </row>
    <row r="7557" spans="1:1" x14ac:dyDescent="0.25">
      <c r="A7557" s="15"/>
    </row>
    <row r="7558" spans="1:1" x14ac:dyDescent="0.25">
      <c r="A7558" s="15"/>
    </row>
    <row r="7559" spans="1:1" x14ac:dyDescent="0.25">
      <c r="A7559" s="15"/>
    </row>
    <row r="7560" spans="1:1" x14ac:dyDescent="0.25">
      <c r="A7560" s="15"/>
    </row>
    <row r="7561" spans="1:1" x14ac:dyDescent="0.25">
      <c r="A7561" s="15"/>
    </row>
    <row r="7562" spans="1:1" x14ac:dyDescent="0.25">
      <c r="A7562" s="15"/>
    </row>
    <row r="7563" spans="1:1" x14ac:dyDescent="0.25">
      <c r="A7563" s="15"/>
    </row>
    <row r="7564" spans="1:1" x14ac:dyDescent="0.25">
      <c r="A7564" s="15"/>
    </row>
    <row r="7565" spans="1:1" x14ac:dyDescent="0.25">
      <c r="A7565" s="15"/>
    </row>
    <row r="7566" spans="1:1" x14ac:dyDescent="0.25">
      <c r="A7566" s="15"/>
    </row>
    <row r="7567" spans="1:1" x14ac:dyDescent="0.25">
      <c r="A7567" s="15"/>
    </row>
    <row r="7568" spans="1:1" x14ac:dyDescent="0.25">
      <c r="A7568" s="15"/>
    </row>
    <row r="7569" spans="1:1" x14ac:dyDescent="0.25">
      <c r="A7569" s="15"/>
    </row>
    <row r="7570" spans="1:1" x14ac:dyDescent="0.25">
      <c r="A7570" s="15"/>
    </row>
    <row r="7571" spans="1:1" x14ac:dyDescent="0.25">
      <c r="A7571" s="15"/>
    </row>
    <row r="7572" spans="1:1" x14ac:dyDescent="0.25">
      <c r="A7572" s="15"/>
    </row>
    <row r="7573" spans="1:1" x14ac:dyDescent="0.25">
      <c r="A7573" s="15"/>
    </row>
    <row r="7574" spans="1:1" x14ac:dyDescent="0.25">
      <c r="A7574" s="15"/>
    </row>
    <row r="7575" spans="1:1" x14ac:dyDescent="0.25">
      <c r="A7575" s="15"/>
    </row>
    <row r="7576" spans="1:1" x14ac:dyDescent="0.25">
      <c r="A7576" s="15"/>
    </row>
    <row r="7577" spans="1:1" x14ac:dyDescent="0.25">
      <c r="A7577" s="15"/>
    </row>
    <row r="7578" spans="1:1" x14ac:dyDescent="0.25">
      <c r="A7578" s="15"/>
    </row>
    <row r="7579" spans="1:1" x14ac:dyDescent="0.25">
      <c r="A7579" s="15"/>
    </row>
    <row r="7580" spans="1:1" x14ac:dyDescent="0.25">
      <c r="A7580" s="15"/>
    </row>
    <row r="7581" spans="1:1" x14ac:dyDescent="0.25">
      <c r="A7581" s="15"/>
    </row>
    <row r="7582" spans="1:1" x14ac:dyDescent="0.25">
      <c r="A7582" s="15"/>
    </row>
    <row r="7583" spans="1:1" x14ac:dyDescent="0.25">
      <c r="A7583" s="15"/>
    </row>
    <row r="7584" spans="1:1" x14ac:dyDescent="0.25">
      <c r="A7584" s="15"/>
    </row>
    <row r="7585" spans="1:1" x14ac:dyDescent="0.25">
      <c r="A7585" s="15"/>
    </row>
    <row r="7586" spans="1:1" x14ac:dyDescent="0.25">
      <c r="A7586" s="15"/>
    </row>
    <row r="7587" spans="1:1" x14ac:dyDescent="0.25">
      <c r="A7587" s="15"/>
    </row>
    <row r="7588" spans="1:1" x14ac:dyDescent="0.25">
      <c r="A7588" s="15"/>
    </row>
    <row r="7589" spans="1:1" x14ac:dyDescent="0.25">
      <c r="A7589" s="15"/>
    </row>
    <row r="7590" spans="1:1" x14ac:dyDescent="0.25">
      <c r="A7590" s="15"/>
    </row>
    <row r="7591" spans="1:1" x14ac:dyDescent="0.25">
      <c r="A7591" s="15"/>
    </row>
    <row r="7592" spans="1:1" x14ac:dyDescent="0.25">
      <c r="A7592" s="15"/>
    </row>
    <row r="7593" spans="1:1" x14ac:dyDescent="0.25">
      <c r="A7593" s="15"/>
    </row>
    <row r="7594" spans="1:1" x14ac:dyDescent="0.25">
      <c r="A7594" s="15"/>
    </row>
    <row r="7595" spans="1:1" x14ac:dyDescent="0.25">
      <c r="A7595" s="15"/>
    </row>
    <row r="7596" spans="1:1" x14ac:dyDescent="0.25">
      <c r="A7596" s="15"/>
    </row>
    <row r="7597" spans="1:1" x14ac:dyDescent="0.25">
      <c r="A7597" s="15"/>
    </row>
    <row r="7598" spans="1:1" x14ac:dyDescent="0.25">
      <c r="A7598" s="15"/>
    </row>
    <row r="7599" spans="1:1" x14ac:dyDescent="0.25">
      <c r="A7599" s="15"/>
    </row>
    <row r="7600" spans="1:1" x14ac:dyDescent="0.25">
      <c r="A7600" s="15"/>
    </row>
    <row r="7601" spans="1:1" x14ac:dyDescent="0.25">
      <c r="A7601" s="15"/>
    </row>
    <row r="7602" spans="1:1" x14ac:dyDescent="0.25">
      <c r="A7602" s="15"/>
    </row>
    <row r="7603" spans="1:1" x14ac:dyDescent="0.25">
      <c r="A7603" s="15"/>
    </row>
    <row r="7604" spans="1:1" x14ac:dyDescent="0.25">
      <c r="A7604" s="15"/>
    </row>
    <row r="7605" spans="1:1" x14ac:dyDescent="0.25">
      <c r="A7605" s="15"/>
    </row>
    <row r="7606" spans="1:1" x14ac:dyDescent="0.25">
      <c r="A7606" s="15"/>
    </row>
    <row r="7607" spans="1:1" x14ac:dyDescent="0.25">
      <c r="A7607" s="15"/>
    </row>
    <row r="7608" spans="1:1" x14ac:dyDescent="0.25">
      <c r="A7608" s="15"/>
    </row>
    <row r="7609" spans="1:1" x14ac:dyDescent="0.25">
      <c r="A7609" s="15"/>
    </row>
    <row r="7610" spans="1:1" x14ac:dyDescent="0.25">
      <c r="A7610" s="15"/>
    </row>
    <row r="7611" spans="1:1" x14ac:dyDescent="0.25">
      <c r="A7611" s="15"/>
    </row>
    <row r="7612" spans="1:1" x14ac:dyDescent="0.25">
      <c r="A7612" s="15"/>
    </row>
    <row r="7613" spans="1:1" x14ac:dyDescent="0.25">
      <c r="A7613" s="15"/>
    </row>
    <row r="7614" spans="1:1" x14ac:dyDescent="0.25">
      <c r="A7614" s="15"/>
    </row>
    <row r="7615" spans="1:1" x14ac:dyDescent="0.25">
      <c r="A7615" s="15"/>
    </row>
    <row r="7616" spans="1:1" x14ac:dyDescent="0.25">
      <c r="A7616" s="15"/>
    </row>
    <row r="7617" spans="1:1" x14ac:dyDescent="0.25">
      <c r="A7617" s="15"/>
    </row>
    <row r="7618" spans="1:1" x14ac:dyDescent="0.25">
      <c r="A7618" s="15"/>
    </row>
    <row r="7619" spans="1:1" x14ac:dyDescent="0.25">
      <c r="A7619" s="15"/>
    </row>
    <row r="7620" spans="1:1" x14ac:dyDescent="0.25">
      <c r="A7620" s="15"/>
    </row>
    <row r="7621" spans="1:1" x14ac:dyDescent="0.25">
      <c r="A7621" s="15"/>
    </row>
    <row r="7622" spans="1:1" x14ac:dyDescent="0.25">
      <c r="A7622" s="15"/>
    </row>
    <row r="7623" spans="1:1" x14ac:dyDescent="0.25">
      <c r="A7623" s="15"/>
    </row>
    <row r="7624" spans="1:1" x14ac:dyDescent="0.25">
      <c r="A7624" s="15"/>
    </row>
    <row r="7625" spans="1:1" x14ac:dyDescent="0.25">
      <c r="A7625" s="15"/>
    </row>
    <row r="7626" spans="1:1" x14ac:dyDescent="0.25">
      <c r="A7626" s="15"/>
    </row>
    <row r="7627" spans="1:1" x14ac:dyDescent="0.25">
      <c r="A7627" s="15"/>
    </row>
    <row r="7628" spans="1:1" x14ac:dyDescent="0.25">
      <c r="A7628" s="15"/>
    </row>
    <row r="7629" spans="1:1" x14ac:dyDescent="0.25">
      <c r="A7629" s="15"/>
    </row>
    <row r="7630" spans="1:1" x14ac:dyDescent="0.25">
      <c r="A7630" s="15"/>
    </row>
    <row r="7631" spans="1:1" x14ac:dyDescent="0.25">
      <c r="A7631" s="15"/>
    </row>
    <row r="7632" spans="1:1" x14ac:dyDescent="0.25">
      <c r="A7632" s="15"/>
    </row>
    <row r="7633" spans="1:1" x14ac:dyDescent="0.25">
      <c r="A7633" s="15"/>
    </row>
    <row r="7634" spans="1:1" x14ac:dyDescent="0.25">
      <c r="A7634" s="15"/>
    </row>
    <row r="7635" spans="1:1" x14ac:dyDescent="0.25">
      <c r="A7635" s="15"/>
    </row>
    <row r="7636" spans="1:1" x14ac:dyDescent="0.25">
      <c r="A7636" s="15"/>
    </row>
    <row r="7637" spans="1:1" x14ac:dyDescent="0.25">
      <c r="A7637" s="15"/>
    </row>
    <row r="7638" spans="1:1" x14ac:dyDescent="0.25">
      <c r="A7638" s="15"/>
    </row>
    <row r="7639" spans="1:1" x14ac:dyDescent="0.25">
      <c r="A7639" s="15"/>
    </row>
    <row r="7640" spans="1:1" x14ac:dyDescent="0.25">
      <c r="A7640" s="15"/>
    </row>
    <row r="7641" spans="1:1" x14ac:dyDescent="0.25">
      <c r="A7641" s="15"/>
    </row>
    <row r="7642" spans="1:1" x14ac:dyDescent="0.25">
      <c r="A7642" s="15"/>
    </row>
    <row r="7643" spans="1:1" x14ac:dyDescent="0.25">
      <c r="A7643" s="15"/>
    </row>
    <row r="7644" spans="1:1" x14ac:dyDescent="0.25">
      <c r="A7644" s="15"/>
    </row>
    <row r="7645" spans="1:1" x14ac:dyDescent="0.25">
      <c r="A7645" s="15"/>
    </row>
    <row r="7646" spans="1:1" x14ac:dyDescent="0.25">
      <c r="A7646" s="15"/>
    </row>
    <row r="7647" spans="1:1" x14ac:dyDescent="0.25">
      <c r="A7647" s="15"/>
    </row>
    <row r="7648" spans="1:1" x14ac:dyDescent="0.25">
      <c r="A7648" s="15"/>
    </row>
    <row r="7649" spans="1:1" x14ac:dyDescent="0.25">
      <c r="A7649" s="15"/>
    </row>
    <row r="7650" spans="1:1" x14ac:dyDescent="0.25">
      <c r="A7650" s="15"/>
    </row>
    <row r="7651" spans="1:1" x14ac:dyDescent="0.25">
      <c r="A7651" s="15"/>
    </row>
    <row r="7652" spans="1:1" x14ac:dyDescent="0.25">
      <c r="A7652" s="15"/>
    </row>
    <row r="7653" spans="1:1" x14ac:dyDescent="0.25">
      <c r="A7653" s="15"/>
    </row>
    <row r="7654" spans="1:1" x14ac:dyDescent="0.25">
      <c r="A7654" s="15"/>
    </row>
    <row r="7655" spans="1:1" x14ac:dyDescent="0.25">
      <c r="A7655" s="15"/>
    </row>
    <row r="7656" spans="1:1" x14ac:dyDescent="0.25">
      <c r="A7656" s="15"/>
    </row>
    <row r="7657" spans="1:1" x14ac:dyDescent="0.25">
      <c r="A7657" s="15"/>
    </row>
    <row r="7658" spans="1:1" x14ac:dyDescent="0.25">
      <c r="A7658" s="15"/>
    </row>
    <row r="7659" spans="1:1" x14ac:dyDescent="0.25">
      <c r="A7659" s="15"/>
    </row>
    <row r="7660" spans="1:1" x14ac:dyDescent="0.25">
      <c r="A7660" s="15"/>
    </row>
    <row r="7661" spans="1:1" x14ac:dyDescent="0.25">
      <c r="A7661" s="15"/>
    </row>
    <row r="7662" spans="1:1" x14ac:dyDescent="0.25">
      <c r="A7662" s="15"/>
    </row>
    <row r="7663" spans="1:1" x14ac:dyDescent="0.25">
      <c r="A7663" s="15"/>
    </row>
    <row r="7664" spans="1:1" x14ac:dyDescent="0.25">
      <c r="A7664" s="15"/>
    </row>
    <row r="7665" spans="1:1" x14ac:dyDescent="0.25">
      <c r="A7665" s="15"/>
    </row>
    <row r="7666" spans="1:1" x14ac:dyDescent="0.25">
      <c r="A7666" s="15"/>
    </row>
    <row r="7667" spans="1:1" x14ac:dyDescent="0.25">
      <c r="A7667" s="15"/>
    </row>
    <row r="7668" spans="1:1" x14ac:dyDescent="0.25">
      <c r="A7668" s="15"/>
    </row>
    <row r="7669" spans="1:1" x14ac:dyDescent="0.25">
      <c r="A7669" s="15"/>
    </row>
    <row r="7670" spans="1:1" x14ac:dyDescent="0.25">
      <c r="A7670" s="15"/>
    </row>
    <row r="7671" spans="1:1" x14ac:dyDescent="0.25">
      <c r="A7671" s="15"/>
    </row>
    <row r="7672" spans="1:1" x14ac:dyDescent="0.25">
      <c r="A7672" s="15"/>
    </row>
    <row r="7673" spans="1:1" x14ac:dyDescent="0.25">
      <c r="A7673" s="15"/>
    </row>
    <row r="7674" spans="1:1" x14ac:dyDescent="0.25">
      <c r="A7674" s="15"/>
    </row>
    <row r="7675" spans="1:1" x14ac:dyDescent="0.25">
      <c r="A7675" s="15"/>
    </row>
    <row r="7676" spans="1:1" x14ac:dyDescent="0.25">
      <c r="A7676" s="15"/>
    </row>
    <row r="7677" spans="1:1" x14ac:dyDescent="0.25">
      <c r="A7677" s="15"/>
    </row>
    <row r="7678" spans="1:1" x14ac:dyDescent="0.25">
      <c r="A7678" s="15"/>
    </row>
    <row r="7679" spans="1:1" x14ac:dyDescent="0.25">
      <c r="A7679" s="15"/>
    </row>
    <row r="7680" spans="1:1" x14ac:dyDescent="0.25">
      <c r="A7680" s="15"/>
    </row>
    <row r="7681" spans="1:1" x14ac:dyDescent="0.25">
      <c r="A7681" s="15"/>
    </row>
    <row r="7682" spans="1:1" x14ac:dyDescent="0.25">
      <c r="A7682" s="15"/>
    </row>
    <row r="7683" spans="1:1" x14ac:dyDescent="0.25">
      <c r="A7683" s="15"/>
    </row>
    <row r="7684" spans="1:1" x14ac:dyDescent="0.25">
      <c r="A7684" s="15"/>
    </row>
    <row r="7685" spans="1:1" x14ac:dyDescent="0.25">
      <c r="A7685" s="15"/>
    </row>
    <row r="7686" spans="1:1" x14ac:dyDescent="0.25">
      <c r="A7686" s="15"/>
    </row>
    <row r="7687" spans="1:1" x14ac:dyDescent="0.25">
      <c r="A7687" s="15"/>
    </row>
    <row r="7688" spans="1:1" x14ac:dyDescent="0.25">
      <c r="A7688" s="15"/>
    </row>
    <row r="7689" spans="1:1" x14ac:dyDescent="0.25">
      <c r="A7689" s="15"/>
    </row>
    <row r="7690" spans="1:1" x14ac:dyDescent="0.25">
      <c r="A7690" s="15"/>
    </row>
    <row r="7691" spans="1:1" x14ac:dyDescent="0.25">
      <c r="A7691" s="15"/>
    </row>
    <row r="7692" spans="1:1" x14ac:dyDescent="0.25">
      <c r="A7692" s="15"/>
    </row>
    <row r="7693" spans="1:1" x14ac:dyDescent="0.25">
      <c r="A7693" s="15"/>
    </row>
    <row r="7694" spans="1:1" x14ac:dyDescent="0.25">
      <c r="A7694" s="15"/>
    </row>
    <row r="7695" spans="1:1" x14ac:dyDescent="0.25">
      <c r="A7695" s="15"/>
    </row>
    <row r="7696" spans="1:1" x14ac:dyDescent="0.25">
      <c r="A7696" s="15"/>
    </row>
    <row r="7697" spans="1:1" x14ac:dyDescent="0.25">
      <c r="A7697" s="15"/>
    </row>
    <row r="7698" spans="1:1" x14ac:dyDescent="0.25">
      <c r="A7698" s="15"/>
    </row>
    <row r="7699" spans="1:1" x14ac:dyDescent="0.25">
      <c r="A7699" s="15"/>
    </row>
    <row r="7700" spans="1:1" x14ac:dyDescent="0.25">
      <c r="A7700" s="15"/>
    </row>
    <row r="7701" spans="1:1" x14ac:dyDescent="0.25">
      <c r="A7701" s="15"/>
    </row>
    <row r="7702" spans="1:1" x14ac:dyDescent="0.25">
      <c r="A7702" s="15"/>
    </row>
    <row r="7703" spans="1:1" x14ac:dyDescent="0.25">
      <c r="A7703" s="15"/>
    </row>
    <row r="7704" spans="1:1" x14ac:dyDescent="0.25">
      <c r="A7704" s="15"/>
    </row>
    <row r="7705" spans="1:1" x14ac:dyDescent="0.25">
      <c r="A7705" s="15"/>
    </row>
    <row r="7706" spans="1:1" x14ac:dyDescent="0.25">
      <c r="A7706" s="15"/>
    </row>
    <row r="7707" spans="1:1" x14ac:dyDescent="0.25">
      <c r="A7707" s="15"/>
    </row>
    <row r="7708" spans="1:1" x14ac:dyDescent="0.25">
      <c r="A7708" s="15"/>
    </row>
    <row r="7709" spans="1:1" x14ac:dyDescent="0.25">
      <c r="A7709" s="15"/>
    </row>
    <row r="7710" spans="1:1" x14ac:dyDescent="0.25">
      <c r="A7710" s="15"/>
    </row>
    <row r="7711" spans="1:1" x14ac:dyDescent="0.25">
      <c r="A7711" s="15"/>
    </row>
    <row r="7712" spans="1:1" x14ac:dyDescent="0.25">
      <c r="A7712" s="15"/>
    </row>
    <row r="7713" spans="1:1" x14ac:dyDescent="0.25">
      <c r="A7713" s="15"/>
    </row>
    <row r="7714" spans="1:1" x14ac:dyDescent="0.25">
      <c r="A7714" s="15"/>
    </row>
    <row r="7715" spans="1:1" x14ac:dyDescent="0.25">
      <c r="A7715" s="15"/>
    </row>
    <row r="7716" spans="1:1" x14ac:dyDescent="0.25">
      <c r="A7716" s="15"/>
    </row>
    <row r="7717" spans="1:1" x14ac:dyDescent="0.25">
      <c r="A7717" s="15"/>
    </row>
    <row r="7718" spans="1:1" x14ac:dyDescent="0.25">
      <c r="A7718" s="15"/>
    </row>
    <row r="7719" spans="1:1" x14ac:dyDescent="0.25">
      <c r="A7719" s="15"/>
    </row>
    <row r="7720" spans="1:1" x14ac:dyDescent="0.25">
      <c r="A7720" s="15"/>
    </row>
    <row r="7721" spans="1:1" x14ac:dyDescent="0.25">
      <c r="A7721" s="15"/>
    </row>
    <row r="7722" spans="1:1" x14ac:dyDescent="0.25">
      <c r="A7722" s="15"/>
    </row>
    <row r="7723" spans="1:1" x14ac:dyDescent="0.25">
      <c r="A7723" s="15"/>
    </row>
    <row r="7724" spans="1:1" x14ac:dyDescent="0.25">
      <c r="A7724" s="15"/>
    </row>
    <row r="7725" spans="1:1" x14ac:dyDescent="0.25">
      <c r="A7725" s="15"/>
    </row>
    <row r="7726" spans="1:1" x14ac:dyDescent="0.25">
      <c r="A7726" s="15"/>
    </row>
    <row r="7727" spans="1:1" x14ac:dyDescent="0.25">
      <c r="A7727" s="15"/>
    </row>
    <row r="7728" spans="1:1" x14ac:dyDescent="0.25">
      <c r="A7728" s="15"/>
    </row>
    <row r="7729" spans="1:1" x14ac:dyDescent="0.25">
      <c r="A7729" s="15"/>
    </row>
    <row r="7730" spans="1:1" x14ac:dyDescent="0.25">
      <c r="A7730" s="15"/>
    </row>
    <row r="7731" spans="1:1" x14ac:dyDescent="0.25">
      <c r="A7731" s="15"/>
    </row>
    <row r="7732" spans="1:1" x14ac:dyDescent="0.25">
      <c r="A7732" s="15"/>
    </row>
    <row r="7733" spans="1:1" x14ac:dyDescent="0.25">
      <c r="A7733" s="15"/>
    </row>
    <row r="7734" spans="1:1" x14ac:dyDescent="0.25">
      <c r="A7734" s="15"/>
    </row>
    <row r="7735" spans="1:1" x14ac:dyDescent="0.25">
      <c r="A7735" s="15"/>
    </row>
    <row r="7736" spans="1:1" x14ac:dyDescent="0.25">
      <c r="A7736" s="15"/>
    </row>
    <row r="7737" spans="1:1" x14ac:dyDescent="0.25">
      <c r="A7737" s="15"/>
    </row>
    <row r="7738" spans="1:1" x14ac:dyDescent="0.25">
      <c r="A7738" s="15"/>
    </row>
    <row r="7739" spans="1:1" x14ac:dyDescent="0.25">
      <c r="A7739" s="15"/>
    </row>
    <row r="7740" spans="1:1" x14ac:dyDescent="0.25">
      <c r="A7740" s="15"/>
    </row>
    <row r="7741" spans="1:1" x14ac:dyDescent="0.25">
      <c r="A7741" s="15"/>
    </row>
    <row r="7742" spans="1:1" x14ac:dyDescent="0.25">
      <c r="A7742" s="15"/>
    </row>
    <row r="7743" spans="1:1" x14ac:dyDescent="0.25">
      <c r="A7743" s="15"/>
    </row>
    <row r="7744" spans="1:1" x14ac:dyDescent="0.25">
      <c r="A7744" s="15"/>
    </row>
    <row r="7745" spans="1:1" x14ac:dyDescent="0.25">
      <c r="A7745" s="15"/>
    </row>
    <row r="7746" spans="1:1" x14ac:dyDescent="0.25">
      <c r="A7746" s="15"/>
    </row>
    <row r="7747" spans="1:1" x14ac:dyDescent="0.25">
      <c r="A7747" s="15"/>
    </row>
    <row r="7748" spans="1:1" x14ac:dyDescent="0.25">
      <c r="A7748" s="15"/>
    </row>
    <row r="7749" spans="1:1" x14ac:dyDescent="0.25">
      <c r="A7749" s="15"/>
    </row>
    <row r="7750" spans="1:1" x14ac:dyDescent="0.25">
      <c r="A7750" s="15"/>
    </row>
    <row r="7751" spans="1:1" x14ac:dyDescent="0.25">
      <c r="A7751" s="15"/>
    </row>
    <row r="7752" spans="1:1" x14ac:dyDescent="0.25">
      <c r="A7752" s="15"/>
    </row>
    <row r="7753" spans="1:1" x14ac:dyDescent="0.25">
      <c r="A7753" s="15"/>
    </row>
    <row r="7754" spans="1:1" x14ac:dyDescent="0.25">
      <c r="A7754" s="15"/>
    </row>
    <row r="7755" spans="1:1" x14ac:dyDescent="0.25">
      <c r="A7755" s="15"/>
    </row>
    <row r="7756" spans="1:1" x14ac:dyDescent="0.25">
      <c r="A7756" s="15"/>
    </row>
    <row r="7757" spans="1:1" x14ac:dyDescent="0.25">
      <c r="A7757" s="15"/>
    </row>
    <row r="7758" spans="1:1" x14ac:dyDescent="0.25">
      <c r="A7758" s="15"/>
    </row>
    <row r="7759" spans="1:1" x14ac:dyDescent="0.25">
      <c r="A7759" s="15"/>
    </row>
    <row r="7760" spans="1:1" x14ac:dyDescent="0.25">
      <c r="A7760" s="15"/>
    </row>
    <row r="7761" spans="1:1" x14ac:dyDescent="0.25">
      <c r="A7761" s="15"/>
    </row>
    <row r="7762" spans="1:1" x14ac:dyDescent="0.25">
      <c r="A7762" s="15"/>
    </row>
    <row r="7763" spans="1:1" x14ac:dyDescent="0.25">
      <c r="A7763" s="15"/>
    </row>
    <row r="7764" spans="1:1" x14ac:dyDescent="0.25">
      <c r="A7764" s="15"/>
    </row>
    <row r="7765" spans="1:1" x14ac:dyDescent="0.25">
      <c r="A7765" s="15"/>
    </row>
    <row r="7766" spans="1:1" x14ac:dyDescent="0.25">
      <c r="A7766" s="15"/>
    </row>
    <row r="7767" spans="1:1" x14ac:dyDescent="0.25">
      <c r="A7767" s="15"/>
    </row>
    <row r="7768" spans="1:1" x14ac:dyDescent="0.25">
      <c r="A7768" s="15"/>
    </row>
    <row r="7769" spans="1:1" x14ac:dyDescent="0.25">
      <c r="A7769" s="15"/>
    </row>
    <row r="7770" spans="1:1" x14ac:dyDescent="0.25">
      <c r="A7770" s="15"/>
    </row>
    <row r="7771" spans="1:1" x14ac:dyDescent="0.25">
      <c r="A7771" s="15"/>
    </row>
    <row r="7772" spans="1:1" x14ac:dyDescent="0.25">
      <c r="A7772" s="15"/>
    </row>
    <row r="7773" spans="1:1" x14ac:dyDescent="0.25">
      <c r="A7773" s="15"/>
    </row>
    <row r="7774" spans="1:1" x14ac:dyDescent="0.25">
      <c r="A7774" s="15"/>
    </row>
    <row r="7775" spans="1:1" x14ac:dyDescent="0.25">
      <c r="A7775" s="15"/>
    </row>
    <row r="7776" spans="1:1" x14ac:dyDescent="0.25">
      <c r="A7776" s="15"/>
    </row>
    <row r="7777" spans="1:1" x14ac:dyDescent="0.25">
      <c r="A7777" s="15"/>
    </row>
    <row r="7778" spans="1:1" x14ac:dyDescent="0.25">
      <c r="A7778" s="15"/>
    </row>
    <row r="7779" spans="1:1" x14ac:dyDescent="0.25">
      <c r="A7779" s="15"/>
    </row>
    <row r="7780" spans="1:1" x14ac:dyDescent="0.25">
      <c r="A7780" s="15"/>
    </row>
    <row r="7781" spans="1:1" x14ac:dyDescent="0.25">
      <c r="A7781" s="15"/>
    </row>
    <row r="7782" spans="1:1" x14ac:dyDescent="0.25">
      <c r="A7782" s="15"/>
    </row>
    <row r="7783" spans="1:1" x14ac:dyDescent="0.25">
      <c r="A7783" s="15"/>
    </row>
    <row r="7784" spans="1:1" x14ac:dyDescent="0.25">
      <c r="A7784" s="15"/>
    </row>
    <row r="7785" spans="1:1" x14ac:dyDescent="0.25">
      <c r="A7785" s="15"/>
    </row>
    <row r="7786" spans="1:1" x14ac:dyDescent="0.25">
      <c r="A7786" s="15"/>
    </row>
    <row r="7787" spans="1:1" x14ac:dyDescent="0.25">
      <c r="A7787" s="15"/>
    </row>
    <row r="7788" spans="1:1" x14ac:dyDescent="0.25">
      <c r="A7788" s="15"/>
    </row>
    <row r="7789" spans="1:1" x14ac:dyDescent="0.25">
      <c r="A7789" s="15"/>
    </row>
    <row r="7790" spans="1:1" x14ac:dyDescent="0.25">
      <c r="A7790" s="15"/>
    </row>
    <row r="7791" spans="1:1" x14ac:dyDescent="0.25">
      <c r="A7791" s="15"/>
    </row>
    <row r="7792" spans="1:1" x14ac:dyDescent="0.25">
      <c r="A7792" s="15"/>
    </row>
    <row r="7793" spans="1:1" x14ac:dyDescent="0.25">
      <c r="A7793" s="15"/>
    </row>
    <row r="7794" spans="1:1" x14ac:dyDescent="0.25">
      <c r="A7794" s="15"/>
    </row>
    <row r="7795" spans="1:1" x14ac:dyDescent="0.25">
      <c r="A7795" s="15"/>
    </row>
    <row r="7796" spans="1:1" x14ac:dyDescent="0.25">
      <c r="A7796" s="15"/>
    </row>
    <row r="7797" spans="1:1" x14ac:dyDescent="0.25">
      <c r="A7797" s="15"/>
    </row>
    <row r="7798" spans="1:1" x14ac:dyDescent="0.25">
      <c r="A7798" s="15"/>
    </row>
    <row r="7799" spans="1:1" x14ac:dyDescent="0.25">
      <c r="A7799" s="15"/>
    </row>
    <row r="7800" spans="1:1" x14ac:dyDescent="0.25">
      <c r="A7800" s="15"/>
    </row>
    <row r="7801" spans="1:1" x14ac:dyDescent="0.25">
      <c r="A7801" s="15"/>
    </row>
    <row r="7802" spans="1:1" x14ac:dyDescent="0.25">
      <c r="A7802" s="15"/>
    </row>
    <row r="7803" spans="1:1" x14ac:dyDescent="0.25">
      <c r="A7803" s="15"/>
    </row>
    <row r="7804" spans="1:1" x14ac:dyDescent="0.25">
      <c r="A7804" s="15"/>
    </row>
    <row r="7805" spans="1:1" x14ac:dyDescent="0.25">
      <c r="A7805" s="15"/>
    </row>
    <row r="7806" spans="1:1" x14ac:dyDescent="0.25">
      <c r="A7806" s="15"/>
    </row>
    <row r="7807" spans="1:1" x14ac:dyDescent="0.25">
      <c r="A7807" s="15"/>
    </row>
    <row r="7808" spans="1:1" x14ac:dyDescent="0.25">
      <c r="A7808" s="15"/>
    </row>
    <row r="7809" spans="1:1" x14ac:dyDescent="0.25">
      <c r="A7809" s="15"/>
    </row>
    <row r="7810" spans="1:1" x14ac:dyDescent="0.25">
      <c r="A7810" s="15"/>
    </row>
    <row r="7811" spans="1:1" x14ac:dyDescent="0.25">
      <c r="A7811" s="15"/>
    </row>
    <row r="7812" spans="1:1" x14ac:dyDescent="0.25">
      <c r="A7812" s="15"/>
    </row>
    <row r="7813" spans="1:1" x14ac:dyDescent="0.25">
      <c r="A7813" s="15"/>
    </row>
    <row r="7814" spans="1:1" x14ac:dyDescent="0.25">
      <c r="A7814" s="15"/>
    </row>
    <row r="7815" spans="1:1" x14ac:dyDescent="0.25">
      <c r="A7815" s="15"/>
    </row>
    <row r="7816" spans="1:1" x14ac:dyDescent="0.25">
      <c r="A7816" s="15"/>
    </row>
    <row r="7817" spans="1:1" x14ac:dyDescent="0.25">
      <c r="A7817" s="15"/>
    </row>
    <row r="7818" spans="1:1" x14ac:dyDescent="0.25">
      <c r="A7818" s="15"/>
    </row>
    <row r="7819" spans="1:1" x14ac:dyDescent="0.25">
      <c r="A7819" s="15"/>
    </row>
    <row r="7820" spans="1:1" x14ac:dyDescent="0.25">
      <c r="A7820" s="15"/>
    </row>
    <row r="7821" spans="1:1" x14ac:dyDescent="0.25">
      <c r="A7821" s="15"/>
    </row>
    <row r="7822" spans="1:1" x14ac:dyDescent="0.25">
      <c r="A7822" s="15"/>
    </row>
    <row r="7823" spans="1:1" x14ac:dyDescent="0.25">
      <c r="A7823" s="15"/>
    </row>
    <row r="7824" spans="1:1" x14ac:dyDescent="0.25">
      <c r="A7824" s="15"/>
    </row>
    <row r="7825" spans="1:1" x14ac:dyDescent="0.25">
      <c r="A7825" s="15"/>
    </row>
    <row r="7826" spans="1:1" x14ac:dyDescent="0.25">
      <c r="A7826" s="15"/>
    </row>
    <row r="7827" spans="1:1" x14ac:dyDescent="0.25">
      <c r="A7827" s="15"/>
    </row>
    <row r="7828" spans="1:1" x14ac:dyDescent="0.25">
      <c r="A7828" s="15"/>
    </row>
    <row r="7829" spans="1:1" x14ac:dyDescent="0.25">
      <c r="A7829" s="15"/>
    </row>
    <row r="7830" spans="1:1" x14ac:dyDescent="0.25">
      <c r="A7830" s="15"/>
    </row>
    <row r="7831" spans="1:1" x14ac:dyDescent="0.25">
      <c r="A7831" s="15"/>
    </row>
    <row r="7832" spans="1:1" x14ac:dyDescent="0.25">
      <c r="A7832" s="15"/>
    </row>
    <row r="7833" spans="1:1" x14ac:dyDescent="0.25">
      <c r="A7833" s="15"/>
    </row>
    <row r="7834" spans="1:1" x14ac:dyDescent="0.25">
      <c r="A7834" s="15"/>
    </row>
    <row r="7835" spans="1:1" x14ac:dyDescent="0.25">
      <c r="A7835" s="15"/>
    </row>
    <row r="7836" spans="1:1" x14ac:dyDescent="0.25">
      <c r="A7836" s="15"/>
    </row>
    <row r="7837" spans="1:1" x14ac:dyDescent="0.25">
      <c r="A7837" s="15"/>
    </row>
    <row r="7838" spans="1:1" x14ac:dyDescent="0.25">
      <c r="A7838" s="15"/>
    </row>
    <row r="7839" spans="1:1" x14ac:dyDescent="0.25">
      <c r="A7839" s="15"/>
    </row>
    <row r="7840" spans="1:1" x14ac:dyDescent="0.25">
      <c r="A7840" s="15"/>
    </row>
    <row r="7841" spans="1:1" x14ac:dyDescent="0.25">
      <c r="A7841" s="15"/>
    </row>
    <row r="7842" spans="1:1" x14ac:dyDescent="0.25">
      <c r="A7842" s="15"/>
    </row>
    <row r="7843" spans="1:1" x14ac:dyDescent="0.25">
      <c r="A7843" s="15"/>
    </row>
    <row r="7844" spans="1:1" x14ac:dyDescent="0.25">
      <c r="A7844" s="15"/>
    </row>
    <row r="7845" spans="1:1" x14ac:dyDescent="0.25">
      <c r="A7845" s="15"/>
    </row>
    <row r="7846" spans="1:1" x14ac:dyDescent="0.25">
      <c r="A7846" s="15"/>
    </row>
    <row r="7847" spans="1:1" x14ac:dyDescent="0.25">
      <c r="A7847" s="15"/>
    </row>
    <row r="7848" spans="1:1" x14ac:dyDescent="0.25">
      <c r="A7848" s="15"/>
    </row>
    <row r="7849" spans="1:1" x14ac:dyDescent="0.25">
      <c r="A7849" s="15"/>
    </row>
    <row r="7850" spans="1:1" x14ac:dyDescent="0.25">
      <c r="A7850" s="15"/>
    </row>
    <row r="7851" spans="1:1" x14ac:dyDescent="0.25">
      <c r="A7851" s="15"/>
    </row>
    <row r="7852" spans="1:1" x14ac:dyDescent="0.25">
      <c r="A7852" s="15"/>
    </row>
    <row r="7853" spans="1:1" x14ac:dyDescent="0.25">
      <c r="A7853" s="15"/>
    </row>
    <row r="7854" spans="1:1" x14ac:dyDescent="0.25">
      <c r="A7854" s="15"/>
    </row>
    <row r="7855" spans="1:1" x14ac:dyDescent="0.25">
      <c r="A7855" s="15"/>
    </row>
    <row r="7856" spans="1:1" x14ac:dyDescent="0.25">
      <c r="A7856" s="15"/>
    </row>
    <row r="7857" spans="1:1" x14ac:dyDescent="0.25">
      <c r="A7857" s="15"/>
    </row>
    <row r="7858" spans="1:1" x14ac:dyDescent="0.25">
      <c r="A7858" s="15"/>
    </row>
    <row r="7859" spans="1:1" x14ac:dyDescent="0.25">
      <c r="A7859" s="15"/>
    </row>
    <row r="7860" spans="1:1" x14ac:dyDescent="0.25">
      <c r="A7860" s="15"/>
    </row>
    <row r="7861" spans="1:1" x14ac:dyDescent="0.25">
      <c r="A7861" s="15"/>
    </row>
    <row r="7862" spans="1:1" x14ac:dyDescent="0.25">
      <c r="A7862" s="15"/>
    </row>
    <row r="7863" spans="1:1" x14ac:dyDescent="0.25">
      <c r="A7863" s="15"/>
    </row>
    <row r="7864" spans="1:1" x14ac:dyDescent="0.25">
      <c r="A7864" s="15"/>
    </row>
    <row r="7865" spans="1:1" x14ac:dyDescent="0.25">
      <c r="A7865" s="15"/>
    </row>
    <row r="7866" spans="1:1" x14ac:dyDescent="0.25">
      <c r="A7866" s="15"/>
    </row>
    <row r="7867" spans="1:1" x14ac:dyDescent="0.25">
      <c r="A7867" s="15"/>
    </row>
    <row r="7868" spans="1:1" x14ac:dyDescent="0.25">
      <c r="A7868" s="15"/>
    </row>
    <row r="7869" spans="1:1" x14ac:dyDescent="0.25">
      <c r="A7869" s="15"/>
    </row>
    <row r="7870" spans="1:1" x14ac:dyDescent="0.25">
      <c r="A7870" s="15"/>
    </row>
    <row r="7871" spans="1:1" x14ac:dyDescent="0.25">
      <c r="A7871" s="15"/>
    </row>
    <row r="7872" spans="1:1" x14ac:dyDescent="0.25">
      <c r="A7872" s="15"/>
    </row>
    <row r="7873" spans="1:1" x14ac:dyDescent="0.25">
      <c r="A7873" s="15"/>
    </row>
    <row r="7874" spans="1:1" x14ac:dyDescent="0.25">
      <c r="A7874" s="15"/>
    </row>
    <row r="7875" spans="1:1" x14ac:dyDescent="0.25">
      <c r="A7875" s="15"/>
    </row>
    <row r="7876" spans="1:1" x14ac:dyDescent="0.25">
      <c r="A7876" s="15"/>
    </row>
    <row r="7877" spans="1:1" x14ac:dyDescent="0.25">
      <c r="A7877" s="15"/>
    </row>
    <row r="7878" spans="1:1" x14ac:dyDescent="0.25">
      <c r="A7878" s="15"/>
    </row>
    <row r="7879" spans="1:1" x14ac:dyDescent="0.25">
      <c r="A7879" s="15"/>
    </row>
    <row r="7880" spans="1:1" x14ac:dyDescent="0.25">
      <c r="A7880" s="15"/>
    </row>
    <row r="7881" spans="1:1" x14ac:dyDescent="0.25">
      <c r="A7881" s="15"/>
    </row>
    <row r="7882" spans="1:1" x14ac:dyDescent="0.25">
      <c r="A7882" s="15"/>
    </row>
    <row r="7883" spans="1:1" x14ac:dyDescent="0.25">
      <c r="A7883" s="15"/>
    </row>
    <row r="7884" spans="1:1" x14ac:dyDescent="0.25">
      <c r="A7884" s="15"/>
    </row>
    <row r="7885" spans="1:1" x14ac:dyDescent="0.25">
      <c r="A7885" s="15"/>
    </row>
    <row r="7886" spans="1:1" x14ac:dyDescent="0.25">
      <c r="A7886" s="15"/>
    </row>
    <row r="7887" spans="1:1" x14ac:dyDescent="0.25">
      <c r="A7887" s="15"/>
    </row>
    <row r="7888" spans="1:1" x14ac:dyDescent="0.25">
      <c r="A7888" s="15"/>
    </row>
    <row r="7889" spans="1:1" x14ac:dyDescent="0.25">
      <c r="A7889" s="15"/>
    </row>
    <row r="7890" spans="1:1" x14ac:dyDescent="0.25">
      <c r="A7890" s="15"/>
    </row>
    <row r="7891" spans="1:1" x14ac:dyDescent="0.25">
      <c r="A7891" s="15"/>
    </row>
    <row r="7892" spans="1:1" x14ac:dyDescent="0.25">
      <c r="A7892" s="15"/>
    </row>
    <row r="7893" spans="1:1" x14ac:dyDescent="0.25">
      <c r="A7893" s="15"/>
    </row>
    <row r="7894" spans="1:1" x14ac:dyDescent="0.25">
      <c r="A7894" s="15"/>
    </row>
    <row r="7895" spans="1:1" x14ac:dyDescent="0.25">
      <c r="A7895" s="15"/>
    </row>
    <row r="7896" spans="1:1" x14ac:dyDescent="0.25">
      <c r="A7896" s="15"/>
    </row>
    <row r="7897" spans="1:1" x14ac:dyDescent="0.25">
      <c r="A7897" s="15"/>
    </row>
    <row r="7898" spans="1:1" x14ac:dyDescent="0.25">
      <c r="A7898" s="15"/>
    </row>
    <row r="7899" spans="1:1" x14ac:dyDescent="0.25">
      <c r="A7899" s="15"/>
    </row>
    <row r="7900" spans="1:1" x14ac:dyDescent="0.25">
      <c r="A7900" s="15"/>
    </row>
    <row r="7901" spans="1:1" x14ac:dyDescent="0.25">
      <c r="A7901" s="15"/>
    </row>
    <row r="7902" spans="1:1" x14ac:dyDescent="0.25">
      <c r="A7902" s="15"/>
    </row>
    <row r="7903" spans="1:1" x14ac:dyDescent="0.25">
      <c r="A7903" s="15"/>
    </row>
    <row r="7904" spans="1:1" x14ac:dyDescent="0.25">
      <c r="A7904" s="15"/>
    </row>
    <row r="7905" spans="1:1" x14ac:dyDescent="0.25">
      <c r="A7905" s="15"/>
    </row>
    <row r="7906" spans="1:1" x14ac:dyDescent="0.25">
      <c r="A7906" s="15"/>
    </row>
    <row r="7907" spans="1:1" x14ac:dyDescent="0.25">
      <c r="A7907" s="15"/>
    </row>
    <row r="7908" spans="1:1" x14ac:dyDescent="0.25">
      <c r="A7908" s="15"/>
    </row>
    <row r="7909" spans="1:1" x14ac:dyDescent="0.25">
      <c r="A7909" s="15"/>
    </row>
    <row r="7910" spans="1:1" x14ac:dyDescent="0.25">
      <c r="A7910" s="15"/>
    </row>
    <row r="7911" spans="1:1" x14ac:dyDescent="0.25">
      <c r="A7911" s="15"/>
    </row>
    <row r="7912" spans="1:1" x14ac:dyDescent="0.25">
      <c r="A7912" s="15"/>
    </row>
    <row r="7913" spans="1:1" x14ac:dyDescent="0.25">
      <c r="A7913" s="15"/>
    </row>
    <row r="7914" spans="1:1" x14ac:dyDescent="0.25">
      <c r="A7914" s="15"/>
    </row>
    <row r="7915" spans="1:1" x14ac:dyDescent="0.25">
      <c r="A7915" s="15"/>
    </row>
    <row r="7916" spans="1:1" x14ac:dyDescent="0.25">
      <c r="A7916" s="15"/>
    </row>
    <row r="7917" spans="1:1" x14ac:dyDescent="0.25">
      <c r="A7917" s="15"/>
    </row>
    <row r="7918" spans="1:1" x14ac:dyDescent="0.25">
      <c r="A7918" s="15"/>
    </row>
    <row r="7919" spans="1:1" x14ac:dyDescent="0.25">
      <c r="A7919" s="15"/>
    </row>
    <row r="7920" spans="1:1" x14ac:dyDescent="0.25">
      <c r="A7920" s="15"/>
    </row>
    <row r="7921" spans="1:1" x14ac:dyDescent="0.25">
      <c r="A7921" s="15"/>
    </row>
    <row r="7922" spans="1:1" x14ac:dyDescent="0.25">
      <c r="A7922" s="15"/>
    </row>
    <row r="7923" spans="1:1" x14ac:dyDescent="0.25">
      <c r="A7923" s="15"/>
    </row>
    <row r="7924" spans="1:1" x14ac:dyDescent="0.25">
      <c r="A7924" s="15"/>
    </row>
    <row r="7925" spans="1:1" x14ac:dyDescent="0.25">
      <c r="A7925" s="15"/>
    </row>
    <row r="7926" spans="1:1" x14ac:dyDescent="0.25">
      <c r="A7926" s="15"/>
    </row>
    <row r="7927" spans="1:1" x14ac:dyDescent="0.25">
      <c r="A7927" s="15"/>
    </row>
    <row r="7928" spans="1:1" x14ac:dyDescent="0.25">
      <c r="A7928" s="15"/>
    </row>
    <row r="7929" spans="1:1" x14ac:dyDescent="0.25">
      <c r="A7929" s="15"/>
    </row>
    <row r="7930" spans="1:1" x14ac:dyDescent="0.25">
      <c r="A7930" s="15"/>
    </row>
    <row r="7931" spans="1:1" x14ac:dyDescent="0.25">
      <c r="A7931" s="15"/>
    </row>
    <row r="7932" spans="1:1" x14ac:dyDescent="0.25">
      <c r="A7932" s="15"/>
    </row>
    <row r="7933" spans="1:1" x14ac:dyDescent="0.25">
      <c r="A7933" s="15"/>
    </row>
    <row r="7934" spans="1:1" x14ac:dyDescent="0.25">
      <c r="A7934" s="15"/>
    </row>
    <row r="7935" spans="1:1" x14ac:dyDescent="0.25">
      <c r="A7935" s="15"/>
    </row>
    <row r="7936" spans="1:1" x14ac:dyDescent="0.25">
      <c r="A7936" s="15"/>
    </row>
    <row r="7937" spans="1:1" x14ac:dyDescent="0.25">
      <c r="A7937" s="15"/>
    </row>
    <row r="7938" spans="1:1" x14ac:dyDescent="0.25">
      <c r="A7938" s="15"/>
    </row>
    <row r="7939" spans="1:1" x14ac:dyDescent="0.25">
      <c r="A7939" s="15"/>
    </row>
    <row r="7940" spans="1:1" x14ac:dyDescent="0.25">
      <c r="A7940" s="15"/>
    </row>
    <row r="7941" spans="1:1" x14ac:dyDescent="0.25">
      <c r="A7941" s="15"/>
    </row>
    <row r="7942" spans="1:1" x14ac:dyDescent="0.25">
      <c r="A7942" s="15"/>
    </row>
    <row r="7943" spans="1:1" x14ac:dyDescent="0.25">
      <c r="A7943" s="15"/>
    </row>
    <row r="7944" spans="1:1" x14ac:dyDescent="0.25">
      <c r="A7944" s="15"/>
    </row>
    <row r="7945" spans="1:1" x14ac:dyDescent="0.25">
      <c r="A7945" s="15"/>
    </row>
    <row r="7946" spans="1:1" x14ac:dyDescent="0.25">
      <c r="A7946" s="15"/>
    </row>
    <row r="7947" spans="1:1" x14ac:dyDescent="0.25">
      <c r="A7947" s="15"/>
    </row>
    <row r="7948" spans="1:1" x14ac:dyDescent="0.25">
      <c r="A7948" s="15"/>
    </row>
    <row r="7949" spans="1:1" x14ac:dyDescent="0.25">
      <c r="A7949" s="15"/>
    </row>
    <row r="7950" spans="1:1" x14ac:dyDescent="0.25">
      <c r="A7950" s="15"/>
    </row>
    <row r="7951" spans="1:1" x14ac:dyDescent="0.25">
      <c r="A7951" s="15"/>
    </row>
    <row r="7952" spans="1:1" x14ac:dyDescent="0.25">
      <c r="A7952" s="15"/>
    </row>
    <row r="7953" spans="1:1" x14ac:dyDescent="0.25">
      <c r="A7953" s="15"/>
    </row>
    <row r="7954" spans="1:1" x14ac:dyDescent="0.25">
      <c r="A7954" s="15"/>
    </row>
    <row r="7955" spans="1:1" x14ac:dyDescent="0.25">
      <c r="A7955" s="15"/>
    </row>
    <row r="7956" spans="1:1" x14ac:dyDescent="0.25">
      <c r="A7956" s="15"/>
    </row>
    <row r="7957" spans="1:1" x14ac:dyDescent="0.25">
      <c r="A7957" s="15"/>
    </row>
    <row r="7958" spans="1:1" x14ac:dyDescent="0.25">
      <c r="A7958" s="15"/>
    </row>
    <row r="7959" spans="1:1" x14ac:dyDescent="0.25">
      <c r="A7959" s="15"/>
    </row>
    <row r="7960" spans="1:1" x14ac:dyDescent="0.25">
      <c r="A7960" s="15"/>
    </row>
    <row r="7961" spans="1:1" x14ac:dyDescent="0.25">
      <c r="A7961" s="15"/>
    </row>
    <row r="7962" spans="1:1" x14ac:dyDescent="0.25">
      <c r="A7962" s="15"/>
    </row>
    <row r="7963" spans="1:1" x14ac:dyDescent="0.25">
      <c r="A7963" s="15"/>
    </row>
    <row r="7964" spans="1:1" x14ac:dyDescent="0.25">
      <c r="A7964" s="15"/>
    </row>
    <row r="7965" spans="1:1" x14ac:dyDescent="0.25">
      <c r="A7965" s="15"/>
    </row>
    <row r="7966" spans="1:1" x14ac:dyDescent="0.25">
      <c r="A7966" s="15"/>
    </row>
    <row r="7967" spans="1:1" x14ac:dyDescent="0.25">
      <c r="A7967" s="15"/>
    </row>
    <row r="7968" spans="1:1" x14ac:dyDescent="0.25">
      <c r="A7968" s="15"/>
    </row>
    <row r="7969" spans="1:1" x14ac:dyDescent="0.25">
      <c r="A7969" s="15"/>
    </row>
    <row r="7970" spans="1:1" x14ac:dyDescent="0.25">
      <c r="A7970" s="15"/>
    </row>
    <row r="7971" spans="1:1" x14ac:dyDescent="0.25">
      <c r="A7971" s="15"/>
    </row>
    <row r="7972" spans="1:1" x14ac:dyDescent="0.25">
      <c r="A7972" s="15"/>
    </row>
    <row r="7973" spans="1:1" x14ac:dyDescent="0.25">
      <c r="A7973" s="15"/>
    </row>
    <row r="7974" spans="1:1" x14ac:dyDescent="0.25">
      <c r="A7974" s="15"/>
    </row>
    <row r="7975" spans="1:1" x14ac:dyDescent="0.25">
      <c r="A7975" s="15"/>
    </row>
    <row r="7976" spans="1:1" x14ac:dyDescent="0.25">
      <c r="A7976" s="15"/>
    </row>
    <row r="7977" spans="1:1" x14ac:dyDescent="0.25">
      <c r="A7977" s="15"/>
    </row>
    <row r="7978" spans="1:1" x14ac:dyDescent="0.25">
      <c r="A7978" s="15"/>
    </row>
    <row r="7979" spans="1:1" x14ac:dyDescent="0.25">
      <c r="A7979" s="15"/>
    </row>
    <row r="7980" spans="1:1" x14ac:dyDescent="0.25">
      <c r="A7980" s="15"/>
    </row>
    <row r="7981" spans="1:1" x14ac:dyDescent="0.25">
      <c r="A7981" s="15"/>
    </row>
    <row r="7982" spans="1:1" x14ac:dyDescent="0.25">
      <c r="A7982" s="15"/>
    </row>
    <row r="7983" spans="1:1" x14ac:dyDescent="0.25">
      <c r="A7983" s="15"/>
    </row>
    <row r="7984" spans="1:1" x14ac:dyDescent="0.25">
      <c r="A7984" s="15"/>
    </row>
    <row r="7985" spans="1:1" x14ac:dyDescent="0.25">
      <c r="A7985" s="15"/>
    </row>
    <row r="7986" spans="1:1" x14ac:dyDescent="0.25">
      <c r="A7986" s="15"/>
    </row>
    <row r="7987" spans="1:1" x14ac:dyDescent="0.25">
      <c r="A7987" s="15"/>
    </row>
    <row r="7988" spans="1:1" x14ac:dyDescent="0.25">
      <c r="A7988" s="15"/>
    </row>
    <row r="7989" spans="1:1" x14ac:dyDescent="0.25">
      <c r="A7989" s="15"/>
    </row>
    <row r="7990" spans="1:1" x14ac:dyDescent="0.25">
      <c r="A7990" s="15"/>
    </row>
    <row r="7991" spans="1:1" x14ac:dyDescent="0.25">
      <c r="A7991" s="15"/>
    </row>
    <row r="7992" spans="1:1" x14ac:dyDescent="0.25">
      <c r="A7992" s="15"/>
    </row>
    <row r="7993" spans="1:1" x14ac:dyDescent="0.25">
      <c r="A7993" s="15"/>
    </row>
    <row r="7994" spans="1:1" x14ac:dyDescent="0.25">
      <c r="A7994" s="15"/>
    </row>
    <row r="7995" spans="1:1" x14ac:dyDescent="0.25">
      <c r="A7995" s="15"/>
    </row>
    <row r="7996" spans="1:1" x14ac:dyDescent="0.25">
      <c r="A7996" s="15"/>
    </row>
    <row r="7997" spans="1:1" x14ac:dyDescent="0.25">
      <c r="A7997" s="15"/>
    </row>
    <row r="7998" spans="1:1" x14ac:dyDescent="0.25">
      <c r="A7998" s="15"/>
    </row>
    <row r="7999" spans="1:1" x14ac:dyDescent="0.25">
      <c r="A7999" s="15"/>
    </row>
    <row r="8000" spans="1:1" x14ac:dyDescent="0.25">
      <c r="A8000" s="15"/>
    </row>
    <row r="8001" spans="1:1" x14ac:dyDescent="0.25">
      <c r="A8001" s="15"/>
    </row>
    <row r="8002" spans="1:1" x14ac:dyDescent="0.25">
      <c r="A8002" s="15"/>
    </row>
    <row r="8003" spans="1:1" x14ac:dyDescent="0.25">
      <c r="A8003" s="15"/>
    </row>
    <row r="8004" spans="1:1" x14ac:dyDescent="0.25">
      <c r="A8004" s="15"/>
    </row>
    <row r="8005" spans="1:1" x14ac:dyDescent="0.25">
      <c r="A8005" s="15"/>
    </row>
    <row r="8006" spans="1:1" x14ac:dyDescent="0.25">
      <c r="A8006" s="15"/>
    </row>
    <row r="8007" spans="1:1" x14ac:dyDescent="0.25">
      <c r="A8007" s="15"/>
    </row>
    <row r="8008" spans="1:1" x14ac:dyDescent="0.25">
      <c r="A8008" s="15"/>
    </row>
    <row r="8009" spans="1:1" x14ac:dyDescent="0.25">
      <c r="A8009" s="15"/>
    </row>
    <row r="8010" spans="1:1" x14ac:dyDescent="0.25">
      <c r="A8010" s="15"/>
    </row>
    <row r="8011" spans="1:1" x14ac:dyDescent="0.25">
      <c r="A8011" s="15"/>
    </row>
    <row r="8012" spans="1:1" x14ac:dyDescent="0.25">
      <c r="A8012" s="15"/>
    </row>
    <row r="8013" spans="1:1" x14ac:dyDescent="0.25">
      <c r="A8013" s="15"/>
    </row>
    <row r="8014" spans="1:1" x14ac:dyDescent="0.25">
      <c r="A8014" s="15"/>
    </row>
    <row r="8015" spans="1:1" x14ac:dyDescent="0.25">
      <c r="A8015" s="15"/>
    </row>
    <row r="8016" spans="1:1" x14ac:dyDescent="0.25">
      <c r="A8016" s="15"/>
    </row>
    <row r="8017" spans="1:1" x14ac:dyDescent="0.25">
      <c r="A8017" s="15"/>
    </row>
    <row r="8018" spans="1:1" x14ac:dyDescent="0.25">
      <c r="A8018" s="15"/>
    </row>
    <row r="8019" spans="1:1" x14ac:dyDescent="0.25">
      <c r="A8019" s="15"/>
    </row>
    <row r="8020" spans="1:1" x14ac:dyDescent="0.25">
      <c r="A8020" s="15"/>
    </row>
    <row r="8021" spans="1:1" x14ac:dyDescent="0.25">
      <c r="A8021" s="15"/>
    </row>
    <row r="8022" spans="1:1" x14ac:dyDescent="0.25">
      <c r="A8022" s="15"/>
    </row>
    <row r="8023" spans="1:1" x14ac:dyDescent="0.25">
      <c r="A8023" s="15"/>
    </row>
    <row r="8024" spans="1:1" x14ac:dyDescent="0.25">
      <c r="A8024" s="15"/>
    </row>
    <row r="8025" spans="1:1" x14ac:dyDescent="0.25">
      <c r="A8025" s="15"/>
    </row>
    <row r="8026" spans="1:1" x14ac:dyDescent="0.25">
      <c r="A8026" s="15"/>
    </row>
    <row r="8027" spans="1:1" x14ac:dyDescent="0.25">
      <c r="A8027" s="15"/>
    </row>
    <row r="8028" spans="1:1" x14ac:dyDescent="0.25">
      <c r="A8028" s="15"/>
    </row>
    <row r="8029" spans="1:1" x14ac:dyDescent="0.25">
      <c r="A8029" s="15"/>
    </row>
    <row r="8030" spans="1:1" x14ac:dyDescent="0.25">
      <c r="A8030" s="15"/>
    </row>
    <row r="8031" spans="1:1" x14ac:dyDescent="0.25">
      <c r="A8031" s="15"/>
    </row>
    <row r="8032" spans="1:1" x14ac:dyDescent="0.25">
      <c r="A8032" s="15"/>
    </row>
    <row r="8033" spans="1:1" x14ac:dyDescent="0.25">
      <c r="A8033" s="15"/>
    </row>
    <row r="8034" spans="1:1" x14ac:dyDescent="0.25">
      <c r="A8034" s="15"/>
    </row>
    <row r="8035" spans="1:1" x14ac:dyDescent="0.25">
      <c r="A8035" s="15"/>
    </row>
    <row r="8036" spans="1:1" x14ac:dyDescent="0.25">
      <c r="A8036" s="15"/>
    </row>
    <row r="8037" spans="1:1" x14ac:dyDescent="0.25">
      <c r="A8037" s="15"/>
    </row>
    <row r="8038" spans="1:1" x14ac:dyDescent="0.25">
      <c r="A8038" s="15"/>
    </row>
    <row r="8039" spans="1:1" x14ac:dyDescent="0.25">
      <c r="A8039" s="15"/>
    </row>
    <row r="8040" spans="1:1" x14ac:dyDescent="0.25">
      <c r="A8040" s="15"/>
    </row>
    <row r="8041" spans="1:1" x14ac:dyDescent="0.25">
      <c r="A8041" s="15"/>
    </row>
    <row r="8042" spans="1:1" x14ac:dyDescent="0.25">
      <c r="A8042" s="15"/>
    </row>
    <row r="8043" spans="1:1" x14ac:dyDescent="0.25">
      <c r="A8043" s="15"/>
    </row>
    <row r="8044" spans="1:1" x14ac:dyDescent="0.25">
      <c r="A8044" s="15"/>
    </row>
    <row r="8045" spans="1:1" x14ac:dyDescent="0.25">
      <c r="A8045" s="15"/>
    </row>
    <row r="8046" spans="1:1" x14ac:dyDescent="0.25">
      <c r="A8046" s="15"/>
    </row>
    <row r="8047" spans="1:1" x14ac:dyDescent="0.25">
      <c r="A8047" s="15"/>
    </row>
    <row r="8048" spans="1:1" x14ac:dyDescent="0.25">
      <c r="A8048" s="15"/>
    </row>
    <row r="8049" spans="1:1" x14ac:dyDescent="0.25">
      <c r="A8049" s="15"/>
    </row>
    <row r="8050" spans="1:1" x14ac:dyDescent="0.25">
      <c r="A8050" s="15"/>
    </row>
    <row r="8051" spans="1:1" x14ac:dyDescent="0.25">
      <c r="A8051" s="15"/>
    </row>
    <row r="8052" spans="1:1" x14ac:dyDescent="0.25">
      <c r="A8052" s="15"/>
    </row>
    <row r="8053" spans="1:1" x14ac:dyDescent="0.25">
      <c r="A8053" s="15"/>
    </row>
    <row r="8054" spans="1:1" x14ac:dyDescent="0.25">
      <c r="A8054" s="15"/>
    </row>
    <row r="8055" spans="1:1" x14ac:dyDescent="0.25">
      <c r="A8055" s="15"/>
    </row>
    <row r="8056" spans="1:1" x14ac:dyDescent="0.25">
      <c r="A8056" s="15"/>
    </row>
    <row r="8057" spans="1:1" x14ac:dyDescent="0.25">
      <c r="A8057" s="15"/>
    </row>
    <row r="8058" spans="1:1" x14ac:dyDescent="0.25">
      <c r="A8058" s="15"/>
    </row>
    <row r="8059" spans="1:1" x14ac:dyDescent="0.25">
      <c r="A8059" s="15"/>
    </row>
    <row r="8060" spans="1:1" x14ac:dyDescent="0.25">
      <c r="A8060" s="15"/>
    </row>
    <row r="8061" spans="1:1" x14ac:dyDescent="0.25">
      <c r="A8061" s="15"/>
    </row>
    <row r="8062" spans="1:1" x14ac:dyDescent="0.25">
      <c r="A8062" s="15"/>
    </row>
    <row r="8063" spans="1:1" x14ac:dyDescent="0.25">
      <c r="A8063" s="15"/>
    </row>
    <row r="8064" spans="1:1" x14ac:dyDescent="0.25">
      <c r="A8064" s="15"/>
    </row>
    <row r="8065" spans="1:1" x14ac:dyDescent="0.25">
      <c r="A8065" s="15"/>
    </row>
    <row r="8066" spans="1:1" x14ac:dyDescent="0.25">
      <c r="A8066" s="15"/>
    </row>
    <row r="8067" spans="1:1" x14ac:dyDescent="0.25">
      <c r="A8067" s="15"/>
    </row>
    <row r="8068" spans="1:1" x14ac:dyDescent="0.25">
      <c r="A8068" s="15"/>
    </row>
    <row r="8069" spans="1:1" x14ac:dyDescent="0.25">
      <c r="A8069" s="15"/>
    </row>
    <row r="8070" spans="1:1" x14ac:dyDescent="0.25">
      <c r="A8070" s="15"/>
    </row>
    <row r="8071" spans="1:1" x14ac:dyDescent="0.25">
      <c r="A8071" s="15"/>
    </row>
    <row r="8072" spans="1:1" x14ac:dyDescent="0.25">
      <c r="A8072" s="15"/>
    </row>
    <row r="8073" spans="1:1" x14ac:dyDescent="0.25">
      <c r="A8073" s="15"/>
    </row>
    <row r="8074" spans="1:1" x14ac:dyDescent="0.25">
      <c r="A8074" s="15"/>
    </row>
    <row r="8075" spans="1:1" x14ac:dyDescent="0.25">
      <c r="A8075" s="15"/>
    </row>
    <row r="8076" spans="1:1" x14ac:dyDescent="0.25">
      <c r="A8076" s="15"/>
    </row>
    <row r="8077" spans="1:1" x14ac:dyDescent="0.25">
      <c r="A8077" s="15"/>
    </row>
    <row r="8078" spans="1:1" x14ac:dyDescent="0.25">
      <c r="A8078" s="15"/>
    </row>
    <row r="8079" spans="1:1" x14ac:dyDescent="0.25">
      <c r="A8079" s="15"/>
    </row>
    <row r="8080" spans="1:1" x14ac:dyDescent="0.25">
      <c r="A8080" s="15"/>
    </row>
    <row r="8081" spans="1:1" x14ac:dyDescent="0.25">
      <c r="A8081" s="15"/>
    </row>
    <row r="8082" spans="1:1" x14ac:dyDescent="0.25">
      <c r="A8082" s="15"/>
    </row>
    <row r="8083" spans="1:1" x14ac:dyDescent="0.25">
      <c r="A8083" s="15"/>
    </row>
    <row r="8084" spans="1:1" x14ac:dyDescent="0.25">
      <c r="A8084" s="15"/>
    </row>
    <row r="8085" spans="1:1" x14ac:dyDescent="0.25">
      <c r="A8085" s="15"/>
    </row>
    <row r="8086" spans="1:1" x14ac:dyDescent="0.25">
      <c r="A8086" s="15"/>
    </row>
    <row r="8087" spans="1:1" x14ac:dyDescent="0.25">
      <c r="A8087" s="15"/>
    </row>
    <row r="8088" spans="1:1" x14ac:dyDescent="0.25">
      <c r="A8088" s="15"/>
    </row>
    <row r="8089" spans="1:1" x14ac:dyDescent="0.25">
      <c r="A8089" s="15"/>
    </row>
    <row r="8090" spans="1:1" x14ac:dyDescent="0.25">
      <c r="A8090" s="15"/>
    </row>
    <row r="8091" spans="1:1" x14ac:dyDescent="0.25">
      <c r="A8091" s="15"/>
    </row>
    <row r="8092" spans="1:1" x14ac:dyDescent="0.25">
      <c r="A8092" s="15"/>
    </row>
    <row r="8093" spans="1:1" x14ac:dyDescent="0.25">
      <c r="A8093" s="15"/>
    </row>
    <row r="8094" spans="1:1" x14ac:dyDescent="0.25">
      <c r="A8094" s="15"/>
    </row>
    <row r="8095" spans="1:1" x14ac:dyDescent="0.25">
      <c r="A8095" s="15"/>
    </row>
    <row r="8096" spans="1:1" x14ac:dyDescent="0.25">
      <c r="A8096" s="15"/>
    </row>
    <row r="8097" spans="1:1" x14ac:dyDescent="0.25">
      <c r="A8097" s="15"/>
    </row>
    <row r="8098" spans="1:1" x14ac:dyDescent="0.25">
      <c r="A8098" s="15"/>
    </row>
    <row r="8099" spans="1:1" x14ac:dyDescent="0.25">
      <c r="A8099" s="15"/>
    </row>
    <row r="8100" spans="1:1" x14ac:dyDescent="0.25">
      <c r="A8100" s="15"/>
    </row>
    <row r="8101" spans="1:1" x14ac:dyDescent="0.25">
      <c r="A8101" s="15"/>
    </row>
    <row r="8102" spans="1:1" x14ac:dyDescent="0.25">
      <c r="A8102" s="15"/>
    </row>
    <row r="8103" spans="1:1" x14ac:dyDescent="0.25">
      <c r="A8103" s="15"/>
    </row>
    <row r="8104" spans="1:1" x14ac:dyDescent="0.25">
      <c r="A8104" s="15"/>
    </row>
    <row r="8105" spans="1:1" x14ac:dyDescent="0.25">
      <c r="A8105" s="15"/>
    </row>
    <row r="8106" spans="1:1" x14ac:dyDescent="0.25">
      <c r="A8106" s="15"/>
    </row>
    <row r="8107" spans="1:1" x14ac:dyDescent="0.25">
      <c r="A8107" s="15"/>
    </row>
    <row r="8108" spans="1:1" x14ac:dyDescent="0.25">
      <c r="A8108" s="15"/>
    </row>
    <row r="8109" spans="1:1" x14ac:dyDescent="0.25">
      <c r="A8109" s="15"/>
    </row>
    <row r="8110" spans="1:1" x14ac:dyDescent="0.25">
      <c r="A8110" s="15"/>
    </row>
    <row r="8111" spans="1:1" x14ac:dyDescent="0.25">
      <c r="A8111" s="15"/>
    </row>
    <row r="8112" spans="1:1" x14ac:dyDescent="0.25">
      <c r="A8112" s="15"/>
    </row>
    <row r="8113" spans="1:1" x14ac:dyDescent="0.25">
      <c r="A8113" s="15"/>
    </row>
    <row r="8114" spans="1:1" x14ac:dyDescent="0.25">
      <c r="A8114" s="15"/>
    </row>
    <row r="8115" spans="1:1" x14ac:dyDescent="0.25">
      <c r="A8115" s="15"/>
    </row>
    <row r="8116" spans="1:1" x14ac:dyDescent="0.25">
      <c r="A8116" s="15"/>
    </row>
    <row r="8117" spans="1:1" x14ac:dyDescent="0.25">
      <c r="A8117" s="15"/>
    </row>
    <row r="8118" spans="1:1" x14ac:dyDescent="0.25">
      <c r="A8118" s="15"/>
    </row>
    <row r="8119" spans="1:1" x14ac:dyDescent="0.25">
      <c r="A8119" s="15"/>
    </row>
    <row r="8120" spans="1:1" x14ac:dyDescent="0.25">
      <c r="A8120" s="15"/>
    </row>
    <row r="8121" spans="1:1" x14ac:dyDescent="0.25">
      <c r="A8121" s="15"/>
    </row>
    <row r="8122" spans="1:1" x14ac:dyDescent="0.25">
      <c r="A8122" s="15"/>
    </row>
    <row r="8123" spans="1:1" x14ac:dyDescent="0.25">
      <c r="A8123" s="15"/>
    </row>
    <row r="8124" spans="1:1" x14ac:dyDescent="0.25">
      <c r="A8124" s="15"/>
    </row>
    <row r="8125" spans="1:1" x14ac:dyDescent="0.25">
      <c r="A8125" s="15"/>
    </row>
    <row r="8126" spans="1:1" x14ac:dyDescent="0.25">
      <c r="A8126" s="15"/>
    </row>
    <row r="8127" spans="1:1" x14ac:dyDescent="0.25">
      <c r="A8127" s="15"/>
    </row>
    <row r="8128" spans="1:1" x14ac:dyDescent="0.25">
      <c r="A8128" s="15"/>
    </row>
    <row r="8129" spans="1:1" x14ac:dyDescent="0.25">
      <c r="A8129" s="15"/>
    </row>
    <row r="8130" spans="1:1" x14ac:dyDescent="0.25">
      <c r="A8130" s="15"/>
    </row>
    <row r="8131" spans="1:1" x14ac:dyDescent="0.25">
      <c r="A8131" s="15"/>
    </row>
    <row r="8132" spans="1:1" x14ac:dyDescent="0.25">
      <c r="A8132" s="15"/>
    </row>
    <row r="8133" spans="1:1" x14ac:dyDescent="0.25">
      <c r="A8133" s="15"/>
    </row>
    <row r="8134" spans="1:1" x14ac:dyDescent="0.25">
      <c r="A8134" s="15"/>
    </row>
    <row r="8135" spans="1:1" x14ac:dyDescent="0.25">
      <c r="A8135" s="15"/>
    </row>
    <row r="8136" spans="1:1" x14ac:dyDescent="0.25">
      <c r="A8136" s="15"/>
    </row>
    <row r="8137" spans="1:1" x14ac:dyDescent="0.25">
      <c r="A8137" s="15"/>
    </row>
    <row r="8138" spans="1:1" x14ac:dyDescent="0.25">
      <c r="A8138" s="15"/>
    </row>
    <row r="8139" spans="1:1" x14ac:dyDescent="0.25">
      <c r="A8139" s="15"/>
    </row>
    <row r="8140" spans="1:1" x14ac:dyDescent="0.25">
      <c r="A8140" s="15"/>
    </row>
    <row r="8141" spans="1:1" x14ac:dyDescent="0.25">
      <c r="A8141" s="15"/>
    </row>
    <row r="8142" spans="1:1" x14ac:dyDescent="0.25">
      <c r="A8142" s="15"/>
    </row>
    <row r="8143" spans="1:1" x14ac:dyDescent="0.25">
      <c r="A8143" s="15"/>
    </row>
    <row r="8144" spans="1:1" x14ac:dyDescent="0.25">
      <c r="A8144" s="15"/>
    </row>
    <row r="8145" spans="1:1" x14ac:dyDescent="0.25">
      <c r="A8145" s="15"/>
    </row>
    <row r="8146" spans="1:1" x14ac:dyDescent="0.25">
      <c r="A8146" s="15"/>
    </row>
    <row r="8147" spans="1:1" x14ac:dyDescent="0.25">
      <c r="A8147" s="15"/>
    </row>
    <row r="8148" spans="1:1" x14ac:dyDescent="0.25">
      <c r="A8148" s="15"/>
    </row>
    <row r="8149" spans="1:1" x14ac:dyDescent="0.25">
      <c r="A8149" s="15"/>
    </row>
    <row r="8150" spans="1:1" x14ac:dyDescent="0.25">
      <c r="A8150" s="15"/>
    </row>
    <row r="8151" spans="1:1" x14ac:dyDescent="0.25">
      <c r="A8151" s="15"/>
    </row>
    <row r="8152" spans="1:1" x14ac:dyDescent="0.25">
      <c r="A8152" s="15"/>
    </row>
    <row r="8153" spans="1:1" x14ac:dyDescent="0.25">
      <c r="A8153" s="15"/>
    </row>
    <row r="8154" spans="1:1" x14ac:dyDescent="0.25">
      <c r="A8154" s="15"/>
    </row>
    <row r="8155" spans="1:1" x14ac:dyDescent="0.25">
      <c r="A8155" s="15"/>
    </row>
    <row r="8156" spans="1:1" x14ac:dyDescent="0.25">
      <c r="A8156" s="15"/>
    </row>
    <row r="8157" spans="1:1" x14ac:dyDescent="0.25">
      <c r="A8157" s="15"/>
    </row>
    <row r="8158" spans="1:1" x14ac:dyDescent="0.25">
      <c r="A8158" s="15"/>
    </row>
    <row r="8159" spans="1:1" x14ac:dyDescent="0.25">
      <c r="A8159" s="15"/>
    </row>
    <row r="8160" spans="1:1" x14ac:dyDescent="0.25">
      <c r="A8160" s="15"/>
    </row>
    <row r="8161" spans="1:1" x14ac:dyDescent="0.25">
      <c r="A8161" s="15"/>
    </row>
    <row r="8162" spans="1:1" x14ac:dyDescent="0.25">
      <c r="A8162" s="15"/>
    </row>
    <row r="8163" spans="1:1" x14ac:dyDescent="0.25">
      <c r="A8163" s="15"/>
    </row>
    <row r="8164" spans="1:1" x14ac:dyDescent="0.25">
      <c r="A8164" s="15"/>
    </row>
    <row r="8165" spans="1:1" x14ac:dyDescent="0.25">
      <c r="A8165" s="15"/>
    </row>
    <row r="8166" spans="1:1" x14ac:dyDescent="0.25">
      <c r="A8166" s="15"/>
    </row>
    <row r="8167" spans="1:1" x14ac:dyDescent="0.25">
      <c r="A8167" s="15"/>
    </row>
    <row r="8168" spans="1:1" x14ac:dyDescent="0.25">
      <c r="A8168" s="15"/>
    </row>
    <row r="8169" spans="1:1" x14ac:dyDescent="0.25">
      <c r="A8169" s="15"/>
    </row>
    <row r="8170" spans="1:1" x14ac:dyDescent="0.25">
      <c r="A8170" s="15"/>
    </row>
    <row r="8171" spans="1:1" x14ac:dyDescent="0.25">
      <c r="A8171" s="15"/>
    </row>
    <row r="8172" spans="1:1" x14ac:dyDescent="0.25">
      <c r="A8172" s="15"/>
    </row>
    <row r="8173" spans="1:1" x14ac:dyDescent="0.25">
      <c r="A8173" s="15"/>
    </row>
    <row r="8174" spans="1:1" x14ac:dyDescent="0.25">
      <c r="A8174" s="15"/>
    </row>
    <row r="8175" spans="1:1" x14ac:dyDescent="0.25">
      <c r="A8175" s="15"/>
    </row>
    <row r="8176" spans="1:1" x14ac:dyDescent="0.25">
      <c r="A8176" s="15"/>
    </row>
    <row r="8177" spans="1:1" x14ac:dyDescent="0.25">
      <c r="A8177" s="15"/>
    </row>
    <row r="8178" spans="1:1" x14ac:dyDescent="0.25">
      <c r="A8178" s="15"/>
    </row>
    <row r="8179" spans="1:1" x14ac:dyDescent="0.25">
      <c r="A8179" s="15"/>
    </row>
    <row r="8180" spans="1:1" x14ac:dyDescent="0.25">
      <c r="A8180" s="15"/>
    </row>
    <row r="8181" spans="1:1" x14ac:dyDescent="0.25">
      <c r="A8181" s="15"/>
    </row>
    <row r="8182" spans="1:1" x14ac:dyDescent="0.25">
      <c r="A8182" s="15"/>
    </row>
    <row r="8183" spans="1:1" x14ac:dyDescent="0.25">
      <c r="A8183" s="15"/>
    </row>
    <row r="8184" spans="1:1" x14ac:dyDescent="0.25">
      <c r="A8184" s="15"/>
    </row>
    <row r="8185" spans="1:1" x14ac:dyDescent="0.25">
      <c r="A8185" s="15"/>
    </row>
    <row r="8186" spans="1:1" x14ac:dyDescent="0.25">
      <c r="A8186" s="15"/>
    </row>
    <row r="8187" spans="1:1" x14ac:dyDescent="0.25">
      <c r="A8187" s="15"/>
    </row>
    <row r="8188" spans="1:1" x14ac:dyDescent="0.25">
      <c r="A8188" s="15"/>
    </row>
    <row r="8189" spans="1:1" x14ac:dyDescent="0.25">
      <c r="A8189" s="15"/>
    </row>
    <row r="8190" spans="1:1" x14ac:dyDescent="0.25">
      <c r="A8190" s="15"/>
    </row>
    <row r="8191" spans="1:1" x14ac:dyDescent="0.25">
      <c r="A8191" s="15"/>
    </row>
    <row r="8192" spans="1:1" x14ac:dyDescent="0.25">
      <c r="A8192" s="15"/>
    </row>
    <row r="8193" spans="1:1" x14ac:dyDescent="0.25">
      <c r="A8193" s="15"/>
    </row>
    <row r="8194" spans="1:1" x14ac:dyDescent="0.25">
      <c r="A8194" s="15"/>
    </row>
    <row r="8195" spans="1:1" x14ac:dyDescent="0.25">
      <c r="A8195" s="15"/>
    </row>
    <row r="8196" spans="1:1" x14ac:dyDescent="0.25">
      <c r="A8196" s="15"/>
    </row>
    <row r="8197" spans="1:1" x14ac:dyDescent="0.25">
      <c r="A8197" s="15"/>
    </row>
    <row r="8198" spans="1:1" x14ac:dyDescent="0.25">
      <c r="A8198" s="15"/>
    </row>
    <row r="8199" spans="1:1" x14ac:dyDescent="0.25">
      <c r="A8199" s="15"/>
    </row>
    <row r="8200" spans="1:1" x14ac:dyDescent="0.25">
      <c r="A8200" s="15"/>
    </row>
    <row r="8201" spans="1:1" x14ac:dyDescent="0.25">
      <c r="A8201" s="15"/>
    </row>
    <row r="8202" spans="1:1" x14ac:dyDescent="0.25">
      <c r="A8202" s="15"/>
    </row>
    <row r="8203" spans="1:1" x14ac:dyDescent="0.25">
      <c r="A8203" s="15"/>
    </row>
    <row r="8204" spans="1:1" x14ac:dyDescent="0.25">
      <c r="A8204" s="15"/>
    </row>
    <row r="8205" spans="1:1" x14ac:dyDescent="0.25">
      <c r="A8205" s="15"/>
    </row>
    <row r="8206" spans="1:1" x14ac:dyDescent="0.25">
      <c r="A8206" s="15"/>
    </row>
    <row r="8207" spans="1:1" x14ac:dyDescent="0.25">
      <c r="A8207" s="15"/>
    </row>
    <row r="8208" spans="1:1" x14ac:dyDescent="0.25">
      <c r="A8208" s="15"/>
    </row>
    <row r="8209" spans="1:1" x14ac:dyDescent="0.25">
      <c r="A8209" s="15"/>
    </row>
    <row r="8210" spans="1:1" x14ac:dyDescent="0.25">
      <c r="A8210" s="15"/>
    </row>
    <row r="8211" spans="1:1" x14ac:dyDescent="0.25">
      <c r="A8211" s="15"/>
    </row>
    <row r="8212" spans="1:1" x14ac:dyDescent="0.25">
      <c r="A8212" s="15"/>
    </row>
    <row r="8213" spans="1:1" x14ac:dyDescent="0.25">
      <c r="A8213" s="15"/>
    </row>
    <row r="8214" spans="1:1" x14ac:dyDescent="0.25">
      <c r="A8214" s="15"/>
    </row>
    <row r="8215" spans="1:1" x14ac:dyDescent="0.25">
      <c r="A8215" s="15"/>
    </row>
    <row r="8216" spans="1:1" x14ac:dyDescent="0.25">
      <c r="A8216" s="15"/>
    </row>
    <row r="8217" spans="1:1" x14ac:dyDescent="0.25">
      <c r="A8217" s="15"/>
    </row>
    <row r="8218" spans="1:1" x14ac:dyDescent="0.25">
      <c r="A8218" s="15"/>
    </row>
    <row r="8219" spans="1:1" x14ac:dyDescent="0.25">
      <c r="A8219" s="15"/>
    </row>
    <row r="8220" spans="1:1" x14ac:dyDescent="0.25">
      <c r="A8220" s="15"/>
    </row>
    <row r="8221" spans="1:1" x14ac:dyDescent="0.25">
      <c r="A8221" s="15"/>
    </row>
    <row r="8222" spans="1:1" x14ac:dyDescent="0.25">
      <c r="A8222" s="15"/>
    </row>
    <row r="8223" spans="1:1" x14ac:dyDescent="0.25">
      <c r="A8223" s="15"/>
    </row>
    <row r="8224" spans="1:1" x14ac:dyDescent="0.25">
      <c r="A8224" s="15"/>
    </row>
    <row r="8225" spans="1:1" x14ac:dyDescent="0.25">
      <c r="A8225" s="15"/>
    </row>
    <row r="8226" spans="1:1" x14ac:dyDescent="0.25">
      <c r="A8226" s="15"/>
    </row>
    <row r="8227" spans="1:1" x14ac:dyDescent="0.25">
      <c r="A8227" s="15"/>
    </row>
    <row r="8228" spans="1:1" x14ac:dyDescent="0.25">
      <c r="A8228" s="15"/>
    </row>
    <row r="8229" spans="1:1" x14ac:dyDescent="0.25">
      <c r="A8229" s="15"/>
    </row>
    <row r="8230" spans="1:1" x14ac:dyDescent="0.25">
      <c r="A8230" s="15"/>
    </row>
    <row r="8231" spans="1:1" x14ac:dyDescent="0.25">
      <c r="A8231" s="15"/>
    </row>
    <row r="8232" spans="1:1" x14ac:dyDescent="0.25">
      <c r="A8232" s="15"/>
    </row>
    <row r="8233" spans="1:1" x14ac:dyDescent="0.25">
      <c r="A8233" s="15"/>
    </row>
    <row r="8234" spans="1:1" x14ac:dyDescent="0.25">
      <c r="A8234" s="15"/>
    </row>
    <row r="8235" spans="1:1" x14ac:dyDescent="0.25">
      <c r="A8235" s="15"/>
    </row>
    <row r="8236" spans="1:1" x14ac:dyDescent="0.25">
      <c r="A8236" s="15"/>
    </row>
    <row r="8237" spans="1:1" x14ac:dyDescent="0.25">
      <c r="A8237" s="15"/>
    </row>
    <row r="8238" spans="1:1" x14ac:dyDescent="0.25">
      <c r="A8238" s="15"/>
    </row>
    <row r="8239" spans="1:1" x14ac:dyDescent="0.25">
      <c r="A8239" s="15"/>
    </row>
    <row r="8240" spans="1:1" x14ac:dyDescent="0.25">
      <c r="A8240" s="15"/>
    </row>
    <row r="8241" spans="1:1" x14ac:dyDescent="0.25">
      <c r="A8241" s="15"/>
    </row>
    <row r="8242" spans="1:1" x14ac:dyDescent="0.25">
      <c r="A8242" s="15"/>
    </row>
    <row r="8243" spans="1:1" x14ac:dyDescent="0.25">
      <c r="A8243" s="15"/>
    </row>
    <row r="8244" spans="1:1" x14ac:dyDescent="0.25">
      <c r="A8244" s="15"/>
    </row>
    <row r="8245" spans="1:1" x14ac:dyDescent="0.25">
      <c r="A8245" s="15"/>
    </row>
    <row r="8246" spans="1:1" x14ac:dyDescent="0.25">
      <c r="A8246" s="15"/>
    </row>
    <row r="8247" spans="1:1" x14ac:dyDescent="0.25">
      <c r="A8247" s="15"/>
    </row>
    <row r="8248" spans="1:1" x14ac:dyDescent="0.25">
      <c r="A8248" s="15"/>
    </row>
    <row r="8249" spans="1:1" x14ac:dyDescent="0.25">
      <c r="A8249" s="15"/>
    </row>
    <row r="8250" spans="1:1" x14ac:dyDescent="0.25">
      <c r="A8250" s="15"/>
    </row>
    <row r="8251" spans="1:1" x14ac:dyDescent="0.25">
      <c r="A8251" s="15"/>
    </row>
    <row r="8252" spans="1:1" x14ac:dyDescent="0.25">
      <c r="A8252" s="15"/>
    </row>
    <row r="8253" spans="1:1" x14ac:dyDescent="0.25">
      <c r="A8253" s="15"/>
    </row>
    <row r="8254" spans="1:1" x14ac:dyDescent="0.25">
      <c r="A8254" s="15"/>
    </row>
    <row r="8255" spans="1:1" x14ac:dyDescent="0.25">
      <c r="A8255" s="15"/>
    </row>
    <row r="8256" spans="1:1" x14ac:dyDescent="0.25">
      <c r="A8256" s="15"/>
    </row>
    <row r="8257" spans="1:1" x14ac:dyDescent="0.25">
      <c r="A8257" s="15"/>
    </row>
    <row r="8258" spans="1:1" x14ac:dyDescent="0.25">
      <c r="A8258" s="15"/>
    </row>
    <row r="8259" spans="1:1" x14ac:dyDescent="0.25">
      <c r="A8259" s="15"/>
    </row>
    <row r="8260" spans="1:1" x14ac:dyDescent="0.25">
      <c r="A8260" s="15"/>
    </row>
    <row r="8261" spans="1:1" x14ac:dyDescent="0.25">
      <c r="A8261" s="15"/>
    </row>
    <row r="8262" spans="1:1" x14ac:dyDescent="0.25">
      <c r="A8262" s="15"/>
    </row>
    <row r="8263" spans="1:1" x14ac:dyDescent="0.25">
      <c r="A8263" s="15"/>
    </row>
    <row r="8264" spans="1:1" x14ac:dyDescent="0.25">
      <c r="A8264" s="15"/>
    </row>
    <row r="8265" spans="1:1" x14ac:dyDescent="0.25">
      <c r="A8265" s="15"/>
    </row>
    <row r="8266" spans="1:1" x14ac:dyDescent="0.25">
      <c r="A8266" s="15"/>
    </row>
    <row r="8267" spans="1:1" x14ac:dyDescent="0.25">
      <c r="A8267" s="15"/>
    </row>
    <row r="8268" spans="1:1" x14ac:dyDescent="0.25">
      <c r="A8268" s="15"/>
    </row>
    <row r="8269" spans="1:1" x14ac:dyDescent="0.25">
      <c r="A8269" s="15"/>
    </row>
    <row r="8270" spans="1:1" x14ac:dyDescent="0.25">
      <c r="A8270" s="15"/>
    </row>
    <row r="8271" spans="1:1" x14ac:dyDescent="0.25">
      <c r="A8271" s="15"/>
    </row>
    <row r="8272" spans="1:1" x14ac:dyDescent="0.25">
      <c r="A8272" s="15"/>
    </row>
    <row r="8273" spans="1:1" x14ac:dyDescent="0.25">
      <c r="A8273" s="15"/>
    </row>
    <row r="8274" spans="1:1" x14ac:dyDescent="0.25">
      <c r="A8274" s="15"/>
    </row>
    <row r="8275" spans="1:1" x14ac:dyDescent="0.25">
      <c r="A8275" s="15"/>
    </row>
    <row r="8276" spans="1:1" x14ac:dyDescent="0.25">
      <c r="A8276" s="15"/>
    </row>
    <row r="8277" spans="1:1" x14ac:dyDescent="0.25">
      <c r="A8277" s="15"/>
    </row>
    <row r="8278" spans="1:1" x14ac:dyDescent="0.25">
      <c r="A8278" s="15"/>
    </row>
    <row r="8279" spans="1:1" x14ac:dyDescent="0.25">
      <c r="A8279" s="15"/>
    </row>
    <row r="8280" spans="1:1" x14ac:dyDescent="0.25">
      <c r="A8280" s="15"/>
    </row>
    <row r="8281" spans="1:1" x14ac:dyDescent="0.25">
      <c r="A8281" s="15"/>
    </row>
    <row r="8282" spans="1:1" x14ac:dyDescent="0.25">
      <c r="A8282" s="15"/>
    </row>
    <row r="8283" spans="1:1" x14ac:dyDescent="0.25">
      <c r="A8283" s="15"/>
    </row>
    <row r="8284" spans="1:1" x14ac:dyDescent="0.25">
      <c r="A8284" s="15"/>
    </row>
    <row r="8285" spans="1:1" x14ac:dyDescent="0.25">
      <c r="A8285" s="15"/>
    </row>
    <row r="8286" spans="1:1" x14ac:dyDescent="0.25">
      <c r="A8286" s="15"/>
    </row>
    <row r="8287" spans="1:1" x14ac:dyDescent="0.25">
      <c r="A8287" s="15"/>
    </row>
    <row r="8288" spans="1:1" x14ac:dyDescent="0.25">
      <c r="A8288" s="15"/>
    </row>
    <row r="8289" spans="1:1" x14ac:dyDescent="0.25">
      <c r="A8289" s="15"/>
    </row>
    <row r="8290" spans="1:1" x14ac:dyDescent="0.25">
      <c r="A8290" s="15"/>
    </row>
    <row r="8291" spans="1:1" x14ac:dyDescent="0.25">
      <c r="A8291" s="15"/>
    </row>
    <row r="8292" spans="1:1" x14ac:dyDescent="0.25">
      <c r="A8292" s="15"/>
    </row>
    <row r="8293" spans="1:1" x14ac:dyDescent="0.25">
      <c r="A8293" s="15"/>
    </row>
    <row r="8294" spans="1:1" x14ac:dyDescent="0.25">
      <c r="A8294" s="15"/>
    </row>
    <row r="8295" spans="1:1" x14ac:dyDescent="0.25">
      <c r="A8295" s="15"/>
    </row>
    <row r="8296" spans="1:1" x14ac:dyDescent="0.25">
      <c r="A8296" s="15"/>
    </row>
    <row r="8297" spans="1:1" x14ac:dyDescent="0.25">
      <c r="A8297" s="15"/>
    </row>
    <row r="8298" spans="1:1" x14ac:dyDescent="0.25">
      <c r="A8298" s="15"/>
    </row>
    <row r="8299" spans="1:1" x14ac:dyDescent="0.25">
      <c r="A8299" s="15"/>
    </row>
    <row r="8300" spans="1:1" x14ac:dyDescent="0.25">
      <c r="A8300" s="15"/>
    </row>
    <row r="8301" spans="1:1" x14ac:dyDescent="0.25">
      <c r="A8301" s="15"/>
    </row>
    <row r="8302" spans="1:1" x14ac:dyDescent="0.25">
      <c r="A8302" s="15"/>
    </row>
    <row r="8303" spans="1:1" x14ac:dyDescent="0.25">
      <c r="A8303" s="15"/>
    </row>
    <row r="8304" spans="1:1" x14ac:dyDescent="0.25">
      <c r="A8304" s="15"/>
    </row>
    <row r="8305" spans="1:1" x14ac:dyDescent="0.25">
      <c r="A8305" s="15"/>
    </row>
    <row r="8306" spans="1:1" x14ac:dyDescent="0.25">
      <c r="A8306" s="15"/>
    </row>
    <row r="8307" spans="1:1" x14ac:dyDescent="0.25">
      <c r="A8307" s="15"/>
    </row>
    <row r="8308" spans="1:1" x14ac:dyDescent="0.25">
      <c r="A8308" s="15"/>
    </row>
    <row r="8309" spans="1:1" x14ac:dyDescent="0.25">
      <c r="A8309" s="15"/>
    </row>
    <row r="8310" spans="1:1" x14ac:dyDescent="0.25">
      <c r="A8310" s="15"/>
    </row>
    <row r="8311" spans="1:1" x14ac:dyDescent="0.25">
      <c r="A8311" s="15"/>
    </row>
    <row r="8312" spans="1:1" x14ac:dyDescent="0.25">
      <c r="A8312" s="15"/>
    </row>
    <row r="8313" spans="1:1" x14ac:dyDescent="0.25">
      <c r="A8313" s="15"/>
    </row>
    <row r="8314" spans="1:1" x14ac:dyDescent="0.25">
      <c r="A8314" s="15"/>
    </row>
    <row r="8315" spans="1:1" x14ac:dyDescent="0.25">
      <c r="A8315" s="15"/>
    </row>
    <row r="8316" spans="1:1" x14ac:dyDescent="0.25">
      <c r="A8316" s="15"/>
    </row>
    <row r="8317" spans="1:1" x14ac:dyDescent="0.25">
      <c r="A8317" s="15"/>
    </row>
    <row r="8318" spans="1:1" x14ac:dyDescent="0.25">
      <c r="A8318" s="15"/>
    </row>
    <row r="8319" spans="1:1" x14ac:dyDescent="0.25">
      <c r="A8319" s="15"/>
    </row>
    <row r="8320" spans="1:1" x14ac:dyDescent="0.25">
      <c r="A8320" s="15"/>
    </row>
    <row r="8321" spans="1:1" x14ac:dyDescent="0.25">
      <c r="A8321" s="15"/>
    </row>
    <row r="8322" spans="1:1" x14ac:dyDescent="0.25">
      <c r="A8322" s="15"/>
    </row>
    <row r="8323" spans="1:1" x14ac:dyDescent="0.25">
      <c r="A8323" s="15"/>
    </row>
    <row r="8324" spans="1:1" x14ac:dyDescent="0.25">
      <c r="A8324" s="15"/>
    </row>
    <row r="8325" spans="1:1" x14ac:dyDescent="0.25">
      <c r="A8325" s="15"/>
    </row>
    <row r="8326" spans="1:1" x14ac:dyDescent="0.25">
      <c r="A8326" s="15"/>
    </row>
    <row r="8327" spans="1:1" x14ac:dyDescent="0.25">
      <c r="A8327" s="15"/>
    </row>
    <row r="8328" spans="1:1" x14ac:dyDescent="0.25">
      <c r="A8328" s="15"/>
    </row>
    <row r="8329" spans="1:1" x14ac:dyDescent="0.25">
      <c r="A8329" s="15"/>
    </row>
    <row r="8330" spans="1:1" x14ac:dyDescent="0.25">
      <c r="A8330" s="15"/>
    </row>
    <row r="8331" spans="1:1" x14ac:dyDescent="0.25">
      <c r="A8331" s="15"/>
    </row>
    <row r="8332" spans="1:1" x14ac:dyDescent="0.25">
      <c r="A8332" s="15"/>
    </row>
    <row r="8333" spans="1:1" x14ac:dyDescent="0.25">
      <c r="A8333" s="15"/>
    </row>
    <row r="8334" spans="1:1" x14ac:dyDescent="0.25">
      <c r="A8334" s="15"/>
    </row>
    <row r="8335" spans="1:1" x14ac:dyDescent="0.25">
      <c r="A8335" s="15"/>
    </row>
    <row r="8336" spans="1:1" x14ac:dyDescent="0.25">
      <c r="A8336" s="15"/>
    </row>
    <row r="8337" spans="1:1" x14ac:dyDescent="0.25">
      <c r="A8337" s="15"/>
    </row>
    <row r="8338" spans="1:1" x14ac:dyDescent="0.25">
      <c r="A8338" s="15"/>
    </row>
    <row r="8339" spans="1:1" x14ac:dyDescent="0.25">
      <c r="A8339" s="15"/>
    </row>
    <row r="8340" spans="1:1" x14ac:dyDescent="0.25">
      <c r="A8340" s="15"/>
    </row>
    <row r="8341" spans="1:1" x14ac:dyDescent="0.25">
      <c r="A8341" s="15"/>
    </row>
    <row r="8342" spans="1:1" x14ac:dyDescent="0.25">
      <c r="A8342" s="15"/>
    </row>
    <row r="8343" spans="1:1" x14ac:dyDescent="0.25">
      <c r="A8343" s="15"/>
    </row>
    <row r="8344" spans="1:1" x14ac:dyDescent="0.25">
      <c r="A8344" s="15"/>
    </row>
    <row r="8345" spans="1:1" x14ac:dyDescent="0.25">
      <c r="A8345" s="15"/>
    </row>
    <row r="8346" spans="1:1" x14ac:dyDescent="0.25">
      <c r="A8346" s="15"/>
    </row>
    <row r="8347" spans="1:1" x14ac:dyDescent="0.25">
      <c r="A8347" s="15"/>
    </row>
    <row r="8348" spans="1:1" x14ac:dyDescent="0.25">
      <c r="A8348" s="15"/>
    </row>
    <row r="8349" spans="1:1" x14ac:dyDescent="0.25">
      <c r="A8349" s="15"/>
    </row>
    <row r="8350" spans="1:1" x14ac:dyDescent="0.25">
      <c r="A8350" s="15"/>
    </row>
    <row r="8351" spans="1:1" x14ac:dyDescent="0.25">
      <c r="A8351" s="15"/>
    </row>
    <row r="8352" spans="1:1" x14ac:dyDescent="0.25">
      <c r="A8352" s="15"/>
    </row>
    <row r="8353" spans="1:1" x14ac:dyDescent="0.25">
      <c r="A8353" s="15"/>
    </row>
    <row r="8354" spans="1:1" x14ac:dyDescent="0.25">
      <c r="A8354" s="15"/>
    </row>
    <row r="8355" spans="1:1" x14ac:dyDescent="0.25">
      <c r="A8355" s="15"/>
    </row>
    <row r="8356" spans="1:1" x14ac:dyDescent="0.25">
      <c r="A8356" s="15"/>
    </row>
    <row r="8357" spans="1:1" x14ac:dyDescent="0.25">
      <c r="A8357" s="15"/>
    </row>
    <row r="8358" spans="1:1" x14ac:dyDescent="0.25">
      <c r="A8358" s="15"/>
    </row>
    <row r="8359" spans="1:1" x14ac:dyDescent="0.25">
      <c r="A8359" s="15"/>
    </row>
    <row r="8360" spans="1:1" x14ac:dyDescent="0.25">
      <c r="A8360" s="15"/>
    </row>
    <row r="8361" spans="1:1" x14ac:dyDescent="0.25">
      <c r="A8361" s="15"/>
    </row>
    <row r="8362" spans="1:1" x14ac:dyDescent="0.25">
      <c r="A8362" s="15"/>
    </row>
    <row r="8363" spans="1:1" x14ac:dyDescent="0.25">
      <c r="A8363" s="15"/>
    </row>
    <row r="8364" spans="1:1" x14ac:dyDescent="0.25">
      <c r="A8364" s="15"/>
    </row>
    <row r="8365" spans="1:1" x14ac:dyDescent="0.25">
      <c r="A8365" s="15"/>
    </row>
    <row r="8366" spans="1:1" x14ac:dyDescent="0.25">
      <c r="A8366" s="15"/>
    </row>
    <row r="8367" spans="1:1" x14ac:dyDescent="0.25">
      <c r="A8367" s="15"/>
    </row>
    <row r="8368" spans="1:1" x14ac:dyDescent="0.25">
      <c r="A8368" s="15"/>
    </row>
    <row r="8369" spans="1:1" x14ac:dyDescent="0.25">
      <c r="A8369" s="15"/>
    </row>
    <row r="8370" spans="1:1" x14ac:dyDescent="0.25">
      <c r="A8370" s="15"/>
    </row>
    <row r="8371" spans="1:1" x14ac:dyDescent="0.25">
      <c r="A8371" s="15"/>
    </row>
    <row r="8372" spans="1:1" x14ac:dyDescent="0.25">
      <c r="A8372" s="15"/>
    </row>
    <row r="8373" spans="1:1" x14ac:dyDescent="0.25">
      <c r="A8373" s="15"/>
    </row>
    <row r="8374" spans="1:1" x14ac:dyDescent="0.25">
      <c r="A8374" s="15"/>
    </row>
    <row r="8375" spans="1:1" x14ac:dyDescent="0.25">
      <c r="A8375" s="15"/>
    </row>
    <row r="8376" spans="1:1" x14ac:dyDescent="0.25">
      <c r="A8376" s="15"/>
    </row>
    <row r="8377" spans="1:1" x14ac:dyDescent="0.25">
      <c r="A8377" s="15"/>
    </row>
    <row r="8378" spans="1:1" x14ac:dyDescent="0.25">
      <c r="A8378" s="15"/>
    </row>
    <row r="8379" spans="1:1" x14ac:dyDescent="0.25">
      <c r="A8379" s="15"/>
    </row>
    <row r="8380" spans="1:1" x14ac:dyDescent="0.25">
      <c r="A8380" s="15"/>
    </row>
    <row r="8381" spans="1:1" x14ac:dyDescent="0.25">
      <c r="A8381" s="15"/>
    </row>
    <row r="8382" spans="1:1" x14ac:dyDescent="0.25">
      <c r="A8382" s="15"/>
    </row>
    <row r="8383" spans="1:1" x14ac:dyDescent="0.25">
      <c r="A8383" s="15"/>
    </row>
    <row r="8384" spans="1:1" x14ac:dyDescent="0.25">
      <c r="A8384" s="15"/>
    </row>
    <row r="8385" spans="1:1" x14ac:dyDescent="0.25">
      <c r="A8385" s="15"/>
    </row>
    <row r="8386" spans="1:1" x14ac:dyDescent="0.25">
      <c r="A8386" s="15"/>
    </row>
    <row r="8387" spans="1:1" x14ac:dyDescent="0.25">
      <c r="A8387" s="15"/>
    </row>
    <row r="8388" spans="1:1" x14ac:dyDescent="0.25">
      <c r="A8388" s="15"/>
    </row>
    <row r="8389" spans="1:1" x14ac:dyDescent="0.25">
      <c r="A8389" s="15"/>
    </row>
    <row r="8390" spans="1:1" x14ac:dyDescent="0.25">
      <c r="A8390" s="15"/>
    </row>
    <row r="8391" spans="1:1" x14ac:dyDescent="0.25">
      <c r="A8391" s="15"/>
    </row>
    <row r="8392" spans="1:1" x14ac:dyDescent="0.25">
      <c r="A8392" s="15"/>
    </row>
    <row r="8393" spans="1:1" x14ac:dyDescent="0.25">
      <c r="A8393" s="15"/>
    </row>
    <row r="8394" spans="1:1" x14ac:dyDescent="0.25">
      <c r="A8394" s="15"/>
    </row>
    <row r="8395" spans="1:1" x14ac:dyDescent="0.25">
      <c r="A8395" s="15"/>
    </row>
    <row r="8396" spans="1:1" x14ac:dyDescent="0.25">
      <c r="A8396" s="15"/>
    </row>
    <row r="8397" spans="1:1" x14ac:dyDescent="0.25">
      <c r="A8397" s="15"/>
    </row>
    <row r="8398" spans="1:1" x14ac:dyDescent="0.25">
      <c r="A8398" s="15"/>
    </row>
    <row r="8399" spans="1:1" x14ac:dyDescent="0.25">
      <c r="A8399" s="15"/>
    </row>
    <row r="8400" spans="1:1" x14ac:dyDescent="0.25">
      <c r="A8400" s="15"/>
    </row>
    <row r="8401" spans="1:1" x14ac:dyDescent="0.25">
      <c r="A8401" s="15"/>
    </row>
    <row r="8402" spans="1:1" x14ac:dyDescent="0.25">
      <c r="A8402" s="15"/>
    </row>
    <row r="8403" spans="1:1" x14ac:dyDescent="0.25">
      <c r="A8403" s="15"/>
    </row>
    <row r="8404" spans="1:1" x14ac:dyDescent="0.25">
      <c r="A8404" s="15"/>
    </row>
    <row r="8405" spans="1:1" x14ac:dyDescent="0.25">
      <c r="A8405" s="15"/>
    </row>
    <row r="8406" spans="1:1" x14ac:dyDescent="0.25">
      <c r="A8406" s="15"/>
    </row>
    <row r="8407" spans="1:1" x14ac:dyDescent="0.25">
      <c r="A8407" s="15"/>
    </row>
    <row r="8408" spans="1:1" x14ac:dyDescent="0.25">
      <c r="A8408" s="15"/>
    </row>
    <row r="8409" spans="1:1" x14ac:dyDescent="0.25">
      <c r="A8409" s="15"/>
    </row>
    <row r="8410" spans="1:1" x14ac:dyDescent="0.25">
      <c r="A8410" s="15"/>
    </row>
    <row r="8411" spans="1:1" x14ac:dyDescent="0.25">
      <c r="A8411" s="15"/>
    </row>
    <row r="8412" spans="1:1" x14ac:dyDescent="0.25">
      <c r="A8412" s="15"/>
    </row>
    <row r="8413" spans="1:1" x14ac:dyDescent="0.25">
      <c r="A8413" s="15"/>
    </row>
    <row r="8414" spans="1:1" x14ac:dyDescent="0.25">
      <c r="A8414" s="15"/>
    </row>
    <row r="8415" spans="1:1" x14ac:dyDescent="0.25">
      <c r="A8415" s="15"/>
    </row>
    <row r="8416" spans="1:1" x14ac:dyDescent="0.25">
      <c r="A8416" s="15"/>
    </row>
    <row r="8417" spans="1:1" x14ac:dyDescent="0.25">
      <c r="A8417" s="15"/>
    </row>
    <row r="8418" spans="1:1" x14ac:dyDescent="0.25">
      <c r="A8418" s="15"/>
    </row>
    <row r="8419" spans="1:1" x14ac:dyDescent="0.25">
      <c r="A8419" s="15"/>
    </row>
    <row r="8420" spans="1:1" x14ac:dyDescent="0.25">
      <c r="A8420" s="15"/>
    </row>
    <row r="8421" spans="1:1" x14ac:dyDescent="0.25">
      <c r="A8421" s="15"/>
    </row>
    <row r="8422" spans="1:1" x14ac:dyDescent="0.25">
      <c r="A8422" s="15"/>
    </row>
    <row r="8423" spans="1:1" x14ac:dyDescent="0.25">
      <c r="A8423" s="15"/>
    </row>
    <row r="8424" spans="1:1" x14ac:dyDescent="0.25">
      <c r="A8424" s="15"/>
    </row>
    <row r="8425" spans="1:1" x14ac:dyDescent="0.25">
      <c r="A8425" s="15"/>
    </row>
    <row r="8426" spans="1:1" x14ac:dyDescent="0.25">
      <c r="A8426" s="15"/>
    </row>
    <row r="8427" spans="1:1" x14ac:dyDescent="0.25">
      <c r="A8427" s="15"/>
    </row>
    <row r="8428" spans="1:1" x14ac:dyDescent="0.25">
      <c r="A8428" s="15"/>
    </row>
    <row r="8429" spans="1:1" x14ac:dyDescent="0.25">
      <c r="A8429" s="15"/>
    </row>
    <row r="8430" spans="1:1" x14ac:dyDescent="0.25">
      <c r="A8430" s="15"/>
    </row>
    <row r="8431" spans="1:1" x14ac:dyDescent="0.25">
      <c r="A8431" s="15"/>
    </row>
    <row r="8432" spans="1:1" x14ac:dyDescent="0.25">
      <c r="A8432" s="15"/>
    </row>
    <row r="8433" spans="1:1" x14ac:dyDescent="0.25">
      <c r="A8433" s="15"/>
    </row>
    <row r="8434" spans="1:1" x14ac:dyDescent="0.25">
      <c r="A8434" s="15"/>
    </row>
    <row r="8435" spans="1:1" x14ac:dyDescent="0.25">
      <c r="A8435" s="15"/>
    </row>
    <row r="8436" spans="1:1" x14ac:dyDescent="0.25">
      <c r="A8436" s="15"/>
    </row>
    <row r="8437" spans="1:1" x14ac:dyDescent="0.25">
      <c r="A8437" s="15"/>
    </row>
    <row r="8438" spans="1:1" x14ac:dyDescent="0.25">
      <c r="A8438" s="15"/>
    </row>
    <row r="8439" spans="1:1" x14ac:dyDescent="0.25">
      <c r="A8439" s="15"/>
    </row>
    <row r="8440" spans="1:1" x14ac:dyDescent="0.25">
      <c r="A8440" s="15"/>
    </row>
    <row r="8441" spans="1:1" x14ac:dyDescent="0.25">
      <c r="A8441" s="15"/>
    </row>
    <row r="8442" spans="1:1" x14ac:dyDescent="0.25">
      <c r="A8442" s="15"/>
    </row>
    <row r="8443" spans="1:1" x14ac:dyDescent="0.25">
      <c r="A8443" s="15"/>
    </row>
    <row r="8444" spans="1:1" x14ac:dyDescent="0.25">
      <c r="A8444" s="15"/>
    </row>
    <row r="8445" spans="1:1" x14ac:dyDescent="0.25">
      <c r="A8445" s="15"/>
    </row>
    <row r="8446" spans="1:1" x14ac:dyDescent="0.25">
      <c r="A8446" s="15"/>
    </row>
    <row r="8447" spans="1:1" x14ac:dyDescent="0.25">
      <c r="A8447" s="15"/>
    </row>
    <row r="8448" spans="1:1" x14ac:dyDescent="0.25">
      <c r="A8448" s="15"/>
    </row>
    <row r="8449" spans="1:1" x14ac:dyDescent="0.25">
      <c r="A8449" s="15"/>
    </row>
    <row r="8450" spans="1:1" x14ac:dyDescent="0.25">
      <c r="A8450" s="15"/>
    </row>
    <row r="8451" spans="1:1" x14ac:dyDescent="0.25">
      <c r="A8451" s="15"/>
    </row>
    <row r="8452" spans="1:1" x14ac:dyDescent="0.25">
      <c r="A8452" s="15"/>
    </row>
    <row r="8453" spans="1:1" x14ac:dyDescent="0.25">
      <c r="A8453" s="15"/>
    </row>
    <row r="8454" spans="1:1" x14ac:dyDescent="0.25">
      <c r="A8454" s="15"/>
    </row>
    <row r="8455" spans="1:1" x14ac:dyDescent="0.25">
      <c r="A8455" s="15"/>
    </row>
    <row r="8456" spans="1:1" x14ac:dyDescent="0.25">
      <c r="A8456" s="15"/>
    </row>
    <row r="8457" spans="1:1" x14ac:dyDescent="0.25">
      <c r="A8457" s="15"/>
    </row>
    <row r="8458" spans="1:1" x14ac:dyDescent="0.25">
      <c r="A8458" s="15"/>
    </row>
    <row r="8459" spans="1:1" x14ac:dyDescent="0.25">
      <c r="A8459" s="15"/>
    </row>
    <row r="8460" spans="1:1" x14ac:dyDescent="0.25">
      <c r="A8460" s="15"/>
    </row>
    <row r="8461" spans="1:1" x14ac:dyDescent="0.25">
      <c r="A8461" s="15"/>
    </row>
    <row r="8462" spans="1:1" x14ac:dyDescent="0.25">
      <c r="A8462" s="15"/>
    </row>
    <row r="8463" spans="1:1" x14ac:dyDescent="0.25">
      <c r="A8463" s="15"/>
    </row>
    <row r="8464" spans="1:1" x14ac:dyDescent="0.25">
      <c r="A8464" s="15"/>
    </row>
    <row r="8465" spans="1:1" x14ac:dyDescent="0.25">
      <c r="A8465" s="15"/>
    </row>
    <row r="8466" spans="1:1" x14ac:dyDescent="0.25">
      <c r="A8466" s="15"/>
    </row>
    <row r="8467" spans="1:1" x14ac:dyDescent="0.25">
      <c r="A8467" s="15"/>
    </row>
    <row r="8468" spans="1:1" x14ac:dyDescent="0.25">
      <c r="A8468" s="15"/>
    </row>
    <row r="8469" spans="1:1" x14ac:dyDescent="0.25">
      <c r="A8469" s="15"/>
    </row>
    <row r="8470" spans="1:1" x14ac:dyDescent="0.25">
      <c r="A8470" s="15"/>
    </row>
    <row r="8471" spans="1:1" x14ac:dyDescent="0.25">
      <c r="A8471" s="15"/>
    </row>
    <row r="8472" spans="1:1" x14ac:dyDescent="0.25">
      <c r="A8472" s="15"/>
    </row>
    <row r="8473" spans="1:1" x14ac:dyDescent="0.25">
      <c r="A8473" s="15"/>
    </row>
    <row r="8474" spans="1:1" x14ac:dyDescent="0.25">
      <c r="A8474" s="15"/>
    </row>
    <row r="8475" spans="1:1" x14ac:dyDescent="0.25">
      <c r="A8475" s="15"/>
    </row>
    <row r="8476" spans="1:1" x14ac:dyDescent="0.25">
      <c r="A8476" s="15"/>
    </row>
    <row r="8477" spans="1:1" x14ac:dyDescent="0.25">
      <c r="A8477" s="15"/>
    </row>
    <row r="8478" spans="1:1" x14ac:dyDescent="0.25">
      <c r="A8478" s="15"/>
    </row>
    <row r="8479" spans="1:1" x14ac:dyDescent="0.25">
      <c r="A8479" s="15"/>
    </row>
    <row r="8480" spans="1:1" x14ac:dyDescent="0.25">
      <c r="A8480" s="15"/>
    </row>
    <row r="8481" spans="1:1" x14ac:dyDescent="0.25">
      <c r="A8481" s="15"/>
    </row>
    <row r="8482" spans="1:1" x14ac:dyDescent="0.25">
      <c r="A8482" s="15"/>
    </row>
    <row r="8483" spans="1:1" x14ac:dyDescent="0.25">
      <c r="A8483" s="15"/>
    </row>
    <row r="8484" spans="1:1" x14ac:dyDescent="0.25">
      <c r="A8484" s="15"/>
    </row>
    <row r="8485" spans="1:1" x14ac:dyDescent="0.25">
      <c r="A8485" s="15"/>
    </row>
    <row r="8486" spans="1:1" x14ac:dyDescent="0.25">
      <c r="A8486" s="15"/>
    </row>
    <row r="8487" spans="1:1" x14ac:dyDescent="0.25">
      <c r="A8487" s="15"/>
    </row>
    <row r="8488" spans="1:1" x14ac:dyDescent="0.25">
      <c r="A8488" s="15"/>
    </row>
    <row r="8489" spans="1:1" x14ac:dyDescent="0.25">
      <c r="A8489" s="15"/>
    </row>
    <row r="8490" spans="1:1" x14ac:dyDescent="0.25">
      <c r="A8490" s="15"/>
    </row>
    <row r="8491" spans="1:1" x14ac:dyDescent="0.25">
      <c r="A8491" s="15"/>
    </row>
    <row r="8492" spans="1:1" x14ac:dyDescent="0.25">
      <c r="A8492" s="15"/>
    </row>
    <row r="8493" spans="1:1" x14ac:dyDescent="0.25">
      <c r="A8493" s="15"/>
    </row>
    <row r="8494" spans="1:1" x14ac:dyDescent="0.25">
      <c r="A8494" s="15"/>
    </row>
    <row r="8495" spans="1:1" x14ac:dyDescent="0.25">
      <c r="A8495" s="15"/>
    </row>
    <row r="8496" spans="1:1" x14ac:dyDescent="0.25">
      <c r="A8496" s="15"/>
    </row>
    <row r="8497" spans="1:1" x14ac:dyDescent="0.25">
      <c r="A8497" s="15"/>
    </row>
    <row r="8498" spans="1:1" x14ac:dyDescent="0.25">
      <c r="A8498" s="15"/>
    </row>
    <row r="8499" spans="1:1" x14ac:dyDescent="0.25">
      <c r="A8499" s="15"/>
    </row>
    <row r="8500" spans="1:1" x14ac:dyDescent="0.25">
      <c r="A8500" s="15"/>
    </row>
    <row r="8501" spans="1:1" x14ac:dyDescent="0.25">
      <c r="A8501" s="15"/>
    </row>
    <row r="8502" spans="1:1" x14ac:dyDescent="0.25">
      <c r="A8502" s="15"/>
    </row>
    <row r="8503" spans="1:1" x14ac:dyDescent="0.25">
      <c r="A8503" s="15"/>
    </row>
    <row r="8504" spans="1:1" x14ac:dyDescent="0.25">
      <c r="A8504" s="15"/>
    </row>
    <row r="8505" spans="1:1" x14ac:dyDescent="0.25">
      <c r="A8505" s="15"/>
    </row>
    <row r="8506" spans="1:1" x14ac:dyDescent="0.25">
      <c r="A8506" s="15"/>
    </row>
    <row r="8507" spans="1:1" x14ac:dyDescent="0.25">
      <c r="A8507" s="15"/>
    </row>
    <row r="8508" spans="1:1" x14ac:dyDescent="0.25">
      <c r="A8508" s="15"/>
    </row>
    <row r="8509" spans="1:1" x14ac:dyDescent="0.25">
      <c r="A8509" s="15"/>
    </row>
    <row r="8510" spans="1:1" x14ac:dyDescent="0.25">
      <c r="A8510" s="15"/>
    </row>
    <row r="8511" spans="1:1" x14ac:dyDescent="0.25">
      <c r="A8511" s="15"/>
    </row>
    <row r="8512" spans="1:1" x14ac:dyDescent="0.25">
      <c r="A8512" s="15"/>
    </row>
    <row r="8513" spans="1:1" x14ac:dyDescent="0.25">
      <c r="A8513" s="15"/>
    </row>
    <row r="8514" spans="1:1" x14ac:dyDescent="0.25">
      <c r="A8514" s="15"/>
    </row>
    <row r="8515" spans="1:1" x14ac:dyDescent="0.25">
      <c r="A8515" s="15"/>
    </row>
    <row r="8516" spans="1:1" x14ac:dyDescent="0.25">
      <c r="A8516" s="15"/>
    </row>
    <row r="8517" spans="1:1" x14ac:dyDescent="0.25">
      <c r="A8517" s="15"/>
    </row>
    <row r="8518" spans="1:1" x14ac:dyDescent="0.25">
      <c r="A8518" s="15"/>
    </row>
    <row r="8519" spans="1:1" x14ac:dyDescent="0.25">
      <c r="A8519" s="15"/>
    </row>
    <row r="8520" spans="1:1" x14ac:dyDescent="0.25">
      <c r="A8520" s="15"/>
    </row>
    <row r="8521" spans="1:1" x14ac:dyDescent="0.25">
      <c r="A8521" s="15"/>
    </row>
    <row r="8522" spans="1:1" x14ac:dyDescent="0.25">
      <c r="A8522" s="15"/>
    </row>
    <row r="8523" spans="1:1" x14ac:dyDescent="0.25">
      <c r="A8523" s="15"/>
    </row>
    <row r="8524" spans="1:1" x14ac:dyDescent="0.25">
      <c r="A8524" s="15"/>
    </row>
    <row r="8525" spans="1:1" x14ac:dyDescent="0.25">
      <c r="A8525" s="15"/>
    </row>
    <row r="8526" spans="1:1" x14ac:dyDescent="0.25">
      <c r="A8526" s="15"/>
    </row>
    <row r="8527" spans="1:1" x14ac:dyDescent="0.25">
      <c r="A8527" s="15"/>
    </row>
    <row r="8528" spans="1:1" x14ac:dyDescent="0.25">
      <c r="A8528" s="15"/>
    </row>
    <row r="8529" spans="1:1" x14ac:dyDescent="0.25">
      <c r="A8529" s="15"/>
    </row>
    <row r="8530" spans="1:1" x14ac:dyDescent="0.25">
      <c r="A8530" s="15"/>
    </row>
    <row r="8531" spans="1:1" x14ac:dyDescent="0.25">
      <c r="A8531" s="15"/>
    </row>
    <row r="8532" spans="1:1" x14ac:dyDescent="0.25">
      <c r="A8532" s="15"/>
    </row>
    <row r="8533" spans="1:1" x14ac:dyDescent="0.25">
      <c r="A8533" s="15"/>
    </row>
    <row r="8534" spans="1:1" x14ac:dyDescent="0.25">
      <c r="A8534" s="15"/>
    </row>
    <row r="8535" spans="1:1" x14ac:dyDescent="0.25">
      <c r="A8535" s="15"/>
    </row>
    <row r="8536" spans="1:1" x14ac:dyDescent="0.25">
      <c r="A8536" s="15"/>
    </row>
    <row r="8537" spans="1:1" x14ac:dyDescent="0.25">
      <c r="A8537" s="15"/>
    </row>
    <row r="8538" spans="1:1" x14ac:dyDescent="0.25">
      <c r="A8538" s="15"/>
    </row>
    <row r="8539" spans="1:1" x14ac:dyDescent="0.25">
      <c r="A8539" s="15"/>
    </row>
    <row r="8540" spans="1:1" x14ac:dyDescent="0.25">
      <c r="A8540" s="15"/>
    </row>
    <row r="8541" spans="1:1" x14ac:dyDescent="0.25">
      <c r="A8541" s="15"/>
    </row>
    <row r="8542" spans="1:1" x14ac:dyDescent="0.25">
      <c r="A8542" s="15"/>
    </row>
    <row r="8543" spans="1:1" x14ac:dyDescent="0.25">
      <c r="A8543" s="15"/>
    </row>
    <row r="8544" spans="1:1" x14ac:dyDescent="0.25">
      <c r="A8544" s="15"/>
    </row>
    <row r="8545" spans="1:1" x14ac:dyDescent="0.25">
      <c r="A8545" s="15"/>
    </row>
    <row r="8546" spans="1:1" x14ac:dyDescent="0.25">
      <c r="A8546" s="15"/>
    </row>
    <row r="8547" spans="1:1" x14ac:dyDescent="0.25">
      <c r="A8547" s="15"/>
    </row>
    <row r="8548" spans="1:1" x14ac:dyDescent="0.25">
      <c r="A8548" s="15"/>
    </row>
    <row r="8549" spans="1:1" x14ac:dyDescent="0.25">
      <c r="A8549" s="15"/>
    </row>
    <row r="8550" spans="1:1" x14ac:dyDescent="0.25">
      <c r="A8550" s="15"/>
    </row>
    <row r="8551" spans="1:1" x14ac:dyDescent="0.25">
      <c r="A8551" s="15"/>
    </row>
    <row r="8552" spans="1:1" x14ac:dyDescent="0.25">
      <c r="A8552" s="15"/>
    </row>
    <row r="8553" spans="1:1" x14ac:dyDescent="0.25">
      <c r="A8553" s="15"/>
    </row>
    <row r="8554" spans="1:1" x14ac:dyDescent="0.25">
      <c r="A8554" s="15"/>
    </row>
    <row r="8555" spans="1:1" x14ac:dyDescent="0.25">
      <c r="A8555" s="15"/>
    </row>
    <row r="8556" spans="1:1" x14ac:dyDescent="0.25">
      <c r="A8556" s="15"/>
    </row>
    <row r="8557" spans="1:1" x14ac:dyDescent="0.25">
      <c r="A8557" s="15"/>
    </row>
    <row r="8558" spans="1:1" x14ac:dyDescent="0.25">
      <c r="A8558" s="15"/>
    </row>
    <row r="8559" spans="1:1" x14ac:dyDescent="0.25">
      <c r="A8559" s="15"/>
    </row>
    <row r="8560" spans="1:1" x14ac:dyDescent="0.25">
      <c r="A8560" s="15"/>
    </row>
    <row r="8561" spans="1:1" x14ac:dyDescent="0.25">
      <c r="A8561" s="15"/>
    </row>
    <row r="8562" spans="1:1" x14ac:dyDescent="0.25">
      <c r="A8562" s="15"/>
    </row>
    <row r="8563" spans="1:1" x14ac:dyDescent="0.25">
      <c r="A8563" s="15"/>
    </row>
    <row r="8564" spans="1:1" x14ac:dyDescent="0.25">
      <c r="A8564" s="15"/>
    </row>
    <row r="8565" spans="1:1" x14ac:dyDescent="0.25">
      <c r="A8565" s="15"/>
    </row>
    <row r="8566" spans="1:1" x14ac:dyDescent="0.25">
      <c r="A8566" s="15"/>
    </row>
    <row r="8567" spans="1:1" x14ac:dyDescent="0.25">
      <c r="A8567" s="15"/>
    </row>
    <row r="8568" spans="1:1" x14ac:dyDescent="0.25">
      <c r="A8568" s="15"/>
    </row>
    <row r="8569" spans="1:1" x14ac:dyDescent="0.25">
      <c r="A8569" s="15"/>
    </row>
    <row r="8570" spans="1:1" x14ac:dyDescent="0.25">
      <c r="A8570" s="15"/>
    </row>
    <row r="8571" spans="1:1" x14ac:dyDescent="0.25">
      <c r="A8571" s="15"/>
    </row>
    <row r="8572" spans="1:1" x14ac:dyDescent="0.25">
      <c r="A8572" s="15"/>
    </row>
    <row r="8573" spans="1:1" x14ac:dyDescent="0.25">
      <c r="A8573" s="15"/>
    </row>
    <row r="8574" spans="1:1" x14ac:dyDescent="0.25">
      <c r="A8574" s="15"/>
    </row>
    <row r="8575" spans="1:1" x14ac:dyDescent="0.25">
      <c r="A8575" s="15"/>
    </row>
    <row r="8576" spans="1:1" x14ac:dyDescent="0.25">
      <c r="A8576" s="15"/>
    </row>
    <row r="8577" spans="1:1" x14ac:dyDescent="0.25">
      <c r="A8577" s="15"/>
    </row>
    <row r="8578" spans="1:1" x14ac:dyDescent="0.25">
      <c r="A8578" s="15"/>
    </row>
    <row r="8579" spans="1:1" x14ac:dyDescent="0.25">
      <c r="A8579" s="15"/>
    </row>
    <row r="8580" spans="1:1" x14ac:dyDescent="0.25">
      <c r="A8580" s="15"/>
    </row>
    <row r="8581" spans="1:1" x14ac:dyDescent="0.25">
      <c r="A8581" s="15"/>
    </row>
    <row r="8582" spans="1:1" x14ac:dyDescent="0.25">
      <c r="A8582" s="15"/>
    </row>
    <row r="8583" spans="1:1" x14ac:dyDescent="0.25">
      <c r="A8583" s="15"/>
    </row>
    <row r="8584" spans="1:1" x14ac:dyDescent="0.25">
      <c r="A8584" s="15"/>
    </row>
    <row r="8585" spans="1:1" x14ac:dyDescent="0.25">
      <c r="A8585" s="15"/>
    </row>
    <row r="8586" spans="1:1" x14ac:dyDescent="0.25">
      <c r="A8586" s="15"/>
    </row>
    <row r="8587" spans="1:1" x14ac:dyDescent="0.25">
      <c r="A8587" s="15"/>
    </row>
    <row r="8588" spans="1:1" x14ac:dyDescent="0.25">
      <c r="A8588" s="15"/>
    </row>
    <row r="8589" spans="1:1" x14ac:dyDescent="0.25">
      <c r="A8589" s="15"/>
    </row>
    <row r="8590" spans="1:1" x14ac:dyDescent="0.25">
      <c r="A8590" s="15"/>
    </row>
    <row r="8591" spans="1:1" x14ac:dyDescent="0.25">
      <c r="A8591" s="15"/>
    </row>
    <row r="8592" spans="1:1" x14ac:dyDescent="0.25">
      <c r="A8592" s="15"/>
    </row>
    <row r="8593" spans="1:1" x14ac:dyDescent="0.25">
      <c r="A8593" s="15"/>
    </row>
    <row r="8594" spans="1:1" x14ac:dyDescent="0.25">
      <c r="A8594" s="15"/>
    </row>
    <row r="8595" spans="1:1" x14ac:dyDescent="0.25">
      <c r="A8595" s="15"/>
    </row>
    <row r="8596" spans="1:1" x14ac:dyDescent="0.25">
      <c r="A8596" s="15"/>
    </row>
    <row r="8597" spans="1:1" x14ac:dyDescent="0.25">
      <c r="A8597" s="15"/>
    </row>
    <row r="8598" spans="1:1" x14ac:dyDescent="0.25">
      <c r="A8598" s="15"/>
    </row>
    <row r="8599" spans="1:1" x14ac:dyDescent="0.25">
      <c r="A8599" s="15"/>
    </row>
    <row r="8600" spans="1:1" x14ac:dyDescent="0.25">
      <c r="A8600" s="15"/>
    </row>
    <row r="8601" spans="1:1" x14ac:dyDescent="0.25">
      <c r="A8601" s="15"/>
    </row>
    <row r="8602" spans="1:1" x14ac:dyDescent="0.25">
      <c r="A8602" s="15"/>
    </row>
    <row r="8603" spans="1:1" x14ac:dyDescent="0.25">
      <c r="A8603" s="15"/>
    </row>
    <row r="8604" spans="1:1" x14ac:dyDescent="0.25">
      <c r="A8604" s="15"/>
    </row>
    <row r="8605" spans="1:1" x14ac:dyDescent="0.25">
      <c r="A8605" s="15"/>
    </row>
    <row r="8606" spans="1:1" x14ac:dyDescent="0.25">
      <c r="A8606" s="15"/>
    </row>
    <row r="8607" spans="1:1" x14ac:dyDescent="0.25">
      <c r="A8607" s="15"/>
    </row>
    <row r="8608" spans="1:1" x14ac:dyDescent="0.25">
      <c r="A8608" s="15"/>
    </row>
    <row r="8609" spans="1:1" x14ac:dyDescent="0.25">
      <c r="A8609" s="15"/>
    </row>
    <row r="8610" spans="1:1" x14ac:dyDescent="0.25">
      <c r="A8610" s="15"/>
    </row>
    <row r="8611" spans="1:1" x14ac:dyDescent="0.25">
      <c r="A8611" s="15"/>
    </row>
    <row r="8612" spans="1:1" x14ac:dyDescent="0.25">
      <c r="A8612" s="15"/>
    </row>
    <row r="8613" spans="1:1" x14ac:dyDescent="0.25">
      <c r="A8613" s="15"/>
    </row>
    <row r="8614" spans="1:1" x14ac:dyDescent="0.25">
      <c r="A8614" s="15"/>
    </row>
    <row r="8615" spans="1:1" x14ac:dyDescent="0.25">
      <c r="A8615" s="15"/>
    </row>
    <row r="8616" spans="1:1" x14ac:dyDescent="0.25">
      <c r="A8616" s="15"/>
    </row>
    <row r="8617" spans="1:1" x14ac:dyDescent="0.25">
      <c r="A8617" s="15"/>
    </row>
    <row r="8618" spans="1:1" x14ac:dyDescent="0.25">
      <c r="A8618" s="15"/>
    </row>
    <row r="8619" spans="1:1" x14ac:dyDescent="0.25">
      <c r="A8619" s="15"/>
    </row>
    <row r="8620" spans="1:1" x14ac:dyDescent="0.25">
      <c r="A8620" s="15"/>
    </row>
    <row r="8621" spans="1:1" x14ac:dyDescent="0.25">
      <c r="A8621" s="15"/>
    </row>
    <row r="8622" spans="1:1" x14ac:dyDescent="0.25">
      <c r="A8622" s="15"/>
    </row>
    <row r="8623" spans="1:1" x14ac:dyDescent="0.25">
      <c r="A8623" s="15"/>
    </row>
    <row r="8624" spans="1:1" x14ac:dyDescent="0.25">
      <c r="A8624" s="15"/>
    </row>
    <row r="8625" spans="1:1" x14ac:dyDescent="0.25">
      <c r="A8625" s="15"/>
    </row>
    <row r="8626" spans="1:1" x14ac:dyDescent="0.25">
      <c r="A8626" s="15"/>
    </row>
    <row r="8627" spans="1:1" x14ac:dyDescent="0.25">
      <c r="A8627" s="15"/>
    </row>
    <row r="8628" spans="1:1" x14ac:dyDescent="0.25">
      <c r="A8628" s="15"/>
    </row>
    <row r="8629" spans="1:1" x14ac:dyDescent="0.25">
      <c r="A8629" s="15"/>
    </row>
    <row r="8630" spans="1:1" x14ac:dyDescent="0.25">
      <c r="A8630" s="15"/>
    </row>
    <row r="8631" spans="1:1" x14ac:dyDescent="0.25">
      <c r="A8631" s="15"/>
    </row>
    <row r="8632" spans="1:1" x14ac:dyDescent="0.25">
      <c r="A8632" s="15"/>
    </row>
    <row r="8633" spans="1:1" x14ac:dyDescent="0.25">
      <c r="A8633" s="15"/>
    </row>
    <row r="8634" spans="1:1" x14ac:dyDescent="0.25">
      <c r="A8634" s="15"/>
    </row>
    <row r="8635" spans="1:1" x14ac:dyDescent="0.25">
      <c r="A8635" s="15"/>
    </row>
    <row r="8636" spans="1:1" x14ac:dyDescent="0.25">
      <c r="A8636" s="15"/>
    </row>
    <row r="8637" spans="1:1" x14ac:dyDescent="0.25">
      <c r="A8637" s="15"/>
    </row>
    <row r="8638" spans="1:1" x14ac:dyDescent="0.25">
      <c r="A8638" s="15"/>
    </row>
    <row r="8639" spans="1:1" x14ac:dyDescent="0.25">
      <c r="A8639" s="15"/>
    </row>
    <row r="8640" spans="1:1" x14ac:dyDescent="0.25">
      <c r="A8640" s="15"/>
    </row>
    <row r="8641" spans="1:1" x14ac:dyDescent="0.25">
      <c r="A8641" s="15"/>
    </row>
    <row r="8642" spans="1:1" x14ac:dyDescent="0.25">
      <c r="A8642" s="15"/>
    </row>
    <row r="8643" spans="1:1" x14ac:dyDescent="0.25">
      <c r="A8643" s="15"/>
    </row>
    <row r="8644" spans="1:1" x14ac:dyDescent="0.25">
      <c r="A8644" s="15"/>
    </row>
    <row r="8645" spans="1:1" x14ac:dyDescent="0.25">
      <c r="A8645" s="15"/>
    </row>
    <row r="8646" spans="1:1" x14ac:dyDescent="0.25">
      <c r="A8646" s="15"/>
    </row>
    <row r="8647" spans="1:1" x14ac:dyDescent="0.25">
      <c r="A8647" s="15"/>
    </row>
    <row r="8648" spans="1:1" x14ac:dyDescent="0.25">
      <c r="A8648" s="15"/>
    </row>
    <row r="8649" spans="1:1" x14ac:dyDescent="0.25">
      <c r="A8649" s="15"/>
    </row>
    <row r="8650" spans="1:1" x14ac:dyDescent="0.25">
      <c r="A8650" s="15"/>
    </row>
    <row r="8651" spans="1:1" x14ac:dyDescent="0.25">
      <c r="A8651" s="15"/>
    </row>
    <row r="8652" spans="1:1" x14ac:dyDescent="0.25">
      <c r="A8652" s="15"/>
    </row>
    <row r="8653" spans="1:1" x14ac:dyDescent="0.25">
      <c r="A8653" s="15"/>
    </row>
    <row r="8654" spans="1:1" x14ac:dyDescent="0.25">
      <c r="A8654" s="15"/>
    </row>
    <row r="8655" spans="1:1" x14ac:dyDescent="0.25">
      <c r="A8655" s="15"/>
    </row>
    <row r="8656" spans="1:1" x14ac:dyDescent="0.25">
      <c r="A8656" s="15"/>
    </row>
    <row r="8657" spans="1:1" x14ac:dyDescent="0.25">
      <c r="A8657" s="15"/>
    </row>
    <row r="8658" spans="1:1" x14ac:dyDescent="0.25">
      <c r="A8658" s="15"/>
    </row>
    <row r="8659" spans="1:1" x14ac:dyDescent="0.25">
      <c r="A8659" s="15"/>
    </row>
    <row r="8660" spans="1:1" x14ac:dyDescent="0.25">
      <c r="A8660" s="15"/>
    </row>
    <row r="8661" spans="1:1" x14ac:dyDescent="0.25">
      <c r="A8661" s="15"/>
    </row>
    <row r="8662" spans="1:1" x14ac:dyDescent="0.25">
      <c r="A8662" s="15"/>
    </row>
    <row r="8663" spans="1:1" x14ac:dyDescent="0.25">
      <c r="A8663" s="15"/>
    </row>
    <row r="8664" spans="1:1" x14ac:dyDescent="0.25">
      <c r="A8664" s="15"/>
    </row>
    <row r="8665" spans="1:1" x14ac:dyDescent="0.25">
      <c r="A8665" s="15"/>
    </row>
    <row r="8666" spans="1:1" x14ac:dyDescent="0.25">
      <c r="A8666" s="15"/>
    </row>
    <row r="8667" spans="1:1" x14ac:dyDescent="0.25">
      <c r="A8667" s="15"/>
    </row>
    <row r="8668" spans="1:1" x14ac:dyDescent="0.25">
      <c r="A8668" s="15"/>
    </row>
    <row r="8669" spans="1:1" x14ac:dyDescent="0.25">
      <c r="A8669" s="15"/>
    </row>
    <row r="8670" spans="1:1" x14ac:dyDescent="0.25">
      <c r="A8670" s="15"/>
    </row>
    <row r="8671" spans="1:1" x14ac:dyDescent="0.25">
      <c r="A8671" s="15"/>
    </row>
    <row r="8672" spans="1:1" x14ac:dyDescent="0.25">
      <c r="A8672" s="15"/>
    </row>
    <row r="8673" spans="1:1" x14ac:dyDescent="0.25">
      <c r="A8673" s="15"/>
    </row>
    <row r="8674" spans="1:1" x14ac:dyDescent="0.25">
      <c r="A8674" s="15"/>
    </row>
    <row r="8675" spans="1:1" x14ac:dyDescent="0.25">
      <c r="A8675" s="15"/>
    </row>
    <row r="8676" spans="1:1" x14ac:dyDescent="0.25">
      <c r="A8676" s="15"/>
    </row>
    <row r="8677" spans="1:1" x14ac:dyDescent="0.25">
      <c r="A8677" s="15"/>
    </row>
    <row r="8678" spans="1:1" x14ac:dyDescent="0.25">
      <c r="A8678" s="15"/>
    </row>
    <row r="8679" spans="1:1" x14ac:dyDescent="0.25">
      <c r="A8679" s="15"/>
    </row>
    <row r="8680" spans="1:1" x14ac:dyDescent="0.25">
      <c r="A8680" s="15"/>
    </row>
    <row r="8681" spans="1:1" x14ac:dyDescent="0.25">
      <c r="A8681" s="15"/>
    </row>
    <row r="8682" spans="1:1" x14ac:dyDescent="0.25">
      <c r="A8682" s="15"/>
    </row>
    <row r="8683" spans="1:1" x14ac:dyDescent="0.25">
      <c r="A8683" s="15"/>
    </row>
    <row r="8684" spans="1:1" x14ac:dyDescent="0.25">
      <c r="A8684" s="15"/>
    </row>
    <row r="8685" spans="1:1" x14ac:dyDescent="0.25">
      <c r="A8685" s="15"/>
    </row>
    <row r="8686" spans="1:1" x14ac:dyDescent="0.25">
      <c r="A8686" s="15"/>
    </row>
    <row r="8687" spans="1:1" x14ac:dyDescent="0.25">
      <c r="A8687" s="15"/>
    </row>
    <row r="8688" spans="1:1" x14ac:dyDescent="0.25">
      <c r="A8688" s="15"/>
    </row>
    <row r="8689" spans="1:1" x14ac:dyDescent="0.25">
      <c r="A8689" s="15"/>
    </row>
    <row r="8690" spans="1:1" x14ac:dyDescent="0.25">
      <c r="A8690" s="15"/>
    </row>
    <row r="8691" spans="1:1" x14ac:dyDescent="0.25">
      <c r="A8691" s="15"/>
    </row>
    <row r="8692" spans="1:1" x14ac:dyDescent="0.25">
      <c r="A8692" s="15"/>
    </row>
    <row r="8693" spans="1:1" x14ac:dyDescent="0.25">
      <c r="A8693" s="15"/>
    </row>
    <row r="8694" spans="1:1" x14ac:dyDescent="0.25">
      <c r="A8694" s="15"/>
    </row>
    <row r="8695" spans="1:1" x14ac:dyDescent="0.25">
      <c r="A8695" s="15"/>
    </row>
    <row r="8696" spans="1:1" x14ac:dyDescent="0.25">
      <c r="A8696" s="15"/>
    </row>
    <row r="8697" spans="1:1" x14ac:dyDescent="0.25">
      <c r="A8697" s="15"/>
    </row>
    <row r="8698" spans="1:1" x14ac:dyDescent="0.25">
      <c r="A8698" s="15"/>
    </row>
    <row r="8699" spans="1:1" x14ac:dyDescent="0.25">
      <c r="A8699" s="15"/>
    </row>
    <row r="8700" spans="1:1" x14ac:dyDescent="0.25">
      <c r="A8700" s="15"/>
    </row>
    <row r="8701" spans="1:1" x14ac:dyDescent="0.25">
      <c r="A8701" s="15"/>
    </row>
    <row r="8702" spans="1:1" x14ac:dyDescent="0.25">
      <c r="A8702" s="15"/>
    </row>
    <row r="8703" spans="1:1" x14ac:dyDescent="0.25">
      <c r="A8703" s="15"/>
    </row>
    <row r="8704" spans="1:1" x14ac:dyDescent="0.25">
      <c r="A8704" s="15"/>
    </row>
    <row r="8705" spans="1:1" x14ac:dyDescent="0.25">
      <c r="A8705" s="15"/>
    </row>
    <row r="8706" spans="1:1" x14ac:dyDescent="0.25">
      <c r="A8706" s="15"/>
    </row>
    <row r="8707" spans="1:1" x14ac:dyDescent="0.25">
      <c r="A8707" s="15"/>
    </row>
    <row r="8708" spans="1:1" x14ac:dyDescent="0.25">
      <c r="A8708" s="15"/>
    </row>
    <row r="8709" spans="1:1" x14ac:dyDescent="0.25">
      <c r="A8709" s="15"/>
    </row>
    <row r="8710" spans="1:1" x14ac:dyDescent="0.25">
      <c r="A8710" s="15"/>
    </row>
    <row r="8711" spans="1:1" x14ac:dyDescent="0.25">
      <c r="A8711" s="15"/>
    </row>
    <row r="8712" spans="1:1" x14ac:dyDescent="0.25">
      <c r="A8712" s="15"/>
    </row>
    <row r="8713" spans="1:1" x14ac:dyDescent="0.25">
      <c r="A8713" s="15"/>
    </row>
    <row r="8714" spans="1:1" x14ac:dyDescent="0.25">
      <c r="A8714" s="15"/>
    </row>
    <row r="8715" spans="1:1" x14ac:dyDescent="0.25">
      <c r="A8715" s="15"/>
    </row>
    <row r="8716" spans="1:1" x14ac:dyDescent="0.25">
      <c r="A8716" s="15"/>
    </row>
    <row r="8717" spans="1:1" x14ac:dyDescent="0.25">
      <c r="A8717" s="15"/>
    </row>
    <row r="8718" spans="1:1" x14ac:dyDescent="0.25">
      <c r="A8718" s="15"/>
    </row>
    <row r="8719" spans="1:1" x14ac:dyDescent="0.25">
      <c r="A8719" s="15"/>
    </row>
    <row r="8720" spans="1:1" x14ac:dyDescent="0.25">
      <c r="A8720" s="15"/>
    </row>
    <row r="8721" spans="1:1" x14ac:dyDescent="0.25">
      <c r="A8721" s="15"/>
    </row>
    <row r="8722" spans="1:1" x14ac:dyDescent="0.25">
      <c r="A8722" s="15"/>
    </row>
    <row r="8723" spans="1:1" x14ac:dyDescent="0.25">
      <c r="A8723" s="15"/>
    </row>
    <row r="8724" spans="1:1" x14ac:dyDescent="0.25">
      <c r="A8724" s="15"/>
    </row>
    <row r="8725" spans="1:1" x14ac:dyDescent="0.25">
      <c r="A8725" s="15"/>
    </row>
    <row r="8726" spans="1:1" x14ac:dyDescent="0.25">
      <c r="A8726" s="15"/>
    </row>
    <row r="8727" spans="1:1" x14ac:dyDescent="0.25">
      <c r="A8727" s="15"/>
    </row>
    <row r="8728" spans="1:1" x14ac:dyDescent="0.25">
      <c r="A8728" s="15"/>
    </row>
    <row r="8729" spans="1:1" x14ac:dyDescent="0.25">
      <c r="A8729" s="15"/>
    </row>
    <row r="8730" spans="1:1" x14ac:dyDescent="0.25">
      <c r="A8730" s="15"/>
    </row>
    <row r="8731" spans="1:1" x14ac:dyDescent="0.25">
      <c r="A8731" s="15"/>
    </row>
    <row r="8732" spans="1:1" x14ac:dyDescent="0.25">
      <c r="A8732" s="15"/>
    </row>
    <row r="8733" spans="1:1" x14ac:dyDescent="0.25">
      <c r="A8733" s="15"/>
    </row>
    <row r="8734" spans="1:1" x14ac:dyDescent="0.25">
      <c r="A8734" s="15"/>
    </row>
    <row r="8735" spans="1:1" x14ac:dyDescent="0.25">
      <c r="A8735" s="15"/>
    </row>
    <row r="8736" spans="1:1" x14ac:dyDescent="0.25">
      <c r="A8736" s="15"/>
    </row>
    <row r="8737" spans="1:1" x14ac:dyDescent="0.25">
      <c r="A8737" s="15"/>
    </row>
    <row r="8738" spans="1:1" x14ac:dyDescent="0.25">
      <c r="A8738" s="15"/>
    </row>
    <row r="8739" spans="1:1" x14ac:dyDescent="0.25">
      <c r="A8739" s="15"/>
    </row>
    <row r="8740" spans="1:1" x14ac:dyDescent="0.25">
      <c r="A8740" s="15"/>
    </row>
    <row r="8741" spans="1:1" x14ac:dyDescent="0.25">
      <c r="A8741" s="15"/>
    </row>
    <row r="8742" spans="1:1" x14ac:dyDescent="0.25">
      <c r="A8742" s="15"/>
    </row>
    <row r="8743" spans="1:1" x14ac:dyDescent="0.25">
      <c r="A8743" s="15"/>
    </row>
    <row r="8744" spans="1:1" x14ac:dyDescent="0.25">
      <c r="A8744" s="15"/>
    </row>
    <row r="8745" spans="1:1" x14ac:dyDescent="0.25">
      <c r="A8745" s="15"/>
    </row>
    <row r="8746" spans="1:1" x14ac:dyDescent="0.25">
      <c r="A8746" s="15"/>
    </row>
    <row r="8747" spans="1:1" x14ac:dyDescent="0.25">
      <c r="A8747" s="15"/>
    </row>
    <row r="8748" spans="1:1" x14ac:dyDescent="0.25">
      <c r="A8748" s="15"/>
    </row>
    <row r="8749" spans="1:1" x14ac:dyDescent="0.25">
      <c r="A8749" s="15"/>
    </row>
    <row r="8750" spans="1:1" x14ac:dyDescent="0.25">
      <c r="A8750" s="15"/>
    </row>
    <row r="8751" spans="1:1" x14ac:dyDescent="0.25">
      <c r="A8751" s="15"/>
    </row>
    <row r="8752" spans="1:1" x14ac:dyDescent="0.25">
      <c r="A8752" s="15"/>
    </row>
    <row r="8753" spans="1:1" x14ac:dyDescent="0.25">
      <c r="A8753" s="15"/>
    </row>
    <row r="8754" spans="1:1" x14ac:dyDescent="0.25">
      <c r="A8754" s="15"/>
    </row>
    <row r="8755" spans="1:1" x14ac:dyDescent="0.25">
      <c r="A8755" s="15"/>
    </row>
    <row r="8756" spans="1:1" x14ac:dyDescent="0.25">
      <c r="A8756" s="15"/>
    </row>
    <row r="8757" spans="1:1" x14ac:dyDescent="0.25">
      <c r="A8757" s="15"/>
    </row>
    <row r="8758" spans="1:1" x14ac:dyDescent="0.25">
      <c r="A8758" s="15"/>
    </row>
    <row r="8759" spans="1:1" x14ac:dyDescent="0.25">
      <c r="A8759" s="15"/>
    </row>
    <row r="8760" spans="1:1" x14ac:dyDescent="0.25">
      <c r="A8760" s="15"/>
    </row>
    <row r="8761" spans="1:1" x14ac:dyDescent="0.25">
      <c r="A8761" s="15"/>
    </row>
    <row r="8762" spans="1:1" x14ac:dyDescent="0.25">
      <c r="A8762" s="15"/>
    </row>
    <row r="8763" spans="1:1" x14ac:dyDescent="0.25">
      <c r="A8763" s="15"/>
    </row>
    <row r="8764" spans="1:1" x14ac:dyDescent="0.25">
      <c r="A8764" s="15"/>
    </row>
    <row r="8765" spans="1:1" x14ac:dyDescent="0.25">
      <c r="A8765" s="15"/>
    </row>
    <row r="8766" spans="1:1" x14ac:dyDescent="0.25">
      <c r="A8766" s="15"/>
    </row>
    <row r="8767" spans="1:1" x14ac:dyDescent="0.25">
      <c r="A8767" s="15"/>
    </row>
    <row r="8768" spans="1:1" x14ac:dyDescent="0.25">
      <c r="A8768" s="15"/>
    </row>
    <row r="8769" spans="1:1" x14ac:dyDescent="0.25">
      <c r="A8769" s="15"/>
    </row>
    <row r="8770" spans="1:1" x14ac:dyDescent="0.25">
      <c r="A8770" s="15"/>
    </row>
    <row r="8771" spans="1:1" x14ac:dyDescent="0.25">
      <c r="A8771" s="15"/>
    </row>
    <row r="8772" spans="1:1" x14ac:dyDescent="0.25">
      <c r="A8772" s="15"/>
    </row>
    <row r="8773" spans="1:1" x14ac:dyDescent="0.25">
      <c r="A8773" s="15"/>
    </row>
    <row r="8774" spans="1:1" x14ac:dyDescent="0.25">
      <c r="A8774" s="15"/>
    </row>
    <row r="8775" spans="1:1" x14ac:dyDescent="0.25">
      <c r="A8775" s="15"/>
    </row>
    <row r="8776" spans="1:1" x14ac:dyDescent="0.25">
      <c r="A8776" s="15"/>
    </row>
    <row r="8777" spans="1:1" x14ac:dyDescent="0.25">
      <c r="A8777" s="15"/>
    </row>
    <row r="8778" spans="1:1" x14ac:dyDescent="0.25">
      <c r="A8778" s="15"/>
    </row>
    <row r="8779" spans="1:1" x14ac:dyDescent="0.25">
      <c r="A8779" s="15"/>
    </row>
    <row r="8780" spans="1:1" x14ac:dyDescent="0.25">
      <c r="A8780" s="15"/>
    </row>
    <row r="8781" spans="1:1" x14ac:dyDescent="0.25">
      <c r="A8781" s="15"/>
    </row>
    <row r="8782" spans="1:1" x14ac:dyDescent="0.25">
      <c r="A8782" s="15"/>
    </row>
    <row r="8783" spans="1:1" x14ac:dyDescent="0.25">
      <c r="A8783" s="15"/>
    </row>
    <row r="8784" spans="1:1" x14ac:dyDescent="0.25">
      <c r="A8784" s="15"/>
    </row>
    <row r="8785" spans="1:1" x14ac:dyDescent="0.25">
      <c r="A8785" s="15"/>
    </row>
    <row r="8786" spans="1:1" x14ac:dyDescent="0.25">
      <c r="A8786" s="15"/>
    </row>
    <row r="8787" spans="1:1" x14ac:dyDescent="0.25">
      <c r="A8787" s="15"/>
    </row>
    <row r="8788" spans="1:1" x14ac:dyDescent="0.25">
      <c r="A8788" s="15"/>
    </row>
    <row r="8789" spans="1:1" x14ac:dyDescent="0.25">
      <c r="A8789" s="15"/>
    </row>
    <row r="8790" spans="1:1" x14ac:dyDescent="0.25">
      <c r="A8790" s="15"/>
    </row>
    <row r="8791" spans="1:1" x14ac:dyDescent="0.25">
      <c r="A8791" s="15"/>
    </row>
    <row r="8792" spans="1:1" x14ac:dyDescent="0.25">
      <c r="A8792" s="15"/>
    </row>
    <row r="8793" spans="1:1" x14ac:dyDescent="0.25">
      <c r="A8793" s="15"/>
    </row>
    <row r="8794" spans="1:1" x14ac:dyDescent="0.25">
      <c r="A8794" s="15"/>
    </row>
    <row r="8795" spans="1:1" x14ac:dyDescent="0.25">
      <c r="A8795" s="15"/>
    </row>
    <row r="8796" spans="1:1" x14ac:dyDescent="0.25">
      <c r="A8796" s="15"/>
    </row>
    <row r="8797" spans="1:1" x14ac:dyDescent="0.25">
      <c r="A8797" s="15"/>
    </row>
    <row r="8798" spans="1:1" x14ac:dyDescent="0.25">
      <c r="A8798" s="15"/>
    </row>
    <row r="8799" spans="1:1" x14ac:dyDescent="0.25">
      <c r="A8799" s="15"/>
    </row>
    <row r="8800" spans="1:1" x14ac:dyDescent="0.25">
      <c r="A8800" s="15"/>
    </row>
    <row r="8801" spans="1:1" x14ac:dyDescent="0.25">
      <c r="A8801" s="15"/>
    </row>
    <row r="8802" spans="1:1" x14ac:dyDescent="0.25">
      <c r="A8802" s="15"/>
    </row>
    <row r="8803" spans="1:1" x14ac:dyDescent="0.25">
      <c r="A8803" s="15"/>
    </row>
    <row r="8804" spans="1:1" x14ac:dyDescent="0.25">
      <c r="A8804" s="15"/>
    </row>
    <row r="8805" spans="1:1" x14ac:dyDescent="0.25">
      <c r="A8805" s="15"/>
    </row>
    <row r="8806" spans="1:1" x14ac:dyDescent="0.25">
      <c r="A8806" s="15"/>
    </row>
    <row r="8807" spans="1:1" x14ac:dyDescent="0.25">
      <c r="A8807" s="15"/>
    </row>
    <row r="8808" spans="1:1" x14ac:dyDescent="0.25">
      <c r="A8808" s="15"/>
    </row>
    <row r="8809" spans="1:1" x14ac:dyDescent="0.25">
      <c r="A8809" s="15"/>
    </row>
    <row r="8810" spans="1:1" x14ac:dyDescent="0.25">
      <c r="A8810" s="15"/>
    </row>
    <row r="8811" spans="1:1" x14ac:dyDescent="0.25">
      <c r="A8811" s="15"/>
    </row>
    <row r="8812" spans="1:1" x14ac:dyDescent="0.25">
      <c r="A8812" s="15"/>
    </row>
    <row r="8813" spans="1:1" x14ac:dyDescent="0.25">
      <c r="A8813" s="15"/>
    </row>
    <row r="8814" spans="1:1" x14ac:dyDescent="0.25">
      <c r="A8814" s="15"/>
    </row>
    <row r="8815" spans="1:1" x14ac:dyDescent="0.25">
      <c r="A8815" s="15"/>
    </row>
    <row r="8816" spans="1:1" x14ac:dyDescent="0.25">
      <c r="A8816" s="15"/>
    </row>
    <row r="8817" spans="1:1" x14ac:dyDescent="0.25">
      <c r="A8817" s="15"/>
    </row>
    <row r="8818" spans="1:1" x14ac:dyDescent="0.25">
      <c r="A8818" s="15"/>
    </row>
    <row r="8819" spans="1:1" x14ac:dyDescent="0.25">
      <c r="A8819" s="15"/>
    </row>
    <row r="8820" spans="1:1" x14ac:dyDescent="0.25">
      <c r="A8820" s="15"/>
    </row>
    <row r="8821" spans="1:1" x14ac:dyDescent="0.25">
      <c r="A8821" s="15"/>
    </row>
    <row r="8822" spans="1:1" x14ac:dyDescent="0.25">
      <c r="A8822" s="15"/>
    </row>
    <row r="8823" spans="1:1" x14ac:dyDescent="0.25">
      <c r="A8823" s="15"/>
    </row>
    <row r="8824" spans="1:1" x14ac:dyDescent="0.25">
      <c r="A8824" s="15"/>
    </row>
    <row r="8825" spans="1:1" x14ac:dyDescent="0.25">
      <c r="A8825" s="15"/>
    </row>
    <row r="8826" spans="1:1" x14ac:dyDescent="0.25">
      <c r="A8826" s="15"/>
    </row>
    <row r="8827" spans="1:1" x14ac:dyDescent="0.25">
      <c r="A8827" s="15"/>
    </row>
    <row r="8828" spans="1:1" x14ac:dyDescent="0.25">
      <c r="A8828" s="15"/>
    </row>
    <row r="8829" spans="1:1" x14ac:dyDescent="0.25">
      <c r="A8829" s="15"/>
    </row>
    <row r="8830" spans="1:1" x14ac:dyDescent="0.25">
      <c r="A8830" s="15"/>
    </row>
    <row r="8831" spans="1:1" x14ac:dyDescent="0.25">
      <c r="A8831" s="15"/>
    </row>
    <row r="8832" spans="1:1" x14ac:dyDescent="0.25">
      <c r="A8832" s="15"/>
    </row>
    <row r="8833" spans="1:1" x14ac:dyDescent="0.25">
      <c r="A8833" s="15"/>
    </row>
    <row r="8834" spans="1:1" x14ac:dyDescent="0.25">
      <c r="A8834" s="15"/>
    </row>
    <row r="8835" spans="1:1" x14ac:dyDescent="0.25">
      <c r="A8835" s="15"/>
    </row>
    <row r="8836" spans="1:1" x14ac:dyDescent="0.25">
      <c r="A8836" s="15"/>
    </row>
    <row r="8837" spans="1:1" x14ac:dyDescent="0.25">
      <c r="A8837" s="15"/>
    </row>
    <row r="8838" spans="1:1" x14ac:dyDescent="0.25">
      <c r="A8838" s="15"/>
    </row>
    <row r="8839" spans="1:1" x14ac:dyDescent="0.25">
      <c r="A8839" s="15"/>
    </row>
    <row r="8840" spans="1:1" x14ac:dyDescent="0.25">
      <c r="A8840" s="15"/>
    </row>
    <row r="8841" spans="1:1" x14ac:dyDescent="0.25">
      <c r="A8841" s="15"/>
    </row>
    <row r="8842" spans="1:1" x14ac:dyDescent="0.25">
      <c r="A8842" s="15"/>
    </row>
    <row r="8843" spans="1:1" x14ac:dyDescent="0.25">
      <c r="A8843" s="15"/>
    </row>
    <row r="8844" spans="1:1" x14ac:dyDescent="0.25">
      <c r="A8844" s="15"/>
    </row>
    <row r="8845" spans="1:1" x14ac:dyDescent="0.25">
      <c r="A8845" s="15"/>
    </row>
    <row r="8846" spans="1:1" x14ac:dyDescent="0.25">
      <c r="A8846" s="15"/>
    </row>
    <row r="8847" spans="1:1" x14ac:dyDescent="0.25">
      <c r="A8847" s="15"/>
    </row>
    <row r="8848" spans="1:1" x14ac:dyDescent="0.25">
      <c r="A8848" s="15"/>
    </row>
    <row r="8849" spans="1:1" x14ac:dyDescent="0.25">
      <c r="A8849" s="15"/>
    </row>
    <row r="8850" spans="1:1" x14ac:dyDescent="0.25">
      <c r="A8850" s="15"/>
    </row>
    <row r="8851" spans="1:1" x14ac:dyDescent="0.25">
      <c r="A8851" s="15"/>
    </row>
    <row r="8852" spans="1:1" x14ac:dyDescent="0.25">
      <c r="A8852" s="15"/>
    </row>
    <row r="8853" spans="1:1" x14ac:dyDescent="0.25">
      <c r="A8853" s="15"/>
    </row>
    <row r="8854" spans="1:1" x14ac:dyDescent="0.25">
      <c r="A8854" s="15"/>
    </row>
    <row r="8855" spans="1:1" x14ac:dyDescent="0.25">
      <c r="A8855" s="15"/>
    </row>
    <row r="8856" spans="1:1" x14ac:dyDescent="0.25">
      <c r="A8856" s="15"/>
    </row>
    <row r="8857" spans="1:1" x14ac:dyDescent="0.25">
      <c r="A8857" s="15"/>
    </row>
    <row r="8858" spans="1:1" x14ac:dyDescent="0.25">
      <c r="A8858" s="15"/>
    </row>
    <row r="8859" spans="1:1" x14ac:dyDescent="0.25">
      <c r="A8859" s="15"/>
    </row>
    <row r="8860" spans="1:1" x14ac:dyDescent="0.25">
      <c r="A8860" s="15"/>
    </row>
    <row r="8861" spans="1:1" x14ac:dyDescent="0.25">
      <c r="A8861" s="15"/>
    </row>
    <row r="8862" spans="1:1" x14ac:dyDescent="0.25">
      <c r="A8862" s="15"/>
    </row>
    <row r="8863" spans="1:1" x14ac:dyDescent="0.25">
      <c r="A8863" s="15"/>
    </row>
    <row r="8864" spans="1:1" x14ac:dyDescent="0.25">
      <c r="A8864" s="15"/>
    </row>
    <row r="8865" spans="1:1" x14ac:dyDescent="0.25">
      <c r="A8865" s="15"/>
    </row>
    <row r="8866" spans="1:1" x14ac:dyDescent="0.25">
      <c r="A8866" s="15"/>
    </row>
    <row r="8867" spans="1:1" x14ac:dyDescent="0.25">
      <c r="A8867" s="15"/>
    </row>
    <row r="8868" spans="1:1" x14ac:dyDescent="0.25">
      <c r="A8868" s="15"/>
    </row>
    <row r="8869" spans="1:1" x14ac:dyDescent="0.25">
      <c r="A8869" s="15"/>
    </row>
    <row r="8870" spans="1:1" x14ac:dyDescent="0.25">
      <c r="A8870" s="15"/>
    </row>
    <row r="8871" spans="1:1" x14ac:dyDescent="0.25">
      <c r="A8871" s="15"/>
    </row>
    <row r="8872" spans="1:1" x14ac:dyDescent="0.25">
      <c r="A8872" s="15"/>
    </row>
    <row r="8873" spans="1:1" x14ac:dyDescent="0.25">
      <c r="A8873" s="15"/>
    </row>
    <row r="8874" spans="1:1" x14ac:dyDescent="0.25">
      <c r="A8874" s="15"/>
    </row>
    <row r="8875" spans="1:1" x14ac:dyDescent="0.25">
      <c r="A8875" s="15"/>
    </row>
    <row r="8876" spans="1:1" x14ac:dyDescent="0.25">
      <c r="A8876" s="15"/>
    </row>
    <row r="8877" spans="1:1" x14ac:dyDescent="0.25">
      <c r="A8877" s="15"/>
    </row>
    <row r="8878" spans="1:1" x14ac:dyDescent="0.25">
      <c r="A8878" s="15"/>
    </row>
    <row r="8879" spans="1:1" x14ac:dyDescent="0.25">
      <c r="A8879" s="15"/>
    </row>
    <row r="8880" spans="1:1" x14ac:dyDescent="0.25">
      <c r="A8880" s="15"/>
    </row>
    <row r="8881" spans="1:1" x14ac:dyDescent="0.25">
      <c r="A8881" s="15"/>
    </row>
    <row r="8882" spans="1:1" x14ac:dyDescent="0.25">
      <c r="A8882" s="15"/>
    </row>
    <row r="8883" spans="1:1" x14ac:dyDescent="0.25">
      <c r="A8883" s="15"/>
    </row>
    <row r="8884" spans="1:1" x14ac:dyDescent="0.25">
      <c r="A8884" s="15"/>
    </row>
    <row r="8885" spans="1:1" x14ac:dyDescent="0.25">
      <c r="A8885" s="15"/>
    </row>
    <row r="8886" spans="1:1" x14ac:dyDescent="0.25">
      <c r="A8886" s="15"/>
    </row>
    <row r="8887" spans="1:1" x14ac:dyDescent="0.25">
      <c r="A8887" s="15"/>
    </row>
    <row r="8888" spans="1:1" x14ac:dyDescent="0.25">
      <c r="A8888" s="15"/>
    </row>
    <row r="8889" spans="1:1" x14ac:dyDescent="0.25">
      <c r="A8889" s="15"/>
    </row>
    <row r="8890" spans="1:1" x14ac:dyDescent="0.25">
      <c r="A8890" s="15"/>
    </row>
    <row r="8891" spans="1:1" x14ac:dyDescent="0.25">
      <c r="A8891" s="15"/>
    </row>
    <row r="8892" spans="1:1" x14ac:dyDescent="0.25">
      <c r="A8892" s="15"/>
    </row>
    <row r="8893" spans="1:1" x14ac:dyDescent="0.25">
      <c r="A8893" s="15"/>
    </row>
    <row r="8894" spans="1:1" x14ac:dyDescent="0.25">
      <c r="A8894" s="15"/>
    </row>
    <row r="8895" spans="1:1" x14ac:dyDescent="0.25">
      <c r="A8895" s="15"/>
    </row>
    <row r="8896" spans="1:1" x14ac:dyDescent="0.25">
      <c r="A8896" s="15"/>
    </row>
    <row r="8897" spans="1:1" x14ac:dyDescent="0.25">
      <c r="A8897" s="15"/>
    </row>
    <row r="8898" spans="1:1" x14ac:dyDescent="0.25">
      <c r="A8898" s="15"/>
    </row>
    <row r="8899" spans="1:1" x14ac:dyDescent="0.25">
      <c r="A8899" s="15"/>
    </row>
    <row r="8900" spans="1:1" x14ac:dyDescent="0.25">
      <c r="A8900" s="15"/>
    </row>
    <row r="8901" spans="1:1" x14ac:dyDescent="0.25">
      <c r="A8901" s="15"/>
    </row>
    <row r="8902" spans="1:1" x14ac:dyDescent="0.25">
      <c r="A8902" s="15"/>
    </row>
    <row r="8903" spans="1:1" x14ac:dyDescent="0.25">
      <c r="A8903" s="15"/>
    </row>
    <row r="8904" spans="1:1" x14ac:dyDescent="0.25">
      <c r="A8904" s="15"/>
    </row>
    <row r="8905" spans="1:1" x14ac:dyDescent="0.25">
      <c r="A8905" s="15"/>
    </row>
    <row r="8906" spans="1:1" x14ac:dyDescent="0.25">
      <c r="A8906" s="15"/>
    </row>
    <row r="8907" spans="1:1" x14ac:dyDescent="0.25">
      <c r="A8907" s="15"/>
    </row>
    <row r="8908" spans="1:1" x14ac:dyDescent="0.25">
      <c r="A8908" s="15"/>
    </row>
    <row r="8909" spans="1:1" x14ac:dyDescent="0.25">
      <c r="A8909" s="15"/>
    </row>
    <row r="8910" spans="1:1" x14ac:dyDescent="0.25">
      <c r="A8910" s="15"/>
    </row>
    <row r="8911" spans="1:1" x14ac:dyDescent="0.25">
      <c r="A8911" s="15"/>
    </row>
    <row r="8912" spans="1:1" x14ac:dyDescent="0.25">
      <c r="A8912" s="15"/>
    </row>
    <row r="8913" spans="1:1" x14ac:dyDescent="0.25">
      <c r="A8913" s="15"/>
    </row>
    <row r="8914" spans="1:1" x14ac:dyDescent="0.25">
      <c r="A8914" s="15"/>
    </row>
    <row r="8915" spans="1:1" x14ac:dyDescent="0.25">
      <c r="A8915" s="15"/>
    </row>
    <row r="8916" spans="1:1" x14ac:dyDescent="0.25">
      <c r="A8916" s="15"/>
    </row>
    <row r="8917" spans="1:1" x14ac:dyDescent="0.25">
      <c r="A8917" s="15"/>
    </row>
    <row r="8918" spans="1:1" x14ac:dyDescent="0.25">
      <c r="A8918" s="15"/>
    </row>
    <row r="8919" spans="1:1" x14ac:dyDescent="0.25">
      <c r="A8919" s="15"/>
    </row>
    <row r="8920" spans="1:1" x14ac:dyDescent="0.25">
      <c r="A8920" s="15"/>
    </row>
    <row r="8921" spans="1:1" x14ac:dyDescent="0.25">
      <c r="A8921" s="15"/>
    </row>
    <row r="8922" spans="1:1" x14ac:dyDescent="0.25">
      <c r="A8922" s="15"/>
    </row>
    <row r="8923" spans="1:1" x14ac:dyDescent="0.25">
      <c r="A8923" s="15"/>
    </row>
    <row r="8924" spans="1:1" x14ac:dyDescent="0.25">
      <c r="A8924" s="15"/>
    </row>
    <row r="8925" spans="1:1" x14ac:dyDescent="0.25">
      <c r="A8925" s="15"/>
    </row>
    <row r="8926" spans="1:1" x14ac:dyDescent="0.25">
      <c r="A8926" s="15"/>
    </row>
    <row r="8927" spans="1:1" x14ac:dyDescent="0.25">
      <c r="A8927" s="15"/>
    </row>
    <row r="8928" spans="1:1" x14ac:dyDescent="0.25">
      <c r="A8928" s="15"/>
    </row>
    <row r="8929" spans="1:1" x14ac:dyDescent="0.25">
      <c r="A8929" s="15"/>
    </row>
    <row r="8930" spans="1:1" x14ac:dyDescent="0.25">
      <c r="A8930" s="15"/>
    </row>
    <row r="8931" spans="1:1" x14ac:dyDescent="0.25">
      <c r="A8931" s="15"/>
    </row>
    <row r="8932" spans="1:1" x14ac:dyDescent="0.25">
      <c r="A8932" s="15"/>
    </row>
    <row r="8933" spans="1:1" x14ac:dyDescent="0.25">
      <c r="A8933" s="15"/>
    </row>
    <row r="8934" spans="1:1" x14ac:dyDescent="0.25">
      <c r="A8934" s="15"/>
    </row>
    <row r="8935" spans="1:1" x14ac:dyDescent="0.25">
      <c r="A8935" s="15"/>
    </row>
    <row r="8936" spans="1:1" x14ac:dyDescent="0.25">
      <c r="A8936" s="15"/>
    </row>
    <row r="8937" spans="1:1" x14ac:dyDescent="0.25">
      <c r="A8937" s="15"/>
    </row>
    <row r="8938" spans="1:1" x14ac:dyDescent="0.25">
      <c r="A8938" s="15"/>
    </row>
    <row r="8939" spans="1:1" x14ac:dyDescent="0.25">
      <c r="A8939" s="15"/>
    </row>
    <row r="8940" spans="1:1" x14ac:dyDescent="0.25">
      <c r="A8940" s="15"/>
    </row>
    <row r="8941" spans="1:1" x14ac:dyDescent="0.25">
      <c r="A8941" s="15"/>
    </row>
    <row r="8942" spans="1:1" x14ac:dyDescent="0.25">
      <c r="A8942" s="15"/>
    </row>
    <row r="8943" spans="1:1" x14ac:dyDescent="0.25">
      <c r="A8943" s="15"/>
    </row>
    <row r="8944" spans="1:1" x14ac:dyDescent="0.25">
      <c r="A8944" s="15"/>
    </row>
    <row r="8945" spans="1:1" x14ac:dyDescent="0.25">
      <c r="A8945" s="15"/>
    </row>
    <row r="8946" spans="1:1" x14ac:dyDescent="0.25">
      <c r="A8946" s="15"/>
    </row>
    <row r="8947" spans="1:1" x14ac:dyDescent="0.25">
      <c r="A8947" s="15"/>
    </row>
    <row r="8948" spans="1:1" x14ac:dyDescent="0.25">
      <c r="A8948" s="15"/>
    </row>
    <row r="8949" spans="1:1" x14ac:dyDescent="0.25">
      <c r="A8949" s="15"/>
    </row>
    <row r="8950" spans="1:1" x14ac:dyDescent="0.25">
      <c r="A8950" s="15"/>
    </row>
    <row r="8951" spans="1:1" x14ac:dyDescent="0.25">
      <c r="A8951" s="15"/>
    </row>
    <row r="8952" spans="1:1" x14ac:dyDescent="0.25">
      <c r="A8952" s="15"/>
    </row>
    <row r="8953" spans="1:1" x14ac:dyDescent="0.25">
      <c r="A8953" s="15"/>
    </row>
    <row r="8954" spans="1:1" x14ac:dyDescent="0.25">
      <c r="A8954" s="15"/>
    </row>
    <row r="8955" spans="1:1" x14ac:dyDescent="0.25">
      <c r="A8955" s="15"/>
    </row>
    <row r="8956" spans="1:1" x14ac:dyDescent="0.25">
      <c r="A8956" s="15"/>
    </row>
    <row r="8957" spans="1:1" x14ac:dyDescent="0.25">
      <c r="A8957" s="15"/>
    </row>
    <row r="8958" spans="1:1" x14ac:dyDescent="0.25">
      <c r="A8958" s="15"/>
    </row>
    <row r="8959" spans="1:1" x14ac:dyDescent="0.25">
      <c r="A8959" s="15"/>
    </row>
    <row r="8960" spans="1:1" x14ac:dyDescent="0.25">
      <c r="A8960" s="15"/>
    </row>
    <row r="8961" spans="1:1" x14ac:dyDescent="0.25">
      <c r="A8961" s="15"/>
    </row>
    <row r="8962" spans="1:1" x14ac:dyDescent="0.25">
      <c r="A8962" s="15"/>
    </row>
    <row r="8963" spans="1:1" x14ac:dyDescent="0.25">
      <c r="A8963" s="15"/>
    </row>
    <row r="8964" spans="1:1" x14ac:dyDescent="0.25">
      <c r="A8964" s="15"/>
    </row>
    <row r="8965" spans="1:1" x14ac:dyDescent="0.25">
      <c r="A8965" s="15"/>
    </row>
    <row r="8966" spans="1:1" x14ac:dyDescent="0.25">
      <c r="A8966" s="15"/>
    </row>
    <row r="8967" spans="1:1" x14ac:dyDescent="0.25">
      <c r="A8967" s="15"/>
    </row>
    <row r="8968" spans="1:1" x14ac:dyDescent="0.25">
      <c r="A8968" s="15"/>
    </row>
    <row r="8969" spans="1:1" x14ac:dyDescent="0.25">
      <c r="A8969" s="15"/>
    </row>
    <row r="8970" spans="1:1" x14ac:dyDescent="0.25">
      <c r="A8970" s="15"/>
    </row>
    <row r="8971" spans="1:1" x14ac:dyDescent="0.25">
      <c r="A8971" s="15"/>
    </row>
    <row r="8972" spans="1:1" x14ac:dyDescent="0.25">
      <c r="A8972" s="15"/>
    </row>
    <row r="8973" spans="1:1" x14ac:dyDescent="0.25">
      <c r="A8973" s="15"/>
    </row>
    <row r="8974" spans="1:1" x14ac:dyDescent="0.25">
      <c r="A8974" s="15"/>
    </row>
    <row r="8975" spans="1:1" x14ac:dyDescent="0.25">
      <c r="A8975" s="15"/>
    </row>
    <row r="8976" spans="1:1" x14ac:dyDescent="0.25">
      <c r="A8976" s="15"/>
    </row>
    <row r="8977" spans="1:1" x14ac:dyDescent="0.25">
      <c r="A8977" s="15"/>
    </row>
    <row r="8978" spans="1:1" x14ac:dyDescent="0.25">
      <c r="A8978" s="15"/>
    </row>
    <row r="8979" spans="1:1" x14ac:dyDescent="0.25">
      <c r="A8979" s="15"/>
    </row>
    <row r="8980" spans="1:1" x14ac:dyDescent="0.25">
      <c r="A8980" s="15"/>
    </row>
    <row r="8981" spans="1:1" x14ac:dyDescent="0.25">
      <c r="A8981" s="15"/>
    </row>
    <row r="8982" spans="1:1" x14ac:dyDescent="0.25">
      <c r="A8982" s="15"/>
    </row>
    <row r="8983" spans="1:1" x14ac:dyDescent="0.25">
      <c r="A8983" s="15"/>
    </row>
    <row r="8984" spans="1:1" x14ac:dyDescent="0.25">
      <c r="A8984" s="15"/>
    </row>
    <row r="8985" spans="1:1" x14ac:dyDescent="0.25">
      <c r="A8985" s="15"/>
    </row>
    <row r="8986" spans="1:1" x14ac:dyDescent="0.25">
      <c r="A8986" s="15"/>
    </row>
    <row r="8987" spans="1:1" x14ac:dyDescent="0.25">
      <c r="A8987" s="15"/>
    </row>
    <row r="8988" spans="1:1" x14ac:dyDescent="0.25">
      <c r="A8988" s="15"/>
    </row>
    <row r="8989" spans="1:1" x14ac:dyDescent="0.25">
      <c r="A8989" s="15"/>
    </row>
    <row r="8990" spans="1:1" x14ac:dyDescent="0.25">
      <c r="A8990" s="15"/>
    </row>
    <row r="8991" spans="1:1" x14ac:dyDescent="0.25">
      <c r="A8991" s="15"/>
    </row>
    <row r="8992" spans="1:1" x14ac:dyDescent="0.25">
      <c r="A8992" s="15"/>
    </row>
    <row r="8993" spans="1:1" x14ac:dyDescent="0.25">
      <c r="A8993" s="15"/>
    </row>
    <row r="8994" spans="1:1" x14ac:dyDescent="0.25">
      <c r="A8994" s="15"/>
    </row>
    <row r="8995" spans="1:1" x14ac:dyDescent="0.25">
      <c r="A8995" s="15"/>
    </row>
    <row r="8996" spans="1:1" x14ac:dyDescent="0.25">
      <c r="A8996" s="15"/>
    </row>
    <row r="8997" spans="1:1" x14ac:dyDescent="0.25">
      <c r="A8997" s="15"/>
    </row>
    <row r="8998" spans="1:1" x14ac:dyDescent="0.25">
      <c r="A8998" s="15"/>
    </row>
    <row r="8999" spans="1:1" x14ac:dyDescent="0.25">
      <c r="A8999" s="15"/>
    </row>
    <row r="9000" spans="1:1" x14ac:dyDescent="0.25">
      <c r="A9000" s="15"/>
    </row>
    <row r="9001" spans="1:1" x14ac:dyDescent="0.25">
      <c r="A9001" s="15"/>
    </row>
    <row r="9002" spans="1:1" x14ac:dyDescent="0.25">
      <c r="A9002" s="15"/>
    </row>
    <row r="9003" spans="1:1" x14ac:dyDescent="0.25">
      <c r="A9003" s="15"/>
    </row>
    <row r="9004" spans="1:1" x14ac:dyDescent="0.25">
      <c r="A9004" s="15"/>
    </row>
    <row r="9005" spans="1:1" x14ac:dyDescent="0.25">
      <c r="A9005" s="15"/>
    </row>
    <row r="9006" spans="1:1" x14ac:dyDescent="0.25">
      <c r="A9006" s="15"/>
    </row>
    <row r="9007" spans="1:1" x14ac:dyDescent="0.25">
      <c r="A9007" s="15"/>
    </row>
    <row r="9008" spans="1:1" x14ac:dyDescent="0.25">
      <c r="A9008" s="15"/>
    </row>
    <row r="9009" spans="1:1" x14ac:dyDescent="0.25">
      <c r="A9009" s="15"/>
    </row>
    <row r="9010" spans="1:1" x14ac:dyDescent="0.25">
      <c r="A9010" s="15"/>
    </row>
    <row r="9011" spans="1:1" x14ac:dyDescent="0.25">
      <c r="A9011" s="15"/>
    </row>
    <row r="9012" spans="1:1" x14ac:dyDescent="0.25">
      <c r="A9012" s="15"/>
    </row>
    <row r="9013" spans="1:1" x14ac:dyDescent="0.25">
      <c r="A9013" s="15"/>
    </row>
    <row r="9014" spans="1:1" x14ac:dyDescent="0.25">
      <c r="A9014" s="15"/>
    </row>
    <row r="9015" spans="1:1" x14ac:dyDescent="0.25">
      <c r="A9015" s="15"/>
    </row>
    <row r="9016" spans="1:1" x14ac:dyDescent="0.25">
      <c r="A9016" s="15"/>
    </row>
    <row r="9017" spans="1:1" x14ac:dyDescent="0.25">
      <c r="A9017" s="15"/>
    </row>
    <row r="9018" spans="1:1" x14ac:dyDescent="0.25">
      <c r="A9018" s="15"/>
    </row>
    <row r="9019" spans="1:1" x14ac:dyDescent="0.25">
      <c r="A9019" s="15"/>
    </row>
    <row r="9020" spans="1:1" x14ac:dyDescent="0.25">
      <c r="A9020" s="15"/>
    </row>
    <row r="9021" spans="1:1" x14ac:dyDescent="0.25">
      <c r="A9021" s="15"/>
    </row>
    <row r="9022" spans="1:1" x14ac:dyDescent="0.25">
      <c r="A9022" s="15"/>
    </row>
    <row r="9023" spans="1:1" x14ac:dyDescent="0.25">
      <c r="A9023" s="15"/>
    </row>
    <row r="9024" spans="1:1" x14ac:dyDescent="0.25">
      <c r="A9024" s="15"/>
    </row>
    <row r="9025" spans="1:1" x14ac:dyDescent="0.25">
      <c r="A9025" s="15"/>
    </row>
    <row r="9026" spans="1:1" x14ac:dyDescent="0.25">
      <c r="A9026" s="15"/>
    </row>
    <row r="9027" spans="1:1" x14ac:dyDescent="0.25">
      <c r="A9027" s="15"/>
    </row>
    <row r="9028" spans="1:1" x14ac:dyDescent="0.25">
      <c r="A9028" s="15"/>
    </row>
    <row r="9029" spans="1:1" x14ac:dyDescent="0.25">
      <c r="A9029" s="15"/>
    </row>
    <row r="9030" spans="1:1" x14ac:dyDescent="0.25">
      <c r="A9030" s="15"/>
    </row>
    <row r="9031" spans="1:1" x14ac:dyDescent="0.25">
      <c r="A9031" s="15"/>
    </row>
    <row r="9032" spans="1:1" x14ac:dyDescent="0.25">
      <c r="A9032" s="15"/>
    </row>
    <row r="9033" spans="1:1" x14ac:dyDescent="0.25">
      <c r="A9033" s="15"/>
    </row>
    <row r="9034" spans="1:1" x14ac:dyDescent="0.25">
      <c r="A9034" s="15"/>
    </row>
    <row r="9035" spans="1:1" x14ac:dyDescent="0.25">
      <c r="A9035" s="15"/>
    </row>
    <row r="9036" spans="1:1" x14ac:dyDescent="0.25">
      <c r="A9036" s="15"/>
    </row>
    <row r="9037" spans="1:1" x14ac:dyDescent="0.25">
      <c r="A9037" s="15"/>
    </row>
    <row r="9038" spans="1:1" x14ac:dyDescent="0.25">
      <c r="A9038" s="15"/>
    </row>
    <row r="9039" spans="1:1" x14ac:dyDescent="0.25">
      <c r="A9039" s="15"/>
    </row>
    <row r="9040" spans="1:1" x14ac:dyDescent="0.25">
      <c r="A9040" s="15"/>
    </row>
    <row r="9041" spans="1:1" x14ac:dyDescent="0.25">
      <c r="A9041" s="15"/>
    </row>
    <row r="9042" spans="1:1" x14ac:dyDescent="0.25">
      <c r="A9042" s="15"/>
    </row>
    <row r="9043" spans="1:1" x14ac:dyDescent="0.25">
      <c r="A9043" s="15"/>
    </row>
    <row r="9044" spans="1:1" x14ac:dyDescent="0.25">
      <c r="A9044" s="15"/>
    </row>
    <row r="9045" spans="1:1" x14ac:dyDescent="0.25">
      <c r="A9045" s="15"/>
    </row>
    <row r="9046" spans="1:1" x14ac:dyDescent="0.25">
      <c r="A9046" s="15"/>
    </row>
    <row r="9047" spans="1:1" x14ac:dyDescent="0.25">
      <c r="A9047" s="15"/>
    </row>
    <row r="9048" spans="1:1" x14ac:dyDescent="0.25">
      <c r="A9048" s="15"/>
    </row>
    <row r="9049" spans="1:1" x14ac:dyDescent="0.25">
      <c r="A9049" s="15"/>
    </row>
    <row r="9050" spans="1:1" x14ac:dyDescent="0.25">
      <c r="A9050" s="15"/>
    </row>
    <row r="9051" spans="1:1" x14ac:dyDescent="0.25">
      <c r="A9051" s="15"/>
    </row>
    <row r="9052" spans="1:1" x14ac:dyDescent="0.25">
      <c r="A9052" s="15"/>
    </row>
    <row r="9053" spans="1:1" x14ac:dyDescent="0.25">
      <c r="A9053" s="15"/>
    </row>
    <row r="9054" spans="1:1" x14ac:dyDescent="0.25">
      <c r="A9054" s="15"/>
    </row>
    <row r="9055" spans="1:1" x14ac:dyDescent="0.25">
      <c r="A9055" s="15"/>
    </row>
    <row r="9056" spans="1:1" x14ac:dyDescent="0.25">
      <c r="A9056" s="15"/>
    </row>
    <row r="9057" spans="1:1" x14ac:dyDescent="0.25">
      <c r="A9057" s="15"/>
    </row>
    <row r="9058" spans="1:1" x14ac:dyDescent="0.25">
      <c r="A9058" s="15"/>
    </row>
    <row r="9059" spans="1:1" x14ac:dyDescent="0.25">
      <c r="A9059" s="15"/>
    </row>
    <row r="9060" spans="1:1" x14ac:dyDescent="0.25">
      <c r="A9060" s="15"/>
    </row>
    <row r="9061" spans="1:1" x14ac:dyDescent="0.25">
      <c r="A9061" s="15"/>
    </row>
    <row r="9062" spans="1:1" x14ac:dyDescent="0.25">
      <c r="A9062" s="15"/>
    </row>
    <row r="9063" spans="1:1" x14ac:dyDescent="0.25">
      <c r="A9063" s="15"/>
    </row>
    <row r="9064" spans="1:1" x14ac:dyDescent="0.25">
      <c r="A9064" s="15"/>
    </row>
    <row r="9065" spans="1:1" x14ac:dyDescent="0.25">
      <c r="A9065" s="15"/>
    </row>
    <row r="9066" spans="1:1" x14ac:dyDescent="0.25">
      <c r="A9066" s="15"/>
    </row>
    <row r="9067" spans="1:1" x14ac:dyDescent="0.25">
      <c r="A9067" s="15"/>
    </row>
    <row r="9068" spans="1:1" x14ac:dyDescent="0.25">
      <c r="A9068" s="15"/>
    </row>
    <row r="9069" spans="1:1" x14ac:dyDescent="0.25">
      <c r="A9069" s="15"/>
    </row>
    <row r="9070" spans="1:1" x14ac:dyDescent="0.25">
      <c r="A9070" s="15"/>
    </row>
    <row r="9071" spans="1:1" x14ac:dyDescent="0.25">
      <c r="A9071" s="15"/>
    </row>
    <row r="9072" spans="1:1" x14ac:dyDescent="0.25">
      <c r="A9072" s="15"/>
    </row>
    <row r="9073" spans="1:1" x14ac:dyDescent="0.25">
      <c r="A9073" s="15"/>
    </row>
    <row r="9074" spans="1:1" x14ac:dyDescent="0.25">
      <c r="A9074" s="15"/>
    </row>
    <row r="9075" spans="1:1" x14ac:dyDescent="0.25">
      <c r="A9075" s="15"/>
    </row>
    <row r="9076" spans="1:1" x14ac:dyDescent="0.25">
      <c r="A9076" s="15"/>
    </row>
    <row r="9077" spans="1:1" x14ac:dyDescent="0.25">
      <c r="A9077" s="15"/>
    </row>
    <row r="9078" spans="1:1" x14ac:dyDescent="0.25">
      <c r="A9078" s="15"/>
    </row>
    <row r="9079" spans="1:1" x14ac:dyDescent="0.25">
      <c r="A9079" s="15"/>
    </row>
    <row r="9080" spans="1:1" x14ac:dyDescent="0.25">
      <c r="A9080" s="15"/>
    </row>
    <row r="9081" spans="1:1" x14ac:dyDescent="0.25">
      <c r="A9081" s="15"/>
    </row>
    <row r="9082" spans="1:1" x14ac:dyDescent="0.25">
      <c r="A9082" s="15"/>
    </row>
    <row r="9083" spans="1:1" x14ac:dyDescent="0.25">
      <c r="A9083" s="15"/>
    </row>
    <row r="9084" spans="1:1" x14ac:dyDescent="0.25">
      <c r="A9084" s="15"/>
    </row>
    <row r="9085" spans="1:1" x14ac:dyDescent="0.25">
      <c r="A9085" s="15"/>
    </row>
    <row r="9086" spans="1:1" x14ac:dyDescent="0.25">
      <c r="A9086" s="15"/>
    </row>
    <row r="9087" spans="1:1" x14ac:dyDescent="0.25">
      <c r="A9087" s="15"/>
    </row>
    <row r="9088" spans="1:1" x14ac:dyDescent="0.25">
      <c r="A9088" s="15"/>
    </row>
    <row r="9089" spans="1:1" x14ac:dyDescent="0.25">
      <c r="A9089" s="15"/>
    </row>
    <row r="9090" spans="1:1" x14ac:dyDescent="0.25">
      <c r="A9090" s="15"/>
    </row>
    <row r="9091" spans="1:1" x14ac:dyDescent="0.25">
      <c r="A9091" s="15"/>
    </row>
    <row r="9092" spans="1:1" x14ac:dyDescent="0.25">
      <c r="A9092" s="15"/>
    </row>
    <row r="9093" spans="1:1" x14ac:dyDescent="0.25">
      <c r="A9093" s="15"/>
    </row>
    <row r="9094" spans="1:1" x14ac:dyDescent="0.25">
      <c r="A9094" s="15"/>
    </row>
    <row r="9095" spans="1:1" x14ac:dyDescent="0.25">
      <c r="A9095" s="15"/>
    </row>
    <row r="9096" spans="1:1" x14ac:dyDescent="0.25">
      <c r="A9096" s="15"/>
    </row>
    <row r="9097" spans="1:1" x14ac:dyDescent="0.25">
      <c r="A9097" s="15"/>
    </row>
    <row r="9098" spans="1:1" x14ac:dyDescent="0.25">
      <c r="A9098" s="15"/>
    </row>
    <row r="9099" spans="1:1" x14ac:dyDescent="0.25">
      <c r="A9099" s="15"/>
    </row>
    <row r="9100" spans="1:1" x14ac:dyDescent="0.25">
      <c r="A9100" s="15"/>
    </row>
    <row r="9101" spans="1:1" x14ac:dyDescent="0.25">
      <c r="A9101" s="15"/>
    </row>
    <row r="9102" spans="1:1" x14ac:dyDescent="0.25">
      <c r="A9102" s="15"/>
    </row>
    <row r="9103" spans="1:1" x14ac:dyDescent="0.25">
      <c r="A9103" s="15"/>
    </row>
    <row r="9104" spans="1:1" x14ac:dyDescent="0.25">
      <c r="A9104" s="15"/>
    </row>
    <row r="9105" spans="1:1" x14ac:dyDescent="0.25">
      <c r="A9105" s="15"/>
    </row>
    <row r="9106" spans="1:1" x14ac:dyDescent="0.25">
      <c r="A9106" s="15"/>
    </row>
    <row r="9107" spans="1:1" x14ac:dyDescent="0.25">
      <c r="A9107" s="15"/>
    </row>
    <row r="9108" spans="1:1" x14ac:dyDescent="0.25">
      <c r="A9108" s="15"/>
    </row>
    <row r="9109" spans="1:1" x14ac:dyDescent="0.25">
      <c r="A9109" s="15"/>
    </row>
    <row r="9110" spans="1:1" x14ac:dyDescent="0.25">
      <c r="A9110" s="15"/>
    </row>
    <row r="9111" spans="1:1" x14ac:dyDescent="0.25">
      <c r="A9111" s="15"/>
    </row>
    <row r="9112" spans="1:1" x14ac:dyDescent="0.25">
      <c r="A9112" s="15"/>
    </row>
    <row r="9113" spans="1:1" x14ac:dyDescent="0.25">
      <c r="A9113" s="15"/>
    </row>
    <row r="9114" spans="1:1" x14ac:dyDescent="0.25">
      <c r="A9114" s="15"/>
    </row>
    <row r="9115" spans="1:1" x14ac:dyDescent="0.25">
      <c r="A9115" s="15"/>
    </row>
    <row r="9116" spans="1:1" x14ac:dyDescent="0.25">
      <c r="A9116" s="15"/>
    </row>
    <row r="9117" spans="1:1" x14ac:dyDescent="0.25">
      <c r="A9117" s="15"/>
    </row>
    <row r="9118" spans="1:1" x14ac:dyDescent="0.25">
      <c r="A9118" s="15"/>
    </row>
    <row r="9119" spans="1:1" x14ac:dyDescent="0.25">
      <c r="A9119" s="15"/>
    </row>
    <row r="9120" spans="1:1" x14ac:dyDescent="0.25">
      <c r="A9120" s="15"/>
    </row>
    <row r="9121" spans="1:1" x14ac:dyDescent="0.25">
      <c r="A9121" s="15"/>
    </row>
    <row r="9122" spans="1:1" x14ac:dyDescent="0.25">
      <c r="A9122" s="15"/>
    </row>
    <row r="9123" spans="1:1" x14ac:dyDescent="0.25">
      <c r="A9123" s="15"/>
    </row>
    <row r="9124" spans="1:1" x14ac:dyDescent="0.25">
      <c r="A9124" s="15"/>
    </row>
    <row r="9125" spans="1:1" x14ac:dyDescent="0.25">
      <c r="A9125" s="15"/>
    </row>
    <row r="9126" spans="1:1" x14ac:dyDescent="0.25">
      <c r="A9126" s="15"/>
    </row>
    <row r="9127" spans="1:1" x14ac:dyDescent="0.25">
      <c r="A9127" s="15"/>
    </row>
    <row r="9128" spans="1:1" x14ac:dyDescent="0.25">
      <c r="A9128" s="15"/>
    </row>
    <row r="9129" spans="1:1" x14ac:dyDescent="0.25">
      <c r="A9129" s="15"/>
    </row>
    <row r="9130" spans="1:1" x14ac:dyDescent="0.25">
      <c r="A9130" s="15"/>
    </row>
    <row r="9131" spans="1:1" x14ac:dyDescent="0.25">
      <c r="A9131" s="15"/>
    </row>
    <row r="9132" spans="1:1" x14ac:dyDescent="0.25">
      <c r="A9132" s="15"/>
    </row>
    <row r="9133" spans="1:1" x14ac:dyDescent="0.25">
      <c r="A9133" s="15"/>
    </row>
    <row r="9134" spans="1:1" x14ac:dyDescent="0.25">
      <c r="A9134" s="15"/>
    </row>
    <row r="9135" spans="1:1" x14ac:dyDescent="0.25">
      <c r="A9135" s="15"/>
    </row>
    <row r="9136" spans="1:1" x14ac:dyDescent="0.25">
      <c r="A9136" s="15"/>
    </row>
    <row r="9137" spans="1:1" x14ac:dyDescent="0.25">
      <c r="A9137" s="15"/>
    </row>
    <row r="9138" spans="1:1" x14ac:dyDescent="0.25">
      <c r="A9138" s="15"/>
    </row>
    <row r="9139" spans="1:1" x14ac:dyDescent="0.25">
      <c r="A9139" s="15"/>
    </row>
    <row r="9140" spans="1:1" x14ac:dyDescent="0.25">
      <c r="A9140" s="15"/>
    </row>
    <row r="9141" spans="1:1" x14ac:dyDescent="0.25">
      <c r="A9141" s="15"/>
    </row>
    <row r="9142" spans="1:1" x14ac:dyDescent="0.25">
      <c r="A9142" s="15"/>
    </row>
    <row r="9143" spans="1:1" x14ac:dyDescent="0.25">
      <c r="A9143" s="15"/>
    </row>
    <row r="9144" spans="1:1" x14ac:dyDescent="0.25">
      <c r="A9144" s="15"/>
    </row>
    <row r="9145" spans="1:1" x14ac:dyDescent="0.25">
      <c r="A9145" s="15"/>
    </row>
    <row r="9146" spans="1:1" x14ac:dyDescent="0.25">
      <c r="A9146" s="15"/>
    </row>
    <row r="9147" spans="1:1" x14ac:dyDescent="0.25">
      <c r="A9147" s="15"/>
    </row>
    <row r="9148" spans="1:1" x14ac:dyDescent="0.25">
      <c r="A9148" s="15"/>
    </row>
    <row r="9149" spans="1:1" x14ac:dyDescent="0.25">
      <c r="A9149" s="15"/>
    </row>
    <row r="9150" spans="1:1" x14ac:dyDescent="0.25">
      <c r="A9150" s="15"/>
    </row>
    <row r="9151" spans="1:1" x14ac:dyDescent="0.25">
      <c r="A9151" s="15"/>
    </row>
    <row r="9152" spans="1:1" x14ac:dyDescent="0.25">
      <c r="A9152" s="15"/>
    </row>
    <row r="9153" spans="1:1" x14ac:dyDescent="0.25">
      <c r="A9153" s="15"/>
    </row>
    <row r="9154" spans="1:1" x14ac:dyDescent="0.25">
      <c r="A9154" s="15"/>
    </row>
    <row r="9155" spans="1:1" x14ac:dyDescent="0.25">
      <c r="A9155" s="15"/>
    </row>
    <row r="9156" spans="1:1" x14ac:dyDescent="0.25">
      <c r="A9156" s="15"/>
    </row>
    <row r="9157" spans="1:1" x14ac:dyDescent="0.25">
      <c r="A9157" s="15"/>
    </row>
    <row r="9158" spans="1:1" x14ac:dyDescent="0.25">
      <c r="A9158" s="15"/>
    </row>
    <row r="9159" spans="1:1" x14ac:dyDescent="0.25">
      <c r="A9159" s="15"/>
    </row>
    <row r="9160" spans="1:1" x14ac:dyDescent="0.25">
      <c r="A9160" s="15"/>
    </row>
    <row r="9161" spans="1:1" x14ac:dyDescent="0.25">
      <c r="A9161" s="15"/>
    </row>
    <row r="9162" spans="1:1" x14ac:dyDescent="0.25">
      <c r="A9162" s="15"/>
    </row>
    <row r="9163" spans="1:1" x14ac:dyDescent="0.25">
      <c r="A9163" s="15"/>
    </row>
    <row r="9164" spans="1:1" x14ac:dyDescent="0.25">
      <c r="A9164" s="15"/>
    </row>
    <row r="9165" spans="1:1" x14ac:dyDescent="0.25">
      <c r="A9165" s="15"/>
    </row>
    <row r="9166" spans="1:1" x14ac:dyDescent="0.25">
      <c r="A9166" s="15"/>
    </row>
    <row r="9167" spans="1:1" x14ac:dyDescent="0.25">
      <c r="A9167" s="15"/>
    </row>
    <row r="9168" spans="1:1" x14ac:dyDescent="0.25">
      <c r="A9168" s="15"/>
    </row>
    <row r="9169" spans="1:1" x14ac:dyDescent="0.25">
      <c r="A9169" s="15"/>
    </row>
    <row r="9170" spans="1:1" x14ac:dyDescent="0.25">
      <c r="A9170" s="15"/>
    </row>
    <row r="9171" spans="1:1" x14ac:dyDescent="0.25">
      <c r="A9171" s="15"/>
    </row>
    <row r="9172" spans="1:1" x14ac:dyDescent="0.25">
      <c r="A9172" s="15"/>
    </row>
    <row r="9173" spans="1:1" x14ac:dyDescent="0.25">
      <c r="A9173" s="15"/>
    </row>
    <row r="9174" spans="1:1" x14ac:dyDescent="0.25">
      <c r="A9174" s="15"/>
    </row>
    <row r="9175" spans="1:1" x14ac:dyDescent="0.25">
      <c r="A9175" s="15"/>
    </row>
    <row r="9176" spans="1:1" x14ac:dyDescent="0.25">
      <c r="A9176" s="15"/>
    </row>
    <row r="9177" spans="1:1" x14ac:dyDescent="0.25">
      <c r="A9177" s="15"/>
    </row>
    <row r="9178" spans="1:1" x14ac:dyDescent="0.25">
      <c r="A9178" s="15"/>
    </row>
    <row r="9179" spans="1:1" x14ac:dyDescent="0.25">
      <c r="A9179" s="15"/>
    </row>
    <row r="9180" spans="1:1" x14ac:dyDescent="0.25">
      <c r="A9180" s="15"/>
    </row>
    <row r="9181" spans="1:1" x14ac:dyDescent="0.25">
      <c r="A9181" s="15"/>
    </row>
    <row r="9182" spans="1:1" x14ac:dyDescent="0.25">
      <c r="A9182" s="15"/>
    </row>
    <row r="9183" spans="1:1" x14ac:dyDescent="0.25">
      <c r="A9183" s="15"/>
    </row>
    <row r="9184" spans="1:1" x14ac:dyDescent="0.25">
      <c r="A9184" s="15"/>
    </row>
    <row r="9185" spans="1:1" x14ac:dyDescent="0.25">
      <c r="A9185" s="15"/>
    </row>
    <row r="9186" spans="1:1" x14ac:dyDescent="0.25">
      <c r="A9186" s="15"/>
    </row>
    <row r="9187" spans="1:1" x14ac:dyDescent="0.25">
      <c r="A9187" s="15"/>
    </row>
    <row r="9188" spans="1:1" x14ac:dyDescent="0.25">
      <c r="A9188" s="15"/>
    </row>
    <row r="9189" spans="1:1" x14ac:dyDescent="0.25">
      <c r="A9189" s="15"/>
    </row>
    <row r="9190" spans="1:1" x14ac:dyDescent="0.25">
      <c r="A9190" s="15"/>
    </row>
    <row r="9191" spans="1:1" x14ac:dyDescent="0.25">
      <c r="A9191" s="15"/>
    </row>
    <row r="9192" spans="1:1" x14ac:dyDescent="0.25">
      <c r="A9192" s="15"/>
    </row>
    <row r="9193" spans="1:1" x14ac:dyDescent="0.25">
      <c r="A9193" s="15"/>
    </row>
    <row r="9194" spans="1:1" x14ac:dyDescent="0.25">
      <c r="A9194" s="15"/>
    </row>
    <row r="9195" spans="1:1" x14ac:dyDescent="0.25">
      <c r="A9195" s="15"/>
    </row>
    <row r="9196" spans="1:1" x14ac:dyDescent="0.25">
      <c r="A9196" s="15"/>
    </row>
    <row r="9197" spans="1:1" x14ac:dyDescent="0.25">
      <c r="A9197" s="15"/>
    </row>
    <row r="9198" spans="1:1" x14ac:dyDescent="0.25">
      <c r="A9198" s="15"/>
    </row>
    <row r="9199" spans="1:1" x14ac:dyDescent="0.25">
      <c r="A9199" s="15"/>
    </row>
    <row r="9200" spans="1:1" x14ac:dyDescent="0.25">
      <c r="A9200" s="15"/>
    </row>
    <row r="9201" spans="1:1" x14ac:dyDescent="0.25">
      <c r="A9201" s="15"/>
    </row>
    <row r="9202" spans="1:1" x14ac:dyDescent="0.25">
      <c r="A9202" s="15"/>
    </row>
    <row r="9203" spans="1:1" x14ac:dyDescent="0.25">
      <c r="A9203" s="15"/>
    </row>
    <row r="9204" spans="1:1" x14ac:dyDescent="0.25">
      <c r="A9204" s="15"/>
    </row>
    <row r="9205" spans="1:1" x14ac:dyDescent="0.25">
      <c r="A9205" s="15"/>
    </row>
    <row r="9206" spans="1:1" x14ac:dyDescent="0.25">
      <c r="A9206" s="15"/>
    </row>
    <row r="9207" spans="1:1" x14ac:dyDescent="0.25">
      <c r="A9207" s="15"/>
    </row>
    <row r="9208" spans="1:1" x14ac:dyDescent="0.25">
      <c r="A9208" s="15"/>
    </row>
    <row r="9209" spans="1:1" x14ac:dyDescent="0.25">
      <c r="A9209" s="15"/>
    </row>
    <row r="9210" spans="1:1" x14ac:dyDescent="0.25">
      <c r="A9210" s="15"/>
    </row>
    <row r="9211" spans="1:1" x14ac:dyDescent="0.25">
      <c r="A9211" s="15"/>
    </row>
    <row r="9212" spans="1:1" x14ac:dyDescent="0.25">
      <c r="A9212" s="15"/>
    </row>
    <row r="9213" spans="1:1" x14ac:dyDescent="0.25">
      <c r="A9213" s="15"/>
    </row>
    <row r="9214" spans="1:1" x14ac:dyDescent="0.25">
      <c r="A9214" s="15"/>
    </row>
    <row r="9215" spans="1:1" x14ac:dyDescent="0.25">
      <c r="A9215" s="15"/>
    </row>
    <row r="9216" spans="1:1" x14ac:dyDescent="0.25">
      <c r="A9216" s="15"/>
    </row>
    <row r="9217" spans="1:1" x14ac:dyDescent="0.25">
      <c r="A9217" s="15"/>
    </row>
    <row r="9218" spans="1:1" x14ac:dyDescent="0.25">
      <c r="A9218" s="15"/>
    </row>
    <row r="9219" spans="1:1" x14ac:dyDescent="0.25">
      <c r="A9219" s="15"/>
    </row>
    <row r="9220" spans="1:1" x14ac:dyDescent="0.25">
      <c r="A9220" s="15"/>
    </row>
    <row r="9221" spans="1:1" x14ac:dyDescent="0.25">
      <c r="A9221" s="15"/>
    </row>
    <row r="9222" spans="1:1" x14ac:dyDescent="0.25">
      <c r="A9222" s="15"/>
    </row>
    <row r="9223" spans="1:1" x14ac:dyDescent="0.25">
      <c r="A9223" s="15"/>
    </row>
    <row r="9224" spans="1:1" x14ac:dyDescent="0.25">
      <c r="A9224" s="15"/>
    </row>
    <row r="9225" spans="1:1" x14ac:dyDescent="0.25">
      <c r="A9225" s="15"/>
    </row>
    <row r="9226" spans="1:1" x14ac:dyDescent="0.25">
      <c r="A9226" s="15"/>
    </row>
    <row r="9227" spans="1:1" x14ac:dyDescent="0.25">
      <c r="A9227" s="15"/>
    </row>
    <row r="9228" spans="1:1" x14ac:dyDescent="0.25">
      <c r="A9228" s="15"/>
    </row>
    <row r="9229" spans="1:1" x14ac:dyDescent="0.25">
      <c r="A9229" s="15"/>
    </row>
    <row r="9230" spans="1:1" x14ac:dyDescent="0.25">
      <c r="A9230" s="15"/>
    </row>
    <row r="9231" spans="1:1" x14ac:dyDescent="0.25">
      <c r="A9231" s="15"/>
    </row>
    <row r="9232" spans="1:1" x14ac:dyDescent="0.25">
      <c r="A9232" s="15"/>
    </row>
    <row r="9233" spans="1:1" x14ac:dyDescent="0.25">
      <c r="A9233" s="15"/>
    </row>
    <row r="9234" spans="1:1" x14ac:dyDescent="0.25">
      <c r="A9234" s="15"/>
    </row>
    <row r="9235" spans="1:1" x14ac:dyDescent="0.25">
      <c r="A9235" s="15"/>
    </row>
    <row r="9236" spans="1:1" x14ac:dyDescent="0.25">
      <c r="A9236" s="15"/>
    </row>
    <row r="9237" spans="1:1" x14ac:dyDescent="0.25">
      <c r="A9237" s="15"/>
    </row>
    <row r="9238" spans="1:1" x14ac:dyDescent="0.25">
      <c r="A9238" s="15"/>
    </row>
    <row r="9239" spans="1:1" x14ac:dyDescent="0.25">
      <c r="A9239" s="15"/>
    </row>
    <row r="9240" spans="1:1" x14ac:dyDescent="0.25">
      <c r="A9240" s="15"/>
    </row>
    <row r="9241" spans="1:1" x14ac:dyDescent="0.25">
      <c r="A9241" s="15"/>
    </row>
    <row r="9242" spans="1:1" x14ac:dyDescent="0.25">
      <c r="A9242" s="15"/>
    </row>
    <row r="9243" spans="1:1" x14ac:dyDescent="0.25">
      <c r="A9243" s="15"/>
    </row>
    <row r="9244" spans="1:1" x14ac:dyDescent="0.25">
      <c r="A9244" s="15"/>
    </row>
    <row r="9245" spans="1:1" x14ac:dyDescent="0.25">
      <c r="A9245" s="15"/>
    </row>
    <row r="9246" spans="1:1" x14ac:dyDescent="0.25">
      <c r="A9246" s="15"/>
    </row>
    <row r="9247" spans="1:1" x14ac:dyDescent="0.25">
      <c r="A9247" s="15"/>
    </row>
    <row r="9248" spans="1:1" x14ac:dyDescent="0.25">
      <c r="A9248" s="15"/>
    </row>
    <row r="9249" spans="1:1" x14ac:dyDescent="0.25">
      <c r="A9249" s="15"/>
    </row>
    <row r="9250" spans="1:1" x14ac:dyDescent="0.25">
      <c r="A9250" s="15"/>
    </row>
    <row r="9251" spans="1:1" x14ac:dyDescent="0.25">
      <c r="A9251" s="15"/>
    </row>
    <row r="9252" spans="1:1" x14ac:dyDescent="0.25">
      <c r="A9252" s="15"/>
    </row>
    <row r="9253" spans="1:1" x14ac:dyDescent="0.25">
      <c r="A9253" s="15"/>
    </row>
    <row r="9254" spans="1:1" x14ac:dyDescent="0.25">
      <c r="A9254" s="15"/>
    </row>
    <row r="9255" spans="1:1" x14ac:dyDescent="0.25">
      <c r="A9255" s="15"/>
    </row>
    <row r="9256" spans="1:1" x14ac:dyDescent="0.25">
      <c r="A9256" s="15"/>
    </row>
    <row r="9257" spans="1:1" x14ac:dyDescent="0.25">
      <c r="A9257" s="15"/>
    </row>
    <row r="9258" spans="1:1" x14ac:dyDescent="0.25">
      <c r="A9258" s="15"/>
    </row>
    <row r="9259" spans="1:1" x14ac:dyDescent="0.25">
      <c r="A9259" s="15"/>
    </row>
    <row r="9260" spans="1:1" x14ac:dyDescent="0.25">
      <c r="A9260" s="15"/>
    </row>
    <row r="9261" spans="1:1" x14ac:dyDescent="0.25">
      <c r="A9261" s="15"/>
    </row>
    <row r="9262" spans="1:1" x14ac:dyDescent="0.25">
      <c r="A9262" s="15"/>
    </row>
    <row r="9263" spans="1:1" x14ac:dyDescent="0.25">
      <c r="A9263" s="15"/>
    </row>
    <row r="9264" spans="1:1" x14ac:dyDescent="0.25">
      <c r="A9264" s="15"/>
    </row>
    <row r="9265" spans="1:1" x14ac:dyDescent="0.25">
      <c r="A9265" s="15"/>
    </row>
    <row r="9266" spans="1:1" x14ac:dyDescent="0.25">
      <c r="A9266" s="15"/>
    </row>
    <row r="9267" spans="1:1" x14ac:dyDescent="0.25">
      <c r="A9267" s="15"/>
    </row>
    <row r="9268" spans="1:1" x14ac:dyDescent="0.25">
      <c r="A9268" s="15"/>
    </row>
    <row r="9269" spans="1:1" x14ac:dyDescent="0.25">
      <c r="A9269" s="15"/>
    </row>
    <row r="9270" spans="1:1" x14ac:dyDescent="0.25">
      <c r="A9270" s="15"/>
    </row>
    <row r="9271" spans="1:1" x14ac:dyDescent="0.25">
      <c r="A9271" s="15"/>
    </row>
    <row r="9272" spans="1:1" x14ac:dyDescent="0.25">
      <c r="A9272" s="15"/>
    </row>
    <row r="9273" spans="1:1" x14ac:dyDescent="0.25">
      <c r="A9273" s="15"/>
    </row>
    <row r="9274" spans="1:1" x14ac:dyDescent="0.25">
      <c r="A9274" s="15"/>
    </row>
    <row r="9275" spans="1:1" x14ac:dyDescent="0.25">
      <c r="A9275" s="15"/>
    </row>
    <row r="9276" spans="1:1" x14ac:dyDescent="0.25">
      <c r="A9276" s="15"/>
    </row>
    <row r="9277" spans="1:1" x14ac:dyDescent="0.25">
      <c r="A9277" s="15"/>
    </row>
    <row r="9278" spans="1:1" x14ac:dyDescent="0.25">
      <c r="A9278" s="15"/>
    </row>
    <row r="9279" spans="1:1" x14ac:dyDescent="0.25">
      <c r="A9279" s="15"/>
    </row>
    <row r="9280" spans="1:1" x14ac:dyDescent="0.25">
      <c r="A9280" s="15"/>
    </row>
    <row r="9281" spans="1:1" x14ac:dyDescent="0.25">
      <c r="A9281" s="15"/>
    </row>
    <row r="9282" spans="1:1" x14ac:dyDescent="0.25">
      <c r="A9282" s="15"/>
    </row>
    <row r="9283" spans="1:1" x14ac:dyDescent="0.25">
      <c r="A9283" s="15"/>
    </row>
    <row r="9284" spans="1:1" x14ac:dyDescent="0.25">
      <c r="A9284" s="15"/>
    </row>
    <row r="9285" spans="1:1" x14ac:dyDescent="0.25">
      <c r="A9285" s="15"/>
    </row>
    <row r="9286" spans="1:1" x14ac:dyDescent="0.25">
      <c r="A9286" s="15"/>
    </row>
    <row r="9287" spans="1:1" x14ac:dyDescent="0.25">
      <c r="A9287" s="15"/>
    </row>
    <row r="9288" spans="1:1" x14ac:dyDescent="0.25">
      <c r="A9288" s="15"/>
    </row>
    <row r="9289" spans="1:1" x14ac:dyDescent="0.25">
      <c r="A9289" s="15"/>
    </row>
    <row r="9290" spans="1:1" x14ac:dyDescent="0.25">
      <c r="A9290" s="15"/>
    </row>
    <row r="9291" spans="1:1" x14ac:dyDescent="0.25">
      <c r="A9291" s="15"/>
    </row>
    <row r="9292" spans="1:1" x14ac:dyDescent="0.25">
      <c r="A9292" s="15"/>
    </row>
    <row r="9293" spans="1:1" x14ac:dyDescent="0.25">
      <c r="A9293" s="15"/>
    </row>
    <row r="9294" spans="1:1" x14ac:dyDescent="0.25">
      <c r="A9294" s="15"/>
    </row>
    <row r="9295" spans="1:1" x14ac:dyDescent="0.25">
      <c r="A9295" s="15"/>
    </row>
    <row r="9296" spans="1:1" x14ac:dyDescent="0.25">
      <c r="A9296" s="15"/>
    </row>
    <row r="9297" spans="1:1" x14ac:dyDescent="0.25">
      <c r="A9297" s="15"/>
    </row>
    <row r="9298" spans="1:1" x14ac:dyDescent="0.25">
      <c r="A9298" s="15"/>
    </row>
    <row r="9299" spans="1:1" x14ac:dyDescent="0.25">
      <c r="A9299" s="15"/>
    </row>
    <row r="9300" spans="1:1" x14ac:dyDescent="0.25">
      <c r="A9300" s="15"/>
    </row>
    <row r="9301" spans="1:1" x14ac:dyDescent="0.25">
      <c r="A9301" s="15"/>
    </row>
    <row r="9302" spans="1:1" x14ac:dyDescent="0.25">
      <c r="A9302" s="15"/>
    </row>
    <row r="9303" spans="1:1" x14ac:dyDescent="0.25">
      <c r="A9303" s="15"/>
    </row>
    <row r="9304" spans="1:1" x14ac:dyDescent="0.25">
      <c r="A9304" s="15"/>
    </row>
    <row r="9305" spans="1:1" x14ac:dyDescent="0.25">
      <c r="A9305" s="15"/>
    </row>
    <row r="9306" spans="1:1" x14ac:dyDescent="0.25">
      <c r="A9306" s="15"/>
    </row>
    <row r="9307" spans="1:1" x14ac:dyDescent="0.25">
      <c r="A9307" s="15"/>
    </row>
    <row r="9308" spans="1:1" x14ac:dyDescent="0.25">
      <c r="A9308" s="15"/>
    </row>
    <row r="9309" spans="1:1" x14ac:dyDescent="0.25">
      <c r="A9309" s="15"/>
    </row>
    <row r="9310" spans="1:1" x14ac:dyDescent="0.25">
      <c r="A9310" s="15"/>
    </row>
    <row r="9311" spans="1:1" x14ac:dyDescent="0.25">
      <c r="A9311" s="15"/>
    </row>
    <row r="9312" spans="1:1" x14ac:dyDescent="0.25">
      <c r="A9312" s="15"/>
    </row>
    <row r="9313" spans="1:1" x14ac:dyDescent="0.25">
      <c r="A9313" s="15"/>
    </row>
    <row r="9314" spans="1:1" x14ac:dyDescent="0.25">
      <c r="A9314" s="15"/>
    </row>
    <row r="9315" spans="1:1" x14ac:dyDescent="0.25">
      <c r="A9315" s="15"/>
    </row>
    <row r="9316" spans="1:1" x14ac:dyDescent="0.25">
      <c r="A9316" s="15"/>
    </row>
    <row r="9317" spans="1:1" x14ac:dyDescent="0.25">
      <c r="A9317" s="15"/>
    </row>
    <row r="9318" spans="1:1" x14ac:dyDescent="0.25">
      <c r="A9318" s="15"/>
    </row>
    <row r="9319" spans="1:1" x14ac:dyDescent="0.25">
      <c r="A9319" s="15"/>
    </row>
    <row r="9320" spans="1:1" x14ac:dyDescent="0.25">
      <c r="A9320" s="15"/>
    </row>
    <row r="9321" spans="1:1" x14ac:dyDescent="0.25">
      <c r="A9321" s="15"/>
    </row>
    <row r="9322" spans="1:1" x14ac:dyDescent="0.25">
      <c r="A9322" s="15"/>
    </row>
    <row r="9323" spans="1:1" x14ac:dyDescent="0.25">
      <c r="A9323" s="15"/>
    </row>
    <row r="9324" spans="1:1" x14ac:dyDescent="0.25">
      <c r="A9324" s="15"/>
    </row>
    <row r="9325" spans="1:1" x14ac:dyDescent="0.25">
      <c r="A9325" s="15"/>
    </row>
    <row r="9326" spans="1:1" x14ac:dyDescent="0.25">
      <c r="A9326" s="15"/>
    </row>
    <row r="9327" spans="1:1" x14ac:dyDescent="0.25">
      <c r="A9327" s="15"/>
    </row>
    <row r="9328" spans="1:1" x14ac:dyDescent="0.25">
      <c r="A9328" s="15"/>
    </row>
    <row r="9329" spans="1:1" x14ac:dyDescent="0.25">
      <c r="A9329" s="15"/>
    </row>
    <row r="9330" spans="1:1" x14ac:dyDescent="0.25">
      <c r="A9330" s="15"/>
    </row>
    <row r="9331" spans="1:1" x14ac:dyDescent="0.25">
      <c r="A9331" s="15"/>
    </row>
    <row r="9332" spans="1:1" x14ac:dyDescent="0.25">
      <c r="A9332" s="15"/>
    </row>
    <row r="9333" spans="1:1" x14ac:dyDescent="0.25">
      <c r="A9333" s="15"/>
    </row>
    <row r="9334" spans="1:1" x14ac:dyDescent="0.25">
      <c r="A9334" s="15"/>
    </row>
    <row r="9335" spans="1:1" x14ac:dyDescent="0.25">
      <c r="A9335" s="15"/>
    </row>
    <row r="9336" spans="1:1" x14ac:dyDescent="0.25">
      <c r="A9336" s="15"/>
    </row>
    <row r="9337" spans="1:1" x14ac:dyDescent="0.25">
      <c r="A9337" s="15"/>
    </row>
    <row r="9338" spans="1:1" x14ac:dyDescent="0.25">
      <c r="A9338" s="15"/>
    </row>
    <row r="9339" spans="1:1" x14ac:dyDescent="0.25">
      <c r="A9339" s="15"/>
    </row>
    <row r="9340" spans="1:1" x14ac:dyDescent="0.25">
      <c r="A9340" s="15"/>
    </row>
    <row r="9341" spans="1:1" x14ac:dyDescent="0.25">
      <c r="A9341" s="15"/>
    </row>
    <row r="9342" spans="1:1" x14ac:dyDescent="0.25">
      <c r="A9342" s="15"/>
    </row>
    <row r="9343" spans="1:1" x14ac:dyDescent="0.25">
      <c r="A9343" s="15"/>
    </row>
    <row r="9344" spans="1:1" x14ac:dyDescent="0.25">
      <c r="A9344" s="15"/>
    </row>
    <row r="9345" spans="1:1" x14ac:dyDescent="0.25">
      <c r="A9345" s="15"/>
    </row>
    <row r="9346" spans="1:1" x14ac:dyDescent="0.25">
      <c r="A9346" s="15"/>
    </row>
    <row r="9347" spans="1:1" x14ac:dyDescent="0.25">
      <c r="A9347" s="15"/>
    </row>
    <row r="9348" spans="1:1" x14ac:dyDescent="0.25">
      <c r="A9348" s="15"/>
    </row>
    <row r="9349" spans="1:1" x14ac:dyDescent="0.25">
      <c r="A9349" s="15"/>
    </row>
    <row r="9350" spans="1:1" x14ac:dyDescent="0.25">
      <c r="A9350" s="15"/>
    </row>
    <row r="9351" spans="1:1" x14ac:dyDescent="0.25">
      <c r="A9351" s="15"/>
    </row>
    <row r="9352" spans="1:1" x14ac:dyDescent="0.25">
      <c r="A9352" s="15"/>
    </row>
    <row r="9353" spans="1:1" x14ac:dyDescent="0.25">
      <c r="A9353" s="15"/>
    </row>
    <row r="9354" spans="1:1" x14ac:dyDescent="0.25">
      <c r="A9354" s="15"/>
    </row>
    <row r="9355" spans="1:1" x14ac:dyDescent="0.25">
      <c r="A9355" s="15"/>
    </row>
    <row r="9356" spans="1:1" x14ac:dyDescent="0.25">
      <c r="A9356" s="15"/>
    </row>
    <row r="9357" spans="1:1" x14ac:dyDescent="0.25">
      <c r="A9357" s="15"/>
    </row>
    <row r="9358" spans="1:1" x14ac:dyDescent="0.25">
      <c r="A9358" s="15"/>
    </row>
    <row r="9359" spans="1:1" x14ac:dyDescent="0.25">
      <c r="A9359" s="15"/>
    </row>
    <row r="9360" spans="1:1" x14ac:dyDescent="0.25">
      <c r="A9360" s="15"/>
    </row>
    <row r="9361" spans="1:1" x14ac:dyDescent="0.25">
      <c r="A9361" s="15"/>
    </row>
    <row r="9362" spans="1:1" x14ac:dyDescent="0.25">
      <c r="A9362" s="15"/>
    </row>
    <row r="9363" spans="1:1" x14ac:dyDescent="0.25">
      <c r="A9363" s="15"/>
    </row>
    <row r="9364" spans="1:1" x14ac:dyDescent="0.25">
      <c r="A9364" s="15"/>
    </row>
    <row r="9365" spans="1:1" x14ac:dyDescent="0.25">
      <c r="A9365" s="15"/>
    </row>
    <row r="9366" spans="1:1" x14ac:dyDescent="0.25">
      <c r="A9366" s="15"/>
    </row>
    <row r="9367" spans="1:1" x14ac:dyDescent="0.25">
      <c r="A9367" s="15"/>
    </row>
    <row r="9368" spans="1:1" x14ac:dyDescent="0.25">
      <c r="A9368" s="15"/>
    </row>
    <row r="9369" spans="1:1" x14ac:dyDescent="0.25">
      <c r="A9369" s="15"/>
    </row>
    <row r="9370" spans="1:1" x14ac:dyDescent="0.25">
      <c r="A9370" s="15"/>
    </row>
    <row r="9371" spans="1:1" x14ac:dyDescent="0.25">
      <c r="A9371" s="15"/>
    </row>
    <row r="9372" spans="1:1" x14ac:dyDescent="0.25">
      <c r="A9372" s="15"/>
    </row>
    <row r="9373" spans="1:1" x14ac:dyDescent="0.25">
      <c r="A9373" s="15"/>
    </row>
    <row r="9374" spans="1:1" x14ac:dyDescent="0.25">
      <c r="A9374" s="15"/>
    </row>
    <row r="9375" spans="1:1" x14ac:dyDescent="0.25">
      <c r="A9375" s="15"/>
    </row>
    <row r="9376" spans="1:1" x14ac:dyDescent="0.25">
      <c r="A9376" s="15"/>
    </row>
    <row r="9377" spans="1:1" x14ac:dyDescent="0.25">
      <c r="A9377" s="15"/>
    </row>
    <row r="9378" spans="1:1" x14ac:dyDescent="0.25">
      <c r="A9378" s="15"/>
    </row>
    <row r="9379" spans="1:1" x14ac:dyDescent="0.25">
      <c r="A9379" s="15"/>
    </row>
    <row r="9380" spans="1:1" x14ac:dyDescent="0.25">
      <c r="A9380" s="15"/>
    </row>
    <row r="9381" spans="1:1" x14ac:dyDescent="0.25">
      <c r="A9381" s="15"/>
    </row>
    <row r="9382" spans="1:1" x14ac:dyDescent="0.25">
      <c r="A9382" s="15"/>
    </row>
    <row r="9383" spans="1:1" x14ac:dyDescent="0.25">
      <c r="A9383" s="15"/>
    </row>
    <row r="9384" spans="1:1" x14ac:dyDescent="0.25">
      <c r="A9384" s="15"/>
    </row>
    <row r="9385" spans="1:1" x14ac:dyDescent="0.25">
      <c r="A9385" s="15"/>
    </row>
    <row r="9386" spans="1:1" x14ac:dyDescent="0.25">
      <c r="A9386" s="15"/>
    </row>
    <row r="9387" spans="1:1" x14ac:dyDescent="0.25">
      <c r="A9387" s="15"/>
    </row>
    <row r="9388" spans="1:1" x14ac:dyDescent="0.25">
      <c r="A9388" s="15"/>
    </row>
    <row r="9389" spans="1:1" x14ac:dyDescent="0.25">
      <c r="A9389" s="15"/>
    </row>
    <row r="9390" spans="1:1" x14ac:dyDescent="0.25">
      <c r="A9390" s="15"/>
    </row>
    <row r="9391" spans="1:1" x14ac:dyDescent="0.25">
      <c r="A9391" s="15"/>
    </row>
    <row r="9392" spans="1:1" x14ac:dyDescent="0.25">
      <c r="A9392" s="15"/>
    </row>
    <row r="9393" spans="1:1" x14ac:dyDescent="0.25">
      <c r="A9393" s="15"/>
    </row>
    <row r="9394" spans="1:1" x14ac:dyDescent="0.25">
      <c r="A9394" s="15"/>
    </row>
    <row r="9395" spans="1:1" x14ac:dyDescent="0.25">
      <c r="A9395" s="15"/>
    </row>
    <row r="9396" spans="1:1" x14ac:dyDescent="0.25">
      <c r="A9396" s="15"/>
    </row>
    <row r="9397" spans="1:1" x14ac:dyDescent="0.25">
      <c r="A9397" s="15"/>
    </row>
    <row r="9398" spans="1:1" x14ac:dyDescent="0.25">
      <c r="A9398" s="15"/>
    </row>
    <row r="9399" spans="1:1" x14ac:dyDescent="0.25">
      <c r="A9399" s="15"/>
    </row>
    <row r="9400" spans="1:1" x14ac:dyDescent="0.25">
      <c r="A9400" s="15"/>
    </row>
    <row r="9401" spans="1:1" x14ac:dyDescent="0.25">
      <c r="A9401" s="15"/>
    </row>
    <row r="9402" spans="1:1" x14ac:dyDescent="0.25">
      <c r="A9402" s="15"/>
    </row>
    <row r="9403" spans="1:1" x14ac:dyDescent="0.25">
      <c r="A9403" s="15"/>
    </row>
    <row r="9404" spans="1:1" x14ac:dyDescent="0.25">
      <c r="A9404" s="15"/>
    </row>
    <row r="9405" spans="1:1" x14ac:dyDescent="0.25">
      <c r="A9405" s="15"/>
    </row>
    <row r="9406" spans="1:1" x14ac:dyDescent="0.25">
      <c r="A9406" s="15"/>
    </row>
    <row r="9407" spans="1:1" x14ac:dyDescent="0.25">
      <c r="A9407" s="15"/>
    </row>
    <row r="9408" spans="1:1" x14ac:dyDescent="0.25">
      <c r="A9408" s="15"/>
    </row>
    <row r="9409" spans="1:1" x14ac:dyDescent="0.25">
      <c r="A9409" s="15"/>
    </row>
    <row r="9410" spans="1:1" x14ac:dyDescent="0.25">
      <c r="A9410" s="15"/>
    </row>
    <row r="9411" spans="1:1" x14ac:dyDescent="0.25">
      <c r="A9411" s="15"/>
    </row>
    <row r="9412" spans="1:1" x14ac:dyDescent="0.25">
      <c r="A9412" s="15"/>
    </row>
    <row r="9413" spans="1:1" x14ac:dyDescent="0.25">
      <c r="A9413" s="15"/>
    </row>
    <row r="9414" spans="1:1" x14ac:dyDescent="0.25">
      <c r="A9414" s="15"/>
    </row>
    <row r="9415" spans="1:1" x14ac:dyDescent="0.25">
      <c r="A9415" s="15"/>
    </row>
    <row r="9416" spans="1:1" x14ac:dyDescent="0.25">
      <c r="A9416" s="15"/>
    </row>
    <row r="9417" spans="1:1" x14ac:dyDescent="0.25">
      <c r="A9417" s="15"/>
    </row>
    <row r="9418" spans="1:1" x14ac:dyDescent="0.25">
      <c r="A9418" s="15"/>
    </row>
    <row r="9419" spans="1:1" x14ac:dyDescent="0.25">
      <c r="A9419" s="15"/>
    </row>
    <row r="9420" spans="1:1" x14ac:dyDescent="0.25">
      <c r="A9420" s="15"/>
    </row>
    <row r="9421" spans="1:1" x14ac:dyDescent="0.25">
      <c r="A9421" s="15"/>
    </row>
    <row r="9422" spans="1:1" x14ac:dyDescent="0.25">
      <c r="A9422" s="15"/>
    </row>
    <row r="9423" spans="1:1" x14ac:dyDescent="0.25">
      <c r="A9423" s="15"/>
    </row>
    <row r="9424" spans="1:1" x14ac:dyDescent="0.25">
      <c r="A9424" s="15"/>
    </row>
    <row r="9425" spans="1:1" x14ac:dyDescent="0.25">
      <c r="A9425" s="15"/>
    </row>
    <row r="9426" spans="1:1" x14ac:dyDescent="0.25">
      <c r="A9426" s="15"/>
    </row>
    <row r="9427" spans="1:1" x14ac:dyDescent="0.25">
      <c r="A9427" s="15"/>
    </row>
    <row r="9428" spans="1:1" x14ac:dyDescent="0.25">
      <c r="A9428" s="15"/>
    </row>
    <row r="9429" spans="1:1" x14ac:dyDescent="0.25">
      <c r="A9429" s="15"/>
    </row>
    <row r="9430" spans="1:1" x14ac:dyDescent="0.25">
      <c r="A9430" s="15"/>
    </row>
    <row r="9431" spans="1:1" x14ac:dyDescent="0.25">
      <c r="A9431" s="15"/>
    </row>
    <row r="9432" spans="1:1" x14ac:dyDescent="0.25">
      <c r="A9432" s="15"/>
    </row>
    <row r="9433" spans="1:1" x14ac:dyDescent="0.25">
      <c r="A9433" s="15"/>
    </row>
    <row r="9434" spans="1:1" x14ac:dyDescent="0.25">
      <c r="A9434" s="15"/>
    </row>
    <row r="9435" spans="1:1" x14ac:dyDescent="0.25">
      <c r="A9435" s="15"/>
    </row>
    <row r="9436" spans="1:1" x14ac:dyDescent="0.25">
      <c r="A9436" s="15"/>
    </row>
    <row r="9437" spans="1:1" x14ac:dyDescent="0.25">
      <c r="A9437" s="15"/>
    </row>
    <row r="9438" spans="1:1" x14ac:dyDescent="0.25">
      <c r="A9438" s="15"/>
    </row>
    <row r="9439" spans="1:1" x14ac:dyDescent="0.25">
      <c r="A9439" s="15"/>
    </row>
    <row r="9440" spans="1:1" x14ac:dyDescent="0.25">
      <c r="A9440" s="15"/>
    </row>
    <row r="9441" spans="1:1" x14ac:dyDescent="0.25">
      <c r="A9441" s="15"/>
    </row>
    <row r="9442" spans="1:1" x14ac:dyDescent="0.25">
      <c r="A9442" s="15"/>
    </row>
    <row r="9443" spans="1:1" x14ac:dyDescent="0.25">
      <c r="A9443" s="15"/>
    </row>
    <row r="9444" spans="1:1" x14ac:dyDescent="0.25">
      <c r="A9444" s="15"/>
    </row>
    <row r="9445" spans="1:1" x14ac:dyDescent="0.25">
      <c r="A9445" s="15"/>
    </row>
    <row r="9446" spans="1:1" x14ac:dyDescent="0.25">
      <c r="A9446" s="15"/>
    </row>
    <row r="9447" spans="1:1" x14ac:dyDescent="0.25">
      <c r="A9447" s="15"/>
    </row>
    <row r="9448" spans="1:1" x14ac:dyDescent="0.25">
      <c r="A9448" s="15"/>
    </row>
    <row r="9449" spans="1:1" x14ac:dyDescent="0.25">
      <c r="A9449" s="15"/>
    </row>
    <row r="9450" spans="1:1" x14ac:dyDescent="0.25">
      <c r="A9450" s="15"/>
    </row>
    <row r="9451" spans="1:1" x14ac:dyDescent="0.25">
      <c r="A9451" s="15"/>
    </row>
    <row r="9452" spans="1:1" x14ac:dyDescent="0.25">
      <c r="A9452" s="15"/>
    </row>
    <row r="9453" spans="1:1" x14ac:dyDescent="0.25">
      <c r="A9453" s="15"/>
    </row>
    <row r="9454" spans="1:1" x14ac:dyDescent="0.25">
      <c r="A9454" s="15"/>
    </row>
    <row r="9455" spans="1:1" x14ac:dyDescent="0.25">
      <c r="A9455" s="15"/>
    </row>
    <row r="9456" spans="1:1" x14ac:dyDescent="0.25">
      <c r="A9456" s="15"/>
    </row>
    <row r="9457" spans="1:1" x14ac:dyDescent="0.25">
      <c r="A9457" s="15"/>
    </row>
    <row r="9458" spans="1:1" x14ac:dyDescent="0.25">
      <c r="A9458" s="15"/>
    </row>
    <row r="9459" spans="1:1" x14ac:dyDescent="0.25">
      <c r="A9459" s="15"/>
    </row>
    <row r="9460" spans="1:1" x14ac:dyDescent="0.25">
      <c r="A9460" s="15"/>
    </row>
    <row r="9461" spans="1:1" x14ac:dyDescent="0.25">
      <c r="A9461" s="15"/>
    </row>
    <row r="9462" spans="1:1" x14ac:dyDescent="0.25">
      <c r="A9462" s="15"/>
    </row>
    <row r="9463" spans="1:1" x14ac:dyDescent="0.25">
      <c r="A9463" s="15"/>
    </row>
    <row r="9464" spans="1:1" x14ac:dyDescent="0.25">
      <c r="A9464" s="15"/>
    </row>
    <row r="9465" spans="1:1" x14ac:dyDescent="0.25">
      <c r="A9465" s="15"/>
    </row>
    <row r="9466" spans="1:1" x14ac:dyDescent="0.25">
      <c r="A9466" s="15"/>
    </row>
    <row r="9467" spans="1:1" x14ac:dyDescent="0.25">
      <c r="A9467" s="15"/>
    </row>
    <row r="9468" spans="1:1" x14ac:dyDescent="0.25">
      <c r="A9468" s="15"/>
    </row>
    <row r="9469" spans="1:1" x14ac:dyDescent="0.25">
      <c r="A9469" s="15"/>
    </row>
    <row r="9470" spans="1:1" x14ac:dyDescent="0.25">
      <c r="A9470" s="15"/>
    </row>
    <row r="9471" spans="1:1" x14ac:dyDescent="0.25">
      <c r="A9471" s="15"/>
    </row>
    <row r="9472" spans="1:1" x14ac:dyDescent="0.25">
      <c r="A9472" s="15"/>
    </row>
    <row r="9473" spans="1:1" x14ac:dyDescent="0.25">
      <c r="A9473" s="15"/>
    </row>
    <row r="9474" spans="1:1" x14ac:dyDescent="0.25">
      <c r="A9474" s="15"/>
    </row>
    <row r="9475" spans="1:1" x14ac:dyDescent="0.25">
      <c r="A9475" s="15"/>
    </row>
    <row r="9476" spans="1:1" x14ac:dyDescent="0.25">
      <c r="A9476" s="15"/>
    </row>
    <row r="9477" spans="1:1" x14ac:dyDescent="0.25">
      <c r="A9477" s="15"/>
    </row>
    <row r="9478" spans="1:1" x14ac:dyDescent="0.25">
      <c r="A9478" s="15"/>
    </row>
    <row r="9479" spans="1:1" x14ac:dyDescent="0.25">
      <c r="A9479" s="15"/>
    </row>
    <row r="9480" spans="1:1" x14ac:dyDescent="0.25">
      <c r="A9480" s="15"/>
    </row>
    <row r="9481" spans="1:1" x14ac:dyDescent="0.25">
      <c r="A9481" s="15"/>
    </row>
    <row r="9482" spans="1:1" x14ac:dyDescent="0.25">
      <c r="A9482" s="15"/>
    </row>
    <row r="9483" spans="1:1" x14ac:dyDescent="0.25">
      <c r="A9483" s="15"/>
    </row>
    <row r="9484" spans="1:1" x14ac:dyDescent="0.25">
      <c r="A9484" s="15"/>
    </row>
    <row r="9485" spans="1:1" x14ac:dyDescent="0.25">
      <c r="A9485" s="15"/>
    </row>
    <row r="9486" spans="1:1" x14ac:dyDescent="0.25">
      <c r="A9486" s="15"/>
    </row>
    <row r="9487" spans="1:1" x14ac:dyDescent="0.25">
      <c r="A9487" s="15"/>
    </row>
    <row r="9488" spans="1:1" x14ac:dyDescent="0.25">
      <c r="A9488" s="15"/>
    </row>
    <row r="9489" spans="1:1" x14ac:dyDescent="0.25">
      <c r="A9489" s="15"/>
    </row>
    <row r="9490" spans="1:1" x14ac:dyDescent="0.25">
      <c r="A9490" s="15"/>
    </row>
    <row r="9491" spans="1:1" x14ac:dyDescent="0.25">
      <c r="A9491" s="15"/>
    </row>
    <row r="9492" spans="1:1" x14ac:dyDescent="0.25">
      <c r="A9492" s="15"/>
    </row>
    <row r="9493" spans="1:1" x14ac:dyDescent="0.25">
      <c r="A9493" s="15"/>
    </row>
    <row r="9494" spans="1:1" x14ac:dyDescent="0.25">
      <c r="A9494" s="15"/>
    </row>
    <row r="9495" spans="1:1" x14ac:dyDescent="0.25">
      <c r="A9495" s="15"/>
    </row>
    <row r="9496" spans="1:1" x14ac:dyDescent="0.25">
      <c r="A9496" s="15"/>
    </row>
    <row r="9497" spans="1:1" x14ac:dyDescent="0.25">
      <c r="A9497" s="15"/>
    </row>
    <row r="9498" spans="1:1" x14ac:dyDescent="0.25">
      <c r="A9498" s="15"/>
    </row>
    <row r="9499" spans="1:1" x14ac:dyDescent="0.25">
      <c r="A9499" s="15"/>
    </row>
    <row r="9500" spans="1:1" x14ac:dyDescent="0.25">
      <c r="A9500" s="15"/>
    </row>
    <row r="9501" spans="1:1" x14ac:dyDescent="0.25">
      <c r="A9501" s="15"/>
    </row>
    <row r="9502" spans="1:1" x14ac:dyDescent="0.25">
      <c r="A9502" s="15"/>
    </row>
    <row r="9503" spans="1:1" x14ac:dyDescent="0.25">
      <c r="A9503" s="15"/>
    </row>
    <row r="9504" spans="1:1" x14ac:dyDescent="0.25">
      <c r="A9504" s="15"/>
    </row>
    <row r="9505" spans="1:1" x14ac:dyDescent="0.25">
      <c r="A9505" s="15"/>
    </row>
    <row r="9506" spans="1:1" x14ac:dyDescent="0.25">
      <c r="A9506" s="15"/>
    </row>
    <row r="9507" spans="1:1" x14ac:dyDescent="0.25">
      <c r="A9507" s="15"/>
    </row>
    <row r="9508" spans="1:1" x14ac:dyDescent="0.25">
      <c r="A9508" s="15"/>
    </row>
    <row r="9509" spans="1:1" x14ac:dyDescent="0.25">
      <c r="A9509" s="15"/>
    </row>
    <row r="9510" spans="1:1" x14ac:dyDescent="0.25">
      <c r="A9510" s="15"/>
    </row>
    <row r="9511" spans="1:1" x14ac:dyDescent="0.25">
      <c r="A9511" s="15"/>
    </row>
    <row r="9512" spans="1:1" x14ac:dyDescent="0.25">
      <c r="A9512" s="15"/>
    </row>
    <row r="9513" spans="1:1" x14ac:dyDescent="0.25">
      <c r="A9513" s="15"/>
    </row>
    <row r="9514" spans="1:1" x14ac:dyDescent="0.25">
      <c r="A9514" s="15"/>
    </row>
    <row r="9515" spans="1:1" x14ac:dyDescent="0.25">
      <c r="A9515" s="15"/>
    </row>
    <row r="9516" spans="1:1" x14ac:dyDescent="0.25">
      <c r="A9516" s="15"/>
    </row>
    <row r="9517" spans="1:1" x14ac:dyDescent="0.25">
      <c r="A9517" s="15"/>
    </row>
    <row r="9518" spans="1:1" x14ac:dyDescent="0.25">
      <c r="A9518" s="15"/>
    </row>
    <row r="9519" spans="1:1" x14ac:dyDescent="0.25">
      <c r="A9519" s="15"/>
    </row>
    <row r="9520" spans="1:1" x14ac:dyDescent="0.25">
      <c r="A9520" s="15"/>
    </row>
    <row r="9521" spans="1:1" x14ac:dyDescent="0.25">
      <c r="A9521" s="15"/>
    </row>
    <row r="9522" spans="1:1" x14ac:dyDescent="0.25">
      <c r="A9522" s="15"/>
    </row>
    <row r="9523" spans="1:1" x14ac:dyDescent="0.25">
      <c r="A9523" s="15"/>
    </row>
    <row r="9524" spans="1:1" x14ac:dyDescent="0.25">
      <c r="A9524" s="15"/>
    </row>
    <row r="9525" spans="1:1" x14ac:dyDescent="0.25">
      <c r="A9525" s="15"/>
    </row>
    <row r="9526" spans="1:1" x14ac:dyDescent="0.25">
      <c r="A9526" s="15"/>
    </row>
    <row r="9527" spans="1:1" x14ac:dyDescent="0.25">
      <c r="A9527" s="15"/>
    </row>
    <row r="9528" spans="1:1" x14ac:dyDescent="0.25">
      <c r="A9528" s="15"/>
    </row>
    <row r="9529" spans="1:1" x14ac:dyDescent="0.25">
      <c r="A9529" s="15"/>
    </row>
    <row r="9530" spans="1:1" x14ac:dyDescent="0.25">
      <c r="A9530" s="15"/>
    </row>
    <row r="9531" spans="1:1" x14ac:dyDescent="0.25">
      <c r="A9531" s="15"/>
    </row>
    <row r="9532" spans="1:1" x14ac:dyDescent="0.25">
      <c r="A9532" s="15"/>
    </row>
    <row r="9533" spans="1:1" x14ac:dyDescent="0.25">
      <c r="A9533" s="15"/>
    </row>
    <row r="9534" spans="1:1" x14ac:dyDescent="0.25">
      <c r="A9534" s="15"/>
    </row>
    <row r="9535" spans="1:1" x14ac:dyDescent="0.25">
      <c r="A9535" s="15"/>
    </row>
    <row r="9536" spans="1:1" x14ac:dyDescent="0.25">
      <c r="A9536" s="15"/>
    </row>
    <row r="9537" spans="1:1" x14ac:dyDescent="0.25">
      <c r="A9537" s="15"/>
    </row>
    <row r="9538" spans="1:1" x14ac:dyDescent="0.25">
      <c r="A9538" s="15"/>
    </row>
    <row r="9539" spans="1:1" x14ac:dyDescent="0.25">
      <c r="A9539" s="15"/>
    </row>
    <row r="9540" spans="1:1" x14ac:dyDescent="0.25">
      <c r="A9540" s="15"/>
    </row>
    <row r="9541" spans="1:1" x14ac:dyDescent="0.25">
      <c r="A9541" s="15"/>
    </row>
    <row r="9542" spans="1:1" x14ac:dyDescent="0.25">
      <c r="A9542" s="15"/>
    </row>
    <row r="9543" spans="1:1" x14ac:dyDescent="0.25">
      <c r="A9543" s="15"/>
    </row>
    <row r="9544" spans="1:1" x14ac:dyDescent="0.25">
      <c r="A9544" s="15"/>
    </row>
    <row r="9545" spans="1:1" x14ac:dyDescent="0.25">
      <c r="A9545" s="15"/>
    </row>
    <row r="9546" spans="1:1" x14ac:dyDescent="0.25">
      <c r="A9546" s="15"/>
    </row>
    <row r="9547" spans="1:1" x14ac:dyDescent="0.25">
      <c r="A9547" s="15"/>
    </row>
    <row r="9548" spans="1:1" x14ac:dyDescent="0.25">
      <c r="A9548" s="15"/>
    </row>
    <row r="9549" spans="1:1" x14ac:dyDescent="0.25">
      <c r="A9549" s="15"/>
    </row>
    <row r="9550" spans="1:1" x14ac:dyDescent="0.25">
      <c r="A9550" s="15"/>
    </row>
    <row r="9551" spans="1:1" x14ac:dyDescent="0.25">
      <c r="A9551" s="15"/>
    </row>
    <row r="9552" spans="1:1" x14ac:dyDescent="0.25">
      <c r="A9552" s="15"/>
    </row>
    <row r="9553" spans="1:1" x14ac:dyDescent="0.25">
      <c r="A9553" s="15"/>
    </row>
    <row r="9554" spans="1:1" x14ac:dyDescent="0.25">
      <c r="A9554" s="15"/>
    </row>
    <row r="9555" spans="1:1" x14ac:dyDescent="0.25">
      <c r="A9555" s="15"/>
    </row>
    <row r="9556" spans="1:1" x14ac:dyDescent="0.25">
      <c r="A9556" s="15"/>
    </row>
    <row r="9557" spans="1:1" x14ac:dyDescent="0.25">
      <c r="A9557" s="15"/>
    </row>
    <row r="9558" spans="1:1" x14ac:dyDescent="0.25">
      <c r="A9558" s="15"/>
    </row>
    <row r="9559" spans="1:1" x14ac:dyDescent="0.25">
      <c r="A9559" s="15"/>
    </row>
    <row r="9560" spans="1:1" x14ac:dyDescent="0.25">
      <c r="A9560" s="15"/>
    </row>
    <row r="9561" spans="1:1" x14ac:dyDescent="0.25">
      <c r="A9561" s="15"/>
    </row>
    <row r="9562" spans="1:1" x14ac:dyDescent="0.25">
      <c r="A9562" s="15"/>
    </row>
    <row r="9563" spans="1:1" x14ac:dyDescent="0.25">
      <c r="A9563" s="15"/>
    </row>
    <row r="9564" spans="1:1" x14ac:dyDescent="0.25">
      <c r="A9564" s="15"/>
    </row>
    <row r="9565" spans="1:1" x14ac:dyDescent="0.25">
      <c r="A9565" s="15"/>
    </row>
    <row r="9566" spans="1:1" x14ac:dyDescent="0.25">
      <c r="A9566" s="15"/>
    </row>
    <row r="9567" spans="1:1" x14ac:dyDescent="0.25">
      <c r="A9567" s="15"/>
    </row>
    <row r="9568" spans="1:1" x14ac:dyDescent="0.25">
      <c r="A9568" s="15"/>
    </row>
    <row r="9569" spans="1:1" x14ac:dyDescent="0.25">
      <c r="A9569" s="15"/>
    </row>
    <row r="9570" spans="1:1" x14ac:dyDescent="0.25">
      <c r="A9570" s="15"/>
    </row>
    <row r="9571" spans="1:1" x14ac:dyDescent="0.25">
      <c r="A9571" s="15"/>
    </row>
    <row r="9572" spans="1:1" x14ac:dyDescent="0.25">
      <c r="A9572" s="15"/>
    </row>
    <row r="9573" spans="1:1" x14ac:dyDescent="0.25">
      <c r="A9573" s="15"/>
    </row>
    <row r="9574" spans="1:1" x14ac:dyDescent="0.25">
      <c r="A9574" s="15"/>
    </row>
    <row r="9575" spans="1:1" x14ac:dyDescent="0.25">
      <c r="A9575" s="15"/>
    </row>
    <row r="9576" spans="1:1" x14ac:dyDescent="0.25">
      <c r="A9576" s="15"/>
    </row>
    <row r="9577" spans="1:1" x14ac:dyDescent="0.25">
      <c r="A9577" s="15"/>
    </row>
    <row r="9578" spans="1:1" x14ac:dyDescent="0.25">
      <c r="A9578" s="15"/>
    </row>
    <row r="9579" spans="1:1" x14ac:dyDescent="0.25">
      <c r="A9579" s="15"/>
    </row>
    <row r="9580" spans="1:1" x14ac:dyDescent="0.25">
      <c r="A9580" s="15"/>
    </row>
    <row r="9581" spans="1:1" x14ac:dyDescent="0.25">
      <c r="A9581" s="15"/>
    </row>
    <row r="9582" spans="1:1" x14ac:dyDescent="0.25">
      <c r="A9582" s="15"/>
    </row>
    <row r="9583" spans="1:1" x14ac:dyDescent="0.25">
      <c r="A9583" s="15"/>
    </row>
    <row r="9584" spans="1:1" x14ac:dyDescent="0.25">
      <c r="A9584" s="15"/>
    </row>
    <row r="9585" spans="1:1" x14ac:dyDescent="0.25">
      <c r="A9585" s="15"/>
    </row>
    <row r="9586" spans="1:1" x14ac:dyDescent="0.25">
      <c r="A9586" s="15"/>
    </row>
    <row r="9587" spans="1:1" x14ac:dyDescent="0.25">
      <c r="A9587" s="15"/>
    </row>
    <row r="9588" spans="1:1" x14ac:dyDescent="0.25">
      <c r="A9588" s="15"/>
    </row>
    <row r="9589" spans="1:1" x14ac:dyDescent="0.25">
      <c r="A9589" s="15"/>
    </row>
    <row r="9590" spans="1:1" x14ac:dyDescent="0.25">
      <c r="A9590" s="15"/>
    </row>
    <row r="9591" spans="1:1" x14ac:dyDescent="0.25">
      <c r="A9591" s="15"/>
    </row>
    <row r="9592" spans="1:1" x14ac:dyDescent="0.25">
      <c r="A9592" s="15"/>
    </row>
    <row r="9593" spans="1:1" x14ac:dyDescent="0.25">
      <c r="A9593" s="15"/>
    </row>
    <row r="9594" spans="1:1" x14ac:dyDescent="0.25">
      <c r="A9594" s="15"/>
    </row>
    <row r="9595" spans="1:1" x14ac:dyDescent="0.25">
      <c r="A9595" s="15"/>
    </row>
    <row r="9596" spans="1:1" x14ac:dyDescent="0.25">
      <c r="A9596" s="15"/>
    </row>
    <row r="9597" spans="1:1" x14ac:dyDescent="0.25">
      <c r="A9597" s="15"/>
    </row>
    <row r="9598" spans="1:1" x14ac:dyDescent="0.25">
      <c r="A9598" s="15"/>
    </row>
    <row r="9599" spans="1:1" x14ac:dyDescent="0.25">
      <c r="A9599" s="15"/>
    </row>
    <row r="9600" spans="1:1" x14ac:dyDescent="0.25">
      <c r="A9600" s="15"/>
    </row>
    <row r="9601" spans="1:1" x14ac:dyDescent="0.25">
      <c r="A9601" s="15"/>
    </row>
    <row r="9602" spans="1:1" x14ac:dyDescent="0.25">
      <c r="A9602" s="15"/>
    </row>
    <row r="9603" spans="1:1" x14ac:dyDescent="0.25">
      <c r="A9603" s="15"/>
    </row>
    <row r="9604" spans="1:1" x14ac:dyDescent="0.25">
      <c r="A9604" s="15"/>
    </row>
    <row r="9605" spans="1:1" x14ac:dyDescent="0.25">
      <c r="A9605" s="15"/>
    </row>
    <row r="9606" spans="1:1" x14ac:dyDescent="0.25">
      <c r="A9606" s="15"/>
    </row>
    <row r="9607" spans="1:1" x14ac:dyDescent="0.25">
      <c r="A9607" s="15"/>
    </row>
    <row r="9608" spans="1:1" x14ac:dyDescent="0.25">
      <c r="A9608" s="15"/>
    </row>
    <row r="9609" spans="1:1" x14ac:dyDescent="0.25">
      <c r="A9609" s="15"/>
    </row>
    <row r="9610" spans="1:1" x14ac:dyDescent="0.25">
      <c r="A9610" s="15"/>
    </row>
    <row r="9611" spans="1:1" x14ac:dyDescent="0.25">
      <c r="A9611" s="15"/>
    </row>
    <row r="9612" spans="1:1" x14ac:dyDescent="0.25">
      <c r="A9612" s="15"/>
    </row>
    <row r="9613" spans="1:1" x14ac:dyDescent="0.25">
      <c r="A9613" s="15"/>
    </row>
    <row r="9614" spans="1:1" x14ac:dyDescent="0.25">
      <c r="A9614" s="15"/>
    </row>
    <row r="9615" spans="1:1" x14ac:dyDescent="0.25">
      <c r="A9615" s="15"/>
    </row>
    <row r="9616" spans="1:1" x14ac:dyDescent="0.25">
      <c r="A9616" s="15"/>
    </row>
    <row r="9617" spans="1:1" x14ac:dyDescent="0.25">
      <c r="A9617" s="15"/>
    </row>
    <row r="9618" spans="1:1" x14ac:dyDescent="0.25">
      <c r="A9618" s="15"/>
    </row>
    <row r="9619" spans="1:1" x14ac:dyDescent="0.25">
      <c r="A9619" s="15"/>
    </row>
    <row r="9620" spans="1:1" x14ac:dyDescent="0.25">
      <c r="A9620" s="15"/>
    </row>
    <row r="9621" spans="1:1" x14ac:dyDescent="0.25">
      <c r="A9621" s="15"/>
    </row>
    <row r="9622" spans="1:1" x14ac:dyDescent="0.25">
      <c r="A9622" s="15"/>
    </row>
    <row r="9623" spans="1:1" x14ac:dyDescent="0.25">
      <c r="A9623" s="15"/>
    </row>
    <row r="9624" spans="1:1" x14ac:dyDescent="0.25">
      <c r="A9624" s="15"/>
    </row>
    <row r="9625" spans="1:1" x14ac:dyDescent="0.25">
      <c r="A9625" s="15"/>
    </row>
    <row r="9626" spans="1:1" x14ac:dyDescent="0.25">
      <c r="A9626" s="15"/>
    </row>
    <row r="9627" spans="1:1" x14ac:dyDescent="0.25">
      <c r="A9627" s="15"/>
    </row>
    <row r="9628" spans="1:1" x14ac:dyDescent="0.25">
      <c r="A9628" s="15"/>
    </row>
    <row r="9629" spans="1:1" x14ac:dyDescent="0.25">
      <c r="A9629" s="15"/>
    </row>
    <row r="9630" spans="1:1" x14ac:dyDescent="0.25">
      <c r="A9630" s="15"/>
    </row>
    <row r="9631" spans="1:1" x14ac:dyDescent="0.25">
      <c r="A9631" s="15"/>
    </row>
    <row r="9632" spans="1:1" x14ac:dyDescent="0.25">
      <c r="A9632" s="15"/>
    </row>
    <row r="9633" spans="1:1" x14ac:dyDescent="0.25">
      <c r="A9633" s="15"/>
    </row>
    <row r="9634" spans="1:1" x14ac:dyDescent="0.25">
      <c r="A9634" s="15"/>
    </row>
    <row r="9635" spans="1:1" x14ac:dyDescent="0.25">
      <c r="A9635" s="15"/>
    </row>
    <row r="9636" spans="1:1" x14ac:dyDescent="0.25">
      <c r="A9636" s="15"/>
    </row>
    <row r="9637" spans="1:1" x14ac:dyDescent="0.25">
      <c r="A9637" s="15"/>
    </row>
    <row r="9638" spans="1:1" x14ac:dyDescent="0.25">
      <c r="A9638" s="15"/>
    </row>
    <row r="9639" spans="1:1" x14ac:dyDescent="0.25">
      <c r="A9639" s="15"/>
    </row>
    <row r="9640" spans="1:1" x14ac:dyDescent="0.25">
      <c r="A9640" s="15"/>
    </row>
    <row r="9641" spans="1:1" x14ac:dyDescent="0.25">
      <c r="A9641" s="15"/>
    </row>
    <row r="9642" spans="1:1" x14ac:dyDescent="0.25">
      <c r="A9642" s="15"/>
    </row>
    <row r="9643" spans="1:1" x14ac:dyDescent="0.25">
      <c r="A9643" s="15"/>
    </row>
    <row r="9644" spans="1:1" x14ac:dyDescent="0.25">
      <c r="A9644" s="15"/>
    </row>
    <row r="9645" spans="1:1" x14ac:dyDescent="0.25">
      <c r="A9645" s="15"/>
    </row>
    <row r="9646" spans="1:1" x14ac:dyDescent="0.25">
      <c r="A9646" s="15"/>
    </row>
    <row r="9647" spans="1:1" x14ac:dyDescent="0.25">
      <c r="A9647" s="15"/>
    </row>
    <row r="9648" spans="1:1" x14ac:dyDescent="0.25">
      <c r="A9648" s="15"/>
    </row>
    <row r="9649" spans="1:1" x14ac:dyDescent="0.25">
      <c r="A9649" s="15"/>
    </row>
    <row r="9650" spans="1:1" x14ac:dyDescent="0.25">
      <c r="A9650" s="15"/>
    </row>
    <row r="9651" spans="1:1" x14ac:dyDescent="0.25">
      <c r="A9651" s="15"/>
    </row>
    <row r="9652" spans="1:1" x14ac:dyDescent="0.25">
      <c r="A9652" s="15"/>
    </row>
    <row r="9653" spans="1:1" x14ac:dyDescent="0.25">
      <c r="A9653" s="15"/>
    </row>
    <row r="9654" spans="1:1" x14ac:dyDescent="0.25">
      <c r="A9654" s="15"/>
    </row>
    <row r="9655" spans="1:1" x14ac:dyDescent="0.25">
      <c r="A9655" s="15"/>
    </row>
    <row r="9656" spans="1:1" x14ac:dyDescent="0.25">
      <c r="A9656" s="15"/>
    </row>
    <row r="9657" spans="1:1" x14ac:dyDescent="0.25">
      <c r="A9657" s="15"/>
    </row>
    <row r="9658" spans="1:1" x14ac:dyDescent="0.25">
      <c r="A9658" s="15"/>
    </row>
    <row r="9659" spans="1:1" x14ac:dyDescent="0.25">
      <c r="A9659" s="15"/>
    </row>
    <row r="9660" spans="1:1" x14ac:dyDescent="0.25">
      <c r="A9660" s="15"/>
    </row>
    <row r="9661" spans="1:1" x14ac:dyDescent="0.25">
      <c r="A9661" s="15"/>
    </row>
    <row r="9662" spans="1:1" x14ac:dyDescent="0.25">
      <c r="A9662" s="15"/>
    </row>
    <row r="9663" spans="1:1" x14ac:dyDescent="0.25">
      <c r="A9663" s="15"/>
    </row>
    <row r="9664" spans="1:1" x14ac:dyDescent="0.25">
      <c r="A9664" s="15"/>
    </row>
    <row r="9665" spans="1:1" x14ac:dyDescent="0.25">
      <c r="A9665" s="15"/>
    </row>
    <row r="9666" spans="1:1" x14ac:dyDescent="0.25">
      <c r="A9666" s="15"/>
    </row>
    <row r="9667" spans="1:1" x14ac:dyDescent="0.25">
      <c r="A9667" s="15"/>
    </row>
    <row r="9668" spans="1:1" x14ac:dyDescent="0.25">
      <c r="A9668" s="15"/>
    </row>
    <row r="9669" spans="1:1" x14ac:dyDescent="0.25">
      <c r="A9669" s="15"/>
    </row>
    <row r="9670" spans="1:1" x14ac:dyDescent="0.25">
      <c r="A9670" s="15"/>
    </row>
    <row r="9671" spans="1:1" x14ac:dyDescent="0.25">
      <c r="A9671" s="15"/>
    </row>
    <row r="9672" spans="1:1" x14ac:dyDescent="0.25">
      <c r="A9672" s="15"/>
    </row>
    <row r="9673" spans="1:1" x14ac:dyDescent="0.25">
      <c r="A9673" s="15"/>
    </row>
    <row r="9674" spans="1:1" x14ac:dyDescent="0.25">
      <c r="A9674" s="15"/>
    </row>
    <row r="9675" spans="1:1" x14ac:dyDescent="0.25">
      <c r="A9675" s="15"/>
    </row>
    <row r="9676" spans="1:1" x14ac:dyDescent="0.25">
      <c r="A9676" s="15"/>
    </row>
    <row r="9677" spans="1:1" x14ac:dyDescent="0.25">
      <c r="A9677" s="15"/>
    </row>
    <row r="9678" spans="1:1" x14ac:dyDescent="0.25">
      <c r="A9678" s="15"/>
    </row>
    <row r="9679" spans="1:1" x14ac:dyDescent="0.25">
      <c r="A9679" s="15"/>
    </row>
    <row r="9680" spans="1:1" x14ac:dyDescent="0.25">
      <c r="A9680" s="15"/>
    </row>
    <row r="9681" spans="1:1" x14ac:dyDescent="0.25">
      <c r="A9681" s="15"/>
    </row>
    <row r="9682" spans="1:1" x14ac:dyDescent="0.25">
      <c r="A9682" s="15"/>
    </row>
    <row r="9683" spans="1:1" x14ac:dyDescent="0.25">
      <c r="A9683" s="15"/>
    </row>
    <row r="9684" spans="1:1" x14ac:dyDescent="0.25">
      <c r="A9684" s="15"/>
    </row>
    <row r="9685" spans="1:1" x14ac:dyDescent="0.25">
      <c r="A9685" s="15"/>
    </row>
    <row r="9686" spans="1:1" x14ac:dyDescent="0.25">
      <c r="A9686" s="15"/>
    </row>
    <row r="9687" spans="1:1" x14ac:dyDescent="0.25">
      <c r="A9687" s="15"/>
    </row>
    <row r="9688" spans="1:1" x14ac:dyDescent="0.25">
      <c r="A9688" s="15"/>
    </row>
    <row r="9689" spans="1:1" x14ac:dyDescent="0.25">
      <c r="A9689" s="15"/>
    </row>
    <row r="9690" spans="1:1" x14ac:dyDescent="0.25">
      <c r="A9690" s="15"/>
    </row>
    <row r="9691" spans="1:1" x14ac:dyDescent="0.25">
      <c r="A9691" s="15"/>
    </row>
    <row r="9692" spans="1:1" x14ac:dyDescent="0.25">
      <c r="A9692" s="15"/>
    </row>
    <row r="9693" spans="1:1" x14ac:dyDescent="0.25">
      <c r="A9693" s="15"/>
    </row>
    <row r="9694" spans="1:1" x14ac:dyDescent="0.25">
      <c r="A9694" s="15"/>
    </row>
    <row r="9695" spans="1:1" x14ac:dyDescent="0.25">
      <c r="A9695" s="15"/>
    </row>
    <row r="9696" spans="1:1" x14ac:dyDescent="0.25">
      <c r="A9696" s="15"/>
    </row>
    <row r="9697" spans="1:1" x14ac:dyDescent="0.25">
      <c r="A9697" s="15"/>
    </row>
    <row r="9698" spans="1:1" x14ac:dyDescent="0.25">
      <c r="A9698" s="15"/>
    </row>
    <row r="9699" spans="1:1" x14ac:dyDescent="0.25">
      <c r="A9699" s="15"/>
    </row>
    <row r="9700" spans="1:1" x14ac:dyDescent="0.25">
      <c r="A9700" s="15"/>
    </row>
    <row r="9701" spans="1:1" x14ac:dyDescent="0.25">
      <c r="A9701" s="15"/>
    </row>
    <row r="9702" spans="1:1" x14ac:dyDescent="0.25">
      <c r="A9702" s="15"/>
    </row>
    <row r="9703" spans="1:1" x14ac:dyDescent="0.25">
      <c r="A9703" s="15"/>
    </row>
    <row r="9704" spans="1:1" x14ac:dyDescent="0.25">
      <c r="A9704" s="15"/>
    </row>
    <row r="9705" spans="1:1" x14ac:dyDescent="0.25">
      <c r="A9705" s="15"/>
    </row>
    <row r="9706" spans="1:1" x14ac:dyDescent="0.25">
      <c r="A9706" s="15"/>
    </row>
    <row r="9707" spans="1:1" x14ac:dyDescent="0.25">
      <c r="A9707" s="15"/>
    </row>
    <row r="9708" spans="1:1" x14ac:dyDescent="0.25">
      <c r="A9708" s="15"/>
    </row>
    <row r="9709" spans="1:1" x14ac:dyDescent="0.25">
      <c r="A9709" s="15"/>
    </row>
    <row r="9710" spans="1:1" x14ac:dyDescent="0.25">
      <c r="A9710" s="15"/>
    </row>
    <row r="9711" spans="1:1" x14ac:dyDescent="0.25">
      <c r="A9711" s="15"/>
    </row>
    <row r="9712" spans="1:1" x14ac:dyDescent="0.25">
      <c r="A9712" s="15"/>
    </row>
    <row r="9713" spans="1:1" x14ac:dyDescent="0.25">
      <c r="A9713" s="15"/>
    </row>
    <row r="9714" spans="1:1" x14ac:dyDescent="0.25">
      <c r="A9714" s="15"/>
    </row>
    <row r="9715" spans="1:1" x14ac:dyDescent="0.25">
      <c r="A9715" s="15"/>
    </row>
    <row r="9716" spans="1:1" x14ac:dyDescent="0.25">
      <c r="A9716" s="15"/>
    </row>
    <row r="9717" spans="1:1" x14ac:dyDescent="0.25">
      <c r="A9717" s="15"/>
    </row>
    <row r="9718" spans="1:1" x14ac:dyDescent="0.25">
      <c r="A9718" s="15"/>
    </row>
    <row r="9719" spans="1:1" x14ac:dyDescent="0.25">
      <c r="A9719" s="15"/>
    </row>
    <row r="9720" spans="1:1" x14ac:dyDescent="0.25">
      <c r="A9720" s="15"/>
    </row>
    <row r="9721" spans="1:1" x14ac:dyDescent="0.25">
      <c r="A9721" s="15"/>
    </row>
    <row r="9722" spans="1:1" x14ac:dyDescent="0.25">
      <c r="A9722" s="15"/>
    </row>
    <row r="9723" spans="1:1" x14ac:dyDescent="0.25">
      <c r="A9723" s="15"/>
    </row>
    <row r="9724" spans="1:1" x14ac:dyDescent="0.25">
      <c r="A9724" s="15"/>
    </row>
    <row r="9725" spans="1:1" x14ac:dyDescent="0.25">
      <c r="A9725" s="15"/>
    </row>
    <row r="9726" spans="1:1" x14ac:dyDescent="0.25">
      <c r="A9726" s="15"/>
    </row>
    <row r="9727" spans="1:1" x14ac:dyDescent="0.25">
      <c r="A9727" s="15"/>
    </row>
    <row r="9728" spans="1:1" x14ac:dyDescent="0.25">
      <c r="A9728" s="15"/>
    </row>
    <row r="9729" spans="1:1" x14ac:dyDescent="0.25">
      <c r="A9729" s="15"/>
    </row>
    <row r="9730" spans="1:1" x14ac:dyDescent="0.25">
      <c r="A9730" s="15"/>
    </row>
    <row r="9731" spans="1:1" x14ac:dyDescent="0.25">
      <c r="A9731" s="15"/>
    </row>
    <row r="9732" spans="1:1" x14ac:dyDescent="0.25">
      <c r="A9732" s="15"/>
    </row>
    <row r="9733" spans="1:1" x14ac:dyDescent="0.25">
      <c r="A9733" s="15"/>
    </row>
    <row r="9734" spans="1:1" x14ac:dyDescent="0.25">
      <c r="A9734" s="15"/>
    </row>
    <row r="9735" spans="1:1" x14ac:dyDescent="0.25">
      <c r="A9735" s="15"/>
    </row>
    <row r="9736" spans="1:1" x14ac:dyDescent="0.25">
      <c r="A9736" s="15"/>
    </row>
    <row r="9737" spans="1:1" x14ac:dyDescent="0.25">
      <c r="A9737" s="15"/>
    </row>
    <row r="9738" spans="1:1" x14ac:dyDescent="0.25">
      <c r="A9738" s="15"/>
    </row>
    <row r="9739" spans="1:1" x14ac:dyDescent="0.25">
      <c r="A9739" s="15"/>
    </row>
    <row r="9740" spans="1:1" x14ac:dyDescent="0.25">
      <c r="A9740" s="15"/>
    </row>
    <row r="9741" spans="1:1" x14ac:dyDescent="0.25">
      <c r="A9741" s="15"/>
    </row>
    <row r="9742" spans="1:1" x14ac:dyDescent="0.25">
      <c r="A9742" s="15"/>
    </row>
    <row r="9743" spans="1:1" x14ac:dyDescent="0.25">
      <c r="A9743" s="15"/>
    </row>
    <row r="9744" spans="1:1" x14ac:dyDescent="0.25">
      <c r="A9744" s="15"/>
    </row>
    <row r="9745" spans="1:1" x14ac:dyDescent="0.25">
      <c r="A9745" s="15"/>
    </row>
    <row r="9746" spans="1:1" x14ac:dyDescent="0.25">
      <c r="A9746" s="15"/>
    </row>
    <row r="9747" spans="1:1" x14ac:dyDescent="0.25">
      <c r="A9747" s="15"/>
    </row>
    <row r="9748" spans="1:1" x14ac:dyDescent="0.25">
      <c r="A9748" s="15"/>
    </row>
    <row r="9749" spans="1:1" x14ac:dyDescent="0.25">
      <c r="A9749" s="15"/>
    </row>
    <row r="9750" spans="1:1" x14ac:dyDescent="0.25">
      <c r="A9750" s="15"/>
    </row>
    <row r="9751" spans="1:1" x14ac:dyDescent="0.25">
      <c r="A9751" s="15"/>
    </row>
    <row r="9752" spans="1:1" x14ac:dyDescent="0.25">
      <c r="A9752" s="15"/>
    </row>
    <row r="9753" spans="1:1" x14ac:dyDescent="0.25">
      <c r="A9753" s="15"/>
    </row>
    <row r="9754" spans="1:1" x14ac:dyDescent="0.25">
      <c r="A9754" s="15"/>
    </row>
    <row r="9755" spans="1:1" x14ac:dyDescent="0.25">
      <c r="A9755" s="15"/>
    </row>
    <row r="9756" spans="1:1" x14ac:dyDescent="0.25">
      <c r="A9756" s="15"/>
    </row>
    <row r="9757" spans="1:1" x14ac:dyDescent="0.25">
      <c r="A9757" s="15"/>
    </row>
    <row r="9758" spans="1:1" x14ac:dyDescent="0.25">
      <c r="A9758" s="15"/>
    </row>
    <row r="9759" spans="1:1" x14ac:dyDescent="0.25">
      <c r="A9759" s="15"/>
    </row>
    <row r="9760" spans="1:1" x14ac:dyDescent="0.25">
      <c r="A9760" s="15"/>
    </row>
    <row r="9761" spans="1:1" x14ac:dyDescent="0.25">
      <c r="A9761" s="15"/>
    </row>
    <row r="9762" spans="1:1" x14ac:dyDescent="0.25">
      <c r="A9762" s="15"/>
    </row>
    <row r="9763" spans="1:1" x14ac:dyDescent="0.25">
      <c r="A9763" s="15"/>
    </row>
    <row r="9764" spans="1:1" x14ac:dyDescent="0.25">
      <c r="A9764" s="15"/>
    </row>
    <row r="9765" spans="1:1" x14ac:dyDescent="0.25">
      <c r="A9765" s="15"/>
    </row>
    <row r="9766" spans="1:1" x14ac:dyDescent="0.25">
      <c r="A9766" s="15"/>
    </row>
    <row r="9767" spans="1:1" x14ac:dyDescent="0.25">
      <c r="A9767" s="15"/>
    </row>
    <row r="9768" spans="1:1" x14ac:dyDescent="0.25">
      <c r="A9768" s="15"/>
    </row>
    <row r="9769" spans="1:1" x14ac:dyDescent="0.25">
      <c r="A9769" s="15"/>
    </row>
    <row r="9770" spans="1:1" x14ac:dyDescent="0.25">
      <c r="A9770" s="15"/>
    </row>
    <row r="9771" spans="1:1" x14ac:dyDescent="0.25">
      <c r="A9771" s="15"/>
    </row>
    <row r="9772" spans="1:1" x14ac:dyDescent="0.25">
      <c r="A9772" s="15"/>
    </row>
    <row r="9773" spans="1:1" x14ac:dyDescent="0.25">
      <c r="A9773" s="15"/>
    </row>
    <row r="9774" spans="1:1" x14ac:dyDescent="0.25">
      <c r="A9774" s="15"/>
    </row>
    <row r="9775" spans="1:1" x14ac:dyDescent="0.25">
      <c r="A9775" s="15"/>
    </row>
    <row r="9776" spans="1:1" x14ac:dyDescent="0.25">
      <c r="A9776" s="15"/>
    </row>
    <row r="9777" spans="1:1" x14ac:dyDescent="0.25">
      <c r="A9777" s="15"/>
    </row>
    <row r="9778" spans="1:1" x14ac:dyDescent="0.25">
      <c r="A9778" s="15"/>
    </row>
    <row r="9779" spans="1:1" x14ac:dyDescent="0.25">
      <c r="A9779" s="15"/>
    </row>
    <row r="9780" spans="1:1" x14ac:dyDescent="0.25">
      <c r="A9780" s="15"/>
    </row>
    <row r="9781" spans="1:1" x14ac:dyDescent="0.25">
      <c r="A9781" s="15"/>
    </row>
    <row r="9782" spans="1:1" x14ac:dyDescent="0.25">
      <c r="A9782" s="15"/>
    </row>
    <row r="9783" spans="1:1" x14ac:dyDescent="0.25">
      <c r="A9783" s="15"/>
    </row>
    <row r="9784" spans="1:1" x14ac:dyDescent="0.25">
      <c r="A9784" s="15"/>
    </row>
    <row r="9785" spans="1:1" x14ac:dyDescent="0.25">
      <c r="A9785" s="15"/>
    </row>
    <row r="9786" spans="1:1" x14ac:dyDescent="0.25">
      <c r="A9786" s="15"/>
    </row>
    <row r="9787" spans="1:1" x14ac:dyDescent="0.25">
      <c r="A9787" s="15"/>
    </row>
    <row r="9788" spans="1:1" x14ac:dyDescent="0.25">
      <c r="A9788" s="15"/>
    </row>
    <row r="9789" spans="1:1" x14ac:dyDescent="0.25">
      <c r="A9789" s="15"/>
    </row>
    <row r="9790" spans="1:1" x14ac:dyDescent="0.25">
      <c r="A9790" s="15"/>
    </row>
    <row r="9791" spans="1:1" x14ac:dyDescent="0.25">
      <c r="A9791" s="15"/>
    </row>
    <row r="9792" spans="1:1" x14ac:dyDescent="0.25">
      <c r="A9792" s="15"/>
    </row>
    <row r="9793" spans="1:1" x14ac:dyDescent="0.25">
      <c r="A9793" s="15"/>
    </row>
    <row r="9794" spans="1:1" x14ac:dyDescent="0.25">
      <c r="A9794" s="15"/>
    </row>
    <row r="9795" spans="1:1" x14ac:dyDescent="0.25">
      <c r="A9795" s="15"/>
    </row>
    <row r="9796" spans="1:1" x14ac:dyDescent="0.25">
      <c r="A9796" s="15"/>
    </row>
    <row r="9797" spans="1:1" x14ac:dyDescent="0.25">
      <c r="A9797" s="15"/>
    </row>
    <row r="9798" spans="1:1" x14ac:dyDescent="0.25">
      <c r="A9798" s="15"/>
    </row>
    <row r="9799" spans="1:1" x14ac:dyDescent="0.25">
      <c r="A9799" s="15"/>
    </row>
    <row r="9800" spans="1:1" x14ac:dyDescent="0.25">
      <c r="A9800" s="15"/>
    </row>
    <row r="9801" spans="1:1" x14ac:dyDescent="0.25">
      <c r="A9801" s="15"/>
    </row>
    <row r="9802" spans="1:1" x14ac:dyDescent="0.25">
      <c r="A9802" s="15"/>
    </row>
    <row r="9803" spans="1:1" x14ac:dyDescent="0.25">
      <c r="A9803" s="15"/>
    </row>
    <row r="9804" spans="1:1" x14ac:dyDescent="0.25">
      <c r="A9804" s="15"/>
    </row>
    <row r="9805" spans="1:1" x14ac:dyDescent="0.25">
      <c r="A9805" s="15"/>
    </row>
    <row r="9806" spans="1:1" x14ac:dyDescent="0.25">
      <c r="A9806" s="15"/>
    </row>
    <row r="9807" spans="1:1" x14ac:dyDescent="0.25">
      <c r="A9807" s="15"/>
    </row>
    <row r="9808" spans="1:1" x14ac:dyDescent="0.25">
      <c r="A9808" s="15"/>
    </row>
    <row r="9809" spans="1:1" x14ac:dyDescent="0.25">
      <c r="A9809" s="15"/>
    </row>
    <row r="9810" spans="1:1" x14ac:dyDescent="0.25">
      <c r="A9810" s="15"/>
    </row>
    <row r="9811" spans="1:1" x14ac:dyDescent="0.25">
      <c r="A9811" s="15"/>
    </row>
    <row r="9812" spans="1:1" x14ac:dyDescent="0.25">
      <c r="A9812" s="15"/>
    </row>
    <row r="9813" spans="1:1" x14ac:dyDescent="0.25">
      <c r="A9813" s="15"/>
    </row>
    <row r="9814" spans="1:1" x14ac:dyDescent="0.25">
      <c r="A9814" s="15"/>
    </row>
    <row r="9815" spans="1:1" x14ac:dyDescent="0.25">
      <c r="A9815" s="15"/>
    </row>
    <row r="9816" spans="1:1" x14ac:dyDescent="0.25">
      <c r="A9816" s="15"/>
    </row>
    <row r="9817" spans="1:1" x14ac:dyDescent="0.25">
      <c r="A9817" s="15"/>
    </row>
    <row r="9818" spans="1:1" x14ac:dyDescent="0.25">
      <c r="A9818" s="15"/>
    </row>
    <row r="9819" spans="1:1" x14ac:dyDescent="0.25">
      <c r="A9819" s="15"/>
    </row>
    <row r="9820" spans="1:1" x14ac:dyDescent="0.25">
      <c r="A9820" s="15"/>
    </row>
    <row r="9821" spans="1:1" x14ac:dyDescent="0.25">
      <c r="A9821" s="15"/>
    </row>
    <row r="9822" spans="1:1" x14ac:dyDescent="0.25">
      <c r="A9822" s="15"/>
    </row>
    <row r="9823" spans="1:1" x14ac:dyDescent="0.25">
      <c r="A9823" s="15"/>
    </row>
    <row r="9824" spans="1:1" x14ac:dyDescent="0.25">
      <c r="A9824" s="15"/>
    </row>
    <row r="9825" spans="1:1" x14ac:dyDescent="0.25">
      <c r="A9825" s="15"/>
    </row>
    <row r="9826" spans="1:1" x14ac:dyDescent="0.25">
      <c r="A9826" s="15"/>
    </row>
    <row r="9827" spans="1:1" x14ac:dyDescent="0.25">
      <c r="A9827" s="15"/>
    </row>
    <row r="9828" spans="1:1" x14ac:dyDescent="0.25">
      <c r="A9828" s="15"/>
    </row>
    <row r="9829" spans="1:1" x14ac:dyDescent="0.25">
      <c r="A9829" s="15"/>
    </row>
    <row r="9830" spans="1:1" x14ac:dyDescent="0.25">
      <c r="A9830" s="15"/>
    </row>
    <row r="9831" spans="1:1" x14ac:dyDescent="0.25">
      <c r="A9831" s="15"/>
    </row>
    <row r="9832" spans="1:1" x14ac:dyDescent="0.25">
      <c r="A9832" s="15"/>
    </row>
    <row r="9833" spans="1:1" x14ac:dyDescent="0.25">
      <c r="A9833" s="15"/>
    </row>
    <row r="9834" spans="1:1" x14ac:dyDescent="0.25">
      <c r="A9834" s="15"/>
    </row>
    <row r="9835" spans="1:1" x14ac:dyDescent="0.25">
      <c r="A9835" s="15"/>
    </row>
    <row r="9836" spans="1:1" x14ac:dyDescent="0.25">
      <c r="A9836" s="15"/>
    </row>
    <row r="9837" spans="1:1" x14ac:dyDescent="0.25">
      <c r="A9837" s="15"/>
    </row>
    <row r="9838" spans="1:1" x14ac:dyDescent="0.25">
      <c r="A9838" s="15"/>
    </row>
    <row r="9839" spans="1:1" x14ac:dyDescent="0.25">
      <c r="A9839" s="15"/>
    </row>
    <row r="9840" spans="1:1" x14ac:dyDescent="0.25">
      <c r="A9840" s="15"/>
    </row>
    <row r="9841" spans="1:1" x14ac:dyDescent="0.25">
      <c r="A9841" s="15"/>
    </row>
    <row r="9842" spans="1:1" x14ac:dyDescent="0.25">
      <c r="A9842" s="15"/>
    </row>
    <row r="9843" spans="1:1" x14ac:dyDescent="0.25">
      <c r="A9843" s="15"/>
    </row>
    <row r="9844" spans="1:1" x14ac:dyDescent="0.25">
      <c r="A9844" s="15"/>
    </row>
    <row r="9845" spans="1:1" x14ac:dyDescent="0.25">
      <c r="A9845" s="15"/>
    </row>
    <row r="9846" spans="1:1" x14ac:dyDescent="0.25">
      <c r="A9846" s="15"/>
    </row>
    <row r="9847" spans="1:1" x14ac:dyDescent="0.25">
      <c r="A9847" s="15"/>
    </row>
    <row r="9848" spans="1:1" x14ac:dyDescent="0.25">
      <c r="A9848" s="15"/>
    </row>
    <row r="9849" spans="1:1" x14ac:dyDescent="0.25">
      <c r="A9849" s="15"/>
    </row>
    <row r="9850" spans="1:1" x14ac:dyDescent="0.25">
      <c r="A9850" s="15"/>
    </row>
    <row r="9851" spans="1:1" x14ac:dyDescent="0.25">
      <c r="A9851" s="15"/>
    </row>
    <row r="9852" spans="1:1" x14ac:dyDescent="0.25">
      <c r="A9852" s="15"/>
    </row>
    <row r="9853" spans="1:1" x14ac:dyDescent="0.25">
      <c r="A9853" s="15"/>
    </row>
    <row r="9854" spans="1:1" x14ac:dyDescent="0.25">
      <c r="A9854" s="15"/>
    </row>
    <row r="9855" spans="1:1" x14ac:dyDescent="0.25">
      <c r="A9855" s="15"/>
    </row>
    <row r="9856" spans="1:1" x14ac:dyDescent="0.25">
      <c r="A9856" s="15"/>
    </row>
    <row r="9857" spans="1:1" x14ac:dyDescent="0.25">
      <c r="A9857" s="15"/>
    </row>
    <row r="9858" spans="1:1" x14ac:dyDescent="0.25">
      <c r="A9858" s="15"/>
    </row>
    <row r="9859" spans="1:1" x14ac:dyDescent="0.25">
      <c r="A9859" s="15"/>
    </row>
    <row r="9860" spans="1:1" x14ac:dyDescent="0.25">
      <c r="A9860" s="15"/>
    </row>
    <row r="9861" spans="1:1" x14ac:dyDescent="0.25">
      <c r="A9861" s="15"/>
    </row>
    <row r="9862" spans="1:1" x14ac:dyDescent="0.25">
      <c r="A9862" s="15"/>
    </row>
    <row r="9863" spans="1:1" x14ac:dyDescent="0.25">
      <c r="A9863" s="15"/>
    </row>
    <row r="9864" spans="1:1" x14ac:dyDescent="0.25">
      <c r="A9864" s="15"/>
    </row>
    <row r="9865" spans="1:1" x14ac:dyDescent="0.25">
      <c r="A9865" s="15"/>
    </row>
    <row r="9866" spans="1:1" x14ac:dyDescent="0.25">
      <c r="A9866" s="15"/>
    </row>
    <row r="9867" spans="1:1" x14ac:dyDescent="0.25">
      <c r="A9867" s="15"/>
    </row>
    <row r="9868" spans="1:1" x14ac:dyDescent="0.25">
      <c r="A9868" s="15"/>
    </row>
    <row r="9869" spans="1:1" x14ac:dyDescent="0.25">
      <c r="A9869" s="15"/>
    </row>
    <row r="9870" spans="1:1" x14ac:dyDescent="0.25">
      <c r="A9870" s="15"/>
    </row>
    <row r="9871" spans="1:1" x14ac:dyDescent="0.25">
      <c r="A9871" s="15"/>
    </row>
    <row r="9872" spans="1:1" x14ac:dyDescent="0.25">
      <c r="A9872" s="15"/>
    </row>
    <row r="9873" spans="1:1" x14ac:dyDescent="0.25">
      <c r="A9873" s="15"/>
    </row>
    <row r="9874" spans="1:1" x14ac:dyDescent="0.25">
      <c r="A9874" s="15"/>
    </row>
    <row r="9875" spans="1:1" x14ac:dyDescent="0.25">
      <c r="A9875" s="15"/>
    </row>
    <row r="9876" spans="1:1" x14ac:dyDescent="0.25">
      <c r="A9876" s="15"/>
    </row>
    <row r="9877" spans="1:1" x14ac:dyDescent="0.25">
      <c r="A9877" s="15"/>
    </row>
    <row r="9878" spans="1:1" x14ac:dyDescent="0.25">
      <c r="A9878" s="15"/>
    </row>
    <row r="9879" spans="1:1" x14ac:dyDescent="0.25">
      <c r="A9879" s="15"/>
    </row>
    <row r="9880" spans="1:1" x14ac:dyDescent="0.25">
      <c r="A9880" s="15"/>
    </row>
    <row r="9881" spans="1:1" x14ac:dyDescent="0.25">
      <c r="A9881" s="15"/>
    </row>
    <row r="9882" spans="1:1" x14ac:dyDescent="0.25">
      <c r="A9882" s="15"/>
    </row>
    <row r="9883" spans="1:1" x14ac:dyDescent="0.25">
      <c r="A9883" s="15"/>
    </row>
    <row r="9884" spans="1:1" x14ac:dyDescent="0.25">
      <c r="A9884" s="15"/>
    </row>
    <row r="9885" spans="1:1" x14ac:dyDescent="0.25">
      <c r="A9885" s="15"/>
    </row>
    <row r="9886" spans="1:1" x14ac:dyDescent="0.25">
      <c r="A9886" s="15"/>
    </row>
    <row r="9887" spans="1:1" x14ac:dyDescent="0.25">
      <c r="A9887" s="15"/>
    </row>
    <row r="9888" spans="1:1" x14ac:dyDescent="0.25">
      <c r="A9888" s="15"/>
    </row>
    <row r="9889" spans="1:1" x14ac:dyDescent="0.25">
      <c r="A9889" s="15"/>
    </row>
    <row r="9890" spans="1:1" x14ac:dyDescent="0.25">
      <c r="A9890" s="15"/>
    </row>
    <row r="9891" spans="1:1" x14ac:dyDescent="0.25">
      <c r="A9891" s="15"/>
    </row>
    <row r="9892" spans="1:1" x14ac:dyDescent="0.25">
      <c r="A9892" s="15"/>
    </row>
    <row r="9893" spans="1:1" x14ac:dyDescent="0.25">
      <c r="A9893" s="15"/>
    </row>
    <row r="9894" spans="1:1" x14ac:dyDescent="0.25">
      <c r="A9894" s="15"/>
    </row>
    <row r="9895" spans="1:1" x14ac:dyDescent="0.25">
      <c r="A9895" s="15"/>
    </row>
    <row r="9896" spans="1:1" x14ac:dyDescent="0.25">
      <c r="A9896" s="15"/>
    </row>
    <row r="9897" spans="1:1" x14ac:dyDescent="0.25">
      <c r="A9897" s="15"/>
    </row>
    <row r="9898" spans="1:1" x14ac:dyDescent="0.25">
      <c r="A9898" s="15"/>
    </row>
    <row r="9899" spans="1:1" x14ac:dyDescent="0.25">
      <c r="A9899" s="15"/>
    </row>
    <row r="9900" spans="1:1" x14ac:dyDescent="0.25">
      <c r="A9900" s="15"/>
    </row>
    <row r="9901" spans="1:1" x14ac:dyDescent="0.25">
      <c r="A9901" s="15"/>
    </row>
    <row r="9902" spans="1:1" x14ac:dyDescent="0.25">
      <c r="A9902" s="15"/>
    </row>
    <row r="9903" spans="1:1" x14ac:dyDescent="0.25">
      <c r="A9903" s="15"/>
    </row>
    <row r="9904" spans="1:1" x14ac:dyDescent="0.25">
      <c r="A9904" s="15"/>
    </row>
    <row r="9905" spans="1:1" x14ac:dyDescent="0.25">
      <c r="A9905" s="15"/>
    </row>
    <row r="9906" spans="1:1" x14ac:dyDescent="0.25">
      <c r="A9906" s="15"/>
    </row>
    <row r="9907" spans="1:1" x14ac:dyDescent="0.25">
      <c r="A9907" s="15"/>
    </row>
    <row r="9908" spans="1:1" x14ac:dyDescent="0.25">
      <c r="A9908" s="15"/>
    </row>
    <row r="9909" spans="1:1" x14ac:dyDescent="0.25">
      <c r="A9909" s="15"/>
    </row>
    <row r="9910" spans="1:1" x14ac:dyDescent="0.25">
      <c r="A9910" s="15"/>
    </row>
    <row r="9911" spans="1:1" x14ac:dyDescent="0.25">
      <c r="A9911" s="15"/>
    </row>
    <row r="9912" spans="1:1" x14ac:dyDescent="0.25">
      <c r="A9912" s="15"/>
    </row>
    <row r="9913" spans="1:1" x14ac:dyDescent="0.25">
      <c r="A9913" s="15"/>
    </row>
    <row r="9914" spans="1:1" x14ac:dyDescent="0.25">
      <c r="A9914" s="15"/>
    </row>
    <row r="9915" spans="1:1" x14ac:dyDescent="0.25">
      <c r="A9915" s="15"/>
    </row>
    <row r="9916" spans="1:1" x14ac:dyDescent="0.25">
      <c r="A9916" s="15"/>
    </row>
    <row r="9917" spans="1:1" x14ac:dyDescent="0.25">
      <c r="A9917" s="15"/>
    </row>
    <row r="9918" spans="1:1" x14ac:dyDescent="0.25">
      <c r="A9918" s="15"/>
    </row>
    <row r="9919" spans="1:1" x14ac:dyDescent="0.25">
      <c r="A9919" s="15"/>
    </row>
    <row r="9920" spans="1:1" x14ac:dyDescent="0.25">
      <c r="A9920" s="15"/>
    </row>
    <row r="9921" spans="1:1" x14ac:dyDescent="0.25">
      <c r="A9921" s="15"/>
    </row>
    <row r="9922" spans="1:1" x14ac:dyDescent="0.25">
      <c r="A9922" s="15"/>
    </row>
    <row r="9923" spans="1:1" x14ac:dyDescent="0.25">
      <c r="A9923" s="15"/>
    </row>
    <row r="9924" spans="1:1" x14ac:dyDescent="0.25">
      <c r="A9924" s="15"/>
    </row>
    <row r="9925" spans="1:1" x14ac:dyDescent="0.25">
      <c r="A9925" s="15"/>
    </row>
    <row r="9926" spans="1:1" x14ac:dyDescent="0.25">
      <c r="A9926" s="15"/>
    </row>
    <row r="9927" spans="1:1" x14ac:dyDescent="0.25">
      <c r="A9927" s="15"/>
    </row>
    <row r="9928" spans="1:1" x14ac:dyDescent="0.25">
      <c r="A9928" s="15"/>
    </row>
    <row r="9929" spans="1:1" x14ac:dyDescent="0.25">
      <c r="A9929" s="15"/>
    </row>
    <row r="9930" spans="1:1" x14ac:dyDescent="0.25">
      <c r="A9930" s="15"/>
    </row>
    <row r="9931" spans="1:1" x14ac:dyDescent="0.25">
      <c r="A9931" s="15"/>
    </row>
    <row r="9932" spans="1:1" x14ac:dyDescent="0.25">
      <c r="A9932" s="15"/>
    </row>
    <row r="9933" spans="1:1" x14ac:dyDescent="0.25">
      <c r="A9933" s="15"/>
    </row>
    <row r="9934" spans="1:1" x14ac:dyDescent="0.25">
      <c r="A9934" s="15"/>
    </row>
    <row r="9935" spans="1:1" x14ac:dyDescent="0.25">
      <c r="A9935" s="15"/>
    </row>
    <row r="9936" spans="1:1" x14ac:dyDescent="0.25">
      <c r="A9936" s="15"/>
    </row>
    <row r="9937" spans="1:1" x14ac:dyDescent="0.25">
      <c r="A9937" s="15"/>
    </row>
    <row r="9938" spans="1:1" x14ac:dyDescent="0.25">
      <c r="A9938" s="15"/>
    </row>
    <row r="9939" spans="1:1" x14ac:dyDescent="0.25">
      <c r="A9939" s="15"/>
    </row>
    <row r="9940" spans="1:1" x14ac:dyDescent="0.25">
      <c r="A9940" s="15"/>
    </row>
    <row r="9941" spans="1:1" x14ac:dyDescent="0.25">
      <c r="A9941" s="15"/>
    </row>
    <row r="9942" spans="1:1" x14ac:dyDescent="0.25">
      <c r="A9942" s="15"/>
    </row>
    <row r="9943" spans="1:1" x14ac:dyDescent="0.25">
      <c r="A9943" s="15"/>
    </row>
    <row r="9944" spans="1:1" x14ac:dyDescent="0.25">
      <c r="A9944" s="15"/>
    </row>
    <row r="9945" spans="1:1" x14ac:dyDescent="0.25">
      <c r="A9945" s="15"/>
    </row>
    <row r="9946" spans="1:1" x14ac:dyDescent="0.25">
      <c r="A9946" s="15"/>
    </row>
    <row r="9947" spans="1:1" x14ac:dyDescent="0.25">
      <c r="A9947" s="15"/>
    </row>
    <row r="9948" spans="1:1" x14ac:dyDescent="0.25">
      <c r="A9948" s="15"/>
    </row>
    <row r="9949" spans="1:1" x14ac:dyDescent="0.25">
      <c r="A9949" s="15"/>
    </row>
    <row r="9950" spans="1:1" x14ac:dyDescent="0.25">
      <c r="A9950" s="15"/>
    </row>
    <row r="9951" spans="1:1" x14ac:dyDescent="0.25">
      <c r="A9951" s="15"/>
    </row>
    <row r="9952" spans="1:1" x14ac:dyDescent="0.25">
      <c r="A9952" s="15"/>
    </row>
    <row r="9953" spans="1:1" x14ac:dyDescent="0.25">
      <c r="A9953" s="15"/>
    </row>
    <row r="9954" spans="1:1" x14ac:dyDescent="0.25">
      <c r="A9954" s="15"/>
    </row>
    <row r="9955" spans="1:1" x14ac:dyDescent="0.25">
      <c r="A9955" s="15"/>
    </row>
    <row r="9956" spans="1:1" x14ac:dyDescent="0.25">
      <c r="A9956" s="15"/>
    </row>
    <row r="9957" spans="1:1" x14ac:dyDescent="0.25">
      <c r="A9957" s="15"/>
    </row>
    <row r="9958" spans="1:1" x14ac:dyDescent="0.25">
      <c r="A9958" s="15"/>
    </row>
    <row r="9959" spans="1:1" x14ac:dyDescent="0.25">
      <c r="A9959" s="15"/>
    </row>
    <row r="9960" spans="1:1" x14ac:dyDescent="0.25">
      <c r="A9960" s="15"/>
    </row>
    <row r="9961" spans="1:1" x14ac:dyDescent="0.25">
      <c r="A9961" s="15"/>
    </row>
    <row r="9962" spans="1:1" x14ac:dyDescent="0.25">
      <c r="A9962" s="15"/>
    </row>
    <row r="9963" spans="1:1" x14ac:dyDescent="0.25">
      <c r="A9963" s="15"/>
    </row>
    <row r="9964" spans="1:1" x14ac:dyDescent="0.25">
      <c r="A9964" s="15"/>
    </row>
    <row r="9965" spans="1:1" x14ac:dyDescent="0.25">
      <c r="A9965" s="15"/>
    </row>
    <row r="9966" spans="1:1" x14ac:dyDescent="0.25">
      <c r="A9966" s="15"/>
    </row>
    <row r="9967" spans="1:1" x14ac:dyDescent="0.25">
      <c r="A9967" s="15"/>
    </row>
    <row r="9968" spans="1:1" x14ac:dyDescent="0.25">
      <c r="A9968" s="15"/>
    </row>
    <row r="9969" spans="1:1" x14ac:dyDescent="0.25">
      <c r="A9969" s="15"/>
    </row>
    <row r="9970" spans="1:1" x14ac:dyDescent="0.25">
      <c r="A9970" s="15"/>
    </row>
    <row r="9971" spans="1:1" x14ac:dyDescent="0.25">
      <c r="A9971" s="15"/>
    </row>
    <row r="9972" spans="1:1" x14ac:dyDescent="0.25">
      <c r="A9972" s="15"/>
    </row>
    <row r="9973" spans="1:1" x14ac:dyDescent="0.25">
      <c r="A9973" s="15"/>
    </row>
    <row r="9974" spans="1:1" x14ac:dyDescent="0.25">
      <c r="A9974" s="15"/>
    </row>
    <row r="9975" spans="1:1" x14ac:dyDescent="0.25">
      <c r="A9975" s="15"/>
    </row>
    <row r="9976" spans="1:1" x14ac:dyDescent="0.25">
      <c r="A9976" s="15"/>
    </row>
    <row r="9977" spans="1:1" x14ac:dyDescent="0.25">
      <c r="A9977" s="15"/>
    </row>
    <row r="9978" spans="1:1" x14ac:dyDescent="0.25">
      <c r="A9978" s="15"/>
    </row>
    <row r="9979" spans="1:1" x14ac:dyDescent="0.25">
      <c r="A9979" s="15"/>
    </row>
    <row r="9980" spans="1:1" x14ac:dyDescent="0.25">
      <c r="A9980" s="15"/>
    </row>
    <row r="9981" spans="1:1" x14ac:dyDescent="0.25">
      <c r="A9981" s="15"/>
    </row>
    <row r="9982" spans="1:1" x14ac:dyDescent="0.25">
      <c r="A9982" s="15"/>
    </row>
    <row r="9983" spans="1:1" x14ac:dyDescent="0.25">
      <c r="A9983" s="15"/>
    </row>
    <row r="9984" spans="1:1" x14ac:dyDescent="0.25">
      <c r="A9984" s="15"/>
    </row>
    <row r="9985" spans="1:1" x14ac:dyDescent="0.25">
      <c r="A9985" s="15"/>
    </row>
    <row r="9986" spans="1:1" x14ac:dyDescent="0.25">
      <c r="A9986" s="15"/>
    </row>
    <row r="9987" spans="1:1" x14ac:dyDescent="0.25">
      <c r="A9987" s="15"/>
    </row>
    <row r="9988" spans="1:1" x14ac:dyDescent="0.25">
      <c r="A9988" s="15"/>
    </row>
    <row r="9989" spans="1:1" x14ac:dyDescent="0.25">
      <c r="A9989" s="15"/>
    </row>
    <row r="9990" spans="1:1" x14ac:dyDescent="0.25">
      <c r="A9990" s="15"/>
    </row>
    <row r="9991" spans="1:1" x14ac:dyDescent="0.25">
      <c r="A9991" s="15"/>
    </row>
    <row r="9992" spans="1:1" x14ac:dyDescent="0.25">
      <c r="A9992" s="15"/>
    </row>
    <row r="9993" spans="1:1" x14ac:dyDescent="0.25">
      <c r="A9993" s="15"/>
    </row>
    <row r="9994" spans="1:1" x14ac:dyDescent="0.25">
      <c r="A9994" s="15"/>
    </row>
    <row r="9995" spans="1:1" x14ac:dyDescent="0.25">
      <c r="A9995" s="15"/>
    </row>
    <row r="9996" spans="1:1" x14ac:dyDescent="0.25">
      <c r="A9996" s="15"/>
    </row>
    <row r="9997" spans="1:1" x14ac:dyDescent="0.25">
      <c r="A9997" s="15"/>
    </row>
    <row r="9998" spans="1:1" x14ac:dyDescent="0.25">
      <c r="A9998" s="15"/>
    </row>
    <row r="9999" spans="1:1" x14ac:dyDescent="0.25">
      <c r="A9999" s="15"/>
    </row>
    <row r="10000" spans="1:1" x14ac:dyDescent="0.25">
      <c r="A10000" s="15"/>
    </row>
    <row r="10001" spans="1:1" x14ac:dyDescent="0.25">
      <c r="A10001" s="15"/>
    </row>
    <row r="10002" spans="1:1" x14ac:dyDescent="0.25">
      <c r="A10002" s="15"/>
    </row>
    <row r="10003" spans="1:1" x14ac:dyDescent="0.25">
      <c r="A10003" s="15"/>
    </row>
    <row r="10004" spans="1:1" x14ac:dyDescent="0.25">
      <c r="A10004" s="15"/>
    </row>
    <row r="10005" spans="1:1" x14ac:dyDescent="0.25">
      <c r="A10005" s="15"/>
    </row>
    <row r="10006" spans="1:1" x14ac:dyDescent="0.25">
      <c r="A10006" s="15"/>
    </row>
    <row r="10007" spans="1:1" x14ac:dyDescent="0.25">
      <c r="A10007" s="15"/>
    </row>
    <row r="10008" spans="1:1" x14ac:dyDescent="0.25">
      <c r="A10008" s="15"/>
    </row>
    <row r="10009" spans="1:1" x14ac:dyDescent="0.25">
      <c r="A10009" s="15"/>
    </row>
    <row r="10010" spans="1:1" x14ac:dyDescent="0.25">
      <c r="A10010" s="15"/>
    </row>
    <row r="10011" spans="1:1" x14ac:dyDescent="0.25">
      <c r="A10011" s="15"/>
    </row>
    <row r="10012" spans="1:1" x14ac:dyDescent="0.25">
      <c r="A10012" s="15"/>
    </row>
    <row r="10013" spans="1:1" x14ac:dyDescent="0.25">
      <c r="A10013" s="15"/>
    </row>
    <row r="10014" spans="1:1" x14ac:dyDescent="0.25">
      <c r="A10014" s="15"/>
    </row>
    <row r="10015" spans="1:1" x14ac:dyDescent="0.25">
      <c r="A10015" s="15"/>
    </row>
    <row r="10016" spans="1:1" x14ac:dyDescent="0.25">
      <c r="A10016" s="15"/>
    </row>
    <row r="10017" spans="1:1" x14ac:dyDescent="0.25">
      <c r="A10017" s="15"/>
    </row>
    <row r="10018" spans="1:1" x14ac:dyDescent="0.25">
      <c r="A10018" s="15"/>
    </row>
    <row r="10019" spans="1:1" x14ac:dyDescent="0.25">
      <c r="A10019" s="15"/>
    </row>
    <row r="10020" spans="1:1" x14ac:dyDescent="0.25">
      <c r="A10020" s="15"/>
    </row>
    <row r="10021" spans="1:1" x14ac:dyDescent="0.25">
      <c r="A10021" s="15"/>
    </row>
    <row r="10022" spans="1:1" x14ac:dyDescent="0.25">
      <c r="A10022" s="15"/>
    </row>
    <row r="10023" spans="1:1" x14ac:dyDescent="0.25">
      <c r="A10023" s="15"/>
    </row>
    <row r="10024" spans="1:1" x14ac:dyDescent="0.25">
      <c r="A10024" s="15"/>
    </row>
    <row r="10025" spans="1:1" x14ac:dyDescent="0.25">
      <c r="A10025" s="15"/>
    </row>
    <row r="10026" spans="1:1" x14ac:dyDescent="0.25">
      <c r="A10026" s="15"/>
    </row>
    <row r="10027" spans="1:1" x14ac:dyDescent="0.25">
      <c r="A10027" s="15"/>
    </row>
    <row r="10028" spans="1:1" x14ac:dyDescent="0.25">
      <c r="A10028" s="15"/>
    </row>
    <row r="10029" spans="1:1" x14ac:dyDescent="0.25">
      <c r="A10029" s="15"/>
    </row>
    <row r="10030" spans="1:1" x14ac:dyDescent="0.25">
      <c r="A10030" s="15"/>
    </row>
    <row r="10031" spans="1:1" x14ac:dyDescent="0.25">
      <c r="A10031" s="15"/>
    </row>
    <row r="10032" spans="1:1" x14ac:dyDescent="0.25">
      <c r="A10032" s="15"/>
    </row>
    <row r="10033" spans="1:1" x14ac:dyDescent="0.25">
      <c r="A10033" s="15"/>
    </row>
    <row r="10034" spans="1:1" x14ac:dyDescent="0.25">
      <c r="A10034" s="15"/>
    </row>
    <row r="10035" spans="1:1" x14ac:dyDescent="0.25">
      <c r="A10035" s="15"/>
    </row>
    <row r="10036" spans="1:1" x14ac:dyDescent="0.25">
      <c r="A10036" s="15"/>
    </row>
    <row r="10037" spans="1:1" x14ac:dyDescent="0.25">
      <c r="A10037" s="15"/>
    </row>
    <row r="10038" spans="1:1" x14ac:dyDescent="0.25">
      <c r="A10038" s="15"/>
    </row>
    <row r="10039" spans="1:1" x14ac:dyDescent="0.25">
      <c r="A10039" s="15"/>
    </row>
    <row r="10040" spans="1:1" x14ac:dyDescent="0.25">
      <c r="A10040" s="15"/>
    </row>
    <row r="10041" spans="1:1" x14ac:dyDescent="0.25">
      <c r="A10041" s="15"/>
    </row>
    <row r="10042" spans="1:1" x14ac:dyDescent="0.25">
      <c r="A10042" s="15"/>
    </row>
    <row r="10043" spans="1:1" x14ac:dyDescent="0.25">
      <c r="A10043" s="15"/>
    </row>
    <row r="10044" spans="1:1" x14ac:dyDescent="0.25">
      <c r="A10044" s="15"/>
    </row>
    <row r="10045" spans="1:1" x14ac:dyDescent="0.25">
      <c r="A10045" s="15"/>
    </row>
    <row r="10046" spans="1:1" x14ac:dyDescent="0.25">
      <c r="A10046" s="15"/>
    </row>
    <row r="10047" spans="1:1" x14ac:dyDescent="0.25">
      <c r="A10047" s="15"/>
    </row>
    <row r="10048" spans="1:1" x14ac:dyDescent="0.25">
      <c r="A10048" s="15"/>
    </row>
    <row r="10049" spans="1:1" x14ac:dyDescent="0.25">
      <c r="A10049" s="15"/>
    </row>
    <row r="10050" spans="1:1" x14ac:dyDescent="0.25">
      <c r="A10050" s="15"/>
    </row>
    <row r="10051" spans="1:1" x14ac:dyDescent="0.25">
      <c r="A10051" s="15"/>
    </row>
    <row r="10052" spans="1:1" x14ac:dyDescent="0.25">
      <c r="A10052" s="15"/>
    </row>
    <row r="10053" spans="1:1" x14ac:dyDescent="0.25">
      <c r="A10053" s="15"/>
    </row>
    <row r="10054" spans="1:1" x14ac:dyDescent="0.25">
      <c r="A10054" s="15"/>
    </row>
    <row r="10055" spans="1:1" x14ac:dyDescent="0.25">
      <c r="A10055" s="15"/>
    </row>
    <row r="10056" spans="1:1" x14ac:dyDescent="0.25">
      <c r="A10056" s="15"/>
    </row>
    <row r="10057" spans="1:1" x14ac:dyDescent="0.25">
      <c r="A10057" s="15"/>
    </row>
    <row r="10058" spans="1:1" x14ac:dyDescent="0.25">
      <c r="A10058" s="15"/>
    </row>
    <row r="10059" spans="1:1" x14ac:dyDescent="0.25">
      <c r="A10059" s="15"/>
    </row>
    <row r="10060" spans="1:1" x14ac:dyDescent="0.25">
      <c r="A10060" s="15"/>
    </row>
    <row r="10061" spans="1:1" x14ac:dyDescent="0.25">
      <c r="A10061" s="15"/>
    </row>
    <row r="10062" spans="1:1" x14ac:dyDescent="0.25">
      <c r="A10062" s="15"/>
    </row>
    <row r="10063" spans="1:1" x14ac:dyDescent="0.25">
      <c r="A10063" s="15"/>
    </row>
    <row r="10064" spans="1:1" x14ac:dyDescent="0.25">
      <c r="A10064" s="15"/>
    </row>
    <row r="10065" spans="1:1" x14ac:dyDescent="0.25">
      <c r="A10065" s="15"/>
    </row>
    <row r="10066" spans="1:1" x14ac:dyDescent="0.25">
      <c r="A10066" s="15"/>
    </row>
    <row r="10067" spans="1:1" x14ac:dyDescent="0.25">
      <c r="A10067" s="15"/>
    </row>
    <row r="10068" spans="1:1" x14ac:dyDescent="0.25">
      <c r="A10068" s="15"/>
    </row>
    <row r="10069" spans="1:1" x14ac:dyDescent="0.25">
      <c r="A10069" s="15"/>
    </row>
    <row r="10070" spans="1:1" x14ac:dyDescent="0.25">
      <c r="A10070" s="15"/>
    </row>
    <row r="10071" spans="1:1" x14ac:dyDescent="0.25">
      <c r="A10071" s="15"/>
    </row>
    <row r="10072" spans="1:1" x14ac:dyDescent="0.25">
      <c r="A10072" s="15"/>
    </row>
    <row r="10073" spans="1:1" x14ac:dyDescent="0.25">
      <c r="A10073" s="15"/>
    </row>
    <row r="10074" spans="1:1" x14ac:dyDescent="0.25">
      <c r="A10074" s="15"/>
    </row>
    <row r="10075" spans="1:1" x14ac:dyDescent="0.25">
      <c r="A10075" s="15"/>
    </row>
    <row r="10076" spans="1:1" x14ac:dyDescent="0.25">
      <c r="A10076" s="15"/>
    </row>
    <row r="10077" spans="1:1" x14ac:dyDescent="0.25">
      <c r="A10077" s="15"/>
    </row>
    <row r="10078" spans="1:1" x14ac:dyDescent="0.25">
      <c r="A10078" s="15"/>
    </row>
    <row r="10079" spans="1:1" x14ac:dyDescent="0.25">
      <c r="A10079" s="15"/>
    </row>
    <row r="10080" spans="1:1" x14ac:dyDescent="0.25">
      <c r="A10080" s="15"/>
    </row>
    <row r="10081" spans="1:1" x14ac:dyDescent="0.25">
      <c r="A10081" s="15"/>
    </row>
    <row r="10082" spans="1:1" x14ac:dyDescent="0.25">
      <c r="A10082" s="15"/>
    </row>
    <row r="10083" spans="1:1" x14ac:dyDescent="0.25">
      <c r="A10083" s="15"/>
    </row>
    <row r="10084" spans="1:1" x14ac:dyDescent="0.25">
      <c r="A10084" s="15"/>
    </row>
    <row r="10085" spans="1:1" x14ac:dyDescent="0.25">
      <c r="A10085" s="15"/>
    </row>
    <row r="10086" spans="1:1" x14ac:dyDescent="0.25">
      <c r="A10086" s="15"/>
    </row>
    <row r="10087" spans="1:1" x14ac:dyDescent="0.25">
      <c r="A10087" s="15"/>
    </row>
    <row r="10088" spans="1:1" x14ac:dyDescent="0.25">
      <c r="A10088" s="15"/>
    </row>
    <row r="10089" spans="1:1" x14ac:dyDescent="0.25">
      <c r="A10089" s="15"/>
    </row>
    <row r="10090" spans="1:1" x14ac:dyDescent="0.25">
      <c r="A10090" s="15"/>
    </row>
    <row r="10091" spans="1:1" x14ac:dyDescent="0.25">
      <c r="A10091" s="15"/>
    </row>
    <row r="10092" spans="1:1" x14ac:dyDescent="0.25">
      <c r="A10092" s="15"/>
    </row>
    <row r="10093" spans="1:1" x14ac:dyDescent="0.25">
      <c r="A10093" s="15"/>
    </row>
    <row r="10094" spans="1:1" x14ac:dyDescent="0.25">
      <c r="A10094" s="15"/>
    </row>
    <row r="10095" spans="1:1" x14ac:dyDescent="0.25">
      <c r="A10095" s="15"/>
    </row>
    <row r="10096" spans="1:1" x14ac:dyDescent="0.25">
      <c r="A10096" s="15"/>
    </row>
    <row r="10097" spans="1:1" x14ac:dyDescent="0.25">
      <c r="A10097" s="15"/>
    </row>
    <row r="10098" spans="1:1" x14ac:dyDescent="0.25">
      <c r="A10098" s="15"/>
    </row>
    <row r="10099" spans="1:1" x14ac:dyDescent="0.25">
      <c r="A10099" s="15"/>
    </row>
    <row r="10100" spans="1:1" x14ac:dyDescent="0.25">
      <c r="A10100" s="15"/>
    </row>
    <row r="10101" spans="1:1" x14ac:dyDescent="0.25">
      <c r="A10101" s="15"/>
    </row>
    <row r="10102" spans="1:1" x14ac:dyDescent="0.25">
      <c r="A10102" s="15"/>
    </row>
    <row r="10103" spans="1:1" x14ac:dyDescent="0.25">
      <c r="A10103" s="15"/>
    </row>
    <row r="10104" spans="1:1" x14ac:dyDescent="0.25">
      <c r="A10104" s="15"/>
    </row>
    <row r="10105" spans="1:1" x14ac:dyDescent="0.25">
      <c r="A10105" s="15"/>
    </row>
    <row r="10106" spans="1:1" x14ac:dyDescent="0.25">
      <c r="A10106" s="15"/>
    </row>
    <row r="10107" spans="1:1" x14ac:dyDescent="0.25">
      <c r="A10107" s="15"/>
    </row>
    <row r="10108" spans="1:1" x14ac:dyDescent="0.25">
      <c r="A10108" s="15"/>
    </row>
    <row r="10109" spans="1:1" x14ac:dyDescent="0.25">
      <c r="A10109" s="15"/>
    </row>
    <row r="10110" spans="1:1" x14ac:dyDescent="0.25">
      <c r="A10110" s="15"/>
    </row>
    <row r="10111" spans="1:1" x14ac:dyDescent="0.25">
      <c r="A10111" s="15"/>
    </row>
    <row r="10112" spans="1:1" x14ac:dyDescent="0.25">
      <c r="A10112" s="15"/>
    </row>
    <row r="10113" spans="1:1" x14ac:dyDescent="0.25">
      <c r="A10113" s="15"/>
    </row>
    <row r="10114" spans="1:1" x14ac:dyDescent="0.25">
      <c r="A10114" s="15"/>
    </row>
    <row r="10115" spans="1:1" x14ac:dyDescent="0.25">
      <c r="A10115" s="15"/>
    </row>
    <row r="10116" spans="1:1" x14ac:dyDescent="0.25">
      <c r="A10116" s="15"/>
    </row>
    <row r="10117" spans="1:1" x14ac:dyDescent="0.25">
      <c r="A10117" s="15"/>
    </row>
    <row r="10118" spans="1:1" x14ac:dyDescent="0.25">
      <c r="A10118" s="15"/>
    </row>
    <row r="10119" spans="1:1" x14ac:dyDescent="0.25">
      <c r="A10119" s="15"/>
    </row>
    <row r="10120" spans="1:1" x14ac:dyDescent="0.25">
      <c r="A10120" s="15"/>
    </row>
    <row r="10121" spans="1:1" x14ac:dyDescent="0.25">
      <c r="A10121" s="15"/>
    </row>
    <row r="10122" spans="1:1" x14ac:dyDescent="0.25">
      <c r="A10122" s="15"/>
    </row>
    <row r="10123" spans="1:1" x14ac:dyDescent="0.25">
      <c r="A10123" s="15"/>
    </row>
    <row r="10124" spans="1:1" x14ac:dyDescent="0.25">
      <c r="A10124" s="15"/>
    </row>
    <row r="10125" spans="1:1" x14ac:dyDescent="0.25">
      <c r="A10125" s="15"/>
    </row>
    <row r="10126" spans="1:1" x14ac:dyDescent="0.25">
      <c r="A10126" s="15"/>
    </row>
    <row r="10127" spans="1:1" x14ac:dyDescent="0.25">
      <c r="A10127" s="15"/>
    </row>
    <row r="10128" spans="1:1" x14ac:dyDescent="0.25">
      <c r="A10128" s="15"/>
    </row>
    <row r="10129" spans="1:1" x14ac:dyDescent="0.25">
      <c r="A10129" s="15"/>
    </row>
    <row r="10130" spans="1:1" x14ac:dyDescent="0.25">
      <c r="A10130" s="15"/>
    </row>
    <row r="10131" spans="1:1" x14ac:dyDescent="0.25">
      <c r="A10131" s="15"/>
    </row>
    <row r="10132" spans="1:1" x14ac:dyDescent="0.25">
      <c r="A10132" s="15"/>
    </row>
    <row r="10133" spans="1:1" x14ac:dyDescent="0.25">
      <c r="A10133" s="15"/>
    </row>
    <row r="10134" spans="1:1" x14ac:dyDescent="0.25">
      <c r="A10134" s="15"/>
    </row>
    <row r="10135" spans="1:1" x14ac:dyDescent="0.25">
      <c r="A10135" s="15"/>
    </row>
    <row r="10136" spans="1:1" x14ac:dyDescent="0.25">
      <c r="A10136" s="15"/>
    </row>
    <row r="10137" spans="1:1" x14ac:dyDescent="0.25">
      <c r="A10137" s="15"/>
    </row>
    <row r="10138" spans="1:1" x14ac:dyDescent="0.25">
      <c r="A10138" s="15"/>
    </row>
    <row r="10139" spans="1:1" x14ac:dyDescent="0.25">
      <c r="A10139" s="15"/>
    </row>
    <row r="10140" spans="1:1" x14ac:dyDescent="0.25">
      <c r="A10140" s="15"/>
    </row>
    <row r="10141" spans="1:1" x14ac:dyDescent="0.25">
      <c r="A10141" s="15"/>
    </row>
    <row r="10142" spans="1:1" x14ac:dyDescent="0.25">
      <c r="A10142" s="15"/>
    </row>
    <row r="10143" spans="1:1" x14ac:dyDescent="0.25">
      <c r="A10143" s="15"/>
    </row>
    <row r="10144" spans="1:1" x14ac:dyDescent="0.25">
      <c r="A10144" s="15"/>
    </row>
    <row r="10145" spans="1:1" x14ac:dyDescent="0.25">
      <c r="A10145" s="15"/>
    </row>
    <row r="10146" spans="1:1" x14ac:dyDescent="0.25">
      <c r="A10146" s="15"/>
    </row>
    <row r="10147" spans="1:1" x14ac:dyDescent="0.25">
      <c r="A10147" s="15"/>
    </row>
    <row r="10148" spans="1:1" x14ac:dyDescent="0.25">
      <c r="A10148" s="15"/>
    </row>
    <row r="10149" spans="1:1" x14ac:dyDescent="0.25">
      <c r="A10149" s="15"/>
    </row>
    <row r="10150" spans="1:1" x14ac:dyDescent="0.25">
      <c r="A10150" s="15"/>
    </row>
    <row r="10151" spans="1:1" x14ac:dyDescent="0.25">
      <c r="A10151" s="15"/>
    </row>
    <row r="10152" spans="1:1" x14ac:dyDescent="0.25">
      <c r="A10152" s="15"/>
    </row>
    <row r="10153" spans="1:1" x14ac:dyDescent="0.25">
      <c r="A10153" s="15"/>
    </row>
    <row r="10154" spans="1:1" x14ac:dyDescent="0.25">
      <c r="A10154" s="15"/>
    </row>
    <row r="10155" spans="1:1" x14ac:dyDescent="0.25">
      <c r="A10155" s="15"/>
    </row>
    <row r="10156" spans="1:1" x14ac:dyDescent="0.25">
      <c r="A10156" s="15"/>
    </row>
    <row r="10157" spans="1:1" x14ac:dyDescent="0.25">
      <c r="A10157" s="15"/>
    </row>
    <row r="10158" spans="1:1" x14ac:dyDescent="0.25">
      <c r="A10158" s="15"/>
    </row>
    <row r="10159" spans="1:1" x14ac:dyDescent="0.25">
      <c r="A10159" s="15"/>
    </row>
    <row r="10160" spans="1:1" x14ac:dyDescent="0.25">
      <c r="A10160" s="15"/>
    </row>
    <row r="10161" spans="1:1" x14ac:dyDescent="0.25">
      <c r="A10161" s="15"/>
    </row>
    <row r="10162" spans="1:1" x14ac:dyDescent="0.25">
      <c r="A10162" s="15"/>
    </row>
    <row r="10163" spans="1:1" x14ac:dyDescent="0.25">
      <c r="A10163" s="15"/>
    </row>
    <row r="10164" spans="1:1" x14ac:dyDescent="0.25">
      <c r="A10164" s="15"/>
    </row>
    <row r="10165" spans="1:1" x14ac:dyDescent="0.25">
      <c r="A10165" s="15"/>
    </row>
    <row r="10166" spans="1:1" x14ac:dyDescent="0.25">
      <c r="A10166" s="15"/>
    </row>
    <row r="10167" spans="1:1" x14ac:dyDescent="0.25">
      <c r="A10167" s="15"/>
    </row>
    <row r="10168" spans="1:1" x14ac:dyDescent="0.25">
      <c r="A10168" s="15"/>
    </row>
    <row r="10169" spans="1:1" x14ac:dyDescent="0.25">
      <c r="A10169" s="15"/>
    </row>
    <row r="10170" spans="1:1" x14ac:dyDescent="0.25">
      <c r="A10170" s="15"/>
    </row>
    <row r="10171" spans="1:1" x14ac:dyDescent="0.25">
      <c r="A10171" s="15"/>
    </row>
    <row r="10172" spans="1:1" x14ac:dyDescent="0.25">
      <c r="A10172" s="15"/>
    </row>
    <row r="10173" spans="1:1" x14ac:dyDescent="0.25">
      <c r="A10173" s="15"/>
    </row>
    <row r="10174" spans="1:1" x14ac:dyDescent="0.25">
      <c r="A10174" s="15"/>
    </row>
    <row r="10175" spans="1:1" x14ac:dyDescent="0.25">
      <c r="A10175" s="15"/>
    </row>
    <row r="10176" spans="1:1" x14ac:dyDescent="0.25">
      <c r="A10176" s="15"/>
    </row>
    <row r="10177" spans="1:1" x14ac:dyDescent="0.25">
      <c r="A10177" s="15"/>
    </row>
    <row r="10178" spans="1:1" x14ac:dyDescent="0.25">
      <c r="A10178" s="15"/>
    </row>
    <row r="10179" spans="1:1" x14ac:dyDescent="0.25">
      <c r="A10179" s="15"/>
    </row>
    <row r="10180" spans="1:1" x14ac:dyDescent="0.25">
      <c r="A10180" s="15"/>
    </row>
    <row r="10181" spans="1:1" x14ac:dyDescent="0.25">
      <c r="A10181" s="15"/>
    </row>
    <row r="10182" spans="1:1" x14ac:dyDescent="0.25">
      <c r="A10182" s="15"/>
    </row>
    <row r="10183" spans="1:1" x14ac:dyDescent="0.25">
      <c r="A10183" s="15"/>
    </row>
    <row r="10184" spans="1:1" x14ac:dyDescent="0.25">
      <c r="A10184" s="15"/>
    </row>
    <row r="10185" spans="1:1" x14ac:dyDescent="0.25">
      <c r="A10185" s="15"/>
    </row>
    <row r="10186" spans="1:1" x14ac:dyDescent="0.25">
      <c r="A10186" s="15"/>
    </row>
    <row r="10187" spans="1:1" x14ac:dyDescent="0.25">
      <c r="A10187" s="15"/>
    </row>
    <row r="10188" spans="1:1" x14ac:dyDescent="0.25">
      <c r="A10188" s="15"/>
    </row>
    <row r="10189" spans="1:1" x14ac:dyDescent="0.25">
      <c r="A10189" s="15"/>
    </row>
    <row r="10190" spans="1:1" x14ac:dyDescent="0.25">
      <c r="A10190" s="15"/>
    </row>
    <row r="10191" spans="1:1" x14ac:dyDescent="0.25">
      <c r="A10191" s="15"/>
    </row>
    <row r="10192" spans="1:1" x14ac:dyDescent="0.25">
      <c r="A10192" s="15"/>
    </row>
    <row r="10193" spans="1:1" x14ac:dyDescent="0.25">
      <c r="A10193" s="15"/>
    </row>
    <row r="10194" spans="1:1" x14ac:dyDescent="0.25">
      <c r="A10194" s="15"/>
    </row>
    <row r="10195" spans="1:1" x14ac:dyDescent="0.25">
      <c r="A10195" s="15"/>
    </row>
    <row r="10196" spans="1:1" x14ac:dyDescent="0.25">
      <c r="A10196" s="15"/>
    </row>
    <row r="10197" spans="1:1" x14ac:dyDescent="0.25">
      <c r="A10197" s="15"/>
    </row>
    <row r="10198" spans="1:1" x14ac:dyDescent="0.25">
      <c r="A10198" s="15"/>
    </row>
    <row r="10199" spans="1:1" x14ac:dyDescent="0.25">
      <c r="A10199" s="15"/>
    </row>
    <row r="10200" spans="1:1" x14ac:dyDescent="0.25">
      <c r="A10200" s="15"/>
    </row>
    <row r="10201" spans="1:1" x14ac:dyDescent="0.25">
      <c r="A10201" s="15"/>
    </row>
    <row r="10202" spans="1:1" x14ac:dyDescent="0.25">
      <c r="A10202" s="15"/>
    </row>
    <row r="10203" spans="1:1" x14ac:dyDescent="0.25">
      <c r="A10203" s="15"/>
    </row>
    <row r="10204" spans="1:1" x14ac:dyDescent="0.25">
      <c r="A10204" s="15"/>
    </row>
    <row r="10205" spans="1:1" x14ac:dyDescent="0.25">
      <c r="A10205" s="15"/>
    </row>
    <row r="10206" spans="1:1" x14ac:dyDescent="0.25">
      <c r="A10206" s="15"/>
    </row>
    <row r="10207" spans="1:1" x14ac:dyDescent="0.25">
      <c r="A10207" s="15"/>
    </row>
    <row r="10208" spans="1:1" x14ac:dyDescent="0.25">
      <c r="A10208" s="15"/>
    </row>
    <row r="10209" spans="1:1" x14ac:dyDescent="0.25">
      <c r="A10209" s="15"/>
    </row>
    <row r="10210" spans="1:1" x14ac:dyDescent="0.25">
      <c r="A10210" s="15"/>
    </row>
    <row r="10211" spans="1:1" x14ac:dyDescent="0.25">
      <c r="A10211" s="15"/>
    </row>
    <row r="10212" spans="1:1" x14ac:dyDescent="0.25">
      <c r="A10212" s="15"/>
    </row>
    <row r="10213" spans="1:1" x14ac:dyDescent="0.25">
      <c r="A10213" s="15"/>
    </row>
    <row r="10214" spans="1:1" x14ac:dyDescent="0.25">
      <c r="A10214" s="15"/>
    </row>
    <row r="10215" spans="1:1" x14ac:dyDescent="0.25">
      <c r="A10215" s="15"/>
    </row>
    <row r="10216" spans="1:1" x14ac:dyDescent="0.25">
      <c r="A10216" s="15"/>
    </row>
    <row r="10217" spans="1:1" x14ac:dyDescent="0.25">
      <c r="A10217" s="15"/>
    </row>
    <row r="10218" spans="1:1" x14ac:dyDescent="0.25">
      <c r="A10218" s="15"/>
    </row>
    <row r="10219" spans="1:1" x14ac:dyDescent="0.25">
      <c r="A10219" s="15"/>
    </row>
    <row r="10220" spans="1:1" x14ac:dyDescent="0.25">
      <c r="A10220" s="15"/>
    </row>
    <row r="10221" spans="1:1" x14ac:dyDescent="0.25">
      <c r="A10221" s="15"/>
    </row>
    <row r="10222" spans="1:1" x14ac:dyDescent="0.25">
      <c r="A10222" s="15"/>
    </row>
    <row r="10223" spans="1:1" x14ac:dyDescent="0.25">
      <c r="A10223" s="15"/>
    </row>
    <row r="10224" spans="1:1" x14ac:dyDescent="0.25">
      <c r="A10224" s="15"/>
    </row>
    <row r="10225" spans="1:1" x14ac:dyDescent="0.25">
      <c r="A10225" s="15"/>
    </row>
    <row r="10226" spans="1:1" x14ac:dyDescent="0.25">
      <c r="A10226" s="15"/>
    </row>
    <row r="10227" spans="1:1" x14ac:dyDescent="0.25">
      <c r="A10227" s="15"/>
    </row>
    <row r="10228" spans="1:1" x14ac:dyDescent="0.25">
      <c r="A10228" s="15"/>
    </row>
    <row r="10229" spans="1:1" x14ac:dyDescent="0.25">
      <c r="A10229" s="15"/>
    </row>
    <row r="10230" spans="1:1" x14ac:dyDescent="0.25">
      <c r="A10230" s="15"/>
    </row>
    <row r="10231" spans="1:1" x14ac:dyDescent="0.25">
      <c r="A10231" s="15"/>
    </row>
    <row r="10232" spans="1:1" x14ac:dyDescent="0.25">
      <c r="A10232" s="15"/>
    </row>
    <row r="10233" spans="1:1" x14ac:dyDescent="0.25">
      <c r="A10233" s="15"/>
    </row>
    <row r="10234" spans="1:1" x14ac:dyDescent="0.25">
      <c r="A10234" s="15"/>
    </row>
    <row r="10235" spans="1:1" x14ac:dyDescent="0.25">
      <c r="A10235" s="15"/>
    </row>
    <row r="10236" spans="1:1" x14ac:dyDescent="0.25">
      <c r="A10236" s="15"/>
    </row>
    <row r="10237" spans="1:1" x14ac:dyDescent="0.25">
      <c r="A10237" s="15"/>
    </row>
    <row r="10238" spans="1:1" x14ac:dyDescent="0.25">
      <c r="A10238" s="15"/>
    </row>
    <row r="10239" spans="1:1" x14ac:dyDescent="0.25">
      <c r="A10239" s="15"/>
    </row>
    <row r="10240" spans="1:1" x14ac:dyDescent="0.25">
      <c r="A10240" s="15"/>
    </row>
    <row r="10241" spans="1:1" x14ac:dyDescent="0.25">
      <c r="A10241" s="15"/>
    </row>
    <row r="10242" spans="1:1" x14ac:dyDescent="0.25">
      <c r="A10242" s="15"/>
    </row>
    <row r="10243" spans="1:1" x14ac:dyDescent="0.25">
      <c r="A10243" s="15"/>
    </row>
    <row r="10244" spans="1:1" x14ac:dyDescent="0.25">
      <c r="A10244" s="15"/>
    </row>
    <row r="10245" spans="1:1" x14ac:dyDescent="0.25">
      <c r="A10245" s="15"/>
    </row>
    <row r="10246" spans="1:1" x14ac:dyDescent="0.25">
      <c r="A10246" s="15"/>
    </row>
    <row r="10247" spans="1:1" x14ac:dyDescent="0.25">
      <c r="A10247" s="15"/>
    </row>
    <row r="10248" spans="1:1" x14ac:dyDescent="0.25">
      <c r="A10248" s="15"/>
    </row>
    <row r="10249" spans="1:1" x14ac:dyDescent="0.25">
      <c r="A10249" s="15"/>
    </row>
    <row r="10250" spans="1:1" x14ac:dyDescent="0.25">
      <c r="A10250" s="15"/>
    </row>
    <row r="10251" spans="1:1" x14ac:dyDescent="0.25">
      <c r="A10251" s="15"/>
    </row>
    <row r="10252" spans="1:1" x14ac:dyDescent="0.25">
      <c r="A10252" s="15"/>
    </row>
    <row r="10253" spans="1:1" x14ac:dyDescent="0.25">
      <c r="A10253" s="15"/>
    </row>
    <row r="10254" spans="1:1" x14ac:dyDescent="0.25">
      <c r="A10254" s="15"/>
    </row>
    <row r="10255" spans="1:1" x14ac:dyDescent="0.25">
      <c r="A10255" s="15"/>
    </row>
    <row r="10256" spans="1:1" x14ac:dyDescent="0.25">
      <c r="A10256" s="15"/>
    </row>
    <row r="10257" spans="1:1" x14ac:dyDescent="0.25">
      <c r="A10257" s="15"/>
    </row>
    <row r="10258" spans="1:1" x14ac:dyDescent="0.25">
      <c r="A10258" s="15"/>
    </row>
    <row r="10259" spans="1:1" x14ac:dyDescent="0.25">
      <c r="A10259" s="15"/>
    </row>
    <row r="10260" spans="1:1" x14ac:dyDescent="0.25">
      <c r="A10260" s="15"/>
    </row>
    <row r="10261" spans="1:1" x14ac:dyDescent="0.25">
      <c r="A10261" s="15"/>
    </row>
    <row r="10262" spans="1:1" x14ac:dyDescent="0.25">
      <c r="A10262" s="15"/>
    </row>
    <row r="10263" spans="1:1" x14ac:dyDescent="0.25">
      <c r="A10263" s="15"/>
    </row>
    <row r="10264" spans="1:1" x14ac:dyDescent="0.25">
      <c r="A10264" s="15"/>
    </row>
    <row r="10265" spans="1:1" x14ac:dyDescent="0.25">
      <c r="A10265" s="15"/>
    </row>
    <row r="10266" spans="1:1" x14ac:dyDescent="0.25">
      <c r="A10266" s="15"/>
    </row>
    <row r="10267" spans="1:1" x14ac:dyDescent="0.25">
      <c r="A10267" s="15"/>
    </row>
    <row r="10268" spans="1:1" x14ac:dyDescent="0.25">
      <c r="A10268" s="15"/>
    </row>
    <row r="10269" spans="1:1" x14ac:dyDescent="0.25">
      <c r="A10269" s="15"/>
    </row>
    <row r="10270" spans="1:1" x14ac:dyDescent="0.25">
      <c r="A10270" s="15"/>
    </row>
    <row r="10271" spans="1:1" x14ac:dyDescent="0.25">
      <c r="A10271" s="15"/>
    </row>
    <row r="10272" spans="1:1" x14ac:dyDescent="0.25">
      <c r="A10272" s="15"/>
    </row>
    <row r="10273" spans="1:1" x14ac:dyDescent="0.25">
      <c r="A10273" s="15"/>
    </row>
    <row r="10274" spans="1:1" x14ac:dyDescent="0.25">
      <c r="A10274" s="15"/>
    </row>
    <row r="10275" spans="1:1" x14ac:dyDescent="0.25">
      <c r="A10275" s="15"/>
    </row>
    <row r="10276" spans="1:1" x14ac:dyDescent="0.25">
      <c r="A10276" s="15"/>
    </row>
    <row r="10277" spans="1:1" x14ac:dyDescent="0.25">
      <c r="A10277" s="15"/>
    </row>
    <row r="10278" spans="1:1" x14ac:dyDescent="0.25">
      <c r="A10278" s="15"/>
    </row>
    <row r="10279" spans="1:1" x14ac:dyDescent="0.25">
      <c r="A10279" s="15"/>
    </row>
    <row r="10280" spans="1:1" x14ac:dyDescent="0.25">
      <c r="A10280" s="15"/>
    </row>
    <row r="10281" spans="1:1" x14ac:dyDescent="0.25">
      <c r="A10281" s="15"/>
    </row>
    <row r="10282" spans="1:1" x14ac:dyDescent="0.25">
      <c r="A10282" s="15"/>
    </row>
    <row r="10283" spans="1:1" x14ac:dyDescent="0.25">
      <c r="A10283" s="15"/>
    </row>
    <row r="10284" spans="1:1" x14ac:dyDescent="0.25">
      <c r="A10284" s="15"/>
    </row>
    <row r="10285" spans="1:1" x14ac:dyDescent="0.25">
      <c r="A10285" s="15"/>
    </row>
    <row r="10286" spans="1:1" x14ac:dyDescent="0.25">
      <c r="A10286" s="15"/>
    </row>
    <row r="10287" spans="1:1" x14ac:dyDescent="0.25">
      <c r="A10287" s="15"/>
    </row>
    <row r="10288" spans="1:1" x14ac:dyDescent="0.25">
      <c r="A10288" s="15"/>
    </row>
    <row r="10289" spans="1:1" x14ac:dyDescent="0.25">
      <c r="A10289" s="15"/>
    </row>
    <row r="10290" spans="1:1" x14ac:dyDescent="0.25">
      <c r="A10290" s="15"/>
    </row>
    <row r="10291" spans="1:1" x14ac:dyDescent="0.25">
      <c r="A10291" s="15"/>
    </row>
    <row r="10292" spans="1:1" x14ac:dyDescent="0.25">
      <c r="A10292" s="15"/>
    </row>
    <row r="10293" spans="1:1" x14ac:dyDescent="0.25">
      <c r="A10293" s="15"/>
    </row>
    <row r="10294" spans="1:1" x14ac:dyDescent="0.25">
      <c r="A10294" s="15"/>
    </row>
    <row r="10295" spans="1:1" x14ac:dyDescent="0.25">
      <c r="A10295" s="15"/>
    </row>
    <row r="10296" spans="1:1" x14ac:dyDescent="0.25">
      <c r="A10296" s="15"/>
    </row>
    <row r="10297" spans="1:1" x14ac:dyDescent="0.25">
      <c r="A10297" s="15"/>
    </row>
    <row r="10298" spans="1:1" x14ac:dyDescent="0.25">
      <c r="A10298" s="15"/>
    </row>
    <row r="10299" spans="1:1" x14ac:dyDescent="0.25">
      <c r="A10299" s="15"/>
    </row>
    <row r="10300" spans="1:1" x14ac:dyDescent="0.25">
      <c r="A10300" s="15"/>
    </row>
    <row r="10301" spans="1:1" x14ac:dyDescent="0.25">
      <c r="A10301" s="15"/>
    </row>
    <row r="10302" spans="1:1" x14ac:dyDescent="0.25">
      <c r="A10302" s="15"/>
    </row>
    <row r="10303" spans="1:1" x14ac:dyDescent="0.25">
      <c r="A10303" s="15"/>
    </row>
    <row r="10304" spans="1:1" x14ac:dyDescent="0.25">
      <c r="A10304" s="15"/>
    </row>
    <row r="10305" spans="1:1" x14ac:dyDescent="0.25">
      <c r="A10305" s="15"/>
    </row>
    <row r="10306" spans="1:1" x14ac:dyDescent="0.25">
      <c r="A10306" s="15"/>
    </row>
    <row r="10307" spans="1:1" x14ac:dyDescent="0.25">
      <c r="A10307" s="15"/>
    </row>
    <row r="10308" spans="1:1" x14ac:dyDescent="0.25">
      <c r="A10308" s="15"/>
    </row>
    <row r="10309" spans="1:1" x14ac:dyDescent="0.25">
      <c r="A10309" s="15"/>
    </row>
    <row r="10310" spans="1:1" x14ac:dyDescent="0.25">
      <c r="A10310" s="15"/>
    </row>
    <row r="10311" spans="1:1" x14ac:dyDescent="0.25">
      <c r="A10311" s="15"/>
    </row>
    <row r="10312" spans="1:1" x14ac:dyDescent="0.25">
      <c r="A10312" s="15"/>
    </row>
    <row r="10313" spans="1:1" x14ac:dyDescent="0.25">
      <c r="A10313" s="15"/>
    </row>
    <row r="10314" spans="1:1" x14ac:dyDescent="0.25">
      <c r="A10314" s="15"/>
    </row>
    <row r="10315" spans="1:1" x14ac:dyDescent="0.25">
      <c r="A10315" s="15"/>
    </row>
    <row r="10316" spans="1:1" x14ac:dyDescent="0.25">
      <c r="A10316" s="15"/>
    </row>
    <row r="10317" spans="1:1" x14ac:dyDescent="0.25">
      <c r="A10317" s="15"/>
    </row>
    <row r="10318" spans="1:1" x14ac:dyDescent="0.25">
      <c r="A10318" s="15"/>
    </row>
    <row r="10319" spans="1:1" x14ac:dyDescent="0.25">
      <c r="A10319" s="15"/>
    </row>
    <row r="10320" spans="1:1" x14ac:dyDescent="0.25">
      <c r="A10320" s="15"/>
    </row>
    <row r="10321" spans="1:1" x14ac:dyDescent="0.25">
      <c r="A10321" s="15"/>
    </row>
    <row r="10322" spans="1:1" x14ac:dyDescent="0.25">
      <c r="A10322" s="15"/>
    </row>
    <row r="10323" spans="1:1" x14ac:dyDescent="0.25">
      <c r="A10323" s="15"/>
    </row>
    <row r="10324" spans="1:1" x14ac:dyDescent="0.25">
      <c r="A10324" s="15"/>
    </row>
    <row r="10325" spans="1:1" x14ac:dyDescent="0.25">
      <c r="A10325" s="15"/>
    </row>
    <row r="10326" spans="1:1" x14ac:dyDescent="0.25">
      <c r="A10326" s="15"/>
    </row>
    <row r="10327" spans="1:1" x14ac:dyDescent="0.25">
      <c r="A10327" s="15"/>
    </row>
    <row r="10328" spans="1:1" x14ac:dyDescent="0.25">
      <c r="A10328" s="15"/>
    </row>
    <row r="10329" spans="1:1" x14ac:dyDescent="0.25">
      <c r="A10329" s="15"/>
    </row>
    <row r="10330" spans="1:1" x14ac:dyDescent="0.25">
      <c r="A10330" s="15"/>
    </row>
    <row r="10331" spans="1:1" x14ac:dyDescent="0.25">
      <c r="A10331" s="15"/>
    </row>
    <row r="10332" spans="1:1" x14ac:dyDescent="0.25">
      <c r="A10332" s="15"/>
    </row>
    <row r="10333" spans="1:1" x14ac:dyDescent="0.25">
      <c r="A10333" s="15"/>
    </row>
    <row r="10334" spans="1:1" x14ac:dyDescent="0.25">
      <c r="A10334" s="15"/>
    </row>
    <row r="10335" spans="1:1" x14ac:dyDescent="0.25">
      <c r="A10335" s="15"/>
    </row>
    <row r="10336" spans="1:1" x14ac:dyDescent="0.25">
      <c r="A10336" s="15"/>
    </row>
    <row r="10337" spans="1:1" x14ac:dyDescent="0.25">
      <c r="A10337" s="15"/>
    </row>
    <row r="10338" spans="1:1" x14ac:dyDescent="0.25">
      <c r="A10338" s="15"/>
    </row>
    <row r="10339" spans="1:1" x14ac:dyDescent="0.25">
      <c r="A10339" s="15"/>
    </row>
    <row r="10340" spans="1:1" x14ac:dyDescent="0.25">
      <c r="A10340" s="15"/>
    </row>
    <row r="10341" spans="1:1" x14ac:dyDescent="0.25">
      <c r="A10341" s="15"/>
    </row>
    <row r="10342" spans="1:1" x14ac:dyDescent="0.25">
      <c r="A10342" s="15"/>
    </row>
    <row r="10343" spans="1:1" x14ac:dyDescent="0.25">
      <c r="A10343" s="15"/>
    </row>
    <row r="10344" spans="1:1" x14ac:dyDescent="0.25">
      <c r="A10344" s="15"/>
    </row>
    <row r="10345" spans="1:1" x14ac:dyDescent="0.25">
      <c r="A10345" s="15"/>
    </row>
    <row r="10346" spans="1:1" x14ac:dyDescent="0.25">
      <c r="A10346" s="15"/>
    </row>
    <row r="10347" spans="1:1" x14ac:dyDescent="0.25">
      <c r="A10347" s="15"/>
    </row>
    <row r="10348" spans="1:1" x14ac:dyDescent="0.25">
      <c r="A10348" s="15"/>
    </row>
    <row r="10349" spans="1:1" x14ac:dyDescent="0.25">
      <c r="A10349" s="15"/>
    </row>
    <row r="10350" spans="1:1" x14ac:dyDescent="0.25">
      <c r="A10350" s="15"/>
    </row>
    <row r="10351" spans="1:1" x14ac:dyDescent="0.25">
      <c r="A10351" s="15"/>
    </row>
    <row r="10352" spans="1:1" x14ac:dyDescent="0.25">
      <c r="A10352" s="15"/>
    </row>
    <row r="10353" spans="1:1" x14ac:dyDescent="0.25">
      <c r="A10353" s="15"/>
    </row>
    <row r="10354" spans="1:1" x14ac:dyDescent="0.25">
      <c r="A10354" s="15"/>
    </row>
    <row r="10355" spans="1:1" x14ac:dyDescent="0.25">
      <c r="A10355" s="15"/>
    </row>
    <row r="10356" spans="1:1" x14ac:dyDescent="0.25">
      <c r="A10356" s="15"/>
    </row>
    <row r="10357" spans="1:1" x14ac:dyDescent="0.25">
      <c r="A10357" s="15"/>
    </row>
    <row r="10358" spans="1:1" x14ac:dyDescent="0.25">
      <c r="A10358" s="15"/>
    </row>
    <row r="10359" spans="1:1" x14ac:dyDescent="0.25">
      <c r="A10359" s="15"/>
    </row>
    <row r="10360" spans="1:1" x14ac:dyDescent="0.25">
      <c r="A10360" s="15"/>
    </row>
    <row r="10361" spans="1:1" x14ac:dyDescent="0.25">
      <c r="A10361" s="15"/>
    </row>
    <row r="10362" spans="1:1" x14ac:dyDescent="0.25">
      <c r="A10362" s="15"/>
    </row>
    <row r="10363" spans="1:1" x14ac:dyDescent="0.25">
      <c r="A10363" s="15"/>
    </row>
    <row r="10364" spans="1:1" x14ac:dyDescent="0.25">
      <c r="A10364" s="15"/>
    </row>
    <row r="10365" spans="1:1" x14ac:dyDescent="0.25">
      <c r="A10365" s="15"/>
    </row>
    <row r="10366" spans="1:1" x14ac:dyDescent="0.25">
      <c r="A10366" s="15"/>
    </row>
    <row r="10367" spans="1:1" x14ac:dyDescent="0.25">
      <c r="A10367" s="15"/>
    </row>
    <row r="10368" spans="1:1" x14ac:dyDescent="0.25">
      <c r="A10368" s="15"/>
    </row>
    <row r="10369" spans="1:1" x14ac:dyDescent="0.25">
      <c r="A10369" s="15"/>
    </row>
    <row r="10370" spans="1:1" x14ac:dyDescent="0.25">
      <c r="A10370" s="15"/>
    </row>
    <row r="10371" spans="1:1" x14ac:dyDescent="0.25">
      <c r="A10371" s="15"/>
    </row>
    <row r="10372" spans="1:1" x14ac:dyDescent="0.25">
      <c r="A10372" s="15"/>
    </row>
    <row r="10373" spans="1:1" x14ac:dyDescent="0.25">
      <c r="A10373" s="15"/>
    </row>
    <row r="10374" spans="1:1" x14ac:dyDescent="0.25">
      <c r="A10374" s="15"/>
    </row>
    <row r="10375" spans="1:1" x14ac:dyDescent="0.25">
      <c r="A10375" s="15"/>
    </row>
    <row r="10376" spans="1:1" x14ac:dyDescent="0.25">
      <c r="A10376" s="15"/>
    </row>
    <row r="10377" spans="1:1" x14ac:dyDescent="0.25">
      <c r="A10377" s="15"/>
    </row>
    <row r="10378" spans="1:1" x14ac:dyDescent="0.25">
      <c r="A10378" s="15"/>
    </row>
    <row r="10379" spans="1:1" x14ac:dyDescent="0.25">
      <c r="A10379" s="15"/>
    </row>
    <row r="10380" spans="1:1" x14ac:dyDescent="0.25">
      <c r="A10380" s="15"/>
    </row>
    <row r="10381" spans="1:1" x14ac:dyDescent="0.25">
      <c r="A10381" s="15"/>
    </row>
    <row r="10382" spans="1:1" x14ac:dyDescent="0.25">
      <c r="A10382" s="15"/>
    </row>
    <row r="10383" spans="1:1" x14ac:dyDescent="0.25">
      <c r="A10383" s="15"/>
    </row>
    <row r="10384" spans="1:1" x14ac:dyDescent="0.25">
      <c r="A10384" s="15"/>
    </row>
    <row r="10385" spans="1:1" x14ac:dyDescent="0.25">
      <c r="A10385" s="15"/>
    </row>
    <row r="10386" spans="1:1" x14ac:dyDescent="0.25">
      <c r="A10386" s="15"/>
    </row>
    <row r="10387" spans="1:1" x14ac:dyDescent="0.25">
      <c r="A10387" s="15"/>
    </row>
    <row r="10388" spans="1:1" x14ac:dyDescent="0.25">
      <c r="A10388" s="15"/>
    </row>
    <row r="10389" spans="1:1" x14ac:dyDescent="0.25">
      <c r="A10389" s="15"/>
    </row>
    <row r="10390" spans="1:1" x14ac:dyDescent="0.25">
      <c r="A10390" s="15"/>
    </row>
    <row r="10391" spans="1:1" x14ac:dyDescent="0.25">
      <c r="A10391" s="15"/>
    </row>
    <row r="10392" spans="1:1" x14ac:dyDescent="0.25">
      <c r="A10392" s="15"/>
    </row>
    <row r="10393" spans="1:1" x14ac:dyDescent="0.25">
      <c r="A10393" s="15"/>
    </row>
    <row r="10394" spans="1:1" x14ac:dyDescent="0.25">
      <c r="A10394" s="15"/>
    </row>
    <row r="10395" spans="1:1" x14ac:dyDescent="0.25">
      <c r="A10395" s="15"/>
    </row>
    <row r="10396" spans="1:1" x14ac:dyDescent="0.25">
      <c r="A10396" s="15"/>
    </row>
    <row r="10397" spans="1:1" x14ac:dyDescent="0.25">
      <c r="A10397" s="15"/>
    </row>
    <row r="10398" spans="1:1" x14ac:dyDescent="0.25">
      <c r="A10398" s="15"/>
    </row>
    <row r="10399" spans="1:1" x14ac:dyDescent="0.25">
      <c r="A10399" s="15"/>
    </row>
    <row r="10400" spans="1:1" x14ac:dyDescent="0.25">
      <c r="A10400" s="15"/>
    </row>
    <row r="10401" spans="1:1" x14ac:dyDescent="0.25">
      <c r="A10401" s="15"/>
    </row>
    <row r="10402" spans="1:1" x14ac:dyDescent="0.25">
      <c r="A10402" s="15"/>
    </row>
    <row r="10403" spans="1:1" x14ac:dyDescent="0.25">
      <c r="A10403" s="15"/>
    </row>
    <row r="10404" spans="1:1" x14ac:dyDescent="0.25">
      <c r="A10404" s="15"/>
    </row>
    <row r="10405" spans="1:1" x14ac:dyDescent="0.25">
      <c r="A10405" s="15"/>
    </row>
    <row r="10406" spans="1:1" x14ac:dyDescent="0.25">
      <c r="A10406" s="15"/>
    </row>
    <row r="10407" spans="1:1" x14ac:dyDescent="0.25">
      <c r="A10407" s="15"/>
    </row>
    <row r="10408" spans="1:1" x14ac:dyDescent="0.25">
      <c r="A10408" s="15"/>
    </row>
    <row r="10409" spans="1:1" x14ac:dyDescent="0.25">
      <c r="A10409" s="15"/>
    </row>
    <row r="10410" spans="1:1" x14ac:dyDescent="0.25">
      <c r="A10410" s="15"/>
    </row>
    <row r="10411" spans="1:1" x14ac:dyDescent="0.25">
      <c r="A10411" s="15"/>
    </row>
    <row r="10412" spans="1:1" x14ac:dyDescent="0.25">
      <c r="A10412" s="15"/>
    </row>
    <row r="10413" spans="1:1" x14ac:dyDescent="0.25">
      <c r="A10413" s="15"/>
    </row>
    <row r="10414" spans="1:1" x14ac:dyDescent="0.25">
      <c r="A10414" s="15"/>
    </row>
    <row r="10415" spans="1:1" x14ac:dyDescent="0.25">
      <c r="A10415" s="15"/>
    </row>
    <row r="10416" spans="1:1" x14ac:dyDescent="0.25">
      <c r="A10416" s="15"/>
    </row>
    <row r="10417" spans="1:1" x14ac:dyDescent="0.25">
      <c r="A10417" s="15"/>
    </row>
    <row r="10418" spans="1:1" x14ac:dyDescent="0.25">
      <c r="A10418" s="15"/>
    </row>
    <row r="10419" spans="1:1" x14ac:dyDescent="0.25">
      <c r="A10419" s="15"/>
    </row>
    <row r="10420" spans="1:1" x14ac:dyDescent="0.25">
      <c r="A10420" s="15"/>
    </row>
    <row r="10421" spans="1:1" x14ac:dyDescent="0.25">
      <c r="A10421" s="15"/>
    </row>
    <row r="10422" spans="1:1" x14ac:dyDescent="0.25">
      <c r="A10422" s="15"/>
    </row>
    <row r="10423" spans="1:1" x14ac:dyDescent="0.25">
      <c r="A10423" s="15"/>
    </row>
    <row r="10424" spans="1:1" x14ac:dyDescent="0.25">
      <c r="A10424" s="15"/>
    </row>
    <row r="10425" spans="1:1" x14ac:dyDescent="0.25">
      <c r="A10425" s="15"/>
    </row>
    <row r="10426" spans="1:1" x14ac:dyDescent="0.25">
      <c r="A10426" s="15"/>
    </row>
    <row r="10427" spans="1:1" x14ac:dyDescent="0.25">
      <c r="A10427" s="15"/>
    </row>
    <row r="10428" spans="1:1" x14ac:dyDescent="0.25">
      <c r="A10428" s="15"/>
    </row>
    <row r="10429" spans="1:1" x14ac:dyDescent="0.25">
      <c r="A10429" s="15"/>
    </row>
    <row r="10430" spans="1:1" x14ac:dyDescent="0.25">
      <c r="A10430" s="15"/>
    </row>
    <row r="10431" spans="1:1" x14ac:dyDescent="0.25">
      <c r="A10431" s="15"/>
    </row>
    <row r="10432" spans="1:1" x14ac:dyDescent="0.25">
      <c r="A10432" s="15"/>
    </row>
    <row r="10433" spans="1:1" x14ac:dyDescent="0.25">
      <c r="A10433" s="15"/>
    </row>
    <row r="10434" spans="1:1" x14ac:dyDescent="0.25">
      <c r="A10434" s="15"/>
    </row>
    <row r="10435" spans="1:1" x14ac:dyDescent="0.25">
      <c r="A10435" s="15"/>
    </row>
    <row r="10436" spans="1:1" x14ac:dyDescent="0.25">
      <c r="A10436" s="15"/>
    </row>
    <row r="10437" spans="1:1" x14ac:dyDescent="0.25">
      <c r="A10437" s="15"/>
    </row>
    <row r="10438" spans="1:1" x14ac:dyDescent="0.25">
      <c r="A10438" s="15"/>
    </row>
    <row r="10439" spans="1:1" x14ac:dyDescent="0.25">
      <c r="A10439" s="15"/>
    </row>
    <row r="10440" spans="1:1" x14ac:dyDescent="0.25">
      <c r="A10440" s="15"/>
    </row>
    <row r="10441" spans="1:1" x14ac:dyDescent="0.25">
      <c r="A10441" s="15"/>
    </row>
    <row r="10442" spans="1:1" x14ac:dyDescent="0.25">
      <c r="A10442" s="15"/>
    </row>
    <row r="10443" spans="1:1" x14ac:dyDescent="0.25">
      <c r="A10443" s="15"/>
    </row>
    <row r="10444" spans="1:1" x14ac:dyDescent="0.25">
      <c r="A10444" s="15"/>
    </row>
    <row r="10445" spans="1:1" x14ac:dyDescent="0.25">
      <c r="A10445" s="15"/>
    </row>
    <row r="10446" spans="1:1" x14ac:dyDescent="0.25">
      <c r="A10446" s="15"/>
    </row>
    <row r="10447" spans="1:1" x14ac:dyDescent="0.25">
      <c r="A10447" s="15"/>
    </row>
    <row r="10448" spans="1:1" x14ac:dyDescent="0.25">
      <c r="A10448" s="15"/>
    </row>
    <row r="10449" spans="1:1" x14ac:dyDescent="0.25">
      <c r="A10449" s="15"/>
    </row>
    <row r="10450" spans="1:1" x14ac:dyDescent="0.25">
      <c r="A10450" s="15"/>
    </row>
    <row r="10451" spans="1:1" x14ac:dyDescent="0.25">
      <c r="A10451" s="15"/>
    </row>
    <row r="10452" spans="1:1" x14ac:dyDescent="0.25">
      <c r="A10452" s="15"/>
    </row>
    <row r="10453" spans="1:1" x14ac:dyDescent="0.25">
      <c r="A10453" s="15"/>
    </row>
    <row r="10454" spans="1:1" x14ac:dyDescent="0.25">
      <c r="A10454" s="15"/>
    </row>
    <row r="10455" spans="1:1" x14ac:dyDescent="0.25">
      <c r="A10455" s="15"/>
    </row>
    <row r="10456" spans="1:1" x14ac:dyDescent="0.25">
      <c r="A10456" s="15"/>
    </row>
    <row r="10457" spans="1:1" x14ac:dyDescent="0.25">
      <c r="A10457" s="15"/>
    </row>
    <row r="10458" spans="1:1" x14ac:dyDescent="0.25">
      <c r="A10458" s="15"/>
    </row>
    <row r="10459" spans="1:1" x14ac:dyDescent="0.25">
      <c r="A10459" s="15"/>
    </row>
    <row r="10460" spans="1:1" x14ac:dyDescent="0.25">
      <c r="A10460" s="15"/>
    </row>
    <row r="10461" spans="1:1" x14ac:dyDescent="0.25">
      <c r="A10461" s="15"/>
    </row>
    <row r="10462" spans="1:1" x14ac:dyDescent="0.25">
      <c r="A10462" s="15"/>
    </row>
    <row r="10463" spans="1:1" x14ac:dyDescent="0.25">
      <c r="A10463" s="15"/>
    </row>
    <row r="10464" spans="1:1" x14ac:dyDescent="0.25">
      <c r="A10464" s="15"/>
    </row>
    <row r="10465" spans="1:1" x14ac:dyDescent="0.25">
      <c r="A10465" s="15"/>
    </row>
    <row r="10466" spans="1:1" x14ac:dyDescent="0.25">
      <c r="A10466" s="15"/>
    </row>
    <row r="10467" spans="1:1" x14ac:dyDescent="0.25">
      <c r="A10467" s="15"/>
    </row>
    <row r="10468" spans="1:1" x14ac:dyDescent="0.25">
      <c r="A10468" s="15"/>
    </row>
    <row r="10469" spans="1:1" x14ac:dyDescent="0.25">
      <c r="A10469" s="15"/>
    </row>
    <row r="10470" spans="1:1" x14ac:dyDescent="0.25">
      <c r="A10470" s="15"/>
    </row>
    <row r="10471" spans="1:1" x14ac:dyDescent="0.25">
      <c r="A10471" s="15"/>
    </row>
    <row r="10472" spans="1:1" x14ac:dyDescent="0.25">
      <c r="A10472" s="15"/>
    </row>
    <row r="10473" spans="1:1" x14ac:dyDescent="0.25">
      <c r="A10473" s="15"/>
    </row>
    <row r="10474" spans="1:1" x14ac:dyDescent="0.25">
      <c r="A10474" s="15"/>
    </row>
    <row r="10475" spans="1:1" x14ac:dyDescent="0.25">
      <c r="A10475" s="15"/>
    </row>
    <row r="10476" spans="1:1" x14ac:dyDescent="0.25">
      <c r="A10476" s="15"/>
    </row>
    <row r="10477" spans="1:1" x14ac:dyDescent="0.25">
      <c r="A10477" s="15"/>
    </row>
    <row r="10478" spans="1:1" x14ac:dyDescent="0.25">
      <c r="A10478" s="15"/>
    </row>
    <row r="10479" spans="1:1" x14ac:dyDescent="0.25">
      <c r="A10479" s="15"/>
    </row>
    <row r="10480" spans="1:1" x14ac:dyDescent="0.25">
      <c r="A10480" s="15"/>
    </row>
    <row r="10481" spans="1:1" x14ac:dyDescent="0.25">
      <c r="A10481" s="15"/>
    </row>
    <row r="10482" spans="1:1" x14ac:dyDescent="0.25">
      <c r="A10482" s="15"/>
    </row>
    <row r="10483" spans="1:1" x14ac:dyDescent="0.25">
      <c r="A10483" s="15"/>
    </row>
    <row r="10484" spans="1:1" x14ac:dyDescent="0.25">
      <c r="A10484" s="15"/>
    </row>
    <row r="10485" spans="1:1" x14ac:dyDescent="0.25">
      <c r="A10485" s="15"/>
    </row>
    <row r="10486" spans="1:1" x14ac:dyDescent="0.25">
      <c r="A10486" s="15"/>
    </row>
    <row r="10487" spans="1:1" x14ac:dyDescent="0.25">
      <c r="A10487" s="15"/>
    </row>
    <row r="10488" spans="1:1" x14ac:dyDescent="0.25">
      <c r="A10488" s="15"/>
    </row>
    <row r="10489" spans="1:1" x14ac:dyDescent="0.25">
      <c r="A10489" s="15"/>
    </row>
    <row r="10490" spans="1:1" x14ac:dyDescent="0.25">
      <c r="A10490" s="15"/>
    </row>
    <row r="10491" spans="1:1" x14ac:dyDescent="0.25">
      <c r="A10491" s="15"/>
    </row>
    <row r="10492" spans="1:1" x14ac:dyDescent="0.25">
      <c r="A10492" s="15"/>
    </row>
    <row r="10493" spans="1:1" x14ac:dyDescent="0.25">
      <c r="A10493" s="15"/>
    </row>
    <row r="10494" spans="1:1" x14ac:dyDescent="0.25">
      <c r="A10494" s="15"/>
    </row>
    <row r="10495" spans="1:1" x14ac:dyDescent="0.25">
      <c r="A10495" s="15"/>
    </row>
    <row r="10496" spans="1:1" x14ac:dyDescent="0.25">
      <c r="A10496" s="15"/>
    </row>
    <row r="10497" spans="1:1" x14ac:dyDescent="0.25">
      <c r="A10497" s="15"/>
    </row>
    <row r="10498" spans="1:1" x14ac:dyDescent="0.25">
      <c r="A10498" s="15"/>
    </row>
    <row r="10499" spans="1:1" x14ac:dyDescent="0.25">
      <c r="A10499" s="15"/>
    </row>
    <row r="10500" spans="1:1" x14ac:dyDescent="0.25">
      <c r="A10500" s="15"/>
    </row>
    <row r="10501" spans="1:1" x14ac:dyDescent="0.25">
      <c r="A10501" s="15"/>
    </row>
    <row r="10502" spans="1:1" x14ac:dyDescent="0.25">
      <c r="A10502" s="15"/>
    </row>
    <row r="10503" spans="1:1" x14ac:dyDescent="0.25">
      <c r="A10503" s="15"/>
    </row>
    <row r="10504" spans="1:1" x14ac:dyDescent="0.25">
      <c r="A10504" s="15"/>
    </row>
    <row r="10505" spans="1:1" x14ac:dyDescent="0.25">
      <c r="A10505" s="15"/>
    </row>
    <row r="10506" spans="1:1" x14ac:dyDescent="0.25">
      <c r="A10506" s="15"/>
    </row>
    <row r="10507" spans="1:1" x14ac:dyDescent="0.25">
      <c r="A10507" s="15"/>
    </row>
    <row r="10508" spans="1:1" x14ac:dyDescent="0.25">
      <c r="A10508" s="15"/>
    </row>
    <row r="10509" spans="1:1" x14ac:dyDescent="0.25">
      <c r="A10509" s="15"/>
    </row>
    <row r="10510" spans="1:1" x14ac:dyDescent="0.25">
      <c r="A10510" s="15"/>
    </row>
    <row r="10511" spans="1:1" x14ac:dyDescent="0.25">
      <c r="A10511" s="15"/>
    </row>
    <row r="10512" spans="1:1" x14ac:dyDescent="0.25">
      <c r="A10512" s="15"/>
    </row>
    <row r="10513" spans="1:1" x14ac:dyDescent="0.25">
      <c r="A10513" s="15"/>
    </row>
    <row r="10514" spans="1:1" x14ac:dyDescent="0.25">
      <c r="A10514" s="15"/>
    </row>
    <row r="10515" spans="1:1" x14ac:dyDescent="0.25">
      <c r="A10515" s="15"/>
    </row>
    <row r="10516" spans="1:1" x14ac:dyDescent="0.25">
      <c r="A10516" s="15"/>
    </row>
    <row r="10517" spans="1:1" x14ac:dyDescent="0.25">
      <c r="A10517" s="15"/>
    </row>
    <row r="10518" spans="1:1" x14ac:dyDescent="0.25">
      <c r="A10518" s="15"/>
    </row>
    <row r="10519" spans="1:1" x14ac:dyDescent="0.25">
      <c r="A10519" s="15"/>
    </row>
    <row r="10520" spans="1:1" x14ac:dyDescent="0.25">
      <c r="A10520" s="15"/>
    </row>
    <row r="10521" spans="1:1" x14ac:dyDescent="0.25">
      <c r="A10521" s="15"/>
    </row>
    <row r="10522" spans="1:1" x14ac:dyDescent="0.25">
      <c r="A10522" s="15"/>
    </row>
    <row r="10523" spans="1:1" x14ac:dyDescent="0.25">
      <c r="A10523" s="15"/>
    </row>
    <row r="10524" spans="1:1" x14ac:dyDescent="0.25">
      <c r="A10524" s="15"/>
    </row>
    <row r="10525" spans="1:1" x14ac:dyDescent="0.25">
      <c r="A10525" s="15"/>
    </row>
    <row r="10526" spans="1:1" x14ac:dyDescent="0.25">
      <c r="A10526" s="15"/>
    </row>
    <row r="10527" spans="1:1" x14ac:dyDescent="0.25">
      <c r="A10527" s="15"/>
    </row>
    <row r="10528" spans="1:1" x14ac:dyDescent="0.25">
      <c r="A10528" s="15"/>
    </row>
    <row r="10529" spans="1:1" x14ac:dyDescent="0.25">
      <c r="A10529" s="15"/>
    </row>
    <row r="10530" spans="1:1" x14ac:dyDescent="0.25">
      <c r="A10530" s="15"/>
    </row>
    <row r="10531" spans="1:1" x14ac:dyDescent="0.25">
      <c r="A10531" s="15"/>
    </row>
    <row r="10532" spans="1:1" x14ac:dyDescent="0.25">
      <c r="A10532" s="15"/>
    </row>
    <row r="10533" spans="1:1" x14ac:dyDescent="0.25">
      <c r="A10533" s="15"/>
    </row>
    <row r="10534" spans="1:1" x14ac:dyDescent="0.25">
      <c r="A10534" s="15"/>
    </row>
    <row r="10535" spans="1:1" x14ac:dyDescent="0.25">
      <c r="A10535" s="15"/>
    </row>
    <row r="10536" spans="1:1" x14ac:dyDescent="0.25">
      <c r="A10536" s="15"/>
    </row>
    <row r="10537" spans="1:1" x14ac:dyDescent="0.25">
      <c r="A10537" s="15"/>
    </row>
    <row r="10538" spans="1:1" x14ac:dyDescent="0.25">
      <c r="A10538" s="15"/>
    </row>
    <row r="10539" spans="1:1" x14ac:dyDescent="0.25">
      <c r="A10539" s="15"/>
    </row>
    <row r="10540" spans="1:1" x14ac:dyDescent="0.25">
      <c r="A10540" s="15"/>
    </row>
    <row r="10541" spans="1:1" x14ac:dyDescent="0.25">
      <c r="A10541" s="15"/>
    </row>
    <row r="10542" spans="1:1" x14ac:dyDescent="0.25">
      <c r="A10542" s="15"/>
    </row>
    <row r="10543" spans="1:1" x14ac:dyDescent="0.25">
      <c r="A10543" s="15"/>
    </row>
    <row r="10544" spans="1:1" x14ac:dyDescent="0.25">
      <c r="A10544" s="15"/>
    </row>
    <row r="10545" spans="1:1" x14ac:dyDescent="0.25">
      <c r="A10545" s="15"/>
    </row>
    <row r="10546" spans="1:1" x14ac:dyDescent="0.25">
      <c r="A10546" s="15"/>
    </row>
    <row r="10547" spans="1:1" x14ac:dyDescent="0.25">
      <c r="A10547" s="15"/>
    </row>
    <row r="10548" spans="1:1" x14ac:dyDescent="0.25">
      <c r="A10548" s="15"/>
    </row>
    <row r="10549" spans="1:1" x14ac:dyDescent="0.25">
      <c r="A10549" s="15"/>
    </row>
    <row r="10550" spans="1:1" x14ac:dyDescent="0.25">
      <c r="A10550" s="15"/>
    </row>
    <row r="10551" spans="1:1" x14ac:dyDescent="0.25">
      <c r="A10551" s="15"/>
    </row>
    <row r="10552" spans="1:1" x14ac:dyDescent="0.25">
      <c r="A10552" s="15"/>
    </row>
    <row r="10553" spans="1:1" x14ac:dyDescent="0.25">
      <c r="A10553" s="15"/>
    </row>
    <row r="10554" spans="1:1" x14ac:dyDescent="0.25">
      <c r="A10554" s="15"/>
    </row>
    <row r="10555" spans="1:1" x14ac:dyDescent="0.25">
      <c r="A10555" s="15"/>
    </row>
    <row r="10556" spans="1:1" x14ac:dyDescent="0.25">
      <c r="A10556" s="15"/>
    </row>
    <row r="10557" spans="1:1" x14ac:dyDescent="0.25">
      <c r="A10557" s="15"/>
    </row>
    <row r="10558" spans="1:1" x14ac:dyDescent="0.25">
      <c r="A10558" s="15"/>
    </row>
    <row r="10559" spans="1:1" x14ac:dyDescent="0.25">
      <c r="A10559" s="15"/>
    </row>
    <row r="10560" spans="1:1" x14ac:dyDescent="0.25">
      <c r="A10560" s="15"/>
    </row>
    <row r="10561" spans="1:1" x14ac:dyDescent="0.25">
      <c r="A10561" s="15"/>
    </row>
    <row r="10562" spans="1:1" x14ac:dyDescent="0.25">
      <c r="A10562" s="15"/>
    </row>
    <row r="10563" spans="1:1" x14ac:dyDescent="0.25">
      <c r="A10563" s="15"/>
    </row>
    <row r="10564" spans="1:1" x14ac:dyDescent="0.25">
      <c r="A10564" s="15"/>
    </row>
    <row r="10565" spans="1:1" x14ac:dyDescent="0.25">
      <c r="A10565" s="15"/>
    </row>
    <row r="10566" spans="1:1" x14ac:dyDescent="0.25">
      <c r="A10566" s="15"/>
    </row>
    <row r="10567" spans="1:1" x14ac:dyDescent="0.25">
      <c r="A10567" s="15"/>
    </row>
    <row r="10568" spans="1:1" x14ac:dyDescent="0.25">
      <c r="A10568" s="15"/>
    </row>
    <row r="10569" spans="1:1" x14ac:dyDescent="0.25">
      <c r="A10569" s="15"/>
    </row>
    <row r="10570" spans="1:1" x14ac:dyDescent="0.25">
      <c r="A10570" s="15"/>
    </row>
    <row r="10571" spans="1:1" x14ac:dyDescent="0.25">
      <c r="A10571" s="15"/>
    </row>
    <row r="10572" spans="1:1" x14ac:dyDescent="0.25">
      <c r="A10572" s="15"/>
    </row>
    <row r="10573" spans="1:1" x14ac:dyDescent="0.25">
      <c r="A10573" s="15"/>
    </row>
    <row r="10574" spans="1:1" x14ac:dyDescent="0.25">
      <c r="A10574" s="15"/>
    </row>
    <row r="10575" spans="1:1" x14ac:dyDescent="0.25">
      <c r="A10575" s="15"/>
    </row>
    <row r="10576" spans="1:1" x14ac:dyDescent="0.25">
      <c r="A10576" s="15"/>
    </row>
    <row r="10577" spans="1:1" x14ac:dyDescent="0.25">
      <c r="A10577" s="15"/>
    </row>
    <row r="10578" spans="1:1" x14ac:dyDescent="0.25">
      <c r="A10578" s="15"/>
    </row>
    <row r="10579" spans="1:1" x14ac:dyDescent="0.25">
      <c r="A10579" s="15"/>
    </row>
    <row r="10580" spans="1:1" x14ac:dyDescent="0.25">
      <c r="A10580" s="15"/>
    </row>
    <row r="10581" spans="1:1" x14ac:dyDescent="0.25">
      <c r="A10581" s="15"/>
    </row>
    <row r="10582" spans="1:1" x14ac:dyDescent="0.25">
      <c r="A10582" s="15"/>
    </row>
    <row r="10583" spans="1:1" x14ac:dyDescent="0.25">
      <c r="A10583" s="15"/>
    </row>
    <row r="10584" spans="1:1" x14ac:dyDescent="0.25">
      <c r="A10584" s="15"/>
    </row>
    <row r="10585" spans="1:1" x14ac:dyDescent="0.25">
      <c r="A10585" s="15"/>
    </row>
    <row r="10586" spans="1:1" x14ac:dyDescent="0.25">
      <c r="A10586" s="15"/>
    </row>
    <row r="10587" spans="1:1" x14ac:dyDescent="0.25">
      <c r="A10587" s="15"/>
    </row>
    <row r="10588" spans="1:1" x14ac:dyDescent="0.25">
      <c r="A10588" s="15"/>
    </row>
    <row r="10589" spans="1:1" x14ac:dyDescent="0.25">
      <c r="A10589" s="15"/>
    </row>
    <row r="10590" spans="1:1" x14ac:dyDescent="0.25">
      <c r="A10590" s="15"/>
    </row>
    <row r="10591" spans="1:1" x14ac:dyDescent="0.25">
      <c r="A10591" s="15"/>
    </row>
    <row r="10592" spans="1:1" x14ac:dyDescent="0.25">
      <c r="A10592" s="15"/>
    </row>
    <row r="10593" spans="1:1" x14ac:dyDescent="0.25">
      <c r="A10593" s="15"/>
    </row>
    <row r="10594" spans="1:1" x14ac:dyDescent="0.25">
      <c r="A10594" s="15"/>
    </row>
    <row r="10595" spans="1:1" x14ac:dyDescent="0.25">
      <c r="A10595" s="15"/>
    </row>
    <row r="10596" spans="1:1" x14ac:dyDescent="0.25">
      <c r="A10596" s="15"/>
    </row>
    <row r="10597" spans="1:1" x14ac:dyDescent="0.25">
      <c r="A10597" s="15"/>
    </row>
    <row r="10598" spans="1:1" x14ac:dyDescent="0.25">
      <c r="A10598" s="15"/>
    </row>
    <row r="10599" spans="1:1" x14ac:dyDescent="0.25">
      <c r="A10599" s="15"/>
    </row>
    <row r="10600" spans="1:1" x14ac:dyDescent="0.25">
      <c r="A10600" s="15"/>
    </row>
    <row r="10601" spans="1:1" x14ac:dyDescent="0.25">
      <c r="A10601" s="15"/>
    </row>
    <row r="10602" spans="1:1" x14ac:dyDescent="0.25">
      <c r="A10602" s="15"/>
    </row>
    <row r="10603" spans="1:1" x14ac:dyDescent="0.25">
      <c r="A10603" s="15"/>
    </row>
    <row r="10604" spans="1:1" x14ac:dyDescent="0.25">
      <c r="A10604" s="15"/>
    </row>
    <row r="10605" spans="1:1" x14ac:dyDescent="0.25">
      <c r="A10605" s="15"/>
    </row>
    <row r="10606" spans="1:1" x14ac:dyDescent="0.25">
      <c r="A10606" s="15"/>
    </row>
    <row r="10607" spans="1:1" x14ac:dyDescent="0.25">
      <c r="A10607" s="15"/>
    </row>
    <row r="10608" spans="1:1" x14ac:dyDescent="0.25">
      <c r="A10608" s="15"/>
    </row>
    <row r="10609" spans="1:1" x14ac:dyDescent="0.25">
      <c r="A10609" s="15"/>
    </row>
    <row r="10610" spans="1:1" x14ac:dyDescent="0.25">
      <c r="A10610" s="15"/>
    </row>
    <row r="10611" spans="1:1" x14ac:dyDescent="0.25">
      <c r="A10611" s="15"/>
    </row>
    <row r="10612" spans="1:1" x14ac:dyDescent="0.25">
      <c r="A10612" s="15"/>
    </row>
    <row r="10613" spans="1:1" x14ac:dyDescent="0.25">
      <c r="A10613" s="15"/>
    </row>
    <row r="10614" spans="1:1" x14ac:dyDescent="0.25">
      <c r="A10614" s="15"/>
    </row>
    <row r="10615" spans="1:1" x14ac:dyDescent="0.25">
      <c r="A10615" s="15"/>
    </row>
    <row r="10616" spans="1:1" x14ac:dyDescent="0.25">
      <c r="A10616" s="15"/>
    </row>
    <row r="10617" spans="1:1" x14ac:dyDescent="0.25">
      <c r="A10617" s="15"/>
    </row>
    <row r="10618" spans="1:1" x14ac:dyDescent="0.25">
      <c r="A10618" s="15"/>
    </row>
    <row r="10619" spans="1:1" x14ac:dyDescent="0.25">
      <c r="A10619" s="15"/>
    </row>
    <row r="10620" spans="1:1" x14ac:dyDescent="0.25">
      <c r="A10620" s="15"/>
    </row>
    <row r="10621" spans="1:1" x14ac:dyDescent="0.25">
      <c r="A10621" s="15"/>
    </row>
    <row r="10622" spans="1:1" x14ac:dyDescent="0.25">
      <c r="A10622" s="15"/>
    </row>
    <row r="10623" spans="1:1" x14ac:dyDescent="0.25">
      <c r="A10623" s="15"/>
    </row>
    <row r="10624" spans="1:1" x14ac:dyDescent="0.25">
      <c r="A10624" s="15"/>
    </row>
    <row r="10625" spans="1:1" x14ac:dyDescent="0.25">
      <c r="A10625" s="15"/>
    </row>
    <row r="10626" spans="1:1" x14ac:dyDescent="0.25">
      <c r="A10626" s="15"/>
    </row>
    <row r="10627" spans="1:1" x14ac:dyDescent="0.25">
      <c r="A10627" s="15"/>
    </row>
    <row r="10628" spans="1:1" x14ac:dyDescent="0.25">
      <c r="A10628" s="15"/>
    </row>
    <row r="10629" spans="1:1" x14ac:dyDescent="0.25">
      <c r="A10629" s="15"/>
    </row>
    <row r="10630" spans="1:1" x14ac:dyDescent="0.25">
      <c r="A10630" s="15"/>
    </row>
    <row r="10631" spans="1:1" x14ac:dyDescent="0.25">
      <c r="A10631" s="15"/>
    </row>
    <row r="10632" spans="1:1" x14ac:dyDescent="0.25">
      <c r="A10632" s="15"/>
    </row>
    <row r="10633" spans="1:1" x14ac:dyDescent="0.25">
      <c r="A10633" s="15"/>
    </row>
    <row r="10634" spans="1:1" x14ac:dyDescent="0.25">
      <c r="A10634" s="15"/>
    </row>
    <row r="10635" spans="1:1" x14ac:dyDescent="0.25">
      <c r="A10635" s="15"/>
    </row>
    <row r="10636" spans="1:1" x14ac:dyDescent="0.25">
      <c r="A10636" s="15"/>
    </row>
    <row r="10637" spans="1:1" x14ac:dyDescent="0.25">
      <c r="A10637" s="15"/>
    </row>
    <row r="10638" spans="1:1" x14ac:dyDescent="0.25">
      <c r="A10638" s="15"/>
    </row>
    <row r="10639" spans="1:1" x14ac:dyDescent="0.25">
      <c r="A10639" s="15"/>
    </row>
    <row r="10640" spans="1:1" x14ac:dyDescent="0.25">
      <c r="A10640" s="15"/>
    </row>
    <row r="10641" spans="1:1" x14ac:dyDescent="0.25">
      <c r="A10641" s="15"/>
    </row>
    <row r="10642" spans="1:1" x14ac:dyDescent="0.25">
      <c r="A10642" s="15"/>
    </row>
    <row r="10643" spans="1:1" x14ac:dyDescent="0.25">
      <c r="A10643" s="15"/>
    </row>
    <row r="10644" spans="1:1" x14ac:dyDescent="0.25">
      <c r="A10644" s="15"/>
    </row>
    <row r="10645" spans="1:1" x14ac:dyDescent="0.25">
      <c r="A10645" s="15"/>
    </row>
    <row r="10646" spans="1:1" x14ac:dyDescent="0.25">
      <c r="A10646" s="15"/>
    </row>
    <row r="10647" spans="1:1" x14ac:dyDescent="0.25">
      <c r="A10647" s="15"/>
    </row>
    <row r="10648" spans="1:1" x14ac:dyDescent="0.25">
      <c r="A10648" s="15"/>
    </row>
    <row r="10649" spans="1:1" x14ac:dyDescent="0.25">
      <c r="A10649" s="15"/>
    </row>
    <row r="10650" spans="1:1" x14ac:dyDescent="0.25">
      <c r="A10650" s="15"/>
    </row>
    <row r="10651" spans="1:1" x14ac:dyDescent="0.25">
      <c r="A10651" s="15"/>
    </row>
    <row r="10652" spans="1:1" x14ac:dyDescent="0.25">
      <c r="A10652" s="15"/>
    </row>
    <row r="10653" spans="1:1" x14ac:dyDescent="0.25">
      <c r="A10653" s="15"/>
    </row>
    <row r="10654" spans="1:1" x14ac:dyDescent="0.25">
      <c r="A10654" s="15"/>
    </row>
    <row r="10655" spans="1:1" x14ac:dyDescent="0.25">
      <c r="A10655" s="15"/>
    </row>
    <row r="10656" spans="1:1" x14ac:dyDescent="0.25">
      <c r="A10656" s="15"/>
    </row>
    <row r="10657" spans="1:1" x14ac:dyDescent="0.25">
      <c r="A10657" s="15"/>
    </row>
    <row r="10658" spans="1:1" x14ac:dyDescent="0.25">
      <c r="A10658" s="15"/>
    </row>
    <row r="10659" spans="1:1" x14ac:dyDescent="0.25">
      <c r="A10659" s="15"/>
    </row>
    <row r="10660" spans="1:1" x14ac:dyDescent="0.25">
      <c r="A10660" s="15"/>
    </row>
    <row r="10661" spans="1:1" x14ac:dyDescent="0.25">
      <c r="A10661" s="15"/>
    </row>
    <row r="10662" spans="1:1" x14ac:dyDescent="0.25">
      <c r="A10662" s="15"/>
    </row>
    <row r="10663" spans="1:1" x14ac:dyDescent="0.25">
      <c r="A10663" s="15"/>
    </row>
    <row r="10664" spans="1:1" x14ac:dyDescent="0.25">
      <c r="A10664" s="15"/>
    </row>
    <row r="10665" spans="1:1" x14ac:dyDescent="0.25">
      <c r="A10665" s="15"/>
    </row>
    <row r="10666" spans="1:1" x14ac:dyDescent="0.25">
      <c r="A10666" s="15"/>
    </row>
    <row r="10667" spans="1:1" x14ac:dyDescent="0.25">
      <c r="A10667" s="15"/>
    </row>
    <row r="10668" spans="1:1" x14ac:dyDescent="0.25">
      <c r="A10668" s="15"/>
    </row>
    <row r="10669" spans="1:1" x14ac:dyDescent="0.25">
      <c r="A10669" s="15"/>
    </row>
    <row r="10670" spans="1:1" x14ac:dyDescent="0.25">
      <c r="A10670" s="15"/>
    </row>
    <row r="10671" spans="1:1" x14ac:dyDescent="0.25">
      <c r="A10671" s="15"/>
    </row>
    <row r="10672" spans="1:1" x14ac:dyDescent="0.25">
      <c r="A10672" s="15"/>
    </row>
    <row r="10673" spans="1:1" x14ac:dyDescent="0.25">
      <c r="A10673" s="15"/>
    </row>
    <row r="10674" spans="1:1" x14ac:dyDescent="0.25">
      <c r="A10674" s="15"/>
    </row>
    <row r="10675" spans="1:1" x14ac:dyDescent="0.25">
      <c r="A10675" s="15"/>
    </row>
    <row r="10676" spans="1:1" x14ac:dyDescent="0.25">
      <c r="A10676" s="15"/>
    </row>
    <row r="10677" spans="1:1" x14ac:dyDescent="0.25">
      <c r="A10677" s="15"/>
    </row>
    <row r="10678" spans="1:1" x14ac:dyDescent="0.25">
      <c r="A10678" s="15"/>
    </row>
    <row r="10679" spans="1:1" x14ac:dyDescent="0.25">
      <c r="A10679" s="15"/>
    </row>
    <row r="10680" spans="1:1" x14ac:dyDescent="0.25">
      <c r="A10680" s="15"/>
    </row>
    <row r="10681" spans="1:1" x14ac:dyDescent="0.25">
      <c r="A10681" s="15"/>
    </row>
    <row r="10682" spans="1:1" x14ac:dyDescent="0.25">
      <c r="A10682" s="15"/>
    </row>
    <row r="10683" spans="1:1" x14ac:dyDescent="0.25">
      <c r="A10683" s="15"/>
    </row>
    <row r="10684" spans="1:1" x14ac:dyDescent="0.25">
      <c r="A10684" s="15"/>
    </row>
    <row r="10685" spans="1:1" x14ac:dyDescent="0.25">
      <c r="A10685" s="15"/>
    </row>
    <row r="10686" spans="1:1" x14ac:dyDescent="0.25">
      <c r="A10686" s="15"/>
    </row>
    <row r="10687" spans="1:1" x14ac:dyDescent="0.25">
      <c r="A10687" s="15"/>
    </row>
    <row r="10688" spans="1:1" x14ac:dyDescent="0.25">
      <c r="A10688" s="15"/>
    </row>
    <row r="10689" spans="1:1" x14ac:dyDescent="0.25">
      <c r="A10689" s="15"/>
    </row>
    <row r="10690" spans="1:1" x14ac:dyDescent="0.25">
      <c r="A10690" s="15"/>
    </row>
    <row r="10691" spans="1:1" x14ac:dyDescent="0.25">
      <c r="A10691" s="15"/>
    </row>
    <row r="10692" spans="1:1" x14ac:dyDescent="0.25">
      <c r="A10692" s="15"/>
    </row>
    <row r="10693" spans="1:1" x14ac:dyDescent="0.25">
      <c r="A10693" s="15"/>
    </row>
    <row r="10694" spans="1:1" x14ac:dyDescent="0.25">
      <c r="A10694" s="15"/>
    </row>
    <row r="10695" spans="1:1" x14ac:dyDescent="0.25">
      <c r="A10695" s="15"/>
    </row>
    <row r="10696" spans="1:1" x14ac:dyDescent="0.25">
      <c r="A10696" s="15"/>
    </row>
    <row r="10697" spans="1:1" x14ac:dyDescent="0.25">
      <c r="A10697" s="15"/>
    </row>
    <row r="10698" spans="1:1" x14ac:dyDescent="0.25">
      <c r="A10698" s="15"/>
    </row>
    <row r="10699" spans="1:1" x14ac:dyDescent="0.25">
      <c r="A10699" s="15"/>
    </row>
    <row r="10700" spans="1:1" x14ac:dyDescent="0.25">
      <c r="A10700" s="15"/>
    </row>
    <row r="10701" spans="1:1" x14ac:dyDescent="0.25">
      <c r="A10701" s="15"/>
    </row>
    <row r="10702" spans="1:1" x14ac:dyDescent="0.25">
      <c r="A10702" s="15"/>
    </row>
    <row r="10703" spans="1:1" x14ac:dyDescent="0.25">
      <c r="A10703" s="15"/>
    </row>
    <row r="10704" spans="1:1" x14ac:dyDescent="0.25">
      <c r="A10704" s="15"/>
    </row>
    <row r="10705" spans="1:1" x14ac:dyDescent="0.25">
      <c r="A10705" s="15"/>
    </row>
    <row r="10706" spans="1:1" x14ac:dyDescent="0.25">
      <c r="A10706" s="15"/>
    </row>
    <row r="10707" spans="1:1" x14ac:dyDescent="0.25">
      <c r="A10707" s="15"/>
    </row>
    <row r="10708" spans="1:1" x14ac:dyDescent="0.25">
      <c r="A10708" s="15"/>
    </row>
    <row r="10709" spans="1:1" x14ac:dyDescent="0.25">
      <c r="A10709" s="15"/>
    </row>
    <row r="10710" spans="1:1" x14ac:dyDescent="0.25">
      <c r="A10710" s="15"/>
    </row>
    <row r="10711" spans="1:1" x14ac:dyDescent="0.25">
      <c r="A10711" s="15"/>
    </row>
    <row r="10712" spans="1:1" x14ac:dyDescent="0.25">
      <c r="A10712" s="15"/>
    </row>
    <row r="10713" spans="1:1" x14ac:dyDescent="0.25">
      <c r="A10713" s="15"/>
    </row>
    <row r="10714" spans="1:1" x14ac:dyDescent="0.25">
      <c r="A10714" s="15"/>
    </row>
    <row r="10715" spans="1:1" x14ac:dyDescent="0.25">
      <c r="A10715" s="15"/>
    </row>
    <row r="10716" spans="1:1" x14ac:dyDescent="0.25">
      <c r="A10716" s="15"/>
    </row>
    <row r="10717" spans="1:1" x14ac:dyDescent="0.25">
      <c r="A10717" s="15"/>
    </row>
    <row r="10718" spans="1:1" x14ac:dyDescent="0.25">
      <c r="A10718" s="15"/>
    </row>
    <row r="10719" spans="1:1" x14ac:dyDescent="0.25">
      <c r="A10719" s="15"/>
    </row>
    <row r="10720" spans="1:1" x14ac:dyDescent="0.25">
      <c r="A10720" s="15"/>
    </row>
    <row r="10721" spans="1:1" x14ac:dyDescent="0.25">
      <c r="A10721" s="15"/>
    </row>
    <row r="10722" spans="1:1" x14ac:dyDescent="0.25">
      <c r="A10722" s="15"/>
    </row>
    <row r="10723" spans="1:1" x14ac:dyDescent="0.25">
      <c r="A10723" s="15"/>
    </row>
    <row r="10724" spans="1:1" x14ac:dyDescent="0.25">
      <c r="A10724" s="15"/>
    </row>
    <row r="10725" spans="1:1" x14ac:dyDescent="0.25">
      <c r="A10725" s="15"/>
    </row>
    <row r="10726" spans="1:1" x14ac:dyDescent="0.25">
      <c r="A10726" s="15"/>
    </row>
    <row r="10727" spans="1:1" x14ac:dyDescent="0.25">
      <c r="A10727" s="15"/>
    </row>
    <row r="10728" spans="1:1" x14ac:dyDescent="0.25">
      <c r="A10728" s="15"/>
    </row>
    <row r="10729" spans="1:1" x14ac:dyDescent="0.25">
      <c r="A10729" s="15"/>
    </row>
    <row r="10730" spans="1:1" x14ac:dyDescent="0.25">
      <c r="A10730" s="15"/>
    </row>
    <row r="10731" spans="1:1" x14ac:dyDescent="0.25">
      <c r="A10731" s="15"/>
    </row>
    <row r="10732" spans="1:1" x14ac:dyDescent="0.25">
      <c r="A10732" s="15"/>
    </row>
    <row r="10733" spans="1:1" x14ac:dyDescent="0.25">
      <c r="A10733" s="15"/>
    </row>
    <row r="10734" spans="1:1" x14ac:dyDescent="0.25">
      <c r="A10734" s="15"/>
    </row>
    <row r="10735" spans="1:1" x14ac:dyDescent="0.25">
      <c r="A10735" s="15"/>
    </row>
    <row r="10736" spans="1:1" x14ac:dyDescent="0.25">
      <c r="A10736" s="15"/>
    </row>
    <row r="10737" spans="1:1" x14ac:dyDescent="0.25">
      <c r="A10737" s="15"/>
    </row>
    <row r="10738" spans="1:1" x14ac:dyDescent="0.25">
      <c r="A10738" s="15"/>
    </row>
    <row r="10739" spans="1:1" x14ac:dyDescent="0.25">
      <c r="A10739" s="15"/>
    </row>
    <row r="10740" spans="1:1" x14ac:dyDescent="0.25">
      <c r="A10740" s="15"/>
    </row>
    <row r="10741" spans="1:1" x14ac:dyDescent="0.25">
      <c r="A10741" s="15"/>
    </row>
    <row r="10742" spans="1:1" x14ac:dyDescent="0.25">
      <c r="A10742" s="15"/>
    </row>
    <row r="10743" spans="1:1" x14ac:dyDescent="0.25">
      <c r="A10743" s="15"/>
    </row>
    <row r="10744" spans="1:1" x14ac:dyDescent="0.25">
      <c r="A10744" s="15"/>
    </row>
    <row r="10745" spans="1:1" x14ac:dyDescent="0.25">
      <c r="A10745" s="15"/>
    </row>
    <row r="10746" spans="1:1" x14ac:dyDescent="0.25">
      <c r="A10746" s="15"/>
    </row>
    <row r="10747" spans="1:1" x14ac:dyDescent="0.25">
      <c r="A10747" s="15"/>
    </row>
    <row r="10748" spans="1:1" x14ac:dyDescent="0.25">
      <c r="A10748" s="15"/>
    </row>
    <row r="10749" spans="1:1" x14ac:dyDescent="0.25">
      <c r="A10749" s="15"/>
    </row>
    <row r="10750" spans="1:1" x14ac:dyDescent="0.25">
      <c r="A10750" s="15"/>
    </row>
    <row r="10751" spans="1:1" x14ac:dyDescent="0.25">
      <c r="A10751" s="15"/>
    </row>
    <row r="10752" spans="1:1" x14ac:dyDescent="0.25">
      <c r="A10752" s="15"/>
    </row>
    <row r="10753" spans="1:1" x14ac:dyDescent="0.25">
      <c r="A10753" s="15"/>
    </row>
    <row r="10754" spans="1:1" x14ac:dyDescent="0.25">
      <c r="A10754" s="15"/>
    </row>
    <row r="10755" spans="1:1" x14ac:dyDescent="0.25">
      <c r="A10755" s="15"/>
    </row>
    <row r="10756" spans="1:1" x14ac:dyDescent="0.25">
      <c r="A10756" s="15"/>
    </row>
    <row r="10757" spans="1:1" x14ac:dyDescent="0.25">
      <c r="A10757" s="15"/>
    </row>
    <row r="10758" spans="1:1" x14ac:dyDescent="0.25">
      <c r="A10758" s="15"/>
    </row>
    <row r="10759" spans="1:1" x14ac:dyDescent="0.25">
      <c r="A10759" s="15"/>
    </row>
    <row r="10760" spans="1:1" x14ac:dyDescent="0.25">
      <c r="A10760" s="15"/>
    </row>
    <row r="10761" spans="1:1" x14ac:dyDescent="0.25">
      <c r="A10761" s="15"/>
    </row>
    <row r="10762" spans="1:1" x14ac:dyDescent="0.25">
      <c r="A10762" s="15"/>
    </row>
    <row r="10763" spans="1:1" x14ac:dyDescent="0.25">
      <c r="A10763" s="15"/>
    </row>
    <row r="10764" spans="1:1" x14ac:dyDescent="0.25">
      <c r="A10764" s="15"/>
    </row>
    <row r="10765" spans="1:1" x14ac:dyDescent="0.25">
      <c r="A10765" s="15"/>
    </row>
    <row r="10766" spans="1:1" x14ac:dyDescent="0.25">
      <c r="A10766" s="15"/>
    </row>
    <row r="10767" spans="1:1" x14ac:dyDescent="0.25">
      <c r="A10767" s="15"/>
    </row>
    <row r="10768" spans="1:1" x14ac:dyDescent="0.25">
      <c r="A10768" s="15"/>
    </row>
    <row r="10769" spans="1:1" x14ac:dyDescent="0.25">
      <c r="A10769" s="15"/>
    </row>
    <row r="10770" spans="1:1" x14ac:dyDescent="0.25">
      <c r="A10770" s="15"/>
    </row>
    <row r="10771" spans="1:1" x14ac:dyDescent="0.25">
      <c r="A10771" s="15"/>
    </row>
    <row r="10772" spans="1:1" x14ac:dyDescent="0.25">
      <c r="A10772" s="15"/>
    </row>
    <row r="10773" spans="1:1" x14ac:dyDescent="0.25">
      <c r="A10773" s="15"/>
    </row>
    <row r="10774" spans="1:1" x14ac:dyDescent="0.25">
      <c r="A10774" s="15"/>
    </row>
    <row r="10775" spans="1:1" x14ac:dyDescent="0.25">
      <c r="A10775" s="15"/>
    </row>
    <row r="10776" spans="1:1" x14ac:dyDescent="0.25">
      <c r="A10776" s="15"/>
    </row>
    <row r="10777" spans="1:1" x14ac:dyDescent="0.25">
      <c r="A10777" s="15"/>
    </row>
    <row r="10778" spans="1:1" x14ac:dyDescent="0.25">
      <c r="A10778" s="15"/>
    </row>
    <row r="10779" spans="1:1" x14ac:dyDescent="0.25">
      <c r="A10779" s="15"/>
    </row>
    <row r="10780" spans="1:1" x14ac:dyDescent="0.25">
      <c r="A10780" s="15"/>
    </row>
    <row r="10781" spans="1:1" x14ac:dyDescent="0.25">
      <c r="A10781" s="15"/>
    </row>
    <row r="10782" spans="1:1" x14ac:dyDescent="0.25">
      <c r="A10782" s="15"/>
    </row>
    <row r="10783" spans="1:1" x14ac:dyDescent="0.25">
      <c r="A10783" s="15"/>
    </row>
    <row r="10784" spans="1:1" x14ac:dyDescent="0.25">
      <c r="A10784" s="15"/>
    </row>
    <row r="10785" spans="1:1" x14ac:dyDescent="0.25">
      <c r="A10785" s="15"/>
    </row>
    <row r="10786" spans="1:1" x14ac:dyDescent="0.25">
      <c r="A10786" s="15"/>
    </row>
    <row r="10787" spans="1:1" x14ac:dyDescent="0.25">
      <c r="A10787" s="15"/>
    </row>
    <row r="10788" spans="1:1" x14ac:dyDescent="0.25">
      <c r="A10788" s="15"/>
    </row>
    <row r="10789" spans="1:1" x14ac:dyDescent="0.25">
      <c r="A10789" s="15"/>
    </row>
    <row r="10790" spans="1:1" x14ac:dyDescent="0.25">
      <c r="A10790" s="15"/>
    </row>
    <row r="10791" spans="1:1" x14ac:dyDescent="0.25">
      <c r="A10791" s="15"/>
    </row>
    <row r="10792" spans="1:1" x14ac:dyDescent="0.25">
      <c r="A10792" s="15"/>
    </row>
    <row r="10793" spans="1:1" x14ac:dyDescent="0.25">
      <c r="A10793" s="15"/>
    </row>
    <row r="10794" spans="1:1" x14ac:dyDescent="0.25">
      <c r="A10794" s="15"/>
    </row>
    <row r="10795" spans="1:1" x14ac:dyDescent="0.25">
      <c r="A10795" s="15"/>
    </row>
    <row r="10796" spans="1:1" x14ac:dyDescent="0.25">
      <c r="A10796" s="15"/>
    </row>
    <row r="10797" spans="1:1" x14ac:dyDescent="0.25">
      <c r="A10797" s="15"/>
    </row>
    <row r="10798" spans="1:1" x14ac:dyDescent="0.25">
      <c r="A10798" s="15"/>
    </row>
    <row r="10799" spans="1:1" x14ac:dyDescent="0.25">
      <c r="A10799" s="15"/>
    </row>
    <row r="10800" spans="1:1" x14ac:dyDescent="0.25">
      <c r="A10800" s="15"/>
    </row>
    <row r="10801" spans="1:1" x14ac:dyDescent="0.25">
      <c r="A10801" s="15"/>
    </row>
    <row r="10802" spans="1:1" x14ac:dyDescent="0.25">
      <c r="A10802" s="15"/>
    </row>
    <row r="10803" spans="1:1" x14ac:dyDescent="0.25">
      <c r="A10803" s="15"/>
    </row>
    <row r="10804" spans="1:1" x14ac:dyDescent="0.25">
      <c r="A10804" s="15"/>
    </row>
    <row r="10805" spans="1:1" x14ac:dyDescent="0.25">
      <c r="A10805" s="15"/>
    </row>
    <row r="10806" spans="1:1" x14ac:dyDescent="0.25">
      <c r="A10806" s="15"/>
    </row>
    <row r="10807" spans="1:1" x14ac:dyDescent="0.25">
      <c r="A10807" s="15"/>
    </row>
    <row r="10808" spans="1:1" x14ac:dyDescent="0.25">
      <c r="A10808" s="15"/>
    </row>
    <row r="10809" spans="1:1" x14ac:dyDescent="0.25">
      <c r="A10809" s="15"/>
    </row>
    <row r="10810" spans="1:1" x14ac:dyDescent="0.25">
      <c r="A10810" s="15"/>
    </row>
    <row r="10811" spans="1:1" x14ac:dyDescent="0.25">
      <c r="A10811" s="15"/>
    </row>
    <row r="10812" spans="1:1" x14ac:dyDescent="0.25">
      <c r="A10812" s="15"/>
    </row>
    <row r="10813" spans="1:1" x14ac:dyDescent="0.25">
      <c r="A10813" s="15"/>
    </row>
    <row r="10814" spans="1:1" x14ac:dyDescent="0.25">
      <c r="A10814" s="15"/>
    </row>
    <row r="10815" spans="1:1" x14ac:dyDescent="0.25">
      <c r="A10815" s="15"/>
    </row>
    <row r="10816" spans="1:1" x14ac:dyDescent="0.25">
      <c r="A10816" s="15"/>
    </row>
    <row r="10817" spans="1:1" x14ac:dyDescent="0.25">
      <c r="A10817" s="15"/>
    </row>
    <row r="10818" spans="1:1" x14ac:dyDescent="0.25">
      <c r="A10818" s="15"/>
    </row>
    <row r="10819" spans="1:1" x14ac:dyDescent="0.25">
      <c r="A10819" s="15"/>
    </row>
    <row r="10820" spans="1:1" x14ac:dyDescent="0.25">
      <c r="A10820" s="15"/>
    </row>
    <row r="10821" spans="1:1" x14ac:dyDescent="0.25">
      <c r="A10821" s="15"/>
    </row>
    <row r="10822" spans="1:1" x14ac:dyDescent="0.25">
      <c r="A10822" s="15"/>
    </row>
    <row r="10823" spans="1:1" x14ac:dyDescent="0.25">
      <c r="A10823" s="15"/>
    </row>
    <row r="10824" spans="1:1" x14ac:dyDescent="0.25">
      <c r="A10824" s="15"/>
    </row>
    <row r="10825" spans="1:1" x14ac:dyDescent="0.25">
      <c r="A10825" s="15"/>
    </row>
    <row r="10826" spans="1:1" x14ac:dyDescent="0.25">
      <c r="A10826" s="15"/>
    </row>
    <row r="10827" spans="1:1" x14ac:dyDescent="0.25">
      <c r="A10827" s="15"/>
    </row>
    <row r="10828" spans="1:1" x14ac:dyDescent="0.25">
      <c r="A10828" s="15"/>
    </row>
    <row r="10829" spans="1:1" x14ac:dyDescent="0.25">
      <c r="A10829" s="15"/>
    </row>
    <row r="10830" spans="1:1" x14ac:dyDescent="0.25">
      <c r="A10830" s="15"/>
    </row>
    <row r="10831" spans="1:1" x14ac:dyDescent="0.25">
      <c r="A10831" s="15"/>
    </row>
    <row r="10832" spans="1:1" x14ac:dyDescent="0.25">
      <c r="A10832" s="15"/>
    </row>
    <row r="10833" spans="1:1" x14ac:dyDescent="0.25">
      <c r="A10833" s="15"/>
    </row>
    <row r="10834" spans="1:1" x14ac:dyDescent="0.25">
      <c r="A10834" s="15"/>
    </row>
    <row r="10835" spans="1:1" x14ac:dyDescent="0.25">
      <c r="A10835" s="15"/>
    </row>
    <row r="10836" spans="1:1" x14ac:dyDescent="0.25">
      <c r="A10836" s="15"/>
    </row>
    <row r="10837" spans="1:1" x14ac:dyDescent="0.25">
      <c r="A10837" s="15"/>
    </row>
    <row r="10838" spans="1:1" x14ac:dyDescent="0.25">
      <c r="A10838" s="15"/>
    </row>
    <row r="10839" spans="1:1" x14ac:dyDescent="0.25">
      <c r="A10839" s="15"/>
    </row>
    <row r="10840" spans="1:1" x14ac:dyDescent="0.25">
      <c r="A10840" s="15"/>
    </row>
    <row r="10841" spans="1:1" x14ac:dyDescent="0.25">
      <c r="A10841" s="15"/>
    </row>
    <row r="10842" spans="1:1" x14ac:dyDescent="0.25">
      <c r="A10842" s="15"/>
    </row>
    <row r="10843" spans="1:1" x14ac:dyDescent="0.25">
      <c r="A10843" s="15"/>
    </row>
    <row r="10844" spans="1:1" x14ac:dyDescent="0.25">
      <c r="A10844" s="15"/>
    </row>
    <row r="10845" spans="1:1" x14ac:dyDescent="0.25">
      <c r="A10845" s="15"/>
    </row>
    <row r="10846" spans="1:1" x14ac:dyDescent="0.25">
      <c r="A10846" s="15"/>
    </row>
    <row r="10847" spans="1:1" x14ac:dyDescent="0.25">
      <c r="A10847" s="15"/>
    </row>
    <row r="10848" spans="1:1" x14ac:dyDescent="0.25">
      <c r="A10848" s="15"/>
    </row>
    <row r="10849" spans="1:1" x14ac:dyDescent="0.25">
      <c r="A10849" s="15"/>
    </row>
    <row r="10850" spans="1:1" x14ac:dyDescent="0.25">
      <c r="A10850" s="15"/>
    </row>
    <row r="10851" spans="1:1" x14ac:dyDescent="0.25">
      <c r="A10851" s="15"/>
    </row>
    <row r="10852" spans="1:1" x14ac:dyDescent="0.25">
      <c r="A10852" s="15"/>
    </row>
    <row r="10853" spans="1:1" x14ac:dyDescent="0.25">
      <c r="A10853" s="15"/>
    </row>
    <row r="10854" spans="1:1" x14ac:dyDescent="0.25">
      <c r="A10854" s="15"/>
    </row>
    <row r="10855" spans="1:1" x14ac:dyDescent="0.25">
      <c r="A10855" s="15"/>
    </row>
    <row r="10856" spans="1:1" x14ac:dyDescent="0.25">
      <c r="A10856" s="15"/>
    </row>
    <row r="10857" spans="1:1" x14ac:dyDescent="0.25">
      <c r="A10857" s="15"/>
    </row>
    <row r="10858" spans="1:1" x14ac:dyDescent="0.25">
      <c r="A10858" s="15"/>
    </row>
    <row r="10859" spans="1:1" x14ac:dyDescent="0.25">
      <c r="A10859" s="15"/>
    </row>
    <row r="10860" spans="1:1" x14ac:dyDescent="0.25">
      <c r="A10860" s="15"/>
    </row>
    <row r="10861" spans="1:1" x14ac:dyDescent="0.25">
      <c r="A10861" s="15"/>
    </row>
    <row r="10862" spans="1:1" x14ac:dyDescent="0.25">
      <c r="A10862" s="15"/>
    </row>
    <row r="10863" spans="1:1" x14ac:dyDescent="0.25">
      <c r="A10863" s="15"/>
    </row>
    <row r="10864" spans="1:1" x14ac:dyDescent="0.25">
      <c r="A10864" s="15"/>
    </row>
    <row r="10865" spans="1:1" x14ac:dyDescent="0.25">
      <c r="A10865" s="15"/>
    </row>
    <row r="10866" spans="1:1" x14ac:dyDescent="0.25">
      <c r="A10866" s="15"/>
    </row>
    <row r="10867" spans="1:1" x14ac:dyDescent="0.25">
      <c r="A10867" s="15"/>
    </row>
    <row r="10868" spans="1:1" x14ac:dyDescent="0.25">
      <c r="A10868" s="15"/>
    </row>
    <row r="10869" spans="1:1" x14ac:dyDescent="0.25">
      <c r="A10869" s="15"/>
    </row>
    <row r="10870" spans="1:1" x14ac:dyDescent="0.25">
      <c r="A10870" s="15"/>
    </row>
    <row r="10871" spans="1:1" x14ac:dyDescent="0.25">
      <c r="A10871" s="15"/>
    </row>
    <row r="10872" spans="1:1" x14ac:dyDescent="0.25">
      <c r="A10872" s="15"/>
    </row>
    <row r="10873" spans="1:1" x14ac:dyDescent="0.25">
      <c r="A10873" s="15"/>
    </row>
    <row r="10874" spans="1:1" x14ac:dyDescent="0.25">
      <c r="A10874" s="15"/>
    </row>
    <row r="10875" spans="1:1" x14ac:dyDescent="0.25">
      <c r="A10875" s="15"/>
    </row>
    <row r="10876" spans="1:1" x14ac:dyDescent="0.25">
      <c r="A10876" s="15"/>
    </row>
    <row r="10877" spans="1:1" x14ac:dyDescent="0.25">
      <c r="A10877" s="15"/>
    </row>
    <row r="10878" spans="1:1" x14ac:dyDescent="0.25">
      <c r="A10878" s="15"/>
    </row>
    <row r="10879" spans="1:1" x14ac:dyDescent="0.25">
      <c r="A10879" s="15"/>
    </row>
    <row r="10880" spans="1:1" x14ac:dyDescent="0.25">
      <c r="A10880" s="15"/>
    </row>
    <row r="10881" spans="1:1" x14ac:dyDescent="0.25">
      <c r="A10881" s="15"/>
    </row>
    <row r="10882" spans="1:1" x14ac:dyDescent="0.25">
      <c r="A10882" s="15"/>
    </row>
    <row r="10883" spans="1:1" x14ac:dyDescent="0.25">
      <c r="A10883" s="15"/>
    </row>
    <row r="10884" spans="1:1" x14ac:dyDescent="0.25">
      <c r="A10884" s="15"/>
    </row>
    <row r="10885" spans="1:1" x14ac:dyDescent="0.25">
      <c r="A10885" s="15"/>
    </row>
    <row r="10886" spans="1:1" x14ac:dyDescent="0.25">
      <c r="A10886" s="15"/>
    </row>
    <row r="10887" spans="1:1" x14ac:dyDescent="0.25">
      <c r="A10887" s="15"/>
    </row>
    <row r="10888" spans="1:1" x14ac:dyDescent="0.25">
      <c r="A10888" s="15"/>
    </row>
    <row r="10889" spans="1:1" x14ac:dyDescent="0.25">
      <c r="A10889" s="15"/>
    </row>
    <row r="10890" spans="1:1" x14ac:dyDescent="0.25">
      <c r="A10890" s="15"/>
    </row>
    <row r="10891" spans="1:1" x14ac:dyDescent="0.25">
      <c r="A10891" s="15"/>
    </row>
    <row r="10892" spans="1:1" x14ac:dyDescent="0.25">
      <c r="A10892" s="15"/>
    </row>
    <row r="10893" spans="1:1" x14ac:dyDescent="0.25">
      <c r="A10893" s="15"/>
    </row>
    <row r="10894" spans="1:1" x14ac:dyDescent="0.25">
      <c r="A10894" s="15"/>
    </row>
    <row r="10895" spans="1:1" x14ac:dyDescent="0.25">
      <c r="A10895" s="15"/>
    </row>
    <row r="10896" spans="1:1" x14ac:dyDescent="0.25">
      <c r="A10896" s="15"/>
    </row>
    <row r="10897" spans="1:1" x14ac:dyDescent="0.25">
      <c r="A10897" s="15"/>
    </row>
    <row r="10898" spans="1:1" x14ac:dyDescent="0.25">
      <c r="A10898" s="15"/>
    </row>
    <row r="10899" spans="1:1" x14ac:dyDescent="0.25">
      <c r="A10899" s="15"/>
    </row>
    <row r="10900" spans="1:1" x14ac:dyDescent="0.25">
      <c r="A10900" s="15"/>
    </row>
    <row r="10901" spans="1:1" x14ac:dyDescent="0.25">
      <c r="A10901" s="15"/>
    </row>
    <row r="10902" spans="1:1" x14ac:dyDescent="0.25">
      <c r="A10902" s="15"/>
    </row>
    <row r="10903" spans="1:1" x14ac:dyDescent="0.25">
      <c r="A10903" s="15"/>
    </row>
    <row r="10904" spans="1:1" x14ac:dyDescent="0.25">
      <c r="A10904" s="15"/>
    </row>
    <row r="10905" spans="1:1" x14ac:dyDescent="0.25">
      <c r="A10905" s="15"/>
    </row>
    <row r="10906" spans="1:1" x14ac:dyDescent="0.25">
      <c r="A10906" s="15"/>
    </row>
    <row r="10907" spans="1:1" x14ac:dyDescent="0.25">
      <c r="A10907" s="15"/>
    </row>
    <row r="10908" spans="1:1" x14ac:dyDescent="0.25">
      <c r="A10908" s="15"/>
    </row>
    <row r="10909" spans="1:1" x14ac:dyDescent="0.25">
      <c r="A10909" s="15"/>
    </row>
    <row r="10910" spans="1:1" x14ac:dyDescent="0.25">
      <c r="A10910" s="15"/>
    </row>
    <row r="10911" spans="1:1" x14ac:dyDescent="0.25">
      <c r="A10911" s="15"/>
    </row>
    <row r="10912" spans="1:1" x14ac:dyDescent="0.25">
      <c r="A10912" s="15"/>
    </row>
    <row r="10913" spans="1:1" x14ac:dyDescent="0.25">
      <c r="A10913" s="15"/>
    </row>
    <row r="10914" spans="1:1" x14ac:dyDescent="0.25">
      <c r="A10914" s="15"/>
    </row>
    <row r="10915" spans="1:1" x14ac:dyDescent="0.25">
      <c r="A10915" s="15"/>
    </row>
    <row r="10916" spans="1:1" x14ac:dyDescent="0.25">
      <c r="A10916" s="15"/>
    </row>
    <row r="10917" spans="1:1" x14ac:dyDescent="0.25">
      <c r="A10917" s="15"/>
    </row>
    <row r="10918" spans="1:1" x14ac:dyDescent="0.25">
      <c r="A10918" s="15"/>
    </row>
    <row r="10919" spans="1:1" x14ac:dyDescent="0.25">
      <c r="A10919" s="15"/>
    </row>
    <row r="10920" spans="1:1" x14ac:dyDescent="0.25">
      <c r="A10920" s="15"/>
    </row>
    <row r="10921" spans="1:1" x14ac:dyDescent="0.25">
      <c r="A10921" s="15"/>
    </row>
    <row r="10922" spans="1:1" x14ac:dyDescent="0.25">
      <c r="A10922" s="15"/>
    </row>
    <row r="10923" spans="1:1" x14ac:dyDescent="0.25">
      <c r="A10923" s="15"/>
    </row>
    <row r="10924" spans="1:1" x14ac:dyDescent="0.25">
      <c r="A10924" s="15"/>
    </row>
    <row r="10925" spans="1:1" x14ac:dyDescent="0.25">
      <c r="A10925" s="15"/>
    </row>
    <row r="10926" spans="1:1" x14ac:dyDescent="0.25">
      <c r="A10926" s="15"/>
    </row>
    <row r="10927" spans="1:1" x14ac:dyDescent="0.25">
      <c r="A10927" s="15"/>
    </row>
    <row r="10928" spans="1:1" x14ac:dyDescent="0.25">
      <c r="A10928" s="15"/>
    </row>
    <row r="10929" spans="1:1" x14ac:dyDescent="0.25">
      <c r="A10929" s="15"/>
    </row>
    <row r="10930" spans="1:1" x14ac:dyDescent="0.25">
      <c r="A10930" s="15"/>
    </row>
    <row r="10931" spans="1:1" x14ac:dyDescent="0.25">
      <c r="A10931" s="15"/>
    </row>
    <row r="10932" spans="1:1" x14ac:dyDescent="0.25">
      <c r="A10932" s="15"/>
    </row>
    <row r="10933" spans="1:1" x14ac:dyDescent="0.25">
      <c r="A10933" s="15"/>
    </row>
    <row r="10934" spans="1:1" x14ac:dyDescent="0.25">
      <c r="A10934" s="15"/>
    </row>
    <row r="10935" spans="1:1" x14ac:dyDescent="0.25">
      <c r="A10935" s="15"/>
    </row>
    <row r="10936" spans="1:1" x14ac:dyDescent="0.25">
      <c r="A10936" s="15"/>
    </row>
    <row r="10937" spans="1:1" x14ac:dyDescent="0.25">
      <c r="A10937" s="15"/>
    </row>
    <row r="10938" spans="1:1" x14ac:dyDescent="0.25">
      <c r="A10938" s="15"/>
    </row>
    <row r="10939" spans="1:1" x14ac:dyDescent="0.25">
      <c r="A10939" s="15"/>
    </row>
    <row r="10940" spans="1:1" x14ac:dyDescent="0.25">
      <c r="A10940" s="15"/>
    </row>
    <row r="10941" spans="1:1" x14ac:dyDescent="0.25">
      <c r="A10941" s="15"/>
    </row>
    <row r="10942" spans="1:1" x14ac:dyDescent="0.25">
      <c r="A10942" s="15"/>
    </row>
    <row r="10943" spans="1:1" x14ac:dyDescent="0.25">
      <c r="A10943" s="15"/>
    </row>
    <row r="10944" spans="1:1" x14ac:dyDescent="0.25">
      <c r="A10944" s="15"/>
    </row>
    <row r="10945" spans="1:1" x14ac:dyDescent="0.25">
      <c r="A10945" s="15"/>
    </row>
    <row r="10946" spans="1:1" x14ac:dyDescent="0.25">
      <c r="A10946" s="15"/>
    </row>
    <row r="10947" spans="1:1" x14ac:dyDescent="0.25">
      <c r="A10947" s="15"/>
    </row>
    <row r="10948" spans="1:1" x14ac:dyDescent="0.25">
      <c r="A10948" s="15"/>
    </row>
    <row r="10949" spans="1:1" x14ac:dyDescent="0.25">
      <c r="A10949" s="15"/>
    </row>
    <row r="10950" spans="1:1" x14ac:dyDescent="0.25">
      <c r="A10950" s="15"/>
    </row>
    <row r="10951" spans="1:1" x14ac:dyDescent="0.25">
      <c r="A10951" s="15"/>
    </row>
    <row r="10952" spans="1:1" x14ac:dyDescent="0.25">
      <c r="A10952" s="15"/>
    </row>
    <row r="10953" spans="1:1" x14ac:dyDescent="0.25">
      <c r="A10953" s="15"/>
    </row>
    <row r="10954" spans="1:1" x14ac:dyDescent="0.25">
      <c r="A10954" s="15"/>
    </row>
    <row r="10955" spans="1:1" x14ac:dyDescent="0.25">
      <c r="A10955" s="15"/>
    </row>
    <row r="10956" spans="1:1" x14ac:dyDescent="0.25">
      <c r="A10956" s="15"/>
    </row>
    <row r="10957" spans="1:1" x14ac:dyDescent="0.25">
      <c r="A10957" s="15"/>
    </row>
    <row r="10958" spans="1:1" x14ac:dyDescent="0.25">
      <c r="A10958" s="15"/>
    </row>
    <row r="10959" spans="1:1" x14ac:dyDescent="0.25">
      <c r="A10959" s="15"/>
    </row>
    <row r="10960" spans="1:1" x14ac:dyDescent="0.25">
      <c r="A10960" s="15"/>
    </row>
    <row r="10961" spans="1:1" x14ac:dyDescent="0.25">
      <c r="A10961" s="15"/>
    </row>
    <row r="10962" spans="1:1" x14ac:dyDescent="0.25">
      <c r="A10962" s="15"/>
    </row>
    <row r="10963" spans="1:1" x14ac:dyDescent="0.25">
      <c r="A10963" s="15"/>
    </row>
    <row r="10964" spans="1:1" x14ac:dyDescent="0.25">
      <c r="A10964" s="15"/>
    </row>
    <row r="10965" spans="1:1" x14ac:dyDescent="0.25">
      <c r="A10965" s="15"/>
    </row>
    <row r="10966" spans="1:1" x14ac:dyDescent="0.25">
      <c r="A10966" s="15"/>
    </row>
    <row r="10967" spans="1:1" x14ac:dyDescent="0.25">
      <c r="A10967" s="15"/>
    </row>
    <row r="10968" spans="1:1" x14ac:dyDescent="0.25">
      <c r="A10968" s="15"/>
    </row>
    <row r="10969" spans="1:1" x14ac:dyDescent="0.25">
      <c r="A10969" s="15"/>
    </row>
    <row r="10970" spans="1:1" x14ac:dyDescent="0.25">
      <c r="A10970" s="15"/>
    </row>
    <row r="10971" spans="1:1" x14ac:dyDescent="0.25">
      <c r="A10971" s="15"/>
    </row>
    <row r="10972" spans="1:1" x14ac:dyDescent="0.25">
      <c r="A10972" s="15"/>
    </row>
    <row r="10973" spans="1:1" x14ac:dyDescent="0.25">
      <c r="A10973" s="15"/>
    </row>
    <row r="10974" spans="1:1" x14ac:dyDescent="0.25">
      <c r="A10974" s="15"/>
    </row>
    <row r="10975" spans="1:1" x14ac:dyDescent="0.25">
      <c r="A10975" s="15"/>
    </row>
    <row r="10976" spans="1:1" x14ac:dyDescent="0.25">
      <c r="A10976" s="15"/>
    </row>
    <row r="10977" spans="1:1" x14ac:dyDescent="0.25">
      <c r="A10977" s="15"/>
    </row>
    <row r="10978" spans="1:1" x14ac:dyDescent="0.25">
      <c r="A10978" s="15"/>
    </row>
    <row r="10979" spans="1:1" x14ac:dyDescent="0.25">
      <c r="A10979" s="15"/>
    </row>
    <row r="10980" spans="1:1" x14ac:dyDescent="0.25">
      <c r="A10980" s="15"/>
    </row>
    <row r="10981" spans="1:1" x14ac:dyDescent="0.25">
      <c r="A10981" s="15"/>
    </row>
    <row r="10982" spans="1:1" x14ac:dyDescent="0.25">
      <c r="A10982" s="15"/>
    </row>
    <row r="10983" spans="1:1" x14ac:dyDescent="0.25">
      <c r="A10983" s="15"/>
    </row>
    <row r="10984" spans="1:1" x14ac:dyDescent="0.25">
      <c r="A10984" s="15"/>
    </row>
    <row r="10985" spans="1:1" x14ac:dyDescent="0.25">
      <c r="A10985" s="15"/>
    </row>
    <row r="10986" spans="1:1" x14ac:dyDescent="0.25">
      <c r="A10986" s="15"/>
    </row>
    <row r="10987" spans="1:1" x14ac:dyDescent="0.25">
      <c r="A10987" s="15"/>
    </row>
    <row r="10988" spans="1:1" x14ac:dyDescent="0.25">
      <c r="A10988" s="15"/>
    </row>
    <row r="10989" spans="1:1" x14ac:dyDescent="0.25">
      <c r="A10989" s="15"/>
    </row>
    <row r="10990" spans="1:1" x14ac:dyDescent="0.25">
      <c r="A10990" s="15"/>
    </row>
    <row r="10991" spans="1:1" x14ac:dyDescent="0.25">
      <c r="A10991" s="15"/>
    </row>
    <row r="10992" spans="1:1" x14ac:dyDescent="0.25">
      <c r="A10992" s="15"/>
    </row>
    <row r="10993" spans="1:1" x14ac:dyDescent="0.25">
      <c r="A10993" s="15"/>
    </row>
    <row r="10994" spans="1:1" x14ac:dyDescent="0.25">
      <c r="A10994" s="15"/>
    </row>
    <row r="10995" spans="1:1" x14ac:dyDescent="0.25">
      <c r="A10995" s="15"/>
    </row>
    <row r="10996" spans="1:1" x14ac:dyDescent="0.25">
      <c r="A10996" s="15"/>
    </row>
    <row r="10997" spans="1:1" x14ac:dyDescent="0.25">
      <c r="A10997" s="15"/>
    </row>
    <row r="10998" spans="1:1" x14ac:dyDescent="0.25">
      <c r="A10998" s="15"/>
    </row>
    <row r="10999" spans="1:1" x14ac:dyDescent="0.25">
      <c r="A10999" s="15"/>
    </row>
    <row r="11000" spans="1:1" x14ac:dyDescent="0.25">
      <c r="A11000" s="15"/>
    </row>
    <row r="11001" spans="1:1" x14ac:dyDescent="0.25">
      <c r="A11001" s="15"/>
    </row>
    <row r="11002" spans="1:1" x14ac:dyDescent="0.25">
      <c r="A11002" s="15"/>
    </row>
    <row r="11003" spans="1:1" x14ac:dyDescent="0.25">
      <c r="A11003" s="15"/>
    </row>
    <row r="11004" spans="1:1" x14ac:dyDescent="0.25">
      <c r="A11004" s="15"/>
    </row>
    <row r="11005" spans="1:1" x14ac:dyDescent="0.25">
      <c r="A11005" s="15"/>
    </row>
    <row r="11006" spans="1:1" x14ac:dyDescent="0.25">
      <c r="A11006" s="15"/>
    </row>
    <row r="11007" spans="1:1" x14ac:dyDescent="0.25">
      <c r="A11007" s="15"/>
    </row>
    <row r="11008" spans="1:1" x14ac:dyDescent="0.25">
      <c r="A11008" s="15"/>
    </row>
    <row r="11009" spans="1:1" x14ac:dyDescent="0.25">
      <c r="A11009" s="15"/>
    </row>
    <row r="11010" spans="1:1" x14ac:dyDescent="0.25">
      <c r="A11010" s="15"/>
    </row>
    <row r="11011" spans="1:1" x14ac:dyDescent="0.25">
      <c r="A11011" s="15"/>
    </row>
    <row r="11012" spans="1:1" x14ac:dyDescent="0.25">
      <c r="A11012" s="15"/>
    </row>
    <row r="11013" spans="1:1" x14ac:dyDescent="0.25">
      <c r="A11013" s="15"/>
    </row>
    <row r="11014" spans="1:1" x14ac:dyDescent="0.25">
      <c r="A11014" s="15"/>
    </row>
    <row r="11015" spans="1:1" x14ac:dyDescent="0.25">
      <c r="A11015" s="15"/>
    </row>
    <row r="11016" spans="1:1" x14ac:dyDescent="0.25">
      <c r="A11016" s="15"/>
    </row>
    <row r="11017" spans="1:1" x14ac:dyDescent="0.25">
      <c r="A11017" s="15"/>
    </row>
    <row r="11018" spans="1:1" x14ac:dyDescent="0.25">
      <c r="A11018" s="15"/>
    </row>
    <row r="11019" spans="1:1" x14ac:dyDescent="0.25">
      <c r="A11019" s="15"/>
    </row>
    <row r="11020" spans="1:1" x14ac:dyDescent="0.25">
      <c r="A11020" s="15"/>
    </row>
    <row r="11021" spans="1:1" x14ac:dyDescent="0.25">
      <c r="A11021" s="15"/>
    </row>
    <row r="11022" spans="1:1" x14ac:dyDescent="0.25">
      <c r="A11022" s="15"/>
    </row>
    <row r="11023" spans="1:1" x14ac:dyDescent="0.25">
      <c r="A11023" s="15"/>
    </row>
    <row r="11024" spans="1:1" x14ac:dyDescent="0.25">
      <c r="A11024" s="15"/>
    </row>
    <row r="11025" spans="1:1" x14ac:dyDescent="0.25">
      <c r="A11025" s="15"/>
    </row>
    <row r="11026" spans="1:1" x14ac:dyDescent="0.25">
      <c r="A11026" s="15"/>
    </row>
    <row r="11027" spans="1:1" x14ac:dyDescent="0.25">
      <c r="A11027" s="15"/>
    </row>
    <row r="11028" spans="1:1" x14ac:dyDescent="0.25">
      <c r="A11028" s="15"/>
    </row>
    <row r="11029" spans="1:1" x14ac:dyDescent="0.25">
      <c r="A11029" s="15"/>
    </row>
    <row r="11030" spans="1:1" x14ac:dyDescent="0.25">
      <c r="A11030" s="15"/>
    </row>
    <row r="11031" spans="1:1" x14ac:dyDescent="0.25">
      <c r="A11031" s="15"/>
    </row>
    <row r="11032" spans="1:1" x14ac:dyDescent="0.25">
      <c r="A11032" s="15"/>
    </row>
    <row r="11033" spans="1:1" x14ac:dyDescent="0.25">
      <c r="A11033" s="15"/>
    </row>
    <row r="11034" spans="1:1" x14ac:dyDescent="0.25">
      <c r="A11034" s="15"/>
    </row>
    <row r="11035" spans="1:1" x14ac:dyDescent="0.25">
      <c r="A11035" s="15"/>
    </row>
    <row r="11036" spans="1:1" x14ac:dyDescent="0.25">
      <c r="A11036" s="15"/>
    </row>
    <row r="11037" spans="1:1" x14ac:dyDescent="0.25">
      <c r="A11037" s="15"/>
    </row>
    <row r="11038" spans="1:1" x14ac:dyDescent="0.25">
      <c r="A11038" s="15"/>
    </row>
    <row r="11039" spans="1:1" x14ac:dyDescent="0.25">
      <c r="A11039" s="15"/>
    </row>
    <row r="11040" spans="1:1" x14ac:dyDescent="0.25">
      <c r="A11040" s="15"/>
    </row>
    <row r="11041" spans="1:1" x14ac:dyDescent="0.25">
      <c r="A11041" s="15"/>
    </row>
    <row r="11042" spans="1:1" x14ac:dyDescent="0.25">
      <c r="A11042" s="15"/>
    </row>
    <row r="11043" spans="1:1" x14ac:dyDescent="0.25">
      <c r="A11043" s="15"/>
    </row>
    <row r="11044" spans="1:1" x14ac:dyDescent="0.25">
      <c r="A11044" s="15"/>
    </row>
    <row r="11045" spans="1:1" x14ac:dyDescent="0.25">
      <c r="A11045" s="15"/>
    </row>
    <row r="11046" spans="1:1" x14ac:dyDescent="0.25">
      <c r="A11046" s="15"/>
    </row>
    <row r="11047" spans="1:1" x14ac:dyDescent="0.25">
      <c r="A11047" s="15"/>
    </row>
    <row r="11048" spans="1:1" x14ac:dyDescent="0.25">
      <c r="A11048" s="15"/>
    </row>
    <row r="11049" spans="1:1" x14ac:dyDescent="0.25">
      <c r="A11049" s="15"/>
    </row>
    <row r="11050" spans="1:1" x14ac:dyDescent="0.25">
      <c r="A11050" s="15"/>
    </row>
    <row r="11051" spans="1:1" x14ac:dyDescent="0.25">
      <c r="A11051" s="15"/>
    </row>
    <row r="11052" spans="1:1" x14ac:dyDescent="0.25">
      <c r="A11052" s="15"/>
    </row>
    <row r="11053" spans="1:1" x14ac:dyDescent="0.25">
      <c r="A11053" s="15"/>
    </row>
    <row r="11054" spans="1:1" x14ac:dyDescent="0.25">
      <c r="A11054" s="15"/>
    </row>
    <row r="11055" spans="1:1" x14ac:dyDescent="0.25">
      <c r="A11055" s="15"/>
    </row>
    <row r="11056" spans="1:1" x14ac:dyDescent="0.25">
      <c r="A11056" s="15"/>
    </row>
    <row r="11057" spans="1:1" x14ac:dyDescent="0.25">
      <c r="A11057" s="15"/>
    </row>
    <row r="11058" spans="1:1" x14ac:dyDescent="0.25">
      <c r="A11058" s="15"/>
    </row>
    <row r="11059" spans="1:1" x14ac:dyDescent="0.25">
      <c r="A11059" s="15"/>
    </row>
    <row r="11060" spans="1:1" x14ac:dyDescent="0.25">
      <c r="A11060" s="15"/>
    </row>
    <row r="11061" spans="1:1" x14ac:dyDescent="0.25">
      <c r="A11061" s="15"/>
    </row>
    <row r="11062" spans="1:1" x14ac:dyDescent="0.25">
      <c r="A11062" s="15"/>
    </row>
    <row r="11063" spans="1:1" x14ac:dyDescent="0.25">
      <c r="A11063" s="15"/>
    </row>
    <row r="11064" spans="1:1" x14ac:dyDescent="0.25">
      <c r="A11064" s="15"/>
    </row>
    <row r="11065" spans="1:1" x14ac:dyDescent="0.25">
      <c r="A11065" s="15"/>
    </row>
    <row r="11066" spans="1:1" x14ac:dyDescent="0.25">
      <c r="A11066" s="15"/>
    </row>
    <row r="11067" spans="1:1" x14ac:dyDescent="0.25">
      <c r="A11067" s="15"/>
    </row>
    <row r="11068" spans="1:1" x14ac:dyDescent="0.25">
      <c r="A11068" s="15"/>
    </row>
    <row r="11069" spans="1:1" x14ac:dyDescent="0.25">
      <c r="A11069" s="15"/>
    </row>
    <row r="11070" spans="1:1" x14ac:dyDescent="0.25">
      <c r="A11070" s="15"/>
    </row>
    <row r="11071" spans="1:1" x14ac:dyDescent="0.25">
      <c r="A11071" s="15"/>
    </row>
    <row r="11072" spans="1:1" x14ac:dyDescent="0.25">
      <c r="A11072" s="15"/>
    </row>
    <row r="11073" spans="1:1" x14ac:dyDescent="0.25">
      <c r="A11073" s="15"/>
    </row>
    <row r="11074" spans="1:1" x14ac:dyDescent="0.25">
      <c r="A11074" s="15"/>
    </row>
    <row r="11075" spans="1:1" x14ac:dyDescent="0.25">
      <c r="A11075" s="15"/>
    </row>
    <row r="11076" spans="1:1" x14ac:dyDescent="0.25">
      <c r="A11076" s="15"/>
    </row>
    <row r="11077" spans="1:1" x14ac:dyDescent="0.25">
      <c r="A11077" s="15"/>
    </row>
    <row r="11078" spans="1:1" x14ac:dyDescent="0.25">
      <c r="A11078" s="15"/>
    </row>
    <row r="11079" spans="1:1" x14ac:dyDescent="0.25">
      <c r="A11079" s="15"/>
    </row>
    <row r="11080" spans="1:1" x14ac:dyDescent="0.25">
      <c r="A11080" s="15"/>
    </row>
    <row r="11081" spans="1:1" x14ac:dyDescent="0.25">
      <c r="A11081" s="15"/>
    </row>
    <row r="11082" spans="1:1" x14ac:dyDescent="0.25">
      <c r="A11082" s="15"/>
    </row>
    <row r="11083" spans="1:1" x14ac:dyDescent="0.25">
      <c r="A11083" s="15"/>
    </row>
    <row r="11084" spans="1:1" x14ac:dyDescent="0.25">
      <c r="A11084" s="15"/>
    </row>
    <row r="11085" spans="1:1" x14ac:dyDescent="0.25">
      <c r="A11085" s="15"/>
    </row>
    <row r="11086" spans="1:1" x14ac:dyDescent="0.25">
      <c r="A11086" s="15"/>
    </row>
    <row r="11087" spans="1:1" x14ac:dyDescent="0.25">
      <c r="A11087" s="15"/>
    </row>
    <row r="11088" spans="1:1" x14ac:dyDescent="0.25">
      <c r="A11088" s="15"/>
    </row>
    <row r="11089" spans="1:1" x14ac:dyDescent="0.25">
      <c r="A11089" s="15"/>
    </row>
    <row r="11090" spans="1:1" x14ac:dyDescent="0.25">
      <c r="A11090" s="15"/>
    </row>
    <row r="11091" spans="1:1" x14ac:dyDescent="0.25">
      <c r="A11091" s="15"/>
    </row>
    <row r="11092" spans="1:1" x14ac:dyDescent="0.25">
      <c r="A11092" s="15"/>
    </row>
    <row r="11093" spans="1:1" x14ac:dyDescent="0.25">
      <c r="A11093" s="15"/>
    </row>
    <row r="11094" spans="1:1" x14ac:dyDescent="0.25">
      <c r="A11094" s="15"/>
    </row>
    <row r="11095" spans="1:1" x14ac:dyDescent="0.25">
      <c r="A11095" s="15"/>
    </row>
    <row r="11096" spans="1:1" x14ac:dyDescent="0.25">
      <c r="A11096" s="15"/>
    </row>
    <row r="11097" spans="1:1" x14ac:dyDescent="0.25">
      <c r="A11097" s="15"/>
    </row>
    <row r="11098" spans="1:1" x14ac:dyDescent="0.25">
      <c r="A11098" s="15"/>
    </row>
    <row r="11099" spans="1:1" x14ac:dyDescent="0.25">
      <c r="A11099" s="15"/>
    </row>
    <row r="11100" spans="1:1" x14ac:dyDescent="0.25">
      <c r="A11100" s="15"/>
    </row>
    <row r="11101" spans="1:1" x14ac:dyDescent="0.25">
      <c r="A11101" s="15"/>
    </row>
    <row r="11102" spans="1:1" x14ac:dyDescent="0.25">
      <c r="A11102" s="15"/>
    </row>
    <row r="11103" spans="1:1" x14ac:dyDescent="0.25">
      <c r="A11103" s="15"/>
    </row>
    <row r="11104" spans="1:1" x14ac:dyDescent="0.25">
      <c r="A11104" s="15"/>
    </row>
    <row r="11105" spans="1:1" x14ac:dyDescent="0.25">
      <c r="A11105" s="15"/>
    </row>
    <row r="11106" spans="1:1" x14ac:dyDescent="0.25">
      <c r="A11106" s="15"/>
    </row>
    <row r="11107" spans="1:1" x14ac:dyDescent="0.25">
      <c r="A11107" s="15"/>
    </row>
    <row r="11108" spans="1:1" x14ac:dyDescent="0.25">
      <c r="A11108" s="15"/>
    </row>
    <row r="11109" spans="1:1" x14ac:dyDescent="0.25">
      <c r="A11109" s="15"/>
    </row>
    <row r="11110" spans="1:1" x14ac:dyDescent="0.25">
      <c r="A11110" s="15"/>
    </row>
    <row r="11111" spans="1:1" x14ac:dyDescent="0.25">
      <c r="A11111" s="15"/>
    </row>
    <row r="11112" spans="1:1" x14ac:dyDescent="0.25">
      <c r="A11112" s="15"/>
    </row>
    <row r="11113" spans="1:1" x14ac:dyDescent="0.25">
      <c r="A11113" s="15"/>
    </row>
    <row r="11114" spans="1:1" x14ac:dyDescent="0.25">
      <c r="A11114" s="15"/>
    </row>
    <row r="11115" spans="1:1" x14ac:dyDescent="0.25">
      <c r="A11115" s="15"/>
    </row>
    <row r="11116" spans="1:1" x14ac:dyDescent="0.25">
      <c r="A11116" s="15"/>
    </row>
    <row r="11117" spans="1:1" x14ac:dyDescent="0.25">
      <c r="A11117" s="15"/>
    </row>
    <row r="11118" spans="1:1" x14ac:dyDescent="0.25">
      <c r="A11118" s="15"/>
    </row>
    <row r="11119" spans="1:1" x14ac:dyDescent="0.25">
      <c r="A11119" s="15"/>
    </row>
    <row r="11120" spans="1:1" x14ac:dyDescent="0.25">
      <c r="A11120" s="15"/>
    </row>
    <row r="11121" spans="1:1" x14ac:dyDescent="0.25">
      <c r="A11121" s="15"/>
    </row>
    <row r="11122" spans="1:1" x14ac:dyDescent="0.25">
      <c r="A11122" s="15"/>
    </row>
    <row r="11123" spans="1:1" x14ac:dyDescent="0.25">
      <c r="A11123" s="15"/>
    </row>
    <row r="11124" spans="1:1" x14ac:dyDescent="0.25">
      <c r="A11124" s="15"/>
    </row>
    <row r="11125" spans="1:1" x14ac:dyDescent="0.25">
      <c r="A11125" s="15"/>
    </row>
    <row r="11126" spans="1:1" x14ac:dyDescent="0.25">
      <c r="A11126" s="15"/>
    </row>
    <row r="11127" spans="1:1" x14ac:dyDescent="0.25">
      <c r="A11127" s="15"/>
    </row>
    <row r="11128" spans="1:1" x14ac:dyDescent="0.25">
      <c r="A11128" s="15"/>
    </row>
    <row r="11129" spans="1:1" x14ac:dyDescent="0.25">
      <c r="A11129" s="15"/>
    </row>
    <row r="11130" spans="1:1" x14ac:dyDescent="0.25">
      <c r="A11130" s="15"/>
    </row>
    <row r="11131" spans="1:1" x14ac:dyDescent="0.25">
      <c r="A11131" s="15"/>
    </row>
    <row r="11132" spans="1:1" x14ac:dyDescent="0.25">
      <c r="A11132" s="15"/>
    </row>
    <row r="11133" spans="1:1" x14ac:dyDescent="0.25">
      <c r="A11133" s="15"/>
    </row>
    <row r="11134" spans="1:1" x14ac:dyDescent="0.25">
      <c r="A11134" s="15"/>
    </row>
    <row r="11135" spans="1:1" x14ac:dyDescent="0.25">
      <c r="A11135" s="15"/>
    </row>
    <row r="11136" spans="1:1" x14ac:dyDescent="0.25">
      <c r="A11136" s="15"/>
    </row>
    <row r="11137" spans="1:1" x14ac:dyDescent="0.25">
      <c r="A11137" s="15"/>
    </row>
    <row r="11138" spans="1:1" x14ac:dyDescent="0.25">
      <c r="A11138" s="15"/>
    </row>
    <row r="11139" spans="1:1" x14ac:dyDescent="0.25">
      <c r="A11139" s="15"/>
    </row>
    <row r="11140" spans="1:1" x14ac:dyDescent="0.25">
      <c r="A11140" s="15"/>
    </row>
    <row r="11141" spans="1:1" x14ac:dyDescent="0.25">
      <c r="A11141" s="15"/>
    </row>
    <row r="11142" spans="1:1" x14ac:dyDescent="0.25">
      <c r="A11142" s="15"/>
    </row>
    <row r="11143" spans="1:1" x14ac:dyDescent="0.25">
      <c r="A11143" s="15"/>
    </row>
    <row r="11144" spans="1:1" x14ac:dyDescent="0.25">
      <c r="A11144" s="15"/>
    </row>
    <row r="11145" spans="1:1" x14ac:dyDescent="0.25">
      <c r="A11145" s="15"/>
    </row>
    <row r="11146" spans="1:1" x14ac:dyDescent="0.25">
      <c r="A11146" s="15"/>
    </row>
    <row r="11147" spans="1:1" x14ac:dyDescent="0.25">
      <c r="A11147" s="15"/>
    </row>
    <row r="11148" spans="1:1" x14ac:dyDescent="0.25">
      <c r="A11148" s="15"/>
    </row>
    <row r="11149" spans="1:1" x14ac:dyDescent="0.25">
      <c r="A11149" s="15"/>
    </row>
    <row r="11150" spans="1:1" x14ac:dyDescent="0.25">
      <c r="A11150" s="15"/>
    </row>
    <row r="11151" spans="1:1" x14ac:dyDescent="0.25">
      <c r="A11151" s="15"/>
    </row>
    <row r="11152" spans="1:1" x14ac:dyDescent="0.25">
      <c r="A11152" s="15"/>
    </row>
    <row r="11153" spans="1:1" x14ac:dyDescent="0.25">
      <c r="A11153" s="15"/>
    </row>
    <row r="11154" spans="1:1" x14ac:dyDescent="0.25">
      <c r="A11154" s="15"/>
    </row>
    <row r="11155" spans="1:1" x14ac:dyDescent="0.25">
      <c r="A11155" s="15"/>
    </row>
    <row r="11156" spans="1:1" x14ac:dyDescent="0.25">
      <c r="A11156" s="15"/>
    </row>
    <row r="11157" spans="1:1" x14ac:dyDescent="0.25">
      <c r="A11157" s="15"/>
    </row>
    <row r="11158" spans="1:1" x14ac:dyDescent="0.25">
      <c r="A11158" s="15"/>
    </row>
    <row r="11159" spans="1:1" x14ac:dyDescent="0.25">
      <c r="A11159" s="15"/>
    </row>
    <row r="11160" spans="1:1" x14ac:dyDescent="0.25">
      <c r="A11160" s="15"/>
    </row>
    <row r="11161" spans="1:1" x14ac:dyDescent="0.25">
      <c r="A11161" s="15"/>
    </row>
    <row r="11162" spans="1:1" x14ac:dyDescent="0.25">
      <c r="A11162" s="15"/>
    </row>
    <row r="11163" spans="1:1" x14ac:dyDescent="0.25">
      <c r="A11163" s="15"/>
    </row>
    <row r="11164" spans="1:1" x14ac:dyDescent="0.25">
      <c r="A11164" s="15"/>
    </row>
    <row r="11165" spans="1:1" x14ac:dyDescent="0.25">
      <c r="A11165" s="15"/>
    </row>
    <row r="11166" spans="1:1" x14ac:dyDescent="0.25">
      <c r="A11166" s="15"/>
    </row>
    <row r="11167" spans="1:1" x14ac:dyDescent="0.25">
      <c r="A11167" s="15"/>
    </row>
    <row r="11168" spans="1:1" x14ac:dyDescent="0.25">
      <c r="A11168" s="15"/>
    </row>
    <row r="11169" spans="1:1" x14ac:dyDescent="0.25">
      <c r="A11169" s="15"/>
    </row>
    <row r="11170" spans="1:1" x14ac:dyDescent="0.25">
      <c r="A11170" s="15"/>
    </row>
    <row r="11171" spans="1:1" x14ac:dyDescent="0.25">
      <c r="A11171" s="15"/>
    </row>
    <row r="11172" spans="1:1" x14ac:dyDescent="0.25">
      <c r="A11172" s="15"/>
    </row>
    <row r="11173" spans="1:1" x14ac:dyDescent="0.25">
      <c r="A11173" s="15"/>
    </row>
    <row r="11174" spans="1:1" x14ac:dyDescent="0.25">
      <c r="A11174" s="15"/>
    </row>
    <row r="11175" spans="1:1" x14ac:dyDescent="0.25">
      <c r="A11175" s="15"/>
    </row>
    <row r="11176" spans="1:1" x14ac:dyDescent="0.25">
      <c r="A11176" s="15"/>
    </row>
    <row r="11177" spans="1:1" x14ac:dyDescent="0.25">
      <c r="A11177" s="15"/>
    </row>
    <row r="11178" spans="1:1" x14ac:dyDescent="0.25">
      <c r="A11178" s="15"/>
    </row>
    <row r="11179" spans="1:1" x14ac:dyDescent="0.25">
      <c r="A11179" s="15"/>
    </row>
    <row r="11180" spans="1:1" x14ac:dyDescent="0.25">
      <c r="A11180" s="15"/>
    </row>
    <row r="11181" spans="1:1" x14ac:dyDescent="0.25">
      <c r="A11181" s="15"/>
    </row>
    <row r="11182" spans="1:1" x14ac:dyDescent="0.25">
      <c r="A11182" s="15"/>
    </row>
    <row r="11183" spans="1:1" x14ac:dyDescent="0.25">
      <c r="A11183" s="15"/>
    </row>
    <row r="11184" spans="1:1" x14ac:dyDescent="0.25">
      <c r="A11184" s="15"/>
    </row>
    <row r="11185" spans="1:1" x14ac:dyDescent="0.25">
      <c r="A11185" s="15"/>
    </row>
    <row r="11186" spans="1:1" x14ac:dyDescent="0.25">
      <c r="A11186" s="15"/>
    </row>
    <row r="11187" spans="1:1" x14ac:dyDescent="0.25">
      <c r="A11187" s="15"/>
    </row>
    <row r="11188" spans="1:1" x14ac:dyDescent="0.25">
      <c r="A11188" s="15"/>
    </row>
    <row r="11189" spans="1:1" x14ac:dyDescent="0.25">
      <c r="A11189" s="15"/>
    </row>
    <row r="11190" spans="1:1" x14ac:dyDescent="0.25">
      <c r="A11190" s="15"/>
    </row>
    <row r="11191" spans="1:1" x14ac:dyDescent="0.25">
      <c r="A11191" s="15"/>
    </row>
    <row r="11192" spans="1:1" x14ac:dyDescent="0.25">
      <c r="A11192" s="15"/>
    </row>
    <row r="11193" spans="1:1" x14ac:dyDescent="0.25">
      <c r="A11193" s="15"/>
    </row>
    <row r="11194" spans="1:1" x14ac:dyDescent="0.25">
      <c r="A11194" s="15"/>
    </row>
    <row r="11195" spans="1:1" x14ac:dyDescent="0.25">
      <c r="A11195" s="15"/>
    </row>
    <row r="11196" spans="1:1" x14ac:dyDescent="0.25">
      <c r="A11196" s="15"/>
    </row>
    <row r="11197" spans="1:1" x14ac:dyDescent="0.25">
      <c r="A11197" s="15"/>
    </row>
    <row r="11198" spans="1:1" x14ac:dyDescent="0.25">
      <c r="A11198" s="15"/>
    </row>
    <row r="11199" spans="1:1" x14ac:dyDescent="0.25">
      <c r="A11199" s="15"/>
    </row>
    <row r="11200" spans="1:1" x14ac:dyDescent="0.25">
      <c r="A11200" s="15"/>
    </row>
    <row r="11201" spans="1:1" x14ac:dyDescent="0.25">
      <c r="A11201" s="15"/>
    </row>
    <row r="11202" spans="1:1" x14ac:dyDescent="0.25">
      <c r="A11202" s="15"/>
    </row>
    <row r="11203" spans="1:1" x14ac:dyDescent="0.25">
      <c r="A11203" s="15"/>
    </row>
    <row r="11204" spans="1:1" x14ac:dyDescent="0.25">
      <c r="A11204" s="15"/>
    </row>
    <row r="11205" spans="1:1" x14ac:dyDescent="0.25">
      <c r="A11205" s="15"/>
    </row>
    <row r="11206" spans="1:1" x14ac:dyDescent="0.25">
      <c r="A11206" s="15"/>
    </row>
    <row r="11207" spans="1:1" x14ac:dyDescent="0.25">
      <c r="A11207" s="15"/>
    </row>
    <row r="11208" spans="1:1" x14ac:dyDescent="0.25">
      <c r="A11208" s="15"/>
    </row>
    <row r="11209" spans="1:1" x14ac:dyDescent="0.25">
      <c r="A11209" s="15"/>
    </row>
    <row r="11210" spans="1:1" x14ac:dyDescent="0.25">
      <c r="A11210" s="15"/>
    </row>
    <row r="11211" spans="1:1" x14ac:dyDescent="0.25">
      <c r="A11211" s="15"/>
    </row>
    <row r="11212" spans="1:1" x14ac:dyDescent="0.25">
      <c r="A11212" s="15"/>
    </row>
    <row r="11213" spans="1:1" x14ac:dyDescent="0.25">
      <c r="A11213" s="15"/>
    </row>
    <row r="11214" spans="1:1" x14ac:dyDescent="0.25">
      <c r="A11214" s="15"/>
    </row>
    <row r="11215" spans="1:1" x14ac:dyDescent="0.25">
      <c r="A11215" s="15"/>
    </row>
    <row r="11216" spans="1:1" x14ac:dyDescent="0.25">
      <c r="A11216" s="15"/>
    </row>
    <row r="11217" spans="1:1" x14ac:dyDescent="0.25">
      <c r="A11217" s="15"/>
    </row>
    <row r="11218" spans="1:1" x14ac:dyDescent="0.25">
      <c r="A11218" s="15"/>
    </row>
    <row r="11219" spans="1:1" x14ac:dyDescent="0.25">
      <c r="A11219" s="15"/>
    </row>
    <row r="11220" spans="1:1" x14ac:dyDescent="0.25">
      <c r="A11220" s="15"/>
    </row>
    <row r="11221" spans="1:1" x14ac:dyDescent="0.25">
      <c r="A11221" s="15"/>
    </row>
    <row r="11222" spans="1:1" x14ac:dyDescent="0.25">
      <c r="A11222" s="15"/>
    </row>
    <row r="11223" spans="1:1" x14ac:dyDescent="0.25">
      <c r="A11223" s="15"/>
    </row>
    <row r="11224" spans="1:1" x14ac:dyDescent="0.25">
      <c r="A11224" s="15"/>
    </row>
    <row r="11225" spans="1:1" x14ac:dyDescent="0.25">
      <c r="A11225" s="15"/>
    </row>
    <row r="11226" spans="1:1" x14ac:dyDescent="0.25">
      <c r="A11226" s="15"/>
    </row>
    <row r="11227" spans="1:1" x14ac:dyDescent="0.25">
      <c r="A11227" s="15"/>
    </row>
    <row r="11228" spans="1:1" x14ac:dyDescent="0.25">
      <c r="A11228" s="15"/>
    </row>
    <row r="11229" spans="1:1" x14ac:dyDescent="0.25">
      <c r="A11229" s="15"/>
    </row>
    <row r="11230" spans="1:1" x14ac:dyDescent="0.25">
      <c r="A11230" s="15"/>
    </row>
    <row r="11231" spans="1:1" x14ac:dyDescent="0.25">
      <c r="A11231" s="15"/>
    </row>
    <row r="11232" spans="1:1" x14ac:dyDescent="0.25">
      <c r="A11232" s="15"/>
    </row>
    <row r="11233" spans="1:1" x14ac:dyDescent="0.25">
      <c r="A11233" s="15"/>
    </row>
    <row r="11234" spans="1:1" x14ac:dyDescent="0.25">
      <c r="A11234" s="15"/>
    </row>
    <row r="11235" spans="1:1" x14ac:dyDescent="0.25">
      <c r="A11235" s="15"/>
    </row>
    <row r="11236" spans="1:1" x14ac:dyDescent="0.25">
      <c r="A11236" s="15"/>
    </row>
    <row r="11237" spans="1:1" x14ac:dyDescent="0.25">
      <c r="A11237" s="15"/>
    </row>
    <row r="11238" spans="1:1" x14ac:dyDescent="0.25">
      <c r="A11238" s="15"/>
    </row>
    <row r="11239" spans="1:1" x14ac:dyDescent="0.25">
      <c r="A11239" s="15"/>
    </row>
    <row r="11240" spans="1:1" x14ac:dyDescent="0.25">
      <c r="A11240" s="15"/>
    </row>
    <row r="11241" spans="1:1" x14ac:dyDescent="0.25">
      <c r="A11241" s="15"/>
    </row>
    <row r="11242" spans="1:1" x14ac:dyDescent="0.25">
      <c r="A11242" s="15"/>
    </row>
    <row r="11243" spans="1:1" x14ac:dyDescent="0.25">
      <c r="A11243" s="15"/>
    </row>
    <row r="11244" spans="1:1" x14ac:dyDescent="0.25">
      <c r="A11244" s="15"/>
    </row>
    <row r="11245" spans="1:1" x14ac:dyDescent="0.25">
      <c r="A11245" s="15"/>
    </row>
    <row r="11246" spans="1:1" x14ac:dyDescent="0.25">
      <c r="A11246" s="15"/>
    </row>
    <row r="11247" spans="1:1" x14ac:dyDescent="0.25">
      <c r="A11247" s="15"/>
    </row>
    <row r="11248" spans="1:1" x14ac:dyDescent="0.25">
      <c r="A11248" s="15"/>
    </row>
    <row r="11249" spans="1:1" x14ac:dyDescent="0.25">
      <c r="A11249" s="15"/>
    </row>
    <row r="11250" spans="1:1" x14ac:dyDescent="0.25">
      <c r="A11250" s="15"/>
    </row>
    <row r="11251" spans="1:1" x14ac:dyDescent="0.25">
      <c r="A11251" s="15"/>
    </row>
    <row r="11252" spans="1:1" x14ac:dyDescent="0.25">
      <c r="A11252" s="15"/>
    </row>
    <row r="11253" spans="1:1" x14ac:dyDescent="0.25">
      <c r="A11253" s="15"/>
    </row>
    <row r="11254" spans="1:1" x14ac:dyDescent="0.25">
      <c r="A11254" s="15"/>
    </row>
    <row r="11255" spans="1:1" x14ac:dyDescent="0.25">
      <c r="A11255" s="15"/>
    </row>
    <row r="11256" spans="1:1" x14ac:dyDescent="0.25">
      <c r="A11256" s="15"/>
    </row>
    <row r="11257" spans="1:1" x14ac:dyDescent="0.25">
      <c r="A11257" s="15"/>
    </row>
    <row r="11258" spans="1:1" x14ac:dyDescent="0.25">
      <c r="A11258" s="15"/>
    </row>
    <row r="11259" spans="1:1" x14ac:dyDescent="0.25">
      <c r="A11259" s="15"/>
    </row>
    <row r="11260" spans="1:1" x14ac:dyDescent="0.25">
      <c r="A11260" s="15"/>
    </row>
    <row r="11261" spans="1:1" x14ac:dyDescent="0.25">
      <c r="A11261" s="15"/>
    </row>
    <row r="11262" spans="1:1" x14ac:dyDescent="0.25">
      <c r="A11262" s="15"/>
    </row>
    <row r="11263" spans="1:1" x14ac:dyDescent="0.25">
      <c r="A11263" s="15"/>
    </row>
    <row r="11264" spans="1:1" x14ac:dyDescent="0.25">
      <c r="A11264" s="15"/>
    </row>
    <row r="11265" spans="1:1" x14ac:dyDescent="0.25">
      <c r="A11265" s="15"/>
    </row>
    <row r="11266" spans="1:1" x14ac:dyDescent="0.25">
      <c r="A11266" s="15"/>
    </row>
    <row r="11267" spans="1:1" x14ac:dyDescent="0.25">
      <c r="A11267" s="15"/>
    </row>
    <row r="11268" spans="1:1" x14ac:dyDescent="0.25">
      <c r="A11268" s="15"/>
    </row>
    <row r="11269" spans="1:1" x14ac:dyDescent="0.25">
      <c r="A11269" s="15"/>
    </row>
    <row r="11270" spans="1:1" x14ac:dyDescent="0.25">
      <c r="A11270" s="15"/>
    </row>
    <row r="11271" spans="1:1" x14ac:dyDescent="0.25">
      <c r="A11271" s="15"/>
    </row>
    <row r="11272" spans="1:1" x14ac:dyDescent="0.25">
      <c r="A11272" s="15"/>
    </row>
    <row r="11273" spans="1:1" x14ac:dyDescent="0.25">
      <c r="A11273" s="15"/>
    </row>
    <row r="11274" spans="1:1" x14ac:dyDescent="0.25">
      <c r="A11274" s="15"/>
    </row>
    <row r="11275" spans="1:1" x14ac:dyDescent="0.25">
      <c r="A11275" s="15"/>
    </row>
    <row r="11276" spans="1:1" x14ac:dyDescent="0.25">
      <c r="A11276" s="15"/>
    </row>
    <row r="11277" spans="1:1" x14ac:dyDescent="0.25">
      <c r="A11277" s="15"/>
    </row>
    <row r="11278" spans="1:1" x14ac:dyDescent="0.25">
      <c r="A11278" s="15"/>
    </row>
    <row r="11279" spans="1:1" x14ac:dyDescent="0.25">
      <c r="A11279" s="15"/>
    </row>
    <row r="11280" spans="1:1" x14ac:dyDescent="0.25">
      <c r="A11280" s="15"/>
    </row>
    <row r="11281" spans="1:1" x14ac:dyDescent="0.25">
      <c r="A11281" s="15"/>
    </row>
    <row r="11282" spans="1:1" x14ac:dyDescent="0.25">
      <c r="A11282" s="15"/>
    </row>
    <row r="11283" spans="1:1" x14ac:dyDescent="0.25">
      <c r="A11283" s="15"/>
    </row>
    <row r="11284" spans="1:1" x14ac:dyDescent="0.25">
      <c r="A11284" s="15"/>
    </row>
    <row r="11285" spans="1:1" x14ac:dyDescent="0.25">
      <c r="A11285" s="15"/>
    </row>
    <row r="11286" spans="1:1" x14ac:dyDescent="0.25">
      <c r="A11286" s="15"/>
    </row>
    <row r="11287" spans="1:1" x14ac:dyDescent="0.25">
      <c r="A11287" s="15"/>
    </row>
    <row r="11288" spans="1:1" x14ac:dyDescent="0.25">
      <c r="A11288" s="15"/>
    </row>
    <row r="11289" spans="1:1" x14ac:dyDescent="0.25">
      <c r="A11289" s="15"/>
    </row>
    <row r="11290" spans="1:1" x14ac:dyDescent="0.25">
      <c r="A11290" s="15"/>
    </row>
    <row r="11291" spans="1:1" x14ac:dyDescent="0.25">
      <c r="A11291" s="15"/>
    </row>
    <row r="11292" spans="1:1" x14ac:dyDescent="0.25">
      <c r="A11292" s="15"/>
    </row>
    <row r="11293" spans="1:1" x14ac:dyDescent="0.25">
      <c r="A11293" s="15"/>
    </row>
    <row r="11294" spans="1:1" x14ac:dyDescent="0.25">
      <c r="A11294" s="15"/>
    </row>
    <row r="11295" spans="1:1" x14ac:dyDescent="0.25">
      <c r="A11295" s="15"/>
    </row>
    <row r="11296" spans="1:1" x14ac:dyDescent="0.25">
      <c r="A11296" s="15"/>
    </row>
    <row r="11297" spans="1:1" x14ac:dyDescent="0.25">
      <c r="A11297" s="15"/>
    </row>
    <row r="11298" spans="1:1" x14ac:dyDescent="0.25">
      <c r="A11298" s="15"/>
    </row>
    <row r="11299" spans="1:1" x14ac:dyDescent="0.25">
      <c r="A11299" s="15"/>
    </row>
    <row r="11300" spans="1:1" x14ac:dyDescent="0.25">
      <c r="A11300" s="15"/>
    </row>
    <row r="11301" spans="1:1" x14ac:dyDescent="0.25">
      <c r="A11301" s="15"/>
    </row>
    <row r="11302" spans="1:1" x14ac:dyDescent="0.25">
      <c r="A11302" s="15"/>
    </row>
    <row r="11303" spans="1:1" x14ac:dyDescent="0.25">
      <c r="A11303" s="15"/>
    </row>
    <row r="11304" spans="1:1" x14ac:dyDescent="0.25">
      <c r="A11304" s="15"/>
    </row>
    <row r="11305" spans="1:1" x14ac:dyDescent="0.25">
      <c r="A11305" s="15"/>
    </row>
    <row r="11306" spans="1:1" x14ac:dyDescent="0.25">
      <c r="A11306" s="15"/>
    </row>
    <row r="11307" spans="1:1" x14ac:dyDescent="0.25">
      <c r="A11307" s="15"/>
    </row>
    <row r="11308" spans="1:1" x14ac:dyDescent="0.25">
      <c r="A11308" s="15"/>
    </row>
    <row r="11309" spans="1:1" x14ac:dyDescent="0.25">
      <c r="A11309" s="15"/>
    </row>
    <row r="11310" spans="1:1" x14ac:dyDescent="0.25">
      <c r="A11310" s="15"/>
    </row>
    <row r="11311" spans="1:1" x14ac:dyDescent="0.25">
      <c r="A11311" s="15"/>
    </row>
    <row r="11312" spans="1:1" x14ac:dyDescent="0.25">
      <c r="A11312" s="15"/>
    </row>
    <row r="11313" spans="1:1" x14ac:dyDescent="0.25">
      <c r="A11313" s="15"/>
    </row>
    <row r="11314" spans="1:1" x14ac:dyDescent="0.25">
      <c r="A11314" s="15"/>
    </row>
    <row r="11315" spans="1:1" x14ac:dyDescent="0.25">
      <c r="A11315" s="15"/>
    </row>
    <row r="11316" spans="1:1" x14ac:dyDescent="0.25">
      <c r="A11316" s="15"/>
    </row>
    <row r="11317" spans="1:1" x14ac:dyDescent="0.25">
      <c r="A11317" s="15"/>
    </row>
    <row r="11318" spans="1:1" x14ac:dyDescent="0.25">
      <c r="A11318" s="15"/>
    </row>
    <row r="11319" spans="1:1" x14ac:dyDescent="0.25">
      <c r="A11319" s="15"/>
    </row>
    <row r="11320" spans="1:1" x14ac:dyDescent="0.25">
      <c r="A11320" s="15"/>
    </row>
    <row r="11321" spans="1:1" x14ac:dyDescent="0.25">
      <c r="A11321" s="15"/>
    </row>
    <row r="11322" spans="1:1" x14ac:dyDescent="0.25">
      <c r="A11322" s="15"/>
    </row>
    <row r="11323" spans="1:1" x14ac:dyDescent="0.25">
      <c r="A11323" s="15"/>
    </row>
    <row r="11324" spans="1:1" x14ac:dyDescent="0.25">
      <c r="A11324" s="15"/>
    </row>
    <row r="11325" spans="1:1" x14ac:dyDescent="0.25">
      <c r="A11325" s="15"/>
    </row>
    <row r="11326" spans="1:1" x14ac:dyDescent="0.25">
      <c r="A11326" s="15"/>
    </row>
    <row r="11327" spans="1:1" x14ac:dyDescent="0.25">
      <c r="A11327" s="15"/>
    </row>
    <row r="11328" spans="1:1" x14ac:dyDescent="0.25">
      <c r="A11328" s="15"/>
    </row>
    <row r="11329" spans="1:1" x14ac:dyDescent="0.25">
      <c r="A11329" s="15"/>
    </row>
    <row r="11330" spans="1:1" x14ac:dyDescent="0.25">
      <c r="A11330" s="15"/>
    </row>
    <row r="11331" spans="1:1" x14ac:dyDescent="0.25">
      <c r="A11331" s="15"/>
    </row>
    <row r="11332" spans="1:1" x14ac:dyDescent="0.25">
      <c r="A11332" s="15"/>
    </row>
    <row r="11333" spans="1:1" x14ac:dyDescent="0.25">
      <c r="A11333" s="15"/>
    </row>
    <row r="11334" spans="1:1" x14ac:dyDescent="0.25">
      <c r="A11334" s="15"/>
    </row>
    <row r="11335" spans="1:1" x14ac:dyDescent="0.25">
      <c r="A11335" s="15"/>
    </row>
    <row r="11336" spans="1:1" x14ac:dyDescent="0.25">
      <c r="A11336" s="15"/>
    </row>
    <row r="11337" spans="1:1" x14ac:dyDescent="0.25">
      <c r="A11337" s="15"/>
    </row>
    <row r="11338" spans="1:1" x14ac:dyDescent="0.25">
      <c r="A11338" s="15"/>
    </row>
    <row r="11339" spans="1:1" x14ac:dyDescent="0.25">
      <c r="A11339" s="15"/>
    </row>
    <row r="11340" spans="1:1" x14ac:dyDescent="0.25">
      <c r="A11340" s="15"/>
    </row>
    <row r="11341" spans="1:1" x14ac:dyDescent="0.25">
      <c r="A11341" s="15"/>
    </row>
    <row r="11342" spans="1:1" x14ac:dyDescent="0.25">
      <c r="A11342" s="15"/>
    </row>
    <row r="11343" spans="1:1" x14ac:dyDescent="0.25">
      <c r="A11343" s="15"/>
    </row>
    <row r="11344" spans="1:1" x14ac:dyDescent="0.25">
      <c r="A11344" s="15"/>
    </row>
    <row r="11345" spans="1:1" x14ac:dyDescent="0.25">
      <c r="A11345" s="15"/>
    </row>
    <row r="11346" spans="1:1" x14ac:dyDescent="0.25">
      <c r="A11346" s="15"/>
    </row>
    <row r="11347" spans="1:1" x14ac:dyDescent="0.25">
      <c r="A11347" s="15"/>
    </row>
    <row r="11348" spans="1:1" x14ac:dyDescent="0.25">
      <c r="A11348" s="15"/>
    </row>
    <row r="11349" spans="1:1" x14ac:dyDescent="0.25">
      <c r="A11349" s="15"/>
    </row>
    <row r="11350" spans="1:1" x14ac:dyDescent="0.25">
      <c r="A11350" s="15"/>
    </row>
    <row r="11351" spans="1:1" x14ac:dyDescent="0.25">
      <c r="A11351" s="15"/>
    </row>
    <row r="11352" spans="1:1" x14ac:dyDescent="0.25">
      <c r="A11352" s="15"/>
    </row>
    <row r="11353" spans="1:1" x14ac:dyDescent="0.25">
      <c r="A11353" s="15"/>
    </row>
    <row r="11354" spans="1:1" x14ac:dyDescent="0.25">
      <c r="A11354" s="15"/>
    </row>
    <row r="11355" spans="1:1" x14ac:dyDescent="0.25">
      <c r="A11355" s="15"/>
    </row>
    <row r="11356" spans="1:1" x14ac:dyDescent="0.25">
      <c r="A11356" s="15"/>
    </row>
    <row r="11357" spans="1:1" x14ac:dyDescent="0.25">
      <c r="A11357" s="15"/>
    </row>
    <row r="11358" spans="1:1" x14ac:dyDescent="0.25">
      <c r="A11358" s="15"/>
    </row>
    <row r="11359" spans="1:1" x14ac:dyDescent="0.25">
      <c r="A11359" s="15"/>
    </row>
    <row r="11360" spans="1:1" x14ac:dyDescent="0.25">
      <c r="A11360" s="15"/>
    </row>
    <row r="11361" spans="1:1" x14ac:dyDescent="0.25">
      <c r="A11361" s="15"/>
    </row>
    <row r="11362" spans="1:1" x14ac:dyDescent="0.25">
      <c r="A11362" s="15"/>
    </row>
    <row r="11363" spans="1:1" x14ac:dyDescent="0.25">
      <c r="A11363" s="15"/>
    </row>
    <row r="11364" spans="1:1" x14ac:dyDescent="0.25">
      <c r="A11364" s="15"/>
    </row>
    <row r="11365" spans="1:1" x14ac:dyDescent="0.25">
      <c r="A11365" s="15"/>
    </row>
    <row r="11366" spans="1:1" x14ac:dyDescent="0.25">
      <c r="A11366" s="15"/>
    </row>
    <row r="11367" spans="1:1" x14ac:dyDescent="0.25">
      <c r="A11367" s="15"/>
    </row>
    <row r="11368" spans="1:1" x14ac:dyDescent="0.25">
      <c r="A11368" s="15"/>
    </row>
    <row r="11369" spans="1:1" x14ac:dyDescent="0.25">
      <c r="A11369" s="15"/>
    </row>
    <row r="11370" spans="1:1" x14ac:dyDescent="0.25">
      <c r="A11370" s="15"/>
    </row>
    <row r="11371" spans="1:1" x14ac:dyDescent="0.25">
      <c r="A11371" s="15"/>
    </row>
    <row r="11372" spans="1:1" x14ac:dyDescent="0.25">
      <c r="A11372" s="15"/>
    </row>
    <row r="11373" spans="1:1" x14ac:dyDescent="0.25">
      <c r="A11373" s="15"/>
    </row>
    <row r="11374" spans="1:1" x14ac:dyDescent="0.25">
      <c r="A11374" s="15"/>
    </row>
    <row r="11375" spans="1:1" x14ac:dyDescent="0.25">
      <c r="A11375" s="15"/>
    </row>
    <row r="11376" spans="1:1" x14ac:dyDescent="0.25">
      <c r="A11376" s="15"/>
    </row>
    <row r="11377" spans="1:1" x14ac:dyDescent="0.25">
      <c r="A11377" s="15"/>
    </row>
    <row r="11378" spans="1:1" x14ac:dyDescent="0.25">
      <c r="A11378" s="15"/>
    </row>
    <row r="11379" spans="1:1" x14ac:dyDescent="0.25">
      <c r="A11379" s="15"/>
    </row>
    <row r="11380" spans="1:1" x14ac:dyDescent="0.25">
      <c r="A11380" s="15"/>
    </row>
    <row r="11381" spans="1:1" x14ac:dyDescent="0.25">
      <c r="A11381" s="15"/>
    </row>
    <row r="11382" spans="1:1" x14ac:dyDescent="0.25">
      <c r="A11382" s="15"/>
    </row>
    <row r="11383" spans="1:1" x14ac:dyDescent="0.25">
      <c r="A11383" s="15"/>
    </row>
    <row r="11384" spans="1:1" x14ac:dyDescent="0.25">
      <c r="A11384" s="15"/>
    </row>
    <row r="11385" spans="1:1" x14ac:dyDescent="0.25">
      <c r="A11385" s="15"/>
    </row>
    <row r="11386" spans="1:1" x14ac:dyDescent="0.25">
      <c r="A11386" s="15"/>
    </row>
    <row r="11387" spans="1:1" x14ac:dyDescent="0.25">
      <c r="A11387" s="15"/>
    </row>
    <row r="11388" spans="1:1" x14ac:dyDescent="0.25">
      <c r="A11388" s="15"/>
    </row>
    <row r="11389" spans="1:1" x14ac:dyDescent="0.25">
      <c r="A11389" s="15"/>
    </row>
    <row r="11390" spans="1:1" x14ac:dyDescent="0.25">
      <c r="A11390" s="15"/>
    </row>
    <row r="11391" spans="1:1" x14ac:dyDescent="0.25">
      <c r="A11391" s="15"/>
    </row>
    <row r="11392" spans="1:1" x14ac:dyDescent="0.25">
      <c r="A11392" s="15"/>
    </row>
    <row r="11393" spans="1:1" x14ac:dyDescent="0.25">
      <c r="A11393" s="15"/>
    </row>
    <row r="11394" spans="1:1" x14ac:dyDescent="0.25">
      <c r="A11394" s="15"/>
    </row>
    <row r="11395" spans="1:1" x14ac:dyDescent="0.25">
      <c r="A11395" s="15"/>
    </row>
    <row r="11396" spans="1:1" x14ac:dyDescent="0.25">
      <c r="A11396" s="15"/>
    </row>
    <row r="11397" spans="1:1" x14ac:dyDescent="0.25">
      <c r="A11397" s="15"/>
    </row>
    <row r="11398" spans="1:1" x14ac:dyDescent="0.25">
      <c r="A11398" s="15"/>
    </row>
    <row r="11399" spans="1:1" x14ac:dyDescent="0.25">
      <c r="A11399" s="15"/>
    </row>
    <row r="11400" spans="1:1" x14ac:dyDescent="0.25">
      <c r="A11400" s="15"/>
    </row>
    <row r="11401" spans="1:1" x14ac:dyDescent="0.25">
      <c r="A11401" s="15"/>
    </row>
    <row r="11402" spans="1:1" x14ac:dyDescent="0.25">
      <c r="A11402" s="15"/>
    </row>
    <row r="11403" spans="1:1" x14ac:dyDescent="0.25">
      <c r="A11403" s="15"/>
    </row>
    <row r="11404" spans="1:1" x14ac:dyDescent="0.25">
      <c r="A11404" s="15"/>
    </row>
    <row r="11405" spans="1:1" x14ac:dyDescent="0.25">
      <c r="A11405" s="15"/>
    </row>
    <row r="11406" spans="1:1" x14ac:dyDescent="0.25">
      <c r="A11406" s="15"/>
    </row>
    <row r="11407" spans="1:1" x14ac:dyDescent="0.25">
      <c r="A11407" s="15"/>
    </row>
    <row r="11408" spans="1:1" x14ac:dyDescent="0.25">
      <c r="A11408" s="15"/>
    </row>
    <row r="11409" spans="1:1" x14ac:dyDescent="0.25">
      <c r="A11409" s="15"/>
    </row>
    <row r="11410" spans="1:1" x14ac:dyDescent="0.25">
      <c r="A11410" s="15"/>
    </row>
    <row r="11411" spans="1:1" x14ac:dyDescent="0.25">
      <c r="A11411" s="15"/>
    </row>
    <row r="11412" spans="1:1" x14ac:dyDescent="0.25">
      <c r="A11412" s="15"/>
    </row>
    <row r="11413" spans="1:1" x14ac:dyDescent="0.25">
      <c r="A11413" s="15"/>
    </row>
    <row r="11414" spans="1:1" x14ac:dyDescent="0.25">
      <c r="A11414" s="15"/>
    </row>
    <row r="11415" spans="1:1" x14ac:dyDescent="0.25">
      <c r="A11415" s="15"/>
    </row>
    <row r="11416" spans="1:1" x14ac:dyDescent="0.25">
      <c r="A11416" s="15"/>
    </row>
    <row r="11417" spans="1:1" x14ac:dyDescent="0.25">
      <c r="A11417" s="15"/>
    </row>
    <row r="11418" spans="1:1" x14ac:dyDescent="0.25">
      <c r="A11418" s="15"/>
    </row>
    <row r="11419" spans="1:1" x14ac:dyDescent="0.25">
      <c r="A11419" s="15"/>
    </row>
    <row r="11420" spans="1:1" x14ac:dyDescent="0.25">
      <c r="A11420" s="15"/>
    </row>
    <row r="11421" spans="1:1" x14ac:dyDescent="0.25">
      <c r="A11421" s="15"/>
    </row>
    <row r="11422" spans="1:1" x14ac:dyDescent="0.25">
      <c r="A11422" s="15"/>
    </row>
    <row r="11423" spans="1:1" x14ac:dyDescent="0.25">
      <c r="A11423" s="15"/>
    </row>
    <row r="11424" spans="1:1" x14ac:dyDescent="0.25">
      <c r="A11424" s="15"/>
    </row>
    <row r="11425" spans="1:1" x14ac:dyDescent="0.25">
      <c r="A11425" s="15"/>
    </row>
    <row r="11426" spans="1:1" x14ac:dyDescent="0.25">
      <c r="A11426" s="15"/>
    </row>
    <row r="11427" spans="1:1" x14ac:dyDescent="0.25">
      <c r="A11427" s="15"/>
    </row>
    <row r="11428" spans="1:1" x14ac:dyDescent="0.25">
      <c r="A11428" s="15"/>
    </row>
    <row r="11429" spans="1:1" x14ac:dyDescent="0.25">
      <c r="A11429" s="15"/>
    </row>
    <row r="11430" spans="1:1" x14ac:dyDescent="0.25">
      <c r="A11430" s="15"/>
    </row>
    <row r="11431" spans="1:1" x14ac:dyDescent="0.25">
      <c r="A11431" s="15"/>
    </row>
    <row r="11432" spans="1:1" x14ac:dyDescent="0.25">
      <c r="A11432" s="15"/>
    </row>
    <row r="11433" spans="1:1" x14ac:dyDescent="0.25">
      <c r="A11433" s="15"/>
    </row>
    <row r="11434" spans="1:1" x14ac:dyDescent="0.25">
      <c r="A11434" s="15"/>
    </row>
    <row r="11435" spans="1:1" x14ac:dyDescent="0.25">
      <c r="A11435" s="15"/>
    </row>
    <row r="11436" spans="1:1" x14ac:dyDescent="0.25">
      <c r="A11436" s="15"/>
    </row>
    <row r="11437" spans="1:1" x14ac:dyDescent="0.25">
      <c r="A11437" s="15"/>
    </row>
    <row r="11438" spans="1:1" x14ac:dyDescent="0.25">
      <c r="A11438" s="15"/>
    </row>
    <row r="11439" spans="1:1" x14ac:dyDescent="0.25">
      <c r="A11439" s="15"/>
    </row>
    <row r="11440" spans="1:1" x14ac:dyDescent="0.25">
      <c r="A11440" s="15"/>
    </row>
    <row r="11441" spans="1:1" x14ac:dyDescent="0.25">
      <c r="A11441" s="15"/>
    </row>
    <row r="11442" spans="1:1" x14ac:dyDescent="0.25">
      <c r="A11442" s="15"/>
    </row>
    <row r="11443" spans="1:1" x14ac:dyDescent="0.25">
      <c r="A11443" s="15"/>
    </row>
    <row r="11444" spans="1:1" x14ac:dyDescent="0.25">
      <c r="A11444" s="15"/>
    </row>
    <row r="11445" spans="1:1" x14ac:dyDescent="0.25">
      <c r="A11445" s="15"/>
    </row>
    <row r="11446" spans="1:1" x14ac:dyDescent="0.25">
      <c r="A11446" s="15"/>
    </row>
    <row r="11447" spans="1:1" x14ac:dyDescent="0.25">
      <c r="A11447" s="15"/>
    </row>
    <row r="11448" spans="1:1" x14ac:dyDescent="0.25">
      <c r="A11448" s="15"/>
    </row>
    <row r="11449" spans="1:1" x14ac:dyDescent="0.25">
      <c r="A11449" s="15"/>
    </row>
    <row r="11450" spans="1:1" x14ac:dyDescent="0.25">
      <c r="A11450" s="15"/>
    </row>
    <row r="11451" spans="1:1" x14ac:dyDescent="0.25">
      <c r="A11451" s="15"/>
    </row>
    <row r="11452" spans="1:1" x14ac:dyDescent="0.25">
      <c r="A11452" s="15"/>
    </row>
    <row r="11453" spans="1:1" x14ac:dyDescent="0.25">
      <c r="A11453" s="15"/>
    </row>
    <row r="11454" spans="1:1" x14ac:dyDescent="0.25">
      <c r="A11454" s="15"/>
    </row>
    <row r="11455" spans="1:1" x14ac:dyDescent="0.25">
      <c r="A11455" s="15"/>
    </row>
    <row r="11456" spans="1:1" x14ac:dyDescent="0.25">
      <c r="A11456" s="15"/>
    </row>
    <row r="11457" spans="1:1" x14ac:dyDescent="0.25">
      <c r="A11457" s="15"/>
    </row>
    <row r="11458" spans="1:1" x14ac:dyDescent="0.25">
      <c r="A11458" s="15"/>
    </row>
    <row r="11459" spans="1:1" x14ac:dyDescent="0.25">
      <c r="A11459" s="15"/>
    </row>
    <row r="11460" spans="1:1" x14ac:dyDescent="0.25">
      <c r="A11460" s="15"/>
    </row>
    <row r="11461" spans="1:1" x14ac:dyDescent="0.25">
      <c r="A11461" s="15"/>
    </row>
    <row r="11462" spans="1:1" x14ac:dyDescent="0.25">
      <c r="A11462" s="15"/>
    </row>
    <row r="11463" spans="1:1" x14ac:dyDescent="0.25">
      <c r="A11463" s="15"/>
    </row>
    <row r="11464" spans="1:1" x14ac:dyDescent="0.25">
      <c r="A11464" s="15"/>
    </row>
    <row r="11465" spans="1:1" x14ac:dyDescent="0.25">
      <c r="A11465" s="15"/>
    </row>
    <row r="11466" spans="1:1" x14ac:dyDescent="0.25">
      <c r="A11466" s="15"/>
    </row>
    <row r="11467" spans="1:1" x14ac:dyDescent="0.25">
      <c r="A11467" s="15"/>
    </row>
    <row r="11468" spans="1:1" x14ac:dyDescent="0.25">
      <c r="A11468" s="15"/>
    </row>
    <row r="11469" spans="1:1" x14ac:dyDescent="0.25">
      <c r="A11469" s="15"/>
    </row>
    <row r="11470" spans="1:1" x14ac:dyDescent="0.25">
      <c r="A11470" s="15"/>
    </row>
    <row r="11471" spans="1:1" x14ac:dyDescent="0.25">
      <c r="A11471" s="15"/>
    </row>
    <row r="11472" spans="1:1" x14ac:dyDescent="0.25">
      <c r="A11472" s="15"/>
    </row>
    <row r="11473" spans="1:1" x14ac:dyDescent="0.25">
      <c r="A11473" s="15"/>
    </row>
    <row r="11474" spans="1:1" x14ac:dyDescent="0.25">
      <c r="A11474" s="15"/>
    </row>
    <row r="11475" spans="1:1" x14ac:dyDescent="0.25">
      <c r="A11475" s="15"/>
    </row>
    <row r="11476" spans="1:1" x14ac:dyDescent="0.25">
      <c r="A11476" s="15"/>
    </row>
    <row r="11477" spans="1:1" x14ac:dyDescent="0.25">
      <c r="A11477" s="15"/>
    </row>
    <row r="11478" spans="1:1" x14ac:dyDescent="0.25">
      <c r="A11478" s="15"/>
    </row>
    <row r="11479" spans="1:1" x14ac:dyDescent="0.25">
      <c r="A11479" s="15"/>
    </row>
    <row r="11480" spans="1:1" x14ac:dyDescent="0.25">
      <c r="A11480" s="15"/>
    </row>
    <row r="11481" spans="1:1" x14ac:dyDescent="0.25">
      <c r="A11481" s="15"/>
    </row>
    <row r="11482" spans="1:1" x14ac:dyDescent="0.25">
      <c r="A11482" s="15"/>
    </row>
    <row r="11483" spans="1:1" x14ac:dyDescent="0.25">
      <c r="A11483" s="15"/>
    </row>
    <row r="11484" spans="1:1" x14ac:dyDescent="0.25">
      <c r="A11484" s="15"/>
    </row>
    <row r="11485" spans="1:1" x14ac:dyDescent="0.25">
      <c r="A11485" s="15"/>
    </row>
    <row r="11486" spans="1:1" x14ac:dyDescent="0.25">
      <c r="A11486" s="15"/>
    </row>
    <row r="11487" spans="1:1" x14ac:dyDescent="0.25">
      <c r="A11487" s="15"/>
    </row>
    <row r="11488" spans="1:1" x14ac:dyDescent="0.25">
      <c r="A11488" s="15"/>
    </row>
    <row r="11489" spans="1:1" x14ac:dyDescent="0.25">
      <c r="A11489" s="15"/>
    </row>
    <row r="11490" spans="1:1" x14ac:dyDescent="0.25">
      <c r="A11490" s="15"/>
    </row>
    <row r="11491" spans="1:1" x14ac:dyDescent="0.25">
      <c r="A11491" s="15"/>
    </row>
    <row r="11492" spans="1:1" x14ac:dyDescent="0.25">
      <c r="A11492" s="15"/>
    </row>
    <row r="11493" spans="1:1" x14ac:dyDescent="0.25">
      <c r="A11493" s="15"/>
    </row>
    <row r="11494" spans="1:1" x14ac:dyDescent="0.25">
      <c r="A11494" s="15"/>
    </row>
    <row r="11495" spans="1:1" x14ac:dyDescent="0.25">
      <c r="A11495" s="15"/>
    </row>
    <row r="11496" spans="1:1" x14ac:dyDescent="0.25">
      <c r="A11496" s="15"/>
    </row>
    <row r="11497" spans="1:1" x14ac:dyDescent="0.25">
      <c r="A11497" s="15"/>
    </row>
    <row r="11498" spans="1:1" x14ac:dyDescent="0.25">
      <c r="A11498" s="15"/>
    </row>
    <row r="11499" spans="1:1" x14ac:dyDescent="0.25">
      <c r="A11499" s="15"/>
    </row>
    <row r="11500" spans="1:1" x14ac:dyDescent="0.25">
      <c r="A11500" s="15"/>
    </row>
    <row r="11501" spans="1:1" x14ac:dyDescent="0.25">
      <c r="A11501" s="15"/>
    </row>
    <row r="11502" spans="1:1" x14ac:dyDescent="0.25">
      <c r="A11502" s="15"/>
    </row>
    <row r="11503" spans="1:1" x14ac:dyDescent="0.25">
      <c r="A11503" s="15"/>
    </row>
    <row r="11504" spans="1:1" x14ac:dyDescent="0.25">
      <c r="A11504" s="15"/>
    </row>
    <row r="11505" spans="1:1" x14ac:dyDescent="0.25">
      <c r="A11505" s="15"/>
    </row>
    <row r="11506" spans="1:1" x14ac:dyDescent="0.25">
      <c r="A11506" s="15"/>
    </row>
    <row r="11507" spans="1:1" x14ac:dyDescent="0.25">
      <c r="A11507" s="15"/>
    </row>
    <row r="11508" spans="1:1" x14ac:dyDescent="0.25">
      <c r="A11508" s="15"/>
    </row>
    <row r="11509" spans="1:1" x14ac:dyDescent="0.25">
      <c r="A11509" s="15"/>
    </row>
    <row r="11510" spans="1:1" x14ac:dyDescent="0.25">
      <c r="A11510" s="15"/>
    </row>
    <row r="11511" spans="1:1" x14ac:dyDescent="0.25">
      <c r="A11511" s="15"/>
    </row>
    <row r="11512" spans="1:1" x14ac:dyDescent="0.25">
      <c r="A11512" s="15"/>
    </row>
    <row r="11513" spans="1:1" x14ac:dyDescent="0.25">
      <c r="A11513" s="15"/>
    </row>
    <row r="11514" spans="1:1" x14ac:dyDescent="0.25">
      <c r="A11514" s="15"/>
    </row>
    <row r="11515" spans="1:1" x14ac:dyDescent="0.25">
      <c r="A11515" s="15"/>
    </row>
    <row r="11516" spans="1:1" x14ac:dyDescent="0.25">
      <c r="A11516" s="15"/>
    </row>
    <row r="11517" spans="1:1" x14ac:dyDescent="0.25">
      <c r="A11517" s="15"/>
    </row>
    <row r="11518" spans="1:1" x14ac:dyDescent="0.25">
      <c r="A11518" s="15"/>
    </row>
    <row r="11519" spans="1:1" x14ac:dyDescent="0.25">
      <c r="A11519" s="15"/>
    </row>
    <row r="11520" spans="1:1" x14ac:dyDescent="0.25">
      <c r="A11520" s="15"/>
    </row>
    <row r="11521" spans="1:1" x14ac:dyDescent="0.25">
      <c r="A11521" s="15"/>
    </row>
    <row r="11522" spans="1:1" x14ac:dyDescent="0.25">
      <c r="A11522" s="15"/>
    </row>
    <row r="11523" spans="1:1" x14ac:dyDescent="0.25">
      <c r="A11523" s="15"/>
    </row>
    <row r="11524" spans="1:1" x14ac:dyDescent="0.25">
      <c r="A11524" s="15"/>
    </row>
    <row r="11525" spans="1:1" x14ac:dyDescent="0.25">
      <c r="A11525" s="15"/>
    </row>
    <row r="11526" spans="1:1" x14ac:dyDescent="0.25">
      <c r="A11526" s="15"/>
    </row>
    <row r="11527" spans="1:1" x14ac:dyDescent="0.25">
      <c r="A11527" s="15"/>
    </row>
    <row r="11528" spans="1:1" x14ac:dyDescent="0.25">
      <c r="A11528" s="15"/>
    </row>
    <row r="11529" spans="1:1" x14ac:dyDescent="0.25">
      <c r="A11529" s="15"/>
    </row>
    <row r="11530" spans="1:1" x14ac:dyDescent="0.25">
      <c r="A11530" s="15"/>
    </row>
    <row r="11531" spans="1:1" x14ac:dyDescent="0.25">
      <c r="A11531" s="15"/>
    </row>
    <row r="11532" spans="1:1" x14ac:dyDescent="0.25">
      <c r="A11532" s="15"/>
    </row>
    <row r="11533" spans="1:1" x14ac:dyDescent="0.25">
      <c r="A11533" s="15"/>
    </row>
    <row r="11534" spans="1:1" x14ac:dyDescent="0.25">
      <c r="A11534" s="15"/>
    </row>
    <row r="11535" spans="1:1" x14ac:dyDescent="0.25">
      <c r="A11535" s="15"/>
    </row>
    <row r="11536" spans="1:1" x14ac:dyDescent="0.25">
      <c r="A11536" s="15"/>
    </row>
    <row r="11537" spans="1:1" x14ac:dyDescent="0.25">
      <c r="A11537" s="15"/>
    </row>
    <row r="11538" spans="1:1" x14ac:dyDescent="0.25">
      <c r="A11538" s="15"/>
    </row>
    <row r="11539" spans="1:1" x14ac:dyDescent="0.25">
      <c r="A11539" s="15"/>
    </row>
    <row r="11540" spans="1:1" x14ac:dyDescent="0.25">
      <c r="A11540" s="15"/>
    </row>
    <row r="11541" spans="1:1" x14ac:dyDescent="0.25">
      <c r="A11541" s="15"/>
    </row>
    <row r="11542" spans="1:1" x14ac:dyDescent="0.25">
      <c r="A11542" s="15"/>
    </row>
    <row r="11543" spans="1:1" x14ac:dyDescent="0.25">
      <c r="A11543" s="15"/>
    </row>
    <row r="11544" spans="1:1" x14ac:dyDescent="0.25">
      <c r="A11544" s="15"/>
    </row>
    <row r="11545" spans="1:1" x14ac:dyDescent="0.25">
      <c r="A11545" s="15"/>
    </row>
    <row r="11546" spans="1:1" x14ac:dyDescent="0.25">
      <c r="A11546" s="15"/>
    </row>
    <row r="11547" spans="1:1" x14ac:dyDescent="0.25">
      <c r="A11547" s="15"/>
    </row>
    <row r="11548" spans="1:1" x14ac:dyDescent="0.25">
      <c r="A11548" s="15"/>
    </row>
    <row r="11549" spans="1:1" x14ac:dyDescent="0.25">
      <c r="A11549" s="15"/>
    </row>
    <row r="11550" spans="1:1" x14ac:dyDescent="0.25">
      <c r="A11550" s="15"/>
    </row>
    <row r="11551" spans="1:1" x14ac:dyDescent="0.25">
      <c r="A11551" s="15"/>
    </row>
    <row r="11552" spans="1:1" x14ac:dyDescent="0.25">
      <c r="A11552" s="15"/>
    </row>
    <row r="11553" spans="1:1" x14ac:dyDescent="0.25">
      <c r="A11553" s="15"/>
    </row>
    <row r="11554" spans="1:1" x14ac:dyDescent="0.25">
      <c r="A11554" s="15"/>
    </row>
    <row r="11555" spans="1:1" x14ac:dyDescent="0.25">
      <c r="A11555" s="15"/>
    </row>
    <row r="11556" spans="1:1" x14ac:dyDescent="0.25">
      <c r="A11556" s="15"/>
    </row>
    <row r="11557" spans="1:1" x14ac:dyDescent="0.25">
      <c r="A11557" s="15"/>
    </row>
    <row r="11558" spans="1:1" x14ac:dyDescent="0.25">
      <c r="A11558" s="15"/>
    </row>
    <row r="11559" spans="1:1" x14ac:dyDescent="0.25">
      <c r="A11559" s="15"/>
    </row>
    <row r="11560" spans="1:1" x14ac:dyDescent="0.25">
      <c r="A11560" s="15"/>
    </row>
    <row r="11561" spans="1:1" x14ac:dyDescent="0.25">
      <c r="A11561" s="15"/>
    </row>
    <row r="11562" spans="1:1" x14ac:dyDescent="0.25">
      <c r="A11562" s="15"/>
    </row>
    <row r="11563" spans="1:1" x14ac:dyDescent="0.25">
      <c r="A11563" s="15"/>
    </row>
    <row r="11564" spans="1:1" x14ac:dyDescent="0.25">
      <c r="A11564" s="15"/>
    </row>
    <row r="11565" spans="1:1" x14ac:dyDescent="0.25">
      <c r="A11565" s="15"/>
    </row>
    <row r="11566" spans="1:1" x14ac:dyDescent="0.25">
      <c r="A11566" s="15"/>
    </row>
    <row r="11567" spans="1:1" x14ac:dyDescent="0.25">
      <c r="A11567" s="15"/>
    </row>
    <row r="11568" spans="1:1" x14ac:dyDescent="0.25">
      <c r="A11568" s="15"/>
    </row>
    <row r="11569" spans="1:1" x14ac:dyDescent="0.25">
      <c r="A11569" s="15"/>
    </row>
    <row r="11570" spans="1:1" x14ac:dyDescent="0.25">
      <c r="A11570" s="15"/>
    </row>
    <row r="11571" spans="1:1" x14ac:dyDescent="0.25">
      <c r="A11571" s="15"/>
    </row>
    <row r="11572" spans="1:1" x14ac:dyDescent="0.25">
      <c r="A11572" s="15"/>
    </row>
    <row r="11573" spans="1:1" x14ac:dyDescent="0.25">
      <c r="A11573" s="15"/>
    </row>
    <row r="11574" spans="1:1" x14ac:dyDescent="0.25">
      <c r="A11574" s="15"/>
    </row>
    <row r="11575" spans="1:1" x14ac:dyDescent="0.25">
      <c r="A11575" s="15"/>
    </row>
    <row r="11576" spans="1:1" x14ac:dyDescent="0.25">
      <c r="A11576" s="15"/>
    </row>
    <row r="11577" spans="1:1" x14ac:dyDescent="0.25">
      <c r="A11577" s="15"/>
    </row>
    <row r="11578" spans="1:1" x14ac:dyDescent="0.25">
      <c r="A11578" s="15"/>
    </row>
    <row r="11579" spans="1:1" x14ac:dyDescent="0.25">
      <c r="A11579" s="15"/>
    </row>
    <row r="11580" spans="1:1" x14ac:dyDescent="0.25">
      <c r="A11580" s="15"/>
    </row>
    <row r="11581" spans="1:1" x14ac:dyDescent="0.25">
      <c r="A11581" s="15"/>
    </row>
    <row r="11582" spans="1:1" x14ac:dyDescent="0.25">
      <c r="A11582" s="15"/>
    </row>
    <row r="11583" spans="1:1" x14ac:dyDescent="0.25">
      <c r="A11583" s="15"/>
    </row>
    <row r="11584" spans="1:1" x14ac:dyDescent="0.25">
      <c r="A11584" s="15"/>
    </row>
    <row r="11585" spans="1:1" x14ac:dyDescent="0.25">
      <c r="A11585" s="15"/>
    </row>
    <row r="11586" spans="1:1" x14ac:dyDescent="0.25">
      <c r="A11586" s="15"/>
    </row>
    <row r="11587" spans="1:1" x14ac:dyDescent="0.25">
      <c r="A11587" s="15"/>
    </row>
    <row r="11588" spans="1:1" x14ac:dyDescent="0.25">
      <c r="A11588" s="15"/>
    </row>
    <row r="11589" spans="1:1" x14ac:dyDescent="0.25">
      <c r="A11589" s="15"/>
    </row>
    <row r="11590" spans="1:1" x14ac:dyDescent="0.25">
      <c r="A11590" s="15"/>
    </row>
    <row r="11591" spans="1:1" x14ac:dyDescent="0.25">
      <c r="A11591" s="15"/>
    </row>
    <row r="11592" spans="1:1" x14ac:dyDescent="0.25">
      <c r="A11592" s="15"/>
    </row>
    <row r="11593" spans="1:1" x14ac:dyDescent="0.25">
      <c r="A11593" s="15"/>
    </row>
    <row r="11594" spans="1:1" x14ac:dyDescent="0.25">
      <c r="A11594" s="15"/>
    </row>
    <row r="11595" spans="1:1" x14ac:dyDescent="0.25">
      <c r="A11595" s="15"/>
    </row>
    <row r="11596" spans="1:1" x14ac:dyDescent="0.25">
      <c r="A11596" s="15"/>
    </row>
    <row r="11597" spans="1:1" x14ac:dyDescent="0.25">
      <c r="A11597" s="15"/>
    </row>
    <row r="11598" spans="1:1" x14ac:dyDescent="0.25">
      <c r="A11598" s="15"/>
    </row>
    <row r="11599" spans="1:1" x14ac:dyDescent="0.25">
      <c r="A11599" s="15"/>
    </row>
    <row r="11600" spans="1:1" x14ac:dyDescent="0.25">
      <c r="A11600" s="15"/>
    </row>
    <row r="11601" spans="1:1" x14ac:dyDescent="0.25">
      <c r="A11601" s="15"/>
    </row>
    <row r="11602" spans="1:1" x14ac:dyDescent="0.25">
      <c r="A11602" s="15"/>
    </row>
    <row r="11603" spans="1:1" x14ac:dyDescent="0.25">
      <c r="A11603" s="15"/>
    </row>
    <row r="11604" spans="1:1" x14ac:dyDescent="0.25">
      <c r="A11604" s="15"/>
    </row>
    <row r="11605" spans="1:1" x14ac:dyDescent="0.25">
      <c r="A11605" s="15"/>
    </row>
    <row r="11606" spans="1:1" x14ac:dyDescent="0.25">
      <c r="A11606" s="15"/>
    </row>
    <row r="11607" spans="1:1" x14ac:dyDescent="0.25">
      <c r="A11607" s="15"/>
    </row>
    <row r="11608" spans="1:1" x14ac:dyDescent="0.25">
      <c r="A11608" s="15"/>
    </row>
    <row r="11609" spans="1:1" x14ac:dyDescent="0.25">
      <c r="A11609" s="15"/>
    </row>
    <row r="11610" spans="1:1" x14ac:dyDescent="0.25">
      <c r="A11610" s="15"/>
    </row>
    <row r="11611" spans="1:1" x14ac:dyDescent="0.25">
      <c r="A11611" s="15"/>
    </row>
    <row r="11612" spans="1:1" x14ac:dyDescent="0.25">
      <c r="A11612" s="15"/>
    </row>
    <row r="11613" spans="1:1" x14ac:dyDescent="0.25">
      <c r="A11613" s="15"/>
    </row>
    <row r="11614" spans="1:1" x14ac:dyDescent="0.25">
      <c r="A11614" s="15"/>
    </row>
    <row r="11615" spans="1:1" x14ac:dyDescent="0.25">
      <c r="A11615" s="15"/>
    </row>
    <row r="11616" spans="1:1" x14ac:dyDescent="0.25">
      <c r="A11616" s="15"/>
    </row>
    <row r="11617" spans="1:1" x14ac:dyDescent="0.25">
      <c r="A11617" s="15"/>
    </row>
    <row r="11618" spans="1:1" x14ac:dyDescent="0.25">
      <c r="A11618" s="15"/>
    </row>
    <row r="11619" spans="1:1" x14ac:dyDescent="0.25">
      <c r="A11619" s="15"/>
    </row>
    <row r="11620" spans="1:1" x14ac:dyDescent="0.25">
      <c r="A11620" s="15"/>
    </row>
    <row r="11621" spans="1:1" x14ac:dyDescent="0.25">
      <c r="A11621" s="15"/>
    </row>
    <row r="11622" spans="1:1" x14ac:dyDescent="0.25">
      <c r="A11622" s="15"/>
    </row>
    <row r="11623" spans="1:1" x14ac:dyDescent="0.25">
      <c r="A11623" s="15"/>
    </row>
    <row r="11624" spans="1:1" x14ac:dyDescent="0.25">
      <c r="A11624" s="15"/>
    </row>
    <row r="11625" spans="1:1" x14ac:dyDescent="0.25">
      <c r="A11625" s="15"/>
    </row>
    <row r="11626" spans="1:1" x14ac:dyDescent="0.25">
      <c r="A11626" s="15"/>
    </row>
    <row r="11627" spans="1:1" x14ac:dyDescent="0.25">
      <c r="A11627" s="15"/>
    </row>
    <row r="11628" spans="1:1" x14ac:dyDescent="0.25">
      <c r="A11628" s="15"/>
    </row>
    <row r="11629" spans="1:1" x14ac:dyDescent="0.25">
      <c r="A11629" s="15"/>
    </row>
    <row r="11630" spans="1:1" x14ac:dyDescent="0.25">
      <c r="A11630" s="15"/>
    </row>
    <row r="11631" spans="1:1" x14ac:dyDescent="0.25">
      <c r="A11631" s="15"/>
    </row>
    <row r="11632" spans="1:1" x14ac:dyDescent="0.25">
      <c r="A11632" s="15"/>
    </row>
    <row r="11633" spans="1:1" x14ac:dyDescent="0.25">
      <c r="A11633" s="15"/>
    </row>
    <row r="11634" spans="1:1" x14ac:dyDescent="0.25">
      <c r="A11634" s="15"/>
    </row>
    <row r="11635" spans="1:1" x14ac:dyDescent="0.25">
      <c r="A11635" s="15"/>
    </row>
    <row r="11636" spans="1:1" x14ac:dyDescent="0.25">
      <c r="A11636" s="15"/>
    </row>
    <row r="11637" spans="1:1" x14ac:dyDescent="0.25">
      <c r="A11637" s="15"/>
    </row>
    <row r="11638" spans="1:1" x14ac:dyDescent="0.25">
      <c r="A11638" s="15"/>
    </row>
    <row r="11639" spans="1:1" x14ac:dyDescent="0.25">
      <c r="A11639" s="15"/>
    </row>
    <row r="11640" spans="1:1" x14ac:dyDescent="0.25">
      <c r="A11640" s="15"/>
    </row>
    <row r="11641" spans="1:1" x14ac:dyDescent="0.25">
      <c r="A11641" s="15"/>
    </row>
    <row r="11642" spans="1:1" x14ac:dyDescent="0.25">
      <c r="A11642" s="15"/>
    </row>
    <row r="11643" spans="1:1" x14ac:dyDescent="0.25">
      <c r="A11643" s="15"/>
    </row>
    <row r="11644" spans="1:1" x14ac:dyDescent="0.25">
      <c r="A11644" s="15"/>
    </row>
    <row r="11645" spans="1:1" x14ac:dyDescent="0.25">
      <c r="A11645" s="15"/>
    </row>
    <row r="11646" spans="1:1" x14ac:dyDescent="0.25">
      <c r="A11646" s="15"/>
    </row>
    <row r="11647" spans="1:1" x14ac:dyDescent="0.25">
      <c r="A11647" s="15"/>
    </row>
    <row r="11648" spans="1:1" x14ac:dyDescent="0.25">
      <c r="A11648" s="15"/>
    </row>
    <row r="11649" spans="1:1" x14ac:dyDescent="0.25">
      <c r="A11649" s="15"/>
    </row>
    <row r="11650" spans="1:1" x14ac:dyDescent="0.25">
      <c r="A11650" s="15"/>
    </row>
    <row r="11651" spans="1:1" x14ac:dyDescent="0.25">
      <c r="A11651" s="15"/>
    </row>
    <row r="11652" spans="1:1" x14ac:dyDescent="0.25">
      <c r="A11652" s="15"/>
    </row>
    <row r="11653" spans="1:1" x14ac:dyDescent="0.25">
      <c r="A11653" s="15"/>
    </row>
    <row r="11654" spans="1:1" x14ac:dyDescent="0.25">
      <c r="A11654" s="15"/>
    </row>
    <row r="11655" spans="1:1" x14ac:dyDescent="0.25">
      <c r="A11655" s="15"/>
    </row>
    <row r="11656" spans="1:1" x14ac:dyDescent="0.25">
      <c r="A11656" s="15"/>
    </row>
    <row r="11657" spans="1:1" x14ac:dyDescent="0.25">
      <c r="A11657" s="15"/>
    </row>
    <row r="11658" spans="1:1" x14ac:dyDescent="0.25">
      <c r="A11658" s="15"/>
    </row>
    <row r="11659" spans="1:1" x14ac:dyDescent="0.25">
      <c r="A11659" s="15"/>
    </row>
    <row r="11660" spans="1:1" x14ac:dyDescent="0.25">
      <c r="A11660" s="15"/>
    </row>
    <row r="11661" spans="1:1" x14ac:dyDescent="0.25">
      <c r="A11661" s="15"/>
    </row>
    <row r="11662" spans="1:1" x14ac:dyDescent="0.25">
      <c r="A11662" s="15"/>
    </row>
    <row r="11663" spans="1:1" x14ac:dyDescent="0.25">
      <c r="A11663" s="15"/>
    </row>
    <row r="11664" spans="1:1" x14ac:dyDescent="0.25">
      <c r="A11664" s="15"/>
    </row>
    <row r="11665" spans="1:1" x14ac:dyDescent="0.25">
      <c r="A11665" s="15"/>
    </row>
    <row r="11666" spans="1:1" x14ac:dyDescent="0.25">
      <c r="A11666" s="15"/>
    </row>
    <row r="11667" spans="1:1" x14ac:dyDescent="0.25">
      <c r="A11667" s="15"/>
    </row>
    <row r="11668" spans="1:1" x14ac:dyDescent="0.25">
      <c r="A11668" s="15"/>
    </row>
    <row r="11669" spans="1:1" x14ac:dyDescent="0.25">
      <c r="A11669" s="15"/>
    </row>
    <row r="11670" spans="1:1" x14ac:dyDescent="0.25">
      <c r="A11670" s="15"/>
    </row>
    <row r="11671" spans="1:1" x14ac:dyDescent="0.25">
      <c r="A11671" s="15"/>
    </row>
    <row r="11672" spans="1:1" x14ac:dyDescent="0.25">
      <c r="A11672" s="15"/>
    </row>
    <row r="11673" spans="1:1" x14ac:dyDescent="0.25">
      <c r="A11673" s="15"/>
    </row>
    <row r="11674" spans="1:1" x14ac:dyDescent="0.25">
      <c r="A11674" s="15"/>
    </row>
    <row r="11675" spans="1:1" x14ac:dyDescent="0.25">
      <c r="A11675" s="15"/>
    </row>
    <row r="11676" spans="1:1" x14ac:dyDescent="0.25">
      <c r="A11676" s="15"/>
    </row>
    <row r="11677" spans="1:1" x14ac:dyDescent="0.25">
      <c r="A11677" s="15"/>
    </row>
    <row r="11678" spans="1:1" x14ac:dyDescent="0.25">
      <c r="A11678" s="15"/>
    </row>
    <row r="11679" spans="1:1" x14ac:dyDescent="0.25">
      <c r="A11679" s="15"/>
    </row>
    <row r="11680" spans="1:1" x14ac:dyDescent="0.25">
      <c r="A11680" s="15"/>
    </row>
    <row r="11681" spans="1:1" x14ac:dyDescent="0.25">
      <c r="A11681" s="15"/>
    </row>
    <row r="11682" spans="1:1" x14ac:dyDescent="0.25">
      <c r="A11682" s="15"/>
    </row>
    <row r="11683" spans="1:1" x14ac:dyDescent="0.25">
      <c r="A11683" s="15"/>
    </row>
    <row r="11684" spans="1:1" x14ac:dyDescent="0.25">
      <c r="A11684" s="15"/>
    </row>
    <row r="11685" spans="1:1" x14ac:dyDescent="0.25">
      <c r="A11685" s="15"/>
    </row>
    <row r="11686" spans="1:1" x14ac:dyDescent="0.25">
      <c r="A11686" s="15"/>
    </row>
    <row r="11687" spans="1:1" x14ac:dyDescent="0.25">
      <c r="A11687" s="15"/>
    </row>
    <row r="11688" spans="1:1" x14ac:dyDescent="0.25">
      <c r="A11688" s="15"/>
    </row>
    <row r="11689" spans="1:1" x14ac:dyDescent="0.25">
      <c r="A11689" s="15"/>
    </row>
    <row r="11690" spans="1:1" x14ac:dyDescent="0.25">
      <c r="A11690" s="15"/>
    </row>
    <row r="11691" spans="1:1" x14ac:dyDescent="0.25">
      <c r="A11691" s="15"/>
    </row>
    <row r="11692" spans="1:1" x14ac:dyDescent="0.25">
      <c r="A11692" s="15"/>
    </row>
    <row r="11693" spans="1:1" x14ac:dyDescent="0.25">
      <c r="A11693" s="15"/>
    </row>
    <row r="11694" spans="1:1" x14ac:dyDescent="0.25">
      <c r="A11694" s="15"/>
    </row>
    <row r="11695" spans="1:1" x14ac:dyDescent="0.25">
      <c r="A11695" s="15"/>
    </row>
    <row r="11696" spans="1:1" x14ac:dyDescent="0.25">
      <c r="A11696" s="15"/>
    </row>
    <row r="11697" spans="1:1" x14ac:dyDescent="0.25">
      <c r="A11697" s="15"/>
    </row>
    <row r="11698" spans="1:1" x14ac:dyDescent="0.25">
      <c r="A11698" s="15"/>
    </row>
    <row r="11699" spans="1:1" x14ac:dyDescent="0.25">
      <c r="A11699" s="15"/>
    </row>
    <row r="11700" spans="1:1" x14ac:dyDescent="0.25">
      <c r="A11700" s="15"/>
    </row>
    <row r="11701" spans="1:1" x14ac:dyDescent="0.25">
      <c r="A11701" s="15"/>
    </row>
    <row r="11702" spans="1:1" x14ac:dyDescent="0.25">
      <c r="A11702" s="15"/>
    </row>
    <row r="11703" spans="1:1" x14ac:dyDescent="0.25">
      <c r="A11703" s="15"/>
    </row>
    <row r="11704" spans="1:1" x14ac:dyDescent="0.25">
      <c r="A11704" s="15"/>
    </row>
    <row r="11705" spans="1:1" x14ac:dyDescent="0.25">
      <c r="A11705" s="15"/>
    </row>
    <row r="11706" spans="1:1" x14ac:dyDescent="0.25">
      <c r="A11706" s="15"/>
    </row>
    <row r="11707" spans="1:1" x14ac:dyDescent="0.25">
      <c r="A11707" s="15"/>
    </row>
    <row r="11708" spans="1:1" x14ac:dyDescent="0.25">
      <c r="A11708" s="15"/>
    </row>
    <row r="11709" spans="1:1" x14ac:dyDescent="0.25">
      <c r="A11709" s="15"/>
    </row>
    <row r="11710" spans="1:1" x14ac:dyDescent="0.25">
      <c r="A11710" s="15"/>
    </row>
    <row r="11711" spans="1:1" x14ac:dyDescent="0.25">
      <c r="A11711" s="15"/>
    </row>
    <row r="11712" spans="1:1" x14ac:dyDescent="0.25">
      <c r="A11712" s="15"/>
    </row>
    <row r="11713" spans="1:1" x14ac:dyDescent="0.25">
      <c r="A11713" s="15"/>
    </row>
    <row r="11714" spans="1:1" x14ac:dyDescent="0.25">
      <c r="A11714" s="15"/>
    </row>
    <row r="11715" spans="1:1" x14ac:dyDescent="0.25">
      <c r="A11715" s="15"/>
    </row>
    <row r="11716" spans="1:1" x14ac:dyDescent="0.25">
      <c r="A11716" s="15"/>
    </row>
    <row r="11717" spans="1:1" x14ac:dyDescent="0.25">
      <c r="A11717" s="15"/>
    </row>
    <row r="11718" spans="1:1" x14ac:dyDescent="0.25">
      <c r="A11718" s="15"/>
    </row>
    <row r="11719" spans="1:1" x14ac:dyDescent="0.25">
      <c r="A11719" s="15"/>
    </row>
    <row r="11720" spans="1:1" x14ac:dyDescent="0.25">
      <c r="A11720" s="15"/>
    </row>
    <row r="11721" spans="1:1" x14ac:dyDescent="0.25">
      <c r="A11721" s="15"/>
    </row>
    <row r="11722" spans="1:1" x14ac:dyDescent="0.25">
      <c r="A11722" s="15"/>
    </row>
    <row r="11723" spans="1:1" x14ac:dyDescent="0.25">
      <c r="A11723" s="15"/>
    </row>
    <row r="11724" spans="1:1" x14ac:dyDescent="0.25">
      <c r="A11724" s="15"/>
    </row>
    <row r="11725" spans="1:1" x14ac:dyDescent="0.25">
      <c r="A11725" s="15"/>
    </row>
    <row r="11726" spans="1:1" x14ac:dyDescent="0.25">
      <c r="A11726" s="15"/>
    </row>
    <row r="11727" spans="1:1" x14ac:dyDescent="0.25">
      <c r="A11727" s="15"/>
    </row>
    <row r="11728" spans="1:1" x14ac:dyDescent="0.25">
      <c r="A11728" s="15"/>
    </row>
    <row r="11729" spans="1:1" x14ac:dyDescent="0.25">
      <c r="A11729" s="15"/>
    </row>
    <row r="11730" spans="1:1" x14ac:dyDescent="0.25">
      <c r="A11730" s="15"/>
    </row>
    <row r="11731" spans="1:1" x14ac:dyDescent="0.25">
      <c r="A11731" s="15"/>
    </row>
    <row r="11732" spans="1:1" x14ac:dyDescent="0.25">
      <c r="A11732" s="15"/>
    </row>
    <row r="11733" spans="1:1" x14ac:dyDescent="0.25">
      <c r="A11733" s="15"/>
    </row>
    <row r="11734" spans="1:1" x14ac:dyDescent="0.25">
      <c r="A11734" s="15"/>
    </row>
    <row r="11735" spans="1:1" x14ac:dyDescent="0.25">
      <c r="A11735" s="15"/>
    </row>
    <row r="11736" spans="1:1" x14ac:dyDescent="0.25">
      <c r="A11736" s="15"/>
    </row>
    <row r="11737" spans="1:1" x14ac:dyDescent="0.25">
      <c r="A11737" s="15"/>
    </row>
    <row r="11738" spans="1:1" x14ac:dyDescent="0.25">
      <c r="A11738" s="15"/>
    </row>
    <row r="11739" spans="1:1" x14ac:dyDescent="0.25">
      <c r="A11739" s="15"/>
    </row>
    <row r="11740" spans="1:1" x14ac:dyDescent="0.25">
      <c r="A11740" s="15"/>
    </row>
    <row r="11741" spans="1:1" x14ac:dyDescent="0.25">
      <c r="A11741" s="15"/>
    </row>
    <row r="11742" spans="1:1" x14ac:dyDescent="0.25">
      <c r="A11742" s="15"/>
    </row>
    <row r="11743" spans="1:1" x14ac:dyDescent="0.25">
      <c r="A11743" s="15"/>
    </row>
    <row r="11744" spans="1:1" x14ac:dyDescent="0.25">
      <c r="A11744" s="15"/>
    </row>
    <row r="11745" spans="1:1" x14ac:dyDescent="0.25">
      <c r="A11745" s="15"/>
    </row>
    <row r="11746" spans="1:1" x14ac:dyDescent="0.25">
      <c r="A11746" s="15"/>
    </row>
    <row r="11747" spans="1:1" x14ac:dyDescent="0.25">
      <c r="A11747" s="15"/>
    </row>
    <row r="11748" spans="1:1" x14ac:dyDescent="0.25">
      <c r="A11748" s="15"/>
    </row>
    <row r="11749" spans="1:1" x14ac:dyDescent="0.25">
      <c r="A11749" s="15"/>
    </row>
    <row r="11750" spans="1:1" x14ac:dyDescent="0.25">
      <c r="A11750" s="15"/>
    </row>
    <row r="11751" spans="1:1" x14ac:dyDescent="0.25">
      <c r="A11751" s="15"/>
    </row>
    <row r="11752" spans="1:1" x14ac:dyDescent="0.25">
      <c r="A11752" s="15"/>
    </row>
    <row r="11753" spans="1:1" x14ac:dyDescent="0.25">
      <c r="A11753" s="15"/>
    </row>
    <row r="11754" spans="1:1" x14ac:dyDescent="0.25">
      <c r="A11754" s="15"/>
    </row>
    <row r="11755" spans="1:1" x14ac:dyDescent="0.25">
      <c r="A11755" s="15"/>
    </row>
    <row r="11756" spans="1:1" x14ac:dyDescent="0.25">
      <c r="A11756" s="15"/>
    </row>
    <row r="11757" spans="1:1" x14ac:dyDescent="0.25">
      <c r="A11757" s="15"/>
    </row>
    <row r="11758" spans="1:1" x14ac:dyDescent="0.25">
      <c r="A11758" s="15"/>
    </row>
    <row r="11759" spans="1:1" x14ac:dyDescent="0.25">
      <c r="A11759" s="15"/>
    </row>
    <row r="11760" spans="1:1" x14ac:dyDescent="0.25">
      <c r="A11760" s="15"/>
    </row>
    <row r="11761" spans="1:1" x14ac:dyDescent="0.25">
      <c r="A11761" s="15"/>
    </row>
    <row r="11762" spans="1:1" x14ac:dyDescent="0.25">
      <c r="A11762" s="15"/>
    </row>
    <row r="11763" spans="1:1" x14ac:dyDescent="0.25">
      <c r="A11763" s="15"/>
    </row>
    <row r="11764" spans="1:1" x14ac:dyDescent="0.25">
      <c r="A11764" s="15"/>
    </row>
    <row r="11765" spans="1:1" x14ac:dyDescent="0.25">
      <c r="A11765" s="15"/>
    </row>
    <row r="11766" spans="1:1" x14ac:dyDescent="0.25">
      <c r="A11766" s="15"/>
    </row>
    <row r="11767" spans="1:1" x14ac:dyDescent="0.25">
      <c r="A11767" s="15"/>
    </row>
    <row r="11768" spans="1:1" x14ac:dyDescent="0.25">
      <c r="A11768" s="15"/>
    </row>
    <row r="11769" spans="1:1" x14ac:dyDescent="0.25">
      <c r="A11769" s="15"/>
    </row>
    <row r="11770" spans="1:1" x14ac:dyDescent="0.25">
      <c r="A11770" s="15"/>
    </row>
    <row r="11771" spans="1:1" x14ac:dyDescent="0.25">
      <c r="A11771" s="15"/>
    </row>
    <row r="11772" spans="1:1" x14ac:dyDescent="0.25">
      <c r="A11772" s="15"/>
    </row>
    <row r="11773" spans="1:1" x14ac:dyDescent="0.25">
      <c r="A11773" s="15"/>
    </row>
    <row r="11774" spans="1:1" x14ac:dyDescent="0.25">
      <c r="A11774" s="15"/>
    </row>
    <row r="11775" spans="1:1" x14ac:dyDescent="0.25">
      <c r="A11775" s="15"/>
    </row>
    <row r="11776" spans="1:1" x14ac:dyDescent="0.25">
      <c r="A11776" s="15"/>
    </row>
    <row r="11777" spans="1:1" x14ac:dyDescent="0.25">
      <c r="A11777" s="15"/>
    </row>
    <row r="11778" spans="1:1" x14ac:dyDescent="0.25">
      <c r="A11778" s="15"/>
    </row>
    <row r="11779" spans="1:1" x14ac:dyDescent="0.25">
      <c r="A11779" s="15"/>
    </row>
    <row r="11780" spans="1:1" x14ac:dyDescent="0.25">
      <c r="A11780" s="15"/>
    </row>
    <row r="11781" spans="1:1" x14ac:dyDescent="0.25">
      <c r="A11781" s="15"/>
    </row>
    <row r="11782" spans="1:1" x14ac:dyDescent="0.25">
      <c r="A11782" s="15"/>
    </row>
    <row r="11783" spans="1:1" x14ac:dyDescent="0.25">
      <c r="A11783" s="15"/>
    </row>
    <row r="11784" spans="1:1" x14ac:dyDescent="0.25">
      <c r="A11784" s="15"/>
    </row>
    <row r="11785" spans="1:1" x14ac:dyDescent="0.25">
      <c r="A11785" s="15"/>
    </row>
    <row r="11786" spans="1:1" x14ac:dyDescent="0.25">
      <c r="A11786" s="15"/>
    </row>
    <row r="11787" spans="1:1" x14ac:dyDescent="0.25">
      <c r="A11787" s="15"/>
    </row>
    <row r="11788" spans="1:1" x14ac:dyDescent="0.25">
      <c r="A11788" s="15"/>
    </row>
    <row r="11789" spans="1:1" x14ac:dyDescent="0.25">
      <c r="A11789" s="15"/>
    </row>
    <row r="11790" spans="1:1" x14ac:dyDescent="0.25">
      <c r="A11790" s="15"/>
    </row>
    <row r="11791" spans="1:1" x14ac:dyDescent="0.25">
      <c r="A11791" s="15"/>
    </row>
    <row r="11792" spans="1:1" x14ac:dyDescent="0.25">
      <c r="A11792" s="15"/>
    </row>
    <row r="11793" spans="1:1" x14ac:dyDescent="0.25">
      <c r="A11793" s="15"/>
    </row>
    <row r="11794" spans="1:1" x14ac:dyDescent="0.25">
      <c r="A11794" s="15"/>
    </row>
    <row r="11795" spans="1:1" x14ac:dyDescent="0.25">
      <c r="A11795" s="15"/>
    </row>
    <row r="11796" spans="1:1" x14ac:dyDescent="0.25">
      <c r="A11796" s="15"/>
    </row>
    <row r="11797" spans="1:1" x14ac:dyDescent="0.25">
      <c r="A11797" s="15"/>
    </row>
    <row r="11798" spans="1:1" x14ac:dyDescent="0.25">
      <c r="A11798" s="15"/>
    </row>
    <row r="11799" spans="1:1" x14ac:dyDescent="0.25">
      <c r="A11799" s="15"/>
    </row>
    <row r="11800" spans="1:1" x14ac:dyDescent="0.25">
      <c r="A11800" s="15"/>
    </row>
    <row r="11801" spans="1:1" x14ac:dyDescent="0.25">
      <c r="A11801" s="15"/>
    </row>
    <row r="11802" spans="1:1" x14ac:dyDescent="0.25">
      <c r="A11802" s="15"/>
    </row>
    <row r="11803" spans="1:1" x14ac:dyDescent="0.25">
      <c r="A11803" s="15"/>
    </row>
    <row r="11804" spans="1:1" x14ac:dyDescent="0.25">
      <c r="A11804" s="15"/>
    </row>
    <row r="11805" spans="1:1" x14ac:dyDescent="0.25">
      <c r="A11805" s="15"/>
    </row>
    <row r="11806" spans="1:1" x14ac:dyDescent="0.25">
      <c r="A11806" s="15"/>
    </row>
    <row r="11807" spans="1:1" x14ac:dyDescent="0.25">
      <c r="A11807" s="15"/>
    </row>
    <row r="11808" spans="1:1" x14ac:dyDescent="0.25">
      <c r="A11808" s="15"/>
    </row>
    <row r="11809" spans="1:1" x14ac:dyDescent="0.25">
      <c r="A11809" s="15"/>
    </row>
    <row r="11810" spans="1:1" x14ac:dyDescent="0.25">
      <c r="A11810" s="15"/>
    </row>
    <row r="11811" spans="1:1" x14ac:dyDescent="0.25">
      <c r="A11811" s="15"/>
    </row>
    <row r="11812" spans="1:1" x14ac:dyDescent="0.25">
      <c r="A11812" s="15"/>
    </row>
    <row r="11813" spans="1:1" x14ac:dyDescent="0.25">
      <c r="A11813" s="15"/>
    </row>
    <row r="11814" spans="1:1" x14ac:dyDescent="0.25">
      <c r="A11814" s="15"/>
    </row>
    <row r="11815" spans="1:1" x14ac:dyDescent="0.25">
      <c r="A11815" s="15"/>
    </row>
    <row r="11816" spans="1:1" x14ac:dyDescent="0.25">
      <c r="A11816" s="15"/>
    </row>
    <row r="11817" spans="1:1" x14ac:dyDescent="0.25">
      <c r="A11817" s="15"/>
    </row>
    <row r="11818" spans="1:1" x14ac:dyDescent="0.25">
      <c r="A11818" s="15"/>
    </row>
    <row r="11819" spans="1:1" x14ac:dyDescent="0.25">
      <c r="A11819" s="15"/>
    </row>
    <row r="11820" spans="1:1" x14ac:dyDescent="0.25">
      <c r="A11820" s="15"/>
    </row>
    <row r="11821" spans="1:1" x14ac:dyDescent="0.25">
      <c r="A11821" s="15"/>
    </row>
    <row r="11822" spans="1:1" x14ac:dyDescent="0.25">
      <c r="A11822" s="15"/>
    </row>
    <row r="11823" spans="1:1" x14ac:dyDescent="0.25">
      <c r="A11823" s="15"/>
    </row>
    <row r="11824" spans="1:1" x14ac:dyDescent="0.25">
      <c r="A11824" s="15"/>
    </row>
    <row r="11825" spans="1:1" x14ac:dyDescent="0.25">
      <c r="A11825" s="15"/>
    </row>
    <row r="11826" spans="1:1" x14ac:dyDescent="0.25">
      <c r="A11826" s="15"/>
    </row>
    <row r="11827" spans="1:1" x14ac:dyDescent="0.25">
      <c r="A11827" s="15"/>
    </row>
    <row r="11828" spans="1:1" x14ac:dyDescent="0.25">
      <c r="A11828" s="15"/>
    </row>
    <row r="11829" spans="1:1" x14ac:dyDescent="0.25">
      <c r="A11829" s="15"/>
    </row>
    <row r="11830" spans="1:1" x14ac:dyDescent="0.25">
      <c r="A11830" s="15"/>
    </row>
    <row r="11831" spans="1:1" x14ac:dyDescent="0.25">
      <c r="A11831" s="15"/>
    </row>
    <row r="11832" spans="1:1" x14ac:dyDescent="0.25">
      <c r="A11832" s="15"/>
    </row>
    <row r="11833" spans="1:1" x14ac:dyDescent="0.25">
      <c r="A11833" s="15"/>
    </row>
    <row r="11834" spans="1:1" x14ac:dyDescent="0.25">
      <c r="A11834" s="15"/>
    </row>
    <row r="11835" spans="1:1" x14ac:dyDescent="0.25">
      <c r="A11835" s="15"/>
    </row>
    <row r="11836" spans="1:1" x14ac:dyDescent="0.25">
      <c r="A11836" s="15"/>
    </row>
    <row r="11837" spans="1:1" x14ac:dyDescent="0.25">
      <c r="A11837" s="15"/>
    </row>
    <row r="11838" spans="1:1" x14ac:dyDescent="0.25">
      <c r="A11838" s="15"/>
    </row>
    <row r="11839" spans="1:1" x14ac:dyDescent="0.25">
      <c r="A11839" s="15"/>
    </row>
    <row r="11840" spans="1:1" x14ac:dyDescent="0.25">
      <c r="A11840" s="15"/>
    </row>
    <row r="11841" spans="1:1" x14ac:dyDescent="0.25">
      <c r="A11841" s="15"/>
    </row>
    <row r="11842" spans="1:1" x14ac:dyDescent="0.25">
      <c r="A11842" s="15"/>
    </row>
    <row r="11843" spans="1:1" x14ac:dyDescent="0.25">
      <c r="A11843" s="15"/>
    </row>
    <row r="11844" spans="1:1" x14ac:dyDescent="0.25">
      <c r="A11844" s="15"/>
    </row>
    <row r="11845" spans="1:1" x14ac:dyDescent="0.25">
      <c r="A11845" s="15"/>
    </row>
    <row r="11846" spans="1:1" x14ac:dyDescent="0.25">
      <c r="A11846" s="15"/>
    </row>
    <row r="11847" spans="1:1" x14ac:dyDescent="0.25">
      <c r="A11847" s="15"/>
    </row>
    <row r="11848" spans="1:1" x14ac:dyDescent="0.25">
      <c r="A11848" s="15"/>
    </row>
    <row r="11849" spans="1:1" x14ac:dyDescent="0.25">
      <c r="A11849" s="15"/>
    </row>
    <row r="11850" spans="1:1" x14ac:dyDescent="0.25">
      <c r="A11850" s="15"/>
    </row>
    <row r="11851" spans="1:1" x14ac:dyDescent="0.25">
      <c r="A11851" s="15"/>
    </row>
    <row r="11852" spans="1:1" x14ac:dyDescent="0.25">
      <c r="A11852" s="15"/>
    </row>
    <row r="11853" spans="1:1" x14ac:dyDescent="0.25">
      <c r="A11853" s="15"/>
    </row>
    <row r="11854" spans="1:1" x14ac:dyDescent="0.25">
      <c r="A11854" s="15"/>
    </row>
    <row r="11855" spans="1:1" x14ac:dyDescent="0.25">
      <c r="A11855" s="15"/>
    </row>
    <row r="11856" spans="1:1" x14ac:dyDescent="0.25">
      <c r="A11856" s="15"/>
    </row>
    <row r="11857" spans="1:1" x14ac:dyDescent="0.25">
      <c r="A11857" s="15"/>
    </row>
    <row r="11858" spans="1:1" x14ac:dyDescent="0.25">
      <c r="A11858" s="15"/>
    </row>
    <row r="11859" spans="1:1" x14ac:dyDescent="0.25">
      <c r="A11859" s="15"/>
    </row>
    <row r="11860" spans="1:1" x14ac:dyDescent="0.25">
      <c r="A11860" s="15"/>
    </row>
    <row r="11861" spans="1:1" x14ac:dyDescent="0.25">
      <c r="A11861" s="15"/>
    </row>
    <row r="11862" spans="1:1" x14ac:dyDescent="0.25">
      <c r="A11862" s="15"/>
    </row>
    <row r="11863" spans="1:1" x14ac:dyDescent="0.25">
      <c r="A11863" s="15"/>
    </row>
    <row r="11864" spans="1:1" x14ac:dyDescent="0.25">
      <c r="A11864" s="15"/>
    </row>
    <row r="11865" spans="1:1" x14ac:dyDescent="0.25">
      <c r="A11865" s="15"/>
    </row>
    <row r="11866" spans="1:1" x14ac:dyDescent="0.25">
      <c r="A11866" s="15"/>
    </row>
    <row r="11867" spans="1:1" x14ac:dyDescent="0.25">
      <c r="A11867" s="15"/>
    </row>
    <row r="11868" spans="1:1" x14ac:dyDescent="0.25">
      <c r="A11868" s="15"/>
    </row>
    <row r="11869" spans="1:1" x14ac:dyDescent="0.25">
      <c r="A11869" s="15"/>
    </row>
    <row r="11870" spans="1:1" x14ac:dyDescent="0.25">
      <c r="A11870" s="15"/>
    </row>
    <row r="11871" spans="1:1" x14ac:dyDescent="0.25">
      <c r="A11871" s="15"/>
    </row>
    <row r="11872" spans="1:1" x14ac:dyDescent="0.25">
      <c r="A11872" s="15"/>
    </row>
    <row r="11873" spans="1:1" x14ac:dyDescent="0.25">
      <c r="A11873" s="15"/>
    </row>
    <row r="11874" spans="1:1" x14ac:dyDescent="0.25">
      <c r="A11874" s="15"/>
    </row>
    <row r="11875" spans="1:1" x14ac:dyDescent="0.25">
      <c r="A11875" s="15"/>
    </row>
    <row r="11876" spans="1:1" x14ac:dyDescent="0.25">
      <c r="A11876" s="15"/>
    </row>
    <row r="11877" spans="1:1" x14ac:dyDescent="0.25">
      <c r="A11877" s="15"/>
    </row>
    <row r="11878" spans="1:1" x14ac:dyDescent="0.25">
      <c r="A11878" s="15"/>
    </row>
    <row r="11879" spans="1:1" x14ac:dyDescent="0.25">
      <c r="A11879" s="15"/>
    </row>
    <row r="11880" spans="1:1" x14ac:dyDescent="0.25">
      <c r="A11880" s="15"/>
    </row>
    <row r="11881" spans="1:1" x14ac:dyDescent="0.25">
      <c r="A11881" s="15"/>
    </row>
    <row r="11882" spans="1:1" x14ac:dyDescent="0.25">
      <c r="A11882" s="15"/>
    </row>
    <row r="11883" spans="1:1" x14ac:dyDescent="0.25">
      <c r="A11883" s="15"/>
    </row>
    <row r="11884" spans="1:1" x14ac:dyDescent="0.25">
      <c r="A11884" s="15"/>
    </row>
    <row r="11885" spans="1:1" x14ac:dyDescent="0.25">
      <c r="A11885" s="15"/>
    </row>
    <row r="11886" spans="1:1" x14ac:dyDescent="0.25">
      <c r="A11886" s="15"/>
    </row>
    <row r="11887" spans="1:1" x14ac:dyDescent="0.25">
      <c r="A11887" s="15"/>
    </row>
    <row r="11888" spans="1:1" x14ac:dyDescent="0.25">
      <c r="A11888" s="15"/>
    </row>
    <row r="11889" spans="1:1" x14ac:dyDescent="0.25">
      <c r="A11889" s="15"/>
    </row>
    <row r="11890" spans="1:1" x14ac:dyDescent="0.25">
      <c r="A11890" s="15"/>
    </row>
    <row r="11891" spans="1:1" x14ac:dyDescent="0.25">
      <c r="A11891" s="15"/>
    </row>
    <row r="11892" spans="1:1" x14ac:dyDescent="0.25">
      <c r="A11892" s="15"/>
    </row>
    <row r="11893" spans="1:1" x14ac:dyDescent="0.25">
      <c r="A11893" s="15"/>
    </row>
    <row r="11894" spans="1:1" x14ac:dyDescent="0.25">
      <c r="A11894" s="15"/>
    </row>
    <row r="11895" spans="1:1" x14ac:dyDescent="0.25">
      <c r="A11895" s="15"/>
    </row>
    <row r="11896" spans="1:1" x14ac:dyDescent="0.25">
      <c r="A11896" s="15"/>
    </row>
    <row r="11897" spans="1:1" x14ac:dyDescent="0.25">
      <c r="A11897" s="15"/>
    </row>
    <row r="11898" spans="1:1" x14ac:dyDescent="0.25">
      <c r="A11898" s="15"/>
    </row>
    <row r="11899" spans="1:1" x14ac:dyDescent="0.25">
      <c r="A11899" s="15"/>
    </row>
    <row r="11900" spans="1:1" x14ac:dyDescent="0.25">
      <c r="A11900" s="15"/>
    </row>
    <row r="11901" spans="1:1" x14ac:dyDescent="0.25">
      <c r="A11901" s="15"/>
    </row>
    <row r="11902" spans="1:1" x14ac:dyDescent="0.25">
      <c r="A11902" s="15"/>
    </row>
    <row r="11903" spans="1:1" x14ac:dyDescent="0.25">
      <c r="A11903" s="15"/>
    </row>
    <row r="11904" spans="1:1" x14ac:dyDescent="0.25">
      <c r="A11904" s="15"/>
    </row>
    <row r="11905" spans="1:1" x14ac:dyDescent="0.25">
      <c r="A11905" s="15"/>
    </row>
    <row r="11906" spans="1:1" x14ac:dyDescent="0.25">
      <c r="A11906" s="15"/>
    </row>
    <row r="11907" spans="1:1" x14ac:dyDescent="0.25">
      <c r="A11907" s="15"/>
    </row>
    <row r="11908" spans="1:1" x14ac:dyDescent="0.25">
      <c r="A11908" s="15"/>
    </row>
    <row r="11909" spans="1:1" x14ac:dyDescent="0.25">
      <c r="A11909" s="15"/>
    </row>
    <row r="11910" spans="1:1" x14ac:dyDescent="0.25">
      <c r="A11910" s="15"/>
    </row>
    <row r="11911" spans="1:1" x14ac:dyDescent="0.25">
      <c r="A11911" s="15"/>
    </row>
    <row r="11912" spans="1:1" x14ac:dyDescent="0.25">
      <c r="A11912" s="15"/>
    </row>
    <row r="11913" spans="1:1" x14ac:dyDescent="0.25">
      <c r="A11913" s="15"/>
    </row>
    <row r="11914" spans="1:1" x14ac:dyDescent="0.25">
      <c r="A11914" s="15"/>
    </row>
    <row r="11915" spans="1:1" x14ac:dyDescent="0.25">
      <c r="A11915" s="15"/>
    </row>
    <row r="11916" spans="1:1" x14ac:dyDescent="0.25">
      <c r="A11916" s="15"/>
    </row>
    <row r="11917" spans="1:1" x14ac:dyDescent="0.25">
      <c r="A11917" s="15"/>
    </row>
    <row r="11918" spans="1:1" x14ac:dyDescent="0.25">
      <c r="A11918" s="15"/>
    </row>
    <row r="11919" spans="1:1" x14ac:dyDescent="0.25">
      <c r="A11919" s="15"/>
    </row>
    <row r="11920" spans="1:1" x14ac:dyDescent="0.25">
      <c r="A11920" s="15"/>
    </row>
    <row r="11921" spans="1:1" x14ac:dyDescent="0.25">
      <c r="A11921" s="15"/>
    </row>
    <row r="11922" spans="1:1" x14ac:dyDescent="0.25">
      <c r="A11922" s="15"/>
    </row>
    <row r="11923" spans="1:1" x14ac:dyDescent="0.25">
      <c r="A11923" s="15"/>
    </row>
    <row r="11924" spans="1:1" x14ac:dyDescent="0.25">
      <c r="A11924" s="15"/>
    </row>
    <row r="11925" spans="1:1" x14ac:dyDescent="0.25">
      <c r="A11925" s="15"/>
    </row>
    <row r="11926" spans="1:1" x14ac:dyDescent="0.25">
      <c r="A11926" s="15"/>
    </row>
    <row r="11927" spans="1:1" x14ac:dyDescent="0.25">
      <c r="A11927" s="15"/>
    </row>
    <row r="11928" spans="1:1" x14ac:dyDescent="0.25">
      <c r="A11928" s="15"/>
    </row>
    <row r="11929" spans="1:1" x14ac:dyDescent="0.25">
      <c r="A11929" s="15"/>
    </row>
    <row r="11930" spans="1:1" x14ac:dyDescent="0.25">
      <c r="A11930" s="15"/>
    </row>
    <row r="11931" spans="1:1" x14ac:dyDescent="0.25">
      <c r="A11931" s="15"/>
    </row>
    <row r="11932" spans="1:1" x14ac:dyDescent="0.25">
      <c r="A11932" s="15"/>
    </row>
    <row r="11933" spans="1:1" x14ac:dyDescent="0.25">
      <c r="A11933" s="15"/>
    </row>
    <row r="11934" spans="1:1" x14ac:dyDescent="0.25">
      <c r="A11934" s="15"/>
    </row>
    <row r="11935" spans="1:1" x14ac:dyDescent="0.25">
      <c r="A11935" s="15"/>
    </row>
    <row r="11936" spans="1:1" x14ac:dyDescent="0.25">
      <c r="A11936" s="15"/>
    </row>
    <row r="11937" spans="1:1" x14ac:dyDescent="0.25">
      <c r="A11937" s="15"/>
    </row>
    <row r="11938" spans="1:1" x14ac:dyDescent="0.25">
      <c r="A11938" s="15"/>
    </row>
    <row r="11939" spans="1:1" x14ac:dyDescent="0.25">
      <c r="A11939" s="15"/>
    </row>
    <row r="11940" spans="1:1" x14ac:dyDescent="0.25">
      <c r="A11940" s="15"/>
    </row>
    <row r="11941" spans="1:1" x14ac:dyDescent="0.25">
      <c r="A11941" s="15"/>
    </row>
    <row r="11942" spans="1:1" x14ac:dyDescent="0.25">
      <c r="A11942" s="15"/>
    </row>
    <row r="11943" spans="1:1" x14ac:dyDescent="0.25">
      <c r="A11943" s="15"/>
    </row>
    <row r="11944" spans="1:1" x14ac:dyDescent="0.25">
      <c r="A11944" s="15"/>
    </row>
    <row r="11945" spans="1:1" x14ac:dyDescent="0.25">
      <c r="A11945" s="15"/>
    </row>
    <row r="11946" spans="1:1" x14ac:dyDescent="0.25">
      <c r="A11946" s="15"/>
    </row>
    <row r="11947" spans="1:1" x14ac:dyDescent="0.25">
      <c r="A11947" s="15"/>
    </row>
    <row r="11948" spans="1:1" x14ac:dyDescent="0.25">
      <c r="A11948" s="15"/>
    </row>
    <row r="11949" spans="1:1" x14ac:dyDescent="0.25">
      <c r="A11949" s="15"/>
    </row>
    <row r="11950" spans="1:1" x14ac:dyDescent="0.25">
      <c r="A11950" s="15"/>
    </row>
    <row r="11951" spans="1:1" x14ac:dyDescent="0.25">
      <c r="A11951" s="15"/>
    </row>
    <row r="11952" spans="1:1" x14ac:dyDescent="0.25">
      <c r="A11952" s="15"/>
    </row>
    <row r="11953" spans="1:1" x14ac:dyDescent="0.25">
      <c r="A11953" s="15"/>
    </row>
    <row r="11954" spans="1:1" x14ac:dyDescent="0.25">
      <c r="A11954" s="15"/>
    </row>
    <row r="11955" spans="1:1" x14ac:dyDescent="0.25">
      <c r="A11955" s="15"/>
    </row>
    <row r="11956" spans="1:1" x14ac:dyDescent="0.25">
      <c r="A11956" s="15"/>
    </row>
    <row r="11957" spans="1:1" x14ac:dyDescent="0.25">
      <c r="A11957" s="15"/>
    </row>
    <row r="11958" spans="1:1" x14ac:dyDescent="0.25">
      <c r="A11958" s="15"/>
    </row>
    <row r="11959" spans="1:1" x14ac:dyDescent="0.25">
      <c r="A11959" s="15"/>
    </row>
    <row r="11960" spans="1:1" x14ac:dyDescent="0.25">
      <c r="A11960" s="15"/>
    </row>
    <row r="11961" spans="1:1" x14ac:dyDescent="0.25">
      <c r="A11961" s="15"/>
    </row>
    <row r="11962" spans="1:1" x14ac:dyDescent="0.25">
      <c r="A11962" s="15"/>
    </row>
    <row r="11963" spans="1:1" x14ac:dyDescent="0.25">
      <c r="A11963" s="15"/>
    </row>
    <row r="11964" spans="1:1" x14ac:dyDescent="0.25">
      <c r="A11964" s="15"/>
    </row>
    <row r="11965" spans="1:1" x14ac:dyDescent="0.25">
      <c r="A11965" s="15"/>
    </row>
    <row r="11966" spans="1:1" x14ac:dyDescent="0.25">
      <c r="A11966" s="15"/>
    </row>
    <row r="11967" spans="1:1" x14ac:dyDescent="0.25">
      <c r="A11967" s="15"/>
    </row>
    <row r="11968" spans="1:1" x14ac:dyDescent="0.25">
      <c r="A11968" s="15"/>
    </row>
    <row r="11969" spans="1:1" x14ac:dyDescent="0.25">
      <c r="A11969" s="15"/>
    </row>
    <row r="11970" spans="1:1" x14ac:dyDescent="0.25">
      <c r="A11970" s="15"/>
    </row>
    <row r="11971" spans="1:1" x14ac:dyDescent="0.25">
      <c r="A11971" s="15"/>
    </row>
    <row r="11972" spans="1:1" x14ac:dyDescent="0.25">
      <c r="A11972" s="15"/>
    </row>
    <row r="11973" spans="1:1" x14ac:dyDescent="0.25">
      <c r="A11973" s="15"/>
    </row>
    <row r="11974" spans="1:1" x14ac:dyDescent="0.25">
      <c r="A11974" s="15"/>
    </row>
    <row r="11975" spans="1:1" x14ac:dyDescent="0.25">
      <c r="A11975" s="15"/>
    </row>
    <row r="11976" spans="1:1" x14ac:dyDescent="0.25">
      <c r="A11976" s="15"/>
    </row>
    <row r="11977" spans="1:1" x14ac:dyDescent="0.25">
      <c r="A11977" s="15"/>
    </row>
    <row r="11978" spans="1:1" x14ac:dyDescent="0.25">
      <c r="A11978" s="15"/>
    </row>
    <row r="11979" spans="1:1" x14ac:dyDescent="0.25">
      <c r="A11979" s="15"/>
    </row>
    <row r="11980" spans="1:1" x14ac:dyDescent="0.25">
      <c r="A11980" s="15"/>
    </row>
    <row r="11981" spans="1:1" x14ac:dyDescent="0.25">
      <c r="A11981" s="15"/>
    </row>
    <row r="11982" spans="1:1" x14ac:dyDescent="0.25">
      <c r="A11982" s="15"/>
    </row>
    <row r="11983" spans="1:1" x14ac:dyDescent="0.25">
      <c r="A11983" s="15"/>
    </row>
    <row r="11984" spans="1:1" x14ac:dyDescent="0.25">
      <c r="A11984" s="15"/>
    </row>
    <row r="11985" spans="1:1" x14ac:dyDescent="0.25">
      <c r="A11985" s="15"/>
    </row>
    <row r="11986" spans="1:1" x14ac:dyDescent="0.25">
      <c r="A11986" s="15"/>
    </row>
    <row r="11987" spans="1:1" x14ac:dyDescent="0.25">
      <c r="A11987" s="15"/>
    </row>
    <row r="11988" spans="1:1" x14ac:dyDescent="0.25">
      <c r="A11988" s="15"/>
    </row>
    <row r="11989" spans="1:1" x14ac:dyDescent="0.25">
      <c r="A11989" s="15"/>
    </row>
    <row r="11990" spans="1:1" x14ac:dyDescent="0.25">
      <c r="A11990" s="15"/>
    </row>
    <row r="11991" spans="1:1" x14ac:dyDescent="0.25">
      <c r="A11991" s="15"/>
    </row>
    <row r="11992" spans="1:1" x14ac:dyDescent="0.25">
      <c r="A11992" s="15"/>
    </row>
    <row r="11993" spans="1:1" x14ac:dyDescent="0.25">
      <c r="A11993" s="15"/>
    </row>
    <row r="11994" spans="1:1" x14ac:dyDescent="0.25">
      <c r="A11994" s="15"/>
    </row>
    <row r="11995" spans="1:1" x14ac:dyDescent="0.25">
      <c r="A11995" s="15"/>
    </row>
    <row r="11996" spans="1:1" x14ac:dyDescent="0.25">
      <c r="A11996" s="15"/>
    </row>
    <row r="11997" spans="1:1" x14ac:dyDescent="0.25">
      <c r="A11997" s="15"/>
    </row>
    <row r="11998" spans="1:1" x14ac:dyDescent="0.25">
      <c r="A11998" s="15"/>
    </row>
    <row r="11999" spans="1:1" x14ac:dyDescent="0.25">
      <c r="A11999" s="15"/>
    </row>
    <row r="12000" spans="1:1" x14ac:dyDescent="0.25">
      <c r="A12000" s="15"/>
    </row>
    <row r="12001" spans="1:1" x14ac:dyDescent="0.25">
      <c r="A12001" s="15"/>
    </row>
    <row r="12002" spans="1:1" x14ac:dyDescent="0.25">
      <c r="A12002" s="15"/>
    </row>
    <row r="12003" spans="1:1" x14ac:dyDescent="0.25">
      <c r="A12003" s="15"/>
    </row>
    <row r="12004" spans="1:1" x14ac:dyDescent="0.25">
      <c r="A12004" s="15"/>
    </row>
    <row r="12005" spans="1:1" x14ac:dyDescent="0.25">
      <c r="A12005" s="15"/>
    </row>
    <row r="12006" spans="1:1" x14ac:dyDescent="0.25">
      <c r="A12006" s="15"/>
    </row>
    <row r="12007" spans="1:1" x14ac:dyDescent="0.25">
      <c r="A12007" s="15"/>
    </row>
    <row r="12008" spans="1:1" x14ac:dyDescent="0.25">
      <c r="A12008" s="15"/>
    </row>
    <row r="12009" spans="1:1" x14ac:dyDescent="0.25">
      <c r="A12009" s="15"/>
    </row>
    <row r="12010" spans="1:1" x14ac:dyDescent="0.25">
      <c r="A12010" s="15"/>
    </row>
    <row r="12011" spans="1:1" x14ac:dyDescent="0.25">
      <c r="A12011" s="15"/>
    </row>
    <row r="12012" spans="1:1" x14ac:dyDescent="0.25">
      <c r="A12012" s="15"/>
    </row>
    <row r="12013" spans="1:1" x14ac:dyDescent="0.25">
      <c r="A12013" s="15"/>
    </row>
    <row r="12014" spans="1:1" x14ac:dyDescent="0.25">
      <c r="A12014" s="15"/>
    </row>
    <row r="12015" spans="1:1" x14ac:dyDescent="0.25">
      <c r="A12015" s="15"/>
    </row>
    <row r="12016" spans="1:1" x14ac:dyDescent="0.25">
      <c r="A12016" s="15"/>
    </row>
    <row r="12017" spans="1:1" x14ac:dyDescent="0.25">
      <c r="A12017" s="15"/>
    </row>
    <row r="12018" spans="1:1" x14ac:dyDescent="0.25">
      <c r="A12018" s="15"/>
    </row>
    <row r="12019" spans="1:1" x14ac:dyDescent="0.25">
      <c r="A12019" s="15"/>
    </row>
    <row r="12020" spans="1:1" x14ac:dyDescent="0.25">
      <c r="A12020" s="15"/>
    </row>
    <row r="12021" spans="1:1" x14ac:dyDescent="0.25">
      <c r="A12021" s="15"/>
    </row>
    <row r="12022" spans="1:1" x14ac:dyDescent="0.25">
      <c r="A12022" s="15"/>
    </row>
    <row r="12023" spans="1:1" x14ac:dyDescent="0.25">
      <c r="A12023" s="15"/>
    </row>
    <row r="12024" spans="1:1" x14ac:dyDescent="0.25">
      <c r="A12024" s="15"/>
    </row>
    <row r="12025" spans="1:1" x14ac:dyDescent="0.25">
      <c r="A12025" s="15"/>
    </row>
    <row r="12026" spans="1:1" x14ac:dyDescent="0.25">
      <c r="A12026" s="15"/>
    </row>
    <row r="12027" spans="1:1" x14ac:dyDescent="0.25">
      <c r="A12027" s="15"/>
    </row>
    <row r="12028" spans="1:1" x14ac:dyDescent="0.25">
      <c r="A12028" s="15"/>
    </row>
    <row r="12029" spans="1:1" x14ac:dyDescent="0.25">
      <c r="A12029" s="15"/>
    </row>
    <row r="12030" spans="1:1" x14ac:dyDescent="0.25">
      <c r="A12030" s="15"/>
    </row>
    <row r="12031" spans="1:1" x14ac:dyDescent="0.25">
      <c r="A12031" s="15"/>
    </row>
    <row r="12032" spans="1:1" x14ac:dyDescent="0.25">
      <c r="A12032" s="15"/>
    </row>
    <row r="12033" spans="1:1" x14ac:dyDescent="0.25">
      <c r="A12033" s="15"/>
    </row>
    <row r="12034" spans="1:1" x14ac:dyDescent="0.25">
      <c r="A12034" s="15"/>
    </row>
    <row r="12035" spans="1:1" x14ac:dyDescent="0.25">
      <c r="A12035" s="15"/>
    </row>
    <row r="12036" spans="1:1" x14ac:dyDescent="0.25">
      <c r="A12036" s="15"/>
    </row>
    <row r="12037" spans="1:1" x14ac:dyDescent="0.25">
      <c r="A12037" s="15"/>
    </row>
    <row r="12038" spans="1:1" x14ac:dyDescent="0.25">
      <c r="A12038" s="15"/>
    </row>
    <row r="12039" spans="1:1" x14ac:dyDescent="0.25">
      <c r="A12039" s="15"/>
    </row>
    <row r="12040" spans="1:1" x14ac:dyDescent="0.25">
      <c r="A12040" s="15"/>
    </row>
    <row r="12041" spans="1:1" x14ac:dyDescent="0.25">
      <c r="A12041" s="15"/>
    </row>
    <row r="12042" spans="1:1" x14ac:dyDescent="0.25">
      <c r="A12042" s="15"/>
    </row>
    <row r="12043" spans="1:1" x14ac:dyDescent="0.25">
      <c r="A12043" s="15"/>
    </row>
    <row r="12044" spans="1:1" x14ac:dyDescent="0.25">
      <c r="A12044" s="15"/>
    </row>
    <row r="12045" spans="1:1" x14ac:dyDescent="0.25">
      <c r="A12045" s="15"/>
    </row>
    <row r="12046" spans="1:1" x14ac:dyDescent="0.25">
      <c r="A12046" s="15"/>
    </row>
    <row r="12047" spans="1:1" x14ac:dyDescent="0.25">
      <c r="A12047" s="15"/>
    </row>
    <row r="12048" spans="1:1" x14ac:dyDescent="0.25">
      <c r="A12048" s="15"/>
    </row>
    <row r="12049" spans="1:1" x14ac:dyDescent="0.25">
      <c r="A12049" s="15"/>
    </row>
    <row r="12050" spans="1:1" x14ac:dyDescent="0.25">
      <c r="A12050" s="15"/>
    </row>
    <row r="12051" spans="1:1" x14ac:dyDescent="0.25">
      <c r="A12051" s="15"/>
    </row>
    <row r="12052" spans="1:1" x14ac:dyDescent="0.25">
      <c r="A12052" s="15"/>
    </row>
    <row r="12053" spans="1:1" x14ac:dyDescent="0.25">
      <c r="A12053" s="15"/>
    </row>
    <row r="12054" spans="1:1" x14ac:dyDescent="0.25">
      <c r="A12054" s="15"/>
    </row>
    <row r="12055" spans="1:1" x14ac:dyDescent="0.25">
      <c r="A12055" s="15"/>
    </row>
    <row r="12056" spans="1:1" x14ac:dyDescent="0.25">
      <c r="A12056" s="15"/>
    </row>
    <row r="12057" spans="1:1" x14ac:dyDescent="0.25">
      <c r="A12057" s="15"/>
    </row>
    <row r="12058" spans="1:1" x14ac:dyDescent="0.25">
      <c r="A12058" s="15"/>
    </row>
    <row r="12059" spans="1:1" x14ac:dyDescent="0.25">
      <c r="A12059" s="15"/>
    </row>
    <row r="12060" spans="1:1" x14ac:dyDescent="0.25">
      <c r="A12060" s="15"/>
    </row>
    <row r="12061" spans="1:1" x14ac:dyDescent="0.25">
      <c r="A12061" s="15"/>
    </row>
    <row r="12062" spans="1:1" x14ac:dyDescent="0.25">
      <c r="A12062" s="15"/>
    </row>
    <row r="12063" spans="1:1" x14ac:dyDescent="0.25">
      <c r="A12063" s="15"/>
    </row>
    <row r="12064" spans="1:1" x14ac:dyDescent="0.25">
      <c r="A12064" s="15"/>
    </row>
    <row r="12065" spans="1:1" x14ac:dyDescent="0.25">
      <c r="A12065" s="15"/>
    </row>
    <row r="12066" spans="1:1" x14ac:dyDescent="0.25">
      <c r="A12066" s="15"/>
    </row>
    <row r="12067" spans="1:1" x14ac:dyDescent="0.25">
      <c r="A12067" s="15"/>
    </row>
    <row r="12068" spans="1:1" x14ac:dyDescent="0.25">
      <c r="A12068" s="15"/>
    </row>
    <row r="12069" spans="1:1" x14ac:dyDescent="0.25">
      <c r="A12069" s="15"/>
    </row>
    <row r="12070" spans="1:1" x14ac:dyDescent="0.25">
      <c r="A12070" s="15"/>
    </row>
    <row r="12071" spans="1:1" x14ac:dyDescent="0.25">
      <c r="A12071" s="15"/>
    </row>
    <row r="12072" spans="1:1" x14ac:dyDescent="0.25">
      <c r="A12072" s="15"/>
    </row>
    <row r="12073" spans="1:1" x14ac:dyDescent="0.25">
      <c r="A12073" s="15"/>
    </row>
    <row r="12074" spans="1:1" x14ac:dyDescent="0.25">
      <c r="A12074" s="15"/>
    </row>
    <row r="12075" spans="1:1" x14ac:dyDescent="0.25">
      <c r="A12075" s="15"/>
    </row>
    <row r="12076" spans="1:1" x14ac:dyDescent="0.25">
      <c r="A12076" s="15"/>
    </row>
    <row r="12077" spans="1:1" x14ac:dyDescent="0.25">
      <c r="A12077" s="15"/>
    </row>
    <row r="12078" spans="1:1" x14ac:dyDescent="0.25">
      <c r="A12078" s="15"/>
    </row>
    <row r="12079" spans="1:1" x14ac:dyDescent="0.25">
      <c r="A12079" s="15"/>
    </row>
    <row r="12080" spans="1:1" x14ac:dyDescent="0.25">
      <c r="A12080" s="15"/>
    </row>
    <row r="12081" spans="1:1" x14ac:dyDescent="0.25">
      <c r="A12081" s="15"/>
    </row>
    <row r="12082" spans="1:1" x14ac:dyDescent="0.25">
      <c r="A12082" s="15"/>
    </row>
    <row r="12083" spans="1:1" x14ac:dyDescent="0.25">
      <c r="A12083" s="15"/>
    </row>
    <row r="12084" spans="1:1" x14ac:dyDescent="0.25">
      <c r="A12084" s="15"/>
    </row>
    <row r="12085" spans="1:1" x14ac:dyDescent="0.25">
      <c r="A12085" s="15"/>
    </row>
    <row r="12086" spans="1:1" x14ac:dyDescent="0.25">
      <c r="A12086" s="15"/>
    </row>
    <row r="12087" spans="1:1" x14ac:dyDescent="0.25">
      <c r="A12087" s="15"/>
    </row>
    <row r="12088" spans="1:1" x14ac:dyDescent="0.25">
      <c r="A12088" s="15"/>
    </row>
    <row r="12089" spans="1:1" x14ac:dyDescent="0.25">
      <c r="A12089" s="15"/>
    </row>
    <row r="12090" spans="1:1" x14ac:dyDescent="0.25">
      <c r="A12090" s="15"/>
    </row>
    <row r="12091" spans="1:1" x14ac:dyDescent="0.25">
      <c r="A12091" s="15"/>
    </row>
    <row r="12092" spans="1:1" x14ac:dyDescent="0.25">
      <c r="A12092" s="15"/>
    </row>
    <row r="12093" spans="1:1" x14ac:dyDescent="0.25">
      <c r="A12093" s="15"/>
    </row>
    <row r="12094" spans="1:1" x14ac:dyDescent="0.25">
      <c r="A12094" s="15"/>
    </row>
    <row r="12095" spans="1:1" x14ac:dyDescent="0.25">
      <c r="A12095" s="15"/>
    </row>
    <row r="12096" spans="1:1" x14ac:dyDescent="0.25">
      <c r="A12096" s="15"/>
    </row>
    <row r="12097" spans="1:1" x14ac:dyDescent="0.25">
      <c r="A12097" s="15"/>
    </row>
    <row r="12098" spans="1:1" x14ac:dyDescent="0.25">
      <c r="A12098" s="15"/>
    </row>
    <row r="12099" spans="1:1" x14ac:dyDescent="0.25">
      <c r="A12099" s="15"/>
    </row>
    <row r="12100" spans="1:1" x14ac:dyDescent="0.25">
      <c r="A12100" s="15"/>
    </row>
    <row r="12101" spans="1:1" x14ac:dyDescent="0.25">
      <c r="A12101" s="15"/>
    </row>
    <row r="12102" spans="1:1" x14ac:dyDescent="0.25">
      <c r="A12102" s="15"/>
    </row>
    <row r="12103" spans="1:1" x14ac:dyDescent="0.25">
      <c r="A12103" s="15"/>
    </row>
    <row r="12104" spans="1:1" x14ac:dyDescent="0.25">
      <c r="A12104" s="15"/>
    </row>
    <row r="12105" spans="1:1" x14ac:dyDescent="0.25">
      <c r="A12105" s="15"/>
    </row>
    <row r="12106" spans="1:1" x14ac:dyDescent="0.25">
      <c r="A12106" s="15"/>
    </row>
    <row r="12107" spans="1:1" x14ac:dyDescent="0.25">
      <c r="A12107" s="15"/>
    </row>
    <row r="12108" spans="1:1" x14ac:dyDescent="0.25">
      <c r="A12108" s="15"/>
    </row>
    <row r="12109" spans="1:1" x14ac:dyDescent="0.25">
      <c r="A12109" s="15"/>
    </row>
    <row r="12110" spans="1:1" x14ac:dyDescent="0.25">
      <c r="A12110" s="15"/>
    </row>
    <row r="12111" spans="1:1" x14ac:dyDescent="0.25">
      <c r="A12111" s="15"/>
    </row>
    <row r="12112" spans="1:1" x14ac:dyDescent="0.25">
      <c r="A12112" s="15"/>
    </row>
    <row r="12113" spans="1:1" x14ac:dyDescent="0.25">
      <c r="A12113" s="15"/>
    </row>
    <row r="12114" spans="1:1" x14ac:dyDescent="0.25">
      <c r="A12114" s="15"/>
    </row>
    <row r="12115" spans="1:1" x14ac:dyDescent="0.25">
      <c r="A12115" s="15"/>
    </row>
    <row r="12116" spans="1:1" x14ac:dyDescent="0.25">
      <c r="A12116" s="15"/>
    </row>
    <row r="12117" spans="1:1" x14ac:dyDescent="0.25">
      <c r="A12117" s="15"/>
    </row>
    <row r="12118" spans="1:1" x14ac:dyDescent="0.25">
      <c r="A12118" s="15"/>
    </row>
    <row r="12119" spans="1:1" x14ac:dyDescent="0.25">
      <c r="A12119" s="15"/>
    </row>
    <row r="12120" spans="1:1" x14ac:dyDescent="0.25">
      <c r="A12120" s="15"/>
    </row>
    <row r="12121" spans="1:1" x14ac:dyDescent="0.25">
      <c r="A12121" s="15"/>
    </row>
    <row r="12122" spans="1:1" x14ac:dyDescent="0.25">
      <c r="A12122" s="15"/>
    </row>
    <row r="12123" spans="1:1" x14ac:dyDescent="0.25">
      <c r="A12123" s="15"/>
    </row>
    <row r="12124" spans="1:1" x14ac:dyDescent="0.25">
      <c r="A12124" s="15"/>
    </row>
    <row r="12125" spans="1:1" x14ac:dyDescent="0.25">
      <c r="A12125" s="15"/>
    </row>
    <row r="12126" spans="1:1" x14ac:dyDescent="0.25">
      <c r="A12126" s="15"/>
    </row>
    <row r="12127" spans="1:1" x14ac:dyDescent="0.25">
      <c r="A12127" s="15"/>
    </row>
    <row r="12128" spans="1:1" x14ac:dyDescent="0.25">
      <c r="A12128" s="15"/>
    </row>
    <row r="12129" spans="1:1" x14ac:dyDescent="0.25">
      <c r="A12129" s="15"/>
    </row>
    <row r="12130" spans="1:1" x14ac:dyDescent="0.25">
      <c r="A12130" s="15"/>
    </row>
    <row r="12131" spans="1:1" x14ac:dyDescent="0.25">
      <c r="A12131" s="15"/>
    </row>
    <row r="12132" spans="1:1" x14ac:dyDescent="0.25">
      <c r="A12132" s="15"/>
    </row>
    <row r="12133" spans="1:1" x14ac:dyDescent="0.25">
      <c r="A12133" s="15"/>
    </row>
    <row r="12134" spans="1:1" x14ac:dyDescent="0.25">
      <c r="A12134" s="15"/>
    </row>
    <row r="12135" spans="1:1" x14ac:dyDescent="0.25">
      <c r="A12135" s="15"/>
    </row>
    <row r="12136" spans="1:1" x14ac:dyDescent="0.25">
      <c r="A12136" s="15"/>
    </row>
    <row r="12137" spans="1:1" x14ac:dyDescent="0.25">
      <c r="A12137" s="15"/>
    </row>
    <row r="12138" spans="1:1" x14ac:dyDescent="0.25">
      <c r="A12138" s="15"/>
    </row>
    <row r="12139" spans="1:1" x14ac:dyDescent="0.25">
      <c r="A12139" s="15"/>
    </row>
    <row r="12140" spans="1:1" x14ac:dyDescent="0.25">
      <c r="A12140" s="15"/>
    </row>
    <row r="12141" spans="1:1" x14ac:dyDescent="0.25">
      <c r="A12141" s="15"/>
    </row>
    <row r="12142" spans="1:1" x14ac:dyDescent="0.25">
      <c r="A12142" s="15"/>
    </row>
    <row r="12143" spans="1:1" x14ac:dyDescent="0.25">
      <c r="A12143" s="15"/>
    </row>
    <row r="12144" spans="1:1" x14ac:dyDescent="0.25">
      <c r="A12144" s="15"/>
    </row>
    <row r="12145" spans="1:1" x14ac:dyDescent="0.25">
      <c r="A12145" s="15"/>
    </row>
    <row r="12146" spans="1:1" x14ac:dyDescent="0.25">
      <c r="A12146" s="15"/>
    </row>
    <row r="12147" spans="1:1" x14ac:dyDescent="0.25">
      <c r="A12147" s="15"/>
    </row>
    <row r="12148" spans="1:1" x14ac:dyDescent="0.25">
      <c r="A12148" s="15"/>
    </row>
    <row r="12149" spans="1:1" x14ac:dyDescent="0.25">
      <c r="A12149" s="15"/>
    </row>
    <row r="12150" spans="1:1" x14ac:dyDescent="0.25">
      <c r="A12150" s="15"/>
    </row>
    <row r="12151" spans="1:1" x14ac:dyDescent="0.25">
      <c r="A12151" s="15"/>
    </row>
    <row r="12152" spans="1:1" x14ac:dyDescent="0.25">
      <c r="A12152" s="15"/>
    </row>
    <row r="12153" spans="1:1" x14ac:dyDescent="0.25">
      <c r="A12153" s="15"/>
    </row>
    <row r="12154" spans="1:1" x14ac:dyDescent="0.25">
      <c r="A12154" s="15"/>
    </row>
    <row r="12155" spans="1:1" x14ac:dyDescent="0.25">
      <c r="A12155" s="15"/>
    </row>
    <row r="12156" spans="1:1" x14ac:dyDescent="0.25">
      <c r="A12156" s="15"/>
    </row>
    <row r="12157" spans="1:1" x14ac:dyDescent="0.25">
      <c r="A12157" s="15"/>
    </row>
    <row r="12158" spans="1:1" x14ac:dyDescent="0.25">
      <c r="A12158" s="15"/>
    </row>
    <row r="12159" spans="1:1" x14ac:dyDescent="0.25">
      <c r="A12159" s="15"/>
    </row>
    <row r="12160" spans="1:1" x14ac:dyDescent="0.25">
      <c r="A12160" s="15"/>
    </row>
    <row r="12161" spans="1:1" x14ac:dyDescent="0.25">
      <c r="A12161" s="15"/>
    </row>
    <row r="12162" spans="1:1" x14ac:dyDescent="0.25">
      <c r="A12162" s="15"/>
    </row>
    <row r="12163" spans="1:1" x14ac:dyDescent="0.25">
      <c r="A12163" s="15"/>
    </row>
    <row r="12164" spans="1:1" x14ac:dyDescent="0.25">
      <c r="A12164" s="15"/>
    </row>
    <row r="12165" spans="1:1" x14ac:dyDescent="0.25">
      <c r="A12165" s="15"/>
    </row>
    <row r="12166" spans="1:1" x14ac:dyDescent="0.25">
      <c r="A12166" s="15"/>
    </row>
    <row r="12167" spans="1:1" x14ac:dyDescent="0.25">
      <c r="A12167" s="15"/>
    </row>
    <row r="12168" spans="1:1" x14ac:dyDescent="0.25">
      <c r="A12168" s="15"/>
    </row>
    <row r="12169" spans="1:1" x14ac:dyDescent="0.25">
      <c r="A12169" s="15"/>
    </row>
    <row r="12170" spans="1:1" x14ac:dyDescent="0.25">
      <c r="A12170" s="15"/>
    </row>
    <row r="12171" spans="1:1" x14ac:dyDescent="0.25">
      <c r="A12171" s="15"/>
    </row>
    <row r="12172" spans="1:1" x14ac:dyDescent="0.25">
      <c r="A12172" s="15"/>
    </row>
    <row r="12173" spans="1:1" x14ac:dyDescent="0.25">
      <c r="A12173" s="15"/>
    </row>
    <row r="12174" spans="1:1" x14ac:dyDescent="0.25">
      <c r="A12174" s="15"/>
    </row>
    <row r="12175" spans="1:1" x14ac:dyDescent="0.25">
      <c r="A12175" s="15"/>
    </row>
    <row r="12176" spans="1:1" x14ac:dyDescent="0.25">
      <c r="A12176" s="15"/>
    </row>
    <row r="12177" spans="1:1" x14ac:dyDescent="0.25">
      <c r="A12177" s="15"/>
    </row>
    <row r="12178" spans="1:1" x14ac:dyDescent="0.25">
      <c r="A12178" s="15"/>
    </row>
    <row r="12179" spans="1:1" x14ac:dyDescent="0.25">
      <c r="A12179" s="15"/>
    </row>
    <row r="12180" spans="1:1" x14ac:dyDescent="0.25">
      <c r="A12180" s="15"/>
    </row>
    <row r="12181" spans="1:1" x14ac:dyDescent="0.25">
      <c r="A12181" s="15"/>
    </row>
    <row r="12182" spans="1:1" x14ac:dyDescent="0.25">
      <c r="A12182" s="15"/>
    </row>
    <row r="12183" spans="1:1" x14ac:dyDescent="0.25">
      <c r="A12183" s="15"/>
    </row>
    <row r="12184" spans="1:1" x14ac:dyDescent="0.25">
      <c r="A12184" s="15"/>
    </row>
    <row r="12185" spans="1:1" x14ac:dyDescent="0.25">
      <c r="A12185" s="15"/>
    </row>
    <row r="12186" spans="1:1" x14ac:dyDescent="0.25">
      <c r="A12186" s="15"/>
    </row>
    <row r="12187" spans="1:1" x14ac:dyDescent="0.25">
      <c r="A12187" s="15"/>
    </row>
    <row r="12188" spans="1:1" x14ac:dyDescent="0.25">
      <c r="A12188" s="15"/>
    </row>
    <row r="12189" spans="1:1" x14ac:dyDescent="0.25">
      <c r="A12189" s="15"/>
    </row>
    <row r="12190" spans="1:1" x14ac:dyDescent="0.25">
      <c r="A12190" s="15"/>
    </row>
    <row r="12191" spans="1:1" x14ac:dyDescent="0.25">
      <c r="A12191" s="15"/>
    </row>
    <row r="12192" spans="1:1" x14ac:dyDescent="0.25">
      <c r="A12192" s="15"/>
    </row>
    <row r="12193" spans="1:1" x14ac:dyDescent="0.25">
      <c r="A12193" s="15"/>
    </row>
    <row r="12194" spans="1:1" x14ac:dyDescent="0.25">
      <c r="A12194" s="15"/>
    </row>
    <row r="12195" spans="1:1" x14ac:dyDescent="0.25">
      <c r="A12195" s="15"/>
    </row>
    <row r="12196" spans="1:1" x14ac:dyDescent="0.25">
      <c r="A12196" s="15"/>
    </row>
    <row r="12197" spans="1:1" x14ac:dyDescent="0.25">
      <c r="A12197" s="15"/>
    </row>
    <row r="12198" spans="1:1" x14ac:dyDescent="0.25">
      <c r="A12198" s="15"/>
    </row>
    <row r="12199" spans="1:1" x14ac:dyDescent="0.25">
      <c r="A12199" s="15"/>
    </row>
    <row r="12200" spans="1:1" x14ac:dyDescent="0.25">
      <c r="A12200" s="15"/>
    </row>
    <row r="12201" spans="1:1" x14ac:dyDescent="0.25">
      <c r="A12201" s="15"/>
    </row>
    <row r="12202" spans="1:1" x14ac:dyDescent="0.25">
      <c r="A12202" s="15"/>
    </row>
    <row r="12203" spans="1:1" x14ac:dyDescent="0.25">
      <c r="A12203" s="15"/>
    </row>
    <row r="12204" spans="1:1" x14ac:dyDescent="0.25">
      <c r="A12204" s="15"/>
    </row>
    <row r="12205" spans="1:1" x14ac:dyDescent="0.25">
      <c r="A12205" s="15"/>
    </row>
    <row r="12206" spans="1:1" x14ac:dyDescent="0.25">
      <c r="A12206" s="15"/>
    </row>
    <row r="12207" spans="1:1" x14ac:dyDescent="0.25">
      <c r="A12207" s="15"/>
    </row>
    <row r="12208" spans="1:1" x14ac:dyDescent="0.25">
      <c r="A12208" s="15"/>
    </row>
    <row r="12209" spans="1:1" x14ac:dyDescent="0.25">
      <c r="A12209" s="15"/>
    </row>
    <row r="12210" spans="1:1" x14ac:dyDescent="0.25">
      <c r="A12210" s="15"/>
    </row>
    <row r="12211" spans="1:1" x14ac:dyDescent="0.25">
      <c r="A12211" s="15"/>
    </row>
    <row r="12212" spans="1:1" x14ac:dyDescent="0.25">
      <c r="A12212" s="15"/>
    </row>
    <row r="12213" spans="1:1" x14ac:dyDescent="0.25">
      <c r="A12213" s="15"/>
    </row>
    <row r="12214" spans="1:1" x14ac:dyDescent="0.25">
      <c r="A12214" s="15"/>
    </row>
    <row r="12215" spans="1:1" x14ac:dyDescent="0.25">
      <c r="A12215" s="15"/>
    </row>
    <row r="12216" spans="1:1" x14ac:dyDescent="0.25">
      <c r="A12216" s="15"/>
    </row>
    <row r="12217" spans="1:1" x14ac:dyDescent="0.25">
      <c r="A12217" s="15"/>
    </row>
    <row r="12218" spans="1:1" x14ac:dyDescent="0.25">
      <c r="A12218" s="15"/>
    </row>
    <row r="12219" spans="1:1" x14ac:dyDescent="0.25">
      <c r="A12219" s="15"/>
    </row>
    <row r="12220" spans="1:1" x14ac:dyDescent="0.25">
      <c r="A12220" s="15"/>
    </row>
    <row r="12221" spans="1:1" x14ac:dyDescent="0.25">
      <c r="A12221" s="15"/>
    </row>
    <row r="12222" spans="1:1" x14ac:dyDescent="0.25">
      <c r="A12222" s="15"/>
    </row>
    <row r="12223" spans="1:1" x14ac:dyDescent="0.25">
      <c r="A12223" s="15"/>
    </row>
    <row r="12224" spans="1:1" x14ac:dyDescent="0.25">
      <c r="A12224" s="15"/>
    </row>
    <row r="12225" spans="1:1" x14ac:dyDescent="0.25">
      <c r="A12225" s="15"/>
    </row>
    <row r="12226" spans="1:1" x14ac:dyDescent="0.25">
      <c r="A12226" s="15"/>
    </row>
    <row r="12227" spans="1:1" x14ac:dyDescent="0.25">
      <c r="A12227" s="15"/>
    </row>
    <row r="12228" spans="1:1" x14ac:dyDescent="0.25">
      <c r="A12228" s="15"/>
    </row>
    <row r="12229" spans="1:1" x14ac:dyDescent="0.25">
      <c r="A12229" s="15"/>
    </row>
    <row r="12230" spans="1:1" x14ac:dyDescent="0.25">
      <c r="A12230" s="15"/>
    </row>
    <row r="12231" spans="1:1" x14ac:dyDescent="0.25">
      <c r="A12231" s="15"/>
    </row>
    <row r="12232" spans="1:1" x14ac:dyDescent="0.25">
      <c r="A12232" s="15"/>
    </row>
    <row r="12233" spans="1:1" x14ac:dyDescent="0.25">
      <c r="A12233" s="15"/>
    </row>
    <row r="12234" spans="1:1" x14ac:dyDescent="0.25">
      <c r="A12234" s="15"/>
    </row>
    <row r="12235" spans="1:1" x14ac:dyDescent="0.25">
      <c r="A12235" s="15"/>
    </row>
    <row r="12236" spans="1:1" x14ac:dyDescent="0.25">
      <c r="A12236" s="15"/>
    </row>
    <row r="12237" spans="1:1" x14ac:dyDescent="0.25">
      <c r="A12237" s="15"/>
    </row>
    <row r="12238" spans="1:1" x14ac:dyDescent="0.25">
      <c r="A12238" s="15"/>
    </row>
    <row r="12239" spans="1:1" x14ac:dyDescent="0.25">
      <c r="A12239" s="15"/>
    </row>
    <row r="12240" spans="1:1" x14ac:dyDescent="0.25">
      <c r="A12240" s="15"/>
    </row>
    <row r="12241" spans="1:1" x14ac:dyDescent="0.25">
      <c r="A12241" s="15"/>
    </row>
    <row r="12242" spans="1:1" x14ac:dyDescent="0.25">
      <c r="A12242" s="15"/>
    </row>
    <row r="12243" spans="1:1" x14ac:dyDescent="0.25">
      <c r="A12243" s="15"/>
    </row>
    <row r="12244" spans="1:1" x14ac:dyDescent="0.25">
      <c r="A12244" s="15"/>
    </row>
    <row r="12245" spans="1:1" x14ac:dyDescent="0.25">
      <c r="A12245" s="15"/>
    </row>
    <row r="12246" spans="1:1" x14ac:dyDescent="0.25">
      <c r="A12246" s="15"/>
    </row>
    <row r="12247" spans="1:1" x14ac:dyDescent="0.25">
      <c r="A12247" s="15"/>
    </row>
    <row r="12248" spans="1:1" x14ac:dyDescent="0.25">
      <c r="A12248" s="15"/>
    </row>
    <row r="12249" spans="1:1" x14ac:dyDescent="0.25">
      <c r="A12249" s="15"/>
    </row>
    <row r="12250" spans="1:1" x14ac:dyDescent="0.25">
      <c r="A12250" s="15"/>
    </row>
    <row r="12251" spans="1:1" x14ac:dyDescent="0.25">
      <c r="A12251" s="15"/>
    </row>
    <row r="12252" spans="1:1" x14ac:dyDescent="0.25">
      <c r="A12252" s="15"/>
    </row>
    <row r="12253" spans="1:1" x14ac:dyDescent="0.25">
      <c r="A12253" s="15"/>
    </row>
    <row r="12254" spans="1:1" x14ac:dyDescent="0.25">
      <c r="A12254" s="15"/>
    </row>
    <row r="12255" spans="1:1" x14ac:dyDescent="0.25">
      <c r="A12255" s="15"/>
    </row>
    <row r="12256" spans="1:1" x14ac:dyDescent="0.25">
      <c r="A12256" s="15"/>
    </row>
    <row r="12257" spans="1:1" x14ac:dyDescent="0.25">
      <c r="A12257" s="15"/>
    </row>
    <row r="12258" spans="1:1" x14ac:dyDescent="0.25">
      <c r="A12258" s="15"/>
    </row>
    <row r="12259" spans="1:1" x14ac:dyDescent="0.25">
      <c r="A12259" s="15"/>
    </row>
    <row r="12260" spans="1:1" x14ac:dyDescent="0.25">
      <c r="A12260" s="15"/>
    </row>
    <row r="12261" spans="1:1" x14ac:dyDescent="0.25">
      <c r="A12261" s="15"/>
    </row>
    <row r="12262" spans="1:1" x14ac:dyDescent="0.25">
      <c r="A12262" s="15"/>
    </row>
    <row r="12263" spans="1:1" x14ac:dyDescent="0.25">
      <c r="A12263" s="15"/>
    </row>
    <row r="12264" spans="1:1" x14ac:dyDescent="0.25">
      <c r="A12264" s="15"/>
    </row>
    <row r="12265" spans="1:1" x14ac:dyDescent="0.25">
      <c r="A12265" s="15"/>
    </row>
    <row r="12266" spans="1:1" x14ac:dyDescent="0.25">
      <c r="A12266" s="15"/>
    </row>
    <row r="12267" spans="1:1" x14ac:dyDescent="0.25">
      <c r="A12267" s="15"/>
    </row>
    <row r="12268" spans="1:1" x14ac:dyDescent="0.25">
      <c r="A12268" s="15"/>
    </row>
    <row r="12269" spans="1:1" x14ac:dyDescent="0.25">
      <c r="A12269" s="15"/>
    </row>
    <row r="12270" spans="1:1" x14ac:dyDescent="0.25">
      <c r="A12270" s="15"/>
    </row>
    <row r="12271" spans="1:1" x14ac:dyDescent="0.25">
      <c r="A12271" s="15"/>
    </row>
    <row r="12272" spans="1:1" x14ac:dyDescent="0.25">
      <c r="A12272" s="15"/>
    </row>
    <row r="12273" spans="1:1" x14ac:dyDescent="0.25">
      <c r="A12273" s="15"/>
    </row>
    <row r="12274" spans="1:1" x14ac:dyDescent="0.25">
      <c r="A12274" s="15"/>
    </row>
    <row r="12275" spans="1:1" x14ac:dyDescent="0.25">
      <c r="A12275" s="15"/>
    </row>
    <row r="12276" spans="1:1" x14ac:dyDescent="0.25">
      <c r="A12276" s="15"/>
    </row>
    <row r="12277" spans="1:1" x14ac:dyDescent="0.25">
      <c r="A12277" s="15"/>
    </row>
    <row r="12278" spans="1:1" x14ac:dyDescent="0.25">
      <c r="A12278" s="15"/>
    </row>
    <row r="12279" spans="1:1" x14ac:dyDescent="0.25">
      <c r="A12279" s="15"/>
    </row>
    <row r="12280" spans="1:1" x14ac:dyDescent="0.25">
      <c r="A12280" s="15"/>
    </row>
    <row r="12281" spans="1:1" x14ac:dyDescent="0.25">
      <c r="A12281" s="15"/>
    </row>
    <row r="12282" spans="1:1" x14ac:dyDescent="0.25">
      <c r="A12282" s="15"/>
    </row>
    <row r="12283" spans="1:1" x14ac:dyDescent="0.25">
      <c r="A12283" s="15"/>
    </row>
    <row r="12284" spans="1:1" x14ac:dyDescent="0.25">
      <c r="A12284" s="15"/>
    </row>
    <row r="12285" spans="1:1" x14ac:dyDescent="0.25">
      <c r="A12285" s="15"/>
    </row>
    <row r="12286" spans="1:1" x14ac:dyDescent="0.25">
      <c r="A12286" s="15"/>
    </row>
    <row r="12287" spans="1:1" x14ac:dyDescent="0.25">
      <c r="A12287" s="15"/>
    </row>
    <row r="12288" spans="1:1" x14ac:dyDescent="0.25">
      <c r="A12288" s="15"/>
    </row>
    <row r="12289" spans="1:1" x14ac:dyDescent="0.25">
      <c r="A12289" s="15"/>
    </row>
    <row r="12290" spans="1:1" x14ac:dyDescent="0.25">
      <c r="A12290" s="15"/>
    </row>
    <row r="12291" spans="1:1" x14ac:dyDescent="0.25">
      <c r="A12291" s="15"/>
    </row>
    <row r="12292" spans="1:1" x14ac:dyDescent="0.25">
      <c r="A12292" s="15"/>
    </row>
    <row r="12293" spans="1:1" x14ac:dyDescent="0.25">
      <c r="A12293" s="15"/>
    </row>
    <row r="12294" spans="1:1" x14ac:dyDescent="0.25">
      <c r="A12294" s="15"/>
    </row>
    <row r="12295" spans="1:1" x14ac:dyDescent="0.25">
      <c r="A12295" s="15"/>
    </row>
    <row r="12296" spans="1:1" x14ac:dyDescent="0.25">
      <c r="A12296" s="15"/>
    </row>
    <row r="12297" spans="1:1" x14ac:dyDescent="0.25">
      <c r="A12297" s="15"/>
    </row>
    <row r="12298" spans="1:1" x14ac:dyDescent="0.25">
      <c r="A12298" s="15"/>
    </row>
    <row r="12299" spans="1:1" x14ac:dyDescent="0.25">
      <c r="A12299" s="15"/>
    </row>
    <row r="12300" spans="1:1" x14ac:dyDescent="0.25">
      <c r="A12300" s="15"/>
    </row>
    <row r="12301" spans="1:1" x14ac:dyDescent="0.25">
      <c r="A12301" s="15"/>
    </row>
    <row r="12302" spans="1:1" x14ac:dyDescent="0.25">
      <c r="A12302" s="15"/>
    </row>
    <row r="12303" spans="1:1" x14ac:dyDescent="0.25">
      <c r="A12303" s="15"/>
    </row>
    <row r="12304" spans="1:1" x14ac:dyDescent="0.25">
      <c r="A12304" s="15"/>
    </row>
    <row r="12305" spans="1:1" x14ac:dyDescent="0.25">
      <c r="A12305" s="15"/>
    </row>
    <row r="12306" spans="1:1" x14ac:dyDescent="0.25">
      <c r="A12306" s="15"/>
    </row>
    <row r="12307" spans="1:1" x14ac:dyDescent="0.25">
      <c r="A12307" s="15"/>
    </row>
    <row r="12308" spans="1:1" x14ac:dyDescent="0.25">
      <c r="A12308" s="15"/>
    </row>
    <row r="12309" spans="1:1" x14ac:dyDescent="0.25">
      <c r="A12309" s="15"/>
    </row>
    <row r="12310" spans="1:1" x14ac:dyDescent="0.25">
      <c r="A12310" s="15"/>
    </row>
    <row r="12311" spans="1:1" x14ac:dyDescent="0.25">
      <c r="A12311" s="15"/>
    </row>
    <row r="12312" spans="1:1" x14ac:dyDescent="0.25">
      <c r="A12312" s="15"/>
    </row>
    <row r="12313" spans="1:1" x14ac:dyDescent="0.25">
      <c r="A12313" s="15"/>
    </row>
    <row r="12314" spans="1:1" x14ac:dyDescent="0.25">
      <c r="A12314" s="15"/>
    </row>
    <row r="12315" spans="1:1" x14ac:dyDescent="0.25">
      <c r="A12315" s="15"/>
    </row>
    <row r="12316" spans="1:1" x14ac:dyDescent="0.25">
      <c r="A12316" s="15"/>
    </row>
    <row r="12317" spans="1:1" x14ac:dyDescent="0.25">
      <c r="A12317" s="15"/>
    </row>
    <row r="12318" spans="1:1" x14ac:dyDescent="0.25">
      <c r="A12318" s="15"/>
    </row>
    <row r="12319" spans="1:1" x14ac:dyDescent="0.25">
      <c r="A12319" s="15"/>
    </row>
    <row r="12320" spans="1:1" x14ac:dyDescent="0.25">
      <c r="A12320" s="15"/>
    </row>
    <row r="12321" spans="1:1" x14ac:dyDescent="0.25">
      <c r="A12321" s="15"/>
    </row>
    <row r="12322" spans="1:1" x14ac:dyDescent="0.25">
      <c r="A12322" s="15"/>
    </row>
    <row r="12323" spans="1:1" x14ac:dyDescent="0.25">
      <c r="A12323" s="15"/>
    </row>
    <row r="12324" spans="1:1" x14ac:dyDescent="0.25">
      <c r="A12324" s="15"/>
    </row>
    <row r="12325" spans="1:1" x14ac:dyDescent="0.25">
      <c r="A12325" s="15"/>
    </row>
    <row r="12326" spans="1:1" x14ac:dyDescent="0.25">
      <c r="A12326" s="15"/>
    </row>
    <row r="12327" spans="1:1" x14ac:dyDescent="0.25">
      <c r="A12327" s="15"/>
    </row>
    <row r="12328" spans="1:1" x14ac:dyDescent="0.25">
      <c r="A12328" s="15"/>
    </row>
    <row r="12329" spans="1:1" x14ac:dyDescent="0.25">
      <c r="A12329" s="15"/>
    </row>
    <row r="12330" spans="1:1" x14ac:dyDescent="0.25">
      <c r="A12330" s="15"/>
    </row>
    <row r="12331" spans="1:1" x14ac:dyDescent="0.25">
      <c r="A12331" s="15"/>
    </row>
    <row r="12332" spans="1:1" x14ac:dyDescent="0.25">
      <c r="A12332" s="15"/>
    </row>
    <row r="12333" spans="1:1" x14ac:dyDescent="0.25">
      <c r="A12333" s="15"/>
    </row>
    <row r="12334" spans="1:1" x14ac:dyDescent="0.25">
      <c r="A12334" s="15"/>
    </row>
    <row r="12335" spans="1:1" x14ac:dyDescent="0.25">
      <c r="A12335" s="15"/>
    </row>
    <row r="12336" spans="1:1" x14ac:dyDescent="0.25">
      <c r="A12336" s="15"/>
    </row>
    <row r="12337" spans="1:1" x14ac:dyDescent="0.25">
      <c r="A12337" s="15"/>
    </row>
    <row r="12338" spans="1:1" x14ac:dyDescent="0.25">
      <c r="A12338" s="15"/>
    </row>
    <row r="12339" spans="1:1" x14ac:dyDescent="0.25">
      <c r="A12339" s="15"/>
    </row>
    <row r="12340" spans="1:1" x14ac:dyDescent="0.25">
      <c r="A12340" s="15"/>
    </row>
    <row r="12341" spans="1:1" x14ac:dyDescent="0.25">
      <c r="A12341" s="15"/>
    </row>
    <row r="12342" spans="1:1" x14ac:dyDescent="0.25">
      <c r="A12342" s="15"/>
    </row>
    <row r="12343" spans="1:1" x14ac:dyDescent="0.25">
      <c r="A12343" s="15"/>
    </row>
    <row r="12344" spans="1:1" x14ac:dyDescent="0.25">
      <c r="A12344" s="15"/>
    </row>
    <row r="12345" spans="1:1" x14ac:dyDescent="0.25">
      <c r="A12345" s="15"/>
    </row>
    <row r="12346" spans="1:1" x14ac:dyDescent="0.25">
      <c r="A12346" s="15"/>
    </row>
    <row r="12347" spans="1:1" x14ac:dyDescent="0.25">
      <c r="A12347" s="15"/>
    </row>
    <row r="12348" spans="1:1" x14ac:dyDescent="0.25">
      <c r="A12348" s="15"/>
    </row>
    <row r="12349" spans="1:1" x14ac:dyDescent="0.25">
      <c r="A12349" s="15"/>
    </row>
    <row r="12350" spans="1:1" x14ac:dyDescent="0.25">
      <c r="A12350" s="15"/>
    </row>
    <row r="12351" spans="1:1" x14ac:dyDescent="0.25">
      <c r="A12351" s="15"/>
    </row>
    <row r="12352" spans="1:1" x14ac:dyDescent="0.25">
      <c r="A12352" s="15"/>
    </row>
    <row r="12353" spans="1:1" x14ac:dyDescent="0.25">
      <c r="A12353" s="15"/>
    </row>
    <row r="12354" spans="1:1" x14ac:dyDescent="0.25">
      <c r="A12354" s="15"/>
    </row>
    <row r="12355" spans="1:1" x14ac:dyDescent="0.25">
      <c r="A12355" s="15"/>
    </row>
    <row r="12356" spans="1:1" x14ac:dyDescent="0.25">
      <c r="A12356" s="15"/>
    </row>
    <row r="12357" spans="1:1" x14ac:dyDescent="0.25">
      <c r="A12357" s="15"/>
    </row>
    <row r="12358" spans="1:1" x14ac:dyDescent="0.25">
      <c r="A12358" s="15"/>
    </row>
    <row r="12359" spans="1:1" x14ac:dyDescent="0.25">
      <c r="A12359" s="15"/>
    </row>
    <row r="12360" spans="1:1" x14ac:dyDescent="0.25">
      <c r="A12360" s="15"/>
    </row>
    <row r="12361" spans="1:1" x14ac:dyDescent="0.25">
      <c r="A12361" s="15"/>
    </row>
    <row r="12362" spans="1:1" x14ac:dyDescent="0.25">
      <c r="A12362" s="15"/>
    </row>
    <row r="12363" spans="1:1" x14ac:dyDescent="0.25">
      <c r="A12363" s="15"/>
    </row>
    <row r="12364" spans="1:1" x14ac:dyDescent="0.25">
      <c r="A12364" s="15"/>
    </row>
    <row r="12365" spans="1:1" x14ac:dyDescent="0.25">
      <c r="A12365" s="15"/>
    </row>
    <row r="12366" spans="1:1" x14ac:dyDescent="0.25">
      <c r="A12366" s="15"/>
    </row>
    <row r="12367" spans="1:1" x14ac:dyDescent="0.25">
      <c r="A12367" s="15"/>
    </row>
    <row r="12368" spans="1:1" x14ac:dyDescent="0.25">
      <c r="A12368" s="15"/>
    </row>
    <row r="12369" spans="1:1" x14ac:dyDescent="0.25">
      <c r="A12369" s="15"/>
    </row>
    <row r="12370" spans="1:1" x14ac:dyDescent="0.25">
      <c r="A12370" s="15"/>
    </row>
    <row r="12371" spans="1:1" x14ac:dyDescent="0.25">
      <c r="A12371" s="15"/>
    </row>
    <row r="12372" spans="1:1" x14ac:dyDescent="0.25">
      <c r="A12372" s="15"/>
    </row>
    <row r="12373" spans="1:1" x14ac:dyDescent="0.25">
      <c r="A12373" s="15"/>
    </row>
    <row r="12374" spans="1:1" x14ac:dyDescent="0.25">
      <c r="A12374" s="15"/>
    </row>
    <row r="12375" spans="1:1" x14ac:dyDescent="0.25">
      <c r="A12375" s="15"/>
    </row>
    <row r="12376" spans="1:1" x14ac:dyDescent="0.25">
      <c r="A12376" s="15"/>
    </row>
    <row r="12377" spans="1:1" x14ac:dyDescent="0.25">
      <c r="A12377" s="15"/>
    </row>
    <row r="12378" spans="1:1" x14ac:dyDescent="0.25">
      <c r="A12378" s="15"/>
    </row>
    <row r="12379" spans="1:1" x14ac:dyDescent="0.25">
      <c r="A12379" s="15"/>
    </row>
    <row r="12380" spans="1:1" x14ac:dyDescent="0.25">
      <c r="A12380" s="15"/>
    </row>
    <row r="12381" spans="1:1" x14ac:dyDescent="0.25">
      <c r="A12381" s="15"/>
    </row>
    <row r="12382" spans="1:1" x14ac:dyDescent="0.25">
      <c r="A12382" s="15"/>
    </row>
    <row r="12383" spans="1:1" x14ac:dyDescent="0.25">
      <c r="A12383" s="15"/>
    </row>
    <row r="12384" spans="1:1" x14ac:dyDescent="0.25">
      <c r="A12384" s="15"/>
    </row>
    <row r="12385" spans="1:1" x14ac:dyDescent="0.25">
      <c r="A12385" s="15"/>
    </row>
    <row r="12386" spans="1:1" x14ac:dyDescent="0.25">
      <c r="A12386" s="15"/>
    </row>
    <row r="12387" spans="1:1" x14ac:dyDescent="0.25">
      <c r="A12387" s="15"/>
    </row>
    <row r="12388" spans="1:1" x14ac:dyDescent="0.25">
      <c r="A12388" s="15"/>
    </row>
    <row r="12389" spans="1:1" x14ac:dyDescent="0.25">
      <c r="A12389" s="15"/>
    </row>
    <row r="12390" spans="1:1" x14ac:dyDescent="0.25">
      <c r="A12390" s="15"/>
    </row>
    <row r="12391" spans="1:1" x14ac:dyDescent="0.25">
      <c r="A12391" s="15"/>
    </row>
    <row r="12392" spans="1:1" x14ac:dyDescent="0.25">
      <c r="A12392" s="15"/>
    </row>
    <row r="12393" spans="1:1" x14ac:dyDescent="0.25">
      <c r="A12393" s="15"/>
    </row>
    <row r="12394" spans="1:1" x14ac:dyDescent="0.25">
      <c r="A12394" s="15"/>
    </row>
    <row r="12395" spans="1:1" x14ac:dyDescent="0.25">
      <c r="A12395" s="15"/>
    </row>
    <row r="12396" spans="1:1" x14ac:dyDescent="0.25">
      <c r="A12396" s="15"/>
    </row>
    <row r="12397" spans="1:1" x14ac:dyDescent="0.25">
      <c r="A12397" s="15"/>
    </row>
    <row r="12398" spans="1:1" x14ac:dyDescent="0.25">
      <c r="A12398" s="15"/>
    </row>
    <row r="12399" spans="1:1" x14ac:dyDescent="0.25">
      <c r="A12399" s="15"/>
    </row>
    <row r="12400" spans="1:1" x14ac:dyDescent="0.25">
      <c r="A12400" s="15"/>
    </row>
    <row r="12401" spans="1:1" x14ac:dyDescent="0.25">
      <c r="A12401" s="15"/>
    </row>
    <row r="12402" spans="1:1" x14ac:dyDescent="0.25">
      <c r="A12402" s="15"/>
    </row>
    <row r="12403" spans="1:1" x14ac:dyDescent="0.25">
      <c r="A12403" s="15"/>
    </row>
    <row r="12404" spans="1:1" x14ac:dyDescent="0.25">
      <c r="A12404" s="15"/>
    </row>
    <row r="12405" spans="1:1" x14ac:dyDescent="0.25">
      <c r="A12405" s="15"/>
    </row>
    <row r="12406" spans="1:1" x14ac:dyDescent="0.25">
      <c r="A12406" s="15"/>
    </row>
    <row r="12407" spans="1:1" x14ac:dyDescent="0.25">
      <c r="A12407" s="15"/>
    </row>
    <row r="12408" spans="1:1" x14ac:dyDescent="0.25">
      <c r="A12408" s="15"/>
    </row>
    <row r="12409" spans="1:1" x14ac:dyDescent="0.25">
      <c r="A12409" s="15"/>
    </row>
    <row r="12410" spans="1:1" x14ac:dyDescent="0.25">
      <c r="A12410" s="15"/>
    </row>
    <row r="12411" spans="1:1" x14ac:dyDescent="0.25">
      <c r="A12411" s="15"/>
    </row>
    <row r="12412" spans="1:1" x14ac:dyDescent="0.25">
      <c r="A12412" s="15"/>
    </row>
    <row r="12413" spans="1:1" x14ac:dyDescent="0.25">
      <c r="A12413" s="15"/>
    </row>
    <row r="12414" spans="1:1" x14ac:dyDescent="0.25">
      <c r="A12414" s="15"/>
    </row>
    <row r="12415" spans="1:1" x14ac:dyDescent="0.25">
      <c r="A12415" s="15"/>
    </row>
    <row r="12416" spans="1:1" x14ac:dyDescent="0.25">
      <c r="A12416" s="15"/>
    </row>
    <row r="12417" spans="1:1" x14ac:dyDescent="0.25">
      <c r="A12417" s="15"/>
    </row>
    <row r="12418" spans="1:1" x14ac:dyDescent="0.25">
      <c r="A12418" s="15"/>
    </row>
    <row r="12419" spans="1:1" x14ac:dyDescent="0.25">
      <c r="A12419" s="15"/>
    </row>
    <row r="12420" spans="1:1" x14ac:dyDescent="0.25">
      <c r="A12420" s="15"/>
    </row>
    <row r="12421" spans="1:1" x14ac:dyDescent="0.25">
      <c r="A12421" s="15"/>
    </row>
    <row r="12422" spans="1:1" x14ac:dyDescent="0.25">
      <c r="A12422" s="15"/>
    </row>
    <row r="12423" spans="1:1" x14ac:dyDescent="0.25">
      <c r="A12423" s="15"/>
    </row>
    <row r="12424" spans="1:1" x14ac:dyDescent="0.25">
      <c r="A12424" s="15"/>
    </row>
    <row r="12425" spans="1:1" x14ac:dyDescent="0.25">
      <c r="A12425" s="15"/>
    </row>
    <row r="12426" spans="1:1" x14ac:dyDescent="0.25">
      <c r="A12426" s="15"/>
    </row>
    <row r="12427" spans="1:1" x14ac:dyDescent="0.25">
      <c r="A12427" s="15"/>
    </row>
    <row r="12428" spans="1:1" x14ac:dyDescent="0.25">
      <c r="A12428" s="15"/>
    </row>
    <row r="12429" spans="1:1" x14ac:dyDescent="0.25">
      <c r="A12429" s="15"/>
    </row>
    <row r="12430" spans="1:1" x14ac:dyDescent="0.25">
      <c r="A12430" s="15"/>
    </row>
    <row r="12431" spans="1:1" x14ac:dyDescent="0.25">
      <c r="A12431" s="15"/>
    </row>
    <row r="12432" spans="1:1" x14ac:dyDescent="0.25">
      <c r="A12432" s="15"/>
    </row>
    <row r="12433" spans="1:1" x14ac:dyDescent="0.25">
      <c r="A12433" s="15"/>
    </row>
    <row r="12434" spans="1:1" x14ac:dyDescent="0.25">
      <c r="A12434" s="15"/>
    </row>
    <row r="12435" spans="1:1" x14ac:dyDescent="0.25">
      <c r="A12435" s="15"/>
    </row>
    <row r="12436" spans="1:1" x14ac:dyDescent="0.25">
      <c r="A12436" s="15"/>
    </row>
    <row r="12437" spans="1:1" x14ac:dyDescent="0.25">
      <c r="A12437" s="15"/>
    </row>
    <row r="12438" spans="1:1" x14ac:dyDescent="0.25">
      <c r="A12438" s="15"/>
    </row>
    <row r="12439" spans="1:1" x14ac:dyDescent="0.25">
      <c r="A12439" s="15"/>
    </row>
    <row r="12440" spans="1:1" x14ac:dyDescent="0.25">
      <c r="A12440" s="15"/>
    </row>
    <row r="12441" spans="1:1" x14ac:dyDescent="0.25">
      <c r="A12441" s="15"/>
    </row>
    <row r="12442" spans="1:1" x14ac:dyDescent="0.25">
      <c r="A12442" s="15"/>
    </row>
    <row r="12443" spans="1:1" x14ac:dyDescent="0.25">
      <c r="A12443" s="15"/>
    </row>
    <row r="12444" spans="1:1" x14ac:dyDescent="0.25">
      <c r="A12444" s="15"/>
    </row>
    <row r="12445" spans="1:1" x14ac:dyDescent="0.25">
      <c r="A12445" s="15"/>
    </row>
    <row r="12446" spans="1:1" x14ac:dyDescent="0.25">
      <c r="A12446" s="15"/>
    </row>
    <row r="12447" spans="1:1" x14ac:dyDescent="0.25">
      <c r="A12447" s="15"/>
    </row>
    <row r="12448" spans="1:1" x14ac:dyDescent="0.25">
      <c r="A12448" s="15"/>
    </row>
    <row r="12449" spans="1:1" x14ac:dyDescent="0.25">
      <c r="A12449" s="15"/>
    </row>
    <row r="12450" spans="1:1" x14ac:dyDescent="0.25">
      <c r="A12450" s="15"/>
    </row>
    <row r="12451" spans="1:1" x14ac:dyDescent="0.25">
      <c r="A12451" s="15"/>
    </row>
    <row r="12452" spans="1:1" x14ac:dyDescent="0.25">
      <c r="A12452" s="15"/>
    </row>
    <row r="12453" spans="1:1" x14ac:dyDescent="0.25">
      <c r="A12453" s="15"/>
    </row>
    <row r="12454" spans="1:1" x14ac:dyDescent="0.25">
      <c r="A12454" s="15"/>
    </row>
    <row r="12455" spans="1:1" x14ac:dyDescent="0.25">
      <c r="A12455" s="15"/>
    </row>
    <row r="12456" spans="1:1" x14ac:dyDescent="0.25">
      <c r="A12456" s="15"/>
    </row>
    <row r="12457" spans="1:1" x14ac:dyDescent="0.25">
      <c r="A12457" s="15"/>
    </row>
    <row r="12458" spans="1:1" x14ac:dyDescent="0.25">
      <c r="A12458" s="15"/>
    </row>
    <row r="12459" spans="1:1" x14ac:dyDescent="0.25">
      <c r="A12459" s="15"/>
    </row>
    <row r="12460" spans="1:1" x14ac:dyDescent="0.25">
      <c r="A12460" s="15"/>
    </row>
    <row r="12461" spans="1:1" x14ac:dyDescent="0.25">
      <c r="A12461" s="15"/>
    </row>
    <row r="12462" spans="1:1" x14ac:dyDescent="0.25">
      <c r="A12462" s="15"/>
    </row>
    <row r="12463" spans="1:1" x14ac:dyDescent="0.25">
      <c r="A12463" s="15"/>
    </row>
    <row r="12464" spans="1:1" x14ac:dyDescent="0.25">
      <c r="A12464" s="15"/>
    </row>
    <row r="12465" spans="1:1" x14ac:dyDescent="0.25">
      <c r="A12465" s="15"/>
    </row>
    <row r="12466" spans="1:1" x14ac:dyDescent="0.25">
      <c r="A12466" s="15"/>
    </row>
    <row r="12467" spans="1:1" x14ac:dyDescent="0.25">
      <c r="A12467" s="15"/>
    </row>
    <row r="12468" spans="1:1" x14ac:dyDescent="0.25">
      <c r="A12468" s="15"/>
    </row>
    <row r="12469" spans="1:1" x14ac:dyDescent="0.25">
      <c r="A12469" s="15"/>
    </row>
    <row r="12470" spans="1:1" x14ac:dyDescent="0.25">
      <c r="A12470" s="15"/>
    </row>
    <row r="12471" spans="1:1" x14ac:dyDescent="0.25">
      <c r="A12471" s="15"/>
    </row>
    <row r="12472" spans="1:1" x14ac:dyDescent="0.25">
      <c r="A12472" s="15"/>
    </row>
    <row r="12473" spans="1:1" x14ac:dyDescent="0.25">
      <c r="A12473" s="15"/>
    </row>
    <row r="12474" spans="1:1" x14ac:dyDescent="0.25">
      <c r="A12474" s="15"/>
    </row>
    <row r="12475" spans="1:1" x14ac:dyDescent="0.25">
      <c r="A12475" s="15"/>
    </row>
    <row r="12476" spans="1:1" x14ac:dyDescent="0.25">
      <c r="A12476" s="15"/>
    </row>
    <row r="12477" spans="1:1" x14ac:dyDescent="0.25">
      <c r="A12477" s="15"/>
    </row>
    <row r="12478" spans="1:1" x14ac:dyDescent="0.25">
      <c r="A12478" s="15"/>
    </row>
    <row r="12479" spans="1:1" x14ac:dyDescent="0.25">
      <c r="A12479" s="15"/>
    </row>
    <row r="12480" spans="1:1" x14ac:dyDescent="0.25">
      <c r="A12480" s="15"/>
    </row>
    <row r="12481" spans="1:1" x14ac:dyDescent="0.25">
      <c r="A12481" s="15"/>
    </row>
    <row r="12482" spans="1:1" x14ac:dyDescent="0.25">
      <c r="A12482" s="15"/>
    </row>
    <row r="12483" spans="1:1" x14ac:dyDescent="0.25">
      <c r="A12483" s="15"/>
    </row>
    <row r="12484" spans="1:1" x14ac:dyDescent="0.25">
      <c r="A12484" s="15"/>
    </row>
    <row r="12485" spans="1:1" x14ac:dyDescent="0.25">
      <c r="A12485" s="15"/>
    </row>
    <row r="12486" spans="1:1" x14ac:dyDescent="0.25">
      <c r="A12486" s="15"/>
    </row>
    <row r="12487" spans="1:1" x14ac:dyDescent="0.25">
      <c r="A12487" s="15"/>
    </row>
    <row r="12488" spans="1:1" x14ac:dyDescent="0.25">
      <c r="A12488" s="15"/>
    </row>
    <row r="12489" spans="1:1" x14ac:dyDescent="0.25">
      <c r="A12489" s="15"/>
    </row>
    <row r="12490" spans="1:1" x14ac:dyDescent="0.25">
      <c r="A12490" s="15"/>
    </row>
    <row r="12491" spans="1:1" x14ac:dyDescent="0.25">
      <c r="A12491" s="15"/>
    </row>
    <row r="12492" spans="1:1" x14ac:dyDescent="0.25">
      <c r="A12492" s="15"/>
    </row>
    <row r="12493" spans="1:1" x14ac:dyDescent="0.25">
      <c r="A12493" s="15"/>
    </row>
    <row r="12494" spans="1:1" x14ac:dyDescent="0.25">
      <c r="A12494" s="15"/>
    </row>
    <row r="12495" spans="1:1" x14ac:dyDescent="0.25">
      <c r="A12495" s="15"/>
    </row>
    <row r="12496" spans="1:1" x14ac:dyDescent="0.25">
      <c r="A12496" s="15"/>
    </row>
    <row r="12497" spans="1:1" x14ac:dyDescent="0.25">
      <c r="A12497" s="15"/>
    </row>
    <row r="12498" spans="1:1" x14ac:dyDescent="0.25">
      <c r="A12498" s="15"/>
    </row>
    <row r="12499" spans="1:1" x14ac:dyDescent="0.25">
      <c r="A12499" s="15"/>
    </row>
    <row r="12500" spans="1:1" x14ac:dyDescent="0.25">
      <c r="A12500" s="15"/>
    </row>
    <row r="12501" spans="1:1" x14ac:dyDescent="0.25">
      <c r="A12501" s="15"/>
    </row>
    <row r="12502" spans="1:1" x14ac:dyDescent="0.25">
      <c r="A12502" s="15"/>
    </row>
    <row r="12503" spans="1:1" x14ac:dyDescent="0.25">
      <c r="A12503" s="15"/>
    </row>
    <row r="12504" spans="1:1" x14ac:dyDescent="0.25">
      <c r="A12504" s="15"/>
    </row>
    <row r="12505" spans="1:1" x14ac:dyDescent="0.25">
      <c r="A12505" s="15"/>
    </row>
    <row r="12506" spans="1:1" x14ac:dyDescent="0.25">
      <c r="A12506" s="15"/>
    </row>
    <row r="12507" spans="1:1" x14ac:dyDescent="0.25">
      <c r="A12507" s="15"/>
    </row>
    <row r="12508" spans="1:1" x14ac:dyDescent="0.25">
      <c r="A12508" s="15"/>
    </row>
    <row r="12509" spans="1:1" x14ac:dyDescent="0.25">
      <c r="A12509" s="15"/>
    </row>
    <row r="12510" spans="1:1" x14ac:dyDescent="0.25">
      <c r="A12510" s="15"/>
    </row>
    <row r="12511" spans="1:1" x14ac:dyDescent="0.25">
      <c r="A12511" s="15"/>
    </row>
    <row r="12512" spans="1:1" x14ac:dyDescent="0.25">
      <c r="A12512" s="15"/>
    </row>
    <row r="12513" spans="1:1" x14ac:dyDescent="0.25">
      <c r="A12513" s="15"/>
    </row>
    <row r="12514" spans="1:1" x14ac:dyDescent="0.25">
      <c r="A12514" s="15"/>
    </row>
    <row r="12515" spans="1:1" x14ac:dyDescent="0.25">
      <c r="A12515" s="15"/>
    </row>
    <row r="12516" spans="1:1" x14ac:dyDescent="0.25">
      <c r="A12516" s="15"/>
    </row>
    <row r="12517" spans="1:1" x14ac:dyDescent="0.25">
      <c r="A12517" s="15"/>
    </row>
    <row r="12518" spans="1:1" x14ac:dyDescent="0.25">
      <c r="A12518" s="15"/>
    </row>
    <row r="12519" spans="1:1" x14ac:dyDescent="0.25">
      <c r="A12519" s="15"/>
    </row>
    <row r="12520" spans="1:1" x14ac:dyDescent="0.25">
      <c r="A12520" s="15"/>
    </row>
    <row r="12521" spans="1:1" x14ac:dyDescent="0.25">
      <c r="A12521" s="15"/>
    </row>
    <row r="12522" spans="1:1" x14ac:dyDescent="0.25">
      <c r="A12522" s="15"/>
    </row>
    <row r="12523" spans="1:1" x14ac:dyDescent="0.25">
      <c r="A12523" s="15"/>
    </row>
    <row r="12524" spans="1:1" x14ac:dyDescent="0.25">
      <c r="A12524" s="15"/>
    </row>
    <row r="12525" spans="1:1" x14ac:dyDescent="0.25">
      <c r="A12525" s="15"/>
    </row>
    <row r="12526" spans="1:1" x14ac:dyDescent="0.25">
      <c r="A12526" s="15"/>
    </row>
    <row r="12527" spans="1:1" x14ac:dyDescent="0.25">
      <c r="A12527" s="15"/>
    </row>
    <row r="12528" spans="1:1" x14ac:dyDescent="0.25">
      <c r="A12528" s="15"/>
    </row>
    <row r="12529" spans="1:1" x14ac:dyDescent="0.25">
      <c r="A12529" s="15"/>
    </row>
    <row r="12530" spans="1:1" x14ac:dyDescent="0.25">
      <c r="A12530" s="15"/>
    </row>
    <row r="12531" spans="1:1" x14ac:dyDescent="0.25">
      <c r="A12531" s="15"/>
    </row>
    <row r="12532" spans="1:1" x14ac:dyDescent="0.25">
      <c r="A12532" s="15"/>
    </row>
    <row r="12533" spans="1:1" x14ac:dyDescent="0.25">
      <c r="A12533" s="15"/>
    </row>
    <row r="12534" spans="1:1" x14ac:dyDescent="0.25">
      <c r="A12534" s="15"/>
    </row>
    <row r="12535" spans="1:1" x14ac:dyDescent="0.25">
      <c r="A12535" s="15"/>
    </row>
    <row r="12536" spans="1:1" x14ac:dyDescent="0.25">
      <c r="A12536" s="15"/>
    </row>
    <row r="12537" spans="1:1" x14ac:dyDescent="0.25">
      <c r="A12537" s="15"/>
    </row>
    <row r="12538" spans="1:1" x14ac:dyDescent="0.25">
      <c r="A12538" s="15"/>
    </row>
    <row r="12539" spans="1:1" x14ac:dyDescent="0.25">
      <c r="A12539" s="15"/>
    </row>
    <row r="12540" spans="1:1" x14ac:dyDescent="0.25">
      <c r="A12540" s="15"/>
    </row>
    <row r="12541" spans="1:1" x14ac:dyDescent="0.25">
      <c r="A12541" s="15"/>
    </row>
    <row r="12542" spans="1:1" x14ac:dyDescent="0.25">
      <c r="A12542" s="15"/>
    </row>
    <row r="12543" spans="1:1" x14ac:dyDescent="0.25">
      <c r="A12543" s="15"/>
    </row>
    <row r="12544" spans="1:1" x14ac:dyDescent="0.25">
      <c r="A12544" s="15"/>
    </row>
    <row r="12545" spans="1:1" x14ac:dyDescent="0.25">
      <c r="A12545" s="15"/>
    </row>
    <row r="12546" spans="1:1" x14ac:dyDescent="0.25">
      <c r="A12546" s="15"/>
    </row>
    <row r="12547" spans="1:1" x14ac:dyDescent="0.25">
      <c r="A12547" s="15"/>
    </row>
    <row r="12548" spans="1:1" x14ac:dyDescent="0.25">
      <c r="A12548" s="15"/>
    </row>
    <row r="12549" spans="1:1" x14ac:dyDescent="0.25">
      <c r="A12549" s="15"/>
    </row>
    <row r="12550" spans="1:1" x14ac:dyDescent="0.25">
      <c r="A12550" s="15"/>
    </row>
    <row r="12551" spans="1:1" x14ac:dyDescent="0.25">
      <c r="A12551" s="15"/>
    </row>
    <row r="12552" spans="1:1" x14ac:dyDescent="0.25">
      <c r="A12552" s="15"/>
    </row>
    <row r="12553" spans="1:1" x14ac:dyDescent="0.25">
      <c r="A12553" s="15"/>
    </row>
    <row r="12554" spans="1:1" x14ac:dyDescent="0.25">
      <c r="A12554" s="15"/>
    </row>
    <row r="12555" spans="1:1" x14ac:dyDescent="0.25">
      <c r="A12555" s="15"/>
    </row>
    <row r="12556" spans="1:1" x14ac:dyDescent="0.25">
      <c r="A12556" s="15"/>
    </row>
    <row r="12557" spans="1:1" x14ac:dyDescent="0.25">
      <c r="A12557" s="15"/>
    </row>
    <row r="12558" spans="1:1" x14ac:dyDescent="0.25">
      <c r="A12558" s="15"/>
    </row>
    <row r="12559" spans="1:1" x14ac:dyDescent="0.25">
      <c r="A12559" s="15"/>
    </row>
    <row r="12560" spans="1:1" x14ac:dyDescent="0.25">
      <c r="A12560" s="15"/>
    </row>
    <row r="12561" spans="1:1" x14ac:dyDescent="0.25">
      <c r="A12561" s="15"/>
    </row>
    <row r="12562" spans="1:1" x14ac:dyDescent="0.25">
      <c r="A12562" s="15"/>
    </row>
    <row r="12563" spans="1:1" x14ac:dyDescent="0.25">
      <c r="A12563" s="15"/>
    </row>
    <row r="12564" spans="1:1" x14ac:dyDescent="0.25">
      <c r="A12564" s="15"/>
    </row>
    <row r="12565" spans="1:1" x14ac:dyDescent="0.25">
      <c r="A12565" s="15"/>
    </row>
    <row r="12566" spans="1:1" x14ac:dyDescent="0.25">
      <c r="A12566" s="15"/>
    </row>
    <row r="12567" spans="1:1" x14ac:dyDescent="0.25">
      <c r="A12567" s="15"/>
    </row>
    <row r="12568" spans="1:1" x14ac:dyDescent="0.25">
      <c r="A12568" s="15"/>
    </row>
    <row r="12569" spans="1:1" x14ac:dyDescent="0.25">
      <c r="A12569" s="15"/>
    </row>
    <row r="12570" spans="1:1" x14ac:dyDescent="0.25">
      <c r="A12570" s="15"/>
    </row>
    <row r="12571" spans="1:1" x14ac:dyDescent="0.25">
      <c r="A12571" s="15"/>
    </row>
    <row r="12572" spans="1:1" x14ac:dyDescent="0.25">
      <c r="A12572" s="15"/>
    </row>
    <row r="12573" spans="1:1" x14ac:dyDescent="0.25">
      <c r="A12573" s="15"/>
    </row>
    <row r="12574" spans="1:1" x14ac:dyDescent="0.25">
      <c r="A12574" s="15"/>
    </row>
    <row r="12575" spans="1:1" x14ac:dyDescent="0.25">
      <c r="A12575" s="15"/>
    </row>
    <row r="12576" spans="1:1" x14ac:dyDescent="0.25">
      <c r="A12576" s="15"/>
    </row>
    <row r="12577" spans="1:1" x14ac:dyDescent="0.25">
      <c r="A12577" s="15"/>
    </row>
    <row r="12578" spans="1:1" x14ac:dyDescent="0.25">
      <c r="A12578" s="15"/>
    </row>
    <row r="12579" spans="1:1" x14ac:dyDescent="0.25">
      <c r="A12579" s="15"/>
    </row>
    <row r="12580" spans="1:1" x14ac:dyDescent="0.25">
      <c r="A12580" s="15"/>
    </row>
    <row r="12581" spans="1:1" x14ac:dyDescent="0.25">
      <c r="A12581" s="15"/>
    </row>
    <row r="12582" spans="1:1" x14ac:dyDescent="0.25">
      <c r="A12582" s="15"/>
    </row>
    <row r="12583" spans="1:1" x14ac:dyDescent="0.25">
      <c r="A12583" s="15"/>
    </row>
    <row r="12584" spans="1:1" x14ac:dyDescent="0.25">
      <c r="A12584" s="15"/>
    </row>
    <row r="12585" spans="1:1" x14ac:dyDescent="0.25">
      <c r="A12585" s="15"/>
    </row>
    <row r="12586" spans="1:1" x14ac:dyDescent="0.25">
      <c r="A12586" s="15"/>
    </row>
    <row r="12587" spans="1:1" x14ac:dyDescent="0.25">
      <c r="A12587" s="15"/>
    </row>
    <row r="12588" spans="1:1" x14ac:dyDescent="0.25">
      <c r="A12588" s="15"/>
    </row>
    <row r="12589" spans="1:1" x14ac:dyDescent="0.25">
      <c r="A12589" s="15"/>
    </row>
    <row r="12590" spans="1:1" x14ac:dyDescent="0.25">
      <c r="A12590" s="15"/>
    </row>
    <row r="12591" spans="1:1" x14ac:dyDescent="0.25">
      <c r="A12591" s="15"/>
    </row>
    <row r="12592" spans="1:1" x14ac:dyDescent="0.25">
      <c r="A12592" s="15"/>
    </row>
    <row r="12593" spans="1:1" x14ac:dyDescent="0.25">
      <c r="A12593" s="15"/>
    </row>
    <row r="12594" spans="1:1" x14ac:dyDescent="0.25">
      <c r="A12594" s="15"/>
    </row>
    <row r="12595" spans="1:1" x14ac:dyDescent="0.25">
      <c r="A12595" s="15"/>
    </row>
    <row r="12596" spans="1:1" x14ac:dyDescent="0.25">
      <c r="A12596" s="15"/>
    </row>
    <row r="12597" spans="1:1" x14ac:dyDescent="0.25">
      <c r="A12597" s="15"/>
    </row>
    <row r="12598" spans="1:1" x14ac:dyDescent="0.25">
      <c r="A12598" s="15"/>
    </row>
    <row r="12599" spans="1:1" x14ac:dyDescent="0.25">
      <c r="A12599" s="15"/>
    </row>
    <row r="12600" spans="1:1" x14ac:dyDescent="0.25">
      <c r="A12600" s="15"/>
    </row>
    <row r="12601" spans="1:1" x14ac:dyDescent="0.25">
      <c r="A12601" s="15"/>
    </row>
    <row r="12602" spans="1:1" x14ac:dyDescent="0.25">
      <c r="A12602" s="15"/>
    </row>
    <row r="12603" spans="1:1" x14ac:dyDescent="0.25">
      <c r="A12603" s="15"/>
    </row>
    <row r="12604" spans="1:1" x14ac:dyDescent="0.25">
      <c r="A12604" s="15"/>
    </row>
    <row r="12605" spans="1:1" x14ac:dyDescent="0.25">
      <c r="A12605" s="15"/>
    </row>
    <row r="12606" spans="1:1" x14ac:dyDescent="0.25">
      <c r="A12606" s="15"/>
    </row>
    <row r="12607" spans="1:1" x14ac:dyDescent="0.25">
      <c r="A12607" s="15"/>
    </row>
    <row r="12608" spans="1:1" x14ac:dyDescent="0.25">
      <c r="A12608" s="15"/>
    </row>
    <row r="12609" spans="1:1" x14ac:dyDescent="0.25">
      <c r="A12609" s="15"/>
    </row>
    <row r="12610" spans="1:1" x14ac:dyDescent="0.25">
      <c r="A12610" s="15"/>
    </row>
    <row r="12611" spans="1:1" x14ac:dyDescent="0.25">
      <c r="A12611" s="15"/>
    </row>
    <row r="12612" spans="1:1" x14ac:dyDescent="0.25">
      <c r="A12612" s="15"/>
    </row>
    <row r="12613" spans="1:1" x14ac:dyDescent="0.25">
      <c r="A12613" s="15"/>
    </row>
    <row r="12614" spans="1:1" x14ac:dyDescent="0.25">
      <c r="A12614" s="15"/>
    </row>
    <row r="12615" spans="1:1" x14ac:dyDescent="0.25">
      <c r="A12615" s="15"/>
    </row>
    <row r="12616" spans="1:1" x14ac:dyDescent="0.25">
      <c r="A12616" s="15"/>
    </row>
    <row r="12617" spans="1:1" x14ac:dyDescent="0.25">
      <c r="A12617" s="15"/>
    </row>
    <row r="12618" spans="1:1" x14ac:dyDescent="0.25">
      <c r="A12618" s="15"/>
    </row>
    <row r="12619" spans="1:1" x14ac:dyDescent="0.25">
      <c r="A12619" s="15"/>
    </row>
    <row r="12620" spans="1:1" x14ac:dyDescent="0.25">
      <c r="A12620" s="15"/>
    </row>
    <row r="12621" spans="1:1" x14ac:dyDescent="0.25">
      <c r="A12621" s="15"/>
    </row>
    <row r="12622" spans="1:1" x14ac:dyDescent="0.25">
      <c r="A12622" s="15"/>
    </row>
    <row r="12623" spans="1:1" x14ac:dyDescent="0.25">
      <c r="A12623" s="15"/>
    </row>
    <row r="12624" spans="1:1" x14ac:dyDescent="0.25">
      <c r="A12624" s="15"/>
    </row>
    <row r="12625" spans="1:1" x14ac:dyDescent="0.25">
      <c r="A12625" s="15"/>
    </row>
    <row r="12626" spans="1:1" x14ac:dyDescent="0.25">
      <c r="A12626" s="15"/>
    </row>
    <row r="12627" spans="1:1" x14ac:dyDescent="0.25">
      <c r="A12627" s="15"/>
    </row>
    <row r="12628" spans="1:1" x14ac:dyDescent="0.25">
      <c r="A12628" s="15"/>
    </row>
    <row r="12629" spans="1:1" x14ac:dyDescent="0.25">
      <c r="A12629" s="15"/>
    </row>
    <row r="12630" spans="1:1" x14ac:dyDescent="0.25">
      <c r="A12630" s="15"/>
    </row>
    <row r="12631" spans="1:1" x14ac:dyDescent="0.25">
      <c r="A12631" s="15"/>
    </row>
    <row r="12632" spans="1:1" x14ac:dyDescent="0.25">
      <c r="A12632" s="15"/>
    </row>
    <row r="12633" spans="1:1" x14ac:dyDescent="0.25">
      <c r="A12633" s="15"/>
    </row>
    <row r="12634" spans="1:1" x14ac:dyDescent="0.25">
      <c r="A12634" s="15"/>
    </row>
    <row r="12635" spans="1:1" x14ac:dyDescent="0.25">
      <c r="A12635" s="15"/>
    </row>
    <row r="12636" spans="1:1" x14ac:dyDescent="0.25">
      <c r="A12636" s="15"/>
    </row>
    <row r="12637" spans="1:1" x14ac:dyDescent="0.25">
      <c r="A12637" s="15"/>
    </row>
    <row r="12638" spans="1:1" x14ac:dyDescent="0.25">
      <c r="A12638" s="15"/>
    </row>
    <row r="12639" spans="1:1" x14ac:dyDescent="0.25">
      <c r="A12639" s="15"/>
    </row>
    <row r="12640" spans="1:1" x14ac:dyDescent="0.25">
      <c r="A12640" s="15"/>
    </row>
    <row r="12641" spans="1:1" x14ac:dyDescent="0.25">
      <c r="A12641" s="15"/>
    </row>
    <row r="12642" spans="1:1" x14ac:dyDescent="0.25">
      <c r="A12642" s="15"/>
    </row>
    <row r="12643" spans="1:1" x14ac:dyDescent="0.25">
      <c r="A12643" s="15"/>
    </row>
    <row r="12644" spans="1:1" x14ac:dyDescent="0.25">
      <c r="A12644" s="15"/>
    </row>
    <row r="12645" spans="1:1" x14ac:dyDescent="0.25">
      <c r="A12645" s="15"/>
    </row>
    <row r="12646" spans="1:1" x14ac:dyDescent="0.25">
      <c r="A12646" s="15"/>
    </row>
    <row r="12647" spans="1:1" x14ac:dyDescent="0.25">
      <c r="A12647" s="15"/>
    </row>
    <row r="12648" spans="1:1" x14ac:dyDescent="0.25">
      <c r="A12648" s="15"/>
    </row>
    <row r="12649" spans="1:1" x14ac:dyDescent="0.25">
      <c r="A12649" s="15"/>
    </row>
    <row r="12650" spans="1:1" x14ac:dyDescent="0.25">
      <c r="A12650" s="15"/>
    </row>
    <row r="12651" spans="1:1" x14ac:dyDescent="0.25">
      <c r="A12651" s="15"/>
    </row>
    <row r="12652" spans="1:1" x14ac:dyDescent="0.25">
      <c r="A12652" s="15"/>
    </row>
    <row r="12653" spans="1:1" x14ac:dyDescent="0.25">
      <c r="A12653" s="15"/>
    </row>
    <row r="12654" spans="1:1" x14ac:dyDescent="0.25">
      <c r="A12654" s="15"/>
    </row>
    <row r="12655" spans="1:1" x14ac:dyDescent="0.25">
      <c r="A12655" s="15"/>
    </row>
    <row r="12656" spans="1:1" x14ac:dyDescent="0.25">
      <c r="A12656" s="15"/>
    </row>
    <row r="12657" spans="1:1" x14ac:dyDescent="0.25">
      <c r="A12657" s="15"/>
    </row>
    <row r="12658" spans="1:1" x14ac:dyDescent="0.25">
      <c r="A12658" s="15"/>
    </row>
    <row r="12659" spans="1:1" x14ac:dyDescent="0.25">
      <c r="A12659" s="15"/>
    </row>
    <row r="12660" spans="1:1" x14ac:dyDescent="0.25">
      <c r="A12660" s="15"/>
    </row>
    <row r="12661" spans="1:1" x14ac:dyDescent="0.25">
      <c r="A12661" s="15"/>
    </row>
    <row r="12662" spans="1:1" x14ac:dyDescent="0.25">
      <c r="A12662" s="15"/>
    </row>
    <row r="12663" spans="1:1" x14ac:dyDescent="0.25">
      <c r="A12663" s="15"/>
    </row>
    <row r="12664" spans="1:1" x14ac:dyDescent="0.25">
      <c r="A12664" s="15"/>
    </row>
    <row r="12665" spans="1:1" x14ac:dyDescent="0.25">
      <c r="A12665" s="15"/>
    </row>
    <row r="12666" spans="1:1" x14ac:dyDescent="0.25">
      <c r="A12666" s="15"/>
    </row>
    <row r="12667" spans="1:1" x14ac:dyDescent="0.25">
      <c r="A12667" s="15"/>
    </row>
    <row r="12668" spans="1:1" x14ac:dyDescent="0.25">
      <c r="A12668" s="15"/>
    </row>
    <row r="12669" spans="1:1" x14ac:dyDescent="0.25">
      <c r="A12669" s="15"/>
    </row>
    <row r="12670" spans="1:1" x14ac:dyDescent="0.25">
      <c r="A12670" s="15"/>
    </row>
    <row r="12671" spans="1:1" x14ac:dyDescent="0.25">
      <c r="A12671" s="15"/>
    </row>
    <row r="12672" spans="1:1" x14ac:dyDescent="0.25">
      <c r="A12672" s="15"/>
    </row>
    <row r="12673" spans="1:1" x14ac:dyDescent="0.25">
      <c r="A12673" s="15"/>
    </row>
    <row r="12674" spans="1:1" x14ac:dyDescent="0.25">
      <c r="A12674" s="15"/>
    </row>
    <row r="12675" spans="1:1" x14ac:dyDescent="0.25">
      <c r="A12675" s="15"/>
    </row>
    <row r="12676" spans="1:1" x14ac:dyDescent="0.25">
      <c r="A12676" s="15"/>
    </row>
    <row r="12677" spans="1:1" x14ac:dyDescent="0.25">
      <c r="A12677" s="15"/>
    </row>
    <row r="12678" spans="1:1" x14ac:dyDescent="0.25">
      <c r="A12678" s="15"/>
    </row>
    <row r="12679" spans="1:1" x14ac:dyDescent="0.25">
      <c r="A12679" s="15"/>
    </row>
    <row r="12680" spans="1:1" x14ac:dyDescent="0.25">
      <c r="A12680" s="15"/>
    </row>
    <row r="12681" spans="1:1" x14ac:dyDescent="0.25">
      <c r="A12681" s="15"/>
    </row>
    <row r="12682" spans="1:1" x14ac:dyDescent="0.25">
      <c r="A12682" s="15"/>
    </row>
    <row r="12683" spans="1:1" x14ac:dyDescent="0.25">
      <c r="A12683" s="15"/>
    </row>
    <row r="12684" spans="1:1" x14ac:dyDescent="0.25">
      <c r="A12684" s="15"/>
    </row>
    <row r="12685" spans="1:1" x14ac:dyDescent="0.25">
      <c r="A12685" s="15"/>
    </row>
    <row r="12686" spans="1:1" x14ac:dyDescent="0.25">
      <c r="A12686" s="15"/>
    </row>
    <row r="12687" spans="1:1" x14ac:dyDescent="0.25">
      <c r="A12687" s="15"/>
    </row>
    <row r="12688" spans="1:1" x14ac:dyDescent="0.25">
      <c r="A12688" s="15"/>
    </row>
    <row r="12689" spans="1:1" x14ac:dyDescent="0.25">
      <c r="A12689" s="15"/>
    </row>
    <row r="12690" spans="1:1" x14ac:dyDescent="0.25">
      <c r="A12690" s="15"/>
    </row>
    <row r="12691" spans="1:1" x14ac:dyDescent="0.25">
      <c r="A12691" s="15"/>
    </row>
    <row r="12692" spans="1:1" x14ac:dyDescent="0.25">
      <c r="A12692" s="15"/>
    </row>
    <row r="12693" spans="1:1" x14ac:dyDescent="0.25">
      <c r="A12693" s="15"/>
    </row>
    <row r="12694" spans="1:1" x14ac:dyDescent="0.25">
      <c r="A12694" s="15"/>
    </row>
    <row r="12695" spans="1:1" x14ac:dyDescent="0.25">
      <c r="A12695" s="15"/>
    </row>
    <row r="12696" spans="1:1" x14ac:dyDescent="0.25">
      <c r="A12696" s="15"/>
    </row>
    <row r="12697" spans="1:1" x14ac:dyDescent="0.25">
      <c r="A12697" s="15"/>
    </row>
    <row r="12698" spans="1:1" x14ac:dyDescent="0.25">
      <c r="A12698" s="15"/>
    </row>
    <row r="12699" spans="1:1" x14ac:dyDescent="0.25">
      <c r="A12699" s="15"/>
    </row>
    <row r="12700" spans="1:1" x14ac:dyDescent="0.25">
      <c r="A12700" s="15"/>
    </row>
    <row r="12701" spans="1:1" x14ac:dyDescent="0.25">
      <c r="A12701" s="15"/>
    </row>
    <row r="12702" spans="1:1" x14ac:dyDescent="0.25">
      <c r="A12702" s="15"/>
    </row>
    <row r="12703" spans="1:1" x14ac:dyDescent="0.25">
      <c r="A12703" s="15"/>
    </row>
    <row r="12704" spans="1:1" x14ac:dyDescent="0.25">
      <c r="A12704" s="15"/>
    </row>
    <row r="12705" spans="1:1" x14ac:dyDescent="0.25">
      <c r="A12705" s="15"/>
    </row>
    <row r="12706" spans="1:1" x14ac:dyDescent="0.25">
      <c r="A12706" s="15"/>
    </row>
    <row r="12707" spans="1:1" x14ac:dyDescent="0.25">
      <c r="A12707" s="15"/>
    </row>
    <row r="12708" spans="1:1" x14ac:dyDescent="0.25">
      <c r="A12708" s="15"/>
    </row>
    <row r="12709" spans="1:1" x14ac:dyDescent="0.25">
      <c r="A12709" s="15"/>
    </row>
    <row r="12710" spans="1:1" x14ac:dyDescent="0.25">
      <c r="A12710" s="15"/>
    </row>
    <row r="12711" spans="1:1" x14ac:dyDescent="0.25">
      <c r="A12711" s="15"/>
    </row>
    <row r="12712" spans="1:1" x14ac:dyDescent="0.25">
      <c r="A12712" s="15"/>
    </row>
    <row r="12713" spans="1:1" x14ac:dyDescent="0.25">
      <c r="A12713" s="15"/>
    </row>
    <row r="12714" spans="1:1" x14ac:dyDescent="0.25">
      <c r="A12714" s="15"/>
    </row>
    <row r="12715" spans="1:1" x14ac:dyDescent="0.25">
      <c r="A12715" s="15"/>
    </row>
    <row r="12716" spans="1:1" x14ac:dyDescent="0.25">
      <c r="A12716" s="15"/>
    </row>
    <row r="12717" spans="1:1" x14ac:dyDescent="0.25">
      <c r="A12717" s="15"/>
    </row>
    <row r="12718" spans="1:1" x14ac:dyDescent="0.25">
      <c r="A12718" s="15"/>
    </row>
    <row r="12719" spans="1:1" x14ac:dyDescent="0.25">
      <c r="A12719" s="15"/>
    </row>
    <row r="12720" spans="1:1" x14ac:dyDescent="0.25">
      <c r="A12720" s="15"/>
    </row>
    <row r="12721" spans="1:1" x14ac:dyDescent="0.25">
      <c r="A12721" s="15"/>
    </row>
    <row r="12722" spans="1:1" x14ac:dyDescent="0.25">
      <c r="A12722" s="15"/>
    </row>
    <row r="12723" spans="1:1" x14ac:dyDescent="0.25">
      <c r="A12723" s="15"/>
    </row>
    <row r="12724" spans="1:1" x14ac:dyDescent="0.25">
      <c r="A12724" s="15"/>
    </row>
    <row r="12725" spans="1:1" x14ac:dyDescent="0.25">
      <c r="A12725" s="15"/>
    </row>
    <row r="12726" spans="1:1" x14ac:dyDescent="0.25">
      <c r="A12726" s="15"/>
    </row>
    <row r="12727" spans="1:1" x14ac:dyDescent="0.25">
      <c r="A12727" s="15"/>
    </row>
    <row r="12728" spans="1:1" x14ac:dyDescent="0.25">
      <c r="A12728" s="15"/>
    </row>
    <row r="12729" spans="1:1" x14ac:dyDescent="0.25">
      <c r="A12729" s="15"/>
    </row>
    <row r="12730" spans="1:1" x14ac:dyDescent="0.25">
      <c r="A12730" s="15"/>
    </row>
    <row r="12731" spans="1:1" x14ac:dyDescent="0.25">
      <c r="A12731" s="15"/>
    </row>
    <row r="12732" spans="1:1" x14ac:dyDescent="0.25">
      <c r="A12732" s="15"/>
    </row>
    <row r="12733" spans="1:1" x14ac:dyDescent="0.25">
      <c r="A12733" s="15"/>
    </row>
    <row r="12734" spans="1:1" x14ac:dyDescent="0.25">
      <c r="A12734" s="15"/>
    </row>
    <row r="12735" spans="1:1" x14ac:dyDescent="0.25">
      <c r="A12735" s="15"/>
    </row>
    <row r="12736" spans="1:1" x14ac:dyDescent="0.25">
      <c r="A12736" s="15"/>
    </row>
    <row r="12737" spans="1:1" x14ac:dyDescent="0.25">
      <c r="A12737" s="15"/>
    </row>
    <row r="12738" spans="1:1" x14ac:dyDescent="0.25">
      <c r="A12738" s="15"/>
    </row>
    <row r="12739" spans="1:1" x14ac:dyDescent="0.25">
      <c r="A12739" s="15"/>
    </row>
    <row r="12740" spans="1:1" x14ac:dyDescent="0.25">
      <c r="A12740" s="15"/>
    </row>
    <row r="12741" spans="1:1" x14ac:dyDescent="0.25">
      <c r="A12741" s="15"/>
    </row>
    <row r="12742" spans="1:1" x14ac:dyDescent="0.25">
      <c r="A12742" s="15"/>
    </row>
    <row r="12743" spans="1:1" x14ac:dyDescent="0.25">
      <c r="A12743" s="15"/>
    </row>
    <row r="12744" spans="1:1" x14ac:dyDescent="0.25">
      <c r="A12744" s="15"/>
    </row>
    <row r="12745" spans="1:1" x14ac:dyDescent="0.25">
      <c r="A12745" s="15"/>
    </row>
    <row r="12746" spans="1:1" x14ac:dyDescent="0.25">
      <c r="A12746" s="15"/>
    </row>
    <row r="12747" spans="1:1" x14ac:dyDescent="0.25">
      <c r="A12747" s="15"/>
    </row>
    <row r="12748" spans="1:1" x14ac:dyDescent="0.25">
      <c r="A12748" s="15"/>
    </row>
    <row r="12749" spans="1:1" x14ac:dyDescent="0.25">
      <c r="A12749" s="15"/>
    </row>
    <row r="12750" spans="1:1" x14ac:dyDescent="0.25">
      <c r="A12750" s="15"/>
    </row>
    <row r="12751" spans="1:1" x14ac:dyDescent="0.25">
      <c r="A12751" s="15"/>
    </row>
    <row r="12752" spans="1:1" x14ac:dyDescent="0.25">
      <c r="A12752" s="15"/>
    </row>
    <row r="12753" spans="1:1" x14ac:dyDescent="0.25">
      <c r="A12753" s="15"/>
    </row>
    <row r="12754" spans="1:1" x14ac:dyDescent="0.25">
      <c r="A12754" s="15"/>
    </row>
    <row r="12755" spans="1:1" x14ac:dyDescent="0.25">
      <c r="A12755" s="15"/>
    </row>
    <row r="12756" spans="1:1" x14ac:dyDescent="0.25">
      <c r="A12756" s="15"/>
    </row>
    <row r="12757" spans="1:1" x14ac:dyDescent="0.25">
      <c r="A12757" s="15"/>
    </row>
    <row r="12758" spans="1:1" x14ac:dyDescent="0.25">
      <c r="A12758" s="15"/>
    </row>
    <row r="12759" spans="1:1" x14ac:dyDescent="0.25">
      <c r="A12759" s="15"/>
    </row>
    <row r="12760" spans="1:1" x14ac:dyDescent="0.25">
      <c r="A12760" s="15"/>
    </row>
    <row r="12761" spans="1:1" x14ac:dyDescent="0.25">
      <c r="A12761" s="15"/>
    </row>
    <row r="12762" spans="1:1" x14ac:dyDescent="0.25">
      <c r="A12762" s="15"/>
    </row>
    <row r="12763" spans="1:1" x14ac:dyDescent="0.25">
      <c r="A12763" s="15"/>
    </row>
    <row r="12764" spans="1:1" x14ac:dyDescent="0.25">
      <c r="A12764" s="15"/>
    </row>
    <row r="12765" spans="1:1" x14ac:dyDescent="0.25">
      <c r="A12765" s="15"/>
    </row>
    <row r="12766" spans="1:1" x14ac:dyDescent="0.25">
      <c r="A12766" s="15"/>
    </row>
    <row r="12767" spans="1:1" x14ac:dyDescent="0.25">
      <c r="A12767" s="15"/>
    </row>
    <row r="12768" spans="1:1" x14ac:dyDescent="0.25">
      <c r="A12768" s="15"/>
    </row>
    <row r="12769" spans="1:1" x14ac:dyDescent="0.25">
      <c r="A12769" s="15"/>
    </row>
    <row r="12770" spans="1:1" x14ac:dyDescent="0.25">
      <c r="A12770" s="15"/>
    </row>
    <row r="12771" spans="1:1" x14ac:dyDescent="0.25">
      <c r="A12771" s="15"/>
    </row>
    <row r="12772" spans="1:1" x14ac:dyDescent="0.25">
      <c r="A12772" s="15"/>
    </row>
    <row r="12773" spans="1:1" x14ac:dyDescent="0.25">
      <c r="A12773" s="15"/>
    </row>
    <row r="12774" spans="1:1" x14ac:dyDescent="0.25">
      <c r="A12774" s="15"/>
    </row>
    <row r="12775" spans="1:1" x14ac:dyDescent="0.25">
      <c r="A12775" s="15"/>
    </row>
    <row r="12776" spans="1:1" x14ac:dyDescent="0.25">
      <c r="A12776" s="15"/>
    </row>
    <row r="12777" spans="1:1" x14ac:dyDescent="0.25">
      <c r="A12777" s="15"/>
    </row>
    <row r="12778" spans="1:1" x14ac:dyDescent="0.25">
      <c r="A12778" s="15"/>
    </row>
    <row r="12779" spans="1:1" x14ac:dyDescent="0.25">
      <c r="A12779" s="15"/>
    </row>
    <row r="12780" spans="1:1" x14ac:dyDescent="0.25">
      <c r="A12780" s="15"/>
    </row>
    <row r="12781" spans="1:1" x14ac:dyDescent="0.25">
      <c r="A12781" s="15"/>
    </row>
    <row r="12782" spans="1:1" x14ac:dyDescent="0.25">
      <c r="A12782" s="15"/>
    </row>
    <row r="12783" spans="1:1" x14ac:dyDescent="0.25">
      <c r="A12783" s="15"/>
    </row>
    <row r="12784" spans="1:1" x14ac:dyDescent="0.25">
      <c r="A12784" s="15"/>
    </row>
    <row r="12785" spans="1:1" x14ac:dyDescent="0.25">
      <c r="A12785" s="15"/>
    </row>
    <row r="12786" spans="1:1" x14ac:dyDescent="0.25">
      <c r="A12786" s="15"/>
    </row>
    <row r="12787" spans="1:1" x14ac:dyDescent="0.25">
      <c r="A12787" s="15"/>
    </row>
    <row r="12788" spans="1:1" x14ac:dyDescent="0.25">
      <c r="A12788" s="15"/>
    </row>
    <row r="12789" spans="1:1" x14ac:dyDescent="0.25">
      <c r="A12789" s="15"/>
    </row>
    <row r="12790" spans="1:1" x14ac:dyDescent="0.25">
      <c r="A12790" s="15"/>
    </row>
    <row r="12791" spans="1:1" x14ac:dyDescent="0.25">
      <c r="A12791" s="15"/>
    </row>
    <row r="12792" spans="1:1" x14ac:dyDescent="0.25">
      <c r="A12792" s="15"/>
    </row>
    <row r="12793" spans="1:1" x14ac:dyDescent="0.25">
      <c r="A12793" s="15"/>
    </row>
    <row r="12794" spans="1:1" x14ac:dyDescent="0.25">
      <c r="A12794" s="15"/>
    </row>
    <row r="12795" spans="1:1" x14ac:dyDescent="0.25">
      <c r="A12795" s="15"/>
    </row>
    <row r="12796" spans="1:1" x14ac:dyDescent="0.25">
      <c r="A12796" s="15"/>
    </row>
    <row r="12797" spans="1:1" x14ac:dyDescent="0.25">
      <c r="A12797" s="15"/>
    </row>
    <row r="12798" spans="1:1" x14ac:dyDescent="0.25">
      <c r="A12798" s="15"/>
    </row>
    <row r="12799" spans="1:1" x14ac:dyDescent="0.25">
      <c r="A12799" s="15"/>
    </row>
    <row r="12800" spans="1:1" x14ac:dyDescent="0.25">
      <c r="A12800" s="15"/>
    </row>
    <row r="12801" spans="1:1" x14ac:dyDescent="0.25">
      <c r="A12801" s="15"/>
    </row>
    <row r="12802" spans="1:1" x14ac:dyDescent="0.25">
      <c r="A12802" s="15"/>
    </row>
    <row r="12803" spans="1:1" x14ac:dyDescent="0.25">
      <c r="A12803" s="15"/>
    </row>
    <row r="12804" spans="1:1" x14ac:dyDescent="0.25">
      <c r="A12804" s="15"/>
    </row>
    <row r="12805" spans="1:1" x14ac:dyDescent="0.25">
      <c r="A12805" s="15"/>
    </row>
    <row r="12806" spans="1:1" x14ac:dyDescent="0.25">
      <c r="A12806" s="15"/>
    </row>
    <row r="12807" spans="1:1" x14ac:dyDescent="0.25">
      <c r="A12807" s="15"/>
    </row>
    <row r="12808" spans="1:1" x14ac:dyDescent="0.25">
      <c r="A12808" s="15"/>
    </row>
    <row r="12809" spans="1:1" x14ac:dyDescent="0.25">
      <c r="A12809" s="15"/>
    </row>
    <row r="12810" spans="1:1" x14ac:dyDescent="0.25">
      <c r="A12810" s="15"/>
    </row>
    <row r="12811" spans="1:1" x14ac:dyDescent="0.25">
      <c r="A12811" s="15"/>
    </row>
    <row r="12812" spans="1:1" x14ac:dyDescent="0.25">
      <c r="A12812" s="15"/>
    </row>
    <row r="12813" spans="1:1" x14ac:dyDescent="0.25">
      <c r="A12813" s="15"/>
    </row>
    <row r="12814" spans="1:1" x14ac:dyDescent="0.25">
      <c r="A12814" s="15"/>
    </row>
    <row r="12815" spans="1:1" x14ac:dyDescent="0.25">
      <c r="A12815" s="15"/>
    </row>
    <row r="12816" spans="1:1" x14ac:dyDescent="0.25">
      <c r="A12816" s="15"/>
    </row>
    <row r="12817" spans="1:1" x14ac:dyDescent="0.25">
      <c r="A12817" s="15"/>
    </row>
    <row r="12818" spans="1:1" x14ac:dyDescent="0.25">
      <c r="A12818" s="15"/>
    </row>
    <row r="12819" spans="1:1" x14ac:dyDescent="0.25">
      <c r="A12819" s="15"/>
    </row>
    <row r="12820" spans="1:1" x14ac:dyDescent="0.25">
      <c r="A12820" s="15"/>
    </row>
    <row r="12821" spans="1:1" x14ac:dyDescent="0.25">
      <c r="A12821" s="15"/>
    </row>
    <row r="12822" spans="1:1" x14ac:dyDescent="0.25">
      <c r="A12822" s="15"/>
    </row>
    <row r="12823" spans="1:1" x14ac:dyDescent="0.25">
      <c r="A12823" s="15"/>
    </row>
    <row r="12824" spans="1:1" x14ac:dyDescent="0.25">
      <c r="A12824" s="15"/>
    </row>
    <row r="12825" spans="1:1" x14ac:dyDescent="0.25">
      <c r="A12825" s="15"/>
    </row>
    <row r="12826" spans="1:1" x14ac:dyDescent="0.25">
      <c r="A12826" s="15"/>
    </row>
    <row r="12827" spans="1:1" x14ac:dyDescent="0.25">
      <c r="A12827" s="15"/>
    </row>
    <row r="12828" spans="1:1" x14ac:dyDescent="0.25">
      <c r="A12828" s="15"/>
    </row>
    <row r="12829" spans="1:1" x14ac:dyDescent="0.25">
      <c r="A12829" s="15"/>
    </row>
    <row r="12830" spans="1:1" x14ac:dyDescent="0.25">
      <c r="A12830" s="15"/>
    </row>
    <row r="12831" spans="1:1" x14ac:dyDescent="0.25">
      <c r="A12831" s="15"/>
    </row>
    <row r="12832" spans="1:1" x14ac:dyDescent="0.25">
      <c r="A12832" s="15"/>
    </row>
    <row r="12833" spans="1:1" x14ac:dyDescent="0.25">
      <c r="A12833" s="15"/>
    </row>
    <row r="12834" spans="1:1" x14ac:dyDescent="0.25">
      <c r="A12834" s="15"/>
    </row>
    <row r="12835" spans="1:1" x14ac:dyDescent="0.25">
      <c r="A12835" s="15"/>
    </row>
    <row r="12836" spans="1:1" x14ac:dyDescent="0.25">
      <c r="A12836" s="15"/>
    </row>
    <row r="12837" spans="1:1" x14ac:dyDescent="0.25">
      <c r="A12837" s="15"/>
    </row>
    <row r="12838" spans="1:1" x14ac:dyDescent="0.25">
      <c r="A12838" s="15"/>
    </row>
    <row r="12839" spans="1:1" x14ac:dyDescent="0.25">
      <c r="A12839" s="15"/>
    </row>
    <row r="12840" spans="1:1" x14ac:dyDescent="0.25">
      <c r="A12840" s="15"/>
    </row>
    <row r="12841" spans="1:1" x14ac:dyDescent="0.25">
      <c r="A12841" s="15"/>
    </row>
    <row r="12842" spans="1:1" x14ac:dyDescent="0.25">
      <c r="A12842" s="15"/>
    </row>
    <row r="12843" spans="1:1" x14ac:dyDescent="0.25">
      <c r="A12843" s="15"/>
    </row>
    <row r="12844" spans="1:1" x14ac:dyDescent="0.25">
      <c r="A12844" s="15"/>
    </row>
    <row r="12845" spans="1:1" x14ac:dyDescent="0.25">
      <c r="A12845" s="15"/>
    </row>
    <row r="12846" spans="1:1" x14ac:dyDescent="0.25">
      <c r="A12846" s="15"/>
    </row>
    <row r="12847" spans="1:1" x14ac:dyDescent="0.25">
      <c r="A12847" s="15"/>
    </row>
    <row r="12848" spans="1:1" x14ac:dyDescent="0.25">
      <c r="A12848" s="15"/>
    </row>
    <row r="12849" spans="1:1" x14ac:dyDescent="0.25">
      <c r="A12849" s="15"/>
    </row>
    <row r="12850" spans="1:1" x14ac:dyDescent="0.25">
      <c r="A12850" s="15"/>
    </row>
    <row r="12851" spans="1:1" x14ac:dyDescent="0.25">
      <c r="A12851" s="15"/>
    </row>
    <row r="12852" spans="1:1" x14ac:dyDescent="0.25">
      <c r="A12852" s="15"/>
    </row>
    <row r="12853" spans="1:1" x14ac:dyDescent="0.25">
      <c r="A12853" s="15"/>
    </row>
    <row r="12854" spans="1:1" x14ac:dyDescent="0.25">
      <c r="A12854" s="15"/>
    </row>
    <row r="12855" spans="1:1" x14ac:dyDescent="0.25">
      <c r="A12855" s="15"/>
    </row>
    <row r="12856" spans="1:1" x14ac:dyDescent="0.25">
      <c r="A12856" s="15"/>
    </row>
    <row r="12857" spans="1:1" x14ac:dyDescent="0.25">
      <c r="A12857" s="15"/>
    </row>
    <row r="12858" spans="1:1" x14ac:dyDescent="0.25">
      <c r="A12858" s="15"/>
    </row>
    <row r="12859" spans="1:1" x14ac:dyDescent="0.25">
      <c r="A12859" s="15"/>
    </row>
    <row r="12860" spans="1:1" x14ac:dyDescent="0.25">
      <c r="A12860" s="15"/>
    </row>
    <row r="12861" spans="1:1" x14ac:dyDescent="0.25">
      <c r="A12861" s="15"/>
    </row>
    <row r="12862" spans="1:1" x14ac:dyDescent="0.25">
      <c r="A12862" s="15"/>
    </row>
    <row r="12863" spans="1:1" x14ac:dyDescent="0.25">
      <c r="A12863" s="15"/>
    </row>
    <row r="12864" spans="1:1" x14ac:dyDescent="0.25">
      <c r="A12864" s="15"/>
    </row>
    <row r="12865" spans="1:1" x14ac:dyDescent="0.25">
      <c r="A12865" s="15"/>
    </row>
    <row r="12866" spans="1:1" x14ac:dyDescent="0.25">
      <c r="A12866" s="15"/>
    </row>
    <row r="12867" spans="1:1" x14ac:dyDescent="0.25">
      <c r="A12867" s="15"/>
    </row>
    <row r="12868" spans="1:1" x14ac:dyDescent="0.25">
      <c r="A12868" s="15"/>
    </row>
    <row r="12869" spans="1:1" x14ac:dyDescent="0.25">
      <c r="A12869" s="15"/>
    </row>
    <row r="12870" spans="1:1" x14ac:dyDescent="0.25">
      <c r="A12870" s="15"/>
    </row>
    <row r="12871" spans="1:1" x14ac:dyDescent="0.25">
      <c r="A12871" s="15"/>
    </row>
    <row r="12872" spans="1:1" x14ac:dyDescent="0.25">
      <c r="A12872" s="15"/>
    </row>
    <row r="12873" spans="1:1" x14ac:dyDescent="0.25">
      <c r="A12873" s="15"/>
    </row>
    <row r="12874" spans="1:1" x14ac:dyDescent="0.25">
      <c r="A12874" s="15"/>
    </row>
    <row r="12875" spans="1:1" x14ac:dyDescent="0.25">
      <c r="A12875" s="15"/>
    </row>
    <row r="12876" spans="1:1" x14ac:dyDescent="0.25">
      <c r="A12876" s="15"/>
    </row>
    <row r="12877" spans="1:1" x14ac:dyDescent="0.25">
      <c r="A12877" s="15"/>
    </row>
    <row r="12878" spans="1:1" x14ac:dyDescent="0.25">
      <c r="A12878" s="15"/>
    </row>
    <row r="12879" spans="1:1" x14ac:dyDescent="0.25">
      <c r="A12879" s="15"/>
    </row>
    <row r="12880" spans="1:1" x14ac:dyDescent="0.25">
      <c r="A12880" s="15"/>
    </row>
    <row r="12881" spans="1:1" x14ac:dyDescent="0.25">
      <c r="A12881" s="15"/>
    </row>
    <row r="12882" spans="1:1" x14ac:dyDescent="0.25">
      <c r="A12882" s="15"/>
    </row>
    <row r="12883" spans="1:1" x14ac:dyDescent="0.25">
      <c r="A12883" s="15"/>
    </row>
    <row r="12884" spans="1:1" x14ac:dyDescent="0.25">
      <c r="A12884" s="15"/>
    </row>
    <row r="12885" spans="1:1" x14ac:dyDescent="0.25">
      <c r="A12885" s="15"/>
    </row>
    <row r="12886" spans="1:1" x14ac:dyDescent="0.25">
      <c r="A12886" s="15"/>
    </row>
    <row r="12887" spans="1:1" x14ac:dyDescent="0.25">
      <c r="A12887" s="15"/>
    </row>
    <row r="12888" spans="1:1" x14ac:dyDescent="0.25">
      <c r="A12888" s="15"/>
    </row>
    <row r="12889" spans="1:1" x14ac:dyDescent="0.25">
      <c r="A12889" s="15"/>
    </row>
    <row r="12890" spans="1:1" x14ac:dyDescent="0.25">
      <c r="A12890" s="15"/>
    </row>
    <row r="12891" spans="1:1" x14ac:dyDescent="0.25">
      <c r="A12891" s="15"/>
    </row>
    <row r="12892" spans="1:1" x14ac:dyDescent="0.25">
      <c r="A12892" s="15"/>
    </row>
    <row r="12893" spans="1:1" x14ac:dyDescent="0.25">
      <c r="A12893" s="15"/>
    </row>
    <row r="12894" spans="1:1" x14ac:dyDescent="0.25">
      <c r="A12894" s="15"/>
    </row>
    <row r="12895" spans="1:1" x14ac:dyDescent="0.25">
      <c r="A12895" s="15"/>
    </row>
    <row r="12896" spans="1:1" x14ac:dyDescent="0.25">
      <c r="A12896" s="15"/>
    </row>
    <row r="12897" spans="1:1" x14ac:dyDescent="0.25">
      <c r="A12897" s="15"/>
    </row>
    <row r="12898" spans="1:1" x14ac:dyDescent="0.25">
      <c r="A12898" s="15"/>
    </row>
    <row r="12899" spans="1:1" x14ac:dyDescent="0.25">
      <c r="A12899" s="15"/>
    </row>
    <row r="12900" spans="1:1" x14ac:dyDescent="0.25">
      <c r="A12900" s="15"/>
    </row>
    <row r="12901" spans="1:1" x14ac:dyDescent="0.25">
      <c r="A12901" s="15"/>
    </row>
    <row r="12902" spans="1:1" x14ac:dyDescent="0.25">
      <c r="A12902" s="15"/>
    </row>
    <row r="12903" spans="1:1" x14ac:dyDescent="0.25">
      <c r="A12903" s="15"/>
    </row>
    <row r="12904" spans="1:1" x14ac:dyDescent="0.25">
      <c r="A12904" s="15"/>
    </row>
    <row r="12905" spans="1:1" x14ac:dyDescent="0.25">
      <c r="A12905" s="15"/>
    </row>
    <row r="12906" spans="1:1" x14ac:dyDescent="0.25">
      <c r="A12906" s="15"/>
    </row>
    <row r="12907" spans="1:1" x14ac:dyDescent="0.25">
      <c r="A12907" s="15"/>
    </row>
    <row r="12908" spans="1:1" x14ac:dyDescent="0.25">
      <c r="A12908" s="15"/>
    </row>
    <row r="12909" spans="1:1" x14ac:dyDescent="0.25">
      <c r="A12909" s="15"/>
    </row>
    <row r="12910" spans="1:1" x14ac:dyDescent="0.25">
      <c r="A12910" s="15"/>
    </row>
    <row r="12911" spans="1:1" x14ac:dyDescent="0.25">
      <c r="A12911" s="15"/>
    </row>
    <row r="12912" spans="1:1" x14ac:dyDescent="0.25">
      <c r="A12912" s="15"/>
    </row>
    <row r="12913" spans="1:1" x14ac:dyDescent="0.25">
      <c r="A12913" s="15"/>
    </row>
    <row r="12914" spans="1:1" x14ac:dyDescent="0.25">
      <c r="A12914" s="15"/>
    </row>
    <row r="12915" spans="1:1" x14ac:dyDescent="0.25">
      <c r="A12915" s="15"/>
    </row>
    <row r="12916" spans="1:1" x14ac:dyDescent="0.25">
      <c r="A12916" s="15"/>
    </row>
    <row r="12917" spans="1:1" x14ac:dyDescent="0.25">
      <c r="A12917" s="15"/>
    </row>
    <row r="12918" spans="1:1" x14ac:dyDescent="0.25">
      <c r="A12918" s="15"/>
    </row>
    <row r="12919" spans="1:1" x14ac:dyDescent="0.25">
      <c r="A12919" s="15"/>
    </row>
    <row r="12920" spans="1:1" x14ac:dyDescent="0.25">
      <c r="A12920" s="15"/>
    </row>
    <row r="12921" spans="1:1" x14ac:dyDescent="0.25">
      <c r="A12921" s="15"/>
    </row>
    <row r="12922" spans="1:1" x14ac:dyDescent="0.25">
      <c r="A12922" s="15"/>
    </row>
    <row r="12923" spans="1:1" x14ac:dyDescent="0.25">
      <c r="A12923" s="15"/>
    </row>
    <row r="12924" spans="1:1" x14ac:dyDescent="0.25">
      <c r="A12924" s="15"/>
    </row>
    <row r="12925" spans="1:1" x14ac:dyDescent="0.25">
      <c r="A12925" s="15"/>
    </row>
    <row r="12926" spans="1:1" x14ac:dyDescent="0.25">
      <c r="A12926" s="15"/>
    </row>
    <row r="12927" spans="1:1" x14ac:dyDescent="0.25">
      <c r="A12927" s="15"/>
    </row>
    <row r="12928" spans="1:1" x14ac:dyDescent="0.25">
      <c r="A12928" s="15"/>
    </row>
    <row r="12929" spans="1:1" x14ac:dyDescent="0.25">
      <c r="A12929" s="15"/>
    </row>
    <row r="12930" spans="1:1" x14ac:dyDescent="0.25">
      <c r="A12930" s="15"/>
    </row>
    <row r="12931" spans="1:1" x14ac:dyDescent="0.25">
      <c r="A12931" s="15"/>
    </row>
    <row r="12932" spans="1:1" x14ac:dyDescent="0.25">
      <c r="A12932" s="15"/>
    </row>
    <row r="12933" spans="1:1" x14ac:dyDescent="0.25">
      <c r="A12933" s="15"/>
    </row>
    <row r="12934" spans="1:1" x14ac:dyDescent="0.25">
      <c r="A12934" s="15"/>
    </row>
    <row r="12935" spans="1:1" x14ac:dyDescent="0.25">
      <c r="A12935" s="15"/>
    </row>
    <row r="12936" spans="1:1" x14ac:dyDescent="0.25">
      <c r="A12936" s="15"/>
    </row>
    <row r="12937" spans="1:1" x14ac:dyDescent="0.25">
      <c r="A12937" s="15"/>
    </row>
    <row r="12938" spans="1:1" x14ac:dyDescent="0.25">
      <c r="A12938" s="15"/>
    </row>
    <row r="12939" spans="1:1" x14ac:dyDescent="0.25">
      <c r="A12939" s="15"/>
    </row>
    <row r="12940" spans="1:1" x14ac:dyDescent="0.25">
      <c r="A12940" s="15"/>
    </row>
    <row r="12941" spans="1:1" x14ac:dyDescent="0.25">
      <c r="A12941" s="15"/>
    </row>
    <row r="12942" spans="1:1" x14ac:dyDescent="0.25">
      <c r="A12942" s="15"/>
    </row>
    <row r="12943" spans="1:1" x14ac:dyDescent="0.25">
      <c r="A12943" s="15"/>
    </row>
    <row r="12944" spans="1:1" x14ac:dyDescent="0.25">
      <c r="A12944" s="15"/>
    </row>
    <row r="12945" spans="1:1" x14ac:dyDescent="0.25">
      <c r="A12945" s="15"/>
    </row>
    <row r="12946" spans="1:1" x14ac:dyDescent="0.25">
      <c r="A12946" s="15"/>
    </row>
    <row r="12947" spans="1:1" x14ac:dyDescent="0.25">
      <c r="A12947" s="15"/>
    </row>
    <row r="12948" spans="1:1" x14ac:dyDescent="0.25">
      <c r="A12948" s="15"/>
    </row>
    <row r="12949" spans="1:1" x14ac:dyDescent="0.25">
      <c r="A12949" s="15"/>
    </row>
    <row r="12950" spans="1:1" x14ac:dyDescent="0.25">
      <c r="A12950" s="15"/>
    </row>
    <row r="12951" spans="1:1" x14ac:dyDescent="0.25">
      <c r="A12951" s="15"/>
    </row>
    <row r="12952" spans="1:1" x14ac:dyDescent="0.25">
      <c r="A12952" s="15"/>
    </row>
    <row r="12953" spans="1:1" x14ac:dyDescent="0.25">
      <c r="A12953" s="15"/>
    </row>
    <row r="12954" spans="1:1" x14ac:dyDescent="0.25">
      <c r="A12954" s="15"/>
    </row>
    <row r="12955" spans="1:1" x14ac:dyDescent="0.25">
      <c r="A12955" s="15"/>
    </row>
    <row r="12956" spans="1:1" x14ac:dyDescent="0.25">
      <c r="A12956" s="15"/>
    </row>
    <row r="12957" spans="1:1" x14ac:dyDescent="0.25">
      <c r="A12957" s="15"/>
    </row>
    <row r="12958" spans="1:1" x14ac:dyDescent="0.25">
      <c r="A12958" s="15"/>
    </row>
    <row r="12959" spans="1:1" x14ac:dyDescent="0.25">
      <c r="A12959" s="15"/>
    </row>
    <row r="12960" spans="1:1" x14ac:dyDescent="0.25">
      <c r="A12960" s="15"/>
    </row>
    <row r="12961" spans="1:1" x14ac:dyDescent="0.25">
      <c r="A12961" s="15"/>
    </row>
    <row r="12962" spans="1:1" x14ac:dyDescent="0.25">
      <c r="A12962" s="15"/>
    </row>
    <row r="12963" spans="1:1" x14ac:dyDescent="0.25">
      <c r="A12963" s="15"/>
    </row>
    <row r="12964" spans="1:1" x14ac:dyDescent="0.25">
      <c r="A12964" s="15"/>
    </row>
    <row r="12965" spans="1:1" x14ac:dyDescent="0.25">
      <c r="A12965" s="15"/>
    </row>
    <row r="12966" spans="1:1" x14ac:dyDescent="0.25">
      <c r="A12966" s="15"/>
    </row>
    <row r="12967" spans="1:1" x14ac:dyDescent="0.25">
      <c r="A12967" s="15"/>
    </row>
    <row r="12968" spans="1:1" x14ac:dyDescent="0.25">
      <c r="A12968" s="15"/>
    </row>
    <row r="12969" spans="1:1" x14ac:dyDescent="0.25">
      <c r="A12969" s="15"/>
    </row>
    <row r="12970" spans="1:1" x14ac:dyDescent="0.25">
      <c r="A12970" s="15"/>
    </row>
    <row r="12971" spans="1:1" x14ac:dyDescent="0.25">
      <c r="A12971" s="15"/>
    </row>
    <row r="12972" spans="1:1" x14ac:dyDescent="0.25">
      <c r="A12972" s="15"/>
    </row>
    <row r="12973" spans="1:1" x14ac:dyDescent="0.25">
      <c r="A12973" s="15"/>
    </row>
    <row r="12974" spans="1:1" x14ac:dyDescent="0.25">
      <c r="A12974" s="15"/>
    </row>
    <row r="12975" spans="1:1" x14ac:dyDescent="0.25">
      <c r="A12975" s="15"/>
    </row>
    <row r="12976" spans="1:1" x14ac:dyDescent="0.25">
      <c r="A12976" s="15"/>
    </row>
    <row r="12977" spans="1:1" x14ac:dyDescent="0.25">
      <c r="A12977" s="15"/>
    </row>
    <row r="12978" spans="1:1" x14ac:dyDescent="0.25">
      <c r="A12978" s="15"/>
    </row>
    <row r="12979" spans="1:1" x14ac:dyDescent="0.25">
      <c r="A12979" s="15"/>
    </row>
    <row r="12980" spans="1:1" x14ac:dyDescent="0.25">
      <c r="A12980" s="15"/>
    </row>
    <row r="12981" spans="1:1" x14ac:dyDescent="0.25">
      <c r="A12981" s="15"/>
    </row>
    <row r="12982" spans="1:1" x14ac:dyDescent="0.25">
      <c r="A12982" s="15"/>
    </row>
    <row r="12983" spans="1:1" x14ac:dyDescent="0.25">
      <c r="A12983" s="15"/>
    </row>
    <row r="12984" spans="1:1" x14ac:dyDescent="0.25">
      <c r="A12984" s="15"/>
    </row>
    <row r="12985" spans="1:1" x14ac:dyDescent="0.25">
      <c r="A12985" s="15"/>
    </row>
    <row r="12986" spans="1:1" x14ac:dyDescent="0.25">
      <c r="A12986" s="15"/>
    </row>
    <row r="12987" spans="1:1" x14ac:dyDescent="0.25">
      <c r="A12987" s="15"/>
    </row>
    <row r="12988" spans="1:1" x14ac:dyDescent="0.25">
      <c r="A12988" s="15"/>
    </row>
    <row r="12989" spans="1:1" x14ac:dyDescent="0.25">
      <c r="A12989" s="15"/>
    </row>
    <row r="12990" spans="1:1" x14ac:dyDescent="0.25">
      <c r="A12990" s="15"/>
    </row>
    <row r="12991" spans="1:1" x14ac:dyDescent="0.25">
      <c r="A12991" s="15"/>
    </row>
    <row r="12992" spans="1:1" x14ac:dyDescent="0.25">
      <c r="A12992" s="15"/>
    </row>
    <row r="12993" spans="1:1" x14ac:dyDescent="0.25">
      <c r="A12993" s="15"/>
    </row>
    <row r="12994" spans="1:1" x14ac:dyDescent="0.25">
      <c r="A12994" s="15"/>
    </row>
    <row r="12995" spans="1:1" x14ac:dyDescent="0.25">
      <c r="A12995" s="15"/>
    </row>
    <row r="12996" spans="1:1" x14ac:dyDescent="0.25">
      <c r="A12996" s="15"/>
    </row>
    <row r="12997" spans="1:1" x14ac:dyDescent="0.25">
      <c r="A12997" s="15"/>
    </row>
    <row r="12998" spans="1:1" x14ac:dyDescent="0.25">
      <c r="A12998" s="15"/>
    </row>
    <row r="12999" spans="1:1" x14ac:dyDescent="0.25">
      <c r="A12999" s="15"/>
    </row>
    <row r="13000" spans="1:1" x14ac:dyDescent="0.25">
      <c r="A13000" s="15"/>
    </row>
    <row r="13001" spans="1:1" x14ac:dyDescent="0.25">
      <c r="A13001" s="15"/>
    </row>
    <row r="13002" spans="1:1" x14ac:dyDescent="0.25">
      <c r="A13002" s="15"/>
    </row>
    <row r="13003" spans="1:1" x14ac:dyDescent="0.25">
      <c r="A13003" s="15"/>
    </row>
    <row r="13004" spans="1:1" x14ac:dyDescent="0.25">
      <c r="A13004" s="15"/>
    </row>
    <row r="13005" spans="1:1" x14ac:dyDescent="0.25">
      <c r="A13005" s="15"/>
    </row>
    <row r="13006" spans="1:1" x14ac:dyDescent="0.25">
      <c r="A13006" s="15"/>
    </row>
    <row r="13007" spans="1:1" x14ac:dyDescent="0.25">
      <c r="A13007" s="15"/>
    </row>
    <row r="13008" spans="1:1" x14ac:dyDescent="0.25">
      <c r="A13008" s="15"/>
    </row>
    <row r="13009" spans="1:1" x14ac:dyDescent="0.25">
      <c r="A13009" s="15"/>
    </row>
    <row r="13010" spans="1:1" x14ac:dyDescent="0.25">
      <c r="A13010" s="15"/>
    </row>
    <row r="13011" spans="1:1" x14ac:dyDescent="0.25">
      <c r="A13011" s="15"/>
    </row>
    <row r="13012" spans="1:1" x14ac:dyDescent="0.25">
      <c r="A13012" s="15"/>
    </row>
    <row r="13013" spans="1:1" x14ac:dyDescent="0.25">
      <c r="A13013" s="15"/>
    </row>
    <row r="13014" spans="1:1" x14ac:dyDescent="0.25">
      <c r="A13014" s="15"/>
    </row>
    <row r="13015" spans="1:1" x14ac:dyDescent="0.25">
      <c r="A13015" s="15"/>
    </row>
    <row r="13016" spans="1:1" x14ac:dyDescent="0.25">
      <c r="A13016" s="15"/>
    </row>
    <row r="13017" spans="1:1" x14ac:dyDescent="0.25">
      <c r="A13017" s="15"/>
    </row>
    <row r="13018" spans="1:1" x14ac:dyDescent="0.25">
      <c r="A13018" s="15"/>
    </row>
    <row r="13019" spans="1:1" x14ac:dyDescent="0.25">
      <c r="A13019" s="15"/>
    </row>
    <row r="13020" spans="1:1" x14ac:dyDescent="0.25">
      <c r="A13020" s="15"/>
    </row>
    <row r="13021" spans="1:1" x14ac:dyDescent="0.25">
      <c r="A13021" s="15"/>
    </row>
    <row r="13022" spans="1:1" x14ac:dyDescent="0.25">
      <c r="A13022" s="15"/>
    </row>
    <row r="13023" spans="1:1" x14ac:dyDescent="0.25">
      <c r="A13023" s="15"/>
    </row>
    <row r="13024" spans="1:1" x14ac:dyDescent="0.25">
      <c r="A13024" s="15"/>
    </row>
    <row r="13025" spans="1:1" x14ac:dyDescent="0.25">
      <c r="A13025" s="15"/>
    </row>
    <row r="13026" spans="1:1" x14ac:dyDescent="0.25">
      <c r="A13026" s="15"/>
    </row>
    <row r="13027" spans="1:1" x14ac:dyDescent="0.25">
      <c r="A13027" s="15"/>
    </row>
    <row r="13028" spans="1:1" x14ac:dyDescent="0.25">
      <c r="A13028" s="15"/>
    </row>
    <row r="13029" spans="1:1" x14ac:dyDescent="0.25">
      <c r="A13029" s="15"/>
    </row>
    <row r="13030" spans="1:1" x14ac:dyDescent="0.25">
      <c r="A13030" s="15"/>
    </row>
    <row r="13031" spans="1:1" x14ac:dyDescent="0.25">
      <c r="A13031" s="15"/>
    </row>
    <row r="13032" spans="1:1" x14ac:dyDescent="0.25">
      <c r="A13032" s="15"/>
    </row>
    <row r="13033" spans="1:1" x14ac:dyDescent="0.25">
      <c r="A13033" s="15"/>
    </row>
    <row r="13034" spans="1:1" x14ac:dyDescent="0.25">
      <c r="A13034" s="15"/>
    </row>
    <row r="13035" spans="1:1" x14ac:dyDescent="0.25">
      <c r="A13035" s="15"/>
    </row>
    <row r="13036" spans="1:1" x14ac:dyDescent="0.25">
      <c r="A13036" s="15"/>
    </row>
    <row r="13037" spans="1:1" x14ac:dyDescent="0.25">
      <c r="A13037" s="15"/>
    </row>
    <row r="13038" spans="1:1" x14ac:dyDescent="0.25">
      <c r="A13038" s="15"/>
    </row>
    <row r="13039" spans="1:1" x14ac:dyDescent="0.25">
      <c r="A13039" s="15"/>
    </row>
    <row r="13040" spans="1:1" x14ac:dyDescent="0.25">
      <c r="A13040" s="15"/>
    </row>
    <row r="13041" spans="1:1" x14ac:dyDescent="0.25">
      <c r="A13041" s="15"/>
    </row>
    <row r="13042" spans="1:1" x14ac:dyDescent="0.25">
      <c r="A13042" s="15"/>
    </row>
    <row r="13043" spans="1:1" x14ac:dyDescent="0.25">
      <c r="A13043" s="15"/>
    </row>
    <row r="13044" spans="1:1" x14ac:dyDescent="0.25">
      <c r="A13044" s="15"/>
    </row>
    <row r="13045" spans="1:1" x14ac:dyDescent="0.25">
      <c r="A13045" s="15"/>
    </row>
    <row r="13046" spans="1:1" x14ac:dyDescent="0.25">
      <c r="A13046" s="15"/>
    </row>
    <row r="13047" spans="1:1" x14ac:dyDescent="0.25">
      <c r="A13047" s="15"/>
    </row>
    <row r="13048" spans="1:1" x14ac:dyDescent="0.25">
      <c r="A13048" s="15"/>
    </row>
    <row r="13049" spans="1:1" x14ac:dyDescent="0.25">
      <c r="A13049" s="15"/>
    </row>
    <row r="13050" spans="1:1" x14ac:dyDescent="0.25">
      <c r="A13050" s="15"/>
    </row>
    <row r="13051" spans="1:1" x14ac:dyDescent="0.25">
      <c r="A13051" s="15"/>
    </row>
    <row r="13052" spans="1:1" x14ac:dyDescent="0.25">
      <c r="A13052" s="15"/>
    </row>
    <row r="13053" spans="1:1" x14ac:dyDescent="0.25">
      <c r="A13053" s="15"/>
    </row>
    <row r="13054" spans="1:1" x14ac:dyDescent="0.25">
      <c r="A13054" s="15"/>
    </row>
    <row r="13055" spans="1:1" x14ac:dyDescent="0.25">
      <c r="A13055" s="15"/>
    </row>
    <row r="13056" spans="1:1" x14ac:dyDescent="0.25">
      <c r="A13056" s="15"/>
    </row>
    <row r="13057" spans="1:1" x14ac:dyDescent="0.25">
      <c r="A13057" s="15"/>
    </row>
    <row r="13058" spans="1:1" x14ac:dyDescent="0.25">
      <c r="A13058" s="15"/>
    </row>
    <row r="13059" spans="1:1" x14ac:dyDescent="0.25">
      <c r="A13059" s="15"/>
    </row>
    <row r="13060" spans="1:1" x14ac:dyDescent="0.25">
      <c r="A13060" s="15"/>
    </row>
    <row r="13061" spans="1:1" x14ac:dyDescent="0.25">
      <c r="A13061" s="15"/>
    </row>
    <row r="13062" spans="1:1" x14ac:dyDescent="0.25">
      <c r="A13062" s="15"/>
    </row>
    <row r="13063" spans="1:1" x14ac:dyDescent="0.25">
      <c r="A13063" s="15"/>
    </row>
    <row r="13064" spans="1:1" x14ac:dyDescent="0.25">
      <c r="A13064" s="15"/>
    </row>
    <row r="13065" spans="1:1" x14ac:dyDescent="0.25">
      <c r="A13065" s="15"/>
    </row>
    <row r="13066" spans="1:1" x14ac:dyDescent="0.25">
      <c r="A13066" s="15"/>
    </row>
    <row r="13067" spans="1:1" x14ac:dyDescent="0.25">
      <c r="A13067" s="15"/>
    </row>
    <row r="13068" spans="1:1" x14ac:dyDescent="0.25">
      <c r="A13068" s="15"/>
    </row>
    <row r="13069" spans="1:1" x14ac:dyDescent="0.25">
      <c r="A13069" s="15"/>
    </row>
    <row r="13070" spans="1:1" x14ac:dyDescent="0.25">
      <c r="A13070" s="15"/>
    </row>
    <row r="13071" spans="1:1" x14ac:dyDescent="0.25">
      <c r="A13071" s="15"/>
    </row>
    <row r="13072" spans="1:1" x14ac:dyDescent="0.25">
      <c r="A13072" s="15"/>
    </row>
    <row r="13073" spans="1:1" x14ac:dyDescent="0.25">
      <c r="A13073" s="15"/>
    </row>
    <row r="13074" spans="1:1" x14ac:dyDescent="0.25">
      <c r="A13074" s="15"/>
    </row>
    <row r="13075" spans="1:1" x14ac:dyDescent="0.25">
      <c r="A13075" s="15"/>
    </row>
    <row r="13076" spans="1:1" x14ac:dyDescent="0.25">
      <c r="A13076" s="15"/>
    </row>
    <row r="13077" spans="1:1" x14ac:dyDescent="0.25">
      <c r="A13077" s="15"/>
    </row>
    <row r="13078" spans="1:1" x14ac:dyDescent="0.25">
      <c r="A13078" s="15"/>
    </row>
    <row r="13079" spans="1:1" x14ac:dyDescent="0.25">
      <c r="A13079" s="15"/>
    </row>
    <row r="13080" spans="1:1" x14ac:dyDescent="0.25">
      <c r="A13080" s="15"/>
    </row>
    <row r="13081" spans="1:1" x14ac:dyDescent="0.25">
      <c r="A13081" s="15"/>
    </row>
    <row r="13082" spans="1:1" x14ac:dyDescent="0.25">
      <c r="A13082" s="15"/>
    </row>
    <row r="13083" spans="1:1" x14ac:dyDescent="0.25">
      <c r="A13083" s="15"/>
    </row>
    <row r="13084" spans="1:1" x14ac:dyDescent="0.25">
      <c r="A13084" s="15"/>
    </row>
    <row r="13085" spans="1:1" x14ac:dyDescent="0.25">
      <c r="A13085" s="15"/>
    </row>
    <row r="13086" spans="1:1" x14ac:dyDescent="0.25">
      <c r="A13086" s="15"/>
    </row>
    <row r="13087" spans="1:1" x14ac:dyDescent="0.25">
      <c r="A13087" s="15"/>
    </row>
    <row r="13088" spans="1:1" x14ac:dyDescent="0.25">
      <c r="A13088" s="15"/>
    </row>
    <row r="13089" spans="1:1" x14ac:dyDescent="0.25">
      <c r="A13089" s="15"/>
    </row>
    <row r="13090" spans="1:1" x14ac:dyDescent="0.25">
      <c r="A13090" s="15"/>
    </row>
    <row r="13091" spans="1:1" x14ac:dyDescent="0.25">
      <c r="A13091" s="15"/>
    </row>
    <row r="13092" spans="1:1" x14ac:dyDescent="0.25">
      <c r="A13092" s="15"/>
    </row>
    <row r="13093" spans="1:1" x14ac:dyDescent="0.25">
      <c r="A13093" s="15"/>
    </row>
    <row r="13094" spans="1:1" x14ac:dyDescent="0.25">
      <c r="A13094" s="15"/>
    </row>
    <row r="13095" spans="1:1" x14ac:dyDescent="0.25">
      <c r="A13095" s="15"/>
    </row>
    <row r="13096" spans="1:1" x14ac:dyDescent="0.25">
      <c r="A13096" s="15"/>
    </row>
    <row r="13097" spans="1:1" x14ac:dyDescent="0.25">
      <c r="A13097" s="15"/>
    </row>
    <row r="13098" spans="1:1" x14ac:dyDescent="0.25">
      <c r="A13098" s="15"/>
    </row>
    <row r="13099" spans="1:1" x14ac:dyDescent="0.25">
      <c r="A13099" s="15"/>
    </row>
    <row r="13100" spans="1:1" x14ac:dyDescent="0.25">
      <c r="A13100" s="15"/>
    </row>
    <row r="13101" spans="1:1" x14ac:dyDescent="0.25">
      <c r="A13101" s="15"/>
    </row>
    <row r="13102" spans="1:1" x14ac:dyDescent="0.25">
      <c r="A13102" s="15"/>
    </row>
    <row r="13103" spans="1:1" x14ac:dyDescent="0.25">
      <c r="A13103" s="15"/>
    </row>
    <row r="13104" spans="1:1" x14ac:dyDescent="0.25">
      <c r="A13104" s="15"/>
    </row>
    <row r="13105" spans="1:1" x14ac:dyDescent="0.25">
      <c r="A13105" s="15"/>
    </row>
    <row r="13106" spans="1:1" x14ac:dyDescent="0.25">
      <c r="A13106" s="15"/>
    </row>
    <row r="13107" spans="1:1" x14ac:dyDescent="0.25">
      <c r="A13107" s="15"/>
    </row>
    <row r="13108" spans="1:1" x14ac:dyDescent="0.25">
      <c r="A13108" s="15"/>
    </row>
    <row r="13109" spans="1:1" x14ac:dyDescent="0.25">
      <c r="A13109" s="15"/>
    </row>
    <row r="13110" spans="1:1" x14ac:dyDescent="0.25">
      <c r="A13110" s="15"/>
    </row>
    <row r="13111" spans="1:1" x14ac:dyDescent="0.25">
      <c r="A13111" s="15"/>
    </row>
    <row r="13112" spans="1:1" x14ac:dyDescent="0.25">
      <c r="A13112" s="15"/>
    </row>
    <row r="13113" spans="1:1" x14ac:dyDescent="0.25">
      <c r="A13113" s="15"/>
    </row>
    <row r="13114" spans="1:1" x14ac:dyDescent="0.25">
      <c r="A13114" s="15"/>
    </row>
    <row r="13115" spans="1:1" x14ac:dyDescent="0.25">
      <c r="A13115" s="15"/>
    </row>
    <row r="13116" spans="1:1" x14ac:dyDescent="0.25">
      <c r="A13116" s="15"/>
    </row>
    <row r="13117" spans="1:1" x14ac:dyDescent="0.25">
      <c r="A13117" s="15"/>
    </row>
    <row r="13118" spans="1:1" x14ac:dyDescent="0.25">
      <c r="A13118" s="15"/>
    </row>
    <row r="13119" spans="1:1" x14ac:dyDescent="0.25">
      <c r="A13119" s="15"/>
    </row>
    <row r="13120" spans="1:1" x14ac:dyDescent="0.25">
      <c r="A13120" s="15"/>
    </row>
    <row r="13121" spans="1:1" x14ac:dyDescent="0.25">
      <c r="A13121" s="15"/>
    </row>
    <row r="13122" spans="1:1" x14ac:dyDescent="0.25">
      <c r="A13122" s="15"/>
    </row>
    <row r="13123" spans="1:1" x14ac:dyDescent="0.25">
      <c r="A13123" s="15"/>
    </row>
    <row r="13124" spans="1:1" x14ac:dyDescent="0.25">
      <c r="A13124" s="15"/>
    </row>
    <row r="13125" spans="1:1" x14ac:dyDescent="0.25">
      <c r="A13125" s="15"/>
    </row>
    <row r="13126" spans="1:1" x14ac:dyDescent="0.25">
      <c r="A13126" s="15"/>
    </row>
    <row r="13127" spans="1:1" x14ac:dyDescent="0.25">
      <c r="A13127" s="15"/>
    </row>
    <row r="13128" spans="1:1" x14ac:dyDescent="0.25">
      <c r="A13128" s="15"/>
    </row>
    <row r="13129" spans="1:1" x14ac:dyDescent="0.25">
      <c r="A13129" s="15"/>
    </row>
    <row r="13130" spans="1:1" x14ac:dyDescent="0.25">
      <c r="A13130" s="15"/>
    </row>
    <row r="13131" spans="1:1" x14ac:dyDescent="0.25">
      <c r="A13131" s="15"/>
    </row>
    <row r="13132" spans="1:1" x14ac:dyDescent="0.25">
      <c r="A13132" s="15"/>
    </row>
    <row r="13133" spans="1:1" x14ac:dyDescent="0.25">
      <c r="A13133" s="15"/>
    </row>
    <row r="13134" spans="1:1" x14ac:dyDescent="0.25">
      <c r="A13134" s="15"/>
    </row>
    <row r="13135" spans="1:1" x14ac:dyDescent="0.25">
      <c r="A13135" s="15"/>
    </row>
    <row r="13136" spans="1:1" x14ac:dyDescent="0.25">
      <c r="A13136" s="15"/>
    </row>
    <row r="13137" spans="1:1" x14ac:dyDescent="0.25">
      <c r="A13137" s="15"/>
    </row>
    <row r="13138" spans="1:1" x14ac:dyDescent="0.25">
      <c r="A13138" s="15"/>
    </row>
    <row r="13139" spans="1:1" x14ac:dyDescent="0.25">
      <c r="A13139" s="15"/>
    </row>
    <row r="13140" spans="1:1" x14ac:dyDescent="0.25">
      <c r="A13140" s="15"/>
    </row>
    <row r="13141" spans="1:1" x14ac:dyDescent="0.25">
      <c r="A13141" s="15"/>
    </row>
    <row r="13142" spans="1:1" x14ac:dyDescent="0.25">
      <c r="A13142" s="15"/>
    </row>
    <row r="13143" spans="1:1" x14ac:dyDescent="0.25">
      <c r="A13143" s="15"/>
    </row>
    <row r="13144" spans="1:1" x14ac:dyDescent="0.25">
      <c r="A13144" s="15"/>
    </row>
    <row r="13145" spans="1:1" x14ac:dyDescent="0.25">
      <c r="A13145" s="15"/>
    </row>
    <row r="13146" spans="1:1" x14ac:dyDescent="0.25">
      <c r="A13146" s="15"/>
    </row>
    <row r="13147" spans="1:1" x14ac:dyDescent="0.25">
      <c r="A13147" s="15"/>
    </row>
    <row r="13148" spans="1:1" x14ac:dyDescent="0.25">
      <c r="A13148" s="15"/>
    </row>
    <row r="13149" spans="1:1" x14ac:dyDescent="0.25">
      <c r="A13149" s="15"/>
    </row>
    <row r="13150" spans="1:1" x14ac:dyDescent="0.25">
      <c r="A13150" s="15"/>
    </row>
    <row r="13151" spans="1:1" x14ac:dyDescent="0.25">
      <c r="A13151" s="15"/>
    </row>
    <row r="13152" spans="1:1" x14ac:dyDescent="0.25">
      <c r="A13152" s="15"/>
    </row>
    <row r="13153" spans="1:1" x14ac:dyDescent="0.25">
      <c r="A13153" s="15"/>
    </row>
    <row r="13154" spans="1:1" x14ac:dyDescent="0.25">
      <c r="A13154" s="15"/>
    </row>
    <row r="13155" spans="1:1" x14ac:dyDescent="0.25">
      <c r="A13155" s="15"/>
    </row>
    <row r="13156" spans="1:1" x14ac:dyDescent="0.25">
      <c r="A13156" s="15"/>
    </row>
    <row r="13157" spans="1:1" x14ac:dyDescent="0.25">
      <c r="A13157" s="15"/>
    </row>
    <row r="13158" spans="1:1" x14ac:dyDescent="0.25">
      <c r="A13158" s="15"/>
    </row>
    <row r="13159" spans="1:1" x14ac:dyDescent="0.25">
      <c r="A13159" s="15"/>
    </row>
    <row r="13160" spans="1:1" x14ac:dyDescent="0.25">
      <c r="A13160" s="15"/>
    </row>
    <row r="13161" spans="1:1" x14ac:dyDescent="0.25">
      <c r="A13161" s="15"/>
    </row>
    <row r="13162" spans="1:1" x14ac:dyDescent="0.25">
      <c r="A13162" s="15"/>
    </row>
    <row r="13163" spans="1:1" x14ac:dyDescent="0.25">
      <c r="A13163" s="15"/>
    </row>
    <row r="13164" spans="1:1" x14ac:dyDescent="0.25">
      <c r="A13164" s="15"/>
    </row>
    <row r="13165" spans="1:1" x14ac:dyDescent="0.25">
      <c r="A13165" s="15"/>
    </row>
    <row r="13166" spans="1:1" x14ac:dyDescent="0.25">
      <c r="A13166" s="15"/>
    </row>
    <row r="13167" spans="1:1" x14ac:dyDescent="0.25">
      <c r="A13167" s="15"/>
    </row>
    <row r="13168" spans="1:1" x14ac:dyDescent="0.25">
      <c r="A13168" s="15"/>
    </row>
    <row r="13169" spans="1:1" x14ac:dyDescent="0.25">
      <c r="A13169" s="15"/>
    </row>
    <row r="13170" spans="1:1" x14ac:dyDescent="0.25">
      <c r="A13170" s="15"/>
    </row>
    <row r="13171" spans="1:1" x14ac:dyDescent="0.25">
      <c r="A13171" s="15"/>
    </row>
    <row r="13172" spans="1:1" x14ac:dyDescent="0.25">
      <c r="A13172" s="15"/>
    </row>
    <row r="13173" spans="1:1" x14ac:dyDescent="0.25">
      <c r="A13173" s="15"/>
    </row>
    <row r="13174" spans="1:1" x14ac:dyDescent="0.25">
      <c r="A13174" s="15"/>
    </row>
    <row r="13175" spans="1:1" x14ac:dyDescent="0.25">
      <c r="A13175" s="15"/>
    </row>
    <row r="13176" spans="1:1" x14ac:dyDescent="0.25">
      <c r="A13176" s="15"/>
    </row>
    <row r="13177" spans="1:1" x14ac:dyDescent="0.25">
      <c r="A13177" s="15"/>
    </row>
    <row r="13178" spans="1:1" x14ac:dyDescent="0.25">
      <c r="A13178" s="15"/>
    </row>
    <row r="13179" spans="1:1" x14ac:dyDescent="0.25">
      <c r="A13179" s="15"/>
    </row>
    <row r="13180" spans="1:1" x14ac:dyDescent="0.25">
      <c r="A13180" s="15"/>
    </row>
    <row r="13181" spans="1:1" x14ac:dyDescent="0.25">
      <c r="A13181" s="15"/>
    </row>
    <row r="13182" spans="1:1" x14ac:dyDescent="0.25">
      <c r="A13182" s="15"/>
    </row>
    <row r="13183" spans="1:1" x14ac:dyDescent="0.25">
      <c r="A13183" s="15"/>
    </row>
    <row r="13184" spans="1:1" x14ac:dyDescent="0.25">
      <c r="A13184" s="15"/>
    </row>
    <row r="13185" spans="1:1" x14ac:dyDescent="0.25">
      <c r="A13185" s="15"/>
    </row>
    <row r="13186" spans="1:1" x14ac:dyDescent="0.25">
      <c r="A13186" s="15"/>
    </row>
    <row r="13187" spans="1:1" x14ac:dyDescent="0.25">
      <c r="A13187" s="15"/>
    </row>
    <row r="13188" spans="1:1" x14ac:dyDescent="0.25">
      <c r="A13188" s="15"/>
    </row>
    <row r="13189" spans="1:1" x14ac:dyDescent="0.25">
      <c r="A13189" s="15"/>
    </row>
    <row r="13190" spans="1:1" x14ac:dyDescent="0.25">
      <c r="A13190" s="15"/>
    </row>
    <row r="13191" spans="1:1" x14ac:dyDescent="0.25">
      <c r="A13191" s="15"/>
    </row>
    <row r="13192" spans="1:1" x14ac:dyDescent="0.25">
      <c r="A13192" s="15"/>
    </row>
    <row r="13193" spans="1:1" x14ac:dyDescent="0.25">
      <c r="A13193" s="15"/>
    </row>
    <row r="13194" spans="1:1" x14ac:dyDescent="0.25">
      <c r="A13194" s="15"/>
    </row>
    <row r="13195" spans="1:1" x14ac:dyDescent="0.25">
      <c r="A13195" s="15"/>
    </row>
    <row r="13196" spans="1:1" x14ac:dyDescent="0.25">
      <c r="A13196" s="15"/>
    </row>
    <row r="13197" spans="1:1" x14ac:dyDescent="0.25">
      <c r="A13197" s="15"/>
    </row>
    <row r="13198" spans="1:1" x14ac:dyDescent="0.25">
      <c r="A13198" s="15"/>
    </row>
    <row r="13199" spans="1:1" x14ac:dyDescent="0.25">
      <c r="A13199" s="15"/>
    </row>
    <row r="13200" spans="1:1" x14ac:dyDescent="0.25">
      <c r="A13200" s="15"/>
    </row>
    <row r="13201" spans="1:1" x14ac:dyDescent="0.25">
      <c r="A13201" s="15"/>
    </row>
    <row r="13202" spans="1:1" x14ac:dyDescent="0.25">
      <c r="A13202" s="15"/>
    </row>
    <row r="13203" spans="1:1" x14ac:dyDescent="0.25">
      <c r="A13203" s="15"/>
    </row>
    <row r="13204" spans="1:1" x14ac:dyDescent="0.25">
      <c r="A13204" s="15"/>
    </row>
    <row r="13205" spans="1:1" x14ac:dyDescent="0.25">
      <c r="A13205" s="15"/>
    </row>
    <row r="13206" spans="1:1" x14ac:dyDescent="0.25">
      <c r="A13206" s="15"/>
    </row>
    <row r="13207" spans="1:1" x14ac:dyDescent="0.25">
      <c r="A13207" s="15"/>
    </row>
    <row r="13208" spans="1:1" x14ac:dyDescent="0.25">
      <c r="A13208" s="15"/>
    </row>
    <row r="13209" spans="1:1" x14ac:dyDescent="0.25">
      <c r="A13209" s="15"/>
    </row>
    <row r="13210" spans="1:1" x14ac:dyDescent="0.25">
      <c r="A13210" s="15"/>
    </row>
    <row r="13211" spans="1:1" x14ac:dyDescent="0.25">
      <c r="A13211" s="15"/>
    </row>
    <row r="13212" spans="1:1" x14ac:dyDescent="0.25">
      <c r="A13212" s="15"/>
    </row>
    <row r="13213" spans="1:1" x14ac:dyDescent="0.25">
      <c r="A13213" s="15"/>
    </row>
    <row r="13214" spans="1:1" x14ac:dyDescent="0.25">
      <c r="A13214" s="15"/>
    </row>
    <row r="13215" spans="1:1" x14ac:dyDescent="0.25">
      <c r="A13215" s="15"/>
    </row>
    <row r="13216" spans="1:1" x14ac:dyDescent="0.25">
      <c r="A13216" s="15"/>
    </row>
    <row r="13217" spans="1:1" x14ac:dyDescent="0.25">
      <c r="A13217" s="15"/>
    </row>
    <row r="13218" spans="1:1" x14ac:dyDescent="0.25">
      <c r="A13218" s="15"/>
    </row>
    <row r="13219" spans="1:1" x14ac:dyDescent="0.25">
      <c r="A13219" s="15"/>
    </row>
    <row r="13220" spans="1:1" x14ac:dyDescent="0.25">
      <c r="A13220" s="15"/>
    </row>
    <row r="13221" spans="1:1" x14ac:dyDescent="0.25">
      <c r="A13221" s="15"/>
    </row>
    <row r="13222" spans="1:1" x14ac:dyDescent="0.25">
      <c r="A13222" s="15"/>
    </row>
    <row r="13223" spans="1:1" x14ac:dyDescent="0.25">
      <c r="A13223" s="15"/>
    </row>
    <row r="13224" spans="1:1" x14ac:dyDescent="0.25">
      <c r="A13224" s="15"/>
    </row>
    <row r="13225" spans="1:1" x14ac:dyDescent="0.25">
      <c r="A13225" s="15"/>
    </row>
    <row r="13226" spans="1:1" x14ac:dyDescent="0.25">
      <c r="A13226" s="15"/>
    </row>
    <row r="13227" spans="1:1" x14ac:dyDescent="0.25">
      <c r="A13227" s="15"/>
    </row>
    <row r="13228" spans="1:1" x14ac:dyDescent="0.25">
      <c r="A13228" s="15"/>
    </row>
    <row r="13229" spans="1:1" x14ac:dyDescent="0.25">
      <c r="A13229" s="15"/>
    </row>
    <row r="13230" spans="1:1" x14ac:dyDescent="0.25">
      <c r="A13230" s="15"/>
    </row>
    <row r="13231" spans="1:1" x14ac:dyDescent="0.25">
      <c r="A13231" s="15"/>
    </row>
    <row r="13232" spans="1:1" x14ac:dyDescent="0.25">
      <c r="A13232" s="15"/>
    </row>
    <row r="13233" spans="1:1" x14ac:dyDescent="0.25">
      <c r="A13233" s="15"/>
    </row>
    <row r="13234" spans="1:1" x14ac:dyDescent="0.25">
      <c r="A13234" s="15"/>
    </row>
    <row r="13235" spans="1:1" x14ac:dyDescent="0.25">
      <c r="A13235" s="15"/>
    </row>
    <row r="13236" spans="1:1" x14ac:dyDescent="0.25">
      <c r="A13236" s="15"/>
    </row>
    <row r="13237" spans="1:1" x14ac:dyDescent="0.25">
      <c r="A13237" s="15"/>
    </row>
    <row r="13238" spans="1:1" x14ac:dyDescent="0.25">
      <c r="A13238" s="15"/>
    </row>
    <row r="13239" spans="1:1" x14ac:dyDescent="0.25">
      <c r="A13239" s="15"/>
    </row>
    <row r="13240" spans="1:1" x14ac:dyDescent="0.25">
      <c r="A13240" s="15"/>
    </row>
    <row r="13241" spans="1:1" x14ac:dyDescent="0.25">
      <c r="A13241" s="15"/>
    </row>
    <row r="13242" spans="1:1" x14ac:dyDescent="0.25">
      <c r="A13242" s="15"/>
    </row>
    <row r="13243" spans="1:1" x14ac:dyDescent="0.25">
      <c r="A13243" s="15"/>
    </row>
    <row r="13244" spans="1:1" x14ac:dyDescent="0.25">
      <c r="A13244" s="15"/>
    </row>
    <row r="13245" spans="1:1" x14ac:dyDescent="0.25">
      <c r="A13245" s="15"/>
    </row>
    <row r="13246" spans="1:1" x14ac:dyDescent="0.25">
      <c r="A13246" s="15"/>
    </row>
    <row r="13247" spans="1:1" x14ac:dyDescent="0.25">
      <c r="A13247" s="15"/>
    </row>
    <row r="13248" spans="1:1" x14ac:dyDescent="0.25">
      <c r="A13248" s="15"/>
    </row>
    <row r="13249" spans="1:1" x14ac:dyDescent="0.25">
      <c r="A13249" s="15"/>
    </row>
    <row r="13250" spans="1:1" x14ac:dyDescent="0.25">
      <c r="A13250" s="15"/>
    </row>
    <row r="13251" spans="1:1" x14ac:dyDescent="0.25">
      <c r="A13251" s="15"/>
    </row>
    <row r="13252" spans="1:1" x14ac:dyDescent="0.25">
      <c r="A13252" s="15"/>
    </row>
    <row r="13253" spans="1:1" x14ac:dyDescent="0.25">
      <c r="A13253" s="15"/>
    </row>
    <row r="13254" spans="1:1" x14ac:dyDescent="0.25">
      <c r="A13254" s="15"/>
    </row>
    <row r="13255" spans="1:1" x14ac:dyDescent="0.25">
      <c r="A13255" s="15"/>
    </row>
    <row r="13256" spans="1:1" x14ac:dyDescent="0.25">
      <c r="A13256" s="15"/>
    </row>
    <row r="13257" spans="1:1" x14ac:dyDescent="0.25">
      <c r="A13257" s="15"/>
    </row>
    <row r="13258" spans="1:1" x14ac:dyDescent="0.25">
      <c r="A13258" s="15"/>
    </row>
    <row r="13259" spans="1:1" x14ac:dyDescent="0.25">
      <c r="A13259" s="15"/>
    </row>
    <row r="13260" spans="1:1" x14ac:dyDescent="0.25">
      <c r="A13260" s="15"/>
    </row>
    <row r="13261" spans="1:1" x14ac:dyDescent="0.25">
      <c r="A13261" s="15"/>
    </row>
    <row r="13262" spans="1:1" x14ac:dyDescent="0.25">
      <c r="A13262" s="15"/>
    </row>
    <row r="13263" spans="1:1" x14ac:dyDescent="0.25">
      <c r="A13263" s="15"/>
    </row>
    <row r="13264" spans="1:1" x14ac:dyDescent="0.25">
      <c r="A13264" s="15"/>
    </row>
    <row r="13265" spans="1:1" x14ac:dyDescent="0.25">
      <c r="A13265" s="15"/>
    </row>
    <row r="13266" spans="1:1" x14ac:dyDescent="0.25">
      <c r="A13266" s="15"/>
    </row>
    <row r="13267" spans="1:1" x14ac:dyDescent="0.25">
      <c r="A13267" s="15"/>
    </row>
    <row r="13268" spans="1:1" x14ac:dyDescent="0.25">
      <c r="A13268" s="15"/>
    </row>
    <row r="13269" spans="1:1" x14ac:dyDescent="0.25">
      <c r="A13269" s="15"/>
    </row>
    <row r="13270" spans="1:1" x14ac:dyDescent="0.25">
      <c r="A13270" s="15"/>
    </row>
    <row r="13271" spans="1:1" x14ac:dyDescent="0.25">
      <c r="A13271" s="15"/>
    </row>
    <row r="13272" spans="1:1" x14ac:dyDescent="0.25">
      <c r="A13272" s="15"/>
    </row>
    <row r="13273" spans="1:1" x14ac:dyDescent="0.25">
      <c r="A13273" s="15"/>
    </row>
    <row r="13274" spans="1:1" x14ac:dyDescent="0.25">
      <c r="A13274" s="15"/>
    </row>
    <row r="13275" spans="1:1" x14ac:dyDescent="0.25">
      <c r="A13275" s="15"/>
    </row>
    <row r="13276" spans="1:1" x14ac:dyDescent="0.25">
      <c r="A13276" s="15"/>
    </row>
    <row r="13277" spans="1:1" x14ac:dyDescent="0.25">
      <c r="A13277" s="15"/>
    </row>
    <row r="13278" spans="1:1" x14ac:dyDescent="0.25">
      <c r="A13278" s="15"/>
    </row>
    <row r="13279" spans="1:1" x14ac:dyDescent="0.25">
      <c r="A13279" s="15"/>
    </row>
    <row r="13280" spans="1:1" x14ac:dyDescent="0.25">
      <c r="A13280" s="15"/>
    </row>
    <row r="13281" spans="1:1" x14ac:dyDescent="0.25">
      <c r="A13281" s="15"/>
    </row>
    <row r="13282" spans="1:1" x14ac:dyDescent="0.25">
      <c r="A13282" s="15"/>
    </row>
    <row r="13283" spans="1:1" x14ac:dyDescent="0.25">
      <c r="A13283" s="15"/>
    </row>
    <row r="13284" spans="1:1" x14ac:dyDescent="0.25">
      <c r="A13284" s="15"/>
    </row>
    <row r="13285" spans="1:1" x14ac:dyDescent="0.25">
      <c r="A13285" s="15"/>
    </row>
    <row r="13286" spans="1:1" x14ac:dyDescent="0.25">
      <c r="A13286" s="15"/>
    </row>
    <row r="13287" spans="1:1" x14ac:dyDescent="0.25">
      <c r="A13287" s="15"/>
    </row>
    <row r="13288" spans="1:1" x14ac:dyDescent="0.25">
      <c r="A13288" s="15"/>
    </row>
    <row r="13289" spans="1:1" x14ac:dyDescent="0.25">
      <c r="A13289" s="15"/>
    </row>
    <row r="13290" spans="1:1" x14ac:dyDescent="0.25">
      <c r="A13290" s="15"/>
    </row>
    <row r="13291" spans="1:1" x14ac:dyDescent="0.25">
      <c r="A13291" s="15"/>
    </row>
    <row r="13292" spans="1:1" x14ac:dyDescent="0.25">
      <c r="A13292" s="15"/>
    </row>
    <row r="13293" spans="1:1" x14ac:dyDescent="0.25">
      <c r="A13293" s="15"/>
    </row>
    <row r="13294" spans="1:1" x14ac:dyDescent="0.25">
      <c r="A13294" s="15"/>
    </row>
    <row r="13295" spans="1:1" x14ac:dyDescent="0.25">
      <c r="A13295" s="15"/>
    </row>
    <row r="13296" spans="1:1" x14ac:dyDescent="0.25">
      <c r="A13296" s="15"/>
    </row>
    <row r="13297" spans="1:1" x14ac:dyDescent="0.25">
      <c r="A13297" s="15"/>
    </row>
    <row r="13298" spans="1:1" x14ac:dyDescent="0.25">
      <c r="A13298" s="15"/>
    </row>
    <row r="13299" spans="1:1" x14ac:dyDescent="0.25">
      <c r="A13299" s="15"/>
    </row>
    <row r="13300" spans="1:1" x14ac:dyDescent="0.25">
      <c r="A13300" s="15"/>
    </row>
    <row r="13301" spans="1:1" x14ac:dyDescent="0.25">
      <c r="A13301" s="15"/>
    </row>
    <row r="13302" spans="1:1" x14ac:dyDescent="0.25">
      <c r="A13302" s="15"/>
    </row>
    <row r="13303" spans="1:1" x14ac:dyDescent="0.25">
      <c r="A13303" s="15"/>
    </row>
    <row r="13304" spans="1:1" x14ac:dyDescent="0.25">
      <c r="A13304" s="15"/>
    </row>
    <row r="13305" spans="1:1" x14ac:dyDescent="0.25">
      <c r="A13305" s="15"/>
    </row>
    <row r="13306" spans="1:1" x14ac:dyDescent="0.25">
      <c r="A13306" s="15"/>
    </row>
    <row r="13307" spans="1:1" x14ac:dyDescent="0.25">
      <c r="A13307" s="15"/>
    </row>
    <row r="13308" spans="1:1" x14ac:dyDescent="0.25">
      <c r="A13308" s="15"/>
    </row>
    <row r="13309" spans="1:1" x14ac:dyDescent="0.25">
      <c r="A13309" s="15"/>
    </row>
    <row r="13310" spans="1:1" x14ac:dyDescent="0.25">
      <c r="A13310" s="15"/>
    </row>
    <row r="13311" spans="1:1" x14ac:dyDescent="0.25">
      <c r="A13311" s="15"/>
    </row>
    <row r="13312" spans="1:1" x14ac:dyDescent="0.25">
      <c r="A13312" s="15"/>
    </row>
    <row r="13313" spans="1:1" x14ac:dyDescent="0.25">
      <c r="A13313" s="15"/>
    </row>
    <row r="13314" spans="1:1" x14ac:dyDescent="0.25">
      <c r="A13314" s="15"/>
    </row>
    <row r="13315" spans="1:1" x14ac:dyDescent="0.25">
      <c r="A13315" s="15"/>
    </row>
    <row r="13316" spans="1:1" x14ac:dyDescent="0.25">
      <c r="A13316" s="15"/>
    </row>
    <row r="13317" spans="1:1" x14ac:dyDescent="0.25">
      <c r="A13317" s="15"/>
    </row>
    <row r="13318" spans="1:1" x14ac:dyDescent="0.25">
      <c r="A13318" s="15"/>
    </row>
    <row r="13319" spans="1:1" x14ac:dyDescent="0.25">
      <c r="A13319" s="15"/>
    </row>
    <row r="13320" spans="1:1" x14ac:dyDescent="0.25">
      <c r="A13320" s="15"/>
    </row>
    <row r="13321" spans="1:1" x14ac:dyDescent="0.25">
      <c r="A13321" s="15"/>
    </row>
    <row r="13322" spans="1:1" x14ac:dyDescent="0.25">
      <c r="A13322" s="15"/>
    </row>
    <row r="13323" spans="1:1" x14ac:dyDescent="0.25">
      <c r="A13323" s="15"/>
    </row>
    <row r="13324" spans="1:1" x14ac:dyDescent="0.25">
      <c r="A13324" s="15"/>
    </row>
    <row r="13325" spans="1:1" x14ac:dyDescent="0.25">
      <c r="A13325" s="15"/>
    </row>
    <row r="13326" spans="1:1" x14ac:dyDescent="0.25">
      <c r="A13326" s="15"/>
    </row>
    <row r="13327" spans="1:1" x14ac:dyDescent="0.25">
      <c r="A13327" s="15"/>
    </row>
    <row r="13328" spans="1:1" x14ac:dyDescent="0.25">
      <c r="A13328" s="15"/>
    </row>
    <row r="13329" spans="1:1" x14ac:dyDescent="0.25">
      <c r="A13329" s="15"/>
    </row>
    <row r="13330" spans="1:1" x14ac:dyDescent="0.25">
      <c r="A13330" s="15"/>
    </row>
    <row r="13331" spans="1:1" x14ac:dyDescent="0.25">
      <c r="A13331" s="15"/>
    </row>
    <row r="13332" spans="1:1" x14ac:dyDescent="0.25">
      <c r="A13332" s="15"/>
    </row>
    <row r="13333" spans="1:1" x14ac:dyDescent="0.25">
      <c r="A13333" s="15"/>
    </row>
    <row r="13334" spans="1:1" x14ac:dyDescent="0.25">
      <c r="A13334" s="15"/>
    </row>
    <row r="13335" spans="1:1" x14ac:dyDescent="0.25">
      <c r="A13335" s="15"/>
    </row>
    <row r="13336" spans="1:1" x14ac:dyDescent="0.25">
      <c r="A13336" s="15"/>
    </row>
    <row r="13337" spans="1:1" x14ac:dyDescent="0.25">
      <c r="A13337" s="15"/>
    </row>
    <row r="13338" spans="1:1" x14ac:dyDescent="0.25">
      <c r="A13338" s="15"/>
    </row>
    <row r="13339" spans="1:1" x14ac:dyDescent="0.25">
      <c r="A13339" s="15"/>
    </row>
    <row r="13340" spans="1:1" x14ac:dyDescent="0.25">
      <c r="A13340" s="15"/>
    </row>
    <row r="13341" spans="1:1" x14ac:dyDescent="0.25">
      <c r="A13341" s="15"/>
    </row>
    <row r="13342" spans="1:1" x14ac:dyDescent="0.25">
      <c r="A13342" s="15"/>
    </row>
    <row r="13343" spans="1:1" x14ac:dyDescent="0.25">
      <c r="A13343" s="15"/>
    </row>
    <row r="13344" spans="1:1" x14ac:dyDescent="0.25">
      <c r="A13344" s="15"/>
    </row>
    <row r="13345" spans="1:1" x14ac:dyDescent="0.25">
      <c r="A13345" s="15"/>
    </row>
    <row r="13346" spans="1:1" x14ac:dyDescent="0.25">
      <c r="A13346" s="15"/>
    </row>
    <row r="13347" spans="1:1" x14ac:dyDescent="0.25">
      <c r="A13347" s="15"/>
    </row>
    <row r="13348" spans="1:1" x14ac:dyDescent="0.25">
      <c r="A13348" s="15"/>
    </row>
    <row r="13349" spans="1:1" x14ac:dyDescent="0.25">
      <c r="A13349" s="15"/>
    </row>
    <row r="13350" spans="1:1" x14ac:dyDescent="0.25">
      <c r="A13350" s="15"/>
    </row>
    <row r="13351" spans="1:1" x14ac:dyDescent="0.25">
      <c r="A13351" s="15"/>
    </row>
    <row r="13352" spans="1:1" x14ac:dyDescent="0.25">
      <c r="A13352" s="15"/>
    </row>
    <row r="13353" spans="1:1" x14ac:dyDescent="0.25">
      <c r="A13353" s="15"/>
    </row>
    <row r="13354" spans="1:1" x14ac:dyDescent="0.25">
      <c r="A13354" s="15"/>
    </row>
    <row r="13355" spans="1:1" x14ac:dyDescent="0.25">
      <c r="A13355" s="15"/>
    </row>
    <row r="13356" spans="1:1" x14ac:dyDescent="0.25">
      <c r="A13356" s="15"/>
    </row>
    <row r="13357" spans="1:1" x14ac:dyDescent="0.25">
      <c r="A13357" s="15"/>
    </row>
    <row r="13358" spans="1:1" x14ac:dyDescent="0.25">
      <c r="A13358" s="15"/>
    </row>
    <row r="13359" spans="1:1" x14ac:dyDescent="0.25">
      <c r="A13359" s="15"/>
    </row>
    <row r="13360" spans="1:1" x14ac:dyDescent="0.25">
      <c r="A13360" s="15"/>
    </row>
    <row r="13361" spans="1:1" x14ac:dyDescent="0.25">
      <c r="A13361" s="15"/>
    </row>
    <row r="13362" spans="1:1" x14ac:dyDescent="0.25">
      <c r="A13362" s="15"/>
    </row>
    <row r="13363" spans="1:1" x14ac:dyDescent="0.25">
      <c r="A13363" s="15"/>
    </row>
    <row r="13364" spans="1:1" x14ac:dyDescent="0.25">
      <c r="A13364" s="15"/>
    </row>
    <row r="13365" spans="1:1" x14ac:dyDescent="0.25">
      <c r="A13365" s="15"/>
    </row>
    <row r="13366" spans="1:1" x14ac:dyDescent="0.25">
      <c r="A13366" s="15"/>
    </row>
    <row r="13367" spans="1:1" x14ac:dyDescent="0.25">
      <c r="A13367" s="15"/>
    </row>
    <row r="13368" spans="1:1" x14ac:dyDescent="0.25">
      <c r="A13368" s="15"/>
    </row>
    <row r="13369" spans="1:1" x14ac:dyDescent="0.25">
      <c r="A13369" s="15"/>
    </row>
    <row r="13370" spans="1:1" x14ac:dyDescent="0.25">
      <c r="A13370" s="15"/>
    </row>
    <row r="13371" spans="1:1" x14ac:dyDescent="0.25">
      <c r="A13371" s="15"/>
    </row>
    <row r="13372" spans="1:1" x14ac:dyDescent="0.25">
      <c r="A13372" s="15"/>
    </row>
    <row r="13373" spans="1:1" x14ac:dyDescent="0.25">
      <c r="A13373" s="15"/>
    </row>
    <row r="13374" spans="1:1" x14ac:dyDescent="0.25">
      <c r="A13374" s="15"/>
    </row>
    <row r="13375" spans="1:1" x14ac:dyDescent="0.25">
      <c r="A13375" s="15"/>
    </row>
    <row r="13376" spans="1:1" x14ac:dyDescent="0.25">
      <c r="A13376" s="15"/>
    </row>
    <row r="13377" spans="1:1" x14ac:dyDescent="0.25">
      <c r="A13377" s="15"/>
    </row>
    <row r="13378" spans="1:1" x14ac:dyDescent="0.25">
      <c r="A13378" s="15"/>
    </row>
    <row r="13379" spans="1:1" x14ac:dyDescent="0.25">
      <c r="A13379" s="15"/>
    </row>
    <row r="13380" spans="1:1" x14ac:dyDescent="0.25">
      <c r="A13380" s="15"/>
    </row>
    <row r="13381" spans="1:1" x14ac:dyDescent="0.25">
      <c r="A13381" s="15"/>
    </row>
    <row r="13382" spans="1:1" x14ac:dyDescent="0.25">
      <c r="A13382" s="15"/>
    </row>
    <row r="13383" spans="1:1" x14ac:dyDescent="0.25">
      <c r="A13383" s="15"/>
    </row>
    <row r="13384" spans="1:1" x14ac:dyDescent="0.25">
      <c r="A13384" s="15"/>
    </row>
    <row r="13385" spans="1:1" x14ac:dyDescent="0.25">
      <c r="A13385" s="15"/>
    </row>
    <row r="13386" spans="1:1" x14ac:dyDescent="0.25">
      <c r="A13386" s="15"/>
    </row>
    <row r="13387" spans="1:1" x14ac:dyDescent="0.25">
      <c r="A13387" s="15"/>
    </row>
    <row r="13388" spans="1:1" x14ac:dyDescent="0.25">
      <c r="A13388" s="15"/>
    </row>
    <row r="13389" spans="1:1" x14ac:dyDescent="0.25">
      <c r="A13389" s="15"/>
    </row>
    <row r="13390" spans="1:1" x14ac:dyDescent="0.25">
      <c r="A13390" s="15"/>
    </row>
    <row r="13391" spans="1:1" x14ac:dyDescent="0.25">
      <c r="A13391" s="15"/>
    </row>
    <row r="13392" spans="1:1" x14ac:dyDescent="0.25">
      <c r="A13392" s="15"/>
    </row>
    <row r="13393" spans="1:1" x14ac:dyDescent="0.25">
      <c r="A13393" s="15"/>
    </row>
    <row r="13394" spans="1:1" x14ac:dyDescent="0.25">
      <c r="A13394" s="15"/>
    </row>
    <row r="13395" spans="1:1" x14ac:dyDescent="0.25">
      <c r="A13395" s="15"/>
    </row>
    <row r="13396" spans="1:1" x14ac:dyDescent="0.25">
      <c r="A13396" s="15"/>
    </row>
    <row r="13397" spans="1:1" x14ac:dyDescent="0.25">
      <c r="A13397" s="15"/>
    </row>
    <row r="13398" spans="1:1" x14ac:dyDescent="0.25">
      <c r="A13398" s="15"/>
    </row>
    <row r="13399" spans="1:1" x14ac:dyDescent="0.25">
      <c r="A13399" s="15"/>
    </row>
    <row r="13400" spans="1:1" x14ac:dyDescent="0.25">
      <c r="A13400" s="15"/>
    </row>
    <row r="13401" spans="1:1" x14ac:dyDescent="0.25">
      <c r="A13401" s="15"/>
    </row>
    <row r="13402" spans="1:1" x14ac:dyDescent="0.25">
      <c r="A13402" s="15"/>
    </row>
    <row r="13403" spans="1:1" x14ac:dyDescent="0.25">
      <c r="A13403" s="15"/>
    </row>
    <row r="13404" spans="1:1" x14ac:dyDescent="0.25">
      <c r="A13404" s="15"/>
    </row>
    <row r="13405" spans="1:1" x14ac:dyDescent="0.25">
      <c r="A13405" s="15"/>
    </row>
    <row r="13406" spans="1:1" x14ac:dyDescent="0.25">
      <c r="A13406" s="15"/>
    </row>
    <row r="13407" spans="1:1" x14ac:dyDescent="0.25">
      <c r="A13407" s="15"/>
    </row>
    <row r="13408" spans="1:1" x14ac:dyDescent="0.25">
      <c r="A13408" s="15"/>
    </row>
    <row r="13409" spans="1:1" x14ac:dyDescent="0.25">
      <c r="A13409" s="15"/>
    </row>
    <row r="13410" spans="1:1" x14ac:dyDescent="0.25">
      <c r="A13410" s="15"/>
    </row>
    <row r="13411" spans="1:1" x14ac:dyDescent="0.25">
      <c r="A13411" s="15"/>
    </row>
    <row r="13412" spans="1:1" x14ac:dyDescent="0.25">
      <c r="A13412" s="15"/>
    </row>
    <row r="13413" spans="1:1" x14ac:dyDescent="0.25">
      <c r="A13413" s="15"/>
    </row>
    <row r="13414" spans="1:1" x14ac:dyDescent="0.25">
      <c r="A13414" s="15"/>
    </row>
    <row r="13415" spans="1:1" x14ac:dyDescent="0.25">
      <c r="A13415" s="15"/>
    </row>
    <row r="13416" spans="1:1" x14ac:dyDescent="0.25">
      <c r="A13416" s="15"/>
    </row>
    <row r="13417" spans="1:1" x14ac:dyDescent="0.25">
      <c r="A13417" s="15"/>
    </row>
    <row r="13418" spans="1:1" x14ac:dyDescent="0.25">
      <c r="A13418" s="15"/>
    </row>
    <row r="13419" spans="1:1" x14ac:dyDescent="0.25">
      <c r="A13419" s="15"/>
    </row>
    <row r="13420" spans="1:1" x14ac:dyDescent="0.25">
      <c r="A13420" s="15"/>
    </row>
    <row r="13421" spans="1:1" x14ac:dyDescent="0.25">
      <c r="A13421" s="15"/>
    </row>
    <row r="13422" spans="1:1" x14ac:dyDescent="0.25">
      <c r="A13422" s="15"/>
    </row>
    <row r="13423" spans="1:1" x14ac:dyDescent="0.25">
      <c r="A13423" s="15"/>
    </row>
    <row r="13424" spans="1:1" x14ac:dyDescent="0.25">
      <c r="A13424" s="15"/>
    </row>
    <row r="13425" spans="1:1" x14ac:dyDescent="0.25">
      <c r="A13425" s="15"/>
    </row>
    <row r="13426" spans="1:1" x14ac:dyDescent="0.25">
      <c r="A13426" s="15"/>
    </row>
    <row r="13427" spans="1:1" x14ac:dyDescent="0.25">
      <c r="A13427" s="15"/>
    </row>
    <row r="13428" spans="1:1" x14ac:dyDescent="0.25">
      <c r="A13428" s="15"/>
    </row>
    <row r="13429" spans="1:1" x14ac:dyDescent="0.25">
      <c r="A13429" s="15"/>
    </row>
    <row r="13430" spans="1:1" x14ac:dyDescent="0.25">
      <c r="A13430" s="15"/>
    </row>
    <row r="13431" spans="1:1" x14ac:dyDescent="0.25">
      <c r="A13431" s="15"/>
    </row>
    <row r="13432" spans="1:1" x14ac:dyDescent="0.25">
      <c r="A13432" s="15"/>
    </row>
    <row r="13433" spans="1:1" x14ac:dyDescent="0.25">
      <c r="A13433" s="15"/>
    </row>
    <row r="13434" spans="1:1" x14ac:dyDescent="0.25">
      <c r="A13434" s="15"/>
    </row>
    <row r="13435" spans="1:1" x14ac:dyDescent="0.25">
      <c r="A13435" s="15"/>
    </row>
    <row r="13436" spans="1:1" x14ac:dyDescent="0.25">
      <c r="A13436" s="15"/>
    </row>
    <row r="13437" spans="1:1" x14ac:dyDescent="0.25">
      <c r="A13437" s="15"/>
    </row>
    <row r="13438" spans="1:1" x14ac:dyDescent="0.25">
      <c r="A13438" s="15"/>
    </row>
    <row r="13439" spans="1:1" x14ac:dyDescent="0.25">
      <c r="A13439" s="15"/>
    </row>
    <row r="13440" spans="1:1" x14ac:dyDescent="0.25">
      <c r="A13440" s="15"/>
    </row>
    <row r="13441" spans="1:1" x14ac:dyDescent="0.25">
      <c r="A13441" s="15"/>
    </row>
    <row r="13442" spans="1:1" x14ac:dyDescent="0.25">
      <c r="A13442" s="15"/>
    </row>
    <row r="13443" spans="1:1" x14ac:dyDescent="0.25">
      <c r="A13443" s="15"/>
    </row>
    <row r="13444" spans="1:1" x14ac:dyDescent="0.25">
      <c r="A13444" s="15"/>
    </row>
    <row r="13445" spans="1:1" x14ac:dyDescent="0.25">
      <c r="A13445" s="15"/>
    </row>
    <row r="13446" spans="1:1" x14ac:dyDescent="0.25">
      <c r="A13446" s="15"/>
    </row>
    <row r="13447" spans="1:1" x14ac:dyDescent="0.25">
      <c r="A13447" s="15"/>
    </row>
    <row r="13448" spans="1:1" x14ac:dyDescent="0.25">
      <c r="A13448" s="15"/>
    </row>
    <row r="13449" spans="1:1" x14ac:dyDescent="0.25">
      <c r="A13449" s="15"/>
    </row>
    <row r="13450" spans="1:1" x14ac:dyDescent="0.25">
      <c r="A13450" s="15"/>
    </row>
    <row r="13451" spans="1:1" x14ac:dyDescent="0.25">
      <c r="A13451" s="15"/>
    </row>
    <row r="13452" spans="1:1" x14ac:dyDescent="0.25">
      <c r="A13452" s="15"/>
    </row>
    <row r="13453" spans="1:1" x14ac:dyDescent="0.25">
      <c r="A13453" s="15"/>
    </row>
    <row r="13454" spans="1:1" x14ac:dyDescent="0.25">
      <c r="A13454" s="15"/>
    </row>
    <row r="13455" spans="1:1" x14ac:dyDescent="0.25">
      <c r="A13455" s="15"/>
    </row>
    <row r="13456" spans="1:1" x14ac:dyDescent="0.25">
      <c r="A13456" s="15"/>
    </row>
    <row r="13457" spans="1:1" x14ac:dyDescent="0.25">
      <c r="A13457" s="15"/>
    </row>
    <row r="13458" spans="1:1" x14ac:dyDescent="0.25">
      <c r="A13458" s="15"/>
    </row>
    <row r="13459" spans="1:1" x14ac:dyDescent="0.25">
      <c r="A13459" s="15"/>
    </row>
    <row r="13460" spans="1:1" x14ac:dyDescent="0.25">
      <c r="A13460" s="15"/>
    </row>
    <row r="13461" spans="1:1" x14ac:dyDescent="0.25">
      <c r="A13461" s="15"/>
    </row>
    <row r="13462" spans="1:1" x14ac:dyDescent="0.25">
      <c r="A13462" s="15"/>
    </row>
    <row r="13463" spans="1:1" x14ac:dyDescent="0.25">
      <c r="A13463" s="15"/>
    </row>
    <row r="13464" spans="1:1" x14ac:dyDescent="0.25">
      <c r="A13464" s="15"/>
    </row>
    <row r="13465" spans="1:1" x14ac:dyDescent="0.25">
      <c r="A13465" s="15"/>
    </row>
    <row r="13466" spans="1:1" x14ac:dyDescent="0.25">
      <c r="A13466" s="15"/>
    </row>
    <row r="13467" spans="1:1" x14ac:dyDescent="0.25">
      <c r="A13467" s="15"/>
    </row>
    <row r="13468" spans="1:1" x14ac:dyDescent="0.25">
      <c r="A13468" s="15"/>
    </row>
    <row r="13469" spans="1:1" x14ac:dyDescent="0.25">
      <c r="A13469" s="15"/>
    </row>
    <row r="13470" spans="1:1" x14ac:dyDescent="0.25">
      <c r="A13470" s="15"/>
    </row>
    <row r="13471" spans="1:1" x14ac:dyDescent="0.25">
      <c r="A13471" s="15"/>
    </row>
    <row r="13472" spans="1:1" x14ac:dyDescent="0.25">
      <c r="A13472" s="15"/>
    </row>
    <row r="13473" spans="1:1" x14ac:dyDescent="0.25">
      <c r="A13473" s="15"/>
    </row>
    <row r="13474" spans="1:1" x14ac:dyDescent="0.25">
      <c r="A13474" s="15"/>
    </row>
    <row r="13475" spans="1:1" x14ac:dyDescent="0.25">
      <c r="A13475" s="15"/>
    </row>
    <row r="13476" spans="1:1" x14ac:dyDescent="0.25">
      <c r="A13476" s="15"/>
    </row>
    <row r="13477" spans="1:1" x14ac:dyDescent="0.25">
      <c r="A13477" s="15"/>
    </row>
    <row r="13478" spans="1:1" x14ac:dyDescent="0.25">
      <c r="A13478" s="15"/>
    </row>
    <row r="13479" spans="1:1" x14ac:dyDescent="0.25">
      <c r="A13479" s="15"/>
    </row>
    <row r="13480" spans="1:1" x14ac:dyDescent="0.25">
      <c r="A13480" s="15"/>
    </row>
    <row r="13481" spans="1:1" x14ac:dyDescent="0.25">
      <c r="A13481" s="15"/>
    </row>
    <row r="13482" spans="1:1" x14ac:dyDescent="0.25">
      <c r="A13482" s="15"/>
    </row>
    <row r="13483" spans="1:1" x14ac:dyDescent="0.25">
      <c r="A13483" s="15"/>
    </row>
    <row r="13484" spans="1:1" x14ac:dyDescent="0.25">
      <c r="A13484" s="15"/>
    </row>
    <row r="13485" spans="1:1" x14ac:dyDescent="0.25">
      <c r="A13485" s="15"/>
    </row>
    <row r="13486" spans="1:1" x14ac:dyDescent="0.25">
      <c r="A13486" s="15"/>
    </row>
    <row r="13487" spans="1:1" x14ac:dyDescent="0.25">
      <c r="A13487" s="15"/>
    </row>
    <row r="13488" spans="1:1" x14ac:dyDescent="0.25">
      <c r="A13488" s="15"/>
    </row>
    <row r="13489" spans="1:1" x14ac:dyDescent="0.25">
      <c r="A13489" s="15"/>
    </row>
    <row r="13490" spans="1:1" x14ac:dyDescent="0.25">
      <c r="A13490" s="15"/>
    </row>
    <row r="13491" spans="1:1" x14ac:dyDescent="0.25">
      <c r="A13491" s="15"/>
    </row>
    <row r="13492" spans="1:1" x14ac:dyDescent="0.25">
      <c r="A13492" s="15"/>
    </row>
    <row r="13493" spans="1:1" x14ac:dyDescent="0.25">
      <c r="A13493" s="15"/>
    </row>
    <row r="13494" spans="1:1" x14ac:dyDescent="0.25">
      <c r="A13494" s="15"/>
    </row>
    <row r="13495" spans="1:1" x14ac:dyDescent="0.25">
      <c r="A13495" s="15"/>
    </row>
    <row r="13496" spans="1:1" x14ac:dyDescent="0.25">
      <c r="A13496" s="15"/>
    </row>
    <row r="13497" spans="1:1" x14ac:dyDescent="0.25">
      <c r="A13497" s="15"/>
    </row>
    <row r="13498" spans="1:1" x14ac:dyDescent="0.25">
      <c r="A13498" s="15"/>
    </row>
    <row r="13499" spans="1:1" x14ac:dyDescent="0.25">
      <c r="A13499" s="15"/>
    </row>
    <row r="13500" spans="1:1" x14ac:dyDescent="0.25">
      <c r="A13500" s="15"/>
    </row>
    <row r="13501" spans="1:1" x14ac:dyDescent="0.25">
      <c r="A13501" s="15"/>
    </row>
    <row r="13502" spans="1:1" x14ac:dyDescent="0.25">
      <c r="A13502" s="15"/>
    </row>
    <row r="13503" spans="1:1" x14ac:dyDescent="0.25">
      <c r="A13503" s="15"/>
    </row>
    <row r="13504" spans="1:1" x14ac:dyDescent="0.25">
      <c r="A13504" s="15"/>
    </row>
    <row r="13505" spans="1:1" x14ac:dyDescent="0.25">
      <c r="A13505" s="15"/>
    </row>
    <row r="13506" spans="1:1" x14ac:dyDescent="0.25">
      <c r="A13506" s="15"/>
    </row>
    <row r="13507" spans="1:1" x14ac:dyDescent="0.25">
      <c r="A13507" s="15"/>
    </row>
    <row r="13508" spans="1:1" x14ac:dyDescent="0.25">
      <c r="A13508" s="15"/>
    </row>
    <row r="13509" spans="1:1" x14ac:dyDescent="0.25">
      <c r="A13509" s="15"/>
    </row>
    <row r="13510" spans="1:1" x14ac:dyDescent="0.25">
      <c r="A13510" s="15"/>
    </row>
    <row r="13511" spans="1:1" x14ac:dyDescent="0.25">
      <c r="A13511" s="15"/>
    </row>
    <row r="13512" spans="1:1" x14ac:dyDescent="0.25">
      <c r="A13512" s="15"/>
    </row>
    <row r="13513" spans="1:1" x14ac:dyDescent="0.25">
      <c r="A13513" s="15"/>
    </row>
    <row r="13514" spans="1:1" x14ac:dyDescent="0.25">
      <c r="A13514" s="15"/>
    </row>
    <row r="13515" spans="1:1" x14ac:dyDescent="0.25">
      <c r="A13515" s="15"/>
    </row>
    <row r="13516" spans="1:1" x14ac:dyDescent="0.25">
      <c r="A13516" s="15"/>
    </row>
    <row r="13517" spans="1:1" x14ac:dyDescent="0.25">
      <c r="A13517" s="15"/>
    </row>
    <row r="13518" spans="1:1" x14ac:dyDescent="0.25">
      <c r="A13518" s="15"/>
    </row>
    <row r="13519" spans="1:1" x14ac:dyDescent="0.25">
      <c r="A13519" s="15"/>
    </row>
    <row r="13520" spans="1:1" x14ac:dyDescent="0.25">
      <c r="A13520" s="15"/>
    </row>
    <row r="13521" spans="1:1" x14ac:dyDescent="0.25">
      <c r="A13521" s="15"/>
    </row>
    <row r="13522" spans="1:1" x14ac:dyDescent="0.25">
      <c r="A13522" s="15"/>
    </row>
    <row r="13523" spans="1:1" x14ac:dyDescent="0.25">
      <c r="A13523" s="15"/>
    </row>
    <row r="13524" spans="1:1" x14ac:dyDescent="0.25">
      <c r="A13524" s="15"/>
    </row>
    <row r="13525" spans="1:1" x14ac:dyDescent="0.25">
      <c r="A13525" s="15"/>
    </row>
    <row r="13526" spans="1:1" x14ac:dyDescent="0.25">
      <c r="A13526" s="15"/>
    </row>
    <row r="13527" spans="1:1" x14ac:dyDescent="0.25">
      <c r="A13527" s="15"/>
    </row>
    <row r="13528" spans="1:1" x14ac:dyDescent="0.25">
      <c r="A13528" s="15"/>
    </row>
    <row r="13529" spans="1:1" x14ac:dyDescent="0.25">
      <c r="A13529" s="15"/>
    </row>
    <row r="13530" spans="1:1" x14ac:dyDescent="0.25">
      <c r="A13530" s="15"/>
    </row>
    <row r="13531" spans="1:1" x14ac:dyDescent="0.25">
      <c r="A13531" s="15"/>
    </row>
    <row r="13532" spans="1:1" x14ac:dyDescent="0.25">
      <c r="A13532" s="15"/>
    </row>
    <row r="13533" spans="1:1" x14ac:dyDescent="0.25">
      <c r="A13533" s="15"/>
    </row>
    <row r="13534" spans="1:1" x14ac:dyDescent="0.25">
      <c r="A13534" s="15"/>
    </row>
    <row r="13535" spans="1:1" x14ac:dyDescent="0.25">
      <c r="A13535" s="15"/>
    </row>
    <row r="13536" spans="1:1" x14ac:dyDescent="0.25">
      <c r="A13536" s="15"/>
    </row>
    <row r="13537" spans="1:1" x14ac:dyDescent="0.25">
      <c r="A13537" s="15"/>
    </row>
    <row r="13538" spans="1:1" x14ac:dyDescent="0.25">
      <c r="A13538" s="15"/>
    </row>
    <row r="13539" spans="1:1" x14ac:dyDescent="0.25">
      <c r="A13539" s="15"/>
    </row>
    <row r="13540" spans="1:1" x14ac:dyDescent="0.25">
      <c r="A13540" s="15"/>
    </row>
    <row r="13541" spans="1:1" x14ac:dyDescent="0.25">
      <c r="A13541" s="15"/>
    </row>
    <row r="13542" spans="1:1" x14ac:dyDescent="0.25">
      <c r="A13542" s="15"/>
    </row>
    <row r="13543" spans="1:1" x14ac:dyDescent="0.25">
      <c r="A13543" s="15"/>
    </row>
    <row r="13544" spans="1:1" x14ac:dyDescent="0.25">
      <c r="A13544" s="15"/>
    </row>
    <row r="13545" spans="1:1" x14ac:dyDescent="0.25">
      <c r="A13545" s="15"/>
    </row>
    <row r="13546" spans="1:1" x14ac:dyDescent="0.25">
      <c r="A13546" s="15"/>
    </row>
    <row r="13547" spans="1:1" x14ac:dyDescent="0.25">
      <c r="A13547" s="15"/>
    </row>
    <row r="13548" spans="1:1" x14ac:dyDescent="0.25">
      <c r="A13548" s="15"/>
    </row>
    <row r="13549" spans="1:1" x14ac:dyDescent="0.25">
      <c r="A13549" s="15"/>
    </row>
    <row r="13550" spans="1:1" x14ac:dyDescent="0.25">
      <c r="A13550" s="15"/>
    </row>
    <row r="13551" spans="1:1" x14ac:dyDescent="0.25">
      <c r="A13551" s="15"/>
    </row>
    <row r="13552" spans="1:1" x14ac:dyDescent="0.25">
      <c r="A13552" s="15"/>
    </row>
    <row r="13553" spans="1:1" x14ac:dyDescent="0.25">
      <c r="A13553" s="15"/>
    </row>
    <row r="13554" spans="1:1" x14ac:dyDescent="0.25">
      <c r="A13554" s="15"/>
    </row>
    <row r="13555" spans="1:1" x14ac:dyDescent="0.25">
      <c r="A13555" s="15"/>
    </row>
    <row r="13556" spans="1:1" x14ac:dyDescent="0.25">
      <c r="A13556" s="15"/>
    </row>
    <row r="13557" spans="1:1" x14ac:dyDescent="0.25">
      <c r="A13557" s="15"/>
    </row>
    <row r="13558" spans="1:1" x14ac:dyDescent="0.25">
      <c r="A13558" s="15"/>
    </row>
    <row r="13559" spans="1:1" x14ac:dyDescent="0.25">
      <c r="A13559" s="15"/>
    </row>
    <row r="13560" spans="1:1" x14ac:dyDescent="0.25">
      <c r="A13560" s="15"/>
    </row>
    <row r="13561" spans="1:1" x14ac:dyDescent="0.25">
      <c r="A13561" s="15"/>
    </row>
    <row r="13562" spans="1:1" x14ac:dyDescent="0.25">
      <c r="A13562" s="15"/>
    </row>
    <row r="13563" spans="1:1" x14ac:dyDescent="0.25">
      <c r="A13563" s="15"/>
    </row>
    <row r="13564" spans="1:1" x14ac:dyDescent="0.25">
      <c r="A13564" s="15"/>
    </row>
    <row r="13565" spans="1:1" x14ac:dyDescent="0.25">
      <c r="A13565" s="15"/>
    </row>
    <row r="13566" spans="1:1" x14ac:dyDescent="0.25">
      <c r="A13566" s="15"/>
    </row>
    <row r="13567" spans="1:1" x14ac:dyDescent="0.25">
      <c r="A13567" s="15"/>
    </row>
    <row r="13568" spans="1:1" x14ac:dyDescent="0.25">
      <c r="A13568" s="15"/>
    </row>
    <row r="13569" spans="1:1" x14ac:dyDescent="0.25">
      <c r="A13569" s="15"/>
    </row>
    <row r="13570" spans="1:1" x14ac:dyDescent="0.25">
      <c r="A13570" s="15"/>
    </row>
    <row r="13571" spans="1:1" x14ac:dyDescent="0.25">
      <c r="A13571" s="15"/>
    </row>
    <row r="13572" spans="1:1" x14ac:dyDescent="0.25">
      <c r="A13572" s="15"/>
    </row>
    <row r="13573" spans="1:1" x14ac:dyDescent="0.25">
      <c r="A13573" s="15"/>
    </row>
    <row r="13574" spans="1:1" x14ac:dyDescent="0.25">
      <c r="A13574" s="15"/>
    </row>
    <row r="13575" spans="1:1" x14ac:dyDescent="0.25">
      <c r="A13575" s="15"/>
    </row>
    <row r="13576" spans="1:1" x14ac:dyDescent="0.25">
      <c r="A13576" s="15"/>
    </row>
    <row r="13577" spans="1:1" x14ac:dyDescent="0.25">
      <c r="A13577" s="15"/>
    </row>
    <row r="13578" spans="1:1" x14ac:dyDescent="0.25">
      <c r="A13578" s="15"/>
    </row>
    <row r="13579" spans="1:1" x14ac:dyDescent="0.25">
      <c r="A13579" s="15"/>
    </row>
    <row r="13580" spans="1:1" x14ac:dyDescent="0.25">
      <c r="A13580" s="15"/>
    </row>
    <row r="13581" spans="1:1" x14ac:dyDescent="0.25">
      <c r="A13581" s="15"/>
    </row>
    <row r="13582" spans="1:1" x14ac:dyDescent="0.25">
      <c r="A13582" s="15"/>
    </row>
    <row r="13583" spans="1:1" x14ac:dyDescent="0.25">
      <c r="A13583" s="15"/>
    </row>
    <row r="13584" spans="1:1" x14ac:dyDescent="0.25">
      <c r="A13584" s="15"/>
    </row>
    <row r="13585" spans="1:1" x14ac:dyDescent="0.25">
      <c r="A13585" s="15"/>
    </row>
    <row r="13586" spans="1:1" x14ac:dyDescent="0.25">
      <c r="A13586" s="15"/>
    </row>
    <row r="13587" spans="1:1" x14ac:dyDescent="0.25">
      <c r="A13587" s="15"/>
    </row>
    <row r="13588" spans="1:1" x14ac:dyDescent="0.25">
      <c r="A13588" s="15"/>
    </row>
    <row r="13589" spans="1:1" x14ac:dyDescent="0.25">
      <c r="A13589" s="15"/>
    </row>
    <row r="13590" spans="1:1" x14ac:dyDescent="0.25">
      <c r="A13590" s="15"/>
    </row>
    <row r="13591" spans="1:1" x14ac:dyDescent="0.25">
      <c r="A13591" s="15"/>
    </row>
    <row r="13592" spans="1:1" x14ac:dyDescent="0.25">
      <c r="A13592" s="15"/>
    </row>
    <row r="13593" spans="1:1" x14ac:dyDescent="0.25">
      <c r="A13593" s="15"/>
    </row>
    <row r="13594" spans="1:1" x14ac:dyDescent="0.25">
      <c r="A13594" s="15"/>
    </row>
    <row r="13595" spans="1:1" x14ac:dyDescent="0.25">
      <c r="A13595" s="15"/>
    </row>
    <row r="13596" spans="1:1" x14ac:dyDescent="0.25">
      <c r="A13596" s="15"/>
    </row>
    <row r="13597" spans="1:1" x14ac:dyDescent="0.25">
      <c r="A13597" s="15"/>
    </row>
    <row r="13598" spans="1:1" x14ac:dyDescent="0.25">
      <c r="A13598" s="15"/>
    </row>
    <row r="13599" spans="1:1" x14ac:dyDescent="0.25">
      <c r="A13599" s="15"/>
    </row>
    <row r="13600" spans="1:1" x14ac:dyDescent="0.25">
      <c r="A13600" s="15"/>
    </row>
    <row r="13601" spans="1:1" x14ac:dyDescent="0.25">
      <c r="A13601" s="15"/>
    </row>
    <row r="13602" spans="1:1" x14ac:dyDescent="0.25">
      <c r="A13602" s="15"/>
    </row>
    <row r="13603" spans="1:1" x14ac:dyDescent="0.25">
      <c r="A13603" s="15"/>
    </row>
    <row r="13604" spans="1:1" x14ac:dyDescent="0.25">
      <c r="A13604" s="15"/>
    </row>
    <row r="13605" spans="1:1" x14ac:dyDescent="0.25">
      <c r="A13605" s="15"/>
    </row>
    <row r="13606" spans="1:1" x14ac:dyDescent="0.25">
      <c r="A13606" s="15"/>
    </row>
    <row r="13607" spans="1:1" x14ac:dyDescent="0.25">
      <c r="A13607" s="15"/>
    </row>
    <row r="13608" spans="1:1" x14ac:dyDescent="0.25">
      <c r="A13608" s="15"/>
    </row>
    <row r="13609" spans="1:1" x14ac:dyDescent="0.25">
      <c r="A13609" s="15"/>
    </row>
    <row r="13610" spans="1:1" x14ac:dyDescent="0.25">
      <c r="A13610" s="15"/>
    </row>
    <row r="13611" spans="1:1" x14ac:dyDescent="0.25">
      <c r="A13611" s="15"/>
    </row>
    <row r="13612" spans="1:1" x14ac:dyDescent="0.25">
      <c r="A13612" s="15"/>
    </row>
    <row r="13613" spans="1:1" x14ac:dyDescent="0.25">
      <c r="A13613" s="15"/>
    </row>
    <row r="13614" spans="1:1" x14ac:dyDescent="0.25">
      <c r="A13614" s="15"/>
    </row>
    <row r="13615" spans="1:1" x14ac:dyDescent="0.25">
      <c r="A13615" s="15"/>
    </row>
    <row r="13616" spans="1:1" x14ac:dyDescent="0.25">
      <c r="A13616" s="15"/>
    </row>
    <row r="13617" spans="1:1" x14ac:dyDescent="0.25">
      <c r="A13617" s="15"/>
    </row>
    <row r="13618" spans="1:1" x14ac:dyDescent="0.25">
      <c r="A13618" s="15"/>
    </row>
    <row r="13619" spans="1:1" x14ac:dyDescent="0.25">
      <c r="A13619" s="15"/>
    </row>
    <row r="13620" spans="1:1" x14ac:dyDescent="0.25">
      <c r="A13620" s="15"/>
    </row>
    <row r="13621" spans="1:1" x14ac:dyDescent="0.25">
      <c r="A13621" s="15"/>
    </row>
    <row r="13622" spans="1:1" x14ac:dyDescent="0.25">
      <c r="A13622" s="15"/>
    </row>
    <row r="13623" spans="1:1" x14ac:dyDescent="0.25">
      <c r="A13623" s="15"/>
    </row>
    <row r="13624" spans="1:1" x14ac:dyDescent="0.25">
      <c r="A13624" s="15"/>
    </row>
    <row r="13625" spans="1:1" x14ac:dyDescent="0.25">
      <c r="A13625" s="15"/>
    </row>
    <row r="13626" spans="1:1" x14ac:dyDescent="0.25">
      <c r="A13626" s="15"/>
    </row>
    <row r="13627" spans="1:1" x14ac:dyDescent="0.25">
      <c r="A13627" s="15"/>
    </row>
    <row r="13628" spans="1:1" x14ac:dyDescent="0.25">
      <c r="A13628" s="15"/>
    </row>
    <row r="13629" spans="1:1" x14ac:dyDescent="0.25">
      <c r="A13629" s="15"/>
    </row>
    <row r="13630" spans="1:1" x14ac:dyDescent="0.25">
      <c r="A13630" s="15"/>
    </row>
    <row r="13631" spans="1:1" x14ac:dyDescent="0.25">
      <c r="A13631" s="15"/>
    </row>
    <row r="13632" spans="1:1" x14ac:dyDescent="0.25">
      <c r="A13632" s="15"/>
    </row>
    <row r="13633" spans="1:1" x14ac:dyDescent="0.25">
      <c r="A13633" s="15"/>
    </row>
    <row r="13634" spans="1:1" x14ac:dyDescent="0.25">
      <c r="A13634" s="15"/>
    </row>
    <row r="13635" spans="1:1" x14ac:dyDescent="0.25">
      <c r="A13635" s="15"/>
    </row>
    <row r="13636" spans="1:1" x14ac:dyDescent="0.25">
      <c r="A13636" s="15"/>
    </row>
    <row r="13637" spans="1:1" x14ac:dyDescent="0.25">
      <c r="A13637" s="15"/>
    </row>
    <row r="13638" spans="1:1" x14ac:dyDescent="0.25">
      <c r="A13638" s="15"/>
    </row>
    <row r="13639" spans="1:1" x14ac:dyDescent="0.25">
      <c r="A13639" s="15"/>
    </row>
    <row r="13640" spans="1:1" x14ac:dyDescent="0.25">
      <c r="A13640" s="15"/>
    </row>
    <row r="13641" spans="1:1" x14ac:dyDescent="0.25">
      <c r="A13641" s="15"/>
    </row>
    <row r="13642" spans="1:1" x14ac:dyDescent="0.25">
      <c r="A13642" s="15"/>
    </row>
    <row r="13643" spans="1:1" x14ac:dyDescent="0.25">
      <c r="A13643" s="15"/>
    </row>
    <row r="13644" spans="1:1" x14ac:dyDescent="0.25">
      <c r="A13644" s="15"/>
    </row>
    <row r="13645" spans="1:1" x14ac:dyDescent="0.25">
      <c r="A13645" s="15"/>
    </row>
    <row r="13646" spans="1:1" x14ac:dyDescent="0.25">
      <c r="A13646" s="15"/>
    </row>
    <row r="13647" spans="1:1" x14ac:dyDescent="0.25">
      <c r="A13647" s="15"/>
    </row>
    <row r="13648" spans="1:1" x14ac:dyDescent="0.25">
      <c r="A13648" s="15"/>
    </row>
    <row r="13649" spans="1:1" x14ac:dyDescent="0.25">
      <c r="A13649" s="15"/>
    </row>
    <row r="13650" spans="1:1" x14ac:dyDescent="0.25">
      <c r="A13650" s="15"/>
    </row>
    <row r="13651" spans="1:1" x14ac:dyDescent="0.25">
      <c r="A13651" s="15"/>
    </row>
    <row r="13652" spans="1:1" x14ac:dyDescent="0.25">
      <c r="A13652" s="15"/>
    </row>
    <row r="13653" spans="1:1" x14ac:dyDescent="0.25">
      <c r="A13653" s="15"/>
    </row>
    <row r="13654" spans="1:1" x14ac:dyDescent="0.25">
      <c r="A13654" s="15"/>
    </row>
    <row r="13655" spans="1:1" x14ac:dyDescent="0.25">
      <c r="A13655" s="15"/>
    </row>
    <row r="13656" spans="1:1" x14ac:dyDescent="0.25">
      <c r="A13656" s="15"/>
    </row>
    <row r="13657" spans="1:1" x14ac:dyDescent="0.25">
      <c r="A13657" s="15"/>
    </row>
    <row r="13658" spans="1:1" x14ac:dyDescent="0.25">
      <c r="A13658" s="15"/>
    </row>
    <row r="13659" spans="1:1" x14ac:dyDescent="0.25">
      <c r="A13659" s="15"/>
    </row>
    <row r="13660" spans="1:1" x14ac:dyDescent="0.25">
      <c r="A13660" s="15"/>
    </row>
    <row r="13661" spans="1:1" x14ac:dyDescent="0.25">
      <c r="A13661" s="15"/>
    </row>
    <row r="13662" spans="1:1" x14ac:dyDescent="0.25">
      <c r="A13662" s="15"/>
    </row>
    <row r="13663" spans="1:1" x14ac:dyDescent="0.25">
      <c r="A13663" s="15"/>
    </row>
    <row r="13664" spans="1:1" x14ac:dyDescent="0.25">
      <c r="A13664" s="15"/>
    </row>
    <row r="13665" spans="1:1" x14ac:dyDescent="0.25">
      <c r="A13665" s="15"/>
    </row>
    <row r="13666" spans="1:1" x14ac:dyDescent="0.25">
      <c r="A13666" s="15"/>
    </row>
    <row r="13667" spans="1:1" x14ac:dyDescent="0.25">
      <c r="A13667" s="15"/>
    </row>
    <row r="13668" spans="1:1" x14ac:dyDescent="0.25">
      <c r="A13668" s="15"/>
    </row>
    <row r="13669" spans="1:1" x14ac:dyDescent="0.25">
      <c r="A13669" s="15"/>
    </row>
    <row r="13670" spans="1:1" x14ac:dyDescent="0.25">
      <c r="A13670" s="15"/>
    </row>
    <row r="13671" spans="1:1" x14ac:dyDescent="0.25">
      <c r="A13671" s="15"/>
    </row>
    <row r="13672" spans="1:1" x14ac:dyDescent="0.25">
      <c r="A13672" s="15"/>
    </row>
    <row r="13673" spans="1:1" x14ac:dyDescent="0.25">
      <c r="A13673" s="15"/>
    </row>
    <row r="13674" spans="1:1" x14ac:dyDescent="0.25">
      <c r="A13674" s="15"/>
    </row>
    <row r="13675" spans="1:1" x14ac:dyDescent="0.25">
      <c r="A13675" s="15"/>
    </row>
    <row r="13676" spans="1:1" x14ac:dyDescent="0.25">
      <c r="A13676" s="15"/>
    </row>
    <row r="13677" spans="1:1" x14ac:dyDescent="0.25">
      <c r="A13677" s="15"/>
    </row>
    <row r="13678" spans="1:1" x14ac:dyDescent="0.25">
      <c r="A13678" s="15"/>
    </row>
    <row r="13679" spans="1:1" x14ac:dyDescent="0.25">
      <c r="A13679" s="15"/>
    </row>
    <row r="13680" spans="1:1" x14ac:dyDescent="0.25">
      <c r="A13680" s="15"/>
    </row>
    <row r="13681" spans="1:1" x14ac:dyDescent="0.25">
      <c r="A13681" s="15"/>
    </row>
    <row r="13682" spans="1:1" x14ac:dyDescent="0.25">
      <c r="A13682" s="15"/>
    </row>
    <row r="13683" spans="1:1" x14ac:dyDescent="0.25">
      <c r="A13683" s="15"/>
    </row>
    <row r="13684" spans="1:1" x14ac:dyDescent="0.25">
      <c r="A13684" s="15"/>
    </row>
    <row r="13685" spans="1:1" x14ac:dyDescent="0.25">
      <c r="A13685" s="15"/>
    </row>
    <row r="13686" spans="1:1" x14ac:dyDescent="0.25">
      <c r="A13686" s="15"/>
    </row>
    <row r="13687" spans="1:1" x14ac:dyDescent="0.25">
      <c r="A13687" s="15"/>
    </row>
    <row r="13688" spans="1:1" x14ac:dyDescent="0.25">
      <c r="A13688" s="15"/>
    </row>
    <row r="13689" spans="1:1" x14ac:dyDescent="0.25">
      <c r="A13689" s="15"/>
    </row>
    <row r="13690" spans="1:1" x14ac:dyDescent="0.25">
      <c r="A13690" s="15"/>
    </row>
    <row r="13691" spans="1:1" x14ac:dyDescent="0.25">
      <c r="A13691" s="15"/>
    </row>
    <row r="13692" spans="1:1" x14ac:dyDescent="0.25">
      <c r="A13692" s="15"/>
    </row>
    <row r="13693" spans="1:1" x14ac:dyDescent="0.25">
      <c r="A13693" s="15"/>
    </row>
    <row r="13694" spans="1:1" x14ac:dyDescent="0.25">
      <c r="A13694" s="15"/>
    </row>
    <row r="13695" spans="1:1" x14ac:dyDescent="0.25">
      <c r="A13695" s="15"/>
    </row>
    <row r="13696" spans="1:1" x14ac:dyDescent="0.25">
      <c r="A13696" s="15"/>
    </row>
    <row r="13697" spans="1:1" x14ac:dyDescent="0.25">
      <c r="A13697" s="15"/>
    </row>
    <row r="13698" spans="1:1" x14ac:dyDescent="0.25">
      <c r="A13698" s="15"/>
    </row>
    <row r="13699" spans="1:1" x14ac:dyDescent="0.25">
      <c r="A13699" s="15"/>
    </row>
    <row r="13700" spans="1:1" x14ac:dyDescent="0.25">
      <c r="A13700" s="15"/>
    </row>
    <row r="13701" spans="1:1" x14ac:dyDescent="0.25">
      <c r="A13701" s="15"/>
    </row>
    <row r="13702" spans="1:1" x14ac:dyDescent="0.25">
      <c r="A13702" s="15"/>
    </row>
    <row r="13703" spans="1:1" x14ac:dyDescent="0.25">
      <c r="A13703" s="15"/>
    </row>
    <row r="13704" spans="1:1" x14ac:dyDescent="0.25">
      <c r="A13704" s="15"/>
    </row>
    <row r="13705" spans="1:1" x14ac:dyDescent="0.25">
      <c r="A13705" s="15"/>
    </row>
    <row r="13706" spans="1:1" x14ac:dyDescent="0.25">
      <c r="A13706" s="15"/>
    </row>
    <row r="13707" spans="1:1" x14ac:dyDescent="0.25">
      <c r="A13707" s="15"/>
    </row>
    <row r="13708" spans="1:1" x14ac:dyDescent="0.25">
      <c r="A13708" s="15"/>
    </row>
    <row r="13709" spans="1:1" x14ac:dyDescent="0.25">
      <c r="A13709" s="15"/>
    </row>
    <row r="13710" spans="1:1" x14ac:dyDescent="0.25">
      <c r="A13710" s="15"/>
    </row>
    <row r="13711" spans="1:1" x14ac:dyDescent="0.25">
      <c r="A13711" s="15"/>
    </row>
    <row r="13712" spans="1:1" x14ac:dyDescent="0.25">
      <c r="A13712" s="15"/>
    </row>
    <row r="13713" spans="1:1" x14ac:dyDescent="0.25">
      <c r="A13713" s="15"/>
    </row>
    <row r="13714" spans="1:1" x14ac:dyDescent="0.25">
      <c r="A13714" s="15"/>
    </row>
    <row r="13715" spans="1:1" x14ac:dyDescent="0.25">
      <c r="A13715" s="15"/>
    </row>
    <row r="13716" spans="1:1" x14ac:dyDescent="0.25">
      <c r="A13716" s="15"/>
    </row>
    <row r="13717" spans="1:1" x14ac:dyDescent="0.25">
      <c r="A13717" s="15"/>
    </row>
    <row r="13718" spans="1:1" x14ac:dyDescent="0.25">
      <c r="A13718" s="15"/>
    </row>
    <row r="13719" spans="1:1" x14ac:dyDescent="0.25">
      <c r="A13719" s="15"/>
    </row>
    <row r="13720" spans="1:1" x14ac:dyDescent="0.25">
      <c r="A13720" s="15"/>
    </row>
    <row r="13721" spans="1:1" x14ac:dyDescent="0.25">
      <c r="A13721" s="15"/>
    </row>
    <row r="13722" spans="1:1" x14ac:dyDescent="0.25">
      <c r="A13722" s="15"/>
    </row>
    <row r="13723" spans="1:1" x14ac:dyDescent="0.25">
      <c r="A13723" s="15"/>
    </row>
    <row r="13724" spans="1:1" x14ac:dyDescent="0.25">
      <c r="A13724" s="15"/>
    </row>
    <row r="13725" spans="1:1" x14ac:dyDescent="0.25">
      <c r="A13725" s="15"/>
    </row>
    <row r="13726" spans="1:1" x14ac:dyDescent="0.25">
      <c r="A13726" s="15"/>
    </row>
    <row r="13727" spans="1:1" x14ac:dyDescent="0.25">
      <c r="A13727" s="15"/>
    </row>
    <row r="13728" spans="1:1" x14ac:dyDescent="0.25">
      <c r="A13728" s="15"/>
    </row>
    <row r="13729" spans="1:1" x14ac:dyDescent="0.25">
      <c r="A13729" s="15"/>
    </row>
    <row r="13730" spans="1:1" x14ac:dyDescent="0.25">
      <c r="A13730" s="15"/>
    </row>
    <row r="13731" spans="1:1" x14ac:dyDescent="0.25">
      <c r="A13731" s="15"/>
    </row>
    <row r="13732" spans="1:1" x14ac:dyDescent="0.25">
      <c r="A13732" s="15"/>
    </row>
    <row r="13733" spans="1:1" x14ac:dyDescent="0.25">
      <c r="A13733" s="15"/>
    </row>
    <row r="13734" spans="1:1" x14ac:dyDescent="0.25">
      <c r="A13734" s="15"/>
    </row>
    <row r="13735" spans="1:1" x14ac:dyDescent="0.25">
      <c r="A13735" s="15"/>
    </row>
    <row r="13736" spans="1:1" x14ac:dyDescent="0.25">
      <c r="A13736" s="15"/>
    </row>
    <row r="13737" spans="1:1" x14ac:dyDescent="0.25">
      <c r="A13737" s="15"/>
    </row>
    <row r="13738" spans="1:1" x14ac:dyDescent="0.25">
      <c r="A13738" s="15"/>
    </row>
    <row r="13739" spans="1:1" x14ac:dyDescent="0.25">
      <c r="A13739" s="15"/>
    </row>
    <row r="13740" spans="1:1" x14ac:dyDescent="0.25">
      <c r="A13740" s="15"/>
    </row>
    <row r="13741" spans="1:1" x14ac:dyDescent="0.25">
      <c r="A13741" s="15"/>
    </row>
    <row r="13742" spans="1:1" x14ac:dyDescent="0.25">
      <c r="A13742" s="15"/>
    </row>
    <row r="13743" spans="1:1" x14ac:dyDescent="0.25">
      <c r="A13743" s="15"/>
    </row>
    <row r="13744" spans="1:1" x14ac:dyDescent="0.25">
      <c r="A13744" s="15"/>
    </row>
    <row r="13745" spans="1:1" x14ac:dyDescent="0.25">
      <c r="A13745" s="15"/>
    </row>
    <row r="13746" spans="1:1" x14ac:dyDescent="0.25">
      <c r="A13746" s="15"/>
    </row>
    <row r="13747" spans="1:1" x14ac:dyDescent="0.25">
      <c r="A13747" s="15"/>
    </row>
    <row r="13748" spans="1:1" x14ac:dyDescent="0.25">
      <c r="A13748" s="15"/>
    </row>
    <row r="13749" spans="1:1" x14ac:dyDescent="0.25">
      <c r="A13749" s="15"/>
    </row>
    <row r="13750" spans="1:1" x14ac:dyDescent="0.25">
      <c r="A13750" s="15"/>
    </row>
    <row r="13751" spans="1:1" x14ac:dyDescent="0.25">
      <c r="A13751" s="15"/>
    </row>
    <row r="13752" spans="1:1" x14ac:dyDescent="0.25">
      <c r="A13752" s="15"/>
    </row>
    <row r="13753" spans="1:1" x14ac:dyDescent="0.25">
      <c r="A13753" s="15"/>
    </row>
    <row r="13754" spans="1:1" x14ac:dyDescent="0.25">
      <c r="A13754" s="15"/>
    </row>
    <row r="13755" spans="1:1" x14ac:dyDescent="0.25">
      <c r="A13755" s="15"/>
    </row>
    <row r="13756" spans="1:1" x14ac:dyDescent="0.25">
      <c r="A13756" s="15"/>
    </row>
    <row r="13757" spans="1:1" x14ac:dyDescent="0.25">
      <c r="A13757" s="15"/>
    </row>
    <row r="13758" spans="1:1" x14ac:dyDescent="0.25">
      <c r="A13758" s="15"/>
    </row>
    <row r="13759" spans="1:1" x14ac:dyDescent="0.25">
      <c r="A13759" s="15"/>
    </row>
    <row r="13760" spans="1:1" x14ac:dyDescent="0.25">
      <c r="A13760" s="15"/>
    </row>
    <row r="13761" spans="1:1" x14ac:dyDescent="0.25">
      <c r="A13761" s="15"/>
    </row>
    <row r="13762" spans="1:1" x14ac:dyDescent="0.25">
      <c r="A13762" s="15"/>
    </row>
    <row r="13763" spans="1:1" x14ac:dyDescent="0.25">
      <c r="A13763" s="15"/>
    </row>
    <row r="13764" spans="1:1" x14ac:dyDescent="0.25">
      <c r="A13764" s="15"/>
    </row>
    <row r="13765" spans="1:1" x14ac:dyDescent="0.25">
      <c r="A13765" s="15"/>
    </row>
    <row r="13766" spans="1:1" x14ac:dyDescent="0.25">
      <c r="A13766" s="15"/>
    </row>
    <row r="13767" spans="1:1" x14ac:dyDescent="0.25">
      <c r="A13767" s="15"/>
    </row>
    <row r="13768" spans="1:1" x14ac:dyDescent="0.25">
      <c r="A13768" s="15"/>
    </row>
    <row r="13769" spans="1:1" x14ac:dyDescent="0.25">
      <c r="A13769" s="15"/>
    </row>
    <row r="13770" spans="1:1" x14ac:dyDescent="0.25">
      <c r="A13770" s="15"/>
    </row>
    <row r="13771" spans="1:1" x14ac:dyDescent="0.25">
      <c r="A13771" s="15"/>
    </row>
    <row r="13772" spans="1:1" x14ac:dyDescent="0.25">
      <c r="A13772" s="15"/>
    </row>
    <row r="13773" spans="1:1" x14ac:dyDescent="0.25">
      <c r="A13773" s="15"/>
    </row>
    <row r="13774" spans="1:1" x14ac:dyDescent="0.25">
      <c r="A13774" s="15"/>
    </row>
    <row r="13775" spans="1:1" x14ac:dyDescent="0.25">
      <c r="A13775" s="15"/>
    </row>
    <row r="13776" spans="1:1" x14ac:dyDescent="0.25">
      <c r="A13776" s="15"/>
    </row>
    <row r="13777" spans="1:1" x14ac:dyDescent="0.25">
      <c r="A13777" s="15"/>
    </row>
    <row r="13778" spans="1:1" x14ac:dyDescent="0.25">
      <c r="A13778" s="15"/>
    </row>
    <row r="13779" spans="1:1" x14ac:dyDescent="0.25">
      <c r="A13779" s="15"/>
    </row>
    <row r="13780" spans="1:1" x14ac:dyDescent="0.25">
      <c r="A13780" s="15"/>
    </row>
    <row r="13781" spans="1:1" x14ac:dyDescent="0.25">
      <c r="A13781" s="15"/>
    </row>
    <row r="13782" spans="1:1" x14ac:dyDescent="0.25">
      <c r="A13782" s="15"/>
    </row>
    <row r="13783" spans="1:1" x14ac:dyDescent="0.25">
      <c r="A13783" s="15"/>
    </row>
    <row r="13784" spans="1:1" x14ac:dyDescent="0.25">
      <c r="A13784" s="15"/>
    </row>
    <row r="13785" spans="1:1" x14ac:dyDescent="0.25">
      <c r="A13785" s="15"/>
    </row>
    <row r="13786" spans="1:1" x14ac:dyDescent="0.25">
      <c r="A13786" s="15"/>
    </row>
    <row r="13787" spans="1:1" x14ac:dyDescent="0.25">
      <c r="A13787" s="15"/>
    </row>
    <row r="13788" spans="1:1" x14ac:dyDescent="0.25">
      <c r="A13788" s="15"/>
    </row>
    <row r="13789" spans="1:1" x14ac:dyDescent="0.25">
      <c r="A13789" s="15"/>
    </row>
    <row r="13790" spans="1:1" x14ac:dyDescent="0.25">
      <c r="A13790" s="15"/>
    </row>
    <row r="13791" spans="1:1" x14ac:dyDescent="0.25">
      <c r="A13791" s="15"/>
    </row>
    <row r="13792" spans="1:1" x14ac:dyDescent="0.25">
      <c r="A13792" s="15"/>
    </row>
    <row r="13793" spans="1:1" x14ac:dyDescent="0.25">
      <c r="A13793" s="15"/>
    </row>
    <row r="13794" spans="1:1" x14ac:dyDescent="0.25">
      <c r="A13794" s="15"/>
    </row>
    <row r="13795" spans="1:1" x14ac:dyDescent="0.25">
      <c r="A13795" s="15"/>
    </row>
    <row r="13796" spans="1:1" x14ac:dyDescent="0.25">
      <c r="A13796" s="15"/>
    </row>
    <row r="13797" spans="1:1" x14ac:dyDescent="0.25">
      <c r="A13797" s="15"/>
    </row>
    <row r="13798" spans="1:1" x14ac:dyDescent="0.25">
      <c r="A13798" s="15"/>
    </row>
    <row r="13799" spans="1:1" x14ac:dyDescent="0.25">
      <c r="A13799" s="15"/>
    </row>
    <row r="13800" spans="1:1" x14ac:dyDescent="0.25">
      <c r="A13800" s="15"/>
    </row>
    <row r="13801" spans="1:1" x14ac:dyDescent="0.25">
      <c r="A13801" s="15"/>
    </row>
    <row r="13802" spans="1:1" x14ac:dyDescent="0.25">
      <c r="A13802" s="15"/>
    </row>
    <row r="13803" spans="1:1" x14ac:dyDescent="0.25">
      <c r="A13803" s="15"/>
    </row>
    <row r="13804" spans="1:1" x14ac:dyDescent="0.25">
      <c r="A13804" s="15"/>
    </row>
    <row r="13805" spans="1:1" x14ac:dyDescent="0.25">
      <c r="A13805" s="15"/>
    </row>
    <row r="13806" spans="1:1" x14ac:dyDescent="0.25">
      <c r="A13806" s="15"/>
    </row>
    <row r="13807" spans="1:1" x14ac:dyDescent="0.25">
      <c r="A13807" s="15"/>
    </row>
    <row r="13808" spans="1:1" x14ac:dyDescent="0.25">
      <c r="A13808" s="15"/>
    </row>
    <row r="13809" spans="1:1" x14ac:dyDescent="0.25">
      <c r="A13809" s="15"/>
    </row>
    <row r="13810" spans="1:1" x14ac:dyDescent="0.25">
      <c r="A13810" s="15"/>
    </row>
    <row r="13811" spans="1:1" x14ac:dyDescent="0.25">
      <c r="A13811" s="15"/>
    </row>
    <row r="13812" spans="1:1" x14ac:dyDescent="0.25">
      <c r="A13812" s="15"/>
    </row>
    <row r="13813" spans="1:1" x14ac:dyDescent="0.25">
      <c r="A13813" s="15"/>
    </row>
    <row r="13814" spans="1:1" x14ac:dyDescent="0.25">
      <c r="A13814" s="15"/>
    </row>
    <row r="13815" spans="1:1" x14ac:dyDescent="0.25">
      <c r="A13815" s="15"/>
    </row>
    <row r="13816" spans="1:1" x14ac:dyDescent="0.25">
      <c r="A13816" s="15"/>
    </row>
    <row r="13817" spans="1:1" x14ac:dyDescent="0.25">
      <c r="A13817" s="15"/>
    </row>
    <row r="13818" spans="1:1" x14ac:dyDescent="0.25">
      <c r="A13818" s="15"/>
    </row>
    <row r="13819" spans="1:1" x14ac:dyDescent="0.25">
      <c r="A13819" s="15"/>
    </row>
    <row r="13820" spans="1:1" x14ac:dyDescent="0.25">
      <c r="A13820" s="15"/>
    </row>
    <row r="13821" spans="1:1" x14ac:dyDescent="0.25">
      <c r="A13821" s="15"/>
    </row>
    <row r="13822" spans="1:1" x14ac:dyDescent="0.25">
      <c r="A13822" s="15"/>
    </row>
    <row r="13823" spans="1:1" x14ac:dyDescent="0.25">
      <c r="A13823" s="15"/>
    </row>
    <row r="13824" spans="1:1" x14ac:dyDescent="0.25">
      <c r="A13824" s="15"/>
    </row>
    <row r="13825" spans="1:1" x14ac:dyDescent="0.25">
      <c r="A13825" s="15"/>
    </row>
    <row r="13826" spans="1:1" x14ac:dyDescent="0.25">
      <c r="A13826" s="15"/>
    </row>
    <row r="13827" spans="1:1" x14ac:dyDescent="0.25">
      <c r="A13827" s="15"/>
    </row>
    <row r="13828" spans="1:1" x14ac:dyDescent="0.25">
      <c r="A13828" s="15"/>
    </row>
    <row r="13829" spans="1:1" x14ac:dyDescent="0.25">
      <c r="A13829" s="15"/>
    </row>
    <row r="13830" spans="1:1" x14ac:dyDescent="0.25">
      <c r="A13830" s="15"/>
    </row>
    <row r="13831" spans="1:1" x14ac:dyDescent="0.25">
      <c r="A13831" s="15"/>
    </row>
    <row r="13832" spans="1:1" x14ac:dyDescent="0.25">
      <c r="A13832" s="15"/>
    </row>
    <row r="13833" spans="1:1" x14ac:dyDescent="0.25">
      <c r="A13833" s="15"/>
    </row>
    <row r="13834" spans="1:1" x14ac:dyDescent="0.25">
      <c r="A13834" s="15"/>
    </row>
    <row r="13835" spans="1:1" x14ac:dyDescent="0.25">
      <c r="A13835" s="15"/>
    </row>
    <row r="13836" spans="1:1" x14ac:dyDescent="0.25">
      <c r="A13836" s="15"/>
    </row>
    <row r="13837" spans="1:1" x14ac:dyDescent="0.25">
      <c r="A13837" s="15"/>
    </row>
    <row r="13838" spans="1:1" x14ac:dyDescent="0.25">
      <c r="A13838" s="15"/>
    </row>
    <row r="13839" spans="1:1" x14ac:dyDescent="0.25">
      <c r="A13839" s="15"/>
    </row>
    <row r="13840" spans="1:1" x14ac:dyDescent="0.25">
      <c r="A13840" s="15"/>
    </row>
    <row r="13841" spans="1:1" x14ac:dyDescent="0.25">
      <c r="A13841" s="15"/>
    </row>
    <row r="13842" spans="1:1" x14ac:dyDescent="0.25">
      <c r="A13842" s="15"/>
    </row>
    <row r="13843" spans="1:1" x14ac:dyDescent="0.25">
      <c r="A13843" s="15"/>
    </row>
    <row r="13844" spans="1:1" x14ac:dyDescent="0.25">
      <c r="A13844" s="15"/>
    </row>
    <row r="13845" spans="1:1" x14ac:dyDescent="0.25">
      <c r="A13845" s="15"/>
    </row>
    <row r="13846" spans="1:1" x14ac:dyDescent="0.25">
      <c r="A13846" s="15"/>
    </row>
    <row r="13847" spans="1:1" x14ac:dyDescent="0.25">
      <c r="A13847" s="15"/>
    </row>
    <row r="13848" spans="1:1" x14ac:dyDescent="0.25">
      <c r="A13848" s="15"/>
    </row>
    <row r="13849" spans="1:1" x14ac:dyDescent="0.25">
      <c r="A13849" s="15"/>
    </row>
    <row r="13850" spans="1:1" x14ac:dyDescent="0.25">
      <c r="A13850" s="15"/>
    </row>
    <row r="13851" spans="1:1" x14ac:dyDescent="0.25">
      <c r="A13851" s="15"/>
    </row>
    <row r="13852" spans="1:1" x14ac:dyDescent="0.25">
      <c r="A13852" s="15"/>
    </row>
    <row r="13853" spans="1:1" x14ac:dyDescent="0.25">
      <c r="A13853" s="15"/>
    </row>
    <row r="13854" spans="1:1" x14ac:dyDescent="0.25">
      <c r="A13854" s="15"/>
    </row>
    <row r="13855" spans="1:1" x14ac:dyDescent="0.25">
      <c r="A13855" s="15"/>
    </row>
    <row r="13856" spans="1:1" x14ac:dyDescent="0.25">
      <c r="A13856" s="15"/>
    </row>
    <row r="13857" spans="1:1" x14ac:dyDescent="0.25">
      <c r="A13857" s="15"/>
    </row>
    <row r="13858" spans="1:1" x14ac:dyDescent="0.25">
      <c r="A13858" s="15"/>
    </row>
    <row r="13859" spans="1:1" x14ac:dyDescent="0.25">
      <c r="A13859" s="15"/>
    </row>
    <row r="13860" spans="1:1" x14ac:dyDescent="0.25">
      <c r="A13860" s="15"/>
    </row>
    <row r="13861" spans="1:1" x14ac:dyDescent="0.25">
      <c r="A13861" s="15"/>
    </row>
    <row r="13862" spans="1:1" x14ac:dyDescent="0.25">
      <c r="A13862" s="15"/>
    </row>
    <row r="13863" spans="1:1" x14ac:dyDescent="0.25">
      <c r="A13863" s="15"/>
    </row>
    <row r="13864" spans="1:1" x14ac:dyDescent="0.25">
      <c r="A13864" s="15"/>
    </row>
    <row r="13865" spans="1:1" x14ac:dyDescent="0.25">
      <c r="A13865" s="15"/>
    </row>
    <row r="13866" spans="1:1" x14ac:dyDescent="0.25">
      <c r="A13866" s="15"/>
    </row>
    <row r="13867" spans="1:1" x14ac:dyDescent="0.25">
      <c r="A13867" s="15"/>
    </row>
    <row r="13868" spans="1:1" x14ac:dyDescent="0.25">
      <c r="A13868" s="15"/>
    </row>
    <row r="13869" spans="1:1" x14ac:dyDescent="0.25">
      <c r="A13869" s="15"/>
    </row>
    <row r="13870" spans="1:1" x14ac:dyDescent="0.25">
      <c r="A13870" s="15"/>
    </row>
    <row r="13871" spans="1:1" x14ac:dyDescent="0.25">
      <c r="A13871" s="15"/>
    </row>
    <row r="13872" spans="1:1" x14ac:dyDescent="0.25">
      <c r="A13872" s="15"/>
    </row>
    <row r="13873" spans="1:1" x14ac:dyDescent="0.25">
      <c r="A13873" s="15"/>
    </row>
    <row r="13874" spans="1:1" x14ac:dyDescent="0.25">
      <c r="A13874" s="15"/>
    </row>
    <row r="13875" spans="1:1" x14ac:dyDescent="0.25">
      <c r="A13875" s="15"/>
    </row>
    <row r="13876" spans="1:1" x14ac:dyDescent="0.25">
      <c r="A13876" s="15"/>
    </row>
    <row r="13877" spans="1:1" x14ac:dyDescent="0.25">
      <c r="A13877" s="15"/>
    </row>
    <row r="13878" spans="1:1" x14ac:dyDescent="0.25">
      <c r="A13878" s="15"/>
    </row>
    <row r="13879" spans="1:1" x14ac:dyDescent="0.25">
      <c r="A13879" s="15"/>
    </row>
    <row r="13880" spans="1:1" x14ac:dyDescent="0.25">
      <c r="A13880" s="15"/>
    </row>
    <row r="13881" spans="1:1" x14ac:dyDescent="0.25">
      <c r="A13881" s="15"/>
    </row>
    <row r="13882" spans="1:1" x14ac:dyDescent="0.25">
      <c r="A13882" s="15"/>
    </row>
    <row r="13883" spans="1:1" x14ac:dyDescent="0.25">
      <c r="A13883" s="15"/>
    </row>
    <row r="13884" spans="1:1" x14ac:dyDescent="0.25">
      <c r="A13884" s="15"/>
    </row>
    <row r="13885" spans="1:1" x14ac:dyDescent="0.25">
      <c r="A13885" s="15"/>
    </row>
    <row r="13886" spans="1:1" x14ac:dyDescent="0.25">
      <c r="A13886" s="15"/>
    </row>
    <row r="13887" spans="1:1" x14ac:dyDescent="0.25">
      <c r="A13887" s="15"/>
    </row>
    <row r="13888" spans="1:1" x14ac:dyDescent="0.25">
      <c r="A13888" s="15"/>
    </row>
    <row r="13889" spans="1:1" x14ac:dyDescent="0.25">
      <c r="A13889" s="15"/>
    </row>
    <row r="13890" spans="1:1" x14ac:dyDescent="0.25">
      <c r="A13890" s="15"/>
    </row>
    <row r="13891" spans="1:1" x14ac:dyDescent="0.25">
      <c r="A13891" s="15"/>
    </row>
    <row r="13892" spans="1:1" x14ac:dyDescent="0.25">
      <c r="A13892" s="15"/>
    </row>
    <row r="13893" spans="1:1" x14ac:dyDescent="0.25">
      <c r="A13893" s="15"/>
    </row>
    <row r="13894" spans="1:1" x14ac:dyDescent="0.25">
      <c r="A13894" s="15"/>
    </row>
    <row r="13895" spans="1:1" x14ac:dyDescent="0.25">
      <c r="A13895" s="15"/>
    </row>
    <row r="13896" spans="1:1" x14ac:dyDescent="0.25">
      <c r="A13896" s="15"/>
    </row>
    <row r="13897" spans="1:1" x14ac:dyDescent="0.25">
      <c r="A13897" s="15"/>
    </row>
    <row r="13898" spans="1:1" x14ac:dyDescent="0.25">
      <c r="A13898" s="15"/>
    </row>
    <row r="13899" spans="1:1" x14ac:dyDescent="0.25">
      <c r="A13899" s="15"/>
    </row>
    <row r="13900" spans="1:1" x14ac:dyDescent="0.25">
      <c r="A13900" s="15"/>
    </row>
    <row r="13901" spans="1:1" x14ac:dyDescent="0.25">
      <c r="A13901" s="15"/>
    </row>
    <row r="13902" spans="1:1" x14ac:dyDescent="0.25">
      <c r="A13902" s="15"/>
    </row>
    <row r="13903" spans="1:1" x14ac:dyDescent="0.25">
      <c r="A13903" s="15"/>
    </row>
    <row r="13904" spans="1:1" x14ac:dyDescent="0.25">
      <c r="A13904" s="15"/>
    </row>
    <row r="13905" spans="1:1" x14ac:dyDescent="0.25">
      <c r="A13905" s="15"/>
    </row>
    <row r="13906" spans="1:1" x14ac:dyDescent="0.25">
      <c r="A13906" s="15"/>
    </row>
    <row r="13907" spans="1:1" x14ac:dyDescent="0.25">
      <c r="A13907" s="15"/>
    </row>
    <row r="13908" spans="1:1" x14ac:dyDescent="0.25">
      <c r="A13908" s="15"/>
    </row>
    <row r="13909" spans="1:1" x14ac:dyDescent="0.25">
      <c r="A13909" s="15"/>
    </row>
    <row r="13910" spans="1:1" x14ac:dyDescent="0.25">
      <c r="A13910" s="15"/>
    </row>
    <row r="13911" spans="1:1" x14ac:dyDescent="0.25">
      <c r="A13911" s="15"/>
    </row>
    <row r="13912" spans="1:1" x14ac:dyDescent="0.25">
      <c r="A13912" s="15"/>
    </row>
    <row r="13913" spans="1:1" x14ac:dyDescent="0.25">
      <c r="A13913" s="15"/>
    </row>
    <row r="13914" spans="1:1" x14ac:dyDescent="0.25">
      <c r="A13914" s="15"/>
    </row>
    <row r="13915" spans="1:1" x14ac:dyDescent="0.25">
      <c r="A13915" s="15"/>
    </row>
    <row r="13916" spans="1:1" x14ac:dyDescent="0.25">
      <c r="A13916" s="15"/>
    </row>
    <row r="13917" spans="1:1" x14ac:dyDescent="0.25">
      <c r="A13917" s="15"/>
    </row>
    <row r="13918" spans="1:1" x14ac:dyDescent="0.25">
      <c r="A13918" s="15"/>
    </row>
    <row r="13919" spans="1:1" x14ac:dyDescent="0.25">
      <c r="A13919" s="15"/>
    </row>
    <row r="13920" spans="1:1" x14ac:dyDescent="0.25">
      <c r="A13920" s="15"/>
    </row>
    <row r="13921" spans="1:1" x14ac:dyDescent="0.25">
      <c r="A13921" s="15"/>
    </row>
    <row r="13922" spans="1:1" x14ac:dyDescent="0.25">
      <c r="A13922" s="15"/>
    </row>
    <row r="13923" spans="1:1" x14ac:dyDescent="0.25">
      <c r="A13923" s="15"/>
    </row>
    <row r="13924" spans="1:1" x14ac:dyDescent="0.25">
      <c r="A13924" s="15"/>
    </row>
    <row r="13925" spans="1:1" x14ac:dyDescent="0.25">
      <c r="A13925" s="15"/>
    </row>
    <row r="13926" spans="1:1" x14ac:dyDescent="0.25">
      <c r="A13926" s="15"/>
    </row>
    <row r="13927" spans="1:1" x14ac:dyDescent="0.25">
      <c r="A13927" s="15"/>
    </row>
    <row r="13928" spans="1:1" x14ac:dyDescent="0.25">
      <c r="A13928" s="15"/>
    </row>
    <row r="13929" spans="1:1" x14ac:dyDescent="0.25">
      <c r="A13929" s="15"/>
    </row>
    <row r="13930" spans="1:1" x14ac:dyDescent="0.25">
      <c r="A13930" s="15"/>
    </row>
    <row r="13931" spans="1:1" x14ac:dyDescent="0.25">
      <c r="A13931" s="15"/>
    </row>
    <row r="13932" spans="1:1" x14ac:dyDescent="0.25">
      <c r="A13932" s="15"/>
    </row>
    <row r="13933" spans="1:1" x14ac:dyDescent="0.25">
      <c r="A13933" s="15"/>
    </row>
    <row r="13934" spans="1:1" x14ac:dyDescent="0.25">
      <c r="A13934" s="15"/>
    </row>
    <row r="13935" spans="1:1" x14ac:dyDescent="0.25">
      <c r="A13935" s="15"/>
    </row>
    <row r="13936" spans="1:1" x14ac:dyDescent="0.25">
      <c r="A13936" s="15"/>
    </row>
    <row r="13937" spans="1:1" x14ac:dyDescent="0.25">
      <c r="A13937" s="15"/>
    </row>
    <row r="13938" spans="1:1" x14ac:dyDescent="0.25">
      <c r="A13938" s="15"/>
    </row>
    <row r="13939" spans="1:1" x14ac:dyDescent="0.25">
      <c r="A13939" s="15"/>
    </row>
    <row r="13940" spans="1:1" x14ac:dyDescent="0.25">
      <c r="A13940" s="15"/>
    </row>
    <row r="13941" spans="1:1" x14ac:dyDescent="0.25">
      <c r="A13941" s="15"/>
    </row>
    <row r="13942" spans="1:1" x14ac:dyDescent="0.25">
      <c r="A13942" s="15"/>
    </row>
    <row r="13943" spans="1:1" x14ac:dyDescent="0.25">
      <c r="A13943" s="15"/>
    </row>
    <row r="13944" spans="1:1" x14ac:dyDescent="0.25">
      <c r="A13944" s="15"/>
    </row>
    <row r="13945" spans="1:1" x14ac:dyDescent="0.25">
      <c r="A13945" s="15"/>
    </row>
    <row r="13946" spans="1:1" x14ac:dyDescent="0.25">
      <c r="A13946" s="15"/>
    </row>
    <row r="13947" spans="1:1" x14ac:dyDescent="0.25">
      <c r="A13947" s="15"/>
    </row>
    <row r="13948" spans="1:1" x14ac:dyDescent="0.25">
      <c r="A13948" s="15"/>
    </row>
    <row r="13949" spans="1:1" x14ac:dyDescent="0.25">
      <c r="A13949" s="15"/>
    </row>
    <row r="13950" spans="1:1" x14ac:dyDescent="0.25">
      <c r="A13950" s="15"/>
    </row>
    <row r="13951" spans="1:1" x14ac:dyDescent="0.25">
      <c r="A13951" s="15"/>
    </row>
    <row r="13952" spans="1:1" x14ac:dyDescent="0.25">
      <c r="A13952" s="15"/>
    </row>
    <row r="13953" spans="1:1" x14ac:dyDescent="0.25">
      <c r="A13953" s="15"/>
    </row>
    <row r="13954" spans="1:1" x14ac:dyDescent="0.25">
      <c r="A13954" s="15"/>
    </row>
    <row r="13955" spans="1:1" x14ac:dyDescent="0.25">
      <c r="A13955" s="15"/>
    </row>
    <row r="13956" spans="1:1" x14ac:dyDescent="0.25">
      <c r="A13956" s="15"/>
    </row>
    <row r="13957" spans="1:1" x14ac:dyDescent="0.25">
      <c r="A13957" s="15"/>
    </row>
    <row r="13958" spans="1:1" x14ac:dyDescent="0.25">
      <c r="A13958" s="15"/>
    </row>
    <row r="13959" spans="1:1" x14ac:dyDescent="0.25">
      <c r="A13959" s="15"/>
    </row>
    <row r="13960" spans="1:1" x14ac:dyDescent="0.25">
      <c r="A13960" s="15"/>
    </row>
    <row r="13961" spans="1:1" x14ac:dyDescent="0.25">
      <c r="A13961" s="15"/>
    </row>
    <row r="13962" spans="1:1" x14ac:dyDescent="0.25">
      <c r="A13962" s="15"/>
    </row>
    <row r="13963" spans="1:1" x14ac:dyDescent="0.25">
      <c r="A13963" s="15"/>
    </row>
    <row r="13964" spans="1:1" x14ac:dyDescent="0.25">
      <c r="A13964" s="15"/>
    </row>
    <row r="13965" spans="1:1" x14ac:dyDescent="0.25">
      <c r="A13965" s="15"/>
    </row>
    <row r="13966" spans="1:1" x14ac:dyDescent="0.25">
      <c r="A13966" s="15"/>
    </row>
    <row r="13967" spans="1:1" x14ac:dyDescent="0.25">
      <c r="A13967" s="15"/>
    </row>
    <row r="13968" spans="1:1" x14ac:dyDescent="0.25">
      <c r="A13968" s="15"/>
    </row>
    <row r="13969" spans="1:1" x14ac:dyDescent="0.25">
      <c r="A13969" s="15"/>
    </row>
    <row r="13970" spans="1:1" x14ac:dyDescent="0.25">
      <c r="A13970" s="15"/>
    </row>
    <row r="13971" spans="1:1" x14ac:dyDescent="0.25">
      <c r="A13971" s="15"/>
    </row>
    <row r="13972" spans="1:1" x14ac:dyDescent="0.25">
      <c r="A13972" s="15"/>
    </row>
    <row r="13973" spans="1:1" x14ac:dyDescent="0.25">
      <c r="A13973" s="15"/>
    </row>
    <row r="13974" spans="1:1" x14ac:dyDescent="0.25">
      <c r="A13974" s="15"/>
    </row>
    <row r="13975" spans="1:1" x14ac:dyDescent="0.25">
      <c r="A13975" s="15"/>
    </row>
    <row r="13976" spans="1:1" x14ac:dyDescent="0.25">
      <c r="A13976" s="15"/>
    </row>
    <row r="13977" spans="1:1" x14ac:dyDescent="0.25">
      <c r="A13977" s="15"/>
    </row>
    <row r="13978" spans="1:1" x14ac:dyDescent="0.25">
      <c r="A13978" s="15"/>
    </row>
    <row r="13979" spans="1:1" x14ac:dyDescent="0.25">
      <c r="A13979" s="15"/>
    </row>
    <row r="13980" spans="1:1" x14ac:dyDescent="0.25">
      <c r="A13980" s="15"/>
    </row>
    <row r="13981" spans="1:1" x14ac:dyDescent="0.25">
      <c r="A13981" s="15"/>
    </row>
    <row r="13982" spans="1:1" x14ac:dyDescent="0.25">
      <c r="A13982" s="15"/>
    </row>
    <row r="13983" spans="1:1" x14ac:dyDescent="0.25">
      <c r="A13983" s="15"/>
    </row>
    <row r="13984" spans="1:1" x14ac:dyDescent="0.25">
      <c r="A13984" s="15"/>
    </row>
    <row r="13985" spans="1:1" x14ac:dyDescent="0.25">
      <c r="A13985" s="15"/>
    </row>
    <row r="13986" spans="1:1" x14ac:dyDescent="0.25">
      <c r="A13986" s="15"/>
    </row>
    <row r="13987" spans="1:1" x14ac:dyDescent="0.25">
      <c r="A13987" s="15"/>
    </row>
    <row r="13988" spans="1:1" x14ac:dyDescent="0.25">
      <c r="A13988" s="15"/>
    </row>
    <row r="13989" spans="1:1" x14ac:dyDescent="0.25">
      <c r="A13989" s="15"/>
    </row>
    <row r="13990" spans="1:1" x14ac:dyDescent="0.25">
      <c r="A13990" s="15"/>
    </row>
    <row r="13991" spans="1:1" x14ac:dyDescent="0.25">
      <c r="A13991" s="15"/>
    </row>
    <row r="13992" spans="1:1" x14ac:dyDescent="0.25">
      <c r="A13992" s="15"/>
    </row>
    <row r="13993" spans="1:1" x14ac:dyDescent="0.25">
      <c r="A13993" s="15"/>
    </row>
    <row r="13994" spans="1:1" x14ac:dyDescent="0.25">
      <c r="A13994" s="15"/>
    </row>
    <row r="13995" spans="1:1" x14ac:dyDescent="0.25">
      <c r="A13995" s="15"/>
    </row>
    <row r="13996" spans="1:1" x14ac:dyDescent="0.25">
      <c r="A13996" s="15"/>
    </row>
    <row r="13997" spans="1:1" x14ac:dyDescent="0.25">
      <c r="A13997" s="15"/>
    </row>
    <row r="13998" spans="1:1" x14ac:dyDescent="0.25">
      <c r="A13998" s="15"/>
    </row>
    <row r="13999" spans="1:1" x14ac:dyDescent="0.25">
      <c r="A13999" s="15"/>
    </row>
    <row r="14000" spans="1:1" x14ac:dyDescent="0.25">
      <c r="A14000" s="15"/>
    </row>
    <row r="14001" spans="1:1" x14ac:dyDescent="0.25">
      <c r="A14001" s="15"/>
    </row>
    <row r="14002" spans="1:1" x14ac:dyDescent="0.25">
      <c r="A14002" s="15"/>
    </row>
    <row r="14003" spans="1:1" x14ac:dyDescent="0.25">
      <c r="A14003" s="15"/>
    </row>
    <row r="14004" spans="1:1" x14ac:dyDescent="0.25">
      <c r="A14004" s="15"/>
    </row>
    <row r="14005" spans="1:1" x14ac:dyDescent="0.25">
      <c r="A14005" s="15"/>
    </row>
    <row r="14006" spans="1:1" x14ac:dyDescent="0.25">
      <c r="A14006" s="15"/>
    </row>
    <row r="14007" spans="1:1" x14ac:dyDescent="0.25">
      <c r="A14007" s="15"/>
    </row>
    <row r="14008" spans="1:1" x14ac:dyDescent="0.25">
      <c r="A14008" s="15"/>
    </row>
    <row r="14009" spans="1:1" x14ac:dyDescent="0.25">
      <c r="A14009" s="15"/>
    </row>
    <row r="14010" spans="1:1" x14ac:dyDescent="0.25">
      <c r="A14010" s="15"/>
    </row>
    <row r="14011" spans="1:1" x14ac:dyDescent="0.25">
      <c r="A14011" s="15"/>
    </row>
    <row r="14012" spans="1:1" x14ac:dyDescent="0.25">
      <c r="A14012" s="15"/>
    </row>
    <row r="14013" spans="1:1" x14ac:dyDescent="0.25">
      <c r="A14013" s="15"/>
    </row>
    <row r="14014" spans="1:1" x14ac:dyDescent="0.25">
      <c r="A14014" s="15"/>
    </row>
    <row r="14015" spans="1:1" x14ac:dyDescent="0.25">
      <c r="A14015" s="15"/>
    </row>
    <row r="14016" spans="1:1" x14ac:dyDescent="0.25">
      <c r="A14016" s="15"/>
    </row>
    <row r="14017" spans="1:1" x14ac:dyDescent="0.25">
      <c r="A14017" s="15"/>
    </row>
    <row r="14018" spans="1:1" x14ac:dyDescent="0.25">
      <c r="A14018" s="15"/>
    </row>
    <row r="14019" spans="1:1" x14ac:dyDescent="0.25">
      <c r="A14019" s="15"/>
    </row>
    <row r="14020" spans="1:1" x14ac:dyDescent="0.25">
      <c r="A14020" s="15"/>
    </row>
    <row r="14021" spans="1:1" x14ac:dyDescent="0.25">
      <c r="A14021" s="15"/>
    </row>
    <row r="14022" spans="1:1" x14ac:dyDescent="0.25">
      <c r="A14022" s="15"/>
    </row>
    <row r="14023" spans="1:1" x14ac:dyDescent="0.25">
      <c r="A14023" s="15"/>
    </row>
    <row r="14024" spans="1:1" x14ac:dyDescent="0.25">
      <c r="A14024" s="15"/>
    </row>
    <row r="14025" spans="1:1" x14ac:dyDescent="0.25">
      <c r="A14025" s="15"/>
    </row>
    <row r="14026" spans="1:1" x14ac:dyDescent="0.25">
      <c r="A14026" s="15"/>
    </row>
    <row r="14027" spans="1:1" x14ac:dyDescent="0.25">
      <c r="A14027" s="15"/>
    </row>
    <row r="14028" spans="1:1" x14ac:dyDescent="0.25">
      <c r="A14028" s="15"/>
    </row>
    <row r="14029" spans="1:1" x14ac:dyDescent="0.25">
      <c r="A14029" s="15"/>
    </row>
    <row r="14030" spans="1:1" x14ac:dyDescent="0.25">
      <c r="A14030" s="15"/>
    </row>
    <row r="14031" spans="1:1" x14ac:dyDescent="0.25">
      <c r="A14031" s="15"/>
    </row>
    <row r="14032" spans="1:1" x14ac:dyDescent="0.25">
      <c r="A14032" s="15"/>
    </row>
    <row r="14033" spans="1:1" x14ac:dyDescent="0.25">
      <c r="A14033" s="15"/>
    </row>
    <row r="14034" spans="1:1" x14ac:dyDescent="0.25">
      <c r="A14034" s="15"/>
    </row>
    <row r="14035" spans="1:1" x14ac:dyDescent="0.25">
      <c r="A14035" s="15"/>
    </row>
    <row r="14036" spans="1:1" x14ac:dyDescent="0.25">
      <c r="A14036" s="15"/>
    </row>
    <row r="14037" spans="1:1" x14ac:dyDescent="0.25">
      <c r="A14037" s="15"/>
    </row>
    <row r="14038" spans="1:1" x14ac:dyDescent="0.25">
      <c r="A14038" s="15"/>
    </row>
    <row r="14039" spans="1:1" x14ac:dyDescent="0.25">
      <c r="A14039" s="15"/>
    </row>
    <row r="14040" spans="1:1" x14ac:dyDescent="0.25">
      <c r="A14040" s="15"/>
    </row>
    <row r="14041" spans="1:1" x14ac:dyDescent="0.25">
      <c r="A14041" s="15"/>
    </row>
    <row r="14042" spans="1:1" x14ac:dyDescent="0.25">
      <c r="A14042" s="15"/>
    </row>
    <row r="14043" spans="1:1" x14ac:dyDescent="0.25">
      <c r="A14043" s="15"/>
    </row>
    <row r="14044" spans="1:1" x14ac:dyDescent="0.25">
      <c r="A14044" s="15"/>
    </row>
    <row r="14045" spans="1:1" x14ac:dyDescent="0.25">
      <c r="A14045" s="15"/>
    </row>
    <row r="14046" spans="1:1" x14ac:dyDescent="0.25">
      <c r="A14046" s="15"/>
    </row>
    <row r="14047" spans="1:1" x14ac:dyDescent="0.25">
      <c r="A14047" s="15"/>
    </row>
    <row r="14048" spans="1:1" x14ac:dyDescent="0.25">
      <c r="A14048" s="15"/>
    </row>
    <row r="14049" spans="1:1" x14ac:dyDescent="0.25">
      <c r="A14049" s="15"/>
    </row>
    <row r="14050" spans="1:1" x14ac:dyDescent="0.25">
      <c r="A14050" s="15"/>
    </row>
    <row r="14051" spans="1:1" x14ac:dyDescent="0.25">
      <c r="A14051" s="15"/>
    </row>
    <row r="14052" spans="1:1" x14ac:dyDescent="0.25">
      <c r="A14052" s="15"/>
    </row>
    <row r="14053" spans="1:1" x14ac:dyDescent="0.25">
      <c r="A14053" s="15"/>
    </row>
    <row r="14054" spans="1:1" x14ac:dyDescent="0.25">
      <c r="A14054" s="15"/>
    </row>
    <row r="14055" spans="1:1" x14ac:dyDescent="0.25">
      <c r="A14055" s="15"/>
    </row>
    <row r="14056" spans="1:1" x14ac:dyDescent="0.25">
      <c r="A14056" s="15"/>
    </row>
    <row r="14057" spans="1:1" x14ac:dyDescent="0.25">
      <c r="A14057" s="15"/>
    </row>
    <row r="14058" spans="1:1" x14ac:dyDescent="0.25">
      <c r="A14058" s="15"/>
    </row>
    <row r="14059" spans="1:1" x14ac:dyDescent="0.25">
      <c r="A14059" s="15"/>
    </row>
    <row r="14060" spans="1:1" x14ac:dyDescent="0.25">
      <c r="A14060" s="15"/>
    </row>
    <row r="14061" spans="1:1" x14ac:dyDescent="0.25">
      <c r="A14061" s="15"/>
    </row>
    <row r="14062" spans="1:1" x14ac:dyDescent="0.25">
      <c r="A14062" s="15"/>
    </row>
    <row r="14063" spans="1:1" x14ac:dyDescent="0.25">
      <c r="A14063" s="15"/>
    </row>
    <row r="14064" spans="1:1" x14ac:dyDescent="0.25">
      <c r="A14064" s="15"/>
    </row>
    <row r="14065" spans="1:1" x14ac:dyDescent="0.25">
      <c r="A14065" s="15"/>
    </row>
    <row r="14066" spans="1:1" x14ac:dyDescent="0.25">
      <c r="A14066" s="15"/>
    </row>
    <row r="14067" spans="1:1" x14ac:dyDescent="0.25">
      <c r="A14067" s="15"/>
    </row>
    <row r="14068" spans="1:1" x14ac:dyDescent="0.25">
      <c r="A14068" s="15"/>
    </row>
    <row r="14069" spans="1:1" x14ac:dyDescent="0.25">
      <c r="A14069" s="15"/>
    </row>
    <row r="14070" spans="1:1" x14ac:dyDescent="0.25">
      <c r="A14070" s="15"/>
    </row>
    <row r="14071" spans="1:1" x14ac:dyDescent="0.25">
      <c r="A14071" s="15"/>
    </row>
    <row r="14072" spans="1:1" x14ac:dyDescent="0.25">
      <c r="A14072" s="15"/>
    </row>
    <row r="14073" spans="1:1" x14ac:dyDescent="0.25">
      <c r="A14073" s="15"/>
    </row>
    <row r="14074" spans="1:1" x14ac:dyDescent="0.25">
      <c r="A14074" s="15"/>
    </row>
    <row r="14075" spans="1:1" x14ac:dyDescent="0.25">
      <c r="A14075" s="15"/>
    </row>
    <row r="14076" spans="1:1" x14ac:dyDescent="0.25">
      <c r="A14076" s="15"/>
    </row>
    <row r="14077" spans="1:1" x14ac:dyDescent="0.25">
      <c r="A14077" s="15"/>
    </row>
    <row r="14078" spans="1:1" x14ac:dyDescent="0.25">
      <c r="A14078" s="15"/>
    </row>
    <row r="14079" spans="1:1" x14ac:dyDescent="0.25">
      <c r="A14079" s="15"/>
    </row>
    <row r="14080" spans="1:1" x14ac:dyDescent="0.25">
      <c r="A14080" s="15"/>
    </row>
    <row r="14081" spans="1:1" x14ac:dyDescent="0.25">
      <c r="A14081" s="15"/>
    </row>
    <row r="14082" spans="1:1" x14ac:dyDescent="0.25">
      <c r="A14082" s="15"/>
    </row>
    <row r="14083" spans="1:1" x14ac:dyDescent="0.25">
      <c r="A14083" s="15"/>
    </row>
    <row r="14084" spans="1:1" x14ac:dyDescent="0.25">
      <c r="A14084" s="15"/>
    </row>
    <row r="14085" spans="1:1" x14ac:dyDescent="0.25">
      <c r="A14085" s="15"/>
    </row>
    <row r="14086" spans="1:1" x14ac:dyDescent="0.25">
      <c r="A14086" s="15"/>
    </row>
    <row r="14087" spans="1:1" x14ac:dyDescent="0.25">
      <c r="A14087" s="15"/>
    </row>
    <row r="14088" spans="1:1" x14ac:dyDescent="0.25">
      <c r="A14088" s="15"/>
    </row>
    <row r="14089" spans="1:1" x14ac:dyDescent="0.25">
      <c r="A14089" s="15"/>
    </row>
    <row r="14090" spans="1:1" x14ac:dyDescent="0.25">
      <c r="A14090" s="15"/>
    </row>
    <row r="14091" spans="1:1" x14ac:dyDescent="0.25">
      <c r="A14091" s="15"/>
    </row>
    <row r="14092" spans="1:1" x14ac:dyDescent="0.25">
      <c r="A14092" s="15"/>
    </row>
    <row r="14093" spans="1:1" x14ac:dyDescent="0.25">
      <c r="A14093" s="15"/>
    </row>
    <row r="14094" spans="1:1" x14ac:dyDescent="0.25">
      <c r="A14094" s="15"/>
    </row>
    <row r="14095" spans="1:1" x14ac:dyDescent="0.25">
      <c r="A14095" s="15"/>
    </row>
    <row r="14096" spans="1:1" x14ac:dyDescent="0.25">
      <c r="A14096" s="15"/>
    </row>
    <row r="14097" spans="1:1" x14ac:dyDescent="0.25">
      <c r="A14097" s="15"/>
    </row>
    <row r="14098" spans="1:1" x14ac:dyDescent="0.25">
      <c r="A14098" s="15"/>
    </row>
    <row r="14099" spans="1:1" x14ac:dyDescent="0.25">
      <c r="A14099" s="15"/>
    </row>
    <row r="14100" spans="1:1" x14ac:dyDescent="0.25">
      <c r="A14100" s="15"/>
    </row>
    <row r="14101" spans="1:1" x14ac:dyDescent="0.25">
      <c r="A14101" s="15"/>
    </row>
    <row r="14102" spans="1:1" x14ac:dyDescent="0.25">
      <c r="A14102" s="15"/>
    </row>
    <row r="14103" spans="1:1" x14ac:dyDescent="0.25">
      <c r="A14103" s="15"/>
    </row>
    <row r="14104" spans="1:1" x14ac:dyDescent="0.25">
      <c r="A14104" s="15"/>
    </row>
    <row r="14105" spans="1:1" x14ac:dyDescent="0.25">
      <c r="A14105" s="15"/>
    </row>
    <row r="14106" spans="1:1" x14ac:dyDescent="0.25">
      <c r="A14106" s="15"/>
    </row>
    <row r="14107" spans="1:1" x14ac:dyDescent="0.25">
      <c r="A14107" s="15"/>
    </row>
    <row r="14108" spans="1:1" x14ac:dyDescent="0.25">
      <c r="A14108" s="15"/>
    </row>
    <row r="14109" spans="1:1" x14ac:dyDescent="0.25">
      <c r="A14109" s="15"/>
    </row>
    <row r="14110" spans="1:1" x14ac:dyDescent="0.25">
      <c r="A14110" s="15"/>
    </row>
    <row r="14111" spans="1:1" x14ac:dyDescent="0.25">
      <c r="A14111" s="15"/>
    </row>
    <row r="14112" spans="1:1" x14ac:dyDescent="0.25">
      <c r="A14112" s="15"/>
    </row>
    <row r="14113" spans="1:1" x14ac:dyDescent="0.25">
      <c r="A14113" s="15"/>
    </row>
    <row r="14114" spans="1:1" x14ac:dyDescent="0.25">
      <c r="A14114" s="15"/>
    </row>
    <row r="14115" spans="1:1" x14ac:dyDescent="0.25">
      <c r="A14115" s="15"/>
    </row>
    <row r="14116" spans="1:1" x14ac:dyDescent="0.25">
      <c r="A14116" s="15"/>
    </row>
    <row r="14117" spans="1:1" x14ac:dyDescent="0.25">
      <c r="A14117" s="15"/>
    </row>
    <row r="14118" spans="1:1" x14ac:dyDescent="0.25">
      <c r="A14118" s="15"/>
    </row>
    <row r="14119" spans="1:1" x14ac:dyDescent="0.25">
      <c r="A14119" s="15"/>
    </row>
    <row r="14120" spans="1:1" x14ac:dyDescent="0.25">
      <c r="A14120" s="15"/>
    </row>
    <row r="14121" spans="1:1" x14ac:dyDescent="0.25">
      <c r="A14121" s="15"/>
    </row>
    <row r="14122" spans="1:1" x14ac:dyDescent="0.25">
      <c r="A14122" s="15"/>
    </row>
    <row r="14123" spans="1:1" x14ac:dyDescent="0.25">
      <c r="A14123" s="15"/>
    </row>
    <row r="14124" spans="1:1" x14ac:dyDescent="0.25">
      <c r="A14124" s="15"/>
    </row>
    <row r="14125" spans="1:1" x14ac:dyDescent="0.25">
      <c r="A14125" s="15"/>
    </row>
    <row r="14126" spans="1:1" x14ac:dyDescent="0.25">
      <c r="A14126" s="15"/>
    </row>
    <row r="14127" spans="1:1" x14ac:dyDescent="0.25">
      <c r="A14127" s="15"/>
    </row>
    <row r="14128" spans="1:1" x14ac:dyDescent="0.25">
      <c r="A14128" s="15"/>
    </row>
    <row r="14129" spans="1:1" x14ac:dyDescent="0.25">
      <c r="A14129" s="15"/>
    </row>
    <row r="14130" spans="1:1" x14ac:dyDescent="0.25">
      <c r="A14130" s="15"/>
    </row>
    <row r="14131" spans="1:1" x14ac:dyDescent="0.25">
      <c r="A14131" s="15"/>
    </row>
    <row r="14132" spans="1:1" x14ac:dyDescent="0.25">
      <c r="A14132" s="15"/>
    </row>
    <row r="14133" spans="1:1" x14ac:dyDescent="0.25">
      <c r="A14133" s="15"/>
    </row>
    <row r="14134" spans="1:1" x14ac:dyDescent="0.25">
      <c r="A14134" s="15"/>
    </row>
    <row r="14135" spans="1:1" x14ac:dyDescent="0.25">
      <c r="A14135" s="15"/>
    </row>
    <row r="14136" spans="1:1" x14ac:dyDescent="0.25">
      <c r="A14136" s="15"/>
    </row>
    <row r="14137" spans="1:1" x14ac:dyDescent="0.25">
      <c r="A14137" s="15"/>
    </row>
    <row r="14138" spans="1:1" x14ac:dyDescent="0.25">
      <c r="A14138" s="15"/>
    </row>
    <row r="14139" spans="1:1" x14ac:dyDescent="0.25">
      <c r="A14139" s="15"/>
    </row>
    <row r="14140" spans="1:1" x14ac:dyDescent="0.25">
      <c r="A14140" s="15"/>
    </row>
    <row r="14141" spans="1:1" x14ac:dyDescent="0.25">
      <c r="A14141" s="15"/>
    </row>
    <row r="14142" spans="1:1" x14ac:dyDescent="0.25">
      <c r="A14142" s="15"/>
    </row>
    <row r="14143" spans="1:1" x14ac:dyDescent="0.25">
      <c r="A14143" s="15"/>
    </row>
    <row r="14144" spans="1:1" x14ac:dyDescent="0.25">
      <c r="A14144" s="15"/>
    </row>
    <row r="14145" spans="1:1" x14ac:dyDescent="0.25">
      <c r="A14145" s="15"/>
    </row>
    <row r="14146" spans="1:1" x14ac:dyDescent="0.25">
      <c r="A14146" s="15"/>
    </row>
    <row r="14147" spans="1:1" x14ac:dyDescent="0.25">
      <c r="A14147" s="15"/>
    </row>
    <row r="14148" spans="1:1" x14ac:dyDescent="0.25">
      <c r="A14148" s="15"/>
    </row>
    <row r="14149" spans="1:1" x14ac:dyDescent="0.25">
      <c r="A14149" s="15"/>
    </row>
    <row r="14150" spans="1:1" x14ac:dyDescent="0.25">
      <c r="A14150" s="15"/>
    </row>
    <row r="14151" spans="1:1" x14ac:dyDescent="0.25">
      <c r="A14151" s="15"/>
    </row>
    <row r="14152" spans="1:1" x14ac:dyDescent="0.25">
      <c r="A14152" s="15"/>
    </row>
    <row r="14153" spans="1:1" x14ac:dyDescent="0.25">
      <c r="A14153" s="15"/>
    </row>
    <row r="14154" spans="1:1" x14ac:dyDescent="0.25">
      <c r="A14154" s="15"/>
    </row>
    <row r="14155" spans="1:1" x14ac:dyDescent="0.25">
      <c r="A14155" s="15"/>
    </row>
    <row r="14156" spans="1:1" x14ac:dyDescent="0.25">
      <c r="A14156" s="15"/>
    </row>
    <row r="14157" spans="1:1" x14ac:dyDescent="0.25">
      <c r="A14157" s="15"/>
    </row>
    <row r="14158" spans="1:1" x14ac:dyDescent="0.25">
      <c r="A14158" s="15"/>
    </row>
    <row r="14159" spans="1:1" x14ac:dyDescent="0.25">
      <c r="A14159" s="15"/>
    </row>
    <row r="14160" spans="1:1" x14ac:dyDescent="0.25">
      <c r="A14160" s="15"/>
    </row>
    <row r="14161" spans="1:1" x14ac:dyDescent="0.25">
      <c r="A14161" s="15"/>
    </row>
    <row r="14162" spans="1:1" x14ac:dyDescent="0.25">
      <c r="A14162" s="15"/>
    </row>
    <row r="14163" spans="1:1" x14ac:dyDescent="0.25">
      <c r="A14163" s="15"/>
    </row>
    <row r="14164" spans="1:1" x14ac:dyDescent="0.25">
      <c r="A14164" s="15"/>
    </row>
    <row r="14165" spans="1:1" x14ac:dyDescent="0.25">
      <c r="A14165" s="15"/>
    </row>
    <row r="14166" spans="1:1" x14ac:dyDescent="0.25">
      <c r="A14166" s="15"/>
    </row>
    <row r="14167" spans="1:1" x14ac:dyDescent="0.25">
      <c r="A14167" s="15"/>
    </row>
    <row r="14168" spans="1:1" x14ac:dyDescent="0.25">
      <c r="A14168" s="15"/>
    </row>
    <row r="14169" spans="1:1" x14ac:dyDescent="0.25">
      <c r="A14169" s="15"/>
    </row>
    <row r="14170" spans="1:1" x14ac:dyDescent="0.25">
      <c r="A14170" s="15"/>
    </row>
    <row r="14171" spans="1:1" x14ac:dyDescent="0.25">
      <c r="A14171" s="15"/>
    </row>
    <row r="14172" spans="1:1" x14ac:dyDescent="0.25">
      <c r="A14172" s="15"/>
    </row>
    <row r="14173" spans="1:1" x14ac:dyDescent="0.25">
      <c r="A14173" s="15"/>
    </row>
    <row r="14174" spans="1:1" x14ac:dyDescent="0.25">
      <c r="A14174" s="15"/>
    </row>
    <row r="14175" spans="1:1" x14ac:dyDescent="0.25">
      <c r="A14175" s="15"/>
    </row>
    <row r="14176" spans="1:1" x14ac:dyDescent="0.25">
      <c r="A14176" s="15"/>
    </row>
    <row r="14177" spans="1:1" x14ac:dyDescent="0.25">
      <c r="A14177" s="15"/>
    </row>
    <row r="14178" spans="1:1" x14ac:dyDescent="0.25">
      <c r="A14178" s="15"/>
    </row>
    <row r="14179" spans="1:1" x14ac:dyDescent="0.25">
      <c r="A14179" s="15"/>
    </row>
    <row r="14180" spans="1:1" x14ac:dyDescent="0.25">
      <c r="A14180" s="15"/>
    </row>
    <row r="14181" spans="1:1" x14ac:dyDescent="0.25">
      <c r="A14181" s="15"/>
    </row>
    <row r="14182" spans="1:1" x14ac:dyDescent="0.25">
      <c r="A14182" s="15"/>
    </row>
    <row r="14183" spans="1:1" x14ac:dyDescent="0.25">
      <c r="A14183" s="15"/>
    </row>
    <row r="14184" spans="1:1" x14ac:dyDescent="0.25">
      <c r="A14184" s="15"/>
    </row>
    <row r="14185" spans="1:1" x14ac:dyDescent="0.25">
      <c r="A14185" s="15"/>
    </row>
    <row r="14186" spans="1:1" x14ac:dyDescent="0.25">
      <c r="A14186" s="15"/>
    </row>
    <row r="14187" spans="1:1" x14ac:dyDescent="0.25">
      <c r="A14187" s="15"/>
    </row>
    <row r="14188" spans="1:1" x14ac:dyDescent="0.25">
      <c r="A14188" s="15"/>
    </row>
    <row r="14189" spans="1:1" x14ac:dyDescent="0.25">
      <c r="A14189" s="15"/>
    </row>
    <row r="14190" spans="1:1" x14ac:dyDescent="0.25">
      <c r="A14190" s="15"/>
    </row>
    <row r="14191" spans="1:1" x14ac:dyDescent="0.25">
      <c r="A14191" s="15"/>
    </row>
    <row r="14192" spans="1:1" x14ac:dyDescent="0.25">
      <c r="A14192" s="15"/>
    </row>
    <row r="14193" spans="1:1" x14ac:dyDescent="0.25">
      <c r="A14193" s="15"/>
    </row>
    <row r="14194" spans="1:1" x14ac:dyDescent="0.25">
      <c r="A14194" s="15"/>
    </row>
    <row r="14195" spans="1:1" x14ac:dyDescent="0.25">
      <c r="A14195" s="15"/>
    </row>
    <row r="14196" spans="1:1" x14ac:dyDescent="0.25">
      <c r="A14196" s="15"/>
    </row>
    <row r="14197" spans="1:1" x14ac:dyDescent="0.25">
      <c r="A14197" s="15"/>
    </row>
    <row r="14198" spans="1:1" x14ac:dyDescent="0.25">
      <c r="A14198" s="15"/>
    </row>
    <row r="14199" spans="1:1" x14ac:dyDescent="0.25">
      <c r="A14199" s="15"/>
    </row>
    <row r="14200" spans="1:1" x14ac:dyDescent="0.25">
      <c r="A14200" s="15"/>
    </row>
    <row r="14201" spans="1:1" x14ac:dyDescent="0.25">
      <c r="A14201" s="15"/>
    </row>
    <row r="14202" spans="1:1" x14ac:dyDescent="0.25">
      <c r="A14202" s="15"/>
    </row>
    <row r="14203" spans="1:1" x14ac:dyDescent="0.25">
      <c r="A14203" s="15"/>
    </row>
    <row r="14204" spans="1:1" x14ac:dyDescent="0.25">
      <c r="A14204" s="15"/>
    </row>
    <row r="14205" spans="1:1" x14ac:dyDescent="0.25">
      <c r="A14205" s="15"/>
    </row>
    <row r="14206" spans="1:1" x14ac:dyDescent="0.25">
      <c r="A14206" s="15"/>
    </row>
    <row r="14207" spans="1:1" x14ac:dyDescent="0.25">
      <c r="A14207" s="15"/>
    </row>
    <row r="14208" spans="1:1" x14ac:dyDescent="0.25">
      <c r="A14208" s="15"/>
    </row>
    <row r="14209" spans="1:1" x14ac:dyDescent="0.25">
      <c r="A14209" s="15"/>
    </row>
    <row r="14210" spans="1:1" x14ac:dyDescent="0.25">
      <c r="A14210" s="15"/>
    </row>
    <row r="14211" spans="1:1" x14ac:dyDescent="0.25">
      <c r="A14211" s="15"/>
    </row>
    <row r="14212" spans="1:1" x14ac:dyDescent="0.25">
      <c r="A14212" s="15"/>
    </row>
    <row r="14213" spans="1:1" x14ac:dyDescent="0.25">
      <c r="A14213" s="15"/>
    </row>
    <row r="14214" spans="1:1" x14ac:dyDescent="0.25">
      <c r="A14214" s="15"/>
    </row>
    <row r="14215" spans="1:1" x14ac:dyDescent="0.25">
      <c r="A14215" s="15"/>
    </row>
    <row r="14216" spans="1:1" x14ac:dyDescent="0.25">
      <c r="A14216" s="15"/>
    </row>
    <row r="14217" spans="1:1" x14ac:dyDescent="0.25">
      <c r="A14217" s="15"/>
    </row>
    <row r="14218" spans="1:1" x14ac:dyDescent="0.25">
      <c r="A14218" s="15"/>
    </row>
    <row r="14219" spans="1:1" x14ac:dyDescent="0.25">
      <c r="A14219" s="15"/>
    </row>
    <row r="14220" spans="1:1" x14ac:dyDescent="0.25">
      <c r="A14220" s="15"/>
    </row>
    <row r="14221" spans="1:1" x14ac:dyDescent="0.25">
      <c r="A14221" s="15"/>
    </row>
    <row r="14222" spans="1:1" x14ac:dyDescent="0.25">
      <c r="A14222" s="15"/>
    </row>
    <row r="14223" spans="1:1" x14ac:dyDescent="0.25">
      <c r="A14223" s="15"/>
    </row>
    <row r="14224" spans="1:1" x14ac:dyDescent="0.25">
      <c r="A14224" s="15"/>
    </row>
    <row r="14225" spans="1:1" x14ac:dyDescent="0.25">
      <c r="A14225" s="15"/>
    </row>
    <row r="14226" spans="1:1" x14ac:dyDescent="0.25">
      <c r="A14226" s="15"/>
    </row>
    <row r="14227" spans="1:1" x14ac:dyDescent="0.25">
      <c r="A14227" s="15"/>
    </row>
    <row r="14228" spans="1:1" x14ac:dyDescent="0.25">
      <c r="A14228" s="15"/>
    </row>
    <row r="14229" spans="1:1" x14ac:dyDescent="0.25">
      <c r="A14229" s="15"/>
    </row>
    <row r="14230" spans="1:1" x14ac:dyDescent="0.25">
      <c r="A14230" s="15"/>
    </row>
    <row r="14231" spans="1:1" x14ac:dyDescent="0.25">
      <c r="A14231" s="15"/>
    </row>
    <row r="14232" spans="1:1" x14ac:dyDescent="0.25">
      <c r="A14232" s="15"/>
    </row>
    <row r="14233" spans="1:1" x14ac:dyDescent="0.25">
      <c r="A14233" s="15"/>
    </row>
    <row r="14234" spans="1:1" x14ac:dyDescent="0.25">
      <c r="A14234" s="15"/>
    </row>
    <row r="14235" spans="1:1" x14ac:dyDescent="0.25">
      <c r="A14235" s="15"/>
    </row>
    <row r="14236" spans="1:1" x14ac:dyDescent="0.25">
      <c r="A14236" s="15"/>
    </row>
    <row r="14237" spans="1:1" x14ac:dyDescent="0.25">
      <c r="A14237" s="15"/>
    </row>
    <row r="14238" spans="1:1" x14ac:dyDescent="0.25">
      <c r="A14238" s="15"/>
    </row>
    <row r="14239" spans="1:1" x14ac:dyDescent="0.25">
      <c r="A14239" s="15"/>
    </row>
    <row r="14240" spans="1:1" x14ac:dyDescent="0.25">
      <c r="A14240" s="15"/>
    </row>
    <row r="14241" spans="1:1" x14ac:dyDescent="0.25">
      <c r="A14241" s="15"/>
    </row>
    <row r="14242" spans="1:1" x14ac:dyDescent="0.25">
      <c r="A14242" s="15"/>
    </row>
    <row r="14243" spans="1:1" x14ac:dyDescent="0.25">
      <c r="A14243" s="15"/>
    </row>
    <row r="14244" spans="1:1" x14ac:dyDescent="0.25">
      <c r="A14244" s="15"/>
    </row>
    <row r="14245" spans="1:1" x14ac:dyDescent="0.25">
      <c r="A14245" s="15"/>
    </row>
    <row r="14246" spans="1:1" x14ac:dyDescent="0.25">
      <c r="A14246" s="15"/>
    </row>
    <row r="14247" spans="1:1" x14ac:dyDescent="0.25">
      <c r="A14247" s="15"/>
    </row>
    <row r="14248" spans="1:1" x14ac:dyDescent="0.25">
      <c r="A14248" s="15"/>
    </row>
    <row r="14249" spans="1:1" x14ac:dyDescent="0.25">
      <c r="A14249" s="15"/>
    </row>
    <row r="14250" spans="1:1" x14ac:dyDescent="0.25">
      <c r="A14250" s="15"/>
    </row>
    <row r="14251" spans="1:1" x14ac:dyDescent="0.25">
      <c r="A14251" s="15"/>
    </row>
    <row r="14252" spans="1:1" x14ac:dyDescent="0.25">
      <c r="A14252" s="15"/>
    </row>
    <row r="14253" spans="1:1" x14ac:dyDescent="0.25">
      <c r="A14253" s="15"/>
    </row>
    <row r="14254" spans="1:1" x14ac:dyDescent="0.25">
      <c r="A14254" s="15"/>
    </row>
    <row r="14255" spans="1:1" x14ac:dyDescent="0.25">
      <c r="A14255" s="15"/>
    </row>
    <row r="14256" spans="1:1" x14ac:dyDescent="0.25">
      <c r="A14256" s="15"/>
    </row>
    <row r="14257" spans="1:1" x14ac:dyDescent="0.25">
      <c r="A14257" s="15"/>
    </row>
    <row r="14258" spans="1:1" x14ac:dyDescent="0.25">
      <c r="A14258" s="15"/>
    </row>
    <row r="14259" spans="1:1" x14ac:dyDescent="0.25">
      <c r="A14259" s="15"/>
    </row>
    <row r="14260" spans="1:1" x14ac:dyDescent="0.25">
      <c r="A14260" s="15"/>
    </row>
    <row r="14261" spans="1:1" x14ac:dyDescent="0.25">
      <c r="A14261" s="15"/>
    </row>
    <row r="14262" spans="1:1" x14ac:dyDescent="0.25">
      <c r="A14262" s="15"/>
    </row>
    <row r="14263" spans="1:1" x14ac:dyDescent="0.25">
      <c r="A14263" s="15"/>
    </row>
    <row r="14264" spans="1:1" x14ac:dyDescent="0.25">
      <c r="A14264" s="15"/>
    </row>
    <row r="14265" spans="1:1" x14ac:dyDescent="0.25">
      <c r="A14265" s="15"/>
    </row>
    <row r="14266" spans="1:1" x14ac:dyDescent="0.25">
      <c r="A14266" s="15"/>
    </row>
    <row r="14267" spans="1:1" x14ac:dyDescent="0.25">
      <c r="A14267" s="15"/>
    </row>
    <row r="14268" spans="1:1" x14ac:dyDescent="0.25">
      <c r="A14268" s="15"/>
    </row>
    <row r="14269" spans="1:1" x14ac:dyDescent="0.25">
      <c r="A14269" s="15"/>
    </row>
    <row r="14270" spans="1:1" x14ac:dyDescent="0.25">
      <c r="A14270" s="15"/>
    </row>
    <row r="14271" spans="1:1" x14ac:dyDescent="0.25">
      <c r="A14271" s="15"/>
    </row>
    <row r="14272" spans="1:1" x14ac:dyDescent="0.25">
      <c r="A14272" s="15"/>
    </row>
    <row r="14273" spans="1:1" x14ac:dyDescent="0.25">
      <c r="A14273" s="15"/>
    </row>
    <row r="14274" spans="1:1" x14ac:dyDescent="0.25">
      <c r="A14274" s="15"/>
    </row>
    <row r="14275" spans="1:1" x14ac:dyDescent="0.25">
      <c r="A14275" s="15"/>
    </row>
    <row r="14276" spans="1:1" x14ac:dyDescent="0.25">
      <c r="A14276" s="15"/>
    </row>
    <row r="14277" spans="1:1" x14ac:dyDescent="0.25">
      <c r="A14277" s="15"/>
    </row>
    <row r="14278" spans="1:1" x14ac:dyDescent="0.25">
      <c r="A14278" s="15"/>
    </row>
    <row r="14279" spans="1:1" x14ac:dyDescent="0.25">
      <c r="A14279" s="15"/>
    </row>
    <row r="14280" spans="1:1" x14ac:dyDescent="0.25">
      <c r="A14280" s="15"/>
    </row>
    <row r="14281" spans="1:1" x14ac:dyDescent="0.25">
      <c r="A14281" s="15"/>
    </row>
    <row r="14282" spans="1:1" x14ac:dyDescent="0.25">
      <c r="A14282" s="15"/>
    </row>
    <row r="14283" spans="1:1" x14ac:dyDescent="0.25">
      <c r="A14283" s="15"/>
    </row>
    <row r="14284" spans="1:1" x14ac:dyDescent="0.25">
      <c r="A14284" s="15"/>
    </row>
    <row r="14285" spans="1:1" x14ac:dyDescent="0.25">
      <c r="A14285" s="15"/>
    </row>
    <row r="14286" spans="1:1" x14ac:dyDescent="0.25">
      <c r="A14286" s="15"/>
    </row>
    <row r="14287" spans="1:1" x14ac:dyDescent="0.25">
      <c r="A14287" s="15"/>
    </row>
    <row r="14288" spans="1:1" x14ac:dyDescent="0.25">
      <c r="A14288" s="15"/>
    </row>
    <row r="14289" spans="1:1" x14ac:dyDescent="0.25">
      <c r="A14289" s="15"/>
    </row>
    <row r="14290" spans="1:1" x14ac:dyDescent="0.25">
      <c r="A14290" s="15"/>
    </row>
    <row r="14291" spans="1:1" x14ac:dyDescent="0.25">
      <c r="A14291" s="15"/>
    </row>
    <row r="14292" spans="1:1" x14ac:dyDescent="0.25">
      <c r="A14292" s="15"/>
    </row>
    <row r="14293" spans="1:1" x14ac:dyDescent="0.25">
      <c r="A14293" s="15"/>
    </row>
    <row r="14294" spans="1:1" x14ac:dyDescent="0.25">
      <c r="A14294" s="15"/>
    </row>
    <row r="14295" spans="1:1" x14ac:dyDescent="0.25">
      <c r="A14295" s="15"/>
    </row>
    <row r="14296" spans="1:1" x14ac:dyDescent="0.25">
      <c r="A14296" s="15"/>
    </row>
    <row r="14297" spans="1:1" x14ac:dyDescent="0.25">
      <c r="A14297" s="15"/>
    </row>
    <row r="14298" spans="1:1" x14ac:dyDescent="0.25">
      <c r="A14298" s="15"/>
    </row>
    <row r="14299" spans="1:1" x14ac:dyDescent="0.25">
      <c r="A14299" s="15"/>
    </row>
    <row r="14300" spans="1:1" x14ac:dyDescent="0.25">
      <c r="A14300" s="15"/>
    </row>
    <row r="14301" spans="1:1" x14ac:dyDescent="0.25">
      <c r="A14301" s="15"/>
    </row>
    <row r="14302" spans="1:1" x14ac:dyDescent="0.25">
      <c r="A14302" s="15"/>
    </row>
    <row r="14303" spans="1:1" x14ac:dyDescent="0.25">
      <c r="A14303" s="15"/>
    </row>
    <row r="14304" spans="1:1" x14ac:dyDescent="0.25">
      <c r="A14304" s="15"/>
    </row>
    <row r="14305" spans="1:1" x14ac:dyDescent="0.25">
      <c r="A14305" s="15"/>
    </row>
    <row r="14306" spans="1:1" x14ac:dyDescent="0.25">
      <c r="A14306" s="15"/>
    </row>
    <row r="14307" spans="1:1" x14ac:dyDescent="0.25">
      <c r="A14307" s="15"/>
    </row>
    <row r="14308" spans="1:1" x14ac:dyDescent="0.25">
      <c r="A14308" s="15"/>
    </row>
    <row r="14309" spans="1:1" x14ac:dyDescent="0.25">
      <c r="A14309" s="15"/>
    </row>
    <row r="14310" spans="1:1" x14ac:dyDescent="0.25">
      <c r="A14310" s="15"/>
    </row>
    <row r="14311" spans="1:1" x14ac:dyDescent="0.25">
      <c r="A14311" s="15"/>
    </row>
    <row r="14312" spans="1:1" x14ac:dyDescent="0.25">
      <c r="A14312" s="15"/>
    </row>
    <row r="14313" spans="1:1" x14ac:dyDescent="0.25">
      <c r="A14313" s="15"/>
    </row>
    <row r="14314" spans="1:1" x14ac:dyDescent="0.25">
      <c r="A14314" s="15"/>
    </row>
    <row r="14315" spans="1:1" x14ac:dyDescent="0.25">
      <c r="A14315" s="15"/>
    </row>
    <row r="14316" spans="1:1" x14ac:dyDescent="0.25">
      <c r="A14316" s="15"/>
    </row>
    <row r="14317" spans="1:1" x14ac:dyDescent="0.25">
      <c r="A14317" s="15"/>
    </row>
    <row r="14318" spans="1:1" x14ac:dyDescent="0.25">
      <c r="A14318" s="15"/>
    </row>
    <row r="14319" spans="1:1" x14ac:dyDescent="0.25">
      <c r="A14319" s="15"/>
    </row>
    <row r="14320" spans="1:1" x14ac:dyDescent="0.25">
      <c r="A14320" s="15"/>
    </row>
    <row r="14321" spans="1:1" x14ac:dyDescent="0.25">
      <c r="A14321" s="15"/>
    </row>
    <row r="14322" spans="1:1" x14ac:dyDescent="0.25">
      <c r="A14322" s="15"/>
    </row>
    <row r="14323" spans="1:1" x14ac:dyDescent="0.25">
      <c r="A14323" s="15"/>
    </row>
    <row r="14324" spans="1:1" x14ac:dyDescent="0.25">
      <c r="A14324" s="15"/>
    </row>
    <row r="14325" spans="1:1" x14ac:dyDescent="0.25">
      <c r="A14325" s="15"/>
    </row>
    <row r="14326" spans="1:1" x14ac:dyDescent="0.25">
      <c r="A14326" s="15"/>
    </row>
    <row r="14327" spans="1:1" x14ac:dyDescent="0.25">
      <c r="A14327" s="15"/>
    </row>
    <row r="14328" spans="1:1" x14ac:dyDescent="0.25">
      <c r="A14328" s="15"/>
    </row>
    <row r="14329" spans="1:1" x14ac:dyDescent="0.25">
      <c r="A14329" s="15"/>
    </row>
    <row r="14330" spans="1:1" x14ac:dyDescent="0.25">
      <c r="A14330" s="15"/>
    </row>
    <row r="14331" spans="1:1" x14ac:dyDescent="0.25">
      <c r="A14331" s="15"/>
    </row>
    <row r="14332" spans="1:1" x14ac:dyDescent="0.25">
      <c r="A14332" s="15"/>
    </row>
    <row r="14333" spans="1:1" x14ac:dyDescent="0.25">
      <c r="A14333" s="15"/>
    </row>
    <row r="14334" spans="1:1" x14ac:dyDescent="0.25">
      <c r="A14334" s="15"/>
    </row>
    <row r="14335" spans="1:1" x14ac:dyDescent="0.25">
      <c r="A14335" s="15"/>
    </row>
    <row r="14336" spans="1:1" x14ac:dyDescent="0.25">
      <c r="A14336" s="15"/>
    </row>
    <row r="14337" spans="1:1" x14ac:dyDescent="0.25">
      <c r="A14337" s="15"/>
    </row>
    <row r="14338" spans="1:1" x14ac:dyDescent="0.25">
      <c r="A14338" s="15"/>
    </row>
    <row r="14339" spans="1:1" x14ac:dyDescent="0.25">
      <c r="A14339" s="15"/>
    </row>
    <row r="14340" spans="1:1" x14ac:dyDescent="0.25">
      <c r="A14340" s="15"/>
    </row>
    <row r="14341" spans="1:1" x14ac:dyDescent="0.25">
      <c r="A14341" s="15"/>
    </row>
    <row r="14342" spans="1:1" x14ac:dyDescent="0.25">
      <c r="A14342" s="15"/>
    </row>
    <row r="14343" spans="1:1" x14ac:dyDescent="0.25">
      <c r="A14343" s="15"/>
    </row>
    <row r="14344" spans="1:1" x14ac:dyDescent="0.25">
      <c r="A14344" s="15"/>
    </row>
    <row r="14345" spans="1:1" x14ac:dyDescent="0.25">
      <c r="A14345" s="15"/>
    </row>
    <row r="14346" spans="1:1" x14ac:dyDescent="0.25">
      <c r="A14346" s="15"/>
    </row>
    <row r="14347" spans="1:1" x14ac:dyDescent="0.25">
      <c r="A14347" s="15"/>
    </row>
    <row r="14348" spans="1:1" x14ac:dyDescent="0.25">
      <c r="A14348" s="15"/>
    </row>
    <row r="14349" spans="1:1" x14ac:dyDescent="0.25">
      <c r="A14349" s="15"/>
    </row>
    <row r="14350" spans="1:1" x14ac:dyDescent="0.25">
      <c r="A14350" s="15"/>
    </row>
    <row r="14351" spans="1:1" x14ac:dyDescent="0.25">
      <c r="A14351" s="15"/>
    </row>
    <row r="14352" spans="1:1" x14ac:dyDescent="0.25">
      <c r="A14352" s="15"/>
    </row>
    <row r="14353" spans="1:1" x14ac:dyDescent="0.25">
      <c r="A14353" s="15"/>
    </row>
    <row r="14354" spans="1:1" x14ac:dyDescent="0.25">
      <c r="A14354" s="15"/>
    </row>
    <row r="14355" spans="1:1" x14ac:dyDescent="0.25">
      <c r="A14355" s="15"/>
    </row>
    <row r="14356" spans="1:1" x14ac:dyDescent="0.25">
      <c r="A14356" s="15"/>
    </row>
    <row r="14357" spans="1:1" x14ac:dyDescent="0.25">
      <c r="A14357" s="15"/>
    </row>
    <row r="14358" spans="1:1" x14ac:dyDescent="0.25">
      <c r="A14358" s="15"/>
    </row>
    <row r="14359" spans="1:1" x14ac:dyDescent="0.25">
      <c r="A14359" s="15"/>
    </row>
    <row r="14360" spans="1:1" x14ac:dyDescent="0.25">
      <c r="A14360" s="15"/>
    </row>
    <row r="14361" spans="1:1" x14ac:dyDescent="0.25">
      <c r="A14361" s="15"/>
    </row>
    <row r="14362" spans="1:1" x14ac:dyDescent="0.25">
      <c r="A14362" s="15"/>
    </row>
    <row r="14363" spans="1:1" x14ac:dyDescent="0.25">
      <c r="A14363" s="15"/>
    </row>
    <row r="14364" spans="1:1" x14ac:dyDescent="0.25">
      <c r="A14364" s="15"/>
    </row>
    <row r="14365" spans="1:1" x14ac:dyDescent="0.25">
      <c r="A14365" s="15"/>
    </row>
    <row r="14366" spans="1:1" x14ac:dyDescent="0.25">
      <c r="A14366" s="15"/>
    </row>
    <row r="14367" spans="1:1" x14ac:dyDescent="0.25">
      <c r="A14367" s="15"/>
    </row>
    <row r="14368" spans="1:1" x14ac:dyDescent="0.25">
      <c r="A14368" s="15"/>
    </row>
    <row r="14369" spans="1:1" x14ac:dyDescent="0.25">
      <c r="A14369" s="15"/>
    </row>
    <row r="14370" spans="1:1" x14ac:dyDescent="0.25">
      <c r="A14370" s="15"/>
    </row>
    <row r="14371" spans="1:1" x14ac:dyDescent="0.25">
      <c r="A14371" s="15"/>
    </row>
    <row r="14372" spans="1:1" x14ac:dyDescent="0.25">
      <c r="A14372" s="15"/>
    </row>
    <row r="14373" spans="1:1" x14ac:dyDescent="0.25">
      <c r="A14373" s="15"/>
    </row>
    <row r="14374" spans="1:1" x14ac:dyDescent="0.25">
      <c r="A14374" s="15"/>
    </row>
    <row r="14375" spans="1:1" x14ac:dyDescent="0.25">
      <c r="A14375" s="15"/>
    </row>
    <row r="14376" spans="1:1" x14ac:dyDescent="0.25">
      <c r="A14376" s="15"/>
    </row>
    <row r="14377" spans="1:1" x14ac:dyDescent="0.25">
      <c r="A14377" s="15"/>
    </row>
    <row r="14378" spans="1:1" x14ac:dyDescent="0.25">
      <c r="A14378" s="15"/>
    </row>
    <row r="14379" spans="1:1" x14ac:dyDescent="0.25">
      <c r="A14379" s="15"/>
    </row>
    <row r="14380" spans="1:1" x14ac:dyDescent="0.25">
      <c r="A14380" s="15"/>
    </row>
    <row r="14381" spans="1:1" x14ac:dyDescent="0.25">
      <c r="A14381" s="15"/>
    </row>
    <row r="14382" spans="1:1" x14ac:dyDescent="0.25">
      <c r="A14382" s="15"/>
    </row>
    <row r="14383" spans="1:1" x14ac:dyDescent="0.25">
      <c r="A14383" s="15"/>
    </row>
    <row r="14384" spans="1:1" x14ac:dyDescent="0.25">
      <c r="A14384" s="15"/>
    </row>
    <row r="14385" spans="1:1" x14ac:dyDescent="0.25">
      <c r="A14385" s="15"/>
    </row>
    <row r="14386" spans="1:1" x14ac:dyDescent="0.25">
      <c r="A14386" s="15"/>
    </row>
    <row r="14387" spans="1:1" x14ac:dyDescent="0.25">
      <c r="A14387" s="15"/>
    </row>
    <row r="14388" spans="1:1" x14ac:dyDescent="0.25">
      <c r="A14388" s="15"/>
    </row>
    <row r="14389" spans="1:1" x14ac:dyDescent="0.25">
      <c r="A14389" s="15"/>
    </row>
    <row r="14390" spans="1:1" x14ac:dyDescent="0.25">
      <c r="A14390" s="15"/>
    </row>
    <row r="14391" spans="1:1" x14ac:dyDescent="0.25">
      <c r="A14391" s="15"/>
    </row>
    <row r="14392" spans="1:1" x14ac:dyDescent="0.25">
      <c r="A14392" s="15"/>
    </row>
    <row r="14393" spans="1:1" x14ac:dyDescent="0.25">
      <c r="A14393" s="15"/>
    </row>
    <row r="14394" spans="1:1" x14ac:dyDescent="0.25">
      <c r="A14394" s="15"/>
    </row>
    <row r="14395" spans="1:1" x14ac:dyDescent="0.25">
      <c r="A14395" s="15"/>
    </row>
    <row r="14396" spans="1:1" x14ac:dyDescent="0.25">
      <c r="A14396" s="15"/>
    </row>
    <row r="14397" spans="1:1" x14ac:dyDescent="0.25">
      <c r="A14397" s="15"/>
    </row>
    <row r="14398" spans="1:1" x14ac:dyDescent="0.25">
      <c r="A14398" s="15"/>
    </row>
    <row r="14399" spans="1:1" x14ac:dyDescent="0.25">
      <c r="A14399" s="15"/>
    </row>
    <row r="14400" spans="1:1" x14ac:dyDescent="0.25">
      <c r="A14400" s="15"/>
    </row>
    <row r="14401" spans="1:1" x14ac:dyDescent="0.25">
      <c r="A14401" s="15"/>
    </row>
    <row r="14402" spans="1:1" x14ac:dyDescent="0.25">
      <c r="A14402" s="15"/>
    </row>
    <row r="14403" spans="1:1" x14ac:dyDescent="0.25">
      <c r="A14403" s="15"/>
    </row>
    <row r="14404" spans="1:1" x14ac:dyDescent="0.25">
      <c r="A14404" s="15"/>
    </row>
    <row r="14405" spans="1:1" x14ac:dyDescent="0.25">
      <c r="A14405" s="15"/>
    </row>
    <row r="14406" spans="1:1" x14ac:dyDescent="0.25">
      <c r="A14406" s="15"/>
    </row>
    <row r="14407" spans="1:1" x14ac:dyDescent="0.25">
      <c r="A14407" s="15"/>
    </row>
    <row r="14408" spans="1:1" x14ac:dyDescent="0.25">
      <c r="A14408" s="15"/>
    </row>
    <row r="14409" spans="1:1" x14ac:dyDescent="0.25">
      <c r="A14409" s="15"/>
    </row>
    <row r="14410" spans="1:1" x14ac:dyDescent="0.25">
      <c r="A14410" s="15"/>
    </row>
    <row r="14411" spans="1:1" x14ac:dyDescent="0.25">
      <c r="A14411" s="15"/>
    </row>
    <row r="14412" spans="1:1" x14ac:dyDescent="0.25">
      <c r="A14412" s="15"/>
    </row>
    <row r="14413" spans="1:1" x14ac:dyDescent="0.25">
      <c r="A14413" s="15"/>
    </row>
    <row r="14414" spans="1:1" x14ac:dyDescent="0.25">
      <c r="A14414" s="15"/>
    </row>
    <row r="14415" spans="1:1" x14ac:dyDescent="0.25">
      <c r="A14415" s="15"/>
    </row>
    <row r="14416" spans="1:1" x14ac:dyDescent="0.25">
      <c r="A14416" s="15"/>
    </row>
    <row r="14417" spans="1:1" x14ac:dyDescent="0.25">
      <c r="A14417" s="15"/>
    </row>
    <row r="14418" spans="1:1" x14ac:dyDescent="0.25">
      <c r="A14418" s="15"/>
    </row>
    <row r="14419" spans="1:1" x14ac:dyDescent="0.25">
      <c r="A14419" s="15"/>
    </row>
    <row r="14420" spans="1:1" x14ac:dyDescent="0.25">
      <c r="A14420" s="15"/>
    </row>
    <row r="14421" spans="1:1" x14ac:dyDescent="0.25">
      <c r="A14421" s="15"/>
    </row>
    <row r="14422" spans="1:1" x14ac:dyDescent="0.25">
      <c r="A14422" s="15"/>
    </row>
    <row r="14423" spans="1:1" x14ac:dyDescent="0.25">
      <c r="A14423" s="15"/>
    </row>
    <row r="14424" spans="1:1" x14ac:dyDescent="0.25">
      <c r="A14424" s="15"/>
    </row>
    <row r="14425" spans="1:1" x14ac:dyDescent="0.25">
      <c r="A14425" s="15"/>
    </row>
    <row r="14426" spans="1:1" x14ac:dyDescent="0.25">
      <c r="A14426" s="15"/>
    </row>
    <row r="14427" spans="1:1" x14ac:dyDescent="0.25">
      <c r="A14427" s="15"/>
    </row>
    <row r="14428" spans="1:1" x14ac:dyDescent="0.25">
      <c r="A14428" s="15"/>
    </row>
    <row r="14429" spans="1:1" x14ac:dyDescent="0.25">
      <c r="A14429" s="15"/>
    </row>
    <row r="14430" spans="1:1" x14ac:dyDescent="0.25">
      <c r="A14430" s="15"/>
    </row>
    <row r="14431" spans="1:1" x14ac:dyDescent="0.25">
      <c r="A14431" s="15"/>
    </row>
    <row r="14432" spans="1:1" x14ac:dyDescent="0.25">
      <c r="A14432" s="15"/>
    </row>
    <row r="14433" spans="1:1" x14ac:dyDescent="0.25">
      <c r="A14433" s="15"/>
    </row>
    <row r="14434" spans="1:1" x14ac:dyDescent="0.25">
      <c r="A14434" s="15"/>
    </row>
    <row r="14435" spans="1:1" x14ac:dyDescent="0.25">
      <c r="A14435" s="15"/>
    </row>
    <row r="14436" spans="1:1" x14ac:dyDescent="0.25">
      <c r="A14436" s="15"/>
    </row>
    <row r="14437" spans="1:1" x14ac:dyDescent="0.25">
      <c r="A14437" s="15"/>
    </row>
    <row r="14438" spans="1:1" x14ac:dyDescent="0.25">
      <c r="A14438" s="15"/>
    </row>
    <row r="14439" spans="1:1" x14ac:dyDescent="0.25">
      <c r="A14439" s="15"/>
    </row>
    <row r="14440" spans="1:1" x14ac:dyDescent="0.25">
      <c r="A14440" s="15"/>
    </row>
    <row r="14441" spans="1:1" x14ac:dyDescent="0.25">
      <c r="A14441" s="15"/>
    </row>
    <row r="14442" spans="1:1" x14ac:dyDescent="0.25">
      <c r="A14442" s="15"/>
    </row>
    <row r="14443" spans="1:1" x14ac:dyDescent="0.25">
      <c r="A14443" s="15"/>
    </row>
    <row r="14444" spans="1:1" x14ac:dyDescent="0.25">
      <c r="A14444" s="15"/>
    </row>
    <row r="14445" spans="1:1" x14ac:dyDescent="0.25">
      <c r="A14445" s="15"/>
    </row>
    <row r="14446" spans="1:1" x14ac:dyDescent="0.25">
      <c r="A14446" s="15"/>
    </row>
    <row r="14447" spans="1:1" x14ac:dyDescent="0.25">
      <c r="A14447" s="15"/>
    </row>
    <row r="14448" spans="1:1" x14ac:dyDescent="0.25">
      <c r="A14448" s="15"/>
    </row>
    <row r="14449" spans="1:1" x14ac:dyDescent="0.25">
      <c r="A14449" s="15"/>
    </row>
    <row r="14450" spans="1:1" x14ac:dyDescent="0.25">
      <c r="A14450" s="15"/>
    </row>
    <row r="14451" spans="1:1" x14ac:dyDescent="0.25">
      <c r="A14451" s="15"/>
    </row>
    <row r="14452" spans="1:1" x14ac:dyDescent="0.25">
      <c r="A14452" s="15"/>
    </row>
    <row r="14453" spans="1:1" x14ac:dyDescent="0.25">
      <c r="A14453" s="15"/>
    </row>
    <row r="14454" spans="1:1" x14ac:dyDescent="0.25">
      <c r="A14454" s="15"/>
    </row>
    <row r="14455" spans="1:1" x14ac:dyDescent="0.25">
      <c r="A14455" s="15"/>
    </row>
    <row r="14456" spans="1:1" x14ac:dyDescent="0.25">
      <c r="A14456" s="15"/>
    </row>
    <row r="14457" spans="1:1" x14ac:dyDescent="0.25">
      <c r="A14457" s="15"/>
    </row>
    <row r="14458" spans="1:1" x14ac:dyDescent="0.25">
      <c r="A14458" s="15"/>
    </row>
    <row r="14459" spans="1:1" x14ac:dyDescent="0.25">
      <c r="A14459" s="15"/>
    </row>
    <row r="14460" spans="1:1" x14ac:dyDescent="0.25">
      <c r="A14460" s="15"/>
    </row>
    <row r="14461" spans="1:1" x14ac:dyDescent="0.25">
      <c r="A14461" s="15"/>
    </row>
    <row r="14462" spans="1:1" x14ac:dyDescent="0.25">
      <c r="A14462" s="15"/>
    </row>
    <row r="14463" spans="1:1" x14ac:dyDescent="0.25">
      <c r="A14463" s="15"/>
    </row>
    <row r="14464" spans="1:1" x14ac:dyDescent="0.25">
      <c r="A14464" s="15"/>
    </row>
    <row r="14465" spans="1:1" x14ac:dyDescent="0.25">
      <c r="A14465" s="15"/>
    </row>
    <row r="14466" spans="1:1" x14ac:dyDescent="0.25">
      <c r="A14466" s="15"/>
    </row>
    <row r="14467" spans="1:1" x14ac:dyDescent="0.25">
      <c r="A14467" s="15"/>
    </row>
    <row r="14468" spans="1:1" x14ac:dyDescent="0.25">
      <c r="A14468" s="15"/>
    </row>
    <row r="14469" spans="1:1" x14ac:dyDescent="0.25">
      <c r="A14469" s="15"/>
    </row>
    <row r="14470" spans="1:1" x14ac:dyDescent="0.25">
      <c r="A14470" s="15"/>
    </row>
    <row r="14471" spans="1:1" x14ac:dyDescent="0.25">
      <c r="A14471" s="15"/>
    </row>
    <row r="14472" spans="1:1" x14ac:dyDescent="0.25">
      <c r="A14472" s="15"/>
    </row>
    <row r="14473" spans="1:1" x14ac:dyDescent="0.25">
      <c r="A14473" s="15"/>
    </row>
    <row r="14474" spans="1:1" x14ac:dyDescent="0.25">
      <c r="A14474" s="15"/>
    </row>
    <row r="14475" spans="1:1" x14ac:dyDescent="0.25">
      <c r="A14475" s="15"/>
    </row>
    <row r="14476" spans="1:1" x14ac:dyDescent="0.25">
      <c r="A14476" s="15"/>
    </row>
    <row r="14477" spans="1:1" x14ac:dyDescent="0.25">
      <c r="A14477" s="15"/>
    </row>
    <row r="14478" spans="1:1" x14ac:dyDescent="0.25">
      <c r="A14478" s="15"/>
    </row>
    <row r="14479" spans="1:1" x14ac:dyDescent="0.25">
      <c r="A14479" s="15"/>
    </row>
    <row r="14480" spans="1:1" x14ac:dyDescent="0.25">
      <c r="A14480" s="15"/>
    </row>
    <row r="14481" spans="1:1" x14ac:dyDescent="0.25">
      <c r="A14481" s="15"/>
    </row>
    <row r="14482" spans="1:1" x14ac:dyDescent="0.25">
      <c r="A14482" s="15"/>
    </row>
    <row r="14483" spans="1:1" x14ac:dyDescent="0.25">
      <c r="A14483" s="15"/>
    </row>
    <row r="14484" spans="1:1" x14ac:dyDescent="0.25">
      <c r="A14484" s="15"/>
    </row>
    <row r="14485" spans="1:1" x14ac:dyDescent="0.25">
      <c r="A14485" s="15"/>
    </row>
    <row r="14486" spans="1:1" x14ac:dyDescent="0.25">
      <c r="A14486" s="15"/>
    </row>
    <row r="14487" spans="1:1" x14ac:dyDescent="0.25">
      <c r="A14487" s="15"/>
    </row>
    <row r="14488" spans="1:1" x14ac:dyDescent="0.25">
      <c r="A14488" s="15"/>
    </row>
    <row r="14489" spans="1:1" x14ac:dyDescent="0.25">
      <c r="A14489" s="15"/>
    </row>
    <row r="14490" spans="1:1" x14ac:dyDescent="0.25">
      <c r="A14490" s="15"/>
    </row>
    <row r="14491" spans="1:1" x14ac:dyDescent="0.25">
      <c r="A14491" s="15"/>
    </row>
    <row r="14492" spans="1:1" x14ac:dyDescent="0.25">
      <c r="A14492" s="15"/>
    </row>
    <row r="14493" spans="1:1" x14ac:dyDescent="0.25">
      <c r="A14493" s="15"/>
    </row>
    <row r="14494" spans="1:1" x14ac:dyDescent="0.25">
      <c r="A14494" s="15"/>
    </row>
    <row r="14495" spans="1:1" x14ac:dyDescent="0.25">
      <c r="A14495" s="15"/>
    </row>
    <row r="14496" spans="1:1" x14ac:dyDescent="0.25">
      <c r="A14496" s="15"/>
    </row>
    <row r="14497" spans="1:1" x14ac:dyDescent="0.25">
      <c r="A14497" s="15"/>
    </row>
    <row r="14498" spans="1:1" x14ac:dyDescent="0.25">
      <c r="A14498" s="15"/>
    </row>
    <row r="14499" spans="1:1" x14ac:dyDescent="0.25">
      <c r="A14499" s="15"/>
    </row>
    <row r="14500" spans="1:1" x14ac:dyDescent="0.25">
      <c r="A14500" s="15"/>
    </row>
    <row r="14501" spans="1:1" x14ac:dyDescent="0.25">
      <c r="A14501" s="15"/>
    </row>
    <row r="14502" spans="1:1" x14ac:dyDescent="0.25">
      <c r="A14502" s="15"/>
    </row>
    <row r="14503" spans="1:1" x14ac:dyDescent="0.25">
      <c r="A14503" s="15"/>
    </row>
    <row r="14504" spans="1:1" x14ac:dyDescent="0.25">
      <c r="A14504" s="15"/>
    </row>
    <row r="14505" spans="1:1" x14ac:dyDescent="0.25">
      <c r="A14505" s="15"/>
    </row>
    <row r="14506" spans="1:1" x14ac:dyDescent="0.25">
      <c r="A14506" s="15"/>
    </row>
    <row r="14507" spans="1:1" x14ac:dyDescent="0.25">
      <c r="A14507" s="15"/>
    </row>
    <row r="14508" spans="1:1" x14ac:dyDescent="0.25">
      <c r="A14508" s="15"/>
    </row>
    <row r="14509" spans="1:1" x14ac:dyDescent="0.25">
      <c r="A14509" s="15"/>
    </row>
    <row r="14510" spans="1:1" x14ac:dyDescent="0.25">
      <c r="A14510" s="15"/>
    </row>
    <row r="14511" spans="1:1" x14ac:dyDescent="0.25">
      <c r="A14511" s="15"/>
    </row>
    <row r="14512" spans="1:1" x14ac:dyDescent="0.25">
      <c r="A14512" s="15"/>
    </row>
    <row r="14513" spans="1:1" x14ac:dyDescent="0.25">
      <c r="A14513" s="15"/>
    </row>
    <row r="14514" spans="1:1" x14ac:dyDescent="0.25">
      <c r="A14514" s="15"/>
    </row>
    <row r="14515" spans="1:1" x14ac:dyDescent="0.25">
      <c r="A14515" s="15"/>
    </row>
    <row r="14516" spans="1:1" x14ac:dyDescent="0.25">
      <c r="A14516" s="15"/>
    </row>
    <row r="14517" spans="1:1" x14ac:dyDescent="0.25">
      <c r="A14517" s="15"/>
    </row>
    <row r="14518" spans="1:1" x14ac:dyDescent="0.25">
      <c r="A14518" s="15"/>
    </row>
    <row r="14519" spans="1:1" x14ac:dyDescent="0.25">
      <c r="A14519" s="15"/>
    </row>
    <row r="14520" spans="1:1" x14ac:dyDescent="0.25">
      <c r="A14520" s="15"/>
    </row>
    <row r="14521" spans="1:1" x14ac:dyDescent="0.25">
      <c r="A14521" s="15"/>
    </row>
    <row r="14522" spans="1:1" x14ac:dyDescent="0.25">
      <c r="A14522" s="15"/>
    </row>
    <row r="14523" spans="1:1" x14ac:dyDescent="0.25">
      <c r="A14523" s="15"/>
    </row>
    <row r="14524" spans="1:1" x14ac:dyDescent="0.25">
      <c r="A14524" s="15"/>
    </row>
    <row r="14525" spans="1:1" x14ac:dyDescent="0.25">
      <c r="A14525" s="15"/>
    </row>
    <row r="14526" spans="1:1" x14ac:dyDescent="0.25">
      <c r="A14526" s="15"/>
    </row>
    <row r="14527" spans="1:1" x14ac:dyDescent="0.25">
      <c r="A14527" s="15"/>
    </row>
    <row r="14528" spans="1:1" x14ac:dyDescent="0.25">
      <c r="A14528" s="15"/>
    </row>
    <row r="14529" spans="1:1" x14ac:dyDescent="0.25">
      <c r="A14529" s="15"/>
    </row>
    <row r="14530" spans="1:1" x14ac:dyDescent="0.25">
      <c r="A14530" s="15"/>
    </row>
    <row r="14531" spans="1:1" x14ac:dyDescent="0.25">
      <c r="A14531" s="15"/>
    </row>
    <row r="14532" spans="1:1" x14ac:dyDescent="0.25">
      <c r="A14532" s="15"/>
    </row>
    <row r="14533" spans="1:1" x14ac:dyDescent="0.25">
      <c r="A14533" s="15"/>
    </row>
    <row r="14534" spans="1:1" x14ac:dyDescent="0.25">
      <c r="A14534" s="15"/>
    </row>
    <row r="14535" spans="1:1" x14ac:dyDescent="0.25">
      <c r="A14535" s="15"/>
    </row>
    <row r="14536" spans="1:1" x14ac:dyDescent="0.25">
      <c r="A14536" s="15"/>
    </row>
    <row r="14537" spans="1:1" x14ac:dyDescent="0.25">
      <c r="A14537" s="15"/>
    </row>
    <row r="14538" spans="1:1" x14ac:dyDescent="0.25">
      <c r="A14538" s="15"/>
    </row>
    <row r="14539" spans="1:1" x14ac:dyDescent="0.25">
      <c r="A14539" s="15"/>
    </row>
    <row r="14540" spans="1:1" x14ac:dyDescent="0.25">
      <c r="A14540" s="15"/>
    </row>
    <row r="14541" spans="1:1" x14ac:dyDescent="0.25">
      <c r="A14541" s="15"/>
    </row>
    <row r="14542" spans="1:1" x14ac:dyDescent="0.25">
      <c r="A14542" s="15"/>
    </row>
    <row r="14543" spans="1:1" x14ac:dyDescent="0.25">
      <c r="A14543" s="15"/>
    </row>
    <row r="14544" spans="1:1" x14ac:dyDescent="0.25">
      <c r="A14544" s="15"/>
    </row>
    <row r="14545" spans="1:1" x14ac:dyDescent="0.25">
      <c r="A14545" s="15"/>
    </row>
    <row r="14546" spans="1:1" x14ac:dyDescent="0.25">
      <c r="A14546" s="15"/>
    </row>
    <row r="14547" spans="1:1" x14ac:dyDescent="0.25">
      <c r="A14547" s="15"/>
    </row>
    <row r="14548" spans="1:1" x14ac:dyDescent="0.25">
      <c r="A14548" s="15"/>
    </row>
    <row r="14549" spans="1:1" x14ac:dyDescent="0.25">
      <c r="A14549" s="15"/>
    </row>
    <row r="14550" spans="1:1" x14ac:dyDescent="0.25">
      <c r="A14550" s="15"/>
    </row>
    <row r="14551" spans="1:1" x14ac:dyDescent="0.25">
      <c r="A14551" s="15"/>
    </row>
    <row r="14552" spans="1:1" x14ac:dyDescent="0.25">
      <c r="A14552" s="15"/>
    </row>
    <row r="14553" spans="1:1" x14ac:dyDescent="0.25">
      <c r="A14553" s="15"/>
    </row>
    <row r="14554" spans="1:1" x14ac:dyDescent="0.25">
      <c r="A14554" s="15"/>
    </row>
    <row r="14555" spans="1:1" x14ac:dyDescent="0.25">
      <c r="A14555" s="15"/>
    </row>
    <row r="14556" spans="1:1" x14ac:dyDescent="0.25">
      <c r="A14556" s="15"/>
    </row>
    <row r="14557" spans="1:1" x14ac:dyDescent="0.25">
      <c r="A14557" s="15"/>
    </row>
    <row r="14558" spans="1:1" x14ac:dyDescent="0.25">
      <c r="A14558" s="15"/>
    </row>
    <row r="14559" spans="1:1" x14ac:dyDescent="0.25">
      <c r="A14559" s="15"/>
    </row>
    <row r="14560" spans="1:1" x14ac:dyDescent="0.25">
      <c r="A14560" s="15"/>
    </row>
    <row r="14561" spans="1:1" x14ac:dyDescent="0.25">
      <c r="A14561" s="15"/>
    </row>
    <row r="14562" spans="1:1" x14ac:dyDescent="0.25">
      <c r="A14562" s="15"/>
    </row>
    <row r="14563" spans="1:1" x14ac:dyDescent="0.25">
      <c r="A14563" s="15"/>
    </row>
    <row r="14564" spans="1:1" x14ac:dyDescent="0.25">
      <c r="A14564" s="15"/>
    </row>
    <row r="14565" spans="1:1" x14ac:dyDescent="0.25">
      <c r="A14565" s="15"/>
    </row>
    <row r="14566" spans="1:1" x14ac:dyDescent="0.25">
      <c r="A14566" s="15"/>
    </row>
    <row r="14567" spans="1:1" x14ac:dyDescent="0.25">
      <c r="A14567" s="15"/>
    </row>
    <row r="14568" spans="1:1" x14ac:dyDescent="0.25">
      <c r="A14568" s="15"/>
    </row>
    <row r="14569" spans="1:1" x14ac:dyDescent="0.25">
      <c r="A14569" s="15"/>
    </row>
    <row r="14570" spans="1:1" x14ac:dyDescent="0.25">
      <c r="A14570" s="15"/>
    </row>
    <row r="14571" spans="1:1" x14ac:dyDescent="0.25">
      <c r="A14571" s="15"/>
    </row>
    <row r="14572" spans="1:1" x14ac:dyDescent="0.25">
      <c r="A14572" s="15"/>
    </row>
    <row r="14573" spans="1:1" x14ac:dyDescent="0.25">
      <c r="A14573" s="15"/>
    </row>
    <row r="14574" spans="1:1" x14ac:dyDescent="0.25">
      <c r="A14574" s="15"/>
    </row>
    <row r="14575" spans="1:1" x14ac:dyDescent="0.25">
      <c r="A14575" s="15"/>
    </row>
    <row r="14576" spans="1:1" x14ac:dyDescent="0.25">
      <c r="A14576" s="15"/>
    </row>
    <row r="14577" spans="1:1" x14ac:dyDescent="0.25">
      <c r="A14577" s="15"/>
    </row>
    <row r="14578" spans="1:1" x14ac:dyDescent="0.25">
      <c r="A14578" s="15"/>
    </row>
    <row r="14579" spans="1:1" x14ac:dyDescent="0.25">
      <c r="A14579" s="15"/>
    </row>
    <row r="14580" spans="1:1" x14ac:dyDescent="0.25">
      <c r="A14580" s="15"/>
    </row>
    <row r="14581" spans="1:1" x14ac:dyDescent="0.25">
      <c r="A14581" s="15"/>
    </row>
    <row r="14582" spans="1:1" x14ac:dyDescent="0.25">
      <c r="A14582" s="15"/>
    </row>
    <row r="14583" spans="1:1" x14ac:dyDescent="0.25">
      <c r="A14583" s="15"/>
    </row>
    <row r="14584" spans="1:1" x14ac:dyDescent="0.25">
      <c r="A14584" s="15"/>
    </row>
    <row r="14585" spans="1:1" x14ac:dyDescent="0.25">
      <c r="A14585" s="15"/>
    </row>
    <row r="14586" spans="1:1" x14ac:dyDescent="0.25">
      <c r="A14586" s="15"/>
    </row>
    <row r="14587" spans="1:1" x14ac:dyDescent="0.25">
      <c r="A14587" s="15"/>
    </row>
    <row r="14588" spans="1:1" x14ac:dyDescent="0.25">
      <c r="A14588" s="15"/>
    </row>
    <row r="14589" spans="1:1" x14ac:dyDescent="0.25">
      <c r="A14589" s="15"/>
    </row>
    <row r="14590" spans="1:1" x14ac:dyDescent="0.25">
      <c r="A14590" s="15"/>
    </row>
    <row r="14591" spans="1:1" x14ac:dyDescent="0.25">
      <c r="A14591" s="15"/>
    </row>
    <row r="14592" spans="1:1" x14ac:dyDescent="0.25">
      <c r="A14592" s="15"/>
    </row>
    <row r="14593" spans="1:1" x14ac:dyDescent="0.25">
      <c r="A14593" s="15"/>
    </row>
    <row r="14594" spans="1:1" x14ac:dyDescent="0.25">
      <c r="A14594" s="15"/>
    </row>
    <row r="14595" spans="1:1" x14ac:dyDescent="0.25">
      <c r="A14595" s="15"/>
    </row>
    <row r="14596" spans="1:1" x14ac:dyDescent="0.25">
      <c r="A14596" s="15"/>
    </row>
    <row r="14597" spans="1:1" x14ac:dyDescent="0.25">
      <c r="A14597" s="15"/>
    </row>
    <row r="14598" spans="1:1" x14ac:dyDescent="0.25">
      <c r="A14598" s="15"/>
    </row>
    <row r="14599" spans="1:1" x14ac:dyDescent="0.25">
      <c r="A14599" s="15"/>
    </row>
    <row r="14600" spans="1:1" x14ac:dyDescent="0.25">
      <c r="A14600" s="15"/>
    </row>
    <row r="14601" spans="1:1" x14ac:dyDescent="0.25">
      <c r="A14601" s="15"/>
    </row>
    <row r="14602" spans="1:1" x14ac:dyDescent="0.25">
      <c r="A14602" s="15"/>
    </row>
    <row r="14603" spans="1:1" x14ac:dyDescent="0.25">
      <c r="A14603" s="15"/>
    </row>
    <row r="14604" spans="1:1" x14ac:dyDescent="0.25">
      <c r="A14604" s="15"/>
    </row>
    <row r="14605" spans="1:1" x14ac:dyDescent="0.25">
      <c r="A14605" s="15"/>
    </row>
    <row r="14606" spans="1:1" x14ac:dyDescent="0.25">
      <c r="A14606" s="15"/>
    </row>
    <row r="14607" spans="1:1" x14ac:dyDescent="0.25">
      <c r="A14607" s="15"/>
    </row>
    <row r="14608" spans="1:1" x14ac:dyDescent="0.25">
      <c r="A14608" s="15"/>
    </row>
    <row r="14609" spans="1:1" x14ac:dyDescent="0.25">
      <c r="A14609" s="15"/>
    </row>
    <row r="14610" spans="1:1" x14ac:dyDescent="0.25">
      <c r="A14610" s="15"/>
    </row>
    <row r="14611" spans="1:1" x14ac:dyDescent="0.25">
      <c r="A14611" s="15"/>
    </row>
    <row r="14612" spans="1:1" x14ac:dyDescent="0.25">
      <c r="A14612" s="15"/>
    </row>
    <row r="14613" spans="1:1" x14ac:dyDescent="0.25">
      <c r="A14613" s="15"/>
    </row>
    <row r="14614" spans="1:1" x14ac:dyDescent="0.25">
      <c r="A14614" s="15"/>
    </row>
    <row r="14615" spans="1:1" x14ac:dyDescent="0.25">
      <c r="A14615" s="15"/>
    </row>
    <row r="14616" spans="1:1" x14ac:dyDescent="0.25">
      <c r="A14616" s="15"/>
    </row>
    <row r="14617" spans="1:1" x14ac:dyDescent="0.25">
      <c r="A14617" s="15"/>
    </row>
    <row r="14618" spans="1:1" x14ac:dyDescent="0.25">
      <c r="A14618" s="15"/>
    </row>
    <row r="14619" spans="1:1" x14ac:dyDescent="0.25">
      <c r="A14619" s="15"/>
    </row>
    <row r="14620" spans="1:1" x14ac:dyDescent="0.25">
      <c r="A14620" s="15"/>
    </row>
    <row r="14621" spans="1:1" x14ac:dyDescent="0.25">
      <c r="A14621" s="15"/>
    </row>
    <row r="14622" spans="1:1" x14ac:dyDescent="0.25">
      <c r="A14622" s="15"/>
    </row>
    <row r="14623" spans="1:1" x14ac:dyDescent="0.25">
      <c r="A14623" s="15"/>
    </row>
    <row r="14624" spans="1:1" x14ac:dyDescent="0.25">
      <c r="A14624" s="15"/>
    </row>
    <row r="14625" spans="1:1" x14ac:dyDescent="0.25">
      <c r="A14625" s="15"/>
    </row>
    <row r="14626" spans="1:1" x14ac:dyDescent="0.25">
      <c r="A14626" s="15"/>
    </row>
    <row r="14627" spans="1:1" x14ac:dyDescent="0.25">
      <c r="A14627" s="15"/>
    </row>
    <row r="14628" spans="1:1" x14ac:dyDescent="0.25">
      <c r="A14628" s="15"/>
    </row>
    <row r="14629" spans="1:1" x14ac:dyDescent="0.25">
      <c r="A14629" s="15"/>
    </row>
    <row r="14630" spans="1:1" x14ac:dyDescent="0.25">
      <c r="A14630" s="15"/>
    </row>
    <row r="14631" spans="1:1" x14ac:dyDescent="0.25">
      <c r="A14631" s="15"/>
    </row>
    <row r="14632" spans="1:1" x14ac:dyDescent="0.25">
      <c r="A14632" s="15"/>
    </row>
    <row r="14633" spans="1:1" x14ac:dyDescent="0.25">
      <c r="A14633" s="15"/>
    </row>
    <row r="14634" spans="1:1" x14ac:dyDescent="0.25">
      <c r="A14634" s="15"/>
    </row>
    <row r="14635" spans="1:1" x14ac:dyDescent="0.25">
      <c r="A14635" s="15"/>
    </row>
    <row r="14636" spans="1:1" x14ac:dyDescent="0.25">
      <c r="A14636" s="15"/>
    </row>
    <row r="14637" spans="1:1" x14ac:dyDescent="0.25">
      <c r="A14637" s="15"/>
    </row>
    <row r="14638" spans="1:1" x14ac:dyDescent="0.25">
      <c r="A14638" s="15"/>
    </row>
    <row r="14639" spans="1:1" x14ac:dyDescent="0.25">
      <c r="A14639" s="15"/>
    </row>
    <row r="14640" spans="1:1" x14ac:dyDescent="0.25">
      <c r="A14640" s="15"/>
    </row>
    <row r="14641" spans="1:1" x14ac:dyDescent="0.25">
      <c r="A14641" s="15"/>
    </row>
    <row r="14642" spans="1:1" x14ac:dyDescent="0.25">
      <c r="A14642" s="15"/>
    </row>
    <row r="14643" spans="1:1" x14ac:dyDescent="0.25">
      <c r="A14643" s="15"/>
    </row>
    <row r="14644" spans="1:1" x14ac:dyDescent="0.25">
      <c r="A14644" s="15"/>
    </row>
    <row r="14645" spans="1:1" x14ac:dyDescent="0.25">
      <c r="A14645" s="15"/>
    </row>
    <row r="14646" spans="1:1" x14ac:dyDescent="0.25">
      <c r="A14646" s="15"/>
    </row>
    <row r="14647" spans="1:1" x14ac:dyDescent="0.25">
      <c r="A14647" s="15"/>
    </row>
    <row r="14648" spans="1:1" x14ac:dyDescent="0.25">
      <c r="A14648" s="15"/>
    </row>
    <row r="14649" spans="1:1" x14ac:dyDescent="0.25">
      <c r="A14649" s="15"/>
    </row>
    <row r="14650" spans="1:1" x14ac:dyDescent="0.25">
      <c r="A14650" s="15"/>
    </row>
    <row r="14651" spans="1:1" x14ac:dyDescent="0.25">
      <c r="A14651" s="15"/>
    </row>
    <row r="14652" spans="1:1" x14ac:dyDescent="0.25">
      <c r="A14652" s="15"/>
    </row>
    <row r="14653" spans="1:1" x14ac:dyDescent="0.25">
      <c r="A14653" s="15"/>
    </row>
    <row r="14654" spans="1:1" x14ac:dyDescent="0.25">
      <c r="A14654" s="15"/>
    </row>
    <row r="14655" spans="1:1" x14ac:dyDescent="0.25">
      <c r="A14655" s="15"/>
    </row>
    <row r="14656" spans="1:1" x14ac:dyDescent="0.25">
      <c r="A14656" s="15"/>
    </row>
    <row r="14657" spans="1:1" x14ac:dyDescent="0.25">
      <c r="A14657" s="15"/>
    </row>
    <row r="14658" spans="1:1" x14ac:dyDescent="0.25">
      <c r="A14658" s="15"/>
    </row>
    <row r="14659" spans="1:1" x14ac:dyDescent="0.25">
      <c r="A14659" s="15"/>
    </row>
    <row r="14660" spans="1:1" x14ac:dyDescent="0.25">
      <c r="A14660" s="15"/>
    </row>
    <row r="14661" spans="1:1" x14ac:dyDescent="0.25">
      <c r="A14661" s="15"/>
    </row>
    <row r="14662" spans="1:1" x14ac:dyDescent="0.25">
      <c r="A14662" s="15"/>
    </row>
    <row r="14663" spans="1:1" x14ac:dyDescent="0.25">
      <c r="A14663" s="15"/>
    </row>
    <row r="14664" spans="1:1" x14ac:dyDescent="0.25">
      <c r="A14664" s="15"/>
    </row>
    <row r="14665" spans="1:1" x14ac:dyDescent="0.25">
      <c r="A14665" s="15"/>
    </row>
    <row r="14666" spans="1:1" x14ac:dyDescent="0.25">
      <c r="A14666" s="15"/>
    </row>
    <row r="14667" spans="1:1" x14ac:dyDescent="0.25">
      <c r="A14667" s="15"/>
    </row>
    <row r="14668" spans="1:1" x14ac:dyDescent="0.25">
      <c r="A14668" s="15"/>
    </row>
    <row r="14669" spans="1:1" x14ac:dyDescent="0.25">
      <c r="A14669" s="15"/>
    </row>
    <row r="14670" spans="1:1" x14ac:dyDescent="0.25">
      <c r="A14670" s="15"/>
    </row>
    <row r="14671" spans="1:1" x14ac:dyDescent="0.25">
      <c r="A14671" s="15"/>
    </row>
    <row r="14672" spans="1:1" x14ac:dyDescent="0.25">
      <c r="A14672" s="15"/>
    </row>
    <row r="14673" spans="1:1" x14ac:dyDescent="0.25">
      <c r="A14673" s="15"/>
    </row>
    <row r="14674" spans="1:1" x14ac:dyDescent="0.25">
      <c r="A14674" s="15"/>
    </row>
    <row r="14675" spans="1:1" x14ac:dyDescent="0.25">
      <c r="A14675" s="15"/>
    </row>
    <row r="14676" spans="1:1" x14ac:dyDescent="0.25">
      <c r="A14676" s="15"/>
    </row>
    <row r="14677" spans="1:1" x14ac:dyDescent="0.25">
      <c r="A14677" s="15"/>
    </row>
    <row r="14678" spans="1:1" x14ac:dyDescent="0.25">
      <c r="A14678" s="15"/>
    </row>
    <row r="14679" spans="1:1" x14ac:dyDescent="0.25">
      <c r="A14679" s="15"/>
    </row>
    <row r="14680" spans="1:1" x14ac:dyDescent="0.25">
      <c r="A14680" s="15"/>
    </row>
    <row r="14681" spans="1:1" x14ac:dyDescent="0.25">
      <c r="A14681" s="15"/>
    </row>
    <row r="14682" spans="1:1" x14ac:dyDescent="0.25">
      <c r="A14682" s="15"/>
    </row>
    <row r="14683" spans="1:1" x14ac:dyDescent="0.25">
      <c r="A14683" s="15"/>
    </row>
    <row r="14684" spans="1:1" x14ac:dyDescent="0.25">
      <c r="A14684" s="15"/>
    </row>
    <row r="14685" spans="1:1" x14ac:dyDescent="0.25">
      <c r="A14685" s="15"/>
    </row>
    <row r="14686" spans="1:1" x14ac:dyDescent="0.25">
      <c r="A14686" s="15"/>
    </row>
    <row r="14687" spans="1:1" x14ac:dyDescent="0.25">
      <c r="A14687" s="15"/>
    </row>
    <row r="14688" spans="1:1" x14ac:dyDescent="0.25">
      <c r="A14688" s="15"/>
    </row>
    <row r="14689" spans="1:1" x14ac:dyDescent="0.25">
      <c r="A14689" s="15"/>
    </row>
    <row r="14690" spans="1:1" x14ac:dyDescent="0.25">
      <c r="A14690" s="15"/>
    </row>
    <row r="14691" spans="1:1" x14ac:dyDescent="0.25">
      <c r="A14691" s="15"/>
    </row>
    <row r="14692" spans="1:1" x14ac:dyDescent="0.25">
      <c r="A14692" s="15"/>
    </row>
    <row r="14693" spans="1:1" x14ac:dyDescent="0.25">
      <c r="A14693" s="15"/>
    </row>
    <row r="14694" spans="1:1" x14ac:dyDescent="0.25">
      <c r="A14694" s="15"/>
    </row>
    <row r="14695" spans="1:1" x14ac:dyDescent="0.25">
      <c r="A14695" s="15"/>
    </row>
    <row r="14696" spans="1:1" x14ac:dyDescent="0.25">
      <c r="A14696" s="15"/>
    </row>
    <row r="14697" spans="1:1" x14ac:dyDescent="0.25">
      <c r="A14697" s="15"/>
    </row>
    <row r="14698" spans="1:1" x14ac:dyDescent="0.25">
      <c r="A14698" s="15"/>
    </row>
    <row r="14699" spans="1:1" x14ac:dyDescent="0.25">
      <c r="A14699" s="15"/>
    </row>
    <row r="14700" spans="1:1" x14ac:dyDescent="0.25">
      <c r="A14700" s="15"/>
    </row>
    <row r="14701" spans="1:1" x14ac:dyDescent="0.25">
      <c r="A14701" s="15"/>
    </row>
    <row r="14702" spans="1:1" x14ac:dyDescent="0.25">
      <c r="A14702" s="15"/>
    </row>
    <row r="14703" spans="1:1" x14ac:dyDescent="0.25">
      <c r="A14703" s="15"/>
    </row>
    <row r="14704" spans="1:1" x14ac:dyDescent="0.25">
      <c r="A14704" s="15"/>
    </row>
    <row r="14705" spans="1:1" x14ac:dyDescent="0.25">
      <c r="A14705" s="15"/>
    </row>
    <row r="14706" spans="1:1" x14ac:dyDescent="0.25">
      <c r="A14706" s="15"/>
    </row>
    <row r="14707" spans="1:1" x14ac:dyDescent="0.25">
      <c r="A14707" s="15"/>
    </row>
    <row r="14708" spans="1:1" x14ac:dyDescent="0.25">
      <c r="A14708" s="15"/>
    </row>
    <row r="14709" spans="1:1" x14ac:dyDescent="0.25">
      <c r="A14709" s="15"/>
    </row>
    <row r="14710" spans="1:1" x14ac:dyDescent="0.25">
      <c r="A14710" s="15"/>
    </row>
    <row r="14711" spans="1:1" x14ac:dyDescent="0.25">
      <c r="A14711" s="15"/>
    </row>
    <row r="14712" spans="1:1" x14ac:dyDescent="0.25">
      <c r="A14712" s="15"/>
    </row>
    <row r="14713" spans="1:1" x14ac:dyDescent="0.25">
      <c r="A14713" s="15"/>
    </row>
    <row r="14714" spans="1:1" x14ac:dyDescent="0.25">
      <c r="A14714" s="15"/>
    </row>
    <row r="14715" spans="1:1" x14ac:dyDescent="0.25">
      <c r="A14715" s="15"/>
    </row>
    <row r="14716" spans="1:1" x14ac:dyDescent="0.25">
      <c r="A14716" s="15"/>
    </row>
    <row r="14717" spans="1:1" x14ac:dyDescent="0.25">
      <c r="A14717" s="15"/>
    </row>
    <row r="14718" spans="1:1" x14ac:dyDescent="0.25">
      <c r="A14718" s="15"/>
    </row>
    <row r="14719" spans="1:1" x14ac:dyDescent="0.25">
      <c r="A14719" s="15"/>
    </row>
    <row r="14720" spans="1:1" x14ac:dyDescent="0.25">
      <c r="A14720" s="15"/>
    </row>
    <row r="14721" spans="1:1" x14ac:dyDescent="0.25">
      <c r="A14721" s="15"/>
    </row>
    <row r="14722" spans="1:1" x14ac:dyDescent="0.25">
      <c r="A14722" s="15"/>
    </row>
    <row r="14723" spans="1:1" x14ac:dyDescent="0.25">
      <c r="A14723" s="15"/>
    </row>
    <row r="14724" spans="1:1" x14ac:dyDescent="0.25">
      <c r="A14724" s="15"/>
    </row>
    <row r="14725" spans="1:1" x14ac:dyDescent="0.25">
      <c r="A14725" s="15"/>
    </row>
    <row r="14726" spans="1:1" x14ac:dyDescent="0.25">
      <c r="A14726" s="15"/>
    </row>
    <row r="14727" spans="1:1" x14ac:dyDescent="0.25">
      <c r="A14727" s="15"/>
    </row>
    <row r="14728" spans="1:1" x14ac:dyDescent="0.25">
      <c r="A14728" s="15"/>
    </row>
    <row r="14729" spans="1:1" x14ac:dyDescent="0.25">
      <c r="A14729" s="15"/>
    </row>
    <row r="14730" spans="1:1" x14ac:dyDescent="0.25">
      <c r="A14730" s="15"/>
    </row>
    <row r="14731" spans="1:1" x14ac:dyDescent="0.25">
      <c r="A14731" s="15"/>
    </row>
    <row r="14732" spans="1:1" x14ac:dyDescent="0.25">
      <c r="A14732" s="15"/>
    </row>
    <row r="14733" spans="1:1" x14ac:dyDescent="0.25">
      <c r="A14733" s="15"/>
    </row>
    <row r="14734" spans="1:1" x14ac:dyDescent="0.25">
      <c r="A14734" s="15"/>
    </row>
    <row r="14735" spans="1:1" x14ac:dyDescent="0.25">
      <c r="A14735" s="15"/>
    </row>
    <row r="14736" spans="1:1" x14ac:dyDescent="0.25">
      <c r="A14736" s="15"/>
    </row>
    <row r="14737" spans="1:1" x14ac:dyDescent="0.25">
      <c r="A14737" s="15"/>
    </row>
    <row r="14738" spans="1:1" x14ac:dyDescent="0.25">
      <c r="A14738" s="15"/>
    </row>
    <row r="14739" spans="1:1" x14ac:dyDescent="0.25">
      <c r="A14739" s="15"/>
    </row>
    <row r="14740" spans="1:1" x14ac:dyDescent="0.25">
      <c r="A14740" s="15"/>
    </row>
    <row r="14741" spans="1:1" x14ac:dyDescent="0.25">
      <c r="A14741" s="15"/>
    </row>
    <row r="14742" spans="1:1" x14ac:dyDescent="0.25">
      <c r="A14742" s="15"/>
    </row>
    <row r="14743" spans="1:1" x14ac:dyDescent="0.25">
      <c r="A14743" s="15"/>
    </row>
    <row r="14744" spans="1:1" x14ac:dyDescent="0.25">
      <c r="A14744" s="15"/>
    </row>
    <row r="14745" spans="1:1" x14ac:dyDescent="0.25">
      <c r="A14745" s="15"/>
    </row>
    <row r="14746" spans="1:1" x14ac:dyDescent="0.25">
      <c r="A14746" s="15"/>
    </row>
    <row r="14747" spans="1:1" x14ac:dyDescent="0.25">
      <c r="A14747" s="15"/>
    </row>
    <row r="14748" spans="1:1" x14ac:dyDescent="0.25">
      <c r="A14748" s="15"/>
    </row>
    <row r="14749" spans="1:1" x14ac:dyDescent="0.25">
      <c r="A14749" s="15"/>
    </row>
    <row r="14750" spans="1:1" x14ac:dyDescent="0.25">
      <c r="A14750" s="15"/>
    </row>
    <row r="14751" spans="1:1" x14ac:dyDescent="0.25">
      <c r="A14751" s="15"/>
    </row>
    <row r="14752" spans="1:1" x14ac:dyDescent="0.25">
      <c r="A14752" s="15"/>
    </row>
    <row r="14753" spans="1:1" x14ac:dyDescent="0.25">
      <c r="A14753" s="15"/>
    </row>
    <row r="14754" spans="1:1" x14ac:dyDescent="0.25">
      <c r="A14754" s="15"/>
    </row>
    <row r="14755" spans="1:1" x14ac:dyDescent="0.25">
      <c r="A14755" s="15"/>
    </row>
    <row r="14756" spans="1:1" x14ac:dyDescent="0.25">
      <c r="A14756" s="15"/>
    </row>
    <row r="14757" spans="1:1" x14ac:dyDescent="0.25">
      <c r="A14757" s="15"/>
    </row>
    <row r="14758" spans="1:1" x14ac:dyDescent="0.25">
      <c r="A14758" s="15"/>
    </row>
    <row r="14759" spans="1:1" x14ac:dyDescent="0.25">
      <c r="A14759" s="15"/>
    </row>
    <row r="14760" spans="1:1" x14ac:dyDescent="0.25">
      <c r="A14760" s="15"/>
    </row>
    <row r="14761" spans="1:1" x14ac:dyDescent="0.25">
      <c r="A14761" s="15"/>
    </row>
    <row r="14762" spans="1:1" x14ac:dyDescent="0.25">
      <c r="A14762" s="15"/>
    </row>
    <row r="14763" spans="1:1" x14ac:dyDescent="0.25">
      <c r="A14763" s="15"/>
    </row>
    <row r="14764" spans="1:1" x14ac:dyDescent="0.25">
      <c r="A14764" s="15"/>
    </row>
    <row r="14765" spans="1:1" x14ac:dyDescent="0.25">
      <c r="A14765" s="15"/>
    </row>
    <row r="14766" spans="1:1" x14ac:dyDescent="0.25">
      <c r="A14766" s="15"/>
    </row>
    <row r="14767" spans="1:1" x14ac:dyDescent="0.25">
      <c r="A14767" s="15"/>
    </row>
    <row r="14768" spans="1:1" x14ac:dyDescent="0.25">
      <c r="A14768" s="15"/>
    </row>
    <row r="14769" spans="1:1" x14ac:dyDescent="0.25">
      <c r="A14769" s="15"/>
    </row>
    <row r="14770" spans="1:1" x14ac:dyDescent="0.25">
      <c r="A14770" s="15"/>
    </row>
    <row r="14771" spans="1:1" x14ac:dyDescent="0.25">
      <c r="A14771" s="15"/>
    </row>
    <row r="14772" spans="1:1" x14ac:dyDescent="0.25">
      <c r="A14772" s="15"/>
    </row>
    <row r="14773" spans="1:1" x14ac:dyDescent="0.25">
      <c r="A14773" s="15"/>
    </row>
    <row r="14774" spans="1:1" x14ac:dyDescent="0.25">
      <c r="A14774" s="15"/>
    </row>
    <row r="14775" spans="1:1" x14ac:dyDescent="0.25">
      <c r="A14775" s="15"/>
    </row>
    <row r="14776" spans="1:1" x14ac:dyDescent="0.25">
      <c r="A14776" s="15"/>
    </row>
    <row r="14777" spans="1:1" x14ac:dyDescent="0.25">
      <c r="A14777" s="15"/>
    </row>
    <row r="14778" spans="1:1" x14ac:dyDescent="0.25">
      <c r="A14778" s="15"/>
    </row>
    <row r="14779" spans="1:1" x14ac:dyDescent="0.25">
      <c r="A14779" s="15"/>
    </row>
    <row r="14780" spans="1:1" x14ac:dyDescent="0.25">
      <c r="A14780" s="15"/>
    </row>
    <row r="14781" spans="1:1" x14ac:dyDescent="0.25">
      <c r="A14781" s="15"/>
    </row>
    <row r="14782" spans="1:1" x14ac:dyDescent="0.25">
      <c r="A14782" s="15"/>
    </row>
    <row r="14783" spans="1:1" x14ac:dyDescent="0.25">
      <c r="A14783" s="15"/>
    </row>
    <row r="14784" spans="1:1" x14ac:dyDescent="0.25">
      <c r="A14784" s="15"/>
    </row>
    <row r="14785" spans="1:1" x14ac:dyDescent="0.25">
      <c r="A14785" s="15"/>
    </row>
    <row r="14786" spans="1:1" x14ac:dyDescent="0.25">
      <c r="A14786" s="15"/>
    </row>
    <row r="14787" spans="1:1" x14ac:dyDescent="0.25">
      <c r="A14787" s="15"/>
    </row>
    <row r="14788" spans="1:1" x14ac:dyDescent="0.25">
      <c r="A14788" s="15"/>
    </row>
    <row r="14789" spans="1:1" x14ac:dyDescent="0.25">
      <c r="A14789" s="15"/>
    </row>
    <row r="14790" spans="1:1" x14ac:dyDescent="0.25">
      <c r="A14790" s="15"/>
    </row>
    <row r="14791" spans="1:1" x14ac:dyDescent="0.25">
      <c r="A14791" s="15"/>
    </row>
    <row r="14792" spans="1:1" x14ac:dyDescent="0.25">
      <c r="A14792" s="15"/>
    </row>
    <row r="14793" spans="1:1" x14ac:dyDescent="0.25">
      <c r="A14793" s="15"/>
    </row>
    <row r="14794" spans="1:1" x14ac:dyDescent="0.25">
      <c r="A14794" s="15"/>
    </row>
    <row r="14795" spans="1:1" x14ac:dyDescent="0.25">
      <c r="A14795" s="15"/>
    </row>
    <row r="14796" spans="1:1" x14ac:dyDescent="0.25">
      <c r="A14796" s="15"/>
    </row>
    <row r="14797" spans="1:1" x14ac:dyDescent="0.25">
      <c r="A14797" s="15"/>
    </row>
    <row r="14798" spans="1:1" x14ac:dyDescent="0.25">
      <c r="A14798" s="15"/>
    </row>
    <row r="14799" spans="1:1" x14ac:dyDescent="0.25">
      <c r="A14799" s="15"/>
    </row>
    <row r="14800" spans="1:1" x14ac:dyDescent="0.25">
      <c r="A14800" s="15"/>
    </row>
    <row r="14801" spans="1:1" x14ac:dyDescent="0.25">
      <c r="A14801" s="15"/>
    </row>
    <row r="14802" spans="1:1" x14ac:dyDescent="0.25">
      <c r="A14802" s="15"/>
    </row>
    <row r="14803" spans="1:1" x14ac:dyDescent="0.25">
      <c r="A14803" s="15"/>
    </row>
    <row r="14804" spans="1:1" x14ac:dyDescent="0.25">
      <c r="A14804" s="15"/>
    </row>
    <row r="14805" spans="1:1" x14ac:dyDescent="0.25">
      <c r="A14805" s="15"/>
    </row>
    <row r="14806" spans="1:1" x14ac:dyDescent="0.25">
      <c r="A14806" s="15"/>
    </row>
    <row r="14807" spans="1:1" x14ac:dyDescent="0.25">
      <c r="A14807" s="15"/>
    </row>
    <row r="14808" spans="1:1" x14ac:dyDescent="0.25">
      <c r="A14808" s="15"/>
    </row>
    <row r="14809" spans="1:1" x14ac:dyDescent="0.25">
      <c r="A14809" s="15"/>
    </row>
    <row r="14810" spans="1:1" x14ac:dyDescent="0.25">
      <c r="A14810" s="15"/>
    </row>
    <row r="14811" spans="1:1" x14ac:dyDescent="0.25">
      <c r="A14811" s="15"/>
    </row>
    <row r="14812" spans="1:1" x14ac:dyDescent="0.25">
      <c r="A14812" s="15"/>
    </row>
    <row r="14813" spans="1:1" x14ac:dyDescent="0.25">
      <c r="A14813" s="15"/>
    </row>
    <row r="14814" spans="1:1" x14ac:dyDescent="0.25">
      <c r="A14814" s="15"/>
    </row>
    <row r="14815" spans="1:1" x14ac:dyDescent="0.25">
      <c r="A14815" s="15"/>
    </row>
    <row r="14816" spans="1:1" x14ac:dyDescent="0.25">
      <c r="A14816" s="15"/>
    </row>
    <row r="14817" spans="1:1" x14ac:dyDescent="0.25">
      <c r="A14817" s="15"/>
    </row>
    <row r="14818" spans="1:1" x14ac:dyDescent="0.25">
      <c r="A14818" s="15"/>
    </row>
    <row r="14819" spans="1:1" x14ac:dyDescent="0.25">
      <c r="A14819" s="15"/>
    </row>
    <row r="14820" spans="1:1" x14ac:dyDescent="0.25">
      <c r="A14820" s="15"/>
    </row>
    <row r="14821" spans="1:1" x14ac:dyDescent="0.25">
      <c r="A14821" s="15"/>
    </row>
    <row r="14822" spans="1:1" x14ac:dyDescent="0.25">
      <c r="A14822" s="15"/>
    </row>
    <row r="14823" spans="1:1" x14ac:dyDescent="0.25">
      <c r="A14823" s="15"/>
    </row>
    <row r="14824" spans="1:1" x14ac:dyDescent="0.25">
      <c r="A14824" s="15"/>
    </row>
    <row r="14825" spans="1:1" x14ac:dyDescent="0.25">
      <c r="A14825" s="15"/>
    </row>
    <row r="14826" spans="1:1" x14ac:dyDescent="0.25">
      <c r="A14826" s="15"/>
    </row>
    <row r="14827" spans="1:1" x14ac:dyDescent="0.25">
      <c r="A14827" s="15"/>
    </row>
    <row r="14828" spans="1:1" x14ac:dyDescent="0.25">
      <c r="A14828" s="15"/>
    </row>
    <row r="14829" spans="1:1" x14ac:dyDescent="0.25">
      <c r="A14829" s="15"/>
    </row>
    <row r="14830" spans="1:1" x14ac:dyDescent="0.25">
      <c r="A14830" s="15"/>
    </row>
    <row r="14831" spans="1:1" x14ac:dyDescent="0.25">
      <c r="A14831" s="15"/>
    </row>
    <row r="14832" spans="1:1" x14ac:dyDescent="0.25">
      <c r="A14832" s="15"/>
    </row>
    <row r="14833" spans="1:1" x14ac:dyDescent="0.25">
      <c r="A14833" s="15"/>
    </row>
    <row r="14834" spans="1:1" x14ac:dyDescent="0.25">
      <c r="A14834" s="15"/>
    </row>
    <row r="14835" spans="1:1" x14ac:dyDescent="0.25">
      <c r="A14835" s="15"/>
    </row>
    <row r="14836" spans="1:1" x14ac:dyDescent="0.25">
      <c r="A14836" s="15"/>
    </row>
    <row r="14837" spans="1:1" x14ac:dyDescent="0.25">
      <c r="A14837" s="15"/>
    </row>
    <row r="14838" spans="1:1" x14ac:dyDescent="0.25">
      <c r="A14838" s="15"/>
    </row>
    <row r="14839" spans="1:1" x14ac:dyDescent="0.25">
      <c r="A14839" s="15"/>
    </row>
    <row r="14840" spans="1:1" x14ac:dyDescent="0.25">
      <c r="A14840" s="15"/>
    </row>
    <row r="14841" spans="1:1" x14ac:dyDescent="0.25">
      <c r="A14841" s="15"/>
    </row>
    <row r="14842" spans="1:1" x14ac:dyDescent="0.25">
      <c r="A14842" s="15"/>
    </row>
    <row r="14843" spans="1:1" x14ac:dyDescent="0.25">
      <c r="A14843" s="15"/>
    </row>
    <row r="14844" spans="1:1" x14ac:dyDescent="0.25">
      <c r="A14844" s="15"/>
    </row>
    <row r="14845" spans="1:1" x14ac:dyDescent="0.25">
      <c r="A14845" s="15"/>
    </row>
    <row r="14846" spans="1:1" x14ac:dyDescent="0.25">
      <c r="A14846" s="15"/>
    </row>
    <row r="14847" spans="1:1" x14ac:dyDescent="0.25">
      <c r="A14847" s="15"/>
    </row>
    <row r="14848" spans="1:1" x14ac:dyDescent="0.25">
      <c r="A14848" s="15"/>
    </row>
    <row r="14849" spans="1:1" x14ac:dyDescent="0.25">
      <c r="A14849" s="15"/>
    </row>
    <row r="14850" spans="1:1" x14ac:dyDescent="0.25">
      <c r="A14850" s="15"/>
    </row>
    <row r="14851" spans="1:1" x14ac:dyDescent="0.25">
      <c r="A14851" s="15"/>
    </row>
    <row r="14852" spans="1:1" x14ac:dyDescent="0.25">
      <c r="A14852" s="15"/>
    </row>
    <row r="14853" spans="1:1" x14ac:dyDescent="0.25">
      <c r="A14853" s="15"/>
    </row>
    <row r="14854" spans="1:1" x14ac:dyDescent="0.25">
      <c r="A14854" s="15"/>
    </row>
    <row r="14855" spans="1:1" x14ac:dyDescent="0.25">
      <c r="A14855" s="15"/>
    </row>
    <row r="14856" spans="1:1" x14ac:dyDescent="0.25">
      <c r="A14856" s="15"/>
    </row>
    <row r="14857" spans="1:1" x14ac:dyDescent="0.25">
      <c r="A14857" s="15"/>
    </row>
    <row r="14858" spans="1:1" x14ac:dyDescent="0.25">
      <c r="A14858" s="15"/>
    </row>
    <row r="14859" spans="1:1" x14ac:dyDescent="0.25">
      <c r="A14859" s="15"/>
    </row>
    <row r="14860" spans="1:1" x14ac:dyDescent="0.25">
      <c r="A14860" s="15"/>
    </row>
    <row r="14861" spans="1:1" x14ac:dyDescent="0.25">
      <c r="A14861" s="15"/>
    </row>
    <row r="14862" spans="1:1" x14ac:dyDescent="0.25">
      <c r="A14862" s="15"/>
    </row>
    <row r="14863" spans="1:1" x14ac:dyDescent="0.25">
      <c r="A14863" s="15"/>
    </row>
    <row r="14864" spans="1:1" x14ac:dyDescent="0.25">
      <c r="A14864" s="15"/>
    </row>
    <row r="14865" spans="1:1" x14ac:dyDescent="0.25">
      <c r="A14865" s="15"/>
    </row>
    <row r="14866" spans="1:1" x14ac:dyDescent="0.25">
      <c r="A14866" s="15"/>
    </row>
    <row r="14867" spans="1:1" x14ac:dyDescent="0.25">
      <c r="A14867" s="15"/>
    </row>
    <row r="14868" spans="1:1" x14ac:dyDescent="0.25">
      <c r="A14868" s="15"/>
    </row>
    <row r="14869" spans="1:1" x14ac:dyDescent="0.25">
      <c r="A14869" s="15"/>
    </row>
    <row r="14870" spans="1:1" x14ac:dyDescent="0.25">
      <c r="A14870" s="15"/>
    </row>
    <row r="14871" spans="1:1" x14ac:dyDescent="0.25">
      <c r="A14871" s="15"/>
    </row>
    <row r="14872" spans="1:1" x14ac:dyDescent="0.25">
      <c r="A14872" s="15"/>
    </row>
    <row r="14873" spans="1:1" x14ac:dyDescent="0.25">
      <c r="A14873" s="15"/>
    </row>
    <row r="14874" spans="1:1" x14ac:dyDescent="0.25">
      <c r="A14874" s="15"/>
    </row>
    <row r="14875" spans="1:1" x14ac:dyDescent="0.25">
      <c r="A14875" s="15"/>
    </row>
    <row r="14876" spans="1:1" x14ac:dyDescent="0.25">
      <c r="A14876" s="15"/>
    </row>
    <row r="14877" spans="1:1" x14ac:dyDescent="0.25">
      <c r="A14877" s="15"/>
    </row>
    <row r="14878" spans="1:1" x14ac:dyDescent="0.25">
      <c r="A14878" s="15"/>
    </row>
    <row r="14879" spans="1:1" x14ac:dyDescent="0.25">
      <c r="A14879" s="15"/>
    </row>
    <row r="14880" spans="1:1" x14ac:dyDescent="0.25">
      <c r="A14880" s="15"/>
    </row>
    <row r="14881" spans="1:1" x14ac:dyDescent="0.25">
      <c r="A14881" s="15"/>
    </row>
    <row r="14882" spans="1:1" x14ac:dyDescent="0.25">
      <c r="A14882" s="15"/>
    </row>
    <row r="14883" spans="1:1" x14ac:dyDescent="0.25">
      <c r="A14883" s="15"/>
    </row>
    <row r="14884" spans="1:1" x14ac:dyDescent="0.25">
      <c r="A14884" s="15"/>
    </row>
    <row r="14885" spans="1:1" x14ac:dyDescent="0.25">
      <c r="A14885" s="15"/>
    </row>
    <row r="14886" spans="1:1" x14ac:dyDescent="0.25">
      <c r="A14886" s="15"/>
    </row>
    <row r="14887" spans="1:1" x14ac:dyDescent="0.25">
      <c r="A14887" s="15"/>
    </row>
    <row r="14888" spans="1:1" x14ac:dyDescent="0.25">
      <c r="A14888" s="15"/>
    </row>
    <row r="14889" spans="1:1" x14ac:dyDescent="0.25">
      <c r="A14889" s="15"/>
    </row>
    <row r="14890" spans="1:1" x14ac:dyDescent="0.25">
      <c r="A14890" s="15"/>
    </row>
    <row r="14891" spans="1:1" x14ac:dyDescent="0.25">
      <c r="A14891" s="15"/>
    </row>
    <row r="14892" spans="1:1" x14ac:dyDescent="0.25">
      <c r="A14892" s="15"/>
    </row>
    <row r="14893" spans="1:1" x14ac:dyDescent="0.25">
      <c r="A14893" s="15"/>
    </row>
    <row r="14894" spans="1:1" x14ac:dyDescent="0.25">
      <c r="A14894" s="15"/>
    </row>
    <row r="14895" spans="1:1" x14ac:dyDescent="0.25">
      <c r="A14895" s="15"/>
    </row>
    <row r="14896" spans="1:1" x14ac:dyDescent="0.25">
      <c r="A14896" s="15"/>
    </row>
    <row r="14897" spans="1:1" x14ac:dyDescent="0.25">
      <c r="A14897" s="15"/>
    </row>
    <row r="14898" spans="1:1" x14ac:dyDescent="0.25">
      <c r="A14898" s="15"/>
    </row>
    <row r="14899" spans="1:1" x14ac:dyDescent="0.25">
      <c r="A14899" s="15"/>
    </row>
    <row r="14900" spans="1:1" x14ac:dyDescent="0.25">
      <c r="A14900" s="15"/>
    </row>
    <row r="14901" spans="1:1" x14ac:dyDescent="0.25">
      <c r="A14901" s="15"/>
    </row>
    <row r="14902" spans="1:1" x14ac:dyDescent="0.25">
      <c r="A14902" s="15"/>
    </row>
    <row r="14903" spans="1:1" x14ac:dyDescent="0.25">
      <c r="A14903" s="15"/>
    </row>
    <row r="14904" spans="1:1" x14ac:dyDescent="0.25">
      <c r="A14904" s="15"/>
    </row>
    <row r="14905" spans="1:1" x14ac:dyDescent="0.25">
      <c r="A14905" s="15"/>
    </row>
    <row r="14906" spans="1:1" x14ac:dyDescent="0.25">
      <c r="A14906" s="15"/>
    </row>
    <row r="14907" spans="1:1" x14ac:dyDescent="0.25">
      <c r="A14907" s="15"/>
    </row>
    <row r="14908" spans="1:1" x14ac:dyDescent="0.25">
      <c r="A14908" s="15"/>
    </row>
    <row r="14909" spans="1:1" x14ac:dyDescent="0.25">
      <c r="A14909" s="15"/>
    </row>
    <row r="14910" spans="1:1" x14ac:dyDescent="0.25">
      <c r="A14910" s="15"/>
    </row>
    <row r="14911" spans="1:1" x14ac:dyDescent="0.25">
      <c r="A14911" s="15"/>
    </row>
    <row r="14912" spans="1:1" x14ac:dyDescent="0.25">
      <c r="A14912" s="15"/>
    </row>
    <row r="14913" spans="1:1" x14ac:dyDescent="0.25">
      <c r="A14913" s="15"/>
    </row>
    <row r="14914" spans="1:1" x14ac:dyDescent="0.25">
      <c r="A14914" s="15"/>
    </row>
    <row r="14915" spans="1:1" x14ac:dyDescent="0.25">
      <c r="A14915" s="15"/>
    </row>
    <row r="14916" spans="1:1" x14ac:dyDescent="0.25">
      <c r="A14916" s="15"/>
    </row>
    <row r="14917" spans="1:1" x14ac:dyDescent="0.25">
      <c r="A14917" s="15"/>
    </row>
    <row r="14918" spans="1:1" x14ac:dyDescent="0.25">
      <c r="A14918" s="15"/>
    </row>
    <row r="14919" spans="1:1" x14ac:dyDescent="0.25">
      <c r="A14919" s="15"/>
    </row>
    <row r="14920" spans="1:1" x14ac:dyDescent="0.25">
      <c r="A14920" s="15"/>
    </row>
    <row r="14921" spans="1:1" x14ac:dyDescent="0.25">
      <c r="A14921" s="15"/>
    </row>
    <row r="14922" spans="1:1" x14ac:dyDescent="0.25">
      <c r="A14922" s="15"/>
    </row>
    <row r="14923" spans="1:1" x14ac:dyDescent="0.25">
      <c r="A14923" s="15"/>
    </row>
    <row r="14924" spans="1:1" x14ac:dyDescent="0.25">
      <c r="A14924" s="15"/>
    </row>
    <row r="14925" spans="1:1" x14ac:dyDescent="0.25">
      <c r="A14925" s="15"/>
    </row>
    <row r="14926" spans="1:1" x14ac:dyDescent="0.25">
      <c r="A14926" s="15"/>
    </row>
    <row r="14927" spans="1:1" x14ac:dyDescent="0.25">
      <c r="A14927" s="15"/>
    </row>
    <row r="14928" spans="1:1" x14ac:dyDescent="0.25">
      <c r="A14928" s="15"/>
    </row>
    <row r="14929" spans="1:1" x14ac:dyDescent="0.25">
      <c r="A14929" s="15"/>
    </row>
    <row r="14930" spans="1:1" x14ac:dyDescent="0.25">
      <c r="A14930" s="15"/>
    </row>
    <row r="14931" spans="1:1" x14ac:dyDescent="0.25">
      <c r="A14931" s="15"/>
    </row>
    <row r="14932" spans="1:1" x14ac:dyDescent="0.25">
      <c r="A14932" s="15"/>
    </row>
    <row r="14933" spans="1:1" x14ac:dyDescent="0.25">
      <c r="A14933" s="15"/>
    </row>
    <row r="14934" spans="1:1" x14ac:dyDescent="0.25">
      <c r="A14934" s="15"/>
    </row>
    <row r="14935" spans="1:1" x14ac:dyDescent="0.25">
      <c r="A14935" s="15"/>
    </row>
    <row r="14936" spans="1:1" x14ac:dyDescent="0.25">
      <c r="A14936" s="15"/>
    </row>
    <row r="14937" spans="1:1" x14ac:dyDescent="0.25">
      <c r="A14937" s="15"/>
    </row>
    <row r="14938" spans="1:1" x14ac:dyDescent="0.25">
      <c r="A14938" s="15"/>
    </row>
    <row r="14939" spans="1:1" x14ac:dyDescent="0.25">
      <c r="A14939" s="15"/>
    </row>
    <row r="14940" spans="1:1" x14ac:dyDescent="0.25">
      <c r="A14940" s="15"/>
    </row>
    <row r="14941" spans="1:1" x14ac:dyDescent="0.25">
      <c r="A14941" s="15"/>
    </row>
    <row r="14942" spans="1:1" x14ac:dyDescent="0.25">
      <c r="A14942" s="15"/>
    </row>
    <row r="14943" spans="1:1" x14ac:dyDescent="0.25">
      <c r="A14943" s="15"/>
    </row>
    <row r="14944" spans="1:1" x14ac:dyDescent="0.25">
      <c r="A14944" s="15"/>
    </row>
    <row r="14945" spans="1:1" x14ac:dyDescent="0.25">
      <c r="A14945" s="15"/>
    </row>
    <row r="14946" spans="1:1" x14ac:dyDescent="0.25">
      <c r="A14946" s="15"/>
    </row>
    <row r="14947" spans="1:1" x14ac:dyDescent="0.25">
      <c r="A14947" s="15"/>
    </row>
    <row r="14948" spans="1:1" x14ac:dyDescent="0.25">
      <c r="A14948" s="15"/>
    </row>
    <row r="14949" spans="1:1" x14ac:dyDescent="0.25">
      <c r="A14949" s="15"/>
    </row>
    <row r="14950" spans="1:1" x14ac:dyDescent="0.25">
      <c r="A14950" s="15"/>
    </row>
    <row r="14951" spans="1:1" x14ac:dyDescent="0.25">
      <c r="A14951" s="15"/>
    </row>
    <row r="14952" spans="1:1" x14ac:dyDescent="0.25">
      <c r="A14952" s="15"/>
    </row>
    <row r="14953" spans="1:1" x14ac:dyDescent="0.25">
      <c r="A14953" s="15"/>
    </row>
    <row r="14954" spans="1:1" x14ac:dyDescent="0.25">
      <c r="A14954" s="15"/>
    </row>
    <row r="14955" spans="1:1" x14ac:dyDescent="0.25">
      <c r="A14955" s="15"/>
    </row>
    <row r="14956" spans="1:1" x14ac:dyDescent="0.25">
      <c r="A14956" s="15"/>
    </row>
    <row r="14957" spans="1:1" x14ac:dyDescent="0.25">
      <c r="A14957" s="15"/>
    </row>
    <row r="14958" spans="1:1" x14ac:dyDescent="0.25">
      <c r="A14958" s="15"/>
    </row>
    <row r="14959" spans="1:1" x14ac:dyDescent="0.25">
      <c r="A14959" s="15"/>
    </row>
    <row r="14960" spans="1:1" x14ac:dyDescent="0.25">
      <c r="A14960" s="15"/>
    </row>
    <row r="14961" spans="1:1" x14ac:dyDescent="0.25">
      <c r="A14961" s="15"/>
    </row>
    <row r="14962" spans="1:1" x14ac:dyDescent="0.25">
      <c r="A14962" s="15"/>
    </row>
    <row r="14963" spans="1:1" x14ac:dyDescent="0.25">
      <c r="A14963" s="15"/>
    </row>
    <row r="14964" spans="1:1" x14ac:dyDescent="0.25">
      <c r="A14964" s="15"/>
    </row>
    <row r="14965" spans="1:1" x14ac:dyDescent="0.25">
      <c r="A14965" s="15"/>
    </row>
    <row r="14966" spans="1:1" x14ac:dyDescent="0.25">
      <c r="A14966" s="15"/>
    </row>
    <row r="14967" spans="1:1" x14ac:dyDescent="0.25">
      <c r="A14967" s="15"/>
    </row>
    <row r="14968" spans="1:1" x14ac:dyDescent="0.25">
      <c r="A14968" s="15"/>
    </row>
    <row r="14969" spans="1:1" x14ac:dyDescent="0.25">
      <c r="A14969" s="15"/>
    </row>
    <row r="14970" spans="1:1" x14ac:dyDescent="0.25">
      <c r="A14970" s="15"/>
    </row>
    <row r="14971" spans="1:1" x14ac:dyDescent="0.25">
      <c r="A14971" s="15"/>
    </row>
    <row r="14972" spans="1:1" x14ac:dyDescent="0.25">
      <c r="A14972" s="15"/>
    </row>
    <row r="14973" spans="1:1" x14ac:dyDescent="0.25">
      <c r="A14973" s="15"/>
    </row>
    <row r="14974" spans="1:1" x14ac:dyDescent="0.25">
      <c r="A14974" s="15"/>
    </row>
    <row r="14975" spans="1:1" x14ac:dyDescent="0.25">
      <c r="A14975" s="15"/>
    </row>
    <row r="14976" spans="1:1" x14ac:dyDescent="0.25">
      <c r="A14976" s="15"/>
    </row>
    <row r="14977" spans="1:1" x14ac:dyDescent="0.25">
      <c r="A14977" s="15"/>
    </row>
    <row r="14978" spans="1:1" x14ac:dyDescent="0.25">
      <c r="A14978" s="15"/>
    </row>
    <row r="14979" spans="1:1" x14ac:dyDescent="0.25">
      <c r="A14979" s="15"/>
    </row>
    <row r="14980" spans="1:1" x14ac:dyDescent="0.25">
      <c r="A14980" s="15"/>
    </row>
    <row r="14981" spans="1:1" x14ac:dyDescent="0.25">
      <c r="A14981" s="15"/>
    </row>
    <row r="14982" spans="1:1" x14ac:dyDescent="0.25">
      <c r="A14982" s="15"/>
    </row>
    <row r="14983" spans="1:1" x14ac:dyDescent="0.25">
      <c r="A14983" s="15"/>
    </row>
    <row r="14984" spans="1:1" x14ac:dyDescent="0.25">
      <c r="A14984" s="15"/>
    </row>
    <row r="14985" spans="1:1" x14ac:dyDescent="0.25">
      <c r="A14985" s="15"/>
    </row>
    <row r="14986" spans="1:1" x14ac:dyDescent="0.25">
      <c r="A14986" s="15"/>
    </row>
    <row r="14987" spans="1:1" x14ac:dyDescent="0.25">
      <c r="A14987" s="15"/>
    </row>
    <row r="14988" spans="1:1" x14ac:dyDescent="0.25">
      <c r="A14988" s="15"/>
    </row>
    <row r="14989" spans="1:1" x14ac:dyDescent="0.25">
      <c r="A14989" s="15"/>
    </row>
    <row r="14990" spans="1:1" x14ac:dyDescent="0.25">
      <c r="A14990" s="15"/>
    </row>
    <row r="14991" spans="1:1" x14ac:dyDescent="0.25">
      <c r="A14991" s="15"/>
    </row>
    <row r="14992" spans="1:1" x14ac:dyDescent="0.25">
      <c r="A14992" s="15"/>
    </row>
    <row r="14993" spans="1:1" x14ac:dyDescent="0.25">
      <c r="A14993" s="15"/>
    </row>
    <row r="14994" spans="1:1" x14ac:dyDescent="0.25">
      <c r="A14994" s="15"/>
    </row>
    <row r="14995" spans="1:1" x14ac:dyDescent="0.25">
      <c r="A14995" s="15"/>
    </row>
    <row r="14996" spans="1:1" x14ac:dyDescent="0.25">
      <c r="A14996" s="15"/>
    </row>
    <row r="14997" spans="1:1" x14ac:dyDescent="0.25">
      <c r="A14997" s="15"/>
    </row>
    <row r="14998" spans="1:1" x14ac:dyDescent="0.25">
      <c r="A14998" s="15"/>
    </row>
    <row r="14999" spans="1:1" x14ac:dyDescent="0.25">
      <c r="A14999" s="15"/>
    </row>
    <row r="15000" spans="1:1" x14ac:dyDescent="0.25">
      <c r="A15000" s="15"/>
    </row>
    <row r="15001" spans="1:1" x14ac:dyDescent="0.25">
      <c r="A15001" s="15"/>
    </row>
    <row r="15002" spans="1:1" x14ac:dyDescent="0.25">
      <c r="A15002" s="15"/>
    </row>
    <row r="15003" spans="1:1" x14ac:dyDescent="0.25">
      <c r="A15003" s="15"/>
    </row>
    <row r="15004" spans="1:1" x14ac:dyDescent="0.25">
      <c r="A15004" s="15"/>
    </row>
    <row r="15005" spans="1:1" x14ac:dyDescent="0.25">
      <c r="A15005" s="15"/>
    </row>
    <row r="15006" spans="1:1" x14ac:dyDescent="0.25">
      <c r="A15006" s="15"/>
    </row>
    <row r="15007" spans="1:1" x14ac:dyDescent="0.25">
      <c r="A15007" s="15"/>
    </row>
    <row r="15008" spans="1:1" x14ac:dyDescent="0.25">
      <c r="A15008" s="15"/>
    </row>
    <row r="15009" spans="1:1" x14ac:dyDescent="0.25">
      <c r="A15009" s="15"/>
    </row>
    <row r="15010" spans="1:1" x14ac:dyDescent="0.25">
      <c r="A15010" s="15"/>
    </row>
    <row r="15011" spans="1:1" x14ac:dyDescent="0.25">
      <c r="A15011" s="15"/>
    </row>
    <row r="15012" spans="1:1" x14ac:dyDescent="0.25">
      <c r="A15012" s="15"/>
    </row>
    <row r="15013" spans="1:1" x14ac:dyDescent="0.25">
      <c r="A15013" s="15"/>
    </row>
    <row r="15014" spans="1:1" x14ac:dyDescent="0.25">
      <c r="A15014" s="15"/>
    </row>
    <row r="15015" spans="1:1" x14ac:dyDescent="0.25">
      <c r="A15015" s="15"/>
    </row>
    <row r="15016" spans="1:1" x14ac:dyDescent="0.25">
      <c r="A15016" s="15"/>
    </row>
    <row r="15017" spans="1:1" x14ac:dyDescent="0.25">
      <c r="A15017" s="15"/>
    </row>
    <row r="15018" spans="1:1" x14ac:dyDescent="0.25">
      <c r="A15018" s="15"/>
    </row>
    <row r="15019" spans="1:1" x14ac:dyDescent="0.25">
      <c r="A15019" s="15"/>
    </row>
    <row r="15020" spans="1:1" x14ac:dyDescent="0.25">
      <c r="A15020" s="15"/>
    </row>
    <row r="15021" spans="1:1" x14ac:dyDescent="0.25">
      <c r="A15021" s="15"/>
    </row>
    <row r="15022" spans="1:1" x14ac:dyDescent="0.25">
      <c r="A15022" s="15"/>
    </row>
    <row r="15023" spans="1:1" x14ac:dyDescent="0.25">
      <c r="A15023" s="15"/>
    </row>
    <row r="15024" spans="1:1" x14ac:dyDescent="0.25">
      <c r="A15024" s="15"/>
    </row>
    <row r="15025" spans="1:1" x14ac:dyDescent="0.25">
      <c r="A15025" s="15"/>
    </row>
    <row r="15026" spans="1:1" x14ac:dyDescent="0.25">
      <c r="A15026" s="15"/>
    </row>
    <row r="15027" spans="1:1" x14ac:dyDescent="0.25">
      <c r="A15027" s="15"/>
    </row>
    <row r="15028" spans="1:1" x14ac:dyDescent="0.25">
      <c r="A15028" s="15"/>
    </row>
    <row r="15029" spans="1:1" x14ac:dyDescent="0.25">
      <c r="A15029" s="15"/>
    </row>
    <row r="15030" spans="1:1" x14ac:dyDescent="0.25">
      <c r="A15030" s="15"/>
    </row>
    <row r="15031" spans="1:1" x14ac:dyDescent="0.25">
      <c r="A15031" s="15"/>
    </row>
    <row r="15032" spans="1:1" x14ac:dyDescent="0.25">
      <c r="A15032" s="15"/>
    </row>
    <row r="15033" spans="1:1" x14ac:dyDescent="0.25">
      <c r="A15033" s="15"/>
    </row>
    <row r="15034" spans="1:1" x14ac:dyDescent="0.25">
      <c r="A15034" s="15"/>
    </row>
    <row r="15035" spans="1:1" x14ac:dyDescent="0.25">
      <c r="A15035" s="15"/>
    </row>
    <row r="15036" spans="1:1" x14ac:dyDescent="0.25">
      <c r="A15036" s="15"/>
    </row>
    <row r="15037" spans="1:1" x14ac:dyDescent="0.25">
      <c r="A15037" s="15"/>
    </row>
    <row r="15038" spans="1:1" x14ac:dyDescent="0.25">
      <c r="A15038" s="15"/>
    </row>
    <row r="15039" spans="1:1" x14ac:dyDescent="0.25">
      <c r="A15039" s="15"/>
    </row>
    <row r="15040" spans="1:1" x14ac:dyDescent="0.25">
      <c r="A15040" s="15"/>
    </row>
    <row r="15041" spans="1:1" x14ac:dyDescent="0.25">
      <c r="A15041" s="15"/>
    </row>
    <row r="15042" spans="1:1" x14ac:dyDescent="0.25">
      <c r="A15042" s="15"/>
    </row>
    <row r="15043" spans="1:1" x14ac:dyDescent="0.25">
      <c r="A15043" s="15"/>
    </row>
    <row r="15044" spans="1:1" x14ac:dyDescent="0.25">
      <c r="A15044" s="15"/>
    </row>
    <row r="15045" spans="1:1" x14ac:dyDescent="0.25">
      <c r="A15045" s="15"/>
    </row>
    <row r="15046" spans="1:1" x14ac:dyDescent="0.25">
      <c r="A15046" s="15"/>
    </row>
    <row r="15047" spans="1:1" x14ac:dyDescent="0.25">
      <c r="A15047" s="15"/>
    </row>
    <row r="15048" spans="1:1" x14ac:dyDescent="0.25">
      <c r="A15048" s="15"/>
    </row>
    <row r="15049" spans="1:1" x14ac:dyDescent="0.25">
      <c r="A15049" s="15"/>
    </row>
    <row r="15050" spans="1:1" x14ac:dyDescent="0.25">
      <c r="A15050" s="15"/>
    </row>
    <row r="15051" spans="1:1" x14ac:dyDescent="0.25">
      <c r="A15051" s="15"/>
    </row>
    <row r="15052" spans="1:1" x14ac:dyDescent="0.25">
      <c r="A15052" s="15"/>
    </row>
    <row r="15053" spans="1:1" x14ac:dyDescent="0.25">
      <c r="A15053" s="15"/>
    </row>
    <row r="15054" spans="1:1" x14ac:dyDescent="0.25">
      <c r="A15054" s="15"/>
    </row>
    <row r="15055" spans="1:1" x14ac:dyDescent="0.25">
      <c r="A15055" s="15"/>
    </row>
    <row r="15056" spans="1:1" x14ac:dyDescent="0.25">
      <c r="A15056" s="15"/>
    </row>
    <row r="15057" spans="1:1" x14ac:dyDescent="0.25">
      <c r="A15057" s="15"/>
    </row>
    <row r="15058" spans="1:1" x14ac:dyDescent="0.25">
      <c r="A15058" s="15"/>
    </row>
    <row r="15059" spans="1:1" x14ac:dyDescent="0.25">
      <c r="A15059" s="15"/>
    </row>
    <row r="15060" spans="1:1" x14ac:dyDescent="0.25">
      <c r="A15060" s="15"/>
    </row>
    <row r="15061" spans="1:1" x14ac:dyDescent="0.25">
      <c r="A15061" s="15"/>
    </row>
    <row r="15062" spans="1:1" x14ac:dyDescent="0.25">
      <c r="A15062" s="15"/>
    </row>
    <row r="15063" spans="1:1" x14ac:dyDescent="0.25">
      <c r="A15063" s="15"/>
    </row>
    <row r="15064" spans="1:1" x14ac:dyDescent="0.25">
      <c r="A15064" s="15"/>
    </row>
    <row r="15065" spans="1:1" x14ac:dyDescent="0.25">
      <c r="A15065" s="15"/>
    </row>
    <row r="15066" spans="1:1" x14ac:dyDescent="0.25">
      <c r="A15066" s="15"/>
    </row>
    <row r="15067" spans="1:1" x14ac:dyDescent="0.25">
      <c r="A15067" s="15"/>
    </row>
    <row r="15068" spans="1:1" x14ac:dyDescent="0.25">
      <c r="A15068" s="15"/>
    </row>
    <row r="15069" spans="1:1" x14ac:dyDescent="0.25">
      <c r="A15069" s="15"/>
    </row>
    <row r="15070" spans="1:1" x14ac:dyDescent="0.25">
      <c r="A15070" s="15"/>
    </row>
    <row r="15071" spans="1:1" x14ac:dyDescent="0.25">
      <c r="A15071" s="15"/>
    </row>
    <row r="15072" spans="1:1" x14ac:dyDescent="0.25">
      <c r="A15072" s="15"/>
    </row>
    <row r="15073" spans="1:1" x14ac:dyDescent="0.25">
      <c r="A15073" s="15"/>
    </row>
    <row r="15074" spans="1:1" x14ac:dyDescent="0.25">
      <c r="A15074" s="15"/>
    </row>
    <row r="15075" spans="1:1" x14ac:dyDescent="0.25">
      <c r="A15075" s="15"/>
    </row>
    <row r="15076" spans="1:1" x14ac:dyDescent="0.25">
      <c r="A15076" s="15"/>
    </row>
    <row r="15077" spans="1:1" x14ac:dyDescent="0.25">
      <c r="A15077" s="15"/>
    </row>
    <row r="15078" spans="1:1" x14ac:dyDescent="0.25">
      <c r="A15078" s="15"/>
    </row>
    <row r="15079" spans="1:1" x14ac:dyDescent="0.25">
      <c r="A15079" s="15"/>
    </row>
    <row r="15080" spans="1:1" x14ac:dyDescent="0.25">
      <c r="A15080" s="15"/>
    </row>
    <row r="15081" spans="1:1" x14ac:dyDescent="0.25">
      <c r="A15081" s="15"/>
    </row>
    <row r="15082" spans="1:1" x14ac:dyDescent="0.25">
      <c r="A15082" s="15"/>
    </row>
    <row r="15083" spans="1:1" x14ac:dyDescent="0.25">
      <c r="A15083" s="15"/>
    </row>
    <row r="15084" spans="1:1" x14ac:dyDescent="0.25">
      <c r="A15084" s="15"/>
    </row>
    <row r="15085" spans="1:1" x14ac:dyDescent="0.25">
      <c r="A15085" s="15"/>
    </row>
    <row r="15086" spans="1:1" x14ac:dyDescent="0.25">
      <c r="A15086" s="15"/>
    </row>
    <row r="15087" spans="1:1" x14ac:dyDescent="0.25">
      <c r="A15087" s="15"/>
    </row>
    <row r="15088" spans="1:1" x14ac:dyDescent="0.25">
      <c r="A15088" s="15"/>
    </row>
    <row r="15089" spans="1:1" x14ac:dyDescent="0.25">
      <c r="A15089" s="15"/>
    </row>
    <row r="15090" spans="1:1" x14ac:dyDescent="0.25">
      <c r="A15090" s="15"/>
    </row>
    <row r="15091" spans="1:1" x14ac:dyDescent="0.25">
      <c r="A15091" s="15"/>
    </row>
    <row r="15092" spans="1:1" x14ac:dyDescent="0.25">
      <c r="A15092" s="15"/>
    </row>
    <row r="15093" spans="1:1" x14ac:dyDescent="0.25">
      <c r="A15093" s="15"/>
    </row>
    <row r="15094" spans="1:1" x14ac:dyDescent="0.25">
      <c r="A15094" s="15"/>
    </row>
    <row r="15095" spans="1:1" x14ac:dyDescent="0.25">
      <c r="A15095" s="15"/>
    </row>
    <row r="15096" spans="1:1" x14ac:dyDescent="0.25">
      <c r="A15096" s="15"/>
    </row>
    <row r="15097" spans="1:1" x14ac:dyDescent="0.25">
      <c r="A15097" s="15"/>
    </row>
    <row r="15098" spans="1:1" x14ac:dyDescent="0.25">
      <c r="A15098" s="15"/>
    </row>
    <row r="15099" spans="1:1" x14ac:dyDescent="0.25">
      <c r="A15099" s="15"/>
    </row>
    <row r="15100" spans="1:1" x14ac:dyDescent="0.25">
      <c r="A15100" s="15"/>
    </row>
    <row r="15101" spans="1:1" x14ac:dyDescent="0.25">
      <c r="A15101" s="15"/>
    </row>
    <row r="15102" spans="1:1" x14ac:dyDescent="0.25">
      <c r="A15102" s="15"/>
    </row>
    <row r="15103" spans="1:1" x14ac:dyDescent="0.25">
      <c r="A15103" s="15"/>
    </row>
    <row r="15104" spans="1:1" x14ac:dyDescent="0.25">
      <c r="A15104" s="15"/>
    </row>
    <row r="15105" spans="1:1" x14ac:dyDescent="0.25">
      <c r="A15105" s="15"/>
    </row>
    <row r="15106" spans="1:1" x14ac:dyDescent="0.25">
      <c r="A15106" s="15"/>
    </row>
    <row r="15107" spans="1:1" x14ac:dyDescent="0.25">
      <c r="A15107" s="15"/>
    </row>
    <row r="15108" spans="1:1" x14ac:dyDescent="0.25">
      <c r="A15108" s="15"/>
    </row>
    <row r="15109" spans="1:1" x14ac:dyDescent="0.25">
      <c r="A15109" s="15"/>
    </row>
    <row r="15110" spans="1:1" x14ac:dyDescent="0.25">
      <c r="A15110" s="15"/>
    </row>
    <row r="15111" spans="1:1" x14ac:dyDescent="0.25">
      <c r="A15111" s="15"/>
    </row>
    <row r="15112" spans="1:1" x14ac:dyDescent="0.25">
      <c r="A15112" s="15"/>
    </row>
    <row r="15113" spans="1:1" x14ac:dyDescent="0.25">
      <c r="A15113" s="15"/>
    </row>
    <row r="15114" spans="1:1" x14ac:dyDescent="0.25">
      <c r="A15114" s="15"/>
    </row>
    <row r="15115" spans="1:1" x14ac:dyDescent="0.25">
      <c r="A15115" s="15"/>
    </row>
    <row r="15116" spans="1:1" x14ac:dyDescent="0.25">
      <c r="A15116" s="15"/>
    </row>
    <row r="15117" spans="1:1" x14ac:dyDescent="0.25">
      <c r="A15117" s="15"/>
    </row>
    <row r="15118" spans="1:1" x14ac:dyDescent="0.25">
      <c r="A15118" s="15"/>
    </row>
    <row r="15119" spans="1:1" x14ac:dyDescent="0.25">
      <c r="A15119" s="15"/>
    </row>
    <row r="15120" spans="1:1" x14ac:dyDescent="0.25">
      <c r="A15120" s="15"/>
    </row>
    <row r="15121" spans="1:1" x14ac:dyDescent="0.25">
      <c r="A15121" s="15"/>
    </row>
    <row r="15122" spans="1:1" x14ac:dyDescent="0.25">
      <c r="A15122" s="15"/>
    </row>
    <row r="15123" spans="1:1" x14ac:dyDescent="0.25">
      <c r="A15123" s="15"/>
    </row>
    <row r="15124" spans="1:1" x14ac:dyDescent="0.25">
      <c r="A15124" s="15"/>
    </row>
    <row r="15125" spans="1:1" x14ac:dyDescent="0.25">
      <c r="A15125" s="15"/>
    </row>
    <row r="15126" spans="1:1" x14ac:dyDescent="0.25">
      <c r="A15126" s="15"/>
    </row>
    <row r="15127" spans="1:1" x14ac:dyDescent="0.25">
      <c r="A15127" s="15"/>
    </row>
    <row r="15128" spans="1:1" x14ac:dyDescent="0.25">
      <c r="A15128" s="15"/>
    </row>
    <row r="15129" spans="1:1" x14ac:dyDescent="0.25">
      <c r="A15129" s="15"/>
    </row>
    <row r="15130" spans="1:1" x14ac:dyDescent="0.25">
      <c r="A15130" s="15"/>
    </row>
    <row r="15131" spans="1:1" x14ac:dyDescent="0.25">
      <c r="A15131" s="15"/>
    </row>
    <row r="15132" spans="1:1" x14ac:dyDescent="0.25">
      <c r="A15132" s="15"/>
    </row>
    <row r="15133" spans="1:1" x14ac:dyDescent="0.25">
      <c r="A15133" s="15"/>
    </row>
    <row r="15134" spans="1:1" x14ac:dyDescent="0.25">
      <c r="A15134" s="15"/>
    </row>
    <row r="15135" spans="1:1" x14ac:dyDescent="0.25">
      <c r="A15135" s="15"/>
    </row>
    <row r="15136" spans="1:1" x14ac:dyDescent="0.25">
      <c r="A15136" s="15"/>
    </row>
    <row r="15137" spans="1:1" x14ac:dyDescent="0.25">
      <c r="A15137" s="15"/>
    </row>
    <row r="15138" spans="1:1" x14ac:dyDescent="0.25">
      <c r="A15138" s="15"/>
    </row>
    <row r="15139" spans="1:1" x14ac:dyDescent="0.25">
      <c r="A15139" s="15"/>
    </row>
    <row r="15140" spans="1:1" x14ac:dyDescent="0.25">
      <c r="A15140" s="15"/>
    </row>
    <row r="15141" spans="1:1" x14ac:dyDescent="0.25">
      <c r="A15141" s="15"/>
    </row>
    <row r="15142" spans="1:1" x14ac:dyDescent="0.25">
      <c r="A15142" s="15"/>
    </row>
    <row r="15143" spans="1:1" x14ac:dyDescent="0.25">
      <c r="A15143" s="15"/>
    </row>
    <row r="15144" spans="1:1" x14ac:dyDescent="0.25">
      <c r="A15144" s="15"/>
    </row>
    <row r="15145" spans="1:1" x14ac:dyDescent="0.25">
      <c r="A15145" s="15"/>
    </row>
    <row r="15146" spans="1:1" x14ac:dyDescent="0.25">
      <c r="A15146" s="15"/>
    </row>
    <row r="15147" spans="1:1" x14ac:dyDescent="0.25">
      <c r="A15147" s="15"/>
    </row>
    <row r="15148" spans="1:1" x14ac:dyDescent="0.25">
      <c r="A15148" s="15"/>
    </row>
    <row r="15149" spans="1:1" x14ac:dyDescent="0.25">
      <c r="A15149" s="15"/>
    </row>
    <row r="15150" spans="1:1" x14ac:dyDescent="0.25">
      <c r="A15150" s="15"/>
    </row>
    <row r="15151" spans="1:1" x14ac:dyDescent="0.25">
      <c r="A15151" s="15"/>
    </row>
    <row r="15152" spans="1:1" x14ac:dyDescent="0.25">
      <c r="A15152" s="15"/>
    </row>
    <row r="15153" spans="1:1" x14ac:dyDescent="0.25">
      <c r="A15153" s="15"/>
    </row>
    <row r="15154" spans="1:1" x14ac:dyDescent="0.25">
      <c r="A15154" s="15"/>
    </row>
    <row r="15155" spans="1:1" x14ac:dyDescent="0.25">
      <c r="A15155" s="15"/>
    </row>
    <row r="15156" spans="1:1" x14ac:dyDescent="0.25">
      <c r="A15156" s="15"/>
    </row>
    <row r="15157" spans="1:1" x14ac:dyDescent="0.25">
      <c r="A15157" s="15"/>
    </row>
    <row r="15158" spans="1:1" x14ac:dyDescent="0.25">
      <c r="A15158" s="15"/>
    </row>
    <row r="15159" spans="1:1" x14ac:dyDescent="0.25">
      <c r="A15159" s="15"/>
    </row>
    <row r="15160" spans="1:1" x14ac:dyDescent="0.25">
      <c r="A15160" s="15"/>
    </row>
    <row r="15161" spans="1:1" x14ac:dyDescent="0.25">
      <c r="A15161" s="15"/>
    </row>
    <row r="15162" spans="1:1" x14ac:dyDescent="0.25">
      <c r="A15162" s="15"/>
    </row>
    <row r="15163" spans="1:1" x14ac:dyDescent="0.25">
      <c r="A15163" s="15"/>
    </row>
    <row r="15164" spans="1:1" x14ac:dyDescent="0.25">
      <c r="A15164" s="15"/>
    </row>
    <row r="15165" spans="1:1" x14ac:dyDescent="0.25">
      <c r="A15165" s="15"/>
    </row>
    <row r="15166" spans="1:1" x14ac:dyDescent="0.25">
      <c r="A15166" s="15"/>
    </row>
    <row r="15167" spans="1:1" x14ac:dyDescent="0.25">
      <c r="A15167" s="15"/>
    </row>
    <row r="15168" spans="1:1" x14ac:dyDescent="0.25">
      <c r="A15168" s="15"/>
    </row>
    <row r="15169" spans="1:1" x14ac:dyDescent="0.25">
      <c r="A15169" s="15"/>
    </row>
    <row r="15170" spans="1:1" x14ac:dyDescent="0.25">
      <c r="A15170" s="15"/>
    </row>
    <row r="15171" spans="1:1" x14ac:dyDescent="0.25">
      <c r="A15171" s="15"/>
    </row>
    <row r="15172" spans="1:1" x14ac:dyDescent="0.25">
      <c r="A15172" s="15"/>
    </row>
    <row r="15173" spans="1:1" x14ac:dyDescent="0.25">
      <c r="A15173" s="15"/>
    </row>
    <row r="15174" spans="1:1" x14ac:dyDescent="0.25">
      <c r="A15174" s="15"/>
    </row>
    <row r="15175" spans="1:1" x14ac:dyDescent="0.25">
      <c r="A15175" s="15"/>
    </row>
    <row r="15176" spans="1:1" x14ac:dyDescent="0.25">
      <c r="A15176" s="15"/>
    </row>
    <row r="15177" spans="1:1" x14ac:dyDescent="0.25">
      <c r="A15177" s="15"/>
    </row>
    <row r="15178" spans="1:1" x14ac:dyDescent="0.25">
      <c r="A15178" s="15"/>
    </row>
    <row r="15179" spans="1:1" x14ac:dyDescent="0.25">
      <c r="A15179" s="15"/>
    </row>
    <row r="15180" spans="1:1" x14ac:dyDescent="0.25">
      <c r="A15180" s="15"/>
    </row>
    <row r="15181" spans="1:1" x14ac:dyDescent="0.25">
      <c r="A15181" s="15"/>
    </row>
    <row r="15182" spans="1:1" x14ac:dyDescent="0.25">
      <c r="A15182" s="15"/>
    </row>
    <row r="15183" spans="1:1" x14ac:dyDescent="0.25">
      <c r="A15183" s="15"/>
    </row>
    <row r="15184" spans="1:1" x14ac:dyDescent="0.25">
      <c r="A15184" s="15"/>
    </row>
    <row r="15185" spans="1:1" x14ac:dyDescent="0.25">
      <c r="A15185" s="15"/>
    </row>
    <row r="15186" spans="1:1" x14ac:dyDescent="0.25">
      <c r="A15186" s="15"/>
    </row>
    <row r="15187" spans="1:1" x14ac:dyDescent="0.25">
      <c r="A15187" s="15"/>
    </row>
    <row r="15188" spans="1:1" x14ac:dyDescent="0.25">
      <c r="A15188" s="15"/>
    </row>
    <row r="15189" spans="1:1" x14ac:dyDescent="0.25">
      <c r="A15189" s="15"/>
    </row>
    <row r="15190" spans="1:1" x14ac:dyDescent="0.25">
      <c r="A15190" s="15"/>
    </row>
    <row r="15191" spans="1:1" x14ac:dyDescent="0.25">
      <c r="A15191" s="15"/>
    </row>
    <row r="15192" spans="1:1" x14ac:dyDescent="0.25">
      <c r="A15192" s="15"/>
    </row>
    <row r="15193" spans="1:1" x14ac:dyDescent="0.25">
      <c r="A15193" s="15"/>
    </row>
    <row r="15194" spans="1:1" x14ac:dyDescent="0.25">
      <c r="A15194" s="15"/>
    </row>
    <row r="15195" spans="1:1" x14ac:dyDescent="0.25">
      <c r="A15195" s="15"/>
    </row>
    <row r="15196" spans="1:1" x14ac:dyDescent="0.25">
      <c r="A15196" s="15"/>
    </row>
    <row r="15197" spans="1:1" x14ac:dyDescent="0.25">
      <c r="A15197" s="15"/>
    </row>
    <row r="15198" spans="1:1" x14ac:dyDescent="0.25">
      <c r="A15198" s="15"/>
    </row>
    <row r="15199" spans="1:1" x14ac:dyDescent="0.25">
      <c r="A15199" s="15"/>
    </row>
    <row r="15200" spans="1:1" x14ac:dyDescent="0.25">
      <c r="A15200" s="15"/>
    </row>
    <row r="15201" spans="1:1" x14ac:dyDescent="0.25">
      <c r="A15201" s="15"/>
    </row>
    <row r="15202" spans="1:1" x14ac:dyDescent="0.25">
      <c r="A15202" s="15"/>
    </row>
    <row r="15203" spans="1:1" x14ac:dyDescent="0.25">
      <c r="A15203" s="15"/>
    </row>
    <row r="15204" spans="1:1" x14ac:dyDescent="0.25">
      <c r="A15204" s="15"/>
    </row>
    <row r="15205" spans="1:1" x14ac:dyDescent="0.25">
      <c r="A15205" s="15"/>
    </row>
    <row r="15206" spans="1:1" x14ac:dyDescent="0.25">
      <c r="A15206" s="15"/>
    </row>
    <row r="15207" spans="1:1" x14ac:dyDescent="0.25">
      <c r="A15207" s="15"/>
    </row>
    <row r="15208" spans="1:1" x14ac:dyDescent="0.25">
      <c r="A15208" s="15"/>
    </row>
    <row r="15209" spans="1:1" x14ac:dyDescent="0.25">
      <c r="A15209" s="15"/>
    </row>
    <row r="15210" spans="1:1" x14ac:dyDescent="0.25">
      <c r="A15210" s="15"/>
    </row>
    <row r="15211" spans="1:1" x14ac:dyDescent="0.25">
      <c r="A15211" s="15"/>
    </row>
    <row r="15212" spans="1:1" x14ac:dyDescent="0.25">
      <c r="A15212" s="15"/>
    </row>
    <row r="15213" spans="1:1" x14ac:dyDescent="0.25">
      <c r="A15213" s="15"/>
    </row>
    <row r="15214" spans="1:1" x14ac:dyDescent="0.25">
      <c r="A15214" s="15"/>
    </row>
    <row r="15215" spans="1:1" x14ac:dyDescent="0.25">
      <c r="A15215" s="15"/>
    </row>
    <row r="15216" spans="1:1" x14ac:dyDescent="0.25">
      <c r="A15216" s="15"/>
    </row>
    <row r="15217" spans="1:1" x14ac:dyDescent="0.25">
      <c r="A15217" s="15"/>
    </row>
    <row r="15218" spans="1:1" x14ac:dyDescent="0.25">
      <c r="A15218" s="15"/>
    </row>
    <row r="15219" spans="1:1" x14ac:dyDescent="0.25">
      <c r="A15219" s="15"/>
    </row>
    <row r="15220" spans="1:1" x14ac:dyDescent="0.25">
      <c r="A15220" s="15"/>
    </row>
    <row r="15221" spans="1:1" x14ac:dyDescent="0.25">
      <c r="A15221" s="15"/>
    </row>
    <row r="15222" spans="1:1" x14ac:dyDescent="0.25">
      <c r="A15222" s="15"/>
    </row>
    <row r="15223" spans="1:1" x14ac:dyDescent="0.25">
      <c r="A15223" s="15"/>
    </row>
    <row r="15224" spans="1:1" x14ac:dyDescent="0.25">
      <c r="A15224" s="15"/>
    </row>
    <row r="15225" spans="1:1" x14ac:dyDescent="0.25">
      <c r="A15225" s="15"/>
    </row>
    <row r="15226" spans="1:1" x14ac:dyDescent="0.25">
      <c r="A15226" s="15"/>
    </row>
    <row r="15227" spans="1:1" x14ac:dyDescent="0.25">
      <c r="A15227" s="15"/>
    </row>
    <row r="15228" spans="1:1" x14ac:dyDescent="0.25">
      <c r="A15228" s="15"/>
    </row>
    <row r="15229" spans="1:1" x14ac:dyDescent="0.25">
      <c r="A15229" s="15"/>
    </row>
    <row r="15230" spans="1:1" x14ac:dyDescent="0.25">
      <c r="A15230" s="15"/>
    </row>
    <row r="15231" spans="1:1" x14ac:dyDescent="0.25">
      <c r="A15231" s="15"/>
    </row>
    <row r="15232" spans="1:1" x14ac:dyDescent="0.25">
      <c r="A15232" s="15"/>
    </row>
    <row r="15233" spans="1:1" x14ac:dyDescent="0.25">
      <c r="A15233" s="15"/>
    </row>
    <row r="15234" spans="1:1" x14ac:dyDescent="0.25">
      <c r="A15234" s="15"/>
    </row>
    <row r="15235" spans="1:1" x14ac:dyDescent="0.25">
      <c r="A15235" s="15"/>
    </row>
    <row r="15236" spans="1:1" x14ac:dyDescent="0.25">
      <c r="A15236" s="15"/>
    </row>
    <row r="15237" spans="1:1" x14ac:dyDescent="0.25">
      <c r="A15237" s="15"/>
    </row>
    <row r="15238" spans="1:1" x14ac:dyDescent="0.25">
      <c r="A15238" s="15"/>
    </row>
    <row r="15239" spans="1:1" x14ac:dyDescent="0.25">
      <c r="A15239" s="15"/>
    </row>
    <row r="15240" spans="1:1" x14ac:dyDescent="0.25">
      <c r="A15240" s="15"/>
    </row>
    <row r="15241" spans="1:1" x14ac:dyDescent="0.25">
      <c r="A15241" s="15"/>
    </row>
    <row r="15242" spans="1:1" x14ac:dyDescent="0.25">
      <c r="A15242" s="15"/>
    </row>
    <row r="15243" spans="1:1" x14ac:dyDescent="0.25">
      <c r="A15243" s="15"/>
    </row>
    <row r="15244" spans="1:1" x14ac:dyDescent="0.25">
      <c r="A15244" s="15"/>
    </row>
    <row r="15245" spans="1:1" x14ac:dyDescent="0.25">
      <c r="A15245" s="15"/>
    </row>
    <row r="15246" spans="1:1" x14ac:dyDescent="0.25">
      <c r="A15246" s="15"/>
    </row>
    <row r="15247" spans="1:1" x14ac:dyDescent="0.25">
      <c r="A15247" s="15"/>
    </row>
    <row r="15248" spans="1:1" x14ac:dyDescent="0.25">
      <c r="A15248" s="15"/>
    </row>
    <row r="15249" spans="1:1" x14ac:dyDescent="0.25">
      <c r="A15249" s="15"/>
    </row>
    <row r="15250" spans="1:1" x14ac:dyDescent="0.25">
      <c r="A15250" s="15"/>
    </row>
    <row r="15251" spans="1:1" x14ac:dyDescent="0.25">
      <c r="A15251" s="15"/>
    </row>
    <row r="15252" spans="1:1" x14ac:dyDescent="0.25">
      <c r="A15252" s="15"/>
    </row>
    <row r="15253" spans="1:1" x14ac:dyDescent="0.25">
      <c r="A15253" s="15"/>
    </row>
    <row r="15254" spans="1:1" x14ac:dyDescent="0.25">
      <c r="A15254" s="15"/>
    </row>
    <row r="15255" spans="1:1" x14ac:dyDescent="0.25">
      <c r="A15255" s="15"/>
    </row>
    <row r="15256" spans="1:1" x14ac:dyDescent="0.25">
      <c r="A15256" s="15"/>
    </row>
    <row r="15257" spans="1:1" x14ac:dyDescent="0.25">
      <c r="A15257" s="15"/>
    </row>
    <row r="15258" spans="1:1" x14ac:dyDescent="0.25">
      <c r="A15258" s="15"/>
    </row>
    <row r="15259" spans="1:1" x14ac:dyDescent="0.25">
      <c r="A15259" s="15"/>
    </row>
    <row r="15260" spans="1:1" x14ac:dyDescent="0.25">
      <c r="A15260" s="15"/>
    </row>
    <row r="15261" spans="1:1" x14ac:dyDescent="0.25">
      <c r="A15261" s="15"/>
    </row>
    <row r="15262" spans="1:1" x14ac:dyDescent="0.25">
      <c r="A15262" s="15"/>
    </row>
    <row r="15263" spans="1:1" x14ac:dyDescent="0.25">
      <c r="A15263" s="15"/>
    </row>
    <row r="15264" spans="1:1" x14ac:dyDescent="0.25">
      <c r="A15264" s="15"/>
    </row>
    <row r="15265" spans="1:1" x14ac:dyDescent="0.25">
      <c r="A15265" s="15"/>
    </row>
    <row r="15266" spans="1:1" x14ac:dyDescent="0.25">
      <c r="A15266" s="15"/>
    </row>
    <row r="15267" spans="1:1" x14ac:dyDescent="0.25">
      <c r="A15267" s="15"/>
    </row>
    <row r="15268" spans="1:1" x14ac:dyDescent="0.25">
      <c r="A15268" s="15"/>
    </row>
    <row r="15269" spans="1:1" x14ac:dyDescent="0.25">
      <c r="A15269" s="15"/>
    </row>
    <row r="15270" spans="1:1" x14ac:dyDescent="0.25">
      <c r="A15270" s="15"/>
    </row>
    <row r="15271" spans="1:1" x14ac:dyDescent="0.25">
      <c r="A15271" s="15"/>
    </row>
    <row r="15272" spans="1:1" x14ac:dyDescent="0.25">
      <c r="A15272" s="15"/>
    </row>
    <row r="15273" spans="1:1" x14ac:dyDescent="0.25">
      <c r="A15273" s="15"/>
    </row>
    <row r="15274" spans="1:1" x14ac:dyDescent="0.25">
      <c r="A15274" s="15"/>
    </row>
    <row r="15275" spans="1:1" x14ac:dyDescent="0.25">
      <c r="A15275" s="15"/>
    </row>
    <row r="15276" spans="1:1" x14ac:dyDescent="0.25">
      <c r="A15276" s="15"/>
    </row>
    <row r="15277" spans="1:1" x14ac:dyDescent="0.25">
      <c r="A15277" s="15"/>
    </row>
    <row r="15278" spans="1:1" x14ac:dyDescent="0.25">
      <c r="A15278" s="15"/>
    </row>
    <row r="15279" spans="1:1" x14ac:dyDescent="0.25">
      <c r="A15279" s="15"/>
    </row>
    <row r="15280" spans="1:1" x14ac:dyDescent="0.25">
      <c r="A15280" s="15"/>
    </row>
    <row r="15281" spans="1:1" x14ac:dyDescent="0.25">
      <c r="A15281" s="15"/>
    </row>
    <row r="15282" spans="1:1" x14ac:dyDescent="0.25">
      <c r="A15282" s="15"/>
    </row>
    <row r="15283" spans="1:1" x14ac:dyDescent="0.25">
      <c r="A15283" s="15"/>
    </row>
    <row r="15284" spans="1:1" x14ac:dyDescent="0.25">
      <c r="A15284" s="15"/>
    </row>
    <row r="15285" spans="1:1" x14ac:dyDescent="0.25">
      <c r="A15285" s="15"/>
    </row>
    <row r="15286" spans="1:1" x14ac:dyDescent="0.25">
      <c r="A15286" s="15"/>
    </row>
    <row r="15287" spans="1:1" x14ac:dyDescent="0.25">
      <c r="A15287" s="15"/>
    </row>
    <row r="15288" spans="1:1" x14ac:dyDescent="0.25">
      <c r="A15288" s="15"/>
    </row>
    <row r="15289" spans="1:1" x14ac:dyDescent="0.25">
      <c r="A15289" s="15"/>
    </row>
    <row r="15290" spans="1:1" x14ac:dyDescent="0.25">
      <c r="A15290" s="15"/>
    </row>
    <row r="15291" spans="1:1" x14ac:dyDescent="0.25">
      <c r="A15291" s="15"/>
    </row>
    <row r="15292" spans="1:1" x14ac:dyDescent="0.25">
      <c r="A15292" s="15"/>
    </row>
    <row r="15293" spans="1:1" x14ac:dyDescent="0.25">
      <c r="A15293" s="15"/>
    </row>
    <row r="15294" spans="1:1" x14ac:dyDescent="0.25">
      <c r="A15294" s="15"/>
    </row>
    <row r="15295" spans="1:1" x14ac:dyDescent="0.25">
      <c r="A15295" s="15"/>
    </row>
    <row r="15296" spans="1:1" x14ac:dyDescent="0.25">
      <c r="A15296" s="15"/>
    </row>
    <row r="15297" spans="1:1" x14ac:dyDescent="0.25">
      <c r="A15297" s="15"/>
    </row>
    <row r="15298" spans="1:1" x14ac:dyDescent="0.25">
      <c r="A15298" s="15"/>
    </row>
    <row r="15299" spans="1:1" x14ac:dyDescent="0.25">
      <c r="A15299" s="15"/>
    </row>
    <row r="15300" spans="1:1" x14ac:dyDescent="0.25">
      <c r="A15300" s="15"/>
    </row>
    <row r="15301" spans="1:1" x14ac:dyDescent="0.25">
      <c r="A15301" s="15"/>
    </row>
    <row r="15302" spans="1:1" x14ac:dyDescent="0.25">
      <c r="A15302" s="15"/>
    </row>
    <row r="15303" spans="1:1" x14ac:dyDescent="0.25">
      <c r="A15303" s="15"/>
    </row>
    <row r="15304" spans="1:1" x14ac:dyDescent="0.25">
      <c r="A15304" s="15"/>
    </row>
    <row r="15305" spans="1:1" x14ac:dyDescent="0.25">
      <c r="A15305" s="15"/>
    </row>
    <row r="15306" spans="1:1" x14ac:dyDescent="0.25">
      <c r="A15306" s="15"/>
    </row>
    <row r="15307" spans="1:1" x14ac:dyDescent="0.25">
      <c r="A15307" s="15"/>
    </row>
    <row r="15308" spans="1:1" x14ac:dyDescent="0.25">
      <c r="A15308" s="15"/>
    </row>
    <row r="15309" spans="1:1" x14ac:dyDescent="0.25">
      <c r="A15309" s="15"/>
    </row>
    <row r="15310" spans="1:1" x14ac:dyDescent="0.25">
      <c r="A15310" s="15"/>
    </row>
    <row r="15311" spans="1:1" x14ac:dyDescent="0.25">
      <c r="A15311" s="15"/>
    </row>
    <row r="15312" spans="1:1" x14ac:dyDescent="0.25">
      <c r="A15312" s="15"/>
    </row>
    <row r="15313" spans="1:1" x14ac:dyDescent="0.25">
      <c r="A15313" s="15"/>
    </row>
    <row r="15314" spans="1:1" x14ac:dyDescent="0.25">
      <c r="A15314" s="15"/>
    </row>
    <row r="15315" spans="1:1" x14ac:dyDescent="0.25">
      <c r="A15315" s="15"/>
    </row>
    <row r="15316" spans="1:1" x14ac:dyDescent="0.25">
      <c r="A15316" s="15"/>
    </row>
    <row r="15317" spans="1:1" x14ac:dyDescent="0.25">
      <c r="A15317" s="15"/>
    </row>
    <row r="15318" spans="1:1" x14ac:dyDescent="0.25">
      <c r="A15318" s="15"/>
    </row>
    <row r="15319" spans="1:1" x14ac:dyDescent="0.25">
      <c r="A15319" s="15"/>
    </row>
    <row r="15320" spans="1:1" x14ac:dyDescent="0.25">
      <c r="A15320" s="15"/>
    </row>
    <row r="15321" spans="1:1" x14ac:dyDescent="0.25">
      <c r="A15321" s="15"/>
    </row>
    <row r="15322" spans="1:1" x14ac:dyDescent="0.25">
      <c r="A15322" s="15"/>
    </row>
    <row r="15323" spans="1:1" x14ac:dyDescent="0.25">
      <c r="A15323" s="15"/>
    </row>
    <row r="15324" spans="1:1" x14ac:dyDescent="0.25">
      <c r="A15324" s="15"/>
    </row>
    <row r="15325" spans="1:1" x14ac:dyDescent="0.25">
      <c r="A15325" s="15"/>
    </row>
    <row r="15326" spans="1:1" x14ac:dyDescent="0.25">
      <c r="A15326" s="15"/>
    </row>
    <row r="15327" spans="1:1" x14ac:dyDescent="0.25">
      <c r="A15327" s="15"/>
    </row>
    <row r="15328" spans="1:1" x14ac:dyDescent="0.25">
      <c r="A15328" s="15"/>
    </row>
    <row r="15329" spans="1:1" x14ac:dyDescent="0.25">
      <c r="A15329" s="15"/>
    </row>
    <row r="15330" spans="1:1" x14ac:dyDescent="0.25">
      <c r="A15330" s="15"/>
    </row>
    <row r="15331" spans="1:1" x14ac:dyDescent="0.25">
      <c r="A15331" s="15"/>
    </row>
    <row r="15332" spans="1:1" x14ac:dyDescent="0.25">
      <c r="A15332" s="15"/>
    </row>
    <row r="15333" spans="1:1" x14ac:dyDescent="0.25">
      <c r="A15333" s="15"/>
    </row>
    <row r="15334" spans="1:1" x14ac:dyDescent="0.25">
      <c r="A15334" s="15"/>
    </row>
    <row r="15335" spans="1:1" x14ac:dyDescent="0.25">
      <c r="A15335" s="15"/>
    </row>
    <row r="15336" spans="1:1" x14ac:dyDescent="0.25">
      <c r="A15336" s="15"/>
    </row>
    <row r="15337" spans="1:1" x14ac:dyDescent="0.25">
      <c r="A15337" s="15"/>
    </row>
    <row r="15338" spans="1:1" x14ac:dyDescent="0.25">
      <c r="A15338" s="15"/>
    </row>
    <row r="15339" spans="1:1" x14ac:dyDescent="0.25">
      <c r="A15339" s="15"/>
    </row>
    <row r="15340" spans="1:1" x14ac:dyDescent="0.25">
      <c r="A15340" s="15"/>
    </row>
    <row r="15341" spans="1:1" x14ac:dyDescent="0.25">
      <c r="A15341" s="15"/>
    </row>
    <row r="15342" spans="1:1" x14ac:dyDescent="0.25">
      <c r="A15342" s="15"/>
    </row>
    <row r="15343" spans="1:1" x14ac:dyDescent="0.25">
      <c r="A15343" s="15"/>
    </row>
    <row r="15344" spans="1:1" x14ac:dyDescent="0.25">
      <c r="A15344" s="15"/>
    </row>
    <row r="15345" spans="1:1" x14ac:dyDescent="0.25">
      <c r="A15345" s="15"/>
    </row>
    <row r="15346" spans="1:1" x14ac:dyDescent="0.25">
      <c r="A15346" s="15"/>
    </row>
    <row r="15347" spans="1:1" x14ac:dyDescent="0.25">
      <c r="A15347" s="15"/>
    </row>
    <row r="15348" spans="1:1" x14ac:dyDescent="0.25">
      <c r="A15348" s="15"/>
    </row>
    <row r="15349" spans="1:1" x14ac:dyDescent="0.25">
      <c r="A15349" s="15"/>
    </row>
    <row r="15350" spans="1:1" x14ac:dyDescent="0.25">
      <c r="A15350" s="15"/>
    </row>
    <row r="15351" spans="1:1" x14ac:dyDescent="0.25">
      <c r="A15351" s="15"/>
    </row>
    <row r="15352" spans="1:1" x14ac:dyDescent="0.25">
      <c r="A15352" s="15"/>
    </row>
    <row r="15353" spans="1:1" x14ac:dyDescent="0.25">
      <c r="A15353" s="15"/>
    </row>
    <row r="15354" spans="1:1" x14ac:dyDescent="0.25">
      <c r="A15354" s="15"/>
    </row>
    <row r="15355" spans="1:1" x14ac:dyDescent="0.25">
      <c r="A15355" s="15"/>
    </row>
    <row r="15356" spans="1:1" x14ac:dyDescent="0.25">
      <c r="A15356" s="15"/>
    </row>
    <row r="15357" spans="1:1" x14ac:dyDescent="0.25">
      <c r="A15357" s="15"/>
    </row>
    <row r="15358" spans="1:1" x14ac:dyDescent="0.25">
      <c r="A15358" s="15"/>
    </row>
    <row r="15359" spans="1:1" x14ac:dyDescent="0.25">
      <c r="A15359" s="15"/>
    </row>
    <row r="15360" spans="1:1" x14ac:dyDescent="0.25">
      <c r="A15360" s="15"/>
    </row>
    <row r="15361" spans="1:1" x14ac:dyDescent="0.25">
      <c r="A15361" s="15"/>
    </row>
    <row r="15362" spans="1:1" x14ac:dyDescent="0.25">
      <c r="A15362" s="15"/>
    </row>
    <row r="15363" spans="1:1" x14ac:dyDescent="0.25">
      <c r="A15363" s="15"/>
    </row>
    <row r="15364" spans="1:1" x14ac:dyDescent="0.25">
      <c r="A15364" s="15"/>
    </row>
    <row r="15365" spans="1:1" x14ac:dyDescent="0.25">
      <c r="A15365" s="15"/>
    </row>
    <row r="15366" spans="1:1" x14ac:dyDescent="0.25">
      <c r="A15366" s="15"/>
    </row>
    <row r="15367" spans="1:1" x14ac:dyDescent="0.25">
      <c r="A15367" s="15"/>
    </row>
    <row r="15368" spans="1:1" x14ac:dyDescent="0.25">
      <c r="A15368" s="15"/>
    </row>
    <row r="15369" spans="1:1" x14ac:dyDescent="0.25">
      <c r="A15369" s="15"/>
    </row>
    <row r="15370" spans="1:1" x14ac:dyDescent="0.25">
      <c r="A15370" s="15"/>
    </row>
    <row r="15371" spans="1:1" x14ac:dyDescent="0.25">
      <c r="A15371" s="15"/>
    </row>
    <row r="15372" spans="1:1" x14ac:dyDescent="0.25">
      <c r="A15372" s="15"/>
    </row>
    <row r="15373" spans="1:1" x14ac:dyDescent="0.25">
      <c r="A15373" s="15"/>
    </row>
    <row r="15374" spans="1:1" x14ac:dyDescent="0.25">
      <c r="A15374" s="15"/>
    </row>
    <row r="15375" spans="1:1" x14ac:dyDescent="0.25">
      <c r="A15375" s="15"/>
    </row>
    <row r="15376" spans="1:1" x14ac:dyDescent="0.25">
      <c r="A15376" s="15"/>
    </row>
    <row r="15377" spans="1:1" x14ac:dyDescent="0.25">
      <c r="A15377" s="15"/>
    </row>
    <row r="15378" spans="1:1" x14ac:dyDescent="0.25">
      <c r="A15378" s="15"/>
    </row>
    <row r="15379" spans="1:1" x14ac:dyDescent="0.25">
      <c r="A15379" s="15"/>
    </row>
    <row r="15380" spans="1:1" x14ac:dyDescent="0.25">
      <c r="A15380" s="15"/>
    </row>
    <row r="15381" spans="1:1" x14ac:dyDescent="0.25">
      <c r="A15381" s="15"/>
    </row>
    <row r="15382" spans="1:1" x14ac:dyDescent="0.25">
      <c r="A15382" s="15"/>
    </row>
    <row r="15383" spans="1:1" x14ac:dyDescent="0.25">
      <c r="A15383" s="15"/>
    </row>
    <row r="15384" spans="1:1" x14ac:dyDescent="0.25">
      <c r="A15384" s="15"/>
    </row>
    <row r="15385" spans="1:1" x14ac:dyDescent="0.25">
      <c r="A15385" s="15"/>
    </row>
    <row r="15386" spans="1:1" x14ac:dyDescent="0.25">
      <c r="A15386" s="15"/>
    </row>
    <row r="15387" spans="1:1" x14ac:dyDescent="0.25">
      <c r="A15387" s="15"/>
    </row>
    <row r="15388" spans="1:1" x14ac:dyDescent="0.25">
      <c r="A15388" s="15"/>
    </row>
    <row r="15389" spans="1:1" x14ac:dyDescent="0.25">
      <c r="A15389" s="15"/>
    </row>
    <row r="15390" spans="1:1" x14ac:dyDescent="0.25">
      <c r="A15390" s="15"/>
    </row>
    <row r="15391" spans="1:1" x14ac:dyDescent="0.25">
      <c r="A15391" s="15"/>
    </row>
    <row r="15392" spans="1:1" x14ac:dyDescent="0.25">
      <c r="A15392" s="15"/>
    </row>
    <row r="15393" spans="1:1" x14ac:dyDescent="0.25">
      <c r="A15393" s="15"/>
    </row>
    <row r="15394" spans="1:1" x14ac:dyDescent="0.25">
      <c r="A15394" s="15"/>
    </row>
    <row r="15395" spans="1:1" x14ac:dyDescent="0.25">
      <c r="A15395" s="15"/>
    </row>
    <row r="15396" spans="1:1" x14ac:dyDescent="0.25">
      <c r="A15396" s="15"/>
    </row>
    <row r="15397" spans="1:1" x14ac:dyDescent="0.25">
      <c r="A15397" s="15"/>
    </row>
    <row r="15398" spans="1:1" x14ac:dyDescent="0.25">
      <c r="A15398" s="15"/>
    </row>
    <row r="15399" spans="1:1" x14ac:dyDescent="0.25">
      <c r="A15399" s="15"/>
    </row>
    <row r="15400" spans="1:1" x14ac:dyDescent="0.25">
      <c r="A15400" s="15"/>
    </row>
    <row r="15401" spans="1:1" x14ac:dyDescent="0.25">
      <c r="A15401" s="15"/>
    </row>
    <row r="15402" spans="1:1" x14ac:dyDescent="0.25">
      <c r="A15402" s="15"/>
    </row>
    <row r="15403" spans="1:1" x14ac:dyDescent="0.25">
      <c r="A15403" s="15"/>
    </row>
    <row r="15404" spans="1:1" x14ac:dyDescent="0.25">
      <c r="A15404" s="15"/>
    </row>
    <row r="15405" spans="1:1" x14ac:dyDescent="0.25">
      <c r="A15405" s="15"/>
    </row>
    <row r="15406" spans="1:1" x14ac:dyDescent="0.25">
      <c r="A15406" s="15"/>
    </row>
    <row r="15407" spans="1:1" x14ac:dyDescent="0.25">
      <c r="A15407" s="15"/>
    </row>
    <row r="15408" spans="1:1" x14ac:dyDescent="0.25">
      <c r="A15408" s="15"/>
    </row>
    <row r="15409" spans="1:1" x14ac:dyDescent="0.25">
      <c r="A15409" s="15"/>
    </row>
    <row r="15410" spans="1:1" x14ac:dyDescent="0.25">
      <c r="A15410" s="15"/>
    </row>
    <row r="15411" spans="1:1" x14ac:dyDescent="0.25">
      <c r="A15411" s="15"/>
    </row>
    <row r="15412" spans="1:1" x14ac:dyDescent="0.25">
      <c r="A15412" s="15"/>
    </row>
    <row r="15413" spans="1:1" x14ac:dyDescent="0.25">
      <c r="A15413" s="15"/>
    </row>
    <row r="15414" spans="1:1" x14ac:dyDescent="0.25">
      <c r="A15414" s="15"/>
    </row>
    <row r="15415" spans="1:1" x14ac:dyDescent="0.25">
      <c r="A15415" s="15"/>
    </row>
    <row r="15416" spans="1:1" x14ac:dyDescent="0.25">
      <c r="A15416" s="15"/>
    </row>
    <row r="15417" spans="1:1" x14ac:dyDescent="0.25">
      <c r="A15417" s="15"/>
    </row>
    <row r="15418" spans="1:1" x14ac:dyDescent="0.25">
      <c r="A15418" s="15"/>
    </row>
    <row r="15419" spans="1:1" x14ac:dyDescent="0.25">
      <c r="A15419" s="15"/>
    </row>
    <row r="15420" spans="1:1" x14ac:dyDescent="0.25">
      <c r="A15420" s="15"/>
    </row>
    <row r="15421" spans="1:1" x14ac:dyDescent="0.25">
      <c r="A15421" s="15"/>
    </row>
    <row r="15422" spans="1:1" x14ac:dyDescent="0.25">
      <c r="A15422" s="15"/>
    </row>
    <row r="15423" spans="1:1" x14ac:dyDescent="0.25">
      <c r="A15423" s="15"/>
    </row>
    <row r="15424" spans="1:1" x14ac:dyDescent="0.25">
      <c r="A15424" s="15"/>
    </row>
    <row r="15425" spans="1:1" x14ac:dyDescent="0.25">
      <c r="A15425" s="15"/>
    </row>
    <row r="15426" spans="1:1" x14ac:dyDescent="0.25">
      <c r="A15426" s="15"/>
    </row>
    <row r="15427" spans="1:1" x14ac:dyDescent="0.25">
      <c r="A15427" s="15"/>
    </row>
    <row r="15428" spans="1:1" x14ac:dyDescent="0.25">
      <c r="A15428" s="15"/>
    </row>
    <row r="15429" spans="1:1" x14ac:dyDescent="0.25">
      <c r="A15429" s="15"/>
    </row>
    <row r="15430" spans="1:1" x14ac:dyDescent="0.25">
      <c r="A15430" s="15"/>
    </row>
    <row r="15431" spans="1:1" x14ac:dyDescent="0.25">
      <c r="A15431" s="15"/>
    </row>
    <row r="15432" spans="1:1" x14ac:dyDescent="0.25">
      <c r="A15432" s="15"/>
    </row>
    <row r="15433" spans="1:1" x14ac:dyDescent="0.25">
      <c r="A15433" s="15"/>
    </row>
    <row r="15434" spans="1:1" x14ac:dyDescent="0.25">
      <c r="A15434" s="15"/>
    </row>
    <row r="15435" spans="1:1" x14ac:dyDescent="0.25">
      <c r="A15435" s="15"/>
    </row>
    <row r="15436" spans="1:1" x14ac:dyDescent="0.25">
      <c r="A15436" s="15"/>
    </row>
    <row r="15437" spans="1:1" x14ac:dyDescent="0.25">
      <c r="A15437" s="15"/>
    </row>
    <row r="15438" spans="1:1" x14ac:dyDescent="0.25">
      <c r="A15438" s="15"/>
    </row>
    <row r="15439" spans="1:1" x14ac:dyDescent="0.25">
      <c r="A15439" s="15"/>
    </row>
    <row r="15440" spans="1:1" x14ac:dyDescent="0.25">
      <c r="A15440" s="15"/>
    </row>
    <row r="15441" spans="1:1" x14ac:dyDescent="0.25">
      <c r="A15441" s="15"/>
    </row>
    <row r="15442" spans="1:1" x14ac:dyDescent="0.25">
      <c r="A15442" s="15"/>
    </row>
    <row r="15443" spans="1:1" x14ac:dyDescent="0.25">
      <c r="A15443" s="15"/>
    </row>
    <row r="15444" spans="1:1" x14ac:dyDescent="0.25">
      <c r="A15444" s="15"/>
    </row>
    <row r="15445" spans="1:1" x14ac:dyDescent="0.25">
      <c r="A15445" s="15"/>
    </row>
    <row r="15446" spans="1:1" x14ac:dyDescent="0.25">
      <c r="A15446" s="15"/>
    </row>
    <row r="15447" spans="1:1" x14ac:dyDescent="0.25">
      <c r="A15447" s="15"/>
    </row>
    <row r="15448" spans="1:1" x14ac:dyDescent="0.25">
      <c r="A15448" s="15"/>
    </row>
    <row r="15449" spans="1:1" x14ac:dyDescent="0.25">
      <c r="A15449" s="15"/>
    </row>
    <row r="15450" spans="1:1" x14ac:dyDescent="0.25">
      <c r="A15450" s="15"/>
    </row>
    <row r="15451" spans="1:1" x14ac:dyDescent="0.25">
      <c r="A15451" s="15"/>
    </row>
    <row r="15452" spans="1:1" x14ac:dyDescent="0.25">
      <c r="A15452" s="15"/>
    </row>
    <row r="15453" spans="1:1" x14ac:dyDescent="0.25">
      <c r="A15453" s="15"/>
    </row>
    <row r="15454" spans="1:1" x14ac:dyDescent="0.25">
      <c r="A15454" s="15"/>
    </row>
    <row r="15455" spans="1:1" x14ac:dyDescent="0.25">
      <c r="A15455" s="15"/>
    </row>
    <row r="15456" spans="1:1" x14ac:dyDescent="0.25">
      <c r="A15456" s="15"/>
    </row>
    <row r="15457" spans="1:1" x14ac:dyDescent="0.25">
      <c r="A15457" s="15"/>
    </row>
    <row r="15458" spans="1:1" x14ac:dyDescent="0.25">
      <c r="A15458" s="15"/>
    </row>
    <row r="15459" spans="1:1" x14ac:dyDescent="0.25">
      <c r="A15459" s="15"/>
    </row>
    <row r="15460" spans="1:1" x14ac:dyDescent="0.25">
      <c r="A15460" s="15"/>
    </row>
    <row r="15461" spans="1:1" x14ac:dyDescent="0.25">
      <c r="A15461" s="15"/>
    </row>
    <row r="15462" spans="1:1" x14ac:dyDescent="0.25">
      <c r="A15462" s="15"/>
    </row>
    <row r="15463" spans="1:1" x14ac:dyDescent="0.25">
      <c r="A15463" s="15"/>
    </row>
    <row r="15464" spans="1:1" x14ac:dyDescent="0.25">
      <c r="A15464" s="15"/>
    </row>
    <row r="15465" spans="1:1" x14ac:dyDescent="0.25">
      <c r="A15465" s="15"/>
    </row>
    <row r="15466" spans="1:1" x14ac:dyDescent="0.25">
      <c r="A15466" s="15"/>
    </row>
    <row r="15467" spans="1:1" x14ac:dyDescent="0.25">
      <c r="A15467" s="15"/>
    </row>
    <row r="15468" spans="1:1" x14ac:dyDescent="0.25">
      <c r="A15468" s="15"/>
    </row>
    <row r="15469" spans="1:1" x14ac:dyDescent="0.25">
      <c r="A15469" s="15"/>
    </row>
    <row r="15470" spans="1:1" x14ac:dyDescent="0.25">
      <c r="A15470" s="15"/>
    </row>
    <row r="15471" spans="1:1" x14ac:dyDescent="0.25">
      <c r="A15471" s="15"/>
    </row>
    <row r="15472" spans="1:1" x14ac:dyDescent="0.25">
      <c r="A15472" s="15"/>
    </row>
    <row r="15473" spans="1:1" x14ac:dyDescent="0.25">
      <c r="A15473" s="15"/>
    </row>
    <row r="15474" spans="1:1" x14ac:dyDescent="0.25">
      <c r="A15474" s="15"/>
    </row>
    <row r="15475" spans="1:1" x14ac:dyDescent="0.25">
      <c r="A15475" s="15"/>
    </row>
    <row r="15476" spans="1:1" x14ac:dyDescent="0.25">
      <c r="A15476" s="15"/>
    </row>
    <row r="15477" spans="1:1" x14ac:dyDescent="0.25">
      <c r="A15477" s="15"/>
    </row>
    <row r="15478" spans="1:1" x14ac:dyDescent="0.25">
      <c r="A15478" s="15"/>
    </row>
    <row r="15479" spans="1:1" x14ac:dyDescent="0.25">
      <c r="A15479" s="15"/>
    </row>
    <row r="15480" spans="1:1" x14ac:dyDescent="0.25">
      <c r="A15480" s="15"/>
    </row>
    <row r="15481" spans="1:1" x14ac:dyDescent="0.25">
      <c r="A15481" s="15"/>
    </row>
    <row r="15482" spans="1:1" x14ac:dyDescent="0.25">
      <c r="A15482" s="15"/>
    </row>
    <row r="15483" spans="1:1" x14ac:dyDescent="0.25">
      <c r="A15483" s="15"/>
    </row>
    <row r="15484" spans="1:1" x14ac:dyDescent="0.25">
      <c r="A15484" s="15"/>
    </row>
    <row r="15485" spans="1:1" x14ac:dyDescent="0.25">
      <c r="A15485" s="15"/>
    </row>
    <row r="15486" spans="1:1" x14ac:dyDescent="0.25">
      <c r="A15486" s="15"/>
    </row>
    <row r="15487" spans="1:1" x14ac:dyDescent="0.25">
      <c r="A15487" s="15"/>
    </row>
    <row r="15488" spans="1:1" x14ac:dyDescent="0.25">
      <c r="A15488" s="15"/>
    </row>
    <row r="15489" spans="1:1" x14ac:dyDescent="0.25">
      <c r="A15489" s="15"/>
    </row>
    <row r="15490" spans="1:1" x14ac:dyDescent="0.25">
      <c r="A15490" s="15"/>
    </row>
    <row r="15491" spans="1:1" x14ac:dyDescent="0.25">
      <c r="A15491" s="15"/>
    </row>
    <row r="15492" spans="1:1" x14ac:dyDescent="0.25">
      <c r="A15492" s="15"/>
    </row>
    <row r="15493" spans="1:1" x14ac:dyDescent="0.25">
      <c r="A15493" s="15"/>
    </row>
    <row r="15494" spans="1:1" x14ac:dyDescent="0.25">
      <c r="A15494" s="15"/>
    </row>
    <row r="15495" spans="1:1" x14ac:dyDescent="0.25">
      <c r="A15495" s="15"/>
    </row>
    <row r="15496" spans="1:1" x14ac:dyDescent="0.25">
      <c r="A15496" s="15"/>
    </row>
    <row r="15497" spans="1:1" x14ac:dyDescent="0.25">
      <c r="A15497" s="15"/>
    </row>
    <row r="15498" spans="1:1" x14ac:dyDescent="0.25">
      <c r="A15498" s="15"/>
    </row>
    <row r="15499" spans="1:1" x14ac:dyDescent="0.25">
      <c r="A15499" s="15"/>
    </row>
    <row r="15500" spans="1:1" x14ac:dyDescent="0.25">
      <c r="A15500" s="15"/>
    </row>
    <row r="15501" spans="1:1" x14ac:dyDescent="0.25">
      <c r="A15501" s="15"/>
    </row>
    <row r="15502" spans="1:1" x14ac:dyDescent="0.25">
      <c r="A15502" s="15"/>
    </row>
    <row r="15503" spans="1:1" x14ac:dyDescent="0.25">
      <c r="A15503" s="15"/>
    </row>
    <row r="15504" spans="1:1" x14ac:dyDescent="0.25">
      <c r="A15504" s="15"/>
    </row>
    <row r="15505" spans="1:1" x14ac:dyDescent="0.25">
      <c r="A15505" s="15"/>
    </row>
    <row r="15506" spans="1:1" x14ac:dyDescent="0.25">
      <c r="A15506" s="15"/>
    </row>
    <row r="15507" spans="1:1" x14ac:dyDescent="0.25">
      <c r="A15507" s="15"/>
    </row>
    <row r="15508" spans="1:1" x14ac:dyDescent="0.25">
      <c r="A15508" s="15"/>
    </row>
    <row r="15509" spans="1:1" x14ac:dyDescent="0.25">
      <c r="A15509" s="15"/>
    </row>
    <row r="15510" spans="1:1" x14ac:dyDescent="0.25">
      <c r="A15510" s="15"/>
    </row>
    <row r="15511" spans="1:1" x14ac:dyDescent="0.25">
      <c r="A15511" s="15"/>
    </row>
    <row r="15512" spans="1:1" x14ac:dyDescent="0.25">
      <c r="A15512" s="15"/>
    </row>
    <row r="15513" spans="1:1" x14ac:dyDescent="0.25">
      <c r="A15513" s="15"/>
    </row>
    <row r="15514" spans="1:1" x14ac:dyDescent="0.25">
      <c r="A15514" s="15"/>
    </row>
    <row r="15515" spans="1:1" x14ac:dyDescent="0.25">
      <c r="A15515" s="15"/>
    </row>
    <row r="15516" spans="1:1" x14ac:dyDescent="0.25">
      <c r="A15516" s="15"/>
    </row>
    <row r="15517" spans="1:1" x14ac:dyDescent="0.25">
      <c r="A15517" s="15"/>
    </row>
    <row r="15518" spans="1:1" x14ac:dyDescent="0.25">
      <c r="A15518" s="15"/>
    </row>
    <row r="15519" spans="1:1" x14ac:dyDescent="0.25">
      <c r="A15519" s="15"/>
    </row>
    <row r="15520" spans="1:1" x14ac:dyDescent="0.25">
      <c r="A15520" s="15"/>
    </row>
    <row r="15521" spans="1:1" x14ac:dyDescent="0.25">
      <c r="A15521" s="15"/>
    </row>
    <row r="15522" spans="1:1" x14ac:dyDescent="0.25">
      <c r="A15522" s="15"/>
    </row>
    <row r="15523" spans="1:1" x14ac:dyDescent="0.25">
      <c r="A15523" s="15"/>
    </row>
    <row r="15524" spans="1:1" x14ac:dyDescent="0.25">
      <c r="A15524" s="15"/>
    </row>
    <row r="15525" spans="1:1" x14ac:dyDescent="0.25">
      <c r="A15525" s="15"/>
    </row>
    <row r="15526" spans="1:1" x14ac:dyDescent="0.25">
      <c r="A15526" s="15"/>
    </row>
    <row r="15527" spans="1:1" x14ac:dyDescent="0.25">
      <c r="A15527" s="15"/>
    </row>
    <row r="15528" spans="1:1" x14ac:dyDescent="0.25">
      <c r="A15528" s="15"/>
    </row>
    <row r="15529" spans="1:1" x14ac:dyDescent="0.25">
      <c r="A15529" s="15"/>
    </row>
    <row r="15530" spans="1:1" x14ac:dyDescent="0.25">
      <c r="A15530" s="15"/>
    </row>
    <row r="15531" spans="1:1" x14ac:dyDescent="0.25">
      <c r="A15531" s="15"/>
    </row>
    <row r="15532" spans="1:1" x14ac:dyDescent="0.25">
      <c r="A15532" s="15"/>
    </row>
    <row r="15533" spans="1:1" x14ac:dyDescent="0.25">
      <c r="A15533" s="15"/>
    </row>
    <row r="15534" spans="1:1" x14ac:dyDescent="0.25">
      <c r="A15534" s="15"/>
    </row>
    <row r="15535" spans="1:1" x14ac:dyDescent="0.25">
      <c r="A15535" s="15"/>
    </row>
    <row r="15536" spans="1:1" x14ac:dyDescent="0.25">
      <c r="A15536" s="15"/>
    </row>
    <row r="15537" spans="1:1" x14ac:dyDescent="0.25">
      <c r="A15537" s="15"/>
    </row>
    <row r="15538" spans="1:1" x14ac:dyDescent="0.25">
      <c r="A15538" s="15"/>
    </row>
    <row r="15539" spans="1:1" x14ac:dyDescent="0.25">
      <c r="A15539" s="15"/>
    </row>
    <row r="15540" spans="1:1" x14ac:dyDescent="0.25">
      <c r="A15540" s="15"/>
    </row>
    <row r="15541" spans="1:1" x14ac:dyDescent="0.25">
      <c r="A15541" s="15"/>
    </row>
    <row r="15542" spans="1:1" x14ac:dyDescent="0.25">
      <c r="A15542" s="15"/>
    </row>
    <row r="15543" spans="1:1" x14ac:dyDescent="0.25">
      <c r="A15543" s="15"/>
    </row>
    <row r="15544" spans="1:1" x14ac:dyDescent="0.25">
      <c r="A15544" s="15"/>
    </row>
    <row r="15545" spans="1:1" x14ac:dyDescent="0.25">
      <c r="A15545" s="15"/>
    </row>
    <row r="15546" spans="1:1" x14ac:dyDescent="0.25">
      <c r="A15546" s="15"/>
    </row>
    <row r="15547" spans="1:1" x14ac:dyDescent="0.25">
      <c r="A15547" s="15"/>
    </row>
    <row r="15548" spans="1:1" x14ac:dyDescent="0.25">
      <c r="A15548" s="15"/>
    </row>
    <row r="15549" spans="1:1" x14ac:dyDescent="0.25">
      <c r="A15549" s="15"/>
    </row>
    <row r="15550" spans="1:1" x14ac:dyDescent="0.25">
      <c r="A15550" s="15"/>
    </row>
    <row r="15551" spans="1:1" x14ac:dyDescent="0.25">
      <c r="A15551" s="15"/>
    </row>
    <row r="15552" spans="1:1" x14ac:dyDescent="0.25">
      <c r="A15552" s="15"/>
    </row>
    <row r="15553" spans="1:1" x14ac:dyDescent="0.25">
      <c r="A15553" s="15"/>
    </row>
    <row r="15554" spans="1:1" x14ac:dyDescent="0.25">
      <c r="A15554" s="15"/>
    </row>
    <row r="15555" spans="1:1" x14ac:dyDescent="0.25">
      <c r="A15555" s="15"/>
    </row>
    <row r="15556" spans="1:1" x14ac:dyDescent="0.25">
      <c r="A15556" s="15"/>
    </row>
    <row r="15557" spans="1:1" x14ac:dyDescent="0.25">
      <c r="A15557" s="15"/>
    </row>
    <row r="15558" spans="1:1" x14ac:dyDescent="0.25">
      <c r="A15558" s="15"/>
    </row>
    <row r="15559" spans="1:1" x14ac:dyDescent="0.25">
      <c r="A15559" s="15"/>
    </row>
    <row r="15560" spans="1:1" x14ac:dyDescent="0.25">
      <c r="A15560" s="15"/>
    </row>
    <row r="15561" spans="1:1" x14ac:dyDescent="0.25">
      <c r="A15561" s="15"/>
    </row>
    <row r="15562" spans="1:1" x14ac:dyDescent="0.25">
      <c r="A15562" s="15"/>
    </row>
    <row r="15563" spans="1:1" x14ac:dyDescent="0.25">
      <c r="A15563" s="15"/>
    </row>
    <row r="15564" spans="1:1" x14ac:dyDescent="0.25">
      <c r="A15564" s="15"/>
    </row>
    <row r="15565" spans="1:1" x14ac:dyDescent="0.25">
      <c r="A15565" s="15"/>
    </row>
    <row r="15566" spans="1:1" x14ac:dyDescent="0.25">
      <c r="A15566" s="15"/>
    </row>
    <row r="15567" spans="1:1" x14ac:dyDescent="0.25">
      <c r="A15567" s="15"/>
    </row>
    <row r="15568" spans="1:1" x14ac:dyDescent="0.25">
      <c r="A15568" s="15"/>
    </row>
    <row r="15569" spans="1:1" x14ac:dyDescent="0.25">
      <c r="A15569" s="15"/>
    </row>
    <row r="15570" spans="1:1" x14ac:dyDescent="0.25">
      <c r="A15570" s="15"/>
    </row>
    <row r="15571" spans="1:1" x14ac:dyDescent="0.25">
      <c r="A15571" s="15"/>
    </row>
    <row r="15572" spans="1:1" x14ac:dyDescent="0.25">
      <c r="A15572" s="15"/>
    </row>
    <row r="15573" spans="1:1" x14ac:dyDescent="0.25">
      <c r="A15573" s="15"/>
    </row>
    <row r="15574" spans="1:1" x14ac:dyDescent="0.25">
      <c r="A15574" s="15"/>
    </row>
    <row r="15575" spans="1:1" x14ac:dyDescent="0.25">
      <c r="A15575" s="15"/>
    </row>
    <row r="15576" spans="1:1" x14ac:dyDescent="0.25">
      <c r="A15576" s="15"/>
    </row>
    <row r="15577" spans="1:1" x14ac:dyDescent="0.25">
      <c r="A15577" s="15"/>
    </row>
    <row r="15578" spans="1:1" x14ac:dyDescent="0.25">
      <c r="A15578" s="15"/>
    </row>
    <row r="15579" spans="1:1" x14ac:dyDescent="0.25">
      <c r="A15579" s="15"/>
    </row>
    <row r="15580" spans="1:1" x14ac:dyDescent="0.25">
      <c r="A15580" s="15"/>
    </row>
    <row r="15581" spans="1:1" x14ac:dyDescent="0.25">
      <c r="A15581" s="15"/>
    </row>
    <row r="15582" spans="1:1" x14ac:dyDescent="0.25">
      <c r="A15582" s="15"/>
    </row>
    <row r="15583" spans="1:1" x14ac:dyDescent="0.25">
      <c r="A15583" s="15"/>
    </row>
    <row r="15584" spans="1:1" x14ac:dyDescent="0.25">
      <c r="A15584" s="15"/>
    </row>
    <row r="15585" spans="1:1" x14ac:dyDescent="0.25">
      <c r="A15585" s="15"/>
    </row>
    <row r="15586" spans="1:1" x14ac:dyDescent="0.25">
      <c r="A15586" s="15"/>
    </row>
    <row r="15587" spans="1:1" x14ac:dyDescent="0.25">
      <c r="A15587" s="15"/>
    </row>
    <row r="15588" spans="1:1" x14ac:dyDescent="0.25">
      <c r="A15588" s="15"/>
    </row>
    <row r="15589" spans="1:1" x14ac:dyDescent="0.25">
      <c r="A15589" s="15"/>
    </row>
    <row r="15590" spans="1:1" x14ac:dyDescent="0.25">
      <c r="A15590" s="15"/>
    </row>
    <row r="15591" spans="1:1" x14ac:dyDescent="0.25">
      <c r="A15591" s="15"/>
    </row>
    <row r="15592" spans="1:1" x14ac:dyDescent="0.25">
      <c r="A15592" s="15"/>
    </row>
    <row r="15593" spans="1:1" x14ac:dyDescent="0.25">
      <c r="A15593" s="15"/>
    </row>
    <row r="15594" spans="1:1" x14ac:dyDescent="0.25">
      <c r="A15594" s="15"/>
    </row>
    <row r="15595" spans="1:1" x14ac:dyDescent="0.25">
      <c r="A15595" s="15"/>
    </row>
    <row r="15596" spans="1:1" x14ac:dyDescent="0.25">
      <c r="A15596" s="15"/>
    </row>
    <row r="15597" spans="1:1" x14ac:dyDescent="0.25">
      <c r="A15597" s="15"/>
    </row>
    <row r="15598" spans="1:1" x14ac:dyDescent="0.25">
      <c r="A15598" s="15"/>
    </row>
    <row r="15599" spans="1:1" x14ac:dyDescent="0.25">
      <c r="A15599" s="15"/>
    </row>
    <row r="15600" spans="1:1" x14ac:dyDescent="0.25">
      <c r="A15600" s="15"/>
    </row>
    <row r="15601" spans="1:1" x14ac:dyDescent="0.25">
      <c r="A15601" s="15"/>
    </row>
    <row r="15602" spans="1:1" x14ac:dyDescent="0.25">
      <c r="A15602" s="15"/>
    </row>
    <row r="15603" spans="1:1" x14ac:dyDescent="0.25">
      <c r="A15603" s="15"/>
    </row>
    <row r="15604" spans="1:1" x14ac:dyDescent="0.25">
      <c r="A15604" s="15"/>
    </row>
    <row r="15605" spans="1:1" x14ac:dyDescent="0.25">
      <c r="A15605" s="15"/>
    </row>
    <row r="15606" spans="1:1" x14ac:dyDescent="0.25">
      <c r="A15606" s="15"/>
    </row>
    <row r="15607" spans="1:1" x14ac:dyDescent="0.25">
      <c r="A15607" s="15"/>
    </row>
    <row r="15608" spans="1:1" x14ac:dyDescent="0.25">
      <c r="A15608" s="15"/>
    </row>
    <row r="15609" spans="1:1" x14ac:dyDescent="0.25">
      <c r="A15609" s="15"/>
    </row>
    <row r="15610" spans="1:1" x14ac:dyDescent="0.25">
      <c r="A15610" s="15"/>
    </row>
    <row r="15611" spans="1:1" x14ac:dyDescent="0.25">
      <c r="A15611" s="15"/>
    </row>
    <row r="15612" spans="1:1" x14ac:dyDescent="0.25">
      <c r="A15612" s="15"/>
    </row>
    <row r="15613" spans="1:1" x14ac:dyDescent="0.25">
      <c r="A15613" s="15"/>
    </row>
    <row r="15614" spans="1:1" x14ac:dyDescent="0.25">
      <c r="A15614" s="15"/>
    </row>
    <row r="15615" spans="1:1" x14ac:dyDescent="0.25">
      <c r="A15615" s="15"/>
    </row>
    <row r="15616" spans="1:1" x14ac:dyDescent="0.25">
      <c r="A15616" s="15"/>
    </row>
    <row r="15617" spans="1:1" x14ac:dyDescent="0.25">
      <c r="A15617" s="15"/>
    </row>
    <row r="15618" spans="1:1" x14ac:dyDescent="0.25">
      <c r="A15618" s="15"/>
    </row>
    <row r="15619" spans="1:1" x14ac:dyDescent="0.25">
      <c r="A15619" s="15"/>
    </row>
    <row r="15620" spans="1:1" x14ac:dyDescent="0.25">
      <c r="A15620" s="15"/>
    </row>
    <row r="15621" spans="1:1" x14ac:dyDescent="0.25">
      <c r="A15621" s="15"/>
    </row>
    <row r="15622" spans="1:1" x14ac:dyDescent="0.25">
      <c r="A15622" s="15"/>
    </row>
    <row r="15623" spans="1:1" x14ac:dyDescent="0.25">
      <c r="A15623" s="15"/>
    </row>
    <row r="15624" spans="1:1" x14ac:dyDescent="0.25">
      <c r="A15624" s="15"/>
    </row>
    <row r="15625" spans="1:1" x14ac:dyDescent="0.25">
      <c r="A15625" s="15"/>
    </row>
    <row r="15626" spans="1:1" x14ac:dyDescent="0.25">
      <c r="A15626" s="15"/>
    </row>
    <row r="15627" spans="1:1" x14ac:dyDescent="0.25">
      <c r="A15627" s="15"/>
    </row>
    <row r="15628" spans="1:1" x14ac:dyDescent="0.25">
      <c r="A15628" s="15"/>
    </row>
    <row r="15629" spans="1:1" x14ac:dyDescent="0.25">
      <c r="A15629" s="15"/>
    </row>
    <row r="15630" spans="1:1" x14ac:dyDescent="0.25">
      <c r="A15630" s="15"/>
    </row>
    <row r="15631" spans="1:1" x14ac:dyDescent="0.25">
      <c r="A15631" s="15"/>
    </row>
    <row r="15632" spans="1:1" x14ac:dyDescent="0.25">
      <c r="A15632" s="15"/>
    </row>
    <row r="15633" spans="1:1" x14ac:dyDescent="0.25">
      <c r="A15633" s="15"/>
    </row>
    <row r="15634" spans="1:1" x14ac:dyDescent="0.25">
      <c r="A15634" s="15"/>
    </row>
    <row r="15635" spans="1:1" x14ac:dyDescent="0.25">
      <c r="A15635" s="15"/>
    </row>
    <row r="15636" spans="1:1" x14ac:dyDescent="0.25">
      <c r="A15636" s="15"/>
    </row>
    <row r="15637" spans="1:1" x14ac:dyDescent="0.25">
      <c r="A15637" s="15"/>
    </row>
    <row r="15638" spans="1:1" x14ac:dyDescent="0.25">
      <c r="A15638" s="15"/>
    </row>
    <row r="15639" spans="1:1" x14ac:dyDescent="0.25">
      <c r="A15639" s="15"/>
    </row>
    <row r="15640" spans="1:1" x14ac:dyDescent="0.25">
      <c r="A15640" s="15"/>
    </row>
    <row r="15641" spans="1:1" x14ac:dyDescent="0.25">
      <c r="A15641" s="15"/>
    </row>
    <row r="15642" spans="1:1" x14ac:dyDescent="0.25">
      <c r="A15642" s="15"/>
    </row>
    <row r="15643" spans="1:1" x14ac:dyDescent="0.25">
      <c r="A15643" s="15"/>
    </row>
    <row r="15644" spans="1:1" x14ac:dyDescent="0.25">
      <c r="A15644" s="15"/>
    </row>
    <row r="15645" spans="1:1" x14ac:dyDescent="0.25">
      <c r="A15645" s="15"/>
    </row>
    <row r="15646" spans="1:1" x14ac:dyDescent="0.25">
      <c r="A15646" s="15"/>
    </row>
    <row r="15647" spans="1:1" x14ac:dyDescent="0.25">
      <c r="A15647" s="15"/>
    </row>
    <row r="15648" spans="1:1" x14ac:dyDescent="0.25">
      <c r="A15648" s="15"/>
    </row>
    <row r="15649" spans="1:1" x14ac:dyDescent="0.25">
      <c r="A15649" s="15"/>
    </row>
    <row r="15650" spans="1:1" x14ac:dyDescent="0.25">
      <c r="A15650" s="15"/>
    </row>
    <row r="15651" spans="1:1" x14ac:dyDescent="0.25">
      <c r="A15651" s="15"/>
    </row>
    <row r="15652" spans="1:1" x14ac:dyDescent="0.25">
      <c r="A15652" s="15"/>
    </row>
    <row r="15653" spans="1:1" x14ac:dyDescent="0.25">
      <c r="A15653" s="15"/>
    </row>
    <row r="15654" spans="1:1" x14ac:dyDescent="0.25">
      <c r="A15654" s="15"/>
    </row>
    <row r="15655" spans="1:1" x14ac:dyDescent="0.25">
      <c r="A15655" s="15"/>
    </row>
    <row r="15656" spans="1:1" x14ac:dyDescent="0.25">
      <c r="A15656" s="15"/>
    </row>
    <row r="15657" spans="1:1" x14ac:dyDescent="0.25">
      <c r="A15657" s="15"/>
    </row>
    <row r="15658" spans="1:1" x14ac:dyDescent="0.25">
      <c r="A15658" s="15"/>
    </row>
    <row r="15659" spans="1:1" x14ac:dyDescent="0.25">
      <c r="A15659" s="15"/>
    </row>
    <row r="15660" spans="1:1" x14ac:dyDescent="0.25">
      <c r="A15660" s="15"/>
    </row>
    <row r="15661" spans="1:1" x14ac:dyDescent="0.25">
      <c r="A15661" s="15"/>
    </row>
    <row r="15662" spans="1:1" x14ac:dyDescent="0.25">
      <c r="A15662" s="15"/>
    </row>
    <row r="15663" spans="1:1" x14ac:dyDescent="0.25">
      <c r="A15663" s="15"/>
    </row>
    <row r="15664" spans="1:1" x14ac:dyDescent="0.25">
      <c r="A15664" s="15"/>
    </row>
    <row r="15665" spans="1:1" x14ac:dyDescent="0.25">
      <c r="A15665" s="15"/>
    </row>
    <row r="15666" spans="1:1" x14ac:dyDescent="0.25">
      <c r="A15666" s="15"/>
    </row>
    <row r="15667" spans="1:1" x14ac:dyDescent="0.25">
      <c r="A15667" s="15"/>
    </row>
    <row r="15668" spans="1:1" x14ac:dyDescent="0.25">
      <c r="A15668" s="15"/>
    </row>
    <row r="15669" spans="1:1" x14ac:dyDescent="0.25">
      <c r="A15669" s="15"/>
    </row>
    <row r="15670" spans="1:1" x14ac:dyDescent="0.25">
      <c r="A15670" s="15"/>
    </row>
    <row r="15671" spans="1:1" x14ac:dyDescent="0.25">
      <c r="A15671" s="15"/>
    </row>
    <row r="15672" spans="1:1" x14ac:dyDescent="0.25">
      <c r="A15672" s="15"/>
    </row>
    <row r="15673" spans="1:1" x14ac:dyDescent="0.25">
      <c r="A15673" s="15"/>
    </row>
    <row r="15674" spans="1:1" x14ac:dyDescent="0.25">
      <c r="A15674" s="15"/>
    </row>
    <row r="15675" spans="1:1" x14ac:dyDescent="0.25">
      <c r="A15675" s="15"/>
    </row>
    <row r="15676" spans="1:1" x14ac:dyDescent="0.25">
      <c r="A15676" s="15"/>
    </row>
    <row r="15677" spans="1:1" x14ac:dyDescent="0.25">
      <c r="A15677" s="15"/>
    </row>
    <row r="15678" spans="1:1" x14ac:dyDescent="0.25">
      <c r="A15678" s="15"/>
    </row>
    <row r="15679" spans="1:1" x14ac:dyDescent="0.25">
      <c r="A15679" s="15"/>
    </row>
    <row r="15680" spans="1:1" x14ac:dyDescent="0.25">
      <c r="A15680" s="15"/>
    </row>
    <row r="15681" spans="1:1" x14ac:dyDescent="0.25">
      <c r="A15681" s="15"/>
    </row>
    <row r="15682" spans="1:1" x14ac:dyDescent="0.25">
      <c r="A15682" s="15"/>
    </row>
    <row r="15683" spans="1:1" x14ac:dyDescent="0.25">
      <c r="A15683" s="15"/>
    </row>
    <row r="15684" spans="1:1" x14ac:dyDescent="0.25">
      <c r="A15684" s="15"/>
    </row>
    <row r="15685" spans="1:1" x14ac:dyDescent="0.25">
      <c r="A15685" s="15"/>
    </row>
    <row r="15686" spans="1:1" x14ac:dyDescent="0.25">
      <c r="A15686" s="15"/>
    </row>
    <row r="15687" spans="1:1" x14ac:dyDescent="0.25">
      <c r="A15687" s="15"/>
    </row>
    <row r="15688" spans="1:1" x14ac:dyDescent="0.25">
      <c r="A15688" s="15"/>
    </row>
    <row r="15689" spans="1:1" x14ac:dyDescent="0.25">
      <c r="A15689" s="15"/>
    </row>
    <row r="15690" spans="1:1" x14ac:dyDescent="0.25">
      <c r="A15690" s="15"/>
    </row>
    <row r="15691" spans="1:1" x14ac:dyDescent="0.25">
      <c r="A15691" s="15"/>
    </row>
    <row r="15692" spans="1:1" x14ac:dyDescent="0.25">
      <c r="A15692" s="15"/>
    </row>
    <row r="15693" spans="1:1" x14ac:dyDescent="0.25">
      <c r="A15693" s="15"/>
    </row>
    <row r="15694" spans="1:1" x14ac:dyDescent="0.25">
      <c r="A15694" s="15"/>
    </row>
    <row r="15695" spans="1:1" x14ac:dyDescent="0.25">
      <c r="A15695" s="15"/>
    </row>
    <row r="15696" spans="1:1" x14ac:dyDescent="0.25">
      <c r="A15696" s="15"/>
    </row>
    <row r="15697" spans="1:1" x14ac:dyDescent="0.25">
      <c r="A15697" s="15"/>
    </row>
    <row r="15698" spans="1:1" x14ac:dyDescent="0.25">
      <c r="A15698" s="15"/>
    </row>
    <row r="15699" spans="1:1" x14ac:dyDescent="0.25">
      <c r="A15699" s="15"/>
    </row>
    <row r="15700" spans="1:1" x14ac:dyDescent="0.25">
      <c r="A15700" s="15"/>
    </row>
    <row r="15701" spans="1:1" x14ac:dyDescent="0.25">
      <c r="A15701" s="15"/>
    </row>
    <row r="15702" spans="1:1" x14ac:dyDescent="0.25">
      <c r="A15702" s="15"/>
    </row>
    <row r="15703" spans="1:1" x14ac:dyDescent="0.25">
      <c r="A15703" s="15"/>
    </row>
    <row r="15704" spans="1:1" x14ac:dyDescent="0.25">
      <c r="A15704" s="15"/>
    </row>
    <row r="15705" spans="1:1" x14ac:dyDescent="0.25">
      <c r="A15705" s="15"/>
    </row>
    <row r="15706" spans="1:1" x14ac:dyDescent="0.25">
      <c r="A15706" s="15"/>
    </row>
    <row r="15707" spans="1:1" x14ac:dyDescent="0.25">
      <c r="A15707" s="15"/>
    </row>
    <row r="15708" spans="1:1" x14ac:dyDescent="0.25">
      <c r="A15708" s="15"/>
    </row>
    <row r="15709" spans="1:1" x14ac:dyDescent="0.25">
      <c r="A15709" s="15"/>
    </row>
    <row r="15710" spans="1:1" x14ac:dyDescent="0.25">
      <c r="A15710" s="15"/>
    </row>
    <row r="15711" spans="1:1" x14ac:dyDescent="0.25">
      <c r="A15711" s="15"/>
    </row>
    <row r="15712" spans="1:1" x14ac:dyDescent="0.25">
      <c r="A15712" s="15"/>
    </row>
    <row r="15713" spans="1:1" x14ac:dyDescent="0.25">
      <c r="A15713" s="15"/>
    </row>
    <row r="15714" spans="1:1" x14ac:dyDescent="0.25">
      <c r="A15714" s="15"/>
    </row>
    <row r="15715" spans="1:1" x14ac:dyDescent="0.25">
      <c r="A15715" s="15"/>
    </row>
    <row r="15716" spans="1:1" x14ac:dyDescent="0.25">
      <c r="A15716" s="15"/>
    </row>
    <row r="15717" spans="1:1" x14ac:dyDescent="0.25">
      <c r="A15717" s="15"/>
    </row>
    <row r="15718" spans="1:1" x14ac:dyDescent="0.25">
      <c r="A15718" s="15"/>
    </row>
    <row r="15719" spans="1:1" x14ac:dyDescent="0.25">
      <c r="A15719" s="15"/>
    </row>
    <row r="15720" spans="1:1" x14ac:dyDescent="0.25">
      <c r="A15720" s="15"/>
    </row>
    <row r="15721" spans="1:1" x14ac:dyDescent="0.25">
      <c r="A15721" s="15"/>
    </row>
    <row r="15722" spans="1:1" x14ac:dyDescent="0.25">
      <c r="A15722" s="15"/>
    </row>
    <row r="15723" spans="1:1" x14ac:dyDescent="0.25">
      <c r="A15723" s="15"/>
    </row>
    <row r="15724" spans="1:1" x14ac:dyDescent="0.25">
      <c r="A15724" s="15"/>
    </row>
    <row r="15725" spans="1:1" x14ac:dyDescent="0.25">
      <c r="A15725" s="15"/>
    </row>
    <row r="15726" spans="1:1" x14ac:dyDescent="0.25">
      <c r="A15726" s="15"/>
    </row>
    <row r="15727" spans="1:1" x14ac:dyDescent="0.25">
      <c r="A15727" s="15"/>
    </row>
    <row r="15728" spans="1:1" x14ac:dyDescent="0.25">
      <c r="A15728" s="15"/>
    </row>
    <row r="15729" spans="1:1" x14ac:dyDescent="0.25">
      <c r="A15729" s="15"/>
    </row>
    <row r="15730" spans="1:1" x14ac:dyDescent="0.25">
      <c r="A15730" s="15"/>
    </row>
    <row r="15731" spans="1:1" x14ac:dyDescent="0.25">
      <c r="A15731" s="15"/>
    </row>
    <row r="15732" spans="1:1" x14ac:dyDescent="0.25">
      <c r="A15732" s="15"/>
    </row>
    <row r="15733" spans="1:1" x14ac:dyDescent="0.25">
      <c r="A15733" s="15"/>
    </row>
    <row r="15734" spans="1:1" x14ac:dyDescent="0.25">
      <c r="A15734" s="15"/>
    </row>
    <row r="15735" spans="1:1" x14ac:dyDescent="0.25">
      <c r="A15735" s="15"/>
    </row>
    <row r="15736" spans="1:1" x14ac:dyDescent="0.25">
      <c r="A15736" s="15"/>
    </row>
    <row r="15737" spans="1:1" x14ac:dyDescent="0.25">
      <c r="A15737" s="15"/>
    </row>
    <row r="15738" spans="1:1" x14ac:dyDescent="0.25">
      <c r="A15738" s="15"/>
    </row>
    <row r="15739" spans="1:1" x14ac:dyDescent="0.25">
      <c r="A15739" s="15"/>
    </row>
    <row r="15740" spans="1:1" x14ac:dyDescent="0.25">
      <c r="A15740" s="15"/>
    </row>
    <row r="15741" spans="1:1" x14ac:dyDescent="0.25">
      <c r="A15741" s="15"/>
    </row>
    <row r="15742" spans="1:1" x14ac:dyDescent="0.25">
      <c r="A15742" s="15"/>
    </row>
    <row r="15743" spans="1:1" x14ac:dyDescent="0.25">
      <c r="A15743" s="15"/>
    </row>
    <row r="15744" spans="1:1" x14ac:dyDescent="0.25">
      <c r="A15744" s="15"/>
    </row>
    <row r="15745" spans="1:1" x14ac:dyDescent="0.25">
      <c r="A15745" s="15"/>
    </row>
    <row r="15746" spans="1:1" x14ac:dyDescent="0.25">
      <c r="A15746" s="15"/>
    </row>
    <row r="15747" spans="1:1" x14ac:dyDescent="0.25">
      <c r="A15747" s="15"/>
    </row>
    <row r="15748" spans="1:1" x14ac:dyDescent="0.25">
      <c r="A15748" s="15"/>
    </row>
    <row r="15749" spans="1:1" x14ac:dyDescent="0.25">
      <c r="A15749" s="15"/>
    </row>
    <row r="15750" spans="1:1" x14ac:dyDescent="0.25">
      <c r="A15750" s="15"/>
    </row>
    <row r="15751" spans="1:1" x14ac:dyDescent="0.25">
      <c r="A15751" s="15"/>
    </row>
    <row r="15752" spans="1:1" x14ac:dyDescent="0.25">
      <c r="A15752" s="15"/>
    </row>
    <row r="15753" spans="1:1" x14ac:dyDescent="0.25">
      <c r="A15753" s="15"/>
    </row>
    <row r="15754" spans="1:1" x14ac:dyDescent="0.25">
      <c r="A15754" s="15"/>
    </row>
    <row r="15755" spans="1:1" x14ac:dyDescent="0.25">
      <c r="A15755" s="15"/>
    </row>
    <row r="15756" spans="1:1" x14ac:dyDescent="0.25">
      <c r="A15756" s="15"/>
    </row>
    <row r="15757" spans="1:1" x14ac:dyDescent="0.25">
      <c r="A15757" s="15"/>
    </row>
    <row r="15758" spans="1:1" x14ac:dyDescent="0.25">
      <c r="A15758" s="15"/>
    </row>
    <row r="15759" spans="1:1" x14ac:dyDescent="0.25">
      <c r="A15759" s="15"/>
    </row>
    <row r="15760" spans="1:1" x14ac:dyDescent="0.25">
      <c r="A15760" s="15"/>
    </row>
    <row r="15761" spans="1:1" x14ac:dyDescent="0.25">
      <c r="A15761" s="15"/>
    </row>
    <row r="15762" spans="1:1" x14ac:dyDescent="0.25">
      <c r="A15762" s="15"/>
    </row>
    <row r="15763" spans="1:1" x14ac:dyDescent="0.25">
      <c r="A15763" s="15"/>
    </row>
    <row r="15764" spans="1:1" x14ac:dyDescent="0.25">
      <c r="A15764" s="15"/>
    </row>
    <row r="15765" spans="1:1" x14ac:dyDescent="0.25">
      <c r="A15765" s="15"/>
    </row>
    <row r="15766" spans="1:1" x14ac:dyDescent="0.25">
      <c r="A15766" s="15"/>
    </row>
    <row r="15767" spans="1:1" x14ac:dyDescent="0.25">
      <c r="A15767" s="15"/>
    </row>
    <row r="15768" spans="1:1" x14ac:dyDescent="0.25">
      <c r="A15768" s="15"/>
    </row>
    <row r="15769" spans="1:1" x14ac:dyDescent="0.25">
      <c r="A15769" s="15"/>
    </row>
    <row r="15770" spans="1:1" x14ac:dyDescent="0.25">
      <c r="A15770" s="15"/>
    </row>
    <row r="15771" spans="1:1" x14ac:dyDescent="0.25">
      <c r="A15771" s="15"/>
    </row>
    <row r="15772" spans="1:1" x14ac:dyDescent="0.25">
      <c r="A15772" s="15"/>
    </row>
    <row r="15773" spans="1:1" x14ac:dyDescent="0.25">
      <c r="A15773" s="15"/>
    </row>
    <row r="15774" spans="1:1" x14ac:dyDescent="0.25">
      <c r="A15774" s="15"/>
    </row>
    <row r="15775" spans="1:1" x14ac:dyDescent="0.25">
      <c r="A15775" s="15"/>
    </row>
    <row r="15776" spans="1:1" x14ac:dyDescent="0.25">
      <c r="A15776" s="15"/>
    </row>
    <row r="15777" spans="1:1" x14ac:dyDescent="0.25">
      <c r="A15777" s="15"/>
    </row>
    <row r="15778" spans="1:1" x14ac:dyDescent="0.25">
      <c r="A15778" s="15"/>
    </row>
    <row r="15779" spans="1:1" x14ac:dyDescent="0.25">
      <c r="A15779" s="15"/>
    </row>
    <row r="15780" spans="1:1" x14ac:dyDescent="0.25">
      <c r="A15780" s="15"/>
    </row>
    <row r="15781" spans="1:1" x14ac:dyDescent="0.25">
      <c r="A15781" s="15"/>
    </row>
    <row r="15782" spans="1:1" x14ac:dyDescent="0.25">
      <c r="A15782" s="15"/>
    </row>
    <row r="15783" spans="1:1" x14ac:dyDescent="0.25">
      <c r="A15783" s="15"/>
    </row>
    <row r="15784" spans="1:1" x14ac:dyDescent="0.25">
      <c r="A15784" s="15"/>
    </row>
    <row r="15785" spans="1:1" x14ac:dyDescent="0.25">
      <c r="A15785" s="15"/>
    </row>
    <row r="15786" spans="1:1" x14ac:dyDescent="0.25">
      <c r="A15786" s="15"/>
    </row>
    <row r="15787" spans="1:1" x14ac:dyDescent="0.25">
      <c r="A15787" s="15"/>
    </row>
    <row r="15788" spans="1:1" x14ac:dyDescent="0.25">
      <c r="A15788" s="15"/>
    </row>
    <row r="15789" spans="1:1" x14ac:dyDescent="0.25">
      <c r="A15789" s="15"/>
    </row>
    <row r="15790" spans="1:1" x14ac:dyDescent="0.25">
      <c r="A15790" s="15"/>
    </row>
    <row r="15791" spans="1:1" x14ac:dyDescent="0.25">
      <c r="A15791" s="15"/>
    </row>
    <row r="15792" spans="1:1" x14ac:dyDescent="0.25">
      <c r="A15792" s="15"/>
    </row>
    <row r="15793" spans="1:1" x14ac:dyDescent="0.25">
      <c r="A15793" s="15"/>
    </row>
    <row r="15794" spans="1:1" x14ac:dyDescent="0.25">
      <c r="A15794" s="15"/>
    </row>
    <row r="15795" spans="1:1" x14ac:dyDescent="0.25">
      <c r="A15795" s="15"/>
    </row>
    <row r="15796" spans="1:1" x14ac:dyDescent="0.25">
      <c r="A15796" s="15"/>
    </row>
    <row r="15797" spans="1:1" x14ac:dyDescent="0.25">
      <c r="A15797" s="15"/>
    </row>
    <row r="15798" spans="1:1" x14ac:dyDescent="0.25">
      <c r="A15798" s="15"/>
    </row>
    <row r="15799" spans="1:1" x14ac:dyDescent="0.25">
      <c r="A15799" s="15"/>
    </row>
    <row r="15800" spans="1:1" x14ac:dyDescent="0.25">
      <c r="A15800" s="15"/>
    </row>
    <row r="15801" spans="1:1" x14ac:dyDescent="0.25">
      <c r="A15801" s="15"/>
    </row>
    <row r="15802" spans="1:1" x14ac:dyDescent="0.25">
      <c r="A15802" s="15"/>
    </row>
    <row r="15803" spans="1:1" x14ac:dyDescent="0.25">
      <c r="A15803" s="15"/>
    </row>
    <row r="15804" spans="1:1" x14ac:dyDescent="0.25">
      <c r="A15804" s="15"/>
    </row>
    <row r="15805" spans="1:1" x14ac:dyDescent="0.25">
      <c r="A15805" s="15"/>
    </row>
    <row r="15806" spans="1:1" x14ac:dyDescent="0.25">
      <c r="A15806" s="15"/>
    </row>
    <row r="15807" spans="1:1" x14ac:dyDescent="0.25">
      <c r="A15807" s="15"/>
    </row>
    <row r="15808" spans="1:1" x14ac:dyDescent="0.25">
      <c r="A15808" s="15"/>
    </row>
    <row r="15809" spans="1:1" x14ac:dyDescent="0.25">
      <c r="A15809" s="15"/>
    </row>
    <row r="15810" spans="1:1" x14ac:dyDescent="0.25">
      <c r="A15810" s="15"/>
    </row>
    <row r="15811" spans="1:1" x14ac:dyDescent="0.25">
      <c r="A15811" s="15"/>
    </row>
    <row r="15812" spans="1:1" x14ac:dyDescent="0.25">
      <c r="A15812" s="15"/>
    </row>
    <row r="15813" spans="1:1" x14ac:dyDescent="0.25">
      <c r="A15813" s="15"/>
    </row>
    <row r="15814" spans="1:1" x14ac:dyDescent="0.25">
      <c r="A15814" s="15"/>
    </row>
    <row r="15815" spans="1:1" x14ac:dyDescent="0.25">
      <c r="A15815" s="15"/>
    </row>
    <row r="15816" spans="1:1" x14ac:dyDescent="0.25">
      <c r="A15816" s="15"/>
    </row>
    <row r="15817" spans="1:1" x14ac:dyDescent="0.25">
      <c r="A15817" s="15"/>
    </row>
    <row r="15818" spans="1:1" x14ac:dyDescent="0.25">
      <c r="A15818" s="15"/>
    </row>
    <row r="15819" spans="1:1" x14ac:dyDescent="0.25">
      <c r="A15819" s="15"/>
    </row>
    <row r="15820" spans="1:1" x14ac:dyDescent="0.25">
      <c r="A15820" s="15"/>
    </row>
    <row r="15821" spans="1:1" x14ac:dyDescent="0.25">
      <c r="A15821" s="15"/>
    </row>
    <row r="15822" spans="1:1" x14ac:dyDescent="0.25">
      <c r="A15822" s="15"/>
    </row>
    <row r="15823" spans="1:1" x14ac:dyDescent="0.25">
      <c r="A15823" s="15"/>
    </row>
    <row r="15824" spans="1:1" x14ac:dyDescent="0.25">
      <c r="A15824" s="15"/>
    </row>
    <row r="15825" spans="1:1" x14ac:dyDescent="0.25">
      <c r="A15825" s="15"/>
    </row>
    <row r="15826" spans="1:1" x14ac:dyDescent="0.25">
      <c r="A15826" s="15"/>
    </row>
    <row r="15827" spans="1:1" x14ac:dyDescent="0.25">
      <c r="A15827" s="15"/>
    </row>
    <row r="15828" spans="1:1" x14ac:dyDescent="0.25">
      <c r="A15828" s="15"/>
    </row>
    <row r="15829" spans="1:1" x14ac:dyDescent="0.25">
      <c r="A15829" s="15"/>
    </row>
    <row r="15830" spans="1:1" x14ac:dyDescent="0.25">
      <c r="A15830" s="15"/>
    </row>
    <row r="15831" spans="1:1" x14ac:dyDescent="0.25">
      <c r="A15831" s="15"/>
    </row>
    <row r="15832" spans="1:1" x14ac:dyDescent="0.25">
      <c r="A15832" s="15"/>
    </row>
    <row r="15833" spans="1:1" x14ac:dyDescent="0.25">
      <c r="A15833" s="15"/>
    </row>
    <row r="15834" spans="1:1" x14ac:dyDescent="0.25">
      <c r="A15834" s="15"/>
    </row>
    <row r="15835" spans="1:1" x14ac:dyDescent="0.25">
      <c r="A15835" s="15"/>
    </row>
    <row r="15836" spans="1:1" x14ac:dyDescent="0.25">
      <c r="A15836" s="15"/>
    </row>
    <row r="15837" spans="1:1" x14ac:dyDescent="0.25">
      <c r="A15837" s="15"/>
    </row>
    <row r="15838" spans="1:1" x14ac:dyDescent="0.25">
      <c r="A15838" s="15"/>
    </row>
    <row r="15839" spans="1:1" x14ac:dyDescent="0.25">
      <c r="A15839" s="15"/>
    </row>
    <row r="15840" spans="1:1" x14ac:dyDescent="0.25">
      <c r="A15840" s="15"/>
    </row>
    <row r="15841" spans="1:1" x14ac:dyDescent="0.25">
      <c r="A15841" s="15"/>
    </row>
    <row r="15842" spans="1:1" x14ac:dyDescent="0.25">
      <c r="A15842" s="15"/>
    </row>
    <row r="15843" spans="1:1" x14ac:dyDescent="0.25">
      <c r="A15843" s="15"/>
    </row>
    <row r="15844" spans="1:1" x14ac:dyDescent="0.25">
      <c r="A15844" s="15"/>
    </row>
    <row r="15845" spans="1:1" x14ac:dyDescent="0.25">
      <c r="A15845" s="15"/>
    </row>
    <row r="15846" spans="1:1" x14ac:dyDescent="0.25">
      <c r="A15846" s="15"/>
    </row>
    <row r="15847" spans="1:1" x14ac:dyDescent="0.25">
      <c r="A15847" s="15"/>
    </row>
    <row r="15848" spans="1:1" x14ac:dyDescent="0.25">
      <c r="A15848" s="15"/>
    </row>
    <row r="15849" spans="1:1" x14ac:dyDescent="0.25">
      <c r="A15849" s="15"/>
    </row>
    <row r="15850" spans="1:1" x14ac:dyDescent="0.25">
      <c r="A15850" s="15"/>
    </row>
    <row r="15851" spans="1:1" x14ac:dyDescent="0.25">
      <c r="A15851" s="15"/>
    </row>
    <row r="15852" spans="1:1" x14ac:dyDescent="0.25">
      <c r="A15852" s="15"/>
    </row>
    <row r="15853" spans="1:1" x14ac:dyDescent="0.25">
      <c r="A15853" s="15"/>
    </row>
    <row r="15854" spans="1:1" x14ac:dyDescent="0.25">
      <c r="A15854" s="15"/>
    </row>
    <row r="15855" spans="1:1" x14ac:dyDescent="0.25">
      <c r="A15855" s="15"/>
    </row>
    <row r="15856" spans="1:1" x14ac:dyDescent="0.25">
      <c r="A15856" s="15"/>
    </row>
    <row r="15857" spans="1:1" x14ac:dyDescent="0.25">
      <c r="A15857" s="15"/>
    </row>
    <row r="15858" spans="1:1" x14ac:dyDescent="0.25">
      <c r="A15858" s="15"/>
    </row>
    <row r="15859" spans="1:1" x14ac:dyDescent="0.25">
      <c r="A15859" s="15"/>
    </row>
    <row r="15860" spans="1:1" x14ac:dyDescent="0.25">
      <c r="A15860" s="15"/>
    </row>
    <row r="15861" spans="1:1" x14ac:dyDescent="0.25">
      <c r="A15861" s="15"/>
    </row>
    <row r="15862" spans="1:1" x14ac:dyDescent="0.25">
      <c r="A15862" s="15"/>
    </row>
    <row r="15863" spans="1:1" x14ac:dyDescent="0.25">
      <c r="A15863" s="15"/>
    </row>
    <row r="15864" spans="1:1" x14ac:dyDescent="0.25">
      <c r="A15864" s="15"/>
    </row>
    <row r="15865" spans="1:1" x14ac:dyDescent="0.25">
      <c r="A15865" s="15"/>
    </row>
    <row r="15866" spans="1:1" x14ac:dyDescent="0.25">
      <c r="A15866" s="15"/>
    </row>
    <row r="15867" spans="1:1" x14ac:dyDescent="0.25">
      <c r="A15867" s="15"/>
    </row>
    <row r="15868" spans="1:1" x14ac:dyDescent="0.25">
      <c r="A15868" s="15"/>
    </row>
    <row r="15869" spans="1:1" x14ac:dyDescent="0.25">
      <c r="A15869" s="15"/>
    </row>
    <row r="15870" spans="1:1" x14ac:dyDescent="0.25">
      <c r="A15870" s="15"/>
    </row>
    <row r="15871" spans="1:1" x14ac:dyDescent="0.25">
      <c r="A15871" s="15"/>
    </row>
    <row r="15872" spans="1:1" x14ac:dyDescent="0.25">
      <c r="A15872" s="15"/>
    </row>
    <row r="15873" spans="1:1" x14ac:dyDescent="0.25">
      <c r="A15873" s="15"/>
    </row>
    <row r="15874" spans="1:1" x14ac:dyDescent="0.25">
      <c r="A15874" s="15"/>
    </row>
    <row r="15875" spans="1:1" x14ac:dyDescent="0.25">
      <c r="A15875" s="15"/>
    </row>
    <row r="15876" spans="1:1" x14ac:dyDescent="0.25">
      <c r="A15876" s="15"/>
    </row>
    <row r="15877" spans="1:1" x14ac:dyDescent="0.25">
      <c r="A15877" s="15"/>
    </row>
    <row r="15878" spans="1:1" x14ac:dyDescent="0.25">
      <c r="A15878" s="15"/>
    </row>
    <row r="15879" spans="1:1" x14ac:dyDescent="0.25">
      <c r="A15879" s="15"/>
    </row>
    <row r="15880" spans="1:1" x14ac:dyDescent="0.25">
      <c r="A15880" s="15"/>
    </row>
    <row r="15881" spans="1:1" x14ac:dyDescent="0.25">
      <c r="A15881" s="15"/>
    </row>
    <row r="15882" spans="1:1" x14ac:dyDescent="0.25">
      <c r="A15882" s="15"/>
    </row>
    <row r="15883" spans="1:1" x14ac:dyDescent="0.25">
      <c r="A15883" s="15"/>
    </row>
    <row r="15884" spans="1:1" x14ac:dyDescent="0.25">
      <c r="A15884" s="15"/>
    </row>
    <row r="15885" spans="1:1" x14ac:dyDescent="0.25">
      <c r="A15885" s="15"/>
    </row>
    <row r="15886" spans="1:1" x14ac:dyDescent="0.25">
      <c r="A15886" s="15"/>
    </row>
    <row r="15887" spans="1:1" x14ac:dyDescent="0.25">
      <c r="A15887" s="15"/>
    </row>
    <row r="15888" spans="1:1" x14ac:dyDescent="0.25">
      <c r="A15888" s="15"/>
    </row>
    <row r="15889" spans="1:1" x14ac:dyDescent="0.25">
      <c r="A15889" s="15"/>
    </row>
    <row r="15890" spans="1:1" x14ac:dyDescent="0.25">
      <c r="A15890" s="15"/>
    </row>
    <row r="15891" spans="1:1" x14ac:dyDescent="0.25">
      <c r="A15891" s="15"/>
    </row>
    <row r="15892" spans="1:1" x14ac:dyDescent="0.25">
      <c r="A15892" s="15"/>
    </row>
    <row r="15893" spans="1:1" x14ac:dyDescent="0.25">
      <c r="A15893" s="15"/>
    </row>
    <row r="15894" spans="1:1" x14ac:dyDescent="0.25">
      <c r="A15894" s="15"/>
    </row>
    <row r="15895" spans="1:1" x14ac:dyDescent="0.25">
      <c r="A15895" s="15"/>
    </row>
    <row r="15896" spans="1:1" x14ac:dyDescent="0.25">
      <c r="A15896" s="15"/>
    </row>
    <row r="15897" spans="1:1" x14ac:dyDescent="0.25">
      <c r="A15897" s="15"/>
    </row>
    <row r="15898" spans="1:1" x14ac:dyDescent="0.25">
      <c r="A15898" s="15"/>
    </row>
    <row r="15899" spans="1:1" x14ac:dyDescent="0.25">
      <c r="A15899" s="15"/>
    </row>
    <row r="15900" spans="1:1" x14ac:dyDescent="0.25">
      <c r="A15900" s="15"/>
    </row>
    <row r="15901" spans="1:1" x14ac:dyDescent="0.25">
      <c r="A15901" s="15"/>
    </row>
    <row r="15902" spans="1:1" x14ac:dyDescent="0.25">
      <c r="A15902" s="15"/>
    </row>
    <row r="15903" spans="1:1" x14ac:dyDescent="0.25">
      <c r="A15903" s="15"/>
    </row>
    <row r="15904" spans="1:1" x14ac:dyDescent="0.25">
      <c r="A15904" s="15"/>
    </row>
    <row r="15905" spans="1:1" x14ac:dyDescent="0.25">
      <c r="A15905" s="15"/>
    </row>
    <row r="15906" spans="1:1" x14ac:dyDescent="0.25">
      <c r="A15906" s="15"/>
    </row>
    <row r="15907" spans="1:1" x14ac:dyDescent="0.25">
      <c r="A15907" s="15"/>
    </row>
    <row r="15908" spans="1:1" x14ac:dyDescent="0.25">
      <c r="A15908" s="15"/>
    </row>
    <row r="15909" spans="1:1" x14ac:dyDescent="0.25">
      <c r="A15909" s="15"/>
    </row>
    <row r="15910" spans="1:1" x14ac:dyDescent="0.25">
      <c r="A15910" s="15"/>
    </row>
    <row r="15911" spans="1:1" x14ac:dyDescent="0.25">
      <c r="A15911" s="15"/>
    </row>
    <row r="15912" spans="1:1" x14ac:dyDescent="0.25">
      <c r="A15912" s="15"/>
    </row>
    <row r="15913" spans="1:1" x14ac:dyDescent="0.25">
      <c r="A15913" s="15"/>
    </row>
    <row r="15914" spans="1:1" x14ac:dyDescent="0.25">
      <c r="A15914" s="15"/>
    </row>
    <row r="15915" spans="1:1" x14ac:dyDescent="0.25">
      <c r="A15915" s="15"/>
    </row>
    <row r="15916" spans="1:1" x14ac:dyDescent="0.25">
      <c r="A15916" s="15"/>
    </row>
    <row r="15917" spans="1:1" x14ac:dyDescent="0.25">
      <c r="A15917" s="15"/>
    </row>
    <row r="15918" spans="1:1" x14ac:dyDescent="0.25">
      <c r="A15918" s="15"/>
    </row>
    <row r="15919" spans="1:1" x14ac:dyDescent="0.25">
      <c r="A15919" s="15"/>
    </row>
    <row r="15920" spans="1:1" x14ac:dyDescent="0.25">
      <c r="A15920" s="15"/>
    </row>
    <row r="15921" spans="1:1" x14ac:dyDescent="0.25">
      <c r="A15921" s="15"/>
    </row>
    <row r="15922" spans="1:1" x14ac:dyDescent="0.25">
      <c r="A15922" s="15"/>
    </row>
    <row r="15923" spans="1:1" x14ac:dyDescent="0.25">
      <c r="A15923" s="15"/>
    </row>
    <row r="15924" spans="1:1" x14ac:dyDescent="0.25">
      <c r="A15924" s="15"/>
    </row>
    <row r="15925" spans="1:1" x14ac:dyDescent="0.25">
      <c r="A15925" s="15"/>
    </row>
    <row r="15926" spans="1:1" x14ac:dyDescent="0.25">
      <c r="A15926" s="15"/>
    </row>
    <row r="15927" spans="1:1" x14ac:dyDescent="0.25">
      <c r="A15927" s="15"/>
    </row>
    <row r="15928" spans="1:1" x14ac:dyDescent="0.25">
      <c r="A15928" s="15"/>
    </row>
    <row r="15929" spans="1:1" x14ac:dyDescent="0.25">
      <c r="A15929" s="15"/>
    </row>
    <row r="15930" spans="1:1" x14ac:dyDescent="0.25">
      <c r="A15930" s="15"/>
    </row>
    <row r="15931" spans="1:1" x14ac:dyDescent="0.25">
      <c r="A15931" s="15"/>
    </row>
    <row r="15932" spans="1:1" x14ac:dyDescent="0.25">
      <c r="A15932" s="15"/>
    </row>
    <row r="15933" spans="1:1" x14ac:dyDescent="0.25">
      <c r="A15933" s="15"/>
    </row>
    <row r="15934" spans="1:1" x14ac:dyDescent="0.25">
      <c r="A15934" s="15"/>
    </row>
    <row r="15935" spans="1:1" x14ac:dyDescent="0.25">
      <c r="A15935" s="15"/>
    </row>
    <row r="15936" spans="1:1" x14ac:dyDescent="0.25">
      <c r="A15936" s="15"/>
    </row>
    <row r="15937" spans="1:1" x14ac:dyDescent="0.25">
      <c r="A15937" s="15"/>
    </row>
    <row r="15938" spans="1:1" x14ac:dyDescent="0.25">
      <c r="A15938" s="15"/>
    </row>
    <row r="15939" spans="1:1" x14ac:dyDescent="0.25">
      <c r="A15939" s="15"/>
    </row>
    <row r="15940" spans="1:1" x14ac:dyDescent="0.25">
      <c r="A15940" s="15"/>
    </row>
    <row r="15941" spans="1:1" x14ac:dyDescent="0.25">
      <c r="A15941" s="15"/>
    </row>
    <row r="15942" spans="1:1" x14ac:dyDescent="0.25">
      <c r="A15942" s="15"/>
    </row>
    <row r="15943" spans="1:1" x14ac:dyDescent="0.25">
      <c r="A15943" s="15"/>
    </row>
    <row r="15944" spans="1:1" x14ac:dyDescent="0.25">
      <c r="A15944" s="15"/>
    </row>
    <row r="15945" spans="1:1" x14ac:dyDescent="0.25">
      <c r="A15945" s="15"/>
    </row>
    <row r="15946" spans="1:1" x14ac:dyDescent="0.25">
      <c r="A15946" s="15"/>
    </row>
    <row r="15947" spans="1:1" x14ac:dyDescent="0.25">
      <c r="A15947" s="15"/>
    </row>
    <row r="15948" spans="1:1" x14ac:dyDescent="0.25">
      <c r="A15948" s="15"/>
    </row>
    <row r="15949" spans="1:1" x14ac:dyDescent="0.25">
      <c r="A15949" s="15"/>
    </row>
    <row r="15950" spans="1:1" x14ac:dyDescent="0.25">
      <c r="A15950" s="15"/>
    </row>
    <row r="15951" spans="1:1" x14ac:dyDescent="0.25">
      <c r="A15951" s="15"/>
    </row>
    <row r="15952" spans="1:1" x14ac:dyDescent="0.25">
      <c r="A15952" s="15"/>
    </row>
    <row r="15953" spans="1:1" x14ac:dyDescent="0.25">
      <c r="A15953" s="15"/>
    </row>
    <row r="15954" spans="1:1" x14ac:dyDescent="0.25">
      <c r="A15954" s="15"/>
    </row>
    <row r="15955" spans="1:1" x14ac:dyDescent="0.25">
      <c r="A15955" s="15"/>
    </row>
    <row r="15956" spans="1:1" x14ac:dyDescent="0.25">
      <c r="A15956" s="15"/>
    </row>
    <row r="15957" spans="1:1" x14ac:dyDescent="0.25">
      <c r="A15957" s="15"/>
    </row>
    <row r="15958" spans="1:1" x14ac:dyDescent="0.25">
      <c r="A15958" s="15"/>
    </row>
    <row r="15959" spans="1:1" x14ac:dyDescent="0.25">
      <c r="A15959" s="15"/>
    </row>
    <row r="15960" spans="1:1" x14ac:dyDescent="0.25">
      <c r="A15960" s="15"/>
    </row>
    <row r="15961" spans="1:1" x14ac:dyDescent="0.25">
      <c r="A15961" s="15"/>
    </row>
    <row r="15962" spans="1:1" x14ac:dyDescent="0.25">
      <c r="A15962" s="15"/>
    </row>
    <row r="15963" spans="1:1" x14ac:dyDescent="0.25">
      <c r="A15963" s="15"/>
    </row>
    <row r="15964" spans="1:1" x14ac:dyDescent="0.25">
      <c r="A15964" s="15"/>
    </row>
    <row r="15965" spans="1:1" x14ac:dyDescent="0.25">
      <c r="A15965" s="15"/>
    </row>
    <row r="15966" spans="1:1" x14ac:dyDescent="0.25">
      <c r="A15966" s="15"/>
    </row>
    <row r="15967" spans="1:1" x14ac:dyDescent="0.25">
      <c r="A15967" s="15"/>
    </row>
    <row r="15968" spans="1:1" x14ac:dyDescent="0.25">
      <c r="A15968" s="15"/>
    </row>
    <row r="15969" spans="1:1" x14ac:dyDescent="0.25">
      <c r="A15969" s="15"/>
    </row>
    <row r="15970" spans="1:1" x14ac:dyDescent="0.25">
      <c r="A15970" s="15"/>
    </row>
    <row r="15971" spans="1:1" x14ac:dyDescent="0.25">
      <c r="A15971" s="15"/>
    </row>
    <row r="15972" spans="1:1" x14ac:dyDescent="0.25">
      <c r="A15972" s="15"/>
    </row>
    <row r="15973" spans="1:1" x14ac:dyDescent="0.25">
      <c r="A15973" s="15"/>
    </row>
    <row r="15974" spans="1:1" x14ac:dyDescent="0.25">
      <c r="A15974" s="15"/>
    </row>
    <row r="15975" spans="1:1" x14ac:dyDescent="0.25">
      <c r="A15975" s="15"/>
    </row>
    <row r="15976" spans="1:1" x14ac:dyDescent="0.25">
      <c r="A15976" s="15"/>
    </row>
    <row r="15977" spans="1:1" x14ac:dyDescent="0.25">
      <c r="A15977" s="15"/>
    </row>
    <row r="15978" spans="1:1" x14ac:dyDescent="0.25">
      <c r="A15978" s="15"/>
    </row>
    <row r="15979" spans="1:1" x14ac:dyDescent="0.25">
      <c r="A15979" s="15"/>
    </row>
    <row r="15980" spans="1:1" x14ac:dyDescent="0.25">
      <c r="A15980" s="15"/>
    </row>
    <row r="15981" spans="1:1" x14ac:dyDescent="0.25">
      <c r="A15981" s="15"/>
    </row>
    <row r="15982" spans="1:1" x14ac:dyDescent="0.25">
      <c r="A15982" s="15"/>
    </row>
    <row r="15983" spans="1:1" x14ac:dyDescent="0.25">
      <c r="A15983" s="15"/>
    </row>
    <row r="15984" spans="1:1" x14ac:dyDescent="0.25">
      <c r="A15984" s="15"/>
    </row>
    <row r="15985" spans="1:1" x14ac:dyDescent="0.25">
      <c r="A15985" s="15"/>
    </row>
    <row r="15986" spans="1:1" x14ac:dyDescent="0.25">
      <c r="A15986" s="15"/>
    </row>
    <row r="15987" spans="1:1" x14ac:dyDescent="0.25">
      <c r="A15987" s="15"/>
    </row>
    <row r="15988" spans="1:1" x14ac:dyDescent="0.25">
      <c r="A15988" s="15"/>
    </row>
    <row r="15989" spans="1:1" x14ac:dyDescent="0.25">
      <c r="A15989" s="15"/>
    </row>
    <row r="15990" spans="1:1" x14ac:dyDescent="0.25">
      <c r="A15990" s="15"/>
    </row>
    <row r="15991" spans="1:1" x14ac:dyDescent="0.25">
      <c r="A15991" s="15"/>
    </row>
    <row r="15992" spans="1:1" x14ac:dyDescent="0.25">
      <c r="A15992" s="15"/>
    </row>
    <row r="15993" spans="1:1" x14ac:dyDescent="0.25">
      <c r="A15993" s="15"/>
    </row>
    <row r="15994" spans="1:1" x14ac:dyDescent="0.25">
      <c r="A15994" s="15"/>
    </row>
    <row r="15995" spans="1:1" x14ac:dyDescent="0.25">
      <c r="A15995" s="15"/>
    </row>
    <row r="15996" spans="1:1" x14ac:dyDescent="0.25">
      <c r="A15996" s="15"/>
    </row>
    <row r="15997" spans="1:1" x14ac:dyDescent="0.25">
      <c r="A15997" s="15"/>
    </row>
    <row r="15998" spans="1:1" x14ac:dyDescent="0.25">
      <c r="A15998" s="15"/>
    </row>
    <row r="15999" spans="1:1" x14ac:dyDescent="0.25">
      <c r="A15999" s="15"/>
    </row>
    <row r="16000" spans="1:1" x14ac:dyDescent="0.25">
      <c r="A16000" s="15"/>
    </row>
    <row r="16001" spans="1:1" x14ac:dyDescent="0.25">
      <c r="A16001" s="15"/>
    </row>
    <row r="16002" spans="1:1" x14ac:dyDescent="0.25">
      <c r="A16002" s="15"/>
    </row>
    <row r="16003" spans="1:1" x14ac:dyDescent="0.25">
      <c r="A16003" s="15"/>
    </row>
    <row r="16004" spans="1:1" x14ac:dyDescent="0.25">
      <c r="A16004" s="15"/>
    </row>
    <row r="16005" spans="1:1" x14ac:dyDescent="0.25">
      <c r="A16005" s="15"/>
    </row>
    <row r="16006" spans="1:1" x14ac:dyDescent="0.25">
      <c r="A16006" s="15"/>
    </row>
    <row r="16007" spans="1:1" x14ac:dyDescent="0.25">
      <c r="A16007" s="15"/>
    </row>
    <row r="16008" spans="1:1" x14ac:dyDescent="0.25">
      <c r="A16008" s="15"/>
    </row>
    <row r="16009" spans="1:1" x14ac:dyDescent="0.25">
      <c r="A16009" s="15"/>
    </row>
    <row r="16010" spans="1:1" x14ac:dyDescent="0.25">
      <c r="A16010" s="15"/>
    </row>
    <row r="16011" spans="1:1" x14ac:dyDescent="0.25">
      <c r="A16011" s="15"/>
    </row>
    <row r="16012" spans="1:1" x14ac:dyDescent="0.25">
      <c r="A16012" s="15"/>
    </row>
    <row r="16013" spans="1:1" x14ac:dyDescent="0.25">
      <c r="A16013" s="15"/>
    </row>
    <row r="16014" spans="1:1" x14ac:dyDescent="0.25">
      <c r="A16014" s="15"/>
    </row>
    <row r="16015" spans="1:1" x14ac:dyDescent="0.25">
      <c r="A16015" s="15"/>
    </row>
    <row r="16016" spans="1:1" x14ac:dyDescent="0.25">
      <c r="A16016" s="15"/>
    </row>
    <row r="16017" spans="1:1" x14ac:dyDescent="0.25">
      <c r="A16017" s="15"/>
    </row>
    <row r="16018" spans="1:1" x14ac:dyDescent="0.25">
      <c r="A16018" s="15"/>
    </row>
    <row r="16019" spans="1:1" x14ac:dyDescent="0.25">
      <c r="A16019" s="15"/>
    </row>
    <row r="16020" spans="1:1" x14ac:dyDescent="0.25">
      <c r="A16020" s="15"/>
    </row>
    <row r="16021" spans="1:1" x14ac:dyDescent="0.25">
      <c r="A16021" s="15"/>
    </row>
    <row r="16022" spans="1:1" x14ac:dyDescent="0.25">
      <c r="A16022" s="15"/>
    </row>
    <row r="16023" spans="1:1" x14ac:dyDescent="0.25">
      <c r="A16023" s="15"/>
    </row>
    <row r="16024" spans="1:1" x14ac:dyDescent="0.25">
      <c r="A16024" s="15"/>
    </row>
    <row r="16025" spans="1:1" x14ac:dyDescent="0.25">
      <c r="A16025" s="15"/>
    </row>
    <row r="16026" spans="1:1" x14ac:dyDescent="0.25">
      <c r="A16026" s="15"/>
    </row>
    <row r="16027" spans="1:1" x14ac:dyDescent="0.25">
      <c r="A16027" s="15"/>
    </row>
    <row r="16028" spans="1:1" x14ac:dyDescent="0.25">
      <c r="A16028" s="15"/>
    </row>
    <row r="16029" spans="1:1" x14ac:dyDescent="0.25">
      <c r="A16029" s="15"/>
    </row>
    <row r="16030" spans="1:1" x14ac:dyDescent="0.25">
      <c r="A16030" s="15"/>
    </row>
    <row r="16031" spans="1:1" x14ac:dyDescent="0.25">
      <c r="A16031" s="15"/>
    </row>
    <row r="16032" spans="1:1" x14ac:dyDescent="0.25">
      <c r="A16032" s="15"/>
    </row>
    <row r="16033" spans="1:1" x14ac:dyDescent="0.25">
      <c r="A16033" s="15"/>
    </row>
    <row r="16034" spans="1:1" x14ac:dyDescent="0.25">
      <c r="A16034" s="15"/>
    </row>
    <row r="16035" spans="1:1" x14ac:dyDescent="0.25">
      <c r="A16035" s="15"/>
    </row>
    <row r="16036" spans="1:1" x14ac:dyDescent="0.25">
      <c r="A16036" s="15"/>
    </row>
    <row r="16037" spans="1:1" x14ac:dyDescent="0.25">
      <c r="A16037" s="15"/>
    </row>
    <row r="16038" spans="1:1" x14ac:dyDescent="0.25">
      <c r="A16038" s="15"/>
    </row>
    <row r="16039" spans="1:1" x14ac:dyDescent="0.25">
      <c r="A16039" s="15"/>
    </row>
    <row r="16040" spans="1:1" x14ac:dyDescent="0.25">
      <c r="A16040" s="15"/>
    </row>
    <row r="16041" spans="1:1" x14ac:dyDescent="0.25">
      <c r="A16041" s="15"/>
    </row>
    <row r="16042" spans="1:1" x14ac:dyDescent="0.25">
      <c r="A16042" s="15"/>
    </row>
    <row r="16043" spans="1:1" x14ac:dyDescent="0.25">
      <c r="A16043" s="15"/>
    </row>
    <row r="16044" spans="1:1" x14ac:dyDescent="0.25">
      <c r="A16044" s="15"/>
    </row>
    <row r="16045" spans="1:1" x14ac:dyDescent="0.25">
      <c r="A16045" s="15"/>
    </row>
    <row r="16046" spans="1:1" x14ac:dyDescent="0.25">
      <c r="A16046" s="15"/>
    </row>
    <row r="16047" spans="1:1" x14ac:dyDescent="0.25">
      <c r="A16047" s="15"/>
    </row>
    <row r="16048" spans="1:1" x14ac:dyDescent="0.25">
      <c r="A16048" s="15"/>
    </row>
    <row r="16049" spans="1:1" x14ac:dyDescent="0.25">
      <c r="A16049" s="15"/>
    </row>
    <row r="16050" spans="1:1" x14ac:dyDescent="0.25">
      <c r="A16050" s="15"/>
    </row>
    <row r="16051" spans="1:1" x14ac:dyDescent="0.25">
      <c r="A16051" s="15"/>
    </row>
    <row r="16052" spans="1:1" x14ac:dyDescent="0.25">
      <c r="A16052" s="15"/>
    </row>
    <row r="16053" spans="1:1" x14ac:dyDescent="0.25">
      <c r="A16053" s="15"/>
    </row>
    <row r="16054" spans="1:1" x14ac:dyDescent="0.25">
      <c r="A16054" s="15"/>
    </row>
    <row r="16055" spans="1:1" x14ac:dyDescent="0.25">
      <c r="A16055" s="15"/>
    </row>
    <row r="16056" spans="1:1" x14ac:dyDescent="0.25">
      <c r="A16056" s="15"/>
    </row>
    <row r="16057" spans="1:1" x14ac:dyDescent="0.25">
      <c r="A16057" s="15"/>
    </row>
    <row r="16058" spans="1:1" x14ac:dyDescent="0.25">
      <c r="A16058" s="15"/>
    </row>
    <row r="16059" spans="1:1" x14ac:dyDescent="0.25">
      <c r="A16059" s="15"/>
    </row>
    <row r="16060" spans="1:1" x14ac:dyDescent="0.25">
      <c r="A16060" s="15"/>
    </row>
    <row r="16061" spans="1:1" x14ac:dyDescent="0.25">
      <c r="A16061" s="15"/>
    </row>
    <row r="16062" spans="1:1" x14ac:dyDescent="0.25">
      <c r="A16062" s="15"/>
    </row>
    <row r="16063" spans="1:1" x14ac:dyDescent="0.25">
      <c r="A16063" s="15"/>
    </row>
    <row r="16064" spans="1:1" x14ac:dyDescent="0.25">
      <c r="A16064" s="15"/>
    </row>
    <row r="16065" spans="1:1" x14ac:dyDescent="0.25">
      <c r="A16065" s="15"/>
    </row>
    <row r="16066" spans="1:1" x14ac:dyDescent="0.25">
      <c r="A16066" s="15"/>
    </row>
    <row r="16067" spans="1:1" x14ac:dyDescent="0.25">
      <c r="A16067" s="15"/>
    </row>
    <row r="16068" spans="1:1" x14ac:dyDescent="0.25">
      <c r="A16068" s="15"/>
    </row>
    <row r="16069" spans="1:1" x14ac:dyDescent="0.25">
      <c r="A16069" s="15"/>
    </row>
    <row r="16070" spans="1:1" x14ac:dyDescent="0.25">
      <c r="A16070" s="15"/>
    </row>
    <row r="16071" spans="1:1" x14ac:dyDescent="0.25">
      <c r="A16071" s="15"/>
    </row>
    <row r="16072" spans="1:1" x14ac:dyDescent="0.25">
      <c r="A16072" s="15"/>
    </row>
    <row r="16073" spans="1:1" x14ac:dyDescent="0.25">
      <c r="A16073" s="15"/>
    </row>
    <row r="16074" spans="1:1" x14ac:dyDescent="0.25">
      <c r="A16074" s="15"/>
    </row>
    <row r="16075" spans="1:1" x14ac:dyDescent="0.25">
      <c r="A16075" s="15"/>
    </row>
    <row r="16076" spans="1:1" x14ac:dyDescent="0.25">
      <c r="A16076" s="15"/>
    </row>
    <row r="16077" spans="1:1" x14ac:dyDescent="0.25">
      <c r="A16077" s="15"/>
    </row>
    <row r="16078" spans="1:1" x14ac:dyDescent="0.25">
      <c r="A16078" s="15"/>
    </row>
    <row r="16079" spans="1:1" x14ac:dyDescent="0.25">
      <c r="A16079" s="15"/>
    </row>
    <row r="16080" spans="1:1" x14ac:dyDescent="0.25">
      <c r="A16080" s="15"/>
    </row>
    <row r="16081" spans="1:1" x14ac:dyDescent="0.25">
      <c r="A16081" s="15"/>
    </row>
    <row r="16082" spans="1:1" x14ac:dyDescent="0.25">
      <c r="A16082" s="15"/>
    </row>
    <row r="16083" spans="1:1" x14ac:dyDescent="0.25">
      <c r="A16083" s="15"/>
    </row>
    <row r="16084" spans="1:1" x14ac:dyDescent="0.25">
      <c r="A16084" s="15"/>
    </row>
    <row r="16085" spans="1:1" x14ac:dyDescent="0.25">
      <c r="A16085" s="15"/>
    </row>
    <row r="16086" spans="1:1" x14ac:dyDescent="0.25">
      <c r="A16086" s="15"/>
    </row>
    <row r="16087" spans="1:1" x14ac:dyDescent="0.25">
      <c r="A16087" s="15"/>
    </row>
    <row r="16088" spans="1:1" x14ac:dyDescent="0.25">
      <c r="A16088" s="15"/>
    </row>
    <row r="16089" spans="1:1" x14ac:dyDescent="0.25">
      <c r="A16089" s="15"/>
    </row>
    <row r="16090" spans="1:1" x14ac:dyDescent="0.25">
      <c r="A16090" s="15"/>
    </row>
    <row r="16091" spans="1:1" x14ac:dyDescent="0.25">
      <c r="A16091" s="15"/>
    </row>
    <row r="16092" spans="1:1" x14ac:dyDescent="0.25">
      <c r="A16092" s="15"/>
    </row>
    <row r="16093" spans="1:1" x14ac:dyDescent="0.25">
      <c r="A16093" s="15"/>
    </row>
    <row r="16094" spans="1:1" x14ac:dyDescent="0.25">
      <c r="A16094" s="15"/>
    </row>
    <row r="16095" spans="1:1" x14ac:dyDescent="0.25">
      <c r="A16095" s="15"/>
    </row>
    <row r="16096" spans="1:1" x14ac:dyDescent="0.25">
      <c r="A16096" s="15"/>
    </row>
    <row r="16097" spans="1:1" x14ac:dyDescent="0.25">
      <c r="A16097" s="15"/>
    </row>
    <row r="16098" spans="1:1" x14ac:dyDescent="0.25">
      <c r="A16098" s="15"/>
    </row>
    <row r="16099" spans="1:1" x14ac:dyDescent="0.25">
      <c r="A16099" s="15"/>
    </row>
    <row r="16100" spans="1:1" x14ac:dyDescent="0.25">
      <c r="A16100" s="15"/>
    </row>
    <row r="16101" spans="1:1" x14ac:dyDescent="0.25">
      <c r="A16101" s="15"/>
    </row>
    <row r="16102" spans="1:1" x14ac:dyDescent="0.25">
      <c r="A16102" s="15"/>
    </row>
    <row r="16103" spans="1:1" x14ac:dyDescent="0.25">
      <c r="A16103" s="15"/>
    </row>
    <row r="16104" spans="1:1" x14ac:dyDescent="0.25">
      <c r="A16104" s="15"/>
    </row>
    <row r="16105" spans="1:1" x14ac:dyDescent="0.25">
      <c r="A16105" s="15"/>
    </row>
    <row r="16106" spans="1:1" x14ac:dyDescent="0.25">
      <c r="A16106" s="15"/>
    </row>
    <row r="16107" spans="1:1" x14ac:dyDescent="0.25">
      <c r="A16107" s="15"/>
    </row>
    <row r="16108" spans="1:1" x14ac:dyDescent="0.25">
      <c r="A16108" s="15"/>
    </row>
    <row r="16109" spans="1:1" x14ac:dyDescent="0.25">
      <c r="A16109" s="15"/>
    </row>
    <row r="16110" spans="1:1" x14ac:dyDescent="0.25">
      <c r="A16110" s="15"/>
    </row>
    <row r="16111" spans="1:1" x14ac:dyDescent="0.25">
      <c r="A16111" s="15"/>
    </row>
    <row r="16112" spans="1:1" x14ac:dyDescent="0.25">
      <c r="A16112" s="15"/>
    </row>
    <row r="16113" spans="1:1" x14ac:dyDescent="0.25">
      <c r="A16113" s="15"/>
    </row>
    <row r="16114" spans="1:1" x14ac:dyDescent="0.25">
      <c r="A16114" s="15"/>
    </row>
    <row r="16115" spans="1:1" x14ac:dyDescent="0.25">
      <c r="A16115" s="15"/>
    </row>
    <row r="16116" spans="1:1" x14ac:dyDescent="0.25">
      <c r="A16116" s="15"/>
    </row>
    <row r="16117" spans="1:1" x14ac:dyDescent="0.25">
      <c r="A16117" s="15"/>
    </row>
    <row r="16118" spans="1:1" x14ac:dyDescent="0.25">
      <c r="A16118" s="15"/>
    </row>
    <row r="16119" spans="1:1" x14ac:dyDescent="0.25">
      <c r="A16119" s="15"/>
    </row>
    <row r="16120" spans="1:1" x14ac:dyDescent="0.25">
      <c r="A16120" s="15"/>
    </row>
    <row r="16121" spans="1:1" x14ac:dyDescent="0.25">
      <c r="A16121" s="15"/>
    </row>
    <row r="16122" spans="1:1" x14ac:dyDescent="0.25">
      <c r="A16122" s="15"/>
    </row>
    <row r="16123" spans="1:1" x14ac:dyDescent="0.25">
      <c r="A16123" s="15"/>
    </row>
    <row r="16124" spans="1:1" x14ac:dyDescent="0.25">
      <c r="A16124" s="15"/>
    </row>
    <row r="16125" spans="1:1" x14ac:dyDescent="0.25">
      <c r="A16125" s="15"/>
    </row>
    <row r="16126" spans="1:1" x14ac:dyDescent="0.25">
      <c r="A16126" s="15"/>
    </row>
    <row r="16127" spans="1:1" x14ac:dyDescent="0.25">
      <c r="A16127" s="15"/>
    </row>
    <row r="16128" spans="1:1" x14ac:dyDescent="0.25">
      <c r="A16128" s="15"/>
    </row>
    <row r="16129" spans="1:1" x14ac:dyDescent="0.25">
      <c r="A16129" s="15"/>
    </row>
    <row r="16130" spans="1:1" x14ac:dyDescent="0.25">
      <c r="A16130" s="15"/>
    </row>
    <row r="16131" spans="1:1" x14ac:dyDescent="0.25">
      <c r="A16131" s="15"/>
    </row>
    <row r="16132" spans="1:1" x14ac:dyDescent="0.25">
      <c r="A16132" s="15"/>
    </row>
    <row r="16133" spans="1:1" x14ac:dyDescent="0.25">
      <c r="A16133" s="15"/>
    </row>
    <row r="16134" spans="1:1" x14ac:dyDescent="0.25">
      <c r="A16134" s="15"/>
    </row>
    <row r="16135" spans="1:1" x14ac:dyDescent="0.25">
      <c r="A16135" s="15"/>
    </row>
    <row r="16136" spans="1:1" x14ac:dyDescent="0.25">
      <c r="A16136" s="15"/>
    </row>
    <row r="16137" spans="1:1" x14ac:dyDescent="0.25">
      <c r="A16137" s="15"/>
    </row>
    <row r="16138" spans="1:1" x14ac:dyDescent="0.25">
      <c r="A16138" s="15"/>
    </row>
    <row r="16139" spans="1:1" x14ac:dyDescent="0.25">
      <c r="A16139" s="15"/>
    </row>
    <row r="16140" spans="1:1" x14ac:dyDescent="0.25">
      <c r="A16140" s="15"/>
    </row>
    <row r="16141" spans="1:1" x14ac:dyDescent="0.25">
      <c r="A16141" s="15"/>
    </row>
    <row r="16142" spans="1:1" x14ac:dyDescent="0.25">
      <c r="A16142" s="15"/>
    </row>
    <row r="16143" spans="1:1" x14ac:dyDescent="0.25">
      <c r="A16143" s="15"/>
    </row>
    <row r="16144" spans="1:1" x14ac:dyDescent="0.25">
      <c r="A16144" s="15"/>
    </row>
    <row r="16145" spans="1:1" x14ac:dyDescent="0.25">
      <c r="A16145" s="15"/>
    </row>
    <row r="16146" spans="1:1" x14ac:dyDescent="0.25">
      <c r="A16146" s="15"/>
    </row>
    <row r="16147" spans="1:1" x14ac:dyDescent="0.25">
      <c r="A16147" s="15"/>
    </row>
    <row r="16148" spans="1:1" x14ac:dyDescent="0.25">
      <c r="A16148" s="15"/>
    </row>
    <row r="16149" spans="1:1" x14ac:dyDescent="0.25">
      <c r="A16149" s="15"/>
    </row>
    <row r="16150" spans="1:1" x14ac:dyDescent="0.25">
      <c r="A16150" s="15"/>
    </row>
    <row r="16151" spans="1:1" x14ac:dyDescent="0.25">
      <c r="A16151" s="15"/>
    </row>
    <row r="16152" spans="1:1" x14ac:dyDescent="0.25">
      <c r="A16152" s="15"/>
    </row>
    <row r="16153" spans="1:1" x14ac:dyDescent="0.25">
      <c r="A16153" s="15"/>
    </row>
    <row r="16154" spans="1:1" x14ac:dyDescent="0.25">
      <c r="A16154" s="15"/>
    </row>
    <row r="16155" spans="1:1" x14ac:dyDescent="0.25">
      <c r="A16155" s="15"/>
    </row>
    <row r="16156" spans="1:1" x14ac:dyDescent="0.25">
      <c r="A16156" s="15"/>
    </row>
    <row r="16157" spans="1:1" x14ac:dyDescent="0.25">
      <c r="A16157" s="15"/>
    </row>
    <row r="16158" spans="1:1" x14ac:dyDescent="0.25">
      <c r="A16158" s="15"/>
    </row>
    <row r="16159" spans="1:1" x14ac:dyDescent="0.25">
      <c r="A16159" s="15"/>
    </row>
    <row r="16160" spans="1:1" x14ac:dyDescent="0.25">
      <c r="A16160" s="15"/>
    </row>
    <row r="16161" spans="1:1" x14ac:dyDescent="0.25">
      <c r="A16161" s="15"/>
    </row>
    <row r="16162" spans="1:1" x14ac:dyDescent="0.25">
      <c r="A16162" s="15"/>
    </row>
    <row r="16163" spans="1:1" x14ac:dyDescent="0.25">
      <c r="A16163" s="15"/>
    </row>
    <row r="16164" spans="1:1" x14ac:dyDescent="0.25">
      <c r="A16164" s="15"/>
    </row>
    <row r="16165" spans="1:1" x14ac:dyDescent="0.25">
      <c r="A16165" s="15"/>
    </row>
    <row r="16166" spans="1:1" x14ac:dyDescent="0.25">
      <c r="A16166" s="15"/>
    </row>
    <row r="16167" spans="1:1" x14ac:dyDescent="0.25">
      <c r="A16167" s="15"/>
    </row>
    <row r="16168" spans="1:1" x14ac:dyDescent="0.25">
      <c r="A16168" s="15"/>
    </row>
    <row r="16169" spans="1:1" x14ac:dyDescent="0.25">
      <c r="A16169" s="15"/>
    </row>
    <row r="16170" spans="1:1" x14ac:dyDescent="0.25">
      <c r="A16170" s="15"/>
    </row>
    <row r="16171" spans="1:1" x14ac:dyDescent="0.25">
      <c r="A16171" s="15"/>
    </row>
    <row r="16172" spans="1:1" x14ac:dyDescent="0.25">
      <c r="A16172" s="15"/>
    </row>
    <row r="16173" spans="1:1" x14ac:dyDescent="0.25">
      <c r="A16173" s="15"/>
    </row>
    <row r="16174" spans="1:1" x14ac:dyDescent="0.25">
      <c r="A16174" s="15"/>
    </row>
    <row r="16175" spans="1:1" x14ac:dyDescent="0.25">
      <c r="A16175" s="15"/>
    </row>
    <row r="16176" spans="1:1" x14ac:dyDescent="0.25">
      <c r="A16176" s="15"/>
    </row>
    <row r="16177" spans="1:1" x14ac:dyDescent="0.25">
      <c r="A16177" s="15"/>
    </row>
    <row r="16178" spans="1:1" x14ac:dyDescent="0.25">
      <c r="A16178" s="15"/>
    </row>
    <row r="16179" spans="1:1" x14ac:dyDescent="0.25">
      <c r="A16179" s="15"/>
    </row>
    <row r="16180" spans="1:1" x14ac:dyDescent="0.25">
      <c r="A16180" s="15"/>
    </row>
    <row r="16181" spans="1:1" x14ac:dyDescent="0.25">
      <c r="A16181" s="15"/>
    </row>
    <row r="16182" spans="1:1" x14ac:dyDescent="0.25">
      <c r="A16182" s="15"/>
    </row>
    <row r="16183" spans="1:1" x14ac:dyDescent="0.25">
      <c r="A16183" s="15"/>
    </row>
    <row r="16184" spans="1:1" x14ac:dyDescent="0.25">
      <c r="A16184" s="15"/>
    </row>
    <row r="16185" spans="1:1" x14ac:dyDescent="0.25">
      <c r="A16185" s="15"/>
    </row>
    <row r="16186" spans="1:1" x14ac:dyDescent="0.25">
      <c r="A16186" s="15"/>
    </row>
    <row r="16187" spans="1:1" x14ac:dyDescent="0.25">
      <c r="A16187" s="15"/>
    </row>
    <row r="16188" spans="1:1" x14ac:dyDescent="0.25">
      <c r="A16188" s="15"/>
    </row>
    <row r="16189" spans="1:1" x14ac:dyDescent="0.25">
      <c r="A16189" s="15"/>
    </row>
    <row r="16190" spans="1:1" x14ac:dyDescent="0.25">
      <c r="A16190" s="15"/>
    </row>
    <row r="16191" spans="1:1" x14ac:dyDescent="0.25">
      <c r="A16191" s="15"/>
    </row>
    <row r="16192" spans="1:1" x14ac:dyDescent="0.25">
      <c r="A16192" s="15"/>
    </row>
    <row r="16193" spans="1:1" x14ac:dyDescent="0.25">
      <c r="A16193" s="15"/>
    </row>
    <row r="16194" spans="1:1" x14ac:dyDescent="0.25">
      <c r="A16194" s="15"/>
    </row>
    <row r="16195" spans="1:1" x14ac:dyDescent="0.25">
      <c r="A16195" s="15"/>
    </row>
    <row r="16196" spans="1:1" x14ac:dyDescent="0.25">
      <c r="A16196" s="15"/>
    </row>
    <row r="16197" spans="1:1" x14ac:dyDescent="0.25">
      <c r="A16197" s="15"/>
    </row>
    <row r="16198" spans="1:1" x14ac:dyDescent="0.25">
      <c r="A16198" s="15"/>
    </row>
    <row r="16199" spans="1:1" x14ac:dyDescent="0.25">
      <c r="A16199" s="15"/>
    </row>
    <row r="16200" spans="1:1" x14ac:dyDescent="0.25">
      <c r="A16200" s="15"/>
    </row>
    <row r="16201" spans="1:1" x14ac:dyDescent="0.25">
      <c r="A16201" s="15"/>
    </row>
    <row r="16202" spans="1:1" x14ac:dyDescent="0.25">
      <c r="A16202" s="15"/>
    </row>
    <row r="16203" spans="1:1" x14ac:dyDescent="0.25">
      <c r="A16203" s="15"/>
    </row>
    <row r="16204" spans="1:1" x14ac:dyDescent="0.25">
      <c r="A16204" s="15"/>
    </row>
    <row r="16205" spans="1:1" x14ac:dyDescent="0.25">
      <c r="A16205" s="15"/>
    </row>
    <row r="16206" spans="1:1" x14ac:dyDescent="0.25">
      <c r="A16206" s="15"/>
    </row>
    <row r="16207" spans="1:1" x14ac:dyDescent="0.25">
      <c r="A16207" s="15"/>
    </row>
    <row r="16208" spans="1:1" x14ac:dyDescent="0.25">
      <c r="A16208" s="15"/>
    </row>
    <row r="16209" spans="1:1" x14ac:dyDescent="0.25">
      <c r="A16209" s="15"/>
    </row>
    <row r="16210" spans="1:1" x14ac:dyDescent="0.25">
      <c r="A16210" s="15"/>
    </row>
    <row r="16211" spans="1:1" x14ac:dyDescent="0.25">
      <c r="A16211" s="15"/>
    </row>
    <row r="16212" spans="1:1" x14ac:dyDescent="0.25">
      <c r="A16212" s="15"/>
    </row>
    <row r="16213" spans="1:1" x14ac:dyDescent="0.25">
      <c r="A16213" s="15"/>
    </row>
    <row r="16214" spans="1:1" x14ac:dyDescent="0.25">
      <c r="A16214" s="15"/>
    </row>
    <row r="16215" spans="1:1" x14ac:dyDescent="0.25">
      <c r="A16215" s="15"/>
    </row>
    <row r="16216" spans="1:1" x14ac:dyDescent="0.25">
      <c r="A16216" s="15"/>
    </row>
    <row r="16217" spans="1:1" x14ac:dyDescent="0.25">
      <c r="A16217" s="15"/>
    </row>
    <row r="16218" spans="1:1" x14ac:dyDescent="0.25">
      <c r="A16218" s="15"/>
    </row>
    <row r="16219" spans="1:1" x14ac:dyDescent="0.25">
      <c r="A16219" s="15"/>
    </row>
    <row r="16220" spans="1:1" x14ac:dyDescent="0.25">
      <c r="A16220" s="15"/>
    </row>
    <row r="16221" spans="1:1" x14ac:dyDescent="0.25">
      <c r="A16221" s="15"/>
    </row>
    <row r="16222" spans="1:1" x14ac:dyDescent="0.25">
      <c r="A16222" s="15"/>
    </row>
    <row r="16223" spans="1:1" x14ac:dyDescent="0.25">
      <c r="A16223" s="15"/>
    </row>
    <row r="16224" spans="1:1" x14ac:dyDescent="0.25">
      <c r="A16224" s="15"/>
    </row>
    <row r="16225" spans="1:1" x14ac:dyDescent="0.25">
      <c r="A16225" s="15"/>
    </row>
    <row r="16226" spans="1:1" x14ac:dyDescent="0.25">
      <c r="A16226" s="15"/>
    </row>
    <row r="16227" spans="1:1" x14ac:dyDescent="0.25">
      <c r="A16227" s="15"/>
    </row>
    <row r="16228" spans="1:1" x14ac:dyDescent="0.25">
      <c r="A16228" s="15"/>
    </row>
    <row r="16229" spans="1:1" x14ac:dyDescent="0.25">
      <c r="A16229" s="15"/>
    </row>
    <row r="16230" spans="1:1" x14ac:dyDescent="0.25">
      <c r="A16230" s="15"/>
    </row>
    <row r="16231" spans="1:1" x14ac:dyDescent="0.25">
      <c r="A16231" s="15"/>
    </row>
    <row r="16232" spans="1:1" x14ac:dyDescent="0.25">
      <c r="A16232" s="15"/>
    </row>
    <row r="16233" spans="1:1" x14ac:dyDescent="0.25">
      <c r="A16233" s="15"/>
    </row>
    <row r="16234" spans="1:1" x14ac:dyDescent="0.25">
      <c r="A16234" s="15"/>
    </row>
    <row r="16235" spans="1:1" x14ac:dyDescent="0.25">
      <c r="A16235" s="15"/>
    </row>
    <row r="16236" spans="1:1" x14ac:dyDescent="0.25">
      <c r="A16236" s="15"/>
    </row>
    <row r="16237" spans="1:1" x14ac:dyDescent="0.25">
      <c r="A16237" s="15"/>
    </row>
    <row r="16238" spans="1:1" x14ac:dyDescent="0.25">
      <c r="A16238" s="15"/>
    </row>
    <row r="16239" spans="1:1" x14ac:dyDescent="0.25">
      <c r="A16239" s="15"/>
    </row>
    <row r="16240" spans="1:1" x14ac:dyDescent="0.25">
      <c r="A16240" s="15"/>
    </row>
    <row r="16241" spans="1:1" x14ac:dyDescent="0.25">
      <c r="A16241" s="15"/>
    </row>
    <row r="16242" spans="1:1" x14ac:dyDescent="0.25">
      <c r="A16242" s="15"/>
    </row>
    <row r="16243" spans="1:1" x14ac:dyDescent="0.25">
      <c r="A16243" s="15"/>
    </row>
    <row r="16244" spans="1:1" x14ac:dyDescent="0.25">
      <c r="A16244" s="15"/>
    </row>
    <row r="16245" spans="1:1" x14ac:dyDescent="0.25">
      <c r="A16245" s="15"/>
    </row>
    <row r="16246" spans="1:1" x14ac:dyDescent="0.25">
      <c r="A16246" s="15"/>
    </row>
    <row r="16247" spans="1:1" x14ac:dyDescent="0.25">
      <c r="A16247" s="15"/>
    </row>
    <row r="16248" spans="1:1" x14ac:dyDescent="0.25">
      <c r="A16248" s="15"/>
    </row>
    <row r="16249" spans="1:1" x14ac:dyDescent="0.25">
      <c r="A16249" s="15"/>
    </row>
    <row r="16250" spans="1:1" x14ac:dyDescent="0.25">
      <c r="A16250" s="15"/>
    </row>
    <row r="16251" spans="1:1" x14ac:dyDescent="0.25">
      <c r="A16251" s="15"/>
    </row>
    <row r="16252" spans="1:1" x14ac:dyDescent="0.25">
      <c r="A16252" s="15"/>
    </row>
    <row r="16253" spans="1:1" x14ac:dyDescent="0.25">
      <c r="A16253" s="15"/>
    </row>
    <row r="16254" spans="1:1" x14ac:dyDescent="0.25">
      <c r="A16254" s="15"/>
    </row>
    <row r="16255" spans="1:1" x14ac:dyDescent="0.25">
      <c r="A16255" s="15"/>
    </row>
    <row r="16256" spans="1:1" x14ac:dyDescent="0.25">
      <c r="A16256" s="15"/>
    </row>
    <row r="16257" spans="1:1" x14ac:dyDescent="0.25">
      <c r="A16257" s="15"/>
    </row>
    <row r="16258" spans="1:1" x14ac:dyDescent="0.25">
      <c r="A16258" s="15"/>
    </row>
    <row r="16259" spans="1:1" x14ac:dyDescent="0.25">
      <c r="A16259" s="15"/>
    </row>
    <row r="16260" spans="1:1" x14ac:dyDescent="0.25">
      <c r="A16260" s="15"/>
    </row>
    <row r="16261" spans="1:1" x14ac:dyDescent="0.25">
      <c r="A16261" s="15"/>
    </row>
    <row r="16262" spans="1:1" x14ac:dyDescent="0.25">
      <c r="A16262" s="15"/>
    </row>
    <row r="16263" spans="1:1" x14ac:dyDescent="0.25">
      <c r="A16263" s="15"/>
    </row>
    <row r="16264" spans="1:1" x14ac:dyDescent="0.25">
      <c r="A16264" s="15"/>
    </row>
    <row r="16265" spans="1:1" x14ac:dyDescent="0.25">
      <c r="A16265" s="15"/>
    </row>
    <row r="16266" spans="1:1" x14ac:dyDescent="0.25">
      <c r="A16266" s="15"/>
    </row>
    <row r="16267" spans="1:1" x14ac:dyDescent="0.25">
      <c r="A16267" s="15"/>
    </row>
    <row r="16268" spans="1:1" x14ac:dyDescent="0.25">
      <c r="A16268" s="15"/>
    </row>
    <row r="16269" spans="1:1" x14ac:dyDescent="0.25">
      <c r="A16269" s="15"/>
    </row>
    <row r="16270" spans="1:1" x14ac:dyDescent="0.25">
      <c r="A16270" s="15"/>
    </row>
    <row r="16271" spans="1:1" x14ac:dyDescent="0.25">
      <c r="A16271" s="15"/>
    </row>
    <row r="16272" spans="1:1" x14ac:dyDescent="0.25">
      <c r="A16272" s="15"/>
    </row>
    <row r="16273" spans="1:1" x14ac:dyDescent="0.25">
      <c r="A16273" s="15"/>
    </row>
    <row r="16274" spans="1:1" x14ac:dyDescent="0.25">
      <c r="A16274" s="15"/>
    </row>
    <row r="16275" spans="1:1" x14ac:dyDescent="0.25">
      <c r="A16275" s="15"/>
    </row>
    <row r="16276" spans="1:1" x14ac:dyDescent="0.25">
      <c r="A16276" s="15"/>
    </row>
    <row r="16277" spans="1:1" x14ac:dyDescent="0.25">
      <c r="A16277" s="15"/>
    </row>
    <row r="16278" spans="1:1" x14ac:dyDescent="0.25">
      <c r="A16278" s="15"/>
    </row>
    <row r="16279" spans="1:1" x14ac:dyDescent="0.25">
      <c r="A16279" s="15"/>
    </row>
    <row r="16280" spans="1:1" x14ac:dyDescent="0.25">
      <c r="A16280" s="15"/>
    </row>
    <row r="16281" spans="1:1" x14ac:dyDescent="0.25">
      <c r="A16281" s="15"/>
    </row>
    <row r="16282" spans="1:1" x14ac:dyDescent="0.25">
      <c r="A16282" s="15"/>
    </row>
    <row r="16283" spans="1:1" x14ac:dyDescent="0.25">
      <c r="A16283" s="15"/>
    </row>
    <row r="16284" spans="1:1" x14ac:dyDescent="0.25">
      <c r="A16284" s="15"/>
    </row>
    <row r="16285" spans="1:1" x14ac:dyDescent="0.25">
      <c r="A16285" s="15"/>
    </row>
    <row r="16286" spans="1:1" x14ac:dyDescent="0.25">
      <c r="A16286" s="15"/>
    </row>
    <row r="16287" spans="1:1" x14ac:dyDescent="0.25">
      <c r="A16287" s="15"/>
    </row>
    <row r="16288" spans="1:1" x14ac:dyDescent="0.25">
      <c r="A16288" s="15"/>
    </row>
    <row r="16289" spans="1:1" x14ac:dyDescent="0.25">
      <c r="A16289" s="15"/>
    </row>
    <row r="16290" spans="1:1" x14ac:dyDescent="0.25">
      <c r="A16290" s="15"/>
    </row>
    <row r="16291" spans="1:1" x14ac:dyDescent="0.25">
      <c r="A16291" s="15"/>
    </row>
    <row r="16292" spans="1:1" x14ac:dyDescent="0.25">
      <c r="A16292" s="15"/>
    </row>
    <row r="16293" spans="1:1" x14ac:dyDescent="0.25">
      <c r="A16293" s="15"/>
    </row>
    <row r="16294" spans="1:1" x14ac:dyDescent="0.25">
      <c r="A16294" s="15"/>
    </row>
    <row r="16295" spans="1:1" x14ac:dyDescent="0.25">
      <c r="A16295" s="15"/>
    </row>
    <row r="16296" spans="1:1" x14ac:dyDescent="0.25">
      <c r="A16296" s="15"/>
    </row>
    <row r="16297" spans="1:1" x14ac:dyDescent="0.25">
      <c r="A16297" s="15"/>
    </row>
    <row r="16298" spans="1:1" x14ac:dyDescent="0.25">
      <c r="A16298" s="15"/>
    </row>
    <row r="16299" spans="1:1" x14ac:dyDescent="0.25">
      <c r="A16299" s="15"/>
    </row>
    <row r="16300" spans="1:1" x14ac:dyDescent="0.25">
      <c r="A16300" s="15"/>
    </row>
    <row r="16301" spans="1:1" x14ac:dyDescent="0.25">
      <c r="A16301" s="15"/>
    </row>
    <row r="16302" spans="1:1" x14ac:dyDescent="0.25">
      <c r="A16302" s="15"/>
    </row>
    <row r="16303" spans="1:1" x14ac:dyDescent="0.25">
      <c r="A16303" s="15"/>
    </row>
    <row r="16304" spans="1:1" x14ac:dyDescent="0.25">
      <c r="A16304" s="15"/>
    </row>
    <row r="16305" spans="1:1" x14ac:dyDescent="0.25">
      <c r="A16305" s="15"/>
    </row>
    <row r="16306" spans="1:1" x14ac:dyDescent="0.25">
      <c r="A16306" s="15"/>
    </row>
    <row r="16307" spans="1:1" x14ac:dyDescent="0.25">
      <c r="A16307" s="15"/>
    </row>
    <row r="16308" spans="1:1" x14ac:dyDescent="0.25">
      <c r="A16308" s="15"/>
    </row>
    <row r="16309" spans="1:1" x14ac:dyDescent="0.25">
      <c r="A16309" s="15"/>
    </row>
    <row r="16310" spans="1:1" x14ac:dyDescent="0.25">
      <c r="A16310" s="15"/>
    </row>
    <row r="16311" spans="1:1" x14ac:dyDescent="0.25">
      <c r="A16311" s="15"/>
    </row>
    <row r="16312" spans="1:1" x14ac:dyDescent="0.25">
      <c r="A16312" s="15"/>
    </row>
    <row r="16313" spans="1:1" x14ac:dyDescent="0.25">
      <c r="A16313" s="15"/>
    </row>
    <row r="16314" spans="1:1" x14ac:dyDescent="0.25">
      <c r="A16314" s="15"/>
    </row>
    <row r="16315" spans="1:1" x14ac:dyDescent="0.25">
      <c r="A16315" s="15"/>
    </row>
    <row r="16316" spans="1:1" x14ac:dyDescent="0.25">
      <c r="A16316" s="15"/>
    </row>
    <row r="16317" spans="1:1" x14ac:dyDescent="0.25">
      <c r="A16317" s="15"/>
    </row>
    <row r="16318" spans="1:1" x14ac:dyDescent="0.25">
      <c r="A16318" s="15"/>
    </row>
    <row r="16319" spans="1:1" x14ac:dyDescent="0.25">
      <c r="A16319" s="15"/>
    </row>
    <row r="16320" spans="1:1" x14ac:dyDescent="0.25">
      <c r="A16320" s="15"/>
    </row>
    <row r="16321" spans="1:1" x14ac:dyDescent="0.25">
      <c r="A16321" s="15"/>
    </row>
    <row r="16322" spans="1:1" x14ac:dyDescent="0.25">
      <c r="A16322" s="15"/>
    </row>
    <row r="16323" spans="1:1" x14ac:dyDescent="0.25">
      <c r="A16323" s="15"/>
    </row>
    <row r="16324" spans="1:1" x14ac:dyDescent="0.25">
      <c r="A16324" s="15"/>
    </row>
    <row r="16325" spans="1:1" x14ac:dyDescent="0.25">
      <c r="A16325" s="15"/>
    </row>
    <row r="16326" spans="1:1" x14ac:dyDescent="0.25">
      <c r="A16326" s="15"/>
    </row>
    <row r="16327" spans="1:1" x14ac:dyDescent="0.25">
      <c r="A16327" s="15"/>
    </row>
    <row r="16328" spans="1:1" x14ac:dyDescent="0.25">
      <c r="A16328" s="15"/>
    </row>
    <row r="16329" spans="1:1" x14ac:dyDescent="0.25">
      <c r="A16329" s="15"/>
    </row>
    <row r="16330" spans="1:1" x14ac:dyDescent="0.25">
      <c r="A16330" s="15"/>
    </row>
    <row r="16331" spans="1:1" x14ac:dyDescent="0.25">
      <c r="A16331" s="15"/>
    </row>
    <row r="16332" spans="1:1" x14ac:dyDescent="0.25">
      <c r="A16332" s="15"/>
    </row>
    <row r="16333" spans="1:1" x14ac:dyDescent="0.25">
      <c r="A16333" s="15"/>
    </row>
    <row r="16334" spans="1:1" x14ac:dyDescent="0.25">
      <c r="A16334" s="15"/>
    </row>
    <row r="16335" spans="1:1" x14ac:dyDescent="0.25">
      <c r="A16335" s="15"/>
    </row>
    <row r="16336" spans="1:1" x14ac:dyDescent="0.25">
      <c r="A16336" s="15"/>
    </row>
    <row r="16337" spans="1:1" x14ac:dyDescent="0.25">
      <c r="A16337" s="15"/>
    </row>
    <row r="16338" spans="1:1" x14ac:dyDescent="0.25">
      <c r="A16338" s="15"/>
    </row>
    <row r="16339" spans="1:1" x14ac:dyDescent="0.25">
      <c r="A16339" s="15"/>
    </row>
    <row r="16340" spans="1:1" x14ac:dyDescent="0.25">
      <c r="A16340" s="15"/>
    </row>
    <row r="16341" spans="1:1" x14ac:dyDescent="0.25">
      <c r="A16341" s="15"/>
    </row>
    <row r="16342" spans="1:1" x14ac:dyDescent="0.25">
      <c r="A16342" s="15"/>
    </row>
    <row r="16343" spans="1:1" x14ac:dyDescent="0.25">
      <c r="A16343" s="15"/>
    </row>
    <row r="16344" spans="1:1" x14ac:dyDescent="0.25">
      <c r="A16344" s="15"/>
    </row>
    <row r="16345" spans="1:1" x14ac:dyDescent="0.25">
      <c r="A16345" s="15"/>
    </row>
    <row r="16346" spans="1:1" x14ac:dyDescent="0.25">
      <c r="A16346" s="15"/>
    </row>
    <row r="16347" spans="1:1" x14ac:dyDescent="0.25">
      <c r="A16347" s="15"/>
    </row>
    <row r="16348" spans="1:1" x14ac:dyDescent="0.25">
      <c r="A16348" s="15"/>
    </row>
    <row r="16349" spans="1:1" x14ac:dyDescent="0.25">
      <c r="A16349" s="15"/>
    </row>
    <row r="16350" spans="1:1" x14ac:dyDescent="0.25">
      <c r="A16350" s="15"/>
    </row>
    <row r="16351" spans="1:1" x14ac:dyDescent="0.25">
      <c r="A16351" s="15"/>
    </row>
    <row r="16352" spans="1:1" x14ac:dyDescent="0.25">
      <c r="A16352" s="15"/>
    </row>
    <row r="16353" spans="1:1" x14ac:dyDescent="0.25">
      <c r="A16353" s="15"/>
    </row>
    <row r="16354" spans="1:1" x14ac:dyDescent="0.25">
      <c r="A16354" s="15"/>
    </row>
    <row r="16355" spans="1:1" x14ac:dyDescent="0.25">
      <c r="A16355" s="15"/>
    </row>
    <row r="16356" spans="1:1" x14ac:dyDescent="0.25">
      <c r="A16356" s="15"/>
    </row>
    <row r="16357" spans="1:1" x14ac:dyDescent="0.25">
      <c r="A16357" s="15"/>
    </row>
    <row r="16358" spans="1:1" x14ac:dyDescent="0.25">
      <c r="A16358" s="15"/>
    </row>
    <row r="16359" spans="1:1" x14ac:dyDescent="0.25">
      <c r="A16359" s="15"/>
    </row>
    <row r="16360" spans="1:1" x14ac:dyDescent="0.25">
      <c r="A16360" s="15"/>
    </row>
    <row r="16361" spans="1:1" x14ac:dyDescent="0.25">
      <c r="A16361" s="15"/>
    </row>
    <row r="16362" spans="1:1" x14ac:dyDescent="0.25">
      <c r="A16362" s="15"/>
    </row>
    <row r="16363" spans="1:1" x14ac:dyDescent="0.25">
      <c r="A16363" s="15"/>
    </row>
    <row r="16364" spans="1:1" x14ac:dyDescent="0.25">
      <c r="A16364" s="15"/>
    </row>
    <row r="16365" spans="1:1" x14ac:dyDescent="0.25">
      <c r="A16365" s="15"/>
    </row>
    <row r="16366" spans="1:1" x14ac:dyDescent="0.25">
      <c r="A16366" s="15"/>
    </row>
    <row r="16367" spans="1:1" x14ac:dyDescent="0.25">
      <c r="A16367" s="15"/>
    </row>
    <row r="16368" spans="1:1" x14ac:dyDescent="0.25">
      <c r="A16368" s="15"/>
    </row>
    <row r="16369" spans="1:1" x14ac:dyDescent="0.25">
      <c r="A16369" s="15"/>
    </row>
    <row r="16370" spans="1:1" x14ac:dyDescent="0.25">
      <c r="A16370" s="15"/>
    </row>
    <row r="16371" spans="1:1" x14ac:dyDescent="0.25">
      <c r="A16371" s="15"/>
    </row>
    <row r="16372" spans="1:1" x14ac:dyDescent="0.25">
      <c r="A16372" s="15"/>
    </row>
    <row r="16373" spans="1:1" x14ac:dyDescent="0.25">
      <c r="A16373" s="15"/>
    </row>
    <row r="16374" spans="1:1" x14ac:dyDescent="0.25">
      <c r="A16374" s="15"/>
    </row>
    <row r="16375" spans="1:1" x14ac:dyDescent="0.25">
      <c r="A16375" s="15"/>
    </row>
    <row r="16376" spans="1:1" x14ac:dyDescent="0.25">
      <c r="A16376" s="15"/>
    </row>
    <row r="16377" spans="1:1" x14ac:dyDescent="0.25">
      <c r="A16377" s="15"/>
    </row>
    <row r="16378" spans="1:1" x14ac:dyDescent="0.25">
      <c r="A16378" s="15"/>
    </row>
    <row r="16379" spans="1:1" x14ac:dyDescent="0.25">
      <c r="A16379" s="15"/>
    </row>
    <row r="16380" spans="1:1" x14ac:dyDescent="0.25">
      <c r="A16380" s="15"/>
    </row>
    <row r="16381" spans="1:1" x14ac:dyDescent="0.25">
      <c r="A16381" s="15"/>
    </row>
    <row r="16382" spans="1:1" x14ac:dyDescent="0.25">
      <c r="A16382" s="15"/>
    </row>
    <row r="16383" spans="1:1" x14ac:dyDescent="0.25">
      <c r="A16383" s="15"/>
    </row>
    <row r="16384" spans="1:1" x14ac:dyDescent="0.25">
      <c r="A16384" s="15"/>
    </row>
    <row r="16385" spans="1:1" x14ac:dyDescent="0.25">
      <c r="A16385" s="15"/>
    </row>
    <row r="16386" spans="1:1" x14ac:dyDescent="0.25">
      <c r="A16386" s="15"/>
    </row>
    <row r="16387" spans="1:1" x14ac:dyDescent="0.25">
      <c r="A16387" s="15"/>
    </row>
    <row r="16388" spans="1:1" x14ac:dyDescent="0.25">
      <c r="A16388" s="15"/>
    </row>
    <row r="16389" spans="1:1" x14ac:dyDescent="0.25">
      <c r="A16389" s="1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22EA1-BAD4-4012-8A13-C5FFC0CE9FB4}">
  <sheetPr codeName="Sheet8"/>
  <dimension ref="A1:AY1270"/>
  <sheetViews>
    <sheetView topLeftCell="V1" workbookViewId="0">
      <selection sqref="A1:AY655"/>
    </sheetView>
  </sheetViews>
  <sheetFormatPr defaultColWidth="8.85546875" defaultRowHeight="15" x14ac:dyDescent="0.25"/>
  <cols>
    <col min="1" max="1" width="86.28515625" bestFit="1" customWidth="1"/>
    <col min="21" max="21" width="26.140625" customWidth="1"/>
    <col min="22" max="22" width="22.140625" customWidth="1"/>
  </cols>
  <sheetData>
    <row r="1" spans="1:51" x14ac:dyDescent="0.25">
      <c r="A1" t="s">
        <v>1120</v>
      </c>
      <c r="B1" t="s">
        <v>1121</v>
      </c>
      <c r="C1" t="s">
        <v>1122</v>
      </c>
      <c r="D1" t="s">
        <v>1123</v>
      </c>
      <c r="E1" t="s">
        <v>1124</v>
      </c>
      <c r="F1" t="s">
        <v>980</v>
      </c>
      <c r="G1" t="s">
        <v>1125</v>
      </c>
      <c r="H1" t="s">
        <v>1126</v>
      </c>
      <c r="I1" t="s">
        <v>1127</v>
      </c>
      <c r="J1" t="s">
        <v>1128</v>
      </c>
      <c r="K1" t="s">
        <v>982</v>
      </c>
      <c r="L1" t="s">
        <v>1129</v>
      </c>
      <c r="M1" t="s">
        <v>1130</v>
      </c>
      <c r="N1" t="s">
        <v>1021</v>
      </c>
      <c r="O1" t="s">
        <v>1131</v>
      </c>
      <c r="P1" t="s">
        <v>1132</v>
      </c>
      <c r="Q1" t="s">
        <v>1133</v>
      </c>
      <c r="R1" t="s">
        <v>1134</v>
      </c>
      <c r="S1" t="s">
        <v>1135</v>
      </c>
      <c r="T1" t="s">
        <v>1136</v>
      </c>
      <c r="U1" t="s">
        <v>1137</v>
      </c>
      <c r="V1" t="s">
        <v>1138</v>
      </c>
      <c r="W1" t="s">
        <v>1139</v>
      </c>
      <c r="X1" t="s">
        <v>1140</v>
      </c>
      <c r="Y1" t="s">
        <v>1141</v>
      </c>
      <c r="Z1" t="s">
        <v>1142</v>
      </c>
      <c r="AA1" t="s">
        <v>1143</v>
      </c>
      <c r="AB1" t="s">
        <v>1144</v>
      </c>
      <c r="AC1" t="s">
        <v>1145</v>
      </c>
      <c r="AD1" t="s">
        <v>1146</v>
      </c>
      <c r="AE1" t="s">
        <v>1147</v>
      </c>
      <c r="AF1" t="s">
        <v>1148</v>
      </c>
      <c r="AG1" t="s">
        <v>1149</v>
      </c>
      <c r="AH1" t="s">
        <v>1150</v>
      </c>
      <c r="AI1" t="s">
        <v>1151</v>
      </c>
      <c r="AJ1" t="s">
        <v>1152</v>
      </c>
      <c r="AK1" t="s">
        <v>1153</v>
      </c>
      <c r="AL1" t="s">
        <v>1154</v>
      </c>
      <c r="AM1" t="s">
        <v>1155</v>
      </c>
      <c r="AN1" t="s">
        <v>1156</v>
      </c>
      <c r="AO1" t="s">
        <v>1157</v>
      </c>
      <c r="AP1" t="s">
        <v>1158</v>
      </c>
      <c r="AQ1" t="s">
        <v>1159</v>
      </c>
      <c r="AR1" t="s">
        <v>1160</v>
      </c>
      <c r="AS1" t="s">
        <v>1161</v>
      </c>
      <c r="AT1" t="s">
        <v>1162</v>
      </c>
      <c r="AU1" t="s">
        <v>1163</v>
      </c>
      <c r="AV1" t="s">
        <v>1164</v>
      </c>
      <c r="AW1" t="s">
        <v>1165</v>
      </c>
      <c r="AX1" t="s">
        <v>1166</v>
      </c>
      <c r="AY1" t="s">
        <v>1167</v>
      </c>
    </row>
    <row r="2" spans="1:51" x14ac:dyDescent="0.25">
      <c r="A2" t="s">
        <v>1997</v>
      </c>
      <c r="B2" t="s">
        <v>1168</v>
      </c>
      <c r="C2" t="s">
        <v>1222</v>
      </c>
      <c r="E2">
        <v>1</v>
      </c>
      <c r="F2">
        <v>1</v>
      </c>
      <c r="H2" t="s">
        <v>1170</v>
      </c>
      <c r="I2" t="s">
        <v>1171</v>
      </c>
      <c r="J2" t="s">
        <v>1172</v>
      </c>
      <c r="K2" t="s">
        <v>1173</v>
      </c>
      <c r="L2" t="s">
        <v>1174</v>
      </c>
      <c r="N2" t="s">
        <v>50</v>
      </c>
      <c r="O2">
        <v>1</v>
      </c>
      <c r="Q2">
        <v>0</v>
      </c>
      <c r="R2">
        <v>0</v>
      </c>
      <c r="S2">
        <v>0</v>
      </c>
      <c r="T2">
        <v>0</v>
      </c>
      <c r="U2" s="20">
        <v>45693.892824074072</v>
      </c>
      <c r="V2" s="20">
        <v>46029.629942129628</v>
      </c>
      <c r="Z2" t="s">
        <v>1175</v>
      </c>
      <c r="AA2" t="s">
        <v>45</v>
      </c>
      <c r="AB2" t="s">
        <v>86</v>
      </c>
      <c r="AD2" t="s">
        <v>1999</v>
      </c>
      <c r="AE2" t="s">
        <v>2000</v>
      </c>
      <c r="AF2" t="s">
        <v>1997</v>
      </c>
      <c r="AH2" t="s">
        <v>1179</v>
      </c>
      <c r="AI2" t="s">
        <v>1984</v>
      </c>
      <c r="AJ2">
        <v>1542</v>
      </c>
      <c r="AK2" t="s">
        <v>2003</v>
      </c>
      <c r="AU2" t="s">
        <v>45</v>
      </c>
      <c r="AX2" t="s">
        <v>3417</v>
      </c>
      <c r="AY2" t="s">
        <v>3418</v>
      </c>
    </row>
    <row r="3" spans="1:51" x14ac:dyDescent="0.25">
      <c r="A3" t="s">
        <v>2005</v>
      </c>
      <c r="B3" t="s">
        <v>1168</v>
      </c>
      <c r="C3" t="s">
        <v>1194</v>
      </c>
      <c r="E3">
        <v>1</v>
      </c>
      <c r="F3">
        <v>1</v>
      </c>
      <c r="H3" t="s">
        <v>1170</v>
      </c>
      <c r="I3" t="s">
        <v>1171</v>
      </c>
      <c r="J3" t="s">
        <v>1172</v>
      </c>
      <c r="K3" t="s">
        <v>1173</v>
      </c>
      <c r="L3" t="s">
        <v>1174</v>
      </c>
      <c r="N3" t="s">
        <v>50</v>
      </c>
      <c r="O3">
        <v>1</v>
      </c>
      <c r="Q3">
        <v>0</v>
      </c>
      <c r="R3">
        <v>0</v>
      </c>
      <c r="S3">
        <v>0</v>
      </c>
      <c r="T3">
        <v>0</v>
      </c>
      <c r="U3" s="20">
        <v>45693.751689814817</v>
      </c>
      <c r="V3" s="20">
        <v>46071.667581018519</v>
      </c>
      <c r="Z3" t="s">
        <v>1175</v>
      </c>
      <c r="AA3" t="s">
        <v>315</v>
      </c>
      <c r="AD3" t="s">
        <v>1999</v>
      </c>
      <c r="AE3" t="s">
        <v>2011</v>
      </c>
      <c r="AF3" t="s">
        <v>2021</v>
      </c>
      <c r="AG3" t="s">
        <v>2005</v>
      </c>
      <c r="AH3" t="s">
        <v>1179</v>
      </c>
      <c r="AI3" t="s">
        <v>2007</v>
      </c>
      <c r="AJ3">
        <v>1543</v>
      </c>
      <c r="AK3" t="s">
        <v>2008</v>
      </c>
      <c r="AU3" t="s">
        <v>315</v>
      </c>
      <c r="AX3" t="s">
        <v>3419</v>
      </c>
      <c r="AY3" t="s">
        <v>3420</v>
      </c>
    </row>
    <row r="4" spans="1:51" x14ac:dyDescent="0.25">
      <c r="A4" t="s">
        <v>2010</v>
      </c>
      <c r="B4" t="s">
        <v>1168</v>
      </c>
      <c r="C4" t="s">
        <v>1191</v>
      </c>
      <c r="E4">
        <v>1</v>
      </c>
      <c r="F4">
        <v>1</v>
      </c>
      <c r="H4" t="s">
        <v>1170</v>
      </c>
      <c r="I4" t="s">
        <v>1171</v>
      </c>
      <c r="J4" t="s">
        <v>1172</v>
      </c>
      <c r="K4" t="s">
        <v>1173</v>
      </c>
      <c r="L4" t="s">
        <v>1174</v>
      </c>
      <c r="N4" t="s">
        <v>50</v>
      </c>
      <c r="O4">
        <v>1</v>
      </c>
      <c r="Q4">
        <v>0</v>
      </c>
      <c r="R4">
        <v>0</v>
      </c>
      <c r="S4">
        <v>0</v>
      </c>
      <c r="T4">
        <v>0</v>
      </c>
      <c r="U4" s="20">
        <v>45693.876030092593</v>
      </c>
      <c r="V4" s="20">
        <v>46071.951342592591</v>
      </c>
      <c r="Z4" t="s">
        <v>1175</v>
      </c>
      <c r="AA4" t="s">
        <v>45</v>
      </c>
      <c r="AC4" t="s">
        <v>53</v>
      </c>
      <c r="AD4" t="s">
        <v>1999</v>
      </c>
      <c r="AE4" t="s">
        <v>2011</v>
      </c>
      <c r="AF4" t="s">
        <v>2010</v>
      </c>
      <c r="AH4" t="s">
        <v>1179</v>
      </c>
      <c r="AI4" t="s">
        <v>2012</v>
      </c>
      <c r="AJ4">
        <v>1541</v>
      </c>
      <c r="AK4" t="s">
        <v>2013</v>
      </c>
      <c r="AU4" t="s">
        <v>45</v>
      </c>
      <c r="AX4" t="s">
        <v>3421</v>
      </c>
      <c r="AY4" t="s">
        <v>3422</v>
      </c>
    </row>
    <row r="5" spans="1:51" x14ac:dyDescent="0.25">
      <c r="A5" t="s">
        <v>2015</v>
      </c>
      <c r="B5" t="s">
        <v>1168</v>
      </c>
      <c r="C5" t="s">
        <v>1186</v>
      </c>
      <c r="E5">
        <v>1</v>
      </c>
      <c r="F5">
        <v>1</v>
      </c>
      <c r="H5" t="s">
        <v>1170</v>
      </c>
      <c r="I5" t="s">
        <v>1171</v>
      </c>
      <c r="J5" t="s">
        <v>1172</v>
      </c>
      <c r="K5" t="s">
        <v>1173</v>
      </c>
      <c r="L5" t="s">
        <v>1174</v>
      </c>
      <c r="N5" t="s">
        <v>50</v>
      </c>
      <c r="O5">
        <v>1</v>
      </c>
      <c r="Q5">
        <v>0</v>
      </c>
      <c r="R5">
        <v>0</v>
      </c>
      <c r="S5">
        <v>0</v>
      </c>
      <c r="T5">
        <v>0</v>
      </c>
      <c r="U5" s="20">
        <v>45679.663043981483</v>
      </c>
      <c r="V5" s="20">
        <v>46029.629120370373</v>
      </c>
      <c r="Z5" t="s">
        <v>1175</v>
      </c>
      <c r="AA5" t="s">
        <v>45</v>
      </c>
      <c r="AB5" t="s">
        <v>77</v>
      </c>
      <c r="AC5" t="s">
        <v>78</v>
      </c>
      <c r="AD5" t="s">
        <v>1999</v>
      </c>
      <c r="AE5" t="s">
        <v>2011</v>
      </c>
      <c r="AF5" t="s">
        <v>2015</v>
      </c>
      <c r="AH5" t="s">
        <v>1179</v>
      </c>
      <c r="AI5" t="s">
        <v>1985</v>
      </c>
      <c r="AJ5">
        <v>1541</v>
      </c>
      <c r="AK5" t="s">
        <v>2016</v>
      </c>
      <c r="AU5" t="s">
        <v>45</v>
      </c>
      <c r="AX5" t="s">
        <v>3423</v>
      </c>
      <c r="AY5" t="s">
        <v>3422</v>
      </c>
    </row>
    <row r="6" spans="1:51" x14ac:dyDescent="0.25">
      <c r="A6" t="s">
        <v>2018</v>
      </c>
      <c r="B6" t="s">
        <v>1168</v>
      </c>
      <c r="C6" t="s">
        <v>1226</v>
      </c>
      <c r="E6">
        <v>1</v>
      </c>
      <c r="F6">
        <v>1</v>
      </c>
      <c r="H6" t="s">
        <v>1170</v>
      </c>
      <c r="I6" t="s">
        <v>1171</v>
      </c>
      <c r="J6" t="s">
        <v>1172</v>
      </c>
      <c r="K6" t="s">
        <v>1173</v>
      </c>
      <c r="L6" t="s">
        <v>1174</v>
      </c>
      <c r="N6" t="s">
        <v>50</v>
      </c>
      <c r="O6">
        <v>1</v>
      </c>
      <c r="Q6">
        <v>0</v>
      </c>
      <c r="R6">
        <v>0</v>
      </c>
      <c r="S6">
        <v>0</v>
      </c>
      <c r="T6">
        <v>0</v>
      </c>
      <c r="U6" s="20">
        <v>45708.492581018516</v>
      </c>
      <c r="V6" s="20">
        <v>46029.63009259259</v>
      </c>
      <c r="Z6" t="s">
        <v>1175</v>
      </c>
      <c r="AA6" t="s">
        <v>45</v>
      </c>
      <c r="AB6" t="s">
        <v>132</v>
      </c>
      <c r="AD6" t="s">
        <v>1999</v>
      </c>
      <c r="AE6" t="s">
        <v>2000</v>
      </c>
      <c r="AF6" t="s">
        <v>2018</v>
      </c>
      <c r="AH6" t="s">
        <v>1179</v>
      </c>
      <c r="AI6" t="s">
        <v>1918</v>
      </c>
      <c r="AJ6">
        <v>1542</v>
      </c>
      <c r="AK6" t="s">
        <v>2019</v>
      </c>
      <c r="AU6" t="s">
        <v>45</v>
      </c>
      <c r="AX6" t="s">
        <v>3424</v>
      </c>
      <c r="AY6" t="s">
        <v>3418</v>
      </c>
    </row>
    <row r="7" spans="1:51" x14ac:dyDescent="0.25">
      <c r="A7" t="s">
        <v>2021</v>
      </c>
      <c r="B7" t="s">
        <v>1168</v>
      </c>
      <c r="C7" t="s">
        <v>1187</v>
      </c>
      <c r="E7">
        <v>1</v>
      </c>
      <c r="F7">
        <v>1</v>
      </c>
      <c r="H7" t="s">
        <v>1170</v>
      </c>
      <c r="I7" t="s">
        <v>1171</v>
      </c>
      <c r="J7" t="s">
        <v>1172</v>
      </c>
      <c r="K7" t="s">
        <v>1173</v>
      </c>
      <c r="L7" t="s">
        <v>1174</v>
      </c>
      <c r="N7" t="s">
        <v>50</v>
      </c>
      <c r="O7">
        <v>1</v>
      </c>
      <c r="Q7">
        <v>0</v>
      </c>
      <c r="R7">
        <v>0</v>
      </c>
      <c r="S7">
        <v>0</v>
      </c>
      <c r="T7">
        <v>0</v>
      </c>
      <c r="U7" s="20">
        <v>45693.672048611108</v>
      </c>
      <c r="V7" s="20">
        <v>46029.629224537035</v>
      </c>
      <c r="Z7" t="s">
        <v>1175</v>
      </c>
      <c r="AA7" t="s">
        <v>45</v>
      </c>
      <c r="AB7" t="s">
        <v>46</v>
      </c>
      <c r="AD7" t="s">
        <v>1999</v>
      </c>
      <c r="AE7" t="s">
        <v>2011</v>
      </c>
      <c r="AF7" t="s">
        <v>2021</v>
      </c>
      <c r="AH7" t="s">
        <v>1179</v>
      </c>
      <c r="AI7" t="s">
        <v>1986</v>
      </c>
      <c r="AJ7">
        <v>1541</v>
      </c>
      <c r="AK7" t="s">
        <v>2022</v>
      </c>
      <c r="AU7" t="s">
        <v>45</v>
      </c>
      <c r="AX7" t="s">
        <v>3420</v>
      </c>
      <c r="AY7" t="s">
        <v>3422</v>
      </c>
    </row>
    <row r="8" spans="1:51" x14ac:dyDescent="0.25">
      <c r="A8" t="s">
        <v>2024</v>
      </c>
      <c r="B8" t="s">
        <v>1168</v>
      </c>
      <c r="C8" t="s">
        <v>1227</v>
      </c>
      <c r="E8">
        <v>1</v>
      </c>
      <c r="F8">
        <v>1</v>
      </c>
      <c r="H8" t="s">
        <v>1170</v>
      </c>
      <c r="I8" t="s">
        <v>1171</v>
      </c>
      <c r="J8" t="s">
        <v>1172</v>
      </c>
      <c r="K8" t="s">
        <v>1173</v>
      </c>
      <c r="L8" t="s">
        <v>1174</v>
      </c>
      <c r="N8" t="s">
        <v>50</v>
      </c>
      <c r="O8">
        <v>1</v>
      </c>
      <c r="Q8">
        <v>0</v>
      </c>
      <c r="R8">
        <v>0</v>
      </c>
      <c r="S8">
        <v>0</v>
      </c>
      <c r="T8">
        <v>0</v>
      </c>
      <c r="U8" s="20">
        <v>45708.724490740744</v>
      </c>
      <c r="V8" s="20">
        <v>46029.627314814818</v>
      </c>
      <c r="Z8" t="s">
        <v>1175</v>
      </c>
      <c r="AA8" t="s">
        <v>45</v>
      </c>
      <c r="AD8" t="s">
        <v>1999</v>
      </c>
      <c r="AE8" t="s">
        <v>2000</v>
      </c>
      <c r="AF8" t="s">
        <v>2024</v>
      </c>
      <c r="AH8" t="s">
        <v>1179</v>
      </c>
      <c r="AI8" t="s">
        <v>2025</v>
      </c>
      <c r="AJ8">
        <v>1542</v>
      </c>
      <c r="AK8" t="s">
        <v>2026</v>
      </c>
      <c r="AU8" t="s">
        <v>45</v>
      </c>
      <c r="AX8" t="s">
        <v>3425</v>
      </c>
      <c r="AY8" t="s">
        <v>3418</v>
      </c>
    </row>
    <row r="9" spans="1:51" x14ac:dyDescent="0.25">
      <c r="A9" t="s">
        <v>1999</v>
      </c>
      <c r="B9" t="s">
        <v>1168</v>
      </c>
      <c r="C9" t="s">
        <v>1177</v>
      </c>
      <c r="E9">
        <v>1</v>
      </c>
      <c r="F9">
        <v>1</v>
      </c>
      <c r="H9" t="s">
        <v>1170</v>
      </c>
      <c r="I9" t="s">
        <v>1171</v>
      </c>
      <c r="J9" t="s">
        <v>1178</v>
      </c>
      <c r="K9" t="s">
        <v>1173</v>
      </c>
      <c r="L9" t="s">
        <v>1174</v>
      </c>
      <c r="N9" t="s">
        <v>50</v>
      </c>
      <c r="O9">
        <v>1</v>
      </c>
      <c r="Q9">
        <v>0</v>
      </c>
      <c r="R9">
        <v>0</v>
      </c>
      <c r="S9">
        <v>0</v>
      </c>
      <c r="T9">
        <v>0</v>
      </c>
      <c r="U9" s="20">
        <v>45679.464236111111</v>
      </c>
      <c r="V9" s="20">
        <v>46071.554108796299</v>
      </c>
      <c r="Z9" t="s">
        <v>1175</v>
      </c>
      <c r="AA9" t="s">
        <v>180</v>
      </c>
      <c r="AD9" t="s">
        <v>1999</v>
      </c>
      <c r="AH9" t="s">
        <v>1179</v>
      </c>
      <c r="AI9" t="s">
        <v>2002</v>
      </c>
      <c r="AJ9" t="s">
        <v>2002</v>
      </c>
      <c r="AK9" t="s">
        <v>1179</v>
      </c>
      <c r="AU9" t="s">
        <v>180</v>
      </c>
      <c r="AX9" t="s">
        <v>3426</v>
      </c>
      <c r="AY9" t="s">
        <v>3427</v>
      </c>
    </row>
    <row r="10" spans="1:51" x14ac:dyDescent="0.25">
      <c r="A10" t="s">
        <v>2029</v>
      </c>
      <c r="B10" t="s">
        <v>1168</v>
      </c>
      <c r="C10" t="s">
        <v>1185</v>
      </c>
      <c r="E10">
        <v>1</v>
      </c>
      <c r="F10">
        <v>1</v>
      </c>
      <c r="H10" t="s">
        <v>1170</v>
      </c>
      <c r="I10" t="s">
        <v>1171</v>
      </c>
      <c r="J10" t="s">
        <v>1172</v>
      </c>
      <c r="K10" t="s">
        <v>1173</v>
      </c>
      <c r="L10" t="s">
        <v>1174</v>
      </c>
      <c r="N10" t="s">
        <v>50</v>
      </c>
      <c r="O10">
        <v>1</v>
      </c>
      <c r="Q10">
        <v>0</v>
      </c>
      <c r="R10">
        <v>0</v>
      </c>
      <c r="S10">
        <v>0</v>
      </c>
      <c r="T10">
        <v>0</v>
      </c>
      <c r="U10" s="20">
        <v>45679.689652777779</v>
      </c>
      <c r="V10" s="20">
        <v>46029.627337962964</v>
      </c>
      <c r="Z10" t="s">
        <v>1175</v>
      </c>
      <c r="AA10" t="s">
        <v>315</v>
      </c>
      <c r="AD10" t="s">
        <v>1999</v>
      </c>
      <c r="AE10" t="s">
        <v>2011</v>
      </c>
      <c r="AF10" t="s">
        <v>2030</v>
      </c>
      <c r="AG10" t="s">
        <v>2029</v>
      </c>
      <c r="AH10" t="s">
        <v>1179</v>
      </c>
      <c r="AI10" t="s">
        <v>2031</v>
      </c>
      <c r="AJ10">
        <v>1541</v>
      </c>
      <c r="AK10" t="s">
        <v>2033</v>
      </c>
      <c r="AU10" t="s">
        <v>315</v>
      </c>
      <c r="AX10" t="s">
        <v>3428</v>
      </c>
      <c r="AY10" t="s">
        <v>3429</v>
      </c>
    </row>
    <row r="11" spans="1:51" x14ac:dyDescent="0.25">
      <c r="A11" t="s">
        <v>2035</v>
      </c>
      <c r="B11" t="s">
        <v>1168</v>
      </c>
      <c r="C11" t="s">
        <v>1195</v>
      </c>
      <c r="E11">
        <v>1</v>
      </c>
      <c r="F11">
        <v>1</v>
      </c>
      <c r="H11" t="s">
        <v>1170</v>
      </c>
      <c r="I11" t="s">
        <v>1171</v>
      </c>
      <c r="J11" t="s">
        <v>1172</v>
      </c>
      <c r="K11" t="s">
        <v>1173</v>
      </c>
      <c r="L11" t="s">
        <v>1174</v>
      </c>
      <c r="N11" t="s">
        <v>50</v>
      </c>
      <c r="O11">
        <v>1</v>
      </c>
      <c r="Q11">
        <v>0</v>
      </c>
      <c r="R11">
        <v>0</v>
      </c>
      <c r="S11">
        <v>0</v>
      </c>
      <c r="T11">
        <v>0</v>
      </c>
      <c r="U11" s="20">
        <v>45708.498310185183</v>
      </c>
      <c r="V11" s="20">
        <v>46050.646226851852</v>
      </c>
      <c r="Z11" t="s">
        <v>1175</v>
      </c>
      <c r="AA11" t="s">
        <v>45</v>
      </c>
      <c r="AB11" t="s">
        <v>132</v>
      </c>
      <c r="AD11" t="s">
        <v>1999</v>
      </c>
      <c r="AE11" t="s">
        <v>2000</v>
      </c>
      <c r="AF11" t="s">
        <v>2035</v>
      </c>
      <c r="AH11" t="s">
        <v>1179</v>
      </c>
      <c r="AI11" t="s">
        <v>2036</v>
      </c>
      <c r="AJ11">
        <v>1542</v>
      </c>
      <c r="AK11" t="s">
        <v>2037</v>
      </c>
      <c r="AU11" t="s">
        <v>45</v>
      </c>
      <c r="AX11" t="s">
        <v>3430</v>
      </c>
      <c r="AY11" t="s">
        <v>3418</v>
      </c>
    </row>
    <row r="12" spans="1:51" x14ac:dyDescent="0.25">
      <c r="A12" t="s">
        <v>2039</v>
      </c>
      <c r="B12" t="s">
        <v>1168</v>
      </c>
      <c r="C12" t="s">
        <v>1184</v>
      </c>
      <c r="E12">
        <v>1</v>
      </c>
      <c r="F12">
        <v>1</v>
      </c>
      <c r="H12" t="s">
        <v>1170</v>
      </c>
      <c r="I12" t="s">
        <v>1171</v>
      </c>
      <c r="J12" t="s">
        <v>1172</v>
      </c>
      <c r="K12" t="s">
        <v>1173</v>
      </c>
      <c r="L12" t="s">
        <v>1174</v>
      </c>
      <c r="N12" t="s">
        <v>50</v>
      </c>
      <c r="O12">
        <v>1</v>
      </c>
      <c r="Q12">
        <v>0</v>
      </c>
      <c r="R12">
        <v>0</v>
      </c>
      <c r="S12">
        <v>0</v>
      </c>
      <c r="T12">
        <v>0</v>
      </c>
      <c r="U12" s="20">
        <v>45693.794212962966</v>
      </c>
      <c r="V12" s="20">
        <v>46029.62736111111</v>
      </c>
      <c r="Z12" t="s">
        <v>1175</v>
      </c>
      <c r="AA12" t="s">
        <v>315</v>
      </c>
      <c r="AD12" t="s">
        <v>1999</v>
      </c>
      <c r="AE12" t="s">
        <v>2011</v>
      </c>
      <c r="AF12" t="s">
        <v>2030</v>
      </c>
      <c r="AG12" t="s">
        <v>2039</v>
      </c>
      <c r="AH12" t="s">
        <v>1179</v>
      </c>
      <c r="AI12" t="s">
        <v>2031</v>
      </c>
      <c r="AJ12">
        <v>1541</v>
      </c>
      <c r="AK12" t="s">
        <v>2041</v>
      </c>
      <c r="AU12" t="s">
        <v>315</v>
      </c>
      <c r="AX12" t="s">
        <v>3431</v>
      </c>
      <c r="AY12" t="s">
        <v>3429</v>
      </c>
    </row>
    <row r="13" spans="1:51" x14ac:dyDescent="0.25">
      <c r="A13" t="s">
        <v>2030</v>
      </c>
      <c r="B13" t="s">
        <v>1168</v>
      </c>
      <c r="C13" t="s">
        <v>1181</v>
      </c>
      <c r="E13">
        <v>1</v>
      </c>
      <c r="F13">
        <v>1</v>
      </c>
      <c r="H13" t="s">
        <v>1170</v>
      </c>
      <c r="I13" t="s">
        <v>1171</v>
      </c>
      <c r="J13" t="s">
        <v>1172</v>
      </c>
      <c r="K13" t="s">
        <v>1173</v>
      </c>
      <c r="L13" t="s">
        <v>1174</v>
      </c>
      <c r="N13" t="s">
        <v>50</v>
      </c>
      <c r="O13">
        <v>1</v>
      </c>
      <c r="Q13">
        <v>0</v>
      </c>
      <c r="R13">
        <v>0</v>
      </c>
      <c r="S13">
        <v>0</v>
      </c>
      <c r="T13">
        <v>0</v>
      </c>
      <c r="U13" s="20">
        <v>45679.620300925926</v>
      </c>
      <c r="V13" s="20">
        <v>46029.628981481481</v>
      </c>
      <c r="Z13" t="s">
        <v>1175</v>
      </c>
      <c r="AA13" t="s">
        <v>45</v>
      </c>
      <c r="AB13" t="s">
        <v>46</v>
      </c>
      <c r="AD13" t="s">
        <v>1999</v>
      </c>
      <c r="AE13" t="s">
        <v>2011</v>
      </c>
      <c r="AF13" t="s">
        <v>2030</v>
      </c>
      <c r="AH13" t="s">
        <v>1179</v>
      </c>
      <c r="AI13" t="s">
        <v>2031</v>
      </c>
      <c r="AJ13">
        <v>1541</v>
      </c>
      <c r="AK13" t="s">
        <v>2043</v>
      </c>
      <c r="AU13" t="s">
        <v>45</v>
      </c>
      <c r="AX13" t="s">
        <v>3429</v>
      </c>
      <c r="AY13" t="s">
        <v>3422</v>
      </c>
    </row>
    <row r="14" spans="1:51" x14ac:dyDescent="0.25">
      <c r="A14" t="s">
        <v>2045</v>
      </c>
      <c r="B14" t="s">
        <v>1168</v>
      </c>
      <c r="C14" t="s">
        <v>1205</v>
      </c>
      <c r="E14">
        <v>1</v>
      </c>
      <c r="F14">
        <v>1</v>
      </c>
      <c r="H14" t="s">
        <v>1170</v>
      </c>
      <c r="I14" t="s">
        <v>1171</v>
      </c>
      <c r="J14" t="s">
        <v>1172</v>
      </c>
      <c r="K14" t="s">
        <v>1173</v>
      </c>
      <c r="L14" t="s">
        <v>1174</v>
      </c>
      <c r="N14" t="s">
        <v>50</v>
      </c>
      <c r="O14">
        <v>1</v>
      </c>
      <c r="Q14">
        <v>0</v>
      </c>
      <c r="R14">
        <v>0</v>
      </c>
      <c r="S14">
        <v>0</v>
      </c>
      <c r="T14">
        <v>0</v>
      </c>
      <c r="U14" s="20">
        <v>45889.738078703704</v>
      </c>
      <c r="V14" s="20">
        <v>46032.872662037036</v>
      </c>
      <c r="Z14" t="s">
        <v>1175</v>
      </c>
      <c r="AA14" t="s">
        <v>45</v>
      </c>
      <c r="AD14" t="s">
        <v>2047</v>
      </c>
      <c r="AF14" t="s">
        <v>2045</v>
      </c>
      <c r="AH14" t="s">
        <v>2049</v>
      </c>
      <c r="AI14" t="s">
        <v>2051</v>
      </c>
      <c r="AJ14" t="s">
        <v>2050</v>
      </c>
      <c r="AK14" t="s">
        <v>2052</v>
      </c>
      <c r="AU14" t="s">
        <v>45</v>
      </c>
      <c r="AX14" t="s">
        <v>3432</v>
      </c>
      <c r="AY14" t="s">
        <v>3433</v>
      </c>
    </row>
    <row r="15" spans="1:51" x14ac:dyDescent="0.25">
      <c r="A15" t="s">
        <v>2054</v>
      </c>
      <c r="B15" t="s">
        <v>1168</v>
      </c>
      <c r="C15" t="s">
        <v>1228</v>
      </c>
      <c r="E15">
        <v>1</v>
      </c>
      <c r="F15">
        <v>1</v>
      </c>
      <c r="H15" t="s">
        <v>1170</v>
      </c>
      <c r="I15" t="s">
        <v>1171</v>
      </c>
      <c r="J15" t="s">
        <v>1172</v>
      </c>
      <c r="K15" t="s">
        <v>1173</v>
      </c>
      <c r="L15" t="s">
        <v>1174</v>
      </c>
      <c r="N15" t="s">
        <v>50</v>
      </c>
      <c r="O15">
        <v>1</v>
      </c>
      <c r="Q15">
        <v>0</v>
      </c>
      <c r="R15">
        <v>0</v>
      </c>
      <c r="S15">
        <v>0</v>
      </c>
      <c r="T15">
        <v>0</v>
      </c>
      <c r="U15" s="20">
        <v>45889.738078703704</v>
      </c>
      <c r="V15" s="20">
        <v>46032.888888888891</v>
      </c>
      <c r="Z15" t="s">
        <v>1175</v>
      </c>
      <c r="AA15" t="s">
        <v>45</v>
      </c>
      <c r="AD15" t="s">
        <v>1999</v>
      </c>
      <c r="AE15" t="s">
        <v>2055</v>
      </c>
      <c r="AF15" t="s">
        <v>2054</v>
      </c>
      <c r="AH15" t="s">
        <v>1179</v>
      </c>
      <c r="AI15" t="s">
        <v>2056</v>
      </c>
      <c r="AJ15">
        <v>1544</v>
      </c>
      <c r="AK15" t="s">
        <v>2057</v>
      </c>
      <c r="AU15" t="s">
        <v>45</v>
      </c>
      <c r="AX15" t="s">
        <v>3434</v>
      </c>
      <c r="AY15" t="s">
        <v>3435</v>
      </c>
    </row>
    <row r="16" spans="1:51" x14ac:dyDescent="0.25">
      <c r="A16" t="s">
        <v>2059</v>
      </c>
      <c r="B16" t="s">
        <v>1168</v>
      </c>
      <c r="C16" t="s">
        <v>1219</v>
      </c>
      <c r="E16">
        <v>1</v>
      </c>
      <c r="F16">
        <v>1</v>
      </c>
      <c r="H16" t="s">
        <v>1170</v>
      </c>
      <c r="I16" t="s">
        <v>1171</v>
      </c>
      <c r="J16" t="s">
        <v>1172</v>
      </c>
      <c r="K16" t="s">
        <v>1173</v>
      </c>
      <c r="L16" t="s">
        <v>1174</v>
      </c>
      <c r="N16" t="s">
        <v>50</v>
      </c>
      <c r="O16">
        <v>1</v>
      </c>
      <c r="Q16">
        <v>0</v>
      </c>
      <c r="R16">
        <v>0</v>
      </c>
      <c r="S16">
        <v>0</v>
      </c>
      <c r="T16">
        <v>0</v>
      </c>
      <c r="U16" s="20">
        <v>45889.738078703704</v>
      </c>
      <c r="V16" s="20">
        <v>46032.872662037036</v>
      </c>
      <c r="Z16" t="s">
        <v>1175</v>
      </c>
      <c r="AA16" t="s">
        <v>45</v>
      </c>
      <c r="AD16" t="s">
        <v>2047</v>
      </c>
      <c r="AF16" t="s">
        <v>2059</v>
      </c>
      <c r="AH16" t="s">
        <v>2049</v>
      </c>
      <c r="AI16" t="s">
        <v>2060</v>
      </c>
      <c r="AJ16" t="s">
        <v>2050</v>
      </c>
      <c r="AK16" t="s">
        <v>2061</v>
      </c>
      <c r="AU16" t="s">
        <v>45</v>
      </c>
      <c r="AX16" t="s">
        <v>3436</v>
      </c>
      <c r="AY16" t="s">
        <v>3433</v>
      </c>
    </row>
    <row r="17" spans="1:51" x14ac:dyDescent="0.25">
      <c r="A17" t="s">
        <v>2063</v>
      </c>
      <c r="B17" t="s">
        <v>1168</v>
      </c>
      <c r="C17" t="s">
        <v>1199</v>
      </c>
      <c r="E17">
        <v>1</v>
      </c>
      <c r="F17">
        <v>1</v>
      </c>
      <c r="H17" t="s">
        <v>1170</v>
      </c>
      <c r="I17" t="s">
        <v>1171</v>
      </c>
      <c r="J17" t="s">
        <v>1172</v>
      </c>
      <c r="K17" t="s">
        <v>1173</v>
      </c>
      <c r="L17" t="s">
        <v>1174</v>
      </c>
      <c r="N17" t="s">
        <v>50</v>
      </c>
      <c r="O17">
        <v>1</v>
      </c>
      <c r="Q17">
        <v>0</v>
      </c>
      <c r="R17">
        <v>0</v>
      </c>
      <c r="S17">
        <v>0</v>
      </c>
      <c r="T17">
        <v>0</v>
      </c>
      <c r="U17" s="20">
        <v>45889.73809027778</v>
      </c>
      <c r="V17" s="20">
        <v>46029.630462962959</v>
      </c>
      <c r="Z17" t="s">
        <v>1175</v>
      </c>
      <c r="AA17" t="s">
        <v>45</v>
      </c>
      <c r="AB17" t="s">
        <v>46</v>
      </c>
      <c r="AD17" t="s">
        <v>1999</v>
      </c>
      <c r="AE17" t="s">
        <v>2006</v>
      </c>
      <c r="AF17" t="s">
        <v>2063</v>
      </c>
      <c r="AH17" t="s">
        <v>1179</v>
      </c>
      <c r="AI17" t="s">
        <v>2036</v>
      </c>
      <c r="AJ17">
        <v>1543</v>
      </c>
      <c r="AK17" t="s">
        <v>2064</v>
      </c>
      <c r="AU17" t="s">
        <v>45</v>
      </c>
      <c r="AX17" t="s">
        <v>3437</v>
      </c>
      <c r="AY17" t="s">
        <v>3438</v>
      </c>
    </row>
    <row r="18" spans="1:51" x14ac:dyDescent="0.25">
      <c r="A18" t="s">
        <v>2066</v>
      </c>
      <c r="B18" t="s">
        <v>1168</v>
      </c>
      <c r="C18" t="s">
        <v>1229</v>
      </c>
      <c r="E18">
        <v>1</v>
      </c>
      <c r="F18">
        <v>1</v>
      </c>
      <c r="H18" t="s">
        <v>1170</v>
      </c>
      <c r="I18" t="s">
        <v>1171</v>
      </c>
      <c r="J18" t="s">
        <v>1172</v>
      </c>
      <c r="K18" t="s">
        <v>1173</v>
      </c>
      <c r="L18" t="s">
        <v>1174</v>
      </c>
      <c r="N18" t="s">
        <v>50</v>
      </c>
      <c r="O18">
        <v>1</v>
      </c>
      <c r="Q18">
        <v>0</v>
      </c>
      <c r="R18">
        <v>0</v>
      </c>
      <c r="S18">
        <v>0</v>
      </c>
      <c r="T18">
        <v>0</v>
      </c>
      <c r="U18" s="20">
        <v>45889.73809027778</v>
      </c>
      <c r="V18" s="20">
        <v>46029.627314814818</v>
      </c>
      <c r="Z18" t="s">
        <v>1175</v>
      </c>
      <c r="AA18" t="s">
        <v>45</v>
      </c>
      <c r="AD18" t="s">
        <v>1999</v>
      </c>
      <c r="AE18" t="s">
        <v>2000</v>
      </c>
      <c r="AF18" t="s">
        <v>2066</v>
      </c>
      <c r="AH18" t="s">
        <v>1179</v>
      </c>
      <c r="AI18" t="s">
        <v>2067</v>
      </c>
      <c r="AJ18">
        <v>1542</v>
      </c>
      <c r="AK18" t="s">
        <v>2068</v>
      </c>
      <c r="AU18" t="s">
        <v>45</v>
      </c>
      <c r="AX18" t="s">
        <v>3439</v>
      </c>
      <c r="AY18" t="s">
        <v>3418</v>
      </c>
    </row>
    <row r="19" spans="1:51" x14ac:dyDescent="0.25">
      <c r="A19" t="s">
        <v>2070</v>
      </c>
      <c r="B19" t="s">
        <v>1168</v>
      </c>
      <c r="C19" t="s">
        <v>1214</v>
      </c>
      <c r="E19">
        <v>1</v>
      </c>
      <c r="F19">
        <v>1</v>
      </c>
      <c r="H19" t="s">
        <v>1170</v>
      </c>
      <c r="I19" t="s">
        <v>1171</v>
      </c>
      <c r="J19" t="s">
        <v>1172</v>
      </c>
      <c r="K19" t="s">
        <v>1173</v>
      </c>
      <c r="L19" t="s">
        <v>1174</v>
      </c>
      <c r="N19" t="s">
        <v>50</v>
      </c>
      <c r="O19">
        <v>1</v>
      </c>
      <c r="Q19">
        <v>0</v>
      </c>
      <c r="R19">
        <v>0</v>
      </c>
      <c r="S19">
        <v>0</v>
      </c>
      <c r="T19">
        <v>0</v>
      </c>
      <c r="U19" s="20">
        <v>45889.73809027778</v>
      </c>
      <c r="V19" s="20">
        <v>46036.856192129628</v>
      </c>
      <c r="Z19" t="s">
        <v>1175</v>
      </c>
      <c r="AA19" t="s">
        <v>45</v>
      </c>
      <c r="AD19" t="s">
        <v>2071</v>
      </c>
      <c r="AF19" t="s">
        <v>2070</v>
      </c>
      <c r="AH19" t="s">
        <v>1991</v>
      </c>
      <c r="AI19" t="s">
        <v>2051</v>
      </c>
      <c r="AJ19">
        <v>1410</v>
      </c>
      <c r="AK19" t="s">
        <v>2072</v>
      </c>
      <c r="AU19" t="s">
        <v>45</v>
      </c>
      <c r="AX19" t="s">
        <v>3440</v>
      </c>
      <c r="AY19" t="s">
        <v>3441</v>
      </c>
    </row>
    <row r="20" spans="1:51" x14ac:dyDescent="0.25">
      <c r="A20" t="s">
        <v>2074</v>
      </c>
      <c r="B20" t="s">
        <v>1168</v>
      </c>
      <c r="C20" t="s">
        <v>1193</v>
      </c>
      <c r="E20">
        <v>1</v>
      </c>
      <c r="F20">
        <v>1</v>
      </c>
      <c r="H20" t="s">
        <v>1170</v>
      </c>
      <c r="I20" t="s">
        <v>1171</v>
      </c>
      <c r="J20" t="s">
        <v>1172</v>
      </c>
      <c r="K20" t="s">
        <v>1173</v>
      </c>
      <c r="L20" t="s">
        <v>1174</v>
      </c>
      <c r="N20" t="s">
        <v>50</v>
      </c>
      <c r="O20">
        <v>1</v>
      </c>
      <c r="Q20">
        <v>0</v>
      </c>
      <c r="R20">
        <v>0</v>
      </c>
      <c r="S20">
        <v>0</v>
      </c>
      <c r="T20">
        <v>0</v>
      </c>
      <c r="U20" s="20">
        <v>45889.73810185185</v>
      </c>
      <c r="V20" s="20">
        <v>46032.872662037036</v>
      </c>
      <c r="Z20" t="s">
        <v>1175</v>
      </c>
      <c r="AA20" t="s">
        <v>45</v>
      </c>
      <c r="AD20" t="s">
        <v>2047</v>
      </c>
      <c r="AF20" t="s">
        <v>2074</v>
      </c>
      <c r="AH20" t="s">
        <v>2049</v>
      </c>
      <c r="AI20" t="s">
        <v>2075</v>
      </c>
      <c r="AJ20" t="s">
        <v>2050</v>
      </c>
      <c r="AK20" t="s">
        <v>2076</v>
      </c>
      <c r="AU20" t="s">
        <v>45</v>
      </c>
      <c r="AX20" t="s">
        <v>3442</v>
      </c>
      <c r="AY20" t="s">
        <v>3433</v>
      </c>
    </row>
    <row r="21" spans="1:51" x14ac:dyDescent="0.25">
      <c r="A21" t="s">
        <v>2078</v>
      </c>
      <c r="B21" t="s">
        <v>1168</v>
      </c>
      <c r="C21" t="s">
        <v>1232</v>
      </c>
      <c r="E21">
        <v>1</v>
      </c>
      <c r="F21">
        <v>1</v>
      </c>
      <c r="H21" t="s">
        <v>1170</v>
      </c>
      <c r="I21" t="s">
        <v>1171</v>
      </c>
      <c r="J21" t="s">
        <v>1172</v>
      </c>
      <c r="K21" t="s">
        <v>1173</v>
      </c>
      <c r="L21" t="s">
        <v>1174</v>
      </c>
      <c r="N21" t="s">
        <v>50</v>
      </c>
      <c r="O21">
        <v>1</v>
      </c>
      <c r="Q21">
        <v>0</v>
      </c>
      <c r="R21">
        <v>0</v>
      </c>
      <c r="S21">
        <v>0</v>
      </c>
      <c r="T21">
        <v>0</v>
      </c>
      <c r="U21" s="20">
        <v>45889.73810185185</v>
      </c>
      <c r="V21" s="20">
        <v>46032.872662037036</v>
      </c>
      <c r="Z21" t="s">
        <v>1175</v>
      </c>
      <c r="AA21" t="s">
        <v>45</v>
      </c>
      <c r="AD21" t="s">
        <v>2047</v>
      </c>
      <c r="AF21" t="s">
        <v>2078</v>
      </c>
      <c r="AH21" t="s">
        <v>2049</v>
      </c>
      <c r="AI21" t="s">
        <v>1987</v>
      </c>
      <c r="AJ21" t="s">
        <v>2050</v>
      </c>
      <c r="AK21" t="s">
        <v>2079</v>
      </c>
      <c r="AU21" t="s">
        <v>45</v>
      </c>
      <c r="AX21" t="s">
        <v>3443</v>
      </c>
      <c r="AY21" t="s">
        <v>3433</v>
      </c>
    </row>
    <row r="22" spans="1:51" x14ac:dyDescent="0.25">
      <c r="A22" t="s">
        <v>2081</v>
      </c>
      <c r="B22" t="s">
        <v>1168</v>
      </c>
      <c r="C22" t="s">
        <v>1233</v>
      </c>
      <c r="E22">
        <v>1</v>
      </c>
      <c r="F22">
        <v>1</v>
      </c>
      <c r="H22" t="s">
        <v>1170</v>
      </c>
      <c r="I22" t="s">
        <v>1171</v>
      </c>
      <c r="J22" t="s">
        <v>1172</v>
      </c>
      <c r="K22" t="s">
        <v>1173</v>
      </c>
      <c r="L22" t="s">
        <v>1174</v>
      </c>
      <c r="N22" t="s">
        <v>50</v>
      </c>
      <c r="O22">
        <v>1</v>
      </c>
      <c r="Q22">
        <v>0</v>
      </c>
      <c r="R22">
        <v>0</v>
      </c>
      <c r="S22">
        <v>0</v>
      </c>
      <c r="T22">
        <v>0</v>
      </c>
      <c r="U22" s="20">
        <v>45889.73810185185</v>
      </c>
      <c r="V22" s="20">
        <v>46029.627337962964</v>
      </c>
      <c r="Z22" t="s">
        <v>1175</v>
      </c>
      <c r="AA22" t="s">
        <v>45</v>
      </c>
      <c r="AD22" t="s">
        <v>1999</v>
      </c>
      <c r="AE22" t="s">
        <v>2055</v>
      </c>
      <c r="AF22" t="s">
        <v>2081</v>
      </c>
      <c r="AH22" t="s">
        <v>1179</v>
      </c>
      <c r="AI22" t="s">
        <v>2082</v>
      </c>
      <c r="AJ22">
        <v>1544</v>
      </c>
      <c r="AK22" t="s">
        <v>2083</v>
      </c>
      <c r="AU22" t="s">
        <v>45</v>
      </c>
      <c r="AX22" t="s">
        <v>3444</v>
      </c>
      <c r="AY22" t="s">
        <v>3435</v>
      </c>
    </row>
    <row r="23" spans="1:51" x14ac:dyDescent="0.25">
      <c r="A23" t="s">
        <v>2085</v>
      </c>
      <c r="B23" t="s">
        <v>1168</v>
      </c>
      <c r="C23" t="s">
        <v>1220</v>
      </c>
      <c r="E23">
        <v>1</v>
      </c>
      <c r="F23">
        <v>1</v>
      </c>
      <c r="H23" t="s">
        <v>1170</v>
      </c>
      <c r="I23" t="s">
        <v>1171</v>
      </c>
      <c r="J23" t="s">
        <v>1172</v>
      </c>
      <c r="K23" t="s">
        <v>1173</v>
      </c>
      <c r="L23" t="s">
        <v>1174</v>
      </c>
      <c r="N23" t="s">
        <v>50</v>
      </c>
      <c r="O23">
        <v>1</v>
      </c>
      <c r="Q23">
        <v>0</v>
      </c>
      <c r="R23">
        <v>0</v>
      </c>
      <c r="S23">
        <v>0</v>
      </c>
      <c r="T23">
        <v>0</v>
      </c>
      <c r="U23" s="20">
        <v>45889.73810185185</v>
      </c>
      <c r="V23" s="20">
        <v>46032.872662037036</v>
      </c>
      <c r="Z23" t="s">
        <v>1175</v>
      </c>
      <c r="AA23" t="s">
        <v>45</v>
      </c>
      <c r="AD23" t="s">
        <v>2047</v>
      </c>
      <c r="AF23" t="s">
        <v>2085</v>
      </c>
      <c r="AH23" t="s">
        <v>2049</v>
      </c>
      <c r="AI23" t="s">
        <v>2086</v>
      </c>
      <c r="AJ23" t="s">
        <v>2050</v>
      </c>
      <c r="AK23" t="s">
        <v>2087</v>
      </c>
      <c r="AU23" t="s">
        <v>45</v>
      </c>
      <c r="AX23" t="s">
        <v>3445</v>
      </c>
      <c r="AY23" t="s">
        <v>3433</v>
      </c>
    </row>
    <row r="24" spans="1:51" x14ac:dyDescent="0.25">
      <c r="A24" t="s">
        <v>2089</v>
      </c>
      <c r="B24" t="s">
        <v>1168</v>
      </c>
      <c r="C24" t="s">
        <v>1692</v>
      </c>
      <c r="E24">
        <v>1</v>
      </c>
      <c r="F24">
        <v>1</v>
      </c>
      <c r="H24" t="s">
        <v>1170</v>
      </c>
      <c r="I24" t="s">
        <v>1171</v>
      </c>
      <c r="J24" t="s">
        <v>1172</v>
      </c>
      <c r="K24" t="s">
        <v>1173</v>
      </c>
      <c r="L24" t="s">
        <v>1174</v>
      </c>
      <c r="N24" t="s">
        <v>50</v>
      </c>
      <c r="O24">
        <v>1</v>
      </c>
      <c r="Q24">
        <v>0</v>
      </c>
      <c r="R24">
        <v>0</v>
      </c>
      <c r="S24">
        <v>0</v>
      </c>
      <c r="T24">
        <v>0</v>
      </c>
      <c r="U24" s="20">
        <v>45895.764062499999</v>
      </c>
      <c r="V24" s="20">
        <v>46029.627291666664</v>
      </c>
      <c r="Z24" t="s">
        <v>1175</v>
      </c>
      <c r="AA24" t="s">
        <v>59</v>
      </c>
      <c r="AC24" t="s">
        <v>60</v>
      </c>
      <c r="AD24" t="s">
        <v>2090</v>
      </c>
      <c r="AE24" t="s">
        <v>2089</v>
      </c>
      <c r="AH24" t="s">
        <v>2091</v>
      </c>
      <c r="AI24" t="s">
        <v>2002</v>
      </c>
      <c r="AJ24">
        <v>1800</v>
      </c>
      <c r="AK24" t="s">
        <v>2092</v>
      </c>
      <c r="AU24" t="s">
        <v>59</v>
      </c>
      <c r="AX24" t="s">
        <v>3446</v>
      </c>
      <c r="AY24" t="s">
        <v>3447</v>
      </c>
    </row>
    <row r="25" spans="1:51" x14ac:dyDescent="0.25">
      <c r="A25" t="s">
        <v>2094</v>
      </c>
      <c r="B25" t="s">
        <v>1168</v>
      </c>
      <c r="C25" t="s">
        <v>1237</v>
      </c>
      <c r="E25">
        <v>1</v>
      </c>
      <c r="F25">
        <v>1</v>
      </c>
      <c r="H25" t="s">
        <v>1170</v>
      </c>
      <c r="I25" t="s">
        <v>1171</v>
      </c>
      <c r="J25" t="s">
        <v>1172</v>
      </c>
      <c r="K25" t="s">
        <v>1173</v>
      </c>
      <c r="L25" t="s">
        <v>1174</v>
      </c>
      <c r="N25" t="s">
        <v>50</v>
      </c>
      <c r="O25">
        <v>1</v>
      </c>
      <c r="Q25">
        <v>0</v>
      </c>
      <c r="R25">
        <v>0</v>
      </c>
      <c r="S25">
        <v>0</v>
      </c>
      <c r="T25">
        <v>0</v>
      </c>
      <c r="U25" s="20">
        <v>45895.794363425928</v>
      </c>
      <c r="V25" s="20">
        <v>46032.872662037036</v>
      </c>
      <c r="Z25" t="s">
        <v>1175</v>
      </c>
      <c r="AA25" t="s">
        <v>45</v>
      </c>
      <c r="AD25" t="s">
        <v>2047</v>
      </c>
      <c r="AF25" t="s">
        <v>2094</v>
      </c>
      <c r="AH25" t="s">
        <v>2049</v>
      </c>
      <c r="AI25" t="s">
        <v>2095</v>
      </c>
      <c r="AJ25" t="s">
        <v>2050</v>
      </c>
      <c r="AK25" t="s">
        <v>2096</v>
      </c>
      <c r="AU25" t="s">
        <v>45</v>
      </c>
      <c r="AX25" t="s">
        <v>3448</v>
      </c>
      <c r="AY25" t="s">
        <v>3433</v>
      </c>
    </row>
    <row r="26" spans="1:51" x14ac:dyDescent="0.25">
      <c r="A26" t="s">
        <v>2098</v>
      </c>
      <c r="B26" t="s">
        <v>1168</v>
      </c>
      <c r="C26" t="s">
        <v>1182</v>
      </c>
      <c r="E26">
        <v>1</v>
      </c>
      <c r="F26">
        <v>1</v>
      </c>
      <c r="H26" t="s">
        <v>1170</v>
      </c>
      <c r="I26" t="s">
        <v>1171</v>
      </c>
      <c r="J26" t="s">
        <v>1172</v>
      </c>
      <c r="K26" t="s">
        <v>1173</v>
      </c>
      <c r="L26" t="s">
        <v>1174</v>
      </c>
      <c r="N26" t="s">
        <v>50</v>
      </c>
      <c r="O26">
        <v>1</v>
      </c>
      <c r="Q26">
        <v>0</v>
      </c>
      <c r="R26">
        <v>0</v>
      </c>
      <c r="S26">
        <v>0</v>
      </c>
      <c r="T26">
        <v>0</v>
      </c>
      <c r="U26" s="20">
        <v>45895.813078703701</v>
      </c>
      <c r="V26" s="20">
        <v>46029.627349537041</v>
      </c>
      <c r="Z26" t="s">
        <v>1175</v>
      </c>
      <c r="AA26" t="s">
        <v>315</v>
      </c>
      <c r="AD26" t="s">
        <v>1999</v>
      </c>
      <c r="AE26" t="s">
        <v>2011</v>
      </c>
      <c r="AF26" t="s">
        <v>2030</v>
      </c>
      <c r="AG26" t="s">
        <v>2098</v>
      </c>
      <c r="AH26" t="s">
        <v>1179</v>
      </c>
      <c r="AI26" t="s">
        <v>2031</v>
      </c>
      <c r="AJ26">
        <v>1541</v>
      </c>
      <c r="AK26" t="s">
        <v>2100</v>
      </c>
      <c r="AU26" t="s">
        <v>315</v>
      </c>
      <c r="AX26" t="s">
        <v>3449</v>
      </c>
      <c r="AY26" t="s">
        <v>3429</v>
      </c>
    </row>
    <row r="27" spans="1:51" x14ac:dyDescent="0.25">
      <c r="A27" t="s">
        <v>2102</v>
      </c>
      <c r="B27" t="s">
        <v>1168</v>
      </c>
      <c r="C27" t="s">
        <v>1183</v>
      </c>
      <c r="E27">
        <v>1</v>
      </c>
      <c r="F27">
        <v>1</v>
      </c>
      <c r="H27" t="s">
        <v>1170</v>
      </c>
      <c r="I27" t="s">
        <v>1171</v>
      </c>
      <c r="J27" t="s">
        <v>1172</v>
      </c>
      <c r="K27" t="s">
        <v>1173</v>
      </c>
      <c r="L27" t="s">
        <v>1174</v>
      </c>
      <c r="N27" t="s">
        <v>50</v>
      </c>
      <c r="O27">
        <v>1</v>
      </c>
      <c r="Q27">
        <v>0</v>
      </c>
      <c r="R27">
        <v>0</v>
      </c>
      <c r="S27">
        <v>0</v>
      </c>
      <c r="T27">
        <v>0</v>
      </c>
      <c r="U27" s="20">
        <v>45895.816250000003</v>
      </c>
      <c r="V27" s="20">
        <v>46029.627349537041</v>
      </c>
      <c r="Z27" t="s">
        <v>1175</v>
      </c>
      <c r="AA27" t="s">
        <v>315</v>
      </c>
      <c r="AD27" t="s">
        <v>1999</v>
      </c>
      <c r="AE27" t="s">
        <v>2011</v>
      </c>
      <c r="AF27" t="s">
        <v>2030</v>
      </c>
      <c r="AG27" t="s">
        <v>2102</v>
      </c>
      <c r="AH27" t="s">
        <v>1179</v>
      </c>
      <c r="AI27" t="s">
        <v>2031</v>
      </c>
      <c r="AJ27">
        <v>1541</v>
      </c>
      <c r="AK27" t="s">
        <v>2103</v>
      </c>
      <c r="AU27" t="s">
        <v>315</v>
      </c>
      <c r="AX27" t="s">
        <v>3450</v>
      </c>
      <c r="AY27" t="s">
        <v>3429</v>
      </c>
    </row>
    <row r="28" spans="1:51" x14ac:dyDescent="0.25">
      <c r="A28" t="s">
        <v>2108</v>
      </c>
      <c r="B28" t="s">
        <v>1168</v>
      </c>
      <c r="C28" t="s">
        <v>1206</v>
      </c>
      <c r="E28">
        <v>1</v>
      </c>
      <c r="F28">
        <v>1</v>
      </c>
      <c r="H28" t="s">
        <v>1170</v>
      </c>
      <c r="I28" t="s">
        <v>1171</v>
      </c>
      <c r="J28" t="s">
        <v>1172</v>
      </c>
      <c r="K28" t="s">
        <v>1173</v>
      </c>
      <c r="L28" t="s">
        <v>1174</v>
      </c>
      <c r="N28" t="s">
        <v>50</v>
      </c>
      <c r="O28">
        <v>1</v>
      </c>
      <c r="Q28">
        <v>0</v>
      </c>
      <c r="R28">
        <v>0</v>
      </c>
      <c r="S28">
        <v>0</v>
      </c>
      <c r="T28">
        <v>0</v>
      </c>
      <c r="U28" s="20">
        <v>45895.825266203705</v>
      </c>
      <c r="V28" s="20">
        <v>46032.872662037036</v>
      </c>
      <c r="Z28" t="s">
        <v>1175</v>
      </c>
      <c r="AA28" t="s">
        <v>45</v>
      </c>
      <c r="AD28" t="s">
        <v>2047</v>
      </c>
      <c r="AF28" t="s">
        <v>2108</v>
      </c>
      <c r="AH28" t="s">
        <v>2049</v>
      </c>
      <c r="AI28" t="s">
        <v>2099</v>
      </c>
      <c r="AJ28" t="s">
        <v>2050</v>
      </c>
      <c r="AK28" t="s">
        <v>2109</v>
      </c>
      <c r="AU28" t="s">
        <v>45</v>
      </c>
      <c r="AX28" t="s">
        <v>3451</v>
      </c>
      <c r="AY28" t="s">
        <v>3433</v>
      </c>
    </row>
    <row r="29" spans="1:51" x14ac:dyDescent="0.25">
      <c r="A29" t="s">
        <v>2111</v>
      </c>
      <c r="B29" t="s">
        <v>1168</v>
      </c>
      <c r="C29" t="s">
        <v>1223</v>
      </c>
      <c r="E29">
        <v>1</v>
      </c>
      <c r="F29">
        <v>1</v>
      </c>
      <c r="H29" t="s">
        <v>1170</v>
      </c>
      <c r="I29" t="s">
        <v>1171</v>
      </c>
      <c r="J29" t="s">
        <v>1172</v>
      </c>
      <c r="K29" t="s">
        <v>1173</v>
      </c>
      <c r="L29" t="s">
        <v>1174</v>
      </c>
      <c r="N29" t="s">
        <v>50</v>
      </c>
      <c r="O29">
        <v>1</v>
      </c>
      <c r="Q29">
        <v>0</v>
      </c>
      <c r="R29">
        <v>0</v>
      </c>
      <c r="S29">
        <v>0</v>
      </c>
      <c r="T29">
        <v>0</v>
      </c>
      <c r="U29" s="20">
        <v>45895.830520833333</v>
      </c>
      <c r="V29" s="20">
        <v>46029.627372685187</v>
      </c>
      <c r="Z29" t="s">
        <v>1175</v>
      </c>
      <c r="AA29" t="s">
        <v>315</v>
      </c>
      <c r="AD29" t="s">
        <v>1999</v>
      </c>
      <c r="AE29" t="s">
        <v>2000</v>
      </c>
      <c r="AF29" t="s">
        <v>1997</v>
      </c>
      <c r="AG29" t="s">
        <v>2111</v>
      </c>
      <c r="AH29" t="s">
        <v>1179</v>
      </c>
      <c r="AI29" t="s">
        <v>1984</v>
      </c>
      <c r="AJ29">
        <v>1542</v>
      </c>
      <c r="AK29" t="s">
        <v>2112</v>
      </c>
      <c r="AU29" t="s">
        <v>315</v>
      </c>
      <c r="AX29" t="s">
        <v>3452</v>
      </c>
      <c r="AY29" t="s">
        <v>3417</v>
      </c>
    </row>
    <row r="30" spans="1:51" x14ac:dyDescent="0.25">
      <c r="A30" t="s">
        <v>2114</v>
      </c>
      <c r="B30" t="s">
        <v>1168</v>
      </c>
      <c r="C30" t="s">
        <v>1224</v>
      </c>
      <c r="E30">
        <v>1</v>
      </c>
      <c r="F30">
        <v>1</v>
      </c>
      <c r="H30" t="s">
        <v>1170</v>
      </c>
      <c r="I30" t="s">
        <v>1171</v>
      </c>
      <c r="J30" t="s">
        <v>1172</v>
      </c>
      <c r="K30" t="s">
        <v>1173</v>
      </c>
      <c r="L30" t="s">
        <v>1174</v>
      </c>
      <c r="N30" t="s">
        <v>50</v>
      </c>
      <c r="O30">
        <v>1</v>
      </c>
      <c r="Q30">
        <v>0</v>
      </c>
      <c r="R30">
        <v>0</v>
      </c>
      <c r="S30">
        <v>0</v>
      </c>
      <c r="T30">
        <v>0</v>
      </c>
      <c r="U30" s="20">
        <v>45895.831296296295</v>
      </c>
      <c r="V30" s="20">
        <v>46029.627349537041</v>
      </c>
      <c r="Z30" t="s">
        <v>1175</v>
      </c>
      <c r="AA30" t="s">
        <v>315</v>
      </c>
      <c r="AD30" t="s">
        <v>1999</v>
      </c>
      <c r="AE30" t="s">
        <v>2000</v>
      </c>
      <c r="AF30" t="s">
        <v>1997</v>
      </c>
      <c r="AG30" t="s">
        <v>2114</v>
      </c>
      <c r="AH30" t="s">
        <v>1179</v>
      </c>
      <c r="AI30" t="s">
        <v>1984</v>
      </c>
      <c r="AJ30">
        <v>1542</v>
      </c>
      <c r="AK30" t="s">
        <v>2115</v>
      </c>
      <c r="AU30" t="s">
        <v>315</v>
      </c>
      <c r="AX30" t="s">
        <v>3453</v>
      </c>
      <c r="AY30" t="s">
        <v>3417</v>
      </c>
    </row>
    <row r="31" spans="1:51" x14ac:dyDescent="0.25">
      <c r="A31" t="s">
        <v>2117</v>
      </c>
      <c r="B31" t="s">
        <v>1168</v>
      </c>
      <c r="C31" t="s">
        <v>1714</v>
      </c>
      <c r="E31">
        <v>1</v>
      </c>
      <c r="F31">
        <v>1</v>
      </c>
      <c r="H31" t="s">
        <v>1170</v>
      </c>
      <c r="I31" t="s">
        <v>1171</v>
      </c>
      <c r="J31" t="s">
        <v>1172</v>
      </c>
      <c r="K31" t="s">
        <v>1173</v>
      </c>
      <c r="L31" t="s">
        <v>1174</v>
      </c>
      <c r="N31" t="s">
        <v>50</v>
      </c>
      <c r="O31">
        <v>1</v>
      </c>
      <c r="Q31">
        <v>0</v>
      </c>
      <c r="R31">
        <v>0</v>
      </c>
      <c r="S31">
        <v>0</v>
      </c>
      <c r="T31">
        <v>0</v>
      </c>
      <c r="U31" s="20">
        <v>45895.835636574076</v>
      </c>
      <c r="V31" s="20">
        <v>46029.627372685187</v>
      </c>
      <c r="Z31" t="s">
        <v>1175</v>
      </c>
      <c r="AA31" t="s">
        <v>45</v>
      </c>
      <c r="AC31" t="s">
        <v>60</v>
      </c>
      <c r="AD31" t="s">
        <v>2118</v>
      </c>
      <c r="AE31" t="s">
        <v>2119</v>
      </c>
      <c r="AF31" t="s">
        <v>2117</v>
      </c>
      <c r="AH31" t="s">
        <v>1988</v>
      </c>
      <c r="AI31" t="s">
        <v>2120</v>
      </c>
      <c r="AJ31">
        <v>1521</v>
      </c>
      <c r="AK31" t="s">
        <v>2121</v>
      </c>
      <c r="AU31" t="s">
        <v>45</v>
      </c>
      <c r="AX31" t="s">
        <v>3454</v>
      </c>
      <c r="AY31" t="s">
        <v>3455</v>
      </c>
    </row>
    <row r="32" spans="1:51" x14ac:dyDescent="0.25">
      <c r="A32" t="s">
        <v>2123</v>
      </c>
      <c r="B32" t="s">
        <v>1168</v>
      </c>
      <c r="C32" t="s">
        <v>1715</v>
      </c>
      <c r="E32">
        <v>1</v>
      </c>
      <c r="F32">
        <v>1</v>
      </c>
      <c r="H32" t="s">
        <v>1170</v>
      </c>
      <c r="I32" t="s">
        <v>1171</v>
      </c>
      <c r="J32" t="s">
        <v>1172</v>
      </c>
      <c r="K32" t="s">
        <v>1173</v>
      </c>
      <c r="L32" t="s">
        <v>1174</v>
      </c>
      <c r="N32" t="s">
        <v>50</v>
      </c>
      <c r="O32">
        <v>1</v>
      </c>
      <c r="Q32">
        <v>0</v>
      </c>
      <c r="R32">
        <v>0</v>
      </c>
      <c r="S32">
        <v>0</v>
      </c>
      <c r="T32">
        <v>0</v>
      </c>
      <c r="U32" s="20">
        <v>45895.835775462961</v>
      </c>
      <c r="V32" s="20">
        <v>46029.627372685187</v>
      </c>
      <c r="Z32" t="s">
        <v>1175</v>
      </c>
      <c r="AA32" t="s">
        <v>45</v>
      </c>
      <c r="AC32" t="s">
        <v>60</v>
      </c>
      <c r="AD32" t="s">
        <v>2118</v>
      </c>
      <c r="AE32" t="s">
        <v>2119</v>
      </c>
      <c r="AF32" t="s">
        <v>2123</v>
      </c>
      <c r="AH32" t="s">
        <v>1988</v>
      </c>
      <c r="AI32" t="s">
        <v>2124</v>
      </c>
      <c r="AJ32">
        <v>1521</v>
      </c>
      <c r="AK32" t="s">
        <v>2125</v>
      </c>
      <c r="AU32" t="s">
        <v>45</v>
      </c>
      <c r="AX32" t="s">
        <v>3456</v>
      </c>
      <c r="AY32" t="s">
        <v>3455</v>
      </c>
    </row>
    <row r="33" spans="1:51" x14ac:dyDescent="0.25">
      <c r="A33" t="s">
        <v>2127</v>
      </c>
      <c r="B33" t="s">
        <v>1168</v>
      </c>
      <c r="C33" t="s">
        <v>1704</v>
      </c>
      <c r="E33">
        <v>1</v>
      </c>
      <c r="F33">
        <v>1</v>
      </c>
      <c r="H33" t="s">
        <v>1170</v>
      </c>
      <c r="I33" t="s">
        <v>1171</v>
      </c>
      <c r="J33" t="s">
        <v>1172</v>
      </c>
      <c r="K33" t="s">
        <v>1173</v>
      </c>
      <c r="L33" t="s">
        <v>1174</v>
      </c>
      <c r="N33" t="s">
        <v>50</v>
      </c>
      <c r="O33">
        <v>1</v>
      </c>
      <c r="Q33">
        <v>0</v>
      </c>
      <c r="R33">
        <v>0</v>
      </c>
      <c r="S33">
        <v>0</v>
      </c>
      <c r="T33">
        <v>0</v>
      </c>
      <c r="U33" s="20">
        <v>45895.838576388887</v>
      </c>
      <c r="V33" s="20">
        <v>46029.627337962964</v>
      </c>
      <c r="Z33" t="s">
        <v>1175</v>
      </c>
      <c r="AA33" t="s">
        <v>45</v>
      </c>
      <c r="AC33" t="s">
        <v>60</v>
      </c>
      <c r="AD33" t="s">
        <v>2128</v>
      </c>
      <c r="AE33" t="s">
        <v>2129</v>
      </c>
      <c r="AF33" t="s">
        <v>2127</v>
      </c>
      <c r="AH33" t="s">
        <v>2130</v>
      </c>
      <c r="AI33" t="s">
        <v>2124</v>
      </c>
      <c r="AJ33">
        <v>1513</v>
      </c>
      <c r="AK33" t="s">
        <v>2131</v>
      </c>
      <c r="AU33" t="s">
        <v>45</v>
      </c>
      <c r="AX33" t="s">
        <v>3457</v>
      </c>
      <c r="AY33" t="s">
        <v>3458</v>
      </c>
    </row>
    <row r="34" spans="1:51" x14ac:dyDescent="0.25">
      <c r="A34" t="s">
        <v>2133</v>
      </c>
      <c r="B34" t="s">
        <v>1168</v>
      </c>
      <c r="C34" t="s">
        <v>1238</v>
      </c>
      <c r="E34">
        <v>1</v>
      </c>
      <c r="F34">
        <v>1</v>
      </c>
      <c r="H34" t="s">
        <v>1170</v>
      </c>
      <c r="I34" t="s">
        <v>1171</v>
      </c>
      <c r="J34" t="s">
        <v>1172</v>
      </c>
      <c r="K34" t="s">
        <v>1173</v>
      </c>
      <c r="L34" t="s">
        <v>1174</v>
      </c>
      <c r="N34" t="s">
        <v>50</v>
      </c>
      <c r="O34">
        <v>1</v>
      </c>
      <c r="Q34">
        <v>0</v>
      </c>
      <c r="R34">
        <v>0</v>
      </c>
      <c r="S34">
        <v>0</v>
      </c>
      <c r="T34">
        <v>0</v>
      </c>
      <c r="U34" s="20">
        <v>45895.843159722222</v>
      </c>
      <c r="V34" s="20">
        <v>46032.872662037036</v>
      </c>
      <c r="Z34" t="s">
        <v>1175</v>
      </c>
      <c r="AA34" t="s">
        <v>45</v>
      </c>
      <c r="AD34" t="s">
        <v>2047</v>
      </c>
      <c r="AF34" t="s">
        <v>2133</v>
      </c>
      <c r="AH34" t="s">
        <v>2049</v>
      </c>
      <c r="AI34" t="s">
        <v>2134</v>
      </c>
      <c r="AJ34" t="s">
        <v>2050</v>
      </c>
      <c r="AK34" t="s">
        <v>2135</v>
      </c>
      <c r="AU34" t="s">
        <v>45</v>
      </c>
      <c r="AX34" t="s">
        <v>3459</v>
      </c>
      <c r="AY34" t="s">
        <v>3433</v>
      </c>
    </row>
    <row r="35" spans="1:51" x14ac:dyDescent="0.25">
      <c r="A35" t="s">
        <v>2137</v>
      </c>
      <c r="B35" t="s">
        <v>1168</v>
      </c>
      <c r="C35" t="s">
        <v>1200</v>
      </c>
      <c r="E35">
        <v>1</v>
      </c>
      <c r="F35">
        <v>1</v>
      </c>
      <c r="H35" t="s">
        <v>1170</v>
      </c>
      <c r="I35" t="s">
        <v>1171</v>
      </c>
      <c r="J35" t="s">
        <v>1172</v>
      </c>
      <c r="K35" t="s">
        <v>1173</v>
      </c>
      <c r="L35" t="s">
        <v>1174</v>
      </c>
      <c r="N35" t="s">
        <v>50</v>
      </c>
      <c r="O35">
        <v>1</v>
      </c>
      <c r="Q35">
        <v>0</v>
      </c>
      <c r="R35">
        <v>0</v>
      </c>
      <c r="S35">
        <v>0</v>
      </c>
      <c r="T35">
        <v>0</v>
      </c>
      <c r="U35" s="20">
        <v>45895.853425925925</v>
      </c>
      <c r="V35" s="20">
        <v>46029.627326388887</v>
      </c>
      <c r="Z35" t="s">
        <v>1175</v>
      </c>
      <c r="AA35" t="s">
        <v>315</v>
      </c>
      <c r="AD35" t="s">
        <v>1999</v>
      </c>
      <c r="AE35" t="s">
        <v>2006</v>
      </c>
      <c r="AF35" t="s">
        <v>2063</v>
      </c>
      <c r="AG35" t="s">
        <v>2137</v>
      </c>
      <c r="AH35" t="s">
        <v>1179</v>
      </c>
      <c r="AI35" t="s">
        <v>2036</v>
      </c>
      <c r="AJ35">
        <v>1543</v>
      </c>
      <c r="AK35" t="s">
        <v>2138</v>
      </c>
      <c r="AU35" t="s">
        <v>315</v>
      </c>
      <c r="AX35" t="s">
        <v>3460</v>
      </c>
      <c r="AY35" t="s">
        <v>3437</v>
      </c>
    </row>
    <row r="36" spans="1:51" x14ac:dyDescent="0.25">
      <c r="A36" t="s">
        <v>2140</v>
      </c>
      <c r="B36" t="s">
        <v>1168</v>
      </c>
      <c r="C36" t="s">
        <v>1201</v>
      </c>
      <c r="E36">
        <v>1</v>
      </c>
      <c r="F36">
        <v>1</v>
      </c>
      <c r="H36" t="s">
        <v>1170</v>
      </c>
      <c r="I36" t="s">
        <v>1171</v>
      </c>
      <c r="J36" t="s">
        <v>1172</v>
      </c>
      <c r="K36" t="s">
        <v>1173</v>
      </c>
      <c r="L36" t="s">
        <v>1174</v>
      </c>
      <c r="N36" t="s">
        <v>50</v>
      </c>
      <c r="O36">
        <v>1</v>
      </c>
      <c r="Q36">
        <v>0</v>
      </c>
      <c r="R36">
        <v>0</v>
      </c>
      <c r="S36">
        <v>0</v>
      </c>
      <c r="T36">
        <v>0</v>
      </c>
      <c r="U36" s="20">
        <v>45895.860231481478</v>
      </c>
      <c r="V36" s="20">
        <v>46029.627349537041</v>
      </c>
      <c r="Z36" t="s">
        <v>1175</v>
      </c>
      <c r="AA36" t="s">
        <v>315</v>
      </c>
      <c r="AD36" t="s">
        <v>1999</v>
      </c>
      <c r="AE36" t="s">
        <v>2006</v>
      </c>
      <c r="AF36" t="s">
        <v>2063</v>
      </c>
      <c r="AG36" t="s">
        <v>2140</v>
      </c>
      <c r="AH36" t="s">
        <v>1179</v>
      </c>
      <c r="AI36" t="s">
        <v>2036</v>
      </c>
      <c r="AJ36">
        <v>1543</v>
      </c>
      <c r="AK36" t="s">
        <v>2141</v>
      </c>
      <c r="AU36" t="s">
        <v>315</v>
      </c>
      <c r="AX36" t="s">
        <v>3461</v>
      </c>
      <c r="AY36" t="s">
        <v>3437</v>
      </c>
    </row>
    <row r="37" spans="1:51" x14ac:dyDescent="0.25">
      <c r="A37" t="s">
        <v>2143</v>
      </c>
      <c r="B37" t="s">
        <v>1168</v>
      </c>
      <c r="C37" t="s">
        <v>1202</v>
      </c>
      <c r="E37">
        <v>1</v>
      </c>
      <c r="F37">
        <v>1</v>
      </c>
      <c r="H37" t="s">
        <v>1170</v>
      </c>
      <c r="I37" t="s">
        <v>1171</v>
      </c>
      <c r="J37" t="s">
        <v>1172</v>
      </c>
      <c r="K37" t="s">
        <v>1173</v>
      </c>
      <c r="L37" t="s">
        <v>1174</v>
      </c>
      <c r="N37" t="s">
        <v>50</v>
      </c>
      <c r="O37">
        <v>1</v>
      </c>
      <c r="Q37">
        <v>0</v>
      </c>
      <c r="R37">
        <v>0</v>
      </c>
      <c r="S37">
        <v>0</v>
      </c>
      <c r="T37">
        <v>0</v>
      </c>
      <c r="U37" s="20">
        <v>45895.860324074078</v>
      </c>
      <c r="V37" s="20">
        <v>46029.627349537041</v>
      </c>
      <c r="Z37" t="s">
        <v>1175</v>
      </c>
      <c r="AA37" t="s">
        <v>315</v>
      </c>
      <c r="AD37" t="s">
        <v>1999</v>
      </c>
      <c r="AE37" t="s">
        <v>2006</v>
      </c>
      <c r="AF37" t="s">
        <v>2063</v>
      </c>
      <c r="AG37" t="s">
        <v>2143</v>
      </c>
      <c r="AH37" t="s">
        <v>1179</v>
      </c>
      <c r="AI37" t="s">
        <v>2036</v>
      </c>
      <c r="AJ37">
        <v>1543</v>
      </c>
      <c r="AK37" t="s">
        <v>2144</v>
      </c>
      <c r="AU37" t="s">
        <v>315</v>
      </c>
      <c r="AX37" t="s">
        <v>3462</v>
      </c>
      <c r="AY37" t="s">
        <v>3437</v>
      </c>
    </row>
    <row r="38" spans="1:51" x14ac:dyDescent="0.25">
      <c r="A38" t="s">
        <v>3082</v>
      </c>
      <c r="B38" t="s">
        <v>1168</v>
      </c>
      <c r="C38" t="s">
        <v>1211</v>
      </c>
      <c r="E38">
        <v>1</v>
      </c>
      <c r="F38">
        <v>1</v>
      </c>
      <c r="H38" t="s">
        <v>1170</v>
      </c>
      <c r="I38" t="s">
        <v>1171</v>
      </c>
      <c r="J38" t="s">
        <v>1172</v>
      </c>
      <c r="K38" t="s">
        <v>1173</v>
      </c>
      <c r="L38" t="s">
        <v>1174</v>
      </c>
      <c r="N38" t="s">
        <v>50</v>
      </c>
      <c r="O38">
        <v>1</v>
      </c>
      <c r="Q38">
        <v>0</v>
      </c>
      <c r="R38">
        <v>0</v>
      </c>
      <c r="S38">
        <v>0</v>
      </c>
      <c r="T38">
        <v>0</v>
      </c>
      <c r="U38" s="20">
        <v>45895.900821759256</v>
      </c>
      <c r="V38" s="20">
        <v>46071.501261574071</v>
      </c>
      <c r="Z38" t="s">
        <v>1175</v>
      </c>
      <c r="AA38" t="s">
        <v>315</v>
      </c>
      <c r="AD38" t="s">
        <v>2047</v>
      </c>
      <c r="AF38" t="s">
        <v>2106</v>
      </c>
      <c r="AG38" t="s">
        <v>2146</v>
      </c>
      <c r="AH38" t="s">
        <v>2049</v>
      </c>
      <c r="AI38" t="s">
        <v>2032</v>
      </c>
      <c r="AJ38" t="s">
        <v>2050</v>
      </c>
      <c r="AK38" t="s">
        <v>2147</v>
      </c>
      <c r="AU38" t="s">
        <v>315</v>
      </c>
      <c r="AX38" t="s">
        <v>3463</v>
      </c>
      <c r="AY38" t="s">
        <v>3464</v>
      </c>
    </row>
    <row r="39" spans="1:51" x14ac:dyDescent="0.25">
      <c r="A39" t="s">
        <v>2149</v>
      </c>
      <c r="B39" t="s">
        <v>1168</v>
      </c>
      <c r="C39" t="s">
        <v>1703</v>
      </c>
      <c r="E39">
        <v>1</v>
      </c>
      <c r="F39">
        <v>1</v>
      </c>
      <c r="H39" t="s">
        <v>1170</v>
      </c>
      <c r="I39" t="s">
        <v>1171</v>
      </c>
      <c r="J39" t="s">
        <v>1172</v>
      </c>
      <c r="K39" t="s">
        <v>1173</v>
      </c>
      <c r="L39" t="s">
        <v>1174</v>
      </c>
      <c r="N39" t="s">
        <v>50</v>
      </c>
      <c r="O39">
        <v>1</v>
      </c>
      <c r="Q39">
        <v>0</v>
      </c>
      <c r="R39">
        <v>0</v>
      </c>
      <c r="S39">
        <v>0</v>
      </c>
      <c r="T39">
        <v>0</v>
      </c>
      <c r="U39" s="20">
        <v>45896.609988425924</v>
      </c>
      <c r="V39" s="20">
        <v>46029.627326388887</v>
      </c>
      <c r="Z39" t="s">
        <v>1175</v>
      </c>
      <c r="AA39" t="s">
        <v>315</v>
      </c>
      <c r="AC39" t="s">
        <v>60</v>
      </c>
      <c r="AD39" t="s">
        <v>2128</v>
      </c>
      <c r="AE39" t="s">
        <v>2129</v>
      </c>
      <c r="AF39" t="s">
        <v>2150</v>
      </c>
      <c r="AG39" t="s">
        <v>2149</v>
      </c>
      <c r="AH39" t="s">
        <v>2130</v>
      </c>
      <c r="AI39" t="s">
        <v>2120</v>
      </c>
      <c r="AJ39">
        <v>1512</v>
      </c>
      <c r="AK39" t="s">
        <v>2151</v>
      </c>
      <c r="AU39" t="s">
        <v>315</v>
      </c>
      <c r="AX39" t="s">
        <v>3465</v>
      </c>
      <c r="AY39" t="s">
        <v>3466</v>
      </c>
    </row>
    <row r="40" spans="1:51" x14ac:dyDescent="0.25">
      <c r="A40" t="s">
        <v>2153</v>
      </c>
      <c r="B40" t="s">
        <v>1168</v>
      </c>
      <c r="C40" t="s">
        <v>1700</v>
      </c>
      <c r="E40">
        <v>1</v>
      </c>
      <c r="F40">
        <v>1</v>
      </c>
      <c r="H40" t="s">
        <v>1170</v>
      </c>
      <c r="I40" t="s">
        <v>1171</v>
      </c>
      <c r="J40" t="s">
        <v>1172</v>
      </c>
      <c r="K40" t="s">
        <v>1173</v>
      </c>
      <c r="L40" t="s">
        <v>1174</v>
      </c>
      <c r="N40" t="s">
        <v>50</v>
      </c>
      <c r="O40">
        <v>1</v>
      </c>
      <c r="Q40">
        <v>0</v>
      </c>
      <c r="R40">
        <v>0</v>
      </c>
      <c r="S40">
        <v>0</v>
      </c>
      <c r="T40">
        <v>0</v>
      </c>
      <c r="U40" s="20">
        <v>45896.610219907408</v>
      </c>
      <c r="V40" s="20">
        <v>46029.627349537041</v>
      </c>
      <c r="Z40" t="s">
        <v>1175</v>
      </c>
      <c r="AA40" t="s">
        <v>315</v>
      </c>
      <c r="AC40" t="s">
        <v>60</v>
      </c>
      <c r="AD40" t="s">
        <v>2128</v>
      </c>
      <c r="AE40" t="s">
        <v>2129</v>
      </c>
      <c r="AF40" t="s">
        <v>2150</v>
      </c>
      <c r="AG40" t="s">
        <v>2153</v>
      </c>
      <c r="AH40" t="s">
        <v>2130</v>
      </c>
      <c r="AI40" t="s">
        <v>2120</v>
      </c>
      <c r="AJ40">
        <v>1512</v>
      </c>
      <c r="AK40" t="s">
        <v>2154</v>
      </c>
      <c r="AU40" t="s">
        <v>315</v>
      </c>
      <c r="AX40" t="s">
        <v>3467</v>
      </c>
      <c r="AY40" t="s">
        <v>3466</v>
      </c>
    </row>
    <row r="41" spans="1:51" x14ac:dyDescent="0.25">
      <c r="A41" t="s">
        <v>2156</v>
      </c>
      <c r="B41" t="s">
        <v>1168</v>
      </c>
      <c r="C41" t="s">
        <v>1701</v>
      </c>
      <c r="E41">
        <v>1</v>
      </c>
      <c r="F41">
        <v>1</v>
      </c>
      <c r="H41" t="s">
        <v>1170</v>
      </c>
      <c r="I41" t="s">
        <v>1171</v>
      </c>
      <c r="J41" t="s">
        <v>1172</v>
      </c>
      <c r="K41" t="s">
        <v>1173</v>
      </c>
      <c r="L41" t="s">
        <v>1174</v>
      </c>
      <c r="N41" t="s">
        <v>50</v>
      </c>
      <c r="O41">
        <v>1</v>
      </c>
      <c r="Q41">
        <v>0</v>
      </c>
      <c r="R41">
        <v>0</v>
      </c>
      <c r="S41">
        <v>0</v>
      </c>
      <c r="T41">
        <v>0</v>
      </c>
      <c r="U41" s="20">
        <v>45896.611539351848</v>
      </c>
      <c r="V41" s="20">
        <v>46029.627349537041</v>
      </c>
      <c r="Z41" t="s">
        <v>1175</v>
      </c>
      <c r="AA41" t="s">
        <v>315</v>
      </c>
      <c r="AC41" t="s">
        <v>60</v>
      </c>
      <c r="AD41" t="s">
        <v>2128</v>
      </c>
      <c r="AE41" t="s">
        <v>2129</v>
      </c>
      <c r="AF41" t="s">
        <v>2150</v>
      </c>
      <c r="AG41" t="s">
        <v>2156</v>
      </c>
      <c r="AH41" t="s">
        <v>2130</v>
      </c>
      <c r="AI41" t="s">
        <v>2120</v>
      </c>
      <c r="AJ41">
        <v>1512</v>
      </c>
      <c r="AK41" t="s">
        <v>2157</v>
      </c>
      <c r="AU41" t="s">
        <v>315</v>
      </c>
      <c r="AX41" t="s">
        <v>3468</v>
      </c>
      <c r="AY41" t="s">
        <v>3466</v>
      </c>
    </row>
    <row r="42" spans="1:51" x14ac:dyDescent="0.25">
      <c r="A42" t="s">
        <v>2159</v>
      </c>
      <c r="B42" t="s">
        <v>1168</v>
      </c>
      <c r="C42" t="s">
        <v>1699</v>
      </c>
      <c r="E42">
        <v>1</v>
      </c>
      <c r="F42">
        <v>1</v>
      </c>
      <c r="H42" t="s">
        <v>1170</v>
      </c>
      <c r="I42" t="s">
        <v>1171</v>
      </c>
      <c r="J42" t="s">
        <v>1172</v>
      </c>
      <c r="K42" t="s">
        <v>1173</v>
      </c>
      <c r="L42" t="s">
        <v>1174</v>
      </c>
      <c r="N42" t="s">
        <v>50</v>
      </c>
      <c r="O42">
        <v>1</v>
      </c>
      <c r="Q42">
        <v>0</v>
      </c>
      <c r="R42">
        <v>0</v>
      </c>
      <c r="S42">
        <v>0</v>
      </c>
      <c r="T42">
        <v>0</v>
      </c>
      <c r="U42" s="20">
        <v>45896.611539351848</v>
      </c>
      <c r="V42" s="20">
        <v>46029.62736111111</v>
      </c>
      <c r="Z42" t="s">
        <v>1175</v>
      </c>
      <c r="AA42" t="s">
        <v>315</v>
      </c>
      <c r="AC42" t="s">
        <v>60</v>
      </c>
      <c r="AD42" t="s">
        <v>2128</v>
      </c>
      <c r="AE42" t="s">
        <v>2129</v>
      </c>
      <c r="AF42" t="s">
        <v>2150</v>
      </c>
      <c r="AG42" t="s">
        <v>2159</v>
      </c>
      <c r="AH42" t="s">
        <v>2130</v>
      </c>
      <c r="AI42" t="s">
        <v>2120</v>
      </c>
      <c r="AJ42">
        <v>1512</v>
      </c>
      <c r="AK42" t="s">
        <v>2160</v>
      </c>
      <c r="AU42" t="s">
        <v>315</v>
      </c>
      <c r="AX42" t="s">
        <v>3469</v>
      </c>
      <c r="AY42" t="s">
        <v>3466</v>
      </c>
    </row>
    <row r="43" spans="1:51" x14ac:dyDescent="0.25">
      <c r="A43" t="s">
        <v>2162</v>
      </c>
      <c r="B43" t="s">
        <v>1168</v>
      </c>
      <c r="C43" t="s">
        <v>1702</v>
      </c>
      <c r="E43">
        <v>1</v>
      </c>
      <c r="F43">
        <v>1</v>
      </c>
      <c r="H43" t="s">
        <v>1170</v>
      </c>
      <c r="I43" t="s">
        <v>1171</v>
      </c>
      <c r="J43" t="s">
        <v>1172</v>
      </c>
      <c r="K43" t="s">
        <v>1173</v>
      </c>
      <c r="L43" t="s">
        <v>1174</v>
      </c>
      <c r="N43" t="s">
        <v>50</v>
      </c>
      <c r="O43">
        <v>1</v>
      </c>
      <c r="Q43">
        <v>0</v>
      </c>
      <c r="R43">
        <v>0</v>
      </c>
      <c r="S43">
        <v>0</v>
      </c>
      <c r="T43">
        <v>0</v>
      </c>
      <c r="U43" s="20">
        <v>45896.611817129633</v>
      </c>
      <c r="V43" s="20">
        <v>46029.627349537041</v>
      </c>
      <c r="Z43" t="s">
        <v>1175</v>
      </c>
      <c r="AA43" t="s">
        <v>315</v>
      </c>
      <c r="AC43" t="s">
        <v>60</v>
      </c>
      <c r="AD43" t="s">
        <v>2128</v>
      </c>
      <c r="AE43" t="s">
        <v>2129</v>
      </c>
      <c r="AF43" t="s">
        <v>2150</v>
      </c>
      <c r="AG43" t="s">
        <v>2162</v>
      </c>
      <c r="AH43" t="s">
        <v>2130</v>
      </c>
      <c r="AI43" t="s">
        <v>2120</v>
      </c>
      <c r="AJ43">
        <v>1512</v>
      </c>
      <c r="AK43" t="s">
        <v>2163</v>
      </c>
      <c r="AU43" t="s">
        <v>315</v>
      </c>
      <c r="AX43" t="s">
        <v>3470</v>
      </c>
      <c r="AY43" t="s">
        <v>3466</v>
      </c>
    </row>
    <row r="44" spans="1:51" x14ac:dyDescent="0.25">
      <c r="A44" t="s">
        <v>2165</v>
      </c>
      <c r="B44" t="s">
        <v>1168</v>
      </c>
      <c r="C44" t="s">
        <v>1215</v>
      </c>
      <c r="E44">
        <v>1</v>
      </c>
      <c r="F44">
        <v>1</v>
      </c>
      <c r="H44" t="s">
        <v>1170</v>
      </c>
      <c r="I44" t="s">
        <v>1171</v>
      </c>
      <c r="J44" t="s">
        <v>1172</v>
      </c>
      <c r="K44" t="s">
        <v>1173</v>
      </c>
      <c r="L44" t="s">
        <v>1174</v>
      </c>
      <c r="N44" t="s">
        <v>50</v>
      </c>
      <c r="O44">
        <v>1</v>
      </c>
      <c r="Q44">
        <v>0</v>
      </c>
      <c r="R44">
        <v>0</v>
      </c>
      <c r="S44">
        <v>0</v>
      </c>
      <c r="T44">
        <v>0</v>
      </c>
      <c r="U44" s="20">
        <v>45896.619837962964</v>
      </c>
      <c r="V44" s="20">
        <v>46032.891493055555</v>
      </c>
      <c r="Z44" t="s">
        <v>1175</v>
      </c>
      <c r="AA44" t="s">
        <v>315</v>
      </c>
      <c r="AD44" t="s">
        <v>2071</v>
      </c>
      <c r="AF44" t="s">
        <v>2070</v>
      </c>
      <c r="AG44" t="s">
        <v>2165</v>
      </c>
      <c r="AH44" t="s">
        <v>1991</v>
      </c>
      <c r="AI44" t="s">
        <v>2051</v>
      </c>
      <c r="AJ44">
        <v>1410</v>
      </c>
      <c r="AK44" t="s">
        <v>2166</v>
      </c>
      <c r="AU44" t="s">
        <v>315</v>
      </c>
      <c r="AX44" t="s">
        <v>3471</v>
      </c>
      <c r="AY44" t="s">
        <v>3440</v>
      </c>
    </row>
    <row r="45" spans="1:51" x14ac:dyDescent="0.25">
      <c r="A45" t="s">
        <v>2168</v>
      </c>
      <c r="B45" t="s">
        <v>1168</v>
      </c>
      <c r="C45" t="s">
        <v>1217</v>
      </c>
      <c r="E45">
        <v>1</v>
      </c>
      <c r="F45">
        <v>1</v>
      </c>
      <c r="H45" t="s">
        <v>1170</v>
      </c>
      <c r="I45" t="s">
        <v>1171</v>
      </c>
      <c r="J45" t="s">
        <v>1172</v>
      </c>
      <c r="K45" t="s">
        <v>1173</v>
      </c>
      <c r="L45" t="s">
        <v>1174</v>
      </c>
      <c r="N45" t="s">
        <v>50</v>
      </c>
      <c r="O45">
        <v>1</v>
      </c>
      <c r="Q45">
        <v>0</v>
      </c>
      <c r="R45">
        <v>0</v>
      </c>
      <c r="S45">
        <v>0</v>
      </c>
      <c r="T45">
        <v>0</v>
      </c>
      <c r="U45" s="20">
        <v>45896.620289351849</v>
      </c>
      <c r="V45" s="20">
        <v>46032.891493055555</v>
      </c>
      <c r="Z45" t="s">
        <v>1175</v>
      </c>
      <c r="AA45" t="s">
        <v>315</v>
      </c>
      <c r="AD45" t="s">
        <v>2071</v>
      </c>
      <c r="AF45" t="s">
        <v>2070</v>
      </c>
      <c r="AG45" t="s">
        <v>2168</v>
      </c>
      <c r="AH45" t="s">
        <v>1991</v>
      </c>
      <c r="AI45" t="s">
        <v>2051</v>
      </c>
      <c r="AJ45">
        <v>1410</v>
      </c>
      <c r="AK45" t="s">
        <v>2169</v>
      </c>
      <c r="AU45" t="s">
        <v>315</v>
      </c>
      <c r="AX45" t="s">
        <v>3472</v>
      </c>
      <c r="AY45" t="s">
        <v>3440</v>
      </c>
    </row>
    <row r="46" spans="1:51" x14ac:dyDescent="0.25">
      <c r="A46" t="s">
        <v>2171</v>
      </c>
      <c r="B46" t="s">
        <v>1168</v>
      </c>
      <c r="C46" t="s">
        <v>1216</v>
      </c>
      <c r="E46">
        <v>1</v>
      </c>
      <c r="F46">
        <v>1</v>
      </c>
      <c r="H46" t="s">
        <v>1170</v>
      </c>
      <c r="I46" t="s">
        <v>1171</v>
      </c>
      <c r="J46" t="s">
        <v>1172</v>
      </c>
      <c r="K46" t="s">
        <v>1173</v>
      </c>
      <c r="L46" t="s">
        <v>1174</v>
      </c>
      <c r="N46" t="s">
        <v>50</v>
      </c>
      <c r="O46">
        <v>1</v>
      </c>
      <c r="Q46">
        <v>0</v>
      </c>
      <c r="R46">
        <v>0</v>
      </c>
      <c r="S46">
        <v>0</v>
      </c>
      <c r="T46">
        <v>0</v>
      </c>
      <c r="U46" s="20">
        <v>45896.621574074074</v>
      </c>
      <c r="V46" s="20">
        <v>46032.891493055555</v>
      </c>
      <c r="Z46" t="s">
        <v>1175</v>
      </c>
      <c r="AA46" t="s">
        <v>315</v>
      </c>
      <c r="AD46" t="s">
        <v>2071</v>
      </c>
      <c r="AF46" t="s">
        <v>2070</v>
      </c>
      <c r="AG46" t="s">
        <v>2171</v>
      </c>
      <c r="AH46" t="s">
        <v>1991</v>
      </c>
      <c r="AI46" t="s">
        <v>2051</v>
      </c>
      <c r="AJ46">
        <v>1410</v>
      </c>
      <c r="AK46" t="s">
        <v>2172</v>
      </c>
      <c r="AU46" t="s">
        <v>315</v>
      </c>
      <c r="AX46" t="s">
        <v>3473</v>
      </c>
      <c r="AY46" t="s">
        <v>3440</v>
      </c>
    </row>
    <row r="47" spans="1:51" x14ac:dyDescent="0.25">
      <c r="A47" t="s">
        <v>2174</v>
      </c>
      <c r="B47" t="s">
        <v>1168</v>
      </c>
      <c r="C47" t="s">
        <v>1218</v>
      </c>
      <c r="E47">
        <v>1</v>
      </c>
      <c r="F47">
        <v>1</v>
      </c>
      <c r="H47" t="s">
        <v>1170</v>
      </c>
      <c r="I47" t="s">
        <v>1171</v>
      </c>
      <c r="J47" t="s">
        <v>1172</v>
      </c>
      <c r="K47" t="s">
        <v>1173</v>
      </c>
      <c r="L47" t="s">
        <v>1174</v>
      </c>
      <c r="N47" t="s">
        <v>50</v>
      </c>
      <c r="O47">
        <v>1</v>
      </c>
      <c r="Q47">
        <v>0</v>
      </c>
      <c r="R47">
        <v>0</v>
      </c>
      <c r="S47">
        <v>0</v>
      </c>
      <c r="T47">
        <v>0</v>
      </c>
      <c r="U47" s="20">
        <v>45896.621863425928</v>
      </c>
      <c r="V47" s="20">
        <v>46032.891493055555</v>
      </c>
      <c r="Z47" t="s">
        <v>1175</v>
      </c>
      <c r="AA47" t="s">
        <v>315</v>
      </c>
      <c r="AD47" t="s">
        <v>2071</v>
      </c>
      <c r="AF47" t="s">
        <v>2070</v>
      </c>
      <c r="AG47" t="s">
        <v>2174</v>
      </c>
      <c r="AH47" t="s">
        <v>1991</v>
      </c>
      <c r="AI47" t="s">
        <v>2051</v>
      </c>
      <c r="AJ47">
        <v>1410</v>
      </c>
      <c r="AK47" t="s">
        <v>2175</v>
      </c>
      <c r="AU47" t="s">
        <v>315</v>
      </c>
      <c r="AX47" t="s">
        <v>3474</v>
      </c>
      <c r="AY47" t="s">
        <v>3440</v>
      </c>
    </row>
    <row r="48" spans="1:51" x14ac:dyDescent="0.25">
      <c r="A48" t="s">
        <v>2177</v>
      </c>
      <c r="B48" t="s">
        <v>1168</v>
      </c>
      <c r="C48" t="s">
        <v>1197</v>
      </c>
      <c r="E48">
        <v>1</v>
      </c>
      <c r="F48">
        <v>1</v>
      </c>
      <c r="H48" t="s">
        <v>1170</v>
      </c>
      <c r="I48" t="s">
        <v>1171</v>
      </c>
      <c r="J48" t="s">
        <v>1172</v>
      </c>
      <c r="K48" t="s">
        <v>1173</v>
      </c>
      <c r="L48" t="s">
        <v>1174</v>
      </c>
      <c r="N48" t="s">
        <v>50</v>
      </c>
      <c r="O48">
        <v>1</v>
      </c>
      <c r="Q48">
        <v>0</v>
      </c>
      <c r="R48">
        <v>0</v>
      </c>
      <c r="S48">
        <v>0</v>
      </c>
      <c r="T48">
        <v>0</v>
      </c>
      <c r="U48" s="20">
        <v>45896.627164351848</v>
      </c>
      <c r="V48" s="20">
        <v>46032.872662037036</v>
      </c>
      <c r="Z48" t="s">
        <v>1175</v>
      </c>
      <c r="AA48" t="s">
        <v>315</v>
      </c>
      <c r="AD48" t="s">
        <v>2047</v>
      </c>
      <c r="AF48" t="s">
        <v>2957</v>
      </c>
      <c r="AG48" t="s">
        <v>2177</v>
      </c>
      <c r="AH48" t="s">
        <v>2049</v>
      </c>
      <c r="AI48" t="s">
        <v>2178</v>
      </c>
      <c r="AJ48" t="s">
        <v>2050</v>
      </c>
      <c r="AK48" t="s">
        <v>2179</v>
      </c>
      <c r="AU48" t="s">
        <v>315</v>
      </c>
      <c r="AX48" t="s">
        <v>3475</v>
      </c>
      <c r="AY48" t="s">
        <v>3476</v>
      </c>
    </row>
    <row r="49" spans="1:51" x14ac:dyDescent="0.25">
      <c r="A49" t="s">
        <v>2181</v>
      </c>
      <c r="B49" t="s">
        <v>1168</v>
      </c>
      <c r="C49" t="s">
        <v>1198</v>
      </c>
      <c r="E49">
        <v>1</v>
      </c>
      <c r="F49">
        <v>1</v>
      </c>
      <c r="H49" t="s">
        <v>1170</v>
      </c>
      <c r="I49" t="s">
        <v>1171</v>
      </c>
      <c r="J49" t="s">
        <v>1172</v>
      </c>
      <c r="K49" t="s">
        <v>1173</v>
      </c>
      <c r="L49" t="s">
        <v>1174</v>
      </c>
      <c r="N49" t="s">
        <v>50</v>
      </c>
      <c r="O49">
        <v>1</v>
      </c>
      <c r="Q49">
        <v>0</v>
      </c>
      <c r="R49">
        <v>0</v>
      </c>
      <c r="S49">
        <v>0</v>
      </c>
      <c r="T49">
        <v>0</v>
      </c>
      <c r="U49" s="20">
        <v>45896.627615740741</v>
      </c>
      <c r="V49" s="20">
        <v>46032.872662037036</v>
      </c>
      <c r="Z49" t="s">
        <v>1175</v>
      </c>
      <c r="AA49" t="s">
        <v>315</v>
      </c>
      <c r="AD49" t="s">
        <v>2047</v>
      </c>
      <c r="AF49" t="s">
        <v>2957</v>
      </c>
      <c r="AG49" t="s">
        <v>2181</v>
      </c>
      <c r="AH49" t="s">
        <v>2049</v>
      </c>
      <c r="AI49" t="s">
        <v>2178</v>
      </c>
      <c r="AJ49" t="s">
        <v>2050</v>
      </c>
      <c r="AK49" t="s">
        <v>2182</v>
      </c>
      <c r="AU49" t="s">
        <v>315</v>
      </c>
      <c r="AX49" t="s">
        <v>3477</v>
      </c>
      <c r="AY49" t="s">
        <v>3476</v>
      </c>
    </row>
    <row r="50" spans="1:51" x14ac:dyDescent="0.25">
      <c r="A50" t="s">
        <v>2184</v>
      </c>
      <c r="B50" t="s">
        <v>1168</v>
      </c>
      <c r="C50" t="s">
        <v>1687</v>
      </c>
      <c r="E50">
        <v>1</v>
      </c>
      <c r="F50">
        <v>1</v>
      </c>
      <c r="H50" t="s">
        <v>1170</v>
      </c>
      <c r="I50" t="s">
        <v>1171</v>
      </c>
      <c r="J50" t="s">
        <v>1172</v>
      </c>
      <c r="K50" t="s">
        <v>1173</v>
      </c>
      <c r="L50" t="s">
        <v>1174</v>
      </c>
      <c r="N50" t="s">
        <v>50</v>
      </c>
      <c r="O50">
        <v>1</v>
      </c>
      <c r="Q50">
        <v>0</v>
      </c>
      <c r="R50">
        <v>0</v>
      </c>
      <c r="S50">
        <v>0</v>
      </c>
      <c r="T50">
        <v>0</v>
      </c>
      <c r="U50" s="20">
        <v>45896.633356481485</v>
      </c>
      <c r="V50" s="20">
        <v>46029.627303240741</v>
      </c>
      <c r="Z50" t="s">
        <v>1175</v>
      </c>
      <c r="AA50" t="s">
        <v>59</v>
      </c>
      <c r="AC50" t="s">
        <v>60</v>
      </c>
      <c r="AD50" t="s">
        <v>2185</v>
      </c>
      <c r="AE50" t="s">
        <v>2184</v>
      </c>
      <c r="AH50" t="s">
        <v>2186</v>
      </c>
      <c r="AI50" t="s">
        <v>2002</v>
      </c>
      <c r="AJ50">
        <v>1800</v>
      </c>
      <c r="AK50" t="s">
        <v>2187</v>
      </c>
      <c r="AU50" t="s">
        <v>59</v>
      </c>
      <c r="AX50" t="s">
        <v>3478</v>
      </c>
      <c r="AY50" t="s">
        <v>3479</v>
      </c>
    </row>
    <row r="51" spans="1:51" x14ac:dyDescent="0.25">
      <c r="A51" t="s">
        <v>2957</v>
      </c>
      <c r="B51" t="s">
        <v>1168</v>
      </c>
      <c r="C51" t="s">
        <v>1196</v>
      </c>
      <c r="E51">
        <v>1</v>
      </c>
      <c r="F51">
        <v>1</v>
      </c>
      <c r="H51" t="s">
        <v>1170</v>
      </c>
      <c r="I51" t="s">
        <v>1171</v>
      </c>
      <c r="J51" t="s">
        <v>1172</v>
      </c>
      <c r="K51" t="s">
        <v>1173</v>
      </c>
      <c r="L51" t="s">
        <v>1174</v>
      </c>
      <c r="N51" t="s">
        <v>50</v>
      </c>
      <c r="O51">
        <v>1</v>
      </c>
      <c r="Q51">
        <v>0</v>
      </c>
      <c r="R51">
        <v>0</v>
      </c>
      <c r="S51">
        <v>0</v>
      </c>
      <c r="T51">
        <v>0</v>
      </c>
      <c r="U51" s="20">
        <v>45896.647175925929</v>
      </c>
      <c r="V51" s="20">
        <v>46051.073807870373</v>
      </c>
      <c r="Z51" t="s">
        <v>1175</v>
      </c>
      <c r="AA51" t="s">
        <v>45</v>
      </c>
      <c r="AD51" t="s">
        <v>2047</v>
      </c>
      <c r="AF51" t="s">
        <v>2957</v>
      </c>
      <c r="AH51" t="s">
        <v>2049</v>
      </c>
      <c r="AI51" s="22" t="s">
        <v>2178</v>
      </c>
      <c r="AJ51" t="s">
        <v>2050</v>
      </c>
      <c r="AK51" t="s">
        <v>2189</v>
      </c>
      <c r="AU51" t="s">
        <v>45</v>
      </c>
      <c r="AX51" t="s">
        <v>3476</v>
      </c>
      <c r="AY51" t="s">
        <v>3433</v>
      </c>
    </row>
    <row r="52" spans="1:51" x14ac:dyDescent="0.25">
      <c r="A52" t="s">
        <v>2958</v>
      </c>
      <c r="B52" t="s">
        <v>1168</v>
      </c>
      <c r="C52" t="s">
        <v>1188</v>
      </c>
      <c r="D52" t="s">
        <v>2959</v>
      </c>
      <c r="E52">
        <v>1</v>
      </c>
      <c r="F52">
        <v>1</v>
      </c>
      <c r="H52" t="s">
        <v>1170</v>
      </c>
      <c r="I52" t="s">
        <v>1171</v>
      </c>
      <c r="J52" t="s">
        <v>1172</v>
      </c>
      <c r="K52" t="s">
        <v>1173</v>
      </c>
      <c r="L52" t="s">
        <v>1174</v>
      </c>
      <c r="N52" t="s">
        <v>50</v>
      </c>
      <c r="O52">
        <v>1</v>
      </c>
      <c r="Q52">
        <v>0</v>
      </c>
      <c r="R52">
        <v>0</v>
      </c>
      <c r="S52">
        <v>0</v>
      </c>
      <c r="T52">
        <v>0</v>
      </c>
      <c r="U52" s="20">
        <v>45896.783796296295</v>
      </c>
      <c r="V52" s="20">
        <v>46071.805486111109</v>
      </c>
      <c r="Z52" t="s">
        <v>1175</v>
      </c>
      <c r="AA52" t="s">
        <v>45</v>
      </c>
      <c r="AC52" t="s">
        <v>80</v>
      </c>
      <c r="AD52" t="s">
        <v>1999</v>
      </c>
      <c r="AE52" t="s">
        <v>2011</v>
      </c>
      <c r="AF52" t="s">
        <v>2958</v>
      </c>
      <c r="AH52" t="s">
        <v>1179</v>
      </c>
      <c r="AI52" t="s">
        <v>2960</v>
      </c>
      <c r="AK52" t="s">
        <v>2961</v>
      </c>
      <c r="AU52" t="s">
        <v>45</v>
      </c>
      <c r="AX52" t="s">
        <v>3480</v>
      </c>
      <c r="AY52" t="s">
        <v>3422</v>
      </c>
    </row>
    <row r="53" spans="1:51" x14ac:dyDescent="0.25">
      <c r="A53" t="s">
        <v>2962</v>
      </c>
      <c r="B53" t="s">
        <v>1168</v>
      </c>
      <c r="C53" t="s">
        <v>1208</v>
      </c>
      <c r="D53" t="s">
        <v>2959</v>
      </c>
      <c r="E53">
        <v>1</v>
      </c>
      <c r="F53">
        <v>1</v>
      </c>
      <c r="H53" t="s">
        <v>1170</v>
      </c>
      <c r="I53" t="s">
        <v>1171</v>
      </c>
      <c r="J53" t="s">
        <v>1172</v>
      </c>
      <c r="K53" t="s">
        <v>1173</v>
      </c>
      <c r="L53" t="s">
        <v>1174</v>
      </c>
      <c r="N53" t="s">
        <v>50</v>
      </c>
      <c r="O53">
        <v>1</v>
      </c>
      <c r="Q53">
        <v>0</v>
      </c>
      <c r="R53">
        <v>0</v>
      </c>
      <c r="S53">
        <v>0</v>
      </c>
      <c r="T53">
        <v>0</v>
      </c>
      <c r="U53" s="20">
        <v>45896.784074074072</v>
      </c>
      <c r="V53" s="20">
        <v>46071.805856481478</v>
      </c>
      <c r="Z53" t="s">
        <v>1175</v>
      </c>
      <c r="AA53" t="s">
        <v>45</v>
      </c>
      <c r="AB53" t="s">
        <v>77</v>
      </c>
      <c r="AC53" t="s">
        <v>80</v>
      </c>
      <c r="AD53" t="s">
        <v>1999</v>
      </c>
      <c r="AF53" t="s">
        <v>2962</v>
      </c>
      <c r="AH53" t="s">
        <v>1179</v>
      </c>
      <c r="AI53" t="s">
        <v>2960</v>
      </c>
      <c r="AJ53">
        <v>1543</v>
      </c>
      <c r="AU53" t="s">
        <v>45</v>
      </c>
      <c r="AX53" t="s">
        <v>3481</v>
      </c>
      <c r="AY53" t="s">
        <v>3438</v>
      </c>
    </row>
    <row r="54" spans="1:51" x14ac:dyDescent="0.25">
      <c r="A54" t="s">
        <v>2191</v>
      </c>
      <c r="B54" t="s">
        <v>1168</v>
      </c>
      <c r="C54" t="s">
        <v>1245</v>
      </c>
      <c r="E54">
        <v>1</v>
      </c>
      <c r="F54">
        <v>1</v>
      </c>
      <c r="H54" t="s">
        <v>1170</v>
      </c>
      <c r="I54" t="s">
        <v>1171</v>
      </c>
      <c r="J54" t="s">
        <v>1172</v>
      </c>
      <c r="K54" t="s">
        <v>1173</v>
      </c>
      <c r="L54" t="s">
        <v>1174</v>
      </c>
      <c r="N54" t="s">
        <v>1246</v>
      </c>
      <c r="O54">
        <v>1</v>
      </c>
      <c r="Q54">
        <v>0</v>
      </c>
      <c r="R54">
        <v>0</v>
      </c>
      <c r="S54">
        <v>0</v>
      </c>
      <c r="T54">
        <v>0</v>
      </c>
      <c r="U54" s="20">
        <v>45896.790775462963</v>
      </c>
      <c r="V54" s="20">
        <v>46032.872662037036</v>
      </c>
      <c r="Z54" t="s">
        <v>1175</v>
      </c>
      <c r="AA54" t="s">
        <v>45</v>
      </c>
      <c r="AD54" t="s">
        <v>2047</v>
      </c>
      <c r="AF54" t="s">
        <v>2191</v>
      </c>
      <c r="AH54" t="s">
        <v>2049</v>
      </c>
      <c r="AI54" t="s">
        <v>2056</v>
      </c>
      <c r="AJ54" t="s">
        <v>2050</v>
      </c>
      <c r="AK54" t="s">
        <v>2192</v>
      </c>
      <c r="AU54" t="s">
        <v>45</v>
      </c>
      <c r="AX54" t="s">
        <v>3482</v>
      </c>
      <c r="AY54" t="s">
        <v>3433</v>
      </c>
    </row>
    <row r="55" spans="1:51" x14ac:dyDescent="0.25">
      <c r="A55" t="s">
        <v>2194</v>
      </c>
      <c r="B55" t="s">
        <v>1168</v>
      </c>
      <c r="C55" t="s">
        <v>1207</v>
      </c>
      <c r="E55">
        <v>1</v>
      </c>
      <c r="F55">
        <v>1</v>
      </c>
      <c r="H55" t="s">
        <v>1170</v>
      </c>
      <c r="I55" t="s">
        <v>1171</v>
      </c>
      <c r="J55" t="s">
        <v>1172</v>
      </c>
      <c r="K55" t="s">
        <v>1173</v>
      </c>
      <c r="L55" t="s">
        <v>1174</v>
      </c>
      <c r="N55" t="s">
        <v>50</v>
      </c>
      <c r="O55">
        <v>1</v>
      </c>
      <c r="Q55">
        <v>0</v>
      </c>
      <c r="R55">
        <v>0</v>
      </c>
      <c r="S55">
        <v>0</v>
      </c>
      <c r="T55">
        <v>0</v>
      </c>
      <c r="U55" s="20">
        <v>45897.845208333332</v>
      </c>
      <c r="V55" s="20">
        <v>46032.872662037036</v>
      </c>
      <c r="Z55" t="s">
        <v>1175</v>
      </c>
      <c r="AA55" t="s">
        <v>45</v>
      </c>
      <c r="AD55" t="s">
        <v>2047</v>
      </c>
      <c r="AF55" t="s">
        <v>2194</v>
      </c>
      <c r="AH55" t="s">
        <v>2049</v>
      </c>
      <c r="AI55" t="s">
        <v>2040</v>
      </c>
      <c r="AJ55" t="s">
        <v>2050</v>
      </c>
      <c r="AK55" t="s">
        <v>2195</v>
      </c>
      <c r="AU55" t="s">
        <v>45</v>
      </c>
      <c r="AX55" t="s">
        <v>3483</v>
      </c>
      <c r="AY55" t="s">
        <v>3433</v>
      </c>
    </row>
    <row r="56" spans="1:51" x14ac:dyDescent="0.25">
      <c r="A56" t="s">
        <v>2197</v>
      </c>
      <c r="B56" t="s">
        <v>1168</v>
      </c>
      <c r="C56" t="s">
        <v>1225</v>
      </c>
      <c r="E56">
        <v>1</v>
      </c>
      <c r="F56">
        <v>1</v>
      </c>
      <c r="H56" t="s">
        <v>1170</v>
      </c>
      <c r="I56" t="s">
        <v>1171</v>
      </c>
      <c r="J56" t="s">
        <v>1172</v>
      </c>
      <c r="K56" t="s">
        <v>1173</v>
      </c>
      <c r="L56" t="s">
        <v>1174</v>
      </c>
      <c r="N56" t="s">
        <v>50</v>
      </c>
      <c r="O56">
        <v>1</v>
      </c>
      <c r="Q56">
        <v>0</v>
      </c>
      <c r="R56">
        <v>0</v>
      </c>
      <c r="S56">
        <v>0</v>
      </c>
      <c r="T56">
        <v>0</v>
      </c>
      <c r="U56" s="20">
        <v>45897.90152777778</v>
      </c>
      <c r="V56" s="20">
        <v>46033.799768518518</v>
      </c>
      <c r="Z56" t="s">
        <v>1175</v>
      </c>
      <c r="AA56" t="s">
        <v>45</v>
      </c>
      <c r="AD56" t="s">
        <v>1999</v>
      </c>
      <c r="AE56" t="s">
        <v>2011</v>
      </c>
      <c r="AF56" t="s">
        <v>2197</v>
      </c>
      <c r="AH56" t="s">
        <v>1179</v>
      </c>
      <c r="AI56" t="s">
        <v>2032</v>
      </c>
      <c r="AJ56">
        <v>1541</v>
      </c>
      <c r="AK56" t="s">
        <v>2198</v>
      </c>
      <c r="AU56" t="s">
        <v>45</v>
      </c>
      <c r="AX56" t="s">
        <v>3484</v>
      </c>
      <c r="AY56" t="s">
        <v>3422</v>
      </c>
    </row>
    <row r="57" spans="1:51" x14ac:dyDescent="0.25">
      <c r="A57" t="s">
        <v>2200</v>
      </c>
      <c r="B57" t="s">
        <v>1168</v>
      </c>
      <c r="C57" t="s">
        <v>1764</v>
      </c>
      <c r="E57">
        <v>1</v>
      </c>
      <c r="F57">
        <v>1</v>
      </c>
      <c r="H57" t="s">
        <v>1170</v>
      </c>
      <c r="I57" t="s">
        <v>1171</v>
      </c>
      <c r="J57" t="s">
        <v>1172</v>
      </c>
      <c r="K57" t="s">
        <v>1173</v>
      </c>
      <c r="L57" t="s">
        <v>1174</v>
      </c>
      <c r="N57" t="s">
        <v>50</v>
      </c>
      <c r="O57">
        <v>1</v>
      </c>
      <c r="Q57">
        <v>0</v>
      </c>
      <c r="R57">
        <v>0</v>
      </c>
      <c r="S57">
        <v>0</v>
      </c>
      <c r="T57">
        <v>0</v>
      </c>
      <c r="U57" s="20">
        <v>45897.988819444443</v>
      </c>
      <c r="V57" s="20">
        <v>46029.627291666664</v>
      </c>
      <c r="Z57" t="s">
        <v>1175</v>
      </c>
      <c r="AA57" t="s">
        <v>59</v>
      </c>
      <c r="AC57" t="s">
        <v>60</v>
      </c>
      <c r="AD57" t="s">
        <v>2090</v>
      </c>
      <c r="AE57" t="s">
        <v>2200</v>
      </c>
      <c r="AH57" t="s">
        <v>2091</v>
      </c>
      <c r="AI57" t="s">
        <v>2002</v>
      </c>
      <c r="AJ57">
        <v>5612</v>
      </c>
      <c r="AK57" t="s">
        <v>2201</v>
      </c>
      <c r="AU57" t="s">
        <v>59</v>
      </c>
      <c r="AX57" t="s">
        <v>3485</v>
      </c>
      <c r="AY57" t="s">
        <v>3447</v>
      </c>
    </row>
    <row r="58" spans="1:51" x14ac:dyDescent="0.25">
      <c r="A58" t="s">
        <v>2203</v>
      </c>
      <c r="B58" t="s">
        <v>1168</v>
      </c>
      <c r="C58" t="s">
        <v>1723</v>
      </c>
      <c r="E58">
        <v>1</v>
      </c>
      <c r="F58">
        <v>1</v>
      </c>
      <c r="H58" t="s">
        <v>1170</v>
      </c>
      <c r="I58" t="s">
        <v>1171</v>
      </c>
      <c r="J58" t="s">
        <v>1172</v>
      </c>
      <c r="K58" t="s">
        <v>1173</v>
      </c>
      <c r="L58" t="s">
        <v>1174</v>
      </c>
      <c r="N58" t="s">
        <v>50</v>
      </c>
      <c r="O58">
        <v>1</v>
      </c>
      <c r="Q58">
        <v>0</v>
      </c>
      <c r="R58">
        <v>0</v>
      </c>
      <c r="S58">
        <v>0</v>
      </c>
      <c r="T58">
        <v>0</v>
      </c>
      <c r="U58" s="20">
        <v>45897.990914351853</v>
      </c>
      <c r="V58" s="20">
        <v>46029.627372685187</v>
      </c>
      <c r="Z58" t="s">
        <v>1175</v>
      </c>
      <c r="AA58" t="s">
        <v>45</v>
      </c>
      <c r="AC58" t="s">
        <v>60</v>
      </c>
      <c r="AD58" t="s">
        <v>2118</v>
      </c>
      <c r="AE58" t="s">
        <v>2204</v>
      </c>
      <c r="AF58" t="s">
        <v>2203</v>
      </c>
      <c r="AH58" t="s">
        <v>1988</v>
      </c>
      <c r="AI58" t="s">
        <v>2205</v>
      </c>
      <c r="AJ58">
        <v>5680</v>
      </c>
      <c r="AK58" t="s">
        <v>2206</v>
      </c>
      <c r="AU58" t="s">
        <v>45</v>
      </c>
      <c r="AX58" t="s">
        <v>3486</v>
      </c>
      <c r="AY58" t="s">
        <v>3487</v>
      </c>
    </row>
    <row r="59" spans="1:51" x14ac:dyDescent="0.25">
      <c r="A59" t="s">
        <v>2208</v>
      </c>
      <c r="B59" t="s">
        <v>1168</v>
      </c>
      <c r="C59" t="s">
        <v>1720</v>
      </c>
      <c r="E59">
        <v>1</v>
      </c>
      <c r="F59">
        <v>1</v>
      </c>
      <c r="H59" t="s">
        <v>1170</v>
      </c>
      <c r="I59" t="s">
        <v>1171</v>
      </c>
      <c r="J59" t="s">
        <v>1172</v>
      </c>
      <c r="K59" t="s">
        <v>1173</v>
      </c>
      <c r="L59" t="s">
        <v>1174</v>
      </c>
      <c r="N59" t="s">
        <v>50</v>
      </c>
      <c r="O59">
        <v>1</v>
      </c>
      <c r="Q59">
        <v>0</v>
      </c>
      <c r="R59">
        <v>0</v>
      </c>
      <c r="S59">
        <v>0</v>
      </c>
      <c r="T59">
        <v>0</v>
      </c>
      <c r="U59" s="20">
        <v>45897.991828703707</v>
      </c>
      <c r="V59" s="20">
        <v>46029.627349537041</v>
      </c>
      <c r="Z59" t="s">
        <v>1175</v>
      </c>
      <c r="AA59" t="s">
        <v>45</v>
      </c>
      <c r="AC59" t="s">
        <v>60</v>
      </c>
      <c r="AD59" t="s">
        <v>2118</v>
      </c>
      <c r="AE59" t="s">
        <v>2204</v>
      </c>
      <c r="AF59" t="s">
        <v>2208</v>
      </c>
      <c r="AH59" t="s">
        <v>1988</v>
      </c>
      <c r="AI59" t="s">
        <v>2120</v>
      </c>
      <c r="AJ59">
        <v>5680</v>
      </c>
      <c r="AK59" t="s">
        <v>2209</v>
      </c>
      <c r="AU59" t="s">
        <v>45</v>
      </c>
      <c r="AX59" t="s">
        <v>3488</v>
      </c>
      <c r="AY59" t="s">
        <v>3487</v>
      </c>
    </row>
    <row r="60" spans="1:51" x14ac:dyDescent="0.25">
      <c r="A60" t="s">
        <v>2211</v>
      </c>
      <c r="B60" t="s">
        <v>1168</v>
      </c>
      <c r="C60" t="s">
        <v>1727</v>
      </c>
      <c r="E60">
        <v>1</v>
      </c>
      <c r="F60">
        <v>1</v>
      </c>
      <c r="H60" t="s">
        <v>1170</v>
      </c>
      <c r="I60" t="s">
        <v>1171</v>
      </c>
      <c r="J60" t="s">
        <v>1172</v>
      </c>
      <c r="K60" t="s">
        <v>1173</v>
      </c>
      <c r="L60" t="s">
        <v>1174</v>
      </c>
      <c r="N60" t="s">
        <v>50</v>
      </c>
      <c r="O60">
        <v>1</v>
      </c>
      <c r="Q60">
        <v>0</v>
      </c>
      <c r="R60">
        <v>0</v>
      </c>
      <c r="S60">
        <v>0</v>
      </c>
      <c r="T60">
        <v>0</v>
      </c>
      <c r="U60" s="20">
        <v>45897.992476851854</v>
      </c>
      <c r="V60" s="20">
        <v>46032.722141203703</v>
      </c>
      <c r="Z60" t="s">
        <v>1175</v>
      </c>
      <c r="AA60" t="s">
        <v>45</v>
      </c>
      <c r="AC60" t="s">
        <v>60</v>
      </c>
      <c r="AD60" t="s">
        <v>2118</v>
      </c>
      <c r="AE60" t="s">
        <v>2212</v>
      </c>
      <c r="AF60" t="s">
        <v>2211</v>
      </c>
      <c r="AH60" t="s">
        <v>1988</v>
      </c>
      <c r="AI60" t="s">
        <v>2120</v>
      </c>
      <c r="AJ60">
        <v>5690</v>
      </c>
      <c r="AK60" t="s">
        <v>2213</v>
      </c>
      <c r="AU60" t="s">
        <v>45</v>
      </c>
      <c r="AX60" t="s">
        <v>3489</v>
      </c>
      <c r="AY60" t="s">
        <v>3490</v>
      </c>
    </row>
    <row r="61" spans="1:51" x14ac:dyDescent="0.25">
      <c r="A61" t="s">
        <v>2215</v>
      </c>
      <c r="B61" t="s">
        <v>1168</v>
      </c>
      <c r="C61" t="s">
        <v>1726</v>
      </c>
      <c r="E61">
        <v>1</v>
      </c>
      <c r="F61">
        <v>1</v>
      </c>
      <c r="H61" t="s">
        <v>1170</v>
      </c>
      <c r="I61" t="s">
        <v>1171</v>
      </c>
      <c r="J61" t="s">
        <v>1172</v>
      </c>
      <c r="K61" t="s">
        <v>1173</v>
      </c>
      <c r="L61" t="s">
        <v>1174</v>
      </c>
      <c r="N61" t="s">
        <v>50</v>
      </c>
      <c r="O61">
        <v>1</v>
      </c>
      <c r="Q61">
        <v>0</v>
      </c>
      <c r="R61">
        <v>0</v>
      </c>
      <c r="S61">
        <v>0</v>
      </c>
      <c r="T61">
        <v>0</v>
      </c>
      <c r="U61" s="20">
        <v>45897.992881944447</v>
      </c>
      <c r="V61" s="20">
        <v>46029.627349537041</v>
      </c>
      <c r="Z61" t="s">
        <v>1175</v>
      </c>
      <c r="AA61" t="s">
        <v>45</v>
      </c>
      <c r="AC61" t="s">
        <v>60</v>
      </c>
      <c r="AD61" t="s">
        <v>2118</v>
      </c>
      <c r="AE61" t="s">
        <v>2216</v>
      </c>
      <c r="AF61" t="s">
        <v>2215</v>
      </c>
      <c r="AH61" t="s">
        <v>1988</v>
      </c>
      <c r="AI61" t="s">
        <v>2120</v>
      </c>
      <c r="AJ61">
        <v>5670</v>
      </c>
      <c r="AK61" t="s">
        <v>2217</v>
      </c>
      <c r="AU61" t="s">
        <v>45</v>
      </c>
      <c r="AX61" t="s">
        <v>3491</v>
      </c>
      <c r="AY61" t="s">
        <v>3492</v>
      </c>
    </row>
    <row r="62" spans="1:51" x14ac:dyDescent="0.25">
      <c r="A62" t="s">
        <v>2119</v>
      </c>
      <c r="B62" t="s">
        <v>1168</v>
      </c>
      <c r="C62" t="s">
        <v>1711</v>
      </c>
      <c r="E62">
        <v>1</v>
      </c>
      <c r="F62">
        <v>1</v>
      </c>
      <c r="H62" t="s">
        <v>1170</v>
      </c>
      <c r="I62" t="s">
        <v>1171</v>
      </c>
      <c r="J62" t="s">
        <v>1172</v>
      </c>
      <c r="K62" t="s">
        <v>1173</v>
      </c>
      <c r="L62" t="s">
        <v>1174</v>
      </c>
      <c r="N62" t="s">
        <v>50</v>
      </c>
      <c r="O62">
        <v>1</v>
      </c>
      <c r="Q62">
        <v>0</v>
      </c>
      <c r="R62">
        <v>0</v>
      </c>
      <c r="S62">
        <v>0</v>
      </c>
      <c r="T62">
        <v>0</v>
      </c>
      <c r="U62" s="20">
        <v>45897.993356481478</v>
      </c>
      <c r="V62" s="20">
        <v>46029.627337962964</v>
      </c>
      <c r="Z62" t="s">
        <v>1175</v>
      </c>
      <c r="AA62" t="s">
        <v>59</v>
      </c>
      <c r="AC62" t="s">
        <v>60</v>
      </c>
      <c r="AD62" t="s">
        <v>2118</v>
      </c>
      <c r="AE62" t="s">
        <v>2119</v>
      </c>
      <c r="AH62" t="s">
        <v>1988</v>
      </c>
      <c r="AI62" t="s">
        <v>2002</v>
      </c>
      <c r="AJ62">
        <v>1521</v>
      </c>
      <c r="AK62" t="s">
        <v>2219</v>
      </c>
      <c r="AU62" t="s">
        <v>59</v>
      </c>
      <c r="AX62" t="s">
        <v>3455</v>
      </c>
      <c r="AY62" t="s">
        <v>3493</v>
      </c>
    </row>
    <row r="63" spans="1:51" x14ac:dyDescent="0.25">
      <c r="A63" t="s">
        <v>2221</v>
      </c>
      <c r="B63" t="s">
        <v>1168</v>
      </c>
      <c r="C63" t="s">
        <v>1203</v>
      </c>
      <c r="E63">
        <v>1</v>
      </c>
      <c r="F63">
        <v>1</v>
      </c>
      <c r="H63" t="s">
        <v>1170</v>
      </c>
      <c r="I63" t="s">
        <v>1171</v>
      </c>
      <c r="J63" t="s">
        <v>1172</v>
      </c>
      <c r="K63" t="s">
        <v>1173</v>
      </c>
      <c r="L63" t="s">
        <v>1174</v>
      </c>
      <c r="N63" t="s">
        <v>50</v>
      </c>
      <c r="O63">
        <v>1</v>
      </c>
      <c r="Q63">
        <v>0</v>
      </c>
      <c r="R63">
        <v>0</v>
      </c>
      <c r="S63">
        <v>0</v>
      </c>
      <c r="T63">
        <v>0</v>
      </c>
      <c r="U63" s="20">
        <v>45898.003946759258</v>
      </c>
      <c r="V63" s="20">
        <v>46029.627349537041</v>
      </c>
      <c r="Z63" t="s">
        <v>1175</v>
      </c>
      <c r="AA63" t="s">
        <v>315</v>
      </c>
      <c r="AD63" t="s">
        <v>1999</v>
      </c>
      <c r="AE63" t="s">
        <v>2006</v>
      </c>
      <c r="AF63" t="s">
        <v>2063</v>
      </c>
      <c r="AG63" t="s">
        <v>2221</v>
      </c>
      <c r="AH63" t="s">
        <v>1179</v>
      </c>
      <c r="AI63" t="s">
        <v>2036</v>
      </c>
      <c r="AJ63">
        <v>1543</v>
      </c>
      <c r="AK63" t="s">
        <v>2222</v>
      </c>
      <c r="AU63" t="s">
        <v>315</v>
      </c>
      <c r="AX63" t="s">
        <v>3494</v>
      </c>
      <c r="AY63" t="s">
        <v>3437</v>
      </c>
    </row>
    <row r="64" spans="1:51" x14ac:dyDescent="0.25">
      <c r="A64" t="s">
        <v>2224</v>
      </c>
      <c r="B64" t="s">
        <v>1168</v>
      </c>
      <c r="C64" t="s">
        <v>1204</v>
      </c>
      <c r="E64">
        <v>1</v>
      </c>
      <c r="F64">
        <v>1</v>
      </c>
      <c r="H64" t="s">
        <v>1170</v>
      </c>
      <c r="I64" t="s">
        <v>1171</v>
      </c>
      <c r="J64" t="s">
        <v>1172</v>
      </c>
      <c r="K64" t="s">
        <v>1173</v>
      </c>
      <c r="L64" t="s">
        <v>1174</v>
      </c>
      <c r="N64" t="s">
        <v>50</v>
      </c>
      <c r="O64">
        <v>1</v>
      </c>
      <c r="Q64">
        <v>0</v>
      </c>
      <c r="R64">
        <v>0</v>
      </c>
      <c r="S64">
        <v>0</v>
      </c>
      <c r="T64">
        <v>0</v>
      </c>
      <c r="U64" s="20">
        <v>45898.004942129628</v>
      </c>
      <c r="V64" s="20">
        <v>46029.627326388887</v>
      </c>
      <c r="Z64" t="s">
        <v>1175</v>
      </c>
      <c r="AA64" t="s">
        <v>315</v>
      </c>
      <c r="AD64" t="s">
        <v>1999</v>
      </c>
      <c r="AE64" t="s">
        <v>2006</v>
      </c>
      <c r="AF64" t="s">
        <v>2063</v>
      </c>
      <c r="AG64" t="s">
        <v>2224</v>
      </c>
      <c r="AH64" t="s">
        <v>1179</v>
      </c>
      <c r="AI64" t="s">
        <v>2036</v>
      </c>
      <c r="AJ64">
        <v>1543</v>
      </c>
      <c r="AK64" t="s">
        <v>2225</v>
      </c>
      <c r="AU64" t="s">
        <v>315</v>
      </c>
      <c r="AX64" t="s">
        <v>3495</v>
      </c>
      <c r="AY64" t="s">
        <v>3437</v>
      </c>
    </row>
    <row r="65" spans="1:51" x14ac:dyDescent="0.25">
      <c r="A65" t="s">
        <v>2150</v>
      </c>
      <c r="B65" t="s">
        <v>1168</v>
      </c>
      <c r="C65" t="s">
        <v>1698</v>
      </c>
      <c r="E65">
        <v>1</v>
      </c>
      <c r="F65">
        <v>1</v>
      </c>
      <c r="H65" t="s">
        <v>1170</v>
      </c>
      <c r="I65" t="s">
        <v>1171</v>
      </c>
      <c r="J65" t="s">
        <v>1172</v>
      </c>
      <c r="K65" t="s">
        <v>1173</v>
      </c>
      <c r="L65" t="s">
        <v>1174</v>
      </c>
      <c r="N65" t="s">
        <v>50</v>
      </c>
      <c r="O65">
        <v>1</v>
      </c>
      <c r="Q65">
        <v>0</v>
      </c>
      <c r="R65">
        <v>0</v>
      </c>
      <c r="S65">
        <v>0</v>
      </c>
      <c r="T65">
        <v>0</v>
      </c>
      <c r="U65" s="20">
        <v>45898.07167824074</v>
      </c>
      <c r="V65" s="20">
        <v>46029.627314814818</v>
      </c>
      <c r="Z65" t="s">
        <v>1175</v>
      </c>
      <c r="AA65" t="s">
        <v>45</v>
      </c>
      <c r="AC65" t="s">
        <v>60</v>
      </c>
      <c r="AD65" t="s">
        <v>2128</v>
      </c>
      <c r="AE65" t="s">
        <v>2129</v>
      </c>
      <c r="AF65" t="s">
        <v>2150</v>
      </c>
      <c r="AH65" t="s">
        <v>2130</v>
      </c>
      <c r="AI65" t="s">
        <v>2120</v>
      </c>
      <c r="AJ65">
        <v>1512</v>
      </c>
      <c r="AK65" t="s">
        <v>2227</v>
      </c>
      <c r="AU65" t="s">
        <v>45</v>
      </c>
      <c r="AX65" t="s">
        <v>3466</v>
      </c>
      <c r="AY65" t="s">
        <v>3458</v>
      </c>
    </row>
    <row r="66" spans="1:51" x14ac:dyDescent="0.25">
      <c r="A66" t="s">
        <v>2229</v>
      </c>
      <c r="B66" t="s">
        <v>1168</v>
      </c>
      <c r="C66" t="s">
        <v>1716</v>
      </c>
      <c r="E66">
        <v>1</v>
      </c>
      <c r="F66">
        <v>1</v>
      </c>
      <c r="H66" t="s">
        <v>1170</v>
      </c>
      <c r="I66" t="s">
        <v>1171</v>
      </c>
      <c r="J66" t="s">
        <v>1172</v>
      </c>
      <c r="K66" t="s">
        <v>1173</v>
      </c>
      <c r="L66" t="s">
        <v>1174</v>
      </c>
      <c r="N66" t="s">
        <v>50</v>
      </c>
      <c r="O66">
        <v>1</v>
      </c>
      <c r="Q66">
        <v>0</v>
      </c>
      <c r="R66">
        <v>0</v>
      </c>
      <c r="S66">
        <v>0</v>
      </c>
      <c r="T66">
        <v>0</v>
      </c>
      <c r="U66" s="20">
        <v>45898.08384259259</v>
      </c>
      <c r="V66" s="20">
        <v>46029.627372685187</v>
      </c>
      <c r="Z66" t="s">
        <v>1175</v>
      </c>
      <c r="AA66" t="s">
        <v>45</v>
      </c>
      <c r="AC66" t="s">
        <v>60</v>
      </c>
      <c r="AD66" t="s">
        <v>2118</v>
      </c>
      <c r="AE66" t="s">
        <v>2119</v>
      </c>
      <c r="AF66" t="s">
        <v>2229</v>
      </c>
      <c r="AH66" t="s">
        <v>1988</v>
      </c>
      <c r="AI66" t="s">
        <v>2205</v>
      </c>
      <c r="AJ66">
        <v>1521</v>
      </c>
      <c r="AK66" t="s">
        <v>2230</v>
      </c>
      <c r="AU66" t="s">
        <v>45</v>
      </c>
      <c r="AX66" t="s">
        <v>3496</v>
      </c>
      <c r="AY66" t="s">
        <v>3455</v>
      </c>
    </row>
    <row r="67" spans="1:51" x14ac:dyDescent="0.25">
      <c r="A67" t="s">
        <v>2232</v>
      </c>
      <c r="B67" t="s">
        <v>1168</v>
      </c>
      <c r="C67" t="s">
        <v>1717</v>
      </c>
      <c r="E67">
        <v>1</v>
      </c>
      <c r="F67">
        <v>1</v>
      </c>
      <c r="H67" t="s">
        <v>1170</v>
      </c>
      <c r="I67" t="s">
        <v>1171</v>
      </c>
      <c r="J67" t="s">
        <v>1172</v>
      </c>
      <c r="K67" t="s">
        <v>1173</v>
      </c>
      <c r="L67" t="s">
        <v>1174</v>
      </c>
      <c r="N67" t="s">
        <v>50</v>
      </c>
      <c r="O67">
        <v>1</v>
      </c>
      <c r="Q67">
        <v>0</v>
      </c>
      <c r="R67">
        <v>0</v>
      </c>
      <c r="S67">
        <v>0</v>
      </c>
      <c r="T67">
        <v>0</v>
      </c>
      <c r="U67" s="20">
        <v>45898.084016203706</v>
      </c>
      <c r="V67" s="20">
        <v>46029.627337962964</v>
      </c>
      <c r="Z67" t="s">
        <v>1175</v>
      </c>
      <c r="AA67" t="s">
        <v>45</v>
      </c>
      <c r="AC67" t="s">
        <v>60</v>
      </c>
      <c r="AD67" t="s">
        <v>2118</v>
      </c>
      <c r="AE67" t="s">
        <v>2119</v>
      </c>
      <c r="AF67" t="s">
        <v>2232</v>
      </c>
      <c r="AH67" t="s">
        <v>1988</v>
      </c>
      <c r="AI67" t="s">
        <v>2233</v>
      </c>
      <c r="AJ67">
        <v>1521</v>
      </c>
      <c r="AK67" t="s">
        <v>2234</v>
      </c>
      <c r="AU67" t="s">
        <v>45</v>
      </c>
      <c r="AX67" t="s">
        <v>3497</v>
      </c>
      <c r="AY67" t="s">
        <v>3455</v>
      </c>
    </row>
    <row r="68" spans="1:51" x14ac:dyDescent="0.25">
      <c r="A68" t="s">
        <v>2236</v>
      </c>
      <c r="B68" t="s">
        <v>1168</v>
      </c>
      <c r="C68" t="s">
        <v>1713</v>
      </c>
      <c r="E68">
        <v>1</v>
      </c>
      <c r="F68">
        <v>1</v>
      </c>
      <c r="H68" t="s">
        <v>1170</v>
      </c>
      <c r="I68" t="s">
        <v>1171</v>
      </c>
      <c r="J68" t="s">
        <v>1172</v>
      </c>
      <c r="K68" t="s">
        <v>1173</v>
      </c>
      <c r="L68" t="s">
        <v>1174</v>
      </c>
      <c r="N68" t="s">
        <v>50</v>
      </c>
      <c r="O68">
        <v>1</v>
      </c>
      <c r="Q68">
        <v>0</v>
      </c>
      <c r="R68">
        <v>0</v>
      </c>
      <c r="S68">
        <v>0</v>
      </c>
      <c r="T68">
        <v>0</v>
      </c>
      <c r="U68" s="20">
        <v>45898.08761574074</v>
      </c>
      <c r="V68" s="20">
        <v>46029.627372685187</v>
      </c>
      <c r="Z68" t="s">
        <v>1175</v>
      </c>
      <c r="AA68" t="s">
        <v>45</v>
      </c>
      <c r="AC68" t="s">
        <v>60</v>
      </c>
      <c r="AD68" t="s">
        <v>2118</v>
      </c>
      <c r="AE68" t="s">
        <v>2119</v>
      </c>
      <c r="AF68" t="s">
        <v>2236</v>
      </c>
      <c r="AH68" t="s">
        <v>1988</v>
      </c>
      <c r="AI68" t="s">
        <v>2237</v>
      </c>
      <c r="AJ68">
        <v>1521</v>
      </c>
      <c r="AK68" t="s">
        <v>2238</v>
      </c>
      <c r="AU68" t="s">
        <v>45</v>
      </c>
      <c r="AX68" t="s">
        <v>3498</v>
      </c>
      <c r="AY68" t="s">
        <v>3455</v>
      </c>
    </row>
    <row r="69" spans="1:51" x14ac:dyDescent="0.25">
      <c r="A69" t="s">
        <v>2240</v>
      </c>
      <c r="B69" t="s">
        <v>1168</v>
      </c>
      <c r="C69" t="s">
        <v>1712</v>
      </c>
      <c r="E69">
        <v>1</v>
      </c>
      <c r="F69">
        <v>1</v>
      </c>
      <c r="H69" t="s">
        <v>1170</v>
      </c>
      <c r="I69" t="s">
        <v>1171</v>
      </c>
      <c r="J69" t="s">
        <v>1172</v>
      </c>
      <c r="K69" t="s">
        <v>1173</v>
      </c>
      <c r="L69" t="s">
        <v>1174</v>
      </c>
      <c r="N69" t="s">
        <v>50</v>
      </c>
      <c r="O69">
        <v>1</v>
      </c>
      <c r="Q69">
        <v>0</v>
      </c>
      <c r="R69">
        <v>0</v>
      </c>
      <c r="S69">
        <v>0</v>
      </c>
      <c r="T69">
        <v>0</v>
      </c>
      <c r="U69" s="20">
        <v>45898.087696759256</v>
      </c>
      <c r="V69" s="20">
        <v>46029.627349537041</v>
      </c>
      <c r="Z69" t="s">
        <v>1175</v>
      </c>
      <c r="AA69" t="s">
        <v>45</v>
      </c>
      <c r="AC69" t="s">
        <v>60</v>
      </c>
      <c r="AD69" t="s">
        <v>2118</v>
      </c>
      <c r="AE69" t="s">
        <v>2119</v>
      </c>
      <c r="AF69" t="s">
        <v>2240</v>
      </c>
      <c r="AH69" t="s">
        <v>1988</v>
      </c>
      <c r="AI69" t="s">
        <v>2241</v>
      </c>
      <c r="AJ69">
        <v>1521</v>
      </c>
      <c r="AK69" t="s">
        <v>2242</v>
      </c>
      <c r="AU69" t="s">
        <v>45</v>
      </c>
      <c r="AX69" t="s">
        <v>3499</v>
      </c>
      <c r="AY69" t="s">
        <v>3455</v>
      </c>
    </row>
    <row r="70" spans="1:51" x14ac:dyDescent="0.25">
      <c r="A70" t="s">
        <v>2244</v>
      </c>
      <c r="B70" t="s">
        <v>1168</v>
      </c>
      <c r="C70" t="s">
        <v>1722</v>
      </c>
      <c r="E70">
        <v>1</v>
      </c>
      <c r="F70">
        <v>1</v>
      </c>
      <c r="H70" t="s">
        <v>1170</v>
      </c>
      <c r="I70" t="s">
        <v>1171</v>
      </c>
      <c r="J70" t="s">
        <v>1172</v>
      </c>
      <c r="K70" t="s">
        <v>1173</v>
      </c>
      <c r="L70" t="s">
        <v>1174</v>
      </c>
      <c r="N70" t="s">
        <v>50</v>
      </c>
      <c r="O70">
        <v>1</v>
      </c>
      <c r="Q70">
        <v>0</v>
      </c>
      <c r="R70">
        <v>0</v>
      </c>
      <c r="S70">
        <v>0</v>
      </c>
      <c r="T70">
        <v>0</v>
      </c>
      <c r="U70" s="20">
        <v>45909.883171296293</v>
      </c>
      <c r="V70" s="20">
        <v>46032.735937500001</v>
      </c>
      <c r="Z70" t="s">
        <v>1175</v>
      </c>
      <c r="AA70" t="s">
        <v>315</v>
      </c>
      <c r="AC70" t="s">
        <v>60</v>
      </c>
      <c r="AD70" t="s">
        <v>2118</v>
      </c>
      <c r="AE70" t="s">
        <v>2216</v>
      </c>
      <c r="AF70" t="s">
        <v>2215</v>
      </c>
      <c r="AG70" t="s">
        <v>2244</v>
      </c>
      <c r="AH70" t="s">
        <v>1988</v>
      </c>
      <c r="AI70" t="s">
        <v>2120</v>
      </c>
      <c r="AJ70">
        <v>5670</v>
      </c>
      <c r="AK70" t="s">
        <v>2245</v>
      </c>
      <c r="AU70" t="s">
        <v>315</v>
      </c>
      <c r="AX70" t="s">
        <v>3500</v>
      </c>
      <c r="AY70" t="s">
        <v>3491</v>
      </c>
    </row>
    <row r="71" spans="1:51" x14ac:dyDescent="0.25">
      <c r="A71" t="s">
        <v>2247</v>
      </c>
      <c r="B71" t="s">
        <v>1168</v>
      </c>
      <c r="C71" t="s">
        <v>1262</v>
      </c>
      <c r="E71">
        <v>1</v>
      </c>
      <c r="F71">
        <v>1</v>
      </c>
      <c r="H71" t="s">
        <v>1170</v>
      </c>
      <c r="I71" t="s">
        <v>1171</v>
      </c>
      <c r="J71" t="s">
        <v>1172</v>
      </c>
      <c r="K71" t="s">
        <v>1173</v>
      </c>
      <c r="L71" t="s">
        <v>1174</v>
      </c>
      <c r="N71" t="s">
        <v>50</v>
      </c>
      <c r="O71">
        <v>1</v>
      </c>
      <c r="Q71">
        <v>0</v>
      </c>
      <c r="R71">
        <v>0</v>
      </c>
      <c r="S71">
        <v>0</v>
      </c>
      <c r="T71">
        <v>0</v>
      </c>
      <c r="U71" s="20">
        <v>45910.668009259258</v>
      </c>
      <c r="V71" s="20">
        <v>46029.627291666664</v>
      </c>
      <c r="Z71" t="s">
        <v>1175</v>
      </c>
      <c r="AA71" t="s">
        <v>59</v>
      </c>
      <c r="AC71" t="s">
        <v>60</v>
      </c>
      <c r="AD71" t="s">
        <v>2248</v>
      </c>
      <c r="AE71" t="s">
        <v>2247</v>
      </c>
      <c r="AH71" t="s">
        <v>1261</v>
      </c>
      <c r="AI71" t="s">
        <v>2002</v>
      </c>
      <c r="AJ71">
        <v>1592</v>
      </c>
      <c r="AK71" t="s">
        <v>2249</v>
      </c>
      <c r="AU71" t="s">
        <v>59</v>
      </c>
      <c r="AX71" t="s">
        <v>3501</v>
      </c>
      <c r="AY71" t="s">
        <v>3502</v>
      </c>
    </row>
    <row r="72" spans="1:51" x14ac:dyDescent="0.25">
      <c r="A72" t="s">
        <v>2251</v>
      </c>
      <c r="B72" t="s">
        <v>1168</v>
      </c>
      <c r="C72" t="s">
        <v>1279</v>
      </c>
      <c r="E72">
        <v>1</v>
      </c>
      <c r="F72">
        <v>1</v>
      </c>
      <c r="H72" t="s">
        <v>1170</v>
      </c>
      <c r="I72" t="s">
        <v>1171</v>
      </c>
      <c r="J72" t="s">
        <v>1172</v>
      </c>
      <c r="K72" t="s">
        <v>1173</v>
      </c>
      <c r="L72" t="s">
        <v>1174</v>
      </c>
      <c r="N72" t="s">
        <v>50</v>
      </c>
      <c r="O72">
        <v>1</v>
      </c>
      <c r="Q72">
        <v>0</v>
      </c>
      <c r="R72">
        <v>0</v>
      </c>
      <c r="S72">
        <v>0</v>
      </c>
      <c r="T72">
        <v>0</v>
      </c>
      <c r="U72" s="20">
        <v>45910.668067129627</v>
      </c>
      <c r="V72" s="20">
        <v>46029.627291666664</v>
      </c>
      <c r="Z72" t="s">
        <v>1175</v>
      </c>
      <c r="AA72" t="s">
        <v>59</v>
      </c>
      <c r="AC72" t="s">
        <v>60</v>
      </c>
      <c r="AD72" t="s">
        <v>2252</v>
      </c>
      <c r="AE72" t="s">
        <v>2251</v>
      </c>
      <c r="AH72" t="s">
        <v>1272</v>
      </c>
      <c r="AI72" t="s">
        <v>2002</v>
      </c>
      <c r="AJ72">
        <v>1585</v>
      </c>
      <c r="AK72" t="s">
        <v>2253</v>
      </c>
      <c r="AU72" t="s">
        <v>59</v>
      </c>
      <c r="AX72" t="s">
        <v>3503</v>
      </c>
      <c r="AY72" t="s">
        <v>3504</v>
      </c>
    </row>
    <row r="73" spans="1:51" x14ac:dyDescent="0.25">
      <c r="A73" t="s">
        <v>2255</v>
      </c>
      <c r="B73" t="s">
        <v>1168</v>
      </c>
      <c r="C73" t="s">
        <v>1273</v>
      </c>
      <c r="E73">
        <v>1</v>
      </c>
      <c r="F73">
        <v>1</v>
      </c>
      <c r="H73" t="s">
        <v>1170</v>
      </c>
      <c r="I73" t="s">
        <v>1171</v>
      </c>
      <c r="J73" t="s">
        <v>1172</v>
      </c>
      <c r="K73" t="s">
        <v>1173</v>
      </c>
      <c r="L73" t="s">
        <v>1174</v>
      </c>
      <c r="N73" t="s">
        <v>50</v>
      </c>
      <c r="O73">
        <v>1</v>
      </c>
      <c r="Q73">
        <v>0</v>
      </c>
      <c r="R73">
        <v>0</v>
      </c>
      <c r="S73">
        <v>0</v>
      </c>
      <c r="T73">
        <v>0</v>
      </c>
      <c r="U73" s="20">
        <v>45910.682523148149</v>
      </c>
      <c r="V73" s="20">
        <v>46029.627291666664</v>
      </c>
      <c r="Z73" t="s">
        <v>1175</v>
      </c>
      <c r="AA73" t="s">
        <v>59</v>
      </c>
      <c r="AC73" t="s">
        <v>60</v>
      </c>
      <c r="AD73" t="s">
        <v>2252</v>
      </c>
      <c r="AE73" t="s">
        <v>2255</v>
      </c>
      <c r="AH73" t="s">
        <v>1272</v>
      </c>
      <c r="AI73" t="s">
        <v>2002</v>
      </c>
      <c r="AJ73">
        <v>1583</v>
      </c>
      <c r="AK73" t="s">
        <v>2256</v>
      </c>
      <c r="AU73" t="s">
        <v>59</v>
      </c>
      <c r="AX73" t="s">
        <v>3505</v>
      </c>
      <c r="AY73" t="s">
        <v>3504</v>
      </c>
    </row>
    <row r="74" spans="1:51" x14ac:dyDescent="0.25">
      <c r="A74" t="s">
        <v>2258</v>
      </c>
      <c r="B74" t="s">
        <v>1168</v>
      </c>
      <c r="C74" t="s">
        <v>1668</v>
      </c>
      <c r="E74">
        <v>1</v>
      </c>
      <c r="F74">
        <v>1</v>
      </c>
      <c r="H74" t="s">
        <v>1170</v>
      </c>
      <c r="I74" t="s">
        <v>1171</v>
      </c>
      <c r="J74" t="s">
        <v>1172</v>
      </c>
      <c r="K74" t="s">
        <v>1173</v>
      </c>
      <c r="L74" t="s">
        <v>1174</v>
      </c>
      <c r="N74" t="s">
        <v>50</v>
      </c>
      <c r="O74">
        <v>1</v>
      </c>
      <c r="Q74">
        <v>0</v>
      </c>
      <c r="R74">
        <v>0</v>
      </c>
      <c r="S74">
        <v>0</v>
      </c>
      <c r="T74">
        <v>0</v>
      </c>
      <c r="U74" s="20">
        <v>45910.682581018518</v>
      </c>
      <c r="V74" s="20">
        <v>46029.627303240741</v>
      </c>
      <c r="Z74" t="s">
        <v>1175</v>
      </c>
      <c r="AA74" t="s">
        <v>59</v>
      </c>
      <c r="AC74" t="s">
        <v>60</v>
      </c>
      <c r="AD74" t="s">
        <v>2259</v>
      </c>
      <c r="AE74" t="s">
        <v>2258</v>
      </c>
      <c r="AH74" t="s">
        <v>1667</v>
      </c>
      <c r="AI74" t="s">
        <v>2002</v>
      </c>
      <c r="AJ74">
        <v>1561</v>
      </c>
      <c r="AK74" t="s">
        <v>2260</v>
      </c>
      <c r="AU74" t="s">
        <v>59</v>
      </c>
      <c r="AX74" t="s">
        <v>3506</v>
      </c>
      <c r="AY74" t="s">
        <v>3507</v>
      </c>
    </row>
    <row r="75" spans="1:51" x14ac:dyDescent="0.25">
      <c r="A75" t="s">
        <v>2262</v>
      </c>
      <c r="B75" t="s">
        <v>1168</v>
      </c>
      <c r="C75" t="s">
        <v>1705</v>
      </c>
      <c r="E75">
        <v>1</v>
      </c>
      <c r="F75">
        <v>1</v>
      </c>
      <c r="H75" t="s">
        <v>1170</v>
      </c>
      <c r="I75" t="s">
        <v>1171</v>
      </c>
      <c r="J75" t="s">
        <v>1172</v>
      </c>
      <c r="K75" t="s">
        <v>1173</v>
      </c>
      <c r="L75" t="s">
        <v>1174</v>
      </c>
      <c r="N75" t="s">
        <v>50</v>
      </c>
      <c r="O75">
        <v>1</v>
      </c>
      <c r="Q75">
        <v>0</v>
      </c>
      <c r="R75">
        <v>0</v>
      </c>
      <c r="S75">
        <v>0</v>
      </c>
      <c r="T75">
        <v>0</v>
      </c>
      <c r="U75" s="20">
        <v>45910.822129629632</v>
      </c>
      <c r="V75" s="20">
        <v>46029.627337962964</v>
      </c>
      <c r="Z75" t="s">
        <v>1175</v>
      </c>
      <c r="AA75" t="s">
        <v>45</v>
      </c>
      <c r="AC75" t="s">
        <v>60</v>
      </c>
      <c r="AD75" t="s">
        <v>2128</v>
      </c>
      <c r="AE75" t="s">
        <v>2129</v>
      </c>
      <c r="AF75" t="s">
        <v>2262</v>
      </c>
      <c r="AH75" t="s">
        <v>2130</v>
      </c>
      <c r="AI75" t="s">
        <v>2205</v>
      </c>
      <c r="AJ75">
        <v>1514</v>
      </c>
      <c r="AK75" t="s">
        <v>2263</v>
      </c>
      <c r="AU75" t="s">
        <v>45</v>
      </c>
      <c r="AX75" t="s">
        <v>3508</v>
      </c>
      <c r="AY75" t="s">
        <v>3458</v>
      </c>
    </row>
    <row r="76" spans="1:51" x14ac:dyDescent="0.25">
      <c r="A76" t="s">
        <v>2265</v>
      </c>
      <c r="B76" t="s">
        <v>1168</v>
      </c>
      <c r="C76" t="s">
        <v>1718</v>
      </c>
      <c r="E76">
        <v>1</v>
      </c>
      <c r="F76">
        <v>1</v>
      </c>
      <c r="H76" t="s">
        <v>1170</v>
      </c>
      <c r="I76" t="s">
        <v>1171</v>
      </c>
      <c r="J76" t="s">
        <v>1172</v>
      </c>
      <c r="K76" t="s">
        <v>1173</v>
      </c>
      <c r="L76" t="s">
        <v>1174</v>
      </c>
      <c r="N76" t="s">
        <v>50</v>
      </c>
      <c r="O76">
        <v>1</v>
      </c>
      <c r="Q76">
        <v>0</v>
      </c>
      <c r="R76">
        <v>0</v>
      </c>
      <c r="S76">
        <v>0</v>
      </c>
      <c r="T76">
        <v>0</v>
      </c>
      <c r="U76" s="20">
        <v>45911.684872685182</v>
      </c>
      <c r="V76" s="20">
        <v>46029.627303240741</v>
      </c>
      <c r="Z76" t="s">
        <v>1175</v>
      </c>
      <c r="AA76" t="s">
        <v>59</v>
      </c>
      <c r="AC76" t="s">
        <v>60</v>
      </c>
      <c r="AD76" t="s">
        <v>2118</v>
      </c>
      <c r="AE76" t="s">
        <v>2265</v>
      </c>
      <c r="AH76" t="s">
        <v>1988</v>
      </c>
      <c r="AI76" t="s">
        <v>2002</v>
      </c>
      <c r="AJ76">
        <v>5660</v>
      </c>
      <c r="AK76" t="s">
        <v>2266</v>
      </c>
      <c r="AU76" t="s">
        <v>59</v>
      </c>
      <c r="AX76" t="s">
        <v>3509</v>
      </c>
      <c r="AY76" t="s">
        <v>3493</v>
      </c>
    </row>
    <row r="77" spans="1:51" x14ac:dyDescent="0.25">
      <c r="A77" t="s">
        <v>2268</v>
      </c>
      <c r="B77" t="s">
        <v>1168</v>
      </c>
      <c r="C77" t="s">
        <v>1708</v>
      </c>
      <c r="E77">
        <v>1</v>
      </c>
      <c r="F77">
        <v>1</v>
      </c>
      <c r="H77" t="s">
        <v>1170</v>
      </c>
      <c r="I77" t="s">
        <v>1171</v>
      </c>
      <c r="J77" t="s">
        <v>1172</v>
      </c>
      <c r="K77" t="s">
        <v>1173</v>
      </c>
      <c r="L77" t="s">
        <v>1174</v>
      </c>
      <c r="N77" t="s">
        <v>50</v>
      </c>
      <c r="O77">
        <v>1</v>
      </c>
      <c r="Q77">
        <v>0</v>
      </c>
      <c r="R77">
        <v>0</v>
      </c>
      <c r="S77">
        <v>0</v>
      </c>
      <c r="T77">
        <v>0</v>
      </c>
      <c r="U77" s="20">
        <v>45918.463460648149</v>
      </c>
      <c r="V77" s="20">
        <v>46029.627303240741</v>
      </c>
      <c r="Z77" t="s">
        <v>1175</v>
      </c>
      <c r="AA77" t="s">
        <v>59</v>
      </c>
      <c r="AC77" t="s">
        <v>60</v>
      </c>
      <c r="AD77" t="s">
        <v>2128</v>
      </c>
      <c r="AE77" t="s">
        <v>2268</v>
      </c>
      <c r="AH77" t="s">
        <v>2130</v>
      </c>
      <c r="AI77" t="s">
        <v>2002</v>
      </c>
      <c r="AJ77">
        <v>1520</v>
      </c>
      <c r="AK77" t="s">
        <v>2269</v>
      </c>
      <c r="AU77" t="s">
        <v>59</v>
      </c>
      <c r="AX77" t="s">
        <v>3510</v>
      </c>
      <c r="AY77" t="s">
        <v>3511</v>
      </c>
    </row>
    <row r="78" spans="1:51" x14ac:dyDescent="0.25">
      <c r="A78" t="s">
        <v>2271</v>
      </c>
      <c r="B78" t="s">
        <v>1168</v>
      </c>
      <c r="C78" t="s">
        <v>1684</v>
      </c>
      <c r="E78">
        <v>1</v>
      </c>
      <c r="F78">
        <v>1</v>
      </c>
      <c r="H78" t="s">
        <v>1170</v>
      </c>
      <c r="I78" t="s">
        <v>1171</v>
      </c>
      <c r="J78" t="s">
        <v>1172</v>
      </c>
      <c r="K78" t="s">
        <v>1173</v>
      </c>
      <c r="L78" t="s">
        <v>1174</v>
      </c>
      <c r="N78" t="s">
        <v>50</v>
      </c>
      <c r="O78">
        <v>1</v>
      </c>
      <c r="Q78">
        <v>0</v>
      </c>
      <c r="R78">
        <v>0</v>
      </c>
      <c r="S78">
        <v>0</v>
      </c>
      <c r="T78">
        <v>0</v>
      </c>
      <c r="U78" s="20">
        <v>45918.469756944447</v>
      </c>
      <c r="V78" s="20">
        <v>46029.627291666664</v>
      </c>
      <c r="Z78" t="s">
        <v>1175</v>
      </c>
      <c r="AA78" t="s">
        <v>59</v>
      </c>
      <c r="AC78" t="s">
        <v>60</v>
      </c>
      <c r="AD78" t="s">
        <v>2185</v>
      </c>
      <c r="AE78" t="s">
        <v>2271</v>
      </c>
      <c r="AH78" t="s">
        <v>2186</v>
      </c>
      <c r="AI78" t="s">
        <v>2002</v>
      </c>
      <c r="AJ78">
        <v>2000</v>
      </c>
      <c r="AK78" t="s">
        <v>2272</v>
      </c>
      <c r="AU78" t="s">
        <v>59</v>
      </c>
      <c r="AX78" t="s">
        <v>3512</v>
      </c>
      <c r="AY78" t="s">
        <v>3479</v>
      </c>
    </row>
    <row r="79" spans="1:51" x14ac:dyDescent="0.25">
      <c r="A79" t="s">
        <v>2274</v>
      </c>
      <c r="B79" t="s">
        <v>1168</v>
      </c>
      <c r="C79" t="s">
        <v>1724</v>
      </c>
      <c r="E79">
        <v>1</v>
      </c>
      <c r="F79">
        <v>1</v>
      </c>
      <c r="H79" t="s">
        <v>1170</v>
      </c>
      <c r="I79" t="s">
        <v>1171</v>
      </c>
      <c r="J79" t="s">
        <v>1172</v>
      </c>
      <c r="K79" t="s">
        <v>1173</v>
      </c>
      <c r="L79" t="s">
        <v>1174</v>
      </c>
      <c r="N79" t="s">
        <v>50</v>
      </c>
      <c r="O79">
        <v>1</v>
      </c>
      <c r="Q79">
        <v>0</v>
      </c>
      <c r="R79">
        <v>0</v>
      </c>
      <c r="S79">
        <v>0</v>
      </c>
      <c r="T79">
        <v>0</v>
      </c>
      <c r="U79" s="20">
        <v>45918.488634259258</v>
      </c>
      <c r="V79" s="20">
        <v>46029.62736111111</v>
      </c>
      <c r="Z79" t="s">
        <v>1175</v>
      </c>
      <c r="AA79" t="s">
        <v>45</v>
      </c>
      <c r="AC79" t="s">
        <v>60</v>
      </c>
      <c r="AD79" t="s">
        <v>2118</v>
      </c>
      <c r="AE79" t="s">
        <v>2204</v>
      </c>
      <c r="AF79" t="s">
        <v>2274</v>
      </c>
      <c r="AH79" t="s">
        <v>1988</v>
      </c>
      <c r="AI79" t="s">
        <v>2124</v>
      </c>
      <c r="AJ79">
        <v>5680</v>
      </c>
      <c r="AK79" t="s">
        <v>2275</v>
      </c>
      <c r="AU79" t="s">
        <v>45</v>
      </c>
      <c r="AX79" t="s">
        <v>3513</v>
      </c>
      <c r="AY79" t="s">
        <v>3487</v>
      </c>
    </row>
    <row r="80" spans="1:51" x14ac:dyDescent="0.25">
      <c r="A80" t="s">
        <v>2277</v>
      </c>
      <c r="B80" t="s">
        <v>1168</v>
      </c>
      <c r="C80" t="s">
        <v>1759</v>
      </c>
      <c r="E80">
        <v>1</v>
      </c>
      <c r="F80">
        <v>1</v>
      </c>
      <c r="H80" t="s">
        <v>1170</v>
      </c>
      <c r="I80" t="s">
        <v>1171</v>
      </c>
      <c r="J80" t="s">
        <v>1172</v>
      </c>
      <c r="K80" t="s">
        <v>1173</v>
      </c>
      <c r="L80" t="s">
        <v>1174</v>
      </c>
      <c r="N80" t="s">
        <v>50</v>
      </c>
      <c r="O80">
        <v>1</v>
      </c>
      <c r="Q80">
        <v>0</v>
      </c>
      <c r="R80">
        <v>0</v>
      </c>
      <c r="S80">
        <v>0</v>
      </c>
      <c r="T80">
        <v>0</v>
      </c>
      <c r="U80" s="20">
        <v>45918.549826388888</v>
      </c>
      <c r="V80" s="20">
        <v>46029.627303240741</v>
      </c>
      <c r="Z80" t="s">
        <v>1175</v>
      </c>
      <c r="AA80" t="s">
        <v>59</v>
      </c>
      <c r="AC80" t="s">
        <v>60</v>
      </c>
      <c r="AD80" t="s">
        <v>2090</v>
      </c>
      <c r="AE80" t="s">
        <v>2277</v>
      </c>
      <c r="AH80" t="s">
        <v>2091</v>
      </c>
      <c r="AI80" t="s">
        <v>2002</v>
      </c>
      <c r="AJ80">
        <v>5611</v>
      </c>
      <c r="AK80" t="s">
        <v>2278</v>
      </c>
      <c r="AU80" t="s">
        <v>59</v>
      </c>
      <c r="AX80" t="s">
        <v>3514</v>
      </c>
      <c r="AY80" t="s">
        <v>3447</v>
      </c>
    </row>
    <row r="81" spans="1:51" x14ac:dyDescent="0.25">
      <c r="A81" t="s">
        <v>2280</v>
      </c>
      <c r="B81" t="s">
        <v>1168</v>
      </c>
      <c r="C81" t="s">
        <v>1762</v>
      </c>
      <c r="E81">
        <v>1</v>
      </c>
      <c r="F81">
        <v>1</v>
      </c>
      <c r="H81" t="s">
        <v>1170</v>
      </c>
      <c r="I81" t="s">
        <v>1171</v>
      </c>
      <c r="J81" t="s">
        <v>1172</v>
      </c>
      <c r="K81" t="s">
        <v>1173</v>
      </c>
      <c r="L81" t="s">
        <v>1174</v>
      </c>
      <c r="N81" t="s">
        <v>50</v>
      </c>
      <c r="O81">
        <v>1</v>
      </c>
      <c r="Q81">
        <v>0</v>
      </c>
      <c r="R81">
        <v>0</v>
      </c>
      <c r="S81">
        <v>0</v>
      </c>
      <c r="T81">
        <v>0</v>
      </c>
      <c r="U81" s="20">
        <v>45918.550173611111</v>
      </c>
      <c r="V81" s="20">
        <v>46029.627337962964</v>
      </c>
      <c r="Z81" t="s">
        <v>1175</v>
      </c>
      <c r="AA81" t="s">
        <v>45</v>
      </c>
      <c r="AC81" t="s">
        <v>60</v>
      </c>
      <c r="AD81" t="s">
        <v>2090</v>
      </c>
      <c r="AE81" t="s">
        <v>2277</v>
      </c>
      <c r="AF81" t="s">
        <v>2280</v>
      </c>
      <c r="AH81" t="s">
        <v>2091</v>
      </c>
      <c r="AI81" t="s">
        <v>2051</v>
      </c>
      <c r="AJ81">
        <v>5611</v>
      </c>
      <c r="AK81" t="s">
        <v>2281</v>
      </c>
      <c r="AU81" t="s">
        <v>45</v>
      </c>
      <c r="AX81" t="s">
        <v>3515</v>
      </c>
      <c r="AY81" t="s">
        <v>3514</v>
      </c>
    </row>
    <row r="82" spans="1:51" x14ac:dyDescent="0.25">
      <c r="A82" t="s">
        <v>2283</v>
      </c>
      <c r="B82" t="s">
        <v>1168</v>
      </c>
      <c r="C82" t="s">
        <v>1760</v>
      </c>
      <c r="E82">
        <v>1</v>
      </c>
      <c r="F82">
        <v>1</v>
      </c>
      <c r="H82" t="s">
        <v>1170</v>
      </c>
      <c r="I82" t="s">
        <v>1171</v>
      </c>
      <c r="J82" t="s">
        <v>1172</v>
      </c>
      <c r="K82" t="s">
        <v>1173</v>
      </c>
      <c r="L82" t="s">
        <v>1174</v>
      </c>
      <c r="N82" t="s">
        <v>50</v>
      </c>
      <c r="O82">
        <v>1</v>
      </c>
      <c r="Q82">
        <v>0</v>
      </c>
      <c r="R82">
        <v>0</v>
      </c>
      <c r="S82">
        <v>0</v>
      </c>
      <c r="T82">
        <v>0</v>
      </c>
      <c r="U82" s="20">
        <v>45918.550196759257</v>
      </c>
      <c r="V82" s="20">
        <v>46029.627337962964</v>
      </c>
      <c r="Z82" t="s">
        <v>1175</v>
      </c>
      <c r="AA82" t="s">
        <v>45</v>
      </c>
      <c r="AC82" t="s">
        <v>60</v>
      </c>
      <c r="AD82" t="s">
        <v>2090</v>
      </c>
      <c r="AE82" t="s">
        <v>2277</v>
      </c>
      <c r="AF82" t="s">
        <v>2283</v>
      </c>
      <c r="AH82" t="s">
        <v>2091</v>
      </c>
      <c r="AI82" t="s">
        <v>2040</v>
      </c>
      <c r="AJ82">
        <v>5611</v>
      </c>
      <c r="AK82" t="s">
        <v>2284</v>
      </c>
      <c r="AU82" t="s">
        <v>45</v>
      </c>
      <c r="AX82" t="s">
        <v>3516</v>
      </c>
      <c r="AY82" t="s">
        <v>3514</v>
      </c>
    </row>
    <row r="83" spans="1:51" x14ac:dyDescent="0.25">
      <c r="A83" t="s">
        <v>2286</v>
      </c>
      <c r="B83" t="s">
        <v>1168</v>
      </c>
      <c r="C83" t="s">
        <v>1761</v>
      </c>
      <c r="E83">
        <v>1</v>
      </c>
      <c r="F83">
        <v>1</v>
      </c>
      <c r="H83" t="s">
        <v>1170</v>
      </c>
      <c r="I83" t="s">
        <v>1171</v>
      </c>
      <c r="J83" t="s">
        <v>1172</v>
      </c>
      <c r="K83" t="s">
        <v>1173</v>
      </c>
      <c r="L83" t="s">
        <v>1174</v>
      </c>
      <c r="N83" t="s">
        <v>50</v>
      </c>
      <c r="O83">
        <v>1</v>
      </c>
      <c r="Q83">
        <v>0</v>
      </c>
      <c r="R83">
        <v>0</v>
      </c>
      <c r="S83">
        <v>0</v>
      </c>
      <c r="T83">
        <v>0</v>
      </c>
      <c r="U83" s="20">
        <v>45918.55028935185</v>
      </c>
      <c r="V83" s="20">
        <v>46029.627314814818</v>
      </c>
      <c r="Z83" t="s">
        <v>1175</v>
      </c>
      <c r="AA83" t="s">
        <v>45</v>
      </c>
      <c r="AC83" t="s">
        <v>60</v>
      </c>
      <c r="AD83" t="s">
        <v>2090</v>
      </c>
      <c r="AE83" t="s">
        <v>2277</v>
      </c>
      <c r="AF83" t="s">
        <v>2286</v>
      </c>
      <c r="AH83" t="s">
        <v>2091</v>
      </c>
      <c r="AI83" t="s">
        <v>2099</v>
      </c>
      <c r="AJ83">
        <v>5611</v>
      </c>
      <c r="AK83" t="s">
        <v>2287</v>
      </c>
      <c r="AU83" t="s">
        <v>45</v>
      </c>
      <c r="AX83" t="s">
        <v>3517</v>
      </c>
      <c r="AY83" t="s">
        <v>3514</v>
      </c>
    </row>
    <row r="84" spans="1:51" x14ac:dyDescent="0.25">
      <c r="A84" t="s">
        <v>2289</v>
      </c>
      <c r="B84" t="s">
        <v>1168</v>
      </c>
      <c r="C84" t="s">
        <v>1766</v>
      </c>
      <c r="E84">
        <v>1</v>
      </c>
      <c r="F84">
        <v>1</v>
      </c>
      <c r="H84" t="s">
        <v>1170</v>
      </c>
      <c r="I84" t="s">
        <v>1171</v>
      </c>
      <c r="J84" t="s">
        <v>1172</v>
      </c>
      <c r="K84" t="s">
        <v>1173</v>
      </c>
      <c r="L84" t="s">
        <v>1174</v>
      </c>
      <c r="N84" t="s">
        <v>50</v>
      </c>
      <c r="O84">
        <v>1</v>
      </c>
      <c r="Q84">
        <v>0</v>
      </c>
      <c r="R84">
        <v>0</v>
      </c>
      <c r="S84">
        <v>0</v>
      </c>
      <c r="T84">
        <v>0</v>
      </c>
      <c r="U84" s="20">
        <v>45918.557696759257</v>
      </c>
      <c r="V84" s="20">
        <v>46029.627303240741</v>
      </c>
      <c r="Z84" t="s">
        <v>1175</v>
      </c>
      <c r="AA84" t="s">
        <v>59</v>
      </c>
      <c r="AC84" t="s">
        <v>60</v>
      </c>
      <c r="AD84" t="s">
        <v>2290</v>
      </c>
      <c r="AE84" t="s">
        <v>2289</v>
      </c>
      <c r="AH84" t="s">
        <v>2291</v>
      </c>
      <c r="AI84" t="s">
        <v>2002</v>
      </c>
      <c r="AJ84">
        <v>1301</v>
      </c>
      <c r="AK84" t="s">
        <v>2292</v>
      </c>
      <c r="AU84" t="s">
        <v>59</v>
      </c>
      <c r="AX84" t="s">
        <v>3518</v>
      </c>
      <c r="AY84" t="s">
        <v>3519</v>
      </c>
    </row>
    <row r="85" spans="1:51" x14ac:dyDescent="0.25">
      <c r="A85" t="s">
        <v>2294</v>
      </c>
      <c r="B85" t="s">
        <v>1168</v>
      </c>
      <c r="C85" t="s">
        <v>1767</v>
      </c>
      <c r="E85">
        <v>1</v>
      </c>
      <c r="F85">
        <v>1</v>
      </c>
      <c r="H85" t="s">
        <v>1170</v>
      </c>
      <c r="I85" t="s">
        <v>1171</v>
      </c>
      <c r="J85" t="s">
        <v>1172</v>
      </c>
      <c r="K85" t="s">
        <v>1173</v>
      </c>
      <c r="L85" t="s">
        <v>1174</v>
      </c>
      <c r="N85" t="s">
        <v>50</v>
      </c>
      <c r="O85">
        <v>1</v>
      </c>
      <c r="Q85">
        <v>0</v>
      </c>
      <c r="R85">
        <v>0</v>
      </c>
      <c r="S85">
        <v>0</v>
      </c>
      <c r="T85">
        <v>0</v>
      </c>
      <c r="U85" s="20">
        <v>45918.557812500003</v>
      </c>
      <c r="V85" s="20">
        <v>46029.627291666664</v>
      </c>
      <c r="Z85" t="s">
        <v>1175</v>
      </c>
      <c r="AA85" t="s">
        <v>59</v>
      </c>
      <c r="AC85" t="s">
        <v>60</v>
      </c>
      <c r="AD85" t="s">
        <v>2290</v>
      </c>
      <c r="AE85" t="s">
        <v>2294</v>
      </c>
      <c r="AH85" t="s">
        <v>2291</v>
      </c>
      <c r="AI85" t="s">
        <v>2002</v>
      </c>
      <c r="AJ85">
        <v>1302</v>
      </c>
      <c r="AK85" t="s">
        <v>2295</v>
      </c>
      <c r="AU85" t="s">
        <v>59</v>
      </c>
      <c r="AX85" t="s">
        <v>3520</v>
      </c>
      <c r="AY85" t="s">
        <v>3519</v>
      </c>
    </row>
    <row r="86" spans="1:51" x14ac:dyDescent="0.25">
      <c r="A86" t="s">
        <v>2297</v>
      </c>
      <c r="B86" t="s">
        <v>1168</v>
      </c>
      <c r="C86" t="s">
        <v>1763</v>
      </c>
      <c r="E86">
        <v>1</v>
      </c>
      <c r="F86">
        <v>1</v>
      </c>
      <c r="H86" t="s">
        <v>1170</v>
      </c>
      <c r="I86" t="s">
        <v>1171</v>
      </c>
      <c r="J86" t="s">
        <v>1172</v>
      </c>
      <c r="K86" t="s">
        <v>1173</v>
      </c>
      <c r="L86" t="s">
        <v>1174</v>
      </c>
      <c r="N86" t="s">
        <v>50</v>
      </c>
      <c r="O86">
        <v>1</v>
      </c>
      <c r="Q86">
        <v>0</v>
      </c>
      <c r="R86">
        <v>0</v>
      </c>
      <c r="S86">
        <v>0</v>
      </c>
      <c r="T86">
        <v>0</v>
      </c>
      <c r="U86" s="20">
        <v>45918.616770833331</v>
      </c>
      <c r="V86" s="20">
        <v>46029.627314814818</v>
      </c>
      <c r="Z86" t="s">
        <v>1175</v>
      </c>
      <c r="AA86" t="s">
        <v>59</v>
      </c>
      <c r="AC86" t="s">
        <v>60</v>
      </c>
      <c r="AD86" t="s">
        <v>2185</v>
      </c>
      <c r="AE86" t="s">
        <v>2297</v>
      </c>
      <c r="AH86" t="s">
        <v>2186</v>
      </c>
      <c r="AI86" t="s">
        <v>2002</v>
      </c>
      <c r="AJ86">
        <v>5700</v>
      </c>
      <c r="AK86" t="s">
        <v>2298</v>
      </c>
      <c r="AU86" t="s">
        <v>59</v>
      </c>
      <c r="AX86" t="s">
        <v>3521</v>
      </c>
      <c r="AY86" t="s">
        <v>3479</v>
      </c>
    </row>
    <row r="87" spans="1:51" x14ac:dyDescent="0.25">
      <c r="A87" t="s">
        <v>2300</v>
      </c>
      <c r="B87" t="s">
        <v>1168</v>
      </c>
      <c r="C87" t="s">
        <v>1686</v>
      </c>
      <c r="E87">
        <v>1</v>
      </c>
      <c r="F87">
        <v>1</v>
      </c>
      <c r="H87" t="s">
        <v>1170</v>
      </c>
      <c r="I87" t="s">
        <v>1171</v>
      </c>
      <c r="J87" t="s">
        <v>1172</v>
      </c>
      <c r="K87" t="s">
        <v>1173</v>
      </c>
      <c r="L87" t="s">
        <v>1174</v>
      </c>
      <c r="N87" t="s">
        <v>50</v>
      </c>
      <c r="O87">
        <v>1</v>
      </c>
      <c r="Q87">
        <v>0</v>
      </c>
      <c r="R87">
        <v>0</v>
      </c>
      <c r="S87">
        <v>0</v>
      </c>
      <c r="T87">
        <v>0</v>
      </c>
      <c r="U87" s="20">
        <v>45918.620937500003</v>
      </c>
      <c r="V87" s="20">
        <v>46029.627337962964</v>
      </c>
      <c r="Z87" t="s">
        <v>1175</v>
      </c>
      <c r="AA87" t="s">
        <v>59</v>
      </c>
      <c r="AC87" t="s">
        <v>60</v>
      </c>
      <c r="AD87" t="s">
        <v>2301</v>
      </c>
      <c r="AE87" t="s">
        <v>2300</v>
      </c>
      <c r="AH87" t="s">
        <v>2302</v>
      </c>
      <c r="AI87" t="s">
        <v>2002</v>
      </c>
      <c r="AJ87">
        <v>2003</v>
      </c>
      <c r="AK87" t="s">
        <v>2303</v>
      </c>
      <c r="AU87" t="s">
        <v>59</v>
      </c>
      <c r="AX87" t="s">
        <v>3522</v>
      </c>
      <c r="AY87" t="s">
        <v>3523</v>
      </c>
    </row>
    <row r="88" spans="1:51" x14ac:dyDescent="0.25">
      <c r="A88" t="s">
        <v>2305</v>
      </c>
      <c r="B88" t="s">
        <v>1168</v>
      </c>
      <c r="C88" t="s">
        <v>1210</v>
      </c>
      <c r="E88">
        <v>1</v>
      </c>
      <c r="F88">
        <v>1</v>
      </c>
      <c r="H88" t="s">
        <v>1170</v>
      </c>
      <c r="I88" t="s">
        <v>1171</v>
      </c>
      <c r="J88" t="s">
        <v>1172</v>
      </c>
      <c r="K88" t="s">
        <v>1173</v>
      </c>
      <c r="L88" t="s">
        <v>1174</v>
      </c>
      <c r="N88" t="s">
        <v>50</v>
      </c>
      <c r="O88">
        <v>1</v>
      </c>
      <c r="Q88">
        <v>0</v>
      </c>
      <c r="R88">
        <v>0</v>
      </c>
      <c r="S88">
        <v>0</v>
      </c>
      <c r="T88">
        <v>0</v>
      </c>
      <c r="U88" s="20">
        <v>45918.633263888885</v>
      </c>
      <c r="V88" s="20">
        <v>46032.872662037036</v>
      </c>
      <c r="Z88" t="s">
        <v>1175</v>
      </c>
      <c r="AA88" t="s">
        <v>315</v>
      </c>
      <c r="AD88" t="s">
        <v>2047</v>
      </c>
      <c r="AF88" t="s">
        <v>2106</v>
      </c>
      <c r="AG88" t="s">
        <v>2305</v>
      </c>
      <c r="AH88" t="s">
        <v>2049</v>
      </c>
      <c r="AI88" t="s">
        <v>2032</v>
      </c>
      <c r="AJ88" t="s">
        <v>2050</v>
      </c>
      <c r="AK88" t="s">
        <v>2306</v>
      </c>
      <c r="AU88" t="s">
        <v>315</v>
      </c>
      <c r="AX88" t="s">
        <v>3524</v>
      </c>
      <c r="AY88" t="s">
        <v>3464</v>
      </c>
    </row>
    <row r="89" spans="1:51" x14ac:dyDescent="0.25">
      <c r="A89" t="s">
        <v>2259</v>
      </c>
      <c r="B89" t="s">
        <v>1168</v>
      </c>
      <c r="C89" t="s">
        <v>1666</v>
      </c>
      <c r="E89">
        <v>1</v>
      </c>
      <c r="F89">
        <v>1</v>
      </c>
      <c r="H89" t="s">
        <v>1170</v>
      </c>
      <c r="I89" t="s">
        <v>1171</v>
      </c>
      <c r="J89" t="s">
        <v>1172</v>
      </c>
      <c r="K89" t="s">
        <v>1173</v>
      </c>
      <c r="L89" t="s">
        <v>1174</v>
      </c>
      <c r="N89" t="s">
        <v>50</v>
      </c>
      <c r="O89">
        <v>1</v>
      </c>
      <c r="Q89">
        <v>0</v>
      </c>
      <c r="R89">
        <v>0</v>
      </c>
      <c r="S89">
        <v>0</v>
      </c>
      <c r="T89">
        <v>0</v>
      </c>
      <c r="U89" s="20">
        <v>45922.853773148148</v>
      </c>
      <c r="V89" s="20">
        <v>46029.627291666664</v>
      </c>
      <c r="Z89" t="s">
        <v>1175</v>
      </c>
      <c r="AA89" t="s">
        <v>180</v>
      </c>
      <c r="AC89" t="s">
        <v>60</v>
      </c>
      <c r="AD89" t="s">
        <v>2259</v>
      </c>
      <c r="AH89" t="s">
        <v>1667</v>
      </c>
      <c r="AI89" t="s">
        <v>2002</v>
      </c>
      <c r="AJ89" t="s">
        <v>2002</v>
      </c>
      <c r="AK89" t="s">
        <v>1667</v>
      </c>
      <c r="AU89" t="s">
        <v>180</v>
      </c>
      <c r="AX89" t="s">
        <v>3507</v>
      </c>
      <c r="AY89" t="s">
        <v>3427</v>
      </c>
    </row>
    <row r="90" spans="1:51" x14ac:dyDescent="0.25">
      <c r="A90" t="s">
        <v>2301</v>
      </c>
      <c r="B90" t="s">
        <v>1168</v>
      </c>
      <c r="C90" t="s">
        <v>1674</v>
      </c>
      <c r="E90">
        <v>1</v>
      </c>
      <c r="F90">
        <v>1</v>
      </c>
      <c r="H90" t="s">
        <v>1170</v>
      </c>
      <c r="I90" t="s">
        <v>1171</v>
      </c>
      <c r="J90" t="s">
        <v>1172</v>
      </c>
      <c r="K90" t="s">
        <v>1173</v>
      </c>
      <c r="L90" t="s">
        <v>1174</v>
      </c>
      <c r="N90" t="s">
        <v>50</v>
      </c>
      <c r="O90">
        <v>1</v>
      </c>
      <c r="Q90">
        <v>0</v>
      </c>
      <c r="R90">
        <v>0</v>
      </c>
      <c r="S90">
        <v>0</v>
      </c>
      <c r="T90">
        <v>0</v>
      </c>
      <c r="U90" s="20">
        <v>45923.452615740738</v>
      </c>
      <c r="V90" s="20">
        <v>46029.627303240741</v>
      </c>
      <c r="Z90" t="s">
        <v>1175</v>
      </c>
      <c r="AA90" t="s">
        <v>180</v>
      </c>
      <c r="AC90" t="s">
        <v>60</v>
      </c>
      <c r="AD90" t="s">
        <v>2301</v>
      </c>
      <c r="AH90" t="s">
        <v>2302</v>
      </c>
      <c r="AI90" t="s">
        <v>2002</v>
      </c>
      <c r="AJ90" t="s">
        <v>2002</v>
      </c>
      <c r="AK90" t="s">
        <v>2302</v>
      </c>
      <c r="AU90" t="s">
        <v>180</v>
      </c>
      <c r="AX90" t="s">
        <v>3523</v>
      </c>
      <c r="AY90" t="s">
        <v>3525</v>
      </c>
    </row>
    <row r="91" spans="1:51" x14ac:dyDescent="0.25">
      <c r="A91" t="s">
        <v>2129</v>
      </c>
      <c r="B91" t="s">
        <v>1168</v>
      </c>
      <c r="C91" t="s">
        <v>1697</v>
      </c>
      <c r="E91">
        <v>1</v>
      </c>
      <c r="F91">
        <v>1</v>
      </c>
      <c r="H91" t="s">
        <v>1170</v>
      </c>
      <c r="I91" t="s">
        <v>1171</v>
      </c>
      <c r="J91" t="s">
        <v>1172</v>
      </c>
      <c r="K91" t="s">
        <v>1173</v>
      </c>
      <c r="L91" t="s">
        <v>1174</v>
      </c>
      <c r="N91" t="s">
        <v>50</v>
      </c>
      <c r="O91">
        <v>1</v>
      </c>
      <c r="Q91">
        <v>0</v>
      </c>
      <c r="R91">
        <v>0</v>
      </c>
      <c r="S91">
        <v>0</v>
      </c>
      <c r="T91">
        <v>0</v>
      </c>
      <c r="U91" s="20">
        <v>45923.595370370371</v>
      </c>
      <c r="V91" s="20">
        <v>46029.627303240741</v>
      </c>
      <c r="Z91" t="s">
        <v>1175</v>
      </c>
      <c r="AA91" t="s">
        <v>59</v>
      </c>
      <c r="AC91" t="s">
        <v>60</v>
      </c>
      <c r="AD91" t="s">
        <v>2128</v>
      </c>
      <c r="AE91" t="s">
        <v>2129</v>
      </c>
      <c r="AH91" t="s">
        <v>2130</v>
      </c>
      <c r="AI91" t="s">
        <v>2002</v>
      </c>
      <c r="AJ91">
        <v>1510</v>
      </c>
      <c r="AK91" t="s">
        <v>2310</v>
      </c>
      <c r="AU91" t="s">
        <v>59</v>
      </c>
      <c r="AX91" t="s">
        <v>3458</v>
      </c>
      <c r="AY91" t="s">
        <v>3511</v>
      </c>
    </row>
    <row r="92" spans="1:51" x14ac:dyDescent="0.25">
      <c r="A92" t="s">
        <v>2312</v>
      </c>
      <c r="B92" t="s">
        <v>1168</v>
      </c>
      <c r="C92" t="s">
        <v>1688</v>
      </c>
      <c r="E92">
        <v>1</v>
      </c>
      <c r="F92">
        <v>1</v>
      </c>
      <c r="H92" t="s">
        <v>1170</v>
      </c>
      <c r="I92" t="s">
        <v>1171</v>
      </c>
      <c r="J92" t="s">
        <v>1172</v>
      </c>
      <c r="K92" t="s">
        <v>1173</v>
      </c>
      <c r="L92" t="s">
        <v>1174</v>
      </c>
      <c r="N92" t="s">
        <v>50</v>
      </c>
      <c r="O92">
        <v>1</v>
      </c>
      <c r="Q92">
        <v>0</v>
      </c>
      <c r="R92">
        <v>0</v>
      </c>
      <c r="S92">
        <v>0</v>
      </c>
      <c r="T92">
        <v>0</v>
      </c>
      <c r="U92" s="20">
        <v>45923.851157407407</v>
      </c>
      <c r="V92" s="20">
        <v>46029.627349537041</v>
      </c>
      <c r="Z92" t="s">
        <v>1175</v>
      </c>
      <c r="AA92" t="s">
        <v>59</v>
      </c>
      <c r="AC92" t="s">
        <v>60</v>
      </c>
      <c r="AD92" t="s">
        <v>2301</v>
      </c>
      <c r="AE92" t="s">
        <v>2312</v>
      </c>
      <c r="AH92" t="s">
        <v>2302</v>
      </c>
      <c r="AI92" t="s">
        <v>2002</v>
      </c>
      <c r="AJ92">
        <v>2110</v>
      </c>
      <c r="AK92" t="s">
        <v>2313</v>
      </c>
      <c r="AU92" t="s">
        <v>59</v>
      </c>
      <c r="AX92" t="s">
        <v>3526</v>
      </c>
      <c r="AY92" t="s">
        <v>3523</v>
      </c>
    </row>
    <row r="93" spans="1:51" x14ac:dyDescent="0.25">
      <c r="A93" t="s">
        <v>2315</v>
      </c>
      <c r="B93" t="s">
        <v>1168</v>
      </c>
      <c r="C93" t="s">
        <v>1768</v>
      </c>
      <c r="E93">
        <v>1</v>
      </c>
      <c r="F93">
        <v>1</v>
      </c>
      <c r="H93" t="s">
        <v>1170</v>
      </c>
      <c r="I93" t="s">
        <v>1171</v>
      </c>
      <c r="J93" t="s">
        <v>1172</v>
      </c>
      <c r="K93" t="s">
        <v>1173</v>
      </c>
      <c r="L93" t="s">
        <v>1174</v>
      </c>
      <c r="N93" t="s">
        <v>50</v>
      </c>
      <c r="O93">
        <v>1</v>
      </c>
      <c r="Q93">
        <v>0</v>
      </c>
      <c r="R93">
        <v>0</v>
      </c>
      <c r="S93">
        <v>0</v>
      </c>
      <c r="T93">
        <v>0</v>
      </c>
      <c r="U93" s="20">
        <v>45923.851689814815</v>
      </c>
      <c r="V93" s="20">
        <v>46029.627303240741</v>
      </c>
      <c r="Z93" t="s">
        <v>1175</v>
      </c>
      <c r="AA93" t="s">
        <v>59</v>
      </c>
      <c r="AC93" t="s">
        <v>60</v>
      </c>
      <c r="AD93" t="s">
        <v>2290</v>
      </c>
      <c r="AE93" t="s">
        <v>2315</v>
      </c>
      <c r="AH93" t="s">
        <v>2291</v>
      </c>
      <c r="AI93" t="s">
        <v>2002</v>
      </c>
      <c r="AJ93">
        <v>1303</v>
      </c>
      <c r="AK93" t="s">
        <v>2316</v>
      </c>
      <c r="AU93" t="s">
        <v>59</v>
      </c>
      <c r="AX93" t="s">
        <v>3527</v>
      </c>
      <c r="AY93" t="s">
        <v>3519</v>
      </c>
    </row>
    <row r="94" spans="1:51" x14ac:dyDescent="0.25">
      <c r="A94" t="s">
        <v>2318</v>
      </c>
      <c r="B94" t="s">
        <v>1168</v>
      </c>
      <c r="C94" t="s">
        <v>1675</v>
      </c>
      <c r="E94">
        <v>1</v>
      </c>
      <c r="F94">
        <v>1</v>
      </c>
      <c r="H94" t="s">
        <v>1170</v>
      </c>
      <c r="I94" t="s">
        <v>1171</v>
      </c>
      <c r="J94" t="s">
        <v>1172</v>
      </c>
      <c r="K94" t="s">
        <v>1173</v>
      </c>
      <c r="L94" t="s">
        <v>1174</v>
      </c>
      <c r="N94" t="s">
        <v>50</v>
      </c>
      <c r="O94">
        <v>1</v>
      </c>
      <c r="Q94">
        <v>0</v>
      </c>
      <c r="R94">
        <v>0</v>
      </c>
      <c r="S94">
        <v>0</v>
      </c>
      <c r="T94">
        <v>0</v>
      </c>
      <c r="U94" s="20">
        <v>45923.852442129632</v>
      </c>
      <c r="V94" s="20">
        <v>46029.627314814818</v>
      </c>
      <c r="Z94" t="s">
        <v>1175</v>
      </c>
      <c r="AA94" t="s">
        <v>59</v>
      </c>
      <c r="AC94" t="s">
        <v>60</v>
      </c>
      <c r="AD94" t="s">
        <v>2301</v>
      </c>
      <c r="AE94" t="s">
        <v>2318</v>
      </c>
      <c r="AH94" t="s">
        <v>2302</v>
      </c>
      <c r="AI94" t="s">
        <v>2002</v>
      </c>
      <c r="AJ94">
        <v>2001</v>
      </c>
      <c r="AK94" t="s">
        <v>2319</v>
      </c>
      <c r="AU94" t="s">
        <v>59</v>
      </c>
      <c r="AX94" t="s">
        <v>3528</v>
      </c>
      <c r="AY94" t="s">
        <v>3523</v>
      </c>
    </row>
    <row r="95" spans="1:51" x14ac:dyDescent="0.25">
      <c r="A95" t="s">
        <v>2321</v>
      </c>
      <c r="B95" t="s">
        <v>1168</v>
      </c>
      <c r="C95" t="s">
        <v>1690</v>
      </c>
      <c r="E95">
        <v>1</v>
      </c>
      <c r="F95">
        <v>1</v>
      </c>
      <c r="H95" t="s">
        <v>1170</v>
      </c>
      <c r="I95" t="s">
        <v>1171</v>
      </c>
      <c r="J95" t="s">
        <v>1172</v>
      </c>
      <c r="K95" t="s">
        <v>1173</v>
      </c>
      <c r="L95" t="s">
        <v>1174</v>
      </c>
      <c r="N95" t="s">
        <v>50</v>
      </c>
      <c r="O95">
        <v>1</v>
      </c>
      <c r="Q95">
        <v>0</v>
      </c>
      <c r="R95">
        <v>0</v>
      </c>
      <c r="S95">
        <v>0</v>
      </c>
      <c r="T95">
        <v>0</v>
      </c>
      <c r="U95" s="20">
        <v>45930.601226851853</v>
      </c>
      <c r="V95" s="20">
        <v>46029.627314814818</v>
      </c>
      <c r="Z95" t="s">
        <v>1175</v>
      </c>
      <c r="AA95" t="s">
        <v>59</v>
      </c>
      <c r="AC95" t="s">
        <v>60</v>
      </c>
      <c r="AD95" t="s">
        <v>2301</v>
      </c>
      <c r="AE95" t="s">
        <v>2321</v>
      </c>
      <c r="AH95" t="s">
        <v>2302</v>
      </c>
      <c r="AI95" t="s">
        <v>2002</v>
      </c>
      <c r="AJ95">
        <v>4160</v>
      </c>
      <c r="AK95" t="s">
        <v>2322</v>
      </c>
      <c r="AU95" t="s">
        <v>59</v>
      </c>
      <c r="AX95" t="s">
        <v>3529</v>
      </c>
      <c r="AY95" t="s">
        <v>3523</v>
      </c>
    </row>
    <row r="96" spans="1:51" x14ac:dyDescent="0.25">
      <c r="A96" t="s">
        <v>2324</v>
      </c>
      <c r="B96" t="s">
        <v>1168</v>
      </c>
      <c r="C96" t="s">
        <v>1685</v>
      </c>
      <c r="E96">
        <v>1</v>
      </c>
      <c r="F96">
        <v>1</v>
      </c>
      <c r="H96" t="s">
        <v>1170</v>
      </c>
      <c r="I96" t="s">
        <v>1171</v>
      </c>
      <c r="J96" t="s">
        <v>1172</v>
      </c>
      <c r="K96" t="s">
        <v>1173</v>
      </c>
      <c r="L96" t="s">
        <v>1174</v>
      </c>
      <c r="N96" t="s">
        <v>50</v>
      </c>
      <c r="O96">
        <v>1</v>
      </c>
      <c r="Q96">
        <v>0</v>
      </c>
      <c r="R96">
        <v>0</v>
      </c>
      <c r="S96">
        <v>0</v>
      </c>
      <c r="T96">
        <v>0</v>
      </c>
      <c r="U96" s="20">
        <v>45930.601886574077</v>
      </c>
      <c r="V96" s="20">
        <v>46029.627337962964</v>
      </c>
      <c r="Z96" t="s">
        <v>1175</v>
      </c>
      <c r="AA96" t="s">
        <v>59</v>
      </c>
      <c r="AC96" t="s">
        <v>60</v>
      </c>
      <c r="AD96" t="s">
        <v>2301</v>
      </c>
      <c r="AE96" t="s">
        <v>2324</v>
      </c>
      <c r="AH96" t="s">
        <v>2302</v>
      </c>
      <c r="AI96" t="s">
        <v>2002</v>
      </c>
      <c r="AJ96">
        <v>2700</v>
      </c>
      <c r="AK96" t="s">
        <v>2325</v>
      </c>
      <c r="AU96" t="s">
        <v>59</v>
      </c>
      <c r="AX96" t="s">
        <v>3530</v>
      </c>
      <c r="AY96" t="s">
        <v>3523</v>
      </c>
    </row>
    <row r="97" spans="1:51" x14ac:dyDescent="0.25">
      <c r="A97" t="s">
        <v>2327</v>
      </c>
      <c r="B97" t="s">
        <v>1168</v>
      </c>
      <c r="C97" t="s">
        <v>1689</v>
      </c>
      <c r="E97">
        <v>1</v>
      </c>
      <c r="F97">
        <v>1</v>
      </c>
      <c r="H97" t="s">
        <v>1170</v>
      </c>
      <c r="I97" t="s">
        <v>1171</v>
      </c>
      <c r="J97" t="s">
        <v>1172</v>
      </c>
      <c r="K97" t="s">
        <v>1173</v>
      </c>
      <c r="L97" t="s">
        <v>1174</v>
      </c>
      <c r="N97" t="s">
        <v>50</v>
      </c>
      <c r="O97">
        <v>1</v>
      </c>
      <c r="Q97">
        <v>0</v>
      </c>
      <c r="R97">
        <v>0</v>
      </c>
      <c r="S97">
        <v>0</v>
      </c>
      <c r="T97">
        <v>0</v>
      </c>
      <c r="U97" s="20">
        <v>45930.607060185182</v>
      </c>
      <c r="V97" s="20">
        <v>46029.627314814818</v>
      </c>
      <c r="Z97" t="s">
        <v>1175</v>
      </c>
      <c r="AA97" t="s">
        <v>59</v>
      </c>
      <c r="AC97" t="s">
        <v>60</v>
      </c>
      <c r="AD97" t="s">
        <v>2301</v>
      </c>
      <c r="AE97" t="s">
        <v>2327</v>
      </c>
      <c r="AH97" t="s">
        <v>2302</v>
      </c>
      <c r="AI97" t="s">
        <v>2002</v>
      </c>
      <c r="AJ97">
        <v>2920</v>
      </c>
      <c r="AK97" t="s">
        <v>2328</v>
      </c>
      <c r="AU97" t="s">
        <v>59</v>
      </c>
      <c r="AX97" t="s">
        <v>3531</v>
      </c>
      <c r="AY97" t="s">
        <v>3523</v>
      </c>
    </row>
    <row r="98" spans="1:51" x14ac:dyDescent="0.25">
      <c r="A98" t="s">
        <v>2128</v>
      </c>
      <c r="B98" t="s">
        <v>1168</v>
      </c>
      <c r="C98" t="s">
        <v>1696</v>
      </c>
      <c r="E98">
        <v>1</v>
      </c>
      <c r="F98">
        <v>1</v>
      </c>
      <c r="H98" t="s">
        <v>1170</v>
      </c>
      <c r="I98" t="s">
        <v>1171</v>
      </c>
      <c r="J98" t="s">
        <v>1172</v>
      </c>
      <c r="K98" t="s">
        <v>1173</v>
      </c>
      <c r="L98" t="s">
        <v>1174</v>
      </c>
      <c r="N98" t="s">
        <v>50</v>
      </c>
      <c r="O98">
        <v>1</v>
      </c>
      <c r="Q98">
        <v>0</v>
      </c>
      <c r="R98">
        <v>0</v>
      </c>
      <c r="S98">
        <v>0</v>
      </c>
      <c r="T98">
        <v>0</v>
      </c>
      <c r="U98" s="20">
        <v>45930.627268518518</v>
      </c>
      <c r="V98" s="20">
        <v>46029.627291666664</v>
      </c>
      <c r="Z98" t="s">
        <v>1175</v>
      </c>
      <c r="AA98" t="s">
        <v>180</v>
      </c>
      <c r="AC98" t="s">
        <v>60</v>
      </c>
      <c r="AD98" t="s">
        <v>2128</v>
      </c>
      <c r="AH98" t="s">
        <v>2130</v>
      </c>
      <c r="AI98" t="s">
        <v>2002</v>
      </c>
      <c r="AJ98" t="s">
        <v>2002</v>
      </c>
      <c r="AK98" t="s">
        <v>2130</v>
      </c>
      <c r="AU98" t="s">
        <v>180</v>
      </c>
      <c r="AX98" t="s">
        <v>3511</v>
      </c>
      <c r="AY98" t="s">
        <v>3427</v>
      </c>
    </row>
    <row r="99" spans="1:51" x14ac:dyDescent="0.25">
      <c r="A99" t="s">
        <v>2290</v>
      </c>
      <c r="B99" t="s">
        <v>1168</v>
      </c>
      <c r="C99" t="s">
        <v>1765</v>
      </c>
      <c r="E99">
        <v>1</v>
      </c>
      <c r="F99">
        <v>1</v>
      </c>
      <c r="H99" t="s">
        <v>1170</v>
      </c>
      <c r="I99" t="s">
        <v>1171</v>
      </c>
      <c r="J99" t="s">
        <v>1172</v>
      </c>
      <c r="K99" t="s">
        <v>1173</v>
      </c>
      <c r="L99" t="s">
        <v>1174</v>
      </c>
      <c r="N99" t="s">
        <v>50</v>
      </c>
      <c r="O99">
        <v>1</v>
      </c>
      <c r="Q99">
        <v>0</v>
      </c>
      <c r="R99">
        <v>0</v>
      </c>
      <c r="S99">
        <v>0</v>
      </c>
      <c r="T99">
        <v>0</v>
      </c>
      <c r="U99" s="20">
        <v>45930.633611111109</v>
      </c>
      <c r="V99" s="20">
        <v>46029.866643518515</v>
      </c>
      <c r="Z99" t="s">
        <v>1175</v>
      </c>
      <c r="AA99" t="s">
        <v>180</v>
      </c>
      <c r="AC99" t="s">
        <v>60</v>
      </c>
      <c r="AD99" t="s">
        <v>2290</v>
      </c>
      <c r="AH99" t="s">
        <v>2291</v>
      </c>
      <c r="AI99" t="s">
        <v>2002</v>
      </c>
      <c r="AJ99" t="s">
        <v>2002</v>
      </c>
      <c r="AK99" t="s">
        <v>2291</v>
      </c>
      <c r="AU99" t="s">
        <v>180</v>
      </c>
      <c r="AX99" t="s">
        <v>3519</v>
      </c>
      <c r="AY99" t="s">
        <v>3525</v>
      </c>
    </row>
    <row r="100" spans="1:51" x14ac:dyDescent="0.25">
      <c r="A100" t="s">
        <v>2332</v>
      </c>
      <c r="B100" t="s">
        <v>1168</v>
      </c>
      <c r="C100" t="s">
        <v>1706</v>
      </c>
      <c r="E100">
        <v>1</v>
      </c>
      <c r="F100">
        <v>1</v>
      </c>
      <c r="H100" t="s">
        <v>1170</v>
      </c>
      <c r="I100" t="s">
        <v>1171</v>
      </c>
      <c r="J100" t="s">
        <v>1172</v>
      </c>
      <c r="K100" t="s">
        <v>1173</v>
      </c>
      <c r="L100" t="s">
        <v>1174</v>
      </c>
      <c r="N100" t="s">
        <v>50</v>
      </c>
      <c r="O100">
        <v>1</v>
      </c>
      <c r="Q100">
        <v>0</v>
      </c>
      <c r="R100">
        <v>0</v>
      </c>
      <c r="S100">
        <v>0</v>
      </c>
      <c r="T100">
        <v>0</v>
      </c>
      <c r="U100" s="20">
        <v>45930.656168981484</v>
      </c>
      <c r="V100" s="20">
        <v>46029.627303240741</v>
      </c>
      <c r="Z100" t="s">
        <v>1175</v>
      </c>
      <c r="AA100" t="s">
        <v>59</v>
      </c>
      <c r="AC100" t="s">
        <v>60</v>
      </c>
      <c r="AD100" t="s">
        <v>2128</v>
      </c>
      <c r="AE100" t="s">
        <v>2332</v>
      </c>
      <c r="AH100" t="s">
        <v>2130</v>
      </c>
      <c r="AI100" t="s">
        <v>2002</v>
      </c>
      <c r="AJ100">
        <v>1522</v>
      </c>
      <c r="AK100" t="s">
        <v>2333</v>
      </c>
      <c r="AU100" t="s">
        <v>59</v>
      </c>
      <c r="AX100" t="s">
        <v>3532</v>
      </c>
      <c r="AY100" t="s">
        <v>3511</v>
      </c>
    </row>
    <row r="101" spans="1:51" x14ac:dyDescent="0.25">
      <c r="A101" t="s">
        <v>2204</v>
      </c>
      <c r="B101" t="s">
        <v>1168</v>
      </c>
      <c r="C101" t="s">
        <v>1719</v>
      </c>
      <c r="E101">
        <v>1</v>
      </c>
      <c r="F101">
        <v>1</v>
      </c>
      <c r="H101" t="s">
        <v>1170</v>
      </c>
      <c r="I101" t="s">
        <v>1171</v>
      </c>
      <c r="J101" t="s">
        <v>1172</v>
      </c>
      <c r="K101" t="s">
        <v>1173</v>
      </c>
      <c r="L101" t="s">
        <v>1174</v>
      </c>
      <c r="N101" t="s">
        <v>50</v>
      </c>
      <c r="O101">
        <v>1</v>
      </c>
      <c r="Q101">
        <v>0</v>
      </c>
      <c r="R101">
        <v>0</v>
      </c>
      <c r="S101">
        <v>0</v>
      </c>
      <c r="T101">
        <v>0</v>
      </c>
      <c r="U101" s="20">
        <v>45930.657962962963</v>
      </c>
      <c r="V101" s="20">
        <v>46029.627337962964</v>
      </c>
      <c r="Z101" t="s">
        <v>1175</v>
      </c>
      <c r="AA101" t="s">
        <v>59</v>
      </c>
      <c r="AC101" t="s">
        <v>60</v>
      </c>
      <c r="AD101" t="s">
        <v>2118</v>
      </c>
      <c r="AE101" t="s">
        <v>2204</v>
      </c>
      <c r="AH101" t="s">
        <v>1988</v>
      </c>
      <c r="AI101" t="s">
        <v>2002</v>
      </c>
      <c r="AJ101">
        <v>5680</v>
      </c>
      <c r="AK101" t="s">
        <v>2335</v>
      </c>
      <c r="AU101" t="s">
        <v>59</v>
      </c>
      <c r="AX101" t="s">
        <v>3487</v>
      </c>
      <c r="AY101" t="s">
        <v>3493</v>
      </c>
    </row>
    <row r="102" spans="1:51" x14ac:dyDescent="0.25">
      <c r="A102" t="s">
        <v>2337</v>
      </c>
      <c r="B102" t="s">
        <v>1168</v>
      </c>
      <c r="C102" t="s">
        <v>1691</v>
      </c>
      <c r="E102">
        <v>1</v>
      </c>
      <c r="F102">
        <v>1</v>
      </c>
      <c r="H102" t="s">
        <v>1170</v>
      </c>
      <c r="I102" t="s">
        <v>1171</v>
      </c>
      <c r="J102" t="s">
        <v>1172</v>
      </c>
      <c r="K102" t="s">
        <v>1173</v>
      </c>
      <c r="L102" t="s">
        <v>1174</v>
      </c>
      <c r="N102" t="s">
        <v>50</v>
      </c>
      <c r="O102">
        <v>1</v>
      </c>
      <c r="Q102">
        <v>0</v>
      </c>
      <c r="R102">
        <v>0</v>
      </c>
      <c r="S102">
        <v>0</v>
      </c>
      <c r="T102">
        <v>0</v>
      </c>
      <c r="U102" s="20">
        <v>45930.687708333331</v>
      </c>
      <c r="V102" s="20">
        <v>46029.627337962964</v>
      </c>
      <c r="Z102" t="s">
        <v>1175</v>
      </c>
      <c r="AA102" t="s">
        <v>59</v>
      </c>
      <c r="AC102" t="s">
        <v>60</v>
      </c>
      <c r="AD102" t="s">
        <v>2301</v>
      </c>
      <c r="AE102" t="s">
        <v>2337</v>
      </c>
      <c r="AH102" t="s">
        <v>2302</v>
      </c>
      <c r="AI102" t="s">
        <v>2002</v>
      </c>
      <c r="AJ102">
        <v>3720</v>
      </c>
      <c r="AK102" t="s">
        <v>2338</v>
      </c>
      <c r="AU102" t="s">
        <v>59</v>
      </c>
      <c r="AX102" t="s">
        <v>3533</v>
      </c>
      <c r="AY102" t="s">
        <v>3523</v>
      </c>
    </row>
    <row r="103" spans="1:51" x14ac:dyDescent="0.25">
      <c r="A103" t="s">
        <v>2011</v>
      </c>
      <c r="B103" t="s">
        <v>1168</v>
      </c>
      <c r="C103" t="s">
        <v>1180</v>
      </c>
      <c r="E103">
        <v>1</v>
      </c>
      <c r="F103">
        <v>1</v>
      </c>
      <c r="H103" t="s">
        <v>1170</v>
      </c>
      <c r="I103" t="s">
        <v>1171</v>
      </c>
      <c r="J103" t="s">
        <v>1172</v>
      </c>
      <c r="K103" t="s">
        <v>1173</v>
      </c>
      <c r="L103" t="s">
        <v>1174</v>
      </c>
      <c r="N103" t="s">
        <v>50</v>
      </c>
      <c r="O103">
        <v>1</v>
      </c>
      <c r="Q103">
        <v>0</v>
      </c>
      <c r="R103">
        <v>0</v>
      </c>
      <c r="S103">
        <v>0</v>
      </c>
      <c r="T103">
        <v>0</v>
      </c>
      <c r="U103" s="20">
        <v>45936.484432870369</v>
      </c>
      <c r="V103" s="20">
        <v>46071.805335648147</v>
      </c>
      <c r="Z103" t="s">
        <v>1175</v>
      </c>
      <c r="AA103" t="s">
        <v>59</v>
      </c>
      <c r="AD103" t="s">
        <v>1999</v>
      </c>
      <c r="AE103" t="s">
        <v>2011</v>
      </c>
      <c r="AH103" t="s">
        <v>1179</v>
      </c>
      <c r="AI103" t="s">
        <v>2002</v>
      </c>
      <c r="AJ103">
        <v>1541</v>
      </c>
      <c r="AK103" t="s">
        <v>2340</v>
      </c>
      <c r="AU103" t="s">
        <v>59</v>
      </c>
      <c r="AX103" t="s">
        <v>3422</v>
      </c>
      <c r="AY103" t="s">
        <v>3426</v>
      </c>
    </row>
    <row r="104" spans="1:51" x14ac:dyDescent="0.25">
      <c r="A104" t="s">
        <v>1998</v>
      </c>
      <c r="B104" t="s">
        <v>1168</v>
      </c>
      <c r="C104" t="s">
        <v>1169</v>
      </c>
      <c r="E104">
        <v>1</v>
      </c>
      <c r="F104">
        <v>1</v>
      </c>
      <c r="H104" t="s">
        <v>1170</v>
      </c>
      <c r="I104" t="s">
        <v>1171</v>
      </c>
      <c r="J104" t="s">
        <v>1172</v>
      </c>
      <c r="K104" t="s">
        <v>1173</v>
      </c>
      <c r="L104" t="s">
        <v>1174</v>
      </c>
      <c r="N104" t="s">
        <v>50</v>
      </c>
      <c r="O104">
        <v>1</v>
      </c>
      <c r="Q104">
        <v>0</v>
      </c>
      <c r="R104">
        <v>0</v>
      </c>
      <c r="S104">
        <v>0</v>
      </c>
      <c r="T104">
        <v>0</v>
      </c>
      <c r="U104" s="20">
        <v>45936.493483796294</v>
      </c>
      <c r="V104" s="20">
        <v>46071.554074074076</v>
      </c>
      <c r="Z104" t="s">
        <v>1175</v>
      </c>
      <c r="AA104" t="s">
        <v>1176</v>
      </c>
      <c r="AH104" t="s">
        <v>2002</v>
      </c>
      <c r="AI104" t="s">
        <v>2002</v>
      </c>
      <c r="AJ104" t="s">
        <v>2002</v>
      </c>
      <c r="AK104" t="s">
        <v>2002</v>
      </c>
      <c r="AU104" t="s">
        <v>1176</v>
      </c>
      <c r="AX104" t="s">
        <v>3427</v>
      </c>
    </row>
    <row r="105" spans="1:51" x14ac:dyDescent="0.25">
      <c r="A105" t="s">
        <v>2006</v>
      </c>
      <c r="B105" t="s">
        <v>1168</v>
      </c>
      <c r="C105" t="s">
        <v>1192</v>
      </c>
      <c r="E105">
        <v>1</v>
      </c>
      <c r="F105">
        <v>1</v>
      </c>
      <c r="H105" t="s">
        <v>1170</v>
      </c>
      <c r="I105" t="s">
        <v>1171</v>
      </c>
      <c r="J105" t="s">
        <v>1172</v>
      </c>
      <c r="K105" t="s">
        <v>1173</v>
      </c>
      <c r="L105" t="s">
        <v>1174</v>
      </c>
      <c r="N105" t="s">
        <v>50</v>
      </c>
      <c r="O105">
        <v>1</v>
      </c>
      <c r="Q105">
        <v>0</v>
      </c>
      <c r="R105">
        <v>0</v>
      </c>
      <c r="S105">
        <v>0</v>
      </c>
      <c r="T105">
        <v>0</v>
      </c>
      <c r="U105" s="20">
        <v>45936.510277777779</v>
      </c>
      <c r="V105" s="20">
        <v>46071.80605324074</v>
      </c>
      <c r="Z105" t="s">
        <v>1175</v>
      </c>
      <c r="AA105" t="s">
        <v>59</v>
      </c>
      <c r="AD105" t="s">
        <v>1999</v>
      </c>
      <c r="AE105" t="s">
        <v>2006</v>
      </c>
      <c r="AH105" t="s">
        <v>1179</v>
      </c>
      <c r="AI105" t="s">
        <v>2002</v>
      </c>
      <c r="AJ105">
        <v>1543</v>
      </c>
      <c r="AK105" t="s">
        <v>2343</v>
      </c>
      <c r="AU105" t="s">
        <v>59</v>
      </c>
      <c r="AX105" t="s">
        <v>3438</v>
      </c>
      <c r="AY105" t="s">
        <v>3426</v>
      </c>
    </row>
    <row r="106" spans="1:51" x14ac:dyDescent="0.25">
      <c r="A106" t="s">
        <v>2000</v>
      </c>
      <c r="B106" t="s">
        <v>1168</v>
      </c>
      <c r="C106" t="s">
        <v>1221</v>
      </c>
      <c r="E106">
        <v>1</v>
      </c>
      <c r="F106">
        <v>1</v>
      </c>
      <c r="H106" t="s">
        <v>1170</v>
      </c>
      <c r="I106" t="s">
        <v>1171</v>
      </c>
      <c r="J106" t="s">
        <v>1172</v>
      </c>
      <c r="K106" t="s">
        <v>1173</v>
      </c>
      <c r="L106" t="s">
        <v>1174</v>
      </c>
      <c r="N106" t="s">
        <v>50</v>
      </c>
      <c r="O106">
        <v>1</v>
      </c>
      <c r="Q106">
        <v>0</v>
      </c>
      <c r="R106">
        <v>0</v>
      </c>
      <c r="S106">
        <v>0</v>
      </c>
      <c r="T106">
        <v>0</v>
      </c>
      <c r="U106" s="20">
        <v>45936.553900462961</v>
      </c>
      <c r="V106" s="20">
        <v>46029.627303240741</v>
      </c>
      <c r="Z106" t="s">
        <v>1175</v>
      </c>
      <c r="AA106" t="s">
        <v>59</v>
      </c>
      <c r="AD106" t="s">
        <v>1999</v>
      </c>
      <c r="AE106" t="s">
        <v>2000</v>
      </c>
      <c r="AH106" t="s">
        <v>1179</v>
      </c>
      <c r="AI106" t="s">
        <v>2002</v>
      </c>
      <c r="AJ106">
        <v>1542</v>
      </c>
      <c r="AK106" t="s">
        <v>2345</v>
      </c>
      <c r="AU106" t="s">
        <v>59</v>
      </c>
      <c r="AX106" t="s">
        <v>3418</v>
      </c>
      <c r="AY106" t="s">
        <v>3426</v>
      </c>
    </row>
    <row r="107" spans="1:51" x14ac:dyDescent="0.25">
      <c r="A107" t="s">
        <v>2106</v>
      </c>
      <c r="B107" t="s">
        <v>1168</v>
      </c>
      <c r="C107" t="s">
        <v>1209</v>
      </c>
      <c r="E107">
        <v>1</v>
      </c>
      <c r="F107">
        <v>1</v>
      </c>
      <c r="H107" t="s">
        <v>1170</v>
      </c>
      <c r="I107" t="s">
        <v>1171</v>
      </c>
      <c r="J107" t="s">
        <v>1172</v>
      </c>
      <c r="K107" t="s">
        <v>1173</v>
      </c>
      <c r="L107" t="s">
        <v>1174</v>
      </c>
      <c r="N107" t="s">
        <v>50</v>
      </c>
      <c r="O107">
        <v>1</v>
      </c>
      <c r="Q107">
        <v>0</v>
      </c>
      <c r="R107">
        <v>0</v>
      </c>
      <c r="S107">
        <v>0</v>
      </c>
      <c r="T107">
        <v>0</v>
      </c>
      <c r="U107" s="20">
        <v>45936.665833333333</v>
      </c>
      <c r="V107" s="20">
        <v>46032.872662037036</v>
      </c>
      <c r="Z107" t="s">
        <v>1175</v>
      </c>
      <c r="AA107" t="s">
        <v>45</v>
      </c>
      <c r="AD107" t="s">
        <v>2047</v>
      </c>
      <c r="AF107" t="s">
        <v>2106</v>
      </c>
      <c r="AH107" t="s">
        <v>2049</v>
      </c>
      <c r="AI107" t="s">
        <v>2032</v>
      </c>
      <c r="AJ107" t="s">
        <v>2050</v>
      </c>
      <c r="AK107" t="s">
        <v>2347</v>
      </c>
      <c r="AU107" t="s">
        <v>45</v>
      </c>
      <c r="AX107" t="s">
        <v>3464</v>
      </c>
      <c r="AY107" t="s">
        <v>3433</v>
      </c>
    </row>
    <row r="108" spans="1:51" x14ac:dyDescent="0.25">
      <c r="A108" t="s">
        <v>2349</v>
      </c>
      <c r="B108" t="s">
        <v>1168</v>
      </c>
      <c r="C108" t="s">
        <v>1213</v>
      </c>
      <c r="E108">
        <v>1</v>
      </c>
      <c r="F108">
        <v>1</v>
      </c>
      <c r="H108" t="s">
        <v>1170</v>
      </c>
      <c r="I108" t="s">
        <v>1171</v>
      </c>
      <c r="J108" t="s">
        <v>1172</v>
      </c>
      <c r="K108" t="s">
        <v>1173</v>
      </c>
      <c r="L108" t="s">
        <v>1174</v>
      </c>
      <c r="N108" t="s">
        <v>50</v>
      </c>
      <c r="O108">
        <v>1</v>
      </c>
      <c r="Q108">
        <v>0</v>
      </c>
      <c r="R108">
        <v>0</v>
      </c>
      <c r="S108">
        <v>0</v>
      </c>
      <c r="T108">
        <v>0</v>
      </c>
      <c r="U108" s="20">
        <v>45936.672222222223</v>
      </c>
      <c r="V108" s="20">
        <v>46032.872662037036</v>
      </c>
      <c r="Z108" t="s">
        <v>1175</v>
      </c>
      <c r="AA108" t="s">
        <v>45</v>
      </c>
      <c r="AD108" t="s">
        <v>2047</v>
      </c>
      <c r="AF108" t="s">
        <v>2349</v>
      </c>
      <c r="AH108" t="s">
        <v>2049</v>
      </c>
      <c r="AI108" t="s">
        <v>2067</v>
      </c>
      <c r="AJ108" t="s">
        <v>2050</v>
      </c>
      <c r="AK108" t="s">
        <v>2350</v>
      </c>
      <c r="AU108" t="s">
        <v>45</v>
      </c>
      <c r="AX108" t="s">
        <v>3534</v>
      </c>
      <c r="AY108" t="s">
        <v>3433</v>
      </c>
    </row>
    <row r="109" spans="1:51" x14ac:dyDescent="0.25">
      <c r="A109" t="s">
        <v>2055</v>
      </c>
      <c r="B109" t="s">
        <v>1168</v>
      </c>
      <c r="C109" t="s">
        <v>1230</v>
      </c>
      <c r="E109">
        <v>1</v>
      </c>
      <c r="F109">
        <v>1</v>
      </c>
      <c r="H109" t="s">
        <v>1170</v>
      </c>
      <c r="I109" t="s">
        <v>1171</v>
      </c>
      <c r="J109" t="s">
        <v>1172</v>
      </c>
      <c r="K109" t="s">
        <v>1173</v>
      </c>
      <c r="L109" t="s">
        <v>1174</v>
      </c>
      <c r="N109" t="s">
        <v>50</v>
      </c>
      <c r="O109">
        <v>1</v>
      </c>
      <c r="Q109">
        <v>0</v>
      </c>
      <c r="R109">
        <v>0</v>
      </c>
      <c r="S109">
        <v>0</v>
      </c>
      <c r="T109">
        <v>0</v>
      </c>
      <c r="U109" s="20">
        <v>45936.678136574075</v>
      </c>
      <c r="V109" s="20">
        <v>46071.554247685184</v>
      </c>
      <c r="Z109" t="s">
        <v>1175</v>
      </c>
      <c r="AA109" t="s">
        <v>59</v>
      </c>
      <c r="AD109" t="s">
        <v>1999</v>
      </c>
      <c r="AE109" t="s">
        <v>2055</v>
      </c>
      <c r="AH109" t="s">
        <v>1179</v>
      </c>
      <c r="AI109" t="s">
        <v>2002</v>
      </c>
      <c r="AJ109">
        <v>1544</v>
      </c>
      <c r="AK109" t="s">
        <v>2352</v>
      </c>
      <c r="AU109" t="s">
        <v>59</v>
      </c>
      <c r="AX109" t="s">
        <v>3435</v>
      </c>
      <c r="AY109" t="s">
        <v>3426</v>
      </c>
    </row>
    <row r="110" spans="1:51" x14ac:dyDescent="0.25">
      <c r="A110" t="s">
        <v>2248</v>
      </c>
      <c r="B110" t="s">
        <v>1168</v>
      </c>
      <c r="C110" t="s">
        <v>1260</v>
      </c>
      <c r="E110">
        <v>1</v>
      </c>
      <c r="F110">
        <v>1</v>
      </c>
      <c r="H110" t="s">
        <v>1170</v>
      </c>
      <c r="I110" t="s">
        <v>1171</v>
      </c>
      <c r="J110" t="s">
        <v>1172</v>
      </c>
      <c r="K110" t="s">
        <v>1173</v>
      </c>
      <c r="L110" t="s">
        <v>1174</v>
      </c>
      <c r="N110" t="s">
        <v>50</v>
      </c>
      <c r="O110">
        <v>1</v>
      </c>
      <c r="Q110">
        <v>0</v>
      </c>
      <c r="R110">
        <v>0</v>
      </c>
      <c r="S110">
        <v>0</v>
      </c>
      <c r="T110">
        <v>0</v>
      </c>
      <c r="U110" s="20">
        <v>45936.715462962966</v>
      </c>
      <c r="V110" s="20">
        <v>46029.627291666664</v>
      </c>
      <c r="Z110" t="s">
        <v>1175</v>
      </c>
      <c r="AA110" t="s">
        <v>180</v>
      </c>
      <c r="AC110" t="s">
        <v>60</v>
      </c>
      <c r="AD110" t="s">
        <v>2248</v>
      </c>
      <c r="AH110" t="s">
        <v>1261</v>
      </c>
      <c r="AI110" t="s">
        <v>2002</v>
      </c>
      <c r="AJ110" t="s">
        <v>2002</v>
      </c>
      <c r="AK110" t="s">
        <v>1261</v>
      </c>
      <c r="AU110" t="s">
        <v>180</v>
      </c>
      <c r="AX110" t="s">
        <v>3502</v>
      </c>
      <c r="AY110" t="s">
        <v>3427</v>
      </c>
    </row>
    <row r="111" spans="1:51" x14ac:dyDescent="0.25">
      <c r="A111" t="s">
        <v>2355</v>
      </c>
      <c r="B111" t="s">
        <v>1168</v>
      </c>
      <c r="C111" t="s">
        <v>1264</v>
      </c>
      <c r="E111">
        <v>1</v>
      </c>
      <c r="F111">
        <v>1</v>
      </c>
      <c r="H111" t="s">
        <v>1170</v>
      </c>
      <c r="I111" t="s">
        <v>1171</v>
      </c>
      <c r="J111" t="s">
        <v>1172</v>
      </c>
      <c r="K111" t="s">
        <v>1173</v>
      </c>
      <c r="L111" t="s">
        <v>1174</v>
      </c>
      <c r="N111" t="s">
        <v>50</v>
      </c>
      <c r="O111">
        <v>1</v>
      </c>
      <c r="Q111">
        <v>0</v>
      </c>
      <c r="R111">
        <v>0</v>
      </c>
      <c r="S111">
        <v>0</v>
      </c>
      <c r="T111">
        <v>0</v>
      </c>
      <c r="U111" s="20">
        <v>45936.721053240741</v>
      </c>
      <c r="V111" s="20">
        <v>46029.627291666664</v>
      </c>
      <c r="Z111" t="s">
        <v>1175</v>
      </c>
      <c r="AA111" t="s">
        <v>59</v>
      </c>
      <c r="AC111" t="s">
        <v>60</v>
      </c>
      <c r="AD111" t="s">
        <v>2248</v>
      </c>
      <c r="AE111" t="s">
        <v>2355</v>
      </c>
      <c r="AH111" t="s">
        <v>1261</v>
      </c>
      <c r="AI111" t="s">
        <v>2002</v>
      </c>
      <c r="AJ111">
        <v>1594</v>
      </c>
      <c r="AK111" t="s">
        <v>2356</v>
      </c>
      <c r="AU111" t="s">
        <v>59</v>
      </c>
      <c r="AX111" t="s">
        <v>3535</v>
      </c>
      <c r="AY111" t="s">
        <v>3502</v>
      </c>
    </row>
    <row r="112" spans="1:51" x14ac:dyDescent="0.25">
      <c r="A112" t="s">
        <v>2252</v>
      </c>
      <c r="B112" t="s">
        <v>1168</v>
      </c>
      <c r="C112" t="s">
        <v>1271</v>
      </c>
      <c r="E112">
        <v>1</v>
      </c>
      <c r="F112">
        <v>1</v>
      </c>
      <c r="H112" t="s">
        <v>1170</v>
      </c>
      <c r="I112" t="s">
        <v>1171</v>
      </c>
      <c r="J112" t="s">
        <v>1172</v>
      </c>
      <c r="K112" t="s">
        <v>1173</v>
      </c>
      <c r="L112" t="s">
        <v>1174</v>
      </c>
      <c r="N112" t="s">
        <v>50</v>
      </c>
      <c r="O112">
        <v>1</v>
      </c>
      <c r="Q112">
        <v>0</v>
      </c>
      <c r="R112">
        <v>0</v>
      </c>
      <c r="S112">
        <v>0</v>
      </c>
      <c r="T112">
        <v>0</v>
      </c>
      <c r="U112" s="20">
        <v>45936.722060185188</v>
      </c>
      <c r="V112" s="20">
        <v>46029.627291666664</v>
      </c>
      <c r="Z112" t="s">
        <v>1175</v>
      </c>
      <c r="AA112" t="s">
        <v>180</v>
      </c>
      <c r="AC112" t="s">
        <v>60</v>
      </c>
      <c r="AD112" t="s">
        <v>2252</v>
      </c>
      <c r="AH112" t="s">
        <v>1272</v>
      </c>
      <c r="AI112" t="s">
        <v>2002</v>
      </c>
      <c r="AJ112" t="s">
        <v>2002</v>
      </c>
      <c r="AK112" t="s">
        <v>1272</v>
      </c>
      <c r="AU112" t="s">
        <v>180</v>
      </c>
      <c r="AX112" t="s">
        <v>3504</v>
      </c>
      <c r="AY112" t="s">
        <v>3427</v>
      </c>
    </row>
    <row r="113" spans="1:51" x14ac:dyDescent="0.25">
      <c r="A113" t="s">
        <v>2359</v>
      </c>
      <c r="B113" t="s">
        <v>1168</v>
      </c>
      <c r="C113" t="s">
        <v>1263</v>
      </c>
      <c r="E113">
        <v>1</v>
      </c>
      <c r="F113">
        <v>1</v>
      </c>
      <c r="H113" t="s">
        <v>1170</v>
      </c>
      <c r="I113" t="s">
        <v>1171</v>
      </c>
      <c r="J113" t="s">
        <v>1172</v>
      </c>
      <c r="K113" t="s">
        <v>1173</v>
      </c>
      <c r="L113" t="s">
        <v>1174</v>
      </c>
      <c r="N113" t="s">
        <v>50</v>
      </c>
      <c r="O113">
        <v>1</v>
      </c>
      <c r="Q113">
        <v>0</v>
      </c>
      <c r="R113">
        <v>0</v>
      </c>
      <c r="S113">
        <v>0</v>
      </c>
      <c r="T113">
        <v>0</v>
      </c>
      <c r="U113" s="20">
        <v>45936.731446759259</v>
      </c>
      <c r="V113" s="20">
        <v>46029.627303240741</v>
      </c>
      <c r="Z113" t="s">
        <v>1175</v>
      </c>
      <c r="AA113" t="s">
        <v>59</v>
      </c>
      <c r="AC113" t="s">
        <v>60</v>
      </c>
      <c r="AD113" t="s">
        <v>2248</v>
      </c>
      <c r="AE113" t="s">
        <v>2359</v>
      </c>
      <c r="AH113" t="s">
        <v>1261</v>
      </c>
      <c r="AI113" t="s">
        <v>2002</v>
      </c>
      <c r="AJ113">
        <v>1591</v>
      </c>
      <c r="AK113" t="s">
        <v>2360</v>
      </c>
      <c r="AU113" t="s">
        <v>59</v>
      </c>
      <c r="AX113" t="s">
        <v>3536</v>
      </c>
      <c r="AY113" t="s">
        <v>3502</v>
      </c>
    </row>
    <row r="114" spans="1:51" x14ac:dyDescent="0.25">
      <c r="A114" t="s">
        <v>2362</v>
      </c>
      <c r="B114" t="s">
        <v>1168</v>
      </c>
      <c r="C114" t="s">
        <v>1265</v>
      </c>
      <c r="E114">
        <v>1</v>
      </c>
      <c r="F114">
        <v>1</v>
      </c>
      <c r="H114" t="s">
        <v>1170</v>
      </c>
      <c r="I114" t="s">
        <v>1171</v>
      </c>
      <c r="J114" t="s">
        <v>1172</v>
      </c>
      <c r="K114" t="s">
        <v>1173</v>
      </c>
      <c r="L114" t="s">
        <v>1174</v>
      </c>
      <c r="N114" t="s">
        <v>50</v>
      </c>
      <c r="O114">
        <v>1</v>
      </c>
      <c r="Q114">
        <v>0</v>
      </c>
      <c r="R114">
        <v>0</v>
      </c>
      <c r="S114">
        <v>0</v>
      </c>
      <c r="T114">
        <v>0</v>
      </c>
      <c r="U114" s="20">
        <v>45936.731458333335</v>
      </c>
      <c r="V114" s="20">
        <v>46029.627303240741</v>
      </c>
      <c r="Z114" t="s">
        <v>1175</v>
      </c>
      <c r="AA114" t="s">
        <v>59</v>
      </c>
      <c r="AC114" t="s">
        <v>60</v>
      </c>
      <c r="AD114" t="s">
        <v>2248</v>
      </c>
      <c r="AE114" t="s">
        <v>2362</v>
      </c>
      <c r="AH114" t="s">
        <v>1261</v>
      </c>
      <c r="AI114" t="s">
        <v>2002</v>
      </c>
      <c r="AJ114">
        <v>1595</v>
      </c>
      <c r="AK114" t="s">
        <v>2363</v>
      </c>
      <c r="AU114" t="s">
        <v>59</v>
      </c>
      <c r="AX114" t="s">
        <v>3537</v>
      </c>
      <c r="AY114" t="s">
        <v>3502</v>
      </c>
    </row>
    <row r="115" spans="1:51" x14ac:dyDescent="0.25">
      <c r="A115" t="s">
        <v>2365</v>
      </c>
      <c r="B115" t="s">
        <v>1168</v>
      </c>
      <c r="C115" t="s">
        <v>1266</v>
      </c>
      <c r="E115">
        <v>1</v>
      </c>
      <c r="F115">
        <v>1</v>
      </c>
      <c r="H115" t="s">
        <v>1170</v>
      </c>
      <c r="I115" t="s">
        <v>1171</v>
      </c>
      <c r="J115" t="s">
        <v>1172</v>
      </c>
      <c r="K115" t="s">
        <v>1173</v>
      </c>
      <c r="L115" t="s">
        <v>1174</v>
      </c>
      <c r="N115" t="s">
        <v>50</v>
      </c>
      <c r="O115">
        <v>1</v>
      </c>
      <c r="Q115">
        <v>0</v>
      </c>
      <c r="R115">
        <v>0</v>
      </c>
      <c r="S115">
        <v>0</v>
      </c>
      <c r="T115">
        <v>0</v>
      </c>
      <c r="U115" s="20">
        <v>45936.732534722221</v>
      </c>
      <c r="V115" s="20">
        <v>46029.627291666664</v>
      </c>
      <c r="Z115" t="s">
        <v>1175</v>
      </c>
      <c r="AA115" t="s">
        <v>59</v>
      </c>
      <c r="AC115" t="s">
        <v>60</v>
      </c>
      <c r="AD115" t="s">
        <v>2248</v>
      </c>
      <c r="AE115" t="s">
        <v>2365</v>
      </c>
      <c r="AH115" t="s">
        <v>1261</v>
      </c>
      <c r="AI115" t="s">
        <v>2002</v>
      </c>
      <c r="AJ115">
        <v>1593</v>
      </c>
      <c r="AK115" t="s">
        <v>2366</v>
      </c>
      <c r="AU115" t="s">
        <v>59</v>
      </c>
      <c r="AX115" t="s">
        <v>3538</v>
      </c>
      <c r="AY115" t="s">
        <v>3502</v>
      </c>
    </row>
    <row r="116" spans="1:51" x14ac:dyDescent="0.25">
      <c r="A116" t="s">
        <v>2368</v>
      </c>
      <c r="B116" t="s">
        <v>1168</v>
      </c>
      <c r="C116" t="s">
        <v>1267</v>
      </c>
      <c r="E116">
        <v>1</v>
      </c>
      <c r="F116">
        <v>1</v>
      </c>
      <c r="H116" t="s">
        <v>1170</v>
      </c>
      <c r="I116" t="s">
        <v>1171</v>
      </c>
      <c r="J116" t="s">
        <v>1172</v>
      </c>
      <c r="K116" t="s">
        <v>1173</v>
      </c>
      <c r="L116" t="s">
        <v>1174</v>
      </c>
      <c r="N116" t="s">
        <v>50</v>
      </c>
      <c r="O116">
        <v>1</v>
      </c>
      <c r="Q116">
        <v>0</v>
      </c>
      <c r="R116">
        <v>0</v>
      </c>
      <c r="S116">
        <v>0</v>
      </c>
      <c r="T116">
        <v>0</v>
      </c>
      <c r="U116" s="20">
        <v>45936.73332175926</v>
      </c>
      <c r="V116" s="20">
        <v>46029.627303240741</v>
      </c>
      <c r="Z116" t="s">
        <v>1175</v>
      </c>
      <c r="AA116" t="s">
        <v>59</v>
      </c>
      <c r="AC116" t="s">
        <v>60</v>
      </c>
      <c r="AD116" t="s">
        <v>2248</v>
      </c>
      <c r="AE116" t="s">
        <v>2368</v>
      </c>
      <c r="AH116" t="s">
        <v>1261</v>
      </c>
      <c r="AI116" t="s">
        <v>2002</v>
      </c>
      <c r="AJ116">
        <v>1596</v>
      </c>
      <c r="AK116" t="s">
        <v>2369</v>
      </c>
      <c r="AU116" t="s">
        <v>59</v>
      </c>
      <c r="AX116" t="s">
        <v>3539</v>
      </c>
      <c r="AY116" t="s">
        <v>3502</v>
      </c>
    </row>
    <row r="117" spans="1:51" x14ac:dyDescent="0.25">
      <c r="A117" t="s">
        <v>2371</v>
      </c>
      <c r="B117" t="s">
        <v>1168</v>
      </c>
      <c r="C117" t="s">
        <v>1274</v>
      </c>
      <c r="E117">
        <v>1</v>
      </c>
      <c r="F117">
        <v>1</v>
      </c>
      <c r="H117" t="s">
        <v>1170</v>
      </c>
      <c r="I117" t="s">
        <v>1171</v>
      </c>
      <c r="J117" t="s">
        <v>1172</v>
      </c>
      <c r="K117" t="s">
        <v>1173</v>
      </c>
      <c r="L117" t="s">
        <v>1174</v>
      </c>
      <c r="N117" t="s">
        <v>50</v>
      </c>
      <c r="O117">
        <v>1</v>
      </c>
      <c r="Q117">
        <v>0</v>
      </c>
      <c r="R117">
        <v>0</v>
      </c>
      <c r="S117">
        <v>0</v>
      </c>
      <c r="T117">
        <v>0</v>
      </c>
      <c r="U117" s="20">
        <v>45936.741863425923</v>
      </c>
      <c r="V117" s="20">
        <v>46029.627303240741</v>
      </c>
      <c r="Z117" t="s">
        <v>1175</v>
      </c>
      <c r="AA117" t="s">
        <v>59</v>
      </c>
      <c r="AC117" t="s">
        <v>60</v>
      </c>
      <c r="AD117" t="s">
        <v>2252</v>
      </c>
      <c r="AE117" t="s">
        <v>2371</v>
      </c>
      <c r="AH117" t="s">
        <v>1272</v>
      </c>
      <c r="AI117" s="22" t="s">
        <v>2002</v>
      </c>
      <c r="AJ117">
        <v>1582</v>
      </c>
      <c r="AK117" t="s">
        <v>2372</v>
      </c>
      <c r="AU117" t="s">
        <v>59</v>
      </c>
      <c r="AX117" t="s">
        <v>3540</v>
      </c>
      <c r="AY117" t="s">
        <v>3504</v>
      </c>
    </row>
    <row r="118" spans="1:51" x14ac:dyDescent="0.25">
      <c r="A118" t="s">
        <v>2374</v>
      </c>
      <c r="B118" t="s">
        <v>1168</v>
      </c>
      <c r="C118" t="s">
        <v>1278</v>
      </c>
      <c r="E118">
        <v>1</v>
      </c>
      <c r="F118">
        <v>1</v>
      </c>
      <c r="H118" t="s">
        <v>1170</v>
      </c>
      <c r="I118" t="s">
        <v>1171</v>
      </c>
      <c r="J118" t="s">
        <v>1172</v>
      </c>
      <c r="K118" t="s">
        <v>1173</v>
      </c>
      <c r="L118" t="s">
        <v>1174</v>
      </c>
      <c r="N118" t="s">
        <v>50</v>
      </c>
      <c r="O118">
        <v>1</v>
      </c>
      <c r="Q118">
        <v>0</v>
      </c>
      <c r="R118">
        <v>0</v>
      </c>
      <c r="S118">
        <v>0</v>
      </c>
      <c r="T118">
        <v>0</v>
      </c>
      <c r="U118" s="20">
        <v>45936.741863425923</v>
      </c>
      <c r="V118" s="20">
        <v>46029.627303240741</v>
      </c>
      <c r="Z118" t="s">
        <v>1175</v>
      </c>
      <c r="AA118" t="s">
        <v>59</v>
      </c>
      <c r="AC118" t="s">
        <v>60</v>
      </c>
      <c r="AD118" t="s">
        <v>2252</v>
      </c>
      <c r="AE118" t="s">
        <v>2374</v>
      </c>
      <c r="AH118" t="s">
        <v>1272</v>
      </c>
      <c r="AI118" t="s">
        <v>2002</v>
      </c>
      <c r="AJ118">
        <v>1586</v>
      </c>
      <c r="AK118" t="s">
        <v>2375</v>
      </c>
      <c r="AU118" t="s">
        <v>59</v>
      </c>
      <c r="AX118" t="s">
        <v>3541</v>
      </c>
      <c r="AY118" t="s">
        <v>3504</v>
      </c>
    </row>
    <row r="119" spans="1:51" x14ac:dyDescent="0.25">
      <c r="A119" t="s">
        <v>2377</v>
      </c>
      <c r="B119" t="s">
        <v>1168</v>
      </c>
      <c r="C119" t="s">
        <v>1277</v>
      </c>
      <c r="E119">
        <v>1</v>
      </c>
      <c r="F119">
        <v>1</v>
      </c>
      <c r="H119" t="s">
        <v>1170</v>
      </c>
      <c r="I119" t="s">
        <v>1171</v>
      </c>
      <c r="J119" t="s">
        <v>1172</v>
      </c>
      <c r="K119" t="s">
        <v>1173</v>
      </c>
      <c r="L119" t="s">
        <v>1174</v>
      </c>
      <c r="N119" t="s">
        <v>50</v>
      </c>
      <c r="O119">
        <v>1</v>
      </c>
      <c r="Q119">
        <v>0</v>
      </c>
      <c r="R119">
        <v>0</v>
      </c>
      <c r="S119">
        <v>0</v>
      </c>
      <c r="T119">
        <v>0</v>
      </c>
      <c r="U119" s="20">
        <v>45936.741863425923</v>
      </c>
      <c r="V119" s="20">
        <v>46029.627303240741</v>
      </c>
      <c r="Z119" t="s">
        <v>1175</v>
      </c>
      <c r="AA119" t="s">
        <v>59</v>
      </c>
      <c r="AC119" t="s">
        <v>60</v>
      </c>
      <c r="AD119" t="s">
        <v>2252</v>
      </c>
      <c r="AE119" t="s">
        <v>2377</v>
      </c>
      <c r="AH119" t="s">
        <v>1272</v>
      </c>
      <c r="AI119" t="s">
        <v>2002</v>
      </c>
      <c r="AJ119">
        <v>1587</v>
      </c>
      <c r="AK119" t="s">
        <v>2378</v>
      </c>
      <c r="AU119" t="s">
        <v>59</v>
      </c>
      <c r="AX119" t="s">
        <v>3542</v>
      </c>
      <c r="AY119" t="s">
        <v>3504</v>
      </c>
    </row>
    <row r="120" spans="1:51" x14ac:dyDescent="0.25">
      <c r="A120" t="s">
        <v>2380</v>
      </c>
      <c r="B120" t="s">
        <v>1168</v>
      </c>
      <c r="C120" t="s">
        <v>1276</v>
      </c>
      <c r="E120">
        <v>1</v>
      </c>
      <c r="F120">
        <v>1</v>
      </c>
      <c r="H120" t="s">
        <v>1170</v>
      </c>
      <c r="I120" t="s">
        <v>1171</v>
      </c>
      <c r="J120" t="s">
        <v>1172</v>
      </c>
      <c r="K120" t="s">
        <v>1173</v>
      </c>
      <c r="L120" t="s">
        <v>1174</v>
      </c>
      <c r="N120" t="s">
        <v>50</v>
      </c>
      <c r="O120">
        <v>1</v>
      </c>
      <c r="Q120">
        <v>0</v>
      </c>
      <c r="R120">
        <v>0</v>
      </c>
      <c r="S120">
        <v>0</v>
      </c>
      <c r="T120">
        <v>0</v>
      </c>
      <c r="U120" s="20">
        <v>45936.741875</v>
      </c>
      <c r="V120" s="20">
        <v>46029.627291666664</v>
      </c>
      <c r="Z120" t="s">
        <v>1175</v>
      </c>
      <c r="AA120" t="s">
        <v>59</v>
      </c>
      <c r="AC120" t="s">
        <v>60</v>
      </c>
      <c r="AD120" t="s">
        <v>2252</v>
      </c>
      <c r="AE120" t="s">
        <v>2380</v>
      </c>
      <c r="AH120" t="s">
        <v>1272</v>
      </c>
      <c r="AI120" t="s">
        <v>2002</v>
      </c>
      <c r="AJ120">
        <v>1584</v>
      </c>
      <c r="AK120" t="s">
        <v>2381</v>
      </c>
      <c r="AU120" t="s">
        <v>59</v>
      </c>
      <c r="AX120" t="s">
        <v>3543</v>
      </c>
      <c r="AY120" t="s">
        <v>3504</v>
      </c>
    </row>
    <row r="121" spans="1:51" x14ac:dyDescent="0.25">
      <c r="A121" t="s">
        <v>2383</v>
      </c>
      <c r="B121" t="s">
        <v>1168</v>
      </c>
      <c r="C121" t="s">
        <v>1280</v>
      </c>
      <c r="E121">
        <v>1</v>
      </c>
      <c r="F121">
        <v>1</v>
      </c>
      <c r="H121" t="s">
        <v>1170</v>
      </c>
      <c r="I121" t="s">
        <v>1171</v>
      </c>
      <c r="J121" t="s">
        <v>1172</v>
      </c>
      <c r="K121" t="s">
        <v>1173</v>
      </c>
      <c r="L121" t="s">
        <v>1174</v>
      </c>
      <c r="N121" t="s">
        <v>50</v>
      </c>
      <c r="O121">
        <v>1</v>
      </c>
      <c r="Q121">
        <v>0</v>
      </c>
      <c r="R121">
        <v>0</v>
      </c>
      <c r="S121">
        <v>0</v>
      </c>
      <c r="T121">
        <v>0</v>
      </c>
      <c r="U121" s="20">
        <v>45936.741875</v>
      </c>
      <c r="V121" s="20">
        <v>46029.627303240741</v>
      </c>
      <c r="Z121" t="s">
        <v>1175</v>
      </c>
      <c r="AA121" t="s">
        <v>59</v>
      </c>
      <c r="AC121" t="s">
        <v>60</v>
      </c>
      <c r="AD121" t="s">
        <v>2252</v>
      </c>
      <c r="AE121" t="s">
        <v>2383</v>
      </c>
      <c r="AH121" t="s">
        <v>1272</v>
      </c>
      <c r="AI121" s="22" t="s">
        <v>2002</v>
      </c>
      <c r="AJ121">
        <v>1588</v>
      </c>
      <c r="AK121" t="s">
        <v>2384</v>
      </c>
      <c r="AU121" t="s">
        <v>59</v>
      </c>
      <c r="AX121" t="s">
        <v>3544</v>
      </c>
      <c r="AY121" t="s">
        <v>3504</v>
      </c>
    </row>
    <row r="122" spans="1:51" x14ac:dyDescent="0.25">
      <c r="A122" t="s">
        <v>2386</v>
      </c>
      <c r="B122" t="s">
        <v>1168</v>
      </c>
      <c r="C122" t="s">
        <v>1275</v>
      </c>
      <c r="E122">
        <v>1</v>
      </c>
      <c r="F122">
        <v>1</v>
      </c>
      <c r="H122" t="s">
        <v>1170</v>
      </c>
      <c r="I122" t="s">
        <v>1171</v>
      </c>
      <c r="J122" t="s">
        <v>1172</v>
      </c>
      <c r="K122" t="s">
        <v>1173</v>
      </c>
      <c r="L122" t="s">
        <v>1174</v>
      </c>
      <c r="N122" t="s">
        <v>50</v>
      </c>
      <c r="O122">
        <v>1</v>
      </c>
      <c r="Q122">
        <v>0</v>
      </c>
      <c r="R122">
        <v>0</v>
      </c>
      <c r="S122">
        <v>0</v>
      </c>
      <c r="T122">
        <v>0</v>
      </c>
      <c r="U122" s="20">
        <v>45936.742893518516</v>
      </c>
      <c r="V122" s="20">
        <v>46029.627291666664</v>
      </c>
      <c r="Z122" t="s">
        <v>1175</v>
      </c>
      <c r="AA122" t="s">
        <v>59</v>
      </c>
      <c r="AC122" t="s">
        <v>60</v>
      </c>
      <c r="AD122" t="s">
        <v>2252</v>
      </c>
      <c r="AE122" t="s">
        <v>2386</v>
      </c>
      <c r="AH122" t="s">
        <v>1272</v>
      </c>
      <c r="AI122" t="s">
        <v>2002</v>
      </c>
      <c r="AJ122">
        <v>1581</v>
      </c>
      <c r="AK122" t="s">
        <v>2387</v>
      </c>
      <c r="AU122" t="s">
        <v>59</v>
      </c>
      <c r="AX122" t="s">
        <v>3545</v>
      </c>
      <c r="AY122" t="s">
        <v>3504</v>
      </c>
    </row>
    <row r="123" spans="1:51" x14ac:dyDescent="0.25">
      <c r="A123" t="s">
        <v>2389</v>
      </c>
      <c r="B123" t="s">
        <v>1168</v>
      </c>
      <c r="C123" t="s">
        <v>1299</v>
      </c>
      <c r="E123">
        <v>1</v>
      </c>
      <c r="F123">
        <v>1</v>
      </c>
      <c r="H123" t="s">
        <v>1170</v>
      </c>
      <c r="I123" t="s">
        <v>1171</v>
      </c>
      <c r="J123" t="s">
        <v>1172</v>
      </c>
      <c r="K123" t="s">
        <v>1173</v>
      </c>
      <c r="L123" t="s">
        <v>1174</v>
      </c>
      <c r="N123" t="s">
        <v>50</v>
      </c>
      <c r="O123">
        <v>1</v>
      </c>
      <c r="Q123">
        <v>0</v>
      </c>
      <c r="R123">
        <v>0</v>
      </c>
      <c r="S123">
        <v>0</v>
      </c>
      <c r="T123">
        <v>0</v>
      </c>
      <c r="U123" s="20">
        <v>45936.747094907405</v>
      </c>
      <c r="V123" s="20">
        <v>46030.017858796295</v>
      </c>
      <c r="Z123" t="s">
        <v>1175</v>
      </c>
      <c r="AA123" t="s">
        <v>59</v>
      </c>
      <c r="AC123" t="s">
        <v>60</v>
      </c>
      <c r="AD123" t="s">
        <v>2252</v>
      </c>
      <c r="AE123" t="s">
        <v>2389</v>
      </c>
      <c r="AH123" t="s">
        <v>1272</v>
      </c>
      <c r="AI123" t="s">
        <v>2002</v>
      </c>
      <c r="AJ123">
        <v>1571</v>
      </c>
      <c r="AK123" t="s">
        <v>2390</v>
      </c>
      <c r="AU123" t="s">
        <v>59</v>
      </c>
      <c r="AX123" t="s">
        <v>3546</v>
      </c>
      <c r="AY123" t="s">
        <v>3504</v>
      </c>
    </row>
    <row r="124" spans="1:51" x14ac:dyDescent="0.25">
      <c r="A124" t="s">
        <v>2392</v>
      </c>
      <c r="B124" t="s">
        <v>1168</v>
      </c>
      <c r="C124" t="s">
        <v>1300</v>
      </c>
      <c r="E124">
        <v>1</v>
      </c>
      <c r="F124">
        <v>1</v>
      </c>
      <c r="H124" t="s">
        <v>1170</v>
      </c>
      <c r="I124" t="s">
        <v>1171</v>
      </c>
      <c r="J124" t="s">
        <v>1172</v>
      </c>
      <c r="K124" t="s">
        <v>1173</v>
      </c>
      <c r="L124" t="s">
        <v>1174</v>
      </c>
      <c r="N124" t="s">
        <v>50</v>
      </c>
      <c r="O124">
        <v>1</v>
      </c>
      <c r="Q124">
        <v>0</v>
      </c>
      <c r="R124">
        <v>0</v>
      </c>
      <c r="S124">
        <v>0</v>
      </c>
      <c r="T124">
        <v>0</v>
      </c>
      <c r="U124" s="20">
        <v>45936.747094907405</v>
      </c>
      <c r="V124" s="20">
        <v>46030.017858796295</v>
      </c>
      <c r="Z124" t="s">
        <v>1175</v>
      </c>
      <c r="AA124" t="s">
        <v>59</v>
      </c>
      <c r="AC124" t="s">
        <v>60</v>
      </c>
      <c r="AD124" t="s">
        <v>2252</v>
      </c>
      <c r="AE124" t="s">
        <v>2392</v>
      </c>
      <c r="AH124" t="s">
        <v>1272</v>
      </c>
      <c r="AI124" t="s">
        <v>2002</v>
      </c>
      <c r="AJ124">
        <v>1572</v>
      </c>
      <c r="AK124" t="s">
        <v>2393</v>
      </c>
      <c r="AU124" t="s">
        <v>59</v>
      </c>
      <c r="AX124" t="s">
        <v>3547</v>
      </c>
      <c r="AY124" t="s">
        <v>3504</v>
      </c>
    </row>
    <row r="125" spans="1:51" x14ac:dyDescent="0.25">
      <c r="A125" t="s">
        <v>2395</v>
      </c>
      <c r="B125" t="s">
        <v>1168</v>
      </c>
      <c r="C125" t="s">
        <v>1303</v>
      </c>
      <c r="E125">
        <v>1</v>
      </c>
      <c r="F125">
        <v>1</v>
      </c>
      <c r="H125" t="s">
        <v>1170</v>
      </c>
      <c r="I125" t="s">
        <v>1171</v>
      </c>
      <c r="J125" t="s">
        <v>1172</v>
      </c>
      <c r="K125" t="s">
        <v>1173</v>
      </c>
      <c r="L125" t="s">
        <v>1174</v>
      </c>
      <c r="N125" t="s">
        <v>50</v>
      </c>
      <c r="O125">
        <v>1</v>
      </c>
      <c r="Q125">
        <v>0</v>
      </c>
      <c r="R125">
        <v>0</v>
      </c>
      <c r="S125">
        <v>0</v>
      </c>
      <c r="T125">
        <v>0</v>
      </c>
      <c r="U125" s="20">
        <v>45936.747094907405</v>
      </c>
      <c r="V125" s="20">
        <v>46030.017858796295</v>
      </c>
      <c r="Z125" t="s">
        <v>1175</v>
      </c>
      <c r="AA125" t="s">
        <v>59</v>
      </c>
      <c r="AC125" t="s">
        <v>60</v>
      </c>
      <c r="AD125" t="s">
        <v>2252</v>
      </c>
      <c r="AE125" t="s">
        <v>2395</v>
      </c>
      <c r="AH125" t="s">
        <v>1272</v>
      </c>
      <c r="AI125" t="s">
        <v>2002</v>
      </c>
      <c r="AJ125">
        <v>1575</v>
      </c>
      <c r="AK125" t="s">
        <v>2396</v>
      </c>
      <c r="AU125" t="s">
        <v>59</v>
      </c>
      <c r="AX125" t="s">
        <v>3548</v>
      </c>
      <c r="AY125" t="s">
        <v>3504</v>
      </c>
    </row>
    <row r="126" spans="1:51" x14ac:dyDescent="0.25">
      <c r="A126" t="s">
        <v>2398</v>
      </c>
      <c r="B126" t="s">
        <v>1168</v>
      </c>
      <c r="C126" t="s">
        <v>1302</v>
      </c>
      <c r="E126">
        <v>1</v>
      </c>
      <c r="F126">
        <v>1</v>
      </c>
      <c r="H126" t="s">
        <v>1170</v>
      </c>
      <c r="I126" t="s">
        <v>1171</v>
      </c>
      <c r="J126" t="s">
        <v>1172</v>
      </c>
      <c r="K126" t="s">
        <v>1173</v>
      </c>
      <c r="L126" t="s">
        <v>1174</v>
      </c>
      <c r="N126" t="s">
        <v>50</v>
      </c>
      <c r="O126">
        <v>1</v>
      </c>
      <c r="Q126">
        <v>0</v>
      </c>
      <c r="R126">
        <v>0</v>
      </c>
      <c r="S126">
        <v>0</v>
      </c>
      <c r="T126">
        <v>0</v>
      </c>
      <c r="U126" s="20">
        <v>45936.747094907405</v>
      </c>
      <c r="V126" s="20">
        <v>46030.017858796295</v>
      </c>
      <c r="Z126" t="s">
        <v>1175</v>
      </c>
      <c r="AA126" t="s">
        <v>59</v>
      </c>
      <c r="AC126" t="s">
        <v>60</v>
      </c>
      <c r="AD126" t="s">
        <v>2252</v>
      </c>
      <c r="AE126" t="s">
        <v>2398</v>
      </c>
      <c r="AH126" t="s">
        <v>1272</v>
      </c>
      <c r="AI126" t="s">
        <v>2002</v>
      </c>
      <c r="AJ126">
        <v>1574</v>
      </c>
      <c r="AK126" t="s">
        <v>2399</v>
      </c>
      <c r="AU126" t="s">
        <v>59</v>
      </c>
      <c r="AX126" t="s">
        <v>3549</v>
      </c>
      <c r="AY126" t="s">
        <v>3504</v>
      </c>
    </row>
    <row r="127" spans="1:51" x14ac:dyDescent="0.25">
      <c r="A127" t="s">
        <v>2401</v>
      </c>
      <c r="B127" t="s">
        <v>1168</v>
      </c>
      <c r="C127" t="s">
        <v>1301</v>
      </c>
      <c r="E127">
        <v>1</v>
      </c>
      <c r="F127">
        <v>1</v>
      </c>
      <c r="H127" t="s">
        <v>1170</v>
      </c>
      <c r="I127" t="s">
        <v>1171</v>
      </c>
      <c r="J127" t="s">
        <v>1172</v>
      </c>
      <c r="K127" t="s">
        <v>1173</v>
      </c>
      <c r="L127" t="s">
        <v>1174</v>
      </c>
      <c r="N127" t="s">
        <v>50</v>
      </c>
      <c r="O127">
        <v>1</v>
      </c>
      <c r="Q127">
        <v>0</v>
      </c>
      <c r="R127">
        <v>0</v>
      </c>
      <c r="S127">
        <v>0</v>
      </c>
      <c r="T127">
        <v>0</v>
      </c>
      <c r="U127" s="20">
        <v>45936.747094907405</v>
      </c>
      <c r="V127" s="20">
        <v>46030.017858796295</v>
      </c>
      <c r="Z127" t="s">
        <v>1175</v>
      </c>
      <c r="AA127" t="s">
        <v>59</v>
      </c>
      <c r="AC127" t="s">
        <v>60</v>
      </c>
      <c r="AD127" t="s">
        <v>2252</v>
      </c>
      <c r="AE127" t="s">
        <v>2401</v>
      </c>
      <c r="AH127" t="s">
        <v>1272</v>
      </c>
      <c r="AI127" t="s">
        <v>2002</v>
      </c>
      <c r="AJ127">
        <v>1573</v>
      </c>
      <c r="AK127" t="s">
        <v>2402</v>
      </c>
      <c r="AU127" t="s">
        <v>59</v>
      </c>
      <c r="AX127" t="s">
        <v>3550</v>
      </c>
      <c r="AY127" t="s">
        <v>3504</v>
      </c>
    </row>
    <row r="128" spans="1:51" x14ac:dyDescent="0.25">
      <c r="A128" t="s">
        <v>2404</v>
      </c>
      <c r="B128" t="s">
        <v>1168</v>
      </c>
      <c r="C128" t="s">
        <v>1679</v>
      </c>
      <c r="E128">
        <v>1</v>
      </c>
      <c r="F128">
        <v>1</v>
      </c>
      <c r="H128" t="s">
        <v>1170</v>
      </c>
      <c r="I128" t="s">
        <v>1171</v>
      </c>
      <c r="J128" t="s">
        <v>1172</v>
      </c>
      <c r="K128" t="s">
        <v>1173</v>
      </c>
      <c r="L128" t="s">
        <v>1174</v>
      </c>
      <c r="N128" t="s">
        <v>50</v>
      </c>
      <c r="O128">
        <v>1</v>
      </c>
      <c r="Q128">
        <v>0</v>
      </c>
      <c r="R128">
        <v>0</v>
      </c>
      <c r="S128">
        <v>0</v>
      </c>
      <c r="T128">
        <v>0</v>
      </c>
      <c r="U128" s="20">
        <v>45936.765717592592</v>
      </c>
      <c r="V128" s="20">
        <v>46029.627303240741</v>
      </c>
      <c r="Z128" t="s">
        <v>1175</v>
      </c>
      <c r="AA128" t="s">
        <v>59</v>
      </c>
      <c r="AC128" t="s">
        <v>60</v>
      </c>
      <c r="AD128" t="s">
        <v>2301</v>
      </c>
      <c r="AE128" t="s">
        <v>2404</v>
      </c>
      <c r="AH128" t="s">
        <v>2302</v>
      </c>
      <c r="AI128" t="s">
        <v>2002</v>
      </c>
      <c r="AJ128">
        <v>4000</v>
      </c>
      <c r="AK128" t="s">
        <v>2405</v>
      </c>
      <c r="AU128" t="s">
        <v>59</v>
      </c>
      <c r="AX128" t="s">
        <v>3551</v>
      </c>
      <c r="AY128" t="s">
        <v>3523</v>
      </c>
    </row>
    <row r="129" spans="1:51" x14ac:dyDescent="0.25">
      <c r="A129" t="s">
        <v>2118</v>
      </c>
      <c r="B129" t="s">
        <v>1168</v>
      </c>
      <c r="C129" t="s">
        <v>1710</v>
      </c>
      <c r="E129">
        <v>1</v>
      </c>
      <c r="F129">
        <v>1</v>
      </c>
      <c r="H129" t="s">
        <v>1170</v>
      </c>
      <c r="I129" t="s">
        <v>1171</v>
      </c>
      <c r="J129" t="s">
        <v>1172</v>
      </c>
      <c r="K129" t="s">
        <v>1173</v>
      </c>
      <c r="L129" t="s">
        <v>1174</v>
      </c>
      <c r="N129" t="s">
        <v>50</v>
      </c>
      <c r="O129">
        <v>1</v>
      </c>
      <c r="Q129">
        <v>0</v>
      </c>
      <c r="R129">
        <v>0</v>
      </c>
      <c r="S129">
        <v>0</v>
      </c>
      <c r="T129">
        <v>0</v>
      </c>
      <c r="U129" s="20">
        <v>45936.787847222222</v>
      </c>
      <c r="V129" s="20">
        <v>46029.627303240741</v>
      </c>
      <c r="Z129" t="s">
        <v>1175</v>
      </c>
      <c r="AA129" t="s">
        <v>180</v>
      </c>
      <c r="AC129" t="s">
        <v>60</v>
      </c>
      <c r="AD129" t="s">
        <v>2118</v>
      </c>
      <c r="AH129" t="s">
        <v>1988</v>
      </c>
      <c r="AI129" t="s">
        <v>2002</v>
      </c>
      <c r="AJ129" t="s">
        <v>2002</v>
      </c>
      <c r="AK129" t="s">
        <v>1988</v>
      </c>
      <c r="AU129" t="s">
        <v>180</v>
      </c>
      <c r="AX129" t="s">
        <v>3493</v>
      </c>
      <c r="AY129" t="s">
        <v>3427</v>
      </c>
    </row>
    <row r="130" spans="1:51" x14ac:dyDescent="0.25">
      <c r="A130" t="s">
        <v>2408</v>
      </c>
      <c r="B130" t="s">
        <v>1168</v>
      </c>
      <c r="C130" t="s">
        <v>1707</v>
      </c>
      <c r="E130">
        <v>1</v>
      </c>
      <c r="F130">
        <v>1</v>
      </c>
      <c r="H130" t="s">
        <v>1170</v>
      </c>
      <c r="I130" t="s">
        <v>1171</v>
      </c>
      <c r="J130" t="s">
        <v>1172</v>
      </c>
      <c r="K130" t="s">
        <v>1173</v>
      </c>
      <c r="L130" t="s">
        <v>1174</v>
      </c>
      <c r="N130" t="s">
        <v>50</v>
      </c>
      <c r="O130">
        <v>1</v>
      </c>
      <c r="Q130">
        <v>0</v>
      </c>
      <c r="R130">
        <v>0</v>
      </c>
      <c r="S130">
        <v>0</v>
      </c>
      <c r="T130">
        <v>0</v>
      </c>
      <c r="U130" s="20">
        <v>45936.800057870372</v>
      </c>
      <c r="V130" s="20">
        <v>46029.627291666664</v>
      </c>
      <c r="Z130" t="s">
        <v>1175</v>
      </c>
      <c r="AA130" t="s">
        <v>59</v>
      </c>
      <c r="AC130" t="s">
        <v>60</v>
      </c>
      <c r="AD130" t="s">
        <v>2128</v>
      </c>
      <c r="AE130" t="s">
        <v>2408</v>
      </c>
      <c r="AH130" t="s">
        <v>2130</v>
      </c>
      <c r="AI130" t="s">
        <v>2002</v>
      </c>
      <c r="AJ130">
        <v>1523</v>
      </c>
      <c r="AK130" t="s">
        <v>2409</v>
      </c>
      <c r="AU130" t="s">
        <v>59</v>
      </c>
      <c r="AX130" t="s">
        <v>3552</v>
      </c>
      <c r="AY130" t="s">
        <v>3511</v>
      </c>
    </row>
    <row r="131" spans="1:51" x14ac:dyDescent="0.25">
      <c r="A131" t="s">
        <v>2411</v>
      </c>
      <c r="B131" t="s">
        <v>1168</v>
      </c>
      <c r="C131" t="s">
        <v>1745</v>
      </c>
      <c r="E131">
        <v>1</v>
      </c>
      <c r="F131">
        <v>1</v>
      </c>
      <c r="H131" t="s">
        <v>1170</v>
      </c>
      <c r="I131" t="s">
        <v>1171</v>
      </c>
      <c r="J131" t="s">
        <v>1172</v>
      </c>
      <c r="K131" t="s">
        <v>1173</v>
      </c>
      <c r="L131" t="s">
        <v>1174</v>
      </c>
      <c r="N131" t="s">
        <v>50</v>
      </c>
      <c r="O131">
        <v>1</v>
      </c>
      <c r="Q131">
        <v>0</v>
      </c>
      <c r="R131">
        <v>0</v>
      </c>
      <c r="S131">
        <v>0</v>
      </c>
      <c r="T131">
        <v>0</v>
      </c>
      <c r="U131" s="20">
        <v>45936.804282407407</v>
      </c>
      <c r="V131" s="20">
        <v>46029.627303240741</v>
      </c>
      <c r="Z131" t="s">
        <v>1175</v>
      </c>
      <c r="AA131" t="s">
        <v>180</v>
      </c>
      <c r="AC131" t="s">
        <v>60</v>
      </c>
      <c r="AD131" t="s">
        <v>2411</v>
      </c>
      <c r="AH131" t="s">
        <v>1990</v>
      </c>
      <c r="AI131" t="s">
        <v>2002</v>
      </c>
      <c r="AJ131" t="s">
        <v>2002</v>
      </c>
      <c r="AK131" t="s">
        <v>1990</v>
      </c>
      <c r="AU131" t="s">
        <v>180</v>
      </c>
      <c r="AX131" t="s">
        <v>3553</v>
      </c>
      <c r="AY131" t="s">
        <v>3427</v>
      </c>
    </row>
    <row r="132" spans="1:51" x14ac:dyDescent="0.25">
      <c r="A132" t="s">
        <v>2413</v>
      </c>
      <c r="B132" t="s">
        <v>1168</v>
      </c>
      <c r="C132" t="s">
        <v>1754</v>
      </c>
      <c r="E132">
        <v>1</v>
      </c>
      <c r="F132">
        <v>1</v>
      </c>
      <c r="H132" t="s">
        <v>1170</v>
      </c>
      <c r="I132" t="s">
        <v>1171</v>
      </c>
      <c r="J132" t="s">
        <v>1172</v>
      </c>
      <c r="K132" t="s">
        <v>1173</v>
      </c>
      <c r="L132" t="s">
        <v>1174</v>
      </c>
      <c r="N132" t="s">
        <v>50</v>
      </c>
      <c r="O132">
        <v>1</v>
      </c>
      <c r="Q132">
        <v>0</v>
      </c>
      <c r="R132">
        <v>0</v>
      </c>
      <c r="S132">
        <v>0</v>
      </c>
      <c r="T132">
        <v>0</v>
      </c>
      <c r="U132" s="20">
        <v>45936.804490740738</v>
      </c>
      <c r="V132" s="20">
        <v>46029.627291666664</v>
      </c>
      <c r="Z132" t="s">
        <v>1175</v>
      </c>
      <c r="AA132" t="s">
        <v>180</v>
      </c>
      <c r="AC132" t="s">
        <v>60</v>
      </c>
      <c r="AD132" t="s">
        <v>2413</v>
      </c>
      <c r="AH132" t="s">
        <v>1989</v>
      </c>
      <c r="AI132" t="s">
        <v>2002</v>
      </c>
      <c r="AJ132" t="s">
        <v>2002</v>
      </c>
      <c r="AK132" t="s">
        <v>1989</v>
      </c>
      <c r="AU132" t="s">
        <v>180</v>
      </c>
      <c r="AX132" t="s">
        <v>3554</v>
      </c>
      <c r="AY132" t="s">
        <v>3427</v>
      </c>
    </row>
    <row r="133" spans="1:51" x14ac:dyDescent="0.25">
      <c r="A133" t="s">
        <v>2415</v>
      </c>
      <c r="B133" t="s">
        <v>1168</v>
      </c>
      <c r="C133" t="s">
        <v>1746</v>
      </c>
      <c r="E133">
        <v>1</v>
      </c>
      <c r="F133">
        <v>1</v>
      </c>
      <c r="H133" t="s">
        <v>1170</v>
      </c>
      <c r="I133" t="s">
        <v>1171</v>
      </c>
      <c r="J133" t="s">
        <v>1172</v>
      </c>
      <c r="K133" t="s">
        <v>1173</v>
      </c>
      <c r="L133" t="s">
        <v>1174</v>
      </c>
      <c r="N133" t="s">
        <v>50</v>
      </c>
      <c r="O133">
        <v>1</v>
      </c>
      <c r="Q133">
        <v>0</v>
      </c>
      <c r="R133">
        <v>0</v>
      </c>
      <c r="S133">
        <v>0</v>
      </c>
      <c r="T133">
        <v>0</v>
      </c>
      <c r="U133" s="20">
        <v>45936.805462962962</v>
      </c>
      <c r="V133" s="20">
        <v>46029.627314814818</v>
      </c>
      <c r="Z133" t="s">
        <v>1175</v>
      </c>
      <c r="AA133" t="s">
        <v>59</v>
      </c>
      <c r="AC133" t="s">
        <v>60</v>
      </c>
      <c r="AD133" t="s">
        <v>2411</v>
      </c>
      <c r="AE133" t="s">
        <v>2415</v>
      </c>
      <c r="AH133" t="s">
        <v>1990</v>
      </c>
      <c r="AI133" t="s">
        <v>2002</v>
      </c>
      <c r="AJ133">
        <v>1551</v>
      </c>
      <c r="AK133" t="s">
        <v>2416</v>
      </c>
      <c r="AU133" t="s">
        <v>59</v>
      </c>
      <c r="AX133" t="s">
        <v>3555</v>
      </c>
      <c r="AY133" t="s">
        <v>3553</v>
      </c>
    </row>
    <row r="134" spans="1:51" x14ac:dyDescent="0.25">
      <c r="A134" t="s">
        <v>2418</v>
      </c>
      <c r="B134" t="s">
        <v>1168</v>
      </c>
      <c r="C134" t="s">
        <v>1755</v>
      </c>
      <c r="E134">
        <v>1</v>
      </c>
      <c r="F134">
        <v>1</v>
      </c>
      <c r="H134" t="s">
        <v>1170</v>
      </c>
      <c r="I134" t="s">
        <v>1171</v>
      </c>
      <c r="J134" t="s">
        <v>1172</v>
      </c>
      <c r="K134" t="s">
        <v>1173</v>
      </c>
      <c r="L134" t="s">
        <v>1174</v>
      </c>
      <c r="N134" t="s">
        <v>50</v>
      </c>
      <c r="O134">
        <v>1</v>
      </c>
      <c r="Q134">
        <v>0</v>
      </c>
      <c r="R134">
        <v>0</v>
      </c>
      <c r="S134">
        <v>0</v>
      </c>
      <c r="T134">
        <v>0</v>
      </c>
      <c r="U134" s="20">
        <v>45936.805462962962</v>
      </c>
      <c r="V134" s="20">
        <v>46029.627303240741</v>
      </c>
      <c r="Z134" t="s">
        <v>1175</v>
      </c>
      <c r="AA134" t="s">
        <v>59</v>
      </c>
      <c r="AC134" t="s">
        <v>60</v>
      </c>
      <c r="AD134" t="s">
        <v>2413</v>
      </c>
      <c r="AE134" t="s">
        <v>2418</v>
      </c>
      <c r="AH134" t="s">
        <v>1989</v>
      </c>
      <c r="AI134" t="s">
        <v>2002</v>
      </c>
      <c r="AJ134">
        <v>1568</v>
      </c>
      <c r="AK134" t="s">
        <v>2419</v>
      </c>
      <c r="AU134" t="s">
        <v>59</v>
      </c>
      <c r="AX134" t="s">
        <v>3556</v>
      </c>
      <c r="AY134" t="s">
        <v>3554</v>
      </c>
    </row>
    <row r="135" spans="1:51" x14ac:dyDescent="0.25">
      <c r="A135" t="s">
        <v>2421</v>
      </c>
      <c r="B135" t="s">
        <v>1168</v>
      </c>
      <c r="C135" t="s">
        <v>1756</v>
      </c>
      <c r="E135">
        <v>1</v>
      </c>
      <c r="F135">
        <v>1</v>
      </c>
      <c r="H135" t="s">
        <v>1170</v>
      </c>
      <c r="I135" t="s">
        <v>1171</v>
      </c>
      <c r="J135" t="s">
        <v>1172</v>
      </c>
      <c r="K135" t="s">
        <v>1173</v>
      </c>
      <c r="L135" t="s">
        <v>1174</v>
      </c>
      <c r="N135" t="s">
        <v>50</v>
      </c>
      <c r="O135">
        <v>1</v>
      </c>
      <c r="Q135">
        <v>0</v>
      </c>
      <c r="R135">
        <v>0</v>
      </c>
      <c r="S135">
        <v>0</v>
      </c>
      <c r="T135">
        <v>0</v>
      </c>
      <c r="U135" s="20">
        <v>45936.805462962962</v>
      </c>
      <c r="V135" s="20">
        <v>46030.073981481481</v>
      </c>
      <c r="Z135" t="s">
        <v>1175</v>
      </c>
      <c r="AA135" t="s">
        <v>59</v>
      </c>
      <c r="AC135" t="s">
        <v>60</v>
      </c>
      <c r="AD135" t="s">
        <v>2413</v>
      </c>
      <c r="AE135" t="s">
        <v>2421</v>
      </c>
      <c r="AH135" t="s">
        <v>1989</v>
      </c>
      <c r="AI135" t="s">
        <v>2002</v>
      </c>
      <c r="AJ135">
        <v>1569</v>
      </c>
      <c r="AK135" t="s">
        <v>2422</v>
      </c>
      <c r="AU135" t="s">
        <v>59</v>
      </c>
      <c r="AX135" t="s">
        <v>3557</v>
      </c>
      <c r="AY135" t="s">
        <v>3554</v>
      </c>
    </row>
    <row r="136" spans="1:51" x14ac:dyDescent="0.25">
      <c r="A136" t="s">
        <v>2424</v>
      </c>
      <c r="B136" t="s">
        <v>1168</v>
      </c>
      <c r="C136" t="s">
        <v>1757</v>
      </c>
      <c r="E136">
        <v>1</v>
      </c>
      <c r="F136">
        <v>1</v>
      </c>
      <c r="H136" t="s">
        <v>1170</v>
      </c>
      <c r="I136" t="s">
        <v>1171</v>
      </c>
      <c r="J136" t="s">
        <v>1172</v>
      </c>
      <c r="K136" t="s">
        <v>1173</v>
      </c>
      <c r="L136" t="s">
        <v>1174</v>
      </c>
      <c r="N136" t="s">
        <v>50</v>
      </c>
      <c r="O136">
        <v>1</v>
      </c>
      <c r="Q136">
        <v>0</v>
      </c>
      <c r="R136">
        <v>0</v>
      </c>
      <c r="S136">
        <v>0</v>
      </c>
      <c r="T136">
        <v>0</v>
      </c>
      <c r="U136" s="20">
        <v>45936.812685185185</v>
      </c>
      <c r="V136" s="20">
        <v>46032.87295138889</v>
      </c>
      <c r="Z136" t="s">
        <v>1175</v>
      </c>
      <c r="AA136" t="s">
        <v>180</v>
      </c>
      <c r="AC136" t="s">
        <v>60</v>
      </c>
      <c r="AD136" t="s">
        <v>2424</v>
      </c>
      <c r="AH136" t="s">
        <v>2425</v>
      </c>
      <c r="AI136" t="s">
        <v>2002</v>
      </c>
      <c r="AJ136" t="s">
        <v>2002</v>
      </c>
      <c r="AK136" t="s">
        <v>2425</v>
      </c>
      <c r="AU136" t="s">
        <v>180</v>
      </c>
      <c r="AX136" t="s">
        <v>3558</v>
      </c>
      <c r="AY136" t="s">
        <v>3525</v>
      </c>
    </row>
    <row r="137" spans="1:51" x14ac:dyDescent="0.25">
      <c r="A137" t="s">
        <v>2427</v>
      </c>
      <c r="B137" t="s">
        <v>1168</v>
      </c>
      <c r="C137" t="s">
        <v>1758</v>
      </c>
      <c r="E137">
        <v>1</v>
      </c>
      <c r="F137">
        <v>1</v>
      </c>
      <c r="H137" t="s">
        <v>1170</v>
      </c>
      <c r="I137" t="s">
        <v>1171</v>
      </c>
      <c r="J137" t="s">
        <v>1172</v>
      </c>
      <c r="K137" t="s">
        <v>1173</v>
      </c>
      <c r="L137" t="s">
        <v>1174</v>
      </c>
      <c r="N137" t="s">
        <v>50</v>
      </c>
      <c r="O137">
        <v>1</v>
      </c>
      <c r="Q137">
        <v>0</v>
      </c>
      <c r="R137">
        <v>0</v>
      </c>
      <c r="S137">
        <v>0</v>
      </c>
      <c r="T137">
        <v>0</v>
      </c>
      <c r="U137" s="20">
        <v>45936.813773148147</v>
      </c>
      <c r="V137" s="20">
        <v>46030.010717592595</v>
      </c>
      <c r="Z137" t="s">
        <v>1175</v>
      </c>
      <c r="AA137" t="s">
        <v>59</v>
      </c>
      <c r="AC137" t="s">
        <v>60</v>
      </c>
      <c r="AD137" t="s">
        <v>2259</v>
      </c>
      <c r="AE137" t="s">
        <v>2427</v>
      </c>
      <c r="AH137" t="s">
        <v>1667</v>
      </c>
      <c r="AI137" t="s">
        <v>2002</v>
      </c>
      <c r="AJ137">
        <v>1562</v>
      </c>
      <c r="AK137" t="s">
        <v>2428</v>
      </c>
      <c r="AU137" t="s">
        <v>59</v>
      </c>
      <c r="AX137" t="s">
        <v>3559</v>
      </c>
      <c r="AY137" t="s">
        <v>3507</v>
      </c>
    </row>
    <row r="138" spans="1:51" x14ac:dyDescent="0.25">
      <c r="A138" t="s">
        <v>2216</v>
      </c>
      <c r="B138" t="s">
        <v>1168</v>
      </c>
      <c r="C138" t="s">
        <v>1725</v>
      </c>
      <c r="E138">
        <v>1</v>
      </c>
      <c r="F138">
        <v>1</v>
      </c>
      <c r="H138" t="s">
        <v>1170</v>
      </c>
      <c r="I138" t="s">
        <v>1171</v>
      </c>
      <c r="J138" t="s">
        <v>1172</v>
      </c>
      <c r="K138" t="s">
        <v>1173</v>
      </c>
      <c r="L138" t="s">
        <v>1174</v>
      </c>
      <c r="N138" t="s">
        <v>50</v>
      </c>
      <c r="O138">
        <v>1</v>
      </c>
      <c r="Q138">
        <v>0</v>
      </c>
      <c r="R138">
        <v>0</v>
      </c>
      <c r="S138">
        <v>0</v>
      </c>
      <c r="T138">
        <v>0</v>
      </c>
      <c r="U138" s="20">
        <v>45936.828842592593</v>
      </c>
      <c r="V138" s="20">
        <v>46029.627314814818</v>
      </c>
      <c r="Z138" t="s">
        <v>1175</v>
      </c>
      <c r="AA138" t="s">
        <v>59</v>
      </c>
      <c r="AC138" t="s">
        <v>60</v>
      </c>
      <c r="AD138" t="s">
        <v>2118</v>
      </c>
      <c r="AE138" t="s">
        <v>2216</v>
      </c>
      <c r="AH138" t="s">
        <v>1988</v>
      </c>
      <c r="AI138" t="s">
        <v>2002</v>
      </c>
      <c r="AJ138">
        <v>5670</v>
      </c>
      <c r="AK138" t="s">
        <v>2430</v>
      </c>
      <c r="AU138" t="s">
        <v>59</v>
      </c>
      <c r="AX138" t="s">
        <v>3492</v>
      </c>
      <c r="AY138" t="s">
        <v>3493</v>
      </c>
    </row>
    <row r="139" spans="1:51" x14ac:dyDescent="0.25">
      <c r="A139" t="s">
        <v>2432</v>
      </c>
      <c r="B139" t="s">
        <v>1168</v>
      </c>
      <c r="C139" t="s">
        <v>1769</v>
      </c>
      <c r="E139">
        <v>1</v>
      </c>
      <c r="F139">
        <v>1</v>
      </c>
      <c r="H139" t="s">
        <v>1170</v>
      </c>
      <c r="I139" t="s">
        <v>1171</v>
      </c>
      <c r="J139" t="s">
        <v>1172</v>
      </c>
      <c r="K139" t="s">
        <v>1173</v>
      </c>
      <c r="L139" t="s">
        <v>1174</v>
      </c>
      <c r="N139" t="s">
        <v>50</v>
      </c>
      <c r="O139">
        <v>1</v>
      </c>
      <c r="Q139">
        <v>0</v>
      </c>
      <c r="R139">
        <v>0</v>
      </c>
      <c r="S139">
        <v>0</v>
      </c>
      <c r="T139">
        <v>0</v>
      </c>
      <c r="U139" s="20">
        <v>45945.788784722223</v>
      </c>
      <c r="V139" s="20">
        <v>46029.627291666664</v>
      </c>
      <c r="Z139" t="s">
        <v>1175</v>
      </c>
      <c r="AA139" t="s">
        <v>59</v>
      </c>
      <c r="AC139" t="s">
        <v>60</v>
      </c>
      <c r="AD139" t="s">
        <v>2290</v>
      </c>
      <c r="AE139" t="s">
        <v>2432</v>
      </c>
      <c r="AH139" t="s">
        <v>2291</v>
      </c>
      <c r="AI139" t="s">
        <v>2002</v>
      </c>
      <c r="AJ139">
        <v>1304</v>
      </c>
      <c r="AK139" t="s">
        <v>2433</v>
      </c>
      <c r="AU139" t="s">
        <v>59</v>
      </c>
      <c r="AX139" t="s">
        <v>3560</v>
      </c>
      <c r="AY139" t="s">
        <v>3519</v>
      </c>
    </row>
    <row r="140" spans="1:51" x14ac:dyDescent="0.25">
      <c r="A140" t="s">
        <v>2435</v>
      </c>
      <c r="B140" t="s">
        <v>1168</v>
      </c>
      <c r="C140" t="s">
        <v>1239</v>
      </c>
      <c r="E140">
        <v>1</v>
      </c>
      <c r="F140">
        <v>1</v>
      </c>
      <c r="H140" t="s">
        <v>1170</v>
      </c>
      <c r="I140" t="s">
        <v>1171</v>
      </c>
      <c r="J140" t="s">
        <v>1172</v>
      </c>
      <c r="K140" t="s">
        <v>1173</v>
      </c>
      <c r="L140" t="s">
        <v>1174</v>
      </c>
      <c r="N140" t="s">
        <v>50</v>
      </c>
      <c r="O140">
        <v>1</v>
      </c>
      <c r="Q140">
        <v>0</v>
      </c>
      <c r="R140">
        <v>0</v>
      </c>
      <c r="S140">
        <v>0</v>
      </c>
      <c r="T140">
        <v>0</v>
      </c>
      <c r="U140" s="20">
        <v>45965.873819444445</v>
      </c>
      <c r="V140" s="20">
        <v>46029.627349537041</v>
      </c>
      <c r="Z140" t="s">
        <v>1175</v>
      </c>
      <c r="AA140" t="s">
        <v>45</v>
      </c>
      <c r="AD140" t="s">
        <v>1999</v>
      </c>
      <c r="AE140" t="s">
        <v>2055</v>
      </c>
      <c r="AF140" t="s">
        <v>2435</v>
      </c>
      <c r="AH140" t="s">
        <v>1179</v>
      </c>
      <c r="AI140" t="s">
        <v>2436</v>
      </c>
      <c r="AJ140">
        <v>1544</v>
      </c>
      <c r="AK140" t="s">
        <v>2437</v>
      </c>
      <c r="AU140" t="s">
        <v>45</v>
      </c>
      <c r="AX140" t="s">
        <v>3561</v>
      </c>
      <c r="AY140" t="s">
        <v>3435</v>
      </c>
    </row>
    <row r="141" spans="1:51" x14ac:dyDescent="0.25">
      <c r="A141" t="s">
        <v>2963</v>
      </c>
      <c r="B141" t="s">
        <v>1168</v>
      </c>
      <c r="C141" t="s">
        <v>1240</v>
      </c>
      <c r="E141">
        <v>1</v>
      </c>
      <c r="F141">
        <v>1</v>
      </c>
      <c r="H141" t="s">
        <v>1170</v>
      </c>
      <c r="I141" t="s">
        <v>1171</v>
      </c>
      <c r="J141" t="s">
        <v>1172</v>
      </c>
      <c r="K141" t="s">
        <v>1173</v>
      </c>
      <c r="L141" t="s">
        <v>1174</v>
      </c>
      <c r="N141" t="s">
        <v>50</v>
      </c>
      <c r="O141">
        <v>1</v>
      </c>
      <c r="Q141">
        <v>0</v>
      </c>
      <c r="R141">
        <v>0</v>
      </c>
      <c r="S141">
        <v>0</v>
      </c>
      <c r="T141">
        <v>0</v>
      </c>
      <c r="U141" s="20">
        <v>45967.006469907406</v>
      </c>
      <c r="V141" s="20">
        <v>46051.070451388892</v>
      </c>
      <c r="Z141" t="s">
        <v>1175</v>
      </c>
      <c r="AA141" t="s">
        <v>45</v>
      </c>
      <c r="AD141" t="s">
        <v>2047</v>
      </c>
      <c r="AF141" t="s">
        <v>2963</v>
      </c>
      <c r="AH141" t="s">
        <v>2049</v>
      </c>
      <c r="AI141" t="s">
        <v>2439</v>
      </c>
      <c r="AJ141" t="s">
        <v>2050</v>
      </c>
      <c r="AK141" t="s">
        <v>2440</v>
      </c>
      <c r="AU141" t="s">
        <v>45</v>
      </c>
      <c r="AX141" t="s">
        <v>3562</v>
      </c>
      <c r="AY141" t="s">
        <v>3433</v>
      </c>
    </row>
    <row r="142" spans="1:51" x14ac:dyDescent="0.25">
      <c r="A142" t="s">
        <v>2442</v>
      </c>
      <c r="B142" t="s">
        <v>1168</v>
      </c>
      <c r="C142" t="s">
        <v>1242</v>
      </c>
      <c r="E142">
        <v>1</v>
      </c>
      <c r="F142">
        <v>1</v>
      </c>
      <c r="H142" t="s">
        <v>1170</v>
      </c>
      <c r="I142" t="s">
        <v>1171</v>
      </c>
      <c r="J142" t="s">
        <v>1172</v>
      </c>
      <c r="K142" t="s">
        <v>1173</v>
      </c>
      <c r="L142" t="s">
        <v>1174</v>
      </c>
      <c r="N142" t="s">
        <v>50</v>
      </c>
      <c r="O142">
        <v>1</v>
      </c>
      <c r="Q142">
        <v>0</v>
      </c>
      <c r="R142">
        <v>0</v>
      </c>
      <c r="S142">
        <v>0</v>
      </c>
      <c r="T142">
        <v>0</v>
      </c>
      <c r="U142" s="20">
        <v>45967.021701388891</v>
      </c>
      <c r="V142" s="20">
        <v>46029.627337962964</v>
      </c>
      <c r="Z142" t="s">
        <v>1175</v>
      </c>
      <c r="AA142" t="s">
        <v>45</v>
      </c>
      <c r="AD142" t="s">
        <v>1999</v>
      </c>
      <c r="AE142" t="s">
        <v>2055</v>
      </c>
      <c r="AF142" t="s">
        <v>2442</v>
      </c>
      <c r="AH142" t="s">
        <v>1179</v>
      </c>
      <c r="AI142" t="s">
        <v>2443</v>
      </c>
      <c r="AJ142">
        <v>1544</v>
      </c>
      <c r="AK142" t="s">
        <v>2444</v>
      </c>
      <c r="AU142" t="s">
        <v>45</v>
      </c>
      <c r="AX142" t="s">
        <v>3563</v>
      </c>
      <c r="AY142" t="s">
        <v>3435</v>
      </c>
    </row>
    <row r="143" spans="1:51" x14ac:dyDescent="0.25">
      <c r="A143" t="s">
        <v>2964</v>
      </c>
      <c r="B143" t="s">
        <v>1168</v>
      </c>
      <c r="C143" t="s">
        <v>1253</v>
      </c>
      <c r="E143">
        <v>1</v>
      </c>
      <c r="F143">
        <v>1</v>
      </c>
      <c r="H143" t="s">
        <v>1170</v>
      </c>
      <c r="I143" t="s">
        <v>1171</v>
      </c>
      <c r="J143" t="s">
        <v>1172</v>
      </c>
      <c r="K143" t="s">
        <v>1173</v>
      </c>
      <c r="L143" t="s">
        <v>1174</v>
      </c>
      <c r="N143" t="s">
        <v>50</v>
      </c>
      <c r="O143">
        <v>1</v>
      </c>
      <c r="Q143">
        <v>0</v>
      </c>
      <c r="R143">
        <v>0</v>
      </c>
      <c r="S143">
        <v>0</v>
      </c>
      <c r="T143">
        <v>0</v>
      </c>
      <c r="U143" s="20">
        <v>45987.946701388886</v>
      </c>
      <c r="V143" s="20">
        <v>46051.077685185184</v>
      </c>
      <c r="Z143" t="s">
        <v>1175</v>
      </c>
      <c r="AA143" t="s">
        <v>315</v>
      </c>
      <c r="AD143" t="s">
        <v>2047</v>
      </c>
      <c r="AF143" t="s">
        <v>2446</v>
      </c>
      <c r="AG143" t="s">
        <v>2964</v>
      </c>
      <c r="AH143" t="s">
        <v>2049</v>
      </c>
      <c r="AI143" t="s">
        <v>2012</v>
      </c>
      <c r="AJ143" t="s">
        <v>2050</v>
      </c>
      <c r="AK143" t="s">
        <v>2447</v>
      </c>
      <c r="AU143" t="s">
        <v>315</v>
      </c>
      <c r="AX143" t="s">
        <v>3564</v>
      </c>
      <c r="AY143" t="s">
        <v>3565</v>
      </c>
    </row>
    <row r="144" spans="1:51" x14ac:dyDescent="0.25">
      <c r="A144" t="s">
        <v>2449</v>
      </c>
      <c r="B144" t="s">
        <v>1168</v>
      </c>
      <c r="C144" t="s">
        <v>1254</v>
      </c>
      <c r="E144">
        <v>1</v>
      </c>
      <c r="F144">
        <v>1</v>
      </c>
      <c r="H144" t="s">
        <v>1170</v>
      </c>
      <c r="I144" t="s">
        <v>1171</v>
      </c>
      <c r="J144" t="s">
        <v>1172</v>
      </c>
      <c r="K144" t="s">
        <v>1173</v>
      </c>
      <c r="L144" t="s">
        <v>1174</v>
      </c>
      <c r="N144" t="s">
        <v>50</v>
      </c>
      <c r="O144">
        <v>1</v>
      </c>
      <c r="Q144">
        <v>0</v>
      </c>
      <c r="R144">
        <v>0</v>
      </c>
      <c r="S144">
        <v>0</v>
      </c>
      <c r="T144">
        <v>0</v>
      </c>
      <c r="U144" s="20">
        <v>45987.947291666664</v>
      </c>
      <c r="V144" s="20">
        <v>46032.872662037036</v>
      </c>
      <c r="Z144" t="s">
        <v>1175</v>
      </c>
      <c r="AA144" t="s">
        <v>315</v>
      </c>
      <c r="AD144" t="s">
        <v>2047</v>
      </c>
      <c r="AF144" t="s">
        <v>2446</v>
      </c>
      <c r="AG144" t="s">
        <v>2449</v>
      </c>
      <c r="AH144" t="s">
        <v>2049</v>
      </c>
      <c r="AI144" t="s">
        <v>2012</v>
      </c>
      <c r="AJ144" t="s">
        <v>2050</v>
      </c>
      <c r="AK144" t="s">
        <v>2450</v>
      </c>
      <c r="AU144" t="s">
        <v>315</v>
      </c>
      <c r="AX144" t="s">
        <v>3566</v>
      </c>
      <c r="AY144" t="s">
        <v>3565</v>
      </c>
    </row>
    <row r="145" spans="1:51" x14ac:dyDescent="0.25">
      <c r="A145" t="s">
        <v>2965</v>
      </c>
      <c r="B145" t="s">
        <v>1168</v>
      </c>
      <c r="C145" t="s">
        <v>1252</v>
      </c>
      <c r="E145">
        <v>1</v>
      </c>
      <c r="F145">
        <v>1</v>
      </c>
      <c r="H145" t="s">
        <v>1170</v>
      </c>
      <c r="I145" t="s">
        <v>1171</v>
      </c>
      <c r="J145" t="s">
        <v>1172</v>
      </c>
      <c r="K145" t="s">
        <v>1173</v>
      </c>
      <c r="L145" t="s">
        <v>1174</v>
      </c>
      <c r="N145" t="s">
        <v>50</v>
      </c>
      <c r="O145">
        <v>1</v>
      </c>
      <c r="Q145">
        <v>0</v>
      </c>
      <c r="R145">
        <v>0</v>
      </c>
      <c r="S145">
        <v>0</v>
      </c>
      <c r="T145">
        <v>0</v>
      </c>
      <c r="U145" s="20">
        <v>45987.947546296295</v>
      </c>
      <c r="V145" s="20">
        <v>46051.076550925929</v>
      </c>
      <c r="Z145" t="s">
        <v>1175</v>
      </c>
      <c r="AA145" t="s">
        <v>315</v>
      </c>
      <c r="AD145" t="s">
        <v>2047</v>
      </c>
      <c r="AF145" t="s">
        <v>2446</v>
      </c>
      <c r="AG145" t="s">
        <v>2965</v>
      </c>
      <c r="AH145" t="s">
        <v>2049</v>
      </c>
      <c r="AI145" t="s">
        <v>2012</v>
      </c>
      <c r="AJ145" t="s">
        <v>2050</v>
      </c>
      <c r="AK145" t="s">
        <v>2452</v>
      </c>
      <c r="AU145" t="s">
        <v>315</v>
      </c>
      <c r="AX145" t="s">
        <v>3567</v>
      </c>
      <c r="AY145" t="s">
        <v>3565</v>
      </c>
    </row>
    <row r="146" spans="1:51" x14ac:dyDescent="0.25">
      <c r="A146" t="s">
        <v>2966</v>
      </c>
      <c r="B146" t="s">
        <v>1168</v>
      </c>
      <c r="C146" t="s">
        <v>1255</v>
      </c>
      <c r="E146">
        <v>1</v>
      </c>
      <c r="F146">
        <v>1</v>
      </c>
      <c r="H146" t="s">
        <v>1170</v>
      </c>
      <c r="I146" t="s">
        <v>1171</v>
      </c>
      <c r="J146" t="s">
        <v>1172</v>
      </c>
      <c r="K146" t="s">
        <v>1173</v>
      </c>
      <c r="L146" t="s">
        <v>1174</v>
      </c>
      <c r="N146" t="s">
        <v>50</v>
      </c>
      <c r="O146">
        <v>1</v>
      </c>
      <c r="Q146">
        <v>0</v>
      </c>
      <c r="R146">
        <v>0</v>
      </c>
      <c r="S146">
        <v>0</v>
      </c>
      <c r="T146">
        <v>0</v>
      </c>
      <c r="U146" s="20">
        <v>45987.947777777779</v>
      </c>
      <c r="V146" s="20">
        <v>46051.078657407408</v>
      </c>
      <c r="Z146" t="s">
        <v>1175</v>
      </c>
      <c r="AA146" t="s">
        <v>315</v>
      </c>
      <c r="AD146" t="s">
        <v>2047</v>
      </c>
      <c r="AF146" t="s">
        <v>2446</v>
      </c>
      <c r="AG146" t="s">
        <v>2966</v>
      </c>
      <c r="AH146" t="s">
        <v>2049</v>
      </c>
      <c r="AI146" t="s">
        <v>2012</v>
      </c>
      <c r="AJ146" t="s">
        <v>2050</v>
      </c>
      <c r="AK146" t="s">
        <v>2454</v>
      </c>
      <c r="AU146" t="s">
        <v>315</v>
      </c>
      <c r="AX146" t="s">
        <v>3568</v>
      </c>
      <c r="AY146" t="s">
        <v>3565</v>
      </c>
    </row>
    <row r="147" spans="1:51" x14ac:dyDescent="0.25">
      <c r="A147" t="s">
        <v>2967</v>
      </c>
      <c r="B147" t="s">
        <v>1168</v>
      </c>
      <c r="C147" t="s">
        <v>1250</v>
      </c>
      <c r="E147">
        <v>1</v>
      </c>
      <c r="F147">
        <v>1</v>
      </c>
      <c r="H147" t="s">
        <v>1170</v>
      </c>
      <c r="I147" t="s">
        <v>1171</v>
      </c>
      <c r="J147" t="s">
        <v>1172</v>
      </c>
      <c r="K147" t="s">
        <v>1173</v>
      </c>
      <c r="L147" t="s">
        <v>1174</v>
      </c>
      <c r="N147" t="s">
        <v>50</v>
      </c>
      <c r="O147">
        <v>1</v>
      </c>
      <c r="Q147">
        <v>0</v>
      </c>
      <c r="R147">
        <v>0</v>
      </c>
      <c r="S147">
        <v>0</v>
      </c>
      <c r="T147">
        <v>0</v>
      </c>
      <c r="U147" s="20">
        <v>45987.948368055557</v>
      </c>
      <c r="V147" s="20">
        <v>46051.07340277778</v>
      </c>
      <c r="Z147" t="s">
        <v>1175</v>
      </c>
      <c r="AA147" t="s">
        <v>315</v>
      </c>
      <c r="AD147" t="s">
        <v>2047</v>
      </c>
      <c r="AF147" t="s">
        <v>2446</v>
      </c>
      <c r="AG147" t="s">
        <v>2967</v>
      </c>
      <c r="AH147" t="s">
        <v>2049</v>
      </c>
      <c r="AI147" t="s">
        <v>2012</v>
      </c>
      <c r="AJ147" t="s">
        <v>2050</v>
      </c>
      <c r="AK147" t="s">
        <v>2456</v>
      </c>
      <c r="AU147" t="s">
        <v>315</v>
      </c>
      <c r="AX147" t="s">
        <v>3569</v>
      </c>
      <c r="AY147" t="s">
        <v>3565</v>
      </c>
    </row>
    <row r="148" spans="1:51" x14ac:dyDescent="0.25">
      <c r="A148" t="s">
        <v>2458</v>
      </c>
      <c r="B148" t="s">
        <v>1168</v>
      </c>
      <c r="C148" t="s">
        <v>1243</v>
      </c>
      <c r="E148">
        <v>1</v>
      </c>
      <c r="F148">
        <v>1</v>
      </c>
      <c r="H148" t="s">
        <v>1170</v>
      </c>
      <c r="I148" t="s">
        <v>1171</v>
      </c>
      <c r="J148" t="s">
        <v>1172</v>
      </c>
      <c r="K148" t="s">
        <v>1173</v>
      </c>
      <c r="L148" t="s">
        <v>1174</v>
      </c>
      <c r="N148" t="s">
        <v>50</v>
      </c>
      <c r="O148">
        <v>1</v>
      </c>
      <c r="Q148">
        <v>0</v>
      </c>
      <c r="R148">
        <v>0</v>
      </c>
      <c r="S148">
        <v>0</v>
      </c>
      <c r="T148">
        <v>0</v>
      </c>
      <c r="U148" s="20">
        <v>45987.951597222222</v>
      </c>
      <c r="V148" s="20">
        <v>46032.872662037036</v>
      </c>
      <c r="Z148" t="s">
        <v>1175</v>
      </c>
      <c r="AA148" t="s">
        <v>45</v>
      </c>
      <c r="AD148" t="s">
        <v>2047</v>
      </c>
      <c r="AF148" t="s">
        <v>2458</v>
      </c>
      <c r="AH148" t="s">
        <v>2049</v>
      </c>
      <c r="AI148" t="s">
        <v>2007</v>
      </c>
      <c r="AJ148" t="s">
        <v>2050</v>
      </c>
      <c r="AK148" t="s">
        <v>2459</v>
      </c>
      <c r="AU148" t="s">
        <v>45</v>
      </c>
      <c r="AX148" t="s">
        <v>3570</v>
      </c>
      <c r="AY148" t="s">
        <v>3433</v>
      </c>
    </row>
    <row r="149" spans="1:51" x14ac:dyDescent="0.25">
      <c r="A149" t="s">
        <v>2461</v>
      </c>
      <c r="B149" t="s">
        <v>1168</v>
      </c>
      <c r="C149" t="s">
        <v>1709</v>
      </c>
      <c r="E149">
        <v>1</v>
      </c>
      <c r="F149">
        <v>1</v>
      </c>
      <c r="H149" t="s">
        <v>1170</v>
      </c>
      <c r="I149" t="s">
        <v>1171</v>
      </c>
      <c r="J149" t="s">
        <v>1172</v>
      </c>
      <c r="K149" t="s">
        <v>1173</v>
      </c>
      <c r="L149" t="s">
        <v>1174</v>
      </c>
      <c r="N149" t="s">
        <v>50</v>
      </c>
      <c r="O149">
        <v>1</v>
      </c>
      <c r="Q149">
        <v>0</v>
      </c>
      <c r="R149">
        <v>0</v>
      </c>
      <c r="S149">
        <v>0</v>
      </c>
      <c r="T149">
        <v>0</v>
      </c>
      <c r="U149" s="20">
        <v>45994.516504629632</v>
      </c>
      <c r="V149" s="20">
        <v>46029.627314814818</v>
      </c>
      <c r="Z149" t="s">
        <v>1175</v>
      </c>
      <c r="AA149" t="s">
        <v>45</v>
      </c>
      <c r="AC149" t="s">
        <v>60</v>
      </c>
      <c r="AD149" t="s">
        <v>2128</v>
      </c>
      <c r="AE149" t="s">
        <v>2268</v>
      </c>
      <c r="AF149" t="s">
        <v>2461</v>
      </c>
      <c r="AH149" t="s">
        <v>2130</v>
      </c>
      <c r="AI149" t="s">
        <v>2233</v>
      </c>
      <c r="AJ149">
        <v>1520</v>
      </c>
      <c r="AK149" t="s">
        <v>2462</v>
      </c>
      <c r="AU149" t="s">
        <v>45</v>
      </c>
      <c r="AX149" t="s">
        <v>3571</v>
      </c>
      <c r="AY149" t="s">
        <v>3510</v>
      </c>
    </row>
    <row r="150" spans="1:51" x14ac:dyDescent="0.25">
      <c r="A150" t="s">
        <v>2464</v>
      </c>
      <c r="B150" t="s">
        <v>1168</v>
      </c>
      <c r="C150" t="s">
        <v>1247</v>
      </c>
      <c r="E150">
        <v>1</v>
      </c>
      <c r="F150">
        <v>1</v>
      </c>
      <c r="H150" t="s">
        <v>1170</v>
      </c>
      <c r="I150" t="s">
        <v>1171</v>
      </c>
      <c r="J150" t="s">
        <v>1172</v>
      </c>
      <c r="K150" t="s">
        <v>1173</v>
      </c>
      <c r="L150" t="s">
        <v>1174</v>
      </c>
      <c r="N150" t="s">
        <v>1246</v>
      </c>
      <c r="O150">
        <v>1</v>
      </c>
      <c r="Q150">
        <v>0</v>
      </c>
      <c r="R150">
        <v>0</v>
      </c>
      <c r="S150">
        <v>0</v>
      </c>
      <c r="T150">
        <v>0</v>
      </c>
      <c r="U150" s="20">
        <v>45994.540370370371</v>
      </c>
      <c r="V150" s="20">
        <v>46032.872662037036</v>
      </c>
      <c r="Z150" t="s">
        <v>1175</v>
      </c>
      <c r="AA150" t="s">
        <v>45</v>
      </c>
      <c r="AD150" t="s">
        <v>2047</v>
      </c>
      <c r="AF150" t="s">
        <v>2464</v>
      </c>
      <c r="AH150" t="s">
        <v>2049</v>
      </c>
      <c r="AI150" t="s">
        <v>2036</v>
      </c>
      <c r="AJ150" t="s">
        <v>2050</v>
      </c>
      <c r="AK150" t="s">
        <v>2465</v>
      </c>
      <c r="AU150" t="s">
        <v>45</v>
      </c>
      <c r="AX150" t="s">
        <v>3572</v>
      </c>
      <c r="AY150" t="s">
        <v>3433</v>
      </c>
    </row>
    <row r="151" spans="1:51" x14ac:dyDescent="0.25">
      <c r="A151" t="s">
        <v>2469</v>
      </c>
      <c r="B151" t="s">
        <v>1168</v>
      </c>
      <c r="C151" t="s">
        <v>1241</v>
      </c>
      <c r="E151">
        <v>1</v>
      </c>
      <c r="F151">
        <v>1</v>
      </c>
      <c r="H151" t="s">
        <v>1170</v>
      </c>
      <c r="I151" t="s">
        <v>1171</v>
      </c>
      <c r="J151" t="s">
        <v>1172</v>
      </c>
      <c r="K151" t="s">
        <v>1173</v>
      </c>
      <c r="L151" t="s">
        <v>1174</v>
      </c>
      <c r="N151" t="s">
        <v>50</v>
      </c>
      <c r="O151">
        <v>1</v>
      </c>
      <c r="Q151">
        <v>0</v>
      </c>
      <c r="R151">
        <v>0</v>
      </c>
      <c r="S151">
        <v>0</v>
      </c>
      <c r="T151">
        <v>0</v>
      </c>
      <c r="U151" s="20">
        <v>46001.050127314818</v>
      </c>
      <c r="V151" s="20">
        <v>46032.872662037036</v>
      </c>
      <c r="Z151" t="s">
        <v>1175</v>
      </c>
      <c r="AA151" t="s">
        <v>315</v>
      </c>
      <c r="AD151" t="s">
        <v>2047</v>
      </c>
      <c r="AF151" t="s">
        <v>2446</v>
      </c>
      <c r="AG151" t="s">
        <v>2469</v>
      </c>
      <c r="AH151" t="s">
        <v>2049</v>
      </c>
      <c r="AI151" t="s">
        <v>2012</v>
      </c>
      <c r="AJ151" t="s">
        <v>2050</v>
      </c>
      <c r="AK151" t="s">
        <v>2470</v>
      </c>
      <c r="AU151" t="s">
        <v>315</v>
      </c>
      <c r="AX151" t="s">
        <v>3573</v>
      </c>
      <c r="AY151" t="s">
        <v>3565</v>
      </c>
    </row>
    <row r="152" spans="1:51" x14ac:dyDescent="0.25">
      <c r="A152" t="s">
        <v>2446</v>
      </c>
      <c r="B152" t="s">
        <v>1168</v>
      </c>
      <c r="C152" t="s">
        <v>1249</v>
      </c>
      <c r="E152">
        <v>1</v>
      </c>
      <c r="F152">
        <v>1</v>
      </c>
      <c r="H152" t="s">
        <v>1170</v>
      </c>
      <c r="I152" t="s">
        <v>1171</v>
      </c>
      <c r="J152" t="s">
        <v>1172</v>
      </c>
      <c r="K152" t="s">
        <v>1173</v>
      </c>
      <c r="L152" t="s">
        <v>1174</v>
      </c>
      <c r="N152" t="s">
        <v>1246</v>
      </c>
      <c r="O152">
        <v>1</v>
      </c>
      <c r="Q152">
        <v>0</v>
      </c>
      <c r="R152">
        <v>0</v>
      </c>
      <c r="S152">
        <v>0</v>
      </c>
      <c r="T152">
        <v>0</v>
      </c>
      <c r="U152" s="20">
        <v>46001.071782407409</v>
      </c>
      <c r="V152" s="20">
        <v>46032.872662037036</v>
      </c>
      <c r="Z152" t="s">
        <v>1175</v>
      </c>
      <c r="AA152" t="s">
        <v>45</v>
      </c>
      <c r="AD152" t="s">
        <v>2047</v>
      </c>
      <c r="AF152" t="s">
        <v>2446</v>
      </c>
      <c r="AH152" t="s">
        <v>2049</v>
      </c>
      <c r="AI152" t="s">
        <v>2012</v>
      </c>
      <c r="AJ152" t="s">
        <v>2050</v>
      </c>
      <c r="AK152" t="s">
        <v>2472</v>
      </c>
      <c r="AU152" t="s">
        <v>45</v>
      </c>
      <c r="AX152" t="s">
        <v>3565</v>
      </c>
      <c r="AY152" t="s">
        <v>3433</v>
      </c>
    </row>
    <row r="153" spans="1:51" x14ac:dyDescent="0.25">
      <c r="A153" t="s">
        <v>2046</v>
      </c>
      <c r="B153" t="s">
        <v>1168</v>
      </c>
      <c r="C153" t="s">
        <v>2474</v>
      </c>
      <c r="E153">
        <v>1</v>
      </c>
      <c r="F153">
        <v>1</v>
      </c>
      <c r="H153" t="s">
        <v>1170</v>
      </c>
      <c r="I153" t="s">
        <v>1171</v>
      </c>
      <c r="J153" t="s">
        <v>1172</v>
      </c>
      <c r="K153" t="s">
        <v>1173</v>
      </c>
      <c r="L153" t="s">
        <v>1174</v>
      </c>
      <c r="N153" t="s">
        <v>50</v>
      </c>
      <c r="O153">
        <v>1</v>
      </c>
      <c r="Q153">
        <v>0</v>
      </c>
      <c r="R153">
        <v>0</v>
      </c>
      <c r="S153">
        <v>0</v>
      </c>
      <c r="T153">
        <v>0</v>
      </c>
      <c r="U153" s="20">
        <v>46028.85</v>
      </c>
      <c r="V153" s="20">
        <v>46034.574733796297</v>
      </c>
      <c r="Z153" t="s">
        <v>1175</v>
      </c>
      <c r="AA153" t="s">
        <v>1176</v>
      </c>
      <c r="AH153" t="s">
        <v>2002</v>
      </c>
      <c r="AI153" t="s">
        <v>2002</v>
      </c>
      <c r="AJ153" t="s">
        <v>2002</v>
      </c>
      <c r="AK153" t="s">
        <v>2002</v>
      </c>
      <c r="AU153" t="s">
        <v>1176</v>
      </c>
      <c r="AX153" t="s">
        <v>3525</v>
      </c>
    </row>
    <row r="154" spans="1:51" x14ac:dyDescent="0.25">
      <c r="A154" t="s">
        <v>2185</v>
      </c>
      <c r="B154" t="s">
        <v>1168</v>
      </c>
      <c r="C154" t="s">
        <v>2475</v>
      </c>
      <c r="E154">
        <v>1</v>
      </c>
      <c r="F154">
        <v>1</v>
      </c>
      <c r="H154" t="s">
        <v>1170</v>
      </c>
      <c r="I154" t="s">
        <v>1171</v>
      </c>
      <c r="J154" t="s">
        <v>1172</v>
      </c>
      <c r="K154" t="s">
        <v>1173</v>
      </c>
      <c r="L154" t="s">
        <v>1174</v>
      </c>
      <c r="N154" t="s">
        <v>50</v>
      </c>
      <c r="O154">
        <v>1</v>
      </c>
      <c r="Q154">
        <v>0</v>
      </c>
      <c r="R154">
        <v>0</v>
      </c>
      <c r="S154">
        <v>0</v>
      </c>
      <c r="T154">
        <v>0</v>
      </c>
      <c r="U154" s="20">
        <v>46028.885682870372</v>
      </c>
      <c r="V154" s="20">
        <v>46029.019606481481</v>
      </c>
      <c r="Z154" t="s">
        <v>1175</v>
      </c>
      <c r="AA154" t="s">
        <v>180</v>
      </c>
      <c r="AC154" t="s">
        <v>60</v>
      </c>
      <c r="AD154" t="s">
        <v>2185</v>
      </c>
      <c r="AH154" t="s">
        <v>2186</v>
      </c>
      <c r="AI154" t="s">
        <v>2002</v>
      </c>
      <c r="AJ154" t="s">
        <v>2002</v>
      </c>
      <c r="AK154" t="s">
        <v>2186</v>
      </c>
      <c r="AU154" t="s">
        <v>180</v>
      </c>
      <c r="AX154" t="s">
        <v>3479</v>
      </c>
      <c r="AY154" t="s">
        <v>3525</v>
      </c>
    </row>
    <row r="155" spans="1:51" x14ac:dyDescent="0.25">
      <c r="A155" t="s">
        <v>2090</v>
      </c>
      <c r="B155" t="s">
        <v>1168</v>
      </c>
      <c r="C155" t="s">
        <v>2476</v>
      </c>
      <c r="E155">
        <v>1</v>
      </c>
      <c r="F155">
        <v>1</v>
      </c>
      <c r="H155" t="s">
        <v>1170</v>
      </c>
      <c r="I155" t="s">
        <v>1171</v>
      </c>
      <c r="J155" t="s">
        <v>1172</v>
      </c>
      <c r="K155" t="s">
        <v>1173</v>
      </c>
      <c r="L155" t="s">
        <v>1174</v>
      </c>
      <c r="N155" t="s">
        <v>50</v>
      </c>
      <c r="O155">
        <v>1</v>
      </c>
      <c r="Q155">
        <v>0</v>
      </c>
      <c r="R155">
        <v>0</v>
      </c>
      <c r="S155">
        <v>0</v>
      </c>
      <c r="T155">
        <v>0</v>
      </c>
      <c r="U155" s="20">
        <v>46028.926076388889</v>
      </c>
      <c r="V155" s="20">
        <v>46028.93891203704</v>
      </c>
      <c r="Z155" t="s">
        <v>1175</v>
      </c>
      <c r="AA155" t="s">
        <v>180</v>
      </c>
      <c r="AC155" t="s">
        <v>60</v>
      </c>
      <c r="AD155" t="s">
        <v>2090</v>
      </c>
      <c r="AH155" t="s">
        <v>2091</v>
      </c>
      <c r="AI155" t="s">
        <v>2002</v>
      </c>
      <c r="AJ155" t="s">
        <v>2002</v>
      </c>
      <c r="AK155" t="s">
        <v>2091</v>
      </c>
      <c r="AU155" t="s">
        <v>180</v>
      </c>
      <c r="AX155" t="s">
        <v>3447</v>
      </c>
      <c r="AY155" t="s">
        <v>3525</v>
      </c>
    </row>
    <row r="156" spans="1:51" x14ac:dyDescent="0.25">
      <c r="A156" t="s">
        <v>2047</v>
      </c>
      <c r="B156" t="s">
        <v>1168</v>
      </c>
      <c r="C156" t="s">
        <v>2477</v>
      </c>
      <c r="E156">
        <v>1</v>
      </c>
      <c r="F156">
        <v>1</v>
      </c>
      <c r="H156" t="s">
        <v>1170</v>
      </c>
      <c r="I156" t="s">
        <v>1171</v>
      </c>
      <c r="J156" t="s">
        <v>1172</v>
      </c>
      <c r="K156" t="s">
        <v>1173</v>
      </c>
      <c r="L156" t="s">
        <v>1174</v>
      </c>
      <c r="N156" t="s">
        <v>50</v>
      </c>
      <c r="O156">
        <v>1</v>
      </c>
      <c r="Q156">
        <v>0</v>
      </c>
      <c r="R156">
        <v>0</v>
      </c>
      <c r="S156">
        <v>0</v>
      </c>
      <c r="T156">
        <v>0</v>
      </c>
      <c r="U156" s="20">
        <v>46028.975636574076</v>
      </c>
      <c r="V156" s="20">
        <v>46032.872662037036</v>
      </c>
      <c r="Z156" t="s">
        <v>1175</v>
      </c>
      <c r="AA156" t="s">
        <v>180</v>
      </c>
      <c r="AC156" t="s">
        <v>60</v>
      </c>
      <c r="AD156" t="s">
        <v>2047</v>
      </c>
      <c r="AH156" t="s">
        <v>2049</v>
      </c>
      <c r="AI156" t="s">
        <v>2002</v>
      </c>
      <c r="AJ156" t="s">
        <v>2002</v>
      </c>
      <c r="AK156" t="s">
        <v>2049</v>
      </c>
      <c r="AU156" t="s">
        <v>180</v>
      </c>
      <c r="AX156" t="s">
        <v>3433</v>
      </c>
      <c r="AY156" t="s">
        <v>3525</v>
      </c>
    </row>
    <row r="157" spans="1:51" x14ac:dyDescent="0.25">
      <c r="A157" t="s">
        <v>2212</v>
      </c>
      <c r="B157" t="s">
        <v>1168</v>
      </c>
      <c r="C157" t="s">
        <v>2478</v>
      </c>
      <c r="E157">
        <v>1</v>
      </c>
      <c r="F157">
        <v>1</v>
      </c>
      <c r="H157" t="s">
        <v>1170</v>
      </c>
      <c r="I157" t="s">
        <v>1171</v>
      </c>
      <c r="J157" t="s">
        <v>1172</v>
      </c>
      <c r="K157" t="s">
        <v>1173</v>
      </c>
      <c r="L157" t="s">
        <v>1174</v>
      </c>
      <c r="N157" t="s">
        <v>50</v>
      </c>
      <c r="O157">
        <v>1</v>
      </c>
      <c r="Q157">
        <v>0</v>
      </c>
      <c r="R157">
        <v>0</v>
      </c>
      <c r="S157">
        <v>0</v>
      </c>
      <c r="T157">
        <v>0</v>
      </c>
      <c r="U157" s="20">
        <v>46030.017893518518</v>
      </c>
      <c r="V157" s="20">
        <v>46030.018148148149</v>
      </c>
      <c r="Z157" t="s">
        <v>1175</v>
      </c>
      <c r="AA157" t="s">
        <v>59</v>
      </c>
      <c r="AC157" t="s">
        <v>60</v>
      </c>
      <c r="AD157" t="s">
        <v>2118</v>
      </c>
      <c r="AE157" t="s">
        <v>2212</v>
      </c>
      <c r="AH157" t="s">
        <v>1988</v>
      </c>
      <c r="AI157" t="s">
        <v>2002</v>
      </c>
      <c r="AJ157">
        <v>5670</v>
      </c>
      <c r="AK157" t="s">
        <v>2430</v>
      </c>
      <c r="AU157" t="s">
        <v>59</v>
      </c>
      <c r="AX157" t="s">
        <v>3490</v>
      </c>
      <c r="AY157" t="s">
        <v>3493</v>
      </c>
    </row>
    <row r="158" spans="1:51" x14ac:dyDescent="0.25">
      <c r="A158" t="s">
        <v>2071</v>
      </c>
      <c r="B158" t="s">
        <v>1168</v>
      </c>
      <c r="C158" t="s">
        <v>2479</v>
      </c>
      <c r="E158">
        <v>1</v>
      </c>
      <c r="F158">
        <v>1</v>
      </c>
      <c r="H158" t="s">
        <v>1170</v>
      </c>
      <c r="I158" t="s">
        <v>1171</v>
      </c>
      <c r="J158" t="s">
        <v>1172</v>
      </c>
      <c r="K158" t="s">
        <v>1173</v>
      </c>
      <c r="L158" t="s">
        <v>1174</v>
      </c>
      <c r="N158" t="s">
        <v>50</v>
      </c>
      <c r="O158">
        <v>1</v>
      </c>
      <c r="Q158">
        <v>0</v>
      </c>
      <c r="R158">
        <v>0</v>
      </c>
      <c r="S158">
        <v>0</v>
      </c>
      <c r="T158">
        <v>0</v>
      </c>
      <c r="U158" s="20">
        <v>46030.071331018517</v>
      </c>
      <c r="V158" s="20">
        <v>46032.891493055555</v>
      </c>
      <c r="Z158" t="s">
        <v>1175</v>
      </c>
      <c r="AA158" t="s">
        <v>180</v>
      </c>
      <c r="AC158" t="s">
        <v>60</v>
      </c>
      <c r="AD158" t="s">
        <v>2071</v>
      </c>
      <c r="AH158" t="s">
        <v>1991</v>
      </c>
      <c r="AI158" t="s">
        <v>2002</v>
      </c>
      <c r="AJ158" t="s">
        <v>2002</v>
      </c>
      <c r="AK158" t="s">
        <v>1991</v>
      </c>
      <c r="AU158" t="s">
        <v>180</v>
      </c>
      <c r="AX158" t="s">
        <v>3441</v>
      </c>
      <c r="AY158" t="s">
        <v>3427</v>
      </c>
    </row>
    <row r="159" spans="1:51" x14ac:dyDescent="0.25">
      <c r="A159" t="s">
        <v>3083</v>
      </c>
      <c r="B159" t="s">
        <v>1168</v>
      </c>
      <c r="C159" t="s">
        <v>3084</v>
      </c>
      <c r="D159" t="s">
        <v>3200</v>
      </c>
      <c r="E159">
        <v>1</v>
      </c>
      <c r="F159">
        <v>1</v>
      </c>
      <c r="H159" t="s">
        <v>1170</v>
      </c>
      <c r="I159" t="s">
        <v>1171</v>
      </c>
      <c r="J159" t="s">
        <v>1172</v>
      </c>
      <c r="K159" t="s">
        <v>1173</v>
      </c>
      <c r="L159" t="s">
        <v>1174</v>
      </c>
      <c r="N159" t="s">
        <v>50</v>
      </c>
      <c r="O159">
        <v>1</v>
      </c>
      <c r="Q159">
        <v>0</v>
      </c>
      <c r="R159">
        <v>0</v>
      </c>
      <c r="S159">
        <v>0</v>
      </c>
      <c r="T159">
        <v>0</v>
      </c>
      <c r="U159" s="20">
        <v>46071.552314814813</v>
      </c>
      <c r="V159" s="20">
        <v>46071.951342592591</v>
      </c>
      <c r="Z159" t="s">
        <v>1175</v>
      </c>
      <c r="AA159" t="s">
        <v>45</v>
      </c>
      <c r="AD159" t="s">
        <v>1999</v>
      </c>
      <c r="AE159" t="s">
        <v>2055</v>
      </c>
      <c r="AF159" t="s">
        <v>3083</v>
      </c>
      <c r="AH159" t="s">
        <v>1179</v>
      </c>
      <c r="AI159" t="s">
        <v>2443</v>
      </c>
      <c r="AJ159">
        <v>1544</v>
      </c>
      <c r="AK159" t="s">
        <v>2444</v>
      </c>
      <c r="AU159" t="s">
        <v>45</v>
      </c>
      <c r="AX159" t="s">
        <v>3574</v>
      </c>
      <c r="AY159" t="s">
        <v>3435</v>
      </c>
    </row>
    <row r="160" spans="1:51" x14ac:dyDescent="0.25">
      <c r="A160" t="s">
        <v>3085</v>
      </c>
      <c r="B160" t="s">
        <v>1168</v>
      </c>
      <c r="C160" t="s">
        <v>3086</v>
      </c>
      <c r="D160" t="s">
        <v>3201</v>
      </c>
      <c r="E160">
        <v>1</v>
      </c>
      <c r="F160">
        <v>1</v>
      </c>
      <c r="H160" t="s">
        <v>1170</v>
      </c>
      <c r="I160" t="s">
        <v>1171</v>
      </c>
      <c r="J160" t="s">
        <v>1172</v>
      </c>
      <c r="K160" t="s">
        <v>1173</v>
      </c>
      <c r="L160" t="s">
        <v>1174</v>
      </c>
      <c r="N160" t="s">
        <v>50</v>
      </c>
      <c r="O160">
        <v>1</v>
      </c>
      <c r="Q160">
        <v>0</v>
      </c>
      <c r="R160">
        <v>0</v>
      </c>
      <c r="S160">
        <v>0</v>
      </c>
      <c r="T160">
        <v>0</v>
      </c>
      <c r="U160" s="20">
        <v>46071.607893518521</v>
      </c>
      <c r="V160" s="20">
        <v>46071.951342592591</v>
      </c>
      <c r="Z160" t="s">
        <v>1175</v>
      </c>
      <c r="AA160" t="s">
        <v>45</v>
      </c>
      <c r="AD160" t="s">
        <v>1999</v>
      </c>
      <c r="AE160" t="s">
        <v>2055</v>
      </c>
      <c r="AF160" t="s">
        <v>3085</v>
      </c>
      <c r="AH160" t="s">
        <v>1179</v>
      </c>
      <c r="AI160" t="s">
        <v>2443</v>
      </c>
      <c r="AJ160">
        <v>1544</v>
      </c>
      <c r="AK160" t="s">
        <v>2444</v>
      </c>
      <c r="AU160" t="s">
        <v>45</v>
      </c>
      <c r="AX160" t="s">
        <v>3575</v>
      </c>
      <c r="AY160" t="s">
        <v>3435</v>
      </c>
    </row>
    <row r="161" spans="1:51" x14ac:dyDescent="0.25">
      <c r="A161" t="s">
        <v>3087</v>
      </c>
      <c r="B161" t="s">
        <v>1168</v>
      </c>
      <c r="C161" t="s">
        <v>3088</v>
      </c>
      <c r="D161" t="s">
        <v>3202</v>
      </c>
      <c r="E161">
        <v>1</v>
      </c>
      <c r="F161">
        <v>1</v>
      </c>
      <c r="H161" t="s">
        <v>1170</v>
      </c>
      <c r="I161" t="s">
        <v>1171</v>
      </c>
      <c r="J161" t="s">
        <v>1172</v>
      </c>
      <c r="K161" t="s">
        <v>1173</v>
      </c>
      <c r="L161" t="s">
        <v>1174</v>
      </c>
      <c r="N161" t="s">
        <v>50</v>
      </c>
      <c r="O161">
        <v>1</v>
      </c>
      <c r="Q161">
        <v>0</v>
      </c>
      <c r="R161">
        <v>0</v>
      </c>
      <c r="S161">
        <v>0</v>
      </c>
      <c r="T161">
        <v>0</v>
      </c>
      <c r="U161" s="20">
        <v>46071.646087962959</v>
      </c>
      <c r="V161" s="20">
        <v>46071.951331018521</v>
      </c>
      <c r="Z161" t="s">
        <v>1175</v>
      </c>
      <c r="AA161" t="s">
        <v>45</v>
      </c>
      <c r="AD161" t="s">
        <v>1999</v>
      </c>
      <c r="AE161" t="s">
        <v>2055</v>
      </c>
      <c r="AF161" t="s">
        <v>3087</v>
      </c>
      <c r="AH161" t="s">
        <v>1179</v>
      </c>
      <c r="AI161" t="s">
        <v>2443</v>
      </c>
      <c r="AJ161">
        <v>1544</v>
      </c>
      <c r="AK161" t="s">
        <v>2444</v>
      </c>
      <c r="AU161" t="s">
        <v>45</v>
      </c>
      <c r="AX161" t="s">
        <v>3576</v>
      </c>
      <c r="AY161" t="s">
        <v>3435</v>
      </c>
    </row>
    <row r="162" spans="1:51" x14ac:dyDescent="0.25">
      <c r="A162" t="s">
        <v>462</v>
      </c>
      <c r="B162" t="s">
        <v>1258</v>
      </c>
      <c r="C162" t="s">
        <v>1772</v>
      </c>
      <c r="E162">
        <v>1</v>
      </c>
      <c r="F162">
        <v>1</v>
      </c>
      <c r="J162" t="s">
        <v>1178</v>
      </c>
      <c r="K162" t="s">
        <v>1173</v>
      </c>
      <c r="L162" t="s">
        <v>1174</v>
      </c>
      <c r="N162" t="s">
        <v>50</v>
      </c>
      <c r="O162">
        <v>1</v>
      </c>
      <c r="Q162">
        <v>0</v>
      </c>
      <c r="R162">
        <v>0</v>
      </c>
      <c r="S162">
        <v>0</v>
      </c>
      <c r="T162">
        <v>0</v>
      </c>
      <c r="U162" s="20">
        <v>45895.888564814813</v>
      </c>
      <c r="V162" s="20">
        <v>45969.824918981481</v>
      </c>
      <c r="Z162" t="s">
        <v>1258</v>
      </c>
      <c r="AA162" t="s">
        <v>279</v>
      </c>
      <c r="AX162" t="s">
        <v>3577</v>
      </c>
    </row>
    <row r="163" spans="1:51" x14ac:dyDescent="0.25">
      <c r="A163" t="s">
        <v>132</v>
      </c>
      <c r="B163" t="s">
        <v>1258</v>
      </c>
      <c r="C163" t="s">
        <v>1771</v>
      </c>
      <c r="E163">
        <v>1</v>
      </c>
      <c r="F163">
        <v>1</v>
      </c>
      <c r="J163" t="s">
        <v>1178</v>
      </c>
      <c r="K163" t="s">
        <v>1173</v>
      </c>
      <c r="L163" t="s">
        <v>1174</v>
      </c>
      <c r="N163" t="s">
        <v>50</v>
      </c>
      <c r="O163">
        <v>1</v>
      </c>
      <c r="Q163">
        <v>0</v>
      </c>
      <c r="R163">
        <v>0</v>
      </c>
      <c r="S163">
        <v>0</v>
      </c>
      <c r="T163">
        <v>0</v>
      </c>
      <c r="U163" s="20">
        <v>45895.897418981483</v>
      </c>
      <c r="V163" s="20">
        <v>45969.824930555558</v>
      </c>
      <c r="Z163" t="s">
        <v>1258</v>
      </c>
      <c r="AA163" t="s">
        <v>279</v>
      </c>
      <c r="AB163" t="s">
        <v>285</v>
      </c>
      <c r="AX163" t="s">
        <v>3578</v>
      </c>
    </row>
    <row r="164" spans="1:51" x14ac:dyDescent="0.25">
      <c r="A164" t="s">
        <v>2968</v>
      </c>
      <c r="B164" t="s">
        <v>1258</v>
      </c>
      <c r="C164" t="s">
        <v>1672</v>
      </c>
      <c r="E164">
        <v>1</v>
      </c>
      <c r="F164">
        <v>1</v>
      </c>
      <c r="J164" t="s">
        <v>1178</v>
      </c>
      <c r="K164" t="s">
        <v>1173</v>
      </c>
      <c r="L164" t="s">
        <v>1174</v>
      </c>
      <c r="N164" t="s">
        <v>50</v>
      </c>
      <c r="O164">
        <v>1</v>
      </c>
      <c r="Q164">
        <v>0</v>
      </c>
      <c r="R164">
        <v>0</v>
      </c>
      <c r="S164">
        <v>0</v>
      </c>
      <c r="T164">
        <v>0</v>
      </c>
      <c r="U164" s="20">
        <v>45895.909988425927</v>
      </c>
      <c r="V164" s="20">
        <v>46051.080578703702</v>
      </c>
      <c r="Z164" t="s">
        <v>1258</v>
      </c>
      <c r="AA164" t="s">
        <v>279</v>
      </c>
      <c r="AX164" t="s">
        <v>3579</v>
      </c>
    </row>
    <row r="165" spans="1:51" x14ac:dyDescent="0.25">
      <c r="A165" t="s">
        <v>386</v>
      </c>
      <c r="B165" t="s">
        <v>1258</v>
      </c>
      <c r="C165" t="s">
        <v>1773</v>
      </c>
      <c r="E165">
        <v>1</v>
      </c>
      <c r="F165">
        <v>1</v>
      </c>
      <c r="J165" t="s">
        <v>1178</v>
      </c>
      <c r="K165" t="s">
        <v>1173</v>
      </c>
      <c r="L165" t="s">
        <v>1174</v>
      </c>
      <c r="N165" t="s">
        <v>50</v>
      </c>
      <c r="O165">
        <v>1</v>
      </c>
      <c r="Q165">
        <v>0</v>
      </c>
      <c r="R165">
        <v>0</v>
      </c>
      <c r="S165">
        <v>0</v>
      </c>
      <c r="T165">
        <v>0</v>
      </c>
      <c r="U165" s="20">
        <v>45895.910509259258</v>
      </c>
      <c r="V165" s="20">
        <v>45969.824942129628</v>
      </c>
      <c r="Z165" t="s">
        <v>1258</v>
      </c>
      <c r="AA165" t="s">
        <v>279</v>
      </c>
      <c r="AB165" t="s">
        <v>387</v>
      </c>
      <c r="AX165" t="s">
        <v>3580</v>
      </c>
    </row>
    <row r="166" spans="1:51" x14ac:dyDescent="0.25">
      <c r="A166" t="s">
        <v>284</v>
      </c>
      <c r="B166" t="s">
        <v>1258</v>
      </c>
      <c r="C166" t="s">
        <v>1728</v>
      </c>
      <c r="E166">
        <v>1</v>
      </c>
      <c r="F166">
        <v>1</v>
      </c>
      <c r="J166" t="s">
        <v>1178</v>
      </c>
      <c r="K166" t="s">
        <v>1173</v>
      </c>
      <c r="L166" t="s">
        <v>1174</v>
      </c>
      <c r="N166" t="s">
        <v>50</v>
      </c>
      <c r="O166">
        <v>1</v>
      </c>
      <c r="Q166">
        <v>0</v>
      </c>
      <c r="R166">
        <v>0</v>
      </c>
      <c r="S166">
        <v>0</v>
      </c>
      <c r="T166">
        <v>0</v>
      </c>
      <c r="U166" s="20">
        <v>45895.910868055558</v>
      </c>
      <c r="V166" s="20">
        <v>45969.865879629629</v>
      </c>
      <c r="Z166" t="s">
        <v>1258</v>
      </c>
      <c r="AA166" t="s">
        <v>279</v>
      </c>
      <c r="AB166" t="s">
        <v>285</v>
      </c>
      <c r="AX166" t="s">
        <v>3581</v>
      </c>
    </row>
    <row r="167" spans="1:51" x14ac:dyDescent="0.25">
      <c r="A167" t="s">
        <v>77</v>
      </c>
      <c r="B167" t="s">
        <v>1258</v>
      </c>
      <c r="C167" t="s">
        <v>1779</v>
      </c>
      <c r="E167">
        <v>1</v>
      </c>
      <c r="F167">
        <v>1</v>
      </c>
      <c r="J167" t="s">
        <v>1178</v>
      </c>
      <c r="K167" t="s">
        <v>1173</v>
      </c>
      <c r="L167" t="s">
        <v>1174</v>
      </c>
      <c r="N167" t="s">
        <v>50</v>
      </c>
      <c r="O167">
        <v>1</v>
      </c>
      <c r="Q167">
        <v>0</v>
      </c>
      <c r="R167">
        <v>0</v>
      </c>
      <c r="S167">
        <v>0</v>
      </c>
      <c r="T167">
        <v>0</v>
      </c>
      <c r="U167" s="20">
        <v>45895.914571759262</v>
      </c>
      <c r="V167" s="20">
        <v>45969.865879629629</v>
      </c>
      <c r="Z167" t="s">
        <v>1258</v>
      </c>
      <c r="AA167" t="s">
        <v>279</v>
      </c>
      <c r="AX167" t="s">
        <v>3582</v>
      </c>
    </row>
    <row r="168" spans="1:51" x14ac:dyDescent="0.25">
      <c r="A168" t="s">
        <v>304</v>
      </c>
      <c r="B168" t="s">
        <v>1258</v>
      </c>
      <c r="C168" t="s">
        <v>1259</v>
      </c>
      <c r="E168">
        <v>1</v>
      </c>
      <c r="F168">
        <v>1</v>
      </c>
      <c r="J168" t="s">
        <v>1178</v>
      </c>
      <c r="K168" t="s">
        <v>1173</v>
      </c>
      <c r="L168" t="s">
        <v>1174</v>
      </c>
      <c r="N168" t="s">
        <v>50</v>
      </c>
      <c r="O168">
        <v>1</v>
      </c>
      <c r="Q168">
        <v>0</v>
      </c>
      <c r="R168">
        <v>0</v>
      </c>
      <c r="S168">
        <v>0</v>
      </c>
      <c r="T168">
        <v>0</v>
      </c>
      <c r="U168" s="20">
        <v>45895.914872685185</v>
      </c>
      <c r="V168" s="20">
        <v>45969.824918981481</v>
      </c>
      <c r="Z168" t="s">
        <v>1258</v>
      </c>
      <c r="AA168" t="s">
        <v>279</v>
      </c>
      <c r="AX168" t="s">
        <v>3583</v>
      </c>
    </row>
    <row r="169" spans="1:51" x14ac:dyDescent="0.25">
      <c r="A169" t="s">
        <v>560</v>
      </c>
      <c r="B169" t="s">
        <v>1258</v>
      </c>
      <c r="C169" t="s">
        <v>1787</v>
      </c>
      <c r="E169">
        <v>1</v>
      </c>
      <c r="F169">
        <v>1</v>
      </c>
      <c r="J169" t="s">
        <v>1178</v>
      </c>
      <c r="K169" t="s">
        <v>1173</v>
      </c>
      <c r="L169" t="s">
        <v>1174</v>
      </c>
      <c r="N169" t="s">
        <v>50</v>
      </c>
      <c r="O169">
        <v>1</v>
      </c>
      <c r="Q169">
        <v>0</v>
      </c>
      <c r="R169">
        <v>0</v>
      </c>
      <c r="S169">
        <v>0</v>
      </c>
      <c r="T169">
        <v>0</v>
      </c>
      <c r="U169" s="20">
        <v>45895.916331018518</v>
      </c>
      <c r="V169" s="20">
        <v>45969.824942129628</v>
      </c>
      <c r="Z169" t="s">
        <v>1258</v>
      </c>
      <c r="AA169" t="s">
        <v>279</v>
      </c>
      <c r="AX169" t="s">
        <v>3584</v>
      </c>
    </row>
    <row r="170" spans="1:51" x14ac:dyDescent="0.25">
      <c r="A170" t="s">
        <v>281</v>
      </c>
      <c r="B170" t="s">
        <v>1258</v>
      </c>
      <c r="C170" t="s">
        <v>1748</v>
      </c>
      <c r="E170">
        <v>1</v>
      </c>
      <c r="F170">
        <v>1</v>
      </c>
      <c r="J170" t="s">
        <v>1178</v>
      </c>
      <c r="K170" t="s">
        <v>1173</v>
      </c>
      <c r="L170" t="s">
        <v>1174</v>
      </c>
      <c r="N170" t="s">
        <v>50</v>
      </c>
      <c r="O170">
        <v>1</v>
      </c>
      <c r="Q170">
        <v>0</v>
      </c>
      <c r="R170">
        <v>0</v>
      </c>
      <c r="S170">
        <v>0</v>
      </c>
      <c r="T170">
        <v>0</v>
      </c>
      <c r="U170" s="20">
        <v>45895.917557870373</v>
      </c>
      <c r="V170" s="20">
        <v>45969.865879629629</v>
      </c>
      <c r="Z170" t="s">
        <v>1258</v>
      </c>
      <c r="AA170" t="s">
        <v>279</v>
      </c>
      <c r="AX170" t="s">
        <v>3585</v>
      </c>
    </row>
    <row r="171" spans="1:51" x14ac:dyDescent="0.25">
      <c r="A171" t="s">
        <v>288</v>
      </c>
      <c r="B171" t="s">
        <v>1258</v>
      </c>
      <c r="C171" t="s">
        <v>1873</v>
      </c>
      <c r="E171">
        <v>1</v>
      </c>
      <c r="F171">
        <v>1</v>
      </c>
      <c r="J171" t="s">
        <v>1178</v>
      </c>
      <c r="K171" t="s">
        <v>1173</v>
      </c>
      <c r="L171" t="s">
        <v>1174</v>
      </c>
      <c r="N171" t="s">
        <v>50</v>
      </c>
      <c r="O171">
        <v>1</v>
      </c>
      <c r="Q171">
        <v>0</v>
      </c>
      <c r="R171">
        <v>0</v>
      </c>
      <c r="S171">
        <v>0</v>
      </c>
      <c r="T171">
        <v>0</v>
      </c>
      <c r="U171" s="20">
        <v>45895.923449074071</v>
      </c>
      <c r="V171" s="20">
        <v>45969.824942129628</v>
      </c>
      <c r="Z171" t="s">
        <v>1258</v>
      </c>
      <c r="AA171" t="s">
        <v>279</v>
      </c>
      <c r="AX171" t="s">
        <v>3586</v>
      </c>
    </row>
    <row r="172" spans="1:51" x14ac:dyDescent="0.25">
      <c r="A172" t="s">
        <v>471</v>
      </c>
      <c r="B172" t="s">
        <v>1258</v>
      </c>
      <c r="C172" t="s">
        <v>1673</v>
      </c>
      <c r="E172">
        <v>1</v>
      </c>
      <c r="F172">
        <v>1</v>
      </c>
      <c r="J172" t="s">
        <v>1178</v>
      </c>
      <c r="K172" t="s">
        <v>1173</v>
      </c>
      <c r="L172" t="s">
        <v>1174</v>
      </c>
      <c r="N172" t="s">
        <v>50</v>
      </c>
      <c r="O172">
        <v>1</v>
      </c>
      <c r="Q172">
        <v>0</v>
      </c>
      <c r="R172">
        <v>0</v>
      </c>
      <c r="S172">
        <v>0</v>
      </c>
      <c r="T172">
        <v>0</v>
      </c>
      <c r="U172" s="20">
        <v>45896.634976851848</v>
      </c>
      <c r="V172" s="20">
        <v>45969.824930555558</v>
      </c>
      <c r="Z172" t="s">
        <v>1258</v>
      </c>
      <c r="AA172" t="s">
        <v>279</v>
      </c>
      <c r="AX172" t="s">
        <v>3587</v>
      </c>
    </row>
    <row r="173" spans="1:51" x14ac:dyDescent="0.25">
      <c r="A173" t="s">
        <v>466</v>
      </c>
      <c r="B173" t="s">
        <v>1258</v>
      </c>
      <c r="C173" t="s">
        <v>1775</v>
      </c>
      <c r="E173">
        <v>1</v>
      </c>
      <c r="F173">
        <v>1</v>
      </c>
      <c r="J173" t="s">
        <v>1178</v>
      </c>
      <c r="K173" t="s">
        <v>1173</v>
      </c>
      <c r="L173" t="s">
        <v>1174</v>
      </c>
      <c r="N173" t="s">
        <v>50</v>
      </c>
      <c r="O173">
        <v>1</v>
      </c>
      <c r="Q173">
        <v>0</v>
      </c>
      <c r="R173">
        <v>0</v>
      </c>
      <c r="S173">
        <v>0</v>
      </c>
      <c r="T173">
        <v>0</v>
      </c>
      <c r="U173" s="20">
        <v>45896.638738425929</v>
      </c>
      <c r="V173" s="20">
        <v>45969.824942129628</v>
      </c>
      <c r="Z173" t="s">
        <v>1258</v>
      </c>
      <c r="AA173" t="s">
        <v>279</v>
      </c>
      <c r="AB173" t="s">
        <v>387</v>
      </c>
      <c r="AX173" t="s">
        <v>3588</v>
      </c>
    </row>
    <row r="174" spans="1:51" x14ac:dyDescent="0.25">
      <c r="A174" t="s">
        <v>860</v>
      </c>
      <c r="B174" t="s">
        <v>1258</v>
      </c>
      <c r="C174" t="s">
        <v>1304</v>
      </c>
      <c r="E174">
        <v>1</v>
      </c>
      <c r="F174">
        <v>1</v>
      </c>
      <c r="J174" t="s">
        <v>1178</v>
      </c>
      <c r="K174" t="s">
        <v>1173</v>
      </c>
      <c r="L174" t="s">
        <v>1174</v>
      </c>
      <c r="N174" t="s">
        <v>50</v>
      </c>
      <c r="O174">
        <v>1</v>
      </c>
      <c r="Q174">
        <v>0</v>
      </c>
      <c r="R174">
        <v>0</v>
      </c>
      <c r="S174">
        <v>0</v>
      </c>
      <c r="T174">
        <v>0</v>
      </c>
      <c r="U174" s="20">
        <v>45896.79420138889</v>
      </c>
      <c r="V174" s="20">
        <v>45969.824918981481</v>
      </c>
      <c r="Z174" t="s">
        <v>1258</v>
      </c>
      <c r="AA174" t="s">
        <v>279</v>
      </c>
      <c r="AX174" t="s">
        <v>3589</v>
      </c>
    </row>
    <row r="175" spans="1:51" x14ac:dyDescent="0.25">
      <c r="A175" t="s">
        <v>3400</v>
      </c>
      <c r="B175" t="s">
        <v>1258</v>
      </c>
      <c r="C175" t="s">
        <v>1305</v>
      </c>
      <c r="E175">
        <v>1</v>
      </c>
      <c r="F175">
        <v>1</v>
      </c>
      <c r="J175" t="s">
        <v>1178</v>
      </c>
      <c r="K175" t="s">
        <v>1173</v>
      </c>
      <c r="L175" t="s">
        <v>1174</v>
      </c>
      <c r="N175" t="s">
        <v>50</v>
      </c>
      <c r="O175">
        <v>1</v>
      </c>
      <c r="Q175">
        <v>0</v>
      </c>
      <c r="R175">
        <v>0</v>
      </c>
      <c r="S175">
        <v>0</v>
      </c>
      <c r="T175">
        <v>0</v>
      </c>
      <c r="U175" s="20">
        <v>45896.794479166667</v>
      </c>
      <c r="V175" s="20">
        <v>46078.013032407405</v>
      </c>
      <c r="Z175" t="s">
        <v>1258</v>
      </c>
      <c r="AA175" t="s">
        <v>279</v>
      </c>
      <c r="AX175" t="s">
        <v>3590</v>
      </c>
    </row>
    <row r="176" spans="1:51" x14ac:dyDescent="0.25">
      <c r="A176" t="s">
        <v>349</v>
      </c>
      <c r="B176" t="s">
        <v>1168</v>
      </c>
      <c r="C176" t="s">
        <v>1436</v>
      </c>
      <c r="D176" t="s">
        <v>3230</v>
      </c>
      <c r="E176">
        <v>1</v>
      </c>
      <c r="F176">
        <v>1</v>
      </c>
      <c r="H176" t="s">
        <v>1307</v>
      </c>
      <c r="I176" t="s">
        <v>1308</v>
      </c>
      <c r="J176" t="s">
        <v>1172</v>
      </c>
      <c r="K176" t="s">
        <v>1173</v>
      </c>
      <c r="L176" t="s">
        <v>1174</v>
      </c>
      <c r="M176">
        <v>0</v>
      </c>
      <c r="N176" t="s">
        <v>50</v>
      </c>
      <c r="O176">
        <v>1</v>
      </c>
      <c r="P176">
        <v>0</v>
      </c>
      <c r="Q176">
        <v>0</v>
      </c>
      <c r="R176">
        <v>0</v>
      </c>
      <c r="S176">
        <v>0</v>
      </c>
      <c r="T176">
        <v>0</v>
      </c>
      <c r="U176" s="20">
        <v>45895.764999999999</v>
      </c>
      <c r="V176" s="20">
        <v>46077.993217592593</v>
      </c>
      <c r="Y176">
        <v>0</v>
      </c>
      <c r="Z176" t="s">
        <v>1308</v>
      </c>
      <c r="AA176" t="s">
        <v>350</v>
      </c>
      <c r="AL176" t="s">
        <v>2672</v>
      </c>
      <c r="AO176" t="s">
        <v>350</v>
      </c>
      <c r="AP176" t="s">
        <v>62</v>
      </c>
      <c r="AQ176" t="s">
        <v>351</v>
      </c>
      <c r="AR176" t="s">
        <v>89</v>
      </c>
      <c r="AV176" t="s">
        <v>3295</v>
      </c>
      <c r="AW176" t="s">
        <v>352</v>
      </c>
      <c r="AX176" t="s">
        <v>3591</v>
      </c>
    </row>
    <row r="177" spans="1:50" x14ac:dyDescent="0.25">
      <c r="A177" t="s">
        <v>325</v>
      </c>
      <c r="B177" t="s">
        <v>1168</v>
      </c>
      <c r="C177" t="s">
        <v>1426</v>
      </c>
      <c r="D177" t="s">
        <v>3296</v>
      </c>
      <c r="E177">
        <v>1</v>
      </c>
      <c r="F177">
        <v>1</v>
      </c>
      <c r="H177" t="s">
        <v>1307</v>
      </c>
      <c r="I177" t="s">
        <v>1308</v>
      </c>
      <c r="J177" t="s">
        <v>1172</v>
      </c>
      <c r="K177" t="s">
        <v>1173</v>
      </c>
      <c r="L177" t="s">
        <v>1174</v>
      </c>
      <c r="M177">
        <v>0</v>
      </c>
      <c r="N177" t="s">
        <v>50</v>
      </c>
      <c r="O177">
        <v>1</v>
      </c>
      <c r="P177">
        <v>0</v>
      </c>
      <c r="Q177">
        <v>0</v>
      </c>
      <c r="R177">
        <v>0</v>
      </c>
      <c r="S177">
        <v>0</v>
      </c>
      <c r="T177">
        <v>0</v>
      </c>
      <c r="U177" s="20">
        <v>45895.768425925926</v>
      </c>
      <c r="V177" s="20">
        <v>46077.99322916667</v>
      </c>
      <c r="Y177">
        <v>0</v>
      </c>
      <c r="Z177" t="s">
        <v>1308</v>
      </c>
      <c r="AA177" t="s">
        <v>312</v>
      </c>
      <c r="AL177" t="s">
        <v>2656</v>
      </c>
      <c r="AM177" t="s">
        <v>37</v>
      </c>
      <c r="AN177" t="s">
        <v>102</v>
      </c>
      <c r="AO177" t="s">
        <v>312</v>
      </c>
      <c r="AP177" t="s">
        <v>62</v>
      </c>
      <c r="AQ177" t="s">
        <v>326</v>
      </c>
      <c r="AR177" t="s">
        <v>89</v>
      </c>
      <c r="AV177" t="s">
        <v>3236</v>
      </c>
      <c r="AW177" t="s">
        <v>327</v>
      </c>
      <c r="AX177" t="s">
        <v>3592</v>
      </c>
    </row>
    <row r="178" spans="1:50" x14ac:dyDescent="0.25">
      <c r="A178" t="s">
        <v>339</v>
      </c>
      <c r="B178" t="s">
        <v>1168</v>
      </c>
      <c r="C178" t="s">
        <v>1431</v>
      </c>
      <c r="D178" t="s">
        <v>3203</v>
      </c>
      <c r="E178">
        <v>1</v>
      </c>
      <c r="F178">
        <v>1</v>
      </c>
      <c r="H178" t="s">
        <v>1307</v>
      </c>
      <c r="I178" t="s">
        <v>1308</v>
      </c>
      <c r="J178" t="s">
        <v>1172</v>
      </c>
      <c r="K178" t="s">
        <v>1173</v>
      </c>
      <c r="L178" t="s">
        <v>1174</v>
      </c>
      <c r="M178">
        <v>0</v>
      </c>
      <c r="N178" t="s">
        <v>50</v>
      </c>
      <c r="O178">
        <v>1</v>
      </c>
      <c r="P178">
        <v>0</v>
      </c>
      <c r="Q178">
        <v>0</v>
      </c>
      <c r="R178">
        <v>0</v>
      </c>
      <c r="S178">
        <v>0</v>
      </c>
      <c r="T178">
        <v>0</v>
      </c>
      <c r="U178" s="20">
        <v>45895.791018518517</v>
      </c>
      <c r="V178" s="20">
        <v>46071.946134259262</v>
      </c>
      <c r="Y178">
        <v>0</v>
      </c>
      <c r="Z178" t="s">
        <v>1308</v>
      </c>
      <c r="AA178" t="s">
        <v>312</v>
      </c>
      <c r="AL178" t="s">
        <v>2666</v>
      </c>
      <c r="AO178" t="s">
        <v>312</v>
      </c>
      <c r="AP178" t="s">
        <v>62</v>
      </c>
      <c r="AQ178" t="s">
        <v>3178</v>
      </c>
      <c r="AR178" t="s">
        <v>89</v>
      </c>
      <c r="AV178" t="s">
        <v>3180</v>
      </c>
      <c r="AW178" t="s">
        <v>3179</v>
      </c>
      <c r="AX178" t="s">
        <v>3593</v>
      </c>
    </row>
    <row r="179" spans="1:50" x14ac:dyDescent="0.25">
      <c r="A179" t="s">
        <v>316</v>
      </c>
      <c r="B179" t="s">
        <v>1168</v>
      </c>
      <c r="C179" t="s">
        <v>1423</v>
      </c>
      <c r="D179" t="s">
        <v>2480</v>
      </c>
      <c r="E179">
        <v>1</v>
      </c>
      <c r="F179">
        <v>1</v>
      </c>
      <c r="H179" t="s">
        <v>1307</v>
      </c>
      <c r="I179" t="s">
        <v>1308</v>
      </c>
      <c r="J179" t="s">
        <v>1172</v>
      </c>
      <c r="K179" t="s">
        <v>1173</v>
      </c>
      <c r="L179" t="s">
        <v>1174</v>
      </c>
      <c r="M179">
        <v>0</v>
      </c>
      <c r="N179" t="s">
        <v>41</v>
      </c>
      <c r="O179">
        <v>1</v>
      </c>
      <c r="P179">
        <v>0</v>
      </c>
      <c r="Q179">
        <v>0</v>
      </c>
      <c r="R179">
        <v>0</v>
      </c>
      <c r="S179">
        <v>0</v>
      </c>
      <c r="T179">
        <v>0</v>
      </c>
      <c r="U179" s="20">
        <v>45895.791631944441</v>
      </c>
      <c r="V179" s="20">
        <v>46030.048796296294</v>
      </c>
      <c r="Y179">
        <v>0</v>
      </c>
      <c r="Z179" t="s">
        <v>1308</v>
      </c>
      <c r="AA179" t="s">
        <v>312</v>
      </c>
      <c r="AL179" t="s">
        <v>2655</v>
      </c>
      <c r="AO179" t="s">
        <v>312</v>
      </c>
      <c r="AP179" t="s">
        <v>62</v>
      </c>
      <c r="AQ179" t="s">
        <v>317</v>
      </c>
      <c r="AR179" t="s">
        <v>89</v>
      </c>
      <c r="AW179" t="s">
        <v>318</v>
      </c>
      <c r="AX179" t="s">
        <v>3594</v>
      </c>
    </row>
    <row r="180" spans="1:50" x14ac:dyDescent="0.25">
      <c r="A180" t="s">
        <v>331</v>
      </c>
      <c r="B180" t="s">
        <v>1168</v>
      </c>
      <c r="C180" t="s">
        <v>1428</v>
      </c>
      <c r="D180" t="s">
        <v>3297</v>
      </c>
      <c r="E180">
        <v>1</v>
      </c>
      <c r="F180">
        <v>1</v>
      </c>
      <c r="H180" t="s">
        <v>1307</v>
      </c>
      <c r="I180" t="s">
        <v>1308</v>
      </c>
      <c r="J180" t="s">
        <v>1172</v>
      </c>
      <c r="K180" t="s">
        <v>1173</v>
      </c>
      <c r="L180" t="s">
        <v>1174</v>
      </c>
      <c r="M180">
        <v>0</v>
      </c>
      <c r="N180" t="s">
        <v>50</v>
      </c>
      <c r="O180">
        <v>1</v>
      </c>
      <c r="P180">
        <v>0</v>
      </c>
      <c r="Q180">
        <v>0</v>
      </c>
      <c r="R180">
        <v>0</v>
      </c>
      <c r="S180">
        <v>0</v>
      </c>
      <c r="T180">
        <v>0</v>
      </c>
      <c r="U180" s="20">
        <v>45895.792013888888</v>
      </c>
      <c r="V180" s="20">
        <v>46077.993217592593</v>
      </c>
      <c r="Y180">
        <v>0</v>
      </c>
      <c r="Z180" t="s">
        <v>1308</v>
      </c>
      <c r="AA180" t="s">
        <v>312</v>
      </c>
      <c r="AL180" t="s">
        <v>2659</v>
      </c>
      <c r="AN180" t="s">
        <v>102</v>
      </c>
      <c r="AO180" t="s">
        <v>312</v>
      </c>
      <c r="AP180" t="s">
        <v>62</v>
      </c>
      <c r="AQ180" t="s">
        <v>332</v>
      </c>
      <c r="AR180" t="s">
        <v>89</v>
      </c>
      <c r="AV180" t="s">
        <v>3238</v>
      </c>
      <c r="AW180" t="s">
        <v>333</v>
      </c>
      <c r="AX180" t="s">
        <v>3595</v>
      </c>
    </row>
    <row r="181" spans="1:50" x14ac:dyDescent="0.25">
      <c r="A181" t="s">
        <v>311</v>
      </c>
      <c r="B181" t="s">
        <v>1168</v>
      </c>
      <c r="C181" t="s">
        <v>1422</v>
      </c>
      <c r="D181" t="s">
        <v>92</v>
      </c>
      <c r="E181">
        <v>1</v>
      </c>
      <c r="F181">
        <v>1</v>
      </c>
      <c r="H181" t="s">
        <v>1307</v>
      </c>
      <c r="I181" t="s">
        <v>1308</v>
      </c>
      <c r="J181" t="s">
        <v>1172</v>
      </c>
      <c r="K181" t="s">
        <v>1173</v>
      </c>
      <c r="L181" t="s">
        <v>1174</v>
      </c>
      <c r="M181">
        <v>0</v>
      </c>
      <c r="N181" t="s">
        <v>50</v>
      </c>
      <c r="O181">
        <v>1</v>
      </c>
      <c r="P181">
        <v>0</v>
      </c>
      <c r="Q181">
        <v>0</v>
      </c>
      <c r="R181">
        <v>0</v>
      </c>
      <c r="S181">
        <v>0</v>
      </c>
      <c r="T181">
        <v>0</v>
      </c>
      <c r="U181" s="20">
        <v>45895.793414351851</v>
      </c>
      <c r="V181" s="20">
        <v>46002.067604166667</v>
      </c>
      <c r="Y181">
        <v>0</v>
      </c>
      <c r="Z181" t="s">
        <v>1308</v>
      </c>
      <c r="AA181" t="s">
        <v>312</v>
      </c>
      <c r="AL181" t="s">
        <v>2654</v>
      </c>
      <c r="AM181" t="s">
        <v>37</v>
      </c>
      <c r="AN181" t="s">
        <v>86</v>
      </c>
      <c r="AO181" t="s">
        <v>312</v>
      </c>
      <c r="AP181" t="s">
        <v>62</v>
      </c>
      <c r="AQ181" t="s">
        <v>313</v>
      </c>
      <c r="AR181" t="s">
        <v>89</v>
      </c>
      <c r="AV181" t="s">
        <v>91</v>
      </c>
      <c r="AW181" t="s">
        <v>314</v>
      </c>
      <c r="AX181" t="s">
        <v>3596</v>
      </c>
    </row>
    <row r="182" spans="1:50" x14ac:dyDescent="0.25">
      <c r="A182" t="s">
        <v>328</v>
      </c>
      <c r="B182" t="s">
        <v>1168</v>
      </c>
      <c r="C182" t="s">
        <v>1427</v>
      </c>
      <c r="D182" t="s">
        <v>3230</v>
      </c>
      <c r="E182">
        <v>1</v>
      </c>
      <c r="F182">
        <v>1</v>
      </c>
      <c r="H182" t="s">
        <v>1307</v>
      </c>
      <c r="I182" t="s">
        <v>1308</v>
      </c>
      <c r="J182" t="s">
        <v>1172</v>
      </c>
      <c r="K182" t="s">
        <v>1173</v>
      </c>
      <c r="L182" t="s">
        <v>1174</v>
      </c>
      <c r="M182">
        <v>0</v>
      </c>
      <c r="N182" t="s">
        <v>50</v>
      </c>
      <c r="O182">
        <v>1</v>
      </c>
      <c r="P182">
        <v>0</v>
      </c>
      <c r="Q182">
        <v>0</v>
      </c>
      <c r="R182">
        <v>0</v>
      </c>
      <c r="S182">
        <v>0</v>
      </c>
      <c r="T182">
        <v>0</v>
      </c>
      <c r="U182" s="20">
        <v>45895.793773148151</v>
      </c>
      <c r="V182" s="20">
        <v>46077.993206018517</v>
      </c>
      <c r="Y182">
        <v>0</v>
      </c>
      <c r="Z182" t="s">
        <v>1308</v>
      </c>
      <c r="AA182" t="s">
        <v>320</v>
      </c>
      <c r="AL182" t="s">
        <v>2658</v>
      </c>
      <c r="AO182" t="s">
        <v>320</v>
      </c>
      <c r="AP182" t="s">
        <v>62</v>
      </c>
      <c r="AQ182" t="s">
        <v>329</v>
      </c>
      <c r="AR182" t="s">
        <v>73</v>
      </c>
      <c r="AV182" t="s">
        <v>3237</v>
      </c>
      <c r="AW182" t="s">
        <v>330</v>
      </c>
      <c r="AX182" t="s">
        <v>3597</v>
      </c>
    </row>
    <row r="183" spans="1:50" x14ac:dyDescent="0.25">
      <c r="A183" t="s">
        <v>341</v>
      </c>
      <c r="B183" t="s">
        <v>1168</v>
      </c>
      <c r="C183" t="s">
        <v>1432</v>
      </c>
      <c r="D183" t="s">
        <v>3413</v>
      </c>
      <c r="E183">
        <v>1</v>
      </c>
      <c r="F183">
        <v>1</v>
      </c>
      <c r="H183" t="s">
        <v>1307</v>
      </c>
      <c r="I183" t="s">
        <v>1308</v>
      </c>
      <c r="J183" t="s">
        <v>1172</v>
      </c>
      <c r="K183" t="s">
        <v>1173</v>
      </c>
      <c r="L183" t="s">
        <v>1174</v>
      </c>
      <c r="M183">
        <v>0</v>
      </c>
      <c r="N183" t="s">
        <v>50</v>
      </c>
      <c r="O183">
        <v>1</v>
      </c>
      <c r="P183">
        <v>0</v>
      </c>
      <c r="Q183">
        <v>0</v>
      </c>
      <c r="R183">
        <v>0</v>
      </c>
      <c r="S183">
        <v>0</v>
      </c>
      <c r="T183">
        <v>0</v>
      </c>
      <c r="U183" s="20">
        <v>45895.794444444444</v>
      </c>
      <c r="V183" s="20">
        <v>46078.824791666666</v>
      </c>
      <c r="Y183">
        <v>0</v>
      </c>
      <c r="Z183" t="s">
        <v>1308</v>
      </c>
      <c r="AA183" t="s">
        <v>312</v>
      </c>
      <c r="AL183" t="s">
        <v>2668</v>
      </c>
      <c r="AO183" t="s">
        <v>312</v>
      </c>
      <c r="AP183" t="s">
        <v>62</v>
      </c>
      <c r="AQ183" t="s">
        <v>342</v>
      </c>
      <c r="AR183" t="s">
        <v>73</v>
      </c>
      <c r="AV183" t="s">
        <v>3406</v>
      </c>
      <c r="AW183" t="s">
        <v>343</v>
      </c>
      <c r="AX183" t="s">
        <v>3598</v>
      </c>
    </row>
    <row r="184" spans="1:50" x14ac:dyDescent="0.25">
      <c r="A184" t="s">
        <v>319</v>
      </c>
      <c r="B184" t="s">
        <v>1168</v>
      </c>
      <c r="C184" t="s">
        <v>1424</v>
      </c>
      <c r="D184" t="s">
        <v>3199</v>
      </c>
      <c r="E184">
        <v>1</v>
      </c>
      <c r="F184">
        <v>1</v>
      </c>
      <c r="H184" t="s">
        <v>1307</v>
      </c>
      <c r="I184" t="s">
        <v>1308</v>
      </c>
      <c r="J184" t="s">
        <v>1172</v>
      </c>
      <c r="K184" t="s">
        <v>1173</v>
      </c>
      <c r="L184" t="s">
        <v>1174</v>
      </c>
      <c r="M184">
        <v>0</v>
      </c>
      <c r="N184" t="s">
        <v>41</v>
      </c>
      <c r="O184">
        <v>1</v>
      </c>
      <c r="P184">
        <v>0</v>
      </c>
      <c r="Q184">
        <v>0</v>
      </c>
      <c r="R184">
        <v>0</v>
      </c>
      <c r="S184">
        <v>0</v>
      </c>
      <c r="T184">
        <v>0</v>
      </c>
      <c r="U184" s="20">
        <v>45895.823831018519</v>
      </c>
      <c r="V184" s="20">
        <v>46071.948379629626</v>
      </c>
      <c r="Y184">
        <v>0</v>
      </c>
      <c r="Z184" t="s">
        <v>1308</v>
      </c>
      <c r="AA184" t="s">
        <v>320</v>
      </c>
      <c r="AL184" t="s">
        <v>3096</v>
      </c>
      <c r="AO184" t="s">
        <v>320</v>
      </c>
      <c r="AQ184" t="s">
        <v>321</v>
      </c>
      <c r="AR184" t="s">
        <v>51</v>
      </c>
      <c r="AW184" t="s">
        <v>322</v>
      </c>
      <c r="AX184" t="s">
        <v>3599</v>
      </c>
    </row>
    <row r="185" spans="1:50" x14ac:dyDescent="0.25">
      <c r="A185" t="s">
        <v>551</v>
      </c>
      <c r="B185" t="s">
        <v>1168</v>
      </c>
      <c r="C185" t="s">
        <v>1506</v>
      </c>
      <c r="D185" t="s">
        <v>3204</v>
      </c>
      <c r="E185">
        <v>1</v>
      </c>
      <c r="F185">
        <v>1</v>
      </c>
      <c r="H185" t="s">
        <v>1307</v>
      </c>
      <c r="I185" t="s">
        <v>1308</v>
      </c>
      <c r="J185" t="s">
        <v>1172</v>
      </c>
      <c r="K185" t="s">
        <v>1173</v>
      </c>
      <c r="L185" t="s">
        <v>1174</v>
      </c>
      <c r="M185">
        <v>0</v>
      </c>
      <c r="N185" t="s">
        <v>50</v>
      </c>
      <c r="O185">
        <v>1</v>
      </c>
      <c r="P185">
        <v>0</v>
      </c>
      <c r="Q185">
        <v>0</v>
      </c>
      <c r="R185">
        <v>0</v>
      </c>
      <c r="S185">
        <v>0</v>
      </c>
      <c r="T185">
        <v>0</v>
      </c>
      <c r="U185" s="20">
        <v>45895.824270833335</v>
      </c>
      <c r="V185" s="20">
        <v>46071.945787037039</v>
      </c>
      <c r="Y185">
        <v>0</v>
      </c>
      <c r="Z185" t="s">
        <v>1308</v>
      </c>
      <c r="AA185" t="s">
        <v>312</v>
      </c>
      <c r="AL185" t="s">
        <v>2760</v>
      </c>
      <c r="AO185" t="s">
        <v>312</v>
      </c>
      <c r="AP185" t="s">
        <v>62</v>
      </c>
      <c r="AQ185" t="s">
        <v>3185</v>
      </c>
      <c r="AR185" t="s">
        <v>89</v>
      </c>
      <c r="AV185" t="s">
        <v>3181</v>
      </c>
      <c r="AW185" t="s">
        <v>3186</v>
      </c>
      <c r="AX185" t="s">
        <v>3600</v>
      </c>
    </row>
    <row r="186" spans="1:50" x14ac:dyDescent="0.25">
      <c r="A186" t="s">
        <v>334</v>
      </c>
      <c r="B186" t="s">
        <v>1168</v>
      </c>
      <c r="C186" t="s">
        <v>1429</v>
      </c>
      <c r="D186" t="s">
        <v>3291</v>
      </c>
      <c r="E186">
        <v>1</v>
      </c>
      <c r="F186">
        <v>1</v>
      </c>
      <c r="H186" t="s">
        <v>1307</v>
      </c>
      <c r="I186" t="s">
        <v>1308</v>
      </c>
      <c r="J186" t="s">
        <v>1172</v>
      </c>
      <c r="K186" t="s">
        <v>1173</v>
      </c>
      <c r="L186" t="s">
        <v>1174</v>
      </c>
      <c r="M186">
        <v>0</v>
      </c>
      <c r="N186" t="s">
        <v>50</v>
      </c>
      <c r="O186">
        <v>1</v>
      </c>
      <c r="P186">
        <v>0</v>
      </c>
      <c r="Q186">
        <v>0</v>
      </c>
      <c r="R186">
        <v>0</v>
      </c>
      <c r="S186">
        <v>0</v>
      </c>
      <c r="T186">
        <v>0</v>
      </c>
      <c r="U186" s="20">
        <v>45895.825532407405</v>
      </c>
      <c r="V186" s="20">
        <v>46077.993206018517</v>
      </c>
      <c r="Y186">
        <v>0</v>
      </c>
      <c r="Z186" t="s">
        <v>1308</v>
      </c>
      <c r="AA186" t="s">
        <v>312</v>
      </c>
      <c r="AL186" t="s">
        <v>2662</v>
      </c>
      <c r="AO186" t="s">
        <v>312</v>
      </c>
      <c r="AP186" t="s">
        <v>62</v>
      </c>
      <c r="AQ186" t="s">
        <v>335</v>
      </c>
      <c r="AR186" t="s">
        <v>89</v>
      </c>
      <c r="AV186" t="s">
        <v>115</v>
      </c>
      <c r="AW186" t="s">
        <v>3183</v>
      </c>
      <c r="AX186" t="s">
        <v>3601</v>
      </c>
    </row>
    <row r="187" spans="1:50" x14ac:dyDescent="0.25">
      <c r="A187" t="s">
        <v>435</v>
      </c>
      <c r="B187" t="s">
        <v>1168</v>
      </c>
      <c r="C187" t="s">
        <v>1465</v>
      </c>
      <c r="D187" t="s">
        <v>440</v>
      </c>
      <c r="E187">
        <v>1</v>
      </c>
      <c r="F187">
        <v>1</v>
      </c>
      <c r="H187" t="s">
        <v>1307</v>
      </c>
      <c r="I187" t="s">
        <v>1308</v>
      </c>
      <c r="J187" t="s">
        <v>1172</v>
      </c>
      <c r="K187" t="s">
        <v>1173</v>
      </c>
      <c r="L187" t="s">
        <v>1174</v>
      </c>
      <c r="M187">
        <v>0</v>
      </c>
      <c r="N187" t="s">
        <v>50</v>
      </c>
      <c r="O187">
        <v>1</v>
      </c>
      <c r="P187">
        <v>0</v>
      </c>
      <c r="Q187">
        <v>0</v>
      </c>
      <c r="R187">
        <v>0</v>
      </c>
      <c r="S187">
        <v>0</v>
      </c>
      <c r="T187">
        <v>0</v>
      </c>
      <c r="U187" s="20">
        <v>45895.82576388889</v>
      </c>
      <c r="V187" s="20">
        <v>46002.067557870374</v>
      </c>
      <c r="Y187">
        <v>0</v>
      </c>
      <c r="Z187" t="s">
        <v>1308</v>
      </c>
      <c r="AA187" t="s">
        <v>312</v>
      </c>
      <c r="AL187" t="s">
        <v>3013</v>
      </c>
      <c r="AM187" t="s">
        <v>37</v>
      </c>
      <c r="AN187" t="s">
        <v>436</v>
      </c>
      <c r="AO187" t="s">
        <v>48</v>
      </c>
      <c r="AP187" t="s">
        <v>62</v>
      </c>
      <c r="AQ187" t="s">
        <v>437</v>
      </c>
      <c r="AR187" t="s">
        <v>73</v>
      </c>
      <c r="AV187" t="s">
        <v>439</v>
      </c>
      <c r="AW187" t="s">
        <v>438</v>
      </c>
      <c r="AX187" t="s">
        <v>3602</v>
      </c>
    </row>
    <row r="188" spans="1:50" x14ac:dyDescent="0.25">
      <c r="A188" t="s">
        <v>502</v>
      </c>
      <c r="B188" t="s">
        <v>1168</v>
      </c>
      <c r="C188" t="s">
        <v>1486</v>
      </c>
      <c r="D188" t="s">
        <v>3298</v>
      </c>
      <c r="E188">
        <v>1</v>
      </c>
      <c r="F188">
        <v>1</v>
      </c>
      <c r="H188" t="s">
        <v>1307</v>
      </c>
      <c r="I188" t="s">
        <v>1308</v>
      </c>
      <c r="J188" t="s">
        <v>1172</v>
      </c>
      <c r="K188" t="s">
        <v>1173</v>
      </c>
      <c r="L188" t="s">
        <v>1174</v>
      </c>
      <c r="M188">
        <v>0</v>
      </c>
      <c r="N188" t="s">
        <v>50</v>
      </c>
      <c r="O188">
        <v>1</v>
      </c>
      <c r="P188">
        <v>0</v>
      </c>
      <c r="Q188">
        <v>0</v>
      </c>
      <c r="R188">
        <v>0</v>
      </c>
      <c r="S188">
        <v>0</v>
      </c>
      <c r="T188">
        <v>0</v>
      </c>
      <c r="U188" s="20">
        <v>45895.832488425927</v>
      </c>
      <c r="V188" s="20">
        <v>46077.99322916667</v>
      </c>
      <c r="Y188">
        <v>0</v>
      </c>
      <c r="Z188" t="s">
        <v>1308</v>
      </c>
      <c r="AA188" t="s">
        <v>320</v>
      </c>
      <c r="AL188" t="s">
        <v>2738</v>
      </c>
      <c r="AO188" t="s">
        <v>320</v>
      </c>
      <c r="AP188" t="s">
        <v>62</v>
      </c>
      <c r="AQ188" t="s">
        <v>503</v>
      </c>
      <c r="AR188" t="s">
        <v>89</v>
      </c>
      <c r="AV188" t="s">
        <v>3299</v>
      </c>
      <c r="AW188" t="s">
        <v>504</v>
      </c>
      <c r="AX188" t="s">
        <v>3603</v>
      </c>
    </row>
    <row r="189" spans="1:50" x14ac:dyDescent="0.25">
      <c r="A189" t="s">
        <v>415</v>
      </c>
      <c r="B189" t="s">
        <v>1168</v>
      </c>
      <c r="C189" t="s">
        <v>1460</v>
      </c>
      <c r="D189" t="s">
        <v>418</v>
      </c>
      <c r="E189">
        <v>1</v>
      </c>
      <c r="F189">
        <v>1</v>
      </c>
      <c r="H189" t="s">
        <v>1307</v>
      </c>
      <c r="I189" t="s">
        <v>1308</v>
      </c>
      <c r="J189" t="s">
        <v>1172</v>
      </c>
      <c r="K189" t="s">
        <v>1173</v>
      </c>
      <c r="L189" t="s">
        <v>1174</v>
      </c>
      <c r="M189">
        <v>0</v>
      </c>
      <c r="N189" t="s">
        <v>41</v>
      </c>
      <c r="O189">
        <v>1</v>
      </c>
      <c r="P189">
        <v>0</v>
      </c>
      <c r="Q189">
        <v>0</v>
      </c>
      <c r="R189">
        <v>0</v>
      </c>
      <c r="S189">
        <v>0</v>
      </c>
      <c r="T189">
        <v>0</v>
      </c>
      <c r="U189" s="20">
        <v>45895.832673611112</v>
      </c>
      <c r="V189" s="20">
        <v>46002.067569444444</v>
      </c>
      <c r="Y189">
        <v>0</v>
      </c>
      <c r="Z189" t="s">
        <v>1308</v>
      </c>
      <c r="AA189" t="s">
        <v>312</v>
      </c>
      <c r="AB189" t="s">
        <v>46</v>
      </c>
      <c r="AL189" t="s">
        <v>2707</v>
      </c>
      <c r="AM189" t="s">
        <v>46</v>
      </c>
      <c r="AN189" t="s">
        <v>86</v>
      </c>
      <c r="AO189" t="s">
        <v>312</v>
      </c>
      <c r="AQ189" t="s">
        <v>416</v>
      </c>
      <c r="AR189" t="s">
        <v>89</v>
      </c>
      <c r="AV189" t="s">
        <v>150</v>
      </c>
      <c r="AW189" t="s">
        <v>417</v>
      </c>
      <c r="AX189" t="s">
        <v>3604</v>
      </c>
    </row>
    <row r="190" spans="1:50" x14ac:dyDescent="0.25">
      <c r="A190" t="s">
        <v>399</v>
      </c>
      <c r="B190" t="s">
        <v>1168</v>
      </c>
      <c r="C190" t="s">
        <v>1455</v>
      </c>
      <c r="D190" t="s">
        <v>3300</v>
      </c>
      <c r="E190">
        <v>1</v>
      </c>
      <c r="F190">
        <v>1</v>
      </c>
      <c r="H190" t="s">
        <v>1307</v>
      </c>
      <c r="I190" t="s">
        <v>1308</v>
      </c>
      <c r="J190" t="s">
        <v>1172</v>
      </c>
      <c r="K190" t="s">
        <v>1173</v>
      </c>
      <c r="L190" t="s">
        <v>1174</v>
      </c>
      <c r="M190">
        <v>0</v>
      </c>
      <c r="N190" t="s">
        <v>50</v>
      </c>
      <c r="O190">
        <v>1</v>
      </c>
      <c r="P190">
        <v>0</v>
      </c>
      <c r="Q190">
        <v>0</v>
      </c>
      <c r="R190">
        <v>0</v>
      </c>
      <c r="S190">
        <v>0</v>
      </c>
      <c r="T190">
        <v>0</v>
      </c>
      <c r="U190" s="20">
        <v>45895.834537037037</v>
      </c>
      <c r="V190" s="20">
        <v>46077.993217592593</v>
      </c>
      <c r="Y190">
        <v>0</v>
      </c>
      <c r="Z190" t="s">
        <v>1308</v>
      </c>
      <c r="AA190" t="s">
        <v>312</v>
      </c>
      <c r="AL190" t="s">
        <v>2696</v>
      </c>
      <c r="AM190" t="s">
        <v>86</v>
      </c>
      <c r="AN190" t="s">
        <v>120</v>
      </c>
      <c r="AO190" t="s">
        <v>312</v>
      </c>
      <c r="AP190" t="s">
        <v>62</v>
      </c>
      <c r="AQ190" t="s">
        <v>400</v>
      </c>
      <c r="AR190" t="s">
        <v>89</v>
      </c>
      <c r="AV190" t="s">
        <v>402</v>
      </c>
      <c r="AW190" t="s">
        <v>401</v>
      </c>
      <c r="AX190" t="s">
        <v>3605</v>
      </c>
    </row>
    <row r="191" spans="1:50" x14ac:dyDescent="0.25">
      <c r="A191" t="s">
        <v>403</v>
      </c>
      <c r="B191" t="s">
        <v>1168</v>
      </c>
      <c r="C191" t="s">
        <v>1456</v>
      </c>
      <c r="D191" t="s">
        <v>3301</v>
      </c>
      <c r="E191">
        <v>1</v>
      </c>
      <c r="F191">
        <v>1</v>
      </c>
      <c r="H191" t="s">
        <v>1307</v>
      </c>
      <c r="I191" t="s">
        <v>1308</v>
      </c>
      <c r="J191" t="s">
        <v>1172</v>
      </c>
      <c r="K191" t="s">
        <v>1173</v>
      </c>
      <c r="L191" t="s">
        <v>1174</v>
      </c>
      <c r="M191">
        <v>0</v>
      </c>
      <c r="N191" t="s">
        <v>50</v>
      </c>
      <c r="O191">
        <v>1</v>
      </c>
      <c r="P191">
        <v>0</v>
      </c>
      <c r="Q191">
        <v>0</v>
      </c>
      <c r="R191">
        <v>0</v>
      </c>
      <c r="S191">
        <v>0</v>
      </c>
      <c r="T191">
        <v>0</v>
      </c>
      <c r="U191" s="20">
        <v>45895.83699074074</v>
      </c>
      <c r="V191" s="20">
        <v>46077.99322916667</v>
      </c>
      <c r="Y191">
        <v>0</v>
      </c>
      <c r="Z191" t="s">
        <v>1308</v>
      </c>
      <c r="AA191" t="s">
        <v>312</v>
      </c>
      <c r="AL191" t="s">
        <v>2697</v>
      </c>
      <c r="AO191" t="s">
        <v>312</v>
      </c>
      <c r="AP191" t="s">
        <v>164</v>
      </c>
      <c r="AQ191" t="s">
        <v>404</v>
      </c>
      <c r="AR191" t="s">
        <v>89</v>
      </c>
      <c r="AV191" t="s">
        <v>3242</v>
      </c>
      <c r="AW191" t="s">
        <v>405</v>
      </c>
      <c r="AX191" t="s">
        <v>3606</v>
      </c>
    </row>
    <row r="192" spans="1:50" x14ac:dyDescent="0.25">
      <c r="A192" t="s">
        <v>409</v>
      </c>
      <c r="B192" t="s">
        <v>1168</v>
      </c>
      <c r="C192" t="s">
        <v>1458</v>
      </c>
      <c r="D192" t="s">
        <v>3302</v>
      </c>
      <c r="E192">
        <v>1</v>
      </c>
      <c r="F192">
        <v>1</v>
      </c>
      <c r="H192" t="s">
        <v>1307</v>
      </c>
      <c r="I192" t="s">
        <v>1308</v>
      </c>
      <c r="J192" t="s">
        <v>1172</v>
      </c>
      <c r="K192" t="s">
        <v>1173</v>
      </c>
      <c r="L192" t="s">
        <v>1174</v>
      </c>
      <c r="M192">
        <v>0</v>
      </c>
      <c r="N192" t="s">
        <v>50</v>
      </c>
      <c r="O192">
        <v>1</v>
      </c>
      <c r="P192">
        <v>0</v>
      </c>
      <c r="Q192">
        <v>0</v>
      </c>
      <c r="R192">
        <v>0</v>
      </c>
      <c r="S192">
        <v>0</v>
      </c>
      <c r="T192">
        <v>0</v>
      </c>
      <c r="U192" s="20">
        <v>45895.838310185187</v>
      </c>
      <c r="V192" s="20">
        <v>46077.99322916667</v>
      </c>
      <c r="Y192">
        <v>0</v>
      </c>
      <c r="Z192" t="s">
        <v>1308</v>
      </c>
      <c r="AA192" t="s">
        <v>312</v>
      </c>
      <c r="AL192" t="s">
        <v>2703</v>
      </c>
      <c r="AO192" t="s">
        <v>312</v>
      </c>
      <c r="AP192" t="s">
        <v>62</v>
      </c>
      <c r="AQ192" t="s">
        <v>410</v>
      </c>
      <c r="AR192" t="s">
        <v>51</v>
      </c>
      <c r="AV192" t="s">
        <v>3303</v>
      </c>
      <c r="AW192" t="s">
        <v>411</v>
      </c>
      <c r="AX192" t="s">
        <v>3607</v>
      </c>
    </row>
    <row r="193" spans="1:50" x14ac:dyDescent="0.25">
      <c r="A193" t="s">
        <v>36</v>
      </c>
      <c r="B193" t="s">
        <v>1168</v>
      </c>
      <c r="C193" t="s">
        <v>1306</v>
      </c>
      <c r="D193" t="s">
        <v>42</v>
      </c>
      <c r="E193">
        <v>1</v>
      </c>
      <c r="F193">
        <v>1</v>
      </c>
      <c r="H193" t="s">
        <v>1307</v>
      </c>
      <c r="I193" t="s">
        <v>1308</v>
      </c>
      <c r="J193" t="s">
        <v>1172</v>
      </c>
      <c r="K193" t="s">
        <v>1173</v>
      </c>
      <c r="L193" t="s">
        <v>1174</v>
      </c>
      <c r="M193">
        <v>0</v>
      </c>
      <c r="N193" t="s">
        <v>41</v>
      </c>
      <c r="O193">
        <v>1</v>
      </c>
      <c r="P193">
        <v>0</v>
      </c>
      <c r="Q193">
        <v>0</v>
      </c>
      <c r="R193">
        <v>0</v>
      </c>
      <c r="S193">
        <v>0</v>
      </c>
      <c r="T193">
        <v>0</v>
      </c>
      <c r="U193" s="20">
        <v>45895.841041666667</v>
      </c>
      <c r="V193" s="20">
        <v>46002.06759259259</v>
      </c>
      <c r="Y193">
        <v>0</v>
      </c>
      <c r="Z193" t="s">
        <v>1308</v>
      </c>
      <c r="AA193" t="s">
        <v>1309</v>
      </c>
      <c r="AL193" t="s">
        <v>2499</v>
      </c>
      <c r="AM193" t="s">
        <v>37</v>
      </c>
      <c r="AO193" t="s">
        <v>39</v>
      </c>
      <c r="AX193" t="s">
        <v>3608</v>
      </c>
    </row>
    <row r="194" spans="1:50" x14ac:dyDescent="0.25">
      <c r="A194" t="s">
        <v>536</v>
      </c>
      <c r="B194" t="s">
        <v>1168</v>
      </c>
      <c r="C194" t="s">
        <v>1498</v>
      </c>
      <c r="D194" t="s">
        <v>3205</v>
      </c>
      <c r="E194">
        <v>1</v>
      </c>
      <c r="F194">
        <v>1</v>
      </c>
      <c r="H194" t="s">
        <v>1307</v>
      </c>
      <c r="I194" t="s">
        <v>1308</v>
      </c>
      <c r="J194" t="s">
        <v>1172</v>
      </c>
      <c r="K194" t="s">
        <v>1173</v>
      </c>
      <c r="L194" t="s">
        <v>1174</v>
      </c>
      <c r="M194">
        <v>0</v>
      </c>
      <c r="N194" t="s">
        <v>50</v>
      </c>
      <c r="O194">
        <v>1</v>
      </c>
      <c r="P194">
        <v>0</v>
      </c>
      <c r="Q194">
        <v>0</v>
      </c>
      <c r="R194">
        <v>0</v>
      </c>
      <c r="S194">
        <v>0</v>
      </c>
      <c r="T194">
        <v>0</v>
      </c>
      <c r="U194" s="20">
        <v>45895.84238425926</v>
      </c>
      <c r="V194" s="20">
        <v>46071.947314814817</v>
      </c>
      <c r="Y194">
        <v>0</v>
      </c>
      <c r="Z194" t="s">
        <v>1308</v>
      </c>
      <c r="AA194" t="s">
        <v>312</v>
      </c>
      <c r="AL194" t="s">
        <v>3101</v>
      </c>
      <c r="AO194" t="s">
        <v>312</v>
      </c>
      <c r="AP194" t="s">
        <v>62</v>
      </c>
      <c r="AQ194" t="s">
        <v>3278</v>
      </c>
      <c r="AR194" t="s">
        <v>73</v>
      </c>
      <c r="AV194" t="s">
        <v>3176</v>
      </c>
      <c r="AW194" t="s">
        <v>3175</v>
      </c>
      <c r="AX194" t="s">
        <v>3609</v>
      </c>
    </row>
    <row r="195" spans="1:50" x14ac:dyDescent="0.25">
      <c r="A195" t="s">
        <v>61</v>
      </c>
      <c r="B195" t="s">
        <v>1168</v>
      </c>
      <c r="C195" t="s">
        <v>1313</v>
      </c>
      <c r="D195" t="s">
        <v>3304</v>
      </c>
      <c r="E195">
        <v>1</v>
      </c>
      <c r="F195">
        <v>1</v>
      </c>
      <c r="H195" t="s">
        <v>1307</v>
      </c>
      <c r="I195" t="s">
        <v>1308</v>
      </c>
      <c r="J195" t="s">
        <v>1172</v>
      </c>
      <c r="K195" t="s">
        <v>1173</v>
      </c>
      <c r="L195" t="s">
        <v>1174</v>
      </c>
      <c r="M195">
        <v>0</v>
      </c>
      <c r="N195" t="s">
        <v>50</v>
      </c>
      <c r="O195">
        <v>1</v>
      </c>
      <c r="P195">
        <v>0</v>
      </c>
      <c r="Q195">
        <v>0</v>
      </c>
      <c r="R195">
        <v>0</v>
      </c>
      <c r="S195">
        <v>0</v>
      </c>
      <c r="T195">
        <v>0</v>
      </c>
      <c r="U195" s="20">
        <v>45895.843321759261</v>
      </c>
      <c r="V195" s="20">
        <v>46077.993217592593</v>
      </c>
      <c r="Y195">
        <v>0</v>
      </c>
      <c r="Z195" t="s">
        <v>1308</v>
      </c>
      <c r="AA195" t="s">
        <v>48</v>
      </c>
      <c r="AL195" t="s">
        <v>2509</v>
      </c>
      <c r="AM195" t="s">
        <v>37</v>
      </c>
      <c r="AN195" t="s">
        <v>46</v>
      </c>
      <c r="AO195" t="s">
        <v>48</v>
      </c>
      <c r="AP195" t="s">
        <v>62</v>
      </c>
      <c r="AQ195" t="s">
        <v>63</v>
      </c>
      <c r="AR195" t="s">
        <v>89</v>
      </c>
      <c r="AV195" t="s">
        <v>65</v>
      </c>
      <c r="AW195" t="s">
        <v>64</v>
      </c>
      <c r="AX195" t="s">
        <v>3610</v>
      </c>
    </row>
    <row r="196" spans="1:50" x14ac:dyDescent="0.25">
      <c r="A196" t="s">
        <v>66</v>
      </c>
      <c r="B196" t="s">
        <v>1168</v>
      </c>
      <c r="C196" t="s">
        <v>1314</v>
      </c>
      <c r="D196" t="s">
        <v>3206</v>
      </c>
      <c r="E196">
        <v>1</v>
      </c>
      <c r="F196">
        <v>1</v>
      </c>
      <c r="H196" t="s">
        <v>1307</v>
      </c>
      <c r="I196" t="s">
        <v>1308</v>
      </c>
      <c r="J196" t="s">
        <v>1172</v>
      </c>
      <c r="K196" t="s">
        <v>1173</v>
      </c>
      <c r="L196" t="s">
        <v>1174</v>
      </c>
      <c r="M196">
        <v>0</v>
      </c>
      <c r="N196" t="s">
        <v>41</v>
      </c>
      <c r="O196">
        <v>1</v>
      </c>
      <c r="P196">
        <v>0</v>
      </c>
      <c r="Q196">
        <v>0</v>
      </c>
      <c r="R196">
        <v>0</v>
      </c>
      <c r="S196">
        <v>0</v>
      </c>
      <c r="T196">
        <v>0</v>
      </c>
      <c r="U196" s="20">
        <v>45895.843680555554</v>
      </c>
      <c r="V196" s="20">
        <v>46071.947974537034</v>
      </c>
      <c r="Y196">
        <v>0</v>
      </c>
      <c r="Z196" t="s">
        <v>1308</v>
      </c>
      <c r="AA196" t="s">
        <v>48</v>
      </c>
      <c r="AL196" t="s">
        <v>2510</v>
      </c>
      <c r="AM196" t="s">
        <v>67</v>
      </c>
      <c r="AN196" t="s">
        <v>67</v>
      </c>
      <c r="AO196" t="s">
        <v>312</v>
      </c>
      <c r="AQ196" t="s">
        <v>68</v>
      </c>
      <c r="AR196" t="s">
        <v>67</v>
      </c>
      <c r="AV196" t="s">
        <v>67</v>
      </c>
      <c r="AW196" t="s">
        <v>67</v>
      </c>
      <c r="AX196" t="s">
        <v>3611</v>
      </c>
    </row>
    <row r="197" spans="1:50" x14ac:dyDescent="0.25">
      <c r="A197" t="s">
        <v>69</v>
      </c>
      <c r="B197" t="s">
        <v>1168</v>
      </c>
      <c r="C197" t="s">
        <v>1315</v>
      </c>
      <c r="D197" t="s">
        <v>42</v>
      </c>
      <c r="E197">
        <v>1</v>
      </c>
      <c r="F197">
        <v>1</v>
      </c>
      <c r="H197" t="s">
        <v>1307</v>
      </c>
      <c r="I197" t="s">
        <v>1308</v>
      </c>
      <c r="J197" t="s">
        <v>1172</v>
      </c>
      <c r="K197" t="s">
        <v>1173</v>
      </c>
      <c r="L197" t="s">
        <v>1174</v>
      </c>
      <c r="M197">
        <v>0</v>
      </c>
      <c r="N197" t="s">
        <v>41</v>
      </c>
      <c r="O197">
        <v>1</v>
      </c>
      <c r="P197">
        <v>0</v>
      </c>
      <c r="Q197">
        <v>0</v>
      </c>
      <c r="R197">
        <v>0</v>
      </c>
      <c r="S197">
        <v>0</v>
      </c>
      <c r="T197">
        <v>0</v>
      </c>
      <c r="U197" s="20">
        <v>45895.844178240739</v>
      </c>
      <c r="V197" s="20">
        <v>46002.067557870374</v>
      </c>
      <c r="Y197">
        <v>0</v>
      </c>
      <c r="Z197" t="s">
        <v>1308</v>
      </c>
      <c r="AA197" t="s">
        <v>48</v>
      </c>
      <c r="AL197" t="s">
        <v>2513</v>
      </c>
      <c r="AO197" t="s">
        <v>48</v>
      </c>
      <c r="AX197" t="s">
        <v>3612</v>
      </c>
    </row>
    <row r="198" spans="1:50" x14ac:dyDescent="0.25">
      <c r="A198" t="s">
        <v>494</v>
      </c>
      <c r="B198" t="s">
        <v>1168</v>
      </c>
      <c r="C198" t="s">
        <v>1483</v>
      </c>
      <c r="D198" t="s">
        <v>3294</v>
      </c>
      <c r="E198">
        <v>1</v>
      </c>
      <c r="F198">
        <v>1</v>
      </c>
      <c r="H198" t="s">
        <v>1307</v>
      </c>
      <c r="I198" t="s">
        <v>1308</v>
      </c>
      <c r="J198" t="s">
        <v>1172</v>
      </c>
      <c r="K198" t="s">
        <v>1173</v>
      </c>
      <c r="L198" t="s">
        <v>1174</v>
      </c>
      <c r="M198">
        <v>0</v>
      </c>
      <c r="N198" t="s">
        <v>50</v>
      </c>
      <c r="O198">
        <v>1</v>
      </c>
      <c r="P198">
        <v>0</v>
      </c>
      <c r="Q198">
        <v>0</v>
      </c>
      <c r="R198">
        <v>0</v>
      </c>
      <c r="S198">
        <v>0</v>
      </c>
      <c r="T198">
        <v>0</v>
      </c>
      <c r="U198" s="20">
        <v>45895.847974537035</v>
      </c>
      <c r="V198" s="20">
        <v>46077.99322916667</v>
      </c>
      <c r="Y198">
        <v>0</v>
      </c>
      <c r="Z198" t="s">
        <v>1308</v>
      </c>
      <c r="AA198" t="s">
        <v>312</v>
      </c>
      <c r="AL198" t="s">
        <v>2732</v>
      </c>
      <c r="AO198" t="s">
        <v>312</v>
      </c>
      <c r="AP198" t="s">
        <v>62</v>
      </c>
      <c r="AQ198" t="s">
        <v>495</v>
      </c>
      <c r="AR198" t="s">
        <v>73</v>
      </c>
      <c r="AV198" t="s">
        <v>3271</v>
      </c>
      <c r="AW198" t="s">
        <v>3272</v>
      </c>
      <c r="AX198" t="s">
        <v>3613</v>
      </c>
    </row>
    <row r="199" spans="1:50" x14ac:dyDescent="0.25">
      <c r="A199" t="s">
        <v>535</v>
      </c>
      <c r="B199" t="s">
        <v>1168</v>
      </c>
      <c r="C199" t="s">
        <v>1497</v>
      </c>
      <c r="D199" t="s">
        <v>340</v>
      </c>
      <c r="E199">
        <v>1</v>
      </c>
      <c r="F199">
        <v>1</v>
      </c>
      <c r="H199" t="s">
        <v>1307</v>
      </c>
      <c r="I199" t="s">
        <v>1308</v>
      </c>
      <c r="J199" t="s">
        <v>1172</v>
      </c>
      <c r="K199" t="s">
        <v>1173</v>
      </c>
      <c r="L199" t="s">
        <v>1174</v>
      </c>
      <c r="M199">
        <v>0</v>
      </c>
      <c r="N199" t="s">
        <v>41</v>
      </c>
      <c r="O199">
        <v>1</v>
      </c>
      <c r="P199">
        <v>0</v>
      </c>
      <c r="Q199">
        <v>0</v>
      </c>
      <c r="R199">
        <v>0</v>
      </c>
      <c r="S199">
        <v>0</v>
      </c>
      <c r="T199">
        <v>0</v>
      </c>
      <c r="U199" s="20">
        <v>45895.848113425927</v>
      </c>
      <c r="V199" s="20">
        <v>46002.06758101852</v>
      </c>
      <c r="Y199">
        <v>0</v>
      </c>
      <c r="Z199" t="s">
        <v>1308</v>
      </c>
      <c r="AA199" t="s">
        <v>312</v>
      </c>
      <c r="AL199" t="s">
        <v>2751</v>
      </c>
      <c r="AO199" t="s">
        <v>312</v>
      </c>
      <c r="AX199" t="s">
        <v>3614</v>
      </c>
    </row>
    <row r="200" spans="1:50" x14ac:dyDescent="0.25">
      <c r="A200" t="s">
        <v>272</v>
      </c>
      <c r="B200" t="s">
        <v>1168</v>
      </c>
      <c r="C200" t="s">
        <v>1413</v>
      </c>
      <c r="D200" t="s">
        <v>3292</v>
      </c>
      <c r="E200">
        <v>1</v>
      </c>
      <c r="F200">
        <v>1</v>
      </c>
      <c r="H200" t="s">
        <v>1307</v>
      </c>
      <c r="I200" t="s">
        <v>1308</v>
      </c>
      <c r="J200" t="s">
        <v>1172</v>
      </c>
      <c r="K200" t="s">
        <v>1173</v>
      </c>
      <c r="L200" t="s">
        <v>1174</v>
      </c>
      <c r="M200">
        <v>0</v>
      </c>
      <c r="N200" t="s">
        <v>50</v>
      </c>
      <c r="O200">
        <v>1</v>
      </c>
      <c r="P200">
        <v>0</v>
      </c>
      <c r="Q200">
        <v>0</v>
      </c>
      <c r="R200">
        <v>0</v>
      </c>
      <c r="S200">
        <v>0</v>
      </c>
      <c r="T200">
        <v>0</v>
      </c>
      <c r="U200" s="20">
        <v>45895.849409722221</v>
      </c>
      <c r="V200" s="20">
        <v>46077.99322916667</v>
      </c>
      <c r="Y200">
        <v>0</v>
      </c>
      <c r="Z200" t="s">
        <v>1308</v>
      </c>
      <c r="AA200" t="s">
        <v>48</v>
      </c>
      <c r="AL200" t="s">
        <v>2641</v>
      </c>
      <c r="AM200" t="s">
        <v>86</v>
      </c>
      <c r="AN200" t="s">
        <v>120</v>
      </c>
      <c r="AO200" t="s">
        <v>48</v>
      </c>
      <c r="AP200" t="s">
        <v>62</v>
      </c>
      <c r="AQ200" t="s">
        <v>273</v>
      </c>
      <c r="AR200" t="s">
        <v>89</v>
      </c>
      <c r="AV200" t="s">
        <v>275</v>
      </c>
      <c r="AW200" t="s">
        <v>274</v>
      </c>
      <c r="AX200" t="s">
        <v>3615</v>
      </c>
    </row>
    <row r="201" spans="1:50" x14ac:dyDescent="0.25">
      <c r="A201" t="s">
        <v>70</v>
      </c>
      <c r="B201" t="s">
        <v>1168</v>
      </c>
      <c r="C201" t="s">
        <v>1316</v>
      </c>
      <c r="D201" t="s">
        <v>76</v>
      </c>
      <c r="E201">
        <v>1</v>
      </c>
      <c r="F201">
        <v>1</v>
      </c>
      <c r="H201" t="s">
        <v>1307</v>
      </c>
      <c r="I201" t="s">
        <v>1308</v>
      </c>
      <c r="J201" t="s">
        <v>1172</v>
      </c>
      <c r="K201" t="s">
        <v>1173</v>
      </c>
      <c r="L201" t="s">
        <v>1174</v>
      </c>
      <c r="M201">
        <v>0</v>
      </c>
      <c r="N201" t="s">
        <v>50</v>
      </c>
      <c r="O201">
        <v>1</v>
      </c>
      <c r="P201">
        <v>0</v>
      </c>
      <c r="Q201">
        <v>0</v>
      </c>
      <c r="R201">
        <v>0</v>
      </c>
      <c r="S201">
        <v>0</v>
      </c>
      <c r="T201">
        <v>0</v>
      </c>
      <c r="U201" s="20">
        <v>45895.868067129632</v>
      </c>
      <c r="V201" s="20">
        <v>46002.06759259259</v>
      </c>
      <c r="Y201">
        <v>0</v>
      </c>
      <c r="Z201" t="s">
        <v>1308</v>
      </c>
      <c r="AA201" t="s">
        <v>48</v>
      </c>
      <c r="AL201" t="s">
        <v>2514</v>
      </c>
      <c r="AM201" t="s">
        <v>37</v>
      </c>
      <c r="AN201" t="s">
        <v>71</v>
      </c>
      <c r="AO201" t="s">
        <v>48</v>
      </c>
      <c r="AP201" t="s">
        <v>62</v>
      </c>
      <c r="AQ201" t="s">
        <v>72</v>
      </c>
      <c r="AR201" t="s">
        <v>73</v>
      </c>
      <c r="AV201" t="s">
        <v>75</v>
      </c>
      <c r="AW201" t="s">
        <v>74</v>
      </c>
      <c r="AX201" t="s">
        <v>3616</v>
      </c>
    </row>
    <row r="202" spans="1:50" x14ac:dyDescent="0.25">
      <c r="A202" t="s">
        <v>538</v>
      </c>
      <c r="B202" t="s">
        <v>1168</v>
      </c>
      <c r="C202" t="s">
        <v>1500</v>
      </c>
      <c r="D202" t="s">
        <v>3207</v>
      </c>
      <c r="E202">
        <v>1</v>
      </c>
      <c r="F202">
        <v>1</v>
      </c>
      <c r="H202" t="s">
        <v>1307</v>
      </c>
      <c r="I202" t="s">
        <v>1308</v>
      </c>
      <c r="J202" t="s">
        <v>1172</v>
      </c>
      <c r="K202" t="s">
        <v>1173</v>
      </c>
      <c r="L202" t="s">
        <v>1174</v>
      </c>
      <c r="M202">
        <v>0</v>
      </c>
      <c r="N202" t="s">
        <v>41</v>
      </c>
      <c r="O202">
        <v>1</v>
      </c>
      <c r="P202">
        <v>0</v>
      </c>
      <c r="Q202">
        <v>0</v>
      </c>
      <c r="R202">
        <v>0</v>
      </c>
      <c r="S202">
        <v>0</v>
      </c>
      <c r="T202">
        <v>0</v>
      </c>
      <c r="U202" s="20">
        <v>45895.869687500002</v>
      </c>
      <c r="V202" s="20">
        <v>46071.946250000001</v>
      </c>
      <c r="Y202">
        <v>0</v>
      </c>
      <c r="Z202" t="s">
        <v>1308</v>
      </c>
      <c r="AA202" t="s">
        <v>312</v>
      </c>
      <c r="AL202" t="s">
        <v>3102</v>
      </c>
      <c r="AM202" t="s">
        <v>37</v>
      </c>
      <c r="AN202" t="s">
        <v>113</v>
      </c>
      <c r="AO202" t="s">
        <v>312</v>
      </c>
      <c r="AQ202" t="s">
        <v>539</v>
      </c>
      <c r="AR202" t="s">
        <v>51</v>
      </c>
      <c r="AW202" t="s">
        <v>540</v>
      </c>
      <c r="AX202" t="s">
        <v>3617</v>
      </c>
    </row>
    <row r="203" spans="1:50" x14ac:dyDescent="0.25">
      <c r="A203" t="s">
        <v>459</v>
      </c>
      <c r="B203" t="s">
        <v>1168</v>
      </c>
      <c r="C203" t="s">
        <v>1472</v>
      </c>
      <c r="D203" t="s">
        <v>3230</v>
      </c>
      <c r="E203">
        <v>1</v>
      </c>
      <c r="F203">
        <v>1</v>
      </c>
      <c r="H203" t="s">
        <v>1307</v>
      </c>
      <c r="I203" t="s">
        <v>1308</v>
      </c>
      <c r="J203" t="s">
        <v>1172</v>
      </c>
      <c r="K203" t="s">
        <v>1173</v>
      </c>
      <c r="L203" t="s">
        <v>1174</v>
      </c>
      <c r="M203">
        <v>0</v>
      </c>
      <c r="N203" t="s">
        <v>50</v>
      </c>
      <c r="O203">
        <v>1</v>
      </c>
      <c r="P203">
        <v>0</v>
      </c>
      <c r="Q203">
        <v>0</v>
      </c>
      <c r="R203">
        <v>0</v>
      </c>
      <c r="S203">
        <v>0</v>
      </c>
      <c r="T203">
        <v>0</v>
      </c>
      <c r="U203" s="20">
        <v>45895.889062499999</v>
      </c>
      <c r="V203" s="20">
        <v>46077.99322916667</v>
      </c>
      <c r="Y203">
        <v>0</v>
      </c>
      <c r="Z203" t="s">
        <v>1308</v>
      </c>
      <c r="AA203" t="s">
        <v>354</v>
      </c>
      <c r="AL203" t="s">
        <v>3016</v>
      </c>
      <c r="AM203" t="s">
        <v>86</v>
      </c>
      <c r="AN203" t="s">
        <v>95</v>
      </c>
      <c r="AO203" t="s">
        <v>277</v>
      </c>
      <c r="AP203" t="s">
        <v>62</v>
      </c>
      <c r="AQ203" t="s">
        <v>460</v>
      </c>
      <c r="AR203" t="s">
        <v>73</v>
      </c>
      <c r="AV203" t="s">
        <v>3249</v>
      </c>
      <c r="AW203" t="s">
        <v>461</v>
      </c>
      <c r="AX203" t="s">
        <v>3618</v>
      </c>
    </row>
    <row r="204" spans="1:50" x14ac:dyDescent="0.25">
      <c r="A204" t="s">
        <v>419</v>
      </c>
      <c r="B204" t="s">
        <v>1168</v>
      </c>
      <c r="C204" t="s">
        <v>1461</v>
      </c>
      <c r="D204" t="s">
        <v>3305</v>
      </c>
      <c r="E204">
        <v>1</v>
      </c>
      <c r="F204">
        <v>1</v>
      </c>
      <c r="H204" t="s">
        <v>1307</v>
      </c>
      <c r="I204" t="s">
        <v>1308</v>
      </c>
      <c r="J204" t="s">
        <v>1172</v>
      </c>
      <c r="K204" t="s">
        <v>1173</v>
      </c>
      <c r="L204" t="s">
        <v>1174</v>
      </c>
      <c r="M204">
        <v>0</v>
      </c>
      <c r="N204" t="s">
        <v>50</v>
      </c>
      <c r="O204">
        <v>1</v>
      </c>
      <c r="P204">
        <v>0</v>
      </c>
      <c r="Q204">
        <v>0</v>
      </c>
      <c r="R204">
        <v>0</v>
      </c>
      <c r="S204">
        <v>0</v>
      </c>
      <c r="T204">
        <v>0</v>
      </c>
      <c r="U204" s="20">
        <v>45895.889675925922</v>
      </c>
      <c r="V204" s="20">
        <v>46077.99322916667</v>
      </c>
      <c r="Y204">
        <v>0</v>
      </c>
      <c r="Z204" t="s">
        <v>1308</v>
      </c>
      <c r="AA204" t="s">
        <v>312</v>
      </c>
      <c r="AL204" t="s">
        <v>3008</v>
      </c>
      <c r="AM204" t="s">
        <v>86</v>
      </c>
      <c r="AN204" t="s">
        <v>120</v>
      </c>
      <c r="AO204" t="s">
        <v>48</v>
      </c>
      <c r="AP204" t="s">
        <v>62</v>
      </c>
      <c r="AQ204" t="s">
        <v>420</v>
      </c>
      <c r="AR204" t="s">
        <v>89</v>
      </c>
      <c r="AV204" t="s">
        <v>422</v>
      </c>
      <c r="AW204" t="s">
        <v>421</v>
      </c>
      <c r="AX204" t="s">
        <v>3619</v>
      </c>
    </row>
    <row r="205" spans="1:50" x14ac:dyDescent="0.25">
      <c r="A205" t="s">
        <v>613</v>
      </c>
      <c r="B205" t="s">
        <v>1168</v>
      </c>
      <c r="C205" t="s">
        <v>1529</v>
      </c>
      <c r="D205" t="s">
        <v>3306</v>
      </c>
      <c r="E205">
        <v>1</v>
      </c>
      <c r="F205">
        <v>1</v>
      </c>
      <c r="H205" t="s">
        <v>1307</v>
      </c>
      <c r="I205" t="s">
        <v>1308</v>
      </c>
      <c r="J205" t="s">
        <v>1172</v>
      </c>
      <c r="K205" t="s">
        <v>1173</v>
      </c>
      <c r="L205" t="s">
        <v>1174</v>
      </c>
      <c r="M205">
        <v>0</v>
      </c>
      <c r="N205" t="s">
        <v>50</v>
      </c>
      <c r="O205">
        <v>1</v>
      </c>
      <c r="P205">
        <v>0</v>
      </c>
      <c r="Q205">
        <v>0</v>
      </c>
      <c r="R205">
        <v>0</v>
      </c>
      <c r="S205">
        <v>0</v>
      </c>
      <c r="T205">
        <v>0</v>
      </c>
      <c r="U205" s="20">
        <v>45895.890740740739</v>
      </c>
      <c r="V205" s="20">
        <v>46077.993206018517</v>
      </c>
      <c r="Y205">
        <v>0</v>
      </c>
      <c r="Z205" t="s">
        <v>1308</v>
      </c>
      <c r="AL205" t="s">
        <v>2783</v>
      </c>
      <c r="AO205" t="s">
        <v>320</v>
      </c>
      <c r="AP205" t="s">
        <v>62</v>
      </c>
      <c r="AQ205" t="s">
        <v>614</v>
      </c>
      <c r="AR205" t="s">
        <v>73</v>
      </c>
      <c r="AV205" t="s">
        <v>3260</v>
      </c>
      <c r="AW205" t="s">
        <v>615</v>
      </c>
      <c r="AX205" t="s">
        <v>3620</v>
      </c>
    </row>
    <row r="206" spans="1:50" x14ac:dyDescent="0.25">
      <c r="A206" t="s">
        <v>423</v>
      </c>
      <c r="B206" t="s">
        <v>1168</v>
      </c>
      <c r="C206" t="s">
        <v>1462</v>
      </c>
      <c r="D206" t="s">
        <v>3307</v>
      </c>
      <c r="E206">
        <v>1</v>
      </c>
      <c r="F206">
        <v>1</v>
      </c>
      <c r="H206" t="s">
        <v>1307</v>
      </c>
      <c r="I206" t="s">
        <v>1308</v>
      </c>
      <c r="J206" t="s">
        <v>1172</v>
      </c>
      <c r="K206" t="s">
        <v>1173</v>
      </c>
      <c r="L206" t="s">
        <v>1174</v>
      </c>
      <c r="M206">
        <v>0</v>
      </c>
      <c r="N206" t="s">
        <v>50</v>
      </c>
      <c r="O206">
        <v>1</v>
      </c>
      <c r="P206">
        <v>0</v>
      </c>
      <c r="Q206">
        <v>0</v>
      </c>
      <c r="R206">
        <v>0</v>
      </c>
      <c r="S206">
        <v>0</v>
      </c>
      <c r="T206">
        <v>0</v>
      </c>
      <c r="U206" s="20">
        <v>45895.895104166666</v>
      </c>
      <c r="V206" s="20">
        <v>46077.993206018517</v>
      </c>
      <c r="Y206">
        <v>0</v>
      </c>
      <c r="Z206" t="s">
        <v>1308</v>
      </c>
      <c r="AA206" t="s">
        <v>312</v>
      </c>
      <c r="AL206" t="s">
        <v>3009</v>
      </c>
      <c r="AM206" t="s">
        <v>86</v>
      </c>
      <c r="AN206" t="s">
        <v>120</v>
      </c>
      <c r="AO206" t="s">
        <v>48</v>
      </c>
      <c r="AP206" t="s">
        <v>62</v>
      </c>
      <c r="AQ206" t="s">
        <v>424</v>
      </c>
      <c r="AR206" t="s">
        <v>73</v>
      </c>
      <c r="AV206" t="s">
        <v>3308</v>
      </c>
      <c r="AW206" t="s">
        <v>425</v>
      </c>
      <c r="AX206" t="s">
        <v>3621</v>
      </c>
    </row>
    <row r="207" spans="1:50" x14ac:dyDescent="0.25">
      <c r="A207" t="s">
        <v>499</v>
      </c>
      <c r="B207" t="s">
        <v>1168</v>
      </c>
      <c r="C207" t="s">
        <v>1485</v>
      </c>
      <c r="D207" t="s">
        <v>3309</v>
      </c>
      <c r="E207">
        <v>1</v>
      </c>
      <c r="F207">
        <v>1</v>
      </c>
      <c r="H207" t="s">
        <v>1307</v>
      </c>
      <c r="I207" t="s">
        <v>1308</v>
      </c>
      <c r="J207" t="s">
        <v>1172</v>
      </c>
      <c r="K207" t="s">
        <v>1173</v>
      </c>
      <c r="L207" t="s">
        <v>1174</v>
      </c>
      <c r="M207">
        <v>0</v>
      </c>
      <c r="N207" t="s">
        <v>50</v>
      </c>
      <c r="O207">
        <v>1</v>
      </c>
      <c r="P207">
        <v>0</v>
      </c>
      <c r="Q207">
        <v>0</v>
      </c>
      <c r="R207">
        <v>0</v>
      </c>
      <c r="S207">
        <v>0</v>
      </c>
      <c r="T207">
        <v>0</v>
      </c>
      <c r="U207" s="20">
        <v>45895.895324074074</v>
      </c>
      <c r="V207" s="20">
        <v>46077.993217592593</v>
      </c>
      <c r="Y207">
        <v>0</v>
      </c>
      <c r="Z207" t="s">
        <v>1308</v>
      </c>
      <c r="AA207" t="s">
        <v>320</v>
      </c>
      <c r="AL207" t="s">
        <v>2737</v>
      </c>
      <c r="AO207" t="s">
        <v>320</v>
      </c>
      <c r="AP207" t="s">
        <v>62</v>
      </c>
      <c r="AQ207" t="s">
        <v>500</v>
      </c>
      <c r="AR207" t="s">
        <v>89</v>
      </c>
      <c r="AV207" t="s">
        <v>3310</v>
      </c>
      <c r="AW207" t="s">
        <v>501</v>
      </c>
      <c r="AX207" t="s">
        <v>3622</v>
      </c>
    </row>
    <row r="208" spans="1:50" x14ac:dyDescent="0.25">
      <c r="A208" t="s">
        <v>426</v>
      </c>
      <c r="B208" t="s">
        <v>1168</v>
      </c>
      <c r="C208" t="s">
        <v>1463</v>
      </c>
      <c r="D208" t="s">
        <v>430</v>
      </c>
      <c r="E208">
        <v>1</v>
      </c>
      <c r="F208">
        <v>1</v>
      </c>
      <c r="H208" t="s">
        <v>1307</v>
      </c>
      <c r="I208" t="s">
        <v>1308</v>
      </c>
      <c r="J208" t="s">
        <v>1172</v>
      </c>
      <c r="K208" t="s">
        <v>1173</v>
      </c>
      <c r="L208" t="s">
        <v>1174</v>
      </c>
      <c r="M208">
        <v>0</v>
      </c>
      <c r="N208" t="s">
        <v>50</v>
      </c>
      <c r="O208">
        <v>1</v>
      </c>
      <c r="P208">
        <v>0</v>
      </c>
      <c r="Q208">
        <v>0</v>
      </c>
      <c r="R208">
        <v>0</v>
      </c>
      <c r="S208">
        <v>0</v>
      </c>
      <c r="T208">
        <v>0</v>
      </c>
      <c r="U208" s="20">
        <v>45895.895856481482</v>
      </c>
      <c r="V208" s="20">
        <v>46002.067557870374</v>
      </c>
      <c r="Y208">
        <v>0</v>
      </c>
      <c r="Z208" t="s">
        <v>1308</v>
      </c>
      <c r="AA208" t="s">
        <v>350</v>
      </c>
      <c r="AL208" t="s">
        <v>3010</v>
      </c>
      <c r="AM208" t="s">
        <v>86</v>
      </c>
      <c r="AN208" t="s">
        <v>120</v>
      </c>
      <c r="AO208" t="s">
        <v>163</v>
      </c>
      <c r="AQ208" t="s">
        <v>427</v>
      </c>
      <c r="AR208" t="s">
        <v>89</v>
      </c>
      <c r="AV208" t="s">
        <v>429</v>
      </c>
      <c r="AW208" t="s">
        <v>428</v>
      </c>
      <c r="AX208" t="s">
        <v>3623</v>
      </c>
    </row>
    <row r="209" spans="1:50" x14ac:dyDescent="0.25">
      <c r="A209" t="s">
        <v>395</v>
      </c>
      <c r="B209" t="s">
        <v>1168</v>
      </c>
      <c r="C209" t="s">
        <v>1454</v>
      </c>
      <c r="D209" t="s">
        <v>3311</v>
      </c>
      <c r="E209">
        <v>1</v>
      </c>
      <c r="F209">
        <v>1</v>
      </c>
      <c r="H209" t="s">
        <v>1307</v>
      </c>
      <c r="I209" t="s">
        <v>1308</v>
      </c>
      <c r="J209" t="s">
        <v>1172</v>
      </c>
      <c r="K209" t="s">
        <v>1173</v>
      </c>
      <c r="L209" t="s">
        <v>1174</v>
      </c>
      <c r="M209">
        <v>0</v>
      </c>
      <c r="N209" t="s">
        <v>50</v>
      </c>
      <c r="O209">
        <v>1</v>
      </c>
      <c r="P209">
        <v>0</v>
      </c>
      <c r="Q209">
        <v>0</v>
      </c>
      <c r="R209">
        <v>0</v>
      </c>
      <c r="S209">
        <v>0</v>
      </c>
      <c r="T209">
        <v>0</v>
      </c>
      <c r="U209" s="20">
        <v>45895.896747685183</v>
      </c>
      <c r="V209" s="20">
        <v>46077.993206018517</v>
      </c>
      <c r="Y209">
        <v>0</v>
      </c>
      <c r="Z209" t="s">
        <v>1308</v>
      </c>
      <c r="AA209" t="s">
        <v>163</v>
      </c>
      <c r="AL209" t="s">
        <v>2693</v>
      </c>
      <c r="AM209" t="s">
        <v>86</v>
      </c>
      <c r="AN209" t="s">
        <v>120</v>
      </c>
      <c r="AO209" t="s">
        <v>163</v>
      </c>
      <c r="AP209" t="s">
        <v>164</v>
      </c>
      <c r="AQ209" t="s">
        <v>396</v>
      </c>
      <c r="AR209" t="s">
        <v>89</v>
      </c>
      <c r="AV209" t="s">
        <v>398</v>
      </c>
      <c r="AW209" t="s">
        <v>397</v>
      </c>
      <c r="AX209" t="s">
        <v>3624</v>
      </c>
    </row>
    <row r="210" spans="1:50" x14ac:dyDescent="0.25">
      <c r="A210" t="s">
        <v>485</v>
      </c>
      <c r="B210" t="s">
        <v>1168</v>
      </c>
      <c r="C210" t="s">
        <v>1479</v>
      </c>
      <c r="D210" t="s">
        <v>3312</v>
      </c>
      <c r="E210">
        <v>1</v>
      </c>
      <c r="F210">
        <v>1</v>
      </c>
      <c r="H210" t="s">
        <v>1307</v>
      </c>
      <c r="I210" t="s">
        <v>1308</v>
      </c>
      <c r="J210" t="s">
        <v>1172</v>
      </c>
      <c r="K210" t="s">
        <v>1173</v>
      </c>
      <c r="L210" t="s">
        <v>1174</v>
      </c>
      <c r="M210">
        <v>0</v>
      </c>
      <c r="N210" t="s">
        <v>50</v>
      </c>
      <c r="O210">
        <v>1</v>
      </c>
      <c r="P210">
        <v>0</v>
      </c>
      <c r="Q210">
        <v>0</v>
      </c>
      <c r="R210">
        <v>0</v>
      </c>
      <c r="S210">
        <v>0</v>
      </c>
      <c r="T210">
        <v>0</v>
      </c>
      <c r="U210" s="20">
        <v>45895.897673611114</v>
      </c>
      <c r="V210" s="20">
        <v>46077.993217592593</v>
      </c>
      <c r="Y210">
        <v>0</v>
      </c>
      <c r="Z210" t="s">
        <v>1308</v>
      </c>
      <c r="AA210" t="s">
        <v>277</v>
      </c>
      <c r="AL210" t="s">
        <v>2729</v>
      </c>
      <c r="AM210" t="s">
        <v>86</v>
      </c>
      <c r="AN210" t="s">
        <v>482</v>
      </c>
      <c r="AO210" t="s">
        <v>277</v>
      </c>
      <c r="AP210" t="s">
        <v>62</v>
      </c>
      <c r="AQ210" t="s">
        <v>486</v>
      </c>
      <c r="AR210" t="s">
        <v>51</v>
      </c>
      <c r="AV210" t="s">
        <v>3313</v>
      </c>
      <c r="AW210" t="s">
        <v>487</v>
      </c>
      <c r="AX210" t="s">
        <v>3625</v>
      </c>
    </row>
    <row r="211" spans="1:50" x14ac:dyDescent="0.25">
      <c r="A211" t="s">
        <v>607</v>
      </c>
      <c r="B211" t="s">
        <v>1168</v>
      </c>
      <c r="C211" t="s">
        <v>1525</v>
      </c>
      <c r="D211" t="s">
        <v>3230</v>
      </c>
      <c r="E211">
        <v>1</v>
      </c>
      <c r="F211">
        <v>1</v>
      </c>
      <c r="H211" t="s">
        <v>1307</v>
      </c>
      <c r="I211" t="s">
        <v>1308</v>
      </c>
      <c r="J211" t="s">
        <v>1172</v>
      </c>
      <c r="K211" t="s">
        <v>1173</v>
      </c>
      <c r="L211" t="s">
        <v>1174</v>
      </c>
      <c r="M211">
        <v>0</v>
      </c>
      <c r="N211" t="s">
        <v>50</v>
      </c>
      <c r="O211">
        <v>1</v>
      </c>
      <c r="P211">
        <v>0</v>
      </c>
      <c r="Q211">
        <v>0</v>
      </c>
      <c r="R211">
        <v>0</v>
      </c>
      <c r="S211">
        <v>0</v>
      </c>
      <c r="T211">
        <v>0</v>
      </c>
      <c r="U211" s="20">
        <v>45895.898564814815</v>
      </c>
      <c r="V211" s="20">
        <v>46077.993217592593</v>
      </c>
      <c r="Y211">
        <v>0</v>
      </c>
      <c r="Z211" t="s">
        <v>1308</v>
      </c>
      <c r="AL211" t="s">
        <v>2781</v>
      </c>
      <c r="AO211" t="s">
        <v>312</v>
      </c>
      <c r="AP211" t="s">
        <v>62</v>
      </c>
      <c r="AQ211" t="s">
        <v>2927</v>
      </c>
      <c r="AR211" t="s">
        <v>51</v>
      </c>
      <c r="AV211" t="s">
        <v>3314</v>
      </c>
      <c r="AW211" t="s">
        <v>2931</v>
      </c>
      <c r="AX211" t="s">
        <v>3626</v>
      </c>
    </row>
    <row r="212" spans="1:50" x14ac:dyDescent="0.25">
      <c r="A212" t="s">
        <v>529</v>
      </c>
      <c r="B212" t="s">
        <v>1168</v>
      </c>
      <c r="C212" t="s">
        <v>1495</v>
      </c>
      <c r="D212" t="s">
        <v>3230</v>
      </c>
      <c r="E212">
        <v>1</v>
      </c>
      <c r="F212">
        <v>1</v>
      </c>
      <c r="H212" t="s">
        <v>1307</v>
      </c>
      <c r="I212" t="s">
        <v>1308</v>
      </c>
      <c r="J212" t="s">
        <v>1172</v>
      </c>
      <c r="K212" t="s">
        <v>1173</v>
      </c>
      <c r="L212" t="s">
        <v>1174</v>
      </c>
      <c r="M212">
        <v>0</v>
      </c>
      <c r="N212" t="s">
        <v>50</v>
      </c>
      <c r="O212">
        <v>1</v>
      </c>
      <c r="P212">
        <v>0</v>
      </c>
      <c r="Q212">
        <v>0</v>
      </c>
      <c r="R212">
        <v>0</v>
      </c>
      <c r="S212">
        <v>0</v>
      </c>
      <c r="T212">
        <v>0</v>
      </c>
      <c r="U212" s="20">
        <v>45895.898680555554</v>
      </c>
      <c r="V212" s="20">
        <v>46077.99322916667</v>
      </c>
      <c r="Y212">
        <v>0</v>
      </c>
      <c r="Z212" t="s">
        <v>1308</v>
      </c>
      <c r="AA212" t="s">
        <v>320</v>
      </c>
      <c r="AL212" t="s">
        <v>3100</v>
      </c>
      <c r="AO212" t="s">
        <v>320</v>
      </c>
      <c r="AP212" t="s">
        <v>62</v>
      </c>
      <c r="AQ212" t="s">
        <v>530</v>
      </c>
      <c r="AR212" t="s">
        <v>73</v>
      </c>
      <c r="AV212" t="s">
        <v>3254</v>
      </c>
      <c r="AW212" t="s">
        <v>531</v>
      </c>
      <c r="AX212" t="s">
        <v>3627</v>
      </c>
    </row>
    <row r="213" spans="1:50" x14ac:dyDescent="0.25">
      <c r="A213" t="s">
        <v>541</v>
      </c>
      <c r="B213" t="s">
        <v>1168</v>
      </c>
      <c r="C213" t="s">
        <v>1501</v>
      </c>
      <c r="D213" t="s">
        <v>3315</v>
      </c>
      <c r="E213">
        <v>1</v>
      </c>
      <c r="F213">
        <v>1</v>
      </c>
      <c r="H213" t="s">
        <v>1307</v>
      </c>
      <c r="I213" t="s">
        <v>1308</v>
      </c>
      <c r="J213" t="s">
        <v>1172</v>
      </c>
      <c r="K213" t="s">
        <v>1173</v>
      </c>
      <c r="L213" t="s">
        <v>1174</v>
      </c>
      <c r="M213">
        <v>0</v>
      </c>
      <c r="N213" t="s">
        <v>50</v>
      </c>
      <c r="O213">
        <v>1</v>
      </c>
      <c r="P213">
        <v>0</v>
      </c>
      <c r="Q213">
        <v>0</v>
      </c>
      <c r="R213">
        <v>0</v>
      </c>
      <c r="S213">
        <v>0</v>
      </c>
      <c r="T213">
        <v>0</v>
      </c>
      <c r="U213" s="20">
        <v>45895.904027777775</v>
      </c>
      <c r="V213" s="20">
        <v>46077.99322916667</v>
      </c>
      <c r="Y213">
        <v>0</v>
      </c>
      <c r="Z213" t="s">
        <v>1308</v>
      </c>
      <c r="AA213" t="s">
        <v>312</v>
      </c>
      <c r="AL213" t="s">
        <v>3103</v>
      </c>
      <c r="AM213" t="s">
        <v>37</v>
      </c>
      <c r="AN213" t="s">
        <v>113</v>
      </c>
      <c r="AO213" t="s">
        <v>312</v>
      </c>
      <c r="AP213" t="s">
        <v>62</v>
      </c>
      <c r="AQ213" t="s">
        <v>542</v>
      </c>
      <c r="AR213" t="s">
        <v>51</v>
      </c>
      <c r="AV213" t="s">
        <v>3316</v>
      </c>
      <c r="AW213" t="s">
        <v>543</v>
      </c>
      <c r="AX213" t="s">
        <v>3628</v>
      </c>
    </row>
    <row r="214" spans="1:50" x14ac:dyDescent="0.25">
      <c r="A214" t="s">
        <v>323</v>
      </c>
      <c r="B214" t="s">
        <v>1168</v>
      </c>
      <c r="C214" t="s">
        <v>1425</v>
      </c>
      <c r="E214">
        <v>1</v>
      </c>
      <c r="F214">
        <v>1</v>
      </c>
      <c r="H214" t="s">
        <v>1307</v>
      </c>
      <c r="I214" t="s">
        <v>1308</v>
      </c>
      <c r="J214" t="s">
        <v>1172</v>
      </c>
      <c r="K214" t="s">
        <v>1173</v>
      </c>
      <c r="L214" t="s">
        <v>1174</v>
      </c>
      <c r="M214">
        <v>0</v>
      </c>
      <c r="N214" t="s">
        <v>50</v>
      </c>
      <c r="O214">
        <v>1</v>
      </c>
      <c r="P214">
        <v>0</v>
      </c>
      <c r="Q214">
        <v>0</v>
      </c>
      <c r="R214">
        <v>0</v>
      </c>
      <c r="S214">
        <v>0</v>
      </c>
      <c r="T214">
        <v>0</v>
      </c>
      <c r="U214" s="20">
        <v>45895.905578703707</v>
      </c>
      <c r="V214" s="20">
        <v>46002.067557870374</v>
      </c>
      <c r="Y214">
        <v>0</v>
      </c>
      <c r="Z214" t="s">
        <v>1308</v>
      </c>
      <c r="AA214" t="s">
        <v>320</v>
      </c>
      <c r="AL214" t="s">
        <v>3097</v>
      </c>
      <c r="AM214" t="s">
        <v>37</v>
      </c>
      <c r="AN214" t="s">
        <v>97</v>
      </c>
      <c r="AO214" t="s">
        <v>320</v>
      </c>
      <c r="AP214" t="s">
        <v>62</v>
      </c>
      <c r="AQ214" t="s">
        <v>324</v>
      </c>
      <c r="AR214" t="s">
        <v>89</v>
      </c>
      <c r="AV214" t="s">
        <v>100</v>
      </c>
      <c r="AW214" t="s">
        <v>99</v>
      </c>
      <c r="AX214" t="s">
        <v>3629</v>
      </c>
    </row>
    <row r="215" spans="1:50" x14ac:dyDescent="0.25">
      <c r="A215" t="s">
        <v>488</v>
      </c>
      <c r="B215" t="s">
        <v>1168</v>
      </c>
      <c r="C215" t="s">
        <v>1480</v>
      </c>
      <c r="D215" t="s">
        <v>489</v>
      </c>
      <c r="E215">
        <v>1</v>
      </c>
      <c r="F215">
        <v>1</v>
      </c>
      <c r="H215" t="s">
        <v>1307</v>
      </c>
      <c r="I215" t="s">
        <v>1308</v>
      </c>
      <c r="J215" t="s">
        <v>1172</v>
      </c>
      <c r="K215" t="s">
        <v>1173</v>
      </c>
      <c r="L215" t="s">
        <v>1174</v>
      </c>
      <c r="M215">
        <v>0</v>
      </c>
      <c r="N215" t="s">
        <v>41</v>
      </c>
      <c r="O215">
        <v>1</v>
      </c>
      <c r="P215">
        <v>0</v>
      </c>
      <c r="Q215">
        <v>0</v>
      </c>
      <c r="R215">
        <v>0</v>
      </c>
      <c r="S215">
        <v>0</v>
      </c>
      <c r="T215">
        <v>0</v>
      </c>
      <c r="U215" s="20">
        <v>45895.910196759258</v>
      </c>
      <c r="V215" s="20">
        <v>46002.06759259259</v>
      </c>
      <c r="Y215">
        <v>0</v>
      </c>
      <c r="Z215" t="s">
        <v>1308</v>
      </c>
      <c r="AA215" t="s">
        <v>277</v>
      </c>
      <c r="AL215" t="s">
        <v>3017</v>
      </c>
      <c r="AM215" t="s">
        <v>86</v>
      </c>
      <c r="AN215" t="s">
        <v>387</v>
      </c>
      <c r="AO215" t="s">
        <v>277</v>
      </c>
      <c r="AR215" t="s">
        <v>67</v>
      </c>
      <c r="AX215" t="s">
        <v>3630</v>
      </c>
    </row>
    <row r="216" spans="1:50" x14ac:dyDescent="0.25">
      <c r="A216" t="s">
        <v>490</v>
      </c>
      <c r="B216" t="s">
        <v>1168</v>
      </c>
      <c r="C216" t="s">
        <v>1481</v>
      </c>
      <c r="D216" t="s">
        <v>491</v>
      </c>
      <c r="E216">
        <v>1</v>
      </c>
      <c r="F216">
        <v>1</v>
      </c>
      <c r="H216" t="s">
        <v>1307</v>
      </c>
      <c r="I216" t="s">
        <v>1308</v>
      </c>
      <c r="J216" t="s">
        <v>1172</v>
      </c>
      <c r="K216" t="s">
        <v>1173</v>
      </c>
      <c r="L216" t="s">
        <v>1174</v>
      </c>
      <c r="M216">
        <v>0</v>
      </c>
      <c r="N216" t="s">
        <v>41</v>
      </c>
      <c r="O216">
        <v>1</v>
      </c>
      <c r="P216">
        <v>0</v>
      </c>
      <c r="Q216">
        <v>0</v>
      </c>
      <c r="R216">
        <v>0</v>
      </c>
      <c r="S216">
        <v>0</v>
      </c>
      <c r="T216">
        <v>0</v>
      </c>
      <c r="U216" s="20">
        <v>45895.910590277781</v>
      </c>
      <c r="V216" s="20">
        <v>46002.067557870374</v>
      </c>
      <c r="Y216">
        <v>0</v>
      </c>
      <c r="Z216" t="s">
        <v>1308</v>
      </c>
      <c r="AA216" t="s">
        <v>277</v>
      </c>
      <c r="AL216" t="s">
        <v>2730</v>
      </c>
      <c r="AM216" t="s">
        <v>86</v>
      </c>
      <c r="AN216" t="s">
        <v>387</v>
      </c>
      <c r="AO216" t="s">
        <v>277</v>
      </c>
      <c r="AR216" t="s">
        <v>67</v>
      </c>
      <c r="AX216" t="s">
        <v>3631</v>
      </c>
    </row>
    <row r="217" spans="1:50" x14ac:dyDescent="0.25">
      <c r="A217" t="s">
        <v>481</v>
      </c>
      <c r="B217" t="s">
        <v>1168</v>
      </c>
      <c r="C217" t="s">
        <v>1478</v>
      </c>
      <c r="D217" t="s">
        <v>3317</v>
      </c>
      <c r="E217">
        <v>1</v>
      </c>
      <c r="F217">
        <v>1</v>
      </c>
      <c r="H217" t="s">
        <v>1307</v>
      </c>
      <c r="I217" t="s">
        <v>1308</v>
      </c>
      <c r="J217" t="s">
        <v>1172</v>
      </c>
      <c r="K217" t="s">
        <v>1173</v>
      </c>
      <c r="L217" t="s">
        <v>1174</v>
      </c>
      <c r="M217">
        <v>0</v>
      </c>
      <c r="N217" t="s">
        <v>50</v>
      </c>
      <c r="O217">
        <v>1</v>
      </c>
      <c r="P217">
        <v>0</v>
      </c>
      <c r="Q217">
        <v>0</v>
      </c>
      <c r="R217">
        <v>0</v>
      </c>
      <c r="S217">
        <v>0</v>
      </c>
      <c r="T217">
        <v>0</v>
      </c>
      <c r="U217" s="20">
        <v>45895.910925925928</v>
      </c>
      <c r="V217" s="20">
        <v>46077.993206018517</v>
      </c>
      <c r="Y217">
        <v>0</v>
      </c>
      <c r="Z217" t="s">
        <v>1308</v>
      </c>
      <c r="AA217" t="s">
        <v>277</v>
      </c>
      <c r="AL217" t="s">
        <v>2727</v>
      </c>
      <c r="AM217" t="s">
        <v>86</v>
      </c>
      <c r="AN217" t="s">
        <v>482</v>
      </c>
      <c r="AO217" t="s">
        <v>277</v>
      </c>
      <c r="AP217" t="s">
        <v>62</v>
      </c>
      <c r="AQ217" t="s">
        <v>483</v>
      </c>
      <c r="AR217" t="s">
        <v>51</v>
      </c>
      <c r="AV217" t="s">
        <v>3318</v>
      </c>
      <c r="AW217" t="s">
        <v>484</v>
      </c>
      <c r="AX217" t="s">
        <v>3632</v>
      </c>
    </row>
    <row r="218" spans="1:50" x14ac:dyDescent="0.25">
      <c r="A218" t="s">
        <v>383</v>
      </c>
      <c r="B218" t="s">
        <v>1168</v>
      </c>
      <c r="C218" t="s">
        <v>1451</v>
      </c>
      <c r="D218" t="s">
        <v>3230</v>
      </c>
      <c r="E218">
        <v>1</v>
      </c>
      <c r="F218">
        <v>1</v>
      </c>
      <c r="H218" t="s">
        <v>1307</v>
      </c>
      <c r="I218" t="s">
        <v>1308</v>
      </c>
      <c r="J218" t="s">
        <v>1172</v>
      </c>
      <c r="K218" t="s">
        <v>1173</v>
      </c>
      <c r="L218" t="s">
        <v>1174</v>
      </c>
      <c r="M218">
        <v>0</v>
      </c>
      <c r="N218" t="s">
        <v>50</v>
      </c>
      <c r="O218">
        <v>1</v>
      </c>
      <c r="P218">
        <v>0</v>
      </c>
      <c r="Q218">
        <v>0</v>
      </c>
      <c r="R218">
        <v>0</v>
      </c>
      <c r="S218">
        <v>0</v>
      </c>
      <c r="T218">
        <v>0</v>
      </c>
      <c r="U218" s="20">
        <v>45895.911747685182</v>
      </c>
      <c r="V218" s="20">
        <v>46077.993217592593</v>
      </c>
      <c r="Y218">
        <v>0</v>
      </c>
      <c r="Z218" t="s">
        <v>1308</v>
      </c>
      <c r="AA218" t="s">
        <v>277</v>
      </c>
      <c r="AL218" t="s">
        <v>2687</v>
      </c>
      <c r="AM218" t="s">
        <v>86</v>
      </c>
      <c r="AN218" t="s">
        <v>95</v>
      </c>
      <c r="AO218" t="s">
        <v>277</v>
      </c>
      <c r="AP218" t="s">
        <v>62</v>
      </c>
      <c r="AQ218" t="s">
        <v>384</v>
      </c>
      <c r="AR218" t="s">
        <v>51</v>
      </c>
      <c r="AV218" t="s">
        <v>3319</v>
      </c>
      <c r="AW218" t="s">
        <v>385</v>
      </c>
      <c r="AX218" t="s">
        <v>3633</v>
      </c>
    </row>
    <row r="219" spans="1:50" x14ac:dyDescent="0.25">
      <c r="A219" t="s">
        <v>380</v>
      </c>
      <c r="B219" t="s">
        <v>1168</v>
      </c>
      <c r="C219" t="s">
        <v>1450</v>
      </c>
      <c r="D219" t="s">
        <v>3230</v>
      </c>
      <c r="E219">
        <v>1</v>
      </c>
      <c r="F219">
        <v>1</v>
      </c>
      <c r="H219" t="s">
        <v>1307</v>
      </c>
      <c r="I219" t="s">
        <v>1308</v>
      </c>
      <c r="J219" t="s">
        <v>1172</v>
      </c>
      <c r="K219" t="s">
        <v>1173</v>
      </c>
      <c r="L219" t="s">
        <v>1174</v>
      </c>
      <c r="M219">
        <v>0</v>
      </c>
      <c r="N219" t="s">
        <v>50</v>
      </c>
      <c r="O219">
        <v>1</v>
      </c>
      <c r="P219">
        <v>0</v>
      </c>
      <c r="Q219">
        <v>0</v>
      </c>
      <c r="R219">
        <v>0</v>
      </c>
      <c r="S219">
        <v>0</v>
      </c>
      <c r="T219">
        <v>0</v>
      </c>
      <c r="U219" s="20">
        <v>45895.911840277775</v>
      </c>
      <c r="V219" s="20">
        <v>46077.99322916667</v>
      </c>
      <c r="Y219">
        <v>0</v>
      </c>
      <c r="Z219" t="s">
        <v>1308</v>
      </c>
      <c r="AA219" t="s">
        <v>277</v>
      </c>
      <c r="AL219" t="s">
        <v>3007</v>
      </c>
      <c r="AM219" t="s">
        <v>86</v>
      </c>
      <c r="AN219" t="s">
        <v>95</v>
      </c>
      <c r="AO219" t="s">
        <v>277</v>
      </c>
      <c r="AP219" t="s">
        <v>62</v>
      </c>
      <c r="AQ219" t="s">
        <v>381</v>
      </c>
      <c r="AR219" t="s">
        <v>73</v>
      </c>
      <c r="AV219" t="s">
        <v>3240</v>
      </c>
      <c r="AW219" t="s">
        <v>382</v>
      </c>
      <c r="AX219" t="s">
        <v>3634</v>
      </c>
    </row>
    <row r="220" spans="1:50" x14ac:dyDescent="0.25">
      <c r="A220" t="s">
        <v>377</v>
      </c>
      <c r="B220" t="s">
        <v>1168</v>
      </c>
      <c r="C220" t="s">
        <v>1449</v>
      </c>
      <c r="D220" t="s">
        <v>3230</v>
      </c>
      <c r="E220">
        <v>1</v>
      </c>
      <c r="F220">
        <v>1</v>
      </c>
      <c r="H220" t="s">
        <v>1307</v>
      </c>
      <c r="I220" t="s">
        <v>1308</v>
      </c>
      <c r="J220" t="s">
        <v>1172</v>
      </c>
      <c r="K220" t="s">
        <v>1173</v>
      </c>
      <c r="L220" t="s">
        <v>1174</v>
      </c>
      <c r="M220">
        <v>0</v>
      </c>
      <c r="N220" t="s">
        <v>50</v>
      </c>
      <c r="O220">
        <v>1</v>
      </c>
      <c r="P220">
        <v>0</v>
      </c>
      <c r="Q220">
        <v>0</v>
      </c>
      <c r="R220">
        <v>0</v>
      </c>
      <c r="S220">
        <v>0</v>
      </c>
      <c r="T220">
        <v>0</v>
      </c>
      <c r="U220" s="20">
        <v>45895.912002314813</v>
      </c>
      <c r="V220" s="20">
        <v>46077.99322916667</v>
      </c>
      <c r="Y220">
        <v>0</v>
      </c>
      <c r="Z220" t="s">
        <v>1308</v>
      </c>
      <c r="AA220" t="s">
        <v>277</v>
      </c>
      <c r="AL220" t="s">
        <v>2685</v>
      </c>
      <c r="AM220" t="s">
        <v>86</v>
      </c>
      <c r="AN220" t="s">
        <v>95</v>
      </c>
      <c r="AO220" t="s">
        <v>277</v>
      </c>
      <c r="AP220" t="s">
        <v>62</v>
      </c>
      <c r="AQ220" t="s">
        <v>378</v>
      </c>
      <c r="AR220" t="s">
        <v>51</v>
      </c>
      <c r="AV220" t="s">
        <v>3320</v>
      </c>
      <c r="AW220" t="s">
        <v>379</v>
      </c>
      <c r="AX220" t="s">
        <v>3635</v>
      </c>
    </row>
    <row r="221" spans="1:50" x14ac:dyDescent="0.25">
      <c r="A221" t="s">
        <v>863</v>
      </c>
      <c r="B221" t="s">
        <v>1168</v>
      </c>
      <c r="C221" t="s">
        <v>1631</v>
      </c>
      <c r="D221" t="s">
        <v>3230</v>
      </c>
      <c r="E221">
        <v>1</v>
      </c>
      <c r="F221">
        <v>1</v>
      </c>
      <c r="H221" t="s">
        <v>1307</v>
      </c>
      <c r="I221" t="s">
        <v>1308</v>
      </c>
      <c r="J221" t="s">
        <v>1172</v>
      </c>
      <c r="K221" t="s">
        <v>1173</v>
      </c>
      <c r="L221" t="s">
        <v>1174</v>
      </c>
      <c r="M221">
        <v>0</v>
      </c>
      <c r="N221" t="s">
        <v>50</v>
      </c>
      <c r="O221">
        <v>1</v>
      </c>
      <c r="P221">
        <v>0</v>
      </c>
      <c r="Q221">
        <v>0</v>
      </c>
      <c r="R221">
        <v>0</v>
      </c>
      <c r="S221">
        <v>0</v>
      </c>
      <c r="T221">
        <v>0</v>
      </c>
      <c r="U221" s="20">
        <v>45895.913310185184</v>
      </c>
      <c r="V221" s="20">
        <v>46077.99322916667</v>
      </c>
      <c r="Y221">
        <v>0</v>
      </c>
      <c r="Z221" t="s">
        <v>1308</v>
      </c>
      <c r="AL221" t="s">
        <v>2855</v>
      </c>
      <c r="AO221" t="s">
        <v>277</v>
      </c>
      <c r="AP221" t="s">
        <v>62</v>
      </c>
      <c r="AQ221" t="s">
        <v>864</v>
      </c>
      <c r="AR221" t="s">
        <v>73</v>
      </c>
      <c r="AV221" t="s">
        <v>3265</v>
      </c>
      <c r="AW221" t="s">
        <v>865</v>
      </c>
      <c r="AX221" t="s">
        <v>3636</v>
      </c>
    </row>
    <row r="222" spans="1:50" x14ac:dyDescent="0.25">
      <c r="A222" t="s">
        <v>866</v>
      </c>
      <c r="B222" t="s">
        <v>1168</v>
      </c>
      <c r="C222" t="s">
        <v>1632</v>
      </c>
      <c r="E222">
        <v>1</v>
      </c>
      <c r="F222">
        <v>1</v>
      </c>
      <c r="H222" t="s">
        <v>1307</v>
      </c>
      <c r="I222" t="s">
        <v>1308</v>
      </c>
      <c r="J222" t="s">
        <v>1172</v>
      </c>
      <c r="K222" t="s">
        <v>1173</v>
      </c>
      <c r="L222" t="s">
        <v>1174</v>
      </c>
      <c r="M222">
        <v>0</v>
      </c>
      <c r="N222" t="s">
        <v>50</v>
      </c>
      <c r="O222">
        <v>1</v>
      </c>
      <c r="P222">
        <v>0</v>
      </c>
      <c r="Q222">
        <v>0</v>
      </c>
      <c r="R222">
        <v>0</v>
      </c>
      <c r="S222">
        <v>0</v>
      </c>
      <c r="T222">
        <v>0</v>
      </c>
      <c r="U222" s="20">
        <v>45895.913611111115</v>
      </c>
      <c r="V222" s="20">
        <v>46002.004965277774</v>
      </c>
      <c r="Y222">
        <v>0</v>
      </c>
      <c r="Z222" t="s">
        <v>1308</v>
      </c>
      <c r="AL222" t="s">
        <v>2857</v>
      </c>
      <c r="AO222" t="s">
        <v>277</v>
      </c>
      <c r="AP222" t="s">
        <v>49</v>
      </c>
      <c r="AQ222" t="s">
        <v>867</v>
      </c>
      <c r="AR222" t="s">
        <v>51</v>
      </c>
      <c r="AV222" t="s">
        <v>3321</v>
      </c>
      <c r="AW222" t="s">
        <v>868</v>
      </c>
      <c r="AX222" t="s">
        <v>3637</v>
      </c>
    </row>
    <row r="223" spans="1:50" x14ac:dyDescent="0.25">
      <c r="A223" t="s">
        <v>869</v>
      </c>
      <c r="B223" t="s">
        <v>1168</v>
      </c>
      <c r="C223" t="s">
        <v>1633</v>
      </c>
      <c r="E223">
        <v>1</v>
      </c>
      <c r="F223">
        <v>1</v>
      </c>
      <c r="H223" t="s">
        <v>1307</v>
      </c>
      <c r="I223" t="s">
        <v>1308</v>
      </c>
      <c r="J223" t="s">
        <v>1172</v>
      </c>
      <c r="K223" t="s">
        <v>1173</v>
      </c>
      <c r="L223" t="s">
        <v>1174</v>
      </c>
      <c r="M223">
        <v>0</v>
      </c>
      <c r="N223" t="s">
        <v>50</v>
      </c>
      <c r="O223">
        <v>1</v>
      </c>
      <c r="P223">
        <v>0</v>
      </c>
      <c r="Q223">
        <v>0</v>
      </c>
      <c r="R223">
        <v>0</v>
      </c>
      <c r="S223">
        <v>0</v>
      </c>
      <c r="T223">
        <v>0</v>
      </c>
      <c r="U223" s="20">
        <v>45895.913842592592</v>
      </c>
      <c r="V223" s="20">
        <v>46002.004999999997</v>
      </c>
      <c r="Y223">
        <v>0</v>
      </c>
      <c r="Z223" t="s">
        <v>1308</v>
      </c>
      <c r="AL223" t="s">
        <v>2858</v>
      </c>
      <c r="AO223" t="s">
        <v>277</v>
      </c>
      <c r="AP223" t="s">
        <v>870</v>
      </c>
      <c r="AQ223" t="s">
        <v>871</v>
      </c>
      <c r="AR223" t="s">
        <v>51</v>
      </c>
      <c r="AV223" t="s">
        <v>3322</v>
      </c>
      <c r="AW223" t="s">
        <v>872</v>
      </c>
      <c r="AX223" t="s">
        <v>3638</v>
      </c>
    </row>
    <row r="224" spans="1:50" x14ac:dyDescent="0.25">
      <c r="A224" t="s">
        <v>299</v>
      </c>
      <c r="B224" t="s">
        <v>1168</v>
      </c>
      <c r="C224" t="s">
        <v>1420</v>
      </c>
      <c r="D224" t="s">
        <v>303</v>
      </c>
      <c r="E224">
        <v>1</v>
      </c>
      <c r="F224">
        <v>1</v>
      </c>
      <c r="H224" t="s">
        <v>1307</v>
      </c>
      <c r="I224" t="s">
        <v>1308</v>
      </c>
      <c r="J224" t="s">
        <v>1172</v>
      </c>
      <c r="K224" t="s">
        <v>1173</v>
      </c>
      <c r="L224" t="s">
        <v>1174</v>
      </c>
      <c r="M224">
        <v>0</v>
      </c>
      <c r="N224" t="s">
        <v>50</v>
      </c>
      <c r="O224">
        <v>1</v>
      </c>
      <c r="P224">
        <v>0</v>
      </c>
      <c r="Q224">
        <v>0</v>
      </c>
      <c r="R224">
        <v>0</v>
      </c>
      <c r="S224">
        <v>0</v>
      </c>
      <c r="T224">
        <v>0</v>
      </c>
      <c r="U224" s="20">
        <v>45895.915208333332</v>
      </c>
      <c r="V224" s="20">
        <v>46002.067627314813</v>
      </c>
      <c r="Y224">
        <v>0</v>
      </c>
      <c r="Z224" t="s">
        <v>1308</v>
      </c>
      <c r="AA224" t="s">
        <v>277</v>
      </c>
      <c r="AL224" t="s">
        <v>2651</v>
      </c>
      <c r="AM224" t="s">
        <v>37</v>
      </c>
      <c r="AN224" t="s">
        <v>95</v>
      </c>
      <c r="AO224" t="s">
        <v>277</v>
      </c>
      <c r="AP224" t="s">
        <v>49</v>
      </c>
      <c r="AQ224" t="s">
        <v>300</v>
      </c>
      <c r="AR224" t="s">
        <v>51</v>
      </c>
      <c r="AV224" t="s">
        <v>302</v>
      </c>
      <c r="AW224" t="s">
        <v>301</v>
      </c>
      <c r="AX224" t="s">
        <v>3639</v>
      </c>
    </row>
    <row r="225" spans="1:50" x14ac:dyDescent="0.25">
      <c r="A225" t="s">
        <v>293</v>
      </c>
      <c r="B225" t="s">
        <v>1168</v>
      </c>
      <c r="C225" t="s">
        <v>1419</v>
      </c>
      <c r="D225" t="s">
        <v>298</v>
      </c>
      <c r="E225">
        <v>1</v>
      </c>
      <c r="F225">
        <v>1</v>
      </c>
      <c r="H225" t="s">
        <v>1307</v>
      </c>
      <c r="I225" t="s">
        <v>1308</v>
      </c>
      <c r="J225" t="s">
        <v>1172</v>
      </c>
      <c r="K225" t="s">
        <v>1173</v>
      </c>
      <c r="L225" t="s">
        <v>1174</v>
      </c>
      <c r="M225">
        <v>0</v>
      </c>
      <c r="N225" t="s">
        <v>50</v>
      </c>
      <c r="O225">
        <v>1</v>
      </c>
      <c r="P225">
        <v>0</v>
      </c>
      <c r="Q225">
        <v>0</v>
      </c>
      <c r="R225">
        <v>0</v>
      </c>
      <c r="S225">
        <v>0</v>
      </c>
      <c r="T225">
        <v>0</v>
      </c>
      <c r="U225" s="20">
        <v>45895.915543981479</v>
      </c>
      <c r="V225" s="20">
        <v>46002.067569444444</v>
      </c>
      <c r="Y225">
        <v>0</v>
      </c>
      <c r="Z225" t="s">
        <v>1308</v>
      </c>
      <c r="AA225" t="s">
        <v>277</v>
      </c>
      <c r="AL225" t="s">
        <v>2649</v>
      </c>
      <c r="AM225" t="s">
        <v>37</v>
      </c>
      <c r="AN225" t="s">
        <v>294</v>
      </c>
      <c r="AO225" t="s">
        <v>277</v>
      </c>
      <c r="AP225" t="s">
        <v>49</v>
      </c>
      <c r="AQ225" t="s">
        <v>295</v>
      </c>
      <c r="AR225" t="s">
        <v>89</v>
      </c>
      <c r="AV225" t="s">
        <v>297</v>
      </c>
      <c r="AW225" t="s">
        <v>296</v>
      </c>
      <c r="AX225" t="s">
        <v>3640</v>
      </c>
    </row>
    <row r="226" spans="1:50" x14ac:dyDescent="0.25">
      <c r="A226" t="s">
        <v>305</v>
      </c>
      <c r="B226" t="s">
        <v>1168</v>
      </c>
      <c r="C226" t="s">
        <v>1421</v>
      </c>
      <c r="D226" t="s">
        <v>310</v>
      </c>
      <c r="E226">
        <v>1</v>
      </c>
      <c r="F226">
        <v>1</v>
      </c>
      <c r="H226" t="s">
        <v>1307</v>
      </c>
      <c r="I226" t="s">
        <v>1308</v>
      </c>
      <c r="J226" t="s">
        <v>1172</v>
      </c>
      <c r="K226" t="s">
        <v>1173</v>
      </c>
      <c r="L226" t="s">
        <v>1174</v>
      </c>
      <c r="M226">
        <v>0</v>
      </c>
      <c r="N226" t="s">
        <v>50</v>
      </c>
      <c r="O226">
        <v>1</v>
      </c>
      <c r="P226">
        <v>0</v>
      </c>
      <c r="Q226">
        <v>0</v>
      </c>
      <c r="R226">
        <v>0</v>
      </c>
      <c r="S226">
        <v>0</v>
      </c>
      <c r="T226">
        <v>0</v>
      </c>
      <c r="U226" s="20">
        <v>45895.915613425925</v>
      </c>
      <c r="V226" s="20">
        <v>46002.067569444444</v>
      </c>
      <c r="Y226">
        <v>0</v>
      </c>
      <c r="Z226" t="s">
        <v>1308</v>
      </c>
      <c r="AA226" t="s">
        <v>277</v>
      </c>
      <c r="AL226" t="s">
        <v>2653</v>
      </c>
      <c r="AM226" t="s">
        <v>37</v>
      </c>
      <c r="AN226" t="s">
        <v>306</v>
      </c>
      <c r="AO226" t="s">
        <v>277</v>
      </c>
      <c r="AP226" t="s">
        <v>49</v>
      </c>
      <c r="AQ226" t="s">
        <v>307</v>
      </c>
      <c r="AR226" t="s">
        <v>89</v>
      </c>
      <c r="AV226" t="s">
        <v>309</v>
      </c>
      <c r="AW226" t="s">
        <v>308</v>
      </c>
      <c r="AX226" t="s">
        <v>3641</v>
      </c>
    </row>
    <row r="227" spans="1:50" x14ac:dyDescent="0.25">
      <c r="A227" t="s">
        <v>557</v>
      </c>
      <c r="B227" t="s">
        <v>1168</v>
      </c>
      <c r="C227" t="s">
        <v>1509</v>
      </c>
      <c r="E227">
        <v>1</v>
      </c>
      <c r="F227">
        <v>1</v>
      </c>
      <c r="H227" t="s">
        <v>1307</v>
      </c>
      <c r="I227" t="s">
        <v>1308</v>
      </c>
      <c r="J227" t="s">
        <v>1172</v>
      </c>
      <c r="K227" t="s">
        <v>1173</v>
      </c>
      <c r="L227" t="s">
        <v>1174</v>
      </c>
      <c r="M227">
        <v>0</v>
      </c>
      <c r="N227" t="s">
        <v>50</v>
      </c>
      <c r="O227">
        <v>1</v>
      </c>
      <c r="P227">
        <v>0</v>
      </c>
      <c r="Q227">
        <v>0</v>
      </c>
      <c r="R227">
        <v>0</v>
      </c>
      <c r="S227">
        <v>0</v>
      </c>
      <c r="T227">
        <v>0</v>
      </c>
      <c r="U227" s="20">
        <v>45895.916655092595</v>
      </c>
      <c r="V227" s="20">
        <v>46002.067604166667</v>
      </c>
      <c r="Y227">
        <v>0</v>
      </c>
      <c r="Z227" t="s">
        <v>1308</v>
      </c>
      <c r="AA227" t="s">
        <v>277</v>
      </c>
      <c r="AL227" t="s">
        <v>2763</v>
      </c>
      <c r="AM227" t="s">
        <v>46</v>
      </c>
      <c r="AO227" t="s">
        <v>277</v>
      </c>
      <c r="AP227" t="s">
        <v>362</v>
      </c>
      <c r="AQ227" t="s">
        <v>558</v>
      </c>
      <c r="AR227" t="s">
        <v>51</v>
      </c>
      <c r="AV227" t="s">
        <v>3642</v>
      </c>
      <c r="AW227" t="s">
        <v>559</v>
      </c>
      <c r="AX227" t="s">
        <v>3643</v>
      </c>
    </row>
    <row r="228" spans="1:50" x14ac:dyDescent="0.25">
      <c r="A228" t="s">
        <v>554</v>
      </c>
      <c r="B228" t="s">
        <v>1168</v>
      </c>
      <c r="C228" t="s">
        <v>1508</v>
      </c>
      <c r="D228" t="s">
        <v>3230</v>
      </c>
      <c r="E228">
        <v>1</v>
      </c>
      <c r="F228">
        <v>1</v>
      </c>
      <c r="H228" t="s">
        <v>1307</v>
      </c>
      <c r="I228" t="s">
        <v>1308</v>
      </c>
      <c r="J228" t="s">
        <v>1172</v>
      </c>
      <c r="K228" t="s">
        <v>1173</v>
      </c>
      <c r="L228" t="s">
        <v>1174</v>
      </c>
      <c r="M228">
        <v>0</v>
      </c>
      <c r="N228" t="s">
        <v>50</v>
      </c>
      <c r="O228">
        <v>1</v>
      </c>
      <c r="P228">
        <v>0</v>
      </c>
      <c r="Q228">
        <v>0</v>
      </c>
      <c r="R228">
        <v>0</v>
      </c>
      <c r="S228">
        <v>0</v>
      </c>
      <c r="T228">
        <v>0</v>
      </c>
      <c r="U228" s="20">
        <v>45895.91673611111</v>
      </c>
      <c r="V228" s="20">
        <v>46077.993217592593</v>
      </c>
      <c r="Y228">
        <v>0</v>
      </c>
      <c r="Z228" t="s">
        <v>1308</v>
      </c>
      <c r="AA228" t="s">
        <v>277</v>
      </c>
      <c r="AL228" t="s">
        <v>3019</v>
      </c>
      <c r="AM228" t="s">
        <v>46</v>
      </c>
      <c r="AO228" t="s">
        <v>277</v>
      </c>
      <c r="AP228" t="s">
        <v>62</v>
      </c>
      <c r="AQ228" t="s">
        <v>555</v>
      </c>
      <c r="AR228" t="s">
        <v>73</v>
      </c>
      <c r="AV228" t="s">
        <v>3256</v>
      </c>
      <c r="AW228" t="s">
        <v>556</v>
      </c>
      <c r="AX228" t="s">
        <v>3644</v>
      </c>
    </row>
    <row r="229" spans="1:50" x14ac:dyDescent="0.25">
      <c r="A229" t="s">
        <v>548</v>
      </c>
      <c r="B229" t="s">
        <v>1168</v>
      </c>
      <c r="C229" t="s">
        <v>1504</v>
      </c>
      <c r="D229" t="s">
        <v>549</v>
      </c>
      <c r="E229">
        <v>1</v>
      </c>
      <c r="F229">
        <v>1</v>
      </c>
      <c r="H229" t="s">
        <v>1307</v>
      </c>
      <c r="I229" t="s">
        <v>1308</v>
      </c>
      <c r="J229" t="s">
        <v>1172</v>
      </c>
      <c r="K229" t="s">
        <v>1173</v>
      </c>
      <c r="L229" t="s">
        <v>1174</v>
      </c>
      <c r="M229">
        <v>0</v>
      </c>
      <c r="N229" t="s">
        <v>41</v>
      </c>
      <c r="O229">
        <v>1</v>
      </c>
      <c r="P229">
        <v>0</v>
      </c>
      <c r="Q229">
        <v>0</v>
      </c>
      <c r="R229">
        <v>0</v>
      </c>
      <c r="S229">
        <v>0</v>
      </c>
      <c r="T229">
        <v>0</v>
      </c>
      <c r="U229" s="20">
        <v>45895.917870370373</v>
      </c>
      <c r="V229" s="20">
        <v>46002.067615740743</v>
      </c>
      <c r="Y229">
        <v>0</v>
      </c>
      <c r="Z229" t="s">
        <v>1308</v>
      </c>
      <c r="AA229" t="s">
        <v>277</v>
      </c>
      <c r="AL229" t="s">
        <v>2758</v>
      </c>
      <c r="AO229" t="s">
        <v>277</v>
      </c>
      <c r="AX229" t="s">
        <v>3645</v>
      </c>
    </row>
    <row r="230" spans="1:50" x14ac:dyDescent="0.25">
      <c r="A230" t="s">
        <v>601</v>
      </c>
      <c r="B230" t="s">
        <v>1168</v>
      </c>
      <c r="C230" t="s">
        <v>1523</v>
      </c>
      <c r="D230" t="s">
        <v>3292</v>
      </c>
      <c r="E230">
        <v>1</v>
      </c>
      <c r="F230">
        <v>1</v>
      </c>
      <c r="H230" t="s">
        <v>1307</v>
      </c>
      <c r="I230" t="s">
        <v>1308</v>
      </c>
      <c r="J230" t="s">
        <v>1172</v>
      </c>
      <c r="K230" t="s">
        <v>1173</v>
      </c>
      <c r="L230" t="s">
        <v>1174</v>
      </c>
      <c r="M230">
        <v>0</v>
      </c>
      <c r="N230" t="s">
        <v>50</v>
      </c>
      <c r="O230">
        <v>1</v>
      </c>
      <c r="P230">
        <v>0</v>
      </c>
      <c r="Q230">
        <v>0</v>
      </c>
      <c r="R230">
        <v>0</v>
      </c>
      <c r="S230">
        <v>0</v>
      </c>
      <c r="T230">
        <v>0</v>
      </c>
      <c r="U230" s="20">
        <v>45895.918020833335</v>
      </c>
      <c r="V230" s="20">
        <v>46077.993206018517</v>
      </c>
      <c r="Y230">
        <v>0</v>
      </c>
      <c r="Z230" t="s">
        <v>1308</v>
      </c>
      <c r="AA230" t="s">
        <v>277</v>
      </c>
      <c r="AL230" t="s">
        <v>3021</v>
      </c>
      <c r="AM230" t="s">
        <v>37</v>
      </c>
      <c r="AN230" t="s">
        <v>46</v>
      </c>
      <c r="AO230" t="s">
        <v>277</v>
      </c>
      <c r="AP230" t="s">
        <v>62</v>
      </c>
      <c r="AQ230" t="s">
        <v>602</v>
      </c>
      <c r="AR230" t="s">
        <v>89</v>
      </c>
      <c r="AV230" t="s">
        <v>604</v>
      </c>
      <c r="AW230" t="s">
        <v>603</v>
      </c>
      <c r="AX230" t="s">
        <v>3646</v>
      </c>
    </row>
    <row r="231" spans="1:50" x14ac:dyDescent="0.25">
      <c r="A231" t="s">
        <v>550</v>
      </c>
      <c r="B231" t="s">
        <v>1168</v>
      </c>
      <c r="C231" t="s">
        <v>1505</v>
      </c>
      <c r="D231" t="s">
        <v>549</v>
      </c>
      <c r="E231">
        <v>1</v>
      </c>
      <c r="F231">
        <v>1</v>
      </c>
      <c r="H231" t="s">
        <v>1307</v>
      </c>
      <c r="I231" t="s">
        <v>1308</v>
      </c>
      <c r="J231" t="s">
        <v>1172</v>
      </c>
      <c r="K231" t="s">
        <v>1173</v>
      </c>
      <c r="L231" t="s">
        <v>1174</v>
      </c>
      <c r="M231">
        <v>0</v>
      </c>
      <c r="N231" t="s">
        <v>41</v>
      </c>
      <c r="O231">
        <v>1</v>
      </c>
      <c r="P231">
        <v>0</v>
      </c>
      <c r="Q231">
        <v>0</v>
      </c>
      <c r="R231">
        <v>0</v>
      </c>
      <c r="S231">
        <v>0</v>
      </c>
      <c r="T231">
        <v>0</v>
      </c>
      <c r="U231" s="20">
        <v>45895.918113425927</v>
      </c>
      <c r="V231" s="20">
        <v>46002.067546296297</v>
      </c>
      <c r="Y231">
        <v>0</v>
      </c>
      <c r="Z231" t="s">
        <v>1308</v>
      </c>
      <c r="AA231" t="s">
        <v>277</v>
      </c>
      <c r="AL231" t="s">
        <v>2759</v>
      </c>
      <c r="AO231" t="s">
        <v>277</v>
      </c>
      <c r="AX231" t="s">
        <v>3647</v>
      </c>
    </row>
    <row r="232" spans="1:50" x14ac:dyDescent="0.25">
      <c r="A232" t="s">
        <v>547</v>
      </c>
      <c r="B232" t="s">
        <v>1168</v>
      </c>
      <c r="C232" t="s">
        <v>1503</v>
      </c>
      <c r="D232" t="s">
        <v>84</v>
      </c>
      <c r="E232">
        <v>1</v>
      </c>
      <c r="F232">
        <v>1</v>
      </c>
      <c r="H232" t="s">
        <v>1307</v>
      </c>
      <c r="I232" t="s">
        <v>1308</v>
      </c>
      <c r="J232" t="s">
        <v>1172</v>
      </c>
      <c r="K232" t="s">
        <v>1173</v>
      </c>
      <c r="L232" t="s">
        <v>1174</v>
      </c>
      <c r="M232">
        <v>0</v>
      </c>
      <c r="N232" t="s">
        <v>41</v>
      </c>
      <c r="O232">
        <v>1</v>
      </c>
      <c r="P232">
        <v>0</v>
      </c>
      <c r="Q232">
        <v>0</v>
      </c>
      <c r="R232">
        <v>0</v>
      </c>
      <c r="S232">
        <v>0</v>
      </c>
      <c r="T232">
        <v>0</v>
      </c>
      <c r="U232" s="20">
        <v>45895.918206018519</v>
      </c>
      <c r="V232" s="20">
        <v>46002.06758101852</v>
      </c>
      <c r="Y232">
        <v>0</v>
      </c>
      <c r="Z232" t="s">
        <v>1308</v>
      </c>
      <c r="AA232" t="s">
        <v>277</v>
      </c>
      <c r="AL232" t="s">
        <v>2756</v>
      </c>
      <c r="AO232" t="s">
        <v>277</v>
      </c>
      <c r="AX232" t="s">
        <v>3648</v>
      </c>
    </row>
    <row r="233" spans="1:50" x14ac:dyDescent="0.25">
      <c r="A233" t="s">
        <v>276</v>
      </c>
      <c r="B233" t="s">
        <v>1168</v>
      </c>
      <c r="C233" t="s">
        <v>1414</v>
      </c>
      <c r="D233" t="s">
        <v>3293</v>
      </c>
      <c r="E233">
        <v>1</v>
      </c>
      <c r="F233">
        <v>1</v>
      </c>
      <c r="H233" t="s">
        <v>1307</v>
      </c>
      <c r="I233" t="s">
        <v>1308</v>
      </c>
      <c r="J233" t="s">
        <v>1172</v>
      </c>
      <c r="K233" t="s">
        <v>1173</v>
      </c>
      <c r="L233" t="s">
        <v>1174</v>
      </c>
      <c r="M233">
        <v>0</v>
      </c>
      <c r="N233" t="s">
        <v>87</v>
      </c>
      <c r="O233">
        <v>1</v>
      </c>
      <c r="P233">
        <v>0</v>
      </c>
      <c r="Q233">
        <v>0</v>
      </c>
      <c r="R233">
        <v>0</v>
      </c>
      <c r="S233">
        <v>0</v>
      </c>
      <c r="T233">
        <v>0</v>
      </c>
      <c r="U233" s="20">
        <v>45895.920208333337</v>
      </c>
      <c r="V233" s="20">
        <v>46077.99322916667</v>
      </c>
      <c r="Y233">
        <v>0</v>
      </c>
      <c r="Z233" t="s">
        <v>1308</v>
      </c>
      <c r="AA233" t="s">
        <v>277</v>
      </c>
      <c r="AL233" t="s">
        <v>3004</v>
      </c>
      <c r="AM233" t="s">
        <v>37</v>
      </c>
      <c r="AN233" t="s">
        <v>120</v>
      </c>
      <c r="AO233" t="s">
        <v>277</v>
      </c>
      <c r="AP233" t="s">
        <v>49</v>
      </c>
      <c r="AQ233" t="s">
        <v>278</v>
      </c>
      <c r="AR233" t="s">
        <v>89</v>
      </c>
      <c r="AV233" t="s">
        <v>3283</v>
      </c>
      <c r="AW233" t="s">
        <v>3282</v>
      </c>
      <c r="AX233" t="s">
        <v>3649</v>
      </c>
    </row>
    <row r="234" spans="1:50" x14ac:dyDescent="0.25">
      <c r="A234" t="s">
        <v>359</v>
      </c>
      <c r="B234" t="s">
        <v>1168</v>
      </c>
      <c r="C234" t="s">
        <v>1440</v>
      </c>
      <c r="D234" t="s">
        <v>283</v>
      </c>
      <c r="E234">
        <v>1</v>
      </c>
      <c r="F234">
        <v>1</v>
      </c>
      <c r="H234" t="s">
        <v>1307</v>
      </c>
      <c r="I234" t="s">
        <v>1308</v>
      </c>
      <c r="J234" t="s">
        <v>1172</v>
      </c>
      <c r="K234" t="s">
        <v>1173</v>
      </c>
      <c r="L234" t="s">
        <v>1174</v>
      </c>
      <c r="M234">
        <v>0</v>
      </c>
      <c r="N234" t="s">
        <v>41</v>
      </c>
      <c r="O234">
        <v>1</v>
      </c>
      <c r="P234">
        <v>0</v>
      </c>
      <c r="Q234">
        <v>0</v>
      </c>
      <c r="R234">
        <v>0</v>
      </c>
      <c r="S234">
        <v>0</v>
      </c>
      <c r="T234">
        <v>0</v>
      </c>
      <c r="U234" s="20">
        <v>45895.920358796298</v>
      </c>
      <c r="V234" s="20">
        <v>46002.067546296297</v>
      </c>
      <c r="Y234">
        <v>0</v>
      </c>
      <c r="Z234" t="s">
        <v>1308</v>
      </c>
      <c r="AA234" t="s">
        <v>354</v>
      </c>
      <c r="AL234" t="s">
        <v>2674</v>
      </c>
      <c r="AO234" t="s">
        <v>354</v>
      </c>
      <c r="AX234" t="s">
        <v>3650</v>
      </c>
    </row>
    <row r="235" spans="1:50" x14ac:dyDescent="0.25">
      <c r="A235" t="s">
        <v>336</v>
      </c>
      <c r="B235" t="s">
        <v>1168</v>
      </c>
      <c r="C235" t="s">
        <v>1430</v>
      </c>
      <c r="D235" t="s">
        <v>3323</v>
      </c>
      <c r="E235">
        <v>1</v>
      </c>
      <c r="F235">
        <v>1</v>
      </c>
      <c r="H235" t="s">
        <v>1307</v>
      </c>
      <c r="I235" t="s">
        <v>1308</v>
      </c>
      <c r="J235" t="s">
        <v>1172</v>
      </c>
      <c r="K235" t="s">
        <v>1173</v>
      </c>
      <c r="L235" t="s">
        <v>1174</v>
      </c>
      <c r="M235">
        <v>0</v>
      </c>
      <c r="N235" t="s">
        <v>50</v>
      </c>
      <c r="O235">
        <v>1</v>
      </c>
      <c r="P235">
        <v>0</v>
      </c>
      <c r="Q235">
        <v>0</v>
      </c>
      <c r="R235">
        <v>0</v>
      </c>
      <c r="S235">
        <v>0</v>
      </c>
      <c r="T235">
        <v>0</v>
      </c>
      <c r="U235" s="20">
        <v>45895.920532407406</v>
      </c>
      <c r="V235" s="20">
        <v>46077.993217592593</v>
      </c>
      <c r="Y235">
        <v>0</v>
      </c>
      <c r="Z235" t="s">
        <v>1308</v>
      </c>
      <c r="AA235" t="s">
        <v>312</v>
      </c>
      <c r="AL235" t="s">
        <v>2664</v>
      </c>
      <c r="AO235" t="s">
        <v>312</v>
      </c>
      <c r="AP235" t="s">
        <v>49</v>
      </c>
      <c r="AQ235" t="s">
        <v>337</v>
      </c>
      <c r="AR235" t="s">
        <v>51</v>
      </c>
      <c r="AV235" t="s">
        <v>3324</v>
      </c>
      <c r="AW235" t="s">
        <v>338</v>
      </c>
      <c r="AX235" t="s">
        <v>3651</v>
      </c>
    </row>
    <row r="236" spans="1:50" x14ac:dyDescent="0.25">
      <c r="A236" t="s">
        <v>357</v>
      </c>
      <c r="B236" t="s">
        <v>1168</v>
      </c>
      <c r="C236" t="s">
        <v>1439</v>
      </c>
      <c r="D236" t="s">
        <v>3292</v>
      </c>
      <c r="E236">
        <v>1</v>
      </c>
      <c r="F236">
        <v>1</v>
      </c>
      <c r="H236" t="s">
        <v>1307</v>
      </c>
      <c r="I236" t="s">
        <v>1308</v>
      </c>
      <c r="J236" t="s">
        <v>1172</v>
      </c>
      <c r="K236" t="s">
        <v>1173</v>
      </c>
      <c r="L236" t="s">
        <v>1174</v>
      </c>
      <c r="M236">
        <v>0</v>
      </c>
      <c r="N236" t="s">
        <v>50</v>
      </c>
      <c r="O236">
        <v>1</v>
      </c>
      <c r="P236">
        <v>0</v>
      </c>
      <c r="Q236">
        <v>0</v>
      </c>
      <c r="R236">
        <v>0</v>
      </c>
      <c r="S236">
        <v>0</v>
      </c>
      <c r="T236">
        <v>0</v>
      </c>
      <c r="U236" s="20">
        <v>45895.920613425929</v>
      </c>
      <c r="V236" s="20">
        <v>46077.99322916667</v>
      </c>
      <c r="Y236">
        <v>0</v>
      </c>
      <c r="Z236" t="s">
        <v>1308</v>
      </c>
      <c r="AA236" t="s">
        <v>354</v>
      </c>
      <c r="AL236" t="s">
        <v>2673</v>
      </c>
      <c r="AO236" t="s">
        <v>354</v>
      </c>
      <c r="AP236" t="s">
        <v>49</v>
      </c>
      <c r="AQ236" t="s">
        <v>358</v>
      </c>
      <c r="AR236" t="s">
        <v>89</v>
      </c>
      <c r="AV236" t="s">
        <v>292</v>
      </c>
      <c r="AW236" t="s">
        <v>291</v>
      </c>
      <c r="AX236" t="s">
        <v>3652</v>
      </c>
    </row>
    <row r="237" spans="1:50" x14ac:dyDescent="0.25">
      <c r="A237" t="s">
        <v>361</v>
      </c>
      <c r="B237" t="s">
        <v>1168</v>
      </c>
      <c r="C237" t="s">
        <v>1442</v>
      </c>
      <c r="E237">
        <v>1</v>
      </c>
      <c r="F237">
        <v>1</v>
      </c>
      <c r="H237" t="s">
        <v>1307</v>
      </c>
      <c r="I237" t="s">
        <v>1308</v>
      </c>
      <c r="J237" t="s">
        <v>1172</v>
      </c>
      <c r="K237" t="s">
        <v>1173</v>
      </c>
      <c r="L237" t="s">
        <v>1174</v>
      </c>
      <c r="M237">
        <v>0</v>
      </c>
      <c r="N237" t="s">
        <v>50</v>
      </c>
      <c r="O237">
        <v>1</v>
      </c>
      <c r="P237">
        <v>0</v>
      </c>
      <c r="Q237">
        <v>0</v>
      </c>
      <c r="R237">
        <v>0</v>
      </c>
      <c r="S237">
        <v>0</v>
      </c>
      <c r="T237">
        <v>0</v>
      </c>
      <c r="U237" s="20">
        <v>45895.921261574076</v>
      </c>
      <c r="V237" s="20">
        <v>46002.067546296297</v>
      </c>
      <c r="Y237">
        <v>0</v>
      </c>
      <c r="Z237" t="s">
        <v>1308</v>
      </c>
      <c r="AA237" t="s">
        <v>354</v>
      </c>
      <c r="AL237" t="s">
        <v>2676</v>
      </c>
      <c r="AO237" t="s">
        <v>354</v>
      </c>
      <c r="AP237" t="s">
        <v>362</v>
      </c>
      <c r="AQ237" t="s">
        <v>363</v>
      </c>
      <c r="AR237" t="s">
        <v>51</v>
      </c>
      <c r="AV237" t="s">
        <v>3325</v>
      </c>
      <c r="AW237" t="s">
        <v>364</v>
      </c>
      <c r="AX237" t="s">
        <v>3653</v>
      </c>
    </row>
    <row r="238" spans="1:50" x14ac:dyDescent="0.25">
      <c r="A238" t="s">
        <v>360</v>
      </c>
      <c r="B238" t="s">
        <v>1168</v>
      </c>
      <c r="C238" t="s">
        <v>1441</v>
      </c>
      <c r="D238" t="s">
        <v>3229</v>
      </c>
      <c r="E238">
        <v>1</v>
      </c>
      <c r="F238">
        <v>1</v>
      </c>
      <c r="H238" t="s">
        <v>1307</v>
      </c>
      <c r="I238" t="s">
        <v>1308</v>
      </c>
      <c r="J238" t="s">
        <v>1172</v>
      </c>
      <c r="K238" t="s">
        <v>1173</v>
      </c>
      <c r="L238" t="s">
        <v>1174</v>
      </c>
      <c r="M238">
        <v>0</v>
      </c>
      <c r="N238" t="s">
        <v>50</v>
      </c>
      <c r="O238">
        <v>1</v>
      </c>
      <c r="P238">
        <v>0</v>
      </c>
      <c r="Q238">
        <v>0</v>
      </c>
      <c r="R238">
        <v>0</v>
      </c>
      <c r="S238">
        <v>0</v>
      </c>
      <c r="T238">
        <v>0</v>
      </c>
      <c r="U238" s="20">
        <v>45895.921331018515</v>
      </c>
      <c r="V238" s="20">
        <v>46077.993206018517</v>
      </c>
      <c r="Y238">
        <v>0</v>
      </c>
      <c r="Z238" t="s">
        <v>1308</v>
      </c>
      <c r="AA238" t="s">
        <v>354</v>
      </c>
      <c r="AL238" t="s">
        <v>2675</v>
      </c>
      <c r="AO238" t="s">
        <v>354</v>
      </c>
      <c r="AP238" t="s">
        <v>49</v>
      </c>
      <c r="AQ238" t="s">
        <v>287</v>
      </c>
      <c r="AR238" t="s">
        <v>89</v>
      </c>
      <c r="AV238" t="s">
        <v>3326</v>
      </c>
      <c r="AW238" t="s">
        <v>3222</v>
      </c>
      <c r="AX238" t="s">
        <v>3654</v>
      </c>
    </row>
    <row r="239" spans="1:50" x14ac:dyDescent="0.25">
      <c r="A239" t="s">
        <v>620</v>
      </c>
      <c r="B239" t="s">
        <v>1168</v>
      </c>
      <c r="C239" t="s">
        <v>1532</v>
      </c>
      <c r="E239">
        <v>1</v>
      </c>
      <c r="F239">
        <v>1</v>
      </c>
      <c r="H239" t="s">
        <v>1307</v>
      </c>
      <c r="I239" t="s">
        <v>1308</v>
      </c>
      <c r="J239" t="s">
        <v>1172</v>
      </c>
      <c r="K239" t="s">
        <v>1173</v>
      </c>
      <c r="L239" t="s">
        <v>1174</v>
      </c>
      <c r="M239">
        <v>0</v>
      </c>
      <c r="N239" t="s">
        <v>50</v>
      </c>
      <c r="O239">
        <v>1</v>
      </c>
      <c r="P239">
        <v>0</v>
      </c>
      <c r="Q239">
        <v>0</v>
      </c>
      <c r="R239">
        <v>0</v>
      </c>
      <c r="S239">
        <v>0</v>
      </c>
      <c r="T239">
        <v>0</v>
      </c>
      <c r="U239" s="20">
        <v>45896.613645833335</v>
      </c>
      <c r="V239" s="20">
        <v>46002.004942129628</v>
      </c>
      <c r="Y239">
        <v>0</v>
      </c>
      <c r="Z239" t="s">
        <v>1308</v>
      </c>
      <c r="AL239" t="s">
        <v>2789</v>
      </c>
      <c r="AO239" t="s">
        <v>350</v>
      </c>
      <c r="AX239" t="s">
        <v>3655</v>
      </c>
    </row>
    <row r="240" spans="1:50" x14ac:dyDescent="0.25">
      <c r="A240" t="s">
        <v>616</v>
      </c>
      <c r="B240" t="s">
        <v>1168</v>
      </c>
      <c r="C240" t="s">
        <v>1530</v>
      </c>
      <c r="D240" t="s">
        <v>3230</v>
      </c>
      <c r="E240">
        <v>1</v>
      </c>
      <c r="F240">
        <v>1</v>
      </c>
      <c r="H240" t="s">
        <v>1307</v>
      </c>
      <c r="I240" t="s">
        <v>1308</v>
      </c>
      <c r="J240" t="s">
        <v>1172</v>
      </c>
      <c r="K240" t="s">
        <v>1173</v>
      </c>
      <c r="L240" t="s">
        <v>1174</v>
      </c>
      <c r="M240">
        <v>0</v>
      </c>
      <c r="N240" t="s">
        <v>50</v>
      </c>
      <c r="O240">
        <v>1</v>
      </c>
      <c r="P240">
        <v>0</v>
      </c>
      <c r="Q240">
        <v>0</v>
      </c>
      <c r="R240">
        <v>0</v>
      </c>
      <c r="S240">
        <v>0</v>
      </c>
      <c r="T240">
        <v>0</v>
      </c>
      <c r="U240" s="20">
        <v>45896.623171296298</v>
      </c>
      <c r="V240" s="20">
        <v>46077.993206018517</v>
      </c>
      <c r="Y240">
        <v>0</v>
      </c>
      <c r="Z240" t="s">
        <v>1308</v>
      </c>
      <c r="AL240" t="s">
        <v>2784</v>
      </c>
      <c r="AO240" t="s">
        <v>320</v>
      </c>
      <c r="AP240" t="s">
        <v>164</v>
      </c>
      <c r="AQ240" t="s">
        <v>617</v>
      </c>
      <c r="AR240" t="s">
        <v>73</v>
      </c>
      <c r="AV240" t="s">
        <v>3261</v>
      </c>
      <c r="AW240" t="s">
        <v>618</v>
      </c>
      <c r="AX240" t="s">
        <v>3656</v>
      </c>
    </row>
    <row r="241" spans="1:50" x14ac:dyDescent="0.25">
      <c r="A241" t="s">
        <v>621</v>
      </c>
      <c r="B241" t="s">
        <v>1168</v>
      </c>
      <c r="C241" t="s">
        <v>1533</v>
      </c>
      <c r="D241" t="s">
        <v>3306</v>
      </c>
      <c r="E241">
        <v>1</v>
      </c>
      <c r="F241">
        <v>1</v>
      </c>
      <c r="H241" t="s">
        <v>1307</v>
      </c>
      <c r="I241" t="s">
        <v>1308</v>
      </c>
      <c r="J241" t="s">
        <v>1172</v>
      </c>
      <c r="K241" t="s">
        <v>1173</v>
      </c>
      <c r="L241" t="s">
        <v>1174</v>
      </c>
      <c r="M241">
        <v>0</v>
      </c>
      <c r="N241" t="s">
        <v>50</v>
      </c>
      <c r="O241">
        <v>1</v>
      </c>
      <c r="P241">
        <v>0</v>
      </c>
      <c r="Q241">
        <v>0</v>
      </c>
      <c r="R241">
        <v>0</v>
      </c>
      <c r="S241">
        <v>0</v>
      </c>
      <c r="T241">
        <v>0</v>
      </c>
      <c r="U241" s="20">
        <v>45896.629560185182</v>
      </c>
      <c r="V241" s="20">
        <v>46077.993217592593</v>
      </c>
      <c r="Y241">
        <v>0</v>
      </c>
      <c r="Z241" t="s">
        <v>1308</v>
      </c>
      <c r="AL241" t="s">
        <v>2791</v>
      </c>
      <c r="AO241" t="s">
        <v>320</v>
      </c>
      <c r="AP241" t="s">
        <v>62</v>
      </c>
      <c r="AQ241" t="s">
        <v>623</v>
      </c>
      <c r="AR241" t="s">
        <v>89</v>
      </c>
      <c r="AV241" t="s">
        <v>3327</v>
      </c>
      <c r="AW241" t="s">
        <v>624</v>
      </c>
      <c r="AX241" t="s">
        <v>3657</v>
      </c>
    </row>
    <row r="242" spans="1:50" x14ac:dyDescent="0.25">
      <c r="A242" t="s">
        <v>619</v>
      </c>
      <c r="B242" t="s">
        <v>1168</v>
      </c>
      <c r="C242" t="s">
        <v>1531</v>
      </c>
      <c r="E242">
        <v>1</v>
      </c>
      <c r="F242">
        <v>1</v>
      </c>
      <c r="H242" t="s">
        <v>1307</v>
      </c>
      <c r="I242" t="s">
        <v>1308</v>
      </c>
      <c r="J242" t="s">
        <v>1172</v>
      </c>
      <c r="K242" t="s">
        <v>1173</v>
      </c>
      <c r="L242" t="s">
        <v>1174</v>
      </c>
      <c r="M242">
        <v>0</v>
      </c>
      <c r="N242" t="s">
        <v>50</v>
      </c>
      <c r="O242">
        <v>1</v>
      </c>
      <c r="P242">
        <v>0</v>
      </c>
      <c r="Q242">
        <v>0</v>
      </c>
      <c r="R242">
        <v>0</v>
      </c>
      <c r="S242">
        <v>0</v>
      </c>
      <c r="T242">
        <v>0</v>
      </c>
      <c r="U242" s="20">
        <v>45896.633506944447</v>
      </c>
      <c r="V242" s="20">
        <v>46002.004976851851</v>
      </c>
      <c r="Y242">
        <v>0</v>
      </c>
      <c r="Z242" t="s">
        <v>1308</v>
      </c>
      <c r="AL242" t="s">
        <v>2787</v>
      </c>
      <c r="AO242" t="s">
        <v>350</v>
      </c>
      <c r="AX242" t="s">
        <v>3658</v>
      </c>
    </row>
    <row r="243" spans="1:50" x14ac:dyDescent="0.25">
      <c r="A243" t="s">
        <v>467</v>
      </c>
      <c r="B243" t="s">
        <v>1168</v>
      </c>
      <c r="C243" t="s">
        <v>1474</v>
      </c>
      <c r="D243" t="s">
        <v>3328</v>
      </c>
      <c r="E243">
        <v>1</v>
      </c>
      <c r="F243">
        <v>1</v>
      </c>
      <c r="H243" t="s">
        <v>1307</v>
      </c>
      <c r="I243" t="s">
        <v>1308</v>
      </c>
      <c r="J243" t="s">
        <v>1172</v>
      </c>
      <c r="K243" t="s">
        <v>1173</v>
      </c>
      <c r="L243" t="s">
        <v>1174</v>
      </c>
      <c r="M243">
        <v>0</v>
      </c>
      <c r="N243" t="s">
        <v>50</v>
      </c>
      <c r="O243">
        <v>1</v>
      </c>
      <c r="P243">
        <v>0</v>
      </c>
      <c r="Q243">
        <v>0</v>
      </c>
      <c r="R243">
        <v>0</v>
      </c>
      <c r="S243">
        <v>0</v>
      </c>
      <c r="T243">
        <v>0</v>
      </c>
      <c r="U243" s="20">
        <v>45896.635937500003</v>
      </c>
      <c r="V243" s="20">
        <v>46077.99322916667</v>
      </c>
      <c r="Y243">
        <v>0</v>
      </c>
      <c r="Z243" t="s">
        <v>1308</v>
      </c>
      <c r="AA243" t="s">
        <v>468</v>
      </c>
      <c r="AL243" t="s">
        <v>2723</v>
      </c>
      <c r="AO243" t="s">
        <v>354</v>
      </c>
      <c r="AP243" t="s">
        <v>62</v>
      </c>
      <c r="AQ243" t="s">
        <v>469</v>
      </c>
      <c r="AR243" t="s">
        <v>89</v>
      </c>
      <c r="AV243" t="s">
        <v>3329</v>
      </c>
      <c r="AW243" t="s">
        <v>470</v>
      </c>
      <c r="AX243" t="s">
        <v>3659</v>
      </c>
    </row>
    <row r="244" spans="1:50" x14ac:dyDescent="0.25">
      <c r="A244" t="s">
        <v>492</v>
      </c>
      <c r="B244" t="s">
        <v>1168</v>
      </c>
      <c r="C244" t="s">
        <v>1482</v>
      </c>
      <c r="D244" t="s">
        <v>493</v>
      </c>
      <c r="E244">
        <v>1</v>
      </c>
      <c r="F244">
        <v>1</v>
      </c>
      <c r="H244" t="s">
        <v>1307</v>
      </c>
      <c r="I244" t="s">
        <v>1308</v>
      </c>
      <c r="J244" t="s">
        <v>1172</v>
      </c>
      <c r="K244" t="s">
        <v>1173</v>
      </c>
      <c r="L244" t="s">
        <v>1174</v>
      </c>
      <c r="M244">
        <v>0</v>
      </c>
      <c r="N244" t="s">
        <v>41</v>
      </c>
      <c r="O244">
        <v>1</v>
      </c>
      <c r="P244">
        <v>0</v>
      </c>
      <c r="Q244">
        <v>0</v>
      </c>
      <c r="R244">
        <v>0</v>
      </c>
      <c r="S244">
        <v>0</v>
      </c>
      <c r="T244">
        <v>0</v>
      </c>
      <c r="U244" s="20">
        <v>45896.639050925929</v>
      </c>
      <c r="V244" s="20">
        <v>46002.067627314813</v>
      </c>
      <c r="Y244">
        <v>0</v>
      </c>
      <c r="Z244" t="s">
        <v>1308</v>
      </c>
      <c r="AA244" t="s">
        <v>277</v>
      </c>
      <c r="AL244" t="s">
        <v>2731</v>
      </c>
      <c r="AM244" t="s">
        <v>86</v>
      </c>
      <c r="AN244" t="s">
        <v>387</v>
      </c>
      <c r="AO244" t="s">
        <v>277</v>
      </c>
      <c r="AR244" t="s">
        <v>67</v>
      </c>
      <c r="AX244" t="s">
        <v>3660</v>
      </c>
    </row>
    <row r="245" spans="1:50" x14ac:dyDescent="0.25">
      <c r="A245" t="s">
        <v>463</v>
      </c>
      <c r="B245" t="s">
        <v>1168</v>
      </c>
      <c r="C245" t="s">
        <v>1473</v>
      </c>
      <c r="E245">
        <v>1</v>
      </c>
      <c r="F245">
        <v>1</v>
      </c>
      <c r="H245" t="s">
        <v>1307</v>
      </c>
      <c r="I245" t="s">
        <v>1308</v>
      </c>
      <c r="J245" t="s">
        <v>1172</v>
      </c>
      <c r="K245" t="s">
        <v>1173</v>
      </c>
      <c r="L245" t="s">
        <v>1174</v>
      </c>
      <c r="M245">
        <v>0</v>
      </c>
      <c r="N245" t="s">
        <v>50</v>
      </c>
      <c r="O245">
        <v>1</v>
      </c>
      <c r="P245">
        <v>0</v>
      </c>
      <c r="Q245">
        <v>0</v>
      </c>
      <c r="R245">
        <v>0</v>
      </c>
      <c r="S245">
        <v>0</v>
      </c>
      <c r="T245">
        <v>0</v>
      </c>
      <c r="U245" s="20">
        <v>45896.639652777776</v>
      </c>
      <c r="V245" s="20">
        <v>46002.067627314813</v>
      </c>
      <c r="Y245">
        <v>0</v>
      </c>
      <c r="Z245" t="s">
        <v>1308</v>
      </c>
      <c r="AA245" t="s">
        <v>354</v>
      </c>
      <c r="AL245" t="s">
        <v>2722</v>
      </c>
      <c r="AO245" t="s">
        <v>354</v>
      </c>
      <c r="AP245" t="s">
        <v>49</v>
      </c>
      <c r="AQ245" t="s">
        <v>464</v>
      </c>
      <c r="AR245" t="s">
        <v>51</v>
      </c>
      <c r="AV245" t="s">
        <v>3330</v>
      </c>
      <c r="AW245" t="s">
        <v>465</v>
      </c>
      <c r="AX245" t="s">
        <v>3661</v>
      </c>
    </row>
    <row r="246" spans="1:50" x14ac:dyDescent="0.25">
      <c r="A246" t="s">
        <v>496</v>
      </c>
      <c r="B246" t="s">
        <v>1168</v>
      </c>
      <c r="C246" t="s">
        <v>1484</v>
      </c>
      <c r="D246" t="s">
        <v>3230</v>
      </c>
      <c r="E246">
        <v>1</v>
      </c>
      <c r="F246">
        <v>1</v>
      </c>
      <c r="H246" t="s">
        <v>1307</v>
      </c>
      <c r="I246" t="s">
        <v>1308</v>
      </c>
      <c r="J246" t="s">
        <v>1172</v>
      </c>
      <c r="K246" t="s">
        <v>1173</v>
      </c>
      <c r="L246" t="s">
        <v>1174</v>
      </c>
      <c r="M246">
        <v>0</v>
      </c>
      <c r="N246" t="s">
        <v>50</v>
      </c>
      <c r="O246">
        <v>1</v>
      </c>
      <c r="P246">
        <v>0</v>
      </c>
      <c r="Q246">
        <v>0</v>
      </c>
      <c r="R246">
        <v>0</v>
      </c>
      <c r="S246">
        <v>0</v>
      </c>
      <c r="T246">
        <v>0</v>
      </c>
      <c r="U246" s="20">
        <v>45896.782696759263</v>
      </c>
      <c r="V246" s="20">
        <v>46077.993217592593</v>
      </c>
      <c r="Y246">
        <v>0</v>
      </c>
      <c r="Z246" t="s">
        <v>1308</v>
      </c>
      <c r="AA246" t="s">
        <v>320</v>
      </c>
      <c r="AL246" t="s">
        <v>2735</v>
      </c>
      <c r="AO246" t="s">
        <v>312</v>
      </c>
      <c r="AP246" t="s">
        <v>62</v>
      </c>
      <c r="AQ246" t="s">
        <v>497</v>
      </c>
      <c r="AR246" t="s">
        <v>51</v>
      </c>
      <c r="AV246" t="s">
        <v>3331</v>
      </c>
      <c r="AW246" t="s">
        <v>498</v>
      </c>
      <c r="AX246" t="s">
        <v>3662</v>
      </c>
    </row>
    <row r="247" spans="1:50" x14ac:dyDescent="0.25">
      <c r="A247" t="s">
        <v>612</v>
      </c>
      <c r="B247" t="s">
        <v>1168</v>
      </c>
      <c r="C247" t="s">
        <v>1528</v>
      </c>
      <c r="D247" t="s">
        <v>3208</v>
      </c>
      <c r="E247">
        <v>1</v>
      </c>
      <c r="F247">
        <v>1</v>
      </c>
      <c r="H247" t="s">
        <v>1307</v>
      </c>
      <c r="I247" t="s">
        <v>1308</v>
      </c>
      <c r="J247" t="s">
        <v>1172</v>
      </c>
      <c r="K247" t="s">
        <v>1173</v>
      </c>
      <c r="L247" t="s">
        <v>1174</v>
      </c>
      <c r="M247">
        <v>0</v>
      </c>
      <c r="N247" t="s">
        <v>50</v>
      </c>
      <c r="O247">
        <v>1</v>
      </c>
      <c r="P247">
        <v>0</v>
      </c>
      <c r="Q247">
        <v>0</v>
      </c>
      <c r="R247">
        <v>0</v>
      </c>
      <c r="S247">
        <v>0</v>
      </c>
      <c r="T247">
        <v>0</v>
      </c>
      <c r="U247" s="20">
        <v>45896.788240740738</v>
      </c>
      <c r="V247" s="20">
        <v>46071.945694444446</v>
      </c>
      <c r="Y247">
        <v>0</v>
      </c>
      <c r="Z247" t="s">
        <v>1308</v>
      </c>
      <c r="AL247" t="s">
        <v>3106</v>
      </c>
      <c r="AO247" t="s">
        <v>312</v>
      </c>
      <c r="AP247" t="s">
        <v>62</v>
      </c>
      <c r="AQ247" t="s">
        <v>3113</v>
      </c>
      <c r="AR247" t="s">
        <v>51</v>
      </c>
      <c r="AV247" t="s">
        <v>3193</v>
      </c>
      <c r="AW247" t="s">
        <v>3114</v>
      </c>
      <c r="AX247" t="s">
        <v>3663</v>
      </c>
    </row>
    <row r="248" spans="1:50" x14ac:dyDescent="0.25">
      <c r="A248" t="s">
        <v>345</v>
      </c>
      <c r="B248" t="s">
        <v>1168</v>
      </c>
      <c r="C248" t="s">
        <v>1434</v>
      </c>
      <c r="D248" t="s">
        <v>3209</v>
      </c>
      <c r="E248">
        <v>1</v>
      </c>
      <c r="F248">
        <v>1</v>
      </c>
      <c r="H248" t="s">
        <v>1307</v>
      </c>
      <c r="I248" t="s">
        <v>1308</v>
      </c>
      <c r="J248" t="s">
        <v>1172</v>
      </c>
      <c r="K248" t="s">
        <v>1173</v>
      </c>
      <c r="L248" t="s">
        <v>1174</v>
      </c>
      <c r="M248">
        <v>0</v>
      </c>
      <c r="N248" t="s">
        <v>41</v>
      </c>
      <c r="O248">
        <v>1</v>
      </c>
      <c r="P248">
        <v>0</v>
      </c>
      <c r="Q248">
        <v>0</v>
      </c>
      <c r="R248">
        <v>0</v>
      </c>
      <c r="S248">
        <v>0</v>
      </c>
      <c r="T248">
        <v>0</v>
      </c>
      <c r="U248" s="20">
        <v>45896.788634259261</v>
      </c>
      <c r="V248" s="20">
        <v>46071.947685185187</v>
      </c>
      <c r="Y248">
        <v>0</v>
      </c>
      <c r="Z248" t="s">
        <v>1308</v>
      </c>
      <c r="AA248" t="s">
        <v>312</v>
      </c>
      <c r="AL248" t="s">
        <v>3099</v>
      </c>
      <c r="AO248" t="s">
        <v>312</v>
      </c>
      <c r="AX248" t="s">
        <v>3664</v>
      </c>
    </row>
    <row r="249" spans="1:50" x14ac:dyDescent="0.25">
      <c r="A249" t="s">
        <v>344</v>
      </c>
      <c r="B249" t="s">
        <v>1168</v>
      </c>
      <c r="C249" t="s">
        <v>1433</v>
      </c>
      <c r="D249" t="s">
        <v>3210</v>
      </c>
      <c r="E249">
        <v>1</v>
      </c>
      <c r="F249">
        <v>1</v>
      </c>
      <c r="H249" t="s">
        <v>1307</v>
      </c>
      <c r="I249" t="s">
        <v>1308</v>
      </c>
      <c r="J249" t="s">
        <v>1172</v>
      </c>
      <c r="K249" t="s">
        <v>1173</v>
      </c>
      <c r="L249" t="s">
        <v>1174</v>
      </c>
      <c r="M249">
        <v>0</v>
      </c>
      <c r="N249" t="s">
        <v>50</v>
      </c>
      <c r="O249">
        <v>1</v>
      </c>
      <c r="P249">
        <v>0</v>
      </c>
      <c r="Q249">
        <v>0</v>
      </c>
      <c r="R249">
        <v>0</v>
      </c>
      <c r="S249">
        <v>0</v>
      </c>
      <c r="T249">
        <v>0</v>
      </c>
      <c r="U249" s="20">
        <v>45896.789166666669</v>
      </c>
      <c r="V249" s="20">
        <v>46071.946921296294</v>
      </c>
      <c r="Y249">
        <v>0</v>
      </c>
      <c r="Z249" t="s">
        <v>1308</v>
      </c>
      <c r="AA249" t="s">
        <v>312</v>
      </c>
      <c r="AL249" t="s">
        <v>3098</v>
      </c>
      <c r="AO249" t="s">
        <v>312</v>
      </c>
      <c r="AP249" t="s">
        <v>3126</v>
      </c>
      <c r="AQ249" t="s">
        <v>3169</v>
      </c>
      <c r="AR249" t="s">
        <v>89</v>
      </c>
      <c r="AV249" t="s">
        <v>3172</v>
      </c>
      <c r="AW249" t="s">
        <v>3170</v>
      </c>
      <c r="AX249" t="s">
        <v>3665</v>
      </c>
    </row>
    <row r="250" spans="1:50" x14ac:dyDescent="0.25">
      <c r="A250" t="s">
        <v>537</v>
      </c>
      <c r="B250" t="s">
        <v>1168</v>
      </c>
      <c r="C250" t="s">
        <v>1499</v>
      </c>
      <c r="D250" t="s">
        <v>2969</v>
      </c>
      <c r="E250">
        <v>1</v>
      </c>
      <c r="F250">
        <v>1</v>
      </c>
      <c r="H250" t="s">
        <v>1307</v>
      </c>
      <c r="I250" t="s">
        <v>1308</v>
      </c>
      <c r="J250" t="s">
        <v>1172</v>
      </c>
      <c r="K250" t="s">
        <v>1173</v>
      </c>
      <c r="L250" t="s">
        <v>1174</v>
      </c>
      <c r="M250">
        <v>0</v>
      </c>
      <c r="N250" t="s">
        <v>50</v>
      </c>
      <c r="O250">
        <v>1</v>
      </c>
      <c r="P250">
        <v>0</v>
      </c>
      <c r="Q250">
        <v>0</v>
      </c>
      <c r="R250">
        <v>0</v>
      </c>
      <c r="S250">
        <v>0</v>
      </c>
      <c r="T250">
        <v>0</v>
      </c>
      <c r="U250" s="20">
        <v>45896.791087962964</v>
      </c>
      <c r="V250" s="20">
        <v>46050.663819444446</v>
      </c>
      <c r="Y250">
        <v>0</v>
      </c>
      <c r="Z250" t="s">
        <v>1308</v>
      </c>
      <c r="AA250" t="s">
        <v>1309</v>
      </c>
      <c r="AL250" t="s">
        <v>3018</v>
      </c>
      <c r="AO250" t="s">
        <v>48</v>
      </c>
      <c r="AP250" t="s">
        <v>62</v>
      </c>
      <c r="AQ250" t="s">
        <v>3115</v>
      </c>
      <c r="AR250" t="s">
        <v>51</v>
      </c>
      <c r="AV250" t="s">
        <v>3192</v>
      </c>
      <c r="AW250" t="s">
        <v>3116</v>
      </c>
      <c r="AX250" t="s">
        <v>3666</v>
      </c>
    </row>
    <row r="251" spans="1:50" x14ac:dyDescent="0.25">
      <c r="A251" t="s">
        <v>79</v>
      </c>
      <c r="B251" t="s">
        <v>1168</v>
      </c>
      <c r="C251" t="s">
        <v>1317</v>
      </c>
      <c r="D251" t="s">
        <v>3210</v>
      </c>
      <c r="E251">
        <v>1</v>
      </c>
      <c r="F251">
        <v>1</v>
      </c>
      <c r="H251" t="s">
        <v>1307</v>
      </c>
      <c r="I251" t="s">
        <v>1308</v>
      </c>
      <c r="J251" t="s">
        <v>1172</v>
      </c>
      <c r="K251" t="s">
        <v>1173</v>
      </c>
      <c r="L251" t="s">
        <v>1174</v>
      </c>
      <c r="M251">
        <v>0</v>
      </c>
      <c r="N251" t="s">
        <v>50</v>
      </c>
      <c r="O251">
        <v>1</v>
      </c>
      <c r="P251">
        <v>0</v>
      </c>
      <c r="Q251">
        <v>0</v>
      </c>
      <c r="R251">
        <v>0</v>
      </c>
      <c r="S251">
        <v>0</v>
      </c>
      <c r="T251">
        <v>0</v>
      </c>
      <c r="U251" s="20">
        <v>45896.792002314818</v>
      </c>
      <c r="V251" s="20">
        <v>46071.948020833333</v>
      </c>
      <c r="Y251">
        <v>0</v>
      </c>
      <c r="Z251" t="s">
        <v>1308</v>
      </c>
      <c r="AA251" t="s">
        <v>48</v>
      </c>
      <c r="AL251" t="s">
        <v>2974</v>
      </c>
      <c r="AO251" t="s">
        <v>48</v>
      </c>
      <c r="AP251" t="s">
        <v>62</v>
      </c>
      <c r="AQ251" t="s">
        <v>3214</v>
      </c>
      <c r="AR251" t="s">
        <v>51</v>
      </c>
      <c r="AV251" t="s">
        <v>3191</v>
      </c>
      <c r="AW251" t="s">
        <v>3112</v>
      </c>
      <c r="AX251" t="s">
        <v>3667</v>
      </c>
    </row>
    <row r="252" spans="1:50" x14ac:dyDescent="0.25">
      <c r="A252" t="s">
        <v>873</v>
      </c>
      <c r="B252" t="s">
        <v>1168</v>
      </c>
      <c r="C252" t="s">
        <v>1634</v>
      </c>
      <c r="D252" t="s">
        <v>2969</v>
      </c>
      <c r="E252">
        <v>1</v>
      </c>
      <c r="F252">
        <v>1</v>
      </c>
      <c r="H252" t="s">
        <v>1307</v>
      </c>
      <c r="I252" t="s">
        <v>1308</v>
      </c>
      <c r="J252" t="s">
        <v>1172</v>
      </c>
      <c r="K252" t="s">
        <v>1173</v>
      </c>
      <c r="L252" t="s">
        <v>1174</v>
      </c>
      <c r="M252">
        <v>0</v>
      </c>
      <c r="N252" t="s">
        <v>50</v>
      </c>
      <c r="O252">
        <v>1</v>
      </c>
      <c r="P252">
        <v>0</v>
      </c>
      <c r="Q252">
        <v>0</v>
      </c>
      <c r="R252">
        <v>0</v>
      </c>
      <c r="S252">
        <v>0</v>
      </c>
      <c r="T252">
        <v>0</v>
      </c>
      <c r="U252" s="20">
        <v>45896.793321759258</v>
      </c>
      <c r="V252" s="20">
        <v>46051.10701388889</v>
      </c>
      <c r="Y252">
        <v>0</v>
      </c>
      <c r="Z252" t="s">
        <v>1308</v>
      </c>
      <c r="AL252" t="s">
        <v>3057</v>
      </c>
      <c r="AO252" t="s">
        <v>277</v>
      </c>
      <c r="AX252" t="s">
        <v>3668</v>
      </c>
    </row>
    <row r="253" spans="1:50" x14ac:dyDescent="0.25">
      <c r="A253" t="s">
        <v>859</v>
      </c>
      <c r="B253" t="s">
        <v>1168</v>
      </c>
      <c r="C253" t="s">
        <v>1628</v>
      </c>
      <c r="D253" t="s">
        <v>2969</v>
      </c>
      <c r="E253">
        <v>1</v>
      </c>
      <c r="F253">
        <v>1</v>
      </c>
      <c r="H253" t="s">
        <v>1307</v>
      </c>
      <c r="I253" t="s">
        <v>1308</v>
      </c>
      <c r="J253" t="s">
        <v>1172</v>
      </c>
      <c r="K253" t="s">
        <v>1173</v>
      </c>
      <c r="L253" t="s">
        <v>1174</v>
      </c>
      <c r="M253">
        <v>0</v>
      </c>
      <c r="N253" t="s">
        <v>50</v>
      </c>
      <c r="O253">
        <v>1</v>
      </c>
      <c r="P253">
        <v>0</v>
      </c>
      <c r="Q253">
        <v>0</v>
      </c>
      <c r="R253">
        <v>0</v>
      </c>
      <c r="S253">
        <v>0</v>
      </c>
      <c r="T253">
        <v>0</v>
      </c>
      <c r="U253" s="20">
        <v>45896.794571759259</v>
      </c>
      <c r="V253" s="20">
        <v>46050.675868055558</v>
      </c>
      <c r="Y253">
        <v>0</v>
      </c>
      <c r="Z253" t="s">
        <v>1308</v>
      </c>
      <c r="AL253" t="s">
        <v>3054</v>
      </c>
      <c r="AO253" t="s">
        <v>277</v>
      </c>
      <c r="AX253" t="s">
        <v>3669</v>
      </c>
    </row>
    <row r="254" spans="1:50" x14ac:dyDescent="0.25">
      <c r="A254" t="s">
        <v>858</v>
      </c>
      <c r="B254" t="s">
        <v>1168</v>
      </c>
      <c r="C254" t="s">
        <v>1627</v>
      </c>
      <c r="D254" t="s">
        <v>2969</v>
      </c>
      <c r="E254">
        <v>1</v>
      </c>
      <c r="F254">
        <v>1</v>
      </c>
      <c r="H254" t="s">
        <v>1307</v>
      </c>
      <c r="I254" t="s">
        <v>1308</v>
      </c>
      <c r="J254" t="s">
        <v>1172</v>
      </c>
      <c r="K254" t="s">
        <v>1173</v>
      </c>
      <c r="L254" t="s">
        <v>1174</v>
      </c>
      <c r="M254">
        <v>0</v>
      </c>
      <c r="N254" t="s">
        <v>50</v>
      </c>
      <c r="O254">
        <v>1</v>
      </c>
      <c r="P254">
        <v>0</v>
      </c>
      <c r="Q254">
        <v>0</v>
      </c>
      <c r="R254">
        <v>0</v>
      </c>
      <c r="S254">
        <v>0</v>
      </c>
      <c r="T254">
        <v>0</v>
      </c>
      <c r="U254" s="20">
        <v>45896.794675925928</v>
      </c>
      <c r="V254" s="20">
        <v>46050.684050925927</v>
      </c>
      <c r="Y254">
        <v>0</v>
      </c>
      <c r="Z254" t="s">
        <v>1308</v>
      </c>
      <c r="AL254" t="s">
        <v>3401</v>
      </c>
      <c r="AO254" t="s">
        <v>277</v>
      </c>
      <c r="AX254" t="s">
        <v>3670</v>
      </c>
    </row>
    <row r="255" spans="1:50" x14ac:dyDescent="0.25">
      <c r="A255" t="s">
        <v>81</v>
      </c>
      <c r="B255" t="s">
        <v>1168</v>
      </c>
      <c r="C255" t="s">
        <v>1318</v>
      </c>
      <c r="D255" t="s">
        <v>82</v>
      </c>
      <c r="E255">
        <v>1</v>
      </c>
      <c r="F255">
        <v>1</v>
      </c>
      <c r="H255" t="s">
        <v>1307</v>
      </c>
      <c r="I255" t="s">
        <v>1308</v>
      </c>
      <c r="J255" t="s">
        <v>1172</v>
      </c>
      <c r="K255" t="s">
        <v>1173</v>
      </c>
      <c r="L255" t="s">
        <v>1174</v>
      </c>
      <c r="M255">
        <v>0</v>
      </c>
      <c r="N255" t="s">
        <v>41</v>
      </c>
      <c r="O255">
        <v>1</v>
      </c>
      <c r="P255">
        <v>0</v>
      </c>
      <c r="Q255">
        <v>0</v>
      </c>
      <c r="R255">
        <v>0</v>
      </c>
      <c r="S255">
        <v>0</v>
      </c>
      <c r="T255">
        <v>0</v>
      </c>
      <c r="U255" s="20">
        <v>45896.968298611115</v>
      </c>
      <c r="V255" s="20">
        <v>46002.06758101852</v>
      </c>
      <c r="Y255">
        <v>0</v>
      </c>
      <c r="Z255" t="s">
        <v>1308</v>
      </c>
      <c r="AA255" t="s">
        <v>48</v>
      </c>
      <c r="AL255" t="s">
        <v>2515</v>
      </c>
      <c r="AO255" t="s">
        <v>48</v>
      </c>
      <c r="AX255" t="s">
        <v>3671</v>
      </c>
    </row>
    <row r="256" spans="1:50" x14ac:dyDescent="0.25">
      <c r="A256" t="s">
        <v>83</v>
      </c>
      <c r="B256" t="s">
        <v>1168</v>
      </c>
      <c r="C256" t="s">
        <v>1319</v>
      </c>
      <c r="D256" t="s">
        <v>84</v>
      </c>
      <c r="E256">
        <v>1</v>
      </c>
      <c r="F256">
        <v>1</v>
      </c>
      <c r="H256" t="s">
        <v>1307</v>
      </c>
      <c r="I256" t="s">
        <v>1308</v>
      </c>
      <c r="J256" t="s">
        <v>1172</v>
      </c>
      <c r="K256" t="s">
        <v>1173</v>
      </c>
      <c r="L256" t="s">
        <v>1174</v>
      </c>
      <c r="M256">
        <v>0</v>
      </c>
      <c r="N256" t="s">
        <v>41</v>
      </c>
      <c r="O256">
        <v>1</v>
      </c>
      <c r="P256">
        <v>0</v>
      </c>
      <c r="Q256">
        <v>0</v>
      </c>
      <c r="R256">
        <v>0</v>
      </c>
      <c r="S256">
        <v>0</v>
      </c>
      <c r="T256">
        <v>0</v>
      </c>
      <c r="U256" s="20">
        <v>45897.848310185182</v>
      </c>
      <c r="V256" s="20">
        <v>46002.06759259259</v>
      </c>
      <c r="Y256">
        <v>0</v>
      </c>
      <c r="Z256" t="s">
        <v>1308</v>
      </c>
      <c r="AA256" t="s">
        <v>48</v>
      </c>
      <c r="AL256" t="s">
        <v>2516</v>
      </c>
      <c r="AO256" t="s">
        <v>48</v>
      </c>
      <c r="AX256" t="s">
        <v>3672</v>
      </c>
    </row>
    <row r="257" spans="1:50" x14ac:dyDescent="0.25">
      <c r="A257" t="s">
        <v>388</v>
      </c>
      <c r="B257" t="s">
        <v>1168</v>
      </c>
      <c r="C257" t="s">
        <v>1452</v>
      </c>
      <c r="D257" t="s">
        <v>3230</v>
      </c>
      <c r="E257">
        <v>1</v>
      </c>
      <c r="F257">
        <v>1</v>
      </c>
      <c r="H257" t="s">
        <v>1307</v>
      </c>
      <c r="I257" t="s">
        <v>1308</v>
      </c>
      <c r="J257" t="s">
        <v>1172</v>
      </c>
      <c r="K257" t="s">
        <v>1173</v>
      </c>
      <c r="L257" t="s">
        <v>1174</v>
      </c>
      <c r="M257">
        <v>0</v>
      </c>
      <c r="N257" t="s">
        <v>50</v>
      </c>
      <c r="O257">
        <v>1</v>
      </c>
      <c r="P257">
        <v>0</v>
      </c>
      <c r="Q257">
        <v>0</v>
      </c>
      <c r="R257">
        <v>0</v>
      </c>
      <c r="S257">
        <v>0</v>
      </c>
      <c r="T257">
        <v>0</v>
      </c>
      <c r="U257" s="20">
        <v>45897.919270833336</v>
      </c>
      <c r="V257" s="20">
        <v>46077.99322916667</v>
      </c>
      <c r="Y257">
        <v>0</v>
      </c>
      <c r="Z257" t="s">
        <v>1308</v>
      </c>
      <c r="AA257" t="s">
        <v>277</v>
      </c>
      <c r="AL257" t="s">
        <v>2690</v>
      </c>
      <c r="AM257" t="s">
        <v>86</v>
      </c>
      <c r="AN257" t="s">
        <v>95</v>
      </c>
      <c r="AO257" t="s">
        <v>277</v>
      </c>
      <c r="AP257" t="s">
        <v>62</v>
      </c>
      <c r="AQ257" t="s">
        <v>389</v>
      </c>
      <c r="AR257" t="s">
        <v>73</v>
      </c>
      <c r="AV257" t="s">
        <v>3241</v>
      </c>
      <c r="AW257" t="s">
        <v>390</v>
      </c>
      <c r="AX257" t="s">
        <v>3673</v>
      </c>
    </row>
    <row r="258" spans="1:50" x14ac:dyDescent="0.25">
      <c r="A258" t="s">
        <v>170</v>
      </c>
      <c r="B258" t="s">
        <v>1168</v>
      </c>
      <c r="C258" t="s">
        <v>1347</v>
      </c>
      <c r="D258" t="s">
        <v>3332</v>
      </c>
      <c r="E258">
        <v>1</v>
      </c>
      <c r="F258">
        <v>1</v>
      </c>
      <c r="H258" t="s">
        <v>1307</v>
      </c>
      <c r="I258" t="s">
        <v>1308</v>
      </c>
      <c r="J258" t="s">
        <v>1172</v>
      </c>
      <c r="K258" t="s">
        <v>1173</v>
      </c>
      <c r="L258" t="s">
        <v>1174</v>
      </c>
      <c r="M258">
        <v>0</v>
      </c>
      <c r="N258" t="s">
        <v>50</v>
      </c>
      <c r="O258">
        <v>1</v>
      </c>
      <c r="P258">
        <v>0</v>
      </c>
      <c r="Q258">
        <v>0</v>
      </c>
      <c r="R258">
        <v>0</v>
      </c>
      <c r="S258">
        <v>0</v>
      </c>
      <c r="T258">
        <v>0</v>
      </c>
      <c r="U258" s="20">
        <v>45897.926249999997</v>
      </c>
      <c r="V258" s="20">
        <v>46077.99322916667</v>
      </c>
      <c r="Y258">
        <v>0</v>
      </c>
      <c r="Z258" t="s">
        <v>1308</v>
      </c>
      <c r="AA258" t="s">
        <v>163</v>
      </c>
      <c r="AB258" t="s">
        <v>1348</v>
      </c>
      <c r="AL258" t="s">
        <v>2558</v>
      </c>
      <c r="AM258" t="s">
        <v>86</v>
      </c>
      <c r="AN258" t="s">
        <v>95</v>
      </c>
      <c r="AO258" t="s">
        <v>163</v>
      </c>
      <c r="AP258" t="s">
        <v>164</v>
      </c>
      <c r="AQ258" t="s">
        <v>171</v>
      </c>
      <c r="AR258" t="s">
        <v>73</v>
      </c>
      <c r="AV258" t="s">
        <v>3233</v>
      </c>
      <c r="AW258" t="s">
        <v>172</v>
      </c>
      <c r="AX258" t="s">
        <v>3674</v>
      </c>
    </row>
    <row r="259" spans="1:50" x14ac:dyDescent="0.25">
      <c r="A259" t="s">
        <v>456</v>
      </c>
      <c r="B259" t="s">
        <v>1168</v>
      </c>
      <c r="C259" t="s">
        <v>1471</v>
      </c>
      <c r="D259" t="s">
        <v>3333</v>
      </c>
      <c r="E259">
        <v>1</v>
      </c>
      <c r="F259">
        <v>1</v>
      </c>
      <c r="H259" t="s">
        <v>1307</v>
      </c>
      <c r="I259" t="s">
        <v>1308</v>
      </c>
      <c r="J259" t="s">
        <v>1172</v>
      </c>
      <c r="K259" t="s">
        <v>1173</v>
      </c>
      <c r="L259" t="s">
        <v>1174</v>
      </c>
      <c r="M259">
        <v>0</v>
      </c>
      <c r="N259" t="s">
        <v>50</v>
      </c>
      <c r="O259">
        <v>1</v>
      </c>
      <c r="P259">
        <v>0</v>
      </c>
      <c r="Q259">
        <v>0</v>
      </c>
      <c r="R259">
        <v>0</v>
      </c>
      <c r="S259">
        <v>0</v>
      </c>
      <c r="T259">
        <v>0</v>
      </c>
      <c r="U259" s="20">
        <v>45897.947916666664</v>
      </c>
      <c r="V259" s="20">
        <v>46077.99322916667</v>
      </c>
      <c r="Y259">
        <v>0</v>
      </c>
      <c r="Z259" t="s">
        <v>1308</v>
      </c>
      <c r="AA259" t="s">
        <v>277</v>
      </c>
      <c r="AL259" t="s">
        <v>2720</v>
      </c>
      <c r="AO259" t="s">
        <v>277</v>
      </c>
      <c r="AP259" t="s">
        <v>62</v>
      </c>
      <c r="AQ259" t="s">
        <v>457</v>
      </c>
      <c r="AR259" t="s">
        <v>73</v>
      </c>
      <c r="AV259" t="s">
        <v>3248</v>
      </c>
      <c r="AW259" t="s">
        <v>458</v>
      </c>
      <c r="AX259" t="s">
        <v>3675</v>
      </c>
    </row>
    <row r="260" spans="1:50" x14ac:dyDescent="0.25">
      <c r="A260" t="s">
        <v>451</v>
      </c>
      <c r="B260" t="s">
        <v>1168</v>
      </c>
      <c r="C260" t="s">
        <v>1469</v>
      </c>
      <c r="D260" t="s">
        <v>3333</v>
      </c>
      <c r="E260">
        <v>1</v>
      </c>
      <c r="F260">
        <v>1</v>
      </c>
      <c r="H260" t="s">
        <v>1307</v>
      </c>
      <c r="I260" t="s">
        <v>1308</v>
      </c>
      <c r="J260" t="s">
        <v>1172</v>
      </c>
      <c r="K260" t="s">
        <v>1173</v>
      </c>
      <c r="L260" t="s">
        <v>1174</v>
      </c>
      <c r="M260">
        <v>0</v>
      </c>
      <c r="N260" t="s">
        <v>50</v>
      </c>
      <c r="O260">
        <v>1</v>
      </c>
      <c r="P260">
        <v>0</v>
      </c>
      <c r="Q260">
        <v>0</v>
      </c>
      <c r="R260">
        <v>0</v>
      </c>
      <c r="S260">
        <v>0</v>
      </c>
      <c r="T260">
        <v>0</v>
      </c>
      <c r="U260" s="20">
        <v>45897.948599537034</v>
      </c>
      <c r="V260" s="20">
        <v>46077.993206018517</v>
      </c>
      <c r="Y260">
        <v>0</v>
      </c>
      <c r="Z260" t="s">
        <v>1308</v>
      </c>
      <c r="AA260" t="s">
        <v>277</v>
      </c>
      <c r="AL260" t="s">
        <v>3015</v>
      </c>
      <c r="AO260" t="s">
        <v>277</v>
      </c>
      <c r="AP260" t="s">
        <v>62</v>
      </c>
      <c r="AQ260" t="s">
        <v>452</v>
      </c>
      <c r="AR260" t="s">
        <v>73</v>
      </c>
      <c r="AV260" t="s">
        <v>3247</v>
      </c>
      <c r="AW260" t="s">
        <v>453</v>
      </c>
      <c r="AX260" t="s">
        <v>3676</v>
      </c>
    </row>
    <row r="261" spans="1:50" x14ac:dyDescent="0.25">
      <c r="A261" t="s">
        <v>448</v>
      </c>
      <c r="B261" t="s">
        <v>1168</v>
      </c>
      <c r="C261" t="s">
        <v>1468</v>
      </c>
      <c r="D261" t="s">
        <v>3333</v>
      </c>
      <c r="E261">
        <v>1</v>
      </c>
      <c r="F261">
        <v>1</v>
      </c>
      <c r="H261" t="s">
        <v>1307</v>
      </c>
      <c r="I261" t="s">
        <v>1308</v>
      </c>
      <c r="J261" t="s">
        <v>1172</v>
      </c>
      <c r="K261" t="s">
        <v>1173</v>
      </c>
      <c r="L261" t="s">
        <v>1174</v>
      </c>
      <c r="M261">
        <v>0</v>
      </c>
      <c r="N261" t="s">
        <v>50</v>
      </c>
      <c r="O261">
        <v>1</v>
      </c>
      <c r="P261">
        <v>0</v>
      </c>
      <c r="Q261">
        <v>0</v>
      </c>
      <c r="R261">
        <v>0</v>
      </c>
      <c r="S261">
        <v>0</v>
      </c>
      <c r="T261">
        <v>0</v>
      </c>
      <c r="U261" s="20">
        <v>45897.948807870373</v>
      </c>
      <c r="V261" s="20">
        <v>46077.993217592593</v>
      </c>
      <c r="Y261">
        <v>0</v>
      </c>
      <c r="Z261" t="s">
        <v>1308</v>
      </c>
      <c r="AA261" t="s">
        <v>277</v>
      </c>
      <c r="AL261" t="s">
        <v>2715</v>
      </c>
      <c r="AO261" t="s">
        <v>277</v>
      </c>
      <c r="AP261" t="s">
        <v>62</v>
      </c>
      <c r="AQ261" t="s">
        <v>449</v>
      </c>
      <c r="AR261" t="s">
        <v>73</v>
      </c>
      <c r="AV261" t="s">
        <v>3246</v>
      </c>
      <c r="AW261" t="s">
        <v>450</v>
      </c>
      <c r="AX261" t="s">
        <v>3677</v>
      </c>
    </row>
    <row r="262" spans="1:50" x14ac:dyDescent="0.25">
      <c r="A262" t="s">
        <v>173</v>
      </c>
      <c r="B262" t="s">
        <v>1168</v>
      </c>
      <c r="C262" t="s">
        <v>1349</v>
      </c>
      <c r="D262" t="s">
        <v>3334</v>
      </c>
      <c r="E262">
        <v>1</v>
      </c>
      <c r="F262">
        <v>1</v>
      </c>
      <c r="H262" t="s">
        <v>1307</v>
      </c>
      <c r="I262" t="s">
        <v>1308</v>
      </c>
      <c r="J262" t="s">
        <v>1172</v>
      </c>
      <c r="K262" t="s">
        <v>1173</v>
      </c>
      <c r="L262" t="s">
        <v>1174</v>
      </c>
      <c r="M262">
        <v>0</v>
      </c>
      <c r="N262" t="s">
        <v>50</v>
      </c>
      <c r="O262">
        <v>1</v>
      </c>
      <c r="P262">
        <v>0</v>
      </c>
      <c r="Q262">
        <v>0</v>
      </c>
      <c r="R262">
        <v>0</v>
      </c>
      <c r="S262">
        <v>0</v>
      </c>
      <c r="T262">
        <v>0</v>
      </c>
      <c r="U262" s="20">
        <v>45897.996238425927</v>
      </c>
      <c r="V262" s="20">
        <v>46077.993217592593</v>
      </c>
      <c r="Y262">
        <v>0</v>
      </c>
      <c r="Z262" t="s">
        <v>1308</v>
      </c>
      <c r="AA262" t="s">
        <v>163</v>
      </c>
      <c r="AL262" t="s">
        <v>2562</v>
      </c>
      <c r="AO262" t="s">
        <v>163</v>
      </c>
      <c r="AP262" t="s">
        <v>164</v>
      </c>
      <c r="AQ262" t="s">
        <v>174</v>
      </c>
      <c r="AR262" t="s">
        <v>89</v>
      </c>
      <c r="AV262" t="s">
        <v>3335</v>
      </c>
      <c r="AW262" t="s">
        <v>175</v>
      </c>
      <c r="AX262" t="s">
        <v>3678</v>
      </c>
    </row>
    <row r="263" spans="1:50" x14ac:dyDescent="0.25">
      <c r="A263" t="s">
        <v>162</v>
      </c>
      <c r="B263" t="s">
        <v>1168</v>
      </c>
      <c r="C263" t="s">
        <v>1345</v>
      </c>
      <c r="D263" t="s">
        <v>3232</v>
      </c>
      <c r="E263">
        <v>1</v>
      </c>
      <c r="F263">
        <v>1</v>
      </c>
      <c r="H263" t="s">
        <v>1307</v>
      </c>
      <c r="I263" t="s">
        <v>1308</v>
      </c>
      <c r="J263" t="s">
        <v>1172</v>
      </c>
      <c r="K263" t="s">
        <v>1173</v>
      </c>
      <c r="L263" t="s">
        <v>1174</v>
      </c>
      <c r="M263">
        <v>0</v>
      </c>
      <c r="N263" t="s">
        <v>50</v>
      </c>
      <c r="O263">
        <v>1</v>
      </c>
      <c r="P263">
        <v>0</v>
      </c>
      <c r="Q263">
        <v>0</v>
      </c>
      <c r="R263">
        <v>0</v>
      </c>
      <c r="S263">
        <v>0</v>
      </c>
      <c r="T263">
        <v>0</v>
      </c>
      <c r="U263" s="20">
        <v>45897.996307870373</v>
      </c>
      <c r="V263" s="20">
        <v>46077.993206018517</v>
      </c>
      <c r="Y263">
        <v>0</v>
      </c>
      <c r="Z263" t="s">
        <v>1308</v>
      </c>
      <c r="AA263" t="s">
        <v>163</v>
      </c>
      <c r="AL263" t="s">
        <v>2550</v>
      </c>
      <c r="AO263" t="s">
        <v>163</v>
      </c>
      <c r="AP263" t="s">
        <v>164</v>
      </c>
      <c r="AQ263" t="s">
        <v>165</v>
      </c>
      <c r="AR263" t="s">
        <v>73</v>
      </c>
      <c r="AV263" t="s">
        <v>3336</v>
      </c>
      <c r="AW263" t="s">
        <v>166</v>
      </c>
      <c r="AX263" t="s">
        <v>3679</v>
      </c>
    </row>
    <row r="264" spans="1:50" x14ac:dyDescent="0.25">
      <c r="A264" t="s">
        <v>608</v>
      </c>
      <c r="B264" t="s">
        <v>1168</v>
      </c>
      <c r="C264" t="s">
        <v>1526</v>
      </c>
      <c r="D264" t="s">
        <v>3230</v>
      </c>
      <c r="E264">
        <v>1</v>
      </c>
      <c r="F264">
        <v>1</v>
      </c>
      <c r="H264" t="s">
        <v>1307</v>
      </c>
      <c r="I264" t="s">
        <v>1308</v>
      </c>
      <c r="J264" t="s">
        <v>1172</v>
      </c>
      <c r="K264" t="s">
        <v>1173</v>
      </c>
      <c r="L264" t="s">
        <v>1174</v>
      </c>
      <c r="M264">
        <v>0</v>
      </c>
      <c r="N264" t="s">
        <v>50</v>
      </c>
      <c r="O264">
        <v>1</v>
      </c>
      <c r="P264">
        <v>0</v>
      </c>
      <c r="Q264">
        <v>0</v>
      </c>
      <c r="R264">
        <v>0</v>
      </c>
      <c r="S264">
        <v>0</v>
      </c>
      <c r="T264">
        <v>0</v>
      </c>
      <c r="U264" s="20">
        <v>45909.907986111109</v>
      </c>
      <c r="V264" s="20">
        <v>46077.993206018517</v>
      </c>
      <c r="Y264">
        <v>0</v>
      </c>
      <c r="Z264" t="s">
        <v>1308</v>
      </c>
      <c r="AL264" t="s">
        <v>3104</v>
      </c>
      <c r="AO264" t="s">
        <v>312</v>
      </c>
      <c r="AP264" t="s">
        <v>62</v>
      </c>
      <c r="AQ264" t="s">
        <v>2928</v>
      </c>
      <c r="AR264" t="s">
        <v>73</v>
      </c>
      <c r="AV264" t="s">
        <v>3259</v>
      </c>
      <c r="AW264" t="s">
        <v>609</v>
      </c>
      <c r="AX264" t="s">
        <v>3680</v>
      </c>
    </row>
    <row r="265" spans="1:50" x14ac:dyDescent="0.25">
      <c r="A265" t="s">
        <v>610</v>
      </c>
      <c r="B265" t="s">
        <v>1168</v>
      </c>
      <c r="C265" t="s">
        <v>1527</v>
      </c>
      <c r="D265" t="s">
        <v>3196</v>
      </c>
      <c r="E265">
        <v>1</v>
      </c>
      <c r="F265">
        <v>1</v>
      </c>
      <c r="H265" t="s">
        <v>1307</v>
      </c>
      <c r="I265" t="s">
        <v>1308</v>
      </c>
      <c r="J265" t="s">
        <v>1172</v>
      </c>
      <c r="K265" t="s">
        <v>1173</v>
      </c>
      <c r="L265" t="s">
        <v>1174</v>
      </c>
      <c r="M265">
        <v>0</v>
      </c>
      <c r="N265" t="s">
        <v>41</v>
      </c>
      <c r="O265">
        <v>1</v>
      </c>
      <c r="P265">
        <v>0</v>
      </c>
      <c r="Q265">
        <v>0</v>
      </c>
      <c r="R265">
        <v>0</v>
      </c>
      <c r="S265">
        <v>0</v>
      </c>
      <c r="T265">
        <v>0</v>
      </c>
      <c r="U265" s="20">
        <v>45909.908032407409</v>
      </c>
      <c r="V265" s="20">
        <v>46071.946631944447</v>
      </c>
      <c r="Y265">
        <v>0</v>
      </c>
      <c r="Z265" t="s">
        <v>1308</v>
      </c>
      <c r="AL265" t="s">
        <v>3105</v>
      </c>
      <c r="AO265" t="s">
        <v>312</v>
      </c>
      <c r="AQ265" t="s">
        <v>2929</v>
      </c>
      <c r="AR265" t="s">
        <v>73</v>
      </c>
      <c r="AW265" t="s">
        <v>611</v>
      </c>
      <c r="AX265" t="s">
        <v>3681</v>
      </c>
    </row>
    <row r="266" spans="1:50" x14ac:dyDescent="0.25">
      <c r="A266" t="s">
        <v>47</v>
      </c>
      <c r="B266" t="s">
        <v>1168</v>
      </c>
      <c r="C266" t="s">
        <v>1310</v>
      </c>
      <c r="D266" t="s">
        <v>3230</v>
      </c>
      <c r="E266">
        <v>1</v>
      </c>
      <c r="F266">
        <v>1</v>
      </c>
      <c r="H266" t="s">
        <v>1307</v>
      </c>
      <c r="I266" t="s">
        <v>1308</v>
      </c>
      <c r="J266" t="s">
        <v>1172</v>
      </c>
      <c r="K266" t="s">
        <v>1173</v>
      </c>
      <c r="L266" t="s">
        <v>1174</v>
      </c>
      <c r="M266">
        <v>0</v>
      </c>
      <c r="N266" t="s">
        <v>50</v>
      </c>
      <c r="O266">
        <v>1</v>
      </c>
      <c r="P266">
        <v>0</v>
      </c>
      <c r="Q266">
        <v>0</v>
      </c>
      <c r="R266">
        <v>0</v>
      </c>
      <c r="S266">
        <v>0</v>
      </c>
      <c r="T266">
        <v>0</v>
      </c>
      <c r="U266" s="20">
        <v>45910.658182870371</v>
      </c>
      <c r="V266" s="20">
        <v>46077.993206018517</v>
      </c>
      <c r="Y266">
        <v>0</v>
      </c>
      <c r="Z266" t="s">
        <v>1308</v>
      </c>
      <c r="AA266" t="s">
        <v>1309</v>
      </c>
      <c r="AL266" t="s">
        <v>2503</v>
      </c>
      <c r="AO266" t="s">
        <v>48</v>
      </c>
      <c r="AP266" t="s">
        <v>62</v>
      </c>
      <c r="AQ266" t="s">
        <v>2924</v>
      </c>
      <c r="AR266" t="s">
        <v>51</v>
      </c>
      <c r="AV266" t="s">
        <v>3337</v>
      </c>
      <c r="AW266" t="s">
        <v>52</v>
      </c>
      <c r="AX266" t="s">
        <v>3682</v>
      </c>
    </row>
    <row r="267" spans="1:50" x14ac:dyDescent="0.25">
      <c r="A267" t="s">
        <v>412</v>
      </c>
      <c r="B267" t="s">
        <v>1168</v>
      </c>
      <c r="C267" t="s">
        <v>1459</v>
      </c>
      <c r="D267" t="s">
        <v>3302</v>
      </c>
      <c r="E267">
        <v>1</v>
      </c>
      <c r="F267">
        <v>1</v>
      </c>
      <c r="H267" t="s">
        <v>1307</v>
      </c>
      <c r="I267" t="s">
        <v>1308</v>
      </c>
      <c r="J267" t="s">
        <v>1172</v>
      </c>
      <c r="K267" t="s">
        <v>1173</v>
      </c>
      <c r="L267" t="s">
        <v>1174</v>
      </c>
      <c r="M267">
        <v>0</v>
      </c>
      <c r="N267" t="s">
        <v>50</v>
      </c>
      <c r="O267">
        <v>1</v>
      </c>
      <c r="P267">
        <v>0</v>
      </c>
      <c r="Q267">
        <v>0</v>
      </c>
      <c r="R267">
        <v>0</v>
      </c>
      <c r="S267">
        <v>0</v>
      </c>
      <c r="T267">
        <v>0</v>
      </c>
      <c r="U267" s="20">
        <v>45910.658391203702</v>
      </c>
      <c r="V267" s="20">
        <v>46077.993217592593</v>
      </c>
      <c r="Y267">
        <v>0</v>
      </c>
      <c r="Z267" t="s">
        <v>1308</v>
      </c>
      <c r="AA267" t="s">
        <v>312</v>
      </c>
      <c r="AL267" t="s">
        <v>2705</v>
      </c>
      <c r="AO267" t="s">
        <v>312</v>
      </c>
      <c r="AP267" t="s">
        <v>62</v>
      </c>
      <c r="AQ267" t="s">
        <v>413</v>
      </c>
      <c r="AR267" t="s">
        <v>51</v>
      </c>
      <c r="AV267" t="s">
        <v>3338</v>
      </c>
      <c r="AW267" t="s">
        <v>414</v>
      </c>
      <c r="AX267" t="s">
        <v>3683</v>
      </c>
    </row>
    <row r="268" spans="1:50" x14ac:dyDescent="0.25">
      <c r="A268" t="s">
        <v>176</v>
      </c>
      <c r="B268" t="s">
        <v>1168</v>
      </c>
      <c r="C268" t="s">
        <v>1350</v>
      </c>
      <c r="D268" t="s">
        <v>3210</v>
      </c>
      <c r="E268">
        <v>1</v>
      </c>
      <c r="F268">
        <v>1</v>
      </c>
      <c r="H268" t="s">
        <v>1307</v>
      </c>
      <c r="I268" t="s">
        <v>1308</v>
      </c>
      <c r="J268" t="s">
        <v>1172</v>
      </c>
      <c r="K268" t="s">
        <v>1173</v>
      </c>
      <c r="L268" t="s">
        <v>1174</v>
      </c>
      <c r="M268">
        <v>0</v>
      </c>
      <c r="N268" t="s">
        <v>50</v>
      </c>
      <c r="O268">
        <v>1</v>
      </c>
      <c r="P268">
        <v>0</v>
      </c>
      <c r="Q268">
        <v>0</v>
      </c>
      <c r="R268">
        <v>0</v>
      </c>
      <c r="S268">
        <v>0</v>
      </c>
      <c r="T268">
        <v>0</v>
      </c>
      <c r="U268" s="20">
        <v>45911.692476851851</v>
      </c>
      <c r="V268" s="20">
        <v>46071.945694444446</v>
      </c>
      <c r="Y268">
        <v>0</v>
      </c>
      <c r="Z268" t="s">
        <v>1308</v>
      </c>
      <c r="AA268" t="s">
        <v>163</v>
      </c>
      <c r="AL268" t="s">
        <v>2978</v>
      </c>
      <c r="AO268" t="s">
        <v>163</v>
      </c>
      <c r="AP268" t="s">
        <v>3126</v>
      </c>
      <c r="AQ268" t="s">
        <v>3195</v>
      </c>
      <c r="AR268" t="s">
        <v>73</v>
      </c>
      <c r="AV268" t="s">
        <v>3127</v>
      </c>
      <c r="AW268" t="s">
        <v>3123</v>
      </c>
      <c r="AX268" t="s">
        <v>3684</v>
      </c>
    </row>
    <row r="269" spans="1:50" x14ac:dyDescent="0.25">
      <c r="A269" t="s">
        <v>177</v>
      </c>
      <c r="B269" t="s">
        <v>1168</v>
      </c>
      <c r="C269" t="s">
        <v>1351</v>
      </c>
      <c r="D269" t="s">
        <v>3210</v>
      </c>
      <c r="E269">
        <v>1</v>
      </c>
      <c r="F269">
        <v>1</v>
      </c>
      <c r="H269" t="s">
        <v>1307</v>
      </c>
      <c r="I269" t="s">
        <v>1308</v>
      </c>
      <c r="J269" t="s">
        <v>1172</v>
      </c>
      <c r="K269" t="s">
        <v>1173</v>
      </c>
      <c r="L269" t="s">
        <v>1174</v>
      </c>
      <c r="M269">
        <v>0</v>
      </c>
      <c r="N269" t="s">
        <v>50</v>
      </c>
      <c r="O269">
        <v>1</v>
      </c>
      <c r="P269">
        <v>0</v>
      </c>
      <c r="Q269">
        <v>0</v>
      </c>
      <c r="R269">
        <v>0</v>
      </c>
      <c r="S269">
        <v>0</v>
      </c>
      <c r="T269">
        <v>0</v>
      </c>
      <c r="U269" s="20">
        <v>45911.69259259259</v>
      </c>
      <c r="V269" s="20">
        <v>46071.945856481485</v>
      </c>
      <c r="Y269">
        <v>0</v>
      </c>
      <c r="Z269" t="s">
        <v>1308</v>
      </c>
      <c r="AA269" t="s">
        <v>163</v>
      </c>
      <c r="AL269" t="s">
        <v>2980</v>
      </c>
      <c r="AO269" t="s">
        <v>163</v>
      </c>
      <c r="AP269" t="s">
        <v>3126</v>
      </c>
      <c r="AQ269" t="s">
        <v>3128</v>
      </c>
      <c r="AR269" t="s">
        <v>73</v>
      </c>
      <c r="AV269" t="s">
        <v>3129</v>
      </c>
      <c r="AW269" t="s">
        <v>3119</v>
      </c>
      <c r="AX269" t="s">
        <v>3685</v>
      </c>
    </row>
    <row r="270" spans="1:50" x14ac:dyDescent="0.25">
      <c r="A270" t="s">
        <v>178</v>
      </c>
      <c r="B270" t="s">
        <v>1168</v>
      </c>
      <c r="C270" t="s">
        <v>1352</v>
      </c>
      <c r="D270" t="s">
        <v>2482</v>
      </c>
      <c r="E270">
        <v>1</v>
      </c>
      <c r="F270">
        <v>1</v>
      </c>
      <c r="H270" t="s">
        <v>1307</v>
      </c>
      <c r="I270" t="s">
        <v>1308</v>
      </c>
      <c r="J270" t="s">
        <v>1172</v>
      </c>
      <c r="K270" t="s">
        <v>1173</v>
      </c>
      <c r="L270" t="s">
        <v>1174</v>
      </c>
      <c r="M270">
        <v>0</v>
      </c>
      <c r="N270" t="s">
        <v>41</v>
      </c>
      <c r="O270">
        <v>1</v>
      </c>
      <c r="P270">
        <v>0</v>
      </c>
      <c r="Q270">
        <v>0</v>
      </c>
      <c r="R270">
        <v>0</v>
      </c>
      <c r="S270">
        <v>0</v>
      </c>
      <c r="T270">
        <v>0</v>
      </c>
      <c r="U270" s="20">
        <v>45911.692766203705</v>
      </c>
      <c r="V270" s="20">
        <v>46029.96303240741</v>
      </c>
      <c r="Y270">
        <v>0</v>
      </c>
      <c r="Z270" t="s">
        <v>1308</v>
      </c>
      <c r="AA270" t="s">
        <v>179</v>
      </c>
      <c r="AL270" t="s">
        <v>2982</v>
      </c>
      <c r="AO270" t="s">
        <v>179</v>
      </c>
      <c r="AX270" t="s">
        <v>3686</v>
      </c>
    </row>
    <row r="271" spans="1:50" x14ac:dyDescent="0.25">
      <c r="A271" t="s">
        <v>625</v>
      </c>
      <c r="B271" t="s">
        <v>1168</v>
      </c>
      <c r="C271" t="s">
        <v>1534</v>
      </c>
      <c r="D271" t="s">
        <v>3230</v>
      </c>
      <c r="E271">
        <v>1</v>
      </c>
      <c r="F271">
        <v>1</v>
      </c>
      <c r="H271" t="s">
        <v>1307</v>
      </c>
      <c r="I271" t="s">
        <v>1308</v>
      </c>
      <c r="J271" t="s">
        <v>1172</v>
      </c>
      <c r="K271" t="s">
        <v>1173</v>
      </c>
      <c r="L271" t="s">
        <v>1174</v>
      </c>
      <c r="M271">
        <v>0</v>
      </c>
      <c r="N271" t="s">
        <v>50</v>
      </c>
      <c r="O271">
        <v>1</v>
      </c>
      <c r="P271">
        <v>0</v>
      </c>
      <c r="Q271">
        <v>0</v>
      </c>
      <c r="R271">
        <v>0</v>
      </c>
      <c r="S271">
        <v>0</v>
      </c>
      <c r="T271">
        <v>0</v>
      </c>
      <c r="U271" s="20">
        <v>45911.757881944446</v>
      </c>
      <c r="V271" s="20">
        <v>46077.99322916667</v>
      </c>
      <c r="Y271">
        <v>0</v>
      </c>
      <c r="Z271" t="s">
        <v>1308</v>
      </c>
      <c r="AL271" t="s">
        <v>2792</v>
      </c>
      <c r="AO271" t="s">
        <v>350</v>
      </c>
      <c r="AP271" t="s">
        <v>62</v>
      </c>
      <c r="AQ271" t="s">
        <v>626</v>
      </c>
      <c r="AR271" t="s">
        <v>89</v>
      </c>
      <c r="AV271" t="s">
        <v>3339</v>
      </c>
      <c r="AW271" t="s">
        <v>627</v>
      </c>
      <c r="AX271" t="s">
        <v>3687</v>
      </c>
    </row>
    <row r="272" spans="1:50" x14ac:dyDescent="0.25">
      <c r="A272" t="s">
        <v>532</v>
      </c>
      <c r="B272" t="s">
        <v>1168</v>
      </c>
      <c r="C272" t="s">
        <v>1496</v>
      </c>
      <c r="D272" t="s">
        <v>3230</v>
      </c>
      <c r="E272">
        <v>1</v>
      </c>
      <c r="F272">
        <v>1</v>
      </c>
      <c r="H272" t="s">
        <v>1307</v>
      </c>
      <c r="I272" t="s">
        <v>1308</v>
      </c>
      <c r="J272" t="s">
        <v>1172</v>
      </c>
      <c r="K272" t="s">
        <v>1173</v>
      </c>
      <c r="L272" t="s">
        <v>1174</v>
      </c>
      <c r="M272">
        <v>0</v>
      </c>
      <c r="N272" t="s">
        <v>50</v>
      </c>
      <c r="O272">
        <v>1</v>
      </c>
      <c r="P272">
        <v>0</v>
      </c>
      <c r="Q272">
        <v>0</v>
      </c>
      <c r="R272">
        <v>0</v>
      </c>
      <c r="S272">
        <v>0</v>
      </c>
      <c r="T272">
        <v>0</v>
      </c>
      <c r="U272" s="20">
        <v>45918.71806712963</v>
      </c>
      <c r="V272" s="20">
        <v>46077.993217592593</v>
      </c>
      <c r="Y272">
        <v>0</v>
      </c>
      <c r="Z272" t="s">
        <v>1308</v>
      </c>
      <c r="AA272" t="s">
        <v>320</v>
      </c>
      <c r="AL272" t="s">
        <v>2750</v>
      </c>
      <c r="AO272" t="s">
        <v>320</v>
      </c>
      <c r="AP272" t="s">
        <v>62</v>
      </c>
      <c r="AQ272" t="s">
        <v>533</v>
      </c>
      <c r="AR272" t="s">
        <v>73</v>
      </c>
      <c r="AV272" t="s">
        <v>3255</v>
      </c>
      <c r="AW272" t="s">
        <v>534</v>
      </c>
      <c r="AX272" t="s">
        <v>3688</v>
      </c>
    </row>
    <row r="273" spans="1:50" x14ac:dyDescent="0.25">
      <c r="A273" t="s">
        <v>269</v>
      </c>
      <c r="B273" t="s">
        <v>1168</v>
      </c>
      <c r="C273" t="s">
        <v>1412</v>
      </c>
      <c r="D273" t="s">
        <v>2483</v>
      </c>
      <c r="E273">
        <v>1</v>
      </c>
      <c r="F273">
        <v>1</v>
      </c>
      <c r="H273" t="s">
        <v>1307</v>
      </c>
      <c r="I273" t="s">
        <v>1308</v>
      </c>
      <c r="J273" t="s">
        <v>1172</v>
      </c>
      <c r="K273" t="s">
        <v>1173</v>
      </c>
      <c r="L273" t="s">
        <v>1174</v>
      </c>
      <c r="M273">
        <v>0</v>
      </c>
      <c r="N273" t="s">
        <v>41</v>
      </c>
      <c r="O273">
        <v>1</v>
      </c>
      <c r="P273">
        <v>0</v>
      </c>
      <c r="Q273">
        <v>0</v>
      </c>
      <c r="R273">
        <v>0</v>
      </c>
      <c r="S273">
        <v>0</v>
      </c>
      <c r="T273">
        <v>0</v>
      </c>
      <c r="U273" s="20">
        <v>45918.768043981479</v>
      </c>
      <c r="V273" s="20">
        <v>46028.988298611112</v>
      </c>
      <c r="Y273">
        <v>0</v>
      </c>
      <c r="Z273" t="s">
        <v>1308</v>
      </c>
      <c r="AA273" t="s">
        <v>48</v>
      </c>
      <c r="AL273" t="s">
        <v>2640</v>
      </c>
      <c r="AO273" t="s">
        <v>48</v>
      </c>
      <c r="AP273" t="s">
        <v>62</v>
      </c>
      <c r="AQ273" t="s">
        <v>270</v>
      </c>
      <c r="AR273" t="s">
        <v>73</v>
      </c>
      <c r="AW273" t="s">
        <v>271</v>
      </c>
      <c r="AX273" t="s">
        <v>3689</v>
      </c>
    </row>
    <row r="274" spans="1:50" x14ac:dyDescent="0.25">
      <c r="A274" t="s">
        <v>682</v>
      </c>
      <c r="B274" t="s">
        <v>1168</v>
      </c>
      <c r="C274" t="s">
        <v>1560</v>
      </c>
      <c r="E274">
        <v>1</v>
      </c>
      <c r="F274">
        <v>1</v>
      </c>
      <c r="H274" t="s">
        <v>1307</v>
      </c>
      <c r="I274" t="s">
        <v>1308</v>
      </c>
      <c r="J274" t="s">
        <v>1172</v>
      </c>
      <c r="K274" t="s">
        <v>1173</v>
      </c>
      <c r="L274" t="s">
        <v>1174</v>
      </c>
      <c r="M274">
        <v>0</v>
      </c>
      <c r="N274" t="s">
        <v>50</v>
      </c>
      <c r="O274">
        <v>1</v>
      </c>
      <c r="P274">
        <v>0</v>
      </c>
      <c r="Q274">
        <v>0</v>
      </c>
      <c r="R274">
        <v>0</v>
      </c>
      <c r="S274">
        <v>0</v>
      </c>
      <c r="T274">
        <v>0</v>
      </c>
      <c r="U274" s="20">
        <v>45924.510393518518</v>
      </c>
      <c r="V274" s="20">
        <v>46002.004988425928</v>
      </c>
      <c r="Y274">
        <v>0</v>
      </c>
      <c r="Z274" t="s">
        <v>1308</v>
      </c>
      <c r="AL274" t="s">
        <v>683</v>
      </c>
      <c r="AO274" t="s">
        <v>48</v>
      </c>
      <c r="AX274" t="s">
        <v>3690</v>
      </c>
    </row>
    <row r="275" spans="1:50" x14ac:dyDescent="0.25">
      <c r="A275" t="s">
        <v>664</v>
      </c>
      <c r="B275" t="s">
        <v>1168</v>
      </c>
      <c r="C275" t="s">
        <v>1549</v>
      </c>
      <c r="E275">
        <v>1</v>
      </c>
      <c r="F275">
        <v>1</v>
      </c>
      <c r="H275" t="s">
        <v>1307</v>
      </c>
      <c r="I275" t="s">
        <v>1308</v>
      </c>
      <c r="J275" t="s">
        <v>1172</v>
      </c>
      <c r="K275" t="s">
        <v>1173</v>
      </c>
      <c r="L275" t="s">
        <v>1174</v>
      </c>
      <c r="M275">
        <v>0</v>
      </c>
      <c r="N275" t="s">
        <v>50</v>
      </c>
      <c r="O275">
        <v>1</v>
      </c>
      <c r="P275">
        <v>0</v>
      </c>
      <c r="Q275">
        <v>0</v>
      </c>
      <c r="R275">
        <v>0</v>
      </c>
      <c r="S275">
        <v>0</v>
      </c>
      <c r="T275">
        <v>0</v>
      </c>
      <c r="U275" s="20">
        <v>45924.510405092595</v>
      </c>
      <c r="V275" s="20">
        <v>46002.004999999997</v>
      </c>
      <c r="Y275">
        <v>0</v>
      </c>
      <c r="Z275" t="s">
        <v>1308</v>
      </c>
      <c r="AL275" t="s">
        <v>665</v>
      </c>
      <c r="AO275" t="s">
        <v>312</v>
      </c>
      <c r="AX275" t="s">
        <v>3691</v>
      </c>
    </row>
    <row r="276" spans="1:50" x14ac:dyDescent="0.25">
      <c r="A276" t="s">
        <v>684</v>
      </c>
      <c r="B276" t="s">
        <v>1168</v>
      </c>
      <c r="C276" t="s">
        <v>1561</v>
      </c>
      <c r="E276">
        <v>1</v>
      </c>
      <c r="F276">
        <v>1</v>
      </c>
      <c r="H276" t="s">
        <v>1307</v>
      </c>
      <c r="I276" t="s">
        <v>1308</v>
      </c>
      <c r="J276" t="s">
        <v>1172</v>
      </c>
      <c r="K276" t="s">
        <v>1173</v>
      </c>
      <c r="L276" t="s">
        <v>1174</v>
      </c>
      <c r="M276">
        <v>0</v>
      </c>
      <c r="N276" t="s">
        <v>50</v>
      </c>
      <c r="O276">
        <v>1</v>
      </c>
      <c r="P276">
        <v>0</v>
      </c>
      <c r="Q276">
        <v>0</v>
      </c>
      <c r="R276">
        <v>0</v>
      </c>
      <c r="S276">
        <v>0</v>
      </c>
      <c r="T276">
        <v>0</v>
      </c>
      <c r="U276" s="20">
        <v>45926.658275462964</v>
      </c>
      <c r="V276" s="20">
        <v>46002.004965277774</v>
      </c>
      <c r="Y276">
        <v>0</v>
      </c>
      <c r="Z276" t="s">
        <v>1308</v>
      </c>
      <c r="AL276" t="s">
        <v>685</v>
      </c>
      <c r="AO276" t="s">
        <v>48</v>
      </c>
      <c r="AX276" t="s">
        <v>3692</v>
      </c>
    </row>
    <row r="277" spans="1:50" x14ac:dyDescent="0.25">
      <c r="A277" t="s">
        <v>629</v>
      </c>
      <c r="B277" t="s">
        <v>1168</v>
      </c>
      <c r="C277" t="s">
        <v>1536</v>
      </c>
      <c r="E277">
        <v>1</v>
      </c>
      <c r="F277">
        <v>1</v>
      </c>
      <c r="H277" t="s">
        <v>1307</v>
      </c>
      <c r="I277" t="s">
        <v>1308</v>
      </c>
      <c r="J277" t="s">
        <v>1172</v>
      </c>
      <c r="K277" t="s">
        <v>1173</v>
      </c>
      <c r="L277" t="s">
        <v>1174</v>
      </c>
      <c r="M277">
        <v>0</v>
      </c>
      <c r="N277" t="s">
        <v>50</v>
      </c>
      <c r="O277">
        <v>1</v>
      </c>
      <c r="P277">
        <v>0</v>
      </c>
      <c r="Q277">
        <v>0</v>
      </c>
      <c r="R277">
        <v>0</v>
      </c>
      <c r="S277">
        <v>0</v>
      </c>
      <c r="T277">
        <v>0</v>
      </c>
      <c r="U277" s="20">
        <v>45926.658275462964</v>
      </c>
      <c r="V277" s="20">
        <v>46002.004988425928</v>
      </c>
      <c r="Y277">
        <v>0</v>
      </c>
      <c r="Z277" t="s">
        <v>1308</v>
      </c>
      <c r="AL277" t="s">
        <v>2796</v>
      </c>
      <c r="AO277" t="s">
        <v>163</v>
      </c>
      <c r="AX277" t="s">
        <v>3693</v>
      </c>
    </row>
    <row r="278" spans="1:50" x14ac:dyDescent="0.25">
      <c r="A278" t="s">
        <v>633</v>
      </c>
      <c r="B278" t="s">
        <v>1168</v>
      </c>
      <c r="C278" t="s">
        <v>1537</v>
      </c>
      <c r="D278" t="s">
        <v>3230</v>
      </c>
      <c r="E278">
        <v>1</v>
      </c>
      <c r="F278">
        <v>1</v>
      </c>
      <c r="H278" t="s">
        <v>1307</v>
      </c>
      <c r="I278" t="s">
        <v>1308</v>
      </c>
      <c r="J278" t="s">
        <v>1172</v>
      </c>
      <c r="K278" t="s">
        <v>1173</v>
      </c>
      <c r="L278" t="s">
        <v>1174</v>
      </c>
      <c r="M278">
        <v>0</v>
      </c>
      <c r="N278" t="s">
        <v>50</v>
      </c>
      <c r="O278">
        <v>1</v>
      </c>
      <c r="P278">
        <v>0</v>
      </c>
      <c r="Q278">
        <v>0</v>
      </c>
      <c r="R278">
        <v>0</v>
      </c>
      <c r="S278">
        <v>0</v>
      </c>
      <c r="T278">
        <v>0</v>
      </c>
      <c r="U278" s="20">
        <v>45926.658275462964</v>
      </c>
      <c r="V278" s="20">
        <v>46077.993217592593</v>
      </c>
      <c r="Y278">
        <v>0</v>
      </c>
      <c r="Z278" t="s">
        <v>1308</v>
      </c>
      <c r="AL278" t="s">
        <v>634</v>
      </c>
      <c r="AO278" t="s">
        <v>163</v>
      </c>
      <c r="AP278" t="s">
        <v>62</v>
      </c>
      <c r="AQ278" t="s">
        <v>139</v>
      </c>
      <c r="AR278" t="s">
        <v>73</v>
      </c>
      <c r="AV278" t="s">
        <v>3262</v>
      </c>
      <c r="AW278" t="s">
        <v>635</v>
      </c>
      <c r="AX278" t="s">
        <v>3694</v>
      </c>
    </row>
    <row r="279" spans="1:50" x14ac:dyDescent="0.25">
      <c r="A279" t="s">
        <v>686</v>
      </c>
      <c r="B279" t="s">
        <v>1168</v>
      </c>
      <c r="C279" t="s">
        <v>1562</v>
      </c>
      <c r="E279">
        <v>1</v>
      </c>
      <c r="F279">
        <v>1</v>
      </c>
      <c r="H279" t="s">
        <v>1307</v>
      </c>
      <c r="I279" t="s">
        <v>1308</v>
      </c>
      <c r="J279" t="s">
        <v>1172</v>
      </c>
      <c r="K279" t="s">
        <v>1173</v>
      </c>
      <c r="L279" t="s">
        <v>1174</v>
      </c>
      <c r="M279">
        <v>0</v>
      </c>
      <c r="N279" t="s">
        <v>50</v>
      </c>
      <c r="O279">
        <v>1</v>
      </c>
      <c r="P279">
        <v>0</v>
      </c>
      <c r="Q279">
        <v>0</v>
      </c>
      <c r="R279">
        <v>0</v>
      </c>
      <c r="S279">
        <v>0</v>
      </c>
      <c r="T279">
        <v>0</v>
      </c>
      <c r="U279" s="20">
        <v>45926.658321759256</v>
      </c>
      <c r="V279" s="20">
        <v>46002.004942129628</v>
      </c>
      <c r="Y279">
        <v>0</v>
      </c>
      <c r="Z279" t="s">
        <v>1308</v>
      </c>
      <c r="AL279" t="s">
        <v>687</v>
      </c>
      <c r="AO279" t="s">
        <v>48</v>
      </c>
      <c r="AX279" t="s">
        <v>3695</v>
      </c>
    </row>
    <row r="280" spans="1:50" x14ac:dyDescent="0.25">
      <c r="A280" t="s">
        <v>647</v>
      </c>
      <c r="B280" t="s">
        <v>1168</v>
      </c>
      <c r="C280" t="s">
        <v>1543</v>
      </c>
      <c r="D280" t="s">
        <v>3340</v>
      </c>
      <c r="E280">
        <v>1</v>
      </c>
      <c r="F280">
        <v>1</v>
      </c>
      <c r="H280" t="s">
        <v>1307</v>
      </c>
      <c r="I280" t="s">
        <v>1308</v>
      </c>
      <c r="J280" t="s">
        <v>1172</v>
      </c>
      <c r="K280" t="s">
        <v>1173</v>
      </c>
      <c r="L280" t="s">
        <v>1174</v>
      </c>
      <c r="M280">
        <v>0</v>
      </c>
      <c r="N280" t="s">
        <v>50</v>
      </c>
      <c r="O280">
        <v>1</v>
      </c>
      <c r="P280">
        <v>0</v>
      </c>
      <c r="Q280">
        <v>0</v>
      </c>
      <c r="R280">
        <v>0</v>
      </c>
      <c r="S280">
        <v>0</v>
      </c>
      <c r="T280">
        <v>0</v>
      </c>
      <c r="U280" s="20">
        <v>45926.65834490741</v>
      </c>
      <c r="V280" s="20">
        <v>46077.993217592593</v>
      </c>
      <c r="Y280">
        <v>0</v>
      </c>
      <c r="Z280" t="s">
        <v>1308</v>
      </c>
      <c r="AL280" t="s">
        <v>2804</v>
      </c>
      <c r="AO280" t="s">
        <v>312</v>
      </c>
      <c r="AP280" t="s">
        <v>164</v>
      </c>
      <c r="AQ280" t="s">
        <v>648</v>
      </c>
      <c r="AR280" t="s">
        <v>89</v>
      </c>
      <c r="AV280" t="s">
        <v>3341</v>
      </c>
      <c r="AW280" t="s">
        <v>649</v>
      </c>
      <c r="AX280" t="s">
        <v>3696</v>
      </c>
    </row>
    <row r="281" spans="1:50" x14ac:dyDescent="0.25">
      <c r="A281" t="s">
        <v>650</v>
      </c>
      <c r="B281" t="s">
        <v>1168</v>
      </c>
      <c r="C281" t="s">
        <v>1544</v>
      </c>
      <c r="D281" t="s">
        <v>3230</v>
      </c>
      <c r="E281">
        <v>1</v>
      </c>
      <c r="F281">
        <v>1</v>
      </c>
      <c r="H281" t="s">
        <v>1307</v>
      </c>
      <c r="I281" t="s">
        <v>1308</v>
      </c>
      <c r="J281" t="s">
        <v>1172</v>
      </c>
      <c r="K281" t="s">
        <v>1173</v>
      </c>
      <c r="L281" t="s">
        <v>1174</v>
      </c>
      <c r="M281">
        <v>0</v>
      </c>
      <c r="N281" t="s">
        <v>50</v>
      </c>
      <c r="O281">
        <v>1</v>
      </c>
      <c r="P281">
        <v>0</v>
      </c>
      <c r="Q281">
        <v>0</v>
      </c>
      <c r="R281">
        <v>0</v>
      </c>
      <c r="S281">
        <v>0</v>
      </c>
      <c r="T281">
        <v>0</v>
      </c>
      <c r="U281" s="20">
        <v>45929.922476851854</v>
      </c>
      <c r="V281" s="20">
        <v>46077.99322916667</v>
      </c>
      <c r="Y281">
        <v>0</v>
      </c>
      <c r="Z281" t="s">
        <v>1308</v>
      </c>
      <c r="AL281" t="s">
        <v>3022</v>
      </c>
      <c r="AO281" t="s">
        <v>48</v>
      </c>
      <c r="AP281" t="s">
        <v>164</v>
      </c>
      <c r="AQ281" t="s">
        <v>651</v>
      </c>
      <c r="AR281" t="s">
        <v>89</v>
      </c>
      <c r="AV281" t="s">
        <v>3342</v>
      </c>
      <c r="AW281" t="s">
        <v>652</v>
      </c>
      <c r="AX281" t="s">
        <v>3697</v>
      </c>
    </row>
    <row r="282" spans="1:50" x14ac:dyDescent="0.25">
      <c r="A282" t="s">
        <v>668</v>
      </c>
      <c r="B282" t="s">
        <v>1168</v>
      </c>
      <c r="C282" t="s">
        <v>1550</v>
      </c>
      <c r="E282">
        <v>1</v>
      </c>
      <c r="F282">
        <v>1</v>
      </c>
      <c r="H282" t="s">
        <v>1307</v>
      </c>
      <c r="I282" t="s">
        <v>1308</v>
      </c>
      <c r="J282" t="s">
        <v>1172</v>
      </c>
      <c r="K282" t="s">
        <v>1173</v>
      </c>
      <c r="L282" t="s">
        <v>1174</v>
      </c>
      <c r="M282">
        <v>0</v>
      </c>
      <c r="N282" t="s">
        <v>50</v>
      </c>
      <c r="O282">
        <v>1</v>
      </c>
      <c r="P282">
        <v>0</v>
      </c>
      <c r="Q282">
        <v>0</v>
      </c>
      <c r="R282">
        <v>0</v>
      </c>
      <c r="S282">
        <v>0</v>
      </c>
      <c r="T282">
        <v>0</v>
      </c>
      <c r="U282" s="20">
        <v>45932.625671296293</v>
      </c>
      <c r="V282" s="20">
        <v>46002.004965277774</v>
      </c>
      <c r="Y282">
        <v>0</v>
      </c>
      <c r="Z282" t="s">
        <v>1308</v>
      </c>
      <c r="AL282" t="s">
        <v>2812</v>
      </c>
      <c r="AO282" t="s">
        <v>48</v>
      </c>
      <c r="AX282" t="s">
        <v>3698</v>
      </c>
    </row>
    <row r="283" spans="1:50" x14ac:dyDescent="0.25">
      <c r="A283" t="s">
        <v>181</v>
      </c>
      <c r="B283" t="s">
        <v>1168</v>
      </c>
      <c r="C283" t="s">
        <v>1353</v>
      </c>
      <c r="D283" t="s">
        <v>84</v>
      </c>
      <c r="E283">
        <v>1</v>
      </c>
      <c r="F283">
        <v>1</v>
      </c>
      <c r="H283" t="s">
        <v>1307</v>
      </c>
      <c r="I283" t="s">
        <v>1308</v>
      </c>
      <c r="J283" t="s">
        <v>1172</v>
      </c>
      <c r="K283" t="s">
        <v>1173</v>
      </c>
      <c r="L283" t="s">
        <v>1174</v>
      </c>
      <c r="M283">
        <v>0</v>
      </c>
      <c r="N283" t="s">
        <v>41</v>
      </c>
      <c r="O283">
        <v>1</v>
      </c>
      <c r="P283">
        <v>0</v>
      </c>
      <c r="Q283">
        <v>0</v>
      </c>
      <c r="R283">
        <v>0</v>
      </c>
      <c r="S283">
        <v>0</v>
      </c>
      <c r="T283">
        <v>0</v>
      </c>
      <c r="U283" s="20">
        <v>45944.492962962962</v>
      </c>
      <c r="V283" s="20">
        <v>46002.06759259259</v>
      </c>
      <c r="Y283">
        <v>0</v>
      </c>
      <c r="Z283" t="s">
        <v>1308</v>
      </c>
      <c r="AA283" t="s">
        <v>163</v>
      </c>
      <c r="AL283" t="s">
        <v>2565</v>
      </c>
      <c r="AO283" t="s">
        <v>163</v>
      </c>
      <c r="AX283" t="s">
        <v>3699</v>
      </c>
    </row>
    <row r="284" spans="1:50" x14ac:dyDescent="0.25">
      <c r="A284" t="s">
        <v>85</v>
      </c>
      <c r="B284" t="s">
        <v>1168</v>
      </c>
      <c r="C284" t="s">
        <v>1320</v>
      </c>
      <c r="D284" t="s">
        <v>92</v>
      </c>
      <c r="E284">
        <v>1</v>
      </c>
      <c r="F284">
        <v>1</v>
      </c>
      <c r="H284" t="s">
        <v>1307</v>
      </c>
      <c r="I284" t="s">
        <v>1308</v>
      </c>
      <c r="J284" t="s">
        <v>1172</v>
      </c>
      <c r="K284" t="s">
        <v>1173</v>
      </c>
      <c r="L284" t="s">
        <v>1174</v>
      </c>
      <c r="M284">
        <v>0</v>
      </c>
      <c r="N284" t="s">
        <v>87</v>
      </c>
      <c r="O284">
        <v>1</v>
      </c>
      <c r="P284">
        <v>0</v>
      </c>
      <c r="Q284">
        <v>0</v>
      </c>
      <c r="R284">
        <v>0</v>
      </c>
      <c r="S284">
        <v>0</v>
      </c>
      <c r="T284">
        <v>0</v>
      </c>
      <c r="U284" s="20">
        <v>45944.493043981478</v>
      </c>
      <c r="V284" s="20">
        <v>46002.06758101852</v>
      </c>
      <c r="Y284">
        <v>0</v>
      </c>
      <c r="Z284" t="s">
        <v>1308</v>
      </c>
      <c r="AA284" t="s">
        <v>48</v>
      </c>
      <c r="AL284" t="s">
        <v>2517</v>
      </c>
      <c r="AM284" t="s">
        <v>37</v>
      </c>
      <c r="AN284" t="s">
        <v>86</v>
      </c>
      <c r="AO284" t="s">
        <v>48</v>
      </c>
      <c r="AP284" t="s">
        <v>62</v>
      </c>
      <c r="AQ284" t="s">
        <v>88</v>
      </c>
      <c r="AR284" t="s">
        <v>89</v>
      </c>
      <c r="AV284" t="s">
        <v>91</v>
      </c>
      <c r="AW284" t="s">
        <v>90</v>
      </c>
      <c r="AX284" t="s">
        <v>3700</v>
      </c>
    </row>
    <row r="285" spans="1:50" x14ac:dyDescent="0.25">
      <c r="A285" t="s">
        <v>93</v>
      </c>
      <c r="B285" t="s">
        <v>1168</v>
      </c>
      <c r="C285" t="s">
        <v>1321</v>
      </c>
      <c r="D285" t="s">
        <v>2480</v>
      </c>
      <c r="E285">
        <v>1</v>
      </c>
      <c r="F285">
        <v>1</v>
      </c>
      <c r="H285" t="s">
        <v>1307</v>
      </c>
      <c r="I285" t="s">
        <v>1308</v>
      </c>
      <c r="J285" t="s">
        <v>1172</v>
      </c>
      <c r="K285" t="s">
        <v>1173</v>
      </c>
      <c r="L285" t="s">
        <v>1174</v>
      </c>
      <c r="M285">
        <v>0</v>
      </c>
      <c r="N285" t="s">
        <v>41</v>
      </c>
      <c r="O285">
        <v>1</v>
      </c>
      <c r="P285">
        <v>0</v>
      </c>
      <c r="Q285">
        <v>0</v>
      </c>
      <c r="R285">
        <v>0</v>
      </c>
      <c r="S285">
        <v>0</v>
      </c>
      <c r="T285">
        <v>0</v>
      </c>
      <c r="U285" s="20">
        <v>45944.493078703701</v>
      </c>
      <c r="V285" s="20">
        <v>46030.054224537038</v>
      </c>
      <c r="Y285">
        <v>0</v>
      </c>
      <c r="Z285" t="s">
        <v>1308</v>
      </c>
      <c r="AA285" t="s">
        <v>48</v>
      </c>
      <c r="AL285" t="s">
        <v>2519</v>
      </c>
      <c r="AM285" t="s">
        <v>37</v>
      </c>
      <c r="AN285" t="s">
        <v>94</v>
      </c>
      <c r="AO285" t="s">
        <v>48</v>
      </c>
      <c r="AQ285" t="s">
        <v>95</v>
      </c>
      <c r="AX285" t="s">
        <v>3701</v>
      </c>
    </row>
    <row r="286" spans="1:50" x14ac:dyDescent="0.25">
      <c r="A286" t="s">
        <v>96</v>
      </c>
      <c r="B286" t="s">
        <v>1168</v>
      </c>
      <c r="C286" t="s">
        <v>1322</v>
      </c>
      <c r="E286">
        <v>1</v>
      </c>
      <c r="F286">
        <v>1</v>
      </c>
      <c r="H286" t="s">
        <v>1307</v>
      </c>
      <c r="I286" t="s">
        <v>1308</v>
      </c>
      <c r="J286" t="s">
        <v>1172</v>
      </c>
      <c r="K286" t="s">
        <v>1173</v>
      </c>
      <c r="L286" t="s">
        <v>1174</v>
      </c>
      <c r="M286">
        <v>0</v>
      </c>
      <c r="N286" t="s">
        <v>87</v>
      </c>
      <c r="O286">
        <v>1</v>
      </c>
      <c r="P286">
        <v>0</v>
      </c>
      <c r="Q286">
        <v>0</v>
      </c>
      <c r="R286">
        <v>0</v>
      </c>
      <c r="S286">
        <v>0</v>
      </c>
      <c r="T286">
        <v>0</v>
      </c>
      <c r="U286" s="20">
        <v>45944.493101851855</v>
      </c>
      <c r="V286" s="20">
        <v>46002.067557870374</v>
      </c>
      <c r="Y286">
        <v>0</v>
      </c>
      <c r="Z286" t="s">
        <v>1308</v>
      </c>
      <c r="AA286" t="s">
        <v>48</v>
      </c>
      <c r="AL286" t="s">
        <v>2520</v>
      </c>
      <c r="AM286" t="s">
        <v>37</v>
      </c>
      <c r="AN286" t="s">
        <v>97</v>
      </c>
      <c r="AO286" t="s">
        <v>48</v>
      </c>
      <c r="AP286" t="s">
        <v>62</v>
      </c>
      <c r="AQ286" t="s">
        <v>98</v>
      </c>
      <c r="AR286" t="s">
        <v>89</v>
      </c>
      <c r="AV286" t="s">
        <v>100</v>
      </c>
      <c r="AW286" t="s">
        <v>99</v>
      </c>
      <c r="AX286" t="s">
        <v>3702</v>
      </c>
    </row>
    <row r="287" spans="1:50" x14ac:dyDescent="0.25">
      <c r="A287" t="s">
        <v>101</v>
      </c>
      <c r="B287" t="s">
        <v>1168</v>
      </c>
      <c r="C287" t="s">
        <v>1323</v>
      </c>
      <c r="D287" t="s">
        <v>103</v>
      </c>
      <c r="E287">
        <v>1</v>
      </c>
      <c r="F287">
        <v>1</v>
      </c>
      <c r="H287" t="s">
        <v>1307</v>
      </c>
      <c r="I287" t="s">
        <v>1308</v>
      </c>
      <c r="J287" t="s">
        <v>1172</v>
      </c>
      <c r="K287" t="s">
        <v>1173</v>
      </c>
      <c r="L287" t="s">
        <v>1174</v>
      </c>
      <c r="M287">
        <v>0</v>
      </c>
      <c r="N287" t="s">
        <v>41</v>
      </c>
      <c r="O287">
        <v>1</v>
      </c>
      <c r="P287">
        <v>0</v>
      </c>
      <c r="Q287">
        <v>0</v>
      </c>
      <c r="R287">
        <v>0</v>
      </c>
      <c r="S287">
        <v>0</v>
      </c>
      <c r="T287">
        <v>0</v>
      </c>
      <c r="U287" s="20">
        <v>45944.493113425924</v>
      </c>
      <c r="V287" s="20">
        <v>46002.06759259259</v>
      </c>
      <c r="Y287">
        <v>0</v>
      </c>
      <c r="Z287" t="s">
        <v>1308</v>
      </c>
      <c r="AA287" t="s">
        <v>48</v>
      </c>
      <c r="AL287" t="s">
        <v>2523</v>
      </c>
      <c r="AM287" t="s">
        <v>37</v>
      </c>
      <c r="AN287" t="s">
        <v>102</v>
      </c>
      <c r="AO287" t="s">
        <v>48</v>
      </c>
      <c r="AP287" t="s">
        <v>62</v>
      </c>
      <c r="AR287" t="s">
        <v>89</v>
      </c>
      <c r="AX287" t="s">
        <v>3703</v>
      </c>
    </row>
    <row r="288" spans="1:50" x14ac:dyDescent="0.25">
      <c r="A288" t="s">
        <v>104</v>
      </c>
      <c r="B288" t="s">
        <v>1168</v>
      </c>
      <c r="C288" t="s">
        <v>1324</v>
      </c>
      <c r="D288" t="s">
        <v>3343</v>
      </c>
      <c r="E288">
        <v>1</v>
      </c>
      <c r="F288">
        <v>1</v>
      </c>
      <c r="H288" t="s">
        <v>1307</v>
      </c>
      <c r="I288" t="s">
        <v>1308</v>
      </c>
      <c r="J288" t="s">
        <v>1172</v>
      </c>
      <c r="K288" t="s">
        <v>1173</v>
      </c>
      <c r="L288" t="s">
        <v>1174</v>
      </c>
      <c r="M288">
        <v>0</v>
      </c>
      <c r="N288" t="s">
        <v>87</v>
      </c>
      <c r="O288">
        <v>1</v>
      </c>
      <c r="P288">
        <v>0</v>
      </c>
      <c r="Q288">
        <v>0</v>
      </c>
      <c r="R288">
        <v>0</v>
      </c>
      <c r="S288">
        <v>0</v>
      </c>
      <c r="T288">
        <v>0</v>
      </c>
      <c r="U288" s="20">
        <v>45944.493125000001</v>
      </c>
      <c r="V288" s="20">
        <v>46077.993217592593</v>
      </c>
      <c r="Y288">
        <v>0</v>
      </c>
      <c r="Z288" t="s">
        <v>1308</v>
      </c>
      <c r="AA288" t="s">
        <v>48</v>
      </c>
      <c r="AL288" t="s">
        <v>2524</v>
      </c>
      <c r="AM288" t="s">
        <v>37</v>
      </c>
      <c r="AN288" t="s">
        <v>95</v>
      </c>
      <c r="AO288" t="s">
        <v>48</v>
      </c>
      <c r="AP288" t="s">
        <v>62</v>
      </c>
      <c r="AQ288" t="s">
        <v>105</v>
      </c>
      <c r="AR288" t="s">
        <v>73</v>
      </c>
      <c r="AV288" t="s">
        <v>3268</v>
      </c>
      <c r="AW288" t="s">
        <v>106</v>
      </c>
      <c r="AX288" t="s">
        <v>3704</v>
      </c>
    </row>
    <row r="289" spans="1:50" x14ac:dyDescent="0.25">
      <c r="A289" t="s">
        <v>107</v>
      </c>
      <c r="B289" t="s">
        <v>1168</v>
      </c>
      <c r="C289" t="s">
        <v>1325</v>
      </c>
      <c r="D289" t="s">
        <v>111</v>
      </c>
      <c r="E289">
        <v>1</v>
      </c>
      <c r="F289">
        <v>1</v>
      </c>
      <c r="H289" t="s">
        <v>1307</v>
      </c>
      <c r="I289" t="s">
        <v>1308</v>
      </c>
      <c r="J289" t="s">
        <v>1172</v>
      </c>
      <c r="K289" t="s">
        <v>1173</v>
      </c>
      <c r="L289" t="s">
        <v>1174</v>
      </c>
      <c r="M289">
        <v>0</v>
      </c>
      <c r="N289" t="s">
        <v>87</v>
      </c>
      <c r="O289">
        <v>1</v>
      </c>
      <c r="P289">
        <v>0</v>
      </c>
      <c r="Q289">
        <v>0</v>
      </c>
      <c r="R289">
        <v>0</v>
      </c>
      <c r="S289">
        <v>0</v>
      </c>
      <c r="T289">
        <v>0</v>
      </c>
      <c r="U289" s="20">
        <v>45944.493148148147</v>
      </c>
      <c r="V289" s="20">
        <v>46002.067546296297</v>
      </c>
      <c r="Y289">
        <v>0</v>
      </c>
      <c r="Z289" t="s">
        <v>1308</v>
      </c>
      <c r="AA289" t="s">
        <v>48</v>
      </c>
      <c r="AL289" t="s">
        <v>2526</v>
      </c>
      <c r="AM289" t="s">
        <v>37</v>
      </c>
      <c r="AN289" t="s">
        <v>102</v>
      </c>
      <c r="AO289" t="s">
        <v>48</v>
      </c>
      <c r="AP289" t="s">
        <v>62</v>
      </c>
      <c r="AQ289" t="s">
        <v>108</v>
      </c>
      <c r="AR289" t="s">
        <v>89</v>
      </c>
      <c r="AV289" t="s">
        <v>110</v>
      </c>
      <c r="AW289" t="s">
        <v>109</v>
      </c>
      <c r="AX289" t="s">
        <v>3705</v>
      </c>
    </row>
    <row r="290" spans="1:50" x14ac:dyDescent="0.25">
      <c r="A290" t="s">
        <v>112</v>
      </c>
      <c r="B290" t="s">
        <v>1168</v>
      </c>
      <c r="C290" t="s">
        <v>1326</v>
      </c>
      <c r="D290" t="s">
        <v>3291</v>
      </c>
      <c r="E290">
        <v>1</v>
      </c>
      <c r="F290">
        <v>1</v>
      </c>
      <c r="H290" t="s">
        <v>1307</v>
      </c>
      <c r="I290" t="s">
        <v>1308</v>
      </c>
      <c r="J290" t="s">
        <v>1172</v>
      </c>
      <c r="K290" t="s">
        <v>1173</v>
      </c>
      <c r="L290" t="s">
        <v>1174</v>
      </c>
      <c r="M290">
        <v>0</v>
      </c>
      <c r="N290" t="s">
        <v>87</v>
      </c>
      <c r="O290">
        <v>1</v>
      </c>
      <c r="P290">
        <v>0</v>
      </c>
      <c r="Q290">
        <v>0</v>
      </c>
      <c r="R290">
        <v>0</v>
      </c>
      <c r="S290">
        <v>0</v>
      </c>
      <c r="T290">
        <v>0</v>
      </c>
      <c r="U290" s="20">
        <v>45944.493159722224</v>
      </c>
      <c r="V290" s="20">
        <v>46077.993217592593</v>
      </c>
      <c r="Y290">
        <v>0</v>
      </c>
      <c r="Z290" t="s">
        <v>1308</v>
      </c>
      <c r="AA290" t="s">
        <v>48</v>
      </c>
      <c r="AL290" t="s">
        <v>2527</v>
      </c>
      <c r="AM290" t="s">
        <v>37</v>
      </c>
      <c r="AN290" t="s">
        <v>113</v>
      </c>
      <c r="AO290" t="s">
        <v>48</v>
      </c>
      <c r="AP290" t="s">
        <v>62</v>
      </c>
      <c r="AQ290" t="s">
        <v>114</v>
      </c>
      <c r="AR290" t="s">
        <v>89</v>
      </c>
      <c r="AV290" t="s">
        <v>115</v>
      </c>
      <c r="AW290" t="s">
        <v>3183</v>
      </c>
      <c r="AX290" t="s">
        <v>3706</v>
      </c>
    </row>
    <row r="291" spans="1:50" x14ac:dyDescent="0.25">
      <c r="A291" t="s">
        <v>116</v>
      </c>
      <c r="B291" t="s">
        <v>1168</v>
      </c>
      <c r="C291" t="s">
        <v>1327</v>
      </c>
      <c r="D291" t="s">
        <v>3344</v>
      </c>
      <c r="E291">
        <v>1</v>
      </c>
      <c r="F291">
        <v>1</v>
      </c>
      <c r="H291" t="s">
        <v>1307</v>
      </c>
      <c r="I291" t="s">
        <v>1308</v>
      </c>
      <c r="J291" t="s">
        <v>1172</v>
      </c>
      <c r="K291" t="s">
        <v>1173</v>
      </c>
      <c r="L291" t="s">
        <v>1174</v>
      </c>
      <c r="M291">
        <v>0</v>
      </c>
      <c r="N291" t="s">
        <v>87</v>
      </c>
      <c r="O291">
        <v>1</v>
      </c>
      <c r="P291">
        <v>0</v>
      </c>
      <c r="Q291">
        <v>0</v>
      </c>
      <c r="R291">
        <v>0</v>
      </c>
      <c r="S291">
        <v>0</v>
      </c>
      <c r="T291">
        <v>0</v>
      </c>
      <c r="U291" s="20">
        <v>45944.493171296293</v>
      </c>
      <c r="V291" s="20">
        <v>46077.993217592593</v>
      </c>
      <c r="Y291">
        <v>0</v>
      </c>
      <c r="Z291" t="s">
        <v>1308</v>
      </c>
      <c r="AA291" t="s">
        <v>48</v>
      </c>
      <c r="AL291" t="s">
        <v>2528</v>
      </c>
      <c r="AM291" t="s">
        <v>37</v>
      </c>
      <c r="AN291" t="s">
        <v>113</v>
      </c>
      <c r="AO291" t="s">
        <v>48</v>
      </c>
      <c r="AP291" t="s">
        <v>62</v>
      </c>
      <c r="AQ291" t="s">
        <v>117</v>
      </c>
      <c r="AR291" t="s">
        <v>51</v>
      </c>
      <c r="AV291" t="s">
        <v>3285</v>
      </c>
      <c r="AW291" t="s">
        <v>118</v>
      </c>
      <c r="AX291" t="s">
        <v>3707</v>
      </c>
    </row>
    <row r="292" spans="1:50" x14ac:dyDescent="0.25">
      <c r="A292" t="s">
        <v>119</v>
      </c>
      <c r="B292" t="s">
        <v>1168</v>
      </c>
      <c r="C292" t="s">
        <v>1328</v>
      </c>
      <c r="E292">
        <v>1</v>
      </c>
      <c r="F292">
        <v>1</v>
      </c>
      <c r="H292" t="s">
        <v>1307</v>
      </c>
      <c r="I292" t="s">
        <v>1308</v>
      </c>
      <c r="J292" t="s">
        <v>1172</v>
      </c>
      <c r="K292" t="s">
        <v>1173</v>
      </c>
      <c r="L292" t="s">
        <v>1174</v>
      </c>
      <c r="M292">
        <v>0</v>
      </c>
      <c r="N292" t="s">
        <v>87</v>
      </c>
      <c r="O292">
        <v>1</v>
      </c>
      <c r="P292">
        <v>0</v>
      </c>
      <c r="Q292">
        <v>0</v>
      </c>
      <c r="R292">
        <v>0</v>
      </c>
      <c r="S292">
        <v>0</v>
      </c>
      <c r="T292">
        <v>0</v>
      </c>
      <c r="U292" s="20">
        <v>45944.493217592593</v>
      </c>
      <c r="V292" s="20">
        <v>46078.474409722221</v>
      </c>
      <c r="Y292">
        <v>0</v>
      </c>
      <c r="Z292" t="s">
        <v>1308</v>
      </c>
      <c r="AA292" t="s">
        <v>48</v>
      </c>
      <c r="AL292" t="s">
        <v>2529</v>
      </c>
      <c r="AM292" t="s">
        <v>37</v>
      </c>
      <c r="AN292" t="s">
        <v>120</v>
      </c>
      <c r="AO292" t="s">
        <v>48</v>
      </c>
      <c r="AP292" t="s">
        <v>62</v>
      </c>
      <c r="AQ292" t="s">
        <v>121</v>
      </c>
      <c r="AR292" t="s">
        <v>89</v>
      </c>
      <c r="AV292" t="s">
        <v>123</v>
      </c>
      <c r="AW292" t="s">
        <v>122</v>
      </c>
      <c r="AX292" t="s">
        <v>3708</v>
      </c>
    </row>
    <row r="293" spans="1:50" x14ac:dyDescent="0.25">
      <c r="A293" t="s">
        <v>124</v>
      </c>
      <c r="B293" t="s">
        <v>1168</v>
      </c>
      <c r="C293" t="s">
        <v>1329</v>
      </c>
      <c r="D293" t="s">
        <v>3345</v>
      </c>
      <c r="E293">
        <v>1</v>
      </c>
      <c r="F293">
        <v>1</v>
      </c>
      <c r="H293" t="s">
        <v>1307</v>
      </c>
      <c r="I293" t="s">
        <v>1308</v>
      </c>
      <c r="J293" t="s">
        <v>1172</v>
      </c>
      <c r="K293" t="s">
        <v>1173</v>
      </c>
      <c r="L293" t="s">
        <v>1174</v>
      </c>
      <c r="M293">
        <v>0</v>
      </c>
      <c r="N293" t="s">
        <v>87</v>
      </c>
      <c r="O293">
        <v>1</v>
      </c>
      <c r="P293">
        <v>0</v>
      </c>
      <c r="Q293">
        <v>0</v>
      </c>
      <c r="R293">
        <v>0</v>
      </c>
      <c r="S293">
        <v>0</v>
      </c>
      <c r="T293">
        <v>0</v>
      </c>
      <c r="U293" s="20">
        <v>45944.493275462963</v>
      </c>
      <c r="V293" s="20">
        <v>46077.99322916667</v>
      </c>
      <c r="Y293">
        <v>0</v>
      </c>
      <c r="Z293" t="s">
        <v>1308</v>
      </c>
      <c r="AA293" t="s">
        <v>48</v>
      </c>
      <c r="AL293" t="s">
        <v>2531</v>
      </c>
      <c r="AM293" t="s">
        <v>37</v>
      </c>
      <c r="AN293" t="s">
        <v>120</v>
      </c>
      <c r="AO293" t="s">
        <v>48</v>
      </c>
      <c r="AP293" t="s">
        <v>62</v>
      </c>
      <c r="AQ293" t="s">
        <v>125</v>
      </c>
      <c r="AR293" t="s">
        <v>51</v>
      </c>
      <c r="AV293" t="s">
        <v>3279</v>
      </c>
      <c r="AW293" t="s">
        <v>126</v>
      </c>
      <c r="AX293" t="s">
        <v>3709</v>
      </c>
    </row>
    <row r="294" spans="1:50" x14ac:dyDescent="0.25">
      <c r="A294" t="s">
        <v>127</v>
      </c>
      <c r="B294" t="s">
        <v>1168</v>
      </c>
      <c r="C294" t="s">
        <v>1330</v>
      </c>
      <c r="D294" t="s">
        <v>3211</v>
      </c>
      <c r="E294">
        <v>1</v>
      </c>
      <c r="F294">
        <v>1</v>
      </c>
      <c r="H294" t="s">
        <v>1307</v>
      </c>
      <c r="I294" t="s">
        <v>1308</v>
      </c>
      <c r="J294" t="s">
        <v>1172</v>
      </c>
      <c r="K294" t="s">
        <v>1173</v>
      </c>
      <c r="L294" t="s">
        <v>1174</v>
      </c>
      <c r="M294">
        <v>0</v>
      </c>
      <c r="N294" t="s">
        <v>87</v>
      </c>
      <c r="O294">
        <v>1</v>
      </c>
      <c r="P294">
        <v>0</v>
      </c>
      <c r="Q294">
        <v>0</v>
      </c>
      <c r="R294">
        <v>0</v>
      </c>
      <c r="S294">
        <v>0</v>
      </c>
      <c r="T294">
        <v>0</v>
      </c>
      <c r="U294" s="20">
        <v>45944.493310185186</v>
      </c>
      <c r="V294" s="20">
        <v>46071.946087962962</v>
      </c>
      <c r="Y294">
        <v>0</v>
      </c>
      <c r="Z294" t="s">
        <v>1308</v>
      </c>
      <c r="AA294" t="s">
        <v>48</v>
      </c>
      <c r="AL294" t="s">
        <v>2532</v>
      </c>
      <c r="AO294" t="s">
        <v>48</v>
      </c>
      <c r="AP294" t="s">
        <v>62</v>
      </c>
      <c r="AQ294" t="s">
        <v>3278</v>
      </c>
      <c r="AR294" t="s">
        <v>73</v>
      </c>
      <c r="AV294" t="s">
        <v>3177</v>
      </c>
      <c r="AW294" t="s">
        <v>3175</v>
      </c>
      <c r="AX294" t="s">
        <v>3710</v>
      </c>
    </row>
    <row r="295" spans="1:50" x14ac:dyDescent="0.25">
      <c r="A295" t="s">
        <v>552</v>
      </c>
      <c r="B295" t="s">
        <v>1168</v>
      </c>
      <c r="C295" t="s">
        <v>1507</v>
      </c>
      <c r="D295" t="s">
        <v>553</v>
      </c>
      <c r="E295">
        <v>1</v>
      </c>
      <c r="F295">
        <v>1</v>
      </c>
      <c r="H295" t="s">
        <v>1307</v>
      </c>
      <c r="I295" t="s">
        <v>1308</v>
      </c>
      <c r="J295" t="s">
        <v>1172</v>
      </c>
      <c r="K295" t="s">
        <v>1173</v>
      </c>
      <c r="L295" t="s">
        <v>1174</v>
      </c>
      <c r="M295">
        <v>0</v>
      </c>
      <c r="N295" t="s">
        <v>41</v>
      </c>
      <c r="O295">
        <v>1</v>
      </c>
      <c r="P295">
        <v>0</v>
      </c>
      <c r="Q295">
        <v>0</v>
      </c>
      <c r="R295">
        <v>0</v>
      </c>
      <c r="S295">
        <v>0</v>
      </c>
      <c r="T295">
        <v>0</v>
      </c>
      <c r="U295" s="20">
        <v>45944.622557870367</v>
      </c>
      <c r="V295" s="20">
        <v>46002.06759259259</v>
      </c>
      <c r="Y295">
        <v>0</v>
      </c>
      <c r="Z295" t="s">
        <v>1308</v>
      </c>
      <c r="AA295" t="s">
        <v>312</v>
      </c>
      <c r="AL295" t="s">
        <v>2761</v>
      </c>
      <c r="AO295" t="s">
        <v>312</v>
      </c>
      <c r="AX295" t="s">
        <v>3711</v>
      </c>
    </row>
    <row r="296" spans="1:50" x14ac:dyDescent="0.25">
      <c r="A296" t="s">
        <v>130</v>
      </c>
      <c r="B296" t="s">
        <v>1168</v>
      </c>
      <c r="C296" t="s">
        <v>1332</v>
      </c>
      <c r="D296" t="s">
        <v>3346</v>
      </c>
      <c r="E296">
        <v>1</v>
      </c>
      <c r="F296">
        <v>1</v>
      </c>
      <c r="H296" t="s">
        <v>1307</v>
      </c>
      <c r="I296" t="s">
        <v>1308</v>
      </c>
      <c r="J296" t="s">
        <v>1172</v>
      </c>
      <c r="K296" t="s">
        <v>1173</v>
      </c>
      <c r="L296" t="s">
        <v>1174</v>
      </c>
      <c r="M296">
        <v>0</v>
      </c>
      <c r="N296" t="s">
        <v>50</v>
      </c>
      <c r="O296">
        <v>1</v>
      </c>
      <c r="P296">
        <v>0</v>
      </c>
      <c r="Q296">
        <v>0</v>
      </c>
      <c r="R296">
        <v>0</v>
      </c>
      <c r="S296">
        <v>0</v>
      </c>
      <c r="T296">
        <v>0</v>
      </c>
      <c r="U296" s="20">
        <v>45944.622615740744</v>
      </c>
      <c r="V296" s="20">
        <v>46077.993206018517</v>
      </c>
      <c r="Y296">
        <v>0</v>
      </c>
      <c r="Z296" t="s">
        <v>1308</v>
      </c>
      <c r="AA296" t="s">
        <v>48</v>
      </c>
      <c r="AL296" t="s">
        <v>2535</v>
      </c>
      <c r="AO296" t="s">
        <v>48</v>
      </c>
      <c r="AP296" t="s">
        <v>62</v>
      </c>
      <c r="AQ296" t="s">
        <v>3070</v>
      </c>
      <c r="AR296" t="s">
        <v>51</v>
      </c>
      <c r="AV296" t="s">
        <v>3071</v>
      </c>
      <c r="AW296" t="s">
        <v>3267</v>
      </c>
      <c r="AX296" t="s">
        <v>3712</v>
      </c>
    </row>
    <row r="297" spans="1:50" x14ac:dyDescent="0.25">
      <c r="A297" t="s">
        <v>131</v>
      </c>
      <c r="B297" t="s">
        <v>1168</v>
      </c>
      <c r="C297" t="s">
        <v>1333</v>
      </c>
      <c r="D297" t="s">
        <v>3414</v>
      </c>
      <c r="E297">
        <v>1</v>
      </c>
      <c r="F297">
        <v>1</v>
      </c>
      <c r="H297" t="s">
        <v>1307</v>
      </c>
      <c r="I297" t="s">
        <v>1308</v>
      </c>
      <c r="J297" t="s">
        <v>1172</v>
      </c>
      <c r="K297" t="s">
        <v>1173</v>
      </c>
      <c r="L297" t="s">
        <v>1174</v>
      </c>
      <c r="M297">
        <v>0</v>
      </c>
      <c r="N297" t="s">
        <v>50</v>
      </c>
      <c r="O297">
        <v>1</v>
      </c>
      <c r="P297">
        <v>0</v>
      </c>
      <c r="Q297">
        <v>0</v>
      </c>
      <c r="R297">
        <v>0</v>
      </c>
      <c r="S297">
        <v>0</v>
      </c>
      <c r="T297">
        <v>0</v>
      </c>
      <c r="U297" s="20">
        <v>45944.622627314813</v>
      </c>
      <c r="V297" s="20">
        <v>46078.824803240743</v>
      </c>
      <c r="Y297">
        <v>0</v>
      </c>
      <c r="Z297" t="s">
        <v>1308</v>
      </c>
      <c r="AA297" t="s">
        <v>48</v>
      </c>
      <c r="AL297" t="s">
        <v>2537</v>
      </c>
      <c r="AO297" t="s">
        <v>48</v>
      </c>
      <c r="AP297" t="s">
        <v>62</v>
      </c>
      <c r="AQ297" t="s">
        <v>3407</v>
      </c>
      <c r="AR297" t="s">
        <v>89</v>
      </c>
      <c r="AV297" t="s">
        <v>3408</v>
      </c>
      <c r="AW297" t="s">
        <v>3415</v>
      </c>
      <c r="AX297" t="s">
        <v>3713</v>
      </c>
    </row>
    <row r="298" spans="1:50" x14ac:dyDescent="0.25">
      <c r="A298" t="s">
        <v>133</v>
      </c>
      <c r="B298" t="s">
        <v>1168</v>
      </c>
      <c r="C298" t="s">
        <v>1334</v>
      </c>
      <c r="E298">
        <v>1</v>
      </c>
      <c r="F298">
        <v>1</v>
      </c>
      <c r="H298" t="s">
        <v>1307</v>
      </c>
      <c r="I298" t="s">
        <v>1308</v>
      </c>
      <c r="J298" t="s">
        <v>1172</v>
      </c>
      <c r="K298" t="s">
        <v>1173</v>
      </c>
      <c r="L298" t="s">
        <v>1174</v>
      </c>
      <c r="M298">
        <v>0</v>
      </c>
      <c r="N298" t="s">
        <v>87</v>
      </c>
      <c r="O298">
        <v>1</v>
      </c>
      <c r="P298">
        <v>0</v>
      </c>
      <c r="Q298">
        <v>0</v>
      </c>
      <c r="R298">
        <v>0</v>
      </c>
      <c r="S298">
        <v>0</v>
      </c>
      <c r="T298">
        <v>0</v>
      </c>
      <c r="U298" s="20">
        <v>45944.622650462959</v>
      </c>
      <c r="V298" s="20">
        <v>46002.067569444444</v>
      </c>
      <c r="Y298">
        <v>0</v>
      </c>
      <c r="Z298" t="s">
        <v>1308</v>
      </c>
      <c r="AA298" t="s">
        <v>48</v>
      </c>
      <c r="AL298" t="s">
        <v>2538</v>
      </c>
      <c r="AM298" t="s">
        <v>37</v>
      </c>
      <c r="AN298" t="s">
        <v>113</v>
      </c>
      <c r="AO298" t="s">
        <v>48</v>
      </c>
      <c r="AP298" t="s">
        <v>62</v>
      </c>
      <c r="AQ298" t="s">
        <v>134</v>
      </c>
      <c r="AR298" t="s">
        <v>73</v>
      </c>
      <c r="AV298" t="s">
        <v>136</v>
      </c>
      <c r="AW298" t="s">
        <v>135</v>
      </c>
      <c r="AX298" t="s">
        <v>3714</v>
      </c>
    </row>
    <row r="299" spans="1:50" x14ac:dyDescent="0.25">
      <c r="A299" t="s">
        <v>137</v>
      </c>
      <c r="B299" t="s">
        <v>1168</v>
      </c>
      <c r="C299" t="s">
        <v>1335</v>
      </c>
      <c r="D299" t="s">
        <v>3212</v>
      </c>
      <c r="E299">
        <v>1</v>
      </c>
      <c r="F299">
        <v>1</v>
      </c>
      <c r="H299" t="s">
        <v>1307</v>
      </c>
      <c r="I299" t="s">
        <v>1308</v>
      </c>
      <c r="J299" t="s">
        <v>1172</v>
      </c>
      <c r="K299" t="s">
        <v>1173</v>
      </c>
      <c r="L299" t="s">
        <v>1174</v>
      </c>
      <c r="M299">
        <v>0</v>
      </c>
      <c r="N299" t="s">
        <v>50</v>
      </c>
      <c r="O299">
        <v>1</v>
      </c>
      <c r="P299">
        <v>0</v>
      </c>
      <c r="Q299">
        <v>0</v>
      </c>
      <c r="R299">
        <v>0</v>
      </c>
      <c r="S299">
        <v>0</v>
      </c>
      <c r="T299">
        <v>0</v>
      </c>
      <c r="U299" s="20">
        <v>45944.622662037036</v>
      </c>
      <c r="V299" s="20">
        <v>46071.947118055556</v>
      </c>
      <c r="Y299">
        <v>0</v>
      </c>
      <c r="Z299" t="s">
        <v>1308</v>
      </c>
      <c r="AA299" t="s">
        <v>48</v>
      </c>
      <c r="AL299" t="s">
        <v>2975</v>
      </c>
      <c r="AM299" t="s">
        <v>37</v>
      </c>
      <c r="AO299" t="s">
        <v>48</v>
      </c>
      <c r="AP299" t="s">
        <v>3126</v>
      </c>
      <c r="AQ299" t="s">
        <v>3411</v>
      </c>
      <c r="AR299" t="s">
        <v>89</v>
      </c>
      <c r="AV299" t="s">
        <v>3174</v>
      </c>
      <c r="AW299" t="s">
        <v>3173</v>
      </c>
      <c r="AX299" t="s">
        <v>3715</v>
      </c>
    </row>
    <row r="300" spans="1:50" x14ac:dyDescent="0.25">
      <c r="A300" t="s">
        <v>138</v>
      </c>
      <c r="B300" t="s">
        <v>1168</v>
      </c>
      <c r="C300" t="s">
        <v>1336</v>
      </c>
      <c r="D300" t="s">
        <v>3290</v>
      </c>
      <c r="E300">
        <v>1</v>
      </c>
      <c r="F300">
        <v>1</v>
      </c>
      <c r="H300" t="s">
        <v>1307</v>
      </c>
      <c r="I300" t="s">
        <v>1308</v>
      </c>
      <c r="J300" t="s">
        <v>1172</v>
      </c>
      <c r="K300" t="s">
        <v>1173</v>
      </c>
      <c r="L300" t="s">
        <v>1174</v>
      </c>
      <c r="M300">
        <v>0</v>
      </c>
      <c r="N300" t="s">
        <v>87</v>
      </c>
      <c r="O300">
        <v>1</v>
      </c>
      <c r="P300">
        <v>0</v>
      </c>
      <c r="Q300">
        <v>0</v>
      </c>
      <c r="R300">
        <v>0</v>
      </c>
      <c r="S300">
        <v>0</v>
      </c>
      <c r="T300">
        <v>0</v>
      </c>
      <c r="U300" s="20">
        <v>45944.622673611113</v>
      </c>
      <c r="V300" s="20">
        <v>46077.993206018517</v>
      </c>
      <c r="Y300">
        <v>0</v>
      </c>
      <c r="Z300" t="s">
        <v>1308</v>
      </c>
      <c r="AA300" t="s">
        <v>48</v>
      </c>
      <c r="AL300" t="s">
        <v>2539</v>
      </c>
      <c r="AO300" t="s">
        <v>48</v>
      </c>
      <c r="AP300" t="s">
        <v>62</v>
      </c>
      <c r="AQ300" t="s">
        <v>2925</v>
      </c>
      <c r="AR300" t="s">
        <v>73</v>
      </c>
      <c r="AV300" t="s">
        <v>3286</v>
      </c>
      <c r="AW300" t="s">
        <v>140</v>
      </c>
      <c r="AX300" t="s">
        <v>3716</v>
      </c>
    </row>
    <row r="301" spans="1:50" x14ac:dyDescent="0.25">
      <c r="A301" t="s">
        <v>141</v>
      </c>
      <c r="B301" t="s">
        <v>1168</v>
      </c>
      <c r="C301" t="s">
        <v>1337</v>
      </c>
      <c r="D301" t="s">
        <v>3213</v>
      </c>
      <c r="E301">
        <v>1</v>
      </c>
      <c r="F301">
        <v>1</v>
      </c>
      <c r="H301" t="s">
        <v>1307</v>
      </c>
      <c r="I301" t="s">
        <v>1308</v>
      </c>
      <c r="J301" t="s">
        <v>1172</v>
      </c>
      <c r="K301" t="s">
        <v>1173</v>
      </c>
      <c r="L301" t="s">
        <v>1174</v>
      </c>
      <c r="M301">
        <v>0</v>
      </c>
      <c r="N301" t="s">
        <v>41</v>
      </c>
      <c r="O301">
        <v>1</v>
      </c>
      <c r="P301">
        <v>0</v>
      </c>
      <c r="Q301">
        <v>0</v>
      </c>
      <c r="R301">
        <v>0</v>
      </c>
      <c r="S301">
        <v>0</v>
      </c>
      <c r="T301">
        <v>0</v>
      </c>
      <c r="U301" s="20">
        <v>45944.622696759259</v>
      </c>
      <c r="V301" s="20">
        <v>46071.945763888885</v>
      </c>
      <c r="Y301">
        <v>0</v>
      </c>
      <c r="Z301" t="s">
        <v>1308</v>
      </c>
      <c r="AA301" t="s">
        <v>48</v>
      </c>
      <c r="AL301" t="s">
        <v>2976</v>
      </c>
      <c r="AO301" t="s">
        <v>48</v>
      </c>
      <c r="AP301" t="s">
        <v>62</v>
      </c>
      <c r="AX301" t="s">
        <v>3717</v>
      </c>
    </row>
    <row r="302" spans="1:50" x14ac:dyDescent="0.25">
      <c r="A302" t="s">
        <v>142</v>
      </c>
      <c r="B302" t="s">
        <v>1168</v>
      </c>
      <c r="C302" t="s">
        <v>1338</v>
      </c>
      <c r="D302" t="s">
        <v>2970</v>
      </c>
      <c r="E302">
        <v>1</v>
      </c>
      <c r="F302">
        <v>1</v>
      </c>
      <c r="H302" t="s">
        <v>1307</v>
      </c>
      <c r="I302" t="s">
        <v>1308</v>
      </c>
      <c r="J302" t="s">
        <v>1172</v>
      </c>
      <c r="K302" t="s">
        <v>1173</v>
      </c>
      <c r="L302" t="s">
        <v>1174</v>
      </c>
      <c r="M302">
        <v>0</v>
      </c>
      <c r="N302" t="s">
        <v>41</v>
      </c>
      <c r="O302">
        <v>1</v>
      </c>
      <c r="P302">
        <v>0</v>
      </c>
      <c r="Q302">
        <v>0</v>
      </c>
      <c r="R302">
        <v>0</v>
      </c>
      <c r="S302">
        <v>0</v>
      </c>
      <c r="T302">
        <v>0</v>
      </c>
      <c r="U302" s="20">
        <v>45944.622719907406</v>
      </c>
      <c r="V302" s="20">
        <v>46050.675393518519</v>
      </c>
      <c r="Y302">
        <v>0</v>
      </c>
      <c r="Z302" t="s">
        <v>1308</v>
      </c>
      <c r="AA302" t="s">
        <v>48</v>
      </c>
      <c r="AL302" t="s">
        <v>2977</v>
      </c>
      <c r="AO302" t="s">
        <v>48</v>
      </c>
      <c r="AX302" t="s">
        <v>3718</v>
      </c>
    </row>
    <row r="303" spans="1:50" x14ac:dyDescent="0.25">
      <c r="A303" t="s">
        <v>143</v>
      </c>
      <c r="B303" t="s">
        <v>1168</v>
      </c>
      <c r="C303" t="s">
        <v>1339</v>
      </c>
      <c r="D303" t="s">
        <v>3290</v>
      </c>
      <c r="E303">
        <v>1</v>
      </c>
      <c r="F303">
        <v>1</v>
      </c>
      <c r="H303" t="s">
        <v>1307</v>
      </c>
      <c r="I303" t="s">
        <v>1308</v>
      </c>
      <c r="J303" t="s">
        <v>1172</v>
      </c>
      <c r="K303" t="s">
        <v>1173</v>
      </c>
      <c r="L303" t="s">
        <v>1174</v>
      </c>
      <c r="M303">
        <v>0</v>
      </c>
      <c r="N303" t="s">
        <v>87</v>
      </c>
      <c r="O303">
        <v>1</v>
      </c>
      <c r="P303">
        <v>0</v>
      </c>
      <c r="Q303">
        <v>0</v>
      </c>
      <c r="R303">
        <v>0</v>
      </c>
      <c r="S303">
        <v>0</v>
      </c>
      <c r="T303">
        <v>0</v>
      </c>
      <c r="U303" s="20">
        <v>45944.622731481482</v>
      </c>
      <c r="V303" s="20">
        <v>46077.99322916667</v>
      </c>
      <c r="Y303">
        <v>0</v>
      </c>
      <c r="Z303" t="s">
        <v>1308</v>
      </c>
      <c r="AA303" t="s">
        <v>48</v>
      </c>
      <c r="AL303" t="s">
        <v>2540</v>
      </c>
      <c r="AO303" t="s">
        <v>48</v>
      </c>
      <c r="AP303" t="s">
        <v>62</v>
      </c>
      <c r="AQ303" t="s">
        <v>2926</v>
      </c>
      <c r="AR303" t="s">
        <v>51</v>
      </c>
      <c r="AV303" t="s">
        <v>3269</v>
      </c>
      <c r="AW303" t="s">
        <v>2930</v>
      </c>
      <c r="AX303" t="s">
        <v>3719</v>
      </c>
    </row>
    <row r="304" spans="1:50" x14ac:dyDescent="0.25">
      <c r="A304" t="s">
        <v>144</v>
      </c>
      <c r="B304" t="s">
        <v>1168</v>
      </c>
      <c r="C304" t="s">
        <v>1340</v>
      </c>
      <c r="E304">
        <v>1</v>
      </c>
      <c r="F304">
        <v>1</v>
      </c>
      <c r="H304" t="s">
        <v>1307</v>
      </c>
      <c r="I304" t="s">
        <v>1308</v>
      </c>
      <c r="J304" t="s">
        <v>1172</v>
      </c>
      <c r="K304" t="s">
        <v>1173</v>
      </c>
      <c r="L304" t="s">
        <v>1174</v>
      </c>
      <c r="M304">
        <v>0</v>
      </c>
      <c r="N304" t="s">
        <v>87</v>
      </c>
      <c r="O304">
        <v>1</v>
      </c>
      <c r="P304">
        <v>0</v>
      </c>
      <c r="Q304">
        <v>0</v>
      </c>
      <c r="R304">
        <v>0</v>
      </c>
      <c r="S304">
        <v>0</v>
      </c>
      <c r="T304">
        <v>0</v>
      </c>
      <c r="U304" s="20">
        <v>45944.622789351852</v>
      </c>
      <c r="V304" s="20">
        <v>46002.067569444444</v>
      </c>
      <c r="Y304">
        <v>0</v>
      </c>
      <c r="Z304" t="s">
        <v>1308</v>
      </c>
      <c r="AA304" t="s">
        <v>48</v>
      </c>
      <c r="AL304" t="s">
        <v>2541</v>
      </c>
      <c r="AO304" t="s">
        <v>48</v>
      </c>
      <c r="AQ304" t="s">
        <v>145</v>
      </c>
      <c r="AR304" t="s">
        <v>73</v>
      </c>
      <c r="AW304" t="s">
        <v>146</v>
      </c>
      <c r="AX304" t="s">
        <v>3720</v>
      </c>
    </row>
    <row r="305" spans="1:50" x14ac:dyDescent="0.25">
      <c r="A305" t="s">
        <v>147</v>
      </c>
      <c r="B305" t="s">
        <v>1168</v>
      </c>
      <c r="C305" t="s">
        <v>1341</v>
      </c>
      <c r="D305" t="s">
        <v>151</v>
      </c>
      <c r="E305">
        <v>1</v>
      </c>
      <c r="F305">
        <v>1</v>
      </c>
      <c r="H305" t="s">
        <v>1307</v>
      </c>
      <c r="I305" t="s">
        <v>1308</v>
      </c>
      <c r="J305" t="s">
        <v>1172</v>
      </c>
      <c r="K305" t="s">
        <v>1173</v>
      </c>
      <c r="L305" t="s">
        <v>1174</v>
      </c>
      <c r="M305">
        <v>0</v>
      </c>
      <c r="N305" t="s">
        <v>41</v>
      </c>
      <c r="O305">
        <v>1</v>
      </c>
      <c r="P305">
        <v>0</v>
      </c>
      <c r="Q305">
        <v>0</v>
      </c>
      <c r="R305">
        <v>0</v>
      </c>
      <c r="S305">
        <v>0</v>
      </c>
      <c r="T305">
        <v>0</v>
      </c>
      <c r="U305" s="20">
        <v>45944.622800925928</v>
      </c>
      <c r="V305" s="20">
        <v>46002.06759259259</v>
      </c>
      <c r="Y305">
        <v>0</v>
      </c>
      <c r="Z305" t="s">
        <v>1308</v>
      </c>
      <c r="AA305" t="s">
        <v>48</v>
      </c>
      <c r="AL305" t="s">
        <v>2543</v>
      </c>
      <c r="AM305" t="s">
        <v>46</v>
      </c>
      <c r="AN305" t="s">
        <v>86</v>
      </c>
      <c r="AO305" t="s">
        <v>48</v>
      </c>
      <c r="AQ305" t="s">
        <v>148</v>
      </c>
      <c r="AR305" t="s">
        <v>89</v>
      </c>
      <c r="AV305" t="s">
        <v>150</v>
      </c>
      <c r="AW305" t="s">
        <v>149</v>
      </c>
      <c r="AX305" t="s">
        <v>3721</v>
      </c>
    </row>
    <row r="306" spans="1:50" x14ac:dyDescent="0.25">
      <c r="A306" t="s">
        <v>152</v>
      </c>
      <c r="B306" t="s">
        <v>1168</v>
      </c>
      <c r="C306" t="s">
        <v>1342</v>
      </c>
      <c r="D306" t="s">
        <v>156</v>
      </c>
      <c r="E306">
        <v>1</v>
      </c>
      <c r="F306">
        <v>1</v>
      </c>
      <c r="H306" t="s">
        <v>1307</v>
      </c>
      <c r="I306" t="s">
        <v>1308</v>
      </c>
      <c r="J306" t="s">
        <v>1172</v>
      </c>
      <c r="K306" t="s">
        <v>1173</v>
      </c>
      <c r="L306" t="s">
        <v>1174</v>
      </c>
      <c r="M306">
        <v>0</v>
      </c>
      <c r="N306" t="s">
        <v>87</v>
      </c>
      <c r="O306">
        <v>1</v>
      </c>
      <c r="P306">
        <v>0</v>
      </c>
      <c r="Q306">
        <v>0</v>
      </c>
      <c r="R306">
        <v>0</v>
      </c>
      <c r="S306">
        <v>0</v>
      </c>
      <c r="T306">
        <v>0</v>
      </c>
      <c r="U306" s="20">
        <v>45944.622824074075</v>
      </c>
      <c r="V306" s="20">
        <v>46002.067569444444</v>
      </c>
      <c r="Y306">
        <v>0</v>
      </c>
      <c r="Z306" t="s">
        <v>1308</v>
      </c>
      <c r="AA306" t="s">
        <v>48</v>
      </c>
      <c r="AL306" t="s">
        <v>2545</v>
      </c>
      <c r="AM306" t="s">
        <v>86</v>
      </c>
      <c r="AN306" t="s">
        <v>120</v>
      </c>
      <c r="AO306" t="s">
        <v>48</v>
      </c>
      <c r="AP306" t="s">
        <v>62</v>
      </c>
      <c r="AQ306" t="s">
        <v>153</v>
      </c>
      <c r="AR306" t="s">
        <v>89</v>
      </c>
      <c r="AV306" t="s">
        <v>155</v>
      </c>
      <c r="AW306" t="s">
        <v>154</v>
      </c>
      <c r="AX306" t="s">
        <v>3722</v>
      </c>
    </row>
    <row r="307" spans="1:50" x14ac:dyDescent="0.25">
      <c r="A307" t="s">
        <v>157</v>
      </c>
      <c r="B307" t="s">
        <v>1168</v>
      </c>
      <c r="C307" t="s">
        <v>1343</v>
      </c>
      <c r="D307" t="s">
        <v>2481</v>
      </c>
      <c r="E307">
        <v>1</v>
      </c>
      <c r="F307">
        <v>1</v>
      </c>
      <c r="H307" t="s">
        <v>1307</v>
      </c>
      <c r="I307" t="s">
        <v>1308</v>
      </c>
      <c r="J307" t="s">
        <v>1172</v>
      </c>
      <c r="K307" t="s">
        <v>1173</v>
      </c>
      <c r="L307" t="s">
        <v>1174</v>
      </c>
      <c r="M307">
        <v>0</v>
      </c>
      <c r="N307" t="s">
        <v>50</v>
      </c>
      <c r="O307">
        <v>1</v>
      </c>
      <c r="P307">
        <v>0</v>
      </c>
      <c r="Q307">
        <v>0</v>
      </c>
      <c r="R307">
        <v>0</v>
      </c>
      <c r="S307">
        <v>0</v>
      </c>
      <c r="T307">
        <v>0</v>
      </c>
      <c r="U307" s="20">
        <v>45944.622835648152</v>
      </c>
      <c r="V307" s="20">
        <v>46036.781469907408</v>
      </c>
      <c r="Y307">
        <v>0</v>
      </c>
      <c r="Z307" t="s">
        <v>1308</v>
      </c>
      <c r="AA307" t="s">
        <v>48</v>
      </c>
      <c r="AL307" t="s">
        <v>2547</v>
      </c>
      <c r="AM307" t="s">
        <v>86</v>
      </c>
      <c r="AN307" t="s">
        <v>120</v>
      </c>
      <c r="AO307" t="s">
        <v>48</v>
      </c>
      <c r="AP307" t="s">
        <v>62</v>
      </c>
      <c r="AQ307" t="s">
        <v>158</v>
      </c>
      <c r="AR307" t="s">
        <v>89</v>
      </c>
      <c r="AV307" t="s">
        <v>160</v>
      </c>
      <c r="AW307" t="s">
        <v>159</v>
      </c>
      <c r="AX307" t="s">
        <v>3723</v>
      </c>
    </row>
    <row r="308" spans="1:50" x14ac:dyDescent="0.25">
      <c r="A308" t="s">
        <v>246</v>
      </c>
      <c r="B308" t="s">
        <v>1168</v>
      </c>
      <c r="C308" t="s">
        <v>1389</v>
      </c>
      <c r="E308">
        <v>1</v>
      </c>
      <c r="F308">
        <v>1</v>
      </c>
      <c r="H308" t="s">
        <v>1307</v>
      </c>
      <c r="I308" t="s">
        <v>1308</v>
      </c>
      <c r="J308" t="s">
        <v>1172</v>
      </c>
      <c r="K308" t="s">
        <v>1173</v>
      </c>
      <c r="L308" t="s">
        <v>1174</v>
      </c>
      <c r="M308">
        <v>0</v>
      </c>
      <c r="N308" t="s">
        <v>50</v>
      </c>
      <c r="O308">
        <v>1</v>
      </c>
      <c r="P308">
        <v>0</v>
      </c>
      <c r="Q308">
        <v>0</v>
      </c>
      <c r="R308">
        <v>0</v>
      </c>
      <c r="S308">
        <v>0</v>
      </c>
      <c r="T308">
        <v>0</v>
      </c>
      <c r="U308" s="20">
        <v>45944.622847222221</v>
      </c>
      <c r="V308" s="20">
        <v>46002.067604166667</v>
      </c>
      <c r="Y308">
        <v>0</v>
      </c>
      <c r="Z308" t="s">
        <v>1308</v>
      </c>
      <c r="AA308" t="s">
        <v>194</v>
      </c>
      <c r="AL308" t="s">
        <v>2609</v>
      </c>
      <c r="AO308" t="s">
        <v>194</v>
      </c>
      <c r="AX308" t="s">
        <v>3724</v>
      </c>
    </row>
    <row r="309" spans="1:50" x14ac:dyDescent="0.25">
      <c r="A309" t="s">
        <v>161</v>
      </c>
      <c r="B309" t="s">
        <v>1168</v>
      </c>
      <c r="C309" t="s">
        <v>1344</v>
      </c>
      <c r="D309" t="s">
        <v>2902</v>
      </c>
      <c r="E309">
        <v>1</v>
      </c>
      <c r="F309">
        <v>1</v>
      </c>
      <c r="H309" t="s">
        <v>1307</v>
      </c>
      <c r="I309" t="s">
        <v>1308</v>
      </c>
      <c r="J309" t="s">
        <v>1172</v>
      </c>
      <c r="K309" t="s">
        <v>1173</v>
      </c>
      <c r="L309" t="s">
        <v>1174</v>
      </c>
      <c r="M309">
        <v>0</v>
      </c>
      <c r="N309" t="s">
        <v>41</v>
      </c>
      <c r="O309">
        <v>1</v>
      </c>
      <c r="P309">
        <v>0</v>
      </c>
      <c r="Q309">
        <v>0</v>
      </c>
      <c r="R309">
        <v>0</v>
      </c>
      <c r="S309">
        <v>0</v>
      </c>
      <c r="T309">
        <v>0</v>
      </c>
      <c r="U309" s="20">
        <v>45944.622870370367</v>
      </c>
      <c r="V309" s="20">
        <v>46036.905972222223</v>
      </c>
      <c r="Y309">
        <v>0</v>
      </c>
      <c r="Z309" t="s">
        <v>1308</v>
      </c>
      <c r="AA309" t="s">
        <v>48</v>
      </c>
      <c r="AL309" t="s">
        <v>2549</v>
      </c>
      <c r="AO309" t="s">
        <v>48</v>
      </c>
      <c r="AX309" t="s">
        <v>3725</v>
      </c>
    </row>
    <row r="310" spans="1:50" x14ac:dyDescent="0.25">
      <c r="A310" t="s">
        <v>54</v>
      </c>
      <c r="B310" t="s">
        <v>1168</v>
      </c>
      <c r="C310" t="s">
        <v>1311</v>
      </c>
      <c r="E310">
        <v>1</v>
      </c>
      <c r="F310">
        <v>1</v>
      </c>
      <c r="H310" t="s">
        <v>1307</v>
      </c>
      <c r="I310" t="s">
        <v>1308</v>
      </c>
      <c r="J310" t="s">
        <v>1172</v>
      </c>
      <c r="K310" t="s">
        <v>1173</v>
      </c>
      <c r="L310" t="s">
        <v>1174</v>
      </c>
      <c r="M310">
        <v>0</v>
      </c>
      <c r="N310" t="s">
        <v>50</v>
      </c>
      <c r="O310">
        <v>1</v>
      </c>
      <c r="P310">
        <v>0</v>
      </c>
      <c r="Q310">
        <v>0</v>
      </c>
      <c r="R310">
        <v>0</v>
      </c>
      <c r="S310">
        <v>0</v>
      </c>
      <c r="T310">
        <v>0</v>
      </c>
      <c r="U310" s="20">
        <v>45944.622881944444</v>
      </c>
      <c r="V310" s="20">
        <v>46002.067557870374</v>
      </c>
      <c r="Y310">
        <v>0</v>
      </c>
      <c r="Z310" t="s">
        <v>1308</v>
      </c>
      <c r="AA310" t="s">
        <v>1312</v>
      </c>
      <c r="AL310" t="s">
        <v>2506</v>
      </c>
      <c r="AO310" t="s">
        <v>55</v>
      </c>
      <c r="AX310" t="s">
        <v>3726</v>
      </c>
    </row>
    <row r="311" spans="1:50" x14ac:dyDescent="0.25">
      <c r="A311" t="s">
        <v>182</v>
      </c>
      <c r="B311" t="s">
        <v>1168</v>
      </c>
      <c r="C311" t="s">
        <v>1354</v>
      </c>
      <c r="D311" t="s">
        <v>3229</v>
      </c>
      <c r="E311">
        <v>1</v>
      </c>
      <c r="F311">
        <v>1</v>
      </c>
      <c r="H311" t="s">
        <v>1307</v>
      </c>
      <c r="I311" t="s">
        <v>1308</v>
      </c>
      <c r="J311" t="s">
        <v>1172</v>
      </c>
      <c r="K311" t="s">
        <v>1173</v>
      </c>
      <c r="L311" t="s">
        <v>1174</v>
      </c>
      <c r="M311">
        <v>0</v>
      </c>
      <c r="N311" t="s">
        <v>50</v>
      </c>
      <c r="O311">
        <v>1</v>
      </c>
      <c r="P311">
        <v>0</v>
      </c>
      <c r="Q311">
        <v>0</v>
      </c>
      <c r="R311">
        <v>0</v>
      </c>
      <c r="S311">
        <v>0</v>
      </c>
      <c r="T311">
        <v>0</v>
      </c>
      <c r="U311" s="20">
        <v>45944.622893518521</v>
      </c>
      <c r="V311" s="20">
        <v>46077.993206018517</v>
      </c>
      <c r="Y311">
        <v>0</v>
      </c>
      <c r="Z311" t="s">
        <v>1308</v>
      </c>
      <c r="AA311" t="s">
        <v>179</v>
      </c>
      <c r="AL311" t="s">
        <v>2569</v>
      </c>
      <c r="AO311" t="s">
        <v>179</v>
      </c>
      <c r="AP311" t="s">
        <v>62</v>
      </c>
      <c r="AQ311" t="s">
        <v>183</v>
      </c>
      <c r="AR311" t="s">
        <v>51</v>
      </c>
      <c r="AV311" t="s">
        <v>3347</v>
      </c>
      <c r="AW311" t="s">
        <v>3227</v>
      </c>
      <c r="AX311" t="s">
        <v>3727</v>
      </c>
    </row>
    <row r="312" spans="1:50" x14ac:dyDescent="0.25">
      <c r="A312" t="s">
        <v>184</v>
      </c>
      <c r="B312" t="s">
        <v>1168</v>
      </c>
      <c r="C312" t="s">
        <v>1355</v>
      </c>
      <c r="E312">
        <v>1</v>
      </c>
      <c r="F312">
        <v>1</v>
      </c>
      <c r="H312" t="s">
        <v>1307</v>
      </c>
      <c r="I312" t="s">
        <v>1308</v>
      </c>
      <c r="J312" t="s">
        <v>1172</v>
      </c>
      <c r="K312" t="s">
        <v>1173</v>
      </c>
      <c r="L312" t="s">
        <v>1174</v>
      </c>
      <c r="M312">
        <v>0</v>
      </c>
      <c r="N312" t="s">
        <v>50</v>
      </c>
      <c r="O312">
        <v>1</v>
      </c>
      <c r="P312">
        <v>0</v>
      </c>
      <c r="Q312">
        <v>0</v>
      </c>
      <c r="R312">
        <v>0</v>
      </c>
      <c r="S312">
        <v>0</v>
      </c>
      <c r="T312">
        <v>0</v>
      </c>
      <c r="U312" s="20">
        <v>45944.62290509259</v>
      </c>
      <c r="V312" s="20">
        <v>46002.067546296297</v>
      </c>
      <c r="Y312">
        <v>0</v>
      </c>
      <c r="Z312" t="s">
        <v>1308</v>
      </c>
      <c r="AA312" t="s">
        <v>179</v>
      </c>
      <c r="AL312" t="s">
        <v>2571</v>
      </c>
      <c r="AO312" t="s">
        <v>179</v>
      </c>
      <c r="AQ312" t="s">
        <v>185</v>
      </c>
      <c r="AR312" t="s">
        <v>73</v>
      </c>
      <c r="AV312" t="s">
        <v>3234</v>
      </c>
      <c r="AW312" t="s">
        <v>186</v>
      </c>
      <c r="AX312" t="s">
        <v>3728</v>
      </c>
    </row>
    <row r="313" spans="1:50" x14ac:dyDescent="0.25">
      <c r="A313" t="s">
        <v>187</v>
      </c>
      <c r="B313" t="s">
        <v>1168</v>
      </c>
      <c r="C313" t="s">
        <v>1356</v>
      </c>
      <c r="D313" t="s">
        <v>3292</v>
      </c>
      <c r="E313">
        <v>1</v>
      </c>
      <c r="F313">
        <v>1</v>
      </c>
      <c r="H313" t="s">
        <v>1307</v>
      </c>
      <c r="I313" t="s">
        <v>1308</v>
      </c>
      <c r="J313" t="s">
        <v>1172</v>
      </c>
      <c r="K313" t="s">
        <v>1173</v>
      </c>
      <c r="L313" t="s">
        <v>1174</v>
      </c>
      <c r="M313">
        <v>0</v>
      </c>
      <c r="N313" t="s">
        <v>50</v>
      </c>
      <c r="O313">
        <v>1</v>
      </c>
      <c r="P313">
        <v>0</v>
      </c>
      <c r="Q313">
        <v>0</v>
      </c>
      <c r="R313">
        <v>0</v>
      </c>
      <c r="S313">
        <v>0</v>
      </c>
      <c r="T313">
        <v>0</v>
      </c>
      <c r="U313" s="20">
        <v>45944.622928240744</v>
      </c>
      <c r="V313" s="20">
        <v>46077.993206018517</v>
      </c>
      <c r="Y313">
        <v>0</v>
      </c>
      <c r="Z313" t="s">
        <v>1308</v>
      </c>
      <c r="AA313" t="s">
        <v>163</v>
      </c>
      <c r="AL313" t="s">
        <v>2573</v>
      </c>
      <c r="AO313" t="s">
        <v>163</v>
      </c>
      <c r="AP313" t="s">
        <v>164</v>
      </c>
      <c r="AQ313" t="s">
        <v>188</v>
      </c>
      <c r="AR313" t="s">
        <v>73</v>
      </c>
      <c r="AV313" t="s">
        <v>3348</v>
      </c>
      <c r="AW313" t="s">
        <v>189</v>
      </c>
      <c r="AX313" t="s">
        <v>3729</v>
      </c>
    </row>
    <row r="314" spans="1:50" x14ac:dyDescent="0.25">
      <c r="A314" t="s">
        <v>247</v>
      </c>
      <c r="B314" t="s">
        <v>1168</v>
      </c>
      <c r="C314" t="s">
        <v>1390</v>
      </c>
      <c r="E314">
        <v>1</v>
      </c>
      <c r="F314">
        <v>1</v>
      </c>
      <c r="H314" t="s">
        <v>1307</v>
      </c>
      <c r="I314" t="s">
        <v>1308</v>
      </c>
      <c r="J314" t="s">
        <v>1172</v>
      </c>
      <c r="K314" t="s">
        <v>1173</v>
      </c>
      <c r="L314" t="s">
        <v>1174</v>
      </c>
      <c r="M314">
        <v>0</v>
      </c>
      <c r="N314" t="s">
        <v>50</v>
      </c>
      <c r="O314">
        <v>1</v>
      </c>
      <c r="P314">
        <v>0</v>
      </c>
      <c r="Q314">
        <v>0</v>
      </c>
      <c r="R314">
        <v>0</v>
      </c>
      <c r="S314">
        <v>0</v>
      </c>
      <c r="T314">
        <v>0</v>
      </c>
      <c r="U314" s="20">
        <v>45945.658194444448</v>
      </c>
      <c r="V314" s="20">
        <v>46002.067604166667</v>
      </c>
      <c r="Y314">
        <v>0</v>
      </c>
      <c r="Z314" t="s">
        <v>1308</v>
      </c>
      <c r="AA314" t="s">
        <v>194</v>
      </c>
      <c r="AL314" t="s">
        <v>2611</v>
      </c>
      <c r="AO314" t="s">
        <v>194</v>
      </c>
      <c r="AX314" t="s">
        <v>3730</v>
      </c>
    </row>
    <row r="315" spans="1:50" x14ac:dyDescent="0.25">
      <c r="A315" t="s">
        <v>248</v>
      </c>
      <c r="B315" t="s">
        <v>1168</v>
      </c>
      <c r="C315" t="s">
        <v>1391</v>
      </c>
      <c r="E315">
        <v>1</v>
      </c>
      <c r="F315">
        <v>1</v>
      </c>
      <c r="H315" t="s">
        <v>1307</v>
      </c>
      <c r="I315" t="s">
        <v>1308</v>
      </c>
      <c r="J315" t="s">
        <v>1172</v>
      </c>
      <c r="K315" t="s">
        <v>1173</v>
      </c>
      <c r="L315" t="s">
        <v>1174</v>
      </c>
      <c r="M315">
        <v>0</v>
      </c>
      <c r="N315" t="s">
        <v>50</v>
      </c>
      <c r="O315">
        <v>1</v>
      </c>
      <c r="P315">
        <v>0</v>
      </c>
      <c r="Q315">
        <v>0</v>
      </c>
      <c r="R315">
        <v>0</v>
      </c>
      <c r="S315">
        <v>0</v>
      </c>
      <c r="T315">
        <v>0</v>
      </c>
      <c r="U315" s="20">
        <v>45945.658229166664</v>
      </c>
      <c r="V315" s="20">
        <v>46002.06758101852</v>
      </c>
      <c r="Y315">
        <v>0</v>
      </c>
      <c r="Z315" t="s">
        <v>1308</v>
      </c>
      <c r="AA315" t="s">
        <v>194</v>
      </c>
      <c r="AL315" t="s">
        <v>2612</v>
      </c>
      <c r="AO315" t="s">
        <v>194</v>
      </c>
      <c r="AX315" t="s">
        <v>3731</v>
      </c>
    </row>
    <row r="316" spans="1:50" x14ac:dyDescent="0.25">
      <c r="A316" t="s">
        <v>190</v>
      </c>
      <c r="B316" t="s">
        <v>1168</v>
      </c>
      <c r="C316" t="s">
        <v>1357</v>
      </c>
      <c r="D316" t="s">
        <v>2484</v>
      </c>
      <c r="E316">
        <v>1</v>
      </c>
      <c r="F316">
        <v>1</v>
      </c>
      <c r="H316" t="s">
        <v>1307</v>
      </c>
      <c r="I316" t="s">
        <v>1308</v>
      </c>
      <c r="J316" t="s">
        <v>1172</v>
      </c>
      <c r="K316" t="s">
        <v>1173</v>
      </c>
      <c r="L316" t="s">
        <v>1174</v>
      </c>
      <c r="M316">
        <v>0</v>
      </c>
      <c r="N316" t="s">
        <v>41</v>
      </c>
      <c r="O316">
        <v>1</v>
      </c>
      <c r="P316">
        <v>0</v>
      </c>
      <c r="Q316">
        <v>0</v>
      </c>
      <c r="R316">
        <v>0</v>
      </c>
      <c r="S316">
        <v>0</v>
      </c>
      <c r="T316">
        <v>0</v>
      </c>
      <c r="U316" s="20">
        <v>45945.658252314817</v>
      </c>
      <c r="V316" s="20">
        <v>46036.796782407408</v>
      </c>
      <c r="Y316">
        <v>0</v>
      </c>
      <c r="Z316" t="s">
        <v>1308</v>
      </c>
      <c r="AA316" t="s">
        <v>163</v>
      </c>
      <c r="AL316" t="s">
        <v>2575</v>
      </c>
      <c r="AO316" t="s">
        <v>163</v>
      </c>
      <c r="AQ316" t="s">
        <v>191</v>
      </c>
      <c r="AR316" t="s">
        <v>89</v>
      </c>
      <c r="AW316" t="s">
        <v>192</v>
      </c>
      <c r="AX316" t="s">
        <v>3732</v>
      </c>
    </row>
    <row r="317" spans="1:50" x14ac:dyDescent="0.25">
      <c r="A317" t="s">
        <v>193</v>
      </c>
      <c r="B317" t="s">
        <v>1168</v>
      </c>
      <c r="C317" t="s">
        <v>1358</v>
      </c>
      <c r="E317">
        <v>1</v>
      </c>
      <c r="F317">
        <v>1</v>
      </c>
      <c r="H317" t="s">
        <v>1307</v>
      </c>
      <c r="I317" t="s">
        <v>1308</v>
      </c>
      <c r="J317" t="s">
        <v>1172</v>
      </c>
      <c r="K317" t="s">
        <v>1173</v>
      </c>
      <c r="L317" t="s">
        <v>1174</v>
      </c>
      <c r="M317">
        <v>0</v>
      </c>
      <c r="N317" t="s">
        <v>50</v>
      </c>
      <c r="O317">
        <v>1</v>
      </c>
      <c r="P317">
        <v>0</v>
      </c>
      <c r="Q317">
        <v>0</v>
      </c>
      <c r="R317">
        <v>0</v>
      </c>
      <c r="S317">
        <v>0</v>
      </c>
      <c r="T317">
        <v>0</v>
      </c>
      <c r="U317" s="20">
        <v>45945.658263888887</v>
      </c>
      <c r="V317" s="20">
        <v>46002.06759259259</v>
      </c>
      <c r="Y317">
        <v>0</v>
      </c>
      <c r="Z317" t="s">
        <v>1308</v>
      </c>
      <c r="AA317" t="s">
        <v>194</v>
      </c>
      <c r="AL317" t="s">
        <v>2577</v>
      </c>
      <c r="AO317" t="s">
        <v>194</v>
      </c>
      <c r="AX317" t="s">
        <v>3733</v>
      </c>
    </row>
    <row r="318" spans="1:50" x14ac:dyDescent="0.25">
      <c r="A318" t="s">
        <v>249</v>
      </c>
      <c r="B318" t="s">
        <v>1168</v>
      </c>
      <c r="C318" t="s">
        <v>1392</v>
      </c>
      <c r="E318">
        <v>1</v>
      </c>
      <c r="F318">
        <v>1</v>
      </c>
      <c r="H318" t="s">
        <v>1307</v>
      </c>
      <c r="I318" t="s">
        <v>1308</v>
      </c>
      <c r="J318" t="s">
        <v>1172</v>
      </c>
      <c r="K318" t="s">
        <v>1173</v>
      </c>
      <c r="L318" t="s">
        <v>1174</v>
      </c>
      <c r="M318">
        <v>0</v>
      </c>
      <c r="N318" t="s">
        <v>50</v>
      </c>
      <c r="O318">
        <v>1</v>
      </c>
      <c r="P318">
        <v>0</v>
      </c>
      <c r="Q318">
        <v>0</v>
      </c>
      <c r="R318">
        <v>0</v>
      </c>
      <c r="S318">
        <v>0</v>
      </c>
      <c r="T318">
        <v>0</v>
      </c>
      <c r="U318" s="20">
        <v>45945.658275462964</v>
      </c>
      <c r="V318" s="20">
        <v>46002.067557870374</v>
      </c>
      <c r="Y318">
        <v>0</v>
      </c>
      <c r="Z318" t="s">
        <v>1308</v>
      </c>
      <c r="AA318" t="s">
        <v>194</v>
      </c>
      <c r="AL318" t="s">
        <v>2613</v>
      </c>
      <c r="AO318" t="s">
        <v>194</v>
      </c>
      <c r="AX318" t="s">
        <v>3734</v>
      </c>
    </row>
    <row r="319" spans="1:50" x14ac:dyDescent="0.25">
      <c r="A319" t="s">
        <v>250</v>
      </c>
      <c r="B319" t="s">
        <v>1168</v>
      </c>
      <c r="C319" t="s">
        <v>1393</v>
      </c>
      <c r="E319">
        <v>1</v>
      </c>
      <c r="F319">
        <v>1</v>
      </c>
      <c r="H319" t="s">
        <v>1307</v>
      </c>
      <c r="I319" t="s">
        <v>1308</v>
      </c>
      <c r="J319" t="s">
        <v>1172</v>
      </c>
      <c r="K319" t="s">
        <v>1173</v>
      </c>
      <c r="L319" t="s">
        <v>1174</v>
      </c>
      <c r="M319">
        <v>0</v>
      </c>
      <c r="N319" t="s">
        <v>50</v>
      </c>
      <c r="O319">
        <v>1</v>
      </c>
      <c r="P319">
        <v>0</v>
      </c>
      <c r="Q319">
        <v>0</v>
      </c>
      <c r="R319">
        <v>0</v>
      </c>
      <c r="S319">
        <v>0</v>
      </c>
      <c r="T319">
        <v>0</v>
      </c>
      <c r="U319" s="20">
        <v>45945.65828703704</v>
      </c>
      <c r="V319" s="20">
        <v>46002.06759259259</v>
      </c>
      <c r="Y319">
        <v>0</v>
      </c>
      <c r="Z319" t="s">
        <v>1308</v>
      </c>
      <c r="AA319" t="s">
        <v>194</v>
      </c>
      <c r="AL319" t="s">
        <v>2614</v>
      </c>
      <c r="AO319" t="s">
        <v>194</v>
      </c>
      <c r="AX319" t="s">
        <v>3735</v>
      </c>
    </row>
    <row r="320" spans="1:50" x14ac:dyDescent="0.25">
      <c r="A320" t="s">
        <v>195</v>
      </c>
      <c r="B320" t="s">
        <v>1168</v>
      </c>
      <c r="C320" t="s">
        <v>1359</v>
      </c>
      <c r="E320">
        <v>1</v>
      </c>
      <c r="F320">
        <v>1</v>
      </c>
      <c r="H320" t="s">
        <v>1307</v>
      </c>
      <c r="I320" t="s">
        <v>1308</v>
      </c>
      <c r="J320" t="s">
        <v>1172</v>
      </c>
      <c r="K320" t="s">
        <v>1173</v>
      </c>
      <c r="L320" t="s">
        <v>1174</v>
      </c>
      <c r="M320">
        <v>0</v>
      </c>
      <c r="N320" t="s">
        <v>50</v>
      </c>
      <c r="O320">
        <v>1</v>
      </c>
      <c r="P320">
        <v>0</v>
      </c>
      <c r="Q320">
        <v>0</v>
      </c>
      <c r="R320">
        <v>0</v>
      </c>
      <c r="S320">
        <v>0</v>
      </c>
      <c r="T320">
        <v>0</v>
      </c>
      <c r="U320" s="20">
        <v>45945.65829861111</v>
      </c>
      <c r="V320" s="20">
        <v>46002.067615740743</v>
      </c>
      <c r="Y320">
        <v>0</v>
      </c>
      <c r="Z320" t="s">
        <v>1308</v>
      </c>
      <c r="AA320" t="s">
        <v>194</v>
      </c>
      <c r="AL320" t="s">
        <v>2579</v>
      </c>
      <c r="AO320" t="s">
        <v>194</v>
      </c>
      <c r="AX320" t="s">
        <v>3736</v>
      </c>
    </row>
    <row r="321" spans="1:50" x14ac:dyDescent="0.25">
      <c r="A321" t="s">
        <v>196</v>
      </c>
      <c r="B321" t="s">
        <v>1168</v>
      </c>
      <c r="C321" t="s">
        <v>1360</v>
      </c>
      <c r="D321" t="s">
        <v>3210</v>
      </c>
      <c r="E321">
        <v>1</v>
      </c>
      <c r="F321">
        <v>1</v>
      </c>
      <c r="H321" t="s">
        <v>1307</v>
      </c>
      <c r="I321" t="s">
        <v>1308</v>
      </c>
      <c r="J321" t="s">
        <v>1172</v>
      </c>
      <c r="K321" t="s">
        <v>1173</v>
      </c>
      <c r="L321" t="s">
        <v>1174</v>
      </c>
      <c r="M321">
        <v>0</v>
      </c>
      <c r="N321" t="s">
        <v>50</v>
      </c>
      <c r="O321">
        <v>1</v>
      </c>
      <c r="P321">
        <v>0</v>
      </c>
      <c r="Q321">
        <v>0</v>
      </c>
      <c r="R321">
        <v>0</v>
      </c>
      <c r="S321">
        <v>0</v>
      </c>
      <c r="T321">
        <v>0</v>
      </c>
      <c r="U321" s="20">
        <v>45945.658321759256</v>
      </c>
      <c r="V321" s="20">
        <v>46071.946493055555</v>
      </c>
      <c r="Y321">
        <v>0</v>
      </c>
      <c r="Z321" t="s">
        <v>1308</v>
      </c>
      <c r="AA321" t="s">
        <v>163</v>
      </c>
      <c r="AL321" t="s">
        <v>2983</v>
      </c>
      <c r="AO321" t="s">
        <v>163</v>
      </c>
      <c r="AP321" t="s">
        <v>3126</v>
      </c>
      <c r="AQ321" t="s">
        <v>3130</v>
      </c>
      <c r="AR321" t="s">
        <v>89</v>
      </c>
      <c r="AV321" t="s">
        <v>3131</v>
      </c>
      <c r="AW321" t="s">
        <v>3120</v>
      </c>
      <c r="AX321" t="s">
        <v>3737</v>
      </c>
    </row>
    <row r="322" spans="1:50" x14ac:dyDescent="0.25">
      <c r="A322" t="s">
        <v>197</v>
      </c>
      <c r="B322" t="s">
        <v>1168</v>
      </c>
      <c r="C322" t="s">
        <v>1361</v>
      </c>
      <c r="D322" t="s">
        <v>3210</v>
      </c>
      <c r="E322">
        <v>1</v>
      </c>
      <c r="F322">
        <v>1</v>
      </c>
      <c r="H322" t="s">
        <v>1307</v>
      </c>
      <c r="I322" t="s">
        <v>1308</v>
      </c>
      <c r="J322" t="s">
        <v>1172</v>
      </c>
      <c r="K322" t="s">
        <v>1173</v>
      </c>
      <c r="L322" t="s">
        <v>1174</v>
      </c>
      <c r="M322">
        <v>0</v>
      </c>
      <c r="N322" t="s">
        <v>50</v>
      </c>
      <c r="O322">
        <v>1</v>
      </c>
      <c r="P322">
        <v>0</v>
      </c>
      <c r="Q322">
        <v>0</v>
      </c>
      <c r="R322">
        <v>0</v>
      </c>
      <c r="S322">
        <v>0</v>
      </c>
      <c r="T322">
        <v>0</v>
      </c>
      <c r="U322" s="20">
        <v>45945.65834490741</v>
      </c>
      <c r="V322" s="20">
        <v>46071.946319444447</v>
      </c>
      <c r="Y322">
        <v>0</v>
      </c>
      <c r="Z322" t="s">
        <v>1308</v>
      </c>
      <c r="AA322" t="s">
        <v>163</v>
      </c>
      <c r="AL322" t="s">
        <v>2984</v>
      </c>
      <c r="AO322" t="s">
        <v>163</v>
      </c>
      <c r="AP322" t="s">
        <v>3126</v>
      </c>
      <c r="AQ322" t="s">
        <v>3132</v>
      </c>
      <c r="AR322" t="s">
        <v>89</v>
      </c>
      <c r="AV322" t="s">
        <v>3133</v>
      </c>
      <c r="AW322" t="s">
        <v>3121</v>
      </c>
      <c r="AX322" t="s">
        <v>3738</v>
      </c>
    </row>
    <row r="323" spans="1:50" x14ac:dyDescent="0.25">
      <c r="A323" t="s">
        <v>251</v>
      </c>
      <c r="B323" t="s">
        <v>1168</v>
      </c>
      <c r="C323" t="s">
        <v>1394</v>
      </c>
      <c r="E323">
        <v>1</v>
      </c>
      <c r="F323">
        <v>1</v>
      </c>
      <c r="H323" t="s">
        <v>1307</v>
      </c>
      <c r="I323" t="s">
        <v>1308</v>
      </c>
      <c r="J323" t="s">
        <v>1172</v>
      </c>
      <c r="K323" t="s">
        <v>1173</v>
      </c>
      <c r="L323" t="s">
        <v>1174</v>
      </c>
      <c r="M323">
        <v>0</v>
      </c>
      <c r="N323" t="s">
        <v>50</v>
      </c>
      <c r="O323">
        <v>1</v>
      </c>
      <c r="P323">
        <v>0</v>
      </c>
      <c r="Q323">
        <v>0</v>
      </c>
      <c r="R323">
        <v>0</v>
      </c>
      <c r="S323">
        <v>0</v>
      </c>
      <c r="T323">
        <v>0</v>
      </c>
      <c r="U323" s="20">
        <v>45945.658368055556</v>
      </c>
      <c r="V323" s="20">
        <v>46002.06758101852</v>
      </c>
      <c r="Y323">
        <v>0</v>
      </c>
      <c r="Z323" t="s">
        <v>1308</v>
      </c>
      <c r="AA323" t="s">
        <v>194</v>
      </c>
      <c r="AL323" t="s">
        <v>2615</v>
      </c>
      <c r="AO323" t="s">
        <v>194</v>
      </c>
      <c r="AX323" t="s">
        <v>3739</v>
      </c>
    </row>
    <row r="324" spans="1:50" x14ac:dyDescent="0.25">
      <c r="A324" t="s">
        <v>198</v>
      </c>
      <c r="B324" t="s">
        <v>1168</v>
      </c>
      <c r="C324" t="s">
        <v>1362</v>
      </c>
      <c r="E324">
        <v>1</v>
      </c>
      <c r="F324">
        <v>1</v>
      </c>
      <c r="H324" t="s">
        <v>1307</v>
      </c>
      <c r="I324" t="s">
        <v>1308</v>
      </c>
      <c r="J324" t="s">
        <v>1172</v>
      </c>
      <c r="K324" t="s">
        <v>1173</v>
      </c>
      <c r="L324" t="s">
        <v>1174</v>
      </c>
      <c r="M324">
        <v>0</v>
      </c>
      <c r="N324" t="s">
        <v>50</v>
      </c>
      <c r="O324">
        <v>1</v>
      </c>
      <c r="P324">
        <v>0</v>
      </c>
      <c r="Q324">
        <v>0</v>
      </c>
      <c r="R324">
        <v>0</v>
      </c>
      <c r="S324">
        <v>0</v>
      </c>
      <c r="T324">
        <v>0</v>
      </c>
      <c r="U324" s="20">
        <v>45945.676377314812</v>
      </c>
      <c r="V324" s="20">
        <v>46002.067627314813</v>
      </c>
      <c r="Y324">
        <v>0</v>
      </c>
      <c r="Z324" t="s">
        <v>1308</v>
      </c>
      <c r="AA324" t="s">
        <v>179</v>
      </c>
      <c r="AL324" t="s">
        <v>2581</v>
      </c>
      <c r="AO324" t="s">
        <v>179</v>
      </c>
      <c r="AX324" t="s">
        <v>3740</v>
      </c>
    </row>
    <row r="325" spans="1:50" x14ac:dyDescent="0.25">
      <c r="A325" t="s">
        <v>199</v>
      </c>
      <c r="B325" t="s">
        <v>1168</v>
      </c>
      <c r="C325" t="s">
        <v>1363</v>
      </c>
      <c r="E325">
        <v>1</v>
      </c>
      <c r="F325">
        <v>1</v>
      </c>
      <c r="H325" t="s">
        <v>1307</v>
      </c>
      <c r="I325" t="s">
        <v>1308</v>
      </c>
      <c r="J325" t="s">
        <v>1172</v>
      </c>
      <c r="K325" t="s">
        <v>1173</v>
      </c>
      <c r="L325" t="s">
        <v>1174</v>
      </c>
      <c r="M325">
        <v>0</v>
      </c>
      <c r="N325" t="s">
        <v>50</v>
      </c>
      <c r="O325">
        <v>1</v>
      </c>
      <c r="P325">
        <v>0</v>
      </c>
      <c r="Q325">
        <v>0</v>
      </c>
      <c r="R325">
        <v>0</v>
      </c>
      <c r="S325">
        <v>0</v>
      </c>
      <c r="T325">
        <v>0</v>
      </c>
      <c r="U325" s="20">
        <v>45945.676400462966</v>
      </c>
      <c r="V325" s="20">
        <v>46035.847974537035</v>
      </c>
      <c r="Y325">
        <v>0</v>
      </c>
      <c r="Z325" t="s">
        <v>1308</v>
      </c>
      <c r="AA325" t="s">
        <v>179</v>
      </c>
      <c r="AL325" t="s">
        <v>2585</v>
      </c>
      <c r="AO325" t="s">
        <v>179</v>
      </c>
      <c r="AX325" t="s">
        <v>3741</v>
      </c>
    </row>
    <row r="326" spans="1:50" x14ac:dyDescent="0.25">
      <c r="A326" t="s">
        <v>200</v>
      </c>
      <c r="B326" t="s">
        <v>1168</v>
      </c>
      <c r="C326" t="s">
        <v>1364</v>
      </c>
      <c r="E326">
        <v>1</v>
      </c>
      <c r="F326">
        <v>1</v>
      </c>
      <c r="H326" t="s">
        <v>1307</v>
      </c>
      <c r="I326" t="s">
        <v>1308</v>
      </c>
      <c r="J326" t="s">
        <v>1172</v>
      </c>
      <c r="K326" t="s">
        <v>1173</v>
      </c>
      <c r="L326" t="s">
        <v>1174</v>
      </c>
      <c r="M326">
        <v>0</v>
      </c>
      <c r="N326" t="s">
        <v>50</v>
      </c>
      <c r="O326">
        <v>1</v>
      </c>
      <c r="P326">
        <v>0</v>
      </c>
      <c r="Q326">
        <v>0</v>
      </c>
      <c r="R326">
        <v>0</v>
      </c>
      <c r="S326">
        <v>0</v>
      </c>
      <c r="T326">
        <v>0</v>
      </c>
      <c r="U326" s="20">
        <v>45945.676412037035</v>
      </c>
      <c r="V326" s="20">
        <v>46002.067615740743</v>
      </c>
      <c r="Y326">
        <v>0</v>
      </c>
      <c r="Z326" t="s">
        <v>1308</v>
      </c>
      <c r="AA326" t="s">
        <v>179</v>
      </c>
      <c r="AL326" t="s">
        <v>2587</v>
      </c>
      <c r="AO326" t="s">
        <v>179</v>
      </c>
      <c r="AX326" t="s">
        <v>3742</v>
      </c>
    </row>
    <row r="327" spans="1:50" x14ac:dyDescent="0.25">
      <c r="A327" t="s">
        <v>252</v>
      </c>
      <c r="B327" t="s">
        <v>1168</v>
      </c>
      <c r="C327" t="s">
        <v>1395</v>
      </c>
      <c r="E327">
        <v>1</v>
      </c>
      <c r="F327">
        <v>1</v>
      </c>
      <c r="H327" t="s">
        <v>1307</v>
      </c>
      <c r="I327" t="s">
        <v>1308</v>
      </c>
      <c r="J327" t="s">
        <v>1172</v>
      </c>
      <c r="K327" t="s">
        <v>1173</v>
      </c>
      <c r="L327" t="s">
        <v>1174</v>
      </c>
      <c r="M327">
        <v>0</v>
      </c>
      <c r="N327" t="s">
        <v>50</v>
      </c>
      <c r="O327">
        <v>1</v>
      </c>
      <c r="P327">
        <v>0</v>
      </c>
      <c r="Q327">
        <v>0</v>
      </c>
      <c r="R327">
        <v>0</v>
      </c>
      <c r="S327">
        <v>0</v>
      </c>
      <c r="T327">
        <v>0</v>
      </c>
      <c r="U327" s="20">
        <v>45945.676435185182</v>
      </c>
      <c r="V327" s="20">
        <v>46002.067569444444</v>
      </c>
      <c r="Y327">
        <v>0</v>
      </c>
      <c r="Z327" t="s">
        <v>1308</v>
      </c>
      <c r="AA327" t="s">
        <v>194</v>
      </c>
      <c r="AL327" t="s">
        <v>2617</v>
      </c>
      <c r="AO327" t="s">
        <v>194</v>
      </c>
      <c r="AX327" t="s">
        <v>3743</v>
      </c>
    </row>
    <row r="328" spans="1:50" x14ac:dyDescent="0.25">
      <c r="A328" t="s">
        <v>253</v>
      </c>
      <c r="B328" t="s">
        <v>1168</v>
      </c>
      <c r="C328" t="s">
        <v>1396</v>
      </c>
      <c r="E328">
        <v>1</v>
      </c>
      <c r="F328">
        <v>1</v>
      </c>
      <c r="H328" t="s">
        <v>1307</v>
      </c>
      <c r="I328" t="s">
        <v>1308</v>
      </c>
      <c r="J328" t="s">
        <v>1172</v>
      </c>
      <c r="K328" t="s">
        <v>1173</v>
      </c>
      <c r="L328" t="s">
        <v>1174</v>
      </c>
      <c r="M328">
        <v>0</v>
      </c>
      <c r="N328" t="s">
        <v>50</v>
      </c>
      <c r="O328">
        <v>1</v>
      </c>
      <c r="P328">
        <v>0</v>
      </c>
      <c r="Q328">
        <v>0</v>
      </c>
      <c r="R328">
        <v>0</v>
      </c>
      <c r="S328">
        <v>0</v>
      </c>
      <c r="T328">
        <v>0</v>
      </c>
      <c r="U328" s="20">
        <v>45945.676458333335</v>
      </c>
      <c r="V328" s="20">
        <v>46002.067604166667</v>
      </c>
      <c r="Y328">
        <v>0</v>
      </c>
      <c r="Z328" t="s">
        <v>1308</v>
      </c>
      <c r="AA328" t="s">
        <v>194</v>
      </c>
      <c r="AL328" t="s">
        <v>2619</v>
      </c>
      <c r="AO328" t="s">
        <v>194</v>
      </c>
      <c r="AX328" t="s">
        <v>3744</v>
      </c>
    </row>
    <row r="329" spans="1:50" x14ac:dyDescent="0.25">
      <c r="A329" t="s">
        <v>254</v>
      </c>
      <c r="B329" t="s">
        <v>1168</v>
      </c>
      <c r="C329" t="s">
        <v>1397</v>
      </c>
      <c r="E329">
        <v>1</v>
      </c>
      <c r="F329">
        <v>1</v>
      </c>
      <c r="H329" t="s">
        <v>1307</v>
      </c>
      <c r="I329" t="s">
        <v>1308</v>
      </c>
      <c r="J329" t="s">
        <v>1172</v>
      </c>
      <c r="K329" t="s">
        <v>1173</v>
      </c>
      <c r="L329" t="s">
        <v>1174</v>
      </c>
      <c r="M329">
        <v>0</v>
      </c>
      <c r="N329" t="s">
        <v>50</v>
      </c>
      <c r="O329">
        <v>1</v>
      </c>
      <c r="P329">
        <v>0</v>
      </c>
      <c r="Q329">
        <v>0</v>
      </c>
      <c r="R329">
        <v>0</v>
      </c>
      <c r="S329">
        <v>0</v>
      </c>
      <c r="T329">
        <v>0</v>
      </c>
      <c r="U329" s="20">
        <v>45945.676481481481</v>
      </c>
      <c r="V329" s="20">
        <v>46002.067615740743</v>
      </c>
      <c r="Y329">
        <v>0</v>
      </c>
      <c r="Z329" t="s">
        <v>1308</v>
      </c>
      <c r="AA329" t="s">
        <v>194</v>
      </c>
      <c r="AL329" t="s">
        <v>2621</v>
      </c>
      <c r="AO329" t="s">
        <v>194</v>
      </c>
      <c r="AX329" t="s">
        <v>3745</v>
      </c>
    </row>
    <row r="330" spans="1:50" x14ac:dyDescent="0.25">
      <c r="A330" t="s">
        <v>255</v>
      </c>
      <c r="B330" t="s">
        <v>1168</v>
      </c>
      <c r="C330" t="s">
        <v>1398</v>
      </c>
      <c r="E330">
        <v>1</v>
      </c>
      <c r="F330">
        <v>1</v>
      </c>
      <c r="H330" t="s">
        <v>1307</v>
      </c>
      <c r="I330" t="s">
        <v>1308</v>
      </c>
      <c r="J330" t="s">
        <v>1172</v>
      </c>
      <c r="K330" t="s">
        <v>1173</v>
      </c>
      <c r="L330" t="s">
        <v>1174</v>
      </c>
      <c r="M330">
        <v>0</v>
      </c>
      <c r="N330" t="s">
        <v>50</v>
      </c>
      <c r="O330">
        <v>1</v>
      </c>
      <c r="P330">
        <v>0</v>
      </c>
      <c r="Q330">
        <v>0</v>
      </c>
      <c r="R330">
        <v>0</v>
      </c>
      <c r="S330">
        <v>0</v>
      </c>
      <c r="T330">
        <v>0</v>
      </c>
      <c r="U330" s="20">
        <v>45945.676504629628</v>
      </c>
      <c r="V330" s="20">
        <v>46002.067604166667</v>
      </c>
      <c r="Y330">
        <v>0</v>
      </c>
      <c r="Z330" t="s">
        <v>1308</v>
      </c>
      <c r="AA330" t="s">
        <v>194</v>
      </c>
      <c r="AL330" t="s">
        <v>2622</v>
      </c>
      <c r="AO330" t="s">
        <v>194</v>
      </c>
      <c r="AX330" t="s">
        <v>3746</v>
      </c>
    </row>
    <row r="331" spans="1:50" x14ac:dyDescent="0.25">
      <c r="A331" t="s">
        <v>256</v>
      </c>
      <c r="B331" t="s">
        <v>1168</v>
      </c>
      <c r="C331" t="s">
        <v>1399</v>
      </c>
      <c r="E331">
        <v>1</v>
      </c>
      <c r="F331">
        <v>1</v>
      </c>
      <c r="H331" t="s">
        <v>1307</v>
      </c>
      <c r="I331" t="s">
        <v>1308</v>
      </c>
      <c r="J331" t="s">
        <v>1172</v>
      </c>
      <c r="K331" t="s">
        <v>1173</v>
      </c>
      <c r="L331" t="s">
        <v>1174</v>
      </c>
      <c r="M331">
        <v>0</v>
      </c>
      <c r="N331" t="s">
        <v>50</v>
      </c>
      <c r="O331">
        <v>1</v>
      </c>
      <c r="P331">
        <v>0</v>
      </c>
      <c r="Q331">
        <v>0</v>
      </c>
      <c r="R331">
        <v>0</v>
      </c>
      <c r="S331">
        <v>0</v>
      </c>
      <c r="T331">
        <v>0</v>
      </c>
      <c r="U331" s="20">
        <v>45945.676516203705</v>
      </c>
      <c r="V331" s="20">
        <v>46002.067615740743</v>
      </c>
      <c r="Y331">
        <v>0</v>
      </c>
      <c r="Z331" t="s">
        <v>1308</v>
      </c>
      <c r="AA331" t="s">
        <v>194</v>
      </c>
      <c r="AL331" t="s">
        <v>2624</v>
      </c>
      <c r="AO331" t="s">
        <v>194</v>
      </c>
      <c r="AX331" t="s">
        <v>3747</v>
      </c>
    </row>
    <row r="332" spans="1:50" x14ac:dyDescent="0.25">
      <c r="A332" t="s">
        <v>257</v>
      </c>
      <c r="B332" t="s">
        <v>1168</v>
      </c>
      <c r="C332" t="s">
        <v>1400</v>
      </c>
      <c r="E332">
        <v>1</v>
      </c>
      <c r="F332">
        <v>1</v>
      </c>
      <c r="H332" t="s">
        <v>1307</v>
      </c>
      <c r="I332" t="s">
        <v>1308</v>
      </c>
      <c r="J332" t="s">
        <v>1172</v>
      </c>
      <c r="K332" t="s">
        <v>1173</v>
      </c>
      <c r="L332" t="s">
        <v>1174</v>
      </c>
      <c r="M332">
        <v>0</v>
      </c>
      <c r="N332" t="s">
        <v>50</v>
      </c>
      <c r="O332">
        <v>1</v>
      </c>
      <c r="P332">
        <v>0</v>
      </c>
      <c r="Q332">
        <v>0</v>
      </c>
      <c r="R332">
        <v>0</v>
      </c>
      <c r="S332">
        <v>0</v>
      </c>
      <c r="T332">
        <v>0</v>
      </c>
      <c r="U332" s="20">
        <v>45945.676527777781</v>
      </c>
      <c r="V332" s="20">
        <v>46002.067615740743</v>
      </c>
      <c r="Y332">
        <v>0</v>
      </c>
      <c r="Z332" t="s">
        <v>1308</v>
      </c>
      <c r="AA332" t="s">
        <v>194</v>
      </c>
      <c r="AL332" t="s">
        <v>2626</v>
      </c>
      <c r="AO332" t="s">
        <v>194</v>
      </c>
      <c r="AX332" t="s">
        <v>3748</v>
      </c>
    </row>
    <row r="333" spans="1:50" x14ac:dyDescent="0.25">
      <c r="A333" t="s">
        <v>258</v>
      </c>
      <c r="B333" t="s">
        <v>1168</v>
      </c>
      <c r="C333" t="s">
        <v>1401</v>
      </c>
      <c r="E333">
        <v>1</v>
      </c>
      <c r="F333">
        <v>1</v>
      </c>
      <c r="H333" t="s">
        <v>1307</v>
      </c>
      <c r="I333" t="s">
        <v>1308</v>
      </c>
      <c r="J333" t="s">
        <v>1172</v>
      </c>
      <c r="K333" t="s">
        <v>1173</v>
      </c>
      <c r="L333" t="s">
        <v>1174</v>
      </c>
      <c r="M333">
        <v>0</v>
      </c>
      <c r="N333" t="s">
        <v>50</v>
      </c>
      <c r="O333">
        <v>1</v>
      </c>
      <c r="P333">
        <v>0</v>
      </c>
      <c r="Q333">
        <v>0</v>
      </c>
      <c r="R333">
        <v>0</v>
      </c>
      <c r="S333">
        <v>0</v>
      </c>
      <c r="T333">
        <v>0</v>
      </c>
      <c r="U333" s="20">
        <v>45945.676562499997</v>
      </c>
      <c r="V333" s="20">
        <v>46002.067546296297</v>
      </c>
      <c r="Y333">
        <v>0</v>
      </c>
      <c r="Z333" t="s">
        <v>1308</v>
      </c>
      <c r="AA333" t="s">
        <v>194</v>
      </c>
      <c r="AL333" t="s">
        <v>2628</v>
      </c>
      <c r="AO333" t="s">
        <v>194</v>
      </c>
      <c r="AX333" t="s">
        <v>3749</v>
      </c>
    </row>
    <row r="334" spans="1:50" x14ac:dyDescent="0.25">
      <c r="A334" t="s">
        <v>259</v>
      </c>
      <c r="B334" t="s">
        <v>1168</v>
      </c>
      <c r="C334" t="s">
        <v>1402</v>
      </c>
      <c r="E334">
        <v>1</v>
      </c>
      <c r="F334">
        <v>1</v>
      </c>
      <c r="H334" t="s">
        <v>1307</v>
      </c>
      <c r="I334" t="s">
        <v>1308</v>
      </c>
      <c r="J334" t="s">
        <v>1172</v>
      </c>
      <c r="K334" t="s">
        <v>1173</v>
      </c>
      <c r="L334" t="s">
        <v>1174</v>
      </c>
      <c r="M334">
        <v>0</v>
      </c>
      <c r="N334" t="s">
        <v>50</v>
      </c>
      <c r="O334">
        <v>1</v>
      </c>
      <c r="P334">
        <v>0</v>
      </c>
      <c r="Q334">
        <v>0</v>
      </c>
      <c r="R334">
        <v>0</v>
      </c>
      <c r="S334">
        <v>0</v>
      </c>
      <c r="T334">
        <v>0</v>
      </c>
      <c r="U334" s="20">
        <v>45945.699525462966</v>
      </c>
      <c r="V334" s="20">
        <v>46002.067604166667</v>
      </c>
      <c r="Y334">
        <v>0</v>
      </c>
      <c r="Z334" t="s">
        <v>1308</v>
      </c>
      <c r="AA334" t="s">
        <v>194</v>
      </c>
      <c r="AL334" t="s">
        <v>2629</v>
      </c>
      <c r="AO334" t="s">
        <v>194</v>
      </c>
      <c r="AX334" t="s">
        <v>3750</v>
      </c>
    </row>
    <row r="335" spans="1:50" x14ac:dyDescent="0.25">
      <c r="A335" t="s">
        <v>260</v>
      </c>
      <c r="B335" t="s">
        <v>1168</v>
      </c>
      <c r="C335" t="s">
        <v>1403</v>
      </c>
      <c r="E335">
        <v>1</v>
      </c>
      <c r="F335">
        <v>1</v>
      </c>
      <c r="H335" t="s">
        <v>1307</v>
      </c>
      <c r="I335" t="s">
        <v>1308</v>
      </c>
      <c r="J335" t="s">
        <v>1172</v>
      </c>
      <c r="K335" t="s">
        <v>1173</v>
      </c>
      <c r="L335" t="s">
        <v>1174</v>
      </c>
      <c r="M335">
        <v>0</v>
      </c>
      <c r="N335" t="s">
        <v>50</v>
      </c>
      <c r="O335">
        <v>1</v>
      </c>
      <c r="P335">
        <v>0</v>
      </c>
      <c r="Q335">
        <v>0</v>
      </c>
      <c r="R335">
        <v>0</v>
      </c>
      <c r="S335">
        <v>0</v>
      </c>
      <c r="T335">
        <v>0</v>
      </c>
      <c r="U335" s="20">
        <v>45945.699537037035</v>
      </c>
      <c r="V335" s="20">
        <v>46002.067627314813</v>
      </c>
      <c r="Y335">
        <v>0</v>
      </c>
      <c r="Z335" t="s">
        <v>1308</v>
      </c>
      <c r="AA335" t="s">
        <v>194</v>
      </c>
      <c r="AL335" t="s">
        <v>2630</v>
      </c>
      <c r="AO335" t="s">
        <v>194</v>
      </c>
      <c r="AX335" t="s">
        <v>3751</v>
      </c>
    </row>
    <row r="336" spans="1:50" x14ac:dyDescent="0.25">
      <c r="A336" t="s">
        <v>261</v>
      </c>
      <c r="B336" t="s">
        <v>1168</v>
      </c>
      <c r="C336" t="s">
        <v>1404</v>
      </c>
      <c r="E336">
        <v>1</v>
      </c>
      <c r="F336">
        <v>1</v>
      </c>
      <c r="H336" t="s">
        <v>1307</v>
      </c>
      <c r="I336" t="s">
        <v>1308</v>
      </c>
      <c r="J336" t="s">
        <v>1172</v>
      </c>
      <c r="K336" t="s">
        <v>1173</v>
      </c>
      <c r="L336" t="s">
        <v>1174</v>
      </c>
      <c r="M336">
        <v>0</v>
      </c>
      <c r="N336" t="s">
        <v>50</v>
      </c>
      <c r="O336">
        <v>1</v>
      </c>
      <c r="P336">
        <v>0</v>
      </c>
      <c r="Q336">
        <v>0</v>
      </c>
      <c r="R336">
        <v>0</v>
      </c>
      <c r="S336">
        <v>0</v>
      </c>
      <c r="T336">
        <v>0</v>
      </c>
      <c r="U336" s="20">
        <v>45945.699675925927</v>
      </c>
      <c r="V336" s="20">
        <v>46002.067604166667</v>
      </c>
      <c r="Y336">
        <v>0</v>
      </c>
      <c r="Z336" t="s">
        <v>1308</v>
      </c>
      <c r="AA336" t="s">
        <v>194</v>
      </c>
      <c r="AL336" t="s">
        <v>2631</v>
      </c>
      <c r="AO336" t="s">
        <v>194</v>
      </c>
      <c r="AX336" t="s">
        <v>3752</v>
      </c>
    </row>
    <row r="337" spans="1:50" x14ac:dyDescent="0.25">
      <c r="A337" t="s">
        <v>262</v>
      </c>
      <c r="B337" t="s">
        <v>1168</v>
      </c>
      <c r="C337" t="s">
        <v>1405</v>
      </c>
      <c r="E337">
        <v>1</v>
      </c>
      <c r="F337">
        <v>1</v>
      </c>
      <c r="H337" t="s">
        <v>1307</v>
      </c>
      <c r="I337" t="s">
        <v>1308</v>
      </c>
      <c r="J337" t="s">
        <v>1172</v>
      </c>
      <c r="K337" t="s">
        <v>1173</v>
      </c>
      <c r="L337" t="s">
        <v>1174</v>
      </c>
      <c r="M337">
        <v>0</v>
      </c>
      <c r="N337" t="s">
        <v>50</v>
      </c>
      <c r="O337">
        <v>1</v>
      </c>
      <c r="P337">
        <v>0</v>
      </c>
      <c r="Q337">
        <v>0</v>
      </c>
      <c r="R337">
        <v>0</v>
      </c>
      <c r="S337">
        <v>0</v>
      </c>
      <c r="T337">
        <v>0</v>
      </c>
      <c r="U337" s="20">
        <v>45945.699687499997</v>
      </c>
      <c r="V337" s="20">
        <v>46002.06758101852</v>
      </c>
      <c r="Y337">
        <v>0</v>
      </c>
      <c r="Z337" t="s">
        <v>1308</v>
      </c>
      <c r="AA337" t="s">
        <v>194</v>
      </c>
      <c r="AL337" t="s">
        <v>2632</v>
      </c>
      <c r="AO337" t="s">
        <v>194</v>
      </c>
      <c r="AX337" t="s">
        <v>3753</v>
      </c>
    </row>
    <row r="338" spans="1:50" x14ac:dyDescent="0.25">
      <c r="A338" t="s">
        <v>263</v>
      </c>
      <c r="B338" t="s">
        <v>1168</v>
      </c>
      <c r="C338" t="s">
        <v>1406</v>
      </c>
      <c r="E338">
        <v>1</v>
      </c>
      <c r="F338">
        <v>1</v>
      </c>
      <c r="H338" t="s">
        <v>1307</v>
      </c>
      <c r="I338" t="s">
        <v>1308</v>
      </c>
      <c r="J338" t="s">
        <v>1172</v>
      </c>
      <c r="K338" t="s">
        <v>1173</v>
      </c>
      <c r="L338" t="s">
        <v>1174</v>
      </c>
      <c r="M338">
        <v>0</v>
      </c>
      <c r="N338" t="s">
        <v>50</v>
      </c>
      <c r="O338">
        <v>1</v>
      </c>
      <c r="P338">
        <v>0</v>
      </c>
      <c r="Q338">
        <v>0</v>
      </c>
      <c r="R338">
        <v>0</v>
      </c>
      <c r="S338">
        <v>0</v>
      </c>
      <c r="T338">
        <v>0</v>
      </c>
      <c r="U338" s="20">
        <v>45945.699745370373</v>
      </c>
      <c r="V338" s="20">
        <v>46002.06758101852</v>
      </c>
      <c r="Y338">
        <v>0</v>
      </c>
      <c r="Z338" t="s">
        <v>1308</v>
      </c>
      <c r="AA338" t="s">
        <v>194</v>
      </c>
      <c r="AL338" t="s">
        <v>2633</v>
      </c>
      <c r="AO338" t="s">
        <v>194</v>
      </c>
      <c r="AX338" t="s">
        <v>3754</v>
      </c>
    </row>
    <row r="339" spans="1:50" x14ac:dyDescent="0.25">
      <c r="A339" t="s">
        <v>264</v>
      </c>
      <c r="B339" t="s">
        <v>1168</v>
      </c>
      <c r="C339" t="s">
        <v>1407</v>
      </c>
      <c r="E339">
        <v>1</v>
      </c>
      <c r="F339">
        <v>1</v>
      </c>
      <c r="H339" t="s">
        <v>1307</v>
      </c>
      <c r="I339" t="s">
        <v>1308</v>
      </c>
      <c r="J339" t="s">
        <v>1172</v>
      </c>
      <c r="K339" t="s">
        <v>1173</v>
      </c>
      <c r="L339" t="s">
        <v>1174</v>
      </c>
      <c r="M339">
        <v>0</v>
      </c>
      <c r="N339" t="s">
        <v>50</v>
      </c>
      <c r="O339">
        <v>1</v>
      </c>
      <c r="P339">
        <v>0</v>
      </c>
      <c r="Q339">
        <v>0</v>
      </c>
      <c r="R339">
        <v>0</v>
      </c>
      <c r="S339">
        <v>0</v>
      </c>
      <c r="T339">
        <v>0</v>
      </c>
      <c r="U339" s="20">
        <v>45945.699791666666</v>
      </c>
      <c r="V339" s="20">
        <v>46002.067569444444</v>
      </c>
      <c r="Y339">
        <v>0</v>
      </c>
      <c r="Z339" t="s">
        <v>1308</v>
      </c>
      <c r="AA339" t="s">
        <v>194</v>
      </c>
      <c r="AL339" t="s">
        <v>2634</v>
      </c>
      <c r="AO339" t="s">
        <v>194</v>
      </c>
      <c r="AX339" t="s">
        <v>3755</v>
      </c>
    </row>
    <row r="340" spans="1:50" x14ac:dyDescent="0.25">
      <c r="A340" t="s">
        <v>265</v>
      </c>
      <c r="B340" t="s">
        <v>1168</v>
      </c>
      <c r="C340" t="s">
        <v>1408</v>
      </c>
      <c r="E340">
        <v>1</v>
      </c>
      <c r="F340">
        <v>1</v>
      </c>
      <c r="H340" t="s">
        <v>1307</v>
      </c>
      <c r="I340" t="s">
        <v>1308</v>
      </c>
      <c r="J340" t="s">
        <v>1172</v>
      </c>
      <c r="K340" t="s">
        <v>1173</v>
      </c>
      <c r="L340" t="s">
        <v>1174</v>
      </c>
      <c r="M340">
        <v>0</v>
      </c>
      <c r="N340" t="s">
        <v>50</v>
      </c>
      <c r="O340">
        <v>1</v>
      </c>
      <c r="P340">
        <v>0</v>
      </c>
      <c r="Q340">
        <v>0</v>
      </c>
      <c r="R340">
        <v>0</v>
      </c>
      <c r="S340">
        <v>0</v>
      </c>
      <c r="T340">
        <v>0</v>
      </c>
      <c r="U340" s="20">
        <v>45945.699814814812</v>
      </c>
      <c r="V340" s="20">
        <v>46002.067604166667</v>
      </c>
      <c r="Y340">
        <v>0</v>
      </c>
      <c r="Z340" t="s">
        <v>1308</v>
      </c>
      <c r="AA340" t="s">
        <v>194</v>
      </c>
      <c r="AL340" t="s">
        <v>2635</v>
      </c>
      <c r="AO340" t="s">
        <v>194</v>
      </c>
      <c r="AX340" t="s">
        <v>3756</v>
      </c>
    </row>
    <row r="341" spans="1:50" x14ac:dyDescent="0.25">
      <c r="A341" t="s">
        <v>266</v>
      </c>
      <c r="B341" t="s">
        <v>1168</v>
      </c>
      <c r="C341" t="s">
        <v>1409</v>
      </c>
      <c r="E341">
        <v>1</v>
      </c>
      <c r="F341">
        <v>1</v>
      </c>
      <c r="H341" t="s">
        <v>1307</v>
      </c>
      <c r="I341" t="s">
        <v>1308</v>
      </c>
      <c r="J341" t="s">
        <v>1172</v>
      </c>
      <c r="K341" t="s">
        <v>1173</v>
      </c>
      <c r="L341" t="s">
        <v>1174</v>
      </c>
      <c r="M341">
        <v>0</v>
      </c>
      <c r="N341" t="s">
        <v>50</v>
      </c>
      <c r="O341">
        <v>1</v>
      </c>
      <c r="P341">
        <v>0</v>
      </c>
      <c r="Q341">
        <v>0</v>
      </c>
      <c r="R341">
        <v>0</v>
      </c>
      <c r="S341">
        <v>0</v>
      </c>
      <c r="T341">
        <v>0</v>
      </c>
      <c r="U341" s="20">
        <v>45945.699837962966</v>
      </c>
      <c r="V341" s="20">
        <v>46002.067604166667</v>
      </c>
      <c r="Y341">
        <v>0</v>
      </c>
      <c r="Z341" t="s">
        <v>1308</v>
      </c>
      <c r="AA341" t="s">
        <v>194</v>
      </c>
      <c r="AL341" t="s">
        <v>2637</v>
      </c>
      <c r="AO341" t="s">
        <v>194</v>
      </c>
      <c r="AX341" t="s">
        <v>3757</v>
      </c>
    </row>
    <row r="342" spans="1:50" x14ac:dyDescent="0.25">
      <c r="A342" t="s">
        <v>267</v>
      </c>
      <c r="B342" t="s">
        <v>1168</v>
      </c>
      <c r="C342" t="s">
        <v>1410</v>
      </c>
      <c r="E342">
        <v>1</v>
      </c>
      <c r="F342">
        <v>1</v>
      </c>
      <c r="H342" t="s">
        <v>1307</v>
      </c>
      <c r="I342" t="s">
        <v>1308</v>
      </c>
      <c r="J342" t="s">
        <v>1172</v>
      </c>
      <c r="K342" t="s">
        <v>1173</v>
      </c>
      <c r="L342" t="s">
        <v>1174</v>
      </c>
      <c r="M342">
        <v>0</v>
      </c>
      <c r="N342" t="s">
        <v>50</v>
      </c>
      <c r="O342">
        <v>1</v>
      </c>
      <c r="P342">
        <v>0</v>
      </c>
      <c r="Q342">
        <v>0</v>
      </c>
      <c r="R342">
        <v>0</v>
      </c>
      <c r="S342">
        <v>0</v>
      </c>
      <c r="T342">
        <v>0</v>
      </c>
      <c r="U342" s="20">
        <v>45945.699872685182</v>
      </c>
      <c r="V342" s="20">
        <v>46002.06758101852</v>
      </c>
      <c r="Y342">
        <v>0</v>
      </c>
      <c r="Z342" t="s">
        <v>1308</v>
      </c>
      <c r="AA342" t="s">
        <v>194</v>
      </c>
      <c r="AL342" t="s">
        <v>2638</v>
      </c>
      <c r="AO342" t="s">
        <v>194</v>
      </c>
      <c r="AX342" t="s">
        <v>3758</v>
      </c>
    </row>
    <row r="343" spans="1:50" x14ac:dyDescent="0.25">
      <c r="A343" t="s">
        <v>268</v>
      </c>
      <c r="B343" t="s">
        <v>1168</v>
      </c>
      <c r="C343" t="s">
        <v>1411</v>
      </c>
      <c r="E343">
        <v>1</v>
      </c>
      <c r="F343">
        <v>1</v>
      </c>
      <c r="H343" t="s">
        <v>1307</v>
      </c>
      <c r="I343" t="s">
        <v>1308</v>
      </c>
      <c r="J343" t="s">
        <v>1172</v>
      </c>
      <c r="K343" t="s">
        <v>1173</v>
      </c>
      <c r="L343" t="s">
        <v>1174</v>
      </c>
      <c r="M343">
        <v>0</v>
      </c>
      <c r="N343" t="s">
        <v>50</v>
      </c>
      <c r="O343">
        <v>1</v>
      </c>
      <c r="P343">
        <v>0</v>
      </c>
      <c r="Q343">
        <v>0</v>
      </c>
      <c r="R343">
        <v>0</v>
      </c>
      <c r="S343">
        <v>0</v>
      </c>
      <c r="T343">
        <v>0</v>
      </c>
      <c r="U343" s="20">
        <v>45945.699895833335</v>
      </c>
      <c r="V343" s="20">
        <v>46002.067615740743</v>
      </c>
      <c r="Y343">
        <v>0</v>
      </c>
      <c r="Z343" t="s">
        <v>1308</v>
      </c>
      <c r="AA343" t="s">
        <v>194</v>
      </c>
      <c r="AL343" t="s">
        <v>2639</v>
      </c>
      <c r="AO343" t="s">
        <v>194</v>
      </c>
      <c r="AX343" t="s">
        <v>3759</v>
      </c>
    </row>
    <row r="344" spans="1:50" x14ac:dyDescent="0.25">
      <c r="A344" t="s">
        <v>201</v>
      </c>
      <c r="B344" t="s">
        <v>1168</v>
      </c>
      <c r="C344" t="s">
        <v>1365</v>
      </c>
      <c r="D344" t="s">
        <v>3210</v>
      </c>
      <c r="E344">
        <v>1</v>
      </c>
      <c r="F344">
        <v>1</v>
      </c>
      <c r="H344" t="s">
        <v>1307</v>
      </c>
      <c r="I344" t="s">
        <v>1308</v>
      </c>
      <c r="J344" t="s">
        <v>1172</v>
      </c>
      <c r="K344" t="s">
        <v>1173</v>
      </c>
      <c r="L344" t="s">
        <v>1174</v>
      </c>
      <c r="M344">
        <v>0</v>
      </c>
      <c r="N344" t="s">
        <v>50</v>
      </c>
      <c r="O344">
        <v>1</v>
      </c>
      <c r="P344">
        <v>0</v>
      </c>
      <c r="Q344">
        <v>0</v>
      </c>
      <c r="R344">
        <v>0</v>
      </c>
      <c r="S344">
        <v>0</v>
      </c>
      <c r="T344">
        <v>0</v>
      </c>
      <c r="U344" s="20">
        <v>45945.795659722222</v>
      </c>
      <c r="V344" s="20">
        <v>46071.946018518516</v>
      </c>
      <c r="Y344">
        <v>0</v>
      </c>
      <c r="Z344" t="s">
        <v>1308</v>
      </c>
      <c r="AA344" t="s">
        <v>163</v>
      </c>
      <c r="AL344" t="s">
        <v>2985</v>
      </c>
      <c r="AO344" t="s">
        <v>163</v>
      </c>
      <c r="AP344" t="s">
        <v>3126</v>
      </c>
      <c r="AQ344" t="s">
        <v>3134</v>
      </c>
      <c r="AR344" t="s">
        <v>89</v>
      </c>
      <c r="AV344" t="s">
        <v>3135</v>
      </c>
      <c r="AW344" t="s">
        <v>3122</v>
      </c>
      <c r="AX344" t="s">
        <v>3760</v>
      </c>
    </row>
    <row r="345" spans="1:50" x14ac:dyDescent="0.25">
      <c r="A345" t="s">
        <v>202</v>
      </c>
      <c r="B345" t="s">
        <v>1168</v>
      </c>
      <c r="C345" t="s">
        <v>1366</v>
      </c>
      <c r="D345" t="s">
        <v>3210</v>
      </c>
      <c r="E345">
        <v>1</v>
      </c>
      <c r="F345">
        <v>1</v>
      </c>
      <c r="H345" t="s">
        <v>1307</v>
      </c>
      <c r="I345" t="s">
        <v>1308</v>
      </c>
      <c r="J345" t="s">
        <v>1172</v>
      </c>
      <c r="K345" t="s">
        <v>1173</v>
      </c>
      <c r="L345" t="s">
        <v>1174</v>
      </c>
      <c r="M345">
        <v>0</v>
      </c>
      <c r="N345" t="s">
        <v>50</v>
      </c>
      <c r="O345">
        <v>1</v>
      </c>
      <c r="P345">
        <v>0</v>
      </c>
      <c r="Q345">
        <v>0</v>
      </c>
      <c r="R345">
        <v>0</v>
      </c>
      <c r="S345">
        <v>0</v>
      </c>
      <c r="T345">
        <v>0</v>
      </c>
      <c r="U345" s="20">
        <v>45945.795694444445</v>
      </c>
      <c r="V345" s="20">
        <v>46071.947118055556</v>
      </c>
      <c r="Y345">
        <v>0</v>
      </c>
      <c r="Z345" t="s">
        <v>1308</v>
      </c>
      <c r="AA345" t="s">
        <v>163</v>
      </c>
      <c r="AL345" t="s">
        <v>2987</v>
      </c>
      <c r="AO345" t="s">
        <v>163</v>
      </c>
      <c r="AP345" t="s">
        <v>3126</v>
      </c>
      <c r="AQ345" t="s">
        <v>3136</v>
      </c>
      <c r="AR345" t="s">
        <v>89</v>
      </c>
      <c r="AV345" t="s">
        <v>3137</v>
      </c>
      <c r="AW345" t="s">
        <v>3275</v>
      </c>
      <c r="AX345" t="s">
        <v>3761</v>
      </c>
    </row>
    <row r="346" spans="1:50" x14ac:dyDescent="0.25">
      <c r="A346" t="s">
        <v>203</v>
      </c>
      <c r="B346" t="s">
        <v>1168</v>
      </c>
      <c r="C346" t="s">
        <v>1367</v>
      </c>
      <c r="D346" t="s">
        <v>3210</v>
      </c>
      <c r="E346">
        <v>1</v>
      </c>
      <c r="F346">
        <v>1</v>
      </c>
      <c r="H346" t="s">
        <v>1307</v>
      </c>
      <c r="I346" t="s">
        <v>1308</v>
      </c>
      <c r="J346" t="s">
        <v>1172</v>
      </c>
      <c r="K346" t="s">
        <v>1173</v>
      </c>
      <c r="L346" t="s">
        <v>1174</v>
      </c>
      <c r="M346">
        <v>0</v>
      </c>
      <c r="N346" t="s">
        <v>50</v>
      </c>
      <c r="O346">
        <v>1</v>
      </c>
      <c r="P346">
        <v>0</v>
      </c>
      <c r="Q346">
        <v>0</v>
      </c>
      <c r="R346">
        <v>0</v>
      </c>
      <c r="S346">
        <v>0</v>
      </c>
      <c r="T346">
        <v>0</v>
      </c>
      <c r="U346" s="20">
        <v>45945.795706018522</v>
      </c>
      <c r="V346" s="20">
        <v>46071.948344907411</v>
      </c>
      <c r="Y346">
        <v>0</v>
      </c>
      <c r="Z346" t="s">
        <v>1308</v>
      </c>
      <c r="AA346" t="s">
        <v>163</v>
      </c>
      <c r="AL346" t="s">
        <v>2988</v>
      </c>
      <c r="AO346" t="s">
        <v>163</v>
      </c>
      <c r="AP346" t="s">
        <v>3126</v>
      </c>
      <c r="AQ346" t="s">
        <v>3138</v>
      </c>
      <c r="AR346" t="s">
        <v>89</v>
      </c>
      <c r="AV346" t="s">
        <v>3139</v>
      </c>
      <c r="AW346" t="s">
        <v>3276</v>
      </c>
      <c r="AX346" t="s">
        <v>3762</v>
      </c>
    </row>
    <row r="347" spans="1:50" x14ac:dyDescent="0.25">
      <c r="A347" t="s">
        <v>204</v>
      </c>
      <c r="B347" t="s">
        <v>1168</v>
      </c>
      <c r="C347" t="s">
        <v>1368</v>
      </c>
      <c r="D347" t="s">
        <v>3210</v>
      </c>
      <c r="E347">
        <v>1</v>
      </c>
      <c r="F347">
        <v>1</v>
      </c>
      <c r="H347" t="s">
        <v>1307</v>
      </c>
      <c r="I347" t="s">
        <v>1308</v>
      </c>
      <c r="J347" t="s">
        <v>1172</v>
      </c>
      <c r="K347" t="s">
        <v>1173</v>
      </c>
      <c r="L347" t="s">
        <v>1174</v>
      </c>
      <c r="M347">
        <v>0</v>
      </c>
      <c r="N347" t="s">
        <v>50</v>
      </c>
      <c r="O347">
        <v>1</v>
      </c>
      <c r="P347">
        <v>0</v>
      </c>
      <c r="Q347">
        <v>0</v>
      </c>
      <c r="R347">
        <v>0</v>
      </c>
      <c r="S347">
        <v>0</v>
      </c>
      <c r="T347">
        <v>0</v>
      </c>
      <c r="U347" s="20">
        <v>45945.795717592591</v>
      </c>
      <c r="V347" s="20">
        <v>46071.946377314816</v>
      </c>
      <c r="Y347">
        <v>0</v>
      </c>
      <c r="Z347" t="s">
        <v>1308</v>
      </c>
      <c r="AA347" t="s">
        <v>163</v>
      </c>
      <c r="AL347" t="s">
        <v>2989</v>
      </c>
      <c r="AO347" t="s">
        <v>163</v>
      </c>
      <c r="AP347" t="s">
        <v>3126</v>
      </c>
      <c r="AQ347" t="s">
        <v>3140</v>
      </c>
      <c r="AR347" t="s">
        <v>89</v>
      </c>
      <c r="AV347" t="s">
        <v>3141</v>
      </c>
      <c r="AW347" t="s">
        <v>3124</v>
      </c>
      <c r="AX347" t="s">
        <v>3763</v>
      </c>
    </row>
    <row r="348" spans="1:50" x14ac:dyDescent="0.25">
      <c r="A348" t="s">
        <v>205</v>
      </c>
      <c r="B348" t="s">
        <v>1168</v>
      </c>
      <c r="C348" t="s">
        <v>1369</v>
      </c>
      <c r="D348" t="s">
        <v>3210</v>
      </c>
      <c r="E348">
        <v>1</v>
      </c>
      <c r="F348">
        <v>1</v>
      </c>
      <c r="H348" t="s">
        <v>1307</v>
      </c>
      <c r="I348" t="s">
        <v>1308</v>
      </c>
      <c r="J348" t="s">
        <v>1172</v>
      </c>
      <c r="K348" t="s">
        <v>1173</v>
      </c>
      <c r="L348" t="s">
        <v>1174</v>
      </c>
      <c r="M348">
        <v>0</v>
      </c>
      <c r="N348" t="s">
        <v>50</v>
      </c>
      <c r="O348">
        <v>1</v>
      </c>
      <c r="P348">
        <v>0</v>
      </c>
      <c r="Q348">
        <v>0</v>
      </c>
      <c r="R348">
        <v>0</v>
      </c>
      <c r="S348">
        <v>0</v>
      </c>
      <c r="T348">
        <v>0</v>
      </c>
      <c r="U348" s="20">
        <v>45945.795729166668</v>
      </c>
      <c r="V348" s="20">
        <v>46071.94699074074</v>
      </c>
      <c r="Y348">
        <v>0</v>
      </c>
      <c r="Z348" t="s">
        <v>1308</v>
      </c>
      <c r="AA348" t="s">
        <v>163</v>
      </c>
      <c r="AL348" t="s">
        <v>2990</v>
      </c>
      <c r="AO348" t="s">
        <v>163</v>
      </c>
      <c r="AP348" t="s">
        <v>3126</v>
      </c>
      <c r="AQ348" t="s">
        <v>3142</v>
      </c>
      <c r="AR348" t="s">
        <v>89</v>
      </c>
      <c r="AV348" t="s">
        <v>3143</v>
      </c>
      <c r="AW348" t="s">
        <v>3125</v>
      </c>
      <c r="AX348" t="s">
        <v>3764</v>
      </c>
    </row>
    <row r="349" spans="1:50" x14ac:dyDescent="0.25">
      <c r="A349" t="s">
        <v>206</v>
      </c>
      <c r="B349" t="s">
        <v>1168</v>
      </c>
      <c r="C349" t="s">
        <v>1370</v>
      </c>
      <c r="D349" t="s">
        <v>3210</v>
      </c>
      <c r="E349">
        <v>1</v>
      </c>
      <c r="F349">
        <v>1</v>
      </c>
      <c r="H349" t="s">
        <v>1307</v>
      </c>
      <c r="I349" t="s">
        <v>1308</v>
      </c>
      <c r="J349" t="s">
        <v>1172</v>
      </c>
      <c r="K349" t="s">
        <v>1173</v>
      </c>
      <c r="L349" t="s">
        <v>1174</v>
      </c>
      <c r="M349">
        <v>0</v>
      </c>
      <c r="N349" t="s">
        <v>50</v>
      </c>
      <c r="O349">
        <v>1</v>
      </c>
      <c r="P349">
        <v>0</v>
      </c>
      <c r="Q349">
        <v>0</v>
      </c>
      <c r="R349">
        <v>0</v>
      </c>
      <c r="S349">
        <v>0</v>
      </c>
      <c r="T349">
        <v>0</v>
      </c>
      <c r="U349" s="20">
        <v>45945.795752314814</v>
      </c>
      <c r="V349" s="20">
        <v>46071.94840277778</v>
      </c>
      <c r="Y349">
        <v>0</v>
      </c>
      <c r="Z349" t="s">
        <v>1308</v>
      </c>
      <c r="AA349" t="s">
        <v>163</v>
      </c>
      <c r="AL349" t="s">
        <v>2991</v>
      </c>
      <c r="AO349" t="s">
        <v>163</v>
      </c>
      <c r="AP349" t="s">
        <v>3126</v>
      </c>
      <c r="AQ349" t="s">
        <v>3146</v>
      </c>
      <c r="AR349" t="s">
        <v>89</v>
      </c>
      <c r="AV349" t="s">
        <v>3145</v>
      </c>
      <c r="AW349" t="s">
        <v>3144</v>
      </c>
      <c r="AX349" t="s">
        <v>3765</v>
      </c>
    </row>
    <row r="350" spans="1:50" x14ac:dyDescent="0.25">
      <c r="A350" t="s">
        <v>207</v>
      </c>
      <c r="B350" t="s">
        <v>1168</v>
      </c>
      <c r="C350" t="s">
        <v>1371</v>
      </c>
      <c r="D350" t="s">
        <v>3349</v>
      </c>
      <c r="E350">
        <v>1</v>
      </c>
      <c r="F350">
        <v>1</v>
      </c>
      <c r="H350" t="s">
        <v>1307</v>
      </c>
      <c r="I350" t="s">
        <v>1308</v>
      </c>
      <c r="J350" t="s">
        <v>1172</v>
      </c>
      <c r="K350" t="s">
        <v>1173</v>
      </c>
      <c r="L350" t="s">
        <v>1174</v>
      </c>
      <c r="M350">
        <v>0</v>
      </c>
      <c r="N350" t="s">
        <v>50</v>
      </c>
      <c r="O350">
        <v>1</v>
      </c>
      <c r="P350">
        <v>0</v>
      </c>
      <c r="Q350">
        <v>0</v>
      </c>
      <c r="R350">
        <v>0</v>
      </c>
      <c r="S350">
        <v>0</v>
      </c>
      <c r="T350">
        <v>0</v>
      </c>
      <c r="U350" s="20">
        <v>45945.795763888891</v>
      </c>
      <c r="V350" s="20">
        <v>46077.99322916667</v>
      </c>
      <c r="Y350">
        <v>0</v>
      </c>
      <c r="Z350" t="s">
        <v>1308</v>
      </c>
      <c r="AA350" t="s">
        <v>163</v>
      </c>
      <c r="AL350" t="s">
        <v>2992</v>
      </c>
      <c r="AO350" t="s">
        <v>163</v>
      </c>
      <c r="AP350" t="s">
        <v>3126</v>
      </c>
      <c r="AQ350" t="s">
        <v>3147</v>
      </c>
      <c r="AR350" t="s">
        <v>73</v>
      </c>
      <c r="AV350" t="s">
        <v>3766</v>
      </c>
      <c r="AW350" t="s">
        <v>3148</v>
      </c>
      <c r="AX350" t="s">
        <v>3767</v>
      </c>
    </row>
    <row r="351" spans="1:50" x14ac:dyDescent="0.25">
      <c r="A351" t="s">
        <v>208</v>
      </c>
      <c r="B351" t="s">
        <v>1168</v>
      </c>
      <c r="C351" t="s">
        <v>1372</v>
      </c>
      <c r="D351" t="s">
        <v>3210</v>
      </c>
      <c r="E351">
        <v>1</v>
      </c>
      <c r="F351">
        <v>1</v>
      </c>
      <c r="H351" t="s">
        <v>1307</v>
      </c>
      <c r="I351" t="s">
        <v>1308</v>
      </c>
      <c r="J351" t="s">
        <v>1172</v>
      </c>
      <c r="K351" t="s">
        <v>1173</v>
      </c>
      <c r="L351" t="s">
        <v>1174</v>
      </c>
      <c r="M351">
        <v>0</v>
      </c>
      <c r="N351" t="s">
        <v>50</v>
      </c>
      <c r="O351">
        <v>1</v>
      </c>
      <c r="P351">
        <v>0</v>
      </c>
      <c r="Q351">
        <v>0</v>
      </c>
      <c r="R351">
        <v>0</v>
      </c>
      <c r="S351">
        <v>0</v>
      </c>
      <c r="T351">
        <v>0</v>
      </c>
      <c r="U351" s="20">
        <v>45945.795787037037</v>
      </c>
      <c r="V351" s="20">
        <v>46071.946192129632</v>
      </c>
      <c r="Y351">
        <v>0</v>
      </c>
      <c r="Z351" t="s">
        <v>1308</v>
      </c>
      <c r="AA351" t="s">
        <v>163</v>
      </c>
      <c r="AL351" t="s">
        <v>2993</v>
      </c>
      <c r="AO351" t="s">
        <v>163</v>
      </c>
      <c r="AP351" t="s">
        <v>3126</v>
      </c>
      <c r="AQ351" t="s">
        <v>3149</v>
      </c>
      <c r="AR351" t="s">
        <v>89</v>
      </c>
      <c r="AV351" t="s">
        <v>3151</v>
      </c>
      <c r="AW351" t="s">
        <v>3150</v>
      </c>
      <c r="AX351" t="s">
        <v>3768</v>
      </c>
    </row>
    <row r="352" spans="1:50" x14ac:dyDescent="0.25">
      <c r="A352" t="s">
        <v>209</v>
      </c>
      <c r="B352" t="s">
        <v>1168</v>
      </c>
      <c r="C352" t="s">
        <v>1373</v>
      </c>
      <c r="D352" t="s">
        <v>3230</v>
      </c>
      <c r="E352">
        <v>1</v>
      </c>
      <c r="F352">
        <v>1</v>
      </c>
      <c r="H352" t="s">
        <v>1307</v>
      </c>
      <c r="I352" t="s">
        <v>1308</v>
      </c>
      <c r="J352" t="s">
        <v>1172</v>
      </c>
      <c r="K352" t="s">
        <v>1173</v>
      </c>
      <c r="L352" t="s">
        <v>1174</v>
      </c>
      <c r="M352">
        <v>0</v>
      </c>
      <c r="N352" t="s">
        <v>50</v>
      </c>
      <c r="O352">
        <v>1</v>
      </c>
      <c r="P352">
        <v>0</v>
      </c>
      <c r="Q352">
        <v>0</v>
      </c>
      <c r="R352">
        <v>0</v>
      </c>
      <c r="S352">
        <v>0</v>
      </c>
      <c r="T352">
        <v>0</v>
      </c>
      <c r="U352" s="20">
        <v>45945.795798611114</v>
      </c>
      <c r="V352" s="20">
        <v>46077.993217592593</v>
      </c>
      <c r="Y352">
        <v>0</v>
      </c>
      <c r="Z352" t="s">
        <v>1308</v>
      </c>
      <c r="AA352" t="s">
        <v>163</v>
      </c>
      <c r="AB352" t="s">
        <v>46</v>
      </c>
      <c r="AL352" t="s">
        <v>2590</v>
      </c>
      <c r="AM352" t="s">
        <v>46</v>
      </c>
      <c r="AO352" t="s">
        <v>163</v>
      </c>
      <c r="AP352" t="s">
        <v>164</v>
      </c>
      <c r="AQ352" t="s">
        <v>210</v>
      </c>
      <c r="AR352" t="s">
        <v>89</v>
      </c>
      <c r="AV352" t="s">
        <v>3350</v>
      </c>
      <c r="AW352" t="s">
        <v>211</v>
      </c>
      <c r="AX352" t="s">
        <v>3769</v>
      </c>
    </row>
    <row r="353" spans="1:50" x14ac:dyDescent="0.25">
      <c r="A353" t="s">
        <v>212</v>
      </c>
      <c r="B353" t="s">
        <v>1168</v>
      </c>
      <c r="C353" t="s">
        <v>1374</v>
      </c>
      <c r="D353" t="s">
        <v>3230</v>
      </c>
      <c r="E353">
        <v>1</v>
      </c>
      <c r="F353">
        <v>1</v>
      </c>
      <c r="H353" t="s">
        <v>1307</v>
      </c>
      <c r="I353" t="s">
        <v>1308</v>
      </c>
      <c r="J353" t="s">
        <v>1172</v>
      </c>
      <c r="K353" t="s">
        <v>1173</v>
      </c>
      <c r="L353" t="s">
        <v>1174</v>
      </c>
      <c r="M353">
        <v>0</v>
      </c>
      <c r="N353" t="s">
        <v>50</v>
      </c>
      <c r="O353">
        <v>1</v>
      </c>
      <c r="P353">
        <v>0</v>
      </c>
      <c r="Q353">
        <v>0</v>
      </c>
      <c r="R353">
        <v>0</v>
      </c>
      <c r="S353">
        <v>0</v>
      </c>
      <c r="T353">
        <v>0</v>
      </c>
      <c r="U353" s="20">
        <v>45945.79583333333</v>
      </c>
      <c r="V353" s="20">
        <v>46077.99322916667</v>
      </c>
      <c r="Y353">
        <v>0</v>
      </c>
      <c r="Z353" t="s">
        <v>1308</v>
      </c>
      <c r="AA353" t="s">
        <v>163</v>
      </c>
      <c r="AL353" t="s">
        <v>2592</v>
      </c>
      <c r="AM353" t="s">
        <v>46</v>
      </c>
      <c r="AO353" t="s">
        <v>163</v>
      </c>
      <c r="AP353" t="s">
        <v>164</v>
      </c>
      <c r="AQ353" t="s">
        <v>213</v>
      </c>
      <c r="AR353" t="s">
        <v>89</v>
      </c>
      <c r="AV353" t="s">
        <v>3235</v>
      </c>
      <c r="AW353" t="s">
        <v>214</v>
      </c>
      <c r="AX353" t="s">
        <v>3770</v>
      </c>
    </row>
    <row r="354" spans="1:50" x14ac:dyDescent="0.25">
      <c r="A354" t="s">
        <v>215</v>
      </c>
      <c r="B354" t="s">
        <v>1168</v>
      </c>
      <c r="C354" t="s">
        <v>1375</v>
      </c>
      <c r="D354" t="s">
        <v>2485</v>
      </c>
      <c r="E354">
        <v>1</v>
      </c>
      <c r="F354">
        <v>1</v>
      </c>
      <c r="H354" t="s">
        <v>1307</v>
      </c>
      <c r="I354" t="s">
        <v>1308</v>
      </c>
      <c r="J354" t="s">
        <v>1172</v>
      </c>
      <c r="K354" t="s">
        <v>1173</v>
      </c>
      <c r="L354" t="s">
        <v>1174</v>
      </c>
      <c r="M354">
        <v>0</v>
      </c>
      <c r="N354" t="s">
        <v>41</v>
      </c>
      <c r="O354">
        <v>1</v>
      </c>
      <c r="P354">
        <v>0</v>
      </c>
      <c r="Q354">
        <v>0</v>
      </c>
      <c r="R354">
        <v>0</v>
      </c>
      <c r="S354">
        <v>0</v>
      </c>
      <c r="T354">
        <v>0</v>
      </c>
      <c r="U354" s="20">
        <v>45946.577569444446</v>
      </c>
      <c r="V354" s="20">
        <v>46036.911898148152</v>
      </c>
      <c r="Y354">
        <v>0</v>
      </c>
      <c r="Z354" t="s">
        <v>1308</v>
      </c>
      <c r="AA354" t="s">
        <v>179</v>
      </c>
      <c r="AL354" t="s">
        <v>2594</v>
      </c>
      <c r="AO354" t="s">
        <v>179</v>
      </c>
      <c r="AQ354" t="s">
        <v>216</v>
      </c>
      <c r="AR354" t="s">
        <v>51</v>
      </c>
      <c r="AW354" t="s">
        <v>217</v>
      </c>
      <c r="AX354" t="s">
        <v>3771</v>
      </c>
    </row>
    <row r="355" spans="1:50" x14ac:dyDescent="0.25">
      <c r="A355" t="s">
        <v>218</v>
      </c>
      <c r="B355" t="s">
        <v>1168</v>
      </c>
      <c r="C355" t="s">
        <v>1376</v>
      </c>
      <c r="E355">
        <v>1</v>
      </c>
      <c r="F355">
        <v>1</v>
      </c>
      <c r="H355" t="s">
        <v>1307</v>
      </c>
      <c r="I355" t="s">
        <v>1308</v>
      </c>
      <c r="J355" t="s">
        <v>1172</v>
      </c>
      <c r="K355" t="s">
        <v>1173</v>
      </c>
      <c r="L355" t="s">
        <v>1174</v>
      </c>
      <c r="M355">
        <v>0</v>
      </c>
      <c r="N355" t="s">
        <v>50</v>
      </c>
      <c r="O355">
        <v>1</v>
      </c>
      <c r="P355">
        <v>0</v>
      </c>
      <c r="Q355">
        <v>0</v>
      </c>
      <c r="R355">
        <v>0</v>
      </c>
      <c r="S355">
        <v>0</v>
      </c>
      <c r="T355">
        <v>0</v>
      </c>
      <c r="U355" s="20">
        <v>45946.5778125</v>
      </c>
      <c r="V355" s="20">
        <v>46002.067557870374</v>
      </c>
      <c r="Y355">
        <v>0</v>
      </c>
      <c r="Z355" t="s">
        <v>1308</v>
      </c>
      <c r="AA355" t="s">
        <v>163</v>
      </c>
      <c r="AL355" t="s">
        <v>2595</v>
      </c>
      <c r="AO355" t="s">
        <v>163</v>
      </c>
      <c r="AP355" t="s">
        <v>49</v>
      </c>
      <c r="AQ355" t="s">
        <v>219</v>
      </c>
      <c r="AR355" t="s">
        <v>51</v>
      </c>
      <c r="AV355" t="s">
        <v>3351</v>
      </c>
      <c r="AW355" t="s">
        <v>3228</v>
      </c>
      <c r="AX355" t="s">
        <v>3772</v>
      </c>
    </row>
    <row r="356" spans="1:50" x14ac:dyDescent="0.25">
      <c r="A356" t="s">
        <v>346</v>
      </c>
      <c r="B356" t="s">
        <v>1168</v>
      </c>
      <c r="C356" t="s">
        <v>1435</v>
      </c>
      <c r="D356" t="s">
        <v>3230</v>
      </c>
      <c r="E356">
        <v>1</v>
      </c>
      <c r="F356">
        <v>1</v>
      </c>
      <c r="H356" t="s">
        <v>1307</v>
      </c>
      <c r="I356" t="s">
        <v>1308</v>
      </c>
      <c r="J356" t="s">
        <v>1172</v>
      </c>
      <c r="K356" t="s">
        <v>1173</v>
      </c>
      <c r="L356" t="s">
        <v>1174</v>
      </c>
      <c r="M356">
        <v>0</v>
      </c>
      <c r="N356" t="s">
        <v>50</v>
      </c>
      <c r="O356">
        <v>1</v>
      </c>
      <c r="P356">
        <v>0</v>
      </c>
      <c r="Q356">
        <v>0</v>
      </c>
      <c r="R356">
        <v>0</v>
      </c>
      <c r="S356">
        <v>0</v>
      </c>
      <c r="T356">
        <v>0</v>
      </c>
      <c r="U356" s="20">
        <v>45946.577835648146</v>
      </c>
      <c r="V356" s="20">
        <v>46077.993217592593</v>
      </c>
      <c r="Y356">
        <v>0</v>
      </c>
      <c r="Z356" t="s">
        <v>1308</v>
      </c>
      <c r="AA356" t="s">
        <v>312</v>
      </c>
      <c r="AL356" t="s">
        <v>2670</v>
      </c>
      <c r="AO356" t="s">
        <v>312</v>
      </c>
      <c r="AP356" t="s">
        <v>62</v>
      </c>
      <c r="AQ356" t="s">
        <v>347</v>
      </c>
      <c r="AR356" t="s">
        <v>73</v>
      </c>
      <c r="AV356" t="s">
        <v>3239</v>
      </c>
      <c r="AW356" t="s">
        <v>348</v>
      </c>
      <c r="AX356" t="s">
        <v>3773</v>
      </c>
    </row>
    <row r="357" spans="1:50" x14ac:dyDescent="0.25">
      <c r="A357" t="s">
        <v>220</v>
      </c>
      <c r="B357" t="s">
        <v>1168</v>
      </c>
      <c r="C357" t="s">
        <v>1377</v>
      </c>
      <c r="D357" t="s">
        <v>3210</v>
      </c>
      <c r="E357">
        <v>1</v>
      </c>
      <c r="F357">
        <v>1</v>
      </c>
      <c r="H357" t="s">
        <v>1307</v>
      </c>
      <c r="I357" t="s">
        <v>1308</v>
      </c>
      <c r="J357" t="s">
        <v>1172</v>
      </c>
      <c r="K357" t="s">
        <v>1173</v>
      </c>
      <c r="L357" t="s">
        <v>1174</v>
      </c>
      <c r="M357">
        <v>0</v>
      </c>
      <c r="N357" t="s">
        <v>50</v>
      </c>
      <c r="O357">
        <v>1</v>
      </c>
      <c r="P357">
        <v>0</v>
      </c>
      <c r="Q357">
        <v>0</v>
      </c>
      <c r="R357">
        <v>0</v>
      </c>
      <c r="S357">
        <v>0</v>
      </c>
      <c r="T357">
        <v>0</v>
      </c>
      <c r="U357" s="20">
        <v>45946.5778587963</v>
      </c>
      <c r="V357" s="20">
        <v>46071.947974537034</v>
      </c>
      <c r="Y357">
        <v>0</v>
      </c>
      <c r="Z357" t="s">
        <v>1308</v>
      </c>
      <c r="AA357" t="s">
        <v>163</v>
      </c>
      <c r="AL357" t="s">
        <v>2994</v>
      </c>
      <c r="AO357" t="s">
        <v>163</v>
      </c>
      <c r="AP357" t="s">
        <v>3126</v>
      </c>
      <c r="AQ357" t="s">
        <v>3152</v>
      </c>
      <c r="AR357" t="s">
        <v>89</v>
      </c>
      <c r="AV357" t="s">
        <v>3154</v>
      </c>
      <c r="AW357" t="s">
        <v>3153</v>
      </c>
      <c r="AX357" t="s">
        <v>3774</v>
      </c>
    </row>
    <row r="358" spans="1:50" x14ac:dyDescent="0.25">
      <c r="A358" t="s">
        <v>221</v>
      </c>
      <c r="B358" t="s">
        <v>1168</v>
      </c>
      <c r="C358" t="s">
        <v>1378</v>
      </c>
      <c r="D358" t="s">
        <v>3210</v>
      </c>
      <c r="E358">
        <v>1</v>
      </c>
      <c r="F358">
        <v>1</v>
      </c>
      <c r="H358" t="s">
        <v>1307</v>
      </c>
      <c r="I358" t="s">
        <v>1308</v>
      </c>
      <c r="J358" t="s">
        <v>1172</v>
      </c>
      <c r="K358" t="s">
        <v>1173</v>
      </c>
      <c r="L358" t="s">
        <v>1174</v>
      </c>
      <c r="M358">
        <v>0</v>
      </c>
      <c r="N358" t="s">
        <v>50</v>
      </c>
      <c r="O358">
        <v>1</v>
      </c>
      <c r="P358">
        <v>0</v>
      </c>
      <c r="Q358">
        <v>0</v>
      </c>
      <c r="R358">
        <v>0</v>
      </c>
      <c r="S358">
        <v>0</v>
      </c>
      <c r="T358">
        <v>0</v>
      </c>
      <c r="U358" s="20">
        <v>45946.577870370369</v>
      </c>
      <c r="V358" s="20">
        <v>46071.947222222225</v>
      </c>
      <c r="Y358">
        <v>0</v>
      </c>
      <c r="Z358" t="s">
        <v>1308</v>
      </c>
      <c r="AA358" t="s">
        <v>163</v>
      </c>
      <c r="AL358" t="s">
        <v>2996</v>
      </c>
      <c r="AO358" t="s">
        <v>163</v>
      </c>
      <c r="AP358" t="s">
        <v>3126</v>
      </c>
      <c r="AQ358" t="s">
        <v>3155</v>
      </c>
      <c r="AR358" t="s">
        <v>89</v>
      </c>
      <c r="AV358" t="s">
        <v>3157</v>
      </c>
      <c r="AW358" t="s">
        <v>3156</v>
      </c>
      <c r="AX358" t="s">
        <v>3775</v>
      </c>
    </row>
    <row r="359" spans="1:50" x14ac:dyDescent="0.25">
      <c r="A359" t="s">
        <v>222</v>
      </c>
      <c r="B359" t="s">
        <v>1168</v>
      </c>
      <c r="C359" t="s">
        <v>1379</v>
      </c>
      <c r="D359" t="s">
        <v>3210</v>
      </c>
      <c r="E359">
        <v>1</v>
      </c>
      <c r="F359">
        <v>1</v>
      </c>
      <c r="H359" t="s">
        <v>1307</v>
      </c>
      <c r="I359" t="s">
        <v>1308</v>
      </c>
      <c r="J359" t="s">
        <v>1172</v>
      </c>
      <c r="K359" t="s">
        <v>1173</v>
      </c>
      <c r="L359" t="s">
        <v>1174</v>
      </c>
      <c r="M359">
        <v>0</v>
      </c>
      <c r="N359" t="s">
        <v>50</v>
      </c>
      <c r="O359">
        <v>1</v>
      </c>
      <c r="P359">
        <v>0</v>
      </c>
      <c r="Q359">
        <v>0</v>
      </c>
      <c r="R359">
        <v>0</v>
      </c>
      <c r="S359">
        <v>0</v>
      </c>
      <c r="T359">
        <v>0</v>
      </c>
      <c r="U359" s="20">
        <v>45946.577881944446</v>
      </c>
      <c r="V359" s="20">
        <v>46071.945567129631</v>
      </c>
      <c r="Y359">
        <v>0</v>
      </c>
      <c r="Z359" t="s">
        <v>1308</v>
      </c>
      <c r="AA359" t="s">
        <v>163</v>
      </c>
      <c r="AL359" t="s">
        <v>2997</v>
      </c>
      <c r="AO359" t="s">
        <v>163</v>
      </c>
      <c r="AP359" t="s">
        <v>3126</v>
      </c>
      <c r="AQ359" t="s">
        <v>3158</v>
      </c>
      <c r="AR359" t="s">
        <v>73</v>
      </c>
      <c r="AV359" t="s">
        <v>3160</v>
      </c>
      <c r="AW359" t="s">
        <v>3159</v>
      </c>
      <c r="AX359" t="s">
        <v>3776</v>
      </c>
    </row>
    <row r="360" spans="1:50" x14ac:dyDescent="0.25">
      <c r="A360" t="s">
        <v>223</v>
      </c>
      <c r="B360" t="s">
        <v>1168</v>
      </c>
      <c r="C360" t="s">
        <v>1380</v>
      </c>
      <c r="D360" t="s">
        <v>3210</v>
      </c>
      <c r="E360">
        <v>1</v>
      </c>
      <c r="F360">
        <v>1</v>
      </c>
      <c r="H360" t="s">
        <v>1307</v>
      </c>
      <c r="I360" t="s">
        <v>1308</v>
      </c>
      <c r="J360" t="s">
        <v>1172</v>
      </c>
      <c r="K360" t="s">
        <v>1173</v>
      </c>
      <c r="L360" t="s">
        <v>1174</v>
      </c>
      <c r="M360">
        <v>0</v>
      </c>
      <c r="N360" t="s">
        <v>50</v>
      </c>
      <c r="O360">
        <v>1</v>
      </c>
      <c r="P360">
        <v>0</v>
      </c>
      <c r="Q360">
        <v>0</v>
      </c>
      <c r="R360">
        <v>0</v>
      </c>
      <c r="S360">
        <v>0</v>
      </c>
      <c r="T360">
        <v>0</v>
      </c>
      <c r="U360" s="20">
        <v>45946.577893518515</v>
      </c>
      <c r="V360" s="20">
        <v>46071.946168981478</v>
      </c>
      <c r="Y360">
        <v>0</v>
      </c>
      <c r="Z360" t="s">
        <v>1308</v>
      </c>
      <c r="AA360" t="s">
        <v>163</v>
      </c>
      <c r="AL360" t="s">
        <v>2998</v>
      </c>
      <c r="AO360" t="s">
        <v>163</v>
      </c>
      <c r="AP360" t="s">
        <v>3126</v>
      </c>
      <c r="AQ360" t="s">
        <v>3161</v>
      </c>
      <c r="AR360" t="s">
        <v>73</v>
      </c>
      <c r="AV360" t="s">
        <v>3163</v>
      </c>
      <c r="AW360" t="s">
        <v>3162</v>
      </c>
      <c r="AX360" t="s">
        <v>3777</v>
      </c>
    </row>
    <row r="361" spans="1:50" x14ac:dyDescent="0.25">
      <c r="A361" t="s">
        <v>224</v>
      </c>
      <c r="B361" t="s">
        <v>1168</v>
      </c>
      <c r="C361" t="s">
        <v>1381</v>
      </c>
      <c r="D361" t="s">
        <v>3210</v>
      </c>
      <c r="E361">
        <v>1</v>
      </c>
      <c r="F361">
        <v>1</v>
      </c>
      <c r="H361" t="s">
        <v>1307</v>
      </c>
      <c r="I361" t="s">
        <v>1308</v>
      </c>
      <c r="J361" t="s">
        <v>1172</v>
      </c>
      <c r="K361" t="s">
        <v>1173</v>
      </c>
      <c r="L361" t="s">
        <v>1174</v>
      </c>
      <c r="M361">
        <v>0</v>
      </c>
      <c r="N361" t="s">
        <v>50</v>
      </c>
      <c r="O361">
        <v>1</v>
      </c>
      <c r="P361">
        <v>0</v>
      </c>
      <c r="Q361">
        <v>0</v>
      </c>
      <c r="R361">
        <v>0</v>
      </c>
      <c r="S361">
        <v>0</v>
      </c>
      <c r="T361">
        <v>0</v>
      </c>
      <c r="U361" s="20">
        <v>45946.577916666669</v>
      </c>
      <c r="V361" s="20">
        <v>46071.945983796293</v>
      </c>
      <c r="Y361">
        <v>0</v>
      </c>
      <c r="Z361" t="s">
        <v>1308</v>
      </c>
      <c r="AA361" t="s">
        <v>179</v>
      </c>
      <c r="AL361" t="s">
        <v>2999</v>
      </c>
      <c r="AO361" t="s">
        <v>179</v>
      </c>
      <c r="AP361" t="s">
        <v>3126</v>
      </c>
      <c r="AQ361" t="s">
        <v>3164</v>
      </c>
      <c r="AR361" t="s">
        <v>89</v>
      </c>
      <c r="AV361" t="s">
        <v>3166</v>
      </c>
      <c r="AW361" t="s">
        <v>3165</v>
      </c>
      <c r="AX361" t="s">
        <v>3778</v>
      </c>
    </row>
    <row r="362" spans="1:50" x14ac:dyDescent="0.25">
      <c r="A362" t="s">
        <v>225</v>
      </c>
      <c r="B362" t="s">
        <v>1168</v>
      </c>
      <c r="C362" t="s">
        <v>1382</v>
      </c>
      <c r="D362" t="s">
        <v>3210</v>
      </c>
      <c r="E362">
        <v>1</v>
      </c>
      <c r="F362">
        <v>1</v>
      </c>
      <c r="H362" t="s">
        <v>1307</v>
      </c>
      <c r="I362" t="s">
        <v>1308</v>
      </c>
      <c r="J362" t="s">
        <v>1172</v>
      </c>
      <c r="K362" t="s">
        <v>1173</v>
      </c>
      <c r="L362" t="s">
        <v>1174</v>
      </c>
      <c r="M362">
        <v>0</v>
      </c>
      <c r="N362" t="s">
        <v>50</v>
      </c>
      <c r="O362">
        <v>1</v>
      </c>
      <c r="P362">
        <v>0</v>
      </c>
      <c r="Q362">
        <v>0</v>
      </c>
      <c r="R362">
        <v>0</v>
      </c>
      <c r="S362">
        <v>0</v>
      </c>
      <c r="T362">
        <v>0</v>
      </c>
      <c r="U362" s="20">
        <v>45946.577928240738</v>
      </c>
      <c r="V362" s="20">
        <v>46071.945983796293</v>
      </c>
      <c r="Y362">
        <v>0</v>
      </c>
      <c r="Z362" t="s">
        <v>1308</v>
      </c>
      <c r="AA362" t="s">
        <v>179</v>
      </c>
      <c r="AL362" t="s">
        <v>3000</v>
      </c>
      <c r="AO362" t="s">
        <v>179</v>
      </c>
      <c r="AP362" t="s">
        <v>3126</v>
      </c>
      <c r="AQ362" t="s">
        <v>3167</v>
      </c>
      <c r="AR362" t="s">
        <v>89</v>
      </c>
      <c r="AV362" t="s">
        <v>3171</v>
      </c>
      <c r="AW362" t="s">
        <v>3168</v>
      </c>
      <c r="AX362" t="s">
        <v>3779</v>
      </c>
    </row>
    <row r="363" spans="1:50" x14ac:dyDescent="0.25">
      <c r="A363" t="s">
        <v>226</v>
      </c>
      <c r="B363" t="s">
        <v>1168</v>
      </c>
      <c r="C363" t="s">
        <v>1383</v>
      </c>
      <c r="D363" t="s">
        <v>3352</v>
      </c>
      <c r="E363">
        <v>1</v>
      </c>
      <c r="F363">
        <v>1</v>
      </c>
      <c r="H363" t="s">
        <v>1307</v>
      </c>
      <c r="I363" t="s">
        <v>1308</v>
      </c>
      <c r="J363" t="s">
        <v>1172</v>
      </c>
      <c r="K363" t="s">
        <v>1173</v>
      </c>
      <c r="L363" t="s">
        <v>1174</v>
      </c>
      <c r="M363">
        <v>0</v>
      </c>
      <c r="N363" t="s">
        <v>50</v>
      </c>
      <c r="O363">
        <v>1</v>
      </c>
      <c r="P363">
        <v>0</v>
      </c>
      <c r="Q363">
        <v>0</v>
      </c>
      <c r="R363">
        <v>0</v>
      </c>
      <c r="S363">
        <v>0</v>
      </c>
      <c r="T363">
        <v>0</v>
      </c>
      <c r="U363" s="20">
        <v>45946.577986111108</v>
      </c>
      <c r="V363" s="20">
        <v>46077.99322916667</v>
      </c>
      <c r="Y363">
        <v>0</v>
      </c>
      <c r="Z363" t="s">
        <v>1308</v>
      </c>
      <c r="AA363" t="s">
        <v>163</v>
      </c>
      <c r="AL363" t="s">
        <v>2598</v>
      </c>
      <c r="AO363" t="s">
        <v>163</v>
      </c>
      <c r="AP363" t="s">
        <v>164</v>
      </c>
      <c r="AQ363" t="s">
        <v>227</v>
      </c>
      <c r="AR363" t="s">
        <v>89</v>
      </c>
      <c r="AV363" t="s">
        <v>3353</v>
      </c>
      <c r="AW363" t="s">
        <v>228</v>
      </c>
      <c r="AX363" t="s">
        <v>3780</v>
      </c>
    </row>
    <row r="364" spans="1:50" x14ac:dyDescent="0.25">
      <c r="A364" t="s">
        <v>229</v>
      </c>
      <c r="B364" t="s">
        <v>1168</v>
      </c>
      <c r="C364" t="s">
        <v>1384</v>
      </c>
      <c r="D364" t="s">
        <v>3354</v>
      </c>
      <c r="E364">
        <v>1</v>
      </c>
      <c r="F364">
        <v>1</v>
      </c>
      <c r="H364" t="s">
        <v>1307</v>
      </c>
      <c r="I364" t="s">
        <v>1308</v>
      </c>
      <c r="J364" t="s">
        <v>1172</v>
      </c>
      <c r="K364" t="s">
        <v>1173</v>
      </c>
      <c r="L364" t="s">
        <v>1174</v>
      </c>
      <c r="M364">
        <v>0</v>
      </c>
      <c r="N364" t="s">
        <v>87</v>
      </c>
      <c r="O364">
        <v>1</v>
      </c>
      <c r="P364">
        <v>0</v>
      </c>
      <c r="Q364">
        <v>0</v>
      </c>
      <c r="R364">
        <v>0</v>
      </c>
      <c r="S364">
        <v>0</v>
      </c>
      <c r="T364">
        <v>0</v>
      </c>
      <c r="U364" s="20">
        <v>45946.578009259261</v>
      </c>
      <c r="V364" s="20">
        <v>46077.99322916667</v>
      </c>
      <c r="Y364">
        <v>0</v>
      </c>
      <c r="Z364" t="s">
        <v>1308</v>
      </c>
      <c r="AA364" t="s">
        <v>163</v>
      </c>
      <c r="AL364" t="s">
        <v>2601</v>
      </c>
      <c r="AM364" t="s">
        <v>86</v>
      </c>
      <c r="AN364" t="s">
        <v>230</v>
      </c>
      <c r="AO364" t="s">
        <v>163</v>
      </c>
      <c r="AP364" t="s">
        <v>164</v>
      </c>
      <c r="AQ364" t="s">
        <v>231</v>
      </c>
      <c r="AR364" t="s">
        <v>89</v>
      </c>
      <c r="AV364" t="s">
        <v>3287</v>
      </c>
      <c r="AW364" t="s">
        <v>232</v>
      </c>
      <c r="AX364" t="s">
        <v>3781</v>
      </c>
    </row>
    <row r="365" spans="1:50" x14ac:dyDescent="0.25">
      <c r="A365" t="s">
        <v>233</v>
      </c>
      <c r="B365" t="s">
        <v>1168</v>
      </c>
      <c r="C365" t="s">
        <v>1385</v>
      </c>
      <c r="D365" t="s">
        <v>3355</v>
      </c>
      <c r="E365">
        <v>1</v>
      </c>
      <c r="F365">
        <v>1</v>
      </c>
      <c r="H365" t="s">
        <v>1307</v>
      </c>
      <c r="I365" t="s">
        <v>1308</v>
      </c>
      <c r="J365" t="s">
        <v>1172</v>
      </c>
      <c r="K365" t="s">
        <v>1173</v>
      </c>
      <c r="L365" t="s">
        <v>1174</v>
      </c>
      <c r="M365">
        <v>0</v>
      </c>
      <c r="N365" t="s">
        <v>50</v>
      </c>
      <c r="O365">
        <v>1</v>
      </c>
      <c r="P365">
        <v>0</v>
      </c>
      <c r="Q365">
        <v>0</v>
      </c>
      <c r="R365">
        <v>0</v>
      </c>
      <c r="S365">
        <v>0</v>
      </c>
      <c r="T365">
        <v>0</v>
      </c>
      <c r="U365" s="20">
        <v>45946.578020833331</v>
      </c>
      <c r="V365" s="20">
        <v>46077.993206018517</v>
      </c>
      <c r="Y365">
        <v>0</v>
      </c>
      <c r="Z365" t="s">
        <v>1308</v>
      </c>
      <c r="AA365" t="s">
        <v>163</v>
      </c>
      <c r="AL365" t="s">
        <v>2604</v>
      </c>
      <c r="AO365" t="s">
        <v>163</v>
      </c>
      <c r="AP365" t="s">
        <v>164</v>
      </c>
      <c r="AQ365" t="s">
        <v>234</v>
      </c>
      <c r="AR365" t="s">
        <v>89</v>
      </c>
      <c r="AV365" t="s">
        <v>3356</v>
      </c>
      <c r="AW365" t="s">
        <v>235</v>
      </c>
      <c r="AX365" t="s">
        <v>3782</v>
      </c>
    </row>
    <row r="366" spans="1:50" x14ac:dyDescent="0.25">
      <c r="A366" t="s">
        <v>236</v>
      </c>
      <c r="B366" t="s">
        <v>1168</v>
      </c>
      <c r="C366" t="s">
        <v>1386</v>
      </c>
      <c r="D366" t="s">
        <v>3357</v>
      </c>
      <c r="E366">
        <v>1</v>
      </c>
      <c r="F366">
        <v>1</v>
      </c>
      <c r="H366" t="s">
        <v>1307</v>
      </c>
      <c r="I366" t="s">
        <v>1308</v>
      </c>
      <c r="J366" t="s">
        <v>1172</v>
      </c>
      <c r="K366" t="s">
        <v>1173</v>
      </c>
      <c r="L366" t="s">
        <v>1174</v>
      </c>
      <c r="M366">
        <v>0</v>
      </c>
      <c r="N366" t="s">
        <v>87</v>
      </c>
      <c r="O366">
        <v>1</v>
      </c>
      <c r="P366">
        <v>0</v>
      </c>
      <c r="Q366">
        <v>0</v>
      </c>
      <c r="R366">
        <v>0</v>
      </c>
      <c r="S366">
        <v>0</v>
      </c>
      <c r="T366">
        <v>0</v>
      </c>
      <c r="U366" s="20">
        <v>45946.578043981484</v>
      </c>
      <c r="V366" s="20">
        <v>46077.993217592593</v>
      </c>
      <c r="Y366">
        <v>0</v>
      </c>
      <c r="Z366" t="s">
        <v>1308</v>
      </c>
      <c r="AA366" t="s">
        <v>48</v>
      </c>
      <c r="AL366" t="s">
        <v>2605</v>
      </c>
      <c r="AO366" t="s">
        <v>48</v>
      </c>
      <c r="AP366" t="s">
        <v>164</v>
      </c>
      <c r="AQ366" t="s">
        <v>237</v>
      </c>
      <c r="AR366" t="s">
        <v>89</v>
      </c>
      <c r="AV366" t="s">
        <v>3288</v>
      </c>
      <c r="AW366" t="s">
        <v>238</v>
      </c>
      <c r="AX366" t="s">
        <v>3783</v>
      </c>
    </row>
    <row r="367" spans="1:50" x14ac:dyDescent="0.25">
      <c r="A367" t="s">
        <v>239</v>
      </c>
      <c r="B367" t="s">
        <v>1168</v>
      </c>
      <c r="C367" t="s">
        <v>1387</v>
      </c>
      <c r="D367" t="s">
        <v>3358</v>
      </c>
      <c r="E367">
        <v>1</v>
      </c>
      <c r="F367">
        <v>1</v>
      </c>
      <c r="H367" t="s">
        <v>1307</v>
      </c>
      <c r="I367" t="s">
        <v>1308</v>
      </c>
      <c r="J367" t="s">
        <v>1172</v>
      </c>
      <c r="K367" t="s">
        <v>1173</v>
      </c>
      <c r="L367" t="s">
        <v>1174</v>
      </c>
      <c r="M367">
        <v>0</v>
      </c>
      <c r="N367" t="s">
        <v>50</v>
      </c>
      <c r="O367">
        <v>1</v>
      </c>
      <c r="P367">
        <v>0</v>
      </c>
      <c r="Q367">
        <v>0</v>
      </c>
      <c r="R367">
        <v>0</v>
      </c>
      <c r="S367">
        <v>0</v>
      </c>
      <c r="T367">
        <v>0</v>
      </c>
      <c r="U367" s="20">
        <v>45946.578055555554</v>
      </c>
      <c r="V367" s="20">
        <v>46077.99322916667</v>
      </c>
      <c r="Y367">
        <v>0</v>
      </c>
      <c r="Z367" t="s">
        <v>1308</v>
      </c>
      <c r="AA367" t="s">
        <v>163</v>
      </c>
      <c r="AL367" t="s">
        <v>2606</v>
      </c>
      <c r="AO367" t="s">
        <v>163</v>
      </c>
      <c r="AP367" t="s">
        <v>164</v>
      </c>
      <c r="AQ367" t="s">
        <v>240</v>
      </c>
      <c r="AR367" t="s">
        <v>89</v>
      </c>
      <c r="AV367" t="s">
        <v>3359</v>
      </c>
      <c r="AW367" t="s">
        <v>241</v>
      </c>
      <c r="AX367" t="s">
        <v>3784</v>
      </c>
    </row>
    <row r="368" spans="1:50" x14ac:dyDescent="0.25">
      <c r="A368" t="s">
        <v>242</v>
      </c>
      <c r="B368" t="s">
        <v>1168</v>
      </c>
      <c r="C368" t="s">
        <v>1388</v>
      </c>
      <c r="D368" t="s">
        <v>3360</v>
      </c>
      <c r="E368">
        <v>1</v>
      </c>
      <c r="F368">
        <v>1</v>
      </c>
      <c r="H368" t="s">
        <v>1307</v>
      </c>
      <c r="I368" t="s">
        <v>1308</v>
      </c>
      <c r="J368" t="s">
        <v>1172</v>
      </c>
      <c r="K368" t="s">
        <v>1173</v>
      </c>
      <c r="L368" t="s">
        <v>1174</v>
      </c>
      <c r="M368">
        <v>0</v>
      </c>
      <c r="N368" t="s">
        <v>87</v>
      </c>
      <c r="O368">
        <v>1</v>
      </c>
      <c r="P368">
        <v>0</v>
      </c>
      <c r="Q368">
        <v>0</v>
      </c>
      <c r="R368">
        <v>0</v>
      </c>
      <c r="S368">
        <v>0</v>
      </c>
      <c r="T368">
        <v>0</v>
      </c>
      <c r="U368" s="20">
        <v>45946.5780787037</v>
      </c>
      <c r="V368" s="20">
        <v>46077.993217592593</v>
      </c>
      <c r="Y368">
        <v>0</v>
      </c>
      <c r="Z368" t="s">
        <v>1308</v>
      </c>
      <c r="AA368" t="s">
        <v>163</v>
      </c>
      <c r="AL368" t="s">
        <v>2607</v>
      </c>
      <c r="AM368" t="s">
        <v>86</v>
      </c>
      <c r="AN368" t="s">
        <v>230</v>
      </c>
      <c r="AO368" t="s">
        <v>163</v>
      </c>
      <c r="AP368" t="s">
        <v>62</v>
      </c>
      <c r="AQ368" t="s">
        <v>243</v>
      </c>
      <c r="AR368" t="s">
        <v>89</v>
      </c>
      <c r="AV368" t="s">
        <v>245</v>
      </c>
      <c r="AW368" t="s">
        <v>244</v>
      </c>
      <c r="AX368" t="s">
        <v>3785</v>
      </c>
    </row>
    <row r="369" spans="1:50" x14ac:dyDescent="0.25">
      <c r="A369" t="s">
        <v>280</v>
      </c>
      <c r="B369" t="s">
        <v>1168</v>
      </c>
      <c r="C369" t="s">
        <v>1415</v>
      </c>
      <c r="D369" t="s">
        <v>84</v>
      </c>
      <c r="E369">
        <v>1</v>
      </c>
      <c r="F369">
        <v>1</v>
      </c>
      <c r="H369" t="s">
        <v>1307</v>
      </c>
      <c r="I369" t="s">
        <v>1308</v>
      </c>
      <c r="J369" t="s">
        <v>1172</v>
      </c>
      <c r="K369" t="s">
        <v>1173</v>
      </c>
      <c r="L369" t="s">
        <v>1174</v>
      </c>
      <c r="M369">
        <v>0</v>
      </c>
      <c r="N369" t="s">
        <v>41</v>
      </c>
      <c r="O369">
        <v>1</v>
      </c>
      <c r="P369">
        <v>0</v>
      </c>
      <c r="Q369">
        <v>0</v>
      </c>
      <c r="R369">
        <v>0</v>
      </c>
      <c r="S369">
        <v>0</v>
      </c>
      <c r="T369">
        <v>0</v>
      </c>
      <c r="U369" s="20">
        <v>45953.485069444447</v>
      </c>
      <c r="V369" s="20">
        <v>46002.06759259259</v>
      </c>
      <c r="Y369">
        <v>0</v>
      </c>
      <c r="Z369" t="s">
        <v>1308</v>
      </c>
      <c r="AA369" t="s">
        <v>277</v>
      </c>
      <c r="AL369" t="s">
        <v>2643</v>
      </c>
      <c r="AO369" t="s">
        <v>277</v>
      </c>
      <c r="AX369" t="s">
        <v>3786</v>
      </c>
    </row>
    <row r="370" spans="1:50" x14ac:dyDescent="0.25">
      <c r="A370" t="s">
        <v>282</v>
      </c>
      <c r="B370" t="s">
        <v>1168</v>
      </c>
      <c r="C370" t="s">
        <v>1416</v>
      </c>
      <c r="D370" t="s">
        <v>283</v>
      </c>
      <c r="E370">
        <v>1</v>
      </c>
      <c r="F370">
        <v>1</v>
      </c>
      <c r="H370" t="s">
        <v>1307</v>
      </c>
      <c r="I370" t="s">
        <v>1308</v>
      </c>
      <c r="J370" t="s">
        <v>1172</v>
      </c>
      <c r="K370" t="s">
        <v>1173</v>
      </c>
      <c r="L370" t="s">
        <v>1174</v>
      </c>
      <c r="M370">
        <v>0</v>
      </c>
      <c r="N370" t="s">
        <v>41</v>
      </c>
      <c r="O370">
        <v>1</v>
      </c>
      <c r="P370">
        <v>0</v>
      </c>
      <c r="Q370">
        <v>0</v>
      </c>
      <c r="R370">
        <v>0</v>
      </c>
      <c r="S370">
        <v>0</v>
      </c>
      <c r="T370">
        <v>0</v>
      </c>
      <c r="U370" s="20">
        <v>45953.485127314816</v>
      </c>
      <c r="V370" s="20">
        <v>46002.06759259259</v>
      </c>
      <c r="Y370">
        <v>0</v>
      </c>
      <c r="Z370" t="s">
        <v>1308</v>
      </c>
      <c r="AA370" t="s">
        <v>277</v>
      </c>
      <c r="AL370" t="s">
        <v>2646</v>
      </c>
      <c r="AO370" t="s">
        <v>277</v>
      </c>
      <c r="AX370" t="s">
        <v>3787</v>
      </c>
    </row>
    <row r="371" spans="1:50" x14ac:dyDescent="0.25">
      <c r="A371" t="s">
        <v>286</v>
      </c>
      <c r="B371" t="s">
        <v>1168</v>
      </c>
      <c r="C371" t="s">
        <v>1417</v>
      </c>
      <c r="D371" t="s">
        <v>3293</v>
      </c>
      <c r="E371">
        <v>1</v>
      </c>
      <c r="F371">
        <v>1</v>
      </c>
      <c r="H371" t="s">
        <v>1307</v>
      </c>
      <c r="I371" t="s">
        <v>1308</v>
      </c>
      <c r="J371" t="s">
        <v>1172</v>
      </c>
      <c r="K371" t="s">
        <v>1173</v>
      </c>
      <c r="L371" t="s">
        <v>1174</v>
      </c>
      <c r="M371">
        <v>0</v>
      </c>
      <c r="N371" t="s">
        <v>87</v>
      </c>
      <c r="O371">
        <v>1</v>
      </c>
      <c r="P371">
        <v>0</v>
      </c>
      <c r="Q371">
        <v>0</v>
      </c>
      <c r="R371">
        <v>0</v>
      </c>
      <c r="S371">
        <v>0</v>
      </c>
      <c r="T371">
        <v>0</v>
      </c>
      <c r="U371" s="20">
        <v>45953.485173611109</v>
      </c>
      <c r="V371" s="20">
        <v>46077.993217592593</v>
      </c>
      <c r="Y371">
        <v>0</v>
      </c>
      <c r="Z371" t="s">
        <v>1308</v>
      </c>
      <c r="AA371" t="s">
        <v>277</v>
      </c>
      <c r="AL371" t="s">
        <v>2647</v>
      </c>
      <c r="AM371" t="s">
        <v>37</v>
      </c>
      <c r="AN371" t="s">
        <v>95</v>
      </c>
      <c r="AO371" t="s">
        <v>277</v>
      </c>
      <c r="AP371" t="s">
        <v>49</v>
      </c>
      <c r="AQ371" t="s">
        <v>287</v>
      </c>
      <c r="AR371" t="s">
        <v>89</v>
      </c>
      <c r="AV371" t="s">
        <v>3284</v>
      </c>
      <c r="AW371" t="s">
        <v>3222</v>
      </c>
      <c r="AX371" t="s">
        <v>3788</v>
      </c>
    </row>
    <row r="372" spans="1:50" x14ac:dyDescent="0.25">
      <c r="A372" t="s">
        <v>289</v>
      </c>
      <c r="B372" t="s">
        <v>1168</v>
      </c>
      <c r="C372" t="s">
        <v>1418</v>
      </c>
      <c r="D372" t="s">
        <v>3292</v>
      </c>
      <c r="E372">
        <v>1</v>
      </c>
      <c r="F372">
        <v>1</v>
      </c>
      <c r="H372" t="s">
        <v>1307</v>
      </c>
      <c r="I372" t="s">
        <v>1308</v>
      </c>
      <c r="J372" t="s">
        <v>1172</v>
      </c>
      <c r="K372" t="s">
        <v>1173</v>
      </c>
      <c r="L372" t="s">
        <v>1174</v>
      </c>
      <c r="M372">
        <v>0</v>
      </c>
      <c r="N372" t="s">
        <v>87</v>
      </c>
      <c r="O372">
        <v>1</v>
      </c>
      <c r="P372">
        <v>0</v>
      </c>
      <c r="Q372">
        <v>0</v>
      </c>
      <c r="R372">
        <v>0</v>
      </c>
      <c r="S372">
        <v>0</v>
      </c>
      <c r="T372">
        <v>0</v>
      </c>
      <c r="U372" s="20">
        <v>45953.485231481478</v>
      </c>
      <c r="V372" s="20">
        <v>46077.993217592593</v>
      </c>
      <c r="Y372">
        <v>0</v>
      </c>
      <c r="Z372" t="s">
        <v>1308</v>
      </c>
      <c r="AA372" t="s">
        <v>277</v>
      </c>
      <c r="AL372" t="s">
        <v>2648</v>
      </c>
      <c r="AM372" t="s">
        <v>37</v>
      </c>
      <c r="AN372" t="s">
        <v>95</v>
      </c>
      <c r="AO372" t="s">
        <v>277</v>
      </c>
      <c r="AP372" t="s">
        <v>49</v>
      </c>
      <c r="AQ372" t="s">
        <v>290</v>
      </c>
      <c r="AR372" t="s">
        <v>89</v>
      </c>
      <c r="AV372" t="s">
        <v>292</v>
      </c>
      <c r="AW372" t="s">
        <v>291</v>
      </c>
      <c r="AX372" t="s">
        <v>3789</v>
      </c>
    </row>
    <row r="373" spans="1:50" x14ac:dyDescent="0.25">
      <c r="A373" t="s">
        <v>353</v>
      </c>
      <c r="B373" t="s">
        <v>1168</v>
      </c>
      <c r="C373" t="s">
        <v>1437</v>
      </c>
      <c r="D373" t="s">
        <v>3229</v>
      </c>
      <c r="E373">
        <v>1</v>
      </c>
      <c r="F373">
        <v>1</v>
      </c>
      <c r="H373" t="s">
        <v>1307</v>
      </c>
      <c r="I373" t="s">
        <v>1308</v>
      </c>
      <c r="J373" t="s">
        <v>1172</v>
      </c>
      <c r="K373" t="s">
        <v>1173</v>
      </c>
      <c r="L373" t="s">
        <v>1174</v>
      </c>
      <c r="M373">
        <v>0</v>
      </c>
      <c r="N373" t="s">
        <v>50</v>
      </c>
      <c r="O373">
        <v>1</v>
      </c>
      <c r="P373">
        <v>0</v>
      </c>
      <c r="Q373">
        <v>0</v>
      </c>
      <c r="R373">
        <v>0</v>
      </c>
      <c r="S373">
        <v>0</v>
      </c>
      <c r="T373">
        <v>0</v>
      </c>
      <c r="U373" s="20">
        <v>45953.909525462965</v>
      </c>
      <c r="V373" s="20">
        <v>46077.993206018517</v>
      </c>
      <c r="Y373">
        <v>0</v>
      </c>
      <c r="Z373" t="s">
        <v>1308</v>
      </c>
      <c r="AA373" t="s">
        <v>354</v>
      </c>
      <c r="AL373" t="s">
        <v>3005</v>
      </c>
      <c r="AO373" t="s">
        <v>354</v>
      </c>
      <c r="AP373" t="s">
        <v>49</v>
      </c>
      <c r="AQ373" t="s">
        <v>355</v>
      </c>
      <c r="AR373" t="s">
        <v>89</v>
      </c>
      <c r="AV373" t="s">
        <v>3361</v>
      </c>
      <c r="AW373" t="s">
        <v>3220</v>
      </c>
      <c r="AX373" t="s">
        <v>3790</v>
      </c>
    </row>
    <row r="374" spans="1:50" x14ac:dyDescent="0.25">
      <c r="A374" t="s">
        <v>356</v>
      </c>
      <c r="B374" t="s">
        <v>1168</v>
      </c>
      <c r="C374" t="s">
        <v>1438</v>
      </c>
      <c r="D374" t="s">
        <v>3229</v>
      </c>
      <c r="E374">
        <v>1</v>
      </c>
      <c r="F374">
        <v>1</v>
      </c>
      <c r="H374" t="s">
        <v>1307</v>
      </c>
      <c r="I374" t="s">
        <v>1308</v>
      </c>
      <c r="J374" t="s">
        <v>1172</v>
      </c>
      <c r="K374" t="s">
        <v>1173</v>
      </c>
      <c r="L374" t="s">
        <v>1174</v>
      </c>
      <c r="M374">
        <v>0</v>
      </c>
      <c r="N374" t="s">
        <v>50</v>
      </c>
      <c r="O374">
        <v>1</v>
      </c>
      <c r="P374">
        <v>0</v>
      </c>
      <c r="Q374">
        <v>0</v>
      </c>
      <c r="R374">
        <v>0</v>
      </c>
      <c r="S374">
        <v>0</v>
      </c>
      <c r="T374">
        <v>0</v>
      </c>
      <c r="U374" s="20">
        <v>45953.90960648148</v>
      </c>
      <c r="V374" s="20">
        <v>46077.993217592593</v>
      </c>
      <c r="Y374">
        <v>0</v>
      </c>
      <c r="Z374" t="s">
        <v>1308</v>
      </c>
      <c r="AA374" t="s">
        <v>354</v>
      </c>
      <c r="AL374" t="s">
        <v>3006</v>
      </c>
      <c r="AO374" t="s">
        <v>354</v>
      </c>
      <c r="AP374" t="s">
        <v>49</v>
      </c>
      <c r="AQ374" t="s">
        <v>355</v>
      </c>
      <c r="AR374" t="s">
        <v>89</v>
      </c>
      <c r="AV374" t="s">
        <v>3362</v>
      </c>
      <c r="AW374" t="s">
        <v>3221</v>
      </c>
      <c r="AX374" t="s">
        <v>3791</v>
      </c>
    </row>
    <row r="375" spans="1:50" x14ac:dyDescent="0.25">
      <c r="A375" t="s">
        <v>167</v>
      </c>
      <c r="B375" t="s">
        <v>1168</v>
      </c>
      <c r="C375" t="s">
        <v>1346</v>
      </c>
      <c r="E375">
        <v>1</v>
      </c>
      <c r="F375">
        <v>1</v>
      </c>
      <c r="H375" t="s">
        <v>1307</v>
      </c>
      <c r="I375" t="s">
        <v>1308</v>
      </c>
      <c r="J375" t="s">
        <v>1172</v>
      </c>
      <c r="K375" t="s">
        <v>1173</v>
      </c>
      <c r="L375" t="s">
        <v>1174</v>
      </c>
      <c r="M375">
        <v>0</v>
      </c>
      <c r="N375" t="s">
        <v>87</v>
      </c>
      <c r="O375">
        <v>1</v>
      </c>
      <c r="P375">
        <v>0</v>
      </c>
      <c r="Q375">
        <v>0</v>
      </c>
      <c r="R375">
        <v>0</v>
      </c>
      <c r="S375">
        <v>0</v>
      </c>
      <c r="T375">
        <v>0</v>
      </c>
      <c r="U375" s="20">
        <v>45954.866365740738</v>
      </c>
      <c r="V375" s="20">
        <v>46002.067615740743</v>
      </c>
      <c r="Y375">
        <v>0</v>
      </c>
      <c r="Z375" t="s">
        <v>1308</v>
      </c>
      <c r="AA375" t="s">
        <v>163</v>
      </c>
      <c r="AL375" t="s">
        <v>2554</v>
      </c>
      <c r="AO375" t="s">
        <v>163</v>
      </c>
      <c r="AQ375" t="s">
        <v>168</v>
      </c>
      <c r="AR375" t="s">
        <v>73</v>
      </c>
      <c r="AW375" t="s">
        <v>169</v>
      </c>
      <c r="AX375" t="s">
        <v>3792</v>
      </c>
    </row>
    <row r="376" spans="1:50" x14ac:dyDescent="0.25">
      <c r="A376" t="s">
        <v>365</v>
      </c>
      <c r="B376" t="s">
        <v>1168</v>
      </c>
      <c r="C376" t="s">
        <v>1443</v>
      </c>
      <c r="D376" t="s">
        <v>3363</v>
      </c>
      <c r="E376">
        <v>1</v>
      </c>
      <c r="F376">
        <v>1</v>
      </c>
      <c r="H376" t="s">
        <v>1307</v>
      </c>
      <c r="I376" t="s">
        <v>1308</v>
      </c>
      <c r="J376" t="s">
        <v>1172</v>
      </c>
      <c r="K376" t="s">
        <v>1173</v>
      </c>
      <c r="L376" t="s">
        <v>1174</v>
      </c>
      <c r="M376">
        <v>0</v>
      </c>
      <c r="N376" t="s">
        <v>87</v>
      </c>
      <c r="O376">
        <v>1</v>
      </c>
      <c r="P376">
        <v>0</v>
      </c>
      <c r="Q376">
        <v>0</v>
      </c>
      <c r="R376">
        <v>0</v>
      </c>
      <c r="S376">
        <v>0</v>
      </c>
      <c r="T376">
        <v>0</v>
      </c>
      <c r="U376" s="20">
        <v>45957.853993055556</v>
      </c>
      <c r="V376" s="20">
        <v>46077.993217592593</v>
      </c>
      <c r="Y376">
        <v>0</v>
      </c>
      <c r="Z376" t="s">
        <v>1308</v>
      </c>
      <c r="AA376" t="s">
        <v>163</v>
      </c>
      <c r="AL376" t="s">
        <v>2677</v>
      </c>
      <c r="AO376" t="s">
        <v>163</v>
      </c>
      <c r="AP376" t="s">
        <v>164</v>
      </c>
      <c r="AQ376" t="s">
        <v>366</v>
      </c>
      <c r="AR376" t="s">
        <v>73</v>
      </c>
      <c r="AV376" t="s">
        <v>3289</v>
      </c>
      <c r="AW376" t="s">
        <v>367</v>
      </c>
      <c r="AX376" t="s">
        <v>3793</v>
      </c>
    </row>
    <row r="377" spans="1:50" x14ac:dyDescent="0.25">
      <c r="A377" t="s">
        <v>368</v>
      </c>
      <c r="B377" t="s">
        <v>1168</v>
      </c>
      <c r="C377" t="s">
        <v>1444</v>
      </c>
      <c r="D377" t="s">
        <v>2485</v>
      </c>
      <c r="E377">
        <v>1</v>
      </c>
      <c r="F377">
        <v>1</v>
      </c>
      <c r="H377" t="s">
        <v>1307</v>
      </c>
      <c r="I377" t="s">
        <v>1308</v>
      </c>
      <c r="J377" t="s">
        <v>1172</v>
      </c>
      <c r="K377" t="s">
        <v>1173</v>
      </c>
      <c r="L377" t="s">
        <v>1174</v>
      </c>
      <c r="M377">
        <v>0</v>
      </c>
      <c r="N377" t="s">
        <v>41</v>
      </c>
      <c r="O377">
        <v>1</v>
      </c>
      <c r="P377">
        <v>0</v>
      </c>
      <c r="Q377">
        <v>0</v>
      </c>
      <c r="R377">
        <v>0</v>
      </c>
      <c r="S377">
        <v>0</v>
      </c>
      <c r="T377">
        <v>0</v>
      </c>
      <c r="U377" s="20">
        <v>45957.854120370372</v>
      </c>
      <c r="V377" s="20">
        <v>46036.913159722222</v>
      </c>
      <c r="Y377">
        <v>0</v>
      </c>
      <c r="Z377" t="s">
        <v>1308</v>
      </c>
      <c r="AA377" t="s">
        <v>369</v>
      </c>
      <c r="AL377" t="s">
        <v>2678</v>
      </c>
      <c r="AO377" t="s">
        <v>369</v>
      </c>
      <c r="AX377" t="s">
        <v>3794</v>
      </c>
    </row>
    <row r="378" spans="1:50" x14ac:dyDescent="0.25">
      <c r="A378" t="s">
        <v>370</v>
      </c>
      <c r="B378" t="s">
        <v>1168</v>
      </c>
      <c r="C378" t="s">
        <v>1445</v>
      </c>
      <c r="E378">
        <v>1</v>
      </c>
      <c r="F378">
        <v>1</v>
      </c>
      <c r="H378" t="s">
        <v>1307</v>
      </c>
      <c r="I378" t="s">
        <v>1308</v>
      </c>
      <c r="J378" t="s">
        <v>1172</v>
      </c>
      <c r="K378" t="s">
        <v>1173</v>
      </c>
      <c r="L378" t="s">
        <v>1174</v>
      </c>
      <c r="M378">
        <v>0</v>
      </c>
      <c r="N378" t="s">
        <v>87</v>
      </c>
      <c r="O378">
        <v>1</v>
      </c>
      <c r="P378">
        <v>0</v>
      </c>
      <c r="Q378">
        <v>0</v>
      </c>
      <c r="R378">
        <v>0</v>
      </c>
      <c r="S378">
        <v>0</v>
      </c>
      <c r="T378">
        <v>0</v>
      </c>
      <c r="U378" s="20">
        <v>45957.854189814818</v>
      </c>
      <c r="V378" s="20">
        <v>46002.06758101852</v>
      </c>
      <c r="Y378">
        <v>0</v>
      </c>
      <c r="Z378" t="s">
        <v>1308</v>
      </c>
      <c r="AA378" t="s">
        <v>369</v>
      </c>
      <c r="AL378" t="s">
        <v>2679</v>
      </c>
      <c r="AO378" t="s">
        <v>369</v>
      </c>
      <c r="AX378" t="s">
        <v>3795</v>
      </c>
    </row>
    <row r="379" spans="1:50" x14ac:dyDescent="0.25">
      <c r="A379" t="s">
        <v>371</v>
      </c>
      <c r="B379" t="s">
        <v>1168</v>
      </c>
      <c r="C379" t="s">
        <v>1446</v>
      </c>
      <c r="E379">
        <v>1</v>
      </c>
      <c r="F379">
        <v>1</v>
      </c>
      <c r="H379" t="s">
        <v>1307</v>
      </c>
      <c r="I379" t="s">
        <v>1308</v>
      </c>
      <c r="J379" t="s">
        <v>1172</v>
      </c>
      <c r="K379" t="s">
        <v>1173</v>
      </c>
      <c r="L379" t="s">
        <v>1174</v>
      </c>
      <c r="M379">
        <v>0</v>
      </c>
      <c r="N379" t="s">
        <v>87</v>
      </c>
      <c r="O379">
        <v>1</v>
      </c>
      <c r="P379">
        <v>0</v>
      </c>
      <c r="Q379">
        <v>0</v>
      </c>
      <c r="R379">
        <v>0</v>
      </c>
      <c r="S379">
        <v>0</v>
      </c>
      <c r="T379">
        <v>0</v>
      </c>
      <c r="U379" s="20">
        <v>45957.854224537034</v>
      </c>
      <c r="V379" s="20">
        <v>46002.067557870374</v>
      </c>
      <c r="Y379">
        <v>0</v>
      </c>
      <c r="Z379" t="s">
        <v>1308</v>
      </c>
      <c r="AA379" t="s">
        <v>369</v>
      </c>
      <c r="AL379" t="s">
        <v>2680</v>
      </c>
      <c r="AO379" t="s">
        <v>369</v>
      </c>
      <c r="AX379" t="s">
        <v>3796</v>
      </c>
    </row>
    <row r="380" spans="1:50" x14ac:dyDescent="0.25">
      <c r="A380" t="s">
        <v>372</v>
      </c>
      <c r="B380" t="s">
        <v>1168</v>
      </c>
      <c r="C380" t="s">
        <v>1447</v>
      </c>
      <c r="D380" t="s">
        <v>3230</v>
      </c>
      <c r="E380">
        <v>1</v>
      </c>
      <c r="F380">
        <v>1</v>
      </c>
      <c r="H380" t="s">
        <v>1307</v>
      </c>
      <c r="I380" t="s">
        <v>1308</v>
      </c>
      <c r="J380" t="s">
        <v>1172</v>
      </c>
      <c r="K380" t="s">
        <v>1173</v>
      </c>
      <c r="L380" t="s">
        <v>1174</v>
      </c>
      <c r="M380">
        <v>0</v>
      </c>
      <c r="N380" t="s">
        <v>50</v>
      </c>
      <c r="O380">
        <v>1</v>
      </c>
      <c r="P380">
        <v>0</v>
      </c>
      <c r="Q380">
        <v>0</v>
      </c>
      <c r="R380">
        <v>0</v>
      </c>
      <c r="S380">
        <v>0</v>
      </c>
      <c r="T380">
        <v>0</v>
      </c>
      <c r="U380" s="20">
        <v>45957.866643518515</v>
      </c>
      <c r="V380" s="20">
        <v>46077.993217592593</v>
      </c>
      <c r="Y380">
        <v>0</v>
      </c>
      <c r="Z380" t="s">
        <v>1308</v>
      </c>
      <c r="AA380" t="s">
        <v>373</v>
      </c>
      <c r="AL380" t="s">
        <v>2681</v>
      </c>
      <c r="AO380" t="s">
        <v>373</v>
      </c>
      <c r="AP380" t="s">
        <v>62</v>
      </c>
      <c r="AQ380" t="s">
        <v>374</v>
      </c>
      <c r="AR380" t="s">
        <v>51</v>
      </c>
      <c r="AV380" t="s">
        <v>3364</v>
      </c>
      <c r="AW380" t="s">
        <v>375</v>
      </c>
      <c r="AX380" t="s">
        <v>3797</v>
      </c>
    </row>
    <row r="381" spans="1:50" x14ac:dyDescent="0.25">
      <c r="A381" t="s">
        <v>376</v>
      </c>
      <c r="B381" t="s">
        <v>1168</v>
      </c>
      <c r="C381" t="s">
        <v>1448</v>
      </c>
      <c r="E381">
        <v>1</v>
      </c>
      <c r="F381">
        <v>1</v>
      </c>
      <c r="H381" t="s">
        <v>1307</v>
      </c>
      <c r="I381" t="s">
        <v>1308</v>
      </c>
      <c r="J381" t="s">
        <v>1172</v>
      </c>
      <c r="K381" t="s">
        <v>1173</v>
      </c>
      <c r="L381" t="s">
        <v>1174</v>
      </c>
      <c r="M381">
        <v>0</v>
      </c>
      <c r="N381" t="s">
        <v>87</v>
      </c>
      <c r="O381">
        <v>1</v>
      </c>
      <c r="P381">
        <v>0</v>
      </c>
      <c r="Q381">
        <v>0</v>
      </c>
      <c r="R381">
        <v>0</v>
      </c>
      <c r="S381">
        <v>0</v>
      </c>
      <c r="T381">
        <v>0</v>
      </c>
      <c r="U381" s="20">
        <v>45957.869641203702</v>
      </c>
      <c r="V381" s="20">
        <v>46002.067604166667</v>
      </c>
      <c r="Y381">
        <v>0</v>
      </c>
      <c r="Z381" t="s">
        <v>1308</v>
      </c>
      <c r="AA381" t="s">
        <v>194</v>
      </c>
      <c r="AL381" t="s">
        <v>2684</v>
      </c>
      <c r="AO381" t="s">
        <v>194</v>
      </c>
      <c r="AX381" t="s">
        <v>3798</v>
      </c>
    </row>
    <row r="382" spans="1:50" x14ac:dyDescent="0.25">
      <c r="A382" t="s">
        <v>391</v>
      </c>
      <c r="B382" t="s">
        <v>1168</v>
      </c>
      <c r="C382" t="s">
        <v>1453</v>
      </c>
      <c r="D382" t="s">
        <v>394</v>
      </c>
      <c r="E382">
        <v>1</v>
      </c>
      <c r="F382">
        <v>1</v>
      </c>
      <c r="H382" t="s">
        <v>1307</v>
      </c>
      <c r="I382" t="s">
        <v>1308</v>
      </c>
      <c r="J382" t="s">
        <v>1172</v>
      </c>
      <c r="K382" t="s">
        <v>1173</v>
      </c>
      <c r="L382" t="s">
        <v>1174</v>
      </c>
      <c r="M382">
        <v>0</v>
      </c>
      <c r="N382" t="s">
        <v>41</v>
      </c>
      <c r="O382">
        <v>1</v>
      </c>
      <c r="P382">
        <v>0</v>
      </c>
      <c r="Q382">
        <v>0</v>
      </c>
      <c r="R382">
        <v>0</v>
      </c>
      <c r="S382">
        <v>0</v>
      </c>
      <c r="T382">
        <v>0</v>
      </c>
      <c r="U382" s="20">
        <v>45958.472083333334</v>
      </c>
      <c r="V382" s="20">
        <v>46002.067557870374</v>
      </c>
      <c r="Y382">
        <v>0</v>
      </c>
      <c r="Z382" t="s">
        <v>1308</v>
      </c>
      <c r="AA382" t="s">
        <v>179</v>
      </c>
      <c r="AL382" t="s">
        <v>2691</v>
      </c>
      <c r="AM382" t="s">
        <v>86</v>
      </c>
      <c r="AN382" t="s">
        <v>95</v>
      </c>
      <c r="AO382" t="s">
        <v>179</v>
      </c>
      <c r="AQ382" t="s">
        <v>392</v>
      </c>
      <c r="AR382" t="s">
        <v>73</v>
      </c>
      <c r="AW382" t="s">
        <v>393</v>
      </c>
      <c r="AX382" t="s">
        <v>3799</v>
      </c>
    </row>
    <row r="383" spans="1:50" x14ac:dyDescent="0.25">
      <c r="A383" t="s">
        <v>431</v>
      </c>
      <c r="B383" t="s">
        <v>1168</v>
      </c>
      <c r="C383" t="s">
        <v>1464</v>
      </c>
      <c r="D383" t="s">
        <v>3306</v>
      </c>
      <c r="E383">
        <v>1</v>
      </c>
      <c r="F383">
        <v>1</v>
      </c>
      <c r="H383" t="s">
        <v>1307</v>
      </c>
      <c r="I383" t="s">
        <v>1308</v>
      </c>
      <c r="J383" t="s">
        <v>1172</v>
      </c>
      <c r="K383" t="s">
        <v>1173</v>
      </c>
      <c r="L383" t="s">
        <v>1174</v>
      </c>
      <c r="M383">
        <v>0</v>
      </c>
      <c r="N383" t="s">
        <v>50</v>
      </c>
      <c r="O383">
        <v>1</v>
      </c>
      <c r="P383">
        <v>0</v>
      </c>
      <c r="Q383">
        <v>0</v>
      </c>
      <c r="R383">
        <v>0</v>
      </c>
      <c r="S383">
        <v>0</v>
      </c>
      <c r="T383">
        <v>0</v>
      </c>
      <c r="U383" s="20">
        <v>45958.766782407409</v>
      </c>
      <c r="V383" s="20">
        <v>46077.99322916667</v>
      </c>
      <c r="Y383">
        <v>0</v>
      </c>
      <c r="Z383" t="s">
        <v>1308</v>
      </c>
      <c r="AA383" t="s">
        <v>432</v>
      </c>
      <c r="AL383" t="s">
        <v>2712</v>
      </c>
      <c r="AO383" t="s">
        <v>312</v>
      </c>
      <c r="AP383" t="s">
        <v>62</v>
      </c>
      <c r="AQ383" t="s">
        <v>433</v>
      </c>
      <c r="AR383" t="s">
        <v>89</v>
      </c>
      <c r="AV383" t="s">
        <v>3244</v>
      </c>
      <c r="AW383" t="s">
        <v>434</v>
      </c>
      <c r="AX383" t="s">
        <v>3800</v>
      </c>
    </row>
    <row r="384" spans="1:50" x14ac:dyDescent="0.25">
      <c r="A384" t="s">
        <v>441</v>
      </c>
      <c r="B384" t="s">
        <v>1168</v>
      </c>
      <c r="C384" t="s">
        <v>1466</v>
      </c>
      <c r="D384" t="s">
        <v>3306</v>
      </c>
      <c r="E384">
        <v>1</v>
      </c>
      <c r="F384">
        <v>1</v>
      </c>
      <c r="H384" t="s">
        <v>1307</v>
      </c>
      <c r="I384" t="s">
        <v>1308</v>
      </c>
      <c r="J384" t="s">
        <v>1172</v>
      </c>
      <c r="K384" t="s">
        <v>1173</v>
      </c>
      <c r="L384" t="s">
        <v>1174</v>
      </c>
      <c r="M384">
        <v>0</v>
      </c>
      <c r="N384" t="s">
        <v>50</v>
      </c>
      <c r="O384">
        <v>1</v>
      </c>
      <c r="P384">
        <v>0</v>
      </c>
      <c r="Q384">
        <v>0</v>
      </c>
      <c r="R384">
        <v>0</v>
      </c>
      <c r="S384">
        <v>0</v>
      </c>
      <c r="T384">
        <v>0</v>
      </c>
      <c r="U384" s="20">
        <v>45958.771516203706</v>
      </c>
      <c r="V384" s="20">
        <v>46077.993217592593</v>
      </c>
      <c r="Y384">
        <v>0</v>
      </c>
      <c r="Z384" t="s">
        <v>1308</v>
      </c>
      <c r="AA384" t="s">
        <v>312</v>
      </c>
      <c r="AL384" t="s">
        <v>2713</v>
      </c>
      <c r="AO384" t="s">
        <v>312</v>
      </c>
      <c r="AP384" t="s">
        <v>62</v>
      </c>
      <c r="AQ384" t="s">
        <v>442</v>
      </c>
      <c r="AR384" t="s">
        <v>73</v>
      </c>
      <c r="AV384" t="s">
        <v>3245</v>
      </c>
      <c r="AW384" t="s">
        <v>443</v>
      </c>
      <c r="AX384" t="s">
        <v>3801</v>
      </c>
    </row>
    <row r="385" spans="1:50" x14ac:dyDescent="0.25">
      <c r="A385" t="s">
        <v>444</v>
      </c>
      <c r="B385" t="s">
        <v>1168</v>
      </c>
      <c r="C385" t="s">
        <v>1467</v>
      </c>
      <c r="D385" t="s">
        <v>447</v>
      </c>
      <c r="E385">
        <v>1</v>
      </c>
      <c r="F385">
        <v>1</v>
      </c>
      <c r="H385" t="s">
        <v>1307</v>
      </c>
      <c r="I385" t="s">
        <v>1308</v>
      </c>
      <c r="J385" t="s">
        <v>1172</v>
      </c>
      <c r="K385" t="s">
        <v>1173</v>
      </c>
      <c r="L385" t="s">
        <v>1174</v>
      </c>
      <c r="M385">
        <v>0</v>
      </c>
      <c r="N385" t="s">
        <v>41</v>
      </c>
      <c r="O385">
        <v>1</v>
      </c>
      <c r="P385">
        <v>0</v>
      </c>
      <c r="Q385">
        <v>0</v>
      </c>
      <c r="R385">
        <v>0</v>
      </c>
      <c r="S385">
        <v>0</v>
      </c>
      <c r="T385">
        <v>0</v>
      </c>
      <c r="U385" s="20">
        <v>45958.800439814811</v>
      </c>
      <c r="V385" s="20">
        <v>46002.067569444444</v>
      </c>
      <c r="Y385">
        <v>0</v>
      </c>
      <c r="Z385" t="s">
        <v>1308</v>
      </c>
      <c r="AA385" t="s">
        <v>350</v>
      </c>
      <c r="AL385" t="s">
        <v>3014</v>
      </c>
      <c r="AO385" t="s">
        <v>163</v>
      </c>
      <c r="AQ385" t="s">
        <v>445</v>
      </c>
      <c r="AR385" t="s">
        <v>89</v>
      </c>
      <c r="AW385" t="s">
        <v>446</v>
      </c>
      <c r="AX385" t="s">
        <v>3802</v>
      </c>
    </row>
    <row r="386" spans="1:50" x14ac:dyDescent="0.25">
      <c r="A386" t="s">
        <v>472</v>
      </c>
      <c r="B386" t="s">
        <v>1168</v>
      </c>
      <c r="C386" t="s">
        <v>1475</v>
      </c>
      <c r="D386" t="s">
        <v>3365</v>
      </c>
      <c r="E386">
        <v>1</v>
      </c>
      <c r="F386">
        <v>1</v>
      </c>
      <c r="H386" t="s">
        <v>1307</v>
      </c>
      <c r="I386" t="s">
        <v>1308</v>
      </c>
      <c r="J386" t="s">
        <v>1172</v>
      </c>
      <c r="K386" t="s">
        <v>1173</v>
      </c>
      <c r="L386" t="s">
        <v>1174</v>
      </c>
      <c r="M386">
        <v>0</v>
      </c>
      <c r="N386" t="s">
        <v>41</v>
      </c>
      <c r="O386">
        <v>1</v>
      </c>
      <c r="P386">
        <v>0</v>
      </c>
      <c r="Q386">
        <v>0</v>
      </c>
      <c r="R386">
        <v>0</v>
      </c>
      <c r="S386">
        <v>0</v>
      </c>
      <c r="T386">
        <v>0</v>
      </c>
      <c r="U386" s="20">
        <v>45958.917673611111</v>
      </c>
      <c r="V386" s="20">
        <v>46077.998622685183</v>
      </c>
      <c r="Y386">
        <v>0</v>
      </c>
      <c r="Z386" t="s">
        <v>1308</v>
      </c>
      <c r="AA386" t="s">
        <v>277</v>
      </c>
      <c r="AL386" t="s">
        <v>2724</v>
      </c>
      <c r="AO386" t="s">
        <v>277</v>
      </c>
      <c r="AQ386" t="s">
        <v>473</v>
      </c>
      <c r="AR386" t="s">
        <v>51</v>
      </c>
      <c r="AW386" t="s">
        <v>474</v>
      </c>
      <c r="AX386" t="s">
        <v>3803</v>
      </c>
    </row>
    <row r="387" spans="1:50" x14ac:dyDescent="0.25">
      <c r="A387" t="s">
        <v>475</v>
      </c>
      <c r="B387" t="s">
        <v>1168</v>
      </c>
      <c r="C387" t="s">
        <v>1476</v>
      </c>
      <c r="D387" t="s">
        <v>3366</v>
      </c>
      <c r="E387">
        <v>1</v>
      </c>
      <c r="F387">
        <v>1</v>
      </c>
      <c r="H387" t="s">
        <v>1307</v>
      </c>
      <c r="I387" t="s">
        <v>1308</v>
      </c>
      <c r="J387" t="s">
        <v>1172</v>
      </c>
      <c r="K387" t="s">
        <v>1173</v>
      </c>
      <c r="L387" t="s">
        <v>1174</v>
      </c>
      <c r="M387">
        <v>0</v>
      </c>
      <c r="N387" t="s">
        <v>41</v>
      </c>
      <c r="O387">
        <v>1</v>
      </c>
      <c r="P387">
        <v>0</v>
      </c>
      <c r="Q387">
        <v>0</v>
      </c>
      <c r="R387">
        <v>0</v>
      </c>
      <c r="S387">
        <v>0</v>
      </c>
      <c r="T387">
        <v>0</v>
      </c>
      <c r="U387" s="20">
        <v>45958.917905092596</v>
      </c>
      <c r="V387" s="20">
        <v>46077.999791666669</v>
      </c>
      <c r="Y387">
        <v>0</v>
      </c>
      <c r="Z387" t="s">
        <v>1308</v>
      </c>
      <c r="AA387" t="s">
        <v>277</v>
      </c>
      <c r="AL387" t="s">
        <v>2725</v>
      </c>
      <c r="AO387" t="s">
        <v>277</v>
      </c>
      <c r="AP387" t="s">
        <v>62</v>
      </c>
      <c r="AQ387" t="s">
        <v>476</v>
      </c>
      <c r="AR387" t="s">
        <v>89</v>
      </c>
      <c r="AW387" t="s">
        <v>477</v>
      </c>
      <c r="AX387" t="s">
        <v>3804</v>
      </c>
    </row>
    <row r="388" spans="1:50" x14ac:dyDescent="0.25">
      <c r="A388" t="s">
        <v>406</v>
      </c>
      <c r="B388" t="s">
        <v>1168</v>
      </c>
      <c r="C388" t="s">
        <v>1457</v>
      </c>
      <c r="D388" t="s">
        <v>3302</v>
      </c>
      <c r="E388">
        <v>1</v>
      </c>
      <c r="F388">
        <v>1</v>
      </c>
      <c r="H388" t="s">
        <v>1307</v>
      </c>
      <c r="I388" t="s">
        <v>1308</v>
      </c>
      <c r="J388" t="s">
        <v>1172</v>
      </c>
      <c r="K388" t="s">
        <v>1173</v>
      </c>
      <c r="L388" t="s">
        <v>1174</v>
      </c>
      <c r="M388">
        <v>0</v>
      </c>
      <c r="N388" t="s">
        <v>50</v>
      </c>
      <c r="O388">
        <v>1</v>
      </c>
      <c r="P388">
        <v>0</v>
      </c>
      <c r="Q388">
        <v>0</v>
      </c>
      <c r="R388">
        <v>0</v>
      </c>
      <c r="S388">
        <v>0</v>
      </c>
      <c r="T388">
        <v>0</v>
      </c>
      <c r="U388" s="20">
        <v>45958.918020833335</v>
      </c>
      <c r="V388" s="20">
        <v>46077.993217592593</v>
      </c>
      <c r="Y388">
        <v>0</v>
      </c>
      <c r="Z388" t="s">
        <v>1308</v>
      </c>
      <c r="AA388" t="s">
        <v>312</v>
      </c>
      <c r="AL388" t="s">
        <v>2699</v>
      </c>
      <c r="AO388" t="s">
        <v>312</v>
      </c>
      <c r="AP388" t="s">
        <v>62</v>
      </c>
      <c r="AQ388" t="s">
        <v>407</v>
      </c>
      <c r="AR388" t="s">
        <v>73</v>
      </c>
      <c r="AV388" t="s">
        <v>3243</v>
      </c>
      <c r="AW388" t="s">
        <v>408</v>
      </c>
      <c r="AX388" t="s">
        <v>3805</v>
      </c>
    </row>
    <row r="389" spans="1:50" x14ac:dyDescent="0.25">
      <c r="A389" t="s">
        <v>478</v>
      </c>
      <c r="B389" t="s">
        <v>1168</v>
      </c>
      <c r="C389" t="s">
        <v>1477</v>
      </c>
      <c r="D389" t="s">
        <v>3309</v>
      </c>
      <c r="E389">
        <v>1</v>
      </c>
      <c r="F389">
        <v>1</v>
      </c>
      <c r="H389" t="s">
        <v>1307</v>
      </c>
      <c r="I389" t="s">
        <v>1308</v>
      </c>
      <c r="J389" t="s">
        <v>1172</v>
      </c>
      <c r="K389" t="s">
        <v>1173</v>
      </c>
      <c r="L389" t="s">
        <v>1174</v>
      </c>
      <c r="M389">
        <v>0</v>
      </c>
      <c r="N389" t="s">
        <v>50</v>
      </c>
      <c r="O389">
        <v>1</v>
      </c>
      <c r="P389">
        <v>0</v>
      </c>
      <c r="Q389">
        <v>0</v>
      </c>
      <c r="R389">
        <v>0</v>
      </c>
      <c r="S389">
        <v>0</v>
      </c>
      <c r="T389">
        <v>0</v>
      </c>
      <c r="U389" s="20">
        <v>45958.934675925928</v>
      </c>
      <c r="V389" s="20">
        <v>46077.993217592593</v>
      </c>
      <c r="Y389">
        <v>0</v>
      </c>
      <c r="Z389" t="s">
        <v>1308</v>
      </c>
      <c r="AA389" t="s">
        <v>312</v>
      </c>
      <c r="AL389" t="s">
        <v>2726</v>
      </c>
      <c r="AO389" t="s">
        <v>312</v>
      </c>
      <c r="AP389" t="s">
        <v>62</v>
      </c>
      <c r="AQ389" t="s">
        <v>479</v>
      </c>
      <c r="AR389" t="s">
        <v>73</v>
      </c>
      <c r="AV389" t="s">
        <v>3412</v>
      </c>
      <c r="AW389" t="s">
        <v>480</v>
      </c>
      <c r="AX389" t="s">
        <v>3806</v>
      </c>
    </row>
    <row r="390" spans="1:50" x14ac:dyDescent="0.25">
      <c r="A390" t="s">
        <v>505</v>
      </c>
      <c r="B390" t="s">
        <v>1168</v>
      </c>
      <c r="C390" t="s">
        <v>1487</v>
      </c>
      <c r="E390">
        <v>1</v>
      </c>
      <c r="F390">
        <v>1</v>
      </c>
      <c r="H390" t="s">
        <v>1307</v>
      </c>
      <c r="I390" t="s">
        <v>1308</v>
      </c>
      <c r="J390" t="s">
        <v>1172</v>
      </c>
      <c r="K390" t="s">
        <v>1173</v>
      </c>
      <c r="L390" t="s">
        <v>1174</v>
      </c>
      <c r="M390">
        <v>0</v>
      </c>
      <c r="N390" t="s">
        <v>50</v>
      </c>
      <c r="O390">
        <v>1</v>
      </c>
      <c r="P390">
        <v>0</v>
      </c>
      <c r="Q390">
        <v>0</v>
      </c>
      <c r="R390">
        <v>0</v>
      </c>
      <c r="S390">
        <v>0</v>
      </c>
      <c r="T390">
        <v>0</v>
      </c>
      <c r="U390" s="20">
        <v>45964.807256944441</v>
      </c>
      <c r="V390" s="20">
        <v>46002.06759259259</v>
      </c>
      <c r="Y390">
        <v>0</v>
      </c>
      <c r="Z390" t="s">
        <v>1308</v>
      </c>
      <c r="AA390" t="s">
        <v>373</v>
      </c>
      <c r="AL390" t="s">
        <v>2739</v>
      </c>
      <c r="AO390" t="s">
        <v>373</v>
      </c>
      <c r="AP390" t="s">
        <v>62</v>
      </c>
      <c r="AQ390" t="s">
        <v>506</v>
      </c>
      <c r="AR390" t="s">
        <v>89</v>
      </c>
      <c r="AV390" t="s">
        <v>3250</v>
      </c>
      <c r="AW390" t="s">
        <v>507</v>
      </c>
      <c r="AX390" t="s">
        <v>3807</v>
      </c>
    </row>
    <row r="391" spans="1:50" x14ac:dyDescent="0.25">
      <c r="A391" t="s">
        <v>508</v>
      </c>
      <c r="B391" t="s">
        <v>1168</v>
      </c>
      <c r="C391" t="s">
        <v>1488</v>
      </c>
      <c r="E391">
        <v>1</v>
      </c>
      <c r="F391">
        <v>1</v>
      </c>
      <c r="H391" t="s">
        <v>1307</v>
      </c>
      <c r="I391" t="s">
        <v>1308</v>
      </c>
      <c r="J391" t="s">
        <v>1172</v>
      </c>
      <c r="K391" t="s">
        <v>1173</v>
      </c>
      <c r="L391" t="s">
        <v>1174</v>
      </c>
      <c r="M391">
        <v>0</v>
      </c>
      <c r="N391" t="s">
        <v>50</v>
      </c>
      <c r="O391">
        <v>1</v>
      </c>
      <c r="P391">
        <v>0</v>
      </c>
      <c r="Q391">
        <v>0</v>
      </c>
      <c r="R391">
        <v>0</v>
      </c>
      <c r="S391">
        <v>0</v>
      </c>
      <c r="T391">
        <v>0</v>
      </c>
      <c r="U391" s="20">
        <v>45964.807442129626</v>
      </c>
      <c r="V391" s="20">
        <v>46002.06759259259</v>
      </c>
      <c r="Y391">
        <v>0</v>
      </c>
      <c r="Z391" t="s">
        <v>1308</v>
      </c>
      <c r="AA391" t="s">
        <v>373</v>
      </c>
      <c r="AL391" t="s">
        <v>2740</v>
      </c>
      <c r="AO391" t="s">
        <v>373</v>
      </c>
      <c r="AP391" t="s">
        <v>62</v>
      </c>
      <c r="AQ391" t="s">
        <v>509</v>
      </c>
      <c r="AR391" t="s">
        <v>89</v>
      </c>
      <c r="AV391" t="s">
        <v>3367</v>
      </c>
      <c r="AW391" t="s">
        <v>510</v>
      </c>
      <c r="AX391" t="s">
        <v>3808</v>
      </c>
    </row>
    <row r="392" spans="1:50" x14ac:dyDescent="0.25">
      <c r="A392" t="s">
        <v>511</v>
      </c>
      <c r="B392" t="s">
        <v>1168</v>
      </c>
      <c r="C392" t="s">
        <v>1489</v>
      </c>
      <c r="D392" t="s">
        <v>3230</v>
      </c>
      <c r="E392">
        <v>1</v>
      </c>
      <c r="F392">
        <v>1</v>
      </c>
      <c r="H392" t="s">
        <v>1307</v>
      </c>
      <c r="I392" t="s">
        <v>1308</v>
      </c>
      <c r="J392" t="s">
        <v>1172</v>
      </c>
      <c r="K392" t="s">
        <v>1173</v>
      </c>
      <c r="L392" t="s">
        <v>1174</v>
      </c>
      <c r="M392">
        <v>0</v>
      </c>
      <c r="N392" t="s">
        <v>50</v>
      </c>
      <c r="O392">
        <v>1</v>
      </c>
      <c r="P392">
        <v>0</v>
      </c>
      <c r="Q392">
        <v>0</v>
      </c>
      <c r="R392">
        <v>0</v>
      </c>
      <c r="S392">
        <v>0</v>
      </c>
      <c r="T392">
        <v>0</v>
      </c>
      <c r="U392" s="20">
        <v>45964.807523148149</v>
      </c>
      <c r="V392" s="20">
        <v>46077.99322916667</v>
      </c>
      <c r="Y392">
        <v>0</v>
      </c>
      <c r="Z392" t="s">
        <v>1308</v>
      </c>
      <c r="AA392" t="s">
        <v>373</v>
      </c>
      <c r="AL392" t="s">
        <v>2742</v>
      </c>
      <c r="AO392" t="s">
        <v>373</v>
      </c>
      <c r="AP392" t="s">
        <v>62</v>
      </c>
      <c r="AQ392" t="s">
        <v>512</v>
      </c>
      <c r="AR392" t="s">
        <v>73</v>
      </c>
      <c r="AV392" t="s">
        <v>3251</v>
      </c>
      <c r="AW392" t="s">
        <v>513</v>
      </c>
      <c r="AX392" t="s">
        <v>3809</v>
      </c>
    </row>
    <row r="393" spans="1:50" x14ac:dyDescent="0.25">
      <c r="A393" t="s">
        <v>514</v>
      </c>
      <c r="B393" t="s">
        <v>1168</v>
      </c>
      <c r="C393" t="s">
        <v>1490</v>
      </c>
      <c r="D393" t="s">
        <v>2485</v>
      </c>
      <c r="E393">
        <v>1</v>
      </c>
      <c r="F393">
        <v>1</v>
      </c>
      <c r="H393" t="s">
        <v>1307</v>
      </c>
      <c r="I393" t="s">
        <v>1308</v>
      </c>
      <c r="J393" t="s">
        <v>1172</v>
      </c>
      <c r="K393" t="s">
        <v>1173</v>
      </c>
      <c r="L393" t="s">
        <v>1174</v>
      </c>
      <c r="M393">
        <v>0</v>
      </c>
      <c r="N393" t="s">
        <v>41</v>
      </c>
      <c r="O393">
        <v>1</v>
      </c>
      <c r="P393">
        <v>0</v>
      </c>
      <c r="Q393">
        <v>0</v>
      </c>
      <c r="R393">
        <v>0</v>
      </c>
      <c r="S393">
        <v>0</v>
      </c>
      <c r="T393">
        <v>0</v>
      </c>
      <c r="U393" s="20">
        <v>45964.80972222222</v>
      </c>
      <c r="V393" s="20">
        <v>46029.966307870367</v>
      </c>
      <c r="Y393">
        <v>0</v>
      </c>
      <c r="Z393" t="s">
        <v>1308</v>
      </c>
      <c r="AA393" t="s">
        <v>373</v>
      </c>
      <c r="AL393" t="s">
        <v>2743</v>
      </c>
      <c r="AO393" t="s">
        <v>373</v>
      </c>
      <c r="AP393" t="s">
        <v>62</v>
      </c>
      <c r="AQ393" t="s">
        <v>515</v>
      </c>
      <c r="AR393" t="s">
        <v>89</v>
      </c>
      <c r="AW393" t="s">
        <v>516</v>
      </c>
      <c r="AX393" t="s">
        <v>3810</v>
      </c>
    </row>
    <row r="394" spans="1:50" x14ac:dyDescent="0.25">
      <c r="A394" t="s">
        <v>517</v>
      </c>
      <c r="B394" t="s">
        <v>1168</v>
      </c>
      <c r="C394" t="s">
        <v>1491</v>
      </c>
      <c r="E394">
        <v>1</v>
      </c>
      <c r="F394">
        <v>1</v>
      </c>
      <c r="H394" t="s">
        <v>1307</v>
      </c>
      <c r="I394" t="s">
        <v>1308</v>
      </c>
      <c r="J394" t="s">
        <v>1172</v>
      </c>
      <c r="K394" t="s">
        <v>1173</v>
      </c>
      <c r="L394" t="s">
        <v>1174</v>
      </c>
      <c r="M394">
        <v>0</v>
      </c>
      <c r="N394" t="s">
        <v>50</v>
      </c>
      <c r="O394">
        <v>1</v>
      </c>
      <c r="P394">
        <v>0</v>
      </c>
      <c r="Q394">
        <v>0</v>
      </c>
      <c r="R394">
        <v>0</v>
      </c>
      <c r="S394">
        <v>0</v>
      </c>
      <c r="T394">
        <v>0</v>
      </c>
      <c r="U394" s="20">
        <v>45964.809791666667</v>
      </c>
      <c r="V394" s="20">
        <v>46002.06758101852</v>
      </c>
      <c r="Y394">
        <v>0</v>
      </c>
      <c r="Z394" t="s">
        <v>1308</v>
      </c>
      <c r="AA394" t="s">
        <v>373</v>
      </c>
      <c r="AL394" t="s">
        <v>2744</v>
      </c>
      <c r="AO394" t="s">
        <v>373</v>
      </c>
      <c r="AP394" t="s">
        <v>62</v>
      </c>
      <c r="AQ394" t="s">
        <v>518</v>
      </c>
      <c r="AR394" t="s">
        <v>89</v>
      </c>
      <c r="AV394" t="s">
        <v>3252</v>
      </c>
      <c r="AW394" t="s">
        <v>519</v>
      </c>
      <c r="AX394" t="s">
        <v>3811</v>
      </c>
    </row>
    <row r="395" spans="1:50" x14ac:dyDescent="0.25">
      <c r="A395" t="s">
        <v>520</v>
      </c>
      <c r="B395" t="s">
        <v>1168</v>
      </c>
      <c r="C395" t="s">
        <v>1492</v>
      </c>
      <c r="E395">
        <v>1</v>
      </c>
      <c r="F395">
        <v>1</v>
      </c>
      <c r="H395" t="s">
        <v>1307</v>
      </c>
      <c r="I395" t="s">
        <v>1308</v>
      </c>
      <c r="J395" t="s">
        <v>1172</v>
      </c>
      <c r="K395" t="s">
        <v>1173</v>
      </c>
      <c r="L395" t="s">
        <v>1174</v>
      </c>
      <c r="M395">
        <v>0</v>
      </c>
      <c r="N395" t="s">
        <v>50</v>
      </c>
      <c r="O395">
        <v>1</v>
      </c>
      <c r="P395">
        <v>0</v>
      </c>
      <c r="Q395">
        <v>0</v>
      </c>
      <c r="R395">
        <v>0</v>
      </c>
      <c r="S395">
        <v>0</v>
      </c>
      <c r="T395">
        <v>0</v>
      </c>
      <c r="U395" s="20">
        <v>45964.809837962966</v>
      </c>
      <c r="V395" s="20">
        <v>46002.067557870374</v>
      </c>
      <c r="Y395">
        <v>0</v>
      </c>
      <c r="Z395" t="s">
        <v>1308</v>
      </c>
      <c r="AA395" t="s">
        <v>373</v>
      </c>
      <c r="AL395" t="s">
        <v>2745</v>
      </c>
      <c r="AO395" t="s">
        <v>373</v>
      </c>
      <c r="AP395" t="s">
        <v>62</v>
      </c>
      <c r="AQ395" t="s">
        <v>521</v>
      </c>
      <c r="AR395" t="s">
        <v>73</v>
      </c>
      <c r="AV395" t="s">
        <v>3253</v>
      </c>
      <c r="AW395" t="s">
        <v>522</v>
      </c>
      <c r="AX395" t="s">
        <v>3812</v>
      </c>
    </row>
    <row r="396" spans="1:50" x14ac:dyDescent="0.25">
      <c r="A396" t="s">
        <v>523</v>
      </c>
      <c r="B396" t="s">
        <v>1168</v>
      </c>
      <c r="C396" t="s">
        <v>1493</v>
      </c>
      <c r="E396">
        <v>1</v>
      </c>
      <c r="F396">
        <v>1</v>
      </c>
      <c r="H396" t="s">
        <v>1307</v>
      </c>
      <c r="I396" t="s">
        <v>1308</v>
      </c>
      <c r="J396" t="s">
        <v>1172</v>
      </c>
      <c r="K396" t="s">
        <v>1173</v>
      </c>
      <c r="L396" t="s">
        <v>1174</v>
      </c>
      <c r="M396">
        <v>0</v>
      </c>
      <c r="N396" t="s">
        <v>50</v>
      </c>
      <c r="O396">
        <v>1</v>
      </c>
      <c r="P396">
        <v>0</v>
      </c>
      <c r="Q396">
        <v>0</v>
      </c>
      <c r="R396">
        <v>0</v>
      </c>
      <c r="S396">
        <v>0</v>
      </c>
      <c r="T396">
        <v>0</v>
      </c>
      <c r="U396" s="20">
        <v>45964.809872685182</v>
      </c>
      <c r="V396" s="20">
        <v>46002.067546296297</v>
      </c>
      <c r="Y396">
        <v>0</v>
      </c>
      <c r="Z396" t="s">
        <v>1308</v>
      </c>
      <c r="AA396" t="s">
        <v>373</v>
      </c>
      <c r="AL396" t="s">
        <v>2746</v>
      </c>
      <c r="AO396" t="s">
        <v>373</v>
      </c>
      <c r="AP396" t="s">
        <v>62</v>
      </c>
      <c r="AQ396" t="s">
        <v>524</v>
      </c>
      <c r="AR396" t="s">
        <v>51</v>
      </c>
      <c r="AV396" t="s">
        <v>3368</v>
      </c>
      <c r="AW396" t="s">
        <v>525</v>
      </c>
      <c r="AX396" t="s">
        <v>3813</v>
      </c>
    </row>
    <row r="397" spans="1:50" x14ac:dyDescent="0.25">
      <c r="A397" t="s">
        <v>526</v>
      </c>
      <c r="B397" t="s">
        <v>1168</v>
      </c>
      <c r="C397" t="s">
        <v>1494</v>
      </c>
      <c r="D397" t="s">
        <v>3230</v>
      </c>
      <c r="E397">
        <v>1</v>
      </c>
      <c r="F397">
        <v>1</v>
      </c>
      <c r="H397" t="s">
        <v>1307</v>
      </c>
      <c r="I397" t="s">
        <v>1308</v>
      </c>
      <c r="J397" t="s">
        <v>1172</v>
      </c>
      <c r="K397" t="s">
        <v>1173</v>
      </c>
      <c r="L397" t="s">
        <v>1174</v>
      </c>
      <c r="M397">
        <v>0</v>
      </c>
      <c r="N397" t="s">
        <v>50</v>
      </c>
      <c r="O397">
        <v>1</v>
      </c>
      <c r="P397">
        <v>0</v>
      </c>
      <c r="Q397">
        <v>0</v>
      </c>
      <c r="R397">
        <v>0</v>
      </c>
      <c r="S397">
        <v>0</v>
      </c>
      <c r="T397">
        <v>0</v>
      </c>
      <c r="U397" s="20">
        <v>45964.813333333332</v>
      </c>
      <c r="V397" s="20">
        <v>46077.993217592593</v>
      </c>
      <c r="Y397">
        <v>0</v>
      </c>
      <c r="Z397" t="s">
        <v>1308</v>
      </c>
      <c r="AA397" t="s">
        <v>350</v>
      </c>
      <c r="AL397" t="s">
        <v>2747</v>
      </c>
      <c r="AO397" t="s">
        <v>350</v>
      </c>
      <c r="AP397" t="s">
        <v>62</v>
      </c>
      <c r="AQ397" t="s">
        <v>527</v>
      </c>
      <c r="AR397" t="s">
        <v>73</v>
      </c>
      <c r="AV397" t="s">
        <v>3369</v>
      </c>
      <c r="AW397" t="s">
        <v>528</v>
      </c>
      <c r="AX397" t="s">
        <v>3814</v>
      </c>
    </row>
    <row r="398" spans="1:50" x14ac:dyDescent="0.25">
      <c r="A398" t="s">
        <v>544</v>
      </c>
      <c r="B398" t="s">
        <v>1168</v>
      </c>
      <c r="C398" t="s">
        <v>1502</v>
      </c>
      <c r="D398" t="s">
        <v>3230</v>
      </c>
      <c r="E398">
        <v>1</v>
      </c>
      <c r="F398">
        <v>1</v>
      </c>
      <c r="H398" t="s">
        <v>1307</v>
      </c>
      <c r="I398" t="s">
        <v>1308</v>
      </c>
      <c r="J398" t="s">
        <v>1172</v>
      </c>
      <c r="K398" t="s">
        <v>1173</v>
      </c>
      <c r="L398" t="s">
        <v>1174</v>
      </c>
      <c r="M398">
        <v>0</v>
      </c>
      <c r="N398" t="s">
        <v>50</v>
      </c>
      <c r="O398">
        <v>1</v>
      </c>
      <c r="P398">
        <v>0</v>
      </c>
      <c r="Q398">
        <v>0</v>
      </c>
      <c r="R398">
        <v>0</v>
      </c>
      <c r="S398">
        <v>0</v>
      </c>
      <c r="T398">
        <v>0</v>
      </c>
      <c r="U398" s="20">
        <v>45965.681585648148</v>
      </c>
      <c r="V398" s="20">
        <v>46077.993217592593</v>
      </c>
      <c r="Y398">
        <v>0</v>
      </c>
      <c r="Z398" t="s">
        <v>1308</v>
      </c>
      <c r="AA398" t="s">
        <v>320</v>
      </c>
      <c r="AL398" t="s">
        <v>2755</v>
      </c>
      <c r="AO398" t="s">
        <v>320</v>
      </c>
      <c r="AP398" t="s">
        <v>62</v>
      </c>
      <c r="AQ398" t="s">
        <v>545</v>
      </c>
      <c r="AR398" t="s">
        <v>73</v>
      </c>
      <c r="AV398" t="s">
        <v>3815</v>
      </c>
      <c r="AW398" t="s">
        <v>546</v>
      </c>
      <c r="AX398" t="s">
        <v>3816</v>
      </c>
    </row>
    <row r="399" spans="1:50" x14ac:dyDescent="0.25">
      <c r="A399" t="s">
        <v>561</v>
      </c>
      <c r="B399" t="s">
        <v>1168</v>
      </c>
      <c r="C399" t="s">
        <v>1510</v>
      </c>
      <c r="D399" t="s">
        <v>3230</v>
      </c>
      <c r="E399">
        <v>1</v>
      </c>
      <c r="F399">
        <v>1</v>
      </c>
      <c r="H399" t="s">
        <v>1307</v>
      </c>
      <c r="I399" t="s">
        <v>1308</v>
      </c>
      <c r="J399" t="s">
        <v>1172</v>
      </c>
      <c r="K399" t="s">
        <v>1173</v>
      </c>
      <c r="L399" t="s">
        <v>1174</v>
      </c>
      <c r="M399">
        <v>0</v>
      </c>
      <c r="N399" t="s">
        <v>50</v>
      </c>
      <c r="O399">
        <v>1</v>
      </c>
      <c r="P399">
        <v>0</v>
      </c>
      <c r="Q399">
        <v>0</v>
      </c>
      <c r="R399">
        <v>0</v>
      </c>
      <c r="S399">
        <v>0</v>
      </c>
      <c r="T399">
        <v>0</v>
      </c>
      <c r="U399" s="20">
        <v>45966.614999999998</v>
      </c>
      <c r="V399" s="20">
        <v>46077.99322916667</v>
      </c>
      <c r="Y399">
        <v>0</v>
      </c>
      <c r="Z399" t="s">
        <v>1308</v>
      </c>
      <c r="AA399" t="s">
        <v>48</v>
      </c>
      <c r="AL399" t="s">
        <v>2764</v>
      </c>
      <c r="AO399" t="s">
        <v>48</v>
      </c>
      <c r="AP399" t="s">
        <v>164</v>
      </c>
      <c r="AQ399" t="s">
        <v>2486</v>
      </c>
      <c r="AR399" t="s">
        <v>89</v>
      </c>
      <c r="AV399" t="s">
        <v>3370</v>
      </c>
      <c r="AW399" t="s">
        <v>562</v>
      </c>
      <c r="AX399" t="s">
        <v>3817</v>
      </c>
    </row>
    <row r="400" spans="1:50" x14ac:dyDescent="0.25">
      <c r="A400" t="s">
        <v>563</v>
      </c>
      <c r="B400" t="s">
        <v>1168</v>
      </c>
      <c r="C400" t="s">
        <v>1511</v>
      </c>
      <c r="D400" t="s">
        <v>2487</v>
      </c>
      <c r="E400">
        <v>1</v>
      </c>
      <c r="F400">
        <v>1</v>
      </c>
      <c r="H400" t="s">
        <v>1307</v>
      </c>
      <c r="I400" t="s">
        <v>1308</v>
      </c>
      <c r="J400" t="s">
        <v>1172</v>
      </c>
      <c r="K400" t="s">
        <v>1173</v>
      </c>
      <c r="L400" t="s">
        <v>1174</v>
      </c>
      <c r="M400">
        <v>0</v>
      </c>
      <c r="N400" t="s">
        <v>41</v>
      </c>
      <c r="O400">
        <v>1</v>
      </c>
      <c r="P400">
        <v>0</v>
      </c>
      <c r="Q400">
        <v>0</v>
      </c>
      <c r="R400">
        <v>0</v>
      </c>
      <c r="S400">
        <v>0</v>
      </c>
      <c r="T400">
        <v>0</v>
      </c>
      <c r="U400" s="20">
        <v>45966.615057870367</v>
      </c>
      <c r="V400" s="20">
        <v>46032.654374999998</v>
      </c>
      <c r="Y400">
        <v>0</v>
      </c>
      <c r="Z400" t="s">
        <v>1308</v>
      </c>
      <c r="AA400" t="s">
        <v>48</v>
      </c>
      <c r="AL400" t="s">
        <v>2765</v>
      </c>
      <c r="AO400" t="s">
        <v>48</v>
      </c>
      <c r="AQ400" t="s">
        <v>564</v>
      </c>
      <c r="AR400" t="s">
        <v>73</v>
      </c>
      <c r="AW400" t="s">
        <v>565</v>
      </c>
      <c r="AX400" t="s">
        <v>3818</v>
      </c>
    </row>
    <row r="401" spans="1:50" x14ac:dyDescent="0.25">
      <c r="A401" t="s">
        <v>566</v>
      </c>
      <c r="B401" t="s">
        <v>1168</v>
      </c>
      <c r="C401" t="s">
        <v>1512</v>
      </c>
      <c r="E401">
        <v>1</v>
      </c>
      <c r="F401">
        <v>1</v>
      </c>
      <c r="H401" t="s">
        <v>1307</v>
      </c>
      <c r="I401" t="s">
        <v>1308</v>
      </c>
      <c r="J401" t="s">
        <v>1172</v>
      </c>
      <c r="K401" t="s">
        <v>1173</v>
      </c>
      <c r="L401" t="s">
        <v>1174</v>
      </c>
      <c r="M401">
        <v>0</v>
      </c>
      <c r="N401" t="s">
        <v>50</v>
      </c>
      <c r="O401">
        <v>1</v>
      </c>
      <c r="P401">
        <v>0</v>
      </c>
      <c r="Q401">
        <v>0</v>
      </c>
      <c r="R401">
        <v>0</v>
      </c>
      <c r="S401">
        <v>0</v>
      </c>
      <c r="T401">
        <v>0</v>
      </c>
      <c r="U401" s="20">
        <v>45966.615104166667</v>
      </c>
      <c r="V401" s="20">
        <v>46002.067557870374</v>
      </c>
      <c r="Y401">
        <v>0</v>
      </c>
      <c r="Z401" t="s">
        <v>1308</v>
      </c>
      <c r="AA401" t="s">
        <v>48</v>
      </c>
      <c r="AL401" t="s">
        <v>2766</v>
      </c>
      <c r="AO401" t="s">
        <v>48</v>
      </c>
      <c r="AP401" t="s">
        <v>164</v>
      </c>
      <c r="AQ401" t="s">
        <v>567</v>
      </c>
      <c r="AR401" t="s">
        <v>73</v>
      </c>
      <c r="AV401" t="s">
        <v>3371</v>
      </c>
      <c r="AW401" t="s">
        <v>568</v>
      </c>
      <c r="AX401" t="s">
        <v>3819</v>
      </c>
    </row>
    <row r="402" spans="1:50" x14ac:dyDescent="0.25">
      <c r="A402" t="s">
        <v>569</v>
      </c>
      <c r="B402" t="s">
        <v>1168</v>
      </c>
      <c r="C402" t="s">
        <v>1513</v>
      </c>
      <c r="D402" t="s">
        <v>3230</v>
      </c>
      <c r="E402">
        <v>1</v>
      </c>
      <c r="F402">
        <v>1</v>
      </c>
      <c r="H402" t="s">
        <v>1307</v>
      </c>
      <c r="I402" t="s">
        <v>1308</v>
      </c>
      <c r="J402" t="s">
        <v>1172</v>
      </c>
      <c r="K402" t="s">
        <v>1173</v>
      </c>
      <c r="L402" t="s">
        <v>1174</v>
      </c>
      <c r="M402">
        <v>0</v>
      </c>
      <c r="N402" t="s">
        <v>50</v>
      </c>
      <c r="O402">
        <v>1</v>
      </c>
      <c r="P402">
        <v>0</v>
      </c>
      <c r="Q402">
        <v>0</v>
      </c>
      <c r="R402">
        <v>0</v>
      </c>
      <c r="S402">
        <v>0</v>
      </c>
      <c r="T402">
        <v>0</v>
      </c>
      <c r="U402" s="20">
        <v>45966.61513888889</v>
      </c>
      <c r="V402" s="20">
        <v>46077.99322916667</v>
      </c>
      <c r="Y402">
        <v>0</v>
      </c>
      <c r="Z402" t="s">
        <v>1308</v>
      </c>
      <c r="AA402" t="s">
        <v>48</v>
      </c>
      <c r="AL402" t="s">
        <v>2767</v>
      </c>
      <c r="AO402" t="s">
        <v>48</v>
      </c>
      <c r="AP402" t="s">
        <v>62</v>
      </c>
      <c r="AQ402" t="s">
        <v>570</v>
      </c>
      <c r="AR402" t="s">
        <v>51</v>
      </c>
      <c r="AV402" t="s">
        <v>3372</v>
      </c>
      <c r="AW402" t="s">
        <v>571</v>
      </c>
      <c r="AX402" t="s">
        <v>3820</v>
      </c>
    </row>
    <row r="403" spans="1:50" x14ac:dyDescent="0.25">
      <c r="A403" t="s">
        <v>572</v>
      </c>
      <c r="B403" t="s">
        <v>1168</v>
      </c>
      <c r="C403" t="s">
        <v>1514</v>
      </c>
      <c r="D403" t="s">
        <v>3230</v>
      </c>
      <c r="E403">
        <v>1</v>
      </c>
      <c r="F403">
        <v>1</v>
      </c>
      <c r="H403" t="s">
        <v>1307</v>
      </c>
      <c r="I403" t="s">
        <v>1308</v>
      </c>
      <c r="J403" t="s">
        <v>1172</v>
      </c>
      <c r="K403" t="s">
        <v>1173</v>
      </c>
      <c r="L403" t="s">
        <v>1174</v>
      </c>
      <c r="M403">
        <v>0</v>
      </c>
      <c r="N403" t="s">
        <v>50</v>
      </c>
      <c r="O403">
        <v>1</v>
      </c>
      <c r="P403">
        <v>0</v>
      </c>
      <c r="Q403">
        <v>0</v>
      </c>
      <c r="R403">
        <v>0</v>
      </c>
      <c r="S403">
        <v>0</v>
      </c>
      <c r="T403">
        <v>0</v>
      </c>
      <c r="U403" s="20">
        <v>45966.619745370372</v>
      </c>
      <c r="V403" s="20">
        <v>46077.993217592593</v>
      </c>
      <c r="Y403">
        <v>0</v>
      </c>
      <c r="Z403" t="s">
        <v>1308</v>
      </c>
      <c r="AA403" t="s">
        <v>48</v>
      </c>
      <c r="AL403" t="s">
        <v>2768</v>
      </c>
      <c r="AO403" t="s">
        <v>48</v>
      </c>
      <c r="AP403" t="s">
        <v>164</v>
      </c>
      <c r="AQ403" t="s">
        <v>573</v>
      </c>
      <c r="AR403" t="s">
        <v>73</v>
      </c>
      <c r="AV403" t="s">
        <v>3373</v>
      </c>
      <c r="AW403" t="s">
        <v>574</v>
      </c>
      <c r="AX403" t="s">
        <v>3821</v>
      </c>
    </row>
    <row r="404" spans="1:50" x14ac:dyDescent="0.25">
      <c r="A404" t="s">
        <v>575</v>
      </c>
      <c r="B404" t="s">
        <v>1168</v>
      </c>
      <c r="C404" t="s">
        <v>1515</v>
      </c>
      <c r="D404" t="s">
        <v>3230</v>
      </c>
      <c r="E404">
        <v>1</v>
      </c>
      <c r="F404">
        <v>1</v>
      </c>
      <c r="H404" t="s">
        <v>1307</v>
      </c>
      <c r="I404" t="s">
        <v>1308</v>
      </c>
      <c r="J404" t="s">
        <v>1172</v>
      </c>
      <c r="K404" t="s">
        <v>1173</v>
      </c>
      <c r="L404" t="s">
        <v>1174</v>
      </c>
      <c r="M404">
        <v>0</v>
      </c>
      <c r="N404" t="s">
        <v>50</v>
      </c>
      <c r="O404">
        <v>1</v>
      </c>
      <c r="P404">
        <v>0</v>
      </c>
      <c r="Q404">
        <v>0</v>
      </c>
      <c r="R404">
        <v>0</v>
      </c>
      <c r="S404">
        <v>0</v>
      </c>
      <c r="T404">
        <v>0</v>
      </c>
      <c r="U404" s="20">
        <v>45966.619895833333</v>
      </c>
      <c r="V404" s="20">
        <v>46077.99322916667</v>
      </c>
      <c r="Y404">
        <v>0</v>
      </c>
      <c r="Z404" t="s">
        <v>1308</v>
      </c>
      <c r="AA404" t="s">
        <v>48</v>
      </c>
      <c r="AL404" t="s">
        <v>2770</v>
      </c>
      <c r="AO404" t="s">
        <v>48</v>
      </c>
      <c r="AP404" t="s">
        <v>164</v>
      </c>
      <c r="AQ404" t="s">
        <v>576</v>
      </c>
      <c r="AR404" t="s">
        <v>73</v>
      </c>
      <c r="AV404" t="s">
        <v>3374</v>
      </c>
      <c r="AW404" t="s">
        <v>577</v>
      </c>
      <c r="AX404" t="s">
        <v>3822</v>
      </c>
    </row>
    <row r="405" spans="1:50" x14ac:dyDescent="0.25">
      <c r="A405" t="s">
        <v>578</v>
      </c>
      <c r="B405" t="s">
        <v>1168</v>
      </c>
      <c r="C405" t="s">
        <v>1516</v>
      </c>
      <c r="D405" t="s">
        <v>3230</v>
      </c>
      <c r="E405">
        <v>1</v>
      </c>
      <c r="F405">
        <v>1</v>
      </c>
      <c r="H405" t="s">
        <v>1307</v>
      </c>
      <c r="I405" t="s">
        <v>1308</v>
      </c>
      <c r="J405" t="s">
        <v>1172</v>
      </c>
      <c r="K405" t="s">
        <v>1173</v>
      </c>
      <c r="L405" t="s">
        <v>1174</v>
      </c>
      <c r="M405">
        <v>0</v>
      </c>
      <c r="N405" t="s">
        <v>50</v>
      </c>
      <c r="O405">
        <v>1</v>
      </c>
      <c r="P405">
        <v>0</v>
      </c>
      <c r="Q405">
        <v>0</v>
      </c>
      <c r="R405">
        <v>0</v>
      </c>
      <c r="S405">
        <v>0</v>
      </c>
      <c r="T405">
        <v>0</v>
      </c>
      <c r="U405" s="20">
        <v>45966.619942129626</v>
      </c>
      <c r="V405" s="20">
        <v>46077.993206018517</v>
      </c>
      <c r="Y405">
        <v>0</v>
      </c>
      <c r="Z405" t="s">
        <v>1308</v>
      </c>
      <c r="AA405" t="s">
        <v>48</v>
      </c>
      <c r="AL405" t="s">
        <v>2771</v>
      </c>
      <c r="AO405" t="s">
        <v>48</v>
      </c>
      <c r="AP405" t="s">
        <v>164</v>
      </c>
      <c r="AQ405" t="s">
        <v>579</v>
      </c>
      <c r="AR405" t="s">
        <v>89</v>
      </c>
      <c r="AV405" t="s">
        <v>3375</v>
      </c>
      <c r="AW405" t="s">
        <v>580</v>
      </c>
      <c r="AX405" t="s">
        <v>3823</v>
      </c>
    </row>
    <row r="406" spans="1:50" x14ac:dyDescent="0.25">
      <c r="A406" t="s">
        <v>581</v>
      </c>
      <c r="B406" t="s">
        <v>1168</v>
      </c>
      <c r="C406" t="s">
        <v>1517</v>
      </c>
      <c r="D406" t="s">
        <v>3230</v>
      </c>
      <c r="E406">
        <v>1</v>
      </c>
      <c r="F406">
        <v>1</v>
      </c>
      <c r="H406" t="s">
        <v>1307</v>
      </c>
      <c r="I406" t="s">
        <v>1308</v>
      </c>
      <c r="J406" t="s">
        <v>1172</v>
      </c>
      <c r="K406" t="s">
        <v>1173</v>
      </c>
      <c r="L406" t="s">
        <v>1174</v>
      </c>
      <c r="M406">
        <v>0</v>
      </c>
      <c r="N406" t="s">
        <v>50</v>
      </c>
      <c r="O406">
        <v>1</v>
      </c>
      <c r="P406">
        <v>0</v>
      </c>
      <c r="Q406">
        <v>0</v>
      </c>
      <c r="R406">
        <v>0</v>
      </c>
      <c r="S406">
        <v>0</v>
      </c>
      <c r="T406">
        <v>0</v>
      </c>
      <c r="U406" s="20">
        <v>45966.619988425926</v>
      </c>
      <c r="V406" s="20">
        <v>46077.993217592593</v>
      </c>
      <c r="Y406">
        <v>0</v>
      </c>
      <c r="Z406" t="s">
        <v>1308</v>
      </c>
      <c r="AA406" t="s">
        <v>48</v>
      </c>
      <c r="AL406" t="s">
        <v>2772</v>
      </c>
      <c r="AO406" t="s">
        <v>48</v>
      </c>
      <c r="AP406" t="s">
        <v>164</v>
      </c>
      <c r="AQ406" t="s">
        <v>582</v>
      </c>
      <c r="AR406" t="s">
        <v>89</v>
      </c>
      <c r="AV406" t="s">
        <v>3376</v>
      </c>
      <c r="AW406" t="s">
        <v>583</v>
      </c>
      <c r="AX406" t="s">
        <v>3824</v>
      </c>
    </row>
    <row r="407" spans="1:50" x14ac:dyDescent="0.25">
      <c r="A407" t="s">
        <v>584</v>
      </c>
      <c r="B407" t="s">
        <v>1168</v>
      </c>
      <c r="C407" t="s">
        <v>1518</v>
      </c>
      <c r="D407" t="s">
        <v>3230</v>
      </c>
      <c r="E407">
        <v>1</v>
      </c>
      <c r="F407">
        <v>1</v>
      </c>
      <c r="H407" t="s">
        <v>1307</v>
      </c>
      <c r="I407" t="s">
        <v>1308</v>
      </c>
      <c r="J407" t="s">
        <v>1172</v>
      </c>
      <c r="K407" t="s">
        <v>1173</v>
      </c>
      <c r="L407" t="s">
        <v>1174</v>
      </c>
      <c r="M407">
        <v>0</v>
      </c>
      <c r="N407" t="s">
        <v>50</v>
      </c>
      <c r="O407">
        <v>1</v>
      </c>
      <c r="P407">
        <v>0</v>
      </c>
      <c r="Q407">
        <v>0</v>
      </c>
      <c r="R407">
        <v>0</v>
      </c>
      <c r="S407">
        <v>0</v>
      </c>
      <c r="T407">
        <v>0</v>
      </c>
      <c r="U407" s="20">
        <v>45966.620023148149</v>
      </c>
      <c r="V407" s="20">
        <v>46077.993217592593</v>
      </c>
      <c r="Y407">
        <v>0</v>
      </c>
      <c r="Z407" t="s">
        <v>1308</v>
      </c>
      <c r="AA407" t="s">
        <v>48</v>
      </c>
      <c r="AL407" t="s">
        <v>2773</v>
      </c>
      <c r="AO407" t="s">
        <v>48</v>
      </c>
      <c r="AP407" t="s">
        <v>164</v>
      </c>
      <c r="AQ407" t="s">
        <v>585</v>
      </c>
      <c r="AR407" t="s">
        <v>89</v>
      </c>
      <c r="AV407" t="s">
        <v>3377</v>
      </c>
      <c r="AW407" t="s">
        <v>586</v>
      </c>
      <c r="AX407" t="s">
        <v>3825</v>
      </c>
    </row>
    <row r="408" spans="1:50" x14ac:dyDescent="0.25">
      <c r="A408" t="s">
        <v>587</v>
      </c>
      <c r="B408" t="s">
        <v>1168</v>
      </c>
      <c r="C408" t="s">
        <v>1519</v>
      </c>
      <c r="D408" t="s">
        <v>3230</v>
      </c>
      <c r="E408">
        <v>1</v>
      </c>
      <c r="F408">
        <v>1</v>
      </c>
      <c r="H408" t="s">
        <v>1307</v>
      </c>
      <c r="I408" t="s">
        <v>1308</v>
      </c>
      <c r="J408" t="s">
        <v>1172</v>
      </c>
      <c r="K408" t="s">
        <v>1173</v>
      </c>
      <c r="L408" t="s">
        <v>1174</v>
      </c>
      <c r="M408">
        <v>0</v>
      </c>
      <c r="N408" t="s">
        <v>50</v>
      </c>
      <c r="O408">
        <v>1</v>
      </c>
      <c r="P408">
        <v>0</v>
      </c>
      <c r="Q408">
        <v>0</v>
      </c>
      <c r="R408">
        <v>0</v>
      </c>
      <c r="S408">
        <v>0</v>
      </c>
      <c r="T408">
        <v>0</v>
      </c>
      <c r="U408" s="20">
        <v>45966.620081018518</v>
      </c>
      <c r="V408" s="20">
        <v>46077.993217592593</v>
      </c>
      <c r="Y408">
        <v>0</v>
      </c>
      <c r="Z408" t="s">
        <v>1308</v>
      </c>
      <c r="AA408" t="s">
        <v>48</v>
      </c>
      <c r="AL408" t="s">
        <v>2774</v>
      </c>
      <c r="AO408" t="s">
        <v>48</v>
      </c>
      <c r="AP408" t="s">
        <v>164</v>
      </c>
      <c r="AQ408" t="s">
        <v>588</v>
      </c>
      <c r="AR408" t="s">
        <v>89</v>
      </c>
      <c r="AV408" t="s">
        <v>3257</v>
      </c>
      <c r="AW408" t="s">
        <v>589</v>
      </c>
      <c r="AX408" t="s">
        <v>3826</v>
      </c>
    </row>
    <row r="409" spans="1:50" x14ac:dyDescent="0.25">
      <c r="A409" t="s">
        <v>590</v>
      </c>
      <c r="B409" t="s">
        <v>1168</v>
      </c>
      <c r="C409" t="s">
        <v>1520</v>
      </c>
      <c r="D409" t="s">
        <v>3230</v>
      </c>
      <c r="E409">
        <v>1</v>
      </c>
      <c r="F409">
        <v>1</v>
      </c>
      <c r="H409" t="s">
        <v>1307</v>
      </c>
      <c r="I409" t="s">
        <v>1308</v>
      </c>
      <c r="J409" t="s">
        <v>1172</v>
      </c>
      <c r="K409" t="s">
        <v>1173</v>
      </c>
      <c r="L409" t="s">
        <v>1174</v>
      </c>
      <c r="M409">
        <v>0</v>
      </c>
      <c r="N409" t="s">
        <v>50</v>
      </c>
      <c r="O409">
        <v>1</v>
      </c>
      <c r="P409">
        <v>0</v>
      </c>
      <c r="Q409">
        <v>0</v>
      </c>
      <c r="R409">
        <v>0</v>
      </c>
      <c r="S409">
        <v>0</v>
      </c>
      <c r="T409">
        <v>0</v>
      </c>
      <c r="U409" s="20">
        <v>45966.620115740741</v>
      </c>
      <c r="V409" s="20">
        <v>46077.993206018517</v>
      </c>
      <c r="Y409">
        <v>0</v>
      </c>
      <c r="Z409" t="s">
        <v>1308</v>
      </c>
      <c r="AA409" t="s">
        <v>48</v>
      </c>
      <c r="AL409" t="s">
        <v>2775</v>
      </c>
      <c r="AO409" t="s">
        <v>48</v>
      </c>
      <c r="AP409" t="s">
        <v>164</v>
      </c>
      <c r="AQ409" t="s">
        <v>591</v>
      </c>
      <c r="AR409" t="s">
        <v>89</v>
      </c>
      <c r="AV409" t="s">
        <v>3258</v>
      </c>
      <c r="AW409" t="s">
        <v>592</v>
      </c>
      <c r="AX409" t="s">
        <v>3827</v>
      </c>
    </row>
    <row r="410" spans="1:50" x14ac:dyDescent="0.25">
      <c r="A410" t="s">
        <v>593</v>
      </c>
      <c r="B410" t="s">
        <v>1168</v>
      </c>
      <c r="C410" t="s">
        <v>1521</v>
      </c>
      <c r="D410" t="s">
        <v>3230</v>
      </c>
      <c r="E410">
        <v>1</v>
      </c>
      <c r="F410">
        <v>1</v>
      </c>
      <c r="H410" t="s">
        <v>1307</v>
      </c>
      <c r="I410" t="s">
        <v>1308</v>
      </c>
      <c r="J410" t="s">
        <v>1172</v>
      </c>
      <c r="K410" t="s">
        <v>1173</v>
      </c>
      <c r="L410" t="s">
        <v>1174</v>
      </c>
      <c r="M410">
        <v>0</v>
      </c>
      <c r="N410" t="s">
        <v>50</v>
      </c>
      <c r="O410">
        <v>1</v>
      </c>
      <c r="P410">
        <v>0</v>
      </c>
      <c r="Q410">
        <v>0</v>
      </c>
      <c r="R410">
        <v>0</v>
      </c>
      <c r="S410">
        <v>0</v>
      </c>
      <c r="T410">
        <v>0</v>
      </c>
      <c r="U410" s="20">
        <v>45966.620162037034</v>
      </c>
      <c r="V410" s="20">
        <v>46077.99322916667</v>
      </c>
      <c r="Y410">
        <v>0</v>
      </c>
      <c r="Z410" t="s">
        <v>1308</v>
      </c>
      <c r="AA410" t="s">
        <v>48</v>
      </c>
      <c r="AL410" t="s">
        <v>2776</v>
      </c>
      <c r="AO410" t="s">
        <v>48</v>
      </c>
      <c r="AP410" t="s">
        <v>164</v>
      </c>
      <c r="AQ410" t="s">
        <v>594</v>
      </c>
      <c r="AR410" t="s">
        <v>89</v>
      </c>
      <c r="AV410" t="s">
        <v>3378</v>
      </c>
      <c r="AW410" t="s">
        <v>595</v>
      </c>
      <c r="AX410" t="s">
        <v>3828</v>
      </c>
    </row>
    <row r="411" spans="1:50" x14ac:dyDescent="0.25">
      <c r="A411" t="s">
        <v>596</v>
      </c>
      <c r="B411" t="s">
        <v>1168</v>
      </c>
      <c r="C411" t="s">
        <v>1522</v>
      </c>
      <c r="D411" t="s">
        <v>600</v>
      </c>
      <c r="E411">
        <v>1</v>
      </c>
      <c r="F411">
        <v>1</v>
      </c>
      <c r="H411" t="s">
        <v>1307</v>
      </c>
      <c r="I411" t="s">
        <v>1308</v>
      </c>
      <c r="J411" t="s">
        <v>1172</v>
      </c>
      <c r="K411" t="s">
        <v>1173</v>
      </c>
      <c r="L411" t="s">
        <v>1174</v>
      </c>
      <c r="M411">
        <v>0</v>
      </c>
      <c r="N411" t="s">
        <v>50</v>
      </c>
      <c r="O411">
        <v>1</v>
      </c>
      <c r="P411">
        <v>0</v>
      </c>
      <c r="Q411">
        <v>0</v>
      </c>
      <c r="R411">
        <v>0</v>
      </c>
      <c r="S411">
        <v>0</v>
      </c>
      <c r="T411">
        <v>0</v>
      </c>
      <c r="U411" s="20">
        <v>45966.956932870373</v>
      </c>
      <c r="V411" s="20">
        <v>46002.067604166667</v>
      </c>
      <c r="Y411">
        <v>0</v>
      </c>
      <c r="Z411" t="s">
        <v>1308</v>
      </c>
      <c r="AA411" t="s">
        <v>312</v>
      </c>
      <c r="AL411" t="s">
        <v>3020</v>
      </c>
      <c r="AM411" t="s">
        <v>86</v>
      </c>
      <c r="AN411" t="s">
        <v>95</v>
      </c>
      <c r="AO411" t="s">
        <v>48</v>
      </c>
      <c r="AQ411" t="s">
        <v>597</v>
      </c>
      <c r="AR411" t="s">
        <v>73</v>
      </c>
      <c r="AV411" t="s">
        <v>599</v>
      </c>
      <c r="AW411" t="s">
        <v>598</v>
      </c>
      <c r="AX411" t="s">
        <v>3829</v>
      </c>
    </row>
    <row r="412" spans="1:50" x14ac:dyDescent="0.25">
      <c r="A412" t="s">
        <v>128</v>
      </c>
      <c r="B412" t="s">
        <v>1168</v>
      </c>
      <c r="C412" t="s">
        <v>1331</v>
      </c>
      <c r="D412" t="s">
        <v>3379</v>
      </c>
      <c r="E412">
        <v>1</v>
      </c>
      <c r="F412">
        <v>1</v>
      </c>
      <c r="H412" t="s">
        <v>1307</v>
      </c>
      <c r="I412" t="s">
        <v>1308</v>
      </c>
      <c r="J412" t="s">
        <v>1172</v>
      </c>
      <c r="K412" t="s">
        <v>1173</v>
      </c>
      <c r="L412" t="s">
        <v>1174</v>
      </c>
      <c r="M412">
        <v>0</v>
      </c>
      <c r="N412" t="s">
        <v>50</v>
      </c>
      <c r="O412">
        <v>1</v>
      </c>
      <c r="P412">
        <v>0</v>
      </c>
      <c r="Q412">
        <v>0</v>
      </c>
      <c r="R412">
        <v>0</v>
      </c>
      <c r="S412">
        <v>0</v>
      </c>
      <c r="T412">
        <v>0</v>
      </c>
      <c r="U412" s="20">
        <v>45969.865868055553</v>
      </c>
      <c r="V412" s="20">
        <v>46077.99322916667</v>
      </c>
      <c r="Y412">
        <v>0</v>
      </c>
      <c r="Z412" t="s">
        <v>1308</v>
      </c>
      <c r="AL412" t="s">
        <v>2533</v>
      </c>
      <c r="AM412" t="s">
        <v>86</v>
      </c>
      <c r="AN412" t="s">
        <v>37</v>
      </c>
      <c r="AO412" t="s">
        <v>48</v>
      </c>
      <c r="AP412" t="s">
        <v>49</v>
      </c>
      <c r="AQ412" t="s">
        <v>129</v>
      </c>
      <c r="AR412" t="s">
        <v>67</v>
      </c>
      <c r="AV412" t="s">
        <v>3281</v>
      </c>
      <c r="AW412" t="s">
        <v>3280</v>
      </c>
      <c r="AX412" t="s">
        <v>3830</v>
      </c>
    </row>
    <row r="413" spans="1:50" x14ac:dyDescent="0.25">
      <c r="A413" t="s">
        <v>454</v>
      </c>
      <c r="B413" t="s">
        <v>1168</v>
      </c>
      <c r="C413" t="s">
        <v>1470</v>
      </c>
      <c r="D413" t="s">
        <v>455</v>
      </c>
      <c r="E413">
        <v>1</v>
      </c>
      <c r="F413">
        <v>1</v>
      </c>
      <c r="H413" t="s">
        <v>1307</v>
      </c>
      <c r="I413" t="s">
        <v>1308</v>
      </c>
      <c r="J413" t="s">
        <v>1172</v>
      </c>
      <c r="K413" t="s">
        <v>1173</v>
      </c>
      <c r="L413" t="s">
        <v>1174</v>
      </c>
      <c r="M413">
        <v>0</v>
      </c>
      <c r="N413" t="s">
        <v>41</v>
      </c>
      <c r="O413">
        <v>1</v>
      </c>
      <c r="P413">
        <v>0</v>
      </c>
      <c r="Q413">
        <v>0</v>
      </c>
      <c r="R413">
        <v>0</v>
      </c>
      <c r="S413">
        <v>0</v>
      </c>
      <c r="T413">
        <v>0</v>
      </c>
      <c r="U413" s="20">
        <v>45969.8752662037</v>
      </c>
      <c r="V413" s="20">
        <v>46002.067546296297</v>
      </c>
      <c r="Y413">
        <v>0</v>
      </c>
      <c r="Z413" t="s">
        <v>1308</v>
      </c>
      <c r="AL413" t="s">
        <v>2718</v>
      </c>
      <c r="AO413" t="s">
        <v>277</v>
      </c>
      <c r="AX413" t="s">
        <v>3831</v>
      </c>
    </row>
    <row r="414" spans="1:50" x14ac:dyDescent="0.25">
      <c r="A414" t="s">
        <v>605</v>
      </c>
      <c r="B414" t="s">
        <v>1168</v>
      </c>
      <c r="C414" t="s">
        <v>1524</v>
      </c>
      <c r="D414" t="s">
        <v>3294</v>
      </c>
      <c r="E414">
        <v>1</v>
      </c>
      <c r="F414">
        <v>1</v>
      </c>
      <c r="H414" t="s">
        <v>1307</v>
      </c>
      <c r="I414" t="s">
        <v>1308</v>
      </c>
      <c r="J414" t="s">
        <v>1172</v>
      </c>
      <c r="K414" t="s">
        <v>1173</v>
      </c>
      <c r="L414" t="s">
        <v>1174</v>
      </c>
      <c r="M414">
        <v>0</v>
      </c>
      <c r="N414" t="s">
        <v>87</v>
      </c>
      <c r="O414">
        <v>1</v>
      </c>
      <c r="P414">
        <v>0</v>
      </c>
      <c r="Q414">
        <v>0</v>
      </c>
      <c r="R414">
        <v>0</v>
      </c>
      <c r="S414">
        <v>0</v>
      </c>
      <c r="T414">
        <v>0</v>
      </c>
      <c r="U414" s="20">
        <v>45971.576979166668</v>
      </c>
      <c r="V414" s="20">
        <v>46077.993217592593</v>
      </c>
      <c r="Y414">
        <v>0</v>
      </c>
      <c r="Z414" t="s">
        <v>1308</v>
      </c>
      <c r="AL414" t="s">
        <v>2779</v>
      </c>
      <c r="AM414" t="s">
        <v>37</v>
      </c>
      <c r="AN414" t="s">
        <v>120</v>
      </c>
      <c r="AO414" t="s">
        <v>48</v>
      </c>
      <c r="AP414" t="s">
        <v>62</v>
      </c>
      <c r="AQ414" t="s">
        <v>606</v>
      </c>
      <c r="AR414" t="s">
        <v>73</v>
      </c>
      <c r="AV414" t="s">
        <v>3270</v>
      </c>
      <c r="AW414" t="s">
        <v>3272</v>
      </c>
      <c r="AX414" t="s">
        <v>3832</v>
      </c>
    </row>
    <row r="415" spans="1:50" x14ac:dyDescent="0.25">
      <c r="A415" t="s">
        <v>628</v>
      </c>
      <c r="B415" t="s">
        <v>1168</v>
      </c>
      <c r="C415" t="s">
        <v>1535</v>
      </c>
      <c r="E415">
        <v>1</v>
      </c>
      <c r="F415">
        <v>1</v>
      </c>
      <c r="H415" t="s">
        <v>1307</v>
      </c>
      <c r="I415" t="s">
        <v>1308</v>
      </c>
      <c r="J415" t="s">
        <v>1172</v>
      </c>
      <c r="K415" t="s">
        <v>1173</v>
      </c>
      <c r="L415" t="s">
        <v>1174</v>
      </c>
      <c r="M415">
        <v>0</v>
      </c>
      <c r="N415" t="s">
        <v>50</v>
      </c>
      <c r="O415">
        <v>1</v>
      </c>
      <c r="P415">
        <v>0</v>
      </c>
      <c r="Q415">
        <v>0</v>
      </c>
      <c r="R415">
        <v>0</v>
      </c>
      <c r="S415">
        <v>0</v>
      </c>
      <c r="T415">
        <v>0</v>
      </c>
      <c r="U415" s="20">
        <v>45972.623425925929</v>
      </c>
      <c r="V415" s="20">
        <v>46002.004942129628</v>
      </c>
      <c r="Y415">
        <v>0</v>
      </c>
      <c r="Z415" t="s">
        <v>1308</v>
      </c>
      <c r="AL415" t="s">
        <v>2794</v>
      </c>
      <c r="AO415" t="s">
        <v>194</v>
      </c>
      <c r="AX415" t="s">
        <v>3833</v>
      </c>
    </row>
    <row r="416" spans="1:50" x14ac:dyDescent="0.25">
      <c r="A416" t="s">
        <v>637</v>
      </c>
      <c r="B416" t="s">
        <v>1168</v>
      </c>
      <c r="C416" t="s">
        <v>1538</v>
      </c>
      <c r="E416">
        <v>1</v>
      </c>
      <c r="F416">
        <v>1</v>
      </c>
      <c r="H416" t="s">
        <v>1307</v>
      </c>
      <c r="I416" t="s">
        <v>1308</v>
      </c>
      <c r="J416" t="s">
        <v>1172</v>
      </c>
      <c r="K416" t="s">
        <v>1173</v>
      </c>
      <c r="L416" t="s">
        <v>1174</v>
      </c>
      <c r="M416">
        <v>0</v>
      </c>
      <c r="N416" t="s">
        <v>50</v>
      </c>
      <c r="O416">
        <v>1</v>
      </c>
      <c r="P416">
        <v>0</v>
      </c>
      <c r="Q416">
        <v>0</v>
      </c>
      <c r="R416">
        <v>0</v>
      </c>
      <c r="S416">
        <v>0</v>
      </c>
      <c r="T416">
        <v>0</v>
      </c>
      <c r="U416" s="20">
        <v>45972.699178240742</v>
      </c>
      <c r="V416" s="20">
        <v>46002.004953703705</v>
      </c>
      <c r="Y416">
        <v>0</v>
      </c>
      <c r="Z416" t="s">
        <v>1308</v>
      </c>
      <c r="AL416" t="s">
        <v>2800</v>
      </c>
      <c r="AO416" t="s">
        <v>48</v>
      </c>
      <c r="AX416" t="s">
        <v>3834</v>
      </c>
    </row>
    <row r="417" spans="1:50" x14ac:dyDescent="0.25">
      <c r="A417" t="s">
        <v>639</v>
      </c>
      <c r="B417" t="s">
        <v>1168</v>
      </c>
      <c r="C417" t="s">
        <v>1539</v>
      </c>
      <c r="E417">
        <v>1</v>
      </c>
      <c r="F417">
        <v>1</v>
      </c>
      <c r="H417" t="s">
        <v>1307</v>
      </c>
      <c r="I417" t="s">
        <v>1308</v>
      </c>
      <c r="J417" t="s">
        <v>1172</v>
      </c>
      <c r="K417" t="s">
        <v>1173</v>
      </c>
      <c r="L417" t="s">
        <v>1174</v>
      </c>
      <c r="M417">
        <v>0</v>
      </c>
      <c r="N417" t="s">
        <v>50</v>
      </c>
      <c r="O417">
        <v>1</v>
      </c>
      <c r="P417">
        <v>0</v>
      </c>
      <c r="Q417">
        <v>0</v>
      </c>
      <c r="R417">
        <v>0</v>
      </c>
      <c r="S417">
        <v>0</v>
      </c>
      <c r="T417">
        <v>0</v>
      </c>
      <c r="U417" s="20">
        <v>45972.699675925927</v>
      </c>
      <c r="V417" s="20">
        <v>46002.004953703705</v>
      </c>
      <c r="Y417">
        <v>0</v>
      </c>
      <c r="Z417" t="s">
        <v>1308</v>
      </c>
      <c r="AL417" t="s">
        <v>2801</v>
      </c>
      <c r="AO417" t="s">
        <v>48</v>
      </c>
      <c r="AX417" t="s">
        <v>3835</v>
      </c>
    </row>
    <row r="418" spans="1:50" x14ac:dyDescent="0.25">
      <c r="A418" t="s">
        <v>640</v>
      </c>
      <c r="B418" t="s">
        <v>1168</v>
      </c>
      <c r="C418" t="s">
        <v>1540</v>
      </c>
      <c r="E418">
        <v>1</v>
      </c>
      <c r="F418">
        <v>1</v>
      </c>
      <c r="H418" t="s">
        <v>1307</v>
      </c>
      <c r="I418" t="s">
        <v>1308</v>
      </c>
      <c r="J418" t="s">
        <v>1172</v>
      </c>
      <c r="K418" t="s">
        <v>1173</v>
      </c>
      <c r="L418" t="s">
        <v>1174</v>
      </c>
      <c r="M418">
        <v>0</v>
      </c>
      <c r="N418" t="s">
        <v>50</v>
      </c>
      <c r="O418">
        <v>1</v>
      </c>
      <c r="P418">
        <v>0</v>
      </c>
      <c r="Q418">
        <v>0</v>
      </c>
      <c r="R418">
        <v>0</v>
      </c>
      <c r="S418">
        <v>0</v>
      </c>
      <c r="T418">
        <v>0</v>
      </c>
      <c r="U418" s="20">
        <v>45972.699791666666</v>
      </c>
      <c r="V418" s="20">
        <v>46002.004942129628</v>
      </c>
      <c r="Y418">
        <v>0</v>
      </c>
      <c r="Z418" t="s">
        <v>1308</v>
      </c>
      <c r="AL418" t="s">
        <v>2802</v>
      </c>
      <c r="AO418" t="s">
        <v>48</v>
      </c>
      <c r="AX418" t="s">
        <v>3836</v>
      </c>
    </row>
    <row r="419" spans="1:50" x14ac:dyDescent="0.25">
      <c r="A419" t="s">
        <v>642</v>
      </c>
      <c r="B419" t="s">
        <v>1168</v>
      </c>
      <c r="C419" t="s">
        <v>1541</v>
      </c>
      <c r="E419">
        <v>1</v>
      </c>
      <c r="F419">
        <v>1</v>
      </c>
      <c r="H419" t="s">
        <v>1307</v>
      </c>
      <c r="I419" t="s">
        <v>1308</v>
      </c>
      <c r="J419" t="s">
        <v>1172</v>
      </c>
      <c r="K419" t="s">
        <v>1173</v>
      </c>
      <c r="L419" t="s">
        <v>1174</v>
      </c>
      <c r="M419">
        <v>0</v>
      </c>
      <c r="N419" t="s">
        <v>50</v>
      </c>
      <c r="O419">
        <v>1</v>
      </c>
      <c r="P419">
        <v>0</v>
      </c>
      <c r="Q419">
        <v>0</v>
      </c>
      <c r="R419">
        <v>0</v>
      </c>
      <c r="S419">
        <v>0</v>
      </c>
      <c r="T419">
        <v>0</v>
      </c>
      <c r="U419" s="20">
        <v>45972.699826388889</v>
      </c>
      <c r="V419" s="20">
        <v>46002.004999999997</v>
      </c>
      <c r="Y419">
        <v>0</v>
      </c>
      <c r="Z419" t="s">
        <v>1308</v>
      </c>
      <c r="AL419" t="s">
        <v>2803</v>
      </c>
      <c r="AO419" t="s">
        <v>48</v>
      </c>
      <c r="AX419" t="s">
        <v>3837</v>
      </c>
    </row>
    <row r="420" spans="1:50" x14ac:dyDescent="0.25">
      <c r="A420" t="s">
        <v>644</v>
      </c>
      <c r="B420" t="s">
        <v>1168</v>
      </c>
      <c r="C420" t="s">
        <v>1542</v>
      </c>
      <c r="E420">
        <v>1</v>
      </c>
      <c r="F420">
        <v>1</v>
      </c>
      <c r="H420" t="s">
        <v>1307</v>
      </c>
      <c r="I420" t="s">
        <v>1308</v>
      </c>
      <c r="J420" t="s">
        <v>1172</v>
      </c>
      <c r="K420" t="s">
        <v>1173</v>
      </c>
      <c r="L420" t="s">
        <v>1174</v>
      </c>
      <c r="M420">
        <v>0</v>
      </c>
      <c r="N420" t="s">
        <v>50</v>
      </c>
      <c r="O420">
        <v>1</v>
      </c>
      <c r="P420">
        <v>0</v>
      </c>
      <c r="Q420">
        <v>0</v>
      </c>
      <c r="R420">
        <v>0</v>
      </c>
      <c r="S420">
        <v>0</v>
      </c>
      <c r="T420">
        <v>0</v>
      </c>
      <c r="U420" s="20">
        <v>45972.699988425928</v>
      </c>
      <c r="V420" s="20">
        <v>46002.004965277774</v>
      </c>
      <c r="Y420">
        <v>0</v>
      </c>
      <c r="Z420" t="s">
        <v>1308</v>
      </c>
      <c r="AL420" t="s">
        <v>645</v>
      </c>
      <c r="AO420" t="s">
        <v>163</v>
      </c>
      <c r="AX420" t="s">
        <v>3838</v>
      </c>
    </row>
    <row r="421" spans="1:50" x14ac:dyDescent="0.25">
      <c r="A421" t="s">
        <v>653</v>
      </c>
      <c r="B421" t="s">
        <v>1168</v>
      </c>
      <c r="C421" t="s">
        <v>1545</v>
      </c>
      <c r="E421">
        <v>1</v>
      </c>
      <c r="F421">
        <v>1</v>
      </c>
      <c r="H421" t="s">
        <v>1307</v>
      </c>
      <c r="I421" t="s">
        <v>1308</v>
      </c>
      <c r="J421" t="s">
        <v>1172</v>
      </c>
      <c r="K421" t="s">
        <v>1173</v>
      </c>
      <c r="L421" t="s">
        <v>1174</v>
      </c>
      <c r="M421">
        <v>0</v>
      </c>
      <c r="N421" t="s">
        <v>50</v>
      </c>
      <c r="O421">
        <v>1</v>
      </c>
      <c r="P421">
        <v>0</v>
      </c>
      <c r="Q421">
        <v>0</v>
      </c>
      <c r="R421">
        <v>0</v>
      </c>
      <c r="S421">
        <v>0</v>
      </c>
      <c r="T421">
        <v>0</v>
      </c>
      <c r="U421" s="20">
        <v>45972.758553240739</v>
      </c>
      <c r="V421" s="20">
        <v>46002.004999999997</v>
      </c>
      <c r="Y421">
        <v>0</v>
      </c>
      <c r="Z421" t="s">
        <v>1308</v>
      </c>
      <c r="AL421" t="s">
        <v>654</v>
      </c>
      <c r="AO421" t="s">
        <v>194</v>
      </c>
      <c r="AX421" t="s">
        <v>3839</v>
      </c>
    </row>
    <row r="422" spans="1:50" x14ac:dyDescent="0.25">
      <c r="A422" t="s">
        <v>656</v>
      </c>
      <c r="B422" t="s">
        <v>1168</v>
      </c>
      <c r="C422" t="s">
        <v>1546</v>
      </c>
      <c r="D422" t="s">
        <v>659</v>
      </c>
      <c r="E422">
        <v>1</v>
      </c>
      <c r="F422">
        <v>1</v>
      </c>
      <c r="H422" t="s">
        <v>1307</v>
      </c>
      <c r="I422" t="s">
        <v>1308</v>
      </c>
      <c r="J422" t="s">
        <v>1172</v>
      </c>
      <c r="K422" t="s">
        <v>1173</v>
      </c>
      <c r="L422" t="s">
        <v>1174</v>
      </c>
      <c r="M422">
        <v>0</v>
      </c>
      <c r="N422" t="s">
        <v>41</v>
      </c>
      <c r="O422">
        <v>1</v>
      </c>
      <c r="P422">
        <v>0</v>
      </c>
      <c r="Q422">
        <v>0</v>
      </c>
      <c r="R422">
        <v>0</v>
      </c>
      <c r="S422">
        <v>0</v>
      </c>
      <c r="T422">
        <v>0</v>
      </c>
      <c r="U422" s="20">
        <v>45972.758611111109</v>
      </c>
      <c r="V422" s="20">
        <v>46002.058796296296</v>
      </c>
      <c r="Y422">
        <v>0</v>
      </c>
      <c r="Z422" t="s">
        <v>1308</v>
      </c>
      <c r="AL422" t="s">
        <v>3024</v>
      </c>
      <c r="AO422" t="s">
        <v>163</v>
      </c>
      <c r="AQ422" t="s">
        <v>657</v>
      </c>
      <c r="AR422" t="s">
        <v>89</v>
      </c>
      <c r="AW422" t="s">
        <v>658</v>
      </c>
      <c r="AX422" t="s">
        <v>3840</v>
      </c>
    </row>
    <row r="423" spans="1:50" x14ac:dyDescent="0.25">
      <c r="A423" t="s">
        <v>660</v>
      </c>
      <c r="B423" t="s">
        <v>1168</v>
      </c>
      <c r="C423" t="s">
        <v>1547</v>
      </c>
      <c r="D423" t="s">
        <v>3380</v>
      </c>
      <c r="E423">
        <v>1</v>
      </c>
      <c r="F423">
        <v>1</v>
      </c>
      <c r="H423" t="s">
        <v>1307</v>
      </c>
      <c r="I423" t="s">
        <v>1308</v>
      </c>
      <c r="J423" t="s">
        <v>1172</v>
      </c>
      <c r="K423" t="s">
        <v>1173</v>
      </c>
      <c r="L423" t="s">
        <v>1174</v>
      </c>
      <c r="M423">
        <v>0</v>
      </c>
      <c r="N423" t="s">
        <v>50</v>
      </c>
      <c r="O423">
        <v>1</v>
      </c>
      <c r="P423">
        <v>0</v>
      </c>
      <c r="Q423">
        <v>0</v>
      </c>
      <c r="R423">
        <v>0</v>
      </c>
      <c r="S423">
        <v>0</v>
      </c>
      <c r="T423">
        <v>0</v>
      </c>
      <c r="U423" s="20">
        <v>45972.763726851852</v>
      </c>
      <c r="V423" s="20">
        <v>46077.993217592593</v>
      </c>
      <c r="Y423">
        <v>0</v>
      </c>
      <c r="Z423" t="s">
        <v>1308</v>
      </c>
      <c r="AL423" t="s">
        <v>3026</v>
      </c>
      <c r="AO423" t="s">
        <v>163</v>
      </c>
      <c r="AP423" t="s">
        <v>164</v>
      </c>
      <c r="AQ423" t="s">
        <v>661</v>
      </c>
      <c r="AR423" t="s">
        <v>89</v>
      </c>
      <c r="AV423" t="s">
        <v>3381</v>
      </c>
      <c r="AW423" t="s">
        <v>662</v>
      </c>
      <c r="AX423" t="s">
        <v>3841</v>
      </c>
    </row>
    <row r="424" spans="1:50" x14ac:dyDescent="0.25">
      <c r="A424" t="s">
        <v>663</v>
      </c>
      <c r="B424" t="s">
        <v>1168</v>
      </c>
      <c r="C424" t="s">
        <v>1548</v>
      </c>
      <c r="E424">
        <v>1</v>
      </c>
      <c r="F424">
        <v>1</v>
      </c>
      <c r="H424" t="s">
        <v>1307</v>
      </c>
      <c r="I424" t="s">
        <v>1308</v>
      </c>
      <c r="J424" t="s">
        <v>1172</v>
      </c>
      <c r="K424" t="s">
        <v>1173</v>
      </c>
      <c r="L424" t="s">
        <v>1174</v>
      </c>
      <c r="M424">
        <v>0</v>
      </c>
      <c r="N424" t="s">
        <v>50</v>
      </c>
      <c r="O424">
        <v>1</v>
      </c>
      <c r="P424">
        <v>0</v>
      </c>
      <c r="Q424">
        <v>0</v>
      </c>
      <c r="R424">
        <v>0</v>
      </c>
      <c r="S424">
        <v>0</v>
      </c>
      <c r="T424">
        <v>0</v>
      </c>
      <c r="U424" s="20">
        <v>45972.804166666669</v>
      </c>
      <c r="V424" s="20">
        <v>46032.649004629631</v>
      </c>
      <c r="Y424">
        <v>0</v>
      </c>
      <c r="Z424" t="s">
        <v>1308</v>
      </c>
      <c r="AL424" t="s">
        <v>3107</v>
      </c>
      <c r="AO424" t="s">
        <v>312</v>
      </c>
      <c r="AX424" t="s">
        <v>3842</v>
      </c>
    </row>
    <row r="425" spans="1:50" x14ac:dyDescent="0.25">
      <c r="A425" t="s">
        <v>669</v>
      </c>
      <c r="B425" t="s">
        <v>1168</v>
      </c>
      <c r="C425" t="s">
        <v>1551</v>
      </c>
      <c r="E425">
        <v>1</v>
      </c>
      <c r="F425">
        <v>1</v>
      </c>
      <c r="H425" t="s">
        <v>1307</v>
      </c>
      <c r="I425" t="s">
        <v>1308</v>
      </c>
      <c r="J425" t="s">
        <v>1172</v>
      </c>
      <c r="K425" t="s">
        <v>1173</v>
      </c>
      <c r="L425" t="s">
        <v>1174</v>
      </c>
      <c r="M425">
        <v>0</v>
      </c>
      <c r="N425" t="s">
        <v>50</v>
      </c>
      <c r="O425">
        <v>1</v>
      </c>
      <c r="P425">
        <v>0</v>
      </c>
      <c r="Q425">
        <v>0</v>
      </c>
      <c r="R425">
        <v>0</v>
      </c>
      <c r="S425">
        <v>0</v>
      </c>
      <c r="T425">
        <v>0</v>
      </c>
      <c r="U425" s="20">
        <v>45972.827731481484</v>
      </c>
      <c r="V425" s="20">
        <v>46002.004988425928</v>
      </c>
      <c r="Y425">
        <v>0</v>
      </c>
      <c r="Z425" t="s">
        <v>1308</v>
      </c>
      <c r="AL425" t="s">
        <v>2813</v>
      </c>
      <c r="AO425" t="s">
        <v>48</v>
      </c>
      <c r="AX425" t="s">
        <v>3843</v>
      </c>
    </row>
    <row r="426" spans="1:50" x14ac:dyDescent="0.25">
      <c r="A426" t="s">
        <v>671</v>
      </c>
      <c r="B426" t="s">
        <v>1168</v>
      </c>
      <c r="C426" t="s">
        <v>1552</v>
      </c>
      <c r="D426" t="s">
        <v>2902</v>
      </c>
      <c r="E426">
        <v>1</v>
      </c>
      <c r="F426">
        <v>1</v>
      </c>
      <c r="H426" t="s">
        <v>1307</v>
      </c>
      <c r="I426" t="s">
        <v>1308</v>
      </c>
      <c r="J426" t="s">
        <v>1172</v>
      </c>
      <c r="K426" t="s">
        <v>1173</v>
      </c>
      <c r="L426" t="s">
        <v>1174</v>
      </c>
      <c r="M426">
        <v>0</v>
      </c>
      <c r="N426" t="s">
        <v>41</v>
      </c>
      <c r="O426">
        <v>1</v>
      </c>
      <c r="P426">
        <v>0</v>
      </c>
      <c r="Q426">
        <v>0</v>
      </c>
      <c r="R426">
        <v>0</v>
      </c>
      <c r="S426">
        <v>0</v>
      </c>
      <c r="T426">
        <v>0</v>
      </c>
      <c r="U426" s="20">
        <v>45972.827777777777</v>
      </c>
      <c r="V426" s="20">
        <v>46036.916898148149</v>
      </c>
      <c r="Y426">
        <v>0</v>
      </c>
      <c r="Z426" t="s">
        <v>1308</v>
      </c>
      <c r="AL426" t="s">
        <v>2814</v>
      </c>
      <c r="AO426" t="s">
        <v>48</v>
      </c>
      <c r="AX426" t="s">
        <v>3844</v>
      </c>
    </row>
    <row r="427" spans="1:50" x14ac:dyDescent="0.25">
      <c r="A427" t="s">
        <v>673</v>
      </c>
      <c r="B427" t="s">
        <v>1168</v>
      </c>
      <c r="C427" t="s">
        <v>1553</v>
      </c>
      <c r="E427">
        <v>1</v>
      </c>
      <c r="F427">
        <v>1</v>
      </c>
      <c r="H427" t="s">
        <v>1307</v>
      </c>
      <c r="I427" t="s">
        <v>1308</v>
      </c>
      <c r="J427" t="s">
        <v>1172</v>
      </c>
      <c r="K427" t="s">
        <v>1173</v>
      </c>
      <c r="L427" t="s">
        <v>1174</v>
      </c>
      <c r="M427">
        <v>0</v>
      </c>
      <c r="N427" t="s">
        <v>50</v>
      </c>
      <c r="O427">
        <v>1</v>
      </c>
      <c r="P427">
        <v>0</v>
      </c>
      <c r="Q427">
        <v>0</v>
      </c>
      <c r="R427">
        <v>0</v>
      </c>
      <c r="S427">
        <v>0</v>
      </c>
      <c r="T427">
        <v>0</v>
      </c>
      <c r="U427" s="20">
        <v>45972.827824074076</v>
      </c>
      <c r="V427" s="20">
        <v>46002.004988425928</v>
      </c>
      <c r="Y427">
        <v>0</v>
      </c>
      <c r="Z427" t="s">
        <v>1308</v>
      </c>
      <c r="AL427" t="s">
        <v>2815</v>
      </c>
      <c r="AO427" t="s">
        <v>48</v>
      </c>
      <c r="AX427" t="s">
        <v>3845</v>
      </c>
    </row>
    <row r="428" spans="1:50" x14ac:dyDescent="0.25">
      <c r="A428" t="s">
        <v>675</v>
      </c>
      <c r="B428" t="s">
        <v>1168</v>
      </c>
      <c r="C428" t="s">
        <v>1554</v>
      </c>
      <c r="E428">
        <v>1</v>
      </c>
      <c r="F428">
        <v>1</v>
      </c>
      <c r="H428" t="s">
        <v>1307</v>
      </c>
      <c r="I428" t="s">
        <v>1308</v>
      </c>
      <c r="J428" t="s">
        <v>1172</v>
      </c>
      <c r="K428" t="s">
        <v>1173</v>
      </c>
      <c r="L428" t="s">
        <v>1174</v>
      </c>
      <c r="M428">
        <v>0</v>
      </c>
      <c r="N428" t="s">
        <v>50</v>
      </c>
      <c r="O428">
        <v>1</v>
      </c>
      <c r="P428">
        <v>0</v>
      </c>
      <c r="Q428">
        <v>0</v>
      </c>
      <c r="R428">
        <v>0</v>
      </c>
      <c r="S428">
        <v>0</v>
      </c>
      <c r="T428">
        <v>0</v>
      </c>
      <c r="U428" s="20">
        <v>45972.827881944446</v>
      </c>
      <c r="V428" s="20">
        <v>46002.004942129628</v>
      </c>
      <c r="Y428">
        <v>0</v>
      </c>
      <c r="Z428" t="s">
        <v>1308</v>
      </c>
      <c r="AL428" t="s">
        <v>676</v>
      </c>
      <c r="AO428" t="s">
        <v>48</v>
      </c>
      <c r="AX428" t="s">
        <v>3846</v>
      </c>
    </row>
    <row r="429" spans="1:50" x14ac:dyDescent="0.25">
      <c r="A429" t="s">
        <v>677</v>
      </c>
      <c r="B429" t="s">
        <v>1168</v>
      </c>
      <c r="C429" t="s">
        <v>1555</v>
      </c>
      <c r="D429" t="s">
        <v>2969</v>
      </c>
      <c r="E429">
        <v>1</v>
      </c>
      <c r="F429">
        <v>1</v>
      </c>
      <c r="H429" t="s">
        <v>1307</v>
      </c>
      <c r="I429" t="s">
        <v>1308</v>
      </c>
      <c r="J429" t="s">
        <v>1172</v>
      </c>
      <c r="K429" t="s">
        <v>1173</v>
      </c>
      <c r="L429" t="s">
        <v>1174</v>
      </c>
      <c r="M429">
        <v>0</v>
      </c>
      <c r="N429" t="s">
        <v>50</v>
      </c>
      <c r="O429">
        <v>1</v>
      </c>
      <c r="P429">
        <v>0</v>
      </c>
      <c r="Q429">
        <v>0</v>
      </c>
      <c r="R429">
        <v>0</v>
      </c>
      <c r="S429">
        <v>0</v>
      </c>
      <c r="T429">
        <v>0</v>
      </c>
      <c r="U429" s="20">
        <v>45972.827939814815</v>
      </c>
      <c r="V429" s="20">
        <v>46050.698634259257</v>
      </c>
      <c r="Y429">
        <v>0</v>
      </c>
      <c r="Z429" t="s">
        <v>1308</v>
      </c>
      <c r="AL429" t="s">
        <v>3027</v>
      </c>
      <c r="AO429" t="s">
        <v>48</v>
      </c>
      <c r="AX429" t="s">
        <v>3847</v>
      </c>
    </row>
    <row r="430" spans="1:50" x14ac:dyDescent="0.25">
      <c r="A430" t="s">
        <v>678</v>
      </c>
      <c r="B430" t="s">
        <v>1168</v>
      </c>
      <c r="C430" t="s">
        <v>1556</v>
      </c>
      <c r="D430" t="s">
        <v>2969</v>
      </c>
      <c r="E430">
        <v>1</v>
      </c>
      <c r="F430">
        <v>1</v>
      </c>
      <c r="H430" t="s">
        <v>1307</v>
      </c>
      <c r="I430" t="s">
        <v>1308</v>
      </c>
      <c r="J430" t="s">
        <v>1172</v>
      </c>
      <c r="K430" t="s">
        <v>1173</v>
      </c>
      <c r="L430" t="s">
        <v>1174</v>
      </c>
      <c r="M430">
        <v>0</v>
      </c>
      <c r="N430" t="s">
        <v>50</v>
      </c>
      <c r="O430">
        <v>1</v>
      </c>
      <c r="P430">
        <v>0</v>
      </c>
      <c r="Q430">
        <v>0</v>
      </c>
      <c r="R430">
        <v>0</v>
      </c>
      <c r="S430">
        <v>0</v>
      </c>
      <c r="T430">
        <v>0</v>
      </c>
      <c r="U430" s="20">
        <v>45972.827986111108</v>
      </c>
      <c r="V430" s="20">
        <v>46050.689745370371</v>
      </c>
      <c r="Y430">
        <v>0</v>
      </c>
      <c r="Z430" t="s">
        <v>1308</v>
      </c>
      <c r="AL430" t="s">
        <v>3029</v>
      </c>
      <c r="AO430" t="s">
        <v>48</v>
      </c>
      <c r="AX430" t="s">
        <v>3848</v>
      </c>
    </row>
    <row r="431" spans="1:50" x14ac:dyDescent="0.25">
      <c r="A431" t="s">
        <v>679</v>
      </c>
      <c r="B431" t="s">
        <v>1168</v>
      </c>
      <c r="C431" t="s">
        <v>1557</v>
      </c>
      <c r="D431" t="s">
        <v>2969</v>
      </c>
      <c r="E431">
        <v>1</v>
      </c>
      <c r="F431">
        <v>1</v>
      </c>
      <c r="H431" t="s">
        <v>1307</v>
      </c>
      <c r="I431" t="s">
        <v>1308</v>
      </c>
      <c r="J431" t="s">
        <v>1172</v>
      </c>
      <c r="K431" t="s">
        <v>1173</v>
      </c>
      <c r="L431" t="s">
        <v>1174</v>
      </c>
      <c r="M431">
        <v>0</v>
      </c>
      <c r="N431" t="s">
        <v>50</v>
      </c>
      <c r="O431">
        <v>1</v>
      </c>
      <c r="P431">
        <v>0</v>
      </c>
      <c r="Q431">
        <v>0</v>
      </c>
      <c r="R431">
        <v>0</v>
      </c>
      <c r="S431">
        <v>0</v>
      </c>
      <c r="T431">
        <v>0</v>
      </c>
      <c r="U431" s="20">
        <v>45972.828032407408</v>
      </c>
      <c r="V431" s="20">
        <v>46050.689872685187</v>
      </c>
      <c r="Y431">
        <v>0</v>
      </c>
      <c r="Z431" t="s">
        <v>1308</v>
      </c>
      <c r="AL431" t="s">
        <v>3031</v>
      </c>
      <c r="AO431" t="s">
        <v>48</v>
      </c>
      <c r="AX431" t="s">
        <v>3849</v>
      </c>
    </row>
    <row r="432" spans="1:50" x14ac:dyDescent="0.25">
      <c r="A432" t="s">
        <v>680</v>
      </c>
      <c r="B432" t="s">
        <v>1168</v>
      </c>
      <c r="C432" t="s">
        <v>1558</v>
      </c>
      <c r="D432" t="s">
        <v>2969</v>
      </c>
      <c r="E432">
        <v>1</v>
      </c>
      <c r="F432">
        <v>1</v>
      </c>
      <c r="H432" t="s">
        <v>1307</v>
      </c>
      <c r="I432" t="s">
        <v>1308</v>
      </c>
      <c r="J432" t="s">
        <v>1172</v>
      </c>
      <c r="K432" t="s">
        <v>1173</v>
      </c>
      <c r="L432" t="s">
        <v>1174</v>
      </c>
      <c r="M432">
        <v>0</v>
      </c>
      <c r="N432" t="s">
        <v>50</v>
      </c>
      <c r="O432">
        <v>1</v>
      </c>
      <c r="P432">
        <v>0</v>
      </c>
      <c r="Q432">
        <v>0</v>
      </c>
      <c r="R432">
        <v>0</v>
      </c>
      <c r="S432">
        <v>0</v>
      </c>
      <c r="T432">
        <v>0</v>
      </c>
      <c r="U432" s="20">
        <v>45972.828090277777</v>
      </c>
      <c r="V432" s="20">
        <v>46051.101747685185</v>
      </c>
      <c r="Y432">
        <v>0</v>
      </c>
      <c r="Z432" t="s">
        <v>1308</v>
      </c>
      <c r="AL432" t="s">
        <v>3032</v>
      </c>
      <c r="AO432" t="s">
        <v>48</v>
      </c>
      <c r="AX432" t="s">
        <v>3850</v>
      </c>
    </row>
    <row r="433" spans="1:50" x14ac:dyDescent="0.25">
      <c r="A433" t="s">
        <v>681</v>
      </c>
      <c r="B433" t="s">
        <v>1168</v>
      </c>
      <c r="C433" t="s">
        <v>1559</v>
      </c>
      <c r="D433" t="s">
        <v>2969</v>
      </c>
      <c r="E433">
        <v>1</v>
      </c>
      <c r="F433">
        <v>1</v>
      </c>
      <c r="H433" t="s">
        <v>1307</v>
      </c>
      <c r="I433" t="s">
        <v>1308</v>
      </c>
      <c r="J433" t="s">
        <v>1172</v>
      </c>
      <c r="K433" t="s">
        <v>1173</v>
      </c>
      <c r="L433" t="s">
        <v>1174</v>
      </c>
      <c r="M433">
        <v>0</v>
      </c>
      <c r="N433" t="s">
        <v>50</v>
      </c>
      <c r="O433">
        <v>1</v>
      </c>
      <c r="P433">
        <v>0</v>
      </c>
      <c r="Q433">
        <v>0</v>
      </c>
      <c r="R433">
        <v>0</v>
      </c>
      <c r="S433">
        <v>0</v>
      </c>
      <c r="T433">
        <v>0</v>
      </c>
      <c r="U433" s="20">
        <v>45972.828125</v>
      </c>
      <c r="V433" s="20">
        <v>46050.69017361111</v>
      </c>
      <c r="Y433">
        <v>0</v>
      </c>
      <c r="Z433" t="s">
        <v>1308</v>
      </c>
      <c r="AL433" t="s">
        <v>3034</v>
      </c>
      <c r="AO433" t="s">
        <v>48</v>
      </c>
      <c r="AX433" t="s">
        <v>3851</v>
      </c>
    </row>
    <row r="434" spans="1:50" x14ac:dyDescent="0.25">
      <c r="A434" t="s">
        <v>688</v>
      </c>
      <c r="B434" t="s">
        <v>1168</v>
      </c>
      <c r="C434" t="s">
        <v>1563</v>
      </c>
      <c r="D434" t="s">
        <v>2969</v>
      </c>
      <c r="E434">
        <v>1</v>
      </c>
      <c r="F434">
        <v>1</v>
      </c>
      <c r="H434" t="s">
        <v>1307</v>
      </c>
      <c r="I434" t="s">
        <v>1308</v>
      </c>
      <c r="J434" t="s">
        <v>1172</v>
      </c>
      <c r="K434" t="s">
        <v>1173</v>
      </c>
      <c r="L434" t="s">
        <v>1174</v>
      </c>
      <c r="M434">
        <v>0</v>
      </c>
      <c r="N434" t="s">
        <v>50</v>
      </c>
      <c r="O434">
        <v>1</v>
      </c>
      <c r="P434">
        <v>0</v>
      </c>
      <c r="Q434">
        <v>0</v>
      </c>
      <c r="R434">
        <v>0</v>
      </c>
      <c r="S434">
        <v>0</v>
      </c>
      <c r="T434">
        <v>0</v>
      </c>
      <c r="U434" s="20">
        <v>45972.901284722226</v>
      </c>
      <c r="V434" s="20">
        <v>46050.69027777778</v>
      </c>
      <c r="Y434">
        <v>0</v>
      </c>
      <c r="Z434" t="s">
        <v>1308</v>
      </c>
      <c r="AL434" t="s">
        <v>3036</v>
      </c>
      <c r="AO434" t="s">
        <v>163</v>
      </c>
      <c r="AX434" t="s">
        <v>3852</v>
      </c>
    </row>
    <row r="435" spans="1:50" x14ac:dyDescent="0.25">
      <c r="A435" t="s">
        <v>689</v>
      </c>
      <c r="B435" t="s">
        <v>1168</v>
      </c>
      <c r="C435" t="s">
        <v>1564</v>
      </c>
      <c r="D435" t="s">
        <v>2969</v>
      </c>
      <c r="E435">
        <v>1</v>
      </c>
      <c r="F435">
        <v>1</v>
      </c>
      <c r="H435" t="s">
        <v>1307</v>
      </c>
      <c r="I435" t="s">
        <v>1308</v>
      </c>
      <c r="J435" t="s">
        <v>1172</v>
      </c>
      <c r="K435" t="s">
        <v>1173</v>
      </c>
      <c r="L435" t="s">
        <v>1174</v>
      </c>
      <c r="M435">
        <v>0</v>
      </c>
      <c r="N435" t="s">
        <v>50</v>
      </c>
      <c r="O435">
        <v>1</v>
      </c>
      <c r="P435">
        <v>0</v>
      </c>
      <c r="Q435">
        <v>0</v>
      </c>
      <c r="R435">
        <v>0</v>
      </c>
      <c r="S435">
        <v>0</v>
      </c>
      <c r="T435">
        <v>0</v>
      </c>
      <c r="U435" s="20">
        <v>45972.901504629626</v>
      </c>
      <c r="V435" s="20">
        <v>46050.690462962964</v>
      </c>
      <c r="Y435">
        <v>0</v>
      </c>
      <c r="Z435" t="s">
        <v>1308</v>
      </c>
      <c r="AL435" t="s">
        <v>3037</v>
      </c>
      <c r="AO435" t="s">
        <v>48</v>
      </c>
      <c r="AX435" t="s">
        <v>3853</v>
      </c>
    </row>
    <row r="436" spans="1:50" x14ac:dyDescent="0.25">
      <c r="A436" t="s">
        <v>690</v>
      </c>
      <c r="B436" t="s">
        <v>1168</v>
      </c>
      <c r="C436" t="s">
        <v>1565</v>
      </c>
      <c r="D436" t="s">
        <v>2969</v>
      </c>
      <c r="E436">
        <v>1</v>
      </c>
      <c r="F436">
        <v>1</v>
      </c>
      <c r="H436" t="s">
        <v>1307</v>
      </c>
      <c r="I436" t="s">
        <v>1308</v>
      </c>
      <c r="J436" t="s">
        <v>1172</v>
      </c>
      <c r="K436" t="s">
        <v>1173</v>
      </c>
      <c r="L436" t="s">
        <v>1174</v>
      </c>
      <c r="M436">
        <v>0</v>
      </c>
      <c r="N436" t="s">
        <v>50</v>
      </c>
      <c r="O436">
        <v>1</v>
      </c>
      <c r="P436">
        <v>0</v>
      </c>
      <c r="Q436">
        <v>0</v>
      </c>
      <c r="R436">
        <v>0</v>
      </c>
      <c r="S436">
        <v>0</v>
      </c>
      <c r="T436">
        <v>0</v>
      </c>
      <c r="U436" s="20">
        <v>45972.901562500003</v>
      </c>
      <c r="V436" s="20">
        <v>46050.69059027778</v>
      </c>
      <c r="Y436">
        <v>0</v>
      </c>
      <c r="Z436" t="s">
        <v>1308</v>
      </c>
      <c r="AL436" t="s">
        <v>3039</v>
      </c>
      <c r="AO436" t="s">
        <v>48</v>
      </c>
      <c r="AX436" t="s">
        <v>3854</v>
      </c>
    </row>
    <row r="437" spans="1:50" x14ac:dyDescent="0.25">
      <c r="A437" t="s">
        <v>691</v>
      </c>
      <c r="B437" t="s">
        <v>1168</v>
      </c>
      <c r="C437" t="s">
        <v>1566</v>
      </c>
      <c r="D437" t="s">
        <v>2969</v>
      </c>
      <c r="E437">
        <v>1</v>
      </c>
      <c r="F437">
        <v>1</v>
      </c>
      <c r="H437" t="s">
        <v>1307</v>
      </c>
      <c r="I437" t="s">
        <v>1308</v>
      </c>
      <c r="J437" t="s">
        <v>1172</v>
      </c>
      <c r="K437" t="s">
        <v>1173</v>
      </c>
      <c r="L437" t="s">
        <v>1174</v>
      </c>
      <c r="M437">
        <v>0</v>
      </c>
      <c r="N437" t="s">
        <v>50</v>
      </c>
      <c r="O437">
        <v>1</v>
      </c>
      <c r="P437">
        <v>0</v>
      </c>
      <c r="Q437">
        <v>0</v>
      </c>
      <c r="R437">
        <v>0</v>
      </c>
      <c r="S437">
        <v>0</v>
      </c>
      <c r="T437">
        <v>0</v>
      </c>
      <c r="U437" s="20">
        <v>45972.94226851852</v>
      </c>
      <c r="V437" s="20">
        <v>46050.690729166665</v>
      </c>
      <c r="Y437">
        <v>0</v>
      </c>
      <c r="Z437" t="s">
        <v>1308</v>
      </c>
      <c r="AL437" t="s">
        <v>3041</v>
      </c>
      <c r="AO437" t="s">
        <v>163</v>
      </c>
      <c r="AX437" t="s">
        <v>3855</v>
      </c>
    </row>
    <row r="438" spans="1:50" x14ac:dyDescent="0.25">
      <c r="A438" t="s">
        <v>692</v>
      </c>
      <c r="B438" t="s">
        <v>1168</v>
      </c>
      <c r="C438" t="s">
        <v>1567</v>
      </c>
      <c r="E438">
        <v>1</v>
      </c>
      <c r="F438">
        <v>1</v>
      </c>
      <c r="H438" t="s">
        <v>1307</v>
      </c>
      <c r="I438" t="s">
        <v>1308</v>
      </c>
      <c r="J438" t="s">
        <v>1172</v>
      </c>
      <c r="K438" t="s">
        <v>1173</v>
      </c>
      <c r="L438" t="s">
        <v>1174</v>
      </c>
      <c r="M438">
        <v>0</v>
      </c>
      <c r="N438" t="s">
        <v>50</v>
      </c>
      <c r="O438">
        <v>1</v>
      </c>
      <c r="P438">
        <v>0</v>
      </c>
      <c r="Q438">
        <v>0</v>
      </c>
      <c r="R438">
        <v>0</v>
      </c>
      <c r="S438">
        <v>0</v>
      </c>
      <c r="T438">
        <v>0</v>
      </c>
      <c r="U438" s="20">
        <v>45972.942337962966</v>
      </c>
      <c r="V438" s="20">
        <v>46002.004988425928</v>
      </c>
      <c r="Y438">
        <v>0</v>
      </c>
      <c r="Z438" t="s">
        <v>1308</v>
      </c>
      <c r="AL438" t="s">
        <v>693</v>
      </c>
      <c r="AO438" t="s">
        <v>194</v>
      </c>
      <c r="AX438" t="s">
        <v>3856</v>
      </c>
    </row>
    <row r="439" spans="1:50" x14ac:dyDescent="0.25">
      <c r="A439" t="s">
        <v>695</v>
      </c>
      <c r="B439" t="s">
        <v>1168</v>
      </c>
      <c r="C439" t="s">
        <v>1568</v>
      </c>
      <c r="E439">
        <v>1</v>
      </c>
      <c r="F439">
        <v>1</v>
      </c>
      <c r="H439" t="s">
        <v>1307</v>
      </c>
      <c r="I439" t="s">
        <v>1308</v>
      </c>
      <c r="J439" t="s">
        <v>1172</v>
      </c>
      <c r="K439" t="s">
        <v>1173</v>
      </c>
      <c r="L439" t="s">
        <v>1174</v>
      </c>
      <c r="M439">
        <v>0</v>
      </c>
      <c r="N439" t="s">
        <v>50</v>
      </c>
      <c r="O439">
        <v>1</v>
      </c>
      <c r="P439">
        <v>0</v>
      </c>
      <c r="Q439">
        <v>0</v>
      </c>
      <c r="R439">
        <v>0</v>
      </c>
      <c r="S439">
        <v>0</v>
      </c>
      <c r="T439">
        <v>0</v>
      </c>
      <c r="U439" s="20">
        <v>45972.942384259259</v>
      </c>
      <c r="V439" s="20">
        <v>46002.004988425928</v>
      </c>
      <c r="Y439">
        <v>0</v>
      </c>
      <c r="Z439" t="s">
        <v>1308</v>
      </c>
      <c r="AL439" t="s">
        <v>696</v>
      </c>
      <c r="AO439" t="s">
        <v>194</v>
      </c>
      <c r="AX439" t="s">
        <v>3857</v>
      </c>
    </row>
    <row r="440" spans="1:50" x14ac:dyDescent="0.25">
      <c r="A440" t="s">
        <v>698</v>
      </c>
      <c r="B440" t="s">
        <v>1168</v>
      </c>
      <c r="C440" t="s">
        <v>1569</v>
      </c>
      <c r="E440">
        <v>1</v>
      </c>
      <c r="F440">
        <v>1</v>
      </c>
      <c r="H440" t="s">
        <v>1307</v>
      </c>
      <c r="I440" t="s">
        <v>1308</v>
      </c>
      <c r="J440" t="s">
        <v>1172</v>
      </c>
      <c r="K440" t="s">
        <v>1173</v>
      </c>
      <c r="L440" t="s">
        <v>1174</v>
      </c>
      <c r="M440">
        <v>0</v>
      </c>
      <c r="N440" t="s">
        <v>50</v>
      </c>
      <c r="O440">
        <v>1</v>
      </c>
      <c r="P440">
        <v>0</v>
      </c>
      <c r="Q440">
        <v>0</v>
      </c>
      <c r="R440">
        <v>0</v>
      </c>
      <c r="S440">
        <v>0</v>
      </c>
      <c r="T440">
        <v>0</v>
      </c>
      <c r="U440" s="20">
        <v>45972.942430555559</v>
      </c>
      <c r="V440" s="20">
        <v>46002.004942129628</v>
      </c>
      <c r="Y440">
        <v>0</v>
      </c>
      <c r="Z440" t="s">
        <v>1308</v>
      </c>
      <c r="AL440" t="s">
        <v>699</v>
      </c>
      <c r="AO440" t="s">
        <v>350</v>
      </c>
      <c r="AX440" t="s">
        <v>3858</v>
      </c>
    </row>
    <row r="441" spans="1:50" x14ac:dyDescent="0.25">
      <c r="A441" t="s">
        <v>701</v>
      </c>
      <c r="B441" t="s">
        <v>1168</v>
      </c>
      <c r="C441" t="s">
        <v>1570</v>
      </c>
      <c r="E441">
        <v>1</v>
      </c>
      <c r="F441">
        <v>1</v>
      </c>
      <c r="H441" t="s">
        <v>1307</v>
      </c>
      <c r="I441" t="s">
        <v>1308</v>
      </c>
      <c r="J441" t="s">
        <v>1172</v>
      </c>
      <c r="K441" t="s">
        <v>1173</v>
      </c>
      <c r="L441" t="s">
        <v>1174</v>
      </c>
      <c r="M441">
        <v>0</v>
      </c>
      <c r="N441" t="s">
        <v>50</v>
      </c>
      <c r="O441">
        <v>1</v>
      </c>
      <c r="P441">
        <v>0</v>
      </c>
      <c r="Q441">
        <v>0</v>
      </c>
      <c r="R441">
        <v>0</v>
      </c>
      <c r="S441">
        <v>0</v>
      </c>
      <c r="T441">
        <v>0</v>
      </c>
      <c r="U441" s="20">
        <v>45972.942488425928</v>
      </c>
      <c r="V441" s="20">
        <v>46002.004988425928</v>
      </c>
      <c r="Y441">
        <v>0</v>
      </c>
      <c r="Z441" t="s">
        <v>1308</v>
      </c>
      <c r="AL441" t="s">
        <v>702</v>
      </c>
      <c r="AO441" t="s">
        <v>194</v>
      </c>
      <c r="AX441" t="s">
        <v>3859</v>
      </c>
    </row>
    <row r="442" spans="1:50" x14ac:dyDescent="0.25">
      <c r="A442" t="s">
        <v>704</v>
      </c>
      <c r="B442" t="s">
        <v>1168</v>
      </c>
      <c r="C442" t="s">
        <v>1571</v>
      </c>
      <c r="D442" t="s">
        <v>2969</v>
      </c>
      <c r="E442">
        <v>1</v>
      </c>
      <c r="F442">
        <v>1</v>
      </c>
      <c r="H442" t="s">
        <v>1307</v>
      </c>
      <c r="I442" t="s">
        <v>1308</v>
      </c>
      <c r="J442" t="s">
        <v>1172</v>
      </c>
      <c r="K442" t="s">
        <v>1173</v>
      </c>
      <c r="L442" t="s">
        <v>1174</v>
      </c>
      <c r="M442">
        <v>0</v>
      </c>
      <c r="N442" t="s">
        <v>50</v>
      </c>
      <c r="O442">
        <v>1</v>
      </c>
      <c r="P442">
        <v>0</v>
      </c>
      <c r="Q442">
        <v>0</v>
      </c>
      <c r="R442">
        <v>0</v>
      </c>
      <c r="S442">
        <v>0</v>
      </c>
      <c r="T442">
        <v>0</v>
      </c>
      <c r="U442" s="20">
        <v>45972.942546296297</v>
      </c>
      <c r="V442" s="20">
        <v>46050.690868055557</v>
      </c>
      <c r="Y442">
        <v>0</v>
      </c>
      <c r="Z442" t="s">
        <v>1308</v>
      </c>
      <c r="AL442" t="s">
        <v>3042</v>
      </c>
      <c r="AO442" t="s">
        <v>163</v>
      </c>
      <c r="AX442" t="s">
        <v>3860</v>
      </c>
    </row>
    <row r="443" spans="1:50" x14ac:dyDescent="0.25">
      <c r="A443" t="s">
        <v>705</v>
      </c>
      <c r="B443" t="s">
        <v>1168</v>
      </c>
      <c r="C443" t="s">
        <v>1572</v>
      </c>
      <c r="E443">
        <v>1</v>
      </c>
      <c r="F443">
        <v>1</v>
      </c>
      <c r="H443" t="s">
        <v>1307</v>
      </c>
      <c r="I443" t="s">
        <v>1308</v>
      </c>
      <c r="J443" t="s">
        <v>1172</v>
      </c>
      <c r="K443" t="s">
        <v>1173</v>
      </c>
      <c r="L443" t="s">
        <v>1174</v>
      </c>
      <c r="M443">
        <v>0</v>
      </c>
      <c r="N443" t="s">
        <v>50</v>
      </c>
      <c r="O443">
        <v>1</v>
      </c>
      <c r="P443">
        <v>0</v>
      </c>
      <c r="Q443">
        <v>0</v>
      </c>
      <c r="R443">
        <v>0</v>
      </c>
      <c r="S443">
        <v>0</v>
      </c>
      <c r="T443">
        <v>0</v>
      </c>
      <c r="U443" s="20">
        <v>45972.963090277779</v>
      </c>
      <c r="V443" s="20">
        <v>46002.004988425928</v>
      </c>
      <c r="Y443">
        <v>0</v>
      </c>
      <c r="Z443" t="s">
        <v>1308</v>
      </c>
      <c r="AL443" t="s">
        <v>706</v>
      </c>
      <c r="AO443" t="s">
        <v>194</v>
      </c>
      <c r="AX443" t="s">
        <v>3861</v>
      </c>
    </row>
    <row r="444" spans="1:50" x14ac:dyDescent="0.25">
      <c r="A444" t="s">
        <v>708</v>
      </c>
      <c r="B444" t="s">
        <v>1168</v>
      </c>
      <c r="C444" t="s">
        <v>1573</v>
      </c>
      <c r="E444">
        <v>1</v>
      </c>
      <c r="F444">
        <v>1</v>
      </c>
      <c r="H444" t="s">
        <v>1307</v>
      </c>
      <c r="I444" t="s">
        <v>1308</v>
      </c>
      <c r="J444" t="s">
        <v>1172</v>
      </c>
      <c r="K444" t="s">
        <v>1173</v>
      </c>
      <c r="L444" t="s">
        <v>1174</v>
      </c>
      <c r="M444">
        <v>0</v>
      </c>
      <c r="N444" t="s">
        <v>50</v>
      </c>
      <c r="O444">
        <v>1</v>
      </c>
      <c r="P444">
        <v>0</v>
      </c>
      <c r="Q444">
        <v>0</v>
      </c>
      <c r="R444">
        <v>0</v>
      </c>
      <c r="S444">
        <v>0</v>
      </c>
      <c r="T444">
        <v>0</v>
      </c>
      <c r="U444" s="20">
        <v>45972.963136574072</v>
      </c>
      <c r="V444" s="20">
        <v>46002.004953703705</v>
      </c>
      <c r="Y444">
        <v>0</v>
      </c>
      <c r="Z444" t="s">
        <v>1308</v>
      </c>
      <c r="AL444" t="s">
        <v>709</v>
      </c>
      <c r="AO444" t="s">
        <v>194</v>
      </c>
      <c r="AX444" t="s">
        <v>3862</v>
      </c>
    </row>
    <row r="445" spans="1:50" x14ac:dyDescent="0.25">
      <c r="A445" t="s">
        <v>711</v>
      </c>
      <c r="B445" t="s">
        <v>1168</v>
      </c>
      <c r="C445" t="s">
        <v>1574</v>
      </c>
      <c r="E445">
        <v>1</v>
      </c>
      <c r="F445">
        <v>1</v>
      </c>
      <c r="H445" t="s">
        <v>1307</v>
      </c>
      <c r="I445" t="s">
        <v>1308</v>
      </c>
      <c r="J445" t="s">
        <v>1172</v>
      </c>
      <c r="K445" t="s">
        <v>1173</v>
      </c>
      <c r="L445" t="s">
        <v>1174</v>
      </c>
      <c r="M445">
        <v>0</v>
      </c>
      <c r="N445" t="s">
        <v>50</v>
      </c>
      <c r="O445">
        <v>1</v>
      </c>
      <c r="P445">
        <v>0</v>
      </c>
      <c r="Q445">
        <v>0</v>
      </c>
      <c r="R445">
        <v>0</v>
      </c>
      <c r="S445">
        <v>0</v>
      </c>
      <c r="T445">
        <v>0</v>
      </c>
      <c r="U445" s="20">
        <v>45972.963194444441</v>
      </c>
      <c r="V445" s="20">
        <v>46002.004965277774</v>
      </c>
      <c r="Y445">
        <v>0</v>
      </c>
      <c r="Z445" t="s">
        <v>1308</v>
      </c>
      <c r="AL445" t="s">
        <v>712</v>
      </c>
      <c r="AO445" t="s">
        <v>163</v>
      </c>
      <c r="AX445" t="s">
        <v>3863</v>
      </c>
    </row>
    <row r="446" spans="1:50" x14ac:dyDescent="0.25">
      <c r="A446" t="s">
        <v>714</v>
      </c>
      <c r="B446" t="s">
        <v>1168</v>
      </c>
      <c r="C446" t="s">
        <v>1575</v>
      </c>
      <c r="E446">
        <v>1</v>
      </c>
      <c r="F446">
        <v>1</v>
      </c>
      <c r="H446" t="s">
        <v>1307</v>
      </c>
      <c r="I446" t="s">
        <v>1308</v>
      </c>
      <c r="J446" t="s">
        <v>1172</v>
      </c>
      <c r="K446" t="s">
        <v>1173</v>
      </c>
      <c r="L446" t="s">
        <v>1174</v>
      </c>
      <c r="M446">
        <v>0</v>
      </c>
      <c r="N446" t="s">
        <v>50</v>
      </c>
      <c r="O446">
        <v>1</v>
      </c>
      <c r="P446">
        <v>0</v>
      </c>
      <c r="Q446">
        <v>0</v>
      </c>
      <c r="R446">
        <v>0</v>
      </c>
      <c r="S446">
        <v>0</v>
      </c>
      <c r="T446">
        <v>0</v>
      </c>
      <c r="U446" s="20">
        <v>45972.963240740741</v>
      </c>
      <c r="V446" s="20">
        <v>46002.004953703705</v>
      </c>
      <c r="Y446">
        <v>0</v>
      </c>
      <c r="Z446" t="s">
        <v>1308</v>
      </c>
      <c r="AL446" t="s">
        <v>715</v>
      </c>
      <c r="AO446" t="s">
        <v>163</v>
      </c>
      <c r="AX446" t="s">
        <v>3864</v>
      </c>
    </row>
    <row r="447" spans="1:50" x14ac:dyDescent="0.25">
      <c r="A447" t="s">
        <v>717</v>
      </c>
      <c r="B447" t="s">
        <v>1168</v>
      </c>
      <c r="C447" t="s">
        <v>1576</v>
      </c>
      <c r="E447">
        <v>1</v>
      </c>
      <c r="F447">
        <v>1</v>
      </c>
      <c r="H447" t="s">
        <v>1307</v>
      </c>
      <c r="I447" t="s">
        <v>1308</v>
      </c>
      <c r="J447" t="s">
        <v>1172</v>
      </c>
      <c r="K447" t="s">
        <v>1173</v>
      </c>
      <c r="L447" t="s">
        <v>1174</v>
      </c>
      <c r="M447">
        <v>0</v>
      </c>
      <c r="N447" t="s">
        <v>50</v>
      </c>
      <c r="O447">
        <v>1</v>
      </c>
      <c r="P447">
        <v>0</v>
      </c>
      <c r="Q447">
        <v>0</v>
      </c>
      <c r="R447">
        <v>0</v>
      </c>
      <c r="S447">
        <v>0</v>
      </c>
      <c r="T447">
        <v>0</v>
      </c>
      <c r="U447" s="20">
        <v>45972.963275462964</v>
      </c>
      <c r="V447" s="20">
        <v>46002.004976851851</v>
      </c>
      <c r="Y447">
        <v>0</v>
      </c>
      <c r="Z447" t="s">
        <v>1308</v>
      </c>
      <c r="AL447" t="s">
        <v>718</v>
      </c>
      <c r="AO447" t="s">
        <v>163</v>
      </c>
      <c r="AX447" t="s">
        <v>3865</v>
      </c>
    </row>
    <row r="448" spans="1:50" x14ac:dyDescent="0.25">
      <c r="A448" t="s">
        <v>720</v>
      </c>
      <c r="B448" t="s">
        <v>1168</v>
      </c>
      <c r="C448" t="s">
        <v>1577</v>
      </c>
      <c r="D448" t="s">
        <v>3382</v>
      </c>
      <c r="E448">
        <v>1</v>
      </c>
      <c r="F448">
        <v>1</v>
      </c>
      <c r="H448" t="s">
        <v>1307</v>
      </c>
      <c r="I448" t="s">
        <v>1308</v>
      </c>
      <c r="J448" t="s">
        <v>1172</v>
      </c>
      <c r="K448" t="s">
        <v>1173</v>
      </c>
      <c r="L448" t="s">
        <v>1174</v>
      </c>
      <c r="M448">
        <v>0</v>
      </c>
      <c r="N448" t="s">
        <v>50</v>
      </c>
      <c r="O448">
        <v>1</v>
      </c>
      <c r="P448">
        <v>0</v>
      </c>
      <c r="Q448">
        <v>0</v>
      </c>
      <c r="R448">
        <v>0</v>
      </c>
      <c r="S448">
        <v>0</v>
      </c>
      <c r="T448">
        <v>0</v>
      </c>
      <c r="U448" s="20">
        <v>45972.963321759256</v>
      </c>
      <c r="V448" s="20">
        <v>46077.993217592593</v>
      </c>
      <c r="Y448">
        <v>0</v>
      </c>
      <c r="Z448" t="s">
        <v>1308</v>
      </c>
      <c r="AL448" t="s">
        <v>2825</v>
      </c>
      <c r="AO448" t="s">
        <v>320</v>
      </c>
      <c r="AP448" t="s">
        <v>62</v>
      </c>
      <c r="AQ448" t="s">
        <v>721</v>
      </c>
      <c r="AR448" t="s">
        <v>89</v>
      </c>
      <c r="AV448" t="s">
        <v>3383</v>
      </c>
      <c r="AW448" t="s">
        <v>722</v>
      </c>
      <c r="AX448" t="s">
        <v>3866</v>
      </c>
    </row>
    <row r="449" spans="1:50" x14ac:dyDescent="0.25">
      <c r="A449" t="s">
        <v>724</v>
      </c>
      <c r="B449" t="s">
        <v>1168</v>
      </c>
      <c r="C449" t="s">
        <v>1578</v>
      </c>
      <c r="E449">
        <v>1</v>
      </c>
      <c r="F449">
        <v>1</v>
      </c>
      <c r="H449" t="s">
        <v>1307</v>
      </c>
      <c r="I449" t="s">
        <v>1308</v>
      </c>
      <c r="J449" t="s">
        <v>1172</v>
      </c>
      <c r="K449" t="s">
        <v>1173</v>
      </c>
      <c r="L449" t="s">
        <v>1174</v>
      </c>
      <c r="M449">
        <v>0</v>
      </c>
      <c r="N449" t="s">
        <v>50</v>
      </c>
      <c r="O449">
        <v>1</v>
      </c>
      <c r="P449">
        <v>0</v>
      </c>
      <c r="Q449">
        <v>0</v>
      </c>
      <c r="R449">
        <v>0</v>
      </c>
      <c r="S449">
        <v>0</v>
      </c>
      <c r="T449">
        <v>0</v>
      </c>
      <c r="U449" s="20">
        <v>45972.963368055556</v>
      </c>
      <c r="V449" s="20">
        <v>46002.004999999997</v>
      </c>
      <c r="Y449">
        <v>0</v>
      </c>
      <c r="Z449" t="s">
        <v>1308</v>
      </c>
      <c r="AL449" t="s">
        <v>2826</v>
      </c>
      <c r="AO449" t="s">
        <v>350</v>
      </c>
      <c r="AX449" t="s">
        <v>3867</v>
      </c>
    </row>
    <row r="450" spans="1:50" x14ac:dyDescent="0.25">
      <c r="A450" t="s">
        <v>726</v>
      </c>
      <c r="B450" t="s">
        <v>1168</v>
      </c>
      <c r="C450" t="s">
        <v>1579</v>
      </c>
      <c r="E450">
        <v>1</v>
      </c>
      <c r="F450">
        <v>1</v>
      </c>
      <c r="H450" t="s">
        <v>1307</v>
      </c>
      <c r="I450" t="s">
        <v>1308</v>
      </c>
      <c r="J450" t="s">
        <v>1172</v>
      </c>
      <c r="K450" t="s">
        <v>1173</v>
      </c>
      <c r="L450" t="s">
        <v>1174</v>
      </c>
      <c r="M450">
        <v>0</v>
      </c>
      <c r="N450" t="s">
        <v>50</v>
      </c>
      <c r="O450">
        <v>1</v>
      </c>
      <c r="P450">
        <v>0</v>
      </c>
      <c r="Q450">
        <v>0</v>
      </c>
      <c r="R450">
        <v>0</v>
      </c>
      <c r="S450">
        <v>0</v>
      </c>
      <c r="T450">
        <v>0</v>
      </c>
      <c r="U450" s="20">
        <v>45972.963414351849</v>
      </c>
      <c r="V450" s="20">
        <v>46002.004976851851</v>
      </c>
      <c r="Y450">
        <v>0</v>
      </c>
      <c r="Z450" t="s">
        <v>1308</v>
      </c>
      <c r="AL450" t="s">
        <v>2827</v>
      </c>
      <c r="AO450" t="s">
        <v>350</v>
      </c>
      <c r="AP450" t="s">
        <v>62</v>
      </c>
      <c r="AQ450" t="s">
        <v>727</v>
      </c>
      <c r="AR450" t="s">
        <v>89</v>
      </c>
      <c r="AV450" t="s">
        <v>3384</v>
      </c>
      <c r="AW450" t="s">
        <v>728</v>
      </c>
      <c r="AX450" t="s">
        <v>3868</v>
      </c>
    </row>
    <row r="451" spans="1:50" x14ac:dyDescent="0.25">
      <c r="A451" t="s">
        <v>729</v>
      </c>
      <c r="B451" t="s">
        <v>1168</v>
      </c>
      <c r="C451" t="s">
        <v>1580</v>
      </c>
      <c r="E451">
        <v>1</v>
      </c>
      <c r="F451">
        <v>1</v>
      </c>
      <c r="H451" t="s">
        <v>1307</v>
      </c>
      <c r="I451" t="s">
        <v>1308</v>
      </c>
      <c r="J451" t="s">
        <v>1172</v>
      </c>
      <c r="K451" t="s">
        <v>1173</v>
      </c>
      <c r="L451" t="s">
        <v>1174</v>
      </c>
      <c r="M451">
        <v>0</v>
      </c>
      <c r="N451" t="s">
        <v>50</v>
      </c>
      <c r="O451">
        <v>1</v>
      </c>
      <c r="P451">
        <v>0</v>
      </c>
      <c r="Q451">
        <v>0</v>
      </c>
      <c r="R451">
        <v>0</v>
      </c>
      <c r="S451">
        <v>0</v>
      </c>
      <c r="T451">
        <v>0</v>
      </c>
      <c r="U451" s="20">
        <v>45973.60560185185</v>
      </c>
      <c r="V451" s="20">
        <v>46002.004965277774</v>
      </c>
      <c r="Y451">
        <v>0</v>
      </c>
      <c r="Z451" t="s">
        <v>1308</v>
      </c>
      <c r="AL451" t="s">
        <v>2828</v>
      </c>
      <c r="AO451" t="s">
        <v>350</v>
      </c>
      <c r="AX451" t="s">
        <v>3869</v>
      </c>
    </row>
    <row r="452" spans="1:50" x14ac:dyDescent="0.25">
      <c r="A452" t="s">
        <v>730</v>
      </c>
      <c r="B452" t="s">
        <v>1168</v>
      </c>
      <c r="C452" t="s">
        <v>1581</v>
      </c>
      <c r="E452">
        <v>1</v>
      </c>
      <c r="F452">
        <v>1</v>
      </c>
      <c r="H452" t="s">
        <v>1307</v>
      </c>
      <c r="I452" t="s">
        <v>1308</v>
      </c>
      <c r="J452" t="s">
        <v>1172</v>
      </c>
      <c r="K452" t="s">
        <v>1173</v>
      </c>
      <c r="L452" t="s">
        <v>1174</v>
      </c>
      <c r="M452">
        <v>0</v>
      </c>
      <c r="N452" t="s">
        <v>50</v>
      </c>
      <c r="O452">
        <v>1</v>
      </c>
      <c r="P452">
        <v>0</v>
      </c>
      <c r="Q452">
        <v>0</v>
      </c>
      <c r="R452">
        <v>0</v>
      </c>
      <c r="S452">
        <v>0</v>
      </c>
      <c r="T452">
        <v>0</v>
      </c>
      <c r="U452" s="20">
        <v>45973.605879629627</v>
      </c>
      <c r="V452" s="20">
        <v>46002.004988425928</v>
      </c>
      <c r="Y452">
        <v>0</v>
      </c>
      <c r="Z452" t="s">
        <v>1308</v>
      </c>
      <c r="AL452" t="s">
        <v>2830</v>
      </c>
      <c r="AO452" t="s">
        <v>350</v>
      </c>
      <c r="AX452" t="s">
        <v>3870</v>
      </c>
    </row>
    <row r="453" spans="1:50" x14ac:dyDescent="0.25">
      <c r="A453" t="s">
        <v>731</v>
      </c>
      <c r="B453" t="s">
        <v>1168</v>
      </c>
      <c r="C453" t="s">
        <v>1582</v>
      </c>
      <c r="E453">
        <v>1</v>
      </c>
      <c r="F453">
        <v>1</v>
      </c>
      <c r="H453" t="s">
        <v>1307</v>
      </c>
      <c r="I453" t="s">
        <v>1308</v>
      </c>
      <c r="J453" t="s">
        <v>1172</v>
      </c>
      <c r="K453" t="s">
        <v>1173</v>
      </c>
      <c r="L453" t="s">
        <v>1174</v>
      </c>
      <c r="M453">
        <v>0</v>
      </c>
      <c r="N453" t="s">
        <v>50</v>
      </c>
      <c r="O453">
        <v>1</v>
      </c>
      <c r="P453">
        <v>0</v>
      </c>
      <c r="Q453">
        <v>0</v>
      </c>
      <c r="R453">
        <v>0</v>
      </c>
      <c r="S453">
        <v>0</v>
      </c>
      <c r="T453">
        <v>0</v>
      </c>
      <c r="U453" s="20">
        <v>45973.605925925927</v>
      </c>
      <c r="V453" s="20">
        <v>46002.004965277774</v>
      </c>
      <c r="Y453">
        <v>0</v>
      </c>
      <c r="Z453" t="s">
        <v>1308</v>
      </c>
      <c r="AL453" t="s">
        <v>2833</v>
      </c>
      <c r="AO453" t="s">
        <v>373</v>
      </c>
      <c r="AX453" t="s">
        <v>3871</v>
      </c>
    </row>
    <row r="454" spans="1:50" x14ac:dyDescent="0.25">
      <c r="A454" t="s">
        <v>733</v>
      </c>
      <c r="B454" t="s">
        <v>1168</v>
      </c>
      <c r="C454" t="s">
        <v>1583</v>
      </c>
      <c r="E454">
        <v>1</v>
      </c>
      <c r="F454">
        <v>1</v>
      </c>
      <c r="H454" t="s">
        <v>1307</v>
      </c>
      <c r="I454" t="s">
        <v>1308</v>
      </c>
      <c r="J454" t="s">
        <v>1172</v>
      </c>
      <c r="K454" t="s">
        <v>1173</v>
      </c>
      <c r="L454" t="s">
        <v>1174</v>
      </c>
      <c r="M454">
        <v>0</v>
      </c>
      <c r="N454" t="s">
        <v>50</v>
      </c>
      <c r="O454">
        <v>1</v>
      </c>
      <c r="P454">
        <v>0</v>
      </c>
      <c r="Q454">
        <v>0</v>
      </c>
      <c r="R454">
        <v>0</v>
      </c>
      <c r="S454">
        <v>0</v>
      </c>
      <c r="T454">
        <v>0</v>
      </c>
      <c r="U454" s="20">
        <v>45973.60596064815</v>
      </c>
      <c r="V454" s="20">
        <v>46002.004953703705</v>
      </c>
      <c r="Y454">
        <v>0</v>
      </c>
      <c r="Z454" t="s">
        <v>1308</v>
      </c>
      <c r="AL454" t="s">
        <v>2834</v>
      </c>
      <c r="AO454" t="s">
        <v>373</v>
      </c>
      <c r="AX454" t="s">
        <v>3872</v>
      </c>
    </row>
    <row r="455" spans="1:50" x14ac:dyDescent="0.25">
      <c r="A455" t="s">
        <v>734</v>
      </c>
      <c r="B455" t="s">
        <v>1168</v>
      </c>
      <c r="C455" t="s">
        <v>1584</v>
      </c>
      <c r="E455">
        <v>1</v>
      </c>
      <c r="F455">
        <v>1</v>
      </c>
      <c r="H455" t="s">
        <v>1307</v>
      </c>
      <c r="I455" t="s">
        <v>1308</v>
      </c>
      <c r="J455" t="s">
        <v>1172</v>
      </c>
      <c r="K455" t="s">
        <v>1173</v>
      </c>
      <c r="L455" t="s">
        <v>1174</v>
      </c>
      <c r="M455">
        <v>0</v>
      </c>
      <c r="N455" t="s">
        <v>50</v>
      </c>
      <c r="O455">
        <v>1</v>
      </c>
      <c r="P455">
        <v>0</v>
      </c>
      <c r="Q455">
        <v>0</v>
      </c>
      <c r="R455">
        <v>0</v>
      </c>
      <c r="S455">
        <v>0</v>
      </c>
      <c r="T455">
        <v>0</v>
      </c>
      <c r="U455" s="20">
        <v>45973.60601851852</v>
      </c>
      <c r="V455" s="20">
        <v>46002.004953703705</v>
      </c>
      <c r="Y455">
        <v>0</v>
      </c>
      <c r="Z455" t="s">
        <v>1308</v>
      </c>
      <c r="AL455" t="s">
        <v>2835</v>
      </c>
      <c r="AO455" t="s">
        <v>373</v>
      </c>
      <c r="AX455" t="s">
        <v>3873</v>
      </c>
    </row>
    <row r="456" spans="1:50" x14ac:dyDescent="0.25">
      <c r="A456" t="s">
        <v>736</v>
      </c>
      <c r="B456" t="s">
        <v>1168</v>
      </c>
      <c r="C456" t="s">
        <v>1585</v>
      </c>
      <c r="D456" t="s">
        <v>2485</v>
      </c>
      <c r="E456">
        <v>1</v>
      </c>
      <c r="F456">
        <v>1</v>
      </c>
      <c r="H456" t="s">
        <v>1307</v>
      </c>
      <c r="I456" t="s">
        <v>1308</v>
      </c>
      <c r="J456" t="s">
        <v>1172</v>
      </c>
      <c r="K456" t="s">
        <v>1173</v>
      </c>
      <c r="L456" t="s">
        <v>1174</v>
      </c>
      <c r="M456">
        <v>0</v>
      </c>
      <c r="N456" t="s">
        <v>41</v>
      </c>
      <c r="O456">
        <v>1</v>
      </c>
      <c r="P456">
        <v>0</v>
      </c>
      <c r="Q456">
        <v>0</v>
      </c>
      <c r="R456">
        <v>0</v>
      </c>
      <c r="S456">
        <v>0</v>
      </c>
      <c r="T456">
        <v>0</v>
      </c>
      <c r="U456" s="20">
        <v>45973.606064814812</v>
      </c>
      <c r="V456" s="20">
        <v>46036.916122685187</v>
      </c>
      <c r="Y456">
        <v>0</v>
      </c>
      <c r="Z456" t="s">
        <v>1308</v>
      </c>
      <c r="AL456" t="s">
        <v>2836</v>
      </c>
      <c r="AO456" t="s">
        <v>373</v>
      </c>
      <c r="AX456" t="s">
        <v>3874</v>
      </c>
    </row>
    <row r="457" spans="1:50" x14ac:dyDescent="0.25">
      <c r="A457" t="s">
        <v>738</v>
      </c>
      <c r="B457" t="s">
        <v>1168</v>
      </c>
      <c r="C457" t="s">
        <v>1586</v>
      </c>
      <c r="D457" t="s">
        <v>2969</v>
      </c>
      <c r="E457">
        <v>1</v>
      </c>
      <c r="F457">
        <v>1</v>
      </c>
      <c r="H457" t="s">
        <v>1307</v>
      </c>
      <c r="I457" t="s">
        <v>1308</v>
      </c>
      <c r="J457" t="s">
        <v>1172</v>
      </c>
      <c r="K457" t="s">
        <v>1173</v>
      </c>
      <c r="L457" t="s">
        <v>1174</v>
      </c>
      <c r="M457">
        <v>0</v>
      </c>
      <c r="N457" t="s">
        <v>50</v>
      </c>
      <c r="O457">
        <v>1</v>
      </c>
      <c r="P457">
        <v>0</v>
      </c>
      <c r="Q457">
        <v>0</v>
      </c>
      <c r="R457">
        <v>0</v>
      </c>
      <c r="S457">
        <v>0</v>
      </c>
      <c r="T457">
        <v>0</v>
      </c>
      <c r="U457" s="20">
        <v>45973.606099537035</v>
      </c>
      <c r="V457" s="20">
        <v>46050.690972222219</v>
      </c>
      <c r="Y457">
        <v>0</v>
      </c>
      <c r="Z457" t="s">
        <v>1308</v>
      </c>
      <c r="AL457" t="s">
        <v>3043</v>
      </c>
      <c r="AO457" t="s">
        <v>179</v>
      </c>
      <c r="AX457" t="s">
        <v>3875</v>
      </c>
    </row>
    <row r="458" spans="1:50" x14ac:dyDescent="0.25">
      <c r="A458" t="s">
        <v>739</v>
      </c>
      <c r="B458" t="s">
        <v>1168</v>
      </c>
      <c r="C458" t="s">
        <v>1587</v>
      </c>
      <c r="D458" t="s">
        <v>2969</v>
      </c>
      <c r="E458">
        <v>1</v>
      </c>
      <c r="F458">
        <v>1</v>
      </c>
      <c r="H458" t="s">
        <v>1307</v>
      </c>
      <c r="I458" t="s">
        <v>1308</v>
      </c>
      <c r="J458" t="s">
        <v>1172</v>
      </c>
      <c r="K458" t="s">
        <v>1173</v>
      </c>
      <c r="L458" t="s">
        <v>1174</v>
      </c>
      <c r="M458">
        <v>0</v>
      </c>
      <c r="N458" t="s">
        <v>50</v>
      </c>
      <c r="O458">
        <v>1</v>
      </c>
      <c r="P458">
        <v>0</v>
      </c>
      <c r="Q458">
        <v>0</v>
      </c>
      <c r="R458">
        <v>0</v>
      </c>
      <c r="S458">
        <v>0</v>
      </c>
      <c r="T458">
        <v>0</v>
      </c>
      <c r="U458" s="20">
        <v>45973.606157407405</v>
      </c>
      <c r="V458" s="20">
        <v>46050.691122685188</v>
      </c>
      <c r="Y458">
        <v>0</v>
      </c>
      <c r="Z458" t="s">
        <v>1308</v>
      </c>
      <c r="AL458" t="s">
        <v>3045</v>
      </c>
      <c r="AO458" t="s">
        <v>179</v>
      </c>
      <c r="AX458" t="s">
        <v>3876</v>
      </c>
    </row>
    <row r="459" spans="1:50" x14ac:dyDescent="0.25">
      <c r="A459" t="s">
        <v>740</v>
      </c>
      <c r="B459" t="s">
        <v>1168</v>
      </c>
      <c r="C459" t="s">
        <v>1588</v>
      </c>
      <c r="D459" t="s">
        <v>2969</v>
      </c>
      <c r="E459">
        <v>1</v>
      </c>
      <c r="F459">
        <v>1</v>
      </c>
      <c r="H459" t="s">
        <v>1307</v>
      </c>
      <c r="I459" t="s">
        <v>1308</v>
      </c>
      <c r="J459" t="s">
        <v>1172</v>
      </c>
      <c r="K459" t="s">
        <v>1173</v>
      </c>
      <c r="L459" t="s">
        <v>1174</v>
      </c>
      <c r="M459">
        <v>0</v>
      </c>
      <c r="N459" t="s">
        <v>50</v>
      </c>
      <c r="O459">
        <v>1</v>
      </c>
      <c r="P459">
        <v>0</v>
      </c>
      <c r="Q459">
        <v>0</v>
      </c>
      <c r="R459">
        <v>0</v>
      </c>
      <c r="S459">
        <v>0</v>
      </c>
      <c r="T459">
        <v>0</v>
      </c>
      <c r="U459" s="20">
        <v>45973.606203703705</v>
      </c>
      <c r="V459" s="20">
        <v>46050.691250000003</v>
      </c>
      <c r="Y459">
        <v>0</v>
      </c>
      <c r="Z459" t="s">
        <v>1308</v>
      </c>
      <c r="AL459" t="s">
        <v>3047</v>
      </c>
      <c r="AO459" t="s">
        <v>179</v>
      </c>
      <c r="AX459" t="s">
        <v>3877</v>
      </c>
    </row>
    <row r="460" spans="1:50" x14ac:dyDescent="0.25">
      <c r="A460" t="s">
        <v>741</v>
      </c>
      <c r="B460" t="s">
        <v>1168</v>
      </c>
      <c r="C460" t="s">
        <v>1589</v>
      </c>
      <c r="D460" t="s">
        <v>2969</v>
      </c>
      <c r="E460">
        <v>1</v>
      </c>
      <c r="F460">
        <v>1</v>
      </c>
      <c r="H460" t="s">
        <v>1307</v>
      </c>
      <c r="I460" t="s">
        <v>1308</v>
      </c>
      <c r="J460" t="s">
        <v>1172</v>
      </c>
      <c r="K460" t="s">
        <v>1173</v>
      </c>
      <c r="L460" t="s">
        <v>1174</v>
      </c>
      <c r="M460">
        <v>0</v>
      </c>
      <c r="N460" t="s">
        <v>50</v>
      </c>
      <c r="O460">
        <v>1</v>
      </c>
      <c r="P460">
        <v>0</v>
      </c>
      <c r="Q460">
        <v>0</v>
      </c>
      <c r="R460">
        <v>0</v>
      </c>
      <c r="S460">
        <v>0</v>
      </c>
      <c r="T460">
        <v>0</v>
      </c>
      <c r="U460" s="20">
        <v>45973.606238425928</v>
      </c>
      <c r="V460" s="20">
        <v>46050.691747685189</v>
      </c>
      <c r="Y460">
        <v>0</v>
      </c>
      <c r="Z460" t="s">
        <v>1308</v>
      </c>
      <c r="AL460" t="s">
        <v>3048</v>
      </c>
      <c r="AO460" t="s">
        <v>163</v>
      </c>
      <c r="AX460" t="s">
        <v>3878</v>
      </c>
    </row>
    <row r="461" spans="1:50" x14ac:dyDescent="0.25">
      <c r="A461" t="s">
        <v>742</v>
      </c>
      <c r="B461" t="s">
        <v>1168</v>
      </c>
      <c r="C461" t="s">
        <v>1590</v>
      </c>
      <c r="E461">
        <v>1</v>
      </c>
      <c r="F461">
        <v>1</v>
      </c>
      <c r="H461" t="s">
        <v>1307</v>
      </c>
      <c r="I461" t="s">
        <v>1308</v>
      </c>
      <c r="J461" t="s">
        <v>1172</v>
      </c>
      <c r="K461" t="s">
        <v>1173</v>
      </c>
      <c r="L461" t="s">
        <v>1174</v>
      </c>
      <c r="M461">
        <v>0</v>
      </c>
      <c r="N461" t="s">
        <v>50</v>
      </c>
      <c r="O461">
        <v>1</v>
      </c>
      <c r="P461">
        <v>0</v>
      </c>
      <c r="Q461">
        <v>0</v>
      </c>
      <c r="R461">
        <v>0</v>
      </c>
      <c r="S461">
        <v>0</v>
      </c>
      <c r="T461">
        <v>0</v>
      </c>
      <c r="U461" s="20">
        <v>45973.632523148146</v>
      </c>
      <c r="V461" s="20">
        <v>46002.004930555559</v>
      </c>
      <c r="Y461">
        <v>0</v>
      </c>
      <c r="Z461" t="s">
        <v>1308</v>
      </c>
      <c r="AL461" t="s">
        <v>743</v>
      </c>
      <c r="AO461" t="s">
        <v>350</v>
      </c>
      <c r="AX461" t="s">
        <v>3879</v>
      </c>
    </row>
    <row r="462" spans="1:50" x14ac:dyDescent="0.25">
      <c r="A462" t="s">
        <v>744</v>
      </c>
      <c r="B462" t="s">
        <v>1168</v>
      </c>
      <c r="C462" t="s">
        <v>1591</v>
      </c>
      <c r="E462">
        <v>1</v>
      </c>
      <c r="F462">
        <v>1</v>
      </c>
      <c r="H462" t="s">
        <v>1307</v>
      </c>
      <c r="I462" t="s">
        <v>1308</v>
      </c>
      <c r="J462" t="s">
        <v>1172</v>
      </c>
      <c r="K462" t="s">
        <v>1173</v>
      </c>
      <c r="L462" t="s">
        <v>1174</v>
      </c>
      <c r="M462">
        <v>0</v>
      </c>
      <c r="N462" t="s">
        <v>50</v>
      </c>
      <c r="O462">
        <v>1</v>
      </c>
      <c r="P462">
        <v>0</v>
      </c>
      <c r="Q462">
        <v>0</v>
      </c>
      <c r="R462">
        <v>0</v>
      </c>
      <c r="S462">
        <v>0</v>
      </c>
      <c r="T462">
        <v>0</v>
      </c>
      <c r="U462" s="20">
        <v>45973.632557870369</v>
      </c>
      <c r="V462" s="20">
        <v>46002.004976851851</v>
      </c>
      <c r="Y462">
        <v>0</v>
      </c>
      <c r="Z462" t="s">
        <v>1308</v>
      </c>
      <c r="AL462" t="s">
        <v>745</v>
      </c>
      <c r="AO462" t="s">
        <v>179</v>
      </c>
      <c r="AX462" t="s">
        <v>3880</v>
      </c>
    </row>
    <row r="463" spans="1:50" x14ac:dyDescent="0.25">
      <c r="A463" t="s">
        <v>746</v>
      </c>
      <c r="B463" t="s">
        <v>1168</v>
      </c>
      <c r="C463" t="s">
        <v>1592</v>
      </c>
      <c r="E463">
        <v>1</v>
      </c>
      <c r="F463">
        <v>1</v>
      </c>
      <c r="H463" t="s">
        <v>1307</v>
      </c>
      <c r="I463" t="s">
        <v>1308</v>
      </c>
      <c r="J463" t="s">
        <v>1172</v>
      </c>
      <c r="K463" t="s">
        <v>1173</v>
      </c>
      <c r="L463" t="s">
        <v>1174</v>
      </c>
      <c r="M463">
        <v>0</v>
      </c>
      <c r="N463" t="s">
        <v>50</v>
      </c>
      <c r="O463">
        <v>1</v>
      </c>
      <c r="P463">
        <v>0</v>
      </c>
      <c r="Q463">
        <v>0</v>
      </c>
      <c r="R463">
        <v>0</v>
      </c>
      <c r="S463">
        <v>0</v>
      </c>
      <c r="T463">
        <v>0</v>
      </c>
      <c r="U463" s="20">
        <v>45973.632719907408</v>
      </c>
      <c r="V463" s="20">
        <v>46002.004999999997</v>
      </c>
      <c r="Y463">
        <v>0</v>
      </c>
      <c r="Z463" t="s">
        <v>1308</v>
      </c>
      <c r="AL463" t="s">
        <v>747</v>
      </c>
      <c r="AO463" t="s">
        <v>179</v>
      </c>
      <c r="AX463" t="s">
        <v>3881</v>
      </c>
    </row>
    <row r="464" spans="1:50" x14ac:dyDescent="0.25">
      <c r="A464" t="s">
        <v>748</v>
      </c>
      <c r="B464" t="s">
        <v>1168</v>
      </c>
      <c r="C464" t="s">
        <v>1593</v>
      </c>
      <c r="D464" t="s">
        <v>2485</v>
      </c>
      <c r="E464">
        <v>1</v>
      </c>
      <c r="F464">
        <v>1</v>
      </c>
      <c r="H464" t="s">
        <v>1307</v>
      </c>
      <c r="I464" t="s">
        <v>1308</v>
      </c>
      <c r="J464" t="s">
        <v>1172</v>
      </c>
      <c r="K464" t="s">
        <v>1173</v>
      </c>
      <c r="L464" t="s">
        <v>1174</v>
      </c>
      <c r="M464">
        <v>0</v>
      </c>
      <c r="N464" t="s">
        <v>41</v>
      </c>
      <c r="O464">
        <v>1</v>
      </c>
      <c r="P464">
        <v>0</v>
      </c>
      <c r="Q464">
        <v>0</v>
      </c>
      <c r="R464">
        <v>0</v>
      </c>
      <c r="S464">
        <v>0</v>
      </c>
      <c r="T464">
        <v>0</v>
      </c>
      <c r="U464" s="20">
        <v>45973.632754629631</v>
      </c>
      <c r="V464" s="20">
        <v>46036.914479166669</v>
      </c>
      <c r="Y464">
        <v>0</v>
      </c>
      <c r="Z464" t="s">
        <v>1308</v>
      </c>
      <c r="AL464" t="s">
        <v>749</v>
      </c>
      <c r="AO464" t="s">
        <v>179</v>
      </c>
      <c r="AX464" t="s">
        <v>3882</v>
      </c>
    </row>
    <row r="465" spans="1:50" x14ac:dyDescent="0.25">
      <c r="A465" t="s">
        <v>750</v>
      </c>
      <c r="B465" t="s">
        <v>1168</v>
      </c>
      <c r="C465" t="s">
        <v>1594</v>
      </c>
      <c r="D465" t="s">
        <v>753</v>
      </c>
      <c r="E465">
        <v>1</v>
      </c>
      <c r="F465">
        <v>1</v>
      </c>
      <c r="H465" t="s">
        <v>1307</v>
      </c>
      <c r="I465" t="s">
        <v>1308</v>
      </c>
      <c r="J465" t="s">
        <v>1172</v>
      </c>
      <c r="K465" t="s">
        <v>1173</v>
      </c>
      <c r="L465" t="s">
        <v>1174</v>
      </c>
      <c r="M465">
        <v>0</v>
      </c>
      <c r="N465" t="s">
        <v>50</v>
      </c>
      <c r="O465">
        <v>1</v>
      </c>
      <c r="P465">
        <v>0</v>
      </c>
      <c r="Q465">
        <v>0</v>
      </c>
      <c r="R465">
        <v>0</v>
      </c>
      <c r="S465">
        <v>0</v>
      </c>
      <c r="T465">
        <v>0</v>
      </c>
      <c r="U465" s="20">
        <v>45973.6328125</v>
      </c>
      <c r="V465" s="20">
        <v>46002.004965277774</v>
      </c>
      <c r="Y465">
        <v>0</v>
      </c>
      <c r="Z465" t="s">
        <v>1308</v>
      </c>
      <c r="AL465" t="s">
        <v>2839</v>
      </c>
      <c r="AO465" t="s">
        <v>320</v>
      </c>
      <c r="AP465" t="s">
        <v>62</v>
      </c>
      <c r="AQ465" t="s">
        <v>751</v>
      </c>
      <c r="AR465" t="s">
        <v>89</v>
      </c>
      <c r="AV465" t="s">
        <v>3385</v>
      </c>
      <c r="AW465" t="s">
        <v>752</v>
      </c>
      <c r="AX465" t="s">
        <v>3883</v>
      </c>
    </row>
    <row r="466" spans="1:50" x14ac:dyDescent="0.25">
      <c r="A466" t="s">
        <v>754</v>
      </c>
      <c r="B466" t="s">
        <v>1168</v>
      </c>
      <c r="C466" t="s">
        <v>1595</v>
      </c>
      <c r="D466" t="s">
        <v>757</v>
      </c>
      <c r="E466">
        <v>1</v>
      </c>
      <c r="F466">
        <v>1</v>
      </c>
      <c r="H466" t="s">
        <v>1307</v>
      </c>
      <c r="I466" t="s">
        <v>1308</v>
      </c>
      <c r="J466" t="s">
        <v>1172</v>
      </c>
      <c r="K466" t="s">
        <v>1173</v>
      </c>
      <c r="L466" t="s">
        <v>1174</v>
      </c>
      <c r="M466">
        <v>0</v>
      </c>
      <c r="N466" t="s">
        <v>50</v>
      </c>
      <c r="O466">
        <v>1</v>
      </c>
      <c r="P466">
        <v>0</v>
      </c>
      <c r="Q466">
        <v>0</v>
      </c>
      <c r="R466">
        <v>0</v>
      </c>
      <c r="S466">
        <v>0</v>
      </c>
      <c r="T466">
        <v>0</v>
      </c>
      <c r="U466" s="20">
        <v>45973.632847222223</v>
      </c>
      <c r="V466" s="20">
        <v>46002.004930555559</v>
      </c>
      <c r="Y466">
        <v>0</v>
      </c>
      <c r="Z466" t="s">
        <v>1308</v>
      </c>
      <c r="AL466" t="s">
        <v>2840</v>
      </c>
      <c r="AO466" t="s">
        <v>320</v>
      </c>
      <c r="AP466" t="s">
        <v>62</v>
      </c>
      <c r="AQ466" t="s">
        <v>755</v>
      </c>
      <c r="AR466" t="s">
        <v>89</v>
      </c>
      <c r="AV466" t="s">
        <v>3386</v>
      </c>
      <c r="AW466" t="s">
        <v>756</v>
      </c>
      <c r="AX466" t="s">
        <v>3884</v>
      </c>
    </row>
    <row r="467" spans="1:50" x14ac:dyDescent="0.25">
      <c r="A467" t="s">
        <v>758</v>
      </c>
      <c r="B467" t="s">
        <v>1168</v>
      </c>
      <c r="C467" t="s">
        <v>1596</v>
      </c>
      <c r="D467" t="s">
        <v>2969</v>
      </c>
      <c r="E467">
        <v>1</v>
      </c>
      <c r="F467">
        <v>1</v>
      </c>
      <c r="H467" t="s">
        <v>1307</v>
      </c>
      <c r="I467" t="s">
        <v>1308</v>
      </c>
      <c r="J467" t="s">
        <v>1172</v>
      </c>
      <c r="K467" t="s">
        <v>1173</v>
      </c>
      <c r="L467" t="s">
        <v>1174</v>
      </c>
      <c r="M467">
        <v>0</v>
      </c>
      <c r="N467" t="s">
        <v>50</v>
      </c>
      <c r="O467">
        <v>1</v>
      </c>
      <c r="P467">
        <v>0</v>
      </c>
      <c r="Q467">
        <v>0</v>
      </c>
      <c r="R467">
        <v>0</v>
      </c>
      <c r="S467">
        <v>0</v>
      </c>
      <c r="T467">
        <v>0</v>
      </c>
      <c r="U467" s="20">
        <v>45973.632893518516</v>
      </c>
      <c r="V467" s="20">
        <v>46050.691863425927</v>
      </c>
      <c r="Y467">
        <v>0</v>
      </c>
      <c r="Z467" t="s">
        <v>1308</v>
      </c>
      <c r="AL467" t="s">
        <v>3049</v>
      </c>
      <c r="AO467" t="s">
        <v>163</v>
      </c>
      <c r="AX467" t="s">
        <v>3885</v>
      </c>
    </row>
    <row r="468" spans="1:50" x14ac:dyDescent="0.25">
      <c r="A468" t="s">
        <v>760</v>
      </c>
      <c r="B468" t="s">
        <v>1168</v>
      </c>
      <c r="C468" t="s">
        <v>1597</v>
      </c>
      <c r="E468">
        <v>1</v>
      </c>
      <c r="F468">
        <v>1</v>
      </c>
      <c r="H468" t="s">
        <v>1307</v>
      </c>
      <c r="I468" t="s">
        <v>1308</v>
      </c>
      <c r="J468" t="s">
        <v>1172</v>
      </c>
      <c r="K468" t="s">
        <v>1173</v>
      </c>
      <c r="L468" t="s">
        <v>1174</v>
      </c>
      <c r="M468">
        <v>0</v>
      </c>
      <c r="N468" t="s">
        <v>50</v>
      </c>
      <c r="O468">
        <v>1</v>
      </c>
      <c r="P468">
        <v>0</v>
      </c>
      <c r="Q468">
        <v>0</v>
      </c>
      <c r="R468">
        <v>0</v>
      </c>
      <c r="S468">
        <v>0</v>
      </c>
      <c r="T468">
        <v>0</v>
      </c>
      <c r="U468" s="20">
        <v>45973.632951388892</v>
      </c>
      <c r="V468" s="20">
        <v>46002.004988425928</v>
      </c>
      <c r="Y468">
        <v>0</v>
      </c>
      <c r="Z468" t="s">
        <v>1308</v>
      </c>
      <c r="AL468" t="s">
        <v>761</v>
      </c>
      <c r="AO468" t="s">
        <v>194</v>
      </c>
      <c r="AX468" t="s">
        <v>3886</v>
      </c>
    </row>
    <row r="469" spans="1:50" x14ac:dyDescent="0.25">
      <c r="A469" t="s">
        <v>764</v>
      </c>
      <c r="B469" t="s">
        <v>1168</v>
      </c>
      <c r="C469" t="s">
        <v>1598</v>
      </c>
      <c r="E469">
        <v>1</v>
      </c>
      <c r="F469">
        <v>1</v>
      </c>
      <c r="H469" t="s">
        <v>1307</v>
      </c>
      <c r="I469" t="s">
        <v>1308</v>
      </c>
      <c r="J469" t="s">
        <v>1172</v>
      </c>
      <c r="K469" t="s">
        <v>1173</v>
      </c>
      <c r="L469" t="s">
        <v>1174</v>
      </c>
      <c r="M469">
        <v>0</v>
      </c>
      <c r="N469" t="s">
        <v>50</v>
      </c>
      <c r="O469">
        <v>1</v>
      </c>
      <c r="P469">
        <v>0</v>
      </c>
      <c r="Q469">
        <v>0</v>
      </c>
      <c r="R469">
        <v>0</v>
      </c>
      <c r="S469">
        <v>0</v>
      </c>
      <c r="T469">
        <v>0</v>
      </c>
      <c r="U469" s="20">
        <v>45973.632986111108</v>
      </c>
      <c r="V469" s="20">
        <v>46002.004953703705</v>
      </c>
      <c r="Y469">
        <v>0</v>
      </c>
      <c r="Z469" t="s">
        <v>1308</v>
      </c>
      <c r="AL469" t="s">
        <v>765</v>
      </c>
      <c r="AO469" t="s">
        <v>194</v>
      </c>
      <c r="AX469" t="s">
        <v>3887</v>
      </c>
    </row>
    <row r="470" spans="1:50" x14ac:dyDescent="0.25">
      <c r="A470" t="s">
        <v>767</v>
      </c>
      <c r="B470" t="s">
        <v>1168</v>
      </c>
      <c r="C470" t="s">
        <v>1599</v>
      </c>
      <c r="E470">
        <v>1</v>
      </c>
      <c r="F470">
        <v>1</v>
      </c>
      <c r="H470" t="s">
        <v>1307</v>
      </c>
      <c r="I470" t="s">
        <v>1308</v>
      </c>
      <c r="J470" t="s">
        <v>1172</v>
      </c>
      <c r="K470" t="s">
        <v>1173</v>
      </c>
      <c r="L470" t="s">
        <v>1174</v>
      </c>
      <c r="M470">
        <v>0</v>
      </c>
      <c r="N470" t="s">
        <v>50</v>
      </c>
      <c r="O470">
        <v>1</v>
      </c>
      <c r="P470">
        <v>0</v>
      </c>
      <c r="Q470">
        <v>0</v>
      </c>
      <c r="R470">
        <v>0</v>
      </c>
      <c r="S470">
        <v>0</v>
      </c>
      <c r="T470">
        <v>0</v>
      </c>
      <c r="U470" s="20">
        <v>45973.633032407408</v>
      </c>
      <c r="V470" s="20">
        <v>46002.004999999997</v>
      </c>
      <c r="Y470">
        <v>0</v>
      </c>
      <c r="Z470" t="s">
        <v>1308</v>
      </c>
      <c r="AL470" t="s">
        <v>768</v>
      </c>
      <c r="AO470" t="s">
        <v>194</v>
      </c>
      <c r="AX470" t="s">
        <v>3888</v>
      </c>
    </row>
    <row r="471" spans="1:50" x14ac:dyDescent="0.25">
      <c r="A471" t="s">
        <v>770</v>
      </c>
      <c r="B471" t="s">
        <v>1168</v>
      </c>
      <c r="C471" t="s">
        <v>1600</v>
      </c>
      <c r="E471">
        <v>1</v>
      </c>
      <c r="F471">
        <v>1</v>
      </c>
      <c r="H471" t="s">
        <v>1307</v>
      </c>
      <c r="I471" t="s">
        <v>1308</v>
      </c>
      <c r="J471" t="s">
        <v>1172</v>
      </c>
      <c r="K471" t="s">
        <v>1173</v>
      </c>
      <c r="L471" t="s">
        <v>1174</v>
      </c>
      <c r="M471">
        <v>0</v>
      </c>
      <c r="N471" t="s">
        <v>50</v>
      </c>
      <c r="O471">
        <v>1</v>
      </c>
      <c r="P471">
        <v>0</v>
      </c>
      <c r="Q471">
        <v>0</v>
      </c>
      <c r="R471">
        <v>0</v>
      </c>
      <c r="S471">
        <v>0</v>
      </c>
      <c r="T471">
        <v>0</v>
      </c>
      <c r="U471" s="20">
        <v>45973.644490740742</v>
      </c>
      <c r="V471" s="20">
        <v>46002.004953703705</v>
      </c>
      <c r="Y471">
        <v>0</v>
      </c>
      <c r="Z471" t="s">
        <v>1308</v>
      </c>
      <c r="AL471" t="s">
        <v>771</v>
      </c>
      <c r="AO471" t="s">
        <v>194</v>
      </c>
      <c r="AX471" t="s">
        <v>3889</v>
      </c>
    </row>
    <row r="472" spans="1:50" x14ac:dyDescent="0.25">
      <c r="A472" t="s">
        <v>773</v>
      </c>
      <c r="B472" t="s">
        <v>1168</v>
      </c>
      <c r="C472" t="s">
        <v>1601</v>
      </c>
      <c r="E472">
        <v>1</v>
      </c>
      <c r="F472">
        <v>1</v>
      </c>
      <c r="H472" t="s">
        <v>1307</v>
      </c>
      <c r="I472" t="s">
        <v>1308</v>
      </c>
      <c r="J472" t="s">
        <v>1172</v>
      </c>
      <c r="K472" t="s">
        <v>1173</v>
      </c>
      <c r="L472" t="s">
        <v>1174</v>
      </c>
      <c r="M472">
        <v>0</v>
      </c>
      <c r="N472" t="s">
        <v>50</v>
      </c>
      <c r="O472">
        <v>1</v>
      </c>
      <c r="P472">
        <v>0</v>
      </c>
      <c r="Q472">
        <v>0</v>
      </c>
      <c r="R472">
        <v>0</v>
      </c>
      <c r="S472">
        <v>0</v>
      </c>
      <c r="T472">
        <v>0</v>
      </c>
      <c r="U472" s="20">
        <v>45973.644548611112</v>
      </c>
      <c r="V472" s="20">
        <v>46002.004999999997</v>
      </c>
      <c r="Y472">
        <v>0</v>
      </c>
      <c r="Z472" t="s">
        <v>1308</v>
      </c>
      <c r="AL472" t="s">
        <v>774</v>
      </c>
      <c r="AO472" t="s">
        <v>194</v>
      </c>
      <c r="AX472" t="s">
        <v>3890</v>
      </c>
    </row>
    <row r="473" spans="1:50" x14ac:dyDescent="0.25">
      <c r="A473" t="s">
        <v>779</v>
      </c>
      <c r="B473" t="s">
        <v>1168</v>
      </c>
      <c r="C473" t="s">
        <v>1603</v>
      </c>
      <c r="D473" t="s">
        <v>2969</v>
      </c>
      <c r="E473">
        <v>1</v>
      </c>
      <c r="F473">
        <v>1</v>
      </c>
      <c r="H473" t="s">
        <v>1307</v>
      </c>
      <c r="I473" t="s">
        <v>1308</v>
      </c>
      <c r="J473" t="s">
        <v>1172</v>
      </c>
      <c r="K473" t="s">
        <v>1173</v>
      </c>
      <c r="L473" t="s">
        <v>1174</v>
      </c>
      <c r="M473">
        <v>0</v>
      </c>
      <c r="N473" t="s">
        <v>50</v>
      </c>
      <c r="O473">
        <v>1</v>
      </c>
      <c r="P473">
        <v>0</v>
      </c>
      <c r="Q473">
        <v>0</v>
      </c>
      <c r="R473">
        <v>0</v>
      </c>
      <c r="S473">
        <v>0</v>
      </c>
      <c r="T473">
        <v>0</v>
      </c>
      <c r="U473" s="20">
        <v>45973.644629629627</v>
      </c>
      <c r="V473" s="20">
        <v>46050.692025462966</v>
      </c>
      <c r="Y473">
        <v>0</v>
      </c>
      <c r="Z473" t="s">
        <v>1308</v>
      </c>
      <c r="AL473" t="s">
        <v>3050</v>
      </c>
      <c r="AO473" t="s">
        <v>163</v>
      </c>
      <c r="AX473" t="s">
        <v>3891</v>
      </c>
    </row>
    <row r="474" spans="1:50" x14ac:dyDescent="0.25">
      <c r="A474" t="s">
        <v>780</v>
      </c>
      <c r="B474" t="s">
        <v>1168</v>
      </c>
      <c r="C474" t="s">
        <v>1604</v>
      </c>
      <c r="D474" t="s">
        <v>2969</v>
      </c>
      <c r="E474">
        <v>1</v>
      </c>
      <c r="F474">
        <v>1</v>
      </c>
      <c r="H474" t="s">
        <v>1307</v>
      </c>
      <c r="I474" t="s">
        <v>1308</v>
      </c>
      <c r="J474" t="s">
        <v>1172</v>
      </c>
      <c r="K474" t="s">
        <v>1173</v>
      </c>
      <c r="L474" t="s">
        <v>1174</v>
      </c>
      <c r="M474">
        <v>0</v>
      </c>
      <c r="N474" t="s">
        <v>50</v>
      </c>
      <c r="O474">
        <v>1</v>
      </c>
      <c r="P474">
        <v>0</v>
      </c>
      <c r="Q474">
        <v>0</v>
      </c>
      <c r="R474">
        <v>0</v>
      </c>
      <c r="S474">
        <v>0</v>
      </c>
      <c r="T474">
        <v>0</v>
      </c>
      <c r="U474" s="20">
        <v>45973.644675925927</v>
      </c>
      <c r="V474" s="20">
        <v>46051.101759259262</v>
      </c>
      <c r="Y474">
        <v>0</v>
      </c>
      <c r="Z474" t="s">
        <v>1308</v>
      </c>
      <c r="AL474" t="s">
        <v>3051</v>
      </c>
      <c r="AO474" t="s">
        <v>163</v>
      </c>
      <c r="AX474" t="s">
        <v>3892</v>
      </c>
    </row>
    <row r="475" spans="1:50" x14ac:dyDescent="0.25">
      <c r="A475" t="s">
        <v>781</v>
      </c>
      <c r="B475" t="s">
        <v>1168</v>
      </c>
      <c r="C475" t="s">
        <v>1605</v>
      </c>
      <c r="D475" t="s">
        <v>2969</v>
      </c>
      <c r="E475">
        <v>1</v>
      </c>
      <c r="F475">
        <v>1</v>
      </c>
      <c r="H475" t="s">
        <v>1307</v>
      </c>
      <c r="I475" t="s">
        <v>1308</v>
      </c>
      <c r="J475" t="s">
        <v>1172</v>
      </c>
      <c r="K475" t="s">
        <v>1173</v>
      </c>
      <c r="L475" t="s">
        <v>1174</v>
      </c>
      <c r="M475">
        <v>0</v>
      </c>
      <c r="N475" t="s">
        <v>50</v>
      </c>
      <c r="O475">
        <v>1</v>
      </c>
      <c r="P475">
        <v>0</v>
      </c>
      <c r="Q475">
        <v>0</v>
      </c>
      <c r="R475">
        <v>0</v>
      </c>
      <c r="S475">
        <v>0</v>
      </c>
      <c r="T475">
        <v>0</v>
      </c>
      <c r="U475" s="20">
        <v>45973.64472222222</v>
      </c>
      <c r="V475" s="20">
        <v>46051.101747685185</v>
      </c>
      <c r="Y475">
        <v>0</v>
      </c>
      <c r="Z475" t="s">
        <v>1308</v>
      </c>
      <c r="AL475" t="s">
        <v>3053</v>
      </c>
      <c r="AO475" t="s">
        <v>163</v>
      </c>
      <c r="AX475" t="s">
        <v>3893</v>
      </c>
    </row>
    <row r="476" spans="1:50" x14ac:dyDescent="0.25">
      <c r="A476" t="s">
        <v>788</v>
      </c>
      <c r="B476" t="s">
        <v>1168</v>
      </c>
      <c r="C476" t="s">
        <v>1607</v>
      </c>
      <c r="E476">
        <v>1</v>
      </c>
      <c r="F476">
        <v>1</v>
      </c>
      <c r="H476" t="s">
        <v>1307</v>
      </c>
      <c r="I476" t="s">
        <v>1308</v>
      </c>
      <c r="J476" t="s">
        <v>1172</v>
      </c>
      <c r="K476" t="s">
        <v>1173</v>
      </c>
      <c r="L476" t="s">
        <v>1174</v>
      </c>
      <c r="M476">
        <v>0</v>
      </c>
      <c r="N476" t="s">
        <v>50</v>
      </c>
      <c r="O476">
        <v>1</v>
      </c>
      <c r="P476">
        <v>0</v>
      </c>
      <c r="Q476">
        <v>0</v>
      </c>
      <c r="R476">
        <v>0</v>
      </c>
      <c r="S476">
        <v>0</v>
      </c>
      <c r="T476">
        <v>0</v>
      </c>
      <c r="U476" s="20">
        <v>45973.644803240742</v>
      </c>
      <c r="V476" s="20">
        <v>46002.004999999997</v>
      </c>
      <c r="Y476">
        <v>0</v>
      </c>
      <c r="Z476" t="s">
        <v>1308</v>
      </c>
      <c r="AL476" t="s">
        <v>789</v>
      </c>
      <c r="AO476" t="s">
        <v>163</v>
      </c>
      <c r="AX476" t="s">
        <v>3894</v>
      </c>
    </row>
    <row r="477" spans="1:50" x14ac:dyDescent="0.25">
      <c r="A477" t="s">
        <v>790</v>
      </c>
      <c r="B477" t="s">
        <v>1168</v>
      </c>
      <c r="C477" t="s">
        <v>1608</v>
      </c>
      <c r="E477">
        <v>1</v>
      </c>
      <c r="F477">
        <v>1</v>
      </c>
      <c r="H477" t="s">
        <v>1307</v>
      </c>
      <c r="I477" t="s">
        <v>1308</v>
      </c>
      <c r="J477" t="s">
        <v>1172</v>
      </c>
      <c r="K477" t="s">
        <v>1173</v>
      </c>
      <c r="L477" t="s">
        <v>1174</v>
      </c>
      <c r="M477">
        <v>0</v>
      </c>
      <c r="N477" t="s">
        <v>50</v>
      </c>
      <c r="O477">
        <v>1</v>
      </c>
      <c r="P477">
        <v>0</v>
      </c>
      <c r="Q477">
        <v>0</v>
      </c>
      <c r="R477">
        <v>0</v>
      </c>
      <c r="S477">
        <v>0</v>
      </c>
      <c r="T477">
        <v>0</v>
      </c>
      <c r="U477" s="20">
        <v>45973.644849537035</v>
      </c>
      <c r="V477" s="20">
        <v>46002.004942129628</v>
      </c>
      <c r="Y477">
        <v>0</v>
      </c>
      <c r="Z477" t="s">
        <v>1308</v>
      </c>
      <c r="AL477" t="s">
        <v>791</v>
      </c>
      <c r="AO477" t="s">
        <v>163</v>
      </c>
      <c r="AX477" t="s">
        <v>3895</v>
      </c>
    </row>
    <row r="478" spans="1:50" x14ac:dyDescent="0.25">
      <c r="A478" t="s">
        <v>776</v>
      </c>
      <c r="B478" t="s">
        <v>1168</v>
      </c>
      <c r="C478" t="s">
        <v>1602</v>
      </c>
      <c r="D478" t="s">
        <v>3387</v>
      </c>
      <c r="E478">
        <v>1</v>
      </c>
      <c r="F478">
        <v>1</v>
      </c>
      <c r="H478" t="s">
        <v>1307</v>
      </c>
      <c r="I478" t="s">
        <v>1308</v>
      </c>
      <c r="J478" t="s">
        <v>1172</v>
      </c>
      <c r="K478" t="s">
        <v>1173</v>
      </c>
      <c r="L478" t="s">
        <v>1174</v>
      </c>
      <c r="M478">
        <v>0</v>
      </c>
      <c r="N478" t="s">
        <v>50</v>
      </c>
      <c r="O478">
        <v>1</v>
      </c>
      <c r="P478">
        <v>0</v>
      </c>
      <c r="Q478">
        <v>0</v>
      </c>
      <c r="R478">
        <v>0</v>
      </c>
      <c r="S478">
        <v>0</v>
      </c>
      <c r="T478">
        <v>0</v>
      </c>
      <c r="U478" s="20">
        <v>45973.693333333336</v>
      </c>
      <c r="V478" s="20">
        <v>46077.993206018517</v>
      </c>
      <c r="Y478">
        <v>0</v>
      </c>
      <c r="Z478" t="s">
        <v>1308</v>
      </c>
      <c r="AL478" t="s">
        <v>2842</v>
      </c>
      <c r="AO478" t="s">
        <v>163</v>
      </c>
      <c r="AP478" t="s">
        <v>164</v>
      </c>
      <c r="AQ478" t="s">
        <v>777</v>
      </c>
      <c r="AR478" t="s">
        <v>73</v>
      </c>
      <c r="AV478" t="s">
        <v>3263</v>
      </c>
      <c r="AW478" t="s">
        <v>778</v>
      </c>
      <c r="AX478" t="s">
        <v>3896</v>
      </c>
    </row>
    <row r="479" spans="1:50" x14ac:dyDescent="0.25">
      <c r="A479" t="s">
        <v>794</v>
      </c>
      <c r="B479" t="s">
        <v>1168</v>
      </c>
      <c r="C479" t="s">
        <v>1609</v>
      </c>
      <c r="D479" t="s">
        <v>3388</v>
      </c>
      <c r="E479">
        <v>1</v>
      </c>
      <c r="F479">
        <v>1</v>
      </c>
      <c r="H479" t="s">
        <v>1307</v>
      </c>
      <c r="I479" t="s">
        <v>1308</v>
      </c>
      <c r="J479" t="s">
        <v>1172</v>
      </c>
      <c r="K479" t="s">
        <v>1173</v>
      </c>
      <c r="L479" t="s">
        <v>1174</v>
      </c>
      <c r="M479">
        <v>0</v>
      </c>
      <c r="N479" t="s">
        <v>50</v>
      </c>
      <c r="O479">
        <v>1</v>
      </c>
      <c r="P479">
        <v>0</v>
      </c>
      <c r="Q479">
        <v>0</v>
      </c>
      <c r="R479">
        <v>0</v>
      </c>
      <c r="S479">
        <v>0</v>
      </c>
      <c r="T479">
        <v>0</v>
      </c>
      <c r="U479" s="20">
        <v>45973.693333333336</v>
      </c>
      <c r="V479" s="20">
        <v>46077.993206018517</v>
      </c>
      <c r="Y479">
        <v>0</v>
      </c>
      <c r="Z479" t="s">
        <v>1308</v>
      </c>
      <c r="AL479" t="s">
        <v>2847</v>
      </c>
      <c r="AO479" t="s">
        <v>163</v>
      </c>
      <c r="AP479" t="s">
        <v>164</v>
      </c>
      <c r="AQ479" t="s">
        <v>795</v>
      </c>
      <c r="AR479" t="s">
        <v>73</v>
      </c>
      <c r="AV479" t="s">
        <v>3264</v>
      </c>
      <c r="AW479" t="s">
        <v>796</v>
      </c>
      <c r="AX479" t="s">
        <v>3897</v>
      </c>
    </row>
    <row r="480" spans="1:50" x14ac:dyDescent="0.25">
      <c r="A480" t="s">
        <v>797</v>
      </c>
      <c r="B480" t="s">
        <v>1168</v>
      </c>
      <c r="C480" t="s">
        <v>1610</v>
      </c>
      <c r="D480" t="s">
        <v>3230</v>
      </c>
      <c r="E480">
        <v>1</v>
      </c>
      <c r="F480">
        <v>1</v>
      </c>
      <c r="H480" t="s">
        <v>1307</v>
      </c>
      <c r="I480" t="s">
        <v>1308</v>
      </c>
      <c r="J480" t="s">
        <v>1172</v>
      </c>
      <c r="K480" t="s">
        <v>1173</v>
      </c>
      <c r="L480" t="s">
        <v>1174</v>
      </c>
      <c r="M480">
        <v>0</v>
      </c>
      <c r="N480" t="s">
        <v>50</v>
      </c>
      <c r="O480">
        <v>1</v>
      </c>
      <c r="P480">
        <v>0</v>
      </c>
      <c r="Q480">
        <v>0</v>
      </c>
      <c r="R480">
        <v>0</v>
      </c>
      <c r="S480">
        <v>0</v>
      </c>
      <c r="T480">
        <v>0</v>
      </c>
      <c r="U480" s="20">
        <v>45973.693333333336</v>
      </c>
      <c r="V480" s="20">
        <v>46077.993217592593</v>
      </c>
      <c r="Y480">
        <v>0</v>
      </c>
      <c r="Z480" t="s">
        <v>1308</v>
      </c>
      <c r="AL480" t="s">
        <v>2848</v>
      </c>
      <c r="AO480" t="s">
        <v>320</v>
      </c>
      <c r="AP480" t="s">
        <v>62</v>
      </c>
      <c r="AQ480" t="s">
        <v>798</v>
      </c>
      <c r="AR480" t="s">
        <v>73</v>
      </c>
      <c r="AV480" t="s">
        <v>3389</v>
      </c>
      <c r="AW480" t="s">
        <v>799</v>
      </c>
      <c r="AX480" t="s">
        <v>3898</v>
      </c>
    </row>
    <row r="481" spans="1:50" x14ac:dyDescent="0.25">
      <c r="A481" t="s">
        <v>782</v>
      </c>
      <c r="B481" t="s">
        <v>1168</v>
      </c>
      <c r="C481" t="s">
        <v>1606</v>
      </c>
      <c r="E481">
        <v>1</v>
      </c>
      <c r="F481">
        <v>1</v>
      </c>
      <c r="H481" t="s">
        <v>1307</v>
      </c>
      <c r="I481" t="s">
        <v>1308</v>
      </c>
      <c r="J481" t="s">
        <v>1172</v>
      </c>
      <c r="K481" t="s">
        <v>1173</v>
      </c>
      <c r="L481" t="s">
        <v>1174</v>
      </c>
      <c r="M481">
        <v>0</v>
      </c>
      <c r="N481" t="s">
        <v>50</v>
      </c>
      <c r="O481">
        <v>1</v>
      </c>
      <c r="P481">
        <v>0</v>
      </c>
      <c r="Q481">
        <v>0</v>
      </c>
      <c r="R481">
        <v>0</v>
      </c>
      <c r="S481">
        <v>0</v>
      </c>
      <c r="T481">
        <v>0</v>
      </c>
      <c r="U481" s="20">
        <v>45975.108599537038</v>
      </c>
      <c r="V481" s="20">
        <v>46002.004953703705</v>
      </c>
      <c r="Y481">
        <v>0</v>
      </c>
      <c r="Z481" t="s">
        <v>1308</v>
      </c>
      <c r="AL481" t="s">
        <v>783</v>
      </c>
      <c r="AO481" t="s">
        <v>163</v>
      </c>
      <c r="AX481" t="s">
        <v>3899</v>
      </c>
    </row>
    <row r="482" spans="1:50" x14ac:dyDescent="0.25">
      <c r="A482" t="s">
        <v>800</v>
      </c>
      <c r="B482" t="s">
        <v>1168</v>
      </c>
      <c r="C482" t="s">
        <v>1611</v>
      </c>
      <c r="E482">
        <v>1</v>
      </c>
      <c r="F482">
        <v>1</v>
      </c>
      <c r="H482" t="s">
        <v>1307</v>
      </c>
      <c r="I482" t="s">
        <v>1308</v>
      </c>
      <c r="J482" t="s">
        <v>1172</v>
      </c>
      <c r="K482" t="s">
        <v>1173</v>
      </c>
      <c r="L482" t="s">
        <v>1174</v>
      </c>
      <c r="M482">
        <v>0</v>
      </c>
      <c r="N482" t="s">
        <v>50</v>
      </c>
      <c r="O482">
        <v>1</v>
      </c>
      <c r="P482">
        <v>0</v>
      </c>
      <c r="Q482">
        <v>0</v>
      </c>
      <c r="R482">
        <v>0</v>
      </c>
      <c r="S482">
        <v>0</v>
      </c>
      <c r="T482">
        <v>0</v>
      </c>
      <c r="U482" s="20">
        <v>45975.108819444446</v>
      </c>
      <c r="V482" s="20">
        <v>46002.004942129628</v>
      </c>
      <c r="Y482">
        <v>0</v>
      </c>
      <c r="Z482" t="s">
        <v>1308</v>
      </c>
      <c r="AL482" t="s">
        <v>801</v>
      </c>
      <c r="AO482" t="s">
        <v>163</v>
      </c>
      <c r="AX482" t="s">
        <v>3900</v>
      </c>
    </row>
    <row r="483" spans="1:50" x14ac:dyDescent="0.25">
      <c r="A483" t="s">
        <v>804</v>
      </c>
      <c r="B483" t="s">
        <v>1168</v>
      </c>
      <c r="C483" t="s">
        <v>1612</v>
      </c>
      <c r="E483">
        <v>1</v>
      </c>
      <c r="F483">
        <v>1</v>
      </c>
      <c r="H483" t="s">
        <v>1307</v>
      </c>
      <c r="I483" t="s">
        <v>1308</v>
      </c>
      <c r="J483" t="s">
        <v>1172</v>
      </c>
      <c r="K483" t="s">
        <v>1173</v>
      </c>
      <c r="L483" t="s">
        <v>1174</v>
      </c>
      <c r="M483">
        <v>0</v>
      </c>
      <c r="N483" t="s">
        <v>50</v>
      </c>
      <c r="O483">
        <v>1</v>
      </c>
      <c r="P483">
        <v>0</v>
      </c>
      <c r="Q483">
        <v>0</v>
      </c>
      <c r="R483">
        <v>0</v>
      </c>
      <c r="S483">
        <v>0</v>
      </c>
      <c r="T483">
        <v>0</v>
      </c>
      <c r="U483" s="20">
        <v>45975.108842592592</v>
      </c>
      <c r="V483" s="20">
        <v>46002.004930555559</v>
      </c>
      <c r="Y483">
        <v>0</v>
      </c>
      <c r="Z483" t="s">
        <v>1308</v>
      </c>
      <c r="AL483" t="s">
        <v>805</v>
      </c>
      <c r="AO483" t="s">
        <v>163</v>
      </c>
      <c r="AX483" t="s">
        <v>3901</v>
      </c>
    </row>
    <row r="484" spans="1:50" x14ac:dyDescent="0.25">
      <c r="A484" t="s">
        <v>810</v>
      </c>
      <c r="B484" t="s">
        <v>1168</v>
      </c>
      <c r="C484" t="s">
        <v>1613</v>
      </c>
      <c r="E484">
        <v>1</v>
      </c>
      <c r="F484">
        <v>1</v>
      </c>
      <c r="H484" t="s">
        <v>1307</v>
      </c>
      <c r="I484" t="s">
        <v>1308</v>
      </c>
      <c r="J484" t="s">
        <v>1172</v>
      </c>
      <c r="K484" t="s">
        <v>1173</v>
      </c>
      <c r="L484" t="s">
        <v>1174</v>
      </c>
      <c r="M484">
        <v>0</v>
      </c>
      <c r="N484" t="s">
        <v>50</v>
      </c>
      <c r="O484">
        <v>1</v>
      </c>
      <c r="P484">
        <v>0</v>
      </c>
      <c r="Q484">
        <v>0</v>
      </c>
      <c r="R484">
        <v>0</v>
      </c>
      <c r="S484">
        <v>0</v>
      </c>
      <c r="T484">
        <v>0</v>
      </c>
      <c r="U484" s="20">
        <v>45975.108865740738</v>
      </c>
      <c r="V484" s="20">
        <v>46002.004999999997</v>
      </c>
      <c r="Y484">
        <v>0</v>
      </c>
      <c r="Z484" t="s">
        <v>1308</v>
      </c>
      <c r="AL484" t="s">
        <v>811</v>
      </c>
      <c r="AO484" t="s">
        <v>163</v>
      </c>
      <c r="AX484" t="s">
        <v>3902</v>
      </c>
    </row>
    <row r="485" spans="1:50" x14ac:dyDescent="0.25">
      <c r="A485" t="s">
        <v>814</v>
      </c>
      <c r="B485" t="s">
        <v>1168</v>
      </c>
      <c r="C485" t="s">
        <v>1614</v>
      </c>
      <c r="E485">
        <v>1</v>
      </c>
      <c r="F485">
        <v>1</v>
      </c>
      <c r="H485" t="s">
        <v>1307</v>
      </c>
      <c r="I485" t="s">
        <v>1308</v>
      </c>
      <c r="J485" t="s">
        <v>1172</v>
      </c>
      <c r="K485" t="s">
        <v>1173</v>
      </c>
      <c r="L485" t="s">
        <v>1174</v>
      </c>
      <c r="M485">
        <v>0</v>
      </c>
      <c r="N485" t="s">
        <v>50</v>
      </c>
      <c r="O485">
        <v>1</v>
      </c>
      <c r="P485">
        <v>0</v>
      </c>
      <c r="Q485">
        <v>0</v>
      </c>
      <c r="R485">
        <v>0</v>
      </c>
      <c r="S485">
        <v>0</v>
      </c>
      <c r="T485">
        <v>0</v>
      </c>
      <c r="U485" s="20">
        <v>45975.108877314815</v>
      </c>
      <c r="V485" s="20">
        <v>46002.004942129628</v>
      </c>
      <c r="Y485">
        <v>0</v>
      </c>
      <c r="Z485" t="s">
        <v>1308</v>
      </c>
      <c r="AL485" t="s">
        <v>815</v>
      </c>
      <c r="AO485" t="s">
        <v>163</v>
      </c>
      <c r="AX485" t="s">
        <v>3903</v>
      </c>
    </row>
    <row r="486" spans="1:50" x14ac:dyDescent="0.25">
      <c r="A486" t="s">
        <v>818</v>
      </c>
      <c r="B486" t="s">
        <v>1168</v>
      </c>
      <c r="C486" t="s">
        <v>1615</v>
      </c>
      <c r="E486">
        <v>1</v>
      </c>
      <c r="F486">
        <v>1</v>
      </c>
      <c r="H486" t="s">
        <v>1307</v>
      </c>
      <c r="I486" t="s">
        <v>1308</v>
      </c>
      <c r="J486" t="s">
        <v>1172</v>
      </c>
      <c r="K486" t="s">
        <v>1173</v>
      </c>
      <c r="L486" t="s">
        <v>1174</v>
      </c>
      <c r="M486">
        <v>0</v>
      </c>
      <c r="N486" t="s">
        <v>50</v>
      </c>
      <c r="O486">
        <v>1</v>
      </c>
      <c r="P486">
        <v>0</v>
      </c>
      <c r="Q486">
        <v>0</v>
      </c>
      <c r="R486">
        <v>0</v>
      </c>
      <c r="S486">
        <v>0</v>
      </c>
      <c r="T486">
        <v>0</v>
      </c>
      <c r="U486" s="20">
        <v>45975.108900462961</v>
      </c>
      <c r="V486" s="20">
        <v>46002.004942129628</v>
      </c>
      <c r="Y486">
        <v>0</v>
      </c>
      <c r="Z486" t="s">
        <v>1308</v>
      </c>
      <c r="AL486" t="s">
        <v>819</v>
      </c>
      <c r="AO486" t="s">
        <v>163</v>
      </c>
      <c r="AX486" t="s">
        <v>3904</v>
      </c>
    </row>
    <row r="487" spans="1:50" x14ac:dyDescent="0.25">
      <c r="A487" t="s">
        <v>822</v>
      </c>
      <c r="B487" t="s">
        <v>1168</v>
      </c>
      <c r="C487" t="s">
        <v>1616</v>
      </c>
      <c r="E487">
        <v>1</v>
      </c>
      <c r="F487">
        <v>1</v>
      </c>
      <c r="H487" t="s">
        <v>1307</v>
      </c>
      <c r="I487" t="s">
        <v>1308</v>
      </c>
      <c r="J487" t="s">
        <v>1172</v>
      </c>
      <c r="K487" t="s">
        <v>1173</v>
      </c>
      <c r="L487" t="s">
        <v>1174</v>
      </c>
      <c r="M487">
        <v>0</v>
      </c>
      <c r="N487" t="s">
        <v>50</v>
      </c>
      <c r="O487">
        <v>1</v>
      </c>
      <c r="P487">
        <v>0</v>
      </c>
      <c r="Q487">
        <v>0</v>
      </c>
      <c r="R487">
        <v>0</v>
      </c>
      <c r="S487">
        <v>0</v>
      </c>
      <c r="T487">
        <v>0</v>
      </c>
      <c r="U487" s="20">
        <v>45975.108912037038</v>
      </c>
      <c r="V487" s="20">
        <v>46002.004953703705</v>
      </c>
      <c r="Y487">
        <v>0</v>
      </c>
      <c r="Z487" t="s">
        <v>1308</v>
      </c>
      <c r="AL487" t="s">
        <v>823</v>
      </c>
      <c r="AO487" t="s">
        <v>163</v>
      </c>
      <c r="AX487" t="s">
        <v>3905</v>
      </c>
    </row>
    <row r="488" spans="1:50" x14ac:dyDescent="0.25">
      <c r="A488" t="s">
        <v>824</v>
      </c>
      <c r="B488" t="s">
        <v>1168</v>
      </c>
      <c r="C488" t="s">
        <v>1617</v>
      </c>
      <c r="E488">
        <v>1</v>
      </c>
      <c r="F488">
        <v>1</v>
      </c>
      <c r="H488" t="s">
        <v>1307</v>
      </c>
      <c r="I488" t="s">
        <v>1308</v>
      </c>
      <c r="J488" t="s">
        <v>1172</v>
      </c>
      <c r="K488" t="s">
        <v>1173</v>
      </c>
      <c r="L488" t="s">
        <v>1174</v>
      </c>
      <c r="M488">
        <v>0</v>
      </c>
      <c r="N488" t="s">
        <v>50</v>
      </c>
      <c r="O488">
        <v>1</v>
      </c>
      <c r="P488">
        <v>0</v>
      </c>
      <c r="Q488">
        <v>0</v>
      </c>
      <c r="R488">
        <v>0</v>
      </c>
      <c r="S488">
        <v>0</v>
      </c>
      <c r="T488">
        <v>0</v>
      </c>
      <c r="U488" s="20">
        <v>45975.108935185184</v>
      </c>
      <c r="V488" s="20">
        <v>46002.004999999997</v>
      </c>
      <c r="Y488">
        <v>0</v>
      </c>
      <c r="Z488" t="s">
        <v>1308</v>
      </c>
      <c r="AL488" t="s">
        <v>825</v>
      </c>
      <c r="AO488" t="s">
        <v>163</v>
      </c>
      <c r="AX488" t="s">
        <v>3906</v>
      </c>
    </row>
    <row r="489" spans="1:50" x14ac:dyDescent="0.25">
      <c r="A489" t="s">
        <v>828</v>
      </c>
      <c r="B489" t="s">
        <v>1168</v>
      </c>
      <c r="C489" t="s">
        <v>1618</v>
      </c>
      <c r="E489">
        <v>1</v>
      </c>
      <c r="F489">
        <v>1</v>
      </c>
      <c r="H489" t="s">
        <v>1307</v>
      </c>
      <c r="I489" t="s">
        <v>1308</v>
      </c>
      <c r="J489" t="s">
        <v>1172</v>
      </c>
      <c r="K489" t="s">
        <v>1173</v>
      </c>
      <c r="L489" t="s">
        <v>1174</v>
      </c>
      <c r="M489">
        <v>0</v>
      </c>
      <c r="N489" t="s">
        <v>50</v>
      </c>
      <c r="O489">
        <v>1</v>
      </c>
      <c r="P489">
        <v>0</v>
      </c>
      <c r="Q489">
        <v>0</v>
      </c>
      <c r="R489">
        <v>0</v>
      </c>
      <c r="S489">
        <v>0</v>
      </c>
      <c r="T489">
        <v>0</v>
      </c>
      <c r="U489" s="20">
        <v>45975.108946759261</v>
      </c>
      <c r="V489" s="20">
        <v>46002.004953703705</v>
      </c>
      <c r="Y489">
        <v>0</v>
      </c>
      <c r="Z489" t="s">
        <v>1308</v>
      </c>
      <c r="AL489" t="s">
        <v>829</v>
      </c>
      <c r="AO489" t="s">
        <v>163</v>
      </c>
      <c r="AX489" t="s">
        <v>3907</v>
      </c>
    </row>
    <row r="490" spans="1:50" x14ac:dyDescent="0.25">
      <c r="A490" t="s">
        <v>832</v>
      </c>
      <c r="B490" t="s">
        <v>1168</v>
      </c>
      <c r="C490" t="s">
        <v>1619</v>
      </c>
      <c r="E490">
        <v>1</v>
      </c>
      <c r="F490">
        <v>1</v>
      </c>
      <c r="H490" t="s">
        <v>1307</v>
      </c>
      <c r="I490" t="s">
        <v>1308</v>
      </c>
      <c r="J490" t="s">
        <v>1172</v>
      </c>
      <c r="K490" t="s">
        <v>1173</v>
      </c>
      <c r="L490" t="s">
        <v>1174</v>
      </c>
      <c r="M490">
        <v>0</v>
      </c>
      <c r="N490" t="s">
        <v>50</v>
      </c>
      <c r="O490">
        <v>1</v>
      </c>
      <c r="P490">
        <v>0</v>
      </c>
      <c r="Q490">
        <v>0</v>
      </c>
      <c r="R490">
        <v>0</v>
      </c>
      <c r="S490">
        <v>0</v>
      </c>
      <c r="T490">
        <v>0</v>
      </c>
      <c r="U490" s="20">
        <v>45975.108958333331</v>
      </c>
      <c r="V490" s="20">
        <v>46002.004988425928</v>
      </c>
      <c r="Y490">
        <v>0</v>
      </c>
      <c r="Z490" t="s">
        <v>1308</v>
      </c>
      <c r="AL490" t="s">
        <v>833</v>
      </c>
      <c r="AO490" t="s">
        <v>163</v>
      </c>
      <c r="AX490" t="s">
        <v>3908</v>
      </c>
    </row>
    <row r="491" spans="1:50" x14ac:dyDescent="0.25">
      <c r="A491" t="s">
        <v>836</v>
      </c>
      <c r="B491" t="s">
        <v>1168</v>
      </c>
      <c r="C491" t="s">
        <v>1620</v>
      </c>
      <c r="E491">
        <v>1</v>
      </c>
      <c r="F491">
        <v>1</v>
      </c>
      <c r="H491" t="s">
        <v>1307</v>
      </c>
      <c r="I491" t="s">
        <v>1308</v>
      </c>
      <c r="J491" t="s">
        <v>1172</v>
      </c>
      <c r="K491" t="s">
        <v>1173</v>
      </c>
      <c r="L491" t="s">
        <v>1174</v>
      </c>
      <c r="M491">
        <v>0</v>
      </c>
      <c r="N491" t="s">
        <v>50</v>
      </c>
      <c r="O491">
        <v>1</v>
      </c>
      <c r="P491">
        <v>0</v>
      </c>
      <c r="Q491">
        <v>0</v>
      </c>
      <c r="R491">
        <v>0</v>
      </c>
      <c r="S491">
        <v>0</v>
      </c>
      <c r="T491">
        <v>0</v>
      </c>
      <c r="U491" s="20">
        <v>45975.109027777777</v>
      </c>
      <c r="V491" s="20">
        <v>46002.004953703705</v>
      </c>
      <c r="Y491">
        <v>0</v>
      </c>
      <c r="Z491" t="s">
        <v>1308</v>
      </c>
      <c r="AL491" t="s">
        <v>837</v>
      </c>
      <c r="AO491" t="s">
        <v>163</v>
      </c>
      <c r="AX491" t="s">
        <v>3909</v>
      </c>
    </row>
    <row r="492" spans="1:50" x14ac:dyDescent="0.25">
      <c r="A492" t="s">
        <v>840</v>
      </c>
      <c r="B492" t="s">
        <v>1168</v>
      </c>
      <c r="C492" t="s">
        <v>1621</v>
      </c>
      <c r="E492">
        <v>1</v>
      </c>
      <c r="F492">
        <v>1</v>
      </c>
      <c r="H492" t="s">
        <v>1307</v>
      </c>
      <c r="I492" t="s">
        <v>1308</v>
      </c>
      <c r="J492" t="s">
        <v>1172</v>
      </c>
      <c r="K492" t="s">
        <v>1173</v>
      </c>
      <c r="L492" t="s">
        <v>1174</v>
      </c>
      <c r="M492">
        <v>0</v>
      </c>
      <c r="N492" t="s">
        <v>50</v>
      </c>
      <c r="O492">
        <v>1</v>
      </c>
      <c r="P492">
        <v>0</v>
      </c>
      <c r="Q492">
        <v>0</v>
      </c>
      <c r="R492">
        <v>0</v>
      </c>
      <c r="S492">
        <v>0</v>
      </c>
      <c r="T492">
        <v>0</v>
      </c>
      <c r="U492" s="20">
        <v>45975.130902777775</v>
      </c>
      <c r="V492" s="20">
        <v>46002.004976851851</v>
      </c>
      <c r="Y492">
        <v>0</v>
      </c>
      <c r="Z492" t="s">
        <v>1308</v>
      </c>
      <c r="AL492" t="s">
        <v>841</v>
      </c>
      <c r="AO492" t="s">
        <v>163</v>
      </c>
      <c r="AX492" t="s">
        <v>3910</v>
      </c>
    </row>
    <row r="493" spans="1:50" x14ac:dyDescent="0.25">
      <c r="A493" t="s">
        <v>844</v>
      </c>
      <c r="B493" t="s">
        <v>1168</v>
      </c>
      <c r="C493" t="s">
        <v>1622</v>
      </c>
      <c r="E493">
        <v>1</v>
      </c>
      <c r="F493">
        <v>1</v>
      </c>
      <c r="H493" t="s">
        <v>1307</v>
      </c>
      <c r="I493" t="s">
        <v>1308</v>
      </c>
      <c r="J493" t="s">
        <v>1172</v>
      </c>
      <c r="K493" t="s">
        <v>1173</v>
      </c>
      <c r="L493" t="s">
        <v>1174</v>
      </c>
      <c r="M493">
        <v>0</v>
      </c>
      <c r="N493" t="s">
        <v>50</v>
      </c>
      <c r="O493">
        <v>1</v>
      </c>
      <c r="P493">
        <v>0</v>
      </c>
      <c r="Q493">
        <v>0</v>
      </c>
      <c r="R493">
        <v>0</v>
      </c>
      <c r="S493">
        <v>0</v>
      </c>
      <c r="T493">
        <v>0</v>
      </c>
      <c r="U493" s="20">
        <v>45975.130925925929</v>
      </c>
      <c r="V493" s="20">
        <v>46002.004988425928</v>
      </c>
      <c r="Y493">
        <v>0</v>
      </c>
      <c r="Z493" t="s">
        <v>1308</v>
      </c>
      <c r="AL493" t="s">
        <v>845</v>
      </c>
      <c r="AO493" t="s">
        <v>163</v>
      </c>
      <c r="AX493" t="s">
        <v>3911</v>
      </c>
    </row>
    <row r="494" spans="1:50" x14ac:dyDescent="0.25">
      <c r="A494" t="s">
        <v>848</v>
      </c>
      <c r="B494" t="s">
        <v>1168</v>
      </c>
      <c r="C494" t="s">
        <v>1623</v>
      </c>
      <c r="E494">
        <v>1</v>
      </c>
      <c r="F494">
        <v>1</v>
      </c>
      <c r="H494" t="s">
        <v>1307</v>
      </c>
      <c r="I494" t="s">
        <v>1308</v>
      </c>
      <c r="J494" t="s">
        <v>1172</v>
      </c>
      <c r="K494" t="s">
        <v>1173</v>
      </c>
      <c r="L494" t="s">
        <v>1174</v>
      </c>
      <c r="M494">
        <v>0</v>
      </c>
      <c r="N494" t="s">
        <v>50</v>
      </c>
      <c r="O494">
        <v>1</v>
      </c>
      <c r="P494">
        <v>0</v>
      </c>
      <c r="Q494">
        <v>0</v>
      </c>
      <c r="R494">
        <v>0</v>
      </c>
      <c r="S494">
        <v>0</v>
      </c>
      <c r="T494">
        <v>0</v>
      </c>
      <c r="U494" s="20">
        <v>45975.130949074075</v>
      </c>
      <c r="V494" s="20">
        <v>46002.004976851851</v>
      </c>
      <c r="Y494">
        <v>0</v>
      </c>
      <c r="Z494" t="s">
        <v>1308</v>
      </c>
      <c r="AL494" t="s">
        <v>849</v>
      </c>
      <c r="AO494" t="s">
        <v>163</v>
      </c>
      <c r="AX494" t="s">
        <v>3912</v>
      </c>
    </row>
    <row r="495" spans="1:50" x14ac:dyDescent="0.25">
      <c r="A495" t="s">
        <v>852</v>
      </c>
      <c r="B495" t="s">
        <v>1168</v>
      </c>
      <c r="C495" t="s">
        <v>1624</v>
      </c>
      <c r="E495">
        <v>1</v>
      </c>
      <c r="F495">
        <v>1</v>
      </c>
      <c r="H495" t="s">
        <v>1307</v>
      </c>
      <c r="I495" t="s">
        <v>1308</v>
      </c>
      <c r="J495" t="s">
        <v>1172</v>
      </c>
      <c r="K495" t="s">
        <v>1173</v>
      </c>
      <c r="L495" t="s">
        <v>1174</v>
      </c>
      <c r="M495">
        <v>0</v>
      </c>
      <c r="N495" t="s">
        <v>50</v>
      </c>
      <c r="O495">
        <v>1</v>
      </c>
      <c r="P495">
        <v>0</v>
      </c>
      <c r="Q495">
        <v>0</v>
      </c>
      <c r="R495">
        <v>0</v>
      </c>
      <c r="S495">
        <v>0</v>
      </c>
      <c r="T495">
        <v>0</v>
      </c>
      <c r="U495" s="20">
        <v>45975.130960648145</v>
      </c>
      <c r="V495" s="20">
        <v>46002.004965277774</v>
      </c>
      <c r="Y495">
        <v>0</v>
      </c>
      <c r="Z495" t="s">
        <v>1308</v>
      </c>
      <c r="AL495" t="s">
        <v>853</v>
      </c>
      <c r="AO495" t="s">
        <v>163</v>
      </c>
      <c r="AX495" t="s">
        <v>3913</v>
      </c>
    </row>
    <row r="496" spans="1:50" x14ac:dyDescent="0.25">
      <c r="A496" t="s">
        <v>861</v>
      </c>
      <c r="B496" t="s">
        <v>1168</v>
      </c>
      <c r="C496" t="s">
        <v>1629</v>
      </c>
      <c r="D496" t="s">
        <v>2969</v>
      </c>
      <c r="E496">
        <v>1</v>
      </c>
      <c r="F496">
        <v>1</v>
      </c>
      <c r="H496" t="s">
        <v>1307</v>
      </c>
      <c r="I496" t="s">
        <v>1308</v>
      </c>
      <c r="J496" t="s">
        <v>1172</v>
      </c>
      <c r="K496" t="s">
        <v>1173</v>
      </c>
      <c r="L496" t="s">
        <v>1174</v>
      </c>
      <c r="M496">
        <v>0</v>
      </c>
      <c r="N496" t="s">
        <v>50</v>
      </c>
      <c r="O496">
        <v>1</v>
      </c>
      <c r="P496">
        <v>0</v>
      </c>
      <c r="Q496">
        <v>0</v>
      </c>
      <c r="R496">
        <v>0</v>
      </c>
      <c r="S496">
        <v>0</v>
      </c>
      <c r="T496">
        <v>0</v>
      </c>
      <c r="U496" s="20">
        <v>45978.850694444445</v>
      </c>
      <c r="V496" s="20">
        <v>46050.664756944447</v>
      </c>
      <c r="Y496">
        <v>0</v>
      </c>
      <c r="Z496" t="s">
        <v>1308</v>
      </c>
      <c r="AL496" t="s">
        <v>3055</v>
      </c>
      <c r="AO496" t="s">
        <v>277</v>
      </c>
      <c r="AX496" t="s">
        <v>3914</v>
      </c>
    </row>
    <row r="497" spans="1:50" x14ac:dyDescent="0.25">
      <c r="A497" t="s">
        <v>862</v>
      </c>
      <c r="B497" t="s">
        <v>1168</v>
      </c>
      <c r="C497" t="s">
        <v>1630</v>
      </c>
      <c r="D497" t="s">
        <v>2969</v>
      </c>
      <c r="E497">
        <v>1</v>
      </c>
      <c r="F497">
        <v>1</v>
      </c>
      <c r="H497" t="s">
        <v>1307</v>
      </c>
      <c r="I497" t="s">
        <v>1308</v>
      </c>
      <c r="J497" t="s">
        <v>1172</v>
      </c>
      <c r="K497" t="s">
        <v>1173</v>
      </c>
      <c r="L497" t="s">
        <v>1174</v>
      </c>
      <c r="M497">
        <v>0</v>
      </c>
      <c r="N497" t="s">
        <v>50</v>
      </c>
      <c r="O497">
        <v>1</v>
      </c>
      <c r="P497">
        <v>0</v>
      </c>
      <c r="Q497">
        <v>0</v>
      </c>
      <c r="R497">
        <v>0</v>
      </c>
      <c r="S497">
        <v>0</v>
      </c>
      <c r="T497">
        <v>0</v>
      </c>
      <c r="U497" s="20">
        <v>45978.853506944448</v>
      </c>
      <c r="V497" s="20">
        <v>46050.664907407408</v>
      </c>
      <c r="Y497">
        <v>0</v>
      </c>
      <c r="Z497" t="s">
        <v>1308</v>
      </c>
      <c r="AL497" t="s">
        <v>3402</v>
      </c>
      <c r="AO497" t="s">
        <v>277</v>
      </c>
      <c r="AX497" t="s">
        <v>3915</v>
      </c>
    </row>
    <row r="498" spans="1:50" x14ac:dyDescent="0.25">
      <c r="A498" t="s">
        <v>857</v>
      </c>
      <c r="B498" t="s">
        <v>1168</v>
      </c>
      <c r="C498" t="s">
        <v>1626</v>
      </c>
      <c r="E498">
        <v>1</v>
      </c>
      <c r="F498">
        <v>1</v>
      </c>
      <c r="H498" t="s">
        <v>1307</v>
      </c>
      <c r="I498" t="s">
        <v>1308</v>
      </c>
      <c r="J498" t="s">
        <v>1172</v>
      </c>
      <c r="K498" t="s">
        <v>1173</v>
      </c>
      <c r="L498" t="s">
        <v>1174</v>
      </c>
      <c r="M498">
        <v>0</v>
      </c>
      <c r="N498" t="s">
        <v>50</v>
      </c>
      <c r="O498">
        <v>1</v>
      </c>
      <c r="P498">
        <v>0</v>
      </c>
      <c r="Q498">
        <v>0</v>
      </c>
      <c r="R498">
        <v>0</v>
      </c>
      <c r="S498">
        <v>0</v>
      </c>
      <c r="T498">
        <v>0</v>
      </c>
      <c r="U498" s="20">
        <v>45979.743321759262</v>
      </c>
      <c r="V498" s="20">
        <v>46002.004965277774</v>
      </c>
      <c r="Y498">
        <v>0</v>
      </c>
      <c r="Z498" t="s">
        <v>1308</v>
      </c>
      <c r="AL498" t="s">
        <v>2854</v>
      </c>
      <c r="AO498" t="s">
        <v>48</v>
      </c>
      <c r="AX498" t="s">
        <v>3916</v>
      </c>
    </row>
    <row r="499" spans="1:50" x14ac:dyDescent="0.25">
      <c r="A499" t="s">
        <v>856</v>
      </c>
      <c r="B499" t="s">
        <v>1168</v>
      </c>
      <c r="C499" t="s">
        <v>1625</v>
      </c>
      <c r="E499">
        <v>1</v>
      </c>
      <c r="F499">
        <v>1</v>
      </c>
      <c r="H499" t="s">
        <v>1307</v>
      </c>
      <c r="I499" t="s">
        <v>1308</v>
      </c>
      <c r="J499" t="s">
        <v>1172</v>
      </c>
      <c r="K499" t="s">
        <v>1173</v>
      </c>
      <c r="L499" t="s">
        <v>1174</v>
      </c>
      <c r="M499">
        <v>0</v>
      </c>
      <c r="N499" t="s">
        <v>50</v>
      </c>
      <c r="O499">
        <v>1</v>
      </c>
      <c r="P499">
        <v>0</v>
      </c>
      <c r="Q499">
        <v>0</v>
      </c>
      <c r="R499">
        <v>0</v>
      </c>
      <c r="S499">
        <v>0</v>
      </c>
      <c r="T499">
        <v>0</v>
      </c>
      <c r="U499" s="20">
        <v>45980.632962962962</v>
      </c>
      <c r="V499" s="20">
        <v>46002.004988425928</v>
      </c>
      <c r="Y499">
        <v>0</v>
      </c>
      <c r="Z499" t="s">
        <v>1308</v>
      </c>
      <c r="AL499" t="s">
        <v>2850</v>
      </c>
      <c r="AO499" t="s">
        <v>48</v>
      </c>
      <c r="AX499" t="s">
        <v>3917</v>
      </c>
    </row>
    <row r="500" spans="1:50" x14ac:dyDescent="0.25">
      <c r="A500" t="s">
        <v>874</v>
      </c>
      <c r="B500" t="s">
        <v>1168</v>
      </c>
      <c r="C500" t="s">
        <v>1635</v>
      </c>
      <c r="E500">
        <v>1</v>
      </c>
      <c r="F500">
        <v>1</v>
      </c>
      <c r="H500" t="s">
        <v>1307</v>
      </c>
      <c r="I500" t="s">
        <v>1308</v>
      </c>
      <c r="J500" t="s">
        <v>1172</v>
      </c>
      <c r="K500" t="s">
        <v>1173</v>
      </c>
      <c r="L500" t="s">
        <v>1174</v>
      </c>
      <c r="M500">
        <v>0</v>
      </c>
      <c r="N500" t="s">
        <v>50</v>
      </c>
      <c r="O500">
        <v>1</v>
      </c>
      <c r="P500">
        <v>0</v>
      </c>
      <c r="Q500">
        <v>0</v>
      </c>
      <c r="R500">
        <v>0</v>
      </c>
      <c r="S500">
        <v>0</v>
      </c>
      <c r="T500">
        <v>0</v>
      </c>
      <c r="U500" s="20">
        <v>45987.96802083333</v>
      </c>
      <c r="V500" s="20">
        <v>46002.004942129628</v>
      </c>
      <c r="Y500">
        <v>0</v>
      </c>
      <c r="Z500" t="s">
        <v>1308</v>
      </c>
      <c r="AL500" t="s">
        <v>3059</v>
      </c>
      <c r="AM500" t="s">
        <v>37</v>
      </c>
      <c r="AN500" t="s">
        <v>875</v>
      </c>
      <c r="AO500" t="s">
        <v>312</v>
      </c>
      <c r="AP500" t="s">
        <v>62</v>
      </c>
      <c r="AQ500" t="s">
        <v>876</v>
      </c>
      <c r="AR500" t="s">
        <v>89</v>
      </c>
      <c r="AV500" t="s">
        <v>878</v>
      </c>
      <c r="AW500" t="s">
        <v>877</v>
      </c>
      <c r="AX500" t="s">
        <v>3918</v>
      </c>
    </row>
    <row r="501" spans="1:50" x14ac:dyDescent="0.25">
      <c r="A501" t="s">
        <v>879</v>
      </c>
      <c r="B501" t="s">
        <v>1168</v>
      </c>
      <c r="C501" t="s">
        <v>1636</v>
      </c>
      <c r="E501">
        <v>1</v>
      </c>
      <c r="F501">
        <v>1</v>
      </c>
      <c r="H501" t="s">
        <v>1307</v>
      </c>
      <c r="I501" t="s">
        <v>1308</v>
      </c>
      <c r="J501" t="s">
        <v>1172</v>
      </c>
      <c r="K501" t="s">
        <v>1173</v>
      </c>
      <c r="L501" t="s">
        <v>1174</v>
      </c>
      <c r="M501">
        <v>0</v>
      </c>
      <c r="N501" t="s">
        <v>50</v>
      </c>
      <c r="O501">
        <v>1</v>
      </c>
      <c r="P501">
        <v>0</v>
      </c>
      <c r="Q501">
        <v>0</v>
      </c>
      <c r="R501">
        <v>0</v>
      </c>
      <c r="S501">
        <v>0</v>
      </c>
      <c r="T501">
        <v>0</v>
      </c>
      <c r="U501" s="20">
        <v>45987.968136574076</v>
      </c>
      <c r="V501" s="20">
        <v>46002.004953703705</v>
      </c>
      <c r="Y501">
        <v>0</v>
      </c>
      <c r="Z501" t="s">
        <v>1308</v>
      </c>
      <c r="AL501" t="s">
        <v>3060</v>
      </c>
      <c r="AM501" t="s">
        <v>37</v>
      </c>
      <c r="AN501" t="s">
        <v>880</v>
      </c>
      <c r="AO501" t="s">
        <v>39</v>
      </c>
      <c r="AP501" t="s">
        <v>62</v>
      </c>
      <c r="AQ501" t="s">
        <v>881</v>
      </c>
      <c r="AR501" t="s">
        <v>89</v>
      </c>
      <c r="AV501" t="s">
        <v>883</v>
      </c>
      <c r="AW501" t="s">
        <v>882</v>
      </c>
      <c r="AX501" t="s">
        <v>3919</v>
      </c>
    </row>
    <row r="502" spans="1:50" x14ac:dyDescent="0.25">
      <c r="A502" t="s">
        <v>884</v>
      </c>
      <c r="B502" t="s">
        <v>1168</v>
      </c>
      <c r="C502" t="s">
        <v>1637</v>
      </c>
      <c r="E502">
        <v>1</v>
      </c>
      <c r="F502">
        <v>1</v>
      </c>
      <c r="H502" t="s">
        <v>1307</v>
      </c>
      <c r="I502" t="s">
        <v>1308</v>
      </c>
      <c r="J502" t="s">
        <v>1172</v>
      </c>
      <c r="K502" t="s">
        <v>1173</v>
      </c>
      <c r="L502" t="s">
        <v>1174</v>
      </c>
      <c r="M502">
        <v>0</v>
      </c>
      <c r="N502" t="s">
        <v>50</v>
      </c>
      <c r="O502">
        <v>1</v>
      </c>
      <c r="P502">
        <v>0</v>
      </c>
      <c r="Q502">
        <v>0</v>
      </c>
      <c r="R502">
        <v>0</v>
      </c>
      <c r="S502">
        <v>0</v>
      </c>
      <c r="T502">
        <v>0</v>
      </c>
      <c r="U502" s="20">
        <v>45987.968159722222</v>
      </c>
      <c r="V502" s="20">
        <v>46002.004953703705</v>
      </c>
      <c r="Y502">
        <v>0</v>
      </c>
      <c r="Z502" t="s">
        <v>1308</v>
      </c>
      <c r="AL502" t="s">
        <v>3061</v>
      </c>
      <c r="AM502" t="s">
        <v>37</v>
      </c>
      <c r="AN502" t="s">
        <v>885</v>
      </c>
      <c r="AO502" t="s">
        <v>312</v>
      </c>
      <c r="AP502" t="s">
        <v>62</v>
      </c>
      <c r="AQ502" t="s">
        <v>886</v>
      </c>
      <c r="AR502" t="s">
        <v>89</v>
      </c>
      <c r="AV502" t="s">
        <v>888</v>
      </c>
      <c r="AW502" t="s">
        <v>887</v>
      </c>
      <c r="AX502" t="s">
        <v>3920</v>
      </c>
    </row>
    <row r="503" spans="1:50" x14ac:dyDescent="0.25">
      <c r="A503" t="s">
        <v>889</v>
      </c>
      <c r="B503" t="s">
        <v>1168</v>
      </c>
      <c r="C503" t="s">
        <v>1638</v>
      </c>
      <c r="D503" t="s">
        <v>893</v>
      </c>
      <c r="E503">
        <v>1</v>
      </c>
      <c r="F503">
        <v>1</v>
      </c>
      <c r="H503" t="s">
        <v>1307</v>
      </c>
      <c r="I503" t="s">
        <v>1308</v>
      </c>
      <c r="J503" t="s">
        <v>1172</v>
      </c>
      <c r="K503" t="s">
        <v>1173</v>
      </c>
      <c r="L503" t="s">
        <v>1174</v>
      </c>
      <c r="M503">
        <v>0</v>
      </c>
      <c r="N503" t="s">
        <v>50</v>
      </c>
      <c r="O503">
        <v>1</v>
      </c>
      <c r="P503">
        <v>0</v>
      </c>
      <c r="Q503">
        <v>0</v>
      </c>
      <c r="R503">
        <v>0</v>
      </c>
      <c r="S503">
        <v>0</v>
      </c>
      <c r="T503">
        <v>0</v>
      </c>
      <c r="U503" s="20">
        <v>45987.968182870369</v>
      </c>
      <c r="V503" s="20">
        <v>46002.004942129628</v>
      </c>
      <c r="Y503">
        <v>0</v>
      </c>
      <c r="Z503" t="s">
        <v>1308</v>
      </c>
      <c r="AL503" t="s">
        <v>2861</v>
      </c>
      <c r="AM503" t="s">
        <v>37</v>
      </c>
      <c r="AN503" t="s">
        <v>890</v>
      </c>
      <c r="AO503" t="s">
        <v>312</v>
      </c>
      <c r="AP503" t="s">
        <v>62</v>
      </c>
      <c r="AQ503" t="s">
        <v>2933</v>
      </c>
      <c r="AR503" t="s">
        <v>89</v>
      </c>
      <c r="AV503" t="s">
        <v>892</v>
      </c>
      <c r="AW503" t="s">
        <v>891</v>
      </c>
      <c r="AX503" t="s">
        <v>3921</v>
      </c>
    </row>
    <row r="504" spans="1:50" x14ac:dyDescent="0.25">
      <c r="A504" t="s">
        <v>894</v>
      </c>
      <c r="B504" t="s">
        <v>1168</v>
      </c>
      <c r="C504" t="s">
        <v>1639</v>
      </c>
      <c r="E504">
        <v>1</v>
      </c>
      <c r="F504">
        <v>1</v>
      </c>
      <c r="H504" t="s">
        <v>1307</v>
      </c>
      <c r="I504" t="s">
        <v>1308</v>
      </c>
      <c r="J504" t="s">
        <v>1172</v>
      </c>
      <c r="K504" t="s">
        <v>1173</v>
      </c>
      <c r="L504" t="s">
        <v>1174</v>
      </c>
      <c r="M504">
        <v>0</v>
      </c>
      <c r="N504" t="s">
        <v>50</v>
      </c>
      <c r="O504">
        <v>1</v>
      </c>
      <c r="P504">
        <v>0</v>
      </c>
      <c r="Q504">
        <v>0</v>
      </c>
      <c r="R504">
        <v>0</v>
      </c>
      <c r="S504">
        <v>0</v>
      </c>
      <c r="T504">
        <v>0</v>
      </c>
      <c r="U504" s="20">
        <v>45987.968194444446</v>
      </c>
      <c r="V504" s="20">
        <v>46002.004976851851</v>
      </c>
      <c r="Y504">
        <v>0</v>
      </c>
      <c r="Z504" t="s">
        <v>1308</v>
      </c>
      <c r="AL504" t="s">
        <v>3062</v>
      </c>
      <c r="AM504" t="s">
        <v>37</v>
      </c>
      <c r="AN504" t="s">
        <v>895</v>
      </c>
      <c r="AO504" t="s">
        <v>312</v>
      </c>
      <c r="AP504" t="s">
        <v>62</v>
      </c>
      <c r="AQ504" t="s">
        <v>896</v>
      </c>
      <c r="AR504" t="s">
        <v>89</v>
      </c>
      <c r="AV504" t="s">
        <v>898</v>
      </c>
      <c r="AW504" t="s">
        <v>897</v>
      </c>
      <c r="AX504" t="s">
        <v>3922</v>
      </c>
    </row>
    <row r="505" spans="1:50" x14ac:dyDescent="0.25">
      <c r="A505" t="s">
        <v>899</v>
      </c>
      <c r="B505" t="s">
        <v>1168</v>
      </c>
      <c r="C505" t="s">
        <v>1640</v>
      </c>
      <c r="E505">
        <v>1</v>
      </c>
      <c r="F505">
        <v>1</v>
      </c>
      <c r="H505" t="s">
        <v>1307</v>
      </c>
      <c r="I505" t="s">
        <v>1308</v>
      </c>
      <c r="J505" t="s">
        <v>1172</v>
      </c>
      <c r="K505" t="s">
        <v>1173</v>
      </c>
      <c r="L505" t="s">
        <v>1174</v>
      </c>
      <c r="M505">
        <v>0</v>
      </c>
      <c r="N505" t="s">
        <v>50</v>
      </c>
      <c r="O505">
        <v>1</v>
      </c>
      <c r="P505">
        <v>0</v>
      </c>
      <c r="Q505">
        <v>0</v>
      </c>
      <c r="R505">
        <v>0</v>
      </c>
      <c r="S505">
        <v>0</v>
      </c>
      <c r="T505">
        <v>0</v>
      </c>
      <c r="U505" s="20">
        <v>45987.968240740738</v>
      </c>
      <c r="V505" s="20">
        <v>46002.004942129628</v>
      </c>
      <c r="Y505">
        <v>0</v>
      </c>
      <c r="Z505" t="s">
        <v>1308</v>
      </c>
      <c r="AL505" t="s">
        <v>2862</v>
      </c>
      <c r="AM505" t="s">
        <v>37</v>
      </c>
      <c r="AN505" t="s">
        <v>885</v>
      </c>
      <c r="AO505" t="s">
        <v>39</v>
      </c>
      <c r="AP505" t="s">
        <v>62</v>
      </c>
      <c r="AQ505" t="s">
        <v>2934</v>
      </c>
      <c r="AR505" t="s">
        <v>89</v>
      </c>
      <c r="AV505" t="s">
        <v>901</v>
      </c>
      <c r="AW505" t="s">
        <v>900</v>
      </c>
      <c r="AX505" t="s">
        <v>3923</v>
      </c>
    </row>
    <row r="506" spans="1:50" x14ac:dyDescent="0.25">
      <c r="A506" t="s">
        <v>903</v>
      </c>
      <c r="B506" t="s">
        <v>1168</v>
      </c>
      <c r="C506" t="s">
        <v>1641</v>
      </c>
      <c r="E506">
        <v>1</v>
      </c>
      <c r="F506">
        <v>1</v>
      </c>
      <c r="H506" t="s">
        <v>1307</v>
      </c>
      <c r="I506" t="s">
        <v>1308</v>
      </c>
      <c r="J506" t="s">
        <v>1172</v>
      </c>
      <c r="K506" t="s">
        <v>1173</v>
      </c>
      <c r="L506" t="s">
        <v>1174</v>
      </c>
      <c r="M506">
        <v>0</v>
      </c>
      <c r="N506" t="s">
        <v>50</v>
      </c>
      <c r="O506">
        <v>1</v>
      </c>
      <c r="P506">
        <v>0</v>
      </c>
      <c r="Q506">
        <v>0</v>
      </c>
      <c r="R506">
        <v>0</v>
      </c>
      <c r="S506">
        <v>0</v>
      </c>
      <c r="T506">
        <v>0</v>
      </c>
      <c r="U506" s="20">
        <v>45987.968263888892</v>
      </c>
      <c r="V506" s="20">
        <v>46002.004930555559</v>
      </c>
      <c r="Y506">
        <v>0</v>
      </c>
      <c r="Z506" t="s">
        <v>1308</v>
      </c>
      <c r="AL506" t="s">
        <v>3063</v>
      </c>
      <c r="AM506" t="s">
        <v>37</v>
      </c>
      <c r="AN506" t="s">
        <v>904</v>
      </c>
      <c r="AO506" t="s">
        <v>312</v>
      </c>
      <c r="AP506" t="s">
        <v>62</v>
      </c>
      <c r="AQ506" t="s">
        <v>905</v>
      </c>
      <c r="AR506" t="s">
        <v>89</v>
      </c>
      <c r="AV506" t="s">
        <v>907</v>
      </c>
      <c r="AW506" t="s">
        <v>906</v>
      </c>
      <c r="AX506" t="s">
        <v>3924</v>
      </c>
    </row>
    <row r="507" spans="1:50" x14ac:dyDescent="0.25">
      <c r="A507" t="s">
        <v>908</v>
      </c>
      <c r="B507" t="s">
        <v>1168</v>
      </c>
      <c r="C507" t="s">
        <v>1642</v>
      </c>
      <c r="E507">
        <v>1</v>
      </c>
      <c r="F507">
        <v>1</v>
      </c>
      <c r="H507" t="s">
        <v>1307</v>
      </c>
      <c r="I507" t="s">
        <v>1308</v>
      </c>
      <c r="J507" t="s">
        <v>1172</v>
      </c>
      <c r="K507" t="s">
        <v>1173</v>
      </c>
      <c r="L507" t="s">
        <v>1174</v>
      </c>
      <c r="M507">
        <v>0</v>
      </c>
      <c r="N507" t="s">
        <v>50</v>
      </c>
      <c r="O507">
        <v>1</v>
      </c>
      <c r="P507">
        <v>0</v>
      </c>
      <c r="Q507">
        <v>0</v>
      </c>
      <c r="R507">
        <v>0</v>
      </c>
      <c r="S507">
        <v>0</v>
      </c>
      <c r="T507">
        <v>0</v>
      </c>
      <c r="U507" s="20">
        <v>45987.968275462961</v>
      </c>
      <c r="V507" s="20">
        <v>46002.004942129628</v>
      </c>
      <c r="Y507">
        <v>0</v>
      </c>
      <c r="Z507" t="s">
        <v>1308</v>
      </c>
      <c r="AL507" t="s">
        <v>2863</v>
      </c>
      <c r="AM507" t="s">
        <v>37</v>
      </c>
      <c r="AN507" t="s">
        <v>885</v>
      </c>
      <c r="AO507" t="s">
        <v>39</v>
      </c>
      <c r="AP507" t="s">
        <v>62</v>
      </c>
      <c r="AQ507" t="s">
        <v>2935</v>
      </c>
      <c r="AR507" t="s">
        <v>89</v>
      </c>
      <c r="AV507" t="s">
        <v>910</v>
      </c>
      <c r="AW507" t="s">
        <v>909</v>
      </c>
      <c r="AX507" t="s">
        <v>3925</v>
      </c>
    </row>
    <row r="508" spans="1:50" x14ac:dyDescent="0.25">
      <c r="A508" t="s">
        <v>912</v>
      </c>
      <c r="B508" t="s">
        <v>1168</v>
      </c>
      <c r="C508" t="s">
        <v>1643</v>
      </c>
      <c r="E508">
        <v>1</v>
      </c>
      <c r="F508">
        <v>1</v>
      </c>
      <c r="H508" t="s">
        <v>1307</v>
      </c>
      <c r="I508" t="s">
        <v>1308</v>
      </c>
      <c r="J508" t="s">
        <v>1172</v>
      </c>
      <c r="K508" t="s">
        <v>1173</v>
      </c>
      <c r="L508" t="s">
        <v>1174</v>
      </c>
      <c r="M508">
        <v>0</v>
      </c>
      <c r="N508" t="s">
        <v>50</v>
      </c>
      <c r="O508">
        <v>1</v>
      </c>
      <c r="P508">
        <v>0</v>
      </c>
      <c r="Q508">
        <v>0</v>
      </c>
      <c r="R508">
        <v>0</v>
      </c>
      <c r="S508">
        <v>0</v>
      </c>
      <c r="T508">
        <v>0</v>
      </c>
      <c r="U508" s="20">
        <v>45987.968298611115</v>
      </c>
      <c r="V508" s="20">
        <v>46002.004965277774</v>
      </c>
      <c r="Y508">
        <v>0</v>
      </c>
      <c r="Z508" t="s">
        <v>1308</v>
      </c>
      <c r="AL508" t="s">
        <v>2864</v>
      </c>
      <c r="AM508" t="s">
        <v>37</v>
      </c>
      <c r="AN508" t="s">
        <v>895</v>
      </c>
      <c r="AO508" t="s">
        <v>48</v>
      </c>
      <c r="AP508" t="s">
        <v>62</v>
      </c>
      <c r="AQ508" t="s">
        <v>2936</v>
      </c>
      <c r="AR508" t="s">
        <v>89</v>
      </c>
      <c r="AV508" t="s">
        <v>914</v>
      </c>
      <c r="AW508" t="s">
        <v>913</v>
      </c>
      <c r="AX508" t="s">
        <v>3926</v>
      </c>
    </row>
    <row r="509" spans="1:50" x14ac:dyDescent="0.25">
      <c r="A509" t="s">
        <v>915</v>
      </c>
      <c r="B509" t="s">
        <v>1168</v>
      </c>
      <c r="C509" t="s">
        <v>1644</v>
      </c>
      <c r="D509" t="s">
        <v>3231</v>
      </c>
      <c r="E509">
        <v>1</v>
      </c>
      <c r="F509">
        <v>1</v>
      </c>
      <c r="H509" t="s">
        <v>1307</v>
      </c>
      <c r="I509" t="s">
        <v>1308</v>
      </c>
      <c r="J509" t="s">
        <v>1172</v>
      </c>
      <c r="K509" t="s">
        <v>1173</v>
      </c>
      <c r="L509" t="s">
        <v>1174</v>
      </c>
      <c r="M509">
        <v>0</v>
      </c>
      <c r="N509" t="s">
        <v>50</v>
      </c>
      <c r="O509">
        <v>1</v>
      </c>
      <c r="P509">
        <v>0</v>
      </c>
      <c r="Q509">
        <v>0</v>
      </c>
      <c r="R509">
        <v>0</v>
      </c>
      <c r="S509">
        <v>0</v>
      </c>
      <c r="T509">
        <v>0</v>
      </c>
      <c r="U509" s="20">
        <v>45987.968310185184</v>
      </c>
      <c r="V509" s="20">
        <v>46077.99322916667</v>
      </c>
      <c r="Y509">
        <v>0</v>
      </c>
      <c r="Z509" t="s">
        <v>1308</v>
      </c>
      <c r="AL509" t="s">
        <v>2865</v>
      </c>
      <c r="AM509" t="s">
        <v>37</v>
      </c>
      <c r="AN509" t="s">
        <v>281</v>
      </c>
      <c r="AO509" t="s">
        <v>48</v>
      </c>
      <c r="AP509" t="s">
        <v>62</v>
      </c>
      <c r="AQ509" t="s">
        <v>2932</v>
      </c>
      <c r="AR509" t="s">
        <v>89</v>
      </c>
      <c r="AV509" t="s">
        <v>3390</v>
      </c>
      <c r="AW509" t="s">
        <v>3223</v>
      </c>
      <c r="AX509" t="s">
        <v>3927</v>
      </c>
    </row>
    <row r="510" spans="1:50" x14ac:dyDescent="0.25">
      <c r="A510" t="s">
        <v>916</v>
      </c>
      <c r="B510" t="s">
        <v>1168</v>
      </c>
      <c r="C510" t="s">
        <v>1645</v>
      </c>
      <c r="E510">
        <v>1</v>
      </c>
      <c r="F510">
        <v>1</v>
      </c>
      <c r="H510" t="s">
        <v>1307</v>
      </c>
      <c r="I510" t="s">
        <v>1308</v>
      </c>
      <c r="J510" t="s">
        <v>1172</v>
      </c>
      <c r="K510" t="s">
        <v>1173</v>
      </c>
      <c r="L510" t="s">
        <v>1174</v>
      </c>
      <c r="M510">
        <v>0</v>
      </c>
      <c r="N510" t="s">
        <v>50</v>
      </c>
      <c r="O510">
        <v>1</v>
      </c>
      <c r="P510">
        <v>0</v>
      </c>
      <c r="Q510">
        <v>0</v>
      </c>
      <c r="R510">
        <v>0</v>
      </c>
      <c r="S510">
        <v>0</v>
      </c>
      <c r="T510">
        <v>0</v>
      </c>
      <c r="U510" s="20">
        <v>45987.968333333331</v>
      </c>
      <c r="V510" s="20">
        <v>46002.004999999997</v>
      </c>
      <c r="Y510">
        <v>0</v>
      </c>
      <c r="Z510" t="s">
        <v>1308</v>
      </c>
      <c r="AL510" t="s">
        <v>2866</v>
      </c>
      <c r="AM510" t="s">
        <v>37</v>
      </c>
      <c r="AN510" t="s">
        <v>46</v>
      </c>
      <c r="AO510" t="s">
        <v>312</v>
      </c>
      <c r="AP510" t="s">
        <v>62</v>
      </c>
      <c r="AQ510" t="s">
        <v>917</v>
      </c>
      <c r="AR510" t="s">
        <v>89</v>
      </c>
      <c r="AV510" t="s">
        <v>919</v>
      </c>
      <c r="AW510" t="s">
        <v>918</v>
      </c>
      <c r="AX510" t="s">
        <v>3928</v>
      </c>
    </row>
    <row r="511" spans="1:50" x14ac:dyDescent="0.25">
      <c r="A511" t="s">
        <v>920</v>
      </c>
      <c r="B511" t="s">
        <v>1168</v>
      </c>
      <c r="C511" t="s">
        <v>1646</v>
      </c>
      <c r="D511" t="s">
        <v>2488</v>
      </c>
      <c r="E511">
        <v>1</v>
      </c>
      <c r="F511">
        <v>1</v>
      </c>
      <c r="H511" t="s">
        <v>1307</v>
      </c>
      <c r="I511" t="s">
        <v>1308</v>
      </c>
      <c r="J511" t="s">
        <v>1172</v>
      </c>
      <c r="K511" t="s">
        <v>1173</v>
      </c>
      <c r="L511" t="s">
        <v>1174</v>
      </c>
      <c r="M511">
        <v>0</v>
      </c>
      <c r="N511" t="s">
        <v>41</v>
      </c>
      <c r="O511">
        <v>1</v>
      </c>
      <c r="P511">
        <v>0</v>
      </c>
      <c r="Q511">
        <v>0</v>
      </c>
      <c r="R511">
        <v>0</v>
      </c>
      <c r="S511">
        <v>0</v>
      </c>
      <c r="T511">
        <v>0</v>
      </c>
      <c r="U511" s="20">
        <v>45987.968344907407</v>
      </c>
      <c r="V511" s="20">
        <v>46030.0546875</v>
      </c>
      <c r="Y511">
        <v>0</v>
      </c>
      <c r="Z511" t="s">
        <v>1308</v>
      </c>
      <c r="AL511" t="s">
        <v>2867</v>
      </c>
      <c r="AM511" t="s">
        <v>37</v>
      </c>
      <c r="AN511" t="s">
        <v>46</v>
      </c>
      <c r="AO511" t="s">
        <v>48</v>
      </c>
      <c r="AP511" t="s">
        <v>95</v>
      </c>
      <c r="AQ511" t="s">
        <v>921</v>
      </c>
      <c r="AR511" t="s">
        <v>89</v>
      </c>
      <c r="AV511" t="s">
        <v>923</v>
      </c>
      <c r="AW511" t="s">
        <v>922</v>
      </c>
      <c r="AX511" t="s">
        <v>3929</v>
      </c>
    </row>
    <row r="512" spans="1:50" x14ac:dyDescent="0.25">
      <c r="A512" t="s">
        <v>924</v>
      </c>
      <c r="B512" t="s">
        <v>1168</v>
      </c>
      <c r="C512" t="s">
        <v>1647</v>
      </c>
      <c r="E512">
        <v>1</v>
      </c>
      <c r="F512">
        <v>1</v>
      </c>
      <c r="H512" t="s">
        <v>1307</v>
      </c>
      <c r="I512" t="s">
        <v>1308</v>
      </c>
      <c r="J512" t="s">
        <v>1172</v>
      </c>
      <c r="K512" t="s">
        <v>1173</v>
      </c>
      <c r="L512" t="s">
        <v>1174</v>
      </c>
      <c r="M512">
        <v>0</v>
      </c>
      <c r="N512" t="s">
        <v>50</v>
      </c>
      <c r="O512">
        <v>1</v>
      </c>
      <c r="P512">
        <v>0</v>
      </c>
      <c r="Q512">
        <v>0</v>
      </c>
      <c r="R512">
        <v>0</v>
      </c>
      <c r="S512">
        <v>0</v>
      </c>
      <c r="T512">
        <v>0</v>
      </c>
      <c r="U512" s="20">
        <v>45987.968356481484</v>
      </c>
      <c r="V512" s="20">
        <v>46002.004999999997</v>
      </c>
      <c r="Y512">
        <v>0</v>
      </c>
      <c r="Z512" t="s">
        <v>1308</v>
      </c>
      <c r="AL512" t="s">
        <v>2868</v>
      </c>
      <c r="AM512" t="s">
        <v>37</v>
      </c>
      <c r="AN512" t="s">
        <v>386</v>
      </c>
      <c r="AO512" t="s">
        <v>48</v>
      </c>
      <c r="AP512" t="s">
        <v>62</v>
      </c>
      <c r="AQ512" t="s">
        <v>925</v>
      </c>
      <c r="AR512" t="s">
        <v>89</v>
      </c>
      <c r="AV512" t="s">
        <v>927</v>
      </c>
      <c r="AW512" t="s">
        <v>926</v>
      </c>
      <c r="AX512" t="s">
        <v>3930</v>
      </c>
    </row>
    <row r="513" spans="1:50" x14ac:dyDescent="0.25">
      <c r="A513" t="s">
        <v>928</v>
      </c>
      <c r="B513" t="s">
        <v>1168</v>
      </c>
      <c r="C513" t="s">
        <v>1648</v>
      </c>
      <c r="D513" t="s">
        <v>3292</v>
      </c>
      <c r="E513">
        <v>1</v>
      </c>
      <c r="F513">
        <v>1</v>
      </c>
      <c r="H513" t="s">
        <v>1307</v>
      </c>
      <c r="I513" t="s">
        <v>1308</v>
      </c>
      <c r="J513" t="s">
        <v>1172</v>
      </c>
      <c r="K513" t="s">
        <v>1173</v>
      </c>
      <c r="L513" t="s">
        <v>1174</v>
      </c>
      <c r="M513">
        <v>0</v>
      </c>
      <c r="N513" t="s">
        <v>50</v>
      </c>
      <c r="O513">
        <v>1</v>
      </c>
      <c r="P513">
        <v>0</v>
      </c>
      <c r="Q513">
        <v>0</v>
      </c>
      <c r="R513">
        <v>0</v>
      </c>
      <c r="S513">
        <v>0</v>
      </c>
      <c r="T513">
        <v>0</v>
      </c>
      <c r="U513" s="20">
        <v>45989.652222222219</v>
      </c>
      <c r="V513" s="20">
        <v>46077.993217592593</v>
      </c>
      <c r="Y513">
        <v>0</v>
      </c>
      <c r="Z513" t="s">
        <v>1308</v>
      </c>
      <c r="AL513" t="s">
        <v>2869</v>
      </c>
      <c r="AM513" t="s">
        <v>86</v>
      </c>
      <c r="AN513" t="s">
        <v>120</v>
      </c>
      <c r="AO513" t="s">
        <v>312</v>
      </c>
      <c r="AP513" t="s">
        <v>62</v>
      </c>
      <c r="AQ513" t="s">
        <v>929</v>
      </c>
      <c r="AR513" t="s">
        <v>89</v>
      </c>
      <c r="AV513" t="s">
        <v>155</v>
      </c>
      <c r="AW513" t="s">
        <v>930</v>
      </c>
      <c r="AX513" t="s">
        <v>3931</v>
      </c>
    </row>
    <row r="514" spans="1:50" x14ac:dyDescent="0.25">
      <c r="A514" t="s">
        <v>931</v>
      </c>
      <c r="B514" t="s">
        <v>1168</v>
      </c>
      <c r="C514" t="s">
        <v>1649</v>
      </c>
      <c r="D514" t="s">
        <v>936</v>
      </c>
      <c r="E514">
        <v>1</v>
      </c>
      <c r="F514">
        <v>1</v>
      </c>
      <c r="H514" t="s">
        <v>1307</v>
      </c>
      <c r="I514" t="s">
        <v>1308</v>
      </c>
      <c r="J514" t="s">
        <v>1172</v>
      </c>
      <c r="K514" t="s">
        <v>1173</v>
      </c>
      <c r="L514" t="s">
        <v>1174</v>
      </c>
      <c r="M514">
        <v>0</v>
      </c>
      <c r="N514" t="s">
        <v>50</v>
      </c>
      <c r="O514">
        <v>1</v>
      </c>
      <c r="P514">
        <v>0</v>
      </c>
      <c r="Q514">
        <v>0</v>
      </c>
      <c r="R514">
        <v>0</v>
      </c>
      <c r="S514">
        <v>0</v>
      </c>
      <c r="T514">
        <v>0</v>
      </c>
      <c r="U514" s="20">
        <v>45994.49591435185</v>
      </c>
      <c r="V514" s="20">
        <v>46002.004953703705</v>
      </c>
      <c r="Y514">
        <v>0</v>
      </c>
      <c r="Z514" t="s">
        <v>1308</v>
      </c>
      <c r="AL514" t="s">
        <v>2871</v>
      </c>
      <c r="AM514" t="s">
        <v>37</v>
      </c>
      <c r="AN514" t="s">
        <v>932</v>
      </c>
      <c r="AO514" t="s">
        <v>48</v>
      </c>
      <c r="AP514" t="s">
        <v>62</v>
      </c>
      <c r="AQ514" t="s">
        <v>933</v>
      </c>
      <c r="AR514" t="s">
        <v>89</v>
      </c>
      <c r="AV514" t="s">
        <v>935</v>
      </c>
      <c r="AW514" t="s">
        <v>934</v>
      </c>
      <c r="AX514" t="s">
        <v>3932</v>
      </c>
    </row>
    <row r="515" spans="1:50" x14ac:dyDescent="0.25">
      <c r="A515" t="s">
        <v>937</v>
      </c>
      <c r="B515" t="s">
        <v>1168</v>
      </c>
      <c r="C515" t="s">
        <v>1650</v>
      </c>
      <c r="D515" t="s">
        <v>942</v>
      </c>
      <c r="E515">
        <v>1</v>
      </c>
      <c r="F515">
        <v>1</v>
      </c>
      <c r="H515" t="s">
        <v>1307</v>
      </c>
      <c r="I515" t="s">
        <v>1308</v>
      </c>
      <c r="J515" t="s">
        <v>1172</v>
      </c>
      <c r="K515" t="s">
        <v>1173</v>
      </c>
      <c r="L515" t="s">
        <v>1174</v>
      </c>
      <c r="M515">
        <v>0</v>
      </c>
      <c r="N515" t="s">
        <v>50</v>
      </c>
      <c r="O515">
        <v>1</v>
      </c>
      <c r="P515">
        <v>0</v>
      </c>
      <c r="Q515">
        <v>0</v>
      </c>
      <c r="R515">
        <v>0</v>
      </c>
      <c r="S515">
        <v>0</v>
      </c>
      <c r="T515">
        <v>0</v>
      </c>
      <c r="U515" s="20">
        <v>45994.495995370373</v>
      </c>
      <c r="V515" s="20">
        <v>46002.004942129628</v>
      </c>
      <c r="Y515">
        <v>0</v>
      </c>
      <c r="Z515" t="s">
        <v>1308</v>
      </c>
      <c r="AL515" t="s">
        <v>2872</v>
      </c>
      <c r="AM515" t="s">
        <v>37</v>
      </c>
      <c r="AN515" t="s">
        <v>938</v>
      </c>
      <c r="AO515" t="s">
        <v>48</v>
      </c>
      <c r="AP515" t="s">
        <v>62</v>
      </c>
      <c r="AQ515" t="s">
        <v>939</v>
      </c>
      <c r="AR515" t="s">
        <v>73</v>
      </c>
      <c r="AV515" t="s">
        <v>941</v>
      </c>
      <c r="AW515" t="s">
        <v>940</v>
      </c>
      <c r="AX515" t="s">
        <v>3933</v>
      </c>
    </row>
    <row r="516" spans="1:50" x14ac:dyDescent="0.25">
      <c r="A516" t="s">
        <v>943</v>
      </c>
      <c r="B516" t="s">
        <v>1168</v>
      </c>
      <c r="C516" t="s">
        <v>1651</v>
      </c>
      <c r="D516" t="s">
        <v>3391</v>
      </c>
      <c r="E516">
        <v>1</v>
      </c>
      <c r="F516">
        <v>1</v>
      </c>
      <c r="H516" t="s">
        <v>1307</v>
      </c>
      <c r="I516" t="s">
        <v>1308</v>
      </c>
      <c r="J516" t="s">
        <v>1172</v>
      </c>
      <c r="K516" t="s">
        <v>1173</v>
      </c>
      <c r="L516" t="s">
        <v>1174</v>
      </c>
      <c r="M516">
        <v>0</v>
      </c>
      <c r="N516" t="s">
        <v>50</v>
      </c>
      <c r="O516">
        <v>1</v>
      </c>
      <c r="P516">
        <v>0</v>
      </c>
      <c r="Q516">
        <v>0</v>
      </c>
      <c r="R516">
        <v>0</v>
      </c>
      <c r="S516">
        <v>0</v>
      </c>
      <c r="T516">
        <v>0</v>
      </c>
      <c r="U516" s="20">
        <v>45994.496053240742</v>
      </c>
      <c r="V516" s="20">
        <v>46077.993217592593</v>
      </c>
      <c r="Y516">
        <v>0</v>
      </c>
      <c r="Z516" t="s">
        <v>1308</v>
      </c>
      <c r="AL516" t="s">
        <v>2873</v>
      </c>
      <c r="AM516" t="s">
        <v>37</v>
      </c>
      <c r="AN516" t="s">
        <v>944</v>
      </c>
      <c r="AO516" t="s">
        <v>48</v>
      </c>
      <c r="AP516" t="s">
        <v>62</v>
      </c>
      <c r="AQ516" t="s">
        <v>945</v>
      </c>
      <c r="AR516" t="s">
        <v>89</v>
      </c>
      <c r="AV516" t="s">
        <v>947</v>
      </c>
      <c r="AW516" t="s">
        <v>946</v>
      </c>
      <c r="AX516" t="s">
        <v>3934</v>
      </c>
    </row>
    <row r="517" spans="1:50" x14ac:dyDescent="0.25">
      <c r="A517" t="s">
        <v>948</v>
      </c>
      <c r="B517" t="s">
        <v>1168</v>
      </c>
      <c r="C517" t="s">
        <v>1652</v>
      </c>
      <c r="D517" t="s">
        <v>952</v>
      </c>
      <c r="E517">
        <v>1</v>
      </c>
      <c r="F517">
        <v>1</v>
      </c>
      <c r="H517" t="s">
        <v>1307</v>
      </c>
      <c r="I517" t="s">
        <v>1308</v>
      </c>
      <c r="J517" t="s">
        <v>1172</v>
      </c>
      <c r="K517" t="s">
        <v>1173</v>
      </c>
      <c r="L517" t="s">
        <v>1174</v>
      </c>
      <c r="M517">
        <v>0</v>
      </c>
      <c r="N517" t="s">
        <v>50</v>
      </c>
      <c r="O517">
        <v>1</v>
      </c>
      <c r="P517">
        <v>0</v>
      </c>
      <c r="Q517">
        <v>0</v>
      </c>
      <c r="R517">
        <v>0</v>
      </c>
      <c r="S517">
        <v>0</v>
      </c>
      <c r="T517">
        <v>0</v>
      </c>
      <c r="U517" s="20">
        <v>45994.496087962965</v>
      </c>
      <c r="V517" s="20">
        <v>46002.004976851851</v>
      </c>
      <c r="Y517">
        <v>0</v>
      </c>
      <c r="Z517" t="s">
        <v>1308</v>
      </c>
      <c r="AL517" t="s">
        <v>2875</v>
      </c>
      <c r="AM517" t="s">
        <v>37</v>
      </c>
      <c r="AN517" t="s">
        <v>938</v>
      </c>
      <c r="AO517" t="s">
        <v>48</v>
      </c>
      <c r="AP517" t="s">
        <v>62</v>
      </c>
      <c r="AQ517" t="s">
        <v>949</v>
      </c>
      <c r="AR517" t="s">
        <v>89</v>
      </c>
      <c r="AV517" t="s">
        <v>951</v>
      </c>
      <c r="AW517" t="s">
        <v>950</v>
      </c>
      <c r="AX517" t="s">
        <v>3935</v>
      </c>
    </row>
    <row r="518" spans="1:50" x14ac:dyDescent="0.25">
      <c r="A518" t="s">
        <v>953</v>
      </c>
      <c r="B518" t="s">
        <v>1168</v>
      </c>
      <c r="C518" t="s">
        <v>1653</v>
      </c>
      <c r="E518">
        <v>1</v>
      </c>
      <c r="F518">
        <v>1</v>
      </c>
      <c r="H518" t="s">
        <v>1307</v>
      </c>
      <c r="I518" t="s">
        <v>1308</v>
      </c>
      <c r="J518" t="s">
        <v>1172</v>
      </c>
      <c r="K518" t="s">
        <v>1173</v>
      </c>
      <c r="L518" t="s">
        <v>1174</v>
      </c>
      <c r="M518">
        <v>0</v>
      </c>
      <c r="N518" t="s">
        <v>50</v>
      </c>
      <c r="O518">
        <v>1</v>
      </c>
      <c r="P518">
        <v>0</v>
      </c>
      <c r="Q518">
        <v>0</v>
      </c>
      <c r="R518">
        <v>0</v>
      </c>
      <c r="S518">
        <v>0</v>
      </c>
      <c r="T518">
        <v>0</v>
      </c>
      <c r="U518" s="20">
        <v>46000.902187500003</v>
      </c>
      <c r="V518" s="20">
        <v>46002.032951388886</v>
      </c>
      <c r="Y518">
        <v>0</v>
      </c>
      <c r="Z518" t="s">
        <v>1308</v>
      </c>
      <c r="AL518" t="s">
        <v>2876</v>
      </c>
      <c r="AO518" t="s">
        <v>48</v>
      </c>
      <c r="AP518" t="s">
        <v>62</v>
      </c>
      <c r="AQ518" t="s">
        <v>954</v>
      </c>
      <c r="AR518" t="s">
        <v>89</v>
      </c>
      <c r="AV518" t="s">
        <v>3392</v>
      </c>
      <c r="AW518" t="s">
        <v>955</v>
      </c>
      <c r="AX518" t="s">
        <v>3936</v>
      </c>
    </row>
    <row r="519" spans="1:50" x14ac:dyDescent="0.25">
      <c r="A519" t="s">
        <v>958</v>
      </c>
      <c r="B519" t="s">
        <v>1168</v>
      </c>
      <c r="C519" t="s">
        <v>1655</v>
      </c>
      <c r="D519" t="s">
        <v>3231</v>
      </c>
      <c r="E519">
        <v>1</v>
      </c>
      <c r="F519">
        <v>1</v>
      </c>
      <c r="H519" t="s">
        <v>1307</v>
      </c>
      <c r="I519" t="s">
        <v>1308</v>
      </c>
      <c r="J519" t="s">
        <v>1172</v>
      </c>
      <c r="K519" t="s">
        <v>1173</v>
      </c>
      <c r="L519" t="s">
        <v>1174</v>
      </c>
      <c r="M519">
        <v>0</v>
      </c>
      <c r="N519" t="s">
        <v>50</v>
      </c>
      <c r="O519">
        <v>1</v>
      </c>
      <c r="P519">
        <v>0</v>
      </c>
      <c r="Q519">
        <v>0</v>
      </c>
      <c r="R519">
        <v>0</v>
      </c>
      <c r="S519">
        <v>0</v>
      </c>
      <c r="T519">
        <v>0</v>
      </c>
      <c r="U519" s="20">
        <v>46000.902256944442</v>
      </c>
      <c r="V519" s="20">
        <v>46077.993217592593</v>
      </c>
      <c r="Y519">
        <v>0</v>
      </c>
      <c r="Z519" t="s">
        <v>1308</v>
      </c>
      <c r="AL519" t="s">
        <v>3065</v>
      </c>
      <c r="AO519" t="s">
        <v>48</v>
      </c>
      <c r="AP519" t="s">
        <v>62</v>
      </c>
      <c r="AQ519" t="s">
        <v>3072</v>
      </c>
      <c r="AR519" t="s">
        <v>89</v>
      </c>
      <c r="AV519" t="s">
        <v>3416</v>
      </c>
      <c r="AW519" t="s">
        <v>3225</v>
      </c>
      <c r="AX519" t="s">
        <v>3937</v>
      </c>
    </row>
    <row r="520" spans="1:50" x14ac:dyDescent="0.25">
      <c r="A520" t="s">
        <v>956</v>
      </c>
      <c r="B520" t="s">
        <v>1168</v>
      </c>
      <c r="C520" t="s">
        <v>1654</v>
      </c>
      <c r="D520" t="s">
        <v>3231</v>
      </c>
      <c r="E520">
        <v>1</v>
      </c>
      <c r="F520">
        <v>1</v>
      </c>
      <c r="H520" t="s">
        <v>1307</v>
      </c>
      <c r="I520" t="s">
        <v>1308</v>
      </c>
      <c r="J520" t="s">
        <v>1172</v>
      </c>
      <c r="K520" t="s">
        <v>1173</v>
      </c>
      <c r="L520" t="s">
        <v>1174</v>
      </c>
      <c r="M520">
        <v>0</v>
      </c>
      <c r="N520" t="s">
        <v>50</v>
      </c>
      <c r="O520">
        <v>1</v>
      </c>
      <c r="P520">
        <v>0</v>
      </c>
      <c r="Q520">
        <v>0</v>
      </c>
      <c r="R520">
        <v>0</v>
      </c>
      <c r="S520">
        <v>0</v>
      </c>
      <c r="T520">
        <v>0</v>
      </c>
      <c r="U520" s="20">
        <v>46000.902314814812</v>
      </c>
      <c r="V520" s="20">
        <v>46077.993217592593</v>
      </c>
      <c r="Y520">
        <v>0</v>
      </c>
      <c r="Z520" t="s">
        <v>1308</v>
      </c>
      <c r="AL520" t="s">
        <v>3064</v>
      </c>
      <c r="AO520" t="s">
        <v>48</v>
      </c>
      <c r="AP520" t="s">
        <v>62</v>
      </c>
      <c r="AQ520" t="s">
        <v>957</v>
      </c>
      <c r="AR520" t="s">
        <v>89</v>
      </c>
      <c r="AV520" t="s">
        <v>3393</v>
      </c>
      <c r="AW520" t="s">
        <v>3224</v>
      </c>
      <c r="AX520" t="s">
        <v>3938</v>
      </c>
    </row>
    <row r="521" spans="1:50" x14ac:dyDescent="0.25">
      <c r="A521" t="s">
        <v>959</v>
      </c>
      <c r="B521" t="s">
        <v>1168</v>
      </c>
      <c r="C521" t="s">
        <v>1656</v>
      </c>
      <c r="D521" t="s">
        <v>2937</v>
      </c>
      <c r="E521">
        <v>1</v>
      </c>
      <c r="F521">
        <v>1</v>
      </c>
      <c r="H521" t="s">
        <v>1307</v>
      </c>
      <c r="I521" t="s">
        <v>1308</v>
      </c>
      <c r="J521" t="s">
        <v>1172</v>
      </c>
      <c r="K521" t="s">
        <v>1173</v>
      </c>
      <c r="L521" t="s">
        <v>1174</v>
      </c>
      <c r="M521">
        <v>0</v>
      </c>
      <c r="N521" t="s">
        <v>41</v>
      </c>
      <c r="O521">
        <v>1</v>
      </c>
      <c r="P521">
        <v>0</v>
      </c>
      <c r="Q521">
        <v>0</v>
      </c>
      <c r="R521">
        <v>0</v>
      </c>
      <c r="S521">
        <v>0</v>
      </c>
      <c r="T521">
        <v>0</v>
      </c>
      <c r="U521" s="20">
        <v>46000.902349537035</v>
      </c>
      <c r="V521" s="20">
        <v>46043.909918981481</v>
      </c>
      <c r="Y521">
        <v>0</v>
      </c>
      <c r="Z521" t="s">
        <v>1308</v>
      </c>
      <c r="AL521" t="s">
        <v>2953</v>
      </c>
      <c r="AO521" t="s">
        <v>48</v>
      </c>
      <c r="AP521" t="s">
        <v>62</v>
      </c>
      <c r="AQ521" t="s">
        <v>960</v>
      </c>
      <c r="AR521" t="s">
        <v>73</v>
      </c>
      <c r="AW521" t="s">
        <v>961</v>
      </c>
      <c r="AX521" t="s">
        <v>3939</v>
      </c>
    </row>
    <row r="522" spans="1:50" x14ac:dyDescent="0.25">
      <c r="A522" t="s">
        <v>962</v>
      </c>
      <c r="B522" t="s">
        <v>1168</v>
      </c>
      <c r="C522" t="s">
        <v>1657</v>
      </c>
      <c r="E522">
        <v>1</v>
      </c>
      <c r="F522">
        <v>1</v>
      </c>
      <c r="H522" t="s">
        <v>1307</v>
      </c>
      <c r="I522" t="s">
        <v>1308</v>
      </c>
      <c r="J522" t="s">
        <v>1172</v>
      </c>
      <c r="K522" t="s">
        <v>1173</v>
      </c>
      <c r="L522" t="s">
        <v>1174</v>
      </c>
      <c r="M522">
        <v>0</v>
      </c>
      <c r="N522" t="s">
        <v>50</v>
      </c>
      <c r="O522">
        <v>1</v>
      </c>
      <c r="P522">
        <v>0</v>
      </c>
      <c r="Q522">
        <v>0</v>
      </c>
      <c r="R522">
        <v>0</v>
      </c>
      <c r="S522">
        <v>0</v>
      </c>
      <c r="T522">
        <v>0</v>
      </c>
      <c r="U522" s="20">
        <v>46000.902361111112</v>
      </c>
      <c r="V522" s="20">
        <v>46002.032962962963</v>
      </c>
      <c r="Y522">
        <v>0</v>
      </c>
      <c r="Z522" t="s">
        <v>1308</v>
      </c>
      <c r="AL522" t="s">
        <v>3066</v>
      </c>
      <c r="AO522" t="s">
        <v>312</v>
      </c>
      <c r="AP522" t="s">
        <v>62</v>
      </c>
      <c r="AQ522" t="s">
        <v>963</v>
      </c>
      <c r="AR522" t="s">
        <v>51</v>
      </c>
      <c r="AV522" t="s">
        <v>3394</v>
      </c>
      <c r="AW522" t="s">
        <v>964</v>
      </c>
      <c r="AX522" t="s">
        <v>3940</v>
      </c>
    </row>
    <row r="523" spans="1:50" x14ac:dyDescent="0.25">
      <c r="A523" t="s">
        <v>970</v>
      </c>
      <c r="B523" t="s">
        <v>1168</v>
      </c>
      <c r="C523" t="s">
        <v>1660</v>
      </c>
      <c r="E523">
        <v>1</v>
      </c>
      <c r="F523">
        <v>1</v>
      </c>
      <c r="H523" t="s">
        <v>1307</v>
      </c>
      <c r="I523" t="s">
        <v>1308</v>
      </c>
      <c r="J523" t="s">
        <v>1172</v>
      </c>
      <c r="K523" t="s">
        <v>1173</v>
      </c>
      <c r="L523" t="s">
        <v>1174</v>
      </c>
      <c r="M523">
        <v>0</v>
      </c>
      <c r="N523" t="s">
        <v>50</v>
      </c>
      <c r="O523">
        <v>1</v>
      </c>
      <c r="P523">
        <v>0</v>
      </c>
      <c r="Q523">
        <v>0</v>
      </c>
      <c r="R523">
        <v>0</v>
      </c>
      <c r="S523">
        <v>0</v>
      </c>
      <c r="T523">
        <v>0</v>
      </c>
      <c r="U523" s="20">
        <v>46000.902384259258</v>
      </c>
      <c r="V523" s="20">
        <v>46002.032951388886</v>
      </c>
      <c r="Y523">
        <v>0</v>
      </c>
      <c r="Z523" t="s">
        <v>1308</v>
      </c>
      <c r="AL523" t="s">
        <v>2882</v>
      </c>
      <c r="AO523" t="s">
        <v>48</v>
      </c>
      <c r="AP523" t="s">
        <v>62</v>
      </c>
      <c r="AQ523" t="s">
        <v>971</v>
      </c>
      <c r="AR523" t="s">
        <v>51</v>
      </c>
      <c r="AV523" t="s">
        <v>3395</v>
      </c>
      <c r="AW523" t="s">
        <v>972</v>
      </c>
      <c r="AX523" t="s">
        <v>3941</v>
      </c>
    </row>
    <row r="524" spans="1:50" x14ac:dyDescent="0.25">
      <c r="A524" t="s">
        <v>977</v>
      </c>
      <c r="B524" t="s">
        <v>1168</v>
      </c>
      <c r="C524" t="s">
        <v>1663</v>
      </c>
      <c r="E524">
        <v>1</v>
      </c>
      <c r="F524">
        <v>1</v>
      </c>
      <c r="H524" t="s">
        <v>1307</v>
      </c>
      <c r="I524" t="s">
        <v>1308</v>
      </c>
      <c r="J524" t="s">
        <v>1172</v>
      </c>
      <c r="K524" t="s">
        <v>1173</v>
      </c>
      <c r="L524" t="s">
        <v>1174</v>
      </c>
      <c r="M524">
        <v>0</v>
      </c>
      <c r="N524" t="s">
        <v>50</v>
      </c>
      <c r="O524">
        <v>1</v>
      </c>
      <c r="P524">
        <v>0</v>
      </c>
      <c r="Q524">
        <v>0</v>
      </c>
      <c r="R524">
        <v>0</v>
      </c>
      <c r="S524">
        <v>0</v>
      </c>
      <c r="T524">
        <v>0</v>
      </c>
      <c r="U524" s="20">
        <v>46000.902442129627</v>
      </c>
      <c r="V524" s="20">
        <v>46002.032939814817</v>
      </c>
      <c r="Y524">
        <v>0</v>
      </c>
      <c r="Z524" t="s">
        <v>1308</v>
      </c>
      <c r="AL524" t="s">
        <v>3109</v>
      </c>
      <c r="AO524" t="s">
        <v>312</v>
      </c>
      <c r="AP524" t="s">
        <v>62</v>
      </c>
      <c r="AX524" t="s">
        <v>3942</v>
      </c>
    </row>
    <row r="525" spans="1:50" x14ac:dyDescent="0.25">
      <c r="A525" t="s">
        <v>965</v>
      </c>
      <c r="B525" t="s">
        <v>1168</v>
      </c>
      <c r="C525" t="s">
        <v>1658</v>
      </c>
      <c r="E525">
        <v>1</v>
      </c>
      <c r="F525">
        <v>1</v>
      </c>
      <c r="H525" t="s">
        <v>1307</v>
      </c>
      <c r="I525" t="s">
        <v>1308</v>
      </c>
      <c r="J525" t="s">
        <v>1172</v>
      </c>
      <c r="K525" t="s">
        <v>1173</v>
      </c>
      <c r="L525" t="s">
        <v>1174</v>
      </c>
      <c r="M525">
        <v>0</v>
      </c>
      <c r="N525" t="s">
        <v>50</v>
      </c>
      <c r="O525">
        <v>1</v>
      </c>
      <c r="P525">
        <v>0</v>
      </c>
      <c r="Q525">
        <v>0</v>
      </c>
      <c r="R525">
        <v>0</v>
      </c>
      <c r="S525">
        <v>0</v>
      </c>
      <c r="T525">
        <v>0</v>
      </c>
      <c r="U525" s="20">
        <v>46000.902499999997</v>
      </c>
      <c r="V525" s="20">
        <v>46002.03297453704</v>
      </c>
      <c r="Y525">
        <v>0</v>
      </c>
      <c r="Z525" t="s">
        <v>1308</v>
      </c>
      <c r="AL525" t="s">
        <v>2878</v>
      </c>
      <c r="AO525" t="s">
        <v>312</v>
      </c>
      <c r="AP525" t="s">
        <v>62</v>
      </c>
      <c r="AQ525" t="s">
        <v>966</v>
      </c>
      <c r="AR525" t="s">
        <v>73</v>
      </c>
      <c r="AV525" t="s">
        <v>3266</v>
      </c>
      <c r="AW525" t="s">
        <v>967</v>
      </c>
      <c r="AX525" t="s">
        <v>3943</v>
      </c>
    </row>
    <row r="526" spans="1:50" x14ac:dyDescent="0.25">
      <c r="A526" t="s">
        <v>978</v>
      </c>
      <c r="B526" t="s">
        <v>1168</v>
      </c>
      <c r="C526" t="s">
        <v>1664</v>
      </c>
      <c r="E526">
        <v>1</v>
      </c>
      <c r="F526">
        <v>1</v>
      </c>
      <c r="H526" t="s">
        <v>1307</v>
      </c>
      <c r="I526" t="s">
        <v>1308</v>
      </c>
      <c r="J526" t="s">
        <v>1172</v>
      </c>
      <c r="K526" t="s">
        <v>1173</v>
      </c>
      <c r="L526" t="s">
        <v>1174</v>
      </c>
      <c r="M526">
        <v>0</v>
      </c>
      <c r="N526" t="s">
        <v>50</v>
      </c>
      <c r="O526">
        <v>1</v>
      </c>
      <c r="P526">
        <v>0</v>
      </c>
      <c r="Q526">
        <v>0</v>
      </c>
      <c r="R526">
        <v>0</v>
      </c>
      <c r="S526">
        <v>0</v>
      </c>
      <c r="T526">
        <v>0</v>
      </c>
      <c r="U526" s="20">
        <v>46000.90253472222</v>
      </c>
      <c r="V526" s="20">
        <v>46032.714675925927</v>
      </c>
      <c r="Y526">
        <v>0</v>
      </c>
      <c r="Z526" t="s">
        <v>1308</v>
      </c>
      <c r="AL526" t="s">
        <v>2886</v>
      </c>
      <c r="AO526" t="s">
        <v>48</v>
      </c>
      <c r="AP526" t="s">
        <v>62</v>
      </c>
      <c r="AX526" t="s">
        <v>3944</v>
      </c>
    </row>
    <row r="527" spans="1:50" x14ac:dyDescent="0.25">
      <c r="A527" t="s">
        <v>976</v>
      </c>
      <c r="B527" t="s">
        <v>1168</v>
      </c>
      <c r="C527" t="s">
        <v>1662</v>
      </c>
      <c r="D527" t="s">
        <v>3197</v>
      </c>
      <c r="E527">
        <v>1</v>
      </c>
      <c r="F527">
        <v>1</v>
      </c>
      <c r="H527" t="s">
        <v>1307</v>
      </c>
      <c r="I527" t="s">
        <v>1308</v>
      </c>
      <c r="J527" t="s">
        <v>1172</v>
      </c>
      <c r="K527" t="s">
        <v>1173</v>
      </c>
      <c r="L527" t="s">
        <v>1174</v>
      </c>
      <c r="M527">
        <v>0</v>
      </c>
      <c r="N527" t="s">
        <v>50</v>
      </c>
      <c r="O527">
        <v>1</v>
      </c>
      <c r="P527">
        <v>0</v>
      </c>
      <c r="Q527">
        <v>0</v>
      </c>
      <c r="R527">
        <v>0</v>
      </c>
      <c r="S527">
        <v>0</v>
      </c>
      <c r="T527">
        <v>0</v>
      </c>
      <c r="U527" s="20">
        <v>46000.902557870373</v>
      </c>
      <c r="V527" s="20">
        <v>46071.946562500001</v>
      </c>
      <c r="Y527">
        <v>0</v>
      </c>
      <c r="Z527" t="s">
        <v>1308</v>
      </c>
      <c r="AL527" t="s">
        <v>3108</v>
      </c>
      <c r="AO527" t="s">
        <v>312</v>
      </c>
      <c r="AP527" t="s">
        <v>62</v>
      </c>
      <c r="AX527" t="s">
        <v>3945</v>
      </c>
    </row>
    <row r="528" spans="1:50" x14ac:dyDescent="0.25">
      <c r="A528" t="s">
        <v>973</v>
      </c>
      <c r="B528" t="s">
        <v>1168</v>
      </c>
      <c r="C528" t="s">
        <v>1661</v>
      </c>
      <c r="E528">
        <v>1</v>
      </c>
      <c r="F528">
        <v>1</v>
      </c>
      <c r="H528" t="s">
        <v>1307</v>
      </c>
      <c r="I528" t="s">
        <v>1308</v>
      </c>
      <c r="J528" t="s">
        <v>1172</v>
      </c>
      <c r="K528" t="s">
        <v>1173</v>
      </c>
      <c r="L528" t="s">
        <v>1174</v>
      </c>
      <c r="M528">
        <v>0</v>
      </c>
      <c r="N528" t="s">
        <v>50</v>
      </c>
      <c r="O528">
        <v>1</v>
      </c>
      <c r="P528">
        <v>0</v>
      </c>
      <c r="Q528">
        <v>0</v>
      </c>
      <c r="R528">
        <v>0</v>
      </c>
      <c r="S528">
        <v>0</v>
      </c>
      <c r="T528">
        <v>0</v>
      </c>
      <c r="U528" s="20">
        <v>46000.902615740742</v>
      </c>
      <c r="V528" s="20">
        <v>46002.03297453704</v>
      </c>
      <c r="Y528">
        <v>0</v>
      </c>
      <c r="Z528" t="s">
        <v>1308</v>
      </c>
      <c r="AL528" t="s">
        <v>3068</v>
      </c>
      <c r="AO528" t="s">
        <v>48</v>
      </c>
      <c r="AP528" t="s">
        <v>62</v>
      </c>
      <c r="AQ528" t="s">
        <v>974</v>
      </c>
      <c r="AR528" t="s">
        <v>51</v>
      </c>
      <c r="AV528" t="s">
        <v>3396</v>
      </c>
      <c r="AW528" t="s">
        <v>975</v>
      </c>
      <c r="AX528" t="s">
        <v>3946</v>
      </c>
    </row>
    <row r="529" spans="1:51" x14ac:dyDescent="0.25">
      <c r="A529" t="s">
        <v>968</v>
      </c>
      <c r="B529" t="s">
        <v>1168</v>
      </c>
      <c r="C529" t="s">
        <v>1659</v>
      </c>
      <c r="D529" t="s">
        <v>3231</v>
      </c>
      <c r="E529">
        <v>1</v>
      </c>
      <c r="F529">
        <v>1</v>
      </c>
      <c r="H529" t="s">
        <v>1307</v>
      </c>
      <c r="I529" t="s">
        <v>1308</v>
      </c>
      <c r="J529" t="s">
        <v>1172</v>
      </c>
      <c r="K529" t="s">
        <v>1173</v>
      </c>
      <c r="L529" t="s">
        <v>1174</v>
      </c>
      <c r="M529">
        <v>0</v>
      </c>
      <c r="N529" t="s">
        <v>50</v>
      </c>
      <c r="O529">
        <v>1</v>
      </c>
      <c r="P529">
        <v>0</v>
      </c>
      <c r="Q529">
        <v>0</v>
      </c>
      <c r="R529">
        <v>0</v>
      </c>
      <c r="S529">
        <v>0</v>
      </c>
      <c r="T529">
        <v>0</v>
      </c>
      <c r="U529" s="20">
        <v>46001.052523148152</v>
      </c>
      <c r="V529" s="20">
        <v>46077.993206018517</v>
      </c>
      <c r="Y529">
        <v>0</v>
      </c>
      <c r="Z529" t="s">
        <v>1308</v>
      </c>
      <c r="AL529" t="s">
        <v>2880</v>
      </c>
      <c r="AO529" t="s">
        <v>320</v>
      </c>
      <c r="AP529" t="s">
        <v>62</v>
      </c>
      <c r="AQ529" t="s">
        <v>969</v>
      </c>
      <c r="AR529" t="s">
        <v>89</v>
      </c>
      <c r="AV529" t="s">
        <v>3397</v>
      </c>
      <c r="AW529" t="s">
        <v>3226</v>
      </c>
      <c r="AX529" t="s">
        <v>3947</v>
      </c>
    </row>
    <row r="530" spans="1:51" x14ac:dyDescent="0.25">
      <c r="A530" t="s">
        <v>2489</v>
      </c>
      <c r="B530" t="s">
        <v>1168</v>
      </c>
      <c r="C530" t="s">
        <v>2490</v>
      </c>
      <c r="E530">
        <v>1</v>
      </c>
      <c r="F530">
        <v>1</v>
      </c>
      <c r="H530" t="s">
        <v>1307</v>
      </c>
      <c r="I530" t="s">
        <v>1308</v>
      </c>
      <c r="J530" t="s">
        <v>1172</v>
      </c>
      <c r="K530" t="s">
        <v>1173</v>
      </c>
      <c r="L530" t="s">
        <v>1174</v>
      </c>
      <c r="M530">
        <v>0</v>
      </c>
      <c r="N530" t="s">
        <v>50</v>
      </c>
      <c r="O530">
        <v>1</v>
      </c>
      <c r="P530">
        <v>0</v>
      </c>
      <c r="Q530">
        <v>0</v>
      </c>
      <c r="R530">
        <v>0</v>
      </c>
      <c r="S530">
        <v>0</v>
      </c>
      <c r="T530">
        <v>0</v>
      </c>
      <c r="U530" s="20">
        <v>46032.723553240743</v>
      </c>
      <c r="V530" s="20">
        <v>46043.890173611115</v>
      </c>
      <c r="Y530">
        <v>0</v>
      </c>
      <c r="Z530" t="s">
        <v>1308</v>
      </c>
      <c r="AL530" t="s">
        <v>2887</v>
      </c>
      <c r="AO530" t="s">
        <v>194</v>
      </c>
      <c r="AX530" t="s">
        <v>3948</v>
      </c>
    </row>
    <row r="531" spans="1:51" x14ac:dyDescent="0.25">
      <c r="A531" t="s">
        <v>2491</v>
      </c>
      <c r="B531" t="s">
        <v>1168</v>
      </c>
      <c r="C531" t="s">
        <v>2492</v>
      </c>
      <c r="D531" t="s">
        <v>3398</v>
      </c>
      <c r="E531">
        <v>1</v>
      </c>
      <c r="F531">
        <v>1</v>
      </c>
      <c r="H531" t="s">
        <v>1307</v>
      </c>
      <c r="I531" t="s">
        <v>1308</v>
      </c>
      <c r="J531" t="s">
        <v>1172</v>
      </c>
      <c r="K531" t="s">
        <v>1173</v>
      </c>
      <c r="L531" t="s">
        <v>1174</v>
      </c>
      <c r="M531">
        <v>0</v>
      </c>
      <c r="N531" t="s">
        <v>50</v>
      </c>
      <c r="O531">
        <v>1</v>
      </c>
      <c r="P531">
        <v>0</v>
      </c>
      <c r="Q531">
        <v>0</v>
      </c>
      <c r="R531">
        <v>0</v>
      </c>
      <c r="S531">
        <v>0</v>
      </c>
      <c r="T531">
        <v>0</v>
      </c>
      <c r="U531" s="20">
        <v>46032.898912037039</v>
      </c>
      <c r="V531" s="20">
        <v>46077.993217592593</v>
      </c>
      <c r="Y531">
        <v>0</v>
      </c>
      <c r="Z531" t="s">
        <v>1308</v>
      </c>
      <c r="AL531" t="s">
        <v>2888</v>
      </c>
      <c r="AO531" t="s">
        <v>48</v>
      </c>
      <c r="AP531" t="s">
        <v>62</v>
      </c>
      <c r="AQ531" t="s">
        <v>3187</v>
      </c>
      <c r="AR531" t="s">
        <v>51</v>
      </c>
      <c r="AV531" t="s">
        <v>3273</v>
      </c>
      <c r="AW531" t="s">
        <v>3274</v>
      </c>
      <c r="AX531" t="s">
        <v>3949</v>
      </c>
    </row>
    <row r="532" spans="1:51" x14ac:dyDescent="0.25">
      <c r="A532" t="s">
        <v>2971</v>
      </c>
      <c r="B532" t="s">
        <v>1168</v>
      </c>
      <c r="C532" t="s">
        <v>2972</v>
      </c>
      <c r="D532" t="s">
        <v>3118</v>
      </c>
      <c r="E532">
        <v>1</v>
      </c>
      <c r="F532">
        <v>1</v>
      </c>
      <c r="H532" t="s">
        <v>1307</v>
      </c>
      <c r="I532" t="s">
        <v>1308</v>
      </c>
      <c r="J532" t="s">
        <v>1172</v>
      </c>
      <c r="K532" t="s">
        <v>1173</v>
      </c>
      <c r="L532" t="s">
        <v>1174</v>
      </c>
      <c r="M532">
        <v>0</v>
      </c>
      <c r="N532" t="s">
        <v>50</v>
      </c>
      <c r="O532">
        <v>1</v>
      </c>
      <c r="P532">
        <v>0</v>
      </c>
      <c r="Q532">
        <v>0</v>
      </c>
      <c r="R532">
        <v>0</v>
      </c>
      <c r="S532">
        <v>0</v>
      </c>
      <c r="T532">
        <v>0</v>
      </c>
      <c r="U532" s="20">
        <v>46050.904479166667</v>
      </c>
      <c r="V532" s="20">
        <v>46071.948472222219</v>
      </c>
      <c r="Y532">
        <v>0</v>
      </c>
      <c r="Z532" t="s">
        <v>1308</v>
      </c>
      <c r="AL532" t="s">
        <v>3069</v>
      </c>
      <c r="AO532" t="s">
        <v>48</v>
      </c>
      <c r="AP532" t="s">
        <v>62</v>
      </c>
      <c r="AQ532" t="s">
        <v>3277</v>
      </c>
      <c r="AR532" t="s">
        <v>73</v>
      </c>
      <c r="AV532" t="s">
        <v>3194</v>
      </c>
      <c r="AW532" t="s">
        <v>3117</v>
      </c>
      <c r="AX532" t="s">
        <v>3950</v>
      </c>
    </row>
    <row r="533" spans="1:51" x14ac:dyDescent="0.25">
      <c r="A533" t="s">
        <v>3089</v>
      </c>
      <c r="B533" t="s">
        <v>1168</v>
      </c>
      <c r="C533" t="s">
        <v>3090</v>
      </c>
      <c r="D533" t="s">
        <v>3198</v>
      </c>
      <c r="E533">
        <v>1</v>
      </c>
      <c r="F533">
        <v>1</v>
      </c>
      <c r="H533" t="s">
        <v>1307</v>
      </c>
      <c r="I533" t="s">
        <v>1308</v>
      </c>
      <c r="J533" t="s">
        <v>1172</v>
      </c>
      <c r="K533" t="s">
        <v>1173</v>
      </c>
      <c r="L533" t="s">
        <v>1174</v>
      </c>
      <c r="M533">
        <v>0</v>
      </c>
      <c r="N533" t="s">
        <v>50</v>
      </c>
      <c r="O533">
        <v>1</v>
      </c>
      <c r="P533">
        <v>0</v>
      </c>
      <c r="Q533">
        <v>0</v>
      </c>
      <c r="R533">
        <v>0</v>
      </c>
      <c r="S533">
        <v>0</v>
      </c>
      <c r="T533">
        <v>0</v>
      </c>
      <c r="U533" s="20">
        <v>46071.649837962963</v>
      </c>
      <c r="V533" s="20">
        <v>46071.947546296295</v>
      </c>
      <c r="Y533">
        <v>0</v>
      </c>
      <c r="Z533" t="s">
        <v>1308</v>
      </c>
      <c r="AL533" t="s">
        <v>3110</v>
      </c>
      <c r="AO533" t="s">
        <v>312</v>
      </c>
      <c r="AP533" t="s">
        <v>62</v>
      </c>
      <c r="AQ533" t="s">
        <v>3182</v>
      </c>
      <c r="AR533" t="s">
        <v>89</v>
      </c>
      <c r="AV533" t="s">
        <v>3184</v>
      </c>
      <c r="AW533" t="s">
        <v>3183</v>
      </c>
      <c r="AX533" t="s">
        <v>3951</v>
      </c>
    </row>
    <row r="534" spans="1:51" x14ac:dyDescent="0.25">
      <c r="A534" t="s">
        <v>3091</v>
      </c>
      <c r="B534" t="s">
        <v>1168</v>
      </c>
      <c r="C534" t="s">
        <v>3092</v>
      </c>
      <c r="D534" t="s">
        <v>3399</v>
      </c>
      <c r="E534">
        <v>1</v>
      </c>
      <c r="F534">
        <v>1</v>
      </c>
      <c r="H534" t="s">
        <v>1307</v>
      </c>
      <c r="I534" t="s">
        <v>1308</v>
      </c>
      <c r="J534" t="s">
        <v>1172</v>
      </c>
      <c r="K534" t="s">
        <v>1173</v>
      </c>
      <c r="L534" t="s">
        <v>1174</v>
      </c>
      <c r="M534">
        <v>0</v>
      </c>
      <c r="N534" t="s">
        <v>50</v>
      </c>
      <c r="O534">
        <v>1</v>
      </c>
      <c r="P534">
        <v>0</v>
      </c>
      <c r="Q534">
        <v>0</v>
      </c>
      <c r="R534">
        <v>0</v>
      </c>
      <c r="S534">
        <v>0</v>
      </c>
      <c r="T534">
        <v>0</v>
      </c>
      <c r="U534" s="20">
        <v>46071.674155092594</v>
      </c>
      <c r="V534" s="20">
        <v>46077.993217592593</v>
      </c>
      <c r="Y534">
        <v>0</v>
      </c>
      <c r="Z534" t="s">
        <v>1308</v>
      </c>
      <c r="AL534" t="s">
        <v>3111</v>
      </c>
      <c r="AO534" t="s">
        <v>320</v>
      </c>
      <c r="AP534" t="s">
        <v>62</v>
      </c>
      <c r="AQ534" t="s">
        <v>3188</v>
      </c>
      <c r="AR534" t="s">
        <v>89</v>
      </c>
      <c r="AV534" t="s">
        <v>3190</v>
      </c>
      <c r="AW534" t="s">
        <v>3189</v>
      </c>
      <c r="AX534" t="s">
        <v>3952</v>
      </c>
    </row>
    <row r="535" spans="1:51" x14ac:dyDescent="0.25">
      <c r="A535" t="s">
        <v>43</v>
      </c>
      <c r="B535" t="s">
        <v>1168</v>
      </c>
      <c r="C535" t="s">
        <v>1875</v>
      </c>
      <c r="E535">
        <v>1</v>
      </c>
      <c r="F535">
        <v>1</v>
      </c>
      <c r="H535" t="s">
        <v>1170</v>
      </c>
      <c r="I535" t="s">
        <v>1171</v>
      </c>
      <c r="J535" t="s">
        <v>1172</v>
      </c>
      <c r="K535" t="s">
        <v>1173</v>
      </c>
      <c r="L535" t="s">
        <v>1174</v>
      </c>
      <c r="N535" t="s">
        <v>1246</v>
      </c>
      <c r="O535">
        <v>1</v>
      </c>
      <c r="Q535">
        <v>0</v>
      </c>
      <c r="R535">
        <v>0</v>
      </c>
      <c r="S535">
        <v>0</v>
      </c>
      <c r="T535">
        <v>0</v>
      </c>
      <c r="U535" s="20">
        <v>45895.841736111113</v>
      </c>
      <c r="V535" s="20">
        <v>46001.081944444442</v>
      </c>
      <c r="Z535" t="s">
        <v>1175</v>
      </c>
      <c r="AA535" t="s">
        <v>44</v>
      </c>
      <c r="AD535" t="s">
        <v>44</v>
      </c>
      <c r="AE535" t="s">
        <v>44</v>
      </c>
      <c r="AF535" t="s">
        <v>44</v>
      </c>
      <c r="AG535" t="s">
        <v>44</v>
      </c>
      <c r="AH535" t="s">
        <v>44</v>
      </c>
      <c r="AI535" t="s">
        <v>44</v>
      </c>
      <c r="AJ535" t="s">
        <v>44</v>
      </c>
      <c r="AK535" t="s">
        <v>44</v>
      </c>
      <c r="AU535" t="s">
        <v>44</v>
      </c>
      <c r="AX535" t="s">
        <v>3953</v>
      </c>
    </row>
    <row r="536" spans="1:51" x14ac:dyDescent="0.25">
      <c r="A536" t="s">
        <v>57</v>
      </c>
      <c r="B536" t="s">
        <v>1168</v>
      </c>
      <c r="C536" t="s">
        <v>1774</v>
      </c>
      <c r="E536">
        <v>1</v>
      </c>
      <c r="F536">
        <v>1</v>
      </c>
      <c r="H536" t="s">
        <v>1170</v>
      </c>
      <c r="I536" t="s">
        <v>1171</v>
      </c>
      <c r="J536" t="s">
        <v>1172</v>
      </c>
      <c r="K536" t="s">
        <v>1173</v>
      </c>
      <c r="L536" t="s">
        <v>1174</v>
      </c>
      <c r="N536" t="s">
        <v>50</v>
      </c>
      <c r="O536">
        <v>1</v>
      </c>
      <c r="Q536">
        <v>0</v>
      </c>
      <c r="R536">
        <v>0</v>
      </c>
      <c r="S536">
        <v>0</v>
      </c>
      <c r="T536">
        <v>0</v>
      </c>
      <c r="U536" s="20">
        <v>45945.482557870368</v>
      </c>
      <c r="V536" s="20">
        <v>45989.651712962965</v>
      </c>
      <c r="Z536" t="s">
        <v>1175</v>
      </c>
      <c r="AA536" t="s">
        <v>58</v>
      </c>
      <c r="AD536" t="s">
        <v>58</v>
      </c>
      <c r="AE536" t="s">
        <v>58</v>
      </c>
      <c r="AF536" t="s">
        <v>58</v>
      </c>
      <c r="AG536" t="s">
        <v>58</v>
      </c>
      <c r="AH536" t="s">
        <v>58</v>
      </c>
      <c r="AI536" t="s">
        <v>58</v>
      </c>
      <c r="AJ536" t="s">
        <v>58</v>
      </c>
      <c r="AK536" t="s">
        <v>58</v>
      </c>
      <c r="AU536" t="s">
        <v>58</v>
      </c>
      <c r="AX536" t="s">
        <v>3954</v>
      </c>
    </row>
    <row r="537" spans="1:51" x14ac:dyDescent="0.25">
      <c r="A537" t="s">
        <v>1729</v>
      </c>
      <c r="B537" t="s">
        <v>1168</v>
      </c>
      <c r="C537" t="s">
        <v>1730</v>
      </c>
      <c r="E537">
        <v>1</v>
      </c>
      <c r="F537">
        <v>1</v>
      </c>
      <c r="H537" t="s">
        <v>1170</v>
      </c>
      <c r="I537" t="s">
        <v>1171</v>
      </c>
      <c r="J537" t="s">
        <v>1172</v>
      </c>
      <c r="K537" t="s">
        <v>1173</v>
      </c>
      <c r="L537" t="s">
        <v>1174</v>
      </c>
      <c r="N537" t="s">
        <v>50</v>
      </c>
      <c r="O537">
        <v>1</v>
      </c>
      <c r="Q537">
        <v>0</v>
      </c>
      <c r="R537">
        <v>0</v>
      </c>
      <c r="S537">
        <v>0</v>
      </c>
      <c r="T537">
        <v>0</v>
      </c>
      <c r="U537" s="20">
        <v>45945.482928240737</v>
      </c>
      <c r="V537" s="20">
        <v>45989.650717592594</v>
      </c>
      <c r="Z537" t="s">
        <v>1175</v>
      </c>
      <c r="AA537" t="s">
        <v>58</v>
      </c>
      <c r="AD537" t="s">
        <v>58</v>
      </c>
      <c r="AE537" t="s">
        <v>58</v>
      </c>
      <c r="AF537" t="s">
        <v>58</v>
      </c>
      <c r="AG537" t="s">
        <v>58</v>
      </c>
      <c r="AH537" t="s">
        <v>58</v>
      </c>
      <c r="AI537" t="s">
        <v>58</v>
      </c>
      <c r="AJ537" t="s">
        <v>58</v>
      </c>
      <c r="AK537" t="s">
        <v>58</v>
      </c>
      <c r="AU537" t="s">
        <v>58</v>
      </c>
      <c r="AX537" t="s">
        <v>3955</v>
      </c>
      <c r="AY537" t="s">
        <v>3954</v>
      </c>
    </row>
    <row r="538" spans="1:51" x14ac:dyDescent="0.25">
      <c r="A538" t="s">
        <v>1776</v>
      </c>
      <c r="B538" t="s">
        <v>1168</v>
      </c>
      <c r="C538" t="s">
        <v>1777</v>
      </c>
      <c r="E538">
        <v>1</v>
      </c>
      <c r="F538">
        <v>1</v>
      </c>
      <c r="H538" t="s">
        <v>1170</v>
      </c>
      <c r="I538" t="s">
        <v>1171</v>
      </c>
      <c r="J538" t="s">
        <v>1172</v>
      </c>
      <c r="K538" t="s">
        <v>1173</v>
      </c>
      <c r="L538" t="s">
        <v>1174</v>
      </c>
      <c r="N538" t="s">
        <v>50</v>
      </c>
      <c r="O538">
        <v>1</v>
      </c>
      <c r="Q538">
        <v>0</v>
      </c>
      <c r="R538">
        <v>0</v>
      </c>
      <c r="S538">
        <v>0</v>
      </c>
      <c r="T538">
        <v>0</v>
      </c>
      <c r="U538" s="20">
        <v>45945.482928240737</v>
      </c>
      <c r="V538" s="20">
        <v>45989.650729166664</v>
      </c>
      <c r="Z538" t="s">
        <v>1175</v>
      </c>
      <c r="AA538" t="s">
        <v>58</v>
      </c>
      <c r="AD538" t="s">
        <v>58</v>
      </c>
      <c r="AE538" t="s">
        <v>58</v>
      </c>
      <c r="AF538" t="s">
        <v>58</v>
      </c>
      <c r="AG538" t="s">
        <v>58</v>
      </c>
      <c r="AH538" t="s">
        <v>58</v>
      </c>
      <c r="AI538" t="s">
        <v>58</v>
      </c>
      <c r="AJ538" t="s">
        <v>58</v>
      </c>
      <c r="AK538" t="s">
        <v>58</v>
      </c>
      <c r="AU538" t="s">
        <v>58</v>
      </c>
      <c r="AX538" t="s">
        <v>3956</v>
      </c>
      <c r="AY538" t="s">
        <v>3954</v>
      </c>
    </row>
    <row r="539" spans="1:51" x14ac:dyDescent="0.25">
      <c r="A539" t="s">
        <v>1256</v>
      </c>
      <c r="B539" t="s">
        <v>1168</v>
      </c>
      <c r="C539" t="s">
        <v>1257</v>
      </c>
      <c r="E539">
        <v>1</v>
      </c>
      <c r="F539">
        <v>1</v>
      </c>
      <c r="H539" t="s">
        <v>1170</v>
      </c>
      <c r="I539" t="s">
        <v>1171</v>
      </c>
      <c r="J539" t="s">
        <v>1172</v>
      </c>
      <c r="K539" t="s">
        <v>1173</v>
      </c>
      <c r="L539" t="s">
        <v>1174</v>
      </c>
      <c r="N539" t="s">
        <v>50</v>
      </c>
      <c r="O539">
        <v>1</v>
      </c>
      <c r="Q539">
        <v>0</v>
      </c>
      <c r="R539">
        <v>0</v>
      </c>
      <c r="S539">
        <v>0</v>
      </c>
      <c r="T539">
        <v>0</v>
      </c>
      <c r="U539" s="20">
        <v>45945.483148148145</v>
      </c>
      <c r="V539" s="20">
        <v>45989.650717592594</v>
      </c>
      <c r="Z539" t="s">
        <v>1175</v>
      </c>
      <c r="AA539" t="s">
        <v>58</v>
      </c>
      <c r="AD539" t="s">
        <v>58</v>
      </c>
      <c r="AE539" t="s">
        <v>58</v>
      </c>
      <c r="AF539" t="s">
        <v>58</v>
      </c>
      <c r="AG539" t="s">
        <v>58</v>
      </c>
      <c r="AH539" t="s">
        <v>58</v>
      </c>
      <c r="AI539" t="s">
        <v>58</v>
      </c>
      <c r="AJ539" t="s">
        <v>58</v>
      </c>
      <c r="AK539" t="s">
        <v>58</v>
      </c>
      <c r="AU539" t="s">
        <v>58</v>
      </c>
      <c r="AX539" t="s">
        <v>3957</v>
      </c>
      <c r="AY539" t="s">
        <v>3954</v>
      </c>
    </row>
    <row r="540" spans="1:51" x14ac:dyDescent="0.25">
      <c r="A540" t="s">
        <v>1788</v>
      </c>
      <c r="B540" t="s">
        <v>1168</v>
      </c>
      <c r="C540" t="s">
        <v>1789</v>
      </c>
      <c r="E540">
        <v>1</v>
      </c>
      <c r="F540">
        <v>1</v>
      </c>
      <c r="H540" t="s">
        <v>1170</v>
      </c>
      <c r="I540" t="s">
        <v>1171</v>
      </c>
      <c r="J540" t="s">
        <v>1172</v>
      </c>
      <c r="K540" t="s">
        <v>1173</v>
      </c>
      <c r="L540" t="s">
        <v>1174</v>
      </c>
      <c r="N540" t="s">
        <v>50</v>
      </c>
      <c r="O540">
        <v>1</v>
      </c>
      <c r="Q540">
        <v>0</v>
      </c>
      <c r="R540">
        <v>0</v>
      </c>
      <c r="S540">
        <v>0</v>
      </c>
      <c r="T540">
        <v>0</v>
      </c>
      <c r="U540" s="20">
        <v>45945.483148148145</v>
      </c>
      <c r="V540" s="20">
        <v>45989.650717592594</v>
      </c>
      <c r="Z540" t="s">
        <v>1175</v>
      </c>
      <c r="AA540" t="s">
        <v>58</v>
      </c>
      <c r="AD540" t="s">
        <v>58</v>
      </c>
      <c r="AE540" t="s">
        <v>58</v>
      </c>
      <c r="AF540" t="s">
        <v>58</v>
      </c>
      <c r="AG540" t="s">
        <v>58</v>
      </c>
      <c r="AH540" t="s">
        <v>58</v>
      </c>
      <c r="AI540" t="s">
        <v>58</v>
      </c>
      <c r="AJ540" t="s">
        <v>58</v>
      </c>
      <c r="AK540" t="s">
        <v>58</v>
      </c>
      <c r="AU540" t="s">
        <v>58</v>
      </c>
      <c r="AX540" t="s">
        <v>3958</v>
      </c>
      <c r="AY540" t="s">
        <v>3954</v>
      </c>
    </row>
    <row r="541" spans="1:51" x14ac:dyDescent="0.25">
      <c r="A541" t="s">
        <v>2973</v>
      </c>
      <c r="B541" t="s">
        <v>1168</v>
      </c>
      <c r="C541" t="s">
        <v>1268</v>
      </c>
      <c r="E541">
        <v>1</v>
      </c>
      <c r="F541">
        <v>1</v>
      </c>
      <c r="H541" t="s">
        <v>1170</v>
      </c>
      <c r="I541" t="s">
        <v>1171</v>
      </c>
      <c r="J541" t="s">
        <v>1172</v>
      </c>
      <c r="K541" t="s">
        <v>1173</v>
      </c>
      <c r="L541" t="s">
        <v>1174</v>
      </c>
      <c r="N541" t="s">
        <v>50</v>
      </c>
      <c r="O541">
        <v>1</v>
      </c>
      <c r="Q541">
        <v>0</v>
      </c>
      <c r="R541">
        <v>0</v>
      </c>
      <c r="S541">
        <v>0</v>
      </c>
      <c r="T541">
        <v>0</v>
      </c>
      <c r="U541" s="20">
        <v>45987.946435185186</v>
      </c>
      <c r="V541" s="20">
        <v>46051.079282407409</v>
      </c>
      <c r="Z541" t="s">
        <v>1175</v>
      </c>
      <c r="AA541" t="s">
        <v>44</v>
      </c>
      <c r="AD541" t="s">
        <v>44</v>
      </c>
      <c r="AE541" t="s">
        <v>44</v>
      </c>
      <c r="AF541" t="s">
        <v>44</v>
      </c>
      <c r="AG541" t="s">
        <v>44</v>
      </c>
      <c r="AH541" t="s">
        <v>44</v>
      </c>
      <c r="AI541" t="s">
        <v>44</v>
      </c>
      <c r="AJ541" t="s">
        <v>44</v>
      </c>
      <c r="AK541" t="s">
        <v>44</v>
      </c>
      <c r="AU541" t="s">
        <v>44</v>
      </c>
      <c r="AX541" t="s">
        <v>3959</v>
      </c>
      <c r="AY541" t="s">
        <v>3953</v>
      </c>
    </row>
    <row r="542" spans="1:51" x14ac:dyDescent="0.25">
      <c r="A542" t="s">
        <v>902</v>
      </c>
      <c r="B542" t="s">
        <v>1168</v>
      </c>
      <c r="C542" t="s">
        <v>1874</v>
      </c>
      <c r="E542">
        <v>1</v>
      </c>
      <c r="F542">
        <v>1</v>
      </c>
      <c r="H542" t="s">
        <v>1170</v>
      </c>
      <c r="I542" t="s">
        <v>1171</v>
      </c>
      <c r="J542" t="s">
        <v>1172</v>
      </c>
      <c r="K542" t="s">
        <v>1173</v>
      </c>
      <c r="L542" t="s">
        <v>1174</v>
      </c>
      <c r="N542" t="s">
        <v>50</v>
      </c>
      <c r="O542">
        <v>1</v>
      </c>
      <c r="Q542">
        <v>0</v>
      </c>
      <c r="R542">
        <v>0</v>
      </c>
      <c r="S542">
        <v>0</v>
      </c>
      <c r="T542">
        <v>0</v>
      </c>
      <c r="U542" s="20">
        <v>45987.948136574072</v>
      </c>
      <c r="V542" s="20">
        <v>45989.650717592594</v>
      </c>
      <c r="Z542" t="s">
        <v>1175</v>
      </c>
      <c r="AA542" t="s">
        <v>44</v>
      </c>
      <c r="AD542" t="s">
        <v>44</v>
      </c>
      <c r="AE542" t="s">
        <v>44</v>
      </c>
      <c r="AF542" t="s">
        <v>44</v>
      </c>
      <c r="AG542" t="s">
        <v>44</v>
      </c>
      <c r="AH542" t="s">
        <v>44</v>
      </c>
      <c r="AI542" t="s">
        <v>44</v>
      </c>
      <c r="AJ542" t="s">
        <v>44</v>
      </c>
      <c r="AK542" t="s">
        <v>44</v>
      </c>
      <c r="AU542" t="s">
        <v>44</v>
      </c>
      <c r="AX542" t="s">
        <v>3960</v>
      </c>
      <c r="AY542" t="s">
        <v>3953</v>
      </c>
    </row>
    <row r="543" spans="1:51" x14ac:dyDescent="0.25">
      <c r="A543" t="s">
        <v>911</v>
      </c>
      <c r="B543" t="s">
        <v>1168</v>
      </c>
      <c r="C543" t="s">
        <v>1665</v>
      </c>
      <c r="E543">
        <v>1</v>
      </c>
      <c r="F543">
        <v>1</v>
      </c>
      <c r="H543" t="s">
        <v>1170</v>
      </c>
      <c r="I543" t="s">
        <v>1171</v>
      </c>
      <c r="J543" t="s">
        <v>1172</v>
      </c>
      <c r="K543" t="s">
        <v>1173</v>
      </c>
      <c r="L543" t="s">
        <v>1174</v>
      </c>
      <c r="N543" t="s">
        <v>50</v>
      </c>
      <c r="O543">
        <v>1</v>
      </c>
      <c r="Q543">
        <v>0</v>
      </c>
      <c r="R543">
        <v>0</v>
      </c>
      <c r="S543">
        <v>0</v>
      </c>
      <c r="T543">
        <v>0</v>
      </c>
      <c r="U543" s="20">
        <v>45987.948958333334</v>
      </c>
      <c r="V543" s="20">
        <v>45989.650717592594</v>
      </c>
      <c r="Z543" t="s">
        <v>1175</v>
      </c>
      <c r="AA543" t="s">
        <v>44</v>
      </c>
      <c r="AD543" t="s">
        <v>44</v>
      </c>
      <c r="AE543" t="s">
        <v>44</v>
      </c>
      <c r="AF543" t="s">
        <v>44</v>
      </c>
      <c r="AG543" t="s">
        <v>44</v>
      </c>
      <c r="AH543" t="s">
        <v>44</v>
      </c>
      <c r="AI543" t="s">
        <v>44</v>
      </c>
      <c r="AJ543" t="s">
        <v>44</v>
      </c>
      <c r="AK543" t="s">
        <v>44</v>
      </c>
      <c r="AU543" t="s">
        <v>44</v>
      </c>
      <c r="AX543" t="s">
        <v>3961</v>
      </c>
      <c r="AY543" t="s">
        <v>3953</v>
      </c>
    </row>
    <row r="544" spans="1:51" x14ac:dyDescent="0.25">
      <c r="A544" t="s">
        <v>792</v>
      </c>
      <c r="B544" t="s">
        <v>1269</v>
      </c>
      <c r="C544" t="s">
        <v>1743</v>
      </c>
      <c r="E544">
        <v>1</v>
      </c>
      <c r="F544">
        <v>1</v>
      </c>
      <c r="J544" t="s">
        <v>1172</v>
      </c>
      <c r="K544" t="s">
        <v>1173</v>
      </c>
      <c r="L544" t="s">
        <v>1174</v>
      </c>
      <c r="N544" t="s">
        <v>50</v>
      </c>
      <c r="O544">
        <v>1</v>
      </c>
      <c r="Q544">
        <v>0</v>
      </c>
      <c r="R544">
        <v>0</v>
      </c>
      <c r="S544">
        <v>0</v>
      </c>
      <c r="T544">
        <v>0</v>
      </c>
      <c r="U544" s="20">
        <v>45973.979479166665</v>
      </c>
      <c r="V544" s="20">
        <v>45975.116435185184</v>
      </c>
      <c r="Z544" t="s">
        <v>1269</v>
      </c>
      <c r="AC544" t="s">
        <v>793</v>
      </c>
      <c r="AX544" t="s">
        <v>3962</v>
      </c>
    </row>
    <row r="545" spans="1:51" x14ac:dyDescent="0.25">
      <c r="A545" t="s">
        <v>784</v>
      </c>
      <c r="B545" t="s">
        <v>1269</v>
      </c>
      <c r="C545" t="s">
        <v>1744</v>
      </c>
      <c r="E545">
        <v>1</v>
      </c>
      <c r="F545">
        <v>1</v>
      </c>
      <c r="J545" t="s">
        <v>1172</v>
      </c>
      <c r="K545" t="s">
        <v>1173</v>
      </c>
      <c r="L545" t="s">
        <v>1174</v>
      </c>
      <c r="N545" t="s">
        <v>50</v>
      </c>
      <c r="O545">
        <v>1</v>
      </c>
      <c r="Q545">
        <v>0</v>
      </c>
      <c r="R545">
        <v>0</v>
      </c>
      <c r="S545">
        <v>0</v>
      </c>
      <c r="T545">
        <v>0</v>
      </c>
      <c r="U545" s="20">
        <v>45973.981435185182</v>
      </c>
      <c r="V545" s="20">
        <v>45975.100729166668</v>
      </c>
      <c r="Z545" t="s">
        <v>1269</v>
      </c>
      <c r="AC545" t="s">
        <v>785</v>
      </c>
      <c r="AX545" t="s">
        <v>3963</v>
      </c>
    </row>
    <row r="546" spans="1:51" x14ac:dyDescent="0.25">
      <c r="A546" t="s">
        <v>850</v>
      </c>
      <c r="B546" t="s">
        <v>1269</v>
      </c>
      <c r="C546" t="s">
        <v>1742</v>
      </c>
      <c r="E546">
        <v>1</v>
      </c>
      <c r="F546">
        <v>1</v>
      </c>
      <c r="J546" t="s">
        <v>1172</v>
      </c>
      <c r="K546" t="s">
        <v>1173</v>
      </c>
      <c r="L546" t="s">
        <v>1174</v>
      </c>
      <c r="N546" t="s">
        <v>50</v>
      </c>
      <c r="O546">
        <v>1</v>
      </c>
      <c r="Q546">
        <v>0</v>
      </c>
      <c r="R546">
        <v>0</v>
      </c>
      <c r="S546">
        <v>0</v>
      </c>
      <c r="T546">
        <v>0</v>
      </c>
      <c r="U546" s="20">
        <v>45975.113159722219</v>
      </c>
      <c r="V546" s="20">
        <v>45980.851886574077</v>
      </c>
      <c r="Z546" t="s">
        <v>1269</v>
      </c>
      <c r="AC546" t="s">
        <v>851</v>
      </c>
      <c r="AX546" t="s">
        <v>3964</v>
      </c>
    </row>
    <row r="547" spans="1:51" x14ac:dyDescent="0.25">
      <c r="A547" t="s">
        <v>812</v>
      </c>
      <c r="B547" t="s">
        <v>1269</v>
      </c>
      <c r="C547" t="s">
        <v>1770</v>
      </c>
      <c r="E547">
        <v>1</v>
      </c>
      <c r="F547">
        <v>1</v>
      </c>
      <c r="J547" t="s">
        <v>1172</v>
      </c>
      <c r="K547" t="s">
        <v>1173</v>
      </c>
      <c r="L547" t="s">
        <v>1174</v>
      </c>
      <c r="N547" t="s">
        <v>50</v>
      </c>
      <c r="O547">
        <v>1</v>
      </c>
      <c r="Q547">
        <v>0</v>
      </c>
      <c r="R547">
        <v>0</v>
      </c>
      <c r="S547">
        <v>0</v>
      </c>
      <c r="T547">
        <v>0</v>
      </c>
      <c r="U547" s="20">
        <v>45975.11440972222</v>
      </c>
      <c r="V547" s="20">
        <v>45975.164953703701</v>
      </c>
      <c r="Z547" t="s">
        <v>1269</v>
      </c>
      <c r="AC547" t="s">
        <v>813</v>
      </c>
      <c r="AX547" t="s">
        <v>3965</v>
      </c>
    </row>
    <row r="548" spans="1:51" x14ac:dyDescent="0.25">
      <c r="A548" t="s">
        <v>816</v>
      </c>
      <c r="B548" t="s">
        <v>1269</v>
      </c>
      <c r="C548" t="s">
        <v>1738</v>
      </c>
      <c r="E548">
        <v>1</v>
      </c>
      <c r="F548">
        <v>1</v>
      </c>
      <c r="J548" t="s">
        <v>1172</v>
      </c>
      <c r="K548" t="s">
        <v>1173</v>
      </c>
      <c r="L548" t="s">
        <v>1174</v>
      </c>
      <c r="N548" t="s">
        <v>50</v>
      </c>
      <c r="O548">
        <v>1</v>
      </c>
      <c r="Q548">
        <v>0</v>
      </c>
      <c r="R548">
        <v>0</v>
      </c>
      <c r="S548">
        <v>0</v>
      </c>
      <c r="T548">
        <v>0</v>
      </c>
      <c r="U548" s="20">
        <v>45975.117094907408</v>
      </c>
      <c r="V548" s="20">
        <v>45980.851886574077</v>
      </c>
      <c r="Z548" t="s">
        <v>1269</v>
      </c>
      <c r="AC548" t="s">
        <v>817</v>
      </c>
      <c r="AX548" t="s">
        <v>3966</v>
      </c>
    </row>
    <row r="549" spans="1:51" x14ac:dyDescent="0.25">
      <c r="A549" t="s">
        <v>806</v>
      </c>
      <c r="B549" t="s">
        <v>1269</v>
      </c>
      <c r="C549" t="s">
        <v>1736</v>
      </c>
      <c r="E549">
        <v>1</v>
      </c>
      <c r="F549">
        <v>1</v>
      </c>
      <c r="J549" t="s">
        <v>1172</v>
      </c>
      <c r="K549" t="s">
        <v>1173</v>
      </c>
      <c r="L549" t="s">
        <v>1174</v>
      </c>
      <c r="N549" t="s">
        <v>50</v>
      </c>
      <c r="O549">
        <v>1</v>
      </c>
      <c r="Q549">
        <v>0</v>
      </c>
      <c r="R549">
        <v>0</v>
      </c>
      <c r="S549">
        <v>0</v>
      </c>
      <c r="T549">
        <v>0</v>
      </c>
      <c r="U549" s="20">
        <v>45975.120636574073</v>
      </c>
      <c r="V549" s="20">
        <v>45981.510416666664</v>
      </c>
      <c r="Z549" t="s">
        <v>1269</v>
      </c>
      <c r="AC549" t="s">
        <v>807</v>
      </c>
      <c r="AX549" t="s">
        <v>3967</v>
      </c>
    </row>
    <row r="550" spans="1:51" x14ac:dyDescent="0.25">
      <c r="A550" t="s">
        <v>826</v>
      </c>
      <c r="B550" t="s">
        <v>1269</v>
      </c>
      <c r="C550" t="s">
        <v>1737</v>
      </c>
      <c r="E550">
        <v>1</v>
      </c>
      <c r="F550">
        <v>1</v>
      </c>
      <c r="J550" t="s">
        <v>1172</v>
      </c>
      <c r="K550" t="s">
        <v>1173</v>
      </c>
      <c r="L550" t="s">
        <v>1174</v>
      </c>
      <c r="N550" t="s">
        <v>50</v>
      </c>
      <c r="O550">
        <v>1</v>
      </c>
      <c r="Q550">
        <v>0</v>
      </c>
      <c r="R550">
        <v>0</v>
      </c>
      <c r="S550">
        <v>0</v>
      </c>
      <c r="T550">
        <v>0</v>
      </c>
      <c r="U550" s="20">
        <v>45975.124467592592</v>
      </c>
      <c r="V550" s="20">
        <v>45980.851875</v>
      </c>
      <c r="Z550" t="s">
        <v>1269</v>
      </c>
      <c r="AC550" t="s">
        <v>827</v>
      </c>
      <c r="AX550" t="s">
        <v>3968</v>
      </c>
    </row>
    <row r="551" spans="1:51" x14ac:dyDescent="0.25">
      <c r="A551" t="s">
        <v>834</v>
      </c>
      <c r="B551" t="s">
        <v>1269</v>
      </c>
      <c r="C551" t="s">
        <v>1732</v>
      </c>
      <c r="E551">
        <v>1</v>
      </c>
      <c r="F551">
        <v>1</v>
      </c>
      <c r="J551" t="s">
        <v>1172</v>
      </c>
      <c r="K551" t="s">
        <v>1173</v>
      </c>
      <c r="L551" t="s">
        <v>1174</v>
      </c>
      <c r="N551" t="s">
        <v>50</v>
      </c>
      <c r="O551">
        <v>1</v>
      </c>
      <c r="Q551">
        <v>0</v>
      </c>
      <c r="R551">
        <v>0</v>
      </c>
      <c r="S551">
        <v>0</v>
      </c>
      <c r="T551">
        <v>0</v>
      </c>
      <c r="U551" s="20">
        <v>45975.128310185188</v>
      </c>
      <c r="V551" s="20">
        <v>45980.851863425924</v>
      </c>
      <c r="Z551" t="s">
        <v>1269</v>
      </c>
      <c r="AC551" t="s">
        <v>835</v>
      </c>
      <c r="AX551" t="s">
        <v>3969</v>
      </c>
    </row>
    <row r="552" spans="1:51" x14ac:dyDescent="0.25">
      <c r="A552" t="s">
        <v>842</v>
      </c>
      <c r="B552" t="s">
        <v>1269</v>
      </c>
      <c r="C552" t="s">
        <v>1731</v>
      </c>
      <c r="E552">
        <v>1</v>
      </c>
      <c r="F552">
        <v>1</v>
      </c>
      <c r="J552" t="s">
        <v>1172</v>
      </c>
      <c r="K552" t="s">
        <v>1173</v>
      </c>
      <c r="L552" t="s">
        <v>1174</v>
      </c>
      <c r="N552" t="s">
        <v>50</v>
      </c>
      <c r="O552">
        <v>1</v>
      </c>
      <c r="Q552">
        <v>0</v>
      </c>
      <c r="R552">
        <v>0</v>
      </c>
      <c r="S552">
        <v>0</v>
      </c>
      <c r="T552">
        <v>0</v>
      </c>
      <c r="U552" s="20">
        <v>45975.128518518519</v>
      </c>
      <c r="V552" s="20">
        <v>45981.678379629629</v>
      </c>
      <c r="Z552" t="s">
        <v>1269</v>
      </c>
      <c r="AC552" t="s">
        <v>843</v>
      </c>
      <c r="AX552" t="s">
        <v>3970</v>
      </c>
    </row>
    <row r="553" spans="1:51" x14ac:dyDescent="0.25">
      <c r="A553" t="s">
        <v>1739</v>
      </c>
      <c r="B553" t="s">
        <v>1269</v>
      </c>
      <c r="C553" t="s">
        <v>1740</v>
      </c>
      <c r="E553">
        <v>1</v>
      </c>
      <c r="F553">
        <v>1</v>
      </c>
      <c r="J553" t="s">
        <v>1172</v>
      </c>
      <c r="K553" t="s">
        <v>1173</v>
      </c>
      <c r="L553" t="s">
        <v>1174</v>
      </c>
      <c r="N553" t="s">
        <v>50</v>
      </c>
      <c r="O553">
        <v>1</v>
      </c>
      <c r="Q553">
        <v>0</v>
      </c>
      <c r="R553">
        <v>0</v>
      </c>
      <c r="S553">
        <v>0</v>
      </c>
      <c r="T553">
        <v>0</v>
      </c>
      <c r="U553" s="20">
        <v>45981.504479166666</v>
      </c>
      <c r="V553" s="20">
        <v>45981.679432870369</v>
      </c>
      <c r="Z553" t="s">
        <v>1269</v>
      </c>
      <c r="AC553" t="s">
        <v>1741</v>
      </c>
      <c r="AX553" t="s">
        <v>3971</v>
      </c>
    </row>
    <row r="554" spans="1:51" x14ac:dyDescent="0.25">
      <c r="A554" t="s">
        <v>1733</v>
      </c>
      <c r="B554" t="s">
        <v>1269</v>
      </c>
      <c r="C554" t="s">
        <v>1734</v>
      </c>
      <c r="E554">
        <v>1</v>
      </c>
      <c r="F554">
        <v>1</v>
      </c>
      <c r="J554" t="s">
        <v>1172</v>
      </c>
      <c r="K554" t="s">
        <v>1173</v>
      </c>
      <c r="L554" t="s">
        <v>1174</v>
      </c>
      <c r="N554" t="s">
        <v>50</v>
      </c>
      <c r="O554">
        <v>1</v>
      </c>
      <c r="Q554">
        <v>0</v>
      </c>
      <c r="R554">
        <v>0</v>
      </c>
      <c r="S554">
        <v>0</v>
      </c>
      <c r="T554">
        <v>0</v>
      </c>
      <c r="U554" s="20">
        <v>45981.509826388887</v>
      </c>
      <c r="V554" s="20">
        <v>45981.679432870369</v>
      </c>
      <c r="Z554" t="s">
        <v>1269</v>
      </c>
      <c r="AC554" t="s">
        <v>1735</v>
      </c>
      <c r="AX554" t="s">
        <v>3972</v>
      </c>
    </row>
    <row r="555" spans="1:51" x14ac:dyDescent="0.25">
      <c r="A555" t="s">
        <v>631</v>
      </c>
      <c r="B555" t="s">
        <v>1269</v>
      </c>
      <c r="C555" t="s">
        <v>1864</v>
      </c>
      <c r="E555">
        <v>1</v>
      </c>
      <c r="F555">
        <v>1</v>
      </c>
      <c r="J555" t="s">
        <v>1172</v>
      </c>
      <c r="K555" t="s">
        <v>1173</v>
      </c>
      <c r="L555" t="s">
        <v>1174</v>
      </c>
      <c r="N555" t="s">
        <v>50</v>
      </c>
      <c r="O555">
        <v>1</v>
      </c>
      <c r="Q555">
        <v>0</v>
      </c>
      <c r="R555">
        <v>0</v>
      </c>
      <c r="S555">
        <v>0</v>
      </c>
      <c r="T555">
        <v>0</v>
      </c>
      <c r="U555" s="20">
        <v>45926.65828703704</v>
      </c>
      <c r="V555" s="20">
        <v>45975.089756944442</v>
      </c>
      <c r="Z555" t="s">
        <v>1269</v>
      </c>
      <c r="AC555" t="s">
        <v>632</v>
      </c>
      <c r="AX555" t="s">
        <v>3973</v>
      </c>
    </row>
    <row r="556" spans="1:51" x14ac:dyDescent="0.25">
      <c r="A556" t="s">
        <v>697</v>
      </c>
      <c r="B556" t="s">
        <v>1269</v>
      </c>
      <c r="C556" t="s">
        <v>1865</v>
      </c>
      <c r="E556">
        <v>1</v>
      </c>
      <c r="F556">
        <v>1</v>
      </c>
      <c r="J556" t="s">
        <v>1172</v>
      </c>
      <c r="K556" t="s">
        <v>1173</v>
      </c>
      <c r="L556" t="s">
        <v>1174</v>
      </c>
      <c r="N556" t="s">
        <v>50</v>
      </c>
      <c r="O556">
        <v>1</v>
      </c>
      <c r="Q556">
        <v>0</v>
      </c>
      <c r="R556">
        <v>0</v>
      </c>
      <c r="S556">
        <v>0</v>
      </c>
      <c r="T556">
        <v>0</v>
      </c>
      <c r="U556" s="20">
        <v>45926.658333333333</v>
      </c>
      <c r="V556" s="20">
        <v>45974.455023148148</v>
      </c>
      <c r="Z556" t="s">
        <v>1269</v>
      </c>
      <c r="AC556" t="s">
        <v>632</v>
      </c>
      <c r="AX556" t="s">
        <v>3974</v>
      </c>
    </row>
    <row r="557" spans="1:51" x14ac:dyDescent="0.25">
      <c r="A557" t="s">
        <v>674</v>
      </c>
      <c r="B557" t="s">
        <v>1269</v>
      </c>
      <c r="C557" t="s">
        <v>1837</v>
      </c>
      <c r="E557">
        <v>1</v>
      </c>
      <c r="F557">
        <v>1</v>
      </c>
      <c r="J557" t="s">
        <v>1172</v>
      </c>
      <c r="K557" t="s">
        <v>1173</v>
      </c>
      <c r="L557" t="s">
        <v>1174</v>
      </c>
      <c r="N557" t="s">
        <v>50</v>
      </c>
      <c r="O557">
        <v>1</v>
      </c>
      <c r="Q557">
        <v>0</v>
      </c>
      <c r="R557">
        <v>0</v>
      </c>
      <c r="S557">
        <v>0</v>
      </c>
      <c r="T557">
        <v>0</v>
      </c>
      <c r="U557" s="20">
        <v>45926.65834490741</v>
      </c>
      <c r="V557" s="20">
        <v>45974.455034722225</v>
      </c>
      <c r="Z557" t="s">
        <v>1269</v>
      </c>
      <c r="AC557" t="s">
        <v>632</v>
      </c>
      <c r="AX557" t="s">
        <v>3975</v>
      </c>
      <c r="AY557" t="s">
        <v>3976</v>
      </c>
    </row>
    <row r="558" spans="1:51" x14ac:dyDescent="0.25">
      <c r="A558" t="s">
        <v>694</v>
      </c>
      <c r="B558" t="s">
        <v>1269</v>
      </c>
      <c r="C558" t="s">
        <v>1796</v>
      </c>
      <c r="E558">
        <v>1</v>
      </c>
      <c r="F558">
        <v>1</v>
      </c>
      <c r="J558" t="s">
        <v>1172</v>
      </c>
      <c r="K558" t="s">
        <v>1173</v>
      </c>
      <c r="L558" t="s">
        <v>1174</v>
      </c>
      <c r="N558" t="s">
        <v>50</v>
      </c>
      <c r="O558">
        <v>1</v>
      </c>
      <c r="Q558">
        <v>0</v>
      </c>
      <c r="R558">
        <v>0</v>
      </c>
      <c r="S558">
        <v>0</v>
      </c>
      <c r="T558">
        <v>0</v>
      </c>
      <c r="U558" s="20">
        <v>45926.658356481479</v>
      </c>
      <c r="V558" s="20">
        <v>45974.455023148148</v>
      </c>
      <c r="Z558" t="s">
        <v>1269</v>
      </c>
      <c r="AC558" t="s">
        <v>632</v>
      </c>
      <c r="AX558" t="s">
        <v>3977</v>
      </c>
    </row>
    <row r="559" spans="1:51" x14ac:dyDescent="0.25">
      <c r="A559" t="s">
        <v>670</v>
      </c>
      <c r="B559" t="s">
        <v>1269</v>
      </c>
      <c r="C559" t="s">
        <v>1794</v>
      </c>
      <c r="E559">
        <v>1</v>
      </c>
      <c r="F559">
        <v>1</v>
      </c>
      <c r="J559" t="s">
        <v>1172</v>
      </c>
      <c r="K559" t="s">
        <v>1173</v>
      </c>
      <c r="L559" t="s">
        <v>1174</v>
      </c>
      <c r="N559" t="s">
        <v>50</v>
      </c>
      <c r="O559">
        <v>1</v>
      </c>
      <c r="Q559">
        <v>0</v>
      </c>
      <c r="R559">
        <v>0</v>
      </c>
      <c r="S559">
        <v>0</v>
      </c>
      <c r="T559">
        <v>0</v>
      </c>
      <c r="U559" s="20">
        <v>45926.658449074072</v>
      </c>
      <c r="V559" s="20">
        <v>45974.455023148148</v>
      </c>
      <c r="Z559" t="s">
        <v>1269</v>
      </c>
      <c r="AC559" t="s">
        <v>632</v>
      </c>
      <c r="AX559" t="s">
        <v>3978</v>
      </c>
      <c r="AY559" t="s">
        <v>3976</v>
      </c>
    </row>
    <row r="560" spans="1:51" x14ac:dyDescent="0.25">
      <c r="A560" t="s">
        <v>667</v>
      </c>
      <c r="B560" t="s">
        <v>1269</v>
      </c>
      <c r="C560" t="s">
        <v>1854</v>
      </c>
      <c r="E560">
        <v>1</v>
      </c>
      <c r="F560">
        <v>1</v>
      </c>
      <c r="J560" t="s">
        <v>1172</v>
      </c>
      <c r="K560" t="s">
        <v>1173</v>
      </c>
      <c r="L560" t="s">
        <v>1174</v>
      </c>
      <c r="N560" t="s">
        <v>50</v>
      </c>
      <c r="O560">
        <v>1</v>
      </c>
      <c r="Q560">
        <v>0</v>
      </c>
      <c r="R560">
        <v>0</v>
      </c>
      <c r="S560">
        <v>0</v>
      </c>
      <c r="T560">
        <v>0</v>
      </c>
      <c r="U560" s="20">
        <v>45926.893726851849</v>
      </c>
      <c r="V560" s="20">
        <v>45974.455034722225</v>
      </c>
      <c r="Z560" t="s">
        <v>1269</v>
      </c>
      <c r="AC560" t="s">
        <v>632</v>
      </c>
      <c r="AX560" t="s">
        <v>3979</v>
      </c>
      <c r="AY560" t="s">
        <v>3980</v>
      </c>
    </row>
    <row r="561" spans="1:51" x14ac:dyDescent="0.25">
      <c r="A561" t="s">
        <v>672</v>
      </c>
      <c r="B561" t="s">
        <v>1269</v>
      </c>
      <c r="C561" t="s">
        <v>1795</v>
      </c>
      <c r="E561">
        <v>1</v>
      </c>
      <c r="F561">
        <v>1</v>
      </c>
      <c r="J561" t="s">
        <v>1172</v>
      </c>
      <c r="K561" t="s">
        <v>1173</v>
      </c>
      <c r="L561" t="s">
        <v>1174</v>
      </c>
      <c r="N561" t="s">
        <v>50</v>
      </c>
      <c r="O561">
        <v>1</v>
      </c>
      <c r="Q561">
        <v>0</v>
      </c>
      <c r="R561">
        <v>0</v>
      </c>
      <c r="S561">
        <v>0</v>
      </c>
      <c r="T561">
        <v>0</v>
      </c>
      <c r="U561" s="20">
        <v>45926.893854166665</v>
      </c>
      <c r="V561" s="20">
        <v>45974.455023148148</v>
      </c>
      <c r="Z561" t="s">
        <v>1269</v>
      </c>
      <c r="AC561" t="s">
        <v>632</v>
      </c>
      <c r="AX561" t="s">
        <v>3981</v>
      </c>
      <c r="AY561" t="s">
        <v>3976</v>
      </c>
    </row>
    <row r="562" spans="1:51" x14ac:dyDescent="0.25">
      <c r="A562" t="s">
        <v>666</v>
      </c>
      <c r="B562" t="s">
        <v>1269</v>
      </c>
      <c r="C562" t="s">
        <v>1790</v>
      </c>
      <c r="E562">
        <v>1</v>
      </c>
      <c r="F562">
        <v>1</v>
      </c>
      <c r="J562" t="s">
        <v>1172</v>
      </c>
      <c r="K562" t="s">
        <v>1173</v>
      </c>
      <c r="L562" t="s">
        <v>1174</v>
      </c>
      <c r="N562" t="s">
        <v>50</v>
      </c>
      <c r="O562">
        <v>1</v>
      </c>
      <c r="Q562">
        <v>0</v>
      </c>
      <c r="R562">
        <v>0</v>
      </c>
      <c r="S562">
        <v>0</v>
      </c>
      <c r="T562">
        <v>0</v>
      </c>
      <c r="U562" s="20">
        <v>45926.894270833334</v>
      </c>
      <c r="V562" s="20">
        <v>45974.455034722225</v>
      </c>
      <c r="Z562" t="s">
        <v>1269</v>
      </c>
      <c r="AC562" t="s">
        <v>632</v>
      </c>
      <c r="AX562" t="s">
        <v>3982</v>
      </c>
      <c r="AY562" t="s">
        <v>3981</v>
      </c>
    </row>
    <row r="563" spans="1:51" x14ac:dyDescent="0.25">
      <c r="A563" t="s">
        <v>1811</v>
      </c>
      <c r="B563" t="s">
        <v>1269</v>
      </c>
      <c r="C563" t="s">
        <v>1812</v>
      </c>
      <c r="E563">
        <v>1</v>
      </c>
      <c r="F563">
        <v>1</v>
      </c>
      <c r="J563" t="s">
        <v>1172</v>
      </c>
      <c r="K563" t="s">
        <v>1173</v>
      </c>
      <c r="L563" t="s">
        <v>1174</v>
      </c>
      <c r="N563" t="s">
        <v>50</v>
      </c>
      <c r="O563">
        <v>1</v>
      </c>
      <c r="Q563">
        <v>0</v>
      </c>
      <c r="R563">
        <v>0</v>
      </c>
      <c r="S563">
        <v>0</v>
      </c>
      <c r="T563">
        <v>0</v>
      </c>
      <c r="U563" s="20">
        <v>45932.726354166669</v>
      </c>
      <c r="V563" s="20">
        <v>45974.455023148148</v>
      </c>
      <c r="Z563" t="s">
        <v>1269</v>
      </c>
      <c r="AC563" t="s">
        <v>632</v>
      </c>
      <c r="AX563" t="s">
        <v>3976</v>
      </c>
    </row>
    <row r="564" spans="1:51" x14ac:dyDescent="0.25">
      <c r="A564" t="s">
        <v>646</v>
      </c>
      <c r="B564" t="s">
        <v>1269</v>
      </c>
      <c r="C564" t="s">
        <v>1818</v>
      </c>
      <c r="E564">
        <v>1</v>
      </c>
      <c r="F564">
        <v>1</v>
      </c>
      <c r="J564" t="s">
        <v>1172</v>
      </c>
      <c r="K564" t="s">
        <v>1173</v>
      </c>
      <c r="L564" t="s">
        <v>1174</v>
      </c>
      <c r="N564" t="s">
        <v>50</v>
      </c>
      <c r="O564">
        <v>1</v>
      </c>
      <c r="Q564">
        <v>0</v>
      </c>
      <c r="R564">
        <v>0</v>
      </c>
      <c r="S564">
        <v>0</v>
      </c>
      <c r="T564">
        <v>0</v>
      </c>
      <c r="U564" s="20">
        <v>45972.744409722225</v>
      </c>
      <c r="V564" s="20">
        <v>45974.455011574071</v>
      </c>
      <c r="Z564" t="s">
        <v>1269</v>
      </c>
      <c r="AC564" t="s">
        <v>632</v>
      </c>
      <c r="AX564" t="s">
        <v>3983</v>
      </c>
    </row>
    <row r="565" spans="1:51" x14ac:dyDescent="0.25">
      <c r="A565" t="s">
        <v>655</v>
      </c>
      <c r="B565" t="s">
        <v>1269</v>
      </c>
      <c r="C565" t="s">
        <v>1855</v>
      </c>
      <c r="E565">
        <v>1</v>
      </c>
      <c r="F565">
        <v>1</v>
      </c>
      <c r="J565" t="s">
        <v>1172</v>
      </c>
      <c r="K565" t="s">
        <v>1173</v>
      </c>
      <c r="L565" t="s">
        <v>1174</v>
      </c>
      <c r="N565" t="s">
        <v>50</v>
      </c>
      <c r="O565">
        <v>1</v>
      </c>
      <c r="Q565">
        <v>0</v>
      </c>
      <c r="R565">
        <v>0</v>
      </c>
      <c r="S565">
        <v>0</v>
      </c>
      <c r="T565">
        <v>0</v>
      </c>
      <c r="U565" s="20">
        <v>45972.749166666668</v>
      </c>
      <c r="V565" s="20">
        <v>45974.455011574071</v>
      </c>
      <c r="Z565" t="s">
        <v>1269</v>
      </c>
      <c r="AC565" t="s">
        <v>632</v>
      </c>
      <c r="AX565" t="s">
        <v>3984</v>
      </c>
    </row>
    <row r="566" spans="1:51" x14ac:dyDescent="0.25">
      <c r="A566" t="s">
        <v>1809</v>
      </c>
      <c r="B566" t="s">
        <v>1269</v>
      </c>
      <c r="C566" t="s">
        <v>1810</v>
      </c>
      <c r="E566">
        <v>1</v>
      </c>
      <c r="F566">
        <v>1</v>
      </c>
      <c r="J566" t="s">
        <v>1172</v>
      </c>
      <c r="K566" t="s">
        <v>1173</v>
      </c>
      <c r="L566" t="s">
        <v>1174</v>
      </c>
      <c r="N566" t="s">
        <v>50</v>
      </c>
      <c r="O566">
        <v>1</v>
      </c>
      <c r="Q566">
        <v>0</v>
      </c>
      <c r="R566">
        <v>0</v>
      </c>
      <c r="S566">
        <v>0</v>
      </c>
      <c r="T566">
        <v>0</v>
      </c>
      <c r="U566" s="20">
        <v>45972.818009259259</v>
      </c>
      <c r="V566" s="20">
        <v>45974.455011574071</v>
      </c>
      <c r="Z566" t="s">
        <v>1269</v>
      </c>
      <c r="AC566" t="s">
        <v>632</v>
      </c>
      <c r="AX566" t="s">
        <v>3980</v>
      </c>
    </row>
    <row r="567" spans="1:51" x14ac:dyDescent="0.25">
      <c r="A567" t="s">
        <v>703</v>
      </c>
      <c r="B567" t="s">
        <v>1269</v>
      </c>
      <c r="C567" t="s">
        <v>1801</v>
      </c>
      <c r="E567">
        <v>1</v>
      </c>
      <c r="F567">
        <v>1</v>
      </c>
      <c r="J567" t="s">
        <v>1172</v>
      </c>
      <c r="K567" t="s">
        <v>1173</v>
      </c>
      <c r="L567" t="s">
        <v>1174</v>
      </c>
      <c r="N567" t="s">
        <v>50</v>
      </c>
      <c r="O567">
        <v>1</v>
      </c>
      <c r="Q567">
        <v>0</v>
      </c>
      <c r="R567">
        <v>0</v>
      </c>
      <c r="S567">
        <v>0</v>
      </c>
      <c r="T567">
        <v>0</v>
      </c>
      <c r="U567" s="20">
        <v>45972.957557870373</v>
      </c>
      <c r="V567" s="20">
        <v>45974.455023148148</v>
      </c>
      <c r="Z567" t="s">
        <v>1269</v>
      </c>
      <c r="AC567" t="s">
        <v>632</v>
      </c>
      <c r="AX567" t="s">
        <v>3985</v>
      </c>
    </row>
    <row r="568" spans="1:51" x14ac:dyDescent="0.25">
      <c r="A568" t="s">
        <v>707</v>
      </c>
      <c r="B568" t="s">
        <v>1269</v>
      </c>
      <c r="C568" t="s">
        <v>1806</v>
      </c>
      <c r="E568">
        <v>1</v>
      </c>
      <c r="F568">
        <v>1</v>
      </c>
      <c r="J568" t="s">
        <v>1172</v>
      </c>
      <c r="K568" t="s">
        <v>1173</v>
      </c>
      <c r="L568" t="s">
        <v>1174</v>
      </c>
      <c r="N568" t="s">
        <v>50</v>
      </c>
      <c r="O568">
        <v>1</v>
      </c>
      <c r="Q568">
        <v>0</v>
      </c>
      <c r="R568">
        <v>0</v>
      </c>
      <c r="S568">
        <v>0</v>
      </c>
      <c r="T568">
        <v>0</v>
      </c>
      <c r="U568" s="20">
        <v>45972.962013888886</v>
      </c>
      <c r="V568" s="20">
        <v>45974.455023148148</v>
      </c>
      <c r="Z568" t="s">
        <v>1269</v>
      </c>
      <c r="AC568" t="s">
        <v>632</v>
      </c>
      <c r="AX568" t="s">
        <v>3986</v>
      </c>
      <c r="AY568" t="s">
        <v>3987</v>
      </c>
    </row>
    <row r="569" spans="1:51" x14ac:dyDescent="0.25">
      <c r="A569" t="s">
        <v>732</v>
      </c>
      <c r="B569" t="s">
        <v>1269</v>
      </c>
      <c r="C569" t="s">
        <v>1824</v>
      </c>
      <c r="E569">
        <v>1</v>
      </c>
      <c r="F569">
        <v>1</v>
      </c>
      <c r="J569" t="s">
        <v>1172</v>
      </c>
      <c r="K569" t="s">
        <v>1173</v>
      </c>
      <c r="L569" t="s">
        <v>1174</v>
      </c>
      <c r="N569" t="s">
        <v>50</v>
      </c>
      <c r="O569">
        <v>1</v>
      </c>
      <c r="Q569">
        <v>0</v>
      </c>
      <c r="R569">
        <v>0</v>
      </c>
      <c r="S569">
        <v>0</v>
      </c>
      <c r="T569">
        <v>0</v>
      </c>
      <c r="U569" s="20">
        <v>45972.965844907405</v>
      </c>
      <c r="V569" s="20">
        <v>45974.455011574071</v>
      </c>
      <c r="Z569" t="s">
        <v>1269</v>
      </c>
      <c r="AC569" t="s">
        <v>632</v>
      </c>
      <c r="AX569" t="s">
        <v>3988</v>
      </c>
    </row>
    <row r="570" spans="1:51" x14ac:dyDescent="0.25">
      <c r="A570" t="s">
        <v>725</v>
      </c>
      <c r="B570" t="s">
        <v>1269</v>
      </c>
      <c r="C570" t="s">
        <v>1823</v>
      </c>
      <c r="E570">
        <v>1</v>
      </c>
      <c r="F570">
        <v>1</v>
      </c>
      <c r="J570" t="s">
        <v>1172</v>
      </c>
      <c r="K570" t="s">
        <v>1173</v>
      </c>
      <c r="L570" t="s">
        <v>1174</v>
      </c>
      <c r="N570" t="s">
        <v>50</v>
      </c>
      <c r="O570">
        <v>1</v>
      </c>
      <c r="Q570">
        <v>0</v>
      </c>
      <c r="R570">
        <v>0</v>
      </c>
      <c r="S570">
        <v>0</v>
      </c>
      <c r="T570">
        <v>0</v>
      </c>
      <c r="U570" s="20">
        <v>45972.966365740744</v>
      </c>
      <c r="V570" s="20">
        <v>45974.455034722225</v>
      </c>
      <c r="Z570" t="s">
        <v>1269</v>
      </c>
      <c r="AC570" t="s">
        <v>632</v>
      </c>
      <c r="AX570" t="s">
        <v>3989</v>
      </c>
      <c r="AY570" t="s">
        <v>3988</v>
      </c>
    </row>
    <row r="571" spans="1:51" x14ac:dyDescent="0.25">
      <c r="A571" t="s">
        <v>710</v>
      </c>
      <c r="B571" t="s">
        <v>1269</v>
      </c>
      <c r="C571" t="s">
        <v>1815</v>
      </c>
      <c r="E571">
        <v>1</v>
      </c>
      <c r="F571">
        <v>1</v>
      </c>
      <c r="J571" t="s">
        <v>1172</v>
      </c>
      <c r="K571" t="s">
        <v>1173</v>
      </c>
      <c r="L571" t="s">
        <v>1174</v>
      </c>
      <c r="N571" t="s">
        <v>50</v>
      </c>
      <c r="O571">
        <v>1</v>
      </c>
      <c r="Q571">
        <v>0</v>
      </c>
      <c r="R571">
        <v>0</v>
      </c>
      <c r="S571">
        <v>0</v>
      </c>
      <c r="T571">
        <v>0</v>
      </c>
      <c r="U571" s="20">
        <v>45972.966400462959</v>
      </c>
      <c r="V571" s="20">
        <v>45974.455023148148</v>
      </c>
      <c r="Z571" t="s">
        <v>1269</v>
      </c>
      <c r="AC571" t="s">
        <v>632</v>
      </c>
      <c r="AX571" t="s">
        <v>3990</v>
      </c>
      <c r="AY571" t="s">
        <v>3988</v>
      </c>
    </row>
    <row r="572" spans="1:51" x14ac:dyDescent="0.25">
      <c r="A572" t="s">
        <v>759</v>
      </c>
      <c r="B572" t="s">
        <v>1269</v>
      </c>
      <c r="C572" t="s">
        <v>1797</v>
      </c>
      <c r="E572">
        <v>1</v>
      </c>
      <c r="F572">
        <v>1</v>
      </c>
      <c r="J572" t="s">
        <v>1172</v>
      </c>
      <c r="K572" t="s">
        <v>1173</v>
      </c>
      <c r="L572" t="s">
        <v>1174</v>
      </c>
      <c r="N572" t="s">
        <v>50</v>
      </c>
      <c r="O572">
        <v>1</v>
      </c>
      <c r="Q572">
        <v>0</v>
      </c>
      <c r="R572">
        <v>0</v>
      </c>
      <c r="S572">
        <v>0</v>
      </c>
      <c r="T572">
        <v>0</v>
      </c>
      <c r="U572" s="20">
        <v>45973.468611111108</v>
      </c>
      <c r="V572" s="20">
        <v>45974.455011574071</v>
      </c>
      <c r="Z572" t="s">
        <v>1269</v>
      </c>
      <c r="AC572" t="s">
        <v>632</v>
      </c>
      <c r="AX572" t="s">
        <v>3991</v>
      </c>
    </row>
    <row r="573" spans="1:51" x14ac:dyDescent="0.25">
      <c r="A573" t="s">
        <v>716</v>
      </c>
      <c r="B573" t="s">
        <v>1269</v>
      </c>
      <c r="C573" t="s">
        <v>1825</v>
      </c>
      <c r="E573">
        <v>1</v>
      </c>
      <c r="F573">
        <v>1</v>
      </c>
      <c r="J573" t="s">
        <v>1172</v>
      </c>
      <c r="K573" t="s">
        <v>1173</v>
      </c>
      <c r="L573" t="s">
        <v>1174</v>
      </c>
      <c r="N573" t="s">
        <v>50</v>
      </c>
      <c r="O573">
        <v>1</v>
      </c>
      <c r="Q573">
        <v>0</v>
      </c>
      <c r="R573">
        <v>0</v>
      </c>
      <c r="S573">
        <v>0</v>
      </c>
      <c r="T573">
        <v>0</v>
      </c>
      <c r="U573" s="20">
        <v>45973.478113425925</v>
      </c>
      <c r="V573" s="20">
        <v>45974.455034722225</v>
      </c>
      <c r="Z573" t="s">
        <v>1269</v>
      </c>
      <c r="AC573" t="s">
        <v>632</v>
      </c>
      <c r="AX573" t="s">
        <v>3992</v>
      </c>
      <c r="AY573" t="s">
        <v>3991</v>
      </c>
    </row>
    <row r="574" spans="1:51" x14ac:dyDescent="0.25">
      <c r="A574" t="s">
        <v>713</v>
      </c>
      <c r="B574" t="s">
        <v>1269</v>
      </c>
      <c r="C574" t="s">
        <v>1826</v>
      </c>
      <c r="E574">
        <v>1</v>
      </c>
      <c r="F574">
        <v>1</v>
      </c>
      <c r="J574" t="s">
        <v>1172</v>
      </c>
      <c r="K574" t="s">
        <v>1173</v>
      </c>
      <c r="L574" t="s">
        <v>1174</v>
      </c>
      <c r="N574" t="s">
        <v>50</v>
      </c>
      <c r="O574">
        <v>1</v>
      </c>
      <c r="Q574">
        <v>0</v>
      </c>
      <c r="R574">
        <v>0</v>
      </c>
      <c r="S574">
        <v>0</v>
      </c>
      <c r="T574">
        <v>0</v>
      </c>
      <c r="U574" s="20">
        <v>45973.478148148148</v>
      </c>
      <c r="V574" s="20">
        <v>45974.455034722225</v>
      </c>
      <c r="Z574" t="s">
        <v>1269</v>
      </c>
      <c r="AC574" t="s">
        <v>632</v>
      </c>
      <c r="AX574" t="s">
        <v>3993</v>
      </c>
      <c r="AY574" t="s">
        <v>3991</v>
      </c>
    </row>
    <row r="575" spans="1:51" x14ac:dyDescent="0.25">
      <c r="A575" t="s">
        <v>719</v>
      </c>
      <c r="B575" t="s">
        <v>1269</v>
      </c>
      <c r="C575" t="s">
        <v>1834</v>
      </c>
      <c r="E575">
        <v>1</v>
      </c>
      <c r="F575">
        <v>1</v>
      </c>
      <c r="J575" t="s">
        <v>1172</v>
      </c>
      <c r="K575" t="s">
        <v>1173</v>
      </c>
      <c r="L575" t="s">
        <v>1174</v>
      </c>
      <c r="N575" t="s">
        <v>50</v>
      </c>
      <c r="O575">
        <v>1</v>
      </c>
      <c r="Q575">
        <v>0</v>
      </c>
      <c r="R575">
        <v>0</v>
      </c>
      <c r="S575">
        <v>0</v>
      </c>
      <c r="T575">
        <v>0</v>
      </c>
      <c r="U575" s="20">
        <v>45973.47861111111</v>
      </c>
      <c r="V575" s="20">
        <v>45974.455023148148</v>
      </c>
      <c r="Z575" t="s">
        <v>1269</v>
      </c>
      <c r="AC575" t="s">
        <v>632</v>
      </c>
      <c r="AX575" t="s">
        <v>3994</v>
      </c>
      <c r="AY575" t="s">
        <v>3991</v>
      </c>
    </row>
    <row r="576" spans="1:51" x14ac:dyDescent="0.25">
      <c r="A576" t="s">
        <v>700</v>
      </c>
      <c r="B576" t="s">
        <v>1269</v>
      </c>
      <c r="C576" t="s">
        <v>1791</v>
      </c>
      <c r="E576">
        <v>1</v>
      </c>
      <c r="F576">
        <v>1</v>
      </c>
      <c r="J576" t="s">
        <v>1172</v>
      </c>
      <c r="K576" t="s">
        <v>1173</v>
      </c>
      <c r="L576" t="s">
        <v>1174</v>
      </c>
      <c r="N576" t="s">
        <v>50</v>
      </c>
      <c r="O576">
        <v>1</v>
      </c>
      <c r="Q576">
        <v>0</v>
      </c>
      <c r="R576">
        <v>0</v>
      </c>
      <c r="S576">
        <v>0</v>
      </c>
      <c r="T576">
        <v>0</v>
      </c>
      <c r="U576" s="20">
        <v>45973.480752314812</v>
      </c>
      <c r="V576" s="20">
        <v>45974.455034722225</v>
      </c>
      <c r="Z576" t="s">
        <v>1269</v>
      </c>
      <c r="AC576" t="s">
        <v>632</v>
      </c>
      <c r="AX576" t="s">
        <v>3995</v>
      </c>
      <c r="AY576" t="s">
        <v>3993</v>
      </c>
    </row>
    <row r="577" spans="1:51" x14ac:dyDescent="0.25">
      <c r="A577" t="s">
        <v>723</v>
      </c>
      <c r="B577" t="s">
        <v>1269</v>
      </c>
      <c r="C577" t="s">
        <v>1863</v>
      </c>
      <c r="E577">
        <v>1</v>
      </c>
      <c r="F577">
        <v>1</v>
      </c>
      <c r="J577" t="s">
        <v>1172</v>
      </c>
      <c r="K577" t="s">
        <v>1173</v>
      </c>
      <c r="L577" t="s">
        <v>1174</v>
      </c>
      <c r="N577" t="s">
        <v>50</v>
      </c>
      <c r="O577">
        <v>1</v>
      </c>
      <c r="Q577">
        <v>0</v>
      </c>
      <c r="R577">
        <v>0</v>
      </c>
      <c r="S577">
        <v>0</v>
      </c>
      <c r="T577">
        <v>0</v>
      </c>
      <c r="U577" s="20">
        <v>45973.480798611112</v>
      </c>
      <c r="V577" s="20">
        <v>45974.455034722225</v>
      </c>
      <c r="Z577" t="s">
        <v>1269</v>
      </c>
      <c r="AC577" t="s">
        <v>632</v>
      </c>
      <c r="AX577" t="s">
        <v>3996</v>
      </c>
      <c r="AY577" t="s">
        <v>3993</v>
      </c>
    </row>
    <row r="578" spans="1:51" x14ac:dyDescent="0.25">
      <c r="A578" t="s">
        <v>1821</v>
      </c>
      <c r="B578" t="s">
        <v>1269</v>
      </c>
      <c r="C578" t="s">
        <v>1822</v>
      </c>
      <c r="E578">
        <v>1</v>
      </c>
      <c r="F578">
        <v>1</v>
      </c>
      <c r="J578" t="s">
        <v>1172</v>
      </c>
      <c r="K578" t="s">
        <v>1173</v>
      </c>
      <c r="L578" t="s">
        <v>1174</v>
      </c>
      <c r="N578" t="s">
        <v>50</v>
      </c>
      <c r="O578">
        <v>1</v>
      </c>
      <c r="Q578">
        <v>0</v>
      </c>
      <c r="R578">
        <v>0</v>
      </c>
      <c r="S578">
        <v>0</v>
      </c>
      <c r="T578">
        <v>0</v>
      </c>
      <c r="U578" s="20">
        <v>45973.497719907406</v>
      </c>
      <c r="V578" s="20">
        <v>45974.455034722225</v>
      </c>
      <c r="Z578" t="s">
        <v>1269</v>
      </c>
      <c r="AC578" t="s">
        <v>632</v>
      </c>
      <c r="AX578" t="s">
        <v>3997</v>
      </c>
      <c r="AY578" t="s">
        <v>3988</v>
      </c>
    </row>
    <row r="579" spans="1:51" x14ac:dyDescent="0.25">
      <c r="A579" t="s">
        <v>1802</v>
      </c>
      <c r="B579" t="s">
        <v>1269</v>
      </c>
      <c r="C579" t="s">
        <v>1803</v>
      </c>
      <c r="E579">
        <v>1</v>
      </c>
      <c r="F579">
        <v>1</v>
      </c>
      <c r="J579" t="s">
        <v>1172</v>
      </c>
      <c r="K579" t="s">
        <v>1173</v>
      </c>
      <c r="L579" t="s">
        <v>1174</v>
      </c>
      <c r="N579" t="s">
        <v>50</v>
      </c>
      <c r="O579">
        <v>1</v>
      </c>
      <c r="Q579">
        <v>0</v>
      </c>
      <c r="R579">
        <v>0</v>
      </c>
      <c r="S579">
        <v>0</v>
      </c>
      <c r="T579">
        <v>0</v>
      </c>
      <c r="U579" s="20">
        <v>45973.497754629629</v>
      </c>
      <c r="V579" s="20">
        <v>45974.455034722225</v>
      </c>
      <c r="Z579" t="s">
        <v>1269</v>
      </c>
      <c r="AC579" t="s">
        <v>632</v>
      </c>
      <c r="AX579" t="s">
        <v>3998</v>
      </c>
      <c r="AY579" t="s">
        <v>3988</v>
      </c>
    </row>
    <row r="580" spans="1:51" x14ac:dyDescent="0.25">
      <c r="A580" t="s">
        <v>1827</v>
      </c>
      <c r="B580" t="s">
        <v>1269</v>
      </c>
      <c r="C580" t="s">
        <v>1828</v>
      </c>
      <c r="E580">
        <v>1</v>
      </c>
      <c r="F580">
        <v>1</v>
      </c>
      <c r="J580" t="s">
        <v>1172</v>
      </c>
      <c r="K580" t="s">
        <v>1173</v>
      </c>
      <c r="L580" t="s">
        <v>1174</v>
      </c>
      <c r="N580" t="s">
        <v>50</v>
      </c>
      <c r="O580">
        <v>1</v>
      </c>
      <c r="Q580">
        <v>0</v>
      </c>
      <c r="R580">
        <v>0</v>
      </c>
      <c r="S580">
        <v>0</v>
      </c>
      <c r="T580">
        <v>0</v>
      </c>
      <c r="U580" s="20">
        <v>45973.497789351852</v>
      </c>
      <c r="V580" s="20">
        <v>45974.455034722225</v>
      </c>
      <c r="Z580" t="s">
        <v>1269</v>
      </c>
      <c r="AC580" t="s">
        <v>632</v>
      </c>
      <c r="AX580" t="s">
        <v>3999</v>
      </c>
      <c r="AY580" t="s">
        <v>3988</v>
      </c>
    </row>
    <row r="581" spans="1:51" x14ac:dyDescent="0.25">
      <c r="A581" t="s">
        <v>1869</v>
      </c>
      <c r="B581" t="s">
        <v>1269</v>
      </c>
      <c r="C581" t="s">
        <v>1870</v>
      </c>
      <c r="E581">
        <v>1</v>
      </c>
      <c r="F581">
        <v>1</v>
      </c>
      <c r="J581" t="s">
        <v>1172</v>
      </c>
      <c r="K581" t="s">
        <v>1173</v>
      </c>
      <c r="L581" t="s">
        <v>1174</v>
      </c>
      <c r="N581" t="s">
        <v>50</v>
      </c>
      <c r="O581">
        <v>1</v>
      </c>
      <c r="Q581">
        <v>0</v>
      </c>
      <c r="R581">
        <v>0</v>
      </c>
      <c r="S581">
        <v>0</v>
      </c>
      <c r="T581">
        <v>0</v>
      </c>
      <c r="U581" s="20">
        <v>45973.497824074075</v>
      </c>
      <c r="V581" s="20">
        <v>45974.455023148148</v>
      </c>
      <c r="Z581" t="s">
        <v>1269</v>
      </c>
      <c r="AC581" t="s">
        <v>632</v>
      </c>
      <c r="AX581" t="s">
        <v>4000</v>
      </c>
      <c r="AY581" t="s">
        <v>3988</v>
      </c>
    </row>
    <row r="582" spans="1:51" x14ac:dyDescent="0.25">
      <c r="A582" t="s">
        <v>735</v>
      </c>
      <c r="B582" t="s">
        <v>1269</v>
      </c>
      <c r="C582" t="s">
        <v>1862</v>
      </c>
      <c r="E582">
        <v>1</v>
      </c>
      <c r="F582">
        <v>1</v>
      </c>
      <c r="J582" t="s">
        <v>1172</v>
      </c>
      <c r="K582" t="s">
        <v>1173</v>
      </c>
      <c r="L582" t="s">
        <v>1174</v>
      </c>
      <c r="N582" t="s">
        <v>50</v>
      </c>
      <c r="O582">
        <v>1</v>
      </c>
      <c r="Q582">
        <v>0</v>
      </c>
      <c r="R582">
        <v>0</v>
      </c>
      <c r="S582">
        <v>0</v>
      </c>
      <c r="T582">
        <v>0</v>
      </c>
      <c r="U582" s="20">
        <v>45973.634525462963</v>
      </c>
      <c r="V582" s="20">
        <v>45974.455023148148</v>
      </c>
      <c r="Z582" t="s">
        <v>1269</v>
      </c>
      <c r="AC582" t="s">
        <v>632</v>
      </c>
      <c r="AX582" t="s">
        <v>4001</v>
      </c>
    </row>
    <row r="583" spans="1:51" x14ac:dyDescent="0.25">
      <c r="A583" t="s">
        <v>1816</v>
      </c>
      <c r="B583" t="s">
        <v>1269</v>
      </c>
      <c r="C583" t="s">
        <v>1817</v>
      </c>
      <c r="E583">
        <v>1</v>
      </c>
      <c r="F583">
        <v>1</v>
      </c>
      <c r="J583" t="s">
        <v>1172</v>
      </c>
      <c r="K583" t="s">
        <v>1173</v>
      </c>
      <c r="L583" t="s">
        <v>1174</v>
      </c>
      <c r="N583" t="s">
        <v>50</v>
      </c>
      <c r="O583">
        <v>1</v>
      </c>
      <c r="Q583">
        <v>0</v>
      </c>
      <c r="R583">
        <v>0</v>
      </c>
      <c r="S583">
        <v>0</v>
      </c>
      <c r="T583">
        <v>0</v>
      </c>
      <c r="U583" s="20">
        <v>45973.634733796294</v>
      </c>
      <c r="V583" s="20">
        <v>45974.455034722225</v>
      </c>
      <c r="Z583" t="s">
        <v>1269</v>
      </c>
      <c r="AC583" t="s">
        <v>632</v>
      </c>
      <c r="AX583" t="s">
        <v>4002</v>
      </c>
      <c r="AY583" t="s">
        <v>4001</v>
      </c>
    </row>
    <row r="584" spans="1:51" x14ac:dyDescent="0.25">
      <c r="A584" t="s">
        <v>1804</v>
      </c>
      <c r="B584" t="s">
        <v>1269</v>
      </c>
      <c r="C584" t="s">
        <v>1805</v>
      </c>
      <c r="E584">
        <v>1</v>
      </c>
      <c r="F584">
        <v>1</v>
      </c>
      <c r="J584" t="s">
        <v>1172</v>
      </c>
      <c r="K584" t="s">
        <v>1173</v>
      </c>
      <c r="L584" t="s">
        <v>1174</v>
      </c>
      <c r="N584" t="s">
        <v>50</v>
      </c>
      <c r="O584">
        <v>1</v>
      </c>
      <c r="Q584">
        <v>0</v>
      </c>
      <c r="R584">
        <v>0</v>
      </c>
      <c r="S584">
        <v>0</v>
      </c>
      <c r="T584">
        <v>0</v>
      </c>
      <c r="U584" s="20">
        <v>45973.634768518517</v>
      </c>
      <c r="V584" s="20">
        <v>45974.455034722225</v>
      </c>
      <c r="Z584" t="s">
        <v>1269</v>
      </c>
      <c r="AC584" t="s">
        <v>632</v>
      </c>
      <c r="AX584" t="s">
        <v>4003</v>
      </c>
      <c r="AY584" t="s">
        <v>4001</v>
      </c>
    </row>
    <row r="585" spans="1:51" x14ac:dyDescent="0.25">
      <c r="A585" t="s">
        <v>1807</v>
      </c>
      <c r="B585" t="s">
        <v>1269</v>
      </c>
      <c r="C585" t="s">
        <v>1808</v>
      </c>
      <c r="E585">
        <v>1</v>
      </c>
      <c r="F585">
        <v>1</v>
      </c>
      <c r="J585" t="s">
        <v>1172</v>
      </c>
      <c r="K585" t="s">
        <v>1173</v>
      </c>
      <c r="L585" t="s">
        <v>1174</v>
      </c>
      <c r="N585" t="s">
        <v>50</v>
      </c>
      <c r="O585">
        <v>1</v>
      </c>
      <c r="Q585">
        <v>0</v>
      </c>
      <c r="R585">
        <v>0</v>
      </c>
      <c r="S585">
        <v>0</v>
      </c>
      <c r="T585">
        <v>0</v>
      </c>
      <c r="U585" s="20">
        <v>45973.63480324074</v>
      </c>
      <c r="V585" s="20">
        <v>45974.455034722225</v>
      </c>
      <c r="Z585" t="s">
        <v>1269</v>
      </c>
      <c r="AC585" t="s">
        <v>632</v>
      </c>
      <c r="AX585" t="s">
        <v>4004</v>
      </c>
      <c r="AY585" t="s">
        <v>4001</v>
      </c>
    </row>
    <row r="586" spans="1:51" x14ac:dyDescent="0.25">
      <c r="A586" t="s">
        <v>1819</v>
      </c>
      <c r="B586" t="s">
        <v>1269</v>
      </c>
      <c r="C586" t="s">
        <v>1820</v>
      </c>
      <c r="E586">
        <v>1</v>
      </c>
      <c r="F586">
        <v>1</v>
      </c>
      <c r="J586" t="s">
        <v>1172</v>
      </c>
      <c r="K586" t="s">
        <v>1173</v>
      </c>
      <c r="L586" t="s">
        <v>1174</v>
      </c>
      <c r="N586" t="s">
        <v>50</v>
      </c>
      <c r="O586">
        <v>1</v>
      </c>
      <c r="Q586">
        <v>0</v>
      </c>
      <c r="R586">
        <v>0</v>
      </c>
      <c r="S586">
        <v>0</v>
      </c>
      <c r="T586">
        <v>0</v>
      </c>
      <c r="U586" s="20">
        <v>45973.634837962964</v>
      </c>
      <c r="V586" s="20">
        <v>45974.455023148148</v>
      </c>
      <c r="Z586" t="s">
        <v>1269</v>
      </c>
      <c r="AC586" t="s">
        <v>632</v>
      </c>
      <c r="AX586" t="s">
        <v>4005</v>
      </c>
      <c r="AY586" t="s">
        <v>4001</v>
      </c>
    </row>
    <row r="587" spans="1:51" x14ac:dyDescent="0.25">
      <c r="A587" t="s">
        <v>1845</v>
      </c>
      <c r="B587" t="s">
        <v>1269</v>
      </c>
      <c r="C587" t="s">
        <v>1846</v>
      </c>
      <c r="E587">
        <v>1</v>
      </c>
      <c r="F587">
        <v>1</v>
      </c>
      <c r="J587" t="s">
        <v>1172</v>
      </c>
      <c r="K587" t="s">
        <v>1173</v>
      </c>
      <c r="L587" t="s">
        <v>1174</v>
      </c>
      <c r="N587" t="s">
        <v>50</v>
      </c>
      <c r="O587">
        <v>1</v>
      </c>
      <c r="Q587">
        <v>0</v>
      </c>
      <c r="R587">
        <v>0</v>
      </c>
      <c r="S587">
        <v>0</v>
      </c>
      <c r="T587">
        <v>0</v>
      </c>
      <c r="U587" s="20">
        <v>45973.634872685187</v>
      </c>
      <c r="V587" s="20">
        <v>45974.455034722225</v>
      </c>
      <c r="Z587" t="s">
        <v>1269</v>
      </c>
      <c r="AC587" t="s">
        <v>632</v>
      </c>
      <c r="AX587" t="s">
        <v>4006</v>
      </c>
      <c r="AY587" t="s">
        <v>4001</v>
      </c>
    </row>
    <row r="588" spans="1:51" x14ac:dyDescent="0.25">
      <c r="A588" t="s">
        <v>1849</v>
      </c>
      <c r="B588" t="s">
        <v>1269</v>
      </c>
      <c r="C588" t="s">
        <v>1850</v>
      </c>
      <c r="E588">
        <v>1</v>
      </c>
      <c r="F588">
        <v>1</v>
      </c>
      <c r="J588" t="s">
        <v>1172</v>
      </c>
      <c r="K588" t="s">
        <v>1173</v>
      </c>
      <c r="L588" t="s">
        <v>1174</v>
      </c>
      <c r="N588" t="s">
        <v>50</v>
      </c>
      <c r="O588">
        <v>1</v>
      </c>
      <c r="Q588">
        <v>0</v>
      </c>
      <c r="R588">
        <v>0</v>
      </c>
      <c r="S588">
        <v>0</v>
      </c>
      <c r="T588">
        <v>0</v>
      </c>
      <c r="U588" s="20">
        <v>45973.63490740741</v>
      </c>
      <c r="V588" s="20">
        <v>45974.455034722225</v>
      </c>
      <c r="Z588" t="s">
        <v>1269</v>
      </c>
      <c r="AC588" t="s">
        <v>632</v>
      </c>
      <c r="AX588" t="s">
        <v>4007</v>
      </c>
      <c r="AY588" t="s">
        <v>4001</v>
      </c>
    </row>
    <row r="589" spans="1:51" x14ac:dyDescent="0.25">
      <c r="A589" t="s">
        <v>1852</v>
      </c>
      <c r="B589" t="s">
        <v>1269</v>
      </c>
      <c r="C589" t="s">
        <v>1853</v>
      </c>
      <c r="E589">
        <v>1</v>
      </c>
      <c r="F589">
        <v>1</v>
      </c>
      <c r="J589" t="s">
        <v>1172</v>
      </c>
      <c r="K589" t="s">
        <v>1173</v>
      </c>
      <c r="L589" t="s">
        <v>1174</v>
      </c>
      <c r="N589" t="s">
        <v>50</v>
      </c>
      <c r="O589">
        <v>1</v>
      </c>
      <c r="Q589">
        <v>0</v>
      </c>
      <c r="R589">
        <v>0</v>
      </c>
      <c r="S589">
        <v>0</v>
      </c>
      <c r="T589">
        <v>0</v>
      </c>
      <c r="U589" s="20">
        <v>45973.634930555556</v>
      </c>
      <c r="V589" s="20">
        <v>45974.455023148148</v>
      </c>
      <c r="Z589" t="s">
        <v>1269</v>
      </c>
      <c r="AC589" t="s">
        <v>632</v>
      </c>
      <c r="AX589" t="s">
        <v>4008</v>
      </c>
      <c r="AY589" t="s">
        <v>4001</v>
      </c>
    </row>
    <row r="590" spans="1:51" x14ac:dyDescent="0.25">
      <c r="A590" t="s">
        <v>1871</v>
      </c>
      <c r="B590" t="s">
        <v>1269</v>
      </c>
      <c r="C590" t="s">
        <v>1872</v>
      </c>
      <c r="E590">
        <v>1</v>
      </c>
      <c r="F590">
        <v>1</v>
      </c>
      <c r="J590" t="s">
        <v>1172</v>
      </c>
      <c r="K590" t="s">
        <v>1173</v>
      </c>
      <c r="L590" t="s">
        <v>1174</v>
      </c>
      <c r="N590" t="s">
        <v>50</v>
      </c>
      <c r="O590">
        <v>1</v>
      </c>
      <c r="Q590">
        <v>0</v>
      </c>
      <c r="R590">
        <v>0</v>
      </c>
      <c r="S590">
        <v>0</v>
      </c>
      <c r="T590">
        <v>0</v>
      </c>
      <c r="U590" s="20">
        <v>45973.634965277779</v>
      </c>
      <c r="V590" s="20">
        <v>45974.455023148148</v>
      </c>
      <c r="Z590" t="s">
        <v>1269</v>
      </c>
      <c r="AC590" t="s">
        <v>632</v>
      </c>
      <c r="AX590" t="s">
        <v>4009</v>
      </c>
      <c r="AY590" t="s">
        <v>4001</v>
      </c>
    </row>
    <row r="591" spans="1:51" x14ac:dyDescent="0.25">
      <c r="A591" t="s">
        <v>1829</v>
      </c>
      <c r="B591" t="s">
        <v>1269</v>
      </c>
      <c r="C591" t="s">
        <v>1830</v>
      </c>
      <c r="E591">
        <v>1</v>
      </c>
      <c r="F591">
        <v>1</v>
      </c>
      <c r="J591" t="s">
        <v>1172</v>
      </c>
      <c r="K591" t="s">
        <v>1173</v>
      </c>
      <c r="L591" t="s">
        <v>1174</v>
      </c>
      <c r="N591" t="s">
        <v>50</v>
      </c>
      <c r="O591">
        <v>1</v>
      </c>
      <c r="Q591">
        <v>0</v>
      </c>
      <c r="R591">
        <v>0</v>
      </c>
      <c r="S591">
        <v>0</v>
      </c>
      <c r="T591">
        <v>0</v>
      </c>
      <c r="U591" s="20">
        <v>45973.635000000002</v>
      </c>
      <c r="V591" s="20">
        <v>45974.455023148148</v>
      </c>
      <c r="Z591" t="s">
        <v>1269</v>
      </c>
      <c r="AC591" t="s">
        <v>632</v>
      </c>
      <c r="AX591" t="s">
        <v>4010</v>
      </c>
      <c r="AY591" t="s">
        <v>4001</v>
      </c>
    </row>
    <row r="592" spans="1:51" x14ac:dyDescent="0.25">
      <c r="A592" t="s">
        <v>737</v>
      </c>
      <c r="B592" t="s">
        <v>1269</v>
      </c>
      <c r="C592" t="s">
        <v>1831</v>
      </c>
      <c r="E592">
        <v>1</v>
      </c>
      <c r="F592">
        <v>1</v>
      </c>
      <c r="J592" t="s">
        <v>1172</v>
      </c>
      <c r="K592" t="s">
        <v>1173</v>
      </c>
      <c r="L592" t="s">
        <v>1174</v>
      </c>
      <c r="N592" t="s">
        <v>50</v>
      </c>
      <c r="O592">
        <v>1</v>
      </c>
      <c r="Q592">
        <v>0</v>
      </c>
      <c r="R592">
        <v>0</v>
      </c>
      <c r="S592">
        <v>0</v>
      </c>
      <c r="T592">
        <v>0</v>
      </c>
      <c r="U592" s="20">
        <v>45973.649444444447</v>
      </c>
      <c r="V592" s="20">
        <v>45974.455023148148</v>
      </c>
      <c r="Z592" t="s">
        <v>1269</v>
      </c>
      <c r="AC592" t="s">
        <v>632</v>
      </c>
      <c r="AX592" t="s">
        <v>4011</v>
      </c>
    </row>
    <row r="593" spans="1:51" x14ac:dyDescent="0.25">
      <c r="A593" t="s">
        <v>1832</v>
      </c>
      <c r="B593" t="s">
        <v>1269</v>
      </c>
      <c r="C593" t="s">
        <v>1833</v>
      </c>
      <c r="E593">
        <v>1</v>
      </c>
      <c r="F593">
        <v>1</v>
      </c>
      <c r="J593" t="s">
        <v>1172</v>
      </c>
      <c r="K593" t="s">
        <v>1173</v>
      </c>
      <c r="L593" t="s">
        <v>1174</v>
      </c>
      <c r="N593" t="s">
        <v>50</v>
      </c>
      <c r="O593">
        <v>1</v>
      </c>
      <c r="Q593">
        <v>0</v>
      </c>
      <c r="R593">
        <v>0</v>
      </c>
      <c r="S593">
        <v>0</v>
      </c>
      <c r="T593">
        <v>0</v>
      </c>
      <c r="U593" s="20">
        <v>45973.651516203703</v>
      </c>
      <c r="V593" s="20">
        <v>45974.455023148148</v>
      </c>
      <c r="Z593" t="s">
        <v>1269</v>
      </c>
      <c r="AC593" t="s">
        <v>632</v>
      </c>
      <c r="AX593" t="s">
        <v>4012</v>
      </c>
      <c r="AY593" t="s">
        <v>4011</v>
      </c>
    </row>
    <row r="594" spans="1:51" x14ac:dyDescent="0.25">
      <c r="A594" t="s">
        <v>1792</v>
      </c>
      <c r="B594" t="s">
        <v>1269</v>
      </c>
      <c r="C594" t="s">
        <v>1793</v>
      </c>
      <c r="E594">
        <v>1</v>
      </c>
      <c r="F594">
        <v>1</v>
      </c>
      <c r="J594" t="s">
        <v>1172</v>
      </c>
      <c r="K594" t="s">
        <v>1173</v>
      </c>
      <c r="L594" t="s">
        <v>1174</v>
      </c>
      <c r="N594" t="s">
        <v>50</v>
      </c>
      <c r="O594">
        <v>1</v>
      </c>
      <c r="Q594">
        <v>0</v>
      </c>
      <c r="R594">
        <v>0</v>
      </c>
      <c r="S594">
        <v>0</v>
      </c>
      <c r="T594">
        <v>0</v>
      </c>
      <c r="U594" s="20">
        <v>45973.651550925926</v>
      </c>
      <c r="V594" s="20">
        <v>45974.455023148148</v>
      </c>
      <c r="Z594" t="s">
        <v>1269</v>
      </c>
      <c r="AC594" t="s">
        <v>632</v>
      </c>
      <c r="AX594" t="s">
        <v>4013</v>
      </c>
      <c r="AY594" t="s">
        <v>4011</v>
      </c>
    </row>
    <row r="595" spans="1:51" x14ac:dyDescent="0.25">
      <c r="A595" t="s">
        <v>1835</v>
      </c>
      <c r="B595" t="s">
        <v>1269</v>
      </c>
      <c r="C595" t="s">
        <v>1836</v>
      </c>
      <c r="E595">
        <v>1</v>
      </c>
      <c r="F595">
        <v>1</v>
      </c>
      <c r="J595" t="s">
        <v>1172</v>
      </c>
      <c r="K595" t="s">
        <v>1173</v>
      </c>
      <c r="L595" t="s">
        <v>1174</v>
      </c>
      <c r="N595" t="s">
        <v>50</v>
      </c>
      <c r="O595">
        <v>1</v>
      </c>
      <c r="Q595">
        <v>0</v>
      </c>
      <c r="R595">
        <v>0</v>
      </c>
      <c r="S595">
        <v>0</v>
      </c>
      <c r="T595">
        <v>0</v>
      </c>
      <c r="U595" s="20">
        <v>45973.651585648149</v>
      </c>
      <c r="V595" s="20">
        <v>45974.455034722225</v>
      </c>
      <c r="Z595" t="s">
        <v>1269</v>
      </c>
      <c r="AC595" t="s">
        <v>632</v>
      </c>
      <c r="AX595" t="s">
        <v>4014</v>
      </c>
      <c r="AY595" t="s">
        <v>4011</v>
      </c>
    </row>
    <row r="596" spans="1:51" x14ac:dyDescent="0.25">
      <c r="A596" t="s">
        <v>1842</v>
      </c>
      <c r="B596" t="s">
        <v>1269</v>
      </c>
      <c r="C596" t="s">
        <v>1843</v>
      </c>
      <c r="E596">
        <v>1</v>
      </c>
      <c r="F596">
        <v>1</v>
      </c>
      <c r="J596" t="s">
        <v>1172</v>
      </c>
      <c r="K596" t="s">
        <v>1173</v>
      </c>
      <c r="L596" t="s">
        <v>1174</v>
      </c>
      <c r="N596" t="s">
        <v>50</v>
      </c>
      <c r="O596">
        <v>1</v>
      </c>
      <c r="Q596">
        <v>0</v>
      </c>
      <c r="R596">
        <v>0</v>
      </c>
      <c r="S596">
        <v>0</v>
      </c>
      <c r="T596">
        <v>0</v>
      </c>
      <c r="U596" s="20">
        <v>45973.651620370372</v>
      </c>
      <c r="V596" s="20">
        <v>45974.455023148148</v>
      </c>
      <c r="Z596" t="s">
        <v>1269</v>
      </c>
      <c r="AC596" t="s">
        <v>632</v>
      </c>
      <c r="AX596" t="s">
        <v>4015</v>
      </c>
      <c r="AY596" t="s">
        <v>4011</v>
      </c>
    </row>
    <row r="597" spans="1:51" x14ac:dyDescent="0.25">
      <c r="A597" t="s">
        <v>1813</v>
      </c>
      <c r="B597" t="s">
        <v>1269</v>
      </c>
      <c r="C597" t="s">
        <v>1814</v>
      </c>
      <c r="E597">
        <v>1</v>
      </c>
      <c r="F597">
        <v>1</v>
      </c>
      <c r="J597" t="s">
        <v>1172</v>
      </c>
      <c r="K597" t="s">
        <v>1173</v>
      </c>
      <c r="L597" t="s">
        <v>1174</v>
      </c>
      <c r="N597" t="s">
        <v>50</v>
      </c>
      <c r="O597">
        <v>1</v>
      </c>
      <c r="Q597">
        <v>0</v>
      </c>
      <c r="R597">
        <v>0</v>
      </c>
      <c r="S597">
        <v>0</v>
      </c>
      <c r="T597">
        <v>0</v>
      </c>
      <c r="U597" s="20">
        <v>45973.651655092595</v>
      </c>
      <c r="V597" s="20">
        <v>45974.455023148148</v>
      </c>
      <c r="Z597" t="s">
        <v>1269</v>
      </c>
      <c r="AC597" t="s">
        <v>632</v>
      </c>
      <c r="AX597" t="s">
        <v>4016</v>
      </c>
      <c r="AY597" t="s">
        <v>4011</v>
      </c>
    </row>
    <row r="598" spans="1:51" x14ac:dyDescent="0.25">
      <c r="A598" t="s">
        <v>1799</v>
      </c>
      <c r="B598" t="s">
        <v>1269</v>
      </c>
      <c r="C598" t="s">
        <v>1800</v>
      </c>
      <c r="E598">
        <v>1</v>
      </c>
      <c r="F598">
        <v>1</v>
      </c>
      <c r="J598" t="s">
        <v>1172</v>
      </c>
      <c r="K598" t="s">
        <v>1173</v>
      </c>
      <c r="L598" t="s">
        <v>1174</v>
      </c>
      <c r="N598" t="s">
        <v>50</v>
      </c>
      <c r="O598">
        <v>1</v>
      </c>
      <c r="Q598">
        <v>0</v>
      </c>
      <c r="R598">
        <v>0</v>
      </c>
      <c r="S598">
        <v>0</v>
      </c>
      <c r="T598">
        <v>0</v>
      </c>
      <c r="U598" s="20">
        <v>45973.654849537037</v>
      </c>
      <c r="V598" s="20">
        <v>45974.455023148148</v>
      </c>
      <c r="Z598" t="s">
        <v>1269</v>
      </c>
      <c r="AC598" t="s">
        <v>632</v>
      </c>
      <c r="AX598" t="s">
        <v>3987</v>
      </c>
    </row>
    <row r="599" spans="1:51" x14ac:dyDescent="0.25">
      <c r="A599" t="s">
        <v>763</v>
      </c>
      <c r="B599" t="s">
        <v>1269</v>
      </c>
      <c r="C599" t="s">
        <v>1844</v>
      </c>
      <c r="E599">
        <v>1</v>
      </c>
      <c r="F599">
        <v>1</v>
      </c>
      <c r="J599" t="s">
        <v>1172</v>
      </c>
      <c r="K599" t="s">
        <v>1173</v>
      </c>
      <c r="L599" t="s">
        <v>1174</v>
      </c>
      <c r="N599" t="s">
        <v>50</v>
      </c>
      <c r="O599">
        <v>1</v>
      </c>
      <c r="Q599">
        <v>0</v>
      </c>
      <c r="R599">
        <v>0</v>
      </c>
      <c r="S599">
        <v>0</v>
      </c>
      <c r="T599">
        <v>0</v>
      </c>
      <c r="U599" s="20">
        <v>45973.954872685186</v>
      </c>
      <c r="V599" s="20">
        <v>45974.455023148148</v>
      </c>
      <c r="Z599" t="s">
        <v>1269</v>
      </c>
      <c r="AC599" t="s">
        <v>632</v>
      </c>
      <c r="AX599" t="s">
        <v>4017</v>
      </c>
    </row>
    <row r="600" spans="1:51" x14ac:dyDescent="0.25">
      <c r="A600" t="s">
        <v>775</v>
      </c>
      <c r="B600" t="s">
        <v>1269</v>
      </c>
      <c r="C600" t="s">
        <v>1866</v>
      </c>
      <c r="E600">
        <v>1</v>
      </c>
      <c r="F600">
        <v>1</v>
      </c>
      <c r="J600" t="s">
        <v>1172</v>
      </c>
      <c r="K600" t="s">
        <v>1173</v>
      </c>
      <c r="L600" t="s">
        <v>1174</v>
      </c>
      <c r="N600" t="s">
        <v>50</v>
      </c>
      <c r="O600">
        <v>1</v>
      </c>
      <c r="Q600">
        <v>0</v>
      </c>
      <c r="R600">
        <v>0</v>
      </c>
      <c r="S600">
        <v>0</v>
      </c>
      <c r="T600">
        <v>0</v>
      </c>
      <c r="U600" s="20">
        <v>45973.954907407409</v>
      </c>
      <c r="V600" s="20">
        <v>45974.455011574071</v>
      </c>
      <c r="Z600" t="s">
        <v>1269</v>
      </c>
      <c r="AC600" t="s">
        <v>632</v>
      </c>
      <c r="AX600" t="s">
        <v>4018</v>
      </c>
    </row>
    <row r="601" spans="1:51" x14ac:dyDescent="0.25">
      <c r="A601" t="s">
        <v>766</v>
      </c>
      <c r="B601" t="s">
        <v>1269</v>
      </c>
      <c r="C601" t="s">
        <v>1798</v>
      </c>
      <c r="E601">
        <v>1</v>
      </c>
      <c r="F601">
        <v>1</v>
      </c>
      <c r="J601" t="s">
        <v>1172</v>
      </c>
      <c r="K601" t="s">
        <v>1173</v>
      </c>
      <c r="L601" t="s">
        <v>1174</v>
      </c>
      <c r="N601" t="s">
        <v>50</v>
      </c>
      <c r="O601">
        <v>1</v>
      </c>
      <c r="Q601">
        <v>0</v>
      </c>
      <c r="R601">
        <v>0</v>
      </c>
      <c r="S601">
        <v>0</v>
      </c>
      <c r="T601">
        <v>0</v>
      </c>
      <c r="U601" s="20">
        <v>45973.958020833335</v>
      </c>
      <c r="V601" s="20">
        <v>45974.455023148148</v>
      </c>
      <c r="Z601" t="s">
        <v>1269</v>
      </c>
      <c r="AC601" t="s">
        <v>632</v>
      </c>
      <c r="AX601" t="s">
        <v>4019</v>
      </c>
    </row>
    <row r="602" spans="1:51" x14ac:dyDescent="0.25">
      <c r="A602" t="s">
        <v>762</v>
      </c>
      <c r="B602" t="s">
        <v>1269</v>
      </c>
      <c r="C602" t="s">
        <v>1851</v>
      </c>
      <c r="E602">
        <v>1</v>
      </c>
      <c r="F602">
        <v>1</v>
      </c>
      <c r="J602" t="s">
        <v>1172</v>
      </c>
      <c r="K602" t="s">
        <v>1173</v>
      </c>
      <c r="L602" t="s">
        <v>1174</v>
      </c>
      <c r="N602" t="s">
        <v>50</v>
      </c>
      <c r="O602">
        <v>1</v>
      </c>
      <c r="Q602">
        <v>0</v>
      </c>
      <c r="R602">
        <v>0</v>
      </c>
      <c r="S602">
        <v>0</v>
      </c>
      <c r="T602">
        <v>0</v>
      </c>
      <c r="U602" s="20">
        <v>45973.958055555559</v>
      </c>
      <c r="V602" s="20">
        <v>45974.455023148148</v>
      </c>
      <c r="Z602" t="s">
        <v>1269</v>
      </c>
      <c r="AC602" t="s">
        <v>632</v>
      </c>
      <c r="AX602" t="s">
        <v>4020</v>
      </c>
    </row>
    <row r="603" spans="1:51" x14ac:dyDescent="0.25">
      <c r="A603" t="s">
        <v>772</v>
      </c>
      <c r="B603" t="s">
        <v>1269</v>
      </c>
      <c r="C603" t="s">
        <v>1841</v>
      </c>
      <c r="E603">
        <v>1</v>
      </c>
      <c r="F603">
        <v>1</v>
      </c>
      <c r="J603" t="s">
        <v>1172</v>
      </c>
      <c r="K603" t="s">
        <v>1173</v>
      </c>
      <c r="L603" t="s">
        <v>1174</v>
      </c>
      <c r="N603" t="s">
        <v>50</v>
      </c>
      <c r="O603">
        <v>1</v>
      </c>
      <c r="Q603">
        <v>0</v>
      </c>
      <c r="R603">
        <v>0</v>
      </c>
      <c r="S603">
        <v>0</v>
      </c>
      <c r="T603">
        <v>0</v>
      </c>
      <c r="U603" s="20">
        <v>45973.958101851851</v>
      </c>
      <c r="V603" s="20">
        <v>45974.455011574071</v>
      </c>
      <c r="Z603" t="s">
        <v>1269</v>
      </c>
      <c r="AC603" t="s">
        <v>632</v>
      </c>
      <c r="AX603" t="s">
        <v>4021</v>
      </c>
    </row>
    <row r="604" spans="1:51" x14ac:dyDescent="0.25">
      <c r="A604" t="s">
        <v>769</v>
      </c>
      <c r="B604" t="s">
        <v>1269</v>
      </c>
      <c r="C604" t="s">
        <v>1840</v>
      </c>
      <c r="E604">
        <v>1</v>
      </c>
      <c r="F604">
        <v>1</v>
      </c>
      <c r="J604" t="s">
        <v>1172</v>
      </c>
      <c r="K604" t="s">
        <v>1173</v>
      </c>
      <c r="L604" t="s">
        <v>1174</v>
      </c>
      <c r="N604" t="s">
        <v>50</v>
      </c>
      <c r="O604">
        <v>1</v>
      </c>
      <c r="Q604">
        <v>0</v>
      </c>
      <c r="R604">
        <v>0</v>
      </c>
      <c r="S604">
        <v>0</v>
      </c>
      <c r="T604">
        <v>0</v>
      </c>
      <c r="U604" s="20">
        <v>45980.852418981478</v>
      </c>
      <c r="V604" s="20">
        <v>45980.858495370368</v>
      </c>
      <c r="Z604" t="s">
        <v>1269</v>
      </c>
      <c r="AC604" t="s">
        <v>632</v>
      </c>
      <c r="AX604" t="s">
        <v>4022</v>
      </c>
    </row>
    <row r="605" spans="1:51" x14ac:dyDescent="0.25">
      <c r="A605" t="s">
        <v>1867</v>
      </c>
      <c r="B605" t="s">
        <v>1269</v>
      </c>
      <c r="C605" t="s">
        <v>1868</v>
      </c>
      <c r="E605">
        <v>1</v>
      </c>
      <c r="F605">
        <v>1</v>
      </c>
      <c r="J605" t="s">
        <v>1172</v>
      </c>
      <c r="K605" t="s">
        <v>1173</v>
      </c>
      <c r="L605" t="s">
        <v>1174</v>
      </c>
      <c r="N605" t="s">
        <v>50</v>
      </c>
      <c r="O605">
        <v>1</v>
      </c>
      <c r="Q605">
        <v>0</v>
      </c>
      <c r="R605">
        <v>0</v>
      </c>
      <c r="S605">
        <v>0</v>
      </c>
      <c r="T605">
        <v>0</v>
      </c>
      <c r="U605" s="20">
        <v>45980.852500000001</v>
      </c>
      <c r="V605" s="20">
        <v>45980.852500000001</v>
      </c>
      <c r="Z605" t="s">
        <v>1269</v>
      </c>
      <c r="AC605" t="s">
        <v>632</v>
      </c>
      <c r="AX605" t="s">
        <v>4023</v>
      </c>
      <c r="AY605" t="s">
        <v>4022</v>
      </c>
    </row>
    <row r="606" spans="1:51" x14ac:dyDescent="0.25">
      <c r="A606" t="s">
        <v>1847</v>
      </c>
      <c r="B606" t="s">
        <v>1269</v>
      </c>
      <c r="C606" t="s">
        <v>1848</v>
      </c>
      <c r="E606">
        <v>1</v>
      </c>
      <c r="F606">
        <v>1</v>
      </c>
      <c r="J606" t="s">
        <v>1172</v>
      </c>
      <c r="K606" t="s">
        <v>1173</v>
      </c>
      <c r="L606" t="s">
        <v>1174</v>
      </c>
      <c r="N606" t="s">
        <v>50</v>
      </c>
      <c r="O606">
        <v>1</v>
      </c>
      <c r="Q606">
        <v>0</v>
      </c>
      <c r="R606">
        <v>0</v>
      </c>
      <c r="S606">
        <v>0</v>
      </c>
      <c r="T606">
        <v>0</v>
      </c>
      <c r="U606" s="20">
        <v>45980.852500000001</v>
      </c>
      <c r="V606" s="20">
        <v>45980.852500000001</v>
      </c>
      <c r="Z606" t="s">
        <v>1269</v>
      </c>
      <c r="AC606" t="s">
        <v>632</v>
      </c>
      <c r="AX606" t="s">
        <v>4024</v>
      </c>
      <c r="AY606" t="s">
        <v>4022</v>
      </c>
    </row>
    <row r="607" spans="1:51" x14ac:dyDescent="0.25">
      <c r="A607" t="s">
        <v>1838</v>
      </c>
      <c r="B607" t="s">
        <v>1269</v>
      </c>
      <c r="C607" t="s">
        <v>1839</v>
      </c>
      <c r="E607">
        <v>1</v>
      </c>
      <c r="F607">
        <v>1</v>
      </c>
      <c r="J607" t="s">
        <v>1172</v>
      </c>
      <c r="K607" t="s">
        <v>1173</v>
      </c>
      <c r="L607" t="s">
        <v>1174</v>
      </c>
      <c r="N607" t="s">
        <v>50</v>
      </c>
      <c r="O607">
        <v>1</v>
      </c>
      <c r="Q607">
        <v>0</v>
      </c>
      <c r="R607">
        <v>0</v>
      </c>
      <c r="S607">
        <v>0</v>
      </c>
      <c r="T607">
        <v>0</v>
      </c>
      <c r="U607" s="20">
        <v>45980.852500000001</v>
      </c>
      <c r="V607" s="20">
        <v>45980.852500000001</v>
      </c>
      <c r="Z607" t="s">
        <v>1269</v>
      </c>
      <c r="AC607" t="s">
        <v>632</v>
      </c>
      <c r="AX607" t="s">
        <v>4025</v>
      </c>
      <c r="AY607" t="s">
        <v>4022</v>
      </c>
    </row>
    <row r="608" spans="1:51" x14ac:dyDescent="0.25">
      <c r="A608" t="s">
        <v>1860</v>
      </c>
      <c r="B608" t="s">
        <v>1269</v>
      </c>
      <c r="C608" t="s">
        <v>1861</v>
      </c>
      <c r="E608">
        <v>1</v>
      </c>
      <c r="F608">
        <v>1</v>
      </c>
      <c r="J608" t="s">
        <v>1172</v>
      </c>
      <c r="K608" t="s">
        <v>1173</v>
      </c>
      <c r="L608" t="s">
        <v>1174</v>
      </c>
      <c r="N608" t="s">
        <v>50</v>
      </c>
      <c r="O608">
        <v>1</v>
      </c>
      <c r="Q608">
        <v>0</v>
      </c>
      <c r="R608">
        <v>0</v>
      </c>
      <c r="S608">
        <v>0</v>
      </c>
      <c r="T608">
        <v>0</v>
      </c>
      <c r="U608" s="20">
        <v>45926.658449074072</v>
      </c>
      <c r="V608" s="20">
        <v>45992.449120370373</v>
      </c>
      <c r="Z608" t="s">
        <v>1269</v>
      </c>
      <c r="AC608" t="s">
        <v>632</v>
      </c>
      <c r="AX608" t="s">
        <v>4026</v>
      </c>
    </row>
    <row r="609" spans="1:51" x14ac:dyDescent="0.25">
      <c r="A609" t="s">
        <v>636</v>
      </c>
      <c r="B609" t="s">
        <v>1269</v>
      </c>
      <c r="C609" t="s">
        <v>1859</v>
      </c>
      <c r="E609">
        <v>1</v>
      </c>
      <c r="F609">
        <v>1</v>
      </c>
      <c r="J609" t="s">
        <v>1172</v>
      </c>
      <c r="K609" t="s">
        <v>1173</v>
      </c>
      <c r="L609" t="s">
        <v>1174</v>
      </c>
      <c r="N609" t="s">
        <v>50</v>
      </c>
      <c r="O609">
        <v>1</v>
      </c>
      <c r="Q609">
        <v>0</v>
      </c>
      <c r="R609">
        <v>0</v>
      </c>
      <c r="S609">
        <v>0</v>
      </c>
      <c r="T609">
        <v>0</v>
      </c>
      <c r="U609" s="20">
        <v>45926.658449074072</v>
      </c>
      <c r="V609" s="20">
        <v>45974.455034722225</v>
      </c>
      <c r="Z609" t="s">
        <v>1269</v>
      </c>
      <c r="AC609" t="s">
        <v>632</v>
      </c>
      <c r="AX609" t="s">
        <v>4027</v>
      </c>
      <c r="AY609" t="s">
        <v>4026</v>
      </c>
    </row>
    <row r="610" spans="1:51" x14ac:dyDescent="0.25">
      <c r="A610" t="s">
        <v>643</v>
      </c>
      <c r="B610" t="s">
        <v>1269</v>
      </c>
      <c r="C610" t="s">
        <v>1858</v>
      </c>
      <c r="E610">
        <v>1</v>
      </c>
      <c r="F610">
        <v>1</v>
      </c>
      <c r="J610" t="s">
        <v>1172</v>
      </c>
      <c r="K610" t="s">
        <v>1173</v>
      </c>
      <c r="L610" t="s">
        <v>1174</v>
      </c>
      <c r="N610" t="s">
        <v>50</v>
      </c>
      <c r="O610">
        <v>1</v>
      </c>
      <c r="Q610">
        <v>0</v>
      </c>
      <c r="R610">
        <v>0</v>
      </c>
      <c r="S610">
        <v>0</v>
      </c>
      <c r="T610">
        <v>0</v>
      </c>
      <c r="U610" s="20">
        <v>45926.885844907411</v>
      </c>
      <c r="V610" s="20">
        <v>45974.455034722225</v>
      </c>
      <c r="Z610" t="s">
        <v>1269</v>
      </c>
      <c r="AC610" t="s">
        <v>632</v>
      </c>
      <c r="AX610" t="s">
        <v>4028</v>
      </c>
      <c r="AY610" t="s">
        <v>4026</v>
      </c>
    </row>
    <row r="611" spans="1:51" x14ac:dyDescent="0.25">
      <c r="A611" t="s">
        <v>638</v>
      </c>
      <c r="B611" t="s">
        <v>1269</v>
      </c>
      <c r="C611" t="s">
        <v>1856</v>
      </c>
      <c r="E611">
        <v>1</v>
      </c>
      <c r="F611">
        <v>1</v>
      </c>
      <c r="J611" t="s">
        <v>1172</v>
      </c>
      <c r="K611" t="s">
        <v>1173</v>
      </c>
      <c r="L611" t="s">
        <v>1174</v>
      </c>
      <c r="N611" t="s">
        <v>50</v>
      </c>
      <c r="O611">
        <v>1</v>
      </c>
      <c r="Q611">
        <v>0</v>
      </c>
      <c r="R611">
        <v>0</v>
      </c>
      <c r="S611">
        <v>0</v>
      </c>
      <c r="T611">
        <v>0</v>
      </c>
      <c r="U611" s="20">
        <v>45926.886296296296</v>
      </c>
      <c r="V611" s="20">
        <v>45974.455034722225</v>
      </c>
      <c r="Z611" t="s">
        <v>1269</v>
      </c>
      <c r="AC611" t="s">
        <v>632</v>
      </c>
      <c r="AX611" t="s">
        <v>4029</v>
      </c>
      <c r="AY611" t="s">
        <v>4026</v>
      </c>
    </row>
    <row r="612" spans="1:51" x14ac:dyDescent="0.25">
      <c r="A612" t="s">
        <v>641</v>
      </c>
      <c r="B612" t="s">
        <v>1269</v>
      </c>
      <c r="C612" t="s">
        <v>1857</v>
      </c>
      <c r="E612">
        <v>1</v>
      </c>
      <c r="F612">
        <v>1</v>
      </c>
      <c r="J612" t="s">
        <v>1172</v>
      </c>
      <c r="K612" t="s">
        <v>1173</v>
      </c>
      <c r="L612" t="s">
        <v>1174</v>
      </c>
      <c r="N612" t="s">
        <v>50</v>
      </c>
      <c r="O612">
        <v>1</v>
      </c>
      <c r="Q612">
        <v>0</v>
      </c>
      <c r="R612">
        <v>0</v>
      </c>
      <c r="S612">
        <v>0</v>
      </c>
      <c r="T612">
        <v>0</v>
      </c>
      <c r="U612" s="20">
        <v>45926.886354166665</v>
      </c>
      <c r="V612" s="20">
        <v>45974.455034722225</v>
      </c>
      <c r="Z612" t="s">
        <v>1269</v>
      </c>
      <c r="AC612" t="s">
        <v>632</v>
      </c>
      <c r="AX612" t="s">
        <v>4030</v>
      </c>
      <c r="AY612" t="s">
        <v>4026</v>
      </c>
    </row>
    <row r="613" spans="1:51" x14ac:dyDescent="0.25">
      <c r="A613" t="s">
        <v>854</v>
      </c>
      <c r="B613" t="s">
        <v>1269</v>
      </c>
      <c r="C613" t="s">
        <v>1778</v>
      </c>
      <c r="E613">
        <v>1</v>
      </c>
      <c r="F613">
        <v>1</v>
      </c>
      <c r="J613" t="s">
        <v>1172</v>
      </c>
      <c r="K613" t="s">
        <v>1173</v>
      </c>
      <c r="L613" t="s">
        <v>1174</v>
      </c>
      <c r="N613" t="s">
        <v>50</v>
      </c>
      <c r="O613">
        <v>1</v>
      </c>
      <c r="Q613">
        <v>0</v>
      </c>
      <c r="R613">
        <v>0</v>
      </c>
      <c r="S613">
        <v>0</v>
      </c>
      <c r="T613">
        <v>0</v>
      </c>
      <c r="U613" s="20">
        <v>45975.112233796295</v>
      </c>
      <c r="V613" s="20">
        <v>45992.448923611111</v>
      </c>
      <c r="Z613" t="s">
        <v>1269</v>
      </c>
      <c r="AC613" t="s">
        <v>855</v>
      </c>
      <c r="AX613" t="s">
        <v>4031</v>
      </c>
    </row>
    <row r="614" spans="1:51" x14ac:dyDescent="0.25">
      <c r="A614" t="s">
        <v>846</v>
      </c>
      <c r="B614" t="s">
        <v>1269</v>
      </c>
      <c r="C614" t="s">
        <v>1270</v>
      </c>
      <c r="E614">
        <v>1</v>
      </c>
      <c r="F614">
        <v>1</v>
      </c>
      <c r="J614" t="s">
        <v>1172</v>
      </c>
      <c r="K614" t="s">
        <v>1173</v>
      </c>
      <c r="L614" t="s">
        <v>1174</v>
      </c>
      <c r="N614" t="s">
        <v>50</v>
      </c>
      <c r="O614">
        <v>1</v>
      </c>
      <c r="Q614">
        <v>0</v>
      </c>
      <c r="R614">
        <v>0</v>
      </c>
      <c r="S614">
        <v>0</v>
      </c>
      <c r="T614">
        <v>0</v>
      </c>
      <c r="U614" s="20">
        <v>45975.127210648148</v>
      </c>
      <c r="V614" s="20">
        <v>45992.448298611111</v>
      </c>
      <c r="Z614" t="s">
        <v>1269</v>
      </c>
      <c r="AC614" t="s">
        <v>847</v>
      </c>
      <c r="AX614" t="s">
        <v>4032</v>
      </c>
    </row>
    <row r="615" spans="1:51" x14ac:dyDescent="0.25">
      <c r="A615" t="s">
        <v>1670</v>
      </c>
      <c r="B615" t="s">
        <v>1269</v>
      </c>
      <c r="C615" t="s">
        <v>1671</v>
      </c>
      <c r="E615">
        <v>1</v>
      </c>
      <c r="F615">
        <v>1</v>
      </c>
      <c r="J615" t="s">
        <v>1172</v>
      </c>
      <c r="K615" t="s">
        <v>1173</v>
      </c>
      <c r="L615" t="s">
        <v>1174</v>
      </c>
      <c r="N615" t="s">
        <v>50</v>
      </c>
      <c r="O615">
        <v>1</v>
      </c>
      <c r="Q615">
        <v>0</v>
      </c>
      <c r="R615">
        <v>0</v>
      </c>
      <c r="S615">
        <v>0</v>
      </c>
      <c r="T615">
        <v>0</v>
      </c>
      <c r="U615" s="20">
        <v>45980.633206018516</v>
      </c>
      <c r="V615" s="20">
        <v>45992.448622685188</v>
      </c>
      <c r="Z615" t="s">
        <v>1269</v>
      </c>
      <c r="AC615" t="s">
        <v>787</v>
      </c>
      <c r="AX615" t="s">
        <v>4033</v>
      </c>
    </row>
    <row r="616" spans="1:51" x14ac:dyDescent="0.25">
      <c r="A616" t="s">
        <v>786</v>
      </c>
      <c r="B616" t="s">
        <v>1269</v>
      </c>
      <c r="C616" t="s">
        <v>1669</v>
      </c>
      <c r="E616">
        <v>1</v>
      </c>
      <c r="F616">
        <v>1</v>
      </c>
      <c r="J616" t="s">
        <v>1172</v>
      </c>
      <c r="K616" t="s">
        <v>1173</v>
      </c>
      <c r="L616" t="s">
        <v>1174</v>
      </c>
      <c r="N616" t="s">
        <v>50</v>
      </c>
      <c r="O616">
        <v>1</v>
      </c>
      <c r="Q616">
        <v>0</v>
      </c>
      <c r="R616">
        <v>0</v>
      </c>
      <c r="S616">
        <v>0</v>
      </c>
      <c r="T616">
        <v>0</v>
      </c>
      <c r="U616" s="20">
        <v>45980.633275462962</v>
      </c>
      <c r="V616" s="20">
        <v>45980.650173611109</v>
      </c>
      <c r="Z616" t="s">
        <v>1269</v>
      </c>
      <c r="AC616" t="s">
        <v>787</v>
      </c>
      <c r="AX616" t="s">
        <v>4034</v>
      </c>
      <c r="AY616" t="s">
        <v>4033</v>
      </c>
    </row>
    <row r="617" spans="1:51" x14ac:dyDescent="0.25">
      <c r="A617" t="s">
        <v>1296</v>
      </c>
      <c r="B617" t="s">
        <v>1269</v>
      </c>
      <c r="C617" t="s">
        <v>1297</v>
      </c>
      <c r="E617">
        <v>1</v>
      </c>
      <c r="F617">
        <v>1</v>
      </c>
      <c r="J617" t="s">
        <v>1172</v>
      </c>
      <c r="K617" t="s">
        <v>1173</v>
      </c>
      <c r="L617" t="s">
        <v>1174</v>
      </c>
      <c r="N617" t="s">
        <v>50</v>
      </c>
      <c r="O617">
        <v>1</v>
      </c>
      <c r="Q617">
        <v>0</v>
      </c>
      <c r="R617">
        <v>0</v>
      </c>
      <c r="S617">
        <v>0</v>
      </c>
      <c r="T617">
        <v>0</v>
      </c>
      <c r="U617" s="20">
        <v>45980.679884259262</v>
      </c>
      <c r="V617" s="20">
        <v>45992.448518518519</v>
      </c>
      <c r="Z617" t="s">
        <v>1269</v>
      </c>
      <c r="AC617" t="s">
        <v>831</v>
      </c>
      <c r="AX617" t="s">
        <v>4035</v>
      </c>
    </row>
    <row r="618" spans="1:51" x14ac:dyDescent="0.25">
      <c r="A618" t="s">
        <v>1294</v>
      </c>
      <c r="B618" t="s">
        <v>1269</v>
      </c>
      <c r="C618" t="s">
        <v>1295</v>
      </c>
      <c r="E618">
        <v>1</v>
      </c>
      <c r="F618">
        <v>1</v>
      </c>
      <c r="J618" t="s">
        <v>1172</v>
      </c>
      <c r="K618" t="s">
        <v>1173</v>
      </c>
      <c r="L618" t="s">
        <v>1174</v>
      </c>
      <c r="N618" t="s">
        <v>50</v>
      </c>
      <c r="O618">
        <v>1</v>
      </c>
      <c r="Q618">
        <v>0</v>
      </c>
      <c r="R618">
        <v>0</v>
      </c>
      <c r="S618">
        <v>0</v>
      </c>
      <c r="T618">
        <v>0</v>
      </c>
      <c r="U618" s="20">
        <v>45980.679907407408</v>
      </c>
      <c r="V618" s="20">
        <v>45981.682256944441</v>
      </c>
      <c r="Z618" t="s">
        <v>1269</v>
      </c>
      <c r="AC618" t="s">
        <v>831</v>
      </c>
      <c r="AX618" t="s">
        <v>4036</v>
      </c>
      <c r="AY618" t="s">
        <v>4035</v>
      </c>
    </row>
    <row r="619" spans="1:51" x14ac:dyDescent="0.25">
      <c r="A619" t="s">
        <v>830</v>
      </c>
      <c r="B619" t="s">
        <v>1269</v>
      </c>
      <c r="C619" t="s">
        <v>1291</v>
      </c>
      <c r="E619">
        <v>1</v>
      </c>
      <c r="F619">
        <v>1</v>
      </c>
      <c r="J619" t="s">
        <v>1172</v>
      </c>
      <c r="K619" t="s">
        <v>1173</v>
      </c>
      <c r="L619" t="s">
        <v>1174</v>
      </c>
      <c r="N619" t="s">
        <v>50</v>
      </c>
      <c r="O619">
        <v>1</v>
      </c>
      <c r="Q619">
        <v>0</v>
      </c>
      <c r="R619">
        <v>0</v>
      </c>
      <c r="S619">
        <v>0</v>
      </c>
      <c r="T619">
        <v>0</v>
      </c>
      <c r="U619" s="20">
        <v>45980.679907407408</v>
      </c>
      <c r="V619" s="20">
        <v>45981.682256944441</v>
      </c>
      <c r="Z619" t="s">
        <v>1269</v>
      </c>
      <c r="AC619" t="s">
        <v>831</v>
      </c>
      <c r="AX619" t="s">
        <v>4037</v>
      </c>
      <c r="AY619" t="s">
        <v>4035</v>
      </c>
    </row>
    <row r="620" spans="1:51" x14ac:dyDescent="0.25">
      <c r="A620" t="s">
        <v>1289</v>
      </c>
      <c r="B620" t="s">
        <v>1269</v>
      </c>
      <c r="C620" t="s">
        <v>1290</v>
      </c>
      <c r="E620">
        <v>1</v>
      </c>
      <c r="F620">
        <v>1</v>
      </c>
      <c r="J620" t="s">
        <v>1172</v>
      </c>
      <c r="K620" t="s">
        <v>1173</v>
      </c>
      <c r="L620" t="s">
        <v>1174</v>
      </c>
      <c r="N620" t="s">
        <v>50</v>
      </c>
      <c r="O620">
        <v>1</v>
      </c>
      <c r="Q620">
        <v>0</v>
      </c>
      <c r="R620">
        <v>0</v>
      </c>
      <c r="S620">
        <v>0</v>
      </c>
      <c r="T620">
        <v>0</v>
      </c>
      <c r="U620" s="20">
        <v>45980.679907407408</v>
      </c>
      <c r="V620" s="20">
        <v>45981.682245370372</v>
      </c>
      <c r="Z620" t="s">
        <v>1269</v>
      </c>
      <c r="AC620" t="s">
        <v>831</v>
      </c>
      <c r="AX620" t="s">
        <v>4038</v>
      </c>
      <c r="AY620" t="s">
        <v>4035</v>
      </c>
    </row>
    <row r="621" spans="1:51" x14ac:dyDescent="0.25">
      <c r="A621" t="s">
        <v>1292</v>
      </c>
      <c r="B621" t="s">
        <v>1269</v>
      </c>
      <c r="C621" t="s">
        <v>1293</v>
      </c>
      <c r="E621">
        <v>1</v>
      </c>
      <c r="F621">
        <v>1</v>
      </c>
      <c r="J621" t="s">
        <v>1172</v>
      </c>
      <c r="K621" t="s">
        <v>1173</v>
      </c>
      <c r="L621" t="s">
        <v>1174</v>
      </c>
      <c r="N621" t="s">
        <v>50</v>
      </c>
      <c r="O621">
        <v>1</v>
      </c>
      <c r="Q621">
        <v>0</v>
      </c>
      <c r="R621">
        <v>0</v>
      </c>
      <c r="S621">
        <v>0</v>
      </c>
      <c r="T621">
        <v>0</v>
      </c>
      <c r="U621" s="20">
        <v>45980.686631944445</v>
      </c>
      <c r="V621" s="20">
        <v>45981.682256944441</v>
      </c>
      <c r="Z621" t="s">
        <v>1269</v>
      </c>
      <c r="AC621" t="s">
        <v>831</v>
      </c>
      <c r="AX621" t="s">
        <v>4039</v>
      </c>
      <c r="AY621" t="s">
        <v>4035</v>
      </c>
    </row>
    <row r="622" spans="1:51" x14ac:dyDescent="0.25">
      <c r="A622" t="s">
        <v>1287</v>
      </c>
      <c r="B622" t="s">
        <v>1269</v>
      </c>
      <c r="C622" t="s">
        <v>1288</v>
      </c>
      <c r="E622">
        <v>1</v>
      </c>
      <c r="F622">
        <v>1</v>
      </c>
      <c r="J622" t="s">
        <v>1172</v>
      </c>
      <c r="K622" t="s">
        <v>1173</v>
      </c>
      <c r="L622" t="s">
        <v>1174</v>
      </c>
      <c r="N622" t="s">
        <v>50</v>
      </c>
      <c r="O622">
        <v>1</v>
      </c>
      <c r="Q622">
        <v>0</v>
      </c>
      <c r="R622">
        <v>0</v>
      </c>
      <c r="S622">
        <v>0</v>
      </c>
      <c r="T622">
        <v>0</v>
      </c>
      <c r="U622" s="20">
        <v>45980.793541666666</v>
      </c>
      <c r="V622" s="20">
        <v>45992.448379629626</v>
      </c>
      <c r="Z622" t="s">
        <v>1269</v>
      </c>
      <c r="AC622" t="s">
        <v>839</v>
      </c>
      <c r="AX622" t="s">
        <v>4040</v>
      </c>
    </row>
    <row r="623" spans="1:51" x14ac:dyDescent="0.25">
      <c r="A623" t="s">
        <v>1285</v>
      </c>
      <c r="B623" t="s">
        <v>1269</v>
      </c>
      <c r="C623" t="s">
        <v>1286</v>
      </c>
      <c r="E623">
        <v>1</v>
      </c>
      <c r="F623">
        <v>1</v>
      </c>
      <c r="J623" t="s">
        <v>1172</v>
      </c>
      <c r="K623" t="s">
        <v>1173</v>
      </c>
      <c r="L623" t="s">
        <v>1174</v>
      </c>
      <c r="N623" t="s">
        <v>50</v>
      </c>
      <c r="O623">
        <v>1</v>
      </c>
      <c r="Q623">
        <v>0</v>
      </c>
      <c r="R623">
        <v>0</v>
      </c>
      <c r="S623">
        <v>0</v>
      </c>
      <c r="T623">
        <v>0</v>
      </c>
      <c r="U623" s="20">
        <v>45980.793564814812</v>
      </c>
      <c r="V623" s="20">
        <v>45980.797465277778</v>
      </c>
      <c r="Z623" t="s">
        <v>1269</v>
      </c>
      <c r="AC623" t="s">
        <v>839</v>
      </c>
      <c r="AX623" t="s">
        <v>4041</v>
      </c>
      <c r="AY623" t="s">
        <v>4040</v>
      </c>
    </row>
    <row r="624" spans="1:51" x14ac:dyDescent="0.25">
      <c r="A624" t="s">
        <v>838</v>
      </c>
      <c r="B624" t="s">
        <v>1269</v>
      </c>
      <c r="C624" t="s">
        <v>1284</v>
      </c>
      <c r="E624">
        <v>1</v>
      </c>
      <c r="F624">
        <v>1</v>
      </c>
      <c r="J624" t="s">
        <v>1172</v>
      </c>
      <c r="K624" t="s">
        <v>1173</v>
      </c>
      <c r="L624" t="s">
        <v>1174</v>
      </c>
      <c r="N624" t="s">
        <v>50</v>
      </c>
      <c r="O624">
        <v>1</v>
      </c>
      <c r="Q624">
        <v>0</v>
      </c>
      <c r="R624">
        <v>0</v>
      </c>
      <c r="S624">
        <v>0</v>
      </c>
      <c r="T624">
        <v>0</v>
      </c>
      <c r="U624" s="20">
        <v>45980.793564814812</v>
      </c>
      <c r="V624" s="20">
        <v>45980.797465277778</v>
      </c>
      <c r="Z624" t="s">
        <v>1269</v>
      </c>
      <c r="AC624" t="s">
        <v>839</v>
      </c>
      <c r="AX624" t="s">
        <v>4042</v>
      </c>
      <c r="AY624" t="s">
        <v>4040</v>
      </c>
    </row>
    <row r="625" spans="1:51" x14ac:dyDescent="0.25">
      <c r="A625" t="s">
        <v>1282</v>
      </c>
      <c r="B625" t="s">
        <v>1269</v>
      </c>
      <c r="C625" t="s">
        <v>1283</v>
      </c>
      <c r="E625">
        <v>1</v>
      </c>
      <c r="F625">
        <v>1</v>
      </c>
      <c r="J625" t="s">
        <v>1172</v>
      </c>
      <c r="K625" t="s">
        <v>1173</v>
      </c>
      <c r="L625" t="s">
        <v>1174</v>
      </c>
      <c r="N625" t="s">
        <v>50</v>
      </c>
      <c r="O625">
        <v>1</v>
      </c>
      <c r="Q625">
        <v>0</v>
      </c>
      <c r="R625">
        <v>0</v>
      </c>
      <c r="S625">
        <v>0</v>
      </c>
      <c r="T625">
        <v>0</v>
      </c>
      <c r="U625" s="20">
        <v>45980.793576388889</v>
      </c>
      <c r="V625" s="20">
        <v>45980.797465277778</v>
      </c>
      <c r="Z625" t="s">
        <v>1269</v>
      </c>
      <c r="AC625" t="s">
        <v>839</v>
      </c>
      <c r="AX625" t="s">
        <v>4043</v>
      </c>
      <c r="AY625" t="s">
        <v>4040</v>
      </c>
    </row>
    <row r="626" spans="1:51" x14ac:dyDescent="0.25">
      <c r="A626" t="s">
        <v>1752</v>
      </c>
      <c r="B626" t="s">
        <v>1269</v>
      </c>
      <c r="C626" t="s">
        <v>1753</v>
      </c>
      <c r="E626">
        <v>1</v>
      </c>
      <c r="F626">
        <v>1</v>
      </c>
      <c r="J626" t="s">
        <v>1172</v>
      </c>
      <c r="K626" t="s">
        <v>1173</v>
      </c>
      <c r="L626" t="s">
        <v>1174</v>
      </c>
      <c r="N626" t="s">
        <v>50</v>
      </c>
      <c r="O626">
        <v>1</v>
      </c>
      <c r="Q626">
        <v>0</v>
      </c>
      <c r="R626">
        <v>0</v>
      </c>
      <c r="S626">
        <v>0</v>
      </c>
      <c r="T626">
        <v>0</v>
      </c>
      <c r="U626" s="20">
        <v>45980.852407407408</v>
      </c>
      <c r="V626" s="20">
        <v>45992.448819444442</v>
      </c>
      <c r="Z626" t="s">
        <v>1269</v>
      </c>
      <c r="AC626" t="s">
        <v>809</v>
      </c>
      <c r="AX626" t="s">
        <v>4044</v>
      </c>
    </row>
    <row r="627" spans="1:51" x14ac:dyDescent="0.25">
      <c r="A627" t="s">
        <v>1750</v>
      </c>
      <c r="B627" t="s">
        <v>1269</v>
      </c>
      <c r="C627" t="s">
        <v>1751</v>
      </c>
      <c r="E627">
        <v>1</v>
      </c>
      <c r="F627">
        <v>1</v>
      </c>
      <c r="J627" t="s">
        <v>1172</v>
      </c>
      <c r="K627" t="s">
        <v>1173</v>
      </c>
      <c r="L627" t="s">
        <v>1174</v>
      </c>
      <c r="N627" t="s">
        <v>50</v>
      </c>
      <c r="O627">
        <v>1</v>
      </c>
      <c r="Q627">
        <v>0</v>
      </c>
      <c r="R627">
        <v>0</v>
      </c>
      <c r="S627">
        <v>0</v>
      </c>
      <c r="T627">
        <v>0</v>
      </c>
      <c r="U627" s="20">
        <v>45980.852430555555</v>
      </c>
      <c r="V627" s="20">
        <v>45980.871354166666</v>
      </c>
      <c r="Z627" t="s">
        <v>1269</v>
      </c>
      <c r="AC627" t="s">
        <v>809</v>
      </c>
      <c r="AX627" t="s">
        <v>4045</v>
      </c>
      <c r="AY627" t="s">
        <v>4044</v>
      </c>
    </row>
    <row r="628" spans="1:51" x14ac:dyDescent="0.25">
      <c r="A628" t="s">
        <v>808</v>
      </c>
      <c r="B628" t="s">
        <v>1269</v>
      </c>
      <c r="C628" t="s">
        <v>1749</v>
      </c>
      <c r="E628">
        <v>1</v>
      </c>
      <c r="F628">
        <v>1</v>
      </c>
      <c r="J628" t="s">
        <v>1172</v>
      </c>
      <c r="K628" t="s">
        <v>1173</v>
      </c>
      <c r="L628" t="s">
        <v>1174</v>
      </c>
      <c r="N628" t="s">
        <v>50</v>
      </c>
      <c r="O628">
        <v>1</v>
      </c>
      <c r="Q628">
        <v>0</v>
      </c>
      <c r="R628">
        <v>0</v>
      </c>
      <c r="S628">
        <v>0</v>
      </c>
      <c r="T628">
        <v>0</v>
      </c>
      <c r="U628" s="20">
        <v>45980.852430555555</v>
      </c>
      <c r="V628" s="20">
        <v>45980.871365740742</v>
      </c>
      <c r="Z628" t="s">
        <v>1269</v>
      </c>
      <c r="AC628" t="s">
        <v>809</v>
      </c>
      <c r="AX628" t="s">
        <v>4046</v>
      </c>
      <c r="AY628" t="s">
        <v>4044</v>
      </c>
    </row>
    <row r="629" spans="1:51" x14ac:dyDescent="0.25">
      <c r="A629" t="s">
        <v>1694</v>
      </c>
      <c r="B629" t="s">
        <v>1269</v>
      </c>
      <c r="C629" t="s">
        <v>1695</v>
      </c>
      <c r="E629">
        <v>1</v>
      </c>
      <c r="F629">
        <v>1</v>
      </c>
      <c r="J629" t="s">
        <v>1172</v>
      </c>
      <c r="K629" t="s">
        <v>1173</v>
      </c>
      <c r="L629" t="s">
        <v>1174</v>
      </c>
      <c r="N629" t="s">
        <v>50</v>
      </c>
      <c r="O629">
        <v>1</v>
      </c>
      <c r="Q629">
        <v>0</v>
      </c>
      <c r="R629">
        <v>0</v>
      </c>
      <c r="S629">
        <v>0</v>
      </c>
      <c r="T629">
        <v>0</v>
      </c>
      <c r="U629" s="20">
        <v>45981.478090277778</v>
      </c>
      <c r="V629" s="20">
        <v>45992.44871527778</v>
      </c>
      <c r="Z629" t="s">
        <v>1269</v>
      </c>
      <c r="AC629" t="s">
        <v>803</v>
      </c>
      <c r="AX629" t="s">
        <v>4047</v>
      </c>
    </row>
    <row r="630" spans="1:51" x14ac:dyDescent="0.25">
      <c r="A630" t="s">
        <v>802</v>
      </c>
      <c r="B630" t="s">
        <v>1269</v>
      </c>
      <c r="C630" t="s">
        <v>1693</v>
      </c>
      <c r="E630">
        <v>1</v>
      </c>
      <c r="F630">
        <v>1</v>
      </c>
      <c r="J630" t="s">
        <v>1172</v>
      </c>
      <c r="K630" t="s">
        <v>1173</v>
      </c>
      <c r="L630" t="s">
        <v>1174</v>
      </c>
      <c r="N630" t="s">
        <v>50</v>
      </c>
      <c r="O630">
        <v>1</v>
      </c>
      <c r="Q630">
        <v>0</v>
      </c>
      <c r="R630">
        <v>0</v>
      </c>
      <c r="S630">
        <v>0</v>
      </c>
      <c r="T630">
        <v>0</v>
      </c>
      <c r="U630" s="20">
        <v>45981.478090277778</v>
      </c>
      <c r="V630" s="20">
        <v>45981.480439814812</v>
      </c>
      <c r="Z630" t="s">
        <v>1269</v>
      </c>
      <c r="AC630" t="s">
        <v>803</v>
      </c>
      <c r="AX630" t="s">
        <v>4048</v>
      </c>
      <c r="AY630" t="s">
        <v>4047</v>
      </c>
    </row>
    <row r="631" spans="1:51" x14ac:dyDescent="0.25">
      <c r="A631" t="s">
        <v>1785</v>
      </c>
      <c r="B631" t="s">
        <v>1269</v>
      </c>
      <c r="C631" t="s">
        <v>1786</v>
      </c>
      <c r="E631">
        <v>1</v>
      </c>
      <c r="F631">
        <v>1</v>
      </c>
      <c r="J631" t="s">
        <v>1172</v>
      </c>
      <c r="K631" t="s">
        <v>1173</v>
      </c>
      <c r="L631" t="s">
        <v>1174</v>
      </c>
      <c r="N631" t="s">
        <v>50</v>
      </c>
      <c r="O631">
        <v>1</v>
      </c>
      <c r="Q631">
        <v>0</v>
      </c>
      <c r="R631">
        <v>0</v>
      </c>
      <c r="S631">
        <v>0</v>
      </c>
      <c r="T631">
        <v>0</v>
      </c>
      <c r="U631" s="20">
        <v>45981.586539351854</v>
      </c>
      <c r="V631" s="20">
        <v>45992.449004629627</v>
      </c>
      <c r="Z631" t="s">
        <v>1269</v>
      </c>
      <c r="AC631" t="s">
        <v>821</v>
      </c>
      <c r="AX631" t="s">
        <v>4049</v>
      </c>
    </row>
    <row r="632" spans="1:51" x14ac:dyDescent="0.25">
      <c r="A632" t="s">
        <v>820</v>
      </c>
      <c r="B632" t="s">
        <v>1269</v>
      </c>
      <c r="C632" t="s">
        <v>1780</v>
      </c>
      <c r="E632">
        <v>1</v>
      </c>
      <c r="F632">
        <v>1</v>
      </c>
      <c r="J632" t="s">
        <v>1172</v>
      </c>
      <c r="K632" t="s">
        <v>1173</v>
      </c>
      <c r="L632" t="s">
        <v>1174</v>
      </c>
      <c r="N632" t="s">
        <v>50</v>
      </c>
      <c r="O632">
        <v>1</v>
      </c>
      <c r="Q632">
        <v>0</v>
      </c>
      <c r="R632">
        <v>0</v>
      </c>
      <c r="S632">
        <v>0</v>
      </c>
      <c r="T632">
        <v>0</v>
      </c>
      <c r="U632" s="20">
        <v>45981.586562500001</v>
      </c>
      <c r="V632" s="20">
        <v>45981.588148148148</v>
      </c>
      <c r="Z632" t="s">
        <v>1269</v>
      </c>
      <c r="AC632" t="s">
        <v>821</v>
      </c>
      <c r="AX632" t="s">
        <v>4050</v>
      </c>
      <c r="AY632" t="s">
        <v>4049</v>
      </c>
    </row>
    <row r="633" spans="1:51" x14ac:dyDescent="0.25">
      <c r="A633" t="s">
        <v>1781</v>
      </c>
      <c r="B633" t="s">
        <v>1269</v>
      </c>
      <c r="C633" t="s">
        <v>1782</v>
      </c>
      <c r="E633">
        <v>1</v>
      </c>
      <c r="F633">
        <v>1</v>
      </c>
      <c r="J633" t="s">
        <v>1172</v>
      </c>
      <c r="K633" t="s">
        <v>1173</v>
      </c>
      <c r="L633" t="s">
        <v>1174</v>
      </c>
      <c r="N633" t="s">
        <v>50</v>
      </c>
      <c r="O633">
        <v>1</v>
      </c>
      <c r="Q633">
        <v>0</v>
      </c>
      <c r="R633">
        <v>0</v>
      </c>
      <c r="S633">
        <v>0</v>
      </c>
      <c r="T633">
        <v>0</v>
      </c>
      <c r="U633" s="20">
        <v>45981.590844907405</v>
      </c>
      <c r="V633" s="20">
        <v>45981.594351851854</v>
      </c>
      <c r="Z633" t="s">
        <v>1269</v>
      </c>
      <c r="AX633" t="s">
        <v>4051</v>
      </c>
      <c r="AY633" t="s">
        <v>4049</v>
      </c>
    </row>
    <row r="634" spans="1:51" x14ac:dyDescent="0.25">
      <c r="A634" t="s">
        <v>1783</v>
      </c>
      <c r="B634" t="s">
        <v>1269</v>
      </c>
      <c r="C634" t="s">
        <v>1784</v>
      </c>
      <c r="E634">
        <v>1</v>
      </c>
      <c r="F634">
        <v>1</v>
      </c>
      <c r="J634" t="s">
        <v>1172</v>
      </c>
      <c r="K634" t="s">
        <v>1173</v>
      </c>
      <c r="L634" t="s">
        <v>1174</v>
      </c>
      <c r="N634" t="s">
        <v>50</v>
      </c>
      <c r="O634">
        <v>1</v>
      </c>
      <c r="Q634">
        <v>0</v>
      </c>
      <c r="R634">
        <v>0</v>
      </c>
      <c r="S634">
        <v>0</v>
      </c>
      <c r="T634">
        <v>0</v>
      </c>
      <c r="U634" s="20">
        <v>45981.594317129631</v>
      </c>
      <c r="V634" s="20">
        <v>45981.607361111113</v>
      </c>
      <c r="Z634" t="s">
        <v>1269</v>
      </c>
      <c r="AX634" t="s">
        <v>4052</v>
      </c>
      <c r="AY634" t="s">
        <v>4049</v>
      </c>
    </row>
    <row r="635" spans="1:51" x14ac:dyDescent="0.25">
      <c r="A635" t="s">
        <v>2889</v>
      </c>
      <c r="B635" t="s">
        <v>1168</v>
      </c>
      <c r="C635" t="s">
        <v>1189</v>
      </c>
      <c r="D635" t="s">
        <v>2938</v>
      </c>
      <c r="E635">
        <v>1</v>
      </c>
      <c r="F635">
        <v>1</v>
      </c>
      <c r="H635" t="s">
        <v>1170</v>
      </c>
      <c r="I635" t="s">
        <v>1171</v>
      </c>
      <c r="J635" t="s">
        <v>1172</v>
      </c>
      <c r="K635" t="s">
        <v>1173</v>
      </c>
      <c r="L635" t="s">
        <v>1174</v>
      </c>
      <c r="N635" t="s">
        <v>50</v>
      </c>
      <c r="O635">
        <v>1</v>
      </c>
      <c r="Q635">
        <v>0</v>
      </c>
      <c r="R635">
        <v>0</v>
      </c>
      <c r="S635">
        <v>0</v>
      </c>
      <c r="T635">
        <v>0</v>
      </c>
      <c r="U635" s="20">
        <v>45693.804745370369</v>
      </c>
      <c r="V635" s="20">
        <v>46043.908391203702</v>
      </c>
      <c r="Z635" t="s">
        <v>1175</v>
      </c>
      <c r="AA635" t="s">
        <v>45</v>
      </c>
      <c r="AU635" t="s">
        <v>45</v>
      </c>
      <c r="AX635" t="s">
        <v>4053</v>
      </c>
    </row>
    <row r="636" spans="1:51" x14ac:dyDescent="0.25">
      <c r="A636" t="s">
        <v>2890</v>
      </c>
      <c r="B636" t="s">
        <v>1168</v>
      </c>
      <c r="C636" t="s">
        <v>1190</v>
      </c>
      <c r="D636" t="s">
        <v>2939</v>
      </c>
      <c r="E636">
        <v>1</v>
      </c>
      <c r="F636">
        <v>1</v>
      </c>
      <c r="H636" t="s">
        <v>1170</v>
      </c>
      <c r="I636" t="s">
        <v>1171</v>
      </c>
      <c r="J636" t="s">
        <v>1172</v>
      </c>
      <c r="K636" t="s">
        <v>1173</v>
      </c>
      <c r="L636" t="s">
        <v>1174</v>
      </c>
      <c r="N636" t="s">
        <v>50</v>
      </c>
      <c r="O636">
        <v>1</v>
      </c>
      <c r="Q636">
        <v>0</v>
      </c>
      <c r="R636">
        <v>0</v>
      </c>
      <c r="S636">
        <v>0</v>
      </c>
      <c r="T636">
        <v>0</v>
      </c>
      <c r="U636" s="20">
        <v>45679.631226851852</v>
      </c>
      <c r="V636" s="20">
        <v>46043.908391203702</v>
      </c>
      <c r="Z636" t="s">
        <v>1175</v>
      </c>
      <c r="AA636" t="s">
        <v>45</v>
      </c>
      <c r="AU636" t="s">
        <v>45</v>
      </c>
      <c r="AX636" t="s">
        <v>4054</v>
      </c>
    </row>
    <row r="637" spans="1:51" x14ac:dyDescent="0.25">
      <c r="A637" t="s">
        <v>3093</v>
      </c>
      <c r="B637" t="s">
        <v>1168</v>
      </c>
      <c r="C637" t="s">
        <v>1212</v>
      </c>
      <c r="D637" t="s">
        <v>3215</v>
      </c>
      <c r="E637">
        <v>1</v>
      </c>
      <c r="F637">
        <v>1</v>
      </c>
      <c r="H637" t="s">
        <v>1170</v>
      </c>
      <c r="I637" t="s">
        <v>1171</v>
      </c>
      <c r="J637" t="s">
        <v>1172</v>
      </c>
      <c r="K637" t="s">
        <v>1173</v>
      </c>
      <c r="L637" t="s">
        <v>1174</v>
      </c>
      <c r="N637" t="s">
        <v>50</v>
      </c>
      <c r="O637">
        <v>1</v>
      </c>
      <c r="Q637">
        <v>0</v>
      </c>
      <c r="R637">
        <v>0</v>
      </c>
      <c r="S637">
        <v>0</v>
      </c>
      <c r="T637">
        <v>0</v>
      </c>
      <c r="U637" s="20">
        <v>45895.823506944442</v>
      </c>
      <c r="V637" s="20">
        <v>46071.952905092592</v>
      </c>
      <c r="Z637" t="s">
        <v>1175</v>
      </c>
      <c r="AA637" t="s">
        <v>315</v>
      </c>
      <c r="AD637" t="s">
        <v>2047</v>
      </c>
      <c r="AF637" t="s">
        <v>2106</v>
      </c>
      <c r="AG637" t="s">
        <v>2105</v>
      </c>
      <c r="AH637" t="s">
        <v>2049</v>
      </c>
      <c r="AI637" t="s">
        <v>2032</v>
      </c>
      <c r="AJ637" t="s">
        <v>2050</v>
      </c>
      <c r="AK637" t="s">
        <v>2107</v>
      </c>
      <c r="AU637" t="s">
        <v>315</v>
      </c>
      <c r="AX637" t="s">
        <v>4055</v>
      </c>
    </row>
    <row r="638" spans="1:51" x14ac:dyDescent="0.25">
      <c r="A638" t="s">
        <v>2494</v>
      </c>
      <c r="B638" t="s">
        <v>1168</v>
      </c>
      <c r="C638" t="s">
        <v>1234</v>
      </c>
      <c r="D638" t="s">
        <v>2940</v>
      </c>
      <c r="E638">
        <v>1</v>
      </c>
      <c r="F638">
        <v>1</v>
      </c>
      <c r="H638" t="s">
        <v>1170</v>
      </c>
      <c r="I638" t="s">
        <v>1171</v>
      </c>
      <c r="J638" t="s">
        <v>1172</v>
      </c>
      <c r="K638" t="s">
        <v>1173</v>
      </c>
      <c r="L638" t="s">
        <v>1174</v>
      </c>
      <c r="N638" t="s">
        <v>50</v>
      </c>
      <c r="O638">
        <v>1</v>
      </c>
      <c r="Q638">
        <v>0</v>
      </c>
      <c r="R638">
        <v>0</v>
      </c>
      <c r="S638">
        <v>0</v>
      </c>
      <c r="T638">
        <v>0</v>
      </c>
      <c r="U638" s="20">
        <v>45895.845289351855</v>
      </c>
      <c r="V638" s="20">
        <v>46043.908391203702</v>
      </c>
      <c r="Z638" t="s">
        <v>1175</v>
      </c>
      <c r="AA638" t="s">
        <v>45</v>
      </c>
      <c r="AU638" t="s">
        <v>45</v>
      </c>
      <c r="AX638" t="s">
        <v>4056</v>
      </c>
    </row>
    <row r="639" spans="1:51" x14ac:dyDescent="0.25">
      <c r="A639" t="s">
        <v>2493</v>
      </c>
      <c r="B639" t="s">
        <v>1168</v>
      </c>
      <c r="C639" t="s">
        <v>1235</v>
      </c>
      <c r="D639" t="s">
        <v>2941</v>
      </c>
      <c r="E639">
        <v>1</v>
      </c>
      <c r="F639">
        <v>1</v>
      </c>
      <c r="H639" t="s">
        <v>1170</v>
      </c>
      <c r="I639" t="s">
        <v>1171</v>
      </c>
      <c r="J639" t="s">
        <v>1172</v>
      </c>
      <c r="K639" t="s">
        <v>1173</v>
      </c>
      <c r="L639" t="s">
        <v>1174</v>
      </c>
      <c r="N639" t="s">
        <v>50</v>
      </c>
      <c r="O639">
        <v>1</v>
      </c>
      <c r="Q639">
        <v>0</v>
      </c>
      <c r="R639">
        <v>0</v>
      </c>
      <c r="S639">
        <v>0</v>
      </c>
      <c r="T639">
        <v>0</v>
      </c>
      <c r="U639" s="20">
        <v>45895.845868055556</v>
      </c>
      <c r="V639" s="20">
        <v>46043.908391203702</v>
      </c>
      <c r="Z639" t="s">
        <v>1175</v>
      </c>
      <c r="AA639" t="s">
        <v>45</v>
      </c>
      <c r="AU639" t="s">
        <v>45</v>
      </c>
      <c r="AX639" t="s">
        <v>4057</v>
      </c>
    </row>
    <row r="640" spans="1:51" x14ac:dyDescent="0.25">
      <c r="A640" t="s">
        <v>2891</v>
      </c>
      <c r="B640" t="s">
        <v>1168</v>
      </c>
      <c r="C640" t="s">
        <v>1231</v>
      </c>
      <c r="D640" t="s">
        <v>2942</v>
      </c>
      <c r="E640">
        <v>1</v>
      </c>
      <c r="F640">
        <v>1</v>
      </c>
      <c r="H640" t="s">
        <v>1170</v>
      </c>
      <c r="I640" t="s">
        <v>1171</v>
      </c>
      <c r="J640" t="s">
        <v>1172</v>
      </c>
      <c r="K640" t="s">
        <v>1173</v>
      </c>
      <c r="L640" t="s">
        <v>1174</v>
      </c>
      <c r="N640" t="s">
        <v>50</v>
      </c>
      <c r="O640">
        <v>1</v>
      </c>
      <c r="Q640">
        <v>0</v>
      </c>
      <c r="R640">
        <v>0</v>
      </c>
      <c r="S640">
        <v>0</v>
      </c>
      <c r="T640">
        <v>0</v>
      </c>
      <c r="U640" s="20">
        <v>45896.632037037038</v>
      </c>
      <c r="V640" s="20">
        <v>46043.908379629633</v>
      </c>
      <c r="Z640" t="s">
        <v>1175</v>
      </c>
      <c r="AA640" t="s">
        <v>45</v>
      </c>
      <c r="AU640" t="s">
        <v>45</v>
      </c>
      <c r="AX640" t="s">
        <v>4058</v>
      </c>
    </row>
    <row r="641" spans="1:50" x14ac:dyDescent="0.25">
      <c r="A641" t="s">
        <v>2495</v>
      </c>
      <c r="B641" t="s">
        <v>1168</v>
      </c>
      <c r="C641" t="s">
        <v>1721</v>
      </c>
      <c r="D641" t="s">
        <v>2943</v>
      </c>
      <c r="E641">
        <v>1</v>
      </c>
      <c r="F641">
        <v>1</v>
      </c>
      <c r="H641" t="s">
        <v>1170</v>
      </c>
      <c r="I641" t="s">
        <v>1171</v>
      </c>
      <c r="J641" t="s">
        <v>1172</v>
      </c>
      <c r="K641" t="s">
        <v>1173</v>
      </c>
      <c r="L641" t="s">
        <v>1174</v>
      </c>
      <c r="N641" t="s">
        <v>50</v>
      </c>
      <c r="O641">
        <v>1</v>
      </c>
      <c r="Q641">
        <v>0</v>
      </c>
      <c r="R641">
        <v>0</v>
      </c>
      <c r="S641">
        <v>0</v>
      </c>
      <c r="T641">
        <v>0</v>
      </c>
      <c r="U641" s="20">
        <v>45909.852083333331</v>
      </c>
      <c r="V641" s="20">
        <v>46043.908379629633</v>
      </c>
      <c r="Z641" t="s">
        <v>1175</v>
      </c>
      <c r="AA641" t="s">
        <v>45</v>
      </c>
      <c r="AC641" t="s">
        <v>60</v>
      </c>
      <c r="AU641" t="s">
        <v>45</v>
      </c>
      <c r="AX641" t="s">
        <v>4059</v>
      </c>
    </row>
    <row r="642" spans="1:50" x14ac:dyDescent="0.25">
      <c r="A642" t="s">
        <v>2496</v>
      </c>
      <c r="B642" t="s">
        <v>1168</v>
      </c>
      <c r="C642" t="s">
        <v>1298</v>
      </c>
      <c r="D642" t="s">
        <v>2944</v>
      </c>
      <c r="E642">
        <v>1</v>
      </c>
      <c r="F642">
        <v>1</v>
      </c>
      <c r="H642" t="s">
        <v>1170</v>
      </c>
      <c r="I642" t="s">
        <v>1171</v>
      </c>
      <c r="J642" t="s">
        <v>1172</v>
      </c>
      <c r="K642" t="s">
        <v>1173</v>
      </c>
      <c r="L642" t="s">
        <v>1174</v>
      </c>
      <c r="N642" t="s">
        <v>50</v>
      </c>
      <c r="O642">
        <v>1</v>
      </c>
      <c r="Q642">
        <v>0</v>
      </c>
      <c r="R642">
        <v>0</v>
      </c>
      <c r="S642">
        <v>0</v>
      </c>
      <c r="T642">
        <v>0</v>
      </c>
      <c r="U642" s="20">
        <v>45910.682754629626</v>
      </c>
      <c r="V642" s="20">
        <v>46043.908391203702</v>
      </c>
      <c r="Z642" t="s">
        <v>1175</v>
      </c>
      <c r="AA642" t="s">
        <v>180</v>
      </c>
      <c r="AC642" t="s">
        <v>60</v>
      </c>
      <c r="AU642" t="s">
        <v>180</v>
      </c>
      <c r="AX642" t="s">
        <v>4060</v>
      </c>
    </row>
    <row r="643" spans="1:50" x14ac:dyDescent="0.25">
      <c r="A643" t="s">
        <v>2892</v>
      </c>
      <c r="B643" t="s">
        <v>1168</v>
      </c>
      <c r="C643" t="s">
        <v>1678</v>
      </c>
      <c r="D643" t="s">
        <v>2945</v>
      </c>
      <c r="E643">
        <v>1</v>
      </c>
      <c r="F643">
        <v>1</v>
      </c>
      <c r="H643" t="s">
        <v>1170</v>
      </c>
      <c r="I643" t="s">
        <v>1171</v>
      </c>
      <c r="J643" t="s">
        <v>1172</v>
      </c>
      <c r="K643" t="s">
        <v>1173</v>
      </c>
      <c r="L643" t="s">
        <v>1174</v>
      </c>
      <c r="N643" t="s">
        <v>50</v>
      </c>
      <c r="O643">
        <v>1</v>
      </c>
      <c r="Q643">
        <v>0</v>
      </c>
      <c r="R643">
        <v>0</v>
      </c>
      <c r="S643">
        <v>0</v>
      </c>
      <c r="T643">
        <v>0</v>
      </c>
      <c r="U643" s="20">
        <v>45918.494629629633</v>
      </c>
      <c r="V643" s="20">
        <v>46043.908391203702</v>
      </c>
      <c r="Z643" t="s">
        <v>1175</v>
      </c>
      <c r="AA643" t="s">
        <v>45</v>
      </c>
      <c r="AC643" t="s">
        <v>60</v>
      </c>
      <c r="AU643" t="s">
        <v>45</v>
      </c>
      <c r="AX643" t="s">
        <v>4061</v>
      </c>
    </row>
    <row r="644" spans="1:50" x14ac:dyDescent="0.25">
      <c r="A644" t="s">
        <v>2497</v>
      </c>
      <c r="B644" t="s">
        <v>1168</v>
      </c>
      <c r="C644" t="s">
        <v>1236</v>
      </c>
      <c r="D644" t="s">
        <v>2946</v>
      </c>
      <c r="E644">
        <v>1</v>
      </c>
      <c r="F644">
        <v>1</v>
      </c>
      <c r="H644" t="s">
        <v>1170</v>
      </c>
      <c r="I644" t="s">
        <v>1171</v>
      </c>
      <c r="J644" t="s">
        <v>1172</v>
      </c>
      <c r="K644" t="s">
        <v>1173</v>
      </c>
      <c r="L644" t="s">
        <v>1174</v>
      </c>
      <c r="N644" t="s">
        <v>50</v>
      </c>
      <c r="O644">
        <v>1</v>
      </c>
      <c r="Q644">
        <v>0</v>
      </c>
      <c r="R644">
        <v>0</v>
      </c>
      <c r="S644">
        <v>0</v>
      </c>
      <c r="T644">
        <v>0</v>
      </c>
      <c r="U644" s="20">
        <v>45918.713148148148</v>
      </c>
      <c r="V644" s="20">
        <v>46043.908391203702</v>
      </c>
      <c r="Z644" t="s">
        <v>1175</v>
      </c>
      <c r="AA644" t="s">
        <v>45</v>
      </c>
      <c r="AU644" t="s">
        <v>45</v>
      </c>
      <c r="AX644" t="s">
        <v>4062</v>
      </c>
    </row>
    <row r="645" spans="1:50" x14ac:dyDescent="0.25">
      <c r="A645" t="s">
        <v>2893</v>
      </c>
      <c r="B645" t="s">
        <v>1168</v>
      </c>
      <c r="C645" t="s">
        <v>1281</v>
      </c>
      <c r="D645" t="s">
        <v>2947</v>
      </c>
      <c r="E645">
        <v>1</v>
      </c>
      <c r="F645">
        <v>1</v>
      </c>
      <c r="H645" t="s">
        <v>1170</v>
      </c>
      <c r="I645" t="s">
        <v>1171</v>
      </c>
      <c r="J645" t="s">
        <v>1172</v>
      </c>
      <c r="K645" t="s">
        <v>1173</v>
      </c>
      <c r="L645" t="s">
        <v>1174</v>
      </c>
      <c r="N645" t="s">
        <v>50</v>
      </c>
      <c r="O645">
        <v>1</v>
      </c>
      <c r="Q645">
        <v>0</v>
      </c>
      <c r="R645">
        <v>0</v>
      </c>
      <c r="S645">
        <v>0</v>
      </c>
      <c r="T645">
        <v>0</v>
      </c>
      <c r="U645" s="20">
        <v>45936.741875</v>
      </c>
      <c r="V645" s="20">
        <v>46043.908379629633</v>
      </c>
      <c r="Z645" t="s">
        <v>1175</v>
      </c>
      <c r="AA645" t="s">
        <v>59</v>
      </c>
      <c r="AC645" t="s">
        <v>60</v>
      </c>
      <c r="AU645" t="s">
        <v>59</v>
      </c>
      <c r="AX645" t="s">
        <v>4063</v>
      </c>
    </row>
    <row r="646" spans="1:50" x14ac:dyDescent="0.25">
      <c r="A646" t="s">
        <v>2894</v>
      </c>
      <c r="B646" t="s">
        <v>1168</v>
      </c>
      <c r="C646" t="s">
        <v>1676</v>
      </c>
      <c r="D646" t="s">
        <v>2948</v>
      </c>
      <c r="E646">
        <v>1</v>
      </c>
      <c r="F646">
        <v>1</v>
      </c>
      <c r="H646" t="s">
        <v>1170</v>
      </c>
      <c r="I646" t="s">
        <v>1171</v>
      </c>
      <c r="J646" t="s">
        <v>1172</v>
      </c>
      <c r="K646" t="s">
        <v>1173</v>
      </c>
      <c r="L646" t="s">
        <v>1174</v>
      </c>
      <c r="N646" t="s">
        <v>50</v>
      </c>
      <c r="O646">
        <v>1</v>
      </c>
      <c r="Q646">
        <v>0</v>
      </c>
      <c r="R646">
        <v>0</v>
      </c>
      <c r="S646">
        <v>0</v>
      </c>
      <c r="T646">
        <v>0</v>
      </c>
      <c r="U646" s="20">
        <v>45936.75613425926</v>
      </c>
      <c r="V646" s="20">
        <v>46043.908379629633</v>
      </c>
      <c r="Z646" t="s">
        <v>1175</v>
      </c>
      <c r="AA646" t="s">
        <v>45</v>
      </c>
      <c r="AC646" t="s">
        <v>60</v>
      </c>
      <c r="AU646" t="s">
        <v>45</v>
      </c>
      <c r="AX646" t="s">
        <v>4064</v>
      </c>
    </row>
    <row r="647" spans="1:50" x14ac:dyDescent="0.25">
      <c r="A647" t="s">
        <v>2895</v>
      </c>
      <c r="B647" t="s">
        <v>1168</v>
      </c>
      <c r="C647" t="s">
        <v>1677</v>
      </c>
      <c r="D647" t="s">
        <v>2945</v>
      </c>
      <c r="E647">
        <v>1</v>
      </c>
      <c r="F647">
        <v>1</v>
      </c>
      <c r="H647" t="s">
        <v>1170</v>
      </c>
      <c r="I647" t="s">
        <v>1171</v>
      </c>
      <c r="J647" t="s">
        <v>1172</v>
      </c>
      <c r="K647" t="s">
        <v>1173</v>
      </c>
      <c r="L647" t="s">
        <v>1174</v>
      </c>
      <c r="N647" t="s">
        <v>50</v>
      </c>
      <c r="O647">
        <v>1</v>
      </c>
      <c r="Q647">
        <v>0</v>
      </c>
      <c r="R647">
        <v>0</v>
      </c>
      <c r="S647">
        <v>0</v>
      </c>
      <c r="T647">
        <v>0</v>
      </c>
      <c r="U647" s="20">
        <v>45936.75613425926</v>
      </c>
      <c r="V647" s="20">
        <v>46043.908379629633</v>
      </c>
      <c r="Z647" t="s">
        <v>1175</v>
      </c>
      <c r="AA647" t="s">
        <v>45</v>
      </c>
      <c r="AC647" t="s">
        <v>60</v>
      </c>
      <c r="AU647" t="s">
        <v>45</v>
      </c>
      <c r="AX647" t="s">
        <v>4065</v>
      </c>
    </row>
    <row r="648" spans="1:50" x14ac:dyDescent="0.25">
      <c r="A648" t="s">
        <v>2896</v>
      </c>
      <c r="B648" t="s">
        <v>1168</v>
      </c>
      <c r="C648" t="s">
        <v>1682</v>
      </c>
      <c r="D648" t="s">
        <v>2945</v>
      </c>
      <c r="E648">
        <v>1</v>
      </c>
      <c r="F648">
        <v>1</v>
      </c>
      <c r="H648" t="s">
        <v>1170</v>
      </c>
      <c r="I648" t="s">
        <v>1171</v>
      </c>
      <c r="J648" t="s">
        <v>1172</v>
      </c>
      <c r="K648" t="s">
        <v>1173</v>
      </c>
      <c r="L648" t="s">
        <v>1174</v>
      </c>
      <c r="N648" t="s">
        <v>50</v>
      </c>
      <c r="O648">
        <v>1</v>
      </c>
      <c r="Q648">
        <v>0</v>
      </c>
      <c r="R648">
        <v>0</v>
      </c>
      <c r="S648">
        <v>0</v>
      </c>
      <c r="T648">
        <v>0</v>
      </c>
      <c r="U648" s="20">
        <v>45936.765717592592</v>
      </c>
      <c r="V648" s="20">
        <v>46043.908379629633</v>
      </c>
      <c r="Z648" t="s">
        <v>1175</v>
      </c>
      <c r="AA648" t="s">
        <v>45</v>
      </c>
      <c r="AC648" t="s">
        <v>60</v>
      </c>
      <c r="AU648" t="s">
        <v>45</v>
      </c>
      <c r="AX648" t="s">
        <v>4066</v>
      </c>
    </row>
    <row r="649" spans="1:50" x14ac:dyDescent="0.25">
      <c r="A649" t="s">
        <v>2897</v>
      </c>
      <c r="B649" t="s">
        <v>1168</v>
      </c>
      <c r="C649" t="s">
        <v>1680</v>
      </c>
      <c r="D649" t="s">
        <v>2948</v>
      </c>
      <c r="E649">
        <v>1</v>
      </c>
      <c r="F649">
        <v>1</v>
      </c>
      <c r="H649" t="s">
        <v>1170</v>
      </c>
      <c r="I649" t="s">
        <v>1171</v>
      </c>
      <c r="J649" t="s">
        <v>1172</v>
      </c>
      <c r="K649" t="s">
        <v>1173</v>
      </c>
      <c r="L649" t="s">
        <v>1174</v>
      </c>
      <c r="N649" t="s">
        <v>50</v>
      </c>
      <c r="O649">
        <v>1</v>
      </c>
      <c r="Q649">
        <v>0</v>
      </c>
      <c r="R649">
        <v>0</v>
      </c>
      <c r="S649">
        <v>0</v>
      </c>
      <c r="T649">
        <v>0</v>
      </c>
      <c r="U649" s="20">
        <v>45936.765717592592</v>
      </c>
      <c r="V649" s="20">
        <v>46043.908379629633</v>
      </c>
      <c r="Z649" t="s">
        <v>1175</v>
      </c>
      <c r="AA649" t="s">
        <v>45</v>
      </c>
      <c r="AC649" t="s">
        <v>60</v>
      </c>
      <c r="AU649" t="s">
        <v>45</v>
      </c>
      <c r="AX649" t="s">
        <v>4067</v>
      </c>
    </row>
    <row r="650" spans="1:50" x14ac:dyDescent="0.25">
      <c r="A650" t="s">
        <v>2898</v>
      </c>
      <c r="B650" t="s">
        <v>1168</v>
      </c>
      <c r="C650" t="s">
        <v>1681</v>
      </c>
      <c r="D650" t="s">
        <v>2945</v>
      </c>
      <c r="E650">
        <v>1</v>
      </c>
      <c r="F650">
        <v>1</v>
      </c>
      <c r="H650" t="s">
        <v>1170</v>
      </c>
      <c r="I650" t="s">
        <v>1171</v>
      </c>
      <c r="J650" t="s">
        <v>1172</v>
      </c>
      <c r="K650" t="s">
        <v>1173</v>
      </c>
      <c r="L650" t="s">
        <v>1174</v>
      </c>
      <c r="N650" t="s">
        <v>50</v>
      </c>
      <c r="O650">
        <v>1</v>
      </c>
      <c r="Q650">
        <v>0</v>
      </c>
      <c r="R650">
        <v>0</v>
      </c>
      <c r="S650">
        <v>0</v>
      </c>
      <c r="T650">
        <v>0</v>
      </c>
      <c r="U650" s="20">
        <v>45936.765717592592</v>
      </c>
      <c r="V650" s="20">
        <v>46043.908379629633</v>
      </c>
      <c r="Z650" t="s">
        <v>1175</v>
      </c>
      <c r="AA650" t="s">
        <v>45</v>
      </c>
      <c r="AC650" t="s">
        <v>60</v>
      </c>
      <c r="AU650" t="s">
        <v>45</v>
      </c>
      <c r="AX650" t="s">
        <v>4068</v>
      </c>
    </row>
    <row r="651" spans="1:50" x14ac:dyDescent="0.25">
      <c r="A651" t="s">
        <v>2899</v>
      </c>
      <c r="B651" t="s">
        <v>1168</v>
      </c>
      <c r="C651" t="s">
        <v>1747</v>
      </c>
      <c r="D651" t="s">
        <v>2949</v>
      </c>
      <c r="E651">
        <v>1</v>
      </c>
      <c r="F651">
        <v>1</v>
      </c>
      <c r="H651" t="s">
        <v>1170</v>
      </c>
      <c r="I651" t="s">
        <v>1171</v>
      </c>
      <c r="J651" t="s">
        <v>1172</v>
      </c>
      <c r="K651" t="s">
        <v>1173</v>
      </c>
      <c r="L651" t="s">
        <v>1174</v>
      </c>
      <c r="N651" t="s">
        <v>50</v>
      </c>
      <c r="O651">
        <v>1</v>
      </c>
      <c r="Q651">
        <v>0</v>
      </c>
      <c r="R651">
        <v>0</v>
      </c>
      <c r="S651">
        <v>0</v>
      </c>
      <c r="T651">
        <v>0</v>
      </c>
      <c r="U651" s="20">
        <v>45936.805462962962</v>
      </c>
      <c r="V651" s="20">
        <v>46043.908379629633</v>
      </c>
      <c r="Z651" t="s">
        <v>1175</v>
      </c>
      <c r="AA651" t="s">
        <v>59</v>
      </c>
      <c r="AC651" t="s">
        <v>60</v>
      </c>
      <c r="AU651" t="s">
        <v>59</v>
      </c>
      <c r="AX651" t="s">
        <v>4069</v>
      </c>
    </row>
    <row r="652" spans="1:50" x14ac:dyDescent="0.25">
      <c r="A652" t="s">
        <v>2900</v>
      </c>
      <c r="B652" t="s">
        <v>1168</v>
      </c>
      <c r="C652" t="s">
        <v>1683</v>
      </c>
      <c r="D652" t="s">
        <v>2945</v>
      </c>
      <c r="E652">
        <v>1</v>
      </c>
      <c r="F652">
        <v>1</v>
      </c>
      <c r="H652" t="s">
        <v>1170</v>
      </c>
      <c r="I652" t="s">
        <v>1171</v>
      </c>
      <c r="J652" t="s">
        <v>1172</v>
      </c>
      <c r="K652" t="s">
        <v>1173</v>
      </c>
      <c r="L652" t="s">
        <v>1174</v>
      </c>
      <c r="N652" t="s">
        <v>50</v>
      </c>
      <c r="O652">
        <v>1</v>
      </c>
      <c r="Q652">
        <v>0</v>
      </c>
      <c r="R652">
        <v>0</v>
      </c>
      <c r="S652">
        <v>0</v>
      </c>
      <c r="T652">
        <v>0</v>
      </c>
      <c r="U652" s="20">
        <v>45959.635439814818</v>
      </c>
      <c r="V652" s="20">
        <v>46043.908379629633</v>
      </c>
      <c r="Z652" t="s">
        <v>1175</v>
      </c>
      <c r="AA652" t="s">
        <v>45</v>
      </c>
      <c r="AC652" t="s">
        <v>60</v>
      </c>
      <c r="AU652" t="s">
        <v>45</v>
      </c>
      <c r="AX652" t="s">
        <v>4070</v>
      </c>
    </row>
    <row r="653" spans="1:50" x14ac:dyDescent="0.25">
      <c r="A653" t="s">
        <v>2901</v>
      </c>
      <c r="B653" t="s">
        <v>1168</v>
      </c>
      <c r="C653" t="s">
        <v>1251</v>
      </c>
      <c r="D653" t="s">
        <v>2950</v>
      </c>
      <c r="E653">
        <v>1</v>
      </c>
      <c r="F653">
        <v>1</v>
      </c>
      <c r="H653" t="s">
        <v>1170</v>
      </c>
      <c r="I653" t="s">
        <v>1171</v>
      </c>
      <c r="J653" t="s">
        <v>1172</v>
      </c>
      <c r="K653" t="s">
        <v>1173</v>
      </c>
      <c r="L653" t="s">
        <v>1174</v>
      </c>
      <c r="N653" t="s">
        <v>50</v>
      </c>
      <c r="O653">
        <v>1</v>
      </c>
      <c r="Q653">
        <v>0</v>
      </c>
      <c r="R653">
        <v>0</v>
      </c>
      <c r="S653">
        <v>0</v>
      </c>
      <c r="T653">
        <v>0</v>
      </c>
      <c r="U653" s="20">
        <v>45987.949189814812</v>
      </c>
      <c r="V653" s="20">
        <v>46043.908391203702</v>
      </c>
      <c r="Z653" t="s">
        <v>1175</v>
      </c>
      <c r="AA653" t="s">
        <v>315</v>
      </c>
      <c r="AU653" t="s">
        <v>315</v>
      </c>
      <c r="AX653" t="s">
        <v>4071</v>
      </c>
    </row>
    <row r="654" spans="1:50" x14ac:dyDescent="0.25">
      <c r="A654" t="s">
        <v>2498</v>
      </c>
      <c r="B654" t="s">
        <v>1168</v>
      </c>
      <c r="C654" t="s">
        <v>1244</v>
      </c>
      <c r="D654" t="s">
        <v>2951</v>
      </c>
      <c r="E654">
        <v>1</v>
      </c>
      <c r="F654">
        <v>1</v>
      </c>
      <c r="H654" t="s">
        <v>1170</v>
      </c>
      <c r="I654" t="s">
        <v>1171</v>
      </c>
      <c r="J654" t="s">
        <v>1172</v>
      </c>
      <c r="K654" t="s">
        <v>1173</v>
      </c>
      <c r="L654" t="s">
        <v>1174</v>
      </c>
      <c r="N654" t="s">
        <v>50</v>
      </c>
      <c r="O654">
        <v>1</v>
      </c>
      <c r="Q654">
        <v>0</v>
      </c>
      <c r="R654">
        <v>0</v>
      </c>
      <c r="S654">
        <v>0</v>
      </c>
      <c r="T654">
        <v>0</v>
      </c>
      <c r="U654" s="20">
        <v>45987.956863425927</v>
      </c>
      <c r="V654" s="20">
        <v>46043.908391203702</v>
      </c>
      <c r="Z654" t="s">
        <v>1175</v>
      </c>
      <c r="AA654" t="s">
        <v>45</v>
      </c>
      <c r="AU654" t="s">
        <v>45</v>
      </c>
      <c r="AX654" t="s">
        <v>4072</v>
      </c>
    </row>
    <row r="655" spans="1:50" x14ac:dyDescent="0.25">
      <c r="A655" t="s">
        <v>2952</v>
      </c>
      <c r="B655" t="s">
        <v>1168</v>
      </c>
      <c r="C655" t="s">
        <v>1248</v>
      </c>
      <c r="D655" t="s">
        <v>2937</v>
      </c>
      <c r="E655">
        <v>1</v>
      </c>
      <c r="F655">
        <v>1</v>
      </c>
      <c r="H655" t="s">
        <v>1170</v>
      </c>
      <c r="I655" t="s">
        <v>1171</v>
      </c>
      <c r="J655" t="s">
        <v>1172</v>
      </c>
      <c r="K655" t="s">
        <v>1173</v>
      </c>
      <c r="L655" t="s">
        <v>1174</v>
      </c>
      <c r="N655" t="s">
        <v>1246</v>
      </c>
      <c r="O655">
        <v>1</v>
      </c>
      <c r="Q655">
        <v>0</v>
      </c>
      <c r="R655">
        <v>0</v>
      </c>
      <c r="S655">
        <v>0</v>
      </c>
      <c r="T655">
        <v>0</v>
      </c>
      <c r="U655" s="20">
        <v>46000.939976851849</v>
      </c>
      <c r="V655" s="20">
        <v>46043.914444444446</v>
      </c>
      <c r="Z655" t="s">
        <v>1175</v>
      </c>
      <c r="AA655" t="s">
        <v>45</v>
      </c>
      <c r="AD655" t="s">
        <v>2047</v>
      </c>
      <c r="AF655" t="s">
        <v>2467</v>
      </c>
      <c r="AH655" t="s">
        <v>2049</v>
      </c>
      <c r="AI655" t="s">
        <v>2025</v>
      </c>
      <c r="AJ655" t="s">
        <v>2050</v>
      </c>
      <c r="AK655" t="s">
        <v>2468</v>
      </c>
      <c r="AU655" t="s">
        <v>45</v>
      </c>
      <c r="AX655" t="s">
        <v>4073</v>
      </c>
    </row>
    <row r="656" spans="1:50" x14ac:dyDescent="0.25">
      <c r="U656" s="20"/>
      <c r="V656" s="20"/>
    </row>
    <row r="657" spans="21:22" x14ac:dyDescent="0.25">
      <c r="U657" s="20"/>
      <c r="V657" s="20"/>
    </row>
    <row r="658" spans="21:22" x14ac:dyDescent="0.25">
      <c r="U658" s="20"/>
      <c r="V658" s="20"/>
    </row>
    <row r="659" spans="21:22" x14ac:dyDescent="0.25">
      <c r="U659" s="20"/>
      <c r="V659" s="20"/>
    </row>
    <row r="660" spans="21:22" x14ac:dyDescent="0.25">
      <c r="U660" s="20"/>
      <c r="V660" s="20"/>
    </row>
    <row r="661" spans="21:22" x14ac:dyDescent="0.25">
      <c r="U661" s="20"/>
      <c r="V661" s="20"/>
    </row>
    <row r="662" spans="21:22" x14ac:dyDescent="0.25">
      <c r="U662" s="20"/>
      <c r="V662" s="20"/>
    </row>
    <row r="663" spans="21:22" x14ac:dyDescent="0.25">
      <c r="U663" s="20"/>
      <c r="V663" s="20"/>
    </row>
    <row r="664" spans="21:22" x14ac:dyDescent="0.25">
      <c r="U664" s="20"/>
      <c r="V664" s="20"/>
    </row>
    <row r="665" spans="21:22" x14ac:dyDescent="0.25">
      <c r="U665" s="20"/>
      <c r="V665" s="20"/>
    </row>
    <row r="666" spans="21:22" x14ac:dyDescent="0.25">
      <c r="U666" s="20"/>
      <c r="V666" s="20"/>
    </row>
    <row r="667" spans="21:22" x14ac:dyDescent="0.25">
      <c r="U667" s="20"/>
      <c r="V667" s="20"/>
    </row>
    <row r="668" spans="21:22" x14ac:dyDescent="0.25">
      <c r="U668" s="20"/>
      <c r="V668" s="20"/>
    </row>
    <row r="669" spans="21:22" x14ac:dyDescent="0.25">
      <c r="U669" s="20"/>
      <c r="V669" s="20"/>
    </row>
    <row r="670" spans="21:22" x14ac:dyDescent="0.25">
      <c r="U670" s="20"/>
      <c r="V670" s="20"/>
    </row>
    <row r="671" spans="21:22" x14ac:dyDescent="0.25">
      <c r="U671" s="20"/>
      <c r="V671" s="20"/>
    </row>
    <row r="672" spans="21:22" x14ac:dyDescent="0.25">
      <c r="U672" s="20"/>
      <c r="V672" s="20"/>
    </row>
    <row r="673" spans="21:22" x14ac:dyDescent="0.25">
      <c r="U673" s="20"/>
      <c r="V673" s="20"/>
    </row>
    <row r="674" spans="21:22" x14ac:dyDescent="0.25">
      <c r="U674" s="20"/>
      <c r="V674" s="20"/>
    </row>
    <row r="675" spans="21:22" x14ac:dyDescent="0.25">
      <c r="U675" s="20"/>
      <c r="V675" s="20"/>
    </row>
    <row r="676" spans="21:22" x14ac:dyDescent="0.25">
      <c r="U676" s="20"/>
      <c r="V676" s="20"/>
    </row>
    <row r="677" spans="21:22" x14ac:dyDescent="0.25">
      <c r="U677" s="20"/>
      <c r="V677" s="20"/>
    </row>
    <row r="678" spans="21:22" x14ac:dyDescent="0.25">
      <c r="U678" s="20"/>
      <c r="V678" s="20"/>
    </row>
    <row r="679" spans="21:22" x14ac:dyDescent="0.25">
      <c r="U679" s="20"/>
      <c r="V679" s="20"/>
    </row>
    <row r="680" spans="21:22" x14ac:dyDescent="0.25">
      <c r="U680" s="20"/>
      <c r="V680" s="20"/>
    </row>
    <row r="681" spans="21:22" x14ac:dyDescent="0.25">
      <c r="U681" s="20"/>
      <c r="V681" s="20"/>
    </row>
    <row r="682" spans="21:22" x14ac:dyDescent="0.25">
      <c r="U682" s="20"/>
      <c r="V682" s="20"/>
    </row>
    <row r="683" spans="21:22" x14ac:dyDescent="0.25">
      <c r="U683" s="20"/>
      <c r="V683" s="20"/>
    </row>
    <row r="684" spans="21:22" x14ac:dyDescent="0.25">
      <c r="U684" s="20"/>
      <c r="V684" s="20"/>
    </row>
    <row r="685" spans="21:22" x14ac:dyDescent="0.25">
      <c r="U685" s="20"/>
      <c r="V685" s="20"/>
    </row>
    <row r="686" spans="21:22" x14ac:dyDescent="0.25">
      <c r="U686" s="20"/>
      <c r="V686" s="20"/>
    </row>
    <row r="687" spans="21:22" x14ac:dyDescent="0.25">
      <c r="U687" s="20"/>
      <c r="V687" s="20"/>
    </row>
    <row r="688" spans="21:22" x14ac:dyDescent="0.25">
      <c r="U688" s="20"/>
      <c r="V688" s="20"/>
    </row>
    <row r="689" spans="21:22" x14ac:dyDescent="0.25">
      <c r="U689" s="20"/>
      <c r="V689" s="20"/>
    </row>
    <row r="690" spans="21:22" x14ac:dyDescent="0.25">
      <c r="U690" s="20"/>
      <c r="V690" s="20"/>
    </row>
    <row r="691" spans="21:22" x14ac:dyDescent="0.25">
      <c r="U691" s="20"/>
      <c r="V691" s="20"/>
    </row>
    <row r="692" spans="21:22" x14ac:dyDescent="0.25">
      <c r="U692" s="20"/>
      <c r="V692" s="20"/>
    </row>
    <row r="693" spans="21:22" x14ac:dyDescent="0.25">
      <c r="U693" s="20"/>
      <c r="V693" s="20"/>
    </row>
    <row r="694" spans="21:22" x14ac:dyDescent="0.25">
      <c r="U694" s="20"/>
      <c r="V694" s="20"/>
    </row>
    <row r="695" spans="21:22" x14ac:dyDescent="0.25">
      <c r="U695" s="20"/>
      <c r="V695" s="20"/>
    </row>
    <row r="696" spans="21:22" x14ac:dyDescent="0.25">
      <c r="U696" s="20"/>
      <c r="V696" s="20"/>
    </row>
    <row r="697" spans="21:22" x14ac:dyDescent="0.25">
      <c r="U697" s="20"/>
      <c r="V697" s="20"/>
    </row>
    <row r="698" spans="21:22" x14ac:dyDescent="0.25">
      <c r="U698" s="20"/>
      <c r="V698" s="20"/>
    </row>
    <row r="699" spans="21:22" x14ac:dyDescent="0.25">
      <c r="U699" s="20"/>
      <c r="V699" s="20"/>
    </row>
    <row r="700" spans="21:22" x14ac:dyDescent="0.25">
      <c r="U700" s="20"/>
      <c r="V700" s="20"/>
    </row>
    <row r="701" spans="21:22" x14ac:dyDescent="0.25">
      <c r="U701" s="20"/>
      <c r="V701" s="20"/>
    </row>
    <row r="702" spans="21:22" x14ac:dyDescent="0.25">
      <c r="U702" s="20"/>
      <c r="V702" s="20"/>
    </row>
    <row r="703" spans="21:22" x14ac:dyDescent="0.25">
      <c r="U703" s="20"/>
      <c r="V703" s="20"/>
    </row>
    <row r="704" spans="21:22" x14ac:dyDescent="0.25">
      <c r="U704" s="20"/>
      <c r="V704" s="20"/>
    </row>
    <row r="705" spans="21:22" x14ac:dyDescent="0.25">
      <c r="U705" s="20"/>
      <c r="V705" s="20"/>
    </row>
    <row r="706" spans="21:22" x14ac:dyDescent="0.25">
      <c r="U706" s="20"/>
      <c r="V706" s="20"/>
    </row>
    <row r="707" spans="21:22" x14ac:dyDescent="0.25">
      <c r="U707" s="20"/>
      <c r="V707" s="20"/>
    </row>
    <row r="708" spans="21:22" x14ac:dyDescent="0.25">
      <c r="U708" s="20"/>
      <c r="V708" s="20"/>
    </row>
    <row r="709" spans="21:22" x14ac:dyDescent="0.25">
      <c r="U709" s="20"/>
      <c r="V709" s="20"/>
    </row>
    <row r="710" spans="21:22" x14ac:dyDescent="0.25">
      <c r="U710" s="20"/>
      <c r="V710" s="20"/>
    </row>
    <row r="711" spans="21:22" x14ac:dyDescent="0.25">
      <c r="U711" s="20"/>
      <c r="V711" s="20"/>
    </row>
    <row r="712" spans="21:22" x14ac:dyDescent="0.25">
      <c r="U712" s="20"/>
      <c r="V712" s="20"/>
    </row>
    <row r="713" spans="21:22" x14ac:dyDescent="0.25">
      <c r="U713" s="20"/>
      <c r="V713" s="20"/>
    </row>
    <row r="714" spans="21:22" x14ac:dyDescent="0.25">
      <c r="U714" s="20"/>
      <c r="V714" s="20"/>
    </row>
    <row r="715" spans="21:22" x14ac:dyDescent="0.25">
      <c r="U715" s="20"/>
      <c r="V715" s="20"/>
    </row>
    <row r="716" spans="21:22" x14ac:dyDescent="0.25">
      <c r="U716" s="20"/>
      <c r="V716" s="20"/>
    </row>
    <row r="717" spans="21:22" x14ac:dyDescent="0.25">
      <c r="U717" s="20"/>
      <c r="V717" s="20"/>
    </row>
    <row r="718" spans="21:22" x14ac:dyDescent="0.25">
      <c r="U718" s="20"/>
      <c r="V718" s="20"/>
    </row>
    <row r="719" spans="21:22" x14ac:dyDescent="0.25">
      <c r="U719" s="20"/>
      <c r="V719" s="20"/>
    </row>
    <row r="720" spans="21:22" x14ac:dyDescent="0.25">
      <c r="U720" s="20"/>
      <c r="V720" s="20"/>
    </row>
    <row r="721" spans="21:22" x14ac:dyDescent="0.25">
      <c r="U721" s="20"/>
      <c r="V721" s="20"/>
    </row>
    <row r="722" spans="21:22" x14ac:dyDescent="0.25">
      <c r="U722" s="20"/>
      <c r="V722" s="20"/>
    </row>
    <row r="723" spans="21:22" x14ac:dyDescent="0.25">
      <c r="U723" s="20"/>
      <c r="V723" s="20"/>
    </row>
    <row r="724" spans="21:22" x14ac:dyDescent="0.25">
      <c r="U724" s="20"/>
      <c r="V724" s="20"/>
    </row>
    <row r="725" spans="21:22" x14ac:dyDescent="0.25">
      <c r="U725" s="20"/>
      <c r="V725" s="20"/>
    </row>
    <row r="726" spans="21:22" x14ac:dyDescent="0.25">
      <c r="U726" s="20"/>
      <c r="V726" s="20"/>
    </row>
    <row r="727" spans="21:22" x14ac:dyDescent="0.25">
      <c r="U727" s="20"/>
      <c r="V727" s="20"/>
    </row>
    <row r="728" spans="21:22" x14ac:dyDescent="0.25">
      <c r="U728" s="20"/>
      <c r="V728" s="20"/>
    </row>
    <row r="729" spans="21:22" x14ac:dyDescent="0.25">
      <c r="U729" s="20"/>
      <c r="V729" s="20"/>
    </row>
    <row r="730" spans="21:22" x14ac:dyDescent="0.25">
      <c r="U730" s="20"/>
      <c r="V730" s="20"/>
    </row>
    <row r="731" spans="21:22" x14ac:dyDescent="0.25">
      <c r="U731" s="20"/>
      <c r="V731" s="20"/>
    </row>
    <row r="732" spans="21:22" x14ac:dyDescent="0.25">
      <c r="U732" s="20"/>
      <c r="V732" s="20"/>
    </row>
    <row r="733" spans="21:22" x14ac:dyDescent="0.25">
      <c r="U733" s="20"/>
      <c r="V733" s="20"/>
    </row>
    <row r="734" spans="21:22" x14ac:dyDescent="0.25">
      <c r="U734" s="20"/>
      <c r="V734" s="20"/>
    </row>
    <row r="735" spans="21:22" x14ac:dyDescent="0.25">
      <c r="U735" s="20"/>
      <c r="V735" s="20"/>
    </row>
    <row r="736" spans="21:22" x14ac:dyDescent="0.25">
      <c r="U736" s="20"/>
      <c r="V736" s="20"/>
    </row>
    <row r="737" spans="21:22" x14ac:dyDescent="0.25">
      <c r="U737" s="20"/>
      <c r="V737" s="20"/>
    </row>
    <row r="738" spans="21:22" x14ac:dyDescent="0.25">
      <c r="U738" s="20"/>
      <c r="V738" s="20"/>
    </row>
    <row r="739" spans="21:22" x14ac:dyDescent="0.25">
      <c r="U739" s="20"/>
      <c r="V739" s="20"/>
    </row>
    <row r="740" spans="21:22" x14ac:dyDescent="0.25">
      <c r="U740" s="20"/>
      <c r="V740" s="20"/>
    </row>
    <row r="741" spans="21:22" x14ac:dyDescent="0.25">
      <c r="U741" s="20"/>
      <c r="V741" s="20"/>
    </row>
    <row r="742" spans="21:22" x14ac:dyDescent="0.25">
      <c r="U742" s="20"/>
      <c r="V742" s="20"/>
    </row>
    <row r="743" spans="21:22" x14ac:dyDescent="0.25">
      <c r="U743" s="20"/>
      <c r="V743" s="20"/>
    </row>
    <row r="744" spans="21:22" x14ac:dyDescent="0.25">
      <c r="U744" s="20"/>
      <c r="V744" s="20"/>
    </row>
    <row r="745" spans="21:22" x14ac:dyDescent="0.25">
      <c r="U745" s="20"/>
      <c r="V745" s="20"/>
    </row>
    <row r="746" spans="21:22" x14ac:dyDescent="0.25">
      <c r="U746" s="20"/>
      <c r="V746" s="20"/>
    </row>
    <row r="747" spans="21:22" x14ac:dyDescent="0.25">
      <c r="U747" s="20"/>
      <c r="V747" s="20"/>
    </row>
    <row r="748" spans="21:22" x14ac:dyDescent="0.25">
      <c r="U748" s="20"/>
      <c r="V748" s="20"/>
    </row>
    <row r="749" spans="21:22" x14ac:dyDescent="0.25">
      <c r="U749" s="20"/>
      <c r="V749" s="20"/>
    </row>
    <row r="750" spans="21:22" x14ac:dyDescent="0.25">
      <c r="U750" s="20"/>
      <c r="V750" s="20"/>
    </row>
    <row r="751" spans="21:22" x14ac:dyDescent="0.25">
      <c r="U751" s="20"/>
      <c r="V751" s="20"/>
    </row>
    <row r="752" spans="21:22" x14ac:dyDescent="0.25">
      <c r="U752" s="20"/>
      <c r="V752" s="20"/>
    </row>
    <row r="753" spans="21:22" x14ac:dyDescent="0.25">
      <c r="U753" s="20"/>
      <c r="V753" s="20"/>
    </row>
    <row r="754" spans="21:22" x14ac:dyDescent="0.25">
      <c r="U754" s="20"/>
      <c r="V754" s="20"/>
    </row>
    <row r="755" spans="21:22" x14ac:dyDescent="0.25">
      <c r="U755" s="20"/>
      <c r="V755" s="20"/>
    </row>
    <row r="756" spans="21:22" x14ac:dyDescent="0.25">
      <c r="U756" s="20"/>
      <c r="V756" s="20"/>
    </row>
    <row r="757" spans="21:22" x14ac:dyDescent="0.25">
      <c r="U757" s="20"/>
      <c r="V757" s="20"/>
    </row>
    <row r="758" spans="21:22" x14ac:dyDescent="0.25">
      <c r="U758" s="20"/>
      <c r="V758" s="20"/>
    </row>
    <row r="759" spans="21:22" x14ac:dyDescent="0.25">
      <c r="U759" s="20"/>
      <c r="V759" s="20"/>
    </row>
    <row r="760" spans="21:22" x14ac:dyDescent="0.25">
      <c r="U760" s="20"/>
      <c r="V760" s="20"/>
    </row>
    <row r="761" spans="21:22" x14ac:dyDescent="0.25">
      <c r="U761" s="20"/>
      <c r="V761" s="20"/>
    </row>
    <row r="762" spans="21:22" x14ac:dyDescent="0.25">
      <c r="U762" s="20"/>
      <c r="V762" s="20"/>
    </row>
    <row r="763" spans="21:22" x14ac:dyDescent="0.25">
      <c r="U763" s="20"/>
      <c r="V763" s="20"/>
    </row>
    <row r="764" spans="21:22" x14ac:dyDescent="0.25">
      <c r="U764" s="20"/>
      <c r="V764" s="20"/>
    </row>
    <row r="765" spans="21:22" x14ac:dyDescent="0.25">
      <c r="U765" s="20"/>
      <c r="V765" s="20"/>
    </row>
    <row r="766" spans="21:22" x14ac:dyDescent="0.25">
      <c r="U766" s="20"/>
      <c r="V766" s="20"/>
    </row>
    <row r="767" spans="21:22" x14ac:dyDescent="0.25">
      <c r="U767" s="20"/>
      <c r="V767" s="20"/>
    </row>
    <row r="768" spans="21:22" x14ac:dyDescent="0.25">
      <c r="U768" s="20"/>
      <c r="V768" s="20"/>
    </row>
    <row r="769" spans="21:22" x14ac:dyDescent="0.25">
      <c r="U769" s="20"/>
      <c r="V769" s="20"/>
    </row>
    <row r="770" spans="21:22" x14ac:dyDescent="0.25">
      <c r="U770" s="20"/>
      <c r="V770" s="20"/>
    </row>
    <row r="771" spans="21:22" x14ac:dyDescent="0.25">
      <c r="U771" s="20"/>
      <c r="V771" s="20"/>
    </row>
    <row r="772" spans="21:22" x14ac:dyDescent="0.25">
      <c r="U772" s="20"/>
      <c r="V772" s="20"/>
    </row>
    <row r="773" spans="21:22" x14ac:dyDescent="0.25">
      <c r="U773" s="20"/>
      <c r="V773" s="20"/>
    </row>
    <row r="774" spans="21:22" x14ac:dyDescent="0.25">
      <c r="U774" s="20"/>
      <c r="V774" s="20"/>
    </row>
    <row r="775" spans="21:22" x14ac:dyDescent="0.25">
      <c r="U775" s="20"/>
      <c r="V775" s="20"/>
    </row>
    <row r="776" spans="21:22" x14ac:dyDescent="0.25">
      <c r="U776" s="20"/>
      <c r="V776" s="20"/>
    </row>
    <row r="777" spans="21:22" x14ac:dyDescent="0.25">
      <c r="U777" s="20"/>
      <c r="V777" s="20"/>
    </row>
    <row r="778" spans="21:22" x14ac:dyDescent="0.25">
      <c r="U778" s="20"/>
      <c r="V778" s="20"/>
    </row>
    <row r="779" spans="21:22" x14ac:dyDescent="0.25">
      <c r="U779" s="20"/>
      <c r="V779" s="20"/>
    </row>
    <row r="780" spans="21:22" x14ac:dyDescent="0.25">
      <c r="U780" s="20"/>
      <c r="V780" s="20"/>
    </row>
    <row r="781" spans="21:22" x14ac:dyDescent="0.25">
      <c r="U781" s="20"/>
      <c r="V781" s="20"/>
    </row>
    <row r="782" spans="21:22" x14ac:dyDescent="0.25">
      <c r="U782" s="20"/>
      <c r="V782" s="20"/>
    </row>
    <row r="783" spans="21:22" x14ac:dyDescent="0.25">
      <c r="U783" s="20"/>
      <c r="V783" s="20"/>
    </row>
    <row r="784" spans="21:22" x14ac:dyDescent="0.25">
      <c r="U784" s="20"/>
      <c r="V784" s="20"/>
    </row>
    <row r="785" spans="21:22" x14ac:dyDescent="0.25">
      <c r="U785" s="20"/>
      <c r="V785" s="20"/>
    </row>
    <row r="786" spans="21:22" x14ac:dyDescent="0.25">
      <c r="U786" s="20"/>
      <c r="V786" s="20"/>
    </row>
    <row r="787" spans="21:22" x14ac:dyDescent="0.25">
      <c r="U787" s="20"/>
      <c r="V787" s="20"/>
    </row>
    <row r="788" spans="21:22" x14ac:dyDescent="0.25">
      <c r="U788" s="20"/>
      <c r="V788" s="20"/>
    </row>
    <row r="789" spans="21:22" x14ac:dyDescent="0.25">
      <c r="U789" s="20"/>
      <c r="V789" s="20"/>
    </row>
    <row r="790" spans="21:22" x14ac:dyDescent="0.25">
      <c r="U790" s="20"/>
      <c r="V790" s="20"/>
    </row>
    <row r="791" spans="21:22" x14ac:dyDescent="0.25">
      <c r="U791" s="20"/>
      <c r="V791" s="20"/>
    </row>
    <row r="792" spans="21:22" x14ac:dyDescent="0.25">
      <c r="U792" s="20"/>
      <c r="V792" s="20"/>
    </row>
    <row r="793" spans="21:22" x14ac:dyDescent="0.25">
      <c r="U793" s="20"/>
      <c r="V793" s="20"/>
    </row>
    <row r="794" spans="21:22" x14ac:dyDescent="0.25">
      <c r="U794" s="20"/>
      <c r="V794" s="20"/>
    </row>
    <row r="795" spans="21:22" x14ac:dyDescent="0.25">
      <c r="U795" s="20"/>
      <c r="V795" s="20"/>
    </row>
    <row r="796" spans="21:22" x14ac:dyDescent="0.25">
      <c r="U796" s="20"/>
      <c r="V796" s="20"/>
    </row>
    <row r="797" spans="21:22" x14ac:dyDescent="0.25">
      <c r="U797" s="20"/>
      <c r="V797" s="20"/>
    </row>
    <row r="798" spans="21:22" x14ac:dyDescent="0.25">
      <c r="U798" s="20"/>
      <c r="V798" s="20"/>
    </row>
    <row r="799" spans="21:22" x14ac:dyDescent="0.25">
      <c r="U799" s="20"/>
      <c r="V799" s="20"/>
    </row>
    <row r="800" spans="21:22" x14ac:dyDescent="0.25">
      <c r="U800" s="20"/>
      <c r="V800" s="20"/>
    </row>
    <row r="801" spans="21:22" x14ac:dyDescent="0.25">
      <c r="U801" s="20"/>
      <c r="V801" s="20"/>
    </row>
    <row r="802" spans="21:22" x14ac:dyDescent="0.25">
      <c r="U802" s="20"/>
      <c r="V802" s="20"/>
    </row>
    <row r="803" spans="21:22" x14ac:dyDescent="0.25">
      <c r="U803" s="20"/>
      <c r="V803" s="20"/>
    </row>
    <row r="804" spans="21:22" x14ac:dyDescent="0.25">
      <c r="U804" s="20"/>
      <c r="V804" s="20"/>
    </row>
    <row r="805" spans="21:22" x14ac:dyDescent="0.25">
      <c r="U805" s="20"/>
      <c r="V805" s="20"/>
    </row>
    <row r="806" spans="21:22" x14ac:dyDescent="0.25">
      <c r="U806" s="20"/>
      <c r="V806" s="20"/>
    </row>
    <row r="807" spans="21:22" x14ac:dyDescent="0.25">
      <c r="U807" s="20"/>
      <c r="V807" s="20"/>
    </row>
    <row r="808" spans="21:22" x14ac:dyDescent="0.25">
      <c r="U808" s="20"/>
      <c r="V808" s="20"/>
    </row>
    <row r="809" spans="21:22" x14ac:dyDescent="0.25">
      <c r="U809" s="20"/>
      <c r="V809" s="20"/>
    </row>
    <row r="810" spans="21:22" x14ac:dyDescent="0.25">
      <c r="U810" s="20"/>
      <c r="V810" s="20"/>
    </row>
    <row r="811" spans="21:22" x14ac:dyDescent="0.25">
      <c r="U811" s="20"/>
      <c r="V811" s="20"/>
    </row>
    <row r="812" spans="21:22" x14ac:dyDescent="0.25">
      <c r="U812" s="20"/>
      <c r="V812" s="20"/>
    </row>
    <row r="813" spans="21:22" x14ac:dyDescent="0.25">
      <c r="U813" s="20"/>
      <c r="V813" s="20"/>
    </row>
    <row r="814" spans="21:22" x14ac:dyDescent="0.25">
      <c r="U814" s="20"/>
      <c r="V814" s="20"/>
    </row>
    <row r="815" spans="21:22" x14ac:dyDescent="0.25">
      <c r="U815" s="20"/>
      <c r="V815" s="20"/>
    </row>
    <row r="816" spans="21:22" x14ac:dyDescent="0.25">
      <c r="U816" s="20"/>
      <c r="V816" s="20"/>
    </row>
    <row r="817" spans="21:22" x14ac:dyDescent="0.25">
      <c r="U817" s="20"/>
      <c r="V817" s="20"/>
    </row>
    <row r="818" spans="21:22" x14ac:dyDescent="0.25">
      <c r="U818" s="20"/>
      <c r="V818" s="20"/>
    </row>
    <row r="819" spans="21:22" x14ac:dyDescent="0.25">
      <c r="U819" s="20"/>
      <c r="V819" s="20"/>
    </row>
    <row r="820" spans="21:22" x14ac:dyDescent="0.25">
      <c r="U820" s="20"/>
      <c r="V820" s="20"/>
    </row>
    <row r="821" spans="21:22" x14ac:dyDescent="0.25">
      <c r="U821" s="20"/>
      <c r="V821" s="20"/>
    </row>
    <row r="822" spans="21:22" x14ac:dyDescent="0.25">
      <c r="U822" s="20"/>
      <c r="V822" s="20"/>
    </row>
    <row r="823" spans="21:22" x14ac:dyDescent="0.25">
      <c r="U823" s="20"/>
      <c r="V823" s="20"/>
    </row>
    <row r="824" spans="21:22" x14ac:dyDescent="0.25">
      <c r="U824" s="20"/>
      <c r="V824" s="20"/>
    </row>
    <row r="825" spans="21:22" x14ac:dyDescent="0.25">
      <c r="U825" s="20"/>
      <c r="V825" s="20"/>
    </row>
    <row r="826" spans="21:22" x14ac:dyDescent="0.25">
      <c r="U826" s="20"/>
      <c r="V826" s="20"/>
    </row>
    <row r="827" spans="21:22" x14ac:dyDescent="0.25">
      <c r="U827" s="20"/>
      <c r="V827" s="20"/>
    </row>
    <row r="828" spans="21:22" x14ac:dyDescent="0.25">
      <c r="U828" s="20"/>
      <c r="V828" s="20"/>
    </row>
    <row r="829" spans="21:22" x14ac:dyDescent="0.25">
      <c r="U829" s="20"/>
      <c r="V829" s="20"/>
    </row>
    <row r="830" spans="21:22" x14ac:dyDescent="0.25">
      <c r="U830" s="20"/>
      <c r="V830" s="20"/>
    </row>
    <row r="831" spans="21:22" x14ac:dyDescent="0.25">
      <c r="U831" s="20"/>
      <c r="V831" s="20"/>
    </row>
    <row r="832" spans="21:22" x14ac:dyDescent="0.25">
      <c r="U832" s="20"/>
      <c r="V832" s="20"/>
    </row>
    <row r="833" spans="21:22" x14ac:dyDescent="0.25">
      <c r="U833" s="20"/>
      <c r="V833" s="20"/>
    </row>
    <row r="834" spans="21:22" x14ac:dyDescent="0.25">
      <c r="U834" s="20"/>
      <c r="V834" s="20"/>
    </row>
    <row r="835" spans="21:22" x14ac:dyDescent="0.25">
      <c r="U835" s="20"/>
      <c r="V835" s="20"/>
    </row>
    <row r="836" spans="21:22" x14ac:dyDescent="0.25">
      <c r="U836" s="20"/>
      <c r="V836" s="20"/>
    </row>
    <row r="837" spans="21:22" x14ac:dyDescent="0.25">
      <c r="U837" s="20"/>
      <c r="V837" s="20"/>
    </row>
    <row r="838" spans="21:22" x14ac:dyDescent="0.25">
      <c r="U838" s="20"/>
      <c r="V838" s="20"/>
    </row>
    <row r="839" spans="21:22" x14ac:dyDescent="0.25">
      <c r="U839" s="20"/>
      <c r="V839" s="20"/>
    </row>
    <row r="840" spans="21:22" x14ac:dyDescent="0.25">
      <c r="U840" s="20"/>
      <c r="V840" s="20"/>
    </row>
    <row r="841" spans="21:22" x14ac:dyDescent="0.25">
      <c r="U841" s="20"/>
      <c r="V841" s="20"/>
    </row>
    <row r="842" spans="21:22" x14ac:dyDescent="0.25">
      <c r="U842" s="20"/>
      <c r="V842" s="20"/>
    </row>
    <row r="843" spans="21:22" x14ac:dyDescent="0.25">
      <c r="U843" s="20"/>
      <c r="V843" s="20"/>
    </row>
    <row r="844" spans="21:22" x14ac:dyDescent="0.25">
      <c r="U844" s="20"/>
      <c r="V844" s="20"/>
    </row>
    <row r="845" spans="21:22" x14ac:dyDescent="0.25">
      <c r="U845" s="20"/>
      <c r="V845" s="20"/>
    </row>
    <row r="846" spans="21:22" x14ac:dyDescent="0.25">
      <c r="U846" s="20"/>
      <c r="V846" s="20"/>
    </row>
    <row r="847" spans="21:22" x14ac:dyDescent="0.25">
      <c r="U847" s="20"/>
      <c r="V847" s="20"/>
    </row>
    <row r="848" spans="21:22" x14ac:dyDescent="0.25">
      <c r="U848" s="20"/>
      <c r="V848" s="20"/>
    </row>
    <row r="849" spans="21:22" x14ac:dyDescent="0.25">
      <c r="U849" s="20"/>
      <c r="V849" s="20"/>
    </row>
    <row r="850" spans="21:22" x14ac:dyDescent="0.25">
      <c r="U850" s="20"/>
      <c r="V850" s="20"/>
    </row>
    <row r="851" spans="21:22" x14ac:dyDescent="0.25">
      <c r="U851" s="20"/>
      <c r="V851" s="20"/>
    </row>
    <row r="852" spans="21:22" x14ac:dyDescent="0.25">
      <c r="U852" s="20"/>
      <c r="V852" s="20"/>
    </row>
    <row r="853" spans="21:22" x14ac:dyDescent="0.25">
      <c r="U853" s="20"/>
      <c r="V853" s="20"/>
    </row>
    <row r="854" spans="21:22" x14ac:dyDescent="0.25">
      <c r="U854" s="20"/>
      <c r="V854" s="20"/>
    </row>
    <row r="855" spans="21:22" x14ac:dyDescent="0.25">
      <c r="U855" s="20"/>
      <c r="V855" s="20"/>
    </row>
    <row r="856" spans="21:22" x14ac:dyDescent="0.25">
      <c r="U856" s="20"/>
      <c r="V856" s="20"/>
    </row>
    <row r="857" spans="21:22" x14ac:dyDescent="0.25">
      <c r="U857" s="20"/>
      <c r="V857" s="20"/>
    </row>
    <row r="858" spans="21:22" x14ac:dyDescent="0.25">
      <c r="U858" s="20"/>
      <c r="V858" s="20"/>
    </row>
    <row r="859" spans="21:22" x14ac:dyDescent="0.25">
      <c r="U859" s="20"/>
      <c r="V859" s="20"/>
    </row>
    <row r="860" spans="21:22" x14ac:dyDescent="0.25">
      <c r="U860" s="20"/>
      <c r="V860" s="20"/>
    </row>
    <row r="861" spans="21:22" x14ac:dyDescent="0.25">
      <c r="U861" s="20"/>
      <c r="V861" s="20"/>
    </row>
    <row r="862" spans="21:22" x14ac:dyDescent="0.25">
      <c r="U862" s="20"/>
      <c r="V862" s="20"/>
    </row>
    <row r="863" spans="21:22" x14ac:dyDescent="0.25">
      <c r="U863" s="20"/>
      <c r="V863" s="20"/>
    </row>
    <row r="864" spans="21:22" x14ac:dyDescent="0.25">
      <c r="U864" s="20"/>
      <c r="V864" s="20"/>
    </row>
    <row r="865" spans="21:22" x14ac:dyDescent="0.25">
      <c r="U865" s="20"/>
      <c r="V865" s="20"/>
    </row>
    <row r="866" spans="21:22" x14ac:dyDescent="0.25">
      <c r="U866" s="20"/>
      <c r="V866" s="20"/>
    </row>
    <row r="867" spans="21:22" x14ac:dyDescent="0.25">
      <c r="U867" s="20"/>
      <c r="V867" s="20"/>
    </row>
    <row r="868" spans="21:22" x14ac:dyDescent="0.25">
      <c r="U868" s="20"/>
      <c r="V868" s="20"/>
    </row>
    <row r="869" spans="21:22" x14ac:dyDescent="0.25">
      <c r="U869" s="20"/>
      <c r="V869" s="20"/>
    </row>
    <row r="870" spans="21:22" x14ac:dyDescent="0.25">
      <c r="U870" s="20"/>
      <c r="V870" s="20"/>
    </row>
    <row r="871" spans="21:22" x14ac:dyDescent="0.25">
      <c r="U871" s="20"/>
      <c r="V871" s="20"/>
    </row>
    <row r="872" spans="21:22" x14ac:dyDescent="0.25">
      <c r="U872" s="20"/>
      <c r="V872" s="20"/>
    </row>
    <row r="873" spans="21:22" x14ac:dyDescent="0.25">
      <c r="U873" s="20"/>
      <c r="V873" s="20"/>
    </row>
    <row r="874" spans="21:22" x14ac:dyDescent="0.25">
      <c r="U874" s="20"/>
      <c r="V874" s="20"/>
    </row>
    <row r="875" spans="21:22" x14ac:dyDescent="0.25">
      <c r="U875" s="20"/>
      <c r="V875" s="20"/>
    </row>
    <row r="876" spans="21:22" x14ac:dyDescent="0.25">
      <c r="U876" s="20"/>
      <c r="V876" s="20"/>
    </row>
    <row r="877" spans="21:22" x14ac:dyDescent="0.25">
      <c r="U877" s="20"/>
      <c r="V877" s="20"/>
    </row>
    <row r="878" spans="21:22" x14ac:dyDescent="0.25">
      <c r="U878" s="20"/>
      <c r="V878" s="20"/>
    </row>
    <row r="879" spans="21:22" x14ac:dyDescent="0.25">
      <c r="U879" s="20"/>
      <c r="V879" s="20"/>
    </row>
    <row r="880" spans="21:22" x14ac:dyDescent="0.25">
      <c r="U880" s="20"/>
      <c r="V880" s="20"/>
    </row>
    <row r="881" spans="21:22" x14ac:dyDescent="0.25">
      <c r="U881" s="20"/>
      <c r="V881" s="20"/>
    </row>
    <row r="882" spans="21:22" x14ac:dyDescent="0.25">
      <c r="U882" s="20"/>
      <c r="V882" s="20"/>
    </row>
    <row r="883" spans="21:22" x14ac:dyDescent="0.25">
      <c r="U883" s="20"/>
      <c r="V883" s="20"/>
    </row>
    <row r="884" spans="21:22" x14ac:dyDescent="0.25">
      <c r="U884" s="20"/>
      <c r="V884" s="20"/>
    </row>
    <row r="885" spans="21:22" x14ac:dyDescent="0.25">
      <c r="U885" s="20"/>
      <c r="V885" s="20"/>
    </row>
    <row r="886" spans="21:22" x14ac:dyDescent="0.25">
      <c r="U886" s="20"/>
      <c r="V886" s="20"/>
    </row>
    <row r="887" spans="21:22" x14ac:dyDescent="0.25">
      <c r="U887" s="20"/>
      <c r="V887" s="20"/>
    </row>
    <row r="888" spans="21:22" x14ac:dyDescent="0.25">
      <c r="U888" s="20"/>
      <c r="V888" s="20"/>
    </row>
    <row r="889" spans="21:22" x14ac:dyDescent="0.25">
      <c r="U889" s="20"/>
      <c r="V889" s="20"/>
    </row>
    <row r="890" spans="21:22" x14ac:dyDescent="0.25">
      <c r="U890" s="20"/>
      <c r="V890" s="20"/>
    </row>
    <row r="891" spans="21:22" x14ac:dyDescent="0.25">
      <c r="U891" s="20"/>
      <c r="V891" s="20"/>
    </row>
    <row r="892" spans="21:22" x14ac:dyDescent="0.25">
      <c r="U892" s="20"/>
      <c r="V892" s="20"/>
    </row>
    <row r="893" spans="21:22" x14ac:dyDescent="0.25">
      <c r="U893" s="20"/>
      <c r="V893" s="20"/>
    </row>
    <row r="894" spans="21:22" x14ac:dyDescent="0.25">
      <c r="U894" s="20"/>
      <c r="V894" s="20"/>
    </row>
    <row r="895" spans="21:22" x14ac:dyDescent="0.25">
      <c r="U895" s="20"/>
      <c r="V895" s="20"/>
    </row>
    <row r="896" spans="21:22" x14ac:dyDescent="0.25">
      <c r="U896" s="20"/>
      <c r="V896" s="20"/>
    </row>
    <row r="897" spans="21:22" x14ac:dyDescent="0.25">
      <c r="U897" s="20"/>
      <c r="V897" s="20"/>
    </row>
    <row r="898" spans="21:22" x14ac:dyDescent="0.25">
      <c r="U898" s="20"/>
      <c r="V898" s="20"/>
    </row>
    <row r="899" spans="21:22" x14ac:dyDescent="0.25">
      <c r="U899" s="20"/>
      <c r="V899" s="20"/>
    </row>
    <row r="900" spans="21:22" x14ac:dyDescent="0.25">
      <c r="U900" s="20"/>
      <c r="V900" s="20"/>
    </row>
    <row r="901" spans="21:22" x14ac:dyDescent="0.25">
      <c r="U901" s="20"/>
      <c r="V901" s="20"/>
    </row>
    <row r="902" spans="21:22" x14ac:dyDescent="0.25">
      <c r="U902" s="20"/>
      <c r="V902" s="20"/>
    </row>
    <row r="903" spans="21:22" x14ac:dyDescent="0.25">
      <c r="U903" s="20"/>
      <c r="V903" s="20"/>
    </row>
    <row r="904" spans="21:22" x14ac:dyDescent="0.25">
      <c r="U904" s="20"/>
      <c r="V904" s="20"/>
    </row>
    <row r="905" spans="21:22" x14ac:dyDescent="0.25">
      <c r="U905" s="20"/>
      <c r="V905" s="20"/>
    </row>
    <row r="906" spans="21:22" x14ac:dyDescent="0.25">
      <c r="U906" s="20"/>
      <c r="V906" s="20"/>
    </row>
    <row r="907" spans="21:22" x14ac:dyDescent="0.25">
      <c r="U907" s="20"/>
      <c r="V907" s="20"/>
    </row>
    <row r="908" spans="21:22" x14ac:dyDescent="0.25">
      <c r="U908" s="20"/>
      <c r="V908" s="20"/>
    </row>
    <row r="909" spans="21:22" x14ac:dyDescent="0.25">
      <c r="U909" s="20"/>
      <c r="V909" s="20"/>
    </row>
    <row r="910" spans="21:22" x14ac:dyDescent="0.25">
      <c r="U910" s="20"/>
      <c r="V910" s="20"/>
    </row>
    <row r="911" spans="21:22" x14ac:dyDescent="0.25">
      <c r="U911" s="20"/>
      <c r="V911" s="20"/>
    </row>
    <row r="912" spans="21:22" x14ac:dyDescent="0.25">
      <c r="U912" s="20"/>
      <c r="V912" s="20"/>
    </row>
    <row r="913" spans="21:22" x14ac:dyDescent="0.25">
      <c r="U913" s="20"/>
      <c r="V913" s="20"/>
    </row>
    <row r="914" spans="21:22" x14ac:dyDescent="0.25">
      <c r="U914" s="20"/>
      <c r="V914" s="20"/>
    </row>
    <row r="915" spans="21:22" x14ac:dyDescent="0.25">
      <c r="U915" s="20"/>
      <c r="V915" s="20"/>
    </row>
    <row r="916" spans="21:22" x14ac:dyDescent="0.25">
      <c r="U916" s="20"/>
      <c r="V916" s="20"/>
    </row>
    <row r="917" spans="21:22" x14ac:dyDescent="0.25">
      <c r="U917" s="20"/>
      <c r="V917" s="20"/>
    </row>
    <row r="918" spans="21:22" x14ac:dyDescent="0.25">
      <c r="U918" s="20"/>
      <c r="V918" s="20"/>
    </row>
    <row r="919" spans="21:22" x14ac:dyDescent="0.25">
      <c r="U919" s="20"/>
      <c r="V919" s="20"/>
    </row>
    <row r="920" spans="21:22" x14ac:dyDescent="0.25">
      <c r="U920" s="20"/>
      <c r="V920" s="20"/>
    </row>
    <row r="921" spans="21:22" x14ac:dyDescent="0.25">
      <c r="U921" s="20"/>
      <c r="V921" s="20"/>
    </row>
    <row r="922" spans="21:22" x14ac:dyDescent="0.25">
      <c r="U922" s="20"/>
      <c r="V922" s="20"/>
    </row>
    <row r="923" spans="21:22" x14ac:dyDescent="0.25">
      <c r="U923" s="20"/>
      <c r="V923" s="20"/>
    </row>
    <row r="924" spans="21:22" x14ac:dyDescent="0.25">
      <c r="U924" s="20"/>
      <c r="V924" s="20"/>
    </row>
    <row r="925" spans="21:22" x14ac:dyDescent="0.25">
      <c r="U925" s="20"/>
      <c r="V925" s="20"/>
    </row>
    <row r="926" spans="21:22" x14ac:dyDescent="0.25">
      <c r="U926" s="20"/>
      <c r="V926" s="20"/>
    </row>
    <row r="927" spans="21:22" x14ac:dyDescent="0.25">
      <c r="U927" s="20"/>
      <c r="V927" s="20"/>
    </row>
    <row r="928" spans="21:22" x14ac:dyDescent="0.25">
      <c r="U928" s="20"/>
      <c r="V928" s="20"/>
    </row>
    <row r="929" spans="21:22" x14ac:dyDescent="0.25">
      <c r="U929" s="20"/>
      <c r="V929" s="20"/>
    </row>
    <row r="930" spans="21:22" x14ac:dyDescent="0.25">
      <c r="U930" s="20"/>
      <c r="V930" s="20"/>
    </row>
    <row r="931" spans="21:22" x14ac:dyDescent="0.25">
      <c r="U931" s="20"/>
      <c r="V931" s="20"/>
    </row>
    <row r="932" spans="21:22" x14ac:dyDescent="0.25">
      <c r="U932" s="20"/>
      <c r="V932" s="20"/>
    </row>
    <row r="933" spans="21:22" x14ac:dyDescent="0.25">
      <c r="U933" s="20"/>
      <c r="V933" s="20"/>
    </row>
    <row r="934" spans="21:22" x14ac:dyDescent="0.25">
      <c r="U934" s="20"/>
      <c r="V934" s="20"/>
    </row>
    <row r="935" spans="21:22" x14ac:dyDescent="0.25">
      <c r="U935" s="20"/>
      <c r="V935" s="20"/>
    </row>
    <row r="936" spans="21:22" x14ac:dyDescent="0.25">
      <c r="U936" s="20"/>
      <c r="V936" s="20"/>
    </row>
    <row r="937" spans="21:22" x14ac:dyDescent="0.25">
      <c r="U937" s="20"/>
      <c r="V937" s="20"/>
    </row>
    <row r="938" spans="21:22" x14ac:dyDescent="0.25">
      <c r="U938" s="20"/>
      <c r="V938" s="20"/>
    </row>
    <row r="939" spans="21:22" x14ac:dyDescent="0.25">
      <c r="U939" s="20"/>
      <c r="V939" s="20"/>
    </row>
    <row r="940" spans="21:22" x14ac:dyDescent="0.25">
      <c r="U940" s="20"/>
      <c r="V940" s="20"/>
    </row>
    <row r="941" spans="21:22" x14ac:dyDescent="0.25">
      <c r="U941" s="20"/>
      <c r="V941" s="20"/>
    </row>
    <row r="942" spans="21:22" x14ac:dyDescent="0.25">
      <c r="U942" s="20"/>
      <c r="V942" s="20"/>
    </row>
    <row r="943" spans="21:22" x14ac:dyDescent="0.25">
      <c r="U943" s="20"/>
      <c r="V943" s="20"/>
    </row>
    <row r="944" spans="21:22" x14ac:dyDescent="0.25">
      <c r="U944" s="20"/>
      <c r="V944" s="20"/>
    </row>
    <row r="945" spans="21:22" x14ac:dyDescent="0.25">
      <c r="U945" s="20"/>
      <c r="V945" s="20"/>
    </row>
    <row r="946" spans="21:22" x14ac:dyDescent="0.25">
      <c r="U946" s="20"/>
      <c r="V946" s="20"/>
    </row>
    <row r="947" spans="21:22" x14ac:dyDescent="0.25">
      <c r="U947" s="20"/>
      <c r="V947" s="20"/>
    </row>
    <row r="948" spans="21:22" x14ac:dyDescent="0.25">
      <c r="U948" s="20"/>
      <c r="V948" s="20"/>
    </row>
    <row r="949" spans="21:22" x14ac:dyDescent="0.25">
      <c r="U949" s="20"/>
      <c r="V949" s="20"/>
    </row>
    <row r="950" spans="21:22" x14ac:dyDescent="0.25">
      <c r="U950" s="20"/>
      <c r="V950" s="20"/>
    </row>
    <row r="951" spans="21:22" x14ac:dyDescent="0.25">
      <c r="U951" s="20"/>
      <c r="V951" s="20"/>
    </row>
    <row r="952" spans="21:22" x14ac:dyDescent="0.25">
      <c r="U952" s="20"/>
      <c r="V952" s="20"/>
    </row>
    <row r="953" spans="21:22" x14ac:dyDescent="0.25">
      <c r="U953" s="20"/>
      <c r="V953" s="20"/>
    </row>
    <row r="954" spans="21:22" x14ac:dyDescent="0.25">
      <c r="U954" s="20"/>
      <c r="V954" s="20"/>
    </row>
    <row r="955" spans="21:22" x14ac:dyDescent="0.25">
      <c r="U955" s="20"/>
      <c r="V955" s="20"/>
    </row>
    <row r="956" spans="21:22" x14ac:dyDescent="0.25">
      <c r="U956" s="20"/>
      <c r="V956" s="20"/>
    </row>
    <row r="957" spans="21:22" x14ac:dyDescent="0.25">
      <c r="U957" s="20"/>
      <c r="V957" s="20"/>
    </row>
    <row r="958" spans="21:22" x14ac:dyDescent="0.25">
      <c r="U958" s="20"/>
      <c r="V958" s="20"/>
    </row>
    <row r="959" spans="21:22" x14ac:dyDescent="0.25">
      <c r="U959" s="20"/>
      <c r="V959" s="20"/>
    </row>
    <row r="960" spans="21:22" x14ac:dyDescent="0.25">
      <c r="U960" s="20"/>
      <c r="V960" s="20"/>
    </row>
    <row r="961" spans="21:22" x14ac:dyDescent="0.25">
      <c r="U961" s="20"/>
      <c r="V961" s="20"/>
    </row>
    <row r="962" spans="21:22" x14ac:dyDescent="0.25">
      <c r="U962" s="20"/>
      <c r="V962" s="20"/>
    </row>
    <row r="963" spans="21:22" x14ac:dyDescent="0.25">
      <c r="U963" s="20"/>
      <c r="V963" s="20"/>
    </row>
    <row r="964" spans="21:22" x14ac:dyDescent="0.25">
      <c r="U964" s="20"/>
      <c r="V964" s="20"/>
    </row>
    <row r="965" spans="21:22" x14ac:dyDescent="0.25">
      <c r="U965" s="20"/>
      <c r="V965" s="20"/>
    </row>
    <row r="966" spans="21:22" x14ac:dyDescent="0.25">
      <c r="U966" s="20"/>
      <c r="V966" s="20"/>
    </row>
    <row r="967" spans="21:22" x14ac:dyDescent="0.25">
      <c r="U967" s="20"/>
      <c r="V967" s="20"/>
    </row>
    <row r="968" spans="21:22" x14ac:dyDescent="0.25">
      <c r="U968" s="20"/>
      <c r="V968" s="20"/>
    </row>
    <row r="969" spans="21:22" x14ac:dyDescent="0.25">
      <c r="U969" s="20"/>
      <c r="V969" s="20"/>
    </row>
    <row r="970" spans="21:22" x14ac:dyDescent="0.25">
      <c r="U970" s="20"/>
      <c r="V970" s="20"/>
    </row>
    <row r="971" spans="21:22" x14ac:dyDescent="0.25">
      <c r="U971" s="20"/>
      <c r="V971" s="20"/>
    </row>
    <row r="972" spans="21:22" x14ac:dyDescent="0.25">
      <c r="U972" s="20"/>
      <c r="V972" s="20"/>
    </row>
    <row r="973" spans="21:22" x14ac:dyDescent="0.25">
      <c r="U973" s="20"/>
      <c r="V973" s="20"/>
    </row>
    <row r="974" spans="21:22" x14ac:dyDescent="0.25">
      <c r="U974" s="20"/>
      <c r="V974" s="20"/>
    </row>
    <row r="975" spans="21:22" x14ac:dyDescent="0.25">
      <c r="U975" s="20"/>
      <c r="V975" s="20"/>
    </row>
    <row r="976" spans="21:22" x14ac:dyDescent="0.25">
      <c r="U976" s="20"/>
      <c r="V976" s="20"/>
    </row>
    <row r="977" spans="21:22" x14ac:dyDescent="0.25">
      <c r="U977" s="20"/>
      <c r="V977" s="20"/>
    </row>
    <row r="978" spans="21:22" x14ac:dyDescent="0.25">
      <c r="U978" s="20"/>
      <c r="V978" s="20"/>
    </row>
    <row r="979" spans="21:22" x14ac:dyDescent="0.25">
      <c r="U979" s="20"/>
      <c r="V979" s="20"/>
    </row>
    <row r="980" spans="21:22" x14ac:dyDescent="0.25">
      <c r="U980" s="20"/>
      <c r="V980" s="20"/>
    </row>
    <row r="981" spans="21:22" x14ac:dyDescent="0.25">
      <c r="U981" s="20"/>
      <c r="V981" s="20"/>
    </row>
    <row r="982" spans="21:22" x14ac:dyDescent="0.25">
      <c r="U982" s="20"/>
      <c r="V982" s="20"/>
    </row>
    <row r="983" spans="21:22" x14ac:dyDescent="0.25">
      <c r="U983" s="20"/>
      <c r="V983" s="20"/>
    </row>
    <row r="984" spans="21:22" x14ac:dyDescent="0.25">
      <c r="U984" s="20"/>
      <c r="V984" s="20"/>
    </row>
    <row r="985" spans="21:22" x14ac:dyDescent="0.25">
      <c r="U985" s="20"/>
      <c r="V985" s="20"/>
    </row>
    <row r="986" spans="21:22" x14ac:dyDescent="0.25">
      <c r="U986" s="20"/>
      <c r="V986" s="20"/>
    </row>
    <row r="987" spans="21:22" x14ac:dyDescent="0.25">
      <c r="U987" s="20"/>
      <c r="V987" s="20"/>
    </row>
    <row r="988" spans="21:22" x14ac:dyDescent="0.25">
      <c r="U988" s="20"/>
      <c r="V988" s="20"/>
    </row>
    <row r="989" spans="21:22" x14ac:dyDescent="0.25">
      <c r="U989" s="20"/>
      <c r="V989" s="20"/>
    </row>
    <row r="990" spans="21:22" x14ac:dyDescent="0.25">
      <c r="U990" s="20"/>
      <c r="V990" s="20"/>
    </row>
    <row r="991" spans="21:22" x14ac:dyDescent="0.25">
      <c r="U991" s="20"/>
      <c r="V991" s="20"/>
    </row>
    <row r="992" spans="21:22" x14ac:dyDescent="0.25">
      <c r="U992" s="20"/>
      <c r="V992" s="20"/>
    </row>
    <row r="993" spans="21:22" x14ac:dyDescent="0.25">
      <c r="U993" s="20"/>
      <c r="V993" s="20"/>
    </row>
    <row r="994" spans="21:22" x14ac:dyDescent="0.25">
      <c r="U994" s="20"/>
      <c r="V994" s="20"/>
    </row>
    <row r="995" spans="21:22" x14ac:dyDescent="0.25">
      <c r="U995" s="20"/>
      <c r="V995" s="20"/>
    </row>
    <row r="996" spans="21:22" x14ac:dyDescent="0.25">
      <c r="U996" s="20"/>
      <c r="V996" s="20"/>
    </row>
    <row r="997" spans="21:22" x14ac:dyDescent="0.25">
      <c r="U997" s="20"/>
      <c r="V997" s="20"/>
    </row>
    <row r="998" spans="21:22" x14ac:dyDescent="0.25">
      <c r="U998" s="20"/>
      <c r="V998" s="20"/>
    </row>
    <row r="999" spans="21:22" x14ac:dyDescent="0.25">
      <c r="U999" s="20"/>
      <c r="V999" s="20"/>
    </row>
    <row r="1000" spans="21:22" x14ac:dyDescent="0.25">
      <c r="U1000" s="20"/>
      <c r="V1000" s="20"/>
    </row>
    <row r="1001" spans="21:22" x14ac:dyDescent="0.25">
      <c r="U1001" s="20"/>
      <c r="V1001" s="20"/>
    </row>
    <row r="1002" spans="21:22" x14ac:dyDescent="0.25">
      <c r="U1002" s="20"/>
      <c r="V1002" s="20"/>
    </row>
    <row r="1003" spans="21:22" x14ac:dyDescent="0.25">
      <c r="U1003" s="20"/>
      <c r="V1003" s="20"/>
    </row>
    <row r="1004" spans="21:22" x14ac:dyDescent="0.25">
      <c r="U1004" s="20"/>
      <c r="V1004" s="20"/>
    </row>
    <row r="1005" spans="21:22" x14ac:dyDescent="0.25">
      <c r="U1005" s="20"/>
      <c r="V1005" s="20"/>
    </row>
    <row r="1006" spans="21:22" x14ac:dyDescent="0.25">
      <c r="U1006" s="20"/>
      <c r="V1006" s="20"/>
    </row>
    <row r="1007" spans="21:22" x14ac:dyDescent="0.25">
      <c r="U1007" s="20"/>
      <c r="V1007" s="20"/>
    </row>
    <row r="1008" spans="21:22" x14ac:dyDescent="0.25">
      <c r="U1008" s="20"/>
      <c r="V1008" s="20"/>
    </row>
    <row r="1009" spans="21:22" x14ac:dyDescent="0.25">
      <c r="U1009" s="20"/>
      <c r="V1009" s="20"/>
    </row>
    <row r="1010" spans="21:22" x14ac:dyDescent="0.25">
      <c r="U1010" s="20"/>
      <c r="V1010" s="20"/>
    </row>
    <row r="1011" spans="21:22" x14ac:dyDescent="0.25">
      <c r="U1011" s="20"/>
      <c r="V1011" s="20"/>
    </row>
    <row r="1012" spans="21:22" x14ac:dyDescent="0.25">
      <c r="U1012" s="20"/>
      <c r="V1012" s="20"/>
    </row>
    <row r="1013" spans="21:22" x14ac:dyDescent="0.25">
      <c r="U1013" s="20"/>
      <c r="V1013" s="20"/>
    </row>
    <row r="1014" spans="21:22" x14ac:dyDescent="0.25">
      <c r="U1014" s="20"/>
      <c r="V1014" s="20"/>
    </row>
    <row r="1015" spans="21:22" x14ac:dyDescent="0.25">
      <c r="U1015" s="20"/>
      <c r="V1015" s="20"/>
    </row>
    <row r="1016" spans="21:22" x14ac:dyDescent="0.25">
      <c r="U1016" s="20"/>
      <c r="V1016" s="20"/>
    </row>
    <row r="1017" spans="21:22" x14ac:dyDescent="0.25">
      <c r="U1017" s="20"/>
      <c r="V1017" s="20"/>
    </row>
    <row r="1018" spans="21:22" x14ac:dyDescent="0.25">
      <c r="U1018" s="20"/>
      <c r="V1018" s="20"/>
    </row>
    <row r="1019" spans="21:22" x14ac:dyDescent="0.25">
      <c r="U1019" s="20"/>
      <c r="V1019" s="20"/>
    </row>
    <row r="1020" spans="21:22" x14ac:dyDescent="0.25">
      <c r="U1020" s="20"/>
      <c r="V1020" s="20"/>
    </row>
    <row r="1021" spans="21:22" x14ac:dyDescent="0.25">
      <c r="U1021" s="20"/>
      <c r="V1021" s="20"/>
    </row>
    <row r="1022" spans="21:22" x14ac:dyDescent="0.25">
      <c r="U1022" s="20"/>
      <c r="V1022" s="20"/>
    </row>
    <row r="1023" spans="21:22" x14ac:dyDescent="0.25">
      <c r="U1023" s="20"/>
      <c r="V1023" s="20"/>
    </row>
    <row r="1024" spans="21:22" x14ac:dyDescent="0.25">
      <c r="U1024" s="20"/>
      <c r="V1024" s="20"/>
    </row>
    <row r="1025" spans="21:22" x14ac:dyDescent="0.25">
      <c r="U1025" s="20"/>
      <c r="V1025" s="20"/>
    </row>
    <row r="1026" spans="21:22" x14ac:dyDescent="0.25">
      <c r="U1026" s="20"/>
      <c r="V1026" s="20"/>
    </row>
    <row r="1027" spans="21:22" x14ac:dyDescent="0.25">
      <c r="U1027" s="20"/>
      <c r="V1027" s="20"/>
    </row>
    <row r="1028" spans="21:22" x14ac:dyDescent="0.25">
      <c r="U1028" s="20"/>
      <c r="V1028" s="20"/>
    </row>
    <row r="1029" spans="21:22" x14ac:dyDescent="0.25">
      <c r="U1029" s="20"/>
      <c r="V1029" s="20"/>
    </row>
    <row r="1030" spans="21:22" x14ac:dyDescent="0.25">
      <c r="U1030" s="20"/>
      <c r="V1030" s="20"/>
    </row>
    <row r="1031" spans="21:22" x14ac:dyDescent="0.25">
      <c r="U1031" s="20"/>
      <c r="V1031" s="20"/>
    </row>
    <row r="1032" spans="21:22" x14ac:dyDescent="0.25">
      <c r="U1032" s="20"/>
      <c r="V1032" s="20"/>
    </row>
    <row r="1033" spans="21:22" x14ac:dyDescent="0.25">
      <c r="U1033" s="20"/>
      <c r="V1033" s="20"/>
    </row>
    <row r="1034" spans="21:22" x14ac:dyDescent="0.25">
      <c r="U1034" s="20"/>
      <c r="V1034" s="20"/>
    </row>
    <row r="1035" spans="21:22" x14ac:dyDescent="0.25">
      <c r="U1035" s="20"/>
      <c r="V1035" s="20"/>
    </row>
    <row r="1036" spans="21:22" x14ac:dyDescent="0.25">
      <c r="U1036" s="20"/>
      <c r="V1036" s="20"/>
    </row>
    <row r="1037" spans="21:22" x14ac:dyDescent="0.25">
      <c r="U1037" s="20"/>
      <c r="V1037" s="20"/>
    </row>
    <row r="1038" spans="21:22" x14ac:dyDescent="0.25">
      <c r="U1038" s="20"/>
      <c r="V1038" s="20"/>
    </row>
    <row r="1039" spans="21:22" x14ac:dyDescent="0.25">
      <c r="U1039" s="20"/>
      <c r="V1039" s="20"/>
    </row>
    <row r="1040" spans="21:22" x14ac:dyDescent="0.25">
      <c r="U1040" s="20"/>
      <c r="V1040" s="20"/>
    </row>
    <row r="1041" spans="21:22" x14ac:dyDescent="0.25">
      <c r="U1041" s="20"/>
      <c r="V1041" s="20"/>
    </row>
    <row r="1042" spans="21:22" x14ac:dyDescent="0.25">
      <c r="U1042" s="20"/>
      <c r="V1042" s="20"/>
    </row>
    <row r="1043" spans="21:22" x14ac:dyDescent="0.25">
      <c r="U1043" s="20"/>
      <c r="V1043" s="20"/>
    </row>
    <row r="1044" spans="21:22" x14ac:dyDescent="0.25">
      <c r="U1044" s="20"/>
      <c r="V1044" s="20"/>
    </row>
    <row r="1045" spans="21:22" x14ac:dyDescent="0.25">
      <c r="U1045" s="20"/>
      <c r="V1045" s="20"/>
    </row>
    <row r="1046" spans="21:22" x14ac:dyDescent="0.25">
      <c r="U1046" s="20"/>
      <c r="V1046" s="20"/>
    </row>
    <row r="1047" spans="21:22" x14ac:dyDescent="0.25">
      <c r="U1047" s="20"/>
      <c r="V1047" s="20"/>
    </row>
    <row r="1048" spans="21:22" x14ac:dyDescent="0.25">
      <c r="U1048" s="20"/>
      <c r="V1048" s="20"/>
    </row>
    <row r="1049" spans="21:22" x14ac:dyDescent="0.25">
      <c r="U1049" s="20"/>
      <c r="V1049" s="20"/>
    </row>
    <row r="1050" spans="21:22" x14ac:dyDescent="0.25">
      <c r="U1050" s="20"/>
      <c r="V1050" s="20"/>
    </row>
    <row r="1051" spans="21:22" x14ac:dyDescent="0.25">
      <c r="U1051" s="20"/>
      <c r="V1051" s="20"/>
    </row>
    <row r="1052" spans="21:22" x14ac:dyDescent="0.25">
      <c r="U1052" s="20"/>
      <c r="V1052" s="20"/>
    </row>
    <row r="1053" spans="21:22" x14ac:dyDescent="0.25">
      <c r="U1053" s="20"/>
      <c r="V1053" s="20"/>
    </row>
    <row r="1054" spans="21:22" x14ac:dyDescent="0.25">
      <c r="U1054" s="20"/>
      <c r="V1054" s="20"/>
    </row>
    <row r="1055" spans="21:22" x14ac:dyDescent="0.25">
      <c r="U1055" s="20"/>
      <c r="V1055" s="20"/>
    </row>
    <row r="1056" spans="21:22" x14ac:dyDescent="0.25">
      <c r="U1056" s="20"/>
      <c r="V1056" s="20"/>
    </row>
    <row r="1057" spans="21:22" x14ac:dyDescent="0.25">
      <c r="U1057" s="20"/>
      <c r="V1057" s="20"/>
    </row>
    <row r="1058" spans="21:22" x14ac:dyDescent="0.25">
      <c r="U1058" s="20"/>
      <c r="V1058" s="20"/>
    </row>
    <row r="1059" spans="21:22" x14ac:dyDescent="0.25">
      <c r="U1059" s="20"/>
      <c r="V1059" s="20"/>
    </row>
    <row r="1060" spans="21:22" x14ac:dyDescent="0.25">
      <c r="U1060" s="20"/>
      <c r="V1060" s="20"/>
    </row>
    <row r="1061" spans="21:22" x14ac:dyDescent="0.25">
      <c r="U1061" s="20"/>
      <c r="V1061" s="20"/>
    </row>
    <row r="1062" spans="21:22" x14ac:dyDescent="0.25">
      <c r="U1062" s="20"/>
      <c r="V1062" s="20"/>
    </row>
    <row r="1063" spans="21:22" x14ac:dyDescent="0.25">
      <c r="U1063" s="20"/>
      <c r="V1063" s="20"/>
    </row>
    <row r="1064" spans="21:22" x14ac:dyDescent="0.25">
      <c r="U1064" s="20"/>
      <c r="V1064" s="20"/>
    </row>
    <row r="1065" spans="21:22" x14ac:dyDescent="0.25">
      <c r="U1065" s="20"/>
      <c r="V1065" s="20"/>
    </row>
    <row r="1066" spans="21:22" x14ac:dyDescent="0.25">
      <c r="U1066" s="20"/>
      <c r="V1066" s="20"/>
    </row>
    <row r="1067" spans="21:22" x14ac:dyDescent="0.25">
      <c r="U1067" s="20"/>
      <c r="V1067" s="20"/>
    </row>
    <row r="1068" spans="21:22" x14ac:dyDescent="0.25">
      <c r="U1068" s="20"/>
      <c r="V1068" s="20"/>
    </row>
    <row r="1069" spans="21:22" x14ac:dyDescent="0.25">
      <c r="U1069" s="20"/>
      <c r="V1069" s="20"/>
    </row>
    <row r="1070" spans="21:22" x14ac:dyDescent="0.25">
      <c r="U1070" s="20"/>
      <c r="V1070" s="20"/>
    </row>
    <row r="1071" spans="21:22" x14ac:dyDescent="0.25">
      <c r="U1071" s="20"/>
      <c r="V1071" s="20"/>
    </row>
    <row r="1072" spans="21:22" x14ac:dyDescent="0.25">
      <c r="U1072" s="20"/>
      <c r="V1072" s="20"/>
    </row>
    <row r="1073" spans="21:22" x14ac:dyDescent="0.25">
      <c r="U1073" s="20"/>
      <c r="V1073" s="20"/>
    </row>
    <row r="1074" spans="21:22" x14ac:dyDescent="0.25">
      <c r="U1074" s="20"/>
      <c r="V1074" s="20"/>
    </row>
    <row r="1075" spans="21:22" x14ac:dyDescent="0.25">
      <c r="U1075" s="20"/>
      <c r="V1075" s="20"/>
    </row>
    <row r="1076" spans="21:22" x14ac:dyDescent="0.25">
      <c r="U1076" s="20"/>
      <c r="V1076" s="20"/>
    </row>
    <row r="1077" spans="21:22" x14ac:dyDescent="0.25">
      <c r="U1077" s="20"/>
      <c r="V1077" s="20"/>
    </row>
    <row r="1078" spans="21:22" x14ac:dyDescent="0.25">
      <c r="U1078" s="20"/>
      <c r="V1078" s="20"/>
    </row>
    <row r="1079" spans="21:22" x14ac:dyDescent="0.25">
      <c r="U1079" s="20"/>
      <c r="V1079" s="20"/>
    </row>
    <row r="1080" spans="21:22" x14ac:dyDescent="0.25">
      <c r="U1080" s="20"/>
      <c r="V1080" s="20"/>
    </row>
    <row r="1081" spans="21:22" x14ac:dyDescent="0.25">
      <c r="U1081" s="20"/>
      <c r="V1081" s="20"/>
    </row>
    <row r="1082" spans="21:22" x14ac:dyDescent="0.25">
      <c r="U1082" s="20"/>
      <c r="V1082" s="20"/>
    </row>
    <row r="1083" spans="21:22" x14ac:dyDescent="0.25">
      <c r="U1083" s="20"/>
      <c r="V1083" s="20"/>
    </row>
    <row r="1084" spans="21:22" x14ac:dyDescent="0.25">
      <c r="U1084" s="20"/>
      <c r="V1084" s="20"/>
    </row>
    <row r="1085" spans="21:22" x14ac:dyDescent="0.25">
      <c r="U1085" s="20"/>
      <c r="V1085" s="20"/>
    </row>
    <row r="1086" spans="21:22" x14ac:dyDescent="0.25">
      <c r="U1086" s="20"/>
      <c r="V1086" s="20"/>
    </row>
    <row r="1087" spans="21:22" x14ac:dyDescent="0.25">
      <c r="U1087" s="20"/>
      <c r="V1087" s="20"/>
    </row>
    <row r="1088" spans="21:22" x14ac:dyDescent="0.25">
      <c r="U1088" s="20"/>
      <c r="V1088" s="20"/>
    </row>
    <row r="1089" spans="21:22" x14ac:dyDescent="0.25">
      <c r="U1089" s="20"/>
      <c r="V1089" s="20"/>
    </row>
    <row r="1090" spans="21:22" x14ac:dyDescent="0.25">
      <c r="U1090" s="20"/>
      <c r="V1090" s="20"/>
    </row>
    <row r="1091" spans="21:22" x14ac:dyDescent="0.25">
      <c r="U1091" s="20"/>
      <c r="V1091" s="20"/>
    </row>
    <row r="1092" spans="21:22" x14ac:dyDescent="0.25">
      <c r="U1092" s="20"/>
      <c r="V1092" s="20"/>
    </row>
    <row r="1093" spans="21:22" x14ac:dyDescent="0.25">
      <c r="U1093" s="20"/>
      <c r="V1093" s="20"/>
    </row>
    <row r="1094" spans="21:22" x14ac:dyDescent="0.25">
      <c r="U1094" s="20"/>
      <c r="V1094" s="20"/>
    </row>
    <row r="1095" spans="21:22" x14ac:dyDescent="0.25">
      <c r="U1095" s="20"/>
      <c r="V1095" s="20"/>
    </row>
    <row r="1096" spans="21:22" x14ac:dyDescent="0.25">
      <c r="U1096" s="20"/>
      <c r="V1096" s="20"/>
    </row>
    <row r="1097" spans="21:22" x14ac:dyDescent="0.25">
      <c r="U1097" s="20"/>
      <c r="V1097" s="20"/>
    </row>
    <row r="1098" spans="21:22" x14ac:dyDescent="0.25">
      <c r="U1098" s="20"/>
      <c r="V1098" s="20"/>
    </row>
    <row r="1099" spans="21:22" x14ac:dyDescent="0.25">
      <c r="U1099" s="20"/>
      <c r="V1099" s="20"/>
    </row>
    <row r="1100" spans="21:22" x14ac:dyDescent="0.25">
      <c r="U1100" s="20"/>
      <c r="V1100" s="20"/>
    </row>
    <row r="1101" spans="21:22" x14ac:dyDescent="0.25">
      <c r="U1101" s="20"/>
      <c r="V1101" s="20"/>
    </row>
    <row r="1102" spans="21:22" x14ac:dyDescent="0.25">
      <c r="U1102" s="20"/>
      <c r="V1102" s="20"/>
    </row>
    <row r="1103" spans="21:22" x14ac:dyDescent="0.25">
      <c r="U1103" s="20"/>
      <c r="V1103" s="20"/>
    </row>
    <row r="1104" spans="21:22" x14ac:dyDescent="0.25">
      <c r="U1104" s="20"/>
      <c r="V1104" s="20"/>
    </row>
    <row r="1105" spans="21:22" x14ac:dyDescent="0.25">
      <c r="U1105" s="20"/>
      <c r="V1105" s="20"/>
    </row>
    <row r="1106" spans="21:22" x14ac:dyDescent="0.25">
      <c r="U1106" s="20"/>
      <c r="V1106" s="20"/>
    </row>
    <row r="1107" spans="21:22" x14ac:dyDescent="0.25">
      <c r="U1107" s="20"/>
      <c r="V1107" s="20"/>
    </row>
    <row r="1108" spans="21:22" x14ac:dyDescent="0.25">
      <c r="U1108" s="20"/>
      <c r="V1108" s="20"/>
    </row>
    <row r="1109" spans="21:22" x14ac:dyDescent="0.25">
      <c r="U1109" s="20"/>
      <c r="V1109" s="20"/>
    </row>
    <row r="1110" spans="21:22" x14ac:dyDescent="0.25">
      <c r="U1110" s="20"/>
      <c r="V1110" s="20"/>
    </row>
    <row r="1111" spans="21:22" x14ac:dyDescent="0.25">
      <c r="U1111" s="20"/>
      <c r="V1111" s="20"/>
    </row>
    <row r="1112" spans="21:22" x14ac:dyDescent="0.25">
      <c r="U1112" s="20"/>
      <c r="V1112" s="20"/>
    </row>
    <row r="1113" spans="21:22" x14ac:dyDescent="0.25">
      <c r="U1113" s="20"/>
      <c r="V1113" s="20"/>
    </row>
    <row r="1114" spans="21:22" x14ac:dyDescent="0.25">
      <c r="U1114" s="20"/>
      <c r="V1114" s="20"/>
    </row>
    <row r="1115" spans="21:22" x14ac:dyDescent="0.25">
      <c r="U1115" s="20"/>
      <c r="V1115" s="20"/>
    </row>
    <row r="1116" spans="21:22" x14ac:dyDescent="0.25">
      <c r="U1116" s="20"/>
      <c r="V1116" s="20"/>
    </row>
    <row r="1117" spans="21:22" x14ac:dyDescent="0.25">
      <c r="U1117" s="20"/>
      <c r="V1117" s="20"/>
    </row>
    <row r="1118" spans="21:22" x14ac:dyDescent="0.25">
      <c r="U1118" s="20"/>
      <c r="V1118" s="20"/>
    </row>
    <row r="1119" spans="21:22" x14ac:dyDescent="0.25">
      <c r="U1119" s="20"/>
      <c r="V1119" s="20"/>
    </row>
    <row r="1120" spans="21:22" x14ac:dyDescent="0.25">
      <c r="U1120" s="20"/>
      <c r="V1120" s="20"/>
    </row>
    <row r="1121" spans="21:22" x14ac:dyDescent="0.25">
      <c r="U1121" s="20"/>
      <c r="V1121" s="20"/>
    </row>
    <row r="1122" spans="21:22" x14ac:dyDescent="0.25">
      <c r="U1122" s="20"/>
      <c r="V1122" s="20"/>
    </row>
    <row r="1123" spans="21:22" x14ac:dyDescent="0.25">
      <c r="U1123" s="20"/>
      <c r="V1123" s="20"/>
    </row>
    <row r="1124" spans="21:22" x14ac:dyDescent="0.25">
      <c r="U1124" s="20"/>
      <c r="V1124" s="20"/>
    </row>
    <row r="1125" spans="21:22" x14ac:dyDescent="0.25">
      <c r="U1125" s="20"/>
      <c r="V1125" s="20"/>
    </row>
    <row r="1126" spans="21:22" x14ac:dyDescent="0.25">
      <c r="U1126" s="20"/>
      <c r="V1126" s="20"/>
    </row>
    <row r="1127" spans="21:22" x14ac:dyDescent="0.25">
      <c r="U1127" s="20"/>
      <c r="V1127" s="20"/>
    </row>
    <row r="1128" spans="21:22" x14ac:dyDescent="0.25">
      <c r="U1128" s="20"/>
      <c r="V1128" s="20"/>
    </row>
    <row r="1129" spans="21:22" x14ac:dyDescent="0.25">
      <c r="U1129" s="20"/>
      <c r="V1129" s="20"/>
    </row>
    <row r="1130" spans="21:22" x14ac:dyDescent="0.25">
      <c r="U1130" s="20"/>
      <c r="V1130" s="20"/>
    </row>
    <row r="1131" spans="21:22" x14ac:dyDescent="0.25">
      <c r="U1131" s="20"/>
      <c r="V1131" s="20"/>
    </row>
    <row r="1132" spans="21:22" x14ac:dyDescent="0.25">
      <c r="U1132" s="20"/>
      <c r="V1132" s="20"/>
    </row>
    <row r="1133" spans="21:22" x14ac:dyDescent="0.25">
      <c r="U1133" s="20"/>
      <c r="V1133" s="20"/>
    </row>
    <row r="1134" spans="21:22" x14ac:dyDescent="0.25">
      <c r="U1134" s="20"/>
      <c r="V1134" s="20"/>
    </row>
    <row r="1135" spans="21:22" x14ac:dyDescent="0.25">
      <c r="U1135" s="20"/>
      <c r="V1135" s="20"/>
    </row>
    <row r="1136" spans="21:22" x14ac:dyDescent="0.25">
      <c r="U1136" s="20"/>
      <c r="V1136" s="20"/>
    </row>
    <row r="1137" spans="21:22" x14ac:dyDescent="0.25">
      <c r="U1137" s="20"/>
      <c r="V1137" s="20"/>
    </row>
    <row r="1138" spans="21:22" x14ac:dyDescent="0.25">
      <c r="U1138" s="20"/>
      <c r="V1138" s="20"/>
    </row>
    <row r="1139" spans="21:22" x14ac:dyDescent="0.25">
      <c r="U1139" s="20"/>
      <c r="V1139" s="20"/>
    </row>
    <row r="1140" spans="21:22" x14ac:dyDescent="0.25">
      <c r="U1140" s="20"/>
      <c r="V1140" s="20"/>
    </row>
    <row r="1141" spans="21:22" x14ac:dyDescent="0.25">
      <c r="U1141" s="20"/>
      <c r="V1141" s="20"/>
    </row>
    <row r="1142" spans="21:22" x14ac:dyDescent="0.25">
      <c r="U1142" s="20"/>
      <c r="V1142" s="20"/>
    </row>
    <row r="1143" spans="21:22" x14ac:dyDescent="0.25">
      <c r="U1143" s="20"/>
      <c r="V1143" s="20"/>
    </row>
    <row r="1144" spans="21:22" x14ac:dyDescent="0.25">
      <c r="U1144" s="20"/>
      <c r="V1144" s="20"/>
    </row>
    <row r="1145" spans="21:22" x14ac:dyDescent="0.25">
      <c r="U1145" s="20"/>
      <c r="V1145" s="20"/>
    </row>
    <row r="1146" spans="21:22" x14ac:dyDescent="0.25">
      <c r="U1146" s="20"/>
      <c r="V1146" s="20"/>
    </row>
    <row r="1147" spans="21:22" x14ac:dyDescent="0.25">
      <c r="U1147" s="20"/>
      <c r="V1147" s="20"/>
    </row>
    <row r="1148" spans="21:22" x14ac:dyDescent="0.25">
      <c r="U1148" s="20"/>
      <c r="V1148" s="20"/>
    </row>
    <row r="1149" spans="21:22" x14ac:dyDescent="0.25">
      <c r="U1149" s="20"/>
      <c r="V1149" s="20"/>
    </row>
    <row r="1150" spans="21:22" x14ac:dyDescent="0.25">
      <c r="U1150" s="20"/>
      <c r="V1150" s="20"/>
    </row>
    <row r="1151" spans="21:22" x14ac:dyDescent="0.25">
      <c r="U1151" s="20"/>
      <c r="V1151" s="20"/>
    </row>
    <row r="1152" spans="21:22" x14ac:dyDescent="0.25">
      <c r="U1152" s="20"/>
      <c r="V1152" s="20"/>
    </row>
    <row r="1153" spans="21:22" x14ac:dyDescent="0.25">
      <c r="U1153" s="20"/>
      <c r="V1153" s="20"/>
    </row>
    <row r="1154" spans="21:22" x14ac:dyDescent="0.25">
      <c r="U1154" s="20"/>
      <c r="V1154" s="20"/>
    </row>
    <row r="1155" spans="21:22" x14ac:dyDescent="0.25">
      <c r="U1155" s="20"/>
      <c r="V1155" s="20"/>
    </row>
    <row r="1156" spans="21:22" x14ac:dyDescent="0.25">
      <c r="U1156" s="20"/>
      <c r="V1156" s="20"/>
    </row>
    <row r="1157" spans="21:22" x14ac:dyDescent="0.25">
      <c r="U1157" s="20"/>
      <c r="V1157" s="20"/>
    </row>
    <row r="1158" spans="21:22" x14ac:dyDescent="0.25">
      <c r="U1158" s="20"/>
      <c r="V1158" s="20"/>
    </row>
    <row r="1159" spans="21:22" x14ac:dyDescent="0.25">
      <c r="U1159" s="20"/>
      <c r="V1159" s="20"/>
    </row>
    <row r="1160" spans="21:22" x14ac:dyDescent="0.25">
      <c r="U1160" s="20"/>
      <c r="V1160" s="20"/>
    </row>
    <row r="1161" spans="21:22" x14ac:dyDescent="0.25">
      <c r="U1161" s="20"/>
      <c r="V1161" s="20"/>
    </row>
    <row r="1162" spans="21:22" x14ac:dyDescent="0.25">
      <c r="U1162" s="20"/>
      <c r="V1162" s="20"/>
    </row>
    <row r="1163" spans="21:22" x14ac:dyDescent="0.25">
      <c r="U1163" s="20"/>
      <c r="V1163" s="20"/>
    </row>
    <row r="1164" spans="21:22" x14ac:dyDescent="0.25">
      <c r="U1164" s="20"/>
      <c r="V1164" s="20"/>
    </row>
    <row r="1165" spans="21:22" x14ac:dyDescent="0.25">
      <c r="U1165" s="20"/>
      <c r="V1165" s="20"/>
    </row>
    <row r="1166" spans="21:22" x14ac:dyDescent="0.25">
      <c r="U1166" s="20"/>
      <c r="V1166" s="20"/>
    </row>
    <row r="1167" spans="21:22" x14ac:dyDescent="0.25">
      <c r="U1167" s="20"/>
      <c r="V1167" s="20"/>
    </row>
    <row r="1168" spans="21:22" x14ac:dyDescent="0.25">
      <c r="U1168" s="20"/>
      <c r="V1168" s="20"/>
    </row>
    <row r="1169" spans="21:22" x14ac:dyDescent="0.25">
      <c r="U1169" s="20"/>
      <c r="V1169" s="20"/>
    </row>
    <row r="1170" spans="21:22" x14ac:dyDescent="0.25">
      <c r="U1170" s="20"/>
      <c r="V1170" s="20"/>
    </row>
    <row r="1171" spans="21:22" x14ac:dyDescent="0.25">
      <c r="U1171" s="20"/>
      <c r="V1171" s="20"/>
    </row>
    <row r="1172" spans="21:22" x14ac:dyDescent="0.25">
      <c r="U1172" s="20"/>
      <c r="V1172" s="20"/>
    </row>
    <row r="1173" spans="21:22" x14ac:dyDescent="0.25">
      <c r="U1173" s="20"/>
      <c r="V1173" s="20"/>
    </row>
    <row r="1174" spans="21:22" x14ac:dyDescent="0.25">
      <c r="U1174" s="20"/>
      <c r="V1174" s="20"/>
    </row>
    <row r="1175" spans="21:22" x14ac:dyDescent="0.25">
      <c r="U1175" s="20"/>
      <c r="V1175" s="20"/>
    </row>
    <row r="1176" spans="21:22" x14ac:dyDescent="0.25">
      <c r="U1176" s="20"/>
      <c r="V1176" s="20"/>
    </row>
    <row r="1177" spans="21:22" x14ac:dyDescent="0.25">
      <c r="U1177" s="20"/>
      <c r="V1177" s="20"/>
    </row>
    <row r="1178" spans="21:22" x14ac:dyDescent="0.25">
      <c r="U1178" s="20"/>
      <c r="V1178" s="20"/>
    </row>
    <row r="1179" spans="21:22" x14ac:dyDescent="0.25">
      <c r="U1179" s="20"/>
      <c r="V1179" s="20"/>
    </row>
    <row r="1180" spans="21:22" x14ac:dyDescent="0.25">
      <c r="U1180" s="20"/>
      <c r="V1180" s="20"/>
    </row>
    <row r="1181" spans="21:22" x14ac:dyDescent="0.25">
      <c r="U1181" s="20"/>
      <c r="V1181" s="20"/>
    </row>
    <row r="1182" spans="21:22" x14ac:dyDescent="0.25">
      <c r="U1182" s="20"/>
      <c r="V1182" s="20"/>
    </row>
    <row r="1183" spans="21:22" x14ac:dyDescent="0.25">
      <c r="U1183" s="20"/>
      <c r="V1183" s="20"/>
    </row>
    <row r="1184" spans="21:22" x14ac:dyDescent="0.25">
      <c r="U1184" s="20"/>
      <c r="V1184" s="20"/>
    </row>
    <row r="1185" spans="21:22" x14ac:dyDescent="0.25">
      <c r="U1185" s="20"/>
      <c r="V1185" s="20"/>
    </row>
    <row r="1186" spans="21:22" x14ac:dyDescent="0.25">
      <c r="U1186" s="20"/>
      <c r="V1186" s="20"/>
    </row>
    <row r="1187" spans="21:22" x14ac:dyDescent="0.25">
      <c r="U1187" s="20"/>
      <c r="V1187" s="20"/>
    </row>
    <row r="1188" spans="21:22" x14ac:dyDescent="0.25">
      <c r="U1188" s="20"/>
      <c r="V1188" s="20"/>
    </row>
    <row r="1189" spans="21:22" x14ac:dyDescent="0.25">
      <c r="U1189" s="20"/>
      <c r="V1189" s="20"/>
    </row>
    <row r="1190" spans="21:22" x14ac:dyDescent="0.25">
      <c r="U1190" s="20"/>
      <c r="V1190" s="20"/>
    </row>
    <row r="1191" spans="21:22" x14ac:dyDescent="0.25">
      <c r="U1191" s="20"/>
      <c r="V1191" s="20"/>
    </row>
    <row r="1192" spans="21:22" x14ac:dyDescent="0.25">
      <c r="U1192" s="20"/>
      <c r="V1192" s="20"/>
    </row>
    <row r="1193" spans="21:22" x14ac:dyDescent="0.25">
      <c r="U1193" s="20"/>
      <c r="V1193" s="20"/>
    </row>
    <row r="1194" spans="21:22" x14ac:dyDescent="0.25">
      <c r="U1194" s="20"/>
      <c r="V1194" s="20"/>
    </row>
    <row r="1195" spans="21:22" x14ac:dyDescent="0.25">
      <c r="U1195" s="20"/>
      <c r="V1195" s="20"/>
    </row>
    <row r="1196" spans="21:22" x14ac:dyDescent="0.25">
      <c r="U1196" s="20"/>
      <c r="V1196" s="20"/>
    </row>
    <row r="1197" spans="21:22" x14ac:dyDescent="0.25">
      <c r="U1197" s="20"/>
      <c r="V1197" s="20"/>
    </row>
    <row r="1198" spans="21:22" x14ac:dyDescent="0.25">
      <c r="U1198" s="20"/>
      <c r="V1198" s="20"/>
    </row>
    <row r="1199" spans="21:22" x14ac:dyDescent="0.25">
      <c r="U1199" s="20"/>
      <c r="V1199" s="20"/>
    </row>
    <row r="1200" spans="21:22" x14ac:dyDescent="0.25">
      <c r="U1200" s="20"/>
      <c r="V1200" s="20"/>
    </row>
    <row r="1201" spans="21:22" x14ac:dyDescent="0.25">
      <c r="U1201" s="20"/>
      <c r="V1201" s="20"/>
    </row>
    <row r="1202" spans="21:22" x14ac:dyDescent="0.25">
      <c r="U1202" s="20"/>
      <c r="V1202" s="20"/>
    </row>
    <row r="1203" spans="21:22" x14ac:dyDescent="0.25">
      <c r="U1203" s="20"/>
      <c r="V1203" s="20"/>
    </row>
    <row r="1204" spans="21:22" x14ac:dyDescent="0.25">
      <c r="U1204" s="20"/>
      <c r="V1204" s="20"/>
    </row>
    <row r="1205" spans="21:22" x14ac:dyDescent="0.25">
      <c r="U1205" s="20"/>
      <c r="V1205" s="20"/>
    </row>
    <row r="1206" spans="21:22" x14ac:dyDescent="0.25">
      <c r="U1206" s="20"/>
      <c r="V1206" s="20"/>
    </row>
    <row r="1207" spans="21:22" x14ac:dyDescent="0.25">
      <c r="U1207" s="20"/>
      <c r="V1207" s="20"/>
    </row>
    <row r="1208" spans="21:22" x14ac:dyDescent="0.25">
      <c r="U1208" s="20"/>
      <c r="V1208" s="20"/>
    </row>
    <row r="1209" spans="21:22" x14ac:dyDescent="0.25">
      <c r="U1209" s="20"/>
      <c r="V1209" s="20"/>
    </row>
    <row r="1210" spans="21:22" x14ac:dyDescent="0.25">
      <c r="U1210" s="20"/>
      <c r="V1210" s="20"/>
    </row>
    <row r="1211" spans="21:22" x14ac:dyDescent="0.25">
      <c r="U1211" s="20"/>
      <c r="V1211" s="20"/>
    </row>
    <row r="1212" spans="21:22" x14ac:dyDescent="0.25">
      <c r="U1212" s="20"/>
      <c r="V1212" s="20"/>
    </row>
    <row r="1213" spans="21:22" x14ac:dyDescent="0.25">
      <c r="U1213" s="20"/>
      <c r="V1213" s="20"/>
    </row>
    <row r="1214" spans="21:22" x14ac:dyDescent="0.25">
      <c r="U1214" s="20"/>
      <c r="V1214" s="20"/>
    </row>
    <row r="1215" spans="21:22" x14ac:dyDescent="0.25">
      <c r="U1215" s="20"/>
      <c r="V1215" s="20"/>
    </row>
    <row r="1216" spans="21:22" x14ac:dyDescent="0.25">
      <c r="U1216" s="20"/>
      <c r="V1216" s="20"/>
    </row>
    <row r="1217" spans="21:22" x14ac:dyDescent="0.25">
      <c r="U1217" s="20"/>
      <c r="V1217" s="20"/>
    </row>
    <row r="1218" spans="21:22" x14ac:dyDescent="0.25">
      <c r="U1218" s="20"/>
      <c r="V1218" s="20"/>
    </row>
    <row r="1219" spans="21:22" x14ac:dyDescent="0.25">
      <c r="U1219" s="20"/>
      <c r="V1219" s="20"/>
    </row>
    <row r="1220" spans="21:22" x14ac:dyDescent="0.25">
      <c r="U1220" s="20"/>
      <c r="V1220" s="20"/>
    </row>
    <row r="1221" spans="21:22" x14ac:dyDescent="0.25">
      <c r="U1221" s="20"/>
      <c r="V1221" s="20"/>
    </row>
    <row r="1222" spans="21:22" x14ac:dyDescent="0.25">
      <c r="U1222" s="20"/>
      <c r="V1222" s="20"/>
    </row>
    <row r="1223" spans="21:22" x14ac:dyDescent="0.25">
      <c r="U1223" s="20"/>
      <c r="V1223" s="20"/>
    </row>
    <row r="1224" spans="21:22" x14ac:dyDescent="0.25">
      <c r="U1224" s="20"/>
      <c r="V1224" s="20"/>
    </row>
    <row r="1225" spans="21:22" x14ac:dyDescent="0.25">
      <c r="U1225" s="20"/>
      <c r="V1225" s="20"/>
    </row>
    <row r="1226" spans="21:22" x14ac:dyDescent="0.25">
      <c r="U1226" s="20"/>
      <c r="V1226" s="20"/>
    </row>
    <row r="1227" spans="21:22" x14ac:dyDescent="0.25">
      <c r="U1227" s="20"/>
      <c r="V1227" s="20"/>
    </row>
    <row r="1228" spans="21:22" x14ac:dyDescent="0.25">
      <c r="U1228" s="20"/>
      <c r="V1228" s="20"/>
    </row>
    <row r="1229" spans="21:22" x14ac:dyDescent="0.25">
      <c r="U1229" s="20"/>
      <c r="V1229" s="20"/>
    </row>
    <row r="1230" spans="21:22" x14ac:dyDescent="0.25">
      <c r="U1230" s="20"/>
      <c r="V1230" s="20"/>
    </row>
    <row r="1231" spans="21:22" x14ac:dyDescent="0.25">
      <c r="U1231" s="20"/>
      <c r="V1231" s="20"/>
    </row>
    <row r="1232" spans="21:22" x14ac:dyDescent="0.25">
      <c r="U1232" s="20"/>
      <c r="V1232" s="20"/>
    </row>
    <row r="1233" spans="21:22" x14ac:dyDescent="0.25">
      <c r="U1233" s="20"/>
      <c r="V1233" s="20"/>
    </row>
    <row r="1234" spans="21:22" x14ac:dyDescent="0.25">
      <c r="U1234" s="20"/>
      <c r="V1234" s="20"/>
    </row>
    <row r="1235" spans="21:22" x14ac:dyDescent="0.25">
      <c r="U1235" s="20"/>
      <c r="V1235" s="20"/>
    </row>
    <row r="1236" spans="21:22" x14ac:dyDescent="0.25">
      <c r="U1236" s="20"/>
      <c r="V1236" s="20"/>
    </row>
    <row r="1237" spans="21:22" x14ac:dyDescent="0.25">
      <c r="U1237" s="20"/>
      <c r="V1237" s="20"/>
    </row>
    <row r="1238" spans="21:22" x14ac:dyDescent="0.25">
      <c r="U1238" s="20"/>
      <c r="V1238" s="20"/>
    </row>
    <row r="1239" spans="21:22" x14ac:dyDescent="0.25">
      <c r="U1239" s="20"/>
      <c r="V1239" s="20"/>
    </row>
    <row r="1240" spans="21:22" x14ac:dyDescent="0.25">
      <c r="U1240" s="20"/>
      <c r="V1240" s="20"/>
    </row>
    <row r="1241" spans="21:22" x14ac:dyDescent="0.25">
      <c r="U1241" s="20"/>
      <c r="V1241" s="20"/>
    </row>
    <row r="1242" spans="21:22" x14ac:dyDescent="0.25">
      <c r="U1242" s="20"/>
      <c r="V1242" s="20"/>
    </row>
    <row r="1243" spans="21:22" x14ac:dyDescent="0.25">
      <c r="U1243" s="20"/>
      <c r="V1243" s="20"/>
    </row>
    <row r="1244" spans="21:22" x14ac:dyDescent="0.25">
      <c r="U1244" s="20"/>
      <c r="V1244" s="20"/>
    </row>
    <row r="1245" spans="21:22" x14ac:dyDescent="0.25">
      <c r="U1245" s="20"/>
      <c r="V1245" s="20"/>
    </row>
    <row r="1246" spans="21:22" x14ac:dyDescent="0.25">
      <c r="U1246" s="20"/>
      <c r="V1246" s="20"/>
    </row>
    <row r="1247" spans="21:22" x14ac:dyDescent="0.25">
      <c r="U1247" s="20"/>
      <c r="V1247" s="20"/>
    </row>
    <row r="1248" spans="21:22" x14ac:dyDescent="0.25">
      <c r="U1248" s="20"/>
      <c r="V1248" s="20"/>
    </row>
    <row r="1249" spans="21:22" x14ac:dyDescent="0.25">
      <c r="U1249" s="20"/>
      <c r="V1249" s="20"/>
    </row>
    <row r="1250" spans="21:22" x14ac:dyDescent="0.25">
      <c r="U1250" s="20"/>
      <c r="V1250" s="20"/>
    </row>
    <row r="1251" spans="21:22" x14ac:dyDescent="0.25">
      <c r="U1251" s="20"/>
      <c r="V1251" s="20"/>
    </row>
    <row r="1252" spans="21:22" x14ac:dyDescent="0.25">
      <c r="U1252" s="20"/>
      <c r="V1252" s="20"/>
    </row>
    <row r="1253" spans="21:22" x14ac:dyDescent="0.25">
      <c r="U1253" s="20"/>
      <c r="V1253" s="20"/>
    </row>
    <row r="1254" spans="21:22" x14ac:dyDescent="0.25">
      <c r="U1254" s="20"/>
      <c r="V1254" s="20"/>
    </row>
    <row r="1255" spans="21:22" x14ac:dyDescent="0.25">
      <c r="U1255" s="20"/>
      <c r="V1255" s="20"/>
    </row>
    <row r="1256" spans="21:22" x14ac:dyDescent="0.25">
      <c r="U1256" s="20"/>
      <c r="V1256" s="20"/>
    </row>
    <row r="1257" spans="21:22" x14ac:dyDescent="0.25">
      <c r="U1257" s="20"/>
      <c r="V1257" s="20"/>
    </row>
    <row r="1258" spans="21:22" x14ac:dyDescent="0.25">
      <c r="U1258" s="20"/>
      <c r="V1258" s="20"/>
    </row>
    <row r="1259" spans="21:22" x14ac:dyDescent="0.25">
      <c r="U1259" s="20"/>
      <c r="V1259" s="20"/>
    </row>
    <row r="1260" spans="21:22" x14ac:dyDescent="0.25">
      <c r="U1260" s="20"/>
      <c r="V1260" s="20"/>
    </row>
    <row r="1261" spans="21:22" x14ac:dyDescent="0.25">
      <c r="U1261" s="20"/>
      <c r="V1261" s="20"/>
    </row>
    <row r="1262" spans="21:22" x14ac:dyDescent="0.25">
      <c r="U1262" s="20"/>
      <c r="V1262" s="20"/>
    </row>
    <row r="1263" spans="21:22" x14ac:dyDescent="0.25">
      <c r="U1263" s="20"/>
      <c r="V1263" s="20"/>
    </row>
    <row r="1264" spans="21:22" x14ac:dyDescent="0.25">
      <c r="U1264" s="20"/>
      <c r="V1264" s="20"/>
    </row>
    <row r="1265" spans="21:22" x14ac:dyDescent="0.25">
      <c r="U1265" s="20"/>
      <c r="V1265" s="20"/>
    </row>
    <row r="1266" spans="21:22" x14ac:dyDescent="0.25">
      <c r="U1266" s="20"/>
      <c r="V1266" s="20"/>
    </row>
    <row r="1267" spans="21:22" x14ac:dyDescent="0.25">
      <c r="U1267" s="20"/>
      <c r="V1267" s="20"/>
    </row>
    <row r="1268" spans="21:22" x14ac:dyDescent="0.25">
      <c r="U1268" s="20"/>
      <c r="V1268" s="20"/>
    </row>
    <row r="1269" spans="21:22" x14ac:dyDescent="0.25">
      <c r="U1269" s="20"/>
      <c r="V1269" s="20"/>
    </row>
    <row r="1270" spans="21:22" x14ac:dyDescent="0.25">
      <c r="U1270" s="20"/>
      <c r="V1270" s="20"/>
    </row>
  </sheetData>
  <autoFilter ref="A1:AY647" xr:uid="{AD922EA1-BAD4-4012-8A13-C5FFC0CE9FB4}"/>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3CF1B-9913-4A38-A5D0-B5B497AD9A47}">
  <sheetPr codeName="Sheet9"/>
  <dimension ref="A1:M361"/>
  <sheetViews>
    <sheetView topLeftCell="A334" workbookViewId="0">
      <selection sqref="A1:M361"/>
    </sheetView>
  </sheetViews>
  <sheetFormatPr defaultColWidth="8.85546875" defaultRowHeight="15" x14ac:dyDescent="0.25"/>
  <cols>
    <col min="1" max="1" width="14.28515625" bestFit="1" customWidth="1"/>
  </cols>
  <sheetData>
    <row r="1" spans="1:13" x14ac:dyDescent="0.25">
      <c r="A1" t="s">
        <v>1307</v>
      </c>
      <c r="B1" t="s">
        <v>1876</v>
      </c>
      <c r="C1" t="s">
        <v>1877</v>
      </c>
      <c r="D1" t="s">
        <v>1878</v>
      </c>
      <c r="E1" t="s">
        <v>1879</v>
      </c>
      <c r="F1" t="s">
        <v>1880</v>
      </c>
      <c r="G1" t="s">
        <v>1881</v>
      </c>
      <c r="H1" t="s">
        <v>1882</v>
      </c>
      <c r="I1" t="s">
        <v>1883</v>
      </c>
      <c r="J1" t="s">
        <v>1884</v>
      </c>
      <c r="K1" t="s">
        <v>1885</v>
      </c>
      <c r="L1" t="s">
        <v>1886</v>
      </c>
      <c r="M1" t="s">
        <v>1887</v>
      </c>
    </row>
    <row r="3" spans="1:13" x14ac:dyDescent="0.25">
      <c r="A3" t="s">
        <v>36</v>
      </c>
      <c r="B3" t="s">
        <v>43</v>
      </c>
      <c r="C3" t="s">
        <v>1168</v>
      </c>
      <c r="D3" t="s">
        <v>1888</v>
      </c>
      <c r="E3" t="s">
        <v>1889</v>
      </c>
      <c r="F3" t="s">
        <v>1890</v>
      </c>
      <c r="G3" t="s">
        <v>1891</v>
      </c>
      <c r="H3" t="s">
        <v>2021</v>
      </c>
      <c r="I3" t="s">
        <v>1168</v>
      </c>
      <c r="J3" t="s">
        <v>1888</v>
      </c>
      <c r="K3" t="s">
        <v>1889</v>
      </c>
      <c r="L3" t="s">
        <v>1890</v>
      </c>
      <c r="M3" t="s">
        <v>1891</v>
      </c>
    </row>
    <row r="4" spans="1:13" x14ac:dyDescent="0.25">
      <c r="A4" t="s">
        <v>47</v>
      </c>
      <c r="B4" t="s">
        <v>2191</v>
      </c>
      <c r="C4" t="s">
        <v>1168</v>
      </c>
      <c r="D4" t="s">
        <v>1888</v>
      </c>
      <c r="E4" t="s">
        <v>1889</v>
      </c>
      <c r="F4" t="s">
        <v>1890</v>
      </c>
      <c r="G4" t="s">
        <v>1891</v>
      </c>
      <c r="H4" t="s">
        <v>2010</v>
      </c>
      <c r="I4" t="s">
        <v>1168</v>
      </c>
      <c r="J4" t="s">
        <v>1888</v>
      </c>
      <c r="K4" t="s">
        <v>1889</v>
      </c>
      <c r="L4" t="s">
        <v>1890</v>
      </c>
      <c r="M4" t="s">
        <v>1891</v>
      </c>
    </row>
    <row r="5" spans="1:13" x14ac:dyDescent="0.25">
      <c r="A5" t="s">
        <v>54</v>
      </c>
      <c r="B5" t="s">
        <v>57</v>
      </c>
      <c r="C5" t="s">
        <v>1168</v>
      </c>
      <c r="D5" t="s">
        <v>1888</v>
      </c>
      <c r="E5" t="s">
        <v>1889</v>
      </c>
      <c r="F5" t="s">
        <v>1890</v>
      </c>
      <c r="G5" t="s">
        <v>1891</v>
      </c>
      <c r="H5" t="s">
        <v>2265</v>
      </c>
      <c r="I5" t="s">
        <v>1168</v>
      </c>
      <c r="J5" t="s">
        <v>1888</v>
      </c>
      <c r="K5" t="s">
        <v>1889</v>
      </c>
      <c r="L5" t="s">
        <v>1890</v>
      </c>
      <c r="M5" t="s">
        <v>1891</v>
      </c>
    </row>
    <row r="6" spans="1:13" x14ac:dyDescent="0.25">
      <c r="A6" t="s">
        <v>61</v>
      </c>
      <c r="B6" t="s">
        <v>2133</v>
      </c>
      <c r="C6" t="s">
        <v>1168</v>
      </c>
      <c r="D6" t="s">
        <v>1888</v>
      </c>
      <c r="E6" t="s">
        <v>1889</v>
      </c>
      <c r="F6" t="s">
        <v>1890</v>
      </c>
      <c r="G6" t="s">
        <v>1891</v>
      </c>
      <c r="H6" t="s">
        <v>2021</v>
      </c>
      <c r="I6" t="s">
        <v>1168</v>
      </c>
      <c r="J6" t="s">
        <v>1888</v>
      </c>
      <c r="K6" t="s">
        <v>1889</v>
      </c>
      <c r="L6" t="s">
        <v>1890</v>
      </c>
      <c r="M6" t="s">
        <v>1891</v>
      </c>
    </row>
    <row r="7" spans="1:13" x14ac:dyDescent="0.25">
      <c r="A7" t="s">
        <v>66</v>
      </c>
      <c r="B7" t="s">
        <v>2021</v>
      </c>
      <c r="C7" t="s">
        <v>1168</v>
      </c>
      <c r="D7" t="s">
        <v>1888</v>
      </c>
      <c r="E7" t="s">
        <v>1889</v>
      </c>
      <c r="F7" t="s">
        <v>1890</v>
      </c>
      <c r="G7" t="s">
        <v>1891</v>
      </c>
      <c r="H7" t="s">
        <v>2005</v>
      </c>
      <c r="I7" t="s">
        <v>1168</v>
      </c>
      <c r="J7" t="s">
        <v>1888</v>
      </c>
      <c r="K7" t="s">
        <v>1889</v>
      </c>
      <c r="L7" t="s">
        <v>1890</v>
      </c>
      <c r="M7" t="s">
        <v>1891</v>
      </c>
    </row>
    <row r="8" spans="1:13" x14ac:dyDescent="0.25">
      <c r="A8" t="s">
        <v>69</v>
      </c>
      <c r="B8" t="s">
        <v>2021</v>
      </c>
      <c r="C8" t="s">
        <v>1168</v>
      </c>
      <c r="D8" t="s">
        <v>1888</v>
      </c>
      <c r="E8" t="s">
        <v>1889</v>
      </c>
      <c r="F8" t="s">
        <v>1890</v>
      </c>
      <c r="G8" t="s">
        <v>1891</v>
      </c>
      <c r="H8" t="s">
        <v>2493</v>
      </c>
      <c r="I8" t="s">
        <v>1168</v>
      </c>
      <c r="J8" t="s">
        <v>1888</v>
      </c>
      <c r="K8" t="s">
        <v>1889</v>
      </c>
      <c r="L8" t="s">
        <v>1890</v>
      </c>
      <c r="M8" t="s">
        <v>1891</v>
      </c>
    </row>
    <row r="9" spans="1:13" x14ac:dyDescent="0.25">
      <c r="A9" t="s">
        <v>70</v>
      </c>
      <c r="B9" t="s">
        <v>2133</v>
      </c>
      <c r="C9" t="s">
        <v>1168</v>
      </c>
      <c r="D9" t="s">
        <v>1888</v>
      </c>
      <c r="E9" t="s">
        <v>1889</v>
      </c>
      <c r="F9" t="s">
        <v>1890</v>
      </c>
      <c r="G9" t="s">
        <v>1891</v>
      </c>
      <c r="H9" t="s">
        <v>2015</v>
      </c>
      <c r="I9" t="s">
        <v>1168</v>
      </c>
      <c r="J9" t="s">
        <v>1888</v>
      </c>
      <c r="K9" t="s">
        <v>1889</v>
      </c>
      <c r="L9" t="s">
        <v>1890</v>
      </c>
      <c r="M9" t="s">
        <v>1891</v>
      </c>
    </row>
    <row r="10" spans="1:13" x14ac:dyDescent="0.25">
      <c r="A10" t="s">
        <v>79</v>
      </c>
      <c r="B10" t="s">
        <v>2958</v>
      </c>
      <c r="C10" t="s">
        <v>1168</v>
      </c>
      <c r="D10" t="s">
        <v>1888</v>
      </c>
      <c r="E10" t="s">
        <v>1889</v>
      </c>
      <c r="F10" t="s">
        <v>1890</v>
      </c>
      <c r="G10" t="s">
        <v>1891</v>
      </c>
      <c r="H10" t="s">
        <v>2010</v>
      </c>
      <c r="I10" t="s">
        <v>1168</v>
      </c>
      <c r="J10" t="s">
        <v>1888</v>
      </c>
      <c r="K10" t="s">
        <v>1889</v>
      </c>
      <c r="L10" t="s">
        <v>1890</v>
      </c>
      <c r="M10" t="s">
        <v>1891</v>
      </c>
    </row>
    <row r="11" spans="1:13" x14ac:dyDescent="0.25">
      <c r="A11" t="s">
        <v>81</v>
      </c>
      <c r="B11" t="s">
        <v>2108</v>
      </c>
      <c r="C11" t="s">
        <v>1168</v>
      </c>
      <c r="D11" t="s">
        <v>1888</v>
      </c>
      <c r="E11" t="s">
        <v>1889</v>
      </c>
      <c r="F11" t="s">
        <v>1890</v>
      </c>
      <c r="G11" t="s">
        <v>1891</v>
      </c>
      <c r="H11" t="s">
        <v>2021</v>
      </c>
      <c r="I11" t="s">
        <v>1168</v>
      </c>
      <c r="J11" t="s">
        <v>1888</v>
      </c>
      <c r="K11" t="s">
        <v>1889</v>
      </c>
      <c r="L11" t="s">
        <v>1890</v>
      </c>
      <c r="M11" t="s">
        <v>1891</v>
      </c>
    </row>
    <row r="12" spans="1:13" x14ac:dyDescent="0.25">
      <c r="A12" t="s">
        <v>83</v>
      </c>
      <c r="B12" t="s">
        <v>2194</v>
      </c>
      <c r="C12" t="s">
        <v>1168</v>
      </c>
      <c r="D12" t="s">
        <v>1888</v>
      </c>
      <c r="E12" t="s">
        <v>1889</v>
      </c>
      <c r="F12" t="s">
        <v>1890</v>
      </c>
      <c r="G12" t="s">
        <v>1891</v>
      </c>
      <c r="H12" t="s">
        <v>2021</v>
      </c>
      <c r="I12" t="s">
        <v>1168</v>
      </c>
      <c r="J12" t="s">
        <v>1888</v>
      </c>
      <c r="K12" t="s">
        <v>1889</v>
      </c>
      <c r="L12" t="s">
        <v>1890</v>
      </c>
      <c r="M12" t="s">
        <v>1891</v>
      </c>
    </row>
    <row r="13" spans="1:13" x14ac:dyDescent="0.25">
      <c r="A13" t="s">
        <v>85</v>
      </c>
      <c r="B13" t="s">
        <v>2030</v>
      </c>
      <c r="C13" t="s">
        <v>1168</v>
      </c>
      <c r="D13" t="s">
        <v>1888</v>
      </c>
      <c r="E13" t="s">
        <v>1889</v>
      </c>
      <c r="F13" t="s">
        <v>1890</v>
      </c>
      <c r="G13" t="s">
        <v>1891</v>
      </c>
      <c r="H13" t="s">
        <v>1997</v>
      </c>
      <c r="I13" t="s">
        <v>1168</v>
      </c>
      <c r="J13" t="s">
        <v>1888</v>
      </c>
      <c r="K13" t="s">
        <v>1889</v>
      </c>
      <c r="L13" t="s">
        <v>1890</v>
      </c>
      <c r="M13" t="s">
        <v>1891</v>
      </c>
    </row>
    <row r="14" spans="1:13" x14ac:dyDescent="0.25">
      <c r="A14" t="s">
        <v>93</v>
      </c>
      <c r="B14" t="s">
        <v>2030</v>
      </c>
      <c r="C14" t="s">
        <v>1168</v>
      </c>
      <c r="D14" t="s">
        <v>1888</v>
      </c>
      <c r="E14" t="s">
        <v>1889</v>
      </c>
      <c r="F14" t="s">
        <v>1890</v>
      </c>
      <c r="G14" t="s">
        <v>1891</v>
      </c>
      <c r="H14" t="s">
        <v>2494</v>
      </c>
      <c r="I14" t="s">
        <v>1168</v>
      </c>
      <c r="J14" t="s">
        <v>1888</v>
      </c>
      <c r="K14" t="s">
        <v>1889</v>
      </c>
      <c r="L14" t="s">
        <v>1890</v>
      </c>
      <c r="M14" t="s">
        <v>1891</v>
      </c>
    </row>
    <row r="15" spans="1:13" x14ac:dyDescent="0.25">
      <c r="A15" t="s">
        <v>96</v>
      </c>
      <c r="B15" t="s">
        <v>2030</v>
      </c>
      <c r="C15" t="s">
        <v>1168</v>
      </c>
      <c r="D15" t="s">
        <v>1888</v>
      </c>
      <c r="E15" t="s">
        <v>1889</v>
      </c>
      <c r="F15" t="s">
        <v>1890</v>
      </c>
      <c r="G15" t="s">
        <v>1891</v>
      </c>
      <c r="H15" t="s">
        <v>2106</v>
      </c>
      <c r="I15" t="s">
        <v>1168</v>
      </c>
      <c r="J15" t="s">
        <v>1888</v>
      </c>
      <c r="K15" t="s">
        <v>1889</v>
      </c>
      <c r="L15" t="s">
        <v>1890</v>
      </c>
      <c r="M15" t="s">
        <v>1891</v>
      </c>
    </row>
    <row r="16" spans="1:13" x14ac:dyDescent="0.25">
      <c r="A16" t="s">
        <v>101</v>
      </c>
      <c r="B16" t="s">
        <v>2030</v>
      </c>
      <c r="C16" t="s">
        <v>1168</v>
      </c>
      <c r="D16" t="s">
        <v>1888</v>
      </c>
      <c r="E16" t="s">
        <v>1889</v>
      </c>
      <c r="F16" t="s">
        <v>1890</v>
      </c>
      <c r="G16" t="s">
        <v>1891</v>
      </c>
      <c r="H16" t="s">
        <v>2024</v>
      </c>
      <c r="I16" t="s">
        <v>1168</v>
      </c>
      <c r="J16" t="s">
        <v>1888</v>
      </c>
      <c r="K16" t="s">
        <v>1889</v>
      </c>
      <c r="L16" t="s">
        <v>1890</v>
      </c>
      <c r="M16" t="s">
        <v>1891</v>
      </c>
    </row>
    <row r="17" spans="1:13" x14ac:dyDescent="0.25">
      <c r="A17" t="s">
        <v>104</v>
      </c>
      <c r="B17" t="s">
        <v>2030</v>
      </c>
      <c r="C17" t="s">
        <v>1168</v>
      </c>
      <c r="D17" t="s">
        <v>1888</v>
      </c>
      <c r="E17" t="s">
        <v>1889</v>
      </c>
      <c r="F17" t="s">
        <v>1890</v>
      </c>
      <c r="G17" t="s">
        <v>1891</v>
      </c>
      <c r="H17" t="s">
        <v>2070</v>
      </c>
      <c r="I17" t="s">
        <v>1168</v>
      </c>
      <c r="J17" t="s">
        <v>1888</v>
      </c>
      <c r="K17" t="s">
        <v>1889</v>
      </c>
      <c r="L17" t="s">
        <v>1890</v>
      </c>
      <c r="M17" t="s">
        <v>1891</v>
      </c>
    </row>
    <row r="18" spans="1:13" x14ac:dyDescent="0.25">
      <c r="A18" t="s">
        <v>107</v>
      </c>
      <c r="B18" t="s">
        <v>2030</v>
      </c>
      <c r="C18" t="s">
        <v>1168</v>
      </c>
      <c r="D18" t="s">
        <v>1888</v>
      </c>
      <c r="E18" t="s">
        <v>1889</v>
      </c>
      <c r="F18" t="s">
        <v>1890</v>
      </c>
      <c r="G18" t="s">
        <v>1891</v>
      </c>
      <c r="H18" t="s">
        <v>2063</v>
      </c>
      <c r="I18" t="s">
        <v>1168</v>
      </c>
      <c r="J18" t="s">
        <v>1888</v>
      </c>
      <c r="K18" t="s">
        <v>1889</v>
      </c>
      <c r="L18" t="s">
        <v>1890</v>
      </c>
      <c r="M18" t="s">
        <v>1891</v>
      </c>
    </row>
    <row r="19" spans="1:13" x14ac:dyDescent="0.25">
      <c r="A19" t="s">
        <v>112</v>
      </c>
      <c r="B19" t="s">
        <v>2108</v>
      </c>
      <c r="C19" t="s">
        <v>1168</v>
      </c>
      <c r="D19" t="s">
        <v>1888</v>
      </c>
      <c r="E19" t="s">
        <v>1889</v>
      </c>
      <c r="F19" t="s">
        <v>1890</v>
      </c>
      <c r="G19" t="s">
        <v>1891</v>
      </c>
      <c r="H19" t="s">
        <v>2030</v>
      </c>
      <c r="I19" t="s">
        <v>1168</v>
      </c>
      <c r="J19" t="s">
        <v>1888</v>
      </c>
      <c r="K19" t="s">
        <v>1889</v>
      </c>
      <c r="L19" t="s">
        <v>1890</v>
      </c>
      <c r="M19" t="s">
        <v>1891</v>
      </c>
    </row>
    <row r="20" spans="1:13" x14ac:dyDescent="0.25">
      <c r="A20" t="s">
        <v>116</v>
      </c>
      <c r="B20" t="s">
        <v>2194</v>
      </c>
      <c r="C20" t="s">
        <v>1168</v>
      </c>
      <c r="D20" t="s">
        <v>1888</v>
      </c>
      <c r="E20" t="s">
        <v>1889</v>
      </c>
      <c r="F20" t="s">
        <v>1890</v>
      </c>
      <c r="G20" t="s">
        <v>1891</v>
      </c>
      <c r="H20" t="s">
        <v>2030</v>
      </c>
      <c r="I20" t="s">
        <v>1168</v>
      </c>
      <c r="J20" t="s">
        <v>1888</v>
      </c>
      <c r="K20" t="s">
        <v>1889</v>
      </c>
      <c r="L20" t="s">
        <v>1890</v>
      </c>
      <c r="M20" t="s">
        <v>1891</v>
      </c>
    </row>
    <row r="21" spans="1:13" x14ac:dyDescent="0.25">
      <c r="A21" t="s">
        <v>119</v>
      </c>
      <c r="B21" t="s">
        <v>2021</v>
      </c>
      <c r="C21" t="s">
        <v>1168</v>
      </c>
      <c r="D21" t="s">
        <v>1888</v>
      </c>
      <c r="E21" t="s">
        <v>1889</v>
      </c>
      <c r="F21" t="s">
        <v>1890</v>
      </c>
      <c r="G21" t="s">
        <v>1891</v>
      </c>
      <c r="H21" t="s">
        <v>2030</v>
      </c>
      <c r="I21" t="s">
        <v>1168</v>
      </c>
      <c r="J21" t="s">
        <v>1888</v>
      </c>
      <c r="K21" t="s">
        <v>1889</v>
      </c>
      <c r="L21" t="s">
        <v>1890</v>
      </c>
      <c r="M21" t="s">
        <v>1891</v>
      </c>
    </row>
    <row r="22" spans="1:13" x14ac:dyDescent="0.25">
      <c r="A22" t="s">
        <v>124</v>
      </c>
      <c r="B22" t="s">
        <v>2030</v>
      </c>
      <c r="C22" t="s">
        <v>1168</v>
      </c>
      <c r="D22" t="s">
        <v>1888</v>
      </c>
      <c r="E22" t="s">
        <v>1889</v>
      </c>
      <c r="F22" t="s">
        <v>1890</v>
      </c>
      <c r="G22" t="s">
        <v>1891</v>
      </c>
      <c r="H22" t="s">
        <v>2094</v>
      </c>
      <c r="I22" t="s">
        <v>1168</v>
      </c>
      <c r="J22" t="s">
        <v>1888</v>
      </c>
      <c r="K22" t="s">
        <v>1889</v>
      </c>
      <c r="L22" t="s">
        <v>1890</v>
      </c>
      <c r="M22" t="s">
        <v>1891</v>
      </c>
    </row>
    <row r="23" spans="1:13" x14ac:dyDescent="0.25">
      <c r="A23" t="s">
        <v>127</v>
      </c>
      <c r="B23" t="s">
        <v>2021</v>
      </c>
      <c r="C23" t="s">
        <v>1168</v>
      </c>
      <c r="D23" t="s">
        <v>1888</v>
      </c>
      <c r="E23" t="s">
        <v>1889</v>
      </c>
      <c r="F23" t="s">
        <v>1890</v>
      </c>
      <c r="G23" t="s">
        <v>1891</v>
      </c>
      <c r="H23" t="s">
        <v>2106</v>
      </c>
      <c r="I23" t="s">
        <v>1168</v>
      </c>
      <c r="J23" t="s">
        <v>1888</v>
      </c>
      <c r="K23" t="s">
        <v>1889</v>
      </c>
      <c r="L23" t="s">
        <v>1890</v>
      </c>
      <c r="M23" t="s">
        <v>1891</v>
      </c>
    </row>
    <row r="24" spans="1:13" x14ac:dyDescent="0.25">
      <c r="A24" t="s">
        <v>128</v>
      </c>
      <c r="B24" t="s">
        <v>1997</v>
      </c>
      <c r="C24" t="s">
        <v>1168</v>
      </c>
      <c r="D24" t="s">
        <v>1888</v>
      </c>
      <c r="E24" t="s">
        <v>1889</v>
      </c>
      <c r="F24" t="s">
        <v>1890</v>
      </c>
      <c r="G24" t="s">
        <v>1891</v>
      </c>
      <c r="H24" t="s">
        <v>2021</v>
      </c>
      <c r="I24" t="s">
        <v>1168</v>
      </c>
      <c r="J24" t="s">
        <v>1888</v>
      </c>
      <c r="K24" t="s">
        <v>1889</v>
      </c>
      <c r="L24" t="s">
        <v>1890</v>
      </c>
      <c r="M24" t="s">
        <v>1891</v>
      </c>
    </row>
    <row r="25" spans="1:13" x14ac:dyDescent="0.25">
      <c r="A25" t="s">
        <v>130</v>
      </c>
      <c r="B25" t="s">
        <v>2070</v>
      </c>
      <c r="C25" t="s">
        <v>1168</v>
      </c>
      <c r="D25" t="s">
        <v>1888</v>
      </c>
      <c r="E25" t="s">
        <v>1889</v>
      </c>
      <c r="F25" t="s">
        <v>1890</v>
      </c>
      <c r="G25" t="s">
        <v>1891</v>
      </c>
      <c r="H25" t="s">
        <v>2021</v>
      </c>
      <c r="I25" t="s">
        <v>1168</v>
      </c>
      <c r="J25" t="s">
        <v>1888</v>
      </c>
      <c r="K25" t="s">
        <v>1889</v>
      </c>
      <c r="L25" t="s">
        <v>1890</v>
      </c>
      <c r="M25" t="s">
        <v>1891</v>
      </c>
    </row>
    <row r="26" spans="1:13" x14ac:dyDescent="0.25">
      <c r="A26" t="s">
        <v>131</v>
      </c>
      <c r="B26" t="s">
        <v>2015</v>
      </c>
      <c r="C26" t="s">
        <v>1168</v>
      </c>
      <c r="D26" t="s">
        <v>1888</v>
      </c>
      <c r="E26" t="s">
        <v>1889</v>
      </c>
      <c r="F26" t="s">
        <v>1890</v>
      </c>
      <c r="G26" t="s">
        <v>1891</v>
      </c>
      <c r="H26" t="s">
        <v>2035</v>
      </c>
      <c r="I26" t="s">
        <v>1168</v>
      </c>
      <c r="J26" t="s">
        <v>1888</v>
      </c>
      <c r="K26" t="s">
        <v>1889</v>
      </c>
      <c r="L26" t="s">
        <v>1890</v>
      </c>
      <c r="M26" t="s">
        <v>1891</v>
      </c>
    </row>
    <row r="27" spans="1:13" x14ac:dyDescent="0.25">
      <c r="A27" t="s">
        <v>133</v>
      </c>
      <c r="B27" t="s">
        <v>2015</v>
      </c>
      <c r="C27" t="s">
        <v>1168</v>
      </c>
      <c r="D27" t="s">
        <v>1888</v>
      </c>
      <c r="E27" t="s">
        <v>1889</v>
      </c>
      <c r="F27" t="s">
        <v>1890</v>
      </c>
      <c r="G27" t="s">
        <v>1891</v>
      </c>
      <c r="H27" t="s">
        <v>2106</v>
      </c>
      <c r="I27" t="s">
        <v>1168</v>
      </c>
      <c r="J27" t="s">
        <v>1888</v>
      </c>
      <c r="K27" t="s">
        <v>1889</v>
      </c>
      <c r="L27" t="s">
        <v>1890</v>
      </c>
      <c r="M27" t="s">
        <v>1891</v>
      </c>
    </row>
    <row r="28" spans="1:13" x14ac:dyDescent="0.25">
      <c r="A28" t="s">
        <v>137</v>
      </c>
      <c r="B28" t="s">
        <v>2015</v>
      </c>
      <c r="C28" t="s">
        <v>1168</v>
      </c>
      <c r="D28" t="s">
        <v>1888</v>
      </c>
      <c r="E28" t="s">
        <v>1889</v>
      </c>
      <c r="F28" t="s">
        <v>1890</v>
      </c>
      <c r="G28" t="s">
        <v>1891</v>
      </c>
      <c r="H28" t="s">
        <v>2962</v>
      </c>
      <c r="I28" t="s">
        <v>1168</v>
      </c>
      <c r="J28" t="s">
        <v>1888</v>
      </c>
      <c r="K28" t="s">
        <v>1889</v>
      </c>
      <c r="L28" t="s">
        <v>1890</v>
      </c>
      <c r="M28" t="s">
        <v>1891</v>
      </c>
    </row>
    <row r="29" spans="1:13" x14ac:dyDescent="0.25">
      <c r="A29" t="s">
        <v>138</v>
      </c>
      <c r="B29" t="s">
        <v>2010</v>
      </c>
      <c r="C29" t="s">
        <v>1168</v>
      </c>
      <c r="D29" t="s">
        <v>1888</v>
      </c>
      <c r="E29" t="s">
        <v>1889</v>
      </c>
      <c r="F29" t="s">
        <v>1890</v>
      </c>
      <c r="G29" t="s">
        <v>1891</v>
      </c>
      <c r="H29" t="s">
        <v>2106</v>
      </c>
      <c r="I29" t="s">
        <v>1168</v>
      </c>
      <c r="J29" t="s">
        <v>1888</v>
      </c>
      <c r="K29" t="s">
        <v>1889</v>
      </c>
      <c r="L29" t="s">
        <v>1890</v>
      </c>
      <c r="M29" t="s">
        <v>1891</v>
      </c>
    </row>
    <row r="30" spans="1:13" x14ac:dyDescent="0.25">
      <c r="A30" t="s">
        <v>141</v>
      </c>
      <c r="B30" t="s">
        <v>2958</v>
      </c>
      <c r="C30" t="s">
        <v>1168</v>
      </c>
      <c r="D30" t="s">
        <v>1888</v>
      </c>
      <c r="E30" t="s">
        <v>1889</v>
      </c>
      <c r="F30" t="s">
        <v>1890</v>
      </c>
      <c r="G30" t="s">
        <v>1891</v>
      </c>
      <c r="H30" t="s">
        <v>2106</v>
      </c>
      <c r="I30" t="s">
        <v>1168</v>
      </c>
      <c r="J30" t="s">
        <v>1888</v>
      </c>
      <c r="K30" t="s">
        <v>1889</v>
      </c>
      <c r="L30" t="s">
        <v>1890</v>
      </c>
      <c r="M30" t="s">
        <v>1891</v>
      </c>
    </row>
    <row r="31" spans="1:13" x14ac:dyDescent="0.25">
      <c r="A31" t="s">
        <v>142</v>
      </c>
      <c r="B31" t="s">
        <v>2962</v>
      </c>
      <c r="C31" t="s">
        <v>1168</v>
      </c>
      <c r="D31" t="s">
        <v>1888</v>
      </c>
      <c r="E31" t="s">
        <v>1889</v>
      </c>
      <c r="F31" t="s">
        <v>1890</v>
      </c>
      <c r="G31" t="s">
        <v>1891</v>
      </c>
      <c r="H31" t="s">
        <v>2106</v>
      </c>
      <c r="I31" t="s">
        <v>1168</v>
      </c>
      <c r="J31" t="s">
        <v>1888</v>
      </c>
      <c r="K31" t="s">
        <v>1889</v>
      </c>
      <c r="L31" t="s">
        <v>1890</v>
      </c>
      <c r="M31" t="s">
        <v>1891</v>
      </c>
    </row>
    <row r="32" spans="1:13" x14ac:dyDescent="0.25">
      <c r="A32" t="s">
        <v>143</v>
      </c>
      <c r="B32" t="s">
        <v>2010</v>
      </c>
      <c r="C32" t="s">
        <v>1168</v>
      </c>
      <c r="D32" t="s">
        <v>1888</v>
      </c>
      <c r="E32" t="s">
        <v>1889</v>
      </c>
      <c r="F32" t="s">
        <v>1890</v>
      </c>
      <c r="G32" t="s">
        <v>1891</v>
      </c>
      <c r="H32" t="s">
        <v>2070</v>
      </c>
      <c r="I32" t="s">
        <v>1168</v>
      </c>
      <c r="J32" t="s">
        <v>1888</v>
      </c>
      <c r="K32" t="s">
        <v>1889</v>
      </c>
      <c r="L32" t="s">
        <v>1890</v>
      </c>
      <c r="M32" t="s">
        <v>1891</v>
      </c>
    </row>
    <row r="33" spans="1:13" x14ac:dyDescent="0.25">
      <c r="A33" t="s">
        <v>144</v>
      </c>
      <c r="B33" t="s">
        <v>2070</v>
      </c>
      <c r="C33" t="s">
        <v>1168</v>
      </c>
      <c r="D33" t="s">
        <v>1888</v>
      </c>
      <c r="E33" t="s">
        <v>1889</v>
      </c>
      <c r="F33" t="s">
        <v>1890</v>
      </c>
      <c r="G33" t="s">
        <v>1891</v>
      </c>
      <c r="H33" t="s">
        <v>2106</v>
      </c>
      <c r="I33" t="s">
        <v>1168</v>
      </c>
      <c r="J33" t="s">
        <v>1888</v>
      </c>
      <c r="K33" t="s">
        <v>1889</v>
      </c>
      <c r="L33" t="s">
        <v>1890</v>
      </c>
      <c r="M33" t="s">
        <v>1891</v>
      </c>
    </row>
    <row r="34" spans="1:13" x14ac:dyDescent="0.25">
      <c r="A34" t="s">
        <v>147</v>
      </c>
      <c r="B34" t="s">
        <v>2063</v>
      </c>
      <c r="C34" t="s">
        <v>1168</v>
      </c>
      <c r="D34" t="s">
        <v>1888</v>
      </c>
      <c r="E34" t="s">
        <v>1889</v>
      </c>
      <c r="F34" t="s">
        <v>1890</v>
      </c>
      <c r="G34" t="s">
        <v>1891</v>
      </c>
      <c r="H34" t="s">
        <v>1997</v>
      </c>
      <c r="I34" t="s">
        <v>1168</v>
      </c>
      <c r="J34" t="s">
        <v>1888</v>
      </c>
      <c r="K34" t="s">
        <v>1889</v>
      </c>
      <c r="L34" t="s">
        <v>1890</v>
      </c>
      <c r="M34" t="s">
        <v>1891</v>
      </c>
    </row>
    <row r="35" spans="1:13" x14ac:dyDescent="0.25">
      <c r="A35" t="s">
        <v>152</v>
      </c>
      <c r="B35" t="s">
        <v>2018</v>
      </c>
      <c r="C35" t="s">
        <v>1168</v>
      </c>
      <c r="D35" t="s">
        <v>1888</v>
      </c>
      <c r="E35" t="s">
        <v>1889</v>
      </c>
      <c r="F35" t="s">
        <v>1890</v>
      </c>
      <c r="G35" t="s">
        <v>1891</v>
      </c>
      <c r="H35" t="s">
        <v>1997</v>
      </c>
      <c r="I35" t="s">
        <v>1168</v>
      </c>
      <c r="J35" t="s">
        <v>1888</v>
      </c>
      <c r="K35" t="s">
        <v>1889</v>
      </c>
      <c r="L35" t="s">
        <v>1890</v>
      </c>
      <c r="M35" t="s">
        <v>1891</v>
      </c>
    </row>
    <row r="36" spans="1:13" x14ac:dyDescent="0.25">
      <c r="A36" t="s">
        <v>157</v>
      </c>
      <c r="B36" t="s">
        <v>2018</v>
      </c>
      <c r="C36" t="s">
        <v>1168</v>
      </c>
      <c r="D36" t="s">
        <v>1888</v>
      </c>
      <c r="E36" t="s">
        <v>1889</v>
      </c>
      <c r="F36" t="s">
        <v>1890</v>
      </c>
      <c r="G36" t="s">
        <v>1891</v>
      </c>
      <c r="H36" t="s">
        <v>2035</v>
      </c>
      <c r="I36" t="s">
        <v>1168</v>
      </c>
      <c r="J36" t="s">
        <v>1888</v>
      </c>
      <c r="K36" t="s">
        <v>1889</v>
      </c>
      <c r="L36" t="s">
        <v>1890</v>
      </c>
      <c r="M36" t="s">
        <v>1891</v>
      </c>
    </row>
    <row r="37" spans="1:13" x14ac:dyDescent="0.25">
      <c r="A37" t="s">
        <v>161</v>
      </c>
      <c r="B37" t="s">
        <v>2215</v>
      </c>
      <c r="C37" t="s">
        <v>1168</v>
      </c>
      <c r="D37" t="s">
        <v>1888</v>
      </c>
      <c r="E37" t="s">
        <v>1889</v>
      </c>
      <c r="F37" t="s">
        <v>1890</v>
      </c>
      <c r="G37" t="s">
        <v>1891</v>
      </c>
      <c r="H37" t="s">
        <v>2495</v>
      </c>
      <c r="I37" t="s">
        <v>1168</v>
      </c>
      <c r="J37" t="s">
        <v>1888</v>
      </c>
      <c r="K37" t="s">
        <v>1889</v>
      </c>
      <c r="L37" t="s">
        <v>1890</v>
      </c>
      <c r="M37" t="s">
        <v>1891</v>
      </c>
    </row>
    <row r="38" spans="1:13" x14ac:dyDescent="0.25">
      <c r="A38" t="s">
        <v>162</v>
      </c>
      <c r="B38" t="s">
        <v>2200</v>
      </c>
      <c r="C38" t="s">
        <v>1168</v>
      </c>
      <c r="D38" t="s">
        <v>1888</v>
      </c>
      <c r="E38" t="s">
        <v>1889</v>
      </c>
      <c r="F38" t="s">
        <v>1890</v>
      </c>
      <c r="G38" t="s">
        <v>1891</v>
      </c>
      <c r="H38" t="s">
        <v>2063</v>
      </c>
      <c r="I38" t="s">
        <v>1168</v>
      </c>
      <c r="J38" t="s">
        <v>1888</v>
      </c>
      <c r="K38" t="s">
        <v>1889</v>
      </c>
      <c r="L38" t="s">
        <v>1890</v>
      </c>
      <c r="M38" t="s">
        <v>1891</v>
      </c>
    </row>
    <row r="39" spans="1:13" x14ac:dyDescent="0.25">
      <c r="A39" t="s">
        <v>167</v>
      </c>
      <c r="B39" t="s">
        <v>2129</v>
      </c>
      <c r="C39" t="s">
        <v>1168</v>
      </c>
      <c r="D39" t="s">
        <v>1888</v>
      </c>
      <c r="E39" t="s">
        <v>1889</v>
      </c>
      <c r="F39" t="s">
        <v>1890</v>
      </c>
      <c r="G39" t="s">
        <v>1891</v>
      </c>
      <c r="H39" t="s">
        <v>2070</v>
      </c>
      <c r="I39" t="s">
        <v>1168</v>
      </c>
      <c r="J39" t="s">
        <v>1888</v>
      </c>
      <c r="K39" t="s">
        <v>1889</v>
      </c>
      <c r="L39" t="s">
        <v>1890</v>
      </c>
      <c r="M39" t="s">
        <v>1891</v>
      </c>
    </row>
    <row r="40" spans="1:13" x14ac:dyDescent="0.25">
      <c r="A40" t="s">
        <v>170</v>
      </c>
      <c r="B40" t="s">
        <v>2018</v>
      </c>
      <c r="C40" t="s">
        <v>1168</v>
      </c>
      <c r="D40" t="s">
        <v>1888</v>
      </c>
      <c r="E40" t="s">
        <v>1889</v>
      </c>
      <c r="F40" t="s">
        <v>1890</v>
      </c>
      <c r="G40" t="s">
        <v>1891</v>
      </c>
      <c r="H40" t="s">
        <v>2258</v>
      </c>
      <c r="I40" t="s">
        <v>1168</v>
      </c>
      <c r="J40" t="s">
        <v>1888</v>
      </c>
      <c r="K40" t="s">
        <v>1889</v>
      </c>
      <c r="L40" t="s">
        <v>1890</v>
      </c>
      <c r="M40" t="s">
        <v>1891</v>
      </c>
    </row>
    <row r="41" spans="1:13" x14ac:dyDescent="0.25">
      <c r="A41" t="s">
        <v>173</v>
      </c>
      <c r="B41" t="s">
        <v>2119</v>
      </c>
      <c r="C41" t="s">
        <v>1168</v>
      </c>
      <c r="D41" t="s">
        <v>1888</v>
      </c>
      <c r="E41" t="s">
        <v>1889</v>
      </c>
      <c r="F41" t="s">
        <v>1890</v>
      </c>
      <c r="G41" t="s">
        <v>1891</v>
      </c>
      <c r="H41" t="s">
        <v>2063</v>
      </c>
      <c r="I41" t="s">
        <v>1168</v>
      </c>
      <c r="J41" t="s">
        <v>1888</v>
      </c>
      <c r="K41" t="s">
        <v>1889</v>
      </c>
      <c r="L41" t="s">
        <v>1890</v>
      </c>
      <c r="M41" t="s">
        <v>1891</v>
      </c>
    </row>
    <row r="42" spans="1:13" x14ac:dyDescent="0.25">
      <c r="A42" t="s">
        <v>176</v>
      </c>
      <c r="B42" t="s">
        <v>2265</v>
      </c>
      <c r="C42" t="s">
        <v>1168</v>
      </c>
      <c r="D42" t="s">
        <v>1888</v>
      </c>
      <c r="E42" t="s">
        <v>1889</v>
      </c>
      <c r="F42" t="s">
        <v>1890</v>
      </c>
      <c r="G42" t="s">
        <v>1891</v>
      </c>
      <c r="H42" t="s">
        <v>2962</v>
      </c>
      <c r="I42" t="s">
        <v>1168</v>
      </c>
      <c r="J42" t="s">
        <v>1888</v>
      </c>
      <c r="K42" t="s">
        <v>1889</v>
      </c>
      <c r="L42" t="s">
        <v>1890</v>
      </c>
      <c r="M42" t="s">
        <v>1891</v>
      </c>
    </row>
    <row r="43" spans="1:13" x14ac:dyDescent="0.25">
      <c r="A43" t="s">
        <v>177</v>
      </c>
      <c r="B43" t="s">
        <v>2258</v>
      </c>
      <c r="C43" t="s">
        <v>1168</v>
      </c>
      <c r="D43" t="s">
        <v>1888</v>
      </c>
      <c r="E43" t="s">
        <v>1889</v>
      </c>
      <c r="F43" t="s">
        <v>1890</v>
      </c>
      <c r="G43" t="s">
        <v>1891</v>
      </c>
      <c r="H43" t="s">
        <v>2962</v>
      </c>
      <c r="I43" t="s">
        <v>1168</v>
      </c>
      <c r="J43" t="s">
        <v>1888</v>
      </c>
      <c r="K43" t="s">
        <v>1889</v>
      </c>
      <c r="L43" t="s">
        <v>1890</v>
      </c>
      <c r="M43" t="s">
        <v>1891</v>
      </c>
    </row>
    <row r="44" spans="1:13" x14ac:dyDescent="0.25">
      <c r="A44" t="s">
        <v>178</v>
      </c>
      <c r="B44" t="s">
        <v>2496</v>
      </c>
      <c r="C44" t="s">
        <v>1168</v>
      </c>
      <c r="D44" t="s">
        <v>1888</v>
      </c>
      <c r="E44" t="s">
        <v>1889</v>
      </c>
      <c r="F44" t="s">
        <v>1890</v>
      </c>
      <c r="G44" t="s">
        <v>1891</v>
      </c>
      <c r="H44" t="s">
        <v>2962</v>
      </c>
      <c r="I44" t="s">
        <v>1168</v>
      </c>
      <c r="J44" t="s">
        <v>1888</v>
      </c>
      <c r="K44" t="s">
        <v>1889</v>
      </c>
      <c r="L44" t="s">
        <v>1890</v>
      </c>
      <c r="M44" t="s">
        <v>1891</v>
      </c>
    </row>
    <row r="45" spans="1:13" x14ac:dyDescent="0.25">
      <c r="A45" t="s">
        <v>181</v>
      </c>
      <c r="B45" t="s">
        <v>2030</v>
      </c>
      <c r="C45" t="s">
        <v>1168</v>
      </c>
      <c r="D45" t="s">
        <v>1888</v>
      </c>
      <c r="E45" t="s">
        <v>1889</v>
      </c>
      <c r="F45" t="s">
        <v>1890</v>
      </c>
      <c r="G45" t="s">
        <v>1891</v>
      </c>
      <c r="H45" t="s">
        <v>2089</v>
      </c>
      <c r="I45" t="s">
        <v>1168</v>
      </c>
      <c r="J45" t="s">
        <v>1888</v>
      </c>
      <c r="K45" t="s">
        <v>1889</v>
      </c>
      <c r="L45" t="s">
        <v>1890</v>
      </c>
      <c r="M45" t="s">
        <v>1891</v>
      </c>
    </row>
    <row r="46" spans="1:13" x14ac:dyDescent="0.25">
      <c r="A46" t="s">
        <v>182</v>
      </c>
      <c r="B46" t="s">
        <v>2252</v>
      </c>
      <c r="C46" t="s">
        <v>1168</v>
      </c>
      <c r="D46" t="s">
        <v>1888</v>
      </c>
      <c r="E46" t="s">
        <v>1889</v>
      </c>
      <c r="F46" t="s">
        <v>1890</v>
      </c>
      <c r="G46" t="s">
        <v>1891</v>
      </c>
      <c r="H46" t="s">
        <v>2070</v>
      </c>
      <c r="I46" t="s">
        <v>1168</v>
      </c>
      <c r="J46" t="s">
        <v>1888</v>
      </c>
      <c r="K46" t="s">
        <v>1889</v>
      </c>
      <c r="L46" t="s">
        <v>1890</v>
      </c>
      <c r="M46" t="s">
        <v>1891</v>
      </c>
    </row>
    <row r="47" spans="1:13" x14ac:dyDescent="0.25">
      <c r="A47" t="s">
        <v>184</v>
      </c>
      <c r="B47" t="s">
        <v>2248</v>
      </c>
      <c r="C47" t="s">
        <v>1168</v>
      </c>
      <c r="D47" t="s">
        <v>1888</v>
      </c>
      <c r="E47" t="s">
        <v>1889</v>
      </c>
      <c r="F47" t="s">
        <v>1890</v>
      </c>
      <c r="G47" t="s">
        <v>1891</v>
      </c>
      <c r="H47" t="s">
        <v>2070</v>
      </c>
      <c r="I47" t="s">
        <v>1168</v>
      </c>
      <c r="J47" t="s">
        <v>1888</v>
      </c>
      <c r="K47" t="s">
        <v>1889</v>
      </c>
      <c r="L47" t="s">
        <v>1890</v>
      </c>
      <c r="M47" t="s">
        <v>1891</v>
      </c>
    </row>
    <row r="48" spans="1:13" x14ac:dyDescent="0.25">
      <c r="A48" t="s">
        <v>187</v>
      </c>
      <c r="B48" t="s">
        <v>2204</v>
      </c>
      <c r="C48" t="s">
        <v>1168</v>
      </c>
      <c r="D48" t="s">
        <v>1888</v>
      </c>
      <c r="E48" t="s">
        <v>1889</v>
      </c>
      <c r="F48" t="s">
        <v>1890</v>
      </c>
      <c r="G48" t="s">
        <v>1891</v>
      </c>
      <c r="H48" t="s">
        <v>2063</v>
      </c>
      <c r="I48" t="s">
        <v>1168</v>
      </c>
      <c r="J48" t="s">
        <v>1888</v>
      </c>
      <c r="K48" t="s">
        <v>1889</v>
      </c>
      <c r="L48" t="s">
        <v>1890</v>
      </c>
      <c r="M48" t="s">
        <v>1891</v>
      </c>
    </row>
    <row r="49" spans="1:13" x14ac:dyDescent="0.25">
      <c r="A49" t="s">
        <v>190</v>
      </c>
      <c r="B49" t="s">
        <v>2216</v>
      </c>
      <c r="C49" t="s">
        <v>1168</v>
      </c>
      <c r="D49" t="s">
        <v>1888</v>
      </c>
      <c r="E49" t="s">
        <v>1889</v>
      </c>
      <c r="F49" t="s">
        <v>1890</v>
      </c>
      <c r="G49" t="s">
        <v>1891</v>
      </c>
      <c r="H49" t="s">
        <v>2063</v>
      </c>
      <c r="I49" t="s">
        <v>1168</v>
      </c>
      <c r="J49" t="s">
        <v>1888</v>
      </c>
      <c r="K49" t="s">
        <v>1889</v>
      </c>
      <c r="L49" t="s">
        <v>1890</v>
      </c>
      <c r="M49" t="s">
        <v>1891</v>
      </c>
    </row>
    <row r="50" spans="1:13" x14ac:dyDescent="0.25">
      <c r="A50" t="s">
        <v>193</v>
      </c>
      <c r="B50" t="s">
        <v>2119</v>
      </c>
      <c r="C50" t="s">
        <v>1168</v>
      </c>
      <c r="D50" t="s">
        <v>1888</v>
      </c>
      <c r="E50" t="s">
        <v>1889</v>
      </c>
      <c r="F50" t="s">
        <v>1890</v>
      </c>
      <c r="G50" t="s">
        <v>1891</v>
      </c>
      <c r="H50" t="s">
        <v>2332</v>
      </c>
      <c r="I50" t="s">
        <v>1168</v>
      </c>
      <c r="J50" t="s">
        <v>1888</v>
      </c>
      <c r="K50" t="s">
        <v>1889</v>
      </c>
      <c r="L50" t="s">
        <v>1890</v>
      </c>
      <c r="M50" t="s">
        <v>1891</v>
      </c>
    </row>
    <row r="51" spans="1:13" x14ac:dyDescent="0.25">
      <c r="A51" t="s">
        <v>195</v>
      </c>
      <c r="B51" t="s">
        <v>2129</v>
      </c>
      <c r="C51" t="s">
        <v>1168</v>
      </c>
      <c r="D51" t="s">
        <v>1888</v>
      </c>
      <c r="E51" t="s">
        <v>1889</v>
      </c>
      <c r="F51" t="s">
        <v>1890</v>
      </c>
      <c r="G51" t="s">
        <v>1891</v>
      </c>
      <c r="H51" t="s">
        <v>2268</v>
      </c>
      <c r="I51" t="s">
        <v>1168</v>
      </c>
      <c r="J51" t="s">
        <v>1888</v>
      </c>
      <c r="K51" t="s">
        <v>1889</v>
      </c>
      <c r="L51" t="s">
        <v>1890</v>
      </c>
      <c r="M51" t="s">
        <v>1891</v>
      </c>
    </row>
    <row r="52" spans="1:13" x14ac:dyDescent="0.25">
      <c r="A52" t="s">
        <v>196</v>
      </c>
      <c r="B52" t="s">
        <v>2119</v>
      </c>
      <c r="C52" t="s">
        <v>1168</v>
      </c>
      <c r="D52" t="s">
        <v>1888</v>
      </c>
      <c r="E52" t="s">
        <v>1889</v>
      </c>
      <c r="F52" t="s">
        <v>1890</v>
      </c>
      <c r="G52" t="s">
        <v>1891</v>
      </c>
      <c r="H52" t="s">
        <v>2962</v>
      </c>
      <c r="I52" t="s">
        <v>1168</v>
      </c>
      <c r="J52" t="s">
        <v>1888</v>
      </c>
      <c r="K52" t="s">
        <v>1889</v>
      </c>
      <c r="L52" t="s">
        <v>1890</v>
      </c>
      <c r="M52" t="s">
        <v>1891</v>
      </c>
    </row>
    <row r="53" spans="1:13" x14ac:dyDescent="0.25">
      <c r="A53" t="s">
        <v>197</v>
      </c>
      <c r="B53" t="s">
        <v>2204</v>
      </c>
      <c r="C53" t="s">
        <v>1168</v>
      </c>
      <c r="D53" t="s">
        <v>1888</v>
      </c>
      <c r="E53" t="s">
        <v>1889</v>
      </c>
      <c r="F53" t="s">
        <v>1890</v>
      </c>
      <c r="G53" t="s">
        <v>1891</v>
      </c>
      <c r="H53" t="s">
        <v>2962</v>
      </c>
      <c r="I53" t="s">
        <v>1168</v>
      </c>
      <c r="J53" t="s">
        <v>1888</v>
      </c>
      <c r="K53" t="s">
        <v>1889</v>
      </c>
      <c r="L53" t="s">
        <v>1890</v>
      </c>
      <c r="M53" t="s">
        <v>1891</v>
      </c>
    </row>
    <row r="54" spans="1:13" x14ac:dyDescent="0.25">
      <c r="A54" t="s">
        <v>198</v>
      </c>
      <c r="B54" t="s">
        <v>2252</v>
      </c>
      <c r="C54" t="s">
        <v>1168</v>
      </c>
      <c r="D54" t="s">
        <v>1888</v>
      </c>
      <c r="E54" t="s">
        <v>1889</v>
      </c>
      <c r="F54" t="s">
        <v>1890</v>
      </c>
      <c r="G54" t="s">
        <v>1891</v>
      </c>
      <c r="H54" t="s">
        <v>2262</v>
      </c>
      <c r="I54" t="s">
        <v>1168</v>
      </c>
      <c r="J54" t="s">
        <v>1888</v>
      </c>
      <c r="K54" t="s">
        <v>1889</v>
      </c>
      <c r="L54" t="s">
        <v>1890</v>
      </c>
      <c r="M54" t="s">
        <v>1891</v>
      </c>
    </row>
    <row r="55" spans="1:13" x14ac:dyDescent="0.25">
      <c r="A55" t="s">
        <v>199</v>
      </c>
      <c r="B55" t="s">
        <v>2252</v>
      </c>
      <c r="C55" t="s">
        <v>1168</v>
      </c>
      <c r="D55" t="s">
        <v>1888</v>
      </c>
      <c r="E55" t="s">
        <v>1889</v>
      </c>
      <c r="F55" t="s">
        <v>1890</v>
      </c>
      <c r="G55" t="s">
        <v>1891</v>
      </c>
      <c r="H55" t="s">
        <v>2127</v>
      </c>
      <c r="I55" t="s">
        <v>1168</v>
      </c>
      <c r="J55" t="s">
        <v>1888</v>
      </c>
      <c r="K55" t="s">
        <v>1889</v>
      </c>
      <c r="L55" t="s">
        <v>1890</v>
      </c>
      <c r="M55" t="s">
        <v>1891</v>
      </c>
    </row>
    <row r="56" spans="1:13" x14ac:dyDescent="0.25">
      <c r="A56" t="s">
        <v>200</v>
      </c>
      <c r="B56" t="s">
        <v>2248</v>
      </c>
      <c r="C56" t="s">
        <v>1168</v>
      </c>
      <c r="D56" t="s">
        <v>1888</v>
      </c>
      <c r="E56" t="s">
        <v>1889</v>
      </c>
      <c r="F56" t="s">
        <v>1890</v>
      </c>
      <c r="G56" t="s">
        <v>1891</v>
      </c>
      <c r="H56" t="s">
        <v>2150</v>
      </c>
      <c r="I56" t="s">
        <v>1168</v>
      </c>
      <c r="J56" t="s">
        <v>1888</v>
      </c>
      <c r="K56" t="s">
        <v>1889</v>
      </c>
      <c r="L56" t="s">
        <v>1890</v>
      </c>
      <c r="M56" t="s">
        <v>1891</v>
      </c>
    </row>
    <row r="57" spans="1:13" x14ac:dyDescent="0.25">
      <c r="A57" t="s">
        <v>201</v>
      </c>
      <c r="B57" t="s">
        <v>2404</v>
      </c>
      <c r="C57" t="s">
        <v>1168</v>
      </c>
      <c r="D57" t="s">
        <v>1888</v>
      </c>
      <c r="E57" t="s">
        <v>1889</v>
      </c>
      <c r="F57" t="s">
        <v>1890</v>
      </c>
      <c r="G57" t="s">
        <v>1891</v>
      </c>
      <c r="H57" t="s">
        <v>2962</v>
      </c>
      <c r="I57" t="s">
        <v>1168</v>
      </c>
      <c r="J57" t="s">
        <v>1888</v>
      </c>
      <c r="K57" t="s">
        <v>1889</v>
      </c>
      <c r="L57" t="s">
        <v>1890</v>
      </c>
      <c r="M57" t="s">
        <v>1891</v>
      </c>
    </row>
    <row r="58" spans="1:13" x14ac:dyDescent="0.25">
      <c r="A58" t="s">
        <v>202</v>
      </c>
      <c r="B58" t="s">
        <v>2321</v>
      </c>
      <c r="C58" t="s">
        <v>1168</v>
      </c>
      <c r="D58" t="s">
        <v>1888</v>
      </c>
      <c r="E58" t="s">
        <v>1889</v>
      </c>
      <c r="F58" t="s">
        <v>1890</v>
      </c>
      <c r="G58" t="s">
        <v>1891</v>
      </c>
      <c r="H58" t="s">
        <v>2962</v>
      </c>
      <c r="I58" t="s">
        <v>1168</v>
      </c>
      <c r="J58" t="s">
        <v>1888</v>
      </c>
      <c r="K58" t="s">
        <v>1889</v>
      </c>
      <c r="L58" t="s">
        <v>1890</v>
      </c>
      <c r="M58" t="s">
        <v>1891</v>
      </c>
    </row>
    <row r="59" spans="1:13" x14ac:dyDescent="0.25">
      <c r="A59" t="s">
        <v>203</v>
      </c>
      <c r="B59" t="s">
        <v>2327</v>
      </c>
      <c r="C59" t="s">
        <v>1168</v>
      </c>
      <c r="D59" t="s">
        <v>1888</v>
      </c>
      <c r="E59" t="s">
        <v>1889</v>
      </c>
      <c r="F59" t="s">
        <v>1890</v>
      </c>
      <c r="G59" t="s">
        <v>1891</v>
      </c>
      <c r="H59" t="s">
        <v>2962</v>
      </c>
      <c r="I59" t="s">
        <v>1168</v>
      </c>
      <c r="J59" t="s">
        <v>1888</v>
      </c>
      <c r="K59" t="s">
        <v>1889</v>
      </c>
      <c r="L59" t="s">
        <v>1890</v>
      </c>
      <c r="M59" t="s">
        <v>1891</v>
      </c>
    </row>
    <row r="60" spans="1:13" x14ac:dyDescent="0.25">
      <c r="A60" t="s">
        <v>204</v>
      </c>
      <c r="B60" t="s">
        <v>2318</v>
      </c>
      <c r="C60" t="s">
        <v>1168</v>
      </c>
      <c r="D60" t="s">
        <v>1888</v>
      </c>
      <c r="E60" t="s">
        <v>1889</v>
      </c>
      <c r="F60" t="s">
        <v>1890</v>
      </c>
      <c r="G60" t="s">
        <v>1891</v>
      </c>
      <c r="H60" t="s">
        <v>2962</v>
      </c>
      <c r="I60" t="s">
        <v>1168</v>
      </c>
      <c r="J60" t="s">
        <v>1888</v>
      </c>
      <c r="K60" t="s">
        <v>1889</v>
      </c>
      <c r="L60" t="s">
        <v>1890</v>
      </c>
      <c r="M60" t="s">
        <v>1891</v>
      </c>
    </row>
    <row r="61" spans="1:13" x14ac:dyDescent="0.25">
      <c r="A61" t="s">
        <v>205</v>
      </c>
      <c r="B61" t="s">
        <v>2312</v>
      </c>
      <c r="C61" t="s">
        <v>1168</v>
      </c>
      <c r="D61" t="s">
        <v>1888</v>
      </c>
      <c r="E61" t="s">
        <v>1889</v>
      </c>
      <c r="F61" t="s">
        <v>1890</v>
      </c>
      <c r="G61" t="s">
        <v>1891</v>
      </c>
      <c r="H61" t="s">
        <v>2962</v>
      </c>
      <c r="I61" t="s">
        <v>1168</v>
      </c>
      <c r="J61" t="s">
        <v>1888</v>
      </c>
      <c r="K61" t="s">
        <v>1889</v>
      </c>
      <c r="L61" t="s">
        <v>1890</v>
      </c>
      <c r="M61" t="s">
        <v>1891</v>
      </c>
    </row>
    <row r="62" spans="1:13" x14ac:dyDescent="0.25">
      <c r="A62" t="s">
        <v>206</v>
      </c>
      <c r="B62" t="s">
        <v>2300</v>
      </c>
      <c r="C62" t="s">
        <v>1168</v>
      </c>
      <c r="D62" t="s">
        <v>1888</v>
      </c>
      <c r="E62" t="s">
        <v>1889</v>
      </c>
      <c r="F62" t="s">
        <v>1890</v>
      </c>
      <c r="G62" t="s">
        <v>1891</v>
      </c>
      <c r="H62" t="s">
        <v>2962</v>
      </c>
      <c r="I62" t="s">
        <v>1168</v>
      </c>
      <c r="J62" t="s">
        <v>1888</v>
      </c>
      <c r="K62" t="s">
        <v>1889</v>
      </c>
      <c r="L62" t="s">
        <v>1890</v>
      </c>
      <c r="M62" t="s">
        <v>1891</v>
      </c>
    </row>
    <row r="63" spans="1:13" x14ac:dyDescent="0.25">
      <c r="A63" t="s">
        <v>207</v>
      </c>
      <c r="B63" t="s">
        <v>2337</v>
      </c>
      <c r="C63" t="s">
        <v>1168</v>
      </c>
      <c r="D63" t="s">
        <v>1888</v>
      </c>
      <c r="E63" t="s">
        <v>1889</v>
      </c>
      <c r="F63" t="s">
        <v>1890</v>
      </c>
      <c r="G63" t="s">
        <v>1891</v>
      </c>
      <c r="H63" t="s">
        <v>2962</v>
      </c>
      <c r="I63" t="s">
        <v>1168</v>
      </c>
      <c r="J63" t="s">
        <v>1888</v>
      </c>
      <c r="K63" t="s">
        <v>1889</v>
      </c>
      <c r="L63" t="s">
        <v>1890</v>
      </c>
      <c r="M63" t="s">
        <v>1891</v>
      </c>
    </row>
    <row r="64" spans="1:13" x14ac:dyDescent="0.25">
      <c r="A64" t="s">
        <v>208</v>
      </c>
      <c r="B64" t="s">
        <v>2324</v>
      </c>
      <c r="C64" t="s">
        <v>1168</v>
      </c>
      <c r="D64" t="s">
        <v>1888</v>
      </c>
      <c r="E64" t="s">
        <v>1889</v>
      </c>
      <c r="F64" t="s">
        <v>1890</v>
      </c>
      <c r="G64" t="s">
        <v>1891</v>
      </c>
      <c r="H64" t="s">
        <v>2962</v>
      </c>
      <c r="I64" t="s">
        <v>1168</v>
      </c>
      <c r="J64" t="s">
        <v>1888</v>
      </c>
      <c r="K64" t="s">
        <v>1889</v>
      </c>
      <c r="L64" t="s">
        <v>1890</v>
      </c>
      <c r="M64" t="s">
        <v>1891</v>
      </c>
    </row>
    <row r="65" spans="1:13" x14ac:dyDescent="0.25">
      <c r="A65" t="s">
        <v>209</v>
      </c>
      <c r="B65" t="s">
        <v>2277</v>
      </c>
      <c r="C65" t="s">
        <v>1168</v>
      </c>
      <c r="D65" t="s">
        <v>1888</v>
      </c>
      <c r="E65" t="s">
        <v>1889</v>
      </c>
      <c r="F65" t="s">
        <v>1890</v>
      </c>
      <c r="G65" t="s">
        <v>1891</v>
      </c>
      <c r="H65" t="s">
        <v>2063</v>
      </c>
      <c r="I65" t="s">
        <v>1168</v>
      </c>
      <c r="J65" t="s">
        <v>1888</v>
      </c>
      <c r="K65" t="s">
        <v>1889</v>
      </c>
      <c r="L65" t="s">
        <v>1890</v>
      </c>
      <c r="M65" t="s">
        <v>1891</v>
      </c>
    </row>
    <row r="66" spans="1:13" x14ac:dyDescent="0.25">
      <c r="A66" t="s">
        <v>212</v>
      </c>
      <c r="B66" t="s">
        <v>2265</v>
      </c>
      <c r="C66" t="s">
        <v>1168</v>
      </c>
      <c r="D66" t="s">
        <v>1888</v>
      </c>
      <c r="E66" t="s">
        <v>1889</v>
      </c>
      <c r="F66" t="s">
        <v>1890</v>
      </c>
      <c r="G66" t="s">
        <v>1891</v>
      </c>
      <c r="H66" t="s">
        <v>2063</v>
      </c>
      <c r="I66" t="s">
        <v>1168</v>
      </c>
      <c r="J66" t="s">
        <v>1888</v>
      </c>
      <c r="K66" t="s">
        <v>1889</v>
      </c>
      <c r="L66" t="s">
        <v>1890</v>
      </c>
      <c r="M66" t="s">
        <v>1891</v>
      </c>
    </row>
    <row r="67" spans="1:13" x14ac:dyDescent="0.25">
      <c r="A67" t="s">
        <v>215</v>
      </c>
      <c r="B67" t="s">
        <v>2496</v>
      </c>
      <c r="C67" t="s">
        <v>1168</v>
      </c>
      <c r="D67" t="s">
        <v>1888</v>
      </c>
      <c r="E67" t="s">
        <v>1889</v>
      </c>
      <c r="F67" t="s">
        <v>1890</v>
      </c>
      <c r="G67" t="s">
        <v>1891</v>
      </c>
      <c r="H67" t="s">
        <v>2070</v>
      </c>
      <c r="I67" t="s">
        <v>1168</v>
      </c>
      <c r="J67" t="s">
        <v>1888</v>
      </c>
      <c r="K67" t="s">
        <v>1889</v>
      </c>
      <c r="L67" t="s">
        <v>1890</v>
      </c>
      <c r="M67" t="s">
        <v>1891</v>
      </c>
    </row>
    <row r="68" spans="1:13" x14ac:dyDescent="0.25">
      <c r="A68" t="s">
        <v>218</v>
      </c>
      <c r="B68" t="s">
        <v>2258</v>
      </c>
      <c r="C68" t="s">
        <v>1168</v>
      </c>
      <c r="D68" t="s">
        <v>1888</v>
      </c>
      <c r="E68" t="s">
        <v>1889</v>
      </c>
      <c r="F68" t="s">
        <v>1890</v>
      </c>
      <c r="G68" t="s">
        <v>1891</v>
      </c>
      <c r="H68" t="s">
        <v>2070</v>
      </c>
      <c r="I68" t="s">
        <v>1168</v>
      </c>
      <c r="J68" t="s">
        <v>1888</v>
      </c>
      <c r="K68" t="s">
        <v>1889</v>
      </c>
      <c r="L68" t="s">
        <v>1890</v>
      </c>
      <c r="M68" t="s">
        <v>1891</v>
      </c>
    </row>
    <row r="69" spans="1:13" x14ac:dyDescent="0.25">
      <c r="A69" t="s">
        <v>220</v>
      </c>
      <c r="B69" t="s">
        <v>2271</v>
      </c>
      <c r="C69" t="s">
        <v>1168</v>
      </c>
      <c r="D69" t="s">
        <v>1888</v>
      </c>
      <c r="E69" t="s">
        <v>1889</v>
      </c>
      <c r="F69" t="s">
        <v>1890</v>
      </c>
      <c r="G69" t="s">
        <v>1891</v>
      </c>
      <c r="H69" t="s">
        <v>2962</v>
      </c>
      <c r="I69" t="s">
        <v>1168</v>
      </c>
      <c r="J69" t="s">
        <v>1888</v>
      </c>
      <c r="K69" t="s">
        <v>1889</v>
      </c>
      <c r="L69" t="s">
        <v>1890</v>
      </c>
      <c r="M69" t="s">
        <v>1891</v>
      </c>
    </row>
    <row r="70" spans="1:13" x14ac:dyDescent="0.25">
      <c r="A70" t="s">
        <v>221</v>
      </c>
      <c r="B70" t="s">
        <v>2129</v>
      </c>
      <c r="C70" t="s">
        <v>1168</v>
      </c>
      <c r="D70" t="s">
        <v>1888</v>
      </c>
      <c r="E70" t="s">
        <v>1889</v>
      </c>
      <c r="F70" t="s">
        <v>1890</v>
      </c>
      <c r="G70" t="s">
        <v>1891</v>
      </c>
      <c r="H70" t="s">
        <v>2962</v>
      </c>
      <c r="I70" t="s">
        <v>1168</v>
      </c>
      <c r="J70" t="s">
        <v>1888</v>
      </c>
      <c r="K70" t="s">
        <v>1889</v>
      </c>
      <c r="L70" t="s">
        <v>1890</v>
      </c>
      <c r="M70" t="s">
        <v>1891</v>
      </c>
    </row>
    <row r="71" spans="1:13" x14ac:dyDescent="0.25">
      <c r="A71" t="s">
        <v>222</v>
      </c>
      <c r="B71" t="s">
        <v>2332</v>
      </c>
      <c r="C71" t="s">
        <v>1168</v>
      </c>
      <c r="D71" t="s">
        <v>1888</v>
      </c>
      <c r="E71" t="s">
        <v>1889</v>
      </c>
      <c r="F71" t="s">
        <v>1890</v>
      </c>
      <c r="G71" t="s">
        <v>1891</v>
      </c>
      <c r="H71" t="s">
        <v>2962</v>
      </c>
      <c r="I71" t="s">
        <v>1168</v>
      </c>
      <c r="J71" t="s">
        <v>1888</v>
      </c>
      <c r="K71" t="s">
        <v>1889</v>
      </c>
      <c r="L71" t="s">
        <v>1890</v>
      </c>
      <c r="M71" t="s">
        <v>1891</v>
      </c>
    </row>
    <row r="72" spans="1:13" x14ac:dyDescent="0.25">
      <c r="A72" t="s">
        <v>223</v>
      </c>
      <c r="B72" t="s">
        <v>2408</v>
      </c>
      <c r="C72" t="s">
        <v>1168</v>
      </c>
      <c r="D72" t="s">
        <v>1888</v>
      </c>
      <c r="E72" t="s">
        <v>1889</v>
      </c>
      <c r="F72" t="s">
        <v>1890</v>
      </c>
      <c r="G72" t="s">
        <v>1891</v>
      </c>
      <c r="H72" t="s">
        <v>2962</v>
      </c>
      <c r="I72" t="s">
        <v>1168</v>
      </c>
      <c r="J72" t="s">
        <v>1888</v>
      </c>
      <c r="K72" t="s">
        <v>1889</v>
      </c>
      <c r="L72" t="s">
        <v>1890</v>
      </c>
      <c r="M72" t="s">
        <v>1891</v>
      </c>
    </row>
    <row r="73" spans="1:13" x14ac:dyDescent="0.25">
      <c r="A73" t="s">
        <v>224</v>
      </c>
      <c r="B73" t="s">
        <v>2248</v>
      </c>
      <c r="C73" t="s">
        <v>1168</v>
      </c>
      <c r="D73" t="s">
        <v>1888</v>
      </c>
      <c r="E73" t="s">
        <v>1889</v>
      </c>
      <c r="F73" t="s">
        <v>1890</v>
      </c>
      <c r="G73" t="s">
        <v>1891</v>
      </c>
      <c r="H73" t="s">
        <v>2962</v>
      </c>
      <c r="I73" t="s">
        <v>1168</v>
      </c>
      <c r="J73" t="s">
        <v>1888</v>
      </c>
      <c r="K73" t="s">
        <v>1889</v>
      </c>
      <c r="L73" t="s">
        <v>1890</v>
      </c>
      <c r="M73" t="s">
        <v>1891</v>
      </c>
    </row>
    <row r="74" spans="1:13" x14ac:dyDescent="0.25">
      <c r="A74" t="s">
        <v>225</v>
      </c>
      <c r="B74" t="s">
        <v>2252</v>
      </c>
      <c r="C74" t="s">
        <v>1168</v>
      </c>
      <c r="D74" t="s">
        <v>1888</v>
      </c>
      <c r="E74" t="s">
        <v>1889</v>
      </c>
      <c r="F74" t="s">
        <v>1890</v>
      </c>
      <c r="G74" t="s">
        <v>1891</v>
      </c>
      <c r="H74" t="s">
        <v>2962</v>
      </c>
      <c r="I74" t="s">
        <v>1168</v>
      </c>
      <c r="J74" t="s">
        <v>1888</v>
      </c>
      <c r="K74" t="s">
        <v>1889</v>
      </c>
      <c r="L74" t="s">
        <v>1890</v>
      </c>
      <c r="M74" t="s">
        <v>1891</v>
      </c>
    </row>
    <row r="75" spans="1:13" x14ac:dyDescent="0.25">
      <c r="A75" t="s">
        <v>226</v>
      </c>
      <c r="B75" t="s">
        <v>2408</v>
      </c>
      <c r="C75" t="s">
        <v>1168</v>
      </c>
      <c r="D75" t="s">
        <v>1888</v>
      </c>
      <c r="E75" t="s">
        <v>1889</v>
      </c>
      <c r="F75" t="s">
        <v>1890</v>
      </c>
      <c r="G75" t="s">
        <v>1891</v>
      </c>
      <c r="H75" t="s">
        <v>2035</v>
      </c>
      <c r="I75" t="s">
        <v>1168</v>
      </c>
      <c r="J75" t="s">
        <v>1888</v>
      </c>
      <c r="K75" t="s">
        <v>1889</v>
      </c>
      <c r="L75" t="s">
        <v>1890</v>
      </c>
      <c r="M75" t="s">
        <v>1891</v>
      </c>
    </row>
    <row r="76" spans="1:13" x14ac:dyDescent="0.25">
      <c r="A76" t="s">
        <v>229</v>
      </c>
      <c r="B76" t="s">
        <v>2119</v>
      </c>
      <c r="C76" t="s">
        <v>1168</v>
      </c>
      <c r="D76" t="s">
        <v>1888</v>
      </c>
      <c r="E76" t="s">
        <v>1889</v>
      </c>
      <c r="F76" t="s">
        <v>1890</v>
      </c>
      <c r="G76" t="s">
        <v>1891</v>
      </c>
      <c r="H76" t="s">
        <v>1997</v>
      </c>
      <c r="I76" t="s">
        <v>1168</v>
      </c>
      <c r="J76" t="s">
        <v>1888</v>
      </c>
      <c r="K76" t="s">
        <v>1889</v>
      </c>
      <c r="L76" t="s">
        <v>1890</v>
      </c>
      <c r="M76" t="s">
        <v>1891</v>
      </c>
    </row>
    <row r="77" spans="1:13" x14ac:dyDescent="0.25">
      <c r="A77" t="s">
        <v>233</v>
      </c>
      <c r="B77" t="s">
        <v>2119</v>
      </c>
      <c r="C77" t="s">
        <v>1168</v>
      </c>
      <c r="D77" t="s">
        <v>1888</v>
      </c>
      <c r="E77" t="s">
        <v>1889</v>
      </c>
      <c r="F77" t="s">
        <v>1890</v>
      </c>
      <c r="G77" t="s">
        <v>1891</v>
      </c>
      <c r="H77" t="s">
        <v>2035</v>
      </c>
      <c r="I77" t="s">
        <v>1168</v>
      </c>
      <c r="J77" t="s">
        <v>1888</v>
      </c>
      <c r="K77" t="s">
        <v>1889</v>
      </c>
      <c r="L77" t="s">
        <v>1890</v>
      </c>
      <c r="M77" t="s">
        <v>1891</v>
      </c>
    </row>
    <row r="78" spans="1:13" x14ac:dyDescent="0.25">
      <c r="A78" t="s">
        <v>236</v>
      </c>
      <c r="B78" t="s">
        <v>2150</v>
      </c>
      <c r="C78" t="s">
        <v>1168</v>
      </c>
      <c r="D78" t="s">
        <v>1888</v>
      </c>
      <c r="E78" t="s">
        <v>1889</v>
      </c>
      <c r="F78" t="s">
        <v>1890</v>
      </c>
      <c r="G78" t="s">
        <v>1891</v>
      </c>
      <c r="H78" t="s">
        <v>2035</v>
      </c>
      <c r="I78" t="s">
        <v>1168</v>
      </c>
      <c r="J78" t="s">
        <v>1888</v>
      </c>
      <c r="K78" t="s">
        <v>1889</v>
      </c>
      <c r="L78" t="s">
        <v>1890</v>
      </c>
      <c r="M78" t="s">
        <v>1891</v>
      </c>
    </row>
    <row r="79" spans="1:13" x14ac:dyDescent="0.25">
      <c r="A79" t="s">
        <v>239</v>
      </c>
      <c r="B79" t="s">
        <v>2332</v>
      </c>
      <c r="C79" t="s">
        <v>1168</v>
      </c>
      <c r="D79" t="s">
        <v>1888</v>
      </c>
      <c r="E79" t="s">
        <v>1889</v>
      </c>
      <c r="F79" t="s">
        <v>1890</v>
      </c>
      <c r="G79" t="s">
        <v>1891</v>
      </c>
      <c r="H79" t="s">
        <v>2035</v>
      </c>
      <c r="I79" t="s">
        <v>1168</v>
      </c>
      <c r="J79" t="s">
        <v>1888</v>
      </c>
      <c r="K79" t="s">
        <v>1889</v>
      </c>
      <c r="L79" t="s">
        <v>1890</v>
      </c>
      <c r="M79" t="s">
        <v>1891</v>
      </c>
    </row>
    <row r="80" spans="1:13" x14ac:dyDescent="0.25">
      <c r="A80" t="s">
        <v>242</v>
      </c>
      <c r="B80" t="s">
        <v>2129</v>
      </c>
      <c r="C80" t="s">
        <v>1168</v>
      </c>
      <c r="D80" t="s">
        <v>1888</v>
      </c>
      <c r="E80" t="s">
        <v>1889</v>
      </c>
      <c r="F80" t="s">
        <v>1890</v>
      </c>
      <c r="G80" t="s">
        <v>1891</v>
      </c>
      <c r="H80" t="s">
        <v>1997</v>
      </c>
      <c r="I80" t="s">
        <v>1168</v>
      </c>
      <c r="J80" t="s">
        <v>1888</v>
      </c>
      <c r="K80" t="s">
        <v>1889</v>
      </c>
      <c r="L80" t="s">
        <v>1890</v>
      </c>
      <c r="M80" t="s">
        <v>1891</v>
      </c>
    </row>
    <row r="81" spans="1:13" x14ac:dyDescent="0.25">
      <c r="A81" t="s">
        <v>246</v>
      </c>
      <c r="B81" t="s">
        <v>2119</v>
      </c>
      <c r="C81" t="s">
        <v>1168</v>
      </c>
      <c r="D81" t="s">
        <v>1888</v>
      </c>
      <c r="E81" t="s">
        <v>1889</v>
      </c>
      <c r="F81" t="s">
        <v>1890</v>
      </c>
      <c r="G81" t="s">
        <v>1891</v>
      </c>
      <c r="H81" t="s">
        <v>2265</v>
      </c>
      <c r="I81" t="s">
        <v>1168</v>
      </c>
      <c r="J81" t="s">
        <v>1888</v>
      </c>
      <c r="K81" t="s">
        <v>1889</v>
      </c>
      <c r="L81" t="s">
        <v>1890</v>
      </c>
      <c r="M81" t="s">
        <v>1891</v>
      </c>
    </row>
    <row r="82" spans="1:13" x14ac:dyDescent="0.25">
      <c r="A82" t="s">
        <v>247</v>
      </c>
      <c r="B82" t="s">
        <v>2204</v>
      </c>
      <c r="C82" t="s">
        <v>1168</v>
      </c>
      <c r="D82" t="s">
        <v>1888</v>
      </c>
      <c r="E82" t="s">
        <v>1889</v>
      </c>
      <c r="F82" t="s">
        <v>1890</v>
      </c>
      <c r="G82" t="s">
        <v>1891</v>
      </c>
      <c r="H82" t="s">
        <v>2119</v>
      </c>
      <c r="I82" t="s">
        <v>1168</v>
      </c>
      <c r="J82" t="s">
        <v>1888</v>
      </c>
      <c r="K82" t="s">
        <v>1889</v>
      </c>
      <c r="L82" t="s">
        <v>1890</v>
      </c>
      <c r="M82" t="s">
        <v>1891</v>
      </c>
    </row>
    <row r="83" spans="1:13" x14ac:dyDescent="0.25">
      <c r="A83" t="s">
        <v>248</v>
      </c>
      <c r="B83" t="s">
        <v>2216</v>
      </c>
      <c r="C83" t="s">
        <v>1168</v>
      </c>
      <c r="D83" t="s">
        <v>1888</v>
      </c>
      <c r="E83" t="s">
        <v>1889</v>
      </c>
      <c r="F83" t="s">
        <v>1890</v>
      </c>
      <c r="G83" t="s">
        <v>1891</v>
      </c>
      <c r="H83" t="s">
        <v>2119</v>
      </c>
      <c r="I83" t="s">
        <v>1168</v>
      </c>
      <c r="J83" t="s">
        <v>1888</v>
      </c>
      <c r="K83" t="s">
        <v>1889</v>
      </c>
      <c r="L83" t="s">
        <v>1890</v>
      </c>
      <c r="M83" t="s">
        <v>1891</v>
      </c>
    </row>
    <row r="84" spans="1:13" x14ac:dyDescent="0.25">
      <c r="A84" t="s">
        <v>249</v>
      </c>
      <c r="B84" t="s">
        <v>2332</v>
      </c>
      <c r="C84" t="s">
        <v>1168</v>
      </c>
      <c r="D84" t="s">
        <v>1888</v>
      </c>
      <c r="E84" t="s">
        <v>1889</v>
      </c>
      <c r="F84" t="s">
        <v>1890</v>
      </c>
      <c r="G84" t="s">
        <v>1891</v>
      </c>
      <c r="H84" t="s">
        <v>2408</v>
      </c>
      <c r="I84" t="s">
        <v>1168</v>
      </c>
      <c r="J84" t="s">
        <v>1888</v>
      </c>
      <c r="K84" t="s">
        <v>1889</v>
      </c>
      <c r="L84" t="s">
        <v>1890</v>
      </c>
      <c r="M84" t="s">
        <v>1891</v>
      </c>
    </row>
    <row r="85" spans="1:13" x14ac:dyDescent="0.25">
      <c r="A85" t="s">
        <v>250</v>
      </c>
      <c r="B85" t="s">
        <v>2408</v>
      </c>
      <c r="C85" t="s">
        <v>1168</v>
      </c>
      <c r="D85" t="s">
        <v>1888</v>
      </c>
      <c r="E85" t="s">
        <v>1889</v>
      </c>
      <c r="F85" t="s">
        <v>1890</v>
      </c>
      <c r="G85" t="s">
        <v>1891</v>
      </c>
      <c r="H85" t="s">
        <v>2268</v>
      </c>
      <c r="I85" t="s">
        <v>1168</v>
      </c>
      <c r="J85" t="s">
        <v>1888</v>
      </c>
      <c r="K85" t="s">
        <v>1889</v>
      </c>
      <c r="L85" t="s">
        <v>1890</v>
      </c>
      <c r="M85" t="s">
        <v>1891</v>
      </c>
    </row>
    <row r="86" spans="1:13" x14ac:dyDescent="0.25">
      <c r="A86" t="s">
        <v>251</v>
      </c>
      <c r="B86" t="s">
        <v>2258</v>
      </c>
      <c r="C86" t="s">
        <v>1168</v>
      </c>
      <c r="D86" t="s">
        <v>1888</v>
      </c>
      <c r="E86" t="s">
        <v>1889</v>
      </c>
      <c r="F86" t="s">
        <v>1890</v>
      </c>
      <c r="G86" t="s">
        <v>1891</v>
      </c>
      <c r="H86" t="s">
        <v>2268</v>
      </c>
      <c r="I86" t="s">
        <v>1168</v>
      </c>
      <c r="J86" t="s">
        <v>1888</v>
      </c>
      <c r="K86" t="s">
        <v>1889</v>
      </c>
      <c r="L86" t="s">
        <v>1890</v>
      </c>
      <c r="M86" t="s">
        <v>1891</v>
      </c>
    </row>
    <row r="87" spans="1:13" x14ac:dyDescent="0.25">
      <c r="A87" t="s">
        <v>252</v>
      </c>
      <c r="B87" t="s">
        <v>2200</v>
      </c>
      <c r="C87" t="s">
        <v>1168</v>
      </c>
      <c r="D87" t="s">
        <v>1888</v>
      </c>
      <c r="E87" t="s">
        <v>1889</v>
      </c>
      <c r="F87" t="s">
        <v>1890</v>
      </c>
      <c r="G87" t="s">
        <v>1891</v>
      </c>
      <c r="H87" t="s">
        <v>2119</v>
      </c>
      <c r="I87" t="s">
        <v>1168</v>
      </c>
      <c r="J87" t="s">
        <v>1888</v>
      </c>
      <c r="K87" t="s">
        <v>1889</v>
      </c>
      <c r="L87" t="s">
        <v>1890</v>
      </c>
      <c r="M87" t="s">
        <v>1891</v>
      </c>
    </row>
    <row r="88" spans="1:13" x14ac:dyDescent="0.25">
      <c r="A88" t="s">
        <v>253</v>
      </c>
      <c r="B88" t="s">
        <v>2089</v>
      </c>
      <c r="C88" t="s">
        <v>1168</v>
      </c>
      <c r="D88" t="s">
        <v>1888</v>
      </c>
      <c r="E88" t="s">
        <v>1889</v>
      </c>
      <c r="F88" t="s">
        <v>1890</v>
      </c>
      <c r="G88" t="s">
        <v>1891</v>
      </c>
      <c r="H88" t="s">
        <v>2277</v>
      </c>
      <c r="I88" t="s">
        <v>1168</v>
      </c>
      <c r="J88" t="s">
        <v>1888</v>
      </c>
      <c r="K88" t="s">
        <v>1889</v>
      </c>
      <c r="L88" t="s">
        <v>1890</v>
      </c>
      <c r="M88" t="s">
        <v>1891</v>
      </c>
    </row>
    <row r="89" spans="1:13" x14ac:dyDescent="0.25">
      <c r="A89" t="s">
        <v>254</v>
      </c>
      <c r="B89" t="s">
        <v>2277</v>
      </c>
      <c r="C89" t="s">
        <v>1168</v>
      </c>
      <c r="D89" t="s">
        <v>1888</v>
      </c>
      <c r="E89" t="s">
        <v>1889</v>
      </c>
      <c r="F89" t="s">
        <v>1890</v>
      </c>
      <c r="G89" t="s">
        <v>1891</v>
      </c>
      <c r="H89" t="s">
        <v>2119</v>
      </c>
      <c r="I89" t="s">
        <v>1168</v>
      </c>
      <c r="J89" t="s">
        <v>1888</v>
      </c>
      <c r="K89" t="s">
        <v>1889</v>
      </c>
      <c r="L89" t="s">
        <v>1890</v>
      </c>
      <c r="M89" t="s">
        <v>1891</v>
      </c>
    </row>
    <row r="90" spans="1:13" x14ac:dyDescent="0.25">
      <c r="A90" t="s">
        <v>255</v>
      </c>
      <c r="B90" t="s">
        <v>2289</v>
      </c>
      <c r="C90" t="s">
        <v>1168</v>
      </c>
      <c r="D90" t="s">
        <v>1888</v>
      </c>
      <c r="E90" t="s">
        <v>1889</v>
      </c>
      <c r="F90" t="s">
        <v>1890</v>
      </c>
      <c r="G90" t="s">
        <v>1891</v>
      </c>
      <c r="H90" t="s">
        <v>2312</v>
      </c>
      <c r="I90" t="s">
        <v>1168</v>
      </c>
      <c r="J90" t="s">
        <v>1888</v>
      </c>
      <c r="K90" t="s">
        <v>1889</v>
      </c>
      <c r="L90" t="s">
        <v>1890</v>
      </c>
      <c r="M90" t="s">
        <v>1891</v>
      </c>
    </row>
    <row r="91" spans="1:13" x14ac:dyDescent="0.25">
      <c r="A91" t="s">
        <v>256</v>
      </c>
      <c r="B91" t="s">
        <v>2312</v>
      </c>
      <c r="C91" t="s">
        <v>1168</v>
      </c>
      <c r="D91" t="s">
        <v>1888</v>
      </c>
      <c r="E91" t="s">
        <v>1889</v>
      </c>
      <c r="F91" t="s">
        <v>1890</v>
      </c>
      <c r="G91" t="s">
        <v>1891</v>
      </c>
      <c r="H91" t="s">
        <v>2294</v>
      </c>
      <c r="I91" t="s">
        <v>1168</v>
      </c>
      <c r="J91" t="s">
        <v>1888</v>
      </c>
      <c r="K91" t="s">
        <v>1889</v>
      </c>
      <c r="L91" t="s">
        <v>1890</v>
      </c>
      <c r="M91" t="s">
        <v>1891</v>
      </c>
    </row>
    <row r="92" spans="1:13" x14ac:dyDescent="0.25">
      <c r="A92" t="s">
        <v>257</v>
      </c>
      <c r="B92" t="s">
        <v>2184</v>
      </c>
      <c r="C92" t="s">
        <v>1168</v>
      </c>
      <c r="D92" t="s">
        <v>1888</v>
      </c>
      <c r="E92" t="s">
        <v>1889</v>
      </c>
      <c r="F92" t="s">
        <v>1890</v>
      </c>
      <c r="G92" t="s">
        <v>1891</v>
      </c>
      <c r="H92" t="s">
        <v>2408</v>
      </c>
      <c r="I92" t="s">
        <v>1168</v>
      </c>
      <c r="J92" t="s">
        <v>1888</v>
      </c>
      <c r="K92" t="s">
        <v>1889</v>
      </c>
      <c r="L92" t="s">
        <v>1890</v>
      </c>
      <c r="M92" t="s">
        <v>1891</v>
      </c>
    </row>
    <row r="93" spans="1:13" x14ac:dyDescent="0.25">
      <c r="A93" t="s">
        <v>258</v>
      </c>
      <c r="B93" t="s">
        <v>2271</v>
      </c>
      <c r="C93" t="s">
        <v>1168</v>
      </c>
      <c r="D93" t="s">
        <v>1888</v>
      </c>
      <c r="E93" t="s">
        <v>1889</v>
      </c>
      <c r="F93" t="s">
        <v>1890</v>
      </c>
      <c r="G93" t="s">
        <v>1891</v>
      </c>
      <c r="H93" t="s">
        <v>2268</v>
      </c>
      <c r="I93" t="s">
        <v>1168</v>
      </c>
      <c r="J93" t="s">
        <v>1888</v>
      </c>
      <c r="K93" t="s">
        <v>1889</v>
      </c>
      <c r="L93" t="s">
        <v>1890</v>
      </c>
      <c r="M93" t="s">
        <v>1891</v>
      </c>
    </row>
    <row r="94" spans="1:13" x14ac:dyDescent="0.25">
      <c r="A94" t="s">
        <v>259</v>
      </c>
      <c r="B94" t="s">
        <v>2294</v>
      </c>
      <c r="C94" t="s">
        <v>1168</v>
      </c>
      <c r="D94" t="s">
        <v>1888</v>
      </c>
      <c r="E94" t="s">
        <v>1889</v>
      </c>
      <c r="F94" t="s">
        <v>1890</v>
      </c>
      <c r="G94" t="s">
        <v>1891</v>
      </c>
      <c r="H94" t="s">
        <v>2300</v>
      </c>
      <c r="I94" t="s">
        <v>1168</v>
      </c>
      <c r="J94" t="s">
        <v>1888</v>
      </c>
      <c r="K94" t="s">
        <v>1889</v>
      </c>
      <c r="L94" t="s">
        <v>1890</v>
      </c>
      <c r="M94" t="s">
        <v>1891</v>
      </c>
    </row>
    <row r="95" spans="1:13" x14ac:dyDescent="0.25">
      <c r="A95" t="s">
        <v>260</v>
      </c>
      <c r="B95" t="s">
        <v>2318</v>
      </c>
      <c r="C95" t="s">
        <v>1168</v>
      </c>
      <c r="D95" t="s">
        <v>1888</v>
      </c>
      <c r="E95" t="s">
        <v>1889</v>
      </c>
      <c r="F95" t="s">
        <v>1890</v>
      </c>
      <c r="G95" t="s">
        <v>1891</v>
      </c>
      <c r="H95" t="s">
        <v>2315</v>
      </c>
      <c r="I95" t="s">
        <v>1168</v>
      </c>
      <c r="J95" t="s">
        <v>1888</v>
      </c>
      <c r="K95" t="s">
        <v>1889</v>
      </c>
      <c r="L95" t="s">
        <v>1890</v>
      </c>
      <c r="M95" t="s">
        <v>1891</v>
      </c>
    </row>
    <row r="96" spans="1:13" x14ac:dyDescent="0.25">
      <c r="A96" t="s">
        <v>261</v>
      </c>
      <c r="B96" t="s">
        <v>2294</v>
      </c>
      <c r="C96" t="s">
        <v>1168</v>
      </c>
      <c r="D96" t="s">
        <v>1888</v>
      </c>
      <c r="E96" t="s">
        <v>1889</v>
      </c>
      <c r="F96" t="s">
        <v>1890</v>
      </c>
      <c r="G96" t="s">
        <v>1891</v>
      </c>
      <c r="H96" t="s">
        <v>2318</v>
      </c>
      <c r="I96" t="s">
        <v>1168</v>
      </c>
      <c r="J96" t="s">
        <v>1888</v>
      </c>
      <c r="K96" t="s">
        <v>1889</v>
      </c>
      <c r="L96" t="s">
        <v>1890</v>
      </c>
      <c r="M96" t="s">
        <v>1891</v>
      </c>
    </row>
    <row r="97" spans="1:13" x14ac:dyDescent="0.25">
      <c r="A97" t="s">
        <v>262</v>
      </c>
      <c r="B97" t="s">
        <v>2315</v>
      </c>
      <c r="C97" t="s">
        <v>1168</v>
      </c>
      <c r="D97" t="s">
        <v>1888</v>
      </c>
      <c r="E97" t="s">
        <v>1889</v>
      </c>
      <c r="F97" t="s">
        <v>1890</v>
      </c>
      <c r="G97" t="s">
        <v>1891</v>
      </c>
      <c r="H97" t="s">
        <v>2327</v>
      </c>
      <c r="I97" t="s">
        <v>1168</v>
      </c>
      <c r="J97" t="s">
        <v>1888</v>
      </c>
      <c r="K97" t="s">
        <v>1889</v>
      </c>
      <c r="L97" t="s">
        <v>1890</v>
      </c>
      <c r="M97" t="s">
        <v>1891</v>
      </c>
    </row>
    <row r="98" spans="1:13" x14ac:dyDescent="0.25">
      <c r="A98" t="s">
        <v>263</v>
      </c>
      <c r="B98" t="s">
        <v>2300</v>
      </c>
      <c r="C98" t="s">
        <v>1168</v>
      </c>
      <c r="D98" t="s">
        <v>1888</v>
      </c>
      <c r="E98" t="s">
        <v>1889</v>
      </c>
      <c r="F98" t="s">
        <v>1890</v>
      </c>
      <c r="G98" t="s">
        <v>1891</v>
      </c>
      <c r="H98" t="s">
        <v>2432</v>
      </c>
      <c r="I98" t="s">
        <v>1168</v>
      </c>
      <c r="J98" t="s">
        <v>1888</v>
      </c>
      <c r="K98" t="s">
        <v>1889</v>
      </c>
      <c r="L98" t="s">
        <v>1890</v>
      </c>
      <c r="M98" t="s">
        <v>1891</v>
      </c>
    </row>
    <row r="99" spans="1:13" x14ac:dyDescent="0.25">
      <c r="A99" t="s">
        <v>264</v>
      </c>
      <c r="B99" t="s">
        <v>2432</v>
      </c>
      <c r="C99" t="s">
        <v>1168</v>
      </c>
      <c r="D99" t="s">
        <v>1888</v>
      </c>
      <c r="E99" t="s">
        <v>1889</v>
      </c>
      <c r="F99" t="s">
        <v>1890</v>
      </c>
      <c r="G99" t="s">
        <v>1891</v>
      </c>
      <c r="H99" t="s">
        <v>2337</v>
      </c>
      <c r="I99" t="s">
        <v>1168</v>
      </c>
      <c r="J99" t="s">
        <v>1888</v>
      </c>
      <c r="K99" t="s">
        <v>1889</v>
      </c>
      <c r="L99" t="s">
        <v>1890</v>
      </c>
      <c r="M99" t="s">
        <v>1891</v>
      </c>
    </row>
    <row r="100" spans="1:13" x14ac:dyDescent="0.25">
      <c r="A100" t="s">
        <v>265</v>
      </c>
      <c r="B100" t="s">
        <v>2327</v>
      </c>
      <c r="C100" t="s">
        <v>1168</v>
      </c>
      <c r="D100" t="s">
        <v>1888</v>
      </c>
      <c r="E100" t="s">
        <v>1889</v>
      </c>
      <c r="F100" t="s">
        <v>1890</v>
      </c>
      <c r="G100" t="s">
        <v>1891</v>
      </c>
      <c r="H100" t="s">
        <v>2321</v>
      </c>
      <c r="I100" t="s">
        <v>1168</v>
      </c>
      <c r="J100" t="s">
        <v>1888</v>
      </c>
      <c r="K100" t="s">
        <v>1889</v>
      </c>
      <c r="L100" t="s">
        <v>1890</v>
      </c>
      <c r="M100" t="s">
        <v>1891</v>
      </c>
    </row>
    <row r="101" spans="1:13" x14ac:dyDescent="0.25">
      <c r="A101" t="s">
        <v>266</v>
      </c>
      <c r="B101" t="s">
        <v>2321</v>
      </c>
      <c r="C101" t="s">
        <v>1168</v>
      </c>
      <c r="D101" t="s">
        <v>1888</v>
      </c>
      <c r="E101" t="s">
        <v>1889</v>
      </c>
      <c r="F101" t="s">
        <v>1890</v>
      </c>
      <c r="G101" t="s">
        <v>1891</v>
      </c>
      <c r="H101" t="s">
        <v>2404</v>
      </c>
      <c r="I101" t="s">
        <v>1168</v>
      </c>
      <c r="J101" t="s">
        <v>1888</v>
      </c>
      <c r="K101" t="s">
        <v>1889</v>
      </c>
      <c r="L101" t="s">
        <v>1890</v>
      </c>
      <c r="M101" t="s">
        <v>1891</v>
      </c>
    </row>
    <row r="102" spans="1:13" x14ac:dyDescent="0.25">
      <c r="A102" t="s">
        <v>267</v>
      </c>
      <c r="B102" t="s">
        <v>2404</v>
      </c>
      <c r="C102" t="s">
        <v>1168</v>
      </c>
      <c r="D102" t="s">
        <v>1888</v>
      </c>
      <c r="E102" t="s">
        <v>1889</v>
      </c>
      <c r="F102" t="s">
        <v>1890</v>
      </c>
      <c r="G102" t="s">
        <v>1891</v>
      </c>
      <c r="H102" t="s">
        <v>2324</v>
      </c>
      <c r="I102" t="s">
        <v>1168</v>
      </c>
      <c r="J102" t="s">
        <v>1888</v>
      </c>
      <c r="K102" t="s">
        <v>1889</v>
      </c>
      <c r="L102" t="s">
        <v>1890</v>
      </c>
      <c r="M102" t="s">
        <v>1891</v>
      </c>
    </row>
    <row r="103" spans="1:13" x14ac:dyDescent="0.25">
      <c r="A103" t="s">
        <v>268</v>
      </c>
      <c r="B103" t="s">
        <v>2337</v>
      </c>
      <c r="C103" t="s">
        <v>1168</v>
      </c>
      <c r="D103" t="s">
        <v>1888</v>
      </c>
      <c r="E103" t="s">
        <v>1889</v>
      </c>
      <c r="F103" t="s">
        <v>1890</v>
      </c>
      <c r="G103" t="s">
        <v>1891</v>
      </c>
      <c r="H103" t="s">
        <v>2404</v>
      </c>
      <c r="I103" t="s">
        <v>1168</v>
      </c>
      <c r="J103" t="s">
        <v>1888</v>
      </c>
      <c r="K103" t="s">
        <v>1889</v>
      </c>
      <c r="L103" t="s">
        <v>1890</v>
      </c>
      <c r="M103" t="s">
        <v>1891</v>
      </c>
    </row>
    <row r="104" spans="1:13" x14ac:dyDescent="0.25">
      <c r="A104" t="s">
        <v>269</v>
      </c>
      <c r="B104" t="s">
        <v>2497</v>
      </c>
      <c r="C104" t="s">
        <v>1168</v>
      </c>
      <c r="D104" t="s">
        <v>1888</v>
      </c>
      <c r="E104" t="s">
        <v>1889</v>
      </c>
      <c r="F104" t="s">
        <v>1890</v>
      </c>
      <c r="G104" t="s">
        <v>1891</v>
      </c>
      <c r="H104" t="s">
        <v>2070</v>
      </c>
      <c r="I104" t="s">
        <v>1168</v>
      </c>
      <c r="J104" t="s">
        <v>1888</v>
      </c>
      <c r="K104" t="s">
        <v>1889</v>
      </c>
      <c r="L104" t="s">
        <v>1890</v>
      </c>
      <c r="M104" t="s">
        <v>1891</v>
      </c>
    </row>
    <row r="105" spans="1:13" x14ac:dyDescent="0.25">
      <c r="A105" t="s">
        <v>272</v>
      </c>
      <c r="B105" t="s">
        <v>2018</v>
      </c>
      <c r="C105" t="s">
        <v>1168</v>
      </c>
      <c r="D105" t="s">
        <v>1888</v>
      </c>
      <c r="E105" t="s">
        <v>1889</v>
      </c>
      <c r="F105" t="s">
        <v>1890</v>
      </c>
      <c r="G105" t="s">
        <v>1891</v>
      </c>
      <c r="H105" t="s">
        <v>2063</v>
      </c>
      <c r="I105" t="s">
        <v>1168</v>
      </c>
      <c r="J105" t="s">
        <v>1888</v>
      </c>
      <c r="K105" t="s">
        <v>1889</v>
      </c>
      <c r="L105" t="s">
        <v>1890</v>
      </c>
      <c r="M105" t="s">
        <v>1891</v>
      </c>
    </row>
    <row r="106" spans="1:13" x14ac:dyDescent="0.25">
      <c r="A106" t="s">
        <v>276</v>
      </c>
      <c r="B106" t="s">
        <v>2030</v>
      </c>
      <c r="C106" t="s">
        <v>1168</v>
      </c>
      <c r="D106" t="s">
        <v>1888</v>
      </c>
      <c r="E106" t="s">
        <v>1889</v>
      </c>
      <c r="F106" t="s">
        <v>1890</v>
      </c>
      <c r="G106" t="s">
        <v>1891</v>
      </c>
      <c r="H106" t="s">
        <v>2968</v>
      </c>
      <c r="I106" t="s">
        <v>1258</v>
      </c>
      <c r="J106" t="s">
        <v>1888</v>
      </c>
      <c r="K106" t="s">
        <v>1889</v>
      </c>
      <c r="L106" t="s">
        <v>1890</v>
      </c>
      <c r="M106" t="s">
        <v>1891</v>
      </c>
    </row>
    <row r="107" spans="1:13" x14ac:dyDescent="0.25">
      <c r="A107" t="s">
        <v>280</v>
      </c>
      <c r="B107" t="s">
        <v>281</v>
      </c>
      <c r="C107" t="s">
        <v>1258</v>
      </c>
      <c r="D107" t="s">
        <v>1888</v>
      </c>
      <c r="E107" t="s">
        <v>1889</v>
      </c>
      <c r="F107" t="s">
        <v>1890</v>
      </c>
      <c r="G107" t="s">
        <v>1891</v>
      </c>
      <c r="H107" t="s">
        <v>2030</v>
      </c>
      <c r="I107" t="s">
        <v>1168</v>
      </c>
      <c r="J107" t="s">
        <v>1888</v>
      </c>
      <c r="K107" t="s">
        <v>1889</v>
      </c>
      <c r="L107" t="s">
        <v>1890</v>
      </c>
      <c r="M107" t="s">
        <v>1891</v>
      </c>
    </row>
    <row r="108" spans="1:13" x14ac:dyDescent="0.25">
      <c r="A108" t="s">
        <v>282</v>
      </c>
      <c r="B108" t="s">
        <v>284</v>
      </c>
      <c r="C108" t="s">
        <v>1258</v>
      </c>
      <c r="D108" t="s">
        <v>1888</v>
      </c>
      <c r="E108" t="s">
        <v>1889</v>
      </c>
      <c r="F108" t="s">
        <v>1890</v>
      </c>
      <c r="G108" t="s">
        <v>1891</v>
      </c>
      <c r="H108" t="s">
        <v>2030</v>
      </c>
      <c r="I108" t="s">
        <v>1168</v>
      </c>
      <c r="J108" t="s">
        <v>1888</v>
      </c>
      <c r="K108" t="s">
        <v>1889</v>
      </c>
      <c r="L108" t="s">
        <v>1890</v>
      </c>
      <c r="M108" t="s">
        <v>1891</v>
      </c>
    </row>
    <row r="109" spans="1:13" x14ac:dyDescent="0.25">
      <c r="A109" t="s">
        <v>286</v>
      </c>
      <c r="B109" t="s">
        <v>288</v>
      </c>
      <c r="C109" t="s">
        <v>1258</v>
      </c>
      <c r="D109" t="s">
        <v>1888</v>
      </c>
      <c r="E109" t="s">
        <v>1889</v>
      </c>
      <c r="F109" t="s">
        <v>1890</v>
      </c>
      <c r="G109" t="s">
        <v>1891</v>
      </c>
      <c r="H109" t="s">
        <v>2030</v>
      </c>
      <c r="I109" t="s">
        <v>1168</v>
      </c>
      <c r="J109" t="s">
        <v>1888</v>
      </c>
      <c r="K109" t="s">
        <v>1889</v>
      </c>
      <c r="L109" t="s">
        <v>1890</v>
      </c>
      <c r="M109" t="s">
        <v>1891</v>
      </c>
    </row>
    <row r="110" spans="1:13" x14ac:dyDescent="0.25">
      <c r="A110" t="s">
        <v>289</v>
      </c>
      <c r="B110" t="s">
        <v>77</v>
      </c>
      <c r="C110" t="s">
        <v>1258</v>
      </c>
      <c r="D110" t="s">
        <v>1888</v>
      </c>
      <c r="E110" t="s">
        <v>1889</v>
      </c>
      <c r="F110" t="s">
        <v>1890</v>
      </c>
      <c r="G110" t="s">
        <v>1891</v>
      </c>
      <c r="H110" t="s">
        <v>2030</v>
      </c>
      <c r="I110" t="s">
        <v>1168</v>
      </c>
      <c r="J110" t="s">
        <v>1888</v>
      </c>
      <c r="K110" t="s">
        <v>1889</v>
      </c>
      <c r="L110" t="s">
        <v>1890</v>
      </c>
      <c r="M110" t="s">
        <v>1891</v>
      </c>
    </row>
    <row r="111" spans="1:13" x14ac:dyDescent="0.25">
      <c r="A111" t="s">
        <v>293</v>
      </c>
      <c r="B111" t="s">
        <v>2015</v>
      </c>
      <c r="C111" t="s">
        <v>1168</v>
      </c>
      <c r="D111" t="s">
        <v>1888</v>
      </c>
      <c r="E111" t="s">
        <v>1889</v>
      </c>
      <c r="F111" t="s">
        <v>1890</v>
      </c>
      <c r="G111" t="s">
        <v>1891</v>
      </c>
      <c r="H111" t="s">
        <v>132</v>
      </c>
      <c r="I111" t="s">
        <v>1258</v>
      </c>
      <c r="J111" t="s">
        <v>1888</v>
      </c>
      <c r="K111" t="s">
        <v>1889</v>
      </c>
      <c r="L111" t="s">
        <v>1890</v>
      </c>
      <c r="M111" t="s">
        <v>1891</v>
      </c>
    </row>
    <row r="112" spans="1:13" x14ac:dyDescent="0.25">
      <c r="A112" t="s">
        <v>299</v>
      </c>
      <c r="B112" t="s">
        <v>304</v>
      </c>
      <c r="C112" t="s">
        <v>1258</v>
      </c>
      <c r="D112" t="s">
        <v>1888</v>
      </c>
      <c r="E112" t="s">
        <v>1889</v>
      </c>
      <c r="F112" t="s">
        <v>1890</v>
      </c>
      <c r="G112" t="s">
        <v>1891</v>
      </c>
      <c r="H112" t="s">
        <v>2015</v>
      </c>
      <c r="I112" t="s">
        <v>1168</v>
      </c>
      <c r="J112" t="s">
        <v>1888</v>
      </c>
      <c r="K112" t="s">
        <v>1889</v>
      </c>
      <c r="L112" t="s">
        <v>1890</v>
      </c>
      <c r="M112" t="s">
        <v>1891</v>
      </c>
    </row>
    <row r="113" spans="1:13" x14ac:dyDescent="0.25">
      <c r="A113" t="s">
        <v>305</v>
      </c>
      <c r="B113" t="s">
        <v>2015</v>
      </c>
      <c r="C113" t="s">
        <v>1168</v>
      </c>
      <c r="D113" t="s">
        <v>1888</v>
      </c>
      <c r="E113" t="s">
        <v>1889</v>
      </c>
      <c r="F113" t="s">
        <v>1890</v>
      </c>
      <c r="G113" t="s">
        <v>1891</v>
      </c>
      <c r="H113" t="s">
        <v>77</v>
      </c>
      <c r="I113" t="s">
        <v>1258</v>
      </c>
      <c r="J113" t="s">
        <v>1888</v>
      </c>
      <c r="K113" t="s">
        <v>1889</v>
      </c>
      <c r="L113" t="s">
        <v>1890</v>
      </c>
      <c r="M113" t="s">
        <v>1891</v>
      </c>
    </row>
    <row r="114" spans="1:13" x14ac:dyDescent="0.25">
      <c r="A114" t="s">
        <v>311</v>
      </c>
      <c r="B114" t="s">
        <v>2098</v>
      </c>
      <c r="C114" t="s">
        <v>1168</v>
      </c>
      <c r="D114" t="s">
        <v>1888</v>
      </c>
      <c r="E114" t="s">
        <v>1889</v>
      </c>
      <c r="F114" t="s">
        <v>1890</v>
      </c>
      <c r="G114" t="s">
        <v>1891</v>
      </c>
      <c r="H114" t="s">
        <v>1997</v>
      </c>
      <c r="I114" t="s">
        <v>1168</v>
      </c>
      <c r="J114" t="s">
        <v>1888</v>
      </c>
      <c r="K114" t="s">
        <v>1889</v>
      </c>
      <c r="L114" t="s">
        <v>1890</v>
      </c>
      <c r="M114" t="s">
        <v>1891</v>
      </c>
    </row>
    <row r="115" spans="1:13" x14ac:dyDescent="0.25">
      <c r="A115" t="s">
        <v>316</v>
      </c>
      <c r="B115" t="s">
        <v>2098</v>
      </c>
      <c r="C115" t="s">
        <v>1168</v>
      </c>
      <c r="D115" t="s">
        <v>1888</v>
      </c>
      <c r="E115" t="s">
        <v>1889</v>
      </c>
      <c r="F115" t="s">
        <v>1890</v>
      </c>
      <c r="G115" t="s">
        <v>1891</v>
      </c>
      <c r="H115" t="s">
        <v>2494</v>
      </c>
      <c r="I115" t="s">
        <v>1168</v>
      </c>
      <c r="J115" t="s">
        <v>1888</v>
      </c>
      <c r="K115" t="s">
        <v>1889</v>
      </c>
      <c r="L115" t="s">
        <v>1890</v>
      </c>
      <c r="M115" t="s">
        <v>1891</v>
      </c>
    </row>
    <row r="116" spans="1:13" x14ac:dyDescent="0.25">
      <c r="A116" t="s">
        <v>319</v>
      </c>
      <c r="B116" t="s">
        <v>2102</v>
      </c>
      <c r="C116" t="s">
        <v>1168</v>
      </c>
      <c r="D116" t="s">
        <v>1888</v>
      </c>
      <c r="E116" t="s">
        <v>1889</v>
      </c>
      <c r="F116" t="s">
        <v>1890</v>
      </c>
      <c r="G116" t="s">
        <v>1891</v>
      </c>
      <c r="H116" t="s">
        <v>3093</v>
      </c>
      <c r="I116" t="s">
        <v>1168</v>
      </c>
      <c r="J116" t="s">
        <v>1888</v>
      </c>
      <c r="K116" t="s">
        <v>1889</v>
      </c>
      <c r="L116" t="s">
        <v>1890</v>
      </c>
      <c r="M116" t="s">
        <v>1891</v>
      </c>
    </row>
    <row r="117" spans="1:13" x14ac:dyDescent="0.25">
      <c r="A117" t="s">
        <v>323</v>
      </c>
      <c r="B117" t="s">
        <v>2102</v>
      </c>
      <c r="C117" t="s">
        <v>1168</v>
      </c>
      <c r="D117" t="s">
        <v>1888</v>
      </c>
      <c r="E117" t="s">
        <v>1889</v>
      </c>
      <c r="F117" t="s">
        <v>1890</v>
      </c>
      <c r="G117" t="s">
        <v>1891</v>
      </c>
      <c r="H117" t="s">
        <v>3082</v>
      </c>
      <c r="I117" t="s">
        <v>1168</v>
      </c>
      <c r="J117" t="s">
        <v>1888</v>
      </c>
      <c r="K117" t="s">
        <v>1889</v>
      </c>
      <c r="L117" t="s">
        <v>1890</v>
      </c>
      <c r="M117" t="s">
        <v>1891</v>
      </c>
    </row>
    <row r="118" spans="1:13" x14ac:dyDescent="0.25">
      <c r="A118" t="s">
        <v>325</v>
      </c>
      <c r="B118" t="s">
        <v>2024</v>
      </c>
      <c r="C118" t="s">
        <v>1168</v>
      </c>
      <c r="D118" t="s">
        <v>1888</v>
      </c>
      <c r="E118" t="s">
        <v>1889</v>
      </c>
      <c r="F118" t="s">
        <v>1890</v>
      </c>
      <c r="G118" t="s">
        <v>1891</v>
      </c>
      <c r="H118" t="s">
        <v>2098</v>
      </c>
      <c r="I118" t="s">
        <v>1168</v>
      </c>
      <c r="J118" t="s">
        <v>1888</v>
      </c>
      <c r="K118" t="s">
        <v>1889</v>
      </c>
      <c r="L118" t="s">
        <v>1890</v>
      </c>
      <c r="M118" t="s">
        <v>1891</v>
      </c>
    </row>
    <row r="119" spans="1:13" x14ac:dyDescent="0.25">
      <c r="A119" t="s">
        <v>328</v>
      </c>
      <c r="B119" t="s">
        <v>2098</v>
      </c>
      <c r="C119" t="s">
        <v>1168</v>
      </c>
      <c r="D119" t="s">
        <v>1888</v>
      </c>
      <c r="E119" t="s">
        <v>1889</v>
      </c>
      <c r="F119" t="s">
        <v>1890</v>
      </c>
      <c r="G119" t="s">
        <v>1891</v>
      </c>
      <c r="H119" t="s">
        <v>2165</v>
      </c>
      <c r="I119" t="s">
        <v>1168</v>
      </c>
      <c r="J119" t="s">
        <v>1888</v>
      </c>
      <c r="K119" t="s">
        <v>1889</v>
      </c>
      <c r="L119" t="s">
        <v>1890</v>
      </c>
      <c r="M119" t="s">
        <v>1891</v>
      </c>
    </row>
    <row r="120" spans="1:13" x14ac:dyDescent="0.25">
      <c r="A120" t="s">
        <v>331</v>
      </c>
      <c r="B120" t="s">
        <v>2063</v>
      </c>
      <c r="C120" t="s">
        <v>1168</v>
      </c>
      <c r="D120" t="s">
        <v>1888</v>
      </c>
      <c r="E120" t="s">
        <v>1889</v>
      </c>
      <c r="F120" t="s">
        <v>1890</v>
      </c>
      <c r="G120" t="s">
        <v>1891</v>
      </c>
      <c r="H120" t="s">
        <v>2098</v>
      </c>
      <c r="I120" t="s">
        <v>1168</v>
      </c>
      <c r="J120" t="s">
        <v>1888</v>
      </c>
      <c r="K120" t="s">
        <v>1889</v>
      </c>
      <c r="L120" t="s">
        <v>1890</v>
      </c>
      <c r="M120" t="s">
        <v>1891</v>
      </c>
    </row>
    <row r="121" spans="1:13" x14ac:dyDescent="0.25">
      <c r="A121" t="s">
        <v>334</v>
      </c>
      <c r="B121" t="s">
        <v>2102</v>
      </c>
      <c r="C121" t="s">
        <v>1168</v>
      </c>
      <c r="D121" t="s">
        <v>1888</v>
      </c>
      <c r="E121" t="s">
        <v>1889</v>
      </c>
      <c r="F121" t="s">
        <v>1890</v>
      </c>
      <c r="G121" t="s">
        <v>1891</v>
      </c>
      <c r="H121" t="s">
        <v>2108</v>
      </c>
      <c r="I121" t="s">
        <v>1168</v>
      </c>
      <c r="J121" t="s">
        <v>1888</v>
      </c>
      <c r="K121" t="s">
        <v>1889</v>
      </c>
      <c r="L121" t="s">
        <v>1890</v>
      </c>
      <c r="M121" t="s">
        <v>1891</v>
      </c>
    </row>
    <row r="122" spans="1:13" x14ac:dyDescent="0.25">
      <c r="A122" t="s">
        <v>336</v>
      </c>
      <c r="B122" t="s">
        <v>2102</v>
      </c>
      <c r="C122" t="s">
        <v>1168</v>
      </c>
      <c r="D122" t="s">
        <v>1888</v>
      </c>
      <c r="E122" t="s">
        <v>1889</v>
      </c>
      <c r="F122" t="s">
        <v>1890</v>
      </c>
      <c r="G122" t="s">
        <v>1891</v>
      </c>
      <c r="H122" t="s">
        <v>2194</v>
      </c>
      <c r="I122" t="s">
        <v>1168</v>
      </c>
      <c r="J122" t="s">
        <v>1888</v>
      </c>
      <c r="K122" t="s">
        <v>1889</v>
      </c>
      <c r="L122" t="s">
        <v>1890</v>
      </c>
      <c r="M122" t="s">
        <v>1891</v>
      </c>
    </row>
    <row r="123" spans="1:13" x14ac:dyDescent="0.25">
      <c r="A123" t="s">
        <v>339</v>
      </c>
      <c r="B123" t="s">
        <v>2098</v>
      </c>
      <c r="C123" t="s">
        <v>1168</v>
      </c>
      <c r="D123" t="s">
        <v>1888</v>
      </c>
      <c r="E123" t="s">
        <v>1889</v>
      </c>
      <c r="F123" t="s">
        <v>1890</v>
      </c>
      <c r="G123" t="s">
        <v>1891</v>
      </c>
      <c r="H123" t="s">
        <v>2021</v>
      </c>
      <c r="I123" t="s">
        <v>1168</v>
      </c>
      <c r="J123" t="s">
        <v>1888</v>
      </c>
      <c r="K123" t="s">
        <v>1889</v>
      </c>
      <c r="L123" t="s">
        <v>1890</v>
      </c>
      <c r="M123" t="s">
        <v>1891</v>
      </c>
    </row>
    <row r="124" spans="1:13" x14ac:dyDescent="0.25">
      <c r="A124" t="s">
        <v>341</v>
      </c>
      <c r="B124" t="s">
        <v>2094</v>
      </c>
      <c r="C124" t="s">
        <v>1168</v>
      </c>
      <c r="D124" t="s">
        <v>1888</v>
      </c>
      <c r="E124" t="s">
        <v>1889</v>
      </c>
      <c r="F124" t="s">
        <v>1890</v>
      </c>
      <c r="G124" t="s">
        <v>1891</v>
      </c>
      <c r="H124" t="s">
        <v>2098</v>
      </c>
      <c r="I124" t="s">
        <v>1168</v>
      </c>
      <c r="J124" t="s">
        <v>1888</v>
      </c>
      <c r="K124" t="s">
        <v>1889</v>
      </c>
      <c r="L124" t="s">
        <v>1890</v>
      </c>
      <c r="M124" t="s">
        <v>1891</v>
      </c>
    </row>
    <row r="125" spans="1:13" x14ac:dyDescent="0.25">
      <c r="A125" t="s">
        <v>344</v>
      </c>
      <c r="B125" t="s">
        <v>2962</v>
      </c>
      <c r="C125" t="s">
        <v>1168</v>
      </c>
      <c r="D125" t="s">
        <v>1888</v>
      </c>
      <c r="E125" t="s">
        <v>1889</v>
      </c>
      <c r="F125" t="s">
        <v>1890</v>
      </c>
      <c r="G125" t="s">
        <v>1891</v>
      </c>
      <c r="H125" t="s">
        <v>3082</v>
      </c>
      <c r="I125" t="s">
        <v>1168</v>
      </c>
      <c r="J125" t="s">
        <v>1888</v>
      </c>
      <c r="K125" t="s">
        <v>1889</v>
      </c>
      <c r="L125" t="s">
        <v>1890</v>
      </c>
      <c r="M125" t="s">
        <v>1891</v>
      </c>
    </row>
    <row r="126" spans="1:13" x14ac:dyDescent="0.25">
      <c r="A126" t="s">
        <v>345</v>
      </c>
      <c r="B126" t="s">
        <v>2962</v>
      </c>
      <c r="C126" t="s">
        <v>1168</v>
      </c>
      <c r="D126" t="s">
        <v>1888</v>
      </c>
      <c r="E126" t="s">
        <v>1889</v>
      </c>
      <c r="F126" t="s">
        <v>1890</v>
      </c>
      <c r="G126" t="s">
        <v>1891</v>
      </c>
      <c r="H126" t="s">
        <v>3093</v>
      </c>
      <c r="I126" t="s">
        <v>1168</v>
      </c>
      <c r="J126" t="s">
        <v>1888</v>
      </c>
      <c r="K126" t="s">
        <v>1889</v>
      </c>
      <c r="L126" t="s">
        <v>1890</v>
      </c>
      <c r="M126" t="s">
        <v>1891</v>
      </c>
    </row>
    <row r="127" spans="1:13" x14ac:dyDescent="0.25">
      <c r="A127" t="s">
        <v>346</v>
      </c>
      <c r="B127" t="s">
        <v>2150</v>
      </c>
      <c r="C127" t="s">
        <v>1168</v>
      </c>
      <c r="D127" t="s">
        <v>1888</v>
      </c>
      <c r="E127" t="s">
        <v>1889</v>
      </c>
      <c r="F127" t="s">
        <v>1890</v>
      </c>
      <c r="G127" t="s">
        <v>1891</v>
      </c>
      <c r="H127" t="s">
        <v>2165</v>
      </c>
      <c r="I127" t="s">
        <v>1168</v>
      </c>
      <c r="J127" t="s">
        <v>1888</v>
      </c>
      <c r="K127" t="s">
        <v>1889</v>
      </c>
      <c r="L127" t="s">
        <v>1890</v>
      </c>
      <c r="M127" t="s">
        <v>1891</v>
      </c>
    </row>
    <row r="128" spans="1:13" x14ac:dyDescent="0.25">
      <c r="A128" t="s">
        <v>349</v>
      </c>
      <c r="B128" t="s">
        <v>2098</v>
      </c>
      <c r="C128" t="s">
        <v>1168</v>
      </c>
      <c r="D128" t="s">
        <v>1888</v>
      </c>
      <c r="E128" t="s">
        <v>1889</v>
      </c>
      <c r="F128" t="s">
        <v>1890</v>
      </c>
      <c r="G128" t="s">
        <v>1891</v>
      </c>
      <c r="H128" t="s">
        <v>2089</v>
      </c>
      <c r="I128" t="s">
        <v>1168</v>
      </c>
      <c r="J128" t="s">
        <v>1888</v>
      </c>
      <c r="K128" t="s">
        <v>1889</v>
      </c>
      <c r="L128" t="s">
        <v>1890</v>
      </c>
      <c r="M128" t="s">
        <v>1891</v>
      </c>
    </row>
    <row r="129" spans="1:13" x14ac:dyDescent="0.25">
      <c r="A129" t="s">
        <v>353</v>
      </c>
      <c r="B129" t="s">
        <v>2968</v>
      </c>
      <c r="C129" t="s">
        <v>1258</v>
      </c>
      <c r="D129" t="s">
        <v>1888</v>
      </c>
      <c r="E129" t="s">
        <v>1889</v>
      </c>
      <c r="F129" t="s">
        <v>1890</v>
      </c>
      <c r="G129" t="s">
        <v>1891</v>
      </c>
      <c r="H129" t="s">
        <v>2098</v>
      </c>
      <c r="I129" t="s">
        <v>1168</v>
      </c>
      <c r="J129" t="s">
        <v>1888</v>
      </c>
      <c r="K129" t="s">
        <v>1889</v>
      </c>
      <c r="L129" t="s">
        <v>1890</v>
      </c>
      <c r="M129" t="s">
        <v>1891</v>
      </c>
    </row>
    <row r="130" spans="1:13" x14ac:dyDescent="0.25">
      <c r="A130" t="s">
        <v>356</v>
      </c>
      <c r="B130" t="s">
        <v>2968</v>
      </c>
      <c r="C130" t="s">
        <v>1258</v>
      </c>
      <c r="D130" t="s">
        <v>1888</v>
      </c>
      <c r="E130" t="s">
        <v>1889</v>
      </c>
      <c r="F130" t="s">
        <v>1890</v>
      </c>
      <c r="G130" t="s">
        <v>1891</v>
      </c>
      <c r="H130" t="s">
        <v>2102</v>
      </c>
      <c r="I130" t="s">
        <v>1168</v>
      </c>
      <c r="J130" t="s">
        <v>1888</v>
      </c>
      <c r="K130" t="s">
        <v>1889</v>
      </c>
      <c r="L130" t="s">
        <v>1890</v>
      </c>
      <c r="M130" t="s">
        <v>1891</v>
      </c>
    </row>
    <row r="131" spans="1:13" x14ac:dyDescent="0.25">
      <c r="A131" t="s">
        <v>357</v>
      </c>
      <c r="B131" t="s">
        <v>2102</v>
      </c>
      <c r="C131" t="s">
        <v>1168</v>
      </c>
      <c r="D131" t="s">
        <v>1888</v>
      </c>
      <c r="E131" t="s">
        <v>1889</v>
      </c>
      <c r="F131" t="s">
        <v>1890</v>
      </c>
      <c r="G131" t="s">
        <v>1891</v>
      </c>
      <c r="H131" t="s">
        <v>77</v>
      </c>
      <c r="I131" t="s">
        <v>1258</v>
      </c>
      <c r="J131" t="s">
        <v>1888</v>
      </c>
      <c r="K131" t="s">
        <v>1889</v>
      </c>
      <c r="L131" t="s">
        <v>1890</v>
      </c>
      <c r="M131" t="s">
        <v>1891</v>
      </c>
    </row>
    <row r="132" spans="1:13" x14ac:dyDescent="0.25">
      <c r="A132" t="s">
        <v>359</v>
      </c>
      <c r="B132" t="s">
        <v>284</v>
      </c>
      <c r="C132" t="s">
        <v>1258</v>
      </c>
      <c r="D132" t="s">
        <v>1888</v>
      </c>
      <c r="E132" t="s">
        <v>1889</v>
      </c>
      <c r="F132" t="s">
        <v>1890</v>
      </c>
      <c r="G132" t="s">
        <v>1891</v>
      </c>
      <c r="H132" t="s">
        <v>2098</v>
      </c>
      <c r="I132" t="s">
        <v>1168</v>
      </c>
      <c r="J132" t="s">
        <v>1888</v>
      </c>
      <c r="K132" t="s">
        <v>1889</v>
      </c>
      <c r="L132" t="s">
        <v>1890</v>
      </c>
      <c r="M132" t="s">
        <v>1891</v>
      </c>
    </row>
    <row r="133" spans="1:13" x14ac:dyDescent="0.25">
      <c r="A133" t="s">
        <v>360</v>
      </c>
      <c r="B133" t="s">
        <v>2102</v>
      </c>
      <c r="C133" t="s">
        <v>1168</v>
      </c>
      <c r="D133" t="s">
        <v>1888</v>
      </c>
      <c r="E133" t="s">
        <v>1889</v>
      </c>
      <c r="F133" t="s">
        <v>1890</v>
      </c>
      <c r="G133" t="s">
        <v>1891</v>
      </c>
      <c r="H133" t="s">
        <v>288</v>
      </c>
      <c r="I133" t="s">
        <v>1258</v>
      </c>
      <c r="J133" t="s">
        <v>1888</v>
      </c>
      <c r="K133" t="s">
        <v>1889</v>
      </c>
      <c r="L133" t="s">
        <v>1890</v>
      </c>
      <c r="M133" t="s">
        <v>1891</v>
      </c>
    </row>
    <row r="134" spans="1:13" x14ac:dyDescent="0.25">
      <c r="A134" t="s">
        <v>361</v>
      </c>
      <c r="B134" t="s">
        <v>2102</v>
      </c>
      <c r="C134" t="s">
        <v>1168</v>
      </c>
      <c r="D134" t="s">
        <v>1888</v>
      </c>
      <c r="E134" t="s">
        <v>1889</v>
      </c>
      <c r="F134" t="s">
        <v>1890</v>
      </c>
      <c r="G134" t="s">
        <v>1891</v>
      </c>
      <c r="H134" t="s">
        <v>281</v>
      </c>
      <c r="I134" t="s">
        <v>1258</v>
      </c>
      <c r="J134" t="s">
        <v>1888</v>
      </c>
      <c r="K134" t="s">
        <v>1889</v>
      </c>
      <c r="L134" t="s">
        <v>1890</v>
      </c>
      <c r="M134" t="s">
        <v>1891</v>
      </c>
    </row>
    <row r="135" spans="1:13" x14ac:dyDescent="0.25">
      <c r="A135" t="s">
        <v>365</v>
      </c>
      <c r="B135" t="s">
        <v>2129</v>
      </c>
      <c r="C135" t="s">
        <v>1168</v>
      </c>
      <c r="D135" t="s">
        <v>1888</v>
      </c>
      <c r="E135" t="s">
        <v>1889</v>
      </c>
      <c r="F135" t="s">
        <v>1890</v>
      </c>
      <c r="G135" t="s">
        <v>1891</v>
      </c>
      <c r="H135" t="s">
        <v>2035</v>
      </c>
      <c r="I135" t="s">
        <v>1168</v>
      </c>
      <c r="J135" t="s">
        <v>1888</v>
      </c>
      <c r="K135" t="s">
        <v>1889</v>
      </c>
      <c r="L135" t="s">
        <v>1890</v>
      </c>
      <c r="M135" t="s">
        <v>1891</v>
      </c>
    </row>
    <row r="136" spans="1:13" x14ac:dyDescent="0.25">
      <c r="A136" t="s">
        <v>368</v>
      </c>
      <c r="B136" t="s">
        <v>2496</v>
      </c>
      <c r="C136" t="s">
        <v>1168</v>
      </c>
      <c r="D136" t="s">
        <v>1888</v>
      </c>
      <c r="E136" t="s">
        <v>1889</v>
      </c>
      <c r="F136" t="s">
        <v>1890</v>
      </c>
      <c r="G136" t="s">
        <v>1891</v>
      </c>
      <c r="H136" t="s">
        <v>2129</v>
      </c>
      <c r="I136" t="s">
        <v>1168</v>
      </c>
      <c r="J136" t="s">
        <v>1888</v>
      </c>
      <c r="K136" t="s">
        <v>1889</v>
      </c>
      <c r="L136" t="s">
        <v>1890</v>
      </c>
      <c r="M136" t="s">
        <v>1891</v>
      </c>
    </row>
    <row r="137" spans="1:13" x14ac:dyDescent="0.25">
      <c r="A137" t="s">
        <v>370</v>
      </c>
      <c r="B137" t="s">
        <v>2252</v>
      </c>
      <c r="C137" t="s">
        <v>1168</v>
      </c>
      <c r="D137" t="s">
        <v>1888</v>
      </c>
      <c r="E137" t="s">
        <v>1889</v>
      </c>
      <c r="F137" t="s">
        <v>1890</v>
      </c>
      <c r="G137" t="s">
        <v>1891</v>
      </c>
      <c r="H137" t="s">
        <v>2129</v>
      </c>
      <c r="I137" t="s">
        <v>1168</v>
      </c>
      <c r="J137" t="s">
        <v>1888</v>
      </c>
      <c r="K137" t="s">
        <v>1889</v>
      </c>
      <c r="L137" t="s">
        <v>1890</v>
      </c>
      <c r="M137" t="s">
        <v>1891</v>
      </c>
    </row>
    <row r="138" spans="1:13" x14ac:dyDescent="0.25">
      <c r="A138" t="s">
        <v>371</v>
      </c>
      <c r="B138" t="s">
        <v>2248</v>
      </c>
      <c r="C138" t="s">
        <v>1168</v>
      </c>
      <c r="D138" t="s">
        <v>1888</v>
      </c>
      <c r="E138" t="s">
        <v>1889</v>
      </c>
      <c r="F138" t="s">
        <v>1890</v>
      </c>
      <c r="G138" t="s">
        <v>1891</v>
      </c>
      <c r="H138" t="s">
        <v>2129</v>
      </c>
      <c r="I138" t="s">
        <v>1168</v>
      </c>
      <c r="J138" t="s">
        <v>1888</v>
      </c>
      <c r="K138" t="s">
        <v>1889</v>
      </c>
      <c r="L138" t="s">
        <v>1890</v>
      </c>
      <c r="M138" t="s">
        <v>1891</v>
      </c>
    </row>
    <row r="139" spans="1:13" x14ac:dyDescent="0.25">
      <c r="A139" t="s">
        <v>372</v>
      </c>
      <c r="B139" t="s">
        <v>2165</v>
      </c>
      <c r="C139" t="s">
        <v>1168</v>
      </c>
      <c r="D139" t="s">
        <v>1888</v>
      </c>
      <c r="E139" t="s">
        <v>1889</v>
      </c>
      <c r="F139" t="s">
        <v>1890</v>
      </c>
      <c r="G139" t="s">
        <v>1891</v>
      </c>
      <c r="H139" t="s">
        <v>2252</v>
      </c>
      <c r="I139" t="s">
        <v>1168</v>
      </c>
      <c r="J139" t="s">
        <v>1888</v>
      </c>
      <c r="K139" t="s">
        <v>1889</v>
      </c>
      <c r="L139" t="s">
        <v>1890</v>
      </c>
      <c r="M139" t="s">
        <v>1891</v>
      </c>
    </row>
    <row r="140" spans="1:13" x14ac:dyDescent="0.25">
      <c r="A140" t="s">
        <v>376</v>
      </c>
      <c r="B140" t="s">
        <v>2216</v>
      </c>
      <c r="C140" t="s">
        <v>1168</v>
      </c>
      <c r="D140" t="s">
        <v>1888</v>
      </c>
      <c r="E140" t="s">
        <v>1889</v>
      </c>
      <c r="F140" t="s">
        <v>1890</v>
      </c>
      <c r="G140" t="s">
        <v>1891</v>
      </c>
      <c r="H140" t="s">
        <v>2204</v>
      </c>
      <c r="I140" t="s">
        <v>1168</v>
      </c>
      <c r="J140" t="s">
        <v>1888</v>
      </c>
      <c r="K140" t="s">
        <v>1889</v>
      </c>
      <c r="L140" t="s">
        <v>1890</v>
      </c>
      <c r="M140" t="s">
        <v>1891</v>
      </c>
    </row>
    <row r="141" spans="1:13" x14ac:dyDescent="0.25">
      <c r="A141" t="s">
        <v>377</v>
      </c>
      <c r="B141" t="s">
        <v>2018</v>
      </c>
      <c r="C141" t="s">
        <v>1168</v>
      </c>
      <c r="D141" t="s">
        <v>1888</v>
      </c>
      <c r="E141" t="s">
        <v>1889</v>
      </c>
      <c r="F141" t="s">
        <v>1890</v>
      </c>
      <c r="G141" t="s">
        <v>1891</v>
      </c>
      <c r="H141" t="s">
        <v>284</v>
      </c>
      <c r="I141" t="s">
        <v>1258</v>
      </c>
      <c r="J141" t="s">
        <v>1888</v>
      </c>
      <c r="K141" t="s">
        <v>1889</v>
      </c>
      <c r="L141" t="s">
        <v>1890</v>
      </c>
      <c r="M141" t="s">
        <v>1891</v>
      </c>
    </row>
    <row r="142" spans="1:13" x14ac:dyDescent="0.25">
      <c r="A142" t="s">
        <v>380</v>
      </c>
      <c r="B142" t="s">
        <v>2018</v>
      </c>
      <c r="C142" t="s">
        <v>1168</v>
      </c>
      <c r="D142" t="s">
        <v>1888</v>
      </c>
      <c r="E142" t="s">
        <v>1889</v>
      </c>
      <c r="F142" t="s">
        <v>1890</v>
      </c>
      <c r="G142" t="s">
        <v>1891</v>
      </c>
      <c r="H142" t="s">
        <v>2968</v>
      </c>
      <c r="I142" t="s">
        <v>1258</v>
      </c>
      <c r="J142" t="s">
        <v>1888</v>
      </c>
      <c r="K142" t="s">
        <v>1889</v>
      </c>
      <c r="L142" t="s">
        <v>1890</v>
      </c>
      <c r="M142" t="s">
        <v>1891</v>
      </c>
    </row>
    <row r="143" spans="1:13" x14ac:dyDescent="0.25">
      <c r="A143" t="s">
        <v>383</v>
      </c>
      <c r="B143" t="s">
        <v>386</v>
      </c>
      <c r="C143" t="s">
        <v>1258</v>
      </c>
      <c r="D143" t="s">
        <v>1888</v>
      </c>
      <c r="E143" t="s">
        <v>1889</v>
      </c>
      <c r="F143" t="s">
        <v>1890</v>
      </c>
      <c r="G143" t="s">
        <v>1891</v>
      </c>
      <c r="H143" t="s">
        <v>2018</v>
      </c>
      <c r="I143" t="s">
        <v>1168</v>
      </c>
      <c r="J143" t="s">
        <v>1888</v>
      </c>
      <c r="K143" t="s">
        <v>1889</v>
      </c>
      <c r="L143" t="s">
        <v>1890</v>
      </c>
      <c r="M143" t="s">
        <v>1891</v>
      </c>
    </row>
    <row r="144" spans="1:13" x14ac:dyDescent="0.25">
      <c r="A144" t="s">
        <v>388</v>
      </c>
      <c r="B144" t="s">
        <v>2018</v>
      </c>
      <c r="C144" t="s">
        <v>1168</v>
      </c>
      <c r="D144" t="s">
        <v>1888</v>
      </c>
      <c r="E144" t="s">
        <v>1889</v>
      </c>
      <c r="F144" t="s">
        <v>1890</v>
      </c>
      <c r="G144" t="s">
        <v>1891</v>
      </c>
      <c r="H144" t="s">
        <v>132</v>
      </c>
      <c r="I144" t="s">
        <v>1258</v>
      </c>
      <c r="J144" t="s">
        <v>1888</v>
      </c>
      <c r="K144" t="s">
        <v>1889</v>
      </c>
      <c r="L144" t="s">
        <v>1890</v>
      </c>
      <c r="M144" t="s">
        <v>1891</v>
      </c>
    </row>
    <row r="145" spans="1:13" x14ac:dyDescent="0.25">
      <c r="A145" t="s">
        <v>391</v>
      </c>
      <c r="B145" t="s">
        <v>2248</v>
      </c>
      <c r="C145" t="s">
        <v>1168</v>
      </c>
      <c r="D145" t="s">
        <v>1888</v>
      </c>
      <c r="E145" t="s">
        <v>1889</v>
      </c>
      <c r="F145" t="s">
        <v>1890</v>
      </c>
      <c r="G145" t="s">
        <v>1891</v>
      </c>
      <c r="H145" t="s">
        <v>2018</v>
      </c>
      <c r="I145" t="s">
        <v>1168</v>
      </c>
      <c r="J145" t="s">
        <v>1888</v>
      </c>
      <c r="K145" t="s">
        <v>1889</v>
      </c>
      <c r="L145" t="s">
        <v>1890</v>
      </c>
      <c r="M145" t="s">
        <v>1891</v>
      </c>
    </row>
    <row r="146" spans="1:13" x14ac:dyDescent="0.25">
      <c r="A146" t="s">
        <v>395</v>
      </c>
      <c r="B146" t="s">
        <v>2018</v>
      </c>
      <c r="C146" t="s">
        <v>1168</v>
      </c>
      <c r="D146" t="s">
        <v>1888</v>
      </c>
      <c r="E146" t="s">
        <v>1889</v>
      </c>
      <c r="F146" t="s">
        <v>1890</v>
      </c>
      <c r="G146" t="s">
        <v>1891</v>
      </c>
      <c r="H146" t="s">
        <v>2359</v>
      </c>
      <c r="I146" t="s">
        <v>1168</v>
      </c>
      <c r="J146" t="s">
        <v>1888</v>
      </c>
      <c r="K146" t="s">
        <v>1889</v>
      </c>
      <c r="L146" t="s">
        <v>1890</v>
      </c>
      <c r="M146" t="s">
        <v>1891</v>
      </c>
    </row>
    <row r="147" spans="1:13" x14ac:dyDescent="0.25">
      <c r="A147" t="s">
        <v>399</v>
      </c>
      <c r="B147" t="s">
        <v>2018</v>
      </c>
      <c r="C147" t="s">
        <v>1168</v>
      </c>
      <c r="D147" t="s">
        <v>1888</v>
      </c>
      <c r="E147" t="s">
        <v>1889</v>
      </c>
      <c r="F147" t="s">
        <v>1890</v>
      </c>
      <c r="G147" t="s">
        <v>1891</v>
      </c>
      <c r="H147" t="s">
        <v>2114</v>
      </c>
      <c r="I147" t="s">
        <v>1168</v>
      </c>
      <c r="J147" t="s">
        <v>1888</v>
      </c>
      <c r="K147" t="s">
        <v>1889</v>
      </c>
      <c r="L147" t="s">
        <v>1890</v>
      </c>
      <c r="M147" t="s">
        <v>1891</v>
      </c>
    </row>
    <row r="148" spans="1:13" x14ac:dyDescent="0.25">
      <c r="A148" t="s">
        <v>403</v>
      </c>
      <c r="B148" t="s">
        <v>2117</v>
      </c>
      <c r="C148" t="s">
        <v>1168</v>
      </c>
      <c r="D148" t="s">
        <v>1888</v>
      </c>
      <c r="E148" t="s">
        <v>1889</v>
      </c>
      <c r="F148" t="s">
        <v>1890</v>
      </c>
      <c r="G148" t="s">
        <v>1891</v>
      </c>
      <c r="H148" t="s">
        <v>2114</v>
      </c>
      <c r="I148" t="s">
        <v>1168</v>
      </c>
      <c r="J148" t="s">
        <v>1888</v>
      </c>
      <c r="K148" t="s">
        <v>1889</v>
      </c>
      <c r="L148" t="s">
        <v>1890</v>
      </c>
      <c r="M148" t="s">
        <v>1891</v>
      </c>
    </row>
    <row r="149" spans="1:13" x14ac:dyDescent="0.25">
      <c r="A149" t="s">
        <v>406</v>
      </c>
      <c r="B149" t="s">
        <v>2111</v>
      </c>
      <c r="C149" t="s">
        <v>1168</v>
      </c>
      <c r="D149" t="s">
        <v>1888</v>
      </c>
      <c r="E149" t="s">
        <v>1889</v>
      </c>
      <c r="F149" t="s">
        <v>1890</v>
      </c>
      <c r="G149" t="s">
        <v>1891</v>
      </c>
      <c r="H149" t="s">
        <v>2150</v>
      </c>
      <c r="I149" t="s">
        <v>1168</v>
      </c>
      <c r="J149" t="s">
        <v>1888</v>
      </c>
      <c r="K149" t="s">
        <v>1889</v>
      </c>
      <c r="L149" t="s">
        <v>1890</v>
      </c>
      <c r="M149" t="s">
        <v>1891</v>
      </c>
    </row>
    <row r="150" spans="1:13" x14ac:dyDescent="0.25">
      <c r="A150" t="s">
        <v>409</v>
      </c>
      <c r="B150" t="s">
        <v>2111</v>
      </c>
      <c r="C150" t="s">
        <v>1168</v>
      </c>
      <c r="D150" t="s">
        <v>1888</v>
      </c>
      <c r="E150" t="s">
        <v>1889</v>
      </c>
      <c r="F150" t="s">
        <v>1890</v>
      </c>
      <c r="G150" t="s">
        <v>1891</v>
      </c>
      <c r="H150" t="s">
        <v>2127</v>
      </c>
      <c r="I150" t="s">
        <v>1168</v>
      </c>
      <c r="J150" t="s">
        <v>1888</v>
      </c>
      <c r="K150" t="s">
        <v>1889</v>
      </c>
      <c r="L150" t="s">
        <v>1890</v>
      </c>
      <c r="M150" t="s">
        <v>1891</v>
      </c>
    </row>
    <row r="151" spans="1:13" x14ac:dyDescent="0.25">
      <c r="A151" t="s">
        <v>412</v>
      </c>
      <c r="B151" t="s">
        <v>2111</v>
      </c>
      <c r="C151" t="s">
        <v>1168</v>
      </c>
      <c r="D151" t="s">
        <v>1888</v>
      </c>
      <c r="E151" t="s">
        <v>1889</v>
      </c>
      <c r="F151" t="s">
        <v>1890</v>
      </c>
      <c r="G151" t="s">
        <v>1891</v>
      </c>
      <c r="H151" t="s">
        <v>2262</v>
      </c>
      <c r="I151" t="s">
        <v>1168</v>
      </c>
      <c r="J151" t="s">
        <v>1888</v>
      </c>
      <c r="K151" t="s">
        <v>1889</v>
      </c>
      <c r="L151" t="s">
        <v>1890</v>
      </c>
      <c r="M151" t="s">
        <v>1891</v>
      </c>
    </row>
    <row r="152" spans="1:13" x14ac:dyDescent="0.25">
      <c r="A152" t="s">
        <v>415</v>
      </c>
      <c r="B152" t="s">
        <v>2063</v>
      </c>
      <c r="C152" t="s">
        <v>1168</v>
      </c>
      <c r="D152" t="s">
        <v>1888</v>
      </c>
      <c r="E152" t="s">
        <v>1889</v>
      </c>
      <c r="F152" t="s">
        <v>1890</v>
      </c>
      <c r="G152" t="s">
        <v>1891</v>
      </c>
      <c r="H152" t="s">
        <v>2111</v>
      </c>
      <c r="I152" t="s">
        <v>1168</v>
      </c>
      <c r="J152" t="s">
        <v>1888</v>
      </c>
      <c r="K152" t="s">
        <v>1889</v>
      </c>
      <c r="L152" t="s">
        <v>1890</v>
      </c>
      <c r="M152" t="s">
        <v>1891</v>
      </c>
    </row>
    <row r="153" spans="1:13" x14ac:dyDescent="0.25">
      <c r="A153" t="s">
        <v>419</v>
      </c>
      <c r="B153" t="s">
        <v>2957</v>
      </c>
      <c r="C153" t="s">
        <v>1168</v>
      </c>
      <c r="D153" t="s">
        <v>1888</v>
      </c>
      <c r="E153" t="s">
        <v>1889</v>
      </c>
      <c r="F153" t="s">
        <v>1890</v>
      </c>
      <c r="G153" t="s">
        <v>1891</v>
      </c>
      <c r="H153" t="s">
        <v>2018</v>
      </c>
      <c r="I153" t="s">
        <v>1168</v>
      </c>
      <c r="J153" t="s">
        <v>1888</v>
      </c>
      <c r="K153" t="s">
        <v>1889</v>
      </c>
      <c r="L153" t="s">
        <v>1890</v>
      </c>
      <c r="M153" t="s">
        <v>1891</v>
      </c>
    </row>
    <row r="154" spans="1:13" x14ac:dyDescent="0.25">
      <c r="A154" t="s">
        <v>423</v>
      </c>
      <c r="B154" t="s">
        <v>2957</v>
      </c>
      <c r="C154" t="s">
        <v>1168</v>
      </c>
      <c r="D154" t="s">
        <v>1888</v>
      </c>
      <c r="E154" t="s">
        <v>1889</v>
      </c>
      <c r="F154" t="s">
        <v>1890</v>
      </c>
      <c r="G154" t="s">
        <v>1891</v>
      </c>
      <c r="H154" t="s">
        <v>2117</v>
      </c>
      <c r="I154" t="s">
        <v>1168</v>
      </c>
      <c r="J154" t="s">
        <v>1888</v>
      </c>
      <c r="K154" t="s">
        <v>1889</v>
      </c>
      <c r="L154" t="s">
        <v>1890</v>
      </c>
      <c r="M154" t="s">
        <v>1891</v>
      </c>
    </row>
    <row r="155" spans="1:13" x14ac:dyDescent="0.25">
      <c r="A155" t="s">
        <v>426</v>
      </c>
      <c r="B155" t="s">
        <v>2957</v>
      </c>
      <c r="C155" t="s">
        <v>1168</v>
      </c>
      <c r="D155" t="s">
        <v>1888</v>
      </c>
      <c r="E155" t="s">
        <v>1889</v>
      </c>
      <c r="F155" t="s">
        <v>1890</v>
      </c>
      <c r="G155" t="s">
        <v>1891</v>
      </c>
      <c r="H155" t="s">
        <v>2332</v>
      </c>
      <c r="I155" t="s">
        <v>1168</v>
      </c>
      <c r="J155" t="s">
        <v>1888</v>
      </c>
      <c r="K155" t="s">
        <v>1889</v>
      </c>
      <c r="L155" t="s">
        <v>1890</v>
      </c>
      <c r="M155" t="s">
        <v>1891</v>
      </c>
    </row>
    <row r="156" spans="1:13" x14ac:dyDescent="0.25">
      <c r="A156" t="s">
        <v>431</v>
      </c>
      <c r="B156" t="s">
        <v>2177</v>
      </c>
      <c r="C156" t="s">
        <v>1168</v>
      </c>
      <c r="D156" t="s">
        <v>1888</v>
      </c>
      <c r="E156" t="s">
        <v>1889</v>
      </c>
      <c r="F156" t="s">
        <v>1890</v>
      </c>
      <c r="G156" t="s">
        <v>1891</v>
      </c>
      <c r="H156" t="s">
        <v>2150</v>
      </c>
      <c r="I156" t="s">
        <v>1168</v>
      </c>
      <c r="J156" t="s">
        <v>1888</v>
      </c>
      <c r="K156" t="s">
        <v>1889</v>
      </c>
      <c r="L156" t="s">
        <v>1890</v>
      </c>
      <c r="M156" t="s">
        <v>1891</v>
      </c>
    </row>
    <row r="157" spans="1:13" x14ac:dyDescent="0.25">
      <c r="A157" t="s">
        <v>435</v>
      </c>
      <c r="B157" t="s">
        <v>2957</v>
      </c>
      <c r="C157" t="s">
        <v>1168</v>
      </c>
      <c r="D157" t="s">
        <v>1888</v>
      </c>
      <c r="E157" t="s">
        <v>1889</v>
      </c>
      <c r="F157" t="s">
        <v>1890</v>
      </c>
      <c r="G157" t="s">
        <v>1891</v>
      </c>
      <c r="H157" t="s">
        <v>2015</v>
      </c>
      <c r="I157" t="s">
        <v>1168</v>
      </c>
      <c r="J157" t="s">
        <v>1888</v>
      </c>
      <c r="K157" t="s">
        <v>1889</v>
      </c>
      <c r="L157" t="s">
        <v>1890</v>
      </c>
      <c r="M157" t="s">
        <v>1891</v>
      </c>
    </row>
    <row r="158" spans="1:13" x14ac:dyDescent="0.25">
      <c r="A158" t="s">
        <v>441</v>
      </c>
      <c r="B158" t="s">
        <v>2181</v>
      </c>
      <c r="C158" t="s">
        <v>1168</v>
      </c>
      <c r="D158" t="s">
        <v>1888</v>
      </c>
      <c r="E158" t="s">
        <v>1889</v>
      </c>
      <c r="F158" t="s">
        <v>1890</v>
      </c>
      <c r="G158" t="s">
        <v>1891</v>
      </c>
      <c r="H158" t="s">
        <v>2150</v>
      </c>
      <c r="I158" t="s">
        <v>1168</v>
      </c>
      <c r="J158" t="s">
        <v>1888</v>
      </c>
      <c r="K158" t="s">
        <v>1889</v>
      </c>
      <c r="L158" t="s">
        <v>1890</v>
      </c>
      <c r="M158" t="s">
        <v>1891</v>
      </c>
    </row>
    <row r="159" spans="1:13" x14ac:dyDescent="0.25">
      <c r="A159" t="s">
        <v>444</v>
      </c>
      <c r="B159" t="s">
        <v>2957</v>
      </c>
      <c r="C159" t="s">
        <v>1168</v>
      </c>
      <c r="D159" t="s">
        <v>1888</v>
      </c>
      <c r="E159" t="s">
        <v>1889</v>
      </c>
      <c r="F159" t="s">
        <v>1890</v>
      </c>
      <c r="G159" t="s">
        <v>1891</v>
      </c>
      <c r="H159" t="s">
        <v>2408</v>
      </c>
      <c r="I159" t="s">
        <v>1168</v>
      </c>
      <c r="J159" t="s">
        <v>1888</v>
      </c>
      <c r="K159" t="s">
        <v>1889</v>
      </c>
      <c r="L159" t="s">
        <v>1890</v>
      </c>
      <c r="M159" t="s">
        <v>1891</v>
      </c>
    </row>
    <row r="160" spans="1:13" x14ac:dyDescent="0.25">
      <c r="A160" t="s">
        <v>448</v>
      </c>
      <c r="B160" t="s">
        <v>2035</v>
      </c>
      <c r="C160" t="s">
        <v>1168</v>
      </c>
      <c r="D160" t="s">
        <v>1888</v>
      </c>
      <c r="E160" t="s">
        <v>1889</v>
      </c>
      <c r="F160" t="s">
        <v>1890</v>
      </c>
      <c r="G160" t="s">
        <v>1891</v>
      </c>
      <c r="H160" t="s">
        <v>284</v>
      </c>
      <c r="I160" t="s">
        <v>1258</v>
      </c>
      <c r="J160" t="s">
        <v>1888</v>
      </c>
      <c r="K160" t="s">
        <v>1889</v>
      </c>
      <c r="L160" t="s">
        <v>1890</v>
      </c>
      <c r="M160" t="s">
        <v>1891</v>
      </c>
    </row>
    <row r="161" spans="1:13" x14ac:dyDescent="0.25">
      <c r="A161" t="s">
        <v>451</v>
      </c>
      <c r="B161" t="s">
        <v>2035</v>
      </c>
      <c r="C161" t="s">
        <v>1168</v>
      </c>
      <c r="D161" t="s">
        <v>1888</v>
      </c>
      <c r="E161" t="s">
        <v>1889</v>
      </c>
      <c r="F161" t="s">
        <v>1890</v>
      </c>
      <c r="G161" t="s">
        <v>1891</v>
      </c>
      <c r="H161" t="s">
        <v>2968</v>
      </c>
      <c r="I161" t="s">
        <v>1258</v>
      </c>
      <c r="J161" t="s">
        <v>1888</v>
      </c>
      <c r="K161" t="s">
        <v>1889</v>
      </c>
      <c r="L161" t="s">
        <v>1890</v>
      </c>
      <c r="M161" t="s">
        <v>1891</v>
      </c>
    </row>
    <row r="162" spans="1:13" x14ac:dyDescent="0.25">
      <c r="A162" t="s">
        <v>454</v>
      </c>
      <c r="B162" t="s">
        <v>386</v>
      </c>
      <c r="C162" t="s">
        <v>1258</v>
      </c>
      <c r="D162" t="s">
        <v>1888</v>
      </c>
      <c r="E162" t="s">
        <v>1889</v>
      </c>
      <c r="F162" t="s">
        <v>1890</v>
      </c>
      <c r="G162" t="s">
        <v>1891</v>
      </c>
      <c r="H162" t="s">
        <v>2035</v>
      </c>
      <c r="I162" t="s">
        <v>1168</v>
      </c>
      <c r="J162" t="s">
        <v>1888</v>
      </c>
      <c r="K162" t="s">
        <v>1889</v>
      </c>
      <c r="L162" t="s">
        <v>1890</v>
      </c>
      <c r="M162" t="s">
        <v>1891</v>
      </c>
    </row>
    <row r="163" spans="1:13" x14ac:dyDescent="0.25">
      <c r="A163" t="s">
        <v>456</v>
      </c>
      <c r="B163" t="s">
        <v>2035</v>
      </c>
      <c r="C163" t="s">
        <v>1168</v>
      </c>
      <c r="D163" t="s">
        <v>1888</v>
      </c>
      <c r="E163" t="s">
        <v>1889</v>
      </c>
      <c r="F163" t="s">
        <v>1890</v>
      </c>
      <c r="G163" t="s">
        <v>1891</v>
      </c>
      <c r="H163" t="s">
        <v>132</v>
      </c>
      <c r="I163" t="s">
        <v>1258</v>
      </c>
      <c r="J163" t="s">
        <v>1888</v>
      </c>
      <c r="K163" t="s">
        <v>1889</v>
      </c>
      <c r="L163" t="s">
        <v>1890</v>
      </c>
      <c r="M163" t="s">
        <v>1891</v>
      </c>
    </row>
    <row r="164" spans="1:13" x14ac:dyDescent="0.25">
      <c r="A164" t="s">
        <v>459</v>
      </c>
      <c r="B164" t="s">
        <v>2957</v>
      </c>
      <c r="C164" t="s">
        <v>1168</v>
      </c>
      <c r="D164" t="s">
        <v>1888</v>
      </c>
      <c r="E164" t="s">
        <v>1889</v>
      </c>
      <c r="F164" t="s">
        <v>1890</v>
      </c>
      <c r="G164" t="s">
        <v>1891</v>
      </c>
      <c r="H164" t="s">
        <v>462</v>
      </c>
      <c r="I164" t="s">
        <v>1258</v>
      </c>
      <c r="J164" t="s">
        <v>1888</v>
      </c>
      <c r="K164" t="s">
        <v>1889</v>
      </c>
      <c r="L164" t="s">
        <v>1890</v>
      </c>
      <c r="M164" t="s">
        <v>1891</v>
      </c>
    </row>
    <row r="165" spans="1:13" x14ac:dyDescent="0.25">
      <c r="A165" t="s">
        <v>463</v>
      </c>
      <c r="B165" t="s">
        <v>2181</v>
      </c>
      <c r="C165" t="s">
        <v>1168</v>
      </c>
      <c r="D165" t="s">
        <v>1888</v>
      </c>
      <c r="E165" t="s">
        <v>1889</v>
      </c>
      <c r="F165" t="s">
        <v>1890</v>
      </c>
      <c r="G165" t="s">
        <v>1891</v>
      </c>
      <c r="H165" t="s">
        <v>466</v>
      </c>
      <c r="I165" t="s">
        <v>1258</v>
      </c>
      <c r="J165" t="s">
        <v>1888</v>
      </c>
      <c r="K165" t="s">
        <v>1889</v>
      </c>
      <c r="L165" t="s">
        <v>1890</v>
      </c>
      <c r="M165" t="s">
        <v>1891</v>
      </c>
    </row>
    <row r="166" spans="1:13" x14ac:dyDescent="0.25">
      <c r="A166" t="s">
        <v>467</v>
      </c>
      <c r="B166" t="s">
        <v>2177</v>
      </c>
      <c r="C166" t="s">
        <v>1168</v>
      </c>
      <c r="D166" t="s">
        <v>1888</v>
      </c>
      <c r="E166" t="s">
        <v>1889</v>
      </c>
      <c r="F166" t="s">
        <v>1890</v>
      </c>
      <c r="G166" t="s">
        <v>1891</v>
      </c>
      <c r="H166" t="s">
        <v>471</v>
      </c>
      <c r="I166" t="s">
        <v>1258</v>
      </c>
      <c r="J166" t="s">
        <v>1888</v>
      </c>
      <c r="K166" t="s">
        <v>1889</v>
      </c>
      <c r="L166" t="s">
        <v>1890</v>
      </c>
      <c r="M166" t="s">
        <v>1891</v>
      </c>
    </row>
    <row r="167" spans="1:13" x14ac:dyDescent="0.25">
      <c r="A167" t="s">
        <v>472</v>
      </c>
      <c r="B167" t="s">
        <v>466</v>
      </c>
      <c r="C167" t="s">
        <v>1258</v>
      </c>
      <c r="D167" t="s">
        <v>1888</v>
      </c>
      <c r="E167" t="s">
        <v>1889</v>
      </c>
      <c r="F167" t="s">
        <v>1890</v>
      </c>
      <c r="G167" t="s">
        <v>1891</v>
      </c>
      <c r="H167" t="s">
        <v>2035</v>
      </c>
      <c r="I167" t="s">
        <v>1168</v>
      </c>
      <c r="J167" t="s">
        <v>1888</v>
      </c>
      <c r="K167" t="s">
        <v>1889</v>
      </c>
      <c r="L167" t="s">
        <v>1890</v>
      </c>
      <c r="M167" t="s">
        <v>1891</v>
      </c>
    </row>
    <row r="168" spans="1:13" x14ac:dyDescent="0.25">
      <c r="A168" t="s">
        <v>475</v>
      </c>
      <c r="B168" t="s">
        <v>471</v>
      </c>
      <c r="C168" t="s">
        <v>1258</v>
      </c>
      <c r="D168" t="s">
        <v>1888</v>
      </c>
      <c r="E168" t="s">
        <v>1889</v>
      </c>
      <c r="F168" t="s">
        <v>1890</v>
      </c>
      <c r="G168" t="s">
        <v>1891</v>
      </c>
      <c r="H168" t="s">
        <v>2035</v>
      </c>
      <c r="I168" t="s">
        <v>1168</v>
      </c>
      <c r="J168" t="s">
        <v>1888</v>
      </c>
      <c r="K168" t="s">
        <v>1889</v>
      </c>
      <c r="L168" t="s">
        <v>1890</v>
      </c>
      <c r="M168" t="s">
        <v>1891</v>
      </c>
    </row>
    <row r="169" spans="1:13" x14ac:dyDescent="0.25">
      <c r="A169" t="s">
        <v>478</v>
      </c>
      <c r="B169" t="s">
        <v>2114</v>
      </c>
      <c r="C169" t="s">
        <v>1168</v>
      </c>
      <c r="D169" t="s">
        <v>1888</v>
      </c>
      <c r="E169" t="s">
        <v>1889</v>
      </c>
      <c r="F169" t="s">
        <v>1890</v>
      </c>
      <c r="G169" t="s">
        <v>1891</v>
      </c>
      <c r="H169" t="s">
        <v>2150</v>
      </c>
      <c r="I169" t="s">
        <v>1168</v>
      </c>
      <c r="J169" t="s">
        <v>1888</v>
      </c>
      <c r="K169" t="s">
        <v>1889</v>
      </c>
      <c r="L169" t="s">
        <v>1890</v>
      </c>
      <c r="M169" t="s">
        <v>1891</v>
      </c>
    </row>
    <row r="170" spans="1:13" x14ac:dyDescent="0.25">
      <c r="A170" t="s">
        <v>481</v>
      </c>
      <c r="B170" t="s">
        <v>1997</v>
      </c>
      <c r="C170" t="s">
        <v>1168</v>
      </c>
      <c r="D170" t="s">
        <v>1888</v>
      </c>
      <c r="E170" t="s">
        <v>1889</v>
      </c>
      <c r="F170" t="s">
        <v>1890</v>
      </c>
      <c r="G170" t="s">
        <v>1891</v>
      </c>
      <c r="H170" t="s">
        <v>284</v>
      </c>
      <c r="I170" t="s">
        <v>1258</v>
      </c>
      <c r="J170" t="s">
        <v>1888</v>
      </c>
      <c r="K170" t="s">
        <v>1889</v>
      </c>
      <c r="L170" t="s">
        <v>1890</v>
      </c>
      <c r="M170" t="s">
        <v>1891</v>
      </c>
    </row>
    <row r="171" spans="1:13" x14ac:dyDescent="0.25">
      <c r="A171" t="s">
        <v>485</v>
      </c>
      <c r="B171" t="s">
        <v>1997</v>
      </c>
      <c r="C171" t="s">
        <v>1168</v>
      </c>
      <c r="D171" t="s">
        <v>1888</v>
      </c>
      <c r="E171" t="s">
        <v>1889</v>
      </c>
      <c r="F171" t="s">
        <v>1890</v>
      </c>
      <c r="G171" t="s">
        <v>1891</v>
      </c>
      <c r="H171" t="s">
        <v>132</v>
      </c>
      <c r="I171" t="s">
        <v>1258</v>
      </c>
      <c r="J171" t="s">
        <v>1888</v>
      </c>
      <c r="K171" t="s">
        <v>1889</v>
      </c>
      <c r="L171" t="s">
        <v>1890</v>
      </c>
      <c r="M171" t="s">
        <v>1891</v>
      </c>
    </row>
    <row r="172" spans="1:13" x14ac:dyDescent="0.25">
      <c r="A172" t="s">
        <v>488</v>
      </c>
      <c r="B172" t="s">
        <v>1997</v>
      </c>
      <c r="C172" t="s">
        <v>1168</v>
      </c>
      <c r="D172" t="s">
        <v>1888</v>
      </c>
      <c r="E172" t="s">
        <v>1889</v>
      </c>
      <c r="F172" t="s">
        <v>1890</v>
      </c>
      <c r="G172" t="s">
        <v>1891</v>
      </c>
      <c r="H172" t="s">
        <v>2968</v>
      </c>
      <c r="I172" t="s">
        <v>1258</v>
      </c>
      <c r="J172" t="s">
        <v>1888</v>
      </c>
      <c r="K172" t="s">
        <v>1889</v>
      </c>
      <c r="L172" t="s">
        <v>1890</v>
      </c>
      <c r="M172" t="s">
        <v>1891</v>
      </c>
    </row>
    <row r="173" spans="1:13" x14ac:dyDescent="0.25">
      <c r="A173" t="s">
        <v>490</v>
      </c>
      <c r="B173" t="s">
        <v>1997</v>
      </c>
      <c r="C173" t="s">
        <v>1168</v>
      </c>
      <c r="D173" t="s">
        <v>1888</v>
      </c>
      <c r="E173" t="s">
        <v>1889</v>
      </c>
      <c r="F173" t="s">
        <v>1890</v>
      </c>
      <c r="G173" t="s">
        <v>1891</v>
      </c>
      <c r="H173" t="s">
        <v>386</v>
      </c>
      <c r="I173" t="s">
        <v>1258</v>
      </c>
      <c r="J173" t="s">
        <v>1888</v>
      </c>
      <c r="K173" t="s">
        <v>1889</v>
      </c>
      <c r="L173" t="s">
        <v>1890</v>
      </c>
      <c r="M173" t="s">
        <v>1891</v>
      </c>
    </row>
    <row r="174" spans="1:13" x14ac:dyDescent="0.25">
      <c r="A174" t="s">
        <v>492</v>
      </c>
      <c r="B174" t="s">
        <v>1997</v>
      </c>
      <c r="C174" t="s">
        <v>1168</v>
      </c>
      <c r="D174" t="s">
        <v>1888</v>
      </c>
      <c r="E174" t="s">
        <v>1889</v>
      </c>
      <c r="F174" t="s">
        <v>1890</v>
      </c>
      <c r="G174" t="s">
        <v>1891</v>
      </c>
      <c r="H174" t="s">
        <v>466</v>
      </c>
      <c r="I174" t="s">
        <v>1258</v>
      </c>
      <c r="J174" t="s">
        <v>1888</v>
      </c>
      <c r="K174" t="s">
        <v>1889</v>
      </c>
      <c r="L174" t="s">
        <v>1890</v>
      </c>
      <c r="M174" t="s">
        <v>1891</v>
      </c>
    </row>
    <row r="175" spans="1:13" x14ac:dyDescent="0.25">
      <c r="A175" t="s">
        <v>494</v>
      </c>
      <c r="B175" t="s">
        <v>2039</v>
      </c>
      <c r="C175" t="s">
        <v>1168</v>
      </c>
      <c r="D175" t="s">
        <v>1888</v>
      </c>
      <c r="E175" t="s">
        <v>1889</v>
      </c>
      <c r="F175" t="s">
        <v>1890</v>
      </c>
      <c r="G175" t="s">
        <v>1891</v>
      </c>
      <c r="H175" t="s">
        <v>2435</v>
      </c>
      <c r="I175" t="s">
        <v>1168</v>
      </c>
      <c r="J175" t="s">
        <v>1888</v>
      </c>
      <c r="K175" t="s">
        <v>1889</v>
      </c>
      <c r="L175" t="s">
        <v>1890</v>
      </c>
      <c r="M175" t="s">
        <v>1891</v>
      </c>
    </row>
    <row r="176" spans="1:13" x14ac:dyDescent="0.25">
      <c r="A176" t="s">
        <v>496</v>
      </c>
      <c r="B176" t="s">
        <v>2111</v>
      </c>
      <c r="C176" t="s">
        <v>1168</v>
      </c>
      <c r="D176" t="s">
        <v>1888</v>
      </c>
      <c r="E176" t="s">
        <v>1889</v>
      </c>
      <c r="F176" t="s">
        <v>1890</v>
      </c>
      <c r="G176" t="s">
        <v>1891</v>
      </c>
      <c r="H176" t="s">
        <v>2197</v>
      </c>
      <c r="I176" t="s">
        <v>1168</v>
      </c>
      <c r="J176" t="s">
        <v>1888</v>
      </c>
      <c r="K176" t="s">
        <v>1889</v>
      </c>
      <c r="L176" t="s">
        <v>1890</v>
      </c>
      <c r="M176" t="s">
        <v>1891</v>
      </c>
    </row>
    <row r="177" spans="1:13" x14ac:dyDescent="0.25">
      <c r="A177" t="s">
        <v>499</v>
      </c>
      <c r="B177" t="s">
        <v>2114</v>
      </c>
      <c r="C177" t="s">
        <v>1168</v>
      </c>
      <c r="D177" t="s">
        <v>1888</v>
      </c>
      <c r="E177" t="s">
        <v>1889</v>
      </c>
      <c r="F177" t="s">
        <v>1890</v>
      </c>
      <c r="G177" t="s">
        <v>1891</v>
      </c>
      <c r="H177" t="s">
        <v>2159</v>
      </c>
      <c r="I177" t="s">
        <v>1168</v>
      </c>
      <c r="J177" t="s">
        <v>1888</v>
      </c>
      <c r="K177" t="s">
        <v>1889</v>
      </c>
      <c r="L177" t="s">
        <v>1890</v>
      </c>
      <c r="M177" t="s">
        <v>1891</v>
      </c>
    </row>
    <row r="178" spans="1:13" x14ac:dyDescent="0.25">
      <c r="A178" t="s">
        <v>502</v>
      </c>
      <c r="B178" t="s">
        <v>2111</v>
      </c>
      <c r="C178" t="s">
        <v>1168</v>
      </c>
      <c r="D178" t="s">
        <v>1888</v>
      </c>
      <c r="E178" t="s">
        <v>1889</v>
      </c>
      <c r="F178" t="s">
        <v>1890</v>
      </c>
      <c r="G178" t="s">
        <v>1891</v>
      </c>
      <c r="H178" t="s">
        <v>2159</v>
      </c>
      <c r="I178" t="s">
        <v>1168</v>
      </c>
      <c r="J178" t="s">
        <v>1888</v>
      </c>
      <c r="K178" t="s">
        <v>1889</v>
      </c>
      <c r="L178" t="s">
        <v>1890</v>
      </c>
      <c r="M178" t="s">
        <v>1891</v>
      </c>
    </row>
    <row r="179" spans="1:13" x14ac:dyDescent="0.25">
      <c r="A179" t="s">
        <v>505</v>
      </c>
      <c r="B179" t="s">
        <v>2174</v>
      </c>
      <c r="C179" t="s">
        <v>1168</v>
      </c>
      <c r="D179" t="s">
        <v>1888</v>
      </c>
      <c r="E179" t="s">
        <v>1889</v>
      </c>
      <c r="F179" t="s">
        <v>1890</v>
      </c>
      <c r="G179" t="s">
        <v>1891</v>
      </c>
      <c r="H179" t="s">
        <v>2252</v>
      </c>
      <c r="I179" t="s">
        <v>1168</v>
      </c>
      <c r="J179" t="s">
        <v>1888</v>
      </c>
      <c r="K179" t="s">
        <v>1889</v>
      </c>
      <c r="L179" t="s">
        <v>1890</v>
      </c>
      <c r="M179" t="s">
        <v>1891</v>
      </c>
    </row>
    <row r="180" spans="1:13" x14ac:dyDescent="0.25">
      <c r="A180" t="s">
        <v>508</v>
      </c>
      <c r="B180" t="s">
        <v>2171</v>
      </c>
      <c r="C180" t="s">
        <v>1168</v>
      </c>
      <c r="D180" t="s">
        <v>1888</v>
      </c>
      <c r="E180" t="s">
        <v>1889</v>
      </c>
      <c r="F180" t="s">
        <v>1890</v>
      </c>
      <c r="G180" t="s">
        <v>1891</v>
      </c>
      <c r="H180" t="s">
        <v>2248</v>
      </c>
      <c r="I180" t="s">
        <v>1168</v>
      </c>
      <c r="J180" t="s">
        <v>1888</v>
      </c>
      <c r="K180" t="s">
        <v>1889</v>
      </c>
      <c r="L180" t="s">
        <v>1890</v>
      </c>
      <c r="M180" t="s">
        <v>1891</v>
      </c>
    </row>
    <row r="181" spans="1:13" x14ac:dyDescent="0.25">
      <c r="A181" t="s">
        <v>511</v>
      </c>
      <c r="B181" t="s">
        <v>2165</v>
      </c>
      <c r="C181" t="s">
        <v>1168</v>
      </c>
      <c r="D181" t="s">
        <v>1888</v>
      </c>
      <c r="E181" t="s">
        <v>1889</v>
      </c>
      <c r="F181" t="s">
        <v>1890</v>
      </c>
      <c r="G181" t="s">
        <v>1891</v>
      </c>
      <c r="H181" t="s">
        <v>2248</v>
      </c>
      <c r="I181" t="s">
        <v>1168</v>
      </c>
      <c r="J181" t="s">
        <v>1888</v>
      </c>
      <c r="K181" t="s">
        <v>1889</v>
      </c>
      <c r="L181" t="s">
        <v>1890</v>
      </c>
      <c r="M181" t="s">
        <v>1891</v>
      </c>
    </row>
    <row r="182" spans="1:13" x14ac:dyDescent="0.25">
      <c r="A182" t="s">
        <v>514</v>
      </c>
      <c r="B182" t="s">
        <v>2496</v>
      </c>
      <c r="C182" t="s">
        <v>1168</v>
      </c>
      <c r="D182" t="s">
        <v>1888</v>
      </c>
      <c r="E182" t="s">
        <v>1889</v>
      </c>
      <c r="F182" t="s">
        <v>1890</v>
      </c>
      <c r="G182" t="s">
        <v>1891</v>
      </c>
      <c r="H182" t="s">
        <v>2174</v>
      </c>
      <c r="I182" t="s">
        <v>1168</v>
      </c>
      <c r="J182" t="s">
        <v>1888</v>
      </c>
      <c r="K182" t="s">
        <v>1889</v>
      </c>
      <c r="L182" t="s">
        <v>1890</v>
      </c>
      <c r="M182" t="s">
        <v>1891</v>
      </c>
    </row>
    <row r="183" spans="1:13" x14ac:dyDescent="0.25">
      <c r="A183" t="s">
        <v>517</v>
      </c>
      <c r="B183" t="s">
        <v>2174</v>
      </c>
      <c r="C183" t="s">
        <v>1168</v>
      </c>
      <c r="D183" t="s">
        <v>1888</v>
      </c>
      <c r="E183" t="s">
        <v>1889</v>
      </c>
      <c r="F183" t="s">
        <v>1890</v>
      </c>
      <c r="G183" t="s">
        <v>1891</v>
      </c>
      <c r="H183" t="s">
        <v>2248</v>
      </c>
      <c r="I183" t="s">
        <v>1168</v>
      </c>
      <c r="J183" t="s">
        <v>1888</v>
      </c>
      <c r="K183" t="s">
        <v>1889</v>
      </c>
      <c r="L183" t="s">
        <v>1890</v>
      </c>
      <c r="M183" t="s">
        <v>1891</v>
      </c>
    </row>
    <row r="184" spans="1:13" x14ac:dyDescent="0.25">
      <c r="A184" t="s">
        <v>520</v>
      </c>
      <c r="B184" t="s">
        <v>2168</v>
      </c>
      <c r="C184" t="s">
        <v>1168</v>
      </c>
      <c r="D184" t="s">
        <v>1888</v>
      </c>
      <c r="E184" t="s">
        <v>1889</v>
      </c>
      <c r="F184" t="s">
        <v>1890</v>
      </c>
      <c r="G184" t="s">
        <v>1891</v>
      </c>
      <c r="H184" t="s">
        <v>2248</v>
      </c>
      <c r="I184" t="s">
        <v>1168</v>
      </c>
      <c r="J184" t="s">
        <v>1888</v>
      </c>
      <c r="K184" t="s">
        <v>1889</v>
      </c>
      <c r="L184" t="s">
        <v>1890</v>
      </c>
      <c r="M184" t="s">
        <v>1891</v>
      </c>
    </row>
    <row r="185" spans="1:13" x14ac:dyDescent="0.25">
      <c r="A185" t="s">
        <v>523</v>
      </c>
      <c r="B185" t="s">
        <v>2252</v>
      </c>
      <c r="C185" t="s">
        <v>1168</v>
      </c>
      <c r="D185" t="s">
        <v>1888</v>
      </c>
      <c r="E185" t="s">
        <v>1889</v>
      </c>
      <c r="F185" t="s">
        <v>1890</v>
      </c>
      <c r="G185" t="s">
        <v>1891</v>
      </c>
      <c r="H185" t="s">
        <v>2168</v>
      </c>
      <c r="I185" t="s">
        <v>1168</v>
      </c>
      <c r="J185" t="s">
        <v>1888</v>
      </c>
      <c r="K185" t="s">
        <v>1889</v>
      </c>
      <c r="L185" t="s">
        <v>1890</v>
      </c>
      <c r="M185" t="s">
        <v>1891</v>
      </c>
    </row>
    <row r="186" spans="1:13" x14ac:dyDescent="0.25">
      <c r="A186" t="s">
        <v>526</v>
      </c>
      <c r="B186" t="s">
        <v>2258</v>
      </c>
      <c r="C186" t="s">
        <v>1168</v>
      </c>
      <c r="D186" t="s">
        <v>1888</v>
      </c>
      <c r="E186" t="s">
        <v>1889</v>
      </c>
      <c r="F186" t="s">
        <v>1890</v>
      </c>
      <c r="G186" t="s">
        <v>1891</v>
      </c>
      <c r="H186" t="s">
        <v>2168</v>
      </c>
      <c r="I186" t="s">
        <v>1168</v>
      </c>
      <c r="J186" t="s">
        <v>1888</v>
      </c>
      <c r="K186" t="s">
        <v>1889</v>
      </c>
      <c r="L186" t="s">
        <v>1890</v>
      </c>
      <c r="M186" t="s">
        <v>1891</v>
      </c>
    </row>
    <row r="187" spans="1:13" x14ac:dyDescent="0.25">
      <c r="A187" t="s">
        <v>529</v>
      </c>
      <c r="B187" t="s">
        <v>3082</v>
      </c>
      <c r="C187" t="s">
        <v>1168</v>
      </c>
      <c r="D187" t="s">
        <v>1888</v>
      </c>
      <c r="E187" t="s">
        <v>1889</v>
      </c>
      <c r="F187" t="s">
        <v>1890</v>
      </c>
      <c r="G187" t="s">
        <v>1891</v>
      </c>
      <c r="H187" t="s">
        <v>2165</v>
      </c>
      <c r="I187" t="s">
        <v>1168</v>
      </c>
      <c r="J187" t="s">
        <v>1888</v>
      </c>
      <c r="K187" t="s">
        <v>1889</v>
      </c>
      <c r="L187" t="s">
        <v>1890</v>
      </c>
      <c r="M187" t="s">
        <v>1891</v>
      </c>
    </row>
    <row r="188" spans="1:13" x14ac:dyDescent="0.25">
      <c r="A188" t="s">
        <v>532</v>
      </c>
      <c r="B188" t="s">
        <v>2305</v>
      </c>
      <c r="C188" t="s">
        <v>1168</v>
      </c>
      <c r="D188" t="s">
        <v>1888</v>
      </c>
      <c r="E188" t="s">
        <v>1889</v>
      </c>
      <c r="F188" t="s">
        <v>1890</v>
      </c>
      <c r="G188" t="s">
        <v>1891</v>
      </c>
      <c r="H188" t="s">
        <v>2165</v>
      </c>
      <c r="I188" t="s">
        <v>1168</v>
      </c>
      <c r="J188" t="s">
        <v>1888</v>
      </c>
      <c r="K188" t="s">
        <v>1889</v>
      </c>
      <c r="L188" t="s">
        <v>1890</v>
      </c>
      <c r="M188" t="s">
        <v>1891</v>
      </c>
    </row>
    <row r="189" spans="1:13" x14ac:dyDescent="0.25">
      <c r="A189" t="s">
        <v>535</v>
      </c>
      <c r="B189" t="s">
        <v>2021</v>
      </c>
      <c r="C189" t="s">
        <v>1168</v>
      </c>
      <c r="D189" t="s">
        <v>1888</v>
      </c>
      <c r="E189" t="s">
        <v>1889</v>
      </c>
      <c r="F189" t="s">
        <v>1890</v>
      </c>
      <c r="G189" t="s">
        <v>1891</v>
      </c>
      <c r="H189" t="s">
        <v>2165</v>
      </c>
      <c r="I189" t="s">
        <v>1168</v>
      </c>
      <c r="J189" t="s">
        <v>1888</v>
      </c>
      <c r="K189" t="s">
        <v>1889</v>
      </c>
      <c r="L189" t="s">
        <v>1890</v>
      </c>
      <c r="M189" t="s">
        <v>1891</v>
      </c>
    </row>
    <row r="190" spans="1:13" x14ac:dyDescent="0.25">
      <c r="A190" t="s">
        <v>536</v>
      </c>
      <c r="B190" t="s">
        <v>3082</v>
      </c>
      <c r="C190" t="s">
        <v>1168</v>
      </c>
      <c r="D190" t="s">
        <v>1888</v>
      </c>
      <c r="E190" t="s">
        <v>1889</v>
      </c>
      <c r="F190" t="s">
        <v>1890</v>
      </c>
      <c r="G190" t="s">
        <v>1891</v>
      </c>
      <c r="H190" t="s">
        <v>2021</v>
      </c>
      <c r="I190" t="s">
        <v>1168</v>
      </c>
      <c r="J190" t="s">
        <v>1888</v>
      </c>
      <c r="K190" t="s">
        <v>1889</v>
      </c>
      <c r="L190" t="s">
        <v>1890</v>
      </c>
      <c r="M190" t="s">
        <v>1891</v>
      </c>
    </row>
    <row r="191" spans="1:13" x14ac:dyDescent="0.25">
      <c r="A191" t="s">
        <v>537</v>
      </c>
      <c r="B191" t="s">
        <v>2958</v>
      </c>
      <c r="C191" t="s">
        <v>1168</v>
      </c>
      <c r="D191" t="s">
        <v>1888</v>
      </c>
      <c r="E191" t="s">
        <v>1889</v>
      </c>
      <c r="F191" t="s">
        <v>1890</v>
      </c>
      <c r="G191" t="s">
        <v>1891</v>
      </c>
      <c r="H191" t="s">
        <v>2191</v>
      </c>
      <c r="I191" t="s">
        <v>1168</v>
      </c>
      <c r="J191" t="s">
        <v>1888</v>
      </c>
      <c r="K191" t="s">
        <v>1889</v>
      </c>
      <c r="L191" t="s">
        <v>1890</v>
      </c>
      <c r="M191" t="s">
        <v>1891</v>
      </c>
    </row>
    <row r="192" spans="1:13" x14ac:dyDescent="0.25">
      <c r="A192" t="s">
        <v>538</v>
      </c>
      <c r="B192" t="s">
        <v>3093</v>
      </c>
      <c r="C192" t="s">
        <v>1168</v>
      </c>
      <c r="D192" t="s">
        <v>1888</v>
      </c>
      <c r="E192" t="s">
        <v>1889</v>
      </c>
      <c r="F192" t="s">
        <v>1890</v>
      </c>
      <c r="G192" t="s">
        <v>1891</v>
      </c>
      <c r="H192" t="s">
        <v>2015</v>
      </c>
      <c r="I192" t="s">
        <v>1168</v>
      </c>
      <c r="J192" t="s">
        <v>1888</v>
      </c>
      <c r="K192" t="s">
        <v>1889</v>
      </c>
      <c r="L192" t="s">
        <v>1890</v>
      </c>
      <c r="M192" t="s">
        <v>1891</v>
      </c>
    </row>
    <row r="193" spans="1:13" x14ac:dyDescent="0.25">
      <c r="A193" t="s">
        <v>541</v>
      </c>
      <c r="B193" t="s">
        <v>3082</v>
      </c>
      <c r="C193" t="s">
        <v>1168</v>
      </c>
      <c r="D193" t="s">
        <v>1888</v>
      </c>
      <c r="E193" t="s">
        <v>1889</v>
      </c>
      <c r="F193" t="s">
        <v>1890</v>
      </c>
      <c r="G193" t="s">
        <v>1891</v>
      </c>
      <c r="H193" t="s">
        <v>2015</v>
      </c>
      <c r="I193" t="s">
        <v>1168</v>
      </c>
      <c r="J193" t="s">
        <v>1888</v>
      </c>
      <c r="K193" t="s">
        <v>1889</v>
      </c>
      <c r="L193" t="s">
        <v>1890</v>
      </c>
      <c r="M193" t="s">
        <v>1891</v>
      </c>
    </row>
    <row r="194" spans="1:13" x14ac:dyDescent="0.25">
      <c r="A194" t="s">
        <v>544</v>
      </c>
      <c r="B194" t="s">
        <v>2039</v>
      </c>
      <c r="C194" t="s">
        <v>1168</v>
      </c>
      <c r="D194" t="s">
        <v>1888</v>
      </c>
      <c r="E194" t="s">
        <v>1889</v>
      </c>
      <c r="F194" t="s">
        <v>1890</v>
      </c>
      <c r="G194" t="s">
        <v>1891</v>
      </c>
      <c r="H194" t="s">
        <v>2143</v>
      </c>
      <c r="I194" t="s">
        <v>1168</v>
      </c>
      <c r="J194" t="s">
        <v>1888</v>
      </c>
      <c r="K194" t="s">
        <v>1889</v>
      </c>
      <c r="L194" t="s">
        <v>1890</v>
      </c>
      <c r="M194" t="s">
        <v>1891</v>
      </c>
    </row>
    <row r="195" spans="1:13" x14ac:dyDescent="0.25">
      <c r="A195" t="s">
        <v>547</v>
      </c>
      <c r="B195" t="s">
        <v>2021</v>
      </c>
      <c r="C195" t="s">
        <v>1168</v>
      </c>
      <c r="D195" t="s">
        <v>1888</v>
      </c>
      <c r="E195" t="s">
        <v>1889</v>
      </c>
      <c r="F195" t="s">
        <v>1890</v>
      </c>
      <c r="G195" t="s">
        <v>1891</v>
      </c>
      <c r="H195" t="s">
        <v>284</v>
      </c>
      <c r="I195" t="s">
        <v>1258</v>
      </c>
      <c r="J195" t="s">
        <v>1888</v>
      </c>
      <c r="K195" t="s">
        <v>1889</v>
      </c>
      <c r="L195" t="s">
        <v>1890</v>
      </c>
      <c r="M195" t="s">
        <v>1891</v>
      </c>
    </row>
    <row r="196" spans="1:13" x14ac:dyDescent="0.25">
      <c r="A196" t="s">
        <v>548</v>
      </c>
      <c r="B196" t="s">
        <v>2021</v>
      </c>
      <c r="C196" t="s">
        <v>1168</v>
      </c>
      <c r="D196" t="s">
        <v>1888</v>
      </c>
      <c r="E196" t="s">
        <v>1889</v>
      </c>
      <c r="F196" t="s">
        <v>1890</v>
      </c>
      <c r="G196" t="s">
        <v>1891</v>
      </c>
      <c r="H196" t="s">
        <v>281</v>
      </c>
      <c r="I196" t="s">
        <v>1258</v>
      </c>
      <c r="J196" t="s">
        <v>1888</v>
      </c>
      <c r="K196" t="s">
        <v>1889</v>
      </c>
      <c r="L196" t="s">
        <v>1890</v>
      </c>
      <c r="M196" t="s">
        <v>1891</v>
      </c>
    </row>
    <row r="197" spans="1:13" x14ac:dyDescent="0.25">
      <c r="A197" t="s">
        <v>550</v>
      </c>
      <c r="B197" t="s">
        <v>2021</v>
      </c>
      <c r="C197" t="s">
        <v>1168</v>
      </c>
      <c r="D197" t="s">
        <v>1888</v>
      </c>
      <c r="E197" t="s">
        <v>1889</v>
      </c>
      <c r="F197" t="s">
        <v>1890</v>
      </c>
      <c r="G197" t="s">
        <v>1891</v>
      </c>
      <c r="H197" t="s">
        <v>77</v>
      </c>
      <c r="I197" t="s">
        <v>1258</v>
      </c>
      <c r="J197" t="s">
        <v>1888</v>
      </c>
      <c r="K197" t="s">
        <v>1889</v>
      </c>
      <c r="L197" t="s">
        <v>1890</v>
      </c>
      <c r="M197" t="s">
        <v>1891</v>
      </c>
    </row>
    <row r="198" spans="1:13" x14ac:dyDescent="0.25">
      <c r="A198" t="s">
        <v>551</v>
      </c>
      <c r="B198" t="s">
        <v>2102</v>
      </c>
      <c r="C198" t="s">
        <v>1168</v>
      </c>
      <c r="D198" t="s">
        <v>1888</v>
      </c>
      <c r="E198" t="s">
        <v>1889</v>
      </c>
      <c r="F198" t="s">
        <v>1890</v>
      </c>
      <c r="G198" t="s">
        <v>1891</v>
      </c>
      <c r="H198" t="s">
        <v>2021</v>
      </c>
      <c r="I198" t="s">
        <v>1168</v>
      </c>
      <c r="J198" t="s">
        <v>1888</v>
      </c>
      <c r="K198" t="s">
        <v>1889</v>
      </c>
      <c r="L198" t="s">
        <v>1890</v>
      </c>
      <c r="M198" t="s">
        <v>1891</v>
      </c>
    </row>
    <row r="199" spans="1:13" x14ac:dyDescent="0.25">
      <c r="A199" t="s">
        <v>552</v>
      </c>
      <c r="B199" t="s">
        <v>2039</v>
      </c>
      <c r="C199" t="s">
        <v>1168</v>
      </c>
      <c r="D199" t="s">
        <v>1888</v>
      </c>
      <c r="E199" t="s">
        <v>1889</v>
      </c>
      <c r="F199" t="s">
        <v>1890</v>
      </c>
      <c r="G199" t="s">
        <v>1891</v>
      </c>
      <c r="H199" t="s">
        <v>2021</v>
      </c>
      <c r="I199" t="s">
        <v>1168</v>
      </c>
      <c r="J199" t="s">
        <v>1888</v>
      </c>
      <c r="K199" t="s">
        <v>1889</v>
      </c>
      <c r="L199" t="s">
        <v>1890</v>
      </c>
      <c r="M199" t="s">
        <v>1891</v>
      </c>
    </row>
    <row r="200" spans="1:13" x14ac:dyDescent="0.25">
      <c r="A200" t="s">
        <v>554</v>
      </c>
      <c r="B200" t="s">
        <v>2063</v>
      </c>
      <c r="C200" t="s">
        <v>1168</v>
      </c>
      <c r="D200" t="s">
        <v>1888</v>
      </c>
      <c r="E200" t="s">
        <v>1889</v>
      </c>
      <c r="F200" t="s">
        <v>1890</v>
      </c>
      <c r="G200" t="s">
        <v>1891</v>
      </c>
      <c r="H200" t="s">
        <v>2968</v>
      </c>
      <c r="I200" t="s">
        <v>1258</v>
      </c>
      <c r="J200" t="s">
        <v>1888</v>
      </c>
      <c r="K200" t="s">
        <v>1889</v>
      </c>
      <c r="L200" t="s">
        <v>1890</v>
      </c>
      <c r="M200" t="s">
        <v>1891</v>
      </c>
    </row>
    <row r="201" spans="1:13" x14ac:dyDescent="0.25">
      <c r="A201" t="s">
        <v>557</v>
      </c>
      <c r="B201" t="s">
        <v>560</v>
      </c>
      <c r="C201" t="s">
        <v>1258</v>
      </c>
      <c r="D201" t="s">
        <v>1888</v>
      </c>
      <c r="E201" t="s">
        <v>1889</v>
      </c>
      <c r="F201" t="s">
        <v>1890</v>
      </c>
      <c r="G201" t="s">
        <v>1891</v>
      </c>
      <c r="H201" t="s">
        <v>2063</v>
      </c>
      <c r="I201" t="s">
        <v>1168</v>
      </c>
      <c r="J201" t="s">
        <v>1888</v>
      </c>
      <c r="K201" t="s">
        <v>1889</v>
      </c>
      <c r="L201" t="s">
        <v>1890</v>
      </c>
      <c r="M201" t="s">
        <v>1891</v>
      </c>
    </row>
    <row r="202" spans="1:13" x14ac:dyDescent="0.25">
      <c r="A202" t="s">
        <v>561</v>
      </c>
      <c r="B202" t="s">
        <v>2208</v>
      </c>
      <c r="C202" t="s">
        <v>1168</v>
      </c>
      <c r="D202" t="s">
        <v>1888</v>
      </c>
      <c r="E202" t="s">
        <v>1889</v>
      </c>
      <c r="F202" t="s">
        <v>1890</v>
      </c>
      <c r="G202" t="s">
        <v>1891</v>
      </c>
      <c r="H202" t="s">
        <v>2063</v>
      </c>
      <c r="I202" t="s">
        <v>1168</v>
      </c>
      <c r="J202" t="s">
        <v>1888</v>
      </c>
      <c r="K202" t="s">
        <v>1889</v>
      </c>
      <c r="L202" t="s">
        <v>1890</v>
      </c>
      <c r="M202" t="s">
        <v>1891</v>
      </c>
    </row>
    <row r="203" spans="1:13" x14ac:dyDescent="0.25">
      <c r="A203" t="s">
        <v>563</v>
      </c>
      <c r="B203" t="s">
        <v>2495</v>
      </c>
      <c r="C203" t="s">
        <v>1168</v>
      </c>
      <c r="D203" t="s">
        <v>1888</v>
      </c>
      <c r="E203" t="s">
        <v>1889</v>
      </c>
      <c r="F203" t="s">
        <v>1890</v>
      </c>
      <c r="G203" t="s">
        <v>1891</v>
      </c>
      <c r="H203" t="s">
        <v>2063</v>
      </c>
      <c r="I203" t="s">
        <v>1168</v>
      </c>
      <c r="J203" t="s">
        <v>1888</v>
      </c>
      <c r="K203" t="s">
        <v>1889</v>
      </c>
      <c r="L203" t="s">
        <v>1890</v>
      </c>
      <c r="M203" t="s">
        <v>1891</v>
      </c>
    </row>
    <row r="204" spans="1:13" x14ac:dyDescent="0.25">
      <c r="A204" t="s">
        <v>566</v>
      </c>
      <c r="B204" t="s">
        <v>2203</v>
      </c>
      <c r="C204" t="s">
        <v>1168</v>
      </c>
      <c r="D204" t="s">
        <v>1888</v>
      </c>
      <c r="E204" t="s">
        <v>1889</v>
      </c>
      <c r="F204" t="s">
        <v>1890</v>
      </c>
      <c r="G204" t="s">
        <v>1891</v>
      </c>
      <c r="H204" t="s">
        <v>2063</v>
      </c>
      <c r="I204" t="s">
        <v>1168</v>
      </c>
      <c r="J204" t="s">
        <v>1888</v>
      </c>
      <c r="K204" t="s">
        <v>1889</v>
      </c>
      <c r="L204" t="s">
        <v>1890</v>
      </c>
      <c r="M204" t="s">
        <v>1891</v>
      </c>
    </row>
    <row r="205" spans="1:13" x14ac:dyDescent="0.25">
      <c r="A205" t="s">
        <v>569</v>
      </c>
      <c r="B205" t="s">
        <v>2274</v>
      </c>
      <c r="C205" t="s">
        <v>1168</v>
      </c>
      <c r="D205" t="s">
        <v>1888</v>
      </c>
      <c r="E205" t="s">
        <v>1889</v>
      </c>
      <c r="F205" t="s">
        <v>1890</v>
      </c>
      <c r="G205" t="s">
        <v>1891</v>
      </c>
      <c r="H205" t="s">
        <v>2063</v>
      </c>
      <c r="I205" t="s">
        <v>1168</v>
      </c>
      <c r="J205" t="s">
        <v>1888</v>
      </c>
      <c r="K205" t="s">
        <v>1889</v>
      </c>
      <c r="L205" t="s">
        <v>1890</v>
      </c>
      <c r="M205" t="s">
        <v>1891</v>
      </c>
    </row>
    <row r="206" spans="1:13" x14ac:dyDescent="0.25">
      <c r="A206" t="s">
        <v>572</v>
      </c>
      <c r="B206" t="s">
        <v>2211</v>
      </c>
      <c r="C206" t="s">
        <v>1168</v>
      </c>
      <c r="D206" t="s">
        <v>1888</v>
      </c>
      <c r="E206" t="s">
        <v>1889</v>
      </c>
      <c r="F206" t="s">
        <v>1890</v>
      </c>
      <c r="G206" t="s">
        <v>1891</v>
      </c>
      <c r="H206" t="s">
        <v>2063</v>
      </c>
      <c r="I206" t="s">
        <v>1168</v>
      </c>
      <c r="J206" t="s">
        <v>1888</v>
      </c>
      <c r="K206" t="s">
        <v>1889</v>
      </c>
      <c r="L206" t="s">
        <v>1890</v>
      </c>
      <c r="M206" t="s">
        <v>1891</v>
      </c>
    </row>
    <row r="207" spans="1:13" x14ac:dyDescent="0.25">
      <c r="A207" t="s">
        <v>575</v>
      </c>
      <c r="B207" t="s">
        <v>2215</v>
      </c>
      <c r="C207" t="s">
        <v>1168</v>
      </c>
      <c r="D207" t="s">
        <v>1888</v>
      </c>
      <c r="E207" t="s">
        <v>1889</v>
      </c>
      <c r="F207" t="s">
        <v>1890</v>
      </c>
      <c r="G207" t="s">
        <v>1891</v>
      </c>
      <c r="H207" t="s">
        <v>2063</v>
      </c>
      <c r="I207" t="s">
        <v>1168</v>
      </c>
      <c r="J207" t="s">
        <v>1888</v>
      </c>
      <c r="K207" t="s">
        <v>1889</v>
      </c>
      <c r="L207" t="s">
        <v>1890</v>
      </c>
      <c r="M207" t="s">
        <v>1891</v>
      </c>
    </row>
    <row r="208" spans="1:13" x14ac:dyDescent="0.25">
      <c r="A208" t="s">
        <v>578</v>
      </c>
      <c r="B208" t="s">
        <v>2240</v>
      </c>
      <c r="C208" t="s">
        <v>1168</v>
      </c>
      <c r="D208" t="s">
        <v>1888</v>
      </c>
      <c r="E208" t="s">
        <v>1889</v>
      </c>
      <c r="F208" t="s">
        <v>1890</v>
      </c>
      <c r="G208" t="s">
        <v>1891</v>
      </c>
      <c r="H208" t="s">
        <v>2063</v>
      </c>
      <c r="I208" t="s">
        <v>1168</v>
      </c>
      <c r="J208" t="s">
        <v>1888</v>
      </c>
      <c r="K208" t="s">
        <v>1889</v>
      </c>
      <c r="L208" t="s">
        <v>1890</v>
      </c>
      <c r="M208" t="s">
        <v>1891</v>
      </c>
    </row>
    <row r="209" spans="1:13" x14ac:dyDescent="0.25">
      <c r="A209" t="s">
        <v>581</v>
      </c>
      <c r="B209" t="s">
        <v>2236</v>
      </c>
      <c r="C209" t="s">
        <v>1168</v>
      </c>
      <c r="D209" t="s">
        <v>1888</v>
      </c>
      <c r="E209" t="s">
        <v>1889</v>
      </c>
      <c r="F209" t="s">
        <v>1890</v>
      </c>
      <c r="G209" t="s">
        <v>1891</v>
      </c>
      <c r="H209" t="s">
        <v>2063</v>
      </c>
      <c r="I209" t="s">
        <v>1168</v>
      </c>
      <c r="J209" t="s">
        <v>1888</v>
      </c>
      <c r="K209" t="s">
        <v>1889</v>
      </c>
      <c r="L209" t="s">
        <v>1890</v>
      </c>
      <c r="M209" t="s">
        <v>1891</v>
      </c>
    </row>
    <row r="210" spans="1:13" x14ac:dyDescent="0.25">
      <c r="A210" t="s">
        <v>584</v>
      </c>
      <c r="B210" t="s">
        <v>2123</v>
      </c>
      <c r="C210" t="s">
        <v>1168</v>
      </c>
      <c r="D210" t="s">
        <v>1888</v>
      </c>
      <c r="E210" t="s">
        <v>1889</v>
      </c>
      <c r="F210" t="s">
        <v>1890</v>
      </c>
      <c r="G210" t="s">
        <v>1891</v>
      </c>
      <c r="H210" t="s">
        <v>2063</v>
      </c>
      <c r="I210" t="s">
        <v>1168</v>
      </c>
      <c r="J210" t="s">
        <v>1888</v>
      </c>
      <c r="K210" t="s">
        <v>1889</v>
      </c>
      <c r="L210" t="s">
        <v>1890</v>
      </c>
      <c r="M210" t="s">
        <v>1891</v>
      </c>
    </row>
    <row r="211" spans="1:13" x14ac:dyDescent="0.25">
      <c r="A211" t="s">
        <v>587</v>
      </c>
      <c r="B211" t="s">
        <v>2229</v>
      </c>
      <c r="C211" t="s">
        <v>1168</v>
      </c>
      <c r="D211" t="s">
        <v>1888</v>
      </c>
      <c r="E211" t="s">
        <v>1889</v>
      </c>
      <c r="F211" t="s">
        <v>1890</v>
      </c>
      <c r="G211" t="s">
        <v>1891</v>
      </c>
      <c r="H211" t="s">
        <v>2063</v>
      </c>
      <c r="I211" t="s">
        <v>1168</v>
      </c>
      <c r="J211" t="s">
        <v>1888</v>
      </c>
      <c r="K211" t="s">
        <v>1889</v>
      </c>
      <c r="L211" t="s">
        <v>1890</v>
      </c>
      <c r="M211" t="s">
        <v>1891</v>
      </c>
    </row>
    <row r="212" spans="1:13" x14ac:dyDescent="0.25">
      <c r="A212" t="s">
        <v>590</v>
      </c>
      <c r="B212" t="s">
        <v>2232</v>
      </c>
      <c r="C212" t="s">
        <v>1168</v>
      </c>
      <c r="D212" t="s">
        <v>1888</v>
      </c>
      <c r="E212" t="s">
        <v>1889</v>
      </c>
      <c r="F212" t="s">
        <v>1890</v>
      </c>
      <c r="G212" t="s">
        <v>1891</v>
      </c>
      <c r="H212" t="s">
        <v>2063</v>
      </c>
      <c r="I212" t="s">
        <v>1168</v>
      </c>
      <c r="J212" t="s">
        <v>1888</v>
      </c>
      <c r="K212" t="s">
        <v>1889</v>
      </c>
      <c r="L212" t="s">
        <v>1890</v>
      </c>
      <c r="M212" t="s">
        <v>1891</v>
      </c>
    </row>
    <row r="213" spans="1:13" x14ac:dyDescent="0.25">
      <c r="A213" t="s">
        <v>593</v>
      </c>
      <c r="B213" t="s">
        <v>2117</v>
      </c>
      <c r="C213" t="s">
        <v>1168</v>
      </c>
      <c r="D213" t="s">
        <v>1888</v>
      </c>
      <c r="E213" t="s">
        <v>1889</v>
      </c>
      <c r="F213" t="s">
        <v>1890</v>
      </c>
      <c r="G213" t="s">
        <v>1891</v>
      </c>
      <c r="H213" t="s">
        <v>2063</v>
      </c>
      <c r="I213" t="s">
        <v>1168</v>
      </c>
      <c r="J213" t="s">
        <v>1888</v>
      </c>
      <c r="K213" t="s">
        <v>1889</v>
      </c>
      <c r="L213" t="s">
        <v>1890</v>
      </c>
      <c r="M213" t="s">
        <v>1891</v>
      </c>
    </row>
    <row r="214" spans="1:13" x14ac:dyDescent="0.25">
      <c r="A214" t="s">
        <v>596</v>
      </c>
      <c r="B214" t="s">
        <v>2150</v>
      </c>
      <c r="C214" t="s">
        <v>1168</v>
      </c>
      <c r="D214" t="s">
        <v>1888</v>
      </c>
      <c r="E214" t="s">
        <v>1889</v>
      </c>
      <c r="F214" t="s">
        <v>1890</v>
      </c>
      <c r="G214" t="s">
        <v>1891</v>
      </c>
      <c r="H214" t="s">
        <v>2957</v>
      </c>
      <c r="I214" t="s">
        <v>1168</v>
      </c>
      <c r="J214" t="s">
        <v>1888</v>
      </c>
      <c r="K214" t="s">
        <v>1889</v>
      </c>
      <c r="L214" t="s">
        <v>1890</v>
      </c>
      <c r="M214" t="s">
        <v>1891</v>
      </c>
    </row>
    <row r="215" spans="1:13" x14ac:dyDescent="0.25">
      <c r="A215" t="s">
        <v>601</v>
      </c>
      <c r="B215" t="s">
        <v>2968</v>
      </c>
      <c r="C215" t="s">
        <v>1258</v>
      </c>
      <c r="D215" t="s">
        <v>1888</v>
      </c>
      <c r="E215" t="s">
        <v>1889</v>
      </c>
      <c r="F215" t="s">
        <v>1890</v>
      </c>
      <c r="G215" t="s">
        <v>1891</v>
      </c>
      <c r="H215" t="s">
        <v>2021</v>
      </c>
      <c r="I215" t="s">
        <v>1168</v>
      </c>
      <c r="J215" t="s">
        <v>1888</v>
      </c>
      <c r="K215" t="s">
        <v>1889</v>
      </c>
      <c r="L215" t="s">
        <v>1890</v>
      </c>
      <c r="M215" t="s">
        <v>1891</v>
      </c>
    </row>
    <row r="216" spans="1:13" x14ac:dyDescent="0.25">
      <c r="A216" t="s">
        <v>605</v>
      </c>
      <c r="B216" t="s">
        <v>2435</v>
      </c>
      <c r="C216" t="s">
        <v>1168</v>
      </c>
      <c r="D216" t="s">
        <v>1888</v>
      </c>
      <c r="E216" t="s">
        <v>1889</v>
      </c>
      <c r="F216" t="s">
        <v>1890</v>
      </c>
      <c r="G216" t="s">
        <v>1891</v>
      </c>
      <c r="H216" t="s">
        <v>2030</v>
      </c>
      <c r="I216" t="s">
        <v>1168</v>
      </c>
      <c r="J216" t="s">
        <v>1888</v>
      </c>
      <c r="K216" t="s">
        <v>1889</v>
      </c>
      <c r="L216" t="s">
        <v>1890</v>
      </c>
      <c r="M216" t="s">
        <v>1891</v>
      </c>
    </row>
    <row r="217" spans="1:13" x14ac:dyDescent="0.25">
      <c r="A217" t="s">
        <v>607</v>
      </c>
      <c r="B217" t="s">
        <v>2010</v>
      </c>
      <c r="C217" t="s">
        <v>1168</v>
      </c>
      <c r="D217" t="s">
        <v>1888</v>
      </c>
      <c r="E217" t="s">
        <v>1889</v>
      </c>
      <c r="F217" t="s">
        <v>1890</v>
      </c>
      <c r="G217" t="s">
        <v>1891</v>
      </c>
      <c r="H217" t="s">
        <v>2165</v>
      </c>
      <c r="I217" t="s">
        <v>1168</v>
      </c>
      <c r="J217" t="s">
        <v>1888</v>
      </c>
      <c r="K217" t="s">
        <v>1889</v>
      </c>
      <c r="L217" t="s">
        <v>1890</v>
      </c>
      <c r="M217" t="s">
        <v>1891</v>
      </c>
    </row>
    <row r="218" spans="1:13" x14ac:dyDescent="0.25">
      <c r="A218" t="s">
        <v>608</v>
      </c>
      <c r="B218" t="s">
        <v>3082</v>
      </c>
      <c r="C218" t="s">
        <v>1168</v>
      </c>
      <c r="D218" t="s">
        <v>1888</v>
      </c>
      <c r="E218" t="s">
        <v>1889</v>
      </c>
      <c r="F218" t="s">
        <v>1890</v>
      </c>
      <c r="G218" t="s">
        <v>1891</v>
      </c>
      <c r="H218" t="s">
        <v>2010</v>
      </c>
      <c r="I218" t="s">
        <v>1168</v>
      </c>
      <c r="J218" t="s">
        <v>1888</v>
      </c>
      <c r="K218" t="s">
        <v>1889</v>
      </c>
      <c r="L218" t="s">
        <v>1890</v>
      </c>
      <c r="M218" t="s">
        <v>1891</v>
      </c>
    </row>
    <row r="219" spans="1:13" x14ac:dyDescent="0.25">
      <c r="A219" t="s">
        <v>610</v>
      </c>
      <c r="B219" t="s">
        <v>3093</v>
      </c>
      <c r="C219" t="s">
        <v>1168</v>
      </c>
      <c r="D219" t="s">
        <v>1888</v>
      </c>
      <c r="E219" t="s">
        <v>1889</v>
      </c>
      <c r="F219" t="s">
        <v>1890</v>
      </c>
      <c r="G219" t="s">
        <v>1891</v>
      </c>
      <c r="H219" t="s">
        <v>2010</v>
      </c>
      <c r="I219" t="s">
        <v>1168</v>
      </c>
      <c r="J219" t="s">
        <v>1888</v>
      </c>
      <c r="K219" t="s">
        <v>1889</v>
      </c>
      <c r="L219" t="s">
        <v>1890</v>
      </c>
      <c r="M219" t="s">
        <v>1891</v>
      </c>
    </row>
    <row r="220" spans="1:13" x14ac:dyDescent="0.25">
      <c r="A220" t="s">
        <v>612</v>
      </c>
      <c r="B220" t="s">
        <v>2958</v>
      </c>
      <c r="C220" t="s">
        <v>1168</v>
      </c>
      <c r="D220" t="s">
        <v>1888</v>
      </c>
      <c r="E220" t="s">
        <v>1889</v>
      </c>
      <c r="F220" t="s">
        <v>1890</v>
      </c>
      <c r="G220" t="s">
        <v>1891</v>
      </c>
      <c r="H220" t="s">
        <v>3082</v>
      </c>
      <c r="I220" t="s">
        <v>1168</v>
      </c>
      <c r="J220" t="s">
        <v>1888</v>
      </c>
      <c r="K220" t="s">
        <v>1889</v>
      </c>
      <c r="L220" t="s">
        <v>1890</v>
      </c>
      <c r="M220" t="s">
        <v>1891</v>
      </c>
    </row>
    <row r="221" spans="1:13" x14ac:dyDescent="0.25">
      <c r="A221" t="s">
        <v>613</v>
      </c>
      <c r="B221" t="s">
        <v>2181</v>
      </c>
      <c r="C221" t="s">
        <v>1168</v>
      </c>
      <c r="D221" t="s">
        <v>1888</v>
      </c>
      <c r="E221" t="s">
        <v>1889</v>
      </c>
      <c r="F221" t="s">
        <v>1890</v>
      </c>
      <c r="G221" t="s">
        <v>1891</v>
      </c>
      <c r="H221" t="s">
        <v>2159</v>
      </c>
      <c r="I221" t="s">
        <v>1168</v>
      </c>
      <c r="J221" t="s">
        <v>1888</v>
      </c>
      <c r="K221" t="s">
        <v>1889</v>
      </c>
      <c r="L221" t="s">
        <v>1890</v>
      </c>
      <c r="M221" t="s">
        <v>1891</v>
      </c>
    </row>
    <row r="222" spans="1:13" x14ac:dyDescent="0.25">
      <c r="A222" t="s">
        <v>616</v>
      </c>
      <c r="B222" t="s">
        <v>2165</v>
      </c>
      <c r="C222" t="s">
        <v>1168</v>
      </c>
      <c r="D222" t="s">
        <v>1888</v>
      </c>
      <c r="E222" t="s">
        <v>1889</v>
      </c>
      <c r="F222" t="s">
        <v>1890</v>
      </c>
      <c r="G222" t="s">
        <v>1891</v>
      </c>
      <c r="H222" t="s">
        <v>2149</v>
      </c>
      <c r="I222" t="s">
        <v>1168</v>
      </c>
      <c r="J222" t="s">
        <v>1888</v>
      </c>
      <c r="K222" t="s">
        <v>1889</v>
      </c>
      <c r="L222" t="s">
        <v>1890</v>
      </c>
      <c r="M222" t="s">
        <v>1891</v>
      </c>
    </row>
    <row r="223" spans="1:13" x14ac:dyDescent="0.25">
      <c r="A223" t="s">
        <v>619</v>
      </c>
      <c r="B223" t="s">
        <v>2184</v>
      </c>
      <c r="C223" t="s">
        <v>1168</v>
      </c>
      <c r="D223" t="s">
        <v>1888</v>
      </c>
      <c r="E223" t="s">
        <v>1889</v>
      </c>
      <c r="F223" t="s">
        <v>1890</v>
      </c>
      <c r="G223" t="s">
        <v>1891</v>
      </c>
      <c r="H223" t="s">
        <v>2159</v>
      </c>
      <c r="I223" t="s">
        <v>1168</v>
      </c>
      <c r="J223" t="s">
        <v>1888</v>
      </c>
      <c r="K223" t="s">
        <v>1889</v>
      </c>
      <c r="L223" t="s">
        <v>1890</v>
      </c>
      <c r="M223" t="s">
        <v>1891</v>
      </c>
    </row>
    <row r="224" spans="1:13" x14ac:dyDescent="0.25">
      <c r="A224" t="s">
        <v>620</v>
      </c>
      <c r="B224" t="s">
        <v>2247</v>
      </c>
      <c r="C224" t="s">
        <v>1168</v>
      </c>
      <c r="D224" t="s">
        <v>1888</v>
      </c>
      <c r="E224" t="s">
        <v>1889</v>
      </c>
      <c r="F224" t="s">
        <v>1890</v>
      </c>
      <c r="G224" t="s">
        <v>1891</v>
      </c>
      <c r="H224" t="s">
        <v>2159</v>
      </c>
      <c r="I224" t="s">
        <v>1168</v>
      </c>
      <c r="J224" t="s">
        <v>1888</v>
      </c>
      <c r="K224" t="s">
        <v>1889</v>
      </c>
      <c r="L224" t="s">
        <v>1890</v>
      </c>
      <c r="M224" t="s">
        <v>1891</v>
      </c>
    </row>
    <row r="225" spans="1:13" x14ac:dyDescent="0.25">
      <c r="A225" t="s">
        <v>621</v>
      </c>
      <c r="B225" t="s">
        <v>2177</v>
      </c>
      <c r="C225" t="s">
        <v>1168</v>
      </c>
      <c r="D225" t="s">
        <v>1888</v>
      </c>
      <c r="E225" t="s">
        <v>1889</v>
      </c>
      <c r="F225" t="s">
        <v>1890</v>
      </c>
      <c r="G225" t="s">
        <v>1891</v>
      </c>
      <c r="H225" t="s">
        <v>2149</v>
      </c>
      <c r="I225" t="s">
        <v>1168</v>
      </c>
      <c r="J225" t="s">
        <v>1888</v>
      </c>
      <c r="K225" t="s">
        <v>1889</v>
      </c>
      <c r="L225" t="s">
        <v>1890</v>
      </c>
      <c r="M225" t="s">
        <v>1891</v>
      </c>
    </row>
    <row r="226" spans="1:13" x14ac:dyDescent="0.25">
      <c r="A226" t="s">
        <v>625</v>
      </c>
      <c r="B226" t="s">
        <v>2247</v>
      </c>
      <c r="C226" t="s">
        <v>1168</v>
      </c>
      <c r="D226" t="s">
        <v>1888</v>
      </c>
      <c r="E226" t="s">
        <v>1889</v>
      </c>
      <c r="F226" t="s">
        <v>1890</v>
      </c>
      <c r="G226" t="s">
        <v>1891</v>
      </c>
      <c r="H226" t="s">
        <v>2171</v>
      </c>
      <c r="I226" t="s">
        <v>1168</v>
      </c>
      <c r="J226" t="s">
        <v>1888</v>
      </c>
      <c r="K226" t="s">
        <v>1889</v>
      </c>
      <c r="L226" t="s">
        <v>1890</v>
      </c>
      <c r="M226" t="s">
        <v>1891</v>
      </c>
    </row>
    <row r="227" spans="1:13" x14ac:dyDescent="0.25">
      <c r="A227" t="s">
        <v>628</v>
      </c>
      <c r="B227" t="s">
        <v>2268</v>
      </c>
      <c r="C227" t="s">
        <v>1168</v>
      </c>
      <c r="D227" t="s">
        <v>1888</v>
      </c>
      <c r="E227" t="s">
        <v>1889</v>
      </c>
      <c r="F227" t="s">
        <v>1890</v>
      </c>
      <c r="G227" t="s">
        <v>1891</v>
      </c>
      <c r="H227" t="s">
        <v>2359</v>
      </c>
      <c r="I227" t="s">
        <v>1168</v>
      </c>
      <c r="J227" t="s">
        <v>1888</v>
      </c>
      <c r="K227" t="s">
        <v>1889</v>
      </c>
      <c r="L227" t="s">
        <v>1890</v>
      </c>
      <c r="M227" t="s">
        <v>1891</v>
      </c>
    </row>
    <row r="228" spans="1:13" x14ac:dyDescent="0.25">
      <c r="A228" t="s">
        <v>629</v>
      </c>
      <c r="B228" t="s">
        <v>631</v>
      </c>
      <c r="C228" t="s">
        <v>1269</v>
      </c>
      <c r="D228" t="s">
        <v>2200</v>
      </c>
      <c r="E228" t="s">
        <v>1889</v>
      </c>
      <c r="F228" t="s">
        <v>1890</v>
      </c>
      <c r="G228" t="s">
        <v>1891</v>
      </c>
      <c r="H228" t="s">
        <v>2063</v>
      </c>
      <c r="I228" t="s">
        <v>1168</v>
      </c>
      <c r="J228" t="s">
        <v>1888</v>
      </c>
      <c r="K228" t="s">
        <v>1889</v>
      </c>
      <c r="L228" t="s">
        <v>1890</v>
      </c>
      <c r="M228" t="s">
        <v>1891</v>
      </c>
    </row>
    <row r="229" spans="1:13" x14ac:dyDescent="0.25">
      <c r="A229" t="s">
        <v>633</v>
      </c>
      <c r="B229" t="s">
        <v>636</v>
      </c>
      <c r="C229" t="s">
        <v>1269</v>
      </c>
      <c r="D229" t="s">
        <v>2117</v>
      </c>
      <c r="E229" t="s">
        <v>1889</v>
      </c>
      <c r="F229" t="s">
        <v>1890</v>
      </c>
      <c r="G229" t="s">
        <v>1891</v>
      </c>
      <c r="H229" t="s">
        <v>631</v>
      </c>
      <c r="I229" t="s">
        <v>1269</v>
      </c>
      <c r="J229" t="s">
        <v>2200</v>
      </c>
      <c r="K229" t="s">
        <v>1889</v>
      </c>
      <c r="L229" t="s">
        <v>1890</v>
      </c>
      <c r="M229" t="s">
        <v>1891</v>
      </c>
    </row>
    <row r="230" spans="1:13" x14ac:dyDescent="0.25">
      <c r="A230" t="s">
        <v>637</v>
      </c>
      <c r="B230" t="s">
        <v>638</v>
      </c>
      <c r="C230" t="s">
        <v>1269</v>
      </c>
      <c r="D230" t="s">
        <v>2240</v>
      </c>
      <c r="E230" t="s">
        <v>1889</v>
      </c>
      <c r="F230" t="s">
        <v>1890</v>
      </c>
      <c r="G230" t="s">
        <v>1891</v>
      </c>
      <c r="H230" t="s">
        <v>2063</v>
      </c>
      <c r="I230" t="s">
        <v>1168</v>
      </c>
      <c r="J230" t="s">
        <v>1888</v>
      </c>
      <c r="K230" t="s">
        <v>1889</v>
      </c>
      <c r="L230" t="s">
        <v>1890</v>
      </c>
      <c r="M230" t="s">
        <v>1891</v>
      </c>
    </row>
    <row r="231" spans="1:13" x14ac:dyDescent="0.25">
      <c r="A231" t="s">
        <v>639</v>
      </c>
      <c r="B231" t="s">
        <v>636</v>
      </c>
      <c r="C231" t="s">
        <v>1269</v>
      </c>
      <c r="D231" t="s">
        <v>2117</v>
      </c>
      <c r="E231" t="s">
        <v>1889</v>
      </c>
      <c r="F231" t="s">
        <v>1890</v>
      </c>
      <c r="G231" t="s">
        <v>1891</v>
      </c>
      <c r="H231" t="s">
        <v>2063</v>
      </c>
      <c r="I231" t="s">
        <v>1168</v>
      </c>
      <c r="J231" t="s">
        <v>1888</v>
      </c>
      <c r="K231" t="s">
        <v>1889</v>
      </c>
      <c r="L231" t="s">
        <v>1890</v>
      </c>
      <c r="M231" t="s">
        <v>1891</v>
      </c>
    </row>
    <row r="232" spans="1:13" x14ac:dyDescent="0.25">
      <c r="A232" t="s">
        <v>640</v>
      </c>
      <c r="B232" t="s">
        <v>641</v>
      </c>
      <c r="C232" t="s">
        <v>1269</v>
      </c>
      <c r="D232" t="s">
        <v>2229</v>
      </c>
      <c r="E232" t="s">
        <v>1889</v>
      </c>
      <c r="F232" t="s">
        <v>1890</v>
      </c>
      <c r="G232" t="s">
        <v>1891</v>
      </c>
      <c r="H232" t="s">
        <v>2063</v>
      </c>
      <c r="I232" t="s">
        <v>1168</v>
      </c>
      <c r="J232" t="s">
        <v>1888</v>
      </c>
      <c r="K232" t="s">
        <v>1889</v>
      </c>
      <c r="L232" t="s">
        <v>1890</v>
      </c>
      <c r="M232" t="s">
        <v>1891</v>
      </c>
    </row>
    <row r="233" spans="1:13" x14ac:dyDescent="0.25">
      <c r="A233" t="s">
        <v>642</v>
      </c>
      <c r="B233" t="s">
        <v>643</v>
      </c>
      <c r="C233" t="s">
        <v>1269</v>
      </c>
      <c r="D233" t="s">
        <v>2232</v>
      </c>
      <c r="E233" t="s">
        <v>1889</v>
      </c>
      <c r="F233" t="s">
        <v>1890</v>
      </c>
      <c r="G233" t="s">
        <v>1891</v>
      </c>
      <c r="H233" t="s">
        <v>2063</v>
      </c>
      <c r="I233" t="s">
        <v>1168</v>
      </c>
      <c r="J233" t="s">
        <v>1888</v>
      </c>
      <c r="K233" t="s">
        <v>1889</v>
      </c>
      <c r="L233" t="s">
        <v>1890</v>
      </c>
      <c r="M233" t="s">
        <v>1891</v>
      </c>
    </row>
    <row r="234" spans="1:13" x14ac:dyDescent="0.25">
      <c r="A234" t="s">
        <v>644</v>
      </c>
      <c r="B234" t="s">
        <v>636</v>
      </c>
      <c r="C234" t="s">
        <v>1269</v>
      </c>
      <c r="D234" t="s">
        <v>2117</v>
      </c>
      <c r="E234" t="s">
        <v>1889</v>
      </c>
      <c r="F234" t="s">
        <v>1890</v>
      </c>
      <c r="G234" t="s">
        <v>1891</v>
      </c>
      <c r="H234" t="s">
        <v>646</v>
      </c>
      <c r="I234" t="s">
        <v>1269</v>
      </c>
      <c r="J234" t="s">
        <v>2332</v>
      </c>
      <c r="K234" t="s">
        <v>1889</v>
      </c>
      <c r="L234" t="s">
        <v>1890</v>
      </c>
      <c r="M234" t="s">
        <v>1891</v>
      </c>
    </row>
    <row r="235" spans="1:13" x14ac:dyDescent="0.25">
      <c r="A235" t="s">
        <v>647</v>
      </c>
      <c r="B235" t="s">
        <v>636</v>
      </c>
      <c r="C235" t="s">
        <v>1269</v>
      </c>
      <c r="D235" t="s">
        <v>2117</v>
      </c>
      <c r="E235" t="s">
        <v>1889</v>
      </c>
      <c r="F235" t="s">
        <v>1890</v>
      </c>
      <c r="G235" t="s">
        <v>1891</v>
      </c>
      <c r="H235" t="s">
        <v>2114</v>
      </c>
      <c r="I235" t="s">
        <v>1168</v>
      </c>
      <c r="J235" t="s">
        <v>1888</v>
      </c>
      <c r="K235" t="s">
        <v>1889</v>
      </c>
      <c r="L235" t="s">
        <v>1890</v>
      </c>
      <c r="M235" t="s">
        <v>1891</v>
      </c>
    </row>
    <row r="236" spans="1:13" x14ac:dyDescent="0.25">
      <c r="A236" t="s">
        <v>650</v>
      </c>
      <c r="B236" t="s">
        <v>636</v>
      </c>
      <c r="C236" t="s">
        <v>1269</v>
      </c>
      <c r="D236" t="s">
        <v>2117</v>
      </c>
      <c r="E236" t="s">
        <v>1889</v>
      </c>
      <c r="F236" t="s">
        <v>1890</v>
      </c>
      <c r="G236" t="s">
        <v>1891</v>
      </c>
      <c r="H236" t="s">
        <v>2957</v>
      </c>
      <c r="I236" t="s">
        <v>1168</v>
      </c>
      <c r="J236" t="s">
        <v>1888</v>
      </c>
      <c r="K236" t="s">
        <v>1889</v>
      </c>
      <c r="L236" t="s">
        <v>1890</v>
      </c>
      <c r="M236" t="s">
        <v>1891</v>
      </c>
    </row>
    <row r="237" spans="1:13" x14ac:dyDescent="0.25">
      <c r="A237" t="s">
        <v>653</v>
      </c>
      <c r="B237" t="s">
        <v>646</v>
      </c>
      <c r="C237" t="s">
        <v>1269</v>
      </c>
      <c r="D237" t="s">
        <v>2332</v>
      </c>
      <c r="E237" t="s">
        <v>1889</v>
      </c>
      <c r="F237" t="s">
        <v>1890</v>
      </c>
      <c r="G237" t="s">
        <v>1891</v>
      </c>
      <c r="H237" t="s">
        <v>655</v>
      </c>
      <c r="I237" t="s">
        <v>1269</v>
      </c>
      <c r="J237" t="s">
        <v>2408</v>
      </c>
      <c r="K237" t="s">
        <v>1889</v>
      </c>
      <c r="L237" t="s">
        <v>1890</v>
      </c>
      <c r="M237" t="s">
        <v>1891</v>
      </c>
    </row>
    <row r="238" spans="1:13" x14ac:dyDescent="0.25">
      <c r="A238" t="s">
        <v>656</v>
      </c>
      <c r="B238" t="s">
        <v>655</v>
      </c>
      <c r="C238" t="s">
        <v>1269</v>
      </c>
      <c r="D238" t="s">
        <v>2408</v>
      </c>
      <c r="E238" t="s">
        <v>1889</v>
      </c>
      <c r="F238" t="s">
        <v>1890</v>
      </c>
      <c r="G238" t="s">
        <v>1891</v>
      </c>
      <c r="H238" t="s">
        <v>2957</v>
      </c>
      <c r="I238" t="s">
        <v>1168</v>
      </c>
      <c r="J238" t="s">
        <v>1888</v>
      </c>
      <c r="K238" t="s">
        <v>1889</v>
      </c>
      <c r="L238" t="s">
        <v>1890</v>
      </c>
      <c r="M238" t="s">
        <v>1891</v>
      </c>
    </row>
    <row r="239" spans="1:13" x14ac:dyDescent="0.25">
      <c r="A239" t="s">
        <v>660</v>
      </c>
      <c r="B239" t="s">
        <v>646</v>
      </c>
      <c r="C239" t="s">
        <v>1269</v>
      </c>
      <c r="D239" t="s">
        <v>2332</v>
      </c>
      <c r="E239" t="s">
        <v>1889</v>
      </c>
      <c r="F239" t="s">
        <v>1890</v>
      </c>
      <c r="G239" t="s">
        <v>1891</v>
      </c>
      <c r="H239" t="s">
        <v>2957</v>
      </c>
      <c r="I239" t="s">
        <v>1168</v>
      </c>
      <c r="J239" t="s">
        <v>1888</v>
      </c>
      <c r="K239" t="s">
        <v>1889</v>
      </c>
      <c r="L239" t="s">
        <v>1890</v>
      </c>
      <c r="M239" t="s">
        <v>1891</v>
      </c>
    </row>
    <row r="240" spans="1:13" x14ac:dyDescent="0.25">
      <c r="A240" t="s">
        <v>663</v>
      </c>
      <c r="B240" t="s">
        <v>2244</v>
      </c>
      <c r="C240" t="s">
        <v>1168</v>
      </c>
      <c r="D240" t="s">
        <v>1888</v>
      </c>
      <c r="E240" t="s">
        <v>1889</v>
      </c>
      <c r="F240" t="s">
        <v>1890</v>
      </c>
      <c r="G240" t="s">
        <v>1891</v>
      </c>
      <c r="H240" t="s">
        <v>2208</v>
      </c>
      <c r="I240" t="s">
        <v>1168</v>
      </c>
      <c r="J240" t="s">
        <v>1888</v>
      </c>
      <c r="K240" t="s">
        <v>1889</v>
      </c>
      <c r="L240" t="s">
        <v>1890</v>
      </c>
      <c r="M240" t="s">
        <v>1891</v>
      </c>
    </row>
    <row r="241" spans="1:13" x14ac:dyDescent="0.25">
      <c r="A241" t="s">
        <v>664</v>
      </c>
      <c r="B241" t="s">
        <v>666</v>
      </c>
      <c r="C241" t="s">
        <v>1269</v>
      </c>
      <c r="D241" t="s">
        <v>2244</v>
      </c>
      <c r="E241" t="s">
        <v>1889</v>
      </c>
      <c r="F241" t="s">
        <v>1890</v>
      </c>
      <c r="G241" t="s">
        <v>1891</v>
      </c>
      <c r="H241" t="s">
        <v>667</v>
      </c>
      <c r="I241" t="s">
        <v>1269</v>
      </c>
      <c r="J241" t="s">
        <v>2215</v>
      </c>
      <c r="K241" t="s">
        <v>1889</v>
      </c>
      <c r="L241" t="s">
        <v>1890</v>
      </c>
      <c r="M241" t="s">
        <v>1891</v>
      </c>
    </row>
    <row r="242" spans="1:13" x14ac:dyDescent="0.25">
      <c r="A242" t="s">
        <v>668</v>
      </c>
      <c r="B242" t="s">
        <v>667</v>
      </c>
      <c r="C242" t="s">
        <v>1269</v>
      </c>
      <c r="D242" t="s">
        <v>2215</v>
      </c>
      <c r="E242" t="s">
        <v>1889</v>
      </c>
      <c r="F242" t="s">
        <v>1890</v>
      </c>
      <c r="G242" t="s">
        <v>1891</v>
      </c>
      <c r="H242" t="s">
        <v>2063</v>
      </c>
      <c r="I242" t="s">
        <v>1168</v>
      </c>
      <c r="J242" t="s">
        <v>1888</v>
      </c>
      <c r="K242" t="s">
        <v>1889</v>
      </c>
      <c r="L242" t="s">
        <v>1890</v>
      </c>
      <c r="M242" t="s">
        <v>1891</v>
      </c>
    </row>
    <row r="243" spans="1:13" x14ac:dyDescent="0.25">
      <c r="A243" t="s">
        <v>669</v>
      </c>
      <c r="B243" t="s">
        <v>670</v>
      </c>
      <c r="C243" t="s">
        <v>1269</v>
      </c>
      <c r="D243" t="s">
        <v>2208</v>
      </c>
      <c r="E243" t="s">
        <v>1889</v>
      </c>
      <c r="F243" t="s">
        <v>1890</v>
      </c>
      <c r="G243" t="s">
        <v>1891</v>
      </c>
      <c r="H243" t="s">
        <v>2063</v>
      </c>
      <c r="I243" t="s">
        <v>1168</v>
      </c>
      <c r="J243" t="s">
        <v>1888</v>
      </c>
      <c r="K243" t="s">
        <v>1889</v>
      </c>
      <c r="L243" t="s">
        <v>1890</v>
      </c>
      <c r="M243" t="s">
        <v>1891</v>
      </c>
    </row>
    <row r="244" spans="1:13" x14ac:dyDescent="0.25">
      <c r="A244" t="s">
        <v>671</v>
      </c>
      <c r="B244" t="s">
        <v>672</v>
      </c>
      <c r="C244" t="s">
        <v>1269</v>
      </c>
      <c r="D244" t="s">
        <v>2495</v>
      </c>
      <c r="E244" t="s">
        <v>1889</v>
      </c>
      <c r="F244" t="s">
        <v>1890</v>
      </c>
      <c r="G244" t="s">
        <v>1891</v>
      </c>
      <c r="H244" t="s">
        <v>2063</v>
      </c>
      <c r="I244" t="s">
        <v>1168</v>
      </c>
      <c r="J244" t="s">
        <v>1888</v>
      </c>
      <c r="K244" t="s">
        <v>1889</v>
      </c>
      <c r="L244" t="s">
        <v>1890</v>
      </c>
      <c r="M244" t="s">
        <v>1891</v>
      </c>
    </row>
    <row r="245" spans="1:13" x14ac:dyDescent="0.25">
      <c r="A245" t="s">
        <v>673</v>
      </c>
      <c r="B245" t="s">
        <v>674</v>
      </c>
      <c r="C245" t="s">
        <v>1269</v>
      </c>
      <c r="D245" t="s">
        <v>2274</v>
      </c>
      <c r="E245" t="s">
        <v>1889</v>
      </c>
      <c r="F245" t="s">
        <v>1890</v>
      </c>
      <c r="G245" t="s">
        <v>1891</v>
      </c>
      <c r="H245" t="s">
        <v>2063</v>
      </c>
      <c r="I245" t="s">
        <v>1168</v>
      </c>
      <c r="J245" t="s">
        <v>1888</v>
      </c>
      <c r="K245" t="s">
        <v>1889</v>
      </c>
      <c r="L245" t="s">
        <v>1890</v>
      </c>
      <c r="M245" t="s">
        <v>1891</v>
      </c>
    </row>
    <row r="246" spans="1:13" x14ac:dyDescent="0.25">
      <c r="A246" t="s">
        <v>675</v>
      </c>
      <c r="B246" t="s">
        <v>670</v>
      </c>
      <c r="C246" t="s">
        <v>1269</v>
      </c>
      <c r="D246" t="s">
        <v>2208</v>
      </c>
      <c r="E246" t="s">
        <v>1889</v>
      </c>
      <c r="F246" t="s">
        <v>1890</v>
      </c>
      <c r="G246" t="s">
        <v>1891</v>
      </c>
      <c r="H246" t="s">
        <v>641</v>
      </c>
      <c r="I246" t="s">
        <v>1269</v>
      </c>
      <c r="J246" t="s">
        <v>2229</v>
      </c>
      <c r="K246" t="s">
        <v>1889</v>
      </c>
      <c r="L246" t="s">
        <v>1890</v>
      </c>
      <c r="M246" t="s">
        <v>1891</v>
      </c>
    </row>
    <row r="247" spans="1:13" x14ac:dyDescent="0.25">
      <c r="A247" t="s">
        <v>677</v>
      </c>
      <c r="B247" t="s">
        <v>670</v>
      </c>
      <c r="C247" t="s">
        <v>1269</v>
      </c>
      <c r="D247" t="s">
        <v>2208</v>
      </c>
      <c r="E247" t="s">
        <v>1889</v>
      </c>
      <c r="F247" t="s">
        <v>1890</v>
      </c>
      <c r="G247" t="s">
        <v>1891</v>
      </c>
      <c r="H247" t="s">
        <v>2962</v>
      </c>
      <c r="I247" t="s">
        <v>1168</v>
      </c>
      <c r="J247" t="s">
        <v>1888</v>
      </c>
      <c r="K247" t="s">
        <v>1889</v>
      </c>
      <c r="L247" t="s">
        <v>1890</v>
      </c>
      <c r="M247" t="s">
        <v>1891</v>
      </c>
    </row>
    <row r="248" spans="1:13" x14ac:dyDescent="0.25">
      <c r="A248" t="s">
        <v>678</v>
      </c>
      <c r="B248" t="s">
        <v>674</v>
      </c>
      <c r="C248" t="s">
        <v>1269</v>
      </c>
      <c r="D248" t="s">
        <v>2274</v>
      </c>
      <c r="E248" t="s">
        <v>1889</v>
      </c>
      <c r="F248" t="s">
        <v>1890</v>
      </c>
      <c r="G248" t="s">
        <v>1891</v>
      </c>
      <c r="H248" t="s">
        <v>2962</v>
      </c>
      <c r="I248" t="s">
        <v>1168</v>
      </c>
      <c r="J248" t="s">
        <v>1888</v>
      </c>
      <c r="K248" t="s">
        <v>1889</v>
      </c>
      <c r="L248" t="s">
        <v>1890</v>
      </c>
      <c r="M248" t="s">
        <v>1891</v>
      </c>
    </row>
    <row r="249" spans="1:13" x14ac:dyDescent="0.25">
      <c r="A249" t="s">
        <v>679</v>
      </c>
      <c r="B249" t="s">
        <v>672</v>
      </c>
      <c r="C249" t="s">
        <v>1269</v>
      </c>
      <c r="D249" t="s">
        <v>2495</v>
      </c>
      <c r="E249" t="s">
        <v>1889</v>
      </c>
      <c r="F249" t="s">
        <v>1890</v>
      </c>
      <c r="G249" t="s">
        <v>1891</v>
      </c>
      <c r="H249" t="s">
        <v>2962</v>
      </c>
      <c r="I249" t="s">
        <v>1168</v>
      </c>
      <c r="J249" t="s">
        <v>1888</v>
      </c>
      <c r="K249" t="s">
        <v>1889</v>
      </c>
      <c r="L249" t="s">
        <v>1890</v>
      </c>
      <c r="M249" t="s">
        <v>1891</v>
      </c>
    </row>
    <row r="250" spans="1:13" x14ac:dyDescent="0.25">
      <c r="A250" t="s">
        <v>680</v>
      </c>
      <c r="B250" t="s">
        <v>2962</v>
      </c>
      <c r="C250" t="s">
        <v>1168</v>
      </c>
      <c r="D250" t="s">
        <v>1888</v>
      </c>
      <c r="E250" t="s">
        <v>1889</v>
      </c>
      <c r="F250" t="s">
        <v>1890</v>
      </c>
      <c r="G250" t="s">
        <v>1891</v>
      </c>
      <c r="H250" t="s">
        <v>643</v>
      </c>
      <c r="I250" t="s">
        <v>1269</v>
      </c>
      <c r="J250" t="s">
        <v>2232</v>
      </c>
      <c r="K250" t="s">
        <v>1889</v>
      </c>
      <c r="L250" t="s">
        <v>1890</v>
      </c>
      <c r="M250" t="s">
        <v>1891</v>
      </c>
    </row>
    <row r="251" spans="1:13" x14ac:dyDescent="0.25">
      <c r="A251" t="s">
        <v>681</v>
      </c>
      <c r="B251" t="s">
        <v>636</v>
      </c>
      <c r="C251" t="s">
        <v>1269</v>
      </c>
      <c r="D251" t="s">
        <v>2117</v>
      </c>
      <c r="E251" t="s">
        <v>1889</v>
      </c>
      <c r="F251" t="s">
        <v>1890</v>
      </c>
      <c r="G251" t="s">
        <v>1891</v>
      </c>
      <c r="H251" t="s">
        <v>2962</v>
      </c>
      <c r="I251" t="s">
        <v>1168</v>
      </c>
      <c r="J251" t="s">
        <v>1888</v>
      </c>
      <c r="K251" t="s">
        <v>1889</v>
      </c>
      <c r="L251" t="s">
        <v>1890</v>
      </c>
      <c r="M251" t="s">
        <v>1891</v>
      </c>
    </row>
    <row r="252" spans="1:13" x14ac:dyDescent="0.25">
      <c r="A252" t="s">
        <v>682</v>
      </c>
      <c r="B252" t="s">
        <v>667</v>
      </c>
      <c r="C252" t="s">
        <v>1269</v>
      </c>
      <c r="D252" t="s">
        <v>2215</v>
      </c>
      <c r="E252" t="s">
        <v>1889</v>
      </c>
      <c r="F252" t="s">
        <v>1890</v>
      </c>
      <c r="G252" t="s">
        <v>1891</v>
      </c>
      <c r="H252" t="s">
        <v>643</v>
      </c>
      <c r="I252" t="s">
        <v>1269</v>
      </c>
      <c r="J252" t="s">
        <v>2232</v>
      </c>
      <c r="K252" t="s">
        <v>1889</v>
      </c>
      <c r="L252" t="s">
        <v>1890</v>
      </c>
      <c r="M252" t="s">
        <v>1891</v>
      </c>
    </row>
    <row r="253" spans="1:13" x14ac:dyDescent="0.25">
      <c r="A253" t="s">
        <v>684</v>
      </c>
      <c r="B253" t="s">
        <v>670</v>
      </c>
      <c r="C253" t="s">
        <v>1269</v>
      </c>
      <c r="D253" t="s">
        <v>2208</v>
      </c>
      <c r="E253" t="s">
        <v>1889</v>
      </c>
      <c r="F253" t="s">
        <v>1890</v>
      </c>
      <c r="G253" t="s">
        <v>1891</v>
      </c>
      <c r="H253" t="s">
        <v>643</v>
      </c>
      <c r="I253" t="s">
        <v>1269</v>
      </c>
      <c r="J253" t="s">
        <v>2232</v>
      </c>
      <c r="K253" t="s">
        <v>1889</v>
      </c>
      <c r="L253" t="s">
        <v>1890</v>
      </c>
      <c r="M253" t="s">
        <v>1891</v>
      </c>
    </row>
    <row r="254" spans="1:13" x14ac:dyDescent="0.25">
      <c r="A254" t="s">
        <v>686</v>
      </c>
      <c r="B254" t="s">
        <v>636</v>
      </c>
      <c r="C254" t="s">
        <v>1269</v>
      </c>
      <c r="D254" t="s">
        <v>2117</v>
      </c>
      <c r="E254" t="s">
        <v>1889</v>
      </c>
      <c r="F254" t="s">
        <v>1890</v>
      </c>
      <c r="G254" t="s">
        <v>1891</v>
      </c>
      <c r="H254" t="s">
        <v>674</v>
      </c>
      <c r="I254" t="s">
        <v>1269</v>
      </c>
      <c r="J254" t="s">
        <v>2274</v>
      </c>
      <c r="K254" t="s">
        <v>1889</v>
      </c>
      <c r="L254" t="s">
        <v>1890</v>
      </c>
      <c r="M254" t="s">
        <v>1891</v>
      </c>
    </row>
    <row r="255" spans="1:13" x14ac:dyDescent="0.25">
      <c r="A255" t="s">
        <v>688</v>
      </c>
      <c r="B255" t="s">
        <v>646</v>
      </c>
      <c r="C255" t="s">
        <v>1269</v>
      </c>
      <c r="D255" t="s">
        <v>2332</v>
      </c>
      <c r="E255" t="s">
        <v>1889</v>
      </c>
      <c r="F255" t="s">
        <v>1890</v>
      </c>
      <c r="G255" t="s">
        <v>1891</v>
      </c>
      <c r="H255" t="s">
        <v>2962</v>
      </c>
      <c r="I255" t="s">
        <v>1168</v>
      </c>
      <c r="J255" t="s">
        <v>1888</v>
      </c>
      <c r="K255" t="s">
        <v>1889</v>
      </c>
      <c r="L255" t="s">
        <v>1890</v>
      </c>
      <c r="M255" t="s">
        <v>1891</v>
      </c>
    </row>
    <row r="256" spans="1:13" x14ac:dyDescent="0.25">
      <c r="A256" t="s">
        <v>689</v>
      </c>
      <c r="B256" t="s">
        <v>2962</v>
      </c>
      <c r="C256" t="s">
        <v>1168</v>
      </c>
      <c r="D256" t="s">
        <v>1888</v>
      </c>
      <c r="E256" t="s">
        <v>1889</v>
      </c>
      <c r="F256" t="s">
        <v>1890</v>
      </c>
      <c r="G256" t="s">
        <v>1891</v>
      </c>
      <c r="H256" t="s">
        <v>641</v>
      </c>
      <c r="I256" t="s">
        <v>1269</v>
      </c>
      <c r="J256" t="s">
        <v>2229</v>
      </c>
      <c r="K256" t="s">
        <v>1889</v>
      </c>
      <c r="L256" t="s">
        <v>1890</v>
      </c>
      <c r="M256" t="s">
        <v>1891</v>
      </c>
    </row>
    <row r="257" spans="1:13" x14ac:dyDescent="0.25">
      <c r="A257" t="s">
        <v>690</v>
      </c>
      <c r="B257" t="s">
        <v>638</v>
      </c>
      <c r="C257" t="s">
        <v>1269</v>
      </c>
      <c r="D257" t="s">
        <v>2240</v>
      </c>
      <c r="E257" t="s">
        <v>1889</v>
      </c>
      <c r="F257" t="s">
        <v>1890</v>
      </c>
      <c r="G257" t="s">
        <v>1891</v>
      </c>
      <c r="H257" t="s">
        <v>2962</v>
      </c>
      <c r="I257" t="s">
        <v>1168</v>
      </c>
      <c r="J257" t="s">
        <v>1888</v>
      </c>
      <c r="K257" t="s">
        <v>1889</v>
      </c>
      <c r="L257" t="s">
        <v>1890</v>
      </c>
      <c r="M257" t="s">
        <v>1891</v>
      </c>
    </row>
    <row r="258" spans="1:13" x14ac:dyDescent="0.25">
      <c r="A258" t="s">
        <v>691</v>
      </c>
      <c r="B258" t="s">
        <v>655</v>
      </c>
      <c r="C258" t="s">
        <v>1269</v>
      </c>
      <c r="D258" t="s">
        <v>2408</v>
      </c>
      <c r="E258" t="s">
        <v>1889</v>
      </c>
      <c r="F258" t="s">
        <v>1890</v>
      </c>
      <c r="G258" t="s">
        <v>1891</v>
      </c>
      <c r="H258" t="s">
        <v>2962</v>
      </c>
      <c r="I258" t="s">
        <v>1168</v>
      </c>
      <c r="J258" t="s">
        <v>1888</v>
      </c>
      <c r="K258" t="s">
        <v>1889</v>
      </c>
      <c r="L258" t="s">
        <v>1890</v>
      </c>
      <c r="M258" t="s">
        <v>1891</v>
      </c>
    </row>
    <row r="259" spans="1:13" x14ac:dyDescent="0.25">
      <c r="A259" t="s">
        <v>692</v>
      </c>
      <c r="B259" t="s">
        <v>655</v>
      </c>
      <c r="C259" t="s">
        <v>1269</v>
      </c>
      <c r="D259" t="s">
        <v>2408</v>
      </c>
      <c r="E259" t="s">
        <v>1889</v>
      </c>
      <c r="F259" t="s">
        <v>1890</v>
      </c>
      <c r="G259" t="s">
        <v>1891</v>
      </c>
      <c r="H259" t="s">
        <v>694</v>
      </c>
      <c r="I259" t="s">
        <v>1269</v>
      </c>
      <c r="J259" t="s">
        <v>2184</v>
      </c>
      <c r="K259" t="s">
        <v>1889</v>
      </c>
      <c r="L259" t="s">
        <v>1890</v>
      </c>
      <c r="M259" t="s">
        <v>1891</v>
      </c>
    </row>
    <row r="260" spans="1:13" x14ac:dyDescent="0.25">
      <c r="A260" t="s">
        <v>695</v>
      </c>
      <c r="B260" t="s">
        <v>655</v>
      </c>
      <c r="C260" t="s">
        <v>1269</v>
      </c>
      <c r="D260" t="s">
        <v>2408</v>
      </c>
      <c r="E260" t="s">
        <v>1889</v>
      </c>
      <c r="F260" t="s">
        <v>1890</v>
      </c>
      <c r="G260" t="s">
        <v>1891</v>
      </c>
      <c r="H260" t="s">
        <v>697</v>
      </c>
      <c r="I260" t="s">
        <v>1269</v>
      </c>
      <c r="J260" t="s">
        <v>2268</v>
      </c>
      <c r="K260" t="s">
        <v>1889</v>
      </c>
      <c r="L260" t="s">
        <v>1890</v>
      </c>
      <c r="M260" t="s">
        <v>1891</v>
      </c>
    </row>
    <row r="261" spans="1:13" x14ac:dyDescent="0.25">
      <c r="A261" t="s">
        <v>698</v>
      </c>
      <c r="B261" t="s">
        <v>694</v>
      </c>
      <c r="C261" t="s">
        <v>1269</v>
      </c>
      <c r="D261" t="s">
        <v>2184</v>
      </c>
      <c r="E261" t="s">
        <v>1889</v>
      </c>
      <c r="F261" t="s">
        <v>1890</v>
      </c>
      <c r="G261" t="s">
        <v>1891</v>
      </c>
      <c r="H261" t="s">
        <v>700</v>
      </c>
      <c r="I261" t="s">
        <v>1269</v>
      </c>
      <c r="J261" t="s">
        <v>2159</v>
      </c>
      <c r="K261" t="s">
        <v>1889</v>
      </c>
      <c r="L261" t="s">
        <v>1890</v>
      </c>
      <c r="M261" t="s">
        <v>1891</v>
      </c>
    </row>
    <row r="262" spans="1:13" x14ac:dyDescent="0.25">
      <c r="A262" t="s">
        <v>701</v>
      </c>
      <c r="B262" t="s">
        <v>697</v>
      </c>
      <c r="C262" t="s">
        <v>1269</v>
      </c>
      <c r="D262" t="s">
        <v>2268</v>
      </c>
      <c r="E262" t="s">
        <v>1889</v>
      </c>
      <c r="F262" t="s">
        <v>1890</v>
      </c>
      <c r="G262" t="s">
        <v>1891</v>
      </c>
      <c r="H262" t="s">
        <v>703</v>
      </c>
      <c r="I262" t="s">
        <v>1269</v>
      </c>
      <c r="J262" t="s">
        <v>2271</v>
      </c>
      <c r="K262" t="s">
        <v>1889</v>
      </c>
      <c r="L262" t="s">
        <v>1890</v>
      </c>
      <c r="M262" t="s">
        <v>1891</v>
      </c>
    </row>
    <row r="263" spans="1:13" x14ac:dyDescent="0.25">
      <c r="A263" t="s">
        <v>704</v>
      </c>
      <c r="B263" t="s">
        <v>703</v>
      </c>
      <c r="C263" t="s">
        <v>1269</v>
      </c>
      <c r="D263" t="s">
        <v>2271</v>
      </c>
      <c r="E263" t="s">
        <v>1889</v>
      </c>
      <c r="F263" t="s">
        <v>1890</v>
      </c>
      <c r="G263" t="s">
        <v>1891</v>
      </c>
      <c r="H263" t="s">
        <v>2962</v>
      </c>
      <c r="I263" t="s">
        <v>1168</v>
      </c>
      <c r="J263" t="s">
        <v>1888</v>
      </c>
      <c r="K263" t="s">
        <v>1889</v>
      </c>
      <c r="L263" t="s">
        <v>1890</v>
      </c>
      <c r="M263" t="s">
        <v>1891</v>
      </c>
    </row>
    <row r="264" spans="1:13" x14ac:dyDescent="0.25">
      <c r="A264" t="s">
        <v>705</v>
      </c>
      <c r="B264" t="s">
        <v>707</v>
      </c>
      <c r="C264" t="s">
        <v>1269</v>
      </c>
      <c r="D264" t="s">
        <v>2258</v>
      </c>
      <c r="E264" t="s">
        <v>1889</v>
      </c>
      <c r="F264" t="s">
        <v>1890</v>
      </c>
      <c r="G264" t="s">
        <v>1891</v>
      </c>
      <c r="H264" t="s">
        <v>697</v>
      </c>
      <c r="I264" t="s">
        <v>1269</v>
      </c>
      <c r="J264" t="s">
        <v>2268</v>
      </c>
      <c r="K264" t="s">
        <v>1889</v>
      </c>
      <c r="L264" t="s">
        <v>1890</v>
      </c>
      <c r="M264" t="s">
        <v>1891</v>
      </c>
    </row>
    <row r="265" spans="1:13" x14ac:dyDescent="0.25">
      <c r="A265" t="s">
        <v>708</v>
      </c>
      <c r="B265" t="s">
        <v>697</v>
      </c>
      <c r="C265" t="s">
        <v>1269</v>
      </c>
      <c r="D265" t="s">
        <v>2268</v>
      </c>
      <c r="E265" t="s">
        <v>1889</v>
      </c>
      <c r="F265" t="s">
        <v>1890</v>
      </c>
      <c r="G265" t="s">
        <v>1891</v>
      </c>
      <c r="H265" t="s">
        <v>710</v>
      </c>
      <c r="I265" t="s">
        <v>1269</v>
      </c>
      <c r="J265" t="s">
        <v>2359</v>
      </c>
      <c r="K265" t="s">
        <v>1889</v>
      </c>
      <c r="L265" t="s">
        <v>1890</v>
      </c>
      <c r="M265" t="s">
        <v>1891</v>
      </c>
    </row>
    <row r="266" spans="1:13" x14ac:dyDescent="0.25">
      <c r="A266" t="s">
        <v>711</v>
      </c>
      <c r="B266" t="s">
        <v>697</v>
      </c>
      <c r="C266" t="s">
        <v>1269</v>
      </c>
      <c r="D266" t="s">
        <v>2268</v>
      </c>
      <c r="E266" t="s">
        <v>1889</v>
      </c>
      <c r="F266" t="s">
        <v>1890</v>
      </c>
      <c r="G266" t="s">
        <v>1891</v>
      </c>
      <c r="H266" t="s">
        <v>713</v>
      </c>
      <c r="I266" t="s">
        <v>1269</v>
      </c>
      <c r="J266" t="s">
        <v>2150</v>
      </c>
      <c r="K266" t="s">
        <v>1889</v>
      </c>
      <c r="L266" t="s">
        <v>1890</v>
      </c>
      <c r="M266" t="s">
        <v>1891</v>
      </c>
    </row>
    <row r="267" spans="1:13" x14ac:dyDescent="0.25">
      <c r="A267" t="s">
        <v>714</v>
      </c>
      <c r="B267" t="s">
        <v>697</v>
      </c>
      <c r="C267" t="s">
        <v>1269</v>
      </c>
      <c r="D267" t="s">
        <v>2268</v>
      </c>
      <c r="E267" t="s">
        <v>1889</v>
      </c>
      <c r="F267" t="s">
        <v>1890</v>
      </c>
      <c r="G267" t="s">
        <v>1891</v>
      </c>
      <c r="H267" t="s">
        <v>716</v>
      </c>
      <c r="I267" t="s">
        <v>1269</v>
      </c>
      <c r="J267" t="s">
        <v>2127</v>
      </c>
      <c r="K267" t="s">
        <v>1889</v>
      </c>
      <c r="L267" t="s">
        <v>1890</v>
      </c>
      <c r="M267" t="s">
        <v>1891</v>
      </c>
    </row>
    <row r="268" spans="1:13" x14ac:dyDescent="0.25">
      <c r="A268" t="s">
        <v>717</v>
      </c>
      <c r="B268" t="s">
        <v>697</v>
      </c>
      <c r="C268" t="s">
        <v>1269</v>
      </c>
      <c r="D268" t="s">
        <v>2268</v>
      </c>
      <c r="E268" t="s">
        <v>1889</v>
      </c>
      <c r="F268" t="s">
        <v>1890</v>
      </c>
      <c r="G268" t="s">
        <v>1891</v>
      </c>
      <c r="H268" t="s">
        <v>719</v>
      </c>
      <c r="I268" t="s">
        <v>1269</v>
      </c>
      <c r="J268" t="s">
        <v>2262</v>
      </c>
      <c r="K268" t="s">
        <v>1889</v>
      </c>
      <c r="L268" t="s">
        <v>1890</v>
      </c>
      <c r="M268" t="s">
        <v>1891</v>
      </c>
    </row>
    <row r="269" spans="1:13" x14ac:dyDescent="0.25">
      <c r="A269" t="s">
        <v>720</v>
      </c>
      <c r="B269" t="s">
        <v>2177</v>
      </c>
      <c r="C269" t="s">
        <v>1168</v>
      </c>
      <c r="D269" t="s">
        <v>1888</v>
      </c>
      <c r="E269" t="s">
        <v>1889</v>
      </c>
      <c r="F269" t="s">
        <v>1890</v>
      </c>
      <c r="G269" t="s">
        <v>1891</v>
      </c>
      <c r="H269" t="s">
        <v>723</v>
      </c>
      <c r="I269" t="s">
        <v>1269</v>
      </c>
      <c r="J269" t="s">
        <v>2149</v>
      </c>
      <c r="K269" t="s">
        <v>1889</v>
      </c>
      <c r="L269" t="s">
        <v>1890</v>
      </c>
      <c r="M269" t="s">
        <v>1891</v>
      </c>
    </row>
    <row r="270" spans="1:13" x14ac:dyDescent="0.25">
      <c r="A270" t="s">
        <v>724</v>
      </c>
      <c r="B270" t="s">
        <v>725</v>
      </c>
      <c r="C270" t="s">
        <v>1269</v>
      </c>
      <c r="D270" t="s">
        <v>2247</v>
      </c>
      <c r="E270" t="s">
        <v>1889</v>
      </c>
      <c r="F270" t="s">
        <v>1890</v>
      </c>
      <c r="G270" t="s">
        <v>1891</v>
      </c>
      <c r="H270" t="s">
        <v>2171</v>
      </c>
      <c r="I270" t="s">
        <v>1168</v>
      </c>
      <c r="J270" t="s">
        <v>1888</v>
      </c>
      <c r="K270" t="s">
        <v>1889</v>
      </c>
      <c r="L270" t="s">
        <v>1890</v>
      </c>
      <c r="M270" t="s">
        <v>1891</v>
      </c>
    </row>
    <row r="271" spans="1:13" x14ac:dyDescent="0.25">
      <c r="A271" t="s">
        <v>726</v>
      </c>
      <c r="B271" t="s">
        <v>2247</v>
      </c>
      <c r="C271" t="s">
        <v>1168</v>
      </c>
      <c r="D271" t="s">
        <v>1888</v>
      </c>
      <c r="E271" t="s">
        <v>1889</v>
      </c>
      <c r="F271" t="s">
        <v>1890</v>
      </c>
      <c r="G271" t="s">
        <v>1891</v>
      </c>
      <c r="H271" t="s">
        <v>2165</v>
      </c>
      <c r="I271" t="s">
        <v>1168</v>
      </c>
      <c r="J271" t="s">
        <v>1888</v>
      </c>
      <c r="K271" t="s">
        <v>1889</v>
      </c>
      <c r="L271" t="s">
        <v>1890</v>
      </c>
      <c r="M271" t="s">
        <v>1891</v>
      </c>
    </row>
    <row r="272" spans="1:13" x14ac:dyDescent="0.25">
      <c r="A272" t="s">
        <v>729</v>
      </c>
      <c r="B272" t="s">
        <v>2165</v>
      </c>
      <c r="C272" t="s">
        <v>1168</v>
      </c>
      <c r="D272" t="s">
        <v>1888</v>
      </c>
      <c r="E272" t="s">
        <v>1889</v>
      </c>
      <c r="F272" t="s">
        <v>1890</v>
      </c>
      <c r="G272" t="s">
        <v>1891</v>
      </c>
      <c r="H272" t="s">
        <v>725</v>
      </c>
      <c r="I272" t="s">
        <v>1269</v>
      </c>
      <c r="J272" t="s">
        <v>2247</v>
      </c>
      <c r="K272" t="s">
        <v>1889</v>
      </c>
      <c r="L272" t="s">
        <v>1890</v>
      </c>
      <c r="M272" t="s">
        <v>1891</v>
      </c>
    </row>
    <row r="273" spans="1:13" x14ac:dyDescent="0.25">
      <c r="A273" t="s">
        <v>730</v>
      </c>
      <c r="B273" t="s">
        <v>2168</v>
      </c>
      <c r="C273" t="s">
        <v>1168</v>
      </c>
      <c r="D273" t="s">
        <v>1888</v>
      </c>
      <c r="E273" t="s">
        <v>1889</v>
      </c>
      <c r="F273" t="s">
        <v>1890</v>
      </c>
      <c r="G273" t="s">
        <v>1891</v>
      </c>
      <c r="H273" t="s">
        <v>707</v>
      </c>
      <c r="I273" t="s">
        <v>1269</v>
      </c>
      <c r="J273" t="s">
        <v>2258</v>
      </c>
      <c r="K273" t="s">
        <v>1889</v>
      </c>
      <c r="L273" t="s">
        <v>1890</v>
      </c>
      <c r="M273" t="s">
        <v>1891</v>
      </c>
    </row>
    <row r="274" spans="1:13" x14ac:dyDescent="0.25">
      <c r="A274" t="s">
        <v>731</v>
      </c>
      <c r="B274" t="s">
        <v>2168</v>
      </c>
      <c r="C274" t="s">
        <v>1168</v>
      </c>
      <c r="D274" t="s">
        <v>1888</v>
      </c>
      <c r="E274" t="s">
        <v>1889</v>
      </c>
      <c r="F274" t="s">
        <v>1890</v>
      </c>
      <c r="G274" t="s">
        <v>1891</v>
      </c>
      <c r="H274" t="s">
        <v>732</v>
      </c>
      <c r="I274" t="s">
        <v>1269</v>
      </c>
      <c r="J274" t="s">
        <v>2248</v>
      </c>
      <c r="K274" t="s">
        <v>1889</v>
      </c>
      <c r="L274" t="s">
        <v>1890</v>
      </c>
      <c r="M274" t="s">
        <v>1891</v>
      </c>
    </row>
    <row r="275" spans="1:13" x14ac:dyDescent="0.25">
      <c r="A275" t="s">
        <v>733</v>
      </c>
      <c r="B275" t="s">
        <v>732</v>
      </c>
      <c r="C275" t="s">
        <v>1269</v>
      </c>
      <c r="D275" t="s">
        <v>2248</v>
      </c>
      <c r="E275" t="s">
        <v>1889</v>
      </c>
      <c r="F275" t="s">
        <v>1890</v>
      </c>
      <c r="G275" t="s">
        <v>1891</v>
      </c>
      <c r="H275" t="s">
        <v>2174</v>
      </c>
      <c r="I275" t="s">
        <v>1168</v>
      </c>
      <c r="J275" t="s">
        <v>1888</v>
      </c>
      <c r="K275" t="s">
        <v>1889</v>
      </c>
      <c r="L275" t="s">
        <v>1890</v>
      </c>
      <c r="M275" t="s">
        <v>1891</v>
      </c>
    </row>
    <row r="276" spans="1:13" x14ac:dyDescent="0.25">
      <c r="A276" t="s">
        <v>734</v>
      </c>
      <c r="B276" t="s">
        <v>735</v>
      </c>
      <c r="C276" t="s">
        <v>1269</v>
      </c>
      <c r="D276" t="s">
        <v>2252</v>
      </c>
      <c r="E276" t="s">
        <v>1889</v>
      </c>
      <c r="F276" t="s">
        <v>1890</v>
      </c>
      <c r="G276" t="s">
        <v>1891</v>
      </c>
      <c r="H276" t="s">
        <v>2174</v>
      </c>
      <c r="I276" t="s">
        <v>1168</v>
      </c>
      <c r="J276" t="s">
        <v>1888</v>
      </c>
      <c r="K276" t="s">
        <v>1889</v>
      </c>
      <c r="L276" t="s">
        <v>1890</v>
      </c>
      <c r="M276" t="s">
        <v>1891</v>
      </c>
    </row>
    <row r="277" spans="1:13" x14ac:dyDescent="0.25">
      <c r="A277" t="s">
        <v>736</v>
      </c>
      <c r="B277" t="s">
        <v>737</v>
      </c>
      <c r="C277" t="s">
        <v>1269</v>
      </c>
      <c r="D277" t="s">
        <v>2496</v>
      </c>
      <c r="E277" t="s">
        <v>1889</v>
      </c>
      <c r="F277" t="s">
        <v>1890</v>
      </c>
      <c r="G277" t="s">
        <v>1891</v>
      </c>
      <c r="H277" t="s">
        <v>2174</v>
      </c>
      <c r="I277" t="s">
        <v>1168</v>
      </c>
      <c r="J277" t="s">
        <v>1888</v>
      </c>
      <c r="K277" t="s">
        <v>1889</v>
      </c>
      <c r="L277" t="s">
        <v>1890</v>
      </c>
      <c r="M277" t="s">
        <v>1891</v>
      </c>
    </row>
    <row r="278" spans="1:13" x14ac:dyDescent="0.25">
      <c r="A278" t="s">
        <v>738</v>
      </c>
      <c r="B278" t="s">
        <v>2962</v>
      </c>
      <c r="C278" t="s">
        <v>1168</v>
      </c>
      <c r="D278" t="s">
        <v>1888</v>
      </c>
      <c r="E278" t="s">
        <v>1889</v>
      </c>
      <c r="F278" t="s">
        <v>1890</v>
      </c>
      <c r="G278" t="s">
        <v>1891</v>
      </c>
      <c r="H278" t="s">
        <v>732</v>
      </c>
      <c r="I278" t="s">
        <v>1269</v>
      </c>
      <c r="J278" t="s">
        <v>2248</v>
      </c>
      <c r="K278" t="s">
        <v>1889</v>
      </c>
      <c r="L278" t="s">
        <v>1890</v>
      </c>
      <c r="M278" t="s">
        <v>1891</v>
      </c>
    </row>
    <row r="279" spans="1:13" x14ac:dyDescent="0.25">
      <c r="A279" t="s">
        <v>739</v>
      </c>
      <c r="B279" t="s">
        <v>2962</v>
      </c>
      <c r="C279" t="s">
        <v>1168</v>
      </c>
      <c r="D279" t="s">
        <v>1888</v>
      </c>
      <c r="E279" t="s">
        <v>1889</v>
      </c>
      <c r="F279" t="s">
        <v>1890</v>
      </c>
      <c r="G279" t="s">
        <v>1891</v>
      </c>
      <c r="H279" t="s">
        <v>735</v>
      </c>
      <c r="I279" t="s">
        <v>1269</v>
      </c>
      <c r="J279" t="s">
        <v>2252</v>
      </c>
      <c r="K279" t="s">
        <v>1889</v>
      </c>
      <c r="L279" t="s">
        <v>1890</v>
      </c>
      <c r="M279" t="s">
        <v>1891</v>
      </c>
    </row>
    <row r="280" spans="1:13" x14ac:dyDescent="0.25">
      <c r="A280" t="s">
        <v>740</v>
      </c>
      <c r="B280" t="s">
        <v>2962</v>
      </c>
      <c r="C280" t="s">
        <v>1168</v>
      </c>
      <c r="D280" t="s">
        <v>1888</v>
      </c>
      <c r="E280" t="s">
        <v>1889</v>
      </c>
      <c r="F280" t="s">
        <v>1890</v>
      </c>
      <c r="G280" t="s">
        <v>1891</v>
      </c>
      <c r="H280" t="s">
        <v>737</v>
      </c>
      <c r="I280" t="s">
        <v>1269</v>
      </c>
      <c r="J280" t="s">
        <v>2496</v>
      </c>
      <c r="K280" t="s">
        <v>1889</v>
      </c>
      <c r="L280" t="s">
        <v>1890</v>
      </c>
      <c r="M280" t="s">
        <v>1891</v>
      </c>
    </row>
    <row r="281" spans="1:13" x14ac:dyDescent="0.25">
      <c r="A281" t="s">
        <v>741</v>
      </c>
      <c r="B281" t="s">
        <v>2962</v>
      </c>
      <c r="C281" t="s">
        <v>1168</v>
      </c>
      <c r="D281" t="s">
        <v>1888</v>
      </c>
      <c r="E281" t="s">
        <v>1889</v>
      </c>
      <c r="F281" t="s">
        <v>1890</v>
      </c>
      <c r="G281" t="s">
        <v>1891</v>
      </c>
      <c r="H281" t="s">
        <v>707</v>
      </c>
      <c r="I281" t="s">
        <v>1269</v>
      </c>
      <c r="J281" t="s">
        <v>2258</v>
      </c>
      <c r="K281" t="s">
        <v>1889</v>
      </c>
      <c r="L281" t="s">
        <v>1890</v>
      </c>
      <c r="M281" t="s">
        <v>1891</v>
      </c>
    </row>
    <row r="282" spans="1:13" x14ac:dyDescent="0.25">
      <c r="A282" t="s">
        <v>742</v>
      </c>
      <c r="B282" t="s">
        <v>700</v>
      </c>
      <c r="C282" t="s">
        <v>1269</v>
      </c>
      <c r="D282" t="s">
        <v>2159</v>
      </c>
      <c r="E282" t="s">
        <v>1889</v>
      </c>
      <c r="F282" t="s">
        <v>1890</v>
      </c>
      <c r="G282" t="s">
        <v>1891</v>
      </c>
      <c r="H282" t="s">
        <v>725</v>
      </c>
      <c r="I282" t="s">
        <v>1269</v>
      </c>
      <c r="J282" t="s">
        <v>2247</v>
      </c>
      <c r="K282" t="s">
        <v>1889</v>
      </c>
      <c r="L282" t="s">
        <v>1890</v>
      </c>
      <c r="M282" t="s">
        <v>1891</v>
      </c>
    </row>
    <row r="283" spans="1:13" x14ac:dyDescent="0.25">
      <c r="A283" t="s">
        <v>744</v>
      </c>
      <c r="B283" t="s">
        <v>732</v>
      </c>
      <c r="C283" t="s">
        <v>1269</v>
      </c>
      <c r="D283" t="s">
        <v>2248</v>
      </c>
      <c r="E283" t="s">
        <v>1889</v>
      </c>
      <c r="F283" t="s">
        <v>1890</v>
      </c>
      <c r="G283" t="s">
        <v>1891</v>
      </c>
      <c r="H283" t="s">
        <v>713</v>
      </c>
      <c r="I283" t="s">
        <v>1269</v>
      </c>
      <c r="J283" t="s">
        <v>2150</v>
      </c>
      <c r="K283" t="s">
        <v>1889</v>
      </c>
      <c r="L283" t="s">
        <v>1890</v>
      </c>
      <c r="M283" t="s">
        <v>1891</v>
      </c>
    </row>
    <row r="284" spans="1:13" x14ac:dyDescent="0.25">
      <c r="A284" t="s">
        <v>746</v>
      </c>
      <c r="B284" t="s">
        <v>735</v>
      </c>
      <c r="C284" t="s">
        <v>1269</v>
      </c>
      <c r="D284" t="s">
        <v>2252</v>
      </c>
      <c r="E284" t="s">
        <v>1889</v>
      </c>
      <c r="F284" t="s">
        <v>1890</v>
      </c>
      <c r="G284" t="s">
        <v>1891</v>
      </c>
      <c r="H284" t="s">
        <v>716</v>
      </c>
      <c r="I284" t="s">
        <v>1269</v>
      </c>
      <c r="J284" t="s">
        <v>2127</v>
      </c>
      <c r="K284" t="s">
        <v>1889</v>
      </c>
      <c r="L284" t="s">
        <v>1890</v>
      </c>
      <c r="M284" t="s">
        <v>1891</v>
      </c>
    </row>
    <row r="285" spans="1:13" x14ac:dyDescent="0.25">
      <c r="A285" t="s">
        <v>748</v>
      </c>
      <c r="B285" t="s">
        <v>737</v>
      </c>
      <c r="C285" t="s">
        <v>1269</v>
      </c>
      <c r="D285" t="s">
        <v>2496</v>
      </c>
      <c r="E285" t="s">
        <v>1889</v>
      </c>
      <c r="F285" t="s">
        <v>1890</v>
      </c>
      <c r="G285" t="s">
        <v>1891</v>
      </c>
      <c r="H285" t="s">
        <v>719</v>
      </c>
      <c r="I285" t="s">
        <v>1269</v>
      </c>
      <c r="J285" t="s">
        <v>2262</v>
      </c>
      <c r="K285" t="s">
        <v>1889</v>
      </c>
      <c r="L285" t="s">
        <v>1890</v>
      </c>
      <c r="M285" t="s">
        <v>1891</v>
      </c>
    </row>
    <row r="286" spans="1:13" x14ac:dyDescent="0.25">
      <c r="A286" t="s">
        <v>750</v>
      </c>
      <c r="B286" t="s">
        <v>2114</v>
      </c>
      <c r="C286" t="s">
        <v>1168</v>
      </c>
      <c r="D286" t="s">
        <v>1888</v>
      </c>
      <c r="E286" t="s">
        <v>1889</v>
      </c>
      <c r="F286" t="s">
        <v>1890</v>
      </c>
      <c r="G286" t="s">
        <v>1891</v>
      </c>
      <c r="H286" t="s">
        <v>700</v>
      </c>
      <c r="I286" t="s">
        <v>1269</v>
      </c>
      <c r="J286" t="s">
        <v>2159</v>
      </c>
      <c r="K286" t="s">
        <v>1889</v>
      </c>
      <c r="L286" t="s">
        <v>1890</v>
      </c>
      <c r="M286" t="s">
        <v>1891</v>
      </c>
    </row>
    <row r="287" spans="1:13" x14ac:dyDescent="0.25">
      <c r="A287" t="s">
        <v>754</v>
      </c>
      <c r="B287" t="s">
        <v>2111</v>
      </c>
      <c r="C287" t="s">
        <v>1168</v>
      </c>
      <c r="D287" t="s">
        <v>1888</v>
      </c>
      <c r="E287" t="s">
        <v>1889</v>
      </c>
      <c r="F287" t="s">
        <v>1890</v>
      </c>
      <c r="G287" t="s">
        <v>1891</v>
      </c>
      <c r="H287" t="s">
        <v>700</v>
      </c>
      <c r="I287" t="s">
        <v>1269</v>
      </c>
      <c r="J287" t="s">
        <v>2159</v>
      </c>
      <c r="K287" t="s">
        <v>1889</v>
      </c>
      <c r="L287" t="s">
        <v>1890</v>
      </c>
      <c r="M287" t="s">
        <v>1891</v>
      </c>
    </row>
    <row r="288" spans="1:13" x14ac:dyDescent="0.25">
      <c r="A288" t="s">
        <v>758</v>
      </c>
      <c r="B288" t="s">
        <v>759</v>
      </c>
      <c r="C288" t="s">
        <v>1269</v>
      </c>
      <c r="D288" t="s">
        <v>2129</v>
      </c>
      <c r="E288" t="s">
        <v>1889</v>
      </c>
      <c r="F288" t="s">
        <v>1890</v>
      </c>
      <c r="G288" t="s">
        <v>1891</v>
      </c>
      <c r="H288" t="s">
        <v>2962</v>
      </c>
      <c r="I288" t="s">
        <v>1168</v>
      </c>
      <c r="J288" t="s">
        <v>1888</v>
      </c>
      <c r="K288" t="s">
        <v>1889</v>
      </c>
      <c r="L288" t="s">
        <v>1890</v>
      </c>
      <c r="M288" t="s">
        <v>1891</v>
      </c>
    </row>
    <row r="289" spans="1:13" x14ac:dyDescent="0.25">
      <c r="A289" t="s">
        <v>760</v>
      </c>
      <c r="B289" t="s">
        <v>762</v>
      </c>
      <c r="C289" t="s">
        <v>1269</v>
      </c>
      <c r="D289" t="s">
        <v>2289</v>
      </c>
      <c r="E289" t="s">
        <v>1889</v>
      </c>
      <c r="F289" t="s">
        <v>1890</v>
      </c>
      <c r="G289" t="s">
        <v>1891</v>
      </c>
      <c r="H289" t="s">
        <v>763</v>
      </c>
      <c r="I289" t="s">
        <v>1269</v>
      </c>
      <c r="J289" t="s">
        <v>2312</v>
      </c>
      <c r="K289" t="s">
        <v>1889</v>
      </c>
      <c r="L289" t="s">
        <v>1890</v>
      </c>
      <c r="M289" t="s">
        <v>1891</v>
      </c>
    </row>
    <row r="290" spans="1:13" x14ac:dyDescent="0.25">
      <c r="A290" t="s">
        <v>764</v>
      </c>
      <c r="B290" t="s">
        <v>763</v>
      </c>
      <c r="C290" t="s">
        <v>1269</v>
      </c>
      <c r="D290" t="s">
        <v>2312</v>
      </c>
      <c r="E290" t="s">
        <v>1889</v>
      </c>
      <c r="F290" t="s">
        <v>1890</v>
      </c>
      <c r="G290" t="s">
        <v>1891</v>
      </c>
      <c r="H290" t="s">
        <v>766</v>
      </c>
      <c r="I290" t="s">
        <v>1269</v>
      </c>
      <c r="J290" t="s">
        <v>2294</v>
      </c>
      <c r="K290" t="s">
        <v>1889</v>
      </c>
      <c r="L290" t="s">
        <v>1890</v>
      </c>
      <c r="M290" t="s">
        <v>1891</v>
      </c>
    </row>
    <row r="291" spans="1:13" x14ac:dyDescent="0.25">
      <c r="A291" t="s">
        <v>767</v>
      </c>
      <c r="B291" t="s">
        <v>766</v>
      </c>
      <c r="C291" t="s">
        <v>1269</v>
      </c>
      <c r="D291" t="s">
        <v>2294</v>
      </c>
      <c r="E291" t="s">
        <v>1889</v>
      </c>
      <c r="F291" t="s">
        <v>1890</v>
      </c>
      <c r="G291" t="s">
        <v>1891</v>
      </c>
      <c r="H291" t="s">
        <v>769</v>
      </c>
      <c r="I291" t="s">
        <v>1269</v>
      </c>
      <c r="J291" t="s">
        <v>2318</v>
      </c>
      <c r="K291" t="s">
        <v>1889</v>
      </c>
      <c r="L291" t="s">
        <v>1890</v>
      </c>
      <c r="M291" t="s">
        <v>1891</v>
      </c>
    </row>
    <row r="292" spans="1:13" x14ac:dyDescent="0.25">
      <c r="A292" t="s">
        <v>770</v>
      </c>
      <c r="B292" t="s">
        <v>772</v>
      </c>
      <c r="C292" t="s">
        <v>1269</v>
      </c>
      <c r="D292" t="s">
        <v>2315</v>
      </c>
      <c r="E292" t="s">
        <v>1889</v>
      </c>
      <c r="F292" t="s">
        <v>1890</v>
      </c>
      <c r="G292" t="s">
        <v>1891</v>
      </c>
      <c r="H292" t="s">
        <v>769</v>
      </c>
      <c r="I292" t="s">
        <v>1269</v>
      </c>
      <c r="J292" t="s">
        <v>2318</v>
      </c>
      <c r="K292" t="s">
        <v>1889</v>
      </c>
      <c r="L292" t="s">
        <v>1890</v>
      </c>
      <c r="M292" t="s">
        <v>1891</v>
      </c>
    </row>
    <row r="293" spans="1:13" x14ac:dyDescent="0.25">
      <c r="A293" t="s">
        <v>773</v>
      </c>
      <c r="B293" t="s">
        <v>772</v>
      </c>
      <c r="C293" t="s">
        <v>1269</v>
      </c>
      <c r="D293" t="s">
        <v>2315</v>
      </c>
      <c r="E293" t="s">
        <v>1889</v>
      </c>
      <c r="F293" t="s">
        <v>1890</v>
      </c>
      <c r="G293" t="s">
        <v>1891</v>
      </c>
      <c r="H293" t="s">
        <v>775</v>
      </c>
      <c r="I293" t="s">
        <v>1269</v>
      </c>
      <c r="J293" t="s">
        <v>2327</v>
      </c>
      <c r="K293" t="s">
        <v>1889</v>
      </c>
      <c r="L293" t="s">
        <v>1890</v>
      </c>
      <c r="M293" t="s">
        <v>1891</v>
      </c>
    </row>
    <row r="294" spans="1:13" x14ac:dyDescent="0.25">
      <c r="A294" t="s">
        <v>776</v>
      </c>
      <c r="B294" t="s">
        <v>710</v>
      </c>
      <c r="C294" t="s">
        <v>1269</v>
      </c>
      <c r="D294" t="s">
        <v>2359</v>
      </c>
      <c r="E294" t="s">
        <v>1889</v>
      </c>
      <c r="F294" t="s">
        <v>1890</v>
      </c>
      <c r="G294" t="s">
        <v>1891</v>
      </c>
      <c r="H294" t="s">
        <v>2018</v>
      </c>
      <c r="I294" t="s">
        <v>1168</v>
      </c>
      <c r="J294" t="s">
        <v>1888</v>
      </c>
      <c r="K294" t="s">
        <v>1889</v>
      </c>
      <c r="L294" t="s">
        <v>1890</v>
      </c>
      <c r="M294" t="s">
        <v>1891</v>
      </c>
    </row>
    <row r="295" spans="1:13" x14ac:dyDescent="0.25">
      <c r="A295" t="s">
        <v>779</v>
      </c>
      <c r="B295" t="s">
        <v>763</v>
      </c>
      <c r="C295" t="s">
        <v>1269</v>
      </c>
      <c r="D295" t="s">
        <v>2312</v>
      </c>
      <c r="E295" t="s">
        <v>1889</v>
      </c>
      <c r="F295" t="s">
        <v>1890</v>
      </c>
      <c r="G295" t="s">
        <v>1891</v>
      </c>
      <c r="H295" t="s">
        <v>2962</v>
      </c>
      <c r="I295" t="s">
        <v>1168</v>
      </c>
      <c r="J295" t="s">
        <v>1888</v>
      </c>
      <c r="K295" t="s">
        <v>1889</v>
      </c>
      <c r="L295" t="s">
        <v>1890</v>
      </c>
      <c r="M295" t="s">
        <v>1891</v>
      </c>
    </row>
    <row r="296" spans="1:13" x14ac:dyDescent="0.25">
      <c r="A296" t="s">
        <v>780</v>
      </c>
      <c r="B296" t="s">
        <v>2962</v>
      </c>
      <c r="C296" t="s">
        <v>1168</v>
      </c>
      <c r="D296" t="s">
        <v>1888</v>
      </c>
      <c r="E296" t="s">
        <v>1889</v>
      </c>
      <c r="F296" t="s">
        <v>1890</v>
      </c>
      <c r="G296" t="s">
        <v>1891</v>
      </c>
      <c r="H296" t="s">
        <v>769</v>
      </c>
      <c r="I296" t="s">
        <v>1269</v>
      </c>
      <c r="J296" t="s">
        <v>2318</v>
      </c>
      <c r="K296" t="s">
        <v>1889</v>
      </c>
      <c r="L296" t="s">
        <v>1890</v>
      </c>
      <c r="M296" t="s">
        <v>1891</v>
      </c>
    </row>
    <row r="297" spans="1:13" x14ac:dyDescent="0.25">
      <c r="A297" t="s">
        <v>781</v>
      </c>
      <c r="B297" t="s">
        <v>775</v>
      </c>
      <c r="C297" t="s">
        <v>1269</v>
      </c>
      <c r="D297" t="s">
        <v>2327</v>
      </c>
      <c r="E297" t="s">
        <v>1889</v>
      </c>
      <c r="F297" t="s">
        <v>1890</v>
      </c>
      <c r="G297" t="s">
        <v>1891</v>
      </c>
      <c r="H297" t="s">
        <v>2962</v>
      </c>
      <c r="I297" t="s">
        <v>1168</v>
      </c>
      <c r="J297" t="s">
        <v>1888</v>
      </c>
      <c r="K297" t="s">
        <v>1889</v>
      </c>
      <c r="L297" t="s">
        <v>1890</v>
      </c>
      <c r="M297" t="s">
        <v>1891</v>
      </c>
    </row>
    <row r="298" spans="1:13" x14ac:dyDescent="0.25">
      <c r="A298" t="s">
        <v>782</v>
      </c>
      <c r="B298" t="s">
        <v>784</v>
      </c>
      <c r="C298" t="s">
        <v>1269</v>
      </c>
      <c r="D298" t="s">
        <v>2265</v>
      </c>
      <c r="E298" t="s">
        <v>1889</v>
      </c>
      <c r="F298" t="s">
        <v>1890</v>
      </c>
      <c r="G298" t="s">
        <v>1891</v>
      </c>
      <c r="H298" t="s">
        <v>786</v>
      </c>
      <c r="I298" t="s">
        <v>1269</v>
      </c>
      <c r="J298" t="s">
        <v>2117</v>
      </c>
      <c r="K298" t="s">
        <v>1889</v>
      </c>
      <c r="L298" t="s">
        <v>1890</v>
      </c>
      <c r="M298" t="s">
        <v>1891</v>
      </c>
    </row>
    <row r="299" spans="1:13" x14ac:dyDescent="0.25">
      <c r="A299" t="s">
        <v>788</v>
      </c>
      <c r="B299" t="s">
        <v>784</v>
      </c>
      <c r="C299" t="s">
        <v>1269</v>
      </c>
      <c r="D299" t="s">
        <v>2265</v>
      </c>
      <c r="E299" t="s">
        <v>1889</v>
      </c>
      <c r="F299" t="s">
        <v>1890</v>
      </c>
      <c r="G299" t="s">
        <v>1891</v>
      </c>
      <c r="H299" t="s">
        <v>643</v>
      </c>
      <c r="I299" t="s">
        <v>1269</v>
      </c>
      <c r="J299" t="s">
        <v>2232</v>
      </c>
      <c r="K299" t="s">
        <v>1889</v>
      </c>
      <c r="L299" t="s">
        <v>1890</v>
      </c>
      <c r="M299" t="s">
        <v>1891</v>
      </c>
    </row>
    <row r="300" spans="1:13" x14ac:dyDescent="0.25">
      <c r="A300" t="s">
        <v>790</v>
      </c>
      <c r="B300" t="s">
        <v>792</v>
      </c>
      <c r="C300" t="s">
        <v>1269</v>
      </c>
      <c r="D300" t="s">
        <v>2265</v>
      </c>
      <c r="E300" t="s">
        <v>1889</v>
      </c>
      <c r="F300" t="s">
        <v>1890</v>
      </c>
      <c r="G300" t="s">
        <v>1891</v>
      </c>
      <c r="H300" t="s">
        <v>643</v>
      </c>
      <c r="I300" t="s">
        <v>1269</v>
      </c>
      <c r="J300" t="s">
        <v>2232</v>
      </c>
      <c r="K300" t="s">
        <v>1889</v>
      </c>
      <c r="L300" t="s">
        <v>1890</v>
      </c>
      <c r="M300" t="s">
        <v>1891</v>
      </c>
    </row>
    <row r="301" spans="1:13" x14ac:dyDescent="0.25">
      <c r="A301" t="s">
        <v>794</v>
      </c>
      <c r="B301" t="s">
        <v>2018</v>
      </c>
      <c r="C301" t="s">
        <v>1168</v>
      </c>
      <c r="D301" t="s">
        <v>1888</v>
      </c>
      <c r="E301" t="s">
        <v>1889</v>
      </c>
      <c r="F301" t="s">
        <v>1890</v>
      </c>
      <c r="G301" t="s">
        <v>1891</v>
      </c>
      <c r="H301" t="s">
        <v>707</v>
      </c>
      <c r="I301" t="s">
        <v>1269</v>
      </c>
      <c r="J301" t="s">
        <v>2258</v>
      </c>
      <c r="K301" t="s">
        <v>1889</v>
      </c>
      <c r="L301" t="s">
        <v>1890</v>
      </c>
      <c r="M301" t="s">
        <v>1891</v>
      </c>
    </row>
    <row r="302" spans="1:13" x14ac:dyDescent="0.25">
      <c r="A302" t="s">
        <v>797</v>
      </c>
      <c r="B302" t="s">
        <v>2181</v>
      </c>
      <c r="C302" t="s">
        <v>1168</v>
      </c>
      <c r="D302" t="s">
        <v>1888</v>
      </c>
      <c r="E302" t="s">
        <v>1889</v>
      </c>
      <c r="F302" t="s">
        <v>1890</v>
      </c>
      <c r="G302" t="s">
        <v>1891</v>
      </c>
      <c r="H302" t="s">
        <v>700</v>
      </c>
      <c r="I302" t="s">
        <v>1269</v>
      </c>
      <c r="J302" t="s">
        <v>2159</v>
      </c>
      <c r="K302" t="s">
        <v>1889</v>
      </c>
      <c r="L302" t="s">
        <v>1890</v>
      </c>
      <c r="M302" t="s">
        <v>1891</v>
      </c>
    </row>
    <row r="303" spans="1:13" x14ac:dyDescent="0.25">
      <c r="A303" t="s">
        <v>800</v>
      </c>
      <c r="B303" t="s">
        <v>784</v>
      </c>
      <c r="C303" t="s">
        <v>1269</v>
      </c>
      <c r="D303" t="s">
        <v>2265</v>
      </c>
      <c r="E303" t="s">
        <v>1889</v>
      </c>
      <c r="F303" t="s">
        <v>1890</v>
      </c>
      <c r="G303" t="s">
        <v>1891</v>
      </c>
      <c r="H303" t="s">
        <v>802</v>
      </c>
      <c r="I303" t="s">
        <v>1269</v>
      </c>
      <c r="J303" t="s">
        <v>2117</v>
      </c>
      <c r="K303" t="s">
        <v>1889</v>
      </c>
      <c r="L303" t="s">
        <v>1890</v>
      </c>
      <c r="M303" t="s">
        <v>1891</v>
      </c>
    </row>
    <row r="304" spans="1:13" x14ac:dyDescent="0.25">
      <c r="A304" t="s">
        <v>804</v>
      </c>
      <c r="B304" t="s">
        <v>806</v>
      </c>
      <c r="C304" t="s">
        <v>1269</v>
      </c>
      <c r="D304" t="s">
        <v>2265</v>
      </c>
      <c r="E304" t="s">
        <v>1889</v>
      </c>
      <c r="F304" t="s">
        <v>1890</v>
      </c>
      <c r="G304" t="s">
        <v>1891</v>
      </c>
      <c r="H304" t="s">
        <v>808</v>
      </c>
      <c r="I304" t="s">
        <v>1269</v>
      </c>
      <c r="J304" t="s">
        <v>2232</v>
      </c>
      <c r="K304" t="s">
        <v>1889</v>
      </c>
      <c r="L304" t="s">
        <v>1890</v>
      </c>
      <c r="M304" t="s">
        <v>1891</v>
      </c>
    </row>
    <row r="305" spans="1:13" x14ac:dyDescent="0.25">
      <c r="A305" t="s">
        <v>810</v>
      </c>
      <c r="B305" t="s">
        <v>792</v>
      </c>
      <c r="C305" t="s">
        <v>1269</v>
      </c>
      <c r="D305" t="s">
        <v>2265</v>
      </c>
      <c r="E305" t="s">
        <v>1889</v>
      </c>
      <c r="F305" t="s">
        <v>1890</v>
      </c>
      <c r="G305" t="s">
        <v>1891</v>
      </c>
      <c r="H305" t="s">
        <v>812</v>
      </c>
      <c r="I305" t="s">
        <v>1269</v>
      </c>
      <c r="J305" t="s">
        <v>2232</v>
      </c>
      <c r="K305" t="s">
        <v>1889</v>
      </c>
      <c r="L305" t="s">
        <v>1890</v>
      </c>
      <c r="M305" t="s">
        <v>1891</v>
      </c>
    </row>
    <row r="306" spans="1:13" x14ac:dyDescent="0.25">
      <c r="A306" t="s">
        <v>814</v>
      </c>
      <c r="B306" t="s">
        <v>816</v>
      </c>
      <c r="C306" t="s">
        <v>1269</v>
      </c>
      <c r="D306" t="s">
        <v>2265</v>
      </c>
      <c r="E306" t="s">
        <v>1889</v>
      </c>
      <c r="F306" t="s">
        <v>1890</v>
      </c>
      <c r="G306" t="s">
        <v>1891</v>
      </c>
      <c r="H306" t="s">
        <v>808</v>
      </c>
      <c r="I306" t="s">
        <v>1269</v>
      </c>
      <c r="J306" t="s">
        <v>2232</v>
      </c>
      <c r="K306" t="s">
        <v>1889</v>
      </c>
      <c r="L306" t="s">
        <v>1890</v>
      </c>
      <c r="M306" t="s">
        <v>1891</v>
      </c>
    </row>
    <row r="307" spans="1:13" x14ac:dyDescent="0.25">
      <c r="A307" t="s">
        <v>818</v>
      </c>
      <c r="B307" t="s">
        <v>806</v>
      </c>
      <c r="C307" t="s">
        <v>1269</v>
      </c>
      <c r="D307" t="s">
        <v>2265</v>
      </c>
      <c r="E307" t="s">
        <v>1889</v>
      </c>
      <c r="F307" t="s">
        <v>1890</v>
      </c>
      <c r="G307" t="s">
        <v>1891</v>
      </c>
      <c r="H307" t="s">
        <v>820</v>
      </c>
      <c r="I307" t="s">
        <v>1269</v>
      </c>
      <c r="J307" t="s">
        <v>2232</v>
      </c>
      <c r="K307" t="s">
        <v>1889</v>
      </c>
      <c r="L307" t="s">
        <v>1890</v>
      </c>
      <c r="M307" t="s">
        <v>1891</v>
      </c>
    </row>
    <row r="308" spans="1:13" x14ac:dyDescent="0.25">
      <c r="A308" t="s">
        <v>822</v>
      </c>
      <c r="B308" t="s">
        <v>816</v>
      </c>
      <c r="C308" t="s">
        <v>1269</v>
      </c>
      <c r="D308" t="s">
        <v>2265</v>
      </c>
      <c r="E308" t="s">
        <v>1889</v>
      </c>
      <c r="F308" t="s">
        <v>1890</v>
      </c>
      <c r="G308" t="s">
        <v>1891</v>
      </c>
      <c r="H308" t="s">
        <v>812</v>
      </c>
      <c r="I308" t="s">
        <v>1269</v>
      </c>
      <c r="J308" t="s">
        <v>2232</v>
      </c>
      <c r="K308" t="s">
        <v>1889</v>
      </c>
      <c r="L308" t="s">
        <v>1890</v>
      </c>
      <c r="M308" t="s">
        <v>1891</v>
      </c>
    </row>
    <row r="309" spans="1:13" x14ac:dyDescent="0.25">
      <c r="A309" t="s">
        <v>824</v>
      </c>
      <c r="B309" t="s">
        <v>812</v>
      </c>
      <c r="C309" t="s">
        <v>1269</v>
      </c>
      <c r="D309" t="s">
        <v>2232</v>
      </c>
      <c r="E309" t="s">
        <v>1889</v>
      </c>
      <c r="F309" t="s">
        <v>1890</v>
      </c>
      <c r="G309" t="s">
        <v>1891</v>
      </c>
      <c r="H309" t="s">
        <v>826</v>
      </c>
      <c r="I309" t="s">
        <v>1269</v>
      </c>
      <c r="J309" t="s">
        <v>2265</v>
      </c>
      <c r="K309" t="s">
        <v>1889</v>
      </c>
      <c r="L309" t="s">
        <v>1890</v>
      </c>
      <c r="M309" t="s">
        <v>1891</v>
      </c>
    </row>
    <row r="310" spans="1:13" x14ac:dyDescent="0.25">
      <c r="A310" t="s">
        <v>828</v>
      </c>
      <c r="B310" t="s">
        <v>826</v>
      </c>
      <c r="C310" t="s">
        <v>1269</v>
      </c>
      <c r="D310" t="s">
        <v>2265</v>
      </c>
      <c r="E310" t="s">
        <v>1889</v>
      </c>
      <c r="F310" t="s">
        <v>1890</v>
      </c>
      <c r="G310" t="s">
        <v>1891</v>
      </c>
      <c r="H310" t="s">
        <v>830</v>
      </c>
      <c r="I310" t="s">
        <v>1269</v>
      </c>
      <c r="J310" t="s">
        <v>2232</v>
      </c>
      <c r="K310" t="s">
        <v>1889</v>
      </c>
      <c r="L310" t="s">
        <v>1890</v>
      </c>
      <c r="M310" t="s">
        <v>1891</v>
      </c>
    </row>
    <row r="311" spans="1:13" x14ac:dyDescent="0.25">
      <c r="A311" t="s">
        <v>832</v>
      </c>
      <c r="B311" t="s">
        <v>834</v>
      </c>
      <c r="C311" t="s">
        <v>1269</v>
      </c>
      <c r="D311" t="s">
        <v>2265</v>
      </c>
      <c r="E311" t="s">
        <v>1889</v>
      </c>
      <c r="F311" t="s">
        <v>1890</v>
      </c>
      <c r="G311" t="s">
        <v>1891</v>
      </c>
      <c r="H311" t="s">
        <v>830</v>
      </c>
      <c r="I311" t="s">
        <v>1269</v>
      </c>
      <c r="J311" t="s">
        <v>2232</v>
      </c>
      <c r="K311" t="s">
        <v>1889</v>
      </c>
      <c r="L311" t="s">
        <v>1890</v>
      </c>
      <c r="M311" t="s">
        <v>1891</v>
      </c>
    </row>
    <row r="312" spans="1:13" x14ac:dyDescent="0.25">
      <c r="A312" t="s">
        <v>836</v>
      </c>
      <c r="B312" t="s">
        <v>834</v>
      </c>
      <c r="C312" t="s">
        <v>1269</v>
      </c>
      <c r="D312" t="s">
        <v>2265</v>
      </c>
      <c r="E312" t="s">
        <v>1889</v>
      </c>
      <c r="F312" t="s">
        <v>1890</v>
      </c>
      <c r="G312" t="s">
        <v>1891</v>
      </c>
      <c r="H312" t="s">
        <v>838</v>
      </c>
      <c r="I312" t="s">
        <v>1269</v>
      </c>
      <c r="J312" t="s">
        <v>2232</v>
      </c>
      <c r="K312" t="s">
        <v>1889</v>
      </c>
      <c r="L312" t="s">
        <v>1890</v>
      </c>
      <c r="M312" t="s">
        <v>1891</v>
      </c>
    </row>
    <row r="313" spans="1:13" x14ac:dyDescent="0.25">
      <c r="A313" t="s">
        <v>840</v>
      </c>
      <c r="B313" t="s">
        <v>842</v>
      </c>
      <c r="C313" t="s">
        <v>1269</v>
      </c>
      <c r="D313" t="s">
        <v>2265</v>
      </c>
      <c r="E313" t="s">
        <v>1889</v>
      </c>
      <c r="F313" t="s">
        <v>1890</v>
      </c>
      <c r="G313" t="s">
        <v>1891</v>
      </c>
      <c r="H313" t="s">
        <v>838</v>
      </c>
      <c r="I313" t="s">
        <v>1269</v>
      </c>
      <c r="J313" t="s">
        <v>2232</v>
      </c>
      <c r="K313" t="s">
        <v>1889</v>
      </c>
      <c r="L313" t="s">
        <v>1890</v>
      </c>
      <c r="M313" t="s">
        <v>1891</v>
      </c>
    </row>
    <row r="314" spans="1:13" x14ac:dyDescent="0.25">
      <c r="A314" t="s">
        <v>844</v>
      </c>
      <c r="B314" t="s">
        <v>842</v>
      </c>
      <c r="C314" t="s">
        <v>1269</v>
      </c>
      <c r="D314" t="s">
        <v>2265</v>
      </c>
      <c r="E314" t="s">
        <v>1889</v>
      </c>
      <c r="F314" t="s">
        <v>1890</v>
      </c>
      <c r="G314" t="s">
        <v>1891</v>
      </c>
      <c r="H314" t="s">
        <v>846</v>
      </c>
      <c r="I314" t="s">
        <v>1269</v>
      </c>
      <c r="J314" t="s">
        <v>2232</v>
      </c>
      <c r="K314" t="s">
        <v>1889</v>
      </c>
      <c r="L314" t="s">
        <v>1890</v>
      </c>
      <c r="M314" t="s">
        <v>1891</v>
      </c>
    </row>
    <row r="315" spans="1:13" x14ac:dyDescent="0.25">
      <c r="A315" t="s">
        <v>848</v>
      </c>
      <c r="B315" t="s">
        <v>850</v>
      </c>
      <c r="C315" t="s">
        <v>1269</v>
      </c>
      <c r="D315" t="s">
        <v>2265</v>
      </c>
      <c r="E315" t="s">
        <v>1889</v>
      </c>
      <c r="F315" t="s">
        <v>1890</v>
      </c>
      <c r="G315" t="s">
        <v>1891</v>
      </c>
      <c r="H315" t="s">
        <v>830</v>
      </c>
      <c r="I315" t="s">
        <v>1269</v>
      </c>
      <c r="J315" t="s">
        <v>2232</v>
      </c>
      <c r="K315" t="s">
        <v>1889</v>
      </c>
      <c r="L315" t="s">
        <v>1890</v>
      </c>
      <c r="M315" t="s">
        <v>1891</v>
      </c>
    </row>
    <row r="316" spans="1:13" x14ac:dyDescent="0.25">
      <c r="A316" t="s">
        <v>852</v>
      </c>
      <c r="B316" t="s">
        <v>850</v>
      </c>
      <c r="C316" t="s">
        <v>1269</v>
      </c>
      <c r="D316" t="s">
        <v>2265</v>
      </c>
      <c r="E316" t="s">
        <v>1889</v>
      </c>
      <c r="F316" t="s">
        <v>1890</v>
      </c>
      <c r="G316" t="s">
        <v>1891</v>
      </c>
      <c r="H316" t="s">
        <v>854</v>
      </c>
      <c r="I316" t="s">
        <v>1269</v>
      </c>
      <c r="J316" t="s">
        <v>2117</v>
      </c>
      <c r="K316" t="s">
        <v>1889</v>
      </c>
      <c r="L316" t="s">
        <v>1890</v>
      </c>
      <c r="M316" t="s">
        <v>1891</v>
      </c>
    </row>
    <row r="317" spans="1:13" x14ac:dyDescent="0.25">
      <c r="A317" t="s">
        <v>856</v>
      </c>
      <c r="B317" t="s">
        <v>2063</v>
      </c>
      <c r="C317" t="s">
        <v>1168</v>
      </c>
      <c r="D317" t="s">
        <v>1888</v>
      </c>
      <c r="E317" t="s">
        <v>1889</v>
      </c>
      <c r="F317" t="s">
        <v>1890</v>
      </c>
      <c r="G317" t="s">
        <v>1891</v>
      </c>
      <c r="H317" t="s">
        <v>786</v>
      </c>
      <c r="I317" t="s">
        <v>1269</v>
      </c>
      <c r="J317" t="s">
        <v>2117</v>
      </c>
      <c r="K317" t="s">
        <v>1889</v>
      </c>
      <c r="L317" t="s">
        <v>1890</v>
      </c>
      <c r="M317" t="s">
        <v>1891</v>
      </c>
    </row>
    <row r="318" spans="1:13" x14ac:dyDescent="0.25">
      <c r="A318" t="s">
        <v>857</v>
      </c>
      <c r="B318" t="s">
        <v>2063</v>
      </c>
      <c r="C318" t="s">
        <v>1168</v>
      </c>
      <c r="D318" t="s">
        <v>1888</v>
      </c>
      <c r="E318" t="s">
        <v>1889</v>
      </c>
      <c r="F318" t="s">
        <v>1890</v>
      </c>
      <c r="G318" t="s">
        <v>1891</v>
      </c>
      <c r="H318" t="s">
        <v>802</v>
      </c>
      <c r="I318" t="s">
        <v>1269</v>
      </c>
      <c r="J318" t="s">
        <v>2117</v>
      </c>
      <c r="K318" t="s">
        <v>1889</v>
      </c>
      <c r="L318" t="s">
        <v>1890</v>
      </c>
      <c r="M318" t="s">
        <v>1891</v>
      </c>
    </row>
    <row r="319" spans="1:13" x14ac:dyDescent="0.25">
      <c r="A319" t="s">
        <v>858</v>
      </c>
      <c r="B319" t="s">
        <v>3400</v>
      </c>
      <c r="C319" t="s">
        <v>1258</v>
      </c>
      <c r="D319" t="s">
        <v>1888</v>
      </c>
      <c r="E319" t="s">
        <v>1889</v>
      </c>
      <c r="F319" t="s">
        <v>1890</v>
      </c>
      <c r="G319" t="s">
        <v>1891</v>
      </c>
      <c r="H319" t="s">
        <v>2962</v>
      </c>
      <c r="I319" t="s">
        <v>1168</v>
      </c>
      <c r="J319" t="s">
        <v>1888</v>
      </c>
      <c r="K319" t="s">
        <v>1889</v>
      </c>
      <c r="L319" t="s">
        <v>1890</v>
      </c>
      <c r="M319" t="s">
        <v>1891</v>
      </c>
    </row>
    <row r="320" spans="1:13" x14ac:dyDescent="0.25">
      <c r="A320" t="s">
        <v>859</v>
      </c>
      <c r="B320" t="s">
        <v>860</v>
      </c>
      <c r="C320" t="s">
        <v>1258</v>
      </c>
      <c r="D320" t="s">
        <v>1888</v>
      </c>
      <c r="E320" t="s">
        <v>1889</v>
      </c>
      <c r="F320" t="s">
        <v>1890</v>
      </c>
      <c r="G320" t="s">
        <v>1891</v>
      </c>
      <c r="H320" t="s">
        <v>2962</v>
      </c>
      <c r="I320" t="s">
        <v>1168</v>
      </c>
      <c r="J320" t="s">
        <v>1888</v>
      </c>
      <c r="K320" t="s">
        <v>1889</v>
      </c>
      <c r="L320" t="s">
        <v>1890</v>
      </c>
      <c r="M320" t="s">
        <v>1891</v>
      </c>
    </row>
    <row r="321" spans="1:13" x14ac:dyDescent="0.25">
      <c r="A321" t="s">
        <v>861</v>
      </c>
      <c r="B321" t="s">
        <v>2958</v>
      </c>
      <c r="C321" t="s">
        <v>1168</v>
      </c>
      <c r="D321" t="s">
        <v>1888</v>
      </c>
      <c r="E321" t="s">
        <v>1889</v>
      </c>
      <c r="F321" t="s">
        <v>1890</v>
      </c>
      <c r="G321" t="s">
        <v>1891</v>
      </c>
      <c r="H321" t="s">
        <v>860</v>
      </c>
      <c r="I321" t="s">
        <v>1258</v>
      </c>
      <c r="J321" t="s">
        <v>1888</v>
      </c>
      <c r="K321" t="s">
        <v>1889</v>
      </c>
      <c r="L321" t="s">
        <v>1890</v>
      </c>
      <c r="M321" t="s">
        <v>1891</v>
      </c>
    </row>
    <row r="322" spans="1:13" x14ac:dyDescent="0.25">
      <c r="A322" t="s">
        <v>862</v>
      </c>
      <c r="B322" t="s">
        <v>2958</v>
      </c>
      <c r="C322" t="s">
        <v>1168</v>
      </c>
      <c r="D322" t="s">
        <v>1888</v>
      </c>
      <c r="E322" t="s">
        <v>1889</v>
      </c>
      <c r="F322" t="s">
        <v>1890</v>
      </c>
      <c r="G322" t="s">
        <v>1891</v>
      </c>
      <c r="H322" t="s">
        <v>3400</v>
      </c>
      <c r="I322" t="s">
        <v>1258</v>
      </c>
      <c r="J322" t="s">
        <v>1888</v>
      </c>
      <c r="K322" t="s">
        <v>1889</v>
      </c>
      <c r="L322" t="s">
        <v>1890</v>
      </c>
      <c r="M322" t="s">
        <v>1891</v>
      </c>
    </row>
    <row r="323" spans="1:13" x14ac:dyDescent="0.25">
      <c r="A323" t="s">
        <v>863</v>
      </c>
      <c r="B323" t="s">
        <v>2070</v>
      </c>
      <c r="C323" t="s">
        <v>1168</v>
      </c>
      <c r="D323" t="s">
        <v>1888</v>
      </c>
      <c r="E323" t="s">
        <v>1889</v>
      </c>
      <c r="F323" t="s">
        <v>1890</v>
      </c>
      <c r="G323" t="s">
        <v>1891</v>
      </c>
      <c r="H323" t="s">
        <v>386</v>
      </c>
      <c r="I323" t="s">
        <v>1258</v>
      </c>
      <c r="J323" t="s">
        <v>1888</v>
      </c>
      <c r="K323" t="s">
        <v>1889</v>
      </c>
      <c r="L323" t="s">
        <v>1890</v>
      </c>
      <c r="M323" t="s">
        <v>1891</v>
      </c>
    </row>
    <row r="324" spans="1:13" x14ac:dyDescent="0.25">
      <c r="A324" t="s">
        <v>866</v>
      </c>
      <c r="B324" t="s">
        <v>2070</v>
      </c>
      <c r="C324" t="s">
        <v>1168</v>
      </c>
      <c r="D324" t="s">
        <v>1888</v>
      </c>
      <c r="E324" t="s">
        <v>1889</v>
      </c>
      <c r="F324" t="s">
        <v>1890</v>
      </c>
      <c r="G324" t="s">
        <v>1891</v>
      </c>
      <c r="H324" t="s">
        <v>284</v>
      </c>
      <c r="I324" t="s">
        <v>1258</v>
      </c>
      <c r="J324" t="s">
        <v>1888</v>
      </c>
      <c r="K324" t="s">
        <v>1889</v>
      </c>
      <c r="L324" t="s">
        <v>1890</v>
      </c>
      <c r="M324" t="s">
        <v>1891</v>
      </c>
    </row>
    <row r="325" spans="1:13" x14ac:dyDescent="0.25">
      <c r="A325" t="s">
        <v>869</v>
      </c>
      <c r="B325" t="s">
        <v>77</v>
      </c>
      <c r="C325" t="s">
        <v>1258</v>
      </c>
      <c r="D325" t="s">
        <v>1888</v>
      </c>
      <c r="E325" t="s">
        <v>1889</v>
      </c>
      <c r="F325" t="s">
        <v>1890</v>
      </c>
      <c r="G325" t="s">
        <v>1891</v>
      </c>
      <c r="H325" t="s">
        <v>2070</v>
      </c>
      <c r="I325" t="s">
        <v>1168</v>
      </c>
      <c r="J325" t="s">
        <v>1888</v>
      </c>
      <c r="K325" t="s">
        <v>1889</v>
      </c>
      <c r="L325" t="s">
        <v>1890</v>
      </c>
      <c r="M325" t="s">
        <v>1891</v>
      </c>
    </row>
    <row r="326" spans="1:13" x14ac:dyDescent="0.25">
      <c r="A326" t="s">
        <v>873</v>
      </c>
      <c r="B326" t="s">
        <v>77</v>
      </c>
      <c r="C326" t="s">
        <v>1258</v>
      </c>
      <c r="D326" t="s">
        <v>1888</v>
      </c>
      <c r="E326" t="s">
        <v>1889</v>
      </c>
      <c r="F326" t="s">
        <v>1890</v>
      </c>
      <c r="G326" t="s">
        <v>1891</v>
      </c>
      <c r="H326" t="s">
        <v>2958</v>
      </c>
      <c r="I326" t="s">
        <v>1168</v>
      </c>
      <c r="J326" t="s">
        <v>1888</v>
      </c>
      <c r="K326" t="s">
        <v>1889</v>
      </c>
      <c r="L326" t="s">
        <v>1890</v>
      </c>
      <c r="M326" t="s">
        <v>1891</v>
      </c>
    </row>
    <row r="327" spans="1:13" x14ac:dyDescent="0.25">
      <c r="A327" t="s">
        <v>874</v>
      </c>
      <c r="B327" t="s">
        <v>2965</v>
      </c>
      <c r="C327" t="s">
        <v>1168</v>
      </c>
      <c r="D327" t="s">
        <v>1888</v>
      </c>
      <c r="E327" t="s">
        <v>1889</v>
      </c>
      <c r="F327" t="s">
        <v>1890</v>
      </c>
      <c r="G327" t="s">
        <v>1891</v>
      </c>
      <c r="H327" t="s">
        <v>2021</v>
      </c>
      <c r="I327" t="s">
        <v>1168</v>
      </c>
      <c r="J327" t="s">
        <v>1888</v>
      </c>
      <c r="K327" t="s">
        <v>1889</v>
      </c>
      <c r="L327" t="s">
        <v>1890</v>
      </c>
      <c r="M327" t="s">
        <v>1891</v>
      </c>
    </row>
    <row r="328" spans="1:13" x14ac:dyDescent="0.25">
      <c r="A328" t="s">
        <v>879</v>
      </c>
      <c r="B328" t="s">
        <v>2973</v>
      </c>
      <c r="C328" t="s">
        <v>1168</v>
      </c>
      <c r="D328" t="s">
        <v>1888</v>
      </c>
      <c r="E328" t="s">
        <v>1889</v>
      </c>
      <c r="F328" t="s">
        <v>1890</v>
      </c>
      <c r="G328" t="s">
        <v>1891</v>
      </c>
      <c r="H328" t="s">
        <v>2021</v>
      </c>
      <c r="I328" t="s">
        <v>1168</v>
      </c>
      <c r="J328" t="s">
        <v>1888</v>
      </c>
      <c r="K328" t="s">
        <v>1889</v>
      </c>
      <c r="L328" t="s">
        <v>1890</v>
      </c>
      <c r="M328" t="s">
        <v>1891</v>
      </c>
    </row>
    <row r="329" spans="1:13" x14ac:dyDescent="0.25">
      <c r="A329" t="s">
        <v>884</v>
      </c>
      <c r="B329" t="s">
        <v>2964</v>
      </c>
      <c r="C329" t="s">
        <v>1168</v>
      </c>
      <c r="D329" t="s">
        <v>1888</v>
      </c>
      <c r="E329" t="s">
        <v>1889</v>
      </c>
      <c r="F329" t="s">
        <v>1890</v>
      </c>
      <c r="G329" t="s">
        <v>1891</v>
      </c>
      <c r="H329" t="s">
        <v>2021</v>
      </c>
      <c r="I329" t="s">
        <v>1168</v>
      </c>
      <c r="J329" t="s">
        <v>1888</v>
      </c>
      <c r="K329" t="s">
        <v>1889</v>
      </c>
      <c r="L329" t="s">
        <v>1890</v>
      </c>
      <c r="M329" t="s">
        <v>1891</v>
      </c>
    </row>
    <row r="330" spans="1:13" x14ac:dyDescent="0.25">
      <c r="A330" t="s">
        <v>889</v>
      </c>
      <c r="B330" t="s">
        <v>2449</v>
      </c>
      <c r="C330" t="s">
        <v>1168</v>
      </c>
      <c r="D330" t="s">
        <v>1888</v>
      </c>
      <c r="E330" t="s">
        <v>1889</v>
      </c>
      <c r="F330" t="s">
        <v>1890</v>
      </c>
      <c r="G330" t="s">
        <v>1891</v>
      </c>
      <c r="H330" t="s">
        <v>2021</v>
      </c>
      <c r="I330" t="s">
        <v>1168</v>
      </c>
      <c r="J330" t="s">
        <v>1888</v>
      </c>
      <c r="K330" t="s">
        <v>1889</v>
      </c>
      <c r="L330" t="s">
        <v>1890</v>
      </c>
      <c r="M330" t="s">
        <v>1891</v>
      </c>
    </row>
    <row r="331" spans="1:13" x14ac:dyDescent="0.25">
      <c r="A331" t="s">
        <v>894</v>
      </c>
      <c r="B331" t="s">
        <v>2966</v>
      </c>
      <c r="C331" t="s">
        <v>1168</v>
      </c>
      <c r="D331" t="s">
        <v>1888</v>
      </c>
      <c r="E331" t="s">
        <v>1889</v>
      </c>
      <c r="F331" t="s">
        <v>1890</v>
      </c>
      <c r="G331" t="s">
        <v>1891</v>
      </c>
      <c r="H331" t="s">
        <v>2021</v>
      </c>
      <c r="I331" t="s">
        <v>1168</v>
      </c>
      <c r="J331" t="s">
        <v>1888</v>
      </c>
      <c r="K331" t="s">
        <v>1889</v>
      </c>
      <c r="L331" t="s">
        <v>1890</v>
      </c>
      <c r="M331" t="s">
        <v>1891</v>
      </c>
    </row>
    <row r="332" spans="1:13" x14ac:dyDescent="0.25">
      <c r="A332" t="s">
        <v>899</v>
      </c>
      <c r="B332" t="s">
        <v>902</v>
      </c>
      <c r="C332" t="s">
        <v>1168</v>
      </c>
      <c r="D332" t="s">
        <v>1888</v>
      </c>
      <c r="E332" t="s">
        <v>1889</v>
      </c>
      <c r="F332" t="s">
        <v>1890</v>
      </c>
      <c r="G332" t="s">
        <v>1891</v>
      </c>
      <c r="H332" t="s">
        <v>2021</v>
      </c>
      <c r="I332" t="s">
        <v>1168</v>
      </c>
      <c r="J332" t="s">
        <v>1888</v>
      </c>
      <c r="K332" t="s">
        <v>1889</v>
      </c>
      <c r="L332" t="s">
        <v>1890</v>
      </c>
      <c r="M332" t="s">
        <v>1891</v>
      </c>
    </row>
    <row r="333" spans="1:13" x14ac:dyDescent="0.25">
      <c r="A333" t="s">
        <v>903</v>
      </c>
      <c r="B333" t="s">
        <v>2967</v>
      </c>
      <c r="C333" t="s">
        <v>1168</v>
      </c>
      <c r="D333" t="s">
        <v>1888</v>
      </c>
      <c r="E333" t="s">
        <v>1889</v>
      </c>
      <c r="F333" t="s">
        <v>1890</v>
      </c>
      <c r="G333" t="s">
        <v>1891</v>
      </c>
      <c r="H333" t="s">
        <v>2021</v>
      </c>
      <c r="I333" t="s">
        <v>1168</v>
      </c>
      <c r="J333" t="s">
        <v>1888</v>
      </c>
      <c r="K333" t="s">
        <v>1889</v>
      </c>
      <c r="L333" t="s">
        <v>1890</v>
      </c>
      <c r="M333" t="s">
        <v>1891</v>
      </c>
    </row>
    <row r="334" spans="1:13" x14ac:dyDescent="0.25">
      <c r="A334" t="s">
        <v>908</v>
      </c>
      <c r="B334" t="s">
        <v>911</v>
      </c>
      <c r="C334" t="s">
        <v>1168</v>
      </c>
      <c r="D334" t="s">
        <v>1888</v>
      </c>
      <c r="E334" t="s">
        <v>1889</v>
      </c>
      <c r="F334" t="s">
        <v>1890</v>
      </c>
      <c r="G334" t="s">
        <v>1891</v>
      </c>
      <c r="H334" t="s">
        <v>2021</v>
      </c>
      <c r="I334" t="s">
        <v>1168</v>
      </c>
      <c r="J334" t="s">
        <v>1888</v>
      </c>
      <c r="K334" t="s">
        <v>1889</v>
      </c>
      <c r="L334" t="s">
        <v>1890</v>
      </c>
      <c r="M334" t="s">
        <v>1891</v>
      </c>
    </row>
    <row r="335" spans="1:13" x14ac:dyDescent="0.25">
      <c r="A335" t="s">
        <v>912</v>
      </c>
      <c r="B335" t="s">
        <v>2021</v>
      </c>
      <c r="C335" t="s">
        <v>1168</v>
      </c>
      <c r="D335" t="s">
        <v>1888</v>
      </c>
      <c r="E335" t="s">
        <v>1889</v>
      </c>
      <c r="F335" t="s">
        <v>1890</v>
      </c>
      <c r="G335" t="s">
        <v>1891</v>
      </c>
      <c r="H335" t="s">
        <v>2024</v>
      </c>
      <c r="I335" t="s">
        <v>1168</v>
      </c>
      <c r="J335" t="s">
        <v>1888</v>
      </c>
      <c r="K335" t="s">
        <v>1889</v>
      </c>
      <c r="L335" t="s">
        <v>1890</v>
      </c>
      <c r="M335" t="s">
        <v>1891</v>
      </c>
    </row>
    <row r="336" spans="1:13" x14ac:dyDescent="0.25">
      <c r="A336" t="s">
        <v>915</v>
      </c>
      <c r="B336" t="s">
        <v>2045</v>
      </c>
      <c r="C336" t="s">
        <v>1168</v>
      </c>
      <c r="D336" t="s">
        <v>1888</v>
      </c>
      <c r="E336" t="s">
        <v>1889</v>
      </c>
      <c r="F336" t="s">
        <v>1890</v>
      </c>
      <c r="G336" t="s">
        <v>1891</v>
      </c>
      <c r="H336" t="s">
        <v>2030</v>
      </c>
      <c r="I336" t="s">
        <v>1168</v>
      </c>
      <c r="J336" t="s">
        <v>1888</v>
      </c>
      <c r="K336" t="s">
        <v>1889</v>
      </c>
      <c r="L336" t="s">
        <v>1890</v>
      </c>
      <c r="M336" t="s">
        <v>1891</v>
      </c>
    </row>
    <row r="337" spans="1:13" x14ac:dyDescent="0.25">
      <c r="A337" t="s">
        <v>916</v>
      </c>
      <c r="B337" t="s">
        <v>2005</v>
      </c>
      <c r="C337" t="s">
        <v>1168</v>
      </c>
      <c r="D337" t="s">
        <v>1888</v>
      </c>
      <c r="E337" t="s">
        <v>1889</v>
      </c>
      <c r="F337" t="s">
        <v>1890</v>
      </c>
      <c r="G337" t="s">
        <v>1891</v>
      </c>
      <c r="H337" t="s">
        <v>2030</v>
      </c>
      <c r="I337" t="s">
        <v>1168</v>
      </c>
      <c r="J337" t="s">
        <v>1888</v>
      </c>
      <c r="K337" t="s">
        <v>1889</v>
      </c>
      <c r="L337" t="s">
        <v>1890</v>
      </c>
      <c r="M337" t="s">
        <v>1891</v>
      </c>
    </row>
    <row r="338" spans="1:13" x14ac:dyDescent="0.25">
      <c r="A338" t="s">
        <v>920</v>
      </c>
      <c r="B338" t="s">
        <v>2498</v>
      </c>
      <c r="C338" t="s">
        <v>1168</v>
      </c>
      <c r="D338" t="s">
        <v>1888</v>
      </c>
      <c r="E338" t="s">
        <v>1889</v>
      </c>
      <c r="F338" t="s">
        <v>1890</v>
      </c>
      <c r="G338" t="s">
        <v>1891</v>
      </c>
      <c r="H338" t="s">
        <v>2030</v>
      </c>
      <c r="I338" t="s">
        <v>1168</v>
      </c>
      <c r="J338" t="s">
        <v>1888</v>
      </c>
      <c r="K338" t="s">
        <v>1889</v>
      </c>
      <c r="L338" t="s">
        <v>1890</v>
      </c>
      <c r="M338" t="s">
        <v>1891</v>
      </c>
    </row>
    <row r="339" spans="1:13" x14ac:dyDescent="0.25">
      <c r="A339" t="s">
        <v>924</v>
      </c>
      <c r="B339" t="s">
        <v>2458</v>
      </c>
      <c r="C339" t="s">
        <v>1168</v>
      </c>
      <c r="D339" t="s">
        <v>1888</v>
      </c>
      <c r="E339" t="s">
        <v>1889</v>
      </c>
      <c r="F339" t="s">
        <v>1890</v>
      </c>
      <c r="G339" t="s">
        <v>1891</v>
      </c>
      <c r="H339" t="s">
        <v>2030</v>
      </c>
      <c r="I339" t="s">
        <v>1168</v>
      </c>
      <c r="J339" t="s">
        <v>1888</v>
      </c>
      <c r="K339" t="s">
        <v>1889</v>
      </c>
      <c r="L339" t="s">
        <v>1890</v>
      </c>
      <c r="M339" t="s">
        <v>1891</v>
      </c>
    </row>
    <row r="340" spans="1:13" x14ac:dyDescent="0.25">
      <c r="A340" t="s">
        <v>928</v>
      </c>
      <c r="B340" t="s">
        <v>2111</v>
      </c>
      <c r="C340" t="s">
        <v>1168</v>
      </c>
      <c r="D340" t="s">
        <v>1888</v>
      </c>
      <c r="E340" t="s">
        <v>1889</v>
      </c>
      <c r="F340" t="s">
        <v>1890</v>
      </c>
      <c r="G340" t="s">
        <v>1891</v>
      </c>
      <c r="H340" t="s">
        <v>2018</v>
      </c>
      <c r="I340" t="s">
        <v>1168</v>
      </c>
      <c r="J340" t="s">
        <v>1888</v>
      </c>
      <c r="K340" t="s">
        <v>1889</v>
      </c>
      <c r="L340" t="s">
        <v>1890</v>
      </c>
      <c r="M340" t="s">
        <v>1891</v>
      </c>
    </row>
    <row r="341" spans="1:13" x14ac:dyDescent="0.25">
      <c r="A341" t="s">
        <v>931</v>
      </c>
      <c r="B341" t="s">
        <v>2191</v>
      </c>
      <c r="C341" t="s">
        <v>1168</v>
      </c>
      <c r="D341" t="s">
        <v>1888</v>
      </c>
      <c r="E341" t="s">
        <v>1889</v>
      </c>
      <c r="F341" t="s">
        <v>1890</v>
      </c>
      <c r="G341" t="s">
        <v>1891</v>
      </c>
      <c r="H341" t="s">
        <v>2015</v>
      </c>
      <c r="I341" t="s">
        <v>1168</v>
      </c>
      <c r="J341" t="s">
        <v>1888</v>
      </c>
      <c r="K341" t="s">
        <v>1889</v>
      </c>
      <c r="L341" t="s">
        <v>1890</v>
      </c>
      <c r="M341" t="s">
        <v>1891</v>
      </c>
    </row>
    <row r="342" spans="1:13" x14ac:dyDescent="0.25">
      <c r="A342" t="s">
        <v>937</v>
      </c>
      <c r="B342" t="s">
        <v>2070</v>
      </c>
      <c r="C342" t="s">
        <v>1168</v>
      </c>
      <c r="D342" t="s">
        <v>1888</v>
      </c>
      <c r="E342" t="s">
        <v>1889</v>
      </c>
      <c r="F342" t="s">
        <v>1890</v>
      </c>
      <c r="G342" t="s">
        <v>1891</v>
      </c>
      <c r="H342" t="s">
        <v>2015</v>
      </c>
      <c r="I342" t="s">
        <v>1168</v>
      </c>
      <c r="J342" t="s">
        <v>1888</v>
      </c>
      <c r="K342" t="s">
        <v>1889</v>
      </c>
      <c r="L342" t="s">
        <v>1890</v>
      </c>
      <c r="M342" t="s">
        <v>1891</v>
      </c>
    </row>
    <row r="343" spans="1:13" x14ac:dyDescent="0.25">
      <c r="A343" t="s">
        <v>943</v>
      </c>
      <c r="B343" t="s">
        <v>2461</v>
      </c>
      <c r="C343" t="s">
        <v>1168</v>
      </c>
      <c r="D343" t="s">
        <v>1888</v>
      </c>
      <c r="E343" t="s">
        <v>1889</v>
      </c>
      <c r="F343" t="s">
        <v>1890</v>
      </c>
      <c r="G343" t="s">
        <v>1891</v>
      </c>
      <c r="H343" t="s">
        <v>2015</v>
      </c>
      <c r="I343" t="s">
        <v>1168</v>
      </c>
      <c r="J343" t="s">
        <v>1888</v>
      </c>
      <c r="K343" t="s">
        <v>1889</v>
      </c>
      <c r="L343" t="s">
        <v>1890</v>
      </c>
      <c r="M343" t="s">
        <v>1891</v>
      </c>
    </row>
    <row r="344" spans="1:13" x14ac:dyDescent="0.25">
      <c r="A344" t="s">
        <v>948</v>
      </c>
      <c r="B344" t="s">
        <v>2464</v>
      </c>
      <c r="C344" t="s">
        <v>1168</v>
      </c>
      <c r="D344" t="s">
        <v>1888</v>
      </c>
      <c r="E344" t="s">
        <v>1889</v>
      </c>
      <c r="F344" t="s">
        <v>1890</v>
      </c>
      <c r="G344" t="s">
        <v>1891</v>
      </c>
      <c r="H344" t="s">
        <v>2015</v>
      </c>
      <c r="I344" t="s">
        <v>1168</v>
      </c>
      <c r="J344" t="s">
        <v>1888</v>
      </c>
      <c r="K344" t="s">
        <v>1889</v>
      </c>
      <c r="L344" t="s">
        <v>1890</v>
      </c>
      <c r="M344" t="s">
        <v>1891</v>
      </c>
    </row>
    <row r="345" spans="1:13" x14ac:dyDescent="0.25">
      <c r="A345" t="s">
        <v>953</v>
      </c>
      <c r="B345" t="s">
        <v>2094</v>
      </c>
      <c r="C345" t="s">
        <v>1168</v>
      </c>
      <c r="D345" t="s">
        <v>1888</v>
      </c>
      <c r="E345" t="s">
        <v>1889</v>
      </c>
      <c r="F345" t="s">
        <v>1890</v>
      </c>
      <c r="G345" t="s">
        <v>1891</v>
      </c>
      <c r="H345" t="s">
        <v>2021</v>
      </c>
      <c r="I345" t="s">
        <v>1168</v>
      </c>
      <c r="J345" t="s">
        <v>1888</v>
      </c>
      <c r="K345" t="s">
        <v>1889</v>
      </c>
      <c r="L345" t="s">
        <v>1890</v>
      </c>
      <c r="M345" t="s">
        <v>1891</v>
      </c>
    </row>
    <row r="346" spans="1:13" x14ac:dyDescent="0.25">
      <c r="A346" t="s">
        <v>956</v>
      </c>
      <c r="B346" t="s">
        <v>2957</v>
      </c>
      <c r="C346" t="s">
        <v>1168</v>
      </c>
      <c r="D346" t="s">
        <v>1888</v>
      </c>
      <c r="E346" t="s">
        <v>1889</v>
      </c>
      <c r="F346" t="s">
        <v>1890</v>
      </c>
      <c r="G346" t="s">
        <v>1891</v>
      </c>
      <c r="H346" t="s">
        <v>2021</v>
      </c>
      <c r="I346" t="s">
        <v>1168</v>
      </c>
      <c r="J346" t="s">
        <v>1888</v>
      </c>
      <c r="K346" t="s">
        <v>1889</v>
      </c>
      <c r="L346" t="s">
        <v>1890</v>
      </c>
      <c r="M346" t="s">
        <v>1891</v>
      </c>
    </row>
    <row r="347" spans="1:13" x14ac:dyDescent="0.25">
      <c r="A347" t="s">
        <v>958</v>
      </c>
      <c r="B347" t="s">
        <v>2963</v>
      </c>
      <c r="C347" t="s">
        <v>1168</v>
      </c>
      <c r="D347" t="s">
        <v>1888</v>
      </c>
      <c r="E347" t="s">
        <v>1889</v>
      </c>
      <c r="F347" t="s">
        <v>1890</v>
      </c>
      <c r="G347" t="s">
        <v>1891</v>
      </c>
      <c r="H347" t="s">
        <v>2021</v>
      </c>
      <c r="I347" t="s">
        <v>1168</v>
      </c>
      <c r="J347" t="s">
        <v>1888</v>
      </c>
      <c r="K347" t="s">
        <v>1889</v>
      </c>
      <c r="L347" t="s">
        <v>1890</v>
      </c>
      <c r="M347" t="s">
        <v>1891</v>
      </c>
    </row>
    <row r="348" spans="1:13" x14ac:dyDescent="0.25">
      <c r="A348" t="s">
        <v>959</v>
      </c>
      <c r="B348" t="s">
        <v>2952</v>
      </c>
      <c r="C348" t="s">
        <v>1168</v>
      </c>
      <c r="D348" t="s">
        <v>1888</v>
      </c>
      <c r="E348" t="s">
        <v>1889</v>
      </c>
      <c r="F348" t="s">
        <v>1890</v>
      </c>
      <c r="G348" t="s">
        <v>1891</v>
      </c>
      <c r="H348" t="s">
        <v>2021</v>
      </c>
      <c r="I348" t="s">
        <v>1168</v>
      </c>
      <c r="J348" t="s">
        <v>1888</v>
      </c>
      <c r="K348" t="s">
        <v>1889</v>
      </c>
      <c r="L348" t="s">
        <v>1890</v>
      </c>
      <c r="M348" t="s">
        <v>1891</v>
      </c>
    </row>
    <row r="349" spans="1:13" x14ac:dyDescent="0.25">
      <c r="A349" t="s">
        <v>962</v>
      </c>
      <c r="B349" t="s">
        <v>2963</v>
      </c>
      <c r="C349" t="s">
        <v>1168</v>
      </c>
      <c r="D349" t="s">
        <v>1888</v>
      </c>
      <c r="E349" t="s">
        <v>1889</v>
      </c>
      <c r="F349" t="s">
        <v>1890</v>
      </c>
      <c r="G349" t="s">
        <v>1891</v>
      </c>
      <c r="H349" t="s">
        <v>2102</v>
      </c>
      <c r="I349" t="s">
        <v>1168</v>
      </c>
      <c r="J349" t="s">
        <v>1888</v>
      </c>
      <c r="K349" t="s">
        <v>1889</v>
      </c>
      <c r="L349" t="s">
        <v>1890</v>
      </c>
      <c r="M349" t="s">
        <v>1891</v>
      </c>
    </row>
    <row r="350" spans="1:13" x14ac:dyDescent="0.25">
      <c r="A350" t="s">
        <v>965</v>
      </c>
      <c r="B350" t="s">
        <v>2349</v>
      </c>
      <c r="C350" t="s">
        <v>1168</v>
      </c>
      <c r="D350" t="s">
        <v>1888</v>
      </c>
      <c r="E350" t="s">
        <v>1889</v>
      </c>
      <c r="F350" t="s">
        <v>1890</v>
      </c>
      <c r="G350" t="s">
        <v>1891</v>
      </c>
      <c r="H350" t="s">
        <v>2102</v>
      </c>
      <c r="I350" t="s">
        <v>1168</v>
      </c>
      <c r="J350" t="s">
        <v>1888</v>
      </c>
      <c r="K350" t="s">
        <v>1889</v>
      </c>
      <c r="L350" t="s">
        <v>1890</v>
      </c>
      <c r="M350" t="s">
        <v>1891</v>
      </c>
    </row>
    <row r="351" spans="1:13" x14ac:dyDescent="0.25">
      <c r="A351" t="s">
        <v>968</v>
      </c>
      <c r="B351" t="s">
        <v>2469</v>
      </c>
      <c r="C351" t="s">
        <v>1168</v>
      </c>
      <c r="D351" t="s">
        <v>1888</v>
      </c>
      <c r="E351" t="s">
        <v>1889</v>
      </c>
      <c r="F351" t="s">
        <v>1890</v>
      </c>
      <c r="G351" t="s">
        <v>1891</v>
      </c>
      <c r="H351" t="s">
        <v>2102</v>
      </c>
      <c r="I351" t="s">
        <v>1168</v>
      </c>
      <c r="J351" t="s">
        <v>1888</v>
      </c>
      <c r="K351" t="s">
        <v>1889</v>
      </c>
      <c r="L351" t="s">
        <v>1890</v>
      </c>
      <c r="M351" t="s">
        <v>1891</v>
      </c>
    </row>
    <row r="352" spans="1:13" x14ac:dyDescent="0.25">
      <c r="A352" t="s">
        <v>970</v>
      </c>
      <c r="B352" t="s">
        <v>2015</v>
      </c>
      <c r="C352" t="s">
        <v>1168</v>
      </c>
      <c r="D352" t="s">
        <v>1888</v>
      </c>
      <c r="E352" t="s">
        <v>1889</v>
      </c>
      <c r="F352" t="s">
        <v>1890</v>
      </c>
      <c r="G352" t="s">
        <v>1891</v>
      </c>
      <c r="H352" t="s">
        <v>2063</v>
      </c>
      <c r="I352" t="s">
        <v>1168</v>
      </c>
      <c r="J352" t="s">
        <v>1888</v>
      </c>
      <c r="K352" t="s">
        <v>1889</v>
      </c>
      <c r="L352" t="s">
        <v>1890</v>
      </c>
      <c r="M352" t="s">
        <v>1891</v>
      </c>
    </row>
    <row r="353" spans="1:13" x14ac:dyDescent="0.25">
      <c r="A353" t="s">
        <v>973</v>
      </c>
      <c r="B353" t="s">
        <v>2963</v>
      </c>
      <c r="C353" t="s">
        <v>1168</v>
      </c>
      <c r="D353" t="s">
        <v>1888</v>
      </c>
      <c r="E353" t="s">
        <v>1889</v>
      </c>
      <c r="F353" t="s">
        <v>1890</v>
      </c>
      <c r="G353" t="s">
        <v>1891</v>
      </c>
      <c r="H353" t="s">
        <v>2015</v>
      </c>
      <c r="I353" t="s">
        <v>1168</v>
      </c>
      <c r="J353" t="s">
        <v>1888</v>
      </c>
      <c r="K353" t="s">
        <v>1889</v>
      </c>
      <c r="L353" t="s">
        <v>1890</v>
      </c>
      <c r="M353" t="s">
        <v>1891</v>
      </c>
    </row>
    <row r="354" spans="1:13" x14ac:dyDescent="0.25">
      <c r="A354" t="s">
        <v>976</v>
      </c>
      <c r="B354" t="s">
        <v>2349</v>
      </c>
      <c r="C354" t="s">
        <v>1168</v>
      </c>
      <c r="D354" t="s">
        <v>1888</v>
      </c>
      <c r="E354" t="s">
        <v>1889</v>
      </c>
      <c r="F354" t="s">
        <v>1890</v>
      </c>
      <c r="G354" t="s">
        <v>1891</v>
      </c>
      <c r="H354" t="s">
        <v>3082</v>
      </c>
      <c r="I354" t="s">
        <v>1168</v>
      </c>
      <c r="J354" t="s">
        <v>1888</v>
      </c>
      <c r="K354" t="s">
        <v>1889</v>
      </c>
      <c r="L354" t="s">
        <v>1890</v>
      </c>
      <c r="M354" t="s">
        <v>1891</v>
      </c>
    </row>
    <row r="355" spans="1:13" x14ac:dyDescent="0.25">
      <c r="A355" t="s">
        <v>977</v>
      </c>
      <c r="B355" t="s">
        <v>2045</v>
      </c>
      <c r="C355" t="s">
        <v>1168</v>
      </c>
      <c r="D355" t="s">
        <v>1888</v>
      </c>
      <c r="E355" t="s">
        <v>1889</v>
      </c>
      <c r="F355" t="s">
        <v>1890</v>
      </c>
      <c r="G355" t="s">
        <v>1891</v>
      </c>
      <c r="H355" t="s">
        <v>3082</v>
      </c>
      <c r="I355" t="s">
        <v>1168</v>
      </c>
      <c r="J355" t="s">
        <v>1888</v>
      </c>
      <c r="K355" t="s">
        <v>1889</v>
      </c>
      <c r="L355" t="s">
        <v>1890</v>
      </c>
      <c r="M355" t="s">
        <v>1891</v>
      </c>
    </row>
    <row r="356" spans="1:13" x14ac:dyDescent="0.25">
      <c r="A356" t="s">
        <v>978</v>
      </c>
      <c r="B356" t="s">
        <v>2349</v>
      </c>
      <c r="C356" t="s">
        <v>1168</v>
      </c>
      <c r="D356" t="s">
        <v>1888</v>
      </c>
      <c r="E356" t="s">
        <v>1889</v>
      </c>
      <c r="F356" t="s">
        <v>1890</v>
      </c>
      <c r="G356" t="s">
        <v>1891</v>
      </c>
      <c r="H356" t="s">
        <v>2045</v>
      </c>
      <c r="I356" t="s">
        <v>1168</v>
      </c>
      <c r="J356" t="s">
        <v>1888</v>
      </c>
      <c r="K356" t="s">
        <v>1889</v>
      </c>
      <c r="L356" t="s">
        <v>1890</v>
      </c>
      <c r="M356" t="s">
        <v>1891</v>
      </c>
    </row>
    <row r="357" spans="1:13" x14ac:dyDescent="0.25">
      <c r="A357" t="s">
        <v>2489</v>
      </c>
      <c r="B357" t="s">
        <v>2212</v>
      </c>
      <c r="C357" t="s">
        <v>1168</v>
      </c>
      <c r="D357" t="s">
        <v>1888</v>
      </c>
      <c r="E357" t="s">
        <v>1889</v>
      </c>
      <c r="F357" t="s">
        <v>1890</v>
      </c>
      <c r="G357" t="s">
        <v>1891</v>
      </c>
      <c r="H357" t="s">
        <v>2119</v>
      </c>
      <c r="I357" t="s">
        <v>1168</v>
      </c>
      <c r="J357" t="s">
        <v>1888</v>
      </c>
      <c r="K357" t="s">
        <v>1889</v>
      </c>
      <c r="L357" t="s">
        <v>1890</v>
      </c>
      <c r="M357" t="s">
        <v>1891</v>
      </c>
    </row>
    <row r="358" spans="1:13" x14ac:dyDescent="0.25">
      <c r="A358" t="s">
        <v>2491</v>
      </c>
      <c r="B358" t="s">
        <v>2066</v>
      </c>
      <c r="C358" t="s">
        <v>1168</v>
      </c>
      <c r="D358" t="s">
        <v>1888</v>
      </c>
      <c r="E358" t="s">
        <v>1889</v>
      </c>
      <c r="F358" t="s">
        <v>1890</v>
      </c>
      <c r="G358" t="s">
        <v>1891</v>
      </c>
      <c r="H358" t="s">
        <v>2021</v>
      </c>
      <c r="I358" t="s">
        <v>1168</v>
      </c>
      <c r="J358" t="s">
        <v>1888</v>
      </c>
      <c r="K358" t="s">
        <v>1889</v>
      </c>
      <c r="L358" t="s">
        <v>1890</v>
      </c>
      <c r="M358" t="s">
        <v>1891</v>
      </c>
    </row>
    <row r="359" spans="1:13" x14ac:dyDescent="0.25">
      <c r="A359" t="s">
        <v>2971</v>
      </c>
      <c r="B359" t="s">
        <v>2021</v>
      </c>
      <c r="C359" t="s">
        <v>1168</v>
      </c>
      <c r="D359" t="s">
        <v>1888</v>
      </c>
      <c r="E359" t="s">
        <v>1889</v>
      </c>
      <c r="F359" t="s">
        <v>1890</v>
      </c>
      <c r="G359" t="s">
        <v>1891</v>
      </c>
      <c r="H359" t="s">
        <v>2958</v>
      </c>
      <c r="I359" t="s">
        <v>1168</v>
      </c>
      <c r="J359" t="s">
        <v>1888</v>
      </c>
      <c r="K359" t="s">
        <v>1889</v>
      </c>
      <c r="L359" t="s">
        <v>1890</v>
      </c>
      <c r="M359" t="s">
        <v>1891</v>
      </c>
    </row>
    <row r="360" spans="1:13" x14ac:dyDescent="0.25">
      <c r="A360" t="s">
        <v>3089</v>
      </c>
      <c r="B360" t="s">
        <v>2108</v>
      </c>
      <c r="C360" t="s">
        <v>1168</v>
      </c>
      <c r="D360" t="s">
        <v>1888</v>
      </c>
      <c r="E360" t="s">
        <v>1889</v>
      </c>
      <c r="F360" t="s">
        <v>1890</v>
      </c>
      <c r="G360" t="s">
        <v>1891</v>
      </c>
      <c r="H360" t="s">
        <v>2098</v>
      </c>
      <c r="I360" t="s">
        <v>1168</v>
      </c>
      <c r="J360" t="s">
        <v>1888</v>
      </c>
      <c r="K360" t="s">
        <v>1889</v>
      </c>
      <c r="L360" t="s">
        <v>1890</v>
      </c>
      <c r="M360" t="s">
        <v>1891</v>
      </c>
    </row>
    <row r="361" spans="1:13" x14ac:dyDescent="0.25">
      <c r="A361" t="s">
        <v>3091</v>
      </c>
      <c r="B361" t="s">
        <v>2098</v>
      </c>
      <c r="C361" t="s">
        <v>1168</v>
      </c>
      <c r="D361" t="s">
        <v>1888</v>
      </c>
      <c r="E361" t="s">
        <v>1889</v>
      </c>
      <c r="F361" t="s">
        <v>1890</v>
      </c>
      <c r="G361" t="s">
        <v>1891</v>
      </c>
      <c r="H361" t="s">
        <v>3082</v>
      </c>
      <c r="I361" t="s">
        <v>1168</v>
      </c>
      <c r="J361" t="s">
        <v>1888</v>
      </c>
      <c r="K361" t="s">
        <v>1889</v>
      </c>
      <c r="L361" t="s">
        <v>1890</v>
      </c>
      <c r="M361" t="s">
        <v>1891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0F6B-CC89-4122-9CA1-8209639278D8}">
  <sheetPr codeName="Sheet10"/>
  <dimension ref="A1:AK360"/>
  <sheetViews>
    <sheetView topLeftCell="AA333" workbookViewId="0">
      <selection activeCell="AE355" sqref="A1:AK360"/>
    </sheetView>
  </sheetViews>
  <sheetFormatPr defaultColWidth="8.85546875" defaultRowHeight="15" x14ac:dyDescent="0.25"/>
  <cols>
    <col min="1" max="1" width="14.28515625" bestFit="1" customWidth="1"/>
    <col min="4" max="4" width="13.140625" customWidth="1"/>
    <col min="27" max="27" width="73.140625" customWidth="1"/>
    <col min="28" max="28" width="9.140625" customWidth="1"/>
    <col min="29" max="29" width="25.140625" customWidth="1"/>
    <col min="30" max="31" width="9.140625" customWidth="1"/>
    <col min="32" max="32" width="35.28515625" customWidth="1"/>
    <col min="33" max="33" width="9.140625" customWidth="1"/>
    <col min="34" max="34" width="22.140625" customWidth="1"/>
    <col min="35" max="35" width="9.140625" customWidth="1"/>
    <col min="36" max="36" width="56" customWidth="1"/>
  </cols>
  <sheetData>
    <row r="1" spans="1:37" x14ac:dyDescent="0.25">
      <c r="A1" t="s">
        <v>1120</v>
      </c>
      <c r="B1" t="s">
        <v>1121</v>
      </c>
      <c r="C1" t="s">
        <v>1122</v>
      </c>
      <c r="D1" t="s">
        <v>1123</v>
      </c>
      <c r="E1" t="s">
        <v>1124</v>
      </c>
      <c r="F1" t="s">
        <v>980</v>
      </c>
      <c r="G1" t="s">
        <v>1125</v>
      </c>
      <c r="H1" t="s">
        <v>1126</v>
      </c>
      <c r="I1" t="s">
        <v>1127</v>
      </c>
      <c r="J1" t="s">
        <v>1128</v>
      </c>
      <c r="K1" t="s">
        <v>982</v>
      </c>
      <c r="L1" t="s">
        <v>1129</v>
      </c>
      <c r="M1" t="s">
        <v>1130</v>
      </c>
      <c r="N1" t="s">
        <v>1021</v>
      </c>
      <c r="O1" t="s">
        <v>1131</v>
      </c>
      <c r="P1" t="s">
        <v>1132</v>
      </c>
      <c r="Q1" t="s">
        <v>1133</v>
      </c>
      <c r="R1" t="s">
        <v>1134</v>
      </c>
      <c r="S1" t="s">
        <v>1135</v>
      </c>
      <c r="T1" t="s">
        <v>1136</v>
      </c>
      <c r="U1" t="s">
        <v>1137</v>
      </c>
      <c r="V1" t="s">
        <v>1138</v>
      </c>
      <c r="W1" t="s">
        <v>1139</v>
      </c>
      <c r="X1" t="s">
        <v>1140</v>
      </c>
      <c r="Y1" t="s">
        <v>1141</v>
      </c>
      <c r="Z1" t="s">
        <v>1142</v>
      </c>
      <c r="AA1" t="s">
        <v>1154</v>
      </c>
      <c r="AB1" t="s">
        <v>1155</v>
      </c>
      <c r="AC1" t="s">
        <v>1156</v>
      </c>
      <c r="AD1" t="s">
        <v>1157</v>
      </c>
      <c r="AE1" t="s">
        <v>1158</v>
      </c>
      <c r="AF1" t="s">
        <v>1159</v>
      </c>
      <c r="AG1" t="s">
        <v>1160</v>
      </c>
      <c r="AH1" t="s">
        <v>1164</v>
      </c>
      <c r="AI1" t="s">
        <v>1165</v>
      </c>
      <c r="AJ1" t="s">
        <v>1166</v>
      </c>
      <c r="AK1" t="s">
        <v>1167</v>
      </c>
    </row>
    <row r="2" spans="1:37" x14ac:dyDescent="0.25">
      <c r="A2" t="str" cm="1">
        <f t="array" ref="A2:A360">_xlfn._xlws.SORT(_xlfn._xlws.FILTER(InterfaceRegister!A:A, LEFT(InterfaceRegister!A:A,6)="DGS-I_"))</f>
        <v>DGS-I_0001</v>
      </c>
      <c r="B2" t="str">
        <f>_xlfn.XLOOKUP($A2,'EA-Fortescue_SDExport'!$A:$A,'EA-Fortescue_SDExport'!B:B)</f>
        <v>Class</v>
      </c>
      <c r="C2" t="str">
        <f>_xlfn.XLOOKUP($A2,'EA-Fortescue_SDExport'!$A:$A,'EA-Fortescue_SDExport'!C:C)</f>
        <v>{BECBCDD0-315E-4d96-89C3-DADE60F3A424}</v>
      </c>
      <c r="D2" t="str">
        <f>_xlfn.LET(_xlpm.result, _xlfn.XLOOKUP($A2, InterfaceRegister!$A:$A, InterfaceRegister!P:P), IF(_xlpm.result=0, "", _xlpm.result))</f>
        <v>Interface Review 25/11/2025: Delete - This interface has multiple sources; therefore, it has been split into separate interfaces.</v>
      </c>
      <c r="E2">
        <f>_xlfn.XLOOKUP($A2,'EA-Fortescue_SDExport'!$A:$A,'EA-Fortescue_SDExport'!E:E)</f>
        <v>1</v>
      </c>
      <c r="F2">
        <f>_xlfn.XLOOKUP($A2,'EA-Fortescue_SDExport'!$A:$A,'EA-Fortescue_SDExport'!F:F)</f>
        <v>1</v>
      </c>
      <c r="G2">
        <f>_xlfn.XLOOKUP($A2,'EA-Fortescue_SDExport'!$A:$A,'EA-Fortescue_SDExport'!G:G)</f>
        <v>0</v>
      </c>
      <c r="H2" t="str">
        <f>_xlfn.XLOOKUP($A2,'EA-Fortescue_SDExport'!$A:$A,'EA-Fortescue_SDExport'!H:H)</f>
        <v>InterfaceBlock</v>
      </c>
      <c r="I2" t="str">
        <f>_xlfn.XLOOKUP($A2,'EA-Fortescue_SDExport'!$A:$A,'EA-Fortescue_SDExport'!I:I)</f>
        <v>SysML1.4::InterfaceBlock</v>
      </c>
      <c r="J2" t="str">
        <f>_xlfn.XLOOKUP($A2,'EA-Fortescue_SDExport'!$A:$A,'EA-Fortescue_SDExport'!J:J)</f>
        <v>Java</v>
      </c>
      <c r="K2" t="str">
        <f>_xlfn.XLOOKUP($A2,'EA-Fortescue_SDExport'!$A:$A,'EA-Fortescue_SDExport'!K:K)</f>
        <v>Admin</v>
      </c>
      <c r="L2" t="str">
        <f>_xlfn.XLOOKUP($A2,'EA-Fortescue_SDExport'!$A:$A,'EA-Fortescue_SDExport'!L:L)</f>
        <v>Public</v>
      </c>
      <c r="M2">
        <f>_xlfn.XLOOKUP($A2,'EA-Fortescue_SDExport'!$A:$A,'EA-Fortescue_SDExport'!M:M)</f>
        <v>0</v>
      </c>
      <c r="N2" t="str">
        <f>_xlfn.XLOOKUP($A2,InterfaceRegister!$A:$A,InterfaceRegister!K:K)</f>
        <v>Deleted</v>
      </c>
      <c r="O2">
        <f>_xlfn.XLOOKUP($A2,'EA-Fortescue_SDExport'!$A:$A,'EA-Fortescue_SDExport'!O:O)</f>
        <v>1</v>
      </c>
      <c r="P2">
        <f>_xlfn.XLOOKUP($A2,'EA-Fortescue_SDExport'!$A:$A,'EA-Fortescue_SDExport'!P:P)</f>
        <v>0</v>
      </c>
      <c r="Q2">
        <f>_xlfn.XLOOKUP($A2,'EA-Fortescue_SDExport'!$A:$A,'EA-Fortescue_SDExport'!Q:Q)</f>
        <v>0</v>
      </c>
      <c r="R2">
        <f>_xlfn.XLOOKUP($A2,'EA-Fortescue_SDExport'!$A:$A,'EA-Fortescue_SDExport'!R:R)</f>
        <v>0</v>
      </c>
      <c r="S2">
        <f>_xlfn.XLOOKUP($A2,'EA-Fortescue_SDExport'!$A:$A,'EA-Fortescue_SDExport'!S:S)</f>
        <v>0</v>
      </c>
      <c r="T2">
        <f>_xlfn.XLOOKUP($A2,'EA-Fortescue_SDExport'!$A:$A,'EA-Fortescue_SDExport'!T:T)</f>
        <v>0</v>
      </c>
      <c r="U2">
        <f>_xlfn.XLOOKUP($A2,'EA-Fortescue_SDExport'!$A:$A,'EA-Fortescue_SDExport'!U:U)</f>
        <v>45895.841041666667</v>
      </c>
      <c r="V2">
        <f>_xlfn.XLOOKUP($A2,'EA-Fortescue_SDExport'!$A:$A,'EA-Fortescue_SDExport'!V:V)</f>
        <v>46002.06759259259</v>
      </c>
      <c r="W2">
        <f>_xlfn.XLOOKUP($A2,'EA-Fortescue_SDExport'!$A:$A,'EA-Fortescue_SDExport'!W:W)</f>
        <v>0</v>
      </c>
      <c r="X2">
        <f>_xlfn.XLOOKUP($A2,'EA-Fortescue_SDExport'!$A:$A,'EA-Fortescue_SDExport'!X:X)</f>
        <v>0</v>
      </c>
      <c r="Y2">
        <f>_xlfn.XLOOKUP($A2,'EA-Fortescue_SDExport'!$A:$A,'EA-Fortescue_SDExport'!Y:Y)</f>
        <v>0</v>
      </c>
      <c r="Z2" t="str">
        <f>_xlfn.XLOOKUP($A2,'EA-Fortescue_SDExport'!$A:$A,'EA-Fortescue_SDExport'!Z:Z)</f>
        <v>SysML1.4::InterfaceBlock</v>
      </c>
      <c r="AA2" t="str">
        <f>_xlfn.XLOOKUP($A2,InterfaceRegister!$A:$A,InterfaceRegister!B:B)</f>
        <v>Weather Forecasting (External)|855DC-1541-DEL Delphi</v>
      </c>
      <c r="AB2" t="str">
        <f>_xlfn.XLOOKUP($A2,InterfaceRegister!$A:$A,InterfaceRegister!C:C)</f>
        <v>Abby Buters</v>
      </c>
      <c r="AC2" t="str">
        <f>_xlfn.XLOOKUP($A2,InterfaceRegister!$A:$A,InterfaceRegister!D:D)</f>
        <v/>
      </c>
      <c r="AD2" t="str">
        <f>_xlfn.XLOOKUP($A2,InterfaceRegister!$A:$A,InterfaceRegister!E:E)</f>
        <v>External Software - Project Interface</v>
      </c>
      <c r="AE2" t="str">
        <f>_xlfn.XLOOKUP($A2,InterfaceRegister!$A:$A,InterfaceRegister!F:F)</f>
        <v/>
      </c>
      <c r="AF2" t="str">
        <f>_xlfn.XLOOKUP($A2,InterfaceRegister!$A:$A,InterfaceRegister!L:L)</f>
        <v/>
      </c>
      <c r="AG2" t="str">
        <f>_xlfn.XLOOKUP($A2,InterfaceRegister!$A:$A,InterfaceRegister!M:M)</f>
        <v/>
      </c>
      <c r="AH2" t="str">
        <f>_xlfn.XLOOKUP($A2,InterfaceRegister!$A:$A,InterfaceRegister!O:O)</f>
        <v/>
      </c>
      <c r="AI2" t="str">
        <f>_xlfn.XLOOKUP($A2,InterfaceRegister!$A:$A,InterfaceRegister!N:N)</f>
        <v/>
      </c>
      <c r="AJ2" t="str">
        <f>_xlfn.XLOOKUP($A2,'EA-Fortescue_SDExport'!$A:$A,'EA-Fortescue_SDExport'!AX:AX)</f>
        <v>CSV69B2A019</v>
      </c>
      <c r="AK2">
        <f>_xlfn.XLOOKUP($A2,'EA-Fortescue_SDExport'!$A:$A,'EA-Fortescue_SDExport'!AY:AY)</f>
        <v>0</v>
      </c>
    </row>
    <row r="3" spans="1:37" x14ac:dyDescent="0.25">
      <c r="A3" t="str">
        <v>DGS-I_0002</v>
      </c>
      <c r="B3" t="str">
        <f>_xlfn.XLOOKUP($A3,'EA-Fortescue_SDExport'!$A:$A,'EA-Fortescue_SDExport'!B:B)</f>
        <v>Class</v>
      </c>
      <c r="C3" t="str">
        <f>_xlfn.XLOOKUP($A3,'EA-Fortescue_SDExport'!$A:$A,'EA-Fortescue_SDExport'!C:C)</f>
        <v>{48490C47-091B-4a97-8BA5-5065E7B1E2A9}</v>
      </c>
      <c r="D3" t="str">
        <f>_xlfn.LET(_xlpm.result, _xlfn.XLOOKUP($A3, InterfaceRegister!$A:$A, InterfaceRegister!P:P), IF(_xlpm.result=0, "", _xlpm.result))</f>
        <v>NH 20/02/2026: Fields updated: Interface Type, Interface Flow.</v>
      </c>
      <c r="E3">
        <f>_xlfn.XLOOKUP($A3,'EA-Fortescue_SDExport'!$A:$A,'EA-Fortescue_SDExport'!E:E)</f>
        <v>1</v>
      </c>
      <c r="F3">
        <f>_xlfn.XLOOKUP($A3,'EA-Fortescue_SDExport'!$A:$A,'EA-Fortescue_SDExport'!F:F)</f>
        <v>1</v>
      </c>
      <c r="G3">
        <f>_xlfn.XLOOKUP($A3,'EA-Fortescue_SDExport'!$A:$A,'EA-Fortescue_SDExport'!G:G)</f>
        <v>0</v>
      </c>
      <c r="H3" t="str">
        <f>_xlfn.XLOOKUP($A3,'EA-Fortescue_SDExport'!$A:$A,'EA-Fortescue_SDExport'!H:H)</f>
        <v>InterfaceBlock</v>
      </c>
      <c r="I3" t="str">
        <f>_xlfn.XLOOKUP($A3,'EA-Fortescue_SDExport'!$A:$A,'EA-Fortescue_SDExport'!I:I)</f>
        <v>SysML1.4::InterfaceBlock</v>
      </c>
      <c r="J3" t="str">
        <f>_xlfn.XLOOKUP($A3,'EA-Fortescue_SDExport'!$A:$A,'EA-Fortescue_SDExport'!J:J)</f>
        <v>Java</v>
      </c>
      <c r="K3" t="str">
        <f>_xlfn.XLOOKUP($A3,'EA-Fortescue_SDExport'!$A:$A,'EA-Fortescue_SDExport'!K:K)</f>
        <v>Admin</v>
      </c>
      <c r="L3" t="str">
        <f>_xlfn.XLOOKUP($A3,'EA-Fortescue_SDExport'!$A:$A,'EA-Fortescue_SDExport'!L:L)</f>
        <v>Public</v>
      </c>
      <c r="M3">
        <f>_xlfn.XLOOKUP($A3,'EA-Fortescue_SDExport'!$A:$A,'EA-Fortescue_SDExport'!M:M)</f>
        <v>0</v>
      </c>
      <c r="N3" t="str">
        <f>_xlfn.XLOOKUP($A3,InterfaceRegister!$A:$A,InterfaceRegister!K:K)</f>
        <v>Proposed</v>
      </c>
      <c r="O3">
        <f>_xlfn.XLOOKUP($A3,'EA-Fortescue_SDExport'!$A:$A,'EA-Fortescue_SDExport'!O:O)</f>
        <v>1</v>
      </c>
      <c r="P3">
        <f>_xlfn.XLOOKUP($A3,'EA-Fortescue_SDExport'!$A:$A,'EA-Fortescue_SDExport'!P:P)</f>
        <v>0</v>
      </c>
      <c r="Q3">
        <f>_xlfn.XLOOKUP($A3,'EA-Fortescue_SDExport'!$A:$A,'EA-Fortescue_SDExport'!Q:Q)</f>
        <v>0</v>
      </c>
      <c r="R3">
        <f>_xlfn.XLOOKUP($A3,'EA-Fortescue_SDExport'!$A:$A,'EA-Fortescue_SDExport'!R:R)</f>
        <v>0</v>
      </c>
      <c r="S3">
        <f>_xlfn.XLOOKUP($A3,'EA-Fortescue_SDExport'!$A:$A,'EA-Fortescue_SDExport'!S:S)</f>
        <v>0</v>
      </c>
      <c r="T3">
        <f>_xlfn.XLOOKUP($A3,'EA-Fortescue_SDExport'!$A:$A,'EA-Fortescue_SDExport'!T:T)</f>
        <v>0</v>
      </c>
      <c r="U3">
        <f>_xlfn.XLOOKUP($A3,'EA-Fortescue_SDExport'!$A:$A,'EA-Fortescue_SDExport'!U:U)</f>
        <v>45910.658182870371</v>
      </c>
      <c r="V3">
        <f>_xlfn.XLOOKUP($A3,'EA-Fortescue_SDExport'!$A:$A,'EA-Fortescue_SDExport'!V:V)</f>
        <v>46077.993206018517</v>
      </c>
      <c r="W3">
        <f>_xlfn.XLOOKUP($A3,'EA-Fortescue_SDExport'!$A:$A,'EA-Fortescue_SDExport'!W:W)</f>
        <v>0</v>
      </c>
      <c r="X3">
        <f>_xlfn.XLOOKUP($A3,'EA-Fortescue_SDExport'!$A:$A,'EA-Fortescue_SDExport'!X:X)</f>
        <v>0</v>
      </c>
      <c r="Y3">
        <f>_xlfn.XLOOKUP($A3,'EA-Fortescue_SDExport'!$A:$A,'EA-Fortescue_SDExport'!Y:Y)</f>
        <v>0</v>
      </c>
      <c r="Z3" t="str">
        <f>_xlfn.XLOOKUP($A3,'EA-Fortescue_SDExport'!$A:$A,'EA-Fortescue_SDExport'!Z:Z)</f>
        <v>SysML1.4::InterfaceBlock</v>
      </c>
      <c r="AA3" t="str">
        <f>_xlfn.XLOOKUP($A3,InterfaceRegister!$A:$A,InterfaceRegister!B:B)</f>
        <v>005OP-0000-011 Fortescue Maps (ArcGIS) Geographical Information System (GIS)|855DC-1541-005 HaulAI</v>
      </c>
      <c r="AB3" t="str">
        <f>_xlfn.XLOOKUP($A3,InterfaceRegister!$A:$A,InterfaceRegister!C:C)</f>
        <v/>
      </c>
      <c r="AC3" t="str">
        <f>_xlfn.XLOOKUP($A3,InterfaceRegister!$A:$A,InterfaceRegister!D:D)</f>
        <v/>
      </c>
      <c r="AD3" t="str">
        <f>_xlfn.XLOOKUP($A3,InterfaceRegister!$A:$A,InterfaceRegister!E:E)</f>
        <v>Project - Project Interface</v>
      </c>
      <c r="AE3" t="str">
        <f>_xlfn.XLOOKUP($A3,InterfaceRegister!$A:$A,InterfaceRegister!F:F)</f>
        <v>Technical-Data/Software</v>
      </c>
      <c r="AF3" t="str">
        <f>_xlfn.XLOOKUP($A3,InterfaceRegister!$A:$A,InterfaceRegister!L:L)</f>
        <v>This interface provides HaulAI with spatial data, site layouts, haul routes, and terrain information from Fortescue Maps. The interface type is Functional, as it supports planning and modelling rather than operational control.</v>
      </c>
      <c r="AG3" t="str">
        <f>_xlfn.XLOOKUP($A3,InterfaceRegister!$A:$A,InterfaceRegister!M:M)</f>
        <v>LOW</v>
      </c>
      <c r="AH3" t="str">
        <f>_xlfn.XLOOKUP($A3,InterfaceRegister!$A:$A,InterfaceRegister!O:O)</f>
        <v>Data Flow:_x000D_
Fortescue Maps (005OP-0000-011 ArcGIS GIS) -&gt; HaulAI (855DC-1541-005), transmitting spatial datasets including site layouts, haul road alignments, pit boundaries, dump locations, elevation models, terrain profiles, exclusion zones, and infrastructure constraints._x000D_
Data is used for route modelling, traffic simulation, terrain-aware optimisation, and long-term haulage planning scenarios._x000D_
Control / Query Flow:_x000D_
HaulAI -&gt; GIS (read/query only), retrieving spatial layers and updates for modelling runs. No operational control commands are issued to GIS through this interface.</v>
      </c>
      <c r="AI3" t="str">
        <f>_xlfn.XLOOKUP($A3,InterfaceRegister!$A:$A,InterfaceRegister!N:N)</f>
        <v>The criticality level is LOW because failure at this interface does not impact real-time production, safety, or operational control. It only affects the precision of strategic planning simulations, leading to a minor degradation in planning accuracy that can be corrected in subsequent planning cycles.</v>
      </c>
      <c r="AJ3" t="str">
        <f>_xlfn.XLOOKUP($A3,'EA-Fortescue_SDExport'!$A:$A,'EA-Fortescue_SDExport'!AX:AX)</f>
        <v>CSV8190534B</v>
      </c>
      <c r="AK3">
        <f>_xlfn.XLOOKUP($A3,'EA-Fortescue_SDExport'!$A:$A,'EA-Fortescue_SDExport'!AY:AY)</f>
        <v>0</v>
      </c>
    </row>
    <row r="4" spans="1:37" x14ac:dyDescent="0.25">
      <c r="A4" t="str">
        <v>DGS-I_0003</v>
      </c>
      <c r="B4" t="str">
        <f>_xlfn.XLOOKUP($A4,'EA-Fortescue_SDExport'!$A:$A,'EA-Fortescue_SDExport'!B:B)</f>
        <v>Class</v>
      </c>
      <c r="C4" t="str">
        <f>_xlfn.XLOOKUP($A4,'EA-Fortescue_SDExport'!$A:$A,'EA-Fortescue_SDExport'!C:C)</f>
        <v>{BA163946-1124-4928-885D-7918226AF9F5}</v>
      </c>
      <c r="D4" t="str">
        <f>_xlfn.LET(_xlpm.result, _xlfn.XLOOKUP($A4, InterfaceRegister!$A:$A, InterfaceRegister!P:P), IF(_xlpm.result=0, "", _xlpm.result))</f>
        <v/>
      </c>
      <c r="E4">
        <f>_xlfn.XLOOKUP($A4,'EA-Fortescue_SDExport'!$A:$A,'EA-Fortescue_SDExport'!E:E)</f>
        <v>1</v>
      </c>
      <c r="F4">
        <f>_xlfn.XLOOKUP($A4,'EA-Fortescue_SDExport'!$A:$A,'EA-Fortescue_SDExport'!F:F)</f>
        <v>1</v>
      </c>
      <c r="G4">
        <f>_xlfn.XLOOKUP($A4,'EA-Fortescue_SDExport'!$A:$A,'EA-Fortescue_SDExport'!G:G)</f>
        <v>0</v>
      </c>
      <c r="H4" t="str">
        <f>_xlfn.XLOOKUP($A4,'EA-Fortescue_SDExport'!$A:$A,'EA-Fortescue_SDExport'!H:H)</f>
        <v>InterfaceBlock</v>
      </c>
      <c r="I4" t="str">
        <f>_xlfn.XLOOKUP($A4,'EA-Fortescue_SDExport'!$A:$A,'EA-Fortescue_SDExport'!I:I)</f>
        <v>SysML1.4::InterfaceBlock</v>
      </c>
      <c r="J4" t="str">
        <f>_xlfn.XLOOKUP($A4,'EA-Fortescue_SDExport'!$A:$A,'EA-Fortescue_SDExport'!J:J)</f>
        <v>Java</v>
      </c>
      <c r="K4" t="str">
        <f>_xlfn.XLOOKUP($A4,'EA-Fortescue_SDExport'!$A:$A,'EA-Fortescue_SDExport'!K:K)</f>
        <v>Admin</v>
      </c>
      <c r="L4" t="str">
        <f>_xlfn.XLOOKUP($A4,'EA-Fortescue_SDExport'!$A:$A,'EA-Fortescue_SDExport'!L:L)</f>
        <v>Public</v>
      </c>
      <c r="M4">
        <f>_xlfn.XLOOKUP($A4,'EA-Fortescue_SDExport'!$A:$A,'EA-Fortescue_SDExport'!M:M)</f>
        <v>0</v>
      </c>
      <c r="N4" t="str">
        <f>_xlfn.XLOOKUP($A4,InterfaceRegister!$A:$A,InterfaceRegister!K:K)</f>
        <v>Proposed</v>
      </c>
      <c r="O4">
        <f>_xlfn.XLOOKUP($A4,'EA-Fortescue_SDExport'!$A:$A,'EA-Fortescue_SDExport'!O:O)</f>
        <v>1</v>
      </c>
      <c r="P4">
        <f>_xlfn.XLOOKUP($A4,'EA-Fortescue_SDExport'!$A:$A,'EA-Fortescue_SDExport'!P:P)</f>
        <v>0</v>
      </c>
      <c r="Q4">
        <f>_xlfn.XLOOKUP($A4,'EA-Fortescue_SDExport'!$A:$A,'EA-Fortescue_SDExport'!Q:Q)</f>
        <v>0</v>
      </c>
      <c r="R4">
        <f>_xlfn.XLOOKUP($A4,'EA-Fortescue_SDExport'!$A:$A,'EA-Fortescue_SDExport'!R:R)</f>
        <v>0</v>
      </c>
      <c r="S4">
        <f>_xlfn.XLOOKUP($A4,'EA-Fortescue_SDExport'!$A:$A,'EA-Fortescue_SDExport'!S:S)</f>
        <v>0</v>
      </c>
      <c r="T4">
        <f>_xlfn.XLOOKUP($A4,'EA-Fortescue_SDExport'!$A:$A,'EA-Fortescue_SDExport'!T:T)</f>
        <v>0</v>
      </c>
      <c r="U4">
        <f>_xlfn.XLOOKUP($A4,'EA-Fortescue_SDExport'!$A:$A,'EA-Fortescue_SDExport'!U:U)</f>
        <v>45944.622881944444</v>
      </c>
      <c r="V4">
        <f>_xlfn.XLOOKUP($A4,'EA-Fortescue_SDExport'!$A:$A,'EA-Fortescue_SDExport'!V:V)</f>
        <v>46002.067557870374</v>
      </c>
      <c r="W4">
        <f>_xlfn.XLOOKUP($A4,'EA-Fortescue_SDExport'!$A:$A,'EA-Fortescue_SDExport'!W:W)</f>
        <v>0</v>
      </c>
      <c r="X4">
        <f>_xlfn.XLOOKUP($A4,'EA-Fortescue_SDExport'!$A:$A,'EA-Fortescue_SDExport'!X:X)</f>
        <v>0</v>
      </c>
      <c r="Y4">
        <f>_xlfn.XLOOKUP($A4,'EA-Fortescue_SDExport'!$A:$A,'EA-Fortescue_SDExport'!Y:Y)</f>
        <v>0</v>
      </c>
      <c r="Z4" t="str">
        <f>_xlfn.XLOOKUP($A4,'EA-Fortescue_SDExport'!$A:$A,'EA-Fortescue_SDExport'!Z:Z)</f>
        <v>SysML1.4::InterfaceBlock</v>
      </c>
      <c r="AA4" t="str">
        <f>_xlfn.XLOOKUP($A4,InterfaceRegister!$A:$A,InterfaceRegister!B:B)</f>
        <v>Non FMG Power Assets|854DC-5660 HV Transmission lines</v>
      </c>
      <c r="AB4" t="str">
        <f>_xlfn.XLOOKUP($A4,InterfaceRegister!$A:$A,InterfaceRegister!C:C)</f>
        <v/>
      </c>
      <c r="AC4" t="str">
        <f>_xlfn.XLOOKUP($A4,InterfaceRegister!$A:$A,InterfaceRegister!D:D)</f>
        <v/>
      </c>
      <c r="AD4" t="str">
        <f>_xlfn.XLOOKUP($A4,InterfaceRegister!$A:$A,InterfaceRegister!E:E)</f>
        <v>External Physical Asset - System Interface</v>
      </c>
      <c r="AE4" t="str">
        <f>_xlfn.XLOOKUP($A4,InterfaceRegister!$A:$A,InterfaceRegister!F:F)</f>
        <v/>
      </c>
      <c r="AF4" t="str">
        <f>_xlfn.XLOOKUP($A4,InterfaceRegister!$A:$A,InterfaceRegister!L:L)</f>
        <v/>
      </c>
      <c r="AG4" t="str">
        <f>_xlfn.XLOOKUP($A4,InterfaceRegister!$A:$A,InterfaceRegister!M:M)</f>
        <v/>
      </c>
      <c r="AH4" t="str">
        <f>_xlfn.XLOOKUP($A4,InterfaceRegister!$A:$A,InterfaceRegister!O:O)</f>
        <v/>
      </c>
      <c r="AI4" t="str">
        <f>_xlfn.XLOOKUP($A4,InterfaceRegister!$A:$A,InterfaceRegister!N:N)</f>
        <v/>
      </c>
      <c r="AJ4" t="str">
        <f>_xlfn.XLOOKUP($A4,'EA-Fortescue_SDExport'!$A:$A,'EA-Fortescue_SDExport'!AX:AX)</f>
        <v>CSVD773660D</v>
      </c>
      <c r="AK4">
        <f>_xlfn.XLOOKUP($A4,'EA-Fortescue_SDExport'!$A:$A,'EA-Fortescue_SDExport'!AY:AY)</f>
        <v>0</v>
      </c>
    </row>
    <row r="5" spans="1:37" x14ac:dyDescent="0.25">
      <c r="A5" t="str">
        <v>DGS-I_0004</v>
      </c>
      <c r="B5" t="str">
        <f>_xlfn.XLOOKUP($A5,'EA-Fortescue_SDExport'!$A:$A,'EA-Fortescue_SDExport'!B:B)</f>
        <v>Class</v>
      </c>
      <c r="C5" t="str">
        <f>_xlfn.XLOOKUP($A5,'EA-Fortescue_SDExport'!$A:$A,'EA-Fortescue_SDExport'!C:C)</f>
        <v>{FFA7A063-689D-4a0a-87E0-54CBEA36ACE4}</v>
      </c>
      <c r="D5" t="str">
        <f>_xlfn.LET(_xlpm.result, _xlfn.XLOOKUP($A5, InterfaceRegister!$A:$A, InterfaceRegister!P:P), IF(_xlpm.result=0, "", _xlpm.result))</f>
        <v>NH 26/11/2025: Interface Criticality LOW, but Interface Criticality Justification suggests HIGH._x000D_
NH 20/02/2026: Fields updated: Interface Criticality.</v>
      </c>
      <c r="E5">
        <f>_xlfn.XLOOKUP($A5,'EA-Fortescue_SDExport'!$A:$A,'EA-Fortescue_SDExport'!E:E)</f>
        <v>1</v>
      </c>
      <c r="F5">
        <f>_xlfn.XLOOKUP($A5,'EA-Fortescue_SDExport'!$A:$A,'EA-Fortescue_SDExport'!F:F)</f>
        <v>1</v>
      </c>
      <c r="G5">
        <f>_xlfn.XLOOKUP($A5,'EA-Fortescue_SDExport'!$A:$A,'EA-Fortescue_SDExport'!G:G)</f>
        <v>0</v>
      </c>
      <c r="H5" t="str">
        <f>_xlfn.XLOOKUP($A5,'EA-Fortescue_SDExport'!$A:$A,'EA-Fortescue_SDExport'!H:H)</f>
        <v>InterfaceBlock</v>
      </c>
      <c r="I5" t="str">
        <f>_xlfn.XLOOKUP($A5,'EA-Fortescue_SDExport'!$A:$A,'EA-Fortescue_SDExport'!I:I)</f>
        <v>SysML1.4::InterfaceBlock</v>
      </c>
      <c r="J5" t="str">
        <f>_xlfn.XLOOKUP($A5,'EA-Fortescue_SDExport'!$A:$A,'EA-Fortescue_SDExport'!J:J)</f>
        <v>Java</v>
      </c>
      <c r="K5" t="str">
        <f>_xlfn.XLOOKUP($A5,'EA-Fortescue_SDExport'!$A:$A,'EA-Fortescue_SDExport'!K:K)</f>
        <v>Admin</v>
      </c>
      <c r="L5" t="str">
        <f>_xlfn.XLOOKUP($A5,'EA-Fortescue_SDExport'!$A:$A,'EA-Fortescue_SDExport'!L:L)</f>
        <v>Public</v>
      </c>
      <c r="M5">
        <f>_xlfn.XLOOKUP($A5,'EA-Fortescue_SDExport'!$A:$A,'EA-Fortescue_SDExport'!M:M)</f>
        <v>0</v>
      </c>
      <c r="N5" t="str">
        <f>_xlfn.XLOOKUP($A5,InterfaceRegister!$A:$A,InterfaceRegister!K:K)</f>
        <v>Proposed</v>
      </c>
      <c r="O5">
        <f>_xlfn.XLOOKUP($A5,'EA-Fortescue_SDExport'!$A:$A,'EA-Fortescue_SDExport'!O:O)</f>
        <v>1</v>
      </c>
      <c r="P5">
        <f>_xlfn.XLOOKUP($A5,'EA-Fortescue_SDExport'!$A:$A,'EA-Fortescue_SDExport'!P:P)</f>
        <v>0</v>
      </c>
      <c r="Q5">
        <f>_xlfn.XLOOKUP($A5,'EA-Fortescue_SDExport'!$A:$A,'EA-Fortescue_SDExport'!Q:Q)</f>
        <v>0</v>
      </c>
      <c r="R5">
        <f>_xlfn.XLOOKUP($A5,'EA-Fortescue_SDExport'!$A:$A,'EA-Fortescue_SDExport'!R:R)</f>
        <v>0</v>
      </c>
      <c r="S5">
        <f>_xlfn.XLOOKUP($A5,'EA-Fortescue_SDExport'!$A:$A,'EA-Fortescue_SDExport'!S:S)</f>
        <v>0</v>
      </c>
      <c r="T5">
        <f>_xlfn.XLOOKUP($A5,'EA-Fortescue_SDExport'!$A:$A,'EA-Fortescue_SDExport'!T:T)</f>
        <v>0</v>
      </c>
      <c r="U5">
        <f>_xlfn.XLOOKUP($A5,'EA-Fortescue_SDExport'!$A:$A,'EA-Fortescue_SDExport'!U:U)</f>
        <v>45895.843321759261</v>
      </c>
      <c r="V5">
        <f>_xlfn.XLOOKUP($A5,'EA-Fortescue_SDExport'!$A:$A,'EA-Fortescue_SDExport'!V:V)</f>
        <v>46077.993217592593</v>
      </c>
      <c r="W5">
        <f>_xlfn.XLOOKUP($A5,'EA-Fortescue_SDExport'!$A:$A,'EA-Fortescue_SDExport'!W:W)</f>
        <v>0</v>
      </c>
      <c r="X5">
        <f>_xlfn.XLOOKUP($A5,'EA-Fortescue_SDExport'!$A:$A,'EA-Fortescue_SDExport'!X:X)</f>
        <v>0</v>
      </c>
      <c r="Y5">
        <f>_xlfn.XLOOKUP($A5,'EA-Fortescue_SDExport'!$A:$A,'EA-Fortescue_SDExport'!Y:Y)</f>
        <v>0</v>
      </c>
      <c r="Z5" t="str">
        <f>_xlfn.XLOOKUP($A5,'EA-Fortescue_SDExport'!$A:$A,'EA-Fortescue_SDExport'!Z:Z)</f>
        <v>SysML1.4::InterfaceBlock</v>
      </c>
      <c r="AA5" t="str">
        <f>_xlfn.XLOOKUP($A5,InterfaceRegister!$A:$A,InterfaceRegister!B:B)</f>
        <v>005OP-0000-012 SAP|855DC-1541-DEL Delphi</v>
      </c>
      <c r="AB5" t="str">
        <f>_xlfn.XLOOKUP($A5,InterfaceRegister!$A:$A,InterfaceRegister!C:C)</f>
        <v>Abby Buters</v>
      </c>
      <c r="AC5" t="str">
        <f>_xlfn.XLOOKUP($A5,InterfaceRegister!$A:$A,InterfaceRegister!D:D)</f>
        <v>Energy Operations</v>
      </c>
      <c r="AD5" t="str">
        <f>_xlfn.XLOOKUP($A5,InterfaceRegister!$A:$A,InterfaceRegister!E:E)</f>
        <v>Project - Project Interface</v>
      </c>
      <c r="AE5" t="str">
        <f>_xlfn.XLOOKUP($A5,InterfaceRegister!$A:$A,InterfaceRegister!F:F)</f>
        <v>Technical-Data/Software</v>
      </c>
      <c r="AF5" t="str">
        <f>_xlfn.XLOOKUP($A5,InterfaceRegister!$A:$A,InterfaceRegister!L:L)</f>
        <v>SAP Work Orders - Equipment Downtime &amp; Maintenance (Snowflake Integration)_x000D_
The purpose of this interface is to surface work order data from SAP in Snowflake so Eclipse can query and understand when in-field equipment (e.g., solar arrays, sensors) is down due to planned or unplanned events. This enables better correlation between asset performance, weather conditions, and operational constraints, including generation outages, planned maintenance, and sensor cleaning._x000D_
Intermediate Elements: Snowflake (storage and query layer for SAP work order and downtime history).</v>
      </c>
      <c r="AG5" t="str">
        <f>_xlfn.XLOOKUP($A5,InterfaceRegister!$A:$A,InterfaceRegister!M:M)</f>
        <v>HIGH</v>
      </c>
      <c r="AH5" t="str">
        <f>_xlfn.XLOOKUP($A5,InterfaceRegister!$A:$A,InterfaceRegister!O:O)</f>
        <v>SAP work orders / notifications -&gt; SAP database (TBC) -&gt; Delphi Snowflake (uni-directional).</v>
      </c>
      <c r="AI5" t="str">
        <f>_xlfn.XLOOKUP($A5,InterfaceRegister!$A:$A,InterfaceRegister!N:N)</f>
        <v>The criticality level is HIGH because accurate visibility of equipment downtime is essential for interpreting production impacts and improving forecast accuracy. Failure risks inaccurate energy balance predictions, leading to inefficient generation control.</v>
      </c>
      <c r="AJ5" t="str">
        <f>_xlfn.XLOOKUP($A5,'EA-Fortescue_SDExport'!$A:$A,'EA-Fortescue_SDExport'!AX:AX)</f>
        <v>CSVCBB467BC</v>
      </c>
      <c r="AK5">
        <f>_xlfn.XLOOKUP($A5,'EA-Fortescue_SDExport'!$A:$A,'EA-Fortescue_SDExport'!AY:AY)</f>
        <v>0</v>
      </c>
    </row>
    <row r="6" spans="1:37" x14ac:dyDescent="0.25">
      <c r="A6" t="str">
        <v>DGS-I_0005</v>
      </c>
      <c r="B6" t="str">
        <f>_xlfn.XLOOKUP($A6,'EA-Fortescue_SDExport'!$A:$A,'EA-Fortescue_SDExport'!B:B)</f>
        <v>Class</v>
      </c>
      <c r="C6" t="str">
        <f>_xlfn.XLOOKUP($A6,'EA-Fortescue_SDExport'!$A:$A,'EA-Fortescue_SDExport'!C:C)</f>
        <v>{E1B97E67-038F-4982-B2D1-8180C769B479}</v>
      </c>
      <c r="D6" t="str">
        <f>_xlfn.LET(_xlpm.result, _xlfn.XLOOKUP($A6, InterfaceRegister!$A:$A, InterfaceRegister!P:P), IF(_xlpm.result=0, "", _xlpm.result))</f>
        <v>Interface Review 25/11/2025: Meco functionality of load forecasting might now be a subsystem of Delphi._x000D_
DocStack-SAComparison_SCUC 18/02/2026: MECO Should now be considered a sub-system of Delphi as the MECO data will sit in the Delphi database. Interface Deleted</v>
      </c>
      <c r="E6">
        <f>_xlfn.XLOOKUP($A6,'EA-Fortescue_SDExport'!$A:$A,'EA-Fortescue_SDExport'!E:E)</f>
        <v>1</v>
      </c>
      <c r="F6">
        <f>_xlfn.XLOOKUP($A6,'EA-Fortescue_SDExport'!$A:$A,'EA-Fortescue_SDExport'!F:F)</f>
        <v>1</v>
      </c>
      <c r="G6">
        <f>_xlfn.XLOOKUP($A6,'EA-Fortescue_SDExport'!$A:$A,'EA-Fortescue_SDExport'!G:G)</f>
        <v>0</v>
      </c>
      <c r="H6" t="str">
        <f>_xlfn.XLOOKUP($A6,'EA-Fortescue_SDExport'!$A:$A,'EA-Fortescue_SDExport'!H:H)</f>
        <v>InterfaceBlock</v>
      </c>
      <c r="I6" t="str">
        <f>_xlfn.XLOOKUP($A6,'EA-Fortescue_SDExport'!$A:$A,'EA-Fortescue_SDExport'!I:I)</f>
        <v>SysML1.4::InterfaceBlock</v>
      </c>
      <c r="J6" t="str">
        <f>_xlfn.XLOOKUP($A6,'EA-Fortescue_SDExport'!$A:$A,'EA-Fortescue_SDExport'!J:J)</f>
        <v>Java</v>
      </c>
      <c r="K6" t="str">
        <f>_xlfn.XLOOKUP($A6,'EA-Fortescue_SDExport'!$A:$A,'EA-Fortescue_SDExport'!K:K)</f>
        <v>Admin</v>
      </c>
      <c r="L6" t="str">
        <f>_xlfn.XLOOKUP($A6,'EA-Fortescue_SDExport'!$A:$A,'EA-Fortescue_SDExport'!L:L)</f>
        <v>Public</v>
      </c>
      <c r="M6">
        <f>_xlfn.XLOOKUP($A6,'EA-Fortescue_SDExport'!$A:$A,'EA-Fortescue_SDExport'!M:M)</f>
        <v>0</v>
      </c>
      <c r="N6" t="str">
        <f>_xlfn.XLOOKUP($A6,InterfaceRegister!$A:$A,InterfaceRegister!K:K)</f>
        <v>Deleted</v>
      </c>
      <c r="O6">
        <f>_xlfn.XLOOKUP($A6,'EA-Fortescue_SDExport'!$A:$A,'EA-Fortescue_SDExport'!O:O)</f>
        <v>1</v>
      </c>
      <c r="P6">
        <f>_xlfn.XLOOKUP($A6,'EA-Fortescue_SDExport'!$A:$A,'EA-Fortescue_SDExport'!P:P)</f>
        <v>0</v>
      </c>
      <c r="Q6">
        <f>_xlfn.XLOOKUP($A6,'EA-Fortescue_SDExport'!$A:$A,'EA-Fortescue_SDExport'!Q:Q)</f>
        <v>0</v>
      </c>
      <c r="R6">
        <f>_xlfn.XLOOKUP($A6,'EA-Fortescue_SDExport'!$A:$A,'EA-Fortescue_SDExport'!R:R)</f>
        <v>0</v>
      </c>
      <c r="S6">
        <f>_xlfn.XLOOKUP($A6,'EA-Fortescue_SDExport'!$A:$A,'EA-Fortescue_SDExport'!S:S)</f>
        <v>0</v>
      </c>
      <c r="T6">
        <f>_xlfn.XLOOKUP($A6,'EA-Fortescue_SDExport'!$A:$A,'EA-Fortescue_SDExport'!T:T)</f>
        <v>0</v>
      </c>
      <c r="U6">
        <f>_xlfn.XLOOKUP($A6,'EA-Fortescue_SDExport'!$A:$A,'EA-Fortescue_SDExport'!U:U)</f>
        <v>45895.843680555554</v>
      </c>
      <c r="V6">
        <f>_xlfn.XLOOKUP($A6,'EA-Fortescue_SDExport'!$A:$A,'EA-Fortescue_SDExport'!V:V)</f>
        <v>46071.947974537034</v>
      </c>
      <c r="W6">
        <f>_xlfn.XLOOKUP($A6,'EA-Fortescue_SDExport'!$A:$A,'EA-Fortescue_SDExport'!W:W)</f>
        <v>0</v>
      </c>
      <c r="X6">
        <f>_xlfn.XLOOKUP($A6,'EA-Fortescue_SDExport'!$A:$A,'EA-Fortescue_SDExport'!X:X)</f>
        <v>0</v>
      </c>
      <c r="Y6">
        <f>_xlfn.XLOOKUP($A6,'EA-Fortescue_SDExport'!$A:$A,'EA-Fortescue_SDExport'!Y:Y)</f>
        <v>0</v>
      </c>
      <c r="Z6" t="str">
        <f>_xlfn.XLOOKUP($A6,'EA-Fortescue_SDExport'!$A:$A,'EA-Fortescue_SDExport'!Z:Z)</f>
        <v>SysML1.4::InterfaceBlock</v>
      </c>
      <c r="AA6" t="str">
        <f>_xlfn.XLOOKUP($A6,InterfaceRegister!$A:$A,InterfaceRegister!B:B)</f>
        <v>855DC-1541-DEL Delphi|855DC-1543-007 MECO</v>
      </c>
      <c r="AB6" t="str">
        <f>_xlfn.XLOOKUP($A6,InterfaceRegister!$A:$A,InterfaceRegister!C:C)</f>
        <v>N/A</v>
      </c>
      <c r="AC6" t="str">
        <f>_xlfn.XLOOKUP($A6,InterfaceRegister!$A:$A,InterfaceRegister!D:D)</f>
        <v>N/A</v>
      </c>
      <c r="AD6" t="str">
        <f>_xlfn.XLOOKUP($A6,InterfaceRegister!$A:$A,InterfaceRegister!E:E)</f>
        <v>Project - Subsystem Interface</v>
      </c>
      <c r="AE6" t="str">
        <f>_xlfn.XLOOKUP($A6,InterfaceRegister!$A:$A,InterfaceRegister!F:F)</f>
        <v/>
      </c>
      <c r="AF6" t="str">
        <f>_xlfn.XLOOKUP($A6,InterfaceRegister!$A:$A,InterfaceRegister!L:L)</f>
        <v>Interface Review 25/11/2025: Meco functionality of load forecasting might now be a subsystem of Delphi.</v>
      </c>
      <c r="AG6" t="str">
        <f>_xlfn.XLOOKUP($A6,InterfaceRegister!$A:$A,InterfaceRegister!M:M)</f>
        <v>N/A</v>
      </c>
      <c r="AH6" t="str">
        <f>_xlfn.XLOOKUP($A6,InterfaceRegister!$A:$A,InterfaceRegister!O:O)</f>
        <v>N/A</v>
      </c>
      <c r="AI6" t="str">
        <f>_xlfn.XLOOKUP($A6,InterfaceRegister!$A:$A,InterfaceRegister!N:N)</f>
        <v>N/A</v>
      </c>
      <c r="AJ6" t="str">
        <f>_xlfn.XLOOKUP($A6,'EA-Fortescue_SDExport'!$A:$A,'EA-Fortescue_SDExport'!AX:AX)</f>
        <v>CSV43E731A2</v>
      </c>
      <c r="AK6">
        <f>_xlfn.XLOOKUP($A6,'EA-Fortescue_SDExport'!$A:$A,'EA-Fortescue_SDExport'!AY:AY)</f>
        <v>0</v>
      </c>
    </row>
    <row r="7" spans="1:37" x14ac:dyDescent="0.25">
      <c r="A7" t="str">
        <v>DGS-I_0006</v>
      </c>
      <c r="B7" t="str">
        <f>_xlfn.XLOOKUP($A7,'EA-Fortescue_SDExport'!$A:$A,'EA-Fortescue_SDExport'!B:B)</f>
        <v>Class</v>
      </c>
      <c r="C7" t="str">
        <f>_xlfn.XLOOKUP($A7,'EA-Fortescue_SDExport'!$A:$A,'EA-Fortescue_SDExport'!C:C)</f>
        <v>{C9BCF35C-2B46-48b6-8EF6-F3535A39F8EE}</v>
      </c>
      <c r="D7" t="str">
        <f>_xlfn.LET(_xlpm.result, _xlfn.XLOOKUP($A7, InterfaceRegister!$A:$A, InterfaceRegister!P:P), IF(_xlpm.result=0, "", _xlpm.result))</f>
        <v>Interface Review 25/11/2025: Delete - This interface has multiple sources; therefore, it has been split into separate interfaces.</v>
      </c>
      <c r="E7">
        <f>_xlfn.XLOOKUP($A7,'EA-Fortescue_SDExport'!$A:$A,'EA-Fortescue_SDExport'!E:E)</f>
        <v>1</v>
      </c>
      <c r="F7">
        <f>_xlfn.XLOOKUP($A7,'EA-Fortescue_SDExport'!$A:$A,'EA-Fortescue_SDExport'!F:F)</f>
        <v>1</v>
      </c>
      <c r="G7">
        <f>_xlfn.XLOOKUP($A7,'EA-Fortescue_SDExport'!$A:$A,'EA-Fortescue_SDExport'!G:G)</f>
        <v>0</v>
      </c>
      <c r="H7" t="str">
        <f>_xlfn.XLOOKUP($A7,'EA-Fortescue_SDExport'!$A:$A,'EA-Fortescue_SDExport'!H:H)</f>
        <v>InterfaceBlock</v>
      </c>
      <c r="I7" t="str">
        <f>_xlfn.XLOOKUP($A7,'EA-Fortescue_SDExport'!$A:$A,'EA-Fortescue_SDExport'!I:I)</f>
        <v>SysML1.4::InterfaceBlock</v>
      </c>
      <c r="J7" t="str">
        <f>_xlfn.XLOOKUP($A7,'EA-Fortescue_SDExport'!$A:$A,'EA-Fortescue_SDExport'!J:J)</f>
        <v>Java</v>
      </c>
      <c r="K7" t="str">
        <f>_xlfn.XLOOKUP($A7,'EA-Fortescue_SDExport'!$A:$A,'EA-Fortescue_SDExport'!K:K)</f>
        <v>Admin</v>
      </c>
      <c r="L7" t="str">
        <f>_xlfn.XLOOKUP($A7,'EA-Fortescue_SDExport'!$A:$A,'EA-Fortescue_SDExport'!L:L)</f>
        <v>Public</v>
      </c>
      <c r="M7">
        <f>_xlfn.XLOOKUP($A7,'EA-Fortescue_SDExport'!$A:$A,'EA-Fortescue_SDExport'!M:M)</f>
        <v>0</v>
      </c>
      <c r="N7" t="str">
        <f>_xlfn.XLOOKUP($A7,InterfaceRegister!$A:$A,InterfaceRegister!K:K)</f>
        <v>Deleted</v>
      </c>
      <c r="O7">
        <f>_xlfn.XLOOKUP($A7,'EA-Fortescue_SDExport'!$A:$A,'EA-Fortescue_SDExport'!O:O)</f>
        <v>1</v>
      </c>
      <c r="P7">
        <f>_xlfn.XLOOKUP($A7,'EA-Fortescue_SDExport'!$A:$A,'EA-Fortescue_SDExport'!P:P)</f>
        <v>0</v>
      </c>
      <c r="Q7">
        <f>_xlfn.XLOOKUP($A7,'EA-Fortescue_SDExport'!$A:$A,'EA-Fortescue_SDExport'!Q:Q)</f>
        <v>0</v>
      </c>
      <c r="R7">
        <f>_xlfn.XLOOKUP($A7,'EA-Fortescue_SDExport'!$A:$A,'EA-Fortescue_SDExport'!R:R)</f>
        <v>0</v>
      </c>
      <c r="S7">
        <f>_xlfn.XLOOKUP($A7,'EA-Fortescue_SDExport'!$A:$A,'EA-Fortescue_SDExport'!S:S)</f>
        <v>0</v>
      </c>
      <c r="T7">
        <f>_xlfn.XLOOKUP($A7,'EA-Fortescue_SDExport'!$A:$A,'EA-Fortescue_SDExport'!T:T)</f>
        <v>0</v>
      </c>
      <c r="U7">
        <f>_xlfn.XLOOKUP($A7,'EA-Fortescue_SDExport'!$A:$A,'EA-Fortescue_SDExport'!U:U)</f>
        <v>45895.844178240739</v>
      </c>
      <c r="V7">
        <f>_xlfn.XLOOKUP($A7,'EA-Fortescue_SDExport'!$A:$A,'EA-Fortescue_SDExport'!V:V)</f>
        <v>46002.067557870374</v>
      </c>
      <c r="W7">
        <f>_xlfn.XLOOKUP($A7,'EA-Fortescue_SDExport'!$A:$A,'EA-Fortescue_SDExport'!W:W)</f>
        <v>0</v>
      </c>
      <c r="X7">
        <f>_xlfn.XLOOKUP($A7,'EA-Fortescue_SDExport'!$A:$A,'EA-Fortescue_SDExport'!X:X)</f>
        <v>0</v>
      </c>
      <c r="Y7">
        <f>_xlfn.XLOOKUP($A7,'EA-Fortescue_SDExport'!$A:$A,'EA-Fortescue_SDExport'!Y:Y)</f>
        <v>0</v>
      </c>
      <c r="Z7" t="str">
        <f>_xlfn.XLOOKUP($A7,'EA-Fortescue_SDExport'!$A:$A,'EA-Fortescue_SDExport'!Z:Z)</f>
        <v>SysML1.4::InterfaceBlock</v>
      </c>
      <c r="AA7" t="str">
        <f>_xlfn.XLOOKUP($A7,InterfaceRegister!$A:$A,InterfaceRegister!B:B)</f>
        <v>855DC-1541-DEL Delphi|Archive - 855DC-1544-026 Solar and Wind Modelling Gen-AI</v>
      </c>
      <c r="AB7" t="str">
        <f>_xlfn.XLOOKUP($A7,InterfaceRegister!$A:$A,InterfaceRegister!C:C)</f>
        <v/>
      </c>
      <c r="AC7" t="str">
        <f>_xlfn.XLOOKUP($A7,InterfaceRegister!$A:$A,InterfaceRegister!D:D)</f>
        <v/>
      </c>
      <c r="AD7" t="str">
        <f>_xlfn.XLOOKUP($A7,InterfaceRegister!$A:$A,InterfaceRegister!E:E)</f>
        <v>Project - Project Interface</v>
      </c>
      <c r="AE7" t="str">
        <f>_xlfn.XLOOKUP($A7,InterfaceRegister!$A:$A,InterfaceRegister!F:F)</f>
        <v/>
      </c>
      <c r="AF7" t="str">
        <f>_xlfn.XLOOKUP($A7,InterfaceRegister!$A:$A,InterfaceRegister!L:L)</f>
        <v/>
      </c>
      <c r="AG7" t="str">
        <f>_xlfn.XLOOKUP($A7,InterfaceRegister!$A:$A,InterfaceRegister!M:M)</f>
        <v/>
      </c>
      <c r="AH7" t="str">
        <f>_xlfn.XLOOKUP($A7,InterfaceRegister!$A:$A,InterfaceRegister!O:O)</f>
        <v/>
      </c>
      <c r="AI7" t="str">
        <f>_xlfn.XLOOKUP($A7,InterfaceRegister!$A:$A,InterfaceRegister!N:N)</f>
        <v/>
      </c>
      <c r="AJ7" t="str">
        <f>_xlfn.XLOOKUP($A7,'EA-Fortescue_SDExport'!$A:$A,'EA-Fortescue_SDExport'!AX:AX)</f>
        <v>CSV2D19C894</v>
      </c>
      <c r="AK7">
        <f>_xlfn.XLOOKUP($A7,'EA-Fortescue_SDExport'!$A:$A,'EA-Fortescue_SDExport'!AY:AY)</f>
        <v>0</v>
      </c>
    </row>
    <row r="8" spans="1:37" x14ac:dyDescent="0.25">
      <c r="A8" t="str">
        <v>DGS-I_0007</v>
      </c>
      <c r="B8" t="str">
        <f>_xlfn.XLOOKUP($A8,'EA-Fortescue_SDExport'!$A:$A,'EA-Fortescue_SDExport'!B:B)</f>
        <v>Class</v>
      </c>
      <c r="C8" t="str">
        <f>_xlfn.XLOOKUP($A8,'EA-Fortescue_SDExport'!$A:$A,'EA-Fortescue_SDExport'!C:C)</f>
        <v>{4EFD3D58-32BC-4eb6-96E2-292EB50E6C6C}</v>
      </c>
      <c r="D8" t="str">
        <f>_xlfn.LET(_xlpm.result, _xlfn.XLOOKUP($A8, InterfaceRegister!$A:$A, InterfaceRegister!P:P), IF(_xlpm.result=0, "", _xlpm.result))</f>
        <v>Interface Review 02/12/2025: Maintenance planning and history, preventative and corrective maintenance, and cable availability. Asset allocations are more from GPS Sensors. _x000D_
LiveWire will provide SAP if the cable changes site at the FLOC level. If it moves from site to site, the cost centre will change. _x000D_
The current state is just information on the status of the cable. Notification summary from SAP can provide a cable that has been physically inspected and marked not fit for purpose._x000D_
Future state LiveWire might be aware of Cable conditions before SAP is. The cable crew might be able to mark this in LiveWire. Commentary can potentially capture commentary as well and then provide it to SAP.</v>
      </c>
      <c r="E8">
        <f>_xlfn.XLOOKUP($A8,'EA-Fortescue_SDExport'!$A:$A,'EA-Fortescue_SDExport'!E:E)</f>
        <v>1</v>
      </c>
      <c r="F8">
        <f>_xlfn.XLOOKUP($A8,'EA-Fortescue_SDExport'!$A:$A,'EA-Fortescue_SDExport'!F:F)</f>
        <v>1</v>
      </c>
      <c r="G8">
        <f>_xlfn.XLOOKUP($A8,'EA-Fortescue_SDExport'!$A:$A,'EA-Fortescue_SDExport'!G:G)</f>
        <v>0</v>
      </c>
      <c r="H8" t="str">
        <f>_xlfn.XLOOKUP($A8,'EA-Fortescue_SDExport'!$A:$A,'EA-Fortescue_SDExport'!H:H)</f>
        <v>InterfaceBlock</v>
      </c>
      <c r="I8" t="str">
        <f>_xlfn.XLOOKUP($A8,'EA-Fortescue_SDExport'!$A:$A,'EA-Fortescue_SDExport'!I:I)</f>
        <v>SysML1.4::InterfaceBlock</v>
      </c>
      <c r="J8" t="str">
        <f>_xlfn.XLOOKUP($A8,'EA-Fortescue_SDExport'!$A:$A,'EA-Fortescue_SDExport'!J:J)</f>
        <v>Java</v>
      </c>
      <c r="K8" t="str">
        <f>_xlfn.XLOOKUP($A8,'EA-Fortescue_SDExport'!$A:$A,'EA-Fortescue_SDExport'!K:K)</f>
        <v>Admin</v>
      </c>
      <c r="L8" t="str">
        <f>_xlfn.XLOOKUP($A8,'EA-Fortescue_SDExport'!$A:$A,'EA-Fortescue_SDExport'!L:L)</f>
        <v>Public</v>
      </c>
      <c r="M8">
        <f>_xlfn.XLOOKUP($A8,'EA-Fortescue_SDExport'!$A:$A,'EA-Fortescue_SDExport'!M:M)</f>
        <v>0</v>
      </c>
      <c r="N8" t="str">
        <f>_xlfn.XLOOKUP($A8,InterfaceRegister!$A:$A,InterfaceRegister!K:K)</f>
        <v>Proposed</v>
      </c>
      <c r="O8">
        <f>_xlfn.XLOOKUP($A8,'EA-Fortescue_SDExport'!$A:$A,'EA-Fortescue_SDExport'!O:O)</f>
        <v>1</v>
      </c>
      <c r="P8">
        <f>_xlfn.XLOOKUP($A8,'EA-Fortescue_SDExport'!$A:$A,'EA-Fortescue_SDExport'!P:P)</f>
        <v>0</v>
      </c>
      <c r="Q8">
        <f>_xlfn.XLOOKUP($A8,'EA-Fortescue_SDExport'!$A:$A,'EA-Fortescue_SDExport'!Q:Q)</f>
        <v>0</v>
      </c>
      <c r="R8">
        <f>_xlfn.XLOOKUP($A8,'EA-Fortescue_SDExport'!$A:$A,'EA-Fortescue_SDExport'!R:R)</f>
        <v>0</v>
      </c>
      <c r="S8">
        <f>_xlfn.XLOOKUP($A8,'EA-Fortescue_SDExport'!$A:$A,'EA-Fortescue_SDExport'!S:S)</f>
        <v>0</v>
      </c>
      <c r="T8">
        <f>_xlfn.XLOOKUP($A8,'EA-Fortescue_SDExport'!$A:$A,'EA-Fortescue_SDExport'!T:T)</f>
        <v>0</v>
      </c>
      <c r="U8">
        <f>_xlfn.XLOOKUP($A8,'EA-Fortescue_SDExport'!$A:$A,'EA-Fortescue_SDExport'!U:U)</f>
        <v>45895.868067129632</v>
      </c>
      <c r="V8">
        <f>_xlfn.XLOOKUP($A8,'EA-Fortescue_SDExport'!$A:$A,'EA-Fortescue_SDExport'!V:V)</f>
        <v>46002.06759259259</v>
      </c>
      <c r="W8">
        <f>_xlfn.XLOOKUP($A8,'EA-Fortescue_SDExport'!$A:$A,'EA-Fortescue_SDExport'!W:W)</f>
        <v>0</v>
      </c>
      <c r="X8">
        <f>_xlfn.XLOOKUP($A8,'EA-Fortescue_SDExport'!$A:$A,'EA-Fortescue_SDExport'!X:X)</f>
        <v>0</v>
      </c>
      <c r="Y8">
        <f>_xlfn.XLOOKUP($A8,'EA-Fortescue_SDExport'!$A:$A,'EA-Fortescue_SDExport'!Y:Y)</f>
        <v>0</v>
      </c>
      <c r="Z8" t="str">
        <f>_xlfn.XLOOKUP($A8,'EA-Fortescue_SDExport'!$A:$A,'EA-Fortescue_SDExport'!Z:Z)</f>
        <v>SysML1.4::InterfaceBlock</v>
      </c>
      <c r="AA8" t="str">
        <f>_xlfn.XLOOKUP($A8,InterfaceRegister!$A:$A,InterfaceRegister!B:B)</f>
        <v>005OP-0000-012 SAP|855DC-1541-LIV LiveWire</v>
      </c>
      <c r="AB8" t="str">
        <f>_xlfn.XLOOKUP($A8,InterfaceRegister!$A:$A,InterfaceRegister!C:C)</f>
        <v>Abby Buters</v>
      </c>
      <c r="AC8" t="str">
        <f>_xlfn.XLOOKUP($A8,InterfaceRegister!$A:$A,InterfaceRegister!D:D)</f>
        <v>Ervin Goen</v>
      </c>
      <c r="AD8" t="str">
        <f>_xlfn.XLOOKUP($A8,InterfaceRegister!$A:$A,InterfaceRegister!E:E)</f>
        <v>Project - Project Interface</v>
      </c>
      <c r="AE8" t="str">
        <f>_xlfn.XLOOKUP($A8,InterfaceRegister!$A:$A,InterfaceRegister!F:F)</f>
        <v>Technical-Data/Software</v>
      </c>
      <c r="AF8" t="str">
        <f>_xlfn.XLOOKUP($A8,InterfaceRegister!$A:$A,InterfaceRegister!L:L)</f>
        <v>LiveWire - Asset Tracking, Usage History &amp; Stock Availability (SAP Integration)_x000D_
This interface provides LiveWire with visibility of asset locations, usage history, and operational status for equipment such as cable couplers, adapters, and related field hardware. It sources asset stock availability from SAP, including work order allocations, close-out dates, and remaining inventory, while usage history may be supplied by LiveWire directly based on field movements and connection records to allow for a more accurate operational view of asset utilisation in near real time._x000D_
Intermediate Elements: SAP (inventory &amp; work orders), LiveWire (asset location &amp; usage history), and optional two-way integration for synchronising asset status.</v>
      </c>
      <c r="AG8" t="str">
        <f>_xlfn.XLOOKUP($A8,InterfaceRegister!$A:$A,InterfaceRegister!M:M)</f>
        <v>MEDIUM</v>
      </c>
      <c r="AH8" t="str">
        <f>_xlfn.XLOOKUP($A8,InterfaceRegister!$A:$A,InterfaceRegister!O:O)</f>
        <v>Data Flow:_x000D_
SAP (stock availability, work order status) -&gt; LiveWire (asset usage history &amp; tracking)</v>
      </c>
      <c r="AI8" t="str">
        <f>_xlfn.XLOOKUP($A8,InterfaceRegister!$A:$A,InterfaceRegister!N:N)</f>
        <v>The criticality level is MEDIUM because accurate asset tracking and availability data is essential for field operations and maintenance planning. Failure degrades efficient electrical network management and may cause delays due to unavailable equipment.</v>
      </c>
      <c r="AJ8" t="str">
        <f>_xlfn.XLOOKUP($A8,'EA-Fortescue_SDExport'!$A:$A,'EA-Fortescue_SDExport'!AX:AX)</f>
        <v>CSV9267CF6F</v>
      </c>
      <c r="AK8">
        <f>_xlfn.XLOOKUP($A8,'EA-Fortescue_SDExport'!$A:$A,'EA-Fortescue_SDExport'!AY:AY)</f>
        <v>0</v>
      </c>
    </row>
    <row r="9" spans="1:37" x14ac:dyDescent="0.25">
      <c r="A9" t="str">
        <v>DGS-I_0008</v>
      </c>
      <c r="B9" t="str">
        <f>_xlfn.XLOOKUP($A9,'EA-Fortescue_SDExport'!$A:$A,'EA-Fortescue_SDExport'!B:B)</f>
        <v>Class</v>
      </c>
      <c r="C9" t="str">
        <f>_xlfn.XLOOKUP($A9,'EA-Fortescue_SDExport'!$A:$A,'EA-Fortescue_SDExport'!C:C)</f>
        <v>{01B609AA-C63D-4d6b-81AE-28D34B83BDD0}</v>
      </c>
      <c r="D9" t="str">
        <f>_xlfn.LET(_xlpm.result, _xlfn.XLOOKUP($A9, InterfaceRegister!$A:$A, InterfaceRegister!P:P), IF(_xlpm.result=0, "", _xlpm.result))</f>
        <v>Interface Review 02/12/2025: Move Pit Power Capacity to retired systems and delete associated interfaces.
NH 04/12/2025: A.02.08 Pit Power Capacity Planning Tool - Capacity Check is the secondary interface between Green Systems and many physical assets. If it is removed, the physical assets will be removed from the diagrams. 
SBS-WBS Mapping 01/02/2026: Move Pit Power Capacity to Orphaned/retired Artifact &amp;amp; Hide/remove all interfaces - Interface deleted.
GSP Context diagram 27/01/2026: Pit Power Capacity Planning and Design to be added back to the system architecture.
NH 18/02/2026: Fields updated: Interface Type, Interface Description (Interface Purpose), Interface Criticality, Interface Criticality Explanation, Interface Flow.</v>
      </c>
      <c r="E9">
        <f>_xlfn.XLOOKUP($A9,'EA-Fortescue_SDExport'!$A:$A,'EA-Fortescue_SDExport'!E:E)</f>
        <v>1</v>
      </c>
      <c r="F9">
        <f>_xlfn.XLOOKUP($A9,'EA-Fortescue_SDExport'!$A:$A,'EA-Fortescue_SDExport'!F:F)</f>
        <v>1</v>
      </c>
      <c r="G9">
        <f>_xlfn.XLOOKUP($A9,'EA-Fortescue_SDExport'!$A:$A,'EA-Fortescue_SDExport'!G:G)</f>
        <v>0</v>
      </c>
      <c r="H9" t="str">
        <f>_xlfn.XLOOKUP($A9,'EA-Fortescue_SDExport'!$A:$A,'EA-Fortescue_SDExport'!H:H)</f>
        <v>InterfaceBlock</v>
      </c>
      <c r="I9" t="str">
        <f>_xlfn.XLOOKUP($A9,'EA-Fortescue_SDExport'!$A:$A,'EA-Fortescue_SDExport'!I:I)</f>
        <v>SysML1.4::InterfaceBlock</v>
      </c>
      <c r="J9" t="str">
        <f>_xlfn.XLOOKUP($A9,'EA-Fortescue_SDExport'!$A:$A,'EA-Fortescue_SDExport'!J:J)</f>
        <v>Java</v>
      </c>
      <c r="K9" t="str">
        <f>_xlfn.XLOOKUP($A9,'EA-Fortescue_SDExport'!$A:$A,'EA-Fortescue_SDExport'!K:K)</f>
        <v>Admin</v>
      </c>
      <c r="L9" t="str">
        <f>_xlfn.XLOOKUP($A9,'EA-Fortescue_SDExport'!$A:$A,'EA-Fortescue_SDExport'!L:L)</f>
        <v>Public</v>
      </c>
      <c r="M9">
        <f>_xlfn.XLOOKUP($A9,'EA-Fortescue_SDExport'!$A:$A,'EA-Fortescue_SDExport'!M:M)</f>
        <v>0</v>
      </c>
      <c r="N9" t="str">
        <f>_xlfn.XLOOKUP($A9,InterfaceRegister!$A:$A,InterfaceRegister!K:K)</f>
        <v>Proposed</v>
      </c>
      <c r="O9">
        <f>_xlfn.XLOOKUP($A9,'EA-Fortescue_SDExport'!$A:$A,'EA-Fortescue_SDExport'!O:O)</f>
        <v>1</v>
      </c>
      <c r="P9">
        <f>_xlfn.XLOOKUP($A9,'EA-Fortescue_SDExport'!$A:$A,'EA-Fortescue_SDExport'!P:P)</f>
        <v>0</v>
      </c>
      <c r="Q9">
        <f>_xlfn.XLOOKUP($A9,'EA-Fortescue_SDExport'!$A:$A,'EA-Fortescue_SDExport'!Q:Q)</f>
        <v>0</v>
      </c>
      <c r="R9">
        <f>_xlfn.XLOOKUP($A9,'EA-Fortescue_SDExport'!$A:$A,'EA-Fortescue_SDExport'!R:R)</f>
        <v>0</v>
      </c>
      <c r="S9">
        <f>_xlfn.XLOOKUP($A9,'EA-Fortescue_SDExport'!$A:$A,'EA-Fortescue_SDExport'!S:S)</f>
        <v>0</v>
      </c>
      <c r="T9">
        <f>_xlfn.XLOOKUP($A9,'EA-Fortescue_SDExport'!$A:$A,'EA-Fortescue_SDExport'!T:T)</f>
        <v>0</v>
      </c>
      <c r="U9">
        <f>_xlfn.XLOOKUP($A9,'EA-Fortescue_SDExport'!$A:$A,'EA-Fortescue_SDExport'!U:U)</f>
        <v>45896.792002314818</v>
      </c>
      <c r="V9">
        <f>_xlfn.XLOOKUP($A9,'EA-Fortescue_SDExport'!$A:$A,'EA-Fortescue_SDExport'!V:V)</f>
        <v>46071.948020833333</v>
      </c>
      <c r="W9">
        <f>_xlfn.XLOOKUP($A9,'EA-Fortescue_SDExport'!$A:$A,'EA-Fortescue_SDExport'!W:W)</f>
        <v>0</v>
      </c>
      <c r="X9">
        <f>_xlfn.XLOOKUP($A9,'EA-Fortescue_SDExport'!$A:$A,'EA-Fortescue_SDExport'!X:X)</f>
        <v>0</v>
      </c>
      <c r="Y9">
        <f>_xlfn.XLOOKUP($A9,'EA-Fortescue_SDExport'!$A:$A,'EA-Fortescue_SDExport'!Y:Y)</f>
        <v>0</v>
      </c>
      <c r="Z9" t="str">
        <f>_xlfn.XLOOKUP($A9,'EA-Fortescue_SDExport'!$A:$A,'EA-Fortescue_SDExport'!Z:Z)</f>
        <v>SysML1.4::InterfaceBlock</v>
      </c>
      <c r="AA9" t="str">
        <f>_xlfn.XLOOKUP($A9,InterfaceRegister!$A:$A,InterfaceRegister!B:B)</f>
        <v>855DC-1541-PPC Pit Power Capacity Planning Tool - Design Optimisation|855DC-1541-005 HaulAI</v>
      </c>
      <c r="AB9" t="str">
        <f>_xlfn.XLOOKUP($A9,InterfaceRegister!$A:$A,InterfaceRegister!C:C)</f>
        <v/>
      </c>
      <c r="AC9" t="str">
        <f>_xlfn.XLOOKUP($A9,InterfaceRegister!$A:$A,InterfaceRegister!D:D)</f>
        <v/>
      </c>
      <c r="AD9" t="str">
        <f>_xlfn.XLOOKUP($A9,InterfaceRegister!$A:$A,InterfaceRegister!E:E)</f>
        <v>Project - Project Interface</v>
      </c>
      <c r="AE9" t="str">
        <f>_xlfn.XLOOKUP($A9,InterfaceRegister!$A:$A,InterfaceRegister!F:F)</f>
        <v>Technical-Data/Software</v>
      </c>
      <c r="AF9" t="str">
        <f>_xlfn.XLOOKUP($A9,InterfaceRegister!$A:$A,InterfaceRegister!L:L)</f>
        <v>The purpose of this interface is to enable HaulAI to share simulated fleet behaviour and haulage demand insights with the PPCP Design Optimisation tool to support electrical load modelling and infrastructure design studies. PPCP may provide high-level capacity assumptions or constraints, so haulage simulations reflect feasible electrical network conditions during planning._x000D_
This interface supports planning and optimisation activities only and does not enable real-time operational control.</v>
      </c>
      <c r="AG9" t="str">
        <f>_xlfn.XLOOKUP($A9,InterfaceRegister!$A:$A,InterfaceRegister!M:M)</f>
        <v>LOW</v>
      </c>
      <c r="AH9" t="str">
        <f>_xlfn.XLOOKUP($A9,InterfaceRegister!$A:$A,InterfaceRegister!O:O)</f>
        <v>Pit Power Capacity Planning Tool - Design Optimisation &lt;-&gt; HaulAI</v>
      </c>
      <c r="AI9" t="str">
        <f>_xlfn.XLOOKUP($A9,InterfaceRegister!$A:$A,InterfaceRegister!N:N)</f>
        <v>The criticality level is LOW because this interface supports planning and design optimisation only. Failure would reduce modelling accuracy but would not affect real-time operations, production continuity, or safety-critical systems.</v>
      </c>
      <c r="AJ9" t="str">
        <f>_xlfn.XLOOKUP($A9,'EA-Fortescue_SDExport'!$A:$A,'EA-Fortescue_SDExport'!AX:AX)</f>
        <v>CSV9D0C152D</v>
      </c>
      <c r="AK9">
        <f>_xlfn.XLOOKUP($A9,'EA-Fortescue_SDExport'!$A:$A,'EA-Fortescue_SDExport'!AY:AY)</f>
        <v>0</v>
      </c>
    </row>
    <row r="10" spans="1:37" x14ac:dyDescent="0.25">
      <c r="A10" t="str">
        <v>DGS-I_0009</v>
      </c>
      <c r="B10" t="str">
        <f>_xlfn.XLOOKUP($A10,'EA-Fortescue_SDExport'!$A:$A,'EA-Fortescue_SDExport'!B:B)</f>
        <v>Class</v>
      </c>
      <c r="C10" t="str">
        <f>_xlfn.XLOOKUP($A10,'EA-Fortescue_SDExport'!$A:$A,'EA-Fortescue_SDExport'!C:C)</f>
        <v>{30473F73-F6BD-42b5-AB09-55A9D4468282}</v>
      </c>
      <c r="D10" t="str">
        <f>_xlfn.LET(_xlpm.result, _xlfn.XLOOKUP($A10, InterfaceRegister!$A:$A, InterfaceRegister!P:P), IF(_xlpm.result=0, "", _xlpm.result))</f>
        <v>Interface Review 25/11/2025: Delete (more eclipse and still working through integration requirements)</v>
      </c>
      <c r="E10">
        <f>_xlfn.XLOOKUP($A10,'EA-Fortescue_SDExport'!$A:$A,'EA-Fortescue_SDExport'!E:E)</f>
        <v>1</v>
      </c>
      <c r="F10">
        <f>_xlfn.XLOOKUP($A10,'EA-Fortescue_SDExport'!$A:$A,'EA-Fortescue_SDExport'!F:F)</f>
        <v>1</v>
      </c>
      <c r="G10">
        <f>_xlfn.XLOOKUP($A10,'EA-Fortescue_SDExport'!$A:$A,'EA-Fortescue_SDExport'!G:G)</f>
        <v>0</v>
      </c>
      <c r="H10" t="str">
        <f>_xlfn.XLOOKUP($A10,'EA-Fortescue_SDExport'!$A:$A,'EA-Fortescue_SDExport'!H:H)</f>
        <v>InterfaceBlock</v>
      </c>
      <c r="I10" t="str">
        <f>_xlfn.XLOOKUP($A10,'EA-Fortescue_SDExport'!$A:$A,'EA-Fortescue_SDExport'!I:I)</f>
        <v>SysML1.4::InterfaceBlock</v>
      </c>
      <c r="J10" t="str">
        <f>_xlfn.XLOOKUP($A10,'EA-Fortescue_SDExport'!$A:$A,'EA-Fortescue_SDExport'!J:J)</f>
        <v>Java</v>
      </c>
      <c r="K10" t="str">
        <f>_xlfn.XLOOKUP($A10,'EA-Fortescue_SDExport'!$A:$A,'EA-Fortescue_SDExport'!K:K)</f>
        <v>Admin</v>
      </c>
      <c r="L10" t="str">
        <f>_xlfn.XLOOKUP($A10,'EA-Fortescue_SDExport'!$A:$A,'EA-Fortescue_SDExport'!L:L)</f>
        <v>Public</v>
      </c>
      <c r="M10">
        <f>_xlfn.XLOOKUP($A10,'EA-Fortescue_SDExport'!$A:$A,'EA-Fortescue_SDExport'!M:M)</f>
        <v>0</v>
      </c>
      <c r="N10" t="str">
        <f>_xlfn.XLOOKUP($A10,InterfaceRegister!$A:$A,InterfaceRegister!K:K)</f>
        <v>Deleted</v>
      </c>
      <c r="O10">
        <f>_xlfn.XLOOKUP($A10,'EA-Fortescue_SDExport'!$A:$A,'EA-Fortescue_SDExport'!O:O)</f>
        <v>1</v>
      </c>
      <c r="P10">
        <f>_xlfn.XLOOKUP($A10,'EA-Fortescue_SDExport'!$A:$A,'EA-Fortescue_SDExport'!P:P)</f>
        <v>0</v>
      </c>
      <c r="Q10">
        <f>_xlfn.XLOOKUP($A10,'EA-Fortescue_SDExport'!$A:$A,'EA-Fortescue_SDExport'!Q:Q)</f>
        <v>0</v>
      </c>
      <c r="R10">
        <f>_xlfn.XLOOKUP($A10,'EA-Fortescue_SDExport'!$A:$A,'EA-Fortescue_SDExport'!R:R)</f>
        <v>0</v>
      </c>
      <c r="S10">
        <f>_xlfn.XLOOKUP($A10,'EA-Fortescue_SDExport'!$A:$A,'EA-Fortescue_SDExport'!S:S)</f>
        <v>0</v>
      </c>
      <c r="T10">
        <f>_xlfn.XLOOKUP($A10,'EA-Fortescue_SDExport'!$A:$A,'EA-Fortescue_SDExport'!T:T)</f>
        <v>0</v>
      </c>
      <c r="U10">
        <f>_xlfn.XLOOKUP($A10,'EA-Fortescue_SDExport'!$A:$A,'EA-Fortescue_SDExport'!U:U)</f>
        <v>45896.968298611115</v>
      </c>
      <c r="V10">
        <f>_xlfn.XLOOKUP($A10,'EA-Fortescue_SDExport'!$A:$A,'EA-Fortescue_SDExport'!V:V)</f>
        <v>46002.06758101852</v>
      </c>
      <c r="W10">
        <f>_xlfn.XLOOKUP($A10,'EA-Fortescue_SDExport'!$A:$A,'EA-Fortescue_SDExport'!W:W)</f>
        <v>0</v>
      </c>
      <c r="X10">
        <f>_xlfn.XLOOKUP($A10,'EA-Fortescue_SDExport'!$A:$A,'EA-Fortescue_SDExport'!X:X)</f>
        <v>0</v>
      </c>
      <c r="Y10">
        <f>_xlfn.XLOOKUP($A10,'EA-Fortescue_SDExport'!$A:$A,'EA-Fortescue_SDExport'!Y:Y)</f>
        <v>0</v>
      </c>
      <c r="Z10" t="str">
        <f>_xlfn.XLOOKUP($A10,'EA-Fortescue_SDExport'!$A:$A,'EA-Fortescue_SDExport'!Z:Z)</f>
        <v>SysML1.4::InterfaceBlock</v>
      </c>
      <c r="AA10" t="str">
        <f>_xlfn.XLOOKUP($A10,InterfaceRegister!$A:$A,InterfaceRegister!B:B)</f>
        <v>005OP-0000-002 ALF|855DC-1541-DEL Delphi</v>
      </c>
      <c r="AB10" t="str">
        <f>_xlfn.XLOOKUP($A10,InterfaceRegister!$A:$A,InterfaceRegister!C:C)</f>
        <v/>
      </c>
      <c r="AC10" t="str">
        <f>_xlfn.XLOOKUP($A10,InterfaceRegister!$A:$A,InterfaceRegister!D:D)</f>
        <v/>
      </c>
      <c r="AD10" t="str">
        <f>_xlfn.XLOOKUP($A10,InterfaceRegister!$A:$A,InterfaceRegister!E:E)</f>
        <v>Project - Project Interface</v>
      </c>
      <c r="AE10" t="str">
        <f>_xlfn.XLOOKUP($A10,InterfaceRegister!$A:$A,InterfaceRegister!F:F)</f>
        <v/>
      </c>
      <c r="AF10" t="str">
        <f>_xlfn.XLOOKUP($A10,InterfaceRegister!$A:$A,InterfaceRegister!L:L)</f>
        <v/>
      </c>
      <c r="AG10" t="str">
        <f>_xlfn.XLOOKUP($A10,InterfaceRegister!$A:$A,InterfaceRegister!M:M)</f>
        <v/>
      </c>
      <c r="AH10" t="str">
        <f>_xlfn.XLOOKUP($A10,InterfaceRegister!$A:$A,InterfaceRegister!O:O)</f>
        <v/>
      </c>
      <c r="AI10" t="str">
        <f>_xlfn.XLOOKUP($A10,InterfaceRegister!$A:$A,InterfaceRegister!N:N)</f>
        <v/>
      </c>
      <c r="AJ10" t="str">
        <f>_xlfn.XLOOKUP($A10,'EA-Fortescue_SDExport'!$A:$A,'EA-Fortescue_SDExport'!AX:AX)</f>
        <v>CSVCC5D452F</v>
      </c>
      <c r="AK10">
        <f>_xlfn.XLOOKUP($A10,'EA-Fortescue_SDExport'!$A:$A,'EA-Fortescue_SDExport'!AY:AY)</f>
        <v>0</v>
      </c>
    </row>
    <row r="11" spans="1:37" x14ac:dyDescent="0.25">
      <c r="A11" t="str">
        <v>DGS-I_0010</v>
      </c>
      <c r="B11" t="str">
        <f>_xlfn.XLOOKUP($A11,'EA-Fortescue_SDExport'!$A:$A,'EA-Fortescue_SDExport'!B:B)</f>
        <v>Class</v>
      </c>
      <c r="C11" t="str">
        <f>_xlfn.XLOOKUP($A11,'EA-Fortescue_SDExport'!$A:$A,'EA-Fortescue_SDExport'!C:C)</f>
        <v>{F4FEFD09-675E-4574-8788-E53981B04E36}</v>
      </c>
      <c r="D11" t="str">
        <f>_xlfn.LET(_xlpm.result, _xlfn.XLOOKUP($A11, InterfaceRegister!$A:$A, InterfaceRegister!P:P), IF(_xlpm.result=0, "", _xlpm.result))</f>
        <v>Interface Review 25/11/2025: Delete</v>
      </c>
      <c r="E11">
        <f>_xlfn.XLOOKUP($A11,'EA-Fortescue_SDExport'!$A:$A,'EA-Fortescue_SDExport'!E:E)</f>
        <v>1</v>
      </c>
      <c r="F11">
        <f>_xlfn.XLOOKUP($A11,'EA-Fortescue_SDExport'!$A:$A,'EA-Fortescue_SDExport'!F:F)</f>
        <v>1</v>
      </c>
      <c r="G11">
        <f>_xlfn.XLOOKUP($A11,'EA-Fortescue_SDExport'!$A:$A,'EA-Fortescue_SDExport'!G:G)</f>
        <v>0</v>
      </c>
      <c r="H11" t="str">
        <f>_xlfn.XLOOKUP($A11,'EA-Fortescue_SDExport'!$A:$A,'EA-Fortescue_SDExport'!H:H)</f>
        <v>InterfaceBlock</v>
      </c>
      <c r="I11" t="str">
        <f>_xlfn.XLOOKUP($A11,'EA-Fortescue_SDExport'!$A:$A,'EA-Fortescue_SDExport'!I:I)</f>
        <v>SysML1.4::InterfaceBlock</v>
      </c>
      <c r="J11" t="str">
        <f>_xlfn.XLOOKUP($A11,'EA-Fortescue_SDExport'!$A:$A,'EA-Fortescue_SDExport'!J:J)</f>
        <v>Java</v>
      </c>
      <c r="K11" t="str">
        <f>_xlfn.XLOOKUP($A11,'EA-Fortescue_SDExport'!$A:$A,'EA-Fortescue_SDExport'!K:K)</f>
        <v>Admin</v>
      </c>
      <c r="L11" t="str">
        <f>_xlfn.XLOOKUP($A11,'EA-Fortescue_SDExport'!$A:$A,'EA-Fortescue_SDExport'!L:L)</f>
        <v>Public</v>
      </c>
      <c r="M11">
        <f>_xlfn.XLOOKUP($A11,'EA-Fortescue_SDExport'!$A:$A,'EA-Fortescue_SDExport'!M:M)</f>
        <v>0</v>
      </c>
      <c r="N11" t="str">
        <f>_xlfn.XLOOKUP($A11,InterfaceRegister!$A:$A,InterfaceRegister!K:K)</f>
        <v>Deleted</v>
      </c>
      <c r="O11">
        <f>_xlfn.XLOOKUP($A11,'EA-Fortescue_SDExport'!$A:$A,'EA-Fortescue_SDExport'!O:O)</f>
        <v>1</v>
      </c>
      <c r="P11">
        <f>_xlfn.XLOOKUP($A11,'EA-Fortescue_SDExport'!$A:$A,'EA-Fortescue_SDExport'!P:P)</f>
        <v>0</v>
      </c>
      <c r="Q11">
        <f>_xlfn.XLOOKUP($A11,'EA-Fortescue_SDExport'!$A:$A,'EA-Fortescue_SDExport'!Q:Q)</f>
        <v>0</v>
      </c>
      <c r="R11">
        <f>_xlfn.XLOOKUP($A11,'EA-Fortescue_SDExport'!$A:$A,'EA-Fortescue_SDExport'!R:R)</f>
        <v>0</v>
      </c>
      <c r="S11">
        <f>_xlfn.XLOOKUP($A11,'EA-Fortescue_SDExport'!$A:$A,'EA-Fortescue_SDExport'!S:S)</f>
        <v>0</v>
      </c>
      <c r="T11">
        <f>_xlfn.XLOOKUP($A11,'EA-Fortescue_SDExport'!$A:$A,'EA-Fortescue_SDExport'!T:T)</f>
        <v>0</v>
      </c>
      <c r="U11">
        <f>_xlfn.XLOOKUP($A11,'EA-Fortescue_SDExport'!$A:$A,'EA-Fortescue_SDExport'!U:U)</f>
        <v>45897.848310185182</v>
      </c>
      <c r="V11">
        <f>_xlfn.XLOOKUP($A11,'EA-Fortescue_SDExport'!$A:$A,'EA-Fortescue_SDExport'!V:V)</f>
        <v>46002.06759259259</v>
      </c>
      <c r="W11">
        <f>_xlfn.XLOOKUP($A11,'EA-Fortescue_SDExport'!$A:$A,'EA-Fortescue_SDExport'!W:W)</f>
        <v>0</v>
      </c>
      <c r="X11">
        <f>_xlfn.XLOOKUP($A11,'EA-Fortescue_SDExport'!$A:$A,'EA-Fortescue_SDExport'!X:X)</f>
        <v>0</v>
      </c>
      <c r="Y11">
        <f>_xlfn.XLOOKUP($A11,'EA-Fortescue_SDExport'!$A:$A,'EA-Fortescue_SDExport'!Y:Y)</f>
        <v>0</v>
      </c>
      <c r="Z11" t="str">
        <f>_xlfn.XLOOKUP($A11,'EA-Fortescue_SDExport'!$A:$A,'EA-Fortescue_SDExport'!Z:Z)</f>
        <v>SysML1.4::InterfaceBlock</v>
      </c>
      <c r="AA11" t="str">
        <f>_xlfn.XLOOKUP($A11,InterfaceRegister!$A:$A,InterfaceRegister!B:B)</f>
        <v>005OP-0000-003 FLO|855DC-1541-DEL Delphi</v>
      </c>
      <c r="AB11" t="str">
        <f>_xlfn.XLOOKUP($A11,InterfaceRegister!$A:$A,InterfaceRegister!C:C)</f>
        <v/>
      </c>
      <c r="AC11" t="str">
        <f>_xlfn.XLOOKUP($A11,InterfaceRegister!$A:$A,InterfaceRegister!D:D)</f>
        <v/>
      </c>
      <c r="AD11" t="str">
        <f>_xlfn.XLOOKUP($A11,InterfaceRegister!$A:$A,InterfaceRegister!E:E)</f>
        <v>Project - Project Interface</v>
      </c>
      <c r="AE11" t="str">
        <f>_xlfn.XLOOKUP($A11,InterfaceRegister!$A:$A,InterfaceRegister!F:F)</f>
        <v/>
      </c>
      <c r="AF11" t="str">
        <f>_xlfn.XLOOKUP($A11,InterfaceRegister!$A:$A,InterfaceRegister!L:L)</f>
        <v/>
      </c>
      <c r="AG11" t="str">
        <f>_xlfn.XLOOKUP($A11,InterfaceRegister!$A:$A,InterfaceRegister!M:M)</f>
        <v/>
      </c>
      <c r="AH11" t="str">
        <f>_xlfn.XLOOKUP($A11,InterfaceRegister!$A:$A,InterfaceRegister!O:O)</f>
        <v/>
      </c>
      <c r="AI11" t="str">
        <f>_xlfn.XLOOKUP($A11,InterfaceRegister!$A:$A,InterfaceRegister!N:N)</f>
        <v/>
      </c>
      <c r="AJ11" t="str">
        <f>_xlfn.XLOOKUP($A11,'EA-Fortescue_SDExport'!$A:$A,'EA-Fortescue_SDExport'!AX:AX)</f>
        <v>CSV285186F0</v>
      </c>
      <c r="AK11">
        <f>_xlfn.XLOOKUP($A11,'EA-Fortescue_SDExport'!$A:$A,'EA-Fortescue_SDExport'!AY:AY)</f>
        <v>0</v>
      </c>
    </row>
    <row r="12" spans="1:37" x14ac:dyDescent="0.25">
      <c r="A12" t="str">
        <v>DGS-I_0011</v>
      </c>
      <c r="B12" t="str">
        <f>_xlfn.XLOOKUP($A12,'EA-Fortescue_SDExport'!$A:$A,'EA-Fortescue_SDExport'!B:B)</f>
        <v>Class</v>
      </c>
      <c r="C12" t="str">
        <f>_xlfn.XLOOKUP($A12,'EA-Fortescue_SDExport'!$A:$A,'EA-Fortescue_SDExport'!C:C)</f>
        <v>{FAE11EFC-44C7-456d-8122-3C32790F0545}</v>
      </c>
      <c r="D12" t="str">
        <f>_xlfn.LET(_xlpm.result, _xlfn.XLOOKUP($A12, InterfaceRegister!$A:$A, InterfaceRegister!P:P), IF(_xlpm.result=0, "", _xlpm.result))</f>
        <v>Interface Review 25/11/2025: Future state integration which still needs to be defined by the project team. This is specifically for the SCUC</v>
      </c>
      <c r="E12">
        <f>_xlfn.XLOOKUP($A12,'EA-Fortescue_SDExport'!$A:$A,'EA-Fortescue_SDExport'!E:E)</f>
        <v>1</v>
      </c>
      <c r="F12">
        <f>_xlfn.XLOOKUP($A12,'EA-Fortescue_SDExport'!$A:$A,'EA-Fortescue_SDExport'!F:F)</f>
        <v>1</v>
      </c>
      <c r="G12">
        <f>_xlfn.XLOOKUP($A12,'EA-Fortescue_SDExport'!$A:$A,'EA-Fortescue_SDExport'!G:G)</f>
        <v>0</v>
      </c>
      <c r="H12" t="str">
        <f>_xlfn.XLOOKUP($A12,'EA-Fortescue_SDExport'!$A:$A,'EA-Fortescue_SDExport'!H:H)</f>
        <v>InterfaceBlock</v>
      </c>
      <c r="I12" t="str">
        <f>_xlfn.XLOOKUP($A12,'EA-Fortescue_SDExport'!$A:$A,'EA-Fortescue_SDExport'!I:I)</f>
        <v>SysML1.4::InterfaceBlock</v>
      </c>
      <c r="J12" t="str">
        <f>_xlfn.XLOOKUP($A12,'EA-Fortescue_SDExport'!$A:$A,'EA-Fortescue_SDExport'!J:J)</f>
        <v>Java</v>
      </c>
      <c r="K12" t="str">
        <f>_xlfn.XLOOKUP($A12,'EA-Fortescue_SDExport'!$A:$A,'EA-Fortescue_SDExport'!K:K)</f>
        <v>Admin</v>
      </c>
      <c r="L12" t="str">
        <f>_xlfn.XLOOKUP($A12,'EA-Fortescue_SDExport'!$A:$A,'EA-Fortescue_SDExport'!L:L)</f>
        <v>Public</v>
      </c>
      <c r="M12">
        <f>_xlfn.XLOOKUP($A12,'EA-Fortescue_SDExport'!$A:$A,'EA-Fortescue_SDExport'!M:M)</f>
        <v>0</v>
      </c>
      <c r="N12" t="str">
        <f>_xlfn.XLOOKUP($A12,InterfaceRegister!$A:$A,InterfaceRegister!K:K)</f>
        <v>Simplified Interface</v>
      </c>
      <c r="O12">
        <f>_xlfn.XLOOKUP($A12,'EA-Fortescue_SDExport'!$A:$A,'EA-Fortescue_SDExport'!O:O)</f>
        <v>1</v>
      </c>
      <c r="P12">
        <f>_xlfn.XLOOKUP($A12,'EA-Fortescue_SDExport'!$A:$A,'EA-Fortescue_SDExport'!P:P)</f>
        <v>0</v>
      </c>
      <c r="Q12">
        <f>_xlfn.XLOOKUP($A12,'EA-Fortescue_SDExport'!$A:$A,'EA-Fortescue_SDExport'!Q:Q)</f>
        <v>0</v>
      </c>
      <c r="R12">
        <f>_xlfn.XLOOKUP($A12,'EA-Fortescue_SDExport'!$A:$A,'EA-Fortescue_SDExport'!R:R)</f>
        <v>0</v>
      </c>
      <c r="S12">
        <f>_xlfn.XLOOKUP($A12,'EA-Fortescue_SDExport'!$A:$A,'EA-Fortescue_SDExport'!S:S)</f>
        <v>0</v>
      </c>
      <c r="T12">
        <f>_xlfn.XLOOKUP($A12,'EA-Fortescue_SDExport'!$A:$A,'EA-Fortescue_SDExport'!T:T)</f>
        <v>0</v>
      </c>
      <c r="U12">
        <f>_xlfn.XLOOKUP($A12,'EA-Fortescue_SDExport'!$A:$A,'EA-Fortescue_SDExport'!U:U)</f>
        <v>45944.493043981478</v>
      </c>
      <c r="V12">
        <f>_xlfn.XLOOKUP($A12,'EA-Fortescue_SDExport'!$A:$A,'EA-Fortescue_SDExport'!V:V)</f>
        <v>46002.06758101852</v>
      </c>
      <c r="W12">
        <f>_xlfn.XLOOKUP($A12,'EA-Fortescue_SDExport'!$A:$A,'EA-Fortescue_SDExport'!W:W)</f>
        <v>0</v>
      </c>
      <c r="X12">
        <f>_xlfn.XLOOKUP($A12,'EA-Fortescue_SDExport'!$A:$A,'EA-Fortescue_SDExport'!X:X)</f>
        <v>0</v>
      </c>
      <c r="Y12">
        <f>_xlfn.XLOOKUP($A12,'EA-Fortescue_SDExport'!$A:$A,'EA-Fortescue_SDExport'!Y:Y)</f>
        <v>0</v>
      </c>
      <c r="Z12" t="str">
        <f>_xlfn.XLOOKUP($A12,'EA-Fortescue_SDExport'!$A:$A,'EA-Fortescue_SDExport'!Z:Z)</f>
        <v>SysML1.4::InterfaceBlock</v>
      </c>
      <c r="AA12" t="str">
        <f>_xlfn.XLOOKUP($A12,InterfaceRegister!$A:$A,InterfaceRegister!B:B)</f>
        <v>855DC-1541-ECL Eclipse|855DC-1542-CSM Charge Station Management System (CSMS)</v>
      </c>
      <c r="AB12" t="str">
        <f>_xlfn.XLOOKUP($A12,InterfaceRegister!$A:$A,InterfaceRegister!C:C)</f>
        <v>Abby Buters</v>
      </c>
      <c r="AC12" t="str">
        <f>_xlfn.XLOOKUP($A12,InterfaceRegister!$A:$A,InterfaceRegister!D:D)</f>
        <v>Sam Hedgcock</v>
      </c>
      <c r="AD12" t="str">
        <f>_xlfn.XLOOKUP($A12,InterfaceRegister!$A:$A,InterfaceRegister!E:E)</f>
        <v>Project - Project Interface</v>
      </c>
      <c r="AE12" t="str">
        <f>_xlfn.XLOOKUP($A12,InterfaceRegister!$A:$A,InterfaceRegister!F:F)</f>
        <v>Technical-Data/Software</v>
      </c>
      <c r="AF12" t="str">
        <f>_xlfn.XLOOKUP($A12,InterfaceRegister!$A:$A,InterfaceRegister!L:L)</f>
        <v>CSMS data transfer to Eclipse for charger availability and usage.
This interface allows Eclipse to receive charger availability and usage data for SCUC near-term planning.
Intermediate Elements: Snowflake (TBC).</v>
      </c>
      <c r="AG12" t="str">
        <f>_xlfn.XLOOKUP($A12,InterfaceRegister!$A:$A,InterfaceRegister!M:M)</f>
        <v>HIGH</v>
      </c>
      <c r="AH12" t="str">
        <f>_xlfn.XLOOKUP($A12,InterfaceRegister!$A:$A,InterfaceRegister!O:O)</f>
        <v>TBC: uni-directional or bi-directional.</v>
      </c>
      <c r="AI12" t="str">
        <f>_xlfn.XLOOKUP($A12,InterfaceRegister!$A:$A,InterfaceRegister!N:N)</f>
        <v>The criticality level is HIGH because failure to send reliable and timely charger availability data to Eclipse for near-term planning will cause inaccuracies in the plans. This could result in poor scheduling decisions, impacting energy supply stability and production throughput.</v>
      </c>
      <c r="AJ12" t="str">
        <f>_xlfn.XLOOKUP($A12,'EA-Fortescue_SDExport'!$A:$A,'EA-Fortescue_SDExport'!AX:AX)</f>
        <v>CSVEF2C8343</v>
      </c>
      <c r="AK12">
        <f>_xlfn.XLOOKUP($A12,'EA-Fortescue_SDExport'!$A:$A,'EA-Fortescue_SDExport'!AY:AY)</f>
        <v>0</v>
      </c>
    </row>
    <row r="13" spans="1:37" x14ac:dyDescent="0.25">
      <c r="A13" t="str">
        <v>DGS-I_0012</v>
      </c>
      <c r="B13" t="str">
        <f>_xlfn.XLOOKUP($A13,'EA-Fortescue_SDExport'!$A:$A,'EA-Fortescue_SDExport'!B:B)</f>
        <v>Class</v>
      </c>
      <c r="C13" t="str">
        <f>_xlfn.XLOOKUP($A13,'EA-Fortescue_SDExport'!$A:$A,'EA-Fortescue_SDExport'!C:C)</f>
        <v>{2A656876-50D8-4c0c-8BE4-DC0CC8BCD5EF}</v>
      </c>
      <c r="D13" t="str">
        <f>_xlfn.LET(_xlpm.result, _xlfn.XLOOKUP($A13, InterfaceRegister!$A:$A, InterfaceRegister!P:P), IF(_xlpm.result=0, "", _xlpm.result))</f>
        <v>Interface Review 25/11/2025: TBC._x000D_
SBS-WBS Mapping 02/01/2026: Site Energy AI Optimiser to be removed - Not an identified system. Interface deleted.</v>
      </c>
      <c r="E13">
        <f>_xlfn.XLOOKUP($A13,'EA-Fortescue_SDExport'!$A:$A,'EA-Fortescue_SDExport'!E:E)</f>
        <v>1</v>
      </c>
      <c r="F13">
        <f>_xlfn.XLOOKUP($A13,'EA-Fortescue_SDExport'!$A:$A,'EA-Fortescue_SDExport'!F:F)</f>
        <v>1</v>
      </c>
      <c r="G13">
        <f>_xlfn.XLOOKUP($A13,'EA-Fortescue_SDExport'!$A:$A,'EA-Fortescue_SDExport'!G:G)</f>
        <v>0</v>
      </c>
      <c r="H13" t="str">
        <f>_xlfn.XLOOKUP($A13,'EA-Fortescue_SDExport'!$A:$A,'EA-Fortescue_SDExport'!H:H)</f>
        <v>InterfaceBlock</v>
      </c>
      <c r="I13" t="str">
        <f>_xlfn.XLOOKUP($A13,'EA-Fortescue_SDExport'!$A:$A,'EA-Fortescue_SDExport'!I:I)</f>
        <v>SysML1.4::InterfaceBlock</v>
      </c>
      <c r="J13" t="str">
        <f>_xlfn.XLOOKUP($A13,'EA-Fortescue_SDExport'!$A:$A,'EA-Fortescue_SDExport'!J:J)</f>
        <v>Java</v>
      </c>
      <c r="K13" t="str">
        <f>_xlfn.XLOOKUP($A13,'EA-Fortescue_SDExport'!$A:$A,'EA-Fortescue_SDExport'!K:K)</f>
        <v>Admin</v>
      </c>
      <c r="L13" t="str">
        <f>_xlfn.XLOOKUP($A13,'EA-Fortescue_SDExport'!$A:$A,'EA-Fortescue_SDExport'!L:L)</f>
        <v>Public</v>
      </c>
      <c r="M13">
        <f>_xlfn.XLOOKUP($A13,'EA-Fortescue_SDExport'!$A:$A,'EA-Fortescue_SDExport'!M:M)</f>
        <v>0</v>
      </c>
      <c r="N13" t="str">
        <f>_xlfn.XLOOKUP($A13,InterfaceRegister!$A:$A,InterfaceRegister!K:K)</f>
        <v>Deleted</v>
      </c>
      <c r="O13">
        <f>_xlfn.XLOOKUP($A13,'EA-Fortescue_SDExport'!$A:$A,'EA-Fortescue_SDExport'!O:O)</f>
        <v>1</v>
      </c>
      <c r="P13">
        <f>_xlfn.XLOOKUP($A13,'EA-Fortescue_SDExport'!$A:$A,'EA-Fortescue_SDExport'!P:P)</f>
        <v>0</v>
      </c>
      <c r="Q13">
        <f>_xlfn.XLOOKUP($A13,'EA-Fortescue_SDExport'!$A:$A,'EA-Fortescue_SDExport'!Q:Q)</f>
        <v>0</v>
      </c>
      <c r="R13">
        <f>_xlfn.XLOOKUP($A13,'EA-Fortescue_SDExport'!$A:$A,'EA-Fortescue_SDExport'!R:R)</f>
        <v>0</v>
      </c>
      <c r="S13">
        <f>_xlfn.XLOOKUP($A13,'EA-Fortescue_SDExport'!$A:$A,'EA-Fortescue_SDExport'!S:S)</f>
        <v>0</v>
      </c>
      <c r="T13">
        <f>_xlfn.XLOOKUP($A13,'EA-Fortescue_SDExport'!$A:$A,'EA-Fortescue_SDExport'!T:T)</f>
        <v>0</v>
      </c>
      <c r="U13">
        <f>_xlfn.XLOOKUP($A13,'EA-Fortescue_SDExport'!$A:$A,'EA-Fortescue_SDExport'!U:U)</f>
        <v>45944.493078703701</v>
      </c>
      <c r="V13">
        <f>_xlfn.XLOOKUP($A13,'EA-Fortescue_SDExport'!$A:$A,'EA-Fortescue_SDExport'!V:V)</f>
        <v>46030.054224537038</v>
      </c>
      <c r="W13">
        <f>_xlfn.XLOOKUP($A13,'EA-Fortescue_SDExport'!$A:$A,'EA-Fortescue_SDExport'!W:W)</f>
        <v>0</v>
      </c>
      <c r="X13">
        <f>_xlfn.XLOOKUP($A13,'EA-Fortescue_SDExport'!$A:$A,'EA-Fortescue_SDExport'!X:X)</f>
        <v>0</v>
      </c>
      <c r="Y13">
        <f>_xlfn.XLOOKUP($A13,'EA-Fortescue_SDExport'!$A:$A,'EA-Fortescue_SDExport'!Y:Y)</f>
        <v>0</v>
      </c>
      <c r="Z13" t="str">
        <f>_xlfn.XLOOKUP($A13,'EA-Fortescue_SDExport'!$A:$A,'EA-Fortescue_SDExport'!Z:Z)</f>
        <v>SysML1.4::InterfaceBlock</v>
      </c>
      <c r="AA13" t="str">
        <f>_xlfn.XLOOKUP($A13,InterfaceRegister!$A:$A,InterfaceRegister!B:B)</f>
        <v>855DC-1541-ECL Eclipse|Archive - 855DC-1544-025 Site Energy AI Optimiser</v>
      </c>
      <c r="AB13" t="str">
        <f>_xlfn.XLOOKUP($A13,InterfaceRegister!$A:$A,InterfaceRegister!C:C)</f>
        <v>Abby Buters</v>
      </c>
      <c r="AC13" t="str">
        <f>_xlfn.XLOOKUP($A13,InterfaceRegister!$A:$A,InterfaceRegister!D:D)</f>
        <v>Under Review</v>
      </c>
      <c r="AD13" t="str">
        <f>_xlfn.XLOOKUP($A13,InterfaceRegister!$A:$A,InterfaceRegister!E:E)</f>
        <v>Project - Project Interface</v>
      </c>
      <c r="AE13" t="str">
        <f>_xlfn.XLOOKUP($A13,InterfaceRegister!$A:$A,InterfaceRegister!F:F)</f>
        <v/>
      </c>
      <c r="AF13" t="str">
        <f>_xlfn.XLOOKUP($A13,InterfaceRegister!$A:$A,InterfaceRegister!L:L)</f>
        <v>TBC</v>
      </c>
      <c r="AG13" t="str">
        <f>_xlfn.XLOOKUP($A13,InterfaceRegister!$A:$A,InterfaceRegister!M:M)</f>
        <v/>
      </c>
      <c r="AH13" t="str">
        <f>_xlfn.XLOOKUP($A13,InterfaceRegister!$A:$A,InterfaceRegister!O:O)</f>
        <v/>
      </c>
      <c r="AI13" t="str">
        <f>_xlfn.XLOOKUP($A13,InterfaceRegister!$A:$A,InterfaceRegister!N:N)</f>
        <v/>
      </c>
      <c r="AJ13" t="str">
        <f>_xlfn.XLOOKUP($A13,'EA-Fortescue_SDExport'!$A:$A,'EA-Fortescue_SDExport'!AX:AX)</f>
        <v>CSV0457A23A</v>
      </c>
      <c r="AK13">
        <f>_xlfn.XLOOKUP($A13,'EA-Fortescue_SDExport'!$A:$A,'EA-Fortescue_SDExport'!AY:AY)</f>
        <v>0</v>
      </c>
    </row>
    <row r="14" spans="1:37" x14ac:dyDescent="0.25">
      <c r="A14" t="str">
        <v>DGS-I_0013</v>
      </c>
      <c r="B14" t="str">
        <f>_xlfn.XLOOKUP($A14,'EA-Fortescue_SDExport'!$A:$A,'EA-Fortescue_SDExport'!B:B)</f>
        <v>Class</v>
      </c>
      <c r="C14" t="str">
        <f>_xlfn.XLOOKUP($A14,'EA-Fortescue_SDExport'!$A:$A,'EA-Fortescue_SDExport'!C:C)</f>
        <v>{FBE5735B-33B7-4eef-8207-6B1813D1F4C7}</v>
      </c>
      <c r="D14" t="str">
        <f>_xlfn.LET(_xlpm.result, _xlfn.XLOOKUP($A14, InterfaceRegister!$A:$A, InterfaceRegister!P:P), IF(_xlpm.result=0, "", _xlpm.result))</f>
        <v/>
      </c>
      <c r="E14">
        <f>_xlfn.XLOOKUP($A14,'EA-Fortescue_SDExport'!$A:$A,'EA-Fortescue_SDExport'!E:E)</f>
        <v>1</v>
      </c>
      <c r="F14">
        <f>_xlfn.XLOOKUP($A14,'EA-Fortescue_SDExport'!$A:$A,'EA-Fortescue_SDExport'!F:F)</f>
        <v>1</v>
      </c>
      <c r="G14">
        <f>_xlfn.XLOOKUP($A14,'EA-Fortescue_SDExport'!$A:$A,'EA-Fortescue_SDExport'!G:G)</f>
        <v>0</v>
      </c>
      <c r="H14" t="str">
        <f>_xlfn.XLOOKUP($A14,'EA-Fortescue_SDExport'!$A:$A,'EA-Fortescue_SDExport'!H:H)</f>
        <v>InterfaceBlock</v>
      </c>
      <c r="I14" t="str">
        <f>_xlfn.XLOOKUP($A14,'EA-Fortescue_SDExport'!$A:$A,'EA-Fortescue_SDExport'!I:I)</f>
        <v>SysML1.4::InterfaceBlock</v>
      </c>
      <c r="J14" t="str">
        <f>_xlfn.XLOOKUP($A14,'EA-Fortescue_SDExport'!$A:$A,'EA-Fortescue_SDExport'!J:J)</f>
        <v>Java</v>
      </c>
      <c r="K14" t="str">
        <f>_xlfn.XLOOKUP($A14,'EA-Fortescue_SDExport'!$A:$A,'EA-Fortescue_SDExport'!K:K)</f>
        <v>Admin</v>
      </c>
      <c r="L14" t="str">
        <f>_xlfn.XLOOKUP($A14,'EA-Fortescue_SDExport'!$A:$A,'EA-Fortescue_SDExport'!L:L)</f>
        <v>Public</v>
      </c>
      <c r="M14">
        <f>_xlfn.XLOOKUP($A14,'EA-Fortescue_SDExport'!$A:$A,'EA-Fortescue_SDExport'!M:M)</f>
        <v>0</v>
      </c>
      <c r="N14" t="str">
        <f>_xlfn.XLOOKUP($A14,InterfaceRegister!$A:$A,InterfaceRegister!K:K)</f>
        <v>Simplified Interface</v>
      </c>
      <c r="O14">
        <f>_xlfn.XLOOKUP($A14,'EA-Fortescue_SDExport'!$A:$A,'EA-Fortescue_SDExport'!O:O)</f>
        <v>1</v>
      </c>
      <c r="P14">
        <f>_xlfn.XLOOKUP($A14,'EA-Fortescue_SDExport'!$A:$A,'EA-Fortescue_SDExport'!P:P)</f>
        <v>0</v>
      </c>
      <c r="Q14">
        <f>_xlfn.XLOOKUP($A14,'EA-Fortescue_SDExport'!$A:$A,'EA-Fortescue_SDExport'!Q:Q)</f>
        <v>0</v>
      </c>
      <c r="R14">
        <f>_xlfn.XLOOKUP($A14,'EA-Fortescue_SDExport'!$A:$A,'EA-Fortescue_SDExport'!R:R)</f>
        <v>0</v>
      </c>
      <c r="S14">
        <f>_xlfn.XLOOKUP($A14,'EA-Fortescue_SDExport'!$A:$A,'EA-Fortescue_SDExport'!S:S)</f>
        <v>0</v>
      </c>
      <c r="T14">
        <f>_xlfn.XLOOKUP($A14,'EA-Fortescue_SDExport'!$A:$A,'EA-Fortescue_SDExport'!T:T)</f>
        <v>0</v>
      </c>
      <c r="U14">
        <f>_xlfn.XLOOKUP($A14,'EA-Fortescue_SDExport'!$A:$A,'EA-Fortescue_SDExport'!U:U)</f>
        <v>45944.493101851855</v>
      </c>
      <c r="V14">
        <f>_xlfn.XLOOKUP($A14,'EA-Fortescue_SDExport'!$A:$A,'EA-Fortescue_SDExport'!V:V)</f>
        <v>46002.067557870374</v>
      </c>
      <c r="W14">
        <f>_xlfn.XLOOKUP($A14,'EA-Fortescue_SDExport'!$A:$A,'EA-Fortescue_SDExport'!W:W)</f>
        <v>0</v>
      </c>
      <c r="X14">
        <f>_xlfn.XLOOKUP($A14,'EA-Fortescue_SDExport'!$A:$A,'EA-Fortescue_SDExport'!X:X)</f>
        <v>0</v>
      </c>
      <c r="Y14">
        <f>_xlfn.XLOOKUP($A14,'EA-Fortescue_SDExport'!$A:$A,'EA-Fortescue_SDExport'!Y:Y)</f>
        <v>0</v>
      </c>
      <c r="Z14" t="str">
        <f>_xlfn.XLOOKUP($A14,'EA-Fortescue_SDExport'!$A:$A,'EA-Fortescue_SDExport'!Z:Z)</f>
        <v>SysML1.4::InterfaceBlock</v>
      </c>
      <c r="AA14" t="str">
        <f>_xlfn.XLOOKUP($A14,InterfaceRegister!$A:$A,InterfaceRegister!B:B)</f>
        <v>855DC-1541-ECL Eclipse|005OP-0000-004 Alastri</v>
      </c>
      <c r="AB14" t="str">
        <f>_xlfn.XLOOKUP($A14,InterfaceRegister!$A:$A,InterfaceRegister!C:C)</f>
        <v>Abby Buters</v>
      </c>
      <c r="AC14" t="str">
        <f>_xlfn.XLOOKUP($A14,InterfaceRegister!$A:$A,InterfaceRegister!D:D)</f>
        <v>Sri Molugu (Supertintendent Production Systems &amp; Reporting), Anchal Bawa (Data Product Owner), Gareth Hart (Principal Data Engineer), (Operations BAZ owners for Snowflake)</v>
      </c>
      <c r="AD14" t="str">
        <f>_xlfn.XLOOKUP($A14,InterfaceRegister!$A:$A,InterfaceRegister!E:E)</f>
        <v>Project - Project Interface</v>
      </c>
      <c r="AE14" t="str">
        <f>_xlfn.XLOOKUP($A14,InterfaceRegister!$A:$A,InterfaceRegister!F:F)</f>
        <v>Technical-Data/Software</v>
      </c>
      <c r="AF14" t="str">
        <f>_xlfn.XLOOKUP($A14,InterfaceRegister!$A:$A,InterfaceRegister!L:L)</f>
        <v>Alastri Planning Data Transfer (to Eclipse via TAG)_x000D_
The purpose of this interface is to transfer long-term energy balance, production targets, and fleet projection scenarios generated in Alastri into the Operations Management data layer (BAZ), making this critical planning data available for use by the Eclipse planning module._x000D_
Intermediate Elements: TAG Planning Module (Receives Excel upload and processes data), and the Snowflake Data Platform (Stores data). _x000D_
Additional information related to this interface:_x000D_
Element B (Source): Alastri (Master source of long-term planning scenarios: 2-year and 10-year)._x000D_
BAZ: AA_OPERATIONS_MANAGEMENT.SELFSERVICE.PLANNING_PLAN_DAT (Final table for consumption)._x000D_
Element A (Sink): Eclipse Platform (Consumes planning data for short-term scheduling and scenario analysis).</v>
      </c>
      <c r="AG14" t="str">
        <f>_xlfn.XLOOKUP($A14,InterfaceRegister!$A:$A,InterfaceRegister!M:M)</f>
        <v>HIGH</v>
      </c>
      <c r="AH14" t="str">
        <f>_xlfn.XLOOKUP($A14,InterfaceRegister!$A:$A,InterfaceRegister!O:O)</f>
        <v>Uni-directional: Alastri-&gt; TAG Planning Module-&gt; Snowflake/Business Analaytics Zone-&gt; Eclipse.</v>
      </c>
      <c r="AI14" t="str">
        <f>_xlfn.XLOOKUP($A14,InterfaceRegister!$A:$A,InterfaceRegister!N:N)</f>
        <v>The criticality level is HIGH because failure impacts the accuracy and alignment of Eclipse's short-term plans with strategic long-term goals. This risks incorrect resource forecasting and production scheduling.</v>
      </c>
      <c r="AJ14" t="str">
        <f>_xlfn.XLOOKUP($A14,'EA-Fortescue_SDExport'!$A:$A,'EA-Fortescue_SDExport'!AX:AX)</f>
        <v>CSV52EDE5D7</v>
      </c>
      <c r="AK14">
        <f>_xlfn.XLOOKUP($A14,'EA-Fortescue_SDExport'!$A:$A,'EA-Fortescue_SDExport'!AY:AY)</f>
        <v>0</v>
      </c>
    </row>
    <row r="15" spans="1:37" x14ac:dyDescent="0.25">
      <c r="A15" t="str">
        <v>DGS-I_0014</v>
      </c>
      <c r="B15" t="str">
        <f>_xlfn.XLOOKUP($A15,'EA-Fortescue_SDExport'!$A:$A,'EA-Fortescue_SDExport'!B:B)</f>
        <v>Class</v>
      </c>
      <c r="C15" t="str">
        <f>_xlfn.XLOOKUP($A15,'EA-Fortescue_SDExport'!$A:$A,'EA-Fortescue_SDExport'!C:C)</f>
        <v>{226EDC5C-F2E0-48fd-BD62-75096D7E29B0}</v>
      </c>
      <c r="D15" t="str">
        <f>_xlfn.LET(_xlpm.result, _xlfn.XLOOKUP($A15, InterfaceRegister!$A:$A, InterfaceRegister!P:P), IF(_xlpm.result=0, "", _xlpm.result))</f>
        <v>Interface Review 25/11/2025: Energy Operations has an API in the corporate environment. The plan is to read it from there. State of charge percentage data for BESS (maybe site-level aggregate for trucks). Through Delphi._x000D_
Interface Review 02/12/2025: Delete (This information has been described in the Eclipse | Delphi interface).</v>
      </c>
      <c r="E15">
        <f>_xlfn.XLOOKUP($A15,'EA-Fortescue_SDExport'!$A:$A,'EA-Fortescue_SDExport'!E:E)</f>
        <v>1</v>
      </c>
      <c r="F15">
        <f>_xlfn.XLOOKUP($A15,'EA-Fortescue_SDExport'!$A:$A,'EA-Fortescue_SDExport'!F:F)</f>
        <v>1</v>
      </c>
      <c r="G15">
        <f>_xlfn.XLOOKUP($A15,'EA-Fortescue_SDExport'!$A:$A,'EA-Fortescue_SDExport'!G:G)</f>
        <v>0</v>
      </c>
      <c r="H15" t="str">
        <f>_xlfn.XLOOKUP($A15,'EA-Fortescue_SDExport'!$A:$A,'EA-Fortescue_SDExport'!H:H)</f>
        <v>InterfaceBlock</v>
      </c>
      <c r="I15" t="str">
        <f>_xlfn.XLOOKUP($A15,'EA-Fortescue_SDExport'!$A:$A,'EA-Fortescue_SDExport'!I:I)</f>
        <v>SysML1.4::InterfaceBlock</v>
      </c>
      <c r="J15" t="str">
        <f>_xlfn.XLOOKUP($A15,'EA-Fortescue_SDExport'!$A:$A,'EA-Fortescue_SDExport'!J:J)</f>
        <v>Java</v>
      </c>
      <c r="K15" t="str">
        <f>_xlfn.XLOOKUP($A15,'EA-Fortescue_SDExport'!$A:$A,'EA-Fortescue_SDExport'!K:K)</f>
        <v>Admin</v>
      </c>
      <c r="L15" t="str">
        <f>_xlfn.XLOOKUP($A15,'EA-Fortescue_SDExport'!$A:$A,'EA-Fortescue_SDExport'!L:L)</f>
        <v>Public</v>
      </c>
      <c r="M15">
        <f>_xlfn.XLOOKUP($A15,'EA-Fortescue_SDExport'!$A:$A,'EA-Fortescue_SDExport'!M:M)</f>
        <v>0</v>
      </c>
      <c r="N15" t="str">
        <f>_xlfn.XLOOKUP($A15,InterfaceRegister!$A:$A,InterfaceRegister!K:K)</f>
        <v>Deleted</v>
      </c>
      <c r="O15">
        <f>_xlfn.XLOOKUP($A15,'EA-Fortescue_SDExport'!$A:$A,'EA-Fortescue_SDExport'!O:O)</f>
        <v>1</v>
      </c>
      <c r="P15">
        <f>_xlfn.XLOOKUP($A15,'EA-Fortescue_SDExport'!$A:$A,'EA-Fortescue_SDExport'!P:P)</f>
        <v>0</v>
      </c>
      <c r="Q15">
        <f>_xlfn.XLOOKUP($A15,'EA-Fortescue_SDExport'!$A:$A,'EA-Fortescue_SDExport'!Q:Q)</f>
        <v>0</v>
      </c>
      <c r="R15">
        <f>_xlfn.XLOOKUP($A15,'EA-Fortescue_SDExport'!$A:$A,'EA-Fortescue_SDExport'!R:R)</f>
        <v>0</v>
      </c>
      <c r="S15">
        <f>_xlfn.XLOOKUP($A15,'EA-Fortescue_SDExport'!$A:$A,'EA-Fortescue_SDExport'!S:S)</f>
        <v>0</v>
      </c>
      <c r="T15">
        <f>_xlfn.XLOOKUP($A15,'EA-Fortescue_SDExport'!$A:$A,'EA-Fortescue_SDExport'!T:T)</f>
        <v>0</v>
      </c>
      <c r="U15">
        <f>_xlfn.XLOOKUP($A15,'EA-Fortescue_SDExport'!$A:$A,'EA-Fortescue_SDExport'!U:U)</f>
        <v>45944.493113425924</v>
      </c>
      <c r="V15">
        <f>_xlfn.XLOOKUP($A15,'EA-Fortescue_SDExport'!$A:$A,'EA-Fortescue_SDExport'!V:V)</f>
        <v>46002.06759259259</v>
      </c>
      <c r="W15">
        <f>_xlfn.XLOOKUP($A15,'EA-Fortescue_SDExport'!$A:$A,'EA-Fortescue_SDExport'!W:W)</f>
        <v>0</v>
      </c>
      <c r="X15">
        <f>_xlfn.XLOOKUP($A15,'EA-Fortescue_SDExport'!$A:$A,'EA-Fortescue_SDExport'!X:X)</f>
        <v>0</v>
      </c>
      <c r="Y15">
        <f>_xlfn.XLOOKUP($A15,'EA-Fortescue_SDExport'!$A:$A,'EA-Fortescue_SDExport'!Y:Y)</f>
        <v>0</v>
      </c>
      <c r="Z15" t="str">
        <f>_xlfn.XLOOKUP($A15,'EA-Fortescue_SDExport'!$A:$A,'EA-Fortescue_SDExport'!Z:Z)</f>
        <v>SysML1.4::InterfaceBlock</v>
      </c>
      <c r="AA15" t="str">
        <f>_xlfn.XLOOKUP($A15,InterfaceRegister!$A:$A,InterfaceRegister!B:B)</f>
        <v>855DC-1541-ECL Eclipse|855DC-1542-009 Elysia</v>
      </c>
      <c r="AB15" t="str">
        <f>_xlfn.XLOOKUP($A15,InterfaceRegister!$A:$A,InterfaceRegister!C:C)</f>
        <v>Abby Buters</v>
      </c>
      <c r="AC15" t="str">
        <f>_xlfn.XLOOKUP($A15,InterfaceRegister!$A:$A,InterfaceRegister!D:D)</f>
        <v>Kareema Ramli (Senior Engineer - Energy Data Systems &amp; Governance)</v>
      </c>
      <c r="AD15" t="str">
        <f>_xlfn.XLOOKUP($A15,InterfaceRegister!$A:$A,InterfaceRegister!E:E)</f>
        <v>Project - Project Interface</v>
      </c>
      <c r="AE15" t="str">
        <f>_xlfn.XLOOKUP($A15,InterfaceRegister!$A:$A,InterfaceRegister!F:F)</f>
        <v>Technical-Data/Software</v>
      </c>
      <c r="AF15" t="str">
        <f>_xlfn.XLOOKUP($A15,InterfaceRegister!$A:$A,InterfaceRegister!L:L)</f>
        <v/>
      </c>
      <c r="AG15" t="str">
        <f>_xlfn.XLOOKUP($A15,InterfaceRegister!$A:$A,InterfaceRegister!M:M)</f>
        <v>HIGH</v>
      </c>
      <c r="AH15" t="str">
        <f>_xlfn.XLOOKUP($A15,InterfaceRegister!$A:$A,InterfaceRegister!O:O)</f>
        <v/>
      </c>
      <c r="AI15" t="str">
        <f>_xlfn.XLOOKUP($A15,InterfaceRegister!$A:$A,InterfaceRegister!N:N)</f>
        <v/>
      </c>
      <c r="AJ15" t="str">
        <f>_xlfn.XLOOKUP($A15,'EA-Fortescue_SDExport'!$A:$A,'EA-Fortescue_SDExport'!AX:AX)</f>
        <v>CSV0EAE55CB</v>
      </c>
      <c r="AK15">
        <f>_xlfn.XLOOKUP($A15,'EA-Fortescue_SDExport'!$A:$A,'EA-Fortescue_SDExport'!AY:AY)</f>
        <v>0</v>
      </c>
    </row>
    <row r="16" spans="1:37" x14ac:dyDescent="0.25">
      <c r="A16" t="str">
        <v>DGS-I_0015</v>
      </c>
      <c r="B16" t="str">
        <f>_xlfn.XLOOKUP($A16,'EA-Fortescue_SDExport'!$A:$A,'EA-Fortescue_SDExport'!B:B)</f>
        <v>Class</v>
      </c>
      <c r="C16" t="str">
        <f>_xlfn.XLOOKUP($A16,'EA-Fortescue_SDExport'!$A:$A,'EA-Fortescue_SDExport'!C:C)</f>
        <v>{123F33B1-6FFD-4406-92AE-BC1F2F6819AB}</v>
      </c>
      <c r="D16" t="str">
        <f>_xlfn.LET(_xlpm.result, _xlfn.XLOOKUP($A16, InterfaceRegister!$A:$A, InterfaceRegister!P:P), IF(_xlpm.result=0, "", _xlpm.result))</f>
        <v>Interface Review 25/11/2025: Future state integration which still needs to be defined by the project team._x000D_
NH 25/02/2026: Fields updated:Interface Type, Interface Flow</v>
      </c>
      <c r="E16">
        <f>_xlfn.XLOOKUP($A16,'EA-Fortescue_SDExport'!$A:$A,'EA-Fortescue_SDExport'!E:E)</f>
        <v>1</v>
      </c>
      <c r="F16">
        <f>_xlfn.XLOOKUP($A16,'EA-Fortescue_SDExport'!$A:$A,'EA-Fortescue_SDExport'!F:F)</f>
        <v>1</v>
      </c>
      <c r="G16">
        <f>_xlfn.XLOOKUP($A16,'EA-Fortescue_SDExport'!$A:$A,'EA-Fortescue_SDExport'!G:G)</f>
        <v>0</v>
      </c>
      <c r="H16" t="str">
        <f>_xlfn.XLOOKUP($A16,'EA-Fortescue_SDExport'!$A:$A,'EA-Fortescue_SDExport'!H:H)</f>
        <v>InterfaceBlock</v>
      </c>
      <c r="I16" t="str">
        <f>_xlfn.XLOOKUP($A16,'EA-Fortescue_SDExport'!$A:$A,'EA-Fortescue_SDExport'!I:I)</f>
        <v>SysML1.4::InterfaceBlock</v>
      </c>
      <c r="J16" t="str">
        <f>_xlfn.XLOOKUP($A16,'EA-Fortescue_SDExport'!$A:$A,'EA-Fortescue_SDExport'!J:J)</f>
        <v>Java</v>
      </c>
      <c r="K16" t="str">
        <f>_xlfn.XLOOKUP($A16,'EA-Fortescue_SDExport'!$A:$A,'EA-Fortescue_SDExport'!K:K)</f>
        <v>Admin</v>
      </c>
      <c r="L16" t="str">
        <f>_xlfn.XLOOKUP($A16,'EA-Fortescue_SDExport'!$A:$A,'EA-Fortescue_SDExport'!L:L)</f>
        <v>Public</v>
      </c>
      <c r="M16">
        <f>_xlfn.XLOOKUP($A16,'EA-Fortescue_SDExport'!$A:$A,'EA-Fortescue_SDExport'!M:M)</f>
        <v>0</v>
      </c>
      <c r="N16" t="str">
        <f>_xlfn.XLOOKUP($A16,InterfaceRegister!$A:$A,InterfaceRegister!K:K)</f>
        <v>Simplified Interface</v>
      </c>
      <c r="O16">
        <f>_xlfn.XLOOKUP($A16,'EA-Fortescue_SDExport'!$A:$A,'EA-Fortescue_SDExport'!O:O)</f>
        <v>1</v>
      </c>
      <c r="P16">
        <f>_xlfn.XLOOKUP($A16,'EA-Fortescue_SDExport'!$A:$A,'EA-Fortescue_SDExport'!P:P)</f>
        <v>0</v>
      </c>
      <c r="Q16">
        <f>_xlfn.XLOOKUP($A16,'EA-Fortescue_SDExport'!$A:$A,'EA-Fortescue_SDExport'!Q:Q)</f>
        <v>0</v>
      </c>
      <c r="R16">
        <f>_xlfn.XLOOKUP($A16,'EA-Fortescue_SDExport'!$A:$A,'EA-Fortescue_SDExport'!R:R)</f>
        <v>0</v>
      </c>
      <c r="S16">
        <f>_xlfn.XLOOKUP($A16,'EA-Fortescue_SDExport'!$A:$A,'EA-Fortescue_SDExport'!S:S)</f>
        <v>0</v>
      </c>
      <c r="T16">
        <f>_xlfn.XLOOKUP($A16,'EA-Fortescue_SDExport'!$A:$A,'EA-Fortescue_SDExport'!T:T)</f>
        <v>0</v>
      </c>
      <c r="U16">
        <f>_xlfn.XLOOKUP($A16,'EA-Fortescue_SDExport'!$A:$A,'EA-Fortescue_SDExport'!U:U)</f>
        <v>45944.493125000001</v>
      </c>
      <c r="V16">
        <f>_xlfn.XLOOKUP($A16,'EA-Fortescue_SDExport'!$A:$A,'EA-Fortescue_SDExport'!V:V)</f>
        <v>46077.993217592593</v>
      </c>
      <c r="W16">
        <f>_xlfn.XLOOKUP($A16,'EA-Fortescue_SDExport'!$A:$A,'EA-Fortescue_SDExport'!W:W)</f>
        <v>0</v>
      </c>
      <c r="X16">
        <f>_xlfn.XLOOKUP($A16,'EA-Fortescue_SDExport'!$A:$A,'EA-Fortescue_SDExport'!X:X)</f>
        <v>0</v>
      </c>
      <c r="Y16">
        <f>_xlfn.XLOOKUP($A16,'EA-Fortescue_SDExport'!$A:$A,'EA-Fortescue_SDExport'!Y:Y)</f>
        <v>0</v>
      </c>
      <c r="Z16" t="str">
        <f>_xlfn.XLOOKUP($A16,'EA-Fortescue_SDExport'!$A:$A,'EA-Fortescue_SDExport'!Z:Z)</f>
        <v>SysML1.4::InterfaceBlock</v>
      </c>
      <c r="AA16" t="str">
        <f>_xlfn.XLOOKUP($A16,InterfaceRegister!$A:$A,InterfaceRegister!B:B)</f>
        <v>855DC-1541-ECL Eclipse|859DC-1410-001 HaulX</v>
      </c>
      <c r="AB16" t="str">
        <f>_xlfn.XLOOKUP($A16,InterfaceRegister!$A:$A,InterfaceRegister!C:C)</f>
        <v>Abby Buters</v>
      </c>
      <c r="AC16" t="str">
        <f>_xlfn.XLOOKUP($A16,InterfaceRegister!$A:$A,InterfaceRegister!D:D)</f>
        <v>TBC</v>
      </c>
      <c r="AD16" t="str">
        <f>_xlfn.XLOOKUP($A16,InterfaceRegister!$A:$A,InterfaceRegister!E:E)</f>
        <v>Project - Project Interface</v>
      </c>
      <c r="AE16" t="str">
        <f>_xlfn.XLOOKUP($A16,InterfaceRegister!$A:$A,InterfaceRegister!F:F)</f>
        <v>Technical-Data/Software</v>
      </c>
      <c r="AF16" t="str">
        <f>_xlfn.XLOOKUP($A16,InterfaceRegister!$A:$A,InterfaceRegister!L:L)</f>
        <v>This interface allows Eclipse to share operational context, operator inputs, or planning-related information with HaulX so haulage activity aligns with upstream operational systems.</v>
      </c>
      <c r="AG16" t="str">
        <f>_xlfn.XLOOKUP($A16,InterfaceRegister!$A:$A,InterfaceRegister!M:M)</f>
        <v>MEDIUM</v>
      </c>
      <c r="AH16" t="str">
        <f>_xlfn.XLOOKUP($A16,InterfaceRegister!$A:$A,InterfaceRegister!O:O)</f>
        <v>Eclipse -&gt; HaulX</v>
      </c>
      <c r="AI16" t="str">
        <f>_xlfn.XLOOKUP($A16,InterfaceRegister!$A:$A,InterfaceRegister!N:N)</f>
        <v>The criticality level is MEDIUM because, although failure may reduce coordination quality or cause planning misalignment, HaulX can continue operation. The impact affects optimisation rather than core control or safety.</v>
      </c>
      <c r="AJ16" t="str">
        <f>_xlfn.XLOOKUP($A16,'EA-Fortescue_SDExport'!$A:$A,'EA-Fortescue_SDExport'!AX:AX)</f>
        <v>CSVE0FB2D7A</v>
      </c>
      <c r="AK16">
        <f>_xlfn.XLOOKUP($A16,'EA-Fortescue_SDExport'!$A:$A,'EA-Fortescue_SDExport'!AY:AY)</f>
        <v>0</v>
      </c>
    </row>
    <row r="17" spans="1:37" x14ac:dyDescent="0.25">
      <c r="A17" t="str">
        <v>DGS-I_0016</v>
      </c>
      <c r="B17" t="str">
        <f>_xlfn.XLOOKUP($A17,'EA-Fortescue_SDExport'!$A:$A,'EA-Fortescue_SDExport'!B:B)</f>
        <v>Class</v>
      </c>
      <c r="C17" t="str">
        <f>_xlfn.XLOOKUP($A17,'EA-Fortescue_SDExport'!$A:$A,'EA-Fortescue_SDExport'!C:C)</f>
        <v>{9B3C4452-CC9F-4185-A008-AF75B44604F0}</v>
      </c>
      <c r="D17" t="str">
        <f>_xlfn.LET(_xlpm.result, _xlfn.XLOOKUP($A17, InterfaceRegister!$A:$A, InterfaceRegister!P:P), IF(_xlpm.result=0, "", _xlpm.result))</f>
        <v>Interface Review 25/11/2025: Future state integration, which still needs to be defined by the project team. Only involved with the short-term dispatch of energy.</v>
      </c>
      <c r="E17">
        <f>_xlfn.XLOOKUP($A17,'EA-Fortescue_SDExport'!$A:$A,'EA-Fortescue_SDExport'!E:E)</f>
        <v>1</v>
      </c>
      <c r="F17">
        <f>_xlfn.XLOOKUP($A17,'EA-Fortescue_SDExport'!$A:$A,'EA-Fortescue_SDExport'!F:F)</f>
        <v>1</v>
      </c>
      <c r="G17">
        <f>_xlfn.XLOOKUP($A17,'EA-Fortescue_SDExport'!$A:$A,'EA-Fortescue_SDExport'!G:G)</f>
        <v>0</v>
      </c>
      <c r="H17" t="str">
        <f>_xlfn.XLOOKUP($A17,'EA-Fortescue_SDExport'!$A:$A,'EA-Fortescue_SDExport'!H:H)</f>
        <v>InterfaceBlock</v>
      </c>
      <c r="I17" t="str">
        <f>_xlfn.XLOOKUP($A17,'EA-Fortescue_SDExport'!$A:$A,'EA-Fortescue_SDExport'!I:I)</f>
        <v>SysML1.4::InterfaceBlock</v>
      </c>
      <c r="J17" t="str">
        <f>_xlfn.XLOOKUP($A17,'EA-Fortescue_SDExport'!$A:$A,'EA-Fortescue_SDExport'!J:J)</f>
        <v>Java</v>
      </c>
      <c r="K17" t="str">
        <f>_xlfn.XLOOKUP($A17,'EA-Fortescue_SDExport'!$A:$A,'EA-Fortescue_SDExport'!K:K)</f>
        <v>Admin</v>
      </c>
      <c r="L17" t="str">
        <f>_xlfn.XLOOKUP($A17,'EA-Fortescue_SDExport'!$A:$A,'EA-Fortescue_SDExport'!L:L)</f>
        <v>Public</v>
      </c>
      <c r="M17">
        <f>_xlfn.XLOOKUP($A17,'EA-Fortescue_SDExport'!$A:$A,'EA-Fortescue_SDExport'!M:M)</f>
        <v>0</v>
      </c>
      <c r="N17" t="str">
        <f>_xlfn.XLOOKUP($A17,InterfaceRegister!$A:$A,InterfaceRegister!K:K)</f>
        <v>Simplified Interface</v>
      </c>
      <c r="O17">
        <f>_xlfn.XLOOKUP($A17,'EA-Fortescue_SDExport'!$A:$A,'EA-Fortescue_SDExport'!O:O)</f>
        <v>1</v>
      </c>
      <c r="P17">
        <f>_xlfn.XLOOKUP($A17,'EA-Fortescue_SDExport'!$A:$A,'EA-Fortescue_SDExport'!P:P)</f>
        <v>0</v>
      </c>
      <c r="Q17">
        <f>_xlfn.XLOOKUP($A17,'EA-Fortescue_SDExport'!$A:$A,'EA-Fortescue_SDExport'!Q:Q)</f>
        <v>0</v>
      </c>
      <c r="R17">
        <f>_xlfn.XLOOKUP($A17,'EA-Fortescue_SDExport'!$A:$A,'EA-Fortescue_SDExport'!R:R)</f>
        <v>0</v>
      </c>
      <c r="S17">
        <f>_xlfn.XLOOKUP($A17,'EA-Fortescue_SDExport'!$A:$A,'EA-Fortescue_SDExport'!S:S)</f>
        <v>0</v>
      </c>
      <c r="T17">
        <f>_xlfn.XLOOKUP($A17,'EA-Fortescue_SDExport'!$A:$A,'EA-Fortescue_SDExport'!T:T)</f>
        <v>0</v>
      </c>
      <c r="U17">
        <f>_xlfn.XLOOKUP($A17,'EA-Fortescue_SDExport'!$A:$A,'EA-Fortescue_SDExport'!U:U)</f>
        <v>45944.493148148147</v>
      </c>
      <c r="V17">
        <f>_xlfn.XLOOKUP($A17,'EA-Fortescue_SDExport'!$A:$A,'EA-Fortescue_SDExport'!V:V)</f>
        <v>46002.067546296297</v>
      </c>
      <c r="W17">
        <f>_xlfn.XLOOKUP($A17,'EA-Fortescue_SDExport'!$A:$A,'EA-Fortescue_SDExport'!W:W)</f>
        <v>0</v>
      </c>
      <c r="X17">
        <f>_xlfn.XLOOKUP($A17,'EA-Fortescue_SDExport'!$A:$A,'EA-Fortescue_SDExport'!X:X)</f>
        <v>0</v>
      </c>
      <c r="Y17">
        <f>_xlfn.XLOOKUP($A17,'EA-Fortescue_SDExport'!$A:$A,'EA-Fortescue_SDExport'!Y:Y)</f>
        <v>0</v>
      </c>
      <c r="Z17" t="str">
        <f>_xlfn.XLOOKUP($A17,'EA-Fortescue_SDExport'!$A:$A,'EA-Fortescue_SDExport'!Z:Z)</f>
        <v>SysML1.4::InterfaceBlock</v>
      </c>
      <c r="AA17" t="str">
        <f>_xlfn.XLOOKUP($A17,InterfaceRegister!$A:$A,InterfaceRegister!B:B)</f>
        <v>855DC-1541-ECL Eclipse|855DC-1543-008 Monarch</v>
      </c>
      <c r="AB17" t="str">
        <f>_xlfn.XLOOKUP($A17,InterfaceRegister!$A:$A,InterfaceRegister!C:C)</f>
        <v>Abby Buters</v>
      </c>
      <c r="AC17" t="str">
        <f>_xlfn.XLOOKUP($A17,InterfaceRegister!$A:$A,InterfaceRegister!D:D)</f>
        <v>Kareema Ramli (Senior Engineer - Energy Data Systems &amp; Governance)</v>
      </c>
      <c r="AD17" t="str">
        <f>_xlfn.XLOOKUP($A17,InterfaceRegister!$A:$A,InterfaceRegister!E:E)</f>
        <v>Project - Project Interface</v>
      </c>
      <c r="AE17" t="str">
        <f>_xlfn.XLOOKUP($A17,InterfaceRegister!$A:$A,InterfaceRegister!F:F)</f>
        <v>Technical-Data/Software</v>
      </c>
      <c r="AF17" t="str">
        <f>_xlfn.XLOOKUP($A17,InterfaceRegister!$A:$A,InterfaceRegister!L:L)</f>
        <v>The purpose of this interface is to transfer daily 24-hour charging profiles from Plexos to Monarch via the internal EGC pipeline.</v>
      </c>
      <c r="AG17" t="str">
        <f>_xlfn.XLOOKUP($A17,InterfaceRegister!$A:$A,InterfaceRegister!M:M)</f>
        <v>HIGH</v>
      </c>
      <c r="AH17" t="str">
        <f>_xlfn.XLOOKUP($A17,InterfaceRegister!$A:$A,InterfaceRegister!O:O)</f>
        <v>Plexos (Corporate IT) -&gt; EGC Pipeline -&gt; Monarch</v>
      </c>
      <c r="AI17" t="str">
        <f>_xlfn.XLOOKUP($A17,InterfaceRegister!$A:$A,InterfaceRegister!N:N)</f>
        <v>The criticality level is HIGH because Monarch depends on these schedules for fleet-wide charging management. Failure directly impacts the ability to coordinate charging load, risking network instability or production delays.</v>
      </c>
      <c r="AJ17" t="str">
        <f>_xlfn.XLOOKUP($A17,'EA-Fortescue_SDExport'!$A:$A,'EA-Fortescue_SDExport'!AX:AX)</f>
        <v>CSV91F87437</v>
      </c>
      <c r="AK17">
        <f>_xlfn.XLOOKUP($A17,'EA-Fortescue_SDExport'!$A:$A,'EA-Fortescue_SDExport'!AY:AY)</f>
        <v>0</v>
      </c>
    </row>
    <row r="18" spans="1:37" x14ac:dyDescent="0.25">
      <c r="A18" t="str">
        <v>DGS-I_0017</v>
      </c>
      <c r="B18" t="str">
        <f>_xlfn.XLOOKUP($A18,'EA-Fortescue_SDExport'!$A:$A,'EA-Fortescue_SDExport'!B:B)</f>
        <v>Class</v>
      </c>
      <c r="C18" t="str">
        <f>_xlfn.XLOOKUP($A18,'EA-Fortescue_SDExport'!$A:$A,'EA-Fortescue_SDExport'!C:C)</f>
        <v>{8F0CAD1F-0678-4ec2-AC09-A1803C7F45AF}</v>
      </c>
      <c r="D18" t="str">
        <f>_xlfn.LET(_xlpm.result, _xlfn.XLOOKUP($A18, InterfaceRegister!$A:$A, InterfaceRegister!P:P), IF(_xlpm.result=0, "", _xlpm.result))</f>
        <v>NH 25/02/2026: Fields updated:Interface Criticality Explanation</v>
      </c>
      <c r="E18">
        <f>_xlfn.XLOOKUP($A18,'EA-Fortescue_SDExport'!$A:$A,'EA-Fortescue_SDExport'!E:E)</f>
        <v>1</v>
      </c>
      <c r="F18">
        <f>_xlfn.XLOOKUP($A18,'EA-Fortescue_SDExport'!$A:$A,'EA-Fortescue_SDExport'!F:F)</f>
        <v>1</v>
      </c>
      <c r="G18">
        <f>_xlfn.XLOOKUP($A18,'EA-Fortescue_SDExport'!$A:$A,'EA-Fortescue_SDExport'!G:G)</f>
        <v>0</v>
      </c>
      <c r="H18" t="str">
        <f>_xlfn.XLOOKUP($A18,'EA-Fortescue_SDExport'!$A:$A,'EA-Fortescue_SDExport'!H:H)</f>
        <v>InterfaceBlock</v>
      </c>
      <c r="I18" t="str">
        <f>_xlfn.XLOOKUP($A18,'EA-Fortescue_SDExport'!$A:$A,'EA-Fortescue_SDExport'!I:I)</f>
        <v>SysML1.4::InterfaceBlock</v>
      </c>
      <c r="J18" t="str">
        <f>_xlfn.XLOOKUP($A18,'EA-Fortescue_SDExport'!$A:$A,'EA-Fortescue_SDExport'!J:J)</f>
        <v>Java</v>
      </c>
      <c r="K18" t="str">
        <f>_xlfn.XLOOKUP($A18,'EA-Fortescue_SDExport'!$A:$A,'EA-Fortescue_SDExport'!K:K)</f>
        <v>Admin</v>
      </c>
      <c r="L18" t="str">
        <f>_xlfn.XLOOKUP($A18,'EA-Fortescue_SDExport'!$A:$A,'EA-Fortescue_SDExport'!L:L)</f>
        <v>Public</v>
      </c>
      <c r="M18">
        <f>_xlfn.XLOOKUP($A18,'EA-Fortescue_SDExport'!$A:$A,'EA-Fortescue_SDExport'!M:M)</f>
        <v>0</v>
      </c>
      <c r="N18" t="str">
        <f>_xlfn.XLOOKUP($A18,InterfaceRegister!$A:$A,InterfaceRegister!K:K)</f>
        <v>Simplified Interface</v>
      </c>
      <c r="O18">
        <f>_xlfn.XLOOKUP($A18,'EA-Fortescue_SDExport'!$A:$A,'EA-Fortescue_SDExport'!O:O)</f>
        <v>1</v>
      </c>
      <c r="P18">
        <f>_xlfn.XLOOKUP($A18,'EA-Fortescue_SDExport'!$A:$A,'EA-Fortescue_SDExport'!P:P)</f>
        <v>0</v>
      </c>
      <c r="Q18">
        <f>_xlfn.XLOOKUP($A18,'EA-Fortescue_SDExport'!$A:$A,'EA-Fortescue_SDExport'!Q:Q)</f>
        <v>0</v>
      </c>
      <c r="R18">
        <f>_xlfn.XLOOKUP($A18,'EA-Fortescue_SDExport'!$A:$A,'EA-Fortescue_SDExport'!R:R)</f>
        <v>0</v>
      </c>
      <c r="S18">
        <f>_xlfn.XLOOKUP($A18,'EA-Fortescue_SDExport'!$A:$A,'EA-Fortescue_SDExport'!S:S)</f>
        <v>0</v>
      </c>
      <c r="T18">
        <f>_xlfn.XLOOKUP($A18,'EA-Fortescue_SDExport'!$A:$A,'EA-Fortescue_SDExport'!T:T)</f>
        <v>0</v>
      </c>
      <c r="U18">
        <f>_xlfn.XLOOKUP($A18,'EA-Fortescue_SDExport'!$A:$A,'EA-Fortescue_SDExport'!U:U)</f>
        <v>45944.493159722224</v>
      </c>
      <c r="V18">
        <f>_xlfn.XLOOKUP($A18,'EA-Fortescue_SDExport'!$A:$A,'EA-Fortescue_SDExport'!V:V)</f>
        <v>46077.993217592593</v>
      </c>
      <c r="W18">
        <f>_xlfn.XLOOKUP($A18,'EA-Fortescue_SDExport'!$A:$A,'EA-Fortescue_SDExport'!W:W)</f>
        <v>0</v>
      </c>
      <c r="X18">
        <f>_xlfn.XLOOKUP($A18,'EA-Fortescue_SDExport'!$A:$A,'EA-Fortescue_SDExport'!X:X)</f>
        <v>0</v>
      </c>
      <c r="Y18">
        <f>_xlfn.XLOOKUP($A18,'EA-Fortescue_SDExport'!$A:$A,'EA-Fortescue_SDExport'!Y:Y)</f>
        <v>0</v>
      </c>
      <c r="Z18" t="str">
        <f>_xlfn.XLOOKUP($A18,'EA-Fortescue_SDExport'!$A:$A,'EA-Fortescue_SDExport'!Z:Z)</f>
        <v>SysML1.4::InterfaceBlock</v>
      </c>
      <c r="AA18" t="str">
        <f>_xlfn.XLOOKUP($A18,InterfaceRegister!$A:$A,InterfaceRegister!B:B)</f>
        <v>005OP-0000-002 ALF|855DC-1541-ECL Eclipse</v>
      </c>
      <c r="AB18" t="str">
        <f>_xlfn.XLOOKUP($A18,InterfaceRegister!$A:$A,InterfaceRegister!C:C)</f>
        <v>Abby Buters</v>
      </c>
      <c r="AC18" t="str">
        <f>_xlfn.XLOOKUP($A18,InterfaceRegister!$A:$A,InterfaceRegister!D:D)</f>
        <v>Shaun Batcock</v>
      </c>
      <c r="AD18" t="str">
        <f>_xlfn.XLOOKUP($A18,InterfaceRegister!$A:$A,InterfaceRegister!E:E)</f>
        <v>Project - Project Interface</v>
      </c>
      <c r="AE18" t="str">
        <f>_xlfn.XLOOKUP($A18,InterfaceRegister!$A:$A,InterfaceRegister!F:F)</f>
        <v>Technical-Data/Software</v>
      </c>
      <c r="AF18" t="str">
        <f>_xlfn.XLOOKUP($A18,InterfaceRegister!$A:$A,InterfaceRegister!L:L)</f>
        <v>The purpose of this interface is to send train schedule data from Snowflake to the Eclipse database for short-term mine planning. This data originates from ALF and is intended for use in a future state development.</v>
      </c>
      <c r="AG18" t="str">
        <f>_xlfn.XLOOKUP($A18,InterfaceRegister!$A:$A,InterfaceRegister!M:M)</f>
        <v>HIGH</v>
      </c>
      <c r="AH18" t="str">
        <f>_xlfn.XLOOKUP($A18,InterfaceRegister!$A:$A,InterfaceRegister!O:O)</f>
        <v>Uni-directional -&gt; ALF -&gt; Snowflake -&gt; Eclipse</v>
      </c>
      <c r="AI18" t="str">
        <f>_xlfn.XLOOKUP($A18,InterfaceRegister!$A:$A,InterfaceRegister!N:N)</f>
        <v>The criticality is HIGH because train schedules materially influence short-term load forecasts and operational demand profiles used within the risk-aware optimisation process. Inaccurate or missing schedule data could result in misforecasted load, increased SOC reserve breach risk, inefficient gas nominations, or suboptimal commitment decisions affecting grid stability and production continuity.</v>
      </c>
      <c r="AJ18" t="str">
        <f>_xlfn.XLOOKUP($A18,'EA-Fortescue_SDExport'!$A:$A,'EA-Fortescue_SDExport'!AX:AX)</f>
        <v>CSVE21AE04A</v>
      </c>
      <c r="AK18">
        <f>_xlfn.XLOOKUP($A18,'EA-Fortescue_SDExport'!$A:$A,'EA-Fortescue_SDExport'!AY:AY)</f>
        <v>0</v>
      </c>
    </row>
    <row r="19" spans="1:37" x14ac:dyDescent="0.25">
      <c r="A19" t="str">
        <v>DGS-I_0018</v>
      </c>
      <c r="B19" t="str">
        <f>_xlfn.XLOOKUP($A19,'EA-Fortescue_SDExport'!$A:$A,'EA-Fortescue_SDExport'!B:B)</f>
        <v>Class</v>
      </c>
      <c r="C19" t="str">
        <f>_xlfn.XLOOKUP($A19,'EA-Fortescue_SDExport'!$A:$A,'EA-Fortescue_SDExport'!C:C)</f>
        <v>{856BF97F-101F-43cb-A60F-23EEB7EA3FCB}</v>
      </c>
      <c r="D19" t="str">
        <f>_xlfn.LET(_xlpm.result, _xlfn.XLOOKUP($A19, InterfaceRegister!$A:$A, InterfaceRegister!P:P), IF(_xlpm.result=0, "", _xlpm.result))</f>
        <v>Interface Review 25/11/2025: FLO is the AI optimiser for ALF and scheduling._x000D_
NH 25/02/2026: Fields updated:Interface Type, Interface Flow</v>
      </c>
      <c r="E19">
        <f>_xlfn.XLOOKUP($A19,'EA-Fortescue_SDExport'!$A:$A,'EA-Fortescue_SDExport'!E:E)</f>
        <v>1</v>
      </c>
      <c r="F19">
        <f>_xlfn.XLOOKUP($A19,'EA-Fortescue_SDExport'!$A:$A,'EA-Fortescue_SDExport'!F:F)</f>
        <v>1</v>
      </c>
      <c r="G19">
        <f>_xlfn.XLOOKUP($A19,'EA-Fortescue_SDExport'!$A:$A,'EA-Fortescue_SDExport'!G:G)</f>
        <v>0</v>
      </c>
      <c r="H19" t="str">
        <f>_xlfn.XLOOKUP($A19,'EA-Fortescue_SDExport'!$A:$A,'EA-Fortescue_SDExport'!H:H)</f>
        <v>InterfaceBlock</v>
      </c>
      <c r="I19" t="str">
        <f>_xlfn.XLOOKUP($A19,'EA-Fortescue_SDExport'!$A:$A,'EA-Fortescue_SDExport'!I:I)</f>
        <v>SysML1.4::InterfaceBlock</v>
      </c>
      <c r="J19" t="str">
        <f>_xlfn.XLOOKUP($A19,'EA-Fortescue_SDExport'!$A:$A,'EA-Fortescue_SDExport'!J:J)</f>
        <v>Java</v>
      </c>
      <c r="K19" t="str">
        <f>_xlfn.XLOOKUP($A19,'EA-Fortescue_SDExport'!$A:$A,'EA-Fortescue_SDExport'!K:K)</f>
        <v>Admin</v>
      </c>
      <c r="L19" t="str">
        <f>_xlfn.XLOOKUP($A19,'EA-Fortescue_SDExport'!$A:$A,'EA-Fortescue_SDExport'!L:L)</f>
        <v>Public</v>
      </c>
      <c r="M19">
        <f>_xlfn.XLOOKUP($A19,'EA-Fortescue_SDExport'!$A:$A,'EA-Fortescue_SDExport'!M:M)</f>
        <v>0</v>
      </c>
      <c r="N19" t="str">
        <f>_xlfn.XLOOKUP($A19,InterfaceRegister!$A:$A,InterfaceRegister!K:K)</f>
        <v>Simplified Interface</v>
      </c>
      <c r="O19">
        <f>_xlfn.XLOOKUP($A19,'EA-Fortescue_SDExport'!$A:$A,'EA-Fortescue_SDExport'!O:O)</f>
        <v>1</v>
      </c>
      <c r="P19">
        <f>_xlfn.XLOOKUP($A19,'EA-Fortescue_SDExport'!$A:$A,'EA-Fortescue_SDExport'!P:P)</f>
        <v>0</v>
      </c>
      <c r="Q19">
        <f>_xlfn.XLOOKUP($A19,'EA-Fortescue_SDExport'!$A:$A,'EA-Fortescue_SDExport'!Q:Q)</f>
        <v>0</v>
      </c>
      <c r="R19">
        <f>_xlfn.XLOOKUP($A19,'EA-Fortescue_SDExport'!$A:$A,'EA-Fortescue_SDExport'!R:R)</f>
        <v>0</v>
      </c>
      <c r="S19">
        <f>_xlfn.XLOOKUP($A19,'EA-Fortescue_SDExport'!$A:$A,'EA-Fortescue_SDExport'!S:S)</f>
        <v>0</v>
      </c>
      <c r="T19">
        <f>_xlfn.XLOOKUP($A19,'EA-Fortescue_SDExport'!$A:$A,'EA-Fortescue_SDExport'!T:T)</f>
        <v>0</v>
      </c>
      <c r="U19">
        <f>_xlfn.XLOOKUP($A19,'EA-Fortescue_SDExport'!$A:$A,'EA-Fortescue_SDExport'!U:U)</f>
        <v>45944.493171296293</v>
      </c>
      <c r="V19">
        <f>_xlfn.XLOOKUP($A19,'EA-Fortescue_SDExport'!$A:$A,'EA-Fortescue_SDExport'!V:V)</f>
        <v>46077.993217592593</v>
      </c>
      <c r="W19">
        <f>_xlfn.XLOOKUP($A19,'EA-Fortescue_SDExport'!$A:$A,'EA-Fortescue_SDExport'!W:W)</f>
        <v>0</v>
      </c>
      <c r="X19">
        <f>_xlfn.XLOOKUP($A19,'EA-Fortescue_SDExport'!$A:$A,'EA-Fortescue_SDExport'!X:X)</f>
        <v>0</v>
      </c>
      <c r="Y19">
        <f>_xlfn.XLOOKUP($A19,'EA-Fortescue_SDExport'!$A:$A,'EA-Fortescue_SDExport'!Y:Y)</f>
        <v>0</v>
      </c>
      <c r="Z19" t="str">
        <f>_xlfn.XLOOKUP($A19,'EA-Fortescue_SDExport'!$A:$A,'EA-Fortescue_SDExport'!Z:Z)</f>
        <v>SysML1.4::InterfaceBlock</v>
      </c>
      <c r="AA19" t="str">
        <f>_xlfn.XLOOKUP($A19,InterfaceRegister!$A:$A,InterfaceRegister!B:B)</f>
        <v>005OP-0000-003 FLO|855DC-1541-ECL Eclipse</v>
      </c>
      <c r="AB19" t="str">
        <f>_xlfn.XLOOKUP($A19,InterfaceRegister!$A:$A,InterfaceRegister!C:C)</f>
        <v>Abby Buters</v>
      </c>
      <c r="AC19" t="str">
        <f>_xlfn.XLOOKUP($A19,InterfaceRegister!$A:$A,InterfaceRegister!D:D)</f>
        <v>Shaun Batcock</v>
      </c>
      <c r="AD19" t="str">
        <f>_xlfn.XLOOKUP($A19,InterfaceRegister!$A:$A,InterfaceRegister!E:E)</f>
        <v>Project - Project Interface</v>
      </c>
      <c r="AE19" t="str">
        <f>_xlfn.XLOOKUP($A19,InterfaceRegister!$A:$A,InterfaceRegister!F:F)</f>
        <v>Technical-Data/Software</v>
      </c>
      <c r="AF19" t="str">
        <f>_xlfn.XLOOKUP($A19,InterfaceRegister!$A:$A,InterfaceRegister!L:L)</f>
        <v>This interface allows FLO to exchange operational logic, configuration data, or workflow context with Eclipse to keep both systems aligned for reporting, planning, or task coordination.</v>
      </c>
      <c r="AG19" t="str">
        <f>_xlfn.XLOOKUP($A19,InterfaceRegister!$A:$A,InterfaceRegister!M:M)</f>
        <v>LOW</v>
      </c>
      <c r="AH19" t="str">
        <f>_xlfn.XLOOKUP($A19,InterfaceRegister!$A:$A,InterfaceRegister!O:O)</f>
        <v>Eclipse -&gt; FLO</v>
      </c>
      <c r="AI19" t="str">
        <f>_xlfn.XLOOKUP($A19,InterfaceRegister!$A:$A,InterfaceRegister!N:N)</f>
        <v>The criticality level is LOW because failure at this interface does not impact real-time production, safety, or operational control. It only limits integrated insight and causes delayed updates, which can be handled manually.</v>
      </c>
      <c r="AJ19" t="str">
        <f>_xlfn.XLOOKUP($A19,'EA-Fortescue_SDExport'!$A:$A,'EA-Fortescue_SDExport'!AX:AX)</f>
        <v>CSVB63202D2</v>
      </c>
      <c r="AK19">
        <f>_xlfn.XLOOKUP($A19,'EA-Fortescue_SDExport'!$A:$A,'EA-Fortescue_SDExport'!AY:AY)</f>
        <v>0</v>
      </c>
    </row>
    <row r="20" spans="1:37" x14ac:dyDescent="0.25">
      <c r="A20" t="str">
        <v>DGS-I_0019</v>
      </c>
      <c r="B20" t="str">
        <f>_xlfn.XLOOKUP($A20,'EA-Fortescue_SDExport'!$A:$A,'EA-Fortescue_SDExport'!B:B)</f>
        <v>Class</v>
      </c>
      <c r="C20" t="str">
        <f>_xlfn.XLOOKUP($A20,'EA-Fortescue_SDExport'!$A:$A,'EA-Fortescue_SDExport'!C:C)</f>
        <v>{4ABF10F3-B498-4d73-87CA-A05FF8C595A4}</v>
      </c>
      <c r="D20" t="str">
        <f>_xlfn.LET(_xlpm.result, _xlfn.XLOOKUP($A20, InterfaceRegister!$A:$A, InterfaceRegister!P:P), IF(_xlpm.result=0, "", _xlpm.result))</f>
        <v/>
      </c>
      <c r="E20">
        <f>_xlfn.XLOOKUP($A20,'EA-Fortescue_SDExport'!$A:$A,'EA-Fortescue_SDExport'!E:E)</f>
        <v>1</v>
      </c>
      <c r="F20">
        <f>_xlfn.XLOOKUP($A20,'EA-Fortescue_SDExport'!$A:$A,'EA-Fortescue_SDExport'!F:F)</f>
        <v>1</v>
      </c>
      <c r="G20">
        <f>_xlfn.XLOOKUP($A20,'EA-Fortescue_SDExport'!$A:$A,'EA-Fortescue_SDExport'!G:G)</f>
        <v>0</v>
      </c>
      <c r="H20" t="str">
        <f>_xlfn.XLOOKUP($A20,'EA-Fortescue_SDExport'!$A:$A,'EA-Fortescue_SDExport'!H:H)</f>
        <v>InterfaceBlock</v>
      </c>
      <c r="I20" t="str">
        <f>_xlfn.XLOOKUP($A20,'EA-Fortescue_SDExport'!$A:$A,'EA-Fortescue_SDExport'!I:I)</f>
        <v>SysML1.4::InterfaceBlock</v>
      </c>
      <c r="J20" t="str">
        <f>_xlfn.XLOOKUP($A20,'EA-Fortescue_SDExport'!$A:$A,'EA-Fortescue_SDExport'!J:J)</f>
        <v>Java</v>
      </c>
      <c r="K20" t="str">
        <f>_xlfn.XLOOKUP($A20,'EA-Fortescue_SDExport'!$A:$A,'EA-Fortescue_SDExport'!K:K)</f>
        <v>Admin</v>
      </c>
      <c r="L20" t="str">
        <f>_xlfn.XLOOKUP($A20,'EA-Fortescue_SDExport'!$A:$A,'EA-Fortescue_SDExport'!L:L)</f>
        <v>Public</v>
      </c>
      <c r="M20">
        <f>_xlfn.XLOOKUP($A20,'EA-Fortescue_SDExport'!$A:$A,'EA-Fortescue_SDExport'!M:M)</f>
        <v>0</v>
      </c>
      <c r="N20" t="str">
        <f>_xlfn.XLOOKUP($A20,InterfaceRegister!$A:$A,InterfaceRegister!K:K)</f>
        <v>Simplified Interface</v>
      </c>
      <c r="O20">
        <f>_xlfn.XLOOKUP($A20,'EA-Fortescue_SDExport'!$A:$A,'EA-Fortescue_SDExport'!O:O)</f>
        <v>1</v>
      </c>
      <c r="P20">
        <f>_xlfn.XLOOKUP($A20,'EA-Fortescue_SDExport'!$A:$A,'EA-Fortescue_SDExport'!P:P)</f>
        <v>0</v>
      </c>
      <c r="Q20">
        <f>_xlfn.XLOOKUP($A20,'EA-Fortescue_SDExport'!$A:$A,'EA-Fortescue_SDExport'!Q:Q)</f>
        <v>0</v>
      </c>
      <c r="R20">
        <f>_xlfn.XLOOKUP($A20,'EA-Fortescue_SDExport'!$A:$A,'EA-Fortescue_SDExport'!R:R)</f>
        <v>0</v>
      </c>
      <c r="S20">
        <f>_xlfn.XLOOKUP($A20,'EA-Fortescue_SDExport'!$A:$A,'EA-Fortescue_SDExport'!S:S)</f>
        <v>0</v>
      </c>
      <c r="T20">
        <f>_xlfn.XLOOKUP($A20,'EA-Fortescue_SDExport'!$A:$A,'EA-Fortescue_SDExport'!T:T)</f>
        <v>0</v>
      </c>
      <c r="U20">
        <f>_xlfn.XLOOKUP($A20,'EA-Fortescue_SDExport'!$A:$A,'EA-Fortescue_SDExport'!U:U)</f>
        <v>45944.493217592593</v>
      </c>
      <c r="V20">
        <f>_xlfn.XLOOKUP($A20,'EA-Fortescue_SDExport'!$A:$A,'EA-Fortescue_SDExport'!V:V)</f>
        <v>46078.474409722221</v>
      </c>
      <c r="W20">
        <f>_xlfn.XLOOKUP($A20,'EA-Fortescue_SDExport'!$A:$A,'EA-Fortescue_SDExport'!W:W)</f>
        <v>0</v>
      </c>
      <c r="X20">
        <f>_xlfn.XLOOKUP($A20,'EA-Fortescue_SDExport'!$A:$A,'EA-Fortescue_SDExport'!X:X)</f>
        <v>0</v>
      </c>
      <c r="Y20">
        <f>_xlfn.XLOOKUP($A20,'EA-Fortescue_SDExport'!$A:$A,'EA-Fortescue_SDExport'!Y:Y)</f>
        <v>0</v>
      </c>
      <c r="Z20" t="str">
        <f>_xlfn.XLOOKUP($A20,'EA-Fortescue_SDExport'!$A:$A,'EA-Fortescue_SDExport'!Z:Z)</f>
        <v>SysML1.4::InterfaceBlock</v>
      </c>
      <c r="AA20" t="str">
        <f>_xlfn.XLOOKUP($A20,InterfaceRegister!$A:$A,InterfaceRegister!B:B)</f>
        <v>855DC-1541-DEL Delphi|855DC-1541-ECL Eclipse</v>
      </c>
      <c r="AB20" t="str">
        <f>_xlfn.XLOOKUP($A20,InterfaceRegister!$A:$A,InterfaceRegister!C:C)</f>
        <v>Abby Buters</v>
      </c>
      <c r="AC20" t="str">
        <f>_xlfn.XLOOKUP($A20,InterfaceRegister!$A:$A,InterfaceRegister!D:D)</f>
        <v>Glen Carruthers</v>
      </c>
      <c r="AD20" t="str">
        <f>_xlfn.XLOOKUP($A20,InterfaceRegister!$A:$A,InterfaceRegister!E:E)</f>
        <v>Project - Project Interface</v>
      </c>
      <c r="AE20" t="str">
        <f>_xlfn.XLOOKUP($A20,InterfaceRegister!$A:$A,InterfaceRegister!F:F)</f>
        <v>Technical-Data/Software</v>
      </c>
      <c r="AF20" t="str">
        <f>_xlfn.XLOOKUP($A20,InterfaceRegister!$A:$A,InterfaceRegister!L:L)</f>
        <v>The purpose of this interface is to allow Eclipse to pull aggregated forecast and actual data from Delphi for short-term and historical data for long-term planning. This data includes wind and solar data, rain, and lightning, and it also supports sending Elysia's State of Charge actuals for the BESS to Delphi to assist in determining where and when to charge, send power, and curtail._x000D_
Intermediate Elements: Snowflake.</v>
      </c>
      <c r="AG20" t="str">
        <f>_xlfn.XLOOKUP($A20,InterfaceRegister!$A:$A,InterfaceRegister!M:M)</f>
        <v>HIGH</v>
      </c>
      <c r="AH20" t="str">
        <f>_xlfn.XLOOKUP($A20,InterfaceRegister!$A:$A,InterfaceRegister!O:O)</f>
        <v>Uni-directional -&gt; Delphi Snowflake database -&gt; Eclipse Snowflake database.</v>
      </c>
      <c r="AI20" t="str">
        <f>_xlfn.XLOOKUP($A20,InterfaceRegister!$A:$A,InterfaceRegister!N:N)</f>
        <v>The criticality level is HIGH because failure to receive timely forecast and actual weather data from Delphi will cause near- and long-term mine plans to be inaccurate. This severely compromises planning feasibility and execution.</v>
      </c>
      <c r="AJ20" t="str">
        <f>_xlfn.XLOOKUP($A20,'EA-Fortescue_SDExport'!$A:$A,'EA-Fortescue_SDExport'!AX:AX)</f>
        <v>CSVBDBEA868</v>
      </c>
      <c r="AK20">
        <f>_xlfn.XLOOKUP($A20,'EA-Fortescue_SDExport'!$A:$A,'EA-Fortescue_SDExport'!AY:AY)</f>
        <v>0</v>
      </c>
    </row>
    <row r="21" spans="1:37" x14ac:dyDescent="0.25">
      <c r="A21" t="str">
        <v>DGS-I_0020</v>
      </c>
      <c r="B21" t="str">
        <f>_xlfn.XLOOKUP($A21,'EA-Fortescue_SDExport'!$A:$A,'EA-Fortescue_SDExport'!B:B)</f>
        <v>Class</v>
      </c>
      <c r="C21" t="str">
        <f>_xlfn.XLOOKUP($A21,'EA-Fortescue_SDExport'!$A:$A,'EA-Fortescue_SDExport'!C:C)</f>
        <v>{49FCDB0E-9036-40c9-9544-9E8D3FFB0002}</v>
      </c>
      <c r="D21" t="str">
        <f>_xlfn.LET(_xlpm.result, _xlfn.XLOOKUP($A21, InterfaceRegister!$A:$A, InterfaceRegister!P:P), IF(_xlpm.result=0, "", _xlpm.result))</f>
        <v>Interface Review 25/11/2025: To be confirmed whether this functionality is required to stop a black out situation. Information from Eclipse would be sent through Engery Operations Cimplicity SCADA to slow OPF rates._x000D_
NH 25/02/2026: Fields updated:Interface Type, Interface Flow</v>
      </c>
      <c r="E21">
        <f>_xlfn.XLOOKUP($A21,'EA-Fortescue_SDExport'!$A:$A,'EA-Fortescue_SDExport'!E:E)</f>
        <v>1</v>
      </c>
      <c r="F21">
        <f>_xlfn.XLOOKUP($A21,'EA-Fortescue_SDExport'!$A:$A,'EA-Fortescue_SDExport'!F:F)</f>
        <v>1</v>
      </c>
      <c r="G21">
        <f>_xlfn.XLOOKUP($A21,'EA-Fortescue_SDExport'!$A:$A,'EA-Fortescue_SDExport'!G:G)</f>
        <v>0</v>
      </c>
      <c r="H21" t="str">
        <f>_xlfn.XLOOKUP($A21,'EA-Fortescue_SDExport'!$A:$A,'EA-Fortescue_SDExport'!H:H)</f>
        <v>InterfaceBlock</v>
      </c>
      <c r="I21" t="str">
        <f>_xlfn.XLOOKUP($A21,'EA-Fortescue_SDExport'!$A:$A,'EA-Fortescue_SDExport'!I:I)</f>
        <v>SysML1.4::InterfaceBlock</v>
      </c>
      <c r="J21" t="str">
        <f>_xlfn.XLOOKUP($A21,'EA-Fortescue_SDExport'!$A:$A,'EA-Fortescue_SDExport'!J:J)</f>
        <v>Java</v>
      </c>
      <c r="K21" t="str">
        <f>_xlfn.XLOOKUP($A21,'EA-Fortescue_SDExport'!$A:$A,'EA-Fortescue_SDExport'!K:K)</f>
        <v>Admin</v>
      </c>
      <c r="L21" t="str">
        <f>_xlfn.XLOOKUP($A21,'EA-Fortescue_SDExport'!$A:$A,'EA-Fortescue_SDExport'!L:L)</f>
        <v>Public</v>
      </c>
      <c r="M21">
        <f>_xlfn.XLOOKUP($A21,'EA-Fortescue_SDExport'!$A:$A,'EA-Fortescue_SDExport'!M:M)</f>
        <v>0</v>
      </c>
      <c r="N21" t="str">
        <f>_xlfn.XLOOKUP($A21,InterfaceRegister!$A:$A,InterfaceRegister!K:K)</f>
        <v>Simplified Interface</v>
      </c>
      <c r="O21">
        <f>_xlfn.XLOOKUP($A21,'EA-Fortescue_SDExport'!$A:$A,'EA-Fortescue_SDExport'!O:O)</f>
        <v>1</v>
      </c>
      <c r="P21">
        <f>_xlfn.XLOOKUP($A21,'EA-Fortescue_SDExport'!$A:$A,'EA-Fortescue_SDExport'!P:P)</f>
        <v>0</v>
      </c>
      <c r="Q21">
        <f>_xlfn.XLOOKUP($A21,'EA-Fortescue_SDExport'!$A:$A,'EA-Fortescue_SDExport'!Q:Q)</f>
        <v>0</v>
      </c>
      <c r="R21">
        <f>_xlfn.XLOOKUP($A21,'EA-Fortescue_SDExport'!$A:$A,'EA-Fortescue_SDExport'!R:R)</f>
        <v>0</v>
      </c>
      <c r="S21">
        <f>_xlfn.XLOOKUP($A21,'EA-Fortescue_SDExport'!$A:$A,'EA-Fortescue_SDExport'!S:S)</f>
        <v>0</v>
      </c>
      <c r="T21">
        <f>_xlfn.XLOOKUP($A21,'EA-Fortescue_SDExport'!$A:$A,'EA-Fortescue_SDExport'!T:T)</f>
        <v>0</v>
      </c>
      <c r="U21">
        <f>_xlfn.XLOOKUP($A21,'EA-Fortescue_SDExport'!$A:$A,'EA-Fortescue_SDExport'!U:U)</f>
        <v>45944.493275462963</v>
      </c>
      <c r="V21">
        <f>_xlfn.XLOOKUP($A21,'EA-Fortescue_SDExport'!$A:$A,'EA-Fortescue_SDExport'!V:V)</f>
        <v>46077.99322916667</v>
      </c>
      <c r="W21">
        <f>_xlfn.XLOOKUP($A21,'EA-Fortescue_SDExport'!$A:$A,'EA-Fortescue_SDExport'!W:W)</f>
        <v>0</v>
      </c>
      <c r="X21">
        <f>_xlfn.XLOOKUP($A21,'EA-Fortescue_SDExport'!$A:$A,'EA-Fortescue_SDExport'!X:X)</f>
        <v>0</v>
      </c>
      <c r="Y21">
        <f>_xlfn.XLOOKUP($A21,'EA-Fortescue_SDExport'!$A:$A,'EA-Fortescue_SDExport'!Y:Y)</f>
        <v>0</v>
      </c>
      <c r="Z21" t="str">
        <f>_xlfn.XLOOKUP($A21,'EA-Fortescue_SDExport'!$A:$A,'EA-Fortescue_SDExport'!Z:Z)</f>
        <v>SysML1.4::InterfaceBlock</v>
      </c>
      <c r="AA21" t="str">
        <f>_xlfn.XLOOKUP($A21,InterfaceRegister!$A:$A,InterfaceRegister!B:B)</f>
        <v>855DC-1541-ECL Eclipse|005OP-0000-013 Cimplicity</v>
      </c>
      <c r="AB21" t="str">
        <f>_xlfn.XLOOKUP($A21,InterfaceRegister!$A:$A,InterfaceRegister!C:C)</f>
        <v>Abby Buters</v>
      </c>
      <c r="AC21" t="str">
        <f>_xlfn.XLOOKUP($A21,InterfaceRegister!$A:$A,InterfaceRegister!D:D)</f>
        <v>Glen Carruthers</v>
      </c>
      <c r="AD21" t="str">
        <f>_xlfn.XLOOKUP($A21,InterfaceRegister!$A:$A,InterfaceRegister!E:E)</f>
        <v>Project - Project Interface</v>
      </c>
      <c r="AE21" t="str">
        <f>_xlfn.XLOOKUP($A21,InterfaceRegister!$A:$A,InterfaceRegister!F:F)</f>
        <v>Technical-Data/Software</v>
      </c>
      <c r="AF21" t="str">
        <f>_xlfn.XLOOKUP($A21,InterfaceRegister!$A:$A,InterfaceRegister!L:L)</f>
        <v>This interface provides Cimplicity with data from Eclipse for visualisation, supervisory functions, or operational context across site systems.</v>
      </c>
      <c r="AG21" t="str">
        <f>_xlfn.XLOOKUP($A21,InterfaceRegister!$A:$A,InterfaceRegister!M:M)</f>
        <v>LOW</v>
      </c>
      <c r="AH21" t="str">
        <f>_xlfn.XLOOKUP($A21,InterfaceRegister!$A:$A,InterfaceRegister!O:O)</f>
        <v>Eclipse -&gt; Cimplicity</v>
      </c>
      <c r="AI21" t="str">
        <f>_xlfn.XLOOKUP($A21,InterfaceRegister!$A:$A,InterfaceRegister!N:N)</f>
        <v>The criticality level is LOW because failure at this interface does not impact real-time production, safety, or operational control. It only affects integrated visibility, and underlying electrical systems can continue functioning normally.</v>
      </c>
      <c r="AJ21" t="str">
        <f>_xlfn.XLOOKUP($A21,'EA-Fortescue_SDExport'!$A:$A,'EA-Fortescue_SDExport'!AX:AX)</f>
        <v>CSV8E2646BD</v>
      </c>
      <c r="AK21">
        <f>_xlfn.XLOOKUP($A21,'EA-Fortescue_SDExport'!$A:$A,'EA-Fortescue_SDExport'!AY:AY)</f>
        <v>0</v>
      </c>
    </row>
    <row r="22" spans="1:37" x14ac:dyDescent="0.25">
      <c r="A22" t="str">
        <v>DGS-I_0021</v>
      </c>
      <c r="B22" t="str">
        <f>_xlfn.XLOOKUP($A22,'EA-Fortescue_SDExport'!$A:$A,'EA-Fortescue_SDExport'!B:B)</f>
        <v>Class</v>
      </c>
      <c r="C22" t="str">
        <f>_xlfn.XLOOKUP($A22,'EA-Fortescue_SDExport'!$A:$A,'EA-Fortescue_SDExport'!C:C)</f>
        <v>{B8878595-AC09-422c-9EF3-9AE2A42D7C42}</v>
      </c>
      <c r="D22" t="str">
        <f>_xlfn.LET(_xlpm.result, _xlfn.XLOOKUP($A22, InterfaceRegister!$A:$A, InterfaceRegister!P:P), IF(_xlpm.result=0, "", _xlpm.result))</f>
        <v>Interface Review 25/11/2025: Delete, agreed with Mark and Abby that there is no integration with Alastri_x000D_
DocStack-SAComparison_Delphi 18/02/2026: Reinstate DGS-I_0021, DGS-I_0188._x000D_
NH 18/02/2026: Fields updated: Interface Type, Interface Description (Interface Purpose), Interface Criticality, Interface Criticality Explanation, Interface Flow.</v>
      </c>
      <c r="E22">
        <f>_xlfn.XLOOKUP($A22,'EA-Fortescue_SDExport'!$A:$A,'EA-Fortescue_SDExport'!E:E)</f>
        <v>1</v>
      </c>
      <c r="F22">
        <f>_xlfn.XLOOKUP($A22,'EA-Fortescue_SDExport'!$A:$A,'EA-Fortescue_SDExport'!F:F)</f>
        <v>1</v>
      </c>
      <c r="G22">
        <f>_xlfn.XLOOKUP($A22,'EA-Fortescue_SDExport'!$A:$A,'EA-Fortescue_SDExport'!G:G)</f>
        <v>0</v>
      </c>
      <c r="H22" t="str">
        <f>_xlfn.XLOOKUP($A22,'EA-Fortescue_SDExport'!$A:$A,'EA-Fortescue_SDExport'!H:H)</f>
        <v>InterfaceBlock</v>
      </c>
      <c r="I22" t="str">
        <f>_xlfn.XLOOKUP($A22,'EA-Fortescue_SDExport'!$A:$A,'EA-Fortescue_SDExport'!I:I)</f>
        <v>SysML1.4::InterfaceBlock</v>
      </c>
      <c r="J22" t="str">
        <f>_xlfn.XLOOKUP($A22,'EA-Fortescue_SDExport'!$A:$A,'EA-Fortescue_SDExport'!J:J)</f>
        <v>Java</v>
      </c>
      <c r="K22" t="str">
        <f>_xlfn.XLOOKUP($A22,'EA-Fortescue_SDExport'!$A:$A,'EA-Fortescue_SDExport'!K:K)</f>
        <v>Admin</v>
      </c>
      <c r="L22" t="str">
        <f>_xlfn.XLOOKUP($A22,'EA-Fortescue_SDExport'!$A:$A,'EA-Fortescue_SDExport'!L:L)</f>
        <v>Public</v>
      </c>
      <c r="M22">
        <f>_xlfn.XLOOKUP($A22,'EA-Fortescue_SDExport'!$A:$A,'EA-Fortescue_SDExport'!M:M)</f>
        <v>0</v>
      </c>
      <c r="N22" t="str">
        <f>_xlfn.XLOOKUP($A22,InterfaceRegister!$A:$A,InterfaceRegister!K:K)</f>
        <v>Simplified Interface</v>
      </c>
      <c r="O22">
        <f>_xlfn.XLOOKUP($A22,'EA-Fortescue_SDExport'!$A:$A,'EA-Fortescue_SDExport'!O:O)</f>
        <v>1</v>
      </c>
      <c r="P22">
        <f>_xlfn.XLOOKUP($A22,'EA-Fortescue_SDExport'!$A:$A,'EA-Fortescue_SDExport'!P:P)</f>
        <v>0</v>
      </c>
      <c r="Q22">
        <f>_xlfn.XLOOKUP($A22,'EA-Fortescue_SDExport'!$A:$A,'EA-Fortescue_SDExport'!Q:Q)</f>
        <v>0</v>
      </c>
      <c r="R22">
        <f>_xlfn.XLOOKUP($A22,'EA-Fortescue_SDExport'!$A:$A,'EA-Fortescue_SDExport'!R:R)</f>
        <v>0</v>
      </c>
      <c r="S22">
        <f>_xlfn.XLOOKUP($A22,'EA-Fortescue_SDExport'!$A:$A,'EA-Fortescue_SDExport'!S:S)</f>
        <v>0</v>
      </c>
      <c r="T22">
        <f>_xlfn.XLOOKUP($A22,'EA-Fortescue_SDExport'!$A:$A,'EA-Fortescue_SDExport'!T:T)</f>
        <v>0</v>
      </c>
      <c r="U22">
        <f>_xlfn.XLOOKUP($A22,'EA-Fortescue_SDExport'!$A:$A,'EA-Fortescue_SDExport'!U:U)</f>
        <v>45944.493310185186</v>
      </c>
      <c r="V22">
        <f>_xlfn.XLOOKUP($A22,'EA-Fortescue_SDExport'!$A:$A,'EA-Fortescue_SDExport'!V:V)</f>
        <v>46071.946087962962</v>
      </c>
      <c r="W22">
        <f>_xlfn.XLOOKUP($A22,'EA-Fortescue_SDExport'!$A:$A,'EA-Fortescue_SDExport'!W:W)</f>
        <v>0</v>
      </c>
      <c r="X22">
        <f>_xlfn.XLOOKUP($A22,'EA-Fortescue_SDExport'!$A:$A,'EA-Fortescue_SDExport'!X:X)</f>
        <v>0</v>
      </c>
      <c r="Y22">
        <f>_xlfn.XLOOKUP($A22,'EA-Fortescue_SDExport'!$A:$A,'EA-Fortescue_SDExport'!Y:Y)</f>
        <v>0</v>
      </c>
      <c r="Z22" t="str">
        <f>_xlfn.XLOOKUP($A22,'EA-Fortescue_SDExport'!$A:$A,'EA-Fortescue_SDExport'!Z:Z)</f>
        <v>SysML1.4::InterfaceBlock</v>
      </c>
      <c r="AA22" t="str">
        <f>_xlfn.XLOOKUP($A22,InterfaceRegister!$A:$A,InterfaceRegister!B:B)</f>
        <v>855DC-1541-DEL Delphi|005OP-0000-004 Alastri</v>
      </c>
      <c r="AB22" t="str">
        <f>_xlfn.XLOOKUP($A22,InterfaceRegister!$A:$A,InterfaceRegister!C:C)</f>
        <v/>
      </c>
      <c r="AC22" t="str">
        <f>_xlfn.XLOOKUP($A22,InterfaceRegister!$A:$A,InterfaceRegister!D:D)</f>
        <v/>
      </c>
      <c r="AD22" t="str">
        <f>_xlfn.XLOOKUP($A22,InterfaceRegister!$A:$A,InterfaceRegister!E:E)</f>
        <v>Project - Project Interface</v>
      </c>
      <c r="AE22" t="str">
        <f>_xlfn.XLOOKUP($A22,InterfaceRegister!$A:$A,InterfaceRegister!F:F)</f>
        <v>Technical-Data/Software</v>
      </c>
      <c r="AF22" t="str">
        <f>_xlfn.XLOOKUP($A22,InterfaceRegister!$A:$A,InterfaceRegister!L:L)</f>
        <v>This interface enables Delphi to receive production schedules and activity sequencing data from the Alastri Production Scheduler (APS) and Alastri Tactical Scheduler (ATS). The scheduling data informs Delphi's load forecasting, scenario construction, and energy modelling by reflecting planned production intensity, equipment utilisation, and timing. This interface supports forecast alignment with operational intent and is read-only from Delphi's perspective.</v>
      </c>
      <c r="AG22" t="str">
        <f>_xlfn.XLOOKUP($A22,InterfaceRegister!$A:$A,InterfaceRegister!M:M)</f>
        <v>MEDIUM</v>
      </c>
      <c r="AH22" t="str">
        <f>_xlfn.XLOOKUP($A22,InterfaceRegister!$A:$A,InterfaceRegister!O:O)</f>
        <v>Alastri -&gt; Delphi</v>
      </c>
      <c r="AI22" t="str">
        <f>_xlfn.XLOOKUP($A22,InterfaceRegister!$A:$A,InterfaceRegister!N:N)</f>
        <v>The criticality is MEDIUM because APS/ATS schedules influence forecast accuracy and scenario realism within Delphi, but they do not directly affect real-time dispatch, control systems, or safety-critical operations. Failure would reduce forecast quality and planning alignment but would not interrupt operational continuity.</v>
      </c>
      <c r="AJ22" t="str">
        <f>_xlfn.XLOOKUP($A22,'EA-Fortescue_SDExport'!$A:$A,'EA-Fortescue_SDExport'!AX:AX)</f>
        <v>CSV7136CFA1</v>
      </c>
      <c r="AK22">
        <f>_xlfn.XLOOKUP($A22,'EA-Fortescue_SDExport'!$A:$A,'EA-Fortescue_SDExport'!AY:AY)</f>
        <v>0</v>
      </c>
    </row>
    <row r="23" spans="1:37" x14ac:dyDescent="0.25">
      <c r="A23" t="str">
        <v>DGS-I_0022</v>
      </c>
      <c r="B23" t="str">
        <f>_xlfn.XLOOKUP($A23,'EA-Fortescue_SDExport'!$A:$A,'EA-Fortescue_SDExport'!B:B)</f>
        <v>Class</v>
      </c>
      <c r="C23" t="str">
        <f>_xlfn.XLOOKUP($A23,'EA-Fortescue_SDExport'!$A:$A,'EA-Fortescue_SDExport'!C:C)</f>
        <v>{F823C1ED-408B-4677-BC5B-CDD0209A3679}</v>
      </c>
      <c r="D23" t="str">
        <f>_xlfn.LET(_xlpm.result, _xlfn.XLOOKUP($A23, InterfaceRegister!$A:$A, InterfaceRegister!P:P), IF(_xlpm.result=0, "", _xlpm.result))</f>
        <v>CSMS Review 30/10/2025: Not integrated with CSMS. Delphi feeds Eclipse and Monarch. Energy Ops (Confirm with Abby)_x000D_
Interface Review 02/12/2025: Confirmed Delete_x000D_
DocStack-SAComparison_Delphi 18/02/2026: Reinstate DGS-I_0022._x000D_
NH 25/02/2026: Fields updated:Interface Criticality Explanation, Interface Flow</v>
      </c>
      <c r="E23">
        <f>_xlfn.XLOOKUP($A23,'EA-Fortescue_SDExport'!$A:$A,'EA-Fortescue_SDExport'!E:E)</f>
        <v>1</v>
      </c>
      <c r="F23">
        <f>_xlfn.XLOOKUP($A23,'EA-Fortescue_SDExport'!$A:$A,'EA-Fortescue_SDExport'!F:F)</f>
        <v>1</v>
      </c>
      <c r="G23">
        <f>_xlfn.XLOOKUP($A23,'EA-Fortescue_SDExport'!$A:$A,'EA-Fortescue_SDExport'!G:G)</f>
        <v>0</v>
      </c>
      <c r="H23" t="str">
        <f>_xlfn.XLOOKUP($A23,'EA-Fortescue_SDExport'!$A:$A,'EA-Fortescue_SDExport'!H:H)</f>
        <v>InterfaceBlock</v>
      </c>
      <c r="I23" t="str">
        <f>_xlfn.XLOOKUP($A23,'EA-Fortescue_SDExport'!$A:$A,'EA-Fortescue_SDExport'!I:I)</f>
        <v>SysML1.4::InterfaceBlock</v>
      </c>
      <c r="J23" t="str">
        <f>_xlfn.XLOOKUP($A23,'EA-Fortescue_SDExport'!$A:$A,'EA-Fortescue_SDExport'!J:J)</f>
        <v>Java</v>
      </c>
      <c r="K23" t="str">
        <f>_xlfn.XLOOKUP($A23,'EA-Fortescue_SDExport'!$A:$A,'EA-Fortescue_SDExport'!K:K)</f>
        <v>Admin</v>
      </c>
      <c r="L23" t="str">
        <f>_xlfn.XLOOKUP($A23,'EA-Fortescue_SDExport'!$A:$A,'EA-Fortescue_SDExport'!L:L)</f>
        <v>Public</v>
      </c>
      <c r="M23">
        <f>_xlfn.XLOOKUP($A23,'EA-Fortescue_SDExport'!$A:$A,'EA-Fortescue_SDExport'!M:M)</f>
        <v>0</v>
      </c>
      <c r="N23" t="str">
        <f>_xlfn.XLOOKUP($A23,InterfaceRegister!$A:$A,InterfaceRegister!K:K)</f>
        <v>Proposed</v>
      </c>
      <c r="O23">
        <f>_xlfn.XLOOKUP($A23,'EA-Fortescue_SDExport'!$A:$A,'EA-Fortescue_SDExport'!O:O)</f>
        <v>1</v>
      </c>
      <c r="P23">
        <f>_xlfn.XLOOKUP($A23,'EA-Fortescue_SDExport'!$A:$A,'EA-Fortescue_SDExport'!P:P)</f>
        <v>0</v>
      </c>
      <c r="Q23">
        <f>_xlfn.XLOOKUP($A23,'EA-Fortescue_SDExport'!$A:$A,'EA-Fortescue_SDExport'!Q:Q)</f>
        <v>0</v>
      </c>
      <c r="R23">
        <f>_xlfn.XLOOKUP($A23,'EA-Fortescue_SDExport'!$A:$A,'EA-Fortescue_SDExport'!R:R)</f>
        <v>0</v>
      </c>
      <c r="S23">
        <f>_xlfn.XLOOKUP($A23,'EA-Fortescue_SDExport'!$A:$A,'EA-Fortescue_SDExport'!S:S)</f>
        <v>0</v>
      </c>
      <c r="T23">
        <f>_xlfn.XLOOKUP($A23,'EA-Fortescue_SDExport'!$A:$A,'EA-Fortescue_SDExport'!T:T)</f>
        <v>0</v>
      </c>
      <c r="U23">
        <f>_xlfn.XLOOKUP($A23,'EA-Fortescue_SDExport'!$A:$A,'EA-Fortescue_SDExport'!U:U)</f>
        <v>45969.865868055553</v>
      </c>
      <c r="V23">
        <f>_xlfn.XLOOKUP($A23,'EA-Fortescue_SDExport'!$A:$A,'EA-Fortescue_SDExport'!V:V)</f>
        <v>46077.99322916667</v>
      </c>
      <c r="W23">
        <f>_xlfn.XLOOKUP($A23,'EA-Fortescue_SDExport'!$A:$A,'EA-Fortescue_SDExport'!W:W)</f>
        <v>0</v>
      </c>
      <c r="X23">
        <f>_xlfn.XLOOKUP($A23,'EA-Fortescue_SDExport'!$A:$A,'EA-Fortescue_SDExport'!X:X)</f>
        <v>0</v>
      </c>
      <c r="Y23">
        <f>_xlfn.XLOOKUP($A23,'EA-Fortescue_SDExport'!$A:$A,'EA-Fortescue_SDExport'!Y:Y)</f>
        <v>0</v>
      </c>
      <c r="Z23" t="str">
        <f>_xlfn.XLOOKUP($A23,'EA-Fortescue_SDExport'!$A:$A,'EA-Fortescue_SDExport'!Z:Z)</f>
        <v>SysML1.4::InterfaceBlock</v>
      </c>
      <c r="AA23" t="str">
        <f>_xlfn.XLOOKUP($A23,InterfaceRegister!$A:$A,InterfaceRegister!B:B)</f>
        <v>855DC-1542-CSM Charge Station Management System (CSMS)|855DC-1541-DEL Delphi</v>
      </c>
      <c r="AB23" t="str">
        <f>_xlfn.XLOOKUP($A23,InterfaceRegister!$A:$A,InterfaceRegister!C:C)</f>
        <v>Sam Hedgcock</v>
      </c>
      <c r="AC23" t="str">
        <f>_xlfn.XLOOKUP($A23,InterfaceRegister!$A:$A,InterfaceRegister!D:D)</f>
        <v>Abby Buters</v>
      </c>
      <c r="AD23" t="str">
        <f>_xlfn.XLOOKUP($A23,InterfaceRegister!$A:$A,InterfaceRegister!E:E)</f>
        <v>Project - Project Interface</v>
      </c>
      <c r="AE23" t="str">
        <f>_xlfn.XLOOKUP($A23,InterfaceRegister!$A:$A,InterfaceRegister!F:F)</f>
        <v>Functional-Operational</v>
      </c>
      <c r="AF23" t="str">
        <f>_xlfn.XLOOKUP($A23,InterfaceRegister!$A:$A,InterfaceRegister!L:L)</f>
        <v>The purpose of this interface is to serve as a human-machine interface between personnel in Mine Services and the Charge Station Management System (CSMS), allowing them to execute remote commands, access historical data, as well as remotely monitor, diagnose, and manage the state of the charging network.</v>
      </c>
      <c r="AG23" t="str">
        <f>_xlfn.XLOOKUP($A23,InterfaceRegister!$A:$A,InterfaceRegister!M:M)</f>
        <v>N/A</v>
      </c>
      <c r="AH23" t="str">
        <f>_xlfn.XLOOKUP($A23,InterfaceRegister!$A:$A,InterfaceRegister!O:O)</f>
        <v>CSMS - &gt; Delphi</v>
      </c>
      <c r="AI23" t="str">
        <f>_xlfn.XLOOKUP($A23,InterfaceRegister!$A:$A,InterfaceRegister!N:N)</f>
        <v>The criticality is N/A because this interface primarily provides a human-machine interface for monitoring, diagnosing, and managing the charging network. It does not control or protect core mine operations, and any delay or failure would not immediately affect production, safety, or throughput. Operational personnel can continue to manage charging activities manually or through alternate systems, and the interface mainly supports data visibility and efficiency.</v>
      </c>
      <c r="AJ23" t="str">
        <f>_xlfn.XLOOKUP($A23,'EA-Fortescue_SDExport'!$A:$A,'EA-Fortescue_SDExport'!AX:AX)</f>
        <v>CSV03BBD881</v>
      </c>
      <c r="AK23">
        <f>_xlfn.XLOOKUP($A23,'EA-Fortescue_SDExport'!$A:$A,'EA-Fortescue_SDExport'!AY:AY)</f>
        <v>0</v>
      </c>
    </row>
    <row r="24" spans="1:37" x14ac:dyDescent="0.25">
      <c r="A24" t="str">
        <v>DGS-I_0023</v>
      </c>
      <c r="B24" t="str">
        <f>_xlfn.XLOOKUP($A24,'EA-Fortescue_SDExport'!$A:$A,'EA-Fortescue_SDExport'!B:B)</f>
        <v>Class</v>
      </c>
      <c r="C24" t="str">
        <f>_xlfn.XLOOKUP($A24,'EA-Fortescue_SDExport'!$A:$A,'EA-Fortescue_SDExport'!C:C)</f>
        <v>{64A6D7CD-E761-420b-9707-23C798573461}</v>
      </c>
      <c r="D24" t="str">
        <f>_xlfn.LET(_xlpm.result, _xlfn.XLOOKUP($A24, InterfaceRegister!$A:$A, InterfaceRegister!P:P), IF(_xlpm.result=0, "", _xlpm.result))</f>
        <v>Interface Review 25/11/2025: Delete (more Eclipse)_x000D_
Delphi RVAM 28/01/2026: Reinstated_x000D_
NH 25/02/2026: Fields updated:Interface Type, Interface Criticality, Interface Criticality Explanation</v>
      </c>
      <c r="E24">
        <f>_xlfn.XLOOKUP($A24,'EA-Fortescue_SDExport'!$A:$A,'EA-Fortescue_SDExport'!E:E)</f>
        <v>1</v>
      </c>
      <c r="F24">
        <f>_xlfn.XLOOKUP($A24,'EA-Fortescue_SDExport'!$A:$A,'EA-Fortescue_SDExport'!F:F)</f>
        <v>1</v>
      </c>
      <c r="G24">
        <f>_xlfn.XLOOKUP($A24,'EA-Fortescue_SDExport'!$A:$A,'EA-Fortescue_SDExport'!G:G)</f>
        <v>0</v>
      </c>
      <c r="H24" t="str">
        <f>_xlfn.XLOOKUP($A24,'EA-Fortescue_SDExport'!$A:$A,'EA-Fortescue_SDExport'!H:H)</f>
        <v>InterfaceBlock</v>
      </c>
      <c r="I24" t="str">
        <f>_xlfn.XLOOKUP($A24,'EA-Fortescue_SDExport'!$A:$A,'EA-Fortescue_SDExport'!I:I)</f>
        <v>SysML1.4::InterfaceBlock</v>
      </c>
      <c r="J24" t="str">
        <f>_xlfn.XLOOKUP($A24,'EA-Fortescue_SDExport'!$A:$A,'EA-Fortescue_SDExport'!J:J)</f>
        <v>Java</v>
      </c>
      <c r="K24" t="str">
        <f>_xlfn.XLOOKUP($A24,'EA-Fortescue_SDExport'!$A:$A,'EA-Fortescue_SDExport'!K:K)</f>
        <v>Admin</v>
      </c>
      <c r="L24" t="str">
        <f>_xlfn.XLOOKUP($A24,'EA-Fortescue_SDExport'!$A:$A,'EA-Fortescue_SDExport'!L:L)</f>
        <v>Public</v>
      </c>
      <c r="M24">
        <f>_xlfn.XLOOKUP($A24,'EA-Fortescue_SDExport'!$A:$A,'EA-Fortescue_SDExport'!M:M)</f>
        <v>0</v>
      </c>
      <c r="N24" t="str">
        <f>_xlfn.XLOOKUP($A24,InterfaceRegister!$A:$A,InterfaceRegister!K:K)</f>
        <v>Proposed</v>
      </c>
      <c r="O24">
        <f>_xlfn.XLOOKUP($A24,'EA-Fortescue_SDExport'!$A:$A,'EA-Fortescue_SDExport'!O:O)</f>
        <v>1</v>
      </c>
      <c r="P24">
        <f>_xlfn.XLOOKUP($A24,'EA-Fortescue_SDExport'!$A:$A,'EA-Fortescue_SDExport'!P:P)</f>
        <v>0</v>
      </c>
      <c r="Q24">
        <f>_xlfn.XLOOKUP($A24,'EA-Fortescue_SDExport'!$A:$A,'EA-Fortescue_SDExport'!Q:Q)</f>
        <v>0</v>
      </c>
      <c r="R24">
        <f>_xlfn.XLOOKUP($A24,'EA-Fortescue_SDExport'!$A:$A,'EA-Fortescue_SDExport'!R:R)</f>
        <v>0</v>
      </c>
      <c r="S24">
        <f>_xlfn.XLOOKUP($A24,'EA-Fortescue_SDExport'!$A:$A,'EA-Fortescue_SDExport'!S:S)</f>
        <v>0</v>
      </c>
      <c r="T24">
        <f>_xlfn.XLOOKUP($A24,'EA-Fortescue_SDExport'!$A:$A,'EA-Fortescue_SDExport'!T:T)</f>
        <v>0</v>
      </c>
      <c r="U24">
        <f>_xlfn.XLOOKUP($A24,'EA-Fortescue_SDExport'!$A:$A,'EA-Fortescue_SDExport'!U:U)</f>
        <v>45944.622615740744</v>
      </c>
      <c r="V24">
        <f>_xlfn.XLOOKUP($A24,'EA-Fortescue_SDExport'!$A:$A,'EA-Fortescue_SDExport'!V:V)</f>
        <v>46077.993206018517</v>
      </c>
      <c r="W24">
        <f>_xlfn.XLOOKUP($A24,'EA-Fortescue_SDExport'!$A:$A,'EA-Fortescue_SDExport'!W:W)</f>
        <v>0</v>
      </c>
      <c r="X24">
        <f>_xlfn.XLOOKUP($A24,'EA-Fortescue_SDExport'!$A:$A,'EA-Fortescue_SDExport'!X:X)</f>
        <v>0</v>
      </c>
      <c r="Y24">
        <f>_xlfn.XLOOKUP($A24,'EA-Fortescue_SDExport'!$A:$A,'EA-Fortescue_SDExport'!Y:Y)</f>
        <v>0</v>
      </c>
      <c r="Z24" t="str">
        <f>_xlfn.XLOOKUP($A24,'EA-Fortescue_SDExport'!$A:$A,'EA-Fortescue_SDExport'!Z:Z)</f>
        <v>SysML1.4::InterfaceBlock</v>
      </c>
      <c r="AA24" t="str">
        <f>_xlfn.XLOOKUP($A24,InterfaceRegister!$A:$A,InterfaceRegister!B:B)</f>
        <v>859DC-1410-001 HaulX|855DC-1541-DEL Delphi</v>
      </c>
      <c r="AB24" t="str">
        <f>_xlfn.XLOOKUP($A24,InterfaceRegister!$A:$A,InterfaceRegister!C:C)</f>
        <v/>
      </c>
      <c r="AC24" t="str">
        <f>_xlfn.XLOOKUP($A24,InterfaceRegister!$A:$A,InterfaceRegister!D:D)</f>
        <v/>
      </c>
      <c r="AD24" t="str">
        <f>_xlfn.XLOOKUP($A24,InterfaceRegister!$A:$A,InterfaceRegister!E:E)</f>
        <v>Project - Project Interface</v>
      </c>
      <c r="AE24" t="str">
        <f>_xlfn.XLOOKUP($A24,InterfaceRegister!$A:$A,InterfaceRegister!F:F)</f>
        <v>Technical-Data/Software</v>
      </c>
      <c r="AF24" t="str">
        <f>_xlfn.XLOOKUP($A24,InterfaceRegister!$A:$A,InterfaceRegister!L:L)</f>
        <v>This interface provides a near-term forecast of fleet energy consumption. This depends on the HaulX forecast horizon, based on a dispatch plan and mine plan. 30-40% of load based on mobile asset energy consumption. Frequency, resolution and horizon need to be determined for truck and excavator fleet on charge. State of charge, estimated time of completion.</v>
      </c>
      <c r="AG24" t="str">
        <f>_xlfn.XLOOKUP($A24,InterfaceRegister!$A:$A,InterfaceRegister!M:M)</f>
        <v>LOW</v>
      </c>
      <c r="AH24" t="str">
        <f>_xlfn.XLOOKUP($A24,InterfaceRegister!$A:$A,InterfaceRegister!O:O)</f>
        <v>HaulX-&gt;Delphi</v>
      </c>
      <c r="AI24" t="str">
        <f>_xlfn.XLOOKUP($A24,InterfaceRegister!$A:$A,InterfaceRegister!N:N)</f>
        <v>The criticality level is LOW because, although Delphi receives fleet energy forecasts from HaulX to support planning and optimisation, the interface does not affect real-time haulage operations, safety, or production continuity. If the interface fails, Haulage and mine operations continue normally, though forecast accuracy and decision-making may be reduced.</v>
      </c>
      <c r="AJ24" t="str">
        <f>_xlfn.XLOOKUP($A24,'EA-Fortescue_SDExport'!$A:$A,'EA-Fortescue_SDExport'!AX:AX)</f>
        <v>CSV34926AD5</v>
      </c>
      <c r="AK24">
        <f>_xlfn.XLOOKUP($A24,'EA-Fortescue_SDExport'!$A:$A,'EA-Fortescue_SDExport'!AY:AY)</f>
        <v>0</v>
      </c>
    </row>
    <row r="25" spans="1:37" x14ac:dyDescent="0.25">
      <c r="A25" t="str">
        <v>DGS-I_0024</v>
      </c>
      <c r="B25" t="str">
        <f>_xlfn.XLOOKUP($A25,'EA-Fortescue_SDExport'!$A:$A,'EA-Fortescue_SDExport'!B:B)</f>
        <v>Class</v>
      </c>
      <c r="C25" t="str">
        <f>_xlfn.XLOOKUP($A25,'EA-Fortescue_SDExport'!$A:$A,'EA-Fortescue_SDExport'!C:C)</f>
        <v>{9C490054-A628-472a-BD2A-DB879797FFF5}</v>
      </c>
      <c r="D25" t="str">
        <f>_xlfn.LET(_xlpm.result, _xlfn.XLOOKUP($A25, InterfaceRegister!$A:$A, InterfaceRegister!P:P), IF(_xlpm.result=0, "", _xlpm.result))</f>
        <v>LMS Review 30/10/2025: Potential MQTT Integration (July roll out?)
Status of when a cable is live. Logic in PLC for curent breaker status and data.
Interface Review 02/12/2025: Confirm if duplication. Confirmed Delete.
Remark 02/12/2025: Move mine electrification SCADA to retired systems and delete associated interfaces.
JV 13/01/2026: Mine Electrification SCADA is a live project - retain in the System Architecture and Interface Register. 
NH 25/02/2026 As Mine Electrification SCADA is separate from Ignition, it is not a duplication. This interface is reinstated.
NH 25/02/2026: Fields updated: Interface Type, Interface Description (Interface Purpose), Interface Criticality, Interface Criticality Explanation, Interface Flow.</v>
      </c>
      <c r="E25">
        <f>_xlfn.XLOOKUP($A25,'EA-Fortescue_SDExport'!$A:$A,'EA-Fortescue_SDExport'!E:E)</f>
        <v>1</v>
      </c>
      <c r="F25">
        <f>_xlfn.XLOOKUP($A25,'EA-Fortescue_SDExport'!$A:$A,'EA-Fortescue_SDExport'!F:F)</f>
        <v>1</v>
      </c>
      <c r="G25">
        <f>_xlfn.XLOOKUP($A25,'EA-Fortescue_SDExport'!$A:$A,'EA-Fortescue_SDExport'!G:G)</f>
        <v>0</v>
      </c>
      <c r="H25" t="str">
        <f>_xlfn.XLOOKUP($A25,'EA-Fortescue_SDExport'!$A:$A,'EA-Fortescue_SDExport'!H:H)</f>
        <v>InterfaceBlock</v>
      </c>
      <c r="I25" t="str">
        <f>_xlfn.XLOOKUP($A25,'EA-Fortescue_SDExport'!$A:$A,'EA-Fortescue_SDExport'!I:I)</f>
        <v>SysML1.4::InterfaceBlock</v>
      </c>
      <c r="J25" t="str">
        <f>_xlfn.XLOOKUP($A25,'EA-Fortescue_SDExport'!$A:$A,'EA-Fortescue_SDExport'!J:J)</f>
        <v>Java</v>
      </c>
      <c r="K25" t="str">
        <f>_xlfn.XLOOKUP($A25,'EA-Fortescue_SDExport'!$A:$A,'EA-Fortescue_SDExport'!K:K)</f>
        <v>Admin</v>
      </c>
      <c r="L25" t="str">
        <f>_xlfn.XLOOKUP($A25,'EA-Fortescue_SDExport'!$A:$A,'EA-Fortescue_SDExport'!L:L)</f>
        <v>Public</v>
      </c>
      <c r="M25">
        <f>_xlfn.XLOOKUP($A25,'EA-Fortescue_SDExport'!$A:$A,'EA-Fortescue_SDExport'!M:M)</f>
        <v>0</v>
      </c>
      <c r="N25" t="str">
        <f>_xlfn.XLOOKUP($A25,InterfaceRegister!$A:$A,InterfaceRegister!K:K)</f>
        <v>Proposed</v>
      </c>
      <c r="O25">
        <f>_xlfn.XLOOKUP($A25,'EA-Fortescue_SDExport'!$A:$A,'EA-Fortescue_SDExport'!O:O)</f>
        <v>1</v>
      </c>
      <c r="P25">
        <f>_xlfn.XLOOKUP($A25,'EA-Fortescue_SDExport'!$A:$A,'EA-Fortescue_SDExport'!P:P)</f>
        <v>0</v>
      </c>
      <c r="Q25">
        <f>_xlfn.XLOOKUP($A25,'EA-Fortescue_SDExport'!$A:$A,'EA-Fortescue_SDExport'!Q:Q)</f>
        <v>0</v>
      </c>
      <c r="R25">
        <f>_xlfn.XLOOKUP($A25,'EA-Fortescue_SDExport'!$A:$A,'EA-Fortescue_SDExport'!R:R)</f>
        <v>0</v>
      </c>
      <c r="S25">
        <f>_xlfn.XLOOKUP($A25,'EA-Fortescue_SDExport'!$A:$A,'EA-Fortescue_SDExport'!S:S)</f>
        <v>0</v>
      </c>
      <c r="T25">
        <f>_xlfn.XLOOKUP($A25,'EA-Fortescue_SDExport'!$A:$A,'EA-Fortescue_SDExport'!T:T)</f>
        <v>0</v>
      </c>
      <c r="U25">
        <f>_xlfn.XLOOKUP($A25,'EA-Fortescue_SDExport'!$A:$A,'EA-Fortescue_SDExport'!U:U)</f>
        <v>45944.622627314813</v>
      </c>
      <c r="V25">
        <f>_xlfn.XLOOKUP($A25,'EA-Fortescue_SDExport'!$A:$A,'EA-Fortescue_SDExport'!V:V)</f>
        <v>46078.824803240743</v>
      </c>
      <c r="W25">
        <f>_xlfn.XLOOKUP($A25,'EA-Fortescue_SDExport'!$A:$A,'EA-Fortescue_SDExport'!W:W)</f>
        <v>0</v>
      </c>
      <c r="X25">
        <f>_xlfn.XLOOKUP($A25,'EA-Fortescue_SDExport'!$A:$A,'EA-Fortescue_SDExport'!X:X)</f>
        <v>0</v>
      </c>
      <c r="Y25">
        <f>_xlfn.XLOOKUP($A25,'EA-Fortescue_SDExport'!$A:$A,'EA-Fortescue_SDExport'!Y:Y)</f>
        <v>0</v>
      </c>
      <c r="Z25" t="str">
        <f>_xlfn.XLOOKUP($A25,'EA-Fortescue_SDExport'!$A:$A,'EA-Fortescue_SDExport'!Z:Z)</f>
        <v>SysML1.4::InterfaceBlock</v>
      </c>
      <c r="AA25" t="str">
        <f>_xlfn.XLOOKUP($A25,InterfaceRegister!$A:$A,InterfaceRegister!B:B)</f>
        <v>855DC-1541-LIV LiveWire|855DC-1542-008 Mine Electrification SCADA</v>
      </c>
      <c r="AB25" t="str">
        <f>_xlfn.XLOOKUP($A25,InterfaceRegister!$A:$A,InterfaceRegister!C:C)</f>
        <v/>
      </c>
      <c r="AC25" t="str">
        <f>_xlfn.XLOOKUP($A25,InterfaceRegister!$A:$A,InterfaceRegister!D:D)</f>
        <v/>
      </c>
      <c r="AD25" t="str">
        <f>_xlfn.XLOOKUP($A25,InterfaceRegister!$A:$A,InterfaceRegister!E:E)</f>
        <v>Project - Project Interface</v>
      </c>
      <c r="AE25" t="str">
        <f>_xlfn.XLOOKUP($A25,InterfaceRegister!$A:$A,InterfaceRegister!F:F)</f>
        <v>Technical-Data/Software</v>
      </c>
      <c r="AF25" t="str">
        <f>_xlfn.XLOOKUP($A25,InterfaceRegister!$A:$A,InterfaceRegister!L:L)</f>
        <v>The purpose of this interface is to provide LiveWire with real-time electrical connectivity and energisation status information from Mine Electrification SCADA. This includes live/dead state of cables, breakers, switches, and associated network segments, enabling LiveWire to accurately represent which assets and circuits are energised across the pit. This integration supports safe cable routing, switching coordination, and field planning by ensuring spatial visualisations reflect the true electrical state of the network.</v>
      </c>
      <c r="AG25" t="str">
        <f>_xlfn.XLOOKUP($A25,InterfaceRegister!$A:$A,InterfaceRegister!M:M)</f>
        <v>HIGH</v>
      </c>
      <c r="AH25" t="str">
        <f>_xlfn.XLOOKUP($A25,InterfaceRegister!$A:$A,InterfaceRegister!O:O)</f>
        <v>Mine Electrification SCADA -&gt; LiveWire</v>
      </c>
      <c r="AI25" t="str">
        <f>_xlfn.XLOOKUP($A25,InterfaceRegister!$A:$A,InterfaceRegister!N:N)</f>
        <v>The criticality level is HIGH because this interface provides the authoritative live/dead and electrical connectivity status of cables, breakers, and network segments from Mine Electrification SCADA into LiveWire. Accurate energisation status is fundamental to safe switching, cable handling, and field operations._x000D_
_x000D_
If this interface fails or provides incorrect data, LiveWire may display an incorrect electrical state, creating a credible risk of personnel exposure to energised infrastructure or unsafe switching decisions, thereby compromising a safety-critical function. In addition, loss of reliable connectivity status may require suspension of cable moves and electrical reconfiguration activities until state is manually verified, potentially constraining pit electrification operations and impacting production throughput.</v>
      </c>
      <c r="AJ25" t="str">
        <f>_xlfn.XLOOKUP($A25,'EA-Fortescue_SDExport'!$A:$A,'EA-Fortescue_SDExport'!AX:AX)</f>
        <v>CSV1777EE25</v>
      </c>
      <c r="AK25">
        <f>_xlfn.XLOOKUP($A25,'EA-Fortescue_SDExport'!$A:$A,'EA-Fortescue_SDExport'!AY:AY)</f>
        <v>0</v>
      </c>
    </row>
    <row r="26" spans="1:37" x14ac:dyDescent="0.25">
      <c r="A26" t="str">
        <v>DGS-I_0025</v>
      </c>
      <c r="B26" t="str">
        <f>_xlfn.XLOOKUP($A26,'EA-Fortescue_SDExport'!$A:$A,'EA-Fortescue_SDExport'!B:B)</f>
        <v>Class</v>
      </c>
      <c r="C26" t="str">
        <f>_xlfn.XLOOKUP($A26,'EA-Fortescue_SDExport'!$A:$A,'EA-Fortescue_SDExport'!C:C)</f>
        <v>{F9E96971-9488-40fc-8BA8-A8588732A78B}</v>
      </c>
      <c r="D26" t="str">
        <f>_xlfn.LET(_xlpm.result, _xlfn.XLOOKUP($A26, InterfaceRegister!$A:$A, InterfaceRegister!P:P), IF(_xlpm.result=0, "", _xlpm.result))</f>
        <v/>
      </c>
      <c r="E26">
        <f>_xlfn.XLOOKUP($A26,'EA-Fortescue_SDExport'!$A:$A,'EA-Fortescue_SDExport'!E:E)</f>
        <v>1</v>
      </c>
      <c r="F26">
        <f>_xlfn.XLOOKUP($A26,'EA-Fortescue_SDExport'!$A:$A,'EA-Fortescue_SDExport'!F:F)</f>
        <v>1</v>
      </c>
      <c r="G26">
        <f>_xlfn.XLOOKUP($A26,'EA-Fortescue_SDExport'!$A:$A,'EA-Fortescue_SDExport'!G:G)</f>
        <v>0</v>
      </c>
      <c r="H26" t="str">
        <f>_xlfn.XLOOKUP($A26,'EA-Fortescue_SDExport'!$A:$A,'EA-Fortescue_SDExport'!H:H)</f>
        <v>InterfaceBlock</v>
      </c>
      <c r="I26" t="str">
        <f>_xlfn.XLOOKUP($A26,'EA-Fortescue_SDExport'!$A:$A,'EA-Fortescue_SDExport'!I:I)</f>
        <v>SysML1.4::InterfaceBlock</v>
      </c>
      <c r="J26" t="str">
        <f>_xlfn.XLOOKUP($A26,'EA-Fortescue_SDExport'!$A:$A,'EA-Fortescue_SDExport'!J:J)</f>
        <v>Java</v>
      </c>
      <c r="K26" t="str">
        <f>_xlfn.XLOOKUP($A26,'EA-Fortescue_SDExport'!$A:$A,'EA-Fortescue_SDExport'!K:K)</f>
        <v>Admin</v>
      </c>
      <c r="L26" t="str">
        <f>_xlfn.XLOOKUP($A26,'EA-Fortescue_SDExport'!$A:$A,'EA-Fortescue_SDExport'!L:L)</f>
        <v>Public</v>
      </c>
      <c r="M26">
        <f>_xlfn.XLOOKUP($A26,'EA-Fortescue_SDExport'!$A:$A,'EA-Fortescue_SDExport'!M:M)</f>
        <v>0</v>
      </c>
      <c r="N26" t="str">
        <f>_xlfn.XLOOKUP($A26,InterfaceRegister!$A:$A,InterfaceRegister!K:K)</f>
        <v>Simplified Interface</v>
      </c>
      <c r="O26">
        <f>_xlfn.XLOOKUP($A26,'EA-Fortescue_SDExport'!$A:$A,'EA-Fortescue_SDExport'!O:O)</f>
        <v>1</v>
      </c>
      <c r="P26">
        <f>_xlfn.XLOOKUP($A26,'EA-Fortescue_SDExport'!$A:$A,'EA-Fortescue_SDExport'!P:P)</f>
        <v>0</v>
      </c>
      <c r="Q26">
        <f>_xlfn.XLOOKUP($A26,'EA-Fortescue_SDExport'!$A:$A,'EA-Fortescue_SDExport'!Q:Q)</f>
        <v>0</v>
      </c>
      <c r="R26">
        <f>_xlfn.XLOOKUP($A26,'EA-Fortescue_SDExport'!$A:$A,'EA-Fortescue_SDExport'!R:R)</f>
        <v>0</v>
      </c>
      <c r="S26">
        <f>_xlfn.XLOOKUP($A26,'EA-Fortescue_SDExport'!$A:$A,'EA-Fortescue_SDExport'!S:S)</f>
        <v>0</v>
      </c>
      <c r="T26">
        <f>_xlfn.XLOOKUP($A26,'EA-Fortescue_SDExport'!$A:$A,'EA-Fortescue_SDExport'!T:T)</f>
        <v>0</v>
      </c>
      <c r="U26">
        <f>_xlfn.XLOOKUP($A26,'EA-Fortescue_SDExport'!$A:$A,'EA-Fortescue_SDExport'!U:U)</f>
        <v>45944.622650462959</v>
      </c>
      <c r="V26">
        <f>_xlfn.XLOOKUP($A26,'EA-Fortescue_SDExport'!$A:$A,'EA-Fortescue_SDExport'!V:V)</f>
        <v>46002.067569444444</v>
      </c>
      <c r="W26">
        <f>_xlfn.XLOOKUP($A26,'EA-Fortescue_SDExport'!$A:$A,'EA-Fortescue_SDExport'!W:W)</f>
        <v>0</v>
      </c>
      <c r="X26">
        <f>_xlfn.XLOOKUP($A26,'EA-Fortescue_SDExport'!$A:$A,'EA-Fortescue_SDExport'!X:X)</f>
        <v>0</v>
      </c>
      <c r="Y26">
        <f>_xlfn.XLOOKUP($A26,'EA-Fortescue_SDExport'!$A:$A,'EA-Fortescue_SDExport'!Y:Y)</f>
        <v>0</v>
      </c>
      <c r="Z26" t="str">
        <f>_xlfn.XLOOKUP($A26,'EA-Fortescue_SDExport'!$A:$A,'EA-Fortescue_SDExport'!Z:Z)</f>
        <v>SysML1.4::InterfaceBlock</v>
      </c>
      <c r="AA26" t="str">
        <f>_xlfn.XLOOKUP($A26,InterfaceRegister!$A:$A,InterfaceRegister!B:B)</f>
        <v>855DC-1541-LIV LiveWire|005OP-0000-004 Alastri</v>
      </c>
      <c r="AB26" t="str">
        <f>_xlfn.XLOOKUP($A26,InterfaceRegister!$A:$A,InterfaceRegister!C:C)</f>
        <v>Abby Buters</v>
      </c>
      <c r="AC26" t="str">
        <f>_xlfn.XLOOKUP($A26,InterfaceRegister!$A:$A,InterfaceRegister!D:D)</f>
        <v>Shaun Batcock</v>
      </c>
      <c r="AD26" t="str">
        <f>_xlfn.XLOOKUP($A26,InterfaceRegister!$A:$A,InterfaceRegister!E:E)</f>
        <v>Project - Project Interface</v>
      </c>
      <c r="AE26" t="str">
        <f>_xlfn.XLOOKUP($A26,InterfaceRegister!$A:$A,InterfaceRegister!F:F)</f>
        <v>Technical-Data/Software</v>
      </c>
      <c r="AF26" t="str">
        <f>_xlfn.XLOOKUP($A26,InterfaceRegister!$A:$A,InterfaceRegister!L:L)</f>
        <v>Alastri -&gt; LiveWire - Pit Elevation, Block Progression &amp; Cable Path Integration_x000D_
The purpose of this interface is to allow LiveWire to consume pit elevation models, digger block progression, drill patterns, and high-level cable path designs from Alastri to support operational planning and electrical network management. LiveWire uses this information to visualise equipment movement, update spatial constraints, and guide safe and efficient cable routing decisions. Elevation data is sourced from Alastri's 3D model and transferred to a predetermined location for ingestion, with most data made available via Snowflake, and the process targets DXF 3D transfer with the possibility of exposing a DXF layer as an export back to Alastri._x000D_
Intermediate Elements: Alastri 3D model, Snowflake datasets, controlled file transfer location, LiveWire visualisation and spatial tools, and Mine planner (staff) 2-week mine plan.</v>
      </c>
      <c r="AG26" t="str">
        <f>_xlfn.XLOOKUP($A26,InterfaceRegister!$A:$A,InterfaceRegister!M:M)</f>
        <v>MEDIUM</v>
      </c>
      <c r="AH26" t="str">
        <f>_xlfn.XLOOKUP($A26,InterfaceRegister!$A:$A,InterfaceRegister!O:O)</f>
        <v>Data Flow:_x000D_
Alastri (3D elevation model, block progression, drill patterns, cable path designs) -&gt; File transfer / Snowflake -&gt; LiveWire (visualisation &amp; operational layers).</v>
      </c>
      <c r="AI26" t="str">
        <f>_xlfn.XLOOKUP($A26,InterfaceRegister!$A:$A,InterfaceRegister!N:N)</f>
        <v>The criticality level is MEDIUM because accurate elevation and block progression information is essential for safe cable routing and avoiding physical conflicts. Failure may degrade planning safety and network design quality, but it does not immediately halt production.</v>
      </c>
      <c r="AJ26" t="str">
        <f>_xlfn.XLOOKUP($A26,'EA-Fortescue_SDExport'!$A:$A,'EA-Fortescue_SDExport'!AX:AX)</f>
        <v>CSV2B00DC75</v>
      </c>
      <c r="AK26">
        <f>_xlfn.XLOOKUP($A26,'EA-Fortescue_SDExport'!$A:$A,'EA-Fortescue_SDExport'!AY:AY)</f>
        <v>0</v>
      </c>
    </row>
    <row r="27" spans="1:37" x14ac:dyDescent="0.25">
      <c r="A27" t="str">
        <v>DGS-I_0026</v>
      </c>
      <c r="B27" t="str">
        <f>_xlfn.XLOOKUP($A27,'EA-Fortescue_SDExport'!$A:$A,'EA-Fortescue_SDExport'!B:B)</f>
        <v>Class</v>
      </c>
      <c r="C27" t="str">
        <f>_xlfn.XLOOKUP($A27,'EA-Fortescue_SDExport'!$A:$A,'EA-Fortescue_SDExport'!C:C)</f>
        <v>{80FD0AB1-8640-49f9-B5DF-BFD97E20D720}</v>
      </c>
      <c r="D27" t="str">
        <f>_xlfn.LET(_xlpm.result, _xlfn.XLOOKUP($A27, InterfaceRegister!$A:$A, InterfaceRegister!P:P), IF(_xlpm.result=0, "", _xlpm.result))</f>
        <v>Interface Review 02/12/2025: Planned to be a subsystem of Livewire FY27/28. Remove from model and move to retired section._x000D_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27">
        <f>_xlfn.XLOOKUP($A27,'EA-Fortescue_SDExport'!$A:$A,'EA-Fortescue_SDExport'!E:E)</f>
        <v>1</v>
      </c>
      <c r="F27">
        <f>_xlfn.XLOOKUP($A27,'EA-Fortescue_SDExport'!$A:$A,'EA-Fortescue_SDExport'!F:F)</f>
        <v>1</v>
      </c>
      <c r="G27">
        <f>_xlfn.XLOOKUP($A27,'EA-Fortescue_SDExport'!$A:$A,'EA-Fortescue_SDExport'!G:G)</f>
        <v>0</v>
      </c>
      <c r="H27" t="str">
        <f>_xlfn.XLOOKUP($A27,'EA-Fortescue_SDExport'!$A:$A,'EA-Fortescue_SDExport'!H:H)</f>
        <v>InterfaceBlock</v>
      </c>
      <c r="I27" t="str">
        <f>_xlfn.XLOOKUP($A27,'EA-Fortescue_SDExport'!$A:$A,'EA-Fortescue_SDExport'!I:I)</f>
        <v>SysML1.4::InterfaceBlock</v>
      </c>
      <c r="J27" t="str">
        <f>_xlfn.XLOOKUP($A27,'EA-Fortescue_SDExport'!$A:$A,'EA-Fortescue_SDExport'!J:J)</f>
        <v>Java</v>
      </c>
      <c r="K27" t="str">
        <f>_xlfn.XLOOKUP($A27,'EA-Fortescue_SDExport'!$A:$A,'EA-Fortescue_SDExport'!K:K)</f>
        <v>Admin</v>
      </c>
      <c r="L27" t="str">
        <f>_xlfn.XLOOKUP($A27,'EA-Fortescue_SDExport'!$A:$A,'EA-Fortescue_SDExport'!L:L)</f>
        <v>Public</v>
      </c>
      <c r="M27">
        <f>_xlfn.XLOOKUP($A27,'EA-Fortescue_SDExport'!$A:$A,'EA-Fortescue_SDExport'!M:M)</f>
        <v>0</v>
      </c>
      <c r="N27" t="str">
        <f>_xlfn.XLOOKUP($A27,InterfaceRegister!$A:$A,InterfaceRegister!K:K)</f>
        <v>Proposed</v>
      </c>
      <c r="O27">
        <f>_xlfn.XLOOKUP($A27,'EA-Fortescue_SDExport'!$A:$A,'EA-Fortescue_SDExport'!O:O)</f>
        <v>1</v>
      </c>
      <c r="P27">
        <f>_xlfn.XLOOKUP($A27,'EA-Fortescue_SDExport'!$A:$A,'EA-Fortescue_SDExport'!P:P)</f>
        <v>0</v>
      </c>
      <c r="Q27">
        <f>_xlfn.XLOOKUP($A27,'EA-Fortescue_SDExport'!$A:$A,'EA-Fortescue_SDExport'!Q:Q)</f>
        <v>0</v>
      </c>
      <c r="R27">
        <f>_xlfn.XLOOKUP($A27,'EA-Fortescue_SDExport'!$A:$A,'EA-Fortescue_SDExport'!R:R)</f>
        <v>0</v>
      </c>
      <c r="S27">
        <f>_xlfn.XLOOKUP($A27,'EA-Fortescue_SDExport'!$A:$A,'EA-Fortescue_SDExport'!S:S)</f>
        <v>0</v>
      </c>
      <c r="T27">
        <f>_xlfn.XLOOKUP($A27,'EA-Fortescue_SDExport'!$A:$A,'EA-Fortescue_SDExport'!T:T)</f>
        <v>0</v>
      </c>
      <c r="U27">
        <f>_xlfn.XLOOKUP($A27,'EA-Fortescue_SDExport'!$A:$A,'EA-Fortescue_SDExport'!U:U)</f>
        <v>45944.622662037036</v>
      </c>
      <c r="V27">
        <f>_xlfn.XLOOKUP($A27,'EA-Fortescue_SDExport'!$A:$A,'EA-Fortescue_SDExport'!V:V)</f>
        <v>46071.947118055556</v>
      </c>
      <c r="W27">
        <f>_xlfn.XLOOKUP($A27,'EA-Fortescue_SDExport'!$A:$A,'EA-Fortescue_SDExport'!W:W)</f>
        <v>0</v>
      </c>
      <c r="X27">
        <f>_xlfn.XLOOKUP($A27,'EA-Fortescue_SDExport'!$A:$A,'EA-Fortescue_SDExport'!X:X)</f>
        <v>0</v>
      </c>
      <c r="Y27">
        <f>_xlfn.XLOOKUP($A27,'EA-Fortescue_SDExport'!$A:$A,'EA-Fortescue_SDExport'!Y:Y)</f>
        <v>0</v>
      </c>
      <c r="Z27" t="str">
        <f>_xlfn.XLOOKUP($A27,'EA-Fortescue_SDExport'!$A:$A,'EA-Fortescue_SDExport'!Z:Z)</f>
        <v>SysML1.4::InterfaceBlock</v>
      </c>
      <c r="AA27" t="str">
        <f>_xlfn.XLOOKUP($A27,InterfaceRegister!$A:$A,InterfaceRegister!B:B)</f>
        <v>855DC-1541-LIV LiveWire|855DC-1543-PPC Pit Power Capacity Planning Tool - Capacity Check</v>
      </c>
      <c r="AB27" t="str">
        <f>_xlfn.XLOOKUP($A27,InterfaceRegister!$A:$A,InterfaceRegister!C:C)</f>
        <v>Abby Buters</v>
      </c>
      <c r="AC27" t="str">
        <f>_xlfn.XLOOKUP($A27,InterfaceRegister!$A:$A,InterfaceRegister!D:D)</f>
        <v/>
      </c>
      <c r="AD27" t="str">
        <f>_xlfn.XLOOKUP($A27,InterfaceRegister!$A:$A,InterfaceRegister!E:E)</f>
        <v>Project - Project Interface</v>
      </c>
      <c r="AE27" t="str">
        <f>_xlfn.XLOOKUP($A27,InterfaceRegister!$A:$A,InterfaceRegister!F:F)</f>
        <v>Technical - Data/Software</v>
      </c>
      <c r="AF27" t="str">
        <f>_xlfn.XLOOKUP($A27,InterfaceRegister!$A:$A,InterfaceRegister!L:L)</f>
        <v>This interface provides the Pit Power Capacity Planning Tool - Capacity Check with up-to-date network topology and physical connectivity data from LiveWire, including cable routes, switch states, substation connectivity, and port/circuit capacity information. The tool uses this topology data to model the pit distribution network, identify capacity constraints, and validate network feasibility for planned loads. This interface is read-only and does not control LiveWire.</v>
      </c>
      <c r="AG27" t="str">
        <f>_xlfn.XLOOKUP($A27,InterfaceRegister!$A:$A,InterfaceRegister!M:M)</f>
        <v>HIGH</v>
      </c>
      <c r="AH27" t="str">
        <f>_xlfn.XLOOKUP($A27,InterfaceRegister!$A:$A,InterfaceRegister!O:O)</f>
        <v>LiveWire -&gt; Pit Power Capacity Planning Tool - Capacity Check</v>
      </c>
      <c r="AI27" t="str">
        <f>_xlfn.XLOOKUP($A27,InterfaceRegister!$A:$A,InterfaceRegister!N:N)</f>
        <v>The criticality is HIGH because accurate and current network topology and connectivity data is essential for correct capacity analysis. If topology data is missing or incorrect, the capacity check could produce unsafe or infeasible network assessments, leading to poor planning outcomes.</v>
      </c>
      <c r="AJ27" t="str">
        <f>_xlfn.XLOOKUP($A27,'EA-Fortescue_SDExport'!$A:$A,'EA-Fortescue_SDExport'!AX:AX)</f>
        <v>CSV1190E6D0</v>
      </c>
      <c r="AK27">
        <f>_xlfn.XLOOKUP($A27,'EA-Fortescue_SDExport'!$A:$A,'EA-Fortescue_SDExport'!AY:AY)</f>
        <v>0</v>
      </c>
    </row>
    <row r="28" spans="1:37" x14ac:dyDescent="0.25">
      <c r="A28" t="str">
        <v>DGS-I_0027</v>
      </c>
      <c r="B28" t="str">
        <f>_xlfn.XLOOKUP($A28,'EA-Fortescue_SDExport'!$A:$A,'EA-Fortescue_SDExport'!B:B)</f>
        <v>Class</v>
      </c>
      <c r="C28" t="str">
        <f>_xlfn.XLOOKUP($A28,'EA-Fortescue_SDExport'!$A:$A,'EA-Fortescue_SDExport'!C:C)</f>
        <v>{A35331E8-51DB-4d25-80EF-E46678AB0615}</v>
      </c>
      <c r="D28" t="str">
        <f>_xlfn.LET(_xlpm.result, _xlfn.XLOOKUP($A28, InterfaceRegister!$A:$A, InterfaceRegister!P:P), IF(_xlpm.result=0, "", _xlpm.result))</f>
        <v>NH 25/02/2026: Fields updated:Interface Type, Interface Flow</v>
      </c>
      <c r="E28">
        <f>_xlfn.XLOOKUP($A28,'EA-Fortescue_SDExport'!$A:$A,'EA-Fortescue_SDExport'!E:E)</f>
        <v>1</v>
      </c>
      <c r="F28">
        <f>_xlfn.XLOOKUP($A28,'EA-Fortescue_SDExport'!$A:$A,'EA-Fortescue_SDExport'!F:F)</f>
        <v>1</v>
      </c>
      <c r="G28">
        <f>_xlfn.XLOOKUP($A28,'EA-Fortescue_SDExport'!$A:$A,'EA-Fortescue_SDExport'!G:G)</f>
        <v>0</v>
      </c>
      <c r="H28" t="str">
        <f>_xlfn.XLOOKUP($A28,'EA-Fortescue_SDExport'!$A:$A,'EA-Fortescue_SDExport'!H:H)</f>
        <v>InterfaceBlock</v>
      </c>
      <c r="I28" t="str">
        <f>_xlfn.XLOOKUP($A28,'EA-Fortescue_SDExport'!$A:$A,'EA-Fortescue_SDExport'!I:I)</f>
        <v>SysML1.4::InterfaceBlock</v>
      </c>
      <c r="J28" t="str">
        <f>_xlfn.XLOOKUP($A28,'EA-Fortescue_SDExport'!$A:$A,'EA-Fortescue_SDExport'!J:J)</f>
        <v>Java</v>
      </c>
      <c r="K28" t="str">
        <f>_xlfn.XLOOKUP($A28,'EA-Fortescue_SDExport'!$A:$A,'EA-Fortescue_SDExport'!K:K)</f>
        <v>Admin</v>
      </c>
      <c r="L28" t="str">
        <f>_xlfn.XLOOKUP($A28,'EA-Fortescue_SDExport'!$A:$A,'EA-Fortescue_SDExport'!L:L)</f>
        <v>Public</v>
      </c>
      <c r="M28">
        <f>_xlfn.XLOOKUP($A28,'EA-Fortescue_SDExport'!$A:$A,'EA-Fortescue_SDExport'!M:M)</f>
        <v>0</v>
      </c>
      <c r="N28" t="str">
        <f>_xlfn.XLOOKUP($A28,InterfaceRegister!$A:$A,InterfaceRegister!K:K)</f>
        <v>Simplified Interface</v>
      </c>
      <c r="O28">
        <f>_xlfn.XLOOKUP($A28,'EA-Fortescue_SDExport'!$A:$A,'EA-Fortescue_SDExport'!O:O)</f>
        <v>1</v>
      </c>
      <c r="P28">
        <f>_xlfn.XLOOKUP($A28,'EA-Fortescue_SDExport'!$A:$A,'EA-Fortescue_SDExport'!P:P)</f>
        <v>0</v>
      </c>
      <c r="Q28">
        <f>_xlfn.XLOOKUP($A28,'EA-Fortescue_SDExport'!$A:$A,'EA-Fortescue_SDExport'!Q:Q)</f>
        <v>0</v>
      </c>
      <c r="R28">
        <f>_xlfn.XLOOKUP($A28,'EA-Fortescue_SDExport'!$A:$A,'EA-Fortescue_SDExport'!R:R)</f>
        <v>0</v>
      </c>
      <c r="S28">
        <f>_xlfn.XLOOKUP($A28,'EA-Fortescue_SDExport'!$A:$A,'EA-Fortescue_SDExport'!S:S)</f>
        <v>0</v>
      </c>
      <c r="T28">
        <f>_xlfn.XLOOKUP($A28,'EA-Fortescue_SDExport'!$A:$A,'EA-Fortescue_SDExport'!T:T)</f>
        <v>0</v>
      </c>
      <c r="U28">
        <f>_xlfn.XLOOKUP($A28,'EA-Fortescue_SDExport'!$A:$A,'EA-Fortescue_SDExport'!U:U)</f>
        <v>45944.622673611113</v>
      </c>
      <c r="V28">
        <f>_xlfn.XLOOKUP($A28,'EA-Fortescue_SDExport'!$A:$A,'EA-Fortescue_SDExport'!V:V)</f>
        <v>46077.993206018517</v>
      </c>
      <c r="W28">
        <f>_xlfn.XLOOKUP($A28,'EA-Fortescue_SDExport'!$A:$A,'EA-Fortescue_SDExport'!W:W)</f>
        <v>0</v>
      </c>
      <c r="X28">
        <f>_xlfn.XLOOKUP($A28,'EA-Fortescue_SDExport'!$A:$A,'EA-Fortescue_SDExport'!X:X)</f>
        <v>0</v>
      </c>
      <c r="Y28">
        <f>_xlfn.XLOOKUP($A28,'EA-Fortescue_SDExport'!$A:$A,'EA-Fortescue_SDExport'!Y:Y)</f>
        <v>0</v>
      </c>
      <c r="Z28" t="str">
        <f>_xlfn.XLOOKUP($A28,'EA-Fortescue_SDExport'!$A:$A,'EA-Fortescue_SDExport'!Z:Z)</f>
        <v>SysML1.4::InterfaceBlock</v>
      </c>
      <c r="AA28" t="str">
        <f>_xlfn.XLOOKUP($A28,InterfaceRegister!$A:$A,InterfaceRegister!B:B)</f>
        <v>855DC-1541-005 HaulAI|005OP-0000-004 Alastri</v>
      </c>
      <c r="AB28" t="str">
        <f>_xlfn.XLOOKUP($A28,InterfaceRegister!$A:$A,InterfaceRegister!C:C)</f>
        <v/>
      </c>
      <c r="AC28" t="str">
        <f>_xlfn.XLOOKUP($A28,InterfaceRegister!$A:$A,InterfaceRegister!D:D)</f>
        <v/>
      </c>
      <c r="AD28" t="str">
        <f>_xlfn.XLOOKUP($A28,InterfaceRegister!$A:$A,InterfaceRegister!E:E)</f>
        <v>Project - Project Interface</v>
      </c>
      <c r="AE28" t="str">
        <f>_xlfn.XLOOKUP($A28,InterfaceRegister!$A:$A,InterfaceRegister!F:F)</f>
        <v>Technical-Data/Software</v>
      </c>
      <c r="AF28" t="str">
        <f>_xlfn.XLOOKUP($A28,InterfaceRegister!$A:$A,InterfaceRegister!L:L)</f>
        <v>This interface enables HaulAI to receive planning, haulage, and production inputs from the broader Alastri suite so simulations reflect current mine plans and haulage requirements.</v>
      </c>
      <c r="AG28" t="str">
        <f>_xlfn.XLOOKUP($A28,InterfaceRegister!$A:$A,InterfaceRegister!M:M)</f>
        <v>MEDIUM</v>
      </c>
      <c r="AH28" t="str">
        <f>_xlfn.XLOOKUP($A28,InterfaceRegister!$A:$A,InterfaceRegister!O:O)</f>
        <v>Alastri -&gt; HaulAI</v>
      </c>
      <c r="AI28" t="str">
        <f>_xlfn.XLOOKUP($A28,InterfaceRegister!$A:$A,InterfaceRegister!N:N)</f>
        <v>The criticality level is MEDIUM because failure affects the accuracy of simulations, making scenario testing and planning optimisation less reliable. This impacts the quality of planning analysis but does not affect real-time haulage or production systems.</v>
      </c>
      <c r="AJ28" t="str">
        <f>_xlfn.XLOOKUP($A28,'EA-Fortescue_SDExport'!$A:$A,'EA-Fortescue_SDExport'!AX:AX)</f>
        <v>CSV5F78BC8D</v>
      </c>
      <c r="AK28">
        <f>_xlfn.XLOOKUP($A28,'EA-Fortescue_SDExport'!$A:$A,'EA-Fortescue_SDExport'!AY:AY)</f>
        <v>0</v>
      </c>
    </row>
    <row r="29" spans="1:37" x14ac:dyDescent="0.25">
      <c r="A29" t="str">
        <v>DGS-I_0028</v>
      </c>
      <c r="B29" t="str">
        <f>_xlfn.XLOOKUP($A29,'EA-Fortescue_SDExport'!$A:$A,'EA-Fortescue_SDExport'!B:B)</f>
        <v>Class</v>
      </c>
      <c r="C29" t="str">
        <f>_xlfn.XLOOKUP($A29,'EA-Fortescue_SDExport'!$A:$A,'EA-Fortescue_SDExport'!C:C)</f>
        <v>{0E91B0D8-A5F9-4a54-9277-9AA45F493838}</v>
      </c>
      <c r="D29" t="str">
        <f>_xlfn.LET(_xlpm.result, _xlfn.XLOOKUP($A29,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Duplicate of DGS-I_0218: 855DC-1541-PPC Pit Power Capacity Planning Tool - Design Optimisation|005OP-0000-004-002 Alastri Production Scheduler (APS) / Alastri Tactical Scheduler (ATS)</v>
      </c>
      <c r="E29">
        <f>_xlfn.XLOOKUP($A29,'EA-Fortescue_SDExport'!$A:$A,'EA-Fortescue_SDExport'!E:E)</f>
        <v>1</v>
      </c>
      <c r="F29">
        <f>_xlfn.XLOOKUP($A29,'EA-Fortescue_SDExport'!$A:$A,'EA-Fortescue_SDExport'!F:F)</f>
        <v>1</v>
      </c>
      <c r="G29">
        <f>_xlfn.XLOOKUP($A29,'EA-Fortescue_SDExport'!$A:$A,'EA-Fortescue_SDExport'!G:G)</f>
        <v>0</v>
      </c>
      <c r="H29" t="str">
        <f>_xlfn.XLOOKUP($A29,'EA-Fortescue_SDExport'!$A:$A,'EA-Fortescue_SDExport'!H:H)</f>
        <v>InterfaceBlock</v>
      </c>
      <c r="I29" t="str">
        <f>_xlfn.XLOOKUP($A29,'EA-Fortescue_SDExport'!$A:$A,'EA-Fortescue_SDExport'!I:I)</f>
        <v>SysML1.4::InterfaceBlock</v>
      </c>
      <c r="J29" t="str">
        <f>_xlfn.XLOOKUP($A29,'EA-Fortescue_SDExport'!$A:$A,'EA-Fortescue_SDExport'!J:J)</f>
        <v>Java</v>
      </c>
      <c r="K29" t="str">
        <f>_xlfn.XLOOKUP($A29,'EA-Fortescue_SDExport'!$A:$A,'EA-Fortescue_SDExport'!K:K)</f>
        <v>Admin</v>
      </c>
      <c r="L29" t="str">
        <f>_xlfn.XLOOKUP($A29,'EA-Fortescue_SDExport'!$A:$A,'EA-Fortescue_SDExport'!L:L)</f>
        <v>Public</v>
      </c>
      <c r="M29">
        <f>_xlfn.XLOOKUP($A29,'EA-Fortescue_SDExport'!$A:$A,'EA-Fortescue_SDExport'!M:M)</f>
        <v>0</v>
      </c>
      <c r="N29" t="str">
        <f>_xlfn.XLOOKUP($A29,InterfaceRegister!$A:$A,InterfaceRegister!K:K)</f>
        <v>Deleted</v>
      </c>
      <c r="O29">
        <f>_xlfn.XLOOKUP($A29,'EA-Fortescue_SDExport'!$A:$A,'EA-Fortescue_SDExport'!O:O)</f>
        <v>1</v>
      </c>
      <c r="P29">
        <f>_xlfn.XLOOKUP($A29,'EA-Fortescue_SDExport'!$A:$A,'EA-Fortescue_SDExport'!P:P)</f>
        <v>0</v>
      </c>
      <c r="Q29">
        <f>_xlfn.XLOOKUP($A29,'EA-Fortescue_SDExport'!$A:$A,'EA-Fortescue_SDExport'!Q:Q)</f>
        <v>0</v>
      </c>
      <c r="R29">
        <f>_xlfn.XLOOKUP($A29,'EA-Fortescue_SDExport'!$A:$A,'EA-Fortescue_SDExport'!R:R)</f>
        <v>0</v>
      </c>
      <c r="S29">
        <f>_xlfn.XLOOKUP($A29,'EA-Fortescue_SDExport'!$A:$A,'EA-Fortescue_SDExport'!S:S)</f>
        <v>0</v>
      </c>
      <c r="T29">
        <f>_xlfn.XLOOKUP($A29,'EA-Fortescue_SDExport'!$A:$A,'EA-Fortescue_SDExport'!T:T)</f>
        <v>0</v>
      </c>
      <c r="U29">
        <f>_xlfn.XLOOKUP($A29,'EA-Fortescue_SDExport'!$A:$A,'EA-Fortescue_SDExport'!U:U)</f>
        <v>45944.622696759259</v>
      </c>
      <c r="V29">
        <f>_xlfn.XLOOKUP($A29,'EA-Fortescue_SDExport'!$A:$A,'EA-Fortescue_SDExport'!V:V)</f>
        <v>46071.945763888885</v>
      </c>
      <c r="W29">
        <f>_xlfn.XLOOKUP($A29,'EA-Fortescue_SDExport'!$A:$A,'EA-Fortescue_SDExport'!W:W)</f>
        <v>0</v>
      </c>
      <c r="X29">
        <f>_xlfn.XLOOKUP($A29,'EA-Fortescue_SDExport'!$A:$A,'EA-Fortescue_SDExport'!X:X)</f>
        <v>0</v>
      </c>
      <c r="Y29">
        <f>_xlfn.XLOOKUP($A29,'EA-Fortescue_SDExport'!$A:$A,'EA-Fortescue_SDExport'!Y:Y)</f>
        <v>0</v>
      </c>
      <c r="Z29" t="str">
        <f>_xlfn.XLOOKUP($A29,'EA-Fortescue_SDExport'!$A:$A,'EA-Fortescue_SDExport'!Z:Z)</f>
        <v>SysML1.4::InterfaceBlock</v>
      </c>
      <c r="AA29" t="str">
        <f>_xlfn.XLOOKUP($A29,InterfaceRegister!$A:$A,InterfaceRegister!B:B)</f>
        <v>855DC-1541-PPC Pit Power Capacity Planning Tool - Design Optimisation|005OP-0000-004 Alastri</v>
      </c>
      <c r="AB29" t="str">
        <f>_xlfn.XLOOKUP($A29,InterfaceRegister!$A:$A,InterfaceRegister!C:C)</f>
        <v/>
      </c>
      <c r="AC29" t="str">
        <f>_xlfn.XLOOKUP($A29,InterfaceRegister!$A:$A,InterfaceRegister!D:D)</f>
        <v/>
      </c>
      <c r="AD29" t="str">
        <f>_xlfn.XLOOKUP($A29,InterfaceRegister!$A:$A,InterfaceRegister!E:E)</f>
        <v>Project - Project Interface</v>
      </c>
      <c r="AE29" t="str">
        <f>_xlfn.XLOOKUP($A29,InterfaceRegister!$A:$A,InterfaceRegister!F:F)</f>
        <v>Technical-Data/Software</v>
      </c>
      <c r="AF29" t="str">
        <f>_xlfn.XLOOKUP($A29,InterfaceRegister!$A:$A,InterfaceRegister!L:L)</f>
        <v/>
      </c>
      <c r="AG29" t="str">
        <f>_xlfn.XLOOKUP($A29,InterfaceRegister!$A:$A,InterfaceRegister!M:M)</f>
        <v/>
      </c>
      <c r="AH29" t="str">
        <f>_xlfn.XLOOKUP($A29,InterfaceRegister!$A:$A,InterfaceRegister!O:O)</f>
        <v/>
      </c>
      <c r="AI29" t="str">
        <f>_xlfn.XLOOKUP($A29,InterfaceRegister!$A:$A,InterfaceRegister!N:N)</f>
        <v/>
      </c>
      <c r="AJ29" t="str">
        <f>_xlfn.XLOOKUP($A29,'EA-Fortescue_SDExport'!$A:$A,'EA-Fortescue_SDExport'!AX:AX)</f>
        <v>CSV6528AE79</v>
      </c>
      <c r="AK29">
        <f>_xlfn.XLOOKUP($A29,'EA-Fortescue_SDExport'!$A:$A,'EA-Fortescue_SDExport'!AY:AY)</f>
        <v>0</v>
      </c>
    </row>
    <row r="30" spans="1:37" x14ac:dyDescent="0.25">
      <c r="A30" t="str">
        <v>DGS-I_0029</v>
      </c>
      <c r="B30" t="str">
        <f>_xlfn.XLOOKUP($A30,'EA-Fortescue_SDExport'!$A:$A,'EA-Fortescue_SDExport'!B:B)</f>
        <v>Class</v>
      </c>
      <c r="C30" t="str">
        <f>_xlfn.XLOOKUP($A30,'EA-Fortescue_SDExport'!$A:$A,'EA-Fortescue_SDExport'!C:C)</f>
        <v>{A4238E3F-995E-4985-A653-35EBFE17EFBB}</v>
      </c>
      <c r="D30" t="str">
        <f>_xlfn.LET(_xlpm.result, _xlfn.XLOOKUP($A30,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 Interface covered by DGS-I_0123 &amp;amp; DGS-I_0124.</v>
      </c>
      <c r="E30">
        <f>_xlfn.XLOOKUP($A30,'EA-Fortescue_SDExport'!$A:$A,'EA-Fortescue_SDExport'!E:E)</f>
        <v>1</v>
      </c>
      <c r="F30">
        <f>_xlfn.XLOOKUP($A30,'EA-Fortescue_SDExport'!$A:$A,'EA-Fortescue_SDExport'!F:F)</f>
        <v>1</v>
      </c>
      <c r="G30">
        <f>_xlfn.XLOOKUP($A30,'EA-Fortescue_SDExport'!$A:$A,'EA-Fortescue_SDExport'!G:G)</f>
        <v>0</v>
      </c>
      <c r="H30" t="str">
        <f>_xlfn.XLOOKUP($A30,'EA-Fortescue_SDExport'!$A:$A,'EA-Fortescue_SDExport'!H:H)</f>
        <v>InterfaceBlock</v>
      </c>
      <c r="I30" t="str">
        <f>_xlfn.XLOOKUP($A30,'EA-Fortescue_SDExport'!$A:$A,'EA-Fortescue_SDExport'!I:I)</f>
        <v>SysML1.4::InterfaceBlock</v>
      </c>
      <c r="J30" t="str">
        <f>_xlfn.XLOOKUP($A30,'EA-Fortescue_SDExport'!$A:$A,'EA-Fortescue_SDExport'!J:J)</f>
        <v>Java</v>
      </c>
      <c r="K30" t="str">
        <f>_xlfn.XLOOKUP($A30,'EA-Fortescue_SDExport'!$A:$A,'EA-Fortescue_SDExport'!K:K)</f>
        <v>Admin</v>
      </c>
      <c r="L30" t="str">
        <f>_xlfn.XLOOKUP($A30,'EA-Fortescue_SDExport'!$A:$A,'EA-Fortescue_SDExport'!L:L)</f>
        <v>Public</v>
      </c>
      <c r="M30">
        <f>_xlfn.XLOOKUP($A30,'EA-Fortescue_SDExport'!$A:$A,'EA-Fortescue_SDExport'!M:M)</f>
        <v>0</v>
      </c>
      <c r="N30" t="str">
        <f>_xlfn.XLOOKUP($A30,InterfaceRegister!$A:$A,InterfaceRegister!K:K)</f>
        <v>Deleted</v>
      </c>
      <c r="O30">
        <f>_xlfn.XLOOKUP($A30,'EA-Fortescue_SDExport'!$A:$A,'EA-Fortescue_SDExport'!O:O)</f>
        <v>1</v>
      </c>
      <c r="P30">
        <f>_xlfn.XLOOKUP($A30,'EA-Fortescue_SDExport'!$A:$A,'EA-Fortescue_SDExport'!P:P)</f>
        <v>0</v>
      </c>
      <c r="Q30">
        <f>_xlfn.XLOOKUP($A30,'EA-Fortescue_SDExport'!$A:$A,'EA-Fortescue_SDExport'!Q:Q)</f>
        <v>0</v>
      </c>
      <c r="R30">
        <f>_xlfn.XLOOKUP($A30,'EA-Fortescue_SDExport'!$A:$A,'EA-Fortescue_SDExport'!R:R)</f>
        <v>0</v>
      </c>
      <c r="S30">
        <f>_xlfn.XLOOKUP($A30,'EA-Fortescue_SDExport'!$A:$A,'EA-Fortescue_SDExport'!S:S)</f>
        <v>0</v>
      </c>
      <c r="T30">
        <f>_xlfn.XLOOKUP($A30,'EA-Fortescue_SDExport'!$A:$A,'EA-Fortescue_SDExport'!T:T)</f>
        <v>0</v>
      </c>
      <c r="U30">
        <f>_xlfn.XLOOKUP($A30,'EA-Fortescue_SDExport'!$A:$A,'EA-Fortescue_SDExport'!U:U)</f>
        <v>45944.622719907406</v>
      </c>
      <c r="V30">
        <f>_xlfn.XLOOKUP($A30,'EA-Fortescue_SDExport'!$A:$A,'EA-Fortescue_SDExport'!V:V)</f>
        <v>46050.675393518519</v>
      </c>
      <c r="W30">
        <f>_xlfn.XLOOKUP($A30,'EA-Fortescue_SDExport'!$A:$A,'EA-Fortescue_SDExport'!W:W)</f>
        <v>0</v>
      </c>
      <c r="X30">
        <f>_xlfn.XLOOKUP($A30,'EA-Fortescue_SDExport'!$A:$A,'EA-Fortescue_SDExport'!X:X)</f>
        <v>0</v>
      </c>
      <c r="Y30">
        <f>_xlfn.XLOOKUP($A30,'EA-Fortescue_SDExport'!$A:$A,'EA-Fortescue_SDExport'!Y:Y)</f>
        <v>0</v>
      </c>
      <c r="Z30" t="str">
        <f>_xlfn.XLOOKUP($A30,'EA-Fortescue_SDExport'!$A:$A,'EA-Fortescue_SDExport'!Z:Z)</f>
        <v>SysML1.4::InterfaceBlock</v>
      </c>
      <c r="AA30" t="str">
        <f>_xlfn.XLOOKUP($A30,InterfaceRegister!$A:$A,InterfaceRegister!B:B)</f>
        <v>855DC-1543-PPC Pit Power Capacity Planning Tool - Capacity Check|005OP-0000-004 Alastri</v>
      </c>
      <c r="AB30" t="str">
        <f>_xlfn.XLOOKUP($A30,InterfaceRegister!$A:$A,InterfaceRegister!C:C)</f>
        <v/>
      </c>
      <c r="AC30" t="str">
        <f>_xlfn.XLOOKUP($A30,InterfaceRegister!$A:$A,InterfaceRegister!D:D)</f>
        <v/>
      </c>
      <c r="AD30" t="str">
        <f>_xlfn.XLOOKUP($A30,InterfaceRegister!$A:$A,InterfaceRegister!E:E)</f>
        <v>Project - Project Interface</v>
      </c>
      <c r="AE30" t="str">
        <f>_xlfn.XLOOKUP($A30,InterfaceRegister!$A:$A,InterfaceRegister!F:F)</f>
        <v/>
      </c>
      <c r="AF30" t="str">
        <f>_xlfn.XLOOKUP($A30,InterfaceRegister!$A:$A,InterfaceRegister!L:L)</f>
        <v/>
      </c>
      <c r="AG30" t="str">
        <f>_xlfn.XLOOKUP($A30,InterfaceRegister!$A:$A,InterfaceRegister!M:M)</f>
        <v/>
      </c>
      <c r="AH30" t="str">
        <f>_xlfn.XLOOKUP($A30,InterfaceRegister!$A:$A,InterfaceRegister!O:O)</f>
        <v/>
      </c>
      <c r="AI30" t="str">
        <f>_xlfn.XLOOKUP($A30,InterfaceRegister!$A:$A,InterfaceRegister!N:N)</f>
        <v/>
      </c>
      <c r="AJ30" t="str">
        <f>_xlfn.XLOOKUP($A30,'EA-Fortescue_SDExport'!$A:$A,'EA-Fortescue_SDExport'!AX:AX)</f>
        <v>CSV5BADEA30</v>
      </c>
      <c r="AK30">
        <f>_xlfn.XLOOKUP($A30,'EA-Fortescue_SDExport'!$A:$A,'EA-Fortescue_SDExport'!AY:AY)</f>
        <v>0</v>
      </c>
    </row>
    <row r="31" spans="1:37" x14ac:dyDescent="0.25">
      <c r="A31" t="str">
        <v>DGS-I_0030</v>
      </c>
      <c r="B31" t="str">
        <f>_xlfn.XLOOKUP($A31,'EA-Fortescue_SDExport'!$A:$A,'EA-Fortescue_SDExport'!B:B)</f>
        <v>Class</v>
      </c>
      <c r="C31" t="str">
        <f>_xlfn.XLOOKUP($A31,'EA-Fortescue_SDExport'!$A:$A,'EA-Fortescue_SDExport'!C:C)</f>
        <v>{078D54EC-FB8A-43c9-A5BF-8ACCD89BF964}</v>
      </c>
      <c r="D31" t="str">
        <f>_xlfn.LET(_xlpm.result, _xlfn.XLOOKUP($A31, InterfaceRegister!$A:$A, InterfaceRegister!P:P), IF(_xlpm.result=0, "", _xlpm.result))</f>
        <v>NH 25/02/2026: Fields updated:Interface Type, Interface Flow</v>
      </c>
      <c r="E31">
        <f>_xlfn.XLOOKUP($A31,'EA-Fortescue_SDExport'!$A:$A,'EA-Fortescue_SDExport'!E:E)</f>
        <v>1</v>
      </c>
      <c r="F31">
        <f>_xlfn.XLOOKUP($A31,'EA-Fortescue_SDExport'!$A:$A,'EA-Fortescue_SDExport'!F:F)</f>
        <v>1</v>
      </c>
      <c r="G31">
        <f>_xlfn.XLOOKUP($A31,'EA-Fortescue_SDExport'!$A:$A,'EA-Fortescue_SDExport'!G:G)</f>
        <v>0</v>
      </c>
      <c r="H31" t="str">
        <f>_xlfn.XLOOKUP($A31,'EA-Fortescue_SDExport'!$A:$A,'EA-Fortescue_SDExport'!H:H)</f>
        <v>InterfaceBlock</v>
      </c>
      <c r="I31" t="str">
        <f>_xlfn.XLOOKUP($A31,'EA-Fortescue_SDExport'!$A:$A,'EA-Fortescue_SDExport'!I:I)</f>
        <v>SysML1.4::InterfaceBlock</v>
      </c>
      <c r="J31" t="str">
        <f>_xlfn.XLOOKUP($A31,'EA-Fortescue_SDExport'!$A:$A,'EA-Fortescue_SDExport'!J:J)</f>
        <v>Java</v>
      </c>
      <c r="K31" t="str">
        <f>_xlfn.XLOOKUP($A31,'EA-Fortescue_SDExport'!$A:$A,'EA-Fortescue_SDExport'!K:K)</f>
        <v>Admin</v>
      </c>
      <c r="L31" t="str">
        <f>_xlfn.XLOOKUP($A31,'EA-Fortescue_SDExport'!$A:$A,'EA-Fortescue_SDExport'!L:L)</f>
        <v>Public</v>
      </c>
      <c r="M31">
        <f>_xlfn.XLOOKUP($A31,'EA-Fortescue_SDExport'!$A:$A,'EA-Fortescue_SDExport'!M:M)</f>
        <v>0</v>
      </c>
      <c r="N31" t="str">
        <f>_xlfn.XLOOKUP($A31,InterfaceRegister!$A:$A,InterfaceRegister!K:K)</f>
        <v>Simplified Interface</v>
      </c>
      <c r="O31">
        <f>_xlfn.XLOOKUP($A31,'EA-Fortescue_SDExport'!$A:$A,'EA-Fortescue_SDExport'!O:O)</f>
        <v>1</v>
      </c>
      <c r="P31">
        <f>_xlfn.XLOOKUP($A31,'EA-Fortescue_SDExport'!$A:$A,'EA-Fortescue_SDExport'!P:P)</f>
        <v>0</v>
      </c>
      <c r="Q31">
        <f>_xlfn.XLOOKUP($A31,'EA-Fortescue_SDExport'!$A:$A,'EA-Fortescue_SDExport'!Q:Q)</f>
        <v>0</v>
      </c>
      <c r="R31">
        <f>_xlfn.XLOOKUP($A31,'EA-Fortescue_SDExport'!$A:$A,'EA-Fortescue_SDExport'!R:R)</f>
        <v>0</v>
      </c>
      <c r="S31">
        <f>_xlfn.XLOOKUP($A31,'EA-Fortescue_SDExport'!$A:$A,'EA-Fortescue_SDExport'!S:S)</f>
        <v>0</v>
      </c>
      <c r="T31">
        <f>_xlfn.XLOOKUP($A31,'EA-Fortescue_SDExport'!$A:$A,'EA-Fortescue_SDExport'!T:T)</f>
        <v>0</v>
      </c>
      <c r="U31">
        <f>_xlfn.XLOOKUP($A31,'EA-Fortescue_SDExport'!$A:$A,'EA-Fortescue_SDExport'!U:U)</f>
        <v>45944.622731481482</v>
      </c>
      <c r="V31">
        <f>_xlfn.XLOOKUP($A31,'EA-Fortescue_SDExport'!$A:$A,'EA-Fortescue_SDExport'!V:V)</f>
        <v>46077.99322916667</v>
      </c>
      <c r="W31">
        <f>_xlfn.XLOOKUP($A31,'EA-Fortescue_SDExport'!$A:$A,'EA-Fortescue_SDExport'!W:W)</f>
        <v>0</v>
      </c>
      <c r="X31">
        <f>_xlfn.XLOOKUP($A31,'EA-Fortescue_SDExport'!$A:$A,'EA-Fortescue_SDExport'!X:X)</f>
        <v>0</v>
      </c>
      <c r="Y31">
        <f>_xlfn.XLOOKUP($A31,'EA-Fortescue_SDExport'!$A:$A,'EA-Fortescue_SDExport'!Y:Y)</f>
        <v>0</v>
      </c>
      <c r="Z31" t="str">
        <f>_xlfn.XLOOKUP($A31,'EA-Fortescue_SDExport'!$A:$A,'EA-Fortescue_SDExport'!Z:Z)</f>
        <v>SysML1.4::InterfaceBlock</v>
      </c>
      <c r="AA31" t="str">
        <f>_xlfn.XLOOKUP($A31,InterfaceRegister!$A:$A,InterfaceRegister!B:B)</f>
        <v>855DC-1541-005 HaulAI|859DC-1410-001 HaulX</v>
      </c>
      <c r="AB31" t="str">
        <f>_xlfn.XLOOKUP($A31,InterfaceRegister!$A:$A,InterfaceRegister!C:C)</f>
        <v/>
      </c>
      <c r="AC31" t="str">
        <f>_xlfn.XLOOKUP($A31,InterfaceRegister!$A:$A,InterfaceRegister!D:D)</f>
        <v/>
      </c>
      <c r="AD31" t="str">
        <f>_xlfn.XLOOKUP($A31,InterfaceRegister!$A:$A,InterfaceRegister!E:E)</f>
        <v>Project - Project Interface</v>
      </c>
      <c r="AE31" t="str">
        <f>_xlfn.XLOOKUP($A31,InterfaceRegister!$A:$A,InterfaceRegister!F:F)</f>
        <v>Technical-Data/Software</v>
      </c>
      <c r="AF31" t="str">
        <f>_xlfn.XLOOKUP($A31,InterfaceRegister!$A:$A,InterfaceRegister!L:L)</f>
        <v>The purpose of this interface is to allow HaulAI to supply HaulX with simulated fleet behaviour, predicted cycle times, or haulage performance insights to support planning and optimisation.</v>
      </c>
      <c r="AG31" t="str">
        <f>_xlfn.XLOOKUP($A31,InterfaceRegister!$A:$A,InterfaceRegister!M:M)</f>
        <v>LOW</v>
      </c>
      <c r="AH31" t="str">
        <f>_xlfn.XLOOKUP($A31,InterfaceRegister!$A:$A,InterfaceRegister!O:O)</f>
        <v>HaulAI -&gt; HaulX</v>
      </c>
      <c r="AI31" t="str">
        <f>_xlfn.XLOOKUP($A31,InterfaceRegister!$A:$A,InterfaceRegister!N:N)</f>
        <v>The criticality level is LOW because HaulAI does not control real-time operations, and HaulX continues working even if simulation data is missing. This interface supports decision-making but does not impact production continuity or safety.</v>
      </c>
      <c r="AJ31" t="str">
        <f>_xlfn.XLOOKUP($A31,'EA-Fortescue_SDExport'!$A:$A,'EA-Fortescue_SDExport'!AX:AX)</f>
        <v>CSV9AE1C7C3</v>
      </c>
      <c r="AK31">
        <f>_xlfn.XLOOKUP($A31,'EA-Fortescue_SDExport'!$A:$A,'EA-Fortescue_SDExport'!AY:AY)</f>
        <v>0</v>
      </c>
    </row>
    <row r="32" spans="1:37" x14ac:dyDescent="0.25">
      <c r="A32" t="str">
        <v>DGS-I_0031</v>
      </c>
      <c r="B32" t="str">
        <f>_xlfn.XLOOKUP($A32,'EA-Fortescue_SDExport'!$A:$A,'EA-Fortescue_SDExport'!B:B)</f>
        <v>Class</v>
      </c>
      <c r="C32" t="str">
        <f>_xlfn.XLOOKUP($A32,'EA-Fortescue_SDExport'!$A:$A,'EA-Fortescue_SDExport'!C:C)</f>
        <v>{8FE6E14F-ADF7-4e7e-AF99-CB500C86BCCD}</v>
      </c>
      <c r="D32" t="str">
        <f>_xlfn.LET(_xlpm.result, _xlfn.XLOOKUP($A32, InterfaceRegister!$A:$A, InterfaceRegister!P:P), IF(_xlpm.result=0, "", _xlpm.result))</f>
        <v/>
      </c>
      <c r="E32">
        <f>_xlfn.XLOOKUP($A32,'EA-Fortescue_SDExport'!$A:$A,'EA-Fortescue_SDExport'!E:E)</f>
        <v>1</v>
      </c>
      <c r="F32">
        <f>_xlfn.XLOOKUP($A32,'EA-Fortescue_SDExport'!$A:$A,'EA-Fortescue_SDExport'!F:F)</f>
        <v>1</v>
      </c>
      <c r="G32">
        <f>_xlfn.XLOOKUP($A32,'EA-Fortescue_SDExport'!$A:$A,'EA-Fortescue_SDExport'!G:G)</f>
        <v>0</v>
      </c>
      <c r="H32" t="str">
        <f>_xlfn.XLOOKUP($A32,'EA-Fortescue_SDExport'!$A:$A,'EA-Fortescue_SDExport'!H:H)</f>
        <v>InterfaceBlock</v>
      </c>
      <c r="I32" t="str">
        <f>_xlfn.XLOOKUP($A32,'EA-Fortescue_SDExport'!$A:$A,'EA-Fortescue_SDExport'!I:I)</f>
        <v>SysML1.4::InterfaceBlock</v>
      </c>
      <c r="J32" t="str">
        <f>_xlfn.XLOOKUP($A32,'EA-Fortescue_SDExport'!$A:$A,'EA-Fortescue_SDExport'!J:J)</f>
        <v>Java</v>
      </c>
      <c r="K32" t="str">
        <f>_xlfn.XLOOKUP($A32,'EA-Fortescue_SDExport'!$A:$A,'EA-Fortescue_SDExport'!K:K)</f>
        <v>Admin</v>
      </c>
      <c r="L32" t="str">
        <f>_xlfn.XLOOKUP($A32,'EA-Fortescue_SDExport'!$A:$A,'EA-Fortescue_SDExport'!L:L)</f>
        <v>Public</v>
      </c>
      <c r="M32">
        <f>_xlfn.XLOOKUP($A32,'EA-Fortescue_SDExport'!$A:$A,'EA-Fortescue_SDExport'!M:M)</f>
        <v>0</v>
      </c>
      <c r="N32" t="str">
        <f>_xlfn.XLOOKUP($A32,InterfaceRegister!$A:$A,InterfaceRegister!K:K)</f>
        <v>Simplified Interface</v>
      </c>
      <c r="O32">
        <f>_xlfn.XLOOKUP($A32,'EA-Fortescue_SDExport'!$A:$A,'EA-Fortescue_SDExport'!O:O)</f>
        <v>1</v>
      </c>
      <c r="P32">
        <f>_xlfn.XLOOKUP($A32,'EA-Fortescue_SDExport'!$A:$A,'EA-Fortescue_SDExport'!P:P)</f>
        <v>0</v>
      </c>
      <c r="Q32">
        <f>_xlfn.XLOOKUP($A32,'EA-Fortescue_SDExport'!$A:$A,'EA-Fortescue_SDExport'!Q:Q)</f>
        <v>0</v>
      </c>
      <c r="R32">
        <f>_xlfn.XLOOKUP($A32,'EA-Fortescue_SDExport'!$A:$A,'EA-Fortescue_SDExport'!R:R)</f>
        <v>0</v>
      </c>
      <c r="S32">
        <f>_xlfn.XLOOKUP($A32,'EA-Fortescue_SDExport'!$A:$A,'EA-Fortescue_SDExport'!S:S)</f>
        <v>0</v>
      </c>
      <c r="T32">
        <f>_xlfn.XLOOKUP($A32,'EA-Fortescue_SDExport'!$A:$A,'EA-Fortescue_SDExport'!T:T)</f>
        <v>0</v>
      </c>
      <c r="U32">
        <f>_xlfn.XLOOKUP($A32,'EA-Fortescue_SDExport'!$A:$A,'EA-Fortescue_SDExport'!U:U)</f>
        <v>45944.622789351852</v>
      </c>
      <c r="V32">
        <f>_xlfn.XLOOKUP($A32,'EA-Fortescue_SDExport'!$A:$A,'EA-Fortescue_SDExport'!V:V)</f>
        <v>46002.067569444444</v>
      </c>
      <c r="W32">
        <f>_xlfn.XLOOKUP($A32,'EA-Fortescue_SDExport'!$A:$A,'EA-Fortescue_SDExport'!W:W)</f>
        <v>0</v>
      </c>
      <c r="X32">
        <f>_xlfn.XLOOKUP($A32,'EA-Fortescue_SDExport'!$A:$A,'EA-Fortescue_SDExport'!X:X)</f>
        <v>0</v>
      </c>
      <c r="Y32">
        <f>_xlfn.XLOOKUP($A32,'EA-Fortescue_SDExport'!$A:$A,'EA-Fortescue_SDExport'!Y:Y)</f>
        <v>0</v>
      </c>
      <c r="Z32" t="str">
        <f>_xlfn.XLOOKUP($A32,'EA-Fortescue_SDExport'!$A:$A,'EA-Fortescue_SDExport'!Z:Z)</f>
        <v>SysML1.4::InterfaceBlock</v>
      </c>
      <c r="AA32" t="str">
        <f>_xlfn.XLOOKUP($A32,InterfaceRegister!$A:$A,InterfaceRegister!B:B)</f>
        <v>859DC-1410-001 HaulX|005OP-0000-004 Alastri</v>
      </c>
      <c r="AB32" t="str">
        <f>_xlfn.XLOOKUP($A32,InterfaceRegister!$A:$A,InterfaceRegister!C:C)</f>
        <v/>
      </c>
      <c r="AC32" t="str">
        <f>_xlfn.XLOOKUP($A32,InterfaceRegister!$A:$A,InterfaceRegister!D:D)</f>
        <v/>
      </c>
      <c r="AD32" t="str">
        <f>_xlfn.XLOOKUP($A32,InterfaceRegister!$A:$A,InterfaceRegister!E:E)</f>
        <v>Project - Project Interface</v>
      </c>
      <c r="AE32" t="str">
        <f>_xlfn.XLOOKUP($A32,InterfaceRegister!$A:$A,InterfaceRegister!F:F)</f>
        <v/>
      </c>
      <c r="AF32" t="str">
        <f>_xlfn.XLOOKUP($A32,InterfaceRegister!$A:$A,InterfaceRegister!L:L)</f>
        <v>This interface links HaulX with the Alastri planning tools to ensure autonomous and manual haulage operations align with current mine designs, tactical schedules, and short-term plan changes.</v>
      </c>
      <c r="AG32" t="str">
        <f>_xlfn.XLOOKUP($A32,InterfaceRegister!$A:$A,InterfaceRegister!M:M)</f>
        <v>MEDIUM</v>
      </c>
      <c r="AH32" t="str">
        <f>_xlfn.XLOOKUP($A32,InterfaceRegister!$A:$A,InterfaceRegister!O:O)</f>
        <v/>
      </c>
      <c r="AI32" t="str">
        <f>_xlfn.XLOOKUP($A32,InterfaceRegister!$A:$A,InterfaceRegister!N:N)</f>
        <v>The criticality level is MEDIUM because failure means operations may become inefficient or misaligned with priorities. An outage reduces optimisation and planning alignment, but does not stop haulage or compromise safety.</v>
      </c>
      <c r="AJ32" t="str">
        <f>_xlfn.XLOOKUP($A32,'EA-Fortescue_SDExport'!$A:$A,'EA-Fortescue_SDExport'!AX:AX)</f>
        <v>CSV95F29CC7</v>
      </c>
      <c r="AK32">
        <f>_xlfn.XLOOKUP($A32,'EA-Fortescue_SDExport'!$A:$A,'EA-Fortescue_SDExport'!AY:AY)</f>
        <v>0</v>
      </c>
    </row>
    <row r="33" spans="1:37" x14ac:dyDescent="0.25">
      <c r="A33" t="str">
        <v>DGS-I_0032</v>
      </c>
      <c r="B33" t="str">
        <f>_xlfn.XLOOKUP($A33,'EA-Fortescue_SDExport'!$A:$A,'EA-Fortescue_SDExport'!B:B)</f>
        <v>Class</v>
      </c>
      <c r="C33" t="str">
        <f>_xlfn.XLOOKUP($A33,'EA-Fortescue_SDExport'!$A:$A,'EA-Fortescue_SDExport'!C:C)</f>
        <v>{80E70FE0-4D75-46e7-8AA6-88FD189C7CF9}</v>
      </c>
      <c r="D33" t="str">
        <f>_xlfn.LET(_xlpm.result, _xlfn.XLOOKUP($A33, InterfaceRegister!$A:$A, InterfaceRegister!P:P), IF(_xlpm.result=0, "", _xlpm.result))</f>
        <v>CSMS Review 30/10/2025: Integration between vCharm edges and Monarch AGC is still being looked at. ICD? adjustment of setpoints. May go via GMS PLC, or may go directly from AGC to CSMS via API. Potential owner Energy Ops._x000D_
_x000D_
Interface Review 08/12/2025: Delete, CSMS integrates to LMS.</v>
      </c>
      <c r="E33">
        <f>_xlfn.XLOOKUP($A33,'EA-Fortescue_SDExport'!$A:$A,'EA-Fortescue_SDExport'!E:E)</f>
        <v>1</v>
      </c>
      <c r="F33">
        <f>_xlfn.XLOOKUP($A33,'EA-Fortescue_SDExport'!$A:$A,'EA-Fortescue_SDExport'!F:F)</f>
        <v>1</v>
      </c>
      <c r="G33">
        <f>_xlfn.XLOOKUP($A33,'EA-Fortescue_SDExport'!$A:$A,'EA-Fortescue_SDExport'!G:G)</f>
        <v>0</v>
      </c>
      <c r="H33" t="str">
        <f>_xlfn.XLOOKUP($A33,'EA-Fortescue_SDExport'!$A:$A,'EA-Fortescue_SDExport'!H:H)</f>
        <v>InterfaceBlock</v>
      </c>
      <c r="I33" t="str">
        <f>_xlfn.XLOOKUP($A33,'EA-Fortescue_SDExport'!$A:$A,'EA-Fortescue_SDExport'!I:I)</f>
        <v>SysML1.4::InterfaceBlock</v>
      </c>
      <c r="J33" t="str">
        <f>_xlfn.XLOOKUP($A33,'EA-Fortescue_SDExport'!$A:$A,'EA-Fortescue_SDExport'!J:J)</f>
        <v>Java</v>
      </c>
      <c r="K33" t="str">
        <f>_xlfn.XLOOKUP($A33,'EA-Fortescue_SDExport'!$A:$A,'EA-Fortescue_SDExport'!K:K)</f>
        <v>Admin</v>
      </c>
      <c r="L33" t="str">
        <f>_xlfn.XLOOKUP($A33,'EA-Fortescue_SDExport'!$A:$A,'EA-Fortescue_SDExport'!L:L)</f>
        <v>Public</v>
      </c>
      <c r="M33">
        <f>_xlfn.XLOOKUP($A33,'EA-Fortescue_SDExport'!$A:$A,'EA-Fortescue_SDExport'!M:M)</f>
        <v>0</v>
      </c>
      <c r="N33" t="str">
        <f>_xlfn.XLOOKUP($A33,InterfaceRegister!$A:$A,InterfaceRegister!K:K)</f>
        <v>Deleted</v>
      </c>
      <c r="O33">
        <f>_xlfn.XLOOKUP($A33,'EA-Fortescue_SDExport'!$A:$A,'EA-Fortescue_SDExport'!O:O)</f>
        <v>1</v>
      </c>
      <c r="P33">
        <f>_xlfn.XLOOKUP($A33,'EA-Fortescue_SDExport'!$A:$A,'EA-Fortescue_SDExport'!P:P)</f>
        <v>0</v>
      </c>
      <c r="Q33">
        <f>_xlfn.XLOOKUP($A33,'EA-Fortescue_SDExport'!$A:$A,'EA-Fortescue_SDExport'!Q:Q)</f>
        <v>0</v>
      </c>
      <c r="R33">
        <f>_xlfn.XLOOKUP($A33,'EA-Fortescue_SDExport'!$A:$A,'EA-Fortescue_SDExport'!R:R)</f>
        <v>0</v>
      </c>
      <c r="S33">
        <f>_xlfn.XLOOKUP($A33,'EA-Fortescue_SDExport'!$A:$A,'EA-Fortescue_SDExport'!S:S)</f>
        <v>0</v>
      </c>
      <c r="T33">
        <f>_xlfn.XLOOKUP($A33,'EA-Fortescue_SDExport'!$A:$A,'EA-Fortescue_SDExport'!T:T)</f>
        <v>0</v>
      </c>
      <c r="U33">
        <f>_xlfn.XLOOKUP($A33,'EA-Fortescue_SDExport'!$A:$A,'EA-Fortescue_SDExport'!U:U)</f>
        <v>45944.622800925928</v>
      </c>
      <c r="V33">
        <f>_xlfn.XLOOKUP($A33,'EA-Fortescue_SDExport'!$A:$A,'EA-Fortescue_SDExport'!V:V)</f>
        <v>46002.06759259259</v>
      </c>
      <c r="W33">
        <f>_xlfn.XLOOKUP($A33,'EA-Fortescue_SDExport'!$A:$A,'EA-Fortescue_SDExport'!W:W)</f>
        <v>0</v>
      </c>
      <c r="X33">
        <f>_xlfn.XLOOKUP($A33,'EA-Fortescue_SDExport'!$A:$A,'EA-Fortescue_SDExport'!X:X)</f>
        <v>0</v>
      </c>
      <c r="Y33">
        <f>_xlfn.XLOOKUP($A33,'EA-Fortescue_SDExport'!$A:$A,'EA-Fortescue_SDExport'!Y:Y)</f>
        <v>0</v>
      </c>
      <c r="Z33" t="str">
        <f>_xlfn.XLOOKUP($A33,'EA-Fortescue_SDExport'!$A:$A,'EA-Fortescue_SDExport'!Z:Z)</f>
        <v>SysML1.4::InterfaceBlock</v>
      </c>
      <c r="AA33" t="str">
        <f>_xlfn.XLOOKUP($A33,InterfaceRegister!$A:$A,InterfaceRegister!B:B)</f>
        <v>855DC-1543-008 Monarch|855DC-1542-CSM Charge Station Management System (CSMS)</v>
      </c>
      <c r="AB33" t="str">
        <f>_xlfn.XLOOKUP($A33,InterfaceRegister!$A:$A,InterfaceRegister!C:C)</f>
        <v>Energy Operations</v>
      </c>
      <c r="AC33" t="str">
        <f>_xlfn.XLOOKUP($A33,InterfaceRegister!$A:$A,InterfaceRegister!D:D)</f>
        <v>Sam Hedgcock</v>
      </c>
      <c r="AD33" t="str">
        <f>_xlfn.XLOOKUP($A33,InterfaceRegister!$A:$A,InterfaceRegister!E:E)</f>
        <v>Project - Project Interface</v>
      </c>
      <c r="AE33" t="str">
        <f>_xlfn.XLOOKUP($A33,InterfaceRegister!$A:$A,InterfaceRegister!F:F)</f>
        <v/>
      </c>
      <c r="AF33" t="str">
        <f>_xlfn.XLOOKUP($A33,InterfaceRegister!$A:$A,InterfaceRegister!L:L)</f>
        <v>vCharm Edge / CSMS &lt;-&gt; Monarch AGC -  Setpoint &amp; Control Integration (Under Evaluation)_x000D_
The purpose of this interface is to allow Monarch Automatic Generation Control (AGC) to adjust EV charging setpoints dynamically, coordinating charging demand with real-time generation and system stability requirements. This integration between the Charging Station Management System (CSMS, via vCharm Edge) and Monarch AGC is currently under investigation, with communication potentially occurring directly via API or indirectly through the GMS PLC acting as an intermediary control layer._x000D_
Intermediate Elements: Monarch AGC, vCharm Edge (CSMS), possible GMS PLC, charger control interfaces, API or PLC communications, depending on final ICD design.</v>
      </c>
      <c r="AG33" t="str">
        <f>_xlfn.XLOOKUP($A33,InterfaceRegister!$A:$A,InterfaceRegister!M:M)</f>
        <v>HIGH</v>
      </c>
      <c r="AH33" t="str">
        <f>_xlfn.XLOOKUP($A33,InterfaceRegister!$A:$A,InterfaceRegister!O:O)</f>
        <v>Option 1: Monarch AGC -&gt; API -&gt; CSMS (vCharm Edge) -&gt; Chargers._x000D_
_x000D_
Option 2: Monarch AGC -&gt; GMS PLC -&gt; CSMS (vCharm Edge) -&gt; Chargers.</v>
      </c>
      <c r="AI33" t="str">
        <f>_xlfn.XLOOKUP($A33,InterfaceRegister!$A:$A,InterfaceRegister!N:N)</f>
        <v>The criticality level is HIGH because coordinated charging load control is essential for balancing demand with available generation and preventing overload. Failure risks system instability and compromises AGC-driven responsiveness across the power network.</v>
      </c>
      <c r="AJ33" t="str">
        <f>_xlfn.XLOOKUP($A33,'EA-Fortescue_SDExport'!$A:$A,'EA-Fortescue_SDExport'!AX:AX)</f>
        <v>CSVFB4BDD54</v>
      </c>
      <c r="AK33">
        <f>_xlfn.XLOOKUP($A33,'EA-Fortescue_SDExport'!$A:$A,'EA-Fortescue_SDExport'!AY:AY)</f>
        <v>0</v>
      </c>
    </row>
    <row r="34" spans="1:37" x14ac:dyDescent="0.25">
      <c r="A34" t="str">
        <v>DGS-I_0033</v>
      </c>
      <c r="B34" t="str">
        <f>_xlfn.XLOOKUP($A34,'EA-Fortescue_SDExport'!$A:$A,'EA-Fortescue_SDExport'!B:B)</f>
        <v>Class</v>
      </c>
      <c r="C34" t="str">
        <f>_xlfn.XLOOKUP($A34,'EA-Fortescue_SDExport'!$A:$A,'EA-Fortescue_SDExport'!C:C)</f>
        <v>{63BCA208-732A-4ce0-A786-9F095284D800}</v>
      </c>
      <c r="D34" t="str">
        <f>_xlfn.LET(_xlpm.result, _xlfn.XLOOKUP($A34, InterfaceRegister!$A:$A, InterfaceRegister!P:P), IF(_xlpm.result=0, "", _xlpm.result))</f>
        <v>LMS Review 30/10/2025: Modbus TCP._x000D_
Fault data, CSMS Requesting Power, LMS Sending response (Power can be switched on). Commands from LMS to clear the devices that are requesting Power. Clear Faults. WatchDog Data.</v>
      </c>
      <c r="E34">
        <f>_xlfn.XLOOKUP($A34,'EA-Fortescue_SDExport'!$A:$A,'EA-Fortescue_SDExport'!E:E)</f>
        <v>1</v>
      </c>
      <c r="F34">
        <f>_xlfn.XLOOKUP($A34,'EA-Fortescue_SDExport'!$A:$A,'EA-Fortescue_SDExport'!F:F)</f>
        <v>1</v>
      </c>
      <c r="G34">
        <f>_xlfn.XLOOKUP($A34,'EA-Fortescue_SDExport'!$A:$A,'EA-Fortescue_SDExport'!G:G)</f>
        <v>0</v>
      </c>
      <c r="H34" t="str">
        <f>_xlfn.XLOOKUP($A34,'EA-Fortescue_SDExport'!$A:$A,'EA-Fortescue_SDExport'!H:H)</f>
        <v>InterfaceBlock</v>
      </c>
      <c r="I34" t="str">
        <f>_xlfn.XLOOKUP($A34,'EA-Fortescue_SDExport'!$A:$A,'EA-Fortescue_SDExport'!I:I)</f>
        <v>SysML1.4::InterfaceBlock</v>
      </c>
      <c r="J34" t="str">
        <f>_xlfn.XLOOKUP($A34,'EA-Fortescue_SDExport'!$A:$A,'EA-Fortescue_SDExport'!J:J)</f>
        <v>Java</v>
      </c>
      <c r="K34" t="str">
        <f>_xlfn.XLOOKUP($A34,'EA-Fortescue_SDExport'!$A:$A,'EA-Fortescue_SDExport'!K:K)</f>
        <v>Admin</v>
      </c>
      <c r="L34" t="str">
        <f>_xlfn.XLOOKUP($A34,'EA-Fortescue_SDExport'!$A:$A,'EA-Fortescue_SDExport'!L:L)</f>
        <v>Public</v>
      </c>
      <c r="M34">
        <f>_xlfn.XLOOKUP($A34,'EA-Fortescue_SDExport'!$A:$A,'EA-Fortescue_SDExport'!M:M)</f>
        <v>0</v>
      </c>
      <c r="N34" t="str">
        <f>_xlfn.XLOOKUP($A34,InterfaceRegister!$A:$A,InterfaceRegister!K:K)</f>
        <v>Simplified Interface</v>
      </c>
      <c r="O34">
        <f>_xlfn.XLOOKUP($A34,'EA-Fortescue_SDExport'!$A:$A,'EA-Fortescue_SDExport'!O:O)</f>
        <v>1</v>
      </c>
      <c r="P34">
        <f>_xlfn.XLOOKUP($A34,'EA-Fortescue_SDExport'!$A:$A,'EA-Fortescue_SDExport'!P:P)</f>
        <v>0</v>
      </c>
      <c r="Q34">
        <f>_xlfn.XLOOKUP($A34,'EA-Fortescue_SDExport'!$A:$A,'EA-Fortescue_SDExport'!Q:Q)</f>
        <v>0</v>
      </c>
      <c r="R34">
        <f>_xlfn.XLOOKUP($A34,'EA-Fortescue_SDExport'!$A:$A,'EA-Fortescue_SDExport'!R:R)</f>
        <v>0</v>
      </c>
      <c r="S34">
        <f>_xlfn.XLOOKUP($A34,'EA-Fortescue_SDExport'!$A:$A,'EA-Fortescue_SDExport'!S:S)</f>
        <v>0</v>
      </c>
      <c r="T34">
        <f>_xlfn.XLOOKUP($A34,'EA-Fortescue_SDExport'!$A:$A,'EA-Fortescue_SDExport'!T:T)</f>
        <v>0</v>
      </c>
      <c r="U34">
        <f>_xlfn.XLOOKUP($A34,'EA-Fortescue_SDExport'!$A:$A,'EA-Fortescue_SDExport'!U:U)</f>
        <v>45944.622824074075</v>
      </c>
      <c r="V34">
        <f>_xlfn.XLOOKUP($A34,'EA-Fortescue_SDExport'!$A:$A,'EA-Fortescue_SDExport'!V:V)</f>
        <v>46002.067569444444</v>
      </c>
      <c r="W34">
        <f>_xlfn.XLOOKUP($A34,'EA-Fortescue_SDExport'!$A:$A,'EA-Fortescue_SDExport'!W:W)</f>
        <v>0</v>
      </c>
      <c r="X34">
        <f>_xlfn.XLOOKUP($A34,'EA-Fortescue_SDExport'!$A:$A,'EA-Fortescue_SDExport'!X:X)</f>
        <v>0</v>
      </c>
      <c r="Y34">
        <f>_xlfn.XLOOKUP($A34,'EA-Fortescue_SDExport'!$A:$A,'EA-Fortescue_SDExport'!Y:Y)</f>
        <v>0</v>
      </c>
      <c r="Z34" t="str">
        <f>_xlfn.XLOOKUP($A34,'EA-Fortescue_SDExport'!$A:$A,'EA-Fortescue_SDExport'!Z:Z)</f>
        <v>SysML1.4::InterfaceBlock</v>
      </c>
      <c r="AA34" t="str">
        <f>_xlfn.XLOOKUP($A34,InterfaceRegister!$A:$A,InterfaceRegister!B:B)</f>
        <v>855DC-1542-LMS Load Management System (LMS)|855DC-1542-CSM Charge Station Management System (CSMS)</v>
      </c>
      <c r="AB34" t="str">
        <f>_xlfn.XLOOKUP($A34,InterfaceRegister!$A:$A,InterfaceRegister!C:C)</f>
        <v>Sam Hedgcock</v>
      </c>
      <c r="AC34" t="str">
        <f>_xlfn.XLOOKUP($A34,InterfaceRegister!$A:$A,InterfaceRegister!D:D)</f>
        <v>Glen Carruthers</v>
      </c>
      <c r="AD34" t="str">
        <f>_xlfn.XLOOKUP($A34,InterfaceRegister!$A:$A,InterfaceRegister!E:E)</f>
        <v>Project - Project Interface</v>
      </c>
      <c r="AE34" t="str">
        <f>_xlfn.XLOOKUP($A34,InterfaceRegister!$A:$A,InterfaceRegister!F:F)</f>
        <v>Technical-Data/Software</v>
      </c>
      <c r="AF34" t="str">
        <f>_xlfn.XLOOKUP($A34,InterfaceRegister!$A:$A,InterfaceRegister!L:L)</f>
        <v>Load Management System - PLC-Controlled Integration with vCharm Vector (Charging Station Management System)_x000D_
The purpose of this interface is to allow the load management system to use PLCs to control and coordinate electrical loads on site, ensuring safe and efficient distribution of available power. This system integrates with the vCharm Vector Charging Station Management System to manage EV and equipment charging demand, balancing charging schedules with real-time site load conditions and operational priorities._x000D_
Intermediate Elements: PLCs, Load Management System, and vCharm Vector Charging Station Management System.</v>
      </c>
      <c r="AG34" t="str">
        <f>_xlfn.XLOOKUP($A34,InterfaceRegister!$A:$A,InterfaceRegister!M:M)</f>
        <v>HIGH</v>
      </c>
      <c r="AH34" t="str">
        <f>_xlfn.XLOOKUP($A34,InterfaceRegister!$A:$A,InterfaceRegister!O:O)</f>
        <v>PLCs (load controllers) -&gt; Load Management System -&gt; vCharm Vector (charging management) -&gt; Operational systems.</v>
      </c>
      <c r="AI34" t="str">
        <f>_xlfn.XLOOKUP($A34,InterfaceRegister!$A:$A,InterfaceRegister!N:N)</f>
        <v>The criticality level is HIGH because accurate coordination between PLC-controlled loads and the charging management system is essential for avoiding overloads and maintaining power stability. Failure risks production delays by disrupting vehicle charging when required for operations.</v>
      </c>
      <c r="AJ34" t="str">
        <f>_xlfn.XLOOKUP($A34,'EA-Fortescue_SDExport'!$A:$A,'EA-Fortescue_SDExport'!AX:AX)</f>
        <v>CSVE349A233</v>
      </c>
      <c r="AK34">
        <f>_xlfn.XLOOKUP($A34,'EA-Fortescue_SDExport'!$A:$A,'EA-Fortescue_SDExport'!AY:AY)</f>
        <v>0</v>
      </c>
    </row>
    <row r="35" spans="1:37" x14ac:dyDescent="0.25">
      <c r="A35" t="str">
        <v>DGS-I_0034</v>
      </c>
      <c r="B35" t="str">
        <f>_xlfn.XLOOKUP($A35,'EA-Fortescue_SDExport'!$A:$A,'EA-Fortescue_SDExport'!B:B)</f>
        <v>Class</v>
      </c>
      <c r="C35" t="str">
        <f>_xlfn.XLOOKUP($A35,'EA-Fortescue_SDExport'!$A:$A,'EA-Fortescue_SDExport'!C:C)</f>
        <v>{78F85192-D483-4c8b-A2D7-D9DAC906E79F}</v>
      </c>
      <c r="D35" t="str">
        <f>_xlfn.LET(_xlpm.result, _xlfn.XLOOKUP($A35, InterfaceRegister!$A:$A, InterfaceRegister!P:P), IF(_xlpm.result=0, "", 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v>
      </c>
      <c r="E35">
        <f>_xlfn.XLOOKUP($A35,'EA-Fortescue_SDExport'!$A:$A,'EA-Fortescue_SDExport'!E:E)</f>
        <v>1</v>
      </c>
      <c r="F35">
        <f>_xlfn.XLOOKUP($A35,'EA-Fortescue_SDExport'!$A:$A,'EA-Fortescue_SDExport'!F:F)</f>
        <v>1</v>
      </c>
      <c r="G35">
        <f>_xlfn.XLOOKUP($A35,'EA-Fortescue_SDExport'!$A:$A,'EA-Fortescue_SDExport'!G:G)</f>
        <v>0</v>
      </c>
      <c r="H35" t="str">
        <f>_xlfn.XLOOKUP($A35,'EA-Fortescue_SDExport'!$A:$A,'EA-Fortescue_SDExport'!H:H)</f>
        <v>InterfaceBlock</v>
      </c>
      <c r="I35" t="str">
        <f>_xlfn.XLOOKUP($A35,'EA-Fortescue_SDExport'!$A:$A,'EA-Fortescue_SDExport'!I:I)</f>
        <v>SysML1.4::InterfaceBlock</v>
      </c>
      <c r="J35" t="str">
        <f>_xlfn.XLOOKUP($A35,'EA-Fortescue_SDExport'!$A:$A,'EA-Fortescue_SDExport'!J:J)</f>
        <v>Java</v>
      </c>
      <c r="K35" t="str">
        <f>_xlfn.XLOOKUP($A35,'EA-Fortescue_SDExport'!$A:$A,'EA-Fortescue_SDExport'!K:K)</f>
        <v>Admin</v>
      </c>
      <c r="L35" t="str">
        <f>_xlfn.XLOOKUP($A35,'EA-Fortescue_SDExport'!$A:$A,'EA-Fortescue_SDExport'!L:L)</f>
        <v>Public</v>
      </c>
      <c r="M35">
        <f>_xlfn.XLOOKUP($A35,'EA-Fortescue_SDExport'!$A:$A,'EA-Fortescue_SDExport'!M:M)</f>
        <v>0</v>
      </c>
      <c r="N35" t="str">
        <f>_xlfn.XLOOKUP($A35,InterfaceRegister!$A:$A,InterfaceRegister!K:K)</f>
        <v>Proposed</v>
      </c>
      <c r="O35">
        <f>_xlfn.XLOOKUP($A35,'EA-Fortescue_SDExport'!$A:$A,'EA-Fortescue_SDExport'!O:O)</f>
        <v>1</v>
      </c>
      <c r="P35">
        <f>_xlfn.XLOOKUP($A35,'EA-Fortescue_SDExport'!$A:$A,'EA-Fortescue_SDExport'!P:P)</f>
        <v>0</v>
      </c>
      <c r="Q35">
        <f>_xlfn.XLOOKUP($A35,'EA-Fortescue_SDExport'!$A:$A,'EA-Fortescue_SDExport'!Q:Q)</f>
        <v>0</v>
      </c>
      <c r="R35">
        <f>_xlfn.XLOOKUP($A35,'EA-Fortescue_SDExport'!$A:$A,'EA-Fortescue_SDExport'!R:R)</f>
        <v>0</v>
      </c>
      <c r="S35">
        <f>_xlfn.XLOOKUP($A35,'EA-Fortescue_SDExport'!$A:$A,'EA-Fortescue_SDExport'!S:S)</f>
        <v>0</v>
      </c>
      <c r="T35">
        <f>_xlfn.XLOOKUP($A35,'EA-Fortescue_SDExport'!$A:$A,'EA-Fortescue_SDExport'!T:T)</f>
        <v>0</v>
      </c>
      <c r="U35">
        <f>_xlfn.XLOOKUP($A35,'EA-Fortescue_SDExport'!$A:$A,'EA-Fortescue_SDExport'!U:U)</f>
        <v>45944.622835648152</v>
      </c>
      <c r="V35">
        <f>_xlfn.XLOOKUP($A35,'EA-Fortescue_SDExport'!$A:$A,'EA-Fortescue_SDExport'!V:V)</f>
        <v>46036.781469907408</v>
      </c>
      <c r="W35">
        <f>_xlfn.XLOOKUP($A35,'EA-Fortescue_SDExport'!$A:$A,'EA-Fortescue_SDExport'!W:W)</f>
        <v>0</v>
      </c>
      <c r="X35">
        <f>_xlfn.XLOOKUP($A35,'EA-Fortescue_SDExport'!$A:$A,'EA-Fortescue_SDExport'!X:X)</f>
        <v>0</v>
      </c>
      <c r="Y35">
        <f>_xlfn.XLOOKUP($A35,'EA-Fortescue_SDExport'!$A:$A,'EA-Fortescue_SDExport'!Y:Y)</f>
        <v>0</v>
      </c>
      <c r="Z35" t="str">
        <f>_xlfn.XLOOKUP($A35,'EA-Fortescue_SDExport'!$A:$A,'EA-Fortescue_SDExport'!Z:Z)</f>
        <v>SysML1.4::InterfaceBlock</v>
      </c>
      <c r="AA35" t="str">
        <f>_xlfn.XLOOKUP($A35,InterfaceRegister!$A:$A,InterfaceRegister!B:B)</f>
        <v>855DC-1542-LMS Load Management System (LMS)|855DC-1542-008 Mine Electrification SCADA</v>
      </c>
      <c r="AB35" t="str">
        <f>_xlfn.XLOOKUP($A35,InterfaceRegister!$A:$A,InterfaceRegister!C:C)</f>
        <v>Sam Hedgcock</v>
      </c>
      <c r="AC35" t="str">
        <f>_xlfn.XLOOKUP($A35,InterfaceRegister!$A:$A,InterfaceRegister!D:D)</f>
        <v>Glen Carruthers</v>
      </c>
      <c r="AD35" t="str">
        <f>_xlfn.XLOOKUP($A35,InterfaceRegister!$A:$A,InterfaceRegister!E:E)</f>
        <v>Project - Project Interface</v>
      </c>
      <c r="AE35" t="str">
        <f>_xlfn.XLOOKUP($A35,InterfaceRegister!$A:$A,InterfaceRegister!F:F)</f>
        <v>Technical-Data/Software</v>
      </c>
      <c r="AF35" t="str">
        <f>_xlfn.XLOOKUP($A35,InterfaceRegister!$A:$A,InterfaceRegister!L:L)</f>
        <v>The purpose of this interface is to allow the Load Management System (LMS) to coordinate site electrical loads to maintain system stability and ensure power is distributed safely and efficiently. LMS achieves this by integrating with the Mine Electrification SCADA system (Ignition SCADA) to receive real-time electrical status, breaker positions, load measurements, and network health, enabling it to make informed decisions on shedding, prioritising, or restoring loads across the electrified mine</v>
      </c>
      <c r="AG35" t="str">
        <f>_xlfn.XLOOKUP($A35,InterfaceRegister!$A:$A,InterfaceRegister!M:M)</f>
        <v>HIGH</v>
      </c>
      <c r="AH35" t="str">
        <f>_xlfn.XLOOKUP($A35,InterfaceRegister!$A:$A,InterfaceRegister!O:O)</f>
        <v>Ignition SCADA (real-time electrical data) -&gt;LMS (load optimisation &amp; control logic) -&gt; PLCs / site electrical equipment.</v>
      </c>
      <c r="AI35" t="str">
        <f>_xlfn.XLOOKUP($A35,InterfaceRegister!$A:$A,InterfaceRegister!N:N)</f>
        <v>The criticality level is HIGH because reliable integration between LMS and Ignition SCADA is essential for safe mine operations and preventing overloads. Failure compromises the ability to ensure critical loads remain energised and stable.</v>
      </c>
      <c r="AJ35" t="str">
        <f>_xlfn.XLOOKUP($A35,'EA-Fortescue_SDExport'!$A:$A,'EA-Fortescue_SDExport'!AX:AX)</f>
        <v>CSV810B9061</v>
      </c>
      <c r="AK35">
        <f>_xlfn.XLOOKUP($A35,'EA-Fortescue_SDExport'!$A:$A,'EA-Fortescue_SDExport'!AY:AY)</f>
        <v>0</v>
      </c>
    </row>
    <row r="36" spans="1:37" x14ac:dyDescent="0.25">
      <c r="A36" t="str">
        <v>DGS-I_0035</v>
      </c>
      <c r="B36" t="str">
        <f>_xlfn.XLOOKUP($A36,'EA-Fortescue_SDExport'!$A:$A,'EA-Fortescue_SDExport'!B:B)</f>
        <v>Class</v>
      </c>
      <c r="C36" t="str">
        <f>_xlfn.XLOOKUP($A36,'EA-Fortescue_SDExport'!$A:$A,'EA-Fortescue_SDExport'!C:C)</f>
        <v>{00161F20-F591-4321-9EC4-48CB30577BC4}</v>
      </c>
      <c r="D36" t="str">
        <f>_xlfn.LET(_xlpm.result, _xlfn.XLOOKUP($A36, InterfaceRegister!$A:$A, InterfaceRegister!P:P), IF(_xlpm.result=0, "", _xlpm.result))</f>
        <v>SBS-WBS Mapping 02/01/2026: For simplicity of System Architecture Project level to group BESS together (no reference to AC or DC).  Battery Energy Storage Systems (BESS) - DC removed. Interface deleted.</v>
      </c>
      <c r="E36">
        <f>_xlfn.XLOOKUP($A36,'EA-Fortescue_SDExport'!$A:$A,'EA-Fortescue_SDExport'!E:E)</f>
        <v>1</v>
      </c>
      <c r="F36">
        <f>_xlfn.XLOOKUP($A36,'EA-Fortescue_SDExport'!$A:$A,'EA-Fortescue_SDExport'!F:F)</f>
        <v>1</v>
      </c>
      <c r="G36">
        <f>_xlfn.XLOOKUP($A36,'EA-Fortescue_SDExport'!$A:$A,'EA-Fortescue_SDExport'!G:G)</f>
        <v>0</v>
      </c>
      <c r="H36" t="str">
        <f>_xlfn.XLOOKUP($A36,'EA-Fortescue_SDExport'!$A:$A,'EA-Fortescue_SDExport'!H:H)</f>
        <v>InterfaceBlock</v>
      </c>
      <c r="I36" t="str">
        <f>_xlfn.XLOOKUP($A36,'EA-Fortescue_SDExport'!$A:$A,'EA-Fortescue_SDExport'!I:I)</f>
        <v>SysML1.4::InterfaceBlock</v>
      </c>
      <c r="J36" t="str">
        <f>_xlfn.XLOOKUP($A36,'EA-Fortescue_SDExport'!$A:$A,'EA-Fortescue_SDExport'!J:J)</f>
        <v>Java</v>
      </c>
      <c r="K36" t="str">
        <f>_xlfn.XLOOKUP($A36,'EA-Fortescue_SDExport'!$A:$A,'EA-Fortescue_SDExport'!K:K)</f>
        <v>Admin</v>
      </c>
      <c r="L36" t="str">
        <f>_xlfn.XLOOKUP($A36,'EA-Fortescue_SDExport'!$A:$A,'EA-Fortescue_SDExport'!L:L)</f>
        <v>Public</v>
      </c>
      <c r="M36">
        <f>_xlfn.XLOOKUP($A36,'EA-Fortescue_SDExport'!$A:$A,'EA-Fortescue_SDExport'!M:M)</f>
        <v>0</v>
      </c>
      <c r="N36" t="str">
        <f>_xlfn.XLOOKUP($A36,InterfaceRegister!$A:$A,InterfaceRegister!K:K)</f>
        <v>Deleted</v>
      </c>
      <c r="O36">
        <f>_xlfn.XLOOKUP($A36,'EA-Fortescue_SDExport'!$A:$A,'EA-Fortescue_SDExport'!O:O)</f>
        <v>1</v>
      </c>
      <c r="P36">
        <f>_xlfn.XLOOKUP($A36,'EA-Fortescue_SDExport'!$A:$A,'EA-Fortescue_SDExport'!P:P)</f>
        <v>0</v>
      </c>
      <c r="Q36">
        <f>_xlfn.XLOOKUP($A36,'EA-Fortescue_SDExport'!$A:$A,'EA-Fortescue_SDExport'!Q:Q)</f>
        <v>0</v>
      </c>
      <c r="R36">
        <f>_xlfn.XLOOKUP($A36,'EA-Fortescue_SDExport'!$A:$A,'EA-Fortescue_SDExport'!R:R)</f>
        <v>0</v>
      </c>
      <c r="S36">
        <f>_xlfn.XLOOKUP($A36,'EA-Fortescue_SDExport'!$A:$A,'EA-Fortescue_SDExport'!S:S)</f>
        <v>0</v>
      </c>
      <c r="T36">
        <f>_xlfn.XLOOKUP($A36,'EA-Fortescue_SDExport'!$A:$A,'EA-Fortescue_SDExport'!T:T)</f>
        <v>0</v>
      </c>
      <c r="U36">
        <f>_xlfn.XLOOKUP($A36,'EA-Fortescue_SDExport'!$A:$A,'EA-Fortescue_SDExport'!U:U)</f>
        <v>45944.622870370367</v>
      </c>
      <c r="V36">
        <f>_xlfn.XLOOKUP($A36,'EA-Fortescue_SDExport'!$A:$A,'EA-Fortescue_SDExport'!V:V)</f>
        <v>46036.905972222223</v>
      </c>
      <c r="W36">
        <f>_xlfn.XLOOKUP($A36,'EA-Fortescue_SDExport'!$A:$A,'EA-Fortescue_SDExport'!W:W)</f>
        <v>0</v>
      </c>
      <c r="X36">
        <f>_xlfn.XLOOKUP($A36,'EA-Fortescue_SDExport'!$A:$A,'EA-Fortescue_SDExport'!X:X)</f>
        <v>0</v>
      </c>
      <c r="Y36">
        <f>_xlfn.XLOOKUP($A36,'EA-Fortescue_SDExport'!$A:$A,'EA-Fortescue_SDExport'!Y:Y)</f>
        <v>0</v>
      </c>
      <c r="Z36" t="str">
        <f>_xlfn.XLOOKUP($A36,'EA-Fortescue_SDExport'!$A:$A,'EA-Fortescue_SDExport'!Z:Z)</f>
        <v>SysML1.4::InterfaceBlock</v>
      </c>
      <c r="AA36" t="str">
        <f>_xlfn.XLOOKUP($A36,InterfaceRegister!$A:$A,InterfaceRegister!B:B)</f>
        <v>854DC-5670-0001 Solar Photovoltaic (PV) Farms|Archive - 854DC-5680-- Battery Energy Storage Systems (BESS) - DC</v>
      </c>
      <c r="AB36" t="str">
        <f>_xlfn.XLOOKUP($A36,InterfaceRegister!$A:$A,InterfaceRegister!C:C)</f>
        <v/>
      </c>
      <c r="AC36" t="str">
        <f>_xlfn.XLOOKUP($A36,InterfaceRegister!$A:$A,InterfaceRegister!D:D)</f>
        <v/>
      </c>
      <c r="AD36" t="str">
        <f>_xlfn.XLOOKUP($A36,InterfaceRegister!$A:$A,InterfaceRegister!E:E)</f>
        <v>Project - Project Interface</v>
      </c>
      <c r="AE36" t="str">
        <f>_xlfn.XLOOKUP($A36,InterfaceRegister!$A:$A,InterfaceRegister!F:F)</f>
        <v/>
      </c>
      <c r="AF36" t="str">
        <f>_xlfn.XLOOKUP($A36,InterfaceRegister!$A:$A,InterfaceRegister!L:L)</f>
        <v/>
      </c>
      <c r="AG36" t="str">
        <f>_xlfn.XLOOKUP($A36,InterfaceRegister!$A:$A,InterfaceRegister!M:M)</f>
        <v/>
      </c>
      <c r="AH36" t="str">
        <f>_xlfn.XLOOKUP($A36,InterfaceRegister!$A:$A,InterfaceRegister!O:O)</f>
        <v/>
      </c>
      <c r="AI36" t="str">
        <f>_xlfn.XLOOKUP($A36,InterfaceRegister!$A:$A,InterfaceRegister!N:N)</f>
        <v/>
      </c>
      <c r="AJ36" t="str">
        <f>_xlfn.XLOOKUP($A36,'EA-Fortescue_SDExport'!$A:$A,'EA-Fortescue_SDExport'!AX:AX)</f>
        <v>CSVFBA868D2</v>
      </c>
      <c r="AK36">
        <f>_xlfn.XLOOKUP($A36,'EA-Fortescue_SDExport'!$A:$A,'EA-Fortescue_SDExport'!AY:AY)</f>
        <v>0</v>
      </c>
    </row>
    <row r="37" spans="1:37" x14ac:dyDescent="0.25">
      <c r="A37" t="str">
        <v>DGS-I_0036</v>
      </c>
      <c r="B37" t="str">
        <f>_xlfn.XLOOKUP($A37,'EA-Fortescue_SDExport'!$A:$A,'EA-Fortescue_SDExport'!B:B)</f>
        <v>Class</v>
      </c>
      <c r="C37" t="str">
        <f>_xlfn.XLOOKUP($A37,'EA-Fortescue_SDExport'!$A:$A,'EA-Fortescue_SDExport'!C:C)</f>
        <v>{221980FC-DACD-429d-A06A-8C738255325F}</v>
      </c>
      <c r="D37" t="str">
        <f>_xlfn.LET(_xlpm.result, _xlfn.XLOOKUP($A37, InterfaceRegister!$A:$A, InterfaceRegister!P:P), IF(_xlpm.result=0, "", _xlpm.result))</f>
        <v>NH 20/02/2026: Fields updated: Interface Flow.</v>
      </c>
      <c r="E37">
        <f>_xlfn.XLOOKUP($A37,'EA-Fortescue_SDExport'!$A:$A,'EA-Fortescue_SDExport'!E:E)</f>
        <v>1</v>
      </c>
      <c r="F37">
        <f>_xlfn.XLOOKUP($A37,'EA-Fortescue_SDExport'!$A:$A,'EA-Fortescue_SDExport'!F:F)</f>
        <v>1</v>
      </c>
      <c r="G37">
        <f>_xlfn.XLOOKUP($A37,'EA-Fortescue_SDExport'!$A:$A,'EA-Fortescue_SDExport'!G:G)</f>
        <v>0</v>
      </c>
      <c r="H37" t="str">
        <f>_xlfn.XLOOKUP($A37,'EA-Fortescue_SDExport'!$A:$A,'EA-Fortescue_SDExport'!H:H)</f>
        <v>InterfaceBlock</v>
      </c>
      <c r="I37" t="str">
        <f>_xlfn.XLOOKUP($A37,'EA-Fortescue_SDExport'!$A:$A,'EA-Fortescue_SDExport'!I:I)</f>
        <v>SysML1.4::InterfaceBlock</v>
      </c>
      <c r="J37" t="str">
        <f>_xlfn.XLOOKUP($A37,'EA-Fortescue_SDExport'!$A:$A,'EA-Fortescue_SDExport'!J:J)</f>
        <v>Java</v>
      </c>
      <c r="K37" t="str">
        <f>_xlfn.XLOOKUP($A37,'EA-Fortescue_SDExport'!$A:$A,'EA-Fortescue_SDExport'!K:K)</f>
        <v>Admin</v>
      </c>
      <c r="L37" t="str">
        <f>_xlfn.XLOOKUP($A37,'EA-Fortescue_SDExport'!$A:$A,'EA-Fortescue_SDExport'!L:L)</f>
        <v>Public</v>
      </c>
      <c r="M37">
        <f>_xlfn.XLOOKUP($A37,'EA-Fortescue_SDExport'!$A:$A,'EA-Fortescue_SDExport'!M:M)</f>
        <v>0</v>
      </c>
      <c r="N37" t="str">
        <f>_xlfn.XLOOKUP($A37,InterfaceRegister!$A:$A,InterfaceRegister!K:K)</f>
        <v>Proposed</v>
      </c>
      <c r="O37">
        <f>_xlfn.XLOOKUP($A37,'EA-Fortescue_SDExport'!$A:$A,'EA-Fortescue_SDExport'!O:O)</f>
        <v>1</v>
      </c>
      <c r="P37">
        <f>_xlfn.XLOOKUP($A37,'EA-Fortescue_SDExport'!$A:$A,'EA-Fortescue_SDExport'!P:P)</f>
        <v>0</v>
      </c>
      <c r="Q37">
        <f>_xlfn.XLOOKUP($A37,'EA-Fortescue_SDExport'!$A:$A,'EA-Fortescue_SDExport'!Q:Q)</f>
        <v>0</v>
      </c>
      <c r="R37">
        <f>_xlfn.XLOOKUP($A37,'EA-Fortescue_SDExport'!$A:$A,'EA-Fortescue_SDExport'!R:R)</f>
        <v>0</v>
      </c>
      <c r="S37">
        <f>_xlfn.XLOOKUP($A37,'EA-Fortescue_SDExport'!$A:$A,'EA-Fortescue_SDExport'!S:S)</f>
        <v>0</v>
      </c>
      <c r="T37">
        <f>_xlfn.XLOOKUP($A37,'EA-Fortescue_SDExport'!$A:$A,'EA-Fortescue_SDExport'!T:T)</f>
        <v>0</v>
      </c>
      <c r="U37">
        <f>_xlfn.XLOOKUP($A37,'EA-Fortescue_SDExport'!$A:$A,'EA-Fortescue_SDExport'!U:U)</f>
        <v>45897.996307870373</v>
      </c>
      <c r="V37">
        <f>_xlfn.XLOOKUP($A37,'EA-Fortescue_SDExport'!$A:$A,'EA-Fortescue_SDExport'!V:V)</f>
        <v>46077.993206018517</v>
      </c>
      <c r="W37">
        <f>_xlfn.XLOOKUP($A37,'EA-Fortescue_SDExport'!$A:$A,'EA-Fortescue_SDExport'!W:W)</f>
        <v>0</v>
      </c>
      <c r="X37">
        <f>_xlfn.XLOOKUP($A37,'EA-Fortescue_SDExport'!$A:$A,'EA-Fortescue_SDExport'!X:X)</f>
        <v>0</v>
      </c>
      <c r="Y37">
        <f>_xlfn.XLOOKUP($A37,'EA-Fortescue_SDExport'!$A:$A,'EA-Fortescue_SDExport'!Y:Y)</f>
        <v>0</v>
      </c>
      <c r="Z37" t="str">
        <f>_xlfn.XLOOKUP($A37,'EA-Fortescue_SDExport'!$A:$A,'EA-Fortescue_SDExport'!Z:Z)</f>
        <v>SysML1.4::InterfaceBlock</v>
      </c>
      <c r="AA37" t="str">
        <f>_xlfn.XLOOKUP($A37,InterfaceRegister!$A:$A,InterfaceRegister!B:B)</f>
        <v>003OP-5612 Diesel Generators|855DC-1543-008 Monarch</v>
      </c>
      <c r="AB37" t="str">
        <f>_xlfn.XLOOKUP($A37,InterfaceRegister!$A:$A,InterfaceRegister!C:C)</f>
        <v/>
      </c>
      <c r="AC37" t="str">
        <f>_xlfn.XLOOKUP($A37,InterfaceRegister!$A:$A,InterfaceRegister!D:D)</f>
        <v/>
      </c>
      <c r="AD37" t="str">
        <f>_xlfn.XLOOKUP($A37,InterfaceRegister!$A:$A,InterfaceRegister!E:E)</f>
        <v>System - Project Interface</v>
      </c>
      <c r="AE37" t="str">
        <f>_xlfn.XLOOKUP($A37,InterfaceRegister!$A:$A,InterfaceRegister!F:F)</f>
        <v>Technical-Electrical</v>
      </c>
      <c r="AF37" t="str">
        <f>_xlfn.XLOOKUP($A37,InterfaceRegister!$A:$A,InterfaceRegister!L:L)</f>
        <v>The purpose of this interface is to connect thermal power generators to the Monarch energy management and monitoring system.</v>
      </c>
      <c r="AG37" t="str">
        <f>_xlfn.XLOOKUP($A37,InterfaceRegister!$A:$A,InterfaceRegister!M:M)</f>
        <v>MEDIUM</v>
      </c>
      <c r="AH37" t="str">
        <f>_xlfn.XLOOKUP($A37,InterfaceRegister!$A:$A,InterfaceRegister!O:O)</f>
        <v>Data Flow: Thermal Generators -&gt; Monarch (real-time generation output, status, alarms, fuel usage, availability, operational limits) for monitoring and coordination._x000D_
Control Flow: Monarch -&gt; Thermal Generators (dispatch setpoints, start/stop commands, load adjustments, operational constraints) to manage generation in line with system demand and stability requirements.</v>
      </c>
      <c r="AI37" t="str">
        <f>_xlfn.XLOOKUP($A37,InterfaceRegister!$A:$A,InterfaceRegister!N:N)</f>
        <v>The criticality level is MEDIUM because a failure impairs coordination between thermal generation and the wider system, which may require manual intervention. Loss of visibility may affect power stability and planned responses, but this remains manageable within a shift.</v>
      </c>
      <c r="AJ37" t="str">
        <f>_xlfn.XLOOKUP($A37,'EA-Fortescue_SDExport'!$A:$A,'EA-Fortescue_SDExport'!AX:AX)</f>
        <v>CSV8ABB8162</v>
      </c>
      <c r="AK37">
        <f>_xlfn.XLOOKUP($A37,'EA-Fortescue_SDExport'!$A:$A,'EA-Fortescue_SDExport'!AY:AY)</f>
        <v>0</v>
      </c>
    </row>
    <row r="38" spans="1:37" x14ac:dyDescent="0.25">
      <c r="A38" t="str">
        <v>DGS-I_0037</v>
      </c>
      <c r="B38" t="str">
        <f>_xlfn.XLOOKUP($A38,'EA-Fortescue_SDExport'!$A:$A,'EA-Fortescue_SDExport'!B:B)</f>
        <v>Class</v>
      </c>
      <c r="C38" t="str">
        <f>_xlfn.XLOOKUP($A38,'EA-Fortescue_SDExport'!$A:$A,'EA-Fortescue_SDExport'!C:C)</f>
        <v>{58ADD47D-E060-4d0f-81F0-295A69AED88E}</v>
      </c>
      <c r="D38" t="str">
        <f>_xlfn.LET(_xlpm.result, _xlfn.XLOOKUP($A38, InterfaceRegister!$A:$A, InterfaceRegister!P:P), IF(_xlpm.result=0, "", _xlpm.result))</f>
        <v/>
      </c>
      <c r="E38">
        <f>_xlfn.XLOOKUP($A38,'EA-Fortescue_SDExport'!$A:$A,'EA-Fortescue_SDExport'!E:E)</f>
        <v>1</v>
      </c>
      <c r="F38">
        <f>_xlfn.XLOOKUP($A38,'EA-Fortescue_SDExport'!$A:$A,'EA-Fortescue_SDExport'!F:F)</f>
        <v>1</v>
      </c>
      <c r="G38">
        <f>_xlfn.XLOOKUP($A38,'EA-Fortescue_SDExport'!$A:$A,'EA-Fortescue_SDExport'!G:G)</f>
        <v>0</v>
      </c>
      <c r="H38" t="str">
        <f>_xlfn.XLOOKUP($A38,'EA-Fortescue_SDExport'!$A:$A,'EA-Fortescue_SDExport'!H:H)</f>
        <v>InterfaceBlock</v>
      </c>
      <c r="I38" t="str">
        <f>_xlfn.XLOOKUP($A38,'EA-Fortescue_SDExport'!$A:$A,'EA-Fortescue_SDExport'!I:I)</f>
        <v>SysML1.4::InterfaceBlock</v>
      </c>
      <c r="J38" t="str">
        <f>_xlfn.XLOOKUP($A38,'EA-Fortescue_SDExport'!$A:$A,'EA-Fortescue_SDExport'!J:J)</f>
        <v>Java</v>
      </c>
      <c r="K38" t="str">
        <f>_xlfn.XLOOKUP($A38,'EA-Fortescue_SDExport'!$A:$A,'EA-Fortescue_SDExport'!K:K)</f>
        <v>Admin</v>
      </c>
      <c r="L38" t="str">
        <f>_xlfn.XLOOKUP($A38,'EA-Fortescue_SDExport'!$A:$A,'EA-Fortescue_SDExport'!L:L)</f>
        <v>Public</v>
      </c>
      <c r="M38">
        <f>_xlfn.XLOOKUP($A38,'EA-Fortescue_SDExport'!$A:$A,'EA-Fortescue_SDExport'!M:M)</f>
        <v>0</v>
      </c>
      <c r="N38" t="str">
        <f>_xlfn.XLOOKUP($A38,InterfaceRegister!$A:$A,InterfaceRegister!K:K)</f>
        <v>Simplified Interface</v>
      </c>
      <c r="O38">
        <f>_xlfn.XLOOKUP($A38,'EA-Fortescue_SDExport'!$A:$A,'EA-Fortescue_SDExport'!O:O)</f>
        <v>1</v>
      </c>
      <c r="P38">
        <f>_xlfn.XLOOKUP($A38,'EA-Fortescue_SDExport'!$A:$A,'EA-Fortescue_SDExport'!P:P)</f>
        <v>0</v>
      </c>
      <c r="Q38">
        <f>_xlfn.XLOOKUP($A38,'EA-Fortescue_SDExport'!$A:$A,'EA-Fortescue_SDExport'!Q:Q)</f>
        <v>0</v>
      </c>
      <c r="R38">
        <f>_xlfn.XLOOKUP($A38,'EA-Fortescue_SDExport'!$A:$A,'EA-Fortescue_SDExport'!R:R)</f>
        <v>0</v>
      </c>
      <c r="S38">
        <f>_xlfn.XLOOKUP($A38,'EA-Fortescue_SDExport'!$A:$A,'EA-Fortescue_SDExport'!S:S)</f>
        <v>0</v>
      </c>
      <c r="T38">
        <f>_xlfn.XLOOKUP($A38,'EA-Fortescue_SDExport'!$A:$A,'EA-Fortescue_SDExport'!T:T)</f>
        <v>0</v>
      </c>
      <c r="U38">
        <f>_xlfn.XLOOKUP($A38,'EA-Fortescue_SDExport'!$A:$A,'EA-Fortescue_SDExport'!U:U)</f>
        <v>45954.866365740738</v>
      </c>
      <c r="V38">
        <f>_xlfn.XLOOKUP($A38,'EA-Fortescue_SDExport'!$A:$A,'EA-Fortescue_SDExport'!V:V)</f>
        <v>46002.067615740743</v>
      </c>
      <c r="W38">
        <f>_xlfn.XLOOKUP($A38,'EA-Fortescue_SDExport'!$A:$A,'EA-Fortescue_SDExport'!W:W)</f>
        <v>0</v>
      </c>
      <c r="X38">
        <f>_xlfn.XLOOKUP($A38,'EA-Fortescue_SDExport'!$A:$A,'EA-Fortescue_SDExport'!X:X)</f>
        <v>0</v>
      </c>
      <c r="Y38">
        <f>_xlfn.XLOOKUP($A38,'EA-Fortescue_SDExport'!$A:$A,'EA-Fortescue_SDExport'!Y:Y)</f>
        <v>0</v>
      </c>
      <c r="Z38" t="str">
        <f>_xlfn.XLOOKUP($A38,'EA-Fortescue_SDExport'!$A:$A,'EA-Fortescue_SDExport'!Z:Z)</f>
        <v>SysML1.4::InterfaceBlock</v>
      </c>
      <c r="AA38" t="str">
        <f>_xlfn.XLOOKUP($A38,InterfaceRegister!$A:$A,InterfaceRegister!B:B)</f>
        <v>850DC-1510 Chargers|859DC-1410-001 HaulX</v>
      </c>
      <c r="AB38" t="str">
        <f>_xlfn.XLOOKUP($A38,InterfaceRegister!$A:$A,InterfaceRegister!C:C)</f>
        <v/>
      </c>
      <c r="AC38" t="str">
        <f>_xlfn.XLOOKUP($A38,InterfaceRegister!$A:$A,InterfaceRegister!D:D)</f>
        <v/>
      </c>
      <c r="AD38" t="str">
        <f>_xlfn.XLOOKUP($A38,InterfaceRegister!$A:$A,InterfaceRegister!E:E)</f>
        <v>System - Project Interface</v>
      </c>
      <c r="AE38" t="str">
        <f>_xlfn.XLOOKUP($A38,InterfaceRegister!$A:$A,InterfaceRegister!F:F)</f>
        <v/>
      </c>
      <c r="AF38" t="str">
        <f>_xlfn.XLOOKUP($A38,InterfaceRegister!$A:$A,InterfaceRegister!L:L)</f>
        <v>The purpose of this interface is to allow HaulX to receive charger availability, status, and capacity information, enabling effective truck scheduling for charging.</v>
      </c>
      <c r="AG38" t="str">
        <f>_xlfn.XLOOKUP($A38,InterfaceRegister!$A:$A,InterfaceRegister!M:M)</f>
        <v>MEDIUM</v>
      </c>
      <c r="AH38" t="str">
        <f>_xlfn.XLOOKUP($A38,InterfaceRegister!$A:$A,InterfaceRegister!O:O)</f>
        <v/>
      </c>
      <c r="AI38" t="str">
        <f>_xlfn.XLOOKUP($A38,InterfaceRegister!$A:$A,InterfaceRegister!N:N)</f>
        <v>The criticality level is MEDIUM because failure leads to less coordinated charging, resulting in delays and reduced haulage efficiency. The loss of optimisation may impact performance, but does not directly prevent safe equipment operation.</v>
      </c>
      <c r="AJ38" t="str">
        <f>_xlfn.XLOOKUP($A38,'EA-Fortescue_SDExport'!$A:$A,'EA-Fortescue_SDExport'!AX:AX)</f>
        <v>CSV23F0279B</v>
      </c>
      <c r="AK38">
        <f>_xlfn.XLOOKUP($A38,'EA-Fortescue_SDExport'!$A:$A,'EA-Fortescue_SDExport'!AY:AY)</f>
        <v>0</v>
      </c>
    </row>
    <row r="39" spans="1:37" x14ac:dyDescent="0.25">
      <c r="A39" t="str">
        <v>DGS-I_0038</v>
      </c>
      <c r="B39" t="str">
        <f>_xlfn.XLOOKUP($A39,'EA-Fortescue_SDExport'!$A:$A,'EA-Fortescue_SDExport'!B:B)</f>
        <v>Class</v>
      </c>
      <c r="C39" t="str">
        <f>_xlfn.XLOOKUP($A39,'EA-Fortescue_SDExport'!$A:$A,'EA-Fortescue_SDExport'!C:C)</f>
        <v>{FE0D37E7-EB75-4a2e-B4D7-DF12711657AC}</v>
      </c>
      <c r="D39" t="str">
        <f>_xlfn.LET(_xlpm.result, _xlfn.XLOOKUP($A39, InterfaceRegister!$A:$A, InterfaceRegister!P:P), IF(_xlpm.result=0, "", _xlpm.result))</f>
        <v>LMS Review 30/10/2025: Planning to connect with Drill rig platform. _x000D_
Unknown platform to interface with. talking directly to the PLC for the first drill. _x000D_
Sam Ward is closer to Drill Rig platform. _x000D_
Owner of interface (Green systems Project team)._x000D_
NH 20/02/2026: Fields updated: Interface Flow._x000D_
NH 25/02/2026: Fields updated:Interface Type</v>
      </c>
      <c r="E39">
        <f>_xlfn.XLOOKUP($A39,'EA-Fortescue_SDExport'!$A:$A,'EA-Fortescue_SDExport'!E:E)</f>
        <v>1</v>
      </c>
      <c r="F39">
        <f>_xlfn.XLOOKUP($A39,'EA-Fortescue_SDExport'!$A:$A,'EA-Fortescue_SDExport'!F:F)</f>
        <v>1</v>
      </c>
      <c r="G39">
        <f>_xlfn.XLOOKUP($A39,'EA-Fortescue_SDExport'!$A:$A,'EA-Fortescue_SDExport'!G:G)</f>
        <v>0</v>
      </c>
      <c r="H39" t="str">
        <f>_xlfn.XLOOKUP($A39,'EA-Fortescue_SDExport'!$A:$A,'EA-Fortescue_SDExport'!H:H)</f>
        <v>InterfaceBlock</v>
      </c>
      <c r="I39" t="str">
        <f>_xlfn.XLOOKUP($A39,'EA-Fortescue_SDExport'!$A:$A,'EA-Fortescue_SDExport'!I:I)</f>
        <v>SysML1.4::InterfaceBlock</v>
      </c>
      <c r="J39" t="str">
        <f>_xlfn.XLOOKUP($A39,'EA-Fortescue_SDExport'!$A:$A,'EA-Fortescue_SDExport'!J:J)</f>
        <v>Java</v>
      </c>
      <c r="K39" t="str">
        <f>_xlfn.XLOOKUP($A39,'EA-Fortescue_SDExport'!$A:$A,'EA-Fortescue_SDExport'!K:K)</f>
        <v>Admin</v>
      </c>
      <c r="L39" t="str">
        <f>_xlfn.XLOOKUP($A39,'EA-Fortescue_SDExport'!$A:$A,'EA-Fortescue_SDExport'!L:L)</f>
        <v>Public</v>
      </c>
      <c r="M39">
        <f>_xlfn.XLOOKUP($A39,'EA-Fortescue_SDExport'!$A:$A,'EA-Fortescue_SDExport'!M:M)</f>
        <v>0</v>
      </c>
      <c r="N39" t="str">
        <f>_xlfn.XLOOKUP($A39,InterfaceRegister!$A:$A,InterfaceRegister!K:K)</f>
        <v>Proposed</v>
      </c>
      <c r="O39">
        <f>_xlfn.XLOOKUP($A39,'EA-Fortescue_SDExport'!$A:$A,'EA-Fortescue_SDExport'!O:O)</f>
        <v>1</v>
      </c>
      <c r="P39">
        <f>_xlfn.XLOOKUP($A39,'EA-Fortescue_SDExport'!$A:$A,'EA-Fortescue_SDExport'!P:P)</f>
        <v>0</v>
      </c>
      <c r="Q39">
        <f>_xlfn.XLOOKUP($A39,'EA-Fortescue_SDExport'!$A:$A,'EA-Fortescue_SDExport'!Q:Q)</f>
        <v>0</v>
      </c>
      <c r="R39">
        <f>_xlfn.XLOOKUP($A39,'EA-Fortescue_SDExport'!$A:$A,'EA-Fortescue_SDExport'!R:R)</f>
        <v>0</v>
      </c>
      <c r="S39">
        <f>_xlfn.XLOOKUP($A39,'EA-Fortescue_SDExport'!$A:$A,'EA-Fortescue_SDExport'!S:S)</f>
        <v>0</v>
      </c>
      <c r="T39">
        <f>_xlfn.XLOOKUP($A39,'EA-Fortescue_SDExport'!$A:$A,'EA-Fortescue_SDExport'!T:T)</f>
        <v>0</v>
      </c>
      <c r="U39">
        <f>_xlfn.XLOOKUP($A39,'EA-Fortescue_SDExport'!$A:$A,'EA-Fortescue_SDExport'!U:U)</f>
        <v>45897.926249999997</v>
      </c>
      <c r="V39">
        <f>_xlfn.XLOOKUP($A39,'EA-Fortescue_SDExport'!$A:$A,'EA-Fortescue_SDExport'!V:V)</f>
        <v>46077.99322916667</v>
      </c>
      <c r="W39">
        <f>_xlfn.XLOOKUP($A39,'EA-Fortescue_SDExport'!$A:$A,'EA-Fortescue_SDExport'!W:W)</f>
        <v>0</v>
      </c>
      <c r="X39">
        <f>_xlfn.XLOOKUP($A39,'EA-Fortescue_SDExport'!$A:$A,'EA-Fortescue_SDExport'!X:X)</f>
        <v>0</v>
      </c>
      <c r="Y39">
        <f>_xlfn.XLOOKUP($A39,'EA-Fortescue_SDExport'!$A:$A,'EA-Fortescue_SDExport'!Y:Y)</f>
        <v>0</v>
      </c>
      <c r="Z39" t="str">
        <f>_xlfn.XLOOKUP($A39,'EA-Fortescue_SDExport'!$A:$A,'EA-Fortescue_SDExport'!Z:Z)</f>
        <v>SysML1.4::InterfaceBlock</v>
      </c>
      <c r="AA39" t="str">
        <f>_xlfn.XLOOKUP($A39,InterfaceRegister!$A:$A,InterfaceRegister!B:B)</f>
        <v>855DC-1542-LMS Load Management System (LMS)|853DC-1561 Drill Rig</v>
      </c>
      <c r="AB39" t="str">
        <f>_xlfn.XLOOKUP($A39,InterfaceRegister!$A:$A,InterfaceRegister!C:C)</f>
        <v>Sam Hedgcock</v>
      </c>
      <c r="AC39" t="str">
        <f>_xlfn.XLOOKUP($A39,InterfaceRegister!$A:$A,InterfaceRegister!D:D)</f>
        <v>TBC</v>
      </c>
      <c r="AD39" t="str">
        <f>_xlfn.XLOOKUP($A39,InterfaceRegister!$A:$A,InterfaceRegister!E:E)</f>
        <v>System - Project Interface</v>
      </c>
      <c r="AE39" t="str">
        <f>_xlfn.XLOOKUP($A39,InterfaceRegister!$A:$A,InterfaceRegister!F:F)</f>
        <v>Technical-Electrical</v>
      </c>
      <c r="AF39" t="str">
        <f>_xlfn.XLOOKUP($A39,InterfaceRegister!$A:$A,InterfaceRegister!L:L)</f>
        <v>This interface enables the Load Management System to communicate electrical load constraints and supply conditions to drill rigs.</v>
      </c>
      <c r="AG39" t="str">
        <f>_xlfn.XLOOKUP($A39,InterfaceRegister!$A:$A,InterfaceRegister!M:M)</f>
        <v>MEDIUM</v>
      </c>
      <c r="AH39" t="str">
        <f>_xlfn.XLOOKUP($A39,InterfaceRegister!$A:$A,InterfaceRegister!O:O)</f>
        <v>Data Flow: Load Management System -&gt; Drill Rigs (electrical load limits, supply availability, demand response signals, curtailment instructions, network status) to manage power consumption within system constraints.</v>
      </c>
      <c r="AI39" t="str">
        <f>_xlfn.XLOOKUP($A39,InterfaceRegister!$A:$A,InterfaceRegister!N:N)</f>
        <v>The criticality level is MEDIUM because an outage may lead to overloading risks, or cause the rig to halt operation to prevent electrical issues. This can result in operational delays or equipment protection events that necessitate shutdowns or restricted operation.</v>
      </c>
      <c r="AJ39" t="str">
        <f>_xlfn.XLOOKUP($A39,'EA-Fortescue_SDExport'!$A:$A,'EA-Fortescue_SDExport'!AX:AX)</f>
        <v>CSV16AFE866</v>
      </c>
      <c r="AK39">
        <f>_xlfn.XLOOKUP($A39,'EA-Fortescue_SDExport'!$A:$A,'EA-Fortescue_SDExport'!AY:AY)</f>
        <v>0</v>
      </c>
    </row>
    <row r="40" spans="1:37" x14ac:dyDescent="0.25">
      <c r="A40" t="str">
        <v>DGS-I_0039</v>
      </c>
      <c r="B40" t="str">
        <f>_xlfn.XLOOKUP($A40,'EA-Fortescue_SDExport'!$A:$A,'EA-Fortescue_SDExport'!B:B)</f>
        <v>Class</v>
      </c>
      <c r="C40" t="str">
        <f>_xlfn.XLOOKUP($A40,'EA-Fortescue_SDExport'!$A:$A,'EA-Fortescue_SDExport'!C:C)</f>
        <v>{035712A2-BBF9-4c8e-819A-AB269FA2972B}</v>
      </c>
      <c r="D40" t="str">
        <f>_xlfn.LET(_xlpm.result, _xlfn.XLOOKUP($A40, InterfaceRegister!$A:$A, InterfaceRegister!P:P), IF(_xlpm.result=0, "", _xlpm.result))</f>
        <v>CSMS Review 30/10/2025: Speak to Energy Ops for this one._x000D_
NH 20/02/2026: Fields updated: Interface Type, Interface Flow.</v>
      </c>
      <c r="E40">
        <f>_xlfn.XLOOKUP($A40,'EA-Fortescue_SDExport'!$A:$A,'EA-Fortescue_SDExport'!E:E)</f>
        <v>1</v>
      </c>
      <c r="F40">
        <f>_xlfn.XLOOKUP($A40,'EA-Fortescue_SDExport'!$A:$A,'EA-Fortescue_SDExport'!F:F)</f>
        <v>1</v>
      </c>
      <c r="G40">
        <f>_xlfn.XLOOKUP($A40,'EA-Fortescue_SDExport'!$A:$A,'EA-Fortescue_SDExport'!G:G)</f>
        <v>0</v>
      </c>
      <c r="H40" t="str">
        <f>_xlfn.XLOOKUP($A40,'EA-Fortescue_SDExport'!$A:$A,'EA-Fortescue_SDExport'!H:H)</f>
        <v>InterfaceBlock</v>
      </c>
      <c r="I40" t="str">
        <f>_xlfn.XLOOKUP($A40,'EA-Fortescue_SDExport'!$A:$A,'EA-Fortescue_SDExport'!I:I)</f>
        <v>SysML1.4::InterfaceBlock</v>
      </c>
      <c r="J40" t="str">
        <f>_xlfn.XLOOKUP($A40,'EA-Fortescue_SDExport'!$A:$A,'EA-Fortescue_SDExport'!J:J)</f>
        <v>Java</v>
      </c>
      <c r="K40" t="str">
        <f>_xlfn.XLOOKUP($A40,'EA-Fortescue_SDExport'!$A:$A,'EA-Fortescue_SDExport'!K:K)</f>
        <v>Admin</v>
      </c>
      <c r="L40" t="str">
        <f>_xlfn.XLOOKUP($A40,'EA-Fortescue_SDExport'!$A:$A,'EA-Fortescue_SDExport'!L:L)</f>
        <v>Public</v>
      </c>
      <c r="M40">
        <f>_xlfn.XLOOKUP($A40,'EA-Fortescue_SDExport'!$A:$A,'EA-Fortescue_SDExport'!M:M)</f>
        <v>0</v>
      </c>
      <c r="N40" t="str">
        <f>_xlfn.XLOOKUP($A40,InterfaceRegister!$A:$A,InterfaceRegister!K:K)</f>
        <v>Proposed</v>
      </c>
      <c r="O40">
        <f>_xlfn.XLOOKUP($A40,'EA-Fortescue_SDExport'!$A:$A,'EA-Fortescue_SDExport'!O:O)</f>
        <v>1</v>
      </c>
      <c r="P40">
        <f>_xlfn.XLOOKUP($A40,'EA-Fortescue_SDExport'!$A:$A,'EA-Fortescue_SDExport'!P:P)</f>
        <v>0</v>
      </c>
      <c r="Q40">
        <f>_xlfn.XLOOKUP($A40,'EA-Fortescue_SDExport'!$A:$A,'EA-Fortescue_SDExport'!Q:Q)</f>
        <v>0</v>
      </c>
      <c r="R40">
        <f>_xlfn.XLOOKUP($A40,'EA-Fortescue_SDExport'!$A:$A,'EA-Fortescue_SDExport'!R:R)</f>
        <v>0</v>
      </c>
      <c r="S40">
        <f>_xlfn.XLOOKUP($A40,'EA-Fortescue_SDExport'!$A:$A,'EA-Fortescue_SDExport'!S:S)</f>
        <v>0</v>
      </c>
      <c r="T40">
        <f>_xlfn.XLOOKUP($A40,'EA-Fortescue_SDExport'!$A:$A,'EA-Fortescue_SDExport'!T:T)</f>
        <v>0</v>
      </c>
      <c r="U40">
        <f>_xlfn.XLOOKUP($A40,'EA-Fortescue_SDExport'!$A:$A,'EA-Fortescue_SDExport'!U:U)</f>
        <v>45897.996238425927</v>
      </c>
      <c r="V40">
        <f>_xlfn.XLOOKUP($A40,'EA-Fortescue_SDExport'!$A:$A,'EA-Fortescue_SDExport'!V:V)</f>
        <v>46077.993217592593</v>
      </c>
      <c r="W40">
        <f>_xlfn.XLOOKUP($A40,'EA-Fortescue_SDExport'!$A:$A,'EA-Fortescue_SDExport'!W:W)</f>
        <v>0</v>
      </c>
      <c r="X40">
        <f>_xlfn.XLOOKUP($A40,'EA-Fortescue_SDExport'!$A:$A,'EA-Fortescue_SDExport'!X:X)</f>
        <v>0</v>
      </c>
      <c r="Y40">
        <f>_xlfn.XLOOKUP($A40,'EA-Fortescue_SDExport'!$A:$A,'EA-Fortescue_SDExport'!Y:Y)</f>
        <v>0</v>
      </c>
      <c r="Z40" t="str">
        <f>_xlfn.XLOOKUP($A40,'EA-Fortescue_SDExport'!$A:$A,'EA-Fortescue_SDExport'!Z:Z)</f>
        <v>SysML1.4::InterfaceBlock</v>
      </c>
      <c r="AA40" t="str">
        <f>_xlfn.XLOOKUP($A40,InterfaceRegister!$A:$A,InterfaceRegister!B:B)</f>
        <v>854DC-1521 HV Substations|855DC-1543-008 Monarch</v>
      </c>
      <c r="AB40" t="str">
        <f>_xlfn.XLOOKUP($A40,InterfaceRegister!$A:$A,InterfaceRegister!C:C)</f>
        <v/>
      </c>
      <c r="AC40" t="str">
        <f>_xlfn.XLOOKUP($A40,InterfaceRegister!$A:$A,InterfaceRegister!D:D)</f>
        <v/>
      </c>
      <c r="AD40" t="str">
        <f>_xlfn.XLOOKUP($A40,InterfaceRegister!$A:$A,InterfaceRegister!E:E)</f>
        <v>System - Project Interface</v>
      </c>
      <c r="AE40" t="str">
        <f>_xlfn.XLOOKUP($A40,InterfaceRegister!$A:$A,InterfaceRegister!F:F)</f>
        <v>Technical-Electrical</v>
      </c>
      <c r="AF40" t="str">
        <f>_xlfn.XLOOKUP($A40,InterfaceRegister!$A:$A,InterfaceRegister!L:L)</f>
        <v>This interface connects site substations to the Monarch energy monitoring and management platform.</v>
      </c>
      <c r="AG40" t="str">
        <f>_xlfn.XLOOKUP($A40,InterfaceRegister!$A:$A,InterfaceRegister!M:M)</f>
        <v>HIGH</v>
      </c>
      <c r="AH40" t="str">
        <f>_xlfn.XLOOKUP($A40,InterfaceRegister!$A:$A,InterfaceRegister!O:O)</f>
        <v>Data Flow: HV Substations -&gt; Monarch (breaker status, protection relay status, voltage/current measurements, power flows, transformer status, alarms, fault events) for real-time monitoring and situational awareness._x000D_
Control Flow: Monarch -&gt; HV Substations (remote switching commands, open/close breaker commands, load transfer instructions, operating constraints) for supervisory control of distribution assets.</v>
      </c>
      <c r="AI40" t="str">
        <f>_xlfn.XLOOKUP($A40,InterfaceRegister!$A:$A,InterfaceRegister!N:N)</f>
        <v>The criticality level is HIGH because losing visibility or control of a substation can cause site-wide electrical risks or unplanned power loss. This may lead to production stoppages or safety issues, as substations are critical electrical nodes.</v>
      </c>
      <c r="AJ40" t="str">
        <f>_xlfn.XLOOKUP($A40,'EA-Fortescue_SDExport'!$A:$A,'EA-Fortescue_SDExport'!AX:AX)</f>
        <v>CSV6E82EC40</v>
      </c>
      <c r="AK40">
        <f>_xlfn.XLOOKUP($A40,'EA-Fortescue_SDExport'!$A:$A,'EA-Fortescue_SDExport'!AY:AY)</f>
        <v>0</v>
      </c>
    </row>
    <row r="41" spans="1:37" x14ac:dyDescent="0.25">
      <c r="A41" t="str">
        <v>DGS-I_0040</v>
      </c>
      <c r="B41" t="str">
        <f>_xlfn.XLOOKUP($A41,'EA-Fortescue_SDExport'!$A:$A,'EA-Fortescue_SDExport'!B:B)</f>
        <v>Class</v>
      </c>
      <c r="C41" t="str">
        <f>_xlfn.XLOOKUP($A41,'EA-Fortescue_SDExport'!$A:$A,'EA-Fortescue_SDExport'!C:C)</f>
        <v>{F30C2DEA-FC2A-4a40-8A94-9DA36D9EC2BA}</v>
      </c>
      <c r="D41" t="str">
        <f>_xlfn.LET(_xlpm.result, _xlfn.XLOOKUP($A41,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41">
        <f>_xlfn.XLOOKUP($A41,'EA-Fortescue_SDExport'!$A:$A,'EA-Fortescue_SDExport'!E:E)</f>
        <v>1</v>
      </c>
      <c r="F41">
        <f>_xlfn.XLOOKUP($A41,'EA-Fortescue_SDExport'!$A:$A,'EA-Fortescue_SDExport'!F:F)</f>
        <v>1</v>
      </c>
      <c r="G41">
        <f>_xlfn.XLOOKUP($A41,'EA-Fortescue_SDExport'!$A:$A,'EA-Fortescue_SDExport'!G:G)</f>
        <v>0</v>
      </c>
      <c r="H41" t="str">
        <f>_xlfn.XLOOKUP($A41,'EA-Fortescue_SDExport'!$A:$A,'EA-Fortescue_SDExport'!H:H)</f>
        <v>InterfaceBlock</v>
      </c>
      <c r="I41" t="str">
        <f>_xlfn.XLOOKUP($A41,'EA-Fortescue_SDExport'!$A:$A,'EA-Fortescue_SDExport'!I:I)</f>
        <v>SysML1.4::InterfaceBlock</v>
      </c>
      <c r="J41" t="str">
        <f>_xlfn.XLOOKUP($A41,'EA-Fortescue_SDExport'!$A:$A,'EA-Fortescue_SDExport'!J:J)</f>
        <v>Java</v>
      </c>
      <c r="K41" t="str">
        <f>_xlfn.XLOOKUP($A41,'EA-Fortescue_SDExport'!$A:$A,'EA-Fortescue_SDExport'!K:K)</f>
        <v>Admin</v>
      </c>
      <c r="L41" t="str">
        <f>_xlfn.XLOOKUP($A41,'EA-Fortescue_SDExport'!$A:$A,'EA-Fortescue_SDExport'!L:L)</f>
        <v>Public</v>
      </c>
      <c r="M41">
        <f>_xlfn.XLOOKUP($A41,'EA-Fortescue_SDExport'!$A:$A,'EA-Fortescue_SDExport'!M:M)</f>
        <v>0</v>
      </c>
      <c r="N41" t="str">
        <f>_xlfn.XLOOKUP($A41,InterfaceRegister!$A:$A,InterfaceRegister!K:K)</f>
        <v>Proposed</v>
      </c>
      <c r="O41">
        <f>_xlfn.XLOOKUP($A41,'EA-Fortescue_SDExport'!$A:$A,'EA-Fortescue_SDExport'!O:O)</f>
        <v>1</v>
      </c>
      <c r="P41">
        <f>_xlfn.XLOOKUP($A41,'EA-Fortescue_SDExport'!$A:$A,'EA-Fortescue_SDExport'!P:P)</f>
        <v>0</v>
      </c>
      <c r="Q41">
        <f>_xlfn.XLOOKUP($A41,'EA-Fortescue_SDExport'!$A:$A,'EA-Fortescue_SDExport'!Q:Q)</f>
        <v>0</v>
      </c>
      <c r="R41">
        <f>_xlfn.XLOOKUP($A41,'EA-Fortescue_SDExport'!$A:$A,'EA-Fortescue_SDExport'!R:R)</f>
        <v>0</v>
      </c>
      <c r="S41">
        <f>_xlfn.XLOOKUP($A41,'EA-Fortescue_SDExport'!$A:$A,'EA-Fortescue_SDExport'!S:S)</f>
        <v>0</v>
      </c>
      <c r="T41">
        <f>_xlfn.XLOOKUP($A41,'EA-Fortescue_SDExport'!$A:$A,'EA-Fortescue_SDExport'!T:T)</f>
        <v>0</v>
      </c>
      <c r="U41">
        <f>_xlfn.XLOOKUP($A41,'EA-Fortescue_SDExport'!$A:$A,'EA-Fortescue_SDExport'!U:U)</f>
        <v>45911.692476851851</v>
      </c>
      <c r="V41">
        <f>_xlfn.XLOOKUP($A41,'EA-Fortescue_SDExport'!$A:$A,'EA-Fortescue_SDExport'!V:V)</f>
        <v>46071.945694444446</v>
      </c>
      <c r="W41">
        <f>_xlfn.XLOOKUP($A41,'EA-Fortescue_SDExport'!$A:$A,'EA-Fortescue_SDExport'!W:W)</f>
        <v>0</v>
      </c>
      <c r="X41">
        <f>_xlfn.XLOOKUP($A41,'EA-Fortescue_SDExport'!$A:$A,'EA-Fortescue_SDExport'!X:X)</f>
        <v>0</v>
      </c>
      <c r="Y41">
        <f>_xlfn.XLOOKUP($A41,'EA-Fortescue_SDExport'!$A:$A,'EA-Fortescue_SDExport'!Y:Y)</f>
        <v>0</v>
      </c>
      <c r="Z41" t="str">
        <f>_xlfn.XLOOKUP($A41,'EA-Fortescue_SDExport'!$A:$A,'EA-Fortescue_SDExport'!Z:Z)</f>
        <v>SysML1.4::InterfaceBlock</v>
      </c>
      <c r="AA41" t="str">
        <f>_xlfn.XLOOKUP($A41,InterfaceRegister!$A:$A,InterfaceRegister!B:B)</f>
        <v>854DC-5660 HV Transmission lines|855DC-1543-PPC Pit Power Capacity Planning Tool - Capacity Check</v>
      </c>
      <c r="AB41" t="str">
        <f>_xlfn.XLOOKUP($A41,InterfaceRegister!$A:$A,InterfaceRegister!C:C)</f>
        <v/>
      </c>
      <c r="AC41" t="str">
        <f>_xlfn.XLOOKUP($A41,InterfaceRegister!$A:$A,InterfaceRegister!D:D)</f>
        <v/>
      </c>
      <c r="AD41" t="str">
        <f>_xlfn.XLOOKUP($A41,InterfaceRegister!$A:$A,InterfaceRegister!E:E)</f>
        <v>System - Project Interface</v>
      </c>
      <c r="AE41" t="str">
        <f>_xlfn.XLOOKUP($A41,InterfaceRegister!$A:$A,InterfaceRegister!F:F)</f>
        <v>Technical - Data/Software</v>
      </c>
      <c r="AF41" t="str">
        <f>_xlfn.XLOOKUP($A41,InterfaceRegister!$A:$A,InterfaceRegister!L:L)</f>
        <v>This interface enables Pit Power Capacity Planning Tool - Capacity Check to reference and assess the capacity, constraints, and operational limits of the HV Transmission Lines. The tool uses network ratings and configuration data to evaluate power transfer capability and identify potential bottlenecks or overload risks during capacity validation studies. The interface supports engineering assessment but does not directly control or operate the physical assets.</v>
      </c>
      <c r="AG41" t="str">
        <f>_xlfn.XLOOKUP($A41,InterfaceRegister!$A:$A,InterfaceRegister!M:M)</f>
        <v>MEDIUM</v>
      </c>
      <c r="AH41" t="str">
        <f>_xlfn.XLOOKUP($A41,InterfaceRegister!$A:$A,InterfaceRegister!O:O)</f>
        <v>HV Transmission Lines -&gt; Pit Power Capacity Planning Tool - Capacity Check</v>
      </c>
      <c r="AI41" t="str">
        <f>_xlfn.XLOOKUP($A41,InterfaceRegister!$A:$A,InterfaceRegister!N:N)</f>
        <v>The criticality is MEDIUM because inaccurate or unavailable transmission data may result in incorrect capacity assessments and planning decisions. However, this interface does not directly impact real-time protection, control, or system safety, and physical network operation remains independent of the planning tool.</v>
      </c>
      <c r="AJ41" t="str">
        <f>_xlfn.XLOOKUP($A41,'EA-Fortescue_SDExport'!$A:$A,'EA-Fortescue_SDExport'!AX:AX)</f>
        <v>CSVA04EF9D3</v>
      </c>
      <c r="AK41">
        <f>_xlfn.XLOOKUP($A41,'EA-Fortescue_SDExport'!$A:$A,'EA-Fortescue_SDExport'!AY:AY)</f>
        <v>0</v>
      </c>
    </row>
    <row r="42" spans="1:37" x14ac:dyDescent="0.25">
      <c r="A42" t="str">
        <v>DGS-I_0041</v>
      </c>
      <c r="B42" t="str">
        <f>_xlfn.XLOOKUP($A42,'EA-Fortescue_SDExport'!$A:$A,'EA-Fortescue_SDExport'!B:B)</f>
        <v>Class</v>
      </c>
      <c r="C42" t="str">
        <f>_xlfn.XLOOKUP($A42,'EA-Fortescue_SDExport'!$A:$A,'EA-Fortescue_SDExport'!C:C)</f>
        <v>{9344BA32-D171-4ac2-9A3D-3AD8935F7040}</v>
      </c>
      <c r="D42" t="str">
        <f>_xlfn.LET(_xlpm.result, _xlfn.XLOOKUP($A42,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42">
        <f>_xlfn.XLOOKUP($A42,'EA-Fortescue_SDExport'!$A:$A,'EA-Fortescue_SDExport'!E:E)</f>
        <v>1</v>
      </c>
      <c r="F42">
        <f>_xlfn.XLOOKUP($A42,'EA-Fortescue_SDExport'!$A:$A,'EA-Fortescue_SDExport'!F:F)</f>
        <v>1</v>
      </c>
      <c r="G42">
        <f>_xlfn.XLOOKUP($A42,'EA-Fortescue_SDExport'!$A:$A,'EA-Fortescue_SDExport'!G:G)</f>
        <v>0</v>
      </c>
      <c r="H42" t="str">
        <f>_xlfn.XLOOKUP($A42,'EA-Fortescue_SDExport'!$A:$A,'EA-Fortescue_SDExport'!H:H)</f>
        <v>InterfaceBlock</v>
      </c>
      <c r="I42" t="str">
        <f>_xlfn.XLOOKUP($A42,'EA-Fortescue_SDExport'!$A:$A,'EA-Fortescue_SDExport'!I:I)</f>
        <v>SysML1.4::InterfaceBlock</v>
      </c>
      <c r="J42" t="str">
        <f>_xlfn.XLOOKUP($A42,'EA-Fortescue_SDExport'!$A:$A,'EA-Fortescue_SDExport'!J:J)</f>
        <v>Java</v>
      </c>
      <c r="K42" t="str">
        <f>_xlfn.XLOOKUP($A42,'EA-Fortescue_SDExport'!$A:$A,'EA-Fortescue_SDExport'!K:K)</f>
        <v>Admin</v>
      </c>
      <c r="L42" t="str">
        <f>_xlfn.XLOOKUP($A42,'EA-Fortescue_SDExport'!$A:$A,'EA-Fortescue_SDExport'!L:L)</f>
        <v>Public</v>
      </c>
      <c r="M42">
        <f>_xlfn.XLOOKUP($A42,'EA-Fortescue_SDExport'!$A:$A,'EA-Fortescue_SDExport'!M:M)</f>
        <v>0</v>
      </c>
      <c r="N42" t="str">
        <f>_xlfn.XLOOKUP($A42,InterfaceRegister!$A:$A,InterfaceRegister!K:K)</f>
        <v>Proposed</v>
      </c>
      <c r="O42">
        <f>_xlfn.XLOOKUP($A42,'EA-Fortescue_SDExport'!$A:$A,'EA-Fortescue_SDExport'!O:O)</f>
        <v>1</v>
      </c>
      <c r="P42">
        <f>_xlfn.XLOOKUP($A42,'EA-Fortescue_SDExport'!$A:$A,'EA-Fortescue_SDExport'!P:P)</f>
        <v>0</v>
      </c>
      <c r="Q42">
        <f>_xlfn.XLOOKUP($A42,'EA-Fortescue_SDExport'!$A:$A,'EA-Fortescue_SDExport'!Q:Q)</f>
        <v>0</v>
      </c>
      <c r="R42">
        <f>_xlfn.XLOOKUP($A42,'EA-Fortescue_SDExport'!$A:$A,'EA-Fortescue_SDExport'!R:R)</f>
        <v>0</v>
      </c>
      <c r="S42">
        <f>_xlfn.XLOOKUP($A42,'EA-Fortescue_SDExport'!$A:$A,'EA-Fortescue_SDExport'!S:S)</f>
        <v>0</v>
      </c>
      <c r="T42">
        <f>_xlfn.XLOOKUP($A42,'EA-Fortescue_SDExport'!$A:$A,'EA-Fortescue_SDExport'!T:T)</f>
        <v>0</v>
      </c>
      <c r="U42">
        <f>_xlfn.XLOOKUP($A42,'EA-Fortescue_SDExport'!$A:$A,'EA-Fortescue_SDExport'!U:U)</f>
        <v>45911.69259259259</v>
      </c>
      <c r="V42">
        <f>_xlfn.XLOOKUP($A42,'EA-Fortescue_SDExport'!$A:$A,'EA-Fortescue_SDExport'!V:V)</f>
        <v>46071.945856481485</v>
      </c>
      <c r="W42">
        <f>_xlfn.XLOOKUP($A42,'EA-Fortescue_SDExport'!$A:$A,'EA-Fortescue_SDExport'!W:W)</f>
        <v>0</v>
      </c>
      <c r="X42">
        <f>_xlfn.XLOOKUP($A42,'EA-Fortescue_SDExport'!$A:$A,'EA-Fortescue_SDExport'!X:X)</f>
        <v>0</v>
      </c>
      <c r="Y42">
        <f>_xlfn.XLOOKUP($A42,'EA-Fortescue_SDExport'!$A:$A,'EA-Fortescue_SDExport'!Y:Y)</f>
        <v>0</v>
      </c>
      <c r="Z42" t="str">
        <f>_xlfn.XLOOKUP($A42,'EA-Fortescue_SDExport'!$A:$A,'EA-Fortescue_SDExport'!Z:Z)</f>
        <v>SysML1.4::InterfaceBlock</v>
      </c>
      <c r="AA42" t="str">
        <f>_xlfn.XLOOKUP($A42,InterfaceRegister!$A:$A,InterfaceRegister!B:B)</f>
        <v>853DC-1561 Drill Rig|855DC-1543-PPC Pit Power Capacity Planning Tool - Capacity Check</v>
      </c>
      <c r="AB42" t="str">
        <f>_xlfn.XLOOKUP($A42,InterfaceRegister!$A:$A,InterfaceRegister!C:C)</f>
        <v/>
      </c>
      <c r="AC42" t="str">
        <f>_xlfn.XLOOKUP($A42,InterfaceRegister!$A:$A,InterfaceRegister!D:D)</f>
        <v/>
      </c>
      <c r="AD42" t="str">
        <f>_xlfn.XLOOKUP($A42,InterfaceRegister!$A:$A,InterfaceRegister!E:E)</f>
        <v>System - Project Interface</v>
      </c>
      <c r="AE42" t="str">
        <f>_xlfn.XLOOKUP($A42,InterfaceRegister!$A:$A,InterfaceRegister!F:F)</f>
        <v>Technical - Data/Software</v>
      </c>
      <c r="AF42" t="str">
        <f>_xlfn.XLOOKUP($A42,InterfaceRegister!$A:$A,InterfaceRegister!L:L)</f>
        <v>This interface enables Pit Power Capacity Planning Tool - Capacity Check to reference load demand characteristics and operating profiles of the Drill Rig fleet. The tool uses this information to assess peak demand, diversity, and network capacity impacts during power system capacity validation studies. The interface is analytical only and does not control or influence drill rig operation.</v>
      </c>
      <c r="AG42" t="str">
        <f>_xlfn.XLOOKUP($A42,InterfaceRegister!$A:$A,InterfaceRegister!M:M)</f>
        <v>MEDIUM</v>
      </c>
      <c r="AH42" t="str">
        <f>_xlfn.XLOOKUP($A42,InterfaceRegister!$A:$A,InterfaceRegister!O:O)</f>
        <v>Drill Rig -&gt; Pit Power Capacity Planning Tool - Capacity Check</v>
      </c>
      <c r="AI42" t="str">
        <f>_xlfn.XLOOKUP($A42,InterfaceRegister!$A:$A,InterfaceRegister!N:N)</f>
        <v>The criticality level is MEDIUM because inaccurate or unavailable drill rig load data may lead to incorrect capacity assessments or infrastructure sizing decisions. However, this interface does not affect real-time drill rig control, protection systems, or operational safety.</v>
      </c>
      <c r="AJ42" t="str">
        <f>_xlfn.XLOOKUP($A42,'EA-Fortescue_SDExport'!$A:$A,'EA-Fortescue_SDExport'!AX:AX)</f>
        <v>CSV0B5B0A73</v>
      </c>
      <c r="AK42">
        <f>_xlfn.XLOOKUP($A42,'EA-Fortescue_SDExport'!$A:$A,'EA-Fortescue_SDExport'!AY:AY)</f>
        <v>0</v>
      </c>
    </row>
    <row r="43" spans="1:37" x14ac:dyDescent="0.25">
      <c r="A43" t="str">
        <v>DGS-I_0042</v>
      </c>
      <c r="B43" t="str">
        <f>_xlfn.XLOOKUP($A43,'EA-Fortescue_SDExport'!$A:$A,'EA-Fortescue_SDExport'!B:B)</f>
        <v>Class</v>
      </c>
      <c r="C43" t="str">
        <f>_xlfn.XLOOKUP($A43,'EA-Fortescue_SDExport'!$A:$A,'EA-Fortescue_SDExport'!C:C)</f>
        <v>{38BC918A-92F2-410e-B461-D4DC83FFF00A}</v>
      </c>
      <c r="D43" t="str">
        <f>_xlfn.LET(_xlpm.result, _xlfn.XLOOKUP($A43,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See Diagram A.03.01 Charge Station Management System (CSMS), A.03.02 Load Management System (LMS), and A.02.03 Mine Electrification SCADA: e.g. F.01 Ore Processing Facility (OPF) and F.03 Dewatering Pumps;_x000D_
See Diagram A.02.02 MECO, A.02.04 Monarch, A.01.01 Eclipse, and A.01.03 Delphi: e.g. F.01 Ore Processing Facility (OPF), F.03 Dewatering Pumps, G.02 Field Switches, and G.03 Sub Kiosks;_x000D_
See Diagram A.01.02 LiveWire: e.g. F.01 Ore Processing Facility (OPF), F.03 Dewatering Pumps, G.02 Field Switches, G.03 Sub Kiosks, G.01 Chargers, and B. Heavy Mobile Equipment (HME)._x000D_
SBS-WBS Mapping 02/01/2026: Delete LME &amp;amp; Merge LME &amp;amp; SME to combined Program Level - Interface deleted.</v>
      </c>
      <c r="E43">
        <f>_xlfn.XLOOKUP($A43,'EA-Fortescue_SDExport'!$A:$A,'EA-Fortescue_SDExport'!E:E)</f>
        <v>1</v>
      </c>
      <c r="F43">
        <f>_xlfn.XLOOKUP($A43,'EA-Fortescue_SDExport'!$A:$A,'EA-Fortescue_SDExport'!F:F)</f>
        <v>1</v>
      </c>
      <c r="G43">
        <f>_xlfn.XLOOKUP($A43,'EA-Fortescue_SDExport'!$A:$A,'EA-Fortescue_SDExport'!G:G)</f>
        <v>0</v>
      </c>
      <c r="H43" t="str">
        <f>_xlfn.XLOOKUP($A43,'EA-Fortescue_SDExport'!$A:$A,'EA-Fortescue_SDExport'!H:H)</f>
        <v>InterfaceBlock</v>
      </c>
      <c r="I43" t="str">
        <f>_xlfn.XLOOKUP($A43,'EA-Fortescue_SDExport'!$A:$A,'EA-Fortescue_SDExport'!I:I)</f>
        <v>SysML1.4::InterfaceBlock</v>
      </c>
      <c r="J43" t="str">
        <f>_xlfn.XLOOKUP($A43,'EA-Fortescue_SDExport'!$A:$A,'EA-Fortescue_SDExport'!J:J)</f>
        <v>Java</v>
      </c>
      <c r="K43" t="str">
        <f>_xlfn.XLOOKUP($A43,'EA-Fortescue_SDExport'!$A:$A,'EA-Fortescue_SDExport'!K:K)</f>
        <v>Admin</v>
      </c>
      <c r="L43" t="str">
        <f>_xlfn.XLOOKUP($A43,'EA-Fortescue_SDExport'!$A:$A,'EA-Fortescue_SDExport'!L:L)</f>
        <v>Public</v>
      </c>
      <c r="M43">
        <f>_xlfn.XLOOKUP($A43,'EA-Fortescue_SDExport'!$A:$A,'EA-Fortescue_SDExport'!M:M)</f>
        <v>0</v>
      </c>
      <c r="N43" t="str">
        <f>_xlfn.XLOOKUP($A43,InterfaceRegister!$A:$A,InterfaceRegister!K:K)</f>
        <v>Deleted</v>
      </c>
      <c r="O43">
        <f>_xlfn.XLOOKUP($A43,'EA-Fortescue_SDExport'!$A:$A,'EA-Fortescue_SDExport'!O:O)</f>
        <v>1</v>
      </c>
      <c r="P43">
        <f>_xlfn.XLOOKUP($A43,'EA-Fortescue_SDExport'!$A:$A,'EA-Fortescue_SDExport'!P:P)</f>
        <v>0</v>
      </c>
      <c r="Q43">
        <f>_xlfn.XLOOKUP($A43,'EA-Fortescue_SDExport'!$A:$A,'EA-Fortescue_SDExport'!Q:Q)</f>
        <v>0</v>
      </c>
      <c r="R43">
        <f>_xlfn.XLOOKUP($A43,'EA-Fortescue_SDExport'!$A:$A,'EA-Fortescue_SDExport'!R:R)</f>
        <v>0</v>
      </c>
      <c r="S43">
        <f>_xlfn.XLOOKUP($A43,'EA-Fortescue_SDExport'!$A:$A,'EA-Fortescue_SDExport'!S:S)</f>
        <v>0</v>
      </c>
      <c r="T43">
        <f>_xlfn.XLOOKUP($A43,'EA-Fortescue_SDExport'!$A:$A,'EA-Fortescue_SDExport'!T:T)</f>
        <v>0</v>
      </c>
      <c r="U43">
        <f>_xlfn.XLOOKUP($A43,'EA-Fortescue_SDExport'!$A:$A,'EA-Fortescue_SDExport'!U:U)</f>
        <v>45911.692766203705</v>
      </c>
      <c r="V43">
        <f>_xlfn.XLOOKUP($A43,'EA-Fortescue_SDExport'!$A:$A,'EA-Fortescue_SDExport'!V:V)</f>
        <v>46029.96303240741</v>
      </c>
      <c r="W43">
        <f>_xlfn.XLOOKUP($A43,'EA-Fortescue_SDExport'!$A:$A,'EA-Fortescue_SDExport'!W:W)</f>
        <v>0</v>
      </c>
      <c r="X43">
        <f>_xlfn.XLOOKUP($A43,'EA-Fortescue_SDExport'!$A:$A,'EA-Fortescue_SDExport'!X:X)</f>
        <v>0</v>
      </c>
      <c r="Y43">
        <f>_xlfn.XLOOKUP($A43,'EA-Fortescue_SDExport'!$A:$A,'EA-Fortescue_SDExport'!Y:Y)</f>
        <v>0</v>
      </c>
      <c r="Z43" t="str">
        <f>_xlfn.XLOOKUP($A43,'EA-Fortescue_SDExport'!$A:$A,'EA-Fortescue_SDExport'!Z:Z)</f>
        <v>SysML1.4::InterfaceBlock</v>
      </c>
      <c r="AA43" t="str">
        <f>_xlfn.XLOOKUP($A43,InterfaceRegister!$A:$A,InterfaceRegister!B:B)</f>
        <v>Archive - 852DC Light Mobile Equipment (LME)|855DC-1543-PPC Pit Power Capacity Planning Tool - Capacity Check</v>
      </c>
      <c r="AB43" t="str">
        <f>_xlfn.XLOOKUP($A43,InterfaceRegister!$A:$A,InterfaceRegister!C:C)</f>
        <v/>
      </c>
      <c r="AC43" t="str">
        <f>_xlfn.XLOOKUP($A43,InterfaceRegister!$A:$A,InterfaceRegister!D:D)</f>
        <v/>
      </c>
      <c r="AD43" t="str">
        <f>_xlfn.XLOOKUP($A43,InterfaceRegister!$A:$A,InterfaceRegister!E:E)</f>
        <v>Program - Project Interface</v>
      </c>
      <c r="AE43" t="str">
        <f>_xlfn.XLOOKUP($A43,InterfaceRegister!$A:$A,InterfaceRegister!F:F)</f>
        <v/>
      </c>
      <c r="AF43" t="str">
        <f>_xlfn.XLOOKUP($A43,InterfaceRegister!$A:$A,InterfaceRegister!L:L)</f>
        <v/>
      </c>
      <c r="AG43" t="str">
        <f>_xlfn.XLOOKUP($A43,InterfaceRegister!$A:$A,InterfaceRegister!M:M)</f>
        <v/>
      </c>
      <c r="AH43" t="str">
        <f>_xlfn.XLOOKUP($A43,InterfaceRegister!$A:$A,InterfaceRegister!O:O)</f>
        <v/>
      </c>
      <c r="AI43" t="str">
        <f>_xlfn.XLOOKUP($A43,InterfaceRegister!$A:$A,InterfaceRegister!N:N)</f>
        <v/>
      </c>
      <c r="AJ43" t="str">
        <f>_xlfn.XLOOKUP($A43,'EA-Fortescue_SDExport'!$A:$A,'EA-Fortescue_SDExport'!AX:AX)</f>
        <v>CSVFC8DD10D</v>
      </c>
      <c r="AK43">
        <f>_xlfn.XLOOKUP($A43,'EA-Fortescue_SDExport'!$A:$A,'EA-Fortescue_SDExport'!AY:AY)</f>
        <v>0</v>
      </c>
    </row>
    <row r="44" spans="1:37" x14ac:dyDescent="0.25">
      <c r="A44" t="str">
        <v>DGS-I_0043</v>
      </c>
      <c r="B44" t="str">
        <f>_xlfn.XLOOKUP($A44,'EA-Fortescue_SDExport'!$A:$A,'EA-Fortescue_SDExport'!B:B)</f>
        <v>Class</v>
      </c>
      <c r="C44" t="str">
        <f>_xlfn.XLOOKUP($A44,'EA-Fortescue_SDExport'!$A:$A,'EA-Fortescue_SDExport'!C:C)</f>
        <v>{34D7CBA6-4F33-4e9b-8CC9-8B29CFC7E9A5}</v>
      </c>
      <c r="D44" t="str">
        <f>_xlfn.LET(_xlpm.result, _xlfn.XLOOKUP($A44, InterfaceRegister!$A:$A, InterfaceRegister!P:P), IF(_xlpm.result=0, "", _xlpm.result))</f>
        <v>Interface Review 25/11/2025: Delete</v>
      </c>
      <c r="E44">
        <f>_xlfn.XLOOKUP($A44,'EA-Fortescue_SDExport'!$A:$A,'EA-Fortescue_SDExport'!E:E)</f>
        <v>1</v>
      </c>
      <c r="F44">
        <f>_xlfn.XLOOKUP($A44,'EA-Fortescue_SDExport'!$A:$A,'EA-Fortescue_SDExport'!F:F)</f>
        <v>1</v>
      </c>
      <c r="G44">
        <f>_xlfn.XLOOKUP($A44,'EA-Fortescue_SDExport'!$A:$A,'EA-Fortescue_SDExport'!G:G)</f>
        <v>0</v>
      </c>
      <c r="H44" t="str">
        <f>_xlfn.XLOOKUP($A44,'EA-Fortescue_SDExport'!$A:$A,'EA-Fortescue_SDExport'!H:H)</f>
        <v>InterfaceBlock</v>
      </c>
      <c r="I44" t="str">
        <f>_xlfn.XLOOKUP($A44,'EA-Fortescue_SDExport'!$A:$A,'EA-Fortescue_SDExport'!I:I)</f>
        <v>SysML1.4::InterfaceBlock</v>
      </c>
      <c r="J44" t="str">
        <f>_xlfn.XLOOKUP($A44,'EA-Fortescue_SDExport'!$A:$A,'EA-Fortescue_SDExport'!J:J)</f>
        <v>Java</v>
      </c>
      <c r="K44" t="str">
        <f>_xlfn.XLOOKUP($A44,'EA-Fortescue_SDExport'!$A:$A,'EA-Fortescue_SDExport'!K:K)</f>
        <v>Admin</v>
      </c>
      <c r="L44" t="str">
        <f>_xlfn.XLOOKUP($A44,'EA-Fortescue_SDExport'!$A:$A,'EA-Fortescue_SDExport'!L:L)</f>
        <v>Public</v>
      </c>
      <c r="M44">
        <f>_xlfn.XLOOKUP($A44,'EA-Fortescue_SDExport'!$A:$A,'EA-Fortescue_SDExport'!M:M)</f>
        <v>0</v>
      </c>
      <c r="N44" t="str">
        <f>_xlfn.XLOOKUP($A44,InterfaceRegister!$A:$A,InterfaceRegister!K:K)</f>
        <v>Deleted</v>
      </c>
      <c r="O44">
        <f>_xlfn.XLOOKUP($A44,'EA-Fortescue_SDExport'!$A:$A,'EA-Fortescue_SDExport'!O:O)</f>
        <v>1</v>
      </c>
      <c r="P44">
        <f>_xlfn.XLOOKUP($A44,'EA-Fortescue_SDExport'!$A:$A,'EA-Fortescue_SDExport'!P:P)</f>
        <v>0</v>
      </c>
      <c r="Q44">
        <f>_xlfn.XLOOKUP($A44,'EA-Fortescue_SDExport'!$A:$A,'EA-Fortescue_SDExport'!Q:Q)</f>
        <v>0</v>
      </c>
      <c r="R44">
        <f>_xlfn.XLOOKUP($A44,'EA-Fortescue_SDExport'!$A:$A,'EA-Fortescue_SDExport'!R:R)</f>
        <v>0</v>
      </c>
      <c r="S44">
        <f>_xlfn.XLOOKUP($A44,'EA-Fortescue_SDExport'!$A:$A,'EA-Fortescue_SDExport'!S:S)</f>
        <v>0</v>
      </c>
      <c r="T44">
        <f>_xlfn.XLOOKUP($A44,'EA-Fortescue_SDExport'!$A:$A,'EA-Fortescue_SDExport'!T:T)</f>
        <v>0</v>
      </c>
      <c r="U44">
        <f>_xlfn.XLOOKUP($A44,'EA-Fortescue_SDExport'!$A:$A,'EA-Fortescue_SDExport'!U:U)</f>
        <v>45944.492962962962</v>
      </c>
      <c r="V44">
        <f>_xlfn.XLOOKUP($A44,'EA-Fortescue_SDExport'!$A:$A,'EA-Fortescue_SDExport'!V:V)</f>
        <v>46002.06759259259</v>
      </c>
      <c r="W44">
        <f>_xlfn.XLOOKUP($A44,'EA-Fortescue_SDExport'!$A:$A,'EA-Fortescue_SDExport'!W:W)</f>
        <v>0</v>
      </c>
      <c r="X44">
        <f>_xlfn.XLOOKUP($A44,'EA-Fortescue_SDExport'!$A:$A,'EA-Fortescue_SDExport'!X:X)</f>
        <v>0</v>
      </c>
      <c r="Y44">
        <f>_xlfn.XLOOKUP($A44,'EA-Fortescue_SDExport'!$A:$A,'EA-Fortescue_SDExport'!Y:Y)</f>
        <v>0</v>
      </c>
      <c r="Z44" t="str">
        <f>_xlfn.XLOOKUP($A44,'EA-Fortescue_SDExport'!$A:$A,'EA-Fortescue_SDExport'!Z:Z)</f>
        <v>SysML1.4::InterfaceBlock</v>
      </c>
      <c r="AA44" t="str">
        <f>_xlfn.XLOOKUP($A44,InterfaceRegister!$A:$A,InterfaceRegister!B:B)</f>
        <v>855DC-1541-ECL Eclipse|003OP-1800 Gas pipeline</v>
      </c>
      <c r="AB44" t="str">
        <f>_xlfn.XLOOKUP($A44,InterfaceRegister!$A:$A,InterfaceRegister!C:C)</f>
        <v/>
      </c>
      <c r="AC44" t="str">
        <f>_xlfn.XLOOKUP($A44,InterfaceRegister!$A:$A,InterfaceRegister!D:D)</f>
        <v/>
      </c>
      <c r="AD44" t="str">
        <f>_xlfn.XLOOKUP($A44,InterfaceRegister!$A:$A,InterfaceRegister!E:E)</f>
        <v>System - Project Interface</v>
      </c>
      <c r="AE44" t="str">
        <f>_xlfn.XLOOKUP($A44,InterfaceRegister!$A:$A,InterfaceRegister!F:F)</f>
        <v/>
      </c>
      <c r="AF44" t="str">
        <f>_xlfn.XLOOKUP($A44,InterfaceRegister!$A:$A,InterfaceRegister!L:L)</f>
        <v/>
      </c>
      <c r="AG44" t="str">
        <f>_xlfn.XLOOKUP($A44,InterfaceRegister!$A:$A,InterfaceRegister!M:M)</f>
        <v/>
      </c>
      <c r="AH44" t="str">
        <f>_xlfn.XLOOKUP($A44,InterfaceRegister!$A:$A,InterfaceRegister!O:O)</f>
        <v/>
      </c>
      <c r="AI44" t="str">
        <f>_xlfn.XLOOKUP($A44,InterfaceRegister!$A:$A,InterfaceRegister!N:N)</f>
        <v/>
      </c>
      <c r="AJ44" t="str">
        <f>_xlfn.XLOOKUP($A44,'EA-Fortescue_SDExport'!$A:$A,'EA-Fortescue_SDExport'!AX:AX)</f>
        <v>CSVAA89EEED</v>
      </c>
      <c r="AK44">
        <f>_xlfn.XLOOKUP($A44,'EA-Fortescue_SDExport'!$A:$A,'EA-Fortescue_SDExport'!AY:AY)</f>
        <v>0</v>
      </c>
    </row>
    <row r="45" spans="1:37" x14ac:dyDescent="0.25">
      <c r="A45" t="str">
        <v>DGS-I_0044</v>
      </c>
      <c r="B45" t="str">
        <f>_xlfn.XLOOKUP($A45,'EA-Fortescue_SDExport'!$A:$A,'EA-Fortescue_SDExport'!B:B)</f>
        <v>Class</v>
      </c>
      <c r="C45" t="str">
        <f>_xlfn.XLOOKUP($A45,'EA-Fortescue_SDExport'!$A:$A,'EA-Fortescue_SDExport'!C:C)</f>
        <v>{13C316B9-AF65-41ce-A6E5-7BC8078A5C4C}</v>
      </c>
      <c r="D45" t="str">
        <f>_xlfn.LET(_xlpm.result, _xlfn.XLOOKUP($A45, InterfaceRegister!$A:$A, InterfaceRegister!P:P), IF(_xlpm.result=0, "", _xlpm.result))</f>
        <v>NH 20/02/2026: Fields updated: Interface Type, Interface Criticality Explanation, Interface Flow.</v>
      </c>
      <c r="E45">
        <f>_xlfn.XLOOKUP($A45,'EA-Fortescue_SDExport'!$A:$A,'EA-Fortescue_SDExport'!E:E)</f>
        <v>1</v>
      </c>
      <c r="F45">
        <f>_xlfn.XLOOKUP($A45,'EA-Fortescue_SDExport'!$A:$A,'EA-Fortescue_SDExport'!F:F)</f>
        <v>1</v>
      </c>
      <c r="G45">
        <f>_xlfn.XLOOKUP($A45,'EA-Fortescue_SDExport'!$A:$A,'EA-Fortescue_SDExport'!G:G)</f>
        <v>0</v>
      </c>
      <c r="H45" t="str">
        <f>_xlfn.XLOOKUP($A45,'EA-Fortescue_SDExport'!$A:$A,'EA-Fortescue_SDExport'!H:H)</f>
        <v>InterfaceBlock</v>
      </c>
      <c r="I45" t="str">
        <f>_xlfn.XLOOKUP($A45,'EA-Fortescue_SDExport'!$A:$A,'EA-Fortescue_SDExport'!I:I)</f>
        <v>SysML1.4::InterfaceBlock</v>
      </c>
      <c r="J45" t="str">
        <f>_xlfn.XLOOKUP($A45,'EA-Fortescue_SDExport'!$A:$A,'EA-Fortescue_SDExport'!J:J)</f>
        <v>Java</v>
      </c>
      <c r="K45" t="str">
        <f>_xlfn.XLOOKUP($A45,'EA-Fortescue_SDExport'!$A:$A,'EA-Fortescue_SDExport'!K:K)</f>
        <v>Admin</v>
      </c>
      <c r="L45" t="str">
        <f>_xlfn.XLOOKUP($A45,'EA-Fortescue_SDExport'!$A:$A,'EA-Fortescue_SDExport'!L:L)</f>
        <v>Public</v>
      </c>
      <c r="M45">
        <f>_xlfn.XLOOKUP($A45,'EA-Fortescue_SDExport'!$A:$A,'EA-Fortescue_SDExport'!M:M)</f>
        <v>0</v>
      </c>
      <c r="N45" t="str">
        <f>_xlfn.XLOOKUP($A45,InterfaceRegister!$A:$A,InterfaceRegister!K:K)</f>
        <v>Proposed</v>
      </c>
      <c r="O45">
        <f>_xlfn.XLOOKUP($A45,'EA-Fortescue_SDExport'!$A:$A,'EA-Fortescue_SDExport'!O:O)</f>
        <v>1</v>
      </c>
      <c r="P45">
        <f>_xlfn.XLOOKUP($A45,'EA-Fortescue_SDExport'!$A:$A,'EA-Fortescue_SDExport'!P:P)</f>
        <v>0</v>
      </c>
      <c r="Q45">
        <f>_xlfn.XLOOKUP($A45,'EA-Fortescue_SDExport'!$A:$A,'EA-Fortescue_SDExport'!Q:Q)</f>
        <v>0</v>
      </c>
      <c r="R45">
        <f>_xlfn.XLOOKUP($A45,'EA-Fortescue_SDExport'!$A:$A,'EA-Fortescue_SDExport'!R:R)</f>
        <v>0</v>
      </c>
      <c r="S45">
        <f>_xlfn.XLOOKUP($A45,'EA-Fortescue_SDExport'!$A:$A,'EA-Fortescue_SDExport'!S:S)</f>
        <v>0</v>
      </c>
      <c r="T45">
        <f>_xlfn.XLOOKUP($A45,'EA-Fortescue_SDExport'!$A:$A,'EA-Fortescue_SDExport'!T:T)</f>
        <v>0</v>
      </c>
      <c r="U45">
        <f>_xlfn.XLOOKUP($A45,'EA-Fortescue_SDExport'!$A:$A,'EA-Fortescue_SDExport'!U:U)</f>
        <v>45944.622893518521</v>
      </c>
      <c r="V45">
        <f>_xlfn.XLOOKUP($A45,'EA-Fortescue_SDExport'!$A:$A,'EA-Fortescue_SDExport'!V:V)</f>
        <v>46077.993206018517</v>
      </c>
      <c r="W45">
        <f>_xlfn.XLOOKUP($A45,'EA-Fortescue_SDExport'!$A:$A,'EA-Fortescue_SDExport'!W:W)</f>
        <v>0</v>
      </c>
      <c r="X45">
        <f>_xlfn.XLOOKUP($A45,'EA-Fortescue_SDExport'!$A:$A,'EA-Fortescue_SDExport'!X:X)</f>
        <v>0</v>
      </c>
      <c r="Y45">
        <f>_xlfn.XLOOKUP($A45,'EA-Fortescue_SDExport'!$A:$A,'EA-Fortescue_SDExport'!Y:Y)</f>
        <v>0</v>
      </c>
      <c r="Z45" t="str">
        <f>_xlfn.XLOOKUP($A45,'EA-Fortescue_SDExport'!$A:$A,'EA-Fortescue_SDExport'!Z:Z)</f>
        <v>SysML1.4::InterfaceBlock</v>
      </c>
      <c r="AA45" t="str">
        <f>_xlfn.XLOOKUP($A45,InterfaceRegister!$A:$A,InterfaceRegister!B:B)</f>
        <v>852DC Light Mobile Equipment (LME) &amp; Support Mobile Equipment (SME)|859DC-1410-001 HaulX</v>
      </c>
      <c r="AB45" t="str">
        <f>_xlfn.XLOOKUP($A45,InterfaceRegister!$A:$A,InterfaceRegister!C:C)</f>
        <v/>
      </c>
      <c r="AC45" t="str">
        <f>_xlfn.XLOOKUP($A45,InterfaceRegister!$A:$A,InterfaceRegister!D:D)</f>
        <v/>
      </c>
      <c r="AD45" t="str">
        <f>_xlfn.XLOOKUP($A45,InterfaceRegister!$A:$A,InterfaceRegister!E:E)</f>
        <v>Program - Project Interface</v>
      </c>
      <c r="AE45" t="str">
        <f>_xlfn.XLOOKUP($A45,InterfaceRegister!$A:$A,InterfaceRegister!F:F)</f>
        <v>Technical-Data/Software</v>
      </c>
      <c r="AF45" t="str">
        <f>_xlfn.XLOOKUP($A45,InterfaceRegister!$A:$A,InterfaceRegister!L:L)</f>
        <v>The interface allows Support Mobile Equipment to exchange basic operational status and location information with HaulX so the fleet management system can incorporate SME movements into haulage planning and situational awareness.</v>
      </c>
      <c r="AG45" t="str">
        <f>_xlfn.XLOOKUP($A45,InterfaceRegister!$A:$A,InterfaceRegister!M:M)</f>
        <v>LOW</v>
      </c>
      <c r="AH45" t="str">
        <f>_xlfn.XLOOKUP($A45,InterfaceRegister!$A:$A,InterfaceRegister!O:O)</f>
        <v>Data Flow:_x000D_
Light Mobile Equipment (LME) &amp; Support Mobile Equipment (SME) -&gt; HaulX Control (859DC-1410-001), transmitting basic operational status, GPS position, heading, speed, and availability state to support traffic awareness and fleet coordination._x000D_
HaulX -&gt; LME / SME (where applicable), providing advisory routing information, proximity alerts, and traffic coordination messages to improve situational awareness within mixed traffic environments._x000D_
Control Flow:_x000D_
No direct motion control is exercised over LME/SME. The interface supports monitoring and advisory coordination only.</v>
      </c>
      <c r="AI45" t="str">
        <f>_xlfn.XLOOKUP($A45,InterfaceRegister!$A:$A,InterfaceRegister!N:N)</f>
        <v>This interface is rated LOW because it supports traffic awareness rather than direct operational or safety control. Loss of the interface may reduce situational visibility and marginally affect traffic efficiency, but it does not impact core haulage control, autonomous truck safety logic, or production continuity.</v>
      </c>
      <c r="AJ45" t="str">
        <f>_xlfn.XLOOKUP($A45,'EA-Fortescue_SDExport'!$A:$A,'EA-Fortescue_SDExport'!AX:AX)</f>
        <v>CSV2526901E</v>
      </c>
      <c r="AK45">
        <f>_xlfn.XLOOKUP($A45,'EA-Fortescue_SDExport'!$A:$A,'EA-Fortescue_SDExport'!AY:AY)</f>
        <v>0</v>
      </c>
    </row>
    <row r="46" spans="1:37" x14ac:dyDescent="0.25">
      <c r="A46" t="str">
        <v>DGS-I_0045</v>
      </c>
      <c r="B46" t="str">
        <f>_xlfn.XLOOKUP($A46,'EA-Fortescue_SDExport'!$A:$A,'EA-Fortescue_SDExport'!B:B)</f>
        <v>Class</v>
      </c>
      <c r="C46" t="str">
        <f>_xlfn.XLOOKUP($A46,'EA-Fortescue_SDExport'!$A:$A,'EA-Fortescue_SDExport'!C:C)</f>
        <v>{ED539546-0AC4-4db7-9B4E-F996855D8F71}</v>
      </c>
      <c r="D46" t="str">
        <f>_xlfn.LET(_xlpm.result, _xlfn.XLOOKUP($A46, InterfaceRegister!$A:$A, InterfaceRegister!P:P), IF(_xlpm.result=0, "", _xlpm.result))</f>
        <v/>
      </c>
      <c r="E46">
        <f>_xlfn.XLOOKUP($A46,'EA-Fortescue_SDExport'!$A:$A,'EA-Fortescue_SDExport'!E:E)</f>
        <v>1</v>
      </c>
      <c r="F46">
        <f>_xlfn.XLOOKUP($A46,'EA-Fortescue_SDExport'!$A:$A,'EA-Fortescue_SDExport'!F:F)</f>
        <v>1</v>
      </c>
      <c r="G46">
        <f>_xlfn.XLOOKUP($A46,'EA-Fortescue_SDExport'!$A:$A,'EA-Fortescue_SDExport'!G:G)</f>
        <v>0</v>
      </c>
      <c r="H46" t="str">
        <f>_xlfn.XLOOKUP($A46,'EA-Fortescue_SDExport'!$A:$A,'EA-Fortescue_SDExport'!H:H)</f>
        <v>InterfaceBlock</v>
      </c>
      <c r="I46" t="str">
        <f>_xlfn.XLOOKUP($A46,'EA-Fortescue_SDExport'!$A:$A,'EA-Fortescue_SDExport'!I:I)</f>
        <v>SysML1.4::InterfaceBlock</v>
      </c>
      <c r="J46" t="str">
        <f>_xlfn.XLOOKUP($A46,'EA-Fortescue_SDExport'!$A:$A,'EA-Fortescue_SDExport'!J:J)</f>
        <v>Java</v>
      </c>
      <c r="K46" t="str">
        <f>_xlfn.XLOOKUP($A46,'EA-Fortescue_SDExport'!$A:$A,'EA-Fortescue_SDExport'!K:K)</f>
        <v>Admin</v>
      </c>
      <c r="L46" t="str">
        <f>_xlfn.XLOOKUP($A46,'EA-Fortescue_SDExport'!$A:$A,'EA-Fortescue_SDExport'!L:L)</f>
        <v>Public</v>
      </c>
      <c r="M46">
        <f>_xlfn.XLOOKUP($A46,'EA-Fortescue_SDExport'!$A:$A,'EA-Fortescue_SDExport'!M:M)</f>
        <v>0</v>
      </c>
      <c r="N46" t="str">
        <f>_xlfn.XLOOKUP($A46,InterfaceRegister!$A:$A,InterfaceRegister!K:K)</f>
        <v>Proposed</v>
      </c>
      <c r="O46">
        <f>_xlfn.XLOOKUP($A46,'EA-Fortescue_SDExport'!$A:$A,'EA-Fortescue_SDExport'!O:O)</f>
        <v>1</v>
      </c>
      <c r="P46">
        <f>_xlfn.XLOOKUP($A46,'EA-Fortescue_SDExport'!$A:$A,'EA-Fortescue_SDExport'!P:P)</f>
        <v>0</v>
      </c>
      <c r="Q46">
        <f>_xlfn.XLOOKUP($A46,'EA-Fortescue_SDExport'!$A:$A,'EA-Fortescue_SDExport'!Q:Q)</f>
        <v>0</v>
      </c>
      <c r="R46">
        <f>_xlfn.XLOOKUP($A46,'EA-Fortescue_SDExport'!$A:$A,'EA-Fortescue_SDExport'!R:R)</f>
        <v>0</v>
      </c>
      <c r="S46">
        <f>_xlfn.XLOOKUP($A46,'EA-Fortescue_SDExport'!$A:$A,'EA-Fortescue_SDExport'!S:S)</f>
        <v>0</v>
      </c>
      <c r="T46">
        <f>_xlfn.XLOOKUP($A46,'EA-Fortescue_SDExport'!$A:$A,'EA-Fortescue_SDExport'!T:T)</f>
        <v>0</v>
      </c>
      <c r="U46">
        <f>_xlfn.XLOOKUP($A46,'EA-Fortescue_SDExport'!$A:$A,'EA-Fortescue_SDExport'!U:U)</f>
        <v>45944.62290509259</v>
      </c>
      <c r="V46">
        <f>_xlfn.XLOOKUP($A46,'EA-Fortescue_SDExport'!$A:$A,'EA-Fortescue_SDExport'!V:V)</f>
        <v>46002.067546296297</v>
      </c>
      <c r="W46">
        <f>_xlfn.XLOOKUP($A46,'EA-Fortescue_SDExport'!$A:$A,'EA-Fortescue_SDExport'!W:W)</f>
        <v>0</v>
      </c>
      <c r="X46">
        <f>_xlfn.XLOOKUP($A46,'EA-Fortescue_SDExport'!$A:$A,'EA-Fortescue_SDExport'!X:X)</f>
        <v>0</v>
      </c>
      <c r="Y46">
        <f>_xlfn.XLOOKUP($A46,'EA-Fortescue_SDExport'!$A:$A,'EA-Fortescue_SDExport'!Y:Y)</f>
        <v>0</v>
      </c>
      <c r="Z46" t="str">
        <f>_xlfn.XLOOKUP($A46,'EA-Fortescue_SDExport'!$A:$A,'EA-Fortescue_SDExport'!Z:Z)</f>
        <v>SysML1.4::InterfaceBlock</v>
      </c>
      <c r="AA46" t="str">
        <f>_xlfn.XLOOKUP($A46,InterfaceRegister!$A:$A,InterfaceRegister!B:B)</f>
        <v>851DC Heavy Mobile Equipment (HME)|859DC-1410-001 HaulX</v>
      </c>
      <c r="AB46" t="str">
        <f>_xlfn.XLOOKUP($A46,InterfaceRegister!$A:$A,InterfaceRegister!C:C)</f>
        <v/>
      </c>
      <c r="AC46" t="str">
        <f>_xlfn.XLOOKUP($A46,InterfaceRegister!$A:$A,InterfaceRegister!D:D)</f>
        <v/>
      </c>
      <c r="AD46" t="str">
        <f>_xlfn.XLOOKUP($A46,InterfaceRegister!$A:$A,InterfaceRegister!E:E)</f>
        <v>Program - Project Interface</v>
      </c>
      <c r="AE46" t="str">
        <f>_xlfn.XLOOKUP($A46,InterfaceRegister!$A:$A,InterfaceRegister!F:F)</f>
        <v/>
      </c>
      <c r="AF46" t="str">
        <f>_xlfn.XLOOKUP($A46,InterfaceRegister!$A:$A,InterfaceRegister!L:L)</f>
        <v>This interface links Heavy Mobile Equipment (HME) assets, such as loaders, dozers, and graders to HaulX so their operational status, availability, and location can influence haulage dispatch decisions.</v>
      </c>
      <c r="AG46" t="str">
        <f>_xlfn.XLOOKUP($A46,InterfaceRegister!$A:$A,InterfaceRegister!M:M)</f>
        <v>MEDIUM</v>
      </c>
      <c r="AH46" t="str">
        <f>_xlfn.XLOOKUP($A46,InterfaceRegister!$A:$A,InterfaceRegister!O:O)</f>
        <v>Data Flow: HME -&gt; HaulX (asset location, operational status, availability, utilisation, fault alarms) to support real-time dispatch optimisation and task allocation.</v>
      </c>
      <c r="AI46" t="str">
        <f>_xlfn.XLOOKUP($A46,InterfaceRegister!$A:$A,InterfaceRegister!N:N)</f>
        <v>The criticality level is MEDIUM because although haulage can continue, failure will decrease efficiency, increasing the risk of misaligned assignments. Losing the connection impacts performance due to misalignment but does not threaten safety-critical controls.</v>
      </c>
      <c r="AJ46" t="str">
        <f>_xlfn.XLOOKUP($A46,'EA-Fortescue_SDExport'!$A:$A,'EA-Fortescue_SDExport'!AX:AX)</f>
        <v>CSV6A56A5C8</v>
      </c>
      <c r="AK46">
        <f>_xlfn.XLOOKUP($A46,'EA-Fortescue_SDExport'!$A:$A,'EA-Fortescue_SDExport'!AY:AY)</f>
        <v>0</v>
      </c>
    </row>
    <row r="47" spans="1:37" x14ac:dyDescent="0.25">
      <c r="A47" t="str">
        <v>DGS-I_0046</v>
      </c>
      <c r="B47" t="str">
        <f>_xlfn.XLOOKUP($A47,'EA-Fortescue_SDExport'!$A:$A,'EA-Fortescue_SDExport'!B:B)</f>
        <v>Class</v>
      </c>
      <c r="C47" t="str">
        <f>_xlfn.XLOOKUP($A47,'EA-Fortescue_SDExport'!$A:$A,'EA-Fortescue_SDExport'!C:C)</f>
        <v>{C5C18E77-5D4E-4e07-AA29-D251EA7C8A9B}</v>
      </c>
      <c r="D47" t="str">
        <f>_xlfn.LET(_xlpm.result, _xlfn.XLOOKUP($A47, InterfaceRegister!$A:$A, InterfaceRegister!P:P), IF(_xlpm.result=0, "", _xlpm.result))</f>
        <v>NH 25/02/2026: Fields updated:Interface Type</v>
      </c>
      <c r="E47">
        <f>_xlfn.XLOOKUP($A47,'EA-Fortescue_SDExport'!$A:$A,'EA-Fortescue_SDExport'!E:E)</f>
        <v>1</v>
      </c>
      <c r="F47">
        <f>_xlfn.XLOOKUP($A47,'EA-Fortescue_SDExport'!$A:$A,'EA-Fortescue_SDExport'!F:F)</f>
        <v>1</v>
      </c>
      <c r="G47">
        <f>_xlfn.XLOOKUP($A47,'EA-Fortescue_SDExport'!$A:$A,'EA-Fortescue_SDExport'!G:G)</f>
        <v>0</v>
      </c>
      <c r="H47" t="str">
        <f>_xlfn.XLOOKUP($A47,'EA-Fortescue_SDExport'!$A:$A,'EA-Fortescue_SDExport'!H:H)</f>
        <v>InterfaceBlock</v>
      </c>
      <c r="I47" t="str">
        <f>_xlfn.XLOOKUP($A47,'EA-Fortescue_SDExport'!$A:$A,'EA-Fortescue_SDExport'!I:I)</f>
        <v>SysML1.4::InterfaceBlock</v>
      </c>
      <c r="J47" t="str">
        <f>_xlfn.XLOOKUP($A47,'EA-Fortescue_SDExport'!$A:$A,'EA-Fortescue_SDExport'!J:J)</f>
        <v>Java</v>
      </c>
      <c r="K47" t="str">
        <f>_xlfn.XLOOKUP($A47,'EA-Fortescue_SDExport'!$A:$A,'EA-Fortescue_SDExport'!K:K)</f>
        <v>Admin</v>
      </c>
      <c r="L47" t="str">
        <f>_xlfn.XLOOKUP($A47,'EA-Fortescue_SDExport'!$A:$A,'EA-Fortescue_SDExport'!L:L)</f>
        <v>Public</v>
      </c>
      <c r="M47">
        <f>_xlfn.XLOOKUP($A47,'EA-Fortescue_SDExport'!$A:$A,'EA-Fortescue_SDExport'!M:M)</f>
        <v>0</v>
      </c>
      <c r="N47" t="str">
        <f>_xlfn.XLOOKUP($A47,InterfaceRegister!$A:$A,InterfaceRegister!K:K)</f>
        <v>Proposed</v>
      </c>
      <c r="O47">
        <f>_xlfn.XLOOKUP($A47,'EA-Fortescue_SDExport'!$A:$A,'EA-Fortescue_SDExport'!O:O)</f>
        <v>1</v>
      </c>
      <c r="P47">
        <f>_xlfn.XLOOKUP($A47,'EA-Fortescue_SDExport'!$A:$A,'EA-Fortescue_SDExport'!P:P)</f>
        <v>0</v>
      </c>
      <c r="Q47">
        <f>_xlfn.XLOOKUP($A47,'EA-Fortescue_SDExport'!$A:$A,'EA-Fortescue_SDExport'!Q:Q)</f>
        <v>0</v>
      </c>
      <c r="R47">
        <f>_xlfn.XLOOKUP($A47,'EA-Fortescue_SDExport'!$A:$A,'EA-Fortescue_SDExport'!R:R)</f>
        <v>0</v>
      </c>
      <c r="S47">
        <f>_xlfn.XLOOKUP($A47,'EA-Fortescue_SDExport'!$A:$A,'EA-Fortescue_SDExport'!S:S)</f>
        <v>0</v>
      </c>
      <c r="T47">
        <f>_xlfn.XLOOKUP($A47,'EA-Fortescue_SDExport'!$A:$A,'EA-Fortescue_SDExport'!T:T)</f>
        <v>0</v>
      </c>
      <c r="U47">
        <f>_xlfn.XLOOKUP($A47,'EA-Fortescue_SDExport'!$A:$A,'EA-Fortescue_SDExport'!U:U)</f>
        <v>45944.622928240744</v>
      </c>
      <c r="V47">
        <f>_xlfn.XLOOKUP($A47,'EA-Fortescue_SDExport'!$A:$A,'EA-Fortescue_SDExport'!V:V)</f>
        <v>46077.993206018517</v>
      </c>
      <c r="W47">
        <f>_xlfn.XLOOKUP($A47,'EA-Fortescue_SDExport'!$A:$A,'EA-Fortescue_SDExport'!W:W)</f>
        <v>0</v>
      </c>
      <c r="X47">
        <f>_xlfn.XLOOKUP($A47,'EA-Fortescue_SDExport'!$A:$A,'EA-Fortescue_SDExport'!X:X)</f>
        <v>0</v>
      </c>
      <c r="Y47">
        <f>_xlfn.XLOOKUP($A47,'EA-Fortescue_SDExport'!$A:$A,'EA-Fortescue_SDExport'!Y:Y)</f>
        <v>0</v>
      </c>
      <c r="Z47" t="str">
        <f>_xlfn.XLOOKUP($A47,'EA-Fortescue_SDExport'!$A:$A,'EA-Fortescue_SDExport'!Z:Z)</f>
        <v>SysML1.4::InterfaceBlock</v>
      </c>
      <c r="AA47" t="str">
        <f>_xlfn.XLOOKUP($A47,InterfaceRegister!$A:$A,InterfaceRegister!B:B)</f>
        <v>854DC-5680 Battery Energy Storage System (BESS)|855DC-1543-008 Monarch</v>
      </c>
      <c r="AB47" t="str">
        <f>_xlfn.XLOOKUP($A47,InterfaceRegister!$A:$A,InterfaceRegister!C:C)</f>
        <v/>
      </c>
      <c r="AC47" t="str">
        <f>_xlfn.XLOOKUP($A47,InterfaceRegister!$A:$A,InterfaceRegister!D:D)</f>
        <v/>
      </c>
      <c r="AD47" t="str">
        <f>_xlfn.XLOOKUP($A47,InterfaceRegister!$A:$A,InterfaceRegister!E:E)</f>
        <v>System - Project Interface</v>
      </c>
      <c r="AE47" t="str">
        <f>_xlfn.XLOOKUP($A47,InterfaceRegister!$A:$A,InterfaceRegister!F:F)</f>
        <v>Technical-Electrical</v>
      </c>
      <c r="AF47" t="str">
        <f>_xlfn.XLOOKUP($A47,InterfaceRegister!$A:$A,InterfaceRegister!L:L)</f>
        <v>This interface links energy storage systems (such as battery installations) with Monarch for monitoring and dispatch control.</v>
      </c>
      <c r="AG47" t="str">
        <f>_xlfn.XLOOKUP($A47,InterfaceRegister!$A:$A,InterfaceRegister!M:M)</f>
        <v>MEDIUM</v>
      </c>
      <c r="AH47" t="str">
        <f>_xlfn.XLOOKUP($A47,InterfaceRegister!$A:$A,InterfaceRegister!O:O)</f>
        <v>Data Flow: Energy Storage Systems -&gt; Monarch (state of charge, available capacity, charge/discharge status, alarms, operational limits) for monitoring and coordination._x000D_
Control Flow: Monarch -&gt; Energy Storage Systems (charge/discharge setpoints, dispatch instructions, start/stop commands, operating constraints) to balance supply, demand, and network stability.</v>
      </c>
      <c r="AI47" t="str">
        <f>_xlfn.XLOOKUP($A47,InterfaceRegister!$A:$A,InterfaceRegister!N:N)</f>
        <v>The criticality level is MEDIUM because the loss of interface reduces the ability to coordinate stored energy with the network, degrading power stability. This reduces efficiency, but is generally manageable in the short term.</v>
      </c>
      <c r="AJ47" t="str">
        <f>_xlfn.XLOOKUP($A47,'EA-Fortescue_SDExport'!$A:$A,'EA-Fortescue_SDExport'!AX:AX)</f>
        <v>CSV8765EC2E</v>
      </c>
      <c r="AK47">
        <f>_xlfn.XLOOKUP($A47,'EA-Fortescue_SDExport'!$A:$A,'EA-Fortescue_SDExport'!AY:AY)</f>
        <v>0</v>
      </c>
    </row>
    <row r="48" spans="1:37" x14ac:dyDescent="0.25">
      <c r="A48" t="str">
        <v>DGS-I_0047</v>
      </c>
      <c r="B48" t="str">
        <f>_xlfn.XLOOKUP($A48,'EA-Fortescue_SDExport'!$A:$A,'EA-Fortescue_SDExport'!B:B)</f>
        <v>Class</v>
      </c>
      <c r="C48" t="str">
        <f>_xlfn.XLOOKUP($A48,'EA-Fortescue_SDExport'!$A:$A,'EA-Fortescue_SDExport'!C:C)</f>
        <v>{7CC8E77F-23B0-4a3d-BF96-7BA8C54536CE}</v>
      </c>
      <c r="D48" t="str">
        <f>_xlfn.LET(_xlpm.result, _xlfn.XLOOKUP($A48, InterfaceRegister!$A:$A, InterfaceRegister!P:P), IF(_xlpm.result=0, "", _xlpm.result))</f>
        <v>SBS-WBS Mapping 02/01/2026: Energy Generation changed to Energy Generation - Solar. Interface covered by DGS-I_0205. Interface deleted.</v>
      </c>
      <c r="E48">
        <f>_xlfn.XLOOKUP($A48,'EA-Fortescue_SDExport'!$A:$A,'EA-Fortescue_SDExport'!E:E)</f>
        <v>1</v>
      </c>
      <c r="F48">
        <f>_xlfn.XLOOKUP($A48,'EA-Fortescue_SDExport'!$A:$A,'EA-Fortescue_SDExport'!F:F)</f>
        <v>1</v>
      </c>
      <c r="G48">
        <f>_xlfn.XLOOKUP($A48,'EA-Fortescue_SDExport'!$A:$A,'EA-Fortescue_SDExport'!G:G)</f>
        <v>0</v>
      </c>
      <c r="H48" t="str">
        <f>_xlfn.XLOOKUP($A48,'EA-Fortescue_SDExport'!$A:$A,'EA-Fortescue_SDExport'!H:H)</f>
        <v>InterfaceBlock</v>
      </c>
      <c r="I48" t="str">
        <f>_xlfn.XLOOKUP($A48,'EA-Fortescue_SDExport'!$A:$A,'EA-Fortescue_SDExport'!I:I)</f>
        <v>SysML1.4::InterfaceBlock</v>
      </c>
      <c r="J48" t="str">
        <f>_xlfn.XLOOKUP($A48,'EA-Fortescue_SDExport'!$A:$A,'EA-Fortescue_SDExport'!J:J)</f>
        <v>Java</v>
      </c>
      <c r="K48" t="str">
        <f>_xlfn.XLOOKUP($A48,'EA-Fortescue_SDExport'!$A:$A,'EA-Fortescue_SDExport'!K:K)</f>
        <v>Admin</v>
      </c>
      <c r="L48" t="str">
        <f>_xlfn.XLOOKUP($A48,'EA-Fortescue_SDExport'!$A:$A,'EA-Fortescue_SDExport'!L:L)</f>
        <v>Public</v>
      </c>
      <c r="M48">
        <f>_xlfn.XLOOKUP($A48,'EA-Fortescue_SDExport'!$A:$A,'EA-Fortescue_SDExport'!M:M)</f>
        <v>0</v>
      </c>
      <c r="N48" t="str">
        <f>_xlfn.XLOOKUP($A48,InterfaceRegister!$A:$A,InterfaceRegister!K:K)</f>
        <v>Deleted</v>
      </c>
      <c r="O48">
        <f>_xlfn.XLOOKUP($A48,'EA-Fortescue_SDExport'!$A:$A,'EA-Fortescue_SDExport'!O:O)</f>
        <v>1</v>
      </c>
      <c r="P48">
        <f>_xlfn.XLOOKUP($A48,'EA-Fortescue_SDExport'!$A:$A,'EA-Fortescue_SDExport'!P:P)</f>
        <v>0</v>
      </c>
      <c r="Q48">
        <f>_xlfn.XLOOKUP($A48,'EA-Fortescue_SDExport'!$A:$A,'EA-Fortescue_SDExport'!Q:Q)</f>
        <v>0</v>
      </c>
      <c r="R48">
        <f>_xlfn.XLOOKUP($A48,'EA-Fortescue_SDExport'!$A:$A,'EA-Fortescue_SDExport'!R:R)</f>
        <v>0</v>
      </c>
      <c r="S48">
        <f>_xlfn.XLOOKUP($A48,'EA-Fortescue_SDExport'!$A:$A,'EA-Fortescue_SDExport'!S:S)</f>
        <v>0</v>
      </c>
      <c r="T48">
        <f>_xlfn.XLOOKUP($A48,'EA-Fortescue_SDExport'!$A:$A,'EA-Fortescue_SDExport'!T:T)</f>
        <v>0</v>
      </c>
      <c r="U48">
        <f>_xlfn.XLOOKUP($A48,'EA-Fortescue_SDExport'!$A:$A,'EA-Fortescue_SDExport'!U:U)</f>
        <v>45945.658252314817</v>
      </c>
      <c r="V48">
        <f>_xlfn.XLOOKUP($A48,'EA-Fortescue_SDExport'!$A:$A,'EA-Fortescue_SDExport'!V:V)</f>
        <v>46036.796782407408</v>
      </c>
      <c r="W48">
        <f>_xlfn.XLOOKUP($A48,'EA-Fortescue_SDExport'!$A:$A,'EA-Fortescue_SDExport'!W:W)</f>
        <v>0</v>
      </c>
      <c r="X48">
        <f>_xlfn.XLOOKUP($A48,'EA-Fortescue_SDExport'!$A:$A,'EA-Fortescue_SDExport'!X:X)</f>
        <v>0</v>
      </c>
      <c r="Y48">
        <f>_xlfn.XLOOKUP($A48,'EA-Fortescue_SDExport'!$A:$A,'EA-Fortescue_SDExport'!Y:Y)</f>
        <v>0</v>
      </c>
      <c r="Z48" t="str">
        <f>_xlfn.XLOOKUP($A48,'EA-Fortescue_SDExport'!$A:$A,'EA-Fortescue_SDExport'!Z:Z)</f>
        <v>SysML1.4::InterfaceBlock</v>
      </c>
      <c r="AA48" t="str">
        <f>_xlfn.XLOOKUP($A48,InterfaceRegister!$A:$A,InterfaceRegister!B:B)</f>
        <v>854DC-5670 Energy Generation - Solar|855DC-1543-008 Monarch</v>
      </c>
      <c r="AB48" t="str">
        <f>_xlfn.XLOOKUP($A48,InterfaceRegister!$A:$A,InterfaceRegister!C:C)</f>
        <v/>
      </c>
      <c r="AC48" t="str">
        <f>_xlfn.XLOOKUP($A48,InterfaceRegister!$A:$A,InterfaceRegister!D:D)</f>
        <v/>
      </c>
      <c r="AD48" t="str">
        <f>_xlfn.XLOOKUP($A48,InterfaceRegister!$A:$A,InterfaceRegister!E:E)</f>
        <v>System - Project Interface</v>
      </c>
      <c r="AE48" t="str">
        <f>_xlfn.XLOOKUP($A48,InterfaceRegister!$A:$A,InterfaceRegister!F:F)</f>
        <v/>
      </c>
      <c r="AF48" t="str">
        <f>_xlfn.XLOOKUP($A48,InterfaceRegister!$A:$A,InterfaceRegister!L:L)</f>
        <v>This interface links site energy generation assets, such as renewable or conventional generation systems, with the Monarch platform for monitoring, forecasting, and operational coordination.</v>
      </c>
      <c r="AG48" t="str">
        <f>_xlfn.XLOOKUP($A48,InterfaceRegister!$A:$A,InterfaceRegister!M:M)</f>
        <v>HIGH</v>
      </c>
      <c r="AH48" t="str">
        <f>_xlfn.XLOOKUP($A48,InterfaceRegister!$A:$A,InterfaceRegister!O:O)</f>
        <v/>
      </c>
      <c r="AI48" t="str">
        <f>_xlfn.XLOOKUP($A48,InterfaceRegister!$A:$A,InterfaceRegister!N:N)</f>
        <v>The criticality level is HIGH because losing this interface reduces visibility and control of generation sources that support the mine's electrical network. This can lead to power instability, forced load reductions, or interruptions to critical mining systems. Energy generation is fundamental to site operations, and a failure in the interface risks major production losses or safety concerns if generation cannot be coordinated correctly.</v>
      </c>
      <c r="AJ48" t="str">
        <f>_xlfn.XLOOKUP($A48,'EA-Fortescue_SDExport'!$A:$A,'EA-Fortescue_SDExport'!AX:AX)</f>
        <v>CSV6ED6D3CF</v>
      </c>
      <c r="AK48">
        <f>_xlfn.XLOOKUP($A48,'EA-Fortescue_SDExport'!$A:$A,'EA-Fortescue_SDExport'!AY:AY)</f>
        <v>0</v>
      </c>
    </row>
    <row r="49" spans="1:37" x14ac:dyDescent="0.25">
      <c r="A49" t="str">
        <v>DGS-I_0048</v>
      </c>
      <c r="B49" t="str">
        <f>_xlfn.XLOOKUP($A49,'EA-Fortescue_SDExport'!$A:$A,'EA-Fortescue_SDExport'!B:B)</f>
        <v>Class</v>
      </c>
      <c r="C49" t="str">
        <f>_xlfn.XLOOKUP($A49,'EA-Fortescue_SDExport'!$A:$A,'EA-Fortescue_SDExport'!C:C)</f>
        <v>{0C28804F-FB24-422d-8DA3-15E5F621F20E}</v>
      </c>
      <c r="D49" t="str">
        <f>_xlfn.LET(_xlpm.result, _xlfn.XLOOKUP($A49, InterfaceRegister!$A:$A, InterfaceRegister!P:P), IF(_xlpm.result=0, "", _xlpm.result))</f>
        <v/>
      </c>
      <c r="E49">
        <f>_xlfn.XLOOKUP($A49,'EA-Fortescue_SDExport'!$A:$A,'EA-Fortescue_SDExport'!E:E)</f>
        <v>1</v>
      </c>
      <c r="F49">
        <f>_xlfn.XLOOKUP($A49,'EA-Fortescue_SDExport'!$A:$A,'EA-Fortescue_SDExport'!F:F)</f>
        <v>1</v>
      </c>
      <c r="G49">
        <f>_xlfn.XLOOKUP($A49,'EA-Fortescue_SDExport'!$A:$A,'EA-Fortescue_SDExport'!G:G)</f>
        <v>0</v>
      </c>
      <c r="H49" t="str">
        <f>_xlfn.XLOOKUP($A49,'EA-Fortescue_SDExport'!$A:$A,'EA-Fortescue_SDExport'!H:H)</f>
        <v>InterfaceBlock</v>
      </c>
      <c r="I49" t="str">
        <f>_xlfn.XLOOKUP($A49,'EA-Fortescue_SDExport'!$A:$A,'EA-Fortescue_SDExport'!I:I)</f>
        <v>SysML1.4::InterfaceBlock</v>
      </c>
      <c r="J49" t="str">
        <f>_xlfn.XLOOKUP($A49,'EA-Fortescue_SDExport'!$A:$A,'EA-Fortescue_SDExport'!J:J)</f>
        <v>Java</v>
      </c>
      <c r="K49" t="str">
        <f>_xlfn.XLOOKUP($A49,'EA-Fortescue_SDExport'!$A:$A,'EA-Fortescue_SDExport'!K:K)</f>
        <v>Admin</v>
      </c>
      <c r="L49" t="str">
        <f>_xlfn.XLOOKUP($A49,'EA-Fortescue_SDExport'!$A:$A,'EA-Fortescue_SDExport'!L:L)</f>
        <v>Public</v>
      </c>
      <c r="M49">
        <f>_xlfn.XLOOKUP($A49,'EA-Fortescue_SDExport'!$A:$A,'EA-Fortescue_SDExport'!M:M)</f>
        <v>0</v>
      </c>
      <c r="N49" t="str">
        <f>_xlfn.XLOOKUP($A49,InterfaceRegister!$A:$A,InterfaceRegister!K:K)</f>
        <v>Proposed</v>
      </c>
      <c r="O49">
        <f>_xlfn.XLOOKUP($A49,'EA-Fortescue_SDExport'!$A:$A,'EA-Fortescue_SDExport'!O:O)</f>
        <v>1</v>
      </c>
      <c r="P49">
        <f>_xlfn.XLOOKUP($A49,'EA-Fortescue_SDExport'!$A:$A,'EA-Fortescue_SDExport'!P:P)</f>
        <v>0</v>
      </c>
      <c r="Q49">
        <f>_xlfn.XLOOKUP($A49,'EA-Fortescue_SDExport'!$A:$A,'EA-Fortescue_SDExport'!Q:Q)</f>
        <v>0</v>
      </c>
      <c r="R49">
        <f>_xlfn.XLOOKUP($A49,'EA-Fortescue_SDExport'!$A:$A,'EA-Fortescue_SDExport'!R:R)</f>
        <v>0</v>
      </c>
      <c r="S49">
        <f>_xlfn.XLOOKUP($A49,'EA-Fortescue_SDExport'!$A:$A,'EA-Fortescue_SDExport'!S:S)</f>
        <v>0</v>
      </c>
      <c r="T49">
        <f>_xlfn.XLOOKUP($A49,'EA-Fortescue_SDExport'!$A:$A,'EA-Fortescue_SDExport'!T:T)</f>
        <v>0</v>
      </c>
      <c r="U49">
        <f>_xlfn.XLOOKUP($A49,'EA-Fortescue_SDExport'!$A:$A,'EA-Fortescue_SDExport'!U:U)</f>
        <v>45945.658263888887</v>
      </c>
      <c r="V49">
        <f>_xlfn.XLOOKUP($A49,'EA-Fortescue_SDExport'!$A:$A,'EA-Fortescue_SDExport'!V:V)</f>
        <v>46002.06759259259</v>
      </c>
      <c r="W49">
        <f>_xlfn.XLOOKUP($A49,'EA-Fortescue_SDExport'!$A:$A,'EA-Fortescue_SDExport'!W:W)</f>
        <v>0</v>
      </c>
      <c r="X49">
        <f>_xlfn.XLOOKUP($A49,'EA-Fortescue_SDExport'!$A:$A,'EA-Fortescue_SDExport'!X:X)</f>
        <v>0</v>
      </c>
      <c r="Y49">
        <f>_xlfn.XLOOKUP($A49,'EA-Fortescue_SDExport'!$A:$A,'EA-Fortescue_SDExport'!Y:Y)</f>
        <v>0</v>
      </c>
      <c r="Z49" t="str">
        <f>_xlfn.XLOOKUP($A49,'EA-Fortescue_SDExport'!$A:$A,'EA-Fortescue_SDExport'!Z:Z)</f>
        <v>SysML1.4::InterfaceBlock</v>
      </c>
      <c r="AA49" t="str">
        <f>_xlfn.XLOOKUP($A49,InterfaceRegister!$A:$A,InterfaceRegister!B:B)</f>
        <v>854DC-1521 HV Substations|850DC-1522 Field Switches</v>
      </c>
      <c r="AB49" t="str">
        <f>_xlfn.XLOOKUP($A49,InterfaceRegister!$A:$A,InterfaceRegister!C:C)</f>
        <v/>
      </c>
      <c r="AC49" t="str">
        <f>_xlfn.XLOOKUP($A49,InterfaceRegister!$A:$A,InterfaceRegister!D:D)</f>
        <v/>
      </c>
      <c r="AD49" t="str">
        <f>_xlfn.XLOOKUP($A49,InterfaceRegister!$A:$A,InterfaceRegister!E:E)</f>
        <v>System - System Interface</v>
      </c>
      <c r="AE49" t="str">
        <f>_xlfn.XLOOKUP($A49,InterfaceRegister!$A:$A,InterfaceRegister!F:F)</f>
        <v/>
      </c>
      <c r="AF49" t="str">
        <f>_xlfn.XLOOKUP($A49,InterfaceRegister!$A:$A,InterfaceRegister!L:L)</f>
        <v/>
      </c>
      <c r="AG49" t="str">
        <f>_xlfn.XLOOKUP($A49,InterfaceRegister!$A:$A,InterfaceRegister!M:M)</f>
        <v/>
      </c>
      <c r="AH49" t="str">
        <f>_xlfn.XLOOKUP($A49,InterfaceRegister!$A:$A,InterfaceRegister!O:O)</f>
        <v/>
      </c>
      <c r="AI49" t="str">
        <f>_xlfn.XLOOKUP($A49,InterfaceRegister!$A:$A,InterfaceRegister!N:N)</f>
        <v/>
      </c>
      <c r="AJ49" t="str">
        <f>_xlfn.XLOOKUP($A49,'EA-Fortescue_SDExport'!$A:$A,'EA-Fortescue_SDExport'!AX:AX)</f>
        <v>CSVEFC873A1</v>
      </c>
      <c r="AK49">
        <f>_xlfn.XLOOKUP($A49,'EA-Fortescue_SDExport'!$A:$A,'EA-Fortescue_SDExport'!AY:AY)</f>
        <v>0</v>
      </c>
    </row>
    <row r="50" spans="1:37" x14ac:dyDescent="0.25">
      <c r="A50" t="str">
        <v>DGS-I_0049</v>
      </c>
      <c r="B50" t="str">
        <f>_xlfn.XLOOKUP($A50,'EA-Fortescue_SDExport'!$A:$A,'EA-Fortescue_SDExport'!B:B)</f>
        <v>Class</v>
      </c>
      <c r="C50" t="str">
        <f>_xlfn.XLOOKUP($A50,'EA-Fortescue_SDExport'!$A:$A,'EA-Fortescue_SDExport'!C:C)</f>
        <v>{CF6675A7-F133-44ae-A403-FF8AACDF3B65}</v>
      </c>
      <c r="D50" t="str">
        <f>_xlfn.LET(_xlpm.result, _xlfn.XLOOKUP($A50, InterfaceRegister!$A:$A, InterfaceRegister!P:P), IF(_xlpm.result=0, "", _xlpm.result))</f>
        <v/>
      </c>
      <c r="E50">
        <f>_xlfn.XLOOKUP($A50,'EA-Fortescue_SDExport'!$A:$A,'EA-Fortescue_SDExport'!E:E)</f>
        <v>1</v>
      </c>
      <c r="F50">
        <f>_xlfn.XLOOKUP($A50,'EA-Fortescue_SDExport'!$A:$A,'EA-Fortescue_SDExport'!F:F)</f>
        <v>1</v>
      </c>
      <c r="G50">
        <f>_xlfn.XLOOKUP($A50,'EA-Fortescue_SDExport'!$A:$A,'EA-Fortescue_SDExport'!G:G)</f>
        <v>0</v>
      </c>
      <c r="H50" t="str">
        <f>_xlfn.XLOOKUP($A50,'EA-Fortescue_SDExport'!$A:$A,'EA-Fortescue_SDExport'!H:H)</f>
        <v>InterfaceBlock</v>
      </c>
      <c r="I50" t="str">
        <f>_xlfn.XLOOKUP($A50,'EA-Fortescue_SDExport'!$A:$A,'EA-Fortescue_SDExport'!I:I)</f>
        <v>SysML1.4::InterfaceBlock</v>
      </c>
      <c r="J50" t="str">
        <f>_xlfn.XLOOKUP($A50,'EA-Fortescue_SDExport'!$A:$A,'EA-Fortescue_SDExport'!J:J)</f>
        <v>Java</v>
      </c>
      <c r="K50" t="str">
        <f>_xlfn.XLOOKUP($A50,'EA-Fortescue_SDExport'!$A:$A,'EA-Fortescue_SDExport'!K:K)</f>
        <v>Admin</v>
      </c>
      <c r="L50" t="str">
        <f>_xlfn.XLOOKUP($A50,'EA-Fortescue_SDExport'!$A:$A,'EA-Fortescue_SDExport'!L:L)</f>
        <v>Public</v>
      </c>
      <c r="M50">
        <f>_xlfn.XLOOKUP($A50,'EA-Fortescue_SDExport'!$A:$A,'EA-Fortescue_SDExport'!M:M)</f>
        <v>0</v>
      </c>
      <c r="N50" t="str">
        <f>_xlfn.XLOOKUP($A50,InterfaceRegister!$A:$A,InterfaceRegister!K:K)</f>
        <v>Proposed</v>
      </c>
      <c r="O50">
        <f>_xlfn.XLOOKUP($A50,'EA-Fortescue_SDExport'!$A:$A,'EA-Fortescue_SDExport'!O:O)</f>
        <v>1</v>
      </c>
      <c r="P50">
        <f>_xlfn.XLOOKUP($A50,'EA-Fortescue_SDExport'!$A:$A,'EA-Fortescue_SDExport'!P:P)</f>
        <v>0</v>
      </c>
      <c r="Q50">
        <f>_xlfn.XLOOKUP($A50,'EA-Fortescue_SDExport'!$A:$A,'EA-Fortescue_SDExport'!Q:Q)</f>
        <v>0</v>
      </c>
      <c r="R50">
        <f>_xlfn.XLOOKUP($A50,'EA-Fortescue_SDExport'!$A:$A,'EA-Fortescue_SDExport'!R:R)</f>
        <v>0</v>
      </c>
      <c r="S50">
        <f>_xlfn.XLOOKUP($A50,'EA-Fortescue_SDExport'!$A:$A,'EA-Fortescue_SDExport'!S:S)</f>
        <v>0</v>
      </c>
      <c r="T50">
        <f>_xlfn.XLOOKUP($A50,'EA-Fortescue_SDExport'!$A:$A,'EA-Fortescue_SDExport'!T:T)</f>
        <v>0</v>
      </c>
      <c r="U50">
        <f>_xlfn.XLOOKUP($A50,'EA-Fortescue_SDExport'!$A:$A,'EA-Fortescue_SDExport'!U:U)</f>
        <v>45945.65829861111</v>
      </c>
      <c r="V50">
        <f>_xlfn.XLOOKUP($A50,'EA-Fortescue_SDExport'!$A:$A,'EA-Fortescue_SDExport'!V:V)</f>
        <v>46002.067615740743</v>
      </c>
      <c r="W50">
        <f>_xlfn.XLOOKUP($A50,'EA-Fortescue_SDExport'!$A:$A,'EA-Fortescue_SDExport'!W:W)</f>
        <v>0</v>
      </c>
      <c r="X50">
        <f>_xlfn.XLOOKUP($A50,'EA-Fortescue_SDExport'!$A:$A,'EA-Fortescue_SDExport'!X:X)</f>
        <v>0</v>
      </c>
      <c r="Y50">
        <f>_xlfn.XLOOKUP($A50,'EA-Fortescue_SDExport'!$A:$A,'EA-Fortescue_SDExport'!Y:Y)</f>
        <v>0</v>
      </c>
      <c r="Z50" t="str">
        <f>_xlfn.XLOOKUP($A50,'EA-Fortescue_SDExport'!$A:$A,'EA-Fortescue_SDExport'!Z:Z)</f>
        <v>SysML1.4::InterfaceBlock</v>
      </c>
      <c r="AA50" t="str">
        <f>_xlfn.XLOOKUP($A50,InterfaceRegister!$A:$A,InterfaceRegister!B:B)</f>
        <v>850DC-1510 Chargers|850DC-1520 Trailing Cable</v>
      </c>
      <c r="AB50" t="str">
        <f>_xlfn.XLOOKUP($A50,InterfaceRegister!$A:$A,InterfaceRegister!C:C)</f>
        <v/>
      </c>
      <c r="AC50" t="str">
        <f>_xlfn.XLOOKUP($A50,InterfaceRegister!$A:$A,InterfaceRegister!D:D)</f>
        <v/>
      </c>
      <c r="AD50" t="str">
        <f>_xlfn.XLOOKUP($A50,InterfaceRegister!$A:$A,InterfaceRegister!E:E)</f>
        <v>System - System Interface</v>
      </c>
      <c r="AE50" t="str">
        <f>_xlfn.XLOOKUP($A50,InterfaceRegister!$A:$A,InterfaceRegister!F:F)</f>
        <v/>
      </c>
      <c r="AF50" t="str">
        <f>_xlfn.XLOOKUP($A50,InterfaceRegister!$A:$A,InterfaceRegister!L:L)</f>
        <v/>
      </c>
      <c r="AG50" t="str">
        <f>_xlfn.XLOOKUP($A50,InterfaceRegister!$A:$A,InterfaceRegister!M:M)</f>
        <v/>
      </c>
      <c r="AH50" t="str">
        <f>_xlfn.XLOOKUP($A50,InterfaceRegister!$A:$A,InterfaceRegister!O:O)</f>
        <v/>
      </c>
      <c r="AI50" t="str">
        <f>_xlfn.XLOOKUP($A50,InterfaceRegister!$A:$A,InterfaceRegister!N:N)</f>
        <v/>
      </c>
      <c r="AJ50" t="str">
        <f>_xlfn.XLOOKUP($A50,'EA-Fortescue_SDExport'!$A:$A,'EA-Fortescue_SDExport'!AX:AX)</f>
        <v>CSV742C6E2F</v>
      </c>
      <c r="AK50">
        <f>_xlfn.XLOOKUP($A50,'EA-Fortescue_SDExport'!$A:$A,'EA-Fortescue_SDExport'!AY:AY)</f>
        <v>0</v>
      </c>
    </row>
    <row r="51" spans="1:37" x14ac:dyDescent="0.25">
      <c r="A51" t="str">
        <v>DGS-I_0050</v>
      </c>
      <c r="B51" t="str">
        <f>_xlfn.XLOOKUP($A51,'EA-Fortescue_SDExport'!$A:$A,'EA-Fortescue_SDExport'!B:B)</f>
        <v>Class</v>
      </c>
      <c r="C51" t="str">
        <f>_xlfn.XLOOKUP($A51,'EA-Fortescue_SDExport'!$A:$A,'EA-Fortescue_SDExport'!C:C)</f>
        <v>{E62E17C8-D16F-4dab-ACB3-61E68439ED02}</v>
      </c>
      <c r="D51" t="str">
        <f>_xlfn.LET(_xlpm.result, _xlfn.XLOOKUP($A51,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51">
        <f>_xlfn.XLOOKUP($A51,'EA-Fortescue_SDExport'!$A:$A,'EA-Fortescue_SDExport'!E:E)</f>
        <v>1</v>
      </c>
      <c r="F51">
        <f>_xlfn.XLOOKUP($A51,'EA-Fortescue_SDExport'!$A:$A,'EA-Fortescue_SDExport'!F:F)</f>
        <v>1</v>
      </c>
      <c r="G51">
        <f>_xlfn.XLOOKUP($A51,'EA-Fortescue_SDExport'!$A:$A,'EA-Fortescue_SDExport'!G:G)</f>
        <v>0</v>
      </c>
      <c r="H51" t="str">
        <f>_xlfn.XLOOKUP($A51,'EA-Fortescue_SDExport'!$A:$A,'EA-Fortescue_SDExport'!H:H)</f>
        <v>InterfaceBlock</v>
      </c>
      <c r="I51" t="str">
        <f>_xlfn.XLOOKUP($A51,'EA-Fortescue_SDExport'!$A:$A,'EA-Fortescue_SDExport'!I:I)</f>
        <v>SysML1.4::InterfaceBlock</v>
      </c>
      <c r="J51" t="str">
        <f>_xlfn.XLOOKUP($A51,'EA-Fortescue_SDExport'!$A:$A,'EA-Fortescue_SDExport'!J:J)</f>
        <v>Java</v>
      </c>
      <c r="K51" t="str">
        <f>_xlfn.XLOOKUP($A51,'EA-Fortescue_SDExport'!$A:$A,'EA-Fortescue_SDExport'!K:K)</f>
        <v>Admin</v>
      </c>
      <c r="L51" t="str">
        <f>_xlfn.XLOOKUP($A51,'EA-Fortescue_SDExport'!$A:$A,'EA-Fortescue_SDExport'!L:L)</f>
        <v>Public</v>
      </c>
      <c r="M51">
        <f>_xlfn.XLOOKUP($A51,'EA-Fortescue_SDExport'!$A:$A,'EA-Fortescue_SDExport'!M:M)</f>
        <v>0</v>
      </c>
      <c r="N51" t="str">
        <f>_xlfn.XLOOKUP($A51,InterfaceRegister!$A:$A,InterfaceRegister!K:K)</f>
        <v>Proposed</v>
      </c>
      <c r="O51">
        <f>_xlfn.XLOOKUP($A51,'EA-Fortescue_SDExport'!$A:$A,'EA-Fortescue_SDExport'!O:O)</f>
        <v>1</v>
      </c>
      <c r="P51">
        <f>_xlfn.XLOOKUP($A51,'EA-Fortescue_SDExport'!$A:$A,'EA-Fortescue_SDExport'!P:P)</f>
        <v>0</v>
      </c>
      <c r="Q51">
        <f>_xlfn.XLOOKUP($A51,'EA-Fortescue_SDExport'!$A:$A,'EA-Fortescue_SDExport'!Q:Q)</f>
        <v>0</v>
      </c>
      <c r="R51">
        <f>_xlfn.XLOOKUP($A51,'EA-Fortescue_SDExport'!$A:$A,'EA-Fortescue_SDExport'!R:R)</f>
        <v>0</v>
      </c>
      <c r="S51">
        <f>_xlfn.XLOOKUP($A51,'EA-Fortescue_SDExport'!$A:$A,'EA-Fortescue_SDExport'!S:S)</f>
        <v>0</v>
      </c>
      <c r="T51">
        <f>_xlfn.XLOOKUP($A51,'EA-Fortescue_SDExport'!$A:$A,'EA-Fortescue_SDExport'!T:T)</f>
        <v>0</v>
      </c>
      <c r="U51">
        <f>_xlfn.XLOOKUP($A51,'EA-Fortescue_SDExport'!$A:$A,'EA-Fortescue_SDExport'!U:U)</f>
        <v>45945.658321759256</v>
      </c>
      <c r="V51">
        <f>_xlfn.XLOOKUP($A51,'EA-Fortescue_SDExport'!$A:$A,'EA-Fortescue_SDExport'!V:V)</f>
        <v>46071.946493055555</v>
      </c>
      <c r="W51">
        <f>_xlfn.XLOOKUP($A51,'EA-Fortescue_SDExport'!$A:$A,'EA-Fortescue_SDExport'!W:W)</f>
        <v>0</v>
      </c>
      <c r="X51">
        <f>_xlfn.XLOOKUP($A51,'EA-Fortescue_SDExport'!$A:$A,'EA-Fortescue_SDExport'!X:X)</f>
        <v>0</v>
      </c>
      <c r="Y51">
        <f>_xlfn.XLOOKUP($A51,'EA-Fortescue_SDExport'!$A:$A,'EA-Fortescue_SDExport'!Y:Y)</f>
        <v>0</v>
      </c>
      <c r="Z51" t="str">
        <f>_xlfn.XLOOKUP($A51,'EA-Fortescue_SDExport'!$A:$A,'EA-Fortescue_SDExport'!Z:Z)</f>
        <v>SysML1.4::InterfaceBlock</v>
      </c>
      <c r="AA51" t="str">
        <f>_xlfn.XLOOKUP($A51,InterfaceRegister!$A:$A,InterfaceRegister!B:B)</f>
        <v>854DC-1521 HV Substations|855DC-1543-PPC Pit Power Capacity Planning Tool - Capacity Check</v>
      </c>
      <c r="AB51" t="str">
        <f>_xlfn.XLOOKUP($A51,InterfaceRegister!$A:$A,InterfaceRegister!C:C)</f>
        <v/>
      </c>
      <c r="AC51" t="str">
        <f>_xlfn.XLOOKUP($A51,InterfaceRegister!$A:$A,InterfaceRegister!D:D)</f>
        <v/>
      </c>
      <c r="AD51" t="str">
        <f>_xlfn.XLOOKUP($A51,InterfaceRegister!$A:$A,InterfaceRegister!E:E)</f>
        <v>System - Project Interface</v>
      </c>
      <c r="AE51" t="str">
        <f>_xlfn.XLOOKUP($A51,InterfaceRegister!$A:$A,InterfaceRegister!F:F)</f>
        <v>Technical - Data/Software</v>
      </c>
      <c r="AF51" t="str">
        <f>_xlfn.XLOOKUP($A51,InterfaceRegister!$A:$A,InterfaceRegister!L:L)</f>
        <v>This interface allows Pit Power Capacity Planning Tool - Capacity Check to ingest electrical parameters, connectivity, and capacity data from HV Substations. The tool uses this data to model substation constraints, evaluate network loading, and ensure sufficient capacity for pit operations. This is a read-only analytical interface; it does not operate or control substations.</v>
      </c>
      <c r="AG51" t="str">
        <f>_xlfn.XLOOKUP($A51,InterfaceRegister!$A:$A,InterfaceRegister!M:M)</f>
        <v>HIGH</v>
      </c>
      <c r="AH51" t="str">
        <f>_xlfn.XLOOKUP($A51,InterfaceRegister!$A:$A,InterfaceRegister!O:O)</f>
        <v>HV Substations -&gt; Pit Power Capacity Planning Tool - Capacity Check</v>
      </c>
      <c r="AI51" t="str">
        <f>_xlfn.XLOOKUP($A51,InterfaceRegister!$A:$A,InterfaceRegister!N:N)</f>
        <v>The criticality is HIGH because accurate HV substation data is essential for reliable capacity assessment. Missing or incorrect data could lead to under- or over-estimation of available network capacity, potentially affecting planning decisions.</v>
      </c>
      <c r="AJ51" t="str">
        <f>_xlfn.XLOOKUP($A51,'EA-Fortescue_SDExport'!$A:$A,'EA-Fortescue_SDExport'!AX:AX)</f>
        <v>CSVA27E86B0</v>
      </c>
      <c r="AK51">
        <f>_xlfn.XLOOKUP($A51,'EA-Fortescue_SDExport'!$A:$A,'EA-Fortescue_SDExport'!AY:AY)</f>
        <v>0</v>
      </c>
    </row>
    <row r="52" spans="1:37" x14ac:dyDescent="0.25">
      <c r="A52" t="str">
        <v>DGS-I_0051</v>
      </c>
      <c r="B52" t="str">
        <f>_xlfn.XLOOKUP($A52,'EA-Fortescue_SDExport'!$A:$A,'EA-Fortescue_SDExport'!B:B)</f>
        <v>Class</v>
      </c>
      <c r="C52" t="str">
        <f>_xlfn.XLOOKUP($A52,'EA-Fortescue_SDExport'!$A:$A,'EA-Fortescue_SDExport'!C:C)</f>
        <v>{ECEE98F2-83E1-41b6-8705-886CAE84243C}</v>
      </c>
      <c r="D52" t="str">
        <f>_xlfn.LET(_xlpm.result, _xlfn.XLOOKUP($A52,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52">
        <f>_xlfn.XLOOKUP($A52,'EA-Fortescue_SDExport'!$A:$A,'EA-Fortescue_SDExport'!E:E)</f>
        <v>1</v>
      </c>
      <c r="F52">
        <f>_xlfn.XLOOKUP($A52,'EA-Fortescue_SDExport'!$A:$A,'EA-Fortescue_SDExport'!F:F)</f>
        <v>1</v>
      </c>
      <c r="G52">
        <f>_xlfn.XLOOKUP($A52,'EA-Fortescue_SDExport'!$A:$A,'EA-Fortescue_SDExport'!G:G)</f>
        <v>0</v>
      </c>
      <c r="H52" t="str">
        <f>_xlfn.XLOOKUP($A52,'EA-Fortescue_SDExport'!$A:$A,'EA-Fortescue_SDExport'!H:H)</f>
        <v>InterfaceBlock</v>
      </c>
      <c r="I52" t="str">
        <f>_xlfn.XLOOKUP($A52,'EA-Fortescue_SDExport'!$A:$A,'EA-Fortescue_SDExport'!I:I)</f>
        <v>SysML1.4::InterfaceBlock</v>
      </c>
      <c r="J52" t="str">
        <f>_xlfn.XLOOKUP($A52,'EA-Fortescue_SDExport'!$A:$A,'EA-Fortescue_SDExport'!J:J)</f>
        <v>Java</v>
      </c>
      <c r="K52" t="str">
        <f>_xlfn.XLOOKUP($A52,'EA-Fortescue_SDExport'!$A:$A,'EA-Fortescue_SDExport'!K:K)</f>
        <v>Admin</v>
      </c>
      <c r="L52" t="str">
        <f>_xlfn.XLOOKUP($A52,'EA-Fortescue_SDExport'!$A:$A,'EA-Fortescue_SDExport'!L:L)</f>
        <v>Public</v>
      </c>
      <c r="M52">
        <f>_xlfn.XLOOKUP($A52,'EA-Fortescue_SDExport'!$A:$A,'EA-Fortescue_SDExport'!M:M)</f>
        <v>0</v>
      </c>
      <c r="N52" t="str">
        <f>_xlfn.XLOOKUP($A52,InterfaceRegister!$A:$A,InterfaceRegister!K:K)</f>
        <v>Proposed</v>
      </c>
      <c r="O52">
        <f>_xlfn.XLOOKUP($A52,'EA-Fortescue_SDExport'!$A:$A,'EA-Fortescue_SDExport'!O:O)</f>
        <v>1</v>
      </c>
      <c r="P52">
        <f>_xlfn.XLOOKUP($A52,'EA-Fortescue_SDExport'!$A:$A,'EA-Fortescue_SDExport'!P:P)</f>
        <v>0</v>
      </c>
      <c r="Q52">
        <f>_xlfn.XLOOKUP($A52,'EA-Fortescue_SDExport'!$A:$A,'EA-Fortescue_SDExport'!Q:Q)</f>
        <v>0</v>
      </c>
      <c r="R52">
        <f>_xlfn.XLOOKUP($A52,'EA-Fortescue_SDExport'!$A:$A,'EA-Fortescue_SDExport'!R:R)</f>
        <v>0</v>
      </c>
      <c r="S52">
        <f>_xlfn.XLOOKUP($A52,'EA-Fortescue_SDExport'!$A:$A,'EA-Fortescue_SDExport'!S:S)</f>
        <v>0</v>
      </c>
      <c r="T52">
        <f>_xlfn.XLOOKUP($A52,'EA-Fortescue_SDExport'!$A:$A,'EA-Fortescue_SDExport'!T:T)</f>
        <v>0</v>
      </c>
      <c r="U52">
        <f>_xlfn.XLOOKUP($A52,'EA-Fortescue_SDExport'!$A:$A,'EA-Fortescue_SDExport'!U:U)</f>
        <v>45945.65834490741</v>
      </c>
      <c r="V52">
        <f>_xlfn.XLOOKUP($A52,'EA-Fortescue_SDExport'!$A:$A,'EA-Fortescue_SDExport'!V:V)</f>
        <v>46071.946319444447</v>
      </c>
      <c r="W52">
        <f>_xlfn.XLOOKUP($A52,'EA-Fortescue_SDExport'!$A:$A,'EA-Fortescue_SDExport'!W:W)</f>
        <v>0</v>
      </c>
      <c r="X52">
        <f>_xlfn.XLOOKUP($A52,'EA-Fortescue_SDExport'!$A:$A,'EA-Fortescue_SDExport'!X:X)</f>
        <v>0</v>
      </c>
      <c r="Y52">
        <f>_xlfn.XLOOKUP($A52,'EA-Fortescue_SDExport'!$A:$A,'EA-Fortescue_SDExport'!Y:Y)</f>
        <v>0</v>
      </c>
      <c r="Z52" t="str">
        <f>_xlfn.XLOOKUP($A52,'EA-Fortescue_SDExport'!$A:$A,'EA-Fortescue_SDExport'!Z:Z)</f>
        <v>SysML1.4::InterfaceBlock</v>
      </c>
      <c r="AA52" t="str">
        <f>_xlfn.XLOOKUP($A52,InterfaceRegister!$A:$A,InterfaceRegister!B:B)</f>
        <v>854DC-5680 Battery Energy Storage System (BESS)|855DC-1543-PPC Pit Power Capacity Planning Tool - Capacity Check</v>
      </c>
      <c r="AB52" t="str">
        <f>_xlfn.XLOOKUP($A52,InterfaceRegister!$A:$A,InterfaceRegister!C:C)</f>
        <v/>
      </c>
      <c r="AC52" t="str">
        <f>_xlfn.XLOOKUP($A52,InterfaceRegister!$A:$A,InterfaceRegister!D:D)</f>
        <v/>
      </c>
      <c r="AD52" t="str">
        <f>_xlfn.XLOOKUP($A52,InterfaceRegister!$A:$A,InterfaceRegister!E:E)</f>
        <v>System - Project Interface</v>
      </c>
      <c r="AE52" t="str">
        <f>_xlfn.XLOOKUP($A52,InterfaceRegister!$A:$A,InterfaceRegister!F:F)</f>
        <v>Technical - Data/Software</v>
      </c>
      <c r="AF52" t="str">
        <f>_xlfn.XLOOKUP($A52,InterfaceRegister!$A:$A,InterfaceRegister!L:L)</f>
        <v>This interface allows the Pit Power Capacity Planning Tool - Capacity Check to ingest data from the Battery Energy Storage System (BESS), including state of charge, available capacity, and operational constraints. The tool uses this data to evaluate network flexibility, support load balancing, and ensure sufficient capacity for pit operations. This is a read-only analytical interface; it does not control the BESS.</v>
      </c>
      <c r="AG52" t="str">
        <f>_xlfn.XLOOKUP($A52,InterfaceRegister!$A:$A,InterfaceRegister!M:M)</f>
        <v>HIGH</v>
      </c>
      <c r="AH52" t="str">
        <f>_xlfn.XLOOKUP($A52,InterfaceRegister!$A:$A,InterfaceRegister!O:O)</f>
        <v>Battery Energy Storage System (BESS) -&gt; Pit Power Capacity Planning Tool - Capacity Check</v>
      </c>
      <c r="AI52" t="str">
        <f>_xlfn.XLOOKUP($A52,InterfaceRegister!$A:$A,InterfaceRegister!N:N)</f>
        <v>The criticality is HIGH because BESS data is essential for accurate assessment of short-term network flexibility and capacity. Inaccurate or missing data could lead to incorrect capacity planning and compromise operational reliability.</v>
      </c>
      <c r="AJ52" t="str">
        <f>_xlfn.XLOOKUP($A52,'EA-Fortescue_SDExport'!$A:$A,'EA-Fortescue_SDExport'!AX:AX)</f>
        <v>CSVD244FFE7</v>
      </c>
      <c r="AK52">
        <f>_xlfn.XLOOKUP($A52,'EA-Fortescue_SDExport'!$A:$A,'EA-Fortescue_SDExport'!AY:AY)</f>
        <v>0</v>
      </c>
    </row>
    <row r="53" spans="1:37" x14ac:dyDescent="0.25">
      <c r="A53" t="str">
        <v>DGS-I_0052</v>
      </c>
      <c r="B53" t="str">
        <f>_xlfn.XLOOKUP($A53,'EA-Fortescue_SDExport'!$A:$A,'EA-Fortescue_SDExport'!B:B)</f>
        <v>Class</v>
      </c>
      <c r="C53" t="str">
        <f>_xlfn.XLOOKUP($A53,'EA-Fortescue_SDExport'!$A:$A,'EA-Fortescue_SDExport'!C:C)</f>
        <v>{CBD36CA4-0996-4f09-8097-1E8F73BE7394}</v>
      </c>
      <c r="D53" t="str">
        <f>_xlfn.LET(_xlpm.result, _xlfn.XLOOKUP($A53, InterfaceRegister!$A:$A, InterfaceRegister!P:P), IF(_xlpm.result=0, "", _xlpm.result))</f>
        <v/>
      </c>
      <c r="E53">
        <f>_xlfn.XLOOKUP($A53,'EA-Fortescue_SDExport'!$A:$A,'EA-Fortescue_SDExport'!E:E)</f>
        <v>1</v>
      </c>
      <c r="F53">
        <f>_xlfn.XLOOKUP($A53,'EA-Fortescue_SDExport'!$A:$A,'EA-Fortescue_SDExport'!F:F)</f>
        <v>1</v>
      </c>
      <c r="G53">
        <f>_xlfn.XLOOKUP($A53,'EA-Fortescue_SDExport'!$A:$A,'EA-Fortescue_SDExport'!G:G)</f>
        <v>0</v>
      </c>
      <c r="H53" t="str">
        <f>_xlfn.XLOOKUP($A53,'EA-Fortescue_SDExport'!$A:$A,'EA-Fortescue_SDExport'!H:H)</f>
        <v>InterfaceBlock</v>
      </c>
      <c r="I53" t="str">
        <f>_xlfn.XLOOKUP($A53,'EA-Fortescue_SDExport'!$A:$A,'EA-Fortescue_SDExport'!I:I)</f>
        <v>SysML1.4::InterfaceBlock</v>
      </c>
      <c r="J53" t="str">
        <f>_xlfn.XLOOKUP($A53,'EA-Fortescue_SDExport'!$A:$A,'EA-Fortescue_SDExport'!J:J)</f>
        <v>Java</v>
      </c>
      <c r="K53" t="str">
        <f>_xlfn.XLOOKUP($A53,'EA-Fortescue_SDExport'!$A:$A,'EA-Fortescue_SDExport'!K:K)</f>
        <v>Admin</v>
      </c>
      <c r="L53" t="str">
        <f>_xlfn.XLOOKUP($A53,'EA-Fortescue_SDExport'!$A:$A,'EA-Fortescue_SDExport'!L:L)</f>
        <v>Public</v>
      </c>
      <c r="M53">
        <f>_xlfn.XLOOKUP($A53,'EA-Fortescue_SDExport'!$A:$A,'EA-Fortescue_SDExport'!M:M)</f>
        <v>0</v>
      </c>
      <c r="N53" t="str">
        <f>_xlfn.XLOOKUP($A53,InterfaceRegister!$A:$A,InterfaceRegister!K:K)</f>
        <v>Proposed</v>
      </c>
      <c r="O53">
        <f>_xlfn.XLOOKUP($A53,'EA-Fortescue_SDExport'!$A:$A,'EA-Fortescue_SDExport'!O:O)</f>
        <v>1</v>
      </c>
      <c r="P53">
        <f>_xlfn.XLOOKUP($A53,'EA-Fortescue_SDExport'!$A:$A,'EA-Fortescue_SDExport'!P:P)</f>
        <v>0</v>
      </c>
      <c r="Q53">
        <f>_xlfn.XLOOKUP($A53,'EA-Fortescue_SDExport'!$A:$A,'EA-Fortescue_SDExport'!Q:Q)</f>
        <v>0</v>
      </c>
      <c r="R53">
        <f>_xlfn.XLOOKUP($A53,'EA-Fortescue_SDExport'!$A:$A,'EA-Fortescue_SDExport'!R:R)</f>
        <v>0</v>
      </c>
      <c r="S53">
        <f>_xlfn.XLOOKUP($A53,'EA-Fortescue_SDExport'!$A:$A,'EA-Fortescue_SDExport'!S:S)</f>
        <v>0</v>
      </c>
      <c r="T53">
        <f>_xlfn.XLOOKUP($A53,'EA-Fortescue_SDExport'!$A:$A,'EA-Fortescue_SDExport'!T:T)</f>
        <v>0</v>
      </c>
      <c r="U53">
        <f>_xlfn.XLOOKUP($A53,'EA-Fortescue_SDExport'!$A:$A,'EA-Fortescue_SDExport'!U:U)</f>
        <v>45945.676377314812</v>
      </c>
      <c r="V53">
        <f>_xlfn.XLOOKUP($A53,'EA-Fortescue_SDExport'!$A:$A,'EA-Fortescue_SDExport'!V:V)</f>
        <v>46002.067627314813</v>
      </c>
      <c r="W53">
        <f>_xlfn.XLOOKUP($A53,'EA-Fortescue_SDExport'!$A:$A,'EA-Fortescue_SDExport'!W:W)</f>
        <v>0</v>
      </c>
      <c r="X53">
        <f>_xlfn.XLOOKUP($A53,'EA-Fortescue_SDExport'!$A:$A,'EA-Fortescue_SDExport'!X:X)</f>
        <v>0</v>
      </c>
      <c r="Y53">
        <f>_xlfn.XLOOKUP($A53,'EA-Fortescue_SDExport'!$A:$A,'EA-Fortescue_SDExport'!Y:Y)</f>
        <v>0</v>
      </c>
      <c r="Z53" t="str">
        <f>_xlfn.XLOOKUP($A53,'EA-Fortescue_SDExport'!$A:$A,'EA-Fortescue_SDExport'!Z:Z)</f>
        <v>SysML1.4::InterfaceBlock</v>
      </c>
      <c r="AA53" t="str">
        <f>_xlfn.XLOOKUP($A53,InterfaceRegister!$A:$A,InterfaceRegister!B:B)</f>
        <v>852DC Light Mobile Equipment (LME) &amp; Support Mobile Equipment (SME)|850DC-1514-0003 LME / SME Chargers</v>
      </c>
      <c r="AB53" t="str">
        <f>_xlfn.XLOOKUP($A53,InterfaceRegister!$A:$A,InterfaceRegister!C:C)</f>
        <v/>
      </c>
      <c r="AC53" t="str">
        <f>_xlfn.XLOOKUP($A53,InterfaceRegister!$A:$A,InterfaceRegister!D:D)</f>
        <v/>
      </c>
      <c r="AD53" t="str">
        <f>_xlfn.XLOOKUP($A53,InterfaceRegister!$A:$A,InterfaceRegister!E:E)</f>
        <v>Program - Project Interface</v>
      </c>
      <c r="AE53" t="str">
        <f>_xlfn.XLOOKUP($A53,InterfaceRegister!$A:$A,InterfaceRegister!F:F)</f>
        <v/>
      </c>
      <c r="AF53" t="str">
        <f>_xlfn.XLOOKUP($A53,InterfaceRegister!$A:$A,InterfaceRegister!L:L)</f>
        <v/>
      </c>
      <c r="AG53" t="str">
        <f>_xlfn.XLOOKUP($A53,InterfaceRegister!$A:$A,InterfaceRegister!M:M)</f>
        <v/>
      </c>
      <c r="AH53" t="str">
        <f>_xlfn.XLOOKUP($A53,InterfaceRegister!$A:$A,InterfaceRegister!O:O)</f>
        <v/>
      </c>
      <c r="AI53" t="str">
        <f>_xlfn.XLOOKUP($A53,InterfaceRegister!$A:$A,InterfaceRegister!N:N)</f>
        <v/>
      </c>
      <c r="AJ53" t="str">
        <f>_xlfn.XLOOKUP($A53,'EA-Fortescue_SDExport'!$A:$A,'EA-Fortescue_SDExport'!AX:AX)</f>
        <v>CSV8A788B70</v>
      </c>
      <c r="AK53">
        <f>_xlfn.XLOOKUP($A53,'EA-Fortescue_SDExport'!$A:$A,'EA-Fortescue_SDExport'!AY:AY)</f>
        <v>0</v>
      </c>
    </row>
    <row r="54" spans="1:37" x14ac:dyDescent="0.25">
      <c r="A54" t="str">
        <v>DGS-I_0053</v>
      </c>
      <c r="B54" t="str">
        <f>_xlfn.XLOOKUP($A54,'EA-Fortescue_SDExport'!$A:$A,'EA-Fortescue_SDExport'!B:B)</f>
        <v>Class</v>
      </c>
      <c r="C54" t="str">
        <f>_xlfn.XLOOKUP($A54,'EA-Fortescue_SDExport'!$A:$A,'EA-Fortescue_SDExport'!C:C)</f>
        <v>{A9A17CBF-D72E-4c17-85E5-C88EFC35B467}</v>
      </c>
      <c r="D54" t="str">
        <f>_xlfn.LET(_xlpm.result, _xlfn.XLOOKUP($A54, InterfaceRegister!$A:$A, InterfaceRegister!P:P), IF(_xlpm.result=0, "", _xlpm.result))</f>
        <v/>
      </c>
      <c r="E54">
        <f>_xlfn.XLOOKUP($A54,'EA-Fortescue_SDExport'!$A:$A,'EA-Fortescue_SDExport'!E:E)</f>
        <v>1</v>
      </c>
      <c r="F54">
        <f>_xlfn.XLOOKUP($A54,'EA-Fortescue_SDExport'!$A:$A,'EA-Fortescue_SDExport'!F:F)</f>
        <v>1</v>
      </c>
      <c r="G54">
        <f>_xlfn.XLOOKUP($A54,'EA-Fortescue_SDExport'!$A:$A,'EA-Fortescue_SDExport'!G:G)</f>
        <v>0</v>
      </c>
      <c r="H54" t="str">
        <f>_xlfn.XLOOKUP($A54,'EA-Fortescue_SDExport'!$A:$A,'EA-Fortescue_SDExport'!H:H)</f>
        <v>InterfaceBlock</v>
      </c>
      <c r="I54" t="str">
        <f>_xlfn.XLOOKUP($A54,'EA-Fortescue_SDExport'!$A:$A,'EA-Fortescue_SDExport'!I:I)</f>
        <v>SysML1.4::InterfaceBlock</v>
      </c>
      <c r="J54" t="str">
        <f>_xlfn.XLOOKUP($A54,'EA-Fortescue_SDExport'!$A:$A,'EA-Fortescue_SDExport'!J:J)</f>
        <v>Java</v>
      </c>
      <c r="K54" t="str">
        <f>_xlfn.XLOOKUP($A54,'EA-Fortescue_SDExport'!$A:$A,'EA-Fortescue_SDExport'!K:K)</f>
        <v>Admin</v>
      </c>
      <c r="L54" t="str">
        <f>_xlfn.XLOOKUP($A54,'EA-Fortescue_SDExport'!$A:$A,'EA-Fortescue_SDExport'!L:L)</f>
        <v>Public</v>
      </c>
      <c r="M54">
        <f>_xlfn.XLOOKUP($A54,'EA-Fortescue_SDExport'!$A:$A,'EA-Fortescue_SDExport'!M:M)</f>
        <v>0</v>
      </c>
      <c r="N54" t="str">
        <f>_xlfn.XLOOKUP($A54,InterfaceRegister!$A:$A,InterfaceRegister!K:K)</f>
        <v>Proposed</v>
      </c>
      <c r="O54">
        <f>_xlfn.XLOOKUP($A54,'EA-Fortescue_SDExport'!$A:$A,'EA-Fortescue_SDExport'!O:O)</f>
        <v>1</v>
      </c>
      <c r="P54">
        <f>_xlfn.XLOOKUP($A54,'EA-Fortescue_SDExport'!$A:$A,'EA-Fortescue_SDExport'!P:P)</f>
        <v>0</v>
      </c>
      <c r="Q54">
        <f>_xlfn.XLOOKUP($A54,'EA-Fortescue_SDExport'!$A:$A,'EA-Fortescue_SDExport'!Q:Q)</f>
        <v>0</v>
      </c>
      <c r="R54">
        <f>_xlfn.XLOOKUP($A54,'EA-Fortescue_SDExport'!$A:$A,'EA-Fortescue_SDExport'!R:R)</f>
        <v>0</v>
      </c>
      <c r="S54">
        <f>_xlfn.XLOOKUP($A54,'EA-Fortescue_SDExport'!$A:$A,'EA-Fortescue_SDExport'!S:S)</f>
        <v>0</v>
      </c>
      <c r="T54">
        <f>_xlfn.XLOOKUP($A54,'EA-Fortescue_SDExport'!$A:$A,'EA-Fortescue_SDExport'!T:T)</f>
        <v>0</v>
      </c>
      <c r="U54">
        <f>_xlfn.XLOOKUP($A54,'EA-Fortescue_SDExport'!$A:$A,'EA-Fortescue_SDExport'!U:U)</f>
        <v>45945.676400462966</v>
      </c>
      <c r="V54">
        <f>_xlfn.XLOOKUP($A54,'EA-Fortescue_SDExport'!$A:$A,'EA-Fortescue_SDExport'!V:V)</f>
        <v>46035.847974537035</v>
      </c>
      <c r="W54">
        <f>_xlfn.XLOOKUP($A54,'EA-Fortescue_SDExport'!$A:$A,'EA-Fortescue_SDExport'!W:W)</f>
        <v>0</v>
      </c>
      <c r="X54">
        <f>_xlfn.XLOOKUP($A54,'EA-Fortescue_SDExport'!$A:$A,'EA-Fortescue_SDExport'!X:X)</f>
        <v>0</v>
      </c>
      <c r="Y54">
        <f>_xlfn.XLOOKUP($A54,'EA-Fortescue_SDExport'!$A:$A,'EA-Fortescue_SDExport'!Y:Y)</f>
        <v>0</v>
      </c>
      <c r="Z54" t="str">
        <f>_xlfn.XLOOKUP($A54,'EA-Fortescue_SDExport'!$A:$A,'EA-Fortescue_SDExport'!Z:Z)</f>
        <v>SysML1.4::InterfaceBlock</v>
      </c>
      <c r="AA54" t="str">
        <f>_xlfn.XLOOKUP($A54,InterfaceRegister!$A:$A,InterfaceRegister!B:B)</f>
        <v>852DC Light Mobile Equipment (LME) &amp; Support Mobile Equipment (SME)|850DC-1513-0002 HME Auxilary Chargers</v>
      </c>
      <c r="AB54" t="str">
        <f>_xlfn.XLOOKUP($A54,InterfaceRegister!$A:$A,InterfaceRegister!C:C)</f>
        <v/>
      </c>
      <c r="AC54" t="str">
        <f>_xlfn.XLOOKUP($A54,InterfaceRegister!$A:$A,InterfaceRegister!D:D)</f>
        <v/>
      </c>
      <c r="AD54" t="str">
        <f>_xlfn.XLOOKUP($A54,InterfaceRegister!$A:$A,InterfaceRegister!E:E)</f>
        <v>Program - Project Interface</v>
      </c>
      <c r="AE54" t="str">
        <f>_xlfn.XLOOKUP($A54,InterfaceRegister!$A:$A,InterfaceRegister!F:F)</f>
        <v/>
      </c>
      <c r="AF54" t="str">
        <f>_xlfn.XLOOKUP($A54,InterfaceRegister!$A:$A,InterfaceRegister!L:L)</f>
        <v/>
      </c>
      <c r="AG54" t="str">
        <f>_xlfn.XLOOKUP($A54,InterfaceRegister!$A:$A,InterfaceRegister!M:M)</f>
        <v/>
      </c>
      <c r="AH54" t="str">
        <f>_xlfn.XLOOKUP($A54,InterfaceRegister!$A:$A,InterfaceRegister!O:O)</f>
        <v/>
      </c>
      <c r="AI54" t="str">
        <f>_xlfn.XLOOKUP($A54,InterfaceRegister!$A:$A,InterfaceRegister!N:N)</f>
        <v/>
      </c>
      <c r="AJ54" t="str">
        <f>_xlfn.XLOOKUP($A54,'EA-Fortescue_SDExport'!$A:$A,'EA-Fortescue_SDExport'!AX:AX)</f>
        <v>CSVB4C247E4</v>
      </c>
      <c r="AK54">
        <f>_xlfn.XLOOKUP($A54,'EA-Fortescue_SDExport'!$A:$A,'EA-Fortescue_SDExport'!AY:AY)</f>
        <v>0</v>
      </c>
    </row>
    <row r="55" spans="1:37" x14ac:dyDescent="0.25">
      <c r="A55" t="str">
        <v>DGS-I_0054</v>
      </c>
      <c r="B55" t="str">
        <f>_xlfn.XLOOKUP($A55,'EA-Fortescue_SDExport'!$A:$A,'EA-Fortescue_SDExport'!B:B)</f>
        <v>Class</v>
      </c>
      <c r="C55" t="str">
        <f>_xlfn.XLOOKUP($A55,'EA-Fortescue_SDExport'!$A:$A,'EA-Fortescue_SDExport'!C:C)</f>
        <v>{B0E3FD74-A6BB-491c-9F47-FF41B69226F1}</v>
      </c>
      <c r="D55" t="str">
        <f>_xlfn.LET(_xlpm.result, _xlfn.XLOOKUP($A55, InterfaceRegister!$A:$A, InterfaceRegister!P:P), IF(_xlpm.result=0, "", _xlpm.result))</f>
        <v/>
      </c>
      <c r="E55">
        <f>_xlfn.XLOOKUP($A55,'EA-Fortescue_SDExport'!$A:$A,'EA-Fortescue_SDExport'!E:E)</f>
        <v>1</v>
      </c>
      <c r="F55">
        <f>_xlfn.XLOOKUP($A55,'EA-Fortescue_SDExport'!$A:$A,'EA-Fortescue_SDExport'!F:F)</f>
        <v>1</v>
      </c>
      <c r="G55">
        <f>_xlfn.XLOOKUP($A55,'EA-Fortescue_SDExport'!$A:$A,'EA-Fortescue_SDExport'!G:G)</f>
        <v>0</v>
      </c>
      <c r="H55" t="str">
        <f>_xlfn.XLOOKUP($A55,'EA-Fortescue_SDExport'!$A:$A,'EA-Fortescue_SDExport'!H:H)</f>
        <v>InterfaceBlock</v>
      </c>
      <c r="I55" t="str">
        <f>_xlfn.XLOOKUP($A55,'EA-Fortescue_SDExport'!$A:$A,'EA-Fortescue_SDExport'!I:I)</f>
        <v>SysML1.4::InterfaceBlock</v>
      </c>
      <c r="J55" t="str">
        <f>_xlfn.XLOOKUP($A55,'EA-Fortescue_SDExport'!$A:$A,'EA-Fortescue_SDExport'!J:J)</f>
        <v>Java</v>
      </c>
      <c r="K55" t="str">
        <f>_xlfn.XLOOKUP($A55,'EA-Fortescue_SDExport'!$A:$A,'EA-Fortescue_SDExport'!K:K)</f>
        <v>Admin</v>
      </c>
      <c r="L55" t="str">
        <f>_xlfn.XLOOKUP($A55,'EA-Fortescue_SDExport'!$A:$A,'EA-Fortescue_SDExport'!L:L)</f>
        <v>Public</v>
      </c>
      <c r="M55">
        <f>_xlfn.XLOOKUP($A55,'EA-Fortescue_SDExport'!$A:$A,'EA-Fortescue_SDExport'!M:M)</f>
        <v>0</v>
      </c>
      <c r="N55" t="str">
        <f>_xlfn.XLOOKUP($A55,InterfaceRegister!$A:$A,InterfaceRegister!K:K)</f>
        <v>Proposed</v>
      </c>
      <c r="O55">
        <f>_xlfn.XLOOKUP($A55,'EA-Fortescue_SDExport'!$A:$A,'EA-Fortescue_SDExport'!O:O)</f>
        <v>1</v>
      </c>
      <c r="P55">
        <f>_xlfn.XLOOKUP($A55,'EA-Fortescue_SDExport'!$A:$A,'EA-Fortescue_SDExport'!P:P)</f>
        <v>0</v>
      </c>
      <c r="Q55">
        <f>_xlfn.XLOOKUP($A55,'EA-Fortescue_SDExport'!$A:$A,'EA-Fortescue_SDExport'!Q:Q)</f>
        <v>0</v>
      </c>
      <c r="R55">
        <f>_xlfn.XLOOKUP($A55,'EA-Fortescue_SDExport'!$A:$A,'EA-Fortescue_SDExport'!R:R)</f>
        <v>0</v>
      </c>
      <c r="S55">
        <f>_xlfn.XLOOKUP($A55,'EA-Fortescue_SDExport'!$A:$A,'EA-Fortescue_SDExport'!S:S)</f>
        <v>0</v>
      </c>
      <c r="T55">
        <f>_xlfn.XLOOKUP($A55,'EA-Fortescue_SDExport'!$A:$A,'EA-Fortescue_SDExport'!T:T)</f>
        <v>0</v>
      </c>
      <c r="U55">
        <f>_xlfn.XLOOKUP($A55,'EA-Fortescue_SDExport'!$A:$A,'EA-Fortescue_SDExport'!U:U)</f>
        <v>45945.676412037035</v>
      </c>
      <c r="V55">
        <f>_xlfn.XLOOKUP($A55,'EA-Fortescue_SDExport'!$A:$A,'EA-Fortescue_SDExport'!V:V)</f>
        <v>46002.067615740743</v>
      </c>
      <c r="W55">
        <f>_xlfn.XLOOKUP($A55,'EA-Fortescue_SDExport'!$A:$A,'EA-Fortescue_SDExport'!W:W)</f>
        <v>0</v>
      </c>
      <c r="X55">
        <f>_xlfn.XLOOKUP($A55,'EA-Fortescue_SDExport'!$A:$A,'EA-Fortescue_SDExport'!X:X)</f>
        <v>0</v>
      </c>
      <c r="Y55">
        <f>_xlfn.XLOOKUP($A55,'EA-Fortescue_SDExport'!$A:$A,'EA-Fortescue_SDExport'!Y:Y)</f>
        <v>0</v>
      </c>
      <c r="Z55" t="str">
        <f>_xlfn.XLOOKUP($A55,'EA-Fortescue_SDExport'!$A:$A,'EA-Fortescue_SDExport'!Z:Z)</f>
        <v>SysML1.4::InterfaceBlock</v>
      </c>
      <c r="AA55" t="str">
        <f>_xlfn.XLOOKUP($A55,InterfaceRegister!$A:$A,InterfaceRegister!B:B)</f>
        <v>851DC Heavy Mobile Equipment (HME)|850DC-1512-0001 HME Chargers - Gen1</v>
      </c>
      <c r="AB55" t="str">
        <f>_xlfn.XLOOKUP($A55,InterfaceRegister!$A:$A,InterfaceRegister!C:C)</f>
        <v/>
      </c>
      <c r="AC55" t="str">
        <f>_xlfn.XLOOKUP($A55,InterfaceRegister!$A:$A,InterfaceRegister!D:D)</f>
        <v/>
      </c>
      <c r="AD55" t="str">
        <f>_xlfn.XLOOKUP($A55,InterfaceRegister!$A:$A,InterfaceRegister!E:E)</f>
        <v>Program - Project Interface</v>
      </c>
      <c r="AE55" t="str">
        <f>_xlfn.XLOOKUP($A55,InterfaceRegister!$A:$A,InterfaceRegister!F:F)</f>
        <v/>
      </c>
      <c r="AF55" t="str">
        <f>_xlfn.XLOOKUP($A55,InterfaceRegister!$A:$A,InterfaceRegister!L:L)</f>
        <v/>
      </c>
      <c r="AG55" t="str">
        <f>_xlfn.XLOOKUP($A55,InterfaceRegister!$A:$A,InterfaceRegister!M:M)</f>
        <v/>
      </c>
      <c r="AH55" t="str">
        <f>_xlfn.XLOOKUP($A55,InterfaceRegister!$A:$A,InterfaceRegister!O:O)</f>
        <v/>
      </c>
      <c r="AI55" t="str">
        <f>_xlfn.XLOOKUP($A55,InterfaceRegister!$A:$A,InterfaceRegister!N:N)</f>
        <v/>
      </c>
      <c r="AJ55" t="str">
        <f>_xlfn.XLOOKUP($A55,'EA-Fortescue_SDExport'!$A:$A,'EA-Fortescue_SDExport'!AX:AX)</f>
        <v>CSVA2260657</v>
      </c>
      <c r="AK55">
        <f>_xlfn.XLOOKUP($A55,'EA-Fortescue_SDExport'!$A:$A,'EA-Fortescue_SDExport'!AY:AY)</f>
        <v>0</v>
      </c>
    </row>
    <row r="56" spans="1:37" x14ac:dyDescent="0.25">
      <c r="A56" t="str">
        <v>DGS-I_0055</v>
      </c>
      <c r="B56" t="str">
        <f>_xlfn.XLOOKUP($A56,'EA-Fortescue_SDExport'!$A:$A,'EA-Fortescue_SDExport'!B:B)</f>
        <v>Class</v>
      </c>
      <c r="C56" t="str">
        <f>_xlfn.XLOOKUP($A56,'EA-Fortescue_SDExport'!$A:$A,'EA-Fortescue_SDExport'!C:C)</f>
        <v>{11443778-2F51-43b2-997B-2345D9452F70}</v>
      </c>
      <c r="D56" t="str">
        <f>_xlfn.LET(_xlpm.result, _xlfn.XLOOKUP($A56,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56">
        <f>_xlfn.XLOOKUP($A56,'EA-Fortescue_SDExport'!$A:$A,'EA-Fortescue_SDExport'!E:E)</f>
        <v>1</v>
      </c>
      <c r="F56">
        <f>_xlfn.XLOOKUP($A56,'EA-Fortescue_SDExport'!$A:$A,'EA-Fortescue_SDExport'!F:F)</f>
        <v>1</v>
      </c>
      <c r="G56">
        <f>_xlfn.XLOOKUP($A56,'EA-Fortescue_SDExport'!$A:$A,'EA-Fortescue_SDExport'!G:G)</f>
        <v>0</v>
      </c>
      <c r="H56" t="str">
        <f>_xlfn.XLOOKUP($A56,'EA-Fortescue_SDExport'!$A:$A,'EA-Fortescue_SDExport'!H:H)</f>
        <v>InterfaceBlock</v>
      </c>
      <c r="I56" t="str">
        <f>_xlfn.XLOOKUP($A56,'EA-Fortescue_SDExport'!$A:$A,'EA-Fortescue_SDExport'!I:I)</f>
        <v>SysML1.4::InterfaceBlock</v>
      </c>
      <c r="J56" t="str">
        <f>_xlfn.XLOOKUP($A56,'EA-Fortescue_SDExport'!$A:$A,'EA-Fortescue_SDExport'!J:J)</f>
        <v>Java</v>
      </c>
      <c r="K56" t="str">
        <f>_xlfn.XLOOKUP($A56,'EA-Fortescue_SDExport'!$A:$A,'EA-Fortescue_SDExport'!K:K)</f>
        <v>Admin</v>
      </c>
      <c r="L56" t="str">
        <f>_xlfn.XLOOKUP($A56,'EA-Fortescue_SDExport'!$A:$A,'EA-Fortescue_SDExport'!L:L)</f>
        <v>Public</v>
      </c>
      <c r="M56">
        <f>_xlfn.XLOOKUP($A56,'EA-Fortescue_SDExport'!$A:$A,'EA-Fortescue_SDExport'!M:M)</f>
        <v>0</v>
      </c>
      <c r="N56" t="str">
        <f>_xlfn.XLOOKUP($A56,InterfaceRegister!$A:$A,InterfaceRegister!K:K)</f>
        <v>Proposed</v>
      </c>
      <c r="O56">
        <f>_xlfn.XLOOKUP($A56,'EA-Fortescue_SDExport'!$A:$A,'EA-Fortescue_SDExport'!O:O)</f>
        <v>1</v>
      </c>
      <c r="P56">
        <f>_xlfn.XLOOKUP($A56,'EA-Fortescue_SDExport'!$A:$A,'EA-Fortescue_SDExport'!P:P)</f>
        <v>0</v>
      </c>
      <c r="Q56">
        <f>_xlfn.XLOOKUP($A56,'EA-Fortescue_SDExport'!$A:$A,'EA-Fortescue_SDExport'!Q:Q)</f>
        <v>0</v>
      </c>
      <c r="R56">
        <f>_xlfn.XLOOKUP($A56,'EA-Fortescue_SDExport'!$A:$A,'EA-Fortescue_SDExport'!R:R)</f>
        <v>0</v>
      </c>
      <c r="S56">
        <f>_xlfn.XLOOKUP($A56,'EA-Fortescue_SDExport'!$A:$A,'EA-Fortescue_SDExport'!S:S)</f>
        <v>0</v>
      </c>
      <c r="T56">
        <f>_xlfn.XLOOKUP($A56,'EA-Fortescue_SDExport'!$A:$A,'EA-Fortescue_SDExport'!T:T)</f>
        <v>0</v>
      </c>
      <c r="U56">
        <f>_xlfn.XLOOKUP($A56,'EA-Fortescue_SDExport'!$A:$A,'EA-Fortescue_SDExport'!U:U)</f>
        <v>45945.795659722222</v>
      </c>
      <c r="V56">
        <f>_xlfn.XLOOKUP($A56,'EA-Fortescue_SDExport'!$A:$A,'EA-Fortescue_SDExport'!V:V)</f>
        <v>46071.946018518516</v>
      </c>
      <c r="W56">
        <f>_xlfn.XLOOKUP($A56,'EA-Fortescue_SDExport'!$A:$A,'EA-Fortescue_SDExport'!W:W)</f>
        <v>0</v>
      </c>
      <c r="X56">
        <f>_xlfn.XLOOKUP($A56,'EA-Fortescue_SDExport'!$A:$A,'EA-Fortescue_SDExport'!X:X)</f>
        <v>0</v>
      </c>
      <c r="Y56">
        <f>_xlfn.XLOOKUP($A56,'EA-Fortescue_SDExport'!$A:$A,'EA-Fortescue_SDExport'!Y:Y)</f>
        <v>0</v>
      </c>
      <c r="Z56" t="str">
        <f>_xlfn.XLOOKUP($A56,'EA-Fortescue_SDExport'!$A:$A,'EA-Fortescue_SDExport'!Z:Z)</f>
        <v>SysML1.4::InterfaceBlock</v>
      </c>
      <c r="AA56" t="str">
        <f>_xlfn.XLOOKUP($A56,InterfaceRegister!$A:$A,InterfaceRegister!B:B)</f>
        <v>001OP-4000 Port Facilities|855DC-1543-PPC Pit Power Capacity Planning Tool - Capacity Check</v>
      </c>
      <c r="AB56" t="str">
        <f>_xlfn.XLOOKUP($A56,InterfaceRegister!$A:$A,InterfaceRegister!C:C)</f>
        <v/>
      </c>
      <c r="AC56" t="str">
        <f>_xlfn.XLOOKUP($A56,InterfaceRegister!$A:$A,InterfaceRegister!D:D)</f>
        <v/>
      </c>
      <c r="AD56" t="str">
        <f>_xlfn.XLOOKUP($A56,InterfaceRegister!$A:$A,InterfaceRegister!E:E)</f>
        <v>System - Project Interface</v>
      </c>
      <c r="AE56" t="str">
        <f>_xlfn.XLOOKUP($A56,InterfaceRegister!$A:$A,InterfaceRegister!F:F)</f>
        <v>Technical - Data/Software</v>
      </c>
      <c r="AF56" t="str">
        <f>_xlfn.XLOOKUP($A56,InterfaceRegister!$A:$A,InterfaceRegister!L:L)</f>
        <v>This interface allows the Pit Power Capacity Planning Tool - Capacity Check to access operational and electrical data from the Port Facilities, including power availability, load profiles, and peak demand forecasts. The tool uses this information to assess overall network capacity and ensure sufficient power allocation for pit operations. This is a read-only analytical interface; it does not control port systems.</v>
      </c>
      <c r="AG56" t="str">
        <f>_xlfn.XLOOKUP($A56,InterfaceRegister!$A:$A,InterfaceRegister!M:M)</f>
        <v>HIGH</v>
      </c>
      <c r="AH56" t="str">
        <f>_xlfn.XLOOKUP($A56,InterfaceRegister!$A:$A,InterfaceRegister!O:O)</f>
        <v>Port Facilities -&gt; Pit Power Capacity Planning Tool - Capacity Check</v>
      </c>
      <c r="AI56" t="str">
        <f>_xlfn.XLOOKUP($A56,InterfaceRegister!$A:$A,InterfaceRegister!N:N)</f>
        <v>The criticality is HIGH because port power consumption can significantly impact overall network capacity. Accurate data is essential for planning pit operations without overloading the network.</v>
      </c>
      <c r="AJ56" t="str">
        <f>_xlfn.XLOOKUP($A56,'EA-Fortescue_SDExport'!$A:$A,'EA-Fortescue_SDExport'!AX:AX)</f>
        <v>CSVAD17B4DB</v>
      </c>
      <c r="AK56">
        <f>_xlfn.XLOOKUP($A56,'EA-Fortescue_SDExport'!$A:$A,'EA-Fortescue_SDExport'!AY:AY)</f>
        <v>0</v>
      </c>
    </row>
    <row r="57" spans="1:37" x14ac:dyDescent="0.25">
      <c r="A57" t="str">
        <v>DGS-I_0056</v>
      </c>
      <c r="B57" t="str">
        <f>_xlfn.XLOOKUP($A57,'EA-Fortescue_SDExport'!$A:$A,'EA-Fortescue_SDExport'!B:B)</f>
        <v>Class</v>
      </c>
      <c r="C57" t="str">
        <f>_xlfn.XLOOKUP($A57,'EA-Fortescue_SDExport'!$A:$A,'EA-Fortescue_SDExport'!C:C)</f>
        <v>{FD229DDD-163A-40fd-926D-92922ACE7555}</v>
      </c>
      <c r="D57" t="str">
        <f>_xlfn.LET(_xlpm.result, _xlfn.XLOOKUP($A57,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57">
        <f>_xlfn.XLOOKUP($A57,'EA-Fortescue_SDExport'!$A:$A,'EA-Fortescue_SDExport'!E:E)</f>
        <v>1</v>
      </c>
      <c r="F57">
        <f>_xlfn.XLOOKUP($A57,'EA-Fortescue_SDExport'!$A:$A,'EA-Fortescue_SDExport'!F:F)</f>
        <v>1</v>
      </c>
      <c r="G57">
        <f>_xlfn.XLOOKUP($A57,'EA-Fortescue_SDExport'!$A:$A,'EA-Fortescue_SDExport'!G:G)</f>
        <v>0</v>
      </c>
      <c r="H57" t="str">
        <f>_xlfn.XLOOKUP($A57,'EA-Fortescue_SDExport'!$A:$A,'EA-Fortescue_SDExport'!H:H)</f>
        <v>InterfaceBlock</v>
      </c>
      <c r="I57" t="str">
        <f>_xlfn.XLOOKUP($A57,'EA-Fortescue_SDExport'!$A:$A,'EA-Fortescue_SDExport'!I:I)</f>
        <v>SysML1.4::InterfaceBlock</v>
      </c>
      <c r="J57" t="str">
        <f>_xlfn.XLOOKUP($A57,'EA-Fortescue_SDExport'!$A:$A,'EA-Fortescue_SDExport'!J:J)</f>
        <v>Java</v>
      </c>
      <c r="K57" t="str">
        <f>_xlfn.XLOOKUP($A57,'EA-Fortescue_SDExport'!$A:$A,'EA-Fortescue_SDExport'!K:K)</f>
        <v>Admin</v>
      </c>
      <c r="L57" t="str">
        <f>_xlfn.XLOOKUP($A57,'EA-Fortescue_SDExport'!$A:$A,'EA-Fortescue_SDExport'!L:L)</f>
        <v>Public</v>
      </c>
      <c r="M57">
        <f>_xlfn.XLOOKUP($A57,'EA-Fortescue_SDExport'!$A:$A,'EA-Fortescue_SDExport'!M:M)</f>
        <v>0</v>
      </c>
      <c r="N57" t="str">
        <f>_xlfn.XLOOKUP($A57,InterfaceRegister!$A:$A,InterfaceRegister!K:K)</f>
        <v>Proposed</v>
      </c>
      <c r="O57">
        <f>_xlfn.XLOOKUP($A57,'EA-Fortescue_SDExport'!$A:$A,'EA-Fortescue_SDExport'!O:O)</f>
        <v>1</v>
      </c>
      <c r="P57">
        <f>_xlfn.XLOOKUP($A57,'EA-Fortescue_SDExport'!$A:$A,'EA-Fortescue_SDExport'!P:P)</f>
        <v>0</v>
      </c>
      <c r="Q57">
        <f>_xlfn.XLOOKUP($A57,'EA-Fortescue_SDExport'!$A:$A,'EA-Fortescue_SDExport'!Q:Q)</f>
        <v>0</v>
      </c>
      <c r="R57">
        <f>_xlfn.XLOOKUP($A57,'EA-Fortescue_SDExport'!$A:$A,'EA-Fortescue_SDExport'!R:R)</f>
        <v>0</v>
      </c>
      <c r="S57">
        <f>_xlfn.XLOOKUP($A57,'EA-Fortescue_SDExport'!$A:$A,'EA-Fortescue_SDExport'!S:S)</f>
        <v>0</v>
      </c>
      <c r="T57">
        <f>_xlfn.XLOOKUP($A57,'EA-Fortescue_SDExport'!$A:$A,'EA-Fortescue_SDExport'!T:T)</f>
        <v>0</v>
      </c>
      <c r="U57">
        <f>_xlfn.XLOOKUP($A57,'EA-Fortescue_SDExport'!$A:$A,'EA-Fortescue_SDExport'!U:U)</f>
        <v>45945.795694444445</v>
      </c>
      <c r="V57">
        <f>_xlfn.XLOOKUP($A57,'EA-Fortescue_SDExport'!$A:$A,'EA-Fortescue_SDExport'!V:V)</f>
        <v>46071.947118055556</v>
      </c>
      <c r="W57">
        <f>_xlfn.XLOOKUP($A57,'EA-Fortescue_SDExport'!$A:$A,'EA-Fortescue_SDExport'!W:W)</f>
        <v>0</v>
      </c>
      <c r="X57">
        <f>_xlfn.XLOOKUP($A57,'EA-Fortescue_SDExport'!$A:$A,'EA-Fortescue_SDExport'!X:X)</f>
        <v>0</v>
      </c>
      <c r="Y57">
        <f>_xlfn.XLOOKUP($A57,'EA-Fortescue_SDExport'!$A:$A,'EA-Fortescue_SDExport'!Y:Y)</f>
        <v>0</v>
      </c>
      <c r="Z57" t="str">
        <f>_xlfn.XLOOKUP($A57,'EA-Fortescue_SDExport'!$A:$A,'EA-Fortescue_SDExport'!Z:Z)</f>
        <v>SysML1.4::InterfaceBlock</v>
      </c>
      <c r="AA57" t="str">
        <f>_xlfn.XLOOKUP($A57,InterfaceRegister!$A:$A,InterfaceRegister!B:B)</f>
        <v>001OP-4160 Train Unloader (TUL)|855DC-1543-PPC Pit Power Capacity Planning Tool - Capacity Check</v>
      </c>
      <c r="AB57" t="str">
        <f>_xlfn.XLOOKUP($A57,InterfaceRegister!$A:$A,InterfaceRegister!C:C)</f>
        <v/>
      </c>
      <c r="AC57" t="str">
        <f>_xlfn.XLOOKUP($A57,InterfaceRegister!$A:$A,InterfaceRegister!D:D)</f>
        <v/>
      </c>
      <c r="AD57" t="str">
        <f>_xlfn.XLOOKUP($A57,InterfaceRegister!$A:$A,InterfaceRegister!E:E)</f>
        <v>System - Project Interface</v>
      </c>
      <c r="AE57" t="str">
        <f>_xlfn.XLOOKUP($A57,InterfaceRegister!$A:$A,InterfaceRegister!F:F)</f>
        <v>Technical - Data/Software</v>
      </c>
      <c r="AF57" t="str">
        <f>_xlfn.XLOOKUP($A57,InterfaceRegister!$A:$A,InterfaceRegister!L:L)</f>
        <v>This interface allows the Pit Power Capacity Planning Tool - Capacity Check to access power demand and operational data from the Train Unloader (TUL), including electrical load profiles, peak usage times, and equipment availability. The tool uses this information to evaluate pit network capacity and ensure power supply adequacy for mining operations. This is a read-only analytical interface; it does not control the TUL.</v>
      </c>
      <c r="AG57" t="str">
        <f>_xlfn.XLOOKUP($A57,InterfaceRegister!$A:$A,InterfaceRegister!M:M)</f>
        <v>HIGH</v>
      </c>
      <c r="AH57" t="str">
        <f>_xlfn.XLOOKUP($A57,InterfaceRegister!$A:$A,InterfaceRegister!O:O)</f>
        <v>Train Unloader (TUL) -&gt; Pit Power Capacity Planning Tool - Capacity Check</v>
      </c>
      <c r="AI57" t="str">
        <f>_xlfn.XLOOKUP($A57,InterfaceRegister!$A:$A,InterfaceRegister!N:N)</f>
        <v>The criticality is HIGH because the Train Unloader's power consumption can significantly influence pit network load. Accurate load data is required to avoid exceeding network capacity and to optimise power allocation.</v>
      </c>
      <c r="AJ57" t="str">
        <f>_xlfn.XLOOKUP($A57,'EA-Fortescue_SDExport'!$A:$A,'EA-Fortescue_SDExport'!AX:AX)</f>
        <v>CSV2DBA8410</v>
      </c>
      <c r="AK57">
        <f>_xlfn.XLOOKUP($A57,'EA-Fortescue_SDExport'!$A:$A,'EA-Fortescue_SDExport'!AY:AY)</f>
        <v>0</v>
      </c>
    </row>
    <row r="58" spans="1:37" x14ac:dyDescent="0.25">
      <c r="A58" t="str">
        <v>DGS-I_0057</v>
      </c>
      <c r="B58" t="str">
        <f>_xlfn.XLOOKUP($A58,'EA-Fortescue_SDExport'!$A:$A,'EA-Fortescue_SDExport'!B:B)</f>
        <v>Class</v>
      </c>
      <c r="C58" t="str">
        <f>_xlfn.XLOOKUP($A58,'EA-Fortescue_SDExport'!$A:$A,'EA-Fortescue_SDExport'!C:C)</f>
        <v>{F193ADA1-E06E-4a64-89A4-6F7CA5542FB6}</v>
      </c>
      <c r="D58" t="str">
        <f>_xlfn.LET(_xlpm.result, _xlfn.XLOOKUP($A58,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58">
        <f>_xlfn.XLOOKUP($A58,'EA-Fortescue_SDExport'!$A:$A,'EA-Fortescue_SDExport'!E:E)</f>
        <v>1</v>
      </c>
      <c r="F58">
        <f>_xlfn.XLOOKUP($A58,'EA-Fortescue_SDExport'!$A:$A,'EA-Fortescue_SDExport'!F:F)</f>
        <v>1</v>
      </c>
      <c r="G58">
        <f>_xlfn.XLOOKUP($A58,'EA-Fortescue_SDExport'!$A:$A,'EA-Fortescue_SDExport'!G:G)</f>
        <v>0</v>
      </c>
      <c r="H58" t="str">
        <f>_xlfn.XLOOKUP($A58,'EA-Fortescue_SDExport'!$A:$A,'EA-Fortescue_SDExport'!H:H)</f>
        <v>InterfaceBlock</v>
      </c>
      <c r="I58" t="str">
        <f>_xlfn.XLOOKUP($A58,'EA-Fortescue_SDExport'!$A:$A,'EA-Fortescue_SDExport'!I:I)</f>
        <v>SysML1.4::InterfaceBlock</v>
      </c>
      <c r="J58" t="str">
        <f>_xlfn.XLOOKUP($A58,'EA-Fortescue_SDExport'!$A:$A,'EA-Fortescue_SDExport'!J:J)</f>
        <v>Java</v>
      </c>
      <c r="K58" t="str">
        <f>_xlfn.XLOOKUP($A58,'EA-Fortescue_SDExport'!$A:$A,'EA-Fortescue_SDExport'!K:K)</f>
        <v>Admin</v>
      </c>
      <c r="L58" t="str">
        <f>_xlfn.XLOOKUP($A58,'EA-Fortescue_SDExport'!$A:$A,'EA-Fortescue_SDExport'!L:L)</f>
        <v>Public</v>
      </c>
      <c r="M58">
        <f>_xlfn.XLOOKUP($A58,'EA-Fortescue_SDExport'!$A:$A,'EA-Fortescue_SDExport'!M:M)</f>
        <v>0</v>
      </c>
      <c r="N58" t="str">
        <f>_xlfn.XLOOKUP($A58,InterfaceRegister!$A:$A,InterfaceRegister!K:K)</f>
        <v>Proposed</v>
      </c>
      <c r="O58">
        <f>_xlfn.XLOOKUP($A58,'EA-Fortescue_SDExport'!$A:$A,'EA-Fortescue_SDExport'!O:O)</f>
        <v>1</v>
      </c>
      <c r="P58">
        <f>_xlfn.XLOOKUP($A58,'EA-Fortescue_SDExport'!$A:$A,'EA-Fortescue_SDExport'!P:P)</f>
        <v>0</v>
      </c>
      <c r="Q58">
        <f>_xlfn.XLOOKUP($A58,'EA-Fortescue_SDExport'!$A:$A,'EA-Fortescue_SDExport'!Q:Q)</f>
        <v>0</v>
      </c>
      <c r="R58">
        <f>_xlfn.XLOOKUP($A58,'EA-Fortescue_SDExport'!$A:$A,'EA-Fortescue_SDExport'!R:R)</f>
        <v>0</v>
      </c>
      <c r="S58">
        <f>_xlfn.XLOOKUP($A58,'EA-Fortescue_SDExport'!$A:$A,'EA-Fortescue_SDExport'!S:S)</f>
        <v>0</v>
      </c>
      <c r="T58">
        <f>_xlfn.XLOOKUP($A58,'EA-Fortescue_SDExport'!$A:$A,'EA-Fortescue_SDExport'!T:T)</f>
        <v>0</v>
      </c>
      <c r="U58">
        <f>_xlfn.XLOOKUP($A58,'EA-Fortescue_SDExport'!$A:$A,'EA-Fortescue_SDExport'!U:U)</f>
        <v>45945.795706018522</v>
      </c>
      <c r="V58">
        <f>_xlfn.XLOOKUP($A58,'EA-Fortescue_SDExport'!$A:$A,'EA-Fortescue_SDExport'!V:V)</f>
        <v>46071.948344907411</v>
      </c>
      <c r="W58">
        <f>_xlfn.XLOOKUP($A58,'EA-Fortescue_SDExport'!$A:$A,'EA-Fortescue_SDExport'!W:W)</f>
        <v>0</v>
      </c>
      <c r="X58">
        <f>_xlfn.XLOOKUP($A58,'EA-Fortescue_SDExport'!$A:$A,'EA-Fortescue_SDExport'!X:X)</f>
        <v>0</v>
      </c>
      <c r="Y58">
        <f>_xlfn.XLOOKUP($A58,'EA-Fortescue_SDExport'!$A:$A,'EA-Fortescue_SDExport'!Y:Y)</f>
        <v>0</v>
      </c>
      <c r="Z58" t="str">
        <f>_xlfn.XLOOKUP($A58,'EA-Fortescue_SDExport'!$A:$A,'EA-Fortescue_SDExport'!Z:Z)</f>
        <v>SysML1.4::InterfaceBlock</v>
      </c>
      <c r="AA58" t="str">
        <f>_xlfn.XLOOKUP($A58,InterfaceRegister!$A:$A,InterfaceRegister!B:B)</f>
        <v>001OP-2920 Train Load Out (TLO)|855DC-1543-PPC Pit Power Capacity Planning Tool - Capacity Check</v>
      </c>
      <c r="AB58" t="str">
        <f>_xlfn.XLOOKUP($A58,InterfaceRegister!$A:$A,InterfaceRegister!C:C)</f>
        <v/>
      </c>
      <c r="AC58" t="str">
        <f>_xlfn.XLOOKUP($A58,InterfaceRegister!$A:$A,InterfaceRegister!D:D)</f>
        <v/>
      </c>
      <c r="AD58" t="str">
        <f>_xlfn.XLOOKUP($A58,InterfaceRegister!$A:$A,InterfaceRegister!E:E)</f>
        <v>System - Project Interface</v>
      </c>
      <c r="AE58" t="str">
        <f>_xlfn.XLOOKUP($A58,InterfaceRegister!$A:$A,InterfaceRegister!F:F)</f>
        <v>Technical - Data/Software</v>
      </c>
      <c r="AF58" t="str">
        <f>_xlfn.XLOOKUP($A58,InterfaceRegister!$A:$A,InterfaceRegister!L:L)</f>
        <v>This interface provides the Pit Power Capacity Planning Tool - Capacity Check with power demand and operational data from the Train Load Out (TLO), including load profiles, peak consumption, and availability. The tool uses this data to assess pit network capacity and ensure safe and reliable power allocation. This interface is read-only and purely analytical; it does not control the TLO.</v>
      </c>
      <c r="AG58" t="str">
        <f>_xlfn.XLOOKUP($A58,InterfaceRegister!$A:$A,InterfaceRegister!M:M)</f>
        <v>HIGH</v>
      </c>
      <c r="AH58" t="str">
        <f>_xlfn.XLOOKUP($A58,InterfaceRegister!$A:$A,InterfaceRegister!O:O)</f>
        <v>Train Load Out (TLO) -&gt; Pit Power Capacity Planning Tool - Capacity Check</v>
      </c>
      <c r="AI58" t="str">
        <f>_xlfn.XLOOKUP($A58,InterfaceRegister!$A:$A,InterfaceRegister!N:N)</f>
        <v>The criticality is HIGH because the TLO's electrical demand directly impacts the pit network's capacity planning. Accurate data ensures the tool can predict and manage potential overloads, optimising power distribution.</v>
      </c>
      <c r="AJ58" t="str">
        <f>_xlfn.XLOOKUP($A58,'EA-Fortescue_SDExport'!$A:$A,'EA-Fortescue_SDExport'!AX:AX)</f>
        <v>CSV57CB7B20</v>
      </c>
      <c r="AK58">
        <f>_xlfn.XLOOKUP($A58,'EA-Fortescue_SDExport'!$A:$A,'EA-Fortescue_SDExport'!AY:AY)</f>
        <v>0</v>
      </c>
    </row>
    <row r="59" spans="1:37" x14ac:dyDescent="0.25">
      <c r="A59" t="str">
        <v>DGS-I_0058</v>
      </c>
      <c r="B59" t="str">
        <f>_xlfn.XLOOKUP($A59,'EA-Fortescue_SDExport'!$A:$A,'EA-Fortescue_SDExport'!B:B)</f>
        <v>Class</v>
      </c>
      <c r="C59" t="str">
        <f>_xlfn.XLOOKUP($A59,'EA-Fortescue_SDExport'!$A:$A,'EA-Fortescue_SDExport'!C:C)</f>
        <v>{77AB7E19-4259-4699-BF51-C403DA112B40}</v>
      </c>
      <c r="D59" t="str">
        <f>_xlfn.LET(_xlpm.result, _xlfn.XLOOKUP($A59,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59">
        <f>_xlfn.XLOOKUP($A59,'EA-Fortescue_SDExport'!$A:$A,'EA-Fortescue_SDExport'!E:E)</f>
        <v>1</v>
      </c>
      <c r="F59">
        <f>_xlfn.XLOOKUP($A59,'EA-Fortescue_SDExport'!$A:$A,'EA-Fortescue_SDExport'!F:F)</f>
        <v>1</v>
      </c>
      <c r="G59">
        <f>_xlfn.XLOOKUP($A59,'EA-Fortescue_SDExport'!$A:$A,'EA-Fortescue_SDExport'!G:G)</f>
        <v>0</v>
      </c>
      <c r="H59" t="str">
        <f>_xlfn.XLOOKUP($A59,'EA-Fortescue_SDExport'!$A:$A,'EA-Fortescue_SDExport'!H:H)</f>
        <v>InterfaceBlock</v>
      </c>
      <c r="I59" t="str">
        <f>_xlfn.XLOOKUP($A59,'EA-Fortescue_SDExport'!$A:$A,'EA-Fortescue_SDExport'!I:I)</f>
        <v>SysML1.4::InterfaceBlock</v>
      </c>
      <c r="J59" t="str">
        <f>_xlfn.XLOOKUP($A59,'EA-Fortescue_SDExport'!$A:$A,'EA-Fortescue_SDExport'!J:J)</f>
        <v>Java</v>
      </c>
      <c r="K59" t="str">
        <f>_xlfn.XLOOKUP($A59,'EA-Fortescue_SDExport'!$A:$A,'EA-Fortescue_SDExport'!K:K)</f>
        <v>Admin</v>
      </c>
      <c r="L59" t="str">
        <f>_xlfn.XLOOKUP($A59,'EA-Fortescue_SDExport'!$A:$A,'EA-Fortescue_SDExport'!L:L)</f>
        <v>Public</v>
      </c>
      <c r="M59">
        <f>_xlfn.XLOOKUP($A59,'EA-Fortescue_SDExport'!$A:$A,'EA-Fortescue_SDExport'!M:M)</f>
        <v>0</v>
      </c>
      <c r="N59" t="str">
        <f>_xlfn.XLOOKUP($A59,InterfaceRegister!$A:$A,InterfaceRegister!K:K)</f>
        <v>Proposed</v>
      </c>
      <c r="O59">
        <f>_xlfn.XLOOKUP($A59,'EA-Fortescue_SDExport'!$A:$A,'EA-Fortescue_SDExport'!O:O)</f>
        <v>1</v>
      </c>
      <c r="P59">
        <f>_xlfn.XLOOKUP($A59,'EA-Fortescue_SDExport'!$A:$A,'EA-Fortescue_SDExport'!P:P)</f>
        <v>0</v>
      </c>
      <c r="Q59">
        <f>_xlfn.XLOOKUP($A59,'EA-Fortescue_SDExport'!$A:$A,'EA-Fortescue_SDExport'!Q:Q)</f>
        <v>0</v>
      </c>
      <c r="R59">
        <f>_xlfn.XLOOKUP($A59,'EA-Fortescue_SDExport'!$A:$A,'EA-Fortescue_SDExport'!R:R)</f>
        <v>0</v>
      </c>
      <c r="S59">
        <f>_xlfn.XLOOKUP($A59,'EA-Fortescue_SDExport'!$A:$A,'EA-Fortescue_SDExport'!S:S)</f>
        <v>0</v>
      </c>
      <c r="T59">
        <f>_xlfn.XLOOKUP($A59,'EA-Fortescue_SDExport'!$A:$A,'EA-Fortescue_SDExport'!T:T)</f>
        <v>0</v>
      </c>
      <c r="U59">
        <f>_xlfn.XLOOKUP($A59,'EA-Fortescue_SDExport'!$A:$A,'EA-Fortescue_SDExport'!U:U)</f>
        <v>45945.795717592591</v>
      </c>
      <c r="V59">
        <f>_xlfn.XLOOKUP($A59,'EA-Fortescue_SDExport'!$A:$A,'EA-Fortescue_SDExport'!V:V)</f>
        <v>46071.946377314816</v>
      </c>
      <c r="W59">
        <f>_xlfn.XLOOKUP($A59,'EA-Fortescue_SDExport'!$A:$A,'EA-Fortescue_SDExport'!W:W)</f>
        <v>0</v>
      </c>
      <c r="X59">
        <f>_xlfn.XLOOKUP($A59,'EA-Fortescue_SDExport'!$A:$A,'EA-Fortescue_SDExport'!X:X)</f>
        <v>0</v>
      </c>
      <c r="Y59">
        <f>_xlfn.XLOOKUP($A59,'EA-Fortescue_SDExport'!$A:$A,'EA-Fortescue_SDExport'!Y:Y)</f>
        <v>0</v>
      </c>
      <c r="Z59" t="str">
        <f>_xlfn.XLOOKUP($A59,'EA-Fortescue_SDExport'!$A:$A,'EA-Fortescue_SDExport'!Z:Z)</f>
        <v>SysML1.4::InterfaceBlock</v>
      </c>
      <c r="AA59" t="str">
        <f>_xlfn.XLOOKUP($A59,InterfaceRegister!$A:$A,InterfaceRegister!B:B)</f>
        <v>001OP-2001 Ore Processing Facility (OPF)|855DC-1543-PPC Pit Power Capacity Planning Tool - Capacity Check</v>
      </c>
      <c r="AB59" t="str">
        <f>_xlfn.XLOOKUP($A59,InterfaceRegister!$A:$A,InterfaceRegister!C:C)</f>
        <v/>
      </c>
      <c r="AC59" t="str">
        <f>_xlfn.XLOOKUP($A59,InterfaceRegister!$A:$A,InterfaceRegister!D:D)</f>
        <v/>
      </c>
      <c r="AD59" t="str">
        <f>_xlfn.XLOOKUP($A59,InterfaceRegister!$A:$A,InterfaceRegister!E:E)</f>
        <v>System - Project Interface</v>
      </c>
      <c r="AE59" t="str">
        <f>_xlfn.XLOOKUP($A59,InterfaceRegister!$A:$A,InterfaceRegister!F:F)</f>
        <v>Technical - Data/Software</v>
      </c>
      <c r="AF59" t="str">
        <f>_xlfn.XLOOKUP($A59,InterfaceRegister!$A:$A,InterfaceRegister!L:L)</f>
        <v>This interface provides the Pit Power Capacity Planning Tool - Capacity Check with electrical demand and operational data from the Ore Processing Facility (OPF), including load profiles, peak consumption, and equipment availability. The tool uses this information to evaluate pit network capacity and ensure safe, reliable power allocation. This interface is read-only and does not control the OPF.</v>
      </c>
      <c r="AG59" t="str">
        <f>_xlfn.XLOOKUP($A59,InterfaceRegister!$A:$A,InterfaceRegister!M:M)</f>
        <v>HIGH</v>
      </c>
      <c r="AH59" t="str">
        <f>_xlfn.XLOOKUP($A59,InterfaceRegister!$A:$A,InterfaceRegister!O:O)</f>
        <v>Ore Processing Facility (OPF) -&gt; Pit Power Capacity Planning Tool - Capacity Check</v>
      </c>
      <c r="AI59" t="str">
        <f>_xlfn.XLOOKUP($A59,InterfaceRegister!$A:$A,InterfaceRegister!N:N)</f>
        <v>The criticality is HIGH because the OPF represents a major electrical load in the pit network. Accurate demand data is essential for the tool to prevent overloads and optimise power distribution.</v>
      </c>
      <c r="AJ59" t="str">
        <f>_xlfn.XLOOKUP($A59,'EA-Fortescue_SDExport'!$A:$A,'EA-Fortescue_SDExport'!AX:AX)</f>
        <v>CSV56579AD0</v>
      </c>
      <c r="AK59">
        <f>_xlfn.XLOOKUP($A59,'EA-Fortescue_SDExport'!$A:$A,'EA-Fortescue_SDExport'!AY:AY)</f>
        <v>0</v>
      </c>
    </row>
    <row r="60" spans="1:37" x14ac:dyDescent="0.25">
      <c r="A60" t="str">
        <v>DGS-I_0059</v>
      </c>
      <c r="B60" t="str">
        <f>_xlfn.XLOOKUP($A60,'EA-Fortescue_SDExport'!$A:$A,'EA-Fortescue_SDExport'!B:B)</f>
        <v>Class</v>
      </c>
      <c r="C60" t="str">
        <f>_xlfn.XLOOKUP($A60,'EA-Fortescue_SDExport'!$A:$A,'EA-Fortescue_SDExport'!C:C)</f>
        <v>{EF4DC3C2-CDAF-4b60-AC0F-CA4D05212440}</v>
      </c>
      <c r="D60" t="str">
        <f>_xlfn.LET(_xlpm.result, _xlfn.XLOOKUP($A60,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60">
        <f>_xlfn.XLOOKUP($A60,'EA-Fortescue_SDExport'!$A:$A,'EA-Fortescue_SDExport'!E:E)</f>
        <v>1</v>
      </c>
      <c r="F60">
        <f>_xlfn.XLOOKUP($A60,'EA-Fortescue_SDExport'!$A:$A,'EA-Fortescue_SDExport'!F:F)</f>
        <v>1</v>
      </c>
      <c r="G60">
        <f>_xlfn.XLOOKUP($A60,'EA-Fortescue_SDExport'!$A:$A,'EA-Fortescue_SDExport'!G:G)</f>
        <v>0</v>
      </c>
      <c r="H60" t="str">
        <f>_xlfn.XLOOKUP($A60,'EA-Fortescue_SDExport'!$A:$A,'EA-Fortescue_SDExport'!H:H)</f>
        <v>InterfaceBlock</v>
      </c>
      <c r="I60" t="str">
        <f>_xlfn.XLOOKUP($A60,'EA-Fortescue_SDExport'!$A:$A,'EA-Fortescue_SDExport'!I:I)</f>
        <v>SysML1.4::InterfaceBlock</v>
      </c>
      <c r="J60" t="str">
        <f>_xlfn.XLOOKUP($A60,'EA-Fortescue_SDExport'!$A:$A,'EA-Fortescue_SDExport'!J:J)</f>
        <v>Java</v>
      </c>
      <c r="K60" t="str">
        <f>_xlfn.XLOOKUP($A60,'EA-Fortescue_SDExport'!$A:$A,'EA-Fortescue_SDExport'!K:K)</f>
        <v>Admin</v>
      </c>
      <c r="L60" t="str">
        <f>_xlfn.XLOOKUP($A60,'EA-Fortescue_SDExport'!$A:$A,'EA-Fortescue_SDExport'!L:L)</f>
        <v>Public</v>
      </c>
      <c r="M60">
        <f>_xlfn.XLOOKUP($A60,'EA-Fortescue_SDExport'!$A:$A,'EA-Fortescue_SDExport'!M:M)</f>
        <v>0</v>
      </c>
      <c r="N60" t="str">
        <f>_xlfn.XLOOKUP($A60,InterfaceRegister!$A:$A,InterfaceRegister!K:K)</f>
        <v>Proposed</v>
      </c>
      <c r="O60">
        <f>_xlfn.XLOOKUP($A60,'EA-Fortescue_SDExport'!$A:$A,'EA-Fortescue_SDExport'!O:O)</f>
        <v>1</v>
      </c>
      <c r="P60">
        <f>_xlfn.XLOOKUP($A60,'EA-Fortescue_SDExport'!$A:$A,'EA-Fortescue_SDExport'!P:P)</f>
        <v>0</v>
      </c>
      <c r="Q60">
        <f>_xlfn.XLOOKUP($A60,'EA-Fortescue_SDExport'!$A:$A,'EA-Fortescue_SDExport'!Q:Q)</f>
        <v>0</v>
      </c>
      <c r="R60">
        <f>_xlfn.XLOOKUP($A60,'EA-Fortescue_SDExport'!$A:$A,'EA-Fortescue_SDExport'!R:R)</f>
        <v>0</v>
      </c>
      <c r="S60">
        <f>_xlfn.XLOOKUP($A60,'EA-Fortescue_SDExport'!$A:$A,'EA-Fortescue_SDExport'!S:S)</f>
        <v>0</v>
      </c>
      <c r="T60">
        <f>_xlfn.XLOOKUP($A60,'EA-Fortescue_SDExport'!$A:$A,'EA-Fortescue_SDExport'!T:T)</f>
        <v>0</v>
      </c>
      <c r="U60">
        <f>_xlfn.XLOOKUP($A60,'EA-Fortescue_SDExport'!$A:$A,'EA-Fortescue_SDExport'!U:U)</f>
        <v>45945.795729166668</v>
      </c>
      <c r="V60">
        <f>_xlfn.XLOOKUP($A60,'EA-Fortescue_SDExport'!$A:$A,'EA-Fortescue_SDExport'!V:V)</f>
        <v>46071.94699074074</v>
      </c>
      <c r="W60">
        <f>_xlfn.XLOOKUP($A60,'EA-Fortescue_SDExport'!$A:$A,'EA-Fortescue_SDExport'!W:W)</f>
        <v>0</v>
      </c>
      <c r="X60">
        <f>_xlfn.XLOOKUP($A60,'EA-Fortescue_SDExport'!$A:$A,'EA-Fortescue_SDExport'!X:X)</f>
        <v>0</v>
      </c>
      <c r="Y60">
        <f>_xlfn.XLOOKUP($A60,'EA-Fortescue_SDExport'!$A:$A,'EA-Fortescue_SDExport'!Y:Y)</f>
        <v>0</v>
      </c>
      <c r="Z60" t="str">
        <f>_xlfn.XLOOKUP($A60,'EA-Fortescue_SDExport'!$A:$A,'EA-Fortescue_SDExport'!Z:Z)</f>
        <v>SysML1.4::InterfaceBlock</v>
      </c>
      <c r="AA60" t="str">
        <f>_xlfn.XLOOKUP($A60,InterfaceRegister!$A:$A,InterfaceRegister!B:B)</f>
        <v>001OP-2110 Primary Crusher|855DC-1543-PPC Pit Power Capacity Planning Tool - Capacity Check</v>
      </c>
      <c r="AB60" t="str">
        <f>_xlfn.XLOOKUP($A60,InterfaceRegister!$A:$A,InterfaceRegister!C:C)</f>
        <v/>
      </c>
      <c r="AC60" t="str">
        <f>_xlfn.XLOOKUP($A60,InterfaceRegister!$A:$A,InterfaceRegister!D:D)</f>
        <v/>
      </c>
      <c r="AD60" t="str">
        <f>_xlfn.XLOOKUP($A60,InterfaceRegister!$A:$A,InterfaceRegister!E:E)</f>
        <v>System - Project Interface</v>
      </c>
      <c r="AE60" t="str">
        <f>_xlfn.XLOOKUP($A60,InterfaceRegister!$A:$A,InterfaceRegister!F:F)</f>
        <v>Technical - Data/Software</v>
      </c>
      <c r="AF60" t="str">
        <f>_xlfn.XLOOKUP($A60,InterfaceRegister!$A:$A,InterfaceRegister!L:L)</f>
        <v>This interface provides the Pit Power Capacity Planning Tool - Capacity Check with electrical load and operational data from the Primary Crusher, including throughput-dependent power demand, peak consumption periods, and equipment availability. The tool uses this data to assess pit network capacity and maintain safe power allocation. This interface is read-only and does not control the Primary Crusher.</v>
      </c>
      <c r="AG60" t="str">
        <f>_xlfn.XLOOKUP($A60,InterfaceRegister!$A:$A,InterfaceRegister!M:M)</f>
        <v>HIGH</v>
      </c>
      <c r="AH60" t="str">
        <f>_xlfn.XLOOKUP($A60,InterfaceRegister!$A:$A,InterfaceRegister!O:O)</f>
        <v>Primary Crusher -&gt; Pit Power Capacity Planning Tool - Capacity Check</v>
      </c>
      <c r="AI60" t="str">
        <f>_xlfn.XLOOKUP($A60,InterfaceRegister!$A:$A,InterfaceRegister!N:N)</f>
        <v>The criticality is HIGH because the Primary Crusher is a significant electrical load in the pit. Accurate, timely data is required to prevent overloads and support reliable power management in the pit network.</v>
      </c>
      <c r="AJ60" t="str">
        <f>_xlfn.XLOOKUP($A60,'EA-Fortescue_SDExport'!$A:$A,'EA-Fortescue_SDExport'!AX:AX)</f>
        <v>CSV7AAC7A1C</v>
      </c>
      <c r="AK60">
        <f>_xlfn.XLOOKUP($A60,'EA-Fortescue_SDExport'!$A:$A,'EA-Fortescue_SDExport'!AY:AY)</f>
        <v>0</v>
      </c>
    </row>
    <row r="61" spans="1:37" x14ac:dyDescent="0.25">
      <c r="A61" t="str">
        <v>DGS-I_0060</v>
      </c>
      <c r="B61" t="str">
        <f>_xlfn.XLOOKUP($A61,'EA-Fortescue_SDExport'!$A:$A,'EA-Fortescue_SDExport'!B:B)</f>
        <v>Class</v>
      </c>
      <c r="C61" t="str">
        <f>_xlfn.XLOOKUP($A61,'EA-Fortescue_SDExport'!$A:$A,'EA-Fortescue_SDExport'!C:C)</f>
        <v>{5BC8C059-DD4E-42e8-A306-9970AA7AAC5A}</v>
      </c>
      <c r="D61" t="str">
        <f>_xlfn.LET(_xlpm.result, _xlfn.XLOOKUP($A61,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61">
        <f>_xlfn.XLOOKUP($A61,'EA-Fortescue_SDExport'!$A:$A,'EA-Fortescue_SDExport'!E:E)</f>
        <v>1</v>
      </c>
      <c r="F61">
        <f>_xlfn.XLOOKUP($A61,'EA-Fortescue_SDExport'!$A:$A,'EA-Fortescue_SDExport'!F:F)</f>
        <v>1</v>
      </c>
      <c r="G61">
        <f>_xlfn.XLOOKUP($A61,'EA-Fortescue_SDExport'!$A:$A,'EA-Fortescue_SDExport'!G:G)</f>
        <v>0</v>
      </c>
      <c r="H61" t="str">
        <f>_xlfn.XLOOKUP($A61,'EA-Fortescue_SDExport'!$A:$A,'EA-Fortescue_SDExport'!H:H)</f>
        <v>InterfaceBlock</v>
      </c>
      <c r="I61" t="str">
        <f>_xlfn.XLOOKUP($A61,'EA-Fortescue_SDExport'!$A:$A,'EA-Fortescue_SDExport'!I:I)</f>
        <v>SysML1.4::InterfaceBlock</v>
      </c>
      <c r="J61" t="str">
        <f>_xlfn.XLOOKUP($A61,'EA-Fortescue_SDExport'!$A:$A,'EA-Fortescue_SDExport'!J:J)</f>
        <v>Java</v>
      </c>
      <c r="K61" t="str">
        <f>_xlfn.XLOOKUP($A61,'EA-Fortescue_SDExport'!$A:$A,'EA-Fortescue_SDExport'!K:K)</f>
        <v>Admin</v>
      </c>
      <c r="L61" t="str">
        <f>_xlfn.XLOOKUP($A61,'EA-Fortescue_SDExport'!$A:$A,'EA-Fortescue_SDExport'!L:L)</f>
        <v>Public</v>
      </c>
      <c r="M61">
        <f>_xlfn.XLOOKUP($A61,'EA-Fortescue_SDExport'!$A:$A,'EA-Fortescue_SDExport'!M:M)</f>
        <v>0</v>
      </c>
      <c r="N61" t="str">
        <f>_xlfn.XLOOKUP($A61,InterfaceRegister!$A:$A,InterfaceRegister!K:K)</f>
        <v>Proposed</v>
      </c>
      <c r="O61">
        <f>_xlfn.XLOOKUP($A61,'EA-Fortescue_SDExport'!$A:$A,'EA-Fortescue_SDExport'!O:O)</f>
        <v>1</v>
      </c>
      <c r="P61">
        <f>_xlfn.XLOOKUP($A61,'EA-Fortescue_SDExport'!$A:$A,'EA-Fortescue_SDExport'!P:P)</f>
        <v>0</v>
      </c>
      <c r="Q61">
        <f>_xlfn.XLOOKUP($A61,'EA-Fortescue_SDExport'!$A:$A,'EA-Fortescue_SDExport'!Q:Q)</f>
        <v>0</v>
      </c>
      <c r="R61">
        <f>_xlfn.XLOOKUP($A61,'EA-Fortescue_SDExport'!$A:$A,'EA-Fortescue_SDExport'!R:R)</f>
        <v>0</v>
      </c>
      <c r="S61">
        <f>_xlfn.XLOOKUP($A61,'EA-Fortescue_SDExport'!$A:$A,'EA-Fortescue_SDExport'!S:S)</f>
        <v>0</v>
      </c>
      <c r="T61">
        <f>_xlfn.XLOOKUP($A61,'EA-Fortescue_SDExport'!$A:$A,'EA-Fortescue_SDExport'!T:T)</f>
        <v>0</v>
      </c>
      <c r="U61">
        <f>_xlfn.XLOOKUP($A61,'EA-Fortescue_SDExport'!$A:$A,'EA-Fortescue_SDExport'!U:U)</f>
        <v>45945.795752314814</v>
      </c>
      <c r="V61">
        <f>_xlfn.XLOOKUP($A61,'EA-Fortescue_SDExport'!$A:$A,'EA-Fortescue_SDExport'!V:V)</f>
        <v>46071.94840277778</v>
      </c>
      <c r="W61">
        <f>_xlfn.XLOOKUP($A61,'EA-Fortescue_SDExport'!$A:$A,'EA-Fortescue_SDExport'!W:W)</f>
        <v>0</v>
      </c>
      <c r="X61">
        <f>_xlfn.XLOOKUP($A61,'EA-Fortescue_SDExport'!$A:$A,'EA-Fortescue_SDExport'!X:X)</f>
        <v>0</v>
      </c>
      <c r="Y61">
        <f>_xlfn.XLOOKUP($A61,'EA-Fortescue_SDExport'!$A:$A,'EA-Fortescue_SDExport'!Y:Y)</f>
        <v>0</v>
      </c>
      <c r="Z61" t="str">
        <f>_xlfn.XLOOKUP($A61,'EA-Fortescue_SDExport'!$A:$A,'EA-Fortescue_SDExport'!Z:Z)</f>
        <v>SysML1.4::InterfaceBlock</v>
      </c>
      <c r="AA61" t="str">
        <f>_xlfn.XLOOKUP($A61,InterfaceRegister!$A:$A,InterfaceRegister!B:B)</f>
        <v>001OP-2003 Concentrate Handling Facility (CHF)|855DC-1543-PPC Pit Power Capacity Planning Tool - Capacity Check</v>
      </c>
      <c r="AB61" t="str">
        <f>_xlfn.XLOOKUP($A61,InterfaceRegister!$A:$A,InterfaceRegister!C:C)</f>
        <v/>
      </c>
      <c r="AC61" t="str">
        <f>_xlfn.XLOOKUP($A61,InterfaceRegister!$A:$A,InterfaceRegister!D:D)</f>
        <v/>
      </c>
      <c r="AD61" t="str">
        <f>_xlfn.XLOOKUP($A61,InterfaceRegister!$A:$A,InterfaceRegister!E:E)</f>
        <v>System - Project Interface</v>
      </c>
      <c r="AE61" t="str">
        <f>_xlfn.XLOOKUP($A61,InterfaceRegister!$A:$A,InterfaceRegister!F:F)</f>
        <v>Technical - Data/Software</v>
      </c>
      <c r="AF61" t="str">
        <f>_xlfn.XLOOKUP($A61,InterfaceRegister!$A:$A,InterfaceRegister!L:L)</f>
        <v>This interface provides the Pit Power Capacity Planning Tool - Capacity Check with electrical load and operational data from the Concentrate Handling Facility (CHF), including material handling systems, and peak power demands. The tool uses this information to assess pit network capacity and support safe, reliable power allocation. This interface is read-only and does not control the CHF.</v>
      </c>
      <c r="AG61" t="str">
        <f>_xlfn.XLOOKUP($A61,InterfaceRegister!$A:$A,InterfaceRegister!M:M)</f>
        <v>HIGH</v>
      </c>
      <c r="AH61" t="str">
        <f>_xlfn.XLOOKUP($A61,InterfaceRegister!$A:$A,InterfaceRegister!O:O)</f>
        <v>Concentrate Handling Facility (CHF) -&gt; Pit Power Capacity Planning Tool - Capacity Check</v>
      </c>
      <c r="AI61" t="str">
        <f>_xlfn.XLOOKUP($A61,InterfaceRegister!$A:$A,InterfaceRegister!N:N)</f>
        <v>The criticality is HIGH because the CHF represents a substantial and variable electrical load. Accurate, timely data is essential to prevent pit network overloads and maintain operational reliability.</v>
      </c>
      <c r="AJ61" t="str">
        <f>_xlfn.XLOOKUP($A61,'EA-Fortescue_SDExport'!$A:$A,'EA-Fortescue_SDExport'!AX:AX)</f>
        <v>CSVB07094CF</v>
      </c>
      <c r="AK61">
        <f>_xlfn.XLOOKUP($A61,'EA-Fortescue_SDExport'!$A:$A,'EA-Fortescue_SDExport'!AY:AY)</f>
        <v>0</v>
      </c>
    </row>
    <row r="62" spans="1:37" x14ac:dyDescent="0.25">
      <c r="A62" t="str">
        <v>DGS-I_0061</v>
      </c>
      <c r="B62" t="str">
        <f>_xlfn.XLOOKUP($A62,'EA-Fortescue_SDExport'!$A:$A,'EA-Fortescue_SDExport'!B:B)</f>
        <v>Class</v>
      </c>
      <c r="C62" t="str">
        <f>_xlfn.XLOOKUP($A62,'EA-Fortescue_SDExport'!$A:$A,'EA-Fortescue_SDExport'!C:C)</f>
        <v>{C6C21006-844A-47df-A0FA-DA8D799BBD56}</v>
      </c>
      <c r="D62" t="str">
        <f>_xlfn.LET(_xlpm.result, _xlfn.XLOOKUP($A62,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Flow._x000D_
NH 20/02/2026: Fields updated: Interface Flow.</v>
      </c>
      <c r="E62">
        <f>_xlfn.XLOOKUP($A62,'EA-Fortescue_SDExport'!$A:$A,'EA-Fortescue_SDExport'!E:E)</f>
        <v>1</v>
      </c>
      <c r="F62">
        <f>_xlfn.XLOOKUP($A62,'EA-Fortescue_SDExport'!$A:$A,'EA-Fortescue_SDExport'!F:F)</f>
        <v>1</v>
      </c>
      <c r="G62">
        <f>_xlfn.XLOOKUP($A62,'EA-Fortescue_SDExport'!$A:$A,'EA-Fortescue_SDExport'!G:G)</f>
        <v>0</v>
      </c>
      <c r="H62" t="str">
        <f>_xlfn.XLOOKUP($A62,'EA-Fortescue_SDExport'!$A:$A,'EA-Fortescue_SDExport'!H:H)</f>
        <v>InterfaceBlock</v>
      </c>
      <c r="I62" t="str">
        <f>_xlfn.XLOOKUP($A62,'EA-Fortescue_SDExport'!$A:$A,'EA-Fortescue_SDExport'!I:I)</f>
        <v>SysML1.4::InterfaceBlock</v>
      </c>
      <c r="J62" t="str">
        <f>_xlfn.XLOOKUP($A62,'EA-Fortescue_SDExport'!$A:$A,'EA-Fortescue_SDExport'!J:J)</f>
        <v>Java</v>
      </c>
      <c r="K62" t="str">
        <f>_xlfn.XLOOKUP($A62,'EA-Fortescue_SDExport'!$A:$A,'EA-Fortescue_SDExport'!K:K)</f>
        <v>Admin</v>
      </c>
      <c r="L62" t="str">
        <f>_xlfn.XLOOKUP($A62,'EA-Fortescue_SDExport'!$A:$A,'EA-Fortescue_SDExport'!L:L)</f>
        <v>Public</v>
      </c>
      <c r="M62">
        <f>_xlfn.XLOOKUP($A62,'EA-Fortescue_SDExport'!$A:$A,'EA-Fortescue_SDExport'!M:M)</f>
        <v>0</v>
      </c>
      <c r="N62" t="str">
        <f>_xlfn.XLOOKUP($A62,InterfaceRegister!$A:$A,InterfaceRegister!K:K)</f>
        <v>Proposed</v>
      </c>
      <c r="O62">
        <f>_xlfn.XLOOKUP($A62,'EA-Fortescue_SDExport'!$A:$A,'EA-Fortescue_SDExport'!O:O)</f>
        <v>1</v>
      </c>
      <c r="P62">
        <f>_xlfn.XLOOKUP($A62,'EA-Fortescue_SDExport'!$A:$A,'EA-Fortescue_SDExport'!P:P)</f>
        <v>0</v>
      </c>
      <c r="Q62">
        <f>_xlfn.XLOOKUP($A62,'EA-Fortescue_SDExport'!$A:$A,'EA-Fortescue_SDExport'!Q:Q)</f>
        <v>0</v>
      </c>
      <c r="R62">
        <f>_xlfn.XLOOKUP($A62,'EA-Fortescue_SDExport'!$A:$A,'EA-Fortescue_SDExport'!R:R)</f>
        <v>0</v>
      </c>
      <c r="S62">
        <f>_xlfn.XLOOKUP($A62,'EA-Fortescue_SDExport'!$A:$A,'EA-Fortescue_SDExport'!S:S)</f>
        <v>0</v>
      </c>
      <c r="T62">
        <f>_xlfn.XLOOKUP($A62,'EA-Fortescue_SDExport'!$A:$A,'EA-Fortescue_SDExport'!T:T)</f>
        <v>0</v>
      </c>
      <c r="U62">
        <f>_xlfn.XLOOKUP($A62,'EA-Fortescue_SDExport'!$A:$A,'EA-Fortescue_SDExport'!U:U)</f>
        <v>45945.795763888891</v>
      </c>
      <c r="V62">
        <f>_xlfn.XLOOKUP($A62,'EA-Fortescue_SDExport'!$A:$A,'EA-Fortescue_SDExport'!V:V)</f>
        <v>46077.99322916667</v>
      </c>
      <c r="W62">
        <f>_xlfn.XLOOKUP($A62,'EA-Fortescue_SDExport'!$A:$A,'EA-Fortescue_SDExport'!W:W)</f>
        <v>0</v>
      </c>
      <c r="X62">
        <f>_xlfn.XLOOKUP($A62,'EA-Fortescue_SDExport'!$A:$A,'EA-Fortescue_SDExport'!X:X)</f>
        <v>0</v>
      </c>
      <c r="Y62">
        <f>_xlfn.XLOOKUP($A62,'EA-Fortescue_SDExport'!$A:$A,'EA-Fortescue_SDExport'!Y:Y)</f>
        <v>0</v>
      </c>
      <c r="Z62" t="str">
        <f>_xlfn.XLOOKUP($A62,'EA-Fortescue_SDExport'!$A:$A,'EA-Fortescue_SDExport'!Z:Z)</f>
        <v>SysML1.4::InterfaceBlock</v>
      </c>
      <c r="AA62" t="str">
        <f>_xlfn.XLOOKUP($A62,InterfaceRegister!$A:$A,InterfaceRegister!B:B)</f>
        <v>001OP-3720 Concentrate Pipeline|855DC-1543-PPC Pit Power Capacity Planning Tool - Capacity Check</v>
      </c>
      <c r="AB62" t="str">
        <f>_xlfn.XLOOKUP($A62,InterfaceRegister!$A:$A,InterfaceRegister!C:C)</f>
        <v/>
      </c>
      <c r="AC62" t="str">
        <f>_xlfn.XLOOKUP($A62,InterfaceRegister!$A:$A,InterfaceRegister!D:D)</f>
        <v/>
      </c>
      <c r="AD62" t="str">
        <f>_xlfn.XLOOKUP($A62,InterfaceRegister!$A:$A,InterfaceRegister!E:E)</f>
        <v>System - Project Interface</v>
      </c>
      <c r="AE62" t="str">
        <f>_xlfn.XLOOKUP($A62,InterfaceRegister!$A:$A,InterfaceRegister!F:F)</f>
        <v>Technical - Data/Software</v>
      </c>
      <c r="AF62" t="str">
        <f>_xlfn.XLOOKUP($A62,InterfaceRegister!$A:$A,InterfaceRegister!L:L)</f>
        <v>This interface provides the Pit Power Capacity Planning Tool - Capacity Check with electrical load and operational data from the Concentrate Pipeline, including pumping system demand, flow rates, and peak power requirements. The tool uses this information to evaluate pit network capacity and ensure safe, reliable power allocation. This interface is read-only and does not control the Concentrate Pipeline.</v>
      </c>
      <c r="AG62" t="str">
        <f>_xlfn.XLOOKUP($A62,InterfaceRegister!$A:$A,InterfaceRegister!M:M)</f>
        <v>MEDIUM</v>
      </c>
      <c r="AH62" t="str">
        <f>_xlfn.XLOOKUP($A62,InterfaceRegister!$A:$A,InterfaceRegister!O:O)</f>
        <v>Data Flow: Concentrate Pipeline -&gt; Pit Power Capacity Planning Tool (Capacity Check) (pumping system load demand, real-time power consumption, peak power requirements, flow rates, operational status) for capacity assessment and power allocation analysis._x000D_
Read-only interface -  no control flow from the Capacity Planning Tool to the Concentrate Pipeline.</v>
      </c>
      <c r="AI62" t="str">
        <f>_xlfn.XLOOKUP($A62,InterfaceRegister!$A:$A,InterfaceRegister!N:N)</f>
        <v>The criticality is MEDIUM because the Concentrate Pipeline represents a significant electrical load in the pit network. Accurate demand data is required for the tool to prevent network overloads and support reliable power allocation.</v>
      </c>
      <c r="AJ62" t="str">
        <f>_xlfn.XLOOKUP($A62,'EA-Fortescue_SDExport'!$A:$A,'EA-Fortescue_SDExport'!AX:AX)</f>
        <v>CSV53342E93</v>
      </c>
      <c r="AK62">
        <f>_xlfn.XLOOKUP($A62,'EA-Fortescue_SDExport'!$A:$A,'EA-Fortescue_SDExport'!AY:AY)</f>
        <v>0</v>
      </c>
    </row>
    <row r="63" spans="1:37" x14ac:dyDescent="0.25">
      <c r="A63" t="str">
        <v>DGS-I_0062</v>
      </c>
      <c r="B63" t="str">
        <f>_xlfn.XLOOKUP($A63,'EA-Fortescue_SDExport'!$A:$A,'EA-Fortescue_SDExport'!B:B)</f>
        <v>Class</v>
      </c>
      <c r="C63" t="str">
        <f>_xlfn.XLOOKUP($A63,'EA-Fortescue_SDExport'!$A:$A,'EA-Fortescue_SDExport'!C:C)</f>
        <v>{838FFF2C-DBB6-4815-8D88-1E288586681C}</v>
      </c>
      <c r="D63" t="str">
        <f>_xlfn.LET(_xlpm.result, _xlfn.XLOOKUP($A63,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63">
        <f>_xlfn.XLOOKUP($A63,'EA-Fortescue_SDExport'!$A:$A,'EA-Fortescue_SDExport'!E:E)</f>
        <v>1</v>
      </c>
      <c r="F63">
        <f>_xlfn.XLOOKUP($A63,'EA-Fortescue_SDExport'!$A:$A,'EA-Fortescue_SDExport'!F:F)</f>
        <v>1</v>
      </c>
      <c r="G63">
        <f>_xlfn.XLOOKUP($A63,'EA-Fortescue_SDExport'!$A:$A,'EA-Fortescue_SDExport'!G:G)</f>
        <v>0</v>
      </c>
      <c r="H63" t="str">
        <f>_xlfn.XLOOKUP($A63,'EA-Fortescue_SDExport'!$A:$A,'EA-Fortescue_SDExport'!H:H)</f>
        <v>InterfaceBlock</v>
      </c>
      <c r="I63" t="str">
        <f>_xlfn.XLOOKUP($A63,'EA-Fortescue_SDExport'!$A:$A,'EA-Fortescue_SDExport'!I:I)</f>
        <v>SysML1.4::InterfaceBlock</v>
      </c>
      <c r="J63" t="str">
        <f>_xlfn.XLOOKUP($A63,'EA-Fortescue_SDExport'!$A:$A,'EA-Fortescue_SDExport'!J:J)</f>
        <v>Java</v>
      </c>
      <c r="K63" t="str">
        <f>_xlfn.XLOOKUP($A63,'EA-Fortescue_SDExport'!$A:$A,'EA-Fortescue_SDExport'!K:K)</f>
        <v>Admin</v>
      </c>
      <c r="L63" t="str">
        <f>_xlfn.XLOOKUP($A63,'EA-Fortescue_SDExport'!$A:$A,'EA-Fortescue_SDExport'!L:L)</f>
        <v>Public</v>
      </c>
      <c r="M63">
        <f>_xlfn.XLOOKUP($A63,'EA-Fortescue_SDExport'!$A:$A,'EA-Fortescue_SDExport'!M:M)</f>
        <v>0</v>
      </c>
      <c r="N63" t="str">
        <f>_xlfn.XLOOKUP($A63,InterfaceRegister!$A:$A,InterfaceRegister!K:K)</f>
        <v>Proposed</v>
      </c>
      <c r="O63">
        <f>_xlfn.XLOOKUP($A63,'EA-Fortescue_SDExport'!$A:$A,'EA-Fortescue_SDExport'!O:O)</f>
        <v>1</v>
      </c>
      <c r="P63">
        <f>_xlfn.XLOOKUP($A63,'EA-Fortescue_SDExport'!$A:$A,'EA-Fortescue_SDExport'!P:P)</f>
        <v>0</v>
      </c>
      <c r="Q63">
        <f>_xlfn.XLOOKUP($A63,'EA-Fortescue_SDExport'!$A:$A,'EA-Fortescue_SDExport'!Q:Q)</f>
        <v>0</v>
      </c>
      <c r="R63">
        <f>_xlfn.XLOOKUP($A63,'EA-Fortescue_SDExport'!$A:$A,'EA-Fortescue_SDExport'!R:R)</f>
        <v>0</v>
      </c>
      <c r="S63">
        <f>_xlfn.XLOOKUP($A63,'EA-Fortescue_SDExport'!$A:$A,'EA-Fortescue_SDExport'!S:S)</f>
        <v>0</v>
      </c>
      <c r="T63">
        <f>_xlfn.XLOOKUP($A63,'EA-Fortescue_SDExport'!$A:$A,'EA-Fortescue_SDExport'!T:T)</f>
        <v>0</v>
      </c>
      <c r="U63">
        <f>_xlfn.XLOOKUP($A63,'EA-Fortescue_SDExport'!$A:$A,'EA-Fortescue_SDExport'!U:U)</f>
        <v>45945.795787037037</v>
      </c>
      <c r="V63">
        <f>_xlfn.XLOOKUP($A63,'EA-Fortescue_SDExport'!$A:$A,'EA-Fortescue_SDExport'!V:V)</f>
        <v>46071.946192129632</v>
      </c>
      <c r="W63">
        <f>_xlfn.XLOOKUP($A63,'EA-Fortescue_SDExport'!$A:$A,'EA-Fortescue_SDExport'!W:W)</f>
        <v>0</v>
      </c>
      <c r="X63">
        <f>_xlfn.XLOOKUP($A63,'EA-Fortescue_SDExport'!$A:$A,'EA-Fortescue_SDExport'!X:X)</f>
        <v>0</v>
      </c>
      <c r="Y63">
        <f>_xlfn.XLOOKUP($A63,'EA-Fortescue_SDExport'!$A:$A,'EA-Fortescue_SDExport'!Y:Y)</f>
        <v>0</v>
      </c>
      <c r="Z63" t="str">
        <f>_xlfn.XLOOKUP($A63,'EA-Fortescue_SDExport'!$A:$A,'EA-Fortescue_SDExport'!Z:Z)</f>
        <v>SysML1.4::InterfaceBlock</v>
      </c>
      <c r="AA63" t="str">
        <f>_xlfn.XLOOKUP($A63,InterfaceRegister!$A:$A,InterfaceRegister!B:B)</f>
        <v>001OP-2700 Material Handling Equipment|855DC-1543-PPC Pit Power Capacity Planning Tool - Capacity Check</v>
      </c>
      <c r="AB63" t="str">
        <f>_xlfn.XLOOKUP($A63,InterfaceRegister!$A:$A,InterfaceRegister!C:C)</f>
        <v/>
      </c>
      <c r="AC63" t="str">
        <f>_xlfn.XLOOKUP($A63,InterfaceRegister!$A:$A,InterfaceRegister!D:D)</f>
        <v/>
      </c>
      <c r="AD63" t="str">
        <f>_xlfn.XLOOKUP($A63,InterfaceRegister!$A:$A,InterfaceRegister!E:E)</f>
        <v>System - Project Interface</v>
      </c>
      <c r="AE63" t="str">
        <f>_xlfn.XLOOKUP($A63,InterfaceRegister!$A:$A,InterfaceRegister!F:F)</f>
        <v>Technical - Data/Software</v>
      </c>
      <c r="AF63" t="str">
        <f>_xlfn.XLOOKUP($A63,InterfaceRegister!$A:$A,InterfaceRegister!L:L)</f>
        <v>This interface provides the Pit Power Capacity Planning Tool - Capacity Check with electrical load and operational data from the Material Handling Equipment, including conveyors, stackers, reclaimers, and peak power demands. The tool uses this information to assess pit network capacity and support safe, reliable power allocation. This interface is read-only and does not control the Material Handling Equipment.</v>
      </c>
      <c r="AG63" t="str">
        <f>_xlfn.XLOOKUP($A63,InterfaceRegister!$A:$A,InterfaceRegister!M:M)</f>
        <v>HIGH</v>
      </c>
      <c r="AH63" t="str">
        <f>_xlfn.XLOOKUP($A63,InterfaceRegister!$A:$A,InterfaceRegister!O:O)</f>
        <v>Material Handling Equipment -&gt; Pit Power Capacity Planning Tool - Capacity Check</v>
      </c>
      <c r="AI63" t="str">
        <f>_xlfn.XLOOKUP($A63,InterfaceRegister!$A:$A,InterfaceRegister!N:N)</f>
        <v>The criticality is HIGH because the Material Handling Equipment constitutes a large and variable electrical load. Accurate data is essential for the tool to prevent network overloads and ensure reliable operation of pit power systems.</v>
      </c>
      <c r="AJ63" t="str">
        <f>_xlfn.XLOOKUP($A63,'EA-Fortescue_SDExport'!$A:$A,'EA-Fortescue_SDExport'!AX:AX)</f>
        <v>CSVB298E1F9</v>
      </c>
      <c r="AK63">
        <f>_xlfn.XLOOKUP($A63,'EA-Fortescue_SDExport'!$A:$A,'EA-Fortescue_SDExport'!AY:AY)</f>
        <v>0</v>
      </c>
    </row>
    <row r="64" spans="1:37" x14ac:dyDescent="0.25">
      <c r="A64" t="str">
        <v>DGS-I_0063</v>
      </c>
      <c r="B64" t="str">
        <f>_xlfn.XLOOKUP($A64,'EA-Fortescue_SDExport'!$A:$A,'EA-Fortescue_SDExport'!B:B)</f>
        <v>Class</v>
      </c>
      <c r="C64" t="str">
        <f>_xlfn.XLOOKUP($A64,'EA-Fortescue_SDExport'!$A:$A,'EA-Fortescue_SDExport'!C:C)</f>
        <v>{2F86D6A3-A95B-4dd7-A5DD-508E11A1968C}</v>
      </c>
      <c r="D64" t="str">
        <f>_xlfn.LET(_xlpm.result, _xlfn.XLOOKUP($A64, InterfaceRegister!$A:$A, InterfaceRegister!P:P), IF(_xlpm.result=0, "", _xlpm.result))</f>
        <v>NH 20/02/2026: Fields updated: Interface Type, Interface Flow.</v>
      </c>
      <c r="E64">
        <f>_xlfn.XLOOKUP($A64,'EA-Fortescue_SDExport'!$A:$A,'EA-Fortescue_SDExport'!E:E)</f>
        <v>1</v>
      </c>
      <c r="F64">
        <f>_xlfn.XLOOKUP($A64,'EA-Fortescue_SDExport'!$A:$A,'EA-Fortescue_SDExport'!F:F)</f>
        <v>1</v>
      </c>
      <c r="G64">
        <f>_xlfn.XLOOKUP($A64,'EA-Fortescue_SDExport'!$A:$A,'EA-Fortescue_SDExport'!G:G)</f>
        <v>0</v>
      </c>
      <c r="H64" t="str">
        <f>_xlfn.XLOOKUP($A64,'EA-Fortescue_SDExport'!$A:$A,'EA-Fortescue_SDExport'!H:H)</f>
        <v>InterfaceBlock</v>
      </c>
      <c r="I64" t="str">
        <f>_xlfn.XLOOKUP($A64,'EA-Fortescue_SDExport'!$A:$A,'EA-Fortescue_SDExport'!I:I)</f>
        <v>SysML1.4::InterfaceBlock</v>
      </c>
      <c r="J64" t="str">
        <f>_xlfn.XLOOKUP($A64,'EA-Fortescue_SDExport'!$A:$A,'EA-Fortescue_SDExport'!J:J)</f>
        <v>Java</v>
      </c>
      <c r="K64" t="str">
        <f>_xlfn.XLOOKUP($A64,'EA-Fortescue_SDExport'!$A:$A,'EA-Fortescue_SDExport'!K:K)</f>
        <v>Admin</v>
      </c>
      <c r="L64" t="str">
        <f>_xlfn.XLOOKUP($A64,'EA-Fortescue_SDExport'!$A:$A,'EA-Fortescue_SDExport'!L:L)</f>
        <v>Public</v>
      </c>
      <c r="M64">
        <f>_xlfn.XLOOKUP($A64,'EA-Fortescue_SDExport'!$A:$A,'EA-Fortescue_SDExport'!M:M)</f>
        <v>0</v>
      </c>
      <c r="N64" t="str">
        <f>_xlfn.XLOOKUP($A64,InterfaceRegister!$A:$A,InterfaceRegister!K:K)</f>
        <v>Proposed</v>
      </c>
      <c r="O64">
        <f>_xlfn.XLOOKUP($A64,'EA-Fortescue_SDExport'!$A:$A,'EA-Fortescue_SDExport'!O:O)</f>
        <v>1</v>
      </c>
      <c r="P64">
        <f>_xlfn.XLOOKUP($A64,'EA-Fortescue_SDExport'!$A:$A,'EA-Fortescue_SDExport'!P:P)</f>
        <v>0</v>
      </c>
      <c r="Q64">
        <f>_xlfn.XLOOKUP($A64,'EA-Fortescue_SDExport'!$A:$A,'EA-Fortescue_SDExport'!Q:Q)</f>
        <v>0</v>
      </c>
      <c r="R64">
        <f>_xlfn.XLOOKUP($A64,'EA-Fortescue_SDExport'!$A:$A,'EA-Fortescue_SDExport'!R:R)</f>
        <v>0</v>
      </c>
      <c r="S64">
        <f>_xlfn.XLOOKUP($A64,'EA-Fortescue_SDExport'!$A:$A,'EA-Fortescue_SDExport'!S:S)</f>
        <v>0</v>
      </c>
      <c r="T64">
        <f>_xlfn.XLOOKUP($A64,'EA-Fortescue_SDExport'!$A:$A,'EA-Fortescue_SDExport'!T:T)</f>
        <v>0</v>
      </c>
      <c r="U64">
        <f>_xlfn.XLOOKUP($A64,'EA-Fortescue_SDExport'!$A:$A,'EA-Fortescue_SDExport'!U:U)</f>
        <v>45945.795798611114</v>
      </c>
      <c r="V64">
        <f>_xlfn.XLOOKUP($A64,'EA-Fortescue_SDExport'!$A:$A,'EA-Fortescue_SDExport'!V:V)</f>
        <v>46077.993217592593</v>
      </c>
      <c r="W64">
        <f>_xlfn.XLOOKUP($A64,'EA-Fortescue_SDExport'!$A:$A,'EA-Fortescue_SDExport'!W:W)</f>
        <v>0</v>
      </c>
      <c r="X64">
        <f>_xlfn.XLOOKUP($A64,'EA-Fortescue_SDExport'!$A:$A,'EA-Fortescue_SDExport'!X:X)</f>
        <v>0</v>
      </c>
      <c r="Y64">
        <f>_xlfn.XLOOKUP($A64,'EA-Fortescue_SDExport'!$A:$A,'EA-Fortescue_SDExport'!Y:Y)</f>
        <v>0</v>
      </c>
      <c r="Z64" t="str">
        <f>_xlfn.XLOOKUP($A64,'EA-Fortescue_SDExport'!$A:$A,'EA-Fortescue_SDExport'!Z:Z)</f>
        <v>SysML1.4::InterfaceBlock</v>
      </c>
      <c r="AA64" t="str">
        <f>_xlfn.XLOOKUP($A64,InterfaceRegister!$A:$A,InterfaceRegister!B:B)</f>
        <v>003OP-5611 Gas Power Station|855DC-1543-008 Monarch</v>
      </c>
      <c r="AB64" t="str">
        <f>_xlfn.XLOOKUP($A64,InterfaceRegister!$A:$A,InterfaceRegister!C:C)</f>
        <v>Energy Operations</v>
      </c>
      <c r="AC64" t="str">
        <f>_xlfn.XLOOKUP($A64,InterfaceRegister!$A:$A,InterfaceRegister!D:D)</f>
        <v/>
      </c>
      <c r="AD64" t="str">
        <f>_xlfn.XLOOKUP($A64,InterfaceRegister!$A:$A,InterfaceRegister!E:E)</f>
        <v>System - Project Interface</v>
      </c>
      <c r="AE64" t="str">
        <f>_xlfn.XLOOKUP($A64,InterfaceRegister!$A:$A,InterfaceRegister!F:F)</f>
        <v>Technical-Electrical</v>
      </c>
      <c r="AF64" t="str">
        <f>_xlfn.XLOOKUP($A64,InterfaceRegister!$A:$A,InterfaceRegister!L:L)</f>
        <v>This interface connects the gas power station to Monarch for live monitoring, operational control, and energy dispatch management.</v>
      </c>
      <c r="AG64" t="str">
        <f>_xlfn.XLOOKUP($A64,InterfaceRegister!$A:$A,InterfaceRegister!M:M)</f>
        <v>HIGH</v>
      </c>
      <c r="AH64" t="str">
        <f>_xlfn.XLOOKUP($A64,InterfaceRegister!$A:$A,InterfaceRegister!O:O)</f>
        <v>Data Flow: Gas Power Station -&gt; Monarch (real-time generation output, unit status, available capacity, fuel consumption, emissions data, alarms, fault events) for monitoring and coordination._x000D_
Control Flow: Monarch -&gt; Gas Power Station (dispatch setpoints, start/stop commands, load adjustments, operational constraints) to manage generation in line with demand and network stability requirements.</v>
      </c>
      <c r="AI64" t="str">
        <f>_xlfn.XLOOKUP($A64,InterfaceRegister!$A:$A,InterfaceRegister!N:N)</f>
        <v>The criticality level is HIGH because a failure could disrupt the coordination of gas generation, potentially destabilising the electrical network and impacting vital mining operations.The gas power station is a key contributor to site power supply, and loss of communication removes the ability to track output, manage faults, or optimise supply, which could lead to significant operational impacts.</v>
      </c>
      <c r="AJ64" t="str">
        <f>_xlfn.XLOOKUP($A64,'EA-Fortescue_SDExport'!$A:$A,'EA-Fortescue_SDExport'!AX:AX)</f>
        <v>CSV510082BB</v>
      </c>
      <c r="AK64">
        <f>_xlfn.XLOOKUP($A64,'EA-Fortescue_SDExport'!$A:$A,'EA-Fortescue_SDExport'!AY:AY)</f>
        <v>0</v>
      </c>
    </row>
    <row r="65" spans="1:37" x14ac:dyDescent="0.25">
      <c r="A65" t="str">
        <v>DGS-I_0064</v>
      </c>
      <c r="B65" t="str">
        <f>_xlfn.XLOOKUP($A65,'EA-Fortescue_SDExport'!$A:$A,'EA-Fortescue_SDExport'!B:B)</f>
        <v>Class</v>
      </c>
      <c r="C65" t="str">
        <f>_xlfn.XLOOKUP($A65,'EA-Fortescue_SDExport'!$A:$A,'EA-Fortescue_SDExport'!C:C)</f>
        <v>{1E3AC883-E258-4268-B456-EF92E9BD898D}</v>
      </c>
      <c r="D65" t="str">
        <f>_xlfn.LET(_xlpm.result, _xlfn.XLOOKUP($A65, InterfaceRegister!$A:$A, InterfaceRegister!P:P), IF(_xlpm.result=0, "", _xlpm.result))</f>
        <v>NH 20/02/2026: Fields updated: Interface Type, Interface Flow.</v>
      </c>
      <c r="E65">
        <f>_xlfn.XLOOKUP($A65,'EA-Fortescue_SDExport'!$A:$A,'EA-Fortescue_SDExport'!E:E)</f>
        <v>1</v>
      </c>
      <c r="F65">
        <f>_xlfn.XLOOKUP($A65,'EA-Fortescue_SDExport'!$A:$A,'EA-Fortescue_SDExport'!F:F)</f>
        <v>1</v>
      </c>
      <c r="G65">
        <f>_xlfn.XLOOKUP($A65,'EA-Fortescue_SDExport'!$A:$A,'EA-Fortescue_SDExport'!G:G)</f>
        <v>0</v>
      </c>
      <c r="H65" t="str">
        <f>_xlfn.XLOOKUP($A65,'EA-Fortescue_SDExport'!$A:$A,'EA-Fortescue_SDExport'!H:H)</f>
        <v>InterfaceBlock</v>
      </c>
      <c r="I65" t="str">
        <f>_xlfn.XLOOKUP($A65,'EA-Fortescue_SDExport'!$A:$A,'EA-Fortescue_SDExport'!I:I)</f>
        <v>SysML1.4::InterfaceBlock</v>
      </c>
      <c r="J65" t="str">
        <f>_xlfn.XLOOKUP($A65,'EA-Fortescue_SDExport'!$A:$A,'EA-Fortescue_SDExport'!J:J)</f>
        <v>Java</v>
      </c>
      <c r="K65" t="str">
        <f>_xlfn.XLOOKUP($A65,'EA-Fortescue_SDExport'!$A:$A,'EA-Fortescue_SDExport'!K:K)</f>
        <v>Admin</v>
      </c>
      <c r="L65" t="str">
        <f>_xlfn.XLOOKUP($A65,'EA-Fortescue_SDExport'!$A:$A,'EA-Fortescue_SDExport'!L:L)</f>
        <v>Public</v>
      </c>
      <c r="M65">
        <f>_xlfn.XLOOKUP($A65,'EA-Fortescue_SDExport'!$A:$A,'EA-Fortescue_SDExport'!M:M)</f>
        <v>0</v>
      </c>
      <c r="N65" t="str">
        <f>_xlfn.XLOOKUP($A65,InterfaceRegister!$A:$A,InterfaceRegister!K:K)</f>
        <v>Proposed</v>
      </c>
      <c r="O65">
        <f>_xlfn.XLOOKUP($A65,'EA-Fortescue_SDExport'!$A:$A,'EA-Fortescue_SDExport'!O:O)</f>
        <v>1</v>
      </c>
      <c r="P65">
        <f>_xlfn.XLOOKUP($A65,'EA-Fortescue_SDExport'!$A:$A,'EA-Fortescue_SDExport'!P:P)</f>
        <v>0</v>
      </c>
      <c r="Q65">
        <f>_xlfn.XLOOKUP($A65,'EA-Fortescue_SDExport'!$A:$A,'EA-Fortescue_SDExport'!Q:Q)</f>
        <v>0</v>
      </c>
      <c r="R65">
        <f>_xlfn.XLOOKUP($A65,'EA-Fortescue_SDExport'!$A:$A,'EA-Fortescue_SDExport'!R:R)</f>
        <v>0</v>
      </c>
      <c r="S65">
        <f>_xlfn.XLOOKUP($A65,'EA-Fortescue_SDExport'!$A:$A,'EA-Fortescue_SDExport'!S:S)</f>
        <v>0</v>
      </c>
      <c r="T65">
        <f>_xlfn.XLOOKUP($A65,'EA-Fortescue_SDExport'!$A:$A,'EA-Fortescue_SDExport'!T:T)</f>
        <v>0</v>
      </c>
      <c r="U65">
        <f>_xlfn.XLOOKUP($A65,'EA-Fortescue_SDExport'!$A:$A,'EA-Fortescue_SDExport'!U:U)</f>
        <v>45945.79583333333</v>
      </c>
      <c r="V65">
        <f>_xlfn.XLOOKUP($A65,'EA-Fortescue_SDExport'!$A:$A,'EA-Fortescue_SDExport'!V:V)</f>
        <v>46077.99322916667</v>
      </c>
      <c r="W65">
        <f>_xlfn.XLOOKUP($A65,'EA-Fortescue_SDExport'!$A:$A,'EA-Fortescue_SDExport'!W:W)</f>
        <v>0</v>
      </c>
      <c r="X65">
        <f>_xlfn.XLOOKUP($A65,'EA-Fortescue_SDExport'!$A:$A,'EA-Fortescue_SDExport'!X:X)</f>
        <v>0</v>
      </c>
      <c r="Y65">
        <f>_xlfn.XLOOKUP($A65,'EA-Fortescue_SDExport'!$A:$A,'EA-Fortescue_SDExport'!Y:Y)</f>
        <v>0</v>
      </c>
      <c r="Z65" t="str">
        <f>_xlfn.XLOOKUP($A65,'EA-Fortescue_SDExport'!$A:$A,'EA-Fortescue_SDExport'!Z:Z)</f>
        <v>SysML1.4::InterfaceBlock</v>
      </c>
      <c r="AA65" t="str">
        <f>_xlfn.XLOOKUP($A65,InterfaceRegister!$A:$A,InterfaceRegister!B:B)</f>
        <v>854DC-5660 HV Transmission lines|855DC-1543-008 Monarch</v>
      </c>
      <c r="AB65" t="str">
        <f>_xlfn.XLOOKUP($A65,InterfaceRegister!$A:$A,InterfaceRegister!C:C)</f>
        <v>Energy Operations</v>
      </c>
      <c r="AC65" t="str">
        <f>_xlfn.XLOOKUP($A65,InterfaceRegister!$A:$A,InterfaceRegister!D:D)</f>
        <v/>
      </c>
      <c r="AD65" t="str">
        <f>_xlfn.XLOOKUP($A65,InterfaceRegister!$A:$A,InterfaceRegister!E:E)</f>
        <v>System - Project Interface</v>
      </c>
      <c r="AE65" t="str">
        <f>_xlfn.XLOOKUP($A65,InterfaceRegister!$A:$A,InterfaceRegister!F:F)</f>
        <v>Technical-Electrical</v>
      </c>
      <c r="AF65" t="str">
        <f>_xlfn.XLOOKUP($A65,InterfaceRegister!$A:$A,InterfaceRegister!L:L)</f>
        <v>This interface allows Monarch to monitor and manage the condition, loading, and status of the high-voltage transmission network.</v>
      </c>
      <c r="AG65" t="str">
        <f>_xlfn.XLOOKUP($A65,InterfaceRegister!$A:$A,InterfaceRegister!M:M)</f>
        <v>HIGH</v>
      </c>
      <c r="AH65" t="str">
        <f>_xlfn.XLOOKUP($A65,InterfaceRegister!$A:$A,InterfaceRegister!O:O)</f>
        <v>Data Flow: HV Transmission Lines / Protection Systems -&gt; Monarch (line status, power flows, voltage/current measurements, loading levels, protection relay status, fault indications, alarms) for real-time monitoring and network condition assessment.</v>
      </c>
      <c r="AI65" t="str">
        <f>_xlfn.XLOOKUP($A65,InterfaceRegister!$A:$A,InterfaceRegister!N:N)</f>
        <v>The criticality level is HIGH because losing visibility of HV transmission lines results in serious electrical risks and the inability to respond to faults. This affects key operational areas and production-critical infrastructure, compromising power security.</v>
      </c>
      <c r="AJ65" t="str">
        <f>_xlfn.XLOOKUP($A65,'EA-Fortescue_SDExport'!$A:$A,'EA-Fortescue_SDExport'!AX:AX)</f>
        <v>CSV3A32AE5B</v>
      </c>
      <c r="AK65">
        <f>_xlfn.XLOOKUP($A65,'EA-Fortescue_SDExport'!$A:$A,'EA-Fortescue_SDExport'!AY:AY)</f>
        <v>0</v>
      </c>
    </row>
    <row r="66" spans="1:37" x14ac:dyDescent="0.25">
      <c r="A66" t="str">
        <v>DGS-I_0065</v>
      </c>
      <c r="B66" t="str">
        <f>_xlfn.XLOOKUP($A66,'EA-Fortescue_SDExport'!$A:$A,'EA-Fortescue_SDExport'!B:B)</f>
        <v>Class</v>
      </c>
      <c r="C66" t="str">
        <f>_xlfn.XLOOKUP($A66,'EA-Fortescue_SDExport'!$A:$A,'EA-Fortescue_SDExport'!C:C)</f>
        <v>{6EF4B417-38BB-4535-8917-49FC138A510B}</v>
      </c>
      <c r="D66" t="str">
        <f>_xlfn.LET(_xlpm.result, _xlfn.XLOOKUP($A66, InterfaceRegister!$A:$A, InterfaceRegister!P:P), IF(_xlpm.result=0, "", _xlpm.result))</f>
        <v>SBS-WBS Mapping 02/01/2026: Delete LME &amp;amp; Merge LME &amp;amp; SME to combined Program Level - Interface deleted.</v>
      </c>
      <c r="E66">
        <f>_xlfn.XLOOKUP($A66,'EA-Fortescue_SDExport'!$A:$A,'EA-Fortescue_SDExport'!E:E)</f>
        <v>1</v>
      </c>
      <c r="F66">
        <f>_xlfn.XLOOKUP($A66,'EA-Fortescue_SDExport'!$A:$A,'EA-Fortescue_SDExport'!F:F)</f>
        <v>1</v>
      </c>
      <c r="G66">
        <f>_xlfn.XLOOKUP($A66,'EA-Fortescue_SDExport'!$A:$A,'EA-Fortescue_SDExport'!G:G)</f>
        <v>0</v>
      </c>
      <c r="H66" t="str">
        <f>_xlfn.XLOOKUP($A66,'EA-Fortescue_SDExport'!$A:$A,'EA-Fortescue_SDExport'!H:H)</f>
        <v>InterfaceBlock</v>
      </c>
      <c r="I66" t="str">
        <f>_xlfn.XLOOKUP($A66,'EA-Fortescue_SDExport'!$A:$A,'EA-Fortescue_SDExport'!I:I)</f>
        <v>SysML1.4::InterfaceBlock</v>
      </c>
      <c r="J66" t="str">
        <f>_xlfn.XLOOKUP($A66,'EA-Fortescue_SDExport'!$A:$A,'EA-Fortescue_SDExport'!J:J)</f>
        <v>Java</v>
      </c>
      <c r="K66" t="str">
        <f>_xlfn.XLOOKUP($A66,'EA-Fortescue_SDExport'!$A:$A,'EA-Fortescue_SDExport'!K:K)</f>
        <v>Admin</v>
      </c>
      <c r="L66" t="str">
        <f>_xlfn.XLOOKUP($A66,'EA-Fortescue_SDExport'!$A:$A,'EA-Fortescue_SDExport'!L:L)</f>
        <v>Public</v>
      </c>
      <c r="M66">
        <f>_xlfn.XLOOKUP($A66,'EA-Fortescue_SDExport'!$A:$A,'EA-Fortescue_SDExport'!M:M)</f>
        <v>0</v>
      </c>
      <c r="N66" t="str">
        <f>_xlfn.XLOOKUP($A66,InterfaceRegister!$A:$A,InterfaceRegister!K:K)</f>
        <v>Deleted</v>
      </c>
      <c r="O66">
        <f>_xlfn.XLOOKUP($A66,'EA-Fortescue_SDExport'!$A:$A,'EA-Fortescue_SDExport'!O:O)</f>
        <v>1</v>
      </c>
      <c r="P66">
        <f>_xlfn.XLOOKUP($A66,'EA-Fortescue_SDExport'!$A:$A,'EA-Fortescue_SDExport'!P:P)</f>
        <v>0</v>
      </c>
      <c r="Q66">
        <f>_xlfn.XLOOKUP($A66,'EA-Fortescue_SDExport'!$A:$A,'EA-Fortescue_SDExport'!Q:Q)</f>
        <v>0</v>
      </c>
      <c r="R66">
        <f>_xlfn.XLOOKUP($A66,'EA-Fortescue_SDExport'!$A:$A,'EA-Fortescue_SDExport'!R:R)</f>
        <v>0</v>
      </c>
      <c r="S66">
        <f>_xlfn.XLOOKUP($A66,'EA-Fortescue_SDExport'!$A:$A,'EA-Fortescue_SDExport'!S:S)</f>
        <v>0</v>
      </c>
      <c r="T66">
        <f>_xlfn.XLOOKUP($A66,'EA-Fortescue_SDExport'!$A:$A,'EA-Fortescue_SDExport'!T:T)</f>
        <v>0</v>
      </c>
      <c r="U66">
        <f>_xlfn.XLOOKUP($A66,'EA-Fortescue_SDExport'!$A:$A,'EA-Fortescue_SDExport'!U:U)</f>
        <v>45946.577569444446</v>
      </c>
      <c r="V66">
        <f>_xlfn.XLOOKUP($A66,'EA-Fortescue_SDExport'!$A:$A,'EA-Fortescue_SDExport'!V:V)</f>
        <v>46036.911898148152</v>
      </c>
      <c r="W66">
        <f>_xlfn.XLOOKUP($A66,'EA-Fortescue_SDExport'!$A:$A,'EA-Fortescue_SDExport'!W:W)</f>
        <v>0</v>
      </c>
      <c r="X66">
        <f>_xlfn.XLOOKUP($A66,'EA-Fortescue_SDExport'!$A:$A,'EA-Fortescue_SDExport'!X:X)</f>
        <v>0</v>
      </c>
      <c r="Y66">
        <f>_xlfn.XLOOKUP($A66,'EA-Fortescue_SDExport'!$A:$A,'EA-Fortescue_SDExport'!Y:Y)</f>
        <v>0</v>
      </c>
      <c r="Z66" t="str">
        <f>_xlfn.XLOOKUP($A66,'EA-Fortescue_SDExport'!$A:$A,'EA-Fortescue_SDExport'!Z:Z)</f>
        <v>SysML1.4::InterfaceBlock</v>
      </c>
      <c r="AA66" t="str">
        <f>_xlfn.XLOOKUP($A66,InterfaceRegister!$A:$A,InterfaceRegister!B:B)</f>
        <v>Archive - 852DC Light Mobile Equipment (LME)|859DC-1410-001 HaulX</v>
      </c>
      <c r="AB66" t="str">
        <f>_xlfn.XLOOKUP($A66,InterfaceRegister!$A:$A,InterfaceRegister!C:C)</f>
        <v/>
      </c>
      <c r="AC66" t="str">
        <f>_xlfn.XLOOKUP($A66,InterfaceRegister!$A:$A,InterfaceRegister!D:D)</f>
        <v/>
      </c>
      <c r="AD66" t="str">
        <f>_xlfn.XLOOKUP($A66,InterfaceRegister!$A:$A,InterfaceRegister!E:E)</f>
        <v>Program - Project Interface</v>
      </c>
      <c r="AE66" t="str">
        <f>_xlfn.XLOOKUP($A66,InterfaceRegister!$A:$A,InterfaceRegister!F:F)</f>
        <v/>
      </c>
      <c r="AF66" t="str">
        <f>_xlfn.XLOOKUP($A66,InterfaceRegister!$A:$A,InterfaceRegister!L:L)</f>
        <v>This interface shares status or positional data from Light Mobile Equipment (LME) with HaulX to support traffic awareness and coordination around the haul circuit.</v>
      </c>
      <c r="AG66" t="str">
        <f>_xlfn.XLOOKUP($A66,InterfaceRegister!$A:$A,InterfaceRegister!M:M)</f>
        <v>LOW</v>
      </c>
      <c r="AH66" t="str">
        <f>_xlfn.XLOOKUP($A66,InterfaceRegister!$A:$A,InterfaceRegister!O:O)</f>
        <v/>
      </c>
      <c r="AI66" t="str">
        <f>_xlfn.XLOOKUP($A66,InterfaceRegister!$A:$A,InterfaceRegister!N:N)</f>
        <v>The criticality level is LOW because failure at this interface does not impact real-time production, safety, or core operational control. LME does not significantly restrict haulage, and outages affect efficiency only marginally.</v>
      </c>
      <c r="AJ66" t="str">
        <f>_xlfn.XLOOKUP($A66,'EA-Fortescue_SDExport'!$A:$A,'EA-Fortescue_SDExport'!AX:AX)</f>
        <v>CSV82B22C5C</v>
      </c>
      <c r="AK66">
        <f>_xlfn.XLOOKUP($A66,'EA-Fortescue_SDExport'!$A:$A,'EA-Fortescue_SDExport'!AY:AY)</f>
        <v>0</v>
      </c>
    </row>
    <row r="67" spans="1:37" x14ac:dyDescent="0.25">
      <c r="A67" t="str">
        <v>DGS-I_0066</v>
      </c>
      <c r="B67" t="str">
        <f>_xlfn.XLOOKUP($A67,'EA-Fortescue_SDExport'!$A:$A,'EA-Fortescue_SDExport'!B:B)</f>
        <v>Class</v>
      </c>
      <c r="C67" t="str">
        <f>_xlfn.XLOOKUP($A67,'EA-Fortescue_SDExport'!$A:$A,'EA-Fortescue_SDExport'!C:C)</f>
        <v>{F68F2B87-6626-4364-89D0-956B6D531581}</v>
      </c>
      <c r="D67" t="str">
        <f>_xlfn.LET(_xlpm.result, _xlfn.XLOOKUP($A67, InterfaceRegister!$A:$A, InterfaceRegister!P:P), IF(_xlpm.result=0, "", _xlpm.result))</f>
        <v/>
      </c>
      <c r="E67">
        <f>_xlfn.XLOOKUP($A67,'EA-Fortescue_SDExport'!$A:$A,'EA-Fortescue_SDExport'!E:E)</f>
        <v>1</v>
      </c>
      <c r="F67">
        <f>_xlfn.XLOOKUP($A67,'EA-Fortescue_SDExport'!$A:$A,'EA-Fortescue_SDExport'!F:F)</f>
        <v>1</v>
      </c>
      <c r="G67">
        <f>_xlfn.XLOOKUP($A67,'EA-Fortescue_SDExport'!$A:$A,'EA-Fortescue_SDExport'!G:G)</f>
        <v>0</v>
      </c>
      <c r="H67" t="str">
        <f>_xlfn.XLOOKUP($A67,'EA-Fortescue_SDExport'!$A:$A,'EA-Fortescue_SDExport'!H:H)</f>
        <v>InterfaceBlock</v>
      </c>
      <c r="I67" t="str">
        <f>_xlfn.XLOOKUP($A67,'EA-Fortescue_SDExport'!$A:$A,'EA-Fortescue_SDExport'!I:I)</f>
        <v>SysML1.4::InterfaceBlock</v>
      </c>
      <c r="J67" t="str">
        <f>_xlfn.XLOOKUP($A67,'EA-Fortescue_SDExport'!$A:$A,'EA-Fortescue_SDExport'!J:J)</f>
        <v>Java</v>
      </c>
      <c r="K67" t="str">
        <f>_xlfn.XLOOKUP($A67,'EA-Fortescue_SDExport'!$A:$A,'EA-Fortescue_SDExport'!K:K)</f>
        <v>Admin</v>
      </c>
      <c r="L67" t="str">
        <f>_xlfn.XLOOKUP($A67,'EA-Fortescue_SDExport'!$A:$A,'EA-Fortescue_SDExport'!L:L)</f>
        <v>Public</v>
      </c>
      <c r="M67">
        <f>_xlfn.XLOOKUP($A67,'EA-Fortescue_SDExport'!$A:$A,'EA-Fortescue_SDExport'!M:M)</f>
        <v>0</v>
      </c>
      <c r="N67" t="str">
        <f>_xlfn.XLOOKUP($A67,InterfaceRegister!$A:$A,InterfaceRegister!K:K)</f>
        <v>Proposed</v>
      </c>
      <c r="O67">
        <f>_xlfn.XLOOKUP($A67,'EA-Fortescue_SDExport'!$A:$A,'EA-Fortescue_SDExport'!O:O)</f>
        <v>1</v>
      </c>
      <c r="P67">
        <f>_xlfn.XLOOKUP($A67,'EA-Fortescue_SDExport'!$A:$A,'EA-Fortescue_SDExport'!P:P)</f>
        <v>0</v>
      </c>
      <c r="Q67">
        <f>_xlfn.XLOOKUP($A67,'EA-Fortescue_SDExport'!$A:$A,'EA-Fortescue_SDExport'!Q:Q)</f>
        <v>0</v>
      </c>
      <c r="R67">
        <f>_xlfn.XLOOKUP($A67,'EA-Fortescue_SDExport'!$A:$A,'EA-Fortescue_SDExport'!R:R)</f>
        <v>0</v>
      </c>
      <c r="S67">
        <f>_xlfn.XLOOKUP($A67,'EA-Fortescue_SDExport'!$A:$A,'EA-Fortescue_SDExport'!S:S)</f>
        <v>0</v>
      </c>
      <c r="T67">
        <f>_xlfn.XLOOKUP($A67,'EA-Fortescue_SDExport'!$A:$A,'EA-Fortescue_SDExport'!T:T)</f>
        <v>0</v>
      </c>
      <c r="U67">
        <f>_xlfn.XLOOKUP($A67,'EA-Fortescue_SDExport'!$A:$A,'EA-Fortescue_SDExport'!U:U)</f>
        <v>45946.5778125</v>
      </c>
      <c r="V67">
        <f>_xlfn.XLOOKUP($A67,'EA-Fortescue_SDExport'!$A:$A,'EA-Fortescue_SDExport'!V:V)</f>
        <v>46002.067557870374</v>
      </c>
      <c r="W67">
        <f>_xlfn.XLOOKUP($A67,'EA-Fortescue_SDExport'!$A:$A,'EA-Fortescue_SDExport'!W:W)</f>
        <v>0</v>
      </c>
      <c r="X67">
        <f>_xlfn.XLOOKUP($A67,'EA-Fortescue_SDExport'!$A:$A,'EA-Fortescue_SDExport'!X:X)</f>
        <v>0</v>
      </c>
      <c r="Y67">
        <f>_xlfn.XLOOKUP($A67,'EA-Fortescue_SDExport'!$A:$A,'EA-Fortescue_SDExport'!Y:Y)</f>
        <v>0</v>
      </c>
      <c r="Z67" t="str">
        <f>_xlfn.XLOOKUP($A67,'EA-Fortescue_SDExport'!$A:$A,'EA-Fortescue_SDExport'!Z:Z)</f>
        <v>SysML1.4::InterfaceBlock</v>
      </c>
      <c r="AA67" t="str">
        <f>_xlfn.XLOOKUP($A67,InterfaceRegister!$A:$A,InterfaceRegister!B:B)</f>
        <v>853DC-1561 Drill Rig|859DC-1410-001 HaulX</v>
      </c>
      <c r="AB67" t="str">
        <f>_xlfn.XLOOKUP($A67,InterfaceRegister!$A:$A,InterfaceRegister!C:C)</f>
        <v/>
      </c>
      <c r="AC67" t="str">
        <f>_xlfn.XLOOKUP($A67,InterfaceRegister!$A:$A,InterfaceRegister!D:D)</f>
        <v/>
      </c>
      <c r="AD67" t="str">
        <f>_xlfn.XLOOKUP($A67,InterfaceRegister!$A:$A,InterfaceRegister!E:E)</f>
        <v>System - Project Interface</v>
      </c>
      <c r="AE67" t="str">
        <f>_xlfn.XLOOKUP($A67,InterfaceRegister!$A:$A,InterfaceRegister!F:F)</f>
        <v>Functional-Operational</v>
      </c>
      <c r="AF67" t="str">
        <f>_xlfn.XLOOKUP($A67,InterfaceRegister!$A:$A,InterfaceRegister!L:L)</f>
        <v>This interface links the drill rig system with HaulX for location information, operational status, or integration into autonomous haulage awareness (depending on deployment).</v>
      </c>
      <c r="AG67" t="str">
        <f>_xlfn.XLOOKUP($A67,InterfaceRegister!$A:$A,InterfaceRegister!M:M)</f>
        <v>LOW</v>
      </c>
      <c r="AH67" t="str">
        <f>_xlfn.XLOOKUP($A67,InterfaceRegister!$A:$A,InterfaceRegister!O:O)</f>
        <v>Data Flow:_x000D_
Drill Rig (853DC-1561) -&gt; HaulX Control (859DC-1410-001), transmitting location (GPS), operational status (active/idle/maintenance), working zone boundaries, and basic activity state to support haulage situational awareness and traffic coordination._x000D_
HaulX -&gt; Drill Rig (where implemented), providing advisory proximity notifications or awareness information related to nearby haulage movements._x000D_
Control Flow:_x000D_
No direct control of drilling operations is exercised by HaulX. The interface supports awareness and optional integration into autonomous haulage logic.</v>
      </c>
      <c r="AI67" t="str">
        <f>_xlfn.XLOOKUP($A67,InterfaceRegister!$A:$A,InterfaceRegister!N:N)</f>
        <v>This interface is rated LOW because it supports situational awareness rather than direct operational control or safety interlocking. Failure may reduce coordination efficiency or visibility of drill locations but does not directly affect production continuity, safety systems, or core haulage control. Manual coordination processes can mitigate the impact.</v>
      </c>
      <c r="AJ67" t="str">
        <f>_xlfn.XLOOKUP($A67,'EA-Fortescue_SDExport'!$A:$A,'EA-Fortescue_SDExport'!AX:AX)</f>
        <v>CSVA717D5B4</v>
      </c>
      <c r="AK67">
        <f>_xlfn.XLOOKUP($A67,'EA-Fortescue_SDExport'!$A:$A,'EA-Fortescue_SDExport'!AY:AY)</f>
        <v>0</v>
      </c>
    </row>
    <row r="68" spans="1:37" x14ac:dyDescent="0.25">
      <c r="A68" t="str">
        <v>DGS-I_0067</v>
      </c>
      <c r="B68" t="str">
        <f>_xlfn.XLOOKUP($A68,'EA-Fortescue_SDExport'!$A:$A,'EA-Fortescue_SDExport'!B:B)</f>
        <v>Class</v>
      </c>
      <c r="C68" t="str">
        <f>_xlfn.XLOOKUP($A68,'EA-Fortescue_SDExport'!$A:$A,'EA-Fortescue_SDExport'!C:C)</f>
        <v>{8CC2114A-FDA7-4362-9035-2B05E1E94D5B}</v>
      </c>
      <c r="D68" t="str">
        <f>_xlfn.LET(_xlpm.result, _xlfn.XLOOKUP($A68,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68">
        <f>_xlfn.XLOOKUP($A68,'EA-Fortescue_SDExport'!$A:$A,'EA-Fortescue_SDExport'!E:E)</f>
        <v>1</v>
      </c>
      <c r="F68">
        <f>_xlfn.XLOOKUP($A68,'EA-Fortescue_SDExport'!$A:$A,'EA-Fortescue_SDExport'!F:F)</f>
        <v>1</v>
      </c>
      <c r="G68">
        <f>_xlfn.XLOOKUP($A68,'EA-Fortescue_SDExport'!$A:$A,'EA-Fortescue_SDExport'!G:G)</f>
        <v>0</v>
      </c>
      <c r="H68" t="str">
        <f>_xlfn.XLOOKUP($A68,'EA-Fortescue_SDExport'!$A:$A,'EA-Fortescue_SDExport'!H:H)</f>
        <v>InterfaceBlock</v>
      </c>
      <c r="I68" t="str">
        <f>_xlfn.XLOOKUP($A68,'EA-Fortescue_SDExport'!$A:$A,'EA-Fortescue_SDExport'!I:I)</f>
        <v>SysML1.4::InterfaceBlock</v>
      </c>
      <c r="J68" t="str">
        <f>_xlfn.XLOOKUP($A68,'EA-Fortescue_SDExport'!$A:$A,'EA-Fortescue_SDExport'!J:J)</f>
        <v>Java</v>
      </c>
      <c r="K68" t="str">
        <f>_xlfn.XLOOKUP($A68,'EA-Fortescue_SDExport'!$A:$A,'EA-Fortescue_SDExport'!K:K)</f>
        <v>Admin</v>
      </c>
      <c r="L68" t="str">
        <f>_xlfn.XLOOKUP($A68,'EA-Fortescue_SDExport'!$A:$A,'EA-Fortescue_SDExport'!L:L)</f>
        <v>Public</v>
      </c>
      <c r="M68">
        <f>_xlfn.XLOOKUP($A68,'EA-Fortescue_SDExport'!$A:$A,'EA-Fortescue_SDExport'!M:M)</f>
        <v>0</v>
      </c>
      <c r="N68" t="str">
        <f>_xlfn.XLOOKUP($A68,InterfaceRegister!$A:$A,InterfaceRegister!K:K)</f>
        <v>Proposed</v>
      </c>
      <c r="O68">
        <f>_xlfn.XLOOKUP($A68,'EA-Fortescue_SDExport'!$A:$A,'EA-Fortescue_SDExport'!O:O)</f>
        <v>1</v>
      </c>
      <c r="P68">
        <f>_xlfn.XLOOKUP($A68,'EA-Fortescue_SDExport'!$A:$A,'EA-Fortescue_SDExport'!P:P)</f>
        <v>0</v>
      </c>
      <c r="Q68">
        <f>_xlfn.XLOOKUP($A68,'EA-Fortescue_SDExport'!$A:$A,'EA-Fortescue_SDExport'!Q:Q)</f>
        <v>0</v>
      </c>
      <c r="R68">
        <f>_xlfn.XLOOKUP($A68,'EA-Fortescue_SDExport'!$A:$A,'EA-Fortescue_SDExport'!R:R)</f>
        <v>0</v>
      </c>
      <c r="S68">
        <f>_xlfn.XLOOKUP($A68,'EA-Fortescue_SDExport'!$A:$A,'EA-Fortescue_SDExport'!S:S)</f>
        <v>0</v>
      </c>
      <c r="T68">
        <f>_xlfn.XLOOKUP($A68,'EA-Fortescue_SDExport'!$A:$A,'EA-Fortescue_SDExport'!T:T)</f>
        <v>0</v>
      </c>
      <c r="U68">
        <f>_xlfn.XLOOKUP($A68,'EA-Fortescue_SDExport'!$A:$A,'EA-Fortescue_SDExport'!U:U)</f>
        <v>45946.5778587963</v>
      </c>
      <c r="V68">
        <f>_xlfn.XLOOKUP($A68,'EA-Fortescue_SDExport'!$A:$A,'EA-Fortescue_SDExport'!V:V)</f>
        <v>46071.947974537034</v>
      </c>
      <c r="W68">
        <f>_xlfn.XLOOKUP($A68,'EA-Fortescue_SDExport'!$A:$A,'EA-Fortescue_SDExport'!W:W)</f>
        <v>0</v>
      </c>
      <c r="X68">
        <f>_xlfn.XLOOKUP($A68,'EA-Fortescue_SDExport'!$A:$A,'EA-Fortescue_SDExport'!X:X)</f>
        <v>0</v>
      </c>
      <c r="Y68">
        <f>_xlfn.XLOOKUP($A68,'EA-Fortescue_SDExport'!$A:$A,'EA-Fortescue_SDExport'!Y:Y)</f>
        <v>0</v>
      </c>
      <c r="Z68" t="str">
        <f>_xlfn.XLOOKUP($A68,'EA-Fortescue_SDExport'!$A:$A,'EA-Fortescue_SDExport'!Z:Z)</f>
        <v>SysML1.4::InterfaceBlock</v>
      </c>
      <c r="AA68" t="str">
        <f>_xlfn.XLOOKUP($A68,InterfaceRegister!$A:$A,InterfaceRegister!B:B)</f>
        <v>002OP-2000 Dewatering Pumps|855DC-1543-PPC Pit Power Capacity Planning Tool - Capacity Check</v>
      </c>
      <c r="AB68" t="str">
        <f>_xlfn.XLOOKUP($A68,InterfaceRegister!$A:$A,InterfaceRegister!C:C)</f>
        <v/>
      </c>
      <c r="AC68" t="str">
        <f>_xlfn.XLOOKUP($A68,InterfaceRegister!$A:$A,InterfaceRegister!D:D)</f>
        <v/>
      </c>
      <c r="AD68" t="str">
        <f>_xlfn.XLOOKUP($A68,InterfaceRegister!$A:$A,InterfaceRegister!E:E)</f>
        <v>System - Project Interface</v>
      </c>
      <c r="AE68" t="str">
        <f>_xlfn.XLOOKUP($A68,InterfaceRegister!$A:$A,InterfaceRegister!F:F)</f>
        <v>Technical - Data/Software</v>
      </c>
      <c r="AF68" t="str">
        <f>_xlfn.XLOOKUP($A68,InterfaceRegister!$A:$A,InterfaceRegister!L:L)</f>
        <v>This interface provides the Pit Power Capacity Planning Tool - Capacity Check with electrical load and operational data from the Dewatering Pumps, including flow rates, pump status, and peak power demands. The tool uses this information to assess pit network capacity and support safe, reliable power allocation. This interface is read-only and does not control the Dewatering Pumps.</v>
      </c>
      <c r="AG68" t="str">
        <f>_xlfn.XLOOKUP($A68,InterfaceRegister!$A:$A,InterfaceRegister!M:M)</f>
        <v>HIGH</v>
      </c>
      <c r="AH68" t="str">
        <f>_xlfn.XLOOKUP($A68,InterfaceRegister!$A:$A,InterfaceRegister!O:O)</f>
        <v>Dewatering Pumps -&gt; Pit Power Capacity Planning Tool - Capacity Check</v>
      </c>
      <c r="AI68" t="str">
        <f>_xlfn.XLOOKUP($A68,InterfaceRegister!$A:$A,InterfaceRegister!N:N)</f>
        <v>The criticality is HIGH because the Dewatering Pumps represent a significant and continuous electrical load. Accurate and timely data is essential for the tool to prevent network overloads and ensure reliable pit power system operation.</v>
      </c>
      <c r="AJ68" t="str">
        <f>_xlfn.XLOOKUP($A68,'EA-Fortescue_SDExport'!$A:$A,'EA-Fortescue_SDExport'!AX:AX)</f>
        <v>CSV54BAD23D</v>
      </c>
      <c r="AK68">
        <f>_xlfn.XLOOKUP($A68,'EA-Fortescue_SDExport'!$A:$A,'EA-Fortescue_SDExport'!AY:AY)</f>
        <v>0</v>
      </c>
    </row>
    <row r="69" spans="1:37" x14ac:dyDescent="0.25">
      <c r="A69" t="str">
        <v>DGS-I_0068</v>
      </c>
      <c r="B69" t="str">
        <f>_xlfn.XLOOKUP($A69,'EA-Fortescue_SDExport'!$A:$A,'EA-Fortescue_SDExport'!B:B)</f>
        <v>Class</v>
      </c>
      <c r="C69" t="str">
        <f>_xlfn.XLOOKUP($A69,'EA-Fortescue_SDExport'!$A:$A,'EA-Fortescue_SDExport'!C:C)</f>
        <v>{40A4A403-0D32-444e-B834-AC8195F40CF4}</v>
      </c>
      <c r="D69" t="str">
        <f>_xlfn.LET(_xlpm.result, _xlfn.XLOOKUP($A69,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69">
        <f>_xlfn.XLOOKUP($A69,'EA-Fortescue_SDExport'!$A:$A,'EA-Fortescue_SDExport'!E:E)</f>
        <v>1</v>
      </c>
      <c r="F69">
        <f>_xlfn.XLOOKUP($A69,'EA-Fortescue_SDExport'!$A:$A,'EA-Fortescue_SDExport'!F:F)</f>
        <v>1</v>
      </c>
      <c r="G69">
        <f>_xlfn.XLOOKUP($A69,'EA-Fortescue_SDExport'!$A:$A,'EA-Fortescue_SDExport'!G:G)</f>
        <v>0</v>
      </c>
      <c r="H69" t="str">
        <f>_xlfn.XLOOKUP($A69,'EA-Fortescue_SDExport'!$A:$A,'EA-Fortescue_SDExport'!H:H)</f>
        <v>InterfaceBlock</v>
      </c>
      <c r="I69" t="str">
        <f>_xlfn.XLOOKUP($A69,'EA-Fortescue_SDExport'!$A:$A,'EA-Fortescue_SDExport'!I:I)</f>
        <v>SysML1.4::InterfaceBlock</v>
      </c>
      <c r="J69" t="str">
        <f>_xlfn.XLOOKUP($A69,'EA-Fortescue_SDExport'!$A:$A,'EA-Fortescue_SDExport'!J:J)</f>
        <v>Java</v>
      </c>
      <c r="K69" t="str">
        <f>_xlfn.XLOOKUP($A69,'EA-Fortescue_SDExport'!$A:$A,'EA-Fortescue_SDExport'!K:K)</f>
        <v>Admin</v>
      </c>
      <c r="L69" t="str">
        <f>_xlfn.XLOOKUP($A69,'EA-Fortescue_SDExport'!$A:$A,'EA-Fortescue_SDExport'!L:L)</f>
        <v>Public</v>
      </c>
      <c r="M69">
        <f>_xlfn.XLOOKUP($A69,'EA-Fortescue_SDExport'!$A:$A,'EA-Fortescue_SDExport'!M:M)</f>
        <v>0</v>
      </c>
      <c r="N69" t="str">
        <f>_xlfn.XLOOKUP($A69,InterfaceRegister!$A:$A,InterfaceRegister!K:K)</f>
        <v>Proposed</v>
      </c>
      <c r="O69">
        <f>_xlfn.XLOOKUP($A69,'EA-Fortescue_SDExport'!$A:$A,'EA-Fortescue_SDExport'!O:O)</f>
        <v>1</v>
      </c>
      <c r="P69">
        <f>_xlfn.XLOOKUP($A69,'EA-Fortescue_SDExport'!$A:$A,'EA-Fortescue_SDExport'!P:P)</f>
        <v>0</v>
      </c>
      <c r="Q69">
        <f>_xlfn.XLOOKUP($A69,'EA-Fortescue_SDExport'!$A:$A,'EA-Fortescue_SDExport'!Q:Q)</f>
        <v>0</v>
      </c>
      <c r="R69">
        <f>_xlfn.XLOOKUP($A69,'EA-Fortescue_SDExport'!$A:$A,'EA-Fortescue_SDExport'!R:R)</f>
        <v>0</v>
      </c>
      <c r="S69">
        <f>_xlfn.XLOOKUP($A69,'EA-Fortescue_SDExport'!$A:$A,'EA-Fortescue_SDExport'!S:S)</f>
        <v>0</v>
      </c>
      <c r="T69">
        <f>_xlfn.XLOOKUP($A69,'EA-Fortescue_SDExport'!$A:$A,'EA-Fortescue_SDExport'!T:T)</f>
        <v>0</v>
      </c>
      <c r="U69">
        <f>_xlfn.XLOOKUP($A69,'EA-Fortescue_SDExport'!$A:$A,'EA-Fortescue_SDExport'!U:U)</f>
        <v>45946.577870370369</v>
      </c>
      <c r="V69">
        <f>_xlfn.XLOOKUP($A69,'EA-Fortescue_SDExport'!$A:$A,'EA-Fortescue_SDExport'!V:V)</f>
        <v>46071.947222222225</v>
      </c>
      <c r="W69">
        <f>_xlfn.XLOOKUP($A69,'EA-Fortescue_SDExport'!$A:$A,'EA-Fortescue_SDExport'!W:W)</f>
        <v>0</v>
      </c>
      <c r="X69">
        <f>_xlfn.XLOOKUP($A69,'EA-Fortescue_SDExport'!$A:$A,'EA-Fortescue_SDExport'!X:X)</f>
        <v>0</v>
      </c>
      <c r="Y69">
        <f>_xlfn.XLOOKUP($A69,'EA-Fortescue_SDExport'!$A:$A,'EA-Fortescue_SDExport'!Y:Y)</f>
        <v>0</v>
      </c>
      <c r="Z69" t="str">
        <f>_xlfn.XLOOKUP($A69,'EA-Fortescue_SDExport'!$A:$A,'EA-Fortescue_SDExport'!Z:Z)</f>
        <v>SysML1.4::InterfaceBlock</v>
      </c>
      <c r="AA69" t="str">
        <f>_xlfn.XLOOKUP($A69,InterfaceRegister!$A:$A,InterfaceRegister!B:B)</f>
        <v>850DC-1510 Chargers|855DC-1543-PPC Pit Power Capacity Planning Tool - Capacity Check</v>
      </c>
      <c r="AB69" t="str">
        <f>_xlfn.XLOOKUP($A69,InterfaceRegister!$A:$A,InterfaceRegister!C:C)</f>
        <v/>
      </c>
      <c r="AC69" t="str">
        <f>_xlfn.XLOOKUP($A69,InterfaceRegister!$A:$A,InterfaceRegister!D:D)</f>
        <v/>
      </c>
      <c r="AD69" t="str">
        <f>_xlfn.XLOOKUP($A69,InterfaceRegister!$A:$A,InterfaceRegister!E:E)</f>
        <v>System - Project Interface</v>
      </c>
      <c r="AE69" t="str">
        <f>_xlfn.XLOOKUP($A69,InterfaceRegister!$A:$A,InterfaceRegister!F:F)</f>
        <v>Technical - Data/Software</v>
      </c>
      <c r="AF69" t="str">
        <f>_xlfn.XLOOKUP($A69,InterfaceRegister!$A:$A,InterfaceRegister!L:L)</f>
        <v>This interface provides the Pit Power Capacity Planning Tool - Capacity Check with electrical load and operational data from the Chargers, including charging schedules, power draw, and peak demand. The tool uses this information to assess pit network capacity and support safe, reliable power allocation. This interface is read-only and does not control the Chargers.</v>
      </c>
      <c r="AG69" t="str">
        <f>_xlfn.XLOOKUP($A69,InterfaceRegister!$A:$A,InterfaceRegister!M:M)</f>
        <v>HIGH</v>
      </c>
      <c r="AH69" t="str">
        <f>_xlfn.XLOOKUP($A69,InterfaceRegister!$A:$A,InterfaceRegister!O:O)</f>
        <v>Chargers -&gt; Pit Power Capacity Planning Tool - Capacity Check</v>
      </c>
      <c r="AI69" t="str">
        <f>_xlfn.XLOOKUP($A69,InterfaceRegister!$A:$A,InterfaceRegister!N:N)</f>
        <v>The criticality is HIGH because the Chargers constitute a large and variable electrical load. Accurate and timely data is essential for the tool to prevent network overloads and ensure reliable operation of pit power systems.</v>
      </c>
      <c r="AJ69" t="str">
        <f>_xlfn.XLOOKUP($A69,'EA-Fortescue_SDExport'!$A:$A,'EA-Fortescue_SDExport'!AX:AX)</f>
        <v>CSVB584F4D1</v>
      </c>
      <c r="AK69">
        <f>_xlfn.XLOOKUP($A69,'EA-Fortescue_SDExport'!$A:$A,'EA-Fortescue_SDExport'!AY:AY)</f>
        <v>0</v>
      </c>
    </row>
    <row r="70" spans="1:37" x14ac:dyDescent="0.25">
      <c r="A70" t="str">
        <v>DGS-I_0069</v>
      </c>
      <c r="B70" t="str">
        <f>_xlfn.XLOOKUP($A70,'EA-Fortescue_SDExport'!$A:$A,'EA-Fortescue_SDExport'!B:B)</f>
        <v>Class</v>
      </c>
      <c r="C70" t="str">
        <f>_xlfn.XLOOKUP($A70,'EA-Fortescue_SDExport'!$A:$A,'EA-Fortescue_SDExport'!C:C)</f>
        <v>{65FA4E38-7646-45b9-8DA7-D166064F87C5}</v>
      </c>
      <c r="D70" t="str">
        <f>_xlfn.LET(_xlpm.result, _xlfn.XLOOKUP($A70,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70">
        <f>_xlfn.XLOOKUP($A70,'EA-Fortescue_SDExport'!$A:$A,'EA-Fortescue_SDExport'!E:E)</f>
        <v>1</v>
      </c>
      <c r="F70">
        <f>_xlfn.XLOOKUP($A70,'EA-Fortescue_SDExport'!$A:$A,'EA-Fortescue_SDExport'!F:F)</f>
        <v>1</v>
      </c>
      <c r="G70">
        <f>_xlfn.XLOOKUP($A70,'EA-Fortescue_SDExport'!$A:$A,'EA-Fortescue_SDExport'!G:G)</f>
        <v>0</v>
      </c>
      <c r="H70" t="str">
        <f>_xlfn.XLOOKUP($A70,'EA-Fortescue_SDExport'!$A:$A,'EA-Fortescue_SDExport'!H:H)</f>
        <v>InterfaceBlock</v>
      </c>
      <c r="I70" t="str">
        <f>_xlfn.XLOOKUP($A70,'EA-Fortescue_SDExport'!$A:$A,'EA-Fortescue_SDExport'!I:I)</f>
        <v>SysML1.4::InterfaceBlock</v>
      </c>
      <c r="J70" t="str">
        <f>_xlfn.XLOOKUP($A70,'EA-Fortescue_SDExport'!$A:$A,'EA-Fortescue_SDExport'!J:J)</f>
        <v>Java</v>
      </c>
      <c r="K70" t="str">
        <f>_xlfn.XLOOKUP($A70,'EA-Fortescue_SDExport'!$A:$A,'EA-Fortescue_SDExport'!K:K)</f>
        <v>Admin</v>
      </c>
      <c r="L70" t="str">
        <f>_xlfn.XLOOKUP($A70,'EA-Fortescue_SDExport'!$A:$A,'EA-Fortescue_SDExport'!L:L)</f>
        <v>Public</v>
      </c>
      <c r="M70">
        <f>_xlfn.XLOOKUP($A70,'EA-Fortescue_SDExport'!$A:$A,'EA-Fortescue_SDExport'!M:M)</f>
        <v>0</v>
      </c>
      <c r="N70" t="str">
        <f>_xlfn.XLOOKUP($A70,InterfaceRegister!$A:$A,InterfaceRegister!K:K)</f>
        <v>Proposed</v>
      </c>
      <c r="O70">
        <f>_xlfn.XLOOKUP($A70,'EA-Fortescue_SDExport'!$A:$A,'EA-Fortescue_SDExport'!O:O)</f>
        <v>1</v>
      </c>
      <c r="P70">
        <f>_xlfn.XLOOKUP($A70,'EA-Fortescue_SDExport'!$A:$A,'EA-Fortescue_SDExport'!P:P)</f>
        <v>0</v>
      </c>
      <c r="Q70">
        <f>_xlfn.XLOOKUP($A70,'EA-Fortescue_SDExport'!$A:$A,'EA-Fortescue_SDExport'!Q:Q)</f>
        <v>0</v>
      </c>
      <c r="R70">
        <f>_xlfn.XLOOKUP($A70,'EA-Fortescue_SDExport'!$A:$A,'EA-Fortescue_SDExport'!R:R)</f>
        <v>0</v>
      </c>
      <c r="S70">
        <f>_xlfn.XLOOKUP($A70,'EA-Fortescue_SDExport'!$A:$A,'EA-Fortescue_SDExport'!S:S)</f>
        <v>0</v>
      </c>
      <c r="T70">
        <f>_xlfn.XLOOKUP($A70,'EA-Fortescue_SDExport'!$A:$A,'EA-Fortescue_SDExport'!T:T)</f>
        <v>0</v>
      </c>
      <c r="U70">
        <f>_xlfn.XLOOKUP($A70,'EA-Fortescue_SDExport'!$A:$A,'EA-Fortescue_SDExport'!U:U)</f>
        <v>45946.577881944446</v>
      </c>
      <c r="V70">
        <f>_xlfn.XLOOKUP($A70,'EA-Fortescue_SDExport'!$A:$A,'EA-Fortescue_SDExport'!V:V)</f>
        <v>46071.945567129631</v>
      </c>
      <c r="W70">
        <f>_xlfn.XLOOKUP($A70,'EA-Fortescue_SDExport'!$A:$A,'EA-Fortescue_SDExport'!W:W)</f>
        <v>0</v>
      </c>
      <c r="X70">
        <f>_xlfn.XLOOKUP($A70,'EA-Fortescue_SDExport'!$A:$A,'EA-Fortescue_SDExport'!X:X)</f>
        <v>0</v>
      </c>
      <c r="Y70">
        <f>_xlfn.XLOOKUP($A70,'EA-Fortescue_SDExport'!$A:$A,'EA-Fortescue_SDExport'!Y:Y)</f>
        <v>0</v>
      </c>
      <c r="Z70" t="str">
        <f>_xlfn.XLOOKUP($A70,'EA-Fortescue_SDExport'!$A:$A,'EA-Fortescue_SDExport'!Z:Z)</f>
        <v>SysML1.4::InterfaceBlock</v>
      </c>
      <c r="AA70" t="str">
        <f>_xlfn.XLOOKUP($A70,InterfaceRegister!$A:$A,InterfaceRegister!B:B)</f>
        <v>850DC-1522 Field Switches|855DC-1543-PPC Pit Power Capacity Planning Tool - Capacity Check</v>
      </c>
      <c r="AB70" t="str">
        <f>_xlfn.XLOOKUP($A70,InterfaceRegister!$A:$A,InterfaceRegister!C:C)</f>
        <v/>
      </c>
      <c r="AC70" t="str">
        <f>_xlfn.XLOOKUP($A70,InterfaceRegister!$A:$A,InterfaceRegister!D:D)</f>
        <v/>
      </c>
      <c r="AD70" t="str">
        <f>_xlfn.XLOOKUP($A70,InterfaceRegister!$A:$A,InterfaceRegister!E:E)</f>
        <v>System - Project Interface</v>
      </c>
      <c r="AE70" t="str">
        <f>_xlfn.XLOOKUP($A70,InterfaceRegister!$A:$A,InterfaceRegister!F:F)</f>
        <v>Technical - Data/Software</v>
      </c>
      <c r="AF70" t="str">
        <f>_xlfn.XLOOKUP($A70,InterfaceRegister!$A:$A,InterfaceRegister!L:L)</f>
        <v>This interface provides the Pit Power Capacity Planning Tool - Capacity Check with electrical status and operational data from the Field Switches, including switch positions, load state, and fault indications. The tool uses this information to assess pit network capacity and support safe, reliable power allocation. This interface is read-only and does not control the Field Switches.</v>
      </c>
      <c r="AG70" t="str">
        <f>_xlfn.XLOOKUP($A70,InterfaceRegister!$A:$A,InterfaceRegister!M:M)</f>
        <v>MEDIUM</v>
      </c>
      <c r="AH70" t="str">
        <f>_xlfn.XLOOKUP($A70,InterfaceRegister!$A:$A,InterfaceRegister!O:O)</f>
        <v>Field Switches -&gt; Pit Power Capacity Planning Tool - Capacity Check</v>
      </c>
      <c r="AI70" t="str">
        <f>_xlfn.XLOOKUP($A70,InterfaceRegister!$A:$A,InterfaceRegister!N:N)</f>
        <v>The criticality is MEDIUM because the Field Switches provide essential visibility into the distribution network state. Accurate data is important to detect potential overloads and ensure safe power allocation, though transient errors have lower immediate operational impact compared to major load sources.</v>
      </c>
      <c r="AJ70" t="str">
        <f>_xlfn.XLOOKUP($A70,'EA-Fortescue_SDExport'!$A:$A,'EA-Fortescue_SDExport'!AX:AX)</f>
        <v>CSV74D20587</v>
      </c>
      <c r="AK70">
        <f>_xlfn.XLOOKUP($A70,'EA-Fortescue_SDExport'!$A:$A,'EA-Fortescue_SDExport'!AY:AY)</f>
        <v>0</v>
      </c>
    </row>
    <row r="71" spans="1:37" x14ac:dyDescent="0.25">
      <c r="A71" t="str">
        <v>DGS-I_0070</v>
      </c>
      <c r="B71" t="str">
        <f>_xlfn.XLOOKUP($A71,'EA-Fortescue_SDExport'!$A:$A,'EA-Fortescue_SDExport'!B:B)</f>
        <v>Class</v>
      </c>
      <c r="C71" t="str">
        <f>_xlfn.XLOOKUP($A71,'EA-Fortescue_SDExport'!$A:$A,'EA-Fortescue_SDExport'!C:C)</f>
        <v>{E5099F97-C7B7-4a4c-AC11-683CBA656E6F}</v>
      </c>
      <c r="D71" t="str">
        <f>_xlfn.LET(_xlpm.result, _xlfn.XLOOKUP($A71,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71">
        <f>_xlfn.XLOOKUP($A71,'EA-Fortescue_SDExport'!$A:$A,'EA-Fortescue_SDExport'!E:E)</f>
        <v>1</v>
      </c>
      <c r="F71">
        <f>_xlfn.XLOOKUP($A71,'EA-Fortescue_SDExport'!$A:$A,'EA-Fortescue_SDExport'!F:F)</f>
        <v>1</v>
      </c>
      <c r="G71">
        <f>_xlfn.XLOOKUP($A71,'EA-Fortescue_SDExport'!$A:$A,'EA-Fortescue_SDExport'!G:G)</f>
        <v>0</v>
      </c>
      <c r="H71" t="str">
        <f>_xlfn.XLOOKUP($A71,'EA-Fortescue_SDExport'!$A:$A,'EA-Fortescue_SDExport'!H:H)</f>
        <v>InterfaceBlock</v>
      </c>
      <c r="I71" t="str">
        <f>_xlfn.XLOOKUP($A71,'EA-Fortescue_SDExport'!$A:$A,'EA-Fortescue_SDExport'!I:I)</f>
        <v>SysML1.4::InterfaceBlock</v>
      </c>
      <c r="J71" t="str">
        <f>_xlfn.XLOOKUP($A71,'EA-Fortescue_SDExport'!$A:$A,'EA-Fortescue_SDExport'!J:J)</f>
        <v>Java</v>
      </c>
      <c r="K71" t="str">
        <f>_xlfn.XLOOKUP($A71,'EA-Fortescue_SDExport'!$A:$A,'EA-Fortescue_SDExport'!K:K)</f>
        <v>Admin</v>
      </c>
      <c r="L71" t="str">
        <f>_xlfn.XLOOKUP($A71,'EA-Fortescue_SDExport'!$A:$A,'EA-Fortescue_SDExport'!L:L)</f>
        <v>Public</v>
      </c>
      <c r="M71">
        <f>_xlfn.XLOOKUP($A71,'EA-Fortescue_SDExport'!$A:$A,'EA-Fortescue_SDExport'!M:M)</f>
        <v>0</v>
      </c>
      <c r="N71" t="str">
        <f>_xlfn.XLOOKUP($A71,InterfaceRegister!$A:$A,InterfaceRegister!K:K)</f>
        <v>Proposed</v>
      </c>
      <c r="O71">
        <f>_xlfn.XLOOKUP($A71,'EA-Fortescue_SDExport'!$A:$A,'EA-Fortescue_SDExport'!O:O)</f>
        <v>1</v>
      </c>
      <c r="P71">
        <f>_xlfn.XLOOKUP($A71,'EA-Fortescue_SDExport'!$A:$A,'EA-Fortescue_SDExport'!P:P)</f>
        <v>0</v>
      </c>
      <c r="Q71">
        <f>_xlfn.XLOOKUP($A71,'EA-Fortescue_SDExport'!$A:$A,'EA-Fortescue_SDExport'!Q:Q)</f>
        <v>0</v>
      </c>
      <c r="R71">
        <f>_xlfn.XLOOKUP($A71,'EA-Fortescue_SDExport'!$A:$A,'EA-Fortescue_SDExport'!R:R)</f>
        <v>0</v>
      </c>
      <c r="S71">
        <f>_xlfn.XLOOKUP($A71,'EA-Fortescue_SDExport'!$A:$A,'EA-Fortescue_SDExport'!S:S)</f>
        <v>0</v>
      </c>
      <c r="T71">
        <f>_xlfn.XLOOKUP($A71,'EA-Fortescue_SDExport'!$A:$A,'EA-Fortescue_SDExport'!T:T)</f>
        <v>0</v>
      </c>
      <c r="U71">
        <f>_xlfn.XLOOKUP($A71,'EA-Fortescue_SDExport'!$A:$A,'EA-Fortescue_SDExport'!U:U)</f>
        <v>45946.577893518515</v>
      </c>
      <c r="V71">
        <f>_xlfn.XLOOKUP($A71,'EA-Fortescue_SDExport'!$A:$A,'EA-Fortescue_SDExport'!V:V)</f>
        <v>46071.946168981478</v>
      </c>
      <c r="W71">
        <f>_xlfn.XLOOKUP($A71,'EA-Fortescue_SDExport'!$A:$A,'EA-Fortescue_SDExport'!W:W)</f>
        <v>0</v>
      </c>
      <c r="X71">
        <f>_xlfn.XLOOKUP($A71,'EA-Fortescue_SDExport'!$A:$A,'EA-Fortescue_SDExport'!X:X)</f>
        <v>0</v>
      </c>
      <c r="Y71">
        <f>_xlfn.XLOOKUP($A71,'EA-Fortescue_SDExport'!$A:$A,'EA-Fortescue_SDExport'!Y:Y)</f>
        <v>0</v>
      </c>
      <c r="Z71" t="str">
        <f>_xlfn.XLOOKUP($A71,'EA-Fortescue_SDExport'!$A:$A,'EA-Fortescue_SDExport'!Z:Z)</f>
        <v>SysML1.4::InterfaceBlock</v>
      </c>
      <c r="AA71" t="str">
        <f>_xlfn.XLOOKUP($A71,InterfaceRegister!$A:$A,InterfaceRegister!B:B)</f>
        <v>850DC-1523 Sub Kiosks|855DC-1543-PPC Pit Power Capacity Planning Tool - Capacity Check</v>
      </c>
      <c r="AB71" t="str">
        <f>_xlfn.XLOOKUP($A71,InterfaceRegister!$A:$A,InterfaceRegister!C:C)</f>
        <v/>
      </c>
      <c r="AC71" t="str">
        <f>_xlfn.XLOOKUP($A71,InterfaceRegister!$A:$A,InterfaceRegister!D:D)</f>
        <v/>
      </c>
      <c r="AD71" t="str">
        <f>_xlfn.XLOOKUP($A71,InterfaceRegister!$A:$A,InterfaceRegister!E:E)</f>
        <v>System - Project Interface</v>
      </c>
      <c r="AE71" t="str">
        <f>_xlfn.XLOOKUP($A71,InterfaceRegister!$A:$A,InterfaceRegister!F:F)</f>
        <v>Technical - Data/Software</v>
      </c>
      <c r="AF71" t="str">
        <f>_xlfn.XLOOKUP($A71,InterfaceRegister!$A:$A,InterfaceRegister!L:L)</f>
        <v>This interface provides the Pit Power Capacity Planning Tool - Capacity Check with electrical status and operational data from the Sub Kiosks, including load readings, switch positions, and fault indicators. The tool uses this information to assess pit network capacity and support safe, reliable power allocation. This interface is read-only and does not control the Sub Kiosks.</v>
      </c>
      <c r="AG71" t="str">
        <f>_xlfn.XLOOKUP($A71,InterfaceRegister!$A:$A,InterfaceRegister!M:M)</f>
        <v>MEDIUM</v>
      </c>
      <c r="AH71" t="str">
        <f>_xlfn.XLOOKUP($A71,InterfaceRegister!$A:$A,InterfaceRegister!O:O)</f>
        <v>Sub Kiosks -&gt; Pit Power Capacity Planning Tool - Capacity Check</v>
      </c>
      <c r="AI71" t="str">
        <f>_xlfn.XLOOKUP($A71,InterfaceRegister!$A:$A,InterfaceRegister!N:N)</f>
        <v>The criticality is MEDIUM because Sub Kiosks offer visibility into local distribution points. Accurate data supports network capacity assessments and reliable power allocation, though errors have lower immediate operational impact compared to primary loads.</v>
      </c>
      <c r="AJ71" t="str">
        <f>_xlfn.XLOOKUP($A71,'EA-Fortescue_SDExport'!$A:$A,'EA-Fortescue_SDExport'!AX:AX)</f>
        <v>CSVFCFF93CE</v>
      </c>
      <c r="AK71">
        <f>_xlfn.XLOOKUP($A71,'EA-Fortescue_SDExport'!$A:$A,'EA-Fortescue_SDExport'!AY:AY)</f>
        <v>0</v>
      </c>
    </row>
    <row r="72" spans="1:37" x14ac:dyDescent="0.25">
      <c r="A72" t="str">
        <v>DGS-I_0071</v>
      </c>
      <c r="B72" t="str">
        <f>_xlfn.XLOOKUP($A72,'EA-Fortescue_SDExport'!$A:$A,'EA-Fortescue_SDExport'!B:B)</f>
        <v>Class</v>
      </c>
      <c r="C72" t="str">
        <f>_xlfn.XLOOKUP($A72,'EA-Fortescue_SDExport'!$A:$A,'EA-Fortescue_SDExport'!C:C)</f>
        <v>{7C014479-C6C2-4f5b-A099-6C896A5C8128}</v>
      </c>
      <c r="D72" t="str">
        <f>_xlfn.LET(_xlpm.result, _xlfn.XLOOKUP($A72,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72">
        <f>_xlfn.XLOOKUP($A72,'EA-Fortescue_SDExport'!$A:$A,'EA-Fortescue_SDExport'!E:E)</f>
        <v>1</v>
      </c>
      <c r="F72">
        <f>_xlfn.XLOOKUP($A72,'EA-Fortescue_SDExport'!$A:$A,'EA-Fortescue_SDExport'!F:F)</f>
        <v>1</v>
      </c>
      <c r="G72">
        <f>_xlfn.XLOOKUP($A72,'EA-Fortescue_SDExport'!$A:$A,'EA-Fortescue_SDExport'!G:G)</f>
        <v>0</v>
      </c>
      <c r="H72" t="str">
        <f>_xlfn.XLOOKUP($A72,'EA-Fortescue_SDExport'!$A:$A,'EA-Fortescue_SDExport'!H:H)</f>
        <v>InterfaceBlock</v>
      </c>
      <c r="I72" t="str">
        <f>_xlfn.XLOOKUP($A72,'EA-Fortescue_SDExport'!$A:$A,'EA-Fortescue_SDExport'!I:I)</f>
        <v>SysML1.4::InterfaceBlock</v>
      </c>
      <c r="J72" t="str">
        <f>_xlfn.XLOOKUP($A72,'EA-Fortescue_SDExport'!$A:$A,'EA-Fortescue_SDExport'!J:J)</f>
        <v>Java</v>
      </c>
      <c r="K72" t="str">
        <f>_xlfn.XLOOKUP($A72,'EA-Fortescue_SDExport'!$A:$A,'EA-Fortescue_SDExport'!K:K)</f>
        <v>Admin</v>
      </c>
      <c r="L72" t="str">
        <f>_xlfn.XLOOKUP($A72,'EA-Fortescue_SDExport'!$A:$A,'EA-Fortescue_SDExport'!L:L)</f>
        <v>Public</v>
      </c>
      <c r="M72">
        <f>_xlfn.XLOOKUP($A72,'EA-Fortescue_SDExport'!$A:$A,'EA-Fortescue_SDExport'!M:M)</f>
        <v>0</v>
      </c>
      <c r="N72" t="str">
        <f>_xlfn.XLOOKUP($A72,InterfaceRegister!$A:$A,InterfaceRegister!K:K)</f>
        <v>Proposed</v>
      </c>
      <c r="O72">
        <f>_xlfn.XLOOKUP($A72,'EA-Fortescue_SDExport'!$A:$A,'EA-Fortescue_SDExport'!O:O)</f>
        <v>1</v>
      </c>
      <c r="P72">
        <f>_xlfn.XLOOKUP($A72,'EA-Fortescue_SDExport'!$A:$A,'EA-Fortescue_SDExport'!P:P)</f>
        <v>0</v>
      </c>
      <c r="Q72">
        <f>_xlfn.XLOOKUP($A72,'EA-Fortescue_SDExport'!$A:$A,'EA-Fortescue_SDExport'!Q:Q)</f>
        <v>0</v>
      </c>
      <c r="R72">
        <f>_xlfn.XLOOKUP($A72,'EA-Fortescue_SDExport'!$A:$A,'EA-Fortescue_SDExport'!R:R)</f>
        <v>0</v>
      </c>
      <c r="S72">
        <f>_xlfn.XLOOKUP($A72,'EA-Fortescue_SDExport'!$A:$A,'EA-Fortescue_SDExport'!S:S)</f>
        <v>0</v>
      </c>
      <c r="T72">
        <f>_xlfn.XLOOKUP($A72,'EA-Fortescue_SDExport'!$A:$A,'EA-Fortescue_SDExport'!T:T)</f>
        <v>0</v>
      </c>
      <c r="U72">
        <f>_xlfn.XLOOKUP($A72,'EA-Fortescue_SDExport'!$A:$A,'EA-Fortescue_SDExport'!U:U)</f>
        <v>45946.577916666669</v>
      </c>
      <c r="V72">
        <f>_xlfn.XLOOKUP($A72,'EA-Fortescue_SDExport'!$A:$A,'EA-Fortescue_SDExport'!V:V)</f>
        <v>46071.945983796293</v>
      </c>
      <c r="W72">
        <f>_xlfn.XLOOKUP($A72,'EA-Fortescue_SDExport'!$A:$A,'EA-Fortescue_SDExport'!W:W)</f>
        <v>0</v>
      </c>
      <c r="X72">
        <f>_xlfn.XLOOKUP($A72,'EA-Fortescue_SDExport'!$A:$A,'EA-Fortescue_SDExport'!X:X)</f>
        <v>0</v>
      </c>
      <c r="Y72">
        <f>_xlfn.XLOOKUP($A72,'EA-Fortescue_SDExport'!$A:$A,'EA-Fortescue_SDExport'!Y:Y)</f>
        <v>0</v>
      </c>
      <c r="Z72" t="str">
        <f>_xlfn.XLOOKUP($A72,'EA-Fortescue_SDExport'!$A:$A,'EA-Fortescue_SDExport'!Z:Z)</f>
        <v>SysML1.4::InterfaceBlock</v>
      </c>
      <c r="AA72" t="str">
        <f>_xlfn.XLOOKUP($A72,InterfaceRegister!$A:$A,InterfaceRegister!B:B)</f>
        <v>851DC Heavy Mobile Equipment (HME)|855DC-1543-PPC Pit Power Capacity Planning Tool - Capacity Check</v>
      </c>
      <c r="AB72" t="str">
        <f>_xlfn.XLOOKUP($A72,InterfaceRegister!$A:$A,InterfaceRegister!C:C)</f>
        <v/>
      </c>
      <c r="AC72" t="str">
        <f>_xlfn.XLOOKUP($A72,InterfaceRegister!$A:$A,InterfaceRegister!D:D)</f>
        <v/>
      </c>
      <c r="AD72" t="str">
        <f>_xlfn.XLOOKUP($A72,InterfaceRegister!$A:$A,InterfaceRegister!E:E)</f>
        <v>Program - Project Interface</v>
      </c>
      <c r="AE72" t="str">
        <f>_xlfn.XLOOKUP($A72,InterfaceRegister!$A:$A,InterfaceRegister!F:F)</f>
        <v>Technical - Data/Software</v>
      </c>
      <c r="AF72" t="str">
        <f>_xlfn.XLOOKUP($A72,InterfaceRegister!$A:$A,InterfaceRegister!L:L)</f>
        <v>This interface provides the Pit Power Capacity Planning Tool - Capacity Check with electrical load and operational data from the Heavy Mobile Equipment (HME), including traction power demands, operational schedules, and peak load events. The tool uses this information to assess pit network capacity and support safe, reliable power allocation. This interface is read-only and does not control the HME.</v>
      </c>
      <c r="AG72" t="str">
        <f>_xlfn.XLOOKUP($A72,InterfaceRegister!$A:$A,InterfaceRegister!M:M)</f>
        <v>HIGH</v>
      </c>
      <c r="AH72" t="str">
        <f>_xlfn.XLOOKUP($A72,InterfaceRegister!$A:$A,InterfaceRegister!O:O)</f>
        <v>Heavy Mobile Equipment -&gt; Pit Power Capacity Planning Tool - Capacity Check</v>
      </c>
      <c r="AI72" t="str">
        <f>_xlfn.XLOOKUP($A72,InterfaceRegister!$A:$A,InterfaceRegister!N:N)</f>
        <v>The criticality is HIGH because Heavy Mobile Equipment constitutes a significant and variable electrical load. Accurate data is essential for the tool to prevent network overloads and ensure reliable operation of pit power systems.</v>
      </c>
      <c r="AJ72" t="str">
        <f>_xlfn.XLOOKUP($A72,'EA-Fortescue_SDExport'!$A:$A,'EA-Fortescue_SDExport'!AX:AX)</f>
        <v>CSVDA5202D4</v>
      </c>
      <c r="AK72">
        <f>_xlfn.XLOOKUP($A72,'EA-Fortescue_SDExport'!$A:$A,'EA-Fortescue_SDExport'!AY:AY)</f>
        <v>0</v>
      </c>
    </row>
    <row r="73" spans="1:37" x14ac:dyDescent="0.25">
      <c r="A73" t="str">
        <v>DGS-I_0072</v>
      </c>
      <c r="B73" t="str">
        <f>_xlfn.XLOOKUP($A73,'EA-Fortescue_SDExport'!$A:$A,'EA-Fortescue_SDExport'!B:B)</f>
        <v>Class</v>
      </c>
      <c r="C73" t="str">
        <f>_xlfn.XLOOKUP($A73,'EA-Fortescue_SDExport'!$A:$A,'EA-Fortescue_SDExport'!C:C)</f>
        <v>{E61D4DAB-B645-4bcd-A091-A29D6B1632E4}</v>
      </c>
      <c r="D73" t="str">
        <f>_xlfn.LET(_xlpm.result, _xlfn.XLOOKUP($A73,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73">
        <f>_xlfn.XLOOKUP($A73,'EA-Fortescue_SDExport'!$A:$A,'EA-Fortescue_SDExport'!E:E)</f>
        <v>1</v>
      </c>
      <c r="F73">
        <f>_xlfn.XLOOKUP($A73,'EA-Fortescue_SDExport'!$A:$A,'EA-Fortescue_SDExport'!F:F)</f>
        <v>1</v>
      </c>
      <c r="G73">
        <f>_xlfn.XLOOKUP($A73,'EA-Fortescue_SDExport'!$A:$A,'EA-Fortescue_SDExport'!G:G)</f>
        <v>0</v>
      </c>
      <c r="H73" t="str">
        <f>_xlfn.XLOOKUP($A73,'EA-Fortescue_SDExport'!$A:$A,'EA-Fortescue_SDExport'!H:H)</f>
        <v>InterfaceBlock</v>
      </c>
      <c r="I73" t="str">
        <f>_xlfn.XLOOKUP($A73,'EA-Fortescue_SDExport'!$A:$A,'EA-Fortescue_SDExport'!I:I)</f>
        <v>SysML1.4::InterfaceBlock</v>
      </c>
      <c r="J73" t="str">
        <f>_xlfn.XLOOKUP($A73,'EA-Fortescue_SDExport'!$A:$A,'EA-Fortescue_SDExport'!J:J)</f>
        <v>Java</v>
      </c>
      <c r="K73" t="str">
        <f>_xlfn.XLOOKUP($A73,'EA-Fortescue_SDExport'!$A:$A,'EA-Fortescue_SDExport'!K:K)</f>
        <v>Admin</v>
      </c>
      <c r="L73" t="str">
        <f>_xlfn.XLOOKUP($A73,'EA-Fortescue_SDExport'!$A:$A,'EA-Fortescue_SDExport'!L:L)</f>
        <v>Public</v>
      </c>
      <c r="M73">
        <f>_xlfn.XLOOKUP($A73,'EA-Fortescue_SDExport'!$A:$A,'EA-Fortescue_SDExport'!M:M)</f>
        <v>0</v>
      </c>
      <c r="N73" t="str">
        <f>_xlfn.XLOOKUP($A73,InterfaceRegister!$A:$A,InterfaceRegister!K:K)</f>
        <v>Proposed</v>
      </c>
      <c r="O73">
        <f>_xlfn.XLOOKUP($A73,'EA-Fortescue_SDExport'!$A:$A,'EA-Fortescue_SDExport'!O:O)</f>
        <v>1</v>
      </c>
      <c r="P73">
        <f>_xlfn.XLOOKUP($A73,'EA-Fortescue_SDExport'!$A:$A,'EA-Fortescue_SDExport'!P:P)</f>
        <v>0</v>
      </c>
      <c r="Q73">
        <f>_xlfn.XLOOKUP($A73,'EA-Fortescue_SDExport'!$A:$A,'EA-Fortescue_SDExport'!Q:Q)</f>
        <v>0</v>
      </c>
      <c r="R73">
        <f>_xlfn.XLOOKUP($A73,'EA-Fortescue_SDExport'!$A:$A,'EA-Fortescue_SDExport'!R:R)</f>
        <v>0</v>
      </c>
      <c r="S73">
        <f>_xlfn.XLOOKUP($A73,'EA-Fortescue_SDExport'!$A:$A,'EA-Fortescue_SDExport'!S:S)</f>
        <v>0</v>
      </c>
      <c r="T73">
        <f>_xlfn.XLOOKUP($A73,'EA-Fortescue_SDExport'!$A:$A,'EA-Fortescue_SDExport'!T:T)</f>
        <v>0</v>
      </c>
      <c r="U73">
        <f>_xlfn.XLOOKUP($A73,'EA-Fortescue_SDExport'!$A:$A,'EA-Fortescue_SDExport'!U:U)</f>
        <v>45946.577928240738</v>
      </c>
      <c r="V73">
        <f>_xlfn.XLOOKUP($A73,'EA-Fortescue_SDExport'!$A:$A,'EA-Fortescue_SDExport'!V:V)</f>
        <v>46071.945983796293</v>
      </c>
      <c r="W73">
        <f>_xlfn.XLOOKUP($A73,'EA-Fortescue_SDExport'!$A:$A,'EA-Fortescue_SDExport'!W:W)</f>
        <v>0</v>
      </c>
      <c r="X73">
        <f>_xlfn.XLOOKUP($A73,'EA-Fortescue_SDExport'!$A:$A,'EA-Fortescue_SDExport'!X:X)</f>
        <v>0</v>
      </c>
      <c r="Y73">
        <f>_xlfn.XLOOKUP($A73,'EA-Fortescue_SDExport'!$A:$A,'EA-Fortescue_SDExport'!Y:Y)</f>
        <v>0</v>
      </c>
      <c r="Z73" t="str">
        <f>_xlfn.XLOOKUP($A73,'EA-Fortescue_SDExport'!$A:$A,'EA-Fortescue_SDExport'!Z:Z)</f>
        <v>SysML1.4::InterfaceBlock</v>
      </c>
      <c r="AA73" t="str">
        <f>_xlfn.XLOOKUP($A73,InterfaceRegister!$A:$A,InterfaceRegister!B:B)</f>
        <v>852DC Light Mobile Equipment (LME) &amp; Support Mobile Equipment (SME)|855DC-1543-PPC Pit Power Capacity Planning Tool - Capacity Check</v>
      </c>
      <c r="AB73" t="str">
        <f>_xlfn.XLOOKUP($A73,InterfaceRegister!$A:$A,InterfaceRegister!C:C)</f>
        <v/>
      </c>
      <c r="AC73" t="str">
        <f>_xlfn.XLOOKUP($A73,InterfaceRegister!$A:$A,InterfaceRegister!D:D)</f>
        <v/>
      </c>
      <c r="AD73" t="str">
        <f>_xlfn.XLOOKUP($A73,InterfaceRegister!$A:$A,InterfaceRegister!E:E)</f>
        <v>Program - Project Interface</v>
      </c>
      <c r="AE73" t="str">
        <f>_xlfn.XLOOKUP($A73,InterfaceRegister!$A:$A,InterfaceRegister!F:F)</f>
        <v>Technical - Data/Software</v>
      </c>
      <c r="AF73" t="str">
        <f>_xlfn.XLOOKUP($A73,InterfaceRegister!$A:$A,InterfaceRegister!L:L)</f>
        <v>This interface provides the Pit Power Capacity Planning Tool - Capacity Check with electrical load and operational data from the Light Mobile Equipment (LME) and Support Mobile Equipment (SME), including traction and auxiliary power demands, operational schedules, and peak load events. The tool uses this information to assess pit network capacity and support safe, reliable power allocation. This interface is read-only and does not control the LME or SME.</v>
      </c>
      <c r="AG73" t="str">
        <f>_xlfn.XLOOKUP($A73,InterfaceRegister!$A:$A,InterfaceRegister!M:M)</f>
        <v>HIGH</v>
      </c>
      <c r="AH73" t="str">
        <f>_xlfn.XLOOKUP($A73,InterfaceRegister!$A:$A,InterfaceRegister!O:O)</f>
        <v>LME &amp; SME -&gt; Pit Power Capacity Planning Tool - Capacity Check</v>
      </c>
      <c r="AI73" t="str">
        <f>_xlfn.XLOOKUP($A73,InterfaceRegister!$A:$A,InterfaceRegister!N:N)</f>
        <v>The criticality is HIGH because LME and SME constitute a variable and dispersed electrical load. Accurate data is essential for the tool to prevent network overloads and ensure reliable operation of pit power systems.</v>
      </c>
      <c r="AJ73" t="str">
        <f>_xlfn.XLOOKUP($A73,'EA-Fortescue_SDExport'!$A:$A,'EA-Fortescue_SDExport'!AX:AX)</f>
        <v>CSV567281CF</v>
      </c>
      <c r="AK73">
        <f>_xlfn.XLOOKUP($A73,'EA-Fortescue_SDExport'!$A:$A,'EA-Fortescue_SDExport'!AY:AY)</f>
        <v>0</v>
      </c>
    </row>
    <row r="74" spans="1:37" x14ac:dyDescent="0.25">
      <c r="A74" t="str">
        <v>DGS-I_0073</v>
      </c>
      <c r="B74" t="str">
        <f>_xlfn.XLOOKUP($A74,'EA-Fortescue_SDExport'!$A:$A,'EA-Fortescue_SDExport'!B:B)</f>
        <v>Class</v>
      </c>
      <c r="C74" t="str">
        <f>_xlfn.XLOOKUP($A74,'EA-Fortescue_SDExport'!$A:$A,'EA-Fortescue_SDExport'!C:C)</f>
        <v>{DD4AFCA8-1621-42bf-9C04-56EB9595D555}</v>
      </c>
      <c r="D74" t="str">
        <f>_xlfn.LET(_xlpm.result, _xlfn.XLOOKUP($A74, InterfaceRegister!$A:$A, InterfaceRegister!P:P), IF(_xlpm.result=0, "", _xlpm.result))</f>
        <v>SCADA Review 30/10/2025: Green substation (in pit sub). 33/6.6kv. Delete, part of substations. To be confirmed._x000D_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E74">
        <f>_xlfn.XLOOKUP($A74,'EA-Fortescue_SDExport'!$A:$A,'EA-Fortescue_SDExport'!E:E)</f>
        <v>1</v>
      </c>
      <c r="F74">
        <f>_xlfn.XLOOKUP($A74,'EA-Fortescue_SDExport'!$A:$A,'EA-Fortescue_SDExport'!F:F)</f>
        <v>1</v>
      </c>
      <c r="G74">
        <f>_xlfn.XLOOKUP($A74,'EA-Fortescue_SDExport'!$A:$A,'EA-Fortescue_SDExport'!G:G)</f>
        <v>0</v>
      </c>
      <c r="H74" t="str">
        <f>_xlfn.XLOOKUP($A74,'EA-Fortescue_SDExport'!$A:$A,'EA-Fortescue_SDExport'!H:H)</f>
        <v>InterfaceBlock</v>
      </c>
      <c r="I74" t="str">
        <f>_xlfn.XLOOKUP($A74,'EA-Fortescue_SDExport'!$A:$A,'EA-Fortescue_SDExport'!I:I)</f>
        <v>SysML1.4::InterfaceBlock</v>
      </c>
      <c r="J74" t="str">
        <f>_xlfn.XLOOKUP($A74,'EA-Fortescue_SDExport'!$A:$A,'EA-Fortescue_SDExport'!J:J)</f>
        <v>Java</v>
      </c>
      <c r="K74" t="str">
        <f>_xlfn.XLOOKUP($A74,'EA-Fortescue_SDExport'!$A:$A,'EA-Fortescue_SDExport'!K:K)</f>
        <v>Admin</v>
      </c>
      <c r="L74" t="str">
        <f>_xlfn.XLOOKUP($A74,'EA-Fortescue_SDExport'!$A:$A,'EA-Fortescue_SDExport'!L:L)</f>
        <v>Public</v>
      </c>
      <c r="M74">
        <f>_xlfn.XLOOKUP($A74,'EA-Fortescue_SDExport'!$A:$A,'EA-Fortescue_SDExport'!M:M)</f>
        <v>0</v>
      </c>
      <c r="N74" t="str">
        <f>_xlfn.XLOOKUP($A74,InterfaceRegister!$A:$A,InterfaceRegister!K:K)</f>
        <v>Proposed</v>
      </c>
      <c r="O74">
        <f>_xlfn.XLOOKUP($A74,'EA-Fortescue_SDExport'!$A:$A,'EA-Fortescue_SDExport'!O:O)</f>
        <v>1</v>
      </c>
      <c r="P74">
        <f>_xlfn.XLOOKUP($A74,'EA-Fortescue_SDExport'!$A:$A,'EA-Fortescue_SDExport'!P:P)</f>
        <v>0</v>
      </c>
      <c r="Q74">
        <f>_xlfn.XLOOKUP($A74,'EA-Fortescue_SDExport'!$A:$A,'EA-Fortescue_SDExport'!Q:Q)</f>
        <v>0</v>
      </c>
      <c r="R74">
        <f>_xlfn.XLOOKUP($A74,'EA-Fortescue_SDExport'!$A:$A,'EA-Fortescue_SDExport'!R:R)</f>
        <v>0</v>
      </c>
      <c r="S74">
        <f>_xlfn.XLOOKUP($A74,'EA-Fortescue_SDExport'!$A:$A,'EA-Fortescue_SDExport'!S:S)</f>
        <v>0</v>
      </c>
      <c r="T74">
        <f>_xlfn.XLOOKUP($A74,'EA-Fortescue_SDExport'!$A:$A,'EA-Fortescue_SDExport'!T:T)</f>
        <v>0</v>
      </c>
      <c r="U74">
        <f>_xlfn.XLOOKUP($A74,'EA-Fortescue_SDExport'!$A:$A,'EA-Fortescue_SDExport'!U:U)</f>
        <v>45946.577986111108</v>
      </c>
      <c r="V74">
        <f>_xlfn.XLOOKUP($A74,'EA-Fortescue_SDExport'!$A:$A,'EA-Fortescue_SDExport'!V:V)</f>
        <v>46077.99322916667</v>
      </c>
      <c r="W74">
        <f>_xlfn.XLOOKUP($A74,'EA-Fortescue_SDExport'!$A:$A,'EA-Fortescue_SDExport'!W:W)</f>
        <v>0</v>
      </c>
      <c r="X74">
        <f>_xlfn.XLOOKUP($A74,'EA-Fortescue_SDExport'!$A:$A,'EA-Fortescue_SDExport'!X:X)</f>
        <v>0</v>
      </c>
      <c r="Y74">
        <f>_xlfn.XLOOKUP($A74,'EA-Fortescue_SDExport'!$A:$A,'EA-Fortescue_SDExport'!Y:Y)</f>
        <v>0</v>
      </c>
      <c r="Z74" t="str">
        <f>_xlfn.XLOOKUP($A74,'EA-Fortescue_SDExport'!$A:$A,'EA-Fortescue_SDExport'!Z:Z)</f>
        <v>SysML1.4::InterfaceBlock</v>
      </c>
      <c r="AA74" t="str">
        <f>_xlfn.XLOOKUP($A74,InterfaceRegister!$A:$A,InterfaceRegister!B:B)</f>
        <v>850DC-1523 Sub Kiosks|855DC-1542-008 Mine Electrification SCADA</v>
      </c>
      <c r="AB74" t="str">
        <f>_xlfn.XLOOKUP($A74,InterfaceRegister!$A:$A,InterfaceRegister!C:C)</f>
        <v/>
      </c>
      <c r="AC74" t="str">
        <f>_xlfn.XLOOKUP($A74,InterfaceRegister!$A:$A,InterfaceRegister!D:D)</f>
        <v/>
      </c>
      <c r="AD74" t="str">
        <f>_xlfn.XLOOKUP($A74,InterfaceRegister!$A:$A,InterfaceRegister!E:E)</f>
        <v>System - Project Interface</v>
      </c>
      <c r="AE74" t="str">
        <f>_xlfn.XLOOKUP($A74,InterfaceRegister!$A:$A,InterfaceRegister!F:F)</f>
        <v>Technical-Electrical</v>
      </c>
      <c r="AF74" t="str">
        <f>_xlfn.XLOOKUP($A74,InterfaceRegister!$A:$A,InterfaceRegister!L:L)</f>
        <v>This interface allows Sub Kiosks to provide switching status, electrical measurements, alarms, and breaker positions into Mine Electrification SCADA for real-time monitoring and control.</v>
      </c>
      <c r="AG74" t="str">
        <f>_xlfn.XLOOKUP($A74,InterfaceRegister!$A:$A,InterfaceRegister!M:M)</f>
        <v>HIGH</v>
      </c>
      <c r="AH74" t="str">
        <f>_xlfn.XLOOKUP($A74,InterfaceRegister!$A:$A,InterfaceRegister!O:O)</f>
        <v>Data Flow: Sub Kiosks -&gt; Mine Electrification SCADA (switching status, breaker positions, voltage/current measurements, feeder status, protection relay indications, alarms, fault events) for real-time monitoring and fault management._x000D_
Control Flow: Mine Electrification SCADA -&gt; Sub Kiosks (remote switching commands, open/close breaker commands, reset instructions, operational constraints) to support safe isolation and network control.</v>
      </c>
      <c r="AI74" t="str">
        <f>_xlfn.XLOOKUP($A74,InterfaceRegister!$A:$A,InterfaceRegister!N:N)</f>
        <v>The criticality level is HIGH because losing visibility or control of sub-kiosk equipment can delay fault isolation, hinder switching operations, and increase the likelihood of electrical outages affecting production. The sub-kiosks are an essential part of the site's electrical distribution network, and SCADA must maintain uninterrupted communication to ensure safe and stable power operations.</v>
      </c>
      <c r="AJ74" t="str">
        <f>_xlfn.XLOOKUP($A74,'EA-Fortescue_SDExport'!$A:$A,'EA-Fortescue_SDExport'!AX:AX)</f>
        <v>CSV8C94A818</v>
      </c>
      <c r="AK74">
        <f>_xlfn.XLOOKUP($A74,'EA-Fortescue_SDExport'!$A:$A,'EA-Fortescue_SDExport'!AY:AY)</f>
        <v>0</v>
      </c>
    </row>
    <row r="75" spans="1:37" x14ac:dyDescent="0.25">
      <c r="A75" t="str">
        <v>DGS-I_0074</v>
      </c>
      <c r="B75" t="str">
        <f>_xlfn.XLOOKUP($A75,'EA-Fortescue_SDExport'!$A:$A,'EA-Fortescue_SDExport'!B:B)</f>
        <v>Class</v>
      </c>
      <c r="C75" t="str">
        <f>_xlfn.XLOOKUP($A75,'EA-Fortescue_SDExport'!$A:$A,'EA-Fortescue_SDExport'!C:C)</f>
        <v>{4007C7CA-FF0A-46b8-810D-9D0BF7A91845}</v>
      </c>
      <c r="D75" t="str">
        <f>_xlfn.LET(_xlpm.result, _xlfn.XLOOKUP($A75, InterfaceRegister!$A:$A, InterfaceRegister!P:P), IF(_xlpm.result=0, "", _xlpm.result))</f>
        <v>CSMS Review 30/10/2025: Potential measuring from 132kv. Dynamic load management function._x000D_
NH 25/02/2026: Fields updated:Interface Type, Interface Flow</v>
      </c>
      <c r="E75">
        <f>_xlfn.XLOOKUP($A75,'EA-Fortescue_SDExport'!$A:$A,'EA-Fortescue_SDExport'!E:E)</f>
        <v>1</v>
      </c>
      <c r="F75">
        <f>_xlfn.XLOOKUP($A75,'EA-Fortescue_SDExport'!$A:$A,'EA-Fortescue_SDExport'!F:F)</f>
        <v>1</v>
      </c>
      <c r="G75">
        <f>_xlfn.XLOOKUP($A75,'EA-Fortescue_SDExport'!$A:$A,'EA-Fortescue_SDExport'!G:G)</f>
        <v>0</v>
      </c>
      <c r="H75" t="str">
        <f>_xlfn.XLOOKUP($A75,'EA-Fortescue_SDExport'!$A:$A,'EA-Fortescue_SDExport'!H:H)</f>
        <v>InterfaceBlock</v>
      </c>
      <c r="I75" t="str">
        <f>_xlfn.XLOOKUP($A75,'EA-Fortescue_SDExport'!$A:$A,'EA-Fortescue_SDExport'!I:I)</f>
        <v>SysML1.4::InterfaceBlock</v>
      </c>
      <c r="J75" t="str">
        <f>_xlfn.XLOOKUP($A75,'EA-Fortescue_SDExport'!$A:$A,'EA-Fortescue_SDExport'!J:J)</f>
        <v>Java</v>
      </c>
      <c r="K75" t="str">
        <f>_xlfn.XLOOKUP($A75,'EA-Fortescue_SDExport'!$A:$A,'EA-Fortescue_SDExport'!K:K)</f>
        <v>Admin</v>
      </c>
      <c r="L75" t="str">
        <f>_xlfn.XLOOKUP($A75,'EA-Fortescue_SDExport'!$A:$A,'EA-Fortescue_SDExport'!L:L)</f>
        <v>Public</v>
      </c>
      <c r="M75">
        <f>_xlfn.XLOOKUP($A75,'EA-Fortescue_SDExport'!$A:$A,'EA-Fortescue_SDExport'!M:M)</f>
        <v>0</v>
      </c>
      <c r="N75" t="str">
        <f>_xlfn.XLOOKUP($A75,InterfaceRegister!$A:$A,InterfaceRegister!K:K)</f>
        <v>Simplified Interface</v>
      </c>
      <c r="O75">
        <f>_xlfn.XLOOKUP($A75,'EA-Fortescue_SDExport'!$A:$A,'EA-Fortescue_SDExport'!O:O)</f>
        <v>1</v>
      </c>
      <c r="P75">
        <f>_xlfn.XLOOKUP($A75,'EA-Fortescue_SDExport'!$A:$A,'EA-Fortescue_SDExport'!P:P)</f>
        <v>0</v>
      </c>
      <c r="Q75">
        <f>_xlfn.XLOOKUP($A75,'EA-Fortescue_SDExport'!$A:$A,'EA-Fortescue_SDExport'!Q:Q)</f>
        <v>0</v>
      </c>
      <c r="R75">
        <f>_xlfn.XLOOKUP($A75,'EA-Fortescue_SDExport'!$A:$A,'EA-Fortescue_SDExport'!R:R)</f>
        <v>0</v>
      </c>
      <c r="S75">
        <f>_xlfn.XLOOKUP($A75,'EA-Fortescue_SDExport'!$A:$A,'EA-Fortescue_SDExport'!S:S)</f>
        <v>0</v>
      </c>
      <c r="T75">
        <f>_xlfn.XLOOKUP($A75,'EA-Fortescue_SDExport'!$A:$A,'EA-Fortescue_SDExport'!T:T)</f>
        <v>0</v>
      </c>
      <c r="U75">
        <f>_xlfn.XLOOKUP($A75,'EA-Fortescue_SDExport'!$A:$A,'EA-Fortescue_SDExport'!U:U)</f>
        <v>45946.578009259261</v>
      </c>
      <c r="V75">
        <f>_xlfn.XLOOKUP($A75,'EA-Fortescue_SDExport'!$A:$A,'EA-Fortescue_SDExport'!V:V)</f>
        <v>46077.99322916667</v>
      </c>
      <c r="W75">
        <f>_xlfn.XLOOKUP($A75,'EA-Fortescue_SDExport'!$A:$A,'EA-Fortescue_SDExport'!W:W)</f>
        <v>0</v>
      </c>
      <c r="X75">
        <f>_xlfn.XLOOKUP($A75,'EA-Fortescue_SDExport'!$A:$A,'EA-Fortescue_SDExport'!X:X)</f>
        <v>0</v>
      </c>
      <c r="Y75">
        <f>_xlfn.XLOOKUP($A75,'EA-Fortescue_SDExport'!$A:$A,'EA-Fortescue_SDExport'!Y:Y)</f>
        <v>0</v>
      </c>
      <c r="Z75" t="str">
        <f>_xlfn.XLOOKUP($A75,'EA-Fortescue_SDExport'!$A:$A,'EA-Fortescue_SDExport'!Z:Z)</f>
        <v>SysML1.4::InterfaceBlock</v>
      </c>
      <c r="AA75" t="str">
        <f>_xlfn.XLOOKUP($A75,InterfaceRegister!$A:$A,InterfaceRegister!B:B)</f>
        <v>854DC-1521 HV Substations|855DC-1542-CSM Charge Station Management System (CSMS)</v>
      </c>
      <c r="AB75" t="str">
        <f>_xlfn.XLOOKUP($A75,InterfaceRegister!$A:$A,InterfaceRegister!C:C)</f>
        <v>Sam Hedgcock</v>
      </c>
      <c r="AC75" t="str">
        <f>_xlfn.XLOOKUP($A75,InterfaceRegister!$A:$A,InterfaceRegister!D:D)</f>
        <v>Rhys Jasper</v>
      </c>
      <c r="AD75" t="str">
        <f>_xlfn.XLOOKUP($A75,InterfaceRegister!$A:$A,InterfaceRegister!E:E)</f>
        <v>System - Project Interface</v>
      </c>
      <c r="AE75" t="str">
        <f>_xlfn.XLOOKUP($A75,InterfaceRegister!$A:$A,InterfaceRegister!F:F)</f>
        <v>Technical-Electrical</v>
      </c>
      <c r="AF75" t="str">
        <f>_xlfn.XLOOKUP($A75,InterfaceRegister!$A:$A,InterfaceRegister!L:L)</f>
        <v>This interface connects the site's substations with the Charge Station Management System (CSMS), so CSMS has accurate information about power availability, energisation status, and electrical conditions supplying the charger network.</v>
      </c>
      <c r="AG75" t="str">
        <f>_xlfn.XLOOKUP($A75,InterfaceRegister!$A:$A,InterfaceRegister!M:M)</f>
        <v>HIGH</v>
      </c>
      <c r="AH75" t="str">
        <f>_xlfn.XLOOKUP($A75,InterfaceRegister!$A:$A,InterfaceRegister!O:O)</f>
        <v>HV Substations-&gt; CSMS</v>
      </c>
      <c r="AI75" t="str">
        <f>_xlfn.XLOOKUP($A75,InterfaceRegister!$A:$A,InterfaceRegister!N:N)</f>
        <v>The criticality level is HIGH because charger systems rely on accurate substation data to operate safely. Losing this interface can lead to charging disruptions, incorrect electrical behaviour, or delayed fault responses. The reason for the criticality is that substations are essential electrical assets, and if CSMS cannot monitor their status, safe coordination of high-power charging cannot be guaranteed.</v>
      </c>
      <c r="AJ75" t="str">
        <f>_xlfn.XLOOKUP($A75,'EA-Fortescue_SDExport'!$A:$A,'EA-Fortescue_SDExport'!AX:AX)</f>
        <v>CSV27BC7718</v>
      </c>
      <c r="AK75">
        <f>_xlfn.XLOOKUP($A75,'EA-Fortescue_SDExport'!$A:$A,'EA-Fortescue_SDExport'!AY:AY)</f>
        <v>0</v>
      </c>
    </row>
    <row r="76" spans="1:37" x14ac:dyDescent="0.25">
      <c r="A76" t="str">
        <v>DGS-I_0075</v>
      </c>
      <c r="B76" t="str">
        <f>_xlfn.XLOOKUP($A76,'EA-Fortescue_SDExport'!$A:$A,'EA-Fortescue_SDExport'!B:B)</f>
        <v>Class</v>
      </c>
      <c r="C76" t="str">
        <f>_xlfn.XLOOKUP($A76,'EA-Fortescue_SDExport'!$A:$A,'EA-Fortescue_SDExport'!C:C)</f>
        <v>{7CDA2052-3678-45ba-A469-45F7600E44A1}</v>
      </c>
      <c r="D76" t="str">
        <f>_xlfn.LET(_xlpm.result, _xlfn.XLOOKUP($A76, InterfaceRegister!$A:$A, InterfaceRegister!P:P), IF(_xlpm.result=0, "", _xlpm.result))</f>
        <v>LMS Review 30/10/2025: Circuit breaker statuses, remote switching controls. Temperature censors._x000D_
OPC/UA._x000D_
In reference to Sub kiosks, not so much 220/33KV subs. That is with Energy Ops._x000D_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E76">
        <f>_xlfn.XLOOKUP($A76,'EA-Fortescue_SDExport'!$A:$A,'EA-Fortescue_SDExport'!E:E)</f>
        <v>1</v>
      </c>
      <c r="F76">
        <f>_xlfn.XLOOKUP($A76,'EA-Fortescue_SDExport'!$A:$A,'EA-Fortescue_SDExport'!F:F)</f>
        <v>1</v>
      </c>
      <c r="G76">
        <f>_xlfn.XLOOKUP($A76,'EA-Fortescue_SDExport'!$A:$A,'EA-Fortescue_SDExport'!G:G)</f>
        <v>0</v>
      </c>
      <c r="H76" t="str">
        <f>_xlfn.XLOOKUP($A76,'EA-Fortescue_SDExport'!$A:$A,'EA-Fortescue_SDExport'!H:H)</f>
        <v>InterfaceBlock</v>
      </c>
      <c r="I76" t="str">
        <f>_xlfn.XLOOKUP($A76,'EA-Fortescue_SDExport'!$A:$A,'EA-Fortescue_SDExport'!I:I)</f>
        <v>SysML1.4::InterfaceBlock</v>
      </c>
      <c r="J76" t="str">
        <f>_xlfn.XLOOKUP($A76,'EA-Fortescue_SDExport'!$A:$A,'EA-Fortescue_SDExport'!J:J)</f>
        <v>Java</v>
      </c>
      <c r="K76" t="str">
        <f>_xlfn.XLOOKUP($A76,'EA-Fortescue_SDExport'!$A:$A,'EA-Fortescue_SDExport'!K:K)</f>
        <v>Admin</v>
      </c>
      <c r="L76" t="str">
        <f>_xlfn.XLOOKUP($A76,'EA-Fortescue_SDExport'!$A:$A,'EA-Fortescue_SDExport'!L:L)</f>
        <v>Public</v>
      </c>
      <c r="M76">
        <f>_xlfn.XLOOKUP($A76,'EA-Fortescue_SDExport'!$A:$A,'EA-Fortescue_SDExport'!M:M)</f>
        <v>0</v>
      </c>
      <c r="N76" t="str">
        <f>_xlfn.XLOOKUP($A76,InterfaceRegister!$A:$A,InterfaceRegister!K:K)</f>
        <v>Proposed</v>
      </c>
      <c r="O76">
        <f>_xlfn.XLOOKUP($A76,'EA-Fortescue_SDExport'!$A:$A,'EA-Fortescue_SDExport'!O:O)</f>
        <v>1</v>
      </c>
      <c r="P76">
        <f>_xlfn.XLOOKUP($A76,'EA-Fortescue_SDExport'!$A:$A,'EA-Fortescue_SDExport'!P:P)</f>
        <v>0</v>
      </c>
      <c r="Q76">
        <f>_xlfn.XLOOKUP($A76,'EA-Fortescue_SDExport'!$A:$A,'EA-Fortescue_SDExport'!Q:Q)</f>
        <v>0</v>
      </c>
      <c r="R76">
        <f>_xlfn.XLOOKUP($A76,'EA-Fortescue_SDExport'!$A:$A,'EA-Fortescue_SDExport'!R:R)</f>
        <v>0</v>
      </c>
      <c r="S76">
        <f>_xlfn.XLOOKUP($A76,'EA-Fortescue_SDExport'!$A:$A,'EA-Fortescue_SDExport'!S:S)</f>
        <v>0</v>
      </c>
      <c r="T76">
        <f>_xlfn.XLOOKUP($A76,'EA-Fortescue_SDExport'!$A:$A,'EA-Fortescue_SDExport'!T:T)</f>
        <v>0</v>
      </c>
      <c r="U76">
        <f>_xlfn.XLOOKUP($A76,'EA-Fortescue_SDExport'!$A:$A,'EA-Fortescue_SDExport'!U:U)</f>
        <v>45946.578020833331</v>
      </c>
      <c r="V76">
        <f>_xlfn.XLOOKUP($A76,'EA-Fortescue_SDExport'!$A:$A,'EA-Fortescue_SDExport'!V:V)</f>
        <v>46077.993206018517</v>
      </c>
      <c r="W76">
        <f>_xlfn.XLOOKUP($A76,'EA-Fortescue_SDExport'!$A:$A,'EA-Fortescue_SDExport'!W:W)</f>
        <v>0</v>
      </c>
      <c r="X76">
        <f>_xlfn.XLOOKUP($A76,'EA-Fortescue_SDExport'!$A:$A,'EA-Fortescue_SDExport'!X:X)</f>
        <v>0</v>
      </c>
      <c r="Y76">
        <f>_xlfn.XLOOKUP($A76,'EA-Fortescue_SDExport'!$A:$A,'EA-Fortescue_SDExport'!Y:Y)</f>
        <v>0</v>
      </c>
      <c r="Z76" t="str">
        <f>_xlfn.XLOOKUP($A76,'EA-Fortescue_SDExport'!$A:$A,'EA-Fortescue_SDExport'!Z:Z)</f>
        <v>SysML1.4::InterfaceBlock</v>
      </c>
      <c r="AA76" t="str">
        <f>_xlfn.XLOOKUP($A76,InterfaceRegister!$A:$A,InterfaceRegister!B:B)</f>
        <v>854DC-1521 HV Substations|855DC-1542-008 Mine Electrification SCADA</v>
      </c>
      <c r="AB76" t="str">
        <f>_xlfn.XLOOKUP($A76,InterfaceRegister!$A:$A,InterfaceRegister!C:C)</f>
        <v/>
      </c>
      <c r="AC76" t="str">
        <f>_xlfn.XLOOKUP($A76,InterfaceRegister!$A:$A,InterfaceRegister!D:D)</f>
        <v/>
      </c>
      <c r="AD76" t="str">
        <f>_xlfn.XLOOKUP($A76,InterfaceRegister!$A:$A,InterfaceRegister!E:E)</f>
        <v>System - Project Interface</v>
      </c>
      <c r="AE76" t="str">
        <f>_xlfn.XLOOKUP($A76,InterfaceRegister!$A:$A,InterfaceRegister!F:F)</f>
        <v>Technical-Electrical</v>
      </c>
      <c r="AF76" t="str">
        <f>_xlfn.XLOOKUP($A76,InterfaceRegister!$A:$A,InterfaceRegister!L:L)</f>
        <v>This interface links substations to Mine Electrification SCADA so operators can monitor high-voltage equipment, respond to alarms, and perform remote switching.</v>
      </c>
      <c r="AG76" t="str">
        <f>_xlfn.XLOOKUP($A76,InterfaceRegister!$A:$A,InterfaceRegister!M:M)</f>
        <v>HIGH</v>
      </c>
      <c r="AH76" t="str">
        <f>_xlfn.XLOOKUP($A76,InterfaceRegister!$A:$A,InterfaceRegister!O:O)</f>
        <v>Data Flow: HV Substations -&gt; Mine Electrification SCADA (breaker status, transformer status, voltage/current measurements, power flows, protection relay status, alarms, fault events) for real-time monitoring and alarm management._x000D_
Control Flow: Mine Electrification SCADA -&gt; HV Substations (remote switching commands, open/close breaker commands, load transfer instructions, reset commands) to enable safe operation and fault isolation.</v>
      </c>
      <c r="AI76" t="str">
        <f>_xlfn.XLOOKUP($A76,InterfaceRegister!$A:$A,InterfaceRegister!N:N)</f>
        <v>The criticality level is HIGH because substations are essential to site power delivery, and a loss of SCADA connectivity reduces situational awareness, slows fault response, and increases the risk of widespread outages. Safe, reliable operation of the HV network depends on real-time SCADA visibility, increasing the importance of this interface.</v>
      </c>
      <c r="AJ76" t="str">
        <f>_xlfn.XLOOKUP($A76,'EA-Fortescue_SDExport'!$A:$A,'EA-Fortescue_SDExport'!AX:AX)</f>
        <v>CSV3A220BD5</v>
      </c>
      <c r="AK76">
        <f>_xlfn.XLOOKUP($A76,'EA-Fortescue_SDExport'!$A:$A,'EA-Fortescue_SDExport'!AY:AY)</f>
        <v>0</v>
      </c>
    </row>
    <row r="77" spans="1:37" x14ac:dyDescent="0.25">
      <c r="A77" t="str">
        <v>DGS-I_0076</v>
      </c>
      <c r="B77" t="str">
        <f>_xlfn.XLOOKUP($A77,'EA-Fortescue_SDExport'!$A:$A,'EA-Fortescue_SDExport'!B:B)</f>
        <v>Class</v>
      </c>
      <c r="C77" t="str">
        <f>_xlfn.XLOOKUP($A77,'EA-Fortescue_SDExport'!$A:$A,'EA-Fortescue_SDExport'!C:C)</f>
        <v>{5C847DDB-8286-4baf-8F4C-C7C39970201B}</v>
      </c>
      <c r="D77" t="str">
        <f>_xlfn.LET(_xlpm.result, _xlfn.XLOOKUP($A77, InterfaceRegister!$A:$A, InterfaceRegister!P:P), IF(_xlpm.result=0, "", 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Fields updated:Interface Type, Interface Flow</v>
      </c>
      <c r="E77">
        <f>_xlfn.XLOOKUP($A77,'EA-Fortescue_SDExport'!$A:$A,'EA-Fortescue_SDExport'!E:E)</f>
        <v>1</v>
      </c>
      <c r="F77">
        <f>_xlfn.XLOOKUP($A77,'EA-Fortescue_SDExport'!$A:$A,'EA-Fortescue_SDExport'!F:F)</f>
        <v>1</v>
      </c>
      <c r="G77">
        <f>_xlfn.XLOOKUP($A77,'EA-Fortescue_SDExport'!$A:$A,'EA-Fortescue_SDExport'!G:G)</f>
        <v>0</v>
      </c>
      <c r="H77" t="str">
        <f>_xlfn.XLOOKUP($A77,'EA-Fortescue_SDExport'!$A:$A,'EA-Fortescue_SDExport'!H:H)</f>
        <v>InterfaceBlock</v>
      </c>
      <c r="I77" t="str">
        <f>_xlfn.XLOOKUP($A77,'EA-Fortescue_SDExport'!$A:$A,'EA-Fortescue_SDExport'!I:I)</f>
        <v>SysML1.4::InterfaceBlock</v>
      </c>
      <c r="J77" t="str">
        <f>_xlfn.XLOOKUP($A77,'EA-Fortescue_SDExport'!$A:$A,'EA-Fortescue_SDExport'!J:J)</f>
        <v>Java</v>
      </c>
      <c r="K77" t="str">
        <f>_xlfn.XLOOKUP($A77,'EA-Fortescue_SDExport'!$A:$A,'EA-Fortescue_SDExport'!K:K)</f>
        <v>Admin</v>
      </c>
      <c r="L77" t="str">
        <f>_xlfn.XLOOKUP($A77,'EA-Fortescue_SDExport'!$A:$A,'EA-Fortescue_SDExport'!L:L)</f>
        <v>Public</v>
      </c>
      <c r="M77">
        <f>_xlfn.XLOOKUP($A77,'EA-Fortescue_SDExport'!$A:$A,'EA-Fortescue_SDExport'!M:M)</f>
        <v>0</v>
      </c>
      <c r="N77" t="str">
        <f>_xlfn.XLOOKUP($A77,InterfaceRegister!$A:$A,InterfaceRegister!K:K)</f>
        <v>Simplified Interface</v>
      </c>
      <c r="O77">
        <f>_xlfn.XLOOKUP($A77,'EA-Fortescue_SDExport'!$A:$A,'EA-Fortescue_SDExport'!O:O)</f>
        <v>1</v>
      </c>
      <c r="P77">
        <f>_xlfn.XLOOKUP($A77,'EA-Fortescue_SDExport'!$A:$A,'EA-Fortescue_SDExport'!P:P)</f>
        <v>0</v>
      </c>
      <c r="Q77">
        <f>_xlfn.XLOOKUP($A77,'EA-Fortescue_SDExport'!$A:$A,'EA-Fortescue_SDExport'!Q:Q)</f>
        <v>0</v>
      </c>
      <c r="R77">
        <f>_xlfn.XLOOKUP($A77,'EA-Fortescue_SDExport'!$A:$A,'EA-Fortescue_SDExport'!R:R)</f>
        <v>0</v>
      </c>
      <c r="S77">
        <f>_xlfn.XLOOKUP($A77,'EA-Fortescue_SDExport'!$A:$A,'EA-Fortescue_SDExport'!S:S)</f>
        <v>0</v>
      </c>
      <c r="T77">
        <f>_xlfn.XLOOKUP($A77,'EA-Fortescue_SDExport'!$A:$A,'EA-Fortescue_SDExport'!T:T)</f>
        <v>0</v>
      </c>
      <c r="U77">
        <f>_xlfn.XLOOKUP($A77,'EA-Fortescue_SDExport'!$A:$A,'EA-Fortescue_SDExport'!U:U)</f>
        <v>45946.578043981484</v>
      </c>
      <c r="V77">
        <f>_xlfn.XLOOKUP($A77,'EA-Fortescue_SDExport'!$A:$A,'EA-Fortescue_SDExport'!V:V)</f>
        <v>46077.993217592593</v>
      </c>
      <c r="W77">
        <f>_xlfn.XLOOKUP($A77,'EA-Fortescue_SDExport'!$A:$A,'EA-Fortescue_SDExport'!W:W)</f>
        <v>0</v>
      </c>
      <c r="X77">
        <f>_xlfn.XLOOKUP($A77,'EA-Fortescue_SDExport'!$A:$A,'EA-Fortescue_SDExport'!X:X)</f>
        <v>0</v>
      </c>
      <c r="Y77">
        <f>_xlfn.XLOOKUP($A77,'EA-Fortescue_SDExport'!$A:$A,'EA-Fortescue_SDExport'!Y:Y)</f>
        <v>0</v>
      </c>
      <c r="Z77" t="str">
        <f>_xlfn.XLOOKUP($A77,'EA-Fortescue_SDExport'!$A:$A,'EA-Fortescue_SDExport'!Z:Z)</f>
        <v>SysML1.4::InterfaceBlock</v>
      </c>
      <c r="AA77" t="str">
        <f>_xlfn.XLOOKUP($A77,InterfaceRegister!$A:$A,InterfaceRegister!B:B)</f>
        <v>850DC-1512-0001 HME Chargers - Gen1|855DC-1542-008 Mine Electrification SCADA</v>
      </c>
      <c r="AB77" t="str">
        <f>_xlfn.XLOOKUP($A77,InterfaceRegister!$A:$A,InterfaceRegister!C:C)</f>
        <v/>
      </c>
      <c r="AC77" t="str">
        <f>_xlfn.XLOOKUP($A77,InterfaceRegister!$A:$A,InterfaceRegister!D:D)</f>
        <v/>
      </c>
      <c r="AD77" t="str">
        <f>_xlfn.XLOOKUP($A77,InterfaceRegister!$A:$A,InterfaceRegister!E:E)</f>
        <v>Project - Project Interface</v>
      </c>
      <c r="AE77" t="str">
        <f>_xlfn.XLOOKUP($A77,InterfaceRegister!$A:$A,InterfaceRegister!F:F)</f>
        <v>Technical-Electrical</v>
      </c>
      <c r="AF77" t="str">
        <f>_xlfn.XLOOKUP($A77,InterfaceRegister!$A:$A,InterfaceRegister!L:L)</f>
        <v>This interface provides SCADA with electrical status and operational information from Heavy Mobile Equipment (HME) Chargers, including load conditions, protection states, and alarms.</v>
      </c>
      <c r="AG77" t="str">
        <f>_xlfn.XLOOKUP($A77,InterfaceRegister!$A:$A,InterfaceRegister!M:M)</f>
        <v>HIGH</v>
      </c>
      <c r="AH77" t="str">
        <f>_xlfn.XLOOKUP($A77,InterfaceRegister!$A:$A,InterfaceRegister!O:O)</f>
        <v>HME Chargers - Gen1 -&gt; Mine Electrification SCADA</v>
      </c>
      <c r="AI77" t="str">
        <f>_xlfn.XLOOKUP($A77,InterfaceRegister!$A:$A,InterfaceRegister!N:N)</f>
        <v>The criticality level is HIGH because charger infrastructure draws a significant electrical load, and SCADA oversight is required to prevent overloads, manage faults, and maintain power system safety. Loss of this interface can lead to unsafe conditions or prolonged charger outages, directly affecting haulage productivity.</v>
      </c>
      <c r="AJ77" t="str">
        <f>_xlfn.XLOOKUP($A77,'EA-Fortescue_SDExport'!$A:$A,'EA-Fortescue_SDExport'!AX:AX)</f>
        <v>CSV14FFD1AC</v>
      </c>
      <c r="AK77">
        <f>_xlfn.XLOOKUP($A77,'EA-Fortescue_SDExport'!$A:$A,'EA-Fortescue_SDExport'!AY:AY)</f>
        <v>0</v>
      </c>
    </row>
    <row r="78" spans="1:37" x14ac:dyDescent="0.25">
      <c r="A78" t="str">
        <v>DGS-I_0077</v>
      </c>
      <c r="B78" t="str">
        <f>_xlfn.XLOOKUP($A78,'EA-Fortescue_SDExport'!$A:$A,'EA-Fortescue_SDExport'!B:B)</f>
        <v>Class</v>
      </c>
      <c r="C78" t="str">
        <f>_xlfn.XLOOKUP($A78,'EA-Fortescue_SDExport'!$A:$A,'EA-Fortescue_SDExport'!C:C)</f>
        <v>{CD69AA90-0CD3-44e0-A368-EEC621D1383F}</v>
      </c>
      <c r="D78" t="str">
        <f>_xlfn.LET(_xlpm.result, _xlfn.XLOOKUP($A78, InterfaceRegister!$A:$A, InterfaceRegister!P:P), IF(_xlpm.result=0, "", _xlpm.result))</f>
        <v>LMS Review 30/10/2025: PLC in a field switch OPC/UA._x000D_
Status for SCADA tags, circuit breaker statuses, temp data. _x000D_
_x000D_
Two way (control as well for HV Switching)._x000D_
_x000D_
SCADA Review 30/10/2025: Similar interface and functionality to GSS._x000D_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E78">
        <f>_xlfn.XLOOKUP($A78,'EA-Fortescue_SDExport'!$A:$A,'EA-Fortescue_SDExport'!E:E)</f>
        <v>1</v>
      </c>
      <c r="F78">
        <f>_xlfn.XLOOKUP($A78,'EA-Fortescue_SDExport'!$A:$A,'EA-Fortescue_SDExport'!F:F)</f>
        <v>1</v>
      </c>
      <c r="G78">
        <f>_xlfn.XLOOKUP($A78,'EA-Fortescue_SDExport'!$A:$A,'EA-Fortescue_SDExport'!G:G)</f>
        <v>0</v>
      </c>
      <c r="H78" t="str">
        <f>_xlfn.XLOOKUP($A78,'EA-Fortescue_SDExport'!$A:$A,'EA-Fortescue_SDExport'!H:H)</f>
        <v>InterfaceBlock</v>
      </c>
      <c r="I78" t="str">
        <f>_xlfn.XLOOKUP($A78,'EA-Fortescue_SDExport'!$A:$A,'EA-Fortescue_SDExport'!I:I)</f>
        <v>SysML1.4::InterfaceBlock</v>
      </c>
      <c r="J78" t="str">
        <f>_xlfn.XLOOKUP($A78,'EA-Fortescue_SDExport'!$A:$A,'EA-Fortescue_SDExport'!J:J)</f>
        <v>Java</v>
      </c>
      <c r="K78" t="str">
        <f>_xlfn.XLOOKUP($A78,'EA-Fortescue_SDExport'!$A:$A,'EA-Fortescue_SDExport'!K:K)</f>
        <v>Admin</v>
      </c>
      <c r="L78" t="str">
        <f>_xlfn.XLOOKUP($A78,'EA-Fortescue_SDExport'!$A:$A,'EA-Fortescue_SDExport'!L:L)</f>
        <v>Public</v>
      </c>
      <c r="M78">
        <f>_xlfn.XLOOKUP($A78,'EA-Fortescue_SDExport'!$A:$A,'EA-Fortescue_SDExport'!M:M)</f>
        <v>0</v>
      </c>
      <c r="N78" t="str">
        <f>_xlfn.XLOOKUP($A78,InterfaceRegister!$A:$A,InterfaceRegister!K:K)</f>
        <v>Proposed</v>
      </c>
      <c r="O78">
        <f>_xlfn.XLOOKUP($A78,'EA-Fortescue_SDExport'!$A:$A,'EA-Fortescue_SDExport'!O:O)</f>
        <v>1</v>
      </c>
      <c r="P78">
        <f>_xlfn.XLOOKUP($A78,'EA-Fortescue_SDExport'!$A:$A,'EA-Fortescue_SDExport'!P:P)</f>
        <v>0</v>
      </c>
      <c r="Q78">
        <f>_xlfn.XLOOKUP($A78,'EA-Fortescue_SDExport'!$A:$A,'EA-Fortescue_SDExport'!Q:Q)</f>
        <v>0</v>
      </c>
      <c r="R78">
        <f>_xlfn.XLOOKUP($A78,'EA-Fortescue_SDExport'!$A:$A,'EA-Fortescue_SDExport'!R:R)</f>
        <v>0</v>
      </c>
      <c r="S78">
        <f>_xlfn.XLOOKUP($A78,'EA-Fortescue_SDExport'!$A:$A,'EA-Fortescue_SDExport'!S:S)</f>
        <v>0</v>
      </c>
      <c r="T78">
        <f>_xlfn.XLOOKUP($A78,'EA-Fortescue_SDExport'!$A:$A,'EA-Fortescue_SDExport'!T:T)</f>
        <v>0</v>
      </c>
      <c r="U78">
        <f>_xlfn.XLOOKUP($A78,'EA-Fortescue_SDExport'!$A:$A,'EA-Fortescue_SDExport'!U:U)</f>
        <v>45946.578055555554</v>
      </c>
      <c r="V78">
        <f>_xlfn.XLOOKUP($A78,'EA-Fortescue_SDExport'!$A:$A,'EA-Fortescue_SDExport'!V:V)</f>
        <v>46077.99322916667</v>
      </c>
      <c r="W78">
        <f>_xlfn.XLOOKUP($A78,'EA-Fortescue_SDExport'!$A:$A,'EA-Fortescue_SDExport'!W:W)</f>
        <v>0</v>
      </c>
      <c r="X78">
        <f>_xlfn.XLOOKUP($A78,'EA-Fortescue_SDExport'!$A:$A,'EA-Fortescue_SDExport'!X:X)</f>
        <v>0</v>
      </c>
      <c r="Y78">
        <f>_xlfn.XLOOKUP($A78,'EA-Fortescue_SDExport'!$A:$A,'EA-Fortescue_SDExport'!Y:Y)</f>
        <v>0</v>
      </c>
      <c r="Z78" t="str">
        <f>_xlfn.XLOOKUP($A78,'EA-Fortescue_SDExport'!$A:$A,'EA-Fortescue_SDExport'!Z:Z)</f>
        <v>SysML1.4::InterfaceBlock</v>
      </c>
      <c r="AA78" t="str">
        <f>_xlfn.XLOOKUP($A78,InterfaceRegister!$A:$A,InterfaceRegister!B:B)</f>
        <v>850DC-1522 Field Switches|855DC-1542-008 Mine Electrification SCADA</v>
      </c>
      <c r="AB78" t="str">
        <f>_xlfn.XLOOKUP($A78,InterfaceRegister!$A:$A,InterfaceRegister!C:C)</f>
        <v/>
      </c>
      <c r="AC78" t="str">
        <f>_xlfn.XLOOKUP($A78,InterfaceRegister!$A:$A,InterfaceRegister!D:D)</f>
        <v/>
      </c>
      <c r="AD78" t="str">
        <f>_xlfn.XLOOKUP($A78,InterfaceRegister!$A:$A,InterfaceRegister!E:E)</f>
        <v>System - Project Interface</v>
      </c>
      <c r="AE78" t="str">
        <f>_xlfn.XLOOKUP($A78,InterfaceRegister!$A:$A,InterfaceRegister!F:F)</f>
        <v>Technical-Electrical</v>
      </c>
      <c r="AF78" t="str">
        <f>_xlfn.XLOOKUP($A78,InterfaceRegister!$A:$A,InterfaceRegister!L:L)</f>
        <v>This interface allows Mine Electrification SCADA to monitor and operate field switches across the site, ensuring safe isolation, load transfer, and protection coordination.</v>
      </c>
      <c r="AG78" t="str">
        <f>_xlfn.XLOOKUP($A78,InterfaceRegister!$A:$A,InterfaceRegister!M:M)</f>
        <v>HIGH</v>
      </c>
      <c r="AH78" t="str">
        <f>_xlfn.XLOOKUP($A78,InterfaceRegister!$A:$A,InterfaceRegister!O:O)</f>
        <v>Data Flow: Field Switches -&gt; Mine Electrification SCADA (switch position, feeder status, voltage/current measurements where applicable, protection indications, alarms, fault events) for real-time monitoring and network status visibility._x000D_
Control Flow: Mine Electrification SCADA -&gt; Field Switches (remote open/close commands, isolation instructions, load transfer commands, reset signals) to enable safe switching and fault isolation.</v>
      </c>
      <c r="AI78" t="str">
        <f>_xlfn.XLOOKUP($A78,InterfaceRegister!$A:$A,InterfaceRegister!N:N)</f>
        <v>The criticality level is HIGH because field switching is essential for electrical safety, maintenance coordination, and fault response. Without SCADA visibility, operators cannot promptly detect faults or safely reconfigure the network, creating both operational and safety risks.</v>
      </c>
      <c r="AJ78" t="str">
        <f>_xlfn.XLOOKUP($A78,'EA-Fortescue_SDExport'!$A:$A,'EA-Fortescue_SDExport'!AX:AX)</f>
        <v>CSV4D9B102A</v>
      </c>
      <c r="AK78">
        <f>_xlfn.XLOOKUP($A78,'EA-Fortescue_SDExport'!$A:$A,'EA-Fortescue_SDExport'!AY:AY)</f>
        <v>0</v>
      </c>
    </row>
    <row r="79" spans="1:37" x14ac:dyDescent="0.25">
      <c r="A79" t="str">
        <v>DGS-I_0078</v>
      </c>
      <c r="B79" t="str">
        <f>_xlfn.XLOOKUP($A79,'EA-Fortescue_SDExport'!$A:$A,'EA-Fortescue_SDExport'!B:B)</f>
        <v>Class</v>
      </c>
      <c r="C79" t="str">
        <f>_xlfn.XLOOKUP($A79,'EA-Fortescue_SDExport'!$A:$A,'EA-Fortescue_SDExport'!C:C)</f>
        <v>{797178F6-6344-444a-98CC-2D991B04CE7E}</v>
      </c>
      <c r="D79" t="str">
        <f>_xlfn.LET(_xlpm.result, _xlfn.XLOOKUP($A79, InterfaceRegister!$A:$A, InterfaceRegister!P:P), IF(_xlpm.result=0, "", _xlpm.result))</f>
        <v>CSMS Review 30/10/2025: Speak OCPP to a vCharm Edge._x000D_
State, current voltage, car plugged in?_x000D_
Getting back charge auth, charge rate profiles. set charge rate._x000D_
Depending on the charger, potentially phoning home to the manufacturers' cloud._x000D_
NH 25/02/2026: Fields updated:Interface Type</v>
      </c>
      <c r="E79">
        <f>_xlfn.XLOOKUP($A79,'EA-Fortescue_SDExport'!$A:$A,'EA-Fortescue_SDExport'!E:E)</f>
        <v>1</v>
      </c>
      <c r="F79">
        <f>_xlfn.XLOOKUP($A79,'EA-Fortescue_SDExport'!$A:$A,'EA-Fortescue_SDExport'!F:F)</f>
        <v>1</v>
      </c>
      <c r="G79">
        <f>_xlfn.XLOOKUP($A79,'EA-Fortescue_SDExport'!$A:$A,'EA-Fortescue_SDExport'!G:G)</f>
        <v>0</v>
      </c>
      <c r="H79" t="str">
        <f>_xlfn.XLOOKUP($A79,'EA-Fortescue_SDExport'!$A:$A,'EA-Fortescue_SDExport'!H:H)</f>
        <v>InterfaceBlock</v>
      </c>
      <c r="I79" t="str">
        <f>_xlfn.XLOOKUP($A79,'EA-Fortescue_SDExport'!$A:$A,'EA-Fortescue_SDExport'!I:I)</f>
        <v>SysML1.4::InterfaceBlock</v>
      </c>
      <c r="J79" t="str">
        <f>_xlfn.XLOOKUP($A79,'EA-Fortescue_SDExport'!$A:$A,'EA-Fortescue_SDExport'!J:J)</f>
        <v>Java</v>
      </c>
      <c r="K79" t="str">
        <f>_xlfn.XLOOKUP($A79,'EA-Fortescue_SDExport'!$A:$A,'EA-Fortescue_SDExport'!K:K)</f>
        <v>Admin</v>
      </c>
      <c r="L79" t="str">
        <f>_xlfn.XLOOKUP($A79,'EA-Fortescue_SDExport'!$A:$A,'EA-Fortescue_SDExport'!L:L)</f>
        <v>Public</v>
      </c>
      <c r="M79">
        <f>_xlfn.XLOOKUP($A79,'EA-Fortescue_SDExport'!$A:$A,'EA-Fortescue_SDExport'!M:M)</f>
        <v>0</v>
      </c>
      <c r="N79" t="str">
        <f>_xlfn.XLOOKUP($A79,InterfaceRegister!$A:$A,InterfaceRegister!K:K)</f>
        <v>Simplified Interface</v>
      </c>
      <c r="O79">
        <f>_xlfn.XLOOKUP($A79,'EA-Fortescue_SDExport'!$A:$A,'EA-Fortescue_SDExport'!O:O)</f>
        <v>1</v>
      </c>
      <c r="P79">
        <f>_xlfn.XLOOKUP($A79,'EA-Fortescue_SDExport'!$A:$A,'EA-Fortescue_SDExport'!P:P)</f>
        <v>0</v>
      </c>
      <c r="Q79">
        <f>_xlfn.XLOOKUP($A79,'EA-Fortescue_SDExport'!$A:$A,'EA-Fortescue_SDExport'!Q:Q)</f>
        <v>0</v>
      </c>
      <c r="R79">
        <f>_xlfn.XLOOKUP($A79,'EA-Fortescue_SDExport'!$A:$A,'EA-Fortescue_SDExport'!R:R)</f>
        <v>0</v>
      </c>
      <c r="S79">
        <f>_xlfn.XLOOKUP($A79,'EA-Fortescue_SDExport'!$A:$A,'EA-Fortescue_SDExport'!S:S)</f>
        <v>0</v>
      </c>
      <c r="T79">
        <f>_xlfn.XLOOKUP($A79,'EA-Fortescue_SDExport'!$A:$A,'EA-Fortescue_SDExport'!T:T)</f>
        <v>0</v>
      </c>
      <c r="U79">
        <f>_xlfn.XLOOKUP($A79,'EA-Fortescue_SDExport'!$A:$A,'EA-Fortescue_SDExport'!U:U)</f>
        <v>45946.5780787037</v>
      </c>
      <c r="V79">
        <f>_xlfn.XLOOKUP($A79,'EA-Fortescue_SDExport'!$A:$A,'EA-Fortescue_SDExport'!V:V)</f>
        <v>46077.993217592593</v>
      </c>
      <c r="W79">
        <f>_xlfn.XLOOKUP($A79,'EA-Fortescue_SDExport'!$A:$A,'EA-Fortescue_SDExport'!W:W)</f>
        <v>0</v>
      </c>
      <c r="X79">
        <f>_xlfn.XLOOKUP($A79,'EA-Fortescue_SDExport'!$A:$A,'EA-Fortescue_SDExport'!X:X)</f>
        <v>0</v>
      </c>
      <c r="Y79">
        <f>_xlfn.XLOOKUP($A79,'EA-Fortescue_SDExport'!$A:$A,'EA-Fortescue_SDExport'!Y:Y)</f>
        <v>0</v>
      </c>
      <c r="Z79" t="str">
        <f>_xlfn.XLOOKUP($A79,'EA-Fortescue_SDExport'!$A:$A,'EA-Fortescue_SDExport'!Z:Z)</f>
        <v>SysML1.4::InterfaceBlock</v>
      </c>
      <c r="AA79" t="str">
        <f>_xlfn.XLOOKUP($A79,InterfaceRegister!$A:$A,InterfaceRegister!B:B)</f>
        <v>850DC-1510 Chargers|855DC-1542-CSM Charge Station Management System (CSMS)</v>
      </c>
      <c r="AB79" t="str">
        <f>_xlfn.XLOOKUP($A79,InterfaceRegister!$A:$A,InterfaceRegister!C:C)</f>
        <v>Sam Hedgcock</v>
      </c>
      <c r="AC79" t="str">
        <f>_xlfn.XLOOKUP($A79,InterfaceRegister!$A:$A,InterfaceRegister!D:D)</f>
        <v>Rhys Jasper</v>
      </c>
      <c r="AD79" t="str">
        <f>_xlfn.XLOOKUP($A79,InterfaceRegister!$A:$A,InterfaceRegister!E:E)</f>
        <v>System - Project Interface</v>
      </c>
      <c r="AE79" t="str">
        <f>_xlfn.XLOOKUP($A79,InterfaceRegister!$A:$A,InterfaceRegister!F:F)</f>
        <v>Technical-Data/Software</v>
      </c>
      <c r="AF79" t="str">
        <f>_xlfn.XLOOKUP($A79,InterfaceRegister!$A:$A,InterfaceRegister!L:L)</f>
        <v>vCharm Edge &lt;-&gt; EV Chargers - OCPP Integration for Charging Control &amp; Status_x000D_
The purpose of this interface is to allow vCharm Edge to communicate with EV chargers using OCPP to manage charging sessions and retrieve real-time charger information. This includes charger state, current and voltage levels, plug-in status, and vehicle connection details. The system also receives charge authorisation and rate profiles, and can send commands such as setting or adjusting the charge rate. Some charger models may additionally connect to the manufacturer's cloud.._x000D_
Intermediate Elements: vCharm Edge gateway, OCPP protocol, charger manufacturer cloud (where required), charger telemetry and control interfaces.</v>
      </c>
      <c r="AG79" t="str">
        <f>_xlfn.XLOOKUP($A79,InterfaceRegister!$A:$A,InterfaceRegister!M:M)</f>
        <v>HIGH</v>
      </c>
      <c r="AH79" t="str">
        <f>_xlfn.XLOOKUP($A79,InterfaceRegister!$A:$A,InterfaceRegister!O:O)</f>
        <v>Data Flow:_x000D_
EV Chargers &lt;-&gt; OCPP &lt;-&gt; vCharm Edge (status, telemetry, control) -&gt; Local energy systems (LMS/SCADA where applicable).</v>
      </c>
      <c r="AI79" t="str">
        <f>_xlfn.XLOOKUP($A79,InterfaceRegister!$A:$A,InterfaceRegister!N:N)</f>
        <v>The criticality level is HIGH because reliable OCPP communication is essential for managing EV charging loads, ensuring safe power distribution, and enabling coordinated charging behaviour across the site.</v>
      </c>
      <c r="AJ79" t="str">
        <f>_xlfn.XLOOKUP($A79,'EA-Fortescue_SDExport'!$A:$A,'EA-Fortescue_SDExport'!AX:AX)</f>
        <v>CSVF4C8E583</v>
      </c>
      <c r="AK79">
        <f>_xlfn.XLOOKUP($A79,'EA-Fortescue_SDExport'!$A:$A,'EA-Fortescue_SDExport'!AY:AY)</f>
        <v>0</v>
      </c>
    </row>
    <row r="80" spans="1:37" x14ac:dyDescent="0.25">
      <c r="A80" t="str">
        <v>DGS-I_0079</v>
      </c>
      <c r="B80" t="str">
        <f>_xlfn.XLOOKUP($A80,'EA-Fortescue_SDExport'!$A:$A,'EA-Fortescue_SDExport'!B:B)</f>
        <v>Class</v>
      </c>
      <c r="C80" t="str">
        <f>_xlfn.XLOOKUP($A80,'EA-Fortescue_SDExport'!$A:$A,'EA-Fortescue_SDExport'!C:C)</f>
        <v>{0903EA9A-0489-4fe7-800E-DCDE4E3F9BDF}</v>
      </c>
      <c r="D80" t="str">
        <f>_xlfn.LET(_xlpm.result, _xlfn.XLOOKUP($A80, InterfaceRegister!$A:$A, InterfaceRegister!P:P), IF(_xlpm.result=0, "", _xlpm.result))</f>
        <v/>
      </c>
      <c r="E80">
        <f>_xlfn.XLOOKUP($A80,'EA-Fortescue_SDExport'!$A:$A,'EA-Fortescue_SDExport'!E:E)</f>
        <v>1</v>
      </c>
      <c r="F80">
        <f>_xlfn.XLOOKUP($A80,'EA-Fortescue_SDExport'!$A:$A,'EA-Fortescue_SDExport'!F:F)</f>
        <v>1</v>
      </c>
      <c r="G80">
        <f>_xlfn.XLOOKUP($A80,'EA-Fortescue_SDExport'!$A:$A,'EA-Fortescue_SDExport'!G:G)</f>
        <v>0</v>
      </c>
      <c r="H80" t="str">
        <f>_xlfn.XLOOKUP($A80,'EA-Fortescue_SDExport'!$A:$A,'EA-Fortescue_SDExport'!H:H)</f>
        <v>InterfaceBlock</v>
      </c>
      <c r="I80" t="str">
        <f>_xlfn.XLOOKUP($A80,'EA-Fortescue_SDExport'!$A:$A,'EA-Fortescue_SDExport'!I:I)</f>
        <v>SysML1.4::InterfaceBlock</v>
      </c>
      <c r="J80" t="str">
        <f>_xlfn.XLOOKUP($A80,'EA-Fortescue_SDExport'!$A:$A,'EA-Fortescue_SDExport'!J:J)</f>
        <v>Java</v>
      </c>
      <c r="K80" t="str">
        <f>_xlfn.XLOOKUP($A80,'EA-Fortescue_SDExport'!$A:$A,'EA-Fortescue_SDExport'!K:K)</f>
        <v>Admin</v>
      </c>
      <c r="L80" t="str">
        <f>_xlfn.XLOOKUP($A80,'EA-Fortescue_SDExport'!$A:$A,'EA-Fortescue_SDExport'!L:L)</f>
        <v>Public</v>
      </c>
      <c r="M80">
        <f>_xlfn.XLOOKUP($A80,'EA-Fortescue_SDExport'!$A:$A,'EA-Fortescue_SDExport'!M:M)</f>
        <v>0</v>
      </c>
      <c r="N80" t="str">
        <f>_xlfn.XLOOKUP($A80,InterfaceRegister!$A:$A,InterfaceRegister!K:K)</f>
        <v>Proposed</v>
      </c>
      <c r="O80">
        <f>_xlfn.XLOOKUP($A80,'EA-Fortescue_SDExport'!$A:$A,'EA-Fortescue_SDExport'!O:O)</f>
        <v>1</v>
      </c>
      <c r="P80">
        <f>_xlfn.XLOOKUP($A80,'EA-Fortescue_SDExport'!$A:$A,'EA-Fortescue_SDExport'!P:P)</f>
        <v>0</v>
      </c>
      <c r="Q80">
        <f>_xlfn.XLOOKUP($A80,'EA-Fortescue_SDExport'!$A:$A,'EA-Fortescue_SDExport'!Q:Q)</f>
        <v>0</v>
      </c>
      <c r="R80">
        <f>_xlfn.XLOOKUP($A80,'EA-Fortescue_SDExport'!$A:$A,'EA-Fortescue_SDExport'!R:R)</f>
        <v>0</v>
      </c>
      <c r="S80">
        <f>_xlfn.XLOOKUP($A80,'EA-Fortescue_SDExport'!$A:$A,'EA-Fortescue_SDExport'!S:S)</f>
        <v>0</v>
      </c>
      <c r="T80">
        <f>_xlfn.XLOOKUP($A80,'EA-Fortescue_SDExport'!$A:$A,'EA-Fortescue_SDExport'!T:T)</f>
        <v>0</v>
      </c>
      <c r="U80">
        <f>_xlfn.XLOOKUP($A80,'EA-Fortescue_SDExport'!$A:$A,'EA-Fortescue_SDExport'!U:U)</f>
        <v>45944.622847222221</v>
      </c>
      <c r="V80">
        <f>_xlfn.XLOOKUP($A80,'EA-Fortescue_SDExport'!$A:$A,'EA-Fortescue_SDExport'!V:V)</f>
        <v>46002.067604166667</v>
      </c>
      <c r="W80">
        <f>_xlfn.XLOOKUP($A80,'EA-Fortescue_SDExport'!$A:$A,'EA-Fortescue_SDExport'!W:W)</f>
        <v>0</v>
      </c>
      <c r="X80">
        <f>_xlfn.XLOOKUP($A80,'EA-Fortescue_SDExport'!$A:$A,'EA-Fortescue_SDExport'!X:X)</f>
        <v>0</v>
      </c>
      <c r="Y80">
        <f>_xlfn.XLOOKUP($A80,'EA-Fortescue_SDExport'!$A:$A,'EA-Fortescue_SDExport'!Y:Y)</f>
        <v>0</v>
      </c>
      <c r="Z80" t="str">
        <f>_xlfn.XLOOKUP($A80,'EA-Fortescue_SDExport'!$A:$A,'EA-Fortescue_SDExport'!Z:Z)</f>
        <v>SysML1.4::InterfaceBlock</v>
      </c>
      <c r="AA80" t="str">
        <f>_xlfn.XLOOKUP($A80,InterfaceRegister!$A:$A,InterfaceRegister!B:B)</f>
        <v>854DC-1521 HV Substations|854DC-5660 HV Transmission lines</v>
      </c>
      <c r="AB80" t="str">
        <f>_xlfn.XLOOKUP($A80,InterfaceRegister!$A:$A,InterfaceRegister!C:C)</f>
        <v/>
      </c>
      <c r="AC80" t="str">
        <f>_xlfn.XLOOKUP($A80,InterfaceRegister!$A:$A,InterfaceRegister!D:D)</f>
        <v/>
      </c>
      <c r="AD80" t="str">
        <f>_xlfn.XLOOKUP($A80,InterfaceRegister!$A:$A,InterfaceRegister!E:E)</f>
        <v>System - System Interface</v>
      </c>
      <c r="AE80" t="str">
        <f>_xlfn.XLOOKUP($A80,InterfaceRegister!$A:$A,InterfaceRegister!F:F)</f>
        <v/>
      </c>
      <c r="AF80" t="str">
        <f>_xlfn.XLOOKUP($A80,InterfaceRegister!$A:$A,InterfaceRegister!L:L)</f>
        <v/>
      </c>
      <c r="AG80" t="str">
        <f>_xlfn.XLOOKUP($A80,InterfaceRegister!$A:$A,InterfaceRegister!M:M)</f>
        <v/>
      </c>
      <c r="AH80" t="str">
        <f>_xlfn.XLOOKUP($A80,InterfaceRegister!$A:$A,InterfaceRegister!O:O)</f>
        <v/>
      </c>
      <c r="AI80" t="str">
        <f>_xlfn.XLOOKUP($A80,InterfaceRegister!$A:$A,InterfaceRegister!N:N)</f>
        <v/>
      </c>
      <c r="AJ80" t="str">
        <f>_xlfn.XLOOKUP($A80,'EA-Fortescue_SDExport'!$A:$A,'EA-Fortescue_SDExport'!AX:AX)</f>
        <v>CSV1CD45610</v>
      </c>
      <c r="AK80">
        <f>_xlfn.XLOOKUP($A80,'EA-Fortescue_SDExport'!$A:$A,'EA-Fortescue_SDExport'!AY:AY)</f>
        <v>0</v>
      </c>
    </row>
    <row r="81" spans="1:37" x14ac:dyDescent="0.25">
      <c r="A81" t="str">
        <v>DGS-I_0080</v>
      </c>
      <c r="B81" t="str">
        <f>_xlfn.XLOOKUP($A81,'EA-Fortescue_SDExport'!$A:$A,'EA-Fortescue_SDExport'!B:B)</f>
        <v>Class</v>
      </c>
      <c r="C81" t="str">
        <f>_xlfn.XLOOKUP($A81,'EA-Fortescue_SDExport'!$A:$A,'EA-Fortescue_SDExport'!C:C)</f>
        <v>{BE25445A-33BB-48a0-BBDD-E515D42B5CDA}</v>
      </c>
      <c r="D81" t="str">
        <f>_xlfn.LET(_xlpm.result, _xlfn.XLOOKUP($A81, InterfaceRegister!$A:$A, InterfaceRegister!P:P), IF(_xlpm.result=0, "", _xlpm.result))</f>
        <v/>
      </c>
      <c r="E81">
        <f>_xlfn.XLOOKUP($A81,'EA-Fortescue_SDExport'!$A:$A,'EA-Fortescue_SDExport'!E:E)</f>
        <v>1</v>
      </c>
      <c r="F81">
        <f>_xlfn.XLOOKUP($A81,'EA-Fortescue_SDExport'!$A:$A,'EA-Fortescue_SDExport'!F:F)</f>
        <v>1</v>
      </c>
      <c r="G81">
        <f>_xlfn.XLOOKUP($A81,'EA-Fortescue_SDExport'!$A:$A,'EA-Fortescue_SDExport'!G:G)</f>
        <v>0</v>
      </c>
      <c r="H81" t="str">
        <f>_xlfn.XLOOKUP($A81,'EA-Fortescue_SDExport'!$A:$A,'EA-Fortescue_SDExport'!H:H)</f>
        <v>InterfaceBlock</v>
      </c>
      <c r="I81" t="str">
        <f>_xlfn.XLOOKUP($A81,'EA-Fortescue_SDExport'!$A:$A,'EA-Fortescue_SDExport'!I:I)</f>
        <v>SysML1.4::InterfaceBlock</v>
      </c>
      <c r="J81" t="str">
        <f>_xlfn.XLOOKUP($A81,'EA-Fortescue_SDExport'!$A:$A,'EA-Fortescue_SDExport'!J:J)</f>
        <v>Java</v>
      </c>
      <c r="K81" t="str">
        <f>_xlfn.XLOOKUP($A81,'EA-Fortescue_SDExport'!$A:$A,'EA-Fortescue_SDExport'!K:K)</f>
        <v>Admin</v>
      </c>
      <c r="L81" t="str">
        <f>_xlfn.XLOOKUP($A81,'EA-Fortescue_SDExport'!$A:$A,'EA-Fortescue_SDExport'!L:L)</f>
        <v>Public</v>
      </c>
      <c r="M81">
        <f>_xlfn.XLOOKUP($A81,'EA-Fortescue_SDExport'!$A:$A,'EA-Fortescue_SDExport'!M:M)</f>
        <v>0</v>
      </c>
      <c r="N81" t="str">
        <f>_xlfn.XLOOKUP($A81,InterfaceRegister!$A:$A,InterfaceRegister!K:K)</f>
        <v>Proposed</v>
      </c>
      <c r="O81">
        <f>_xlfn.XLOOKUP($A81,'EA-Fortescue_SDExport'!$A:$A,'EA-Fortescue_SDExport'!O:O)</f>
        <v>1</v>
      </c>
      <c r="P81">
        <f>_xlfn.XLOOKUP($A81,'EA-Fortescue_SDExport'!$A:$A,'EA-Fortescue_SDExport'!P:P)</f>
        <v>0</v>
      </c>
      <c r="Q81">
        <f>_xlfn.XLOOKUP($A81,'EA-Fortescue_SDExport'!$A:$A,'EA-Fortescue_SDExport'!Q:Q)</f>
        <v>0</v>
      </c>
      <c r="R81">
        <f>_xlfn.XLOOKUP($A81,'EA-Fortescue_SDExport'!$A:$A,'EA-Fortescue_SDExport'!R:R)</f>
        <v>0</v>
      </c>
      <c r="S81">
        <f>_xlfn.XLOOKUP($A81,'EA-Fortescue_SDExport'!$A:$A,'EA-Fortescue_SDExport'!S:S)</f>
        <v>0</v>
      </c>
      <c r="T81">
        <f>_xlfn.XLOOKUP($A81,'EA-Fortescue_SDExport'!$A:$A,'EA-Fortescue_SDExport'!T:T)</f>
        <v>0</v>
      </c>
      <c r="U81">
        <f>_xlfn.XLOOKUP($A81,'EA-Fortescue_SDExport'!$A:$A,'EA-Fortescue_SDExport'!U:U)</f>
        <v>45945.658194444448</v>
      </c>
      <c r="V81">
        <f>_xlfn.XLOOKUP($A81,'EA-Fortescue_SDExport'!$A:$A,'EA-Fortescue_SDExport'!V:V)</f>
        <v>46002.067604166667</v>
      </c>
      <c r="W81">
        <f>_xlfn.XLOOKUP($A81,'EA-Fortescue_SDExport'!$A:$A,'EA-Fortescue_SDExport'!W:W)</f>
        <v>0</v>
      </c>
      <c r="X81">
        <f>_xlfn.XLOOKUP($A81,'EA-Fortescue_SDExport'!$A:$A,'EA-Fortescue_SDExport'!X:X)</f>
        <v>0</v>
      </c>
      <c r="Y81">
        <f>_xlfn.XLOOKUP($A81,'EA-Fortescue_SDExport'!$A:$A,'EA-Fortescue_SDExport'!Y:Y)</f>
        <v>0</v>
      </c>
      <c r="Z81" t="str">
        <f>_xlfn.XLOOKUP($A81,'EA-Fortescue_SDExport'!$A:$A,'EA-Fortescue_SDExport'!Z:Z)</f>
        <v>SysML1.4::InterfaceBlock</v>
      </c>
      <c r="AA81" t="str">
        <f>_xlfn.XLOOKUP($A81,InterfaceRegister!$A:$A,InterfaceRegister!B:B)</f>
        <v>854DC-5680 Battery Energy Storage System (BESS)|854DC-1521 HV Substations</v>
      </c>
      <c r="AB81" t="str">
        <f>_xlfn.XLOOKUP($A81,InterfaceRegister!$A:$A,InterfaceRegister!C:C)</f>
        <v/>
      </c>
      <c r="AC81" t="str">
        <f>_xlfn.XLOOKUP($A81,InterfaceRegister!$A:$A,InterfaceRegister!D:D)</f>
        <v/>
      </c>
      <c r="AD81" t="str">
        <f>_xlfn.XLOOKUP($A81,InterfaceRegister!$A:$A,InterfaceRegister!E:E)</f>
        <v>System - System Interface</v>
      </c>
      <c r="AE81" t="str">
        <f>_xlfn.XLOOKUP($A81,InterfaceRegister!$A:$A,InterfaceRegister!F:F)</f>
        <v/>
      </c>
      <c r="AF81" t="str">
        <f>_xlfn.XLOOKUP($A81,InterfaceRegister!$A:$A,InterfaceRegister!L:L)</f>
        <v/>
      </c>
      <c r="AG81" t="str">
        <f>_xlfn.XLOOKUP($A81,InterfaceRegister!$A:$A,InterfaceRegister!M:M)</f>
        <v/>
      </c>
      <c r="AH81" t="str">
        <f>_xlfn.XLOOKUP($A81,InterfaceRegister!$A:$A,InterfaceRegister!O:O)</f>
        <v/>
      </c>
      <c r="AI81" t="str">
        <f>_xlfn.XLOOKUP($A81,InterfaceRegister!$A:$A,InterfaceRegister!N:N)</f>
        <v/>
      </c>
      <c r="AJ81" t="str">
        <f>_xlfn.XLOOKUP($A81,'EA-Fortescue_SDExport'!$A:$A,'EA-Fortescue_SDExport'!AX:AX)</f>
        <v>CSV08629CC5</v>
      </c>
      <c r="AK81">
        <f>_xlfn.XLOOKUP($A81,'EA-Fortescue_SDExport'!$A:$A,'EA-Fortescue_SDExport'!AY:AY)</f>
        <v>0</v>
      </c>
    </row>
    <row r="82" spans="1:37" x14ac:dyDescent="0.25">
      <c r="A82" t="str">
        <v>DGS-I_0081</v>
      </c>
      <c r="B82" t="str">
        <f>_xlfn.XLOOKUP($A82,'EA-Fortescue_SDExport'!$A:$A,'EA-Fortescue_SDExport'!B:B)</f>
        <v>Class</v>
      </c>
      <c r="C82" t="str">
        <f>_xlfn.XLOOKUP($A82,'EA-Fortescue_SDExport'!$A:$A,'EA-Fortescue_SDExport'!C:C)</f>
        <v>{2BA7BA90-2001-4750-A4DF-C8F4AC9E9ED2}</v>
      </c>
      <c r="D82" t="str">
        <f>_xlfn.LET(_xlpm.result, _xlfn.XLOOKUP($A82, InterfaceRegister!$A:$A, InterfaceRegister!P:P), IF(_xlpm.result=0, "", _xlpm.result))</f>
        <v/>
      </c>
      <c r="E82">
        <f>_xlfn.XLOOKUP($A82,'EA-Fortescue_SDExport'!$A:$A,'EA-Fortescue_SDExport'!E:E)</f>
        <v>1</v>
      </c>
      <c r="F82">
        <f>_xlfn.XLOOKUP($A82,'EA-Fortescue_SDExport'!$A:$A,'EA-Fortescue_SDExport'!F:F)</f>
        <v>1</v>
      </c>
      <c r="G82">
        <f>_xlfn.XLOOKUP($A82,'EA-Fortescue_SDExport'!$A:$A,'EA-Fortescue_SDExport'!G:G)</f>
        <v>0</v>
      </c>
      <c r="H82" t="str">
        <f>_xlfn.XLOOKUP($A82,'EA-Fortescue_SDExport'!$A:$A,'EA-Fortescue_SDExport'!H:H)</f>
        <v>InterfaceBlock</v>
      </c>
      <c r="I82" t="str">
        <f>_xlfn.XLOOKUP($A82,'EA-Fortescue_SDExport'!$A:$A,'EA-Fortescue_SDExport'!I:I)</f>
        <v>SysML1.4::InterfaceBlock</v>
      </c>
      <c r="J82" t="str">
        <f>_xlfn.XLOOKUP($A82,'EA-Fortescue_SDExport'!$A:$A,'EA-Fortescue_SDExport'!J:J)</f>
        <v>Java</v>
      </c>
      <c r="K82" t="str">
        <f>_xlfn.XLOOKUP($A82,'EA-Fortescue_SDExport'!$A:$A,'EA-Fortescue_SDExport'!K:K)</f>
        <v>Admin</v>
      </c>
      <c r="L82" t="str">
        <f>_xlfn.XLOOKUP($A82,'EA-Fortescue_SDExport'!$A:$A,'EA-Fortescue_SDExport'!L:L)</f>
        <v>Public</v>
      </c>
      <c r="M82">
        <f>_xlfn.XLOOKUP($A82,'EA-Fortescue_SDExport'!$A:$A,'EA-Fortescue_SDExport'!M:M)</f>
        <v>0</v>
      </c>
      <c r="N82" t="str">
        <f>_xlfn.XLOOKUP($A82,InterfaceRegister!$A:$A,InterfaceRegister!K:K)</f>
        <v>Proposed</v>
      </c>
      <c r="O82">
        <f>_xlfn.XLOOKUP($A82,'EA-Fortescue_SDExport'!$A:$A,'EA-Fortescue_SDExport'!O:O)</f>
        <v>1</v>
      </c>
      <c r="P82">
        <f>_xlfn.XLOOKUP($A82,'EA-Fortescue_SDExport'!$A:$A,'EA-Fortescue_SDExport'!P:P)</f>
        <v>0</v>
      </c>
      <c r="Q82">
        <f>_xlfn.XLOOKUP($A82,'EA-Fortescue_SDExport'!$A:$A,'EA-Fortescue_SDExport'!Q:Q)</f>
        <v>0</v>
      </c>
      <c r="R82">
        <f>_xlfn.XLOOKUP($A82,'EA-Fortescue_SDExport'!$A:$A,'EA-Fortescue_SDExport'!R:R)</f>
        <v>0</v>
      </c>
      <c r="S82">
        <f>_xlfn.XLOOKUP($A82,'EA-Fortescue_SDExport'!$A:$A,'EA-Fortescue_SDExport'!S:S)</f>
        <v>0</v>
      </c>
      <c r="T82">
        <f>_xlfn.XLOOKUP($A82,'EA-Fortescue_SDExport'!$A:$A,'EA-Fortescue_SDExport'!T:T)</f>
        <v>0</v>
      </c>
      <c r="U82">
        <f>_xlfn.XLOOKUP($A82,'EA-Fortescue_SDExport'!$A:$A,'EA-Fortescue_SDExport'!U:U)</f>
        <v>45945.658229166664</v>
      </c>
      <c r="V82">
        <f>_xlfn.XLOOKUP($A82,'EA-Fortescue_SDExport'!$A:$A,'EA-Fortescue_SDExport'!V:V)</f>
        <v>46002.06758101852</v>
      </c>
      <c r="W82">
        <f>_xlfn.XLOOKUP($A82,'EA-Fortescue_SDExport'!$A:$A,'EA-Fortescue_SDExport'!W:W)</f>
        <v>0</v>
      </c>
      <c r="X82">
        <f>_xlfn.XLOOKUP($A82,'EA-Fortescue_SDExport'!$A:$A,'EA-Fortescue_SDExport'!X:X)</f>
        <v>0</v>
      </c>
      <c r="Y82">
        <f>_xlfn.XLOOKUP($A82,'EA-Fortescue_SDExport'!$A:$A,'EA-Fortescue_SDExport'!Y:Y)</f>
        <v>0</v>
      </c>
      <c r="Z82" t="str">
        <f>_xlfn.XLOOKUP($A82,'EA-Fortescue_SDExport'!$A:$A,'EA-Fortescue_SDExport'!Z:Z)</f>
        <v>SysML1.4::InterfaceBlock</v>
      </c>
      <c r="AA82" t="str">
        <f>_xlfn.XLOOKUP($A82,InterfaceRegister!$A:$A,InterfaceRegister!B:B)</f>
        <v>854DC-5670 Energy Generation - Solar|854DC-1521 HV Substations</v>
      </c>
      <c r="AB82" t="str">
        <f>_xlfn.XLOOKUP($A82,InterfaceRegister!$A:$A,InterfaceRegister!C:C)</f>
        <v/>
      </c>
      <c r="AC82" t="str">
        <f>_xlfn.XLOOKUP($A82,InterfaceRegister!$A:$A,InterfaceRegister!D:D)</f>
        <v/>
      </c>
      <c r="AD82" t="str">
        <f>_xlfn.XLOOKUP($A82,InterfaceRegister!$A:$A,InterfaceRegister!E:E)</f>
        <v>System - System Interface</v>
      </c>
      <c r="AE82" t="str">
        <f>_xlfn.XLOOKUP($A82,InterfaceRegister!$A:$A,InterfaceRegister!F:F)</f>
        <v/>
      </c>
      <c r="AF82" t="str">
        <f>_xlfn.XLOOKUP($A82,InterfaceRegister!$A:$A,InterfaceRegister!L:L)</f>
        <v/>
      </c>
      <c r="AG82" t="str">
        <f>_xlfn.XLOOKUP($A82,InterfaceRegister!$A:$A,InterfaceRegister!M:M)</f>
        <v/>
      </c>
      <c r="AH82" t="str">
        <f>_xlfn.XLOOKUP($A82,InterfaceRegister!$A:$A,InterfaceRegister!O:O)</f>
        <v/>
      </c>
      <c r="AI82" t="str">
        <f>_xlfn.XLOOKUP($A82,InterfaceRegister!$A:$A,InterfaceRegister!N:N)</f>
        <v/>
      </c>
      <c r="AJ82" t="str">
        <f>_xlfn.XLOOKUP($A82,'EA-Fortescue_SDExport'!$A:$A,'EA-Fortescue_SDExport'!AX:AX)</f>
        <v>CSV497DAD7A</v>
      </c>
      <c r="AK82">
        <f>_xlfn.XLOOKUP($A82,'EA-Fortescue_SDExport'!$A:$A,'EA-Fortescue_SDExport'!AY:AY)</f>
        <v>0</v>
      </c>
    </row>
    <row r="83" spans="1:37" x14ac:dyDescent="0.25">
      <c r="A83" t="str">
        <v>DGS-I_0082</v>
      </c>
      <c r="B83" t="str">
        <f>_xlfn.XLOOKUP($A83,'EA-Fortescue_SDExport'!$A:$A,'EA-Fortescue_SDExport'!B:B)</f>
        <v>Class</v>
      </c>
      <c r="C83" t="str">
        <f>_xlfn.XLOOKUP($A83,'EA-Fortescue_SDExport'!$A:$A,'EA-Fortescue_SDExport'!C:C)</f>
        <v>{CAEB0B14-D196-4a4f-8F93-DBCED2FC377A}</v>
      </c>
      <c r="D83" t="str">
        <f>_xlfn.LET(_xlpm.result, _xlfn.XLOOKUP($A83, InterfaceRegister!$A:$A, InterfaceRegister!P:P), IF(_xlpm.result=0, "", _xlpm.result))</f>
        <v/>
      </c>
      <c r="E83">
        <f>_xlfn.XLOOKUP($A83,'EA-Fortescue_SDExport'!$A:$A,'EA-Fortescue_SDExport'!E:E)</f>
        <v>1</v>
      </c>
      <c r="F83">
        <f>_xlfn.XLOOKUP($A83,'EA-Fortescue_SDExport'!$A:$A,'EA-Fortescue_SDExport'!F:F)</f>
        <v>1</v>
      </c>
      <c r="G83">
        <f>_xlfn.XLOOKUP($A83,'EA-Fortescue_SDExport'!$A:$A,'EA-Fortescue_SDExport'!G:G)</f>
        <v>0</v>
      </c>
      <c r="H83" t="str">
        <f>_xlfn.XLOOKUP($A83,'EA-Fortescue_SDExport'!$A:$A,'EA-Fortescue_SDExport'!H:H)</f>
        <v>InterfaceBlock</v>
      </c>
      <c r="I83" t="str">
        <f>_xlfn.XLOOKUP($A83,'EA-Fortescue_SDExport'!$A:$A,'EA-Fortescue_SDExport'!I:I)</f>
        <v>SysML1.4::InterfaceBlock</v>
      </c>
      <c r="J83" t="str">
        <f>_xlfn.XLOOKUP($A83,'EA-Fortescue_SDExport'!$A:$A,'EA-Fortescue_SDExport'!J:J)</f>
        <v>Java</v>
      </c>
      <c r="K83" t="str">
        <f>_xlfn.XLOOKUP($A83,'EA-Fortescue_SDExport'!$A:$A,'EA-Fortescue_SDExport'!K:K)</f>
        <v>Admin</v>
      </c>
      <c r="L83" t="str">
        <f>_xlfn.XLOOKUP($A83,'EA-Fortescue_SDExport'!$A:$A,'EA-Fortescue_SDExport'!L:L)</f>
        <v>Public</v>
      </c>
      <c r="M83">
        <f>_xlfn.XLOOKUP($A83,'EA-Fortescue_SDExport'!$A:$A,'EA-Fortescue_SDExport'!M:M)</f>
        <v>0</v>
      </c>
      <c r="N83" t="str">
        <f>_xlfn.XLOOKUP($A83,InterfaceRegister!$A:$A,InterfaceRegister!K:K)</f>
        <v>Proposed</v>
      </c>
      <c r="O83">
        <f>_xlfn.XLOOKUP($A83,'EA-Fortescue_SDExport'!$A:$A,'EA-Fortescue_SDExport'!O:O)</f>
        <v>1</v>
      </c>
      <c r="P83">
        <f>_xlfn.XLOOKUP($A83,'EA-Fortescue_SDExport'!$A:$A,'EA-Fortescue_SDExport'!P:P)</f>
        <v>0</v>
      </c>
      <c r="Q83">
        <f>_xlfn.XLOOKUP($A83,'EA-Fortescue_SDExport'!$A:$A,'EA-Fortescue_SDExport'!Q:Q)</f>
        <v>0</v>
      </c>
      <c r="R83">
        <f>_xlfn.XLOOKUP($A83,'EA-Fortescue_SDExport'!$A:$A,'EA-Fortescue_SDExport'!R:R)</f>
        <v>0</v>
      </c>
      <c r="S83">
        <f>_xlfn.XLOOKUP($A83,'EA-Fortescue_SDExport'!$A:$A,'EA-Fortescue_SDExport'!S:S)</f>
        <v>0</v>
      </c>
      <c r="T83">
        <f>_xlfn.XLOOKUP($A83,'EA-Fortescue_SDExport'!$A:$A,'EA-Fortescue_SDExport'!T:T)</f>
        <v>0</v>
      </c>
      <c r="U83">
        <f>_xlfn.XLOOKUP($A83,'EA-Fortescue_SDExport'!$A:$A,'EA-Fortescue_SDExport'!U:U)</f>
        <v>45945.658275462964</v>
      </c>
      <c r="V83">
        <f>_xlfn.XLOOKUP($A83,'EA-Fortescue_SDExport'!$A:$A,'EA-Fortescue_SDExport'!V:V)</f>
        <v>46002.067557870374</v>
      </c>
      <c r="W83">
        <f>_xlfn.XLOOKUP($A83,'EA-Fortescue_SDExport'!$A:$A,'EA-Fortescue_SDExport'!W:W)</f>
        <v>0</v>
      </c>
      <c r="X83">
        <f>_xlfn.XLOOKUP($A83,'EA-Fortescue_SDExport'!$A:$A,'EA-Fortescue_SDExport'!X:X)</f>
        <v>0</v>
      </c>
      <c r="Y83">
        <f>_xlfn.XLOOKUP($A83,'EA-Fortescue_SDExport'!$A:$A,'EA-Fortescue_SDExport'!Y:Y)</f>
        <v>0</v>
      </c>
      <c r="Z83" t="str">
        <f>_xlfn.XLOOKUP($A83,'EA-Fortescue_SDExport'!$A:$A,'EA-Fortescue_SDExport'!Z:Z)</f>
        <v>SysML1.4::InterfaceBlock</v>
      </c>
      <c r="AA83" t="str">
        <f>_xlfn.XLOOKUP($A83,InterfaceRegister!$A:$A,InterfaceRegister!B:B)</f>
        <v>850DC-1522 Field Switches|850DC-1523 Sub Kiosks</v>
      </c>
      <c r="AB83" t="str">
        <f>_xlfn.XLOOKUP($A83,InterfaceRegister!$A:$A,InterfaceRegister!C:C)</f>
        <v/>
      </c>
      <c r="AC83" t="str">
        <f>_xlfn.XLOOKUP($A83,InterfaceRegister!$A:$A,InterfaceRegister!D:D)</f>
        <v/>
      </c>
      <c r="AD83" t="str">
        <f>_xlfn.XLOOKUP($A83,InterfaceRegister!$A:$A,InterfaceRegister!E:E)</f>
        <v>System - System Interface</v>
      </c>
      <c r="AE83" t="str">
        <f>_xlfn.XLOOKUP($A83,InterfaceRegister!$A:$A,InterfaceRegister!F:F)</f>
        <v/>
      </c>
      <c r="AF83" t="str">
        <f>_xlfn.XLOOKUP($A83,InterfaceRegister!$A:$A,InterfaceRegister!L:L)</f>
        <v/>
      </c>
      <c r="AG83" t="str">
        <f>_xlfn.XLOOKUP($A83,InterfaceRegister!$A:$A,InterfaceRegister!M:M)</f>
        <v/>
      </c>
      <c r="AH83" t="str">
        <f>_xlfn.XLOOKUP($A83,InterfaceRegister!$A:$A,InterfaceRegister!O:O)</f>
        <v/>
      </c>
      <c r="AI83" t="str">
        <f>_xlfn.XLOOKUP($A83,InterfaceRegister!$A:$A,InterfaceRegister!N:N)</f>
        <v/>
      </c>
      <c r="AJ83" t="str">
        <f>_xlfn.XLOOKUP($A83,'EA-Fortescue_SDExport'!$A:$A,'EA-Fortescue_SDExport'!AX:AX)</f>
        <v>CSV164A084B</v>
      </c>
      <c r="AK83">
        <f>_xlfn.XLOOKUP($A83,'EA-Fortescue_SDExport'!$A:$A,'EA-Fortescue_SDExport'!AY:AY)</f>
        <v>0</v>
      </c>
    </row>
    <row r="84" spans="1:37" x14ac:dyDescent="0.25">
      <c r="A84" t="str">
        <v>DGS-I_0083</v>
      </c>
      <c r="B84" t="str">
        <f>_xlfn.XLOOKUP($A84,'EA-Fortescue_SDExport'!$A:$A,'EA-Fortescue_SDExport'!B:B)</f>
        <v>Class</v>
      </c>
      <c r="C84" t="str">
        <f>_xlfn.XLOOKUP($A84,'EA-Fortescue_SDExport'!$A:$A,'EA-Fortescue_SDExport'!C:C)</f>
        <v>{3118CEBF-79B7-44c8-A6BD-6E59F8F191B7}</v>
      </c>
      <c r="D84" t="str">
        <f>_xlfn.LET(_xlpm.result, _xlfn.XLOOKUP($A84, InterfaceRegister!$A:$A, InterfaceRegister!P:P), IF(_xlpm.result=0, "", _xlpm.result))</f>
        <v/>
      </c>
      <c r="E84">
        <f>_xlfn.XLOOKUP($A84,'EA-Fortescue_SDExport'!$A:$A,'EA-Fortescue_SDExport'!E:E)</f>
        <v>1</v>
      </c>
      <c r="F84">
        <f>_xlfn.XLOOKUP($A84,'EA-Fortescue_SDExport'!$A:$A,'EA-Fortescue_SDExport'!F:F)</f>
        <v>1</v>
      </c>
      <c r="G84">
        <f>_xlfn.XLOOKUP($A84,'EA-Fortescue_SDExport'!$A:$A,'EA-Fortescue_SDExport'!G:G)</f>
        <v>0</v>
      </c>
      <c r="H84" t="str">
        <f>_xlfn.XLOOKUP($A84,'EA-Fortescue_SDExport'!$A:$A,'EA-Fortescue_SDExport'!H:H)</f>
        <v>InterfaceBlock</v>
      </c>
      <c r="I84" t="str">
        <f>_xlfn.XLOOKUP($A84,'EA-Fortescue_SDExport'!$A:$A,'EA-Fortescue_SDExport'!I:I)</f>
        <v>SysML1.4::InterfaceBlock</v>
      </c>
      <c r="J84" t="str">
        <f>_xlfn.XLOOKUP($A84,'EA-Fortescue_SDExport'!$A:$A,'EA-Fortescue_SDExport'!J:J)</f>
        <v>Java</v>
      </c>
      <c r="K84" t="str">
        <f>_xlfn.XLOOKUP($A84,'EA-Fortescue_SDExport'!$A:$A,'EA-Fortescue_SDExport'!K:K)</f>
        <v>Admin</v>
      </c>
      <c r="L84" t="str">
        <f>_xlfn.XLOOKUP($A84,'EA-Fortescue_SDExport'!$A:$A,'EA-Fortescue_SDExport'!L:L)</f>
        <v>Public</v>
      </c>
      <c r="M84">
        <f>_xlfn.XLOOKUP($A84,'EA-Fortescue_SDExport'!$A:$A,'EA-Fortescue_SDExport'!M:M)</f>
        <v>0</v>
      </c>
      <c r="N84" t="str">
        <f>_xlfn.XLOOKUP($A84,InterfaceRegister!$A:$A,InterfaceRegister!K:K)</f>
        <v>Proposed</v>
      </c>
      <c r="O84">
        <f>_xlfn.XLOOKUP($A84,'EA-Fortescue_SDExport'!$A:$A,'EA-Fortescue_SDExport'!O:O)</f>
        <v>1</v>
      </c>
      <c r="P84">
        <f>_xlfn.XLOOKUP($A84,'EA-Fortescue_SDExport'!$A:$A,'EA-Fortescue_SDExport'!P:P)</f>
        <v>0</v>
      </c>
      <c r="Q84">
        <f>_xlfn.XLOOKUP($A84,'EA-Fortescue_SDExport'!$A:$A,'EA-Fortescue_SDExport'!Q:Q)</f>
        <v>0</v>
      </c>
      <c r="R84">
        <f>_xlfn.XLOOKUP($A84,'EA-Fortescue_SDExport'!$A:$A,'EA-Fortescue_SDExport'!R:R)</f>
        <v>0</v>
      </c>
      <c r="S84">
        <f>_xlfn.XLOOKUP($A84,'EA-Fortescue_SDExport'!$A:$A,'EA-Fortescue_SDExport'!S:S)</f>
        <v>0</v>
      </c>
      <c r="T84">
        <f>_xlfn.XLOOKUP($A84,'EA-Fortescue_SDExport'!$A:$A,'EA-Fortescue_SDExport'!T:T)</f>
        <v>0</v>
      </c>
      <c r="U84">
        <f>_xlfn.XLOOKUP($A84,'EA-Fortescue_SDExport'!$A:$A,'EA-Fortescue_SDExport'!U:U)</f>
        <v>45945.65828703704</v>
      </c>
      <c r="V84">
        <f>_xlfn.XLOOKUP($A84,'EA-Fortescue_SDExport'!$A:$A,'EA-Fortescue_SDExport'!V:V)</f>
        <v>46002.06759259259</v>
      </c>
      <c r="W84">
        <f>_xlfn.XLOOKUP($A84,'EA-Fortescue_SDExport'!$A:$A,'EA-Fortescue_SDExport'!W:W)</f>
        <v>0</v>
      </c>
      <c r="X84">
        <f>_xlfn.XLOOKUP($A84,'EA-Fortescue_SDExport'!$A:$A,'EA-Fortescue_SDExport'!X:X)</f>
        <v>0</v>
      </c>
      <c r="Y84">
        <f>_xlfn.XLOOKUP($A84,'EA-Fortescue_SDExport'!$A:$A,'EA-Fortescue_SDExport'!Y:Y)</f>
        <v>0</v>
      </c>
      <c r="Z84" t="str">
        <f>_xlfn.XLOOKUP($A84,'EA-Fortescue_SDExport'!$A:$A,'EA-Fortescue_SDExport'!Z:Z)</f>
        <v>SysML1.4::InterfaceBlock</v>
      </c>
      <c r="AA84" t="str">
        <f>_xlfn.XLOOKUP($A84,InterfaceRegister!$A:$A,InterfaceRegister!B:B)</f>
        <v>850DC-1523 Sub Kiosks|850DC-1520 Trailing Cable</v>
      </c>
      <c r="AB84" t="str">
        <f>_xlfn.XLOOKUP($A84,InterfaceRegister!$A:$A,InterfaceRegister!C:C)</f>
        <v/>
      </c>
      <c r="AC84" t="str">
        <f>_xlfn.XLOOKUP($A84,InterfaceRegister!$A:$A,InterfaceRegister!D:D)</f>
        <v/>
      </c>
      <c r="AD84" t="str">
        <f>_xlfn.XLOOKUP($A84,InterfaceRegister!$A:$A,InterfaceRegister!E:E)</f>
        <v>System - System Interface</v>
      </c>
      <c r="AE84" t="str">
        <f>_xlfn.XLOOKUP($A84,InterfaceRegister!$A:$A,InterfaceRegister!F:F)</f>
        <v/>
      </c>
      <c r="AF84" t="str">
        <f>_xlfn.XLOOKUP($A84,InterfaceRegister!$A:$A,InterfaceRegister!L:L)</f>
        <v/>
      </c>
      <c r="AG84" t="str">
        <f>_xlfn.XLOOKUP($A84,InterfaceRegister!$A:$A,InterfaceRegister!M:M)</f>
        <v/>
      </c>
      <c r="AH84" t="str">
        <f>_xlfn.XLOOKUP($A84,InterfaceRegister!$A:$A,InterfaceRegister!O:O)</f>
        <v/>
      </c>
      <c r="AI84" t="str">
        <f>_xlfn.XLOOKUP($A84,InterfaceRegister!$A:$A,InterfaceRegister!N:N)</f>
        <v/>
      </c>
      <c r="AJ84" t="str">
        <f>_xlfn.XLOOKUP($A84,'EA-Fortescue_SDExport'!$A:$A,'EA-Fortescue_SDExport'!AX:AX)</f>
        <v>CSV5CC12D26</v>
      </c>
      <c r="AK84">
        <f>_xlfn.XLOOKUP($A84,'EA-Fortescue_SDExport'!$A:$A,'EA-Fortescue_SDExport'!AY:AY)</f>
        <v>0</v>
      </c>
    </row>
    <row r="85" spans="1:37" x14ac:dyDescent="0.25">
      <c r="A85" t="str">
        <v>DGS-I_0084</v>
      </c>
      <c r="B85" t="str">
        <f>_xlfn.XLOOKUP($A85,'EA-Fortescue_SDExport'!$A:$A,'EA-Fortescue_SDExport'!B:B)</f>
        <v>Class</v>
      </c>
      <c r="C85" t="str">
        <f>_xlfn.XLOOKUP($A85,'EA-Fortescue_SDExport'!$A:$A,'EA-Fortescue_SDExport'!C:C)</f>
        <v>{E3B694BF-5F6A-4ba9-9334-E212EBF6A689}</v>
      </c>
      <c r="D85" t="str">
        <f>_xlfn.LET(_xlpm.result, _xlfn.XLOOKUP($A85, InterfaceRegister!$A:$A, InterfaceRegister!P:P), IF(_xlpm.result=0, "", _xlpm.result))</f>
        <v/>
      </c>
      <c r="E85">
        <f>_xlfn.XLOOKUP($A85,'EA-Fortescue_SDExport'!$A:$A,'EA-Fortescue_SDExport'!E:E)</f>
        <v>1</v>
      </c>
      <c r="F85">
        <f>_xlfn.XLOOKUP($A85,'EA-Fortescue_SDExport'!$A:$A,'EA-Fortescue_SDExport'!F:F)</f>
        <v>1</v>
      </c>
      <c r="G85">
        <f>_xlfn.XLOOKUP($A85,'EA-Fortescue_SDExport'!$A:$A,'EA-Fortescue_SDExport'!G:G)</f>
        <v>0</v>
      </c>
      <c r="H85" t="str">
        <f>_xlfn.XLOOKUP($A85,'EA-Fortescue_SDExport'!$A:$A,'EA-Fortescue_SDExport'!H:H)</f>
        <v>InterfaceBlock</v>
      </c>
      <c r="I85" t="str">
        <f>_xlfn.XLOOKUP($A85,'EA-Fortescue_SDExport'!$A:$A,'EA-Fortescue_SDExport'!I:I)</f>
        <v>SysML1.4::InterfaceBlock</v>
      </c>
      <c r="J85" t="str">
        <f>_xlfn.XLOOKUP($A85,'EA-Fortescue_SDExport'!$A:$A,'EA-Fortescue_SDExport'!J:J)</f>
        <v>Java</v>
      </c>
      <c r="K85" t="str">
        <f>_xlfn.XLOOKUP($A85,'EA-Fortescue_SDExport'!$A:$A,'EA-Fortescue_SDExport'!K:K)</f>
        <v>Admin</v>
      </c>
      <c r="L85" t="str">
        <f>_xlfn.XLOOKUP($A85,'EA-Fortescue_SDExport'!$A:$A,'EA-Fortescue_SDExport'!L:L)</f>
        <v>Public</v>
      </c>
      <c r="M85">
        <f>_xlfn.XLOOKUP($A85,'EA-Fortescue_SDExport'!$A:$A,'EA-Fortescue_SDExport'!M:M)</f>
        <v>0</v>
      </c>
      <c r="N85" t="str">
        <f>_xlfn.XLOOKUP($A85,InterfaceRegister!$A:$A,InterfaceRegister!K:K)</f>
        <v>Proposed</v>
      </c>
      <c r="O85">
        <f>_xlfn.XLOOKUP($A85,'EA-Fortescue_SDExport'!$A:$A,'EA-Fortescue_SDExport'!O:O)</f>
        <v>1</v>
      </c>
      <c r="P85">
        <f>_xlfn.XLOOKUP($A85,'EA-Fortescue_SDExport'!$A:$A,'EA-Fortescue_SDExport'!P:P)</f>
        <v>0</v>
      </c>
      <c r="Q85">
        <f>_xlfn.XLOOKUP($A85,'EA-Fortescue_SDExport'!$A:$A,'EA-Fortescue_SDExport'!Q:Q)</f>
        <v>0</v>
      </c>
      <c r="R85">
        <f>_xlfn.XLOOKUP($A85,'EA-Fortescue_SDExport'!$A:$A,'EA-Fortescue_SDExport'!R:R)</f>
        <v>0</v>
      </c>
      <c r="S85">
        <f>_xlfn.XLOOKUP($A85,'EA-Fortescue_SDExport'!$A:$A,'EA-Fortescue_SDExport'!S:S)</f>
        <v>0</v>
      </c>
      <c r="T85">
        <f>_xlfn.XLOOKUP($A85,'EA-Fortescue_SDExport'!$A:$A,'EA-Fortescue_SDExport'!T:T)</f>
        <v>0</v>
      </c>
      <c r="U85">
        <f>_xlfn.XLOOKUP($A85,'EA-Fortescue_SDExport'!$A:$A,'EA-Fortescue_SDExport'!U:U)</f>
        <v>45945.658368055556</v>
      </c>
      <c r="V85">
        <f>_xlfn.XLOOKUP($A85,'EA-Fortescue_SDExport'!$A:$A,'EA-Fortescue_SDExport'!V:V)</f>
        <v>46002.06758101852</v>
      </c>
      <c r="W85">
        <f>_xlfn.XLOOKUP($A85,'EA-Fortescue_SDExport'!$A:$A,'EA-Fortescue_SDExport'!W:W)</f>
        <v>0</v>
      </c>
      <c r="X85">
        <f>_xlfn.XLOOKUP($A85,'EA-Fortescue_SDExport'!$A:$A,'EA-Fortescue_SDExport'!X:X)</f>
        <v>0</v>
      </c>
      <c r="Y85">
        <f>_xlfn.XLOOKUP($A85,'EA-Fortescue_SDExport'!$A:$A,'EA-Fortescue_SDExport'!Y:Y)</f>
        <v>0</v>
      </c>
      <c r="Z85" t="str">
        <f>_xlfn.XLOOKUP($A85,'EA-Fortescue_SDExport'!$A:$A,'EA-Fortescue_SDExport'!Z:Z)</f>
        <v>SysML1.4::InterfaceBlock</v>
      </c>
      <c r="AA85" t="str">
        <f>_xlfn.XLOOKUP($A85,InterfaceRegister!$A:$A,InterfaceRegister!B:B)</f>
        <v>853DC-1561 Drill Rig|850DC-1520 Trailing Cable</v>
      </c>
      <c r="AB85" t="str">
        <f>_xlfn.XLOOKUP($A85,InterfaceRegister!$A:$A,InterfaceRegister!C:C)</f>
        <v/>
      </c>
      <c r="AC85" t="str">
        <f>_xlfn.XLOOKUP($A85,InterfaceRegister!$A:$A,InterfaceRegister!D:D)</f>
        <v/>
      </c>
      <c r="AD85" t="str">
        <f>_xlfn.XLOOKUP($A85,InterfaceRegister!$A:$A,InterfaceRegister!E:E)</f>
        <v>System - System Interface</v>
      </c>
      <c r="AE85" t="str">
        <f>_xlfn.XLOOKUP($A85,InterfaceRegister!$A:$A,InterfaceRegister!F:F)</f>
        <v/>
      </c>
      <c r="AF85" t="str">
        <f>_xlfn.XLOOKUP($A85,InterfaceRegister!$A:$A,InterfaceRegister!L:L)</f>
        <v/>
      </c>
      <c r="AG85" t="str">
        <f>_xlfn.XLOOKUP($A85,InterfaceRegister!$A:$A,InterfaceRegister!M:M)</f>
        <v/>
      </c>
      <c r="AH85" t="str">
        <f>_xlfn.XLOOKUP($A85,InterfaceRegister!$A:$A,InterfaceRegister!O:O)</f>
        <v/>
      </c>
      <c r="AI85" t="str">
        <f>_xlfn.XLOOKUP($A85,InterfaceRegister!$A:$A,InterfaceRegister!N:N)</f>
        <v/>
      </c>
      <c r="AJ85" t="str">
        <f>_xlfn.XLOOKUP($A85,'EA-Fortescue_SDExport'!$A:$A,'EA-Fortescue_SDExport'!AX:AX)</f>
        <v>CSVBEADD5A1</v>
      </c>
      <c r="AK85">
        <f>_xlfn.XLOOKUP($A85,'EA-Fortescue_SDExport'!$A:$A,'EA-Fortescue_SDExport'!AY:AY)</f>
        <v>0</v>
      </c>
    </row>
    <row r="86" spans="1:37" x14ac:dyDescent="0.25">
      <c r="A86" t="str">
        <v>DGS-I_0085</v>
      </c>
      <c r="B86" t="str">
        <f>_xlfn.XLOOKUP($A86,'EA-Fortescue_SDExport'!$A:$A,'EA-Fortescue_SDExport'!B:B)</f>
        <v>Class</v>
      </c>
      <c r="C86" t="str">
        <f>_xlfn.XLOOKUP($A86,'EA-Fortescue_SDExport'!$A:$A,'EA-Fortescue_SDExport'!C:C)</f>
        <v>{53CAC240-FEE7-43d8-9872-50D2B1D6965E}</v>
      </c>
      <c r="D86" t="str">
        <f>_xlfn.LET(_xlpm.result, _xlfn.XLOOKUP($A86, InterfaceRegister!$A:$A, InterfaceRegister!P:P), IF(_xlpm.result=0, "", _xlpm.result))</f>
        <v/>
      </c>
      <c r="E86">
        <f>_xlfn.XLOOKUP($A86,'EA-Fortescue_SDExport'!$A:$A,'EA-Fortescue_SDExport'!E:E)</f>
        <v>1</v>
      </c>
      <c r="F86">
        <f>_xlfn.XLOOKUP($A86,'EA-Fortescue_SDExport'!$A:$A,'EA-Fortescue_SDExport'!F:F)</f>
        <v>1</v>
      </c>
      <c r="G86">
        <f>_xlfn.XLOOKUP($A86,'EA-Fortescue_SDExport'!$A:$A,'EA-Fortescue_SDExport'!G:G)</f>
        <v>0</v>
      </c>
      <c r="H86" t="str">
        <f>_xlfn.XLOOKUP($A86,'EA-Fortescue_SDExport'!$A:$A,'EA-Fortescue_SDExport'!H:H)</f>
        <v>InterfaceBlock</v>
      </c>
      <c r="I86" t="str">
        <f>_xlfn.XLOOKUP($A86,'EA-Fortescue_SDExport'!$A:$A,'EA-Fortescue_SDExport'!I:I)</f>
        <v>SysML1.4::InterfaceBlock</v>
      </c>
      <c r="J86" t="str">
        <f>_xlfn.XLOOKUP($A86,'EA-Fortescue_SDExport'!$A:$A,'EA-Fortescue_SDExport'!J:J)</f>
        <v>Java</v>
      </c>
      <c r="K86" t="str">
        <f>_xlfn.XLOOKUP($A86,'EA-Fortescue_SDExport'!$A:$A,'EA-Fortescue_SDExport'!K:K)</f>
        <v>Admin</v>
      </c>
      <c r="L86" t="str">
        <f>_xlfn.XLOOKUP($A86,'EA-Fortescue_SDExport'!$A:$A,'EA-Fortescue_SDExport'!L:L)</f>
        <v>Public</v>
      </c>
      <c r="M86">
        <f>_xlfn.XLOOKUP($A86,'EA-Fortescue_SDExport'!$A:$A,'EA-Fortescue_SDExport'!M:M)</f>
        <v>0</v>
      </c>
      <c r="N86" t="str">
        <f>_xlfn.XLOOKUP($A86,InterfaceRegister!$A:$A,InterfaceRegister!K:K)</f>
        <v>Proposed</v>
      </c>
      <c r="O86">
        <f>_xlfn.XLOOKUP($A86,'EA-Fortescue_SDExport'!$A:$A,'EA-Fortescue_SDExport'!O:O)</f>
        <v>1</v>
      </c>
      <c r="P86">
        <f>_xlfn.XLOOKUP($A86,'EA-Fortescue_SDExport'!$A:$A,'EA-Fortescue_SDExport'!P:P)</f>
        <v>0</v>
      </c>
      <c r="Q86">
        <f>_xlfn.XLOOKUP($A86,'EA-Fortescue_SDExport'!$A:$A,'EA-Fortescue_SDExport'!Q:Q)</f>
        <v>0</v>
      </c>
      <c r="R86">
        <f>_xlfn.XLOOKUP($A86,'EA-Fortescue_SDExport'!$A:$A,'EA-Fortescue_SDExport'!R:R)</f>
        <v>0</v>
      </c>
      <c r="S86">
        <f>_xlfn.XLOOKUP($A86,'EA-Fortescue_SDExport'!$A:$A,'EA-Fortescue_SDExport'!S:S)</f>
        <v>0</v>
      </c>
      <c r="T86">
        <f>_xlfn.XLOOKUP($A86,'EA-Fortescue_SDExport'!$A:$A,'EA-Fortescue_SDExport'!T:T)</f>
        <v>0</v>
      </c>
      <c r="U86">
        <f>_xlfn.XLOOKUP($A86,'EA-Fortescue_SDExport'!$A:$A,'EA-Fortescue_SDExport'!U:U)</f>
        <v>45945.676435185182</v>
      </c>
      <c r="V86">
        <f>_xlfn.XLOOKUP($A86,'EA-Fortescue_SDExport'!$A:$A,'EA-Fortescue_SDExport'!V:V)</f>
        <v>46002.067569444444</v>
      </c>
      <c r="W86">
        <f>_xlfn.XLOOKUP($A86,'EA-Fortescue_SDExport'!$A:$A,'EA-Fortescue_SDExport'!W:W)</f>
        <v>0</v>
      </c>
      <c r="X86">
        <f>_xlfn.XLOOKUP($A86,'EA-Fortescue_SDExport'!$A:$A,'EA-Fortescue_SDExport'!X:X)</f>
        <v>0</v>
      </c>
      <c r="Y86">
        <f>_xlfn.XLOOKUP($A86,'EA-Fortescue_SDExport'!$A:$A,'EA-Fortescue_SDExport'!Y:Y)</f>
        <v>0</v>
      </c>
      <c r="Z86" t="str">
        <f>_xlfn.XLOOKUP($A86,'EA-Fortescue_SDExport'!$A:$A,'EA-Fortescue_SDExport'!Z:Z)</f>
        <v>SysML1.4::InterfaceBlock</v>
      </c>
      <c r="AA86" t="str">
        <f>_xlfn.XLOOKUP($A86,InterfaceRegister!$A:$A,InterfaceRegister!B:B)</f>
        <v>003OP-5612 Diesel Generators|854DC-1521 HV Substations</v>
      </c>
      <c r="AB86" t="str">
        <f>_xlfn.XLOOKUP($A86,InterfaceRegister!$A:$A,InterfaceRegister!C:C)</f>
        <v/>
      </c>
      <c r="AC86" t="str">
        <f>_xlfn.XLOOKUP($A86,InterfaceRegister!$A:$A,InterfaceRegister!D:D)</f>
        <v/>
      </c>
      <c r="AD86" t="str">
        <f>_xlfn.XLOOKUP($A86,InterfaceRegister!$A:$A,InterfaceRegister!E:E)</f>
        <v>System - System Interface</v>
      </c>
      <c r="AE86" t="str">
        <f>_xlfn.XLOOKUP($A86,InterfaceRegister!$A:$A,InterfaceRegister!F:F)</f>
        <v/>
      </c>
      <c r="AF86" t="str">
        <f>_xlfn.XLOOKUP($A86,InterfaceRegister!$A:$A,InterfaceRegister!L:L)</f>
        <v/>
      </c>
      <c r="AG86" t="str">
        <f>_xlfn.XLOOKUP($A86,InterfaceRegister!$A:$A,InterfaceRegister!M:M)</f>
        <v/>
      </c>
      <c r="AH86" t="str">
        <f>_xlfn.XLOOKUP($A86,InterfaceRegister!$A:$A,InterfaceRegister!O:O)</f>
        <v/>
      </c>
      <c r="AI86" t="str">
        <f>_xlfn.XLOOKUP($A86,InterfaceRegister!$A:$A,InterfaceRegister!N:N)</f>
        <v/>
      </c>
      <c r="AJ86" t="str">
        <f>_xlfn.XLOOKUP($A86,'EA-Fortescue_SDExport'!$A:$A,'EA-Fortescue_SDExport'!AX:AX)</f>
        <v>CSV4F8086AA</v>
      </c>
      <c r="AK86">
        <f>_xlfn.XLOOKUP($A86,'EA-Fortescue_SDExport'!$A:$A,'EA-Fortescue_SDExport'!AY:AY)</f>
        <v>0</v>
      </c>
    </row>
    <row r="87" spans="1:37" x14ac:dyDescent="0.25">
      <c r="A87" t="str">
        <v>DGS-I_0086</v>
      </c>
      <c r="B87" t="str">
        <f>_xlfn.XLOOKUP($A87,'EA-Fortescue_SDExport'!$A:$A,'EA-Fortescue_SDExport'!B:B)</f>
        <v>Class</v>
      </c>
      <c r="C87" t="str">
        <f>_xlfn.XLOOKUP($A87,'EA-Fortescue_SDExport'!$A:$A,'EA-Fortescue_SDExport'!C:C)</f>
        <v>{FD084979-3EC3-4202-8EE1-FDA98FCE01BE}</v>
      </c>
      <c r="D87" t="str">
        <f>_xlfn.LET(_xlpm.result, _xlfn.XLOOKUP($A87, InterfaceRegister!$A:$A, InterfaceRegister!P:P), IF(_xlpm.result=0, "", _xlpm.result))</f>
        <v/>
      </c>
      <c r="E87">
        <f>_xlfn.XLOOKUP($A87,'EA-Fortescue_SDExport'!$A:$A,'EA-Fortescue_SDExport'!E:E)</f>
        <v>1</v>
      </c>
      <c r="F87">
        <f>_xlfn.XLOOKUP($A87,'EA-Fortescue_SDExport'!$A:$A,'EA-Fortescue_SDExport'!F:F)</f>
        <v>1</v>
      </c>
      <c r="G87">
        <f>_xlfn.XLOOKUP($A87,'EA-Fortescue_SDExport'!$A:$A,'EA-Fortescue_SDExport'!G:G)</f>
        <v>0</v>
      </c>
      <c r="H87" t="str">
        <f>_xlfn.XLOOKUP($A87,'EA-Fortescue_SDExport'!$A:$A,'EA-Fortescue_SDExport'!H:H)</f>
        <v>InterfaceBlock</v>
      </c>
      <c r="I87" t="str">
        <f>_xlfn.XLOOKUP($A87,'EA-Fortescue_SDExport'!$A:$A,'EA-Fortescue_SDExport'!I:I)</f>
        <v>SysML1.4::InterfaceBlock</v>
      </c>
      <c r="J87" t="str">
        <f>_xlfn.XLOOKUP($A87,'EA-Fortescue_SDExport'!$A:$A,'EA-Fortescue_SDExport'!J:J)</f>
        <v>Java</v>
      </c>
      <c r="K87" t="str">
        <f>_xlfn.XLOOKUP($A87,'EA-Fortescue_SDExport'!$A:$A,'EA-Fortescue_SDExport'!K:K)</f>
        <v>Admin</v>
      </c>
      <c r="L87" t="str">
        <f>_xlfn.XLOOKUP($A87,'EA-Fortescue_SDExport'!$A:$A,'EA-Fortescue_SDExport'!L:L)</f>
        <v>Public</v>
      </c>
      <c r="M87">
        <f>_xlfn.XLOOKUP($A87,'EA-Fortescue_SDExport'!$A:$A,'EA-Fortescue_SDExport'!M:M)</f>
        <v>0</v>
      </c>
      <c r="N87" t="str">
        <f>_xlfn.XLOOKUP($A87,InterfaceRegister!$A:$A,InterfaceRegister!K:K)</f>
        <v>Proposed</v>
      </c>
      <c r="O87">
        <f>_xlfn.XLOOKUP($A87,'EA-Fortescue_SDExport'!$A:$A,'EA-Fortescue_SDExport'!O:O)</f>
        <v>1</v>
      </c>
      <c r="P87">
        <f>_xlfn.XLOOKUP($A87,'EA-Fortescue_SDExport'!$A:$A,'EA-Fortescue_SDExport'!P:P)</f>
        <v>0</v>
      </c>
      <c r="Q87">
        <f>_xlfn.XLOOKUP($A87,'EA-Fortescue_SDExport'!$A:$A,'EA-Fortescue_SDExport'!Q:Q)</f>
        <v>0</v>
      </c>
      <c r="R87">
        <f>_xlfn.XLOOKUP($A87,'EA-Fortescue_SDExport'!$A:$A,'EA-Fortescue_SDExport'!R:R)</f>
        <v>0</v>
      </c>
      <c r="S87">
        <f>_xlfn.XLOOKUP($A87,'EA-Fortescue_SDExport'!$A:$A,'EA-Fortescue_SDExport'!S:S)</f>
        <v>0</v>
      </c>
      <c r="T87">
        <f>_xlfn.XLOOKUP($A87,'EA-Fortescue_SDExport'!$A:$A,'EA-Fortescue_SDExport'!T:T)</f>
        <v>0</v>
      </c>
      <c r="U87">
        <f>_xlfn.XLOOKUP($A87,'EA-Fortescue_SDExport'!$A:$A,'EA-Fortescue_SDExport'!U:U)</f>
        <v>45945.676458333335</v>
      </c>
      <c r="V87">
        <f>_xlfn.XLOOKUP($A87,'EA-Fortescue_SDExport'!$A:$A,'EA-Fortescue_SDExport'!V:V)</f>
        <v>46002.067604166667</v>
      </c>
      <c r="W87">
        <f>_xlfn.XLOOKUP($A87,'EA-Fortescue_SDExport'!$A:$A,'EA-Fortescue_SDExport'!W:W)</f>
        <v>0</v>
      </c>
      <c r="X87">
        <f>_xlfn.XLOOKUP($A87,'EA-Fortescue_SDExport'!$A:$A,'EA-Fortescue_SDExport'!X:X)</f>
        <v>0</v>
      </c>
      <c r="Y87">
        <f>_xlfn.XLOOKUP($A87,'EA-Fortescue_SDExport'!$A:$A,'EA-Fortescue_SDExport'!Y:Y)</f>
        <v>0</v>
      </c>
      <c r="Z87" t="str">
        <f>_xlfn.XLOOKUP($A87,'EA-Fortescue_SDExport'!$A:$A,'EA-Fortescue_SDExport'!Z:Z)</f>
        <v>SysML1.4::InterfaceBlock</v>
      </c>
      <c r="AA87" t="str">
        <f>_xlfn.XLOOKUP($A87,InterfaceRegister!$A:$A,InterfaceRegister!B:B)</f>
        <v>003OP-1800 Gas pipeline|003OP-5611 Gas Power Station</v>
      </c>
      <c r="AB87" t="str">
        <f>_xlfn.XLOOKUP($A87,InterfaceRegister!$A:$A,InterfaceRegister!C:C)</f>
        <v/>
      </c>
      <c r="AC87" t="str">
        <f>_xlfn.XLOOKUP($A87,InterfaceRegister!$A:$A,InterfaceRegister!D:D)</f>
        <v/>
      </c>
      <c r="AD87" t="str">
        <f>_xlfn.XLOOKUP($A87,InterfaceRegister!$A:$A,InterfaceRegister!E:E)</f>
        <v>System - System Interface</v>
      </c>
      <c r="AE87" t="str">
        <f>_xlfn.XLOOKUP($A87,InterfaceRegister!$A:$A,InterfaceRegister!F:F)</f>
        <v/>
      </c>
      <c r="AF87" t="str">
        <f>_xlfn.XLOOKUP($A87,InterfaceRegister!$A:$A,InterfaceRegister!L:L)</f>
        <v/>
      </c>
      <c r="AG87" t="str">
        <f>_xlfn.XLOOKUP($A87,InterfaceRegister!$A:$A,InterfaceRegister!M:M)</f>
        <v/>
      </c>
      <c r="AH87" t="str">
        <f>_xlfn.XLOOKUP($A87,InterfaceRegister!$A:$A,InterfaceRegister!O:O)</f>
        <v/>
      </c>
      <c r="AI87" t="str">
        <f>_xlfn.XLOOKUP($A87,InterfaceRegister!$A:$A,InterfaceRegister!N:N)</f>
        <v/>
      </c>
      <c r="AJ87" t="str">
        <f>_xlfn.XLOOKUP($A87,'EA-Fortescue_SDExport'!$A:$A,'EA-Fortescue_SDExport'!AX:AX)</f>
        <v>CSV5CEDF805</v>
      </c>
      <c r="AK87">
        <f>_xlfn.XLOOKUP($A87,'EA-Fortescue_SDExport'!$A:$A,'EA-Fortescue_SDExport'!AY:AY)</f>
        <v>0</v>
      </c>
    </row>
    <row r="88" spans="1:37" x14ac:dyDescent="0.25">
      <c r="A88" t="str">
        <v>DGS-I_0087</v>
      </c>
      <c r="B88" t="str">
        <f>_xlfn.XLOOKUP($A88,'EA-Fortescue_SDExport'!$A:$A,'EA-Fortescue_SDExport'!B:B)</f>
        <v>Class</v>
      </c>
      <c r="C88" t="str">
        <f>_xlfn.XLOOKUP($A88,'EA-Fortescue_SDExport'!$A:$A,'EA-Fortescue_SDExport'!C:C)</f>
        <v>{E2E923D1-E3FB-415e-8C86-D77C2D57675A}</v>
      </c>
      <c r="D88" t="str">
        <f>_xlfn.LET(_xlpm.result, _xlfn.XLOOKUP($A88, InterfaceRegister!$A:$A, InterfaceRegister!P:P), IF(_xlpm.result=0, "", _xlpm.result))</f>
        <v/>
      </c>
      <c r="E88">
        <f>_xlfn.XLOOKUP($A88,'EA-Fortescue_SDExport'!$A:$A,'EA-Fortescue_SDExport'!E:E)</f>
        <v>1</v>
      </c>
      <c r="F88">
        <f>_xlfn.XLOOKUP($A88,'EA-Fortescue_SDExport'!$A:$A,'EA-Fortescue_SDExport'!F:F)</f>
        <v>1</v>
      </c>
      <c r="G88">
        <f>_xlfn.XLOOKUP($A88,'EA-Fortescue_SDExport'!$A:$A,'EA-Fortescue_SDExport'!G:G)</f>
        <v>0</v>
      </c>
      <c r="H88" t="str">
        <f>_xlfn.XLOOKUP($A88,'EA-Fortescue_SDExport'!$A:$A,'EA-Fortescue_SDExport'!H:H)</f>
        <v>InterfaceBlock</v>
      </c>
      <c r="I88" t="str">
        <f>_xlfn.XLOOKUP($A88,'EA-Fortescue_SDExport'!$A:$A,'EA-Fortescue_SDExport'!I:I)</f>
        <v>SysML1.4::InterfaceBlock</v>
      </c>
      <c r="J88" t="str">
        <f>_xlfn.XLOOKUP($A88,'EA-Fortescue_SDExport'!$A:$A,'EA-Fortescue_SDExport'!J:J)</f>
        <v>Java</v>
      </c>
      <c r="K88" t="str">
        <f>_xlfn.XLOOKUP($A88,'EA-Fortescue_SDExport'!$A:$A,'EA-Fortescue_SDExport'!K:K)</f>
        <v>Admin</v>
      </c>
      <c r="L88" t="str">
        <f>_xlfn.XLOOKUP($A88,'EA-Fortescue_SDExport'!$A:$A,'EA-Fortescue_SDExport'!L:L)</f>
        <v>Public</v>
      </c>
      <c r="M88">
        <f>_xlfn.XLOOKUP($A88,'EA-Fortescue_SDExport'!$A:$A,'EA-Fortescue_SDExport'!M:M)</f>
        <v>0</v>
      </c>
      <c r="N88" t="str">
        <f>_xlfn.XLOOKUP($A88,InterfaceRegister!$A:$A,InterfaceRegister!K:K)</f>
        <v>Proposed</v>
      </c>
      <c r="O88">
        <f>_xlfn.XLOOKUP($A88,'EA-Fortescue_SDExport'!$A:$A,'EA-Fortescue_SDExport'!O:O)</f>
        <v>1</v>
      </c>
      <c r="P88">
        <f>_xlfn.XLOOKUP($A88,'EA-Fortescue_SDExport'!$A:$A,'EA-Fortescue_SDExport'!P:P)</f>
        <v>0</v>
      </c>
      <c r="Q88">
        <f>_xlfn.XLOOKUP($A88,'EA-Fortescue_SDExport'!$A:$A,'EA-Fortescue_SDExport'!Q:Q)</f>
        <v>0</v>
      </c>
      <c r="R88">
        <f>_xlfn.XLOOKUP($A88,'EA-Fortescue_SDExport'!$A:$A,'EA-Fortescue_SDExport'!R:R)</f>
        <v>0</v>
      </c>
      <c r="S88">
        <f>_xlfn.XLOOKUP($A88,'EA-Fortescue_SDExport'!$A:$A,'EA-Fortescue_SDExport'!S:S)</f>
        <v>0</v>
      </c>
      <c r="T88">
        <f>_xlfn.XLOOKUP($A88,'EA-Fortescue_SDExport'!$A:$A,'EA-Fortescue_SDExport'!T:T)</f>
        <v>0</v>
      </c>
      <c r="U88">
        <f>_xlfn.XLOOKUP($A88,'EA-Fortescue_SDExport'!$A:$A,'EA-Fortescue_SDExport'!U:U)</f>
        <v>45945.676481481481</v>
      </c>
      <c r="V88">
        <f>_xlfn.XLOOKUP($A88,'EA-Fortescue_SDExport'!$A:$A,'EA-Fortescue_SDExport'!V:V)</f>
        <v>46002.067615740743</v>
      </c>
      <c r="W88">
        <f>_xlfn.XLOOKUP($A88,'EA-Fortescue_SDExport'!$A:$A,'EA-Fortescue_SDExport'!W:W)</f>
        <v>0</v>
      </c>
      <c r="X88">
        <f>_xlfn.XLOOKUP($A88,'EA-Fortescue_SDExport'!$A:$A,'EA-Fortescue_SDExport'!X:X)</f>
        <v>0</v>
      </c>
      <c r="Y88">
        <f>_xlfn.XLOOKUP($A88,'EA-Fortescue_SDExport'!$A:$A,'EA-Fortescue_SDExport'!Y:Y)</f>
        <v>0</v>
      </c>
      <c r="Z88" t="str">
        <f>_xlfn.XLOOKUP($A88,'EA-Fortescue_SDExport'!$A:$A,'EA-Fortescue_SDExport'!Z:Z)</f>
        <v>SysML1.4::InterfaceBlock</v>
      </c>
      <c r="AA88" t="str">
        <f>_xlfn.XLOOKUP($A88,InterfaceRegister!$A:$A,InterfaceRegister!B:B)</f>
        <v>003OP-5611 Gas Power Station|854DC-1521 HV Substations</v>
      </c>
      <c r="AB88" t="str">
        <f>_xlfn.XLOOKUP($A88,InterfaceRegister!$A:$A,InterfaceRegister!C:C)</f>
        <v/>
      </c>
      <c r="AC88" t="str">
        <f>_xlfn.XLOOKUP($A88,InterfaceRegister!$A:$A,InterfaceRegister!D:D)</f>
        <v/>
      </c>
      <c r="AD88" t="str">
        <f>_xlfn.XLOOKUP($A88,InterfaceRegister!$A:$A,InterfaceRegister!E:E)</f>
        <v>System - System Interface</v>
      </c>
      <c r="AE88" t="str">
        <f>_xlfn.XLOOKUP($A88,InterfaceRegister!$A:$A,InterfaceRegister!F:F)</f>
        <v/>
      </c>
      <c r="AF88" t="str">
        <f>_xlfn.XLOOKUP($A88,InterfaceRegister!$A:$A,InterfaceRegister!L:L)</f>
        <v/>
      </c>
      <c r="AG88" t="str">
        <f>_xlfn.XLOOKUP($A88,InterfaceRegister!$A:$A,InterfaceRegister!M:M)</f>
        <v/>
      </c>
      <c r="AH88" t="str">
        <f>_xlfn.XLOOKUP($A88,InterfaceRegister!$A:$A,InterfaceRegister!O:O)</f>
        <v/>
      </c>
      <c r="AI88" t="str">
        <f>_xlfn.XLOOKUP($A88,InterfaceRegister!$A:$A,InterfaceRegister!N:N)</f>
        <v/>
      </c>
      <c r="AJ88" t="str">
        <f>_xlfn.XLOOKUP($A88,'EA-Fortescue_SDExport'!$A:$A,'EA-Fortescue_SDExport'!AX:AX)</f>
        <v>CSV21F0B36C</v>
      </c>
      <c r="AK88">
        <f>_xlfn.XLOOKUP($A88,'EA-Fortescue_SDExport'!$A:$A,'EA-Fortescue_SDExport'!AY:AY)</f>
        <v>0</v>
      </c>
    </row>
    <row r="89" spans="1:37" x14ac:dyDescent="0.25">
      <c r="A89" t="str">
        <v>DGS-I_0088</v>
      </c>
      <c r="B89" t="str">
        <f>_xlfn.XLOOKUP($A89,'EA-Fortescue_SDExport'!$A:$A,'EA-Fortescue_SDExport'!B:B)</f>
        <v>Class</v>
      </c>
      <c r="C89" t="str">
        <f>_xlfn.XLOOKUP($A89,'EA-Fortescue_SDExport'!$A:$A,'EA-Fortescue_SDExport'!C:C)</f>
        <v>{600528C6-F284-434f-9DAE-2AC72811BD6D}</v>
      </c>
      <c r="D89" t="str">
        <f>_xlfn.LET(_xlpm.result, _xlfn.XLOOKUP($A89, InterfaceRegister!$A:$A, InterfaceRegister!P:P), IF(_xlpm.result=0, "", _xlpm.result))</f>
        <v/>
      </c>
      <c r="E89">
        <f>_xlfn.XLOOKUP($A89,'EA-Fortescue_SDExport'!$A:$A,'EA-Fortescue_SDExport'!E:E)</f>
        <v>1</v>
      </c>
      <c r="F89">
        <f>_xlfn.XLOOKUP($A89,'EA-Fortescue_SDExport'!$A:$A,'EA-Fortescue_SDExport'!F:F)</f>
        <v>1</v>
      </c>
      <c r="G89">
        <f>_xlfn.XLOOKUP($A89,'EA-Fortescue_SDExport'!$A:$A,'EA-Fortescue_SDExport'!G:G)</f>
        <v>0</v>
      </c>
      <c r="H89" t="str">
        <f>_xlfn.XLOOKUP($A89,'EA-Fortescue_SDExport'!$A:$A,'EA-Fortescue_SDExport'!H:H)</f>
        <v>InterfaceBlock</v>
      </c>
      <c r="I89" t="str">
        <f>_xlfn.XLOOKUP($A89,'EA-Fortescue_SDExport'!$A:$A,'EA-Fortescue_SDExport'!I:I)</f>
        <v>SysML1.4::InterfaceBlock</v>
      </c>
      <c r="J89" t="str">
        <f>_xlfn.XLOOKUP($A89,'EA-Fortescue_SDExport'!$A:$A,'EA-Fortescue_SDExport'!J:J)</f>
        <v>Java</v>
      </c>
      <c r="K89" t="str">
        <f>_xlfn.XLOOKUP($A89,'EA-Fortescue_SDExport'!$A:$A,'EA-Fortescue_SDExport'!K:K)</f>
        <v>Admin</v>
      </c>
      <c r="L89" t="str">
        <f>_xlfn.XLOOKUP($A89,'EA-Fortescue_SDExport'!$A:$A,'EA-Fortescue_SDExport'!L:L)</f>
        <v>Public</v>
      </c>
      <c r="M89">
        <f>_xlfn.XLOOKUP($A89,'EA-Fortescue_SDExport'!$A:$A,'EA-Fortescue_SDExport'!M:M)</f>
        <v>0</v>
      </c>
      <c r="N89" t="str">
        <f>_xlfn.XLOOKUP($A89,InterfaceRegister!$A:$A,InterfaceRegister!K:K)</f>
        <v>Proposed</v>
      </c>
      <c r="O89">
        <f>_xlfn.XLOOKUP($A89,'EA-Fortescue_SDExport'!$A:$A,'EA-Fortescue_SDExport'!O:O)</f>
        <v>1</v>
      </c>
      <c r="P89">
        <f>_xlfn.XLOOKUP($A89,'EA-Fortescue_SDExport'!$A:$A,'EA-Fortescue_SDExport'!P:P)</f>
        <v>0</v>
      </c>
      <c r="Q89">
        <f>_xlfn.XLOOKUP($A89,'EA-Fortescue_SDExport'!$A:$A,'EA-Fortescue_SDExport'!Q:Q)</f>
        <v>0</v>
      </c>
      <c r="R89">
        <f>_xlfn.XLOOKUP($A89,'EA-Fortescue_SDExport'!$A:$A,'EA-Fortescue_SDExport'!R:R)</f>
        <v>0</v>
      </c>
      <c r="S89">
        <f>_xlfn.XLOOKUP($A89,'EA-Fortescue_SDExport'!$A:$A,'EA-Fortescue_SDExport'!S:S)</f>
        <v>0</v>
      </c>
      <c r="T89">
        <f>_xlfn.XLOOKUP($A89,'EA-Fortescue_SDExport'!$A:$A,'EA-Fortescue_SDExport'!T:T)</f>
        <v>0</v>
      </c>
      <c r="U89">
        <f>_xlfn.XLOOKUP($A89,'EA-Fortescue_SDExport'!$A:$A,'EA-Fortescue_SDExport'!U:U)</f>
        <v>45945.676504629628</v>
      </c>
      <c r="V89">
        <f>_xlfn.XLOOKUP($A89,'EA-Fortescue_SDExport'!$A:$A,'EA-Fortescue_SDExport'!V:V)</f>
        <v>46002.067604166667</v>
      </c>
      <c r="W89">
        <f>_xlfn.XLOOKUP($A89,'EA-Fortescue_SDExport'!$A:$A,'EA-Fortescue_SDExport'!W:W)</f>
        <v>0</v>
      </c>
      <c r="X89">
        <f>_xlfn.XLOOKUP($A89,'EA-Fortescue_SDExport'!$A:$A,'EA-Fortescue_SDExport'!X:X)</f>
        <v>0</v>
      </c>
      <c r="Y89">
        <f>_xlfn.XLOOKUP($A89,'EA-Fortescue_SDExport'!$A:$A,'EA-Fortescue_SDExport'!Y:Y)</f>
        <v>0</v>
      </c>
      <c r="Z89" t="str">
        <f>_xlfn.XLOOKUP($A89,'EA-Fortescue_SDExport'!$A:$A,'EA-Fortescue_SDExport'!Z:Z)</f>
        <v>SysML1.4::InterfaceBlock</v>
      </c>
      <c r="AA89" t="str">
        <f>_xlfn.XLOOKUP($A89,InterfaceRegister!$A:$A,InterfaceRegister!B:B)</f>
        <v>004OP-1301 Run of Mine (ROM)|001OP-2110 Primary Crusher</v>
      </c>
      <c r="AB89" t="str">
        <f>_xlfn.XLOOKUP($A89,InterfaceRegister!$A:$A,InterfaceRegister!C:C)</f>
        <v/>
      </c>
      <c r="AC89" t="str">
        <f>_xlfn.XLOOKUP($A89,InterfaceRegister!$A:$A,InterfaceRegister!D:D)</f>
        <v/>
      </c>
      <c r="AD89" t="str">
        <f>_xlfn.XLOOKUP($A89,InterfaceRegister!$A:$A,InterfaceRegister!E:E)</f>
        <v>System - System Interface</v>
      </c>
      <c r="AE89" t="str">
        <f>_xlfn.XLOOKUP($A89,InterfaceRegister!$A:$A,InterfaceRegister!F:F)</f>
        <v/>
      </c>
      <c r="AF89" t="str">
        <f>_xlfn.XLOOKUP($A89,InterfaceRegister!$A:$A,InterfaceRegister!L:L)</f>
        <v/>
      </c>
      <c r="AG89" t="str">
        <f>_xlfn.XLOOKUP($A89,InterfaceRegister!$A:$A,InterfaceRegister!M:M)</f>
        <v/>
      </c>
      <c r="AH89" t="str">
        <f>_xlfn.XLOOKUP($A89,InterfaceRegister!$A:$A,InterfaceRegister!O:O)</f>
        <v/>
      </c>
      <c r="AI89" t="str">
        <f>_xlfn.XLOOKUP($A89,InterfaceRegister!$A:$A,InterfaceRegister!N:N)</f>
        <v/>
      </c>
      <c r="AJ89" t="str">
        <f>_xlfn.XLOOKUP($A89,'EA-Fortescue_SDExport'!$A:$A,'EA-Fortescue_SDExport'!AX:AX)</f>
        <v>CSVB0F80C6E</v>
      </c>
      <c r="AK89">
        <f>_xlfn.XLOOKUP($A89,'EA-Fortescue_SDExport'!$A:$A,'EA-Fortescue_SDExport'!AY:AY)</f>
        <v>0</v>
      </c>
    </row>
    <row r="90" spans="1:37" x14ac:dyDescent="0.25">
      <c r="A90" t="str">
        <v>DGS-I_0089</v>
      </c>
      <c r="B90" t="str">
        <f>_xlfn.XLOOKUP($A90,'EA-Fortescue_SDExport'!$A:$A,'EA-Fortescue_SDExport'!B:B)</f>
        <v>Class</v>
      </c>
      <c r="C90" t="str">
        <f>_xlfn.XLOOKUP($A90,'EA-Fortescue_SDExport'!$A:$A,'EA-Fortescue_SDExport'!C:C)</f>
        <v>{913D38A0-E53E-4406-8D2F-9F05DFB57EF6}</v>
      </c>
      <c r="D90" t="str">
        <f>_xlfn.LET(_xlpm.result, _xlfn.XLOOKUP($A90, InterfaceRegister!$A:$A, InterfaceRegister!P:P), IF(_xlpm.result=0, "", _xlpm.result))</f>
        <v/>
      </c>
      <c r="E90">
        <f>_xlfn.XLOOKUP($A90,'EA-Fortescue_SDExport'!$A:$A,'EA-Fortescue_SDExport'!E:E)</f>
        <v>1</v>
      </c>
      <c r="F90">
        <f>_xlfn.XLOOKUP($A90,'EA-Fortescue_SDExport'!$A:$A,'EA-Fortescue_SDExport'!F:F)</f>
        <v>1</v>
      </c>
      <c r="G90">
        <f>_xlfn.XLOOKUP($A90,'EA-Fortescue_SDExport'!$A:$A,'EA-Fortescue_SDExport'!G:G)</f>
        <v>0</v>
      </c>
      <c r="H90" t="str">
        <f>_xlfn.XLOOKUP($A90,'EA-Fortescue_SDExport'!$A:$A,'EA-Fortescue_SDExport'!H:H)</f>
        <v>InterfaceBlock</v>
      </c>
      <c r="I90" t="str">
        <f>_xlfn.XLOOKUP($A90,'EA-Fortescue_SDExport'!$A:$A,'EA-Fortescue_SDExport'!I:I)</f>
        <v>SysML1.4::InterfaceBlock</v>
      </c>
      <c r="J90" t="str">
        <f>_xlfn.XLOOKUP($A90,'EA-Fortescue_SDExport'!$A:$A,'EA-Fortescue_SDExport'!J:J)</f>
        <v>Java</v>
      </c>
      <c r="K90" t="str">
        <f>_xlfn.XLOOKUP($A90,'EA-Fortescue_SDExport'!$A:$A,'EA-Fortescue_SDExport'!K:K)</f>
        <v>Admin</v>
      </c>
      <c r="L90" t="str">
        <f>_xlfn.XLOOKUP($A90,'EA-Fortescue_SDExport'!$A:$A,'EA-Fortescue_SDExport'!L:L)</f>
        <v>Public</v>
      </c>
      <c r="M90">
        <f>_xlfn.XLOOKUP($A90,'EA-Fortescue_SDExport'!$A:$A,'EA-Fortescue_SDExport'!M:M)</f>
        <v>0</v>
      </c>
      <c r="N90" t="str">
        <f>_xlfn.XLOOKUP($A90,InterfaceRegister!$A:$A,InterfaceRegister!K:K)</f>
        <v>Proposed</v>
      </c>
      <c r="O90">
        <f>_xlfn.XLOOKUP($A90,'EA-Fortescue_SDExport'!$A:$A,'EA-Fortescue_SDExport'!O:O)</f>
        <v>1</v>
      </c>
      <c r="P90">
        <f>_xlfn.XLOOKUP($A90,'EA-Fortescue_SDExport'!$A:$A,'EA-Fortescue_SDExport'!P:P)</f>
        <v>0</v>
      </c>
      <c r="Q90">
        <f>_xlfn.XLOOKUP($A90,'EA-Fortescue_SDExport'!$A:$A,'EA-Fortescue_SDExport'!Q:Q)</f>
        <v>0</v>
      </c>
      <c r="R90">
        <f>_xlfn.XLOOKUP($A90,'EA-Fortescue_SDExport'!$A:$A,'EA-Fortescue_SDExport'!R:R)</f>
        <v>0</v>
      </c>
      <c r="S90">
        <f>_xlfn.XLOOKUP($A90,'EA-Fortescue_SDExport'!$A:$A,'EA-Fortescue_SDExport'!S:S)</f>
        <v>0</v>
      </c>
      <c r="T90">
        <f>_xlfn.XLOOKUP($A90,'EA-Fortescue_SDExport'!$A:$A,'EA-Fortescue_SDExport'!T:T)</f>
        <v>0</v>
      </c>
      <c r="U90">
        <f>_xlfn.XLOOKUP($A90,'EA-Fortescue_SDExport'!$A:$A,'EA-Fortescue_SDExport'!U:U)</f>
        <v>45945.676516203705</v>
      </c>
      <c r="V90">
        <f>_xlfn.XLOOKUP($A90,'EA-Fortescue_SDExport'!$A:$A,'EA-Fortescue_SDExport'!V:V)</f>
        <v>46002.067615740743</v>
      </c>
      <c r="W90">
        <f>_xlfn.XLOOKUP($A90,'EA-Fortescue_SDExport'!$A:$A,'EA-Fortescue_SDExport'!W:W)</f>
        <v>0</v>
      </c>
      <c r="X90">
        <f>_xlfn.XLOOKUP($A90,'EA-Fortescue_SDExport'!$A:$A,'EA-Fortescue_SDExport'!X:X)</f>
        <v>0</v>
      </c>
      <c r="Y90">
        <f>_xlfn.XLOOKUP($A90,'EA-Fortescue_SDExport'!$A:$A,'EA-Fortescue_SDExport'!Y:Y)</f>
        <v>0</v>
      </c>
      <c r="Z90" t="str">
        <f>_xlfn.XLOOKUP($A90,'EA-Fortescue_SDExport'!$A:$A,'EA-Fortescue_SDExport'!Z:Z)</f>
        <v>SysML1.4::InterfaceBlock</v>
      </c>
      <c r="AA90" t="str">
        <f>_xlfn.XLOOKUP($A90,InterfaceRegister!$A:$A,InterfaceRegister!B:B)</f>
        <v>001OP-2110 Primary Crusher|004OP-1302 Coarse Ore Stockpile (COS)</v>
      </c>
      <c r="AB90" t="str">
        <f>_xlfn.XLOOKUP($A90,InterfaceRegister!$A:$A,InterfaceRegister!C:C)</f>
        <v/>
      </c>
      <c r="AC90" t="str">
        <f>_xlfn.XLOOKUP($A90,InterfaceRegister!$A:$A,InterfaceRegister!D:D)</f>
        <v/>
      </c>
      <c r="AD90" t="str">
        <f>_xlfn.XLOOKUP($A90,InterfaceRegister!$A:$A,InterfaceRegister!E:E)</f>
        <v>System - System Interface</v>
      </c>
      <c r="AE90" t="str">
        <f>_xlfn.XLOOKUP($A90,InterfaceRegister!$A:$A,InterfaceRegister!F:F)</f>
        <v/>
      </c>
      <c r="AF90" t="str">
        <f>_xlfn.XLOOKUP($A90,InterfaceRegister!$A:$A,InterfaceRegister!L:L)</f>
        <v/>
      </c>
      <c r="AG90" t="str">
        <f>_xlfn.XLOOKUP($A90,InterfaceRegister!$A:$A,InterfaceRegister!M:M)</f>
        <v/>
      </c>
      <c r="AH90" t="str">
        <f>_xlfn.XLOOKUP($A90,InterfaceRegister!$A:$A,InterfaceRegister!O:O)</f>
        <v/>
      </c>
      <c r="AI90" t="str">
        <f>_xlfn.XLOOKUP($A90,InterfaceRegister!$A:$A,InterfaceRegister!N:N)</f>
        <v/>
      </c>
      <c r="AJ90" t="str">
        <f>_xlfn.XLOOKUP($A90,'EA-Fortescue_SDExport'!$A:$A,'EA-Fortescue_SDExport'!AX:AX)</f>
        <v>CSVFFB91947</v>
      </c>
      <c r="AK90">
        <f>_xlfn.XLOOKUP($A90,'EA-Fortescue_SDExport'!$A:$A,'EA-Fortescue_SDExport'!AY:AY)</f>
        <v>0</v>
      </c>
    </row>
    <row r="91" spans="1:37" x14ac:dyDescent="0.25">
      <c r="A91" t="str">
        <v>DGS-I_0090</v>
      </c>
      <c r="B91" t="str">
        <f>_xlfn.XLOOKUP($A91,'EA-Fortescue_SDExport'!$A:$A,'EA-Fortescue_SDExport'!B:B)</f>
        <v>Class</v>
      </c>
      <c r="C91" t="str">
        <f>_xlfn.XLOOKUP($A91,'EA-Fortescue_SDExport'!$A:$A,'EA-Fortescue_SDExport'!C:C)</f>
        <v>{5CCCB72E-78C0-4f49-98AE-628D01673A32}</v>
      </c>
      <c r="D91" t="str">
        <f>_xlfn.LET(_xlpm.result, _xlfn.XLOOKUP($A91, InterfaceRegister!$A:$A, InterfaceRegister!P:P), IF(_xlpm.result=0, "", _xlpm.result))</f>
        <v/>
      </c>
      <c r="E91">
        <f>_xlfn.XLOOKUP($A91,'EA-Fortescue_SDExport'!$A:$A,'EA-Fortescue_SDExport'!E:E)</f>
        <v>1</v>
      </c>
      <c r="F91">
        <f>_xlfn.XLOOKUP($A91,'EA-Fortescue_SDExport'!$A:$A,'EA-Fortescue_SDExport'!F:F)</f>
        <v>1</v>
      </c>
      <c r="G91">
        <f>_xlfn.XLOOKUP($A91,'EA-Fortescue_SDExport'!$A:$A,'EA-Fortescue_SDExport'!G:G)</f>
        <v>0</v>
      </c>
      <c r="H91" t="str">
        <f>_xlfn.XLOOKUP($A91,'EA-Fortescue_SDExport'!$A:$A,'EA-Fortescue_SDExport'!H:H)</f>
        <v>InterfaceBlock</v>
      </c>
      <c r="I91" t="str">
        <f>_xlfn.XLOOKUP($A91,'EA-Fortescue_SDExport'!$A:$A,'EA-Fortescue_SDExport'!I:I)</f>
        <v>SysML1.4::InterfaceBlock</v>
      </c>
      <c r="J91" t="str">
        <f>_xlfn.XLOOKUP($A91,'EA-Fortescue_SDExport'!$A:$A,'EA-Fortescue_SDExport'!J:J)</f>
        <v>Java</v>
      </c>
      <c r="K91" t="str">
        <f>_xlfn.XLOOKUP($A91,'EA-Fortescue_SDExport'!$A:$A,'EA-Fortescue_SDExport'!K:K)</f>
        <v>Admin</v>
      </c>
      <c r="L91" t="str">
        <f>_xlfn.XLOOKUP($A91,'EA-Fortescue_SDExport'!$A:$A,'EA-Fortescue_SDExport'!L:L)</f>
        <v>Public</v>
      </c>
      <c r="M91">
        <f>_xlfn.XLOOKUP($A91,'EA-Fortescue_SDExport'!$A:$A,'EA-Fortescue_SDExport'!M:M)</f>
        <v>0</v>
      </c>
      <c r="N91" t="str">
        <f>_xlfn.XLOOKUP($A91,InterfaceRegister!$A:$A,InterfaceRegister!K:K)</f>
        <v>Proposed</v>
      </c>
      <c r="O91">
        <f>_xlfn.XLOOKUP($A91,'EA-Fortescue_SDExport'!$A:$A,'EA-Fortescue_SDExport'!O:O)</f>
        <v>1</v>
      </c>
      <c r="P91">
        <f>_xlfn.XLOOKUP($A91,'EA-Fortescue_SDExport'!$A:$A,'EA-Fortescue_SDExport'!P:P)</f>
        <v>0</v>
      </c>
      <c r="Q91">
        <f>_xlfn.XLOOKUP($A91,'EA-Fortescue_SDExport'!$A:$A,'EA-Fortescue_SDExport'!Q:Q)</f>
        <v>0</v>
      </c>
      <c r="R91">
        <f>_xlfn.XLOOKUP($A91,'EA-Fortescue_SDExport'!$A:$A,'EA-Fortescue_SDExport'!R:R)</f>
        <v>0</v>
      </c>
      <c r="S91">
        <f>_xlfn.XLOOKUP($A91,'EA-Fortescue_SDExport'!$A:$A,'EA-Fortescue_SDExport'!S:S)</f>
        <v>0</v>
      </c>
      <c r="T91">
        <f>_xlfn.XLOOKUP($A91,'EA-Fortescue_SDExport'!$A:$A,'EA-Fortescue_SDExport'!T:T)</f>
        <v>0</v>
      </c>
      <c r="U91">
        <f>_xlfn.XLOOKUP($A91,'EA-Fortescue_SDExport'!$A:$A,'EA-Fortescue_SDExport'!U:U)</f>
        <v>45945.676527777781</v>
      </c>
      <c r="V91">
        <f>_xlfn.XLOOKUP($A91,'EA-Fortescue_SDExport'!$A:$A,'EA-Fortescue_SDExport'!V:V)</f>
        <v>46002.067615740743</v>
      </c>
      <c r="W91">
        <f>_xlfn.XLOOKUP($A91,'EA-Fortescue_SDExport'!$A:$A,'EA-Fortescue_SDExport'!W:W)</f>
        <v>0</v>
      </c>
      <c r="X91">
        <f>_xlfn.XLOOKUP($A91,'EA-Fortescue_SDExport'!$A:$A,'EA-Fortescue_SDExport'!X:X)</f>
        <v>0</v>
      </c>
      <c r="Y91">
        <f>_xlfn.XLOOKUP($A91,'EA-Fortescue_SDExport'!$A:$A,'EA-Fortescue_SDExport'!Y:Y)</f>
        <v>0</v>
      </c>
      <c r="Z91" t="str">
        <f>_xlfn.XLOOKUP($A91,'EA-Fortescue_SDExport'!$A:$A,'EA-Fortescue_SDExport'!Z:Z)</f>
        <v>SysML1.4::InterfaceBlock</v>
      </c>
      <c r="AA91" t="str">
        <f>_xlfn.XLOOKUP($A91,InterfaceRegister!$A:$A,InterfaceRegister!B:B)</f>
        <v>002OP-1800 CCTV|850DC-1523 Sub Kiosks</v>
      </c>
      <c r="AB91" t="str">
        <f>_xlfn.XLOOKUP($A91,InterfaceRegister!$A:$A,InterfaceRegister!C:C)</f>
        <v/>
      </c>
      <c r="AC91" t="str">
        <f>_xlfn.XLOOKUP($A91,InterfaceRegister!$A:$A,InterfaceRegister!D:D)</f>
        <v/>
      </c>
      <c r="AD91" t="str">
        <f>_xlfn.XLOOKUP($A91,InterfaceRegister!$A:$A,InterfaceRegister!E:E)</f>
        <v>System - System Interface</v>
      </c>
      <c r="AE91" t="str">
        <f>_xlfn.XLOOKUP($A91,InterfaceRegister!$A:$A,InterfaceRegister!F:F)</f>
        <v/>
      </c>
      <c r="AF91" t="str">
        <f>_xlfn.XLOOKUP($A91,InterfaceRegister!$A:$A,InterfaceRegister!L:L)</f>
        <v/>
      </c>
      <c r="AG91" t="str">
        <f>_xlfn.XLOOKUP($A91,InterfaceRegister!$A:$A,InterfaceRegister!M:M)</f>
        <v/>
      </c>
      <c r="AH91" t="str">
        <f>_xlfn.XLOOKUP($A91,InterfaceRegister!$A:$A,InterfaceRegister!O:O)</f>
        <v/>
      </c>
      <c r="AI91" t="str">
        <f>_xlfn.XLOOKUP($A91,InterfaceRegister!$A:$A,InterfaceRegister!N:N)</f>
        <v/>
      </c>
      <c r="AJ91" t="str">
        <f>_xlfn.XLOOKUP($A91,'EA-Fortescue_SDExport'!$A:$A,'EA-Fortescue_SDExport'!AX:AX)</f>
        <v>CSV954390E0</v>
      </c>
      <c r="AK91">
        <f>_xlfn.XLOOKUP($A91,'EA-Fortescue_SDExport'!$A:$A,'EA-Fortescue_SDExport'!AY:AY)</f>
        <v>0</v>
      </c>
    </row>
    <row r="92" spans="1:37" x14ac:dyDescent="0.25">
      <c r="A92" t="str">
        <v>DGS-I_0091</v>
      </c>
      <c r="B92" t="str">
        <f>_xlfn.XLOOKUP($A92,'EA-Fortescue_SDExport'!$A:$A,'EA-Fortescue_SDExport'!B:B)</f>
        <v>Class</v>
      </c>
      <c r="C92" t="str">
        <f>_xlfn.XLOOKUP($A92,'EA-Fortescue_SDExport'!$A:$A,'EA-Fortescue_SDExport'!C:C)</f>
        <v>{4EDA2DA6-A410-426b-9C88-C5995C6F2BF4}</v>
      </c>
      <c r="D92" t="str">
        <f>_xlfn.LET(_xlpm.result, _xlfn.XLOOKUP($A92, InterfaceRegister!$A:$A, InterfaceRegister!P:P), IF(_xlpm.result=0, "", _xlpm.result))</f>
        <v/>
      </c>
      <c r="E92">
        <f>_xlfn.XLOOKUP($A92,'EA-Fortescue_SDExport'!$A:$A,'EA-Fortescue_SDExport'!E:E)</f>
        <v>1</v>
      </c>
      <c r="F92">
        <f>_xlfn.XLOOKUP($A92,'EA-Fortescue_SDExport'!$A:$A,'EA-Fortescue_SDExport'!F:F)</f>
        <v>1</v>
      </c>
      <c r="G92">
        <f>_xlfn.XLOOKUP($A92,'EA-Fortescue_SDExport'!$A:$A,'EA-Fortescue_SDExport'!G:G)</f>
        <v>0</v>
      </c>
      <c r="H92" t="str">
        <f>_xlfn.XLOOKUP($A92,'EA-Fortescue_SDExport'!$A:$A,'EA-Fortescue_SDExport'!H:H)</f>
        <v>InterfaceBlock</v>
      </c>
      <c r="I92" t="str">
        <f>_xlfn.XLOOKUP($A92,'EA-Fortescue_SDExport'!$A:$A,'EA-Fortescue_SDExport'!I:I)</f>
        <v>SysML1.4::InterfaceBlock</v>
      </c>
      <c r="J92" t="str">
        <f>_xlfn.XLOOKUP($A92,'EA-Fortescue_SDExport'!$A:$A,'EA-Fortescue_SDExport'!J:J)</f>
        <v>Java</v>
      </c>
      <c r="K92" t="str">
        <f>_xlfn.XLOOKUP($A92,'EA-Fortescue_SDExport'!$A:$A,'EA-Fortescue_SDExport'!K:K)</f>
        <v>Admin</v>
      </c>
      <c r="L92" t="str">
        <f>_xlfn.XLOOKUP($A92,'EA-Fortescue_SDExport'!$A:$A,'EA-Fortescue_SDExport'!L:L)</f>
        <v>Public</v>
      </c>
      <c r="M92">
        <f>_xlfn.XLOOKUP($A92,'EA-Fortescue_SDExport'!$A:$A,'EA-Fortescue_SDExport'!M:M)</f>
        <v>0</v>
      </c>
      <c r="N92" t="str">
        <f>_xlfn.XLOOKUP($A92,InterfaceRegister!$A:$A,InterfaceRegister!K:K)</f>
        <v>Proposed</v>
      </c>
      <c r="O92">
        <f>_xlfn.XLOOKUP($A92,'EA-Fortescue_SDExport'!$A:$A,'EA-Fortescue_SDExport'!O:O)</f>
        <v>1</v>
      </c>
      <c r="P92">
        <f>_xlfn.XLOOKUP($A92,'EA-Fortescue_SDExport'!$A:$A,'EA-Fortescue_SDExport'!P:P)</f>
        <v>0</v>
      </c>
      <c r="Q92">
        <f>_xlfn.XLOOKUP($A92,'EA-Fortescue_SDExport'!$A:$A,'EA-Fortescue_SDExport'!Q:Q)</f>
        <v>0</v>
      </c>
      <c r="R92">
        <f>_xlfn.XLOOKUP($A92,'EA-Fortescue_SDExport'!$A:$A,'EA-Fortescue_SDExport'!R:R)</f>
        <v>0</v>
      </c>
      <c r="S92">
        <f>_xlfn.XLOOKUP($A92,'EA-Fortescue_SDExport'!$A:$A,'EA-Fortescue_SDExport'!S:S)</f>
        <v>0</v>
      </c>
      <c r="T92">
        <f>_xlfn.XLOOKUP($A92,'EA-Fortescue_SDExport'!$A:$A,'EA-Fortescue_SDExport'!T:T)</f>
        <v>0</v>
      </c>
      <c r="U92">
        <f>_xlfn.XLOOKUP($A92,'EA-Fortescue_SDExport'!$A:$A,'EA-Fortescue_SDExport'!U:U)</f>
        <v>45945.676562499997</v>
      </c>
      <c r="V92">
        <f>_xlfn.XLOOKUP($A92,'EA-Fortescue_SDExport'!$A:$A,'EA-Fortescue_SDExport'!V:V)</f>
        <v>46002.067546296297</v>
      </c>
      <c r="W92">
        <f>_xlfn.XLOOKUP($A92,'EA-Fortescue_SDExport'!$A:$A,'EA-Fortescue_SDExport'!W:W)</f>
        <v>0</v>
      </c>
      <c r="X92">
        <f>_xlfn.XLOOKUP($A92,'EA-Fortescue_SDExport'!$A:$A,'EA-Fortescue_SDExport'!X:X)</f>
        <v>0</v>
      </c>
      <c r="Y92">
        <f>_xlfn.XLOOKUP($A92,'EA-Fortescue_SDExport'!$A:$A,'EA-Fortescue_SDExport'!Y:Y)</f>
        <v>0</v>
      </c>
      <c r="Z92" t="str">
        <f>_xlfn.XLOOKUP($A92,'EA-Fortescue_SDExport'!$A:$A,'EA-Fortescue_SDExport'!Z:Z)</f>
        <v>SysML1.4::InterfaceBlock</v>
      </c>
      <c r="AA92" t="str">
        <f>_xlfn.XLOOKUP($A92,InterfaceRegister!$A:$A,InterfaceRegister!B:B)</f>
        <v>002OP-2000 Dewatering Pumps|850DC-1520 Trailing Cable</v>
      </c>
      <c r="AB92" t="str">
        <f>_xlfn.XLOOKUP($A92,InterfaceRegister!$A:$A,InterfaceRegister!C:C)</f>
        <v/>
      </c>
      <c r="AC92" t="str">
        <f>_xlfn.XLOOKUP($A92,InterfaceRegister!$A:$A,InterfaceRegister!D:D)</f>
        <v/>
      </c>
      <c r="AD92" t="str">
        <f>_xlfn.XLOOKUP($A92,InterfaceRegister!$A:$A,InterfaceRegister!E:E)</f>
        <v>System - System Interface</v>
      </c>
      <c r="AE92" t="str">
        <f>_xlfn.XLOOKUP($A92,InterfaceRegister!$A:$A,InterfaceRegister!F:F)</f>
        <v/>
      </c>
      <c r="AF92" t="str">
        <f>_xlfn.XLOOKUP($A92,InterfaceRegister!$A:$A,InterfaceRegister!L:L)</f>
        <v/>
      </c>
      <c r="AG92" t="str">
        <f>_xlfn.XLOOKUP($A92,InterfaceRegister!$A:$A,InterfaceRegister!M:M)</f>
        <v/>
      </c>
      <c r="AH92" t="str">
        <f>_xlfn.XLOOKUP($A92,InterfaceRegister!$A:$A,InterfaceRegister!O:O)</f>
        <v/>
      </c>
      <c r="AI92" t="str">
        <f>_xlfn.XLOOKUP($A92,InterfaceRegister!$A:$A,InterfaceRegister!N:N)</f>
        <v/>
      </c>
      <c r="AJ92" t="str">
        <f>_xlfn.XLOOKUP($A92,'EA-Fortescue_SDExport'!$A:$A,'EA-Fortescue_SDExport'!AX:AX)</f>
        <v>CSVA97CA3AF</v>
      </c>
      <c r="AK92">
        <f>_xlfn.XLOOKUP($A92,'EA-Fortescue_SDExport'!$A:$A,'EA-Fortescue_SDExport'!AY:AY)</f>
        <v>0</v>
      </c>
    </row>
    <row r="93" spans="1:37" x14ac:dyDescent="0.25">
      <c r="A93" t="str">
        <v>DGS-I_0092</v>
      </c>
      <c r="B93" t="str">
        <f>_xlfn.XLOOKUP($A93,'EA-Fortescue_SDExport'!$A:$A,'EA-Fortescue_SDExport'!B:B)</f>
        <v>Class</v>
      </c>
      <c r="C93" t="str">
        <f>_xlfn.XLOOKUP($A93,'EA-Fortescue_SDExport'!$A:$A,'EA-Fortescue_SDExport'!C:C)</f>
        <v>{BF19BB8A-3C37-4363-A564-96A15A4BA4FC}</v>
      </c>
      <c r="D93" t="str">
        <f>_xlfn.LET(_xlpm.result, _xlfn.XLOOKUP($A93, InterfaceRegister!$A:$A, InterfaceRegister!P:P), IF(_xlpm.result=0, "", _xlpm.result))</f>
        <v/>
      </c>
      <c r="E93">
        <f>_xlfn.XLOOKUP($A93,'EA-Fortescue_SDExport'!$A:$A,'EA-Fortescue_SDExport'!E:E)</f>
        <v>1</v>
      </c>
      <c r="F93">
        <f>_xlfn.XLOOKUP($A93,'EA-Fortescue_SDExport'!$A:$A,'EA-Fortescue_SDExport'!F:F)</f>
        <v>1</v>
      </c>
      <c r="G93">
        <f>_xlfn.XLOOKUP($A93,'EA-Fortescue_SDExport'!$A:$A,'EA-Fortescue_SDExport'!G:G)</f>
        <v>0</v>
      </c>
      <c r="H93" t="str">
        <f>_xlfn.XLOOKUP($A93,'EA-Fortescue_SDExport'!$A:$A,'EA-Fortescue_SDExport'!H:H)</f>
        <v>InterfaceBlock</v>
      </c>
      <c r="I93" t="str">
        <f>_xlfn.XLOOKUP($A93,'EA-Fortescue_SDExport'!$A:$A,'EA-Fortescue_SDExport'!I:I)</f>
        <v>SysML1.4::InterfaceBlock</v>
      </c>
      <c r="J93" t="str">
        <f>_xlfn.XLOOKUP($A93,'EA-Fortescue_SDExport'!$A:$A,'EA-Fortescue_SDExport'!J:J)</f>
        <v>Java</v>
      </c>
      <c r="K93" t="str">
        <f>_xlfn.XLOOKUP($A93,'EA-Fortescue_SDExport'!$A:$A,'EA-Fortescue_SDExport'!K:K)</f>
        <v>Admin</v>
      </c>
      <c r="L93" t="str">
        <f>_xlfn.XLOOKUP($A93,'EA-Fortescue_SDExport'!$A:$A,'EA-Fortescue_SDExport'!L:L)</f>
        <v>Public</v>
      </c>
      <c r="M93">
        <f>_xlfn.XLOOKUP($A93,'EA-Fortescue_SDExport'!$A:$A,'EA-Fortescue_SDExport'!M:M)</f>
        <v>0</v>
      </c>
      <c r="N93" t="str">
        <f>_xlfn.XLOOKUP($A93,InterfaceRegister!$A:$A,InterfaceRegister!K:K)</f>
        <v>Proposed</v>
      </c>
      <c r="O93">
        <f>_xlfn.XLOOKUP($A93,'EA-Fortescue_SDExport'!$A:$A,'EA-Fortescue_SDExport'!O:O)</f>
        <v>1</v>
      </c>
      <c r="P93">
        <f>_xlfn.XLOOKUP($A93,'EA-Fortescue_SDExport'!$A:$A,'EA-Fortescue_SDExport'!P:P)</f>
        <v>0</v>
      </c>
      <c r="Q93">
        <f>_xlfn.XLOOKUP($A93,'EA-Fortescue_SDExport'!$A:$A,'EA-Fortescue_SDExport'!Q:Q)</f>
        <v>0</v>
      </c>
      <c r="R93">
        <f>_xlfn.XLOOKUP($A93,'EA-Fortescue_SDExport'!$A:$A,'EA-Fortescue_SDExport'!R:R)</f>
        <v>0</v>
      </c>
      <c r="S93">
        <f>_xlfn.XLOOKUP($A93,'EA-Fortescue_SDExport'!$A:$A,'EA-Fortescue_SDExport'!S:S)</f>
        <v>0</v>
      </c>
      <c r="T93">
        <f>_xlfn.XLOOKUP($A93,'EA-Fortescue_SDExport'!$A:$A,'EA-Fortescue_SDExport'!T:T)</f>
        <v>0</v>
      </c>
      <c r="U93">
        <f>_xlfn.XLOOKUP($A93,'EA-Fortescue_SDExport'!$A:$A,'EA-Fortescue_SDExport'!U:U)</f>
        <v>45945.699525462966</v>
      </c>
      <c r="V93">
        <f>_xlfn.XLOOKUP($A93,'EA-Fortescue_SDExport'!$A:$A,'EA-Fortescue_SDExport'!V:V)</f>
        <v>46002.067604166667</v>
      </c>
      <c r="W93">
        <f>_xlfn.XLOOKUP($A93,'EA-Fortescue_SDExport'!$A:$A,'EA-Fortescue_SDExport'!W:W)</f>
        <v>0</v>
      </c>
      <c r="X93">
        <f>_xlfn.XLOOKUP($A93,'EA-Fortescue_SDExport'!$A:$A,'EA-Fortescue_SDExport'!X:X)</f>
        <v>0</v>
      </c>
      <c r="Y93">
        <f>_xlfn.XLOOKUP($A93,'EA-Fortescue_SDExport'!$A:$A,'EA-Fortescue_SDExport'!Y:Y)</f>
        <v>0</v>
      </c>
      <c r="Z93" t="str">
        <f>_xlfn.XLOOKUP($A93,'EA-Fortescue_SDExport'!$A:$A,'EA-Fortescue_SDExport'!Z:Z)</f>
        <v>SysML1.4::InterfaceBlock</v>
      </c>
      <c r="AA93" t="str">
        <f>_xlfn.XLOOKUP($A93,InterfaceRegister!$A:$A,InterfaceRegister!B:B)</f>
        <v>004OP-1302 Coarse Ore Stockpile (COS)|001OP-2003 Concentrate Handling Facility (CHF)</v>
      </c>
      <c r="AB93" t="str">
        <f>_xlfn.XLOOKUP($A93,InterfaceRegister!$A:$A,InterfaceRegister!C:C)</f>
        <v/>
      </c>
      <c r="AC93" t="str">
        <f>_xlfn.XLOOKUP($A93,InterfaceRegister!$A:$A,InterfaceRegister!D:D)</f>
        <v/>
      </c>
      <c r="AD93" t="str">
        <f>_xlfn.XLOOKUP($A93,InterfaceRegister!$A:$A,InterfaceRegister!E:E)</f>
        <v>System - System Interface</v>
      </c>
      <c r="AE93" t="str">
        <f>_xlfn.XLOOKUP($A93,InterfaceRegister!$A:$A,InterfaceRegister!F:F)</f>
        <v/>
      </c>
      <c r="AF93" t="str">
        <f>_xlfn.XLOOKUP($A93,InterfaceRegister!$A:$A,InterfaceRegister!L:L)</f>
        <v/>
      </c>
      <c r="AG93" t="str">
        <f>_xlfn.XLOOKUP($A93,InterfaceRegister!$A:$A,InterfaceRegister!M:M)</f>
        <v/>
      </c>
      <c r="AH93" t="str">
        <f>_xlfn.XLOOKUP($A93,InterfaceRegister!$A:$A,InterfaceRegister!O:O)</f>
        <v/>
      </c>
      <c r="AI93" t="str">
        <f>_xlfn.XLOOKUP($A93,InterfaceRegister!$A:$A,InterfaceRegister!N:N)</f>
        <v/>
      </c>
      <c r="AJ93" t="str">
        <f>_xlfn.XLOOKUP($A93,'EA-Fortescue_SDExport'!$A:$A,'EA-Fortescue_SDExport'!AX:AX)</f>
        <v>CSV1C555650</v>
      </c>
      <c r="AK93">
        <f>_xlfn.XLOOKUP($A93,'EA-Fortescue_SDExport'!$A:$A,'EA-Fortescue_SDExport'!AY:AY)</f>
        <v>0</v>
      </c>
    </row>
    <row r="94" spans="1:37" x14ac:dyDescent="0.25">
      <c r="A94" t="str">
        <v>DGS-I_0093</v>
      </c>
      <c r="B94" t="str">
        <f>_xlfn.XLOOKUP($A94,'EA-Fortescue_SDExport'!$A:$A,'EA-Fortescue_SDExport'!B:B)</f>
        <v>Class</v>
      </c>
      <c r="C94" t="str">
        <f>_xlfn.XLOOKUP($A94,'EA-Fortescue_SDExport'!$A:$A,'EA-Fortescue_SDExport'!C:C)</f>
        <v>{BFCC16B7-B826-44d0-B6C3-0D2C42197D50}</v>
      </c>
      <c r="D94" t="str">
        <f>_xlfn.LET(_xlpm.result, _xlfn.XLOOKUP($A94, InterfaceRegister!$A:$A, InterfaceRegister!P:P), IF(_xlpm.result=0, "", _xlpm.result))</f>
        <v/>
      </c>
      <c r="E94">
        <f>_xlfn.XLOOKUP($A94,'EA-Fortescue_SDExport'!$A:$A,'EA-Fortescue_SDExport'!E:E)</f>
        <v>1</v>
      </c>
      <c r="F94">
        <f>_xlfn.XLOOKUP($A94,'EA-Fortescue_SDExport'!$A:$A,'EA-Fortescue_SDExport'!F:F)</f>
        <v>1</v>
      </c>
      <c r="G94">
        <f>_xlfn.XLOOKUP($A94,'EA-Fortescue_SDExport'!$A:$A,'EA-Fortescue_SDExport'!G:G)</f>
        <v>0</v>
      </c>
      <c r="H94" t="str">
        <f>_xlfn.XLOOKUP($A94,'EA-Fortescue_SDExport'!$A:$A,'EA-Fortescue_SDExport'!H:H)</f>
        <v>InterfaceBlock</v>
      </c>
      <c r="I94" t="str">
        <f>_xlfn.XLOOKUP($A94,'EA-Fortescue_SDExport'!$A:$A,'EA-Fortescue_SDExport'!I:I)</f>
        <v>SysML1.4::InterfaceBlock</v>
      </c>
      <c r="J94" t="str">
        <f>_xlfn.XLOOKUP($A94,'EA-Fortescue_SDExport'!$A:$A,'EA-Fortescue_SDExport'!J:J)</f>
        <v>Java</v>
      </c>
      <c r="K94" t="str">
        <f>_xlfn.XLOOKUP($A94,'EA-Fortescue_SDExport'!$A:$A,'EA-Fortescue_SDExport'!K:K)</f>
        <v>Admin</v>
      </c>
      <c r="L94" t="str">
        <f>_xlfn.XLOOKUP($A94,'EA-Fortescue_SDExport'!$A:$A,'EA-Fortescue_SDExport'!L:L)</f>
        <v>Public</v>
      </c>
      <c r="M94">
        <f>_xlfn.XLOOKUP($A94,'EA-Fortescue_SDExport'!$A:$A,'EA-Fortescue_SDExport'!M:M)</f>
        <v>0</v>
      </c>
      <c r="N94" t="str">
        <f>_xlfn.XLOOKUP($A94,InterfaceRegister!$A:$A,InterfaceRegister!K:K)</f>
        <v>Proposed</v>
      </c>
      <c r="O94">
        <f>_xlfn.XLOOKUP($A94,'EA-Fortescue_SDExport'!$A:$A,'EA-Fortescue_SDExport'!O:O)</f>
        <v>1</v>
      </c>
      <c r="P94">
        <f>_xlfn.XLOOKUP($A94,'EA-Fortescue_SDExport'!$A:$A,'EA-Fortescue_SDExport'!P:P)</f>
        <v>0</v>
      </c>
      <c r="Q94">
        <f>_xlfn.XLOOKUP($A94,'EA-Fortescue_SDExport'!$A:$A,'EA-Fortescue_SDExport'!Q:Q)</f>
        <v>0</v>
      </c>
      <c r="R94">
        <f>_xlfn.XLOOKUP($A94,'EA-Fortescue_SDExport'!$A:$A,'EA-Fortescue_SDExport'!R:R)</f>
        <v>0</v>
      </c>
      <c r="S94">
        <f>_xlfn.XLOOKUP($A94,'EA-Fortescue_SDExport'!$A:$A,'EA-Fortescue_SDExport'!S:S)</f>
        <v>0</v>
      </c>
      <c r="T94">
        <f>_xlfn.XLOOKUP($A94,'EA-Fortescue_SDExport'!$A:$A,'EA-Fortescue_SDExport'!T:T)</f>
        <v>0</v>
      </c>
      <c r="U94">
        <f>_xlfn.XLOOKUP($A94,'EA-Fortescue_SDExport'!$A:$A,'EA-Fortescue_SDExport'!U:U)</f>
        <v>45945.699537037035</v>
      </c>
      <c r="V94">
        <f>_xlfn.XLOOKUP($A94,'EA-Fortescue_SDExport'!$A:$A,'EA-Fortescue_SDExport'!V:V)</f>
        <v>46002.067627314813</v>
      </c>
      <c r="W94">
        <f>_xlfn.XLOOKUP($A94,'EA-Fortescue_SDExport'!$A:$A,'EA-Fortescue_SDExport'!W:W)</f>
        <v>0</v>
      </c>
      <c r="X94">
        <f>_xlfn.XLOOKUP($A94,'EA-Fortescue_SDExport'!$A:$A,'EA-Fortescue_SDExport'!X:X)</f>
        <v>0</v>
      </c>
      <c r="Y94">
        <f>_xlfn.XLOOKUP($A94,'EA-Fortescue_SDExport'!$A:$A,'EA-Fortescue_SDExport'!Y:Y)</f>
        <v>0</v>
      </c>
      <c r="Z94" t="str">
        <f>_xlfn.XLOOKUP($A94,'EA-Fortescue_SDExport'!$A:$A,'EA-Fortescue_SDExport'!Z:Z)</f>
        <v>SysML1.4::InterfaceBlock</v>
      </c>
      <c r="AA94" t="str">
        <f>_xlfn.XLOOKUP($A94,InterfaceRegister!$A:$A,InterfaceRegister!B:B)</f>
        <v>001OP-2001 Ore Processing Facility (OPF)|004OP-1303 Train Loadout (TLO) Ore Stockpile</v>
      </c>
      <c r="AB94" t="str">
        <f>_xlfn.XLOOKUP($A94,InterfaceRegister!$A:$A,InterfaceRegister!C:C)</f>
        <v/>
      </c>
      <c r="AC94" t="str">
        <f>_xlfn.XLOOKUP($A94,InterfaceRegister!$A:$A,InterfaceRegister!D:D)</f>
        <v/>
      </c>
      <c r="AD94" t="str">
        <f>_xlfn.XLOOKUP($A94,InterfaceRegister!$A:$A,InterfaceRegister!E:E)</f>
        <v>System - System Interface</v>
      </c>
      <c r="AE94" t="str">
        <f>_xlfn.XLOOKUP($A94,InterfaceRegister!$A:$A,InterfaceRegister!F:F)</f>
        <v/>
      </c>
      <c r="AF94" t="str">
        <f>_xlfn.XLOOKUP($A94,InterfaceRegister!$A:$A,InterfaceRegister!L:L)</f>
        <v/>
      </c>
      <c r="AG94" t="str">
        <f>_xlfn.XLOOKUP($A94,InterfaceRegister!$A:$A,InterfaceRegister!M:M)</f>
        <v/>
      </c>
      <c r="AH94" t="str">
        <f>_xlfn.XLOOKUP($A94,InterfaceRegister!$A:$A,InterfaceRegister!O:O)</f>
        <v/>
      </c>
      <c r="AI94" t="str">
        <f>_xlfn.XLOOKUP($A94,InterfaceRegister!$A:$A,InterfaceRegister!N:N)</f>
        <v/>
      </c>
      <c r="AJ94" t="str">
        <f>_xlfn.XLOOKUP($A94,'EA-Fortescue_SDExport'!$A:$A,'EA-Fortescue_SDExport'!AX:AX)</f>
        <v>CSV4F380D22</v>
      </c>
      <c r="AK94">
        <f>_xlfn.XLOOKUP($A94,'EA-Fortescue_SDExport'!$A:$A,'EA-Fortescue_SDExport'!AY:AY)</f>
        <v>0</v>
      </c>
    </row>
    <row r="95" spans="1:37" x14ac:dyDescent="0.25">
      <c r="A95" t="str">
        <v>DGS-I_0094</v>
      </c>
      <c r="B95" t="str">
        <f>_xlfn.XLOOKUP($A95,'EA-Fortescue_SDExport'!$A:$A,'EA-Fortescue_SDExport'!B:B)</f>
        <v>Class</v>
      </c>
      <c r="C95" t="str">
        <f>_xlfn.XLOOKUP($A95,'EA-Fortescue_SDExport'!$A:$A,'EA-Fortescue_SDExport'!C:C)</f>
        <v>{1737F136-E567-4a8b-9C16-4FA40AEFD766}</v>
      </c>
      <c r="D95" t="str">
        <f>_xlfn.LET(_xlpm.result, _xlfn.XLOOKUP($A95, InterfaceRegister!$A:$A, InterfaceRegister!P:P), IF(_xlpm.result=0, "", _xlpm.result))</f>
        <v/>
      </c>
      <c r="E95">
        <f>_xlfn.XLOOKUP($A95,'EA-Fortescue_SDExport'!$A:$A,'EA-Fortescue_SDExport'!E:E)</f>
        <v>1</v>
      </c>
      <c r="F95">
        <f>_xlfn.XLOOKUP($A95,'EA-Fortescue_SDExport'!$A:$A,'EA-Fortescue_SDExport'!F:F)</f>
        <v>1</v>
      </c>
      <c r="G95">
        <f>_xlfn.XLOOKUP($A95,'EA-Fortescue_SDExport'!$A:$A,'EA-Fortescue_SDExport'!G:G)</f>
        <v>0</v>
      </c>
      <c r="H95" t="str">
        <f>_xlfn.XLOOKUP($A95,'EA-Fortescue_SDExport'!$A:$A,'EA-Fortescue_SDExport'!H:H)</f>
        <v>InterfaceBlock</v>
      </c>
      <c r="I95" t="str">
        <f>_xlfn.XLOOKUP($A95,'EA-Fortescue_SDExport'!$A:$A,'EA-Fortescue_SDExport'!I:I)</f>
        <v>SysML1.4::InterfaceBlock</v>
      </c>
      <c r="J95" t="str">
        <f>_xlfn.XLOOKUP($A95,'EA-Fortescue_SDExport'!$A:$A,'EA-Fortescue_SDExport'!J:J)</f>
        <v>Java</v>
      </c>
      <c r="K95" t="str">
        <f>_xlfn.XLOOKUP($A95,'EA-Fortescue_SDExport'!$A:$A,'EA-Fortescue_SDExport'!K:K)</f>
        <v>Admin</v>
      </c>
      <c r="L95" t="str">
        <f>_xlfn.XLOOKUP($A95,'EA-Fortescue_SDExport'!$A:$A,'EA-Fortescue_SDExport'!L:L)</f>
        <v>Public</v>
      </c>
      <c r="M95">
        <f>_xlfn.XLOOKUP($A95,'EA-Fortescue_SDExport'!$A:$A,'EA-Fortescue_SDExport'!M:M)</f>
        <v>0</v>
      </c>
      <c r="N95" t="str">
        <f>_xlfn.XLOOKUP($A95,InterfaceRegister!$A:$A,InterfaceRegister!K:K)</f>
        <v>Proposed</v>
      </c>
      <c r="O95">
        <f>_xlfn.XLOOKUP($A95,'EA-Fortescue_SDExport'!$A:$A,'EA-Fortescue_SDExport'!O:O)</f>
        <v>1</v>
      </c>
      <c r="P95">
        <f>_xlfn.XLOOKUP($A95,'EA-Fortescue_SDExport'!$A:$A,'EA-Fortescue_SDExport'!P:P)</f>
        <v>0</v>
      </c>
      <c r="Q95">
        <f>_xlfn.XLOOKUP($A95,'EA-Fortescue_SDExport'!$A:$A,'EA-Fortescue_SDExport'!Q:Q)</f>
        <v>0</v>
      </c>
      <c r="R95">
        <f>_xlfn.XLOOKUP($A95,'EA-Fortescue_SDExport'!$A:$A,'EA-Fortescue_SDExport'!R:R)</f>
        <v>0</v>
      </c>
      <c r="S95">
        <f>_xlfn.XLOOKUP($A95,'EA-Fortescue_SDExport'!$A:$A,'EA-Fortescue_SDExport'!S:S)</f>
        <v>0</v>
      </c>
      <c r="T95">
        <f>_xlfn.XLOOKUP($A95,'EA-Fortescue_SDExport'!$A:$A,'EA-Fortescue_SDExport'!T:T)</f>
        <v>0</v>
      </c>
      <c r="U95">
        <f>_xlfn.XLOOKUP($A95,'EA-Fortescue_SDExport'!$A:$A,'EA-Fortescue_SDExport'!U:U)</f>
        <v>45945.699675925927</v>
      </c>
      <c r="V95">
        <f>_xlfn.XLOOKUP($A95,'EA-Fortescue_SDExport'!$A:$A,'EA-Fortescue_SDExport'!V:V)</f>
        <v>46002.067604166667</v>
      </c>
      <c r="W95">
        <f>_xlfn.XLOOKUP($A95,'EA-Fortescue_SDExport'!$A:$A,'EA-Fortescue_SDExport'!W:W)</f>
        <v>0</v>
      </c>
      <c r="X95">
        <f>_xlfn.XLOOKUP($A95,'EA-Fortescue_SDExport'!$A:$A,'EA-Fortescue_SDExport'!X:X)</f>
        <v>0</v>
      </c>
      <c r="Y95">
        <f>_xlfn.XLOOKUP($A95,'EA-Fortescue_SDExport'!$A:$A,'EA-Fortescue_SDExport'!Y:Y)</f>
        <v>0</v>
      </c>
      <c r="Z95" t="str">
        <f>_xlfn.XLOOKUP($A95,'EA-Fortescue_SDExport'!$A:$A,'EA-Fortescue_SDExport'!Z:Z)</f>
        <v>SysML1.4::InterfaceBlock</v>
      </c>
      <c r="AA95" t="str">
        <f>_xlfn.XLOOKUP($A95,InterfaceRegister!$A:$A,InterfaceRegister!B:B)</f>
        <v>004OP-1302 Coarse Ore Stockpile (COS)|001OP-2001 Ore Processing Facility (OPF)</v>
      </c>
      <c r="AB95" t="str">
        <f>_xlfn.XLOOKUP($A95,InterfaceRegister!$A:$A,InterfaceRegister!C:C)</f>
        <v/>
      </c>
      <c r="AC95" t="str">
        <f>_xlfn.XLOOKUP($A95,InterfaceRegister!$A:$A,InterfaceRegister!D:D)</f>
        <v/>
      </c>
      <c r="AD95" t="str">
        <f>_xlfn.XLOOKUP($A95,InterfaceRegister!$A:$A,InterfaceRegister!E:E)</f>
        <v>System - System Interface</v>
      </c>
      <c r="AE95" t="str">
        <f>_xlfn.XLOOKUP($A95,InterfaceRegister!$A:$A,InterfaceRegister!F:F)</f>
        <v/>
      </c>
      <c r="AF95" t="str">
        <f>_xlfn.XLOOKUP($A95,InterfaceRegister!$A:$A,InterfaceRegister!L:L)</f>
        <v/>
      </c>
      <c r="AG95" t="str">
        <f>_xlfn.XLOOKUP($A95,InterfaceRegister!$A:$A,InterfaceRegister!M:M)</f>
        <v/>
      </c>
      <c r="AH95" t="str">
        <f>_xlfn.XLOOKUP($A95,InterfaceRegister!$A:$A,InterfaceRegister!O:O)</f>
        <v/>
      </c>
      <c r="AI95" t="str">
        <f>_xlfn.XLOOKUP($A95,InterfaceRegister!$A:$A,InterfaceRegister!N:N)</f>
        <v/>
      </c>
      <c r="AJ95" t="str">
        <f>_xlfn.XLOOKUP($A95,'EA-Fortescue_SDExport'!$A:$A,'EA-Fortescue_SDExport'!AX:AX)</f>
        <v>CSV506F180C</v>
      </c>
      <c r="AK95">
        <f>_xlfn.XLOOKUP($A95,'EA-Fortescue_SDExport'!$A:$A,'EA-Fortescue_SDExport'!AY:AY)</f>
        <v>0</v>
      </c>
    </row>
    <row r="96" spans="1:37" x14ac:dyDescent="0.25">
      <c r="A96" t="str">
        <v>DGS-I_0095</v>
      </c>
      <c r="B96" t="str">
        <f>_xlfn.XLOOKUP($A96,'EA-Fortescue_SDExport'!$A:$A,'EA-Fortescue_SDExport'!B:B)</f>
        <v>Class</v>
      </c>
      <c r="C96" t="str">
        <f>_xlfn.XLOOKUP($A96,'EA-Fortescue_SDExport'!$A:$A,'EA-Fortescue_SDExport'!C:C)</f>
        <v>{6993F1BB-BF55-45f4-9D87-28F742079719}</v>
      </c>
      <c r="D96" t="str">
        <f>_xlfn.LET(_xlpm.result, _xlfn.XLOOKUP($A96, InterfaceRegister!$A:$A, InterfaceRegister!P:P), IF(_xlpm.result=0, "", _xlpm.result))</f>
        <v/>
      </c>
      <c r="E96">
        <f>_xlfn.XLOOKUP($A96,'EA-Fortescue_SDExport'!$A:$A,'EA-Fortescue_SDExport'!E:E)</f>
        <v>1</v>
      </c>
      <c r="F96">
        <f>_xlfn.XLOOKUP($A96,'EA-Fortescue_SDExport'!$A:$A,'EA-Fortescue_SDExport'!F:F)</f>
        <v>1</v>
      </c>
      <c r="G96">
        <f>_xlfn.XLOOKUP($A96,'EA-Fortescue_SDExport'!$A:$A,'EA-Fortescue_SDExport'!G:G)</f>
        <v>0</v>
      </c>
      <c r="H96" t="str">
        <f>_xlfn.XLOOKUP($A96,'EA-Fortescue_SDExport'!$A:$A,'EA-Fortescue_SDExport'!H:H)</f>
        <v>InterfaceBlock</v>
      </c>
      <c r="I96" t="str">
        <f>_xlfn.XLOOKUP($A96,'EA-Fortescue_SDExport'!$A:$A,'EA-Fortescue_SDExport'!I:I)</f>
        <v>SysML1.4::InterfaceBlock</v>
      </c>
      <c r="J96" t="str">
        <f>_xlfn.XLOOKUP($A96,'EA-Fortescue_SDExport'!$A:$A,'EA-Fortescue_SDExport'!J:J)</f>
        <v>Java</v>
      </c>
      <c r="K96" t="str">
        <f>_xlfn.XLOOKUP($A96,'EA-Fortescue_SDExport'!$A:$A,'EA-Fortescue_SDExport'!K:K)</f>
        <v>Admin</v>
      </c>
      <c r="L96" t="str">
        <f>_xlfn.XLOOKUP($A96,'EA-Fortescue_SDExport'!$A:$A,'EA-Fortescue_SDExport'!L:L)</f>
        <v>Public</v>
      </c>
      <c r="M96">
        <f>_xlfn.XLOOKUP($A96,'EA-Fortescue_SDExport'!$A:$A,'EA-Fortescue_SDExport'!M:M)</f>
        <v>0</v>
      </c>
      <c r="N96" t="str">
        <f>_xlfn.XLOOKUP($A96,InterfaceRegister!$A:$A,InterfaceRegister!K:K)</f>
        <v>Proposed</v>
      </c>
      <c r="O96">
        <f>_xlfn.XLOOKUP($A96,'EA-Fortescue_SDExport'!$A:$A,'EA-Fortescue_SDExport'!O:O)</f>
        <v>1</v>
      </c>
      <c r="P96">
        <f>_xlfn.XLOOKUP($A96,'EA-Fortescue_SDExport'!$A:$A,'EA-Fortescue_SDExport'!P:P)</f>
        <v>0</v>
      </c>
      <c r="Q96">
        <f>_xlfn.XLOOKUP($A96,'EA-Fortescue_SDExport'!$A:$A,'EA-Fortescue_SDExport'!Q:Q)</f>
        <v>0</v>
      </c>
      <c r="R96">
        <f>_xlfn.XLOOKUP($A96,'EA-Fortescue_SDExport'!$A:$A,'EA-Fortescue_SDExport'!R:R)</f>
        <v>0</v>
      </c>
      <c r="S96">
        <f>_xlfn.XLOOKUP($A96,'EA-Fortescue_SDExport'!$A:$A,'EA-Fortescue_SDExport'!S:S)</f>
        <v>0</v>
      </c>
      <c r="T96">
        <f>_xlfn.XLOOKUP($A96,'EA-Fortescue_SDExport'!$A:$A,'EA-Fortescue_SDExport'!T:T)</f>
        <v>0</v>
      </c>
      <c r="U96">
        <f>_xlfn.XLOOKUP($A96,'EA-Fortescue_SDExport'!$A:$A,'EA-Fortescue_SDExport'!U:U)</f>
        <v>45945.699687499997</v>
      </c>
      <c r="V96">
        <f>_xlfn.XLOOKUP($A96,'EA-Fortescue_SDExport'!$A:$A,'EA-Fortescue_SDExport'!V:V)</f>
        <v>46002.06758101852</v>
      </c>
      <c r="W96">
        <f>_xlfn.XLOOKUP($A96,'EA-Fortescue_SDExport'!$A:$A,'EA-Fortescue_SDExport'!W:W)</f>
        <v>0</v>
      </c>
      <c r="X96">
        <f>_xlfn.XLOOKUP($A96,'EA-Fortescue_SDExport'!$A:$A,'EA-Fortescue_SDExport'!X:X)</f>
        <v>0</v>
      </c>
      <c r="Y96">
        <f>_xlfn.XLOOKUP($A96,'EA-Fortescue_SDExport'!$A:$A,'EA-Fortescue_SDExport'!Y:Y)</f>
        <v>0</v>
      </c>
      <c r="Z96" t="str">
        <f>_xlfn.XLOOKUP($A96,'EA-Fortescue_SDExport'!$A:$A,'EA-Fortescue_SDExport'!Z:Z)</f>
        <v>SysML1.4::InterfaceBlock</v>
      </c>
      <c r="AA96" t="str">
        <f>_xlfn.XLOOKUP($A96,InterfaceRegister!$A:$A,InterfaceRegister!B:B)</f>
        <v>004OP-1303 Train Loadout (TLO) Ore Stockpile|001OP-2920 Train Load Out (TLO)</v>
      </c>
      <c r="AB96" t="str">
        <f>_xlfn.XLOOKUP($A96,InterfaceRegister!$A:$A,InterfaceRegister!C:C)</f>
        <v/>
      </c>
      <c r="AC96" t="str">
        <f>_xlfn.XLOOKUP($A96,InterfaceRegister!$A:$A,InterfaceRegister!D:D)</f>
        <v/>
      </c>
      <c r="AD96" t="str">
        <f>_xlfn.XLOOKUP($A96,InterfaceRegister!$A:$A,InterfaceRegister!E:E)</f>
        <v>System - System Interface</v>
      </c>
      <c r="AE96" t="str">
        <f>_xlfn.XLOOKUP($A96,InterfaceRegister!$A:$A,InterfaceRegister!F:F)</f>
        <v/>
      </c>
      <c r="AF96" t="str">
        <f>_xlfn.XLOOKUP($A96,InterfaceRegister!$A:$A,InterfaceRegister!L:L)</f>
        <v/>
      </c>
      <c r="AG96" t="str">
        <f>_xlfn.XLOOKUP($A96,InterfaceRegister!$A:$A,InterfaceRegister!M:M)</f>
        <v/>
      </c>
      <c r="AH96" t="str">
        <f>_xlfn.XLOOKUP($A96,InterfaceRegister!$A:$A,InterfaceRegister!O:O)</f>
        <v/>
      </c>
      <c r="AI96" t="str">
        <f>_xlfn.XLOOKUP($A96,InterfaceRegister!$A:$A,InterfaceRegister!N:N)</f>
        <v/>
      </c>
      <c r="AJ96" t="str">
        <f>_xlfn.XLOOKUP($A96,'EA-Fortescue_SDExport'!$A:$A,'EA-Fortescue_SDExport'!AX:AX)</f>
        <v>CSV4B4302C0</v>
      </c>
      <c r="AK96">
        <f>_xlfn.XLOOKUP($A96,'EA-Fortescue_SDExport'!$A:$A,'EA-Fortescue_SDExport'!AY:AY)</f>
        <v>0</v>
      </c>
    </row>
    <row r="97" spans="1:37" x14ac:dyDescent="0.25">
      <c r="A97" t="str">
        <v>DGS-I_0096</v>
      </c>
      <c r="B97" t="str">
        <f>_xlfn.XLOOKUP($A97,'EA-Fortescue_SDExport'!$A:$A,'EA-Fortescue_SDExport'!B:B)</f>
        <v>Class</v>
      </c>
      <c r="C97" t="str">
        <f>_xlfn.XLOOKUP($A97,'EA-Fortescue_SDExport'!$A:$A,'EA-Fortescue_SDExport'!C:C)</f>
        <v>{56BA27AB-F43F-4cfe-9888-DAC6EE738D3D}</v>
      </c>
      <c r="D97" t="str">
        <f>_xlfn.LET(_xlpm.result, _xlfn.XLOOKUP($A97, InterfaceRegister!$A:$A, InterfaceRegister!P:P), IF(_xlpm.result=0, "", _xlpm.result))</f>
        <v/>
      </c>
      <c r="E97">
        <f>_xlfn.XLOOKUP($A97,'EA-Fortescue_SDExport'!$A:$A,'EA-Fortescue_SDExport'!E:E)</f>
        <v>1</v>
      </c>
      <c r="F97">
        <f>_xlfn.XLOOKUP($A97,'EA-Fortescue_SDExport'!$A:$A,'EA-Fortescue_SDExport'!F:F)</f>
        <v>1</v>
      </c>
      <c r="G97">
        <f>_xlfn.XLOOKUP($A97,'EA-Fortescue_SDExport'!$A:$A,'EA-Fortescue_SDExport'!G:G)</f>
        <v>0</v>
      </c>
      <c r="H97" t="str">
        <f>_xlfn.XLOOKUP($A97,'EA-Fortescue_SDExport'!$A:$A,'EA-Fortescue_SDExport'!H:H)</f>
        <v>InterfaceBlock</v>
      </c>
      <c r="I97" t="str">
        <f>_xlfn.XLOOKUP($A97,'EA-Fortescue_SDExport'!$A:$A,'EA-Fortescue_SDExport'!I:I)</f>
        <v>SysML1.4::InterfaceBlock</v>
      </c>
      <c r="J97" t="str">
        <f>_xlfn.XLOOKUP($A97,'EA-Fortescue_SDExport'!$A:$A,'EA-Fortescue_SDExport'!J:J)</f>
        <v>Java</v>
      </c>
      <c r="K97" t="str">
        <f>_xlfn.XLOOKUP($A97,'EA-Fortescue_SDExport'!$A:$A,'EA-Fortescue_SDExport'!K:K)</f>
        <v>Admin</v>
      </c>
      <c r="L97" t="str">
        <f>_xlfn.XLOOKUP($A97,'EA-Fortescue_SDExport'!$A:$A,'EA-Fortescue_SDExport'!L:L)</f>
        <v>Public</v>
      </c>
      <c r="M97">
        <f>_xlfn.XLOOKUP($A97,'EA-Fortescue_SDExport'!$A:$A,'EA-Fortescue_SDExport'!M:M)</f>
        <v>0</v>
      </c>
      <c r="N97" t="str">
        <f>_xlfn.XLOOKUP($A97,InterfaceRegister!$A:$A,InterfaceRegister!K:K)</f>
        <v>Proposed</v>
      </c>
      <c r="O97">
        <f>_xlfn.XLOOKUP($A97,'EA-Fortescue_SDExport'!$A:$A,'EA-Fortescue_SDExport'!O:O)</f>
        <v>1</v>
      </c>
      <c r="P97">
        <f>_xlfn.XLOOKUP($A97,'EA-Fortescue_SDExport'!$A:$A,'EA-Fortescue_SDExport'!P:P)</f>
        <v>0</v>
      </c>
      <c r="Q97">
        <f>_xlfn.XLOOKUP($A97,'EA-Fortescue_SDExport'!$A:$A,'EA-Fortescue_SDExport'!Q:Q)</f>
        <v>0</v>
      </c>
      <c r="R97">
        <f>_xlfn.XLOOKUP($A97,'EA-Fortescue_SDExport'!$A:$A,'EA-Fortescue_SDExport'!R:R)</f>
        <v>0</v>
      </c>
      <c r="S97">
        <f>_xlfn.XLOOKUP($A97,'EA-Fortescue_SDExport'!$A:$A,'EA-Fortescue_SDExport'!S:S)</f>
        <v>0</v>
      </c>
      <c r="T97">
        <f>_xlfn.XLOOKUP($A97,'EA-Fortescue_SDExport'!$A:$A,'EA-Fortescue_SDExport'!T:T)</f>
        <v>0</v>
      </c>
      <c r="U97">
        <f>_xlfn.XLOOKUP($A97,'EA-Fortescue_SDExport'!$A:$A,'EA-Fortescue_SDExport'!U:U)</f>
        <v>45945.699745370373</v>
      </c>
      <c r="V97">
        <f>_xlfn.XLOOKUP($A97,'EA-Fortescue_SDExport'!$A:$A,'EA-Fortescue_SDExport'!V:V)</f>
        <v>46002.06758101852</v>
      </c>
      <c r="W97">
        <f>_xlfn.XLOOKUP($A97,'EA-Fortescue_SDExport'!$A:$A,'EA-Fortescue_SDExport'!W:W)</f>
        <v>0</v>
      </c>
      <c r="X97">
        <f>_xlfn.XLOOKUP($A97,'EA-Fortescue_SDExport'!$A:$A,'EA-Fortescue_SDExport'!X:X)</f>
        <v>0</v>
      </c>
      <c r="Y97">
        <f>_xlfn.XLOOKUP($A97,'EA-Fortescue_SDExport'!$A:$A,'EA-Fortescue_SDExport'!Y:Y)</f>
        <v>0</v>
      </c>
      <c r="Z97" t="str">
        <f>_xlfn.XLOOKUP($A97,'EA-Fortescue_SDExport'!$A:$A,'EA-Fortescue_SDExport'!Z:Z)</f>
        <v>SysML1.4::InterfaceBlock</v>
      </c>
      <c r="AA97" t="str">
        <f>_xlfn.XLOOKUP($A97,InterfaceRegister!$A:$A,InterfaceRegister!B:B)</f>
        <v>001OP-2003 Concentrate Handling Facility (CHF)|004OP-1304 Port Ore Stockpile</v>
      </c>
      <c r="AB97" t="str">
        <f>_xlfn.XLOOKUP($A97,InterfaceRegister!$A:$A,InterfaceRegister!C:C)</f>
        <v/>
      </c>
      <c r="AC97" t="str">
        <f>_xlfn.XLOOKUP($A97,InterfaceRegister!$A:$A,InterfaceRegister!D:D)</f>
        <v/>
      </c>
      <c r="AD97" t="str">
        <f>_xlfn.XLOOKUP($A97,InterfaceRegister!$A:$A,InterfaceRegister!E:E)</f>
        <v>System - System Interface</v>
      </c>
      <c r="AE97" t="str">
        <f>_xlfn.XLOOKUP($A97,InterfaceRegister!$A:$A,InterfaceRegister!F:F)</f>
        <v/>
      </c>
      <c r="AF97" t="str">
        <f>_xlfn.XLOOKUP($A97,InterfaceRegister!$A:$A,InterfaceRegister!L:L)</f>
        <v/>
      </c>
      <c r="AG97" t="str">
        <f>_xlfn.XLOOKUP($A97,InterfaceRegister!$A:$A,InterfaceRegister!M:M)</f>
        <v/>
      </c>
      <c r="AH97" t="str">
        <f>_xlfn.XLOOKUP($A97,InterfaceRegister!$A:$A,InterfaceRegister!O:O)</f>
        <v/>
      </c>
      <c r="AI97" t="str">
        <f>_xlfn.XLOOKUP($A97,InterfaceRegister!$A:$A,InterfaceRegister!N:N)</f>
        <v/>
      </c>
      <c r="AJ97" t="str">
        <f>_xlfn.XLOOKUP($A97,'EA-Fortescue_SDExport'!$A:$A,'EA-Fortescue_SDExport'!AX:AX)</f>
        <v>CSVEA0792E1</v>
      </c>
      <c r="AK97">
        <f>_xlfn.XLOOKUP($A97,'EA-Fortescue_SDExport'!$A:$A,'EA-Fortescue_SDExport'!AY:AY)</f>
        <v>0</v>
      </c>
    </row>
    <row r="98" spans="1:37" x14ac:dyDescent="0.25">
      <c r="A98" t="str">
        <v>DGS-I_0097</v>
      </c>
      <c r="B98" t="str">
        <f>_xlfn.XLOOKUP($A98,'EA-Fortescue_SDExport'!$A:$A,'EA-Fortescue_SDExport'!B:B)</f>
        <v>Class</v>
      </c>
      <c r="C98" t="str">
        <f>_xlfn.XLOOKUP($A98,'EA-Fortescue_SDExport'!$A:$A,'EA-Fortescue_SDExport'!C:C)</f>
        <v>{808257F8-AC7D-47b2-8059-C856E4D9A1D4}</v>
      </c>
      <c r="D98" t="str">
        <f>_xlfn.LET(_xlpm.result, _xlfn.XLOOKUP($A98, InterfaceRegister!$A:$A, InterfaceRegister!P:P), IF(_xlpm.result=0, "", _xlpm.result))</f>
        <v/>
      </c>
      <c r="E98">
        <f>_xlfn.XLOOKUP($A98,'EA-Fortescue_SDExport'!$A:$A,'EA-Fortescue_SDExport'!E:E)</f>
        <v>1</v>
      </c>
      <c r="F98">
        <f>_xlfn.XLOOKUP($A98,'EA-Fortescue_SDExport'!$A:$A,'EA-Fortescue_SDExport'!F:F)</f>
        <v>1</v>
      </c>
      <c r="G98">
        <f>_xlfn.XLOOKUP($A98,'EA-Fortescue_SDExport'!$A:$A,'EA-Fortescue_SDExport'!G:G)</f>
        <v>0</v>
      </c>
      <c r="H98" t="str">
        <f>_xlfn.XLOOKUP($A98,'EA-Fortescue_SDExport'!$A:$A,'EA-Fortescue_SDExport'!H:H)</f>
        <v>InterfaceBlock</v>
      </c>
      <c r="I98" t="str">
        <f>_xlfn.XLOOKUP($A98,'EA-Fortescue_SDExport'!$A:$A,'EA-Fortescue_SDExport'!I:I)</f>
        <v>SysML1.4::InterfaceBlock</v>
      </c>
      <c r="J98" t="str">
        <f>_xlfn.XLOOKUP($A98,'EA-Fortescue_SDExport'!$A:$A,'EA-Fortescue_SDExport'!J:J)</f>
        <v>Java</v>
      </c>
      <c r="K98" t="str">
        <f>_xlfn.XLOOKUP($A98,'EA-Fortescue_SDExport'!$A:$A,'EA-Fortescue_SDExport'!K:K)</f>
        <v>Admin</v>
      </c>
      <c r="L98" t="str">
        <f>_xlfn.XLOOKUP($A98,'EA-Fortescue_SDExport'!$A:$A,'EA-Fortescue_SDExport'!L:L)</f>
        <v>Public</v>
      </c>
      <c r="M98">
        <f>_xlfn.XLOOKUP($A98,'EA-Fortescue_SDExport'!$A:$A,'EA-Fortescue_SDExport'!M:M)</f>
        <v>0</v>
      </c>
      <c r="N98" t="str">
        <f>_xlfn.XLOOKUP($A98,InterfaceRegister!$A:$A,InterfaceRegister!K:K)</f>
        <v>Proposed</v>
      </c>
      <c r="O98">
        <f>_xlfn.XLOOKUP($A98,'EA-Fortescue_SDExport'!$A:$A,'EA-Fortescue_SDExport'!O:O)</f>
        <v>1</v>
      </c>
      <c r="P98">
        <f>_xlfn.XLOOKUP($A98,'EA-Fortescue_SDExport'!$A:$A,'EA-Fortescue_SDExport'!P:P)</f>
        <v>0</v>
      </c>
      <c r="Q98">
        <f>_xlfn.XLOOKUP($A98,'EA-Fortescue_SDExport'!$A:$A,'EA-Fortescue_SDExport'!Q:Q)</f>
        <v>0</v>
      </c>
      <c r="R98">
        <f>_xlfn.XLOOKUP($A98,'EA-Fortescue_SDExport'!$A:$A,'EA-Fortescue_SDExport'!R:R)</f>
        <v>0</v>
      </c>
      <c r="S98">
        <f>_xlfn.XLOOKUP($A98,'EA-Fortescue_SDExport'!$A:$A,'EA-Fortescue_SDExport'!S:S)</f>
        <v>0</v>
      </c>
      <c r="T98">
        <f>_xlfn.XLOOKUP($A98,'EA-Fortescue_SDExport'!$A:$A,'EA-Fortescue_SDExport'!T:T)</f>
        <v>0</v>
      </c>
      <c r="U98">
        <f>_xlfn.XLOOKUP($A98,'EA-Fortescue_SDExport'!$A:$A,'EA-Fortescue_SDExport'!U:U)</f>
        <v>45945.699791666666</v>
      </c>
      <c r="V98">
        <f>_xlfn.XLOOKUP($A98,'EA-Fortescue_SDExport'!$A:$A,'EA-Fortescue_SDExport'!V:V)</f>
        <v>46002.067569444444</v>
      </c>
      <c r="W98">
        <f>_xlfn.XLOOKUP($A98,'EA-Fortescue_SDExport'!$A:$A,'EA-Fortescue_SDExport'!W:W)</f>
        <v>0</v>
      </c>
      <c r="X98">
        <f>_xlfn.XLOOKUP($A98,'EA-Fortescue_SDExport'!$A:$A,'EA-Fortescue_SDExport'!X:X)</f>
        <v>0</v>
      </c>
      <c r="Y98">
        <f>_xlfn.XLOOKUP($A98,'EA-Fortescue_SDExport'!$A:$A,'EA-Fortescue_SDExport'!Y:Y)</f>
        <v>0</v>
      </c>
      <c r="Z98" t="str">
        <f>_xlfn.XLOOKUP($A98,'EA-Fortescue_SDExport'!$A:$A,'EA-Fortescue_SDExport'!Z:Z)</f>
        <v>SysML1.4::InterfaceBlock</v>
      </c>
      <c r="AA98" t="str">
        <f>_xlfn.XLOOKUP($A98,InterfaceRegister!$A:$A,InterfaceRegister!B:B)</f>
        <v>004OP-1304 Port Ore Stockpile|001OP-3720 Concentrate Pipeline</v>
      </c>
      <c r="AB98" t="str">
        <f>_xlfn.XLOOKUP($A98,InterfaceRegister!$A:$A,InterfaceRegister!C:C)</f>
        <v/>
      </c>
      <c r="AC98" t="str">
        <f>_xlfn.XLOOKUP($A98,InterfaceRegister!$A:$A,InterfaceRegister!D:D)</f>
        <v/>
      </c>
      <c r="AD98" t="str">
        <f>_xlfn.XLOOKUP($A98,InterfaceRegister!$A:$A,InterfaceRegister!E:E)</f>
        <v>System - System Interface</v>
      </c>
      <c r="AE98" t="str">
        <f>_xlfn.XLOOKUP($A98,InterfaceRegister!$A:$A,InterfaceRegister!F:F)</f>
        <v/>
      </c>
      <c r="AF98" t="str">
        <f>_xlfn.XLOOKUP($A98,InterfaceRegister!$A:$A,InterfaceRegister!L:L)</f>
        <v/>
      </c>
      <c r="AG98" t="str">
        <f>_xlfn.XLOOKUP($A98,InterfaceRegister!$A:$A,InterfaceRegister!M:M)</f>
        <v/>
      </c>
      <c r="AH98" t="str">
        <f>_xlfn.XLOOKUP($A98,InterfaceRegister!$A:$A,InterfaceRegister!O:O)</f>
        <v/>
      </c>
      <c r="AI98" t="str">
        <f>_xlfn.XLOOKUP($A98,InterfaceRegister!$A:$A,InterfaceRegister!N:N)</f>
        <v/>
      </c>
      <c r="AJ98" t="str">
        <f>_xlfn.XLOOKUP($A98,'EA-Fortescue_SDExport'!$A:$A,'EA-Fortescue_SDExport'!AX:AX)</f>
        <v>CSVCCA2531F</v>
      </c>
      <c r="AK98">
        <f>_xlfn.XLOOKUP($A98,'EA-Fortescue_SDExport'!$A:$A,'EA-Fortescue_SDExport'!AY:AY)</f>
        <v>0</v>
      </c>
    </row>
    <row r="99" spans="1:37" x14ac:dyDescent="0.25">
      <c r="A99" t="str">
        <v>DGS-I_0098</v>
      </c>
      <c r="B99" t="str">
        <f>_xlfn.XLOOKUP($A99,'EA-Fortescue_SDExport'!$A:$A,'EA-Fortescue_SDExport'!B:B)</f>
        <v>Class</v>
      </c>
      <c r="C99" t="str">
        <f>_xlfn.XLOOKUP($A99,'EA-Fortescue_SDExport'!$A:$A,'EA-Fortescue_SDExport'!C:C)</f>
        <v>{EE90F56C-E0DA-4e1c-AD3E-07AB473B6F20}</v>
      </c>
      <c r="D99" t="str">
        <f>_xlfn.LET(_xlpm.result, _xlfn.XLOOKUP($A99, InterfaceRegister!$A:$A, InterfaceRegister!P:P), IF(_xlpm.result=0, "", _xlpm.result))</f>
        <v/>
      </c>
      <c r="E99">
        <f>_xlfn.XLOOKUP($A99,'EA-Fortescue_SDExport'!$A:$A,'EA-Fortescue_SDExport'!E:E)</f>
        <v>1</v>
      </c>
      <c r="F99">
        <f>_xlfn.XLOOKUP($A99,'EA-Fortescue_SDExport'!$A:$A,'EA-Fortescue_SDExport'!F:F)</f>
        <v>1</v>
      </c>
      <c r="G99">
        <f>_xlfn.XLOOKUP($A99,'EA-Fortescue_SDExport'!$A:$A,'EA-Fortescue_SDExport'!G:G)</f>
        <v>0</v>
      </c>
      <c r="H99" t="str">
        <f>_xlfn.XLOOKUP($A99,'EA-Fortescue_SDExport'!$A:$A,'EA-Fortescue_SDExport'!H:H)</f>
        <v>InterfaceBlock</v>
      </c>
      <c r="I99" t="str">
        <f>_xlfn.XLOOKUP($A99,'EA-Fortescue_SDExport'!$A:$A,'EA-Fortescue_SDExport'!I:I)</f>
        <v>SysML1.4::InterfaceBlock</v>
      </c>
      <c r="J99" t="str">
        <f>_xlfn.XLOOKUP($A99,'EA-Fortescue_SDExport'!$A:$A,'EA-Fortescue_SDExport'!J:J)</f>
        <v>Java</v>
      </c>
      <c r="K99" t="str">
        <f>_xlfn.XLOOKUP($A99,'EA-Fortescue_SDExport'!$A:$A,'EA-Fortescue_SDExport'!K:K)</f>
        <v>Admin</v>
      </c>
      <c r="L99" t="str">
        <f>_xlfn.XLOOKUP($A99,'EA-Fortescue_SDExport'!$A:$A,'EA-Fortescue_SDExport'!L:L)</f>
        <v>Public</v>
      </c>
      <c r="M99">
        <f>_xlfn.XLOOKUP($A99,'EA-Fortescue_SDExport'!$A:$A,'EA-Fortescue_SDExport'!M:M)</f>
        <v>0</v>
      </c>
      <c r="N99" t="str">
        <f>_xlfn.XLOOKUP($A99,InterfaceRegister!$A:$A,InterfaceRegister!K:K)</f>
        <v>Proposed</v>
      </c>
      <c r="O99">
        <f>_xlfn.XLOOKUP($A99,'EA-Fortescue_SDExport'!$A:$A,'EA-Fortescue_SDExport'!O:O)</f>
        <v>1</v>
      </c>
      <c r="P99">
        <f>_xlfn.XLOOKUP($A99,'EA-Fortescue_SDExport'!$A:$A,'EA-Fortescue_SDExport'!P:P)</f>
        <v>0</v>
      </c>
      <c r="Q99">
        <f>_xlfn.XLOOKUP($A99,'EA-Fortescue_SDExport'!$A:$A,'EA-Fortescue_SDExport'!Q:Q)</f>
        <v>0</v>
      </c>
      <c r="R99">
        <f>_xlfn.XLOOKUP($A99,'EA-Fortescue_SDExport'!$A:$A,'EA-Fortescue_SDExport'!R:R)</f>
        <v>0</v>
      </c>
      <c r="S99">
        <f>_xlfn.XLOOKUP($A99,'EA-Fortescue_SDExport'!$A:$A,'EA-Fortescue_SDExport'!S:S)</f>
        <v>0</v>
      </c>
      <c r="T99">
        <f>_xlfn.XLOOKUP($A99,'EA-Fortescue_SDExport'!$A:$A,'EA-Fortescue_SDExport'!T:T)</f>
        <v>0</v>
      </c>
      <c r="U99">
        <f>_xlfn.XLOOKUP($A99,'EA-Fortescue_SDExport'!$A:$A,'EA-Fortescue_SDExport'!U:U)</f>
        <v>45945.699814814812</v>
      </c>
      <c r="V99">
        <f>_xlfn.XLOOKUP($A99,'EA-Fortescue_SDExport'!$A:$A,'EA-Fortescue_SDExport'!V:V)</f>
        <v>46002.067604166667</v>
      </c>
      <c r="W99">
        <f>_xlfn.XLOOKUP($A99,'EA-Fortescue_SDExport'!$A:$A,'EA-Fortescue_SDExport'!W:W)</f>
        <v>0</v>
      </c>
      <c r="X99">
        <f>_xlfn.XLOOKUP($A99,'EA-Fortescue_SDExport'!$A:$A,'EA-Fortescue_SDExport'!X:X)</f>
        <v>0</v>
      </c>
      <c r="Y99">
        <f>_xlfn.XLOOKUP($A99,'EA-Fortescue_SDExport'!$A:$A,'EA-Fortescue_SDExport'!Y:Y)</f>
        <v>0</v>
      </c>
      <c r="Z99" t="str">
        <f>_xlfn.XLOOKUP($A99,'EA-Fortescue_SDExport'!$A:$A,'EA-Fortescue_SDExport'!Z:Z)</f>
        <v>SysML1.4::InterfaceBlock</v>
      </c>
      <c r="AA99" t="str">
        <f>_xlfn.XLOOKUP($A99,InterfaceRegister!$A:$A,InterfaceRegister!B:B)</f>
        <v>001OP-2920 Train Load Out (TLO)|001OP-4160 Train Unloader (TUL)</v>
      </c>
      <c r="AB99" t="str">
        <f>_xlfn.XLOOKUP($A99,InterfaceRegister!$A:$A,InterfaceRegister!C:C)</f>
        <v/>
      </c>
      <c r="AC99" t="str">
        <f>_xlfn.XLOOKUP($A99,InterfaceRegister!$A:$A,InterfaceRegister!D:D)</f>
        <v/>
      </c>
      <c r="AD99" t="str">
        <f>_xlfn.XLOOKUP($A99,InterfaceRegister!$A:$A,InterfaceRegister!E:E)</f>
        <v>System - System Interface</v>
      </c>
      <c r="AE99" t="str">
        <f>_xlfn.XLOOKUP($A99,InterfaceRegister!$A:$A,InterfaceRegister!F:F)</f>
        <v/>
      </c>
      <c r="AF99" t="str">
        <f>_xlfn.XLOOKUP($A99,InterfaceRegister!$A:$A,InterfaceRegister!L:L)</f>
        <v/>
      </c>
      <c r="AG99" t="str">
        <f>_xlfn.XLOOKUP($A99,InterfaceRegister!$A:$A,InterfaceRegister!M:M)</f>
        <v/>
      </c>
      <c r="AH99" t="str">
        <f>_xlfn.XLOOKUP($A99,InterfaceRegister!$A:$A,InterfaceRegister!O:O)</f>
        <v/>
      </c>
      <c r="AI99" t="str">
        <f>_xlfn.XLOOKUP($A99,InterfaceRegister!$A:$A,InterfaceRegister!N:N)</f>
        <v/>
      </c>
      <c r="AJ99" t="str">
        <f>_xlfn.XLOOKUP($A99,'EA-Fortescue_SDExport'!$A:$A,'EA-Fortescue_SDExport'!AX:AX)</f>
        <v>CSVC26538FF</v>
      </c>
      <c r="AK99">
        <f>_xlfn.XLOOKUP($A99,'EA-Fortescue_SDExport'!$A:$A,'EA-Fortescue_SDExport'!AY:AY)</f>
        <v>0</v>
      </c>
    </row>
    <row r="100" spans="1:37" x14ac:dyDescent="0.25">
      <c r="A100" t="str">
        <v>DGS-I_0099</v>
      </c>
      <c r="B100" t="str">
        <f>_xlfn.XLOOKUP($A100,'EA-Fortescue_SDExport'!$A:$A,'EA-Fortescue_SDExport'!B:B)</f>
        <v>Class</v>
      </c>
      <c r="C100" t="str">
        <f>_xlfn.XLOOKUP($A100,'EA-Fortescue_SDExport'!$A:$A,'EA-Fortescue_SDExport'!C:C)</f>
        <v>{9E6F9C6C-48E7-401c-A709-668ED76DD514}</v>
      </c>
      <c r="D100" t="str">
        <f>_xlfn.LET(_xlpm.result, _xlfn.XLOOKUP($A100, InterfaceRegister!$A:$A, InterfaceRegister!P:P), IF(_xlpm.result=0, "", _xlpm.result))</f>
        <v/>
      </c>
      <c r="E100">
        <f>_xlfn.XLOOKUP($A100,'EA-Fortescue_SDExport'!$A:$A,'EA-Fortescue_SDExport'!E:E)</f>
        <v>1</v>
      </c>
      <c r="F100">
        <f>_xlfn.XLOOKUP($A100,'EA-Fortescue_SDExport'!$A:$A,'EA-Fortescue_SDExport'!F:F)</f>
        <v>1</v>
      </c>
      <c r="G100">
        <f>_xlfn.XLOOKUP($A100,'EA-Fortescue_SDExport'!$A:$A,'EA-Fortescue_SDExport'!G:G)</f>
        <v>0</v>
      </c>
      <c r="H100" t="str">
        <f>_xlfn.XLOOKUP($A100,'EA-Fortescue_SDExport'!$A:$A,'EA-Fortescue_SDExport'!H:H)</f>
        <v>InterfaceBlock</v>
      </c>
      <c r="I100" t="str">
        <f>_xlfn.XLOOKUP($A100,'EA-Fortescue_SDExport'!$A:$A,'EA-Fortescue_SDExport'!I:I)</f>
        <v>SysML1.4::InterfaceBlock</v>
      </c>
      <c r="J100" t="str">
        <f>_xlfn.XLOOKUP($A100,'EA-Fortescue_SDExport'!$A:$A,'EA-Fortescue_SDExport'!J:J)</f>
        <v>Java</v>
      </c>
      <c r="K100" t="str">
        <f>_xlfn.XLOOKUP($A100,'EA-Fortescue_SDExport'!$A:$A,'EA-Fortescue_SDExport'!K:K)</f>
        <v>Admin</v>
      </c>
      <c r="L100" t="str">
        <f>_xlfn.XLOOKUP($A100,'EA-Fortescue_SDExport'!$A:$A,'EA-Fortescue_SDExport'!L:L)</f>
        <v>Public</v>
      </c>
      <c r="M100">
        <f>_xlfn.XLOOKUP($A100,'EA-Fortescue_SDExport'!$A:$A,'EA-Fortescue_SDExport'!M:M)</f>
        <v>0</v>
      </c>
      <c r="N100" t="str">
        <f>_xlfn.XLOOKUP($A100,InterfaceRegister!$A:$A,InterfaceRegister!K:K)</f>
        <v>Proposed</v>
      </c>
      <c r="O100">
        <f>_xlfn.XLOOKUP($A100,'EA-Fortescue_SDExport'!$A:$A,'EA-Fortescue_SDExport'!O:O)</f>
        <v>1</v>
      </c>
      <c r="P100">
        <f>_xlfn.XLOOKUP($A100,'EA-Fortescue_SDExport'!$A:$A,'EA-Fortescue_SDExport'!P:P)</f>
        <v>0</v>
      </c>
      <c r="Q100">
        <f>_xlfn.XLOOKUP($A100,'EA-Fortescue_SDExport'!$A:$A,'EA-Fortescue_SDExport'!Q:Q)</f>
        <v>0</v>
      </c>
      <c r="R100">
        <f>_xlfn.XLOOKUP($A100,'EA-Fortescue_SDExport'!$A:$A,'EA-Fortescue_SDExport'!R:R)</f>
        <v>0</v>
      </c>
      <c r="S100">
        <f>_xlfn.XLOOKUP($A100,'EA-Fortescue_SDExport'!$A:$A,'EA-Fortescue_SDExport'!S:S)</f>
        <v>0</v>
      </c>
      <c r="T100">
        <f>_xlfn.XLOOKUP($A100,'EA-Fortescue_SDExport'!$A:$A,'EA-Fortescue_SDExport'!T:T)</f>
        <v>0</v>
      </c>
      <c r="U100">
        <f>_xlfn.XLOOKUP($A100,'EA-Fortescue_SDExport'!$A:$A,'EA-Fortescue_SDExport'!U:U)</f>
        <v>45945.699837962966</v>
      </c>
      <c r="V100">
        <f>_xlfn.XLOOKUP($A100,'EA-Fortescue_SDExport'!$A:$A,'EA-Fortescue_SDExport'!V:V)</f>
        <v>46002.067604166667</v>
      </c>
      <c r="W100">
        <f>_xlfn.XLOOKUP($A100,'EA-Fortescue_SDExport'!$A:$A,'EA-Fortescue_SDExport'!W:W)</f>
        <v>0</v>
      </c>
      <c r="X100">
        <f>_xlfn.XLOOKUP($A100,'EA-Fortescue_SDExport'!$A:$A,'EA-Fortescue_SDExport'!X:X)</f>
        <v>0</v>
      </c>
      <c r="Y100">
        <f>_xlfn.XLOOKUP($A100,'EA-Fortescue_SDExport'!$A:$A,'EA-Fortescue_SDExport'!Y:Y)</f>
        <v>0</v>
      </c>
      <c r="Z100" t="str">
        <f>_xlfn.XLOOKUP($A100,'EA-Fortescue_SDExport'!$A:$A,'EA-Fortescue_SDExport'!Z:Z)</f>
        <v>SysML1.4::InterfaceBlock</v>
      </c>
      <c r="AA100" t="str">
        <f>_xlfn.XLOOKUP($A100,InterfaceRegister!$A:$A,InterfaceRegister!B:B)</f>
        <v>001OP-4160 Train Unloader (TUL)|001OP-4000 Port Facilities</v>
      </c>
      <c r="AB100" t="str">
        <f>_xlfn.XLOOKUP($A100,InterfaceRegister!$A:$A,InterfaceRegister!C:C)</f>
        <v/>
      </c>
      <c r="AC100" t="str">
        <f>_xlfn.XLOOKUP($A100,InterfaceRegister!$A:$A,InterfaceRegister!D:D)</f>
        <v/>
      </c>
      <c r="AD100" t="str">
        <f>_xlfn.XLOOKUP($A100,InterfaceRegister!$A:$A,InterfaceRegister!E:E)</f>
        <v>System - System Interface</v>
      </c>
      <c r="AE100" t="str">
        <f>_xlfn.XLOOKUP($A100,InterfaceRegister!$A:$A,InterfaceRegister!F:F)</f>
        <v/>
      </c>
      <c r="AF100" t="str">
        <f>_xlfn.XLOOKUP($A100,InterfaceRegister!$A:$A,InterfaceRegister!L:L)</f>
        <v/>
      </c>
      <c r="AG100" t="str">
        <f>_xlfn.XLOOKUP($A100,InterfaceRegister!$A:$A,InterfaceRegister!M:M)</f>
        <v/>
      </c>
      <c r="AH100" t="str">
        <f>_xlfn.XLOOKUP($A100,InterfaceRegister!$A:$A,InterfaceRegister!O:O)</f>
        <v/>
      </c>
      <c r="AI100" t="str">
        <f>_xlfn.XLOOKUP($A100,InterfaceRegister!$A:$A,InterfaceRegister!N:N)</f>
        <v/>
      </c>
      <c r="AJ100" t="str">
        <f>_xlfn.XLOOKUP($A100,'EA-Fortescue_SDExport'!$A:$A,'EA-Fortescue_SDExport'!AX:AX)</f>
        <v>CSV500E5574</v>
      </c>
      <c r="AK100">
        <f>_xlfn.XLOOKUP($A100,'EA-Fortescue_SDExport'!$A:$A,'EA-Fortescue_SDExport'!AY:AY)</f>
        <v>0</v>
      </c>
    </row>
    <row r="101" spans="1:37" x14ac:dyDescent="0.25">
      <c r="A101" t="str">
        <v>DGS-I_0100</v>
      </c>
      <c r="B101" t="str">
        <f>_xlfn.XLOOKUP($A101,'EA-Fortescue_SDExport'!$A:$A,'EA-Fortescue_SDExport'!B:B)</f>
        <v>Class</v>
      </c>
      <c r="C101" t="str">
        <f>_xlfn.XLOOKUP($A101,'EA-Fortescue_SDExport'!$A:$A,'EA-Fortescue_SDExport'!C:C)</f>
        <v>{66DD458E-1361-46e5-9CBA-0D0D85C606EE}</v>
      </c>
      <c r="D101" t="str">
        <f>_xlfn.LET(_xlpm.result, _xlfn.XLOOKUP($A101, InterfaceRegister!$A:$A, InterfaceRegister!P:P), IF(_xlpm.result=0, "", _xlpm.result))</f>
        <v/>
      </c>
      <c r="E101">
        <f>_xlfn.XLOOKUP($A101,'EA-Fortescue_SDExport'!$A:$A,'EA-Fortescue_SDExport'!E:E)</f>
        <v>1</v>
      </c>
      <c r="F101">
        <f>_xlfn.XLOOKUP($A101,'EA-Fortescue_SDExport'!$A:$A,'EA-Fortescue_SDExport'!F:F)</f>
        <v>1</v>
      </c>
      <c r="G101">
        <f>_xlfn.XLOOKUP($A101,'EA-Fortescue_SDExport'!$A:$A,'EA-Fortescue_SDExport'!G:G)</f>
        <v>0</v>
      </c>
      <c r="H101" t="str">
        <f>_xlfn.XLOOKUP($A101,'EA-Fortescue_SDExport'!$A:$A,'EA-Fortescue_SDExport'!H:H)</f>
        <v>InterfaceBlock</v>
      </c>
      <c r="I101" t="str">
        <f>_xlfn.XLOOKUP($A101,'EA-Fortescue_SDExport'!$A:$A,'EA-Fortescue_SDExport'!I:I)</f>
        <v>SysML1.4::InterfaceBlock</v>
      </c>
      <c r="J101" t="str">
        <f>_xlfn.XLOOKUP($A101,'EA-Fortescue_SDExport'!$A:$A,'EA-Fortescue_SDExport'!J:J)</f>
        <v>Java</v>
      </c>
      <c r="K101" t="str">
        <f>_xlfn.XLOOKUP($A101,'EA-Fortescue_SDExport'!$A:$A,'EA-Fortescue_SDExport'!K:K)</f>
        <v>Admin</v>
      </c>
      <c r="L101" t="str">
        <f>_xlfn.XLOOKUP($A101,'EA-Fortescue_SDExport'!$A:$A,'EA-Fortescue_SDExport'!L:L)</f>
        <v>Public</v>
      </c>
      <c r="M101">
        <f>_xlfn.XLOOKUP($A101,'EA-Fortescue_SDExport'!$A:$A,'EA-Fortescue_SDExport'!M:M)</f>
        <v>0</v>
      </c>
      <c r="N101" t="str">
        <f>_xlfn.XLOOKUP($A101,InterfaceRegister!$A:$A,InterfaceRegister!K:K)</f>
        <v>Proposed</v>
      </c>
      <c r="O101">
        <f>_xlfn.XLOOKUP($A101,'EA-Fortescue_SDExport'!$A:$A,'EA-Fortescue_SDExport'!O:O)</f>
        <v>1</v>
      </c>
      <c r="P101">
        <f>_xlfn.XLOOKUP($A101,'EA-Fortescue_SDExport'!$A:$A,'EA-Fortescue_SDExport'!P:P)</f>
        <v>0</v>
      </c>
      <c r="Q101">
        <f>_xlfn.XLOOKUP($A101,'EA-Fortescue_SDExport'!$A:$A,'EA-Fortescue_SDExport'!Q:Q)</f>
        <v>0</v>
      </c>
      <c r="R101">
        <f>_xlfn.XLOOKUP($A101,'EA-Fortescue_SDExport'!$A:$A,'EA-Fortescue_SDExport'!R:R)</f>
        <v>0</v>
      </c>
      <c r="S101">
        <f>_xlfn.XLOOKUP($A101,'EA-Fortescue_SDExport'!$A:$A,'EA-Fortescue_SDExport'!S:S)</f>
        <v>0</v>
      </c>
      <c r="T101">
        <f>_xlfn.XLOOKUP($A101,'EA-Fortescue_SDExport'!$A:$A,'EA-Fortescue_SDExport'!T:T)</f>
        <v>0</v>
      </c>
      <c r="U101">
        <f>_xlfn.XLOOKUP($A101,'EA-Fortescue_SDExport'!$A:$A,'EA-Fortescue_SDExport'!U:U)</f>
        <v>45945.699872685182</v>
      </c>
      <c r="V101">
        <f>_xlfn.XLOOKUP($A101,'EA-Fortescue_SDExport'!$A:$A,'EA-Fortescue_SDExport'!V:V)</f>
        <v>46002.06758101852</v>
      </c>
      <c r="W101">
        <f>_xlfn.XLOOKUP($A101,'EA-Fortescue_SDExport'!$A:$A,'EA-Fortescue_SDExport'!W:W)</f>
        <v>0</v>
      </c>
      <c r="X101">
        <f>_xlfn.XLOOKUP($A101,'EA-Fortescue_SDExport'!$A:$A,'EA-Fortescue_SDExport'!X:X)</f>
        <v>0</v>
      </c>
      <c r="Y101">
        <f>_xlfn.XLOOKUP($A101,'EA-Fortescue_SDExport'!$A:$A,'EA-Fortescue_SDExport'!Y:Y)</f>
        <v>0</v>
      </c>
      <c r="Z101" t="str">
        <f>_xlfn.XLOOKUP($A101,'EA-Fortescue_SDExport'!$A:$A,'EA-Fortescue_SDExport'!Z:Z)</f>
        <v>SysML1.4::InterfaceBlock</v>
      </c>
      <c r="AA101" t="str">
        <f>_xlfn.XLOOKUP($A101,InterfaceRegister!$A:$A,InterfaceRegister!B:B)</f>
        <v>001OP-4000 Port Facilities|001OP-2700 Material Handling Equipment</v>
      </c>
      <c r="AB101" t="str">
        <f>_xlfn.XLOOKUP($A101,InterfaceRegister!$A:$A,InterfaceRegister!C:C)</f>
        <v/>
      </c>
      <c r="AC101" t="str">
        <f>_xlfn.XLOOKUP($A101,InterfaceRegister!$A:$A,InterfaceRegister!D:D)</f>
        <v/>
      </c>
      <c r="AD101" t="str">
        <f>_xlfn.XLOOKUP($A101,InterfaceRegister!$A:$A,InterfaceRegister!E:E)</f>
        <v>System - System Interface</v>
      </c>
      <c r="AE101" t="str">
        <f>_xlfn.XLOOKUP($A101,InterfaceRegister!$A:$A,InterfaceRegister!F:F)</f>
        <v/>
      </c>
      <c r="AF101" t="str">
        <f>_xlfn.XLOOKUP($A101,InterfaceRegister!$A:$A,InterfaceRegister!L:L)</f>
        <v/>
      </c>
      <c r="AG101" t="str">
        <f>_xlfn.XLOOKUP($A101,InterfaceRegister!$A:$A,InterfaceRegister!M:M)</f>
        <v/>
      </c>
      <c r="AH101" t="str">
        <f>_xlfn.XLOOKUP($A101,InterfaceRegister!$A:$A,InterfaceRegister!O:O)</f>
        <v/>
      </c>
      <c r="AI101" t="str">
        <f>_xlfn.XLOOKUP($A101,InterfaceRegister!$A:$A,InterfaceRegister!N:N)</f>
        <v/>
      </c>
      <c r="AJ101" t="str">
        <f>_xlfn.XLOOKUP($A101,'EA-Fortescue_SDExport'!$A:$A,'EA-Fortescue_SDExport'!AX:AX)</f>
        <v>CSV4BF9848D</v>
      </c>
      <c r="AK101">
        <f>_xlfn.XLOOKUP($A101,'EA-Fortescue_SDExport'!$A:$A,'EA-Fortescue_SDExport'!AY:AY)</f>
        <v>0</v>
      </c>
    </row>
    <row r="102" spans="1:37" x14ac:dyDescent="0.25">
      <c r="A102" t="str">
        <v>DGS-I_0101</v>
      </c>
      <c r="B102" t="str">
        <f>_xlfn.XLOOKUP($A102,'EA-Fortescue_SDExport'!$A:$A,'EA-Fortescue_SDExport'!B:B)</f>
        <v>Class</v>
      </c>
      <c r="C102" t="str">
        <f>_xlfn.XLOOKUP($A102,'EA-Fortescue_SDExport'!$A:$A,'EA-Fortescue_SDExport'!C:C)</f>
        <v>{71F654D7-1F96-4259-AC07-0D4C8CAA8C21}</v>
      </c>
      <c r="D102" t="str">
        <f>_xlfn.LET(_xlpm.result, _xlfn.XLOOKUP($A102, InterfaceRegister!$A:$A, InterfaceRegister!P:P), IF(_xlpm.result=0, "", _xlpm.result))</f>
        <v/>
      </c>
      <c r="E102">
        <f>_xlfn.XLOOKUP($A102,'EA-Fortescue_SDExport'!$A:$A,'EA-Fortescue_SDExport'!E:E)</f>
        <v>1</v>
      </c>
      <c r="F102">
        <f>_xlfn.XLOOKUP($A102,'EA-Fortescue_SDExport'!$A:$A,'EA-Fortescue_SDExport'!F:F)</f>
        <v>1</v>
      </c>
      <c r="G102">
        <f>_xlfn.XLOOKUP($A102,'EA-Fortescue_SDExport'!$A:$A,'EA-Fortescue_SDExport'!G:G)</f>
        <v>0</v>
      </c>
      <c r="H102" t="str">
        <f>_xlfn.XLOOKUP($A102,'EA-Fortescue_SDExport'!$A:$A,'EA-Fortescue_SDExport'!H:H)</f>
        <v>InterfaceBlock</v>
      </c>
      <c r="I102" t="str">
        <f>_xlfn.XLOOKUP($A102,'EA-Fortescue_SDExport'!$A:$A,'EA-Fortescue_SDExport'!I:I)</f>
        <v>SysML1.4::InterfaceBlock</v>
      </c>
      <c r="J102" t="str">
        <f>_xlfn.XLOOKUP($A102,'EA-Fortescue_SDExport'!$A:$A,'EA-Fortescue_SDExport'!J:J)</f>
        <v>Java</v>
      </c>
      <c r="K102" t="str">
        <f>_xlfn.XLOOKUP($A102,'EA-Fortescue_SDExport'!$A:$A,'EA-Fortescue_SDExport'!K:K)</f>
        <v>Admin</v>
      </c>
      <c r="L102" t="str">
        <f>_xlfn.XLOOKUP($A102,'EA-Fortescue_SDExport'!$A:$A,'EA-Fortescue_SDExport'!L:L)</f>
        <v>Public</v>
      </c>
      <c r="M102">
        <f>_xlfn.XLOOKUP($A102,'EA-Fortescue_SDExport'!$A:$A,'EA-Fortescue_SDExport'!M:M)</f>
        <v>0</v>
      </c>
      <c r="N102" t="str">
        <f>_xlfn.XLOOKUP($A102,InterfaceRegister!$A:$A,InterfaceRegister!K:K)</f>
        <v>Proposed</v>
      </c>
      <c r="O102">
        <f>_xlfn.XLOOKUP($A102,'EA-Fortescue_SDExport'!$A:$A,'EA-Fortescue_SDExport'!O:O)</f>
        <v>1</v>
      </c>
      <c r="P102">
        <f>_xlfn.XLOOKUP($A102,'EA-Fortescue_SDExport'!$A:$A,'EA-Fortescue_SDExport'!P:P)</f>
        <v>0</v>
      </c>
      <c r="Q102">
        <f>_xlfn.XLOOKUP($A102,'EA-Fortescue_SDExport'!$A:$A,'EA-Fortescue_SDExport'!Q:Q)</f>
        <v>0</v>
      </c>
      <c r="R102">
        <f>_xlfn.XLOOKUP($A102,'EA-Fortescue_SDExport'!$A:$A,'EA-Fortescue_SDExport'!R:R)</f>
        <v>0</v>
      </c>
      <c r="S102">
        <f>_xlfn.XLOOKUP($A102,'EA-Fortescue_SDExport'!$A:$A,'EA-Fortescue_SDExport'!S:S)</f>
        <v>0</v>
      </c>
      <c r="T102">
        <f>_xlfn.XLOOKUP($A102,'EA-Fortescue_SDExport'!$A:$A,'EA-Fortescue_SDExport'!T:T)</f>
        <v>0</v>
      </c>
      <c r="U102">
        <f>_xlfn.XLOOKUP($A102,'EA-Fortescue_SDExport'!$A:$A,'EA-Fortescue_SDExport'!U:U)</f>
        <v>45945.699895833335</v>
      </c>
      <c r="V102">
        <f>_xlfn.XLOOKUP($A102,'EA-Fortescue_SDExport'!$A:$A,'EA-Fortescue_SDExport'!V:V)</f>
        <v>46002.067615740743</v>
      </c>
      <c r="W102">
        <f>_xlfn.XLOOKUP($A102,'EA-Fortescue_SDExport'!$A:$A,'EA-Fortescue_SDExport'!W:W)</f>
        <v>0</v>
      </c>
      <c r="X102">
        <f>_xlfn.XLOOKUP($A102,'EA-Fortescue_SDExport'!$A:$A,'EA-Fortescue_SDExport'!X:X)</f>
        <v>0</v>
      </c>
      <c r="Y102">
        <f>_xlfn.XLOOKUP($A102,'EA-Fortescue_SDExport'!$A:$A,'EA-Fortescue_SDExport'!Y:Y)</f>
        <v>0</v>
      </c>
      <c r="Z102" t="str">
        <f>_xlfn.XLOOKUP($A102,'EA-Fortescue_SDExport'!$A:$A,'EA-Fortescue_SDExport'!Z:Z)</f>
        <v>SysML1.4::InterfaceBlock</v>
      </c>
      <c r="AA102" t="str">
        <f>_xlfn.XLOOKUP($A102,InterfaceRegister!$A:$A,InterfaceRegister!B:B)</f>
        <v>001OP-3720 Concentrate Pipeline|001OP-4000 Port Facilities</v>
      </c>
      <c r="AB102" t="str">
        <f>_xlfn.XLOOKUP($A102,InterfaceRegister!$A:$A,InterfaceRegister!C:C)</f>
        <v/>
      </c>
      <c r="AC102" t="str">
        <f>_xlfn.XLOOKUP($A102,InterfaceRegister!$A:$A,InterfaceRegister!D:D)</f>
        <v/>
      </c>
      <c r="AD102" t="str">
        <f>_xlfn.XLOOKUP($A102,InterfaceRegister!$A:$A,InterfaceRegister!E:E)</f>
        <v>System - System Interface</v>
      </c>
      <c r="AE102" t="str">
        <f>_xlfn.XLOOKUP($A102,InterfaceRegister!$A:$A,InterfaceRegister!F:F)</f>
        <v/>
      </c>
      <c r="AF102" t="str">
        <f>_xlfn.XLOOKUP($A102,InterfaceRegister!$A:$A,InterfaceRegister!L:L)</f>
        <v/>
      </c>
      <c r="AG102" t="str">
        <f>_xlfn.XLOOKUP($A102,InterfaceRegister!$A:$A,InterfaceRegister!M:M)</f>
        <v/>
      </c>
      <c r="AH102" t="str">
        <f>_xlfn.XLOOKUP($A102,InterfaceRegister!$A:$A,InterfaceRegister!O:O)</f>
        <v/>
      </c>
      <c r="AI102" t="str">
        <f>_xlfn.XLOOKUP($A102,InterfaceRegister!$A:$A,InterfaceRegister!N:N)</f>
        <v/>
      </c>
      <c r="AJ102" t="str">
        <f>_xlfn.XLOOKUP($A102,'EA-Fortescue_SDExport'!$A:$A,'EA-Fortescue_SDExport'!AX:AX)</f>
        <v>CSV50794CF0</v>
      </c>
      <c r="AK102">
        <f>_xlfn.XLOOKUP($A102,'EA-Fortescue_SDExport'!$A:$A,'EA-Fortescue_SDExport'!AY:AY)</f>
        <v>0</v>
      </c>
    </row>
    <row r="103" spans="1:37" x14ac:dyDescent="0.25">
      <c r="A103" t="str">
        <v>DGS-I_0102</v>
      </c>
      <c r="B103" t="str">
        <f>_xlfn.XLOOKUP($A103,'EA-Fortescue_SDExport'!$A:$A,'EA-Fortescue_SDExport'!B:B)</f>
        <v>Class</v>
      </c>
      <c r="C103" t="str">
        <f>_xlfn.XLOOKUP($A103,'EA-Fortescue_SDExport'!$A:$A,'EA-Fortescue_SDExport'!C:C)</f>
        <v>{32A99927-9776-4178-874F-A8557680EE9E}</v>
      </c>
      <c r="D103" t="str">
        <f>_xlfn.LET(_xlpm.result, _xlfn.XLOOKUP($A103, InterfaceRegister!$A:$A, InterfaceRegister!P:P), IF(_xlpm.result=0, "", _xlpm.result))</f>
        <v>SBSWBS Mapping 02/01/2026: To be deleted - MinePlan is an general term not a separate system</v>
      </c>
      <c r="E103">
        <f>_xlfn.XLOOKUP($A103,'EA-Fortescue_SDExport'!$A:$A,'EA-Fortescue_SDExport'!E:E)</f>
        <v>1</v>
      </c>
      <c r="F103">
        <f>_xlfn.XLOOKUP($A103,'EA-Fortescue_SDExport'!$A:$A,'EA-Fortescue_SDExport'!F:F)</f>
        <v>1</v>
      </c>
      <c r="G103">
        <f>_xlfn.XLOOKUP($A103,'EA-Fortescue_SDExport'!$A:$A,'EA-Fortescue_SDExport'!G:G)</f>
        <v>0</v>
      </c>
      <c r="H103" t="str">
        <f>_xlfn.XLOOKUP($A103,'EA-Fortescue_SDExport'!$A:$A,'EA-Fortescue_SDExport'!H:H)</f>
        <v>InterfaceBlock</v>
      </c>
      <c r="I103" t="str">
        <f>_xlfn.XLOOKUP($A103,'EA-Fortescue_SDExport'!$A:$A,'EA-Fortescue_SDExport'!I:I)</f>
        <v>SysML1.4::InterfaceBlock</v>
      </c>
      <c r="J103" t="str">
        <f>_xlfn.XLOOKUP($A103,'EA-Fortescue_SDExport'!$A:$A,'EA-Fortescue_SDExport'!J:J)</f>
        <v>Java</v>
      </c>
      <c r="K103" t="str">
        <f>_xlfn.XLOOKUP($A103,'EA-Fortescue_SDExport'!$A:$A,'EA-Fortescue_SDExport'!K:K)</f>
        <v>Admin</v>
      </c>
      <c r="L103" t="str">
        <f>_xlfn.XLOOKUP($A103,'EA-Fortescue_SDExport'!$A:$A,'EA-Fortescue_SDExport'!L:L)</f>
        <v>Public</v>
      </c>
      <c r="M103">
        <f>_xlfn.XLOOKUP($A103,'EA-Fortescue_SDExport'!$A:$A,'EA-Fortescue_SDExport'!M:M)</f>
        <v>0</v>
      </c>
      <c r="N103" t="str">
        <f>_xlfn.XLOOKUP($A103,InterfaceRegister!$A:$A,InterfaceRegister!K:K)</f>
        <v>Deleted</v>
      </c>
      <c r="O103">
        <f>_xlfn.XLOOKUP($A103,'EA-Fortescue_SDExport'!$A:$A,'EA-Fortescue_SDExport'!O:O)</f>
        <v>1</v>
      </c>
      <c r="P103">
        <f>_xlfn.XLOOKUP($A103,'EA-Fortescue_SDExport'!$A:$A,'EA-Fortescue_SDExport'!P:P)</f>
        <v>0</v>
      </c>
      <c r="Q103">
        <f>_xlfn.XLOOKUP($A103,'EA-Fortescue_SDExport'!$A:$A,'EA-Fortescue_SDExport'!Q:Q)</f>
        <v>0</v>
      </c>
      <c r="R103">
        <f>_xlfn.XLOOKUP($A103,'EA-Fortescue_SDExport'!$A:$A,'EA-Fortescue_SDExport'!R:R)</f>
        <v>0</v>
      </c>
      <c r="S103">
        <f>_xlfn.XLOOKUP($A103,'EA-Fortescue_SDExport'!$A:$A,'EA-Fortescue_SDExport'!S:S)</f>
        <v>0</v>
      </c>
      <c r="T103">
        <f>_xlfn.XLOOKUP($A103,'EA-Fortescue_SDExport'!$A:$A,'EA-Fortescue_SDExport'!T:T)</f>
        <v>0</v>
      </c>
      <c r="U103">
        <f>_xlfn.XLOOKUP($A103,'EA-Fortescue_SDExport'!$A:$A,'EA-Fortescue_SDExport'!U:U)</f>
        <v>45918.768043981479</v>
      </c>
      <c r="V103">
        <f>_xlfn.XLOOKUP($A103,'EA-Fortescue_SDExport'!$A:$A,'EA-Fortescue_SDExport'!V:V)</f>
        <v>46028.988298611112</v>
      </c>
      <c r="W103">
        <f>_xlfn.XLOOKUP($A103,'EA-Fortescue_SDExport'!$A:$A,'EA-Fortescue_SDExport'!W:W)</f>
        <v>0</v>
      </c>
      <c r="X103">
        <f>_xlfn.XLOOKUP($A103,'EA-Fortescue_SDExport'!$A:$A,'EA-Fortescue_SDExport'!X:X)</f>
        <v>0</v>
      </c>
      <c r="Y103">
        <f>_xlfn.XLOOKUP($A103,'EA-Fortescue_SDExport'!$A:$A,'EA-Fortescue_SDExport'!Y:Y)</f>
        <v>0</v>
      </c>
      <c r="Z103" t="str">
        <f>_xlfn.XLOOKUP($A103,'EA-Fortescue_SDExport'!$A:$A,'EA-Fortescue_SDExport'!Z:Z)</f>
        <v>SysML1.4::InterfaceBlock</v>
      </c>
      <c r="AA103" t="str">
        <f>_xlfn.XLOOKUP($A103,InterfaceRegister!$A:$A,InterfaceRegister!B:B)</f>
        <v>Archive - 005OP-0000-- Mineplan [A.04.06]|859DC-1410-001 HaulX</v>
      </c>
      <c r="AB103" t="str">
        <f>_xlfn.XLOOKUP($A103,InterfaceRegister!$A:$A,InterfaceRegister!C:C)</f>
        <v/>
      </c>
      <c r="AC103" t="str">
        <f>_xlfn.XLOOKUP($A103,InterfaceRegister!$A:$A,InterfaceRegister!D:D)</f>
        <v/>
      </c>
      <c r="AD103" t="str">
        <f>_xlfn.XLOOKUP($A103,InterfaceRegister!$A:$A,InterfaceRegister!E:E)</f>
        <v>Project - Project Interface</v>
      </c>
      <c r="AE103" t="str">
        <f>_xlfn.XLOOKUP($A103,InterfaceRegister!$A:$A,InterfaceRegister!F:F)</f>
        <v>Technical-Data/Software</v>
      </c>
      <c r="AF103" t="str">
        <f>_xlfn.XLOOKUP($A103,InterfaceRegister!$A:$A,InterfaceRegister!L:L)</f>
        <v>This interface supplies mine planning data, dig locations, and operational polygons from Mineplan into HaulX to ensure autonomous haulage routes and boundaries remain aligned with the current mine design.</v>
      </c>
      <c r="AG103" t="str">
        <f>_xlfn.XLOOKUP($A103,InterfaceRegister!$A:$A,InterfaceRegister!M:M)</f>
        <v>MEDIUM</v>
      </c>
      <c r="AH103" t="str">
        <f>_xlfn.XLOOKUP($A103,InterfaceRegister!$A:$A,InterfaceRegister!O:O)</f>
        <v/>
      </c>
      <c r="AI103" t="str">
        <f>_xlfn.XLOOKUP($A103,InterfaceRegister!$A:$A,InterfaceRegister!N:N)</f>
        <v>The criticality level is MEDIUM because incorrect or outdated mine design data can cause operational slowdowns or misalignment in autonomous fleet behaviour. Failure may reduce productivity, but it will not immediately halt production.</v>
      </c>
      <c r="AJ103" t="str">
        <f>_xlfn.XLOOKUP($A103,'EA-Fortescue_SDExport'!$A:$A,'EA-Fortescue_SDExport'!AX:AX)</f>
        <v>CSVAA9CF82D</v>
      </c>
      <c r="AK103">
        <f>_xlfn.XLOOKUP($A103,'EA-Fortescue_SDExport'!$A:$A,'EA-Fortescue_SDExport'!AY:AY)</f>
        <v>0</v>
      </c>
    </row>
    <row r="104" spans="1:37" x14ac:dyDescent="0.25">
      <c r="A104" t="str">
        <v>DGS-I_0103</v>
      </c>
      <c r="B104" t="str">
        <f>_xlfn.XLOOKUP($A104,'EA-Fortescue_SDExport'!$A:$A,'EA-Fortescue_SDExport'!B:B)</f>
        <v>Class</v>
      </c>
      <c r="C104" t="str">
        <f>_xlfn.XLOOKUP($A104,'EA-Fortescue_SDExport'!$A:$A,'EA-Fortescue_SDExport'!C:C)</f>
        <v>{65E582A2-C63C-4e08-903C-97CAA7F92D96}</v>
      </c>
      <c r="D104" t="str">
        <f>_xlfn.LET(_xlpm.result, _xlfn.XLOOKUP($A104, InterfaceRegister!$A:$A, InterfaceRegister!P:P), IF(_xlpm.result=0, "", _xlpm.result))</f>
        <v>NH 25/02/2026: Fields updated:Interface Type</v>
      </c>
      <c r="E104">
        <f>_xlfn.XLOOKUP($A104,'EA-Fortescue_SDExport'!$A:$A,'EA-Fortescue_SDExport'!E:E)</f>
        <v>1</v>
      </c>
      <c r="F104">
        <f>_xlfn.XLOOKUP($A104,'EA-Fortescue_SDExport'!$A:$A,'EA-Fortescue_SDExport'!F:F)</f>
        <v>1</v>
      </c>
      <c r="G104">
        <f>_xlfn.XLOOKUP($A104,'EA-Fortescue_SDExport'!$A:$A,'EA-Fortescue_SDExport'!G:G)</f>
        <v>0</v>
      </c>
      <c r="H104" t="str">
        <f>_xlfn.XLOOKUP($A104,'EA-Fortescue_SDExport'!$A:$A,'EA-Fortescue_SDExport'!H:H)</f>
        <v>InterfaceBlock</v>
      </c>
      <c r="I104" t="str">
        <f>_xlfn.XLOOKUP($A104,'EA-Fortescue_SDExport'!$A:$A,'EA-Fortescue_SDExport'!I:I)</f>
        <v>SysML1.4::InterfaceBlock</v>
      </c>
      <c r="J104" t="str">
        <f>_xlfn.XLOOKUP($A104,'EA-Fortescue_SDExport'!$A:$A,'EA-Fortescue_SDExport'!J:J)</f>
        <v>Java</v>
      </c>
      <c r="K104" t="str">
        <f>_xlfn.XLOOKUP($A104,'EA-Fortescue_SDExport'!$A:$A,'EA-Fortescue_SDExport'!K:K)</f>
        <v>Admin</v>
      </c>
      <c r="L104" t="str">
        <f>_xlfn.XLOOKUP($A104,'EA-Fortescue_SDExport'!$A:$A,'EA-Fortescue_SDExport'!L:L)</f>
        <v>Public</v>
      </c>
      <c r="M104">
        <f>_xlfn.XLOOKUP($A104,'EA-Fortescue_SDExport'!$A:$A,'EA-Fortescue_SDExport'!M:M)</f>
        <v>0</v>
      </c>
      <c r="N104" t="str">
        <f>_xlfn.XLOOKUP($A104,InterfaceRegister!$A:$A,InterfaceRegister!K:K)</f>
        <v>Proposed</v>
      </c>
      <c r="O104">
        <f>_xlfn.XLOOKUP($A104,'EA-Fortescue_SDExport'!$A:$A,'EA-Fortescue_SDExport'!O:O)</f>
        <v>1</v>
      </c>
      <c r="P104">
        <f>_xlfn.XLOOKUP($A104,'EA-Fortescue_SDExport'!$A:$A,'EA-Fortescue_SDExport'!P:P)</f>
        <v>0</v>
      </c>
      <c r="Q104">
        <f>_xlfn.XLOOKUP($A104,'EA-Fortescue_SDExport'!$A:$A,'EA-Fortescue_SDExport'!Q:Q)</f>
        <v>0</v>
      </c>
      <c r="R104">
        <f>_xlfn.XLOOKUP($A104,'EA-Fortescue_SDExport'!$A:$A,'EA-Fortescue_SDExport'!R:R)</f>
        <v>0</v>
      </c>
      <c r="S104">
        <f>_xlfn.XLOOKUP($A104,'EA-Fortescue_SDExport'!$A:$A,'EA-Fortescue_SDExport'!S:S)</f>
        <v>0</v>
      </c>
      <c r="T104">
        <f>_xlfn.XLOOKUP($A104,'EA-Fortescue_SDExport'!$A:$A,'EA-Fortescue_SDExport'!T:T)</f>
        <v>0</v>
      </c>
      <c r="U104">
        <f>_xlfn.XLOOKUP($A104,'EA-Fortescue_SDExport'!$A:$A,'EA-Fortescue_SDExport'!U:U)</f>
        <v>45895.849409722221</v>
      </c>
      <c r="V104">
        <f>_xlfn.XLOOKUP($A104,'EA-Fortescue_SDExport'!$A:$A,'EA-Fortescue_SDExport'!V:V)</f>
        <v>46077.99322916667</v>
      </c>
      <c r="W104">
        <f>_xlfn.XLOOKUP($A104,'EA-Fortescue_SDExport'!$A:$A,'EA-Fortescue_SDExport'!W:W)</f>
        <v>0</v>
      </c>
      <c r="X104">
        <f>_xlfn.XLOOKUP($A104,'EA-Fortescue_SDExport'!$A:$A,'EA-Fortescue_SDExport'!X:X)</f>
        <v>0</v>
      </c>
      <c r="Y104">
        <f>_xlfn.XLOOKUP($A104,'EA-Fortescue_SDExport'!$A:$A,'EA-Fortescue_SDExport'!Y:Y)</f>
        <v>0</v>
      </c>
      <c r="Z104" t="str">
        <f>_xlfn.XLOOKUP($A104,'EA-Fortescue_SDExport'!$A:$A,'EA-Fortescue_SDExport'!Z:Z)</f>
        <v>SysML1.4::InterfaceBlock</v>
      </c>
      <c r="AA104" t="str">
        <f>_xlfn.XLOOKUP($A104,InterfaceRegister!$A:$A,InterfaceRegister!B:B)</f>
        <v>855DC-1542-LMS Load Management System (LMS)|855DC-1543-008 Monarch</v>
      </c>
      <c r="AB104" t="str">
        <f>_xlfn.XLOOKUP($A104,InterfaceRegister!$A:$A,InterfaceRegister!C:C)</f>
        <v>Sam Hedgcock</v>
      </c>
      <c r="AC104" t="str">
        <f>_xlfn.XLOOKUP($A104,InterfaceRegister!$A:$A,InterfaceRegister!D:D)</f>
        <v>Glen Carruthers</v>
      </c>
      <c r="AD104" t="str">
        <f>_xlfn.XLOOKUP($A104,InterfaceRegister!$A:$A,InterfaceRegister!E:E)</f>
        <v>Project - Project Interface</v>
      </c>
      <c r="AE104" t="str">
        <f>_xlfn.XLOOKUP($A104,InterfaceRegister!$A:$A,InterfaceRegister!F:F)</f>
        <v>Technical-Data/Software</v>
      </c>
      <c r="AF104" t="str">
        <f>_xlfn.XLOOKUP($A104,InterfaceRegister!$A:$A,InterfaceRegister!L:L)</f>
        <v>A.03.02 Load Management System (LMS) - Integration with A.02.04 Monarch (Energy Operations Power Distribution System)_x000D_
The purpose of this interface is to allow the Load Management System (LMS) to integrate with Monarch, the system used by Energy Operations to manage and distribute power across the network in response to load requests. Monarch communicates required power allocations, constraints, and prioritisation rules to LMS, allowing LMS to coordinate load adjustments, charging, and shedding actions in alignment with operational needs._x000D_
Intermediate Elements: Monarch system, LMS, PLCs, and the site electrical network.</v>
      </c>
      <c r="AG104" t="str">
        <f>_xlfn.XLOOKUP($A104,InterfaceRegister!$A:$A,InterfaceRegister!M:M)</f>
        <v>HIGH</v>
      </c>
      <c r="AH104" t="str">
        <f>_xlfn.XLOOKUP($A104,InterfaceRegister!$A:$A,InterfaceRegister!O:O)</f>
        <v>Monarch (power distribution requests &amp; constraints) -&gt; LMS -&gt; PLCs / site loads.</v>
      </c>
      <c r="AI104" t="str">
        <f>_xlfn.XLOOKUP($A104,InterfaceRegister!$A:$A,InterfaceRegister!N:N)</f>
        <v>The criticality level is HIGH because accurate communication between Monarch and LMS is essential to safely distribute power and prevent overload conditions. Failure compromises system stability and the ability to meet operational demands across the network.</v>
      </c>
      <c r="AJ104" t="str">
        <f>_xlfn.XLOOKUP($A104,'EA-Fortescue_SDExport'!$A:$A,'EA-Fortescue_SDExport'!AX:AX)</f>
        <v>CSVDB11075F</v>
      </c>
      <c r="AK104">
        <f>_xlfn.XLOOKUP($A104,'EA-Fortescue_SDExport'!$A:$A,'EA-Fortescue_SDExport'!AY:AY)</f>
        <v>0</v>
      </c>
    </row>
    <row r="105" spans="1:37" x14ac:dyDescent="0.25">
      <c r="A105" t="str">
        <v>DGS-I_0104</v>
      </c>
      <c r="B105" t="str">
        <f>_xlfn.XLOOKUP($A105,'EA-Fortescue_SDExport'!$A:$A,'EA-Fortescue_SDExport'!B:B)</f>
        <v>Class</v>
      </c>
      <c r="C105" t="str">
        <f>_xlfn.XLOOKUP($A105,'EA-Fortescue_SDExport'!$A:$A,'EA-Fortescue_SDExport'!C:C)</f>
        <v>{D71BA3A1-8156-40f6-BD7D-0714E71CD97A}</v>
      </c>
      <c r="D105" t="str">
        <f>_xlfn.LET(_xlpm.result, _xlfn.XLOOKUP($A105, InterfaceRegister!$A:$A, InterfaceRegister!P:P), IF(_xlpm.result=0, "", _xlpm.result))</f>
        <v>NH 25/02/2026: Fields updated:Interface Type, Interface Criticality Explanation, Interface Flow</v>
      </c>
      <c r="E105">
        <f>_xlfn.XLOOKUP($A105,'EA-Fortescue_SDExport'!$A:$A,'EA-Fortescue_SDExport'!E:E)</f>
        <v>1</v>
      </c>
      <c r="F105">
        <f>_xlfn.XLOOKUP($A105,'EA-Fortescue_SDExport'!$A:$A,'EA-Fortescue_SDExport'!F:F)</f>
        <v>1</v>
      </c>
      <c r="G105">
        <f>_xlfn.XLOOKUP($A105,'EA-Fortescue_SDExport'!$A:$A,'EA-Fortescue_SDExport'!G:G)</f>
        <v>0</v>
      </c>
      <c r="H105" t="str">
        <f>_xlfn.XLOOKUP($A105,'EA-Fortescue_SDExport'!$A:$A,'EA-Fortescue_SDExport'!H:H)</f>
        <v>InterfaceBlock</v>
      </c>
      <c r="I105" t="str">
        <f>_xlfn.XLOOKUP($A105,'EA-Fortescue_SDExport'!$A:$A,'EA-Fortescue_SDExport'!I:I)</f>
        <v>SysML1.4::InterfaceBlock</v>
      </c>
      <c r="J105" t="str">
        <f>_xlfn.XLOOKUP($A105,'EA-Fortescue_SDExport'!$A:$A,'EA-Fortescue_SDExport'!J:J)</f>
        <v>Java</v>
      </c>
      <c r="K105" t="str">
        <f>_xlfn.XLOOKUP($A105,'EA-Fortescue_SDExport'!$A:$A,'EA-Fortescue_SDExport'!K:K)</f>
        <v>Admin</v>
      </c>
      <c r="L105" t="str">
        <f>_xlfn.XLOOKUP($A105,'EA-Fortescue_SDExport'!$A:$A,'EA-Fortescue_SDExport'!L:L)</f>
        <v>Public</v>
      </c>
      <c r="M105">
        <f>_xlfn.XLOOKUP($A105,'EA-Fortescue_SDExport'!$A:$A,'EA-Fortescue_SDExport'!M:M)</f>
        <v>0</v>
      </c>
      <c r="N105" t="str">
        <f>_xlfn.XLOOKUP($A105,InterfaceRegister!$A:$A,InterfaceRegister!K:K)</f>
        <v>Simplified Interface</v>
      </c>
      <c r="O105">
        <f>_xlfn.XLOOKUP($A105,'EA-Fortescue_SDExport'!$A:$A,'EA-Fortescue_SDExport'!O:O)</f>
        <v>1</v>
      </c>
      <c r="P105">
        <f>_xlfn.XLOOKUP($A105,'EA-Fortescue_SDExport'!$A:$A,'EA-Fortescue_SDExport'!P:P)</f>
        <v>0</v>
      </c>
      <c r="Q105">
        <f>_xlfn.XLOOKUP($A105,'EA-Fortescue_SDExport'!$A:$A,'EA-Fortescue_SDExport'!Q:Q)</f>
        <v>0</v>
      </c>
      <c r="R105">
        <f>_xlfn.XLOOKUP($A105,'EA-Fortescue_SDExport'!$A:$A,'EA-Fortescue_SDExport'!R:R)</f>
        <v>0</v>
      </c>
      <c r="S105">
        <f>_xlfn.XLOOKUP($A105,'EA-Fortescue_SDExport'!$A:$A,'EA-Fortescue_SDExport'!S:S)</f>
        <v>0</v>
      </c>
      <c r="T105">
        <f>_xlfn.XLOOKUP($A105,'EA-Fortescue_SDExport'!$A:$A,'EA-Fortescue_SDExport'!T:T)</f>
        <v>0</v>
      </c>
      <c r="U105">
        <f>_xlfn.XLOOKUP($A105,'EA-Fortescue_SDExport'!$A:$A,'EA-Fortescue_SDExport'!U:U)</f>
        <v>45895.920208333337</v>
      </c>
      <c r="V105">
        <f>_xlfn.XLOOKUP($A105,'EA-Fortescue_SDExport'!$A:$A,'EA-Fortescue_SDExport'!V:V)</f>
        <v>46077.99322916667</v>
      </c>
      <c r="W105">
        <f>_xlfn.XLOOKUP($A105,'EA-Fortescue_SDExport'!$A:$A,'EA-Fortescue_SDExport'!W:W)</f>
        <v>0</v>
      </c>
      <c r="X105">
        <f>_xlfn.XLOOKUP($A105,'EA-Fortescue_SDExport'!$A:$A,'EA-Fortescue_SDExport'!X:X)</f>
        <v>0</v>
      </c>
      <c r="Y105">
        <f>_xlfn.XLOOKUP($A105,'EA-Fortescue_SDExport'!$A:$A,'EA-Fortescue_SDExport'!Y:Y)</f>
        <v>0</v>
      </c>
      <c r="Z105" t="str">
        <f>_xlfn.XLOOKUP($A105,'EA-Fortescue_SDExport'!$A:$A,'EA-Fortescue_SDExport'!Z:Z)</f>
        <v>SysML1.4::InterfaceBlock</v>
      </c>
      <c r="AA105" t="str">
        <f>_xlfn.XLOOKUP($A105,InterfaceRegister!$A:$A,InterfaceRegister!B:B)</f>
        <v>855DC-1541-ECL Eclipse|Energy Operations (HIVE)</v>
      </c>
      <c r="AB105" t="str">
        <f>_xlfn.XLOOKUP($A105,InterfaceRegister!$A:$A,InterfaceRegister!C:C)</f>
        <v>Abby Buters</v>
      </c>
      <c r="AC105" t="str">
        <f>_xlfn.XLOOKUP($A105,InterfaceRegister!$A:$A,InterfaceRegister!D:D)</f>
        <v>Glen Carruthers</v>
      </c>
      <c r="AD105" t="str">
        <f>_xlfn.XLOOKUP($A105,InterfaceRegister!$A:$A,InterfaceRegister!E:E)</f>
        <v>Stakeholder - Project Interface</v>
      </c>
      <c r="AE105" t="str">
        <f>_xlfn.XLOOKUP($A105,InterfaceRegister!$A:$A,InterfaceRegister!F:F)</f>
        <v>Functional-Operational</v>
      </c>
      <c r="AF105" t="str">
        <f>_xlfn.XLOOKUP($A105,InterfaceRegister!$A:$A,InterfaceRegister!L:L)</f>
        <v>The purpose of this interface is to allow Energy Operations (EO) personnel to interface with Eclipse data to assist in short and long-term planning and predicting energy/power distribution across the network. It is a Human interface for decision-making, where the EO staff member makes a decision after analysing outputs from Eclipse and then controls power distribution through Monarch._x000D_
Intermediate Elements: an EO staff member making a decision after analysing outputs from Eclipse and controlling power distribution through Monarch.</v>
      </c>
      <c r="AG105" t="str">
        <f>_xlfn.XLOOKUP($A105,InterfaceRegister!$A:$A,InterfaceRegister!M:M)</f>
        <v>HIGH</v>
      </c>
      <c r="AH105" t="str">
        <f>_xlfn.XLOOKUP($A105,InterfaceRegister!$A:$A,InterfaceRegister!O:O)</f>
        <v>Eclipse -&gt; Energy Operations (HIVE)</v>
      </c>
      <c r="AI105" t="str">
        <f>_xlfn.XLOOKUP($A105,InterfaceRegister!$A:$A,InterfaceRegister!N:N)</f>
        <v>This criticality is HIGH because Energy Operations depends on accurate optimisation outputs from Eclipse to make safe, stable, and economically efficient dispatch decisions. Loss of access may result in decisions based on outdated or incomplete information, increasing the risk of suboptimal generation scheduling, storage mismanagement, or network instability. While physical control is executed through Monarch, the integrity and quality of operational decisions rely heavily on this interface.</v>
      </c>
      <c r="AJ105" t="str">
        <f>_xlfn.XLOOKUP($A105,'EA-Fortescue_SDExport'!$A:$A,'EA-Fortescue_SDExport'!AX:AX)</f>
        <v>CSVC4ED85D1</v>
      </c>
      <c r="AK105">
        <f>_xlfn.XLOOKUP($A105,'EA-Fortescue_SDExport'!$A:$A,'EA-Fortescue_SDExport'!AY:AY)</f>
        <v>0</v>
      </c>
    </row>
    <row r="106" spans="1:37" x14ac:dyDescent="0.25">
      <c r="A106" t="str">
        <v>DGS-I_0105</v>
      </c>
      <c r="B106" t="str">
        <f>_xlfn.XLOOKUP($A106,'EA-Fortescue_SDExport'!$A:$A,'EA-Fortescue_SDExport'!B:B)</f>
        <v>Class</v>
      </c>
      <c r="C106" t="str">
        <f>_xlfn.XLOOKUP($A106,'EA-Fortescue_SDExport'!$A:$A,'EA-Fortescue_SDExport'!C:C)</f>
        <v>{23BBEACA-E09E-4469-869A-3B982B933BBB}</v>
      </c>
      <c r="D106" t="str">
        <f>_xlfn.LET(_xlpm.result, _xlfn.XLOOKUP($A106, InterfaceRegister!$A:$A, InterfaceRegister!P:P), IF(_xlpm.result=0, "", _xlpm.result))</f>
        <v>Interface Review 25/11/2025: Delete</v>
      </c>
      <c r="E106">
        <f>_xlfn.XLOOKUP($A106,'EA-Fortescue_SDExport'!$A:$A,'EA-Fortescue_SDExport'!E:E)</f>
        <v>1</v>
      </c>
      <c r="F106">
        <f>_xlfn.XLOOKUP($A106,'EA-Fortescue_SDExport'!$A:$A,'EA-Fortescue_SDExport'!F:F)</f>
        <v>1</v>
      </c>
      <c r="G106">
        <f>_xlfn.XLOOKUP($A106,'EA-Fortescue_SDExport'!$A:$A,'EA-Fortescue_SDExport'!G:G)</f>
        <v>0</v>
      </c>
      <c r="H106" t="str">
        <f>_xlfn.XLOOKUP($A106,'EA-Fortescue_SDExport'!$A:$A,'EA-Fortescue_SDExport'!H:H)</f>
        <v>InterfaceBlock</v>
      </c>
      <c r="I106" t="str">
        <f>_xlfn.XLOOKUP($A106,'EA-Fortescue_SDExport'!$A:$A,'EA-Fortescue_SDExport'!I:I)</f>
        <v>SysML1.4::InterfaceBlock</v>
      </c>
      <c r="J106" t="str">
        <f>_xlfn.XLOOKUP($A106,'EA-Fortescue_SDExport'!$A:$A,'EA-Fortescue_SDExport'!J:J)</f>
        <v>Java</v>
      </c>
      <c r="K106" t="str">
        <f>_xlfn.XLOOKUP($A106,'EA-Fortescue_SDExport'!$A:$A,'EA-Fortescue_SDExport'!K:K)</f>
        <v>Admin</v>
      </c>
      <c r="L106" t="str">
        <f>_xlfn.XLOOKUP($A106,'EA-Fortescue_SDExport'!$A:$A,'EA-Fortescue_SDExport'!L:L)</f>
        <v>Public</v>
      </c>
      <c r="M106">
        <f>_xlfn.XLOOKUP($A106,'EA-Fortescue_SDExport'!$A:$A,'EA-Fortescue_SDExport'!M:M)</f>
        <v>0</v>
      </c>
      <c r="N106" t="str">
        <f>_xlfn.XLOOKUP($A106,InterfaceRegister!$A:$A,InterfaceRegister!K:K)</f>
        <v>Deleted</v>
      </c>
      <c r="O106">
        <f>_xlfn.XLOOKUP($A106,'EA-Fortescue_SDExport'!$A:$A,'EA-Fortescue_SDExport'!O:O)</f>
        <v>1</v>
      </c>
      <c r="P106">
        <f>_xlfn.XLOOKUP($A106,'EA-Fortescue_SDExport'!$A:$A,'EA-Fortescue_SDExport'!P:P)</f>
        <v>0</v>
      </c>
      <c r="Q106">
        <f>_xlfn.XLOOKUP($A106,'EA-Fortescue_SDExport'!$A:$A,'EA-Fortescue_SDExport'!Q:Q)</f>
        <v>0</v>
      </c>
      <c r="R106">
        <f>_xlfn.XLOOKUP($A106,'EA-Fortescue_SDExport'!$A:$A,'EA-Fortescue_SDExport'!R:R)</f>
        <v>0</v>
      </c>
      <c r="S106">
        <f>_xlfn.XLOOKUP($A106,'EA-Fortescue_SDExport'!$A:$A,'EA-Fortescue_SDExport'!S:S)</f>
        <v>0</v>
      </c>
      <c r="T106">
        <f>_xlfn.XLOOKUP($A106,'EA-Fortescue_SDExport'!$A:$A,'EA-Fortescue_SDExport'!T:T)</f>
        <v>0</v>
      </c>
      <c r="U106">
        <f>_xlfn.XLOOKUP($A106,'EA-Fortescue_SDExport'!$A:$A,'EA-Fortescue_SDExport'!U:U)</f>
        <v>45953.485069444447</v>
      </c>
      <c r="V106">
        <f>_xlfn.XLOOKUP($A106,'EA-Fortescue_SDExport'!$A:$A,'EA-Fortescue_SDExport'!V:V)</f>
        <v>46002.06759259259</v>
      </c>
      <c r="W106">
        <f>_xlfn.XLOOKUP($A106,'EA-Fortescue_SDExport'!$A:$A,'EA-Fortescue_SDExport'!W:W)</f>
        <v>0</v>
      </c>
      <c r="X106">
        <f>_xlfn.XLOOKUP($A106,'EA-Fortescue_SDExport'!$A:$A,'EA-Fortescue_SDExport'!X:X)</f>
        <v>0</v>
      </c>
      <c r="Y106">
        <f>_xlfn.XLOOKUP($A106,'EA-Fortescue_SDExport'!$A:$A,'EA-Fortescue_SDExport'!Y:Y)</f>
        <v>0</v>
      </c>
      <c r="Z106" t="str">
        <f>_xlfn.XLOOKUP($A106,'EA-Fortescue_SDExport'!$A:$A,'EA-Fortescue_SDExport'!Z:Z)</f>
        <v>SysML1.4::InterfaceBlock</v>
      </c>
      <c r="AA106" t="str">
        <f>_xlfn.XLOOKUP($A106,InterfaceRegister!$A:$A,InterfaceRegister!B:B)</f>
        <v>Integrated Planning|855DC-1541-ECL Eclipse</v>
      </c>
      <c r="AB106" t="str">
        <f>_xlfn.XLOOKUP($A106,InterfaceRegister!$A:$A,InterfaceRegister!C:C)</f>
        <v/>
      </c>
      <c r="AC106" t="str">
        <f>_xlfn.XLOOKUP($A106,InterfaceRegister!$A:$A,InterfaceRegister!D:D)</f>
        <v/>
      </c>
      <c r="AD106" t="str">
        <f>_xlfn.XLOOKUP($A106,InterfaceRegister!$A:$A,InterfaceRegister!E:E)</f>
        <v>Stakeholder - Project Interface</v>
      </c>
      <c r="AE106" t="str">
        <f>_xlfn.XLOOKUP($A106,InterfaceRegister!$A:$A,InterfaceRegister!F:F)</f>
        <v/>
      </c>
      <c r="AF106" t="str">
        <f>_xlfn.XLOOKUP($A106,InterfaceRegister!$A:$A,InterfaceRegister!L:L)</f>
        <v/>
      </c>
      <c r="AG106" t="str">
        <f>_xlfn.XLOOKUP($A106,InterfaceRegister!$A:$A,InterfaceRegister!M:M)</f>
        <v/>
      </c>
      <c r="AH106" t="str">
        <f>_xlfn.XLOOKUP($A106,InterfaceRegister!$A:$A,InterfaceRegister!O:O)</f>
        <v/>
      </c>
      <c r="AI106" t="str">
        <f>_xlfn.XLOOKUP($A106,InterfaceRegister!$A:$A,InterfaceRegister!N:N)</f>
        <v/>
      </c>
      <c r="AJ106" t="str">
        <f>_xlfn.XLOOKUP($A106,'EA-Fortescue_SDExport'!$A:$A,'EA-Fortescue_SDExport'!AX:AX)</f>
        <v>CSVA85E0239</v>
      </c>
      <c r="AK106">
        <f>_xlfn.XLOOKUP($A106,'EA-Fortescue_SDExport'!$A:$A,'EA-Fortescue_SDExport'!AY:AY)</f>
        <v>0</v>
      </c>
    </row>
    <row r="107" spans="1:37" x14ac:dyDescent="0.25">
      <c r="A107" t="str">
        <v>DGS-I_0106</v>
      </c>
      <c r="B107" t="str">
        <f>_xlfn.XLOOKUP($A107,'EA-Fortescue_SDExport'!$A:$A,'EA-Fortescue_SDExport'!B:B)</f>
        <v>Class</v>
      </c>
      <c r="C107" t="str">
        <f>_xlfn.XLOOKUP($A107,'EA-Fortescue_SDExport'!$A:$A,'EA-Fortescue_SDExport'!C:C)</f>
        <v>{BAFD9A20-9FD8-4470-9EE8-E672C7265E0E}</v>
      </c>
      <c r="D107" t="str">
        <f>_xlfn.LET(_xlpm.result, _xlfn.XLOOKUP($A107, InterfaceRegister!$A:$A, InterfaceRegister!P:P), IF(_xlpm.result=0, "", _xlpm.result))</f>
        <v>Interface Review 25/11/2025: Delete (Energy Operations sit in the HIVE)</v>
      </c>
      <c r="E107">
        <f>_xlfn.XLOOKUP($A107,'EA-Fortescue_SDExport'!$A:$A,'EA-Fortescue_SDExport'!E:E)</f>
        <v>1</v>
      </c>
      <c r="F107">
        <f>_xlfn.XLOOKUP($A107,'EA-Fortescue_SDExport'!$A:$A,'EA-Fortescue_SDExport'!F:F)</f>
        <v>1</v>
      </c>
      <c r="G107">
        <f>_xlfn.XLOOKUP($A107,'EA-Fortescue_SDExport'!$A:$A,'EA-Fortescue_SDExport'!G:G)</f>
        <v>0</v>
      </c>
      <c r="H107" t="str">
        <f>_xlfn.XLOOKUP($A107,'EA-Fortescue_SDExport'!$A:$A,'EA-Fortescue_SDExport'!H:H)</f>
        <v>InterfaceBlock</v>
      </c>
      <c r="I107" t="str">
        <f>_xlfn.XLOOKUP($A107,'EA-Fortescue_SDExport'!$A:$A,'EA-Fortescue_SDExport'!I:I)</f>
        <v>SysML1.4::InterfaceBlock</v>
      </c>
      <c r="J107" t="str">
        <f>_xlfn.XLOOKUP($A107,'EA-Fortescue_SDExport'!$A:$A,'EA-Fortescue_SDExport'!J:J)</f>
        <v>Java</v>
      </c>
      <c r="K107" t="str">
        <f>_xlfn.XLOOKUP($A107,'EA-Fortescue_SDExport'!$A:$A,'EA-Fortescue_SDExport'!K:K)</f>
        <v>Admin</v>
      </c>
      <c r="L107" t="str">
        <f>_xlfn.XLOOKUP($A107,'EA-Fortescue_SDExport'!$A:$A,'EA-Fortescue_SDExport'!L:L)</f>
        <v>Public</v>
      </c>
      <c r="M107">
        <f>_xlfn.XLOOKUP($A107,'EA-Fortescue_SDExport'!$A:$A,'EA-Fortescue_SDExport'!M:M)</f>
        <v>0</v>
      </c>
      <c r="N107" t="str">
        <f>_xlfn.XLOOKUP($A107,InterfaceRegister!$A:$A,InterfaceRegister!K:K)</f>
        <v>Deleted</v>
      </c>
      <c r="O107">
        <f>_xlfn.XLOOKUP($A107,'EA-Fortescue_SDExport'!$A:$A,'EA-Fortescue_SDExport'!O:O)</f>
        <v>1</v>
      </c>
      <c r="P107">
        <f>_xlfn.XLOOKUP($A107,'EA-Fortescue_SDExport'!$A:$A,'EA-Fortescue_SDExport'!P:P)</f>
        <v>0</v>
      </c>
      <c r="Q107">
        <f>_xlfn.XLOOKUP($A107,'EA-Fortescue_SDExport'!$A:$A,'EA-Fortescue_SDExport'!Q:Q)</f>
        <v>0</v>
      </c>
      <c r="R107">
        <f>_xlfn.XLOOKUP($A107,'EA-Fortescue_SDExport'!$A:$A,'EA-Fortescue_SDExport'!R:R)</f>
        <v>0</v>
      </c>
      <c r="S107">
        <f>_xlfn.XLOOKUP($A107,'EA-Fortescue_SDExport'!$A:$A,'EA-Fortescue_SDExport'!S:S)</f>
        <v>0</v>
      </c>
      <c r="T107">
        <f>_xlfn.XLOOKUP($A107,'EA-Fortescue_SDExport'!$A:$A,'EA-Fortescue_SDExport'!T:T)</f>
        <v>0</v>
      </c>
      <c r="U107">
        <f>_xlfn.XLOOKUP($A107,'EA-Fortescue_SDExport'!$A:$A,'EA-Fortescue_SDExport'!U:U)</f>
        <v>45953.485127314816</v>
      </c>
      <c r="V107">
        <f>_xlfn.XLOOKUP($A107,'EA-Fortescue_SDExport'!$A:$A,'EA-Fortescue_SDExport'!V:V)</f>
        <v>46002.06759259259</v>
      </c>
      <c r="W107">
        <f>_xlfn.XLOOKUP($A107,'EA-Fortescue_SDExport'!$A:$A,'EA-Fortescue_SDExport'!W:W)</f>
        <v>0</v>
      </c>
      <c r="X107">
        <f>_xlfn.XLOOKUP($A107,'EA-Fortescue_SDExport'!$A:$A,'EA-Fortescue_SDExport'!X:X)</f>
        <v>0</v>
      </c>
      <c r="Y107">
        <f>_xlfn.XLOOKUP($A107,'EA-Fortescue_SDExport'!$A:$A,'EA-Fortescue_SDExport'!Y:Y)</f>
        <v>0</v>
      </c>
      <c r="Z107" t="str">
        <f>_xlfn.XLOOKUP($A107,'EA-Fortescue_SDExport'!$A:$A,'EA-Fortescue_SDExport'!Z:Z)</f>
        <v>SysML1.4::InterfaceBlock</v>
      </c>
      <c r="AA107" t="str">
        <f>_xlfn.XLOOKUP($A107,InterfaceRegister!$A:$A,InterfaceRegister!B:B)</f>
        <v>HIVE|855DC-1541-ECL Eclipse</v>
      </c>
      <c r="AB107" t="str">
        <f>_xlfn.XLOOKUP($A107,InterfaceRegister!$A:$A,InterfaceRegister!C:C)</f>
        <v/>
      </c>
      <c r="AC107" t="str">
        <f>_xlfn.XLOOKUP($A107,InterfaceRegister!$A:$A,InterfaceRegister!D:D)</f>
        <v/>
      </c>
      <c r="AD107" t="str">
        <f>_xlfn.XLOOKUP($A107,InterfaceRegister!$A:$A,InterfaceRegister!E:E)</f>
        <v>Stakeholder - Project Interface</v>
      </c>
      <c r="AE107" t="str">
        <f>_xlfn.XLOOKUP($A107,InterfaceRegister!$A:$A,InterfaceRegister!F:F)</f>
        <v/>
      </c>
      <c r="AF107" t="str">
        <f>_xlfn.XLOOKUP($A107,InterfaceRegister!$A:$A,InterfaceRegister!L:L)</f>
        <v/>
      </c>
      <c r="AG107" t="str">
        <f>_xlfn.XLOOKUP($A107,InterfaceRegister!$A:$A,InterfaceRegister!M:M)</f>
        <v/>
      </c>
      <c r="AH107" t="str">
        <f>_xlfn.XLOOKUP($A107,InterfaceRegister!$A:$A,InterfaceRegister!O:O)</f>
        <v/>
      </c>
      <c r="AI107" t="str">
        <f>_xlfn.XLOOKUP($A107,InterfaceRegister!$A:$A,InterfaceRegister!N:N)</f>
        <v/>
      </c>
      <c r="AJ107" t="str">
        <f>_xlfn.XLOOKUP($A107,'EA-Fortescue_SDExport'!$A:$A,'EA-Fortescue_SDExport'!AX:AX)</f>
        <v>CSV7CC1B8F7</v>
      </c>
      <c r="AK107">
        <f>_xlfn.XLOOKUP($A107,'EA-Fortescue_SDExport'!$A:$A,'EA-Fortescue_SDExport'!AY:AY)</f>
        <v>0</v>
      </c>
    </row>
    <row r="108" spans="1:37" x14ac:dyDescent="0.25">
      <c r="A108" t="str">
        <v>DGS-I_0107</v>
      </c>
      <c r="B108" t="str">
        <f>_xlfn.XLOOKUP($A108,'EA-Fortescue_SDExport'!$A:$A,'EA-Fortescue_SDExport'!B:B)</f>
        <v>Class</v>
      </c>
      <c r="C108" t="str">
        <f>_xlfn.XLOOKUP($A108,'EA-Fortescue_SDExport'!$A:$A,'EA-Fortescue_SDExport'!C:C)</f>
        <v>{78F8AE6F-8A17-4918-93F6-4D219416242A}</v>
      </c>
      <c r="D108" t="str">
        <f>_xlfn.LET(_xlpm.result, _xlfn.XLOOKUP($A108, InterfaceRegister!$A:$A, InterfaceRegister!P:P), IF(_xlpm.result=0, "", _xlpm.result))</f>
        <v>NH 25/02/2026: Fields updated:Interface Type, Interface Criticality Explanation, Interface Flow</v>
      </c>
      <c r="E108">
        <f>_xlfn.XLOOKUP($A108,'EA-Fortescue_SDExport'!$A:$A,'EA-Fortescue_SDExport'!E:E)</f>
        <v>1</v>
      </c>
      <c r="F108">
        <f>_xlfn.XLOOKUP($A108,'EA-Fortescue_SDExport'!$A:$A,'EA-Fortescue_SDExport'!F:F)</f>
        <v>1</v>
      </c>
      <c r="G108">
        <f>_xlfn.XLOOKUP($A108,'EA-Fortescue_SDExport'!$A:$A,'EA-Fortescue_SDExport'!G:G)</f>
        <v>0</v>
      </c>
      <c r="H108" t="str">
        <f>_xlfn.XLOOKUP($A108,'EA-Fortescue_SDExport'!$A:$A,'EA-Fortescue_SDExport'!H:H)</f>
        <v>InterfaceBlock</v>
      </c>
      <c r="I108" t="str">
        <f>_xlfn.XLOOKUP($A108,'EA-Fortescue_SDExport'!$A:$A,'EA-Fortescue_SDExport'!I:I)</f>
        <v>SysML1.4::InterfaceBlock</v>
      </c>
      <c r="J108" t="str">
        <f>_xlfn.XLOOKUP($A108,'EA-Fortescue_SDExport'!$A:$A,'EA-Fortescue_SDExport'!J:J)</f>
        <v>Java</v>
      </c>
      <c r="K108" t="str">
        <f>_xlfn.XLOOKUP($A108,'EA-Fortescue_SDExport'!$A:$A,'EA-Fortescue_SDExport'!K:K)</f>
        <v>Admin</v>
      </c>
      <c r="L108" t="str">
        <f>_xlfn.XLOOKUP($A108,'EA-Fortescue_SDExport'!$A:$A,'EA-Fortescue_SDExport'!L:L)</f>
        <v>Public</v>
      </c>
      <c r="M108">
        <f>_xlfn.XLOOKUP($A108,'EA-Fortescue_SDExport'!$A:$A,'EA-Fortescue_SDExport'!M:M)</f>
        <v>0</v>
      </c>
      <c r="N108" t="str">
        <f>_xlfn.XLOOKUP($A108,InterfaceRegister!$A:$A,InterfaceRegister!K:K)</f>
        <v>Simplified Interface</v>
      </c>
      <c r="O108">
        <f>_xlfn.XLOOKUP($A108,'EA-Fortescue_SDExport'!$A:$A,'EA-Fortescue_SDExport'!O:O)</f>
        <v>1</v>
      </c>
      <c r="P108">
        <f>_xlfn.XLOOKUP($A108,'EA-Fortescue_SDExport'!$A:$A,'EA-Fortescue_SDExport'!P:P)</f>
        <v>0</v>
      </c>
      <c r="Q108">
        <f>_xlfn.XLOOKUP($A108,'EA-Fortescue_SDExport'!$A:$A,'EA-Fortescue_SDExport'!Q:Q)</f>
        <v>0</v>
      </c>
      <c r="R108">
        <f>_xlfn.XLOOKUP($A108,'EA-Fortescue_SDExport'!$A:$A,'EA-Fortescue_SDExport'!R:R)</f>
        <v>0</v>
      </c>
      <c r="S108">
        <f>_xlfn.XLOOKUP($A108,'EA-Fortescue_SDExport'!$A:$A,'EA-Fortescue_SDExport'!S:S)</f>
        <v>0</v>
      </c>
      <c r="T108">
        <f>_xlfn.XLOOKUP($A108,'EA-Fortescue_SDExport'!$A:$A,'EA-Fortescue_SDExport'!T:T)</f>
        <v>0</v>
      </c>
      <c r="U108">
        <f>_xlfn.XLOOKUP($A108,'EA-Fortescue_SDExport'!$A:$A,'EA-Fortescue_SDExport'!U:U)</f>
        <v>45953.485173611109</v>
      </c>
      <c r="V108">
        <f>_xlfn.XLOOKUP($A108,'EA-Fortescue_SDExport'!$A:$A,'EA-Fortescue_SDExport'!V:V)</f>
        <v>46077.993217592593</v>
      </c>
      <c r="W108">
        <f>_xlfn.XLOOKUP($A108,'EA-Fortescue_SDExport'!$A:$A,'EA-Fortescue_SDExport'!W:W)</f>
        <v>0</v>
      </c>
      <c r="X108">
        <f>_xlfn.XLOOKUP($A108,'EA-Fortescue_SDExport'!$A:$A,'EA-Fortescue_SDExport'!X:X)</f>
        <v>0</v>
      </c>
      <c r="Y108">
        <f>_xlfn.XLOOKUP($A108,'EA-Fortescue_SDExport'!$A:$A,'EA-Fortescue_SDExport'!Y:Y)</f>
        <v>0</v>
      </c>
      <c r="Z108" t="str">
        <f>_xlfn.XLOOKUP($A108,'EA-Fortescue_SDExport'!$A:$A,'EA-Fortescue_SDExport'!Z:Z)</f>
        <v>SysML1.4::InterfaceBlock</v>
      </c>
      <c r="AA108" t="str">
        <f>_xlfn.XLOOKUP($A108,InterfaceRegister!$A:$A,InterfaceRegister!B:B)</f>
        <v>Technical Services|855DC-1541-ECL Eclipse</v>
      </c>
      <c r="AB108" t="str">
        <f>_xlfn.XLOOKUP($A108,InterfaceRegister!$A:$A,InterfaceRegister!C:C)</f>
        <v>Abby Buters</v>
      </c>
      <c r="AC108" t="str">
        <f>_xlfn.XLOOKUP($A108,InterfaceRegister!$A:$A,InterfaceRegister!D:D)</f>
        <v>TBC</v>
      </c>
      <c r="AD108" t="str">
        <f>_xlfn.XLOOKUP($A108,InterfaceRegister!$A:$A,InterfaceRegister!E:E)</f>
        <v>Stakeholder - Project Interface</v>
      </c>
      <c r="AE108" t="str">
        <f>_xlfn.XLOOKUP($A108,InterfaceRegister!$A:$A,InterfaceRegister!F:F)</f>
        <v>Functional-Operational</v>
      </c>
      <c r="AF108" t="str">
        <f>_xlfn.XLOOKUP($A108,InterfaceRegister!$A:$A,InterfaceRegister!L:L)</f>
        <v>This interface allows personnel to interact with Eclipse to run plans and weather scenarios (including 10-year and life-of-mine plans) and process those plans through Eclipse to optimise them.</v>
      </c>
      <c r="AG108" t="str">
        <f>_xlfn.XLOOKUP($A108,InterfaceRegister!$A:$A,InterfaceRegister!M:M)</f>
        <v>HIGH</v>
      </c>
      <c r="AH108" t="str">
        <f>_xlfn.XLOOKUP($A108,InterfaceRegister!$A:$A,InterfaceRegister!O:O)</f>
        <v>Eclipse &lt;-&gt; Technical Services</v>
      </c>
      <c r="AI108" t="str">
        <f>_xlfn.XLOOKUP($A108,InterfaceRegister!$A:$A,InterfaceRegister!N:N)</f>
        <v>This interface is rated HIGH because it enables strategic and operational optimisation across short- and long-term planning horizons. Inability to run or analyse scenarios limits forecasting accuracy, reduces confidence in capacity planning, and may lead to inefficient generation, storage, and infrastructure investment decisions. While real-time control systems remain operational, the quality and safety margin of future dispatch and infrastructure decisions depend heavily on this interface.</v>
      </c>
      <c r="AJ108" t="str">
        <f>_xlfn.XLOOKUP($A108,'EA-Fortescue_SDExport'!$A:$A,'EA-Fortescue_SDExport'!AX:AX)</f>
        <v>CSVDE969A29</v>
      </c>
      <c r="AK108">
        <f>_xlfn.XLOOKUP($A108,'EA-Fortescue_SDExport'!$A:$A,'EA-Fortescue_SDExport'!AY:AY)</f>
        <v>0</v>
      </c>
    </row>
    <row r="109" spans="1:37" x14ac:dyDescent="0.25">
      <c r="A109" t="str">
        <v>DGS-I_0108</v>
      </c>
      <c r="B109" t="str">
        <f>_xlfn.XLOOKUP($A109,'EA-Fortescue_SDExport'!$A:$A,'EA-Fortescue_SDExport'!B:B)</f>
        <v>Class</v>
      </c>
      <c r="C109" t="str">
        <f>_xlfn.XLOOKUP($A109,'EA-Fortescue_SDExport'!$A:$A,'EA-Fortescue_SDExport'!C:C)</f>
        <v>{18E55E43-CA6D-46f0-8BFC-6C2DBFFF739A}</v>
      </c>
      <c r="D109" t="str">
        <f>_xlfn.LET(_xlpm.result, _xlfn.XLOOKUP($A109, InterfaceRegister!$A:$A, InterfaceRegister!P:P), IF(_xlpm.result=0, "", _xlpm.result))</f>
        <v>NH 25/02/2026: Fields updated:Interface Type</v>
      </c>
      <c r="E109">
        <f>_xlfn.XLOOKUP($A109,'EA-Fortescue_SDExport'!$A:$A,'EA-Fortescue_SDExport'!E:E)</f>
        <v>1</v>
      </c>
      <c r="F109">
        <f>_xlfn.XLOOKUP($A109,'EA-Fortescue_SDExport'!$A:$A,'EA-Fortescue_SDExport'!F:F)</f>
        <v>1</v>
      </c>
      <c r="G109">
        <f>_xlfn.XLOOKUP($A109,'EA-Fortescue_SDExport'!$A:$A,'EA-Fortescue_SDExport'!G:G)</f>
        <v>0</v>
      </c>
      <c r="H109" t="str">
        <f>_xlfn.XLOOKUP($A109,'EA-Fortescue_SDExport'!$A:$A,'EA-Fortescue_SDExport'!H:H)</f>
        <v>InterfaceBlock</v>
      </c>
      <c r="I109" t="str">
        <f>_xlfn.XLOOKUP($A109,'EA-Fortescue_SDExport'!$A:$A,'EA-Fortescue_SDExport'!I:I)</f>
        <v>SysML1.4::InterfaceBlock</v>
      </c>
      <c r="J109" t="str">
        <f>_xlfn.XLOOKUP($A109,'EA-Fortescue_SDExport'!$A:$A,'EA-Fortescue_SDExport'!J:J)</f>
        <v>Java</v>
      </c>
      <c r="K109" t="str">
        <f>_xlfn.XLOOKUP($A109,'EA-Fortescue_SDExport'!$A:$A,'EA-Fortescue_SDExport'!K:K)</f>
        <v>Admin</v>
      </c>
      <c r="L109" t="str">
        <f>_xlfn.XLOOKUP($A109,'EA-Fortescue_SDExport'!$A:$A,'EA-Fortescue_SDExport'!L:L)</f>
        <v>Public</v>
      </c>
      <c r="M109">
        <f>_xlfn.XLOOKUP($A109,'EA-Fortescue_SDExport'!$A:$A,'EA-Fortescue_SDExport'!M:M)</f>
        <v>0</v>
      </c>
      <c r="N109" t="str">
        <f>_xlfn.XLOOKUP($A109,InterfaceRegister!$A:$A,InterfaceRegister!K:K)</f>
        <v>Simplified Interface</v>
      </c>
      <c r="O109">
        <f>_xlfn.XLOOKUP($A109,'EA-Fortescue_SDExport'!$A:$A,'EA-Fortescue_SDExport'!O:O)</f>
        <v>1</v>
      </c>
      <c r="P109">
        <f>_xlfn.XLOOKUP($A109,'EA-Fortescue_SDExport'!$A:$A,'EA-Fortescue_SDExport'!P:P)</f>
        <v>0</v>
      </c>
      <c r="Q109">
        <f>_xlfn.XLOOKUP($A109,'EA-Fortescue_SDExport'!$A:$A,'EA-Fortescue_SDExport'!Q:Q)</f>
        <v>0</v>
      </c>
      <c r="R109">
        <f>_xlfn.XLOOKUP($A109,'EA-Fortescue_SDExport'!$A:$A,'EA-Fortescue_SDExport'!R:R)</f>
        <v>0</v>
      </c>
      <c r="S109">
        <f>_xlfn.XLOOKUP($A109,'EA-Fortescue_SDExport'!$A:$A,'EA-Fortescue_SDExport'!S:S)</f>
        <v>0</v>
      </c>
      <c r="T109">
        <f>_xlfn.XLOOKUP($A109,'EA-Fortescue_SDExport'!$A:$A,'EA-Fortescue_SDExport'!T:T)</f>
        <v>0</v>
      </c>
      <c r="U109">
        <f>_xlfn.XLOOKUP($A109,'EA-Fortescue_SDExport'!$A:$A,'EA-Fortescue_SDExport'!U:U)</f>
        <v>45953.485231481478</v>
      </c>
      <c r="V109">
        <f>_xlfn.XLOOKUP($A109,'EA-Fortescue_SDExport'!$A:$A,'EA-Fortescue_SDExport'!V:V)</f>
        <v>46077.993217592593</v>
      </c>
      <c r="W109">
        <f>_xlfn.XLOOKUP($A109,'EA-Fortescue_SDExport'!$A:$A,'EA-Fortescue_SDExport'!W:W)</f>
        <v>0</v>
      </c>
      <c r="X109">
        <f>_xlfn.XLOOKUP($A109,'EA-Fortescue_SDExport'!$A:$A,'EA-Fortescue_SDExport'!X:X)</f>
        <v>0</v>
      </c>
      <c r="Y109">
        <f>_xlfn.XLOOKUP($A109,'EA-Fortescue_SDExport'!$A:$A,'EA-Fortescue_SDExport'!Y:Y)</f>
        <v>0</v>
      </c>
      <c r="Z109" t="str">
        <f>_xlfn.XLOOKUP($A109,'EA-Fortescue_SDExport'!$A:$A,'EA-Fortescue_SDExport'!Z:Z)</f>
        <v>SysML1.4::InterfaceBlock</v>
      </c>
      <c r="AA109" t="str">
        <f>_xlfn.XLOOKUP($A109,InterfaceRegister!$A:$A,InterfaceRegister!B:B)</f>
        <v>Operations Planning|855DC-1541-ECL Eclipse</v>
      </c>
      <c r="AB109" t="str">
        <f>_xlfn.XLOOKUP($A109,InterfaceRegister!$A:$A,InterfaceRegister!C:C)</f>
        <v>Abby Buters</v>
      </c>
      <c r="AC109" t="str">
        <f>_xlfn.XLOOKUP($A109,InterfaceRegister!$A:$A,InterfaceRegister!D:D)</f>
        <v>TBC</v>
      </c>
      <c r="AD109" t="str">
        <f>_xlfn.XLOOKUP($A109,InterfaceRegister!$A:$A,InterfaceRegister!E:E)</f>
        <v>Stakeholder - Project Interface</v>
      </c>
      <c r="AE109" t="str">
        <f>_xlfn.XLOOKUP($A109,InterfaceRegister!$A:$A,InterfaceRegister!F:F)</f>
        <v>Functional-Operational</v>
      </c>
      <c r="AF109" t="str">
        <f>_xlfn.XLOOKUP($A109,InterfaceRegister!$A:$A,InterfaceRegister!L:L)</f>
        <v>Eclipse HMI - Operational Run Plans &amp; Weather Scenario Interface_x000D_
The purpose of this interface is to provide the Operations Planning team with a central workspace through the Eclipse Human-Machine Interface (HMI) to create, review, and adjust run plans while visualising live and forecasted weather scenarios. This allows planners to understand how weather, equipment status, and energy conditions impact operational plans in the short and medium term._x000D_
Intermediate Elements: an HMI visual layer connected to Eclipse planning tools,  and Snowflake datasets.</v>
      </c>
      <c r="AG109" t="str">
        <f>_xlfn.XLOOKUP($A109,InterfaceRegister!$A:$A,InterfaceRegister!M:M)</f>
        <v>HIGH</v>
      </c>
      <c r="AH109" t="str">
        <f>_xlfn.XLOOKUP($A109,InterfaceRegister!$A:$A,InterfaceRegister!O:O)</f>
        <v>Eclipse planning engine -&gt; Eclipse HMI -&gt; Operators/Planners.</v>
      </c>
      <c r="AI109" t="str">
        <f>_xlfn.XLOOKUP($A109,InterfaceRegister!$A:$A,InterfaceRegister!N:N)</f>
        <v>The criticality level is HIGH because the HMI is essential for informed decision-making, enabling planners to evaluate multiple scenarios and adjust operations based on real-time and forecasted conditions, thereby maintaining operational alignment.</v>
      </c>
      <c r="AJ109" t="str">
        <f>_xlfn.XLOOKUP($A109,'EA-Fortescue_SDExport'!$A:$A,'EA-Fortescue_SDExport'!AX:AX)</f>
        <v>CSVD47D5C4E</v>
      </c>
      <c r="AK109">
        <f>_xlfn.XLOOKUP($A109,'EA-Fortescue_SDExport'!$A:$A,'EA-Fortescue_SDExport'!AY:AY)</f>
        <v>0</v>
      </c>
    </row>
    <row r="110" spans="1:37" x14ac:dyDescent="0.25">
      <c r="A110" t="str">
        <v>DGS-I_0109</v>
      </c>
      <c r="B110" t="str">
        <f>_xlfn.XLOOKUP($A110,'EA-Fortescue_SDExport'!$A:$A,'EA-Fortescue_SDExport'!B:B)</f>
        <v>Class</v>
      </c>
      <c r="C110" t="str">
        <f>_xlfn.XLOOKUP($A110,'EA-Fortescue_SDExport'!$A:$A,'EA-Fortescue_SDExport'!C:C)</f>
        <v>{5A441382-9547-44e6-B3F3-D21AE9E2D468}</v>
      </c>
      <c r="D110" t="str">
        <f>_xlfn.LET(_xlpm.result, _xlfn.XLOOKUP($A110, InterfaceRegister!$A:$A, InterfaceRegister!P:P), IF(_xlpm.result=0, "", _xlpm.result))</f>
        <v>Meeting Remarks 02/12/2025: Cable Crews from the mine services team will be interfacing with the LiveWire system. Mine services will be the owners of the application per site.</v>
      </c>
      <c r="E110">
        <f>_xlfn.XLOOKUP($A110,'EA-Fortescue_SDExport'!$A:$A,'EA-Fortescue_SDExport'!E:E)</f>
        <v>1</v>
      </c>
      <c r="F110">
        <f>_xlfn.XLOOKUP($A110,'EA-Fortescue_SDExport'!$A:$A,'EA-Fortescue_SDExport'!F:F)</f>
        <v>1</v>
      </c>
      <c r="G110">
        <f>_xlfn.XLOOKUP($A110,'EA-Fortescue_SDExport'!$A:$A,'EA-Fortescue_SDExport'!G:G)</f>
        <v>0</v>
      </c>
      <c r="H110" t="str">
        <f>_xlfn.XLOOKUP($A110,'EA-Fortescue_SDExport'!$A:$A,'EA-Fortescue_SDExport'!H:H)</f>
        <v>InterfaceBlock</v>
      </c>
      <c r="I110" t="str">
        <f>_xlfn.XLOOKUP($A110,'EA-Fortescue_SDExport'!$A:$A,'EA-Fortescue_SDExport'!I:I)</f>
        <v>SysML1.4::InterfaceBlock</v>
      </c>
      <c r="J110" t="str">
        <f>_xlfn.XLOOKUP($A110,'EA-Fortescue_SDExport'!$A:$A,'EA-Fortescue_SDExport'!J:J)</f>
        <v>Java</v>
      </c>
      <c r="K110" t="str">
        <f>_xlfn.XLOOKUP($A110,'EA-Fortescue_SDExport'!$A:$A,'EA-Fortescue_SDExport'!K:K)</f>
        <v>Admin</v>
      </c>
      <c r="L110" t="str">
        <f>_xlfn.XLOOKUP($A110,'EA-Fortescue_SDExport'!$A:$A,'EA-Fortescue_SDExport'!L:L)</f>
        <v>Public</v>
      </c>
      <c r="M110">
        <f>_xlfn.XLOOKUP($A110,'EA-Fortescue_SDExport'!$A:$A,'EA-Fortescue_SDExport'!M:M)</f>
        <v>0</v>
      </c>
      <c r="N110" t="str">
        <f>_xlfn.XLOOKUP($A110,InterfaceRegister!$A:$A,InterfaceRegister!K:K)</f>
        <v>Proposed</v>
      </c>
      <c r="O110">
        <f>_xlfn.XLOOKUP($A110,'EA-Fortescue_SDExport'!$A:$A,'EA-Fortescue_SDExport'!O:O)</f>
        <v>1</v>
      </c>
      <c r="P110">
        <f>_xlfn.XLOOKUP($A110,'EA-Fortescue_SDExport'!$A:$A,'EA-Fortescue_SDExport'!P:P)</f>
        <v>0</v>
      </c>
      <c r="Q110">
        <f>_xlfn.XLOOKUP($A110,'EA-Fortescue_SDExport'!$A:$A,'EA-Fortescue_SDExport'!Q:Q)</f>
        <v>0</v>
      </c>
      <c r="R110">
        <f>_xlfn.XLOOKUP($A110,'EA-Fortescue_SDExport'!$A:$A,'EA-Fortescue_SDExport'!R:R)</f>
        <v>0</v>
      </c>
      <c r="S110">
        <f>_xlfn.XLOOKUP($A110,'EA-Fortescue_SDExport'!$A:$A,'EA-Fortescue_SDExport'!S:S)</f>
        <v>0</v>
      </c>
      <c r="T110">
        <f>_xlfn.XLOOKUP($A110,'EA-Fortescue_SDExport'!$A:$A,'EA-Fortescue_SDExport'!T:T)</f>
        <v>0</v>
      </c>
      <c r="U110">
        <f>_xlfn.XLOOKUP($A110,'EA-Fortescue_SDExport'!$A:$A,'EA-Fortescue_SDExport'!U:U)</f>
        <v>45895.915543981479</v>
      </c>
      <c r="V110">
        <f>_xlfn.XLOOKUP($A110,'EA-Fortescue_SDExport'!$A:$A,'EA-Fortescue_SDExport'!V:V)</f>
        <v>46002.067569444444</v>
      </c>
      <c r="W110">
        <f>_xlfn.XLOOKUP($A110,'EA-Fortescue_SDExport'!$A:$A,'EA-Fortescue_SDExport'!W:W)</f>
        <v>0</v>
      </c>
      <c r="X110">
        <f>_xlfn.XLOOKUP($A110,'EA-Fortescue_SDExport'!$A:$A,'EA-Fortescue_SDExport'!X:X)</f>
        <v>0</v>
      </c>
      <c r="Y110">
        <f>_xlfn.XLOOKUP($A110,'EA-Fortescue_SDExport'!$A:$A,'EA-Fortescue_SDExport'!Y:Y)</f>
        <v>0</v>
      </c>
      <c r="Z110" t="str">
        <f>_xlfn.XLOOKUP($A110,'EA-Fortescue_SDExport'!$A:$A,'EA-Fortescue_SDExport'!Z:Z)</f>
        <v>SysML1.4::InterfaceBlock</v>
      </c>
      <c r="AA110" t="str">
        <f>_xlfn.XLOOKUP($A110,InterfaceRegister!$A:$A,InterfaceRegister!B:B)</f>
        <v>855DC-1541-LIV LiveWire|Mine Services</v>
      </c>
      <c r="AB110" t="str">
        <f>_xlfn.XLOOKUP($A110,InterfaceRegister!$A:$A,InterfaceRegister!C:C)</f>
        <v>Abby Buters</v>
      </c>
      <c r="AC110" t="str">
        <f>_xlfn.XLOOKUP($A110,InterfaceRegister!$A:$A,InterfaceRegister!D:D)</f>
        <v>Site based contributors per site</v>
      </c>
      <c r="AD110" t="str">
        <f>_xlfn.XLOOKUP($A110,InterfaceRegister!$A:$A,InterfaceRegister!E:E)</f>
        <v>Stakeholder - Project Interface</v>
      </c>
      <c r="AE110" t="str">
        <f>_xlfn.XLOOKUP($A110,InterfaceRegister!$A:$A,InterfaceRegister!F:F)</f>
        <v>Functional-Operational</v>
      </c>
      <c r="AF110" t="str">
        <f>_xlfn.XLOOKUP($A110,InterfaceRegister!$A:$A,InterfaceRegister!L:L)</f>
        <v>Mine Services Cable Crews &lt;-&gt; LiveWire - Human Stakeholder Interaction_x000D_
The purpose of this interface is to allow cable crews from the Mine Services team to directly interact with the LiveWire system to manage cable movements, update field conditions, and ensure accurate representation of electrical infrastructure across the site. Mine Services is the operational owner of LiveWire at each site, using the system to record cable locations, perform manual updates when sensors or telemetry are unavailable, and validate real-time spatial information before field activities._x000D_
Intermediate Elements: LiveWire web UI, tablets or field devices, LiveWire backend services, SCADA/GPS integrations supporting crew decision-making.</v>
      </c>
      <c r="AG110" t="str">
        <f>_xlfn.XLOOKUP($A110,InterfaceRegister!$A:$A,InterfaceRegister!M:M)</f>
        <v>HIGH</v>
      </c>
      <c r="AH110" t="str">
        <f>_xlfn.XLOOKUP($A110,InterfaceRegister!$A:$A,InterfaceRegister!O:O)</f>
        <v>Information Flow:_x000D_
Mine Services cable crews -&gt; LiveWire UI (manual updates, confirmations, field data entry) -&gt; LiveWire backend &amp; spatial layers.</v>
      </c>
      <c r="AI110" t="str">
        <f>_xlfn.XLOOKUP($A110,InterfaceRegister!$A:$A,InterfaceRegister!N:N)</f>
        <v>The criticality level is HIGH because LiveWire serves as the authoritative tool for cable-related field operations. Accurate human input and validation are essential for safety, preventing cable strikes, and maintaining reliable operational data.</v>
      </c>
      <c r="AJ110" t="str">
        <f>_xlfn.XLOOKUP($A110,'EA-Fortescue_SDExport'!$A:$A,'EA-Fortescue_SDExport'!AX:AX)</f>
        <v>CSV2053E0BA</v>
      </c>
      <c r="AK110">
        <f>_xlfn.XLOOKUP($A110,'EA-Fortescue_SDExport'!$A:$A,'EA-Fortescue_SDExport'!AY:AY)</f>
        <v>0</v>
      </c>
    </row>
    <row r="111" spans="1:37" x14ac:dyDescent="0.25">
      <c r="A111" t="str">
        <v>DGS-I_0110</v>
      </c>
      <c r="B111" t="str">
        <f>_xlfn.XLOOKUP($A111,'EA-Fortescue_SDExport'!$A:$A,'EA-Fortescue_SDExport'!B:B)</f>
        <v>Class</v>
      </c>
      <c r="C111" t="str">
        <f>_xlfn.XLOOKUP($A111,'EA-Fortescue_SDExport'!$A:$A,'EA-Fortescue_SDExport'!C:C)</f>
        <v>{4D5155EB-E50C-44f3-876A-5D0E59A76DA8}</v>
      </c>
      <c r="D111" t="str">
        <f>_xlfn.LET(_xlpm.result, _xlfn.XLOOKUP($A111, InterfaceRegister!$A:$A, InterfaceRegister!P:P), IF(_xlpm.result=0, "", _xlpm.result))</f>
        <v>Meeting Remarks 02/12/2025: LiveWire could potentially expose data to Snowflake for Asset Health for maintenance and reliability.</v>
      </c>
      <c r="E111">
        <f>_xlfn.XLOOKUP($A111,'EA-Fortescue_SDExport'!$A:$A,'EA-Fortescue_SDExport'!E:E)</f>
        <v>1</v>
      </c>
      <c r="F111">
        <f>_xlfn.XLOOKUP($A111,'EA-Fortescue_SDExport'!$A:$A,'EA-Fortescue_SDExport'!F:F)</f>
        <v>1</v>
      </c>
      <c r="G111">
        <f>_xlfn.XLOOKUP($A111,'EA-Fortescue_SDExport'!$A:$A,'EA-Fortescue_SDExport'!G:G)</f>
        <v>0</v>
      </c>
      <c r="H111" t="str">
        <f>_xlfn.XLOOKUP($A111,'EA-Fortescue_SDExport'!$A:$A,'EA-Fortescue_SDExport'!H:H)</f>
        <v>InterfaceBlock</v>
      </c>
      <c r="I111" t="str">
        <f>_xlfn.XLOOKUP($A111,'EA-Fortescue_SDExport'!$A:$A,'EA-Fortescue_SDExport'!I:I)</f>
        <v>SysML1.4::InterfaceBlock</v>
      </c>
      <c r="J111" t="str">
        <f>_xlfn.XLOOKUP($A111,'EA-Fortescue_SDExport'!$A:$A,'EA-Fortescue_SDExport'!J:J)</f>
        <v>Java</v>
      </c>
      <c r="K111" t="str">
        <f>_xlfn.XLOOKUP($A111,'EA-Fortescue_SDExport'!$A:$A,'EA-Fortescue_SDExport'!K:K)</f>
        <v>Admin</v>
      </c>
      <c r="L111" t="str">
        <f>_xlfn.XLOOKUP($A111,'EA-Fortescue_SDExport'!$A:$A,'EA-Fortescue_SDExport'!L:L)</f>
        <v>Public</v>
      </c>
      <c r="M111">
        <f>_xlfn.XLOOKUP($A111,'EA-Fortescue_SDExport'!$A:$A,'EA-Fortescue_SDExport'!M:M)</f>
        <v>0</v>
      </c>
      <c r="N111" t="str">
        <f>_xlfn.XLOOKUP($A111,InterfaceRegister!$A:$A,InterfaceRegister!K:K)</f>
        <v>Proposed</v>
      </c>
      <c r="O111">
        <f>_xlfn.XLOOKUP($A111,'EA-Fortescue_SDExport'!$A:$A,'EA-Fortescue_SDExport'!O:O)</f>
        <v>1</v>
      </c>
      <c r="P111">
        <f>_xlfn.XLOOKUP($A111,'EA-Fortescue_SDExport'!$A:$A,'EA-Fortescue_SDExport'!P:P)</f>
        <v>0</v>
      </c>
      <c r="Q111">
        <f>_xlfn.XLOOKUP($A111,'EA-Fortescue_SDExport'!$A:$A,'EA-Fortescue_SDExport'!Q:Q)</f>
        <v>0</v>
      </c>
      <c r="R111">
        <f>_xlfn.XLOOKUP($A111,'EA-Fortescue_SDExport'!$A:$A,'EA-Fortescue_SDExport'!R:R)</f>
        <v>0</v>
      </c>
      <c r="S111">
        <f>_xlfn.XLOOKUP($A111,'EA-Fortescue_SDExport'!$A:$A,'EA-Fortescue_SDExport'!S:S)</f>
        <v>0</v>
      </c>
      <c r="T111">
        <f>_xlfn.XLOOKUP($A111,'EA-Fortescue_SDExport'!$A:$A,'EA-Fortescue_SDExport'!T:T)</f>
        <v>0</v>
      </c>
      <c r="U111">
        <f>_xlfn.XLOOKUP($A111,'EA-Fortescue_SDExport'!$A:$A,'EA-Fortescue_SDExport'!U:U)</f>
        <v>45895.915208333332</v>
      </c>
      <c r="V111">
        <f>_xlfn.XLOOKUP($A111,'EA-Fortescue_SDExport'!$A:$A,'EA-Fortescue_SDExport'!V:V)</f>
        <v>46002.067627314813</v>
      </c>
      <c r="W111">
        <f>_xlfn.XLOOKUP($A111,'EA-Fortescue_SDExport'!$A:$A,'EA-Fortescue_SDExport'!W:W)</f>
        <v>0</v>
      </c>
      <c r="X111">
        <f>_xlfn.XLOOKUP($A111,'EA-Fortescue_SDExport'!$A:$A,'EA-Fortescue_SDExport'!X:X)</f>
        <v>0</v>
      </c>
      <c r="Y111">
        <f>_xlfn.XLOOKUP($A111,'EA-Fortescue_SDExport'!$A:$A,'EA-Fortescue_SDExport'!Y:Y)</f>
        <v>0</v>
      </c>
      <c r="Z111" t="str">
        <f>_xlfn.XLOOKUP($A111,'EA-Fortescue_SDExport'!$A:$A,'EA-Fortescue_SDExport'!Z:Z)</f>
        <v>SysML1.4::InterfaceBlock</v>
      </c>
      <c r="AA111" t="str">
        <f>_xlfn.XLOOKUP($A111,InterfaceRegister!$A:$A,InterfaceRegister!B:B)</f>
        <v>Asset Health|855DC-1541-LIV LiveWire</v>
      </c>
      <c r="AB111" t="str">
        <f>_xlfn.XLOOKUP($A111,InterfaceRegister!$A:$A,InterfaceRegister!C:C)</f>
        <v>Abby Buters</v>
      </c>
      <c r="AC111" t="str">
        <f>_xlfn.XLOOKUP($A111,InterfaceRegister!$A:$A,InterfaceRegister!D:D)</f>
        <v>TBC</v>
      </c>
      <c r="AD111" t="str">
        <f>_xlfn.XLOOKUP($A111,InterfaceRegister!$A:$A,InterfaceRegister!E:E)</f>
        <v>Stakeholder - Project Interface</v>
      </c>
      <c r="AE111" t="str">
        <f>_xlfn.XLOOKUP($A111,InterfaceRegister!$A:$A,InterfaceRegister!F:F)</f>
        <v>Functional-Operational</v>
      </c>
      <c r="AF111" t="str">
        <f>_xlfn.XLOOKUP($A111,InterfaceRegister!$A:$A,InterfaceRegister!L:L)</f>
        <v>LiveWire -&gt; Asset Health - Data Exposure for Maintenance &amp; Reliability_x000D_
The purpose of this interface is to allow LiveWire to expose operational and spatial data to Snowflake to support the Asset Health stakeholder group. This data can be used for maintenance and reliability analysis, helping identify patterns such as repeated cable movements, high-risk locations, sensor failures, or infrastructure degradation._x000D_
Intermediate Elements: LiveWire backend, Snowflake dataset, and Asset Health analytics tools.</v>
      </c>
      <c r="AG111" t="str">
        <f>_xlfn.XLOOKUP($A111,InterfaceRegister!$A:$A,InterfaceRegister!M:M)</f>
        <v>LOW</v>
      </c>
      <c r="AH111" t="str">
        <f>_xlfn.XLOOKUP($A111,InterfaceRegister!$A:$A,InterfaceRegister!O:O)</f>
        <v>Data Flow:_x000D_
LiveWire operational data -&gt; Snowflake (shared dataset) -&gt; Asset Health team analytics.</v>
      </c>
      <c r="AI111" t="str">
        <f>_xlfn.XLOOKUP($A111,InterfaceRegister!$A:$A,InterfaceRegister!N:N)</f>
        <v>The criticality level is LOW because failure at this interface does not impact real-time production, safety, or operational control. It only delays the availability of data for maintenance and reliability analysis, which can be corrected in the next data cycle.</v>
      </c>
      <c r="AJ111" t="str">
        <f>_xlfn.XLOOKUP($A111,'EA-Fortescue_SDExport'!$A:$A,'EA-Fortescue_SDExport'!AX:AX)</f>
        <v>CSVE6A62C6E</v>
      </c>
      <c r="AK111">
        <f>_xlfn.XLOOKUP($A111,'EA-Fortescue_SDExport'!$A:$A,'EA-Fortescue_SDExport'!AY:AY)</f>
        <v>0</v>
      </c>
    </row>
    <row r="112" spans="1:37" x14ac:dyDescent="0.25">
      <c r="A112" t="str">
        <v>DGS-I_0111</v>
      </c>
      <c r="B112" t="str">
        <f>_xlfn.XLOOKUP($A112,'EA-Fortescue_SDExport'!$A:$A,'EA-Fortescue_SDExport'!B:B)</f>
        <v>Class</v>
      </c>
      <c r="C112" t="str">
        <f>_xlfn.XLOOKUP($A112,'EA-Fortescue_SDExport'!$A:$A,'EA-Fortescue_SDExport'!C:C)</f>
        <v>{204CD8D2-B3BA-4de9-ADD2-979F95ECCF4B}</v>
      </c>
      <c r="D112" t="str">
        <f>_xlfn.LET(_xlpm.result, _xlfn.XLOOKUP($A112, InterfaceRegister!$A:$A, InterfaceRegister!P:P), IF(_xlpm.result=0, "", _xlpm.result))</f>
        <v>Meeting Remarks 02/12/2025: LiveWire could be used by operations planning to communicate back to mine planning how they would like to runthe cables. Interface used in the planning process alongside Alastri. End users planning inside the LiveWire application.</v>
      </c>
      <c r="E112">
        <f>_xlfn.XLOOKUP($A112,'EA-Fortescue_SDExport'!$A:$A,'EA-Fortescue_SDExport'!E:E)</f>
        <v>1</v>
      </c>
      <c r="F112">
        <f>_xlfn.XLOOKUP($A112,'EA-Fortescue_SDExport'!$A:$A,'EA-Fortescue_SDExport'!F:F)</f>
        <v>1</v>
      </c>
      <c r="G112">
        <f>_xlfn.XLOOKUP($A112,'EA-Fortescue_SDExport'!$A:$A,'EA-Fortescue_SDExport'!G:G)</f>
        <v>0</v>
      </c>
      <c r="H112" t="str">
        <f>_xlfn.XLOOKUP($A112,'EA-Fortescue_SDExport'!$A:$A,'EA-Fortescue_SDExport'!H:H)</f>
        <v>InterfaceBlock</v>
      </c>
      <c r="I112" t="str">
        <f>_xlfn.XLOOKUP($A112,'EA-Fortescue_SDExport'!$A:$A,'EA-Fortescue_SDExport'!I:I)</f>
        <v>SysML1.4::InterfaceBlock</v>
      </c>
      <c r="J112" t="str">
        <f>_xlfn.XLOOKUP($A112,'EA-Fortescue_SDExport'!$A:$A,'EA-Fortescue_SDExport'!J:J)</f>
        <v>Java</v>
      </c>
      <c r="K112" t="str">
        <f>_xlfn.XLOOKUP($A112,'EA-Fortescue_SDExport'!$A:$A,'EA-Fortescue_SDExport'!K:K)</f>
        <v>Admin</v>
      </c>
      <c r="L112" t="str">
        <f>_xlfn.XLOOKUP($A112,'EA-Fortescue_SDExport'!$A:$A,'EA-Fortescue_SDExport'!L:L)</f>
        <v>Public</v>
      </c>
      <c r="M112">
        <f>_xlfn.XLOOKUP($A112,'EA-Fortescue_SDExport'!$A:$A,'EA-Fortescue_SDExport'!M:M)</f>
        <v>0</v>
      </c>
      <c r="N112" t="str">
        <f>_xlfn.XLOOKUP($A112,InterfaceRegister!$A:$A,InterfaceRegister!K:K)</f>
        <v>Proposed</v>
      </c>
      <c r="O112">
        <f>_xlfn.XLOOKUP($A112,'EA-Fortescue_SDExport'!$A:$A,'EA-Fortescue_SDExport'!O:O)</f>
        <v>1</v>
      </c>
      <c r="P112">
        <f>_xlfn.XLOOKUP($A112,'EA-Fortescue_SDExport'!$A:$A,'EA-Fortescue_SDExport'!P:P)</f>
        <v>0</v>
      </c>
      <c r="Q112">
        <f>_xlfn.XLOOKUP($A112,'EA-Fortescue_SDExport'!$A:$A,'EA-Fortescue_SDExport'!Q:Q)</f>
        <v>0</v>
      </c>
      <c r="R112">
        <f>_xlfn.XLOOKUP($A112,'EA-Fortescue_SDExport'!$A:$A,'EA-Fortescue_SDExport'!R:R)</f>
        <v>0</v>
      </c>
      <c r="S112">
        <f>_xlfn.XLOOKUP($A112,'EA-Fortescue_SDExport'!$A:$A,'EA-Fortescue_SDExport'!S:S)</f>
        <v>0</v>
      </c>
      <c r="T112">
        <f>_xlfn.XLOOKUP($A112,'EA-Fortescue_SDExport'!$A:$A,'EA-Fortescue_SDExport'!T:T)</f>
        <v>0</v>
      </c>
      <c r="U112">
        <f>_xlfn.XLOOKUP($A112,'EA-Fortescue_SDExport'!$A:$A,'EA-Fortescue_SDExport'!U:U)</f>
        <v>45895.915613425925</v>
      </c>
      <c r="V112">
        <f>_xlfn.XLOOKUP($A112,'EA-Fortescue_SDExport'!$A:$A,'EA-Fortescue_SDExport'!V:V)</f>
        <v>46002.067569444444</v>
      </c>
      <c r="W112">
        <f>_xlfn.XLOOKUP($A112,'EA-Fortescue_SDExport'!$A:$A,'EA-Fortescue_SDExport'!W:W)</f>
        <v>0</v>
      </c>
      <c r="X112">
        <f>_xlfn.XLOOKUP($A112,'EA-Fortescue_SDExport'!$A:$A,'EA-Fortescue_SDExport'!X:X)</f>
        <v>0</v>
      </c>
      <c r="Y112">
        <f>_xlfn.XLOOKUP($A112,'EA-Fortescue_SDExport'!$A:$A,'EA-Fortescue_SDExport'!Y:Y)</f>
        <v>0</v>
      </c>
      <c r="Z112" t="str">
        <f>_xlfn.XLOOKUP($A112,'EA-Fortescue_SDExport'!$A:$A,'EA-Fortescue_SDExport'!Z:Z)</f>
        <v>SysML1.4::InterfaceBlock</v>
      </c>
      <c r="AA112" t="str">
        <f>_xlfn.XLOOKUP($A112,InterfaceRegister!$A:$A,InterfaceRegister!B:B)</f>
        <v>855DC-1541-LIV LiveWire|Operations Planning</v>
      </c>
      <c r="AB112" t="str">
        <f>_xlfn.XLOOKUP($A112,InterfaceRegister!$A:$A,InterfaceRegister!C:C)</f>
        <v>Abby Buters</v>
      </c>
      <c r="AC112" t="str">
        <f>_xlfn.XLOOKUP($A112,InterfaceRegister!$A:$A,InterfaceRegister!D:D)</f>
        <v>Different planners across different sites (TBC)</v>
      </c>
      <c r="AD112" t="str">
        <f>_xlfn.XLOOKUP($A112,InterfaceRegister!$A:$A,InterfaceRegister!E:E)</f>
        <v>Stakeholder - Project Interface</v>
      </c>
      <c r="AE112" t="str">
        <f>_xlfn.XLOOKUP($A112,InterfaceRegister!$A:$A,InterfaceRegister!F:F)</f>
        <v>Functional-Operational</v>
      </c>
      <c r="AF112" t="str">
        <f>_xlfn.XLOOKUP($A112,InterfaceRegister!$A:$A,InterfaceRegister!L:L)</f>
        <v>Operations Planning &lt;-&gt; LiveWire - Cable Routing &amp; Planning Interface_x000D_
The purpose of this interface is to allow Operations Planning to use LiveWire to communicate preferred cable routing and operational constraints back to Mine Planning. LiveWire provides an interactive interface where planners can design, review, and adjust proposed cable paths alongside spatial data from Alastri. This supports alignment between operational needs and long-term mining plans, ensuring cables are routed safely and efficiently as the pit evolves._x000D_
Intermediate Elements: LiveWire planning interface, Alastri spatial datasets, and Snowflake shared data (optional).</v>
      </c>
      <c r="AG112" t="str">
        <f>_xlfn.XLOOKUP($A112,InterfaceRegister!$A:$A,InterfaceRegister!M:M)</f>
        <v>HIGH</v>
      </c>
      <c r="AH112" t="str">
        <f>_xlfn.XLOOKUP($A112,InterfaceRegister!$A:$A,InterfaceRegister!O:O)</f>
        <v>Data Flow:_x000D_
Operations Planning inputs (preferred cable routes, constraints) -&gt; LiveWire planning interface -&gt; Shared outputs to Mine Planning.</v>
      </c>
      <c r="AI112" t="str">
        <f>_xlfn.XLOOKUP($A112,InterfaceRegister!$A:$A,InterfaceRegister!N:N)</f>
        <v>The criticality level is HIGH because effective coordination between Operations Planning and Mine Planning via LiveWire ensures cable routes are practical, safe, and aligned to current and future mining activities. Failure may result in misaligned infrastructure placement, significantly increasing the risk of safety incidents, equipment damage, and operational delays caused by unplanned rework.</v>
      </c>
      <c r="AJ112" t="str">
        <f>_xlfn.XLOOKUP($A112,'EA-Fortescue_SDExport'!$A:$A,'EA-Fortescue_SDExport'!AX:AX)</f>
        <v>CSVC6641FF5</v>
      </c>
      <c r="AK112">
        <f>_xlfn.XLOOKUP($A112,'EA-Fortescue_SDExport'!$A:$A,'EA-Fortescue_SDExport'!AY:AY)</f>
        <v>0</v>
      </c>
    </row>
    <row r="113" spans="1:37" x14ac:dyDescent="0.25">
      <c r="A113" t="str">
        <v>DGS-I_0112</v>
      </c>
      <c r="B113" t="str">
        <f>_xlfn.XLOOKUP($A113,'EA-Fortescue_SDExport'!$A:$A,'EA-Fortescue_SDExport'!B:B)</f>
        <v>Class</v>
      </c>
      <c r="C113" t="str">
        <f>_xlfn.XLOOKUP($A113,'EA-Fortescue_SDExport'!$A:$A,'EA-Fortescue_SDExport'!C:C)</f>
        <v>{04400930-FA28-4c3d-A866-03EBB6E7E3AC}</v>
      </c>
      <c r="D113" t="str">
        <f>_xlfn.LET(_xlpm.result, _xlfn.XLOOKUP($A113, InterfaceRegister!$A:$A, InterfaceRegister!P:P), IF(_xlpm.result=0, "", _xlpm.result))</f>
        <v>Interface Review 25/11/2025: Future state integration which still needs to be defined by the project team. This is specifically for the SCUC</v>
      </c>
      <c r="E113">
        <f>_xlfn.XLOOKUP($A113,'EA-Fortescue_SDExport'!$A:$A,'EA-Fortescue_SDExport'!E:E)</f>
        <v>1</v>
      </c>
      <c r="F113">
        <f>_xlfn.XLOOKUP($A113,'EA-Fortescue_SDExport'!$A:$A,'EA-Fortescue_SDExport'!F:F)</f>
        <v>1</v>
      </c>
      <c r="G113">
        <f>_xlfn.XLOOKUP($A113,'EA-Fortescue_SDExport'!$A:$A,'EA-Fortescue_SDExport'!G:G)</f>
        <v>0</v>
      </c>
      <c r="H113" t="str">
        <f>_xlfn.XLOOKUP($A113,'EA-Fortescue_SDExport'!$A:$A,'EA-Fortescue_SDExport'!H:H)</f>
        <v>InterfaceBlock</v>
      </c>
      <c r="I113" t="str">
        <f>_xlfn.XLOOKUP($A113,'EA-Fortescue_SDExport'!$A:$A,'EA-Fortescue_SDExport'!I:I)</f>
        <v>SysML1.4::InterfaceBlock</v>
      </c>
      <c r="J113" t="str">
        <f>_xlfn.XLOOKUP($A113,'EA-Fortescue_SDExport'!$A:$A,'EA-Fortescue_SDExport'!J:J)</f>
        <v>Java</v>
      </c>
      <c r="K113" t="str">
        <f>_xlfn.XLOOKUP($A113,'EA-Fortescue_SDExport'!$A:$A,'EA-Fortescue_SDExport'!K:K)</f>
        <v>Admin</v>
      </c>
      <c r="L113" t="str">
        <f>_xlfn.XLOOKUP($A113,'EA-Fortescue_SDExport'!$A:$A,'EA-Fortescue_SDExport'!L:L)</f>
        <v>Public</v>
      </c>
      <c r="M113">
        <f>_xlfn.XLOOKUP($A113,'EA-Fortescue_SDExport'!$A:$A,'EA-Fortescue_SDExport'!M:M)</f>
        <v>0</v>
      </c>
      <c r="N113" t="str">
        <f>_xlfn.XLOOKUP($A113,InterfaceRegister!$A:$A,InterfaceRegister!K:K)</f>
        <v>Proposed</v>
      </c>
      <c r="O113">
        <f>_xlfn.XLOOKUP($A113,'EA-Fortescue_SDExport'!$A:$A,'EA-Fortescue_SDExport'!O:O)</f>
        <v>1</v>
      </c>
      <c r="P113">
        <f>_xlfn.XLOOKUP($A113,'EA-Fortescue_SDExport'!$A:$A,'EA-Fortescue_SDExport'!P:P)</f>
        <v>0</v>
      </c>
      <c r="Q113">
        <f>_xlfn.XLOOKUP($A113,'EA-Fortescue_SDExport'!$A:$A,'EA-Fortescue_SDExport'!Q:Q)</f>
        <v>0</v>
      </c>
      <c r="R113">
        <f>_xlfn.XLOOKUP($A113,'EA-Fortescue_SDExport'!$A:$A,'EA-Fortescue_SDExport'!R:R)</f>
        <v>0</v>
      </c>
      <c r="S113">
        <f>_xlfn.XLOOKUP($A113,'EA-Fortescue_SDExport'!$A:$A,'EA-Fortescue_SDExport'!S:S)</f>
        <v>0</v>
      </c>
      <c r="T113">
        <f>_xlfn.XLOOKUP($A113,'EA-Fortescue_SDExport'!$A:$A,'EA-Fortescue_SDExport'!T:T)</f>
        <v>0</v>
      </c>
      <c r="U113">
        <f>_xlfn.XLOOKUP($A113,'EA-Fortescue_SDExport'!$A:$A,'EA-Fortescue_SDExport'!U:U)</f>
        <v>45895.793414351851</v>
      </c>
      <c r="V113">
        <f>_xlfn.XLOOKUP($A113,'EA-Fortescue_SDExport'!$A:$A,'EA-Fortescue_SDExport'!V:V)</f>
        <v>46002.067604166667</v>
      </c>
      <c r="W113">
        <f>_xlfn.XLOOKUP($A113,'EA-Fortescue_SDExport'!$A:$A,'EA-Fortescue_SDExport'!W:W)</f>
        <v>0</v>
      </c>
      <c r="X113">
        <f>_xlfn.XLOOKUP($A113,'EA-Fortescue_SDExport'!$A:$A,'EA-Fortescue_SDExport'!X:X)</f>
        <v>0</v>
      </c>
      <c r="Y113">
        <f>_xlfn.XLOOKUP($A113,'EA-Fortescue_SDExport'!$A:$A,'EA-Fortescue_SDExport'!Y:Y)</f>
        <v>0</v>
      </c>
      <c r="Z113" t="str">
        <f>_xlfn.XLOOKUP($A113,'EA-Fortescue_SDExport'!$A:$A,'EA-Fortescue_SDExport'!Z:Z)</f>
        <v>SysML1.4::InterfaceBlock</v>
      </c>
      <c r="AA113" t="str">
        <f>_xlfn.XLOOKUP($A113,InterfaceRegister!$A:$A,InterfaceRegister!B:B)</f>
        <v>855DC-1541-ECL-002 Online Security Constrained Unit Commitment (SCUC)|855DC-1542-CSM Charge Station Management System (CSMS)</v>
      </c>
      <c r="AB113" t="str">
        <f>_xlfn.XLOOKUP($A113,InterfaceRegister!$A:$A,InterfaceRegister!C:C)</f>
        <v>Abby Buters</v>
      </c>
      <c r="AC113" t="str">
        <f>_xlfn.XLOOKUP($A113,InterfaceRegister!$A:$A,InterfaceRegister!D:D)</f>
        <v>Sam Hedgcock</v>
      </c>
      <c r="AD113" t="str">
        <f>_xlfn.XLOOKUP($A113,InterfaceRegister!$A:$A,InterfaceRegister!E:E)</f>
        <v>Project - Subsystem Interface</v>
      </c>
      <c r="AE113" t="str">
        <f>_xlfn.XLOOKUP($A113,InterfaceRegister!$A:$A,InterfaceRegister!F:F)</f>
        <v>Technical-Data/Software</v>
      </c>
      <c r="AF113" t="str">
        <f>_xlfn.XLOOKUP($A113,InterfaceRegister!$A:$A,InterfaceRegister!L:L)</f>
        <v>The purpose of this interface is to allow Eclipse to receive charger availability and usage data from the CSMS for SCUC near-term planning._x000D_
Intermediate Elements: Snowflake (TBC).</v>
      </c>
      <c r="AG113" t="str">
        <f>_xlfn.XLOOKUP($A113,InterfaceRegister!$A:$A,InterfaceRegister!M:M)</f>
        <v>HIGH</v>
      </c>
      <c r="AH113" t="str">
        <f>_xlfn.XLOOKUP($A113,InterfaceRegister!$A:$A,InterfaceRegister!O:O)</f>
        <v>TBC: uni-directional or bi-directional.</v>
      </c>
      <c r="AI113" t="str">
        <f>_xlfn.XLOOKUP($A113,InterfaceRegister!$A:$A,InterfaceRegister!N:N)</f>
        <v>The criticality level is HIGH because failure to send reliable and timely charger availability data to Eclipse for near-term planning will reduce planning accuracy, risking energy supply instability and production delays.</v>
      </c>
      <c r="AJ113" t="str">
        <f>_xlfn.XLOOKUP($A113,'EA-Fortescue_SDExport'!$A:$A,'EA-Fortescue_SDExport'!AX:AX)</f>
        <v>CSV55DEFBC3</v>
      </c>
      <c r="AK113">
        <f>_xlfn.XLOOKUP($A113,'EA-Fortescue_SDExport'!$A:$A,'EA-Fortescue_SDExport'!AY:AY)</f>
        <v>0</v>
      </c>
    </row>
    <row r="114" spans="1:37" x14ac:dyDescent="0.25">
      <c r="A114" t="str">
        <v>DGS-I_0113</v>
      </c>
      <c r="B114" t="str">
        <f>_xlfn.XLOOKUP($A114,'EA-Fortescue_SDExport'!$A:$A,'EA-Fortescue_SDExport'!B:B)</f>
        <v>Class</v>
      </c>
      <c r="C114" t="str">
        <f>_xlfn.XLOOKUP($A114,'EA-Fortescue_SDExport'!$A:$A,'EA-Fortescue_SDExport'!C:C)</f>
        <v>{1A01A844-2B3D-4893-960A-D51683389273}</v>
      </c>
      <c r="D114" t="str">
        <f>_xlfn.LET(_xlpm.result, _xlfn.XLOOKUP($A114, InterfaceRegister!$A:$A, InterfaceRegister!P:P), IF(_xlpm.result=0, "", _xlpm.result))</f>
        <v>Interface Review 25/11/2025: TBC._x000D_
SBS-WBS Mapping 02/01/2026: Site Energy AI Optimiser to be removed - Not an identified system. Interface deleted.</v>
      </c>
      <c r="E114">
        <f>_xlfn.XLOOKUP($A114,'EA-Fortescue_SDExport'!$A:$A,'EA-Fortescue_SDExport'!E:E)</f>
        <v>1</v>
      </c>
      <c r="F114">
        <f>_xlfn.XLOOKUP($A114,'EA-Fortescue_SDExport'!$A:$A,'EA-Fortescue_SDExport'!F:F)</f>
        <v>1</v>
      </c>
      <c r="G114">
        <f>_xlfn.XLOOKUP($A114,'EA-Fortescue_SDExport'!$A:$A,'EA-Fortescue_SDExport'!G:G)</f>
        <v>0</v>
      </c>
      <c r="H114" t="str">
        <f>_xlfn.XLOOKUP($A114,'EA-Fortescue_SDExport'!$A:$A,'EA-Fortescue_SDExport'!H:H)</f>
        <v>InterfaceBlock</v>
      </c>
      <c r="I114" t="str">
        <f>_xlfn.XLOOKUP($A114,'EA-Fortescue_SDExport'!$A:$A,'EA-Fortescue_SDExport'!I:I)</f>
        <v>SysML1.4::InterfaceBlock</v>
      </c>
      <c r="J114" t="str">
        <f>_xlfn.XLOOKUP($A114,'EA-Fortescue_SDExport'!$A:$A,'EA-Fortescue_SDExport'!J:J)</f>
        <v>Java</v>
      </c>
      <c r="K114" t="str">
        <f>_xlfn.XLOOKUP($A114,'EA-Fortescue_SDExport'!$A:$A,'EA-Fortescue_SDExport'!K:K)</f>
        <v>Admin</v>
      </c>
      <c r="L114" t="str">
        <f>_xlfn.XLOOKUP($A114,'EA-Fortescue_SDExport'!$A:$A,'EA-Fortescue_SDExport'!L:L)</f>
        <v>Public</v>
      </c>
      <c r="M114">
        <f>_xlfn.XLOOKUP($A114,'EA-Fortescue_SDExport'!$A:$A,'EA-Fortescue_SDExport'!M:M)</f>
        <v>0</v>
      </c>
      <c r="N114" t="str">
        <f>_xlfn.XLOOKUP($A114,InterfaceRegister!$A:$A,InterfaceRegister!K:K)</f>
        <v>Deleted</v>
      </c>
      <c r="O114">
        <f>_xlfn.XLOOKUP($A114,'EA-Fortescue_SDExport'!$A:$A,'EA-Fortescue_SDExport'!O:O)</f>
        <v>1</v>
      </c>
      <c r="P114">
        <f>_xlfn.XLOOKUP($A114,'EA-Fortescue_SDExport'!$A:$A,'EA-Fortescue_SDExport'!P:P)</f>
        <v>0</v>
      </c>
      <c r="Q114">
        <f>_xlfn.XLOOKUP($A114,'EA-Fortescue_SDExport'!$A:$A,'EA-Fortescue_SDExport'!Q:Q)</f>
        <v>0</v>
      </c>
      <c r="R114">
        <f>_xlfn.XLOOKUP($A114,'EA-Fortescue_SDExport'!$A:$A,'EA-Fortescue_SDExport'!R:R)</f>
        <v>0</v>
      </c>
      <c r="S114">
        <f>_xlfn.XLOOKUP($A114,'EA-Fortescue_SDExport'!$A:$A,'EA-Fortescue_SDExport'!S:S)</f>
        <v>0</v>
      </c>
      <c r="T114">
        <f>_xlfn.XLOOKUP($A114,'EA-Fortescue_SDExport'!$A:$A,'EA-Fortescue_SDExport'!T:T)</f>
        <v>0</v>
      </c>
      <c r="U114">
        <f>_xlfn.XLOOKUP($A114,'EA-Fortescue_SDExport'!$A:$A,'EA-Fortescue_SDExport'!U:U)</f>
        <v>45895.791631944441</v>
      </c>
      <c r="V114">
        <f>_xlfn.XLOOKUP($A114,'EA-Fortescue_SDExport'!$A:$A,'EA-Fortescue_SDExport'!V:V)</f>
        <v>46030.048796296294</v>
      </c>
      <c r="W114">
        <f>_xlfn.XLOOKUP($A114,'EA-Fortescue_SDExport'!$A:$A,'EA-Fortescue_SDExport'!W:W)</f>
        <v>0</v>
      </c>
      <c r="X114">
        <f>_xlfn.XLOOKUP($A114,'EA-Fortescue_SDExport'!$A:$A,'EA-Fortescue_SDExport'!X:X)</f>
        <v>0</v>
      </c>
      <c r="Y114">
        <f>_xlfn.XLOOKUP($A114,'EA-Fortescue_SDExport'!$A:$A,'EA-Fortescue_SDExport'!Y:Y)</f>
        <v>0</v>
      </c>
      <c r="Z114" t="str">
        <f>_xlfn.XLOOKUP($A114,'EA-Fortescue_SDExport'!$A:$A,'EA-Fortescue_SDExport'!Z:Z)</f>
        <v>SysML1.4::InterfaceBlock</v>
      </c>
      <c r="AA114" t="str">
        <f>_xlfn.XLOOKUP($A114,InterfaceRegister!$A:$A,InterfaceRegister!B:B)</f>
        <v>855DC-1541-ECL-002 Online Security Constrained Unit Commitment (SCUC)|Archive - 855DC-1544-025 Site Energy AI Optimiser</v>
      </c>
      <c r="AB114" t="str">
        <f>_xlfn.XLOOKUP($A114,InterfaceRegister!$A:$A,InterfaceRegister!C:C)</f>
        <v/>
      </c>
      <c r="AC114" t="str">
        <f>_xlfn.XLOOKUP($A114,InterfaceRegister!$A:$A,InterfaceRegister!D:D)</f>
        <v/>
      </c>
      <c r="AD114" t="str">
        <f>_xlfn.XLOOKUP($A114,InterfaceRegister!$A:$A,InterfaceRegister!E:E)</f>
        <v>Project - Subsystem Interface</v>
      </c>
      <c r="AE114" t="str">
        <f>_xlfn.XLOOKUP($A114,InterfaceRegister!$A:$A,InterfaceRegister!F:F)</f>
        <v>Technical-Data/Software</v>
      </c>
      <c r="AF114" t="str">
        <f>_xlfn.XLOOKUP($A114,InterfaceRegister!$A:$A,InterfaceRegister!L:L)</f>
        <v>This interface allows SCUC to exchange energy system constraints, generation schedules, and optimisation inputs with the Site Energy AI Optimiser.</v>
      </c>
      <c r="AG114" t="str">
        <f>_xlfn.XLOOKUP($A114,InterfaceRegister!$A:$A,InterfaceRegister!M:M)</f>
        <v>HIGH</v>
      </c>
      <c r="AH114" t="str">
        <f>_xlfn.XLOOKUP($A114,InterfaceRegister!$A:$A,InterfaceRegister!O:O)</f>
        <v/>
      </c>
      <c r="AI114" t="str">
        <f>_xlfn.XLOOKUP($A114,InterfaceRegister!$A:$A,InterfaceRegister!N:N)</f>
        <v>The criticality level is HIGH because inaccurate or missing optimisation data can cause poor generation scheduling and power instability. Failure risks costly curtailments or safety risks in the electrical network.</v>
      </c>
      <c r="AJ114" t="str">
        <f>_xlfn.XLOOKUP($A114,'EA-Fortescue_SDExport'!$A:$A,'EA-Fortescue_SDExport'!AX:AX)</f>
        <v>CSV8449277B</v>
      </c>
      <c r="AK114">
        <f>_xlfn.XLOOKUP($A114,'EA-Fortescue_SDExport'!$A:$A,'EA-Fortescue_SDExport'!AY:AY)</f>
        <v>0</v>
      </c>
    </row>
    <row r="115" spans="1:37" x14ac:dyDescent="0.25">
      <c r="A115" t="str">
        <v>DGS-I_0114</v>
      </c>
      <c r="B115" t="str">
        <f>_xlfn.XLOOKUP($A115,'EA-Fortescue_SDExport'!$A:$A,'EA-Fortescue_SDExport'!B:B)</f>
        <v>Class</v>
      </c>
      <c r="C115" t="str">
        <f>_xlfn.XLOOKUP($A115,'EA-Fortescue_SDExport'!$A:$A,'EA-Fortescue_SDExport'!C:C)</f>
        <v>{59F085EF-A197-4d08-B874-770C0BA259A7}</v>
      </c>
      <c r="D115" t="str">
        <f>_xlfn.LET(_xlpm.result, _xlfn.XLOOKUP($A115, InterfaceRegister!$A:$A, InterfaceRegister!P:P), IF(_xlpm.result=0, "", _xlpm.result))</f>
        <v>DocStack-SAComparison_Delphi 18/02/2026: APS and ATS to be combined - Interface deleted</v>
      </c>
      <c r="E115">
        <f>_xlfn.XLOOKUP($A115,'EA-Fortescue_SDExport'!$A:$A,'EA-Fortescue_SDExport'!E:E)</f>
        <v>1</v>
      </c>
      <c r="F115">
        <f>_xlfn.XLOOKUP($A115,'EA-Fortescue_SDExport'!$A:$A,'EA-Fortescue_SDExport'!F:F)</f>
        <v>1</v>
      </c>
      <c r="G115">
        <f>_xlfn.XLOOKUP($A115,'EA-Fortescue_SDExport'!$A:$A,'EA-Fortescue_SDExport'!G:G)</f>
        <v>0</v>
      </c>
      <c r="H115" t="str">
        <f>_xlfn.XLOOKUP($A115,'EA-Fortescue_SDExport'!$A:$A,'EA-Fortescue_SDExport'!H:H)</f>
        <v>InterfaceBlock</v>
      </c>
      <c r="I115" t="str">
        <f>_xlfn.XLOOKUP($A115,'EA-Fortescue_SDExport'!$A:$A,'EA-Fortescue_SDExport'!I:I)</f>
        <v>SysML1.4::InterfaceBlock</v>
      </c>
      <c r="J115" t="str">
        <f>_xlfn.XLOOKUP($A115,'EA-Fortescue_SDExport'!$A:$A,'EA-Fortescue_SDExport'!J:J)</f>
        <v>Java</v>
      </c>
      <c r="K115" t="str">
        <f>_xlfn.XLOOKUP($A115,'EA-Fortescue_SDExport'!$A:$A,'EA-Fortescue_SDExport'!K:K)</f>
        <v>Admin</v>
      </c>
      <c r="L115" t="str">
        <f>_xlfn.XLOOKUP($A115,'EA-Fortescue_SDExport'!$A:$A,'EA-Fortescue_SDExport'!L:L)</f>
        <v>Public</v>
      </c>
      <c r="M115">
        <f>_xlfn.XLOOKUP($A115,'EA-Fortescue_SDExport'!$A:$A,'EA-Fortescue_SDExport'!M:M)</f>
        <v>0</v>
      </c>
      <c r="N115" t="str">
        <f>_xlfn.XLOOKUP($A115,InterfaceRegister!$A:$A,InterfaceRegister!K:K)</f>
        <v>Deleted</v>
      </c>
      <c r="O115">
        <f>_xlfn.XLOOKUP($A115,'EA-Fortescue_SDExport'!$A:$A,'EA-Fortescue_SDExport'!O:O)</f>
        <v>1</v>
      </c>
      <c r="P115">
        <f>_xlfn.XLOOKUP($A115,'EA-Fortescue_SDExport'!$A:$A,'EA-Fortescue_SDExport'!P:P)</f>
        <v>0</v>
      </c>
      <c r="Q115">
        <f>_xlfn.XLOOKUP($A115,'EA-Fortescue_SDExport'!$A:$A,'EA-Fortescue_SDExport'!Q:Q)</f>
        <v>0</v>
      </c>
      <c r="R115">
        <f>_xlfn.XLOOKUP($A115,'EA-Fortescue_SDExport'!$A:$A,'EA-Fortescue_SDExport'!R:R)</f>
        <v>0</v>
      </c>
      <c r="S115">
        <f>_xlfn.XLOOKUP($A115,'EA-Fortescue_SDExport'!$A:$A,'EA-Fortescue_SDExport'!S:S)</f>
        <v>0</v>
      </c>
      <c r="T115">
        <f>_xlfn.XLOOKUP($A115,'EA-Fortescue_SDExport'!$A:$A,'EA-Fortescue_SDExport'!T:T)</f>
        <v>0</v>
      </c>
      <c r="U115">
        <f>_xlfn.XLOOKUP($A115,'EA-Fortescue_SDExport'!$A:$A,'EA-Fortescue_SDExport'!U:U)</f>
        <v>45895.823831018519</v>
      </c>
      <c r="V115">
        <f>_xlfn.XLOOKUP($A115,'EA-Fortescue_SDExport'!$A:$A,'EA-Fortescue_SDExport'!V:V)</f>
        <v>46071.948379629626</v>
      </c>
      <c r="W115">
        <f>_xlfn.XLOOKUP($A115,'EA-Fortescue_SDExport'!$A:$A,'EA-Fortescue_SDExport'!W:W)</f>
        <v>0</v>
      </c>
      <c r="X115">
        <f>_xlfn.XLOOKUP($A115,'EA-Fortescue_SDExport'!$A:$A,'EA-Fortescue_SDExport'!X:X)</f>
        <v>0</v>
      </c>
      <c r="Y115">
        <f>_xlfn.XLOOKUP($A115,'EA-Fortescue_SDExport'!$A:$A,'EA-Fortescue_SDExport'!Y:Y)</f>
        <v>0</v>
      </c>
      <c r="Z115" t="str">
        <f>_xlfn.XLOOKUP($A115,'EA-Fortescue_SDExport'!$A:$A,'EA-Fortescue_SDExport'!Z:Z)</f>
        <v>SysML1.4::InterfaceBlock</v>
      </c>
      <c r="AA115" t="str">
        <f>_xlfn.XLOOKUP($A115,InterfaceRegister!$A:$A,InterfaceRegister!B:B)</f>
        <v>855DC-1541-ECL-001 Eclipse Planning|Archive - 005OP-0000-004-003 Alastri Tactical Scheduler (ATS)</v>
      </c>
      <c r="AB115" t="str">
        <f>_xlfn.XLOOKUP($A115,InterfaceRegister!$A:$A,InterfaceRegister!C:C)</f>
        <v/>
      </c>
      <c r="AC115" t="str">
        <f>_xlfn.XLOOKUP($A115,InterfaceRegister!$A:$A,InterfaceRegister!D:D)</f>
        <v/>
      </c>
      <c r="AD115" t="str">
        <f>_xlfn.XLOOKUP($A115,InterfaceRegister!$A:$A,InterfaceRegister!E:E)</f>
        <v>Subsystem - Subsystem Interface</v>
      </c>
      <c r="AE115" t="str">
        <f>_xlfn.XLOOKUP($A115,InterfaceRegister!$A:$A,InterfaceRegister!F:F)</f>
        <v/>
      </c>
      <c r="AF115" t="str">
        <f>_xlfn.XLOOKUP($A115,InterfaceRegister!$A:$A,InterfaceRegister!L:L)</f>
        <v>This interface enables the Planning system to transfer medium- and long-term production and sequencing data into ATS, ensuring that tactical schedules align with the broader mine plan.</v>
      </c>
      <c r="AG115" t="str">
        <f>_xlfn.XLOOKUP($A115,InterfaceRegister!$A:$A,InterfaceRegister!M:M)</f>
        <v>LOW</v>
      </c>
      <c r="AH115" t="str">
        <f>_xlfn.XLOOKUP($A115,InterfaceRegister!$A:$A,InterfaceRegister!O:O)</f>
        <v/>
      </c>
      <c r="AI115" t="str">
        <f>_xlfn.XLOOKUP($A115,InterfaceRegister!$A:$A,InterfaceRegister!N:N)</f>
        <v>The criticality level is LOW because failure at this interface does not impact operational haulage or energy systems. It only reduces planning accuracy, which can be mitigated by using alternative inputs.</v>
      </c>
      <c r="AJ115" t="str">
        <f>_xlfn.XLOOKUP($A115,'EA-Fortescue_SDExport'!$A:$A,'EA-Fortescue_SDExport'!AX:AX)</f>
        <v>CSV8A66D432</v>
      </c>
      <c r="AK115">
        <f>_xlfn.XLOOKUP($A115,'EA-Fortescue_SDExport'!$A:$A,'EA-Fortescue_SDExport'!AY:AY)</f>
        <v>0</v>
      </c>
    </row>
    <row r="116" spans="1:37" x14ac:dyDescent="0.25">
      <c r="A116" t="str">
        <v>DGS-I_0115</v>
      </c>
      <c r="B116" t="str">
        <f>_xlfn.XLOOKUP($A116,'EA-Fortescue_SDExport'!$A:$A,'EA-Fortescue_SDExport'!B:B)</f>
        <v>Class</v>
      </c>
      <c r="C116" t="str">
        <f>_xlfn.XLOOKUP($A116,'EA-Fortescue_SDExport'!$A:$A,'EA-Fortescue_SDExport'!C:C)</f>
        <v>{5A15B1BA-001B-4a30-9C3E-B5D86CEEAA0E}</v>
      </c>
      <c r="D116" t="str">
        <f>_xlfn.LET(_xlpm.result, _xlfn.XLOOKUP($A116, InterfaceRegister!$A:$A, InterfaceRegister!P:P), IF(_xlpm.result=0, "", _xlpm.result))</f>
        <v/>
      </c>
      <c r="E116">
        <f>_xlfn.XLOOKUP($A116,'EA-Fortescue_SDExport'!$A:$A,'EA-Fortescue_SDExport'!E:E)</f>
        <v>1</v>
      </c>
      <c r="F116">
        <f>_xlfn.XLOOKUP($A116,'EA-Fortescue_SDExport'!$A:$A,'EA-Fortescue_SDExport'!F:F)</f>
        <v>1</v>
      </c>
      <c r="G116">
        <f>_xlfn.XLOOKUP($A116,'EA-Fortescue_SDExport'!$A:$A,'EA-Fortescue_SDExport'!G:G)</f>
        <v>0</v>
      </c>
      <c r="H116" t="str">
        <f>_xlfn.XLOOKUP($A116,'EA-Fortescue_SDExport'!$A:$A,'EA-Fortescue_SDExport'!H:H)</f>
        <v>InterfaceBlock</v>
      </c>
      <c r="I116" t="str">
        <f>_xlfn.XLOOKUP($A116,'EA-Fortescue_SDExport'!$A:$A,'EA-Fortescue_SDExport'!I:I)</f>
        <v>SysML1.4::InterfaceBlock</v>
      </c>
      <c r="J116" t="str">
        <f>_xlfn.XLOOKUP($A116,'EA-Fortescue_SDExport'!$A:$A,'EA-Fortescue_SDExport'!J:J)</f>
        <v>Java</v>
      </c>
      <c r="K116" t="str">
        <f>_xlfn.XLOOKUP($A116,'EA-Fortescue_SDExport'!$A:$A,'EA-Fortescue_SDExport'!K:K)</f>
        <v>Admin</v>
      </c>
      <c r="L116" t="str">
        <f>_xlfn.XLOOKUP($A116,'EA-Fortescue_SDExport'!$A:$A,'EA-Fortescue_SDExport'!L:L)</f>
        <v>Public</v>
      </c>
      <c r="M116">
        <f>_xlfn.XLOOKUP($A116,'EA-Fortescue_SDExport'!$A:$A,'EA-Fortescue_SDExport'!M:M)</f>
        <v>0</v>
      </c>
      <c r="N116" t="str">
        <f>_xlfn.XLOOKUP($A116,InterfaceRegister!$A:$A,InterfaceRegister!K:K)</f>
        <v>Proposed</v>
      </c>
      <c r="O116">
        <f>_xlfn.XLOOKUP($A116,'EA-Fortescue_SDExport'!$A:$A,'EA-Fortescue_SDExport'!O:O)</f>
        <v>1</v>
      </c>
      <c r="P116">
        <f>_xlfn.XLOOKUP($A116,'EA-Fortescue_SDExport'!$A:$A,'EA-Fortescue_SDExport'!P:P)</f>
        <v>0</v>
      </c>
      <c r="Q116">
        <f>_xlfn.XLOOKUP($A116,'EA-Fortescue_SDExport'!$A:$A,'EA-Fortescue_SDExport'!Q:Q)</f>
        <v>0</v>
      </c>
      <c r="R116">
        <f>_xlfn.XLOOKUP($A116,'EA-Fortescue_SDExport'!$A:$A,'EA-Fortescue_SDExport'!R:R)</f>
        <v>0</v>
      </c>
      <c r="S116">
        <f>_xlfn.XLOOKUP($A116,'EA-Fortescue_SDExport'!$A:$A,'EA-Fortescue_SDExport'!S:S)</f>
        <v>0</v>
      </c>
      <c r="T116">
        <f>_xlfn.XLOOKUP($A116,'EA-Fortescue_SDExport'!$A:$A,'EA-Fortescue_SDExport'!T:T)</f>
        <v>0</v>
      </c>
      <c r="U116">
        <f>_xlfn.XLOOKUP($A116,'EA-Fortescue_SDExport'!$A:$A,'EA-Fortescue_SDExport'!U:U)</f>
        <v>45895.905578703707</v>
      </c>
      <c r="V116">
        <f>_xlfn.XLOOKUP($A116,'EA-Fortescue_SDExport'!$A:$A,'EA-Fortescue_SDExport'!V:V)</f>
        <v>46002.067557870374</v>
      </c>
      <c r="W116">
        <f>_xlfn.XLOOKUP($A116,'EA-Fortescue_SDExport'!$A:$A,'EA-Fortescue_SDExport'!W:W)</f>
        <v>0</v>
      </c>
      <c r="X116">
        <f>_xlfn.XLOOKUP($A116,'EA-Fortescue_SDExport'!$A:$A,'EA-Fortescue_SDExport'!X:X)</f>
        <v>0</v>
      </c>
      <c r="Y116">
        <f>_xlfn.XLOOKUP($A116,'EA-Fortescue_SDExport'!$A:$A,'EA-Fortescue_SDExport'!Y:Y)</f>
        <v>0</v>
      </c>
      <c r="Z116" t="str">
        <f>_xlfn.XLOOKUP($A116,'EA-Fortescue_SDExport'!$A:$A,'EA-Fortescue_SDExport'!Z:Z)</f>
        <v>SysML1.4::InterfaceBlock</v>
      </c>
      <c r="AA116" t="str">
        <f>_xlfn.XLOOKUP($A116,InterfaceRegister!$A:$A,InterfaceRegister!B:B)</f>
        <v>855DC-1541-ECL-001 Eclipse Planning|005OP-0000-004-002 Alastri Production Scheduler (APS) / Alastri Tactical Scheduler (ATS)</v>
      </c>
      <c r="AB116" t="str">
        <f>_xlfn.XLOOKUP($A116,InterfaceRegister!$A:$A,InterfaceRegister!C:C)</f>
        <v>Abby Buters</v>
      </c>
      <c r="AC116" t="str">
        <f>_xlfn.XLOOKUP($A116,InterfaceRegister!$A:$A,InterfaceRegister!D:D)</f>
        <v>Sri Molugu (Supertintendent Production Systems &amp; Reporting), Anchal Bawa (Data Product Owner), Gareth Hart (Principal Data Engineer), (Operations BAZ owners for Snowflake)</v>
      </c>
      <c r="AD116" t="str">
        <f>_xlfn.XLOOKUP($A116,InterfaceRegister!$A:$A,InterfaceRegister!E:E)</f>
        <v>Subsystem - Subsystem Interface</v>
      </c>
      <c r="AE116" t="str">
        <f>_xlfn.XLOOKUP($A116,InterfaceRegister!$A:$A,InterfaceRegister!F:F)</f>
        <v>Technical-Data/Software</v>
      </c>
      <c r="AF116" t="str">
        <f>_xlfn.XLOOKUP($A116,InterfaceRegister!$A:$A,InterfaceRegister!L:L)</f>
        <v>Alastri Planning Data Transfer (to Eclipse via TAG)_x000D_
The purpose of this interface is to transfer long-term energy balance, production targets, and fleet projection scenarios generated in Alastri into the Operations Management data layer (BAZ), making this critical planning data available for use by the Eclipse planning module. _x000D_
Intermediate Elements: TAG Planning Module (Receives Excel upload and processes data). Snowflake Data Platform (Stores data). _x000D_
Additional information related to this interface:_x000D_
Element B (Source): Alastri (Master source of long-term planning scenarios: 2-year and 10-year)._x000D_
BAZ: AA_OPERATIONS_MANAGEMENT.SELFSERVICE.PLANNING_PLAN_DAT (Final table for consumption)._x000D_
Element A (Sink): Eclipse Platform (Consumes planning data for short-term scheduling and scenario analysis).</v>
      </c>
      <c r="AG116" t="str">
        <f>_xlfn.XLOOKUP($A116,InterfaceRegister!$A:$A,InterfaceRegister!M:M)</f>
        <v>HIGH</v>
      </c>
      <c r="AH116" t="str">
        <f>_xlfn.XLOOKUP($A116,InterfaceRegister!$A:$A,InterfaceRegister!O:O)</f>
        <v>Uni-directional: Alastri-&gt; TAG Planning Module-&gt; Snowflake/Business Analaytics Zone-&gt; Eclipse.</v>
      </c>
      <c r="AI116" t="str">
        <f>_xlfn.XLOOKUP($A116,InterfaceRegister!$A:$A,InterfaceRegister!N:N)</f>
        <v>The criticality level is HIGH because failure impacts the accuracy and alignment of Eclipse's short-term plans with strategic long-term goals. This risks incorrect resource forecasting and production scheduling.</v>
      </c>
      <c r="AJ116" t="str">
        <f>_xlfn.XLOOKUP($A116,'EA-Fortescue_SDExport'!$A:$A,'EA-Fortescue_SDExport'!AX:AX)</f>
        <v>CSV51C8FD89</v>
      </c>
      <c r="AK116">
        <f>_xlfn.XLOOKUP($A116,'EA-Fortescue_SDExport'!$A:$A,'EA-Fortescue_SDExport'!AY:AY)</f>
        <v>0</v>
      </c>
    </row>
    <row r="117" spans="1:37" x14ac:dyDescent="0.25">
      <c r="A117" t="str">
        <v>DGS-I_0116</v>
      </c>
      <c r="B117" t="str">
        <f>_xlfn.XLOOKUP($A117,'EA-Fortescue_SDExport'!$A:$A,'EA-Fortescue_SDExport'!B:B)</f>
        <v>Class</v>
      </c>
      <c r="C117" t="str">
        <f>_xlfn.XLOOKUP($A117,'EA-Fortescue_SDExport'!$A:$A,'EA-Fortescue_SDExport'!C:C)</f>
        <v>{7EFC7C10-E619-40a8-B510-D8B57AB42599}</v>
      </c>
      <c r="D117" t="str">
        <f>_xlfn.LET(_xlpm.result, _xlfn.XLOOKUP($A117, InterfaceRegister!$A:$A, InterfaceRegister!P:P), IF(_xlpm.result=0, "", _xlpm.result))</f>
        <v>Interface Review 25/11/2025: Future state integration which still needs to be defined by the project team._x000D_
NH 20/02/2026: Fields updated: Interface Flow.</v>
      </c>
      <c r="E117">
        <f>_xlfn.XLOOKUP($A117,'EA-Fortescue_SDExport'!$A:$A,'EA-Fortescue_SDExport'!E:E)</f>
        <v>1</v>
      </c>
      <c r="F117">
        <f>_xlfn.XLOOKUP($A117,'EA-Fortescue_SDExport'!$A:$A,'EA-Fortescue_SDExport'!F:F)</f>
        <v>1</v>
      </c>
      <c r="G117">
        <f>_xlfn.XLOOKUP($A117,'EA-Fortescue_SDExport'!$A:$A,'EA-Fortescue_SDExport'!G:G)</f>
        <v>0</v>
      </c>
      <c r="H117" t="str">
        <f>_xlfn.XLOOKUP($A117,'EA-Fortescue_SDExport'!$A:$A,'EA-Fortescue_SDExport'!H:H)</f>
        <v>InterfaceBlock</v>
      </c>
      <c r="I117" t="str">
        <f>_xlfn.XLOOKUP($A117,'EA-Fortescue_SDExport'!$A:$A,'EA-Fortescue_SDExport'!I:I)</f>
        <v>SysML1.4::InterfaceBlock</v>
      </c>
      <c r="J117" t="str">
        <f>_xlfn.XLOOKUP($A117,'EA-Fortescue_SDExport'!$A:$A,'EA-Fortescue_SDExport'!J:J)</f>
        <v>Java</v>
      </c>
      <c r="K117" t="str">
        <f>_xlfn.XLOOKUP($A117,'EA-Fortescue_SDExport'!$A:$A,'EA-Fortescue_SDExport'!K:K)</f>
        <v>Admin</v>
      </c>
      <c r="L117" t="str">
        <f>_xlfn.XLOOKUP($A117,'EA-Fortescue_SDExport'!$A:$A,'EA-Fortescue_SDExport'!L:L)</f>
        <v>Public</v>
      </c>
      <c r="M117">
        <f>_xlfn.XLOOKUP($A117,'EA-Fortescue_SDExport'!$A:$A,'EA-Fortescue_SDExport'!M:M)</f>
        <v>0</v>
      </c>
      <c r="N117" t="str">
        <f>_xlfn.XLOOKUP($A117,InterfaceRegister!$A:$A,InterfaceRegister!K:K)</f>
        <v>Proposed</v>
      </c>
      <c r="O117">
        <f>_xlfn.XLOOKUP($A117,'EA-Fortescue_SDExport'!$A:$A,'EA-Fortescue_SDExport'!O:O)</f>
        <v>1</v>
      </c>
      <c r="P117">
        <f>_xlfn.XLOOKUP($A117,'EA-Fortescue_SDExport'!$A:$A,'EA-Fortescue_SDExport'!P:P)</f>
        <v>0</v>
      </c>
      <c r="Q117">
        <f>_xlfn.XLOOKUP($A117,'EA-Fortescue_SDExport'!$A:$A,'EA-Fortescue_SDExport'!Q:Q)</f>
        <v>0</v>
      </c>
      <c r="R117">
        <f>_xlfn.XLOOKUP($A117,'EA-Fortescue_SDExport'!$A:$A,'EA-Fortescue_SDExport'!R:R)</f>
        <v>0</v>
      </c>
      <c r="S117">
        <f>_xlfn.XLOOKUP($A117,'EA-Fortescue_SDExport'!$A:$A,'EA-Fortescue_SDExport'!S:S)</f>
        <v>0</v>
      </c>
      <c r="T117">
        <f>_xlfn.XLOOKUP($A117,'EA-Fortescue_SDExport'!$A:$A,'EA-Fortescue_SDExport'!T:T)</f>
        <v>0</v>
      </c>
      <c r="U117">
        <f>_xlfn.XLOOKUP($A117,'EA-Fortescue_SDExport'!$A:$A,'EA-Fortescue_SDExport'!U:U)</f>
        <v>45895.768425925926</v>
      </c>
      <c r="V117">
        <f>_xlfn.XLOOKUP($A117,'EA-Fortescue_SDExport'!$A:$A,'EA-Fortescue_SDExport'!V:V)</f>
        <v>46077.99322916667</v>
      </c>
      <c r="W117">
        <f>_xlfn.XLOOKUP($A117,'EA-Fortescue_SDExport'!$A:$A,'EA-Fortescue_SDExport'!W:W)</f>
        <v>0</v>
      </c>
      <c r="X117">
        <f>_xlfn.XLOOKUP($A117,'EA-Fortescue_SDExport'!$A:$A,'EA-Fortescue_SDExport'!X:X)</f>
        <v>0</v>
      </c>
      <c r="Y117">
        <f>_xlfn.XLOOKUP($A117,'EA-Fortescue_SDExport'!$A:$A,'EA-Fortescue_SDExport'!Y:Y)</f>
        <v>0</v>
      </c>
      <c r="Z117" t="str">
        <f>_xlfn.XLOOKUP($A117,'EA-Fortescue_SDExport'!$A:$A,'EA-Fortescue_SDExport'!Z:Z)</f>
        <v>SysML1.4::InterfaceBlock</v>
      </c>
      <c r="AA117" t="str">
        <f>_xlfn.XLOOKUP($A117,InterfaceRegister!$A:$A,InterfaceRegister!B:B)</f>
        <v>855DC-1542-009 Elysia|855DC-1541-ECL-002 Online Security Constrained Unit Commitment (SCUC)</v>
      </c>
      <c r="AB117" t="str">
        <f>_xlfn.XLOOKUP($A117,InterfaceRegister!$A:$A,InterfaceRegister!C:C)</f>
        <v>Abby Buters</v>
      </c>
      <c r="AC117" t="str">
        <f>_xlfn.XLOOKUP($A117,InterfaceRegister!$A:$A,InterfaceRegister!D:D)</f>
        <v>Kareema Ramli (Senior Engineer - Energy Data Systems &amp; Governance)</v>
      </c>
      <c r="AD117" t="str">
        <f>_xlfn.XLOOKUP($A117,InterfaceRegister!$A:$A,InterfaceRegister!E:E)</f>
        <v>Project - Subsystem Interface</v>
      </c>
      <c r="AE117" t="str">
        <f>_xlfn.XLOOKUP($A117,InterfaceRegister!$A:$A,InterfaceRegister!F:F)</f>
        <v>Technical-Data/Software</v>
      </c>
      <c r="AF117" t="str">
        <f>_xlfn.XLOOKUP($A117,InterfaceRegister!$A:$A,InterfaceRegister!L:L)</f>
        <v>This interface transmits battery performance data, capacity forecasts, and operational limits from Elysia to SCUC for energy scheduling purposes.</v>
      </c>
      <c r="AG117" t="str">
        <f>_xlfn.XLOOKUP($A117,InterfaceRegister!$A:$A,InterfaceRegister!M:M)</f>
        <v>HIGH</v>
      </c>
      <c r="AH117" t="str">
        <f>_xlfn.XLOOKUP($A117,InterfaceRegister!$A:$A,InterfaceRegister!O:O)</f>
        <v>Data Flow: Elysia -&gt; SCUC (ECL Eclipse) (battery state of charge, available capacity, charge/discharge limits, degradation status, capacity forecasts, operational constraints, alarms) to support energy scheduling and unit commitment optimisation.</v>
      </c>
      <c r="AI117" t="str">
        <f>_xlfn.XLOOKUP($A117,InterfaceRegister!$A:$A,InterfaceRegister!N:N)</f>
        <v>The criticality level is MEDIUM because SCUC can still operate without detailed battery intelligence, but its decisions may be less efficient and result in suboptimal battery utilisation. Failure affects efficiency rather than immediate operations</v>
      </c>
      <c r="AJ117" t="str">
        <f>_xlfn.XLOOKUP($A117,'EA-Fortescue_SDExport'!$A:$A,'EA-Fortescue_SDExport'!AX:AX)</f>
        <v>CSVA29F46BB</v>
      </c>
      <c r="AK117">
        <f>_xlfn.XLOOKUP($A117,'EA-Fortescue_SDExport'!$A:$A,'EA-Fortescue_SDExport'!AY:AY)</f>
        <v>0</v>
      </c>
    </row>
    <row r="118" spans="1:37" x14ac:dyDescent="0.25">
      <c r="A118" t="str">
        <v>DGS-I_0117</v>
      </c>
      <c r="B118" t="str">
        <f>_xlfn.XLOOKUP($A118,'EA-Fortescue_SDExport'!$A:$A,'EA-Fortescue_SDExport'!B:B)</f>
        <v>Class</v>
      </c>
      <c r="C118" t="str">
        <f>_xlfn.XLOOKUP($A118,'EA-Fortescue_SDExport'!$A:$A,'EA-Fortescue_SDExport'!C:C)</f>
        <v>{AA683756-62CC-475f-8FDB-A8531BAC1DA9}</v>
      </c>
      <c r="D118" t="str">
        <f>_xlfn.LET(_xlpm.result, _xlfn.XLOOKUP($A118, InterfaceRegister!$A:$A, InterfaceRegister!P:P), IF(_xlpm.result=0, "", _xlpm.result))</f>
        <v>NH 20/02/2026: Fields updated: Interface Type, Interface Flow.</v>
      </c>
      <c r="E118">
        <f>_xlfn.XLOOKUP($A118,'EA-Fortescue_SDExport'!$A:$A,'EA-Fortescue_SDExport'!E:E)</f>
        <v>1</v>
      </c>
      <c r="F118">
        <f>_xlfn.XLOOKUP($A118,'EA-Fortescue_SDExport'!$A:$A,'EA-Fortescue_SDExport'!F:F)</f>
        <v>1</v>
      </c>
      <c r="G118">
        <f>_xlfn.XLOOKUP($A118,'EA-Fortescue_SDExport'!$A:$A,'EA-Fortescue_SDExport'!G:G)</f>
        <v>0</v>
      </c>
      <c r="H118" t="str">
        <f>_xlfn.XLOOKUP($A118,'EA-Fortescue_SDExport'!$A:$A,'EA-Fortescue_SDExport'!H:H)</f>
        <v>InterfaceBlock</v>
      </c>
      <c r="I118" t="str">
        <f>_xlfn.XLOOKUP($A118,'EA-Fortescue_SDExport'!$A:$A,'EA-Fortescue_SDExport'!I:I)</f>
        <v>SysML1.4::InterfaceBlock</v>
      </c>
      <c r="J118" t="str">
        <f>_xlfn.XLOOKUP($A118,'EA-Fortescue_SDExport'!$A:$A,'EA-Fortescue_SDExport'!J:J)</f>
        <v>Java</v>
      </c>
      <c r="K118" t="str">
        <f>_xlfn.XLOOKUP($A118,'EA-Fortescue_SDExport'!$A:$A,'EA-Fortescue_SDExport'!K:K)</f>
        <v>Admin</v>
      </c>
      <c r="L118" t="str">
        <f>_xlfn.XLOOKUP($A118,'EA-Fortescue_SDExport'!$A:$A,'EA-Fortescue_SDExport'!L:L)</f>
        <v>Public</v>
      </c>
      <c r="M118">
        <f>_xlfn.XLOOKUP($A118,'EA-Fortescue_SDExport'!$A:$A,'EA-Fortescue_SDExport'!M:M)</f>
        <v>0</v>
      </c>
      <c r="N118" t="str">
        <f>_xlfn.XLOOKUP($A118,InterfaceRegister!$A:$A,InterfaceRegister!K:K)</f>
        <v>Proposed</v>
      </c>
      <c r="O118">
        <f>_xlfn.XLOOKUP($A118,'EA-Fortescue_SDExport'!$A:$A,'EA-Fortescue_SDExport'!O:O)</f>
        <v>1</v>
      </c>
      <c r="P118">
        <f>_xlfn.XLOOKUP($A118,'EA-Fortescue_SDExport'!$A:$A,'EA-Fortescue_SDExport'!P:P)</f>
        <v>0</v>
      </c>
      <c r="Q118">
        <f>_xlfn.XLOOKUP($A118,'EA-Fortescue_SDExport'!$A:$A,'EA-Fortescue_SDExport'!Q:Q)</f>
        <v>0</v>
      </c>
      <c r="R118">
        <f>_xlfn.XLOOKUP($A118,'EA-Fortescue_SDExport'!$A:$A,'EA-Fortescue_SDExport'!R:R)</f>
        <v>0</v>
      </c>
      <c r="S118">
        <f>_xlfn.XLOOKUP($A118,'EA-Fortescue_SDExport'!$A:$A,'EA-Fortescue_SDExport'!S:S)</f>
        <v>0</v>
      </c>
      <c r="T118">
        <f>_xlfn.XLOOKUP($A118,'EA-Fortescue_SDExport'!$A:$A,'EA-Fortescue_SDExport'!T:T)</f>
        <v>0</v>
      </c>
      <c r="U118">
        <f>_xlfn.XLOOKUP($A118,'EA-Fortescue_SDExport'!$A:$A,'EA-Fortescue_SDExport'!U:U)</f>
        <v>45895.793773148151</v>
      </c>
      <c r="V118">
        <f>_xlfn.XLOOKUP($A118,'EA-Fortescue_SDExport'!$A:$A,'EA-Fortescue_SDExport'!V:V)</f>
        <v>46077.993206018517</v>
      </c>
      <c r="W118">
        <f>_xlfn.XLOOKUP($A118,'EA-Fortescue_SDExport'!$A:$A,'EA-Fortescue_SDExport'!W:W)</f>
        <v>0</v>
      </c>
      <c r="X118">
        <f>_xlfn.XLOOKUP($A118,'EA-Fortescue_SDExport'!$A:$A,'EA-Fortescue_SDExport'!X:X)</f>
        <v>0</v>
      </c>
      <c r="Y118">
        <f>_xlfn.XLOOKUP($A118,'EA-Fortescue_SDExport'!$A:$A,'EA-Fortescue_SDExport'!Y:Y)</f>
        <v>0</v>
      </c>
      <c r="Z118" t="str">
        <f>_xlfn.XLOOKUP($A118,'EA-Fortescue_SDExport'!$A:$A,'EA-Fortescue_SDExport'!Z:Z)</f>
        <v>SysML1.4::InterfaceBlock</v>
      </c>
      <c r="AA118" t="str">
        <f>_xlfn.XLOOKUP($A118,InterfaceRegister!$A:$A,InterfaceRegister!B:B)</f>
        <v>855DC-1541-ECL-002 Online Security Constrained Unit Commitment (SCUC)|859DC-1410-001-001 HaulX Dispatch (Fleet Management System (FMS))</v>
      </c>
      <c r="AB118" t="str">
        <f>_xlfn.XLOOKUP($A118,InterfaceRegister!$A:$A,InterfaceRegister!C:C)</f>
        <v/>
      </c>
      <c r="AC118" t="str">
        <f>_xlfn.XLOOKUP($A118,InterfaceRegister!$A:$A,InterfaceRegister!D:D)</f>
        <v/>
      </c>
      <c r="AD118" t="str">
        <f>_xlfn.XLOOKUP($A118,InterfaceRegister!$A:$A,InterfaceRegister!E:E)</f>
        <v>Subsystem - Subsystem Interface</v>
      </c>
      <c r="AE118" t="str">
        <f>_xlfn.XLOOKUP($A118,InterfaceRegister!$A:$A,InterfaceRegister!F:F)</f>
        <v>Technical-Data/Software</v>
      </c>
      <c r="AF118" t="str">
        <f>_xlfn.XLOOKUP($A118,InterfaceRegister!$A:$A,InterfaceRegister!L:L)</f>
        <v>The interface sends high-level energy constraints or power availability information from SCUC into HaulX Dispatch so haulage operations can be adjusted based on electrical system conditions.</v>
      </c>
      <c r="AG118" t="str">
        <f>_xlfn.XLOOKUP($A118,InterfaceRegister!$A:$A,InterfaceRegister!M:M)</f>
        <v>MEDIUM</v>
      </c>
      <c r="AH118" t="str">
        <f>_xlfn.XLOOKUP($A118,InterfaceRegister!$A:$A,InterfaceRegister!O:O)</f>
        <v>Data Flow: SCUC (Eclipse) -&gt; HaulX Dispatch (high-level energy constraints, power availability limits, curtailment signals, network capacity status) to enable haulage scheduling adjustments based on electrical system conditions.</v>
      </c>
      <c r="AI118" t="str">
        <f>_xlfn.XLOOKUP($A118,InterfaceRegister!$A:$A,InterfaceRegister!N:N)</f>
        <v>The criticality level is MEDIUM because a temporary loss of this interface typically leads to reduced optimisation and planning efficiency rather than a shutdown of operations. Safe haulage can continue using local logic.</v>
      </c>
      <c r="AJ118" t="str">
        <f>_xlfn.XLOOKUP($A118,'EA-Fortescue_SDExport'!$A:$A,'EA-Fortescue_SDExport'!AX:AX)</f>
        <v>CSVFDF40551</v>
      </c>
      <c r="AK118">
        <f>_xlfn.XLOOKUP($A118,'EA-Fortescue_SDExport'!$A:$A,'EA-Fortescue_SDExport'!AY:AY)</f>
        <v>0</v>
      </c>
    </row>
    <row r="119" spans="1:37" x14ac:dyDescent="0.25">
      <c r="A119" t="str">
        <v>DGS-I_0118</v>
      </c>
      <c r="B119" t="str">
        <f>_xlfn.XLOOKUP($A119,'EA-Fortescue_SDExport'!$A:$A,'EA-Fortescue_SDExport'!B:B)</f>
        <v>Class</v>
      </c>
      <c r="C119" t="str">
        <f>_xlfn.XLOOKUP($A119,'EA-Fortescue_SDExport'!$A:$A,'EA-Fortescue_SDExport'!C:C)</f>
        <v>{8B4B4DB2-7CD3-407e-B4F8-9E691494A6BE}</v>
      </c>
      <c r="D119" t="str">
        <f>_xlfn.LET(_xlpm.result, _xlfn.XLOOKUP($A119, InterfaceRegister!$A:$A, InterfaceRegister!P:P), IF(_xlpm.result=0, "", _xlpm.result))</f>
        <v>Interface Review 25/11/2025: Future state integration, which still needs to be defined by the project team. Only involved with the short-term dispatch of energy._x000D_
NH 20/02/2026: Fields updated: Interface Flow.</v>
      </c>
      <c r="E119">
        <f>_xlfn.XLOOKUP($A119,'EA-Fortescue_SDExport'!$A:$A,'EA-Fortescue_SDExport'!E:E)</f>
        <v>1</v>
      </c>
      <c r="F119">
        <f>_xlfn.XLOOKUP($A119,'EA-Fortescue_SDExport'!$A:$A,'EA-Fortescue_SDExport'!F:F)</f>
        <v>1</v>
      </c>
      <c r="G119">
        <f>_xlfn.XLOOKUP($A119,'EA-Fortescue_SDExport'!$A:$A,'EA-Fortescue_SDExport'!G:G)</f>
        <v>0</v>
      </c>
      <c r="H119" t="str">
        <f>_xlfn.XLOOKUP($A119,'EA-Fortescue_SDExport'!$A:$A,'EA-Fortescue_SDExport'!H:H)</f>
        <v>InterfaceBlock</v>
      </c>
      <c r="I119" t="str">
        <f>_xlfn.XLOOKUP($A119,'EA-Fortescue_SDExport'!$A:$A,'EA-Fortescue_SDExport'!I:I)</f>
        <v>SysML1.4::InterfaceBlock</v>
      </c>
      <c r="J119" t="str">
        <f>_xlfn.XLOOKUP($A119,'EA-Fortescue_SDExport'!$A:$A,'EA-Fortescue_SDExport'!J:J)</f>
        <v>Java</v>
      </c>
      <c r="K119" t="str">
        <f>_xlfn.XLOOKUP($A119,'EA-Fortescue_SDExport'!$A:$A,'EA-Fortescue_SDExport'!K:K)</f>
        <v>Admin</v>
      </c>
      <c r="L119" t="str">
        <f>_xlfn.XLOOKUP($A119,'EA-Fortescue_SDExport'!$A:$A,'EA-Fortescue_SDExport'!L:L)</f>
        <v>Public</v>
      </c>
      <c r="M119">
        <f>_xlfn.XLOOKUP($A119,'EA-Fortescue_SDExport'!$A:$A,'EA-Fortescue_SDExport'!M:M)</f>
        <v>0</v>
      </c>
      <c r="N119" t="str">
        <f>_xlfn.XLOOKUP($A119,InterfaceRegister!$A:$A,InterfaceRegister!K:K)</f>
        <v>Proposed</v>
      </c>
      <c r="O119">
        <f>_xlfn.XLOOKUP($A119,'EA-Fortescue_SDExport'!$A:$A,'EA-Fortescue_SDExport'!O:O)</f>
        <v>1</v>
      </c>
      <c r="P119">
        <f>_xlfn.XLOOKUP($A119,'EA-Fortescue_SDExport'!$A:$A,'EA-Fortescue_SDExport'!P:P)</f>
        <v>0</v>
      </c>
      <c r="Q119">
        <f>_xlfn.XLOOKUP($A119,'EA-Fortescue_SDExport'!$A:$A,'EA-Fortescue_SDExport'!Q:Q)</f>
        <v>0</v>
      </c>
      <c r="R119">
        <f>_xlfn.XLOOKUP($A119,'EA-Fortescue_SDExport'!$A:$A,'EA-Fortescue_SDExport'!R:R)</f>
        <v>0</v>
      </c>
      <c r="S119">
        <f>_xlfn.XLOOKUP($A119,'EA-Fortescue_SDExport'!$A:$A,'EA-Fortescue_SDExport'!S:S)</f>
        <v>0</v>
      </c>
      <c r="T119">
        <f>_xlfn.XLOOKUP($A119,'EA-Fortescue_SDExport'!$A:$A,'EA-Fortescue_SDExport'!T:T)</f>
        <v>0</v>
      </c>
      <c r="U119">
        <f>_xlfn.XLOOKUP($A119,'EA-Fortescue_SDExport'!$A:$A,'EA-Fortescue_SDExport'!U:U)</f>
        <v>45895.792013888888</v>
      </c>
      <c r="V119">
        <f>_xlfn.XLOOKUP($A119,'EA-Fortescue_SDExport'!$A:$A,'EA-Fortescue_SDExport'!V:V)</f>
        <v>46077.993217592593</v>
      </c>
      <c r="W119">
        <f>_xlfn.XLOOKUP($A119,'EA-Fortescue_SDExport'!$A:$A,'EA-Fortescue_SDExport'!W:W)</f>
        <v>0</v>
      </c>
      <c r="X119">
        <f>_xlfn.XLOOKUP($A119,'EA-Fortescue_SDExport'!$A:$A,'EA-Fortescue_SDExport'!X:X)</f>
        <v>0</v>
      </c>
      <c r="Y119">
        <f>_xlfn.XLOOKUP($A119,'EA-Fortescue_SDExport'!$A:$A,'EA-Fortescue_SDExport'!Y:Y)</f>
        <v>0</v>
      </c>
      <c r="Z119" t="str">
        <f>_xlfn.XLOOKUP($A119,'EA-Fortescue_SDExport'!$A:$A,'EA-Fortescue_SDExport'!Z:Z)</f>
        <v>SysML1.4::InterfaceBlock</v>
      </c>
      <c r="AA119" t="str">
        <f>_xlfn.XLOOKUP($A119,InterfaceRegister!$A:$A,InterfaceRegister!B:B)</f>
        <v>855DC-1543-008 Monarch|855DC-1541-ECL-002 Online Security Constrained Unit Commitment (SCUC)</v>
      </c>
      <c r="AB119" t="str">
        <f>_xlfn.XLOOKUP($A119,InterfaceRegister!$A:$A,InterfaceRegister!C:C)</f>
        <v/>
      </c>
      <c r="AC119" t="str">
        <f>_xlfn.XLOOKUP($A119,InterfaceRegister!$A:$A,InterfaceRegister!D:D)</f>
        <v>Kareema Ramli (Senior Engineer - Energy Data Systems &amp; Governance)</v>
      </c>
      <c r="AD119" t="str">
        <f>_xlfn.XLOOKUP($A119,InterfaceRegister!$A:$A,InterfaceRegister!E:E)</f>
        <v>Project - Subsystem Interface</v>
      </c>
      <c r="AE119" t="str">
        <f>_xlfn.XLOOKUP($A119,InterfaceRegister!$A:$A,InterfaceRegister!F:F)</f>
        <v>Technical-Data/Software</v>
      </c>
      <c r="AF119" t="str">
        <f>_xlfn.XLOOKUP($A119,InterfaceRegister!$A:$A,InterfaceRegister!L:L)</f>
        <v>This interface synchronises key energy system data between Monarch and SCUC, ensuring generation, storage, and load information used in optimisation is correct.</v>
      </c>
      <c r="AG119" t="str">
        <f>_xlfn.XLOOKUP($A119,InterfaceRegister!$A:$A,InterfaceRegister!M:M)</f>
        <v>HIGH</v>
      </c>
      <c r="AH119" t="str">
        <f>_xlfn.XLOOKUP($A119,InterfaceRegister!$A:$A,InterfaceRegister!O:O)</f>
        <v>Data Flow: Monarch -&gt; SCUC (ECL Eclipse) (real-time generation output, storage status, network loading, available capacity, demand data, operational constraints, alarms) to support accurate scheduling and optimisation.</v>
      </c>
      <c r="AI119" t="str">
        <f>_xlfn.XLOOKUP($A119,InterfaceRegister!$A:$A,InterfaceRegister!N:N)</f>
        <v>The criticality level is HIGH because SCUC relies on accurate network information to make safe and optimal dispatch decisions. Losing this interface results in scheduling decisions based on outdated data, which can destabilise the network and affect production.</v>
      </c>
      <c r="AJ119" t="str">
        <f>_xlfn.XLOOKUP($A119,'EA-Fortescue_SDExport'!$A:$A,'EA-Fortescue_SDExport'!AX:AX)</f>
        <v>CSV558B0574</v>
      </c>
      <c r="AK119">
        <f>_xlfn.XLOOKUP($A119,'EA-Fortescue_SDExport'!$A:$A,'EA-Fortescue_SDExport'!AY:AY)</f>
        <v>0</v>
      </c>
    </row>
    <row r="120" spans="1:37" x14ac:dyDescent="0.25">
      <c r="A120" t="str">
        <v>DGS-I_0119</v>
      </c>
      <c r="B120" t="str">
        <f>_xlfn.XLOOKUP($A120,'EA-Fortescue_SDExport'!$A:$A,'EA-Fortescue_SDExport'!B:B)</f>
        <v>Class</v>
      </c>
      <c r="C120" t="str">
        <f>_xlfn.XLOOKUP($A120,'EA-Fortescue_SDExport'!$A:$A,'EA-Fortescue_SDExport'!C:C)</f>
        <v>{6E0DC9BC-9681-49db-A41E-B47F8F9999D8}</v>
      </c>
      <c r="D120" t="str">
        <f>_xlfn.LET(_xlpm.result, _xlfn.XLOOKUP($A120, InterfaceRegister!$A:$A, InterfaceRegister!P:P), IF(_xlpm.result=0, "", _xlpm.result))</f>
        <v>NH 25/02/2026: Fields updated:Interface Criticality Explanation</v>
      </c>
      <c r="E120">
        <f>_xlfn.XLOOKUP($A120,'EA-Fortescue_SDExport'!$A:$A,'EA-Fortescue_SDExport'!E:E)</f>
        <v>1</v>
      </c>
      <c r="F120">
        <f>_xlfn.XLOOKUP($A120,'EA-Fortescue_SDExport'!$A:$A,'EA-Fortescue_SDExport'!F:F)</f>
        <v>1</v>
      </c>
      <c r="G120">
        <f>_xlfn.XLOOKUP($A120,'EA-Fortescue_SDExport'!$A:$A,'EA-Fortescue_SDExport'!G:G)</f>
        <v>0</v>
      </c>
      <c r="H120" t="str">
        <f>_xlfn.XLOOKUP($A120,'EA-Fortescue_SDExport'!$A:$A,'EA-Fortescue_SDExport'!H:H)</f>
        <v>InterfaceBlock</v>
      </c>
      <c r="I120" t="str">
        <f>_xlfn.XLOOKUP($A120,'EA-Fortescue_SDExport'!$A:$A,'EA-Fortescue_SDExport'!I:I)</f>
        <v>SysML1.4::InterfaceBlock</v>
      </c>
      <c r="J120" t="str">
        <f>_xlfn.XLOOKUP($A120,'EA-Fortescue_SDExport'!$A:$A,'EA-Fortescue_SDExport'!J:J)</f>
        <v>Java</v>
      </c>
      <c r="K120" t="str">
        <f>_xlfn.XLOOKUP($A120,'EA-Fortescue_SDExport'!$A:$A,'EA-Fortescue_SDExport'!K:K)</f>
        <v>Admin</v>
      </c>
      <c r="L120" t="str">
        <f>_xlfn.XLOOKUP($A120,'EA-Fortescue_SDExport'!$A:$A,'EA-Fortescue_SDExport'!L:L)</f>
        <v>Public</v>
      </c>
      <c r="M120">
        <f>_xlfn.XLOOKUP($A120,'EA-Fortescue_SDExport'!$A:$A,'EA-Fortescue_SDExport'!M:M)</f>
        <v>0</v>
      </c>
      <c r="N120" t="str">
        <f>_xlfn.XLOOKUP($A120,InterfaceRegister!$A:$A,InterfaceRegister!K:K)</f>
        <v>Proposed</v>
      </c>
      <c r="O120">
        <f>_xlfn.XLOOKUP($A120,'EA-Fortescue_SDExport'!$A:$A,'EA-Fortescue_SDExport'!O:O)</f>
        <v>1</v>
      </c>
      <c r="P120">
        <f>_xlfn.XLOOKUP($A120,'EA-Fortescue_SDExport'!$A:$A,'EA-Fortescue_SDExport'!P:P)</f>
        <v>0</v>
      </c>
      <c r="Q120">
        <f>_xlfn.XLOOKUP($A120,'EA-Fortescue_SDExport'!$A:$A,'EA-Fortescue_SDExport'!Q:Q)</f>
        <v>0</v>
      </c>
      <c r="R120">
        <f>_xlfn.XLOOKUP($A120,'EA-Fortescue_SDExport'!$A:$A,'EA-Fortescue_SDExport'!R:R)</f>
        <v>0</v>
      </c>
      <c r="S120">
        <f>_xlfn.XLOOKUP($A120,'EA-Fortescue_SDExport'!$A:$A,'EA-Fortescue_SDExport'!S:S)</f>
        <v>0</v>
      </c>
      <c r="T120">
        <f>_xlfn.XLOOKUP($A120,'EA-Fortescue_SDExport'!$A:$A,'EA-Fortescue_SDExport'!T:T)</f>
        <v>0</v>
      </c>
      <c r="U120">
        <f>_xlfn.XLOOKUP($A120,'EA-Fortescue_SDExport'!$A:$A,'EA-Fortescue_SDExport'!U:U)</f>
        <v>45895.825532407405</v>
      </c>
      <c r="V120">
        <f>_xlfn.XLOOKUP($A120,'EA-Fortescue_SDExport'!$A:$A,'EA-Fortescue_SDExport'!V:V)</f>
        <v>46077.993206018517</v>
      </c>
      <c r="W120">
        <f>_xlfn.XLOOKUP($A120,'EA-Fortescue_SDExport'!$A:$A,'EA-Fortescue_SDExport'!W:W)</f>
        <v>0</v>
      </c>
      <c r="X120">
        <f>_xlfn.XLOOKUP($A120,'EA-Fortescue_SDExport'!$A:$A,'EA-Fortescue_SDExport'!X:X)</f>
        <v>0</v>
      </c>
      <c r="Y120">
        <f>_xlfn.XLOOKUP($A120,'EA-Fortescue_SDExport'!$A:$A,'EA-Fortescue_SDExport'!Y:Y)</f>
        <v>0</v>
      </c>
      <c r="Z120" t="str">
        <f>_xlfn.XLOOKUP($A120,'EA-Fortescue_SDExport'!$A:$A,'EA-Fortescue_SDExport'!Z:Z)</f>
        <v>SysML1.4::InterfaceBlock</v>
      </c>
      <c r="AA120" t="str">
        <f>_xlfn.XLOOKUP($A120,InterfaceRegister!$A:$A,InterfaceRegister!B:B)</f>
        <v>855DC-1541-ECL-001 Eclipse Planning|005OP-0000-002 ALF</v>
      </c>
      <c r="AB120" t="str">
        <f>_xlfn.XLOOKUP($A120,InterfaceRegister!$A:$A,InterfaceRegister!C:C)</f>
        <v/>
      </c>
      <c r="AC120" t="str">
        <f>_xlfn.XLOOKUP($A120,InterfaceRegister!$A:$A,InterfaceRegister!D:D)</f>
        <v/>
      </c>
      <c r="AD120" t="str">
        <f>_xlfn.XLOOKUP($A120,InterfaceRegister!$A:$A,InterfaceRegister!E:E)</f>
        <v>Project - Subsystem Interface</v>
      </c>
      <c r="AE120" t="str">
        <f>_xlfn.XLOOKUP($A120,InterfaceRegister!$A:$A,InterfaceRegister!F:F)</f>
        <v>Technical-Data/Software</v>
      </c>
      <c r="AF120" t="str">
        <f>_xlfn.XLOOKUP($A120,InterfaceRegister!$A:$A,InterfaceRegister!L:L)</f>
        <v>The purpose of this interface is to send train schedule data (from ALF, stored in a table in Snowflake) to the Eclipse database for short-term mine planning. This is identified as a future state development for Eclipse.</v>
      </c>
      <c r="AG120" t="str">
        <f>_xlfn.XLOOKUP($A120,InterfaceRegister!$A:$A,InterfaceRegister!M:M)</f>
        <v>HIGH</v>
      </c>
      <c r="AH120" t="str">
        <f>_xlfn.XLOOKUP($A120,InterfaceRegister!$A:$A,InterfaceRegister!O:O)</f>
        <v>Uni-directional -&gt; ALF -&gt; Snowflake -&gt; Eclipse</v>
      </c>
      <c r="AI120" t="str">
        <f>_xlfn.XLOOKUP($A120,InterfaceRegister!$A:$A,InterfaceRegister!N:N)</f>
        <v>The criticality is HIGH because train schedules materially influence short-term load forecasts and operational demand profiles used within the risk-aware optimisation process. Inaccurate or missing schedule data could result in misforecasted load, increased SOC reserve breach risk, inefficient gas nominations, or suboptimal commitment decisions affecting grid stability and production continuity.</v>
      </c>
      <c r="AJ120" t="str">
        <f>_xlfn.XLOOKUP($A120,'EA-Fortescue_SDExport'!$A:$A,'EA-Fortescue_SDExport'!AX:AX)</f>
        <v>CSV98AF635D</v>
      </c>
      <c r="AK120">
        <f>_xlfn.XLOOKUP($A120,'EA-Fortescue_SDExport'!$A:$A,'EA-Fortescue_SDExport'!AY:AY)</f>
        <v>0</v>
      </c>
    </row>
    <row r="121" spans="1:37" x14ac:dyDescent="0.25">
      <c r="A121" t="str">
        <v>DGS-I_0120</v>
      </c>
      <c r="B121" t="str">
        <f>_xlfn.XLOOKUP($A121,'EA-Fortescue_SDExport'!$A:$A,'EA-Fortescue_SDExport'!B:B)</f>
        <v>Class</v>
      </c>
      <c r="C121" t="str">
        <f>_xlfn.XLOOKUP($A121,'EA-Fortescue_SDExport'!$A:$A,'EA-Fortescue_SDExport'!C:C)</f>
        <v>{9E493403-3C58-4733-A5DC-1CFCC9BBF1A2}</v>
      </c>
      <c r="D121" t="str">
        <f>_xlfn.LET(_xlpm.result, _xlfn.XLOOKUP($A121, InterfaceRegister!$A:$A, InterfaceRegister!P:P), IF(_xlpm.result=0, "", _xlpm.result))</f>
        <v>Interface Review 25/11/2025: FLO is the AI optimiser for ALF and scheduling._x000D_
NH 20/02/2026: Fields updated: Interface Flow.</v>
      </c>
      <c r="E121">
        <f>_xlfn.XLOOKUP($A121,'EA-Fortescue_SDExport'!$A:$A,'EA-Fortescue_SDExport'!E:E)</f>
        <v>1</v>
      </c>
      <c r="F121">
        <f>_xlfn.XLOOKUP($A121,'EA-Fortescue_SDExport'!$A:$A,'EA-Fortescue_SDExport'!F:F)</f>
        <v>1</v>
      </c>
      <c r="G121">
        <f>_xlfn.XLOOKUP($A121,'EA-Fortescue_SDExport'!$A:$A,'EA-Fortescue_SDExport'!G:G)</f>
        <v>0</v>
      </c>
      <c r="H121" t="str">
        <f>_xlfn.XLOOKUP($A121,'EA-Fortescue_SDExport'!$A:$A,'EA-Fortescue_SDExport'!H:H)</f>
        <v>InterfaceBlock</v>
      </c>
      <c r="I121" t="str">
        <f>_xlfn.XLOOKUP($A121,'EA-Fortescue_SDExport'!$A:$A,'EA-Fortescue_SDExport'!I:I)</f>
        <v>SysML1.4::InterfaceBlock</v>
      </c>
      <c r="J121" t="str">
        <f>_xlfn.XLOOKUP($A121,'EA-Fortescue_SDExport'!$A:$A,'EA-Fortescue_SDExport'!J:J)</f>
        <v>Java</v>
      </c>
      <c r="K121" t="str">
        <f>_xlfn.XLOOKUP($A121,'EA-Fortescue_SDExport'!$A:$A,'EA-Fortescue_SDExport'!K:K)</f>
        <v>Admin</v>
      </c>
      <c r="L121" t="str">
        <f>_xlfn.XLOOKUP($A121,'EA-Fortescue_SDExport'!$A:$A,'EA-Fortescue_SDExport'!L:L)</f>
        <v>Public</v>
      </c>
      <c r="M121">
        <f>_xlfn.XLOOKUP($A121,'EA-Fortescue_SDExport'!$A:$A,'EA-Fortescue_SDExport'!M:M)</f>
        <v>0</v>
      </c>
      <c r="N121" t="str">
        <f>_xlfn.XLOOKUP($A121,InterfaceRegister!$A:$A,InterfaceRegister!K:K)</f>
        <v>Proposed</v>
      </c>
      <c r="O121">
        <f>_xlfn.XLOOKUP($A121,'EA-Fortescue_SDExport'!$A:$A,'EA-Fortescue_SDExport'!O:O)</f>
        <v>1</v>
      </c>
      <c r="P121">
        <f>_xlfn.XLOOKUP($A121,'EA-Fortescue_SDExport'!$A:$A,'EA-Fortescue_SDExport'!P:P)</f>
        <v>0</v>
      </c>
      <c r="Q121">
        <f>_xlfn.XLOOKUP($A121,'EA-Fortescue_SDExport'!$A:$A,'EA-Fortescue_SDExport'!Q:Q)</f>
        <v>0</v>
      </c>
      <c r="R121">
        <f>_xlfn.XLOOKUP($A121,'EA-Fortescue_SDExport'!$A:$A,'EA-Fortescue_SDExport'!R:R)</f>
        <v>0</v>
      </c>
      <c r="S121">
        <f>_xlfn.XLOOKUP($A121,'EA-Fortescue_SDExport'!$A:$A,'EA-Fortescue_SDExport'!S:S)</f>
        <v>0</v>
      </c>
      <c r="T121">
        <f>_xlfn.XLOOKUP($A121,'EA-Fortescue_SDExport'!$A:$A,'EA-Fortescue_SDExport'!T:T)</f>
        <v>0</v>
      </c>
      <c r="U121">
        <f>_xlfn.XLOOKUP($A121,'EA-Fortescue_SDExport'!$A:$A,'EA-Fortescue_SDExport'!U:U)</f>
        <v>45895.920532407406</v>
      </c>
      <c r="V121">
        <f>_xlfn.XLOOKUP($A121,'EA-Fortescue_SDExport'!$A:$A,'EA-Fortescue_SDExport'!V:V)</f>
        <v>46077.993217592593</v>
      </c>
      <c r="W121">
        <f>_xlfn.XLOOKUP($A121,'EA-Fortescue_SDExport'!$A:$A,'EA-Fortescue_SDExport'!W:W)</f>
        <v>0</v>
      </c>
      <c r="X121">
        <f>_xlfn.XLOOKUP($A121,'EA-Fortescue_SDExport'!$A:$A,'EA-Fortescue_SDExport'!X:X)</f>
        <v>0</v>
      </c>
      <c r="Y121">
        <f>_xlfn.XLOOKUP($A121,'EA-Fortescue_SDExport'!$A:$A,'EA-Fortescue_SDExport'!Y:Y)</f>
        <v>0</v>
      </c>
      <c r="Z121" t="str">
        <f>_xlfn.XLOOKUP($A121,'EA-Fortescue_SDExport'!$A:$A,'EA-Fortescue_SDExport'!Z:Z)</f>
        <v>SysML1.4::InterfaceBlock</v>
      </c>
      <c r="AA121" t="str">
        <f>_xlfn.XLOOKUP($A121,InterfaceRegister!$A:$A,InterfaceRegister!B:B)</f>
        <v>855DC-1541-ECL-001 Eclipse Planning|005OP-0000-003 FLO</v>
      </c>
      <c r="AB121" t="str">
        <f>_xlfn.XLOOKUP($A121,InterfaceRegister!$A:$A,InterfaceRegister!C:C)</f>
        <v/>
      </c>
      <c r="AC121" t="str">
        <f>_xlfn.XLOOKUP($A121,InterfaceRegister!$A:$A,InterfaceRegister!D:D)</f>
        <v/>
      </c>
      <c r="AD121" t="str">
        <f>_xlfn.XLOOKUP($A121,InterfaceRegister!$A:$A,InterfaceRegister!E:E)</f>
        <v>Project - Subsystem Interface</v>
      </c>
      <c r="AE121" t="str">
        <f>_xlfn.XLOOKUP($A121,InterfaceRegister!$A:$A,InterfaceRegister!F:F)</f>
        <v>Functional-Operational</v>
      </c>
      <c r="AF121" t="str">
        <f>_xlfn.XLOOKUP($A121,InterfaceRegister!$A:$A,InterfaceRegister!L:L)</f>
        <v>This interface links the high-level Planning system to FLO, enabling forecasts, production plans, or fleet usage expectations to be shared for optimisation or analysis.</v>
      </c>
      <c r="AG121" t="str">
        <f>_xlfn.XLOOKUP($A121,InterfaceRegister!$A:$A,InterfaceRegister!M:M)</f>
        <v>LOW</v>
      </c>
      <c r="AH121" t="str">
        <f>_xlfn.XLOOKUP($A121,InterfaceRegister!$A:$A,InterfaceRegister!O:O)</f>
        <v>Data Flow:_x000D_
855DC-1541 ECL Eclipse (Planning &amp; Forecast System) -&gt; 0050P-0000-003 FLO, transmitting production forecasts, fleet utilisation assumptions, operational plans, scheduling parameters, and optimisation inputs to support planning analysis and fleet usage modelling.</v>
      </c>
      <c r="AI121" t="str">
        <f>_xlfn.XLOOKUP($A121,InterfaceRegister!$A:$A,InterfaceRegister!N:N)</f>
        <v>The criticality level is LOW because failure at this interface does not impact real-time production, safety, or operational control. It only affects planning accuracy, and planning work can be done offline if needed.</v>
      </c>
      <c r="AJ121" t="str">
        <f>_xlfn.XLOOKUP($A121,'EA-Fortescue_SDExport'!$A:$A,'EA-Fortescue_SDExport'!AX:AX)</f>
        <v>CSVA8A38CBB</v>
      </c>
      <c r="AK121">
        <f>_xlfn.XLOOKUP($A121,'EA-Fortescue_SDExport'!$A:$A,'EA-Fortescue_SDExport'!AY:AY)</f>
        <v>0</v>
      </c>
    </row>
    <row r="122" spans="1:37" x14ac:dyDescent="0.25">
      <c r="A122" t="str">
        <v>DGS-I_0121</v>
      </c>
      <c r="B122" t="str">
        <f>_xlfn.XLOOKUP($A122,'EA-Fortescue_SDExport'!$A:$A,'EA-Fortescue_SDExport'!B:B)</f>
        <v>Class</v>
      </c>
      <c r="C122" t="str">
        <f>_xlfn.XLOOKUP($A122,'EA-Fortescue_SDExport'!$A:$A,'EA-Fortescue_SDExport'!C:C)</f>
        <v>{B5859F4E-2299-44f5-B505-E30C33CEB575}</v>
      </c>
      <c r="D122" t="str">
        <f>_xlfn.LET(_xlpm.result, _xlfn.XLOOKUP($A122, InterfaceRegister!$A:$A, InterfaceRegister!P:P), IF(_xlpm.result=0, "", _xlpm.result))</f>
        <v>Interface Review 25/11/2025: Delete (more eclipse)_x000D_
GSPContext 28/01/2026: Reinstated_x000D_
NH 18/02/2026: Fields updated: Interface Type, Interface Description (Interface Purpose), Interface Criticality, Interface Criticality Explanation, Interface Flow.</v>
      </c>
      <c r="E122">
        <f>_xlfn.XLOOKUP($A122,'EA-Fortescue_SDExport'!$A:$A,'EA-Fortescue_SDExport'!E:E)</f>
        <v>1</v>
      </c>
      <c r="F122">
        <f>_xlfn.XLOOKUP($A122,'EA-Fortescue_SDExport'!$A:$A,'EA-Fortescue_SDExport'!F:F)</f>
        <v>1</v>
      </c>
      <c r="G122">
        <f>_xlfn.XLOOKUP($A122,'EA-Fortescue_SDExport'!$A:$A,'EA-Fortescue_SDExport'!G:G)</f>
        <v>0</v>
      </c>
      <c r="H122" t="str">
        <f>_xlfn.XLOOKUP($A122,'EA-Fortescue_SDExport'!$A:$A,'EA-Fortescue_SDExport'!H:H)</f>
        <v>InterfaceBlock</v>
      </c>
      <c r="I122" t="str">
        <f>_xlfn.XLOOKUP($A122,'EA-Fortescue_SDExport'!$A:$A,'EA-Fortescue_SDExport'!I:I)</f>
        <v>SysML1.4::InterfaceBlock</v>
      </c>
      <c r="J122" t="str">
        <f>_xlfn.XLOOKUP($A122,'EA-Fortescue_SDExport'!$A:$A,'EA-Fortescue_SDExport'!J:J)</f>
        <v>Java</v>
      </c>
      <c r="K122" t="str">
        <f>_xlfn.XLOOKUP($A122,'EA-Fortescue_SDExport'!$A:$A,'EA-Fortescue_SDExport'!K:K)</f>
        <v>Admin</v>
      </c>
      <c r="L122" t="str">
        <f>_xlfn.XLOOKUP($A122,'EA-Fortescue_SDExport'!$A:$A,'EA-Fortescue_SDExport'!L:L)</f>
        <v>Public</v>
      </c>
      <c r="M122">
        <f>_xlfn.XLOOKUP($A122,'EA-Fortescue_SDExport'!$A:$A,'EA-Fortescue_SDExport'!M:M)</f>
        <v>0</v>
      </c>
      <c r="N122" t="str">
        <f>_xlfn.XLOOKUP($A122,InterfaceRegister!$A:$A,InterfaceRegister!K:K)</f>
        <v>Proposed</v>
      </c>
      <c r="O122">
        <f>_xlfn.XLOOKUP($A122,'EA-Fortescue_SDExport'!$A:$A,'EA-Fortescue_SDExport'!O:O)</f>
        <v>1</v>
      </c>
      <c r="P122">
        <f>_xlfn.XLOOKUP($A122,'EA-Fortescue_SDExport'!$A:$A,'EA-Fortescue_SDExport'!P:P)</f>
        <v>0</v>
      </c>
      <c r="Q122">
        <f>_xlfn.XLOOKUP($A122,'EA-Fortescue_SDExport'!$A:$A,'EA-Fortescue_SDExport'!Q:Q)</f>
        <v>0</v>
      </c>
      <c r="R122">
        <f>_xlfn.XLOOKUP($A122,'EA-Fortescue_SDExport'!$A:$A,'EA-Fortescue_SDExport'!R:R)</f>
        <v>0</v>
      </c>
      <c r="S122">
        <f>_xlfn.XLOOKUP($A122,'EA-Fortescue_SDExport'!$A:$A,'EA-Fortescue_SDExport'!S:S)</f>
        <v>0</v>
      </c>
      <c r="T122">
        <f>_xlfn.XLOOKUP($A122,'EA-Fortescue_SDExport'!$A:$A,'EA-Fortescue_SDExport'!T:T)</f>
        <v>0</v>
      </c>
      <c r="U122">
        <f>_xlfn.XLOOKUP($A122,'EA-Fortescue_SDExport'!$A:$A,'EA-Fortescue_SDExport'!U:U)</f>
        <v>45895.791018518517</v>
      </c>
      <c r="V122">
        <f>_xlfn.XLOOKUP($A122,'EA-Fortescue_SDExport'!$A:$A,'EA-Fortescue_SDExport'!V:V)</f>
        <v>46071.946134259262</v>
      </c>
      <c r="W122">
        <f>_xlfn.XLOOKUP($A122,'EA-Fortescue_SDExport'!$A:$A,'EA-Fortescue_SDExport'!W:W)</f>
        <v>0</v>
      </c>
      <c r="X122">
        <f>_xlfn.XLOOKUP($A122,'EA-Fortescue_SDExport'!$A:$A,'EA-Fortescue_SDExport'!X:X)</f>
        <v>0</v>
      </c>
      <c r="Y122">
        <f>_xlfn.XLOOKUP($A122,'EA-Fortescue_SDExport'!$A:$A,'EA-Fortescue_SDExport'!Y:Y)</f>
        <v>0</v>
      </c>
      <c r="Z122" t="str">
        <f>_xlfn.XLOOKUP($A122,'EA-Fortescue_SDExport'!$A:$A,'EA-Fortescue_SDExport'!Z:Z)</f>
        <v>SysML1.4::InterfaceBlock</v>
      </c>
      <c r="AA122" t="str">
        <f>_xlfn.XLOOKUP($A122,InterfaceRegister!$A:$A,InterfaceRegister!B:B)</f>
        <v>855DC-1541-ECL-002 Online Security Constrained Unit Commitment (SCUC)|855DC-1541-DEL Delphi</v>
      </c>
      <c r="AB122" t="str">
        <f>_xlfn.XLOOKUP($A122,InterfaceRegister!$A:$A,InterfaceRegister!C:C)</f>
        <v/>
      </c>
      <c r="AC122" t="str">
        <f>_xlfn.XLOOKUP($A122,InterfaceRegister!$A:$A,InterfaceRegister!D:D)</f>
        <v/>
      </c>
      <c r="AD122" t="str">
        <f>_xlfn.XLOOKUP($A122,InterfaceRegister!$A:$A,InterfaceRegister!E:E)</f>
        <v>Project - Subsystem Interface</v>
      </c>
      <c r="AE122" t="str">
        <f>_xlfn.XLOOKUP($A122,InterfaceRegister!$A:$A,InterfaceRegister!F:F)</f>
        <v>Technical-Data/Software</v>
      </c>
      <c r="AF122" t="str">
        <f>_xlfn.XLOOKUP($A122,InterfaceRegister!$A:$A,InterfaceRegister!L:L)</f>
        <v>This interface enables bidirectional integration between the Online Security Constrained Unit Commitment (SCUC) and Delphi. Delphi provides time-aligned renewable generation forecasts, load forecasts, scenario ensembles, BESS SOC uncertainty data, and related planning signals to SCUC. SCUC returns committed near-term generator commitments, long-lead demand response notices, gas nomination and renomination recommendations, forward-looking SOC and linepack envelopes P10-P50-P90, risk indicators, trigger points, and operating mode classifications. The interface maintains forecast consistency, supports visualisation, and records decisions within the formal commitment ledger. The interface supports data exchange only and does not directly execute control actions.</v>
      </c>
      <c r="AG122" t="str">
        <f>_xlfn.XLOOKUP($A122,InterfaceRegister!$A:$A,InterfaceRegister!M:M)</f>
        <v>HIGH</v>
      </c>
      <c r="AH122" t="str">
        <f>_xlfn.XLOOKUP($A122,InterfaceRegister!$A:$A,InterfaceRegister!O:O)</f>
        <v>Online Security Constrained Unit Commitment (SCUC) &lt;-&gt; Delphi</v>
      </c>
      <c r="AI122" t="str">
        <f>_xlfn.XLOOKUP($A122,InterfaceRegister!$A:$A,InterfaceRegister!N:N)</f>
        <v>The criticality is HIGH because this interface connects the operational forecasting platform with the intra-shift risk-aware optimisation engine responsible for binding commitment decisions. Inaccurate, delayed, or inconsistent data exchange could result in incorrect generator commitments, gas nominations, SOC reserve breaches, or misalignment between planning and operations.</v>
      </c>
      <c r="AJ122" t="str">
        <f>_xlfn.XLOOKUP($A122,'EA-Fortescue_SDExport'!$A:$A,'EA-Fortescue_SDExport'!AX:AX)</f>
        <v>CSV41786542</v>
      </c>
      <c r="AK122">
        <f>_xlfn.XLOOKUP($A122,'EA-Fortescue_SDExport'!$A:$A,'EA-Fortescue_SDExport'!AY:AY)</f>
        <v>0</v>
      </c>
    </row>
    <row r="123" spans="1:37" x14ac:dyDescent="0.25">
      <c r="A123" t="str">
        <v>DGS-I_0122</v>
      </c>
      <c r="B123" t="str">
        <f>_xlfn.XLOOKUP($A123,'EA-Fortescue_SDExport'!$A:$A,'EA-Fortescue_SDExport'!B:B)</f>
        <v>Class</v>
      </c>
      <c r="C123" t="str">
        <f>_xlfn.XLOOKUP($A123,'EA-Fortescue_SDExport'!$A:$A,'EA-Fortescue_SDExport'!C:C)</f>
        <v>{D01426BA-FAFD-4ebc-B5BE-A9AC2C301F2E}</v>
      </c>
      <c r="D123" t="str">
        <f>_xlfn.LET(_xlpm.result, _xlfn.XLOOKUP($A123, InterfaceRegister!$A:$A, InterfaceRegister!P:P), IF(_xlpm.result=0, "", _xlpm.result))</f>
        <v>Interface Review 25/11/2025: To be confirmed whether this functionality is required to stop a black out situation. Information from Eclipse would be sent through Engery Operations Cimplicity SCADA to slow OPF rates._x000D_
NH 20/02/2026: Fields updated: Interface Flow._x000D_
NH 25/02/2026: Fields updated: Interface Flow.</v>
      </c>
      <c r="E123">
        <f>_xlfn.XLOOKUP($A123,'EA-Fortescue_SDExport'!$A:$A,'EA-Fortescue_SDExport'!E:E)</f>
        <v>1</v>
      </c>
      <c r="F123">
        <f>_xlfn.XLOOKUP($A123,'EA-Fortescue_SDExport'!$A:$A,'EA-Fortescue_SDExport'!F:F)</f>
        <v>1</v>
      </c>
      <c r="G123">
        <f>_xlfn.XLOOKUP($A123,'EA-Fortescue_SDExport'!$A:$A,'EA-Fortescue_SDExport'!G:G)</f>
        <v>0</v>
      </c>
      <c r="H123" t="str">
        <f>_xlfn.XLOOKUP($A123,'EA-Fortescue_SDExport'!$A:$A,'EA-Fortescue_SDExport'!H:H)</f>
        <v>InterfaceBlock</v>
      </c>
      <c r="I123" t="str">
        <f>_xlfn.XLOOKUP($A123,'EA-Fortescue_SDExport'!$A:$A,'EA-Fortescue_SDExport'!I:I)</f>
        <v>SysML1.4::InterfaceBlock</v>
      </c>
      <c r="J123" t="str">
        <f>_xlfn.XLOOKUP($A123,'EA-Fortescue_SDExport'!$A:$A,'EA-Fortescue_SDExport'!J:J)</f>
        <v>Java</v>
      </c>
      <c r="K123" t="str">
        <f>_xlfn.XLOOKUP($A123,'EA-Fortescue_SDExport'!$A:$A,'EA-Fortescue_SDExport'!K:K)</f>
        <v>Admin</v>
      </c>
      <c r="L123" t="str">
        <f>_xlfn.XLOOKUP($A123,'EA-Fortescue_SDExport'!$A:$A,'EA-Fortescue_SDExport'!L:L)</f>
        <v>Public</v>
      </c>
      <c r="M123">
        <f>_xlfn.XLOOKUP($A123,'EA-Fortescue_SDExport'!$A:$A,'EA-Fortescue_SDExport'!M:M)</f>
        <v>0</v>
      </c>
      <c r="N123" t="str">
        <f>_xlfn.XLOOKUP($A123,InterfaceRegister!$A:$A,InterfaceRegister!K:K)</f>
        <v>Proposed</v>
      </c>
      <c r="O123">
        <f>_xlfn.XLOOKUP($A123,'EA-Fortescue_SDExport'!$A:$A,'EA-Fortescue_SDExport'!O:O)</f>
        <v>1</v>
      </c>
      <c r="P123">
        <f>_xlfn.XLOOKUP($A123,'EA-Fortescue_SDExport'!$A:$A,'EA-Fortescue_SDExport'!P:P)</f>
        <v>0</v>
      </c>
      <c r="Q123">
        <f>_xlfn.XLOOKUP($A123,'EA-Fortescue_SDExport'!$A:$A,'EA-Fortescue_SDExport'!Q:Q)</f>
        <v>0</v>
      </c>
      <c r="R123">
        <f>_xlfn.XLOOKUP($A123,'EA-Fortescue_SDExport'!$A:$A,'EA-Fortescue_SDExport'!R:R)</f>
        <v>0</v>
      </c>
      <c r="S123">
        <f>_xlfn.XLOOKUP($A123,'EA-Fortescue_SDExport'!$A:$A,'EA-Fortescue_SDExport'!S:S)</f>
        <v>0</v>
      </c>
      <c r="T123">
        <f>_xlfn.XLOOKUP($A123,'EA-Fortescue_SDExport'!$A:$A,'EA-Fortescue_SDExport'!T:T)</f>
        <v>0</v>
      </c>
      <c r="U123">
        <f>_xlfn.XLOOKUP($A123,'EA-Fortescue_SDExport'!$A:$A,'EA-Fortescue_SDExport'!U:U)</f>
        <v>45895.794444444444</v>
      </c>
      <c r="V123">
        <f>_xlfn.XLOOKUP($A123,'EA-Fortescue_SDExport'!$A:$A,'EA-Fortescue_SDExport'!V:V)</f>
        <v>46078.824791666666</v>
      </c>
      <c r="W123">
        <f>_xlfn.XLOOKUP($A123,'EA-Fortescue_SDExport'!$A:$A,'EA-Fortescue_SDExport'!W:W)</f>
        <v>0</v>
      </c>
      <c r="X123">
        <f>_xlfn.XLOOKUP($A123,'EA-Fortescue_SDExport'!$A:$A,'EA-Fortescue_SDExport'!X:X)</f>
        <v>0</v>
      </c>
      <c r="Y123">
        <f>_xlfn.XLOOKUP($A123,'EA-Fortescue_SDExport'!$A:$A,'EA-Fortescue_SDExport'!Y:Y)</f>
        <v>0</v>
      </c>
      <c r="Z123" t="str">
        <f>_xlfn.XLOOKUP($A123,'EA-Fortescue_SDExport'!$A:$A,'EA-Fortescue_SDExport'!Z:Z)</f>
        <v>SysML1.4::InterfaceBlock</v>
      </c>
      <c r="AA123" t="str">
        <f>_xlfn.XLOOKUP($A123,InterfaceRegister!$A:$A,InterfaceRegister!B:B)</f>
        <v>005OP-0000-013 Cimplicity|855DC-1541-ECL-002 Online Security Constrained Unit Commitment (SCUC)</v>
      </c>
      <c r="AB123" t="str">
        <f>_xlfn.XLOOKUP($A123,InterfaceRegister!$A:$A,InterfaceRegister!C:C)</f>
        <v/>
      </c>
      <c r="AC123" t="str">
        <f>_xlfn.XLOOKUP($A123,InterfaceRegister!$A:$A,InterfaceRegister!D:D)</f>
        <v/>
      </c>
      <c r="AD123" t="str">
        <f>_xlfn.XLOOKUP($A123,InterfaceRegister!$A:$A,InterfaceRegister!E:E)</f>
        <v>Project - Subsystem Interface</v>
      </c>
      <c r="AE123" t="str">
        <f>_xlfn.XLOOKUP($A123,InterfaceRegister!$A:$A,InterfaceRegister!F:F)</f>
        <v>Technical-Data/Software</v>
      </c>
      <c r="AF123" t="str">
        <f>_xlfn.XLOOKUP($A123,InterfaceRegister!$A:$A,InterfaceRegister!L:L)</f>
        <v>This interface feeds supervisory control and monitoring data from Cimplicity into SCUC to support informed energy scheduling decisions.</v>
      </c>
      <c r="AG123" t="str">
        <f>_xlfn.XLOOKUP($A123,InterfaceRegister!$A:$A,InterfaceRegister!M:M)</f>
        <v>MEDIUM</v>
      </c>
      <c r="AH123" t="str">
        <f>_xlfn.XLOOKUP($A123,InterfaceRegister!$A:$A,InterfaceRegister!O:O)</f>
        <v>Data Flow: SCUC -&gt; Cimplicity  (supervisory monitoring data, generation status, load measurements, alarms, operational constraints) to support energy scheduling and unit commitment decisions.</v>
      </c>
      <c r="AI123" t="str">
        <f>_xlfn.XLOOKUP($A123,InterfaceRegister!$A:$A,InterfaceRegister!N:N)</f>
        <v>The criticality level is MEDIUM because SCUC can operate with reduced accuracy, but a higher risk of selecting suboptimal unit commitments exists. This interface enhances situational awareness, but redundancy prevents a complete operational shutdown.</v>
      </c>
      <c r="AJ123" t="str">
        <f>_xlfn.XLOOKUP($A123,'EA-Fortescue_SDExport'!$A:$A,'EA-Fortescue_SDExport'!AX:AX)</f>
        <v>CSVC8FD918D</v>
      </c>
      <c r="AK123">
        <f>_xlfn.XLOOKUP($A123,'EA-Fortescue_SDExport'!$A:$A,'EA-Fortescue_SDExport'!AY:AY)</f>
        <v>0</v>
      </c>
    </row>
    <row r="124" spans="1:37" x14ac:dyDescent="0.25">
      <c r="A124" t="str">
        <v>DGS-I_0123</v>
      </c>
      <c r="B124" t="str">
        <f>_xlfn.XLOOKUP($A124,'EA-Fortescue_SDExport'!$A:$A,'EA-Fortescue_SDExport'!B:B)</f>
        <v>Class</v>
      </c>
      <c r="C124" t="str">
        <f>_xlfn.XLOOKUP($A124,'EA-Fortescue_SDExport'!$A:$A,'EA-Fortescue_SDExport'!C:C)</f>
        <v>{128208BD-2F9E-4e05-A0B8-002234685A33}</v>
      </c>
      <c r="D124" t="str">
        <f>_xlfn.LET(_xlpm.result, _xlfn.XLOOKUP($A124,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NH 18/02/2026: Fields updated: Interface Type, Interface Description (Interface Purpose), Interface Criticality, Interface Criticality Explanation, Interface Flow.</v>
      </c>
      <c r="E124">
        <f>_xlfn.XLOOKUP($A124,'EA-Fortescue_SDExport'!$A:$A,'EA-Fortescue_SDExport'!E:E)</f>
        <v>1</v>
      </c>
      <c r="F124">
        <f>_xlfn.XLOOKUP($A124,'EA-Fortescue_SDExport'!$A:$A,'EA-Fortescue_SDExport'!F:F)</f>
        <v>1</v>
      </c>
      <c r="G124">
        <f>_xlfn.XLOOKUP($A124,'EA-Fortescue_SDExport'!$A:$A,'EA-Fortescue_SDExport'!G:G)</f>
        <v>0</v>
      </c>
      <c r="H124" t="str">
        <f>_xlfn.XLOOKUP($A124,'EA-Fortescue_SDExport'!$A:$A,'EA-Fortescue_SDExport'!H:H)</f>
        <v>InterfaceBlock</v>
      </c>
      <c r="I124" t="str">
        <f>_xlfn.XLOOKUP($A124,'EA-Fortescue_SDExport'!$A:$A,'EA-Fortescue_SDExport'!I:I)</f>
        <v>SysML1.4::InterfaceBlock</v>
      </c>
      <c r="J124" t="str">
        <f>_xlfn.XLOOKUP($A124,'EA-Fortescue_SDExport'!$A:$A,'EA-Fortescue_SDExport'!J:J)</f>
        <v>Java</v>
      </c>
      <c r="K124" t="str">
        <f>_xlfn.XLOOKUP($A124,'EA-Fortescue_SDExport'!$A:$A,'EA-Fortescue_SDExport'!K:K)</f>
        <v>Admin</v>
      </c>
      <c r="L124" t="str">
        <f>_xlfn.XLOOKUP($A124,'EA-Fortescue_SDExport'!$A:$A,'EA-Fortescue_SDExport'!L:L)</f>
        <v>Public</v>
      </c>
      <c r="M124">
        <f>_xlfn.XLOOKUP($A124,'EA-Fortescue_SDExport'!$A:$A,'EA-Fortescue_SDExport'!M:M)</f>
        <v>0</v>
      </c>
      <c r="N124" t="str">
        <f>_xlfn.XLOOKUP($A124,InterfaceRegister!$A:$A,InterfaceRegister!K:K)</f>
        <v>Proposed</v>
      </c>
      <c r="O124">
        <f>_xlfn.XLOOKUP($A124,'EA-Fortescue_SDExport'!$A:$A,'EA-Fortescue_SDExport'!O:O)</f>
        <v>1</v>
      </c>
      <c r="P124">
        <f>_xlfn.XLOOKUP($A124,'EA-Fortescue_SDExport'!$A:$A,'EA-Fortescue_SDExport'!P:P)</f>
        <v>0</v>
      </c>
      <c r="Q124">
        <f>_xlfn.XLOOKUP($A124,'EA-Fortescue_SDExport'!$A:$A,'EA-Fortescue_SDExport'!Q:Q)</f>
        <v>0</v>
      </c>
      <c r="R124">
        <f>_xlfn.XLOOKUP($A124,'EA-Fortescue_SDExport'!$A:$A,'EA-Fortescue_SDExport'!R:R)</f>
        <v>0</v>
      </c>
      <c r="S124">
        <f>_xlfn.XLOOKUP($A124,'EA-Fortescue_SDExport'!$A:$A,'EA-Fortescue_SDExport'!S:S)</f>
        <v>0</v>
      </c>
      <c r="T124">
        <f>_xlfn.XLOOKUP($A124,'EA-Fortescue_SDExport'!$A:$A,'EA-Fortescue_SDExport'!T:T)</f>
        <v>0</v>
      </c>
      <c r="U124">
        <f>_xlfn.XLOOKUP($A124,'EA-Fortescue_SDExport'!$A:$A,'EA-Fortescue_SDExport'!U:U)</f>
        <v>45896.789166666669</v>
      </c>
      <c r="V124">
        <f>_xlfn.XLOOKUP($A124,'EA-Fortescue_SDExport'!$A:$A,'EA-Fortescue_SDExport'!V:V)</f>
        <v>46071.946921296294</v>
      </c>
      <c r="W124">
        <f>_xlfn.XLOOKUP($A124,'EA-Fortescue_SDExport'!$A:$A,'EA-Fortescue_SDExport'!W:W)</f>
        <v>0</v>
      </c>
      <c r="X124">
        <f>_xlfn.XLOOKUP($A124,'EA-Fortescue_SDExport'!$A:$A,'EA-Fortescue_SDExport'!X:X)</f>
        <v>0</v>
      </c>
      <c r="Y124">
        <f>_xlfn.XLOOKUP($A124,'EA-Fortescue_SDExport'!$A:$A,'EA-Fortescue_SDExport'!Y:Y)</f>
        <v>0</v>
      </c>
      <c r="Z124" t="str">
        <f>_xlfn.XLOOKUP($A124,'EA-Fortescue_SDExport'!$A:$A,'EA-Fortescue_SDExport'!Z:Z)</f>
        <v>SysML1.4::InterfaceBlock</v>
      </c>
      <c r="AA124" t="str">
        <f>_xlfn.XLOOKUP($A124,InterfaceRegister!$A:$A,InterfaceRegister!B:B)</f>
        <v>855DC-1543-PPC Pit Power Capacity Planning Tool - Capacity Check|005OP-0000-004-002 Alastri Production Scheduler (APS) / Alastri Tactical Scheduler (ATS)</v>
      </c>
      <c r="AB124" t="str">
        <f>_xlfn.XLOOKUP($A124,InterfaceRegister!$A:$A,InterfaceRegister!C:C)</f>
        <v/>
      </c>
      <c r="AC124" t="str">
        <f>_xlfn.XLOOKUP($A124,InterfaceRegister!$A:$A,InterfaceRegister!D:D)</f>
        <v/>
      </c>
      <c r="AD124" t="str">
        <f>_xlfn.XLOOKUP($A124,InterfaceRegister!$A:$A,InterfaceRegister!E:E)</f>
        <v>Project - Subsystem Interface</v>
      </c>
      <c r="AE124" t="str">
        <f>_xlfn.XLOOKUP($A124,InterfaceRegister!$A:$A,InterfaceRegister!F:F)</f>
        <v>Technical - Data/Software</v>
      </c>
      <c r="AF124" t="str">
        <f>_xlfn.XLOOKUP($A124,InterfaceRegister!$A:$A,InterfaceRegister!L:L)</f>
        <v>This interface provides the Alastri Production Scheduler (APS) and Alastri Tactical Scheduler (ATS) with electrical load, peak demand, and network capacity data from the Pit Power Capacity Planning Tool - Capacity Check. APS/ATS uses this information to schedule production activities and sequences that remain within available pit power limits. This interface is read-only and does not control the Pit Power Capacity Planning Tool - Capacity Check.</v>
      </c>
      <c r="AG124" t="str">
        <f>_xlfn.XLOOKUP($A124,InterfaceRegister!$A:$A,InterfaceRegister!M:M)</f>
        <v>HIGH</v>
      </c>
      <c r="AH124" t="str">
        <f>_xlfn.XLOOKUP($A124,InterfaceRegister!$A:$A,InterfaceRegister!O:O)</f>
        <v>Pit Power Capacity Planning Tool - Capacity Check -&gt; APS/ATS</v>
      </c>
      <c r="AI124" t="str">
        <f>_xlfn.XLOOKUP($A124,InterfaceRegister!$A:$A,InterfaceRegister!N:N)</f>
        <v>The criticality is HIGH because accurate power and load information is essential for APS/ATS to plan production without exceeding network capacity. Inaccurate or missing data could lead to unsafe operating conditions or production interruptions.</v>
      </c>
      <c r="AJ124" t="str">
        <f>_xlfn.XLOOKUP($A124,'EA-Fortescue_SDExport'!$A:$A,'EA-Fortescue_SDExport'!AX:AX)</f>
        <v>CSVC5A98FC7</v>
      </c>
      <c r="AK124">
        <f>_xlfn.XLOOKUP($A124,'EA-Fortescue_SDExport'!$A:$A,'EA-Fortescue_SDExport'!AY:AY)</f>
        <v>0</v>
      </c>
    </row>
    <row r="125" spans="1:37" x14ac:dyDescent="0.25">
      <c r="A125" t="str">
        <v>DGS-I_0124</v>
      </c>
      <c r="B125" t="str">
        <f>_xlfn.XLOOKUP($A125,'EA-Fortescue_SDExport'!$A:$A,'EA-Fortescue_SDExport'!B:B)</f>
        <v>Class</v>
      </c>
      <c r="C125" t="str">
        <f>_xlfn.XLOOKUP($A125,'EA-Fortescue_SDExport'!$A:$A,'EA-Fortescue_SDExport'!C:C)</f>
        <v>{05D8FF55-4CBF-493d-B872-6ECFCA8741EB}</v>
      </c>
      <c r="D125" t="str">
        <f>_xlfn.LET(_xlpm.result, _xlfn.XLOOKUP($A125,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DocStack-SAComparison_Delphi 18/02/2026: APS and ATS to be combined - Interface deleted.</v>
      </c>
      <c r="E125">
        <f>_xlfn.XLOOKUP($A125,'EA-Fortescue_SDExport'!$A:$A,'EA-Fortescue_SDExport'!E:E)</f>
        <v>1</v>
      </c>
      <c r="F125">
        <f>_xlfn.XLOOKUP($A125,'EA-Fortescue_SDExport'!$A:$A,'EA-Fortescue_SDExport'!F:F)</f>
        <v>1</v>
      </c>
      <c r="G125">
        <f>_xlfn.XLOOKUP($A125,'EA-Fortescue_SDExport'!$A:$A,'EA-Fortescue_SDExport'!G:G)</f>
        <v>0</v>
      </c>
      <c r="H125" t="str">
        <f>_xlfn.XLOOKUP($A125,'EA-Fortescue_SDExport'!$A:$A,'EA-Fortescue_SDExport'!H:H)</f>
        <v>InterfaceBlock</v>
      </c>
      <c r="I125" t="str">
        <f>_xlfn.XLOOKUP($A125,'EA-Fortescue_SDExport'!$A:$A,'EA-Fortescue_SDExport'!I:I)</f>
        <v>SysML1.4::InterfaceBlock</v>
      </c>
      <c r="J125" t="str">
        <f>_xlfn.XLOOKUP($A125,'EA-Fortescue_SDExport'!$A:$A,'EA-Fortescue_SDExport'!J:J)</f>
        <v>Java</v>
      </c>
      <c r="K125" t="str">
        <f>_xlfn.XLOOKUP($A125,'EA-Fortescue_SDExport'!$A:$A,'EA-Fortescue_SDExport'!K:K)</f>
        <v>Admin</v>
      </c>
      <c r="L125" t="str">
        <f>_xlfn.XLOOKUP($A125,'EA-Fortescue_SDExport'!$A:$A,'EA-Fortescue_SDExport'!L:L)</f>
        <v>Public</v>
      </c>
      <c r="M125">
        <f>_xlfn.XLOOKUP($A125,'EA-Fortescue_SDExport'!$A:$A,'EA-Fortescue_SDExport'!M:M)</f>
        <v>0</v>
      </c>
      <c r="N125" t="str">
        <f>_xlfn.XLOOKUP($A125,InterfaceRegister!$A:$A,InterfaceRegister!K:K)</f>
        <v>Deleted</v>
      </c>
      <c r="O125">
        <f>_xlfn.XLOOKUP($A125,'EA-Fortescue_SDExport'!$A:$A,'EA-Fortescue_SDExport'!O:O)</f>
        <v>1</v>
      </c>
      <c r="P125">
        <f>_xlfn.XLOOKUP($A125,'EA-Fortescue_SDExport'!$A:$A,'EA-Fortescue_SDExport'!P:P)</f>
        <v>0</v>
      </c>
      <c r="Q125">
        <f>_xlfn.XLOOKUP($A125,'EA-Fortescue_SDExport'!$A:$A,'EA-Fortescue_SDExport'!Q:Q)</f>
        <v>0</v>
      </c>
      <c r="R125">
        <f>_xlfn.XLOOKUP($A125,'EA-Fortescue_SDExport'!$A:$A,'EA-Fortescue_SDExport'!R:R)</f>
        <v>0</v>
      </c>
      <c r="S125">
        <f>_xlfn.XLOOKUP($A125,'EA-Fortescue_SDExport'!$A:$A,'EA-Fortescue_SDExport'!S:S)</f>
        <v>0</v>
      </c>
      <c r="T125">
        <f>_xlfn.XLOOKUP($A125,'EA-Fortescue_SDExport'!$A:$A,'EA-Fortescue_SDExport'!T:T)</f>
        <v>0</v>
      </c>
      <c r="U125">
        <f>_xlfn.XLOOKUP($A125,'EA-Fortescue_SDExport'!$A:$A,'EA-Fortescue_SDExport'!U:U)</f>
        <v>45896.788634259261</v>
      </c>
      <c r="V125">
        <f>_xlfn.XLOOKUP($A125,'EA-Fortescue_SDExport'!$A:$A,'EA-Fortescue_SDExport'!V:V)</f>
        <v>46071.947685185187</v>
      </c>
      <c r="W125">
        <f>_xlfn.XLOOKUP($A125,'EA-Fortescue_SDExport'!$A:$A,'EA-Fortescue_SDExport'!W:W)</f>
        <v>0</v>
      </c>
      <c r="X125">
        <f>_xlfn.XLOOKUP($A125,'EA-Fortescue_SDExport'!$A:$A,'EA-Fortescue_SDExport'!X:X)</f>
        <v>0</v>
      </c>
      <c r="Y125">
        <f>_xlfn.XLOOKUP($A125,'EA-Fortescue_SDExport'!$A:$A,'EA-Fortescue_SDExport'!Y:Y)</f>
        <v>0</v>
      </c>
      <c r="Z125" t="str">
        <f>_xlfn.XLOOKUP($A125,'EA-Fortescue_SDExport'!$A:$A,'EA-Fortescue_SDExport'!Z:Z)</f>
        <v>SysML1.4::InterfaceBlock</v>
      </c>
      <c r="AA125" t="str">
        <f>_xlfn.XLOOKUP($A125,InterfaceRegister!$A:$A,InterfaceRegister!B:B)</f>
        <v>855DC-1543-PPC Pit Power Capacity Planning Tool - Capacity Check|Archive - 005OP-0000-004-003 Alastri Tactical Scheduler (ATS)</v>
      </c>
      <c r="AB125" t="str">
        <f>_xlfn.XLOOKUP($A125,InterfaceRegister!$A:$A,InterfaceRegister!C:C)</f>
        <v/>
      </c>
      <c r="AC125" t="str">
        <f>_xlfn.XLOOKUP($A125,InterfaceRegister!$A:$A,InterfaceRegister!D:D)</f>
        <v/>
      </c>
      <c r="AD125" t="str">
        <f>_xlfn.XLOOKUP($A125,InterfaceRegister!$A:$A,InterfaceRegister!E:E)</f>
        <v>Project - Subsystem Interface</v>
      </c>
      <c r="AE125" t="str">
        <f>_xlfn.XLOOKUP($A125,InterfaceRegister!$A:$A,InterfaceRegister!F:F)</f>
        <v/>
      </c>
      <c r="AF125" t="str">
        <f>_xlfn.XLOOKUP($A125,InterfaceRegister!$A:$A,InterfaceRegister!L:L)</f>
        <v/>
      </c>
      <c r="AG125" t="str">
        <f>_xlfn.XLOOKUP($A125,InterfaceRegister!$A:$A,InterfaceRegister!M:M)</f>
        <v/>
      </c>
      <c r="AH125" t="str">
        <f>_xlfn.XLOOKUP($A125,InterfaceRegister!$A:$A,InterfaceRegister!O:O)</f>
        <v/>
      </c>
      <c r="AI125" t="str">
        <f>_xlfn.XLOOKUP($A125,InterfaceRegister!$A:$A,InterfaceRegister!N:N)</f>
        <v/>
      </c>
      <c r="AJ125" t="str">
        <f>_xlfn.XLOOKUP($A125,'EA-Fortescue_SDExport'!$A:$A,'EA-Fortescue_SDExport'!AX:AX)</f>
        <v>CSVC0DACB7E</v>
      </c>
      <c r="AK125">
        <f>_xlfn.XLOOKUP($A125,'EA-Fortescue_SDExport'!$A:$A,'EA-Fortescue_SDExport'!AY:AY)</f>
        <v>0</v>
      </c>
    </row>
    <row r="126" spans="1:37" x14ac:dyDescent="0.25">
      <c r="A126" t="str">
        <v>DGS-I_0125</v>
      </c>
      <c r="B126" t="str">
        <f>_xlfn.XLOOKUP($A126,'EA-Fortescue_SDExport'!$A:$A,'EA-Fortescue_SDExport'!B:B)</f>
        <v>Class</v>
      </c>
      <c r="C126" t="str">
        <f>_xlfn.XLOOKUP($A126,'EA-Fortescue_SDExport'!$A:$A,'EA-Fortescue_SDExport'!C:C)</f>
        <v>{443AE9B3-6434-4813-9B00-BC8C083F7015}</v>
      </c>
      <c r="D126" t="str">
        <f>_xlfn.LET(_xlpm.result, _xlfn.XLOOKUP($A126, InterfaceRegister!$A:$A, InterfaceRegister!P:P), IF(_xlpm.result=0, "", _xlpm.result))</f>
        <v>NH 20/02/2026: Fields updated: Interface Type, Interface Flow.</v>
      </c>
      <c r="E126">
        <f>_xlfn.XLOOKUP($A126,'EA-Fortescue_SDExport'!$A:$A,'EA-Fortescue_SDExport'!E:E)</f>
        <v>1</v>
      </c>
      <c r="F126">
        <f>_xlfn.XLOOKUP($A126,'EA-Fortescue_SDExport'!$A:$A,'EA-Fortescue_SDExport'!F:F)</f>
        <v>1</v>
      </c>
      <c r="G126">
        <f>_xlfn.XLOOKUP($A126,'EA-Fortescue_SDExport'!$A:$A,'EA-Fortescue_SDExport'!G:G)</f>
        <v>0</v>
      </c>
      <c r="H126" t="str">
        <f>_xlfn.XLOOKUP($A126,'EA-Fortescue_SDExport'!$A:$A,'EA-Fortescue_SDExport'!H:H)</f>
        <v>InterfaceBlock</v>
      </c>
      <c r="I126" t="str">
        <f>_xlfn.XLOOKUP($A126,'EA-Fortescue_SDExport'!$A:$A,'EA-Fortescue_SDExport'!I:I)</f>
        <v>SysML1.4::InterfaceBlock</v>
      </c>
      <c r="J126" t="str">
        <f>_xlfn.XLOOKUP($A126,'EA-Fortescue_SDExport'!$A:$A,'EA-Fortescue_SDExport'!J:J)</f>
        <v>Java</v>
      </c>
      <c r="K126" t="str">
        <f>_xlfn.XLOOKUP($A126,'EA-Fortescue_SDExport'!$A:$A,'EA-Fortescue_SDExport'!K:K)</f>
        <v>Admin</v>
      </c>
      <c r="L126" t="str">
        <f>_xlfn.XLOOKUP($A126,'EA-Fortescue_SDExport'!$A:$A,'EA-Fortescue_SDExport'!L:L)</f>
        <v>Public</v>
      </c>
      <c r="M126">
        <f>_xlfn.XLOOKUP($A126,'EA-Fortescue_SDExport'!$A:$A,'EA-Fortescue_SDExport'!M:M)</f>
        <v>0</v>
      </c>
      <c r="N126" t="str">
        <f>_xlfn.XLOOKUP($A126,InterfaceRegister!$A:$A,InterfaceRegister!K:K)</f>
        <v>Proposed</v>
      </c>
      <c r="O126">
        <f>_xlfn.XLOOKUP($A126,'EA-Fortescue_SDExport'!$A:$A,'EA-Fortescue_SDExport'!O:O)</f>
        <v>1</v>
      </c>
      <c r="P126">
        <f>_xlfn.XLOOKUP($A126,'EA-Fortescue_SDExport'!$A:$A,'EA-Fortescue_SDExport'!P:P)</f>
        <v>0</v>
      </c>
      <c r="Q126">
        <f>_xlfn.XLOOKUP($A126,'EA-Fortescue_SDExport'!$A:$A,'EA-Fortescue_SDExport'!Q:Q)</f>
        <v>0</v>
      </c>
      <c r="R126">
        <f>_xlfn.XLOOKUP($A126,'EA-Fortescue_SDExport'!$A:$A,'EA-Fortescue_SDExport'!R:R)</f>
        <v>0</v>
      </c>
      <c r="S126">
        <f>_xlfn.XLOOKUP($A126,'EA-Fortescue_SDExport'!$A:$A,'EA-Fortescue_SDExport'!S:S)</f>
        <v>0</v>
      </c>
      <c r="T126">
        <f>_xlfn.XLOOKUP($A126,'EA-Fortescue_SDExport'!$A:$A,'EA-Fortescue_SDExport'!T:T)</f>
        <v>0</v>
      </c>
      <c r="U126">
        <f>_xlfn.XLOOKUP($A126,'EA-Fortescue_SDExport'!$A:$A,'EA-Fortescue_SDExport'!U:U)</f>
        <v>45946.577835648146</v>
      </c>
      <c r="V126">
        <f>_xlfn.XLOOKUP($A126,'EA-Fortescue_SDExport'!$A:$A,'EA-Fortescue_SDExport'!V:V)</f>
        <v>46077.993217592593</v>
      </c>
      <c r="W126">
        <f>_xlfn.XLOOKUP($A126,'EA-Fortescue_SDExport'!$A:$A,'EA-Fortescue_SDExport'!W:W)</f>
        <v>0</v>
      </c>
      <c r="X126">
        <f>_xlfn.XLOOKUP($A126,'EA-Fortescue_SDExport'!$A:$A,'EA-Fortescue_SDExport'!X:X)</f>
        <v>0</v>
      </c>
      <c r="Y126">
        <f>_xlfn.XLOOKUP($A126,'EA-Fortescue_SDExport'!$A:$A,'EA-Fortescue_SDExport'!Y:Y)</f>
        <v>0</v>
      </c>
      <c r="Z126" t="str">
        <f>_xlfn.XLOOKUP($A126,'EA-Fortescue_SDExport'!$A:$A,'EA-Fortescue_SDExport'!Z:Z)</f>
        <v>SysML1.4::InterfaceBlock</v>
      </c>
      <c r="AA126" t="str">
        <f>_xlfn.XLOOKUP($A126,InterfaceRegister!$A:$A,InterfaceRegister!B:B)</f>
        <v>850DC-1512-0001 HME Chargers - Gen1|859DC-1410-001-001 HaulX Dispatch (Fleet Management System (FMS))</v>
      </c>
      <c r="AB126" t="str">
        <f>_xlfn.XLOOKUP($A126,InterfaceRegister!$A:$A,InterfaceRegister!C:C)</f>
        <v/>
      </c>
      <c r="AC126" t="str">
        <f>_xlfn.XLOOKUP($A126,InterfaceRegister!$A:$A,InterfaceRegister!D:D)</f>
        <v/>
      </c>
      <c r="AD126" t="str">
        <f>_xlfn.XLOOKUP($A126,InterfaceRegister!$A:$A,InterfaceRegister!E:E)</f>
        <v>Project - Subsystem Interface</v>
      </c>
      <c r="AE126" t="str">
        <f>_xlfn.XLOOKUP($A126,InterfaceRegister!$A:$A,InterfaceRegister!F:F)</f>
        <v>Technical-Data/Software</v>
      </c>
      <c r="AF126" t="str">
        <f>_xlfn.XLOOKUP($A126,InterfaceRegister!$A:$A,InterfaceRegister!L:L)</f>
        <v>This interface allows HaulX Dispatch to receive charger availability, status, and capacity information from HME Chargers, enabling the fleet management system to schedule haul trucks for charging at the right time.</v>
      </c>
      <c r="AG126" t="str">
        <f>_xlfn.XLOOKUP($A126,InterfaceRegister!$A:$A,InterfaceRegister!M:M)</f>
        <v>MEDIUM</v>
      </c>
      <c r="AH126" t="str">
        <f>_xlfn.XLOOKUP($A126,InterfaceRegister!$A:$A,InterfaceRegister!O:O)</f>
        <v>Data Flow: HME Chargers -&gt; HaulX Dispatch (charger availability, operational status, capacity, state of charge progress, fault alarms) to enable optimised charge scheduling and fleet coordination.</v>
      </c>
      <c r="AI126" t="str">
        <f>_xlfn.XLOOKUP($A126,InterfaceRegister!$A:$A,InterfaceRegister!N:N)</f>
        <v>The criticality level is MEDIUM because losing this interface disrupts optimal charge planning, causing queueing and lower productivity. Failure may result in efficiency losses, but not a complete operational stoppage.</v>
      </c>
      <c r="AJ126" t="str">
        <f>_xlfn.XLOOKUP($A126,'EA-Fortescue_SDExport'!$A:$A,'EA-Fortescue_SDExport'!AX:AX)</f>
        <v>CSV32AD220F</v>
      </c>
      <c r="AK126">
        <f>_xlfn.XLOOKUP($A126,'EA-Fortescue_SDExport'!$A:$A,'EA-Fortescue_SDExport'!AY:AY)</f>
        <v>0</v>
      </c>
    </row>
    <row r="127" spans="1:37" x14ac:dyDescent="0.25">
      <c r="A127" t="str">
        <v>DGS-I_0126</v>
      </c>
      <c r="B127" t="str">
        <f>_xlfn.XLOOKUP($A127,'EA-Fortescue_SDExport'!$A:$A,'EA-Fortescue_SDExport'!B:B)</f>
        <v>Class</v>
      </c>
      <c r="C127" t="str">
        <f>_xlfn.XLOOKUP($A127,'EA-Fortescue_SDExport'!$A:$A,'EA-Fortescue_SDExport'!C:C)</f>
        <v>{7D6D9A6B-AB98-42ca-9B53-3E01E122738F}</v>
      </c>
      <c r="D127" t="str">
        <f>_xlfn.LET(_xlpm.result, _xlfn.XLOOKUP($A127, InterfaceRegister!$A:$A, InterfaceRegister!P:P), IF(_xlpm.result=0, "", _xlpm.result))</f>
        <v>NH 20/02/2026: Fields updated: Interface Type, Interface Flow.</v>
      </c>
      <c r="E127">
        <f>_xlfn.XLOOKUP($A127,'EA-Fortescue_SDExport'!$A:$A,'EA-Fortescue_SDExport'!E:E)</f>
        <v>1</v>
      </c>
      <c r="F127">
        <f>_xlfn.XLOOKUP($A127,'EA-Fortescue_SDExport'!$A:$A,'EA-Fortescue_SDExport'!F:F)</f>
        <v>1</v>
      </c>
      <c r="G127">
        <f>_xlfn.XLOOKUP($A127,'EA-Fortescue_SDExport'!$A:$A,'EA-Fortescue_SDExport'!G:G)</f>
        <v>0</v>
      </c>
      <c r="H127" t="str">
        <f>_xlfn.XLOOKUP($A127,'EA-Fortescue_SDExport'!$A:$A,'EA-Fortescue_SDExport'!H:H)</f>
        <v>InterfaceBlock</v>
      </c>
      <c r="I127" t="str">
        <f>_xlfn.XLOOKUP($A127,'EA-Fortescue_SDExport'!$A:$A,'EA-Fortescue_SDExport'!I:I)</f>
        <v>SysML1.4::InterfaceBlock</v>
      </c>
      <c r="J127" t="str">
        <f>_xlfn.XLOOKUP($A127,'EA-Fortescue_SDExport'!$A:$A,'EA-Fortescue_SDExport'!J:J)</f>
        <v>Java</v>
      </c>
      <c r="K127" t="str">
        <f>_xlfn.XLOOKUP($A127,'EA-Fortescue_SDExport'!$A:$A,'EA-Fortescue_SDExport'!K:K)</f>
        <v>Admin</v>
      </c>
      <c r="L127" t="str">
        <f>_xlfn.XLOOKUP($A127,'EA-Fortescue_SDExport'!$A:$A,'EA-Fortescue_SDExport'!L:L)</f>
        <v>Public</v>
      </c>
      <c r="M127">
        <f>_xlfn.XLOOKUP($A127,'EA-Fortescue_SDExport'!$A:$A,'EA-Fortescue_SDExport'!M:M)</f>
        <v>0</v>
      </c>
      <c r="N127" t="str">
        <f>_xlfn.XLOOKUP($A127,InterfaceRegister!$A:$A,InterfaceRegister!K:K)</f>
        <v>Proposed</v>
      </c>
      <c r="O127">
        <f>_xlfn.XLOOKUP($A127,'EA-Fortescue_SDExport'!$A:$A,'EA-Fortescue_SDExport'!O:O)</f>
        <v>1</v>
      </c>
      <c r="P127">
        <f>_xlfn.XLOOKUP($A127,'EA-Fortescue_SDExport'!$A:$A,'EA-Fortescue_SDExport'!P:P)</f>
        <v>0</v>
      </c>
      <c r="Q127">
        <f>_xlfn.XLOOKUP($A127,'EA-Fortescue_SDExport'!$A:$A,'EA-Fortescue_SDExport'!Q:Q)</f>
        <v>0</v>
      </c>
      <c r="R127">
        <f>_xlfn.XLOOKUP($A127,'EA-Fortescue_SDExport'!$A:$A,'EA-Fortescue_SDExport'!R:R)</f>
        <v>0</v>
      </c>
      <c r="S127">
        <f>_xlfn.XLOOKUP($A127,'EA-Fortescue_SDExport'!$A:$A,'EA-Fortescue_SDExport'!S:S)</f>
        <v>0</v>
      </c>
      <c r="T127">
        <f>_xlfn.XLOOKUP($A127,'EA-Fortescue_SDExport'!$A:$A,'EA-Fortescue_SDExport'!T:T)</f>
        <v>0</v>
      </c>
      <c r="U127">
        <f>_xlfn.XLOOKUP($A127,'EA-Fortescue_SDExport'!$A:$A,'EA-Fortescue_SDExport'!U:U)</f>
        <v>45895.764999999999</v>
      </c>
      <c r="V127">
        <f>_xlfn.XLOOKUP($A127,'EA-Fortescue_SDExport'!$A:$A,'EA-Fortescue_SDExport'!V:V)</f>
        <v>46077.993217592593</v>
      </c>
      <c r="W127">
        <f>_xlfn.XLOOKUP($A127,'EA-Fortescue_SDExport'!$A:$A,'EA-Fortescue_SDExport'!W:W)</f>
        <v>0</v>
      </c>
      <c r="X127">
        <f>_xlfn.XLOOKUP($A127,'EA-Fortescue_SDExport'!$A:$A,'EA-Fortescue_SDExport'!X:X)</f>
        <v>0</v>
      </c>
      <c r="Y127">
        <f>_xlfn.XLOOKUP($A127,'EA-Fortescue_SDExport'!$A:$A,'EA-Fortescue_SDExport'!Y:Y)</f>
        <v>0</v>
      </c>
      <c r="Z127" t="str">
        <f>_xlfn.XLOOKUP($A127,'EA-Fortescue_SDExport'!$A:$A,'EA-Fortescue_SDExport'!Z:Z)</f>
        <v>SysML1.4::InterfaceBlock</v>
      </c>
      <c r="AA127" t="str">
        <f>_xlfn.XLOOKUP($A127,InterfaceRegister!$A:$A,InterfaceRegister!B:B)</f>
        <v>855DC-1541-ECL-002 Online Security Constrained Unit Commitment (SCUC)|003OP-1800 Gas pipeline</v>
      </c>
      <c r="AB127" t="str">
        <f>_xlfn.XLOOKUP($A127,InterfaceRegister!$A:$A,InterfaceRegister!C:C)</f>
        <v/>
      </c>
      <c r="AC127" t="str">
        <f>_xlfn.XLOOKUP($A127,InterfaceRegister!$A:$A,InterfaceRegister!D:D)</f>
        <v/>
      </c>
      <c r="AD127" t="str">
        <f>_xlfn.XLOOKUP($A127,InterfaceRegister!$A:$A,InterfaceRegister!E:E)</f>
        <v>System - Subsystem Interface</v>
      </c>
      <c r="AE127" t="str">
        <f>_xlfn.XLOOKUP($A127,InterfaceRegister!$A:$A,InterfaceRegister!F:F)</f>
        <v>Technical-Data/Software</v>
      </c>
      <c r="AF127" t="str">
        <f>_xlfn.XLOOKUP($A127,InterfaceRegister!$A:$A,InterfaceRegister!L:L)</f>
        <v>This interface provides SCUC with gas supply constraints, pipeline capacity, and availability information to support generation dispatch decisions.</v>
      </c>
      <c r="AG127" t="str">
        <f>_xlfn.XLOOKUP($A127,InterfaceRegister!$A:$A,InterfaceRegister!M:M)</f>
        <v>HIGH</v>
      </c>
      <c r="AH127" t="str">
        <f>_xlfn.XLOOKUP($A127,InterfaceRegister!$A:$A,InterfaceRegister!O:O)</f>
        <v>Data Flow: Gas Pipeline -&gt; SCUC (ECL Eclipse) (gas supply availability, pipeline capacity limits, pressure constraints, maintenance outages, contractual limits, forecast availability) to inform generation dispatch and unit commitment decisions._x000D_
Primarily one-way constraint and availability data; operational control of the pipeline occurs via separate systems.</v>
      </c>
      <c r="AI127" t="str">
        <f>_xlfn.XLOOKUP($A127,InterfaceRegister!$A:$A,InterfaceRegister!N:N)</f>
        <v>The criticality level is HIGH because incorrect gas supply information can lead to overestimating gas-fired generation, which could destabilise the energy system and affect site operations, necessitating costly corrective measures.</v>
      </c>
      <c r="AJ127" t="str">
        <f>_xlfn.XLOOKUP($A127,'EA-Fortescue_SDExport'!$A:$A,'EA-Fortescue_SDExport'!AX:AX)</f>
        <v>CSVA2702B04</v>
      </c>
      <c r="AK127">
        <f>_xlfn.XLOOKUP($A127,'EA-Fortescue_SDExport'!$A:$A,'EA-Fortescue_SDExport'!AY:AY)</f>
        <v>0</v>
      </c>
    </row>
    <row r="128" spans="1:37" x14ac:dyDescent="0.25">
      <c r="A128" t="str">
        <v>DGS-I_0127</v>
      </c>
      <c r="B128" t="str">
        <f>_xlfn.XLOOKUP($A128,'EA-Fortescue_SDExport'!$A:$A,'EA-Fortescue_SDExport'!B:B)</f>
        <v>Class</v>
      </c>
      <c r="C128" t="str">
        <f>_xlfn.XLOOKUP($A128,'EA-Fortescue_SDExport'!$A:$A,'EA-Fortescue_SDExport'!C:C)</f>
        <v>{A9FEDB76-1F95-4cb7-BEDD-20AB0D3BC5E0}</v>
      </c>
      <c r="D128" t="str">
        <f>_xlfn.LET(_xlpm.result, _xlfn.XLOOKUP($A128, InterfaceRegister!$A:$A, InterfaceRegister!P:P), IF(_xlpm.result=0, "", _xlpm.result))</f>
        <v>NH 20/02/2026: Fields updated: Interface Type, Interface Criticality Explanation, Interface Flow.</v>
      </c>
      <c r="E128">
        <f>_xlfn.XLOOKUP($A128,'EA-Fortescue_SDExport'!$A:$A,'EA-Fortescue_SDExport'!E:E)</f>
        <v>1</v>
      </c>
      <c r="F128">
        <f>_xlfn.XLOOKUP($A128,'EA-Fortescue_SDExport'!$A:$A,'EA-Fortescue_SDExport'!F:F)</f>
        <v>1</v>
      </c>
      <c r="G128">
        <f>_xlfn.XLOOKUP($A128,'EA-Fortescue_SDExport'!$A:$A,'EA-Fortescue_SDExport'!G:G)</f>
        <v>0</v>
      </c>
      <c r="H128" t="str">
        <f>_xlfn.XLOOKUP($A128,'EA-Fortescue_SDExport'!$A:$A,'EA-Fortescue_SDExport'!H:H)</f>
        <v>InterfaceBlock</v>
      </c>
      <c r="I128" t="str">
        <f>_xlfn.XLOOKUP($A128,'EA-Fortescue_SDExport'!$A:$A,'EA-Fortescue_SDExport'!I:I)</f>
        <v>SysML1.4::InterfaceBlock</v>
      </c>
      <c r="J128" t="str">
        <f>_xlfn.XLOOKUP($A128,'EA-Fortescue_SDExport'!$A:$A,'EA-Fortescue_SDExport'!J:J)</f>
        <v>Java</v>
      </c>
      <c r="K128" t="str">
        <f>_xlfn.XLOOKUP($A128,'EA-Fortescue_SDExport'!$A:$A,'EA-Fortescue_SDExport'!K:K)</f>
        <v>Admin</v>
      </c>
      <c r="L128" t="str">
        <f>_xlfn.XLOOKUP($A128,'EA-Fortescue_SDExport'!$A:$A,'EA-Fortescue_SDExport'!L:L)</f>
        <v>Public</v>
      </c>
      <c r="M128">
        <f>_xlfn.XLOOKUP($A128,'EA-Fortescue_SDExport'!$A:$A,'EA-Fortescue_SDExport'!M:M)</f>
        <v>0</v>
      </c>
      <c r="N128" t="str">
        <f>_xlfn.XLOOKUP($A128,InterfaceRegister!$A:$A,InterfaceRegister!K:K)</f>
        <v>Proposed</v>
      </c>
      <c r="O128">
        <f>_xlfn.XLOOKUP($A128,'EA-Fortescue_SDExport'!$A:$A,'EA-Fortescue_SDExport'!O:O)</f>
        <v>1</v>
      </c>
      <c r="P128">
        <f>_xlfn.XLOOKUP($A128,'EA-Fortescue_SDExport'!$A:$A,'EA-Fortescue_SDExport'!P:P)</f>
        <v>0</v>
      </c>
      <c r="Q128">
        <f>_xlfn.XLOOKUP($A128,'EA-Fortescue_SDExport'!$A:$A,'EA-Fortescue_SDExport'!Q:Q)</f>
        <v>0</v>
      </c>
      <c r="R128">
        <f>_xlfn.XLOOKUP($A128,'EA-Fortescue_SDExport'!$A:$A,'EA-Fortescue_SDExport'!R:R)</f>
        <v>0</v>
      </c>
      <c r="S128">
        <f>_xlfn.XLOOKUP($A128,'EA-Fortescue_SDExport'!$A:$A,'EA-Fortescue_SDExport'!S:S)</f>
        <v>0</v>
      </c>
      <c r="T128">
        <f>_xlfn.XLOOKUP($A128,'EA-Fortescue_SDExport'!$A:$A,'EA-Fortescue_SDExport'!T:T)</f>
        <v>0</v>
      </c>
      <c r="U128">
        <f>_xlfn.XLOOKUP($A128,'EA-Fortescue_SDExport'!$A:$A,'EA-Fortescue_SDExport'!U:U)</f>
        <v>45953.909525462965</v>
      </c>
      <c r="V128">
        <f>_xlfn.XLOOKUP($A128,'EA-Fortescue_SDExport'!$A:$A,'EA-Fortescue_SDExport'!V:V)</f>
        <v>46077.993206018517</v>
      </c>
      <c r="W128">
        <f>_xlfn.XLOOKUP($A128,'EA-Fortescue_SDExport'!$A:$A,'EA-Fortescue_SDExport'!W:W)</f>
        <v>0</v>
      </c>
      <c r="X128">
        <f>_xlfn.XLOOKUP($A128,'EA-Fortescue_SDExport'!$A:$A,'EA-Fortescue_SDExport'!X:X)</f>
        <v>0</v>
      </c>
      <c r="Y128">
        <f>_xlfn.XLOOKUP($A128,'EA-Fortescue_SDExport'!$A:$A,'EA-Fortescue_SDExport'!Y:Y)</f>
        <v>0</v>
      </c>
      <c r="Z128" t="str">
        <f>_xlfn.XLOOKUP($A128,'EA-Fortescue_SDExport'!$A:$A,'EA-Fortescue_SDExport'!Z:Z)</f>
        <v>SysML1.4::InterfaceBlock</v>
      </c>
      <c r="AA128" t="str">
        <f>_xlfn.XLOOKUP($A128,InterfaceRegister!$A:$A,InterfaceRegister!B:B)</f>
        <v>Energy Operations (HIVE)|855DC-1541-ECL-002 Online Security Constrained Unit Commitment (SCUC)</v>
      </c>
      <c r="AB128" t="str">
        <f>_xlfn.XLOOKUP($A128,InterfaceRegister!$A:$A,InterfaceRegister!C:C)</f>
        <v/>
      </c>
      <c r="AC128" t="str">
        <f>_xlfn.XLOOKUP($A128,InterfaceRegister!$A:$A,InterfaceRegister!D:D)</f>
        <v/>
      </c>
      <c r="AD128" t="str">
        <f>_xlfn.XLOOKUP($A128,InterfaceRegister!$A:$A,InterfaceRegister!E:E)</f>
        <v>Stakeholder - Subsystem Interface</v>
      </c>
      <c r="AE128" t="str">
        <f>_xlfn.XLOOKUP($A128,InterfaceRegister!$A:$A,InterfaceRegister!F:F)</f>
        <v>Functional-Operational</v>
      </c>
      <c r="AF128" t="str">
        <f>_xlfn.XLOOKUP($A128,InterfaceRegister!$A:$A,InterfaceRegister!L:L)</f>
        <v>The purpose of this interface is to allow Energy Operations (EO) personnel to interact with Eclipse data to assist in short and long-term planning and predicting energy/power distribution across the network. It is a Human interface for decision-making, where the EO staff member makes a decision after analysing outputs from Eclipse and then controls power distribution through Monarch.</v>
      </c>
      <c r="AG128" t="str">
        <f>_xlfn.XLOOKUP($A128,InterfaceRegister!$A:$A,InterfaceRegister!M:M)</f>
        <v>HIGH</v>
      </c>
      <c r="AH128" t="str">
        <f>_xlfn.XLOOKUP($A128,InterfaceRegister!$A:$A,InterfaceRegister!O:O)</f>
        <v>Data Flow: ECL Eclipse -&gt; Energy Operations (EO) Users (optimisation outputs, dispatch schedules, load forecasts, constraint violations, scenario results, performance analytics) presented via user interface for analysis and decision-making._x000D_
Human-in-the-Loop Control: EO Users -&gt; Monarch (approved dispatch decisions, operational adjustments, scheduling overrides) executed through separate operational control interfaces.</v>
      </c>
      <c r="AI128" t="str">
        <f>_xlfn.XLOOKUP($A128,InterfaceRegister!$A:$A,InterfaceRegister!N:N)</f>
        <v>This interface is rated HIGH because Energy Operations relies on accurate and timely optimisation outputs from Eclipse to make safe and economically optimal dispatch decisions. Loss of access to planning data or scenario outputs may result in suboptimal scheduling, increased operational risk, inefficient fuel or storage utilisation, and potential network instability if decisions are made using outdated information. While physical control is exercised through Monarch, the quality and safety of those decisions depend heavily on this interface.</v>
      </c>
      <c r="AJ128" t="str">
        <f>_xlfn.XLOOKUP($A128,'EA-Fortescue_SDExport'!$A:$A,'EA-Fortescue_SDExport'!AX:AX)</f>
        <v>CSV551647EA</v>
      </c>
      <c r="AK128">
        <f>_xlfn.XLOOKUP($A128,'EA-Fortescue_SDExport'!$A:$A,'EA-Fortescue_SDExport'!AY:AY)</f>
        <v>0</v>
      </c>
    </row>
    <row r="129" spans="1:37" x14ac:dyDescent="0.25">
      <c r="A129" t="str">
        <v>DGS-I_0128</v>
      </c>
      <c r="B129" t="str">
        <f>_xlfn.XLOOKUP($A129,'EA-Fortescue_SDExport'!$A:$A,'EA-Fortescue_SDExport'!B:B)</f>
        <v>Class</v>
      </c>
      <c r="C129" t="str">
        <f>_xlfn.XLOOKUP($A129,'EA-Fortescue_SDExport'!$A:$A,'EA-Fortescue_SDExport'!C:C)</f>
        <v>{1F8698FC-34E3-4bfd-A9FE-9E50AF3F5390}</v>
      </c>
      <c r="D129" t="str">
        <f>_xlfn.LET(_xlpm.result, _xlfn.XLOOKUP($A129, InterfaceRegister!$A:$A, InterfaceRegister!P:P), IF(_xlpm.result=0, "", _xlpm.result))</f>
        <v>NH 20/02/2026: Fields updated: Interface Type, Interface Criticality Explanation, Interface Flow.</v>
      </c>
      <c r="E129">
        <f>_xlfn.XLOOKUP($A129,'EA-Fortescue_SDExport'!$A:$A,'EA-Fortescue_SDExport'!E:E)</f>
        <v>1</v>
      </c>
      <c r="F129">
        <f>_xlfn.XLOOKUP($A129,'EA-Fortescue_SDExport'!$A:$A,'EA-Fortescue_SDExport'!F:F)</f>
        <v>1</v>
      </c>
      <c r="G129">
        <f>_xlfn.XLOOKUP($A129,'EA-Fortescue_SDExport'!$A:$A,'EA-Fortescue_SDExport'!G:G)</f>
        <v>0</v>
      </c>
      <c r="H129" t="str">
        <f>_xlfn.XLOOKUP($A129,'EA-Fortescue_SDExport'!$A:$A,'EA-Fortescue_SDExport'!H:H)</f>
        <v>InterfaceBlock</v>
      </c>
      <c r="I129" t="str">
        <f>_xlfn.XLOOKUP($A129,'EA-Fortescue_SDExport'!$A:$A,'EA-Fortescue_SDExport'!I:I)</f>
        <v>SysML1.4::InterfaceBlock</v>
      </c>
      <c r="J129" t="str">
        <f>_xlfn.XLOOKUP($A129,'EA-Fortescue_SDExport'!$A:$A,'EA-Fortescue_SDExport'!J:J)</f>
        <v>Java</v>
      </c>
      <c r="K129" t="str">
        <f>_xlfn.XLOOKUP($A129,'EA-Fortescue_SDExport'!$A:$A,'EA-Fortescue_SDExport'!K:K)</f>
        <v>Admin</v>
      </c>
      <c r="L129" t="str">
        <f>_xlfn.XLOOKUP($A129,'EA-Fortescue_SDExport'!$A:$A,'EA-Fortescue_SDExport'!L:L)</f>
        <v>Public</v>
      </c>
      <c r="M129">
        <f>_xlfn.XLOOKUP($A129,'EA-Fortescue_SDExport'!$A:$A,'EA-Fortescue_SDExport'!M:M)</f>
        <v>0</v>
      </c>
      <c r="N129" t="str">
        <f>_xlfn.XLOOKUP($A129,InterfaceRegister!$A:$A,InterfaceRegister!K:K)</f>
        <v>Proposed</v>
      </c>
      <c r="O129">
        <f>_xlfn.XLOOKUP($A129,'EA-Fortescue_SDExport'!$A:$A,'EA-Fortescue_SDExport'!O:O)</f>
        <v>1</v>
      </c>
      <c r="P129">
        <f>_xlfn.XLOOKUP($A129,'EA-Fortescue_SDExport'!$A:$A,'EA-Fortescue_SDExport'!P:P)</f>
        <v>0</v>
      </c>
      <c r="Q129">
        <f>_xlfn.XLOOKUP($A129,'EA-Fortescue_SDExport'!$A:$A,'EA-Fortescue_SDExport'!Q:Q)</f>
        <v>0</v>
      </c>
      <c r="R129">
        <f>_xlfn.XLOOKUP($A129,'EA-Fortescue_SDExport'!$A:$A,'EA-Fortescue_SDExport'!R:R)</f>
        <v>0</v>
      </c>
      <c r="S129">
        <f>_xlfn.XLOOKUP($A129,'EA-Fortescue_SDExport'!$A:$A,'EA-Fortescue_SDExport'!S:S)</f>
        <v>0</v>
      </c>
      <c r="T129">
        <f>_xlfn.XLOOKUP($A129,'EA-Fortescue_SDExport'!$A:$A,'EA-Fortescue_SDExport'!T:T)</f>
        <v>0</v>
      </c>
      <c r="U129">
        <f>_xlfn.XLOOKUP($A129,'EA-Fortescue_SDExport'!$A:$A,'EA-Fortescue_SDExport'!U:U)</f>
        <v>45953.90960648148</v>
      </c>
      <c r="V129">
        <f>_xlfn.XLOOKUP($A129,'EA-Fortescue_SDExport'!$A:$A,'EA-Fortescue_SDExport'!V:V)</f>
        <v>46077.993217592593</v>
      </c>
      <c r="W129">
        <f>_xlfn.XLOOKUP($A129,'EA-Fortescue_SDExport'!$A:$A,'EA-Fortescue_SDExport'!W:W)</f>
        <v>0</v>
      </c>
      <c r="X129">
        <f>_xlfn.XLOOKUP($A129,'EA-Fortescue_SDExport'!$A:$A,'EA-Fortescue_SDExport'!X:X)</f>
        <v>0</v>
      </c>
      <c r="Y129">
        <f>_xlfn.XLOOKUP($A129,'EA-Fortescue_SDExport'!$A:$A,'EA-Fortescue_SDExport'!Y:Y)</f>
        <v>0</v>
      </c>
      <c r="Z129" t="str">
        <f>_xlfn.XLOOKUP($A129,'EA-Fortescue_SDExport'!$A:$A,'EA-Fortescue_SDExport'!Z:Z)</f>
        <v>SysML1.4::InterfaceBlock</v>
      </c>
      <c r="AA129" t="str">
        <f>_xlfn.XLOOKUP($A129,InterfaceRegister!$A:$A,InterfaceRegister!B:B)</f>
        <v>Energy Operations (HIVE)|855DC-1541-ECL-001 Eclipse Planning</v>
      </c>
      <c r="AB129" t="str">
        <f>_xlfn.XLOOKUP($A129,InterfaceRegister!$A:$A,InterfaceRegister!C:C)</f>
        <v/>
      </c>
      <c r="AC129" t="str">
        <f>_xlfn.XLOOKUP($A129,InterfaceRegister!$A:$A,InterfaceRegister!D:D)</f>
        <v/>
      </c>
      <c r="AD129" t="str">
        <f>_xlfn.XLOOKUP($A129,InterfaceRegister!$A:$A,InterfaceRegister!E:E)</f>
        <v>Stakeholder - Subsystem Interface</v>
      </c>
      <c r="AE129" t="str">
        <f>_xlfn.XLOOKUP($A129,InterfaceRegister!$A:$A,InterfaceRegister!F:F)</f>
        <v>Functional-Operational</v>
      </c>
      <c r="AF129" t="str">
        <f>_xlfn.XLOOKUP($A129,InterfaceRegister!$A:$A,InterfaceRegister!L:L)</f>
        <v>The purpose of this interface is to allow Energy Operations (EO) personnel to interact with Eclipse data to assist in short and long-term planning and predicting energy/power distribution across the network. It is a Human interface for decision-making, where the EO staff member makes a decision after analysing outputs from Eclipse and then controls power distribution through Monarch.</v>
      </c>
      <c r="AG129" t="str">
        <f>_xlfn.XLOOKUP($A129,InterfaceRegister!$A:$A,InterfaceRegister!M:M)</f>
        <v>HIGH</v>
      </c>
      <c r="AH129" t="str">
        <f>_xlfn.XLOOKUP($A129,InterfaceRegister!$A:$A,InterfaceRegister!O:O)</f>
        <v>Data Flow: ECL Eclipse -&gt; Energy Operations (EO) Users (dispatch schedules, optimisation outputs, load forecasts, constraint alerts, scenario results, performance metrics) via user interface for review and analysis._x000D_
Human Decision Path: EO Users -&gt; Monarch (approved dispatch instructions, scheduling adjustments, operational directives) implemented through operational control systems.</v>
      </c>
      <c r="AI129" t="str">
        <f>_xlfn.XLOOKUP($A129,InterfaceRegister!$A:$A,InterfaceRegister!N:N)</f>
        <v>This interface is rated HIGH because Energy Operations depends on accurate optimisation outputs from Eclipse to make safe, stable, and economically efficient dispatch decisions. Loss of access may result in decisions based on outdated or incomplete information, increasing the risk of suboptimal generation scheduling, storage mismanagement, or network instability. While physical control is executed through Monarch, the integrity and quality of operational decisions rely heavily on this interface.</v>
      </c>
      <c r="AJ129" t="str">
        <f>_xlfn.XLOOKUP($A129,'EA-Fortescue_SDExport'!$A:$A,'EA-Fortescue_SDExport'!AX:AX)</f>
        <v>CSVC35D3EB4</v>
      </c>
      <c r="AK129">
        <f>_xlfn.XLOOKUP($A129,'EA-Fortescue_SDExport'!$A:$A,'EA-Fortescue_SDExport'!AY:AY)</f>
        <v>0</v>
      </c>
    </row>
    <row r="130" spans="1:37" x14ac:dyDescent="0.25">
      <c r="A130" t="str">
        <v>DGS-I_0129</v>
      </c>
      <c r="B130" t="str">
        <f>_xlfn.XLOOKUP($A130,'EA-Fortescue_SDExport'!$A:$A,'EA-Fortescue_SDExport'!B:B)</f>
        <v>Class</v>
      </c>
      <c r="C130" t="str">
        <f>_xlfn.XLOOKUP($A130,'EA-Fortescue_SDExport'!$A:$A,'EA-Fortescue_SDExport'!C:C)</f>
        <v>{714273C2-3C2A-491e-8110-2EBA14F922F8}</v>
      </c>
      <c r="D130" t="str">
        <f>_xlfn.LET(_xlpm.result, _xlfn.XLOOKUP($A130, InterfaceRegister!$A:$A, InterfaceRegister!P:P), IF(_xlpm.result=0, "", _xlpm.result))</f>
        <v>NH 25/02/2026: Fields updated:Interface Type</v>
      </c>
      <c r="E130">
        <f>_xlfn.XLOOKUP($A130,'EA-Fortescue_SDExport'!$A:$A,'EA-Fortescue_SDExport'!E:E)</f>
        <v>1</v>
      </c>
      <c r="F130">
        <f>_xlfn.XLOOKUP($A130,'EA-Fortescue_SDExport'!$A:$A,'EA-Fortescue_SDExport'!F:F)</f>
        <v>1</v>
      </c>
      <c r="G130">
        <f>_xlfn.XLOOKUP($A130,'EA-Fortescue_SDExport'!$A:$A,'EA-Fortescue_SDExport'!G:G)</f>
        <v>0</v>
      </c>
      <c r="H130" t="str">
        <f>_xlfn.XLOOKUP($A130,'EA-Fortescue_SDExport'!$A:$A,'EA-Fortescue_SDExport'!H:H)</f>
        <v>InterfaceBlock</v>
      </c>
      <c r="I130" t="str">
        <f>_xlfn.XLOOKUP($A130,'EA-Fortescue_SDExport'!$A:$A,'EA-Fortescue_SDExport'!I:I)</f>
        <v>SysML1.4::InterfaceBlock</v>
      </c>
      <c r="J130" t="str">
        <f>_xlfn.XLOOKUP($A130,'EA-Fortescue_SDExport'!$A:$A,'EA-Fortescue_SDExport'!J:J)</f>
        <v>Java</v>
      </c>
      <c r="K130" t="str">
        <f>_xlfn.XLOOKUP($A130,'EA-Fortescue_SDExport'!$A:$A,'EA-Fortescue_SDExport'!K:K)</f>
        <v>Admin</v>
      </c>
      <c r="L130" t="str">
        <f>_xlfn.XLOOKUP($A130,'EA-Fortescue_SDExport'!$A:$A,'EA-Fortescue_SDExport'!L:L)</f>
        <v>Public</v>
      </c>
      <c r="M130">
        <f>_xlfn.XLOOKUP($A130,'EA-Fortescue_SDExport'!$A:$A,'EA-Fortescue_SDExport'!M:M)</f>
        <v>0</v>
      </c>
      <c r="N130" t="str">
        <f>_xlfn.XLOOKUP($A130,InterfaceRegister!$A:$A,InterfaceRegister!K:K)</f>
        <v>Proposed</v>
      </c>
      <c r="O130">
        <f>_xlfn.XLOOKUP($A130,'EA-Fortescue_SDExport'!$A:$A,'EA-Fortescue_SDExport'!O:O)</f>
        <v>1</v>
      </c>
      <c r="P130">
        <f>_xlfn.XLOOKUP($A130,'EA-Fortescue_SDExport'!$A:$A,'EA-Fortescue_SDExport'!P:P)</f>
        <v>0</v>
      </c>
      <c r="Q130">
        <f>_xlfn.XLOOKUP($A130,'EA-Fortescue_SDExport'!$A:$A,'EA-Fortescue_SDExport'!Q:Q)</f>
        <v>0</v>
      </c>
      <c r="R130">
        <f>_xlfn.XLOOKUP($A130,'EA-Fortescue_SDExport'!$A:$A,'EA-Fortescue_SDExport'!R:R)</f>
        <v>0</v>
      </c>
      <c r="S130">
        <f>_xlfn.XLOOKUP($A130,'EA-Fortescue_SDExport'!$A:$A,'EA-Fortescue_SDExport'!S:S)</f>
        <v>0</v>
      </c>
      <c r="T130">
        <f>_xlfn.XLOOKUP($A130,'EA-Fortescue_SDExport'!$A:$A,'EA-Fortescue_SDExport'!T:T)</f>
        <v>0</v>
      </c>
      <c r="U130">
        <f>_xlfn.XLOOKUP($A130,'EA-Fortescue_SDExport'!$A:$A,'EA-Fortescue_SDExport'!U:U)</f>
        <v>45895.920613425929</v>
      </c>
      <c r="V130">
        <f>_xlfn.XLOOKUP($A130,'EA-Fortescue_SDExport'!$A:$A,'EA-Fortescue_SDExport'!V:V)</f>
        <v>46077.99322916667</v>
      </c>
      <c r="W130">
        <f>_xlfn.XLOOKUP($A130,'EA-Fortescue_SDExport'!$A:$A,'EA-Fortescue_SDExport'!W:W)</f>
        <v>0</v>
      </c>
      <c r="X130">
        <f>_xlfn.XLOOKUP($A130,'EA-Fortescue_SDExport'!$A:$A,'EA-Fortescue_SDExport'!X:X)</f>
        <v>0</v>
      </c>
      <c r="Y130">
        <f>_xlfn.XLOOKUP($A130,'EA-Fortescue_SDExport'!$A:$A,'EA-Fortescue_SDExport'!Y:Y)</f>
        <v>0</v>
      </c>
      <c r="Z130" t="str">
        <f>_xlfn.XLOOKUP($A130,'EA-Fortescue_SDExport'!$A:$A,'EA-Fortescue_SDExport'!Z:Z)</f>
        <v>SysML1.4::InterfaceBlock</v>
      </c>
      <c r="AA130" t="str">
        <f>_xlfn.XLOOKUP($A130,InterfaceRegister!$A:$A,InterfaceRegister!B:B)</f>
        <v>855DC-1541-ECL-001 Eclipse Planning|Operations Planning</v>
      </c>
      <c r="AB130" t="str">
        <f>_xlfn.XLOOKUP($A130,InterfaceRegister!$A:$A,InterfaceRegister!C:C)</f>
        <v/>
      </c>
      <c r="AC130" t="str">
        <f>_xlfn.XLOOKUP($A130,InterfaceRegister!$A:$A,InterfaceRegister!D:D)</f>
        <v/>
      </c>
      <c r="AD130" t="str">
        <f>_xlfn.XLOOKUP($A130,InterfaceRegister!$A:$A,InterfaceRegister!E:E)</f>
        <v>Stakeholder - Subsystem Interface</v>
      </c>
      <c r="AE130" t="str">
        <f>_xlfn.XLOOKUP($A130,InterfaceRegister!$A:$A,InterfaceRegister!F:F)</f>
        <v>Functional-Operational</v>
      </c>
      <c r="AF130" t="str">
        <f>_xlfn.XLOOKUP($A130,InterfaceRegister!$A:$A,InterfaceRegister!L:L)</f>
        <v>Eclipse HMI - Operational Run Plans &amp; Weather Scenario Interface_x000D_
The purpose of this interface is to provide the Operations Planning team with a central workspace through the Eclipse Human-Machine Interface (HMI) to create, review, and adjust run plans while visualising live and forecasted weather scenarios. This allows planners to understand how weather, equipment status, and energy conditions impact operational plans in the short and medium term._x000D_
Intermediate Elements: an HMI visual layer connected to Eclipse planning tools and Snowflake datasets.</v>
      </c>
      <c r="AG130" t="str">
        <f>_xlfn.XLOOKUP($A130,InterfaceRegister!$A:$A,InterfaceRegister!M:M)</f>
        <v>HIGH</v>
      </c>
      <c r="AH130" t="str">
        <f>_xlfn.XLOOKUP($A130,InterfaceRegister!$A:$A,InterfaceRegister!O:O)</f>
        <v>Eclipse planning engine -&gt; Eclipse HMI -&gt; Operators/Planners.</v>
      </c>
      <c r="AI130" t="str">
        <f>_xlfn.XLOOKUP($A130,InterfaceRegister!$A:$A,InterfaceRegister!N:N)</f>
        <v>The criticality level is HIGH because the HMI is essential for informed decision-making, enabling planners to evaluate multiple scenarios and adjust operations based on real-time and forecasted conditions, thereby maintaining operational alignment.</v>
      </c>
      <c r="AJ130" t="str">
        <f>_xlfn.XLOOKUP($A130,'EA-Fortescue_SDExport'!$A:$A,'EA-Fortescue_SDExport'!AX:AX)</f>
        <v>CSV57267A7A</v>
      </c>
      <c r="AK130">
        <f>_xlfn.XLOOKUP($A130,'EA-Fortescue_SDExport'!$A:$A,'EA-Fortescue_SDExport'!AY:AY)</f>
        <v>0</v>
      </c>
    </row>
    <row r="131" spans="1:37" x14ac:dyDescent="0.25">
      <c r="A131" t="str">
        <v>DGS-I_0130</v>
      </c>
      <c r="B131" t="str">
        <f>_xlfn.XLOOKUP($A131,'EA-Fortescue_SDExport'!$A:$A,'EA-Fortescue_SDExport'!B:B)</f>
        <v>Class</v>
      </c>
      <c r="C131" t="str">
        <f>_xlfn.XLOOKUP($A131,'EA-Fortescue_SDExport'!$A:$A,'EA-Fortescue_SDExport'!C:C)</f>
        <v>{41FFD933-9B05-4953-B678-454F1AF5CC06}</v>
      </c>
      <c r="D131" t="str">
        <f>_xlfn.LET(_xlpm.result, _xlfn.XLOOKUP($A131, InterfaceRegister!$A:$A, InterfaceRegister!P:P), IF(_xlpm.result=0, "", _xlpm.result))</f>
        <v>Interface Review 25/11/2025: Delete (Energy Operations sit in the HIVE)</v>
      </c>
      <c r="E131">
        <f>_xlfn.XLOOKUP($A131,'EA-Fortescue_SDExport'!$A:$A,'EA-Fortescue_SDExport'!E:E)</f>
        <v>1</v>
      </c>
      <c r="F131">
        <f>_xlfn.XLOOKUP($A131,'EA-Fortescue_SDExport'!$A:$A,'EA-Fortescue_SDExport'!F:F)</f>
        <v>1</v>
      </c>
      <c r="G131">
        <f>_xlfn.XLOOKUP($A131,'EA-Fortescue_SDExport'!$A:$A,'EA-Fortescue_SDExport'!G:G)</f>
        <v>0</v>
      </c>
      <c r="H131" t="str">
        <f>_xlfn.XLOOKUP($A131,'EA-Fortescue_SDExport'!$A:$A,'EA-Fortescue_SDExport'!H:H)</f>
        <v>InterfaceBlock</v>
      </c>
      <c r="I131" t="str">
        <f>_xlfn.XLOOKUP($A131,'EA-Fortescue_SDExport'!$A:$A,'EA-Fortescue_SDExport'!I:I)</f>
        <v>SysML1.4::InterfaceBlock</v>
      </c>
      <c r="J131" t="str">
        <f>_xlfn.XLOOKUP($A131,'EA-Fortescue_SDExport'!$A:$A,'EA-Fortescue_SDExport'!J:J)</f>
        <v>Java</v>
      </c>
      <c r="K131" t="str">
        <f>_xlfn.XLOOKUP($A131,'EA-Fortescue_SDExport'!$A:$A,'EA-Fortescue_SDExport'!K:K)</f>
        <v>Admin</v>
      </c>
      <c r="L131" t="str">
        <f>_xlfn.XLOOKUP($A131,'EA-Fortescue_SDExport'!$A:$A,'EA-Fortescue_SDExport'!L:L)</f>
        <v>Public</v>
      </c>
      <c r="M131">
        <f>_xlfn.XLOOKUP($A131,'EA-Fortescue_SDExport'!$A:$A,'EA-Fortescue_SDExport'!M:M)</f>
        <v>0</v>
      </c>
      <c r="N131" t="str">
        <f>_xlfn.XLOOKUP($A131,InterfaceRegister!$A:$A,InterfaceRegister!K:K)</f>
        <v>Deleted</v>
      </c>
      <c r="O131">
        <f>_xlfn.XLOOKUP($A131,'EA-Fortescue_SDExport'!$A:$A,'EA-Fortescue_SDExport'!O:O)</f>
        <v>1</v>
      </c>
      <c r="P131">
        <f>_xlfn.XLOOKUP($A131,'EA-Fortescue_SDExport'!$A:$A,'EA-Fortescue_SDExport'!P:P)</f>
        <v>0</v>
      </c>
      <c r="Q131">
        <f>_xlfn.XLOOKUP($A131,'EA-Fortescue_SDExport'!$A:$A,'EA-Fortescue_SDExport'!Q:Q)</f>
        <v>0</v>
      </c>
      <c r="R131">
        <f>_xlfn.XLOOKUP($A131,'EA-Fortescue_SDExport'!$A:$A,'EA-Fortescue_SDExport'!R:R)</f>
        <v>0</v>
      </c>
      <c r="S131">
        <f>_xlfn.XLOOKUP($A131,'EA-Fortescue_SDExport'!$A:$A,'EA-Fortescue_SDExport'!S:S)</f>
        <v>0</v>
      </c>
      <c r="T131">
        <f>_xlfn.XLOOKUP($A131,'EA-Fortescue_SDExport'!$A:$A,'EA-Fortescue_SDExport'!T:T)</f>
        <v>0</v>
      </c>
      <c r="U131">
        <f>_xlfn.XLOOKUP($A131,'EA-Fortescue_SDExport'!$A:$A,'EA-Fortescue_SDExport'!U:U)</f>
        <v>45895.920358796298</v>
      </c>
      <c r="V131">
        <f>_xlfn.XLOOKUP($A131,'EA-Fortescue_SDExport'!$A:$A,'EA-Fortescue_SDExport'!V:V)</f>
        <v>46002.067546296297</v>
      </c>
      <c r="W131">
        <f>_xlfn.XLOOKUP($A131,'EA-Fortescue_SDExport'!$A:$A,'EA-Fortescue_SDExport'!W:W)</f>
        <v>0</v>
      </c>
      <c r="X131">
        <f>_xlfn.XLOOKUP($A131,'EA-Fortescue_SDExport'!$A:$A,'EA-Fortescue_SDExport'!X:X)</f>
        <v>0</v>
      </c>
      <c r="Y131">
        <f>_xlfn.XLOOKUP($A131,'EA-Fortescue_SDExport'!$A:$A,'EA-Fortescue_SDExport'!Y:Y)</f>
        <v>0</v>
      </c>
      <c r="Z131" t="str">
        <f>_xlfn.XLOOKUP($A131,'EA-Fortescue_SDExport'!$A:$A,'EA-Fortescue_SDExport'!Z:Z)</f>
        <v>SysML1.4::InterfaceBlock</v>
      </c>
      <c r="AA131" t="str">
        <f>_xlfn.XLOOKUP($A131,InterfaceRegister!$A:$A,InterfaceRegister!B:B)</f>
        <v>HIVE|855DC-1541-ECL-002 Online Security Constrained Unit Commitment (SCUC)</v>
      </c>
      <c r="AB131" t="str">
        <f>_xlfn.XLOOKUP($A131,InterfaceRegister!$A:$A,InterfaceRegister!C:C)</f>
        <v/>
      </c>
      <c r="AC131" t="str">
        <f>_xlfn.XLOOKUP($A131,InterfaceRegister!$A:$A,InterfaceRegister!D:D)</f>
        <v/>
      </c>
      <c r="AD131" t="str">
        <f>_xlfn.XLOOKUP($A131,InterfaceRegister!$A:$A,InterfaceRegister!E:E)</f>
        <v>Stakeholder - Subsystem Interface</v>
      </c>
      <c r="AE131" t="str">
        <f>_xlfn.XLOOKUP($A131,InterfaceRegister!$A:$A,InterfaceRegister!F:F)</f>
        <v/>
      </c>
      <c r="AF131" t="str">
        <f>_xlfn.XLOOKUP($A131,InterfaceRegister!$A:$A,InterfaceRegister!L:L)</f>
        <v/>
      </c>
      <c r="AG131" t="str">
        <f>_xlfn.XLOOKUP($A131,InterfaceRegister!$A:$A,InterfaceRegister!M:M)</f>
        <v/>
      </c>
      <c r="AH131" t="str">
        <f>_xlfn.XLOOKUP($A131,InterfaceRegister!$A:$A,InterfaceRegister!O:O)</f>
        <v/>
      </c>
      <c r="AI131" t="str">
        <f>_xlfn.XLOOKUP($A131,InterfaceRegister!$A:$A,InterfaceRegister!N:N)</f>
        <v/>
      </c>
      <c r="AJ131" t="str">
        <f>_xlfn.XLOOKUP($A131,'EA-Fortescue_SDExport'!$A:$A,'EA-Fortescue_SDExport'!AX:AX)</f>
        <v>CSV8DE118D4</v>
      </c>
      <c r="AK131">
        <f>_xlfn.XLOOKUP($A131,'EA-Fortescue_SDExport'!$A:$A,'EA-Fortescue_SDExport'!AY:AY)</f>
        <v>0</v>
      </c>
    </row>
    <row r="132" spans="1:37" x14ac:dyDescent="0.25">
      <c r="A132" t="str">
        <v>DGS-I_0131</v>
      </c>
      <c r="B132" t="str">
        <f>_xlfn.XLOOKUP($A132,'EA-Fortescue_SDExport'!$A:$A,'EA-Fortescue_SDExport'!B:B)</f>
        <v>Class</v>
      </c>
      <c r="C132" t="str">
        <f>_xlfn.XLOOKUP($A132,'EA-Fortescue_SDExport'!$A:$A,'EA-Fortescue_SDExport'!C:C)</f>
        <v>{964EB12A-FE7B-4ed9-931F-B5727FDFC935}</v>
      </c>
      <c r="D132" t="str">
        <f>_xlfn.LET(_xlpm.result, _xlfn.XLOOKUP($A132, InterfaceRegister!$A:$A, InterfaceRegister!P:P), IF(_xlpm.result=0, "", _xlpm.result))</f>
        <v>NH 20/02/2026: Fields updated: Interface Type, Interface Criticality Explanation, Interface Flow.</v>
      </c>
      <c r="E132">
        <f>_xlfn.XLOOKUP($A132,'EA-Fortescue_SDExport'!$A:$A,'EA-Fortescue_SDExport'!E:E)</f>
        <v>1</v>
      </c>
      <c r="F132">
        <f>_xlfn.XLOOKUP($A132,'EA-Fortescue_SDExport'!$A:$A,'EA-Fortescue_SDExport'!F:F)</f>
        <v>1</v>
      </c>
      <c r="G132">
        <f>_xlfn.XLOOKUP($A132,'EA-Fortescue_SDExport'!$A:$A,'EA-Fortescue_SDExport'!G:G)</f>
        <v>0</v>
      </c>
      <c r="H132" t="str">
        <f>_xlfn.XLOOKUP($A132,'EA-Fortescue_SDExport'!$A:$A,'EA-Fortescue_SDExport'!H:H)</f>
        <v>InterfaceBlock</v>
      </c>
      <c r="I132" t="str">
        <f>_xlfn.XLOOKUP($A132,'EA-Fortescue_SDExport'!$A:$A,'EA-Fortescue_SDExport'!I:I)</f>
        <v>SysML1.4::InterfaceBlock</v>
      </c>
      <c r="J132" t="str">
        <f>_xlfn.XLOOKUP($A132,'EA-Fortescue_SDExport'!$A:$A,'EA-Fortescue_SDExport'!J:J)</f>
        <v>Java</v>
      </c>
      <c r="K132" t="str">
        <f>_xlfn.XLOOKUP($A132,'EA-Fortescue_SDExport'!$A:$A,'EA-Fortescue_SDExport'!K:K)</f>
        <v>Admin</v>
      </c>
      <c r="L132" t="str">
        <f>_xlfn.XLOOKUP($A132,'EA-Fortescue_SDExport'!$A:$A,'EA-Fortescue_SDExport'!L:L)</f>
        <v>Public</v>
      </c>
      <c r="M132">
        <f>_xlfn.XLOOKUP($A132,'EA-Fortescue_SDExport'!$A:$A,'EA-Fortescue_SDExport'!M:M)</f>
        <v>0</v>
      </c>
      <c r="N132" t="str">
        <f>_xlfn.XLOOKUP($A132,InterfaceRegister!$A:$A,InterfaceRegister!K:K)</f>
        <v>Proposed</v>
      </c>
      <c r="O132">
        <f>_xlfn.XLOOKUP($A132,'EA-Fortescue_SDExport'!$A:$A,'EA-Fortescue_SDExport'!O:O)</f>
        <v>1</v>
      </c>
      <c r="P132">
        <f>_xlfn.XLOOKUP($A132,'EA-Fortescue_SDExport'!$A:$A,'EA-Fortescue_SDExport'!P:P)</f>
        <v>0</v>
      </c>
      <c r="Q132">
        <f>_xlfn.XLOOKUP($A132,'EA-Fortescue_SDExport'!$A:$A,'EA-Fortescue_SDExport'!Q:Q)</f>
        <v>0</v>
      </c>
      <c r="R132">
        <f>_xlfn.XLOOKUP($A132,'EA-Fortescue_SDExport'!$A:$A,'EA-Fortescue_SDExport'!R:R)</f>
        <v>0</v>
      </c>
      <c r="S132">
        <f>_xlfn.XLOOKUP($A132,'EA-Fortescue_SDExport'!$A:$A,'EA-Fortescue_SDExport'!S:S)</f>
        <v>0</v>
      </c>
      <c r="T132">
        <f>_xlfn.XLOOKUP($A132,'EA-Fortescue_SDExport'!$A:$A,'EA-Fortescue_SDExport'!T:T)</f>
        <v>0</v>
      </c>
      <c r="U132">
        <f>_xlfn.XLOOKUP($A132,'EA-Fortescue_SDExport'!$A:$A,'EA-Fortescue_SDExport'!U:U)</f>
        <v>45895.921331018515</v>
      </c>
      <c r="V132">
        <f>_xlfn.XLOOKUP($A132,'EA-Fortescue_SDExport'!$A:$A,'EA-Fortescue_SDExport'!V:V)</f>
        <v>46077.993206018517</v>
      </c>
      <c r="W132">
        <f>_xlfn.XLOOKUP($A132,'EA-Fortescue_SDExport'!$A:$A,'EA-Fortescue_SDExport'!W:W)</f>
        <v>0</v>
      </c>
      <c r="X132">
        <f>_xlfn.XLOOKUP($A132,'EA-Fortescue_SDExport'!$A:$A,'EA-Fortescue_SDExport'!X:X)</f>
        <v>0</v>
      </c>
      <c r="Y132">
        <f>_xlfn.XLOOKUP($A132,'EA-Fortescue_SDExport'!$A:$A,'EA-Fortescue_SDExport'!Y:Y)</f>
        <v>0</v>
      </c>
      <c r="Z132" t="str">
        <f>_xlfn.XLOOKUP($A132,'EA-Fortescue_SDExport'!$A:$A,'EA-Fortescue_SDExport'!Z:Z)</f>
        <v>SysML1.4::InterfaceBlock</v>
      </c>
      <c r="AA132" t="str">
        <f>_xlfn.XLOOKUP($A132,InterfaceRegister!$A:$A,InterfaceRegister!B:B)</f>
        <v>855DC-1541-ECL-001 Eclipse Planning|Technical Services</v>
      </c>
      <c r="AB132" t="str">
        <f>_xlfn.XLOOKUP($A132,InterfaceRegister!$A:$A,InterfaceRegister!C:C)</f>
        <v/>
      </c>
      <c r="AC132" t="str">
        <f>_xlfn.XLOOKUP($A132,InterfaceRegister!$A:$A,InterfaceRegister!D:D)</f>
        <v/>
      </c>
      <c r="AD132" t="str">
        <f>_xlfn.XLOOKUP($A132,InterfaceRegister!$A:$A,InterfaceRegister!E:E)</f>
        <v>Stakeholder - Subsystem Interface</v>
      </c>
      <c r="AE132" t="str">
        <f>_xlfn.XLOOKUP($A132,InterfaceRegister!$A:$A,InterfaceRegister!F:F)</f>
        <v>Functional-Operational</v>
      </c>
      <c r="AF132" t="str">
        <f>_xlfn.XLOOKUP($A132,InterfaceRegister!$A:$A,InterfaceRegister!L:L)</f>
        <v>This interface allows personnel to interact with Eclipse to run plans and weather scenarios (including 10-year and life-of-mine plans) and process those plans through Eclipse to optimise them.</v>
      </c>
      <c r="AG132" t="str">
        <f>_xlfn.XLOOKUP($A132,InterfaceRegister!$A:$A,InterfaceRegister!M:M)</f>
        <v>HIGH</v>
      </c>
      <c r="AH132" t="str">
        <f>_xlfn.XLOOKUP($A132,InterfaceRegister!$A:$A,InterfaceRegister!O:O)</f>
        <v>Data Flow: Users -&gt; ECL Eclipse (mine plans, weather scenarios, long-term assumptions, input parameters, planning constraints) to execute optimisation runs._x000D_
Data Flow: ECL Eclipse -&gt; Users (optimised plans, scenario outputs, generation schedules, performance forecasts, sensitivity analyses) for review and decision-making.</v>
      </c>
      <c r="AI132" t="str">
        <f>_xlfn.XLOOKUP($A132,InterfaceRegister!$A:$A,InterfaceRegister!N:N)</f>
        <v>This interface is rated HIGH because it enables strategic and operational optimisation across short- and long-term planning horizons. Inability to run or analyse scenarios limits forecasting accuracy, reduces confidence in capacity planning, and may lead to inefficient generation, storage, and infrastructure investment decisions. While real-time control systems remain operational, the quality and safety margin of future dispatch and infrastructure decisions depend heavily on this interface.</v>
      </c>
      <c r="AJ132" t="str">
        <f>_xlfn.XLOOKUP($A132,'EA-Fortescue_SDExport'!$A:$A,'EA-Fortescue_SDExport'!AX:AX)</f>
        <v>CSVC8A14841</v>
      </c>
      <c r="AK132">
        <f>_xlfn.XLOOKUP($A132,'EA-Fortescue_SDExport'!$A:$A,'EA-Fortescue_SDExport'!AY:AY)</f>
        <v>0</v>
      </c>
    </row>
    <row r="133" spans="1:37" x14ac:dyDescent="0.25">
      <c r="A133" t="str">
        <v>DGS-I_0132</v>
      </c>
      <c r="B133" t="str">
        <f>_xlfn.XLOOKUP($A133,'EA-Fortescue_SDExport'!$A:$A,'EA-Fortescue_SDExport'!B:B)</f>
        <v>Class</v>
      </c>
      <c r="C133" t="str">
        <f>_xlfn.XLOOKUP($A133,'EA-Fortescue_SDExport'!$A:$A,'EA-Fortescue_SDExport'!C:C)</f>
        <v>{0F5AB031-1B51-40e0-B846-BAD5FB892B25}</v>
      </c>
      <c r="D133" t="str">
        <f>_xlfn.LET(_xlpm.result, _xlfn.XLOOKUP($A133, InterfaceRegister!$A:$A, InterfaceRegister!P:P), IF(_xlpm.result=0, "", _xlpm.result))</f>
        <v/>
      </c>
      <c r="E133">
        <f>_xlfn.XLOOKUP($A133,'EA-Fortescue_SDExport'!$A:$A,'EA-Fortescue_SDExport'!E:E)</f>
        <v>1</v>
      </c>
      <c r="F133">
        <f>_xlfn.XLOOKUP($A133,'EA-Fortescue_SDExport'!$A:$A,'EA-Fortescue_SDExport'!F:F)</f>
        <v>1</v>
      </c>
      <c r="G133">
        <f>_xlfn.XLOOKUP($A133,'EA-Fortescue_SDExport'!$A:$A,'EA-Fortescue_SDExport'!G:G)</f>
        <v>0</v>
      </c>
      <c r="H133" t="str">
        <f>_xlfn.XLOOKUP($A133,'EA-Fortescue_SDExport'!$A:$A,'EA-Fortescue_SDExport'!H:H)</f>
        <v>InterfaceBlock</v>
      </c>
      <c r="I133" t="str">
        <f>_xlfn.XLOOKUP($A133,'EA-Fortescue_SDExport'!$A:$A,'EA-Fortescue_SDExport'!I:I)</f>
        <v>SysML1.4::InterfaceBlock</v>
      </c>
      <c r="J133" t="str">
        <f>_xlfn.XLOOKUP($A133,'EA-Fortescue_SDExport'!$A:$A,'EA-Fortescue_SDExport'!J:J)</f>
        <v>Java</v>
      </c>
      <c r="K133" t="str">
        <f>_xlfn.XLOOKUP($A133,'EA-Fortescue_SDExport'!$A:$A,'EA-Fortescue_SDExport'!K:K)</f>
        <v>Admin</v>
      </c>
      <c r="L133" t="str">
        <f>_xlfn.XLOOKUP($A133,'EA-Fortescue_SDExport'!$A:$A,'EA-Fortescue_SDExport'!L:L)</f>
        <v>Public</v>
      </c>
      <c r="M133">
        <f>_xlfn.XLOOKUP($A133,'EA-Fortescue_SDExport'!$A:$A,'EA-Fortescue_SDExport'!M:M)</f>
        <v>0</v>
      </c>
      <c r="N133" t="str">
        <f>_xlfn.XLOOKUP($A133,InterfaceRegister!$A:$A,InterfaceRegister!K:K)</f>
        <v>Proposed</v>
      </c>
      <c r="O133">
        <f>_xlfn.XLOOKUP($A133,'EA-Fortescue_SDExport'!$A:$A,'EA-Fortescue_SDExport'!O:O)</f>
        <v>1</v>
      </c>
      <c r="P133">
        <f>_xlfn.XLOOKUP($A133,'EA-Fortescue_SDExport'!$A:$A,'EA-Fortescue_SDExport'!P:P)</f>
        <v>0</v>
      </c>
      <c r="Q133">
        <f>_xlfn.XLOOKUP($A133,'EA-Fortescue_SDExport'!$A:$A,'EA-Fortescue_SDExport'!Q:Q)</f>
        <v>0</v>
      </c>
      <c r="R133">
        <f>_xlfn.XLOOKUP($A133,'EA-Fortescue_SDExport'!$A:$A,'EA-Fortescue_SDExport'!R:R)</f>
        <v>0</v>
      </c>
      <c r="S133">
        <f>_xlfn.XLOOKUP($A133,'EA-Fortescue_SDExport'!$A:$A,'EA-Fortescue_SDExport'!S:S)</f>
        <v>0</v>
      </c>
      <c r="T133">
        <f>_xlfn.XLOOKUP($A133,'EA-Fortescue_SDExport'!$A:$A,'EA-Fortescue_SDExport'!T:T)</f>
        <v>0</v>
      </c>
      <c r="U133">
        <f>_xlfn.XLOOKUP($A133,'EA-Fortescue_SDExport'!$A:$A,'EA-Fortescue_SDExport'!U:U)</f>
        <v>45895.921261574076</v>
      </c>
      <c r="V133">
        <f>_xlfn.XLOOKUP($A133,'EA-Fortescue_SDExport'!$A:$A,'EA-Fortescue_SDExport'!V:V)</f>
        <v>46002.067546296297</v>
      </c>
      <c r="W133">
        <f>_xlfn.XLOOKUP($A133,'EA-Fortescue_SDExport'!$A:$A,'EA-Fortescue_SDExport'!W:W)</f>
        <v>0</v>
      </c>
      <c r="X133">
        <f>_xlfn.XLOOKUP($A133,'EA-Fortescue_SDExport'!$A:$A,'EA-Fortescue_SDExport'!X:X)</f>
        <v>0</v>
      </c>
      <c r="Y133">
        <f>_xlfn.XLOOKUP($A133,'EA-Fortescue_SDExport'!$A:$A,'EA-Fortescue_SDExport'!Y:Y)</f>
        <v>0</v>
      </c>
      <c r="Z133" t="str">
        <f>_xlfn.XLOOKUP($A133,'EA-Fortescue_SDExport'!$A:$A,'EA-Fortescue_SDExport'!Z:Z)</f>
        <v>SysML1.4::InterfaceBlock</v>
      </c>
      <c r="AA133" t="str">
        <f>_xlfn.XLOOKUP($A133,InterfaceRegister!$A:$A,InterfaceRegister!B:B)</f>
        <v>855DC-1541-ECL-001 Eclipse Planning|Integrated Planning</v>
      </c>
      <c r="AB133" t="str">
        <f>_xlfn.XLOOKUP($A133,InterfaceRegister!$A:$A,InterfaceRegister!C:C)</f>
        <v/>
      </c>
      <c r="AC133" t="str">
        <f>_xlfn.XLOOKUP($A133,InterfaceRegister!$A:$A,InterfaceRegister!D:D)</f>
        <v/>
      </c>
      <c r="AD133" t="str">
        <f>_xlfn.XLOOKUP($A133,InterfaceRegister!$A:$A,InterfaceRegister!E:E)</f>
        <v>Stakeholder - Subsystem Interface</v>
      </c>
      <c r="AE133" t="str">
        <f>_xlfn.XLOOKUP($A133,InterfaceRegister!$A:$A,InterfaceRegister!F:F)</f>
        <v>Project-Contractual/Organisational</v>
      </c>
      <c r="AF133" t="str">
        <f>_xlfn.XLOOKUP($A133,InterfaceRegister!$A:$A,InterfaceRegister!L:L)</f>
        <v>This interface connects the site-level Planning system with the wider Integrated Planning process so that production, energy, and operational plans can be coordinated across departments.</v>
      </c>
      <c r="AG133" t="str">
        <f>_xlfn.XLOOKUP($A133,InterfaceRegister!$A:$A,InterfaceRegister!M:M)</f>
        <v>LOW</v>
      </c>
      <c r="AH133" t="str">
        <f>_xlfn.XLOOKUP($A133,InterfaceRegister!$A:$A,InterfaceRegister!O:O)</f>
        <v>Data Flow:_x000D_
855DC-1541 ECL Eclipse (Site Planning System) -&gt; Integrated Planning process (cross-department coordination), transmitting production plans, energy forecasts, and operational schedules to support enterprise-level planning alignment across departments.</v>
      </c>
      <c r="AI133" t="str">
        <f>_xlfn.XLOOKUP($A133,InterfaceRegister!$A:$A,InterfaceRegister!N:N)</f>
        <v>The criticality level is LOW because failure at this interface does not impact real-time production, safety, or operational control. It only affects planning coordination and workflow efficiency, which can be managed manually.</v>
      </c>
      <c r="AJ133" t="str">
        <f>_xlfn.XLOOKUP($A133,'EA-Fortescue_SDExport'!$A:$A,'EA-Fortescue_SDExport'!AX:AX)</f>
        <v>CSV344B2053</v>
      </c>
      <c r="AK133">
        <f>_xlfn.XLOOKUP($A133,'EA-Fortescue_SDExport'!$A:$A,'EA-Fortescue_SDExport'!AY:AY)</f>
        <v>0</v>
      </c>
    </row>
    <row r="134" spans="1:37" x14ac:dyDescent="0.25">
      <c r="A134" t="str">
        <v>DGS-I_0133</v>
      </c>
      <c r="B134" t="str">
        <f>_xlfn.XLOOKUP($A134,'EA-Fortescue_SDExport'!$A:$A,'EA-Fortescue_SDExport'!B:B)</f>
        <v>Class</v>
      </c>
      <c r="C134" t="str">
        <f>_xlfn.XLOOKUP($A134,'EA-Fortescue_SDExport'!$A:$A,'EA-Fortescue_SDExport'!C:C)</f>
        <v>{0FE14682-FE45-4d8d-A071-82E79BF41D2C}</v>
      </c>
      <c r="D134" t="str">
        <f>_xlfn.LET(_xlpm.result, _xlfn.XLOOKUP($A134, InterfaceRegister!$A:$A, InterfaceRegister!P:P), IF(_xlpm.result=0, "", _xlpm.result))</f>
        <v>LMS Review 30/10/2025: Trending data from chargers, diagnostics. OPC/UA_x000D_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Fields updated:Interface Type, Interface Flow</v>
      </c>
      <c r="E134">
        <f>_xlfn.XLOOKUP($A134,'EA-Fortescue_SDExport'!$A:$A,'EA-Fortescue_SDExport'!E:E)</f>
        <v>1</v>
      </c>
      <c r="F134">
        <f>_xlfn.XLOOKUP($A134,'EA-Fortescue_SDExport'!$A:$A,'EA-Fortescue_SDExport'!F:F)</f>
        <v>1</v>
      </c>
      <c r="G134">
        <f>_xlfn.XLOOKUP($A134,'EA-Fortescue_SDExport'!$A:$A,'EA-Fortescue_SDExport'!G:G)</f>
        <v>0</v>
      </c>
      <c r="H134" t="str">
        <f>_xlfn.XLOOKUP($A134,'EA-Fortescue_SDExport'!$A:$A,'EA-Fortescue_SDExport'!H:H)</f>
        <v>InterfaceBlock</v>
      </c>
      <c r="I134" t="str">
        <f>_xlfn.XLOOKUP($A134,'EA-Fortescue_SDExport'!$A:$A,'EA-Fortescue_SDExport'!I:I)</f>
        <v>SysML1.4::InterfaceBlock</v>
      </c>
      <c r="J134" t="str">
        <f>_xlfn.XLOOKUP($A134,'EA-Fortescue_SDExport'!$A:$A,'EA-Fortescue_SDExport'!J:J)</f>
        <v>Java</v>
      </c>
      <c r="K134" t="str">
        <f>_xlfn.XLOOKUP($A134,'EA-Fortescue_SDExport'!$A:$A,'EA-Fortescue_SDExport'!K:K)</f>
        <v>Admin</v>
      </c>
      <c r="L134" t="str">
        <f>_xlfn.XLOOKUP($A134,'EA-Fortescue_SDExport'!$A:$A,'EA-Fortescue_SDExport'!L:L)</f>
        <v>Public</v>
      </c>
      <c r="M134">
        <f>_xlfn.XLOOKUP($A134,'EA-Fortescue_SDExport'!$A:$A,'EA-Fortescue_SDExport'!M:M)</f>
        <v>0</v>
      </c>
      <c r="N134" t="str">
        <f>_xlfn.XLOOKUP($A134,InterfaceRegister!$A:$A,InterfaceRegister!K:K)</f>
        <v>Simplified Interface</v>
      </c>
      <c r="O134">
        <f>_xlfn.XLOOKUP($A134,'EA-Fortescue_SDExport'!$A:$A,'EA-Fortescue_SDExport'!O:O)</f>
        <v>1</v>
      </c>
      <c r="P134">
        <f>_xlfn.XLOOKUP($A134,'EA-Fortescue_SDExport'!$A:$A,'EA-Fortescue_SDExport'!P:P)</f>
        <v>0</v>
      </c>
      <c r="Q134">
        <f>_xlfn.XLOOKUP($A134,'EA-Fortescue_SDExport'!$A:$A,'EA-Fortescue_SDExport'!Q:Q)</f>
        <v>0</v>
      </c>
      <c r="R134">
        <f>_xlfn.XLOOKUP($A134,'EA-Fortescue_SDExport'!$A:$A,'EA-Fortescue_SDExport'!R:R)</f>
        <v>0</v>
      </c>
      <c r="S134">
        <f>_xlfn.XLOOKUP($A134,'EA-Fortescue_SDExport'!$A:$A,'EA-Fortescue_SDExport'!S:S)</f>
        <v>0</v>
      </c>
      <c r="T134">
        <f>_xlfn.XLOOKUP($A134,'EA-Fortescue_SDExport'!$A:$A,'EA-Fortescue_SDExport'!T:T)</f>
        <v>0</v>
      </c>
      <c r="U134">
        <f>_xlfn.XLOOKUP($A134,'EA-Fortescue_SDExport'!$A:$A,'EA-Fortescue_SDExport'!U:U)</f>
        <v>45957.853993055556</v>
      </c>
      <c r="V134">
        <f>_xlfn.XLOOKUP($A134,'EA-Fortescue_SDExport'!$A:$A,'EA-Fortescue_SDExport'!V:V)</f>
        <v>46077.993217592593</v>
      </c>
      <c r="W134">
        <f>_xlfn.XLOOKUP($A134,'EA-Fortescue_SDExport'!$A:$A,'EA-Fortescue_SDExport'!W:W)</f>
        <v>0</v>
      </c>
      <c r="X134">
        <f>_xlfn.XLOOKUP($A134,'EA-Fortescue_SDExport'!$A:$A,'EA-Fortescue_SDExport'!X:X)</f>
        <v>0</v>
      </c>
      <c r="Y134">
        <f>_xlfn.XLOOKUP($A134,'EA-Fortescue_SDExport'!$A:$A,'EA-Fortescue_SDExport'!Y:Y)</f>
        <v>0</v>
      </c>
      <c r="Z134" t="str">
        <f>_xlfn.XLOOKUP($A134,'EA-Fortescue_SDExport'!$A:$A,'EA-Fortescue_SDExport'!Z:Z)</f>
        <v>SysML1.4::InterfaceBlock</v>
      </c>
      <c r="AA134" t="str">
        <f>_xlfn.XLOOKUP($A134,InterfaceRegister!$A:$A,InterfaceRegister!B:B)</f>
        <v>850DC-1510 Chargers|855DC-1542-008 Mine Electrification SCADA</v>
      </c>
      <c r="AB134" t="str">
        <f>_xlfn.XLOOKUP($A134,InterfaceRegister!$A:$A,InterfaceRegister!C:C)</f>
        <v/>
      </c>
      <c r="AC134" t="str">
        <f>_xlfn.XLOOKUP($A134,InterfaceRegister!$A:$A,InterfaceRegister!D:D)</f>
        <v/>
      </c>
      <c r="AD134" t="str">
        <f>_xlfn.XLOOKUP($A134,InterfaceRegister!$A:$A,InterfaceRegister!E:E)</f>
        <v>System - Project Interface</v>
      </c>
      <c r="AE134" t="str">
        <f>_xlfn.XLOOKUP($A134,InterfaceRegister!$A:$A,InterfaceRegister!F:F)</f>
        <v>Technical-Electrical</v>
      </c>
      <c r="AF134" t="str">
        <f>_xlfn.XLOOKUP($A134,InterfaceRegister!$A:$A,InterfaceRegister!L:L)</f>
        <v>This interface sends charger status, load information, and electrical alarms from all charger types (HME, LME, auxiliary chargers) into Mine Electrification SCADA.</v>
      </c>
      <c r="AG134" t="str">
        <f>_xlfn.XLOOKUP($A134,InterfaceRegister!$A:$A,InterfaceRegister!M:M)</f>
        <v>MEDIUM</v>
      </c>
      <c r="AH134" t="str">
        <f>_xlfn.XLOOKUP($A134,InterfaceRegister!$A:$A,InterfaceRegister!O:O)</f>
        <v>Chargers -&gt; Mine Electrification SCADA</v>
      </c>
      <c r="AI134" t="str">
        <f>_xlfn.XLOOKUP($A134,InterfaceRegister!$A:$A,InterfaceRegister!N:N)</f>
        <v>The criticality level is MEDIUM because SCADA visibility enhances safety and coordination across the charging network, though basic charging can still occur without full SCADA telemetry. A failure decreases electrical situational awareness and may delay responses to faults or overloads. However, chargers generally fail-safe and do not immediately cease operation.</v>
      </c>
      <c r="AJ134" t="str">
        <f>_xlfn.XLOOKUP($A134,'EA-Fortescue_SDExport'!$A:$A,'EA-Fortescue_SDExport'!AX:AX)</f>
        <v>CSV2FC517D3</v>
      </c>
      <c r="AK134">
        <f>_xlfn.XLOOKUP($A134,'EA-Fortescue_SDExport'!$A:$A,'EA-Fortescue_SDExport'!AY:AY)</f>
        <v>0</v>
      </c>
    </row>
    <row r="135" spans="1:37" x14ac:dyDescent="0.25">
      <c r="A135" t="str">
        <v>DGS-I_0134</v>
      </c>
      <c r="B135" t="str">
        <f>_xlfn.XLOOKUP($A135,'EA-Fortescue_SDExport'!$A:$A,'EA-Fortescue_SDExport'!B:B)</f>
        <v>Class</v>
      </c>
      <c r="C135" t="str">
        <f>_xlfn.XLOOKUP($A135,'EA-Fortescue_SDExport'!$A:$A,'EA-Fortescue_SDExport'!C:C)</f>
        <v>{1F8243F1-1CD4-47f3-AF77-E36D4B75DA74}</v>
      </c>
      <c r="D135" t="str">
        <f>_xlfn.LET(_xlpm.result, _xlfn.XLOOKUP($A135, InterfaceRegister!$A:$A, InterfaceRegister!P:P), IF(_xlpm.result=0, "", _xlpm.result))</f>
        <v>SBS-WBS Mapping 02/01/2026: Delete LME &amp;amp; Merge LME &amp;amp; SME to combined Program Level - Interface deleted.</v>
      </c>
      <c r="E135">
        <f>_xlfn.XLOOKUP($A135,'EA-Fortescue_SDExport'!$A:$A,'EA-Fortescue_SDExport'!E:E)</f>
        <v>1</v>
      </c>
      <c r="F135">
        <f>_xlfn.XLOOKUP($A135,'EA-Fortescue_SDExport'!$A:$A,'EA-Fortescue_SDExport'!F:F)</f>
        <v>1</v>
      </c>
      <c r="G135">
        <f>_xlfn.XLOOKUP($A135,'EA-Fortescue_SDExport'!$A:$A,'EA-Fortescue_SDExport'!G:G)</f>
        <v>0</v>
      </c>
      <c r="H135" t="str">
        <f>_xlfn.XLOOKUP($A135,'EA-Fortescue_SDExport'!$A:$A,'EA-Fortescue_SDExport'!H:H)</f>
        <v>InterfaceBlock</v>
      </c>
      <c r="I135" t="str">
        <f>_xlfn.XLOOKUP($A135,'EA-Fortescue_SDExport'!$A:$A,'EA-Fortescue_SDExport'!I:I)</f>
        <v>SysML1.4::InterfaceBlock</v>
      </c>
      <c r="J135" t="str">
        <f>_xlfn.XLOOKUP($A135,'EA-Fortescue_SDExport'!$A:$A,'EA-Fortescue_SDExport'!J:J)</f>
        <v>Java</v>
      </c>
      <c r="K135" t="str">
        <f>_xlfn.XLOOKUP($A135,'EA-Fortescue_SDExport'!$A:$A,'EA-Fortescue_SDExport'!K:K)</f>
        <v>Admin</v>
      </c>
      <c r="L135" t="str">
        <f>_xlfn.XLOOKUP($A135,'EA-Fortescue_SDExport'!$A:$A,'EA-Fortescue_SDExport'!L:L)</f>
        <v>Public</v>
      </c>
      <c r="M135">
        <f>_xlfn.XLOOKUP($A135,'EA-Fortescue_SDExport'!$A:$A,'EA-Fortescue_SDExport'!M:M)</f>
        <v>0</v>
      </c>
      <c r="N135" t="str">
        <f>_xlfn.XLOOKUP($A135,InterfaceRegister!$A:$A,InterfaceRegister!K:K)</f>
        <v>Deleted</v>
      </c>
      <c r="O135">
        <f>_xlfn.XLOOKUP($A135,'EA-Fortescue_SDExport'!$A:$A,'EA-Fortescue_SDExport'!O:O)</f>
        <v>1</v>
      </c>
      <c r="P135">
        <f>_xlfn.XLOOKUP($A135,'EA-Fortescue_SDExport'!$A:$A,'EA-Fortescue_SDExport'!P:P)</f>
        <v>0</v>
      </c>
      <c r="Q135">
        <f>_xlfn.XLOOKUP($A135,'EA-Fortescue_SDExport'!$A:$A,'EA-Fortescue_SDExport'!Q:Q)</f>
        <v>0</v>
      </c>
      <c r="R135">
        <f>_xlfn.XLOOKUP($A135,'EA-Fortescue_SDExport'!$A:$A,'EA-Fortescue_SDExport'!R:R)</f>
        <v>0</v>
      </c>
      <c r="S135">
        <f>_xlfn.XLOOKUP($A135,'EA-Fortescue_SDExport'!$A:$A,'EA-Fortescue_SDExport'!S:S)</f>
        <v>0</v>
      </c>
      <c r="T135">
        <f>_xlfn.XLOOKUP($A135,'EA-Fortescue_SDExport'!$A:$A,'EA-Fortescue_SDExport'!T:T)</f>
        <v>0</v>
      </c>
      <c r="U135">
        <f>_xlfn.XLOOKUP($A135,'EA-Fortescue_SDExport'!$A:$A,'EA-Fortescue_SDExport'!U:U)</f>
        <v>45957.854120370372</v>
      </c>
      <c r="V135">
        <f>_xlfn.XLOOKUP($A135,'EA-Fortescue_SDExport'!$A:$A,'EA-Fortescue_SDExport'!V:V)</f>
        <v>46036.913159722222</v>
      </c>
      <c r="W135">
        <f>_xlfn.XLOOKUP($A135,'EA-Fortescue_SDExport'!$A:$A,'EA-Fortescue_SDExport'!W:W)</f>
        <v>0</v>
      </c>
      <c r="X135">
        <f>_xlfn.XLOOKUP($A135,'EA-Fortescue_SDExport'!$A:$A,'EA-Fortescue_SDExport'!X:X)</f>
        <v>0</v>
      </c>
      <c r="Y135">
        <f>_xlfn.XLOOKUP($A135,'EA-Fortescue_SDExport'!$A:$A,'EA-Fortescue_SDExport'!Y:Y)</f>
        <v>0</v>
      </c>
      <c r="Z135" t="str">
        <f>_xlfn.XLOOKUP($A135,'EA-Fortescue_SDExport'!$A:$A,'EA-Fortescue_SDExport'!Z:Z)</f>
        <v>SysML1.4::InterfaceBlock</v>
      </c>
      <c r="AA135" t="str">
        <f>_xlfn.XLOOKUP($A135,InterfaceRegister!$A:$A,InterfaceRegister!B:B)</f>
        <v>Archive - 852DC Light Mobile Equipment (LME)|850DC-1510 Chargers</v>
      </c>
      <c r="AB135" t="str">
        <f>_xlfn.XLOOKUP($A135,InterfaceRegister!$A:$A,InterfaceRegister!C:C)</f>
        <v/>
      </c>
      <c r="AC135" t="str">
        <f>_xlfn.XLOOKUP($A135,InterfaceRegister!$A:$A,InterfaceRegister!D:D)</f>
        <v/>
      </c>
      <c r="AD135" t="str">
        <f>_xlfn.XLOOKUP($A135,InterfaceRegister!$A:$A,InterfaceRegister!E:E)</f>
        <v>Program - System Interface</v>
      </c>
      <c r="AE135" t="str">
        <f>_xlfn.XLOOKUP($A135,InterfaceRegister!$A:$A,InterfaceRegister!F:F)</f>
        <v/>
      </c>
      <c r="AF135" t="str">
        <f>_xlfn.XLOOKUP($A135,InterfaceRegister!$A:$A,InterfaceRegister!L:L)</f>
        <v/>
      </c>
      <c r="AG135" t="str">
        <f>_xlfn.XLOOKUP($A135,InterfaceRegister!$A:$A,InterfaceRegister!M:M)</f>
        <v/>
      </c>
      <c r="AH135" t="str">
        <f>_xlfn.XLOOKUP($A135,InterfaceRegister!$A:$A,InterfaceRegister!O:O)</f>
        <v/>
      </c>
      <c r="AI135" t="str">
        <f>_xlfn.XLOOKUP($A135,InterfaceRegister!$A:$A,InterfaceRegister!N:N)</f>
        <v/>
      </c>
      <c r="AJ135" t="str">
        <f>_xlfn.XLOOKUP($A135,'EA-Fortescue_SDExport'!$A:$A,'EA-Fortescue_SDExport'!AX:AX)</f>
        <v>CSVD6E5C594</v>
      </c>
      <c r="AK135">
        <f>_xlfn.XLOOKUP($A135,'EA-Fortescue_SDExport'!$A:$A,'EA-Fortescue_SDExport'!AY:AY)</f>
        <v>0</v>
      </c>
    </row>
    <row r="136" spans="1:37" x14ac:dyDescent="0.25">
      <c r="A136" t="str">
        <v>DGS-I_0135</v>
      </c>
      <c r="B136" t="str">
        <f>_xlfn.XLOOKUP($A136,'EA-Fortescue_SDExport'!$A:$A,'EA-Fortescue_SDExport'!B:B)</f>
        <v>Class</v>
      </c>
      <c r="C136" t="str">
        <f>_xlfn.XLOOKUP($A136,'EA-Fortescue_SDExport'!$A:$A,'EA-Fortescue_SDExport'!C:C)</f>
        <v>{62E0CC14-9ABD-4b96-8261-3DDFA3EBC5BA}</v>
      </c>
      <c r="D136" t="str">
        <f>_xlfn.LET(_xlpm.result, _xlfn.XLOOKUP($A136, InterfaceRegister!$A:$A, InterfaceRegister!P:P), IF(_xlpm.result=0, "", _xlpm.result))</f>
        <v/>
      </c>
      <c r="E136">
        <f>_xlfn.XLOOKUP($A136,'EA-Fortescue_SDExport'!$A:$A,'EA-Fortescue_SDExport'!E:E)</f>
        <v>1</v>
      </c>
      <c r="F136">
        <f>_xlfn.XLOOKUP($A136,'EA-Fortescue_SDExport'!$A:$A,'EA-Fortescue_SDExport'!F:F)</f>
        <v>1</v>
      </c>
      <c r="G136">
        <f>_xlfn.XLOOKUP($A136,'EA-Fortescue_SDExport'!$A:$A,'EA-Fortescue_SDExport'!G:G)</f>
        <v>0</v>
      </c>
      <c r="H136" t="str">
        <f>_xlfn.XLOOKUP($A136,'EA-Fortescue_SDExport'!$A:$A,'EA-Fortescue_SDExport'!H:H)</f>
        <v>InterfaceBlock</v>
      </c>
      <c r="I136" t="str">
        <f>_xlfn.XLOOKUP($A136,'EA-Fortescue_SDExport'!$A:$A,'EA-Fortescue_SDExport'!I:I)</f>
        <v>SysML1.4::InterfaceBlock</v>
      </c>
      <c r="J136" t="str">
        <f>_xlfn.XLOOKUP($A136,'EA-Fortescue_SDExport'!$A:$A,'EA-Fortescue_SDExport'!J:J)</f>
        <v>Java</v>
      </c>
      <c r="K136" t="str">
        <f>_xlfn.XLOOKUP($A136,'EA-Fortescue_SDExport'!$A:$A,'EA-Fortescue_SDExport'!K:K)</f>
        <v>Admin</v>
      </c>
      <c r="L136" t="str">
        <f>_xlfn.XLOOKUP($A136,'EA-Fortescue_SDExport'!$A:$A,'EA-Fortescue_SDExport'!L:L)</f>
        <v>Public</v>
      </c>
      <c r="M136">
        <f>_xlfn.XLOOKUP($A136,'EA-Fortescue_SDExport'!$A:$A,'EA-Fortescue_SDExport'!M:M)</f>
        <v>0</v>
      </c>
      <c r="N136" t="str">
        <f>_xlfn.XLOOKUP($A136,InterfaceRegister!$A:$A,InterfaceRegister!K:K)</f>
        <v>Simplified Interface</v>
      </c>
      <c r="O136">
        <f>_xlfn.XLOOKUP($A136,'EA-Fortescue_SDExport'!$A:$A,'EA-Fortescue_SDExport'!O:O)</f>
        <v>1</v>
      </c>
      <c r="P136">
        <f>_xlfn.XLOOKUP($A136,'EA-Fortescue_SDExport'!$A:$A,'EA-Fortescue_SDExport'!P:P)</f>
        <v>0</v>
      </c>
      <c r="Q136">
        <f>_xlfn.XLOOKUP($A136,'EA-Fortescue_SDExport'!$A:$A,'EA-Fortescue_SDExport'!Q:Q)</f>
        <v>0</v>
      </c>
      <c r="R136">
        <f>_xlfn.XLOOKUP($A136,'EA-Fortescue_SDExport'!$A:$A,'EA-Fortescue_SDExport'!R:R)</f>
        <v>0</v>
      </c>
      <c r="S136">
        <f>_xlfn.XLOOKUP($A136,'EA-Fortescue_SDExport'!$A:$A,'EA-Fortescue_SDExport'!S:S)</f>
        <v>0</v>
      </c>
      <c r="T136">
        <f>_xlfn.XLOOKUP($A136,'EA-Fortescue_SDExport'!$A:$A,'EA-Fortescue_SDExport'!T:T)</f>
        <v>0</v>
      </c>
      <c r="U136">
        <f>_xlfn.XLOOKUP($A136,'EA-Fortescue_SDExport'!$A:$A,'EA-Fortescue_SDExport'!U:U)</f>
        <v>45957.854189814818</v>
      </c>
      <c r="V136">
        <f>_xlfn.XLOOKUP($A136,'EA-Fortescue_SDExport'!$A:$A,'EA-Fortescue_SDExport'!V:V)</f>
        <v>46002.06758101852</v>
      </c>
      <c r="W136">
        <f>_xlfn.XLOOKUP($A136,'EA-Fortescue_SDExport'!$A:$A,'EA-Fortescue_SDExport'!W:W)</f>
        <v>0</v>
      </c>
      <c r="X136">
        <f>_xlfn.XLOOKUP($A136,'EA-Fortescue_SDExport'!$A:$A,'EA-Fortescue_SDExport'!X:X)</f>
        <v>0</v>
      </c>
      <c r="Y136">
        <f>_xlfn.XLOOKUP($A136,'EA-Fortescue_SDExport'!$A:$A,'EA-Fortescue_SDExport'!Y:Y)</f>
        <v>0</v>
      </c>
      <c r="Z136" t="str">
        <f>_xlfn.XLOOKUP($A136,'EA-Fortescue_SDExport'!$A:$A,'EA-Fortescue_SDExport'!Z:Z)</f>
        <v>SysML1.4::InterfaceBlock</v>
      </c>
      <c r="AA136" t="str">
        <f>_xlfn.XLOOKUP($A136,InterfaceRegister!$A:$A,InterfaceRegister!B:B)</f>
        <v>852DC Light Mobile Equipment (LME) &amp; Support Mobile Equipment (SME)|850DC-1510 Chargers</v>
      </c>
      <c r="AB136" t="str">
        <f>_xlfn.XLOOKUP($A136,InterfaceRegister!$A:$A,InterfaceRegister!C:C)</f>
        <v/>
      </c>
      <c r="AC136" t="str">
        <f>_xlfn.XLOOKUP($A136,InterfaceRegister!$A:$A,InterfaceRegister!D:D)</f>
        <v/>
      </c>
      <c r="AD136" t="str">
        <f>_xlfn.XLOOKUP($A136,InterfaceRegister!$A:$A,InterfaceRegister!E:E)</f>
        <v>Program - System Interface</v>
      </c>
      <c r="AE136" t="str">
        <f>_xlfn.XLOOKUP($A136,InterfaceRegister!$A:$A,InterfaceRegister!F:F)</f>
        <v/>
      </c>
      <c r="AF136" t="str">
        <f>_xlfn.XLOOKUP($A136,InterfaceRegister!$A:$A,InterfaceRegister!L:L)</f>
        <v/>
      </c>
      <c r="AG136" t="str">
        <f>_xlfn.XLOOKUP($A136,InterfaceRegister!$A:$A,InterfaceRegister!M:M)</f>
        <v/>
      </c>
      <c r="AH136" t="str">
        <f>_xlfn.XLOOKUP($A136,InterfaceRegister!$A:$A,InterfaceRegister!O:O)</f>
        <v/>
      </c>
      <c r="AI136" t="str">
        <f>_xlfn.XLOOKUP($A136,InterfaceRegister!$A:$A,InterfaceRegister!N:N)</f>
        <v/>
      </c>
      <c r="AJ136" t="str">
        <f>_xlfn.XLOOKUP($A136,'EA-Fortescue_SDExport'!$A:$A,'EA-Fortescue_SDExport'!AX:AX)</f>
        <v>CSV7714ADE1</v>
      </c>
      <c r="AK136">
        <f>_xlfn.XLOOKUP($A136,'EA-Fortescue_SDExport'!$A:$A,'EA-Fortescue_SDExport'!AY:AY)</f>
        <v>0</v>
      </c>
    </row>
    <row r="137" spans="1:37" x14ac:dyDescent="0.25">
      <c r="A137" t="str">
        <v>DGS-I_0136</v>
      </c>
      <c r="B137" t="str">
        <f>_xlfn.XLOOKUP($A137,'EA-Fortescue_SDExport'!$A:$A,'EA-Fortescue_SDExport'!B:B)</f>
        <v>Class</v>
      </c>
      <c r="C137" t="str">
        <f>_xlfn.XLOOKUP($A137,'EA-Fortescue_SDExport'!$A:$A,'EA-Fortescue_SDExport'!C:C)</f>
        <v>{7EE7DC58-4BBF-4bc1-A4E3-E3FEC18EFA44}</v>
      </c>
      <c r="D137" t="str">
        <f>_xlfn.LET(_xlpm.result, _xlfn.XLOOKUP($A137, InterfaceRegister!$A:$A, InterfaceRegister!P:P), IF(_xlpm.result=0, "", _xlpm.result))</f>
        <v/>
      </c>
      <c r="E137">
        <f>_xlfn.XLOOKUP($A137,'EA-Fortescue_SDExport'!$A:$A,'EA-Fortescue_SDExport'!E:E)</f>
        <v>1</v>
      </c>
      <c r="F137">
        <f>_xlfn.XLOOKUP($A137,'EA-Fortescue_SDExport'!$A:$A,'EA-Fortescue_SDExport'!F:F)</f>
        <v>1</v>
      </c>
      <c r="G137">
        <f>_xlfn.XLOOKUP($A137,'EA-Fortescue_SDExport'!$A:$A,'EA-Fortescue_SDExport'!G:G)</f>
        <v>0</v>
      </c>
      <c r="H137" t="str">
        <f>_xlfn.XLOOKUP($A137,'EA-Fortescue_SDExport'!$A:$A,'EA-Fortescue_SDExport'!H:H)</f>
        <v>InterfaceBlock</v>
      </c>
      <c r="I137" t="str">
        <f>_xlfn.XLOOKUP($A137,'EA-Fortescue_SDExport'!$A:$A,'EA-Fortescue_SDExport'!I:I)</f>
        <v>SysML1.4::InterfaceBlock</v>
      </c>
      <c r="J137" t="str">
        <f>_xlfn.XLOOKUP($A137,'EA-Fortescue_SDExport'!$A:$A,'EA-Fortescue_SDExport'!J:J)</f>
        <v>Java</v>
      </c>
      <c r="K137" t="str">
        <f>_xlfn.XLOOKUP($A137,'EA-Fortescue_SDExport'!$A:$A,'EA-Fortescue_SDExport'!K:K)</f>
        <v>Admin</v>
      </c>
      <c r="L137" t="str">
        <f>_xlfn.XLOOKUP($A137,'EA-Fortescue_SDExport'!$A:$A,'EA-Fortescue_SDExport'!L:L)</f>
        <v>Public</v>
      </c>
      <c r="M137">
        <f>_xlfn.XLOOKUP($A137,'EA-Fortescue_SDExport'!$A:$A,'EA-Fortescue_SDExport'!M:M)</f>
        <v>0</v>
      </c>
      <c r="N137" t="str">
        <f>_xlfn.XLOOKUP($A137,InterfaceRegister!$A:$A,InterfaceRegister!K:K)</f>
        <v>Simplified Interface</v>
      </c>
      <c r="O137">
        <f>_xlfn.XLOOKUP($A137,'EA-Fortescue_SDExport'!$A:$A,'EA-Fortescue_SDExport'!O:O)</f>
        <v>1</v>
      </c>
      <c r="P137">
        <f>_xlfn.XLOOKUP($A137,'EA-Fortescue_SDExport'!$A:$A,'EA-Fortescue_SDExport'!P:P)</f>
        <v>0</v>
      </c>
      <c r="Q137">
        <f>_xlfn.XLOOKUP($A137,'EA-Fortescue_SDExport'!$A:$A,'EA-Fortescue_SDExport'!Q:Q)</f>
        <v>0</v>
      </c>
      <c r="R137">
        <f>_xlfn.XLOOKUP($A137,'EA-Fortescue_SDExport'!$A:$A,'EA-Fortescue_SDExport'!R:R)</f>
        <v>0</v>
      </c>
      <c r="S137">
        <f>_xlfn.XLOOKUP($A137,'EA-Fortescue_SDExport'!$A:$A,'EA-Fortescue_SDExport'!S:S)</f>
        <v>0</v>
      </c>
      <c r="T137">
        <f>_xlfn.XLOOKUP($A137,'EA-Fortescue_SDExport'!$A:$A,'EA-Fortescue_SDExport'!T:T)</f>
        <v>0</v>
      </c>
      <c r="U137">
        <f>_xlfn.XLOOKUP($A137,'EA-Fortescue_SDExport'!$A:$A,'EA-Fortescue_SDExport'!U:U)</f>
        <v>45957.854224537034</v>
      </c>
      <c r="V137">
        <f>_xlfn.XLOOKUP($A137,'EA-Fortescue_SDExport'!$A:$A,'EA-Fortescue_SDExport'!V:V)</f>
        <v>46002.067557870374</v>
      </c>
      <c r="W137">
        <f>_xlfn.XLOOKUP($A137,'EA-Fortescue_SDExport'!$A:$A,'EA-Fortescue_SDExport'!W:W)</f>
        <v>0</v>
      </c>
      <c r="X137">
        <f>_xlfn.XLOOKUP($A137,'EA-Fortescue_SDExport'!$A:$A,'EA-Fortescue_SDExport'!X:X)</f>
        <v>0</v>
      </c>
      <c r="Y137">
        <f>_xlfn.XLOOKUP($A137,'EA-Fortescue_SDExport'!$A:$A,'EA-Fortescue_SDExport'!Y:Y)</f>
        <v>0</v>
      </c>
      <c r="Z137" t="str">
        <f>_xlfn.XLOOKUP($A137,'EA-Fortescue_SDExport'!$A:$A,'EA-Fortescue_SDExport'!Z:Z)</f>
        <v>SysML1.4::InterfaceBlock</v>
      </c>
      <c r="AA137" t="str">
        <f>_xlfn.XLOOKUP($A137,InterfaceRegister!$A:$A,InterfaceRegister!B:B)</f>
        <v>851DC Heavy Mobile Equipment (HME)|850DC-1510 Chargers</v>
      </c>
      <c r="AB137" t="str">
        <f>_xlfn.XLOOKUP($A137,InterfaceRegister!$A:$A,InterfaceRegister!C:C)</f>
        <v/>
      </c>
      <c r="AC137" t="str">
        <f>_xlfn.XLOOKUP($A137,InterfaceRegister!$A:$A,InterfaceRegister!D:D)</f>
        <v/>
      </c>
      <c r="AD137" t="str">
        <f>_xlfn.XLOOKUP($A137,InterfaceRegister!$A:$A,InterfaceRegister!E:E)</f>
        <v>Program - System Interface</v>
      </c>
      <c r="AE137" t="str">
        <f>_xlfn.XLOOKUP($A137,InterfaceRegister!$A:$A,InterfaceRegister!F:F)</f>
        <v/>
      </c>
      <c r="AF137" t="str">
        <f>_xlfn.XLOOKUP($A137,InterfaceRegister!$A:$A,InterfaceRegister!L:L)</f>
        <v/>
      </c>
      <c r="AG137" t="str">
        <f>_xlfn.XLOOKUP($A137,InterfaceRegister!$A:$A,InterfaceRegister!M:M)</f>
        <v/>
      </c>
      <c r="AH137" t="str">
        <f>_xlfn.XLOOKUP($A137,InterfaceRegister!$A:$A,InterfaceRegister!O:O)</f>
        <v/>
      </c>
      <c r="AI137" t="str">
        <f>_xlfn.XLOOKUP($A137,InterfaceRegister!$A:$A,InterfaceRegister!N:N)</f>
        <v/>
      </c>
      <c r="AJ137" t="str">
        <f>_xlfn.XLOOKUP($A137,'EA-Fortescue_SDExport'!$A:$A,'EA-Fortescue_SDExport'!AX:AX)</f>
        <v>CSV156F8B49</v>
      </c>
      <c r="AK137">
        <f>_xlfn.XLOOKUP($A137,'EA-Fortescue_SDExport'!$A:$A,'EA-Fortescue_SDExport'!AY:AY)</f>
        <v>0</v>
      </c>
    </row>
    <row r="138" spans="1:37" x14ac:dyDescent="0.25">
      <c r="A138" t="str">
        <v>DGS-I_0137</v>
      </c>
      <c r="B138" t="str">
        <f>_xlfn.XLOOKUP($A138,'EA-Fortescue_SDExport'!$A:$A,'EA-Fortescue_SDExport'!B:B)</f>
        <v>Class</v>
      </c>
      <c r="C138" t="str">
        <f>_xlfn.XLOOKUP($A138,'EA-Fortescue_SDExport'!$A:$A,'EA-Fortescue_SDExport'!C:C)</f>
        <v>{A360C0FF-ACC2-4630-98CC-0484C94727C6}</v>
      </c>
      <c r="D138" t="str">
        <f>_xlfn.LET(_xlpm.result, _xlfn.XLOOKUP($A138, InterfaceRegister!$A:$A, InterfaceRegister!P:P), IF(_xlpm.result=0, "", _xlpm.result))</f>
        <v>NH 20/02/2026: Fields updated: Interface Type, Interface Flow.</v>
      </c>
      <c r="E138">
        <f>_xlfn.XLOOKUP($A138,'EA-Fortescue_SDExport'!$A:$A,'EA-Fortescue_SDExport'!E:E)</f>
        <v>1</v>
      </c>
      <c r="F138">
        <f>_xlfn.XLOOKUP($A138,'EA-Fortescue_SDExport'!$A:$A,'EA-Fortescue_SDExport'!F:F)</f>
        <v>1</v>
      </c>
      <c r="G138">
        <f>_xlfn.XLOOKUP($A138,'EA-Fortescue_SDExport'!$A:$A,'EA-Fortescue_SDExport'!G:G)</f>
        <v>0</v>
      </c>
      <c r="H138" t="str">
        <f>_xlfn.XLOOKUP($A138,'EA-Fortescue_SDExport'!$A:$A,'EA-Fortescue_SDExport'!H:H)</f>
        <v>InterfaceBlock</v>
      </c>
      <c r="I138" t="str">
        <f>_xlfn.XLOOKUP($A138,'EA-Fortescue_SDExport'!$A:$A,'EA-Fortescue_SDExport'!I:I)</f>
        <v>SysML1.4::InterfaceBlock</v>
      </c>
      <c r="J138" t="str">
        <f>_xlfn.XLOOKUP($A138,'EA-Fortescue_SDExport'!$A:$A,'EA-Fortescue_SDExport'!J:J)</f>
        <v>Java</v>
      </c>
      <c r="K138" t="str">
        <f>_xlfn.XLOOKUP($A138,'EA-Fortescue_SDExport'!$A:$A,'EA-Fortescue_SDExport'!K:K)</f>
        <v>Admin</v>
      </c>
      <c r="L138" t="str">
        <f>_xlfn.XLOOKUP($A138,'EA-Fortescue_SDExport'!$A:$A,'EA-Fortescue_SDExport'!L:L)</f>
        <v>Public</v>
      </c>
      <c r="M138">
        <f>_xlfn.XLOOKUP($A138,'EA-Fortescue_SDExport'!$A:$A,'EA-Fortescue_SDExport'!M:M)</f>
        <v>0</v>
      </c>
      <c r="N138" t="str">
        <f>_xlfn.XLOOKUP($A138,InterfaceRegister!$A:$A,InterfaceRegister!K:K)</f>
        <v>Proposed</v>
      </c>
      <c r="O138">
        <f>_xlfn.XLOOKUP($A138,'EA-Fortescue_SDExport'!$A:$A,'EA-Fortescue_SDExport'!O:O)</f>
        <v>1</v>
      </c>
      <c r="P138">
        <f>_xlfn.XLOOKUP($A138,'EA-Fortescue_SDExport'!$A:$A,'EA-Fortescue_SDExport'!P:P)</f>
        <v>0</v>
      </c>
      <c r="Q138">
        <f>_xlfn.XLOOKUP($A138,'EA-Fortescue_SDExport'!$A:$A,'EA-Fortescue_SDExport'!Q:Q)</f>
        <v>0</v>
      </c>
      <c r="R138">
        <f>_xlfn.XLOOKUP($A138,'EA-Fortescue_SDExport'!$A:$A,'EA-Fortescue_SDExport'!R:R)</f>
        <v>0</v>
      </c>
      <c r="S138">
        <f>_xlfn.XLOOKUP($A138,'EA-Fortescue_SDExport'!$A:$A,'EA-Fortescue_SDExport'!S:S)</f>
        <v>0</v>
      </c>
      <c r="T138">
        <f>_xlfn.XLOOKUP($A138,'EA-Fortescue_SDExport'!$A:$A,'EA-Fortescue_SDExport'!T:T)</f>
        <v>0</v>
      </c>
      <c r="U138">
        <f>_xlfn.XLOOKUP($A138,'EA-Fortescue_SDExport'!$A:$A,'EA-Fortescue_SDExport'!U:U)</f>
        <v>45957.866643518515</v>
      </c>
      <c r="V138">
        <f>_xlfn.XLOOKUP($A138,'EA-Fortescue_SDExport'!$A:$A,'EA-Fortescue_SDExport'!V:V)</f>
        <v>46077.993217592593</v>
      </c>
      <c r="W138">
        <f>_xlfn.XLOOKUP($A138,'EA-Fortescue_SDExport'!$A:$A,'EA-Fortescue_SDExport'!W:W)</f>
        <v>0</v>
      </c>
      <c r="X138">
        <f>_xlfn.XLOOKUP($A138,'EA-Fortescue_SDExport'!$A:$A,'EA-Fortescue_SDExport'!X:X)</f>
        <v>0</v>
      </c>
      <c r="Y138">
        <f>_xlfn.XLOOKUP($A138,'EA-Fortescue_SDExport'!$A:$A,'EA-Fortescue_SDExport'!Y:Y)</f>
        <v>0</v>
      </c>
      <c r="Z138" t="str">
        <f>_xlfn.XLOOKUP($A138,'EA-Fortescue_SDExport'!$A:$A,'EA-Fortescue_SDExport'!Z:Z)</f>
        <v>SysML1.4::InterfaceBlock</v>
      </c>
      <c r="AA138" t="str">
        <f>_xlfn.XLOOKUP($A138,InterfaceRegister!$A:$A,InterfaceRegister!B:B)</f>
        <v>859DC-1410-001-001 HaulX Dispatch (Fleet Management System (FMS))|852DC Light Mobile Equipment (LME) &amp; Support Mobile Equipment (SME)</v>
      </c>
      <c r="AB138" t="str">
        <f>_xlfn.XLOOKUP($A138,InterfaceRegister!$A:$A,InterfaceRegister!C:C)</f>
        <v/>
      </c>
      <c r="AC138" t="str">
        <f>_xlfn.XLOOKUP($A138,InterfaceRegister!$A:$A,InterfaceRegister!D:D)</f>
        <v/>
      </c>
      <c r="AD138" t="str">
        <f>_xlfn.XLOOKUP($A138,InterfaceRegister!$A:$A,InterfaceRegister!E:E)</f>
        <v>Program - Subsystem Interface</v>
      </c>
      <c r="AE138" t="str">
        <f>_xlfn.XLOOKUP($A138,InterfaceRegister!$A:$A,InterfaceRegister!F:F)</f>
        <v>Technical-Data/Software</v>
      </c>
      <c r="AF138" t="str">
        <f>_xlfn.XLOOKUP($A138,InterfaceRegister!$A:$A,InterfaceRegister!L:L)</f>
        <v>This interface allows HaulX Dispatch to update SMEs with tasking information, operational context, or priorities, aligning SME actions with haulage requirements.</v>
      </c>
      <c r="AG138" t="str">
        <f>_xlfn.XLOOKUP($A138,InterfaceRegister!$A:$A,InterfaceRegister!M:M)</f>
        <v>LOW</v>
      </c>
      <c r="AH138" t="str">
        <f>_xlfn.XLOOKUP($A138,InterfaceRegister!$A:$A,InterfaceRegister!O:O)</f>
        <v>Data Flow:_x000D_
859DC-1410-001 HaulX Dispatch -&gt; 852DC Light Mobile Equipment (LME) &amp; Support Mobile Equipment (SME), transmitting tasking information, operational context, work locations, routing guidance, and priority updates to align SME activities with haulage operations._x000D_
852DC LME &amp; SME -&gt; 859DC-1410-001 HaulX, transmitting location (GPS), availability status, task progress, and basic operational state to support dispatch visibility and coordination.</v>
      </c>
      <c r="AI138" t="str">
        <f>_xlfn.XLOOKUP($A138,InterfaceRegister!$A:$A,InterfaceRegister!N:N)</f>
        <v>The criticality level is LOW because SMEs offer support rather than core production output, and dispatching for primary haul trucks remains unaffected. Losing this interface decreases SME utilisation efficiency but does not affect safety or production continuity.</v>
      </c>
      <c r="AJ138" t="str">
        <f>_xlfn.XLOOKUP($A138,'EA-Fortescue_SDExport'!$A:$A,'EA-Fortescue_SDExport'!AX:AX)</f>
        <v>CSV23494E65</v>
      </c>
      <c r="AK138">
        <f>_xlfn.XLOOKUP($A138,'EA-Fortescue_SDExport'!$A:$A,'EA-Fortescue_SDExport'!AY:AY)</f>
        <v>0</v>
      </c>
    </row>
    <row r="139" spans="1:37" x14ac:dyDescent="0.25">
      <c r="A139" t="str">
        <v>DGS-I_0138</v>
      </c>
      <c r="B139" t="str">
        <f>_xlfn.XLOOKUP($A139,'EA-Fortescue_SDExport'!$A:$A,'EA-Fortescue_SDExport'!B:B)</f>
        <v>Class</v>
      </c>
      <c r="C139" t="str">
        <f>_xlfn.XLOOKUP($A139,'EA-Fortescue_SDExport'!$A:$A,'EA-Fortescue_SDExport'!C:C)</f>
        <v>{4B50FF52-4121-44bf-9F43-7D2530B096E7}</v>
      </c>
      <c r="D139" t="str">
        <f>_xlfn.LET(_xlpm.result, _xlfn.XLOOKUP($A139, InterfaceRegister!$A:$A, InterfaceRegister!P:P), IF(_xlpm.result=0, "", _xlpm.result))</f>
        <v/>
      </c>
      <c r="E139">
        <f>_xlfn.XLOOKUP($A139,'EA-Fortescue_SDExport'!$A:$A,'EA-Fortescue_SDExport'!E:E)</f>
        <v>1</v>
      </c>
      <c r="F139">
        <f>_xlfn.XLOOKUP($A139,'EA-Fortescue_SDExport'!$A:$A,'EA-Fortescue_SDExport'!F:F)</f>
        <v>1</v>
      </c>
      <c r="G139">
        <f>_xlfn.XLOOKUP($A139,'EA-Fortescue_SDExport'!$A:$A,'EA-Fortescue_SDExport'!G:G)</f>
        <v>0</v>
      </c>
      <c r="H139" t="str">
        <f>_xlfn.XLOOKUP($A139,'EA-Fortescue_SDExport'!$A:$A,'EA-Fortescue_SDExport'!H:H)</f>
        <v>InterfaceBlock</v>
      </c>
      <c r="I139" t="str">
        <f>_xlfn.XLOOKUP($A139,'EA-Fortescue_SDExport'!$A:$A,'EA-Fortescue_SDExport'!I:I)</f>
        <v>SysML1.4::InterfaceBlock</v>
      </c>
      <c r="J139" t="str">
        <f>_xlfn.XLOOKUP($A139,'EA-Fortescue_SDExport'!$A:$A,'EA-Fortescue_SDExport'!J:J)</f>
        <v>Java</v>
      </c>
      <c r="K139" t="str">
        <f>_xlfn.XLOOKUP($A139,'EA-Fortescue_SDExport'!$A:$A,'EA-Fortescue_SDExport'!K:K)</f>
        <v>Admin</v>
      </c>
      <c r="L139" t="str">
        <f>_xlfn.XLOOKUP($A139,'EA-Fortescue_SDExport'!$A:$A,'EA-Fortescue_SDExport'!L:L)</f>
        <v>Public</v>
      </c>
      <c r="M139">
        <f>_xlfn.XLOOKUP($A139,'EA-Fortescue_SDExport'!$A:$A,'EA-Fortescue_SDExport'!M:M)</f>
        <v>0</v>
      </c>
      <c r="N139" t="str">
        <f>_xlfn.XLOOKUP($A139,InterfaceRegister!$A:$A,InterfaceRegister!K:K)</f>
        <v>Simplified Interface</v>
      </c>
      <c r="O139">
        <f>_xlfn.XLOOKUP($A139,'EA-Fortescue_SDExport'!$A:$A,'EA-Fortescue_SDExport'!O:O)</f>
        <v>1</v>
      </c>
      <c r="P139">
        <f>_xlfn.XLOOKUP($A139,'EA-Fortescue_SDExport'!$A:$A,'EA-Fortescue_SDExport'!P:P)</f>
        <v>0</v>
      </c>
      <c r="Q139">
        <f>_xlfn.XLOOKUP($A139,'EA-Fortescue_SDExport'!$A:$A,'EA-Fortescue_SDExport'!Q:Q)</f>
        <v>0</v>
      </c>
      <c r="R139">
        <f>_xlfn.XLOOKUP($A139,'EA-Fortescue_SDExport'!$A:$A,'EA-Fortescue_SDExport'!R:R)</f>
        <v>0</v>
      </c>
      <c r="S139">
        <f>_xlfn.XLOOKUP($A139,'EA-Fortescue_SDExport'!$A:$A,'EA-Fortescue_SDExport'!S:S)</f>
        <v>0</v>
      </c>
      <c r="T139">
        <f>_xlfn.XLOOKUP($A139,'EA-Fortescue_SDExport'!$A:$A,'EA-Fortescue_SDExport'!T:T)</f>
        <v>0</v>
      </c>
      <c r="U139">
        <f>_xlfn.XLOOKUP($A139,'EA-Fortescue_SDExport'!$A:$A,'EA-Fortescue_SDExport'!U:U)</f>
        <v>45957.869641203702</v>
      </c>
      <c r="V139">
        <f>_xlfn.XLOOKUP($A139,'EA-Fortescue_SDExport'!$A:$A,'EA-Fortescue_SDExport'!V:V)</f>
        <v>46002.067604166667</v>
      </c>
      <c r="W139">
        <f>_xlfn.XLOOKUP($A139,'EA-Fortescue_SDExport'!$A:$A,'EA-Fortescue_SDExport'!W:W)</f>
        <v>0</v>
      </c>
      <c r="X139">
        <f>_xlfn.XLOOKUP($A139,'EA-Fortescue_SDExport'!$A:$A,'EA-Fortescue_SDExport'!X:X)</f>
        <v>0</v>
      </c>
      <c r="Y139">
        <f>_xlfn.XLOOKUP($A139,'EA-Fortescue_SDExport'!$A:$A,'EA-Fortescue_SDExport'!Y:Y)</f>
        <v>0</v>
      </c>
      <c r="Z139" t="str">
        <f>_xlfn.XLOOKUP($A139,'EA-Fortescue_SDExport'!$A:$A,'EA-Fortescue_SDExport'!Z:Z)</f>
        <v>SysML1.4::InterfaceBlock</v>
      </c>
      <c r="AA139" t="str">
        <f>_xlfn.XLOOKUP($A139,InterfaceRegister!$A:$A,InterfaceRegister!B:B)</f>
        <v>854DC-5670 Energy Generation - Solar|854DC-5680 Battery Energy Storage System (BESS)</v>
      </c>
      <c r="AB139" t="str">
        <f>_xlfn.XLOOKUP($A139,InterfaceRegister!$A:$A,InterfaceRegister!C:C)</f>
        <v/>
      </c>
      <c r="AC139" t="str">
        <f>_xlfn.XLOOKUP($A139,InterfaceRegister!$A:$A,InterfaceRegister!D:D)</f>
        <v/>
      </c>
      <c r="AD139" t="str">
        <f>_xlfn.XLOOKUP($A139,InterfaceRegister!$A:$A,InterfaceRegister!E:E)</f>
        <v>System - System Interface</v>
      </c>
      <c r="AE139" t="str">
        <f>_xlfn.XLOOKUP($A139,InterfaceRegister!$A:$A,InterfaceRegister!F:F)</f>
        <v/>
      </c>
      <c r="AF139" t="str">
        <f>_xlfn.XLOOKUP($A139,InterfaceRegister!$A:$A,InterfaceRegister!L:L)</f>
        <v/>
      </c>
      <c r="AG139" t="str">
        <f>_xlfn.XLOOKUP($A139,InterfaceRegister!$A:$A,InterfaceRegister!M:M)</f>
        <v/>
      </c>
      <c r="AH139" t="str">
        <f>_xlfn.XLOOKUP($A139,InterfaceRegister!$A:$A,InterfaceRegister!O:O)</f>
        <v/>
      </c>
      <c r="AI139" t="str">
        <f>_xlfn.XLOOKUP($A139,InterfaceRegister!$A:$A,InterfaceRegister!N:N)</f>
        <v/>
      </c>
      <c r="AJ139" t="str">
        <f>_xlfn.XLOOKUP($A139,'EA-Fortescue_SDExport'!$A:$A,'EA-Fortescue_SDExport'!AX:AX)</f>
        <v>CSV6757BE1C</v>
      </c>
      <c r="AK139">
        <f>_xlfn.XLOOKUP($A139,'EA-Fortescue_SDExport'!$A:$A,'EA-Fortescue_SDExport'!AY:AY)</f>
        <v>0</v>
      </c>
    </row>
    <row r="140" spans="1:37" x14ac:dyDescent="0.25">
      <c r="A140" t="str">
        <v>DGS-I_0139</v>
      </c>
      <c r="B140" t="str">
        <f>_xlfn.XLOOKUP($A140,'EA-Fortescue_SDExport'!$A:$A,'EA-Fortescue_SDExport'!B:B)</f>
        <v>Class</v>
      </c>
      <c r="C140" t="str">
        <f>_xlfn.XLOOKUP($A140,'EA-Fortescue_SDExport'!$A:$A,'EA-Fortescue_SDExport'!C:C)</f>
        <v>{4E959ED9-F697-4d7a-AE55-D906526E6D4C}</v>
      </c>
      <c r="D140" t="str">
        <f>_xlfn.LET(_xlpm.result, _xlfn.XLOOKUP($A140, InterfaceRegister!$A:$A, InterfaceRegister!P:P), IF(_xlpm.result=0, "", _xlpm.result))</f>
        <v>NH 20/02/2026: Fields updated: Interface Type, Interface Flow.</v>
      </c>
      <c r="E140">
        <f>_xlfn.XLOOKUP($A140,'EA-Fortescue_SDExport'!$A:$A,'EA-Fortescue_SDExport'!E:E)</f>
        <v>1</v>
      </c>
      <c r="F140">
        <f>_xlfn.XLOOKUP($A140,'EA-Fortescue_SDExport'!$A:$A,'EA-Fortescue_SDExport'!F:F)</f>
        <v>1</v>
      </c>
      <c r="G140">
        <f>_xlfn.XLOOKUP($A140,'EA-Fortescue_SDExport'!$A:$A,'EA-Fortescue_SDExport'!G:G)</f>
        <v>0</v>
      </c>
      <c r="H140" t="str">
        <f>_xlfn.XLOOKUP($A140,'EA-Fortescue_SDExport'!$A:$A,'EA-Fortescue_SDExport'!H:H)</f>
        <v>InterfaceBlock</v>
      </c>
      <c r="I140" t="str">
        <f>_xlfn.XLOOKUP($A140,'EA-Fortescue_SDExport'!$A:$A,'EA-Fortescue_SDExport'!I:I)</f>
        <v>SysML1.4::InterfaceBlock</v>
      </c>
      <c r="J140" t="str">
        <f>_xlfn.XLOOKUP($A140,'EA-Fortescue_SDExport'!$A:$A,'EA-Fortescue_SDExport'!J:J)</f>
        <v>Java</v>
      </c>
      <c r="K140" t="str">
        <f>_xlfn.XLOOKUP($A140,'EA-Fortescue_SDExport'!$A:$A,'EA-Fortescue_SDExport'!K:K)</f>
        <v>Admin</v>
      </c>
      <c r="L140" t="str">
        <f>_xlfn.XLOOKUP($A140,'EA-Fortescue_SDExport'!$A:$A,'EA-Fortescue_SDExport'!L:L)</f>
        <v>Public</v>
      </c>
      <c r="M140">
        <f>_xlfn.XLOOKUP($A140,'EA-Fortescue_SDExport'!$A:$A,'EA-Fortescue_SDExport'!M:M)</f>
        <v>0</v>
      </c>
      <c r="N140" t="str">
        <f>_xlfn.XLOOKUP($A140,InterfaceRegister!$A:$A,InterfaceRegister!K:K)</f>
        <v>Proposed</v>
      </c>
      <c r="O140">
        <f>_xlfn.XLOOKUP($A140,'EA-Fortescue_SDExport'!$A:$A,'EA-Fortescue_SDExport'!O:O)</f>
        <v>1</v>
      </c>
      <c r="P140">
        <f>_xlfn.XLOOKUP($A140,'EA-Fortescue_SDExport'!$A:$A,'EA-Fortescue_SDExport'!P:P)</f>
        <v>0</v>
      </c>
      <c r="Q140">
        <f>_xlfn.XLOOKUP($A140,'EA-Fortescue_SDExport'!$A:$A,'EA-Fortescue_SDExport'!Q:Q)</f>
        <v>0</v>
      </c>
      <c r="R140">
        <f>_xlfn.XLOOKUP($A140,'EA-Fortescue_SDExport'!$A:$A,'EA-Fortescue_SDExport'!R:R)</f>
        <v>0</v>
      </c>
      <c r="S140">
        <f>_xlfn.XLOOKUP($A140,'EA-Fortescue_SDExport'!$A:$A,'EA-Fortescue_SDExport'!S:S)</f>
        <v>0</v>
      </c>
      <c r="T140">
        <f>_xlfn.XLOOKUP($A140,'EA-Fortescue_SDExport'!$A:$A,'EA-Fortescue_SDExport'!T:T)</f>
        <v>0</v>
      </c>
      <c r="U140">
        <f>_xlfn.XLOOKUP($A140,'EA-Fortescue_SDExport'!$A:$A,'EA-Fortescue_SDExport'!U:U)</f>
        <v>45895.912002314813</v>
      </c>
      <c r="V140">
        <f>_xlfn.XLOOKUP($A140,'EA-Fortescue_SDExport'!$A:$A,'EA-Fortescue_SDExport'!V:V)</f>
        <v>46077.99322916667</v>
      </c>
      <c r="W140">
        <f>_xlfn.XLOOKUP($A140,'EA-Fortescue_SDExport'!$A:$A,'EA-Fortescue_SDExport'!W:W)</f>
        <v>0</v>
      </c>
      <c r="X140">
        <f>_xlfn.XLOOKUP($A140,'EA-Fortescue_SDExport'!$A:$A,'EA-Fortescue_SDExport'!X:X)</f>
        <v>0</v>
      </c>
      <c r="Y140">
        <f>_xlfn.XLOOKUP($A140,'EA-Fortescue_SDExport'!$A:$A,'EA-Fortescue_SDExport'!Y:Y)</f>
        <v>0</v>
      </c>
      <c r="Z140" t="str">
        <f>_xlfn.XLOOKUP($A140,'EA-Fortescue_SDExport'!$A:$A,'EA-Fortescue_SDExport'!Z:Z)</f>
        <v>SysML1.4::InterfaceBlock</v>
      </c>
      <c r="AA140" t="str">
        <f>_xlfn.XLOOKUP($A140,InterfaceRegister!$A:$A,InterfaceRegister!B:B)</f>
        <v>855DC-1542-LMS Load Management System (LMS)|HIVE</v>
      </c>
      <c r="AB140" t="str">
        <f>_xlfn.XLOOKUP($A140,InterfaceRegister!$A:$A,InterfaceRegister!C:C)</f>
        <v>Sam Hedgcock</v>
      </c>
      <c r="AC140" t="str">
        <f>_xlfn.XLOOKUP($A140,InterfaceRegister!$A:$A,InterfaceRegister!D:D)</f>
        <v>TBC</v>
      </c>
      <c r="AD140" t="str">
        <f>_xlfn.XLOOKUP($A140,InterfaceRegister!$A:$A,InterfaceRegister!E:E)</f>
        <v>Stakeholder - Project Interface</v>
      </c>
      <c r="AE140" t="str">
        <f>_xlfn.XLOOKUP($A140,InterfaceRegister!$A:$A,InterfaceRegister!F:F)</f>
        <v>Technical-Data/Software</v>
      </c>
      <c r="AF140" t="str">
        <f>_xlfn.XLOOKUP($A140,InterfaceRegister!$A:$A,InterfaceRegister!L:L)</f>
        <v>This interface provides HIVE with real-time load data and operating statuses from LMS, enabling HIVE to align operational decisions with site-wide electrical constraints.</v>
      </c>
      <c r="AG140" t="str">
        <f>_xlfn.XLOOKUP($A140,InterfaceRegister!$A:$A,InterfaceRegister!M:M)</f>
        <v>LOW</v>
      </c>
      <c r="AH140" t="str">
        <f>_xlfn.XLOOKUP($A140,InterfaceRegister!$A:$A,InterfaceRegister!O:O)</f>
        <v>Data Flow:_x000D_
855DC-1542-LMS Load Management System (LMS) -&gt; HIVE, transmitting real-time electrical load data, system operating status, and constraint information to support operational alignment with site-wide electrical capacity and limitations.</v>
      </c>
      <c r="AI140" t="str">
        <f>_xlfn.XLOOKUP($A140,InterfaceRegister!$A:$A,InterfaceRegister!N:N)</f>
        <v>The criticality level is LOW because HIVE can continue operating using static or historical data in the short term, and the temporary loss of electrical load visibility does not affect immediate production. While this link improves coordination and decision-making, it does not impact safety systems or the equipment's ability to function.</v>
      </c>
      <c r="AJ140" t="str">
        <f>_xlfn.XLOOKUP($A140,'EA-Fortescue_SDExport'!$A:$A,'EA-Fortescue_SDExport'!AX:AX)</f>
        <v>CSV4AAAA83F</v>
      </c>
      <c r="AK140">
        <f>_xlfn.XLOOKUP($A140,'EA-Fortescue_SDExport'!$A:$A,'EA-Fortescue_SDExport'!AY:AY)</f>
        <v>0</v>
      </c>
    </row>
    <row r="141" spans="1:37" x14ac:dyDescent="0.25">
      <c r="A141" t="str">
        <v>DGS-I_0140</v>
      </c>
      <c r="B141" t="str">
        <f>_xlfn.XLOOKUP($A141,'EA-Fortescue_SDExport'!$A:$A,'EA-Fortescue_SDExport'!B:B)</f>
        <v>Class</v>
      </c>
      <c r="C141" t="str">
        <f>_xlfn.XLOOKUP($A141,'EA-Fortescue_SDExport'!$A:$A,'EA-Fortescue_SDExport'!C:C)</f>
        <v>{F81884CD-A666-4ab2-9452-6C1C0C6DF7C9}</v>
      </c>
      <c r="D141" t="str">
        <f>_xlfn.LET(_xlpm.result, _xlfn.XLOOKUP($A141, InterfaceRegister!$A:$A, InterfaceRegister!P:P), IF(_xlpm.result=0, "", _xlpm.result))</f>
        <v>NH 20/02/2026: Fields updated: Interface Type, Interface Flow.</v>
      </c>
      <c r="E141">
        <f>_xlfn.XLOOKUP($A141,'EA-Fortescue_SDExport'!$A:$A,'EA-Fortescue_SDExport'!E:E)</f>
        <v>1</v>
      </c>
      <c r="F141">
        <f>_xlfn.XLOOKUP($A141,'EA-Fortescue_SDExport'!$A:$A,'EA-Fortescue_SDExport'!F:F)</f>
        <v>1</v>
      </c>
      <c r="G141">
        <f>_xlfn.XLOOKUP($A141,'EA-Fortescue_SDExport'!$A:$A,'EA-Fortescue_SDExport'!G:G)</f>
        <v>0</v>
      </c>
      <c r="H141" t="str">
        <f>_xlfn.XLOOKUP($A141,'EA-Fortescue_SDExport'!$A:$A,'EA-Fortescue_SDExport'!H:H)</f>
        <v>InterfaceBlock</v>
      </c>
      <c r="I141" t="str">
        <f>_xlfn.XLOOKUP($A141,'EA-Fortescue_SDExport'!$A:$A,'EA-Fortescue_SDExport'!I:I)</f>
        <v>SysML1.4::InterfaceBlock</v>
      </c>
      <c r="J141" t="str">
        <f>_xlfn.XLOOKUP($A141,'EA-Fortescue_SDExport'!$A:$A,'EA-Fortescue_SDExport'!J:J)</f>
        <v>Java</v>
      </c>
      <c r="K141" t="str">
        <f>_xlfn.XLOOKUP($A141,'EA-Fortescue_SDExport'!$A:$A,'EA-Fortescue_SDExport'!K:K)</f>
        <v>Admin</v>
      </c>
      <c r="L141" t="str">
        <f>_xlfn.XLOOKUP($A141,'EA-Fortescue_SDExport'!$A:$A,'EA-Fortescue_SDExport'!L:L)</f>
        <v>Public</v>
      </c>
      <c r="M141">
        <f>_xlfn.XLOOKUP($A141,'EA-Fortescue_SDExport'!$A:$A,'EA-Fortescue_SDExport'!M:M)</f>
        <v>0</v>
      </c>
      <c r="N141" t="str">
        <f>_xlfn.XLOOKUP($A141,InterfaceRegister!$A:$A,InterfaceRegister!K:K)</f>
        <v>Proposed</v>
      </c>
      <c r="O141">
        <f>_xlfn.XLOOKUP($A141,'EA-Fortescue_SDExport'!$A:$A,'EA-Fortescue_SDExport'!O:O)</f>
        <v>1</v>
      </c>
      <c r="P141">
        <f>_xlfn.XLOOKUP($A141,'EA-Fortescue_SDExport'!$A:$A,'EA-Fortescue_SDExport'!P:P)</f>
        <v>0</v>
      </c>
      <c r="Q141">
        <f>_xlfn.XLOOKUP($A141,'EA-Fortescue_SDExport'!$A:$A,'EA-Fortescue_SDExport'!Q:Q)</f>
        <v>0</v>
      </c>
      <c r="R141">
        <f>_xlfn.XLOOKUP($A141,'EA-Fortescue_SDExport'!$A:$A,'EA-Fortescue_SDExport'!R:R)</f>
        <v>0</v>
      </c>
      <c r="S141">
        <f>_xlfn.XLOOKUP($A141,'EA-Fortescue_SDExport'!$A:$A,'EA-Fortescue_SDExport'!S:S)</f>
        <v>0</v>
      </c>
      <c r="T141">
        <f>_xlfn.XLOOKUP($A141,'EA-Fortescue_SDExport'!$A:$A,'EA-Fortescue_SDExport'!T:T)</f>
        <v>0</v>
      </c>
      <c r="U141">
        <f>_xlfn.XLOOKUP($A141,'EA-Fortescue_SDExport'!$A:$A,'EA-Fortescue_SDExport'!U:U)</f>
        <v>45895.911840277775</v>
      </c>
      <c r="V141">
        <f>_xlfn.XLOOKUP($A141,'EA-Fortescue_SDExport'!$A:$A,'EA-Fortescue_SDExport'!V:V)</f>
        <v>46077.99322916667</v>
      </c>
      <c r="W141">
        <f>_xlfn.XLOOKUP($A141,'EA-Fortescue_SDExport'!$A:$A,'EA-Fortescue_SDExport'!W:W)</f>
        <v>0</v>
      </c>
      <c r="X141">
        <f>_xlfn.XLOOKUP($A141,'EA-Fortescue_SDExport'!$A:$A,'EA-Fortescue_SDExport'!X:X)</f>
        <v>0</v>
      </c>
      <c r="Y141">
        <f>_xlfn.XLOOKUP($A141,'EA-Fortescue_SDExport'!$A:$A,'EA-Fortescue_SDExport'!Y:Y)</f>
        <v>0</v>
      </c>
      <c r="Z141" t="str">
        <f>_xlfn.XLOOKUP($A141,'EA-Fortescue_SDExport'!$A:$A,'EA-Fortescue_SDExport'!Z:Z)</f>
        <v>SysML1.4::InterfaceBlock</v>
      </c>
      <c r="AA141" t="str">
        <f>_xlfn.XLOOKUP($A141,InterfaceRegister!$A:$A,InterfaceRegister!B:B)</f>
        <v>855DC-1542-LMS Load Management System (LMS)|Energy Operations (HIVE)</v>
      </c>
      <c r="AB141" t="str">
        <f>_xlfn.XLOOKUP($A141,InterfaceRegister!$A:$A,InterfaceRegister!C:C)</f>
        <v>Sam Hedgcock</v>
      </c>
      <c r="AC141" t="str">
        <f>_xlfn.XLOOKUP($A141,InterfaceRegister!$A:$A,InterfaceRegister!D:D)</f>
        <v>TBC</v>
      </c>
      <c r="AD141" t="str">
        <f>_xlfn.XLOOKUP($A141,InterfaceRegister!$A:$A,InterfaceRegister!E:E)</f>
        <v>Stakeholder - Project Interface</v>
      </c>
      <c r="AE141" t="str">
        <f>_xlfn.XLOOKUP($A141,InterfaceRegister!$A:$A,InterfaceRegister!F:F)</f>
        <v>Technical-Data/Software</v>
      </c>
      <c r="AF141" t="str">
        <f>_xlfn.XLOOKUP($A141,InterfaceRegister!$A:$A,InterfaceRegister!L:L)</f>
        <v>This interface enables LMS to deliver live load profiles and power-demand data to Energy Operations, allowing energy controllers to balance supply and prevent overloads.</v>
      </c>
      <c r="AG141" t="str">
        <f>_xlfn.XLOOKUP($A141,InterfaceRegister!$A:$A,InterfaceRegister!M:M)</f>
        <v>MEDIUM</v>
      </c>
      <c r="AH141" t="str">
        <f>_xlfn.XLOOKUP($A141,InterfaceRegister!$A:$A,InterfaceRegister!O:O)</f>
        <v>Data Flow: Load Management System (LMS) -&gt; Energy Operations (live load profiles, real-time power demand, load forecasts, network status, overload alarms) to support balancing decisions and prevent electrical overloads.</v>
      </c>
      <c r="AI141" t="str">
        <f>_xlfn.XLOOKUP($A141,InterfaceRegister!$A:$A,InterfaceRegister!N:N)</f>
        <v>The criticality level is MEDIUM because losing this interface diminishes the energy team's capacity to respond to load fluctuations, increasing the risk of localised overloads or forced load-shedding. Although the wider electrical network is typically resilient enough to handle short-term issues, reduced visibility heightens operational risk and could result in unnecessary shutdowns.</v>
      </c>
      <c r="AJ141" t="str">
        <f>_xlfn.XLOOKUP($A141,'EA-Fortescue_SDExport'!$A:$A,'EA-Fortescue_SDExport'!AX:AX)</f>
        <v>CSVEEF7F3FA</v>
      </c>
      <c r="AK141">
        <f>_xlfn.XLOOKUP($A141,'EA-Fortescue_SDExport'!$A:$A,'EA-Fortescue_SDExport'!AY:AY)</f>
        <v>0</v>
      </c>
    </row>
    <row r="142" spans="1:37" x14ac:dyDescent="0.25">
      <c r="A142" t="str">
        <v>DGS-I_0141</v>
      </c>
      <c r="B142" t="str">
        <f>_xlfn.XLOOKUP($A142,'EA-Fortescue_SDExport'!$A:$A,'EA-Fortescue_SDExport'!B:B)</f>
        <v>Class</v>
      </c>
      <c r="C142" t="str">
        <f>_xlfn.XLOOKUP($A142,'EA-Fortescue_SDExport'!$A:$A,'EA-Fortescue_SDExport'!C:C)</f>
        <v>{38792A9D-56EC-485b-AAF6-B6FC2363CAC9}</v>
      </c>
      <c r="D142" t="str">
        <f>_xlfn.LET(_xlpm.result, _xlfn.XLOOKUP($A142, InterfaceRegister!$A:$A, InterfaceRegister!P:P), IF(_xlpm.result=0, "", _xlpm.result))</f>
        <v>NH 20/02/2026: Fields updated: Interface Type, Interface Flow.</v>
      </c>
      <c r="E142">
        <f>_xlfn.XLOOKUP($A142,'EA-Fortescue_SDExport'!$A:$A,'EA-Fortescue_SDExport'!E:E)</f>
        <v>1</v>
      </c>
      <c r="F142">
        <f>_xlfn.XLOOKUP($A142,'EA-Fortescue_SDExport'!$A:$A,'EA-Fortescue_SDExport'!F:F)</f>
        <v>1</v>
      </c>
      <c r="G142">
        <f>_xlfn.XLOOKUP($A142,'EA-Fortescue_SDExport'!$A:$A,'EA-Fortescue_SDExport'!G:G)</f>
        <v>0</v>
      </c>
      <c r="H142" t="str">
        <f>_xlfn.XLOOKUP($A142,'EA-Fortescue_SDExport'!$A:$A,'EA-Fortescue_SDExport'!H:H)</f>
        <v>InterfaceBlock</v>
      </c>
      <c r="I142" t="str">
        <f>_xlfn.XLOOKUP($A142,'EA-Fortescue_SDExport'!$A:$A,'EA-Fortescue_SDExport'!I:I)</f>
        <v>SysML1.4::InterfaceBlock</v>
      </c>
      <c r="J142" t="str">
        <f>_xlfn.XLOOKUP($A142,'EA-Fortescue_SDExport'!$A:$A,'EA-Fortescue_SDExport'!J:J)</f>
        <v>Java</v>
      </c>
      <c r="K142" t="str">
        <f>_xlfn.XLOOKUP($A142,'EA-Fortescue_SDExport'!$A:$A,'EA-Fortescue_SDExport'!K:K)</f>
        <v>Admin</v>
      </c>
      <c r="L142" t="str">
        <f>_xlfn.XLOOKUP($A142,'EA-Fortescue_SDExport'!$A:$A,'EA-Fortescue_SDExport'!L:L)</f>
        <v>Public</v>
      </c>
      <c r="M142">
        <f>_xlfn.XLOOKUP($A142,'EA-Fortescue_SDExport'!$A:$A,'EA-Fortescue_SDExport'!M:M)</f>
        <v>0</v>
      </c>
      <c r="N142" t="str">
        <f>_xlfn.XLOOKUP($A142,InterfaceRegister!$A:$A,InterfaceRegister!K:K)</f>
        <v>Proposed</v>
      </c>
      <c r="O142">
        <f>_xlfn.XLOOKUP($A142,'EA-Fortescue_SDExport'!$A:$A,'EA-Fortescue_SDExport'!O:O)</f>
        <v>1</v>
      </c>
      <c r="P142">
        <f>_xlfn.XLOOKUP($A142,'EA-Fortescue_SDExport'!$A:$A,'EA-Fortescue_SDExport'!P:P)</f>
        <v>0</v>
      </c>
      <c r="Q142">
        <f>_xlfn.XLOOKUP($A142,'EA-Fortescue_SDExport'!$A:$A,'EA-Fortescue_SDExport'!Q:Q)</f>
        <v>0</v>
      </c>
      <c r="R142">
        <f>_xlfn.XLOOKUP($A142,'EA-Fortescue_SDExport'!$A:$A,'EA-Fortescue_SDExport'!R:R)</f>
        <v>0</v>
      </c>
      <c r="S142">
        <f>_xlfn.XLOOKUP($A142,'EA-Fortescue_SDExport'!$A:$A,'EA-Fortescue_SDExport'!S:S)</f>
        <v>0</v>
      </c>
      <c r="T142">
        <f>_xlfn.XLOOKUP($A142,'EA-Fortescue_SDExport'!$A:$A,'EA-Fortescue_SDExport'!T:T)</f>
        <v>0</v>
      </c>
      <c r="U142">
        <f>_xlfn.XLOOKUP($A142,'EA-Fortescue_SDExport'!$A:$A,'EA-Fortescue_SDExport'!U:U)</f>
        <v>45895.911747685182</v>
      </c>
      <c r="V142">
        <f>_xlfn.XLOOKUP($A142,'EA-Fortescue_SDExport'!$A:$A,'EA-Fortescue_SDExport'!V:V)</f>
        <v>46077.993217592593</v>
      </c>
      <c r="W142">
        <f>_xlfn.XLOOKUP($A142,'EA-Fortescue_SDExport'!$A:$A,'EA-Fortescue_SDExport'!W:W)</f>
        <v>0</v>
      </c>
      <c r="X142">
        <f>_xlfn.XLOOKUP($A142,'EA-Fortescue_SDExport'!$A:$A,'EA-Fortescue_SDExport'!X:X)</f>
        <v>0</v>
      </c>
      <c r="Y142">
        <f>_xlfn.XLOOKUP($A142,'EA-Fortescue_SDExport'!$A:$A,'EA-Fortescue_SDExport'!Y:Y)</f>
        <v>0</v>
      </c>
      <c r="Z142" t="str">
        <f>_xlfn.XLOOKUP($A142,'EA-Fortescue_SDExport'!$A:$A,'EA-Fortescue_SDExport'!Z:Z)</f>
        <v>SysML1.4::InterfaceBlock</v>
      </c>
      <c r="AA142" t="str">
        <f>_xlfn.XLOOKUP($A142,InterfaceRegister!$A:$A,InterfaceRegister!B:B)</f>
        <v>Mining Operations|855DC-1542-LMS Load Management System (LMS)</v>
      </c>
      <c r="AB142" t="str">
        <f>_xlfn.XLOOKUP($A142,InterfaceRegister!$A:$A,InterfaceRegister!C:C)</f>
        <v>Sam Hedgcock</v>
      </c>
      <c r="AC142" t="str">
        <f>_xlfn.XLOOKUP($A142,InterfaceRegister!$A:$A,InterfaceRegister!D:D)</f>
        <v>TBC</v>
      </c>
      <c r="AD142" t="str">
        <f>_xlfn.XLOOKUP($A142,InterfaceRegister!$A:$A,InterfaceRegister!E:E)</f>
        <v>Stakeholder - Project Interface</v>
      </c>
      <c r="AE142" t="str">
        <f>_xlfn.XLOOKUP($A142,InterfaceRegister!$A:$A,InterfaceRegister!F:F)</f>
        <v>Technical-Data/Software</v>
      </c>
      <c r="AF142" t="str">
        <f>_xlfn.XLOOKUP($A142,InterfaceRegister!$A:$A,InterfaceRegister!L:L)</f>
        <v>This interface provides Mining Operations with visibility into electrical load constraints and real-time consumption data from LMS, helping supervisors make informed decisions about equipment scheduling and power-intensive activities.</v>
      </c>
      <c r="AG142" t="str">
        <f>_xlfn.XLOOKUP($A142,InterfaceRegister!$A:$A,InterfaceRegister!M:M)</f>
        <v>LOW</v>
      </c>
      <c r="AH142" t="str">
        <f>_xlfn.XLOOKUP($A142,InterfaceRegister!$A:$A,InterfaceRegister!O:O)</f>
        <v>Data Flow:_x000D_
855DC-1542-LMS Load Management System (LMS) -&gt; Mining Operations, transmitting electrical load constraints, real-time consumption data, available capacity margins, and system status information to support equipment scheduling and power-intensive activity planning.</v>
      </c>
      <c r="AI142" t="str">
        <f>_xlfn.XLOOKUP($A142,InterfaceRegister!$A:$A,InterfaceRegister!N:N)</f>
        <v>The criticality level is LOW because Mining Operations can still function, though with less awareness of available power margins and potential constraints. Loss of the interface reduces planning quality but does not directly stop equipment or impact electrical safety, as LMS continues to enforce limits independently.</v>
      </c>
      <c r="AJ142" t="str">
        <f>_xlfn.XLOOKUP($A142,'EA-Fortescue_SDExport'!$A:$A,'EA-Fortescue_SDExport'!AX:AX)</f>
        <v>CSV1C96F349</v>
      </c>
      <c r="AK142">
        <f>_xlfn.XLOOKUP($A142,'EA-Fortescue_SDExport'!$A:$A,'EA-Fortescue_SDExport'!AY:AY)</f>
        <v>0</v>
      </c>
    </row>
    <row r="143" spans="1:37" x14ac:dyDescent="0.25">
      <c r="A143" t="str">
        <v>DGS-I_0142</v>
      </c>
      <c r="B143" t="str">
        <f>_xlfn.XLOOKUP($A143,'EA-Fortescue_SDExport'!$A:$A,'EA-Fortescue_SDExport'!B:B)</f>
        <v>Class</v>
      </c>
      <c r="C143" t="str">
        <f>_xlfn.XLOOKUP($A143,'EA-Fortescue_SDExport'!$A:$A,'EA-Fortescue_SDExport'!C:C)</f>
        <v>{D3A1961F-0700-491d-B873-9F2BDDD91424}</v>
      </c>
      <c r="D143" t="str">
        <f>_xlfn.LET(_xlpm.result, _xlfn.XLOOKUP($A143, InterfaceRegister!$A:$A, InterfaceRegister!P:P), IF(_xlpm.result=0, "", _xlpm.result))</f>
        <v>NH 20/02/2026: Fields updated: Interface Type, Interface Flow.</v>
      </c>
      <c r="E143">
        <f>_xlfn.XLOOKUP($A143,'EA-Fortescue_SDExport'!$A:$A,'EA-Fortescue_SDExport'!E:E)</f>
        <v>1</v>
      </c>
      <c r="F143">
        <f>_xlfn.XLOOKUP($A143,'EA-Fortescue_SDExport'!$A:$A,'EA-Fortescue_SDExport'!F:F)</f>
        <v>1</v>
      </c>
      <c r="G143">
        <f>_xlfn.XLOOKUP($A143,'EA-Fortescue_SDExport'!$A:$A,'EA-Fortescue_SDExport'!G:G)</f>
        <v>0</v>
      </c>
      <c r="H143" t="str">
        <f>_xlfn.XLOOKUP($A143,'EA-Fortescue_SDExport'!$A:$A,'EA-Fortescue_SDExport'!H:H)</f>
        <v>InterfaceBlock</v>
      </c>
      <c r="I143" t="str">
        <f>_xlfn.XLOOKUP($A143,'EA-Fortescue_SDExport'!$A:$A,'EA-Fortescue_SDExport'!I:I)</f>
        <v>SysML1.4::InterfaceBlock</v>
      </c>
      <c r="J143" t="str">
        <f>_xlfn.XLOOKUP($A143,'EA-Fortescue_SDExport'!$A:$A,'EA-Fortescue_SDExport'!J:J)</f>
        <v>Java</v>
      </c>
      <c r="K143" t="str">
        <f>_xlfn.XLOOKUP($A143,'EA-Fortescue_SDExport'!$A:$A,'EA-Fortescue_SDExport'!K:K)</f>
        <v>Admin</v>
      </c>
      <c r="L143" t="str">
        <f>_xlfn.XLOOKUP($A143,'EA-Fortescue_SDExport'!$A:$A,'EA-Fortescue_SDExport'!L:L)</f>
        <v>Public</v>
      </c>
      <c r="M143">
        <f>_xlfn.XLOOKUP($A143,'EA-Fortescue_SDExport'!$A:$A,'EA-Fortescue_SDExport'!M:M)</f>
        <v>0</v>
      </c>
      <c r="N143" t="str">
        <f>_xlfn.XLOOKUP($A143,InterfaceRegister!$A:$A,InterfaceRegister!K:K)</f>
        <v>Proposed</v>
      </c>
      <c r="O143">
        <f>_xlfn.XLOOKUP($A143,'EA-Fortescue_SDExport'!$A:$A,'EA-Fortescue_SDExport'!O:O)</f>
        <v>1</v>
      </c>
      <c r="P143">
        <f>_xlfn.XLOOKUP($A143,'EA-Fortescue_SDExport'!$A:$A,'EA-Fortescue_SDExport'!P:P)</f>
        <v>0</v>
      </c>
      <c r="Q143">
        <f>_xlfn.XLOOKUP($A143,'EA-Fortescue_SDExport'!$A:$A,'EA-Fortescue_SDExport'!Q:Q)</f>
        <v>0</v>
      </c>
      <c r="R143">
        <f>_xlfn.XLOOKUP($A143,'EA-Fortescue_SDExport'!$A:$A,'EA-Fortescue_SDExport'!R:R)</f>
        <v>0</v>
      </c>
      <c r="S143">
        <f>_xlfn.XLOOKUP($A143,'EA-Fortescue_SDExport'!$A:$A,'EA-Fortescue_SDExport'!S:S)</f>
        <v>0</v>
      </c>
      <c r="T143">
        <f>_xlfn.XLOOKUP($A143,'EA-Fortescue_SDExport'!$A:$A,'EA-Fortescue_SDExport'!T:T)</f>
        <v>0</v>
      </c>
      <c r="U143">
        <f>_xlfn.XLOOKUP($A143,'EA-Fortescue_SDExport'!$A:$A,'EA-Fortescue_SDExport'!U:U)</f>
        <v>45897.919270833336</v>
      </c>
      <c r="V143">
        <f>_xlfn.XLOOKUP($A143,'EA-Fortescue_SDExport'!$A:$A,'EA-Fortescue_SDExport'!V:V)</f>
        <v>46077.99322916667</v>
      </c>
      <c r="W143">
        <f>_xlfn.XLOOKUP($A143,'EA-Fortescue_SDExport'!$A:$A,'EA-Fortescue_SDExport'!W:W)</f>
        <v>0</v>
      </c>
      <c r="X143">
        <f>_xlfn.XLOOKUP($A143,'EA-Fortescue_SDExport'!$A:$A,'EA-Fortescue_SDExport'!X:X)</f>
        <v>0</v>
      </c>
      <c r="Y143">
        <f>_xlfn.XLOOKUP($A143,'EA-Fortescue_SDExport'!$A:$A,'EA-Fortescue_SDExport'!Y:Y)</f>
        <v>0</v>
      </c>
      <c r="Z143" t="str">
        <f>_xlfn.XLOOKUP($A143,'EA-Fortescue_SDExport'!$A:$A,'EA-Fortescue_SDExport'!Z:Z)</f>
        <v>SysML1.4::InterfaceBlock</v>
      </c>
      <c r="AA143" t="str">
        <f>_xlfn.XLOOKUP($A143,InterfaceRegister!$A:$A,InterfaceRegister!B:B)</f>
        <v>855DC-1542-LMS Load Management System (LMS)|Mine Services</v>
      </c>
      <c r="AB143" t="str">
        <f>_xlfn.XLOOKUP($A143,InterfaceRegister!$A:$A,InterfaceRegister!C:C)</f>
        <v>Sam Hedgcock</v>
      </c>
      <c r="AC143" t="str">
        <f>_xlfn.XLOOKUP($A143,InterfaceRegister!$A:$A,InterfaceRegister!D:D)</f>
        <v>TBC</v>
      </c>
      <c r="AD143" t="str">
        <f>_xlfn.XLOOKUP($A143,InterfaceRegister!$A:$A,InterfaceRegister!E:E)</f>
        <v>Stakeholder - Project Interface</v>
      </c>
      <c r="AE143" t="str">
        <f>_xlfn.XLOOKUP($A143,InterfaceRegister!$A:$A,InterfaceRegister!F:F)</f>
        <v>Technical-Data/Software</v>
      </c>
      <c r="AF143" t="str">
        <f>_xlfn.XLOOKUP($A143,InterfaceRegister!$A:$A,InterfaceRegister!L:L)</f>
        <v>This interface allows LMS to share load limits and electrical capacity data with Mine Services, ensuring that supporting infrastructure (such as dewatering, ventilation, pumps, or lighting) operates safely within network limits.</v>
      </c>
      <c r="AG143" t="str">
        <f>_xlfn.XLOOKUP($A143,InterfaceRegister!$A:$A,InterfaceRegister!M:M)</f>
        <v>MEDIUM</v>
      </c>
      <c r="AH143" t="str">
        <f>_xlfn.XLOOKUP($A143,InterfaceRegister!$A:$A,InterfaceRegister!O:O)</f>
        <v>Data Flow: Load Management System (LMS) -&gt; Mine Services (load limits, available electrical capacity, curtailment signals, network status, overload warnings) to ensure supporting infrastructure operates within network constraints.</v>
      </c>
      <c r="AI143" t="str">
        <f>_xlfn.XLOOKUP($A143,InterfaceRegister!$A:$A,InterfaceRegister!N:N)</f>
        <v>The criticality level is MEDIUM because Mine Services equipment often runs continuously, and power imbalances can disrupt critical support systems, although basic operations can continue briefly without real-time visibility. Awareness of electrical load is vital for safe and efficient use of supporting infrastructure, and losing the interface increases the risk of unplanned constraints or equipment shutdowns.</v>
      </c>
      <c r="AJ143" t="str">
        <f>_xlfn.XLOOKUP($A143,'EA-Fortescue_SDExport'!$A:$A,'EA-Fortescue_SDExport'!AX:AX)</f>
        <v>CSV09B5583D</v>
      </c>
      <c r="AK143">
        <f>_xlfn.XLOOKUP($A143,'EA-Fortescue_SDExport'!$A:$A,'EA-Fortescue_SDExport'!AY:AY)</f>
        <v>0</v>
      </c>
    </row>
    <row r="144" spans="1:37" x14ac:dyDescent="0.25">
      <c r="A144" t="str">
        <v>DGS-I_0143</v>
      </c>
      <c r="B144" t="str">
        <f>_xlfn.XLOOKUP($A144,'EA-Fortescue_SDExport'!$A:$A,'EA-Fortescue_SDExport'!B:B)</f>
        <v>Class</v>
      </c>
      <c r="C144" t="str">
        <f>_xlfn.XLOOKUP($A144,'EA-Fortescue_SDExport'!$A:$A,'EA-Fortescue_SDExport'!C:C)</f>
        <v>{646E838A-D6A9-481d-97FD-0C1680F9DCEF}</v>
      </c>
      <c r="D144" t="str">
        <f>_xlfn.LET(_xlpm.result, _xlfn.XLOOKUP($A144, InterfaceRegister!$A:$A, InterfaceRegister!P:P), IF(_xlpm.result=0, "", _xlpm.result))</f>
        <v>LMS Review 30/10/2025: PLC is on the interlock sequence of the Excavator. Delete. Duplicate of the LMS to Excavator.</v>
      </c>
      <c r="E144">
        <f>_xlfn.XLOOKUP($A144,'EA-Fortescue_SDExport'!$A:$A,'EA-Fortescue_SDExport'!E:E)</f>
        <v>1</v>
      </c>
      <c r="F144">
        <f>_xlfn.XLOOKUP($A144,'EA-Fortescue_SDExport'!$A:$A,'EA-Fortescue_SDExport'!F:F)</f>
        <v>1</v>
      </c>
      <c r="G144">
        <f>_xlfn.XLOOKUP($A144,'EA-Fortescue_SDExport'!$A:$A,'EA-Fortescue_SDExport'!G:G)</f>
        <v>0</v>
      </c>
      <c r="H144" t="str">
        <f>_xlfn.XLOOKUP($A144,'EA-Fortescue_SDExport'!$A:$A,'EA-Fortescue_SDExport'!H:H)</f>
        <v>InterfaceBlock</v>
      </c>
      <c r="I144" t="str">
        <f>_xlfn.XLOOKUP($A144,'EA-Fortescue_SDExport'!$A:$A,'EA-Fortescue_SDExport'!I:I)</f>
        <v>SysML1.4::InterfaceBlock</v>
      </c>
      <c r="J144" t="str">
        <f>_xlfn.XLOOKUP($A144,'EA-Fortescue_SDExport'!$A:$A,'EA-Fortescue_SDExport'!J:J)</f>
        <v>Java</v>
      </c>
      <c r="K144" t="str">
        <f>_xlfn.XLOOKUP($A144,'EA-Fortescue_SDExport'!$A:$A,'EA-Fortescue_SDExport'!K:K)</f>
        <v>Admin</v>
      </c>
      <c r="L144" t="str">
        <f>_xlfn.XLOOKUP($A144,'EA-Fortescue_SDExport'!$A:$A,'EA-Fortescue_SDExport'!L:L)</f>
        <v>Public</v>
      </c>
      <c r="M144">
        <f>_xlfn.XLOOKUP($A144,'EA-Fortescue_SDExport'!$A:$A,'EA-Fortescue_SDExport'!M:M)</f>
        <v>0</v>
      </c>
      <c r="N144" t="str">
        <f>_xlfn.XLOOKUP($A144,InterfaceRegister!$A:$A,InterfaceRegister!K:K)</f>
        <v>Deleted</v>
      </c>
      <c r="O144">
        <f>_xlfn.XLOOKUP($A144,'EA-Fortescue_SDExport'!$A:$A,'EA-Fortescue_SDExport'!O:O)</f>
        <v>1</v>
      </c>
      <c r="P144">
        <f>_xlfn.XLOOKUP($A144,'EA-Fortescue_SDExport'!$A:$A,'EA-Fortescue_SDExport'!P:P)</f>
        <v>0</v>
      </c>
      <c r="Q144">
        <f>_xlfn.XLOOKUP($A144,'EA-Fortescue_SDExport'!$A:$A,'EA-Fortescue_SDExport'!Q:Q)</f>
        <v>0</v>
      </c>
      <c r="R144">
        <f>_xlfn.XLOOKUP($A144,'EA-Fortescue_SDExport'!$A:$A,'EA-Fortescue_SDExport'!R:R)</f>
        <v>0</v>
      </c>
      <c r="S144">
        <f>_xlfn.XLOOKUP($A144,'EA-Fortescue_SDExport'!$A:$A,'EA-Fortescue_SDExport'!S:S)</f>
        <v>0</v>
      </c>
      <c r="T144">
        <f>_xlfn.XLOOKUP($A144,'EA-Fortescue_SDExport'!$A:$A,'EA-Fortescue_SDExport'!T:T)</f>
        <v>0</v>
      </c>
      <c r="U144">
        <f>_xlfn.XLOOKUP($A144,'EA-Fortescue_SDExport'!$A:$A,'EA-Fortescue_SDExport'!U:U)</f>
        <v>45958.472083333334</v>
      </c>
      <c r="V144">
        <f>_xlfn.XLOOKUP($A144,'EA-Fortescue_SDExport'!$A:$A,'EA-Fortescue_SDExport'!V:V)</f>
        <v>46002.067557870374</v>
      </c>
      <c r="W144">
        <f>_xlfn.XLOOKUP($A144,'EA-Fortescue_SDExport'!$A:$A,'EA-Fortescue_SDExport'!W:W)</f>
        <v>0</v>
      </c>
      <c r="X144">
        <f>_xlfn.XLOOKUP($A144,'EA-Fortescue_SDExport'!$A:$A,'EA-Fortescue_SDExport'!X:X)</f>
        <v>0</v>
      </c>
      <c r="Y144">
        <f>_xlfn.XLOOKUP($A144,'EA-Fortescue_SDExport'!$A:$A,'EA-Fortescue_SDExport'!Y:Y)</f>
        <v>0</v>
      </c>
      <c r="Z144" t="str">
        <f>_xlfn.XLOOKUP($A144,'EA-Fortescue_SDExport'!$A:$A,'EA-Fortescue_SDExport'!Z:Z)</f>
        <v>SysML1.4::InterfaceBlock</v>
      </c>
      <c r="AA144" t="str">
        <f>_xlfn.XLOOKUP($A144,InterfaceRegister!$A:$A,InterfaceRegister!B:B)</f>
        <v>851DC Heavy Mobile Equipment (HME)|855DC-1542-LMS Load Management System (LMS)</v>
      </c>
      <c r="AB144" t="str">
        <f>_xlfn.XLOOKUP($A144,InterfaceRegister!$A:$A,InterfaceRegister!C:C)</f>
        <v>Sam Hedgcock</v>
      </c>
      <c r="AC144" t="str">
        <f>_xlfn.XLOOKUP($A144,InterfaceRegister!$A:$A,InterfaceRegister!D:D)</f>
        <v>TBC</v>
      </c>
      <c r="AD144" t="str">
        <f>_xlfn.XLOOKUP($A144,InterfaceRegister!$A:$A,InterfaceRegister!E:E)</f>
        <v>Program - Project Interface</v>
      </c>
      <c r="AE144" t="str">
        <f>_xlfn.XLOOKUP($A144,InterfaceRegister!$A:$A,InterfaceRegister!F:F)</f>
        <v/>
      </c>
      <c r="AF144" t="str">
        <f>_xlfn.XLOOKUP($A144,InterfaceRegister!$A:$A,InterfaceRegister!L:L)</f>
        <v>This interface provides electrical load constraints and power availability information from the Load Management System (LMS) to Heavy Mobile Equipment (HME) operators or control systems, helping ensure HME operates safely within the site's electrical limits, particularly during high-draw activities like charging or auxiliary load use.</v>
      </c>
      <c r="AG144" t="str">
        <f>_xlfn.XLOOKUP($A144,InterfaceRegister!$A:$A,InterfaceRegister!M:M)</f>
        <v>MEDIUM</v>
      </c>
      <c r="AH144" t="str">
        <f>_xlfn.XLOOKUP($A144,InterfaceRegister!$A:$A,InterfaceRegister!O:O)</f>
        <v/>
      </c>
      <c r="AI144" t="str">
        <f>_xlfn.XLOOKUP($A144,InterfaceRegister!$A:$A,InterfaceRegister!N:N)</f>
        <v>The criticality level is MEDIUM because while HME can continue to operate, a loss of load-management visibility may force operational slowdowns or require conservative charging behaviour to avoid electrical overloads. LMS supports safe and efficient coordination between large mobile equipment and electrical systems, and outages may increase operational risk, but do not immediately halt equipment.</v>
      </c>
      <c r="AJ144" t="str">
        <f>_xlfn.XLOOKUP($A144,'EA-Fortescue_SDExport'!$A:$A,'EA-Fortescue_SDExport'!AX:AX)</f>
        <v>CSV2D1A383C</v>
      </c>
      <c r="AK144">
        <f>_xlfn.XLOOKUP($A144,'EA-Fortescue_SDExport'!$A:$A,'EA-Fortescue_SDExport'!AY:AY)</f>
        <v>0</v>
      </c>
    </row>
    <row r="145" spans="1:37" x14ac:dyDescent="0.25">
      <c r="A145" t="str">
        <v>DGS-I_0144</v>
      </c>
      <c r="B145" t="str">
        <f>_xlfn.XLOOKUP($A145,'EA-Fortescue_SDExport'!$A:$A,'EA-Fortescue_SDExport'!B:B)</f>
        <v>Class</v>
      </c>
      <c r="C145" t="str">
        <f>_xlfn.XLOOKUP($A145,'EA-Fortescue_SDExport'!$A:$A,'EA-Fortescue_SDExport'!C:C)</f>
        <v>{7866C7DA-55AF-45dc-AB51-9D03E3EC3254}</v>
      </c>
      <c r="D145" t="str">
        <f>_xlfn.LET(_xlpm.result, _xlfn.XLOOKUP($A145, InterfaceRegister!$A:$A, InterfaceRegister!P:P), IF(_xlpm.result=0, "", _xlpm.result))</f>
        <v>LMS Review 30/10/2025: PLC is on the interlock sequence of the Excavator._x000D_
NH 25/02/2026: Fields updated:Interface Type</v>
      </c>
      <c r="E145">
        <f>_xlfn.XLOOKUP($A145,'EA-Fortescue_SDExport'!$A:$A,'EA-Fortescue_SDExport'!E:E)</f>
        <v>1</v>
      </c>
      <c r="F145">
        <f>_xlfn.XLOOKUP($A145,'EA-Fortescue_SDExport'!$A:$A,'EA-Fortescue_SDExport'!F:F)</f>
        <v>1</v>
      </c>
      <c r="G145">
        <f>_xlfn.XLOOKUP($A145,'EA-Fortescue_SDExport'!$A:$A,'EA-Fortescue_SDExport'!G:G)</f>
        <v>0</v>
      </c>
      <c r="H145" t="str">
        <f>_xlfn.XLOOKUP($A145,'EA-Fortescue_SDExport'!$A:$A,'EA-Fortescue_SDExport'!H:H)</f>
        <v>InterfaceBlock</v>
      </c>
      <c r="I145" t="str">
        <f>_xlfn.XLOOKUP($A145,'EA-Fortescue_SDExport'!$A:$A,'EA-Fortescue_SDExport'!I:I)</f>
        <v>SysML1.4::InterfaceBlock</v>
      </c>
      <c r="J145" t="str">
        <f>_xlfn.XLOOKUP($A145,'EA-Fortescue_SDExport'!$A:$A,'EA-Fortescue_SDExport'!J:J)</f>
        <v>Java</v>
      </c>
      <c r="K145" t="str">
        <f>_xlfn.XLOOKUP($A145,'EA-Fortescue_SDExport'!$A:$A,'EA-Fortescue_SDExport'!K:K)</f>
        <v>Admin</v>
      </c>
      <c r="L145" t="str">
        <f>_xlfn.XLOOKUP($A145,'EA-Fortescue_SDExport'!$A:$A,'EA-Fortescue_SDExport'!L:L)</f>
        <v>Public</v>
      </c>
      <c r="M145">
        <f>_xlfn.XLOOKUP($A145,'EA-Fortescue_SDExport'!$A:$A,'EA-Fortescue_SDExport'!M:M)</f>
        <v>0</v>
      </c>
      <c r="N145" t="str">
        <f>_xlfn.XLOOKUP($A145,InterfaceRegister!$A:$A,InterfaceRegister!K:K)</f>
        <v>Proposed</v>
      </c>
      <c r="O145">
        <f>_xlfn.XLOOKUP($A145,'EA-Fortescue_SDExport'!$A:$A,'EA-Fortescue_SDExport'!O:O)</f>
        <v>1</v>
      </c>
      <c r="P145">
        <f>_xlfn.XLOOKUP($A145,'EA-Fortescue_SDExport'!$A:$A,'EA-Fortescue_SDExport'!P:P)</f>
        <v>0</v>
      </c>
      <c r="Q145">
        <f>_xlfn.XLOOKUP($A145,'EA-Fortescue_SDExport'!$A:$A,'EA-Fortescue_SDExport'!Q:Q)</f>
        <v>0</v>
      </c>
      <c r="R145">
        <f>_xlfn.XLOOKUP($A145,'EA-Fortescue_SDExport'!$A:$A,'EA-Fortescue_SDExport'!R:R)</f>
        <v>0</v>
      </c>
      <c r="S145">
        <f>_xlfn.XLOOKUP($A145,'EA-Fortescue_SDExport'!$A:$A,'EA-Fortescue_SDExport'!S:S)</f>
        <v>0</v>
      </c>
      <c r="T145">
        <f>_xlfn.XLOOKUP($A145,'EA-Fortescue_SDExport'!$A:$A,'EA-Fortescue_SDExport'!T:T)</f>
        <v>0</v>
      </c>
      <c r="U145">
        <f>_xlfn.XLOOKUP($A145,'EA-Fortescue_SDExport'!$A:$A,'EA-Fortescue_SDExport'!U:U)</f>
        <v>45895.896747685183</v>
      </c>
      <c r="V145">
        <f>_xlfn.XLOOKUP($A145,'EA-Fortescue_SDExport'!$A:$A,'EA-Fortescue_SDExport'!V:V)</f>
        <v>46077.993206018517</v>
      </c>
      <c r="W145">
        <f>_xlfn.XLOOKUP($A145,'EA-Fortescue_SDExport'!$A:$A,'EA-Fortescue_SDExport'!W:W)</f>
        <v>0</v>
      </c>
      <c r="X145">
        <f>_xlfn.XLOOKUP($A145,'EA-Fortescue_SDExport'!$A:$A,'EA-Fortescue_SDExport'!X:X)</f>
        <v>0</v>
      </c>
      <c r="Y145">
        <f>_xlfn.XLOOKUP($A145,'EA-Fortescue_SDExport'!$A:$A,'EA-Fortescue_SDExport'!Y:Y)</f>
        <v>0</v>
      </c>
      <c r="Z145" t="str">
        <f>_xlfn.XLOOKUP($A145,'EA-Fortescue_SDExport'!$A:$A,'EA-Fortescue_SDExport'!Z:Z)</f>
        <v>SysML1.4::InterfaceBlock</v>
      </c>
      <c r="AA145" t="str">
        <f>_xlfn.XLOOKUP($A145,InterfaceRegister!$A:$A,InterfaceRegister!B:B)</f>
        <v>855DC-1542-LMS Load Management System (LMS)|851DC-1591 Excavator (&gt;110t)</v>
      </c>
      <c r="AB145" t="str">
        <f>_xlfn.XLOOKUP($A145,InterfaceRegister!$A:$A,InterfaceRegister!C:C)</f>
        <v>Sam Hedgcock</v>
      </c>
      <c r="AC145" t="str">
        <f>_xlfn.XLOOKUP($A145,InterfaceRegister!$A:$A,InterfaceRegister!D:D)</f>
        <v>Glen Carruthers</v>
      </c>
      <c r="AD145" t="str">
        <f>_xlfn.XLOOKUP($A145,InterfaceRegister!$A:$A,InterfaceRegister!E:E)</f>
        <v>System - Project Interface</v>
      </c>
      <c r="AE145" t="str">
        <f>_xlfn.XLOOKUP($A145,InterfaceRegister!$A:$A,InterfaceRegister!F:F)</f>
        <v>Technical-Electrical</v>
      </c>
      <c r="AF145" t="str">
        <f>_xlfn.XLOOKUP($A145,InterfaceRegister!$A:$A,InterfaceRegister!L:L)</f>
        <v>This interface enables the Load Management System (LMS) to control and coordinate the electrical supply to the electric excavator through the excavator's PLC-based interlock sequence. The PLC acts as the safety and operational gatekeeper ensuring the excavator only draws power when system conditions allow, and that the load is removed safely when constraints arise.</v>
      </c>
      <c r="AG145" t="str">
        <f>_xlfn.XLOOKUP($A145,InterfaceRegister!$A:$A,InterfaceRegister!M:M)</f>
        <v>HIGH</v>
      </c>
      <c r="AH145" t="str">
        <f>_xlfn.XLOOKUP($A145,InterfaceRegister!$A:$A,InterfaceRegister!O:O)</f>
        <v>LMS -&gt; Interface PLC -&gt; Excavator Interlock PLC -&gt; Excavator Drive Systems</v>
      </c>
      <c r="AI145" t="str">
        <f>_xlfn.XLOOKUP($A145,InterfaceRegister!$A:$A,InterfaceRegister!N:N)</f>
        <v>The criticality level is HIGH because failure may halt mining operations due to incorrect load control or interlock failure. This risks equipment damage, network instability, or safety issues, as excavators are core production assets.</v>
      </c>
      <c r="AJ145" t="str">
        <f>_xlfn.XLOOKUP($A145,'EA-Fortescue_SDExport'!$A:$A,'EA-Fortescue_SDExport'!AX:AX)</f>
        <v>CSV2675FDC3</v>
      </c>
      <c r="AK145">
        <f>_xlfn.XLOOKUP($A145,'EA-Fortescue_SDExport'!$A:$A,'EA-Fortescue_SDExport'!AY:AY)</f>
        <v>0</v>
      </c>
    </row>
    <row r="146" spans="1:37" x14ac:dyDescent="0.25">
      <c r="A146" t="str">
        <v>DGS-I_0145</v>
      </c>
      <c r="B146" t="str">
        <f>_xlfn.XLOOKUP($A146,'EA-Fortescue_SDExport'!$A:$A,'EA-Fortescue_SDExport'!B:B)</f>
        <v>Class</v>
      </c>
      <c r="C146" t="str">
        <f>_xlfn.XLOOKUP($A146,'EA-Fortescue_SDExport'!$A:$A,'EA-Fortescue_SDExport'!C:C)</f>
        <v>{486B96AA-B8F4-4b43-B726-37D75C114973}</v>
      </c>
      <c r="D146" t="str">
        <f>_xlfn.LET(_xlpm.result, _xlfn.XLOOKUP($A146, InterfaceRegister!$A:$A, InterfaceRegister!P:P), IF(_xlpm.result=0, "", _xlpm.result))</f>
        <v>LMS Review 30/10/2025: Modbus TCP._x000D_
Fault data, CSMS Requesting Power, LMS Sending response (Power can be switched on). Commands from LMS to clear the devices that are requesting Power. Clear Faults. WatchDog Data._x000D_
NH 25/02/2026: Fields updated:Interface Type</v>
      </c>
      <c r="E146">
        <f>_xlfn.XLOOKUP($A146,'EA-Fortescue_SDExport'!$A:$A,'EA-Fortescue_SDExport'!E:E)</f>
        <v>1</v>
      </c>
      <c r="F146">
        <f>_xlfn.XLOOKUP($A146,'EA-Fortescue_SDExport'!$A:$A,'EA-Fortescue_SDExport'!F:F)</f>
        <v>1</v>
      </c>
      <c r="G146">
        <f>_xlfn.XLOOKUP($A146,'EA-Fortescue_SDExport'!$A:$A,'EA-Fortescue_SDExport'!G:G)</f>
        <v>0</v>
      </c>
      <c r="H146" t="str">
        <f>_xlfn.XLOOKUP($A146,'EA-Fortescue_SDExport'!$A:$A,'EA-Fortescue_SDExport'!H:H)</f>
        <v>InterfaceBlock</v>
      </c>
      <c r="I146" t="str">
        <f>_xlfn.XLOOKUP($A146,'EA-Fortescue_SDExport'!$A:$A,'EA-Fortescue_SDExport'!I:I)</f>
        <v>SysML1.4::InterfaceBlock</v>
      </c>
      <c r="J146" t="str">
        <f>_xlfn.XLOOKUP($A146,'EA-Fortescue_SDExport'!$A:$A,'EA-Fortescue_SDExport'!J:J)</f>
        <v>Java</v>
      </c>
      <c r="K146" t="str">
        <f>_xlfn.XLOOKUP($A146,'EA-Fortescue_SDExport'!$A:$A,'EA-Fortescue_SDExport'!K:K)</f>
        <v>Admin</v>
      </c>
      <c r="L146" t="str">
        <f>_xlfn.XLOOKUP($A146,'EA-Fortescue_SDExport'!$A:$A,'EA-Fortescue_SDExport'!L:L)</f>
        <v>Public</v>
      </c>
      <c r="M146">
        <f>_xlfn.XLOOKUP($A146,'EA-Fortescue_SDExport'!$A:$A,'EA-Fortescue_SDExport'!M:M)</f>
        <v>0</v>
      </c>
      <c r="N146" t="str">
        <f>_xlfn.XLOOKUP($A146,InterfaceRegister!$A:$A,InterfaceRegister!K:K)</f>
        <v>Proposed</v>
      </c>
      <c r="O146">
        <f>_xlfn.XLOOKUP($A146,'EA-Fortescue_SDExport'!$A:$A,'EA-Fortescue_SDExport'!O:O)</f>
        <v>1</v>
      </c>
      <c r="P146">
        <f>_xlfn.XLOOKUP($A146,'EA-Fortescue_SDExport'!$A:$A,'EA-Fortescue_SDExport'!P:P)</f>
        <v>0</v>
      </c>
      <c r="Q146">
        <f>_xlfn.XLOOKUP($A146,'EA-Fortescue_SDExport'!$A:$A,'EA-Fortescue_SDExport'!Q:Q)</f>
        <v>0</v>
      </c>
      <c r="R146">
        <f>_xlfn.XLOOKUP($A146,'EA-Fortescue_SDExport'!$A:$A,'EA-Fortescue_SDExport'!R:R)</f>
        <v>0</v>
      </c>
      <c r="S146">
        <f>_xlfn.XLOOKUP($A146,'EA-Fortescue_SDExport'!$A:$A,'EA-Fortescue_SDExport'!S:S)</f>
        <v>0</v>
      </c>
      <c r="T146">
        <f>_xlfn.XLOOKUP($A146,'EA-Fortescue_SDExport'!$A:$A,'EA-Fortescue_SDExport'!T:T)</f>
        <v>0</v>
      </c>
      <c r="U146">
        <f>_xlfn.XLOOKUP($A146,'EA-Fortescue_SDExport'!$A:$A,'EA-Fortescue_SDExport'!U:U)</f>
        <v>45895.834537037037</v>
      </c>
      <c r="V146">
        <f>_xlfn.XLOOKUP($A146,'EA-Fortescue_SDExport'!$A:$A,'EA-Fortescue_SDExport'!V:V)</f>
        <v>46077.993217592593</v>
      </c>
      <c r="W146">
        <f>_xlfn.XLOOKUP($A146,'EA-Fortescue_SDExport'!$A:$A,'EA-Fortescue_SDExport'!W:W)</f>
        <v>0</v>
      </c>
      <c r="X146">
        <f>_xlfn.XLOOKUP($A146,'EA-Fortescue_SDExport'!$A:$A,'EA-Fortescue_SDExport'!X:X)</f>
        <v>0</v>
      </c>
      <c r="Y146">
        <f>_xlfn.XLOOKUP($A146,'EA-Fortescue_SDExport'!$A:$A,'EA-Fortescue_SDExport'!Y:Y)</f>
        <v>0</v>
      </c>
      <c r="Z146" t="str">
        <f>_xlfn.XLOOKUP($A146,'EA-Fortescue_SDExport'!$A:$A,'EA-Fortescue_SDExport'!Z:Z)</f>
        <v>SysML1.4::InterfaceBlock</v>
      </c>
      <c r="AA146" t="str">
        <f>_xlfn.XLOOKUP($A146,InterfaceRegister!$A:$A,InterfaceRegister!B:B)</f>
        <v>855DC-1542-LMS Load Management System (LMS)|855DC-1542-CSM-002 vCharM.Edge</v>
      </c>
      <c r="AB146" t="str">
        <f>_xlfn.XLOOKUP($A146,InterfaceRegister!$A:$A,InterfaceRegister!C:C)</f>
        <v>Sam Hedgcock</v>
      </c>
      <c r="AC146" t="str">
        <f>_xlfn.XLOOKUP($A146,InterfaceRegister!$A:$A,InterfaceRegister!D:D)</f>
        <v>Glen Carruthers</v>
      </c>
      <c r="AD146" t="str">
        <f>_xlfn.XLOOKUP($A146,InterfaceRegister!$A:$A,InterfaceRegister!E:E)</f>
        <v>Project - Subsystem Interface</v>
      </c>
      <c r="AE146" t="str">
        <f>_xlfn.XLOOKUP($A146,InterfaceRegister!$A:$A,InterfaceRegister!F:F)</f>
        <v>Technical-Data/Software</v>
      </c>
      <c r="AF146" t="str">
        <f>_xlfn.XLOOKUP($A146,InterfaceRegister!$A:$A,InterfaceRegister!L:L)</f>
        <v>Load Management System (PLCs) &lt;-&gt; vCharm Edge - Modbus TCP Power Requests &amp; Control_x000D_
The purpose of this interface is to allow the Load Management System (LMS), operating through a set of PLCs, to integrate with vCharm Edge via Modbus TCP to coordinate power availability for EV chargers and associated equipment. vCharm Edge sends power requests to the LMS, including charger status and fault indicators. LMS responds with permissions to energise loads, sends clearing commands, and manages fault resets. Watchdog data is exchanged to ensure both systems remain synchronised and fail-safe._x000D_
Intermediate Elements: LMS PLCs, Modbus TCP communication layer, vCharm Edge, and charger power request/control logic.</v>
      </c>
      <c r="AG146" t="str">
        <f>_xlfn.XLOOKUP($A146,InterfaceRegister!$A:$A,InterfaceRegister!M:M)</f>
        <v>HIGH</v>
      </c>
      <c r="AH146" t="str">
        <f>_xlfn.XLOOKUP($A146,InterfaceRegister!$A:$A,InterfaceRegister!O:O)</f>
        <v>Data Flow:_x000D_
vCharm Edge (power requests, fault data) &lt;-&gt; Modbus TCP &lt;-&gt; LMS PLCs (power authorisation, clear commands, watchdog signals).</v>
      </c>
      <c r="AI146" t="str">
        <f>_xlfn.XLOOKUP($A146,InterfaceRegister!$A:$A,InterfaceRegister!N:N)</f>
        <v>The criticality level is HIGH because accurate, real-time communication is essential for safely managing charger power and clearing faults. Failure risks that charging loads are not correctly energised when the network requires it.</v>
      </c>
      <c r="AJ146" t="str">
        <f>_xlfn.XLOOKUP($A146,'EA-Fortescue_SDExport'!$A:$A,'EA-Fortescue_SDExport'!AX:AX)</f>
        <v>CSVC9BE54A0</v>
      </c>
      <c r="AK146">
        <f>_xlfn.XLOOKUP($A146,'EA-Fortescue_SDExport'!$A:$A,'EA-Fortescue_SDExport'!AY:AY)</f>
        <v>0</v>
      </c>
    </row>
    <row r="147" spans="1:37" x14ac:dyDescent="0.25">
      <c r="A147" t="str">
        <v>DGS-I_0146</v>
      </c>
      <c r="B147" t="str">
        <f>_xlfn.XLOOKUP($A147,'EA-Fortescue_SDExport'!$A:$A,'EA-Fortescue_SDExport'!B:B)</f>
        <v>Class</v>
      </c>
      <c r="C147" t="str">
        <f>_xlfn.XLOOKUP($A147,'EA-Fortescue_SDExport'!$A:$A,'EA-Fortescue_SDExport'!C:C)</f>
        <v>{257C564A-FC42-4fe9-9097-39315F8C0F48}</v>
      </c>
      <c r="D147" t="str">
        <f>_xlfn.LET(_xlpm.result, _xlfn.XLOOKUP($A147, InterfaceRegister!$A:$A, InterfaceRegister!P:P), IF(_xlpm.result=0, "", _xlpm.result))</f>
        <v>CSMS Review 30/10/2025: Potential measuring from 132kv. Dynamic load management function._x000D_
NH 20/02/2026: Fields updated: Interface Type, Interface Flow.</v>
      </c>
      <c r="E147">
        <f>_xlfn.XLOOKUP($A147,'EA-Fortescue_SDExport'!$A:$A,'EA-Fortescue_SDExport'!E:E)</f>
        <v>1</v>
      </c>
      <c r="F147">
        <f>_xlfn.XLOOKUP($A147,'EA-Fortescue_SDExport'!$A:$A,'EA-Fortescue_SDExport'!F:F)</f>
        <v>1</v>
      </c>
      <c r="G147">
        <f>_xlfn.XLOOKUP($A147,'EA-Fortescue_SDExport'!$A:$A,'EA-Fortescue_SDExport'!G:G)</f>
        <v>0</v>
      </c>
      <c r="H147" t="str">
        <f>_xlfn.XLOOKUP($A147,'EA-Fortescue_SDExport'!$A:$A,'EA-Fortescue_SDExport'!H:H)</f>
        <v>InterfaceBlock</v>
      </c>
      <c r="I147" t="str">
        <f>_xlfn.XLOOKUP($A147,'EA-Fortescue_SDExport'!$A:$A,'EA-Fortescue_SDExport'!I:I)</f>
        <v>SysML1.4::InterfaceBlock</v>
      </c>
      <c r="J147" t="str">
        <f>_xlfn.XLOOKUP($A147,'EA-Fortescue_SDExport'!$A:$A,'EA-Fortescue_SDExport'!J:J)</f>
        <v>Java</v>
      </c>
      <c r="K147" t="str">
        <f>_xlfn.XLOOKUP($A147,'EA-Fortescue_SDExport'!$A:$A,'EA-Fortescue_SDExport'!K:K)</f>
        <v>Admin</v>
      </c>
      <c r="L147" t="str">
        <f>_xlfn.XLOOKUP($A147,'EA-Fortescue_SDExport'!$A:$A,'EA-Fortescue_SDExport'!L:L)</f>
        <v>Public</v>
      </c>
      <c r="M147">
        <f>_xlfn.XLOOKUP($A147,'EA-Fortescue_SDExport'!$A:$A,'EA-Fortescue_SDExport'!M:M)</f>
        <v>0</v>
      </c>
      <c r="N147" t="str">
        <f>_xlfn.XLOOKUP($A147,InterfaceRegister!$A:$A,InterfaceRegister!K:K)</f>
        <v>Proposed</v>
      </c>
      <c r="O147">
        <f>_xlfn.XLOOKUP($A147,'EA-Fortescue_SDExport'!$A:$A,'EA-Fortescue_SDExport'!O:O)</f>
        <v>1</v>
      </c>
      <c r="P147">
        <f>_xlfn.XLOOKUP($A147,'EA-Fortescue_SDExport'!$A:$A,'EA-Fortescue_SDExport'!P:P)</f>
        <v>0</v>
      </c>
      <c r="Q147">
        <f>_xlfn.XLOOKUP($A147,'EA-Fortescue_SDExport'!$A:$A,'EA-Fortescue_SDExport'!Q:Q)</f>
        <v>0</v>
      </c>
      <c r="R147">
        <f>_xlfn.XLOOKUP($A147,'EA-Fortescue_SDExport'!$A:$A,'EA-Fortescue_SDExport'!R:R)</f>
        <v>0</v>
      </c>
      <c r="S147">
        <f>_xlfn.XLOOKUP($A147,'EA-Fortescue_SDExport'!$A:$A,'EA-Fortescue_SDExport'!S:S)</f>
        <v>0</v>
      </c>
      <c r="T147">
        <f>_xlfn.XLOOKUP($A147,'EA-Fortescue_SDExport'!$A:$A,'EA-Fortescue_SDExport'!T:T)</f>
        <v>0</v>
      </c>
      <c r="U147">
        <f>_xlfn.XLOOKUP($A147,'EA-Fortescue_SDExport'!$A:$A,'EA-Fortescue_SDExport'!U:U)</f>
        <v>45895.83699074074</v>
      </c>
      <c r="V147">
        <f>_xlfn.XLOOKUP($A147,'EA-Fortescue_SDExport'!$A:$A,'EA-Fortescue_SDExport'!V:V)</f>
        <v>46077.99322916667</v>
      </c>
      <c r="W147">
        <f>_xlfn.XLOOKUP($A147,'EA-Fortescue_SDExport'!$A:$A,'EA-Fortescue_SDExport'!W:W)</f>
        <v>0</v>
      </c>
      <c r="X147">
        <f>_xlfn.XLOOKUP($A147,'EA-Fortescue_SDExport'!$A:$A,'EA-Fortescue_SDExport'!X:X)</f>
        <v>0</v>
      </c>
      <c r="Y147">
        <f>_xlfn.XLOOKUP($A147,'EA-Fortescue_SDExport'!$A:$A,'EA-Fortescue_SDExport'!Y:Y)</f>
        <v>0</v>
      </c>
      <c r="Z147" t="str">
        <f>_xlfn.XLOOKUP($A147,'EA-Fortescue_SDExport'!$A:$A,'EA-Fortescue_SDExport'!Z:Z)</f>
        <v>SysML1.4::InterfaceBlock</v>
      </c>
      <c r="AA147" t="str">
        <f>_xlfn.XLOOKUP($A147,InterfaceRegister!$A:$A,InterfaceRegister!B:B)</f>
        <v>854DC-1521-0001 Substation (33kV)|855DC-1542-CSM-002 vCharM.Edge</v>
      </c>
      <c r="AB147" t="str">
        <f>_xlfn.XLOOKUP($A147,InterfaceRegister!$A:$A,InterfaceRegister!C:C)</f>
        <v/>
      </c>
      <c r="AC147" t="str">
        <f>_xlfn.XLOOKUP($A147,InterfaceRegister!$A:$A,InterfaceRegister!D:D)</f>
        <v/>
      </c>
      <c r="AD147" t="str">
        <f>_xlfn.XLOOKUP($A147,InterfaceRegister!$A:$A,InterfaceRegister!E:E)</f>
        <v>Project - Subsystem Interface</v>
      </c>
      <c r="AE147" t="str">
        <f>_xlfn.XLOOKUP($A147,InterfaceRegister!$A:$A,InterfaceRegister!F:F)</f>
        <v>Technical-Electrical</v>
      </c>
      <c r="AF147" t="str">
        <f>_xlfn.XLOOKUP($A147,InterfaceRegister!$A:$A,InterfaceRegister!L:L)</f>
        <v>This interface links a 33kV substation with vCharM.Edge to supply the system with status, energisation state, and power availability for heavy mobile equipment charging operations.</v>
      </c>
      <c r="AG147" t="str">
        <f>_xlfn.XLOOKUP($A147,InterfaceRegister!$A:$A,InterfaceRegister!M:M)</f>
        <v>HIGH</v>
      </c>
      <c r="AH147" t="str">
        <f>_xlfn.XLOOKUP($A147,InterfaceRegister!$A:$A,InterfaceRegister!O:O)</f>
        <v>Data Flow: 33 kV Substation -&gt; vCharM.Edge / CSMS (energisation status, feeder availability, breaker positions, transformer status, voltage/current measurements, available capacity, alarms, fault events) to confirm charger supply readiness and power availability.</v>
      </c>
      <c r="AI147" t="str">
        <f>_xlfn.XLOOKUP($A147,InterfaceRegister!$A:$A,InterfaceRegister!N:N)</f>
        <v>The criticality level is HIGH because loss of this interface can lead to incorrect assumptions about charger energisation, resulting in charging downtime or electrical safety risks and possible production delays.</v>
      </c>
      <c r="AJ147" t="str">
        <f>_xlfn.XLOOKUP($A147,'EA-Fortescue_SDExport'!$A:$A,'EA-Fortescue_SDExport'!AX:AX)</f>
        <v>CSV73A23060</v>
      </c>
      <c r="AK147">
        <f>_xlfn.XLOOKUP($A147,'EA-Fortescue_SDExport'!$A:$A,'EA-Fortescue_SDExport'!AY:AY)</f>
        <v>0</v>
      </c>
    </row>
    <row r="148" spans="1:37" x14ac:dyDescent="0.25">
      <c r="A148" t="str">
        <v>DGS-I_0147</v>
      </c>
      <c r="B148" t="str">
        <f>_xlfn.XLOOKUP($A148,'EA-Fortescue_SDExport'!$A:$A,'EA-Fortescue_SDExport'!B:B)</f>
        <v>Class</v>
      </c>
      <c r="C148" t="str">
        <f>_xlfn.XLOOKUP($A148,'EA-Fortescue_SDExport'!$A:$A,'EA-Fortescue_SDExport'!C:C)</f>
        <v>{13AF9984-D675-42ee-8045-4824DA2DF5EB}</v>
      </c>
      <c r="D148" t="str">
        <f>_xlfn.LET(_xlpm.result, _xlfn.XLOOKUP($A148, InterfaceRegister!$A:$A, InterfaceRegister!P:P), IF(_xlpm.result=0, "", _xlpm.result))</f>
        <v>CSMS Review 30/10/2025: Open Charge Point Protocol (OCPP) for all chargers if the charger supports OCPP._x000D_
NH 20/02/2026: Fields updated: Interface Flow.</v>
      </c>
      <c r="E148">
        <f>_xlfn.XLOOKUP($A148,'EA-Fortescue_SDExport'!$A:$A,'EA-Fortescue_SDExport'!E:E)</f>
        <v>1</v>
      </c>
      <c r="F148">
        <f>_xlfn.XLOOKUP($A148,'EA-Fortescue_SDExport'!$A:$A,'EA-Fortescue_SDExport'!F:F)</f>
        <v>1</v>
      </c>
      <c r="G148">
        <f>_xlfn.XLOOKUP($A148,'EA-Fortescue_SDExport'!$A:$A,'EA-Fortescue_SDExport'!G:G)</f>
        <v>0</v>
      </c>
      <c r="H148" t="str">
        <f>_xlfn.XLOOKUP($A148,'EA-Fortescue_SDExport'!$A:$A,'EA-Fortescue_SDExport'!H:H)</f>
        <v>InterfaceBlock</v>
      </c>
      <c r="I148" t="str">
        <f>_xlfn.XLOOKUP($A148,'EA-Fortescue_SDExport'!$A:$A,'EA-Fortescue_SDExport'!I:I)</f>
        <v>SysML1.4::InterfaceBlock</v>
      </c>
      <c r="J148" t="str">
        <f>_xlfn.XLOOKUP($A148,'EA-Fortescue_SDExport'!$A:$A,'EA-Fortescue_SDExport'!J:J)</f>
        <v>Java</v>
      </c>
      <c r="K148" t="str">
        <f>_xlfn.XLOOKUP($A148,'EA-Fortescue_SDExport'!$A:$A,'EA-Fortescue_SDExport'!K:K)</f>
        <v>Admin</v>
      </c>
      <c r="L148" t="str">
        <f>_xlfn.XLOOKUP($A148,'EA-Fortescue_SDExport'!$A:$A,'EA-Fortescue_SDExport'!L:L)</f>
        <v>Public</v>
      </c>
      <c r="M148">
        <f>_xlfn.XLOOKUP($A148,'EA-Fortescue_SDExport'!$A:$A,'EA-Fortescue_SDExport'!M:M)</f>
        <v>0</v>
      </c>
      <c r="N148" t="str">
        <f>_xlfn.XLOOKUP($A148,InterfaceRegister!$A:$A,InterfaceRegister!K:K)</f>
        <v>Proposed</v>
      </c>
      <c r="O148">
        <f>_xlfn.XLOOKUP($A148,'EA-Fortescue_SDExport'!$A:$A,'EA-Fortescue_SDExport'!O:O)</f>
        <v>1</v>
      </c>
      <c r="P148">
        <f>_xlfn.XLOOKUP($A148,'EA-Fortescue_SDExport'!$A:$A,'EA-Fortescue_SDExport'!P:P)</f>
        <v>0</v>
      </c>
      <c r="Q148">
        <f>_xlfn.XLOOKUP($A148,'EA-Fortescue_SDExport'!$A:$A,'EA-Fortescue_SDExport'!Q:Q)</f>
        <v>0</v>
      </c>
      <c r="R148">
        <f>_xlfn.XLOOKUP($A148,'EA-Fortescue_SDExport'!$A:$A,'EA-Fortescue_SDExport'!R:R)</f>
        <v>0</v>
      </c>
      <c r="S148">
        <f>_xlfn.XLOOKUP($A148,'EA-Fortescue_SDExport'!$A:$A,'EA-Fortescue_SDExport'!S:S)</f>
        <v>0</v>
      </c>
      <c r="T148">
        <f>_xlfn.XLOOKUP($A148,'EA-Fortescue_SDExport'!$A:$A,'EA-Fortescue_SDExport'!T:T)</f>
        <v>0</v>
      </c>
      <c r="U148">
        <f>_xlfn.XLOOKUP($A148,'EA-Fortescue_SDExport'!$A:$A,'EA-Fortescue_SDExport'!U:U)</f>
        <v>45958.918020833335</v>
      </c>
      <c r="V148">
        <f>_xlfn.XLOOKUP($A148,'EA-Fortescue_SDExport'!$A:$A,'EA-Fortescue_SDExport'!V:V)</f>
        <v>46077.993217592593</v>
      </c>
      <c r="W148">
        <f>_xlfn.XLOOKUP($A148,'EA-Fortescue_SDExport'!$A:$A,'EA-Fortescue_SDExport'!W:W)</f>
        <v>0</v>
      </c>
      <c r="X148">
        <f>_xlfn.XLOOKUP($A148,'EA-Fortescue_SDExport'!$A:$A,'EA-Fortescue_SDExport'!X:X)</f>
        <v>0</v>
      </c>
      <c r="Y148">
        <f>_xlfn.XLOOKUP($A148,'EA-Fortescue_SDExport'!$A:$A,'EA-Fortescue_SDExport'!Y:Y)</f>
        <v>0</v>
      </c>
      <c r="Z148" t="str">
        <f>_xlfn.XLOOKUP($A148,'EA-Fortescue_SDExport'!$A:$A,'EA-Fortescue_SDExport'!Z:Z)</f>
        <v>SysML1.4::InterfaceBlock</v>
      </c>
      <c r="AA148" t="str">
        <f>_xlfn.XLOOKUP($A148,InterfaceRegister!$A:$A,InterfaceRegister!B:B)</f>
        <v>855DC-1542-CSM-001 vCharM by Vector|850DC-1512-0001 HME Chargers - Gen1</v>
      </c>
      <c r="AB148" t="str">
        <f>_xlfn.XLOOKUP($A148,InterfaceRegister!$A:$A,InterfaceRegister!C:C)</f>
        <v/>
      </c>
      <c r="AC148" t="str">
        <f>_xlfn.XLOOKUP($A148,InterfaceRegister!$A:$A,InterfaceRegister!D:D)</f>
        <v/>
      </c>
      <c r="AD148" t="str">
        <f>_xlfn.XLOOKUP($A148,InterfaceRegister!$A:$A,InterfaceRegister!E:E)</f>
        <v>Project - Subsystem Interface</v>
      </c>
      <c r="AE148" t="str">
        <f>_xlfn.XLOOKUP($A148,InterfaceRegister!$A:$A,InterfaceRegister!F:F)</f>
        <v>Technical-Data/Software</v>
      </c>
      <c r="AF148" t="str">
        <f>_xlfn.XLOOKUP($A148,InterfaceRegister!$A:$A,InterfaceRegister!L:L)</f>
        <v>This interface enables vCharM to manage, monitor, and coordinate HME Chargers, including scheduling, load balancing, and charger health reporting.</v>
      </c>
      <c r="AG148" t="str">
        <f>_xlfn.XLOOKUP($A148,InterfaceRegister!$A:$A,InterfaceRegister!M:M)</f>
        <v>MEDIUM</v>
      </c>
      <c r="AH148" t="str">
        <f>_xlfn.XLOOKUP($A148,InterfaceRegister!$A:$A,InterfaceRegister!O:O)</f>
        <v>Data Flow: HME Chargers -&gt; CSMS (vCharM) (charger status, availability, power draw, state of charge progress, fault alarms, health metrics) for monitoring and coordination.</v>
      </c>
      <c r="AI148" t="str">
        <f>_xlfn.XLOOKUP($A148,InterfaceRegister!$A:$A,InterfaceRegister!N:N)</f>
        <v>The criticality level is MEDIUM because losing this interface decreases efficiency, extends charging times, and complicates charge scheduling. Outages typically do not halt haulage operations entirely but reduce charger utilisation efficiency.</v>
      </c>
      <c r="AJ148" t="str">
        <f>_xlfn.XLOOKUP($A148,'EA-Fortescue_SDExport'!$A:$A,'EA-Fortescue_SDExport'!AX:AX)</f>
        <v>CSV0FCE147A</v>
      </c>
      <c r="AK148">
        <f>_xlfn.XLOOKUP($A148,'EA-Fortescue_SDExport'!$A:$A,'EA-Fortescue_SDExport'!AY:AY)</f>
        <v>0</v>
      </c>
    </row>
    <row r="149" spans="1:37" x14ac:dyDescent="0.25">
      <c r="A149" t="str">
        <v>DGS-I_0148</v>
      </c>
      <c r="B149" t="str">
        <f>_xlfn.XLOOKUP($A149,'EA-Fortescue_SDExport'!$A:$A,'EA-Fortescue_SDExport'!B:B)</f>
        <v>Class</v>
      </c>
      <c r="C149" t="str">
        <f>_xlfn.XLOOKUP($A149,'EA-Fortescue_SDExport'!$A:$A,'EA-Fortescue_SDExport'!C:C)</f>
        <v>{ACF9964D-F942-4cb0-A003-CA995F475593}</v>
      </c>
      <c r="D149" t="str">
        <f>_xlfn.LET(_xlpm.result, _xlfn.XLOOKUP($A149, InterfaceRegister!$A:$A, InterfaceRegister!P:P), IF(_xlpm.result=0, "", _xlpm.result))</f>
        <v>CSMS Review 30/10/2025: Open Charge Point Protocol (OCPP) for all chargers if the charger supports OCPP._x000D_
NH 20/02/2026: Fields updated: Interface Flow.</v>
      </c>
      <c r="E149">
        <f>_xlfn.XLOOKUP($A149,'EA-Fortescue_SDExport'!$A:$A,'EA-Fortescue_SDExport'!E:E)</f>
        <v>1</v>
      </c>
      <c r="F149">
        <f>_xlfn.XLOOKUP($A149,'EA-Fortescue_SDExport'!$A:$A,'EA-Fortescue_SDExport'!F:F)</f>
        <v>1</v>
      </c>
      <c r="G149">
        <f>_xlfn.XLOOKUP($A149,'EA-Fortescue_SDExport'!$A:$A,'EA-Fortescue_SDExport'!G:G)</f>
        <v>0</v>
      </c>
      <c r="H149" t="str">
        <f>_xlfn.XLOOKUP($A149,'EA-Fortescue_SDExport'!$A:$A,'EA-Fortescue_SDExport'!H:H)</f>
        <v>InterfaceBlock</v>
      </c>
      <c r="I149" t="str">
        <f>_xlfn.XLOOKUP($A149,'EA-Fortescue_SDExport'!$A:$A,'EA-Fortescue_SDExport'!I:I)</f>
        <v>SysML1.4::InterfaceBlock</v>
      </c>
      <c r="J149" t="str">
        <f>_xlfn.XLOOKUP($A149,'EA-Fortescue_SDExport'!$A:$A,'EA-Fortescue_SDExport'!J:J)</f>
        <v>Java</v>
      </c>
      <c r="K149" t="str">
        <f>_xlfn.XLOOKUP($A149,'EA-Fortescue_SDExport'!$A:$A,'EA-Fortescue_SDExport'!K:K)</f>
        <v>Admin</v>
      </c>
      <c r="L149" t="str">
        <f>_xlfn.XLOOKUP($A149,'EA-Fortescue_SDExport'!$A:$A,'EA-Fortescue_SDExport'!L:L)</f>
        <v>Public</v>
      </c>
      <c r="M149">
        <f>_xlfn.XLOOKUP($A149,'EA-Fortescue_SDExport'!$A:$A,'EA-Fortescue_SDExport'!M:M)</f>
        <v>0</v>
      </c>
      <c r="N149" t="str">
        <f>_xlfn.XLOOKUP($A149,InterfaceRegister!$A:$A,InterfaceRegister!K:K)</f>
        <v>Proposed</v>
      </c>
      <c r="O149">
        <f>_xlfn.XLOOKUP($A149,'EA-Fortescue_SDExport'!$A:$A,'EA-Fortescue_SDExport'!O:O)</f>
        <v>1</v>
      </c>
      <c r="P149">
        <f>_xlfn.XLOOKUP($A149,'EA-Fortescue_SDExport'!$A:$A,'EA-Fortescue_SDExport'!P:P)</f>
        <v>0</v>
      </c>
      <c r="Q149">
        <f>_xlfn.XLOOKUP($A149,'EA-Fortescue_SDExport'!$A:$A,'EA-Fortescue_SDExport'!Q:Q)</f>
        <v>0</v>
      </c>
      <c r="R149">
        <f>_xlfn.XLOOKUP($A149,'EA-Fortescue_SDExport'!$A:$A,'EA-Fortescue_SDExport'!R:R)</f>
        <v>0</v>
      </c>
      <c r="S149">
        <f>_xlfn.XLOOKUP($A149,'EA-Fortescue_SDExport'!$A:$A,'EA-Fortescue_SDExport'!S:S)</f>
        <v>0</v>
      </c>
      <c r="T149">
        <f>_xlfn.XLOOKUP($A149,'EA-Fortescue_SDExport'!$A:$A,'EA-Fortescue_SDExport'!T:T)</f>
        <v>0</v>
      </c>
      <c r="U149">
        <f>_xlfn.XLOOKUP($A149,'EA-Fortescue_SDExport'!$A:$A,'EA-Fortescue_SDExport'!U:U)</f>
        <v>45895.838310185187</v>
      </c>
      <c r="V149">
        <f>_xlfn.XLOOKUP($A149,'EA-Fortescue_SDExport'!$A:$A,'EA-Fortescue_SDExport'!V:V)</f>
        <v>46077.99322916667</v>
      </c>
      <c r="W149">
        <f>_xlfn.XLOOKUP($A149,'EA-Fortescue_SDExport'!$A:$A,'EA-Fortescue_SDExport'!W:W)</f>
        <v>0</v>
      </c>
      <c r="X149">
        <f>_xlfn.XLOOKUP($A149,'EA-Fortescue_SDExport'!$A:$A,'EA-Fortescue_SDExport'!X:X)</f>
        <v>0</v>
      </c>
      <c r="Y149">
        <f>_xlfn.XLOOKUP($A149,'EA-Fortescue_SDExport'!$A:$A,'EA-Fortescue_SDExport'!Y:Y)</f>
        <v>0</v>
      </c>
      <c r="Z149" t="str">
        <f>_xlfn.XLOOKUP($A149,'EA-Fortescue_SDExport'!$A:$A,'EA-Fortescue_SDExport'!Z:Z)</f>
        <v>SysML1.4::InterfaceBlock</v>
      </c>
      <c r="AA149" t="str">
        <f>_xlfn.XLOOKUP($A149,InterfaceRegister!$A:$A,InterfaceRegister!B:B)</f>
        <v>855DC-1542-CSM-001 vCharM by Vector|850DC-1513-0002 HME Auxilary Chargers</v>
      </c>
      <c r="AB149" t="str">
        <f>_xlfn.XLOOKUP($A149,InterfaceRegister!$A:$A,InterfaceRegister!C:C)</f>
        <v/>
      </c>
      <c r="AC149" t="str">
        <f>_xlfn.XLOOKUP($A149,InterfaceRegister!$A:$A,InterfaceRegister!D:D)</f>
        <v/>
      </c>
      <c r="AD149" t="str">
        <f>_xlfn.XLOOKUP($A149,InterfaceRegister!$A:$A,InterfaceRegister!E:E)</f>
        <v>Project - Subsystem Interface</v>
      </c>
      <c r="AE149" t="str">
        <f>_xlfn.XLOOKUP($A149,InterfaceRegister!$A:$A,InterfaceRegister!F:F)</f>
        <v>Technical-Data/Software</v>
      </c>
      <c r="AF149" t="str">
        <f>_xlfn.XLOOKUP($A149,InterfaceRegister!$A:$A,InterfaceRegister!L:L)</f>
        <v>This interface supports communication between vCharM and auxiliary chargers to monitor availability, coordinate usage, and optimise charging of auxiliary equipment.</v>
      </c>
      <c r="AG149" t="str">
        <f>_xlfn.XLOOKUP($A149,InterfaceRegister!$A:$A,InterfaceRegister!M:M)</f>
        <v>LOW</v>
      </c>
      <c r="AH149" t="str">
        <f>_xlfn.XLOOKUP($A149,InterfaceRegister!$A:$A,InterfaceRegister!O:O)</f>
        <v>Data Flow:_x000D_
855DC-1542-CSM Charge Station Management System (CSMS) -&gt; 850DC-1513-0002 HME Auxiliary Chargers, transmitting charger availability status, utilisation data, scheduling information, and optimisation parameters to coordinate auxiliary equipment charging._x000D_
850DC-1513-0002 HME Auxiliary Chargers -&gt; CSMS, providing charger state, connection status, energy consumption, fault alarms, and operational health data for monitoring and optimisation._x000D_
Control Flow:_x000D_
CSMS -&gt; Auxiliary Chargers, issuing configuration updates, charging enable/disable commands, scheduling controls, and operational setpoints to manage auxiliary charging activities.</v>
      </c>
      <c r="AI149" t="str">
        <f>_xlfn.XLOOKUP($A149,InterfaceRegister!$A:$A,InterfaceRegister!N:N)</f>
        <v>The criticality level is LOW because failure at this interface does not impact real-time production, safety, or core energy systems. It only improves operational efficiency, and manual charging processes can be used.</v>
      </c>
      <c r="AJ149" t="str">
        <f>_xlfn.XLOOKUP($A149,'EA-Fortescue_SDExport'!$A:$A,'EA-Fortescue_SDExport'!AX:AX)</f>
        <v>CSV56E10BF4</v>
      </c>
      <c r="AK149">
        <f>_xlfn.XLOOKUP($A149,'EA-Fortescue_SDExport'!$A:$A,'EA-Fortescue_SDExport'!AY:AY)</f>
        <v>0</v>
      </c>
    </row>
    <row r="150" spans="1:37" x14ac:dyDescent="0.25">
      <c r="A150" t="str">
        <v>DGS-I_0149</v>
      </c>
      <c r="B150" t="str">
        <f>_xlfn.XLOOKUP($A150,'EA-Fortescue_SDExport'!$A:$A,'EA-Fortescue_SDExport'!B:B)</f>
        <v>Class</v>
      </c>
      <c r="C150" t="str">
        <f>_xlfn.XLOOKUP($A150,'EA-Fortescue_SDExport'!$A:$A,'EA-Fortescue_SDExport'!C:C)</f>
        <v>{0932DE3D-204E-4e1e-9A8D-F6A6B24CFF36}</v>
      </c>
      <c r="D150" t="str">
        <f>_xlfn.LET(_xlpm.result, _xlfn.XLOOKUP($A150, InterfaceRegister!$A:$A, InterfaceRegister!P:P), IF(_xlpm.result=0, "", _xlpm.result))</f>
        <v>CSMS Review 30/10/2025: Open Charge Point Protocol (OCPP) for all chargers if the charger supports OCPP._x000D_
NH 20/02/2026: Fields updated: Interface Flow.</v>
      </c>
      <c r="E150">
        <f>_xlfn.XLOOKUP($A150,'EA-Fortescue_SDExport'!$A:$A,'EA-Fortescue_SDExport'!E:E)</f>
        <v>1</v>
      </c>
      <c r="F150">
        <f>_xlfn.XLOOKUP($A150,'EA-Fortescue_SDExport'!$A:$A,'EA-Fortescue_SDExport'!F:F)</f>
        <v>1</v>
      </c>
      <c r="G150">
        <f>_xlfn.XLOOKUP($A150,'EA-Fortescue_SDExport'!$A:$A,'EA-Fortescue_SDExport'!G:G)</f>
        <v>0</v>
      </c>
      <c r="H150" t="str">
        <f>_xlfn.XLOOKUP($A150,'EA-Fortescue_SDExport'!$A:$A,'EA-Fortescue_SDExport'!H:H)</f>
        <v>InterfaceBlock</v>
      </c>
      <c r="I150" t="str">
        <f>_xlfn.XLOOKUP($A150,'EA-Fortescue_SDExport'!$A:$A,'EA-Fortescue_SDExport'!I:I)</f>
        <v>SysML1.4::InterfaceBlock</v>
      </c>
      <c r="J150" t="str">
        <f>_xlfn.XLOOKUP($A150,'EA-Fortescue_SDExport'!$A:$A,'EA-Fortescue_SDExport'!J:J)</f>
        <v>Java</v>
      </c>
      <c r="K150" t="str">
        <f>_xlfn.XLOOKUP($A150,'EA-Fortescue_SDExport'!$A:$A,'EA-Fortescue_SDExport'!K:K)</f>
        <v>Admin</v>
      </c>
      <c r="L150" t="str">
        <f>_xlfn.XLOOKUP($A150,'EA-Fortescue_SDExport'!$A:$A,'EA-Fortescue_SDExport'!L:L)</f>
        <v>Public</v>
      </c>
      <c r="M150">
        <f>_xlfn.XLOOKUP($A150,'EA-Fortescue_SDExport'!$A:$A,'EA-Fortescue_SDExport'!M:M)</f>
        <v>0</v>
      </c>
      <c r="N150" t="str">
        <f>_xlfn.XLOOKUP($A150,InterfaceRegister!$A:$A,InterfaceRegister!K:K)</f>
        <v>Proposed</v>
      </c>
      <c r="O150">
        <f>_xlfn.XLOOKUP($A150,'EA-Fortescue_SDExport'!$A:$A,'EA-Fortescue_SDExport'!O:O)</f>
        <v>1</v>
      </c>
      <c r="P150">
        <f>_xlfn.XLOOKUP($A150,'EA-Fortescue_SDExport'!$A:$A,'EA-Fortescue_SDExport'!P:P)</f>
        <v>0</v>
      </c>
      <c r="Q150">
        <f>_xlfn.XLOOKUP($A150,'EA-Fortescue_SDExport'!$A:$A,'EA-Fortescue_SDExport'!Q:Q)</f>
        <v>0</v>
      </c>
      <c r="R150">
        <f>_xlfn.XLOOKUP($A150,'EA-Fortescue_SDExport'!$A:$A,'EA-Fortescue_SDExport'!R:R)</f>
        <v>0</v>
      </c>
      <c r="S150">
        <f>_xlfn.XLOOKUP($A150,'EA-Fortescue_SDExport'!$A:$A,'EA-Fortescue_SDExport'!S:S)</f>
        <v>0</v>
      </c>
      <c r="T150">
        <f>_xlfn.XLOOKUP($A150,'EA-Fortescue_SDExport'!$A:$A,'EA-Fortescue_SDExport'!T:T)</f>
        <v>0</v>
      </c>
      <c r="U150">
        <f>_xlfn.XLOOKUP($A150,'EA-Fortescue_SDExport'!$A:$A,'EA-Fortescue_SDExport'!U:U)</f>
        <v>45910.658391203702</v>
      </c>
      <c r="V150">
        <f>_xlfn.XLOOKUP($A150,'EA-Fortescue_SDExport'!$A:$A,'EA-Fortescue_SDExport'!V:V)</f>
        <v>46077.993217592593</v>
      </c>
      <c r="W150">
        <f>_xlfn.XLOOKUP($A150,'EA-Fortescue_SDExport'!$A:$A,'EA-Fortescue_SDExport'!W:W)</f>
        <v>0</v>
      </c>
      <c r="X150">
        <f>_xlfn.XLOOKUP($A150,'EA-Fortescue_SDExport'!$A:$A,'EA-Fortescue_SDExport'!X:X)</f>
        <v>0</v>
      </c>
      <c r="Y150">
        <f>_xlfn.XLOOKUP($A150,'EA-Fortescue_SDExport'!$A:$A,'EA-Fortescue_SDExport'!Y:Y)</f>
        <v>0</v>
      </c>
      <c r="Z150" t="str">
        <f>_xlfn.XLOOKUP($A150,'EA-Fortescue_SDExport'!$A:$A,'EA-Fortescue_SDExport'!Z:Z)</f>
        <v>SysML1.4::InterfaceBlock</v>
      </c>
      <c r="AA150" t="str">
        <f>_xlfn.XLOOKUP($A150,InterfaceRegister!$A:$A,InterfaceRegister!B:B)</f>
        <v>855DC-1542-CSM-001 vCharM by Vector|850DC-1514-0003 LME / SME Chargers</v>
      </c>
      <c r="AB150" t="str">
        <f>_xlfn.XLOOKUP($A150,InterfaceRegister!$A:$A,InterfaceRegister!C:C)</f>
        <v/>
      </c>
      <c r="AC150" t="str">
        <f>_xlfn.XLOOKUP($A150,InterfaceRegister!$A:$A,InterfaceRegister!D:D)</f>
        <v/>
      </c>
      <c r="AD150" t="str">
        <f>_xlfn.XLOOKUP($A150,InterfaceRegister!$A:$A,InterfaceRegister!E:E)</f>
        <v>Project - Subsystem Interface</v>
      </c>
      <c r="AE150" t="str">
        <f>_xlfn.XLOOKUP($A150,InterfaceRegister!$A:$A,InterfaceRegister!F:F)</f>
        <v>Technical-Data/Software</v>
      </c>
      <c r="AF150" t="str">
        <f>_xlfn.XLOOKUP($A150,InterfaceRegister!$A:$A,InterfaceRegister!L:L)</f>
        <v>This interface links vCharM to the Light/Small Mobile Equipment (LME/SME) chargers so the system can monitor charger status, manage charging sessions, and optimise load distribution.</v>
      </c>
      <c r="AG150" t="str">
        <f>_xlfn.XLOOKUP($A150,InterfaceRegister!$A:$A,InterfaceRegister!M:M)</f>
        <v>LOW</v>
      </c>
      <c r="AH150" t="str">
        <f>_xlfn.XLOOKUP($A150,InterfaceRegister!$A:$A,InterfaceRegister!O:O)</f>
        <v>Data Flow:_x000D_
855DC-1542-CSM Charge Station Management System (CSMS) -&gt; 850DC-1514-0003 LME/SME Chargers, transmitting charging session commands, load allocation instructions, authorisation status, and scheduling information._x000D_
850DC-1514-0003 LME/SME Chargers -&gt; CSMS, providing charger availability, connection status, energy consumption data, session progress, and fault/alarm information for monitoring and optimisation._x000D_
Control Flow:_x000D_
CSMS -&gt; LME/SME Chargers, issuing start/stop charging commands, session authorisation, configuration updates, and load management setpoints to coordinate charging operations.</v>
      </c>
      <c r="AI150" t="str">
        <f>_xlfn.XLOOKUP($A150,InterfaceRegister!$A:$A,InterfaceRegister!N:N)</f>
        <v>The criticality level is LOW because, although the interface enhances operational efficiency, LME/SME charging can usually be managed manually without significant impact on production or safety.</v>
      </c>
      <c r="AJ150" t="str">
        <f>_xlfn.XLOOKUP($A150,'EA-Fortescue_SDExport'!$A:$A,'EA-Fortescue_SDExport'!AX:AX)</f>
        <v>CSV45E6BCC9</v>
      </c>
      <c r="AK150">
        <f>_xlfn.XLOOKUP($A150,'EA-Fortescue_SDExport'!$A:$A,'EA-Fortescue_SDExport'!AY:AY)</f>
        <v>0</v>
      </c>
    </row>
    <row r="151" spans="1:37" x14ac:dyDescent="0.25">
      <c r="A151" t="str">
        <v>DGS-I_0150</v>
      </c>
      <c r="B151" t="str">
        <f>_xlfn.XLOOKUP($A151,'EA-Fortescue_SDExport'!$A:$A,'EA-Fortescue_SDExport'!B:B)</f>
        <v>Class</v>
      </c>
      <c r="C151" t="str">
        <f>_xlfn.XLOOKUP($A151,'EA-Fortescue_SDExport'!$A:$A,'EA-Fortescue_SDExport'!C:C)</f>
        <v>{EB620A23-5898-4712-A95A-022B17EC615A}</v>
      </c>
      <c r="D151" t="str">
        <f>_xlfn.LET(_xlpm.result, _xlfn.XLOOKUP($A151, InterfaceRegister!$A:$A, InterfaceRegister!P:P), IF(_xlpm.result=0, "", _xlpm.result))</f>
        <v>CSMS Review 30/10/2025: Integration between vCharm edges and Monarch AGC is still being looked at. ICD? adjustment of setpoints. May go via GMS PLC, or may go directly from AGC to CSMS via API. Potential owner Energy Ops._x000D_
_x000D_
Delete, CSMS integrates to LMS.</v>
      </c>
      <c r="E151">
        <f>_xlfn.XLOOKUP($A151,'EA-Fortescue_SDExport'!$A:$A,'EA-Fortescue_SDExport'!E:E)</f>
        <v>1</v>
      </c>
      <c r="F151">
        <f>_xlfn.XLOOKUP($A151,'EA-Fortescue_SDExport'!$A:$A,'EA-Fortescue_SDExport'!F:F)</f>
        <v>1</v>
      </c>
      <c r="G151">
        <f>_xlfn.XLOOKUP($A151,'EA-Fortescue_SDExport'!$A:$A,'EA-Fortescue_SDExport'!G:G)</f>
        <v>0</v>
      </c>
      <c r="H151" t="str">
        <f>_xlfn.XLOOKUP($A151,'EA-Fortescue_SDExport'!$A:$A,'EA-Fortescue_SDExport'!H:H)</f>
        <v>InterfaceBlock</v>
      </c>
      <c r="I151" t="str">
        <f>_xlfn.XLOOKUP($A151,'EA-Fortescue_SDExport'!$A:$A,'EA-Fortescue_SDExport'!I:I)</f>
        <v>SysML1.4::InterfaceBlock</v>
      </c>
      <c r="J151" t="str">
        <f>_xlfn.XLOOKUP($A151,'EA-Fortescue_SDExport'!$A:$A,'EA-Fortescue_SDExport'!J:J)</f>
        <v>Java</v>
      </c>
      <c r="K151" t="str">
        <f>_xlfn.XLOOKUP($A151,'EA-Fortescue_SDExport'!$A:$A,'EA-Fortescue_SDExport'!K:K)</f>
        <v>Admin</v>
      </c>
      <c r="L151" t="str">
        <f>_xlfn.XLOOKUP($A151,'EA-Fortescue_SDExport'!$A:$A,'EA-Fortescue_SDExport'!L:L)</f>
        <v>Public</v>
      </c>
      <c r="M151">
        <f>_xlfn.XLOOKUP($A151,'EA-Fortescue_SDExport'!$A:$A,'EA-Fortescue_SDExport'!M:M)</f>
        <v>0</v>
      </c>
      <c r="N151" t="str">
        <f>_xlfn.XLOOKUP($A151,InterfaceRegister!$A:$A,InterfaceRegister!K:K)</f>
        <v>Deleted</v>
      </c>
      <c r="O151">
        <f>_xlfn.XLOOKUP($A151,'EA-Fortescue_SDExport'!$A:$A,'EA-Fortescue_SDExport'!O:O)</f>
        <v>1</v>
      </c>
      <c r="P151">
        <f>_xlfn.XLOOKUP($A151,'EA-Fortescue_SDExport'!$A:$A,'EA-Fortescue_SDExport'!P:P)</f>
        <v>0</v>
      </c>
      <c r="Q151">
        <f>_xlfn.XLOOKUP($A151,'EA-Fortescue_SDExport'!$A:$A,'EA-Fortescue_SDExport'!Q:Q)</f>
        <v>0</v>
      </c>
      <c r="R151">
        <f>_xlfn.XLOOKUP($A151,'EA-Fortescue_SDExport'!$A:$A,'EA-Fortescue_SDExport'!R:R)</f>
        <v>0</v>
      </c>
      <c r="S151">
        <f>_xlfn.XLOOKUP($A151,'EA-Fortescue_SDExport'!$A:$A,'EA-Fortescue_SDExport'!S:S)</f>
        <v>0</v>
      </c>
      <c r="T151">
        <f>_xlfn.XLOOKUP($A151,'EA-Fortescue_SDExport'!$A:$A,'EA-Fortescue_SDExport'!T:T)</f>
        <v>0</v>
      </c>
      <c r="U151">
        <f>_xlfn.XLOOKUP($A151,'EA-Fortescue_SDExport'!$A:$A,'EA-Fortescue_SDExport'!U:U)</f>
        <v>45895.832673611112</v>
      </c>
      <c r="V151">
        <f>_xlfn.XLOOKUP($A151,'EA-Fortescue_SDExport'!$A:$A,'EA-Fortescue_SDExport'!V:V)</f>
        <v>46002.067569444444</v>
      </c>
      <c r="W151">
        <f>_xlfn.XLOOKUP($A151,'EA-Fortescue_SDExport'!$A:$A,'EA-Fortescue_SDExport'!W:W)</f>
        <v>0</v>
      </c>
      <c r="X151">
        <f>_xlfn.XLOOKUP($A151,'EA-Fortescue_SDExport'!$A:$A,'EA-Fortescue_SDExport'!X:X)</f>
        <v>0</v>
      </c>
      <c r="Y151">
        <f>_xlfn.XLOOKUP($A151,'EA-Fortescue_SDExport'!$A:$A,'EA-Fortescue_SDExport'!Y:Y)</f>
        <v>0</v>
      </c>
      <c r="Z151" t="str">
        <f>_xlfn.XLOOKUP($A151,'EA-Fortescue_SDExport'!$A:$A,'EA-Fortescue_SDExport'!Z:Z)</f>
        <v>SysML1.4::InterfaceBlock</v>
      </c>
      <c r="AA151" t="str">
        <f>_xlfn.XLOOKUP($A151,InterfaceRegister!$A:$A,InterfaceRegister!B:B)</f>
        <v>855DC-1543-008 Monarch|855DC-1542-CSM-001 vCharM by Vector</v>
      </c>
      <c r="AB151" t="str">
        <f>_xlfn.XLOOKUP($A151,InterfaceRegister!$A:$A,InterfaceRegister!C:C)</f>
        <v>Energy Operations</v>
      </c>
      <c r="AC151" t="str">
        <f>_xlfn.XLOOKUP($A151,InterfaceRegister!$A:$A,InterfaceRegister!D:D)</f>
        <v>Sam Hedgcock</v>
      </c>
      <c r="AD151" t="str">
        <f>_xlfn.XLOOKUP($A151,InterfaceRegister!$A:$A,InterfaceRegister!E:E)</f>
        <v>Project - Subsystem Interface</v>
      </c>
      <c r="AE151" t="str">
        <f>_xlfn.XLOOKUP($A151,InterfaceRegister!$A:$A,InterfaceRegister!F:F)</f>
        <v/>
      </c>
      <c r="AF151" t="str">
        <f>_xlfn.XLOOKUP($A151,InterfaceRegister!$A:$A,InterfaceRegister!L:L)</f>
        <v>vCharm Edge / CSMS &lt;-&gt; Monarch AGC - Setpoint &amp; Control Integration (Under Evaluation)_x000D_
The purpose of this interface is to allow Monarch Automatic Generation Control (AGC) to adjust EV charging setpoints dynamically - coordinating charging demand with real-time generation and system stability requirements. This integration between the Charging Station Management System (CSMS, via vCharm Edge) and Monarch AGC is under investigation, and communication may occur directly between AGC and the CSMS via API, or indirectly through the GMS PLC acting as an intermediary control layer._x000D_
Intermediate Elements: Monarch AGC, vCharm Edge (CSMS), possible GMS PLC, charger control interfaces, API or PLC communications, depending on final ICD design.</v>
      </c>
      <c r="AG151" t="str">
        <f>_xlfn.XLOOKUP($A151,InterfaceRegister!$A:$A,InterfaceRegister!M:M)</f>
        <v>HIGH</v>
      </c>
      <c r="AH151" t="str">
        <f>_xlfn.XLOOKUP($A151,InterfaceRegister!$A:$A,InterfaceRegister!O:O)</f>
        <v>Option 1: Monarch AGC -&gt; API -&gt; CSMS (vCharm Edge) -&gt; Chargers._x000D_
_x000D_
Option 2: Monarch AGC -&gt; GMS PLC -&gt; CSMS (vCharm Edge) -&gt; Chargers.</v>
      </c>
      <c r="AI151" t="str">
        <f>_xlfn.XLOOKUP($A151,InterfaceRegister!$A:$A,InterfaceRegister!N:N)</f>
        <v>The criticality level is HIGH because coordinated charging load control is essential for balancing demand with available generation, preventing overload, and enabling AGC-driven responsiveness across the power network.</v>
      </c>
      <c r="AJ151" t="str">
        <f>_xlfn.XLOOKUP($A151,'EA-Fortescue_SDExport'!$A:$A,'EA-Fortescue_SDExport'!AX:AX)</f>
        <v>CSV7EC3133B</v>
      </c>
      <c r="AK151">
        <f>_xlfn.XLOOKUP($A151,'EA-Fortescue_SDExport'!$A:$A,'EA-Fortescue_SDExport'!AY:AY)</f>
        <v>0</v>
      </c>
    </row>
    <row r="152" spans="1:37" x14ac:dyDescent="0.25">
      <c r="A152" t="str">
        <v>DGS-I_0151</v>
      </c>
      <c r="B152" t="str">
        <f>_xlfn.XLOOKUP($A152,'EA-Fortescue_SDExport'!$A:$A,'EA-Fortescue_SDExport'!B:B)</f>
        <v>Class</v>
      </c>
      <c r="C152" t="str">
        <f>_xlfn.XLOOKUP($A152,'EA-Fortescue_SDExport'!$A:$A,'EA-Fortescue_SDExport'!C:C)</f>
        <v>{126A00CD-4B9D-4fcd-8529-FA3A7B8F8AAB}</v>
      </c>
      <c r="D152" t="str">
        <f>_xlfn.LET(_xlpm.result, _xlfn.XLOOKUP($A152, InterfaceRegister!$A:$A, InterfaceRegister!P:P), IF(_xlpm.result=0, "", _xlpm.result))</f>
        <v>LMS Review 30/10/2025: OPC/UA. _x000D_
Two way communication._x000D_
Status of all equipment connected to LMS. Exc, Drills, CSMS. _x000D_
Drills and diggers are copy and paste from CSMS, same commands. Permissive, requests_x000D_
NH 25/02/2026: Fields updated:Interface Type</v>
      </c>
      <c r="E152">
        <f>_xlfn.XLOOKUP($A152,'EA-Fortescue_SDExport'!$A:$A,'EA-Fortescue_SDExport'!E:E)</f>
        <v>1</v>
      </c>
      <c r="F152">
        <f>_xlfn.XLOOKUP($A152,'EA-Fortescue_SDExport'!$A:$A,'EA-Fortescue_SDExport'!F:F)</f>
        <v>1</v>
      </c>
      <c r="G152">
        <f>_xlfn.XLOOKUP($A152,'EA-Fortescue_SDExport'!$A:$A,'EA-Fortescue_SDExport'!G:G)</f>
        <v>0</v>
      </c>
      <c r="H152" t="str">
        <f>_xlfn.XLOOKUP($A152,'EA-Fortescue_SDExport'!$A:$A,'EA-Fortescue_SDExport'!H:H)</f>
        <v>InterfaceBlock</v>
      </c>
      <c r="I152" t="str">
        <f>_xlfn.XLOOKUP($A152,'EA-Fortescue_SDExport'!$A:$A,'EA-Fortescue_SDExport'!I:I)</f>
        <v>SysML1.4::InterfaceBlock</v>
      </c>
      <c r="J152" t="str">
        <f>_xlfn.XLOOKUP($A152,'EA-Fortescue_SDExport'!$A:$A,'EA-Fortescue_SDExport'!J:J)</f>
        <v>Java</v>
      </c>
      <c r="K152" t="str">
        <f>_xlfn.XLOOKUP($A152,'EA-Fortescue_SDExport'!$A:$A,'EA-Fortescue_SDExport'!K:K)</f>
        <v>Admin</v>
      </c>
      <c r="L152" t="str">
        <f>_xlfn.XLOOKUP($A152,'EA-Fortescue_SDExport'!$A:$A,'EA-Fortescue_SDExport'!L:L)</f>
        <v>Public</v>
      </c>
      <c r="M152">
        <f>_xlfn.XLOOKUP($A152,'EA-Fortescue_SDExport'!$A:$A,'EA-Fortescue_SDExport'!M:M)</f>
        <v>0</v>
      </c>
      <c r="N152" t="str">
        <f>_xlfn.XLOOKUP($A152,InterfaceRegister!$A:$A,InterfaceRegister!K:K)</f>
        <v>Proposed</v>
      </c>
      <c r="O152">
        <f>_xlfn.XLOOKUP($A152,'EA-Fortescue_SDExport'!$A:$A,'EA-Fortescue_SDExport'!O:O)</f>
        <v>1</v>
      </c>
      <c r="P152">
        <f>_xlfn.XLOOKUP($A152,'EA-Fortescue_SDExport'!$A:$A,'EA-Fortescue_SDExport'!P:P)</f>
        <v>0</v>
      </c>
      <c r="Q152">
        <f>_xlfn.XLOOKUP($A152,'EA-Fortescue_SDExport'!$A:$A,'EA-Fortescue_SDExport'!Q:Q)</f>
        <v>0</v>
      </c>
      <c r="R152">
        <f>_xlfn.XLOOKUP($A152,'EA-Fortescue_SDExport'!$A:$A,'EA-Fortescue_SDExport'!R:R)</f>
        <v>0</v>
      </c>
      <c r="S152">
        <f>_xlfn.XLOOKUP($A152,'EA-Fortescue_SDExport'!$A:$A,'EA-Fortescue_SDExport'!S:S)</f>
        <v>0</v>
      </c>
      <c r="T152">
        <f>_xlfn.XLOOKUP($A152,'EA-Fortescue_SDExport'!$A:$A,'EA-Fortescue_SDExport'!T:T)</f>
        <v>0</v>
      </c>
      <c r="U152">
        <f>_xlfn.XLOOKUP($A152,'EA-Fortescue_SDExport'!$A:$A,'EA-Fortescue_SDExport'!U:U)</f>
        <v>45895.889675925922</v>
      </c>
      <c r="V152">
        <f>_xlfn.XLOOKUP($A152,'EA-Fortescue_SDExport'!$A:$A,'EA-Fortescue_SDExport'!V:V)</f>
        <v>46077.99322916667</v>
      </c>
      <c r="W152">
        <f>_xlfn.XLOOKUP($A152,'EA-Fortescue_SDExport'!$A:$A,'EA-Fortescue_SDExport'!W:W)</f>
        <v>0</v>
      </c>
      <c r="X152">
        <f>_xlfn.XLOOKUP($A152,'EA-Fortescue_SDExport'!$A:$A,'EA-Fortescue_SDExport'!X:X)</f>
        <v>0</v>
      </c>
      <c r="Y152">
        <f>_xlfn.XLOOKUP($A152,'EA-Fortescue_SDExport'!$A:$A,'EA-Fortescue_SDExport'!Y:Y)</f>
        <v>0</v>
      </c>
      <c r="Z152" t="str">
        <f>_xlfn.XLOOKUP($A152,'EA-Fortescue_SDExport'!$A:$A,'EA-Fortescue_SDExport'!Z:Z)</f>
        <v>SysML1.4::InterfaceBlock</v>
      </c>
      <c r="AA152" t="str">
        <f>_xlfn.XLOOKUP($A152,InterfaceRegister!$A:$A,InterfaceRegister!B:B)</f>
        <v>005OP-0000-017 Ignition|855DC-1542-LMS Load Management System (LMS)</v>
      </c>
      <c r="AB152" t="str">
        <f>_xlfn.XLOOKUP($A152,InterfaceRegister!$A:$A,InterfaceRegister!C:C)</f>
        <v>Sam Hedgcock</v>
      </c>
      <c r="AC152" t="str">
        <f>_xlfn.XLOOKUP($A152,InterfaceRegister!$A:$A,InterfaceRegister!D:D)</f>
        <v>Glen Carruthers</v>
      </c>
      <c r="AD152" t="str">
        <f>_xlfn.XLOOKUP($A152,InterfaceRegister!$A:$A,InterfaceRegister!E:E)</f>
        <v>Project - Project Interface</v>
      </c>
      <c r="AE152" t="str">
        <f>_xlfn.XLOOKUP($A152,InterfaceRegister!$A:$A,InterfaceRegister!F:F)</f>
        <v>Technical-Data/Software</v>
      </c>
      <c r="AF152" t="str">
        <f>_xlfn.XLOOKUP($A152,InterfaceRegister!$A:$A,InterfaceRegister!L:L)</f>
        <v>The purpose of this interface is to allow the Load Management System (LMS) to integrate with the Mine Electrification SCADA system (Ignition SCADA) to receive real-time electrical status, breaker positions, load measurements, and network health. This enables LMS to make informed decisions on shedding, prioritising, or restoring loads across the electrified mine, thereby coordinating site electrical loads to maintain system stability and ensure power is distributed safely and efficiently.</v>
      </c>
      <c r="AG152" t="str">
        <f>_xlfn.XLOOKUP($A152,InterfaceRegister!$A:$A,InterfaceRegister!M:M)</f>
        <v>HIGH</v>
      </c>
      <c r="AH152" t="str">
        <f>_xlfn.XLOOKUP($A152,InterfaceRegister!$A:$A,InterfaceRegister!O:O)</f>
        <v>Ignition SCADA (real-time electrical data) -&gt; LMS (load optimisation &amp; control logic) -&gt; PLCs / site electrical equipment.</v>
      </c>
      <c r="AI152" t="str">
        <f>_xlfn.XLOOKUP($A152,InterfaceRegister!$A:$A,InterfaceRegister!N:N)</f>
        <v>The criticality level is HIGH because reliable integration between LMS and Ignition SCADA is essential for safe mine operations, preventing overloads, and ensuring critical loads remain energised. Failure compromises the real-time visibility required for load shedding, risking widespread electrical instability, equipment damage, or an unplanned site-wide power outage.</v>
      </c>
      <c r="AJ152" t="str">
        <f>_xlfn.XLOOKUP($A152,'EA-Fortescue_SDExport'!$A:$A,'EA-Fortescue_SDExport'!AX:AX)</f>
        <v>CSV5787B7C4</v>
      </c>
      <c r="AK152">
        <f>_xlfn.XLOOKUP($A152,'EA-Fortescue_SDExport'!$A:$A,'EA-Fortescue_SDExport'!AY:AY)</f>
        <v>0</v>
      </c>
    </row>
    <row r="153" spans="1:37" x14ac:dyDescent="0.25">
      <c r="A153" t="str">
        <v>DGS-I_0152</v>
      </c>
      <c r="B153" t="str">
        <f>_xlfn.XLOOKUP($A153,'EA-Fortescue_SDExport'!$A:$A,'EA-Fortescue_SDExport'!B:B)</f>
        <v>Class</v>
      </c>
      <c r="C153" t="str">
        <f>_xlfn.XLOOKUP($A153,'EA-Fortescue_SDExport'!$A:$A,'EA-Fortescue_SDExport'!C:C)</f>
        <v>{89003738-203E-4199-A35D-029E798C6027}</v>
      </c>
      <c r="D153" t="str">
        <f>_xlfn.LET(_xlpm.result, _xlfn.XLOOKUP($A153, InterfaceRegister!$A:$A, InterfaceRegister!P:P), IF(_xlpm.result=0, "", _xlpm.result))</f>
        <v>LMS Review 30/10/2025: Circuit breaker statuses, remote switching controls. Temperature censors._x000D_
OPC/UA._x000D_
In reference to Sub kiosks, not so much 220/33KV subs. That is with Energy Ops._x000D_
NH 20/02/2026: Fields updated: Interface Type, Interface Flow.</v>
      </c>
      <c r="E153">
        <f>_xlfn.XLOOKUP($A153,'EA-Fortescue_SDExport'!$A:$A,'EA-Fortescue_SDExport'!E:E)</f>
        <v>1</v>
      </c>
      <c r="F153">
        <f>_xlfn.XLOOKUP($A153,'EA-Fortescue_SDExport'!$A:$A,'EA-Fortescue_SDExport'!F:F)</f>
        <v>1</v>
      </c>
      <c r="G153">
        <f>_xlfn.XLOOKUP($A153,'EA-Fortescue_SDExport'!$A:$A,'EA-Fortescue_SDExport'!G:G)</f>
        <v>0</v>
      </c>
      <c r="H153" t="str">
        <f>_xlfn.XLOOKUP($A153,'EA-Fortescue_SDExport'!$A:$A,'EA-Fortescue_SDExport'!H:H)</f>
        <v>InterfaceBlock</v>
      </c>
      <c r="I153" t="str">
        <f>_xlfn.XLOOKUP($A153,'EA-Fortescue_SDExport'!$A:$A,'EA-Fortescue_SDExport'!I:I)</f>
        <v>SysML1.4::InterfaceBlock</v>
      </c>
      <c r="J153" t="str">
        <f>_xlfn.XLOOKUP($A153,'EA-Fortescue_SDExport'!$A:$A,'EA-Fortescue_SDExport'!J:J)</f>
        <v>Java</v>
      </c>
      <c r="K153" t="str">
        <f>_xlfn.XLOOKUP($A153,'EA-Fortescue_SDExport'!$A:$A,'EA-Fortescue_SDExport'!K:K)</f>
        <v>Admin</v>
      </c>
      <c r="L153" t="str">
        <f>_xlfn.XLOOKUP($A153,'EA-Fortescue_SDExport'!$A:$A,'EA-Fortescue_SDExport'!L:L)</f>
        <v>Public</v>
      </c>
      <c r="M153">
        <f>_xlfn.XLOOKUP($A153,'EA-Fortescue_SDExport'!$A:$A,'EA-Fortescue_SDExport'!M:M)</f>
        <v>0</v>
      </c>
      <c r="N153" t="str">
        <f>_xlfn.XLOOKUP($A153,InterfaceRegister!$A:$A,InterfaceRegister!K:K)</f>
        <v>Proposed</v>
      </c>
      <c r="O153">
        <f>_xlfn.XLOOKUP($A153,'EA-Fortescue_SDExport'!$A:$A,'EA-Fortescue_SDExport'!O:O)</f>
        <v>1</v>
      </c>
      <c r="P153">
        <f>_xlfn.XLOOKUP($A153,'EA-Fortescue_SDExport'!$A:$A,'EA-Fortescue_SDExport'!P:P)</f>
        <v>0</v>
      </c>
      <c r="Q153">
        <f>_xlfn.XLOOKUP($A153,'EA-Fortescue_SDExport'!$A:$A,'EA-Fortescue_SDExport'!Q:Q)</f>
        <v>0</v>
      </c>
      <c r="R153">
        <f>_xlfn.XLOOKUP($A153,'EA-Fortescue_SDExport'!$A:$A,'EA-Fortescue_SDExport'!R:R)</f>
        <v>0</v>
      </c>
      <c r="S153">
        <f>_xlfn.XLOOKUP($A153,'EA-Fortescue_SDExport'!$A:$A,'EA-Fortescue_SDExport'!S:S)</f>
        <v>0</v>
      </c>
      <c r="T153">
        <f>_xlfn.XLOOKUP($A153,'EA-Fortescue_SDExport'!$A:$A,'EA-Fortescue_SDExport'!T:T)</f>
        <v>0</v>
      </c>
      <c r="U153">
        <f>_xlfn.XLOOKUP($A153,'EA-Fortescue_SDExport'!$A:$A,'EA-Fortescue_SDExport'!U:U)</f>
        <v>45895.895104166666</v>
      </c>
      <c r="V153">
        <f>_xlfn.XLOOKUP($A153,'EA-Fortescue_SDExport'!$A:$A,'EA-Fortescue_SDExport'!V:V)</f>
        <v>46077.993206018517</v>
      </c>
      <c r="W153">
        <f>_xlfn.XLOOKUP($A153,'EA-Fortescue_SDExport'!$A:$A,'EA-Fortescue_SDExport'!W:W)</f>
        <v>0</v>
      </c>
      <c r="X153">
        <f>_xlfn.XLOOKUP($A153,'EA-Fortescue_SDExport'!$A:$A,'EA-Fortescue_SDExport'!X:X)</f>
        <v>0</v>
      </c>
      <c r="Y153">
        <f>_xlfn.XLOOKUP($A153,'EA-Fortescue_SDExport'!$A:$A,'EA-Fortescue_SDExport'!Y:Y)</f>
        <v>0</v>
      </c>
      <c r="Z153" t="str">
        <f>_xlfn.XLOOKUP($A153,'EA-Fortescue_SDExport'!$A:$A,'EA-Fortescue_SDExport'!Z:Z)</f>
        <v>SysML1.4::InterfaceBlock</v>
      </c>
      <c r="AA153" t="str">
        <f>_xlfn.XLOOKUP($A153,InterfaceRegister!$A:$A,InterfaceRegister!B:B)</f>
        <v>005OP-0000-017 Ignition|854DC-1521-0001 Substation (33kV)</v>
      </c>
      <c r="AB153" t="str">
        <f>_xlfn.XLOOKUP($A153,InterfaceRegister!$A:$A,InterfaceRegister!C:C)</f>
        <v>Sam Hedgcock</v>
      </c>
      <c r="AC153" t="str">
        <f>_xlfn.XLOOKUP($A153,InterfaceRegister!$A:$A,InterfaceRegister!D:D)</f>
        <v>Glen Carruthers</v>
      </c>
      <c r="AD153" t="str">
        <f>_xlfn.XLOOKUP($A153,InterfaceRegister!$A:$A,InterfaceRegister!E:E)</f>
        <v>Project - Project Interface</v>
      </c>
      <c r="AE153" t="str">
        <f>_xlfn.XLOOKUP($A153,InterfaceRegister!$A:$A,InterfaceRegister!F:F)</f>
        <v>Technical-Data/Software</v>
      </c>
      <c r="AF153" t="str">
        <f>_xlfn.XLOOKUP($A153,InterfaceRegister!$A:$A,InterfaceRegister!L:L)</f>
        <v>Ignition SCADA &lt;-&gt; 33 kV Substations - Remote Switching, Status &amp; Sensor Integration_x000D_
The purpose of this interface is to integrate with 33 kV substations and sub-kiosks using Ignition SCADA to provide real-time visibility and control of electrical equipment. This includes monitoring circuit breaker status, remote switching capabilities, temperature sensors, and other protective device readings. Communication is handled primarily through OPC/UA, ensuring secure and reliable data exchange between the field equipment and SCADA._x000D_
Intermediate Elements: OPC/UA comms layer, Ignition SCADA, sub-kiosk protection and control devices, integration points to Energy Operations where required.</v>
      </c>
      <c r="AG153" t="str">
        <f>_xlfn.XLOOKUP($A153,InterfaceRegister!$A:$A,InterfaceRegister!M:M)</f>
        <v>MEDIUM</v>
      </c>
      <c r="AH153" t="str">
        <f>_xlfn.XLOOKUP($A153,InterfaceRegister!$A:$A,InterfaceRegister!O:O)</f>
        <v>Data Flow: 33 kV Substations &amp; Sub-kiosk Devices -&gt; Ignition SCADA (breaker status, protection relay status, voltage/current measurements, temperature readings, alarms, device health) via OPC/UA for real-time monitoring._x000D_
Control Flow: Ignition SCADA -&gt; 33 kV Substations (remote switching commands, open/close breaker commands, reset instructions, control setpoints) for supervised control._x000D_
Upstream Integration (where applicable): Ignition SCADA -&gt; Operations / LiveWire (aggregated status, events, alarms, operational data).</v>
      </c>
      <c r="AI153" t="str">
        <f>_xlfn.XLOOKUP($A153,InterfaceRegister!$A:$A,InterfaceRegister!N:N)</f>
        <v>The criticality level is MEDIUM because failure reduces accuracy and reliability in fault isolation and remote switching operations. This may degrade stability across the distribution network, but typically does not cause an immediate shutdown.</v>
      </c>
      <c r="AJ153" t="str">
        <f>_xlfn.XLOOKUP($A153,'EA-Fortescue_SDExport'!$A:$A,'EA-Fortescue_SDExport'!AX:AX)</f>
        <v>CSV3CEFCEAB</v>
      </c>
      <c r="AK153">
        <f>_xlfn.XLOOKUP($A153,'EA-Fortescue_SDExport'!$A:$A,'EA-Fortescue_SDExport'!AY:AY)</f>
        <v>0</v>
      </c>
    </row>
    <row r="154" spans="1:37" x14ac:dyDescent="0.25">
      <c r="A154" t="str">
        <v>DGS-I_0153</v>
      </c>
      <c r="B154" t="str">
        <f>_xlfn.XLOOKUP($A154,'EA-Fortescue_SDExport'!$A:$A,'EA-Fortescue_SDExport'!B:B)</f>
        <v>Class</v>
      </c>
      <c r="C154" t="str">
        <f>_xlfn.XLOOKUP($A154,'EA-Fortescue_SDExport'!$A:$A,'EA-Fortescue_SDExport'!C:C)</f>
        <v>{E6D6F8DC-137F-4f56-BAEF-2335F5BCAB7F}</v>
      </c>
      <c r="D154" t="str">
        <f>_xlfn.LET(_xlpm.result, _xlfn.XLOOKUP($A154, InterfaceRegister!$A:$A, InterfaceRegister!P:P), IF(_xlpm.result=0, "", _xlpm.result))</f>
        <v>LMS Review 30/10/2025: PLC in a field switch OPC/UA._x000D_
Status for SCADA tags, circuit breaker statuses, temp data. _x000D_
_x000D_
Two way (control as well for HV Switching)._x000D_
_x000D_
SCADA Review 30/10/2025: Similar interface and functionality to GSS.</v>
      </c>
      <c r="E154">
        <f>_xlfn.XLOOKUP($A154,'EA-Fortescue_SDExport'!$A:$A,'EA-Fortescue_SDExport'!E:E)</f>
        <v>1</v>
      </c>
      <c r="F154">
        <f>_xlfn.XLOOKUP($A154,'EA-Fortescue_SDExport'!$A:$A,'EA-Fortescue_SDExport'!F:F)</f>
        <v>1</v>
      </c>
      <c r="G154">
        <f>_xlfn.XLOOKUP($A154,'EA-Fortescue_SDExport'!$A:$A,'EA-Fortescue_SDExport'!G:G)</f>
        <v>0</v>
      </c>
      <c r="H154" t="str">
        <f>_xlfn.XLOOKUP($A154,'EA-Fortescue_SDExport'!$A:$A,'EA-Fortescue_SDExport'!H:H)</f>
        <v>InterfaceBlock</v>
      </c>
      <c r="I154" t="str">
        <f>_xlfn.XLOOKUP($A154,'EA-Fortescue_SDExport'!$A:$A,'EA-Fortescue_SDExport'!I:I)</f>
        <v>SysML1.4::InterfaceBlock</v>
      </c>
      <c r="J154" t="str">
        <f>_xlfn.XLOOKUP($A154,'EA-Fortescue_SDExport'!$A:$A,'EA-Fortescue_SDExport'!J:J)</f>
        <v>Java</v>
      </c>
      <c r="K154" t="str">
        <f>_xlfn.XLOOKUP($A154,'EA-Fortescue_SDExport'!$A:$A,'EA-Fortescue_SDExport'!K:K)</f>
        <v>Admin</v>
      </c>
      <c r="L154" t="str">
        <f>_xlfn.XLOOKUP($A154,'EA-Fortescue_SDExport'!$A:$A,'EA-Fortescue_SDExport'!L:L)</f>
        <v>Public</v>
      </c>
      <c r="M154">
        <f>_xlfn.XLOOKUP($A154,'EA-Fortescue_SDExport'!$A:$A,'EA-Fortescue_SDExport'!M:M)</f>
        <v>0</v>
      </c>
      <c r="N154" t="str">
        <f>_xlfn.XLOOKUP($A154,InterfaceRegister!$A:$A,InterfaceRegister!K:K)</f>
        <v>Proposed</v>
      </c>
      <c r="O154">
        <f>_xlfn.XLOOKUP($A154,'EA-Fortescue_SDExport'!$A:$A,'EA-Fortescue_SDExport'!O:O)</f>
        <v>1</v>
      </c>
      <c r="P154">
        <f>_xlfn.XLOOKUP($A154,'EA-Fortescue_SDExport'!$A:$A,'EA-Fortescue_SDExport'!P:P)</f>
        <v>0</v>
      </c>
      <c r="Q154">
        <f>_xlfn.XLOOKUP($A154,'EA-Fortescue_SDExport'!$A:$A,'EA-Fortescue_SDExport'!Q:Q)</f>
        <v>0</v>
      </c>
      <c r="R154">
        <f>_xlfn.XLOOKUP($A154,'EA-Fortescue_SDExport'!$A:$A,'EA-Fortescue_SDExport'!R:R)</f>
        <v>0</v>
      </c>
      <c r="S154">
        <f>_xlfn.XLOOKUP($A154,'EA-Fortescue_SDExport'!$A:$A,'EA-Fortescue_SDExport'!S:S)</f>
        <v>0</v>
      </c>
      <c r="T154">
        <f>_xlfn.XLOOKUP($A154,'EA-Fortescue_SDExport'!$A:$A,'EA-Fortescue_SDExport'!T:T)</f>
        <v>0</v>
      </c>
      <c r="U154">
        <f>_xlfn.XLOOKUP($A154,'EA-Fortescue_SDExport'!$A:$A,'EA-Fortescue_SDExport'!U:U)</f>
        <v>45895.895856481482</v>
      </c>
      <c r="V154">
        <f>_xlfn.XLOOKUP($A154,'EA-Fortescue_SDExport'!$A:$A,'EA-Fortescue_SDExport'!V:V)</f>
        <v>46002.067557870374</v>
      </c>
      <c r="W154">
        <f>_xlfn.XLOOKUP($A154,'EA-Fortescue_SDExport'!$A:$A,'EA-Fortescue_SDExport'!W:W)</f>
        <v>0</v>
      </c>
      <c r="X154">
        <f>_xlfn.XLOOKUP($A154,'EA-Fortescue_SDExport'!$A:$A,'EA-Fortescue_SDExport'!X:X)</f>
        <v>0</v>
      </c>
      <c r="Y154">
        <f>_xlfn.XLOOKUP($A154,'EA-Fortescue_SDExport'!$A:$A,'EA-Fortescue_SDExport'!Y:Y)</f>
        <v>0</v>
      </c>
      <c r="Z154" t="str">
        <f>_xlfn.XLOOKUP($A154,'EA-Fortescue_SDExport'!$A:$A,'EA-Fortescue_SDExport'!Z:Z)</f>
        <v>SysML1.4::InterfaceBlock</v>
      </c>
      <c r="AA154" t="str">
        <f>_xlfn.XLOOKUP($A154,InterfaceRegister!$A:$A,InterfaceRegister!B:B)</f>
        <v>005OP-0000-017 Ignition|850DC-1522 Field Switches</v>
      </c>
      <c r="AB154" t="str">
        <f>_xlfn.XLOOKUP($A154,InterfaceRegister!$A:$A,InterfaceRegister!C:C)</f>
        <v>Sam Hedgcock</v>
      </c>
      <c r="AC154" t="str">
        <f>_xlfn.XLOOKUP($A154,InterfaceRegister!$A:$A,InterfaceRegister!D:D)</f>
        <v>Glen Carruthers</v>
      </c>
      <c r="AD154" t="str">
        <f>_xlfn.XLOOKUP($A154,InterfaceRegister!$A:$A,InterfaceRegister!E:E)</f>
        <v>System - Project Interface</v>
      </c>
      <c r="AE154" t="str">
        <f>_xlfn.XLOOKUP($A154,InterfaceRegister!$A:$A,InterfaceRegister!F:F)</f>
        <v/>
      </c>
      <c r="AF154" t="str">
        <f>_xlfn.XLOOKUP($A154,InterfaceRegister!$A:$A,InterfaceRegister!L:L)</f>
        <v>Ignition SCADA &lt;-&gt; Field Switches - PLC Status, Telemetry &amp; HV Switching Control_x000D_
The purpose of this interface is that Ignition SCADA integrates with field switches via PLCs using OPC/UA to provide real-time operational data and two-way control. The system collects SCADA tag statuses, circuit breaker positions, temperature readings, and other switch telemetry. It also supports remote high-voltage (HV) switching operations, allowing authorised operators to open or close breakers safely from the control environment._x000D_
Intermediate Elements: Field switch PLCs, OPC/UA communications, Ignition SCADA, HV switching control logic and interlocks.</v>
      </c>
      <c r="AG154" t="str">
        <f>_xlfn.XLOOKUP($A154,InterfaceRegister!$A:$A,InterfaceRegister!M:M)</f>
        <v>HIGH</v>
      </c>
      <c r="AH154" t="str">
        <f>_xlfn.XLOOKUP($A154,InterfaceRegister!$A:$A,InterfaceRegister!O:O)</f>
        <v>Field switch PLCs (breaker status, temperature, telemetry) &lt;-&gt; OPC/UA &lt;-&gt; Ignition SCADA (monitoring &amp; HV control).</v>
      </c>
      <c r="AI154" t="str">
        <f>_xlfn.XLOOKUP($A154,InterfaceRegister!$A:$A,InterfaceRegister!N:N)</f>
        <v>The criticality level is HIGH because reliable two-way control and accurate telemetry from field switches are essential for safe HV operations, isolations, and maintaining electrical network stability across the mine. Failure impairs the ability to safely isolate equipment and promptly perform remote switching during a fault, increasing the risk of prolonged outages, equipment damage, or electrical hazards.</v>
      </c>
      <c r="AJ154" t="str">
        <f>_xlfn.XLOOKUP($A154,'EA-Fortescue_SDExport'!$A:$A,'EA-Fortescue_SDExport'!AX:AX)</f>
        <v>CSV8EA0E60F</v>
      </c>
      <c r="AK154">
        <f>_xlfn.XLOOKUP($A154,'EA-Fortescue_SDExport'!$A:$A,'EA-Fortescue_SDExport'!AY:AY)</f>
        <v>0</v>
      </c>
    </row>
    <row r="155" spans="1:37" x14ac:dyDescent="0.25">
      <c r="A155" t="str">
        <v>DGS-I_0154</v>
      </c>
      <c r="B155" t="str">
        <f>_xlfn.XLOOKUP($A155,'EA-Fortescue_SDExport'!$A:$A,'EA-Fortescue_SDExport'!B:B)</f>
        <v>Class</v>
      </c>
      <c r="C155" t="str">
        <f>_xlfn.XLOOKUP($A155,'EA-Fortescue_SDExport'!$A:$A,'EA-Fortescue_SDExport'!C:C)</f>
        <v>{7EDC6C83-49AD-4696-BE90-AF91FBDDF008}</v>
      </c>
      <c r="D155" t="str">
        <f>_xlfn.LET(_xlpm.result, _xlfn.XLOOKUP($A155, InterfaceRegister!$A:$A, InterfaceRegister!P:P), IF(_xlpm.result=0, "", _xlpm.result))</f>
        <v>LMS Review 30/10/2025: Trending data from chargers, diagnostics. OPC/UA_x000D_
NH 20/02/2026: Fields updated: Interface Type, Interface Flow.</v>
      </c>
      <c r="E155">
        <f>_xlfn.XLOOKUP($A155,'EA-Fortescue_SDExport'!$A:$A,'EA-Fortescue_SDExport'!E:E)</f>
        <v>1</v>
      </c>
      <c r="F155">
        <f>_xlfn.XLOOKUP($A155,'EA-Fortescue_SDExport'!$A:$A,'EA-Fortescue_SDExport'!F:F)</f>
        <v>1</v>
      </c>
      <c r="G155">
        <f>_xlfn.XLOOKUP($A155,'EA-Fortescue_SDExport'!$A:$A,'EA-Fortescue_SDExport'!G:G)</f>
        <v>0</v>
      </c>
      <c r="H155" t="str">
        <f>_xlfn.XLOOKUP($A155,'EA-Fortescue_SDExport'!$A:$A,'EA-Fortescue_SDExport'!H:H)</f>
        <v>InterfaceBlock</v>
      </c>
      <c r="I155" t="str">
        <f>_xlfn.XLOOKUP($A155,'EA-Fortescue_SDExport'!$A:$A,'EA-Fortescue_SDExport'!I:I)</f>
        <v>SysML1.4::InterfaceBlock</v>
      </c>
      <c r="J155" t="str">
        <f>_xlfn.XLOOKUP($A155,'EA-Fortescue_SDExport'!$A:$A,'EA-Fortescue_SDExport'!J:J)</f>
        <v>Java</v>
      </c>
      <c r="K155" t="str">
        <f>_xlfn.XLOOKUP($A155,'EA-Fortescue_SDExport'!$A:$A,'EA-Fortescue_SDExport'!K:K)</f>
        <v>Admin</v>
      </c>
      <c r="L155" t="str">
        <f>_xlfn.XLOOKUP($A155,'EA-Fortescue_SDExport'!$A:$A,'EA-Fortescue_SDExport'!L:L)</f>
        <v>Public</v>
      </c>
      <c r="M155">
        <f>_xlfn.XLOOKUP($A155,'EA-Fortescue_SDExport'!$A:$A,'EA-Fortescue_SDExport'!M:M)</f>
        <v>0</v>
      </c>
      <c r="N155" t="str">
        <f>_xlfn.XLOOKUP($A155,InterfaceRegister!$A:$A,InterfaceRegister!K:K)</f>
        <v>Proposed</v>
      </c>
      <c r="O155">
        <f>_xlfn.XLOOKUP($A155,'EA-Fortescue_SDExport'!$A:$A,'EA-Fortescue_SDExport'!O:O)</f>
        <v>1</v>
      </c>
      <c r="P155">
        <f>_xlfn.XLOOKUP($A155,'EA-Fortescue_SDExport'!$A:$A,'EA-Fortescue_SDExport'!P:P)</f>
        <v>0</v>
      </c>
      <c r="Q155">
        <f>_xlfn.XLOOKUP($A155,'EA-Fortescue_SDExport'!$A:$A,'EA-Fortescue_SDExport'!Q:Q)</f>
        <v>0</v>
      </c>
      <c r="R155">
        <f>_xlfn.XLOOKUP($A155,'EA-Fortescue_SDExport'!$A:$A,'EA-Fortescue_SDExport'!R:R)</f>
        <v>0</v>
      </c>
      <c r="S155">
        <f>_xlfn.XLOOKUP($A155,'EA-Fortescue_SDExport'!$A:$A,'EA-Fortescue_SDExport'!S:S)</f>
        <v>0</v>
      </c>
      <c r="T155">
        <f>_xlfn.XLOOKUP($A155,'EA-Fortescue_SDExport'!$A:$A,'EA-Fortescue_SDExport'!T:T)</f>
        <v>0</v>
      </c>
      <c r="U155">
        <f>_xlfn.XLOOKUP($A155,'EA-Fortescue_SDExport'!$A:$A,'EA-Fortescue_SDExport'!U:U)</f>
        <v>45958.766782407409</v>
      </c>
      <c r="V155">
        <f>_xlfn.XLOOKUP($A155,'EA-Fortescue_SDExport'!$A:$A,'EA-Fortescue_SDExport'!V:V)</f>
        <v>46077.99322916667</v>
      </c>
      <c r="W155">
        <f>_xlfn.XLOOKUP($A155,'EA-Fortescue_SDExport'!$A:$A,'EA-Fortescue_SDExport'!W:W)</f>
        <v>0</v>
      </c>
      <c r="X155">
        <f>_xlfn.XLOOKUP($A155,'EA-Fortescue_SDExport'!$A:$A,'EA-Fortescue_SDExport'!X:X)</f>
        <v>0</v>
      </c>
      <c r="Y155">
        <f>_xlfn.XLOOKUP($A155,'EA-Fortescue_SDExport'!$A:$A,'EA-Fortescue_SDExport'!Y:Y)</f>
        <v>0</v>
      </c>
      <c r="Z155" t="str">
        <f>_xlfn.XLOOKUP($A155,'EA-Fortescue_SDExport'!$A:$A,'EA-Fortescue_SDExport'!Z:Z)</f>
        <v>SysML1.4::InterfaceBlock</v>
      </c>
      <c r="AA155" t="str">
        <f>_xlfn.XLOOKUP($A155,InterfaceRegister!$A:$A,InterfaceRegister!B:B)</f>
        <v>005OP-0000-017-002 Fire SCADA|850DC-1512-0001 HME Chargers - Gen1</v>
      </c>
      <c r="AB155" t="str">
        <f>_xlfn.XLOOKUP($A155,InterfaceRegister!$A:$A,InterfaceRegister!C:C)</f>
        <v/>
      </c>
      <c r="AC155" t="str">
        <f>_xlfn.XLOOKUP($A155,InterfaceRegister!$A:$A,InterfaceRegister!D:D)</f>
        <v/>
      </c>
      <c r="AD155" t="str">
        <f>_xlfn.XLOOKUP($A155,InterfaceRegister!$A:$A,InterfaceRegister!E:E)</f>
        <v>Project - Subsystem Interface</v>
      </c>
      <c r="AE155" t="str">
        <f>_xlfn.XLOOKUP($A155,InterfaceRegister!$A:$A,InterfaceRegister!F:F)</f>
        <v>Technical-Data/Software</v>
      </c>
      <c r="AF155" t="str">
        <f>_xlfn.XLOOKUP($A155,InterfaceRegister!$A:$A,InterfaceRegister!L:L)</f>
        <v>This interface transmits fire system alarms, zone isolation signals, and equipment status from Fire SCADA to the HME Chargers, ensuring chargers respond correctly to fire conditions.</v>
      </c>
      <c r="AG155" t="str">
        <f>_xlfn.XLOOKUP($A155,InterfaceRegister!$A:$A,InterfaceRegister!M:M)</f>
        <v>HIGH</v>
      </c>
      <c r="AH155" t="str">
        <f>_xlfn.XLOOKUP($A155,InterfaceRegister!$A:$A,InterfaceRegister!O:O)</f>
        <v>Data Flow: Fire SCADA (Ignition) -&gt; HME Chargers (fire alarms, zone isolation signals, suppression system status, emergency stop signals, equipment status) to trigger charger shutdown, isolation, or safe-state actions during fire events.</v>
      </c>
      <c r="AI155" t="str">
        <f>_xlfn.XLOOKUP($A155,InterfaceRegister!$A:$A,InterfaceRegister!N:N)</f>
        <v>The criticality level is HIGH because failure could prevent chargers from shutting down or isolating circuits during a fire event. Insufficient response to fire alarms poses significant safety risks and compromises emergency response capabilities.</v>
      </c>
      <c r="AJ155" t="str">
        <f>_xlfn.XLOOKUP($A155,'EA-Fortescue_SDExport'!$A:$A,'EA-Fortescue_SDExport'!AX:AX)</f>
        <v>CSVCDEBC819</v>
      </c>
      <c r="AK155">
        <f>_xlfn.XLOOKUP($A155,'EA-Fortescue_SDExport'!$A:$A,'EA-Fortescue_SDExport'!AY:AY)</f>
        <v>0</v>
      </c>
    </row>
    <row r="156" spans="1:37" x14ac:dyDescent="0.25">
      <c r="A156" t="str">
        <v>DGS-I_0155</v>
      </c>
      <c r="B156" t="str">
        <f>_xlfn.XLOOKUP($A156,'EA-Fortescue_SDExport'!$A:$A,'EA-Fortescue_SDExport'!B:B)</f>
        <v>Class</v>
      </c>
      <c r="C156" t="str">
        <f>_xlfn.XLOOKUP($A156,'EA-Fortescue_SDExport'!$A:$A,'EA-Fortescue_SDExport'!C:C)</f>
        <v>{07BEC49A-A7F6-41ea-95D8-B2D1DDB096D4}</v>
      </c>
      <c r="D156" t="str">
        <f>_xlfn.LET(_xlpm.result, _xlfn.XLOOKUP($A156, InterfaceRegister!$A:$A, InterfaceRegister!P:P), IF(_xlpm.result=0, "", _xlpm.result))</f>
        <v>LMS Review 30/10/2025: Potential MQTT Integration (July roll out?)_x000D_
_x000D_
Status of when a cable is live. Logic in PLC for curent breaker status and data._x000D_
_x000D_
Interface Review 02/12/2025: Cable util metrics _x000D_
_x000D_
Ignition back to LiveWire for cable metrics will be done via MQTT/Kafka.</v>
      </c>
      <c r="E156">
        <f>_xlfn.XLOOKUP($A156,'EA-Fortescue_SDExport'!$A:$A,'EA-Fortescue_SDExport'!E:E)</f>
        <v>1</v>
      </c>
      <c r="F156">
        <f>_xlfn.XLOOKUP($A156,'EA-Fortescue_SDExport'!$A:$A,'EA-Fortescue_SDExport'!F:F)</f>
        <v>1</v>
      </c>
      <c r="G156">
        <f>_xlfn.XLOOKUP($A156,'EA-Fortescue_SDExport'!$A:$A,'EA-Fortescue_SDExport'!G:G)</f>
        <v>0</v>
      </c>
      <c r="H156" t="str">
        <f>_xlfn.XLOOKUP($A156,'EA-Fortescue_SDExport'!$A:$A,'EA-Fortescue_SDExport'!H:H)</f>
        <v>InterfaceBlock</v>
      </c>
      <c r="I156" t="str">
        <f>_xlfn.XLOOKUP($A156,'EA-Fortescue_SDExport'!$A:$A,'EA-Fortescue_SDExport'!I:I)</f>
        <v>SysML1.4::InterfaceBlock</v>
      </c>
      <c r="J156" t="str">
        <f>_xlfn.XLOOKUP($A156,'EA-Fortescue_SDExport'!$A:$A,'EA-Fortescue_SDExport'!J:J)</f>
        <v>Java</v>
      </c>
      <c r="K156" t="str">
        <f>_xlfn.XLOOKUP($A156,'EA-Fortescue_SDExport'!$A:$A,'EA-Fortescue_SDExport'!K:K)</f>
        <v>Admin</v>
      </c>
      <c r="L156" t="str">
        <f>_xlfn.XLOOKUP($A156,'EA-Fortescue_SDExport'!$A:$A,'EA-Fortescue_SDExport'!L:L)</f>
        <v>Public</v>
      </c>
      <c r="M156">
        <f>_xlfn.XLOOKUP($A156,'EA-Fortescue_SDExport'!$A:$A,'EA-Fortescue_SDExport'!M:M)</f>
        <v>0</v>
      </c>
      <c r="N156" t="str">
        <f>_xlfn.XLOOKUP($A156,InterfaceRegister!$A:$A,InterfaceRegister!K:K)</f>
        <v>Proposed</v>
      </c>
      <c r="O156">
        <f>_xlfn.XLOOKUP($A156,'EA-Fortescue_SDExport'!$A:$A,'EA-Fortescue_SDExport'!O:O)</f>
        <v>1</v>
      </c>
      <c r="P156">
        <f>_xlfn.XLOOKUP($A156,'EA-Fortescue_SDExport'!$A:$A,'EA-Fortescue_SDExport'!P:P)</f>
        <v>0</v>
      </c>
      <c r="Q156">
        <f>_xlfn.XLOOKUP($A156,'EA-Fortescue_SDExport'!$A:$A,'EA-Fortescue_SDExport'!Q:Q)</f>
        <v>0</v>
      </c>
      <c r="R156">
        <f>_xlfn.XLOOKUP($A156,'EA-Fortescue_SDExport'!$A:$A,'EA-Fortescue_SDExport'!R:R)</f>
        <v>0</v>
      </c>
      <c r="S156">
        <f>_xlfn.XLOOKUP($A156,'EA-Fortescue_SDExport'!$A:$A,'EA-Fortescue_SDExport'!S:S)</f>
        <v>0</v>
      </c>
      <c r="T156">
        <f>_xlfn.XLOOKUP($A156,'EA-Fortescue_SDExport'!$A:$A,'EA-Fortescue_SDExport'!T:T)</f>
        <v>0</v>
      </c>
      <c r="U156">
        <f>_xlfn.XLOOKUP($A156,'EA-Fortescue_SDExport'!$A:$A,'EA-Fortescue_SDExport'!U:U)</f>
        <v>45895.82576388889</v>
      </c>
      <c r="V156">
        <f>_xlfn.XLOOKUP($A156,'EA-Fortescue_SDExport'!$A:$A,'EA-Fortescue_SDExport'!V:V)</f>
        <v>46002.067557870374</v>
      </c>
      <c r="W156">
        <f>_xlfn.XLOOKUP($A156,'EA-Fortescue_SDExport'!$A:$A,'EA-Fortescue_SDExport'!W:W)</f>
        <v>0</v>
      </c>
      <c r="X156">
        <f>_xlfn.XLOOKUP($A156,'EA-Fortescue_SDExport'!$A:$A,'EA-Fortescue_SDExport'!X:X)</f>
        <v>0</v>
      </c>
      <c r="Y156">
        <f>_xlfn.XLOOKUP($A156,'EA-Fortescue_SDExport'!$A:$A,'EA-Fortescue_SDExport'!Y:Y)</f>
        <v>0</v>
      </c>
      <c r="Z156" t="str">
        <f>_xlfn.XLOOKUP($A156,'EA-Fortescue_SDExport'!$A:$A,'EA-Fortescue_SDExport'!Z:Z)</f>
        <v>SysML1.4::InterfaceBlock</v>
      </c>
      <c r="AA156" t="str">
        <f>_xlfn.XLOOKUP($A156,InterfaceRegister!$A:$A,InterfaceRegister!B:B)</f>
        <v>005OP-0000-017 Ignition|855DC-1541-LIV LiveWire</v>
      </c>
      <c r="AB156" t="str">
        <f>_xlfn.XLOOKUP($A156,InterfaceRegister!$A:$A,InterfaceRegister!C:C)</f>
        <v>Abby Buters</v>
      </c>
      <c r="AC156" t="str">
        <f>_xlfn.XLOOKUP($A156,InterfaceRegister!$A:$A,InterfaceRegister!D:D)</f>
        <v>Nick Lane, Sam Hedgcock, Welly Yang</v>
      </c>
      <c r="AD156" t="str">
        <f>_xlfn.XLOOKUP($A156,InterfaceRegister!$A:$A,InterfaceRegister!E:E)</f>
        <v>Project - Project Interface</v>
      </c>
      <c r="AE156" t="str">
        <f>_xlfn.XLOOKUP($A156,InterfaceRegister!$A:$A,InterfaceRegister!F:F)</f>
        <v>Technical-Data/Software</v>
      </c>
      <c r="AF156" t="str">
        <f>_xlfn.XLOOKUP($A156,InterfaceRegister!$A:$A,InterfaceRegister!L:L)</f>
        <v>LiveWire - Cable Coupler Connection Tracking via Ignition SCADA_x000D_
The purpose of this interface is to display real-time connection information for cable couplers across substations and switches within the LiveWire system. Since the original intent to use sensors to automatically identify a coupler's connected outlet may not be achievable, Ignition SCADA will instead provide an interface for operators to manually update the cable-to-outlet assignments. LiveWire then consumes this SCADA-sourced data to present accurate connection details to operations and planning teams._x000D_
Intermediate Elements: Ignition SCADA, SCADA operator interface for manual updates, and the LiveWire visualisation system.</v>
      </c>
      <c r="AG156" t="str">
        <f>_xlfn.XLOOKUP($A156,InterfaceRegister!$A:$A,InterfaceRegister!M:M)</f>
        <v>MEDIUM</v>
      </c>
      <c r="AH156" t="str">
        <f>_xlfn.XLOOKUP($A156,InterfaceRegister!$A:$A,InterfaceRegister!O:O)</f>
        <v>Data Flow:_x000D_
Cable coupler sensors (where available) or manual entry in Ignition SCADA -&gt; SCADA data model -&gt; LiveWire visualisation layer.</v>
      </c>
      <c r="AI156" t="str">
        <f>_xlfn.XLOOKUP($A156,InterfaceRegister!$A:$A,InterfaceRegister!N:N)</f>
        <v>The criticality level is MEDIUM because accurate coupler connection information is essential for safe switching operations and network planning. Failure may degrade safety and planning quality, but is not immediately production-critical.</v>
      </c>
      <c r="AJ156" t="str">
        <f>_xlfn.XLOOKUP($A156,'EA-Fortescue_SDExport'!$A:$A,'EA-Fortescue_SDExport'!AX:AX)</f>
        <v>CSVDC5C3D06</v>
      </c>
      <c r="AK156">
        <f>_xlfn.XLOOKUP($A156,'EA-Fortescue_SDExport'!$A:$A,'EA-Fortescue_SDExport'!AY:AY)</f>
        <v>0</v>
      </c>
    </row>
    <row r="157" spans="1:37" x14ac:dyDescent="0.25">
      <c r="A157" t="str">
        <v>DGS-I_0156</v>
      </c>
      <c r="B157" t="str">
        <f>_xlfn.XLOOKUP($A157,'EA-Fortescue_SDExport'!$A:$A,'EA-Fortescue_SDExport'!B:B)</f>
        <v>Class</v>
      </c>
      <c r="C157" t="str">
        <f>_xlfn.XLOOKUP($A157,'EA-Fortescue_SDExport'!$A:$A,'EA-Fortescue_SDExport'!C:C)</f>
        <v>{7EDC8932-1668-414b-8501-2F8ADC2A2839}</v>
      </c>
      <c r="D157" t="str">
        <f>_xlfn.LET(_xlpm.result, _xlfn.XLOOKUP($A157, InterfaceRegister!$A:$A, InterfaceRegister!P:P), IF(_xlpm.result=0, "", _xlpm.result))</f>
        <v>LMS Review 30/10/2025: Trending data from chargers, diagnostics. OPC/UA_x000D_
NH 20/02/2026: Fields updated: Interface Type, Interface Flow.</v>
      </c>
      <c r="E157">
        <f>_xlfn.XLOOKUP($A157,'EA-Fortescue_SDExport'!$A:$A,'EA-Fortescue_SDExport'!E:E)</f>
        <v>1</v>
      </c>
      <c r="F157">
        <f>_xlfn.XLOOKUP($A157,'EA-Fortescue_SDExport'!$A:$A,'EA-Fortescue_SDExport'!F:F)</f>
        <v>1</v>
      </c>
      <c r="G157">
        <f>_xlfn.XLOOKUP($A157,'EA-Fortescue_SDExport'!$A:$A,'EA-Fortescue_SDExport'!G:G)</f>
        <v>0</v>
      </c>
      <c r="H157" t="str">
        <f>_xlfn.XLOOKUP($A157,'EA-Fortescue_SDExport'!$A:$A,'EA-Fortescue_SDExport'!H:H)</f>
        <v>InterfaceBlock</v>
      </c>
      <c r="I157" t="str">
        <f>_xlfn.XLOOKUP($A157,'EA-Fortescue_SDExport'!$A:$A,'EA-Fortescue_SDExport'!I:I)</f>
        <v>SysML1.4::InterfaceBlock</v>
      </c>
      <c r="J157" t="str">
        <f>_xlfn.XLOOKUP($A157,'EA-Fortescue_SDExport'!$A:$A,'EA-Fortescue_SDExport'!J:J)</f>
        <v>Java</v>
      </c>
      <c r="K157" t="str">
        <f>_xlfn.XLOOKUP($A157,'EA-Fortescue_SDExport'!$A:$A,'EA-Fortescue_SDExport'!K:K)</f>
        <v>Admin</v>
      </c>
      <c r="L157" t="str">
        <f>_xlfn.XLOOKUP($A157,'EA-Fortescue_SDExport'!$A:$A,'EA-Fortescue_SDExport'!L:L)</f>
        <v>Public</v>
      </c>
      <c r="M157">
        <f>_xlfn.XLOOKUP($A157,'EA-Fortescue_SDExport'!$A:$A,'EA-Fortescue_SDExport'!M:M)</f>
        <v>0</v>
      </c>
      <c r="N157" t="str">
        <f>_xlfn.XLOOKUP($A157,InterfaceRegister!$A:$A,InterfaceRegister!K:K)</f>
        <v>Proposed</v>
      </c>
      <c r="O157">
        <f>_xlfn.XLOOKUP($A157,'EA-Fortescue_SDExport'!$A:$A,'EA-Fortescue_SDExport'!O:O)</f>
        <v>1</v>
      </c>
      <c r="P157">
        <f>_xlfn.XLOOKUP($A157,'EA-Fortescue_SDExport'!$A:$A,'EA-Fortescue_SDExport'!P:P)</f>
        <v>0</v>
      </c>
      <c r="Q157">
        <f>_xlfn.XLOOKUP($A157,'EA-Fortescue_SDExport'!$A:$A,'EA-Fortescue_SDExport'!Q:Q)</f>
        <v>0</v>
      </c>
      <c r="R157">
        <f>_xlfn.XLOOKUP($A157,'EA-Fortescue_SDExport'!$A:$A,'EA-Fortescue_SDExport'!R:R)</f>
        <v>0</v>
      </c>
      <c r="S157">
        <f>_xlfn.XLOOKUP($A157,'EA-Fortescue_SDExport'!$A:$A,'EA-Fortescue_SDExport'!S:S)</f>
        <v>0</v>
      </c>
      <c r="T157">
        <f>_xlfn.XLOOKUP($A157,'EA-Fortescue_SDExport'!$A:$A,'EA-Fortescue_SDExport'!T:T)</f>
        <v>0</v>
      </c>
      <c r="U157">
        <f>_xlfn.XLOOKUP($A157,'EA-Fortescue_SDExport'!$A:$A,'EA-Fortescue_SDExport'!U:U)</f>
        <v>45958.771516203706</v>
      </c>
      <c r="V157">
        <f>_xlfn.XLOOKUP($A157,'EA-Fortescue_SDExport'!$A:$A,'EA-Fortescue_SDExport'!V:V)</f>
        <v>46077.993217592593</v>
      </c>
      <c r="W157">
        <f>_xlfn.XLOOKUP($A157,'EA-Fortescue_SDExport'!$A:$A,'EA-Fortescue_SDExport'!W:W)</f>
        <v>0</v>
      </c>
      <c r="X157">
        <f>_xlfn.XLOOKUP($A157,'EA-Fortescue_SDExport'!$A:$A,'EA-Fortescue_SDExport'!X:X)</f>
        <v>0</v>
      </c>
      <c r="Y157">
        <f>_xlfn.XLOOKUP($A157,'EA-Fortescue_SDExport'!$A:$A,'EA-Fortescue_SDExport'!Y:Y)</f>
        <v>0</v>
      </c>
      <c r="Z157" t="str">
        <f>_xlfn.XLOOKUP($A157,'EA-Fortescue_SDExport'!$A:$A,'EA-Fortescue_SDExport'!Z:Z)</f>
        <v>SysML1.4::InterfaceBlock</v>
      </c>
      <c r="AA157" t="str">
        <f>_xlfn.XLOOKUP($A157,InterfaceRegister!$A:$A,InterfaceRegister!B:B)</f>
        <v>005OP-0000-017-001 Non-Process Infrastructure (NPI) SCADA|850DC-1512-0001 HME Chargers - Gen1</v>
      </c>
      <c r="AB157" t="str">
        <f>_xlfn.XLOOKUP($A157,InterfaceRegister!$A:$A,InterfaceRegister!C:C)</f>
        <v/>
      </c>
      <c r="AC157" t="str">
        <f>_xlfn.XLOOKUP($A157,InterfaceRegister!$A:$A,InterfaceRegister!D:D)</f>
        <v/>
      </c>
      <c r="AD157" t="str">
        <f>_xlfn.XLOOKUP($A157,InterfaceRegister!$A:$A,InterfaceRegister!E:E)</f>
        <v>Project - Subsystem Interface</v>
      </c>
      <c r="AE157" t="str">
        <f>_xlfn.XLOOKUP($A157,InterfaceRegister!$A:$A,InterfaceRegister!F:F)</f>
        <v>Technical-Data/Software</v>
      </c>
      <c r="AF157" t="str">
        <f>_xlfn.XLOOKUP($A157,InterfaceRegister!$A:$A,InterfaceRegister!L:L)</f>
        <v>This interface provides NPI SCADA visibility and control signals to HME Chargers, including building services, auxiliary power, and environmental conditions.</v>
      </c>
      <c r="AG157" t="str">
        <f>_xlfn.XLOOKUP($A157,InterfaceRegister!$A:$A,InterfaceRegister!M:M)</f>
        <v>MEDIUM</v>
      </c>
      <c r="AH157" t="str">
        <f>_xlfn.XLOOKUP($A157,InterfaceRegister!$A:$A,InterfaceRegister!O:O)</f>
        <v>Data Flow: HME Chargers / Building Services -&gt; Ignition SCADA (NPI SCADA) (auxiliary power status, environmental conditions, HVAC status, room temperature, alarms, equipment health) for monitoring and situational awareness.</v>
      </c>
      <c r="AI157" t="str">
        <f>_xlfn.XLOOKUP($A157,InterfaceRegister!$A:$A,InterfaceRegister!N:N)</f>
        <v>The criticality level is MEDIUM because losing this link reduces operational visibility and may affect charger room support systems. Outages may disrupt support services, but typically do not compromise core charger unit function.</v>
      </c>
      <c r="AJ157" t="str">
        <f>_xlfn.XLOOKUP($A157,'EA-Fortescue_SDExport'!$A:$A,'EA-Fortescue_SDExport'!AX:AX)</f>
        <v>CSV8939291B</v>
      </c>
      <c r="AK157">
        <f>_xlfn.XLOOKUP($A157,'EA-Fortescue_SDExport'!$A:$A,'EA-Fortescue_SDExport'!AY:AY)</f>
        <v>0</v>
      </c>
    </row>
    <row r="158" spans="1:37" x14ac:dyDescent="0.25">
      <c r="A158" t="str">
        <v>DGS-I_0157</v>
      </c>
      <c r="B158" t="str">
        <f>_xlfn.XLOOKUP($A158,'EA-Fortescue_SDExport'!$A:$A,'EA-Fortescue_SDExport'!B:B)</f>
        <v>Class</v>
      </c>
      <c r="C158" t="str">
        <f>_xlfn.XLOOKUP($A158,'EA-Fortescue_SDExport'!$A:$A,'EA-Fortescue_SDExport'!C:C)</f>
        <v>{E5B37BD9-4553-4c14-BBCD-383F3015C085}</v>
      </c>
      <c r="D158" t="str">
        <f>_xlfn.LET(_xlpm.result, _xlfn.XLOOKUP($A158, InterfaceRegister!$A:$A, InterfaceRegister!P:P), IF(_xlpm.result=0, "", _xlpm.result))</f>
        <v>SCADA Review 30/10/2025:Green substation (in pit sub). 33/6.6kv. Delete, part of substations. To be confirmed._x000D_
05/12/2025: Deleted due to previous comment.</v>
      </c>
      <c r="E158">
        <f>_xlfn.XLOOKUP($A158,'EA-Fortescue_SDExport'!$A:$A,'EA-Fortescue_SDExport'!E:E)</f>
        <v>1</v>
      </c>
      <c r="F158">
        <f>_xlfn.XLOOKUP($A158,'EA-Fortescue_SDExport'!$A:$A,'EA-Fortescue_SDExport'!F:F)</f>
        <v>1</v>
      </c>
      <c r="G158">
        <f>_xlfn.XLOOKUP($A158,'EA-Fortescue_SDExport'!$A:$A,'EA-Fortescue_SDExport'!G:G)</f>
        <v>0</v>
      </c>
      <c r="H158" t="str">
        <f>_xlfn.XLOOKUP($A158,'EA-Fortescue_SDExport'!$A:$A,'EA-Fortescue_SDExport'!H:H)</f>
        <v>InterfaceBlock</v>
      </c>
      <c r="I158" t="str">
        <f>_xlfn.XLOOKUP($A158,'EA-Fortescue_SDExport'!$A:$A,'EA-Fortescue_SDExport'!I:I)</f>
        <v>SysML1.4::InterfaceBlock</v>
      </c>
      <c r="J158" t="str">
        <f>_xlfn.XLOOKUP($A158,'EA-Fortescue_SDExport'!$A:$A,'EA-Fortescue_SDExport'!J:J)</f>
        <v>Java</v>
      </c>
      <c r="K158" t="str">
        <f>_xlfn.XLOOKUP($A158,'EA-Fortescue_SDExport'!$A:$A,'EA-Fortescue_SDExport'!K:K)</f>
        <v>Admin</v>
      </c>
      <c r="L158" t="str">
        <f>_xlfn.XLOOKUP($A158,'EA-Fortescue_SDExport'!$A:$A,'EA-Fortescue_SDExport'!L:L)</f>
        <v>Public</v>
      </c>
      <c r="M158">
        <f>_xlfn.XLOOKUP($A158,'EA-Fortescue_SDExport'!$A:$A,'EA-Fortescue_SDExport'!M:M)</f>
        <v>0</v>
      </c>
      <c r="N158" t="str">
        <f>_xlfn.XLOOKUP($A158,InterfaceRegister!$A:$A,InterfaceRegister!K:K)</f>
        <v>Deleted</v>
      </c>
      <c r="O158">
        <f>_xlfn.XLOOKUP($A158,'EA-Fortescue_SDExport'!$A:$A,'EA-Fortescue_SDExport'!O:O)</f>
        <v>1</v>
      </c>
      <c r="P158">
        <f>_xlfn.XLOOKUP($A158,'EA-Fortescue_SDExport'!$A:$A,'EA-Fortescue_SDExport'!P:P)</f>
        <v>0</v>
      </c>
      <c r="Q158">
        <f>_xlfn.XLOOKUP($A158,'EA-Fortescue_SDExport'!$A:$A,'EA-Fortescue_SDExport'!Q:Q)</f>
        <v>0</v>
      </c>
      <c r="R158">
        <f>_xlfn.XLOOKUP($A158,'EA-Fortescue_SDExport'!$A:$A,'EA-Fortescue_SDExport'!R:R)</f>
        <v>0</v>
      </c>
      <c r="S158">
        <f>_xlfn.XLOOKUP($A158,'EA-Fortescue_SDExport'!$A:$A,'EA-Fortescue_SDExport'!S:S)</f>
        <v>0</v>
      </c>
      <c r="T158">
        <f>_xlfn.XLOOKUP($A158,'EA-Fortescue_SDExport'!$A:$A,'EA-Fortescue_SDExport'!T:T)</f>
        <v>0</v>
      </c>
      <c r="U158">
        <f>_xlfn.XLOOKUP($A158,'EA-Fortescue_SDExport'!$A:$A,'EA-Fortescue_SDExport'!U:U)</f>
        <v>45958.800439814811</v>
      </c>
      <c r="V158">
        <f>_xlfn.XLOOKUP($A158,'EA-Fortescue_SDExport'!$A:$A,'EA-Fortescue_SDExport'!V:V)</f>
        <v>46002.067569444444</v>
      </c>
      <c r="W158">
        <f>_xlfn.XLOOKUP($A158,'EA-Fortescue_SDExport'!$A:$A,'EA-Fortescue_SDExport'!W:W)</f>
        <v>0</v>
      </c>
      <c r="X158">
        <f>_xlfn.XLOOKUP($A158,'EA-Fortescue_SDExport'!$A:$A,'EA-Fortescue_SDExport'!X:X)</f>
        <v>0</v>
      </c>
      <c r="Y158">
        <f>_xlfn.XLOOKUP($A158,'EA-Fortescue_SDExport'!$A:$A,'EA-Fortescue_SDExport'!Y:Y)</f>
        <v>0</v>
      </c>
      <c r="Z158" t="str">
        <f>_xlfn.XLOOKUP($A158,'EA-Fortescue_SDExport'!$A:$A,'EA-Fortescue_SDExport'!Z:Z)</f>
        <v>SysML1.4::InterfaceBlock</v>
      </c>
      <c r="AA158" t="str">
        <f>_xlfn.XLOOKUP($A158,InterfaceRegister!$A:$A,InterfaceRegister!B:B)</f>
        <v>005OP-0000-017 Ignition|850DC-1523 Sub Kiosks</v>
      </c>
      <c r="AB158" t="str">
        <f>_xlfn.XLOOKUP($A158,InterfaceRegister!$A:$A,InterfaceRegister!C:C)</f>
        <v/>
      </c>
      <c r="AC158" t="str">
        <f>_xlfn.XLOOKUP($A158,InterfaceRegister!$A:$A,InterfaceRegister!D:D)</f>
        <v/>
      </c>
      <c r="AD158" t="str">
        <f>_xlfn.XLOOKUP($A158,InterfaceRegister!$A:$A,InterfaceRegister!E:E)</f>
        <v>System - Project Interface</v>
      </c>
      <c r="AE158" t="str">
        <f>_xlfn.XLOOKUP($A158,InterfaceRegister!$A:$A,InterfaceRegister!F:F)</f>
        <v/>
      </c>
      <c r="AF158" t="str">
        <f>_xlfn.XLOOKUP($A158,InterfaceRegister!$A:$A,InterfaceRegister!L:L)</f>
        <v>This interface allows Ignition SCADA to monitor and control the substations housed in sub kiosks, providing status, alarms, and switching capability.</v>
      </c>
      <c r="AG158" t="str">
        <f>_xlfn.XLOOKUP($A158,InterfaceRegister!$A:$A,InterfaceRegister!M:M)</f>
        <v>HIGH</v>
      </c>
      <c r="AH158" t="str">
        <f>_xlfn.XLOOKUP($A158,InterfaceRegister!$A:$A,InterfaceRegister!O:O)</f>
        <v/>
      </c>
      <c r="AI158" t="str">
        <f>_xlfn.XLOOKUP($A158,InterfaceRegister!$A:$A,InterfaceRegister!N:N)</f>
        <v>The criticality level is HIGH because losing this interface removes essential visibility and control of electrical distribution nodes. This could delay fault isolation or cause widespread outages, compromising site power continuity.</v>
      </c>
      <c r="AJ158" t="str">
        <f>_xlfn.XLOOKUP($A158,'EA-Fortescue_SDExport'!$A:$A,'EA-Fortescue_SDExport'!AX:AX)</f>
        <v>CSVCD98E081</v>
      </c>
      <c r="AK158">
        <f>_xlfn.XLOOKUP($A158,'EA-Fortescue_SDExport'!$A:$A,'EA-Fortescue_SDExport'!AY:AY)</f>
        <v>0</v>
      </c>
    </row>
    <row r="159" spans="1:37" x14ac:dyDescent="0.25">
      <c r="A159" t="str">
        <v>DGS-I_0158</v>
      </c>
      <c r="B159" t="str">
        <f>_xlfn.XLOOKUP($A159,'EA-Fortescue_SDExport'!$A:$A,'EA-Fortescue_SDExport'!B:B)</f>
        <v>Class</v>
      </c>
      <c r="C159" t="str">
        <f>_xlfn.XLOOKUP($A159,'EA-Fortescue_SDExport'!$A:$A,'EA-Fortescue_SDExport'!C:C)</f>
        <v>{B1A7B5EF-4FF4-4e9e-A842-10352B13A54A}</v>
      </c>
      <c r="D159" t="str">
        <f>_xlfn.LET(_xlpm.result, _xlfn.XLOOKUP($A159, InterfaceRegister!$A:$A, InterfaceRegister!P:P), IF(_xlpm.result=0, "", 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E159">
        <f>_xlfn.XLOOKUP($A159,'EA-Fortescue_SDExport'!$A:$A,'EA-Fortescue_SDExport'!E:E)</f>
        <v>1</v>
      </c>
      <c r="F159">
        <f>_xlfn.XLOOKUP($A159,'EA-Fortescue_SDExport'!$A:$A,'EA-Fortescue_SDExport'!F:F)</f>
        <v>1</v>
      </c>
      <c r="G159">
        <f>_xlfn.XLOOKUP($A159,'EA-Fortescue_SDExport'!$A:$A,'EA-Fortescue_SDExport'!G:G)</f>
        <v>0</v>
      </c>
      <c r="H159" t="str">
        <f>_xlfn.XLOOKUP($A159,'EA-Fortescue_SDExport'!$A:$A,'EA-Fortescue_SDExport'!H:H)</f>
        <v>InterfaceBlock</v>
      </c>
      <c r="I159" t="str">
        <f>_xlfn.XLOOKUP($A159,'EA-Fortescue_SDExport'!$A:$A,'EA-Fortescue_SDExport'!I:I)</f>
        <v>SysML1.4::InterfaceBlock</v>
      </c>
      <c r="J159" t="str">
        <f>_xlfn.XLOOKUP($A159,'EA-Fortescue_SDExport'!$A:$A,'EA-Fortescue_SDExport'!J:J)</f>
        <v>Java</v>
      </c>
      <c r="K159" t="str">
        <f>_xlfn.XLOOKUP($A159,'EA-Fortescue_SDExport'!$A:$A,'EA-Fortescue_SDExport'!K:K)</f>
        <v>Admin</v>
      </c>
      <c r="L159" t="str">
        <f>_xlfn.XLOOKUP($A159,'EA-Fortescue_SDExport'!$A:$A,'EA-Fortescue_SDExport'!L:L)</f>
        <v>Public</v>
      </c>
      <c r="M159">
        <f>_xlfn.XLOOKUP($A159,'EA-Fortescue_SDExport'!$A:$A,'EA-Fortescue_SDExport'!M:M)</f>
        <v>0</v>
      </c>
      <c r="N159" t="str">
        <f>_xlfn.XLOOKUP($A159,InterfaceRegister!$A:$A,InterfaceRegister!K:K)</f>
        <v>Proposed</v>
      </c>
      <c r="O159">
        <f>_xlfn.XLOOKUP($A159,'EA-Fortescue_SDExport'!$A:$A,'EA-Fortescue_SDExport'!O:O)</f>
        <v>1</v>
      </c>
      <c r="P159">
        <f>_xlfn.XLOOKUP($A159,'EA-Fortescue_SDExport'!$A:$A,'EA-Fortescue_SDExport'!P:P)</f>
        <v>0</v>
      </c>
      <c r="Q159">
        <f>_xlfn.XLOOKUP($A159,'EA-Fortescue_SDExport'!$A:$A,'EA-Fortescue_SDExport'!Q:Q)</f>
        <v>0</v>
      </c>
      <c r="R159">
        <f>_xlfn.XLOOKUP($A159,'EA-Fortescue_SDExport'!$A:$A,'EA-Fortescue_SDExport'!R:R)</f>
        <v>0</v>
      </c>
      <c r="S159">
        <f>_xlfn.XLOOKUP($A159,'EA-Fortescue_SDExport'!$A:$A,'EA-Fortescue_SDExport'!S:S)</f>
        <v>0</v>
      </c>
      <c r="T159">
        <f>_xlfn.XLOOKUP($A159,'EA-Fortescue_SDExport'!$A:$A,'EA-Fortescue_SDExport'!T:T)</f>
        <v>0</v>
      </c>
      <c r="U159">
        <f>_xlfn.XLOOKUP($A159,'EA-Fortescue_SDExport'!$A:$A,'EA-Fortescue_SDExport'!U:U)</f>
        <v>45897.948807870373</v>
      </c>
      <c r="V159">
        <f>_xlfn.XLOOKUP($A159,'EA-Fortescue_SDExport'!$A:$A,'EA-Fortescue_SDExport'!V:V)</f>
        <v>46077.993217592593</v>
      </c>
      <c r="W159">
        <f>_xlfn.XLOOKUP($A159,'EA-Fortescue_SDExport'!$A:$A,'EA-Fortescue_SDExport'!W:W)</f>
        <v>0</v>
      </c>
      <c r="X159">
        <f>_xlfn.XLOOKUP($A159,'EA-Fortescue_SDExport'!$A:$A,'EA-Fortescue_SDExport'!X:X)</f>
        <v>0</v>
      </c>
      <c r="Y159">
        <f>_xlfn.XLOOKUP($A159,'EA-Fortescue_SDExport'!$A:$A,'EA-Fortescue_SDExport'!Y:Y)</f>
        <v>0</v>
      </c>
      <c r="Z159" t="str">
        <f>_xlfn.XLOOKUP($A159,'EA-Fortescue_SDExport'!$A:$A,'EA-Fortescue_SDExport'!Z:Z)</f>
        <v>SysML1.4::InterfaceBlock</v>
      </c>
      <c r="AA159" t="str">
        <f>_xlfn.XLOOKUP($A159,InterfaceRegister!$A:$A,InterfaceRegister!B:B)</f>
        <v>855DC-1542-008 Mine Electrification SCADA|HIVE</v>
      </c>
      <c r="AB159" t="str">
        <f>_xlfn.XLOOKUP($A159,InterfaceRegister!$A:$A,InterfaceRegister!C:C)</f>
        <v/>
      </c>
      <c r="AC159" t="str">
        <f>_xlfn.XLOOKUP($A159,InterfaceRegister!$A:$A,InterfaceRegister!D:D)</f>
        <v/>
      </c>
      <c r="AD159" t="str">
        <f>_xlfn.XLOOKUP($A159,InterfaceRegister!$A:$A,InterfaceRegister!E:E)</f>
        <v>Stakeholder - Project Interface</v>
      </c>
      <c r="AE159" t="str">
        <f>_xlfn.XLOOKUP($A159,InterfaceRegister!$A:$A,InterfaceRegister!F:F)</f>
        <v>Technical-Data/Software</v>
      </c>
      <c r="AF159" t="str">
        <f>_xlfn.XLOOKUP($A159,InterfaceRegister!$A:$A,InterfaceRegister!L:L)</f>
        <v>This interface delivers real-time electrical network data and status information from Mine Electrification SCADA into HIVE, enabling operational oversight and decision support.</v>
      </c>
      <c r="AG159" t="str">
        <f>_xlfn.XLOOKUP($A159,InterfaceRegister!$A:$A,InterfaceRegister!M:M)</f>
        <v>MEDIUM</v>
      </c>
      <c r="AH159" t="str">
        <f>_xlfn.XLOOKUP($A159,InterfaceRegister!$A:$A,InterfaceRegister!O:O)</f>
        <v>Data Flow: Mine Electrification SCADA -&gt; HIVE (network status, breaker status, voltage/current measurements, load data, alarms, equipment health, event logs) to support operational oversight and decision-making.</v>
      </c>
      <c r="AI159" t="str">
        <f>_xlfn.XLOOKUP($A159,InterfaceRegister!$A:$A,InterfaceRegister!N:N)</f>
        <v>The criticality level is MEDIUM because, although HIVE enhances operational coordination, its loss does not impede the SCADA system itself or halt electrical operations. HIVE functions as a consumer of SCADA data rather than a controller, so outages reduce visibility for planning and supervision but do not compromise safety.</v>
      </c>
      <c r="AJ159" t="str">
        <f>_xlfn.XLOOKUP($A159,'EA-Fortescue_SDExport'!$A:$A,'EA-Fortescue_SDExport'!AX:AX)</f>
        <v>CSV336D152A</v>
      </c>
      <c r="AK159">
        <f>_xlfn.XLOOKUP($A159,'EA-Fortescue_SDExport'!$A:$A,'EA-Fortescue_SDExport'!AY:AY)</f>
        <v>0</v>
      </c>
    </row>
    <row r="160" spans="1:37" x14ac:dyDescent="0.25">
      <c r="A160" t="str">
        <v>DGS-I_0159</v>
      </c>
      <c r="B160" t="str">
        <f>_xlfn.XLOOKUP($A160,'EA-Fortescue_SDExport'!$A:$A,'EA-Fortescue_SDExport'!B:B)</f>
        <v>Class</v>
      </c>
      <c r="C160" t="str">
        <f>_xlfn.XLOOKUP($A160,'EA-Fortescue_SDExport'!$A:$A,'EA-Fortescue_SDExport'!C:C)</f>
        <v>{C73A75D3-7DD4-416b-9D45-75F8CA96892A}</v>
      </c>
      <c r="D160" t="str">
        <f>_xlfn.LET(_xlpm.result, _xlfn.XLOOKUP($A160, InterfaceRegister!$A:$A, InterfaceRegister!P:P), IF(_xlpm.result=0, "", 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E160">
        <f>_xlfn.XLOOKUP($A160,'EA-Fortescue_SDExport'!$A:$A,'EA-Fortescue_SDExport'!E:E)</f>
        <v>1</v>
      </c>
      <c r="F160">
        <f>_xlfn.XLOOKUP($A160,'EA-Fortescue_SDExport'!$A:$A,'EA-Fortescue_SDExport'!F:F)</f>
        <v>1</v>
      </c>
      <c r="G160">
        <f>_xlfn.XLOOKUP($A160,'EA-Fortescue_SDExport'!$A:$A,'EA-Fortescue_SDExport'!G:G)</f>
        <v>0</v>
      </c>
      <c r="H160" t="str">
        <f>_xlfn.XLOOKUP($A160,'EA-Fortescue_SDExport'!$A:$A,'EA-Fortescue_SDExport'!H:H)</f>
        <v>InterfaceBlock</v>
      </c>
      <c r="I160" t="str">
        <f>_xlfn.XLOOKUP($A160,'EA-Fortescue_SDExport'!$A:$A,'EA-Fortescue_SDExport'!I:I)</f>
        <v>SysML1.4::InterfaceBlock</v>
      </c>
      <c r="J160" t="str">
        <f>_xlfn.XLOOKUP($A160,'EA-Fortescue_SDExport'!$A:$A,'EA-Fortescue_SDExport'!J:J)</f>
        <v>Java</v>
      </c>
      <c r="K160" t="str">
        <f>_xlfn.XLOOKUP($A160,'EA-Fortescue_SDExport'!$A:$A,'EA-Fortescue_SDExport'!K:K)</f>
        <v>Admin</v>
      </c>
      <c r="L160" t="str">
        <f>_xlfn.XLOOKUP($A160,'EA-Fortescue_SDExport'!$A:$A,'EA-Fortescue_SDExport'!L:L)</f>
        <v>Public</v>
      </c>
      <c r="M160">
        <f>_xlfn.XLOOKUP($A160,'EA-Fortescue_SDExport'!$A:$A,'EA-Fortescue_SDExport'!M:M)</f>
        <v>0</v>
      </c>
      <c r="N160" t="str">
        <f>_xlfn.XLOOKUP($A160,InterfaceRegister!$A:$A,InterfaceRegister!K:K)</f>
        <v>Proposed</v>
      </c>
      <c r="O160">
        <f>_xlfn.XLOOKUP($A160,'EA-Fortescue_SDExport'!$A:$A,'EA-Fortescue_SDExport'!O:O)</f>
        <v>1</v>
      </c>
      <c r="P160">
        <f>_xlfn.XLOOKUP($A160,'EA-Fortescue_SDExport'!$A:$A,'EA-Fortescue_SDExport'!P:P)</f>
        <v>0</v>
      </c>
      <c r="Q160">
        <f>_xlfn.XLOOKUP($A160,'EA-Fortescue_SDExport'!$A:$A,'EA-Fortescue_SDExport'!Q:Q)</f>
        <v>0</v>
      </c>
      <c r="R160">
        <f>_xlfn.XLOOKUP($A160,'EA-Fortescue_SDExport'!$A:$A,'EA-Fortescue_SDExport'!R:R)</f>
        <v>0</v>
      </c>
      <c r="S160">
        <f>_xlfn.XLOOKUP($A160,'EA-Fortescue_SDExport'!$A:$A,'EA-Fortescue_SDExport'!S:S)</f>
        <v>0</v>
      </c>
      <c r="T160">
        <f>_xlfn.XLOOKUP($A160,'EA-Fortescue_SDExport'!$A:$A,'EA-Fortescue_SDExport'!T:T)</f>
        <v>0</v>
      </c>
      <c r="U160">
        <f>_xlfn.XLOOKUP($A160,'EA-Fortescue_SDExport'!$A:$A,'EA-Fortescue_SDExport'!U:U)</f>
        <v>45897.948599537034</v>
      </c>
      <c r="V160">
        <f>_xlfn.XLOOKUP($A160,'EA-Fortescue_SDExport'!$A:$A,'EA-Fortescue_SDExport'!V:V)</f>
        <v>46077.993206018517</v>
      </c>
      <c r="W160">
        <f>_xlfn.XLOOKUP($A160,'EA-Fortescue_SDExport'!$A:$A,'EA-Fortescue_SDExport'!W:W)</f>
        <v>0</v>
      </c>
      <c r="X160">
        <f>_xlfn.XLOOKUP($A160,'EA-Fortescue_SDExport'!$A:$A,'EA-Fortescue_SDExport'!X:X)</f>
        <v>0</v>
      </c>
      <c r="Y160">
        <f>_xlfn.XLOOKUP($A160,'EA-Fortescue_SDExport'!$A:$A,'EA-Fortescue_SDExport'!Y:Y)</f>
        <v>0</v>
      </c>
      <c r="Z160" t="str">
        <f>_xlfn.XLOOKUP($A160,'EA-Fortescue_SDExport'!$A:$A,'EA-Fortescue_SDExport'!Z:Z)</f>
        <v>SysML1.4::InterfaceBlock</v>
      </c>
      <c r="AA160" t="str">
        <f>_xlfn.XLOOKUP($A160,InterfaceRegister!$A:$A,InterfaceRegister!B:B)</f>
        <v>855DC-1542-008 Mine Electrification SCADA|Energy Operations (HIVE)</v>
      </c>
      <c r="AB160" t="str">
        <f>_xlfn.XLOOKUP($A160,InterfaceRegister!$A:$A,InterfaceRegister!C:C)</f>
        <v/>
      </c>
      <c r="AC160" t="str">
        <f>_xlfn.XLOOKUP($A160,InterfaceRegister!$A:$A,InterfaceRegister!D:D)</f>
        <v/>
      </c>
      <c r="AD160" t="str">
        <f>_xlfn.XLOOKUP($A160,InterfaceRegister!$A:$A,InterfaceRegister!E:E)</f>
        <v>Stakeholder - Project Interface</v>
      </c>
      <c r="AE160" t="str">
        <f>_xlfn.XLOOKUP($A160,InterfaceRegister!$A:$A,InterfaceRegister!F:F)</f>
        <v>Technical-Data/Software</v>
      </c>
      <c r="AF160" t="str">
        <f>_xlfn.XLOOKUP($A160,InterfaceRegister!$A:$A,InterfaceRegister!L:L)</f>
        <v>This interface allows Energy Operations to receive real-time SCADA data for monitoring site electrical loads, power stability, and equipment status.</v>
      </c>
      <c r="AG160" t="str">
        <f>_xlfn.XLOOKUP($A160,InterfaceRegister!$A:$A,InterfaceRegister!M:M)</f>
        <v>MEDIUM</v>
      </c>
      <c r="AH160" t="str">
        <f>_xlfn.XLOOKUP($A160,InterfaceRegister!$A:$A,InterfaceRegister!O:O)</f>
        <v>Data Flow: Mine Electrification SCADA -&gt; Energy Operations (real-time electrical load data, network stability metrics, breaker and equipment status, alarms, fault events) to support monitoring, coordination, and operational decision-making.</v>
      </c>
      <c r="AI160" t="str">
        <f>_xlfn.XLOOKUP($A160,InterfaceRegister!$A:$A,InterfaceRegister!N:N)</f>
        <v>The criticality level is MEDIUM because, without this link, Energy Operations loses oversight and may respond more slowly to electrical incidents, although SCADA itself continues functioning. Energy Operations relies on SCADA data for coordination and decision-making but does not directly control electrical equipment, so outages affect efficiency rather than the physical safety of the network.</v>
      </c>
      <c r="AJ160" t="str">
        <f>_xlfn.XLOOKUP($A160,'EA-Fortescue_SDExport'!$A:$A,'EA-Fortescue_SDExport'!AX:AX)</f>
        <v>CSV1701A7DB</v>
      </c>
      <c r="AK160">
        <f>_xlfn.XLOOKUP($A160,'EA-Fortescue_SDExport'!$A:$A,'EA-Fortescue_SDExport'!AY:AY)</f>
        <v>0</v>
      </c>
    </row>
    <row r="161" spans="1:37" x14ac:dyDescent="0.25">
      <c r="A161" t="str">
        <v>DGS-I_0160</v>
      </c>
      <c r="B161" t="str">
        <f>_xlfn.XLOOKUP($A161,'EA-Fortescue_SDExport'!$A:$A,'EA-Fortescue_SDExport'!B:B)</f>
        <v>Class</v>
      </c>
      <c r="C161" t="str">
        <f>_xlfn.XLOOKUP($A161,'EA-Fortescue_SDExport'!$A:$A,'EA-Fortescue_SDExport'!C:C)</f>
        <v>{13E119E7-DD0C-4257-B551-43121120B058}</v>
      </c>
      <c r="D161" t="str">
        <f>_xlfn.LET(_xlpm.result, _xlfn.XLOOKUP($A161, InterfaceRegister!$A:$A, InterfaceRegister!P:P), IF(_xlpm.result=0, "", _xlpm.result))</f>
        <v>Deleted: Power Infrastructure SCADA Review 20251030</v>
      </c>
      <c r="E161">
        <f>_xlfn.XLOOKUP($A161,'EA-Fortescue_SDExport'!$A:$A,'EA-Fortescue_SDExport'!E:E)</f>
        <v>1</v>
      </c>
      <c r="F161">
        <f>_xlfn.XLOOKUP($A161,'EA-Fortescue_SDExport'!$A:$A,'EA-Fortescue_SDExport'!F:F)</f>
        <v>1</v>
      </c>
      <c r="G161">
        <f>_xlfn.XLOOKUP($A161,'EA-Fortescue_SDExport'!$A:$A,'EA-Fortescue_SDExport'!G:G)</f>
        <v>0</v>
      </c>
      <c r="H161" t="str">
        <f>_xlfn.XLOOKUP($A161,'EA-Fortescue_SDExport'!$A:$A,'EA-Fortescue_SDExport'!H:H)</f>
        <v>InterfaceBlock</v>
      </c>
      <c r="I161" t="str">
        <f>_xlfn.XLOOKUP($A161,'EA-Fortescue_SDExport'!$A:$A,'EA-Fortescue_SDExport'!I:I)</f>
        <v>SysML1.4::InterfaceBlock</v>
      </c>
      <c r="J161" t="str">
        <f>_xlfn.XLOOKUP($A161,'EA-Fortescue_SDExport'!$A:$A,'EA-Fortescue_SDExport'!J:J)</f>
        <v>Java</v>
      </c>
      <c r="K161" t="str">
        <f>_xlfn.XLOOKUP($A161,'EA-Fortescue_SDExport'!$A:$A,'EA-Fortescue_SDExport'!K:K)</f>
        <v>Admin</v>
      </c>
      <c r="L161" t="str">
        <f>_xlfn.XLOOKUP($A161,'EA-Fortescue_SDExport'!$A:$A,'EA-Fortescue_SDExport'!L:L)</f>
        <v>Public</v>
      </c>
      <c r="M161">
        <f>_xlfn.XLOOKUP($A161,'EA-Fortescue_SDExport'!$A:$A,'EA-Fortescue_SDExport'!M:M)</f>
        <v>0</v>
      </c>
      <c r="N161" t="str">
        <f>_xlfn.XLOOKUP($A161,InterfaceRegister!$A:$A,InterfaceRegister!K:K)</f>
        <v>Deleted</v>
      </c>
      <c r="O161">
        <f>_xlfn.XLOOKUP($A161,'EA-Fortescue_SDExport'!$A:$A,'EA-Fortescue_SDExport'!O:O)</f>
        <v>1</v>
      </c>
      <c r="P161">
        <f>_xlfn.XLOOKUP($A161,'EA-Fortescue_SDExport'!$A:$A,'EA-Fortescue_SDExport'!P:P)</f>
        <v>0</v>
      </c>
      <c r="Q161">
        <f>_xlfn.XLOOKUP($A161,'EA-Fortescue_SDExport'!$A:$A,'EA-Fortescue_SDExport'!Q:Q)</f>
        <v>0</v>
      </c>
      <c r="R161">
        <f>_xlfn.XLOOKUP($A161,'EA-Fortescue_SDExport'!$A:$A,'EA-Fortescue_SDExport'!R:R)</f>
        <v>0</v>
      </c>
      <c r="S161">
        <f>_xlfn.XLOOKUP($A161,'EA-Fortescue_SDExport'!$A:$A,'EA-Fortescue_SDExport'!S:S)</f>
        <v>0</v>
      </c>
      <c r="T161">
        <f>_xlfn.XLOOKUP($A161,'EA-Fortescue_SDExport'!$A:$A,'EA-Fortescue_SDExport'!T:T)</f>
        <v>0</v>
      </c>
      <c r="U161">
        <f>_xlfn.XLOOKUP($A161,'EA-Fortescue_SDExport'!$A:$A,'EA-Fortescue_SDExport'!U:U)</f>
        <v>45969.8752662037</v>
      </c>
      <c r="V161">
        <f>_xlfn.XLOOKUP($A161,'EA-Fortescue_SDExport'!$A:$A,'EA-Fortescue_SDExport'!V:V)</f>
        <v>46002.067546296297</v>
      </c>
      <c r="W161">
        <f>_xlfn.XLOOKUP($A161,'EA-Fortescue_SDExport'!$A:$A,'EA-Fortescue_SDExport'!W:W)</f>
        <v>0</v>
      </c>
      <c r="X161">
        <f>_xlfn.XLOOKUP($A161,'EA-Fortescue_SDExport'!$A:$A,'EA-Fortescue_SDExport'!X:X)</f>
        <v>0</v>
      </c>
      <c r="Y161">
        <f>_xlfn.XLOOKUP($A161,'EA-Fortescue_SDExport'!$A:$A,'EA-Fortescue_SDExport'!Y:Y)</f>
        <v>0</v>
      </c>
      <c r="Z161" t="str">
        <f>_xlfn.XLOOKUP($A161,'EA-Fortescue_SDExport'!$A:$A,'EA-Fortescue_SDExport'!Z:Z)</f>
        <v>SysML1.4::InterfaceBlock</v>
      </c>
      <c r="AA161" t="str">
        <f>_xlfn.XLOOKUP($A161,InterfaceRegister!$A:$A,InterfaceRegister!B:B)</f>
        <v>Mining Operations|855DC-1542-008 Mine Electrification SCADA</v>
      </c>
      <c r="AB161" t="str">
        <f>_xlfn.XLOOKUP($A161,InterfaceRegister!$A:$A,InterfaceRegister!C:C)</f>
        <v/>
      </c>
      <c r="AC161" t="str">
        <f>_xlfn.XLOOKUP($A161,InterfaceRegister!$A:$A,InterfaceRegister!D:D)</f>
        <v/>
      </c>
      <c r="AD161" t="str">
        <f>_xlfn.XLOOKUP($A161,InterfaceRegister!$A:$A,InterfaceRegister!E:E)</f>
        <v>Stakeholder - Project Interface</v>
      </c>
      <c r="AE161" t="str">
        <f>_xlfn.XLOOKUP($A161,InterfaceRegister!$A:$A,InterfaceRegister!F:F)</f>
        <v/>
      </c>
      <c r="AF161" t="str">
        <f>_xlfn.XLOOKUP($A161,InterfaceRegister!$A:$A,InterfaceRegister!L:L)</f>
        <v/>
      </c>
      <c r="AG161" t="str">
        <f>_xlfn.XLOOKUP($A161,InterfaceRegister!$A:$A,InterfaceRegister!M:M)</f>
        <v/>
      </c>
      <c r="AH161" t="str">
        <f>_xlfn.XLOOKUP($A161,InterfaceRegister!$A:$A,InterfaceRegister!O:O)</f>
        <v/>
      </c>
      <c r="AI161" t="str">
        <f>_xlfn.XLOOKUP($A161,InterfaceRegister!$A:$A,InterfaceRegister!N:N)</f>
        <v/>
      </c>
      <c r="AJ161" t="str">
        <f>_xlfn.XLOOKUP($A161,'EA-Fortescue_SDExport'!$A:$A,'EA-Fortescue_SDExport'!AX:AX)</f>
        <v>CSVD1E117DC</v>
      </c>
      <c r="AK161">
        <f>_xlfn.XLOOKUP($A161,'EA-Fortescue_SDExport'!$A:$A,'EA-Fortescue_SDExport'!AY:AY)</f>
        <v>0</v>
      </c>
    </row>
    <row r="162" spans="1:37" x14ac:dyDescent="0.25">
      <c r="A162" t="str">
        <v>DGS-I_0161</v>
      </c>
      <c r="B162" t="str">
        <f>_xlfn.XLOOKUP($A162,'EA-Fortescue_SDExport'!$A:$A,'EA-Fortescue_SDExport'!B:B)</f>
        <v>Class</v>
      </c>
      <c r="C162" t="str">
        <f>_xlfn.XLOOKUP($A162,'EA-Fortescue_SDExport'!$A:$A,'EA-Fortescue_SDExport'!C:C)</f>
        <v>{4C106857-EA20-4e96-88F2-C1552F0E9C2B}</v>
      </c>
      <c r="D162" t="str">
        <f>_xlfn.LET(_xlpm.result, _xlfn.XLOOKUP($A162, InterfaceRegister!$A:$A, InterfaceRegister!P:P), IF(_xlpm.result=0, "", 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20/02/2026: Fields updated: Interface Type, Interface Flow.</v>
      </c>
      <c r="E162">
        <f>_xlfn.XLOOKUP($A162,'EA-Fortescue_SDExport'!$A:$A,'EA-Fortescue_SDExport'!E:E)</f>
        <v>1</v>
      </c>
      <c r="F162">
        <f>_xlfn.XLOOKUP($A162,'EA-Fortescue_SDExport'!$A:$A,'EA-Fortescue_SDExport'!F:F)</f>
        <v>1</v>
      </c>
      <c r="G162">
        <f>_xlfn.XLOOKUP($A162,'EA-Fortescue_SDExport'!$A:$A,'EA-Fortescue_SDExport'!G:G)</f>
        <v>0</v>
      </c>
      <c r="H162" t="str">
        <f>_xlfn.XLOOKUP($A162,'EA-Fortescue_SDExport'!$A:$A,'EA-Fortescue_SDExport'!H:H)</f>
        <v>InterfaceBlock</v>
      </c>
      <c r="I162" t="str">
        <f>_xlfn.XLOOKUP($A162,'EA-Fortescue_SDExport'!$A:$A,'EA-Fortescue_SDExport'!I:I)</f>
        <v>SysML1.4::InterfaceBlock</v>
      </c>
      <c r="J162" t="str">
        <f>_xlfn.XLOOKUP($A162,'EA-Fortescue_SDExport'!$A:$A,'EA-Fortescue_SDExport'!J:J)</f>
        <v>Java</v>
      </c>
      <c r="K162" t="str">
        <f>_xlfn.XLOOKUP($A162,'EA-Fortescue_SDExport'!$A:$A,'EA-Fortescue_SDExport'!K:K)</f>
        <v>Admin</v>
      </c>
      <c r="L162" t="str">
        <f>_xlfn.XLOOKUP($A162,'EA-Fortescue_SDExport'!$A:$A,'EA-Fortescue_SDExport'!L:L)</f>
        <v>Public</v>
      </c>
      <c r="M162">
        <f>_xlfn.XLOOKUP($A162,'EA-Fortescue_SDExport'!$A:$A,'EA-Fortescue_SDExport'!M:M)</f>
        <v>0</v>
      </c>
      <c r="N162" t="str">
        <f>_xlfn.XLOOKUP($A162,InterfaceRegister!$A:$A,InterfaceRegister!K:K)</f>
        <v>Proposed</v>
      </c>
      <c r="O162">
        <f>_xlfn.XLOOKUP($A162,'EA-Fortescue_SDExport'!$A:$A,'EA-Fortescue_SDExport'!O:O)</f>
        <v>1</v>
      </c>
      <c r="P162">
        <f>_xlfn.XLOOKUP($A162,'EA-Fortescue_SDExport'!$A:$A,'EA-Fortescue_SDExport'!P:P)</f>
        <v>0</v>
      </c>
      <c r="Q162">
        <f>_xlfn.XLOOKUP($A162,'EA-Fortescue_SDExport'!$A:$A,'EA-Fortescue_SDExport'!Q:Q)</f>
        <v>0</v>
      </c>
      <c r="R162">
        <f>_xlfn.XLOOKUP($A162,'EA-Fortescue_SDExport'!$A:$A,'EA-Fortescue_SDExport'!R:R)</f>
        <v>0</v>
      </c>
      <c r="S162">
        <f>_xlfn.XLOOKUP($A162,'EA-Fortescue_SDExport'!$A:$A,'EA-Fortescue_SDExport'!S:S)</f>
        <v>0</v>
      </c>
      <c r="T162">
        <f>_xlfn.XLOOKUP($A162,'EA-Fortescue_SDExport'!$A:$A,'EA-Fortescue_SDExport'!T:T)</f>
        <v>0</v>
      </c>
      <c r="U162">
        <f>_xlfn.XLOOKUP($A162,'EA-Fortescue_SDExport'!$A:$A,'EA-Fortescue_SDExport'!U:U)</f>
        <v>45897.947916666664</v>
      </c>
      <c r="V162">
        <f>_xlfn.XLOOKUP($A162,'EA-Fortescue_SDExport'!$A:$A,'EA-Fortescue_SDExport'!V:V)</f>
        <v>46077.99322916667</v>
      </c>
      <c r="W162">
        <f>_xlfn.XLOOKUP($A162,'EA-Fortescue_SDExport'!$A:$A,'EA-Fortescue_SDExport'!W:W)</f>
        <v>0</v>
      </c>
      <c r="X162">
        <f>_xlfn.XLOOKUP($A162,'EA-Fortescue_SDExport'!$A:$A,'EA-Fortescue_SDExport'!X:X)</f>
        <v>0</v>
      </c>
      <c r="Y162">
        <f>_xlfn.XLOOKUP($A162,'EA-Fortescue_SDExport'!$A:$A,'EA-Fortescue_SDExport'!Y:Y)</f>
        <v>0</v>
      </c>
      <c r="Z162" t="str">
        <f>_xlfn.XLOOKUP($A162,'EA-Fortescue_SDExport'!$A:$A,'EA-Fortescue_SDExport'!Z:Z)</f>
        <v>SysML1.4::InterfaceBlock</v>
      </c>
      <c r="AA162" t="str">
        <f>_xlfn.XLOOKUP($A162,InterfaceRegister!$A:$A,InterfaceRegister!B:B)</f>
        <v>855DC-1542-008 Mine Electrification SCADA|Mine Services</v>
      </c>
      <c r="AB162" t="str">
        <f>_xlfn.XLOOKUP($A162,InterfaceRegister!$A:$A,InterfaceRegister!C:C)</f>
        <v/>
      </c>
      <c r="AC162" t="str">
        <f>_xlfn.XLOOKUP($A162,InterfaceRegister!$A:$A,InterfaceRegister!D:D)</f>
        <v/>
      </c>
      <c r="AD162" t="str">
        <f>_xlfn.XLOOKUP($A162,InterfaceRegister!$A:$A,InterfaceRegister!E:E)</f>
        <v>Stakeholder - Project Interface</v>
      </c>
      <c r="AE162" t="str">
        <f>_xlfn.XLOOKUP($A162,InterfaceRegister!$A:$A,InterfaceRegister!F:F)</f>
        <v>Technical-Data/Software</v>
      </c>
      <c r="AF162" t="str">
        <f>_xlfn.XLOOKUP($A162,InterfaceRegister!$A:$A,InterfaceRegister!L:L)</f>
        <v>This interface provides Mine Services with real-time electrical network and equipment status sourced from Mine Electrification SCADA, helping them manage pumps, ventilation, lighting, and other supporting systems safely.</v>
      </c>
      <c r="AG162" t="str">
        <f>_xlfn.XLOOKUP($A162,InterfaceRegister!$A:$A,InterfaceRegister!M:M)</f>
        <v>MEDIUM</v>
      </c>
      <c r="AH162" t="str">
        <f>_xlfn.XLOOKUP($A162,InterfaceRegister!$A:$A,InterfaceRegister!O:O)</f>
        <v>Data Flow: Mine Electrification SCADA -&gt; Mine Services (real-time network status, voltage/current data, breaker status, equipment availability, alarms, fault notifications) to support safe operation of pumps, ventilation, lighting, and other support systems.</v>
      </c>
      <c r="AI162" t="str">
        <f>_xlfn.XLOOKUP($A162,InterfaceRegister!$A:$A,InterfaceRegister!N:N)</f>
        <v>The criticality level is MEDIUM because Mine Services can continue operating for short periods without live SCADA data, but their ability to plan and respond to electrical conditions is reduced. A loss of this interface limits situational awareness and may delay corrective actions, but does not directly interrupt power distribution or safety-critical systems.</v>
      </c>
      <c r="AJ162" t="str">
        <f>_xlfn.XLOOKUP($A162,'EA-Fortescue_SDExport'!$A:$A,'EA-Fortescue_SDExport'!AX:AX)</f>
        <v>CSV01DD9BBD</v>
      </c>
      <c r="AK162">
        <f>_xlfn.XLOOKUP($A162,'EA-Fortescue_SDExport'!$A:$A,'EA-Fortescue_SDExport'!AY:AY)</f>
        <v>0</v>
      </c>
    </row>
    <row r="163" spans="1:37" x14ac:dyDescent="0.25">
      <c r="A163" t="str">
        <v>DGS-I_0162</v>
      </c>
      <c r="B163" t="str">
        <f>_xlfn.XLOOKUP($A163,'EA-Fortescue_SDExport'!$A:$A,'EA-Fortescue_SDExport'!B:B)</f>
        <v>Class</v>
      </c>
      <c r="C163" t="str">
        <f>_xlfn.XLOOKUP($A163,'EA-Fortescue_SDExport'!$A:$A,'EA-Fortescue_SDExport'!C:C)</f>
        <v>{C4F9FC43-6EB6-4bfb-A19F-F08AB70D0897}</v>
      </c>
      <c r="D163" t="str">
        <f>_xlfn.LET(_xlpm.result, _xlfn.XLOOKUP($A163, InterfaceRegister!$A:$A, InterfaceRegister!P:P), IF(_xlpm.result=0, "", _xlpm.result))</f>
        <v>NH 20/02/2026: Fields updated: Interface Type, Interface Flow.</v>
      </c>
      <c r="E163">
        <f>_xlfn.XLOOKUP($A163,'EA-Fortescue_SDExport'!$A:$A,'EA-Fortescue_SDExport'!E:E)</f>
        <v>1</v>
      </c>
      <c r="F163">
        <f>_xlfn.XLOOKUP($A163,'EA-Fortescue_SDExport'!$A:$A,'EA-Fortescue_SDExport'!F:F)</f>
        <v>1</v>
      </c>
      <c r="G163">
        <f>_xlfn.XLOOKUP($A163,'EA-Fortescue_SDExport'!$A:$A,'EA-Fortescue_SDExport'!G:G)</f>
        <v>0</v>
      </c>
      <c r="H163" t="str">
        <f>_xlfn.XLOOKUP($A163,'EA-Fortescue_SDExport'!$A:$A,'EA-Fortescue_SDExport'!H:H)</f>
        <v>InterfaceBlock</v>
      </c>
      <c r="I163" t="str">
        <f>_xlfn.XLOOKUP($A163,'EA-Fortescue_SDExport'!$A:$A,'EA-Fortescue_SDExport'!I:I)</f>
        <v>SysML1.4::InterfaceBlock</v>
      </c>
      <c r="J163" t="str">
        <f>_xlfn.XLOOKUP($A163,'EA-Fortescue_SDExport'!$A:$A,'EA-Fortescue_SDExport'!J:J)</f>
        <v>Java</v>
      </c>
      <c r="K163" t="str">
        <f>_xlfn.XLOOKUP($A163,'EA-Fortescue_SDExport'!$A:$A,'EA-Fortescue_SDExport'!K:K)</f>
        <v>Admin</v>
      </c>
      <c r="L163" t="str">
        <f>_xlfn.XLOOKUP($A163,'EA-Fortescue_SDExport'!$A:$A,'EA-Fortescue_SDExport'!L:L)</f>
        <v>Public</v>
      </c>
      <c r="M163">
        <f>_xlfn.XLOOKUP($A163,'EA-Fortescue_SDExport'!$A:$A,'EA-Fortescue_SDExport'!M:M)</f>
        <v>0</v>
      </c>
      <c r="N163" t="str">
        <f>_xlfn.XLOOKUP($A163,InterfaceRegister!$A:$A,InterfaceRegister!K:K)</f>
        <v>Proposed</v>
      </c>
      <c r="O163">
        <f>_xlfn.XLOOKUP($A163,'EA-Fortescue_SDExport'!$A:$A,'EA-Fortescue_SDExport'!O:O)</f>
        <v>1</v>
      </c>
      <c r="P163">
        <f>_xlfn.XLOOKUP($A163,'EA-Fortescue_SDExport'!$A:$A,'EA-Fortescue_SDExport'!P:P)</f>
        <v>0</v>
      </c>
      <c r="Q163">
        <f>_xlfn.XLOOKUP($A163,'EA-Fortescue_SDExport'!$A:$A,'EA-Fortescue_SDExport'!Q:Q)</f>
        <v>0</v>
      </c>
      <c r="R163">
        <f>_xlfn.XLOOKUP($A163,'EA-Fortescue_SDExport'!$A:$A,'EA-Fortescue_SDExport'!R:R)</f>
        <v>0</v>
      </c>
      <c r="S163">
        <f>_xlfn.XLOOKUP($A163,'EA-Fortescue_SDExport'!$A:$A,'EA-Fortescue_SDExport'!S:S)</f>
        <v>0</v>
      </c>
      <c r="T163">
        <f>_xlfn.XLOOKUP($A163,'EA-Fortescue_SDExport'!$A:$A,'EA-Fortescue_SDExport'!T:T)</f>
        <v>0</v>
      </c>
      <c r="U163">
        <f>_xlfn.XLOOKUP($A163,'EA-Fortescue_SDExport'!$A:$A,'EA-Fortescue_SDExport'!U:U)</f>
        <v>45895.889062499999</v>
      </c>
      <c r="V163">
        <f>_xlfn.XLOOKUP($A163,'EA-Fortescue_SDExport'!$A:$A,'EA-Fortescue_SDExport'!V:V)</f>
        <v>46077.99322916667</v>
      </c>
      <c r="W163">
        <f>_xlfn.XLOOKUP($A163,'EA-Fortescue_SDExport'!$A:$A,'EA-Fortescue_SDExport'!W:W)</f>
        <v>0</v>
      </c>
      <c r="X163">
        <f>_xlfn.XLOOKUP($A163,'EA-Fortescue_SDExport'!$A:$A,'EA-Fortescue_SDExport'!X:X)</f>
        <v>0</v>
      </c>
      <c r="Y163">
        <f>_xlfn.XLOOKUP($A163,'EA-Fortescue_SDExport'!$A:$A,'EA-Fortescue_SDExport'!Y:Y)</f>
        <v>0</v>
      </c>
      <c r="Z163" t="str">
        <f>_xlfn.XLOOKUP($A163,'EA-Fortescue_SDExport'!$A:$A,'EA-Fortescue_SDExport'!Z:Z)</f>
        <v>SysML1.4::InterfaceBlock</v>
      </c>
      <c r="AA163" t="str">
        <f>_xlfn.XLOOKUP($A163,InterfaceRegister!$A:$A,InterfaceRegister!B:B)</f>
        <v>005OP-0000-017 Ignition|Mine Services Process Control</v>
      </c>
      <c r="AB163" t="str">
        <f>_xlfn.XLOOKUP($A163,InterfaceRegister!$A:$A,InterfaceRegister!C:C)</f>
        <v>Sam Hedgcock</v>
      </c>
      <c r="AC163" t="str">
        <f>_xlfn.XLOOKUP($A163,InterfaceRegister!$A:$A,InterfaceRegister!D:D)</f>
        <v>TBC</v>
      </c>
      <c r="AD163" t="str">
        <f>_xlfn.XLOOKUP($A163,InterfaceRegister!$A:$A,InterfaceRegister!E:E)</f>
        <v>Stakeholder - Project Interface</v>
      </c>
      <c r="AE163" t="str">
        <f>_xlfn.XLOOKUP($A163,InterfaceRegister!$A:$A,InterfaceRegister!F:F)</f>
        <v>Technical-Data/Software</v>
      </c>
      <c r="AF163" t="str">
        <f>_xlfn.XLOOKUP($A163,InterfaceRegister!$A:$A,InterfaceRegister!L:L)</f>
        <v>This interface provides the operational link between Mine Services Process Control (the backend control logic, PLCs, telemetry, sequencing, and interlocks governing mine services infrastructure) and the Ignition SCADA HMI, which operators use to supervise, monitor, and interact with those systems.</v>
      </c>
      <c r="AG163" t="str">
        <f>_xlfn.XLOOKUP($A163,InterfaceRegister!$A:$A,InterfaceRegister!M:M)</f>
        <v>MEDIUM</v>
      </c>
      <c r="AH163" t="str">
        <f>_xlfn.XLOOKUP($A163,InterfaceRegister!$A:$A,InterfaceRegister!O:O)</f>
        <v>Data Flow: Mine Services PLCs / Process Control Layer -&gt; Ignition SCADA HMI (process status, telemetry, equipment state, alarms, interlock status, fault events) for operator monitoring and supervision.</v>
      </c>
      <c r="AI163" t="str">
        <f>_xlfn.XLOOKUP($A163,InterfaceRegister!$A:$A,InterfaceRegister!N:N)</f>
        <v>The criticality level is MEDIUM because loss of visibility or control impacts mine services continuity (dewatering, power distribution, water supply, etc). This affects operational situational awareness and rapid incident response, potentially causing production delays.</v>
      </c>
      <c r="AJ163" t="str">
        <f>_xlfn.XLOOKUP($A163,'EA-Fortescue_SDExport'!$A:$A,'EA-Fortescue_SDExport'!AX:AX)</f>
        <v>CSV921E3CCF</v>
      </c>
      <c r="AK163">
        <f>_xlfn.XLOOKUP($A163,'EA-Fortescue_SDExport'!$A:$A,'EA-Fortescue_SDExport'!AY:AY)</f>
        <v>0</v>
      </c>
    </row>
    <row r="164" spans="1:37" x14ac:dyDescent="0.25">
      <c r="A164" t="str">
        <v>DGS-I_0163</v>
      </c>
      <c r="B164" t="str">
        <f>_xlfn.XLOOKUP($A164,'EA-Fortescue_SDExport'!$A:$A,'EA-Fortescue_SDExport'!B:B)</f>
        <v>Class</v>
      </c>
      <c r="C164" t="str">
        <f>_xlfn.XLOOKUP($A164,'EA-Fortescue_SDExport'!$A:$A,'EA-Fortescue_SDExport'!C:C)</f>
        <v>{F9770FDA-BFE4-4d5f-937E-082534F8946F}</v>
      </c>
      <c r="D164" t="str">
        <f>_xlfn.LET(_xlpm.result, _xlfn.XLOOKUP($A164, InterfaceRegister!$A:$A, InterfaceRegister!P:P), IF(_xlpm.result=0, "", _xlpm.result))</f>
        <v/>
      </c>
      <c r="E164">
        <f>_xlfn.XLOOKUP($A164,'EA-Fortescue_SDExport'!$A:$A,'EA-Fortescue_SDExport'!E:E)</f>
        <v>1</v>
      </c>
      <c r="F164">
        <f>_xlfn.XLOOKUP($A164,'EA-Fortescue_SDExport'!$A:$A,'EA-Fortescue_SDExport'!F:F)</f>
        <v>1</v>
      </c>
      <c r="G164">
        <f>_xlfn.XLOOKUP($A164,'EA-Fortescue_SDExport'!$A:$A,'EA-Fortescue_SDExport'!G:G)</f>
        <v>0</v>
      </c>
      <c r="H164" t="str">
        <f>_xlfn.XLOOKUP($A164,'EA-Fortescue_SDExport'!$A:$A,'EA-Fortescue_SDExport'!H:H)</f>
        <v>InterfaceBlock</v>
      </c>
      <c r="I164" t="str">
        <f>_xlfn.XLOOKUP($A164,'EA-Fortescue_SDExport'!$A:$A,'EA-Fortescue_SDExport'!I:I)</f>
        <v>SysML1.4::InterfaceBlock</v>
      </c>
      <c r="J164" t="str">
        <f>_xlfn.XLOOKUP($A164,'EA-Fortescue_SDExport'!$A:$A,'EA-Fortescue_SDExport'!J:J)</f>
        <v>Java</v>
      </c>
      <c r="K164" t="str">
        <f>_xlfn.XLOOKUP($A164,'EA-Fortescue_SDExport'!$A:$A,'EA-Fortescue_SDExport'!K:K)</f>
        <v>Admin</v>
      </c>
      <c r="L164" t="str">
        <f>_xlfn.XLOOKUP($A164,'EA-Fortescue_SDExport'!$A:$A,'EA-Fortescue_SDExport'!L:L)</f>
        <v>Public</v>
      </c>
      <c r="M164">
        <f>_xlfn.XLOOKUP($A164,'EA-Fortescue_SDExport'!$A:$A,'EA-Fortescue_SDExport'!M:M)</f>
        <v>0</v>
      </c>
      <c r="N164" t="str">
        <f>_xlfn.XLOOKUP($A164,InterfaceRegister!$A:$A,InterfaceRegister!K:K)</f>
        <v>Proposed</v>
      </c>
      <c r="O164">
        <f>_xlfn.XLOOKUP($A164,'EA-Fortescue_SDExport'!$A:$A,'EA-Fortescue_SDExport'!O:O)</f>
        <v>1</v>
      </c>
      <c r="P164">
        <f>_xlfn.XLOOKUP($A164,'EA-Fortescue_SDExport'!$A:$A,'EA-Fortescue_SDExport'!P:P)</f>
        <v>0</v>
      </c>
      <c r="Q164">
        <f>_xlfn.XLOOKUP($A164,'EA-Fortescue_SDExport'!$A:$A,'EA-Fortescue_SDExport'!Q:Q)</f>
        <v>0</v>
      </c>
      <c r="R164">
        <f>_xlfn.XLOOKUP($A164,'EA-Fortescue_SDExport'!$A:$A,'EA-Fortescue_SDExport'!R:R)</f>
        <v>0</v>
      </c>
      <c r="S164">
        <f>_xlfn.XLOOKUP($A164,'EA-Fortescue_SDExport'!$A:$A,'EA-Fortescue_SDExport'!S:S)</f>
        <v>0</v>
      </c>
      <c r="T164">
        <f>_xlfn.XLOOKUP($A164,'EA-Fortescue_SDExport'!$A:$A,'EA-Fortescue_SDExport'!T:T)</f>
        <v>0</v>
      </c>
      <c r="U164">
        <f>_xlfn.XLOOKUP($A164,'EA-Fortescue_SDExport'!$A:$A,'EA-Fortescue_SDExport'!U:U)</f>
        <v>45896.639652777776</v>
      </c>
      <c r="V164">
        <f>_xlfn.XLOOKUP($A164,'EA-Fortescue_SDExport'!$A:$A,'EA-Fortescue_SDExport'!V:V)</f>
        <v>46002.067627314813</v>
      </c>
      <c r="W164">
        <f>_xlfn.XLOOKUP($A164,'EA-Fortescue_SDExport'!$A:$A,'EA-Fortescue_SDExport'!W:W)</f>
        <v>0</v>
      </c>
      <c r="X164">
        <f>_xlfn.XLOOKUP($A164,'EA-Fortescue_SDExport'!$A:$A,'EA-Fortescue_SDExport'!X:X)</f>
        <v>0</v>
      </c>
      <c r="Y164">
        <f>_xlfn.XLOOKUP($A164,'EA-Fortescue_SDExport'!$A:$A,'EA-Fortescue_SDExport'!Y:Y)</f>
        <v>0</v>
      </c>
      <c r="Z164" t="str">
        <f>_xlfn.XLOOKUP($A164,'EA-Fortescue_SDExport'!$A:$A,'EA-Fortescue_SDExport'!Z:Z)</f>
        <v>SysML1.4::InterfaceBlock</v>
      </c>
      <c r="AA164" t="str">
        <f>_xlfn.XLOOKUP($A164,InterfaceRegister!$A:$A,InterfaceRegister!B:B)</f>
        <v>005OP-0000-017-001 Non-Process Infrastructure (NPI) SCADA|Non-Process Infrastructure (NPI) Maintenance Controller</v>
      </c>
      <c r="AB164" t="str">
        <f>_xlfn.XLOOKUP($A164,InterfaceRegister!$A:$A,InterfaceRegister!C:C)</f>
        <v/>
      </c>
      <c r="AC164" t="str">
        <f>_xlfn.XLOOKUP($A164,InterfaceRegister!$A:$A,InterfaceRegister!D:D)</f>
        <v/>
      </c>
      <c r="AD164" t="str">
        <f>_xlfn.XLOOKUP($A164,InterfaceRegister!$A:$A,InterfaceRegister!E:E)</f>
        <v>Stakeholder - Subsystem Interface</v>
      </c>
      <c r="AE164" t="str">
        <f>_xlfn.XLOOKUP($A164,InterfaceRegister!$A:$A,InterfaceRegister!F:F)</f>
        <v>Functional-Operational</v>
      </c>
      <c r="AF164" t="str">
        <f>_xlfn.XLOOKUP($A164,InterfaceRegister!$A:$A,InterfaceRegister!L:L)</f>
        <v>This interface gives the NPI Maintenance Controller access to NPI SCADA data so maintenance staff can diagnose equipment faults, track alarms, and plan corrective actions.</v>
      </c>
      <c r="AG164" t="str">
        <f>_xlfn.XLOOKUP($A164,InterfaceRegister!$A:$A,InterfaceRegister!M:M)</f>
        <v>LOW</v>
      </c>
      <c r="AH164" t="str">
        <f>_xlfn.XLOOKUP($A164,InterfaceRegister!$A:$A,InterfaceRegister!O:O)</f>
        <v>Data Flow:_x000D_
005OP-0000-017 Ignition SCADA -&gt; NPI Maintenance Controller, transmitting equipment status, alarm logs, fault events, suppression activations, and historical trend data to support diagnostics and maintenance planning.</v>
      </c>
      <c r="AI164" t="str">
        <f>_xlfn.XLOOKUP($A164,InterfaceRegister!$A:$A,InterfaceRegister!N:N)</f>
        <v>The criticality level is LOW because SCADA can continue to operate normally, even if the maintenance controller loses access. Failure only affects maintenance efficiency, which can be corrected in subsequent maintenance cycles.</v>
      </c>
      <c r="AJ164" t="str">
        <f>_xlfn.XLOOKUP($A164,'EA-Fortescue_SDExport'!$A:$A,'EA-Fortescue_SDExport'!AX:AX)</f>
        <v>CSVC188AAC2</v>
      </c>
      <c r="AK164">
        <f>_xlfn.XLOOKUP($A164,'EA-Fortescue_SDExport'!$A:$A,'EA-Fortescue_SDExport'!AY:AY)</f>
        <v>0</v>
      </c>
    </row>
    <row r="165" spans="1:37" x14ac:dyDescent="0.25">
      <c r="A165" t="str">
        <v>DGS-I_0164</v>
      </c>
      <c r="B165" t="str">
        <f>_xlfn.XLOOKUP($A165,'EA-Fortescue_SDExport'!$A:$A,'EA-Fortescue_SDExport'!B:B)</f>
        <v>Class</v>
      </c>
      <c r="C165" t="str">
        <f>_xlfn.XLOOKUP($A165,'EA-Fortescue_SDExport'!$A:$A,'EA-Fortescue_SDExport'!C:C)</f>
        <v>{47E2D166-9566-4f6b-A21D-6D3808735548}</v>
      </c>
      <c r="D165" t="str">
        <f>_xlfn.LET(_xlpm.result, _xlfn.XLOOKUP($A165, InterfaceRegister!$A:$A, InterfaceRegister!P:P), IF(_xlpm.result=0, "", _xlpm.result))</f>
        <v>SCADA Review 30/10/2025:Potential to track fire alarms through Ignition for all sites. (interface on hold)._x000D_
NH 20/02/2026: Fields updated: Interface Type, Interface Flow.</v>
      </c>
      <c r="E165">
        <f>_xlfn.XLOOKUP($A165,'EA-Fortescue_SDExport'!$A:$A,'EA-Fortescue_SDExport'!E:E)</f>
        <v>1</v>
      </c>
      <c r="F165">
        <f>_xlfn.XLOOKUP($A165,'EA-Fortescue_SDExport'!$A:$A,'EA-Fortescue_SDExport'!F:F)</f>
        <v>1</v>
      </c>
      <c r="G165">
        <f>_xlfn.XLOOKUP($A165,'EA-Fortescue_SDExport'!$A:$A,'EA-Fortescue_SDExport'!G:G)</f>
        <v>0</v>
      </c>
      <c r="H165" t="str">
        <f>_xlfn.XLOOKUP($A165,'EA-Fortescue_SDExport'!$A:$A,'EA-Fortescue_SDExport'!H:H)</f>
        <v>InterfaceBlock</v>
      </c>
      <c r="I165" t="str">
        <f>_xlfn.XLOOKUP($A165,'EA-Fortescue_SDExport'!$A:$A,'EA-Fortescue_SDExport'!I:I)</f>
        <v>SysML1.4::InterfaceBlock</v>
      </c>
      <c r="J165" t="str">
        <f>_xlfn.XLOOKUP($A165,'EA-Fortescue_SDExport'!$A:$A,'EA-Fortescue_SDExport'!J:J)</f>
        <v>Java</v>
      </c>
      <c r="K165" t="str">
        <f>_xlfn.XLOOKUP($A165,'EA-Fortescue_SDExport'!$A:$A,'EA-Fortescue_SDExport'!K:K)</f>
        <v>Admin</v>
      </c>
      <c r="L165" t="str">
        <f>_xlfn.XLOOKUP($A165,'EA-Fortescue_SDExport'!$A:$A,'EA-Fortescue_SDExport'!L:L)</f>
        <v>Public</v>
      </c>
      <c r="M165">
        <f>_xlfn.XLOOKUP($A165,'EA-Fortescue_SDExport'!$A:$A,'EA-Fortescue_SDExport'!M:M)</f>
        <v>0</v>
      </c>
      <c r="N165" t="str">
        <f>_xlfn.XLOOKUP($A165,InterfaceRegister!$A:$A,InterfaceRegister!K:K)</f>
        <v>Proposed</v>
      </c>
      <c r="O165">
        <f>_xlfn.XLOOKUP($A165,'EA-Fortescue_SDExport'!$A:$A,'EA-Fortescue_SDExport'!O:O)</f>
        <v>1</v>
      </c>
      <c r="P165">
        <f>_xlfn.XLOOKUP($A165,'EA-Fortescue_SDExport'!$A:$A,'EA-Fortescue_SDExport'!P:P)</f>
        <v>0</v>
      </c>
      <c r="Q165">
        <f>_xlfn.XLOOKUP($A165,'EA-Fortescue_SDExport'!$A:$A,'EA-Fortescue_SDExport'!Q:Q)</f>
        <v>0</v>
      </c>
      <c r="R165">
        <f>_xlfn.XLOOKUP($A165,'EA-Fortescue_SDExport'!$A:$A,'EA-Fortescue_SDExport'!R:R)</f>
        <v>0</v>
      </c>
      <c r="S165">
        <f>_xlfn.XLOOKUP($A165,'EA-Fortescue_SDExport'!$A:$A,'EA-Fortescue_SDExport'!S:S)</f>
        <v>0</v>
      </c>
      <c r="T165">
        <f>_xlfn.XLOOKUP($A165,'EA-Fortescue_SDExport'!$A:$A,'EA-Fortescue_SDExport'!T:T)</f>
        <v>0</v>
      </c>
      <c r="U165">
        <f>_xlfn.XLOOKUP($A165,'EA-Fortescue_SDExport'!$A:$A,'EA-Fortescue_SDExport'!U:U)</f>
        <v>45896.635937500003</v>
      </c>
      <c r="V165">
        <f>_xlfn.XLOOKUP($A165,'EA-Fortescue_SDExport'!$A:$A,'EA-Fortescue_SDExport'!V:V)</f>
        <v>46077.99322916667</v>
      </c>
      <c r="W165">
        <f>_xlfn.XLOOKUP($A165,'EA-Fortescue_SDExport'!$A:$A,'EA-Fortescue_SDExport'!W:W)</f>
        <v>0</v>
      </c>
      <c r="X165">
        <f>_xlfn.XLOOKUP($A165,'EA-Fortescue_SDExport'!$A:$A,'EA-Fortescue_SDExport'!X:X)</f>
        <v>0</v>
      </c>
      <c r="Y165">
        <f>_xlfn.XLOOKUP($A165,'EA-Fortescue_SDExport'!$A:$A,'EA-Fortescue_SDExport'!Y:Y)</f>
        <v>0</v>
      </c>
      <c r="Z165" t="str">
        <f>_xlfn.XLOOKUP($A165,'EA-Fortescue_SDExport'!$A:$A,'EA-Fortescue_SDExport'!Z:Z)</f>
        <v>SysML1.4::InterfaceBlock</v>
      </c>
      <c r="AA165" t="str">
        <f>_xlfn.XLOOKUP($A165,InterfaceRegister!$A:$A,InterfaceRegister!B:B)</f>
        <v>005OP-0000-017-002 Fire SCADA|ESO</v>
      </c>
      <c r="AB165" t="str">
        <f>_xlfn.XLOOKUP($A165,InterfaceRegister!$A:$A,InterfaceRegister!C:C)</f>
        <v/>
      </c>
      <c r="AC165" t="str">
        <f>_xlfn.XLOOKUP($A165,InterfaceRegister!$A:$A,InterfaceRegister!D:D)</f>
        <v/>
      </c>
      <c r="AD165" t="str">
        <f>_xlfn.XLOOKUP($A165,InterfaceRegister!$A:$A,InterfaceRegister!E:E)</f>
        <v>Stakeholder - Subsystem Interface</v>
      </c>
      <c r="AE165" t="str">
        <f>_xlfn.XLOOKUP($A165,InterfaceRegister!$A:$A,InterfaceRegister!F:F)</f>
        <v>Technical-Data/Software</v>
      </c>
      <c r="AF165" t="str">
        <f>_xlfn.XLOOKUP($A165,InterfaceRegister!$A:$A,InterfaceRegister!L:L)</f>
        <v>This interface delivers fire system alarms, suppression status, and emergency notifications from Fire SCADA to ESO (Emergency Support/Services Operations), ensuring timely incident response.</v>
      </c>
      <c r="AG165" t="str">
        <f>_xlfn.XLOOKUP($A165,InterfaceRegister!$A:$A,InterfaceRegister!M:M)</f>
        <v>HIGH</v>
      </c>
      <c r="AH165" t="str">
        <f>_xlfn.XLOOKUP($A165,InterfaceRegister!$A:$A,InterfaceRegister!O:O)</f>
        <v>Data Flow: Fire SCADA (Ignition) -&gt; ESO (Emergency Support/Services Operations) (fire alarms, suppression system status, zone isolation status, emergency notifications, equipment status, fault events) to enable rapid incident response and coordination._x000D_
Primarily one-way emergency notification interface; acknowledgements may be logged via separate operational systems.</v>
      </c>
      <c r="AI165" t="str">
        <f>_xlfn.XLOOKUP($A165,InterfaceRegister!$A:$A,InterfaceRegister!N:N)</f>
        <v>The criticality level is HIGH because emergency teams need accurate and immediate fire information to safeguard personnel and electrical assets. Fire incidents require quick responses, and delays caused by missing or incorrect data can significantly increase safety risks and the severity of incidents.</v>
      </c>
      <c r="AJ165" t="str">
        <f>_xlfn.XLOOKUP($A165,'EA-Fortescue_SDExport'!$A:$A,'EA-Fortescue_SDExport'!AX:AX)</f>
        <v>CSV98C4FE22</v>
      </c>
      <c r="AK165">
        <f>_xlfn.XLOOKUP($A165,'EA-Fortescue_SDExport'!$A:$A,'EA-Fortescue_SDExport'!AY:AY)</f>
        <v>0</v>
      </c>
    </row>
    <row r="166" spans="1:37" x14ac:dyDescent="0.25">
      <c r="A166" t="str">
        <v>DGS-I_0165</v>
      </c>
      <c r="B166" t="str">
        <f>_xlfn.XLOOKUP($A166,'EA-Fortescue_SDExport'!$A:$A,'EA-Fortescue_SDExport'!B:B)</f>
        <v>Class</v>
      </c>
      <c r="C166" t="str">
        <f>_xlfn.XLOOKUP($A166,'EA-Fortescue_SDExport'!$A:$A,'EA-Fortescue_SDExport'!C:C)</f>
        <v>{EEE3CB76-D619-4e86-8F90-E84F7EB2914A}</v>
      </c>
      <c r="D166" t="str">
        <f>_xlfn.LET(_xlpm.result, _xlfn.XLOOKUP($A166, InterfaceRegister!$A:$A, InterfaceRegister!P:P), IF(_xlpm.result=0, "", _xlpm.result))</f>
        <v>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This interface is covered by DGS-I_0163: 005OP-0000-017-001 Non-Process Infrastructure (NPI) SCADA|Non-Process Infrastructure (NPI) Maintenance Controller. This interface is deleted.</v>
      </c>
      <c r="E166">
        <f>_xlfn.XLOOKUP($A166,'EA-Fortescue_SDExport'!$A:$A,'EA-Fortescue_SDExport'!E:E)</f>
        <v>1</v>
      </c>
      <c r="F166">
        <f>_xlfn.XLOOKUP($A166,'EA-Fortescue_SDExport'!$A:$A,'EA-Fortescue_SDExport'!F:F)</f>
        <v>1</v>
      </c>
      <c r="G166">
        <f>_xlfn.XLOOKUP($A166,'EA-Fortescue_SDExport'!$A:$A,'EA-Fortescue_SDExport'!G:G)</f>
        <v>0</v>
      </c>
      <c r="H166" t="str">
        <f>_xlfn.XLOOKUP($A166,'EA-Fortescue_SDExport'!$A:$A,'EA-Fortescue_SDExport'!H:H)</f>
        <v>InterfaceBlock</v>
      </c>
      <c r="I166" t="str">
        <f>_xlfn.XLOOKUP($A166,'EA-Fortescue_SDExport'!$A:$A,'EA-Fortescue_SDExport'!I:I)</f>
        <v>SysML1.4::InterfaceBlock</v>
      </c>
      <c r="J166" t="str">
        <f>_xlfn.XLOOKUP($A166,'EA-Fortescue_SDExport'!$A:$A,'EA-Fortescue_SDExport'!J:J)</f>
        <v>Java</v>
      </c>
      <c r="K166" t="str">
        <f>_xlfn.XLOOKUP($A166,'EA-Fortescue_SDExport'!$A:$A,'EA-Fortescue_SDExport'!K:K)</f>
        <v>Admin</v>
      </c>
      <c r="L166" t="str">
        <f>_xlfn.XLOOKUP($A166,'EA-Fortescue_SDExport'!$A:$A,'EA-Fortescue_SDExport'!L:L)</f>
        <v>Public</v>
      </c>
      <c r="M166">
        <f>_xlfn.XLOOKUP($A166,'EA-Fortescue_SDExport'!$A:$A,'EA-Fortescue_SDExport'!M:M)</f>
        <v>0</v>
      </c>
      <c r="N166" t="str">
        <f>_xlfn.XLOOKUP($A166,InterfaceRegister!$A:$A,InterfaceRegister!K:K)</f>
        <v>Deleted</v>
      </c>
      <c r="O166">
        <f>_xlfn.XLOOKUP($A166,'EA-Fortescue_SDExport'!$A:$A,'EA-Fortescue_SDExport'!O:O)</f>
        <v>1</v>
      </c>
      <c r="P166">
        <f>_xlfn.XLOOKUP($A166,'EA-Fortescue_SDExport'!$A:$A,'EA-Fortescue_SDExport'!P:P)</f>
        <v>0</v>
      </c>
      <c r="Q166">
        <f>_xlfn.XLOOKUP($A166,'EA-Fortescue_SDExport'!$A:$A,'EA-Fortescue_SDExport'!Q:Q)</f>
        <v>0</v>
      </c>
      <c r="R166">
        <f>_xlfn.XLOOKUP($A166,'EA-Fortescue_SDExport'!$A:$A,'EA-Fortescue_SDExport'!R:R)</f>
        <v>0</v>
      </c>
      <c r="S166">
        <f>_xlfn.XLOOKUP($A166,'EA-Fortescue_SDExport'!$A:$A,'EA-Fortescue_SDExport'!S:S)</f>
        <v>0</v>
      </c>
      <c r="T166">
        <f>_xlfn.XLOOKUP($A166,'EA-Fortescue_SDExport'!$A:$A,'EA-Fortescue_SDExport'!T:T)</f>
        <v>0</v>
      </c>
      <c r="U166">
        <f>_xlfn.XLOOKUP($A166,'EA-Fortescue_SDExport'!$A:$A,'EA-Fortescue_SDExport'!U:U)</f>
        <v>45958.917673611111</v>
      </c>
      <c r="V166">
        <f>_xlfn.XLOOKUP($A166,'EA-Fortescue_SDExport'!$A:$A,'EA-Fortescue_SDExport'!V:V)</f>
        <v>46077.998622685183</v>
      </c>
      <c r="W166">
        <f>_xlfn.XLOOKUP($A166,'EA-Fortescue_SDExport'!$A:$A,'EA-Fortescue_SDExport'!W:W)</f>
        <v>0</v>
      </c>
      <c r="X166">
        <f>_xlfn.XLOOKUP($A166,'EA-Fortescue_SDExport'!$A:$A,'EA-Fortescue_SDExport'!X:X)</f>
        <v>0</v>
      </c>
      <c r="Y166">
        <f>_xlfn.XLOOKUP($A166,'EA-Fortescue_SDExport'!$A:$A,'EA-Fortescue_SDExport'!Y:Y)</f>
        <v>0</v>
      </c>
      <c r="Z166" t="str">
        <f>_xlfn.XLOOKUP($A166,'EA-Fortescue_SDExport'!$A:$A,'EA-Fortescue_SDExport'!Z:Z)</f>
        <v>SysML1.4::InterfaceBlock</v>
      </c>
      <c r="AA166" t="str">
        <f>_xlfn.XLOOKUP($A166,InterfaceRegister!$A:$A,InterfaceRegister!B:B)</f>
        <v>Non-Process Infrastructure (NPI) Maintenance Controller|855DC-1542-008 Mine Electrification SCADA</v>
      </c>
      <c r="AB166" t="str">
        <f>_xlfn.XLOOKUP($A166,InterfaceRegister!$A:$A,InterfaceRegister!C:C)</f>
        <v/>
      </c>
      <c r="AC166" t="str">
        <f>_xlfn.XLOOKUP($A166,InterfaceRegister!$A:$A,InterfaceRegister!D:D)</f>
        <v/>
      </c>
      <c r="AD166" t="str">
        <f>_xlfn.XLOOKUP($A166,InterfaceRegister!$A:$A,InterfaceRegister!E:E)</f>
        <v>Stakeholder - Project Interface</v>
      </c>
      <c r="AE166" t="str">
        <f>_xlfn.XLOOKUP($A166,InterfaceRegister!$A:$A,InterfaceRegister!F:F)</f>
        <v/>
      </c>
      <c r="AF166" t="str">
        <f>_xlfn.XLOOKUP($A166,InterfaceRegister!$A:$A,InterfaceRegister!L:L)</f>
        <v>This interface allows the NPI Maintenance Controller to access SCADA data on NPI-managed electrical equipment, enabling fault diagnosis and effective maintenance coordination.</v>
      </c>
      <c r="AG166" t="str">
        <f>_xlfn.XLOOKUP($A166,InterfaceRegister!$A:$A,InterfaceRegister!M:M)</f>
        <v>LOW</v>
      </c>
      <c r="AH166" t="str">
        <f>_xlfn.XLOOKUP($A166,InterfaceRegister!$A:$A,InterfaceRegister!O:O)</f>
        <v/>
      </c>
      <c r="AI166" t="str">
        <f>_xlfn.XLOOKUP($A166,InterfaceRegister!$A:$A,InterfaceRegister!N:N)</f>
        <v>The criticality level is LOW because it supports maintenance workflows rather than real-time electrical control. SCADA can remain operational independently, and outages only reduce maintenance efficiency, rather than affecting electrical safety or production uptime.</v>
      </c>
      <c r="AJ166" t="str">
        <f>_xlfn.XLOOKUP($A166,'EA-Fortescue_SDExport'!$A:$A,'EA-Fortescue_SDExport'!AX:AX)</f>
        <v>CSV980A512F</v>
      </c>
      <c r="AK166">
        <f>_xlfn.XLOOKUP($A166,'EA-Fortescue_SDExport'!$A:$A,'EA-Fortescue_SDExport'!AY:AY)</f>
        <v>0</v>
      </c>
    </row>
    <row r="167" spans="1:37" x14ac:dyDescent="0.25">
      <c r="A167" t="str">
        <v>DGS-I_0166</v>
      </c>
      <c r="B167" t="str">
        <f>_xlfn.XLOOKUP($A167,'EA-Fortescue_SDExport'!$A:$A,'EA-Fortescue_SDExport'!B:B)</f>
        <v>Class</v>
      </c>
      <c r="C167" t="str">
        <f>_xlfn.XLOOKUP($A167,'EA-Fortescue_SDExport'!$A:$A,'EA-Fortescue_SDExport'!C:C)</f>
        <v>{868EC46C-F3F2-41da-BAD3-3A590AE32225}</v>
      </c>
      <c r="D167" t="str">
        <f>_xlfn.LET(_xlpm.result, _xlfn.XLOOKUP($A167, InterfaceRegister!$A:$A, InterfaceRegister!P:P), IF(_xlpm.result=0, "", _xlpm.result))</f>
        <v>SCADA Review 30/10/2025:Potential to track fire alarms through Ignition for all sites. (interface on hold)._x000D_
_x000D_
Remark 02/12/2025: Move mine electrification SCADA to retired systems and delete associated interfaces._x000D_
NH 04/12/2025: The Project A.02.03 Mine Electrification SCADA was renamed from A.02.03 Power Infrastructure SCADA and is composed of the following Subsystems: A.02.03.01 Ignition SCADA and A.02.03.02 Non-Process Infrastructure (NPI) SCADA. Removing the project would also remove the Subsystems, unless they are promoted to Projects. (see diagram A.02.03 Mine Electrification SCADA  - reviewed as A.02.03 Power Infrastructure SCADA on 30/10/2025)._x000D_
JV 13/01/2026: Mine Electrification SCADA is a live project - retain in the System Architecture and Interface Register._x000D_
NH 25/02/2026: This interface is covered by DGS-I_0164: 005OP-0000-017-002 Fire SCADA|ESO</v>
      </c>
      <c r="E167">
        <f>_xlfn.XLOOKUP($A167,'EA-Fortescue_SDExport'!$A:$A,'EA-Fortescue_SDExport'!E:E)</f>
        <v>1</v>
      </c>
      <c r="F167">
        <f>_xlfn.XLOOKUP($A167,'EA-Fortescue_SDExport'!$A:$A,'EA-Fortescue_SDExport'!F:F)</f>
        <v>1</v>
      </c>
      <c r="G167">
        <f>_xlfn.XLOOKUP($A167,'EA-Fortescue_SDExport'!$A:$A,'EA-Fortescue_SDExport'!G:G)</f>
        <v>0</v>
      </c>
      <c r="H167" t="str">
        <f>_xlfn.XLOOKUP($A167,'EA-Fortescue_SDExport'!$A:$A,'EA-Fortescue_SDExport'!H:H)</f>
        <v>InterfaceBlock</v>
      </c>
      <c r="I167" t="str">
        <f>_xlfn.XLOOKUP($A167,'EA-Fortescue_SDExport'!$A:$A,'EA-Fortescue_SDExport'!I:I)</f>
        <v>SysML1.4::InterfaceBlock</v>
      </c>
      <c r="J167" t="str">
        <f>_xlfn.XLOOKUP($A167,'EA-Fortescue_SDExport'!$A:$A,'EA-Fortescue_SDExport'!J:J)</f>
        <v>Java</v>
      </c>
      <c r="K167" t="str">
        <f>_xlfn.XLOOKUP($A167,'EA-Fortescue_SDExport'!$A:$A,'EA-Fortescue_SDExport'!K:K)</f>
        <v>Admin</v>
      </c>
      <c r="L167" t="str">
        <f>_xlfn.XLOOKUP($A167,'EA-Fortescue_SDExport'!$A:$A,'EA-Fortescue_SDExport'!L:L)</f>
        <v>Public</v>
      </c>
      <c r="M167">
        <f>_xlfn.XLOOKUP($A167,'EA-Fortescue_SDExport'!$A:$A,'EA-Fortescue_SDExport'!M:M)</f>
        <v>0</v>
      </c>
      <c r="N167" t="str">
        <f>_xlfn.XLOOKUP($A167,InterfaceRegister!$A:$A,InterfaceRegister!K:K)</f>
        <v>Deleted</v>
      </c>
      <c r="O167">
        <f>_xlfn.XLOOKUP($A167,'EA-Fortescue_SDExport'!$A:$A,'EA-Fortescue_SDExport'!O:O)</f>
        <v>1</v>
      </c>
      <c r="P167">
        <f>_xlfn.XLOOKUP($A167,'EA-Fortescue_SDExport'!$A:$A,'EA-Fortescue_SDExport'!P:P)</f>
        <v>0</v>
      </c>
      <c r="Q167">
        <f>_xlfn.XLOOKUP($A167,'EA-Fortescue_SDExport'!$A:$A,'EA-Fortescue_SDExport'!Q:Q)</f>
        <v>0</v>
      </c>
      <c r="R167">
        <f>_xlfn.XLOOKUP($A167,'EA-Fortescue_SDExport'!$A:$A,'EA-Fortescue_SDExport'!R:R)</f>
        <v>0</v>
      </c>
      <c r="S167">
        <f>_xlfn.XLOOKUP($A167,'EA-Fortescue_SDExport'!$A:$A,'EA-Fortescue_SDExport'!S:S)</f>
        <v>0</v>
      </c>
      <c r="T167">
        <f>_xlfn.XLOOKUP($A167,'EA-Fortescue_SDExport'!$A:$A,'EA-Fortescue_SDExport'!T:T)</f>
        <v>0</v>
      </c>
      <c r="U167">
        <f>_xlfn.XLOOKUP($A167,'EA-Fortescue_SDExport'!$A:$A,'EA-Fortescue_SDExport'!U:U)</f>
        <v>45958.917905092596</v>
      </c>
      <c r="V167">
        <f>_xlfn.XLOOKUP($A167,'EA-Fortescue_SDExport'!$A:$A,'EA-Fortescue_SDExport'!V:V)</f>
        <v>46077.999791666669</v>
      </c>
      <c r="W167">
        <f>_xlfn.XLOOKUP($A167,'EA-Fortescue_SDExport'!$A:$A,'EA-Fortescue_SDExport'!W:W)</f>
        <v>0</v>
      </c>
      <c r="X167">
        <f>_xlfn.XLOOKUP($A167,'EA-Fortescue_SDExport'!$A:$A,'EA-Fortescue_SDExport'!X:X)</f>
        <v>0</v>
      </c>
      <c r="Y167">
        <f>_xlfn.XLOOKUP($A167,'EA-Fortescue_SDExport'!$A:$A,'EA-Fortescue_SDExport'!Y:Y)</f>
        <v>0</v>
      </c>
      <c r="Z167" t="str">
        <f>_xlfn.XLOOKUP($A167,'EA-Fortescue_SDExport'!$A:$A,'EA-Fortescue_SDExport'!Z:Z)</f>
        <v>SysML1.4::InterfaceBlock</v>
      </c>
      <c r="AA167" t="str">
        <f>_xlfn.XLOOKUP($A167,InterfaceRegister!$A:$A,InterfaceRegister!B:B)</f>
        <v>ESO|855DC-1542-008 Mine Electrification SCADA</v>
      </c>
      <c r="AB167" t="str">
        <f>_xlfn.XLOOKUP($A167,InterfaceRegister!$A:$A,InterfaceRegister!C:C)</f>
        <v/>
      </c>
      <c r="AC167" t="str">
        <f>_xlfn.XLOOKUP($A167,InterfaceRegister!$A:$A,InterfaceRegister!D:D)</f>
        <v/>
      </c>
      <c r="AD167" t="str">
        <f>_xlfn.XLOOKUP($A167,InterfaceRegister!$A:$A,InterfaceRegister!E:E)</f>
        <v>Stakeholder - Project Interface</v>
      </c>
      <c r="AE167" t="str">
        <f>_xlfn.XLOOKUP($A167,InterfaceRegister!$A:$A,InterfaceRegister!F:F)</f>
        <v>Technical-Data/Software</v>
      </c>
      <c r="AF167" t="str">
        <f>_xlfn.XLOOKUP($A167,InterfaceRegister!$A:$A,InterfaceRegister!L:L)</f>
        <v>This interface provides ESO with electrical network alarms, breaker states, and equipment conditions from Mine Electrification SCADA, enabling emergency personnel or responders to act safely around energised infrastructure.</v>
      </c>
      <c r="AG167" t="str">
        <f>_xlfn.XLOOKUP($A167,InterfaceRegister!$A:$A,InterfaceRegister!M:M)</f>
        <v>HIGH</v>
      </c>
      <c r="AH167" t="str">
        <f>_xlfn.XLOOKUP($A167,InterfaceRegister!$A:$A,InterfaceRegister!O:O)</f>
        <v/>
      </c>
      <c r="AI167" t="str">
        <f>_xlfn.XLOOKUP($A167,InterfaceRegister!$A:$A,InterfaceRegister!N:N)</f>
        <v>The criticality level is HIGH because emergency responders rely on accurate SCADA information to prevent live electrical hazards and respond appropriately during incidents. Losing this interface jeopardises the safety of personnel during emergency situations, especially around HV equipment.</v>
      </c>
      <c r="AJ167" t="str">
        <f>_xlfn.XLOOKUP($A167,'EA-Fortescue_SDExport'!$A:$A,'EA-Fortescue_SDExport'!AX:AX)</f>
        <v>CSV06AD2022</v>
      </c>
      <c r="AK167">
        <f>_xlfn.XLOOKUP($A167,'EA-Fortescue_SDExport'!$A:$A,'EA-Fortescue_SDExport'!AY:AY)</f>
        <v>0</v>
      </c>
    </row>
    <row r="168" spans="1:37" x14ac:dyDescent="0.25">
      <c r="A168" t="str">
        <v>DGS-I_0167</v>
      </c>
      <c r="B168" t="str">
        <f>_xlfn.XLOOKUP($A168,'EA-Fortescue_SDExport'!$A:$A,'EA-Fortescue_SDExport'!B:B)</f>
        <v>Class</v>
      </c>
      <c r="C168" t="str">
        <f>_xlfn.XLOOKUP($A168,'EA-Fortescue_SDExport'!$A:$A,'EA-Fortescue_SDExport'!C:C)</f>
        <v>{848BC473-EDD3-4086-9917-3CBAF80AEBE4}</v>
      </c>
      <c r="D168" t="str">
        <f>_xlfn.LET(_xlpm.result, _xlfn.XLOOKUP($A168, InterfaceRegister!$A:$A, InterfaceRegister!P:P), IF(_xlpm.result=0, "", _xlpm.result))</f>
        <v>CSMS Review 30/10/2025: Speak OCPP to a vCharm Edge._x000D_
State, current voltage, car plugged in?_x000D_
Getting back charge auth, charge rate profiles. set charge rate._x000D_
Depending on charger the charger, potentially phoning home to manufacturers cloud._x000D_
NH 20/02/2026: Fields updated: Interface Flow.</v>
      </c>
      <c r="E168">
        <f>_xlfn.XLOOKUP($A168,'EA-Fortescue_SDExport'!$A:$A,'EA-Fortescue_SDExport'!E:E)</f>
        <v>1</v>
      </c>
      <c r="F168">
        <f>_xlfn.XLOOKUP($A168,'EA-Fortescue_SDExport'!$A:$A,'EA-Fortescue_SDExport'!F:F)</f>
        <v>1</v>
      </c>
      <c r="G168">
        <f>_xlfn.XLOOKUP($A168,'EA-Fortescue_SDExport'!$A:$A,'EA-Fortescue_SDExport'!G:G)</f>
        <v>0</v>
      </c>
      <c r="H168" t="str">
        <f>_xlfn.XLOOKUP($A168,'EA-Fortescue_SDExport'!$A:$A,'EA-Fortescue_SDExport'!H:H)</f>
        <v>InterfaceBlock</v>
      </c>
      <c r="I168" t="str">
        <f>_xlfn.XLOOKUP($A168,'EA-Fortescue_SDExport'!$A:$A,'EA-Fortescue_SDExport'!I:I)</f>
        <v>SysML1.4::InterfaceBlock</v>
      </c>
      <c r="J168" t="str">
        <f>_xlfn.XLOOKUP($A168,'EA-Fortescue_SDExport'!$A:$A,'EA-Fortescue_SDExport'!J:J)</f>
        <v>Java</v>
      </c>
      <c r="K168" t="str">
        <f>_xlfn.XLOOKUP($A168,'EA-Fortescue_SDExport'!$A:$A,'EA-Fortescue_SDExport'!K:K)</f>
        <v>Admin</v>
      </c>
      <c r="L168" t="str">
        <f>_xlfn.XLOOKUP($A168,'EA-Fortescue_SDExport'!$A:$A,'EA-Fortescue_SDExport'!L:L)</f>
        <v>Public</v>
      </c>
      <c r="M168">
        <f>_xlfn.XLOOKUP($A168,'EA-Fortescue_SDExport'!$A:$A,'EA-Fortescue_SDExport'!M:M)</f>
        <v>0</v>
      </c>
      <c r="N168" t="str">
        <f>_xlfn.XLOOKUP($A168,InterfaceRegister!$A:$A,InterfaceRegister!K:K)</f>
        <v>Proposed</v>
      </c>
      <c r="O168">
        <f>_xlfn.XLOOKUP($A168,'EA-Fortescue_SDExport'!$A:$A,'EA-Fortescue_SDExport'!O:O)</f>
        <v>1</v>
      </c>
      <c r="P168">
        <f>_xlfn.XLOOKUP($A168,'EA-Fortescue_SDExport'!$A:$A,'EA-Fortescue_SDExport'!P:P)</f>
        <v>0</v>
      </c>
      <c r="Q168">
        <f>_xlfn.XLOOKUP($A168,'EA-Fortescue_SDExport'!$A:$A,'EA-Fortescue_SDExport'!Q:Q)</f>
        <v>0</v>
      </c>
      <c r="R168">
        <f>_xlfn.XLOOKUP($A168,'EA-Fortescue_SDExport'!$A:$A,'EA-Fortescue_SDExport'!R:R)</f>
        <v>0</v>
      </c>
      <c r="S168">
        <f>_xlfn.XLOOKUP($A168,'EA-Fortescue_SDExport'!$A:$A,'EA-Fortescue_SDExport'!S:S)</f>
        <v>0</v>
      </c>
      <c r="T168">
        <f>_xlfn.XLOOKUP($A168,'EA-Fortescue_SDExport'!$A:$A,'EA-Fortescue_SDExport'!T:T)</f>
        <v>0</v>
      </c>
      <c r="U168">
        <f>_xlfn.XLOOKUP($A168,'EA-Fortescue_SDExport'!$A:$A,'EA-Fortescue_SDExport'!U:U)</f>
        <v>45958.934675925928</v>
      </c>
      <c r="V168">
        <f>_xlfn.XLOOKUP($A168,'EA-Fortescue_SDExport'!$A:$A,'EA-Fortescue_SDExport'!V:V)</f>
        <v>46077.993217592593</v>
      </c>
      <c r="W168">
        <f>_xlfn.XLOOKUP($A168,'EA-Fortescue_SDExport'!$A:$A,'EA-Fortescue_SDExport'!W:W)</f>
        <v>0</v>
      </c>
      <c r="X168">
        <f>_xlfn.XLOOKUP($A168,'EA-Fortescue_SDExport'!$A:$A,'EA-Fortescue_SDExport'!X:X)</f>
        <v>0</v>
      </c>
      <c r="Y168">
        <f>_xlfn.XLOOKUP($A168,'EA-Fortescue_SDExport'!$A:$A,'EA-Fortescue_SDExport'!Y:Y)</f>
        <v>0</v>
      </c>
      <c r="Z168" t="str">
        <f>_xlfn.XLOOKUP($A168,'EA-Fortescue_SDExport'!$A:$A,'EA-Fortescue_SDExport'!Z:Z)</f>
        <v>SysML1.4::InterfaceBlock</v>
      </c>
      <c r="AA168" t="str">
        <f>_xlfn.XLOOKUP($A168,InterfaceRegister!$A:$A,InterfaceRegister!B:B)</f>
        <v>855DC-1542-CSM-002 vCharM.Edge|850DC-1512-0001 HME Chargers - Gen1</v>
      </c>
      <c r="AB168" t="str">
        <f>_xlfn.XLOOKUP($A168,InterfaceRegister!$A:$A,InterfaceRegister!C:C)</f>
        <v/>
      </c>
      <c r="AC168" t="str">
        <f>_xlfn.XLOOKUP($A168,InterfaceRegister!$A:$A,InterfaceRegister!D:D)</f>
        <v/>
      </c>
      <c r="AD168" t="str">
        <f>_xlfn.XLOOKUP($A168,InterfaceRegister!$A:$A,InterfaceRegister!E:E)</f>
        <v>Project - Subsystem Interface</v>
      </c>
      <c r="AE168" t="str">
        <f>_xlfn.XLOOKUP($A168,InterfaceRegister!$A:$A,InterfaceRegister!F:F)</f>
        <v>Technical-Data/Software</v>
      </c>
      <c r="AF168" t="str">
        <f>_xlfn.XLOOKUP($A168,InterfaceRegister!$A:$A,InterfaceRegister!L:L)</f>
        <v>This interface allows vCharM.Edge to coordinate directly with HME Chargers for low-latency control, monitoring, and optimisation of charging operations.</v>
      </c>
      <c r="AG168" t="str">
        <f>_xlfn.XLOOKUP($A168,InterfaceRegister!$A:$A,InterfaceRegister!M:M)</f>
        <v>MEDIUM</v>
      </c>
      <c r="AH168" t="str">
        <f>_xlfn.XLOOKUP($A168,InterfaceRegister!$A:$A,InterfaceRegister!O:O)</f>
        <v>Data Flow: HME Chargers &lt;-&gt; vCharM.Edge (charger status, availability, power draw, session data, fault alarms, health metrics) for real-time monitoring and optimisation.</v>
      </c>
      <c r="AI168" t="str">
        <f>_xlfn.XLOOKUP($A168,InterfaceRegister!$A:$A,InterfaceRegister!N:N)</f>
        <v>The criticality level is MEDIUM because failure decreases charger utilization efficiency and may cause charging delays, but core charging can still occur through manual or less-optimised processes.</v>
      </c>
      <c r="AJ168" t="str">
        <f>_xlfn.XLOOKUP($A168,'EA-Fortescue_SDExport'!$A:$A,'EA-Fortescue_SDExport'!AX:AX)</f>
        <v>CSVCF882165</v>
      </c>
      <c r="AK168">
        <f>_xlfn.XLOOKUP($A168,'EA-Fortescue_SDExport'!$A:$A,'EA-Fortescue_SDExport'!AY:AY)</f>
        <v>0</v>
      </c>
    </row>
    <row r="169" spans="1:37" x14ac:dyDescent="0.25">
      <c r="A169" t="str">
        <v>DGS-I_0168</v>
      </c>
      <c r="B169" t="str">
        <f>_xlfn.XLOOKUP($A169,'EA-Fortescue_SDExport'!$A:$A,'EA-Fortescue_SDExport'!B:B)</f>
        <v>Class</v>
      </c>
      <c r="C169" t="str">
        <f>_xlfn.XLOOKUP($A169,'EA-Fortescue_SDExport'!$A:$A,'EA-Fortescue_SDExport'!C:C)</f>
        <v>{0783B9F3-58A9-4274-8981-E9C9381D086A}</v>
      </c>
      <c r="D169" t="str">
        <f>_xlfn.LET(_xlpm.result, _xlfn.XLOOKUP($A169, InterfaceRegister!$A:$A, InterfaceRegister!P:P), IF(_xlpm.result=0, "", _xlpm.result))</f>
        <v>CSMS Review 30/10/2025: Proposed to be confirmed for future deployment to the HIVE._x000D_
Interface Register Review 11/11/2025: This is a COTS software product produced by Vector. No UI changes are envisaged._x000D_
Interface requirements to be defined for usability and training._x000D_
NH 20/02/2026: Fields updated: Interface Flow.</v>
      </c>
      <c r="E169">
        <f>_xlfn.XLOOKUP($A169,'EA-Fortescue_SDExport'!$A:$A,'EA-Fortescue_SDExport'!E:E)</f>
        <v>1</v>
      </c>
      <c r="F169">
        <f>_xlfn.XLOOKUP($A169,'EA-Fortescue_SDExport'!$A:$A,'EA-Fortescue_SDExport'!F:F)</f>
        <v>1</v>
      </c>
      <c r="G169">
        <f>_xlfn.XLOOKUP($A169,'EA-Fortescue_SDExport'!$A:$A,'EA-Fortescue_SDExport'!G:G)</f>
        <v>0</v>
      </c>
      <c r="H169" t="str">
        <f>_xlfn.XLOOKUP($A169,'EA-Fortescue_SDExport'!$A:$A,'EA-Fortescue_SDExport'!H:H)</f>
        <v>InterfaceBlock</v>
      </c>
      <c r="I169" t="str">
        <f>_xlfn.XLOOKUP($A169,'EA-Fortescue_SDExport'!$A:$A,'EA-Fortescue_SDExport'!I:I)</f>
        <v>SysML1.4::InterfaceBlock</v>
      </c>
      <c r="J169" t="str">
        <f>_xlfn.XLOOKUP($A169,'EA-Fortescue_SDExport'!$A:$A,'EA-Fortescue_SDExport'!J:J)</f>
        <v>Java</v>
      </c>
      <c r="K169" t="str">
        <f>_xlfn.XLOOKUP($A169,'EA-Fortescue_SDExport'!$A:$A,'EA-Fortescue_SDExport'!K:K)</f>
        <v>Admin</v>
      </c>
      <c r="L169" t="str">
        <f>_xlfn.XLOOKUP($A169,'EA-Fortescue_SDExport'!$A:$A,'EA-Fortescue_SDExport'!L:L)</f>
        <v>Public</v>
      </c>
      <c r="M169">
        <f>_xlfn.XLOOKUP($A169,'EA-Fortescue_SDExport'!$A:$A,'EA-Fortescue_SDExport'!M:M)</f>
        <v>0</v>
      </c>
      <c r="N169" t="str">
        <f>_xlfn.XLOOKUP($A169,InterfaceRegister!$A:$A,InterfaceRegister!K:K)</f>
        <v>Proposed</v>
      </c>
      <c r="O169">
        <f>_xlfn.XLOOKUP($A169,'EA-Fortescue_SDExport'!$A:$A,'EA-Fortescue_SDExport'!O:O)</f>
        <v>1</v>
      </c>
      <c r="P169">
        <f>_xlfn.XLOOKUP($A169,'EA-Fortescue_SDExport'!$A:$A,'EA-Fortescue_SDExport'!P:P)</f>
        <v>0</v>
      </c>
      <c r="Q169">
        <f>_xlfn.XLOOKUP($A169,'EA-Fortescue_SDExport'!$A:$A,'EA-Fortescue_SDExport'!Q:Q)</f>
        <v>0</v>
      </c>
      <c r="R169">
        <f>_xlfn.XLOOKUP($A169,'EA-Fortescue_SDExport'!$A:$A,'EA-Fortescue_SDExport'!R:R)</f>
        <v>0</v>
      </c>
      <c r="S169">
        <f>_xlfn.XLOOKUP($A169,'EA-Fortescue_SDExport'!$A:$A,'EA-Fortescue_SDExport'!S:S)</f>
        <v>0</v>
      </c>
      <c r="T169">
        <f>_xlfn.XLOOKUP($A169,'EA-Fortescue_SDExport'!$A:$A,'EA-Fortescue_SDExport'!T:T)</f>
        <v>0</v>
      </c>
      <c r="U169">
        <f>_xlfn.XLOOKUP($A169,'EA-Fortescue_SDExport'!$A:$A,'EA-Fortescue_SDExport'!U:U)</f>
        <v>45895.910925925928</v>
      </c>
      <c r="V169">
        <f>_xlfn.XLOOKUP($A169,'EA-Fortescue_SDExport'!$A:$A,'EA-Fortescue_SDExport'!V:V)</f>
        <v>46077.993206018517</v>
      </c>
      <c r="W169">
        <f>_xlfn.XLOOKUP($A169,'EA-Fortescue_SDExport'!$A:$A,'EA-Fortescue_SDExport'!W:W)</f>
        <v>0</v>
      </c>
      <c r="X169">
        <f>_xlfn.XLOOKUP($A169,'EA-Fortescue_SDExport'!$A:$A,'EA-Fortescue_SDExport'!X:X)</f>
        <v>0</v>
      </c>
      <c r="Y169">
        <f>_xlfn.XLOOKUP($A169,'EA-Fortescue_SDExport'!$A:$A,'EA-Fortescue_SDExport'!Y:Y)</f>
        <v>0</v>
      </c>
      <c r="Z169" t="str">
        <f>_xlfn.XLOOKUP($A169,'EA-Fortescue_SDExport'!$A:$A,'EA-Fortescue_SDExport'!Z:Z)</f>
        <v>SysML1.4::InterfaceBlock</v>
      </c>
      <c r="AA169" t="str">
        <f>_xlfn.XLOOKUP($A169,InterfaceRegister!$A:$A,InterfaceRegister!B:B)</f>
        <v>855DC-1542-CSM Charge Station Management System (CSMS)|HIVE</v>
      </c>
      <c r="AB169" t="str">
        <f>_xlfn.XLOOKUP($A169,InterfaceRegister!$A:$A,InterfaceRegister!C:C)</f>
        <v>Sam Hedgcock</v>
      </c>
      <c r="AC169" t="str">
        <f>_xlfn.XLOOKUP($A169,InterfaceRegister!$A:$A,InterfaceRegister!D:D)</f>
        <v>Charlotte Lavin (Ops Readiness), Sam Ward (Technical Architect), Karen Ball (Training), Matt Talbot (Training)</v>
      </c>
      <c r="AD169" t="str">
        <f>_xlfn.XLOOKUP($A169,InterfaceRegister!$A:$A,InterfaceRegister!E:E)</f>
        <v>Stakeholder - Project Interface</v>
      </c>
      <c r="AE169" t="str">
        <f>_xlfn.XLOOKUP($A169,InterfaceRegister!$A:$A,InterfaceRegister!F:F)</f>
        <v>Technical-Data/Software</v>
      </c>
      <c r="AF169" t="str">
        <f>_xlfn.XLOOKUP($A169,InterfaceRegister!$A:$A,InterfaceRegister!L:L)</f>
        <v>This is a Human-Machine Interface (HMI) designed to provide authorised Mine Services Personnel with the tools necessary to interact with and manage the Central Services Management System (CSMS). The interface serves as the primary control and diagnostics gateway, supporting tasks such as monitoring system health, executing remote commands, and accessing historical data._x000D_
The interface design must be agnostic to the final organisational structure (centralised HIVE vs. decentralised Site services), ensuring the exact same functional capabilities and security access controls are applied whether the user is located centrally or locally. This ensures operational resilience regardless of organizational staging.</v>
      </c>
      <c r="AG169" t="str">
        <f>_xlfn.XLOOKUP($A169,InterfaceRegister!$A:$A,InterfaceRegister!M:M)</f>
        <v>LOW</v>
      </c>
      <c r="AH169" t="str">
        <f>_xlfn.XLOOKUP($A169,InterfaceRegister!$A:$A,InterfaceRegister!O:O)</f>
        <v>Data Flow:_x000D_
855DC-1542-CSM Charge Station Management System (CSMS) -&gt; Mine Services Personnel (via HMI), presenting system status, charger availability, alarms, session data, diagnostics, and historical performance information._x000D_
Mine Services Personnel -&gt; CSMS (via HMI), inputting configuration updates, remote commands, user queries, and administrative actions._x000D_
Control Flow:_x000D_
Mine Services Personnel -&gt; CSMS, issuing authorised remote commands, operational overrides, configuration changes, and control actions through the HMI, subject to role-based access controls.</v>
      </c>
      <c r="AI169" t="str">
        <f>_xlfn.XLOOKUP($A169,InterfaceRegister!$A:$A,InterfaceRegister!N:N)</f>
        <v>The criticality level is LOW because failure at this interface does not impact real-time production, safety, or power system stability. All critical functions can still be performed via existing interfaces, limiting the impact to reduced efficiency.</v>
      </c>
      <c r="AJ169" t="str">
        <f>_xlfn.XLOOKUP($A169,'EA-Fortescue_SDExport'!$A:$A,'EA-Fortescue_SDExport'!AX:AX)</f>
        <v>CSVBD71ED05</v>
      </c>
      <c r="AK169">
        <f>_xlfn.XLOOKUP($A169,'EA-Fortescue_SDExport'!$A:$A,'EA-Fortescue_SDExport'!AY:AY)</f>
        <v>0</v>
      </c>
    </row>
    <row r="170" spans="1:37" x14ac:dyDescent="0.25">
      <c r="A170" t="str">
        <v>DGS-I_0169</v>
      </c>
      <c r="B170" t="str">
        <f>_xlfn.XLOOKUP($A170,'EA-Fortescue_SDExport'!$A:$A,'EA-Fortescue_SDExport'!B:B)</f>
        <v>Class</v>
      </c>
      <c r="C170" t="str">
        <f>_xlfn.XLOOKUP($A170,'EA-Fortescue_SDExport'!$A:$A,'EA-Fortescue_SDExport'!C:C)</f>
        <v>{B5CF5B11-EA4F-40b3-987D-91383EE8EF2C}</v>
      </c>
      <c r="D170" t="str">
        <f>_xlfn.LET(_xlpm.result, _xlfn.XLOOKUP($A170, InterfaceRegister!$A:$A, InterfaceRegister!P:P), IF(_xlpm.result=0, "", _xlpm.result))</f>
        <v>This is a COTS software product produced by Vector. No UI changes are envisaged._x000D_
Interface requirements to be defined for usability and training._x000D_
NH 20/02/2026: Fields updated: Interface Flow.</v>
      </c>
      <c r="E170">
        <f>_xlfn.XLOOKUP($A170,'EA-Fortescue_SDExport'!$A:$A,'EA-Fortescue_SDExport'!E:E)</f>
        <v>1</v>
      </c>
      <c r="F170">
        <f>_xlfn.XLOOKUP($A170,'EA-Fortescue_SDExport'!$A:$A,'EA-Fortescue_SDExport'!F:F)</f>
        <v>1</v>
      </c>
      <c r="G170">
        <f>_xlfn.XLOOKUP($A170,'EA-Fortescue_SDExport'!$A:$A,'EA-Fortescue_SDExport'!G:G)</f>
        <v>0</v>
      </c>
      <c r="H170" t="str">
        <f>_xlfn.XLOOKUP($A170,'EA-Fortescue_SDExport'!$A:$A,'EA-Fortescue_SDExport'!H:H)</f>
        <v>InterfaceBlock</v>
      </c>
      <c r="I170" t="str">
        <f>_xlfn.XLOOKUP($A170,'EA-Fortescue_SDExport'!$A:$A,'EA-Fortescue_SDExport'!I:I)</f>
        <v>SysML1.4::InterfaceBlock</v>
      </c>
      <c r="J170" t="str">
        <f>_xlfn.XLOOKUP($A170,'EA-Fortescue_SDExport'!$A:$A,'EA-Fortescue_SDExport'!J:J)</f>
        <v>Java</v>
      </c>
      <c r="K170" t="str">
        <f>_xlfn.XLOOKUP($A170,'EA-Fortescue_SDExport'!$A:$A,'EA-Fortescue_SDExport'!K:K)</f>
        <v>Admin</v>
      </c>
      <c r="L170" t="str">
        <f>_xlfn.XLOOKUP($A170,'EA-Fortescue_SDExport'!$A:$A,'EA-Fortescue_SDExport'!L:L)</f>
        <v>Public</v>
      </c>
      <c r="M170">
        <f>_xlfn.XLOOKUP($A170,'EA-Fortescue_SDExport'!$A:$A,'EA-Fortescue_SDExport'!M:M)</f>
        <v>0</v>
      </c>
      <c r="N170" t="str">
        <f>_xlfn.XLOOKUP($A170,InterfaceRegister!$A:$A,InterfaceRegister!K:K)</f>
        <v>Proposed</v>
      </c>
      <c r="O170">
        <f>_xlfn.XLOOKUP($A170,'EA-Fortescue_SDExport'!$A:$A,'EA-Fortescue_SDExport'!O:O)</f>
        <v>1</v>
      </c>
      <c r="P170">
        <f>_xlfn.XLOOKUP($A170,'EA-Fortescue_SDExport'!$A:$A,'EA-Fortescue_SDExport'!P:P)</f>
        <v>0</v>
      </c>
      <c r="Q170">
        <f>_xlfn.XLOOKUP($A170,'EA-Fortescue_SDExport'!$A:$A,'EA-Fortescue_SDExport'!Q:Q)</f>
        <v>0</v>
      </c>
      <c r="R170">
        <f>_xlfn.XLOOKUP($A170,'EA-Fortescue_SDExport'!$A:$A,'EA-Fortescue_SDExport'!R:R)</f>
        <v>0</v>
      </c>
      <c r="S170">
        <f>_xlfn.XLOOKUP($A170,'EA-Fortescue_SDExport'!$A:$A,'EA-Fortescue_SDExport'!S:S)</f>
        <v>0</v>
      </c>
      <c r="T170">
        <f>_xlfn.XLOOKUP($A170,'EA-Fortescue_SDExport'!$A:$A,'EA-Fortescue_SDExport'!T:T)</f>
        <v>0</v>
      </c>
      <c r="U170">
        <f>_xlfn.XLOOKUP($A170,'EA-Fortescue_SDExport'!$A:$A,'EA-Fortescue_SDExport'!U:U)</f>
        <v>45895.897673611114</v>
      </c>
      <c r="V170">
        <f>_xlfn.XLOOKUP($A170,'EA-Fortescue_SDExport'!$A:$A,'EA-Fortescue_SDExport'!V:V)</f>
        <v>46077.993217592593</v>
      </c>
      <c r="W170">
        <f>_xlfn.XLOOKUP($A170,'EA-Fortescue_SDExport'!$A:$A,'EA-Fortescue_SDExport'!W:W)</f>
        <v>0</v>
      </c>
      <c r="X170">
        <f>_xlfn.XLOOKUP($A170,'EA-Fortescue_SDExport'!$A:$A,'EA-Fortescue_SDExport'!X:X)</f>
        <v>0</v>
      </c>
      <c r="Y170">
        <f>_xlfn.XLOOKUP($A170,'EA-Fortescue_SDExport'!$A:$A,'EA-Fortescue_SDExport'!Y:Y)</f>
        <v>0</v>
      </c>
      <c r="Z170" t="str">
        <f>_xlfn.XLOOKUP($A170,'EA-Fortescue_SDExport'!$A:$A,'EA-Fortescue_SDExport'!Z:Z)</f>
        <v>SysML1.4::InterfaceBlock</v>
      </c>
      <c r="AA170" t="str">
        <f>_xlfn.XLOOKUP($A170,InterfaceRegister!$A:$A,InterfaceRegister!B:B)</f>
        <v>855DC-1542-CSM Charge Station Management System (CSMS)|Mine Services</v>
      </c>
      <c r="AB170" t="str">
        <f>_xlfn.XLOOKUP($A170,InterfaceRegister!$A:$A,InterfaceRegister!C:C)</f>
        <v>Sam Hedgcock</v>
      </c>
      <c r="AC170" t="str">
        <f>_xlfn.XLOOKUP($A170,InterfaceRegister!$A:$A,InterfaceRegister!D:D)</f>
        <v>Charlotte Lavin (Ops Readiness), Sam Ward (Technical Architect), Karen Ball (Training), Matt Talbot (Training)</v>
      </c>
      <c r="AD170" t="str">
        <f>_xlfn.XLOOKUP($A170,InterfaceRegister!$A:$A,InterfaceRegister!E:E)</f>
        <v>Stakeholder - Project Interface</v>
      </c>
      <c r="AE170" t="str">
        <f>_xlfn.XLOOKUP($A170,InterfaceRegister!$A:$A,InterfaceRegister!F:F)</f>
        <v>Technical-Data/Software</v>
      </c>
      <c r="AF170" t="str">
        <f>_xlfn.XLOOKUP($A170,InterfaceRegister!$A:$A,InterfaceRegister!L:L)</f>
        <v>This is a Data/Software (HMI) interface that enables Mine Services personnel to remotely monitor, diagnose, and manage the state of the LME/SME Charger network. Its primary function is to provide real-time status and remote control capabilities, significantly reducing the time and cost associated with site visits for troubleshooting and initial fault resolution.</v>
      </c>
      <c r="AG170" t="str">
        <f>_xlfn.XLOOKUP($A170,InterfaceRegister!$A:$A,InterfaceRegister!M:M)</f>
        <v>LOW</v>
      </c>
      <c r="AH170" t="str">
        <f>_xlfn.XLOOKUP($A170,InterfaceRegister!$A:$A,InterfaceRegister!O:O)</f>
        <v>Data Flow:_x000D_
855DC-1542-CSM Charge Station Management System (CSMS) -&gt; Mine Services Personnel (via HMI), transmitting real-time charger status, session data, alarms, diagnostics, and network health information for the LME/SME charger fleet._x000D_
Mine Services Personnel -&gt; CSMS (via HMI), providing user inputs including monitoring queries, configuration updates, and authorised remote action requests._x000D_
Control Flow:_x000D_
Mine Services Personnel -&gt; CSMS, issuing remote control commands such as charger enable/disable, session termination, reset actions, and configuration adjustments through the HMI, subject to access permissions and system safeguards.</v>
      </c>
      <c r="AI170" t="str">
        <f>_xlfn.XLOOKUP($A170,InterfaceRegister!$A:$A,InterfaceRegister!N:N)</f>
        <v>The criticality level is LOW because failure at this interface does not impact real-time production, safety, or core charging operations. All required activities can be performed through manual processes, with no impact to operational continuity.</v>
      </c>
      <c r="AJ170" t="str">
        <f>_xlfn.XLOOKUP($A170,'EA-Fortescue_SDExport'!$A:$A,'EA-Fortescue_SDExport'!AX:AX)</f>
        <v>CSVE8BDBFCF</v>
      </c>
      <c r="AK170">
        <f>_xlfn.XLOOKUP($A170,'EA-Fortescue_SDExport'!$A:$A,'EA-Fortescue_SDExport'!AY:AY)</f>
        <v>0</v>
      </c>
    </row>
    <row r="171" spans="1:37" x14ac:dyDescent="0.25">
      <c r="A171" t="str">
        <v>DGS-I_0170</v>
      </c>
      <c r="B171" t="str">
        <f>_xlfn.XLOOKUP($A171,'EA-Fortescue_SDExport'!$A:$A,'EA-Fortescue_SDExport'!B:B)</f>
        <v>Class</v>
      </c>
      <c r="C171" t="str">
        <f>_xlfn.XLOOKUP($A171,'EA-Fortescue_SDExport'!$A:$A,'EA-Fortescue_SDExport'!C:C)</f>
        <v>{6BBDC7EF-6F90-4bb8-AF20-BA60D84A506C}</v>
      </c>
      <c r="D171" t="str">
        <f>_xlfn.LET(_xlpm.result, _xlfn.XLOOKUP($A171, InterfaceRegister!$A:$A, InterfaceRegister!P:P), IF(_xlpm.result=0, "", _xlpm.result))</f>
        <v>Deleted: Interface Register Review 11/11/2025. No human Energy Ops interface with CSMS. Energy Ops interface is via Monarch.</v>
      </c>
      <c r="E171">
        <f>_xlfn.XLOOKUP($A171,'EA-Fortescue_SDExport'!$A:$A,'EA-Fortescue_SDExport'!E:E)</f>
        <v>1</v>
      </c>
      <c r="F171">
        <f>_xlfn.XLOOKUP($A171,'EA-Fortescue_SDExport'!$A:$A,'EA-Fortescue_SDExport'!F:F)</f>
        <v>1</v>
      </c>
      <c r="G171">
        <f>_xlfn.XLOOKUP($A171,'EA-Fortescue_SDExport'!$A:$A,'EA-Fortescue_SDExport'!G:G)</f>
        <v>0</v>
      </c>
      <c r="H171" t="str">
        <f>_xlfn.XLOOKUP($A171,'EA-Fortescue_SDExport'!$A:$A,'EA-Fortescue_SDExport'!H:H)</f>
        <v>InterfaceBlock</v>
      </c>
      <c r="I171" t="str">
        <f>_xlfn.XLOOKUP($A171,'EA-Fortescue_SDExport'!$A:$A,'EA-Fortescue_SDExport'!I:I)</f>
        <v>SysML1.4::InterfaceBlock</v>
      </c>
      <c r="J171" t="str">
        <f>_xlfn.XLOOKUP($A171,'EA-Fortescue_SDExport'!$A:$A,'EA-Fortescue_SDExport'!J:J)</f>
        <v>Java</v>
      </c>
      <c r="K171" t="str">
        <f>_xlfn.XLOOKUP($A171,'EA-Fortescue_SDExport'!$A:$A,'EA-Fortescue_SDExport'!K:K)</f>
        <v>Admin</v>
      </c>
      <c r="L171" t="str">
        <f>_xlfn.XLOOKUP($A171,'EA-Fortescue_SDExport'!$A:$A,'EA-Fortescue_SDExport'!L:L)</f>
        <v>Public</v>
      </c>
      <c r="M171">
        <f>_xlfn.XLOOKUP($A171,'EA-Fortescue_SDExport'!$A:$A,'EA-Fortescue_SDExport'!M:M)</f>
        <v>0</v>
      </c>
      <c r="N171" t="str">
        <f>_xlfn.XLOOKUP($A171,InterfaceRegister!$A:$A,InterfaceRegister!K:K)</f>
        <v>Deleted</v>
      </c>
      <c r="O171">
        <f>_xlfn.XLOOKUP($A171,'EA-Fortescue_SDExport'!$A:$A,'EA-Fortescue_SDExport'!O:O)</f>
        <v>1</v>
      </c>
      <c r="P171">
        <f>_xlfn.XLOOKUP($A171,'EA-Fortescue_SDExport'!$A:$A,'EA-Fortescue_SDExport'!P:P)</f>
        <v>0</v>
      </c>
      <c r="Q171">
        <f>_xlfn.XLOOKUP($A171,'EA-Fortescue_SDExport'!$A:$A,'EA-Fortescue_SDExport'!Q:Q)</f>
        <v>0</v>
      </c>
      <c r="R171">
        <f>_xlfn.XLOOKUP($A171,'EA-Fortescue_SDExport'!$A:$A,'EA-Fortescue_SDExport'!R:R)</f>
        <v>0</v>
      </c>
      <c r="S171">
        <f>_xlfn.XLOOKUP($A171,'EA-Fortescue_SDExport'!$A:$A,'EA-Fortescue_SDExport'!S:S)</f>
        <v>0</v>
      </c>
      <c r="T171">
        <f>_xlfn.XLOOKUP($A171,'EA-Fortescue_SDExport'!$A:$A,'EA-Fortescue_SDExport'!T:T)</f>
        <v>0</v>
      </c>
      <c r="U171">
        <f>_xlfn.XLOOKUP($A171,'EA-Fortescue_SDExport'!$A:$A,'EA-Fortescue_SDExport'!U:U)</f>
        <v>45895.910196759258</v>
      </c>
      <c r="V171">
        <f>_xlfn.XLOOKUP($A171,'EA-Fortescue_SDExport'!$A:$A,'EA-Fortescue_SDExport'!V:V)</f>
        <v>46002.06759259259</v>
      </c>
      <c r="W171">
        <f>_xlfn.XLOOKUP($A171,'EA-Fortescue_SDExport'!$A:$A,'EA-Fortescue_SDExport'!W:W)</f>
        <v>0</v>
      </c>
      <c r="X171">
        <f>_xlfn.XLOOKUP($A171,'EA-Fortescue_SDExport'!$A:$A,'EA-Fortescue_SDExport'!X:X)</f>
        <v>0</v>
      </c>
      <c r="Y171">
        <f>_xlfn.XLOOKUP($A171,'EA-Fortescue_SDExport'!$A:$A,'EA-Fortescue_SDExport'!Y:Y)</f>
        <v>0</v>
      </c>
      <c r="Z171" t="str">
        <f>_xlfn.XLOOKUP($A171,'EA-Fortescue_SDExport'!$A:$A,'EA-Fortescue_SDExport'!Z:Z)</f>
        <v>SysML1.4::InterfaceBlock</v>
      </c>
      <c r="AA171" t="str">
        <f>_xlfn.XLOOKUP($A171,InterfaceRegister!$A:$A,InterfaceRegister!B:B)</f>
        <v>855DC-1542-CSM Charge Station Management System (CSMS)|Energy Operations (HIVE)</v>
      </c>
      <c r="AB171" t="str">
        <f>_xlfn.XLOOKUP($A171,InterfaceRegister!$A:$A,InterfaceRegister!C:C)</f>
        <v>Sam Hedgcock</v>
      </c>
      <c r="AC171" t="str">
        <f>_xlfn.XLOOKUP($A171,InterfaceRegister!$A:$A,InterfaceRegister!D:D)</f>
        <v>Sam Ward</v>
      </c>
      <c r="AD171" t="str">
        <f>_xlfn.XLOOKUP($A171,InterfaceRegister!$A:$A,InterfaceRegister!E:E)</f>
        <v>Stakeholder - Project Interface</v>
      </c>
      <c r="AE171" t="str">
        <f>_xlfn.XLOOKUP($A171,InterfaceRegister!$A:$A,InterfaceRegister!F:F)</f>
        <v/>
      </c>
      <c r="AF171" t="str">
        <f>_xlfn.XLOOKUP($A171,InterfaceRegister!$A:$A,InterfaceRegister!L:L)</f>
        <v/>
      </c>
      <c r="AG171" t="str">
        <f>_xlfn.XLOOKUP($A171,InterfaceRegister!$A:$A,InterfaceRegister!M:M)</f>
        <v>N/A</v>
      </c>
      <c r="AH171" t="str">
        <f>_xlfn.XLOOKUP($A171,InterfaceRegister!$A:$A,InterfaceRegister!O:O)</f>
        <v/>
      </c>
      <c r="AI171" t="str">
        <f>_xlfn.XLOOKUP($A171,InterfaceRegister!$A:$A,InterfaceRegister!N:N)</f>
        <v/>
      </c>
      <c r="AJ171" t="str">
        <f>_xlfn.XLOOKUP($A171,'EA-Fortescue_SDExport'!$A:$A,'EA-Fortescue_SDExport'!AX:AX)</f>
        <v>CSVB93BA2CF</v>
      </c>
      <c r="AK171">
        <f>_xlfn.XLOOKUP($A171,'EA-Fortescue_SDExport'!$A:$A,'EA-Fortescue_SDExport'!AY:AY)</f>
        <v>0</v>
      </c>
    </row>
    <row r="172" spans="1:37" x14ac:dyDescent="0.25">
      <c r="A172" t="str">
        <v>DGS-I_0171</v>
      </c>
      <c r="B172" t="str">
        <f>_xlfn.XLOOKUP($A172,'EA-Fortescue_SDExport'!$A:$A,'EA-Fortescue_SDExport'!B:B)</f>
        <v>Class</v>
      </c>
      <c r="C172" t="str">
        <f>_xlfn.XLOOKUP($A172,'EA-Fortescue_SDExport'!$A:$A,'EA-Fortescue_SDExport'!C:C)</f>
        <v>{CC4EDB66-054E-44b0-A554-C37C2E948563}</v>
      </c>
      <c r="D172" t="str">
        <f>_xlfn.LET(_xlpm.result, _xlfn.XLOOKUP($A172, InterfaceRegister!$A:$A, InterfaceRegister!P:P), IF(_xlpm.result=0, "", _xlpm.result))</f>
        <v>Deleted: Interface Register Review 11/11/2025. No human Mining Ops interface with CSMS.</v>
      </c>
      <c r="E172">
        <f>_xlfn.XLOOKUP($A172,'EA-Fortescue_SDExport'!$A:$A,'EA-Fortescue_SDExport'!E:E)</f>
        <v>1</v>
      </c>
      <c r="F172">
        <f>_xlfn.XLOOKUP($A172,'EA-Fortescue_SDExport'!$A:$A,'EA-Fortescue_SDExport'!F:F)</f>
        <v>1</v>
      </c>
      <c r="G172">
        <f>_xlfn.XLOOKUP($A172,'EA-Fortescue_SDExport'!$A:$A,'EA-Fortescue_SDExport'!G:G)</f>
        <v>0</v>
      </c>
      <c r="H172" t="str">
        <f>_xlfn.XLOOKUP($A172,'EA-Fortescue_SDExport'!$A:$A,'EA-Fortescue_SDExport'!H:H)</f>
        <v>InterfaceBlock</v>
      </c>
      <c r="I172" t="str">
        <f>_xlfn.XLOOKUP($A172,'EA-Fortescue_SDExport'!$A:$A,'EA-Fortescue_SDExport'!I:I)</f>
        <v>SysML1.4::InterfaceBlock</v>
      </c>
      <c r="J172" t="str">
        <f>_xlfn.XLOOKUP($A172,'EA-Fortescue_SDExport'!$A:$A,'EA-Fortescue_SDExport'!J:J)</f>
        <v>Java</v>
      </c>
      <c r="K172" t="str">
        <f>_xlfn.XLOOKUP($A172,'EA-Fortescue_SDExport'!$A:$A,'EA-Fortescue_SDExport'!K:K)</f>
        <v>Admin</v>
      </c>
      <c r="L172" t="str">
        <f>_xlfn.XLOOKUP($A172,'EA-Fortescue_SDExport'!$A:$A,'EA-Fortescue_SDExport'!L:L)</f>
        <v>Public</v>
      </c>
      <c r="M172">
        <f>_xlfn.XLOOKUP($A172,'EA-Fortescue_SDExport'!$A:$A,'EA-Fortescue_SDExport'!M:M)</f>
        <v>0</v>
      </c>
      <c r="N172" t="str">
        <f>_xlfn.XLOOKUP($A172,InterfaceRegister!$A:$A,InterfaceRegister!K:K)</f>
        <v>Deleted</v>
      </c>
      <c r="O172">
        <f>_xlfn.XLOOKUP($A172,'EA-Fortescue_SDExport'!$A:$A,'EA-Fortescue_SDExport'!O:O)</f>
        <v>1</v>
      </c>
      <c r="P172">
        <f>_xlfn.XLOOKUP($A172,'EA-Fortescue_SDExport'!$A:$A,'EA-Fortescue_SDExport'!P:P)</f>
        <v>0</v>
      </c>
      <c r="Q172">
        <f>_xlfn.XLOOKUP($A172,'EA-Fortescue_SDExport'!$A:$A,'EA-Fortescue_SDExport'!Q:Q)</f>
        <v>0</v>
      </c>
      <c r="R172">
        <f>_xlfn.XLOOKUP($A172,'EA-Fortescue_SDExport'!$A:$A,'EA-Fortescue_SDExport'!R:R)</f>
        <v>0</v>
      </c>
      <c r="S172">
        <f>_xlfn.XLOOKUP($A172,'EA-Fortescue_SDExport'!$A:$A,'EA-Fortescue_SDExport'!S:S)</f>
        <v>0</v>
      </c>
      <c r="T172">
        <f>_xlfn.XLOOKUP($A172,'EA-Fortescue_SDExport'!$A:$A,'EA-Fortescue_SDExport'!T:T)</f>
        <v>0</v>
      </c>
      <c r="U172">
        <f>_xlfn.XLOOKUP($A172,'EA-Fortescue_SDExport'!$A:$A,'EA-Fortescue_SDExport'!U:U)</f>
        <v>45895.910590277781</v>
      </c>
      <c r="V172">
        <f>_xlfn.XLOOKUP($A172,'EA-Fortescue_SDExport'!$A:$A,'EA-Fortescue_SDExport'!V:V)</f>
        <v>46002.067557870374</v>
      </c>
      <c r="W172">
        <f>_xlfn.XLOOKUP($A172,'EA-Fortescue_SDExport'!$A:$A,'EA-Fortescue_SDExport'!W:W)</f>
        <v>0</v>
      </c>
      <c r="X172">
        <f>_xlfn.XLOOKUP($A172,'EA-Fortescue_SDExport'!$A:$A,'EA-Fortescue_SDExport'!X:X)</f>
        <v>0</v>
      </c>
      <c r="Y172">
        <f>_xlfn.XLOOKUP($A172,'EA-Fortescue_SDExport'!$A:$A,'EA-Fortescue_SDExport'!Y:Y)</f>
        <v>0</v>
      </c>
      <c r="Z172" t="str">
        <f>_xlfn.XLOOKUP($A172,'EA-Fortescue_SDExport'!$A:$A,'EA-Fortescue_SDExport'!Z:Z)</f>
        <v>SysML1.4::InterfaceBlock</v>
      </c>
      <c r="AA172" t="str">
        <f>_xlfn.XLOOKUP($A172,InterfaceRegister!$A:$A,InterfaceRegister!B:B)</f>
        <v>855DC-1542-CSM Charge Station Management System (CSMS)|Mining Operations</v>
      </c>
      <c r="AB172" t="str">
        <f>_xlfn.XLOOKUP($A172,InterfaceRegister!$A:$A,InterfaceRegister!C:C)</f>
        <v>Sam Hedgcock</v>
      </c>
      <c r="AC172" t="str">
        <f>_xlfn.XLOOKUP($A172,InterfaceRegister!$A:$A,InterfaceRegister!D:D)</f>
        <v>Sam Ward</v>
      </c>
      <c r="AD172" t="str">
        <f>_xlfn.XLOOKUP($A172,InterfaceRegister!$A:$A,InterfaceRegister!E:E)</f>
        <v>Stakeholder - Project Interface</v>
      </c>
      <c r="AE172" t="str">
        <f>_xlfn.XLOOKUP($A172,InterfaceRegister!$A:$A,InterfaceRegister!F:F)</f>
        <v/>
      </c>
      <c r="AF172" t="str">
        <f>_xlfn.XLOOKUP($A172,InterfaceRegister!$A:$A,InterfaceRegister!L:L)</f>
        <v/>
      </c>
      <c r="AG172" t="str">
        <f>_xlfn.XLOOKUP($A172,InterfaceRegister!$A:$A,InterfaceRegister!M:M)</f>
        <v>N/A</v>
      </c>
      <c r="AH172" t="str">
        <f>_xlfn.XLOOKUP($A172,InterfaceRegister!$A:$A,InterfaceRegister!O:O)</f>
        <v/>
      </c>
      <c r="AI172" t="str">
        <f>_xlfn.XLOOKUP($A172,InterfaceRegister!$A:$A,InterfaceRegister!N:N)</f>
        <v/>
      </c>
      <c r="AJ172" t="str">
        <f>_xlfn.XLOOKUP($A172,'EA-Fortescue_SDExport'!$A:$A,'EA-Fortescue_SDExport'!AX:AX)</f>
        <v>CSV78BAC33F</v>
      </c>
      <c r="AK172">
        <f>_xlfn.XLOOKUP($A172,'EA-Fortescue_SDExport'!$A:$A,'EA-Fortescue_SDExport'!AY:AY)</f>
        <v>0</v>
      </c>
    </row>
    <row r="173" spans="1:37" x14ac:dyDescent="0.25">
      <c r="A173" t="str">
        <v>DGS-I_0172</v>
      </c>
      <c r="B173" t="str">
        <f>_xlfn.XLOOKUP($A173,'EA-Fortescue_SDExport'!$A:$A,'EA-Fortescue_SDExport'!B:B)</f>
        <v>Class</v>
      </c>
      <c r="C173" t="str">
        <f>_xlfn.XLOOKUP($A173,'EA-Fortescue_SDExport'!$A:$A,'EA-Fortescue_SDExport'!C:C)</f>
        <v>{A99A42B6-19A0-460f-8D2B-5D998288D395}</v>
      </c>
      <c r="D173" t="str">
        <f>_xlfn.LET(_xlpm.result, _xlfn.XLOOKUP($A173, InterfaceRegister!$A:$A, InterfaceRegister!P:P), IF(_xlpm.result=0, "", _xlpm.result))</f>
        <v>Deleted: Interface Register Review 11/11/2025. Duplicate of DGS-I_0169_TP. NPI is now Mine Services.</v>
      </c>
      <c r="E173">
        <f>_xlfn.XLOOKUP($A173,'EA-Fortescue_SDExport'!$A:$A,'EA-Fortescue_SDExport'!E:E)</f>
        <v>1</v>
      </c>
      <c r="F173">
        <f>_xlfn.XLOOKUP($A173,'EA-Fortescue_SDExport'!$A:$A,'EA-Fortescue_SDExport'!F:F)</f>
        <v>1</v>
      </c>
      <c r="G173">
        <f>_xlfn.XLOOKUP($A173,'EA-Fortescue_SDExport'!$A:$A,'EA-Fortescue_SDExport'!G:G)</f>
        <v>0</v>
      </c>
      <c r="H173" t="str">
        <f>_xlfn.XLOOKUP($A173,'EA-Fortescue_SDExport'!$A:$A,'EA-Fortescue_SDExport'!H:H)</f>
        <v>InterfaceBlock</v>
      </c>
      <c r="I173" t="str">
        <f>_xlfn.XLOOKUP($A173,'EA-Fortescue_SDExport'!$A:$A,'EA-Fortescue_SDExport'!I:I)</f>
        <v>SysML1.4::InterfaceBlock</v>
      </c>
      <c r="J173" t="str">
        <f>_xlfn.XLOOKUP($A173,'EA-Fortescue_SDExport'!$A:$A,'EA-Fortescue_SDExport'!J:J)</f>
        <v>Java</v>
      </c>
      <c r="K173" t="str">
        <f>_xlfn.XLOOKUP($A173,'EA-Fortescue_SDExport'!$A:$A,'EA-Fortescue_SDExport'!K:K)</f>
        <v>Admin</v>
      </c>
      <c r="L173" t="str">
        <f>_xlfn.XLOOKUP($A173,'EA-Fortescue_SDExport'!$A:$A,'EA-Fortescue_SDExport'!L:L)</f>
        <v>Public</v>
      </c>
      <c r="M173">
        <f>_xlfn.XLOOKUP($A173,'EA-Fortescue_SDExport'!$A:$A,'EA-Fortescue_SDExport'!M:M)</f>
        <v>0</v>
      </c>
      <c r="N173" t="str">
        <f>_xlfn.XLOOKUP($A173,InterfaceRegister!$A:$A,InterfaceRegister!K:K)</f>
        <v>Deleted</v>
      </c>
      <c r="O173">
        <f>_xlfn.XLOOKUP($A173,'EA-Fortescue_SDExport'!$A:$A,'EA-Fortescue_SDExport'!O:O)</f>
        <v>1</v>
      </c>
      <c r="P173">
        <f>_xlfn.XLOOKUP($A173,'EA-Fortescue_SDExport'!$A:$A,'EA-Fortescue_SDExport'!P:P)</f>
        <v>0</v>
      </c>
      <c r="Q173">
        <f>_xlfn.XLOOKUP($A173,'EA-Fortescue_SDExport'!$A:$A,'EA-Fortescue_SDExport'!Q:Q)</f>
        <v>0</v>
      </c>
      <c r="R173">
        <f>_xlfn.XLOOKUP($A173,'EA-Fortescue_SDExport'!$A:$A,'EA-Fortescue_SDExport'!R:R)</f>
        <v>0</v>
      </c>
      <c r="S173">
        <f>_xlfn.XLOOKUP($A173,'EA-Fortescue_SDExport'!$A:$A,'EA-Fortescue_SDExport'!S:S)</f>
        <v>0</v>
      </c>
      <c r="T173">
        <f>_xlfn.XLOOKUP($A173,'EA-Fortescue_SDExport'!$A:$A,'EA-Fortescue_SDExport'!T:T)</f>
        <v>0</v>
      </c>
      <c r="U173">
        <f>_xlfn.XLOOKUP($A173,'EA-Fortescue_SDExport'!$A:$A,'EA-Fortescue_SDExport'!U:U)</f>
        <v>45896.639050925929</v>
      </c>
      <c r="V173">
        <f>_xlfn.XLOOKUP($A173,'EA-Fortescue_SDExport'!$A:$A,'EA-Fortescue_SDExport'!V:V)</f>
        <v>46002.067627314813</v>
      </c>
      <c r="W173">
        <f>_xlfn.XLOOKUP($A173,'EA-Fortescue_SDExport'!$A:$A,'EA-Fortescue_SDExport'!W:W)</f>
        <v>0</v>
      </c>
      <c r="X173">
        <f>_xlfn.XLOOKUP($A173,'EA-Fortescue_SDExport'!$A:$A,'EA-Fortescue_SDExport'!X:X)</f>
        <v>0</v>
      </c>
      <c r="Y173">
        <f>_xlfn.XLOOKUP($A173,'EA-Fortescue_SDExport'!$A:$A,'EA-Fortescue_SDExport'!Y:Y)</f>
        <v>0</v>
      </c>
      <c r="Z173" t="str">
        <f>_xlfn.XLOOKUP($A173,'EA-Fortescue_SDExport'!$A:$A,'EA-Fortescue_SDExport'!Z:Z)</f>
        <v>SysML1.4::InterfaceBlock</v>
      </c>
      <c r="AA173" t="str">
        <f>_xlfn.XLOOKUP($A173,InterfaceRegister!$A:$A,InterfaceRegister!B:B)</f>
        <v>855DC-1542-CSM Charge Station Management System (CSMS)|Non-Process Infrastructure (NPI) Maintenance Controller</v>
      </c>
      <c r="AB173" t="str">
        <f>_xlfn.XLOOKUP($A173,InterfaceRegister!$A:$A,InterfaceRegister!C:C)</f>
        <v>Sam Hedgcock</v>
      </c>
      <c r="AC173" t="str">
        <f>_xlfn.XLOOKUP($A173,InterfaceRegister!$A:$A,InterfaceRegister!D:D)</f>
        <v>Sam Ward</v>
      </c>
      <c r="AD173" t="str">
        <f>_xlfn.XLOOKUP($A173,InterfaceRegister!$A:$A,InterfaceRegister!E:E)</f>
        <v>Stakeholder - Project Interface</v>
      </c>
      <c r="AE173" t="str">
        <f>_xlfn.XLOOKUP($A173,InterfaceRegister!$A:$A,InterfaceRegister!F:F)</f>
        <v/>
      </c>
      <c r="AF173" t="str">
        <f>_xlfn.XLOOKUP($A173,InterfaceRegister!$A:$A,InterfaceRegister!L:L)</f>
        <v/>
      </c>
      <c r="AG173" t="str">
        <f>_xlfn.XLOOKUP($A173,InterfaceRegister!$A:$A,InterfaceRegister!M:M)</f>
        <v>N/A</v>
      </c>
      <c r="AH173" t="str">
        <f>_xlfn.XLOOKUP($A173,InterfaceRegister!$A:$A,InterfaceRegister!O:O)</f>
        <v/>
      </c>
      <c r="AI173" t="str">
        <f>_xlfn.XLOOKUP($A173,InterfaceRegister!$A:$A,InterfaceRegister!N:N)</f>
        <v/>
      </c>
      <c r="AJ173" t="str">
        <f>_xlfn.XLOOKUP($A173,'EA-Fortescue_SDExport'!$A:$A,'EA-Fortescue_SDExport'!AX:AX)</f>
        <v>CSV4260B620</v>
      </c>
      <c r="AK173">
        <f>_xlfn.XLOOKUP($A173,'EA-Fortescue_SDExport'!$A:$A,'EA-Fortescue_SDExport'!AY:AY)</f>
        <v>0</v>
      </c>
    </row>
    <row r="174" spans="1:37" x14ac:dyDescent="0.25">
      <c r="A174" t="str">
        <v>DGS-I_0173</v>
      </c>
      <c r="B174" t="str">
        <f>_xlfn.XLOOKUP($A174,'EA-Fortescue_SDExport'!$A:$A,'EA-Fortescue_SDExport'!B:B)</f>
        <v>Class</v>
      </c>
      <c r="C174" t="str">
        <f>_xlfn.XLOOKUP($A174,'EA-Fortescue_SDExport'!$A:$A,'EA-Fortescue_SDExport'!C:C)</f>
        <v>{001A4CFD-ED1A-493e-AEFE-023720F22350}</v>
      </c>
      <c r="D174" t="str">
        <f>_xlfn.LET(_xlpm.result, _xlfn.XLOOKUP($A174, InterfaceRegister!$A:$A, InterfaceRegister!P:P), IF(_xlpm.result=0, "", _xlpm.result))</f>
        <v>NH 25/02/2026: Fields updated:Interface Type, Interface Criticality, Interface Criticality Explanation, Interface Flow</v>
      </c>
      <c r="E174">
        <f>_xlfn.XLOOKUP($A174,'EA-Fortescue_SDExport'!$A:$A,'EA-Fortescue_SDExport'!E:E)</f>
        <v>1</v>
      </c>
      <c r="F174">
        <f>_xlfn.XLOOKUP($A174,'EA-Fortescue_SDExport'!$A:$A,'EA-Fortescue_SDExport'!F:F)</f>
        <v>1</v>
      </c>
      <c r="G174">
        <f>_xlfn.XLOOKUP($A174,'EA-Fortescue_SDExport'!$A:$A,'EA-Fortescue_SDExport'!G:G)</f>
        <v>0</v>
      </c>
      <c r="H174" t="str">
        <f>_xlfn.XLOOKUP($A174,'EA-Fortescue_SDExport'!$A:$A,'EA-Fortescue_SDExport'!H:H)</f>
        <v>InterfaceBlock</v>
      </c>
      <c r="I174" t="str">
        <f>_xlfn.XLOOKUP($A174,'EA-Fortescue_SDExport'!$A:$A,'EA-Fortescue_SDExport'!I:I)</f>
        <v>SysML1.4::InterfaceBlock</v>
      </c>
      <c r="J174" t="str">
        <f>_xlfn.XLOOKUP($A174,'EA-Fortescue_SDExport'!$A:$A,'EA-Fortescue_SDExport'!J:J)</f>
        <v>Java</v>
      </c>
      <c r="K174" t="str">
        <f>_xlfn.XLOOKUP($A174,'EA-Fortescue_SDExport'!$A:$A,'EA-Fortescue_SDExport'!K:K)</f>
        <v>Admin</v>
      </c>
      <c r="L174" t="str">
        <f>_xlfn.XLOOKUP($A174,'EA-Fortescue_SDExport'!$A:$A,'EA-Fortescue_SDExport'!L:L)</f>
        <v>Public</v>
      </c>
      <c r="M174">
        <f>_xlfn.XLOOKUP($A174,'EA-Fortescue_SDExport'!$A:$A,'EA-Fortescue_SDExport'!M:M)</f>
        <v>0</v>
      </c>
      <c r="N174" t="str">
        <f>_xlfn.XLOOKUP($A174,InterfaceRegister!$A:$A,InterfaceRegister!K:K)</f>
        <v>Proposed</v>
      </c>
      <c r="O174">
        <f>_xlfn.XLOOKUP($A174,'EA-Fortescue_SDExport'!$A:$A,'EA-Fortescue_SDExport'!O:O)</f>
        <v>1</v>
      </c>
      <c r="P174">
        <f>_xlfn.XLOOKUP($A174,'EA-Fortescue_SDExport'!$A:$A,'EA-Fortescue_SDExport'!P:P)</f>
        <v>0</v>
      </c>
      <c r="Q174">
        <f>_xlfn.XLOOKUP($A174,'EA-Fortescue_SDExport'!$A:$A,'EA-Fortescue_SDExport'!Q:Q)</f>
        <v>0</v>
      </c>
      <c r="R174">
        <f>_xlfn.XLOOKUP($A174,'EA-Fortescue_SDExport'!$A:$A,'EA-Fortescue_SDExport'!R:R)</f>
        <v>0</v>
      </c>
      <c r="S174">
        <f>_xlfn.XLOOKUP($A174,'EA-Fortescue_SDExport'!$A:$A,'EA-Fortescue_SDExport'!S:S)</f>
        <v>0</v>
      </c>
      <c r="T174">
        <f>_xlfn.XLOOKUP($A174,'EA-Fortescue_SDExport'!$A:$A,'EA-Fortescue_SDExport'!T:T)</f>
        <v>0</v>
      </c>
      <c r="U174">
        <f>_xlfn.XLOOKUP($A174,'EA-Fortescue_SDExport'!$A:$A,'EA-Fortescue_SDExport'!U:U)</f>
        <v>45895.847974537035</v>
      </c>
      <c r="V174">
        <f>_xlfn.XLOOKUP($A174,'EA-Fortescue_SDExport'!$A:$A,'EA-Fortescue_SDExport'!V:V)</f>
        <v>46077.99322916667</v>
      </c>
      <c r="W174">
        <f>_xlfn.XLOOKUP($A174,'EA-Fortescue_SDExport'!$A:$A,'EA-Fortescue_SDExport'!W:W)</f>
        <v>0</v>
      </c>
      <c r="X174">
        <f>_xlfn.XLOOKUP($A174,'EA-Fortescue_SDExport'!$A:$A,'EA-Fortescue_SDExport'!X:X)</f>
        <v>0</v>
      </c>
      <c r="Y174">
        <f>_xlfn.XLOOKUP($A174,'EA-Fortescue_SDExport'!$A:$A,'EA-Fortescue_SDExport'!Y:Y)</f>
        <v>0</v>
      </c>
      <c r="Z174" t="str">
        <f>_xlfn.XLOOKUP($A174,'EA-Fortescue_SDExport'!$A:$A,'EA-Fortescue_SDExport'!Z:Z)</f>
        <v>SysML1.4::InterfaceBlock</v>
      </c>
      <c r="AA174" t="str">
        <f>_xlfn.XLOOKUP($A174,InterfaceRegister!$A:$A,InterfaceRegister!B:B)</f>
        <v>855DC-1541-ECL-003 Plexos|855DC-1544-021 GAF24</v>
      </c>
      <c r="AB174" t="str">
        <f>_xlfn.XLOOKUP($A174,InterfaceRegister!$A:$A,InterfaceRegister!C:C)</f>
        <v/>
      </c>
      <c r="AC174" t="str">
        <f>_xlfn.XLOOKUP($A174,InterfaceRegister!$A:$A,InterfaceRegister!D:D)</f>
        <v/>
      </c>
      <c r="AD174" t="str">
        <f>_xlfn.XLOOKUP($A174,InterfaceRegister!$A:$A,InterfaceRegister!E:E)</f>
        <v>Project - Subsystem Interface</v>
      </c>
      <c r="AE174" t="str">
        <f>_xlfn.XLOOKUP($A174,InterfaceRegister!$A:$A,InterfaceRegister!F:F)</f>
        <v>Technical-Data/Software</v>
      </c>
      <c r="AF174" t="str">
        <f>_xlfn.XLOOKUP($A174,InterfaceRegister!$A:$A,InterfaceRegister!L:L)</f>
        <v>The purpose of this interface is to provide the Security-Constrained Unit Commitment (SCUC) process and short-term planning with generator availability data for the next 24 hours, which is efficiently pulled from the Snowflake data platform.</v>
      </c>
      <c r="AG174" t="str">
        <f>_xlfn.XLOOKUP($A174,InterfaceRegister!$A:$A,InterfaceRegister!M:M)</f>
        <v>MEDIUM</v>
      </c>
      <c r="AH174" t="str">
        <f>_xlfn.XLOOKUP($A174,InterfaceRegister!$A:$A,InterfaceRegister!O:O)</f>
        <v>Plexos -&gt; GAF24</v>
      </c>
      <c r="AI174" t="str">
        <f>_xlfn.XLOOKUP($A174,InterfaceRegister!$A:$A,InterfaceRegister!N:N)</f>
        <v>The criticality is MEDIUM because, although the interface failure does not prevent system operation, it reduces the effectiveness of short-term planning and the SCUC process by limiting access to generator availability data. This can cause moderate deviations from optimal dispatch and planning outcomes, impacting overall operational efficiency. The effect is system-wide and sustained, rather than minor and quickly recoverable, supporting a MEDIUM classification rather than LOW.</v>
      </c>
      <c r="AJ174" t="str">
        <f>_xlfn.XLOOKUP($A174,'EA-Fortescue_SDExport'!$A:$A,'EA-Fortescue_SDExport'!AX:AX)</f>
        <v>CSVB41FFFB2</v>
      </c>
      <c r="AK174">
        <f>_xlfn.XLOOKUP($A174,'EA-Fortescue_SDExport'!$A:$A,'EA-Fortescue_SDExport'!AY:AY)</f>
        <v>0</v>
      </c>
    </row>
    <row r="175" spans="1:37" x14ac:dyDescent="0.25">
      <c r="A175" t="str">
        <v>DGS-I_0174</v>
      </c>
      <c r="B175" t="str">
        <f>_xlfn.XLOOKUP($A175,'EA-Fortescue_SDExport'!$A:$A,'EA-Fortescue_SDExport'!B:B)</f>
        <v>Class</v>
      </c>
      <c r="C175" t="str">
        <f>_xlfn.XLOOKUP($A175,'EA-Fortescue_SDExport'!$A:$A,'EA-Fortescue_SDExport'!C:C)</f>
        <v>{2DC0E74E-5CDC-49de-8E87-BCC6A5DB2AE9}</v>
      </c>
      <c r="D175" t="str">
        <f>_xlfn.LET(_xlpm.result, _xlfn.XLOOKUP($A175, InterfaceRegister!$A:$A, InterfaceRegister!P:P), IF(_xlpm.result=0, "", _xlpm.result))</f>
        <v>NH 20/02/2026: Fields updated: Interface Type, Interface Flow.</v>
      </c>
      <c r="E175">
        <f>_xlfn.XLOOKUP($A175,'EA-Fortescue_SDExport'!$A:$A,'EA-Fortescue_SDExport'!E:E)</f>
        <v>1</v>
      </c>
      <c r="F175">
        <f>_xlfn.XLOOKUP($A175,'EA-Fortescue_SDExport'!$A:$A,'EA-Fortescue_SDExport'!F:F)</f>
        <v>1</v>
      </c>
      <c r="G175">
        <f>_xlfn.XLOOKUP($A175,'EA-Fortescue_SDExport'!$A:$A,'EA-Fortescue_SDExport'!G:G)</f>
        <v>0</v>
      </c>
      <c r="H175" t="str">
        <f>_xlfn.XLOOKUP($A175,'EA-Fortescue_SDExport'!$A:$A,'EA-Fortescue_SDExport'!H:H)</f>
        <v>InterfaceBlock</v>
      </c>
      <c r="I175" t="str">
        <f>_xlfn.XLOOKUP($A175,'EA-Fortescue_SDExport'!$A:$A,'EA-Fortescue_SDExport'!I:I)</f>
        <v>SysML1.4::InterfaceBlock</v>
      </c>
      <c r="J175" t="str">
        <f>_xlfn.XLOOKUP($A175,'EA-Fortescue_SDExport'!$A:$A,'EA-Fortescue_SDExport'!J:J)</f>
        <v>Java</v>
      </c>
      <c r="K175" t="str">
        <f>_xlfn.XLOOKUP($A175,'EA-Fortescue_SDExport'!$A:$A,'EA-Fortescue_SDExport'!K:K)</f>
        <v>Admin</v>
      </c>
      <c r="L175" t="str">
        <f>_xlfn.XLOOKUP($A175,'EA-Fortescue_SDExport'!$A:$A,'EA-Fortescue_SDExport'!L:L)</f>
        <v>Public</v>
      </c>
      <c r="M175">
        <f>_xlfn.XLOOKUP($A175,'EA-Fortescue_SDExport'!$A:$A,'EA-Fortescue_SDExport'!M:M)</f>
        <v>0</v>
      </c>
      <c r="N175" t="str">
        <f>_xlfn.XLOOKUP($A175,InterfaceRegister!$A:$A,InterfaceRegister!K:K)</f>
        <v>Proposed</v>
      </c>
      <c r="O175">
        <f>_xlfn.XLOOKUP($A175,'EA-Fortescue_SDExport'!$A:$A,'EA-Fortescue_SDExport'!O:O)</f>
        <v>1</v>
      </c>
      <c r="P175">
        <f>_xlfn.XLOOKUP($A175,'EA-Fortescue_SDExport'!$A:$A,'EA-Fortescue_SDExport'!P:P)</f>
        <v>0</v>
      </c>
      <c r="Q175">
        <f>_xlfn.XLOOKUP($A175,'EA-Fortescue_SDExport'!$A:$A,'EA-Fortescue_SDExport'!Q:Q)</f>
        <v>0</v>
      </c>
      <c r="R175">
        <f>_xlfn.XLOOKUP($A175,'EA-Fortescue_SDExport'!$A:$A,'EA-Fortescue_SDExport'!R:R)</f>
        <v>0</v>
      </c>
      <c r="S175">
        <f>_xlfn.XLOOKUP($A175,'EA-Fortescue_SDExport'!$A:$A,'EA-Fortescue_SDExport'!S:S)</f>
        <v>0</v>
      </c>
      <c r="T175">
        <f>_xlfn.XLOOKUP($A175,'EA-Fortescue_SDExport'!$A:$A,'EA-Fortescue_SDExport'!T:T)</f>
        <v>0</v>
      </c>
      <c r="U175">
        <f>_xlfn.XLOOKUP($A175,'EA-Fortescue_SDExport'!$A:$A,'EA-Fortescue_SDExport'!U:U)</f>
        <v>45896.782696759263</v>
      </c>
      <c r="V175">
        <f>_xlfn.XLOOKUP($A175,'EA-Fortescue_SDExport'!$A:$A,'EA-Fortescue_SDExport'!V:V)</f>
        <v>46077.993217592593</v>
      </c>
      <c r="W175">
        <f>_xlfn.XLOOKUP($A175,'EA-Fortescue_SDExport'!$A:$A,'EA-Fortescue_SDExport'!W:W)</f>
        <v>0</v>
      </c>
      <c r="X175">
        <f>_xlfn.XLOOKUP($A175,'EA-Fortescue_SDExport'!$A:$A,'EA-Fortescue_SDExport'!X:X)</f>
        <v>0</v>
      </c>
      <c r="Y175">
        <f>_xlfn.XLOOKUP($A175,'EA-Fortescue_SDExport'!$A:$A,'EA-Fortescue_SDExport'!Y:Y)</f>
        <v>0</v>
      </c>
      <c r="Z175" t="str">
        <f>_xlfn.XLOOKUP($A175,'EA-Fortescue_SDExport'!$A:$A,'EA-Fortescue_SDExport'!Z:Z)</f>
        <v>SysML1.4::InterfaceBlock</v>
      </c>
      <c r="AA175" t="str">
        <f>_xlfn.XLOOKUP($A175,InterfaceRegister!$A:$A,InterfaceRegister!B:B)</f>
        <v>855DC-1542-CSM-001 vCharM by Vector|855DC-1541-004 ORCA</v>
      </c>
      <c r="AB175" t="str">
        <f>_xlfn.XLOOKUP($A175,InterfaceRegister!$A:$A,InterfaceRegister!C:C)</f>
        <v/>
      </c>
      <c r="AC175" t="str">
        <f>_xlfn.XLOOKUP($A175,InterfaceRegister!$A:$A,InterfaceRegister!D:D)</f>
        <v/>
      </c>
      <c r="AD175" t="str">
        <f>_xlfn.XLOOKUP($A175,InterfaceRegister!$A:$A,InterfaceRegister!E:E)</f>
        <v>Project - Subsystem Interface</v>
      </c>
      <c r="AE175" t="str">
        <f>_xlfn.XLOOKUP($A175,InterfaceRegister!$A:$A,InterfaceRegister!F:F)</f>
        <v>Technical-Data/Software</v>
      </c>
      <c r="AF175" t="str">
        <f>_xlfn.XLOOKUP($A175,InterfaceRegister!$A:$A,InterfaceRegister!L:L)</f>
        <v>The interface provides charger status, availability, and operational details from vCharM within the ORCA mobile app, enabling users to check charger availability in real time.</v>
      </c>
      <c r="AG175" t="str">
        <f>_xlfn.XLOOKUP($A175,InterfaceRegister!$A:$A,InterfaceRegister!M:M)</f>
        <v>LOW</v>
      </c>
      <c r="AH175" t="str">
        <f>_xlfn.XLOOKUP($A175,InterfaceRegister!$A:$A,InterfaceRegister!O:O)</f>
        <v>Data Flow:_x000D_
855DC-1542-CSM Charge Station Management System (CSMS) -&gt; 855DC-1541-004 ORCA (Mobile App), transmitting real-time charger availability, operational status, energisation state, session progress, and alarm/fault indicators to support user visibility.</v>
      </c>
      <c r="AI175" t="str">
        <f>_xlfn.XLOOKUP($A175,InterfaceRegister!$A:$A,InterfaceRegister!N:N)</f>
        <v>The criticality level is LOW because failure at this interface does not impact production or safety. The ORCA app is an informational tool and only affects user convenience, which can be managed via alternative systems.</v>
      </c>
      <c r="AJ175" t="str">
        <f>_xlfn.XLOOKUP($A175,'EA-Fortescue_SDExport'!$A:$A,'EA-Fortescue_SDExport'!AX:AX)</f>
        <v>CSV3A3F2A32</v>
      </c>
      <c r="AK175">
        <f>_xlfn.XLOOKUP($A175,'EA-Fortescue_SDExport'!$A:$A,'EA-Fortescue_SDExport'!AY:AY)</f>
        <v>0</v>
      </c>
    </row>
    <row r="176" spans="1:37" x14ac:dyDescent="0.25">
      <c r="A176" t="str">
        <v>DGS-I_0175</v>
      </c>
      <c r="B176" t="str">
        <f>_xlfn.XLOOKUP($A176,'EA-Fortescue_SDExport'!$A:$A,'EA-Fortescue_SDExport'!B:B)</f>
        <v>Class</v>
      </c>
      <c r="C176" t="str">
        <f>_xlfn.XLOOKUP($A176,'EA-Fortescue_SDExport'!$A:$A,'EA-Fortescue_SDExport'!C:C)</f>
        <v>{1840C480-D8A4-43d7-B5E9-557F493DDC24}</v>
      </c>
      <c r="D176" t="str">
        <f>_xlfn.LET(_xlpm.result, _xlfn.XLOOKUP($A176, InterfaceRegister!$A:$A, InterfaceRegister!P:P), IF(_xlpm.result=0, "", _xlpm.result))</f>
        <v>CSMS Review 30/10/2025: Speak OCPP to a vCharm Edge._x000D_
State, current voltage, car plugged in?_x000D_
Getting back charge auth, charge rate profiles. set charge rate._x000D_
Depending on charger the charger, potentially phoning home to manufacturers cloud._x000D_
NH 20/02/2026: Fields updated: Interface Flow.</v>
      </c>
      <c r="E176">
        <f>_xlfn.XLOOKUP($A176,'EA-Fortescue_SDExport'!$A:$A,'EA-Fortescue_SDExport'!E:E)</f>
        <v>1</v>
      </c>
      <c r="F176">
        <f>_xlfn.XLOOKUP($A176,'EA-Fortescue_SDExport'!$A:$A,'EA-Fortescue_SDExport'!F:F)</f>
        <v>1</v>
      </c>
      <c r="G176">
        <f>_xlfn.XLOOKUP($A176,'EA-Fortescue_SDExport'!$A:$A,'EA-Fortescue_SDExport'!G:G)</f>
        <v>0</v>
      </c>
      <c r="H176" t="str">
        <f>_xlfn.XLOOKUP($A176,'EA-Fortescue_SDExport'!$A:$A,'EA-Fortescue_SDExport'!H:H)</f>
        <v>InterfaceBlock</v>
      </c>
      <c r="I176" t="str">
        <f>_xlfn.XLOOKUP($A176,'EA-Fortescue_SDExport'!$A:$A,'EA-Fortescue_SDExport'!I:I)</f>
        <v>SysML1.4::InterfaceBlock</v>
      </c>
      <c r="J176" t="str">
        <f>_xlfn.XLOOKUP($A176,'EA-Fortescue_SDExport'!$A:$A,'EA-Fortescue_SDExport'!J:J)</f>
        <v>Java</v>
      </c>
      <c r="K176" t="str">
        <f>_xlfn.XLOOKUP($A176,'EA-Fortescue_SDExport'!$A:$A,'EA-Fortescue_SDExport'!K:K)</f>
        <v>Admin</v>
      </c>
      <c r="L176" t="str">
        <f>_xlfn.XLOOKUP($A176,'EA-Fortescue_SDExport'!$A:$A,'EA-Fortescue_SDExport'!L:L)</f>
        <v>Public</v>
      </c>
      <c r="M176">
        <f>_xlfn.XLOOKUP($A176,'EA-Fortescue_SDExport'!$A:$A,'EA-Fortescue_SDExport'!M:M)</f>
        <v>0</v>
      </c>
      <c r="N176" t="str">
        <f>_xlfn.XLOOKUP($A176,InterfaceRegister!$A:$A,InterfaceRegister!K:K)</f>
        <v>Proposed</v>
      </c>
      <c r="O176">
        <f>_xlfn.XLOOKUP($A176,'EA-Fortescue_SDExport'!$A:$A,'EA-Fortescue_SDExport'!O:O)</f>
        <v>1</v>
      </c>
      <c r="P176">
        <f>_xlfn.XLOOKUP($A176,'EA-Fortescue_SDExport'!$A:$A,'EA-Fortescue_SDExport'!P:P)</f>
        <v>0</v>
      </c>
      <c r="Q176">
        <f>_xlfn.XLOOKUP($A176,'EA-Fortescue_SDExport'!$A:$A,'EA-Fortescue_SDExport'!Q:Q)</f>
        <v>0</v>
      </c>
      <c r="R176">
        <f>_xlfn.XLOOKUP($A176,'EA-Fortescue_SDExport'!$A:$A,'EA-Fortescue_SDExport'!R:R)</f>
        <v>0</v>
      </c>
      <c r="S176">
        <f>_xlfn.XLOOKUP($A176,'EA-Fortescue_SDExport'!$A:$A,'EA-Fortescue_SDExport'!S:S)</f>
        <v>0</v>
      </c>
      <c r="T176">
        <f>_xlfn.XLOOKUP($A176,'EA-Fortescue_SDExport'!$A:$A,'EA-Fortescue_SDExport'!T:T)</f>
        <v>0</v>
      </c>
      <c r="U176">
        <f>_xlfn.XLOOKUP($A176,'EA-Fortescue_SDExport'!$A:$A,'EA-Fortescue_SDExport'!U:U)</f>
        <v>45895.895324074074</v>
      </c>
      <c r="V176">
        <f>_xlfn.XLOOKUP($A176,'EA-Fortescue_SDExport'!$A:$A,'EA-Fortescue_SDExport'!V:V)</f>
        <v>46077.993217592593</v>
      </c>
      <c r="W176">
        <f>_xlfn.XLOOKUP($A176,'EA-Fortescue_SDExport'!$A:$A,'EA-Fortescue_SDExport'!W:W)</f>
        <v>0</v>
      </c>
      <c r="X176">
        <f>_xlfn.XLOOKUP($A176,'EA-Fortescue_SDExport'!$A:$A,'EA-Fortescue_SDExport'!X:X)</f>
        <v>0</v>
      </c>
      <c r="Y176">
        <f>_xlfn.XLOOKUP($A176,'EA-Fortescue_SDExport'!$A:$A,'EA-Fortescue_SDExport'!Y:Y)</f>
        <v>0</v>
      </c>
      <c r="Z176" t="str">
        <f>_xlfn.XLOOKUP($A176,'EA-Fortescue_SDExport'!$A:$A,'EA-Fortescue_SDExport'!Z:Z)</f>
        <v>SysML1.4::InterfaceBlock</v>
      </c>
      <c r="AA176" t="str">
        <f>_xlfn.XLOOKUP($A176,InterfaceRegister!$A:$A,InterfaceRegister!B:B)</f>
        <v>855DC-1542-CSM-002 vCharM.Edge|850DC-1512-0001-004 AC1 (Automated Connection) for T264 Charging Loads</v>
      </c>
      <c r="AB176" t="str">
        <f>_xlfn.XLOOKUP($A176,InterfaceRegister!$A:$A,InterfaceRegister!C:C)</f>
        <v/>
      </c>
      <c r="AC176" t="str">
        <f>_xlfn.XLOOKUP($A176,InterfaceRegister!$A:$A,InterfaceRegister!D:D)</f>
        <v/>
      </c>
      <c r="AD176" t="str">
        <f>_xlfn.XLOOKUP($A176,InterfaceRegister!$A:$A,InterfaceRegister!E:E)</f>
        <v>Subsystem - Subsystem Interface</v>
      </c>
      <c r="AE176" t="str">
        <f>_xlfn.XLOOKUP($A176,InterfaceRegister!$A:$A,InterfaceRegister!F:F)</f>
        <v>Technical-Data/Software</v>
      </c>
      <c r="AF176" t="str">
        <f>_xlfn.XLOOKUP($A176,InterfaceRegister!$A:$A,InterfaceRegister!L:L)</f>
        <v>The interface links vCharM.Edge with the AC1 automated connection system, enabling safe and automated plug-in, authorisation, and charging initiation for T264 trucks.</v>
      </c>
      <c r="AG176" t="str">
        <f>_xlfn.XLOOKUP($A176,InterfaceRegister!$A:$A,InterfaceRegister!M:M)</f>
        <v>HIGH</v>
      </c>
      <c r="AH176" t="str">
        <f>_xlfn.XLOOKUP($A176,InterfaceRegister!$A:$A,InterfaceRegister!O:O)</f>
        <v>Data Flow: vCharM.Edge (CSMS) -&gt; AC1 Automated Connection System (authorisation signals, charge enable commands, truck identification, charging parameters, safety interlock status) to initiate and control automated plug-in and charging sequences._x000D_
Data Flow: AC1 -&gt; vCharM.Edge (CSMS) (connection status, latch/plug confirmation, charging state, fault alarms, interlock confirmations) to verify safe engagement and monitor charging progress.</v>
      </c>
      <c r="AI176" t="str">
        <f>_xlfn.XLOOKUP($A176,InterfaceRegister!$A:$A,InterfaceRegister!N:N)</f>
        <v>The criticality level is HIGH because failures can hinder automated charging from starting or cause unsafe electrical behaviour during automated connection events. AC1 systems must receive accurate commands and charger states to manage high-power automated charging safely; loss of the interface may stop automated charging or necessitate unsafe manual workarounds.</v>
      </c>
      <c r="AJ176" t="str">
        <f>_xlfn.XLOOKUP($A176,'EA-Fortescue_SDExport'!$A:$A,'EA-Fortescue_SDExport'!AX:AX)</f>
        <v>CSV61560981</v>
      </c>
      <c r="AK176">
        <f>_xlfn.XLOOKUP($A176,'EA-Fortescue_SDExport'!$A:$A,'EA-Fortescue_SDExport'!AY:AY)</f>
        <v>0</v>
      </c>
    </row>
    <row r="177" spans="1:37" x14ac:dyDescent="0.25">
      <c r="A177" t="str">
        <v>DGS-I_0176</v>
      </c>
      <c r="B177" t="str">
        <f>_xlfn.XLOOKUP($A177,'EA-Fortescue_SDExport'!$A:$A,'EA-Fortescue_SDExport'!B:B)</f>
        <v>Class</v>
      </c>
      <c r="C177" t="str">
        <f>_xlfn.XLOOKUP($A177,'EA-Fortescue_SDExport'!$A:$A,'EA-Fortescue_SDExport'!C:C)</f>
        <v>{4B148634-0D11-4775-B15A-A054D42CF57F}</v>
      </c>
      <c r="D177" t="str">
        <f>_xlfn.LET(_xlpm.result, _xlfn.XLOOKUP($A177, InterfaceRegister!$A:$A, InterfaceRegister!P:P), IF(_xlpm.result=0, "", _xlpm.result))</f>
        <v>CSMS Review 30/10/2025: Standard OCPP Comms between (Open Charge Point Protocol)._x000D_
NH 20/02/2026: Fields updated: Interface Flow.</v>
      </c>
      <c r="E177">
        <f>_xlfn.XLOOKUP($A177,'EA-Fortescue_SDExport'!$A:$A,'EA-Fortescue_SDExport'!E:E)</f>
        <v>1</v>
      </c>
      <c r="F177">
        <f>_xlfn.XLOOKUP($A177,'EA-Fortescue_SDExport'!$A:$A,'EA-Fortescue_SDExport'!F:F)</f>
        <v>1</v>
      </c>
      <c r="G177">
        <f>_xlfn.XLOOKUP($A177,'EA-Fortescue_SDExport'!$A:$A,'EA-Fortescue_SDExport'!G:G)</f>
        <v>0</v>
      </c>
      <c r="H177" t="str">
        <f>_xlfn.XLOOKUP($A177,'EA-Fortescue_SDExport'!$A:$A,'EA-Fortescue_SDExport'!H:H)</f>
        <v>InterfaceBlock</v>
      </c>
      <c r="I177" t="str">
        <f>_xlfn.XLOOKUP($A177,'EA-Fortescue_SDExport'!$A:$A,'EA-Fortescue_SDExport'!I:I)</f>
        <v>SysML1.4::InterfaceBlock</v>
      </c>
      <c r="J177" t="str">
        <f>_xlfn.XLOOKUP($A177,'EA-Fortescue_SDExport'!$A:$A,'EA-Fortescue_SDExport'!J:J)</f>
        <v>Java</v>
      </c>
      <c r="K177" t="str">
        <f>_xlfn.XLOOKUP($A177,'EA-Fortescue_SDExport'!$A:$A,'EA-Fortescue_SDExport'!K:K)</f>
        <v>Admin</v>
      </c>
      <c r="L177" t="str">
        <f>_xlfn.XLOOKUP($A177,'EA-Fortescue_SDExport'!$A:$A,'EA-Fortescue_SDExport'!L:L)</f>
        <v>Public</v>
      </c>
      <c r="M177">
        <f>_xlfn.XLOOKUP($A177,'EA-Fortescue_SDExport'!$A:$A,'EA-Fortescue_SDExport'!M:M)</f>
        <v>0</v>
      </c>
      <c r="N177" t="str">
        <f>_xlfn.XLOOKUP($A177,InterfaceRegister!$A:$A,InterfaceRegister!K:K)</f>
        <v>Proposed</v>
      </c>
      <c r="O177">
        <f>_xlfn.XLOOKUP($A177,'EA-Fortescue_SDExport'!$A:$A,'EA-Fortescue_SDExport'!O:O)</f>
        <v>1</v>
      </c>
      <c r="P177">
        <f>_xlfn.XLOOKUP($A177,'EA-Fortescue_SDExport'!$A:$A,'EA-Fortescue_SDExport'!P:P)</f>
        <v>0</v>
      </c>
      <c r="Q177">
        <f>_xlfn.XLOOKUP($A177,'EA-Fortescue_SDExport'!$A:$A,'EA-Fortescue_SDExport'!Q:Q)</f>
        <v>0</v>
      </c>
      <c r="R177">
        <f>_xlfn.XLOOKUP($A177,'EA-Fortescue_SDExport'!$A:$A,'EA-Fortescue_SDExport'!R:R)</f>
        <v>0</v>
      </c>
      <c r="S177">
        <f>_xlfn.XLOOKUP($A177,'EA-Fortescue_SDExport'!$A:$A,'EA-Fortescue_SDExport'!S:S)</f>
        <v>0</v>
      </c>
      <c r="T177">
        <f>_xlfn.XLOOKUP($A177,'EA-Fortescue_SDExport'!$A:$A,'EA-Fortescue_SDExport'!T:T)</f>
        <v>0</v>
      </c>
      <c r="U177">
        <f>_xlfn.XLOOKUP($A177,'EA-Fortescue_SDExport'!$A:$A,'EA-Fortescue_SDExport'!U:U)</f>
        <v>45895.832488425927</v>
      </c>
      <c r="V177">
        <f>_xlfn.XLOOKUP($A177,'EA-Fortescue_SDExport'!$A:$A,'EA-Fortescue_SDExport'!V:V)</f>
        <v>46077.99322916667</v>
      </c>
      <c r="W177">
        <f>_xlfn.XLOOKUP($A177,'EA-Fortescue_SDExport'!$A:$A,'EA-Fortescue_SDExport'!W:W)</f>
        <v>0</v>
      </c>
      <c r="X177">
        <f>_xlfn.XLOOKUP($A177,'EA-Fortescue_SDExport'!$A:$A,'EA-Fortescue_SDExport'!X:X)</f>
        <v>0</v>
      </c>
      <c r="Y177">
        <f>_xlfn.XLOOKUP($A177,'EA-Fortescue_SDExport'!$A:$A,'EA-Fortescue_SDExport'!Y:Y)</f>
        <v>0</v>
      </c>
      <c r="Z177" t="str">
        <f>_xlfn.XLOOKUP($A177,'EA-Fortescue_SDExport'!$A:$A,'EA-Fortescue_SDExport'!Z:Z)</f>
        <v>SysML1.4::InterfaceBlock</v>
      </c>
      <c r="AA177" t="str">
        <f>_xlfn.XLOOKUP($A177,InterfaceRegister!$A:$A,InterfaceRegister!B:B)</f>
        <v>855DC-1542-CSM-001 vCharM by Vector|850DC-1512-0001-004 AC1 (Automated Connection) for T264 Charging Loads</v>
      </c>
      <c r="AB177" t="str">
        <f>_xlfn.XLOOKUP($A177,InterfaceRegister!$A:$A,InterfaceRegister!C:C)</f>
        <v/>
      </c>
      <c r="AC177" t="str">
        <f>_xlfn.XLOOKUP($A177,InterfaceRegister!$A:$A,InterfaceRegister!D:D)</f>
        <v/>
      </c>
      <c r="AD177" t="str">
        <f>_xlfn.XLOOKUP($A177,InterfaceRegister!$A:$A,InterfaceRegister!E:E)</f>
        <v>Subsystem - Subsystem Interface</v>
      </c>
      <c r="AE177" t="str">
        <f>_xlfn.XLOOKUP($A177,InterfaceRegister!$A:$A,InterfaceRegister!F:F)</f>
        <v>Technical-Data/Software</v>
      </c>
      <c r="AF177" t="str">
        <f>_xlfn.XLOOKUP($A177,InterfaceRegister!$A:$A,InterfaceRegister!L:L)</f>
        <v>This interface allows the main vCharM system to coordinate charger readiness and authorisation signals with the AC1 automated charging units.</v>
      </c>
      <c r="AG177" t="str">
        <f>_xlfn.XLOOKUP($A177,InterfaceRegister!$A:$A,InterfaceRegister!M:M)</f>
        <v>HIGH</v>
      </c>
      <c r="AH177" t="str">
        <f>_xlfn.XLOOKUP($A177,InterfaceRegister!$A:$A,InterfaceRegister!O:O)</f>
        <v>Data Flow: vCharM (CSMS Core) -&gt; AC1 Automated Charging Units (charger readiness, authorisation signals, charge enable commands, scheduling priorities, safety interlock validation, energisation permissions) to coordinate automated charging initiation._x000D_
Data Flow: AC1 -&gt; vCharM (CSMS Core) (dock/connection confirmation, charging state, energisation status, fault alarms, interlock feedback, emergency stop status) to confirm safe and synchronised operation.</v>
      </c>
      <c r="AI177" t="str">
        <f>_xlfn.XLOOKUP($A177,InterfaceRegister!$A:$A,InterfaceRegister!N:N)</f>
        <v>The criticality level is HIGH because automated charging of large haul trucks requires precise coordination between control logic and automated hardware. Incorrect or missing data might cause automated systems to fail docking, fail energising, or create unsafe states, which could directly affect production-critical trucks.</v>
      </c>
      <c r="AJ177" t="str">
        <f>_xlfn.XLOOKUP($A177,'EA-Fortescue_SDExport'!$A:$A,'EA-Fortescue_SDExport'!AX:AX)</f>
        <v>CSVF6328ACE</v>
      </c>
      <c r="AK177">
        <f>_xlfn.XLOOKUP($A177,'EA-Fortescue_SDExport'!$A:$A,'EA-Fortescue_SDExport'!AY:AY)</f>
        <v>0</v>
      </c>
    </row>
    <row r="178" spans="1:37" x14ac:dyDescent="0.25">
      <c r="A178" t="str">
        <v>DGS-I_0177</v>
      </c>
      <c r="B178" t="str">
        <f>_xlfn.XLOOKUP($A178,'EA-Fortescue_SDExport'!$A:$A,'EA-Fortescue_SDExport'!B:B)</f>
        <v>Class</v>
      </c>
      <c r="C178" t="str">
        <f>_xlfn.XLOOKUP($A178,'EA-Fortescue_SDExport'!$A:$A,'EA-Fortescue_SDExport'!C:C)</f>
        <v>{DAB1A2AA-472A-4991-9C71-ACBC1E44DECF}</v>
      </c>
      <c r="D178" t="str">
        <f>_xlfn.LET(_xlpm.result, _xlfn.XLOOKUP($A178, InterfaceRegister!$A:$A, InterfaceRegister!P:P), IF(_xlpm.result=0, "", _xlpm.result))</f>
        <v/>
      </c>
      <c r="E178">
        <f>_xlfn.XLOOKUP($A178,'EA-Fortescue_SDExport'!$A:$A,'EA-Fortescue_SDExport'!E:E)</f>
        <v>1</v>
      </c>
      <c r="F178">
        <f>_xlfn.XLOOKUP($A178,'EA-Fortescue_SDExport'!$A:$A,'EA-Fortescue_SDExport'!F:F)</f>
        <v>1</v>
      </c>
      <c r="G178">
        <f>_xlfn.XLOOKUP($A178,'EA-Fortescue_SDExport'!$A:$A,'EA-Fortescue_SDExport'!G:G)</f>
        <v>0</v>
      </c>
      <c r="H178" t="str">
        <f>_xlfn.XLOOKUP($A178,'EA-Fortescue_SDExport'!$A:$A,'EA-Fortescue_SDExport'!H:H)</f>
        <v>InterfaceBlock</v>
      </c>
      <c r="I178" t="str">
        <f>_xlfn.XLOOKUP($A178,'EA-Fortescue_SDExport'!$A:$A,'EA-Fortescue_SDExport'!I:I)</f>
        <v>SysML1.4::InterfaceBlock</v>
      </c>
      <c r="J178" t="str">
        <f>_xlfn.XLOOKUP($A178,'EA-Fortescue_SDExport'!$A:$A,'EA-Fortescue_SDExport'!J:J)</f>
        <v>Java</v>
      </c>
      <c r="K178" t="str">
        <f>_xlfn.XLOOKUP($A178,'EA-Fortescue_SDExport'!$A:$A,'EA-Fortescue_SDExport'!K:K)</f>
        <v>Admin</v>
      </c>
      <c r="L178" t="str">
        <f>_xlfn.XLOOKUP($A178,'EA-Fortescue_SDExport'!$A:$A,'EA-Fortescue_SDExport'!L:L)</f>
        <v>Public</v>
      </c>
      <c r="M178">
        <f>_xlfn.XLOOKUP($A178,'EA-Fortescue_SDExport'!$A:$A,'EA-Fortescue_SDExport'!M:M)</f>
        <v>0</v>
      </c>
      <c r="N178" t="str">
        <f>_xlfn.XLOOKUP($A178,InterfaceRegister!$A:$A,InterfaceRegister!K:K)</f>
        <v>Proposed</v>
      </c>
      <c r="O178">
        <f>_xlfn.XLOOKUP($A178,'EA-Fortescue_SDExport'!$A:$A,'EA-Fortescue_SDExport'!O:O)</f>
        <v>1</v>
      </c>
      <c r="P178">
        <f>_xlfn.XLOOKUP($A178,'EA-Fortescue_SDExport'!$A:$A,'EA-Fortescue_SDExport'!P:P)</f>
        <v>0</v>
      </c>
      <c r="Q178">
        <f>_xlfn.XLOOKUP($A178,'EA-Fortescue_SDExport'!$A:$A,'EA-Fortescue_SDExport'!Q:Q)</f>
        <v>0</v>
      </c>
      <c r="R178">
        <f>_xlfn.XLOOKUP($A178,'EA-Fortescue_SDExport'!$A:$A,'EA-Fortescue_SDExport'!R:R)</f>
        <v>0</v>
      </c>
      <c r="S178">
        <f>_xlfn.XLOOKUP($A178,'EA-Fortescue_SDExport'!$A:$A,'EA-Fortescue_SDExport'!S:S)</f>
        <v>0</v>
      </c>
      <c r="T178">
        <f>_xlfn.XLOOKUP($A178,'EA-Fortescue_SDExport'!$A:$A,'EA-Fortescue_SDExport'!T:T)</f>
        <v>0</v>
      </c>
      <c r="U178">
        <f>_xlfn.XLOOKUP($A178,'EA-Fortescue_SDExport'!$A:$A,'EA-Fortescue_SDExport'!U:U)</f>
        <v>45964.807256944441</v>
      </c>
      <c r="V178">
        <f>_xlfn.XLOOKUP($A178,'EA-Fortescue_SDExport'!$A:$A,'EA-Fortescue_SDExport'!V:V)</f>
        <v>46002.06759259259</v>
      </c>
      <c r="W178">
        <f>_xlfn.XLOOKUP($A178,'EA-Fortescue_SDExport'!$A:$A,'EA-Fortescue_SDExport'!W:W)</f>
        <v>0</v>
      </c>
      <c r="X178">
        <f>_xlfn.XLOOKUP($A178,'EA-Fortescue_SDExport'!$A:$A,'EA-Fortescue_SDExport'!X:X)</f>
        <v>0</v>
      </c>
      <c r="Y178">
        <f>_xlfn.XLOOKUP($A178,'EA-Fortescue_SDExport'!$A:$A,'EA-Fortescue_SDExport'!Y:Y)</f>
        <v>0</v>
      </c>
      <c r="Z178" t="str">
        <f>_xlfn.XLOOKUP($A178,'EA-Fortescue_SDExport'!$A:$A,'EA-Fortescue_SDExport'!Z:Z)</f>
        <v>SysML1.4::InterfaceBlock</v>
      </c>
      <c r="AA178" t="str">
        <f>_xlfn.XLOOKUP($A178,InterfaceRegister!$A:$A,InterfaceRegister!B:B)</f>
        <v>859DC-1410-001-004 HaulX Shield (Collision Avoidance System)|852DC Light Mobile Equipment (LME) &amp; Support Mobile Equipment (SME)</v>
      </c>
      <c r="AB178" t="str">
        <f>_xlfn.XLOOKUP($A178,InterfaceRegister!$A:$A,InterfaceRegister!C:C)</f>
        <v/>
      </c>
      <c r="AC178" t="str">
        <f>_xlfn.XLOOKUP($A178,InterfaceRegister!$A:$A,InterfaceRegister!D:D)</f>
        <v/>
      </c>
      <c r="AD178" t="str">
        <f>_xlfn.XLOOKUP($A178,InterfaceRegister!$A:$A,InterfaceRegister!E:E)</f>
        <v>Program - Subsystem Interface</v>
      </c>
      <c r="AE178" t="str">
        <f>_xlfn.XLOOKUP($A178,InterfaceRegister!$A:$A,InterfaceRegister!F:F)</f>
        <v>Technical-Data/Software</v>
      </c>
      <c r="AF178" t="str">
        <f>_xlfn.XLOOKUP($A178,InterfaceRegister!$A:$A,InterfaceRegister!L:L)</f>
        <v>This interface provides HaulX Shield with SME position, proximity, and sensor data to support collision-avoidance logic across mixed traffic.</v>
      </c>
      <c r="AG178" t="str">
        <f>_xlfn.XLOOKUP($A178,InterfaceRegister!$A:$A,InterfaceRegister!M:M)</f>
        <v>HIGH</v>
      </c>
      <c r="AH178" t="str">
        <f>_xlfn.XLOOKUP($A178,InterfaceRegister!$A:$A,InterfaceRegister!O:O)</f>
        <v>Data Flow: SME (Light &amp; Support Mobile Equipment) -&gt; HaulX Shield (real-time position, speed, heading, proximity data, equipment ID, status, sensor health, geofence alerts) to support collision-avoidance logic and mixed-traffic coordination.</v>
      </c>
      <c r="AI178" t="str">
        <f>_xlfn.XLOOKUP($A178,InterfaceRegister!$A:$A,InterfaceRegister!N:N)</f>
        <v>The criticality level is HIGH because incorrect or missing positional data from SMEs may compromise safe autonomous or assisted haulage operations, increasing the risk of vehicle interactions. Collision-avoidance systems depend on reliable position and movement data from all equipment types to ensure safe operation, making this interface safety-critical.</v>
      </c>
      <c r="AJ178" t="str">
        <f>_xlfn.XLOOKUP($A178,'EA-Fortescue_SDExport'!$A:$A,'EA-Fortescue_SDExport'!AX:AX)</f>
        <v>CSV955FA75A</v>
      </c>
      <c r="AK178">
        <f>_xlfn.XLOOKUP($A178,'EA-Fortescue_SDExport'!$A:$A,'EA-Fortescue_SDExport'!AY:AY)</f>
        <v>0</v>
      </c>
    </row>
    <row r="179" spans="1:37" x14ac:dyDescent="0.25">
      <c r="A179" t="str">
        <v>DGS-I_0178</v>
      </c>
      <c r="B179" t="str">
        <f>_xlfn.XLOOKUP($A179,'EA-Fortescue_SDExport'!$A:$A,'EA-Fortescue_SDExport'!B:B)</f>
        <v>Class</v>
      </c>
      <c r="C179" t="str">
        <f>_xlfn.XLOOKUP($A179,'EA-Fortescue_SDExport'!$A:$A,'EA-Fortescue_SDExport'!C:C)</f>
        <v>{5E03B19B-FF4F-4d05-A884-E768B6D97D60}</v>
      </c>
      <c r="D179" t="str">
        <f>_xlfn.LET(_xlpm.result, _xlfn.XLOOKUP($A179, InterfaceRegister!$A:$A, InterfaceRegister!P:P), IF(_xlpm.result=0, "", _xlpm.result))</f>
        <v/>
      </c>
      <c r="E179">
        <f>_xlfn.XLOOKUP($A179,'EA-Fortescue_SDExport'!$A:$A,'EA-Fortescue_SDExport'!E:E)</f>
        <v>1</v>
      </c>
      <c r="F179">
        <f>_xlfn.XLOOKUP($A179,'EA-Fortescue_SDExport'!$A:$A,'EA-Fortescue_SDExport'!F:F)</f>
        <v>1</v>
      </c>
      <c r="G179">
        <f>_xlfn.XLOOKUP($A179,'EA-Fortescue_SDExport'!$A:$A,'EA-Fortescue_SDExport'!G:G)</f>
        <v>0</v>
      </c>
      <c r="H179" t="str">
        <f>_xlfn.XLOOKUP($A179,'EA-Fortescue_SDExport'!$A:$A,'EA-Fortescue_SDExport'!H:H)</f>
        <v>InterfaceBlock</v>
      </c>
      <c r="I179" t="str">
        <f>_xlfn.XLOOKUP($A179,'EA-Fortescue_SDExport'!$A:$A,'EA-Fortescue_SDExport'!I:I)</f>
        <v>SysML1.4::InterfaceBlock</v>
      </c>
      <c r="J179" t="str">
        <f>_xlfn.XLOOKUP($A179,'EA-Fortescue_SDExport'!$A:$A,'EA-Fortescue_SDExport'!J:J)</f>
        <v>Java</v>
      </c>
      <c r="K179" t="str">
        <f>_xlfn.XLOOKUP($A179,'EA-Fortescue_SDExport'!$A:$A,'EA-Fortescue_SDExport'!K:K)</f>
        <v>Admin</v>
      </c>
      <c r="L179" t="str">
        <f>_xlfn.XLOOKUP($A179,'EA-Fortescue_SDExport'!$A:$A,'EA-Fortescue_SDExport'!L:L)</f>
        <v>Public</v>
      </c>
      <c r="M179">
        <f>_xlfn.XLOOKUP($A179,'EA-Fortescue_SDExport'!$A:$A,'EA-Fortescue_SDExport'!M:M)</f>
        <v>0</v>
      </c>
      <c r="N179" t="str">
        <f>_xlfn.XLOOKUP($A179,InterfaceRegister!$A:$A,InterfaceRegister!K:K)</f>
        <v>Proposed</v>
      </c>
      <c r="O179">
        <f>_xlfn.XLOOKUP($A179,'EA-Fortescue_SDExport'!$A:$A,'EA-Fortescue_SDExport'!O:O)</f>
        <v>1</v>
      </c>
      <c r="P179">
        <f>_xlfn.XLOOKUP($A179,'EA-Fortescue_SDExport'!$A:$A,'EA-Fortescue_SDExport'!P:P)</f>
        <v>0</v>
      </c>
      <c r="Q179">
        <f>_xlfn.XLOOKUP($A179,'EA-Fortescue_SDExport'!$A:$A,'EA-Fortescue_SDExport'!Q:Q)</f>
        <v>0</v>
      </c>
      <c r="R179">
        <f>_xlfn.XLOOKUP($A179,'EA-Fortescue_SDExport'!$A:$A,'EA-Fortescue_SDExport'!R:R)</f>
        <v>0</v>
      </c>
      <c r="S179">
        <f>_xlfn.XLOOKUP($A179,'EA-Fortescue_SDExport'!$A:$A,'EA-Fortescue_SDExport'!S:S)</f>
        <v>0</v>
      </c>
      <c r="T179">
        <f>_xlfn.XLOOKUP($A179,'EA-Fortescue_SDExport'!$A:$A,'EA-Fortescue_SDExport'!T:T)</f>
        <v>0</v>
      </c>
      <c r="U179">
        <f>_xlfn.XLOOKUP($A179,'EA-Fortescue_SDExport'!$A:$A,'EA-Fortescue_SDExport'!U:U)</f>
        <v>45964.807442129626</v>
      </c>
      <c r="V179">
        <f>_xlfn.XLOOKUP($A179,'EA-Fortescue_SDExport'!$A:$A,'EA-Fortescue_SDExport'!V:V)</f>
        <v>46002.06759259259</v>
      </c>
      <c r="W179">
        <f>_xlfn.XLOOKUP($A179,'EA-Fortescue_SDExport'!$A:$A,'EA-Fortescue_SDExport'!W:W)</f>
        <v>0</v>
      </c>
      <c r="X179">
        <f>_xlfn.XLOOKUP($A179,'EA-Fortescue_SDExport'!$A:$A,'EA-Fortescue_SDExport'!X:X)</f>
        <v>0</v>
      </c>
      <c r="Y179">
        <f>_xlfn.XLOOKUP($A179,'EA-Fortescue_SDExport'!$A:$A,'EA-Fortescue_SDExport'!Y:Y)</f>
        <v>0</v>
      </c>
      <c r="Z179" t="str">
        <f>_xlfn.XLOOKUP($A179,'EA-Fortescue_SDExport'!$A:$A,'EA-Fortescue_SDExport'!Z:Z)</f>
        <v>SysML1.4::InterfaceBlock</v>
      </c>
      <c r="AA179" t="str">
        <f>_xlfn.XLOOKUP($A179,InterfaceRegister!$A:$A,InterfaceRegister!B:B)</f>
        <v>859DC-1410-001-002 HaulX Control (Autonomous Haulage System)|851DC Heavy Mobile Equipment (HME)</v>
      </c>
      <c r="AB179" t="str">
        <f>_xlfn.XLOOKUP($A179,InterfaceRegister!$A:$A,InterfaceRegister!C:C)</f>
        <v/>
      </c>
      <c r="AC179" t="str">
        <f>_xlfn.XLOOKUP($A179,InterfaceRegister!$A:$A,InterfaceRegister!D:D)</f>
        <v/>
      </c>
      <c r="AD179" t="str">
        <f>_xlfn.XLOOKUP($A179,InterfaceRegister!$A:$A,InterfaceRegister!E:E)</f>
        <v>Program - Subsystem Interface</v>
      </c>
      <c r="AE179" t="str">
        <f>_xlfn.XLOOKUP($A179,InterfaceRegister!$A:$A,InterfaceRegister!F:F)</f>
        <v>Technical-Data/Software</v>
      </c>
      <c r="AF179" t="str">
        <f>_xlfn.XLOOKUP($A179,InterfaceRegister!$A:$A,InterfaceRegister!L:L)</f>
        <v>This interface connects HaulX Control with Heavy Mobile Equipment, enabling autonomous haulage to recognise HME locations, status, and movement patterns when planning and executing safe truck paths.</v>
      </c>
      <c r="AG179" t="str">
        <f>_xlfn.XLOOKUP($A179,InterfaceRegister!$A:$A,InterfaceRegister!M:M)</f>
        <v>HIGH</v>
      </c>
      <c r="AH179" t="str">
        <f>_xlfn.XLOOKUP($A179,InterfaceRegister!$A:$A,InterfaceRegister!O:O)</f>
        <v>Data Flow: Heavy Mobile Equipment (HME) -&gt; HaulX Control (real-time position, speed, heading, trajectory, operational status, payload status, fault alarms, sensor health, geofence status) to support autonomous haulage planning and safe path execution._x000D_
Data Flow: HaulX Control -&gt; HME (route assignments, speed commands, path updates, stop/go commands, hazard alerts, exclusion zone updates) to coordinate safe autonomous movement.</v>
      </c>
      <c r="AI179" t="str">
        <f>_xlfn.XLOOKUP($A179,InterfaceRegister!$A:$A,InterfaceRegister!N:N)</f>
        <v>The criticality level is HIGH because autonomous trucks must reliably detect and account for HME to prevent collisions, unsafe routing, or operational blockages. A failure of this interface undermines the situational awareness necessary for autonomous operations, potentially forcing a shutdown of AHS activity.</v>
      </c>
      <c r="AJ179" t="str">
        <f>_xlfn.XLOOKUP($A179,'EA-Fortescue_SDExport'!$A:$A,'EA-Fortescue_SDExport'!AX:AX)</f>
        <v>CSV3FEFC0DC</v>
      </c>
      <c r="AK179">
        <f>_xlfn.XLOOKUP($A179,'EA-Fortescue_SDExport'!$A:$A,'EA-Fortescue_SDExport'!AY:AY)</f>
        <v>0</v>
      </c>
    </row>
    <row r="180" spans="1:37" x14ac:dyDescent="0.25">
      <c r="A180" t="str">
        <v>DGS-I_0179</v>
      </c>
      <c r="B180" t="str">
        <f>_xlfn.XLOOKUP($A180,'EA-Fortescue_SDExport'!$A:$A,'EA-Fortescue_SDExport'!B:B)</f>
        <v>Class</v>
      </c>
      <c r="C180" t="str">
        <f>_xlfn.XLOOKUP($A180,'EA-Fortescue_SDExport'!$A:$A,'EA-Fortescue_SDExport'!C:C)</f>
        <v>{0B02E987-4D78-41d7-9C75-6311D7D2CE77}</v>
      </c>
      <c r="D180" t="str">
        <f>_xlfn.LET(_xlpm.result, _xlfn.XLOOKUP($A180, InterfaceRegister!$A:$A, InterfaceRegister!P:P), IF(_xlpm.result=0, "", _xlpm.result))</f>
        <v>NH 20/02/2026: Fields updated: Interface Type, Interface Flow.</v>
      </c>
      <c r="E180">
        <f>_xlfn.XLOOKUP($A180,'EA-Fortescue_SDExport'!$A:$A,'EA-Fortescue_SDExport'!E:E)</f>
        <v>1</v>
      </c>
      <c r="F180">
        <f>_xlfn.XLOOKUP($A180,'EA-Fortescue_SDExport'!$A:$A,'EA-Fortescue_SDExport'!F:F)</f>
        <v>1</v>
      </c>
      <c r="G180">
        <f>_xlfn.XLOOKUP($A180,'EA-Fortescue_SDExport'!$A:$A,'EA-Fortescue_SDExport'!G:G)</f>
        <v>0</v>
      </c>
      <c r="H180" t="str">
        <f>_xlfn.XLOOKUP($A180,'EA-Fortescue_SDExport'!$A:$A,'EA-Fortescue_SDExport'!H:H)</f>
        <v>InterfaceBlock</v>
      </c>
      <c r="I180" t="str">
        <f>_xlfn.XLOOKUP($A180,'EA-Fortescue_SDExport'!$A:$A,'EA-Fortescue_SDExport'!I:I)</f>
        <v>SysML1.4::InterfaceBlock</v>
      </c>
      <c r="J180" t="str">
        <f>_xlfn.XLOOKUP($A180,'EA-Fortescue_SDExport'!$A:$A,'EA-Fortescue_SDExport'!J:J)</f>
        <v>Java</v>
      </c>
      <c r="K180" t="str">
        <f>_xlfn.XLOOKUP($A180,'EA-Fortescue_SDExport'!$A:$A,'EA-Fortescue_SDExport'!K:K)</f>
        <v>Admin</v>
      </c>
      <c r="L180" t="str">
        <f>_xlfn.XLOOKUP($A180,'EA-Fortescue_SDExport'!$A:$A,'EA-Fortescue_SDExport'!L:L)</f>
        <v>Public</v>
      </c>
      <c r="M180">
        <f>_xlfn.XLOOKUP($A180,'EA-Fortescue_SDExport'!$A:$A,'EA-Fortescue_SDExport'!M:M)</f>
        <v>0</v>
      </c>
      <c r="N180" t="str">
        <f>_xlfn.XLOOKUP($A180,InterfaceRegister!$A:$A,InterfaceRegister!K:K)</f>
        <v>Proposed</v>
      </c>
      <c r="O180">
        <f>_xlfn.XLOOKUP($A180,'EA-Fortescue_SDExport'!$A:$A,'EA-Fortescue_SDExport'!O:O)</f>
        <v>1</v>
      </c>
      <c r="P180">
        <f>_xlfn.XLOOKUP($A180,'EA-Fortescue_SDExport'!$A:$A,'EA-Fortescue_SDExport'!P:P)</f>
        <v>0</v>
      </c>
      <c r="Q180">
        <f>_xlfn.XLOOKUP($A180,'EA-Fortescue_SDExport'!$A:$A,'EA-Fortescue_SDExport'!Q:Q)</f>
        <v>0</v>
      </c>
      <c r="R180">
        <f>_xlfn.XLOOKUP($A180,'EA-Fortescue_SDExport'!$A:$A,'EA-Fortescue_SDExport'!R:R)</f>
        <v>0</v>
      </c>
      <c r="S180">
        <f>_xlfn.XLOOKUP($A180,'EA-Fortescue_SDExport'!$A:$A,'EA-Fortescue_SDExport'!S:S)</f>
        <v>0</v>
      </c>
      <c r="T180">
        <f>_xlfn.XLOOKUP($A180,'EA-Fortescue_SDExport'!$A:$A,'EA-Fortescue_SDExport'!T:T)</f>
        <v>0</v>
      </c>
      <c r="U180">
        <f>_xlfn.XLOOKUP($A180,'EA-Fortescue_SDExport'!$A:$A,'EA-Fortescue_SDExport'!U:U)</f>
        <v>45964.807523148149</v>
      </c>
      <c r="V180">
        <f>_xlfn.XLOOKUP($A180,'EA-Fortescue_SDExport'!$A:$A,'EA-Fortescue_SDExport'!V:V)</f>
        <v>46077.99322916667</v>
      </c>
      <c r="W180">
        <f>_xlfn.XLOOKUP($A180,'EA-Fortescue_SDExport'!$A:$A,'EA-Fortescue_SDExport'!W:W)</f>
        <v>0</v>
      </c>
      <c r="X180">
        <f>_xlfn.XLOOKUP($A180,'EA-Fortescue_SDExport'!$A:$A,'EA-Fortescue_SDExport'!X:X)</f>
        <v>0</v>
      </c>
      <c r="Y180">
        <f>_xlfn.XLOOKUP($A180,'EA-Fortescue_SDExport'!$A:$A,'EA-Fortescue_SDExport'!Y:Y)</f>
        <v>0</v>
      </c>
      <c r="Z180" t="str">
        <f>_xlfn.XLOOKUP($A180,'EA-Fortescue_SDExport'!$A:$A,'EA-Fortescue_SDExport'!Z:Z)</f>
        <v>SysML1.4::InterfaceBlock</v>
      </c>
      <c r="AA180" t="str">
        <f>_xlfn.XLOOKUP($A180,InterfaceRegister!$A:$A,InterfaceRegister!B:B)</f>
        <v>859DC-1410-001-001 HaulX Dispatch (Fleet Management System (FMS))|851DC Heavy Mobile Equipment (HME)</v>
      </c>
      <c r="AB180" t="str">
        <f>_xlfn.XLOOKUP($A180,InterfaceRegister!$A:$A,InterfaceRegister!C:C)</f>
        <v/>
      </c>
      <c r="AC180" t="str">
        <f>_xlfn.XLOOKUP($A180,InterfaceRegister!$A:$A,InterfaceRegister!D:D)</f>
        <v/>
      </c>
      <c r="AD180" t="str">
        <f>_xlfn.XLOOKUP($A180,InterfaceRegister!$A:$A,InterfaceRegister!E:E)</f>
        <v>Program - Subsystem Interface</v>
      </c>
      <c r="AE180" t="str">
        <f>_xlfn.XLOOKUP($A180,InterfaceRegister!$A:$A,InterfaceRegister!F:F)</f>
        <v>Technical-Data/Software</v>
      </c>
      <c r="AF180" t="str">
        <f>_xlfn.XLOOKUP($A180,InterfaceRegister!$A:$A,InterfaceRegister!L:L)</f>
        <v>This interface enables HaulX Dispatch to receive operational status and availability information from HME to ensure truck assignments, slotting, and cycle planning consider real-time loader and dozer readiness.</v>
      </c>
      <c r="AG180" t="str">
        <f>_xlfn.XLOOKUP($A180,InterfaceRegister!$A:$A,InterfaceRegister!M:M)</f>
        <v>MEDIUM</v>
      </c>
      <c r="AH180" t="str">
        <f>_xlfn.XLOOKUP($A180,InterfaceRegister!$A:$A,InterfaceRegister!O:O)</f>
        <v>Data Flow: HME -&gt; HaulX Dispatch (operational status, availability, readiness state, utilisation, location, fault alarms) to support real-time truck assignment, slotting, and cycle planning.</v>
      </c>
      <c r="AI180" t="str">
        <f>_xlfn.XLOOKUP($A180,InterfaceRegister!$A:$A,InterfaceRegister!N:N)</f>
        <v>The criticality level is MEDIUM because, although dispatching can continue without HME data, the quality of assignments decreases, leading to cycle delays and reduced productivity. HME significantly influences haulage throughput, so misalignment may reduce performance, but it does not threaten safety or lead to immediate shutdowns.</v>
      </c>
      <c r="AJ180" t="str">
        <f>_xlfn.XLOOKUP($A180,'EA-Fortescue_SDExport'!$A:$A,'EA-Fortescue_SDExport'!AX:AX)</f>
        <v>CSVF71312F1</v>
      </c>
      <c r="AK180">
        <f>_xlfn.XLOOKUP($A180,'EA-Fortescue_SDExport'!$A:$A,'EA-Fortescue_SDExport'!AY:AY)</f>
        <v>0</v>
      </c>
    </row>
    <row r="181" spans="1:37" x14ac:dyDescent="0.25">
      <c r="A181" t="str">
        <v>DGS-I_0180</v>
      </c>
      <c r="B181" t="str">
        <f>_xlfn.XLOOKUP($A181,'EA-Fortescue_SDExport'!$A:$A,'EA-Fortescue_SDExport'!B:B)</f>
        <v>Class</v>
      </c>
      <c r="C181" t="str">
        <f>_xlfn.XLOOKUP($A181,'EA-Fortescue_SDExport'!$A:$A,'EA-Fortescue_SDExport'!C:C)</f>
        <v>{D916E451-1599-43fd-A5D5-9C5801A0E9BE}</v>
      </c>
      <c r="D181" t="str">
        <f>_xlfn.LET(_xlpm.result, _xlfn.XLOOKUP($A181, InterfaceRegister!$A:$A, InterfaceRegister!P:P), IF(_xlpm.result=0, "", _xlpm.result))</f>
        <v>SBS-WBS Mapping 02/01/2026: Delete LME &amp;amp; Merge LME &amp;amp; SME to combined Program Level - Interface deleted.</v>
      </c>
      <c r="E181">
        <f>_xlfn.XLOOKUP($A181,'EA-Fortescue_SDExport'!$A:$A,'EA-Fortescue_SDExport'!E:E)</f>
        <v>1</v>
      </c>
      <c r="F181">
        <f>_xlfn.XLOOKUP($A181,'EA-Fortescue_SDExport'!$A:$A,'EA-Fortescue_SDExport'!F:F)</f>
        <v>1</v>
      </c>
      <c r="G181">
        <f>_xlfn.XLOOKUP($A181,'EA-Fortescue_SDExport'!$A:$A,'EA-Fortescue_SDExport'!G:G)</f>
        <v>0</v>
      </c>
      <c r="H181" t="str">
        <f>_xlfn.XLOOKUP($A181,'EA-Fortescue_SDExport'!$A:$A,'EA-Fortescue_SDExport'!H:H)</f>
        <v>InterfaceBlock</v>
      </c>
      <c r="I181" t="str">
        <f>_xlfn.XLOOKUP($A181,'EA-Fortescue_SDExport'!$A:$A,'EA-Fortescue_SDExport'!I:I)</f>
        <v>SysML1.4::InterfaceBlock</v>
      </c>
      <c r="J181" t="str">
        <f>_xlfn.XLOOKUP($A181,'EA-Fortescue_SDExport'!$A:$A,'EA-Fortescue_SDExport'!J:J)</f>
        <v>Java</v>
      </c>
      <c r="K181" t="str">
        <f>_xlfn.XLOOKUP($A181,'EA-Fortescue_SDExport'!$A:$A,'EA-Fortescue_SDExport'!K:K)</f>
        <v>Admin</v>
      </c>
      <c r="L181" t="str">
        <f>_xlfn.XLOOKUP($A181,'EA-Fortescue_SDExport'!$A:$A,'EA-Fortescue_SDExport'!L:L)</f>
        <v>Public</v>
      </c>
      <c r="M181">
        <f>_xlfn.XLOOKUP($A181,'EA-Fortescue_SDExport'!$A:$A,'EA-Fortescue_SDExport'!M:M)</f>
        <v>0</v>
      </c>
      <c r="N181" t="str">
        <f>_xlfn.XLOOKUP($A181,InterfaceRegister!$A:$A,InterfaceRegister!K:K)</f>
        <v>Deleted</v>
      </c>
      <c r="O181">
        <f>_xlfn.XLOOKUP($A181,'EA-Fortescue_SDExport'!$A:$A,'EA-Fortescue_SDExport'!O:O)</f>
        <v>1</v>
      </c>
      <c r="P181">
        <f>_xlfn.XLOOKUP($A181,'EA-Fortescue_SDExport'!$A:$A,'EA-Fortescue_SDExport'!P:P)</f>
        <v>0</v>
      </c>
      <c r="Q181">
        <f>_xlfn.XLOOKUP($A181,'EA-Fortescue_SDExport'!$A:$A,'EA-Fortescue_SDExport'!Q:Q)</f>
        <v>0</v>
      </c>
      <c r="R181">
        <f>_xlfn.XLOOKUP($A181,'EA-Fortescue_SDExport'!$A:$A,'EA-Fortescue_SDExport'!R:R)</f>
        <v>0</v>
      </c>
      <c r="S181">
        <f>_xlfn.XLOOKUP($A181,'EA-Fortescue_SDExport'!$A:$A,'EA-Fortescue_SDExport'!S:S)</f>
        <v>0</v>
      </c>
      <c r="T181">
        <f>_xlfn.XLOOKUP($A181,'EA-Fortescue_SDExport'!$A:$A,'EA-Fortescue_SDExport'!T:T)</f>
        <v>0</v>
      </c>
      <c r="U181">
        <f>_xlfn.XLOOKUP($A181,'EA-Fortescue_SDExport'!$A:$A,'EA-Fortescue_SDExport'!U:U)</f>
        <v>45964.80972222222</v>
      </c>
      <c r="V181">
        <f>_xlfn.XLOOKUP($A181,'EA-Fortescue_SDExport'!$A:$A,'EA-Fortescue_SDExport'!V:V)</f>
        <v>46029.966307870367</v>
      </c>
      <c r="W181">
        <f>_xlfn.XLOOKUP($A181,'EA-Fortescue_SDExport'!$A:$A,'EA-Fortescue_SDExport'!W:W)</f>
        <v>0</v>
      </c>
      <c r="X181">
        <f>_xlfn.XLOOKUP($A181,'EA-Fortescue_SDExport'!$A:$A,'EA-Fortescue_SDExport'!X:X)</f>
        <v>0</v>
      </c>
      <c r="Y181">
        <f>_xlfn.XLOOKUP($A181,'EA-Fortescue_SDExport'!$A:$A,'EA-Fortescue_SDExport'!Y:Y)</f>
        <v>0</v>
      </c>
      <c r="Z181" t="str">
        <f>_xlfn.XLOOKUP($A181,'EA-Fortescue_SDExport'!$A:$A,'EA-Fortescue_SDExport'!Z:Z)</f>
        <v>SysML1.4::InterfaceBlock</v>
      </c>
      <c r="AA181" t="str">
        <f>_xlfn.XLOOKUP($A181,InterfaceRegister!$A:$A,InterfaceRegister!B:B)</f>
        <v>Archive - 852DC Light Mobile Equipment (LME)|859DC-1410-001-004 HaulX Shield (Collision Avoidance System)</v>
      </c>
      <c r="AB181" t="str">
        <f>_xlfn.XLOOKUP($A181,InterfaceRegister!$A:$A,InterfaceRegister!C:C)</f>
        <v/>
      </c>
      <c r="AC181" t="str">
        <f>_xlfn.XLOOKUP($A181,InterfaceRegister!$A:$A,InterfaceRegister!D:D)</f>
        <v/>
      </c>
      <c r="AD181" t="str">
        <f>_xlfn.XLOOKUP($A181,InterfaceRegister!$A:$A,InterfaceRegister!E:E)</f>
        <v>Program - Subsystem Interface</v>
      </c>
      <c r="AE181" t="str">
        <f>_xlfn.XLOOKUP($A181,InterfaceRegister!$A:$A,InterfaceRegister!F:F)</f>
        <v>Technical-Data/Software</v>
      </c>
      <c r="AF181" t="str">
        <f>_xlfn.XLOOKUP($A181,InterfaceRegister!$A:$A,InterfaceRegister!L:L)</f>
        <v>This interface supplies HaulX Shield with LME location, direction, and identification data to keep LME visible within the collision-avoidance system.</v>
      </c>
      <c r="AG181" t="str">
        <f>_xlfn.XLOOKUP($A181,InterfaceRegister!$A:$A,InterfaceRegister!M:M)</f>
        <v>HIGH</v>
      </c>
      <c r="AH181" t="str">
        <f>_xlfn.XLOOKUP($A181,InterfaceRegister!$A:$A,InterfaceRegister!O:O)</f>
        <v/>
      </c>
      <c r="AI181" t="str">
        <f>_xlfn.XLOOKUP($A181,InterfaceRegister!$A:$A,InterfaceRegister!N:N)</f>
        <v>The criticality level is HIGH because missing or incorrect LME positional data may cause blind spots in safety coverage for autonomous or assisted haulage operations. LME frequently travel through shared areas with haul trucks, and loss of visibility introduces unacceptable collision risk.</v>
      </c>
      <c r="AJ181" t="str">
        <f>_xlfn.XLOOKUP($A181,'EA-Fortescue_SDExport'!$A:$A,'EA-Fortescue_SDExport'!AX:AX)</f>
        <v>CSV7DD0C1F5</v>
      </c>
      <c r="AK181">
        <f>_xlfn.XLOOKUP($A181,'EA-Fortescue_SDExport'!$A:$A,'EA-Fortescue_SDExport'!AY:AY)</f>
        <v>0</v>
      </c>
    </row>
    <row r="182" spans="1:37" x14ac:dyDescent="0.25">
      <c r="A182" t="str">
        <v>DGS-I_0181</v>
      </c>
      <c r="B182" t="str">
        <f>_xlfn.XLOOKUP($A182,'EA-Fortescue_SDExport'!$A:$A,'EA-Fortescue_SDExport'!B:B)</f>
        <v>Class</v>
      </c>
      <c r="C182" t="str">
        <f>_xlfn.XLOOKUP($A182,'EA-Fortescue_SDExport'!$A:$A,'EA-Fortescue_SDExport'!C:C)</f>
        <v>{B9B237B7-F472-4995-BBF4-50171B1FB510}</v>
      </c>
      <c r="D182" t="str">
        <f>_xlfn.LET(_xlpm.result, _xlfn.XLOOKUP($A182, InterfaceRegister!$A:$A, InterfaceRegister!P:P), IF(_xlpm.result=0, "", _xlpm.result))</f>
        <v/>
      </c>
      <c r="E182">
        <f>_xlfn.XLOOKUP($A182,'EA-Fortescue_SDExport'!$A:$A,'EA-Fortescue_SDExport'!E:E)</f>
        <v>1</v>
      </c>
      <c r="F182">
        <f>_xlfn.XLOOKUP($A182,'EA-Fortescue_SDExport'!$A:$A,'EA-Fortescue_SDExport'!F:F)</f>
        <v>1</v>
      </c>
      <c r="G182">
        <f>_xlfn.XLOOKUP($A182,'EA-Fortescue_SDExport'!$A:$A,'EA-Fortescue_SDExport'!G:G)</f>
        <v>0</v>
      </c>
      <c r="H182" t="str">
        <f>_xlfn.XLOOKUP($A182,'EA-Fortescue_SDExport'!$A:$A,'EA-Fortescue_SDExport'!H:H)</f>
        <v>InterfaceBlock</v>
      </c>
      <c r="I182" t="str">
        <f>_xlfn.XLOOKUP($A182,'EA-Fortescue_SDExport'!$A:$A,'EA-Fortescue_SDExport'!I:I)</f>
        <v>SysML1.4::InterfaceBlock</v>
      </c>
      <c r="J182" t="str">
        <f>_xlfn.XLOOKUP($A182,'EA-Fortescue_SDExport'!$A:$A,'EA-Fortescue_SDExport'!J:J)</f>
        <v>Java</v>
      </c>
      <c r="K182" t="str">
        <f>_xlfn.XLOOKUP($A182,'EA-Fortescue_SDExport'!$A:$A,'EA-Fortescue_SDExport'!K:K)</f>
        <v>Admin</v>
      </c>
      <c r="L182" t="str">
        <f>_xlfn.XLOOKUP($A182,'EA-Fortescue_SDExport'!$A:$A,'EA-Fortescue_SDExport'!L:L)</f>
        <v>Public</v>
      </c>
      <c r="M182">
        <f>_xlfn.XLOOKUP($A182,'EA-Fortescue_SDExport'!$A:$A,'EA-Fortescue_SDExport'!M:M)</f>
        <v>0</v>
      </c>
      <c r="N182" t="str">
        <f>_xlfn.XLOOKUP($A182,InterfaceRegister!$A:$A,InterfaceRegister!K:K)</f>
        <v>Proposed</v>
      </c>
      <c r="O182">
        <f>_xlfn.XLOOKUP($A182,'EA-Fortescue_SDExport'!$A:$A,'EA-Fortescue_SDExport'!O:O)</f>
        <v>1</v>
      </c>
      <c r="P182">
        <f>_xlfn.XLOOKUP($A182,'EA-Fortescue_SDExport'!$A:$A,'EA-Fortescue_SDExport'!P:P)</f>
        <v>0</v>
      </c>
      <c r="Q182">
        <f>_xlfn.XLOOKUP($A182,'EA-Fortescue_SDExport'!$A:$A,'EA-Fortescue_SDExport'!Q:Q)</f>
        <v>0</v>
      </c>
      <c r="R182">
        <f>_xlfn.XLOOKUP($A182,'EA-Fortescue_SDExport'!$A:$A,'EA-Fortescue_SDExport'!R:R)</f>
        <v>0</v>
      </c>
      <c r="S182">
        <f>_xlfn.XLOOKUP($A182,'EA-Fortescue_SDExport'!$A:$A,'EA-Fortescue_SDExport'!S:S)</f>
        <v>0</v>
      </c>
      <c r="T182">
        <f>_xlfn.XLOOKUP($A182,'EA-Fortescue_SDExport'!$A:$A,'EA-Fortescue_SDExport'!T:T)</f>
        <v>0</v>
      </c>
      <c r="U182">
        <f>_xlfn.XLOOKUP($A182,'EA-Fortescue_SDExport'!$A:$A,'EA-Fortescue_SDExport'!U:U)</f>
        <v>45964.809791666667</v>
      </c>
      <c r="V182">
        <f>_xlfn.XLOOKUP($A182,'EA-Fortescue_SDExport'!$A:$A,'EA-Fortescue_SDExport'!V:V)</f>
        <v>46002.06758101852</v>
      </c>
      <c r="W182">
        <f>_xlfn.XLOOKUP($A182,'EA-Fortescue_SDExport'!$A:$A,'EA-Fortescue_SDExport'!W:W)</f>
        <v>0</v>
      </c>
      <c r="X182">
        <f>_xlfn.XLOOKUP($A182,'EA-Fortescue_SDExport'!$A:$A,'EA-Fortescue_SDExport'!X:X)</f>
        <v>0</v>
      </c>
      <c r="Y182">
        <f>_xlfn.XLOOKUP($A182,'EA-Fortescue_SDExport'!$A:$A,'EA-Fortescue_SDExport'!Y:Y)</f>
        <v>0</v>
      </c>
      <c r="Z182" t="str">
        <f>_xlfn.XLOOKUP($A182,'EA-Fortescue_SDExport'!$A:$A,'EA-Fortescue_SDExport'!Z:Z)</f>
        <v>SysML1.4::InterfaceBlock</v>
      </c>
      <c r="AA182" t="str">
        <f>_xlfn.XLOOKUP($A182,InterfaceRegister!$A:$A,InterfaceRegister!B:B)</f>
        <v>859DC-1410-001-004 HaulX Shield (Collision Avoidance System)|851DC Heavy Mobile Equipment (HME)</v>
      </c>
      <c r="AB182" t="str">
        <f>_xlfn.XLOOKUP($A182,InterfaceRegister!$A:$A,InterfaceRegister!C:C)</f>
        <v/>
      </c>
      <c r="AC182" t="str">
        <f>_xlfn.XLOOKUP($A182,InterfaceRegister!$A:$A,InterfaceRegister!D:D)</f>
        <v/>
      </c>
      <c r="AD182" t="str">
        <f>_xlfn.XLOOKUP($A182,InterfaceRegister!$A:$A,InterfaceRegister!E:E)</f>
        <v>Program - Subsystem Interface</v>
      </c>
      <c r="AE182" t="str">
        <f>_xlfn.XLOOKUP($A182,InterfaceRegister!$A:$A,InterfaceRegister!F:F)</f>
        <v>Technical-Data/Software</v>
      </c>
      <c r="AF182" t="str">
        <f>_xlfn.XLOOKUP($A182,InterfaceRegister!$A:$A,InterfaceRegister!L:L)</f>
        <v>This interface connects HaulX Shield with HME, so collision-avoidance logic can incorporate accurate HME positional, velocity, and sensor data.</v>
      </c>
      <c r="AG182" t="str">
        <f>_xlfn.XLOOKUP($A182,InterfaceRegister!$A:$A,InterfaceRegister!M:M)</f>
        <v>HIGH</v>
      </c>
      <c r="AH182" t="str">
        <f>_xlfn.XLOOKUP($A182,InterfaceRegister!$A:$A,InterfaceRegister!O:O)</f>
        <v>Data Flow: Heavy Mobile Equipment (HME) -&gt; HaulX Shield (real-time position, speed, heading, trajectory, proximity sensor data, equipment ID, operational status, sensor health) to support collision-avoidance and mixed-traffic safety logic.</v>
      </c>
      <c r="AI182" t="str">
        <f>_xlfn.XLOOKUP($A182,InterfaceRegister!$A:$A,InterfaceRegister!N:N)</f>
        <v>The criticality level is HIGH because HME regularly interacts with haul trucks during loading, dumping, and maintenance, and failing to detect them accurately could lead to serious safety incidents. Collision-avoidance must integrate both truck and HME movements to ensure safe clearances and prevent vehicle interactions.</v>
      </c>
      <c r="AJ182" t="str">
        <f>_xlfn.XLOOKUP($A182,'EA-Fortescue_SDExport'!$A:$A,'EA-Fortescue_SDExport'!AX:AX)</f>
        <v>CSV258BA6D2</v>
      </c>
      <c r="AK182">
        <f>_xlfn.XLOOKUP($A182,'EA-Fortescue_SDExport'!$A:$A,'EA-Fortescue_SDExport'!AY:AY)</f>
        <v>0</v>
      </c>
    </row>
    <row r="183" spans="1:37" x14ac:dyDescent="0.25">
      <c r="A183" t="str">
        <v>DGS-I_0182</v>
      </c>
      <c r="B183" t="str">
        <f>_xlfn.XLOOKUP($A183,'EA-Fortescue_SDExport'!$A:$A,'EA-Fortescue_SDExport'!B:B)</f>
        <v>Class</v>
      </c>
      <c r="C183" t="str">
        <f>_xlfn.XLOOKUP($A183,'EA-Fortescue_SDExport'!$A:$A,'EA-Fortescue_SDExport'!C:C)</f>
        <v>{128BE391-2750-4e27-950E-28D8B0892566}</v>
      </c>
      <c r="D183" t="str">
        <f>_xlfn.LET(_xlpm.result, _xlfn.XLOOKUP($A183, InterfaceRegister!$A:$A, InterfaceRegister!P:P), IF(_xlpm.result=0, "", _xlpm.result))</f>
        <v/>
      </c>
      <c r="E183">
        <f>_xlfn.XLOOKUP($A183,'EA-Fortescue_SDExport'!$A:$A,'EA-Fortescue_SDExport'!E:E)</f>
        <v>1</v>
      </c>
      <c r="F183">
        <f>_xlfn.XLOOKUP($A183,'EA-Fortescue_SDExport'!$A:$A,'EA-Fortescue_SDExport'!F:F)</f>
        <v>1</v>
      </c>
      <c r="G183">
        <f>_xlfn.XLOOKUP($A183,'EA-Fortescue_SDExport'!$A:$A,'EA-Fortescue_SDExport'!G:G)</f>
        <v>0</v>
      </c>
      <c r="H183" t="str">
        <f>_xlfn.XLOOKUP($A183,'EA-Fortescue_SDExport'!$A:$A,'EA-Fortescue_SDExport'!H:H)</f>
        <v>InterfaceBlock</v>
      </c>
      <c r="I183" t="str">
        <f>_xlfn.XLOOKUP($A183,'EA-Fortescue_SDExport'!$A:$A,'EA-Fortescue_SDExport'!I:I)</f>
        <v>SysML1.4::InterfaceBlock</v>
      </c>
      <c r="J183" t="str">
        <f>_xlfn.XLOOKUP($A183,'EA-Fortescue_SDExport'!$A:$A,'EA-Fortescue_SDExport'!J:J)</f>
        <v>Java</v>
      </c>
      <c r="K183" t="str">
        <f>_xlfn.XLOOKUP($A183,'EA-Fortescue_SDExport'!$A:$A,'EA-Fortescue_SDExport'!K:K)</f>
        <v>Admin</v>
      </c>
      <c r="L183" t="str">
        <f>_xlfn.XLOOKUP($A183,'EA-Fortescue_SDExport'!$A:$A,'EA-Fortescue_SDExport'!L:L)</f>
        <v>Public</v>
      </c>
      <c r="M183">
        <f>_xlfn.XLOOKUP($A183,'EA-Fortescue_SDExport'!$A:$A,'EA-Fortescue_SDExport'!M:M)</f>
        <v>0</v>
      </c>
      <c r="N183" t="str">
        <f>_xlfn.XLOOKUP($A183,InterfaceRegister!$A:$A,InterfaceRegister!K:K)</f>
        <v>Proposed</v>
      </c>
      <c r="O183">
        <f>_xlfn.XLOOKUP($A183,'EA-Fortescue_SDExport'!$A:$A,'EA-Fortescue_SDExport'!O:O)</f>
        <v>1</v>
      </c>
      <c r="P183">
        <f>_xlfn.XLOOKUP($A183,'EA-Fortescue_SDExport'!$A:$A,'EA-Fortescue_SDExport'!P:P)</f>
        <v>0</v>
      </c>
      <c r="Q183">
        <f>_xlfn.XLOOKUP($A183,'EA-Fortescue_SDExport'!$A:$A,'EA-Fortescue_SDExport'!Q:Q)</f>
        <v>0</v>
      </c>
      <c r="R183">
        <f>_xlfn.XLOOKUP($A183,'EA-Fortescue_SDExport'!$A:$A,'EA-Fortescue_SDExport'!R:R)</f>
        <v>0</v>
      </c>
      <c r="S183">
        <f>_xlfn.XLOOKUP($A183,'EA-Fortescue_SDExport'!$A:$A,'EA-Fortescue_SDExport'!S:S)</f>
        <v>0</v>
      </c>
      <c r="T183">
        <f>_xlfn.XLOOKUP($A183,'EA-Fortescue_SDExport'!$A:$A,'EA-Fortescue_SDExport'!T:T)</f>
        <v>0</v>
      </c>
      <c r="U183">
        <f>_xlfn.XLOOKUP($A183,'EA-Fortescue_SDExport'!$A:$A,'EA-Fortescue_SDExport'!U:U)</f>
        <v>45964.809837962966</v>
      </c>
      <c r="V183">
        <f>_xlfn.XLOOKUP($A183,'EA-Fortescue_SDExport'!$A:$A,'EA-Fortescue_SDExport'!V:V)</f>
        <v>46002.067557870374</v>
      </c>
      <c r="W183">
        <f>_xlfn.XLOOKUP($A183,'EA-Fortescue_SDExport'!$A:$A,'EA-Fortescue_SDExport'!W:W)</f>
        <v>0</v>
      </c>
      <c r="X183">
        <f>_xlfn.XLOOKUP($A183,'EA-Fortescue_SDExport'!$A:$A,'EA-Fortescue_SDExport'!X:X)</f>
        <v>0</v>
      </c>
      <c r="Y183">
        <f>_xlfn.XLOOKUP($A183,'EA-Fortescue_SDExport'!$A:$A,'EA-Fortescue_SDExport'!Y:Y)</f>
        <v>0</v>
      </c>
      <c r="Z183" t="str">
        <f>_xlfn.XLOOKUP($A183,'EA-Fortescue_SDExport'!$A:$A,'EA-Fortescue_SDExport'!Z:Z)</f>
        <v>SysML1.4::InterfaceBlock</v>
      </c>
      <c r="AA183" t="str">
        <f>_xlfn.XLOOKUP($A183,InterfaceRegister!$A:$A,InterfaceRegister!B:B)</f>
        <v>859DC-1410-001-003 HaulX Precision (High Precision Machine Guidance)|851DC Heavy Mobile Equipment (HME)</v>
      </c>
      <c r="AB183" t="str">
        <f>_xlfn.XLOOKUP($A183,InterfaceRegister!$A:$A,InterfaceRegister!C:C)</f>
        <v/>
      </c>
      <c r="AC183" t="str">
        <f>_xlfn.XLOOKUP($A183,InterfaceRegister!$A:$A,InterfaceRegister!D:D)</f>
        <v/>
      </c>
      <c r="AD183" t="str">
        <f>_xlfn.XLOOKUP($A183,InterfaceRegister!$A:$A,InterfaceRegister!E:E)</f>
        <v>Program - Subsystem Interface</v>
      </c>
      <c r="AE183" t="str">
        <f>_xlfn.XLOOKUP($A183,InterfaceRegister!$A:$A,InterfaceRegister!F:F)</f>
        <v>Technical-Data/Software</v>
      </c>
      <c r="AF183" t="str">
        <f>_xlfn.XLOOKUP($A183,InterfaceRegister!$A:$A,InterfaceRegister!L:L)</f>
        <v>This interface provides precision-guidance data to HME from HaulX Precision, supporting accurate positioning, dump location targeting, and operational efficiency for HME working alongside haul fleets.</v>
      </c>
      <c r="AG183" t="str">
        <f>_xlfn.XLOOKUP($A183,InterfaceRegister!$A:$A,InterfaceRegister!M:M)</f>
        <v>MEDIUM</v>
      </c>
      <c r="AH183" t="str">
        <f>_xlfn.XLOOKUP($A183,InterfaceRegister!$A:$A,InterfaceRegister!O:O)</f>
        <v>Data Flow: HaulX Precision -&gt; HME (precision guidance coordinates, dump location targets, positioning corrections, task updates, operational guidance data) to support accurate equipment positioning and cycle optimisation.</v>
      </c>
      <c r="AI183" t="str">
        <f>_xlfn.XLOOKUP($A183,InterfaceRegister!$A:$A,InterfaceRegister!N:N)</f>
        <v>The criticality level is MEDIUM because precision guidance enhances performance, but does not prevent HME from functioning safely if the link fails. Without the interface, HME operators may experience reduced accuracy or slower cycle performance, but production and safety remain intact.</v>
      </c>
      <c r="AJ183" t="str">
        <f>_xlfn.XLOOKUP($A183,'EA-Fortescue_SDExport'!$A:$A,'EA-Fortescue_SDExport'!AX:AX)</f>
        <v>CSV7A5B1CE3</v>
      </c>
      <c r="AK183">
        <f>_xlfn.XLOOKUP($A183,'EA-Fortescue_SDExport'!$A:$A,'EA-Fortescue_SDExport'!AY:AY)</f>
        <v>0</v>
      </c>
    </row>
    <row r="184" spans="1:37" x14ac:dyDescent="0.25">
      <c r="A184" t="str">
        <v>DGS-I_0183</v>
      </c>
      <c r="B184" t="str">
        <f>_xlfn.XLOOKUP($A184,'EA-Fortescue_SDExport'!$A:$A,'EA-Fortescue_SDExport'!B:B)</f>
        <v>Class</v>
      </c>
      <c r="C184" t="str">
        <f>_xlfn.XLOOKUP($A184,'EA-Fortescue_SDExport'!$A:$A,'EA-Fortescue_SDExport'!C:C)</f>
        <v>{3C0CB5AC-ABD8-4f12-8894-E2083AEF31E9}</v>
      </c>
      <c r="D184" t="str">
        <f>_xlfn.LET(_xlpm.result, _xlfn.XLOOKUP($A184, InterfaceRegister!$A:$A, InterfaceRegister!P:P), IF(_xlpm.result=0, "", _xlpm.result))</f>
        <v/>
      </c>
      <c r="E184">
        <f>_xlfn.XLOOKUP($A184,'EA-Fortescue_SDExport'!$A:$A,'EA-Fortescue_SDExport'!E:E)</f>
        <v>1</v>
      </c>
      <c r="F184">
        <f>_xlfn.XLOOKUP($A184,'EA-Fortescue_SDExport'!$A:$A,'EA-Fortescue_SDExport'!F:F)</f>
        <v>1</v>
      </c>
      <c r="G184">
        <f>_xlfn.XLOOKUP($A184,'EA-Fortescue_SDExport'!$A:$A,'EA-Fortescue_SDExport'!G:G)</f>
        <v>0</v>
      </c>
      <c r="H184" t="str">
        <f>_xlfn.XLOOKUP($A184,'EA-Fortescue_SDExport'!$A:$A,'EA-Fortescue_SDExport'!H:H)</f>
        <v>InterfaceBlock</v>
      </c>
      <c r="I184" t="str">
        <f>_xlfn.XLOOKUP($A184,'EA-Fortescue_SDExport'!$A:$A,'EA-Fortescue_SDExport'!I:I)</f>
        <v>SysML1.4::InterfaceBlock</v>
      </c>
      <c r="J184" t="str">
        <f>_xlfn.XLOOKUP($A184,'EA-Fortescue_SDExport'!$A:$A,'EA-Fortescue_SDExport'!J:J)</f>
        <v>Java</v>
      </c>
      <c r="K184" t="str">
        <f>_xlfn.XLOOKUP($A184,'EA-Fortescue_SDExport'!$A:$A,'EA-Fortescue_SDExport'!K:K)</f>
        <v>Admin</v>
      </c>
      <c r="L184" t="str">
        <f>_xlfn.XLOOKUP($A184,'EA-Fortescue_SDExport'!$A:$A,'EA-Fortescue_SDExport'!L:L)</f>
        <v>Public</v>
      </c>
      <c r="M184">
        <f>_xlfn.XLOOKUP($A184,'EA-Fortescue_SDExport'!$A:$A,'EA-Fortescue_SDExport'!M:M)</f>
        <v>0</v>
      </c>
      <c r="N184" t="str">
        <f>_xlfn.XLOOKUP($A184,InterfaceRegister!$A:$A,InterfaceRegister!K:K)</f>
        <v>Proposed</v>
      </c>
      <c r="O184">
        <f>_xlfn.XLOOKUP($A184,'EA-Fortescue_SDExport'!$A:$A,'EA-Fortescue_SDExport'!O:O)</f>
        <v>1</v>
      </c>
      <c r="P184">
        <f>_xlfn.XLOOKUP($A184,'EA-Fortescue_SDExport'!$A:$A,'EA-Fortescue_SDExport'!P:P)</f>
        <v>0</v>
      </c>
      <c r="Q184">
        <f>_xlfn.XLOOKUP($A184,'EA-Fortescue_SDExport'!$A:$A,'EA-Fortescue_SDExport'!Q:Q)</f>
        <v>0</v>
      </c>
      <c r="R184">
        <f>_xlfn.XLOOKUP($A184,'EA-Fortescue_SDExport'!$A:$A,'EA-Fortescue_SDExport'!R:R)</f>
        <v>0</v>
      </c>
      <c r="S184">
        <f>_xlfn.XLOOKUP($A184,'EA-Fortescue_SDExport'!$A:$A,'EA-Fortescue_SDExport'!S:S)</f>
        <v>0</v>
      </c>
      <c r="T184">
        <f>_xlfn.XLOOKUP($A184,'EA-Fortescue_SDExport'!$A:$A,'EA-Fortescue_SDExport'!T:T)</f>
        <v>0</v>
      </c>
      <c r="U184">
        <f>_xlfn.XLOOKUP($A184,'EA-Fortescue_SDExport'!$A:$A,'EA-Fortescue_SDExport'!U:U)</f>
        <v>45964.809872685182</v>
      </c>
      <c r="V184">
        <f>_xlfn.XLOOKUP($A184,'EA-Fortescue_SDExport'!$A:$A,'EA-Fortescue_SDExport'!V:V)</f>
        <v>46002.067546296297</v>
      </c>
      <c r="W184">
        <f>_xlfn.XLOOKUP($A184,'EA-Fortescue_SDExport'!$A:$A,'EA-Fortescue_SDExport'!W:W)</f>
        <v>0</v>
      </c>
      <c r="X184">
        <f>_xlfn.XLOOKUP($A184,'EA-Fortescue_SDExport'!$A:$A,'EA-Fortescue_SDExport'!X:X)</f>
        <v>0</v>
      </c>
      <c r="Y184">
        <f>_xlfn.XLOOKUP($A184,'EA-Fortescue_SDExport'!$A:$A,'EA-Fortescue_SDExport'!Y:Y)</f>
        <v>0</v>
      </c>
      <c r="Z184" t="str">
        <f>_xlfn.XLOOKUP($A184,'EA-Fortescue_SDExport'!$A:$A,'EA-Fortescue_SDExport'!Z:Z)</f>
        <v>SysML1.4::InterfaceBlock</v>
      </c>
      <c r="AA184" t="str">
        <f>_xlfn.XLOOKUP($A184,InterfaceRegister!$A:$A,InterfaceRegister!B:B)</f>
        <v>852DC Light Mobile Equipment (LME) &amp; Support Mobile Equipment (SME)|859DC-1410-001-003 HaulX Precision (High Precision Machine Guidance)</v>
      </c>
      <c r="AB184" t="str">
        <f>_xlfn.XLOOKUP($A184,InterfaceRegister!$A:$A,InterfaceRegister!C:C)</f>
        <v/>
      </c>
      <c r="AC184" t="str">
        <f>_xlfn.XLOOKUP($A184,InterfaceRegister!$A:$A,InterfaceRegister!D:D)</f>
        <v/>
      </c>
      <c r="AD184" t="str">
        <f>_xlfn.XLOOKUP($A184,InterfaceRegister!$A:$A,InterfaceRegister!E:E)</f>
        <v>Program - Subsystem Interface</v>
      </c>
      <c r="AE184" t="str">
        <f>_xlfn.XLOOKUP($A184,InterfaceRegister!$A:$A,InterfaceRegister!F:F)</f>
        <v>Technical-Data/Software</v>
      </c>
      <c r="AF184" t="str">
        <f>_xlfn.XLOOKUP($A184,InterfaceRegister!$A:$A,InterfaceRegister!L:L)</f>
        <v>This interface provides Support Mobile Equipment with positional or guidance data from HaulX Precision to enhance accuracy during tasks such as clean-up, auxiliary loading, or support operations.</v>
      </c>
      <c r="AG184" t="str">
        <f>_xlfn.XLOOKUP($A184,InterfaceRegister!$A:$A,InterfaceRegister!M:M)</f>
        <v>LOW</v>
      </c>
      <c r="AH184" t="str">
        <f>_xlfn.XLOOKUP($A184,InterfaceRegister!$A:$A,InterfaceRegister!O:O)</f>
        <v>Data Flow:_x000D_
859DC-1410-001 HaulX -&gt; 852DC Light Mobile Equipment (LME) &amp; Support Mobile Equipment (SME), transmitting positional guidance data, routing cues, proximity awareness information, and operational context to support precision tasks (e.g. clean-up, auxiliary loading, support activities)._x000D_
LME/SME -&gt; HaulX, providing current position (GPS), heading, movement status, and basic operational state to enable guidance calculations and situational awareness.</v>
      </c>
      <c r="AI184" t="str">
        <f>_xlfn.XLOOKUP($A184,InterfaceRegister!$A:$A,InterfaceRegister!N:N)</f>
        <v>The criticality level is LOW because SME can continue performing tasks safely without precision guidance, though with reduced efficiency. While the interface enhances productivity and accuracy, it is not essential for maintaining safe or continuous operations.</v>
      </c>
      <c r="AJ184" t="str">
        <f>_xlfn.XLOOKUP($A184,'EA-Fortescue_SDExport'!$A:$A,'EA-Fortescue_SDExport'!AX:AX)</f>
        <v>CSVC39A52CA</v>
      </c>
      <c r="AK184">
        <f>_xlfn.XLOOKUP($A184,'EA-Fortescue_SDExport'!$A:$A,'EA-Fortescue_SDExport'!AY:AY)</f>
        <v>0</v>
      </c>
    </row>
    <row r="185" spans="1:37" x14ac:dyDescent="0.25">
      <c r="A185" t="str">
        <v>DGS-I_0184</v>
      </c>
      <c r="B185" t="str">
        <f>_xlfn.XLOOKUP($A185,'EA-Fortescue_SDExport'!$A:$A,'EA-Fortescue_SDExport'!B:B)</f>
        <v>Class</v>
      </c>
      <c r="C185" t="str">
        <f>_xlfn.XLOOKUP($A185,'EA-Fortescue_SDExport'!$A:$A,'EA-Fortescue_SDExport'!C:C)</f>
        <v>{675E13F0-F5F6-4bcf-8AA8-AC4741014B43}</v>
      </c>
      <c r="D185" t="str">
        <f>_xlfn.LET(_xlpm.result, _xlfn.XLOOKUP($A185, InterfaceRegister!$A:$A, InterfaceRegister!P:P), IF(_xlpm.result=0, "", _xlpm.result))</f>
        <v>NH 20/02/2026: Fields updated: Interface Type, Interface Flow.</v>
      </c>
      <c r="E185">
        <f>_xlfn.XLOOKUP($A185,'EA-Fortescue_SDExport'!$A:$A,'EA-Fortescue_SDExport'!E:E)</f>
        <v>1</v>
      </c>
      <c r="F185">
        <f>_xlfn.XLOOKUP($A185,'EA-Fortescue_SDExport'!$A:$A,'EA-Fortescue_SDExport'!F:F)</f>
        <v>1</v>
      </c>
      <c r="G185">
        <f>_xlfn.XLOOKUP($A185,'EA-Fortescue_SDExport'!$A:$A,'EA-Fortescue_SDExport'!G:G)</f>
        <v>0</v>
      </c>
      <c r="H185" t="str">
        <f>_xlfn.XLOOKUP($A185,'EA-Fortescue_SDExport'!$A:$A,'EA-Fortescue_SDExport'!H:H)</f>
        <v>InterfaceBlock</v>
      </c>
      <c r="I185" t="str">
        <f>_xlfn.XLOOKUP($A185,'EA-Fortescue_SDExport'!$A:$A,'EA-Fortescue_SDExport'!I:I)</f>
        <v>SysML1.4::InterfaceBlock</v>
      </c>
      <c r="J185" t="str">
        <f>_xlfn.XLOOKUP($A185,'EA-Fortescue_SDExport'!$A:$A,'EA-Fortescue_SDExport'!J:J)</f>
        <v>Java</v>
      </c>
      <c r="K185" t="str">
        <f>_xlfn.XLOOKUP($A185,'EA-Fortescue_SDExport'!$A:$A,'EA-Fortescue_SDExport'!K:K)</f>
        <v>Admin</v>
      </c>
      <c r="L185" t="str">
        <f>_xlfn.XLOOKUP($A185,'EA-Fortescue_SDExport'!$A:$A,'EA-Fortescue_SDExport'!L:L)</f>
        <v>Public</v>
      </c>
      <c r="M185">
        <f>_xlfn.XLOOKUP($A185,'EA-Fortescue_SDExport'!$A:$A,'EA-Fortescue_SDExport'!M:M)</f>
        <v>0</v>
      </c>
      <c r="N185" t="str">
        <f>_xlfn.XLOOKUP($A185,InterfaceRegister!$A:$A,InterfaceRegister!K:K)</f>
        <v>Proposed</v>
      </c>
      <c r="O185">
        <f>_xlfn.XLOOKUP($A185,'EA-Fortescue_SDExport'!$A:$A,'EA-Fortescue_SDExport'!O:O)</f>
        <v>1</v>
      </c>
      <c r="P185">
        <f>_xlfn.XLOOKUP($A185,'EA-Fortescue_SDExport'!$A:$A,'EA-Fortescue_SDExport'!P:P)</f>
        <v>0</v>
      </c>
      <c r="Q185">
        <f>_xlfn.XLOOKUP($A185,'EA-Fortescue_SDExport'!$A:$A,'EA-Fortescue_SDExport'!Q:Q)</f>
        <v>0</v>
      </c>
      <c r="R185">
        <f>_xlfn.XLOOKUP($A185,'EA-Fortescue_SDExport'!$A:$A,'EA-Fortescue_SDExport'!R:R)</f>
        <v>0</v>
      </c>
      <c r="S185">
        <f>_xlfn.XLOOKUP($A185,'EA-Fortescue_SDExport'!$A:$A,'EA-Fortescue_SDExport'!S:S)</f>
        <v>0</v>
      </c>
      <c r="T185">
        <f>_xlfn.XLOOKUP($A185,'EA-Fortescue_SDExport'!$A:$A,'EA-Fortescue_SDExport'!T:T)</f>
        <v>0</v>
      </c>
      <c r="U185">
        <f>_xlfn.XLOOKUP($A185,'EA-Fortescue_SDExport'!$A:$A,'EA-Fortescue_SDExport'!U:U)</f>
        <v>45964.813333333332</v>
      </c>
      <c r="V185">
        <f>_xlfn.XLOOKUP($A185,'EA-Fortescue_SDExport'!$A:$A,'EA-Fortescue_SDExport'!V:V)</f>
        <v>46077.993217592593</v>
      </c>
      <c r="W185">
        <f>_xlfn.XLOOKUP($A185,'EA-Fortescue_SDExport'!$A:$A,'EA-Fortescue_SDExport'!W:W)</f>
        <v>0</v>
      </c>
      <c r="X185">
        <f>_xlfn.XLOOKUP($A185,'EA-Fortescue_SDExport'!$A:$A,'EA-Fortescue_SDExport'!X:X)</f>
        <v>0</v>
      </c>
      <c r="Y185">
        <f>_xlfn.XLOOKUP($A185,'EA-Fortescue_SDExport'!$A:$A,'EA-Fortescue_SDExport'!Y:Y)</f>
        <v>0</v>
      </c>
      <c r="Z185" t="str">
        <f>_xlfn.XLOOKUP($A185,'EA-Fortescue_SDExport'!$A:$A,'EA-Fortescue_SDExport'!Z:Z)</f>
        <v>SysML1.4::InterfaceBlock</v>
      </c>
      <c r="AA185" t="str">
        <f>_xlfn.XLOOKUP($A185,InterfaceRegister!$A:$A,InterfaceRegister!B:B)</f>
        <v>853DC-1561 Drill Rig|859DC-1410-001-003 HaulX Precision (High Precision Machine Guidance)</v>
      </c>
      <c r="AB185" t="str">
        <f>_xlfn.XLOOKUP($A185,InterfaceRegister!$A:$A,InterfaceRegister!C:C)</f>
        <v/>
      </c>
      <c r="AC185" t="str">
        <f>_xlfn.XLOOKUP($A185,InterfaceRegister!$A:$A,InterfaceRegister!D:D)</f>
        <v/>
      </c>
      <c r="AD185" t="str">
        <f>_xlfn.XLOOKUP($A185,InterfaceRegister!$A:$A,InterfaceRegister!E:E)</f>
        <v>System - Subsystem Interface</v>
      </c>
      <c r="AE185" t="str">
        <f>_xlfn.XLOOKUP($A185,InterfaceRegister!$A:$A,InterfaceRegister!F:F)</f>
        <v>Technical-Data/Software</v>
      </c>
      <c r="AF185" t="str">
        <f>_xlfn.XLOOKUP($A185,InterfaceRegister!$A:$A,InterfaceRegister!L:L)</f>
        <v>This interface links the drill rig to HaulX Precision so that high-accuracy positional data, drilling parameters, and machine guidance information can be exchanged.</v>
      </c>
      <c r="AG185" t="str">
        <f>_xlfn.XLOOKUP($A185,InterfaceRegister!$A:$A,InterfaceRegister!M:M)</f>
        <v>MEDIUM</v>
      </c>
      <c r="AH185" t="str">
        <f>_xlfn.XLOOKUP($A185,InterfaceRegister!$A:$A,InterfaceRegister!O:O)</f>
        <v>Data Flow: Drill Rig -&gt; HaulX Precision (high-accuracy positional data, drilling parameters, hole depth/status, machine health, operational status) for precision monitoring and alignment._x000D_
Data Flow: HaulX Precision -&gt; Drill Rig (machine guidance data, drill plan coordinates, pattern updates, positioning corrections, task instructions).</v>
      </c>
      <c r="AI185" t="str">
        <f>_xlfn.XLOOKUP($A185,InterfaceRegister!$A:$A,InterfaceRegister!N:N)</f>
        <v>The criticality level is MEDIUM because failure results in decreased productivity and accuracy, potentially impacting blasting outcomes. The impact is on precision and efficiency, but safety-critical functions remain operational.</v>
      </c>
      <c r="AJ185" t="str">
        <f>_xlfn.XLOOKUP($A185,'EA-Fortescue_SDExport'!$A:$A,'EA-Fortescue_SDExport'!AX:AX)</f>
        <v>CSV2DF6B046</v>
      </c>
      <c r="AK185">
        <f>_xlfn.XLOOKUP($A185,'EA-Fortescue_SDExport'!$A:$A,'EA-Fortescue_SDExport'!AY:AY)</f>
        <v>0</v>
      </c>
    </row>
    <row r="186" spans="1:37" x14ac:dyDescent="0.25">
      <c r="A186" t="str">
        <v>DGS-I_0185</v>
      </c>
      <c r="B186" t="str">
        <f>_xlfn.XLOOKUP($A186,'EA-Fortescue_SDExport'!$A:$A,'EA-Fortescue_SDExport'!B:B)</f>
        <v>Class</v>
      </c>
      <c r="C186" t="str">
        <f>_xlfn.XLOOKUP($A186,'EA-Fortescue_SDExport'!$A:$A,'EA-Fortescue_SDExport'!C:C)</f>
        <v>{F1FC0418-E469-4c77-BDC0-49CF56B2A90C}</v>
      </c>
      <c r="D186" t="str">
        <f>_xlfn.LET(_xlpm.result, _xlfn.XLOOKUP($A186, InterfaceRegister!$A:$A, InterfaceRegister!P:P), IF(_xlpm.result=0, "", _xlpm.result))</f>
        <v>NH 20/02/2026: Fields updated: Interface Type, Interface Flow.</v>
      </c>
      <c r="E186">
        <f>_xlfn.XLOOKUP($A186,'EA-Fortescue_SDExport'!$A:$A,'EA-Fortescue_SDExport'!E:E)</f>
        <v>1</v>
      </c>
      <c r="F186">
        <f>_xlfn.XLOOKUP($A186,'EA-Fortescue_SDExport'!$A:$A,'EA-Fortescue_SDExport'!F:F)</f>
        <v>1</v>
      </c>
      <c r="G186">
        <f>_xlfn.XLOOKUP($A186,'EA-Fortescue_SDExport'!$A:$A,'EA-Fortescue_SDExport'!G:G)</f>
        <v>0</v>
      </c>
      <c r="H186" t="str">
        <f>_xlfn.XLOOKUP($A186,'EA-Fortescue_SDExport'!$A:$A,'EA-Fortescue_SDExport'!H:H)</f>
        <v>InterfaceBlock</v>
      </c>
      <c r="I186" t="str">
        <f>_xlfn.XLOOKUP($A186,'EA-Fortescue_SDExport'!$A:$A,'EA-Fortescue_SDExport'!I:I)</f>
        <v>SysML1.4::InterfaceBlock</v>
      </c>
      <c r="J186" t="str">
        <f>_xlfn.XLOOKUP($A186,'EA-Fortescue_SDExport'!$A:$A,'EA-Fortescue_SDExport'!J:J)</f>
        <v>Java</v>
      </c>
      <c r="K186" t="str">
        <f>_xlfn.XLOOKUP($A186,'EA-Fortescue_SDExport'!$A:$A,'EA-Fortescue_SDExport'!K:K)</f>
        <v>Admin</v>
      </c>
      <c r="L186" t="str">
        <f>_xlfn.XLOOKUP($A186,'EA-Fortescue_SDExport'!$A:$A,'EA-Fortescue_SDExport'!L:L)</f>
        <v>Public</v>
      </c>
      <c r="M186">
        <f>_xlfn.XLOOKUP($A186,'EA-Fortescue_SDExport'!$A:$A,'EA-Fortescue_SDExport'!M:M)</f>
        <v>0</v>
      </c>
      <c r="N186" t="str">
        <f>_xlfn.XLOOKUP($A186,InterfaceRegister!$A:$A,InterfaceRegister!K:K)</f>
        <v>Proposed</v>
      </c>
      <c r="O186">
        <f>_xlfn.XLOOKUP($A186,'EA-Fortescue_SDExport'!$A:$A,'EA-Fortescue_SDExport'!O:O)</f>
        <v>1</v>
      </c>
      <c r="P186">
        <f>_xlfn.XLOOKUP($A186,'EA-Fortescue_SDExport'!$A:$A,'EA-Fortescue_SDExport'!P:P)</f>
        <v>0</v>
      </c>
      <c r="Q186">
        <f>_xlfn.XLOOKUP($A186,'EA-Fortescue_SDExport'!$A:$A,'EA-Fortescue_SDExport'!Q:Q)</f>
        <v>0</v>
      </c>
      <c r="R186">
        <f>_xlfn.XLOOKUP($A186,'EA-Fortescue_SDExport'!$A:$A,'EA-Fortescue_SDExport'!R:R)</f>
        <v>0</v>
      </c>
      <c r="S186">
        <f>_xlfn.XLOOKUP($A186,'EA-Fortescue_SDExport'!$A:$A,'EA-Fortescue_SDExport'!S:S)</f>
        <v>0</v>
      </c>
      <c r="T186">
        <f>_xlfn.XLOOKUP($A186,'EA-Fortescue_SDExport'!$A:$A,'EA-Fortescue_SDExport'!T:T)</f>
        <v>0</v>
      </c>
      <c r="U186">
        <f>_xlfn.XLOOKUP($A186,'EA-Fortescue_SDExport'!$A:$A,'EA-Fortescue_SDExport'!U:U)</f>
        <v>45895.898680555554</v>
      </c>
      <c r="V186">
        <f>_xlfn.XLOOKUP($A186,'EA-Fortescue_SDExport'!$A:$A,'EA-Fortescue_SDExport'!V:V)</f>
        <v>46077.99322916667</v>
      </c>
      <c r="W186">
        <f>_xlfn.XLOOKUP($A186,'EA-Fortescue_SDExport'!$A:$A,'EA-Fortescue_SDExport'!W:W)</f>
        <v>0</v>
      </c>
      <c r="X186">
        <f>_xlfn.XLOOKUP($A186,'EA-Fortescue_SDExport'!$A:$A,'EA-Fortescue_SDExport'!X:X)</f>
        <v>0</v>
      </c>
      <c r="Y186">
        <f>_xlfn.XLOOKUP($A186,'EA-Fortescue_SDExport'!$A:$A,'EA-Fortescue_SDExport'!Y:Y)</f>
        <v>0</v>
      </c>
      <c r="Z186" t="str">
        <f>_xlfn.XLOOKUP($A186,'EA-Fortescue_SDExport'!$A:$A,'EA-Fortescue_SDExport'!Z:Z)</f>
        <v>SysML1.4::InterfaceBlock</v>
      </c>
      <c r="AA186" t="str">
        <f>_xlfn.XLOOKUP($A186,InterfaceRegister!$A:$A,InterfaceRegister!B:B)</f>
        <v>005OP-0000-004-002 Alastri Production Scheduler (APS) / Alastri Tactical Scheduler (ATS)|859DC-1410-001-001 HaulX Dispatch (Fleet Management System (FMS))</v>
      </c>
      <c r="AB186" t="str">
        <f>_xlfn.XLOOKUP($A186,InterfaceRegister!$A:$A,InterfaceRegister!C:C)</f>
        <v/>
      </c>
      <c r="AC186" t="str">
        <f>_xlfn.XLOOKUP($A186,InterfaceRegister!$A:$A,InterfaceRegister!D:D)</f>
        <v/>
      </c>
      <c r="AD186" t="str">
        <f>_xlfn.XLOOKUP($A186,InterfaceRegister!$A:$A,InterfaceRegister!E:E)</f>
        <v>Subsystem - Subsystem Interface</v>
      </c>
      <c r="AE186" t="str">
        <f>_xlfn.XLOOKUP($A186,InterfaceRegister!$A:$A,InterfaceRegister!F:F)</f>
        <v>Technical-Data/Software</v>
      </c>
      <c r="AF186" t="str">
        <f>_xlfn.XLOOKUP($A186,InterfaceRegister!$A:$A,InterfaceRegister!L:L)</f>
        <v>This interface provides HaulX Dispatch with medium-term production schedules and required haulage movements from APS so the FMS can structure assignments that align with production targets.</v>
      </c>
      <c r="AG186" t="str">
        <f>_xlfn.XLOOKUP($A186,InterfaceRegister!$A:$A,InterfaceRegister!M:M)</f>
        <v>MEDIUM</v>
      </c>
      <c r="AH186" t="str">
        <f>_xlfn.XLOOKUP($A186,InterfaceRegister!$A:$A,InterfaceRegister!O:O)</f>
        <v>Data Flow: Alastri (APS) -&gt; HaulX Dispatch (medium-term production schedules, required haulage movements, material targets, sequencing priorities, forecast volumes) to align fleet assignments with production objectives.</v>
      </c>
      <c r="AI186" t="str">
        <f>_xlfn.XLOOKUP($A186,InterfaceRegister!$A:$A,InterfaceRegister!N:N)</f>
        <v>The criticality level is MEDIUM because failure reduces alignment with production goals and risks mis-prioritisation. The outage may hamper efficiency and planning accuracy, but it does not cause an immediate halt to haulage.</v>
      </c>
      <c r="AJ186" t="str">
        <f>_xlfn.XLOOKUP($A186,'EA-Fortescue_SDExport'!$A:$A,'EA-Fortescue_SDExport'!AX:AX)</f>
        <v>CSV35032A7B</v>
      </c>
      <c r="AK186">
        <f>_xlfn.XLOOKUP($A186,'EA-Fortescue_SDExport'!$A:$A,'EA-Fortescue_SDExport'!AY:AY)</f>
        <v>0</v>
      </c>
    </row>
    <row r="187" spans="1:37" x14ac:dyDescent="0.25">
      <c r="A187" t="str">
        <v>DGS-I_0186</v>
      </c>
      <c r="B187" t="str">
        <f>_xlfn.XLOOKUP($A187,'EA-Fortescue_SDExport'!$A:$A,'EA-Fortescue_SDExport'!B:B)</f>
        <v>Class</v>
      </c>
      <c r="C187" t="str">
        <f>_xlfn.XLOOKUP($A187,'EA-Fortescue_SDExport'!$A:$A,'EA-Fortescue_SDExport'!C:C)</f>
        <v>{3B8C5749-D973-4135-9B02-CAFB5B177F1B}</v>
      </c>
      <c r="D187" t="str">
        <f>_xlfn.LET(_xlpm.result, _xlfn.XLOOKUP($A187, InterfaceRegister!$A:$A, InterfaceRegister!P:P), IF(_xlpm.result=0, "", _xlpm.result))</f>
        <v>NH 20/02/2026: Fields updated: Interface Type, Interface Flow.</v>
      </c>
      <c r="E187">
        <f>_xlfn.XLOOKUP($A187,'EA-Fortescue_SDExport'!$A:$A,'EA-Fortescue_SDExport'!E:E)</f>
        <v>1</v>
      </c>
      <c r="F187">
        <f>_xlfn.XLOOKUP($A187,'EA-Fortescue_SDExport'!$A:$A,'EA-Fortescue_SDExport'!F:F)</f>
        <v>1</v>
      </c>
      <c r="G187">
        <f>_xlfn.XLOOKUP($A187,'EA-Fortescue_SDExport'!$A:$A,'EA-Fortescue_SDExport'!G:G)</f>
        <v>0</v>
      </c>
      <c r="H187" t="str">
        <f>_xlfn.XLOOKUP($A187,'EA-Fortescue_SDExport'!$A:$A,'EA-Fortescue_SDExport'!H:H)</f>
        <v>InterfaceBlock</v>
      </c>
      <c r="I187" t="str">
        <f>_xlfn.XLOOKUP($A187,'EA-Fortescue_SDExport'!$A:$A,'EA-Fortescue_SDExport'!I:I)</f>
        <v>SysML1.4::InterfaceBlock</v>
      </c>
      <c r="J187" t="str">
        <f>_xlfn.XLOOKUP($A187,'EA-Fortescue_SDExport'!$A:$A,'EA-Fortescue_SDExport'!J:J)</f>
        <v>Java</v>
      </c>
      <c r="K187" t="str">
        <f>_xlfn.XLOOKUP($A187,'EA-Fortescue_SDExport'!$A:$A,'EA-Fortescue_SDExport'!K:K)</f>
        <v>Admin</v>
      </c>
      <c r="L187" t="str">
        <f>_xlfn.XLOOKUP($A187,'EA-Fortescue_SDExport'!$A:$A,'EA-Fortescue_SDExport'!L:L)</f>
        <v>Public</v>
      </c>
      <c r="M187">
        <f>_xlfn.XLOOKUP($A187,'EA-Fortescue_SDExport'!$A:$A,'EA-Fortescue_SDExport'!M:M)</f>
        <v>0</v>
      </c>
      <c r="N187" t="str">
        <f>_xlfn.XLOOKUP($A187,InterfaceRegister!$A:$A,InterfaceRegister!K:K)</f>
        <v>Proposed</v>
      </c>
      <c r="O187">
        <f>_xlfn.XLOOKUP($A187,'EA-Fortescue_SDExport'!$A:$A,'EA-Fortescue_SDExport'!O:O)</f>
        <v>1</v>
      </c>
      <c r="P187">
        <f>_xlfn.XLOOKUP($A187,'EA-Fortescue_SDExport'!$A:$A,'EA-Fortescue_SDExport'!P:P)</f>
        <v>0</v>
      </c>
      <c r="Q187">
        <f>_xlfn.XLOOKUP($A187,'EA-Fortescue_SDExport'!$A:$A,'EA-Fortescue_SDExport'!Q:Q)</f>
        <v>0</v>
      </c>
      <c r="R187">
        <f>_xlfn.XLOOKUP($A187,'EA-Fortescue_SDExport'!$A:$A,'EA-Fortescue_SDExport'!R:R)</f>
        <v>0</v>
      </c>
      <c r="S187">
        <f>_xlfn.XLOOKUP($A187,'EA-Fortescue_SDExport'!$A:$A,'EA-Fortescue_SDExport'!S:S)</f>
        <v>0</v>
      </c>
      <c r="T187">
        <f>_xlfn.XLOOKUP($A187,'EA-Fortescue_SDExport'!$A:$A,'EA-Fortescue_SDExport'!T:T)</f>
        <v>0</v>
      </c>
      <c r="U187">
        <f>_xlfn.XLOOKUP($A187,'EA-Fortescue_SDExport'!$A:$A,'EA-Fortescue_SDExport'!U:U)</f>
        <v>45918.71806712963</v>
      </c>
      <c r="V187">
        <f>_xlfn.XLOOKUP($A187,'EA-Fortescue_SDExport'!$A:$A,'EA-Fortescue_SDExport'!V:V)</f>
        <v>46077.993217592593</v>
      </c>
      <c r="W187">
        <f>_xlfn.XLOOKUP($A187,'EA-Fortescue_SDExport'!$A:$A,'EA-Fortescue_SDExport'!W:W)</f>
        <v>0</v>
      </c>
      <c r="X187">
        <f>_xlfn.XLOOKUP($A187,'EA-Fortescue_SDExport'!$A:$A,'EA-Fortescue_SDExport'!X:X)</f>
        <v>0</v>
      </c>
      <c r="Y187">
        <f>_xlfn.XLOOKUP($A187,'EA-Fortescue_SDExport'!$A:$A,'EA-Fortescue_SDExport'!Y:Y)</f>
        <v>0</v>
      </c>
      <c r="Z187" t="str">
        <f>_xlfn.XLOOKUP($A187,'EA-Fortescue_SDExport'!$A:$A,'EA-Fortescue_SDExport'!Z:Z)</f>
        <v>SysML1.4::InterfaceBlock</v>
      </c>
      <c r="AA187" t="str">
        <f>_xlfn.XLOOKUP($A187,InterfaceRegister!$A:$A,InterfaceRegister!B:B)</f>
        <v>005OP-0000-004-001 Alastri Haul Infinity|859DC-1410-001-001 HaulX Dispatch (Fleet Management System (FMS))</v>
      </c>
      <c r="AB187" t="str">
        <f>_xlfn.XLOOKUP($A187,InterfaceRegister!$A:$A,InterfaceRegister!C:C)</f>
        <v/>
      </c>
      <c r="AC187" t="str">
        <f>_xlfn.XLOOKUP($A187,InterfaceRegister!$A:$A,InterfaceRegister!D:D)</f>
        <v/>
      </c>
      <c r="AD187" t="str">
        <f>_xlfn.XLOOKUP($A187,InterfaceRegister!$A:$A,InterfaceRegister!E:E)</f>
        <v>Subsystem - Subsystem Interface</v>
      </c>
      <c r="AE187" t="str">
        <f>_xlfn.XLOOKUP($A187,InterfaceRegister!$A:$A,InterfaceRegister!F:F)</f>
        <v>Technical-Data/Software</v>
      </c>
      <c r="AF187" t="str">
        <f>_xlfn.XLOOKUP($A187,InterfaceRegister!$A:$A,InterfaceRegister!L:L)</f>
        <v>This interface allows Haul Infinity to send optimised haulage and cycle-time expectations to HaulX Dispatch so the FMS can assign trucks based on the latest planning simulations.</v>
      </c>
      <c r="AG187" t="str">
        <f>_xlfn.XLOOKUP($A187,InterfaceRegister!$A:$A,InterfaceRegister!M:M)</f>
        <v>MEDIUM</v>
      </c>
      <c r="AH187" t="str">
        <f>_xlfn.XLOOKUP($A187,InterfaceRegister!$A:$A,InterfaceRegister!O:O)</f>
        <v>Data Flow: HaulInfinity (Alastri) -&gt; HaulX Dispatch (optimised haulage plans, cycle-time expectations, truck allocation recommendations, routing guidance, performance forecasts) to enable dispatch decisions based on latest simulation outputs.</v>
      </c>
      <c r="AI187" t="str">
        <f>_xlfn.XLOOKUP($A187,InterfaceRegister!$A:$A,InterfaceRegister!N:N)</f>
        <v>The criticality level is MEDIUM because, although the FMS can still dispatch trucks, the process is not optimised. Failure may reduce efficiency, but it does not stop production continuity.</v>
      </c>
      <c r="AJ187" t="str">
        <f>_xlfn.XLOOKUP($A187,'EA-Fortescue_SDExport'!$A:$A,'EA-Fortescue_SDExport'!AX:AX)</f>
        <v>CSV877ED276</v>
      </c>
      <c r="AK187">
        <f>_xlfn.XLOOKUP($A187,'EA-Fortescue_SDExport'!$A:$A,'EA-Fortescue_SDExport'!AY:AY)</f>
        <v>0</v>
      </c>
    </row>
    <row r="188" spans="1:37" x14ac:dyDescent="0.25">
      <c r="A188" t="str">
        <v>DGS-I_0187</v>
      </c>
      <c r="B188" t="str">
        <f>_xlfn.XLOOKUP($A188,'EA-Fortescue_SDExport'!$A:$A,'EA-Fortescue_SDExport'!B:B)</f>
        <v>Class</v>
      </c>
      <c r="C188" t="str">
        <f>_xlfn.XLOOKUP($A188,'EA-Fortescue_SDExport'!$A:$A,'EA-Fortescue_SDExport'!C:C)</f>
        <v>{6E5A0BCF-C32C-47a6-9649-CB6BD5A59BF6}</v>
      </c>
      <c r="D188" t="str">
        <f>_xlfn.LET(_xlpm.result, _xlfn.XLOOKUP($A188, InterfaceRegister!$A:$A, InterfaceRegister!P:P), IF(_xlpm.result=0, "", _xlpm.result))</f>
        <v>Interface Review 25/11/2025: Delete (more eclipse)</v>
      </c>
      <c r="E188">
        <f>_xlfn.XLOOKUP($A188,'EA-Fortescue_SDExport'!$A:$A,'EA-Fortescue_SDExport'!E:E)</f>
        <v>1</v>
      </c>
      <c r="F188">
        <f>_xlfn.XLOOKUP($A188,'EA-Fortescue_SDExport'!$A:$A,'EA-Fortescue_SDExport'!F:F)</f>
        <v>1</v>
      </c>
      <c r="G188">
        <f>_xlfn.XLOOKUP($A188,'EA-Fortescue_SDExport'!$A:$A,'EA-Fortescue_SDExport'!G:G)</f>
        <v>0</v>
      </c>
      <c r="H188" t="str">
        <f>_xlfn.XLOOKUP($A188,'EA-Fortescue_SDExport'!$A:$A,'EA-Fortescue_SDExport'!H:H)</f>
        <v>InterfaceBlock</v>
      </c>
      <c r="I188" t="str">
        <f>_xlfn.XLOOKUP($A188,'EA-Fortescue_SDExport'!$A:$A,'EA-Fortescue_SDExport'!I:I)</f>
        <v>SysML1.4::InterfaceBlock</v>
      </c>
      <c r="J188" t="str">
        <f>_xlfn.XLOOKUP($A188,'EA-Fortescue_SDExport'!$A:$A,'EA-Fortescue_SDExport'!J:J)</f>
        <v>Java</v>
      </c>
      <c r="K188" t="str">
        <f>_xlfn.XLOOKUP($A188,'EA-Fortescue_SDExport'!$A:$A,'EA-Fortescue_SDExport'!K:K)</f>
        <v>Admin</v>
      </c>
      <c r="L188" t="str">
        <f>_xlfn.XLOOKUP($A188,'EA-Fortescue_SDExport'!$A:$A,'EA-Fortescue_SDExport'!L:L)</f>
        <v>Public</v>
      </c>
      <c r="M188">
        <f>_xlfn.XLOOKUP($A188,'EA-Fortescue_SDExport'!$A:$A,'EA-Fortescue_SDExport'!M:M)</f>
        <v>0</v>
      </c>
      <c r="N188" t="str">
        <f>_xlfn.XLOOKUP($A188,InterfaceRegister!$A:$A,InterfaceRegister!K:K)</f>
        <v>Deleted</v>
      </c>
      <c r="O188">
        <f>_xlfn.XLOOKUP($A188,'EA-Fortescue_SDExport'!$A:$A,'EA-Fortescue_SDExport'!O:O)</f>
        <v>1</v>
      </c>
      <c r="P188">
        <f>_xlfn.XLOOKUP($A188,'EA-Fortescue_SDExport'!$A:$A,'EA-Fortescue_SDExport'!P:P)</f>
        <v>0</v>
      </c>
      <c r="Q188">
        <f>_xlfn.XLOOKUP($A188,'EA-Fortescue_SDExport'!$A:$A,'EA-Fortescue_SDExport'!Q:Q)</f>
        <v>0</v>
      </c>
      <c r="R188">
        <f>_xlfn.XLOOKUP($A188,'EA-Fortescue_SDExport'!$A:$A,'EA-Fortescue_SDExport'!R:R)</f>
        <v>0</v>
      </c>
      <c r="S188">
        <f>_xlfn.XLOOKUP($A188,'EA-Fortescue_SDExport'!$A:$A,'EA-Fortescue_SDExport'!S:S)</f>
        <v>0</v>
      </c>
      <c r="T188">
        <f>_xlfn.XLOOKUP($A188,'EA-Fortescue_SDExport'!$A:$A,'EA-Fortescue_SDExport'!T:T)</f>
        <v>0</v>
      </c>
      <c r="U188">
        <f>_xlfn.XLOOKUP($A188,'EA-Fortescue_SDExport'!$A:$A,'EA-Fortescue_SDExport'!U:U)</f>
        <v>45895.848113425927</v>
      </c>
      <c r="V188">
        <f>_xlfn.XLOOKUP($A188,'EA-Fortescue_SDExport'!$A:$A,'EA-Fortescue_SDExport'!V:V)</f>
        <v>46002.06758101852</v>
      </c>
      <c r="W188">
        <f>_xlfn.XLOOKUP($A188,'EA-Fortescue_SDExport'!$A:$A,'EA-Fortescue_SDExport'!W:W)</f>
        <v>0</v>
      </c>
      <c r="X188">
        <f>_xlfn.XLOOKUP($A188,'EA-Fortescue_SDExport'!$A:$A,'EA-Fortescue_SDExport'!X:X)</f>
        <v>0</v>
      </c>
      <c r="Y188">
        <f>_xlfn.XLOOKUP($A188,'EA-Fortescue_SDExport'!$A:$A,'EA-Fortescue_SDExport'!Y:Y)</f>
        <v>0</v>
      </c>
      <c r="Z188" t="str">
        <f>_xlfn.XLOOKUP($A188,'EA-Fortescue_SDExport'!$A:$A,'EA-Fortescue_SDExport'!Z:Z)</f>
        <v>SysML1.4::InterfaceBlock</v>
      </c>
      <c r="AA188" t="str">
        <f>_xlfn.XLOOKUP($A188,InterfaceRegister!$A:$A,InterfaceRegister!B:B)</f>
        <v>855DC-1541-DEL Delphi|859DC-1410-001-001 HaulX Dispatch (Fleet Management System (FMS))</v>
      </c>
      <c r="AB188" t="str">
        <f>_xlfn.XLOOKUP($A188,InterfaceRegister!$A:$A,InterfaceRegister!C:C)</f>
        <v/>
      </c>
      <c r="AC188" t="str">
        <f>_xlfn.XLOOKUP($A188,InterfaceRegister!$A:$A,InterfaceRegister!D:D)</f>
        <v/>
      </c>
      <c r="AD188" t="str">
        <f>_xlfn.XLOOKUP($A188,InterfaceRegister!$A:$A,InterfaceRegister!E:E)</f>
        <v>Project - Subsystem Interface</v>
      </c>
      <c r="AE188" t="str">
        <f>_xlfn.XLOOKUP($A188,InterfaceRegister!$A:$A,InterfaceRegister!F:F)</f>
        <v/>
      </c>
      <c r="AF188" t="str">
        <f>_xlfn.XLOOKUP($A188,InterfaceRegister!$A:$A,InterfaceRegister!L:L)</f>
        <v/>
      </c>
      <c r="AG188" t="str">
        <f>_xlfn.XLOOKUP($A188,InterfaceRegister!$A:$A,InterfaceRegister!M:M)</f>
        <v/>
      </c>
      <c r="AH188" t="str">
        <f>_xlfn.XLOOKUP($A188,InterfaceRegister!$A:$A,InterfaceRegister!O:O)</f>
        <v/>
      </c>
      <c r="AI188" t="str">
        <f>_xlfn.XLOOKUP($A188,InterfaceRegister!$A:$A,InterfaceRegister!N:N)</f>
        <v/>
      </c>
      <c r="AJ188" t="str">
        <f>_xlfn.XLOOKUP($A188,'EA-Fortescue_SDExport'!$A:$A,'EA-Fortescue_SDExport'!AX:AX)</f>
        <v>CSV6314AA19</v>
      </c>
      <c r="AK188">
        <f>_xlfn.XLOOKUP($A188,'EA-Fortescue_SDExport'!$A:$A,'EA-Fortescue_SDExport'!AY:AY)</f>
        <v>0</v>
      </c>
    </row>
    <row r="189" spans="1:37" x14ac:dyDescent="0.25">
      <c r="A189" t="str">
        <v>DGS-I_0188</v>
      </c>
      <c r="B189" t="str">
        <f>_xlfn.XLOOKUP($A189,'EA-Fortescue_SDExport'!$A:$A,'EA-Fortescue_SDExport'!B:B)</f>
        <v>Class</v>
      </c>
      <c r="C189" t="str">
        <f>_xlfn.XLOOKUP($A189,'EA-Fortescue_SDExport'!$A:$A,'EA-Fortescue_SDExport'!C:C)</f>
        <v>{0BA2F6A1-7AB8-40b8-ABE6-91AA6F3547AE}</v>
      </c>
      <c r="D189" t="str">
        <f>_xlfn.LET(_xlpm.result, _xlfn.XLOOKUP($A189, InterfaceRegister!$A:$A, InterfaceRegister!P:P), IF(_xlpm.result=0, "", _xlpm.result))</f>
        <v>Interface Review 25/11/2025: Delete no integration_x000D_
DocStack-SAComparison_Delphi 18/02/2026: Reinstate DGS-I_0021, DGS-I_0188._x000D_
NH 18/02/2026: Fields updated: Interface Type, Interface Description (Interface Purpose), Interface Criticality, Interface Criticality Explanation, Interface Flow.</v>
      </c>
      <c r="E189">
        <f>_xlfn.XLOOKUP($A189,'EA-Fortescue_SDExport'!$A:$A,'EA-Fortescue_SDExport'!E:E)</f>
        <v>1</v>
      </c>
      <c r="F189">
        <f>_xlfn.XLOOKUP($A189,'EA-Fortescue_SDExport'!$A:$A,'EA-Fortescue_SDExport'!F:F)</f>
        <v>1</v>
      </c>
      <c r="G189">
        <f>_xlfn.XLOOKUP($A189,'EA-Fortescue_SDExport'!$A:$A,'EA-Fortescue_SDExport'!G:G)</f>
        <v>0</v>
      </c>
      <c r="H189" t="str">
        <f>_xlfn.XLOOKUP($A189,'EA-Fortescue_SDExport'!$A:$A,'EA-Fortescue_SDExport'!H:H)</f>
        <v>InterfaceBlock</v>
      </c>
      <c r="I189" t="str">
        <f>_xlfn.XLOOKUP($A189,'EA-Fortescue_SDExport'!$A:$A,'EA-Fortescue_SDExport'!I:I)</f>
        <v>SysML1.4::InterfaceBlock</v>
      </c>
      <c r="J189" t="str">
        <f>_xlfn.XLOOKUP($A189,'EA-Fortescue_SDExport'!$A:$A,'EA-Fortescue_SDExport'!J:J)</f>
        <v>Java</v>
      </c>
      <c r="K189" t="str">
        <f>_xlfn.XLOOKUP($A189,'EA-Fortescue_SDExport'!$A:$A,'EA-Fortescue_SDExport'!K:K)</f>
        <v>Admin</v>
      </c>
      <c r="L189" t="str">
        <f>_xlfn.XLOOKUP($A189,'EA-Fortescue_SDExport'!$A:$A,'EA-Fortescue_SDExport'!L:L)</f>
        <v>Public</v>
      </c>
      <c r="M189">
        <f>_xlfn.XLOOKUP($A189,'EA-Fortescue_SDExport'!$A:$A,'EA-Fortescue_SDExport'!M:M)</f>
        <v>0</v>
      </c>
      <c r="N189" t="str">
        <f>_xlfn.XLOOKUP($A189,InterfaceRegister!$A:$A,InterfaceRegister!K:K)</f>
        <v>Proposed</v>
      </c>
      <c r="O189">
        <f>_xlfn.XLOOKUP($A189,'EA-Fortescue_SDExport'!$A:$A,'EA-Fortescue_SDExport'!O:O)</f>
        <v>1</v>
      </c>
      <c r="P189">
        <f>_xlfn.XLOOKUP($A189,'EA-Fortescue_SDExport'!$A:$A,'EA-Fortescue_SDExport'!P:P)</f>
        <v>0</v>
      </c>
      <c r="Q189">
        <f>_xlfn.XLOOKUP($A189,'EA-Fortescue_SDExport'!$A:$A,'EA-Fortescue_SDExport'!Q:Q)</f>
        <v>0</v>
      </c>
      <c r="R189">
        <f>_xlfn.XLOOKUP($A189,'EA-Fortescue_SDExport'!$A:$A,'EA-Fortescue_SDExport'!R:R)</f>
        <v>0</v>
      </c>
      <c r="S189">
        <f>_xlfn.XLOOKUP($A189,'EA-Fortescue_SDExport'!$A:$A,'EA-Fortescue_SDExport'!S:S)</f>
        <v>0</v>
      </c>
      <c r="T189">
        <f>_xlfn.XLOOKUP($A189,'EA-Fortescue_SDExport'!$A:$A,'EA-Fortescue_SDExport'!T:T)</f>
        <v>0</v>
      </c>
      <c r="U189">
        <f>_xlfn.XLOOKUP($A189,'EA-Fortescue_SDExport'!$A:$A,'EA-Fortescue_SDExport'!U:U)</f>
        <v>45895.84238425926</v>
      </c>
      <c r="V189">
        <f>_xlfn.XLOOKUP($A189,'EA-Fortescue_SDExport'!$A:$A,'EA-Fortescue_SDExport'!V:V)</f>
        <v>46071.947314814817</v>
      </c>
      <c r="W189">
        <f>_xlfn.XLOOKUP($A189,'EA-Fortescue_SDExport'!$A:$A,'EA-Fortescue_SDExport'!W:W)</f>
        <v>0</v>
      </c>
      <c r="X189">
        <f>_xlfn.XLOOKUP($A189,'EA-Fortescue_SDExport'!$A:$A,'EA-Fortescue_SDExport'!X:X)</f>
        <v>0</v>
      </c>
      <c r="Y189">
        <f>_xlfn.XLOOKUP($A189,'EA-Fortescue_SDExport'!$A:$A,'EA-Fortescue_SDExport'!Y:Y)</f>
        <v>0</v>
      </c>
      <c r="Z189" t="str">
        <f>_xlfn.XLOOKUP($A189,'EA-Fortescue_SDExport'!$A:$A,'EA-Fortescue_SDExport'!Z:Z)</f>
        <v>SysML1.4::InterfaceBlock</v>
      </c>
      <c r="AA189" t="str">
        <f>_xlfn.XLOOKUP($A189,InterfaceRegister!$A:$A,InterfaceRegister!B:B)</f>
        <v>005OP-0000-004-002 Alastri Production Scheduler (APS) / Alastri Tactical Scheduler (ATS)|855DC-1541-DEL Delphi</v>
      </c>
      <c r="AB189" t="str">
        <f>_xlfn.XLOOKUP($A189,InterfaceRegister!$A:$A,InterfaceRegister!C:C)</f>
        <v/>
      </c>
      <c r="AC189" t="str">
        <f>_xlfn.XLOOKUP($A189,InterfaceRegister!$A:$A,InterfaceRegister!D:D)</f>
        <v/>
      </c>
      <c r="AD189" t="str">
        <f>_xlfn.XLOOKUP($A189,InterfaceRegister!$A:$A,InterfaceRegister!E:E)</f>
        <v>Project - Subsystem Interface</v>
      </c>
      <c r="AE189" t="str">
        <f>_xlfn.XLOOKUP($A189,InterfaceRegister!$A:$A,InterfaceRegister!F:F)</f>
        <v>Technical-Data/Software</v>
      </c>
      <c r="AF189" t="str">
        <f>_xlfn.XLOOKUP($A189,InterfaceRegister!$A:$A,InterfaceRegister!L:L)</f>
        <v>This interface enables Delphi to receive production schedules and activity sequencing data from the Alastri Production Scheduler (APS) and Alastri Tactical Scheduler (ATS). The scheduling data informs Delphi's load forecasting, scenario construction, and energy modelling by reflecting planned production intensity, equipment utilisation, and timing. This interface supports forecast alignment with operational intent and is read-only from Delphi's perspective.</v>
      </c>
      <c r="AG189" t="str">
        <f>_xlfn.XLOOKUP($A189,InterfaceRegister!$A:$A,InterfaceRegister!M:M)</f>
        <v>MEDIUM</v>
      </c>
      <c r="AH189" t="str">
        <f>_xlfn.XLOOKUP($A189,InterfaceRegister!$A:$A,InterfaceRegister!O:O)</f>
        <v>Alastri Production Scheduler (APS) / Alastri Tactical Scheduler (ATS) -&gt; Delphi</v>
      </c>
      <c r="AI189" t="str">
        <f>_xlfn.XLOOKUP($A189,InterfaceRegister!$A:$A,InterfaceRegister!N:N)</f>
        <v>The criticality is MEDIUM because APS/ATS schedules influence forecast accuracy and scenario realism within Delphi, but they do not directly affect real-time dispatch, control systems, or safety-critical operations. Failure would reduce forecast quality and planning alignment but would not interrupt operational continuity.</v>
      </c>
      <c r="AJ189" t="str">
        <f>_xlfn.XLOOKUP($A189,'EA-Fortescue_SDExport'!$A:$A,'EA-Fortescue_SDExport'!AX:AX)</f>
        <v>CSVBAFFD52F</v>
      </c>
      <c r="AK189">
        <f>_xlfn.XLOOKUP($A189,'EA-Fortescue_SDExport'!$A:$A,'EA-Fortescue_SDExport'!AY:AY)</f>
        <v>0</v>
      </c>
    </row>
    <row r="190" spans="1:37" x14ac:dyDescent="0.25">
      <c r="A190" t="str">
        <v>DGS-I_0189</v>
      </c>
      <c r="B190" t="str">
        <f>_xlfn.XLOOKUP($A190,'EA-Fortescue_SDExport'!$A:$A,'EA-Fortescue_SDExport'!B:B)</f>
        <v>Class</v>
      </c>
      <c r="C190" t="str">
        <f>_xlfn.XLOOKUP($A190,'EA-Fortescue_SDExport'!$A:$A,'EA-Fortescue_SDExport'!C:C)</f>
        <v>{1368B8A4-C956-422b-AB47-E56684EAA793}</v>
      </c>
      <c r="D190" t="str">
        <f>_xlfn.LET(_xlpm.result, _xlfn.XLOOKUP($A190,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190">
        <f>_xlfn.XLOOKUP($A190,'EA-Fortescue_SDExport'!$A:$A,'EA-Fortescue_SDExport'!E:E)</f>
        <v>1</v>
      </c>
      <c r="F190">
        <f>_xlfn.XLOOKUP($A190,'EA-Fortescue_SDExport'!$A:$A,'EA-Fortescue_SDExport'!F:F)</f>
        <v>1</v>
      </c>
      <c r="G190">
        <f>_xlfn.XLOOKUP($A190,'EA-Fortescue_SDExport'!$A:$A,'EA-Fortescue_SDExport'!G:G)</f>
        <v>0</v>
      </c>
      <c r="H190" t="str">
        <f>_xlfn.XLOOKUP($A190,'EA-Fortescue_SDExport'!$A:$A,'EA-Fortescue_SDExport'!H:H)</f>
        <v>InterfaceBlock</v>
      </c>
      <c r="I190" t="str">
        <f>_xlfn.XLOOKUP($A190,'EA-Fortescue_SDExport'!$A:$A,'EA-Fortescue_SDExport'!I:I)</f>
        <v>SysML1.4::InterfaceBlock</v>
      </c>
      <c r="J190" t="str">
        <f>_xlfn.XLOOKUP($A190,'EA-Fortescue_SDExport'!$A:$A,'EA-Fortescue_SDExport'!J:J)</f>
        <v>Java</v>
      </c>
      <c r="K190" t="str">
        <f>_xlfn.XLOOKUP($A190,'EA-Fortescue_SDExport'!$A:$A,'EA-Fortescue_SDExport'!K:K)</f>
        <v>Admin</v>
      </c>
      <c r="L190" t="str">
        <f>_xlfn.XLOOKUP($A190,'EA-Fortescue_SDExport'!$A:$A,'EA-Fortescue_SDExport'!L:L)</f>
        <v>Public</v>
      </c>
      <c r="M190">
        <f>_xlfn.XLOOKUP($A190,'EA-Fortescue_SDExport'!$A:$A,'EA-Fortescue_SDExport'!M:M)</f>
        <v>0</v>
      </c>
      <c r="N190" t="str">
        <f>_xlfn.XLOOKUP($A190,InterfaceRegister!$A:$A,InterfaceRegister!K:K)</f>
        <v>Proposed</v>
      </c>
      <c r="O190">
        <f>_xlfn.XLOOKUP($A190,'EA-Fortescue_SDExport'!$A:$A,'EA-Fortescue_SDExport'!O:O)</f>
        <v>1</v>
      </c>
      <c r="P190">
        <f>_xlfn.XLOOKUP($A190,'EA-Fortescue_SDExport'!$A:$A,'EA-Fortescue_SDExport'!P:P)</f>
        <v>0</v>
      </c>
      <c r="Q190">
        <f>_xlfn.XLOOKUP($A190,'EA-Fortescue_SDExport'!$A:$A,'EA-Fortescue_SDExport'!Q:Q)</f>
        <v>0</v>
      </c>
      <c r="R190">
        <f>_xlfn.XLOOKUP($A190,'EA-Fortescue_SDExport'!$A:$A,'EA-Fortescue_SDExport'!R:R)</f>
        <v>0</v>
      </c>
      <c r="S190">
        <f>_xlfn.XLOOKUP($A190,'EA-Fortescue_SDExport'!$A:$A,'EA-Fortescue_SDExport'!S:S)</f>
        <v>0</v>
      </c>
      <c r="T190">
        <f>_xlfn.XLOOKUP($A190,'EA-Fortescue_SDExport'!$A:$A,'EA-Fortescue_SDExport'!T:T)</f>
        <v>0</v>
      </c>
      <c r="U190">
        <f>_xlfn.XLOOKUP($A190,'EA-Fortescue_SDExport'!$A:$A,'EA-Fortescue_SDExport'!U:U)</f>
        <v>45896.791087962964</v>
      </c>
      <c r="V190">
        <f>_xlfn.XLOOKUP($A190,'EA-Fortescue_SDExport'!$A:$A,'EA-Fortescue_SDExport'!V:V)</f>
        <v>46050.663819444446</v>
      </c>
      <c r="W190">
        <f>_xlfn.XLOOKUP($A190,'EA-Fortescue_SDExport'!$A:$A,'EA-Fortescue_SDExport'!W:W)</f>
        <v>0</v>
      </c>
      <c r="X190">
        <f>_xlfn.XLOOKUP($A190,'EA-Fortescue_SDExport'!$A:$A,'EA-Fortescue_SDExport'!X:X)</f>
        <v>0</v>
      </c>
      <c r="Y190">
        <f>_xlfn.XLOOKUP($A190,'EA-Fortescue_SDExport'!$A:$A,'EA-Fortescue_SDExport'!Y:Y)</f>
        <v>0</v>
      </c>
      <c r="Z190" t="str">
        <f>_xlfn.XLOOKUP($A190,'EA-Fortescue_SDExport'!$A:$A,'EA-Fortescue_SDExport'!Z:Z)</f>
        <v>SysML1.4::InterfaceBlock</v>
      </c>
      <c r="AA190" t="str">
        <f>_xlfn.XLOOKUP($A190,InterfaceRegister!$A:$A,InterfaceRegister!B:B)</f>
        <v>855DC-1541-PPC Pit Power Capacity Planning Tool - Design Optimisation|005OP-0000-011 Fortescue Maps (ArcGIS) Geographical Information System (GIS)</v>
      </c>
      <c r="AB190" t="str">
        <f>_xlfn.XLOOKUP($A190,InterfaceRegister!$A:$A,InterfaceRegister!C:C)</f>
        <v/>
      </c>
      <c r="AC190" t="str">
        <f>_xlfn.XLOOKUP($A190,InterfaceRegister!$A:$A,InterfaceRegister!D:D)</f>
        <v/>
      </c>
      <c r="AD190" t="str">
        <f>_xlfn.XLOOKUP($A190,InterfaceRegister!$A:$A,InterfaceRegister!E:E)</f>
        <v>Project - Project Interface</v>
      </c>
      <c r="AE190" t="str">
        <f>_xlfn.XLOOKUP($A190,InterfaceRegister!$A:$A,InterfaceRegister!F:F)</f>
        <v>Technical-Data/Software</v>
      </c>
      <c r="AF190" t="str">
        <f>_xlfn.XLOOKUP($A190,InterfaceRegister!$A:$A,InterfaceRegister!L:L)</f>
        <v>The purpose of this interface is to exchange authoritative spatial mapping data from Fortescue Maps (ArcGIS) into the Pit Power Capacity Planning Tool to support electrical network modelling, infrastructure siting, and cable routing assessments aligned with planned pit layouts and asset locations.</v>
      </c>
      <c r="AG190" t="str">
        <f>_xlfn.XLOOKUP($A190,InterfaceRegister!$A:$A,InterfaceRegister!M:M)</f>
        <v>LOW</v>
      </c>
      <c r="AH190" t="str">
        <f>_xlfn.XLOOKUP($A190,InterfaceRegister!$A:$A,InterfaceRegister!O:O)</f>
        <v>Fortescue Maps (ArcGIS) GIS -&gt; Pit Power Capacity Planning Tool - Design Optimisation</v>
      </c>
      <c r="AI190" t="str">
        <f>_xlfn.XLOOKUP($A190,InterfaceRegister!$A:$A,InterfaceRegister!N:N)</f>
        <v>The criticality level is LOW because this interface provides spatial reference data to support planning and modelling activities only. Failure would reduce mapping accuracy and spatial context within simulations but would not impact real-time operations, safety, or production systems.</v>
      </c>
      <c r="AJ190" t="str">
        <f>_xlfn.XLOOKUP($A190,'EA-Fortescue_SDExport'!$A:$A,'EA-Fortescue_SDExport'!AX:AX)</f>
        <v>CSVE8C0F796</v>
      </c>
      <c r="AK190">
        <f>_xlfn.XLOOKUP($A190,'EA-Fortescue_SDExport'!$A:$A,'EA-Fortescue_SDExport'!AY:AY)</f>
        <v>0</v>
      </c>
    </row>
    <row r="191" spans="1:37" x14ac:dyDescent="0.25">
      <c r="A191" t="str">
        <v>DGS-I_0190</v>
      </c>
      <c r="B191" t="str">
        <f>_xlfn.XLOOKUP($A191,'EA-Fortescue_SDExport'!$A:$A,'EA-Fortescue_SDExport'!B:B)</f>
        <v>Class</v>
      </c>
      <c r="C191" t="str">
        <f>_xlfn.XLOOKUP($A191,'EA-Fortescue_SDExport'!$A:$A,'EA-Fortescue_SDExport'!C:C)</f>
        <v>{9232020C-3254-4cd5-872E-C0A634B9AEF9}</v>
      </c>
      <c r="D191" t="str">
        <f>_xlfn.LET(_xlpm.result, _xlfn.XLOOKUP($A191, InterfaceRegister!$A:$A, InterfaceRegister!P:P), IF(_xlpm.result=0, "", _xlpm.result))</f>
        <v>Interface Review 202/12/2025: For later review, as this is the more detailed solution. Refer to Interface ID DGS-I_0025._x000D_
DocStack-SAComparison_Delphi 18/02/2026: APS and ATS to be combined - Interface deleted.</v>
      </c>
      <c r="E191">
        <f>_xlfn.XLOOKUP($A191,'EA-Fortescue_SDExport'!$A:$A,'EA-Fortescue_SDExport'!E:E)</f>
        <v>1</v>
      </c>
      <c r="F191">
        <f>_xlfn.XLOOKUP($A191,'EA-Fortescue_SDExport'!$A:$A,'EA-Fortescue_SDExport'!F:F)</f>
        <v>1</v>
      </c>
      <c r="G191">
        <f>_xlfn.XLOOKUP($A191,'EA-Fortescue_SDExport'!$A:$A,'EA-Fortescue_SDExport'!G:G)</f>
        <v>0</v>
      </c>
      <c r="H191" t="str">
        <f>_xlfn.XLOOKUP($A191,'EA-Fortescue_SDExport'!$A:$A,'EA-Fortescue_SDExport'!H:H)</f>
        <v>InterfaceBlock</v>
      </c>
      <c r="I191" t="str">
        <f>_xlfn.XLOOKUP($A191,'EA-Fortescue_SDExport'!$A:$A,'EA-Fortescue_SDExport'!I:I)</f>
        <v>SysML1.4::InterfaceBlock</v>
      </c>
      <c r="J191" t="str">
        <f>_xlfn.XLOOKUP($A191,'EA-Fortescue_SDExport'!$A:$A,'EA-Fortescue_SDExport'!J:J)</f>
        <v>Java</v>
      </c>
      <c r="K191" t="str">
        <f>_xlfn.XLOOKUP($A191,'EA-Fortescue_SDExport'!$A:$A,'EA-Fortescue_SDExport'!K:K)</f>
        <v>Admin</v>
      </c>
      <c r="L191" t="str">
        <f>_xlfn.XLOOKUP($A191,'EA-Fortescue_SDExport'!$A:$A,'EA-Fortescue_SDExport'!L:L)</f>
        <v>Public</v>
      </c>
      <c r="M191">
        <f>_xlfn.XLOOKUP($A191,'EA-Fortescue_SDExport'!$A:$A,'EA-Fortescue_SDExport'!M:M)</f>
        <v>0</v>
      </c>
      <c r="N191" t="str">
        <f>_xlfn.XLOOKUP($A191,InterfaceRegister!$A:$A,InterfaceRegister!K:K)</f>
        <v>Deleted</v>
      </c>
      <c r="O191">
        <f>_xlfn.XLOOKUP($A191,'EA-Fortescue_SDExport'!$A:$A,'EA-Fortescue_SDExport'!O:O)</f>
        <v>1</v>
      </c>
      <c r="P191">
        <f>_xlfn.XLOOKUP($A191,'EA-Fortescue_SDExport'!$A:$A,'EA-Fortescue_SDExport'!P:P)</f>
        <v>0</v>
      </c>
      <c r="Q191">
        <f>_xlfn.XLOOKUP($A191,'EA-Fortescue_SDExport'!$A:$A,'EA-Fortescue_SDExport'!Q:Q)</f>
        <v>0</v>
      </c>
      <c r="R191">
        <f>_xlfn.XLOOKUP($A191,'EA-Fortescue_SDExport'!$A:$A,'EA-Fortescue_SDExport'!R:R)</f>
        <v>0</v>
      </c>
      <c r="S191">
        <f>_xlfn.XLOOKUP($A191,'EA-Fortescue_SDExport'!$A:$A,'EA-Fortescue_SDExport'!S:S)</f>
        <v>0</v>
      </c>
      <c r="T191">
        <f>_xlfn.XLOOKUP($A191,'EA-Fortescue_SDExport'!$A:$A,'EA-Fortescue_SDExport'!T:T)</f>
        <v>0</v>
      </c>
      <c r="U191">
        <f>_xlfn.XLOOKUP($A191,'EA-Fortescue_SDExport'!$A:$A,'EA-Fortescue_SDExport'!U:U)</f>
        <v>45895.869687500002</v>
      </c>
      <c r="V191">
        <f>_xlfn.XLOOKUP($A191,'EA-Fortescue_SDExport'!$A:$A,'EA-Fortescue_SDExport'!V:V)</f>
        <v>46071.946250000001</v>
      </c>
      <c r="W191">
        <f>_xlfn.XLOOKUP($A191,'EA-Fortescue_SDExport'!$A:$A,'EA-Fortescue_SDExport'!W:W)</f>
        <v>0</v>
      </c>
      <c r="X191">
        <f>_xlfn.XLOOKUP($A191,'EA-Fortescue_SDExport'!$A:$A,'EA-Fortescue_SDExport'!X:X)</f>
        <v>0</v>
      </c>
      <c r="Y191">
        <f>_xlfn.XLOOKUP($A191,'EA-Fortescue_SDExport'!$A:$A,'EA-Fortescue_SDExport'!Y:Y)</f>
        <v>0</v>
      </c>
      <c r="Z191" t="str">
        <f>_xlfn.XLOOKUP($A191,'EA-Fortescue_SDExport'!$A:$A,'EA-Fortescue_SDExport'!Z:Z)</f>
        <v>SysML1.4::InterfaceBlock</v>
      </c>
      <c r="AA191" t="str">
        <f>_xlfn.XLOOKUP($A191,InterfaceRegister!$A:$A,InterfaceRegister!B:B)</f>
        <v>Archive - 005OP-0000-004-003 Alastri Tactical Scheduler (ATS)|855DC-1541-LIV LiveWire</v>
      </c>
      <c r="AB191" t="str">
        <f>_xlfn.XLOOKUP($A191,InterfaceRegister!$A:$A,InterfaceRegister!C:C)</f>
        <v>Abby Buters</v>
      </c>
      <c r="AC191" t="str">
        <f>_xlfn.XLOOKUP($A191,InterfaceRegister!$A:$A,InterfaceRegister!D:D)</f>
        <v>Shaun Batcock</v>
      </c>
      <c r="AD191" t="str">
        <f>_xlfn.XLOOKUP($A191,InterfaceRegister!$A:$A,InterfaceRegister!E:E)</f>
        <v>Project - Subsystem Interface</v>
      </c>
      <c r="AE191" t="str">
        <f>_xlfn.XLOOKUP($A191,InterfaceRegister!$A:$A,InterfaceRegister!F:F)</f>
        <v/>
      </c>
      <c r="AF191" t="str">
        <f>_xlfn.XLOOKUP($A191,InterfaceRegister!$A:$A,InterfaceRegister!L:L)</f>
        <v>This interface enables ATS to transmit tactical schedules, production expectations, and operational constraints into LiveWire so the system can represent upcoming operational priorities.</v>
      </c>
      <c r="AG191" t="str">
        <f>_xlfn.XLOOKUP($A191,InterfaceRegister!$A:$A,InterfaceRegister!M:M)</f>
        <v>LOW</v>
      </c>
      <c r="AH191" t="str">
        <f>_xlfn.XLOOKUP($A191,InterfaceRegister!$A:$A,InterfaceRegister!O:O)</f>
        <v/>
      </c>
      <c r="AI191" t="str">
        <f>_xlfn.XLOOKUP($A191,InterfaceRegister!$A:$A,InterfaceRegister!N:N)</f>
        <v>The criticality level is LOW because the interface supports planning awareness rather than real-time execution, and outages do not impact immediate production. Without the link, LiveWire loses some context for decision support, but planners can still operate and provide updates manually if needed.</v>
      </c>
      <c r="AJ191" t="str">
        <f>_xlfn.XLOOKUP($A191,'EA-Fortescue_SDExport'!$A:$A,'EA-Fortescue_SDExport'!AX:AX)</f>
        <v>CSVC4EA710F</v>
      </c>
      <c r="AK191">
        <f>_xlfn.XLOOKUP($A191,'EA-Fortescue_SDExport'!$A:$A,'EA-Fortescue_SDExport'!AY:AY)</f>
        <v>0</v>
      </c>
    </row>
    <row r="192" spans="1:37" x14ac:dyDescent="0.25">
      <c r="A192" t="str">
        <v>DGS-I_0191</v>
      </c>
      <c r="B192" t="str">
        <f>_xlfn.XLOOKUP($A192,'EA-Fortescue_SDExport'!$A:$A,'EA-Fortescue_SDExport'!B:B)</f>
        <v>Class</v>
      </c>
      <c r="C192" t="str">
        <f>_xlfn.XLOOKUP($A192,'EA-Fortescue_SDExport'!$A:$A,'EA-Fortescue_SDExport'!C:C)</f>
        <v>{AE42C4CA-A79B-449c-9880-90A3A3DE3E60}</v>
      </c>
      <c r="D192" t="str">
        <f>_xlfn.LET(_xlpm.result, _xlfn.XLOOKUP($A192, InterfaceRegister!$A:$A, InterfaceRegister!P:P), IF(_xlpm.result=0, "", _xlpm.result))</f>
        <v>Interface Review 202/12/2025: For later review, as this is the more detailed solution. Refer to Interface ID DGS-I_0025._x000D_
NH 20/02/2026: Fields updated: Interface Type, Interface Flow.</v>
      </c>
      <c r="E192">
        <f>_xlfn.XLOOKUP($A192,'EA-Fortescue_SDExport'!$A:$A,'EA-Fortescue_SDExport'!E:E)</f>
        <v>1</v>
      </c>
      <c r="F192">
        <f>_xlfn.XLOOKUP($A192,'EA-Fortescue_SDExport'!$A:$A,'EA-Fortescue_SDExport'!F:F)</f>
        <v>1</v>
      </c>
      <c r="G192">
        <f>_xlfn.XLOOKUP($A192,'EA-Fortescue_SDExport'!$A:$A,'EA-Fortescue_SDExport'!G:G)</f>
        <v>0</v>
      </c>
      <c r="H192" t="str">
        <f>_xlfn.XLOOKUP($A192,'EA-Fortescue_SDExport'!$A:$A,'EA-Fortescue_SDExport'!H:H)</f>
        <v>InterfaceBlock</v>
      </c>
      <c r="I192" t="str">
        <f>_xlfn.XLOOKUP($A192,'EA-Fortescue_SDExport'!$A:$A,'EA-Fortescue_SDExport'!I:I)</f>
        <v>SysML1.4::InterfaceBlock</v>
      </c>
      <c r="J192" t="str">
        <f>_xlfn.XLOOKUP($A192,'EA-Fortescue_SDExport'!$A:$A,'EA-Fortescue_SDExport'!J:J)</f>
        <v>Java</v>
      </c>
      <c r="K192" t="str">
        <f>_xlfn.XLOOKUP($A192,'EA-Fortescue_SDExport'!$A:$A,'EA-Fortescue_SDExport'!K:K)</f>
        <v>Admin</v>
      </c>
      <c r="L192" t="str">
        <f>_xlfn.XLOOKUP($A192,'EA-Fortescue_SDExport'!$A:$A,'EA-Fortescue_SDExport'!L:L)</f>
        <v>Public</v>
      </c>
      <c r="M192">
        <f>_xlfn.XLOOKUP($A192,'EA-Fortescue_SDExport'!$A:$A,'EA-Fortescue_SDExport'!M:M)</f>
        <v>0</v>
      </c>
      <c r="N192" t="str">
        <f>_xlfn.XLOOKUP($A192,InterfaceRegister!$A:$A,InterfaceRegister!K:K)</f>
        <v>Proposed</v>
      </c>
      <c r="O192">
        <f>_xlfn.XLOOKUP($A192,'EA-Fortescue_SDExport'!$A:$A,'EA-Fortescue_SDExport'!O:O)</f>
        <v>1</v>
      </c>
      <c r="P192">
        <f>_xlfn.XLOOKUP($A192,'EA-Fortescue_SDExport'!$A:$A,'EA-Fortescue_SDExport'!P:P)</f>
        <v>0</v>
      </c>
      <c r="Q192">
        <f>_xlfn.XLOOKUP($A192,'EA-Fortescue_SDExport'!$A:$A,'EA-Fortescue_SDExport'!Q:Q)</f>
        <v>0</v>
      </c>
      <c r="R192">
        <f>_xlfn.XLOOKUP($A192,'EA-Fortescue_SDExport'!$A:$A,'EA-Fortescue_SDExport'!R:R)</f>
        <v>0</v>
      </c>
      <c r="S192">
        <f>_xlfn.XLOOKUP($A192,'EA-Fortescue_SDExport'!$A:$A,'EA-Fortescue_SDExport'!S:S)</f>
        <v>0</v>
      </c>
      <c r="T192">
        <f>_xlfn.XLOOKUP($A192,'EA-Fortescue_SDExport'!$A:$A,'EA-Fortescue_SDExport'!T:T)</f>
        <v>0</v>
      </c>
      <c r="U192">
        <f>_xlfn.XLOOKUP($A192,'EA-Fortescue_SDExport'!$A:$A,'EA-Fortescue_SDExport'!U:U)</f>
        <v>45895.904027777775</v>
      </c>
      <c r="V192">
        <f>_xlfn.XLOOKUP($A192,'EA-Fortescue_SDExport'!$A:$A,'EA-Fortescue_SDExport'!V:V)</f>
        <v>46077.99322916667</v>
      </c>
      <c r="W192">
        <f>_xlfn.XLOOKUP($A192,'EA-Fortescue_SDExport'!$A:$A,'EA-Fortescue_SDExport'!W:W)</f>
        <v>0</v>
      </c>
      <c r="X192">
        <f>_xlfn.XLOOKUP($A192,'EA-Fortescue_SDExport'!$A:$A,'EA-Fortescue_SDExport'!X:X)</f>
        <v>0</v>
      </c>
      <c r="Y192">
        <f>_xlfn.XLOOKUP($A192,'EA-Fortescue_SDExport'!$A:$A,'EA-Fortescue_SDExport'!Y:Y)</f>
        <v>0</v>
      </c>
      <c r="Z192" t="str">
        <f>_xlfn.XLOOKUP($A192,'EA-Fortescue_SDExport'!$A:$A,'EA-Fortescue_SDExport'!Z:Z)</f>
        <v>SysML1.4::InterfaceBlock</v>
      </c>
      <c r="AA192" t="str">
        <f>_xlfn.XLOOKUP($A192,InterfaceRegister!$A:$A,InterfaceRegister!B:B)</f>
        <v>005OP-0000-004-002 Alastri Production Scheduler (APS) / Alastri Tactical Scheduler (ATS)|855DC-1541-LIV LiveWire</v>
      </c>
      <c r="AB192" t="str">
        <f>_xlfn.XLOOKUP($A192,InterfaceRegister!$A:$A,InterfaceRegister!C:C)</f>
        <v>Abby Buters</v>
      </c>
      <c r="AC192" t="str">
        <f>_xlfn.XLOOKUP($A192,InterfaceRegister!$A:$A,InterfaceRegister!D:D)</f>
        <v>Shaun Batcock</v>
      </c>
      <c r="AD192" t="str">
        <f>_xlfn.XLOOKUP($A192,InterfaceRegister!$A:$A,InterfaceRegister!E:E)</f>
        <v>Project - Subsystem Interface</v>
      </c>
      <c r="AE192" t="str">
        <f>_xlfn.XLOOKUP($A192,InterfaceRegister!$A:$A,InterfaceRegister!F:F)</f>
        <v>Technical-Data/Software</v>
      </c>
      <c r="AF192" t="str">
        <f>_xlfn.XLOOKUP($A192,InterfaceRegister!$A:$A,InterfaceRegister!L:L)</f>
        <v>This interface provides LiveWire with long-term production schedules and sequencing data from APS, helping align its analytics and optimisation with the planned mine output.</v>
      </c>
      <c r="AG192" t="str">
        <f>_xlfn.XLOOKUP($A192,InterfaceRegister!$A:$A,InterfaceRegister!M:M)</f>
        <v>LOW</v>
      </c>
      <c r="AH192" t="str">
        <f>_xlfn.XLOOKUP($A192,InterfaceRegister!$A:$A,InterfaceRegister!O:O)</f>
        <v>Data Flow:_x000D_
005OP-0000-004 AlastrI (APS) -&gt; 855DC-1541-IV LiveWire, transmitting long-term production schedules, sequencing plans, planned output profiles, and optimisation parameters for analytics and alignment with forecast production targets._x000D_
LiveWire -&gt; APS (where applicable), providing feedback outputs such as analytics results, optimisation insights, or scenario evaluation data to inform planning refinement.</v>
      </c>
      <c r="AI192" t="str">
        <f>_xlfn.XLOOKUP($A192,InterfaceRegister!$A:$A,InterfaceRegister!N:N)</f>
        <v>The criticality level is LOW because APS and LiveWire both continue to operate independently, and any impact is limited to planning accuracy rather than operational continuity. Failure limits automated visibility of planned pathways, which can be managed manually.</v>
      </c>
      <c r="AJ192" t="str">
        <f>_xlfn.XLOOKUP($A192,'EA-Fortescue_SDExport'!$A:$A,'EA-Fortescue_SDExport'!AX:AX)</f>
        <v>CSVCC5358ED</v>
      </c>
      <c r="AK192">
        <f>_xlfn.XLOOKUP($A192,'EA-Fortescue_SDExport'!$A:$A,'EA-Fortescue_SDExport'!AY:AY)</f>
        <v>0</v>
      </c>
    </row>
    <row r="193" spans="1:37" x14ac:dyDescent="0.25">
      <c r="A193" t="str">
        <v>DGS-I_0192</v>
      </c>
      <c r="B193" t="str">
        <f>_xlfn.XLOOKUP($A193,'EA-Fortescue_SDExport'!$A:$A,'EA-Fortescue_SDExport'!B:B)</f>
        <v>Class</v>
      </c>
      <c r="C193" t="str">
        <f>_xlfn.XLOOKUP($A193,'EA-Fortescue_SDExport'!$A:$A,'EA-Fortescue_SDExport'!C:C)</f>
        <v>{EBB4E328-0889-439e-AC8C-6DB775CC97F1}</v>
      </c>
      <c r="D193" t="str">
        <f>_xlfn.LET(_xlpm.result, _xlfn.XLOOKUP($A193, InterfaceRegister!$A:$A, InterfaceRegister!P:P), IF(_xlpm.result=0, "", _xlpm.result))</f>
        <v>NH 20/02/2026: Fields updated: Interface Type, Interface Flow.</v>
      </c>
      <c r="E193">
        <f>_xlfn.XLOOKUP($A193,'EA-Fortescue_SDExport'!$A:$A,'EA-Fortescue_SDExport'!E:E)</f>
        <v>1</v>
      </c>
      <c r="F193">
        <f>_xlfn.XLOOKUP($A193,'EA-Fortescue_SDExport'!$A:$A,'EA-Fortescue_SDExport'!F:F)</f>
        <v>1</v>
      </c>
      <c r="G193">
        <f>_xlfn.XLOOKUP($A193,'EA-Fortescue_SDExport'!$A:$A,'EA-Fortescue_SDExport'!G:G)</f>
        <v>0</v>
      </c>
      <c r="H193" t="str">
        <f>_xlfn.XLOOKUP($A193,'EA-Fortescue_SDExport'!$A:$A,'EA-Fortescue_SDExport'!H:H)</f>
        <v>InterfaceBlock</v>
      </c>
      <c r="I193" t="str">
        <f>_xlfn.XLOOKUP($A193,'EA-Fortescue_SDExport'!$A:$A,'EA-Fortescue_SDExport'!I:I)</f>
        <v>SysML1.4::InterfaceBlock</v>
      </c>
      <c r="J193" t="str">
        <f>_xlfn.XLOOKUP($A193,'EA-Fortescue_SDExport'!$A:$A,'EA-Fortescue_SDExport'!J:J)</f>
        <v>Java</v>
      </c>
      <c r="K193" t="str">
        <f>_xlfn.XLOOKUP($A193,'EA-Fortescue_SDExport'!$A:$A,'EA-Fortescue_SDExport'!K:K)</f>
        <v>Admin</v>
      </c>
      <c r="L193" t="str">
        <f>_xlfn.XLOOKUP($A193,'EA-Fortescue_SDExport'!$A:$A,'EA-Fortescue_SDExport'!L:L)</f>
        <v>Public</v>
      </c>
      <c r="M193">
        <f>_xlfn.XLOOKUP($A193,'EA-Fortescue_SDExport'!$A:$A,'EA-Fortescue_SDExport'!M:M)</f>
        <v>0</v>
      </c>
      <c r="N193" t="str">
        <f>_xlfn.XLOOKUP($A193,InterfaceRegister!$A:$A,InterfaceRegister!K:K)</f>
        <v>Proposed</v>
      </c>
      <c r="O193">
        <f>_xlfn.XLOOKUP($A193,'EA-Fortescue_SDExport'!$A:$A,'EA-Fortescue_SDExport'!O:O)</f>
        <v>1</v>
      </c>
      <c r="P193">
        <f>_xlfn.XLOOKUP($A193,'EA-Fortescue_SDExport'!$A:$A,'EA-Fortescue_SDExport'!P:P)</f>
        <v>0</v>
      </c>
      <c r="Q193">
        <f>_xlfn.XLOOKUP($A193,'EA-Fortescue_SDExport'!$A:$A,'EA-Fortescue_SDExport'!Q:Q)</f>
        <v>0</v>
      </c>
      <c r="R193">
        <f>_xlfn.XLOOKUP($A193,'EA-Fortescue_SDExport'!$A:$A,'EA-Fortescue_SDExport'!R:R)</f>
        <v>0</v>
      </c>
      <c r="S193">
        <f>_xlfn.XLOOKUP($A193,'EA-Fortescue_SDExport'!$A:$A,'EA-Fortescue_SDExport'!S:S)</f>
        <v>0</v>
      </c>
      <c r="T193">
        <f>_xlfn.XLOOKUP($A193,'EA-Fortescue_SDExport'!$A:$A,'EA-Fortescue_SDExport'!T:T)</f>
        <v>0</v>
      </c>
      <c r="U193">
        <f>_xlfn.XLOOKUP($A193,'EA-Fortescue_SDExport'!$A:$A,'EA-Fortescue_SDExport'!U:U)</f>
        <v>45965.681585648148</v>
      </c>
      <c r="V193">
        <f>_xlfn.XLOOKUP($A193,'EA-Fortescue_SDExport'!$A:$A,'EA-Fortescue_SDExport'!V:V)</f>
        <v>46077.993217592593</v>
      </c>
      <c r="W193">
        <f>_xlfn.XLOOKUP($A193,'EA-Fortescue_SDExport'!$A:$A,'EA-Fortescue_SDExport'!W:W)</f>
        <v>0</v>
      </c>
      <c r="X193">
        <f>_xlfn.XLOOKUP($A193,'EA-Fortescue_SDExport'!$A:$A,'EA-Fortescue_SDExport'!X:X)</f>
        <v>0</v>
      </c>
      <c r="Y193">
        <f>_xlfn.XLOOKUP($A193,'EA-Fortescue_SDExport'!$A:$A,'EA-Fortescue_SDExport'!Y:Y)</f>
        <v>0</v>
      </c>
      <c r="Z193" t="str">
        <f>_xlfn.XLOOKUP($A193,'EA-Fortescue_SDExport'!$A:$A,'EA-Fortescue_SDExport'!Z:Z)</f>
        <v>SysML1.4::InterfaceBlock</v>
      </c>
      <c r="AA193" t="str">
        <f>_xlfn.XLOOKUP($A193,InterfaceRegister!$A:$A,InterfaceRegister!B:B)</f>
        <v>855DC-1541-ECL-003 Plexos|855DC-1543-008-003 OpenAGC (Automatic Generation Control)</v>
      </c>
      <c r="AB193" t="str">
        <f>_xlfn.XLOOKUP($A193,InterfaceRegister!$A:$A,InterfaceRegister!C:C)</f>
        <v/>
      </c>
      <c r="AC193" t="str">
        <f>_xlfn.XLOOKUP($A193,InterfaceRegister!$A:$A,InterfaceRegister!D:D)</f>
        <v/>
      </c>
      <c r="AD193" t="str">
        <f>_xlfn.XLOOKUP($A193,InterfaceRegister!$A:$A,InterfaceRegister!E:E)</f>
        <v>Subsystem - Subsystem Interface</v>
      </c>
      <c r="AE193" t="str">
        <f>_xlfn.XLOOKUP($A193,InterfaceRegister!$A:$A,InterfaceRegister!F:F)</f>
        <v>Technical-Data/Software</v>
      </c>
      <c r="AF193" t="str">
        <f>_xlfn.XLOOKUP($A193,InterfaceRegister!$A:$A,InterfaceRegister!L:L)</f>
        <v>This interface allows Plexos to deliver long-term modelling, forecasted generation schedules, and market-style optimisation inputs to OpenAGC, which oversees short-interval automatic generation control.</v>
      </c>
      <c r="AG193" t="str">
        <f>_xlfn.XLOOKUP($A193,InterfaceRegister!$A:$A,InterfaceRegister!M:M)</f>
        <v>MEDIUM</v>
      </c>
      <c r="AH193" t="str">
        <f>_xlfn.XLOOKUP($A193,InterfaceRegister!$A:$A,InterfaceRegister!O:O)</f>
        <v>Data Flow: Monarch -&gt; Energy Operations (real-time generation output, storage state, network status, load balance, alarms, equipment availability, event notifications) to provide system-wide situational awareness and oversight._x000D_
Read-only interface - no control flow from Energy Operations to Monarch via this link.</v>
      </c>
      <c r="AI193" t="str">
        <f>_xlfn.XLOOKUP($A193,InterfaceRegister!$A:$A,InterfaceRegister!N:N)</f>
        <v>The criticality level is MEDIUM because although OpenAGC can still operate independently without forward-looking data, the lack of Plexos inputs diminishes optimisation quality and can result in less stable or less efficient generation behaviour. Failure may increase operational costs, but it does not cause immediate outages.</v>
      </c>
      <c r="AJ193" t="str">
        <f>_xlfn.XLOOKUP($A193,'EA-Fortescue_SDExport'!$A:$A,'EA-Fortescue_SDExport'!AX:AX)</f>
        <v>CSV45EA31B3</v>
      </c>
      <c r="AK193">
        <f>_xlfn.XLOOKUP($A193,'EA-Fortescue_SDExport'!$A:$A,'EA-Fortescue_SDExport'!AY:AY)</f>
        <v>0</v>
      </c>
    </row>
    <row r="194" spans="1:37" x14ac:dyDescent="0.25">
      <c r="A194" t="str">
        <v>DGS-I_0193</v>
      </c>
      <c r="B194" t="str">
        <f>_xlfn.XLOOKUP($A194,'EA-Fortescue_SDExport'!$A:$A,'EA-Fortescue_SDExport'!B:B)</f>
        <v>Class</v>
      </c>
      <c r="C194" t="str">
        <f>_xlfn.XLOOKUP($A194,'EA-Fortescue_SDExport'!$A:$A,'EA-Fortescue_SDExport'!C:C)</f>
        <v>{12CC5FC1-1A75-42d9-9B1B-6D695BB85CF8}</v>
      </c>
      <c r="D194" t="str">
        <f>_xlfn.LET(_xlpm.result, _xlfn.XLOOKUP($A194, InterfaceRegister!$A:$A, InterfaceRegister!P:P), IF(_xlpm.result=0, "", _xlpm.result))</f>
        <v>Interface Review 25/11/2025: Delete</v>
      </c>
      <c r="E194">
        <f>_xlfn.XLOOKUP($A194,'EA-Fortescue_SDExport'!$A:$A,'EA-Fortescue_SDExport'!E:E)</f>
        <v>1</v>
      </c>
      <c r="F194">
        <f>_xlfn.XLOOKUP($A194,'EA-Fortescue_SDExport'!$A:$A,'EA-Fortescue_SDExport'!F:F)</f>
        <v>1</v>
      </c>
      <c r="G194">
        <f>_xlfn.XLOOKUP($A194,'EA-Fortescue_SDExport'!$A:$A,'EA-Fortescue_SDExport'!G:G)</f>
        <v>0</v>
      </c>
      <c r="H194" t="str">
        <f>_xlfn.XLOOKUP($A194,'EA-Fortescue_SDExport'!$A:$A,'EA-Fortescue_SDExport'!H:H)</f>
        <v>InterfaceBlock</v>
      </c>
      <c r="I194" t="str">
        <f>_xlfn.XLOOKUP($A194,'EA-Fortescue_SDExport'!$A:$A,'EA-Fortescue_SDExport'!I:I)</f>
        <v>SysML1.4::InterfaceBlock</v>
      </c>
      <c r="J194" t="str">
        <f>_xlfn.XLOOKUP($A194,'EA-Fortescue_SDExport'!$A:$A,'EA-Fortescue_SDExport'!J:J)</f>
        <v>Java</v>
      </c>
      <c r="K194" t="str">
        <f>_xlfn.XLOOKUP($A194,'EA-Fortescue_SDExport'!$A:$A,'EA-Fortescue_SDExport'!K:K)</f>
        <v>Admin</v>
      </c>
      <c r="L194" t="str">
        <f>_xlfn.XLOOKUP($A194,'EA-Fortescue_SDExport'!$A:$A,'EA-Fortescue_SDExport'!L:L)</f>
        <v>Public</v>
      </c>
      <c r="M194">
        <f>_xlfn.XLOOKUP($A194,'EA-Fortescue_SDExport'!$A:$A,'EA-Fortescue_SDExport'!M:M)</f>
        <v>0</v>
      </c>
      <c r="N194" t="str">
        <f>_xlfn.XLOOKUP($A194,InterfaceRegister!$A:$A,InterfaceRegister!K:K)</f>
        <v>Deleted</v>
      </c>
      <c r="O194">
        <f>_xlfn.XLOOKUP($A194,'EA-Fortescue_SDExport'!$A:$A,'EA-Fortescue_SDExport'!O:O)</f>
        <v>1</v>
      </c>
      <c r="P194">
        <f>_xlfn.XLOOKUP($A194,'EA-Fortescue_SDExport'!$A:$A,'EA-Fortescue_SDExport'!P:P)</f>
        <v>0</v>
      </c>
      <c r="Q194">
        <f>_xlfn.XLOOKUP($A194,'EA-Fortescue_SDExport'!$A:$A,'EA-Fortescue_SDExport'!Q:Q)</f>
        <v>0</v>
      </c>
      <c r="R194">
        <f>_xlfn.XLOOKUP($A194,'EA-Fortescue_SDExport'!$A:$A,'EA-Fortescue_SDExport'!R:R)</f>
        <v>0</v>
      </c>
      <c r="S194">
        <f>_xlfn.XLOOKUP($A194,'EA-Fortescue_SDExport'!$A:$A,'EA-Fortescue_SDExport'!S:S)</f>
        <v>0</v>
      </c>
      <c r="T194">
        <f>_xlfn.XLOOKUP($A194,'EA-Fortescue_SDExport'!$A:$A,'EA-Fortescue_SDExport'!T:T)</f>
        <v>0</v>
      </c>
      <c r="U194">
        <f>_xlfn.XLOOKUP($A194,'EA-Fortescue_SDExport'!$A:$A,'EA-Fortescue_SDExport'!U:U)</f>
        <v>45895.918206018519</v>
      </c>
      <c r="V194">
        <f>_xlfn.XLOOKUP($A194,'EA-Fortescue_SDExport'!$A:$A,'EA-Fortescue_SDExport'!V:V)</f>
        <v>46002.06758101852</v>
      </c>
      <c r="W194">
        <f>_xlfn.XLOOKUP($A194,'EA-Fortescue_SDExport'!$A:$A,'EA-Fortescue_SDExport'!W:W)</f>
        <v>0</v>
      </c>
      <c r="X194">
        <f>_xlfn.XLOOKUP($A194,'EA-Fortescue_SDExport'!$A:$A,'EA-Fortescue_SDExport'!X:X)</f>
        <v>0</v>
      </c>
      <c r="Y194">
        <f>_xlfn.XLOOKUP($A194,'EA-Fortescue_SDExport'!$A:$A,'EA-Fortescue_SDExport'!Y:Y)</f>
        <v>0</v>
      </c>
      <c r="Z194" t="str">
        <f>_xlfn.XLOOKUP($A194,'EA-Fortescue_SDExport'!$A:$A,'EA-Fortescue_SDExport'!Z:Z)</f>
        <v>SysML1.4::InterfaceBlock</v>
      </c>
      <c r="AA194" t="str">
        <f>_xlfn.XLOOKUP($A194,InterfaceRegister!$A:$A,InterfaceRegister!B:B)</f>
        <v>855DC-1541-DEL Delphi|HIVE</v>
      </c>
      <c r="AB194" t="str">
        <f>_xlfn.XLOOKUP($A194,InterfaceRegister!$A:$A,InterfaceRegister!C:C)</f>
        <v/>
      </c>
      <c r="AC194" t="str">
        <f>_xlfn.XLOOKUP($A194,InterfaceRegister!$A:$A,InterfaceRegister!D:D)</f>
        <v/>
      </c>
      <c r="AD194" t="str">
        <f>_xlfn.XLOOKUP($A194,InterfaceRegister!$A:$A,InterfaceRegister!E:E)</f>
        <v>Stakeholder - Project Interface</v>
      </c>
      <c r="AE194" t="str">
        <f>_xlfn.XLOOKUP($A194,InterfaceRegister!$A:$A,InterfaceRegister!F:F)</f>
        <v/>
      </c>
      <c r="AF194" t="str">
        <f>_xlfn.XLOOKUP($A194,InterfaceRegister!$A:$A,InterfaceRegister!L:L)</f>
        <v/>
      </c>
      <c r="AG194" t="str">
        <f>_xlfn.XLOOKUP($A194,InterfaceRegister!$A:$A,InterfaceRegister!M:M)</f>
        <v/>
      </c>
      <c r="AH194" t="str">
        <f>_xlfn.XLOOKUP($A194,InterfaceRegister!$A:$A,InterfaceRegister!O:O)</f>
        <v/>
      </c>
      <c r="AI194" t="str">
        <f>_xlfn.XLOOKUP($A194,InterfaceRegister!$A:$A,InterfaceRegister!N:N)</f>
        <v/>
      </c>
      <c r="AJ194" t="str">
        <f>_xlfn.XLOOKUP($A194,'EA-Fortescue_SDExport'!$A:$A,'EA-Fortescue_SDExport'!AX:AX)</f>
        <v>CSV381327B3</v>
      </c>
      <c r="AK194">
        <f>_xlfn.XLOOKUP($A194,'EA-Fortescue_SDExport'!$A:$A,'EA-Fortescue_SDExport'!AY:AY)</f>
        <v>0</v>
      </c>
    </row>
    <row r="195" spans="1:37" x14ac:dyDescent="0.25">
      <c r="A195" t="str">
        <v>DGS-I_0194</v>
      </c>
      <c r="B195" t="str">
        <f>_xlfn.XLOOKUP($A195,'EA-Fortescue_SDExport'!$A:$A,'EA-Fortescue_SDExport'!B:B)</f>
        <v>Class</v>
      </c>
      <c r="C195" t="str">
        <f>_xlfn.XLOOKUP($A195,'EA-Fortescue_SDExport'!$A:$A,'EA-Fortescue_SDExport'!C:C)</f>
        <v>{50C73665-D92B-47e5-A4A5-93CDB3514408}</v>
      </c>
      <c r="D195" t="str">
        <f>_xlfn.LET(_xlpm.result, _xlfn.XLOOKUP($A195, InterfaceRegister!$A:$A, InterfaceRegister!P:P), IF(_xlpm.result=0, "", _xlpm.result))</f>
        <v>Interface Review 25/11/2025: Delete, energy ops will be interfacting with Delphi</v>
      </c>
      <c r="E195">
        <f>_xlfn.XLOOKUP($A195,'EA-Fortescue_SDExport'!$A:$A,'EA-Fortescue_SDExport'!E:E)</f>
        <v>1</v>
      </c>
      <c r="F195">
        <f>_xlfn.XLOOKUP($A195,'EA-Fortescue_SDExport'!$A:$A,'EA-Fortescue_SDExport'!F:F)</f>
        <v>1</v>
      </c>
      <c r="G195">
        <f>_xlfn.XLOOKUP($A195,'EA-Fortescue_SDExport'!$A:$A,'EA-Fortescue_SDExport'!G:G)</f>
        <v>0</v>
      </c>
      <c r="H195" t="str">
        <f>_xlfn.XLOOKUP($A195,'EA-Fortescue_SDExport'!$A:$A,'EA-Fortescue_SDExport'!H:H)</f>
        <v>InterfaceBlock</v>
      </c>
      <c r="I195" t="str">
        <f>_xlfn.XLOOKUP($A195,'EA-Fortescue_SDExport'!$A:$A,'EA-Fortescue_SDExport'!I:I)</f>
        <v>SysML1.4::InterfaceBlock</v>
      </c>
      <c r="J195" t="str">
        <f>_xlfn.XLOOKUP($A195,'EA-Fortescue_SDExport'!$A:$A,'EA-Fortescue_SDExport'!J:J)</f>
        <v>Java</v>
      </c>
      <c r="K195" t="str">
        <f>_xlfn.XLOOKUP($A195,'EA-Fortescue_SDExport'!$A:$A,'EA-Fortescue_SDExport'!K:K)</f>
        <v>Admin</v>
      </c>
      <c r="L195" t="str">
        <f>_xlfn.XLOOKUP($A195,'EA-Fortescue_SDExport'!$A:$A,'EA-Fortescue_SDExport'!L:L)</f>
        <v>Public</v>
      </c>
      <c r="M195">
        <f>_xlfn.XLOOKUP($A195,'EA-Fortescue_SDExport'!$A:$A,'EA-Fortescue_SDExport'!M:M)</f>
        <v>0</v>
      </c>
      <c r="N195" t="str">
        <f>_xlfn.XLOOKUP($A195,InterfaceRegister!$A:$A,InterfaceRegister!K:K)</f>
        <v>Deleted</v>
      </c>
      <c r="O195">
        <f>_xlfn.XLOOKUP($A195,'EA-Fortescue_SDExport'!$A:$A,'EA-Fortescue_SDExport'!O:O)</f>
        <v>1</v>
      </c>
      <c r="P195">
        <f>_xlfn.XLOOKUP($A195,'EA-Fortescue_SDExport'!$A:$A,'EA-Fortescue_SDExport'!P:P)</f>
        <v>0</v>
      </c>
      <c r="Q195">
        <f>_xlfn.XLOOKUP($A195,'EA-Fortescue_SDExport'!$A:$A,'EA-Fortescue_SDExport'!Q:Q)</f>
        <v>0</v>
      </c>
      <c r="R195">
        <f>_xlfn.XLOOKUP($A195,'EA-Fortescue_SDExport'!$A:$A,'EA-Fortescue_SDExport'!R:R)</f>
        <v>0</v>
      </c>
      <c r="S195">
        <f>_xlfn.XLOOKUP($A195,'EA-Fortescue_SDExport'!$A:$A,'EA-Fortescue_SDExport'!S:S)</f>
        <v>0</v>
      </c>
      <c r="T195">
        <f>_xlfn.XLOOKUP($A195,'EA-Fortescue_SDExport'!$A:$A,'EA-Fortescue_SDExport'!T:T)</f>
        <v>0</v>
      </c>
      <c r="U195">
        <f>_xlfn.XLOOKUP($A195,'EA-Fortescue_SDExport'!$A:$A,'EA-Fortescue_SDExport'!U:U)</f>
        <v>45895.917870370373</v>
      </c>
      <c r="V195">
        <f>_xlfn.XLOOKUP($A195,'EA-Fortescue_SDExport'!$A:$A,'EA-Fortescue_SDExport'!V:V)</f>
        <v>46002.067615740743</v>
      </c>
      <c r="W195">
        <f>_xlfn.XLOOKUP($A195,'EA-Fortescue_SDExport'!$A:$A,'EA-Fortescue_SDExport'!W:W)</f>
        <v>0</v>
      </c>
      <c r="X195">
        <f>_xlfn.XLOOKUP($A195,'EA-Fortescue_SDExport'!$A:$A,'EA-Fortescue_SDExport'!X:X)</f>
        <v>0</v>
      </c>
      <c r="Y195">
        <f>_xlfn.XLOOKUP($A195,'EA-Fortescue_SDExport'!$A:$A,'EA-Fortescue_SDExport'!Y:Y)</f>
        <v>0</v>
      </c>
      <c r="Z195" t="str">
        <f>_xlfn.XLOOKUP($A195,'EA-Fortescue_SDExport'!$A:$A,'EA-Fortescue_SDExport'!Z:Z)</f>
        <v>SysML1.4::InterfaceBlock</v>
      </c>
      <c r="AA195" t="str">
        <f>_xlfn.XLOOKUP($A195,InterfaceRegister!$A:$A,InterfaceRegister!B:B)</f>
        <v>855DC-1541-DEL Delphi|Integrated Planning</v>
      </c>
      <c r="AB195" t="str">
        <f>_xlfn.XLOOKUP($A195,InterfaceRegister!$A:$A,InterfaceRegister!C:C)</f>
        <v/>
      </c>
      <c r="AC195" t="str">
        <f>_xlfn.XLOOKUP($A195,InterfaceRegister!$A:$A,InterfaceRegister!D:D)</f>
        <v/>
      </c>
      <c r="AD195" t="str">
        <f>_xlfn.XLOOKUP($A195,InterfaceRegister!$A:$A,InterfaceRegister!E:E)</f>
        <v>Stakeholder - Project Interface</v>
      </c>
      <c r="AE195" t="str">
        <f>_xlfn.XLOOKUP($A195,InterfaceRegister!$A:$A,InterfaceRegister!F:F)</f>
        <v/>
      </c>
      <c r="AF195" t="str">
        <f>_xlfn.XLOOKUP($A195,InterfaceRegister!$A:$A,InterfaceRegister!L:L)</f>
        <v/>
      </c>
      <c r="AG195" t="str">
        <f>_xlfn.XLOOKUP($A195,InterfaceRegister!$A:$A,InterfaceRegister!M:M)</f>
        <v/>
      </c>
      <c r="AH195" t="str">
        <f>_xlfn.XLOOKUP($A195,InterfaceRegister!$A:$A,InterfaceRegister!O:O)</f>
        <v/>
      </c>
      <c r="AI195" t="str">
        <f>_xlfn.XLOOKUP($A195,InterfaceRegister!$A:$A,InterfaceRegister!N:N)</f>
        <v/>
      </c>
      <c r="AJ195" t="str">
        <f>_xlfn.XLOOKUP($A195,'EA-Fortescue_SDExport'!$A:$A,'EA-Fortescue_SDExport'!AX:AX)</f>
        <v>CSVD3E60D52</v>
      </c>
      <c r="AK195">
        <f>_xlfn.XLOOKUP($A195,'EA-Fortescue_SDExport'!$A:$A,'EA-Fortescue_SDExport'!AY:AY)</f>
        <v>0</v>
      </c>
    </row>
    <row r="196" spans="1:37" x14ac:dyDescent="0.25">
      <c r="A196" t="str">
        <v>DGS-I_0195</v>
      </c>
      <c r="B196" t="str">
        <f>_xlfn.XLOOKUP($A196,'EA-Fortescue_SDExport'!$A:$A,'EA-Fortescue_SDExport'!B:B)</f>
        <v>Class</v>
      </c>
      <c r="C196" t="str">
        <f>_xlfn.XLOOKUP($A196,'EA-Fortescue_SDExport'!$A:$A,'EA-Fortescue_SDExport'!C:C)</f>
        <v>{FC0FEC9D-572A-422c-9EEF-3099A98B8172}</v>
      </c>
      <c r="D196" t="str">
        <f>_xlfn.LET(_xlpm.result, _xlfn.XLOOKUP($A196, InterfaceRegister!$A:$A, InterfaceRegister!P:P), IF(_xlpm.result=0, "", _xlpm.result))</f>
        <v>Interface Review 25/11/2025: Delete, energy ops will be interfacting with Delphi</v>
      </c>
      <c r="E196">
        <f>_xlfn.XLOOKUP($A196,'EA-Fortescue_SDExport'!$A:$A,'EA-Fortescue_SDExport'!E:E)</f>
        <v>1</v>
      </c>
      <c r="F196">
        <f>_xlfn.XLOOKUP($A196,'EA-Fortescue_SDExport'!$A:$A,'EA-Fortescue_SDExport'!F:F)</f>
        <v>1</v>
      </c>
      <c r="G196">
        <f>_xlfn.XLOOKUP($A196,'EA-Fortescue_SDExport'!$A:$A,'EA-Fortescue_SDExport'!G:G)</f>
        <v>0</v>
      </c>
      <c r="H196" t="str">
        <f>_xlfn.XLOOKUP($A196,'EA-Fortescue_SDExport'!$A:$A,'EA-Fortescue_SDExport'!H:H)</f>
        <v>InterfaceBlock</v>
      </c>
      <c r="I196" t="str">
        <f>_xlfn.XLOOKUP($A196,'EA-Fortescue_SDExport'!$A:$A,'EA-Fortescue_SDExport'!I:I)</f>
        <v>SysML1.4::InterfaceBlock</v>
      </c>
      <c r="J196" t="str">
        <f>_xlfn.XLOOKUP($A196,'EA-Fortescue_SDExport'!$A:$A,'EA-Fortescue_SDExport'!J:J)</f>
        <v>Java</v>
      </c>
      <c r="K196" t="str">
        <f>_xlfn.XLOOKUP($A196,'EA-Fortescue_SDExport'!$A:$A,'EA-Fortescue_SDExport'!K:K)</f>
        <v>Admin</v>
      </c>
      <c r="L196" t="str">
        <f>_xlfn.XLOOKUP($A196,'EA-Fortescue_SDExport'!$A:$A,'EA-Fortescue_SDExport'!L:L)</f>
        <v>Public</v>
      </c>
      <c r="M196">
        <f>_xlfn.XLOOKUP($A196,'EA-Fortescue_SDExport'!$A:$A,'EA-Fortescue_SDExport'!M:M)</f>
        <v>0</v>
      </c>
      <c r="N196" t="str">
        <f>_xlfn.XLOOKUP($A196,InterfaceRegister!$A:$A,InterfaceRegister!K:K)</f>
        <v>Deleted</v>
      </c>
      <c r="O196">
        <f>_xlfn.XLOOKUP($A196,'EA-Fortescue_SDExport'!$A:$A,'EA-Fortescue_SDExport'!O:O)</f>
        <v>1</v>
      </c>
      <c r="P196">
        <f>_xlfn.XLOOKUP($A196,'EA-Fortescue_SDExport'!$A:$A,'EA-Fortescue_SDExport'!P:P)</f>
        <v>0</v>
      </c>
      <c r="Q196">
        <f>_xlfn.XLOOKUP($A196,'EA-Fortescue_SDExport'!$A:$A,'EA-Fortescue_SDExport'!Q:Q)</f>
        <v>0</v>
      </c>
      <c r="R196">
        <f>_xlfn.XLOOKUP($A196,'EA-Fortescue_SDExport'!$A:$A,'EA-Fortescue_SDExport'!R:R)</f>
        <v>0</v>
      </c>
      <c r="S196">
        <f>_xlfn.XLOOKUP($A196,'EA-Fortescue_SDExport'!$A:$A,'EA-Fortescue_SDExport'!S:S)</f>
        <v>0</v>
      </c>
      <c r="T196">
        <f>_xlfn.XLOOKUP($A196,'EA-Fortescue_SDExport'!$A:$A,'EA-Fortescue_SDExport'!T:T)</f>
        <v>0</v>
      </c>
      <c r="U196">
        <f>_xlfn.XLOOKUP($A196,'EA-Fortescue_SDExport'!$A:$A,'EA-Fortescue_SDExport'!U:U)</f>
        <v>45895.918113425927</v>
      </c>
      <c r="V196">
        <f>_xlfn.XLOOKUP($A196,'EA-Fortescue_SDExport'!$A:$A,'EA-Fortescue_SDExport'!V:V)</f>
        <v>46002.067546296297</v>
      </c>
      <c r="W196">
        <f>_xlfn.XLOOKUP($A196,'EA-Fortescue_SDExport'!$A:$A,'EA-Fortescue_SDExport'!W:W)</f>
        <v>0</v>
      </c>
      <c r="X196">
        <f>_xlfn.XLOOKUP($A196,'EA-Fortescue_SDExport'!$A:$A,'EA-Fortescue_SDExport'!X:X)</f>
        <v>0</v>
      </c>
      <c r="Y196">
        <f>_xlfn.XLOOKUP($A196,'EA-Fortescue_SDExport'!$A:$A,'EA-Fortescue_SDExport'!Y:Y)</f>
        <v>0</v>
      </c>
      <c r="Z196" t="str">
        <f>_xlfn.XLOOKUP($A196,'EA-Fortescue_SDExport'!$A:$A,'EA-Fortescue_SDExport'!Z:Z)</f>
        <v>SysML1.4::InterfaceBlock</v>
      </c>
      <c r="AA196" t="str">
        <f>_xlfn.XLOOKUP($A196,InterfaceRegister!$A:$A,InterfaceRegister!B:B)</f>
        <v>855DC-1541-DEL Delphi|Operations Planning</v>
      </c>
      <c r="AB196" t="str">
        <f>_xlfn.XLOOKUP($A196,InterfaceRegister!$A:$A,InterfaceRegister!C:C)</f>
        <v/>
      </c>
      <c r="AC196" t="str">
        <f>_xlfn.XLOOKUP($A196,InterfaceRegister!$A:$A,InterfaceRegister!D:D)</f>
        <v/>
      </c>
      <c r="AD196" t="str">
        <f>_xlfn.XLOOKUP($A196,InterfaceRegister!$A:$A,InterfaceRegister!E:E)</f>
        <v>Stakeholder - Project Interface</v>
      </c>
      <c r="AE196" t="str">
        <f>_xlfn.XLOOKUP($A196,InterfaceRegister!$A:$A,InterfaceRegister!F:F)</f>
        <v/>
      </c>
      <c r="AF196" t="str">
        <f>_xlfn.XLOOKUP($A196,InterfaceRegister!$A:$A,InterfaceRegister!L:L)</f>
        <v/>
      </c>
      <c r="AG196" t="str">
        <f>_xlfn.XLOOKUP($A196,InterfaceRegister!$A:$A,InterfaceRegister!M:M)</f>
        <v/>
      </c>
      <c r="AH196" t="str">
        <f>_xlfn.XLOOKUP($A196,InterfaceRegister!$A:$A,InterfaceRegister!O:O)</f>
        <v/>
      </c>
      <c r="AI196" t="str">
        <f>_xlfn.XLOOKUP($A196,InterfaceRegister!$A:$A,InterfaceRegister!N:N)</f>
        <v/>
      </c>
      <c r="AJ196" t="str">
        <f>_xlfn.XLOOKUP($A196,'EA-Fortescue_SDExport'!$A:$A,'EA-Fortescue_SDExport'!AX:AX)</f>
        <v>CSVAD059BA1</v>
      </c>
      <c r="AK196">
        <f>_xlfn.XLOOKUP($A196,'EA-Fortescue_SDExport'!$A:$A,'EA-Fortescue_SDExport'!AY:AY)</f>
        <v>0</v>
      </c>
    </row>
    <row r="197" spans="1:37" x14ac:dyDescent="0.25">
      <c r="A197" t="str">
        <v>DGS-I_0196</v>
      </c>
      <c r="B197" t="str">
        <f>_xlfn.XLOOKUP($A197,'EA-Fortescue_SDExport'!$A:$A,'EA-Fortescue_SDExport'!B:B)</f>
        <v>Class</v>
      </c>
      <c r="C197" t="str">
        <f>_xlfn.XLOOKUP($A197,'EA-Fortescue_SDExport'!$A:$A,'EA-Fortescue_SDExport'!C:C)</f>
        <v>{85CE3225-7203-4900-BC01-49F3396BAC0F}</v>
      </c>
      <c r="D197" t="str">
        <f>_xlfn.LET(_xlpm.result, _xlfn.XLOOKUP($A197, InterfaceRegister!$A:$A, InterfaceRegister!P:P), IF(_xlpm.result=0, "", _xlpm.result))</f>
        <v>Interface Review 25/11/2025: Delete, energy ops will be interfacting with Delphi_x000D_
DocStack-SAComparison_Delphi 18/02/2026: Reinstate into SA._x000D_
NH 18/02/2026: Fields updated: Interface Type, Interface Description (Interface Purpose), Interface Criticality, Interface Criticality Explanation, Interface Flow.</v>
      </c>
      <c r="E197">
        <f>_xlfn.XLOOKUP($A197,'EA-Fortescue_SDExport'!$A:$A,'EA-Fortescue_SDExport'!E:E)</f>
        <v>1</v>
      </c>
      <c r="F197">
        <f>_xlfn.XLOOKUP($A197,'EA-Fortescue_SDExport'!$A:$A,'EA-Fortescue_SDExport'!F:F)</f>
        <v>1</v>
      </c>
      <c r="G197">
        <f>_xlfn.XLOOKUP($A197,'EA-Fortescue_SDExport'!$A:$A,'EA-Fortescue_SDExport'!G:G)</f>
        <v>0</v>
      </c>
      <c r="H197" t="str">
        <f>_xlfn.XLOOKUP($A197,'EA-Fortescue_SDExport'!$A:$A,'EA-Fortescue_SDExport'!H:H)</f>
        <v>InterfaceBlock</v>
      </c>
      <c r="I197" t="str">
        <f>_xlfn.XLOOKUP($A197,'EA-Fortescue_SDExport'!$A:$A,'EA-Fortescue_SDExport'!I:I)</f>
        <v>SysML1.4::InterfaceBlock</v>
      </c>
      <c r="J197" t="str">
        <f>_xlfn.XLOOKUP($A197,'EA-Fortescue_SDExport'!$A:$A,'EA-Fortescue_SDExport'!J:J)</f>
        <v>Java</v>
      </c>
      <c r="K197" t="str">
        <f>_xlfn.XLOOKUP($A197,'EA-Fortescue_SDExport'!$A:$A,'EA-Fortescue_SDExport'!K:K)</f>
        <v>Admin</v>
      </c>
      <c r="L197" t="str">
        <f>_xlfn.XLOOKUP($A197,'EA-Fortescue_SDExport'!$A:$A,'EA-Fortescue_SDExport'!L:L)</f>
        <v>Public</v>
      </c>
      <c r="M197">
        <f>_xlfn.XLOOKUP($A197,'EA-Fortescue_SDExport'!$A:$A,'EA-Fortescue_SDExport'!M:M)</f>
        <v>0</v>
      </c>
      <c r="N197" t="str">
        <f>_xlfn.XLOOKUP($A197,InterfaceRegister!$A:$A,InterfaceRegister!K:K)</f>
        <v>Proposed</v>
      </c>
      <c r="O197">
        <f>_xlfn.XLOOKUP($A197,'EA-Fortescue_SDExport'!$A:$A,'EA-Fortescue_SDExport'!O:O)</f>
        <v>1</v>
      </c>
      <c r="P197">
        <f>_xlfn.XLOOKUP($A197,'EA-Fortescue_SDExport'!$A:$A,'EA-Fortescue_SDExport'!P:P)</f>
        <v>0</v>
      </c>
      <c r="Q197">
        <f>_xlfn.XLOOKUP($A197,'EA-Fortescue_SDExport'!$A:$A,'EA-Fortescue_SDExport'!Q:Q)</f>
        <v>0</v>
      </c>
      <c r="R197">
        <f>_xlfn.XLOOKUP($A197,'EA-Fortescue_SDExport'!$A:$A,'EA-Fortescue_SDExport'!R:R)</f>
        <v>0</v>
      </c>
      <c r="S197">
        <f>_xlfn.XLOOKUP($A197,'EA-Fortescue_SDExport'!$A:$A,'EA-Fortescue_SDExport'!S:S)</f>
        <v>0</v>
      </c>
      <c r="T197">
        <f>_xlfn.XLOOKUP($A197,'EA-Fortescue_SDExport'!$A:$A,'EA-Fortescue_SDExport'!T:T)</f>
        <v>0</v>
      </c>
      <c r="U197">
        <f>_xlfn.XLOOKUP($A197,'EA-Fortescue_SDExport'!$A:$A,'EA-Fortescue_SDExport'!U:U)</f>
        <v>45895.824270833335</v>
      </c>
      <c r="V197">
        <f>_xlfn.XLOOKUP($A197,'EA-Fortescue_SDExport'!$A:$A,'EA-Fortescue_SDExport'!V:V)</f>
        <v>46071.945787037039</v>
      </c>
      <c r="W197">
        <f>_xlfn.XLOOKUP($A197,'EA-Fortescue_SDExport'!$A:$A,'EA-Fortescue_SDExport'!W:W)</f>
        <v>0</v>
      </c>
      <c r="X197">
        <f>_xlfn.XLOOKUP($A197,'EA-Fortescue_SDExport'!$A:$A,'EA-Fortescue_SDExport'!X:X)</f>
        <v>0</v>
      </c>
      <c r="Y197">
        <f>_xlfn.XLOOKUP($A197,'EA-Fortescue_SDExport'!$A:$A,'EA-Fortescue_SDExport'!Y:Y)</f>
        <v>0</v>
      </c>
      <c r="Z197" t="str">
        <f>_xlfn.XLOOKUP($A197,'EA-Fortescue_SDExport'!$A:$A,'EA-Fortescue_SDExport'!Z:Z)</f>
        <v>SysML1.4::InterfaceBlock</v>
      </c>
      <c r="AA197" t="str">
        <f>_xlfn.XLOOKUP($A197,InterfaceRegister!$A:$A,InterfaceRegister!B:B)</f>
        <v>855DC-1541-ECL-001 Eclipse Planning|855DC-1541-DEL Delphi</v>
      </c>
      <c r="AB197" t="str">
        <f>_xlfn.XLOOKUP($A197,InterfaceRegister!$A:$A,InterfaceRegister!C:C)</f>
        <v/>
      </c>
      <c r="AC197" t="str">
        <f>_xlfn.XLOOKUP($A197,InterfaceRegister!$A:$A,InterfaceRegister!D:D)</f>
        <v/>
      </c>
      <c r="AD197" t="str">
        <f>_xlfn.XLOOKUP($A197,InterfaceRegister!$A:$A,InterfaceRegister!E:E)</f>
        <v>Project - Subsystem Interface</v>
      </c>
      <c r="AE197" t="str">
        <f>_xlfn.XLOOKUP($A197,InterfaceRegister!$A:$A,InterfaceRegister!F:F)</f>
        <v>Technical-Data/Software</v>
      </c>
      <c r="AF197" t="str">
        <f>_xlfn.XLOOKUP($A197,InterfaceRegister!$A:$A,InterfaceRegister!L:L)</f>
        <v>This interface enables bidirectional data exchange between Eclipse Planning and Delphi. Eclipse Planning provides multi-horizon planning outputs including operating mode guidance Long - Balanced - Short, Demand Response Playbooks, gas strategy assumptions, emissions posture guidance, and constraint boundary conditions. Delphi provides time-aligned renewable generation forecasts, load forecasts, scenario ensembles, and forecast updates to support planning analysis, visualisation, and alignment across the energy-aware planning framework. The interface supports forecast consistency, scenario management, and integrated reporting. The interface exchanges data only and does not execute operational control actions.</v>
      </c>
      <c r="AG197" t="str">
        <f>_xlfn.XLOOKUP($A197,InterfaceRegister!$A:$A,InterfaceRegister!M:M)</f>
        <v>HIGH</v>
      </c>
      <c r="AH197" t="str">
        <f>_xlfn.XLOOKUP($A197,InterfaceRegister!$A:$A,InterfaceRegister!O:O)</f>
        <v>Eclipse Planning &lt;-&gt; Delphi</v>
      </c>
      <c r="AI197" t="str">
        <f>_xlfn.XLOOKUP($A197,InterfaceRegister!$A:$A,InterfaceRegister!N:N)</f>
        <v>The criticality is HIGH because this interface connects the enterprise forecasting platform with the strategic and tactical energy planning layer that sets operational modes, Demand Response availability, and gas strategy assumptions. Inaccurate or inconsistent data exchange could result in misaligned planning assumptions, inappropriate operating mode selection, or downstream impacts to intra-shift optimisation and grid stability.</v>
      </c>
      <c r="AJ197" t="str">
        <f>_xlfn.XLOOKUP($A197,'EA-Fortescue_SDExport'!$A:$A,'EA-Fortescue_SDExport'!AX:AX)</f>
        <v>CSV531C6032</v>
      </c>
      <c r="AK197">
        <f>_xlfn.XLOOKUP($A197,'EA-Fortescue_SDExport'!$A:$A,'EA-Fortescue_SDExport'!AY:AY)</f>
        <v>0</v>
      </c>
    </row>
    <row r="198" spans="1:37" x14ac:dyDescent="0.25">
      <c r="A198" t="str">
        <v>DGS-I_0197</v>
      </c>
      <c r="B198" t="str">
        <f>_xlfn.XLOOKUP($A198,'EA-Fortescue_SDExport'!$A:$A,'EA-Fortescue_SDExport'!B:B)</f>
        <v>Class</v>
      </c>
      <c r="C198" t="str">
        <f>_xlfn.XLOOKUP($A198,'EA-Fortescue_SDExport'!$A:$A,'EA-Fortescue_SDExport'!C:C)</f>
        <v>{72385917-D268-414f-BCF8-E3D0A7618391}</v>
      </c>
      <c r="D198" t="str">
        <f>_xlfn.LET(_xlpm.result, _xlfn.XLOOKUP($A198, InterfaceRegister!$A:$A, InterfaceRegister!P:P), IF(_xlpm.result=0, "", _xlpm.result))</f>
        <v>Interface Review 25/11/2025: Delete, Plexos is a subsystem of Eclipse and won't be interfacing with Delphi</v>
      </c>
      <c r="E198">
        <f>_xlfn.XLOOKUP($A198,'EA-Fortescue_SDExport'!$A:$A,'EA-Fortescue_SDExport'!E:E)</f>
        <v>1</v>
      </c>
      <c r="F198">
        <f>_xlfn.XLOOKUP($A198,'EA-Fortescue_SDExport'!$A:$A,'EA-Fortescue_SDExport'!F:F)</f>
        <v>1</v>
      </c>
      <c r="G198">
        <f>_xlfn.XLOOKUP($A198,'EA-Fortescue_SDExport'!$A:$A,'EA-Fortescue_SDExport'!G:G)</f>
        <v>0</v>
      </c>
      <c r="H198" t="str">
        <f>_xlfn.XLOOKUP($A198,'EA-Fortescue_SDExport'!$A:$A,'EA-Fortescue_SDExport'!H:H)</f>
        <v>InterfaceBlock</v>
      </c>
      <c r="I198" t="str">
        <f>_xlfn.XLOOKUP($A198,'EA-Fortescue_SDExport'!$A:$A,'EA-Fortescue_SDExport'!I:I)</f>
        <v>SysML1.4::InterfaceBlock</v>
      </c>
      <c r="J198" t="str">
        <f>_xlfn.XLOOKUP($A198,'EA-Fortescue_SDExport'!$A:$A,'EA-Fortescue_SDExport'!J:J)</f>
        <v>Java</v>
      </c>
      <c r="K198" t="str">
        <f>_xlfn.XLOOKUP($A198,'EA-Fortescue_SDExport'!$A:$A,'EA-Fortescue_SDExport'!K:K)</f>
        <v>Admin</v>
      </c>
      <c r="L198" t="str">
        <f>_xlfn.XLOOKUP($A198,'EA-Fortescue_SDExport'!$A:$A,'EA-Fortescue_SDExport'!L:L)</f>
        <v>Public</v>
      </c>
      <c r="M198">
        <f>_xlfn.XLOOKUP($A198,'EA-Fortescue_SDExport'!$A:$A,'EA-Fortescue_SDExport'!M:M)</f>
        <v>0</v>
      </c>
      <c r="N198" t="str">
        <f>_xlfn.XLOOKUP($A198,InterfaceRegister!$A:$A,InterfaceRegister!K:K)</f>
        <v>Deleted</v>
      </c>
      <c r="O198">
        <f>_xlfn.XLOOKUP($A198,'EA-Fortescue_SDExport'!$A:$A,'EA-Fortescue_SDExport'!O:O)</f>
        <v>1</v>
      </c>
      <c r="P198">
        <f>_xlfn.XLOOKUP($A198,'EA-Fortescue_SDExport'!$A:$A,'EA-Fortescue_SDExport'!P:P)</f>
        <v>0</v>
      </c>
      <c r="Q198">
        <f>_xlfn.XLOOKUP($A198,'EA-Fortescue_SDExport'!$A:$A,'EA-Fortescue_SDExport'!Q:Q)</f>
        <v>0</v>
      </c>
      <c r="R198">
        <f>_xlfn.XLOOKUP($A198,'EA-Fortescue_SDExport'!$A:$A,'EA-Fortescue_SDExport'!R:R)</f>
        <v>0</v>
      </c>
      <c r="S198">
        <f>_xlfn.XLOOKUP($A198,'EA-Fortescue_SDExport'!$A:$A,'EA-Fortescue_SDExport'!S:S)</f>
        <v>0</v>
      </c>
      <c r="T198">
        <f>_xlfn.XLOOKUP($A198,'EA-Fortescue_SDExport'!$A:$A,'EA-Fortescue_SDExport'!T:T)</f>
        <v>0</v>
      </c>
      <c r="U198">
        <f>_xlfn.XLOOKUP($A198,'EA-Fortescue_SDExport'!$A:$A,'EA-Fortescue_SDExport'!U:U)</f>
        <v>45944.622557870367</v>
      </c>
      <c r="V198">
        <f>_xlfn.XLOOKUP($A198,'EA-Fortescue_SDExport'!$A:$A,'EA-Fortescue_SDExport'!V:V)</f>
        <v>46002.06759259259</v>
      </c>
      <c r="W198">
        <f>_xlfn.XLOOKUP($A198,'EA-Fortescue_SDExport'!$A:$A,'EA-Fortescue_SDExport'!W:W)</f>
        <v>0</v>
      </c>
      <c r="X198">
        <f>_xlfn.XLOOKUP($A198,'EA-Fortescue_SDExport'!$A:$A,'EA-Fortescue_SDExport'!X:X)</f>
        <v>0</v>
      </c>
      <c r="Y198">
        <f>_xlfn.XLOOKUP($A198,'EA-Fortescue_SDExport'!$A:$A,'EA-Fortescue_SDExport'!Y:Y)</f>
        <v>0</v>
      </c>
      <c r="Z198" t="str">
        <f>_xlfn.XLOOKUP($A198,'EA-Fortescue_SDExport'!$A:$A,'EA-Fortescue_SDExport'!Z:Z)</f>
        <v>SysML1.4::InterfaceBlock</v>
      </c>
      <c r="AA198" t="str">
        <f>_xlfn.XLOOKUP($A198,InterfaceRegister!$A:$A,InterfaceRegister!B:B)</f>
        <v>855DC-1541-ECL-003 Plexos|855DC-1541-DEL Delphi</v>
      </c>
      <c r="AB198" t="str">
        <f>_xlfn.XLOOKUP($A198,InterfaceRegister!$A:$A,InterfaceRegister!C:C)</f>
        <v/>
      </c>
      <c r="AC198" t="str">
        <f>_xlfn.XLOOKUP($A198,InterfaceRegister!$A:$A,InterfaceRegister!D:D)</f>
        <v/>
      </c>
      <c r="AD198" t="str">
        <f>_xlfn.XLOOKUP($A198,InterfaceRegister!$A:$A,InterfaceRegister!E:E)</f>
        <v>Project - Subsystem Interface</v>
      </c>
      <c r="AE198" t="str">
        <f>_xlfn.XLOOKUP($A198,InterfaceRegister!$A:$A,InterfaceRegister!F:F)</f>
        <v/>
      </c>
      <c r="AF198" t="str">
        <f>_xlfn.XLOOKUP($A198,InterfaceRegister!$A:$A,InterfaceRegister!L:L)</f>
        <v/>
      </c>
      <c r="AG198" t="str">
        <f>_xlfn.XLOOKUP($A198,InterfaceRegister!$A:$A,InterfaceRegister!M:M)</f>
        <v/>
      </c>
      <c r="AH198" t="str">
        <f>_xlfn.XLOOKUP($A198,InterfaceRegister!$A:$A,InterfaceRegister!O:O)</f>
        <v/>
      </c>
      <c r="AI198" t="str">
        <f>_xlfn.XLOOKUP($A198,InterfaceRegister!$A:$A,InterfaceRegister!N:N)</f>
        <v/>
      </c>
      <c r="AJ198" t="str">
        <f>_xlfn.XLOOKUP($A198,'EA-Fortescue_SDExport'!$A:$A,'EA-Fortescue_SDExport'!AX:AX)</f>
        <v>CSVE5A5DE52</v>
      </c>
      <c r="AK198">
        <f>_xlfn.XLOOKUP($A198,'EA-Fortescue_SDExport'!$A:$A,'EA-Fortescue_SDExport'!AY:AY)</f>
        <v>0</v>
      </c>
    </row>
    <row r="199" spans="1:37" x14ac:dyDescent="0.25">
      <c r="A199" t="str">
        <v>DGS-I_0198</v>
      </c>
      <c r="B199" t="str">
        <f>_xlfn.XLOOKUP($A199,'EA-Fortescue_SDExport'!$A:$A,'EA-Fortescue_SDExport'!B:B)</f>
        <v>Class</v>
      </c>
      <c r="C199" t="str">
        <f>_xlfn.XLOOKUP($A199,'EA-Fortescue_SDExport'!$A:$A,'EA-Fortescue_SDExport'!C:C)</f>
        <v>{97F1B23A-7E8C-43d4-990D-98D2CD420F15}</v>
      </c>
      <c r="D199" t="str">
        <f>_xlfn.LET(_xlpm.result, _xlfn.XLOOKUP($A199, InterfaceRegister!$A:$A, InterfaceRegister!P:P), IF(_xlpm.result=0, "", _xlpm.result))</f>
        <v>NH 20/02/2026: Fields updated: Interface Type, Interface Flow.</v>
      </c>
      <c r="E199">
        <f>_xlfn.XLOOKUP($A199,'EA-Fortescue_SDExport'!$A:$A,'EA-Fortescue_SDExport'!E:E)</f>
        <v>1</v>
      </c>
      <c r="F199">
        <f>_xlfn.XLOOKUP($A199,'EA-Fortescue_SDExport'!$A:$A,'EA-Fortescue_SDExport'!F:F)</f>
        <v>1</v>
      </c>
      <c r="G199">
        <f>_xlfn.XLOOKUP($A199,'EA-Fortescue_SDExport'!$A:$A,'EA-Fortescue_SDExport'!G:G)</f>
        <v>0</v>
      </c>
      <c r="H199" t="str">
        <f>_xlfn.XLOOKUP($A199,'EA-Fortescue_SDExport'!$A:$A,'EA-Fortescue_SDExport'!H:H)</f>
        <v>InterfaceBlock</v>
      </c>
      <c r="I199" t="str">
        <f>_xlfn.XLOOKUP($A199,'EA-Fortescue_SDExport'!$A:$A,'EA-Fortescue_SDExport'!I:I)</f>
        <v>SysML1.4::InterfaceBlock</v>
      </c>
      <c r="J199" t="str">
        <f>_xlfn.XLOOKUP($A199,'EA-Fortescue_SDExport'!$A:$A,'EA-Fortescue_SDExport'!J:J)</f>
        <v>Java</v>
      </c>
      <c r="K199" t="str">
        <f>_xlfn.XLOOKUP($A199,'EA-Fortescue_SDExport'!$A:$A,'EA-Fortescue_SDExport'!K:K)</f>
        <v>Admin</v>
      </c>
      <c r="L199" t="str">
        <f>_xlfn.XLOOKUP($A199,'EA-Fortescue_SDExport'!$A:$A,'EA-Fortescue_SDExport'!L:L)</f>
        <v>Public</v>
      </c>
      <c r="M199">
        <f>_xlfn.XLOOKUP($A199,'EA-Fortescue_SDExport'!$A:$A,'EA-Fortescue_SDExport'!M:M)</f>
        <v>0</v>
      </c>
      <c r="N199" t="str">
        <f>_xlfn.XLOOKUP($A199,InterfaceRegister!$A:$A,InterfaceRegister!K:K)</f>
        <v>Proposed</v>
      </c>
      <c r="O199">
        <f>_xlfn.XLOOKUP($A199,'EA-Fortescue_SDExport'!$A:$A,'EA-Fortescue_SDExport'!O:O)</f>
        <v>1</v>
      </c>
      <c r="P199">
        <f>_xlfn.XLOOKUP($A199,'EA-Fortescue_SDExport'!$A:$A,'EA-Fortescue_SDExport'!P:P)</f>
        <v>0</v>
      </c>
      <c r="Q199">
        <f>_xlfn.XLOOKUP($A199,'EA-Fortescue_SDExport'!$A:$A,'EA-Fortescue_SDExport'!Q:Q)</f>
        <v>0</v>
      </c>
      <c r="R199">
        <f>_xlfn.XLOOKUP($A199,'EA-Fortescue_SDExport'!$A:$A,'EA-Fortescue_SDExport'!R:R)</f>
        <v>0</v>
      </c>
      <c r="S199">
        <f>_xlfn.XLOOKUP($A199,'EA-Fortescue_SDExport'!$A:$A,'EA-Fortescue_SDExport'!S:S)</f>
        <v>0</v>
      </c>
      <c r="T199">
        <f>_xlfn.XLOOKUP($A199,'EA-Fortescue_SDExport'!$A:$A,'EA-Fortescue_SDExport'!T:T)</f>
        <v>0</v>
      </c>
      <c r="U199">
        <f>_xlfn.XLOOKUP($A199,'EA-Fortescue_SDExport'!$A:$A,'EA-Fortescue_SDExport'!U:U)</f>
        <v>45895.91673611111</v>
      </c>
      <c r="V199">
        <f>_xlfn.XLOOKUP($A199,'EA-Fortescue_SDExport'!$A:$A,'EA-Fortescue_SDExport'!V:V)</f>
        <v>46077.993217592593</v>
      </c>
      <c r="W199">
        <f>_xlfn.XLOOKUP($A199,'EA-Fortescue_SDExport'!$A:$A,'EA-Fortescue_SDExport'!W:W)</f>
        <v>0</v>
      </c>
      <c r="X199">
        <f>_xlfn.XLOOKUP($A199,'EA-Fortescue_SDExport'!$A:$A,'EA-Fortescue_SDExport'!X:X)</f>
        <v>0</v>
      </c>
      <c r="Y199">
        <f>_xlfn.XLOOKUP($A199,'EA-Fortescue_SDExport'!$A:$A,'EA-Fortescue_SDExport'!Y:Y)</f>
        <v>0</v>
      </c>
      <c r="Z199" t="str">
        <f>_xlfn.XLOOKUP($A199,'EA-Fortescue_SDExport'!$A:$A,'EA-Fortescue_SDExport'!Z:Z)</f>
        <v>SysML1.4::InterfaceBlock</v>
      </c>
      <c r="AA199" t="str">
        <f>_xlfn.XLOOKUP($A199,InterfaceRegister!$A:$A,InterfaceRegister!B:B)</f>
        <v>855DC-1543-008 Monarch|Energy Operations (HIVE)</v>
      </c>
      <c r="AB199" t="str">
        <f>_xlfn.XLOOKUP($A199,InterfaceRegister!$A:$A,InterfaceRegister!C:C)</f>
        <v>Energy Operations</v>
      </c>
      <c r="AC199" t="str">
        <f>_xlfn.XLOOKUP($A199,InterfaceRegister!$A:$A,InterfaceRegister!D:D)</f>
        <v/>
      </c>
      <c r="AD199" t="str">
        <f>_xlfn.XLOOKUP($A199,InterfaceRegister!$A:$A,InterfaceRegister!E:E)</f>
        <v>Stakeholder - Project Interface</v>
      </c>
      <c r="AE199" t="str">
        <f>_xlfn.XLOOKUP($A199,InterfaceRegister!$A:$A,InterfaceRegister!F:F)</f>
        <v>Technical-Data/Software</v>
      </c>
      <c r="AF199" t="str">
        <f>_xlfn.XLOOKUP($A199,InterfaceRegister!$A:$A,InterfaceRegister!L:L)</f>
        <v>This interface provides Energy Operations with real-time power system visibility and operational data from Monarch, enabling the team to oversee generation, storage, and distribution conditions.</v>
      </c>
      <c r="AG199" t="str">
        <f>_xlfn.XLOOKUP($A199,InterfaceRegister!$A:$A,InterfaceRegister!M:M)</f>
        <v>MEDIUM</v>
      </c>
      <c r="AH199" t="str">
        <f>_xlfn.XLOOKUP($A199,InterfaceRegister!$A:$A,InterfaceRegister!O:O)</f>
        <v>Data Flow: Monarch -&gt; Energy Operations (real-time generation output, storage status, distribution network conditions, load balance metrics, alarms, equipment status, event notifications) to support operational oversight and coordination.</v>
      </c>
      <c r="AI199" t="str">
        <f>_xlfn.XLOOKUP($A199,InterfaceRegister!$A:$A,InterfaceRegister!N:N)</f>
        <v>The criticality level is MEDIUM because Energy Operations relies on the data for situational awareness, but Monarch remains able to operate independently even if the link is lost. Loss of visibility may hamper decision-making and increase the risk of delayed responses to electrical instability, but it does not directly impact energy system control.</v>
      </c>
      <c r="AJ199" t="str">
        <f>_xlfn.XLOOKUP($A199,'EA-Fortescue_SDExport'!$A:$A,'EA-Fortescue_SDExport'!AX:AX)</f>
        <v>CSV4F79CE50</v>
      </c>
      <c r="AK199">
        <f>_xlfn.XLOOKUP($A199,'EA-Fortescue_SDExport'!$A:$A,'EA-Fortescue_SDExport'!AY:AY)</f>
        <v>0</v>
      </c>
    </row>
    <row r="200" spans="1:37" x14ac:dyDescent="0.25">
      <c r="A200" t="str">
        <v>DGS-I_0199</v>
      </c>
      <c r="B200" t="str">
        <f>_xlfn.XLOOKUP($A200,'EA-Fortescue_SDExport'!$A:$A,'EA-Fortescue_SDExport'!B:B)</f>
        <v>Class</v>
      </c>
      <c r="C200" t="str">
        <f>_xlfn.XLOOKUP($A200,'EA-Fortescue_SDExport'!$A:$A,'EA-Fortescue_SDExport'!C:C)</f>
        <v>{4B0A1E69-7083-41b0-A537-ACD2B0AB7272}</v>
      </c>
      <c r="D200" t="str">
        <f>_xlfn.LET(_xlpm.result, _xlfn.XLOOKUP($A200, InterfaceRegister!$A:$A, InterfaceRegister!P:P), IF(_xlpm.result=0, "", _xlpm.result))</f>
        <v/>
      </c>
      <c r="E200">
        <f>_xlfn.XLOOKUP($A200,'EA-Fortescue_SDExport'!$A:$A,'EA-Fortescue_SDExport'!E:E)</f>
        <v>1</v>
      </c>
      <c r="F200">
        <f>_xlfn.XLOOKUP($A200,'EA-Fortescue_SDExport'!$A:$A,'EA-Fortescue_SDExport'!F:F)</f>
        <v>1</v>
      </c>
      <c r="G200">
        <f>_xlfn.XLOOKUP($A200,'EA-Fortescue_SDExport'!$A:$A,'EA-Fortescue_SDExport'!G:G)</f>
        <v>0</v>
      </c>
      <c r="H200" t="str">
        <f>_xlfn.XLOOKUP($A200,'EA-Fortescue_SDExport'!$A:$A,'EA-Fortescue_SDExport'!H:H)</f>
        <v>InterfaceBlock</v>
      </c>
      <c r="I200" t="str">
        <f>_xlfn.XLOOKUP($A200,'EA-Fortescue_SDExport'!$A:$A,'EA-Fortescue_SDExport'!I:I)</f>
        <v>SysML1.4::InterfaceBlock</v>
      </c>
      <c r="J200" t="str">
        <f>_xlfn.XLOOKUP($A200,'EA-Fortescue_SDExport'!$A:$A,'EA-Fortescue_SDExport'!J:J)</f>
        <v>Java</v>
      </c>
      <c r="K200" t="str">
        <f>_xlfn.XLOOKUP($A200,'EA-Fortescue_SDExport'!$A:$A,'EA-Fortescue_SDExport'!K:K)</f>
        <v>Admin</v>
      </c>
      <c r="L200" t="str">
        <f>_xlfn.XLOOKUP($A200,'EA-Fortescue_SDExport'!$A:$A,'EA-Fortescue_SDExport'!L:L)</f>
        <v>Public</v>
      </c>
      <c r="M200">
        <f>_xlfn.XLOOKUP($A200,'EA-Fortescue_SDExport'!$A:$A,'EA-Fortescue_SDExport'!M:M)</f>
        <v>0</v>
      </c>
      <c r="N200" t="str">
        <f>_xlfn.XLOOKUP($A200,InterfaceRegister!$A:$A,InterfaceRegister!K:K)</f>
        <v>Proposed</v>
      </c>
      <c r="O200">
        <f>_xlfn.XLOOKUP($A200,'EA-Fortescue_SDExport'!$A:$A,'EA-Fortescue_SDExport'!O:O)</f>
        <v>1</v>
      </c>
      <c r="P200">
        <f>_xlfn.XLOOKUP($A200,'EA-Fortescue_SDExport'!$A:$A,'EA-Fortescue_SDExport'!P:P)</f>
        <v>0</v>
      </c>
      <c r="Q200">
        <f>_xlfn.XLOOKUP($A200,'EA-Fortescue_SDExport'!$A:$A,'EA-Fortescue_SDExport'!Q:Q)</f>
        <v>0</v>
      </c>
      <c r="R200">
        <f>_xlfn.XLOOKUP($A200,'EA-Fortescue_SDExport'!$A:$A,'EA-Fortescue_SDExport'!R:R)</f>
        <v>0</v>
      </c>
      <c r="S200">
        <f>_xlfn.XLOOKUP($A200,'EA-Fortescue_SDExport'!$A:$A,'EA-Fortescue_SDExport'!S:S)</f>
        <v>0</v>
      </c>
      <c r="T200">
        <f>_xlfn.XLOOKUP($A200,'EA-Fortescue_SDExport'!$A:$A,'EA-Fortescue_SDExport'!T:T)</f>
        <v>0</v>
      </c>
      <c r="U200">
        <f>_xlfn.XLOOKUP($A200,'EA-Fortescue_SDExport'!$A:$A,'EA-Fortescue_SDExport'!U:U)</f>
        <v>45895.916655092595</v>
      </c>
      <c r="V200">
        <f>_xlfn.XLOOKUP($A200,'EA-Fortescue_SDExport'!$A:$A,'EA-Fortescue_SDExport'!V:V)</f>
        <v>46002.067604166667</v>
      </c>
      <c r="W200">
        <f>_xlfn.XLOOKUP($A200,'EA-Fortescue_SDExport'!$A:$A,'EA-Fortescue_SDExport'!W:W)</f>
        <v>0</v>
      </c>
      <c r="X200">
        <f>_xlfn.XLOOKUP($A200,'EA-Fortescue_SDExport'!$A:$A,'EA-Fortescue_SDExport'!X:X)</f>
        <v>0</v>
      </c>
      <c r="Y200">
        <f>_xlfn.XLOOKUP($A200,'EA-Fortescue_SDExport'!$A:$A,'EA-Fortescue_SDExport'!Y:Y)</f>
        <v>0</v>
      </c>
      <c r="Z200" t="str">
        <f>_xlfn.XLOOKUP($A200,'EA-Fortescue_SDExport'!$A:$A,'EA-Fortescue_SDExport'!Z:Z)</f>
        <v>SysML1.4::InterfaceBlock</v>
      </c>
      <c r="AA200" t="str">
        <f>_xlfn.XLOOKUP($A200,InterfaceRegister!$A:$A,InterfaceRegister!B:B)</f>
        <v>Power Projects|855DC-1543-008 Monarch</v>
      </c>
      <c r="AB200" t="str">
        <f>_xlfn.XLOOKUP($A200,InterfaceRegister!$A:$A,InterfaceRegister!C:C)</f>
        <v>Energy Operations</v>
      </c>
      <c r="AC200" t="str">
        <f>_xlfn.XLOOKUP($A200,InterfaceRegister!$A:$A,InterfaceRegister!D:D)</f>
        <v/>
      </c>
      <c r="AD200" t="str">
        <f>_xlfn.XLOOKUP($A200,InterfaceRegister!$A:$A,InterfaceRegister!E:E)</f>
        <v>Stakeholder - Project Interface</v>
      </c>
      <c r="AE200" t="str">
        <f>_xlfn.XLOOKUP($A200,InterfaceRegister!$A:$A,InterfaceRegister!F:F)</f>
        <v>Project-Contractual/Organisational</v>
      </c>
      <c r="AF200" t="str">
        <f>_xlfn.XLOOKUP($A200,InterfaceRegister!$A:$A,InterfaceRegister!L:L)</f>
        <v>This interface allows Power Projects to provide design, configuration, or commissioning data to Monarch for new or upgraded electrical assets.</v>
      </c>
      <c r="AG200" t="str">
        <f>_xlfn.XLOOKUP($A200,InterfaceRegister!$A:$A,InterfaceRegister!M:M)</f>
        <v>LOW</v>
      </c>
      <c r="AH200" t="str">
        <f>_xlfn.XLOOKUP($A200,InterfaceRegister!$A:$A,InterfaceRegister!O:O)</f>
        <v>Data Flow:_x000D_
Power Projects / 855DC-1543 Existing Systems - Green Enhancement -&gt; 855DC-1543-008 Monarch, transmitting design data, configuration parameters, asset models, commissioning settings, and updated network topology information for new or modified electrical assets._x000D_
Monarch -&gt; Power Projects (where applicable), providing validation feedback, integration status, configuration acceptance results, or data quality queries during commissioning and handover.</v>
      </c>
      <c r="AI200" t="str">
        <f>_xlfn.XLOOKUP($A200,InterfaceRegister!$A:$A,InterfaceRegister!N:N)</f>
        <v>The criticality level is LOW because failure at this interface does not impact real-time production, safety, or core operational control. It only delays project integration workflows.</v>
      </c>
      <c r="AJ200" t="str">
        <f>_xlfn.XLOOKUP($A200,'EA-Fortescue_SDExport'!$A:$A,'EA-Fortescue_SDExport'!AX:AX)</f>
        <v>CSV9BA1904B</v>
      </c>
      <c r="AK200">
        <f>_xlfn.XLOOKUP($A200,'EA-Fortescue_SDExport'!$A:$A,'EA-Fortescue_SDExport'!AY:AY)</f>
        <v>0</v>
      </c>
    </row>
    <row r="201" spans="1:37" x14ac:dyDescent="0.25">
      <c r="A201" t="str">
        <v>DGS-I_0200</v>
      </c>
      <c r="B201" t="str">
        <f>_xlfn.XLOOKUP($A201,'EA-Fortescue_SDExport'!$A:$A,'EA-Fortescue_SDExport'!B:B)</f>
        <v>Class</v>
      </c>
      <c r="C201" t="str">
        <f>_xlfn.XLOOKUP($A201,'EA-Fortescue_SDExport'!$A:$A,'EA-Fortescue_SDExport'!C:C)</f>
        <v>{50199B8B-35E2-48e1-A55A-2898BDF081A1}</v>
      </c>
      <c r="D201" t="str">
        <f>_xlfn.LET(_xlpm.result, _xlfn.XLOOKUP($A201, InterfaceRegister!$A:$A, InterfaceRegister!P:P), IF(_xlpm.result=0, "", _xlpm.result))</f>
        <v>NH 20/02/2026: Fields updated: Interface Type, Interface Flow.</v>
      </c>
      <c r="E201">
        <f>_xlfn.XLOOKUP($A201,'EA-Fortescue_SDExport'!$A:$A,'EA-Fortescue_SDExport'!E:E)</f>
        <v>1</v>
      </c>
      <c r="F201">
        <f>_xlfn.XLOOKUP($A201,'EA-Fortescue_SDExport'!$A:$A,'EA-Fortescue_SDExport'!F:F)</f>
        <v>1</v>
      </c>
      <c r="G201">
        <f>_xlfn.XLOOKUP($A201,'EA-Fortescue_SDExport'!$A:$A,'EA-Fortescue_SDExport'!G:G)</f>
        <v>0</v>
      </c>
      <c r="H201" t="str">
        <f>_xlfn.XLOOKUP($A201,'EA-Fortescue_SDExport'!$A:$A,'EA-Fortescue_SDExport'!H:H)</f>
        <v>InterfaceBlock</v>
      </c>
      <c r="I201" t="str">
        <f>_xlfn.XLOOKUP($A201,'EA-Fortescue_SDExport'!$A:$A,'EA-Fortescue_SDExport'!I:I)</f>
        <v>SysML1.4::InterfaceBlock</v>
      </c>
      <c r="J201" t="str">
        <f>_xlfn.XLOOKUP($A201,'EA-Fortescue_SDExport'!$A:$A,'EA-Fortescue_SDExport'!J:J)</f>
        <v>Java</v>
      </c>
      <c r="K201" t="str">
        <f>_xlfn.XLOOKUP($A201,'EA-Fortescue_SDExport'!$A:$A,'EA-Fortescue_SDExport'!K:K)</f>
        <v>Admin</v>
      </c>
      <c r="L201" t="str">
        <f>_xlfn.XLOOKUP($A201,'EA-Fortescue_SDExport'!$A:$A,'EA-Fortescue_SDExport'!L:L)</f>
        <v>Public</v>
      </c>
      <c r="M201">
        <f>_xlfn.XLOOKUP($A201,'EA-Fortescue_SDExport'!$A:$A,'EA-Fortescue_SDExport'!M:M)</f>
        <v>0</v>
      </c>
      <c r="N201" t="str">
        <f>_xlfn.XLOOKUP($A201,InterfaceRegister!$A:$A,InterfaceRegister!K:K)</f>
        <v>Proposed</v>
      </c>
      <c r="O201">
        <f>_xlfn.XLOOKUP($A201,'EA-Fortescue_SDExport'!$A:$A,'EA-Fortescue_SDExport'!O:O)</f>
        <v>1</v>
      </c>
      <c r="P201">
        <f>_xlfn.XLOOKUP($A201,'EA-Fortescue_SDExport'!$A:$A,'EA-Fortescue_SDExport'!P:P)</f>
        <v>0</v>
      </c>
      <c r="Q201">
        <f>_xlfn.XLOOKUP($A201,'EA-Fortescue_SDExport'!$A:$A,'EA-Fortescue_SDExport'!Q:Q)</f>
        <v>0</v>
      </c>
      <c r="R201">
        <f>_xlfn.XLOOKUP($A201,'EA-Fortescue_SDExport'!$A:$A,'EA-Fortescue_SDExport'!R:R)</f>
        <v>0</v>
      </c>
      <c r="S201">
        <f>_xlfn.XLOOKUP($A201,'EA-Fortescue_SDExport'!$A:$A,'EA-Fortescue_SDExport'!S:S)</f>
        <v>0</v>
      </c>
      <c r="T201">
        <f>_xlfn.XLOOKUP($A201,'EA-Fortescue_SDExport'!$A:$A,'EA-Fortescue_SDExport'!T:T)</f>
        <v>0</v>
      </c>
      <c r="U201">
        <f>_xlfn.XLOOKUP($A201,'EA-Fortescue_SDExport'!$A:$A,'EA-Fortescue_SDExport'!U:U)</f>
        <v>45966.614999999998</v>
      </c>
      <c r="V201">
        <f>_xlfn.XLOOKUP($A201,'EA-Fortescue_SDExport'!$A:$A,'EA-Fortescue_SDExport'!V:V)</f>
        <v>46077.99322916667</v>
      </c>
      <c r="W201">
        <f>_xlfn.XLOOKUP($A201,'EA-Fortescue_SDExport'!$A:$A,'EA-Fortescue_SDExport'!W:W)</f>
        <v>0</v>
      </c>
      <c r="X201">
        <f>_xlfn.XLOOKUP($A201,'EA-Fortescue_SDExport'!$A:$A,'EA-Fortescue_SDExport'!X:X)</f>
        <v>0</v>
      </c>
      <c r="Y201">
        <f>_xlfn.XLOOKUP($A201,'EA-Fortescue_SDExport'!$A:$A,'EA-Fortescue_SDExport'!Y:Y)</f>
        <v>0</v>
      </c>
      <c r="Z201" t="str">
        <f>_xlfn.XLOOKUP($A201,'EA-Fortescue_SDExport'!$A:$A,'EA-Fortescue_SDExport'!Z:Z)</f>
        <v>SysML1.4::InterfaceBlock</v>
      </c>
      <c r="AA201" t="str">
        <f>_xlfn.XLOOKUP($A201,InterfaceRegister!$A:$A,InterfaceRegister!B:B)</f>
        <v>854DC-5680-0001 Battery Energy Storage Systems (BESS)|855DC-1543-008 Monarch</v>
      </c>
      <c r="AB201" t="str">
        <f>_xlfn.XLOOKUP($A201,InterfaceRegister!$A:$A,InterfaceRegister!C:C)</f>
        <v/>
      </c>
      <c r="AC201" t="str">
        <f>_xlfn.XLOOKUP($A201,InterfaceRegister!$A:$A,InterfaceRegister!D:D)</f>
        <v/>
      </c>
      <c r="AD201" t="str">
        <f>_xlfn.XLOOKUP($A201,InterfaceRegister!$A:$A,InterfaceRegister!E:E)</f>
        <v>Project - Project Interface</v>
      </c>
      <c r="AE201" t="str">
        <f>_xlfn.XLOOKUP($A201,InterfaceRegister!$A:$A,InterfaceRegister!F:F)</f>
        <v>Technical-Electrical</v>
      </c>
      <c r="AF201" t="str">
        <f>_xlfn.XLOOKUP($A201,InterfaceRegister!$A:$A,InterfaceRegister!L:L)</f>
        <v>This interface links BESS units to Monarch, enabling the system to monitor storage capacity, state of charge, charge/discharge behaviour, and availability for power dispatch.</v>
      </c>
      <c r="AG201" t="str">
        <f>_xlfn.XLOOKUP($A201,InterfaceRegister!$A:$A,InterfaceRegister!M:M)</f>
        <v>HIGH</v>
      </c>
      <c r="AH201" t="str">
        <f>_xlfn.XLOOKUP($A201,InterfaceRegister!$A:$A,InterfaceRegister!O:O)</f>
        <v>Data Flow: Battery Energy Storage Systems (BESS) -&gt; Monarch (state of charge, available capacity, charge/discharge rates, inverter status, alarms, fault events, availability windows) for real-time monitoring and dispatch coordination._x000D_
Control Flow: Monarch -&gt; BESS (charge/discharge setpoints, dispatch instructions, start/stop commands, operational constraints) to stabilise voltage and balance supply and demand.</v>
      </c>
      <c r="AI201" t="str">
        <f>_xlfn.XLOOKUP($A201,InterfaceRegister!$A:$A,InterfaceRegister!N:N)</f>
        <v>The criticality level is HIGH because BESS units are essential for stabilising the electrical network. Failure risks voltage instability, affecting production and safety due to the inability to see and control stored energy.</v>
      </c>
      <c r="AJ201" t="str">
        <f>_xlfn.XLOOKUP($A201,'EA-Fortescue_SDExport'!$A:$A,'EA-Fortescue_SDExport'!AX:AX)</f>
        <v>CSVC04AC9F1</v>
      </c>
      <c r="AK201">
        <f>_xlfn.XLOOKUP($A201,'EA-Fortescue_SDExport'!$A:$A,'EA-Fortescue_SDExport'!AY:AY)</f>
        <v>0</v>
      </c>
    </row>
    <row r="202" spans="1:37" x14ac:dyDescent="0.25">
      <c r="A202" t="str">
        <v>DGS-I_0201</v>
      </c>
      <c r="B202" t="str">
        <f>_xlfn.XLOOKUP($A202,'EA-Fortescue_SDExport'!$A:$A,'EA-Fortescue_SDExport'!B:B)</f>
        <v>Class</v>
      </c>
      <c r="C202" t="str">
        <f>_xlfn.XLOOKUP($A202,'EA-Fortescue_SDExport'!$A:$A,'EA-Fortescue_SDExport'!C:C)</f>
        <v>{A53C29E8-C25D-4315-8D45-3DDF3D5BF33D}</v>
      </c>
      <c r="D202" t="str">
        <f>_xlfn.LET(_xlpm.result, _xlfn.XLOOKUP($A202, InterfaceRegister!$A:$A, InterfaceRegister!P:P), IF(_xlpm.result=0, "", _xlpm.result))</f>
        <v>SBS-WBS Mapping 02/01/2026: Remove this Item [Battery Energy Storage Systems (BESS) - DC] &amp;amp; Merge all links to above item (854DC-5680-0001) - For simplicity of System Architecture Project level to group BESS together (no reference to AC or DC). This interface is covered by DGS-I_0200 - Interface deleted.</v>
      </c>
      <c r="E202">
        <f>_xlfn.XLOOKUP($A202,'EA-Fortescue_SDExport'!$A:$A,'EA-Fortescue_SDExport'!E:E)</f>
        <v>1</v>
      </c>
      <c r="F202">
        <f>_xlfn.XLOOKUP($A202,'EA-Fortescue_SDExport'!$A:$A,'EA-Fortescue_SDExport'!F:F)</f>
        <v>1</v>
      </c>
      <c r="G202">
        <f>_xlfn.XLOOKUP($A202,'EA-Fortescue_SDExport'!$A:$A,'EA-Fortescue_SDExport'!G:G)</f>
        <v>0</v>
      </c>
      <c r="H202" t="str">
        <f>_xlfn.XLOOKUP($A202,'EA-Fortescue_SDExport'!$A:$A,'EA-Fortescue_SDExport'!H:H)</f>
        <v>InterfaceBlock</v>
      </c>
      <c r="I202" t="str">
        <f>_xlfn.XLOOKUP($A202,'EA-Fortescue_SDExport'!$A:$A,'EA-Fortescue_SDExport'!I:I)</f>
        <v>SysML1.4::InterfaceBlock</v>
      </c>
      <c r="J202" t="str">
        <f>_xlfn.XLOOKUP($A202,'EA-Fortescue_SDExport'!$A:$A,'EA-Fortescue_SDExport'!J:J)</f>
        <v>Java</v>
      </c>
      <c r="K202" t="str">
        <f>_xlfn.XLOOKUP($A202,'EA-Fortescue_SDExport'!$A:$A,'EA-Fortescue_SDExport'!K:K)</f>
        <v>Admin</v>
      </c>
      <c r="L202" t="str">
        <f>_xlfn.XLOOKUP($A202,'EA-Fortescue_SDExport'!$A:$A,'EA-Fortescue_SDExport'!L:L)</f>
        <v>Public</v>
      </c>
      <c r="M202">
        <f>_xlfn.XLOOKUP($A202,'EA-Fortescue_SDExport'!$A:$A,'EA-Fortescue_SDExport'!M:M)</f>
        <v>0</v>
      </c>
      <c r="N202" t="str">
        <f>_xlfn.XLOOKUP($A202,InterfaceRegister!$A:$A,InterfaceRegister!K:K)</f>
        <v>Deleted</v>
      </c>
      <c r="O202">
        <f>_xlfn.XLOOKUP($A202,'EA-Fortescue_SDExport'!$A:$A,'EA-Fortescue_SDExport'!O:O)</f>
        <v>1</v>
      </c>
      <c r="P202">
        <f>_xlfn.XLOOKUP($A202,'EA-Fortescue_SDExport'!$A:$A,'EA-Fortescue_SDExport'!P:P)</f>
        <v>0</v>
      </c>
      <c r="Q202">
        <f>_xlfn.XLOOKUP($A202,'EA-Fortescue_SDExport'!$A:$A,'EA-Fortescue_SDExport'!Q:Q)</f>
        <v>0</v>
      </c>
      <c r="R202">
        <f>_xlfn.XLOOKUP($A202,'EA-Fortescue_SDExport'!$A:$A,'EA-Fortescue_SDExport'!R:R)</f>
        <v>0</v>
      </c>
      <c r="S202">
        <f>_xlfn.XLOOKUP($A202,'EA-Fortescue_SDExport'!$A:$A,'EA-Fortescue_SDExport'!S:S)</f>
        <v>0</v>
      </c>
      <c r="T202">
        <f>_xlfn.XLOOKUP($A202,'EA-Fortescue_SDExport'!$A:$A,'EA-Fortescue_SDExport'!T:T)</f>
        <v>0</v>
      </c>
      <c r="U202">
        <f>_xlfn.XLOOKUP($A202,'EA-Fortescue_SDExport'!$A:$A,'EA-Fortescue_SDExport'!U:U)</f>
        <v>45966.615057870367</v>
      </c>
      <c r="V202">
        <f>_xlfn.XLOOKUP($A202,'EA-Fortescue_SDExport'!$A:$A,'EA-Fortescue_SDExport'!V:V)</f>
        <v>46032.654374999998</v>
      </c>
      <c r="W202">
        <f>_xlfn.XLOOKUP($A202,'EA-Fortescue_SDExport'!$A:$A,'EA-Fortescue_SDExport'!W:W)</f>
        <v>0</v>
      </c>
      <c r="X202">
        <f>_xlfn.XLOOKUP($A202,'EA-Fortescue_SDExport'!$A:$A,'EA-Fortescue_SDExport'!X:X)</f>
        <v>0</v>
      </c>
      <c r="Y202">
        <f>_xlfn.XLOOKUP($A202,'EA-Fortescue_SDExport'!$A:$A,'EA-Fortescue_SDExport'!Y:Y)</f>
        <v>0</v>
      </c>
      <c r="Z202" t="str">
        <f>_xlfn.XLOOKUP($A202,'EA-Fortescue_SDExport'!$A:$A,'EA-Fortescue_SDExport'!Z:Z)</f>
        <v>SysML1.4::InterfaceBlock</v>
      </c>
      <c r="AA202" t="str">
        <f>_xlfn.XLOOKUP($A202,InterfaceRegister!$A:$A,InterfaceRegister!B:B)</f>
        <v>Archive - 854DC-5680-- Battery Energy Storage Systems (BESS) - DC|855DC-1543-008 Monarch</v>
      </c>
      <c r="AB202" t="str">
        <f>_xlfn.XLOOKUP($A202,InterfaceRegister!$A:$A,InterfaceRegister!C:C)</f>
        <v/>
      </c>
      <c r="AC202" t="str">
        <f>_xlfn.XLOOKUP($A202,InterfaceRegister!$A:$A,InterfaceRegister!D:D)</f>
        <v/>
      </c>
      <c r="AD202" t="str">
        <f>_xlfn.XLOOKUP($A202,InterfaceRegister!$A:$A,InterfaceRegister!E:E)</f>
        <v>Project - Project Interface</v>
      </c>
      <c r="AE202" t="str">
        <f>_xlfn.XLOOKUP($A202,InterfaceRegister!$A:$A,InterfaceRegister!F:F)</f>
        <v/>
      </c>
      <c r="AF202" t="str">
        <f>_xlfn.XLOOKUP($A202,InterfaceRegister!$A:$A,InterfaceRegister!L:L)</f>
        <v>This interface provides Monarch with DC-side storage data and operational control inputs for battery units involved in DC energy systems or hybrid energy configurations.</v>
      </c>
      <c r="AG202" t="str">
        <f>_xlfn.XLOOKUP($A202,InterfaceRegister!$A:$A,InterfaceRegister!M:M)</f>
        <v>MEDIUM</v>
      </c>
      <c r="AH202" t="str">
        <f>_xlfn.XLOOKUP($A202,InterfaceRegister!$A:$A,InterfaceRegister!O:O)</f>
        <v/>
      </c>
      <c r="AI202" t="str">
        <f>_xlfn.XLOOKUP($A202,InterfaceRegister!$A:$A,InterfaceRegister!N:N)</f>
        <v>The criticality level is MEDIUM because, while BESS-DC still influences energy stability, its effect tends to be more localised or specific to subsystems compared to AC-side BESS. A loss of communication may reduce system insight and responsiveness, but AC systems normally carry a greater load, which limits the immediate operational impact.</v>
      </c>
      <c r="AJ202" t="str">
        <f>_xlfn.XLOOKUP($A202,'EA-Fortescue_SDExport'!$A:$A,'EA-Fortescue_SDExport'!AX:AX)</f>
        <v>CSV30D4E6BE</v>
      </c>
      <c r="AK202">
        <f>_xlfn.XLOOKUP($A202,'EA-Fortescue_SDExport'!$A:$A,'EA-Fortescue_SDExport'!AY:AY)</f>
        <v>0</v>
      </c>
    </row>
    <row r="203" spans="1:37" x14ac:dyDescent="0.25">
      <c r="A203" t="str">
        <v>DGS-I_0202</v>
      </c>
      <c r="B203" t="str">
        <f>_xlfn.XLOOKUP($A203,'EA-Fortescue_SDExport'!$A:$A,'EA-Fortescue_SDExport'!B:B)</f>
        <v>Class</v>
      </c>
      <c r="C203" t="str">
        <f>_xlfn.XLOOKUP($A203,'EA-Fortescue_SDExport'!$A:$A,'EA-Fortescue_SDExport'!C:C)</f>
        <v>{E29F7FD6-4F1C-4c4d-ADFA-C89730B7B15C}</v>
      </c>
      <c r="D203" t="str">
        <f>_xlfn.LET(_xlpm.result, _xlfn.XLOOKUP($A203, InterfaceRegister!$A:$A, InterfaceRegister!P:P), IF(_xlpm.result=0, "", _xlpm.result))</f>
        <v/>
      </c>
      <c r="E203">
        <f>_xlfn.XLOOKUP($A203,'EA-Fortescue_SDExport'!$A:$A,'EA-Fortescue_SDExport'!E:E)</f>
        <v>1</v>
      </c>
      <c r="F203">
        <f>_xlfn.XLOOKUP($A203,'EA-Fortescue_SDExport'!$A:$A,'EA-Fortescue_SDExport'!F:F)</f>
        <v>1</v>
      </c>
      <c r="G203">
        <f>_xlfn.XLOOKUP($A203,'EA-Fortescue_SDExport'!$A:$A,'EA-Fortescue_SDExport'!G:G)</f>
        <v>0</v>
      </c>
      <c r="H203" t="str">
        <f>_xlfn.XLOOKUP($A203,'EA-Fortescue_SDExport'!$A:$A,'EA-Fortescue_SDExport'!H:H)</f>
        <v>InterfaceBlock</v>
      </c>
      <c r="I203" t="str">
        <f>_xlfn.XLOOKUP($A203,'EA-Fortescue_SDExport'!$A:$A,'EA-Fortescue_SDExport'!I:I)</f>
        <v>SysML1.4::InterfaceBlock</v>
      </c>
      <c r="J203" t="str">
        <f>_xlfn.XLOOKUP($A203,'EA-Fortescue_SDExport'!$A:$A,'EA-Fortescue_SDExport'!J:J)</f>
        <v>Java</v>
      </c>
      <c r="K203" t="str">
        <f>_xlfn.XLOOKUP($A203,'EA-Fortescue_SDExport'!$A:$A,'EA-Fortescue_SDExport'!K:K)</f>
        <v>Admin</v>
      </c>
      <c r="L203" t="str">
        <f>_xlfn.XLOOKUP($A203,'EA-Fortescue_SDExport'!$A:$A,'EA-Fortescue_SDExport'!L:L)</f>
        <v>Public</v>
      </c>
      <c r="M203">
        <f>_xlfn.XLOOKUP($A203,'EA-Fortescue_SDExport'!$A:$A,'EA-Fortescue_SDExport'!M:M)</f>
        <v>0</v>
      </c>
      <c r="N203" t="str">
        <f>_xlfn.XLOOKUP($A203,InterfaceRegister!$A:$A,InterfaceRegister!K:K)</f>
        <v>Proposed</v>
      </c>
      <c r="O203">
        <f>_xlfn.XLOOKUP($A203,'EA-Fortescue_SDExport'!$A:$A,'EA-Fortescue_SDExport'!O:O)</f>
        <v>1</v>
      </c>
      <c r="P203">
        <f>_xlfn.XLOOKUP($A203,'EA-Fortescue_SDExport'!$A:$A,'EA-Fortescue_SDExport'!P:P)</f>
        <v>0</v>
      </c>
      <c r="Q203">
        <f>_xlfn.XLOOKUP($A203,'EA-Fortescue_SDExport'!$A:$A,'EA-Fortescue_SDExport'!Q:Q)</f>
        <v>0</v>
      </c>
      <c r="R203">
        <f>_xlfn.XLOOKUP($A203,'EA-Fortescue_SDExport'!$A:$A,'EA-Fortescue_SDExport'!R:R)</f>
        <v>0</v>
      </c>
      <c r="S203">
        <f>_xlfn.XLOOKUP($A203,'EA-Fortescue_SDExport'!$A:$A,'EA-Fortescue_SDExport'!S:S)</f>
        <v>0</v>
      </c>
      <c r="T203">
        <f>_xlfn.XLOOKUP($A203,'EA-Fortescue_SDExport'!$A:$A,'EA-Fortescue_SDExport'!T:T)</f>
        <v>0</v>
      </c>
      <c r="U203">
        <f>_xlfn.XLOOKUP($A203,'EA-Fortescue_SDExport'!$A:$A,'EA-Fortescue_SDExport'!U:U)</f>
        <v>45966.615104166667</v>
      </c>
      <c r="V203">
        <f>_xlfn.XLOOKUP($A203,'EA-Fortescue_SDExport'!$A:$A,'EA-Fortescue_SDExport'!V:V)</f>
        <v>46002.067557870374</v>
      </c>
      <c r="W203">
        <f>_xlfn.XLOOKUP($A203,'EA-Fortescue_SDExport'!$A:$A,'EA-Fortescue_SDExport'!W:W)</f>
        <v>0</v>
      </c>
      <c r="X203">
        <f>_xlfn.XLOOKUP($A203,'EA-Fortescue_SDExport'!$A:$A,'EA-Fortescue_SDExport'!X:X)</f>
        <v>0</v>
      </c>
      <c r="Y203">
        <f>_xlfn.XLOOKUP($A203,'EA-Fortescue_SDExport'!$A:$A,'EA-Fortescue_SDExport'!Y:Y)</f>
        <v>0</v>
      </c>
      <c r="Z203" t="str">
        <f>_xlfn.XLOOKUP($A203,'EA-Fortescue_SDExport'!$A:$A,'EA-Fortescue_SDExport'!Z:Z)</f>
        <v>SysML1.4::InterfaceBlock</v>
      </c>
      <c r="AA203" t="str">
        <f>_xlfn.XLOOKUP($A203,InterfaceRegister!$A:$A,InterfaceRegister!B:B)</f>
        <v>854DC-5680-0003 Long Duration Energy Storage|855DC-1543-008 Monarch</v>
      </c>
      <c r="AB203" t="str">
        <f>_xlfn.XLOOKUP($A203,InterfaceRegister!$A:$A,InterfaceRegister!C:C)</f>
        <v/>
      </c>
      <c r="AC203" t="str">
        <f>_xlfn.XLOOKUP($A203,InterfaceRegister!$A:$A,InterfaceRegister!D:D)</f>
        <v/>
      </c>
      <c r="AD203" t="str">
        <f>_xlfn.XLOOKUP($A203,InterfaceRegister!$A:$A,InterfaceRegister!E:E)</f>
        <v>Project - Project Interface</v>
      </c>
      <c r="AE203" t="str">
        <f>_xlfn.XLOOKUP($A203,InterfaceRegister!$A:$A,InterfaceRegister!F:F)</f>
        <v>Technical-Electrical</v>
      </c>
      <c r="AF203" t="str">
        <f>_xlfn.XLOOKUP($A203,InterfaceRegister!$A:$A,InterfaceRegister!L:L)</f>
        <v>This interface connects long-duration energy storage systems to Monarch so the platform can monitor their capacity, discharge profiles, and availability for extended support during low-generation periods.</v>
      </c>
      <c r="AG203" t="str">
        <f>_xlfn.XLOOKUP($A203,InterfaceRegister!$A:$A,InterfaceRegister!M:M)</f>
        <v>MEDIUM</v>
      </c>
      <c r="AH203" t="str">
        <f>_xlfn.XLOOKUP($A203,InterfaceRegister!$A:$A,InterfaceRegister!O:O)</f>
        <v>Data Flow: Long Duration Energy Storage -&gt; Monarch (state of charge, available capacity, discharge/charge rates, operational status, alarms, availability windows) for monitoring and planning support._x000D_
Control Flow: Monarch -&gt; Long Duration Energy Storage (dispatch instructions, charge/discharge setpoints, start/stop commands, operating constraints) to coordinate extended energy support during low-generation periods.</v>
      </c>
      <c r="AI203" t="str">
        <f>_xlfn.XLOOKUP($A203,InterfaceRegister!$A:$A,InterfaceRegister!N:N)</f>
        <v>The criticality level is MEDIUM because, while these systems enhance resilience and decrease dependence on gas or diesel peakers, their temporary failure does not immediately destabilise the electrical network. An outage diminishes the site's capacity to effectively manage extensive energy deficits or peak smoothing, but the short-term power supply usually remains stable through other generation sources.</v>
      </c>
      <c r="AJ203" t="str">
        <f>_xlfn.XLOOKUP($A203,'EA-Fortescue_SDExport'!$A:$A,'EA-Fortescue_SDExport'!AX:AX)</f>
        <v>CSVE357D923</v>
      </c>
      <c r="AK203">
        <f>_xlfn.XLOOKUP($A203,'EA-Fortescue_SDExport'!$A:$A,'EA-Fortescue_SDExport'!AY:AY)</f>
        <v>0</v>
      </c>
    </row>
    <row r="204" spans="1:37" x14ac:dyDescent="0.25">
      <c r="A204" t="str">
        <v>DGS-I_0203</v>
      </c>
      <c r="B204" t="str">
        <f>_xlfn.XLOOKUP($A204,'EA-Fortescue_SDExport'!$A:$A,'EA-Fortescue_SDExport'!B:B)</f>
        <v>Class</v>
      </c>
      <c r="C204" t="str">
        <f>_xlfn.XLOOKUP($A204,'EA-Fortescue_SDExport'!$A:$A,'EA-Fortescue_SDExport'!C:C)</f>
        <v>{14E1BA25-7051-4efa-84DD-7D525F9E1778}</v>
      </c>
      <c r="D204" t="str">
        <f>_xlfn.LET(_xlpm.result, _xlfn.XLOOKUP($A204, InterfaceRegister!$A:$A, InterfaceRegister!P:P), IF(_xlpm.result=0, "", _xlpm.result))</f>
        <v>NH 20/02/2026: Fields updated: Interface Type, Interface Flow.</v>
      </c>
      <c r="E204">
        <f>_xlfn.XLOOKUP($A204,'EA-Fortescue_SDExport'!$A:$A,'EA-Fortescue_SDExport'!E:E)</f>
        <v>1</v>
      </c>
      <c r="F204">
        <f>_xlfn.XLOOKUP($A204,'EA-Fortescue_SDExport'!$A:$A,'EA-Fortescue_SDExport'!F:F)</f>
        <v>1</v>
      </c>
      <c r="G204">
        <f>_xlfn.XLOOKUP($A204,'EA-Fortescue_SDExport'!$A:$A,'EA-Fortescue_SDExport'!G:G)</f>
        <v>0</v>
      </c>
      <c r="H204" t="str">
        <f>_xlfn.XLOOKUP($A204,'EA-Fortescue_SDExport'!$A:$A,'EA-Fortescue_SDExport'!H:H)</f>
        <v>InterfaceBlock</v>
      </c>
      <c r="I204" t="str">
        <f>_xlfn.XLOOKUP($A204,'EA-Fortescue_SDExport'!$A:$A,'EA-Fortescue_SDExport'!I:I)</f>
        <v>SysML1.4::InterfaceBlock</v>
      </c>
      <c r="J204" t="str">
        <f>_xlfn.XLOOKUP($A204,'EA-Fortescue_SDExport'!$A:$A,'EA-Fortescue_SDExport'!J:J)</f>
        <v>Java</v>
      </c>
      <c r="K204" t="str">
        <f>_xlfn.XLOOKUP($A204,'EA-Fortescue_SDExport'!$A:$A,'EA-Fortescue_SDExport'!K:K)</f>
        <v>Admin</v>
      </c>
      <c r="L204" t="str">
        <f>_xlfn.XLOOKUP($A204,'EA-Fortescue_SDExport'!$A:$A,'EA-Fortescue_SDExport'!L:L)</f>
        <v>Public</v>
      </c>
      <c r="M204">
        <f>_xlfn.XLOOKUP($A204,'EA-Fortescue_SDExport'!$A:$A,'EA-Fortescue_SDExport'!M:M)</f>
        <v>0</v>
      </c>
      <c r="N204" t="str">
        <f>_xlfn.XLOOKUP($A204,InterfaceRegister!$A:$A,InterfaceRegister!K:K)</f>
        <v>Proposed</v>
      </c>
      <c r="O204">
        <f>_xlfn.XLOOKUP($A204,'EA-Fortescue_SDExport'!$A:$A,'EA-Fortescue_SDExport'!O:O)</f>
        <v>1</v>
      </c>
      <c r="P204">
        <f>_xlfn.XLOOKUP($A204,'EA-Fortescue_SDExport'!$A:$A,'EA-Fortescue_SDExport'!P:P)</f>
        <v>0</v>
      </c>
      <c r="Q204">
        <f>_xlfn.XLOOKUP($A204,'EA-Fortescue_SDExport'!$A:$A,'EA-Fortescue_SDExport'!Q:Q)</f>
        <v>0</v>
      </c>
      <c r="R204">
        <f>_xlfn.XLOOKUP($A204,'EA-Fortescue_SDExport'!$A:$A,'EA-Fortescue_SDExport'!R:R)</f>
        <v>0</v>
      </c>
      <c r="S204">
        <f>_xlfn.XLOOKUP($A204,'EA-Fortescue_SDExport'!$A:$A,'EA-Fortescue_SDExport'!S:S)</f>
        <v>0</v>
      </c>
      <c r="T204">
        <f>_xlfn.XLOOKUP($A204,'EA-Fortescue_SDExport'!$A:$A,'EA-Fortescue_SDExport'!T:T)</f>
        <v>0</v>
      </c>
      <c r="U204">
        <f>_xlfn.XLOOKUP($A204,'EA-Fortescue_SDExport'!$A:$A,'EA-Fortescue_SDExport'!U:U)</f>
        <v>45966.61513888889</v>
      </c>
      <c r="V204">
        <f>_xlfn.XLOOKUP($A204,'EA-Fortescue_SDExport'!$A:$A,'EA-Fortescue_SDExport'!V:V)</f>
        <v>46077.99322916667</v>
      </c>
      <c r="W204">
        <f>_xlfn.XLOOKUP($A204,'EA-Fortescue_SDExport'!$A:$A,'EA-Fortescue_SDExport'!W:W)</f>
        <v>0</v>
      </c>
      <c r="X204">
        <f>_xlfn.XLOOKUP($A204,'EA-Fortescue_SDExport'!$A:$A,'EA-Fortescue_SDExport'!X:X)</f>
        <v>0</v>
      </c>
      <c r="Y204">
        <f>_xlfn.XLOOKUP($A204,'EA-Fortescue_SDExport'!$A:$A,'EA-Fortescue_SDExport'!Y:Y)</f>
        <v>0</v>
      </c>
      <c r="Z204" t="str">
        <f>_xlfn.XLOOKUP($A204,'EA-Fortescue_SDExport'!$A:$A,'EA-Fortescue_SDExport'!Z:Z)</f>
        <v>SysML1.4::InterfaceBlock</v>
      </c>
      <c r="AA204" t="str">
        <f>_xlfn.XLOOKUP($A204,InterfaceRegister!$A:$A,InterfaceRegister!B:B)</f>
        <v>854DC-5680-0002 Mobile Battery Bank|855DC-1543-008 Monarch</v>
      </c>
      <c r="AB204" t="str">
        <f>_xlfn.XLOOKUP($A204,InterfaceRegister!$A:$A,InterfaceRegister!C:C)</f>
        <v/>
      </c>
      <c r="AC204" t="str">
        <f>_xlfn.XLOOKUP($A204,InterfaceRegister!$A:$A,InterfaceRegister!D:D)</f>
        <v/>
      </c>
      <c r="AD204" t="str">
        <f>_xlfn.XLOOKUP($A204,InterfaceRegister!$A:$A,InterfaceRegister!E:E)</f>
        <v>Project - Project Interface</v>
      </c>
      <c r="AE204" t="str">
        <f>_xlfn.XLOOKUP($A204,InterfaceRegister!$A:$A,InterfaceRegister!F:F)</f>
        <v>Technical-Data/Software</v>
      </c>
      <c r="AF204" t="str">
        <f>_xlfn.XLOOKUP($A204,InterfaceRegister!$A:$A,InterfaceRegister!L:L)</f>
        <v>This interface provides operational data from mobile battery banks into Monarch, enabling the system to understand available mobile storage capacity and deploy it where needed.</v>
      </c>
      <c r="AG204" t="str">
        <f>_xlfn.XLOOKUP($A204,InterfaceRegister!$A:$A,InterfaceRegister!M:M)</f>
        <v>LOW</v>
      </c>
      <c r="AH204" t="str">
        <f>_xlfn.XLOOKUP($A204,InterfaceRegister!$A:$A,InterfaceRegister!O:O)</f>
        <v>Data Flow:_x000D_
854DC-5680-0002 Mobile Battery Bank -&gt; 855DC-1543-008 Monarch. This interface transmits operational data, including real-time available storage capacity and state-of-charge from mobile battery banks, into the Monarch system to enable coordinated deployment of mobile power assets across the site.</v>
      </c>
      <c r="AI204" t="str">
        <f>_xlfn.XLOOKUP($A204,InterfaceRegister!$A:$A,InterfaceRegister!N:N)</f>
        <v>The criticality level is LOW because mobile battery banks are supplementary assets, and their loss does not significantly impact site-wide energy stability or production. Failure only reduces flexibility in deploying mobile power.</v>
      </c>
      <c r="AJ204" t="str">
        <f>_xlfn.XLOOKUP($A204,'EA-Fortescue_SDExport'!$A:$A,'EA-Fortescue_SDExport'!AX:AX)</f>
        <v>CSV3FAA7CEE</v>
      </c>
      <c r="AK204">
        <f>_xlfn.XLOOKUP($A204,'EA-Fortescue_SDExport'!$A:$A,'EA-Fortescue_SDExport'!AY:AY)</f>
        <v>0</v>
      </c>
    </row>
    <row r="205" spans="1:37" x14ac:dyDescent="0.25">
      <c r="A205" t="str">
        <v>DGS-I_0204</v>
      </c>
      <c r="B205" t="str">
        <f>_xlfn.XLOOKUP($A205,'EA-Fortescue_SDExport'!$A:$A,'EA-Fortescue_SDExport'!B:B)</f>
        <v>Class</v>
      </c>
      <c r="C205" t="str">
        <f>_xlfn.XLOOKUP($A205,'EA-Fortescue_SDExport'!$A:$A,'EA-Fortescue_SDExport'!C:C)</f>
        <v>{6B743318-23D0-4da3-A9D0-DB0ADF86989D}</v>
      </c>
      <c r="D205" t="str">
        <f>_xlfn.LET(_xlpm.result, _xlfn.XLOOKUP($A205, InterfaceRegister!$A:$A, InterfaceRegister!P:P), IF(_xlpm.result=0, "", _xlpm.result))</f>
        <v>NH 20/02/2026: Fields updated: Interface Type, Interface Flow.</v>
      </c>
      <c r="E205">
        <f>_xlfn.XLOOKUP($A205,'EA-Fortescue_SDExport'!$A:$A,'EA-Fortescue_SDExport'!E:E)</f>
        <v>1</v>
      </c>
      <c r="F205">
        <f>_xlfn.XLOOKUP($A205,'EA-Fortescue_SDExport'!$A:$A,'EA-Fortescue_SDExport'!F:F)</f>
        <v>1</v>
      </c>
      <c r="G205">
        <f>_xlfn.XLOOKUP($A205,'EA-Fortescue_SDExport'!$A:$A,'EA-Fortescue_SDExport'!G:G)</f>
        <v>0</v>
      </c>
      <c r="H205" t="str">
        <f>_xlfn.XLOOKUP($A205,'EA-Fortescue_SDExport'!$A:$A,'EA-Fortescue_SDExport'!H:H)</f>
        <v>InterfaceBlock</v>
      </c>
      <c r="I205" t="str">
        <f>_xlfn.XLOOKUP($A205,'EA-Fortescue_SDExport'!$A:$A,'EA-Fortescue_SDExport'!I:I)</f>
        <v>SysML1.4::InterfaceBlock</v>
      </c>
      <c r="J205" t="str">
        <f>_xlfn.XLOOKUP($A205,'EA-Fortescue_SDExport'!$A:$A,'EA-Fortescue_SDExport'!J:J)</f>
        <v>Java</v>
      </c>
      <c r="K205" t="str">
        <f>_xlfn.XLOOKUP($A205,'EA-Fortescue_SDExport'!$A:$A,'EA-Fortescue_SDExport'!K:K)</f>
        <v>Admin</v>
      </c>
      <c r="L205" t="str">
        <f>_xlfn.XLOOKUP($A205,'EA-Fortescue_SDExport'!$A:$A,'EA-Fortescue_SDExport'!L:L)</f>
        <v>Public</v>
      </c>
      <c r="M205">
        <f>_xlfn.XLOOKUP($A205,'EA-Fortescue_SDExport'!$A:$A,'EA-Fortescue_SDExport'!M:M)</f>
        <v>0</v>
      </c>
      <c r="N205" t="str">
        <f>_xlfn.XLOOKUP($A205,InterfaceRegister!$A:$A,InterfaceRegister!K:K)</f>
        <v>Proposed</v>
      </c>
      <c r="O205">
        <f>_xlfn.XLOOKUP($A205,'EA-Fortescue_SDExport'!$A:$A,'EA-Fortescue_SDExport'!O:O)</f>
        <v>1</v>
      </c>
      <c r="P205">
        <f>_xlfn.XLOOKUP($A205,'EA-Fortescue_SDExport'!$A:$A,'EA-Fortescue_SDExport'!P:P)</f>
        <v>0</v>
      </c>
      <c r="Q205">
        <f>_xlfn.XLOOKUP($A205,'EA-Fortescue_SDExport'!$A:$A,'EA-Fortescue_SDExport'!Q:Q)</f>
        <v>0</v>
      </c>
      <c r="R205">
        <f>_xlfn.XLOOKUP($A205,'EA-Fortescue_SDExport'!$A:$A,'EA-Fortescue_SDExport'!R:R)</f>
        <v>0</v>
      </c>
      <c r="S205">
        <f>_xlfn.XLOOKUP($A205,'EA-Fortescue_SDExport'!$A:$A,'EA-Fortescue_SDExport'!S:S)</f>
        <v>0</v>
      </c>
      <c r="T205">
        <f>_xlfn.XLOOKUP($A205,'EA-Fortescue_SDExport'!$A:$A,'EA-Fortescue_SDExport'!T:T)</f>
        <v>0</v>
      </c>
      <c r="U205">
        <f>_xlfn.XLOOKUP($A205,'EA-Fortescue_SDExport'!$A:$A,'EA-Fortescue_SDExport'!U:U)</f>
        <v>45966.619745370372</v>
      </c>
      <c r="V205">
        <f>_xlfn.XLOOKUP($A205,'EA-Fortescue_SDExport'!$A:$A,'EA-Fortescue_SDExport'!V:V)</f>
        <v>46077.993217592593</v>
      </c>
      <c r="W205">
        <f>_xlfn.XLOOKUP($A205,'EA-Fortescue_SDExport'!$A:$A,'EA-Fortescue_SDExport'!W:W)</f>
        <v>0</v>
      </c>
      <c r="X205">
        <f>_xlfn.XLOOKUP($A205,'EA-Fortescue_SDExport'!$A:$A,'EA-Fortescue_SDExport'!X:X)</f>
        <v>0</v>
      </c>
      <c r="Y205">
        <f>_xlfn.XLOOKUP($A205,'EA-Fortescue_SDExport'!$A:$A,'EA-Fortescue_SDExport'!Y:Y)</f>
        <v>0</v>
      </c>
      <c r="Z205" t="str">
        <f>_xlfn.XLOOKUP($A205,'EA-Fortescue_SDExport'!$A:$A,'EA-Fortescue_SDExport'!Z:Z)</f>
        <v>SysML1.4::InterfaceBlock</v>
      </c>
      <c r="AA205" t="str">
        <f>_xlfn.XLOOKUP($A205,InterfaceRegister!$A:$A,InterfaceRegister!B:B)</f>
        <v>854DC-5690-0001 Wind Farms|855DC-1543-008 Monarch</v>
      </c>
      <c r="AB205" t="str">
        <f>_xlfn.XLOOKUP($A205,InterfaceRegister!$A:$A,InterfaceRegister!C:C)</f>
        <v/>
      </c>
      <c r="AC205" t="str">
        <f>_xlfn.XLOOKUP($A205,InterfaceRegister!$A:$A,InterfaceRegister!D:D)</f>
        <v/>
      </c>
      <c r="AD205" t="str">
        <f>_xlfn.XLOOKUP($A205,InterfaceRegister!$A:$A,InterfaceRegister!E:E)</f>
        <v>Project - Project Interface</v>
      </c>
      <c r="AE205" t="str">
        <f>_xlfn.XLOOKUP($A205,InterfaceRegister!$A:$A,InterfaceRegister!F:F)</f>
        <v>Technical-Electrical</v>
      </c>
      <c r="AF205" t="str">
        <f>_xlfn.XLOOKUP($A205,InterfaceRegister!$A:$A,InterfaceRegister!L:L)</f>
        <v>This interface links wind generation assets with Monarch, providing real-time generation output, turbine status, and availability.</v>
      </c>
      <c r="AG205" t="str">
        <f>_xlfn.XLOOKUP($A205,InterfaceRegister!$A:$A,InterfaceRegister!M:M)</f>
        <v>MEDIUM</v>
      </c>
      <c r="AH205" t="str">
        <f>_xlfn.XLOOKUP($A205,InterfaceRegister!$A:$A,InterfaceRegister!O:O)</f>
        <v>Data Flow: Wind Farms -&gt; Monarch (real-time generation output, turbine status, availability, wind conditions, alarms, performance metrics) for monitoring and system coordination._x000D_
Control Flow (where applicable): Monarch -&gt; Wind Farms (curtailment commands, generation setpoints, operational constraints) to support grid balancing and stability.</v>
      </c>
      <c r="AI205" t="str">
        <f>_xlfn.XLOOKUP($A205,InterfaceRegister!$A:$A,InterfaceRegister!N:N)</f>
        <v>The criticality level is MEDIUM because, although wind significantly contributes to renewable energy supply, its inherent variability means the grid is designed to operate without it temporarily. Failure may affect efficiency, but other sources can typically cover the gap.</v>
      </c>
      <c r="AJ205" t="str">
        <f>_xlfn.XLOOKUP($A205,'EA-Fortescue_SDExport'!$A:$A,'EA-Fortescue_SDExport'!AX:AX)</f>
        <v>CSV0258B429</v>
      </c>
      <c r="AK205">
        <f>_xlfn.XLOOKUP($A205,'EA-Fortescue_SDExport'!$A:$A,'EA-Fortescue_SDExport'!AY:AY)</f>
        <v>0</v>
      </c>
    </row>
    <row r="206" spans="1:37" x14ac:dyDescent="0.25">
      <c r="A206" t="str">
        <v>DGS-I_0205</v>
      </c>
      <c r="B206" t="str">
        <f>_xlfn.XLOOKUP($A206,'EA-Fortescue_SDExport'!$A:$A,'EA-Fortescue_SDExport'!B:B)</f>
        <v>Class</v>
      </c>
      <c r="C206" t="str">
        <f>_xlfn.XLOOKUP($A206,'EA-Fortescue_SDExport'!$A:$A,'EA-Fortescue_SDExport'!C:C)</f>
        <v>{231AE94D-2671-4f01-A2DB-52813A6CCB1C}</v>
      </c>
      <c r="D206" t="str">
        <f>_xlfn.LET(_xlpm.result, _xlfn.XLOOKUP($A206, InterfaceRegister!$A:$A, InterfaceRegister!P:P), IF(_xlpm.result=0, "", _xlpm.result))</f>
        <v>NH 20/02/2026: Fields updated: Interface Type, Interface Flow.</v>
      </c>
      <c r="E206">
        <f>_xlfn.XLOOKUP($A206,'EA-Fortescue_SDExport'!$A:$A,'EA-Fortescue_SDExport'!E:E)</f>
        <v>1</v>
      </c>
      <c r="F206">
        <f>_xlfn.XLOOKUP($A206,'EA-Fortescue_SDExport'!$A:$A,'EA-Fortescue_SDExport'!F:F)</f>
        <v>1</v>
      </c>
      <c r="G206">
        <f>_xlfn.XLOOKUP($A206,'EA-Fortescue_SDExport'!$A:$A,'EA-Fortescue_SDExport'!G:G)</f>
        <v>0</v>
      </c>
      <c r="H206" t="str">
        <f>_xlfn.XLOOKUP($A206,'EA-Fortescue_SDExport'!$A:$A,'EA-Fortescue_SDExport'!H:H)</f>
        <v>InterfaceBlock</v>
      </c>
      <c r="I206" t="str">
        <f>_xlfn.XLOOKUP($A206,'EA-Fortescue_SDExport'!$A:$A,'EA-Fortescue_SDExport'!I:I)</f>
        <v>SysML1.4::InterfaceBlock</v>
      </c>
      <c r="J206" t="str">
        <f>_xlfn.XLOOKUP($A206,'EA-Fortescue_SDExport'!$A:$A,'EA-Fortescue_SDExport'!J:J)</f>
        <v>Java</v>
      </c>
      <c r="K206" t="str">
        <f>_xlfn.XLOOKUP($A206,'EA-Fortescue_SDExport'!$A:$A,'EA-Fortescue_SDExport'!K:K)</f>
        <v>Admin</v>
      </c>
      <c r="L206" t="str">
        <f>_xlfn.XLOOKUP($A206,'EA-Fortescue_SDExport'!$A:$A,'EA-Fortescue_SDExport'!L:L)</f>
        <v>Public</v>
      </c>
      <c r="M206">
        <f>_xlfn.XLOOKUP($A206,'EA-Fortescue_SDExport'!$A:$A,'EA-Fortescue_SDExport'!M:M)</f>
        <v>0</v>
      </c>
      <c r="N206" t="str">
        <f>_xlfn.XLOOKUP($A206,InterfaceRegister!$A:$A,InterfaceRegister!K:K)</f>
        <v>Proposed</v>
      </c>
      <c r="O206">
        <f>_xlfn.XLOOKUP($A206,'EA-Fortescue_SDExport'!$A:$A,'EA-Fortescue_SDExport'!O:O)</f>
        <v>1</v>
      </c>
      <c r="P206">
        <f>_xlfn.XLOOKUP($A206,'EA-Fortescue_SDExport'!$A:$A,'EA-Fortescue_SDExport'!P:P)</f>
        <v>0</v>
      </c>
      <c r="Q206">
        <f>_xlfn.XLOOKUP($A206,'EA-Fortescue_SDExport'!$A:$A,'EA-Fortescue_SDExport'!Q:Q)</f>
        <v>0</v>
      </c>
      <c r="R206">
        <f>_xlfn.XLOOKUP($A206,'EA-Fortescue_SDExport'!$A:$A,'EA-Fortescue_SDExport'!R:R)</f>
        <v>0</v>
      </c>
      <c r="S206">
        <f>_xlfn.XLOOKUP($A206,'EA-Fortescue_SDExport'!$A:$A,'EA-Fortescue_SDExport'!S:S)</f>
        <v>0</v>
      </c>
      <c r="T206">
        <f>_xlfn.XLOOKUP($A206,'EA-Fortescue_SDExport'!$A:$A,'EA-Fortescue_SDExport'!T:T)</f>
        <v>0</v>
      </c>
      <c r="U206">
        <f>_xlfn.XLOOKUP($A206,'EA-Fortescue_SDExport'!$A:$A,'EA-Fortescue_SDExport'!U:U)</f>
        <v>45966.619895833333</v>
      </c>
      <c r="V206">
        <f>_xlfn.XLOOKUP($A206,'EA-Fortescue_SDExport'!$A:$A,'EA-Fortescue_SDExport'!V:V)</f>
        <v>46077.99322916667</v>
      </c>
      <c r="W206">
        <f>_xlfn.XLOOKUP($A206,'EA-Fortescue_SDExport'!$A:$A,'EA-Fortescue_SDExport'!W:W)</f>
        <v>0</v>
      </c>
      <c r="X206">
        <f>_xlfn.XLOOKUP($A206,'EA-Fortescue_SDExport'!$A:$A,'EA-Fortescue_SDExport'!X:X)</f>
        <v>0</v>
      </c>
      <c r="Y206">
        <f>_xlfn.XLOOKUP($A206,'EA-Fortescue_SDExport'!$A:$A,'EA-Fortescue_SDExport'!Y:Y)</f>
        <v>0</v>
      </c>
      <c r="Z206" t="str">
        <f>_xlfn.XLOOKUP($A206,'EA-Fortescue_SDExport'!$A:$A,'EA-Fortescue_SDExport'!Z:Z)</f>
        <v>SysML1.4::InterfaceBlock</v>
      </c>
      <c r="AA206" t="str">
        <f>_xlfn.XLOOKUP($A206,InterfaceRegister!$A:$A,InterfaceRegister!B:B)</f>
        <v>854DC-5670-0001 Solar Photovoltaic (PV) Farms|855DC-1543-008 Monarch</v>
      </c>
      <c r="AB206" t="str">
        <f>_xlfn.XLOOKUP($A206,InterfaceRegister!$A:$A,InterfaceRegister!C:C)</f>
        <v/>
      </c>
      <c r="AC206" t="str">
        <f>_xlfn.XLOOKUP($A206,InterfaceRegister!$A:$A,InterfaceRegister!D:D)</f>
        <v/>
      </c>
      <c r="AD206" t="str">
        <f>_xlfn.XLOOKUP($A206,InterfaceRegister!$A:$A,InterfaceRegister!E:E)</f>
        <v>Project - Project Interface</v>
      </c>
      <c r="AE206" t="str">
        <f>_xlfn.XLOOKUP($A206,InterfaceRegister!$A:$A,InterfaceRegister!F:F)</f>
        <v>Technical-Electrical</v>
      </c>
      <c r="AF206" t="str">
        <f>_xlfn.XLOOKUP($A206,InterfaceRegister!$A:$A,InterfaceRegister!L:L)</f>
        <v>This interface provides Monarch with visibility and performance data from solar PV assets.</v>
      </c>
      <c r="AG206" t="str">
        <f>_xlfn.XLOOKUP($A206,InterfaceRegister!$A:$A,InterfaceRegister!M:M)</f>
        <v>MEDIUM</v>
      </c>
      <c r="AH206" t="str">
        <f>_xlfn.XLOOKUP($A206,InterfaceRegister!$A:$A,InterfaceRegister!O:O)</f>
        <v>Data Flow: Solar PV Farms -&gt; Monarch (real-time generation output, inverter status, availability, irradiance data, alarms, performance metrics) for monitoring and optimisation._x000D_
Control Flow (where applicable): Monarch -&gt; Solar PV Farms (curtailment commands, generation setpoints, operational constraints) to support load balancing and network stability.</v>
      </c>
      <c r="AI206" t="str">
        <f>_xlfn.XLOOKUP($A206,InterfaceRegister!$A:$A,InterfaceRegister!N:N)</f>
        <v>The criticality level is MEDIUM because the system can operate temporarily without solar input. However, a loss of visibility may decrease energy optimisation quality and result in higher operational costs or increased load on thermal generation, affecting planning accuracy and renewable utilisation, but not immediately threatening the power system.</v>
      </c>
      <c r="AJ206" t="str">
        <f>_xlfn.XLOOKUP($A206,'EA-Fortescue_SDExport'!$A:$A,'EA-Fortescue_SDExport'!AX:AX)</f>
        <v>CSV2D1E2C67</v>
      </c>
      <c r="AK206">
        <f>_xlfn.XLOOKUP($A206,'EA-Fortescue_SDExport'!$A:$A,'EA-Fortescue_SDExport'!AY:AY)</f>
        <v>0</v>
      </c>
    </row>
    <row r="207" spans="1:37" x14ac:dyDescent="0.25">
      <c r="A207" t="str">
        <v>DGS-I_0206</v>
      </c>
      <c r="B207" t="str">
        <f>_xlfn.XLOOKUP($A207,'EA-Fortescue_SDExport'!$A:$A,'EA-Fortescue_SDExport'!B:B)</f>
        <v>Class</v>
      </c>
      <c r="C207" t="str">
        <f>_xlfn.XLOOKUP($A207,'EA-Fortescue_SDExport'!$A:$A,'EA-Fortescue_SDExport'!C:C)</f>
        <v>{BD475B7B-4D28-4cd7-B4D5-5BF150EE6964}</v>
      </c>
      <c r="D207" t="str">
        <f>_xlfn.LET(_xlpm.result, _xlfn.XLOOKUP($A207, InterfaceRegister!$A:$A, InterfaceRegister!P:P), IF(_xlpm.result=0, "", _xlpm.result))</f>
        <v>NH 20/02/2026: Fields updated: Interface Type, Interface Flow.</v>
      </c>
      <c r="E207">
        <f>_xlfn.XLOOKUP($A207,'EA-Fortescue_SDExport'!$A:$A,'EA-Fortescue_SDExport'!E:E)</f>
        <v>1</v>
      </c>
      <c r="F207">
        <f>_xlfn.XLOOKUP($A207,'EA-Fortescue_SDExport'!$A:$A,'EA-Fortescue_SDExport'!F:F)</f>
        <v>1</v>
      </c>
      <c r="G207">
        <f>_xlfn.XLOOKUP($A207,'EA-Fortescue_SDExport'!$A:$A,'EA-Fortescue_SDExport'!G:G)</f>
        <v>0</v>
      </c>
      <c r="H207" t="str">
        <f>_xlfn.XLOOKUP($A207,'EA-Fortescue_SDExport'!$A:$A,'EA-Fortescue_SDExport'!H:H)</f>
        <v>InterfaceBlock</v>
      </c>
      <c r="I207" t="str">
        <f>_xlfn.XLOOKUP($A207,'EA-Fortescue_SDExport'!$A:$A,'EA-Fortescue_SDExport'!I:I)</f>
        <v>SysML1.4::InterfaceBlock</v>
      </c>
      <c r="J207" t="str">
        <f>_xlfn.XLOOKUP($A207,'EA-Fortescue_SDExport'!$A:$A,'EA-Fortescue_SDExport'!J:J)</f>
        <v>Java</v>
      </c>
      <c r="K207" t="str">
        <f>_xlfn.XLOOKUP($A207,'EA-Fortescue_SDExport'!$A:$A,'EA-Fortescue_SDExport'!K:K)</f>
        <v>Admin</v>
      </c>
      <c r="L207" t="str">
        <f>_xlfn.XLOOKUP($A207,'EA-Fortescue_SDExport'!$A:$A,'EA-Fortescue_SDExport'!L:L)</f>
        <v>Public</v>
      </c>
      <c r="M207">
        <f>_xlfn.XLOOKUP($A207,'EA-Fortescue_SDExport'!$A:$A,'EA-Fortescue_SDExport'!M:M)</f>
        <v>0</v>
      </c>
      <c r="N207" t="str">
        <f>_xlfn.XLOOKUP($A207,InterfaceRegister!$A:$A,InterfaceRegister!K:K)</f>
        <v>Proposed</v>
      </c>
      <c r="O207">
        <f>_xlfn.XLOOKUP($A207,'EA-Fortescue_SDExport'!$A:$A,'EA-Fortescue_SDExport'!O:O)</f>
        <v>1</v>
      </c>
      <c r="P207">
        <f>_xlfn.XLOOKUP($A207,'EA-Fortescue_SDExport'!$A:$A,'EA-Fortescue_SDExport'!P:P)</f>
        <v>0</v>
      </c>
      <c r="Q207">
        <f>_xlfn.XLOOKUP($A207,'EA-Fortescue_SDExport'!$A:$A,'EA-Fortescue_SDExport'!Q:Q)</f>
        <v>0</v>
      </c>
      <c r="R207">
        <f>_xlfn.XLOOKUP($A207,'EA-Fortescue_SDExport'!$A:$A,'EA-Fortescue_SDExport'!R:R)</f>
        <v>0</v>
      </c>
      <c r="S207">
        <f>_xlfn.XLOOKUP($A207,'EA-Fortescue_SDExport'!$A:$A,'EA-Fortescue_SDExport'!S:S)</f>
        <v>0</v>
      </c>
      <c r="T207">
        <f>_xlfn.XLOOKUP($A207,'EA-Fortescue_SDExport'!$A:$A,'EA-Fortescue_SDExport'!T:T)</f>
        <v>0</v>
      </c>
      <c r="U207">
        <f>_xlfn.XLOOKUP($A207,'EA-Fortescue_SDExport'!$A:$A,'EA-Fortescue_SDExport'!U:U)</f>
        <v>45966.619942129626</v>
      </c>
      <c r="V207">
        <f>_xlfn.XLOOKUP($A207,'EA-Fortescue_SDExport'!$A:$A,'EA-Fortescue_SDExport'!V:V)</f>
        <v>46077.993206018517</v>
      </c>
      <c r="W207">
        <f>_xlfn.XLOOKUP($A207,'EA-Fortescue_SDExport'!$A:$A,'EA-Fortescue_SDExport'!W:W)</f>
        <v>0</v>
      </c>
      <c r="X207">
        <f>_xlfn.XLOOKUP($A207,'EA-Fortescue_SDExport'!$A:$A,'EA-Fortescue_SDExport'!X:X)</f>
        <v>0</v>
      </c>
      <c r="Y207">
        <f>_xlfn.XLOOKUP($A207,'EA-Fortescue_SDExport'!$A:$A,'EA-Fortescue_SDExport'!Y:Y)</f>
        <v>0</v>
      </c>
      <c r="Z207" t="str">
        <f>_xlfn.XLOOKUP($A207,'EA-Fortescue_SDExport'!$A:$A,'EA-Fortescue_SDExport'!Z:Z)</f>
        <v>SysML1.4::InterfaceBlock</v>
      </c>
      <c r="AA207" t="str">
        <f>_xlfn.XLOOKUP($A207,InterfaceRegister!$A:$A,InterfaceRegister!B:B)</f>
        <v>854DC-1521-0006 Substation (11kV)|855DC-1543-008 Monarch</v>
      </c>
      <c r="AB207" t="str">
        <f>_xlfn.XLOOKUP($A207,InterfaceRegister!$A:$A,InterfaceRegister!C:C)</f>
        <v/>
      </c>
      <c r="AC207" t="str">
        <f>_xlfn.XLOOKUP($A207,InterfaceRegister!$A:$A,InterfaceRegister!D:D)</f>
        <v/>
      </c>
      <c r="AD207" t="str">
        <f>_xlfn.XLOOKUP($A207,InterfaceRegister!$A:$A,InterfaceRegister!E:E)</f>
        <v>Project - Project Interface</v>
      </c>
      <c r="AE207" t="str">
        <f>_xlfn.XLOOKUP($A207,InterfaceRegister!$A:$A,InterfaceRegister!F:F)</f>
        <v>Technical-Electrical</v>
      </c>
      <c r="AF207" t="str">
        <f>_xlfn.XLOOKUP($A207,InterfaceRegister!$A:$A,InterfaceRegister!L:L)</f>
        <v>This interface allows Monarch to monitor and receive status updates from an 11kV substation, enabling safe and coordinated distribution of electrical power at the low end of the HV network.</v>
      </c>
      <c r="AG207" t="str">
        <f>_xlfn.XLOOKUP($A207,InterfaceRegister!$A:$A,InterfaceRegister!M:M)</f>
        <v>HIGH</v>
      </c>
      <c r="AH207" t="str">
        <f>_xlfn.XLOOKUP($A207,InterfaceRegister!$A:$A,InterfaceRegister!O:O)</f>
        <v>Data Flow: 11 kV Substation -&gt; Monarch (breaker status, feeder status, transformer status, voltage/current measurements, power flows, protection relay indications, alarms, fault events) for real-time monitoring and coordinated distribution control._x000D_
Control Flow: Monarch -&gt; 11 kV Substation (remote switching commands, open/close breaker instructions, load transfer commands, reset signals) to enable safe isolation and local network reconfiguration.</v>
      </c>
      <c r="AI207" t="str">
        <f>_xlfn.XLOOKUP($A207,InterfaceRegister!$A:$A,InterfaceRegister!N:N)</f>
        <v>The criticality level is HIGH because loss of visibility or incorrect data from a substation can impact localised power distribution, disrupt operations, or hinder rapid fault isolation. Substations are vital assets, and communication failures may cause operational downtime or electrical safety issues.</v>
      </c>
      <c r="AJ207" t="str">
        <f>_xlfn.XLOOKUP($A207,'EA-Fortescue_SDExport'!$A:$A,'EA-Fortescue_SDExport'!AX:AX)</f>
        <v>CSVA351CB7E</v>
      </c>
      <c r="AK207">
        <f>_xlfn.XLOOKUP($A207,'EA-Fortescue_SDExport'!$A:$A,'EA-Fortescue_SDExport'!AY:AY)</f>
        <v>0</v>
      </c>
    </row>
    <row r="208" spans="1:37" x14ac:dyDescent="0.25">
      <c r="A208" t="str">
        <v>DGS-I_0207</v>
      </c>
      <c r="B208" t="str">
        <f>_xlfn.XLOOKUP($A208,'EA-Fortescue_SDExport'!$A:$A,'EA-Fortescue_SDExport'!B:B)</f>
        <v>Class</v>
      </c>
      <c r="C208" t="str">
        <f>_xlfn.XLOOKUP($A208,'EA-Fortescue_SDExport'!$A:$A,'EA-Fortescue_SDExport'!C:C)</f>
        <v>{BD4DA6DE-0993-412d-809D-4DFFE46F390E}</v>
      </c>
      <c r="D208" t="str">
        <f>_xlfn.LET(_xlpm.result, _xlfn.XLOOKUP($A208, InterfaceRegister!$A:$A, InterfaceRegister!P:P), IF(_xlpm.result=0, "", _xlpm.result))</f>
        <v>NH 20/02/2026: Fields updated: Interface Type, Interface Flow.</v>
      </c>
      <c r="E208">
        <f>_xlfn.XLOOKUP($A208,'EA-Fortescue_SDExport'!$A:$A,'EA-Fortescue_SDExport'!E:E)</f>
        <v>1</v>
      </c>
      <c r="F208">
        <f>_xlfn.XLOOKUP($A208,'EA-Fortescue_SDExport'!$A:$A,'EA-Fortescue_SDExport'!F:F)</f>
        <v>1</v>
      </c>
      <c r="G208">
        <f>_xlfn.XLOOKUP($A208,'EA-Fortescue_SDExport'!$A:$A,'EA-Fortescue_SDExport'!G:G)</f>
        <v>0</v>
      </c>
      <c r="H208" t="str">
        <f>_xlfn.XLOOKUP($A208,'EA-Fortescue_SDExport'!$A:$A,'EA-Fortescue_SDExport'!H:H)</f>
        <v>InterfaceBlock</v>
      </c>
      <c r="I208" t="str">
        <f>_xlfn.XLOOKUP($A208,'EA-Fortescue_SDExport'!$A:$A,'EA-Fortescue_SDExport'!I:I)</f>
        <v>SysML1.4::InterfaceBlock</v>
      </c>
      <c r="J208" t="str">
        <f>_xlfn.XLOOKUP($A208,'EA-Fortescue_SDExport'!$A:$A,'EA-Fortescue_SDExport'!J:J)</f>
        <v>Java</v>
      </c>
      <c r="K208" t="str">
        <f>_xlfn.XLOOKUP($A208,'EA-Fortescue_SDExport'!$A:$A,'EA-Fortescue_SDExport'!K:K)</f>
        <v>Admin</v>
      </c>
      <c r="L208" t="str">
        <f>_xlfn.XLOOKUP($A208,'EA-Fortescue_SDExport'!$A:$A,'EA-Fortescue_SDExport'!L:L)</f>
        <v>Public</v>
      </c>
      <c r="M208">
        <f>_xlfn.XLOOKUP($A208,'EA-Fortescue_SDExport'!$A:$A,'EA-Fortescue_SDExport'!M:M)</f>
        <v>0</v>
      </c>
      <c r="N208" t="str">
        <f>_xlfn.XLOOKUP($A208,InterfaceRegister!$A:$A,InterfaceRegister!K:K)</f>
        <v>Proposed</v>
      </c>
      <c r="O208">
        <f>_xlfn.XLOOKUP($A208,'EA-Fortescue_SDExport'!$A:$A,'EA-Fortescue_SDExport'!O:O)</f>
        <v>1</v>
      </c>
      <c r="P208">
        <f>_xlfn.XLOOKUP($A208,'EA-Fortescue_SDExport'!$A:$A,'EA-Fortescue_SDExport'!P:P)</f>
        <v>0</v>
      </c>
      <c r="Q208">
        <f>_xlfn.XLOOKUP($A208,'EA-Fortescue_SDExport'!$A:$A,'EA-Fortescue_SDExport'!Q:Q)</f>
        <v>0</v>
      </c>
      <c r="R208">
        <f>_xlfn.XLOOKUP($A208,'EA-Fortescue_SDExport'!$A:$A,'EA-Fortescue_SDExport'!R:R)</f>
        <v>0</v>
      </c>
      <c r="S208">
        <f>_xlfn.XLOOKUP($A208,'EA-Fortescue_SDExport'!$A:$A,'EA-Fortescue_SDExport'!S:S)</f>
        <v>0</v>
      </c>
      <c r="T208">
        <f>_xlfn.XLOOKUP($A208,'EA-Fortescue_SDExport'!$A:$A,'EA-Fortescue_SDExport'!T:T)</f>
        <v>0</v>
      </c>
      <c r="U208">
        <f>_xlfn.XLOOKUP($A208,'EA-Fortescue_SDExport'!$A:$A,'EA-Fortescue_SDExport'!U:U)</f>
        <v>45966.619988425926</v>
      </c>
      <c r="V208">
        <f>_xlfn.XLOOKUP($A208,'EA-Fortescue_SDExport'!$A:$A,'EA-Fortescue_SDExport'!V:V)</f>
        <v>46077.993217592593</v>
      </c>
      <c r="W208">
        <f>_xlfn.XLOOKUP($A208,'EA-Fortescue_SDExport'!$A:$A,'EA-Fortescue_SDExport'!W:W)</f>
        <v>0</v>
      </c>
      <c r="X208">
        <f>_xlfn.XLOOKUP($A208,'EA-Fortescue_SDExport'!$A:$A,'EA-Fortescue_SDExport'!X:X)</f>
        <v>0</v>
      </c>
      <c r="Y208">
        <f>_xlfn.XLOOKUP($A208,'EA-Fortescue_SDExport'!$A:$A,'EA-Fortescue_SDExport'!Y:Y)</f>
        <v>0</v>
      </c>
      <c r="Z208" t="str">
        <f>_xlfn.XLOOKUP($A208,'EA-Fortescue_SDExport'!$A:$A,'EA-Fortescue_SDExport'!Z:Z)</f>
        <v>SysML1.4::InterfaceBlock</v>
      </c>
      <c r="AA208" t="str">
        <f>_xlfn.XLOOKUP($A208,InterfaceRegister!$A:$A,InterfaceRegister!B:B)</f>
        <v>854DC-1521-0005 Substation (22kV)|855DC-1543-008 Monarch</v>
      </c>
      <c r="AB208" t="str">
        <f>_xlfn.XLOOKUP($A208,InterfaceRegister!$A:$A,InterfaceRegister!C:C)</f>
        <v/>
      </c>
      <c r="AC208" t="str">
        <f>_xlfn.XLOOKUP($A208,InterfaceRegister!$A:$A,InterfaceRegister!D:D)</f>
        <v/>
      </c>
      <c r="AD208" t="str">
        <f>_xlfn.XLOOKUP($A208,InterfaceRegister!$A:$A,InterfaceRegister!E:E)</f>
        <v>Project - Project Interface</v>
      </c>
      <c r="AE208" t="str">
        <f>_xlfn.XLOOKUP($A208,InterfaceRegister!$A:$A,InterfaceRegister!F:F)</f>
        <v>Technical-Electrical</v>
      </c>
      <c r="AF208" t="str">
        <f>_xlfn.XLOOKUP($A208,InterfaceRegister!$A:$A,InterfaceRegister!L:L)</f>
        <v>This interface connects the 22kV substation to Monarch, allowing the system to receive live electrical status, alarms, and operational data used for safe power distribution management.</v>
      </c>
      <c r="AG208" t="str">
        <f>_xlfn.XLOOKUP($A208,InterfaceRegister!$A:$A,InterfaceRegister!M:M)</f>
        <v>HIGH</v>
      </c>
      <c r="AH208" t="str">
        <f>_xlfn.XLOOKUP($A208,InterfaceRegister!$A:$A,InterfaceRegister!O:O)</f>
        <v>Data Flow: 22 kV Substation -&gt; Monarch (breaker positions, feeder status, transformer loading, voltage/current measurements, protection relay status, alarms, fault indications) to provide live operational visibility of the medium-voltage network._x000D_
Control Flow: Monarch -&gt; 22 kV Substation (remote switching commands, breaker open/close instructions, load transfer and isolation commands) to support coordinated distribution management and fault response.</v>
      </c>
      <c r="AI208" t="str">
        <f>_xlfn.XLOOKUP($A208,InterfaceRegister!$A:$A,InterfaceRegister!N:N)</f>
        <v>The criticality level is HIGH because losing visibility of a substation at this voltage affects the essential site electrical supply and delays fault response, potentially disrupting production. Substations are key electrical assets, and any loss of monitoring or control can undermine power reliability and operational safety.</v>
      </c>
      <c r="AJ208" t="str">
        <f>_xlfn.XLOOKUP($A208,'EA-Fortescue_SDExport'!$A:$A,'EA-Fortescue_SDExport'!AX:AX)</f>
        <v>CSV4B695E07</v>
      </c>
      <c r="AK208">
        <f>_xlfn.XLOOKUP($A208,'EA-Fortescue_SDExport'!$A:$A,'EA-Fortescue_SDExport'!AY:AY)</f>
        <v>0</v>
      </c>
    </row>
    <row r="209" spans="1:37" x14ac:dyDescent="0.25">
      <c r="A209" t="str">
        <v>DGS-I_0208</v>
      </c>
      <c r="B209" t="str">
        <f>_xlfn.XLOOKUP($A209,'EA-Fortescue_SDExport'!$A:$A,'EA-Fortescue_SDExport'!B:B)</f>
        <v>Class</v>
      </c>
      <c r="C209" t="str">
        <f>_xlfn.XLOOKUP($A209,'EA-Fortescue_SDExport'!$A:$A,'EA-Fortescue_SDExport'!C:C)</f>
        <v>{1C2D8BF5-BC59-4bf8-9044-16806AD72F88}</v>
      </c>
      <c r="D209" t="str">
        <f>_xlfn.LET(_xlpm.result, _xlfn.XLOOKUP($A209, InterfaceRegister!$A:$A, InterfaceRegister!P:P), IF(_xlpm.result=0, "", _xlpm.result))</f>
        <v>NH 20/02/2026: Fields updated: Interface Type, Interface Flow.</v>
      </c>
      <c r="E209">
        <f>_xlfn.XLOOKUP($A209,'EA-Fortescue_SDExport'!$A:$A,'EA-Fortescue_SDExport'!E:E)</f>
        <v>1</v>
      </c>
      <c r="F209">
        <f>_xlfn.XLOOKUP($A209,'EA-Fortescue_SDExport'!$A:$A,'EA-Fortescue_SDExport'!F:F)</f>
        <v>1</v>
      </c>
      <c r="G209">
        <f>_xlfn.XLOOKUP($A209,'EA-Fortescue_SDExport'!$A:$A,'EA-Fortescue_SDExport'!G:G)</f>
        <v>0</v>
      </c>
      <c r="H209" t="str">
        <f>_xlfn.XLOOKUP($A209,'EA-Fortescue_SDExport'!$A:$A,'EA-Fortescue_SDExport'!H:H)</f>
        <v>InterfaceBlock</v>
      </c>
      <c r="I209" t="str">
        <f>_xlfn.XLOOKUP($A209,'EA-Fortescue_SDExport'!$A:$A,'EA-Fortescue_SDExport'!I:I)</f>
        <v>SysML1.4::InterfaceBlock</v>
      </c>
      <c r="J209" t="str">
        <f>_xlfn.XLOOKUP($A209,'EA-Fortescue_SDExport'!$A:$A,'EA-Fortescue_SDExport'!J:J)</f>
        <v>Java</v>
      </c>
      <c r="K209" t="str">
        <f>_xlfn.XLOOKUP($A209,'EA-Fortescue_SDExport'!$A:$A,'EA-Fortescue_SDExport'!K:K)</f>
        <v>Admin</v>
      </c>
      <c r="L209" t="str">
        <f>_xlfn.XLOOKUP($A209,'EA-Fortescue_SDExport'!$A:$A,'EA-Fortescue_SDExport'!L:L)</f>
        <v>Public</v>
      </c>
      <c r="M209">
        <f>_xlfn.XLOOKUP($A209,'EA-Fortescue_SDExport'!$A:$A,'EA-Fortescue_SDExport'!M:M)</f>
        <v>0</v>
      </c>
      <c r="N209" t="str">
        <f>_xlfn.XLOOKUP($A209,InterfaceRegister!$A:$A,InterfaceRegister!K:K)</f>
        <v>Proposed</v>
      </c>
      <c r="O209">
        <f>_xlfn.XLOOKUP($A209,'EA-Fortescue_SDExport'!$A:$A,'EA-Fortescue_SDExport'!O:O)</f>
        <v>1</v>
      </c>
      <c r="P209">
        <f>_xlfn.XLOOKUP($A209,'EA-Fortescue_SDExport'!$A:$A,'EA-Fortescue_SDExport'!P:P)</f>
        <v>0</v>
      </c>
      <c r="Q209">
        <f>_xlfn.XLOOKUP($A209,'EA-Fortescue_SDExport'!$A:$A,'EA-Fortescue_SDExport'!Q:Q)</f>
        <v>0</v>
      </c>
      <c r="R209">
        <f>_xlfn.XLOOKUP($A209,'EA-Fortescue_SDExport'!$A:$A,'EA-Fortescue_SDExport'!R:R)</f>
        <v>0</v>
      </c>
      <c r="S209">
        <f>_xlfn.XLOOKUP($A209,'EA-Fortescue_SDExport'!$A:$A,'EA-Fortescue_SDExport'!S:S)</f>
        <v>0</v>
      </c>
      <c r="T209">
        <f>_xlfn.XLOOKUP($A209,'EA-Fortescue_SDExport'!$A:$A,'EA-Fortescue_SDExport'!T:T)</f>
        <v>0</v>
      </c>
      <c r="U209">
        <f>_xlfn.XLOOKUP($A209,'EA-Fortescue_SDExport'!$A:$A,'EA-Fortescue_SDExport'!U:U)</f>
        <v>45966.620023148149</v>
      </c>
      <c r="V209">
        <f>_xlfn.XLOOKUP($A209,'EA-Fortescue_SDExport'!$A:$A,'EA-Fortescue_SDExport'!V:V)</f>
        <v>46077.993217592593</v>
      </c>
      <c r="W209">
        <f>_xlfn.XLOOKUP($A209,'EA-Fortescue_SDExport'!$A:$A,'EA-Fortescue_SDExport'!W:W)</f>
        <v>0</v>
      </c>
      <c r="X209">
        <f>_xlfn.XLOOKUP($A209,'EA-Fortescue_SDExport'!$A:$A,'EA-Fortescue_SDExport'!X:X)</f>
        <v>0</v>
      </c>
      <c r="Y209">
        <f>_xlfn.XLOOKUP($A209,'EA-Fortescue_SDExport'!$A:$A,'EA-Fortescue_SDExport'!Y:Y)</f>
        <v>0</v>
      </c>
      <c r="Z209" t="str">
        <f>_xlfn.XLOOKUP($A209,'EA-Fortescue_SDExport'!$A:$A,'EA-Fortescue_SDExport'!Z:Z)</f>
        <v>SysML1.4::InterfaceBlock</v>
      </c>
      <c r="AA209" t="str">
        <f>_xlfn.XLOOKUP($A209,InterfaceRegister!$A:$A,InterfaceRegister!B:B)</f>
        <v>854DC-1521-0002 Substation (66kV)|855DC-1543-008 Monarch</v>
      </c>
      <c r="AB209" t="str">
        <f>_xlfn.XLOOKUP($A209,InterfaceRegister!$A:$A,InterfaceRegister!C:C)</f>
        <v/>
      </c>
      <c r="AC209" t="str">
        <f>_xlfn.XLOOKUP($A209,InterfaceRegister!$A:$A,InterfaceRegister!D:D)</f>
        <v/>
      </c>
      <c r="AD209" t="str">
        <f>_xlfn.XLOOKUP($A209,InterfaceRegister!$A:$A,InterfaceRegister!E:E)</f>
        <v>Project - Project Interface</v>
      </c>
      <c r="AE209" t="str">
        <f>_xlfn.XLOOKUP($A209,InterfaceRegister!$A:$A,InterfaceRegister!F:F)</f>
        <v>Technical-Electrical</v>
      </c>
      <c r="AF209" t="str">
        <f>_xlfn.XLOOKUP($A209,InterfaceRegister!$A:$A,InterfaceRegister!L:L)</f>
        <v>This interface provides Monarch with status and operational data from the 66kV substation, which supports major site electrical loads and distribution feeders.</v>
      </c>
      <c r="AG209" t="str">
        <f>_xlfn.XLOOKUP($A209,InterfaceRegister!$A:$A,InterfaceRegister!M:M)</f>
        <v>HIGH</v>
      </c>
      <c r="AH209" t="str">
        <f>_xlfn.XLOOKUP($A209,InterfaceRegister!$A:$A,InterfaceRegister!O:O)</f>
        <v>Data Flow: 66 kV Substation -&gt; Monarch (breaker and isolator status, busbar configuration, transformer loading, voltage/current measurements, protection relay status, alarms, fault events, feeder loading) to provide visibility of major distribution assets and high-load feeders._x000D_
Control Flow: Monarch -&gt; 66 kV Substation (remote switching commands, breaker open/close operations, load transfer instructions, fault isolation commands) to support coordinated network management and restoration activities.</v>
      </c>
      <c r="AI209" t="str">
        <f>_xlfn.XLOOKUP($A209,InterfaceRegister!$A:$A,InterfaceRegister!N:N)</f>
        <v>The criticality level is HIGH because the 66kV network supplies major sections of the mine, and the loss of this interface limits visibility into system health and load conditions. Missing or outdated substation data can cause delays in fault management, increase the risk of overload, or lead to unplanned outages affecting vital mining systems.</v>
      </c>
      <c r="AJ209" t="str">
        <f>_xlfn.XLOOKUP($A209,'EA-Fortescue_SDExport'!$A:$A,'EA-Fortescue_SDExport'!AX:AX)</f>
        <v>CSVD1B89D43</v>
      </c>
      <c r="AK209">
        <f>_xlfn.XLOOKUP($A209,'EA-Fortescue_SDExport'!$A:$A,'EA-Fortescue_SDExport'!AY:AY)</f>
        <v>0</v>
      </c>
    </row>
    <row r="210" spans="1:37" x14ac:dyDescent="0.25">
      <c r="A210" t="str">
        <v>DGS-I_0209</v>
      </c>
      <c r="B210" t="str">
        <f>_xlfn.XLOOKUP($A210,'EA-Fortescue_SDExport'!$A:$A,'EA-Fortescue_SDExport'!B:B)</f>
        <v>Class</v>
      </c>
      <c r="C210" t="str">
        <f>_xlfn.XLOOKUP($A210,'EA-Fortescue_SDExport'!$A:$A,'EA-Fortescue_SDExport'!C:C)</f>
        <v>{BD54AAFA-0D94-4b81-A0E6-961037362E8E}</v>
      </c>
      <c r="D210" t="str">
        <f>_xlfn.LET(_xlpm.result, _xlfn.XLOOKUP($A210, InterfaceRegister!$A:$A, InterfaceRegister!P:P), IF(_xlpm.result=0, "", _xlpm.result))</f>
        <v>NH 20/02/2026: Fields updated: Interface Type, Interface Flow.</v>
      </c>
      <c r="E210">
        <f>_xlfn.XLOOKUP($A210,'EA-Fortescue_SDExport'!$A:$A,'EA-Fortescue_SDExport'!E:E)</f>
        <v>1</v>
      </c>
      <c r="F210">
        <f>_xlfn.XLOOKUP($A210,'EA-Fortescue_SDExport'!$A:$A,'EA-Fortescue_SDExport'!F:F)</f>
        <v>1</v>
      </c>
      <c r="G210">
        <f>_xlfn.XLOOKUP($A210,'EA-Fortescue_SDExport'!$A:$A,'EA-Fortescue_SDExport'!G:G)</f>
        <v>0</v>
      </c>
      <c r="H210" t="str">
        <f>_xlfn.XLOOKUP($A210,'EA-Fortescue_SDExport'!$A:$A,'EA-Fortescue_SDExport'!H:H)</f>
        <v>InterfaceBlock</v>
      </c>
      <c r="I210" t="str">
        <f>_xlfn.XLOOKUP($A210,'EA-Fortescue_SDExport'!$A:$A,'EA-Fortescue_SDExport'!I:I)</f>
        <v>SysML1.4::InterfaceBlock</v>
      </c>
      <c r="J210" t="str">
        <f>_xlfn.XLOOKUP($A210,'EA-Fortescue_SDExport'!$A:$A,'EA-Fortescue_SDExport'!J:J)</f>
        <v>Java</v>
      </c>
      <c r="K210" t="str">
        <f>_xlfn.XLOOKUP($A210,'EA-Fortescue_SDExport'!$A:$A,'EA-Fortescue_SDExport'!K:K)</f>
        <v>Admin</v>
      </c>
      <c r="L210" t="str">
        <f>_xlfn.XLOOKUP($A210,'EA-Fortescue_SDExport'!$A:$A,'EA-Fortescue_SDExport'!L:L)</f>
        <v>Public</v>
      </c>
      <c r="M210">
        <f>_xlfn.XLOOKUP($A210,'EA-Fortescue_SDExport'!$A:$A,'EA-Fortescue_SDExport'!M:M)</f>
        <v>0</v>
      </c>
      <c r="N210" t="str">
        <f>_xlfn.XLOOKUP($A210,InterfaceRegister!$A:$A,InterfaceRegister!K:K)</f>
        <v>Proposed</v>
      </c>
      <c r="O210">
        <f>_xlfn.XLOOKUP($A210,'EA-Fortescue_SDExport'!$A:$A,'EA-Fortescue_SDExport'!O:O)</f>
        <v>1</v>
      </c>
      <c r="P210">
        <f>_xlfn.XLOOKUP($A210,'EA-Fortescue_SDExport'!$A:$A,'EA-Fortescue_SDExport'!P:P)</f>
        <v>0</v>
      </c>
      <c r="Q210">
        <f>_xlfn.XLOOKUP($A210,'EA-Fortescue_SDExport'!$A:$A,'EA-Fortescue_SDExport'!Q:Q)</f>
        <v>0</v>
      </c>
      <c r="R210">
        <f>_xlfn.XLOOKUP($A210,'EA-Fortescue_SDExport'!$A:$A,'EA-Fortescue_SDExport'!R:R)</f>
        <v>0</v>
      </c>
      <c r="S210">
        <f>_xlfn.XLOOKUP($A210,'EA-Fortescue_SDExport'!$A:$A,'EA-Fortescue_SDExport'!S:S)</f>
        <v>0</v>
      </c>
      <c r="T210">
        <f>_xlfn.XLOOKUP($A210,'EA-Fortescue_SDExport'!$A:$A,'EA-Fortescue_SDExport'!T:T)</f>
        <v>0</v>
      </c>
      <c r="U210">
        <f>_xlfn.XLOOKUP($A210,'EA-Fortescue_SDExport'!$A:$A,'EA-Fortescue_SDExport'!U:U)</f>
        <v>45966.620081018518</v>
      </c>
      <c r="V210">
        <f>_xlfn.XLOOKUP($A210,'EA-Fortescue_SDExport'!$A:$A,'EA-Fortescue_SDExport'!V:V)</f>
        <v>46077.993217592593</v>
      </c>
      <c r="W210">
        <f>_xlfn.XLOOKUP($A210,'EA-Fortescue_SDExport'!$A:$A,'EA-Fortescue_SDExport'!W:W)</f>
        <v>0</v>
      </c>
      <c r="X210">
        <f>_xlfn.XLOOKUP($A210,'EA-Fortescue_SDExport'!$A:$A,'EA-Fortescue_SDExport'!X:X)</f>
        <v>0</v>
      </c>
      <c r="Y210">
        <f>_xlfn.XLOOKUP($A210,'EA-Fortescue_SDExport'!$A:$A,'EA-Fortescue_SDExport'!Y:Y)</f>
        <v>0</v>
      </c>
      <c r="Z210" t="str">
        <f>_xlfn.XLOOKUP($A210,'EA-Fortescue_SDExport'!$A:$A,'EA-Fortescue_SDExport'!Z:Z)</f>
        <v>SysML1.4::InterfaceBlock</v>
      </c>
      <c r="AA210" t="str">
        <f>_xlfn.XLOOKUP($A210,InterfaceRegister!$A:$A,InterfaceRegister!B:B)</f>
        <v>854DC-1521-0003 Substation (132kV)|855DC-1543-008 Monarch</v>
      </c>
      <c r="AB210" t="str">
        <f>_xlfn.XLOOKUP($A210,InterfaceRegister!$A:$A,InterfaceRegister!C:C)</f>
        <v/>
      </c>
      <c r="AC210" t="str">
        <f>_xlfn.XLOOKUP($A210,InterfaceRegister!$A:$A,InterfaceRegister!D:D)</f>
        <v/>
      </c>
      <c r="AD210" t="str">
        <f>_xlfn.XLOOKUP($A210,InterfaceRegister!$A:$A,InterfaceRegister!E:E)</f>
        <v>Project - Project Interface</v>
      </c>
      <c r="AE210" t="str">
        <f>_xlfn.XLOOKUP($A210,InterfaceRegister!$A:$A,InterfaceRegister!F:F)</f>
        <v>Technical-Electrical</v>
      </c>
      <c r="AF210" t="str">
        <f>_xlfn.XLOOKUP($A210,InterfaceRegister!$A:$A,InterfaceRegister!L:L)</f>
        <v>This interface links Monarch to the 132kV substation, a primary high-voltage distribution node that feeds major mine infrastructure.</v>
      </c>
      <c r="AG210" t="str">
        <f>_xlfn.XLOOKUP($A210,InterfaceRegister!$A:$A,InterfaceRegister!M:M)</f>
        <v>HIGH</v>
      </c>
      <c r="AH210" t="str">
        <f>_xlfn.XLOOKUP($A210,InterfaceRegister!$A:$A,InterfaceRegister!O:O)</f>
        <v>Data Flow: 132 kV Substation -&gt; Monarch, transmitting breaker and isolator status, busbar configuration, transformer loading, voltage and current measurements, protection relay status, alarms, fault indications, and feeder power flows to provide real-time visibility of the primary backbone supply node feeding major mine infrastructure.</v>
      </c>
      <c r="AI210" t="str">
        <f>_xlfn.XLOOKUP($A210,InterfaceRegister!$A:$A,InterfaceRegister!N:N)</f>
        <v>The criticality level is HIGH because a failure of this interface removes essential situational awareness of the backbone power supply, increasing the risk of widespread outages. High-voltage substations require constant monitoring to maintain electrical safety and system stability; without this interface, the site cannot effectively manage grid disturbances.</v>
      </c>
      <c r="AJ210" t="str">
        <f>_xlfn.XLOOKUP($A210,'EA-Fortescue_SDExport'!$A:$A,'EA-Fortescue_SDExport'!AX:AX)</f>
        <v>CSV654C8DA8</v>
      </c>
      <c r="AK210">
        <f>_xlfn.XLOOKUP($A210,'EA-Fortescue_SDExport'!$A:$A,'EA-Fortescue_SDExport'!AY:AY)</f>
        <v>0</v>
      </c>
    </row>
    <row r="211" spans="1:37" x14ac:dyDescent="0.25">
      <c r="A211" t="str">
        <v>DGS-I_0210</v>
      </c>
      <c r="B211" t="str">
        <f>_xlfn.XLOOKUP($A211,'EA-Fortescue_SDExport'!$A:$A,'EA-Fortescue_SDExport'!B:B)</f>
        <v>Class</v>
      </c>
      <c r="C211" t="str">
        <f>_xlfn.XLOOKUP($A211,'EA-Fortescue_SDExport'!$A:$A,'EA-Fortescue_SDExport'!C:C)</f>
        <v>{20D477C3-A81E-4999-9FAF-E2BADE070836}</v>
      </c>
      <c r="D211" t="str">
        <f>_xlfn.LET(_xlpm.result, _xlfn.XLOOKUP($A211, InterfaceRegister!$A:$A, InterfaceRegister!P:P), IF(_xlpm.result=0, "", _xlpm.result))</f>
        <v>NH 20/02/2026: Fields updated: Interface Type, Interface Flow.</v>
      </c>
      <c r="E211">
        <f>_xlfn.XLOOKUP($A211,'EA-Fortescue_SDExport'!$A:$A,'EA-Fortescue_SDExport'!E:E)</f>
        <v>1</v>
      </c>
      <c r="F211">
        <f>_xlfn.XLOOKUP($A211,'EA-Fortescue_SDExport'!$A:$A,'EA-Fortescue_SDExport'!F:F)</f>
        <v>1</v>
      </c>
      <c r="G211">
        <f>_xlfn.XLOOKUP($A211,'EA-Fortescue_SDExport'!$A:$A,'EA-Fortescue_SDExport'!G:G)</f>
        <v>0</v>
      </c>
      <c r="H211" t="str">
        <f>_xlfn.XLOOKUP($A211,'EA-Fortescue_SDExport'!$A:$A,'EA-Fortescue_SDExport'!H:H)</f>
        <v>InterfaceBlock</v>
      </c>
      <c r="I211" t="str">
        <f>_xlfn.XLOOKUP($A211,'EA-Fortescue_SDExport'!$A:$A,'EA-Fortescue_SDExport'!I:I)</f>
        <v>SysML1.4::InterfaceBlock</v>
      </c>
      <c r="J211" t="str">
        <f>_xlfn.XLOOKUP($A211,'EA-Fortescue_SDExport'!$A:$A,'EA-Fortescue_SDExport'!J:J)</f>
        <v>Java</v>
      </c>
      <c r="K211" t="str">
        <f>_xlfn.XLOOKUP($A211,'EA-Fortescue_SDExport'!$A:$A,'EA-Fortescue_SDExport'!K:K)</f>
        <v>Admin</v>
      </c>
      <c r="L211" t="str">
        <f>_xlfn.XLOOKUP($A211,'EA-Fortescue_SDExport'!$A:$A,'EA-Fortescue_SDExport'!L:L)</f>
        <v>Public</v>
      </c>
      <c r="M211">
        <f>_xlfn.XLOOKUP($A211,'EA-Fortescue_SDExport'!$A:$A,'EA-Fortescue_SDExport'!M:M)</f>
        <v>0</v>
      </c>
      <c r="N211" t="str">
        <f>_xlfn.XLOOKUP($A211,InterfaceRegister!$A:$A,InterfaceRegister!K:K)</f>
        <v>Proposed</v>
      </c>
      <c r="O211">
        <f>_xlfn.XLOOKUP($A211,'EA-Fortescue_SDExport'!$A:$A,'EA-Fortescue_SDExport'!O:O)</f>
        <v>1</v>
      </c>
      <c r="P211">
        <f>_xlfn.XLOOKUP($A211,'EA-Fortescue_SDExport'!$A:$A,'EA-Fortescue_SDExport'!P:P)</f>
        <v>0</v>
      </c>
      <c r="Q211">
        <f>_xlfn.XLOOKUP($A211,'EA-Fortescue_SDExport'!$A:$A,'EA-Fortescue_SDExport'!Q:Q)</f>
        <v>0</v>
      </c>
      <c r="R211">
        <f>_xlfn.XLOOKUP($A211,'EA-Fortescue_SDExport'!$A:$A,'EA-Fortescue_SDExport'!R:R)</f>
        <v>0</v>
      </c>
      <c r="S211">
        <f>_xlfn.XLOOKUP($A211,'EA-Fortescue_SDExport'!$A:$A,'EA-Fortescue_SDExport'!S:S)</f>
        <v>0</v>
      </c>
      <c r="T211">
        <f>_xlfn.XLOOKUP($A211,'EA-Fortescue_SDExport'!$A:$A,'EA-Fortescue_SDExport'!T:T)</f>
        <v>0</v>
      </c>
      <c r="U211">
        <f>_xlfn.XLOOKUP($A211,'EA-Fortescue_SDExport'!$A:$A,'EA-Fortescue_SDExport'!U:U)</f>
        <v>45966.620115740741</v>
      </c>
      <c r="V211">
        <f>_xlfn.XLOOKUP($A211,'EA-Fortescue_SDExport'!$A:$A,'EA-Fortescue_SDExport'!V:V)</f>
        <v>46077.993206018517</v>
      </c>
      <c r="W211">
        <f>_xlfn.XLOOKUP($A211,'EA-Fortescue_SDExport'!$A:$A,'EA-Fortescue_SDExport'!W:W)</f>
        <v>0</v>
      </c>
      <c r="X211">
        <f>_xlfn.XLOOKUP($A211,'EA-Fortescue_SDExport'!$A:$A,'EA-Fortescue_SDExport'!X:X)</f>
        <v>0</v>
      </c>
      <c r="Y211">
        <f>_xlfn.XLOOKUP($A211,'EA-Fortescue_SDExport'!$A:$A,'EA-Fortescue_SDExport'!Y:Y)</f>
        <v>0</v>
      </c>
      <c r="Z211" t="str">
        <f>_xlfn.XLOOKUP($A211,'EA-Fortescue_SDExport'!$A:$A,'EA-Fortescue_SDExport'!Z:Z)</f>
        <v>SysML1.4::InterfaceBlock</v>
      </c>
      <c r="AA211" t="str">
        <f>_xlfn.XLOOKUP($A211,InterfaceRegister!$A:$A,InterfaceRegister!B:B)</f>
        <v>854DC-1521-0004 Substation (220kV)|855DC-1543-008 Monarch</v>
      </c>
      <c r="AB211" t="str">
        <f>_xlfn.XLOOKUP($A211,InterfaceRegister!$A:$A,InterfaceRegister!C:C)</f>
        <v/>
      </c>
      <c r="AC211" t="str">
        <f>_xlfn.XLOOKUP($A211,InterfaceRegister!$A:$A,InterfaceRegister!D:D)</f>
        <v/>
      </c>
      <c r="AD211" t="str">
        <f>_xlfn.XLOOKUP($A211,InterfaceRegister!$A:$A,InterfaceRegister!E:E)</f>
        <v>Project - Project Interface</v>
      </c>
      <c r="AE211" t="str">
        <f>_xlfn.XLOOKUP($A211,InterfaceRegister!$A:$A,InterfaceRegister!F:F)</f>
        <v>Technical-Electrical</v>
      </c>
      <c r="AF211" t="str">
        <f>_xlfn.XLOOKUP($A211,InterfaceRegister!$A:$A,InterfaceRegister!L:L)</f>
        <v>This interface provides critical 220kV substation data to Monarch, enabling the system to monitor the incoming high-voltage supply that feeds the rest of the mining operation.</v>
      </c>
      <c r="AG211" t="str">
        <f>_xlfn.XLOOKUP($A211,InterfaceRegister!$A:$A,InterfaceRegister!M:M)</f>
        <v>HIGH</v>
      </c>
      <c r="AH211" t="str">
        <f>_xlfn.XLOOKUP($A211,InterfaceRegister!$A:$A,InterfaceRegister!O:O)</f>
        <v>Data Flow: 220 kV Substation -&gt; Monarch, transmitting breaker and isolator positions, busbar configuration, transformer status and loading, voltage and current measurements, protection relay indications, alarms, fault events, and incoming supply conditions to provide real-time visibility of the primary grid connection supplying the mining operation.</v>
      </c>
      <c r="AI211" t="str">
        <f>_xlfn.XLOOKUP($A211,InterfaceRegister!$A:$A,InterfaceRegister!N:N)</f>
        <v>The criticality level is HIGH because any failure in monitoring or control at this level could affect the entire network, causing widespread operational shutdowns. The 220kV substation is a top-tier electrical asset, and loss of interface visibility significantly increases the risk to the site's power stability and safety.</v>
      </c>
      <c r="AJ211" t="str">
        <f>_xlfn.XLOOKUP($A211,'EA-Fortescue_SDExport'!$A:$A,'EA-Fortescue_SDExport'!AX:AX)</f>
        <v>CSV1EBD33A3</v>
      </c>
      <c r="AK211">
        <f>_xlfn.XLOOKUP($A211,'EA-Fortescue_SDExport'!$A:$A,'EA-Fortescue_SDExport'!AY:AY)</f>
        <v>0</v>
      </c>
    </row>
    <row r="212" spans="1:37" x14ac:dyDescent="0.25">
      <c r="A212" t="str">
        <v>DGS-I_0211</v>
      </c>
      <c r="B212" t="str">
        <f>_xlfn.XLOOKUP($A212,'EA-Fortescue_SDExport'!$A:$A,'EA-Fortescue_SDExport'!B:B)</f>
        <v>Class</v>
      </c>
      <c r="C212" t="str">
        <f>_xlfn.XLOOKUP($A212,'EA-Fortescue_SDExport'!$A:$A,'EA-Fortescue_SDExport'!C:C)</f>
        <v>{479D4BA1-E3DC-4781-A2F7-D94D4AE1116E}</v>
      </c>
      <c r="D212" t="str">
        <f>_xlfn.LET(_xlpm.result, _xlfn.XLOOKUP($A212, InterfaceRegister!$A:$A, InterfaceRegister!P:P), IF(_xlpm.result=0, "", _xlpm.result))</f>
        <v>NH 20/02/2026: Fields updated: Interface Type, Interface Flow.</v>
      </c>
      <c r="E212">
        <f>_xlfn.XLOOKUP($A212,'EA-Fortescue_SDExport'!$A:$A,'EA-Fortescue_SDExport'!E:E)</f>
        <v>1</v>
      </c>
      <c r="F212">
        <f>_xlfn.XLOOKUP($A212,'EA-Fortescue_SDExport'!$A:$A,'EA-Fortescue_SDExport'!F:F)</f>
        <v>1</v>
      </c>
      <c r="G212">
        <f>_xlfn.XLOOKUP($A212,'EA-Fortescue_SDExport'!$A:$A,'EA-Fortescue_SDExport'!G:G)</f>
        <v>0</v>
      </c>
      <c r="H212" t="str">
        <f>_xlfn.XLOOKUP($A212,'EA-Fortescue_SDExport'!$A:$A,'EA-Fortescue_SDExport'!H:H)</f>
        <v>InterfaceBlock</v>
      </c>
      <c r="I212" t="str">
        <f>_xlfn.XLOOKUP($A212,'EA-Fortescue_SDExport'!$A:$A,'EA-Fortescue_SDExport'!I:I)</f>
        <v>SysML1.4::InterfaceBlock</v>
      </c>
      <c r="J212" t="str">
        <f>_xlfn.XLOOKUP($A212,'EA-Fortescue_SDExport'!$A:$A,'EA-Fortescue_SDExport'!J:J)</f>
        <v>Java</v>
      </c>
      <c r="K212" t="str">
        <f>_xlfn.XLOOKUP($A212,'EA-Fortescue_SDExport'!$A:$A,'EA-Fortescue_SDExport'!K:K)</f>
        <v>Admin</v>
      </c>
      <c r="L212" t="str">
        <f>_xlfn.XLOOKUP($A212,'EA-Fortescue_SDExport'!$A:$A,'EA-Fortescue_SDExport'!L:L)</f>
        <v>Public</v>
      </c>
      <c r="M212">
        <f>_xlfn.XLOOKUP($A212,'EA-Fortescue_SDExport'!$A:$A,'EA-Fortescue_SDExport'!M:M)</f>
        <v>0</v>
      </c>
      <c r="N212" t="str">
        <f>_xlfn.XLOOKUP($A212,InterfaceRegister!$A:$A,InterfaceRegister!K:K)</f>
        <v>Proposed</v>
      </c>
      <c r="O212">
        <f>_xlfn.XLOOKUP($A212,'EA-Fortescue_SDExport'!$A:$A,'EA-Fortescue_SDExport'!O:O)</f>
        <v>1</v>
      </c>
      <c r="P212">
        <f>_xlfn.XLOOKUP($A212,'EA-Fortescue_SDExport'!$A:$A,'EA-Fortescue_SDExport'!P:P)</f>
        <v>0</v>
      </c>
      <c r="Q212">
        <f>_xlfn.XLOOKUP($A212,'EA-Fortescue_SDExport'!$A:$A,'EA-Fortescue_SDExport'!Q:Q)</f>
        <v>0</v>
      </c>
      <c r="R212">
        <f>_xlfn.XLOOKUP($A212,'EA-Fortescue_SDExport'!$A:$A,'EA-Fortescue_SDExport'!R:R)</f>
        <v>0</v>
      </c>
      <c r="S212">
        <f>_xlfn.XLOOKUP($A212,'EA-Fortescue_SDExport'!$A:$A,'EA-Fortescue_SDExport'!S:S)</f>
        <v>0</v>
      </c>
      <c r="T212">
        <f>_xlfn.XLOOKUP($A212,'EA-Fortescue_SDExport'!$A:$A,'EA-Fortescue_SDExport'!T:T)</f>
        <v>0</v>
      </c>
      <c r="U212">
        <f>_xlfn.XLOOKUP($A212,'EA-Fortescue_SDExport'!$A:$A,'EA-Fortescue_SDExport'!U:U)</f>
        <v>45966.620162037034</v>
      </c>
      <c r="V212">
        <f>_xlfn.XLOOKUP($A212,'EA-Fortescue_SDExport'!$A:$A,'EA-Fortescue_SDExport'!V:V)</f>
        <v>46077.99322916667</v>
      </c>
      <c r="W212">
        <f>_xlfn.XLOOKUP($A212,'EA-Fortescue_SDExport'!$A:$A,'EA-Fortescue_SDExport'!W:W)</f>
        <v>0</v>
      </c>
      <c r="X212">
        <f>_xlfn.XLOOKUP($A212,'EA-Fortescue_SDExport'!$A:$A,'EA-Fortescue_SDExport'!X:X)</f>
        <v>0</v>
      </c>
      <c r="Y212">
        <f>_xlfn.XLOOKUP($A212,'EA-Fortescue_SDExport'!$A:$A,'EA-Fortescue_SDExport'!Y:Y)</f>
        <v>0</v>
      </c>
      <c r="Z212" t="str">
        <f>_xlfn.XLOOKUP($A212,'EA-Fortescue_SDExport'!$A:$A,'EA-Fortescue_SDExport'!Z:Z)</f>
        <v>SysML1.4::InterfaceBlock</v>
      </c>
      <c r="AA212" t="str">
        <f>_xlfn.XLOOKUP($A212,InterfaceRegister!$A:$A,InterfaceRegister!B:B)</f>
        <v>854DC-1521-0001 Substation (33kV)|855DC-1543-008 Monarch</v>
      </c>
      <c r="AB212" t="str">
        <f>_xlfn.XLOOKUP($A212,InterfaceRegister!$A:$A,InterfaceRegister!C:C)</f>
        <v/>
      </c>
      <c r="AC212" t="str">
        <f>_xlfn.XLOOKUP($A212,InterfaceRegister!$A:$A,InterfaceRegister!D:D)</f>
        <v/>
      </c>
      <c r="AD212" t="str">
        <f>_xlfn.XLOOKUP($A212,InterfaceRegister!$A:$A,InterfaceRegister!E:E)</f>
        <v>Project - Project Interface</v>
      </c>
      <c r="AE212" t="str">
        <f>_xlfn.XLOOKUP($A212,InterfaceRegister!$A:$A,InterfaceRegister!F:F)</f>
        <v>Technical-Electrical</v>
      </c>
      <c r="AF212" t="str">
        <f>_xlfn.XLOOKUP($A212,InterfaceRegister!$A:$A,InterfaceRegister!L:L)</f>
        <v>This interface connects the 33kV substation to Monarch for monitoring, alarm handling, and operational coordination.</v>
      </c>
      <c r="AG212" t="str">
        <f>_xlfn.XLOOKUP($A212,InterfaceRegister!$A:$A,InterfaceRegister!M:M)</f>
        <v>HIGH</v>
      </c>
      <c r="AH212" t="str">
        <f>_xlfn.XLOOKUP($A212,InterfaceRegister!$A:$A,InterfaceRegister!O:O)</f>
        <v>Data Flow: 33 kV Substation -&gt; Monarch, transmitting breaker and isolator status, busbar configuration, transformer loading, feeder status, voltage and current measurements, protection relay indications, alarms, and fault events to provide operational visibility of essential distribution assets._x000D_
Control Flow: Monarch -&gt; 33 kV Substation, issuing remote switching commands, breaker open/close instructions, load transfer commands, and fault isolation signals to enable coordinated distribution management and timely fault response.</v>
      </c>
      <c r="AI212" t="str">
        <f>_xlfn.XLOOKUP($A212,InterfaceRegister!$A:$A,InterfaceRegister!N:N)</f>
        <v>The criticality level is HIGH because the 33kV line typically supplies essential operational facilities, workshops, and distributed mining infrastructure; losing this connection may hamper the response to electrical faults and risk unplanned outages. Substation data is vital for safe and stable electrical operations, and its loss raises both operational and safety risks.</v>
      </c>
      <c r="AJ212" t="str">
        <f>_xlfn.XLOOKUP($A212,'EA-Fortescue_SDExport'!$A:$A,'EA-Fortescue_SDExport'!AX:AX)</f>
        <v>CSV55672EC1</v>
      </c>
      <c r="AK212">
        <f>_xlfn.XLOOKUP($A212,'EA-Fortescue_SDExport'!$A:$A,'EA-Fortescue_SDExport'!AY:AY)</f>
        <v>0</v>
      </c>
    </row>
    <row r="213" spans="1:37" x14ac:dyDescent="0.25">
      <c r="A213" t="str">
        <v>DGS-I_0212</v>
      </c>
      <c r="B213" t="str">
        <f>_xlfn.XLOOKUP($A213,'EA-Fortescue_SDExport'!$A:$A,'EA-Fortescue_SDExport'!B:B)</f>
        <v>Class</v>
      </c>
      <c r="C213" t="str">
        <f>_xlfn.XLOOKUP($A213,'EA-Fortescue_SDExport'!$A:$A,'EA-Fortescue_SDExport'!C:C)</f>
        <v>{4124847D-4A92-43a3-88E8-98CC34892CDD}</v>
      </c>
      <c r="D213" t="str">
        <f>_xlfn.LET(_xlpm.result, _xlfn.XLOOKUP($A213, InterfaceRegister!$A:$A, InterfaceRegister!P:P), IF(_xlpm.result=0, "", _xlpm.result))</f>
        <v>NH 11/12/2025: If remote control is enabled, the criticality is HIGH, therefore this interface should be rated as HIGH.</v>
      </c>
      <c r="E213">
        <f>_xlfn.XLOOKUP($A213,'EA-Fortescue_SDExport'!$A:$A,'EA-Fortescue_SDExport'!E:E)</f>
        <v>1</v>
      </c>
      <c r="F213">
        <f>_xlfn.XLOOKUP($A213,'EA-Fortescue_SDExport'!$A:$A,'EA-Fortescue_SDExport'!F:F)</f>
        <v>1</v>
      </c>
      <c r="G213">
        <f>_xlfn.XLOOKUP($A213,'EA-Fortescue_SDExport'!$A:$A,'EA-Fortescue_SDExport'!G:G)</f>
        <v>0</v>
      </c>
      <c r="H213" t="str">
        <f>_xlfn.XLOOKUP($A213,'EA-Fortescue_SDExport'!$A:$A,'EA-Fortescue_SDExport'!H:H)</f>
        <v>InterfaceBlock</v>
      </c>
      <c r="I213" t="str">
        <f>_xlfn.XLOOKUP($A213,'EA-Fortescue_SDExport'!$A:$A,'EA-Fortescue_SDExport'!I:I)</f>
        <v>SysML1.4::InterfaceBlock</v>
      </c>
      <c r="J213" t="str">
        <f>_xlfn.XLOOKUP($A213,'EA-Fortescue_SDExport'!$A:$A,'EA-Fortescue_SDExport'!J:J)</f>
        <v>Java</v>
      </c>
      <c r="K213" t="str">
        <f>_xlfn.XLOOKUP($A213,'EA-Fortescue_SDExport'!$A:$A,'EA-Fortescue_SDExport'!K:K)</f>
        <v>Admin</v>
      </c>
      <c r="L213" t="str">
        <f>_xlfn.XLOOKUP($A213,'EA-Fortescue_SDExport'!$A:$A,'EA-Fortescue_SDExport'!L:L)</f>
        <v>Public</v>
      </c>
      <c r="M213">
        <f>_xlfn.XLOOKUP($A213,'EA-Fortescue_SDExport'!$A:$A,'EA-Fortescue_SDExport'!M:M)</f>
        <v>0</v>
      </c>
      <c r="N213" t="str">
        <f>_xlfn.XLOOKUP($A213,InterfaceRegister!$A:$A,InterfaceRegister!K:K)</f>
        <v>Proposed</v>
      </c>
      <c r="O213">
        <f>_xlfn.XLOOKUP($A213,'EA-Fortescue_SDExport'!$A:$A,'EA-Fortescue_SDExport'!O:O)</f>
        <v>1</v>
      </c>
      <c r="P213">
        <f>_xlfn.XLOOKUP($A213,'EA-Fortescue_SDExport'!$A:$A,'EA-Fortescue_SDExport'!P:P)</f>
        <v>0</v>
      </c>
      <c r="Q213">
        <f>_xlfn.XLOOKUP($A213,'EA-Fortescue_SDExport'!$A:$A,'EA-Fortescue_SDExport'!Q:Q)</f>
        <v>0</v>
      </c>
      <c r="R213">
        <f>_xlfn.XLOOKUP($A213,'EA-Fortescue_SDExport'!$A:$A,'EA-Fortescue_SDExport'!R:R)</f>
        <v>0</v>
      </c>
      <c r="S213">
        <f>_xlfn.XLOOKUP($A213,'EA-Fortescue_SDExport'!$A:$A,'EA-Fortescue_SDExport'!S:S)</f>
        <v>0</v>
      </c>
      <c r="T213">
        <f>_xlfn.XLOOKUP($A213,'EA-Fortescue_SDExport'!$A:$A,'EA-Fortescue_SDExport'!T:T)</f>
        <v>0</v>
      </c>
      <c r="U213">
        <f>_xlfn.XLOOKUP($A213,'EA-Fortescue_SDExport'!$A:$A,'EA-Fortescue_SDExport'!U:U)</f>
        <v>45966.956932870373</v>
      </c>
      <c r="V213">
        <f>_xlfn.XLOOKUP($A213,'EA-Fortescue_SDExport'!$A:$A,'EA-Fortescue_SDExport'!V:V)</f>
        <v>46002.067604166667</v>
      </c>
      <c r="W213">
        <f>_xlfn.XLOOKUP($A213,'EA-Fortescue_SDExport'!$A:$A,'EA-Fortescue_SDExport'!W:W)</f>
        <v>0</v>
      </c>
      <c r="X213">
        <f>_xlfn.XLOOKUP($A213,'EA-Fortescue_SDExport'!$A:$A,'EA-Fortescue_SDExport'!X:X)</f>
        <v>0</v>
      </c>
      <c r="Y213">
        <f>_xlfn.XLOOKUP($A213,'EA-Fortescue_SDExport'!$A:$A,'EA-Fortescue_SDExport'!Y:Y)</f>
        <v>0</v>
      </c>
      <c r="Z213" t="str">
        <f>_xlfn.XLOOKUP($A213,'EA-Fortescue_SDExport'!$A:$A,'EA-Fortescue_SDExport'!Z:Z)</f>
        <v>SysML1.4::InterfaceBlock</v>
      </c>
      <c r="AA213" t="str">
        <f>_xlfn.XLOOKUP($A213,InterfaceRegister!$A:$A,InterfaceRegister!B:B)</f>
        <v>850DC-1512-0001 HME Chargers - Gen1|005OP-0000-017 Ignition</v>
      </c>
      <c r="AB213" t="str">
        <f>_xlfn.XLOOKUP($A213,InterfaceRegister!$A:$A,InterfaceRegister!C:C)</f>
        <v>Sam Hedgcock</v>
      </c>
      <c r="AC213" t="str">
        <f>_xlfn.XLOOKUP($A213,InterfaceRegister!$A:$A,InterfaceRegister!D:D)</f>
        <v>TBC</v>
      </c>
      <c r="AD213" t="str">
        <f>_xlfn.XLOOKUP($A213,InterfaceRegister!$A:$A,InterfaceRegister!E:E)</f>
        <v>Project - Project Interface</v>
      </c>
      <c r="AE213" t="str">
        <f>_xlfn.XLOOKUP($A213,InterfaceRegister!$A:$A,InterfaceRegister!F:F)</f>
        <v/>
      </c>
      <c r="AF213" t="str">
        <f>_xlfn.XLOOKUP($A213,InterfaceRegister!$A:$A,InterfaceRegister!L:L)</f>
        <v>The purpose of this interface is to enable Ignition SCADA to monitor, diagnose, and potentially control the Heavy Mobile Equipment (HME) charging infrastructure across the mine. Through real-time data acquisition, SCADA provides operators with visibility of charger availability, health, electrical conditions, and operational states. Furthermore, depending on the specific charger model and site requirements, this integration may also support remote start/stop commands, the clearing of basic faults, and confirmational feedback on whether the chargers are drawing power as expected._x000D_
Intermediate Elements: HME Charger PLC or gateway, Protocol mapping (registers -&gt; SCADA tags), Ignition SCADA data model, and Alarm engine &amp; historian (optional).</v>
      </c>
      <c r="AG213" t="str">
        <f>_xlfn.XLOOKUP($A213,InterfaceRegister!$A:$A,InterfaceRegister!M:M)</f>
        <v>MEDIUM</v>
      </c>
      <c r="AH213" t="str">
        <f>_xlfn.XLOOKUP($A213,InterfaceRegister!$A:$A,InterfaceRegister!O:O)</f>
        <v>Data Flow:_x000D_
_x000D_
HME Chargers -&gt; PLC/Protocol Gateway -&gt; OPC/UA (or Modbus TCP, depending on vendor) -&gt; Ignition SCADA_x000D_
_x000D_
Optional (if control enabled):_x000D_
Ignition SCADA -&gt; OPC/UA -&gt; Charger Control Logic (start/stop, reset, availability signalling)</v>
      </c>
      <c r="AI213" t="str">
        <f>_xlfn.XLOOKUP($A213,InterfaceRegister!$A:$A,InterfaceRegister!N:N)</f>
        <v>The criticality level is MEDIUM because failure affects efficiency and situational awareness; however, depending on whether remote control is enabled, the core charger function may not be impacted. If remote control is enabled, the criticality is HIGH.</v>
      </c>
      <c r="AJ213" t="str">
        <f>_xlfn.XLOOKUP($A213,'EA-Fortescue_SDExport'!$A:$A,'EA-Fortescue_SDExport'!AX:AX)</f>
        <v>CSV2D8CBE5C</v>
      </c>
      <c r="AK213">
        <f>_xlfn.XLOOKUP($A213,'EA-Fortescue_SDExport'!$A:$A,'EA-Fortescue_SDExport'!AY:AY)</f>
        <v>0</v>
      </c>
    </row>
    <row r="214" spans="1:37" x14ac:dyDescent="0.25">
      <c r="A214" t="str">
        <v>DGS-I_0213</v>
      </c>
      <c r="B214" t="str">
        <f>_xlfn.XLOOKUP($A214,'EA-Fortescue_SDExport'!$A:$A,'EA-Fortescue_SDExport'!B:B)</f>
        <v>Class</v>
      </c>
      <c r="C214" t="str">
        <f>_xlfn.XLOOKUP($A214,'EA-Fortescue_SDExport'!$A:$A,'EA-Fortescue_SDExport'!C:C)</f>
        <v>{CC602965-DB55-4c11-B568-497478C3783B}</v>
      </c>
      <c r="D214" t="str">
        <f>_xlfn.LET(_xlpm.result, _xlfn.XLOOKUP($A214, InterfaceRegister!$A:$A, InterfaceRegister!P:P), IF(_xlpm.result=0, "", _xlpm.result))</f>
        <v>NH 25/02/2026: Fields updated:Interface Type</v>
      </c>
      <c r="E214">
        <f>_xlfn.XLOOKUP($A214,'EA-Fortescue_SDExport'!$A:$A,'EA-Fortescue_SDExport'!E:E)</f>
        <v>1</v>
      </c>
      <c r="F214">
        <f>_xlfn.XLOOKUP($A214,'EA-Fortescue_SDExport'!$A:$A,'EA-Fortescue_SDExport'!F:F)</f>
        <v>1</v>
      </c>
      <c r="G214">
        <f>_xlfn.XLOOKUP($A214,'EA-Fortescue_SDExport'!$A:$A,'EA-Fortescue_SDExport'!G:G)</f>
        <v>0</v>
      </c>
      <c r="H214" t="str">
        <f>_xlfn.XLOOKUP($A214,'EA-Fortescue_SDExport'!$A:$A,'EA-Fortescue_SDExport'!H:H)</f>
        <v>InterfaceBlock</v>
      </c>
      <c r="I214" t="str">
        <f>_xlfn.XLOOKUP($A214,'EA-Fortescue_SDExport'!$A:$A,'EA-Fortescue_SDExport'!I:I)</f>
        <v>SysML1.4::InterfaceBlock</v>
      </c>
      <c r="J214" t="str">
        <f>_xlfn.XLOOKUP($A214,'EA-Fortescue_SDExport'!$A:$A,'EA-Fortescue_SDExport'!J:J)</f>
        <v>Java</v>
      </c>
      <c r="K214" t="str">
        <f>_xlfn.XLOOKUP($A214,'EA-Fortescue_SDExport'!$A:$A,'EA-Fortescue_SDExport'!K:K)</f>
        <v>Admin</v>
      </c>
      <c r="L214" t="str">
        <f>_xlfn.XLOOKUP($A214,'EA-Fortescue_SDExport'!$A:$A,'EA-Fortescue_SDExport'!L:L)</f>
        <v>Public</v>
      </c>
      <c r="M214">
        <f>_xlfn.XLOOKUP($A214,'EA-Fortescue_SDExport'!$A:$A,'EA-Fortescue_SDExport'!M:M)</f>
        <v>0</v>
      </c>
      <c r="N214" t="str">
        <f>_xlfn.XLOOKUP($A214,InterfaceRegister!$A:$A,InterfaceRegister!K:K)</f>
        <v>Proposed</v>
      </c>
      <c r="O214">
        <f>_xlfn.XLOOKUP($A214,'EA-Fortescue_SDExport'!$A:$A,'EA-Fortescue_SDExport'!O:O)</f>
        <v>1</v>
      </c>
      <c r="P214">
        <f>_xlfn.XLOOKUP($A214,'EA-Fortescue_SDExport'!$A:$A,'EA-Fortescue_SDExport'!P:P)</f>
        <v>0</v>
      </c>
      <c r="Q214">
        <f>_xlfn.XLOOKUP($A214,'EA-Fortescue_SDExport'!$A:$A,'EA-Fortescue_SDExport'!Q:Q)</f>
        <v>0</v>
      </c>
      <c r="R214">
        <f>_xlfn.XLOOKUP($A214,'EA-Fortescue_SDExport'!$A:$A,'EA-Fortescue_SDExport'!R:R)</f>
        <v>0</v>
      </c>
      <c r="S214">
        <f>_xlfn.XLOOKUP($A214,'EA-Fortescue_SDExport'!$A:$A,'EA-Fortescue_SDExport'!S:S)</f>
        <v>0</v>
      </c>
      <c r="T214">
        <f>_xlfn.XLOOKUP($A214,'EA-Fortescue_SDExport'!$A:$A,'EA-Fortescue_SDExport'!T:T)</f>
        <v>0</v>
      </c>
      <c r="U214">
        <f>_xlfn.XLOOKUP($A214,'EA-Fortescue_SDExport'!$A:$A,'EA-Fortescue_SDExport'!U:U)</f>
        <v>45895.918020833335</v>
      </c>
      <c r="V214">
        <f>_xlfn.XLOOKUP($A214,'EA-Fortescue_SDExport'!$A:$A,'EA-Fortescue_SDExport'!V:V)</f>
        <v>46077.993206018517</v>
      </c>
      <c r="W214">
        <f>_xlfn.XLOOKUP($A214,'EA-Fortescue_SDExport'!$A:$A,'EA-Fortescue_SDExport'!W:W)</f>
        <v>0</v>
      </c>
      <c r="X214">
        <f>_xlfn.XLOOKUP($A214,'EA-Fortescue_SDExport'!$A:$A,'EA-Fortescue_SDExport'!X:X)</f>
        <v>0</v>
      </c>
      <c r="Y214">
        <f>_xlfn.XLOOKUP($A214,'EA-Fortescue_SDExport'!$A:$A,'EA-Fortescue_SDExport'!Y:Y)</f>
        <v>0</v>
      </c>
      <c r="Z214" t="str">
        <f>_xlfn.XLOOKUP($A214,'EA-Fortescue_SDExport'!$A:$A,'EA-Fortescue_SDExport'!Z:Z)</f>
        <v>SysML1.4::InterfaceBlock</v>
      </c>
      <c r="AA214" t="str">
        <f>_xlfn.XLOOKUP($A214,InterfaceRegister!$A:$A,InterfaceRegister!B:B)</f>
        <v>Energy Operations (HIVE)|855DC-1541-DEL Delphi</v>
      </c>
      <c r="AB214" t="str">
        <f>_xlfn.XLOOKUP($A214,InterfaceRegister!$A:$A,InterfaceRegister!C:C)</f>
        <v>Abby Buters</v>
      </c>
      <c r="AC214" t="str">
        <f>_xlfn.XLOOKUP($A214,InterfaceRegister!$A:$A,InterfaceRegister!D:D)</f>
        <v>Energy Operations</v>
      </c>
      <c r="AD214" t="str">
        <f>_xlfn.XLOOKUP($A214,InterfaceRegister!$A:$A,InterfaceRegister!E:E)</f>
        <v>Stakeholder - Project Interface</v>
      </c>
      <c r="AE214" t="str">
        <f>_xlfn.XLOOKUP($A214,InterfaceRegister!$A:$A,InterfaceRegister!F:F)</f>
        <v>Technical-Data/Software</v>
      </c>
      <c r="AF214" t="str">
        <f>_xlfn.XLOOKUP($A214,InterfaceRegister!$A:$A,InterfaceRegister!L:L)</f>
        <v>Delphi - Aggregated Weather Platform for Actuals &amp; Forecasts (HIVE Display)_x000D_
The purpose of this interface is for Delphi to serve as the central aggregated weather platform, combining actual measured weather data and multiple forecast sources into a single operational view. Energy Operations uses Delphi to monitor real-time and near-term weather conditions - such as wind, irradiance, rainfall, and lightning - via a dedicated display screen in the HIVE control room._x000D_
Intermediate Elements: the Delphi weather aggregation platform, Snowflake datasets, and the HIVE visualisation screen.</v>
      </c>
      <c r="AG214" t="str">
        <f>_xlfn.XLOOKUP($A214,InterfaceRegister!$A:$A,InterfaceRegister!M:M)</f>
        <v>HIGH</v>
      </c>
      <c r="AH214" t="str">
        <f>_xlfn.XLOOKUP($A214,InterfaceRegister!$A:$A,InterfaceRegister!O:O)</f>
        <v>Weather APIs &amp; sensors (actuals + forecasts) -&gt; Delphi aggregation platform -&gt; HIVE display for Energy Operations.</v>
      </c>
      <c r="AI214" t="str">
        <f>_xlfn.XLOOKUP($A214,InterfaceRegister!$A:$A,InterfaceRegister!N:N)</f>
        <v>The criticality level is HIGH because reliable, consolidated weather visibility is essential for operational decision-making, forecasting accuracy, and reacting to rapidly changing conditions that affect generation, safety, and dispatch. Failure of this interface causes immediate blindness to changing conditions (e.g., wind gusts or solar drops), risking system instability, inaccurate generation curtailment, or compromising safety protocols (e.g., lightning warnings).</v>
      </c>
      <c r="AJ214" t="str">
        <f>_xlfn.XLOOKUP($A214,'EA-Fortescue_SDExport'!$A:$A,'EA-Fortescue_SDExport'!AX:AX)</f>
        <v>CSV6681EF11</v>
      </c>
      <c r="AK214">
        <f>_xlfn.XLOOKUP($A214,'EA-Fortescue_SDExport'!$A:$A,'EA-Fortescue_SDExport'!AY:AY)</f>
        <v>0</v>
      </c>
    </row>
    <row r="215" spans="1:37" x14ac:dyDescent="0.25">
      <c r="A215" t="str">
        <v>DGS-I_0214</v>
      </c>
      <c r="B215" t="str">
        <f>_xlfn.XLOOKUP($A215,'EA-Fortescue_SDExport'!$A:$A,'EA-Fortescue_SDExport'!B:B)</f>
        <v>Class</v>
      </c>
      <c r="C215" t="str">
        <f>_xlfn.XLOOKUP($A215,'EA-Fortescue_SDExport'!$A:$A,'EA-Fortescue_SDExport'!C:C)</f>
        <v>{36431F52-5564-4877-81FE-CF2E4844D16D}</v>
      </c>
      <c r="D215" t="str">
        <f>_xlfn.LET(_xlpm.result, _xlfn.XLOOKUP($A215, InterfaceRegister!$A:$A, InterfaceRegister!P:P), IF(_xlpm.result=0, "", _xlpm.result))</f>
        <v>NH 25/02/2026: Fields updated:Interface Type, Interface Criticality, Interface Criticality Explanation, Interface Flow</v>
      </c>
      <c r="E215">
        <f>_xlfn.XLOOKUP($A215,'EA-Fortescue_SDExport'!$A:$A,'EA-Fortescue_SDExport'!E:E)</f>
        <v>1</v>
      </c>
      <c r="F215">
        <f>_xlfn.XLOOKUP($A215,'EA-Fortescue_SDExport'!$A:$A,'EA-Fortescue_SDExport'!F:F)</f>
        <v>1</v>
      </c>
      <c r="G215">
        <f>_xlfn.XLOOKUP($A215,'EA-Fortescue_SDExport'!$A:$A,'EA-Fortescue_SDExport'!G:G)</f>
        <v>0</v>
      </c>
      <c r="H215" t="str">
        <f>_xlfn.XLOOKUP($A215,'EA-Fortescue_SDExport'!$A:$A,'EA-Fortescue_SDExport'!H:H)</f>
        <v>InterfaceBlock</v>
      </c>
      <c r="I215" t="str">
        <f>_xlfn.XLOOKUP($A215,'EA-Fortescue_SDExport'!$A:$A,'EA-Fortescue_SDExport'!I:I)</f>
        <v>SysML1.4::InterfaceBlock</v>
      </c>
      <c r="J215" t="str">
        <f>_xlfn.XLOOKUP($A215,'EA-Fortescue_SDExport'!$A:$A,'EA-Fortescue_SDExport'!J:J)</f>
        <v>Java</v>
      </c>
      <c r="K215" t="str">
        <f>_xlfn.XLOOKUP($A215,'EA-Fortescue_SDExport'!$A:$A,'EA-Fortescue_SDExport'!K:K)</f>
        <v>Admin</v>
      </c>
      <c r="L215" t="str">
        <f>_xlfn.XLOOKUP($A215,'EA-Fortescue_SDExport'!$A:$A,'EA-Fortescue_SDExport'!L:L)</f>
        <v>Public</v>
      </c>
      <c r="M215">
        <f>_xlfn.XLOOKUP($A215,'EA-Fortescue_SDExport'!$A:$A,'EA-Fortescue_SDExport'!M:M)</f>
        <v>0</v>
      </c>
      <c r="N215" t="str">
        <f>_xlfn.XLOOKUP($A215,InterfaceRegister!$A:$A,InterfaceRegister!K:K)</f>
        <v>Simplified Interface</v>
      </c>
      <c r="O215">
        <f>_xlfn.XLOOKUP($A215,'EA-Fortescue_SDExport'!$A:$A,'EA-Fortescue_SDExport'!O:O)</f>
        <v>1</v>
      </c>
      <c r="P215">
        <f>_xlfn.XLOOKUP($A215,'EA-Fortescue_SDExport'!$A:$A,'EA-Fortescue_SDExport'!P:P)</f>
        <v>0</v>
      </c>
      <c r="Q215">
        <f>_xlfn.XLOOKUP($A215,'EA-Fortescue_SDExport'!$A:$A,'EA-Fortescue_SDExport'!Q:Q)</f>
        <v>0</v>
      </c>
      <c r="R215">
        <f>_xlfn.XLOOKUP($A215,'EA-Fortescue_SDExport'!$A:$A,'EA-Fortescue_SDExport'!R:R)</f>
        <v>0</v>
      </c>
      <c r="S215">
        <f>_xlfn.XLOOKUP($A215,'EA-Fortescue_SDExport'!$A:$A,'EA-Fortescue_SDExport'!S:S)</f>
        <v>0</v>
      </c>
      <c r="T215">
        <f>_xlfn.XLOOKUP($A215,'EA-Fortescue_SDExport'!$A:$A,'EA-Fortescue_SDExport'!T:T)</f>
        <v>0</v>
      </c>
      <c r="U215">
        <f>_xlfn.XLOOKUP($A215,'EA-Fortescue_SDExport'!$A:$A,'EA-Fortescue_SDExport'!U:U)</f>
        <v>45971.576979166668</v>
      </c>
      <c r="V215">
        <f>_xlfn.XLOOKUP($A215,'EA-Fortescue_SDExport'!$A:$A,'EA-Fortescue_SDExport'!V:V)</f>
        <v>46077.993217592593</v>
      </c>
      <c r="W215">
        <f>_xlfn.XLOOKUP($A215,'EA-Fortescue_SDExport'!$A:$A,'EA-Fortescue_SDExport'!W:W)</f>
        <v>0</v>
      </c>
      <c r="X215">
        <f>_xlfn.XLOOKUP($A215,'EA-Fortescue_SDExport'!$A:$A,'EA-Fortescue_SDExport'!X:X)</f>
        <v>0</v>
      </c>
      <c r="Y215">
        <f>_xlfn.XLOOKUP($A215,'EA-Fortescue_SDExport'!$A:$A,'EA-Fortescue_SDExport'!Y:Y)</f>
        <v>0</v>
      </c>
      <c r="Z215" t="str">
        <f>_xlfn.XLOOKUP($A215,'EA-Fortescue_SDExport'!$A:$A,'EA-Fortescue_SDExport'!Z:Z)</f>
        <v>SysML1.4::InterfaceBlock</v>
      </c>
      <c r="AA215" t="str">
        <f>_xlfn.XLOOKUP($A215,InterfaceRegister!$A:$A,InterfaceRegister!B:B)</f>
        <v>855DC-1544-021 GAF24|855DC-1541-ECL Eclipse</v>
      </c>
      <c r="AB215" t="str">
        <f>_xlfn.XLOOKUP($A215,InterfaceRegister!$A:$A,InterfaceRegister!C:C)</f>
        <v>Abby Buters</v>
      </c>
      <c r="AC215" t="str">
        <f>_xlfn.XLOOKUP($A215,InterfaceRegister!$A:$A,InterfaceRegister!D:D)</f>
        <v>Glen Carruthers</v>
      </c>
      <c r="AD215" t="str">
        <f>_xlfn.XLOOKUP($A215,InterfaceRegister!$A:$A,InterfaceRegister!E:E)</f>
        <v>Project - Project Interface</v>
      </c>
      <c r="AE215" t="str">
        <f>_xlfn.XLOOKUP($A215,InterfaceRegister!$A:$A,InterfaceRegister!F:F)</f>
        <v>Technical-Data/Software</v>
      </c>
      <c r="AF215" t="str">
        <f>_xlfn.XLOOKUP($A215,InterfaceRegister!$A:$A,InterfaceRegister!L:L)</f>
        <v>The purpose of this interface is to provide the generator availability for the next 24 hours, which is pulled from Snowflake, specifically for use in short-term planning and the Security-Constrained Unit Commitment (SCUC) process.</v>
      </c>
      <c r="AG215" t="str">
        <f>_xlfn.XLOOKUP($A215,InterfaceRegister!$A:$A,InterfaceRegister!M:M)</f>
        <v>MEDIUM</v>
      </c>
      <c r="AH215" t="str">
        <f>_xlfn.XLOOKUP($A215,InterfaceRegister!$A:$A,InterfaceRegister!O:O)</f>
        <v>Eclipse -&gt; GAF24</v>
      </c>
      <c r="AI215" t="str">
        <f>_xlfn.XLOOKUP($A215,InterfaceRegister!$A:$A,InterfaceRegister!N:N)</f>
        <v>The criticality is MEDIUM because, although the interface failure does not prevent system operation, it reduces the effectiveness of short-term planning and the SCUC process by limiting access to generator availability data. This can cause moderate deviations from optimal dispatch and planning outcomes, impacting overall operational efficiency. The effect is system-wide and sustained, rather than minor and quickly recoverable, supporting a MEDIUM classification rather than LOW.</v>
      </c>
      <c r="AJ215" t="str">
        <f>_xlfn.XLOOKUP($A215,'EA-Fortescue_SDExport'!$A:$A,'EA-Fortescue_SDExport'!AX:AX)</f>
        <v>CSV76ADF130</v>
      </c>
      <c r="AK215">
        <f>_xlfn.XLOOKUP($A215,'EA-Fortescue_SDExport'!$A:$A,'EA-Fortescue_SDExport'!AY:AY)</f>
        <v>0</v>
      </c>
    </row>
    <row r="216" spans="1:37" x14ac:dyDescent="0.25">
      <c r="A216" t="str">
        <v>DGS-I_0215</v>
      </c>
      <c r="B216" t="str">
        <f>_xlfn.XLOOKUP($A216,'EA-Fortescue_SDExport'!$A:$A,'EA-Fortescue_SDExport'!B:B)</f>
        <v>Class</v>
      </c>
      <c r="C216" t="str">
        <f>_xlfn.XLOOKUP($A216,'EA-Fortescue_SDExport'!$A:$A,'EA-Fortescue_SDExport'!C:C)</f>
        <v>{E710216F-D3C2-413d-85F5-D3D34B13795F}</v>
      </c>
      <c r="D216" t="str">
        <f>_xlfn.LET(_xlpm.result, _xlfn.XLOOKUP($A216, InterfaceRegister!$A:$A, InterfaceRegister!P:P), IF(_xlpm.result=0, "", _xlpm.result))</f>
        <v>NH 20/02/2026: Fields updated: Interface Type, Interface Flow.</v>
      </c>
      <c r="E216">
        <f>_xlfn.XLOOKUP($A216,'EA-Fortescue_SDExport'!$A:$A,'EA-Fortescue_SDExport'!E:E)</f>
        <v>1</v>
      </c>
      <c r="F216">
        <f>_xlfn.XLOOKUP($A216,'EA-Fortescue_SDExport'!$A:$A,'EA-Fortescue_SDExport'!F:F)</f>
        <v>1</v>
      </c>
      <c r="G216">
        <f>_xlfn.XLOOKUP($A216,'EA-Fortescue_SDExport'!$A:$A,'EA-Fortescue_SDExport'!G:G)</f>
        <v>0</v>
      </c>
      <c r="H216" t="str">
        <f>_xlfn.XLOOKUP($A216,'EA-Fortescue_SDExport'!$A:$A,'EA-Fortescue_SDExport'!H:H)</f>
        <v>InterfaceBlock</v>
      </c>
      <c r="I216" t="str">
        <f>_xlfn.XLOOKUP($A216,'EA-Fortescue_SDExport'!$A:$A,'EA-Fortescue_SDExport'!I:I)</f>
        <v>SysML1.4::InterfaceBlock</v>
      </c>
      <c r="J216" t="str">
        <f>_xlfn.XLOOKUP($A216,'EA-Fortescue_SDExport'!$A:$A,'EA-Fortescue_SDExport'!J:J)</f>
        <v>Java</v>
      </c>
      <c r="K216" t="str">
        <f>_xlfn.XLOOKUP($A216,'EA-Fortescue_SDExport'!$A:$A,'EA-Fortescue_SDExport'!K:K)</f>
        <v>Admin</v>
      </c>
      <c r="L216" t="str">
        <f>_xlfn.XLOOKUP($A216,'EA-Fortescue_SDExport'!$A:$A,'EA-Fortescue_SDExport'!L:L)</f>
        <v>Public</v>
      </c>
      <c r="M216">
        <f>_xlfn.XLOOKUP($A216,'EA-Fortescue_SDExport'!$A:$A,'EA-Fortescue_SDExport'!M:M)</f>
        <v>0</v>
      </c>
      <c r="N216" t="str">
        <f>_xlfn.XLOOKUP($A216,InterfaceRegister!$A:$A,InterfaceRegister!K:K)</f>
        <v>Proposed</v>
      </c>
      <c r="O216">
        <f>_xlfn.XLOOKUP($A216,'EA-Fortescue_SDExport'!$A:$A,'EA-Fortescue_SDExport'!O:O)</f>
        <v>1</v>
      </c>
      <c r="P216">
        <f>_xlfn.XLOOKUP($A216,'EA-Fortescue_SDExport'!$A:$A,'EA-Fortescue_SDExport'!P:P)</f>
        <v>0</v>
      </c>
      <c r="Q216">
        <f>_xlfn.XLOOKUP($A216,'EA-Fortescue_SDExport'!$A:$A,'EA-Fortescue_SDExport'!Q:Q)</f>
        <v>0</v>
      </c>
      <c r="R216">
        <f>_xlfn.XLOOKUP($A216,'EA-Fortescue_SDExport'!$A:$A,'EA-Fortescue_SDExport'!R:R)</f>
        <v>0</v>
      </c>
      <c r="S216">
        <f>_xlfn.XLOOKUP($A216,'EA-Fortescue_SDExport'!$A:$A,'EA-Fortescue_SDExport'!S:S)</f>
        <v>0</v>
      </c>
      <c r="T216">
        <f>_xlfn.XLOOKUP($A216,'EA-Fortescue_SDExport'!$A:$A,'EA-Fortescue_SDExport'!T:T)</f>
        <v>0</v>
      </c>
      <c r="U216">
        <f>_xlfn.XLOOKUP($A216,'EA-Fortescue_SDExport'!$A:$A,'EA-Fortescue_SDExport'!U:U)</f>
        <v>45895.898564814815</v>
      </c>
      <c r="V216">
        <f>_xlfn.XLOOKUP($A216,'EA-Fortescue_SDExport'!$A:$A,'EA-Fortescue_SDExport'!V:V)</f>
        <v>46077.993217592593</v>
      </c>
      <c r="W216">
        <f>_xlfn.XLOOKUP($A216,'EA-Fortescue_SDExport'!$A:$A,'EA-Fortescue_SDExport'!W:W)</f>
        <v>0</v>
      </c>
      <c r="X216">
        <f>_xlfn.XLOOKUP($A216,'EA-Fortescue_SDExport'!$A:$A,'EA-Fortescue_SDExport'!X:X)</f>
        <v>0</v>
      </c>
      <c r="Y216">
        <f>_xlfn.XLOOKUP($A216,'EA-Fortescue_SDExport'!$A:$A,'EA-Fortescue_SDExport'!Y:Y)</f>
        <v>0</v>
      </c>
      <c r="Z216" t="str">
        <f>_xlfn.XLOOKUP($A216,'EA-Fortescue_SDExport'!$A:$A,'EA-Fortescue_SDExport'!Z:Z)</f>
        <v>SysML1.4::InterfaceBlock</v>
      </c>
      <c r="AA216" t="str">
        <f>_xlfn.XLOOKUP($A216,InterfaceRegister!$A:$A,InterfaceRegister!B:B)</f>
        <v>855DC-1541-005 HaulAI|859DC-1410-001-001 HaulX Dispatch (Fleet Management System (FMS))</v>
      </c>
      <c r="AB216" t="str">
        <f>_xlfn.XLOOKUP($A216,InterfaceRegister!$A:$A,InterfaceRegister!C:C)</f>
        <v/>
      </c>
      <c r="AC216" t="str">
        <f>_xlfn.XLOOKUP($A216,InterfaceRegister!$A:$A,InterfaceRegister!D:D)</f>
        <v/>
      </c>
      <c r="AD216" t="str">
        <f>_xlfn.XLOOKUP($A216,InterfaceRegister!$A:$A,InterfaceRegister!E:E)</f>
        <v>Project - Subsystem Interface</v>
      </c>
      <c r="AE216" t="str">
        <f>_xlfn.XLOOKUP($A216,InterfaceRegister!$A:$A,InterfaceRegister!F:F)</f>
        <v>Technical-Data/Software</v>
      </c>
      <c r="AF216" t="str">
        <f>_xlfn.XLOOKUP($A216,InterfaceRegister!$A:$A,InterfaceRegister!L:L)</f>
        <v>This interface enables HaulAI to supply HaulX Dispatch with simulated haulage performance, cycle-time predictions, and route congestion forecasts, ensuring dispatch decisions mirror real operational conditions.</v>
      </c>
      <c r="AG216" t="str">
        <f>_xlfn.XLOOKUP($A216,InterfaceRegister!$A:$A,InterfaceRegister!M:M)</f>
        <v>LOW</v>
      </c>
      <c r="AH216" t="str">
        <f>_xlfn.XLOOKUP($A216,InterfaceRegister!$A:$A,InterfaceRegister!O:O)</f>
        <v>Data Flow:_x000D_
855DC-1541-005 HaulAI -&gt; 859DC-1410-001 HaulX. This interface supplies HaulX Dispatch with simulated haulage performance data, including cycle-time predictions and route congestion forecasts. This ensures that dispatch decisions are informed by simulated operational conditions to improve decision quality.</v>
      </c>
      <c r="AI216" t="str">
        <f>_xlfn.XLOOKUP($A216,InterfaceRegister!$A:$A,InterfaceRegister!N:N)</f>
        <v>The criticality level is LOW because HaulAI supports planning and optimisation rather than real-time execution. If the interface fails, HaulX Dispatch can continue operating normally, though with less forecasting insight. The link improves decision quality but does not impact truck safety or daily production continuity.</v>
      </c>
      <c r="AJ216" t="str">
        <f>_xlfn.XLOOKUP($A216,'EA-Fortescue_SDExport'!$A:$A,'EA-Fortescue_SDExport'!AX:AX)</f>
        <v>CSV39CB780F</v>
      </c>
      <c r="AK216">
        <f>_xlfn.XLOOKUP($A216,'EA-Fortescue_SDExport'!$A:$A,'EA-Fortescue_SDExport'!AY:AY)</f>
        <v>0</v>
      </c>
    </row>
    <row r="217" spans="1:37" x14ac:dyDescent="0.25">
      <c r="A217" t="str">
        <v>DGS-I_0216</v>
      </c>
      <c r="B217" t="str">
        <f>_xlfn.XLOOKUP($A217,'EA-Fortescue_SDExport'!$A:$A,'EA-Fortescue_SDExport'!B:B)</f>
        <v>Class</v>
      </c>
      <c r="C217" t="str">
        <f>_xlfn.XLOOKUP($A217,'EA-Fortescue_SDExport'!$A:$A,'EA-Fortescue_SDExport'!C:C)</f>
        <v>{A3644B94-37E2-4141-8884-98E24CDF5E6E}</v>
      </c>
      <c r="D217" t="str">
        <f>_xlfn.LET(_xlpm.result, _xlfn.XLOOKUP($A217, InterfaceRegister!$A:$A, InterfaceRegister!P:P), IF(_xlpm.result=0, "", _xlpm.result))</f>
        <v>NH 20/02/2026: Fields updated: Interface Type, Interface Flow.</v>
      </c>
      <c r="E217">
        <f>_xlfn.XLOOKUP($A217,'EA-Fortescue_SDExport'!$A:$A,'EA-Fortescue_SDExport'!E:E)</f>
        <v>1</v>
      </c>
      <c r="F217">
        <f>_xlfn.XLOOKUP($A217,'EA-Fortescue_SDExport'!$A:$A,'EA-Fortescue_SDExport'!F:F)</f>
        <v>1</v>
      </c>
      <c r="G217">
        <f>_xlfn.XLOOKUP($A217,'EA-Fortescue_SDExport'!$A:$A,'EA-Fortescue_SDExport'!G:G)</f>
        <v>0</v>
      </c>
      <c r="H217" t="str">
        <f>_xlfn.XLOOKUP($A217,'EA-Fortescue_SDExport'!$A:$A,'EA-Fortescue_SDExport'!H:H)</f>
        <v>InterfaceBlock</v>
      </c>
      <c r="I217" t="str">
        <f>_xlfn.XLOOKUP($A217,'EA-Fortescue_SDExport'!$A:$A,'EA-Fortescue_SDExport'!I:I)</f>
        <v>SysML1.4::InterfaceBlock</v>
      </c>
      <c r="J217" t="str">
        <f>_xlfn.XLOOKUP($A217,'EA-Fortescue_SDExport'!$A:$A,'EA-Fortescue_SDExport'!J:J)</f>
        <v>Java</v>
      </c>
      <c r="K217" t="str">
        <f>_xlfn.XLOOKUP($A217,'EA-Fortescue_SDExport'!$A:$A,'EA-Fortescue_SDExport'!K:K)</f>
        <v>Admin</v>
      </c>
      <c r="L217" t="str">
        <f>_xlfn.XLOOKUP($A217,'EA-Fortescue_SDExport'!$A:$A,'EA-Fortescue_SDExport'!L:L)</f>
        <v>Public</v>
      </c>
      <c r="M217">
        <f>_xlfn.XLOOKUP($A217,'EA-Fortescue_SDExport'!$A:$A,'EA-Fortescue_SDExport'!M:M)</f>
        <v>0</v>
      </c>
      <c r="N217" t="str">
        <f>_xlfn.XLOOKUP($A217,InterfaceRegister!$A:$A,InterfaceRegister!K:K)</f>
        <v>Proposed</v>
      </c>
      <c r="O217">
        <f>_xlfn.XLOOKUP($A217,'EA-Fortescue_SDExport'!$A:$A,'EA-Fortescue_SDExport'!O:O)</f>
        <v>1</v>
      </c>
      <c r="P217">
        <f>_xlfn.XLOOKUP($A217,'EA-Fortescue_SDExport'!$A:$A,'EA-Fortescue_SDExport'!P:P)</f>
        <v>0</v>
      </c>
      <c r="Q217">
        <f>_xlfn.XLOOKUP($A217,'EA-Fortescue_SDExport'!$A:$A,'EA-Fortescue_SDExport'!Q:Q)</f>
        <v>0</v>
      </c>
      <c r="R217">
        <f>_xlfn.XLOOKUP($A217,'EA-Fortescue_SDExport'!$A:$A,'EA-Fortescue_SDExport'!R:R)</f>
        <v>0</v>
      </c>
      <c r="S217">
        <f>_xlfn.XLOOKUP($A217,'EA-Fortescue_SDExport'!$A:$A,'EA-Fortescue_SDExport'!S:S)</f>
        <v>0</v>
      </c>
      <c r="T217">
        <f>_xlfn.XLOOKUP($A217,'EA-Fortescue_SDExport'!$A:$A,'EA-Fortescue_SDExport'!T:T)</f>
        <v>0</v>
      </c>
      <c r="U217">
        <f>_xlfn.XLOOKUP($A217,'EA-Fortescue_SDExport'!$A:$A,'EA-Fortescue_SDExport'!U:U)</f>
        <v>45909.907986111109</v>
      </c>
      <c r="V217">
        <f>_xlfn.XLOOKUP($A217,'EA-Fortescue_SDExport'!$A:$A,'EA-Fortescue_SDExport'!V:V)</f>
        <v>46077.993206018517</v>
      </c>
      <c r="W217">
        <f>_xlfn.XLOOKUP($A217,'EA-Fortescue_SDExport'!$A:$A,'EA-Fortescue_SDExport'!W:W)</f>
        <v>0</v>
      </c>
      <c r="X217">
        <f>_xlfn.XLOOKUP($A217,'EA-Fortescue_SDExport'!$A:$A,'EA-Fortescue_SDExport'!X:X)</f>
        <v>0</v>
      </c>
      <c r="Y217">
        <f>_xlfn.XLOOKUP($A217,'EA-Fortescue_SDExport'!$A:$A,'EA-Fortescue_SDExport'!Y:Y)</f>
        <v>0</v>
      </c>
      <c r="Z217" t="str">
        <f>_xlfn.XLOOKUP($A217,'EA-Fortescue_SDExport'!$A:$A,'EA-Fortescue_SDExport'!Z:Z)</f>
        <v>SysML1.4::InterfaceBlock</v>
      </c>
      <c r="AA217" t="str">
        <f>_xlfn.XLOOKUP($A217,InterfaceRegister!$A:$A,InterfaceRegister!B:B)</f>
        <v>005OP-0000-004-002 Alastri Production Scheduler (APS) / Alastri Tactical Scheduler (ATS)|855DC-1541-005 HaulAI</v>
      </c>
      <c r="AB217" t="str">
        <f>_xlfn.XLOOKUP($A217,InterfaceRegister!$A:$A,InterfaceRegister!C:C)</f>
        <v/>
      </c>
      <c r="AC217" t="str">
        <f>_xlfn.XLOOKUP($A217,InterfaceRegister!$A:$A,InterfaceRegister!D:D)</f>
        <v/>
      </c>
      <c r="AD217" t="str">
        <f>_xlfn.XLOOKUP($A217,InterfaceRegister!$A:$A,InterfaceRegister!E:E)</f>
        <v>Project - Subsystem Interface</v>
      </c>
      <c r="AE217" t="str">
        <f>_xlfn.XLOOKUP($A217,InterfaceRegister!$A:$A,InterfaceRegister!F:F)</f>
        <v>Technical-Data/Software</v>
      </c>
      <c r="AF217" t="str">
        <f>_xlfn.XLOOKUP($A217,InterfaceRegister!$A:$A,InterfaceRegister!L:L)</f>
        <v>This interface supplies HaulAI with the production schedule and haulage requirements generated in APS, enabling simulation of planned fleet performance against production targets.</v>
      </c>
      <c r="AG217" t="str">
        <f>_xlfn.XLOOKUP($A217,InterfaceRegister!$A:$A,InterfaceRegister!M:M)</f>
        <v>MEDIUM</v>
      </c>
      <c r="AH217" t="str">
        <f>_xlfn.XLOOKUP($A217,InterfaceRegister!$A:$A,InterfaceRegister!O:O)</f>
        <v>Data Flow: Alastri (APS) -&gt; HaulAI (production schedules, haulage requirements, material movement targets, sequencing priorities, forecast volumes, operational constraints) to enable simulation and optimisation of planned fleet performance.</v>
      </c>
      <c r="AI217" t="str">
        <f>_xlfn.XLOOKUP($A217,InterfaceRegister!$A:$A,InterfaceRegister!N:N)</f>
        <v>The criticality level is MEDIUM because inaccurate simulation inputs can impact planning quality and cause inefficiencies, but they do not affect real-time operations. System failure in this context does not hinder operational dispatch or safety-critical tasks.</v>
      </c>
      <c r="AJ217" t="str">
        <f>_xlfn.XLOOKUP($A217,'EA-Fortescue_SDExport'!$A:$A,'EA-Fortescue_SDExport'!AX:AX)</f>
        <v>CSV85F0BB4A</v>
      </c>
      <c r="AK217">
        <f>_xlfn.XLOOKUP($A217,'EA-Fortescue_SDExport'!$A:$A,'EA-Fortescue_SDExport'!AY:AY)</f>
        <v>0</v>
      </c>
    </row>
    <row r="218" spans="1:37" x14ac:dyDescent="0.25">
      <c r="A218" t="str">
        <v>DGS-I_0217</v>
      </c>
      <c r="B218" t="str">
        <f>_xlfn.XLOOKUP($A218,'EA-Fortescue_SDExport'!$A:$A,'EA-Fortescue_SDExport'!B:B)</f>
        <v>Class</v>
      </c>
      <c r="C218" t="str">
        <f>_xlfn.XLOOKUP($A218,'EA-Fortescue_SDExport'!$A:$A,'EA-Fortescue_SDExport'!C:C)</f>
        <v>{D2EAAC27-1C36-4da5-A62E-A10681762C88}</v>
      </c>
      <c r="D218" t="str">
        <f>_xlfn.LET(_xlpm.result, _xlfn.XLOOKUP($A218, InterfaceRegister!$A:$A, InterfaceRegister!P:P), IF(_xlpm.result=0, "", _xlpm.result))</f>
        <v>DocStack-SAComparison_Delphi 18/02/2026: APS and ATS to be combined - Interface deleted.</v>
      </c>
      <c r="E218">
        <f>_xlfn.XLOOKUP($A218,'EA-Fortescue_SDExport'!$A:$A,'EA-Fortescue_SDExport'!E:E)</f>
        <v>1</v>
      </c>
      <c r="F218">
        <f>_xlfn.XLOOKUP($A218,'EA-Fortescue_SDExport'!$A:$A,'EA-Fortescue_SDExport'!F:F)</f>
        <v>1</v>
      </c>
      <c r="G218">
        <f>_xlfn.XLOOKUP($A218,'EA-Fortescue_SDExport'!$A:$A,'EA-Fortescue_SDExport'!G:G)</f>
        <v>0</v>
      </c>
      <c r="H218" t="str">
        <f>_xlfn.XLOOKUP($A218,'EA-Fortescue_SDExport'!$A:$A,'EA-Fortescue_SDExport'!H:H)</f>
        <v>InterfaceBlock</v>
      </c>
      <c r="I218" t="str">
        <f>_xlfn.XLOOKUP($A218,'EA-Fortescue_SDExport'!$A:$A,'EA-Fortescue_SDExport'!I:I)</f>
        <v>SysML1.4::InterfaceBlock</v>
      </c>
      <c r="J218" t="str">
        <f>_xlfn.XLOOKUP($A218,'EA-Fortescue_SDExport'!$A:$A,'EA-Fortescue_SDExport'!J:J)</f>
        <v>Java</v>
      </c>
      <c r="K218" t="str">
        <f>_xlfn.XLOOKUP($A218,'EA-Fortescue_SDExport'!$A:$A,'EA-Fortescue_SDExport'!K:K)</f>
        <v>Admin</v>
      </c>
      <c r="L218" t="str">
        <f>_xlfn.XLOOKUP($A218,'EA-Fortescue_SDExport'!$A:$A,'EA-Fortescue_SDExport'!L:L)</f>
        <v>Public</v>
      </c>
      <c r="M218">
        <f>_xlfn.XLOOKUP($A218,'EA-Fortescue_SDExport'!$A:$A,'EA-Fortescue_SDExport'!M:M)</f>
        <v>0</v>
      </c>
      <c r="N218" t="str">
        <f>_xlfn.XLOOKUP($A218,InterfaceRegister!$A:$A,InterfaceRegister!K:K)</f>
        <v>Deleted</v>
      </c>
      <c r="O218">
        <f>_xlfn.XLOOKUP($A218,'EA-Fortescue_SDExport'!$A:$A,'EA-Fortescue_SDExport'!O:O)</f>
        <v>1</v>
      </c>
      <c r="P218">
        <f>_xlfn.XLOOKUP($A218,'EA-Fortescue_SDExport'!$A:$A,'EA-Fortescue_SDExport'!P:P)</f>
        <v>0</v>
      </c>
      <c r="Q218">
        <f>_xlfn.XLOOKUP($A218,'EA-Fortescue_SDExport'!$A:$A,'EA-Fortescue_SDExport'!Q:Q)</f>
        <v>0</v>
      </c>
      <c r="R218">
        <f>_xlfn.XLOOKUP($A218,'EA-Fortescue_SDExport'!$A:$A,'EA-Fortescue_SDExport'!R:R)</f>
        <v>0</v>
      </c>
      <c r="S218">
        <f>_xlfn.XLOOKUP($A218,'EA-Fortescue_SDExport'!$A:$A,'EA-Fortescue_SDExport'!S:S)</f>
        <v>0</v>
      </c>
      <c r="T218">
        <f>_xlfn.XLOOKUP($A218,'EA-Fortescue_SDExport'!$A:$A,'EA-Fortescue_SDExport'!T:T)</f>
        <v>0</v>
      </c>
      <c r="U218">
        <f>_xlfn.XLOOKUP($A218,'EA-Fortescue_SDExport'!$A:$A,'EA-Fortescue_SDExport'!U:U)</f>
        <v>45909.908032407409</v>
      </c>
      <c r="V218">
        <f>_xlfn.XLOOKUP($A218,'EA-Fortescue_SDExport'!$A:$A,'EA-Fortescue_SDExport'!V:V)</f>
        <v>46071.946631944447</v>
      </c>
      <c r="W218">
        <f>_xlfn.XLOOKUP($A218,'EA-Fortescue_SDExport'!$A:$A,'EA-Fortescue_SDExport'!W:W)</f>
        <v>0</v>
      </c>
      <c r="X218">
        <f>_xlfn.XLOOKUP($A218,'EA-Fortescue_SDExport'!$A:$A,'EA-Fortescue_SDExport'!X:X)</f>
        <v>0</v>
      </c>
      <c r="Y218">
        <f>_xlfn.XLOOKUP($A218,'EA-Fortescue_SDExport'!$A:$A,'EA-Fortescue_SDExport'!Y:Y)</f>
        <v>0</v>
      </c>
      <c r="Z218" t="str">
        <f>_xlfn.XLOOKUP($A218,'EA-Fortescue_SDExport'!$A:$A,'EA-Fortescue_SDExport'!Z:Z)</f>
        <v>SysML1.4::InterfaceBlock</v>
      </c>
      <c r="AA218" t="str">
        <f>_xlfn.XLOOKUP($A218,InterfaceRegister!$A:$A,InterfaceRegister!B:B)</f>
        <v>Archive - 005OP-0000-004-003 Alastri Tactical Scheduler (ATS)|855DC-1541-005 HaulAI</v>
      </c>
      <c r="AB218" t="str">
        <f>_xlfn.XLOOKUP($A218,InterfaceRegister!$A:$A,InterfaceRegister!C:C)</f>
        <v/>
      </c>
      <c r="AC218" t="str">
        <f>_xlfn.XLOOKUP($A218,InterfaceRegister!$A:$A,InterfaceRegister!D:D)</f>
        <v/>
      </c>
      <c r="AD218" t="str">
        <f>_xlfn.XLOOKUP($A218,InterfaceRegister!$A:$A,InterfaceRegister!E:E)</f>
        <v>Project - Subsystem Interface</v>
      </c>
      <c r="AE218" t="str">
        <f>_xlfn.XLOOKUP($A218,InterfaceRegister!$A:$A,InterfaceRegister!F:F)</f>
        <v/>
      </c>
      <c r="AF218" t="str">
        <f>_xlfn.XLOOKUP($A218,InterfaceRegister!$A:$A,InterfaceRegister!L:L)</f>
        <v>This interface passes tactical schedules and short-term operational plans from ATS into HaulAI for high-fidelity modelling and scenario analysis.</v>
      </c>
      <c r="AG218" t="str">
        <f>_xlfn.XLOOKUP($A218,InterfaceRegister!$A:$A,InterfaceRegister!M:M)</f>
        <v>MEDIUM</v>
      </c>
      <c r="AH218" t="str">
        <f>_xlfn.XLOOKUP($A218,InterfaceRegister!$A:$A,InterfaceRegister!O:O)</f>
        <v/>
      </c>
      <c r="AI218" t="str">
        <f>_xlfn.XLOOKUP($A218,InterfaceRegister!$A:$A,InterfaceRegister!N:N)</f>
        <v>The criticality level is MEDIUM because this interface supports tactical decision-making but is not vital for daily operations. Losing simulation capabilities diminishes planning accuracy and may lead to inefficiencies, although operational fleets can still function normally based on existing plans.</v>
      </c>
      <c r="AJ218" t="str">
        <f>_xlfn.XLOOKUP($A218,'EA-Fortescue_SDExport'!$A:$A,'EA-Fortescue_SDExport'!AX:AX)</f>
        <v>CSVE22A8A31</v>
      </c>
      <c r="AK218">
        <f>_xlfn.XLOOKUP($A218,'EA-Fortescue_SDExport'!$A:$A,'EA-Fortescue_SDExport'!AY:AY)</f>
        <v>0</v>
      </c>
    </row>
    <row r="219" spans="1:37" x14ac:dyDescent="0.25">
      <c r="A219" t="str">
        <v>DGS-I_0218</v>
      </c>
      <c r="B219" t="str">
        <f>_xlfn.XLOOKUP($A219,'EA-Fortescue_SDExport'!$A:$A,'EA-Fortescue_SDExport'!B:B)</f>
        <v>Class</v>
      </c>
      <c r="C219" t="str">
        <f>_xlfn.XLOOKUP($A219,'EA-Fortescue_SDExport'!$A:$A,'EA-Fortescue_SDExport'!C:C)</f>
        <v>{E5EFAA3A-B5CD-4252-B619-1E426544E569}</v>
      </c>
      <c r="D219" t="str">
        <f>_xlfn.LET(_xlpm.result, _xlfn.XLOOKUP($A219,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architecture._x000D_
DocStack-SAComparison_Delphi 18/02/2026: APS and ATS to be combined - Interface now with 005OP-0000-004-002 Alastri Production Scheduler (APS) / Alastri Tactical Scheduler (ATS)_x000D_
NH 18/02/2026: Fields updated: Interface Type, Interface Description (Interface Purpose), Interface Criticality, Interface Criticality Explanation, Interface Flow.</v>
      </c>
      <c r="E219">
        <f>_xlfn.XLOOKUP($A219,'EA-Fortescue_SDExport'!$A:$A,'EA-Fortescue_SDExport'!E:E)</f>
        <v>1</v>
      </c>
      <c r="F219">
        <f>_xlfn.XLOOKUP($A219,'EA-Fortescue_SDExport'!$A:$A,'EA-Fortescue_SDExport'!F:F)</f>
        <v>1</v>
      </c>
      <c r="G219">
        <f>_xlfn.XLOOKUP($A219,'EA-Fortescue_SDExport'!$A:$A,'EA-Fortescue_SDExport'!G:G)</f>
        <v>0</v>
      </c>
      <c r="H219" t="str">
        <f>_xlfn.XLOOKUP($A219,'EA-Fortescue_SDExport'!$A:$A,'EA-Fortescue_SDExport'!H:H)</f>
        <v>InterfaceBlock</v>
      </c>
      <c r="I219" t="str">
        <f>_xlfn.XLOOKUP($A219,'EA-Fortescue_SDExport'!$A:$A,'EA-Fortescue_SDExport'!I:I)</f>
        <v>SysML1.4::InterfaceBlock</v>
      </c>
      <c r="J219" t="str">
        <f>_xlfn.XLOOKUP($A219,'EA-Fortescue_SDExport'!$A:$A,'EA-Fortescue_SDExport'!J:J)</f>
        <v>Java</v>
      </c>
      <c r="K219" t="str">
        <f>_xlfn.XLOOKUP($A219,'EA-Fortescue_SDExport'!$A:$A,'EA-Fortescue_SDExport'!K:K)</f>
        <v>Admin</v>
      </c>
      <c r="L219" t="str">
        <f>_xlfn.XLOOKUP($A219,'EA-Fortescue_SDExport'!$A:$A,'EA-Fortescue_SDExport'!L:L)</f>
        <v>Public</v>
      </c>
      <c r="M219">
        <f>_xlfn.XLOOKUP($A219,'EA-Fortescue_SDExport'!$A:$A,'EA-Fortescue_SDExport'!M:M)</f>
        <v>0</v>
      </c>
      <c r="N219" t="str">
        <f>_xlfn.XLOOKUP($A219,InterfaceRegister!$A:$A,InterfaceRegister!K:K)</f>
        <v>Proposed</v>
      </c>
      <c r="O219">
        <f>_xlfn.XLOOKUP($A219,'EA-Fortescue_SDExport'!$A:$A,'EA-Fortescue_SDExport'!O:O)</f>
        <v>1</v>
      </c>
      <c r="P219">
        <f>_xlfn.XLOOKUP($A219,'EA-Fortescue_SDExport'!$A:$A,'EA-Fortescue_SDExport'!P:P)</f>
        <v>0</v>
      </c>
      <c r="Q219">
        <f>_xlfn.XLOOKUP($A219,'EA-Fortescue_SDExport'!$A:$A,'EA-Fortescue_SDExport'!Q:Q)</f>
        <v>0</v>
      </c>
      <c r="R219">
        <f>_xlfn.XLOOKUP($A219,'EA-Fortescue_SDExport'!$A:$A,'EA-Fortescue_SDExport'!R:R)</f>
        <v>0</v>
      </c>
      <c r="S219">
        <f>_xlfn.XLOOKUP($A219,'EA-Fortescue_SDExport'!$A:$A,'EA-Fortescue_SDExport'!S:S)</f>
        <v>0</v>
      </c>
      <c r="T219">
        <f>_xlfn.XLOOKUP($A219,'EA-Fortescue_SDExport'!$A:$A,'EA-Fortescue_SDExport'!T:T)</f>
        <v>0</v>
      </c>
      <c r="U219">
        <f>_xlfn.XLOOKUP($A219,'EA-Fortescue_SDExport'!$A:$A,'EA-Fortescue_SDExport'!U:U)</f>
        <v>45896.788240740738</v>
      </c>
      <c r="V219">
        <f>_xlfn.XLOOKUP($A219,'EA-Fortescue_SDExport'!$A:$A,'EA-Fortescue_SDExport'!V:V)</f>
        <v>46071.945694444446</v>
      </c>
      <c r="W219">
        <f>_xlfn.XLOOKUP($A219,'EA-Fortescue_SDExport'!$A:$A,'EA-Fortescue_SDExport'!W:W)</f>
        <v>0</v>
      </c>
      <c r="X219">
        <f>_xlfn.XLOOKUP($A219,'EA-Fortescue_SDExport'!$A:$A,'EA-Fortescue_SDExport'!X:X)</f>
        <v>0</v>
      </c>
      <c r="Y219">
        <f>_xlfn.XLOOKUP($A219,'EA-Fortescue_SDExport'!$A:$A,'EA-Fortescue_SDExport'!Y:Y)</f>
        <v>0</v>
      </c>
      <c r="Z219" t="str">
        <f>_xlfn.XLOOKUP($A219,'EA-Fortescue_SDExport'!$A:$A,'EA-Fortescue_SDExport'!Z:Z)</f>
        <v>SysML1.4::InterfaceBlock</v>
      </c>
      <c r="AA219" t="str">
        <f>_xlfn.XLOOKUP($A219,InterfaceRegister!$A:$A,InterfaceRegister!B:B)</f>
        <v>855DC-1541-PPC Pit Power Capacity Planning Tool - Design Optimisation|005OP-0000-004-002 Alastri Production Scheduler (APS) / Alastri Tactical Scheduler (ATS)</v>
      </c>
      <c r="AB219" t="str">
        <f>_xlfn.XLOOKUP($A219,InterfaceRegister!$A:$A,InterfaceRegister!C:C)</f>
        <v/>
      </c>
      <c r="AC219" t="str">
        <f>_xlfn.XLOOKUP($A219,InterfaceRegister!$A:$A,InterfaceRegister!D:D)</f>
        <v/>
      </c>
      <c r="AD219" t="str">
        <f>_xlfn.XLOOKUP($A219,InterfaceRegister!$A:$A,InterfaceRegister!E:E)</f>
        <v>Project - Subsystem Interface</v>
      </c>
      <c r="AE219" t="str">
        <f>_xlfn.XLOOKUP($A219,InterfaceRegister!$A:$A,InterfaceRegister!F:F)</f>
        <v>Technical-Data/Software</v>
      </c>
      <c r="AF219" t="str">
        <f>_xlfn.XLOOKUP($A219,InterfaceRegister!$A:$A,InterfaceRegister!L:L)</f>
        <v>The purpose of this interface is to exchange production schedules and equipment demand assumptions from APS/ATS into the Pit Power Capacity Planning Tool to support power capacity design and optimisation activities aligned with planned mining operations.</v>
      </c>
      <c r="AG219" t="str">
        <f>_xlfn.XLOOKUP($A219,InterfaceRegister!$A:$A,InterfaceRegister!M:M)</f>
        <v>LOW</v>
      </c>
      <c r="AH219" t="str">
        <f>_xlfn.XLOOKUP($A219,InterfaceRegister!$A:$A,InterfaceRegister!O:O)</f>
        <v>APS / ATS -&gt; Pit Power Capacity Planning Tool - Design Optimisation</v>
      </c>
      <c r="AI219" t="str">
        <f>_xlfn.XLOOKUP($A219,InterfaceRegister!$A:$A,InterfaceRegister!N:N)</f>
        <v>The criticality level is LOW because this interface supports planning and design optimisation rather than real-time execution. Failure would reduce the accuracy of power capacity modelling against planned production schedules, but it would not impact operational dispatch, safety-critical systems, or daily production continuity.</v>
      </c>
      <c r="AJ219" t="str">
        <f>_xlfn.XLOOKUP($A219,'EA-Fortescue_SDExport'!$A:$A,'EA-Fortescue_SDExport'!AX:AX)</f>
        <v>CSV739487AF</v>
      </c>
      <c r="AK219">
        <f>_xlfn.XLOOKUP($A219,'EA-Fortescue_SDExport'!$A:$A,'EA-Fortescue_SDExport'!AY:AY)</f>
        <v>0</v>
      </c>
    </row>
    <row r="220" spans="1:37" x14ac:dyDescent="0.25">
      <c r="A220" t="str">
        <v>DGS-I_0219</v>
      </c>
      <c r="B220" t="str">
        <f>_xlfn.XLOOKUP($A220,'EA-Fortescue_SDExport'!$A:$A,'EA-Fortescue_SDExport'!B:B)</f>
        <v>Class</v>
      </c>
      <c r="C220" t="str">
        <f>_xlfn.XLOOKUP($A220,'EA-Fortescue_SDExport'!$A:$A,'EA-Fortescue_SDExport'!C:C)</f>
        <v>{ECDC35E8-AC94-40fc-9D1F-0F189255FC2D}</v>
      </c>
      <c r="D220" t="str">
        <f>_xlfn.LET(_xlpm.result, _xlfn.XLOOKUP($A220, InterfaceRegister!$A:$A, InterfaceRegister!P:P), IF(_xlpm.result=0, "", _xlpm.result))</f>
        <v>LMS Review 30/10/2025: Trending data from chargers, diagnostics. OPC/UA_x000D_
NH 20/02/2026: Fields updated: Interface Type, Interface Flow.</v>
      </c>
      <c r="E220">
        <f>_xlfn.XLOOKUP($A220,'EA-Fortescue_SDExport'!$A:$A,'EA-Fortescue_SDExport'!E:E)</f>
        <v>1</v>
      </c>
      <c r="F220">
        <f>_xlfn.XLOOKUP($A220,'EA-Fortescue_SDExport'!$A:$A,'EA-Fortescue_SDExport'!F:F)</f>
        <v>1</v>
      </c>
      <c r="G220">
        <f>_xlfn.XLOOKUP($A220,'EA-Fortescue_SDExport'!$A:$A,'EA-Fortescue_SDExport'!G:G)</f>
        <v>0</v>
      </c>
      <c r="H220" t="str">
        <f>_xlfn.XLOOKUP($A220,'EA-Fortescue_SDExport'!$A:$A,'EA-Fortescue_SDExport'!H:H)</f>
        <v>InterfaceBlock</v>
      </c>
      <c r="I220" t="str">
        <f>_xlfn.XLOOKUP($A220,'EA-Fortescue_SDExport'!$A:$A,'EA-Fortescue_SDExport'!I:I)</f>
        <v>SysML1.4::InterfaceBlock</v>
      </c>
      <c r="J220" t="str">
        <f>_xlfn.XLOOKUP($A220,'EA-Fortescue_SDExport'!$A:$A,'EA-Fortescue_SDExport'!J:J)</f>
        <v>Java</v>
      </c>
      <c r="K220" t="str">
        <f>_xlfn.XLOOKUP($A220,'EA-Fortescue_SDExport'!$A:$A,'EA-Fortescue_SDExport'!K:K)</f>
        <v>Admin</v>
      </c>
      <c r="L220" t="str">
        <f>_xlfn.XLOOKUP($A220,'EA-Fortescue_SDExport'!$A:$A,'EA-Fortescue_SDExport'!L:L)</f>
        <v>Public</v>
      </c>
      <c r="M220">
        <f>_xlfn.XLOOKUP($A220,'EA-Fortescue_SDExport'!$A:$A,'EA-Fortescue_SDExport'!M:M)</f>
        <v>0</v>
      </c>
      <c r="N220" t="str">
        <f>_xlfn.XLOOKUP($A220,InterfaceRegister!$A:$A,InterfaceRegister!K:K)</f>
        <v>Proposed</v>
      </c>
      <c r="O220">
        <f>_xlfn.XLOOKUP($A220,'EA-Fortescue_SDExport'!$A:$A,'EA-Fortescue_SDExport'!O:O)</f>
        <v>1</v>
      </c>
      <c r="P220">
        <f>_xlfn.XLOOKUP($A220,'EA-Fortescue_SDExport'!$A:$A,'EA-Fortescue_SDExport'!P:P)</f>
        <v>0</v>
      </c>
      <c r="Q220">
        <f>_xlfn.XLOOKUP($A220,'EA-Fortescue_SDExport'!$A:$A,'EA-Fortescue_SDExport'!Q:Q)</f>
        <v>0</v>
      </c>
      <c r="R220">
        <f>_xlfn.XLOOKUP($A220,'EA-Fortescue_SDExport'!$A:$A,'EA-Fortescue_SDExport'!R:R)</f>
        <v>0</v>
      </c>
      <c r="S220">
        <f>_xlfn.XLOOKUP($A220,'EA-Fortescue_SDExport'!$A:$A,'EA-Fortescue_SDExport'!S:S)</f>
        <v>0</v>
      </c>
      <c r="T220">
        <f>_xlfn.XLOOKUP($A220,'EA-Fortescue_SDExport'!$A:$A,'EA-Fortescue_SDExport'!T:T)</f>
        <v>0</v>
      </c>
      <c r="U220">
        <f>_xlfn.XLOOKUP($A220,'EA-Fortescue_SDExport'!$A:$A,'EA-Fortescue_SDExport'!U:U)</f>
        <v>45895.890740740739</v>
      </c>
      <c r="V220">
        <f>_xlfn.XLOOKUP($A220,'EA-Fortescue_SDExport'!$A:$A,'EA-Fortescue_SDExport'!V:V)</f>
        <v>46077.993206018517</v>
      </c>
      <c r="W220">
        <f>_xlfn.XLOOKUP($A220,'EA-Fortescue_SDExport'!$A:$A,'EA-Fortescue_SDExport'!W:W)</f>
        <v>0</v>
      </c>
      <c r="X220">
        <f>_xlfn.XLOOKUP($A220,'EA-Fortescue_SDExport'!$A:$A,'EA-Fortescue_SDExport'!X:X)</f>
        <v>0</v>
      </c>
      <c r="Y220">
        <f>_xlfn.XLOOKUP($A220,'EA-Fortescue_SDExport'!$A:$A,'EA-Fortescue_SDExport'!Y:Y)</f>
        <v>0</v>
      </c>
      <c r="Z220" t="str">
        <f>_xlfn.XLOOKUP($A220,'EA-Fortescue_SDExport'!$A:$A,'EA-Fortescue_SDExport'!Z:Z)</f>
        <v>SysML1.4::InterfaceBlock</v>
      </c>
      <c r="AA220" t="str">
        <f>_xlfn.XLOOKUP($A220,InterfaceRegister!$A:$A,InterfaceRegister!B:B)</f>
        <v>005OP-0000-017-001 Non-Process Infrastructure (NPI) SCADA|850DC-1512-0001-004 AC1 (Automated Connection) for T264 Charging Loads</v>
      </c>
      <c r="AB220" t="str">
        <f>_xlfn.XLOOKUP($A220,InterfaceRegister!$A:$A,InterfaceRegister!C:C)</f>
        <v/>
      </c>
      <c r="AC220" t="str">
        <f>_xlfn.XLOOKUP($A220,InterfaceRegister!$A:$A,InterfaceRegister!D:D)</f>
        <v/>
      </c>
      <c r="AD220" t="str">
        <f>_xlfn.XLOOKUP($A220,InterfaceRegister!$A:$A,InterfaceRegister!E:E)</f>
        <v>Subsystem - Subsystem Interface</v>
      </c>
      <c r="AE220" t="str">
        <f>_xlfn.XLOOKUP($A220,InterfaceRegister!$A:$A,InterfaceRegister!F:F)</f>
        <v>Technical-Data/Software</v>
      </c>
      <c r="AF220" t="str">
        <f>_xlfn.XLOOKUP($A220,InterfaceRegister!$A:$A,InterfaceRegister!L:L)</f>
        <v>This interface supplies AC1 with environmental and facility-related SCADA data from NPI SCADA, including the status of ventilation, lighting, and auxiliary systems necessary for safe automated charging.</v>
      </c>
      <c r="AG220" t="str">
        <f>_xlfn.XLOOKUP($A220,InterfaceRegister!$A:$A,InterfaceRegister!M:M)</f>
        <v>MEDIUM</v>
      </c>
      <c r="AH220" t="str">
        <f>_xlfn.XLOOKUP($A220,InterfaceRegister!$A:$A,InterfaceRegister!O:O)</f>
        <v>Data Flow: Ignition (NPI SCADA) -&gt; AC1 / HME Chargers (ventilation status, lighting status, auxiliary power availability, environmental conditions, alarms, facility readiness signals) to verify safe preconditions for automated charging.</v>
      </c>
      <c r="AI220" t="str">
        <f>_xlfn.XLOOKUP($A220,InterfaceRegister!$A:$A,InterfaceRegister!N:N)</f>
        <v>The criticality level is MEDIUM because AC1 automated charging can still occur, but without full NPI context, certain safety preconditions (such as ventilation status) may not be verifiable, which can slow down or prevent automated charging sequences. The AC1 depends on NPI SCADA for safe facility conditions, and losing the interface may lead to conservative behaviour or fallback to manual processes.</v>
      </c>
      <c r="AJ220" t="str">
        <f>_xlfn.XLOOKUP($A220,'EA-Fortescue_SDExport'!$A:$A,'EA-Fortescue_SDExport'!AX:AX)</f>
        <v>CSV2ADCA3CE</v>
      </c>
      <c r="AK220">
        <f>_xlfn.XLOOKUP($A220,'EA-Fortescue_SDExport'!$A:$A,'EA-Fortescue_SDExport'!AY:AY)</f>
        <v>0</v>
      </c>
    </row>
    <row r="221" spans="1:37" x14ac:dyDescent="0.25">
      <c r="A221" t="str">
        <v>DGS-I_0220</v>
      </c>
      <c r="B221" t="str">
        <f>_xlfn.XLOOKUP($A221,'EA-Fortescue_SDExport'!$A:$A,'EA-Fortescue_SDExport'!B:B)</f>
        <v>Class</v>
      </c>
      <c r="C221" t="str">
        <f>_xlfn.XLOOKUP($A221,'EA-Fortescue_SDExport'!$A:$A,'EA-Fortescue_SDExport'!C:C)</f>
        <v>{6BC2CB4E-C494-4e06-B130-7052A1D8F656}</v>
      </c>
      <c r="D221" t="str">
        <f>_xlfn.LET(_xlpm.result, _xlfn.XLOOKUP($A221, InterfaceRegister!$A:$A, InterfaceRegister!P:P), IF(_xlpm.result=0, "", _xlpm.result))</f>
        <v>NH 20/02/2026: Fields updated: Interface Type, Interface Flow.</v>
      </c>
      <c r="E221">
        <f>_xlfn.XLOOKUP($A221,'EA-Fortescue_SDExport'!$A:$A,'EA-Fortescue_SDExport'!E:E)</f>
        <v>1</v>
      </c>
      <c r="F221">
        <f>_xlfn.XLOOKUP($A221,'EA-Fortescue_SDExport'!$A:$A,'EA-Fortescue_SDExport'!F:F)</f>
        <v>1</v>
      </c>
      <c r="G221">
        <f>_xlfn.XLOOKUP($A221,'EA-Fortescue_SDExport'!$A:$A,'EA-Fortescue_SDExport'!G:G)</f>
        <v>0</v>
      </c>
      <c r="H221" t="str">
        <f>_xlfn.XLOOKUP($A221,'EA-Fortescue_SDExport'!$A:$A,'EA-Fortescue_SDExport'!H:H)</f>
        <v>InterfaceBlock</v>
      </c>
      <c r="I221" t="str">
        <f>_xlfn.XLOOKUP($A221,'EA-Fortescue_SDExport'!$A:$A,'EA-Fortescue_SDExport'!I:I)</f>
        <v>SysML1.4::InterfaceBlock</v>
      </c>
      <c r="J221" t="str">
        <f>_xlfn.XLOOKUP($A221,'EA-Fortescue_SDExport'!$A:$A,'EA-Fortescue_SDExport'!J:J)</f>
        <v>Java</v>
      </c>
      <c r="K221" t="str">
        <f>_xlfn.XLOOKUP($A221,'EA-Fortescue_SDExport'!$A:$A,'EA-Fortescue_SDExport'!K:K)</f>
        <v>Admin</v>
      </c>
      <c r="L221" t="str">
        <f>_xlfn.XLOOKUP($A221,'EA-Fortescue_SDExport'!$A:$A,'EA-Fortescue_SDExport'!L:L)</f>
        <v>Public</v>
      </c>
      <c r="M221">
        <f>_xlfn.XLOOKUP($A221,'EA-Fortescue_SDExport'!$A:$A,'EA-Fortescue_SDExport'!M:M)</f>
        <v>0</v>
      </c>
      <c r="N221" t="str">
        <f>_xlfn.XLOOKUP($A221,InterfaceRegister!$A:$A,InterfaceRegister!K:K)</f>
        <v>Proposed</v>
      </c>
      <c r="O221">
        <f>_xlfn.XLOOKUP($A221,'EA-Fortescue_SDExport'!$A:$A,'EA-Fortescue_SDExport'!O:O)</f>
        <v>1</v>
      </c>
      <c r="P221">
        <f>_xlfn.XLOOKUP($A221,'EA-Fortescue_SDExport'!$A:$A,'EA-Fortescue_SDExport'!P:P)</f>
        <v>0</v>
      </c>
      <c r="Q221">
        <f>_xlfn.XLOOKUP($A221,'EA-Fortescue_SDExport'!$A:$A,'EA-Fortescue_SDExport'!Q:Q)</f>
        <v>0</v>
      </c>
      <c r="R221">
        <f>_xlfn.XLOOKUP($A221,'EA-Fortescue_SDExport'!$A:$A,'EA-Fortescue_SDExport'!R:R)</f>
        <v>0</v>
      </c>
      <c r="S221">
        <f>_xlfn.XLOOKUP($A221,'EA-Fortescue_SDExport'!$A:$A,'EA-Fortescue_SDExport'!S:S)</f>
        <v>0</v>
      </c>
      <c r="T221">
        <f>_xlfn.XLOOKUP($A221,'EA-Fortescue_SDExport'!$A:$A,'EA-Fortescue_SDExport'!T:T)</f>
        <v>0</v>
      </c>
      <c r="U221">
        <f>_xlfn.XLOOKUP($A221,'EA-Fortescue_SDExport'!$A:$A,'EA-Fortescue_SDExport'!U:U)</f>
        <v>45896.623171296298</v>
      </c>
      <c r="V221">
        <f>_xlfn.XLOOKUP($A221,'EA-Fortescue_SDExport'!$A:$A,'EA-Fortescue_SDExport'!V:V)</f>
        <v>46077.993206018517</v>
      </c>
      <c r="W221">
        <f>_xlfn.XLOOKUP($A221,'EA-Fortescue_SDExport'!$A:$A,'EA-Fortescue_SDExport'!W:W)</f>
        <v>0</v>
      </c>
      <c r="X221">
        <f>_xlfn.XLOOKUP($A221,'EA-Fortescue_SDExport'!$A:$A,'EA-Fortescue_SDExport'!X:X)</f>
        <v>0</v>
      </c>
      <c r="Y221">
        <f>_xlfn.XLOOKUP($A221,'EA-Fortescue_SDExport'!$A:$A,'EA-Fortescue_SDExport'!Y:Y)</f>
        <v>0</v>
      </c>
      <c r="Z221" t="str">
        <f>_xlfn.XLOOKUP($A221,'EA-Fortescue_SDExport'!$A:$A,'EA-Fortescue_SDExport'!Z:Z)</f>
        <v>SysML1.4::InterfaceBlock</v>
      </c>
      <c r="AA221" t="str">
        <f>_xlfn.XLOOKUP($A221,InterfaceRegister!$A:$A,InterfaceRegister!B:B)</f>
        <v>859DC-1410-001-001 HaulX Dispatch (Fleet Management System (FMS))|850DC-1512-0001-001 SW1+AP1 (Switchroom)</v>
      </c>
      <c r="AB221" t="str">
        <f>_xlfn.XLOOKUP($A221,InterfaceRegister!$A:$A,InterfaceRegister!C:C)</f>
        <v/>
      </c>
      <c r="AC221" t="str">
        <f>_xlfn.XLOOKUP($A221,InterfaceRegister!$A:$A,InterfaceRegister!D:D)</f>
        <v/>
      </c>
      <c r="AD221" t="str">
        <f>_xlfn.XLOOKUP($A221,InterfaceRegister!$A:$A,InterfaceRegister!E:E)</f>
        <v>Subsystem - Subsystem Interface</v>
      </c>
      <c r="AE221" t="str">
        <f>_xlfn.XLOOKUP($A221,InterfaceRegister!$A:$A,InterfaceRegister!F:F)</f>
        <v>Technical-Electrical</v>
      </c>
      <c r="AF221" t="str">
        <f>_xlfn.XLOOKUP($A221,InterfaceRegister!$A:$A,InterfaceRegister!L:L)</f>
        <v>This interface allows HaulX Dispatch to receive switchroom status or energisation information relevant to truck charging or operational readiness in areas supplied by SW1+AP1.</v>
      </c>
      <c r="AG221" t="str">
        <f>_xlfn.XLOOKUP($A221,InterfaceRegister!$A:$A,InterfaceRegister!M:M)</f>
        <v>MEDIUM</v>
      </c>
      <c r="AH221" t="str">
        <f>_xlfn.XLOOKUP($A221,InterfaceRegister!$A:$A,InterfaceRegister!O:O)</f>
        <v>Data Flow: HME Chargers / Switchroom (SW1+AP1) -&gt; HaulX Dispatch (switchroom energisation status, feeder availability, breaker status, charger supply availability, electrical fault/lockout conditions) to inform charging coordination and operational readiness.</v>
      </c>
      <c r="AI221" t="str">
        <f>_xlfn.XLOOKUP($A221,InterfaceRegister!$A:$A,InterfaceRegister!N:N)</f>
        <v>The criticality level is MEDIUM because, although haulage can continue, the loss of switchroom data might affect charging coordination or route availability. Incorrect or missing electrical-state information can delay charging operations or require manual workarounds, but does not compromise haulage safety.</v>
      </c>
      <c r="AJ221" t="str">
        <f>_xlfn.XLOOKUP($A221,'EA-Fortescue_SDExport'!$A:$A,'EA-Fortescue_SDExport'!AX:AX)</f>
        <v>CSVFD2412C8</v>
      </c>
      <c r="AK221">
        <f>_xlfn.XLOOKUP($A221,'EA-Fortescue_SDExport'!$A:$A,'EA-Fortescue_SDExport'!AY:AY)</f>
        <v>0</v>
      </c>
    </row>
    <row r="222" spans="1:37" x14ac:dyDescent="0.25">
      <c r="A222" t="str">
        <v>DGS-I_0221</v>
      </c>
      <c r="B222" t="str">
        <f>_xlfn.XLOOKUP($A222,'EA-Fortescue_SDExport'!$A:$A,'EA-Fortescue_SDExport'!B:B)</f>
        <v>Class</v>
      </c>
      <c r="C222" t="str">
        <f>_xlfn.XLOOKUP($A222,'EA-Fortescue_SDExport'!$A:$A,'EA-Fortescue_SDExport'!C:C)</f>
        <v>{F32D37A7-228D-4c3e-9687-E98C9524748F}</v>
      </c>
      <c r="D222" t="str">
        <f>_xlfn.LET(_xlpm.result, _xlfn.XLOOKUP($A222, InterfaceRegister!$A:$A, InterfaceRegister!P:P), IF(_xlpm.result=0, "", _xlpm.result))</f>
        <v/>
      </c>
      <c r="E222">
        <f>_xlfn.XLOOKUP($A222,'EA-Fortescue_SDExport'!$A:$A,'EA-Fortescue_SDExport'!E:E)</f>
        <v>1</v>
      </c>
      <c r="F222">
        <f>_xlfn.XLOOKUP($A222,'EA-Fortescue_SDExport'!$A:$A,'EA-Fortescue_SDExport'!F:F)</f>
        <v>1</v>
      </c>
      <c r="G222">
        <f>_xlfn.XLOOKUP($A222,'EA-Fortescue_SDExport'!$A:$A,'EA-Fortescue_SDExport'!G:G)</f>
        <v>0</v>
      </c>
      <c r="H222" t="str">
        <f>_xlfn.XLOOKUP($A222,'EA-Fortescue_SDExport'!$A:$A,'EA-Fortescue_SDExport'!H:H)</f>
        <v>InterfaceBlock</v>
      </c>
      <c r="I222" t="str">
        <f>_xlfn.XLOOKUP($A222,'EA-Fortescue_SDExport'!$A:$A,'EA-Fortescue_SDExport'!I:I)</f>
        <v>SysML1.4::InterfaceBlock</v>
      </c>
      <c r="J222" t="str">
        <f>_xlfn.XLOOKUP($A222,'EA-Fortescue_SDExport'!$A:$A,'EA-Fortescue_SDExport'!J:J)</f>
        <v>Java</v>
      </c>
      <c r="K222" t="str">
        <f>_xlfn.XLOOKUP($A222,'EA-Fortescue_SDExport'!$A:$A,'EA-Fortescue_SDExport'!K:K)</f>
        <v>Admin</v>
      </c>
      <c r="L222" t="str">
        <f>_xlfn.XLOOKUP($A222,'EA-Fortescue_SDExport'!$A:$A,'EA-Fortescue_SDExport'!L:L)</f>
        <v>Public</v>
      </c>
      <c r="M222">
        <f>_xlfn.XLOOKUP($A222,'EA-Fortescue_SDExport'!$A:$A,'EA-Fortescue_SDExport'!M:M)</f>
        <v>0</v>
      </c>
      <c r="N222" t="str">
        <f>_xlfn.XLOOKUP($A222,InterfaceRegister!$A:$A,InterfaceRegister!K:K)</f>
        <v>Proposed</v>
      </c>
      <c r="O222">
        <f>_xlfn.XLOOKUP($A222,'EA-Fortescue_SDExport'!$A:$A,'EA-Fortescue_SDExport'!O:O)</f>
        <v>1</v>
      </c>
      <c r="P222">
        <f>_xlfn.XLOOKUP($A222,'EA-Fortescue_SDExport'!$A:$A,'EA-Fortescue_SDExport'!P:P)</f>
        <v>0</v>
      </c>
      <c r="Q222">
        <f>_xlfn.XLOOKUP($A222,'EA-Fortescue_SDExport'!$A:$A,'EA-Fortescue_SDExport'!Q:Q)</f>
        <v>0</v>
      </c>
      <c r="R222">
        <f>_xlfn.XLOOKUP($A222,'EA-Fortescue_SDExport'!$A:$A,'EA-Fortescue_SDExport'!R:R)</f>
        <v>0</v>
      </c>
      <c r="S222">
        <f>_xlfn.XLOOKUP($A222,'EA-Fortescue_SDExport'!$A:$A,'EA-Fortescue_SDExport'!S:S)</f>
        <v>0</v>
      </c>
      <c r="T222">
        <f>_xlfn.XLOOKUP($A222,'EA-Fortescue_SDExport'!$A:$A,'EA-Fortescue_SDExport'!T:T)</f>
        <v>0</v>
      </c>
      <c r="U222">
        <f>_xlfn.XLOOKUP($A222,'EA-Fortescue_SDExport'!$A:$A,'EA-Fortescue_SDExport'!U:U)</f>
        <v>45896.633506944447</v>
      </c>
      <c r="V222">
        <f>_xlfn.XLOOKUP($A222,'EA-Fortescue_SDExport'!$A:$A,'EA-Fortescue_SDExport'!V:V)</f>
        <v>46002.004976851851</v>
      </c>
      <c r="W222">
        <f>_xlfn.XLOOKUP($A222,'EA-Fortescue_SDExport'!$A:$A,'EA-Fortescue_SDExport'!W:W)</f>
        <v>0</v>
      </c>
      <c r="X222">
        <f>_xlfn.XLOOKUP($A222,'EA-Fortescue_SDExport'!$A:$A,'EA-Fortescue_SDExport'!X:X)</f>
        <v>0</v>
      </c>
      <c r="Y222">
        <f>_xlfn.XLOOKUP($A222,'EA-Fortescue_SDExport'!$A:$A,'EA-Fortescue_SDExport'!Y:Y)</f>
        <v>0</v>
      </c>
      <c r="Z222" t="str">
        <f>_xlfn.XLOOKUP($A222,'EA-Fortescue_SDExport'!$A:$A,'EA-Fortescue_SDExport'!Z:Z)</f>
        <v>SysML1.4::InterfaceBlock</v>
      </c>
      <c r="AA222" t="str">
        <f>_xlfn.XLOOKUP($A222,InterfaceRegister!$A:$A,InterfaceRegister!B:B)</f>
        <v>002OP-1800 CCTV|850DC-1512-0001-004 AC1 (Automated Connection) for T264 Charging Loads</v>
      </c>
      <c r="AB222" t="str">
        <f>_xlfn.XLOOKUP($A222,InterfaceRegister!$A:$A,InterfaceRegister!C:C)</f>
        <v/>
      </c>
      <c r="AC222" t="str">
        <f>_xlfn.XLOOKUP($A222,InterfaceRegister!$A:$A,InterfaceRegister!D:D)</f>
        <v/>
      </c>
      <c r="AD222" t="str">
        <f>_xlfn.XLOOKUP($A222,InterfaceRegister!$A:$A,InterfaceRegister!E:E)</f>
        <v>System - Subsystem Interface</v>
      </c>
      <c r="AE222" t="str">
        <f>_xlfn.XLOOKUP($A222,InterfaceRegister!$A:$A,InterfaceRegister!F:F)</f>
        <v/>
      </c>
      <c r="AF222" t="str">
        <f>_xlfn.XLOOKUP($A222,InterfaceRegister!$A:$A,InterfaceRegister!L:L)</f>
        <v/>
      </c>
      <c r="AG222" t="str">
        <f>_xlfn.XLOOKUP($A222,InterfaceRegister!$A:$A,InterfaceRegister!M:M)</f>
        <v/>
      </c>
      <c r="AH222" t="str">
        <f>_xlfn.XLOOKUP($A222,InterfaceRegister!$A:$A,InterfaceRegister!O:O)</f>
        <v/>
      </c>
      <c r="AI222" t="str">
        <f>_xlfn.XLOOKUP($A222,InterfaceRegister!$A:$A,InterfaceRegister!N:N)</f>
        <v/>
      </c>
      <c r="AJ222" t="str">
        <f>_xlfn.XLOOKUP($A222,'EA-Fortescue_SDExport'!$A:$A,'EA-Fortescue_SDExport'!AX:AX)</f>
        <v>CSVACDAE25C</v>
      </c>
      <c r="AK222">
        <f>_xlfn.XLOOKUP($A222,'EA-Fortescue_SDExport'!$A:$A,'EA-Fortescue_SDExport'!AY:AY)</f>
        <v>0</v>
      </c>
    </row>
    <row r="223" spans="1:37" x14ac:dyDescent="0.25">
      <c r="A223" t="str">
        <v>DGS-I_0222</v>
      </c>
      <c r="B223" t="str">
        <f>_xlfn.XLOOKUP($A223,'EA-Fortescue_SDExport'!$A:$A,'EA-Fortescue_SDExport'!B:B)</f>
        <v>Class</v>
      </c>
      <c r="C223" t="str">
        <f>_xlfn.XLOOKUP($A223,'EA-Fortescue_SDExport'!$A:$A,'EA-Fortescue_SDExport'!C:C)</f>
        <v>{8063044F-7AB2-4803-808A-E8AA95CF77D9}</v>
      </c>
      <c r="D223" t="str">
        <f>_xlfn.LET(_xlpm.result, _xlfn.XLOOKUP($A223, InterfaceRegister!$A:$A, InterfaceRegister!P:P), IF(_xlpm.result=0, "", _xlpm.result))</f>
        <v/>
      </c>
      <c r="E223">
        <f>_xlfn.XLOOKUP($A223,'EA-Fortescue_SDExport'!$A:$A,'EA-Fortescue_SDExport'!E:E)</f>
        <v>1</v>
      </c>
      <c r="F223">
        <f>_xlfn.XLOOKUP($A223,'EA-Fortescue_SDExport'!$A:$A,'EA-Fortescue_SDExport'!F:F)</f>
        <v>1</v>
      </c>
      <c r="G223">
        <f>_xlfn.XLOOKUP($A223,'EA-Fortescue_SDExport'!$A:$A,'EA-Fortescue_SDExport'!G:G)</f>
        <v>0</v>
      </c>
      <c r="H223" t="str">
        <f>_xlfn.XLOOKUP($A223,'EA-Fortescue_SDExport'!$A:$A,'EA-Fortescue_SDExport'!H:H)</f>
        <v>InterfaceBlock</v>
      </c>
      <c r="I223" t="str">
        <f>_xlfn.XLOOKUP($A223,'EA-Fortescue_SDExport'!$A:$A,'EA-Fortescue_SDExport'!I:I)</f>
        <v>SysML1.4::InterfaceBlock</v>
      </c>
      <c r="J223" t="str">
        <f>_xlfn.XLOOKUP($A223,'EA-Fortescue_SDExport'!$A:$A,'EA-Fortescue_SDExport'!J:J)</f>
        <v>Java</v>
      </c>
      <c r="K223" t="str">
        <f>_xlfn.XLOOKUP($A223,'EA-Fortescue_SDExport'!$A:$A,'EA-Fortescue_SDExport'!K:K)</f>
        <v>Admin</v>
      </c>
      <c r="L223" t="str">
        <f>_xlfn.XLOOKUP($A223,'EA-Fortescue_SDExport'!$A:$A,'EA-Fortescue_SDExport'!L:L)</f>
        <v>Public</v>
      </c>
      <c r="M223">
        <f>_xlfn.XLOOKUP($A223,'EA-Fortescue_SDExport'!$A:$A,'EA-Fortescue_SDExport'!M:M)</f>
        <v>0</v>
      </c>
      <c r="N223" t="str">
        <f>_xlfn.XLOOKUP($A223,InterfaceRegister!$A:$A,InterfaceRegister!K:K)</f>
        <v>Proposed</v>
      </c>
      <c r="O223">
        <f>_xlfn.XLOOKUP($A223,'EA-Fortescue_SDExport'!$A:$A,'EA-Fortescue_SDExport'!O:O)</f>
        <v>1</v>
      </c>
      <c r="P223">
        <f>_xlfn.XLOOKUP($A223,'EA-Fortescue_SDExport'!$A:$A,'EA-Fortescue_SDExport'!P:P)</f>
        <v>0</v>
      </c>
      <c r="Q223">
        <f>_xlfn.XLOOKUP($A223,'EA-Fortescue_SDExport'!$A:$A,'EA-Fortescue_SDExport'!Q:Q)</f>
        <v>0</v>
      </c>
      <c r="R223">
        <f>_xlfn.XLOOKUP($A223,'EA-Fortescue_SDExport'!$A:$A,'EA-Fortescue_SDExport'!R:R)</f>
        <v>0</v>
      </c>
      <c r="S223">
        <f>_xlfn.XLOOKUP($A223,'EA-Fortescue_SDExport'!$A:$A,'EA-Fortescue_SDExport'!S:S)</f>
        <v>0</v>
      </c>
      <c r="T223">
        <f>_xlfn.XLOOKUP($A223,'EA-Fortescue_SDExport'!$A:$A,'EA-Fortescue_SDExport'!T:T)</f>
        <v>0</v>
      </c>
      <c r="U223">
        <f>_xlfn.XLOOKUP($A223,'EA-Fortescue_SDExport'!$A:$A,'EA-Fortescue_SDExport'!U:U)</f>
        <v>45896.613645833335</v>
      </c>
      <c r="V223">
        <f>_xlfn.XLOOKUP($A223,'EA-Fortescue_SDExport'!$A:$A,'EA-Fortescue_SDExport'!V:V)</f>
        <v>46002.004942129628</v>
      </c>
      <c r="W223">
        <f>_xlfn.XLOOKUP($A223,'EA-Fortescue_SDExport'!$A:$A,'EA-Fortescue_SDExport'!W:W)</f>
        <v>0</v>
      </c>
      <c r="X223">
        <f>_xlfn.XLOOKUP($A223,'EA-Fortescue_SDExport'!$A:$A,'EA-Fortescue_SDExport'!X:X)</f>
        <v>0</v>
      </c>
      <c r="Y223">
        <f>_xlfn.XLOOKUP($A223,'EA-Fortescue_SDExport'!$A:$A,'EA-Fortescue_SDExport'!Y:Y)</f>
        <v>0</v>
      </c>
      <c r="Z223" t="str">
        <f>_xlfn.XLOOKUP($A223,'EA-Fortescue_SDExport'!$A:$A,'EA-Fortescue_SDExport'!Z:Z)</f>
        <v>SysML1.4::InterfaceBlock</v>
      </c>
      <c r="AA223" t="str">
        <f>_xlfn.XLOOKUP($A223,InterfaceRegister!$A:$A,InterfaceRegister!B:B)</f>
        <v>851DC-1592 Haulage|850DC-1512-0001-004 AC1 (Automated Connection) for T264 Charging Loads</v>
      </c>
      <c r="AB223" t="str">
        <f>_xlfn.XLOOKUP($A223,InterfaceRegister!$A:$A,InterfaceRegister!C:C)</f>
        <v/>
      </c>
      <c r="AC223" t="str">
        <f>_xlfn.XLOOKUP($A223,InterfaceRegister!$A:$A,InterfaceRegister!D:D)</f>
        <v/>
      </c>
      <c r="AD223" t="str">
        <f>_xlfn.XLOOKUP($A223,InterfaceRegister!$A:$A,InterfaceRegister!E:E)</f>
        <v>System - Subsystem Interface</v>
      </c>
      <c r="AE223" t="str">
        <f>_xlfn.XLOOKUP($A223,InterfaceRegister!$A:$A,InterfaceRegister!F:F)</f>
        <v/>
      </c>
      <c r="AF223" t="str">
        <f>_xlfn.XLOOKUP($A223,InterfaceRegister!$A:$A,InterfaceRegister!L:L)</f>
        <v/>
      </c>
      <c r="AG223" t="str">
        <f>_xlfn.XLOOKUP($A223,InterfaceRegister!$A:$A,InterfaceRegister!M:M)</f>
        <v/>
      </c>
      <c r="AH223" t="str">
        <f>_xlfn.XLOOKUP($A223,InterfaceRegister!$A:$A,InterfaceRegister!O:O)</f>
        <v/>
      </c>
      <c r="AI223" t="str">
        <f>_xlfn.XLOOKUP($A223,InterfaceRegister!$A:$A,InterfaceRegister!N:N)</f>
        <v/>
      </c>
      <c r="AJ223" t="str">
        <f>_xlfn.XLOOKUP($A223,'EA-Fortescue_SDExport'!$A:$A,'EA-Fortescue_SDExport'!AX:AX)</f>
        <v>CSVFE12D57F</v>
      </c>
      <c r="AK223">
        <f>_xlfn.XLOOKUP($A223,'EA-Fortescue_SDExport'!$A:$A,'EA-Fortescue_SDExport'!AY:AY)</f>
        <v>0</v>
      </c>
    </row>
    <row r="224" spans="1:37" x14ac:dyDescent="0.25">
      <c r="A224" t="str">
        <v>DGS-I_0223</v>
      </c>
      <c r="B224" t="str">
        <f>_xlfn.XLOOKUP($A224,'EA-Fortescue_SDExport'!$A:$A,'EA-Fortescue_SDExport'!B:B)</f>
        <v>Class</v>
      </c>
      <c r="C224" t="str">
        <f>_xlfn.XLOOKUP($A224,'EA-Fortescue_SDExport'!$A:$A,'EA-Fortescue_SDExport'!C:C)</f>
        <v>{FE5E6DF8-034E-4557-9279-FC5BE2823F01}</v>
      </c>
      <c r="D224" t="str">
        <f>_xlfn.LET(_xlpm.result, _xlfn.XLOOKUP($A224, InterfaceRegister!$A:$A, InterfaceRegister!P:P), IF(_xlpm.result=0, "", _xlpm.result))</f>
        <v>LMS Review 30/10/2025: Trending data from chargers, diagnostics. OPC/UA_x000D_
NH 20/02/2026: Fields updated: Interface Type, Interface Flow.</v>
      </c>
      <c r="E224">
        <f>_xlfn.XLOOKUP($A224,'EA-Fortescue_SDExport'!$A:$A,'EA-Fortescue_SDExport'!E:E)</f>
        <v>1</v>
      </c>
      <c r="F224">
        <f>_xlfn.XLOOKUP($A224,'EA-Fortescue_SDExport'!$A:$A,'EA-Fortescue_SDExport'!F:F)</f>
        <v>1</v>
      </c>
      <c r="G224">
        <f>_xlfn.XLOOKUP($A224,'EA-Fortescue_SDExport'!$A:$A,'EA-Fortescue_SDExport'!G:G)</f>
        <v>0</v>
      </c>
      <c r="H224" t="str">
        <f>_xlfn.XLOOKUP($A224,'EA-Fortescue_SDExport'!$A:$A,'EA-Fortescue_SDExport'!H:H)</f>
        <v>InterfaceBlock</v>
      </c>
      <c r="I224" t="str">
        <f>_xlfn.XLOOKUP($A224,'EA-Fortescue_SDExport'!$A:$A,'EA-Fortescue_SDExport'!I:I)</f>
        <v>SysML1.4::InterfaceBlock</v>
      </c>
      <c r="J224" t="str">
        <f>_xlfn.XLOOKUP($A224,'EA-Fortescue_SDExport'!$A:$A,'EA-Fortescue_SDExport'!J:J)</f>
        <v>Java</v>
      </c>
      <c r="K224" t="str">
        <f>_xlfn.XLOOKUP($A224,'EA-Fortescue_SDExport'!$A:$A,'EA-Fortescue_SDExport'!K:K)</f>
        <v>Admin</v>
      </c>
      <c r="L224" t="str">
        <f>_xlfn.XLOOKUP($A224,'EA-Fortescue_SDExport'!$A:$A,'EA-Fortescue_SDExport'!L:L)</f>
        <v>Public</v>
      </c>
      <c r="M224">
        <f>_xlfn.XLOOKUP($A224,'EA-Fortescue_SDExport'!$A:$A,'EA-Fortescue_SDExport'!M:M)</f>
        <v>0</v>
      </c>
      <c r="N224" t="str">
        <f>_xlfn.XLOOKUP($A224,InterfaceRegister!$A:$A,InterfaceRegister!K:K)</f>
        <v>Proposed</v>
      </c>
      <c r="O224">
        <f>_xlfn.XLOOKUP($A224,'EA-Fortescue_SDExport'!$A:$A,'EA-Fortescue_SDExport'!O:O)</f>
        <v>1</v>
      </c>
      <c r="P224">
        <f>_xlfn.XLOOKUP($A224,'EA-Fortescue_SDExport'!$A:$A,'EA-Fortescue_SDExport'!P:P)</f>
        <v>0</v>
      </c>
      <c r="Q224">
        <f>_xlfn.XLOOKUP($A224,'EA-Fortescue_SDExport'!$A:$A,'EA-Fortescue_SDExport'!Q:Q)</f>
        <v>0</v>
      </c>
      <c r="R224">
        <f>_xlfn.XLOOKUP($A224,'EA-Fortescue_SDExport'!$A:$A,'EA-Fortescue_SDExport'!R:R)</f>
        <v>0</v>
      </c>
      <c r="S224">
        <f>_xlfn.XLOOKUP($A224,'EA-Fortescue_SDExport'!$A:$A,'EA-Fortescue_SDExport'!S:S)</f>
        <v>0</v>
      </c>
      <c r="T224">
        <f>_xlfn.XLOOKUP($A224,'EA-Fortescue_SDExport'!$A:$A,'EA-Fortescue_SDExport'!T:T)</f>
        <v>0</v>
      </c>
      <c r="U224">
        <f>_xlfn.XLOOKUP($A224,'EA-Fortescue_SDExport'!$A:$A,'EA-Fortescue_SDExport'!U:U)</f>
        <v>45896.629560185182</v>
      </c>
      <c r="V224">
        <f>_xlfn.XLOOKUP($A224,'EA-Fortescue_SDExport'!$A:$A,'EA-Fortescue_SDExport'!V:V)</f>
        <v>46077.993217592593</v>
      </c>
      <c r="W224">
        <f>_xlfn.XLOOKUP($A224,'EA-Fortescue_SDExport'!$A:$A,'EA-Fortescue_SDExport'!W:W)</f>
        <v>0</v>
      </c>
      <c r="X224">
        <f>_xlfn.XLOOKUP($A224,'EA-Fortescue_SDExport'!$A:$A,'EA-Fortescue_SDExport'!X:X)</f>
        <v>0</v>
      </c>
      <c r="Y224">
        <f>_xlfn.XLOOKUP($A224,'EA-Fortescue_SDExport'!$A:$A,'EA-Fortescue_SDExport'!Y:Y)</f>
        <v>0</v>
      </c>
      <c r="Z224" t="str">
        <f>_xlfn.XLOOKUP($A224,'EA-Fortescue_SDExport'!$A:$A,'EA-Fortescue_SDExport'!Z:Z)</f>
        <v>SysML1.4::InterfaceBlock</v>
      </c>
      <c r="AA224" t="str">
        <f>_xlfn.XLOOKUP($A224,InterfaceRegister!$A:$A,InterfaceRegister!B:B)</f>
        <v>005OP-0000-017-002 Fire SCADA|850DC-1512-0001-001 SW1+AP1 (Switchroom)</v>
      </c>
      <c r="AB224" t="str">
        <f>_xlfn.XLOOKUP($A224,InterfaceRegister!$A:$A,InterfaceRegister!C:C)</f>
        <v/>
      </c>
      <c r="AC224" t="str">
        <f>_xlfn.XLOOKUP($A224,InterfaceRegister!$A:$A,InterfaceRegister!D:D)</f>
        <v/>
      </c>
      <c r="AD224" t="str">
        <f>_xlfn.XLOOKUP($A224,InterfaceRegister!$A:$A,InterfaceRegister!E:E)</f>
        <v>Subsystem - Subsystem Interface</v>
      </c>
      <c r="AE224" t="str">
        <f>_xlfn.XLOOKUP($A224,InterfaceRegister!$A:$A,InterfaceRegister!F:F)</f>
        <v>Technical-Data/Software</v>
      </c>
      <c r="AF224" t="str">
        <f>_xlfn.XLOOKUP($A224,InterfaceRegister!$A:$A,InterfaceRegister!L:L)</f>
        <v>This interface transmits fire alarms, suppression system activations, and emergency isolation commands from Fire SCADA to the SW1+AP1 switchroom systems.</v>
      </c>
      <c r="AG224" t="str">
        <f>_xlfn.XLOOKUP($A224,InterfaceRegister!$A:$A,InterfaceRegister!M:M)</f>
        <v>HIGH</v>
      </c>
      <c r="AH224" t="str">
        <f>_xlfn.XLOOKUP($A224,InterfaceRegister!$A:$A,InterfaceRegister!O:O)</f>
        <v>Data Flow: Fire SCADA -&gt; SW1+AP1 Switchroom Systems, transmitting fire alarms, suppression system activation status, zone isolation signals, smoke/heat detection status, and emergency isolation commands to initiate protective responses within high-voltage switchrooms._x000D_
Control / Interlock Response: SW1+AP1 Switchroom Systems -&gt; Local Electrical Equipment, executing automatic trip signals, breaker isolation, ventilation shutdown, or suppression activation based on validated fire inputs to ensure safe equipment isolation and personnel protection.</v>
      </c>
      <c r="AI224" t="str">
        <f>_xlfn.XLOOKUP($A224,InterfaceRegister!$A:$A,InterfaceRegister!N:N)</f>
        <v>The criticality level is HIGH because switchrooms contain high-voltage equipment and must respond immediately to fire conditions to prevent catastrophic equipment failure and protect personnel. The significance of this is that missing fire signals could prevent switchrooms from isolating circuits or activating emergency protocols, creating serious electrical and life-safety risks.</v>
      </c>
      <c r="AJ224" t="str">
        <f>_xlfn.XLOOKUP($A224,'EA-Fortescue_SDExport'!$A:$A,'EA-Fortescue_SDExport'!AX:AX)</f>
        <v>CSV3FB1D99F</v>
      </c>
      <c r="AK224">
        <f>_xlfn.XLOOKUP($A224,'EA-Fortescue_SDExport'!$A:$A,'EA-Fortescue_SDExport'!AY:AY)</f>
        <v>0</v>
      </c>
    </row>
    <row r="225" spans="1:37" x14ac:dyDescent="0.25">
      <c r="A225" t="str">
        <v>DGS-I_0224</v>
      </c>
      <c r="B225" t="str">
        <f>_xlfn.XLOOKUP($A225,'EA-Fortescue_SDExport'!$A:$A,'EA-Fortescue_SDExport'!B:B)</f>
        <v>Class</v>
      </c>
      <c r="C225" t="str">
        <f>_xlfn.XLOOKUP($A225,'EA-Fortescue_SDExport'!$A:$A,'EA-Fortescue_SDExport'!C:C)</f>
        <v>{96E39083-04A2-427d-8CC4-95FD0F53BAAF}</v>
      </c>
      <c r="D225" t="str">
        <f>_xlfn.LET(_xlpm.result, _xlfn.XLOOKUP($A225, InterfaceRegister!$A:$A, InterfaceRegister!P:P), IF(_xlpm.result=0, "", _xlpm.result))</f>
        <v>NH 20/02/2026: Fields updated: Interface Type, Interface Flow.</v>
      </c>
      <c r="E225">
        <f>_xlfn.XLOOKUP($A225,'EA-Fortescue_SDExport'!$A:$A,'EA-Fortescue_SDExport'!E:E)</f>
        <v>1</v>
      </c>
      <c r="F225">
        <f>_xlfn.XLOOKUP($A225,'EA-Fortescue_SDExport'!$A:$A,'EA-Fortescue_SDExport'!F:F)</f>
        <v>1</v>
      </c>
      <c r="G225">
        <f>_xlfn.XLOOKUP($A225,'EA-Fortescue_SDExport'!$A:$A,'EA-Fortescue_SDExport'!G:G)</f>
        <v>0</v>
      </c>
      <c r="H225" t="str">
        <f>_xlfn.XLOOKUP($A225,'EA-Fortescue_SDExport'!$A:$A,'EA-Fortescue_SDExport'!H:H)</f>
        <v>InterfaceBlock</v>
      </c>
      <c r="I225" t="str">
        <f>_xlfn.XLOOKUP($A225,'EA-Fortescue_SDExport'!$A:$A,'EA-Fortescue_SDExport'!I:I)</f>
        <v>SysML1.4::InterfaceBlock</v>
      </c>
      <c r="J225" t="str">
        <f>_xlfn.XLOOKUP($A225,'EA-Fortescue_SDExport'!$A:$A,'EA-Fortescue_SDExport'!J:J)</f>
        <v>Java</v>
      </c>
      <c r="K225" t="str">
        <f>_xlfn.XLOOKUP($A225,'EA-Fortescue_SDExport'!$A:$A,'EA-Fortescue_SDExport'!K:K)</f>
        <v>Admin</v>
      </c>
      <c r="L225" t="str">
        <f>_xlfn.XLOOKUP($A225,'EA-Fortescue_SDExport'!$A:$A,'EA-Fortescue_SDExport'!L:L)</f>
        <v>Public</v>
      </c>
      <c r="M225">
        <f>_xlfn.XLOOKUP($A225,'EA-Fortescue_SDExport'!$A:$A,'EA-Fortescue_SDExport'!M:M)</f>
        <v>0</v>
      </c>
      <c r="N225" t="str">
        <f>_xlfn.XLOOKUP($A225,InterfaceRegister!$A:$A,InterfaceRegister!K:K)</f>
        <v>Proposed</v>
      </c>
      <c r="O225">
        <f>_xlfn.XLOOKUP($A225,'EA-Fortescue_SDExport'!$A:$A,'EA-Fortescue_SDExport'!O:O)</f>
        <v>1</v>
      </c>
      <c r="P225">
        <f>_xlfn.XLOOKUP($A225,'EA-Fortescue_SDExport'!$A:$A,'EA-Fortescue_SDExport'!P:P)</f>
        <v>0</v>
      </c>
      <c r="Q225">
        <f>_xlfn.XLOOKUP($A225,'EA-Fortescue_SDExport'!$A:$A,'EA-Fortescue_SDExport'!Q:Q)</f>
        <v>0</v>
      </c>
      <c r="R225">
        <f>_xlfn.XLOOKUP($A225,'EA-Fortescue_SDExport'!$A:$A,'EA-Fortescue_SDExport'!R:R)</f>
        <v>0</v>
      </c>
      <c r="S225">
        <f>_xlfn.XLOOKUP($A225,'EA-Fortescue_SDExport'!$A:$A,'EA-Fortescue_SDExport'!S:S)</f>
        <v>0</v>
      </c>
      <c r="T225">
        <f>_xlfn.XLOOKUP($A225,'EA-Fortescue_SDExport'!$A:$A,'EA-Fortescue_SDExport'!T:T)</f>
        <v>0</v>
      </c>
      <c r="U225">
        <f>_xlfn.XLOOKUP($A225,'EA-Fortescue_SDExport'!$A:$A,'EA-Fortescue_SDExport'!U:U)</f>
        <v>45911.757881944446</v>
      </c>
      <c r="V225">
        <f>_xlfn.XLOOKUP($A225,'EA-Fortescue_SDExport'!$A:$A,'EA-Fortescue_SDExport'!V:V)</f>
        <v>46077.99322916667</v>
      </c>
      <c r="W225">
        <f>_xlfn.XLOOKUP($A225,'EA-Fortescue_SDExport'!$A:$A,'EA-Fortescue_SDExport'!W:W)</f>
        <v>0</v>
      </c>
      <c r="X225">
        <f>_xlfn.XLOOKUP($A225,'EA-Fortescue_SDExport'!$A:$A,'EA-Fortescue_SDExport'!X:X)</f>
        <v>0</v>
      </c>
      <c r="Y225">
        <f>_xlfn.XLOOKUP($A225,'EA-Fortescue_SDExport'!$A:$A,'EA-Fortescue_SDExport'!Y:Y)</f>
        <v>0</v>
      </c>
      <c r="Z225" t="str">
        <f>_xlfn.XLOOKUP($A225,'EA-Fortescue_SDExport'!$A:$A,'EA-Fortescue_SDExport'!Z:Z)</f>
        <v>SysML1.4::InterfaceBlock</v>
      </c>
      <c r="AA225" t="str">
        <f>_xlfn.XLOOKUP($A225,InterfaceRegister!$A:$A,InterfaceRegister!B:B)</f>
        <v>851DC-1592 Haulage|859DC-1410-001-002 HaulX Control (Autonomous Haulage System)</v>
      </c>
      <c r="AB225" t="str">
        <f>_xlfn.XLOOKUP($A225,InterfaceRegister!$A:$A,InterfaceRegister!C:C)</f>
        <v/>
      </c>
      <c r="AC225" t="str">
        <f>_xlfn.XLOOKUP($A225,InterfaceRegister!$A:$A,InterfaceRegister!D:D)</f>
        <v/>
      </c>
      <c r="AD225" t="str">
        <f>_xlfn.XLOOKUP($A225,InterfaceRegister!$A:$A,InterfaceRegister!E:E)</f>
        <v>System - Subsystem Interface</v>
      </c>
      <c r="AE225" t="str">
        <f>_xlfn.XLOOKUP($A225,InterfaceRegister!$A:$A,InterfaceRegister!F:F)</f>
        <v>Technical-Data/Software</v>
      </c>
      <c r="AF225" t="str">
        <f>_xlfn.XLOOKUP($A225,InterfaceRegister!$A:$A,InterfaceRegister!L:L)</f>
        <v>This interface connects the Haulage system with HaulX Control to issue high-level haulage instructions while receiving autonomous truck status, safety events, and mission progress updates.</v>
      </c>
      <c r="AG225" t="str">
        <f>_xlfn.XLOOKUP($A225,InterfaceRegister!$A:$A,InterfaceRegister!M:M)</f>
        <v>HIGH</v>
      </c>
      <c r="AH225" t="str">
        <f>_xlfn.XLOOKUP($A225,InterfaceRegister!$A:$A,InterfaceRegister!O:O)</f>
        <v>Data Flow:_x000D_
Haulage System (851DC-1592) -&gt; HaulX Control (859DC-1410-001), transmitting high-level haulage instructions, task allocations, route plans, priority rules, and operational constraints for autonomous truck execution._x000D_
HaulX Control -&gt; Haulage System, providing truck status, mission progress, health and diagnostic data, safety events, exception handling notifications, and task completion confirmations._x000D_
Control Flow:_x000D_
HaulX Control issues low-level motion commands and execution logic to Heavy Mobile Equipment (HME), while receiving supervisory dispatch instructions from the Haulage system to maintain alignment with production objectives.</v>
      </c>
      <c r="AI225" t="str">
        <f>_xlfn.XLOOKUP($A225,InterfaceRegister!$A:$A,InterfaceRegister!N:N)</f>
        <v>The criticality level is HIGH because if the interface fails, autonomous trucks may lose direction or enter safe-halt states, disrupting haulage activities and potentially blocking main routes. HaulX Control depends on this interface to perform safe autonomous movements aligned with haulage requirements, and a failure could have immediate operational impacts.</v>
      </c>
      <c r="AJ225" t="str">
        <f>_xlfn.XLOOKUP($A225,'EA-Fortescue_SDExport'!$A:$A,'EA-Fortescue_SDExport'!AX:AX)</f>
        <v>CSVD078C065</v>
      </c>
      <c r="AK225">
        <f>_xlfn.XLOOKUP($A225,'EA-Fortescue_SDExport'!$A:$A,'EA-Fortescue_SDExport'!AY:AY)</f>
        <v>0</v>
      </c>
    </row>
    <row r="226" spans="1:37" x14ac:dyDescent="0.25">
      <c r="A226" t="str">
        <v>DGS-I_0225</v>
      </c>
      <c r="B226" t="str">
        <f>_xlfn.XLOOKUP($A226,'EA-Fortescue_SDExport'!$A:$A,'EA-Fortescue_SDExport'!B:B)</f>
        <v>Class</v>
      </c>
      <c r="C226" t="str">
        <f>_xlfn.XLOOKUP($A226,'EA-Fortescue_SDExport'!$A:$A,'EA-Fortescue_SDExport'!C:C)</f>
        <v>{E6E285E6-F353-41d0-8B0E-F173BEC409BD}</v>
      </c>
      <c r="D226" t="str">
        <f>_xlfn.LET(_xlpm.result, _xlfn.XLOOKUP($A226, InterfaceRegister!$A:$A, InterfaceRegister!P:P), IF(_xlpm.result=0, "", _xlpm.result))</f>
        <v/>
      </c>
      <c r="E226">
        <f>_xlfn.XLOOKUP($A226,'EA-Fortescue_SDExport'!$A:$A,'EA-Fortescue_SDExport'!E:E)</f>
        <v>1</v>
      </c>
      <c r="F226">
        <f>_xlfn.XLOOKUP($A226,'EA-Fortescue_SDExport'!$A:$A,'EA-Fortescue_SDExport'!F:F)</f>
        <v>1</v>
      </c>
      <c r="G226">
        <f>_xlfn.XLOOKUP($A226,'EA-Fortescue_SDExport'!$A:$A,'EA-Fortescue_SDExport'!G:G)</f>
        <v>0</v>
      </c>
      <c r="H226" t="str">
        <f>_xlfn.XLOOKUP($A226,'EA-Fortescue_SDExport'!$A:$A,'EA-Fortescue_SDExport'!H:H)</f>
        <v>InterfaceBlock</v>
      </c>
      <c r="I226" t="str">
        <f>_xlfn.XLOOKUP($A226,'EA-Fortescue_SDExport'!$A:$A,'EA-Fortescue_SDExport'!I:I)</f>
        <v>SysML1.4::InterfaceBlock</v>
      </c>
      <c r="J226" t="str">
        <f>_xlfn.XLOOKUP($A226,'EA-Fortescue_SDExport'!$A:$A,'EA-Fortescue_SDExport'!J:J)</f>
        <v>Java</v>
      </c>
      <c r="K226" t="str">
        <f>_xlfn.XLOOKUP($A226,'EA-Fortescue_SDExport'!$A:$A,'EA-Fortescue_SDExport'!K:K)</f>
        <v>Admin</v>
      </c>
      <c r="L226" t="str">
        <f>_xlfn.XLOOKUP($A226,'EA-Fortescue_SDExport'!$A:$A,'EA-Fortescue_SDExport'!L:L)</f>
        <v>Public</v>
      </c>
      <c r="M226">
        <f>_xlfn.XLOOKUP($A226,'EA-Fortescue_SDExport'!$A:$A,'EA-Fortescue_SDExport'!M:M)</f>
        <v>0</v>
      </c>
      <c r="N226" t="str">
        <f>_xlfn.XLOOKUP($A226,InterfaceRegister!$A:$A,InterfaceRegister!K:K)</f>
        <v>Proposed</v>
      </c>
      <c r="O226">
        <f>_xlfn.XLOOKUP($A226,'EA-Fortescue_SDExport'!$A:$A,'EA-Fortescue_SDExport'!O:O)</f>
        <v>1</v>
      </c>
      <c r="P226">
        <f>_xlfn.XLOOKUP($A226,'EA-Fortescue_SDExport'!$A:$A,'EA-Fortescue_SDExport'!P:P)</f>
        <v>0</v>
      </c>
      <c r="Q226">
        <f>_xlfn.XLOOKUP($A226,'EA-Fortescue_SDExport'!$A:$A,'EA-Fortescue_SDExport'!Q:Q)</f>
        <v>0</v>
      </c>
      <c r="R226">
        <f>_xlfn.XLOOKUP($A226,'EA-Fortescue_SDExport'!$A:$A,'EA-Fortescue_SDExport'!R:R)</f>
        <v>0</v>
      </c>
      <c r="S226">
        <f>_xlfn.XLOOKUP($A226,'EA-Fortescue_SDExport'!$A:$A,'EA-Fortescue_SDExport'!S:S)</f>
        <v>0</v>
      </c>
      <c r="T226">
        <f>_xlfn.XLOOKUP($A226,'EA-Fortescue_SDExport'!$A:$A,'EA-Fortescue_SDExport'!T:T)</f>
        <v>0</v>
      </c>
      <c r="U226">
        <f>_xlfn.XLOOKUP($A226,'EA-Fortescue_SDExport'!$A:$A,'EA-Fortescue_SDExport'!U:U)</f>
        <v>45972.623425925929</v>
      </c>
      <c r="V226">
        <f>_xlfn.XLOOKUP($A226,'EA-Fortescue_SDExport'!$A:$A,'EA-Fortescue_SDExport'!V:V)</f>
        <v>46002.004942129628</v>
      </c>
      <c r="W226">
        <f>_xlfn.XLOOKUP($A226,'EA-Fortescue_SDExport'!$A:$A,'EA-Fortescue_SDExport'!W:W)</f>
        <v>0</v>
      </c>
      <c r="X226">
        <f>_xlfn.XLOOKUP($A226,'EA-Fortescue_SDExport'!$A:$A,'EA-Fortescue_SDExport'!X:X)</f>
        <v>0</v>
      </c>
      <c r="Y226">
        <f>_xlfn.XLOOKUP($A226,'EA-Fortescue_SDExport'!$A:$A,'EA-Fortescue_SDExport'!Y:Y)</f>
        <v>0</v>
      </c>
      <c r="Z226" t="str">
        <f>_xlfn.XLOOKUP($A226,'EA-Fortescue_SDExport'!$A:$A,'EA-Fortescue_SDExport'!Z:Z)</f>
        <v>SysML1.4::InterfaceBlock</v>
      </c>
      <c r="AA226" t="str">
        <f>_xlfn.XLOOKUP($A226,InterfaceRegister!$A:$A,InterfaceRegister!B:B)</f>
        <v>850DC-1520 Trailing Cable|851DC-1591 Excavator (&gt;110t)</v>
      </c>
      <c r="AB226" t="str">
        <f>_xlfn.XLOOKUP($A226,InterfaceRegister!$A:$A,InterfaceRegister!C:C)</f>
        <v/>
      </c>
      <c r="AC226" t="str">
        <f>_xlfn.XLOOKUP($A226,InterfaceRegister!$A:$A,InterfaceRegister!D:D)</f>
        <v/>
      </c>
      <c r="AD226" t="str">
        <f>_xlfn.XLOOKUP($A226,InterfaceRegister!$A:$A,InterfaceRegister!E:E)</f>
        <v>System - System Interface</v>
      </c>
      <c r="AE226" t="str">
        <f>_xlfn.XLOOKUP($A226,InterfaceRegister!$A:$A,InterfaceRegister!F:F)</f>
        <v/>
      </c>
      <c r="AF226" t="str">
        <f>_xlfn.XLOOKUP($A226,InterfaceRegister!$A:$A,InterfaceRegister!L:L)</f>
        <v/>
      </c>
      <c r="AG226" t="str">
        <f>_xlfn.XLOOKUP($A226,InterfaceRegister!$A:$A,InterfaceRegister!M:M)</f>
        <v/>
      </c>
      <c r="AH226" t="str">
        <f>_xlfn.XLOOKUP($A226,InterfaceRegister!$A:$A,InterfaceRegister!O:O)</f>
        <v/>
      </c>
      <c r="AI226" t="str">
        <f>_xlfn.XLOOKUP($A226,InterfaceRegister!$A:$A,InterfaceRegister!N:N)</f>
        <v/>
      </c>
      <c r="AJ226" t="str">
        <f>_xlfn.XLOOKUP($A226,'EA-Fortescue_SDExport'!$A:$A,'EA-Fortescue_SDExport'!AX:AX)</f>
        <v>CSV7F57C3E9</v>
      </c>
      <c r="AK226">
        <f>_xlfn.XLOOKUP($A226,'EA-Fortescue_SDExport'!$A:$A,'EA-Fortescue_SDExport'!AY:AY)</f>
        <v>0</v>
      </c>
    </row>
    <row r="227" spans="1:37" x14ac:dyDescent="0.25">
      <c r="A227" t="str">
        <v>DGS-I_0226</v>
      </c>
      <c r="B227" t="str">
        <f>_xlfn.XLOOKUP($A227,'EA-Fortescue_SDExport'!$A:$A,'EA-Fortescue_SDExport'!B:B)</f>
        <v>Class</v>
      </c>
      <c r="C227" t="str">
        <f>_xlfn.XLOOKUP($A227,'EA-Fortescue_SDExport'!$A:$A,'EA-Fortescue_SDExport'!C:C)</f>
        <v>{C9CA91EC-E401-4182-B462-236C3B8194CD}</v>
      </c>
      <c r="D227" t="str">
        <f>_xlfn.LET(_xlpm.result, _xlfn.XLOOKUP($A227, InterfaceRegister!$A:$A, InterfaceRegister!P:P), IF(_xlpm.result=0, "", _xlpm.result))</f>
        <v/>
      </c>
      <c r="E227">
        <f>_xlfn.XLOOKUP($A227,'EA-Fortescue_SDExport'!$A:$A,'EA-Fortescue_SDExport'!E:E)</f>
        <v>1</v>
      </c>
      <c r="F227">
        <f>_xlfn.XLOOKUP($A227,'EA-Fortescue_SDExport'!$A:$A,'EA-Fortescue_SDExport'!F:F)</f>
        <v>1</v>
      </c>
      <c r="G227">
        <f>_xlfn.XLOOKUP($A227,'EA-Fortescue_SDExport'!$A:$A,'EA-Fortescue_SDExport'!G:G)</f>
        <v>0</v>
      </c>
      <c r="H227" t="str">
        <f>_xlfn.XLOOKUP($A227,'EA-Fortescue_SDExport'!$A:$A,'EA-Fortescue_SDExport'!H:H)</f>
        <v>InterfaceBlock</v>
      </c>
      <c r="I227" t="str">
        <f>_xlfn.XLOOKUP($A227,'EA-Fortescue_SDExport'!$A:$A,'EA-Fortescue_SDExport'!I:I)</f>
        <v>SysML1.4::InterfaceBlock</v>
      </c>
      <c r="J227" t="str">
        <f>_xlfn.XLOOKUP($A227,'EA-Fortescue_SDExport'!$A:$A,'EA-Fortescue_SDExport'!J:J)</f>
        <v>Java</v>
      </c>
      <c r="K227" t="str">
        <f>_xlfn.XLOOKUP($A227,'EA-Fortescue_SDExport'!$A:$A,'EA-Fortescue_SDExport'!K:K)</f>
        <v>Admin</v>
      </c>
      <c r="L227" t="str">
        <f>_xlfn.XLOOKUP($A227,'EA-Fortescue_SDExport'!$A:$A,'EA-Fortescue_SDExport'!L:L)</f>
        <v>Public</v>
      </c>
      <c r="M227">
        <f>_xlfn.XLOOKUP($A227,'EA-Fortescue_SDExport'!$A:$A,'EA-Fortescue_SDExport'!M:M)</f>
        <v>0</v>
      </c>
      <c r="N227" t="str">
        <f>_xlfn.XLOOKUP($A227,InterfaceRegister!$A:$A,InterfaceRegister!K:K)</f>
        <v>Proposed</v>
      </c>
      <c r="O227">
        <f>_xlfn.XLOOKUP($A227,'EA-Fortescue_SDExport'!$A:$A,'EA-Fortescue_SDExport'!O:O)</f>
        <v>1</v>
      </c>
      <c r="P227">
        <f>_xlfn.XLOOKUP($A227,'EA-Fortescue_SDExport'!$A:$A,'EA-Fortescue_SDExport'!P:P)</f>
        <v>0</v>
      </c>
      <c r="Q227">
        <f>_xlfn.XLOOKUP($A227,'EA-Fortescue_SDExport'!$A:$A,'EA-Fortescue_SDExport'!Q:Q)</f>
        <v>0</v>
      </c>
      <c r="R227">
        <f>_xlfn.XLOOKUP($A227,'EA-Fortescue_SDExport'!$A:$A,'EA-Fortescue_SDExport'!R:R)</f>
        <v>0</v>
      </c>
      <c r="S227">
        <f>_xlfn.XLOOKUP($A227,'EA-Fortescue_SDExport'!$A:$A,'EA-Fortescue_SDExport'!S:S)</f>
        <v>0</v>
      </c>
      <c r="T227">
        <f>_xlfn.XLOOKUP($A227,'EA-Fortescue_SDExport'!$A:$A,'EA-Fortescue_SDExport'!T:T)</f>
        <v>0</v>
      </c>
      <c r="U227">
        <f>_xlfn.XLOOKUP($A227,'EA-Fortescue_SDExport'!$A:$A,'EA-Fortescue_SDExport'!U:U)</f>
        <v>45926.658275462964</v>
      </c>
      <c r="V227">
        <f>_xlfn.XLOOKUP($A227,'EA-Fortescue_SDExport'!$A:$A,'EA-Fortescue_SDExport'!V:V)</f>
        <v>46002.004988425928</v>
      </c>
      <c r="W227">
        <f>_xlfn.XLOOKUP($A227,'EA-Fortescue_SDExport'!$A:$A,'EA-Fortescue_SDExport'!W:W)</f>
        <v>0</v>
      </c>
      <c r="X227">
        <f>_xlfn.XLOOKUP($A227,'EA-Fortescue_SDExport'!$A:$A,'EA-Fortescue_SDExport'!X:X)</f>
        <v>0</v>
      </c>
      <c r="Y227">
        <f>_xlfn.XLOOKUP($A227,'EA-Fortescue_SDExport'!$A:$A,'EA-Fortescue_SDExport'!Y:Y)</f>
        <v>0</v>
      </c>
      <c r="Z227" t="str">
        <f>_xlfn.XLOOKUP($A227,'EA-Fortescue_SDExport'!$A:$A,'EA-Fortescue_SDExport'!Z:Z)</f>
        <v>SysML1.4::InterfaceBlock</v>
      </c>
      <c r="AA227" t="str">
        <f>_xlfn.XLOOKUP($A227,InterfaceRegister!$A:$A,InterfaceRegister!B:B)</f>
        <v>Solomon Mine Hub: Thermal Generators|855DC-1543-008 Monarch</v>
      </c>
      <c r="AB227" t="str">
        <f>_xlfn.XLOOKUP($A227,InterfaceRegister!$A:$A,InterfaceRegister!C:C)</f>
        <v/>
      </c>
      <c r="AC227" t="str">
        <f>_xlfn.XLOOKUP($A227,InterfaceRegister!$A:$A,InterfaceRegister!D:D)</f>
        <v/>
      </c>
      <c r="AD227" t="str">
        <f>_xlfn.XLOOKUP($A227,InterfaceRegister!$A:$A,InterfaceRegister!E:E)</f>
        <v>System - Project Interface</v>
      </c>
      <c r="AE227" t="str">
        <f>_xlfn.XLOOKUP($A227,InterfaceRegister!$A:$A,InterfaceRegister!F:F)</f>
        <v/>
      </c>
      <c r="AF227" t="str">
        <f>_xlfn.XLOOKUP($A227,InterfaceRegister!$A:$A,InterfaceRegister!L:L)</f>
        <v/>
      </c>
      <c r="AG227" t="str">
        <f>_xlfn.XLOOKUP($A227,InterfaceRegister!$A:$A,InterfaceRegister!M:M)</f>
        <v/>
      </c>
      <c r="AH227" t="str">
        <f>_xlfn.XLOOKUP($A227,InterfaceRegister!$A:$A,InterfaceRegister!O:O)</f>
        <v/>
      </c>
      <c r="AI227" t="str">
        <f>_xlfn.XLOOKUP($A227,InterfaceRegister!$A:$A,InterfaceRegister!N:N)</f>
        <v/>
      </c>
      <c r="AJ227" t="str">
        <f>_xlfn.XLOOKUP($A227,'EA-Fortescue_SDExport'!$A:$A,'EA-Fortescue_SDExport'!AX:AX)</f>
        <v>CSVEB12E0ED</v>
      </c>
      <c r="AK227">
        <f>_xlfn.XLOOKUP($A227,'EA-Fortescue_SDExport'!$A:$A,'EA-Fortescue_SDExport'!AY:AY)</f>
        <v>0</v>
      </c>
    </row>
    <row r="228" spans="1:37" x14ac:dyDescent="0.25">
      <c r="A228" t="str">
        <v>DGS-I_0227</v>
      </c>
      <c r="B228" t="str">
        <f>_xlfn.XLOOKUP($A228,'EA-Fortescue_SDExport'!$A:$A,'EA-Fortescue_SDExport'!B:B)</f>
        <v>Class</v>
      </c>
      <c r="C228" t="str">
        <f>_xlfn.XLOOKUP($A228,'EA-Fortescue_SDExport'!$A:$A,'EA-Fortescue_SDExport'!C:C)</f>
        <v>{4684D029-CB01-42a9-8AD1-23CDFA78DF97}</v>
      </c>
      <c r="D228" t="str">
        <f>_xlfn.LET(_xlpm.result, _xlfn.XLOOKUP($A228, InterfaceRegister!$A:$A, InterfaceRegister!P:P), IF(_xlpm.result=0, "", _xlpm.result))</f>
        <v>NH 20/02/2026: Fields updated: Interface Type, Interface Flow.</v>
      </c>
      <c r="E228">
        <f>_xlfn.XLOOKUP($A228,'EA-Fortescue_SDExport'!$A:$A,'EA-Fortescue_SDExport'!E:E)</f>
        <v>1</v>
      </c>
      <c r="F228">
        <f>_xlfn.XLOOKUP($A228,'EA-Fortescue_SDExport'!$A:$A,'EA-Fortescue_SDExport'!F:F)</f>
        <v>1</v>
      </c>
      <c r="G228">
        <f>_xlfn.XLOOKUP($A228,'EA-Fortescue_SDExport'!$A:$A,'EA-Fortescue_SDExport'!G:G)</f>
        <v>0</v>
      </c>
      <c r="H228" t="str">
        <f>_xlfn.XLOOKUP($A228,'EA-Fortescue_SDExport'!$A:$A,'EA-Fortescue_SDExport'!H:H)</f>
        <v>InterfaceBlock</v>
      </c>
      <c r="I228" t="str">
        <f>_xlfn.XLOOKUP($A228,'EA-Fortescue_SDExport'!$A:$A,'EA-Fortescue_SDExport'!I:I)</f>
        <v>SysML1.4::InterfaceBlock</v>
      </c>
      <c r="J228" t="str">
        <f>_xlfn.XLOOKUP($A228,'EA-Fortescue_SDExport'!$A:$A,'EA-Fortescue_SDExport'!J:J)</f>
        <v>Java</v>
      </c>
      <c r="K228" t="str">
        <f>_xlfn.XLOOKUP($A228,'EA-Fortescue_SDExport'!$A:$A,'EA-Fortescue_SDExport'!K:K)</f>
        <v>Admin</v>
      </c>
      <c r="L228" t="str">
        <f>_xlfn.XLOOKUP($A228,'EA-Fortescue_SDExport'!$A:$A,'EA-Fortescue_SDExport'!L:L)</f>
        <v>Public</v>
      </c>
      <c r="M228">
        <f>_xlfn.XLOOKUP($A228,'EA-Fortescue_SDExport'!$A:$A,'EA-Fortescue_SDExport'!M:M)</f>
        <v>0</v>
      </c>
      <c r="N228" t="str">
        <f>_xlfn.XLOOKUP($A228,InterfaceRegister!$A:$A,InterfaceRegister!K:K)</f>
        <v>Proposed</v>
      </c>
      <c r="O228">
        <f>_xlfn.XLOOKUP($A228,'EA-Fortescue_SDExport'!$A:$A,'EA-Fortescue_SDExport'!O:O)</f>
        <v>1</v>
      </c>
      <c r="P228">
        <f>_xlfn.XLOOKUP($A228,'EA-Fortescue_SDExport'!$A:$A,'EA-Fortescue_SDExport'!P:P)</f>
        <v>0</v>
      </c>
      <c r="Q228">
        <f>_xlfn.XLOOKUP($A228,'EA-Fortescue_SDExport'!$A:$A,'EA-Fortescue_SDExport'!Q:Q)</f>
        <v>0</v>
      </c>
      <c r="R228">
        <f>_xlfn.XLOOKUP($A228,'EA-Fortescue_SDExport'!$A:$A,'EA-Fortescue_SDExport'!R:R)</f>
        <v>0</v>
      </c>
      <c r="S228">
        <f>_xlfn.XLOOKUP($A228,'EA-Fortescue_SDExport'!$A:$A,'EA-Fortescue_SDExport'!S:S)</f>
        <v>0</v>
      </c>
      <c r="T228">
        <f>_xlfn.XLOOKUP($A228,'EA-Fortescue_SDExport'!$A:$A,'EA-Fortescue_SDExport'!T:T)</f>
        <v>0</v>
      </c>
      <c r="U228">
        <f>_xlfn.XLOOKUP($A228,'EA-Fortescue_SDExport'!$A:$A,'EA-Fortescue_SDExport'!U:U)</f>
        <v>45926.658275462964</v>
      </c>
      <c r="V228">
        <f>_xlfn.XLOOKUP($A228,'EA-Fortescue_SDExport'!$A:$A,'EA-Fortescue_SDExport'!V:V)</f>
        <v>46077.993217592593</v>
      </c>
      <c r="W228">
        <f>_xlfn.XLOOKUP($A228,'EA-Fortescue_SDExport'!$A:$A,'EA-Fortescue_SDExport'!W:W)</f>
        <v>0</v>
      </c>
      <c r="X228">
        <f>_xlfn.XLOOKUP($A228,'EA-Fortescue_SDExport'!$A:$A,'EA-Fortescue_SDExport'!X:X)</f>
        <v>0</v>
      </c>
      <c r="Y228">
        <f>_xlfn.XLOOKUP($A228,'EA-Fortescue_SDExport'!$A:$A,'EA-Fortescue_SDExport'!Y:Y)</f>
        <v>0</v>
      </c>
      <c r="Z228" t="str">
        <f>_xlfn.XLOOKUP($A228,'EA-Fortescue_SDExport'!$A:$A,'EA-Fortescue_SDExport'!Z:Z)</f>
        <v>SysML1.4::InterfaceBlock</v>
      </c>
      <c r="AA228" t="str">
        <f>_xlfn.XLOOKUP($A228,InterfaceRegister!$A:$A,InterfaceRegister!B:B)</f>
        <v>Solomon Mine Hub: Substation (33kV)|Solomon Mine Hub: Thermal Generators</v>
      </c>
      <c r="AB228" t="str">
        <f>_xlfn.XLOOKUP($A228,InterfaceRegister!$A:$A,InterfaceRegister!C:C)</f>
        <v/>
      </c>
      <c r="AC228" t="str">
        <f>_xlfn.XLOOKUP($A228,InterfaceRegister!$A:$A,InterfaceRegister!D:D)</f>
        <v/>
      </c>
      <c r="AD228" t="str">
        <f>_xlfn.XLOOKUP($A228,InterfaceRegister!$A:$A,InterfaceRegister!E:E)</f>
        <v>System - Project Interface</v>
      </c>
      <c r="AE228" t="str">
        <f>_xlfn.XLOOKUP($A228,InterfaceRegister!$A:$A,InterfaceRegister!F:F)</f>
        <v>Technical-Data/Software</v>
      </c>
      <c r="AF228" t="str">
        <f>_xlfn.XLOOKUP($A228,InterfaceRegister!$A:$A,InterfaceRegister!L:L)</f>
        <v>This interface enables FAST to receive planning, haulage, and production inputs from the broader Alastri suite so simulations reflect current mine plans and haulage requirements.</v>
      </c>
      <c r="AG228" t="str">
        <f>_xlfn.XLOOKUP($A228,InterfaceRegister!$A:$A,InterfaceRegister!M:M)</f>
        <v>MEDIUM</v>
      </c>
      <c r="AH228" t="str">
        <f>_xlfn.XLOOKUP($A228,InterfaceRegister!$A:$A,InterfaceRegister!O:O)</f>
        <v>Data Flow: Alastri Suite -&gt; FAST (planning inputs, haulage schedules, production targets, fleet parameters, scenario assumptions, forecast volumes) to enable simulation and optimisation aligned with current mine plans.</v>
      </c>
      <c r="AI228" t="str">
        <f>_xlfn.XLOOKUP($A228,InterfaceRegister!$A:$A,InterfaceRegister!N:N)</f>
        <v>The criticality level is MEDIUM because this data is essential for simulation accuracy; without it, scenario testing and planning optimisation become less dependable. Losing this interface affects the quality of planning and forecast analysis, but does not impact real-time haulage or production systems.</v>
      </c>
      <c r="AJ228" t="str">
        <f>_xlfn.XLOOKUP($A228,'EA-Fortescue_SDExport'!$A:$A,'EA-Fortescue_SDExport'!AX:AX)</f>
        <v>CSV6980E8D4</v>
      </c>
      <c r="AK228">
        <f>_xlfn.XLOOKUP($A228,'EA-Fortescue_SDExport'!$A:$A,'EA-Fortescue_SDExport'!AY:AY)</f>
        <v>0</v>
      </c>
    </row>
    <row r="229" spans="1:37" x14ac:dyDescent="0.25">
      <c r="A229" t="str">
        <v>DGS-I_0228</v>
      </c>
      <c r="B229" t="str">
        <f>_xlfn.XLOOKUP($A229,'EA-Fortescue_SDExport'!$A:$A,'EA-Fortescue_SDExport'!B:B)</f>
        <v>Class</v>
      </c>
      <c r="C229" t="str">
        <f>_xlfn.XLOOKUP($A229,'EA-Fortescue_SDExport'!$A:$A,'EA-Fortescue_SDExport'!C:C)</f>
        <v>{BC82D897-7B68-4e3f-851C-1089664C9B01}</v>
      </c>
      <c r="D229" t="str">
        <f>_xlfn.LET(_xlpm.result, _xlfn.XLOOKUP($A229, InterfaceRegister!$A:$A, InterfaceRegister!P:P), IF(_xlpm.result=0, "", _xlpm.result))</f>
        <v/>
      </c>
      <c r="E229">
        <f>_xlfn.XLOOKUP($A229,'EA-Fortescue_SDExport'!$A:$A,'EA-Fortescue_SDExport'!E:E)</f>
        <v>1</v>
      </c>
      <c r="F229">
        <f>_xlfn.XLOOKUP($A229,'EA-Fortescue_SDExport'!$A:$A,'EA-Fortescue_SDExport'!F:F)</f>
        <v>1</v>
      </c>
      <c r="G229">
        <f>_xlfn.XLOOKUP($A229,'EA-Fortescue_SDExport'!$A:$A,'EA-Fortescue_SDExport'!G:G)</f>
        <v>0</v>
      </c>
      <c r="H229" t="str">
        <f>_xlfn.XLOOKUP($A229,'EA-Fortescue_SDExport'!$A:$A,'EA-Fortescue_SDExport'!H:H)</f>
        <v>InterfaceBlock</v>
      </c>
      <c r="I229" t="str">
        <f>_xlfn.XLOOKUP($A229,'EA-Fortescue_SDExport'!$A:$A,'EA-Fortescue_SDExport'!I:I)</f>
        <v>SysML1.4::InterfaceBlock</v>
      </c>
      <c r="J229" t="str">
        <f>_xlfn.XLOOKUP($A229,'EA-Fortescue_SDExport'!$A:$A,'EA-Fortescue_SDExport'!J:J)</f>
        <v>Java</v>
      </c>
      <c r="K229" t="str">
        <f>_xlfn.XLOOKUP($A229,'EA-Fortescue_SDExport'!$A:$A,'EA-Fortescue_SDExport'!K:K)</f>
        <v>Admin</v>
      </c>
      <c r="L229" t="str">
        <f>_xlfn.XLOOKUP($A229,'EA-Fortescue_SDExport'!$A:$A,'EA-Fortescue_SDExport'!L:L)</f>
        <v>Public</v>
      </c>
      <c r="M229">
        <f>_xlfn.XLOOKUP($A229,'EA-Fortescue_SDExport'!$A:$A,'EA-Fortescue_SDExport'!M:M)</f>
        <v>0</v>
      </c>
      <c r="N229" t="str">
        <f>_xlfn.XLOOKUP($A229,InterfaceRegister!$A:$A,InterfaceRegister!K:K)</f>
        <v>Proposed</v>
      </c>
      <c r="O229">
        <f>_xlfn.XLOOKUP($A229,'EA-Fortescue_SDExport'!$A:$A,'EA-Fortescue_SDExport'!O:O)</f>
        <v>1</v>
      </c>
      <c r="P229">
        <f>_xlfn.XLOOKUP($A229,'EA-Fortescue_SDExport'!$A:$A,'EA-Fortescue_SDExport'!P:P)</f>
        <v>0</v>
      </c>
      <c r="Q229">
        <f>_xlfn.XLOOKUP($A229,'EA-Fortescue_SDExport'!$A:$A,'EA-Fortescue_SDExport'!Q:Q)</f>
        <v>0</v>
      </c>
      <c r="R229">
        <f>_xlfn.XLOOKUP($A229,'EA-Fortescue_SDExport'!$A:$A,'EA-Fortescue_SDExport'!R:R)</f>
        <v>0</v>
      </c>
      <c r="S229">
        <f>_xlfn.XLOOKUP($A229,'EA-Fortescue_SDExport'!$A:$A,'EA-Fortescue_SDExport'!S:S)</f>
        <v>0</v>
      </c>
      <c r="T229">
        <f>_xlfn.XLOOKUP($A229,'EA-Fortescue_SDExport'!$A:$A,'EA-Fortescue_SDExport'!T:T)</f>
        <v>0</v>
      </c>
      <c r="U229">
        <f>_xlfn.XLOOKUP($A229,'EA-Fortescue_SDExport'!$A:$A,'EA-Fortescue_SDExport'!U:U)</f>
        <v>45972.699178240742</v>
      </c>
      <c r="V229">
        <f>_xlfn.XLOOKUP($A229,'EA-Fortescue_SDExport'!$A:$A,'EA-Fortescue_SDExport'!V:V)</f>
        <v>46002.004953703705</v>
      </c>
      <c r="W229">
        <f>_xlfn.XLOOKUP($A229,'EA-Fortescue_SDExport'!$A:$A,'EA-Fortescue_SDExport'!W:W)</f>
        <v>0</v>
      </c>
      <c r="X229">
        <f>_xlfn.XLOOKUP($A229,'EA-Fortescue_SDExport'!$A:$A,'EA-Fortescue_SDExport'!X:X)</f>
        <v>0</v>
      </c>
      <c r="Y229">
        <f>_xlfn.XLOOKUP($A229,'EA-Fortescue_SDExport'!$A:$A,'EA-Fortescue_SDExport'!Y:Y)</f>
        <v>0</v>
      </c>
      <c r="Z229" t="str">
        <f>_xlfn.XLOOKUP($A229,'EA-Fortescue_SDExport'!$A:$A,'EA-Fortescue_SDExport'!Z:Z)</f>
        <v>SysML1.4::InterfaceBlock</v>
      </c>
      <c r="AA229" t="str">
        <f>_xlfn.XLOOKUP($A229,InterfaceRegister!$A:$A,InterfaceRegister!B:B)</f>
        <v>Solomon Mine Hub: Substation (11kV)|855DC-1543-008 Monarch</v>
      </c>
      <c r="AB229" t="str">
        <f>_xlfn.XLOOKUP($A229,InterfaceRegister!$A:$A,InterfaceRegister!C:C)</f>
        <v/>
      </c>
      <c r="AC229" t="str">
        <f>_xlfn.XLOOKUP($A229,InterfaceRegister!$A:$A,InterfaceRegister!D:D)</f>
        <v/>
      </c>
      <c r="AD229" t="str">
        <f>_xlfn.XLOOKUP($A229,InterfaceRegister!$A:$A,InterfaceRegister!E:E)</f>
        <v>Project - Project Interface</v>
      </c>
      <c r="AE229" t="str">
        <f>_xlfn.XLOOKUP($A229,InterfaceRegister!$A:$A,InterfaceRegister!F:F)</f>
        <v/>
      </c>
      <c r="AF229" t="str">
        <f>_xlfn.XLOOKUP($A229,InterfaceRegister!$A:$A,InterfaceRegister!L:L)</f>
        <v/>
      </c>
      <c r="AG229" t="str">
        <f>_xlfn.XLOOKUP($A229,InterfaceRegister!$A:$A,InterfaceRegister!M:M)</f>
        <v/>
      </c>
      <c r="AH229" t="str">
        <f>_xlfn.XLOOKUP($A229,InterfaceRegister!$A:$A,InterfaceRegister!O:O)</f>
        <v/>
      </c>
      <c r="AI229" t="str">
        <f>_xlfn.XLOOKUP($A229,InterfaceRegister!$A:$A,InterfaceRegister!N:N)</f>
        <v/>
      </c>
      <c r="AJ229" t="str">
        <f>_xlfn.XLOOKUP($A229,'EA-Fortescue_SDExport'!$A:$A,'EA-Fortescue_SDExport'!AX:AX)</f>
        <v>CSV0EF69911</v>
      </c>
      <c r="AK229">
        <f>_xlfn.XLOOKUP($A229,'EA-Fortescue_SDExport'!$A:$A,'EA-Fortescue_SDExport'!AY:AY)</f>
        <v>0</v>
      </c>
    </row>
    <row r="230" spans="1:37" x14ac:dyDescent="0.25">
      <c r="A230" t="str">
        <v>DGS-I_0229</v>
      </c>
      <c r="B230" t="str">
        <f>_xlfn.XLOOKUP($A230,'EA-Fortescue_SDExport'!$A:$A,'EA-Fortescue_SDExport'!B:B)</f>
        <v>Class</v>
      </c>
      <c r="C230" t="str">
        <f>_xlfn.XLOOKUP($A230,'EA-Fortescue_SDExport'!$A:$A,'EA-Fortescue_SDExport'!C:C)</f>
        <v>{B3EE1BEC-AA3D-4e91-97FB-92513146639F}</v>
      </c>
      <c r="D230" t="str">
        <f>_xlfn.LET(_xlpm.result, _xlfn.XLOOKUP($A230, InterfaceRegister!$A:$A, InterfaceRegister!P:P), IF(_xlpm.result=0, "", _xlpm.result))</f>
        <v/>
      </c>
      <c r="E230">
        <f>_xlfn.XLOOKUP($A230,'EA-Fortescue_SDExport'!$A:$A,'EA-Fortescue_SDExport'!E:E)</f>
        <v>1</v>
      </c>
      <c r="F230">
        <f>_xlfn.XLOOKUP($A230,'EA-Fortescue_SDExport'!$A:$A,'EA-Fortescue_SDExport'!F:F)</f>
        <v>1</v>
      </c>
      <c r="G230">
        <f>_xlfn.XLOOKUP($A230,'EA-Fortescue_SDExport'!$A:$A,'EA-Fortescue_SDExport'!G:G)</f>
        <v>0</v>
      </c>
      <c r="H230" t="str">
        <f>_xlfn.XLOOKUP($A230,'EA-Fortescue_SDExport'!$A:$A,'EA-Fortescue_SDExport'!H:H)</f>
        <v>InterfaceBlock</v>
      </c>
      <c r="I230" t="str">
        <f>_xlfn.XLOOKUP($A230,'EA-Fortescue_SDExport'!$A:$A,'EA-Fortescue_SDExport'!I:I)</f>
        <v>SysML1.4::InterfaceBlock</v>
      </c>
      <c r="J230" t="str">
        <f>_xlfn.XLOOKUP($A230,'EA-Fortescue_SDExport'!$A:$A,'EA-Fortescue_SDExport'!J:J)</f>
        <v>Java</v>
      </c>
      <c r="K230" t="str">
        <f>_xlfn.XLOOKUP($A230,'EA-Fortescue_SDExport'!$A:$A,'EA-Fortescue_SDExport'!K:K)</f>
        <v>Admin</v>
      </c>
      <c r="L230" t="str">
        <f>_xlfn.XLOOKUP($A230,'EA-Fortescue_SDExport'!$A:$A,'EA-Fortescue_SDExport'!L:L)</f>
        <v>Public</v>
      </c>
      <c r="M230">
        <f>_xlfn.XLOOKUP($A230,'EA-Fortescue_SDExport'!$A:$A,'EA-Fortescue_SDExport'!M:M)</f>
        <v>0</v>
      </c>
      <c r="N230" t="str">
        <f>_xlfn.XLOOKUP($A230,InterfaceRegister!$A:$A,InterfaceRegister!K:K)</f>
        <v>Proposed</v>
      </c>
      <c r="O230">
        <f>_xlfn.XLOOKUP($A230,'EA-Fortescue_SDExport'!$A:$A,'EA-Fortescue_SDExport'!O:O)</f>
        <v>1</v>
      </c>
      <c r="P230">
        <f>_xlfn.XLOOKUP($A230,'EA-Fortescue_SDExport'!$A:$A,'EA-Fortescue_SDExport'!P:P)</f>
        <v>0</v>
      </c>
      <c r="Q230">
        <f>_xlfn.XLOOKUP($A230,'EA-Fortescue_SDExport'!$A:$A,'EA-Fortescue_SDExport'!Q:Q)</f>
        <v>0</v>
      </c>
      <c r="R230">
        <f>_xlfn.XLOOKUP($A230,'EA-Fortescue_SDExport'!$A:$A,'EA-Fortescue_SDExport'!R:R)</f>
        <v>0</v>
      </c>
      <c r="S230">
        <f>_xlfn.XLOOKUP($A230,'EA-Fortescue_SDExport'!$A:$A,'EA-Fortescue_SDExport'!S:S)</f>
        <v>0</v>
      </c>
      <c r="T230">
        <f>_xlfn.XLOOKUP($A230,'EA-Fortescue_SDExport'!$A:$A,'EA-Fortescue_SDExport'!T:T)</f>
        <v>0</v>
      </c>
      <c r="U230">
        <f>_xlfn.XLOOKUP($A230,'EA-Fortescue_SDExport'!$A:$A,'EA-Fortescue_SDExport'!U:U)</f>
        <v>45972.699675925927</v>
      </c>
      <c r="V230">
        <f>_xlfn.XLOOKUP($A230,'EA-Fortescue_SDExport'!$A:$A,'EA-Fortescue_SDExport'!V:V)</f>
        <v>46002.004953703705</v>
      </c>
      <c r="W230">
        <f>_xlfn.XLOOKUP($A230,'EA-Fortescue_SDExport'!$A:$A,'EA-Fortescue_SDExport'!W:W)</f>
        <v>0</v>
      </c>
      <c r="X230">
        <f>_xlfn.XLOOKUP($A230,'EA-Fortescue_SDExport'!$A:$A,'EA-Fortescue_SDExport'!X:X)</f>
        <v>0</v>
      </c>
      <c r="Y230">
        <f>_xlfn.XLOOKUP($A230,'EA-Fortescue_SDExport'!$A:$A,'EA-Fortescue_SDExport'!Y:Y)</f>
        <v>0</v>
      </c>
      <c r="Z230" t="str">
        <f>_xlfn.XLOOKUP($A230,'EA-Fortescue_SDExport'!$A:$A,'EA-Fortescue_SDExport'!Z:Z)</f>
        <v>SysML1.4::InterfaceBlock</v>
      </c>
      <c r="AA230" t="str">
        <f>_xlfn.XLOOKUP($A230,InterfaceRegister!$A:$A,InterfaceRegister!B:B)</f>
        <v>Solomon Mine Hub: Substation (33kV)|855DC-1543-008 Monarch</v>
      </c>
      <c r="AB230" t="str">
        <f>_xlfn.XLOOKUP($A230,InterfaceRegister!$A:$A,InterfaceRegister!C:C)</f>
        <v/>
      </c>
      <c r="AC230" t="str">
        <f>_xlfn.XLOOKUP($A230,InterfaceRegister!$A:$A,InterfaceRegister!D:D)</f>
        <v/>
      </c>
      <c r="AD230" t="str">
        <f>_xlfn.XLOOKUP($A230,InterfaceRegister!$A:$A,InterfaceRegister!E:E)</f>
        <v>Project - Project Interface</v>
      </c>
      <c r="AE230" t="str">
        <f>_xlfn.XLOOKUP($A230,InterfaceRegister!$A:$A,InterfaceRegister!F:F)</f>
        <v/>
      </c>
      <c r="AF230" t="str">
        <f>_xlfn.XLOOKUP($A230,InterfaceRegister!$A:$A,InterfaceRegister!L:L)</f>
        <v/>
      </c>
      <c r="AG230" t="str">
        <f>_xlfn.XLOOKUP($A230,InterfaceRegister!$A:$A,InterfaceRegister!M:M)</f>
        <v/>
      </c>
      <c r="AH230" t="str">
        <f>_xlfn.XLOOKUP($A230,InterfaceRegister!$A:$A,InterfaceRegister!O:O)</f>
        <v/>
      </c>
      <c r="AI230" t="str">
        <f>_xlfn.XLOOKUP($A230,InterfaceRegister!$A:$A,InterfaceRegister!N:N)</f>
        <v/>
      </c>
      <c r="AJ230" t="str">
        <f>_xlfn.XLOOKUP($A230,'EA-Fortescue_SDExport'!$A:$A,'EA-Fortescue_SDExport'!AX:AX)</f>
        <v>CSV6FA8C479</v>
      </c>
      <c r="AK230">
        <f>_xlfn.XLOOKUP($A230,'EA-Fortescue_SDExport'!$A:$A,'EA-Fortescue_SDExport'!AY:AY)</f>
        <v>0</v>
      </c>
    </row>
    <row r="231" spans="1:37" x14ac:dyDescent="0.25">
      <c r="A231" t="str">
        <v>DGS-I_0230</v>
      </c>
      <c r="B231" t="str">
        <f>_xlfn.XLOOKUP($A231,'EA-Fortescue_SDExport'!$A:$A,'EA-Fortescue_SDExport'!B:B)</f>
        <v>Class</v>
      </c>
      <c r="C231" t="str">
        <f>_xlfn.XLOOKUP($A231,'EA-Fortescue_SDExport'!$A:$A,'EA-Fortescue_SDExport'!C:C)</f>
        <v>{011CA4BB-2F7E-4b21-977E-2F836EDCF737}</v>
      </c>
      <c r="D231" t="str">
        <f>_xlfn.LET(_xlpm.result, _xlfn.XLOOKUP($A231, InterfaceRegister!$A:$A, InterfaceRegister!P:P), IF(_xlpm.result=0, "", _xlpm.result))</f>
        <v/>
      </c>
      <c r="E231">
        <f>_xlfn.XLOOKUP($A231,'EA-Fortescue_SDExport'!$A:$A,'EA-Fortescue_SDExport'!E:E)</f>
        <v>1</v>
      </c>
      <c r="F231">
        <f>_xlfn.XLOOKUP($A231,'EA-Fortescue_SDExport'!$A:$A,'EA-Fortescue_SDExport'!F:F)</f>
        <v>1</v>
      </c>
      <c r="G231">
        <f>_xlfn.XLOOKUP($A231,'EA-Fortescue_SDExport'!$A:$A,'EA-Fortescue_SDExport'!G:G)</f>
        <v>0</v>
      </c>
      <c r="H231" t="str">
        <f>_xlfn.XLOOKUP($A231,'EA-Fortescue_SDExport'!$A:$A,'EA-Fortescue_SDExport'!H:H)</f>
        <v>InterfaceBlock</v>
      </c>
      <c r="I231" t="str">
        <f>_xlfn.XLOOKUP($A231,'EA-Fortescue_SDExport'!$A:$A,'EA-Fortescue_SDExport'!I:I)</f>
        <v>SysML1.4::InterfaceBlock</v>
      </c>
      <c r="J231" t="str">
        <f>_xlfn.XLOOKUP($A231,'EA-Fortescue_SDExport'!$A:$A,'EA-Fortescue_SDExport'!J:J)</f>
        <v>Java</v>
      </c>
      <c r="K231" t="str">
        <f>_xlfn.XLOOKUP($A231,'EA-Fortescue_SDExport'!$A:$A,'EA-Fortescue_SDExport'!K:K)</f>
        <v>Admin</v>
      </c>
      <c r="L231" t="str">
        <f>_xlfn.XLOOKUP($A231,'EA-Fortescue_SDExport'!$A:$A,'EA-Fortescue_SDExport'!L:L)</f>
        <v>Public</v>
      </c>
      <c r="M231">
        <f>_xlfn.XLOOKUP($A231,'EA-Fortescue_SDExport'!$A:$A,'EA-Fortescue_SDExport'!M:M)</f>
        <v>0</v>
      </c>
      <c r="N231" t="str">
        <f>_xlfn.XLOOKUP($A231,InterfaceRegister!$A:$A,InterfaceRegister!K:K)</f>
        <v>Proposed</v>
      </c>
      <c r="O231">
        <f>_xlfn.XLOOKUP($A231,'EA-Fortescue_SDExport'!$A:$A,'EA-Fortescue_SDExport'!O:O)</f>
        <v>1</v>
      </c>
      <c r="P231">
        <f>_xlfn.XLOOKUP($A231,'EA-Fortescue_SDExport'!$A:$A,'EA-Fortescue_SDExport'!P:P)</f>
        <v>0</v>
      </c>
      <c r="Q231">
        <f>_xlfn.XLOOKUP($A231,'EA-Fortescue_SDExport'!$A:$A,'EA-Fortescue_SDExport'!Q:Q)</f>
        <v>0</v>
      </c>
      <c r="R231">
        <f>_xlfn.XLOOKUP($A231,'EA-Fortescue_SDExport'!$A:$A,'EA-Fortescue_SDExport'!R:R)</f>
        <v>0</v>
      </c>
      <c r="S231">
        <f>_xlfn.XLOOKUP($A231,'EA-Fortescue_SDExport'!$A:$A,'EA-Fortescue_SDExport'!S:S)</f>
        <v>0</v>
      </c>
      <c r="T231">
        <f>_xlfn.XLOOKUP($A231,'EA-Fortescue_SDExport'!$A:$A,'EA-Fortescue_SDExport'!T:T)</f>
        <v>0</v>
      </c>
      <c r="U231">
        <f>_xlfn.XLOOKUP($A231,'EA-Fortescue_SDExport'!$A:$A,'EA-Fortescue_SDExport'!U:U)</f>
        <v>45972.699791666666</v>
      </c>
      <c r="V231">
        <f>_xlfn.XLOOKUP($A231,'EA-Fortescue_SDExport'!$A:$A,'EA-Fortescue_SDExport'!V:V)</f>
        <v>46002.004942129628</v>
      </c>
      <c r="W231">
        <f>_xlfn.XLOOKUP($A231,'EA-Fortescue_SDExport'!$A:$A,'EA-Fortescue_SDExport'!W:W)</f>
        <v>0</v>
      </c>
      <c r="X231">
        <f>_xlfn.XLOOKUP($A231,'EA-Fortescue_SDExport'!$A:$A,'EA-Fortescue_SDExport'!X:X)</f>
        <v>0</v>
      </c>
      <c r="Y231">
        <f>_xlfn.XLOOKUP($A231,'EA-Fortescue_SDExport'!$A:$A,'EA-Fortescue_SDExport'!Y:Y)</f>
        <v>0</v>
      </c>
      <c r="Z231" t="str">
        <f>_xlfn.XLOOKUP($A231,'EA-Fortescue_SDExport'!$A:$A,'EA-Fortescue_SDExport'!Z:Z)</f>
        <v>SysML1.4::InterfaceBlock</v>
      </c>
      <c r="AA231" t="str">
        <f>_xlfn.XLOOKUP($A231,InterfaceRegister!$A:$A,InterfaceRegister!B:B)</f>
        <v>Solomon Mine Hub: Substation (132kV)|855DC-1543-008 Monarch</v>
      </c>
      <c r="AB231" t="str">
        <f>_xlfn.XLOOKUP($A231,InterfaceRegister!$A:$A,InterfaceRegister!C:C)</f>
        <v/>
      </c>
      <c r="AC231" t="str">
        <f>_xlfn.XLOOKUP($A231,InterfaceRegister!$A:$A,InterfaceRegister!D:D)</f>
        <v/>
      </c>
      <c r="AD231" t="str">
        <f>_xlfn.XLOOKUP($A231,InterfaceRegister!$A:$A,InterfaceRegister!E:E)</f>
        <v>Project - Project Interface</v>
      </c>
      <c r="AE231" t="str">
        <f>_xlfn.XLOOKUP($A231,InterfaceRegister!$A:$A,InterfaceRegister!F:F)</f>
        <v/>
      </c>
      <c r="AF231" t="str">
        <f>_xlfn.XLOOKUP($A231,InterfaceRegister!$A:$A,InterfaceRegister!L:L)</f>
        <v/>
      </c>
      <c r="AG231" t="str">
        <f>_xlfn.XLOOKUP($A231,InterfaceRegister!$A:$A,InterfaceRegister!M:M)</f>
        <v/>
      </c>
      <c r="AH231" t="str">
        <f>_xlfn.XLOOKUP($A231,InterfaceRegister!$A:$A,InterfaceRegister!O:O)</f>
        <v/>
      </c>
      <c r="AI231" t="str">
        <f>_xlfn.XLOOKUP($A231,InterfaceRegister!$A:$A,InterfaceRegister!N:N)</f>
        <v/>
      </c>
      <c r="AJ231" t="str">
        <f>_xlfn.XLOOKUP($A231,'EA-Fortescue_SDExport'!$A:$A,'EA-Fortescue_SDExport'!AX:AX)</f>
        <v>CSV23DD0A99</v>
      </c>
      <c r="AK231">
        <f>_xlfn.XLOOKUP($A231,'EA-Fortescue_SDExport'!$A:$A,'EA-Fortescue_SDExport'!AY:AY)</f>
        <v>0</v>
      </c>
    </row>
    <row r="232" spans="1:37" x14ac:dyDescent="0.25">
      <c r="A232" t="str">
        <v>DGS-I_0231</v>
      </c>
      <c r="B232" t="str">
        <f>_xlfn.XLOOKUP($A232,'EA-Fortescue_SDExport'!$A:$A,'EA-Fortescue_SDExport'!B:B)</f>
        <v>Class</v>
      </c>
      <c r="C232" t="str">
        <f>_xlfn.XLOOKUP($A232,'EA-Fortescue_SDExport'!$A:$A,'EA-Fortescue_SDExport'!C:C)</f>
        <v>{2EC00153-8F97-4ccb-9B1E-1B01CF47A8BF}</v>
      </c>
      <c r="D232" t="str">
        <f>_xlfn.LET(_xlpm.result, _xlfn.XLOOKUP($A232, InterfaceRegister!$A:$A, InterfaceRegister!P:P), IF(_xlpm.result=0, "", _xlpm.result))</f>
        <v/>
      </c>
      <c r="E232">
        <f>_xlfn.XLOOKUP($A232,'EA-Fortescue_SDExport'!$A:$A,'EA-Fortescue_SDExport'!E:E)</f>
        <v>1</v>
      </c>
      <c r="F232">
        <f>_xlfn.XLOOKUP($A232,'EA-Fortescue_SDExport'!$A:$A,'EA-Fortescue_SDExport'!F:F)</f>
        <v>1</v>
      </c>
      <c r="G232">
        <f>_xlfn.XLOOKUP($A232,'EA-Fortescue_SDExport'!$A:$A,'EA-Fortescue_SDExport'!G:G)</f>
        <v>0</v>
      </c>
      <c r="H232" t="str">
        <f>_xlfn.XLOOKUP($A232,'EA-Fortescue_SDExport'!$A:$A,'EA-Fortescue_SDExport'!H:H)</f>
        <v>InterfaceBlock</v>
      </c>
      <c r="I232" t="str">
        <f>_xlfn.XLOOKUP($A232,'EA-Fortescue_SDExport'!$A:$A,'EA-Fortescue_SDExport'!I:I)</f>
        <v>SysML1.4::InterfaceBlock</v>
      </c>
      <c r="J232" t="str">
        <f>_xlfn.XLOOKUP($A232,'EA-Fortescue_SDExport'!$A:$A,'EA-Fortescue_SDExport'!J:J)</f>
        <v>Java</v>
      </c>
      <c r="K232" t="str">
        <f>_xlfn.XLOOKUP($A232,'EA-Fortescue_SDExport'!$A:$A,'EA-Fortescue_SDExport'!K:K)</f>
        <v>Admin</v>
      </c>
      <c r="L232" t="str">
        <f>_xlfn.XLOOKUP($A232,'EA-Fortescue_SDExport'!$A:$A,'EA-Fortescue_SDExport'!L:L)</f>
        <v>Public</v>
      </c>
      <c r="M232">
        <f>_xlfn.XLOOKUP($A232,'EA-Fortescue_SDExport'!$A:$A,'EA-Fortescue_SDExport'!M:M)</f>
        <v>0</v>
      </c>
      <c r="N232" t="str">
        <f>_xlfn.XLOOKUP($A232,InterfaceRegister!$A:$A,InterfaceRegister!K:K)</f>
        <v>Proposed</v>
      </c>
      <c r="O232">
        <f>_xlfn.XLOOKUP($A232,'EA-Fortescue_SDExport'!$A:$A,'EA-Fortescue_SDExport'!O:O)</f>
        <v>1</v>
      </c>
      <c r="P232">
        <f>_xlfn.XLOOKUP($A232,'EA-Fortescue_SDExport'!$A:$A,'EA-Fortescue_SDExport'!P:P)</f>
        <v>0</v>
      </c>
      <c r="Q232">
        <f>_xlfn.XLOOKUP($A232,'EA-Fortescue_SDExport'!$A:$A,'EA-Fortescue_SDExport'!Q:Q)</f>
        <v>0</v>
      </c>
      <c r="R232">
        <f>_xlfn.XLOOKUP($A232,'EA-Fortescue_SDExport'!$A:$A,'EA-Fortescue_SDExport'!R:R)</f>
        <v>0</v>
      </c>
      <c r="S232">
        <f>_xlfn.XLOOKUP($A232,'EA-Fortescue_SDExport'!$A:$A,'EA-Fortescue_SDExport'!S:S)</f>
        <v>0</v>
      </c>
      <c r="T232">
        <f>_xlfn.XLOOKUP($A232,'EA-Fortescue_SDExport'!$A:$A,'EA-Fortescue_SDExport'!T:T)</f>
        <v>0</v>
      </c>
      <c r="U232">
        <f>_xlfn.XLOOKUP($A232,'EA-Fortescue_SDExport'!$A:$A,'EA-Fortescue_SDExport'!U:U)</f>
        <v>45972.699826388889</v>
      </c>
      <c r="V232">
        <f>_xlfn.XLOOKUP($A232,'EA-Fortescue_SDExport'!$A:$A,'EA-Fortescue_SDExport'!V:V)</f>
        <v>46002.004999999997</v>
      </c>
      <c r="W232">
        <f>_xlfn.XLOOKUP($A232,'EA-Fortescue_SDExport'!$A:$A,'EA-Fortescue_SDExport'!W:W)</f>
        <v>0</v>
      </c>
      <c r="X232">
        <f>_xlfn.XLOOKUP($A232,'EA-Fortescue_SDExport'!$A:$A,'EA-Fortescue_SDExport'!X:X)</f>
        <v>0</v>
      </c>
      <c r="Y232">
        <f>_xlfn.XLOOKUP($A232,'EA-Fortescue_SDExport'!$A:$A,'EA-Fortescue_SDExport'!Y:Y)</f>
        <v>0</v>
      </c>
      <c r="Z232" t="str">
        <f>_xlfn.XLOOKUP($A232,'EA-Fortescue_SDExport'!$A:$A,'EA-Fortescue_SDExport'!Z:Z)</f>
        <v>SysML1.4::InterfaceBlock</v>
      </c>
      <c r="AA232" t="str">
        <f>_xlfn.XLOOKUP($A232,InterfaceRegister!$A:$A,InterfaceRegister!B:B)</f>
        <v>Solomon Mine Hub: Substation (220kV)|855DC-1543-008 Monarch</v>
      </c>
      <c r="AB232" t="str">
        <f>_xlfn.XLOOKUP($A232,InterfaceRegister!$A:$A,InterfaceRegister!C:C)</f>
        <v/>
      </c>
      <c r="AC232" t="str">
        <f>_xlfn.XLOOKUP($A232,InterfaceRegister!$A:$A,InterfaceRegister!D:D)</f>
        <v/>
      </c>
      <c r="AD232" t="str">
        <f>_xlfn.XLOOKUP($A232,InterfaceRegister!$A:$A,InterfaceRegister!E:E)</f>
        <v>Project - Project Interface</v>
      </c>
      <c r="AE232" t="str">
        <f>_xlfn.XLOOKUP($A232,InterfaceRegister!$A:$A,InterfaceRegister!F:F)</f>
        <v/>
      </c>
      <c r="AF232" t="str">
        <f>_xlfn.XLOOKUP($A232,InterfaceRegister!$A:$A,InterfaceRegister!L:L)</f>
        <v/>
      </c>
      <c r="AG232" t="str">
        <f>_xlfn.XLOOKUP($A232,InterfaceRegister!$A:$A,InterfaceRegister!M:M)</f>
        <v/>
      </c>
      <c r="AH232" t="str">
        <f>_xlfn.XLOOKUP($A232,InterfaceRegister!$A:$A,InterfaceRegister!O:O)</f>
        <v/>
      </c>
      <c r="AI232" t="str">
        <f>_xlfn.XLOOKUP($A232,InterfaceRegister!$A:$A,InterfaceRegister!N:N)</f>
        <v/>
      </c>
      <c r="AJ232" t="str">
        <f>_xlfn.XLOOKUP($A232,'EA-Fortescue_SDExport'!$A:$A,'EA-Fortescue_SDExport'!AX:AX)</f>
        <v>CSVF6B77638</v>
      </c>
      <c r="AK232">
        <f>_xlfn.XLOOKUP($A232,'EA-Fortescue_SDExport'!$A:$A,'EA-Fortescue_SDExport'!AY:AY)</f>
        <v>0</v>
      </c>
    </row>
    <row r="233" spans="1:37" x14ac:dyDescent="0.25">
      <c r="A233" t="str">
        <v>DGS-I_0232</v>
      </c>
      <c r="B233" t="str">
        <f>_xlfn.XLOOKUP($A233,'EA-Fortescue_SDExport'!$A:$A,'EA-Fortescue_SDExport'!B:B)</f>
        <v>Class</v>
      </c>
      <c r="C233" t="str">
        <f>_xlfn.XLOOKUP($A233,'EA-Fortescue_SDExport'!$A:$A,'EA-Fortescue_SDExport'!C:C)</f>
        <v>{C5E1B140-075D-42f7-BA26-C0ACDBB0F18F}</v>
      </c>
      <c r="D233" t="str">
        <f>_xlfn.LET(_xlpm.result, _xlfn.XLOOKUP($A233, InterfaceRegister!$A:$A, InterfaceRegister!P:P), IF(_xlpm.result=0, "", _xlpm.result))</f>
        <v/>
      </c>
      <c r="E233">
        <f>_xlfn.XLOOKUP($A233,'EA-Fortescue_SDExport'!$A:$A,'EA-Fortescue_SDExport'!E:E)</f>
        <v>1</v>
      </c>
      <c r="F233">
        <f>_xlfn.XLOOKUP($A233,'EA-Fortescue_SDExport'!$A:$A,'EA-Fortescue_SDExport'!F:F)</f>
        <v>1</v>
      </c>
      <c r="G233">
        <f>_xlfn.XLOOKUP($A233,'EA-Fortescue_SDExport'!$A:$A,'EA-Fortescue_SDExport'!G:G)</f>
        <v>0</v>
      </c>
      <c r="H233" t="str">
        <f>_xlfn.XLOOKUP($A233,'EA-Fortescue_SDExport'!$A:$A,'EA-Fortescue_SDExport'!H:H)</f>
        <v>InterfaceBlock</v>
      </c>
      <c r="I233" t="str">
        <f>_xlfn.XLOOKUP($A233,'EA-Fortescue_SDExport'!$A:$A,'EA-Fortescue_SDExport'!I:I)</f>
        <v>SysML1.4::InterfaceBlock</v>
      </c>
      <c r="J233" t="str">
        <f>_xlfn.XLOOKUP($A233,'EA-Fortescue_SDExport'!$A:$A,'EA-Fortescue_SDExport'!J:J)</f>
        <v>Java</v>
      </c>
      <c r="K233" t="str">
        <f>_xlfn.XLOOKUP($A233,'EA-Fortescue_SDExport'!$A:$A,'EA-Fortescue_SDExport'!K:K)</f>
        <v>Admin</v>
      </c>
      <c r="L233" t="str">
        <f>_xlfn.XLOOKUP($A233,'EA-Fortescue_SDExport'!$A:$A,'EA-Fortescue_SDExport'!L:L)</f>
        <v>Public</v>
      </c>
      <c r="M233">
        <f>_xlfn.XLOOKUP($A233,'EA-Fortescue_SDExport'!$A:$A,'EA-Fortescue_SDExport'!M:M)</f>
        <v>0</v>
      </c>
      <c r="N233" t="str">
        <f>_xlfn.XLOOKUP($A233,InterfaceRegister!$A:$A,InterfaceRegister!K:K)</f>
        <v>Proposed</v>
      </c>
      <c r="O233">
        <f>_xlfn.XLOOKUP($A233,'EA-Fortescue_SDExport'!$A:$A,'EA-Fortescue_SDExport'!O:O)</f>
        <v>1</v>
      </c>
      <c r="P233">
        <f>_xlfn.XLOOKUP($A233,'EA-Fortescue_SDExport'!$A:$A,'EA-Fortescue_SDExport'!P:P)</f>
        <v>0</v>
      </c>
      <c r="Q233">
        <f>_xlfn.XLOOKUP($A233,'EA-Fortescue_SDExport'!$A:$A,'EA-Fortescue_SDExport'!Q:Q)</f>
        <v>0</v>
      </c>
      <c r="R233">
        <f>_xlfn.XLOOKUP($A233,'EA-Fortescue_SDExport'!$A:$A,'EA-Fortescue_SDExport'!R:R)</f>
        <v>0</v>
      </c>
      <c r="S233">
        <f>_xlfn.XLOOKUP($A233,'EA-Fortescue_SDExport'!$A:$A,'EA-Fortescue_SDExport'!S:S)</f>
        <v>0</v>
      </c>
      <c r="T233">
        <f>_xlfn.XLOOKUP($A233,'EA-Fortescue_SDExport'!$A:$A,'EA-Fortescue_SDExport'!T:T)</f>
        <v>0</v>
      </c>
      <c r="U233">
        <f>_xlfn.XLOOKUP($A233,'EA-Fortescue_SDExport'!$A:$A,'EA-Fortescue_SDExport'!U:U)</f>
        <v>45972.699988425928</v>
      </c>
      <c r="V233">
        <f>_xlfn.XLOOKUP($A233,'EA-Fortescue_SDExport'!$A:$A,'EA-Fortescue_SDExport'!V:V)</f>
        <v>46002.004965277774</v>
      </c>
      <c r="W233">
        <f>_xlfn.XLOOKUP($A233,'EA-Fortescue_SDExport'!$A:$A,'EA-Fortescue_SDExport'!W:W)</f>
        <v>0</v>
      </c>
      <c r="X233">
        <f>_xlfn.XLOOKUP($A233,'EA-Fortescue_SDExport'!$A:$A,'EA-Fortescue_SDExport'!X:X)</f>
        <v>0</v>
      </c>
      <c r="Y233">
        <f>_xlfn.XLOOKUP($A233,'EA-Fortescue_SDExport'!$A:$A,'EA-Fortescue_SDExport'!Y:Y)</f>
        <v>0</v>
      </c>
      <c r="Z233" t="str">
        <f>_xlfn.XLOOKUP($A233,'EA-Fortescue_SDExport'!$A:$A,'EA-Fortescue_SDExport'!Z:Z)</f>
        <v>SysML1.4::InterfaceBlock</v>
      </c>
      <c r="AA233" t="str">
        <f>_xlfn.XLOOKUP($A233,InterfaceRegister!$A:$A,InterfaceRegister!B:B)</f>
        <v>Solomon Mine Hub: Substation (33kV)|Solomon Mine Hub: Field Switches</v>
      </c>
      <c r="AB233" t="str">
        <f>_xlfn.XLOOKUP($A233,InterfaceRegister!$A:$A,InterfaceRegister!C:C)</f>
        <v/>
      </c>
      <c r="AC233" t="str">
        <f>_xlfn.XLOOKUP($A233,InterfaceRegister!$A:$A,InterfaceRegister!D:D)</f>
        <v/>
      </c>
      <c r="AD233" t="str">
        <f>_xlfn.XLOOKUP($A233,InterfaceRegister!$A:$A,InterfaceRegister!E:E)</f>
        <v>System - Project Interface</v>
      </c>
      <c r="AE233" t="str">
        <f>_xlfn.XLOOKUP($A233,InterfaceRegister!$A:$A,InterfaceRegister!F:F)</f>
        <v/>
      </c>
      <c r="AF233" t="str">
        <f>_xlfn.XLOOKUP($A233,InterfaceRegister!$A:$A,InterfaceRegister!L:L)</f>
        <v/>
      </c>
      <c r="AG233" t="str">
        <f>_xlfn.XLOOKUP($A233,InterfaceRegister!$A:$A,InterfaceRegister!M:M)</f>
        <v/>
      </c>
      <c r="AH233" t="str">
        <f>_xlfn.XLOOKUP($A233,InterfaceRegister!$A:$A,InterfaceRegister!O:O)</f>
        <v/>
      </c>
      <c r="AI233" t="str">
        <f>_xlfn.XLOOKUP($A233,InterfaceRegister!$A:$A,InterfaceRegister!N:N)</f>
        <v/>
      </c>
      <c r="AJ233" t="str">
        <f>_xlfn.XLOOKUP($A233,'EA-Fortescue_SDExport'!$A:$A,'EA-Fortescue_SDExport'!AX:AX)</f>
        <v>CSVB68B5181</v>
      </c>
      <c r="AK233">
        <f>_xlfn.XLOOKUP($A233,'EA-Fortescue_SDExport'!$A:$A,'EA-Fortescue_SDExport'!AY:AY)</f>
        <v>0</v>
      </c>
    </row>
    <row r="234" spans="1:37" x14ac:dyDescent="0.25">
      <c r="A234" t="str">
        <v>DGS-I_0233</v>
      </c>
      <c r="B234" t="str">
        <f>_xlfn.XLOOKUP($A234,'EA-Fortescue_SDExport'!$A:$A,'EA-Fortescue_SDExport'!B:B)</f>
        <v>Class</v>
      </c>
      <c r="C234" t="str">
        <f>_xlfn.XLOOKUP($A234,'EA-Fortescue_SDExport'!$A:$A,'EA-Fortescue_SDExport'!C:C)</f>
        <v>{08D15B8D-A2A6-43df-908D-C3DC27C8AA74}</v>
      </c>
      <c r="D234" t="str">
        <f>_xlfn.LET(_xlpm.result, _xlfn.XLOOKUP($A234, InterfaceRegister!$A:$A, InterfaceRegister!P:P), IF(_xlpm.result=0, "", _xlpm.result))</f>
        <v>From DGS-I_0146 (interface with generic Substation (33kV)): CSMS Review 30/10/2025: Potential measuring from 132kv. Dynamic load management function._x000D_
NH 20/02/2026: Fields updated: Interface Type, Interface Flow.</v>
      </c>
      <c r="E234">
        <f>_xlfn.XLOOKUP($A234,'EA-Fortescue_SDExport'!$A:$A,'EA-Fortescue_SDExport'!E:E)</f>
        <v>1</v>
      </c>
      <c r="F234">
        <f>_xlfn.XLOOKUP($A234,'EA-Fortescue_SDExport'!$A:$A,'EA-Fortescue_SDExport'!F:F)</f>
        <v>1</v>
      </c>
      <c r="G234">
        <f>_xlfn.XLOOKUP($A234,'EA-Fortescue_SDExport'!$A:$A,'EA-Fortescue_SDExport'!G:G)</f>
        <v>0</v>
      </c>
      <c r="H234" t="str">
        <f>_xlfn.XLOOKUP($A234,'EA-Fortescue_SDExport'!$A:$A,'EA-Fortescue_SDExport'!H:H)</f>
        <v>InterfaceBlock</v>
      </c>
      <c r="I234" t="str">
        <f>_xlfn.XLOOKUP($A234,'EA-Fortescue_SDExport'!$A:$A,'EA-Fortescue_SDExport'!I:I)</f>
        <v>SysML1.4::InterfaceBlock</v>
      </c>
      <c r="J234" t="str">
        <f>_xlfn.XLOOKUP($A234,'EA-Fortescue_SDExport'!$A:$A,'EA-Fortescue_SDExport'!J:J)</f>
        <v>Java</v>
      </c>
      <c r="K234" t="str">
        <f>_xlfn.XLOOKUP($A234,'EA-Fortescue_SDExport'!$A:$A,'EA-Fortescue_SDExport'!K:K)</f>
        <v>Admin</v>
      </c>
      <c r="L234" t="str">
        <f>_xlfn.XLOOKUP($A234,'EA-Fortescue_SDExport'!$A:$A,'EA-Fortescue_SDExport'!L:L)</f>
        <v>Public</v>
      </c>
      <c r="M234">
        <f>_xlfn.XLOOKUP($A234,'EA-Fortescue_SDExport'!$A:$A,'EA-Fortescue_SDExport'!M:M)</f>
        <v>0</v>
      </c>
      <c r="N234" t="str">
        <f>_xlfn.XLOOKUP($A234,InterfaceRegister!$A:$A,InterfaceRegister!K:K)</f>
        <v>Proposed</v>
      </c>
      <c r="O234">
        <f>_xlfn.XLOOKUP($A234,'EA-Fortescue_SDExport'!$A:$A,'EA-Fortescue_SDExport'!O:O)</f>
        <v>1</v>
      </c>
      <c r="P234">
        <f>_xlfn.XLOOKUP($A234,'EA-Fortescue_SDExport'!$A:$A,'EA-Fortescue_SDExport'!P:P)</f>
        <v>0</v>
      </c>
      <c r="Q234">
        <f>_xlfn.XLOOKUP($A234,'EA-Fortescue_SDExport'!$A:$A,'EA-Fortescue_SDExport'!Q:Q)</f>
        <v>0</v>
      </c>
      <c r="R234">
        <f>_xlfn.XLOOKUP($A234,'EA-Fortescue_SDExport'!$A:$A,'EA-Fortescue_SDExport'!R:R)</f>
        <v>0</v>
      </c>
      <c r="S234">
        <f>_xlfn.XLOOKUP($A234,'EA-Fortescue_SDExport'!$A:$A,'EA-Fortescue_SDExport'!S:S)</f>
        <v>0</v>
      </c>
      <c r="T234">
        <f>_xlfn.XLOOKUP($A234,'EA-Fortescue_SDExport'!$A:$A,'EA-Fortescue_SDExport'!T:T)</f>
        <v>0</v>
      </c>
      <c r="U234">
        <f>_xlfn.XLOOKUP($A234,'EA-Fortescue_SDExport'!$A:$A,'EA-Fortescue_SDExport'!U:U)</f>
        <v>45926.65834490741</v>
      </c>
      <c r="V234">
        <f>_xlfn.XLOOKUP($A234,'EA-Fortescue_SDExport'!$A:$A,'EA-Fortescue_SDExport'!V:V)</f>
        <v>46077.993217592593</v>
      </c>
      <c r="W234">
        <f>_xlfn.XLOOKUP($A234,'EA-Fortescue_SDExport'!$A:$A,'EA-Fortescue_SDExport'!W:W)</f>
        <v>0</v>
      </c>
      <c r="X234">
        <f>_xlfn.XLOOKUP($A234,'EA-Fortescue_SDExport'!$A:$A,'EA-Fortescue_SDExport'!X:X)</f>
        <v>0</v>
      </c>
      <c r="Y234">
        <f>_xlfn.XLOOKUP($A234,'EA-Fortescue_SDExport'!$A:$A,'EA-Fortescue_SDExport'!Y:Y)</f>
        <v>0</v>
      </c>
      <c r="Z234" t="str">
        <f>_xlfn.XLOOKUP($A234,'EA-Fortescue_SDExport'!$A:$A,'EA-Fortescue_SDExport'!Z:Z)</f>
        <v>SysML1.4::InterfaceBlock</v>
      </c>
      <c r="AA234" t="str">
        <f>_xlfn.XLOOKUP($A234,InterfaceRegister!$A:$A,InterfaceRegister!B:B)</f>
        <v>Solomon Mine Hub: Substation (33kV)|855DC-1542-CSM-002 vCharM.Edge</v>
      </c>
      <c r="AB234" t="str">
        <f>_xlfn.XLOOKUP($A234,InterfaceRegister!$A:$A,InterfaceRegister!C:C)</f>
        <v/>
      </c>
      <c r="AC234" t="str">
        <f>_xlfn.XLOOKUP($A234,InterfaceRegister!$A:$A,InterfaceRegister!D:D)</f>
        <v/>
      </c>
      <c r="AD234" t="str">
        <f>_xlfn.XLOOKUP($A234,InterfaceRegister!$A:$A,InterfaceRegister!E:E)</f>
        <v>Project - Subsystem Interface</v>
      </c>
      <c r="AE234" t="str">
        <f>_xlfn.XLOOKUP($A234,InterfaceRegister!$A:$A,InterfaceRegister!F:F)</f>
        <v>Technical-Electrical</v>
      </c>
      <c r="AF234" t="str">
        <f>_xlfn.XLOOKUP($A234,InterfaceRegister!$A:$A,InterfaceRegister!L:L)</f>
        <v>This interface supplies vCharM.Edge with power status and energisation information from the Solomon Hub 33kV substation to safely manage local HME charging operations.</v>
      </c>
      <c r="AG234" t="str">
        <f>_xlfn.XLOOKUP($A234,InterfaceRegister!$A:$A,InterfaceRegister!M:M)</f>
        <v>HIGH</v>
      </c>
      <c r="AH234" t="str">
        <f>_xlfn.XLOOKUP($A234,InterfaceRegister!$A:$A,InterfaceRegister!O:O)</f>
        <v>Data Flow:_x000D_
33 kV Substation (854DC-1521-0001) -&gt; vCharM.Edge / CSMS (855DC-1542-CSM), transmitting breaker status, energisation state, feeder availability, transformer loading, voltage and current measurements, alarms, and fault indications to confirm charger power availability and network health._x000D_
Control / Coordination Flow:_x000D_
vCharM.Edge / CSMS -&gt; Charging Infrastructure, using validated substation status to enable or inhibit charger energisation, manage load allocation, and coordinate safe plug-in and charging sequences for HME units.</v>
      </c>
      <c r="AI234" t="str">
        <f>_xlfn.XLOOKUP($A234,InterfaceRegister!$A:$A,InterfaceRegister!N:N)</f>
        <v>The criticality level is HIGH because substation visibility is essential for ensuring chargers receive stable power and that fault or outage conditions can be managed safely. Loss of substation data risks unsafe charging conditions or unexpected outages that directly impact fleet charging availability.</v>
      </c>
      <c r="AJ234" t="str">
        <f>_xlfn.XLOOKUP($A234,'EA-Fortescue_SDExport'!$A:$A,'EA-Fortescue_SDExport'!AX:AX)</f>
        <v>CSVB61FC209</v>
      </c>
      <c r="AK234">
        <f>_xlfn.XLOOKUP($A234,'EA-Fortescue_SDExport'!$A:$A,'EA-Fortescue_SDExport'!AY:AY)</f>
        <v>0</v>
      </c>
    </row>
    <row r="235" spans="1:37" x14ac:dyDescent="0.25">
      <c r="A235" t="str">
        <v>DGS-I_0234</v>
      </c>
      <c r="B235" t="str">
        <f>_xlfn.XLOOKUP($A235,'EA-Fortescue_SDExport'!$A:$A,'EA-Fortescue_SDExport'!B:B)</f>
        <v>Class</v>
      </c>
      <c r="C235" t="str">
        <f>_xlfn.XLOOKUP($A235,'EA-Fortescue_SDExport'!$A:$A,'EA-Fortescue_SDExport'!C:C)</f>
        <v>{B757E501-3B65-476e-81B9-312C7F9FD319}</v>
      </c>
      <c r="D235" t="str">
        <f>_xlfn.LET(_xlpm.result, _xlfn.XLOOKUP($A235, InterfaceRegister!$A:$A, InterfaceRegister!P:P), IF(_xlpm.result=0, "", _xlpm.result))</f>
        <v>NH 20/02/2026: Fields updated: Interface Type, Interface Flow.</v>
      </c>
      <c r="E235">
        <f>_xlfn.XLOOKUP($A235,'EA-Fortescue_SDExport'!$A:$A,'EA-Fortescue_SDExport'!E:E)</f>
        <v>1</v>
      </c>
      <c r="F235">
        <f>_xlfn.XLOOKUP($A235,'EA-Fortescue_SDExport'!$A:$A,'EA-Fortescue_SDExport'!F:F)</f>
        <v>1</v>
      </c>
      <c r="G235">
        <f>_xlfn.XLOOKUP($A235,'EA-Fortescue_SDExport'!$A:$A,'EA-Fortescue_SDExport'!G:G)</f>
        <v>0</v>
      </c>
      <c r="H235" t="str">
        <f>_xlfn.XLOOKUP($A235,'EA-Fortescue_SDExport'!$A:$A,'EA-Fortescue_SDExport'!H:H)</f>
        <v>InterfaceBlock</v>
      </c>
      <c r="I235" t="str">
        <f>_xlfn.XLOOKUP($A235,'EA-Fortescue_SDExport'!$A:$A,'EA-Fortescue_SDExport'!I:I)</f>
        <v>SysML1.4::InterfaceBlock</v>
      </c>
      <c r="J235" t="str">
        <f>_xlfn.XLOOKUP($A235,'EA-Fortescue_SDExport'!$A:$A,'EA-Fortescue_SDExport'!J:J)</f>
        <v>Java</v>
      </c>
      <c r="K235" t="str">
        <f>_xlfn.XLOOKUP($A235,'EA-Fortescue_SDExport'!$A:$A,'EA-Fortescue_SDExport'!K:K)</f>
        <v>Admin</v>
      </c>
      <c r="L235" t="str">
        <f>_xlfn.XLOOKUP($A235,'EA-Fortescue_SDExport'!$A:$A,'EA-Fortescue_SDExport'!L:L)</f>
        <v>Public</v>
      </c>
      <c r="M235">
        <f>_xlfn.XLOOKUP($A235,'EA-Fortescue_SDExport'!$A:$A,'EA-Fortescue_SDExport'!M:M)</f>
        <v>0</v>
      </c>
      <c r="N235" t="str">
        <f>_xlfn.XLOOKUP($A235,InterfaceRegister!$A:$A,InterfaceRegister!K:K)</f>
        <v>Proposed</v>
      </c>
      <c r="O235">
        <f>_xlfn.XLOOKUP($A235,'EA-Fortescue_SDExport'!$A:$A,'EA-Fortescue_SDExport'!O:O)</f>
        <v>1</v>
      </c>
      <c r="P235">
        <f>_xlfn.XLOOKUP($A235,'EA-Fortescue_SDExport'!$A:$A,'EA-Fortescue_SDExport'!P:P)</f>
        <v>0</v>
      </c>
      <c r="Q235">
        <f>_xlfn.XLOOKUP($A235,'EA-Fortescue_SDExport'!$A:$A,'EA-Fortescue_SDExport'!Q:Q)</f>
        <v>0</v>
      </c>
      <c r="R235">
        <f>_xlfn.XLOOKUP($A235,'EA-Fortescue_SDExport'!$A:$A,'EA-Fortescue_SDExport'!R:R)</f>
        <v>0</v>
      </c>
      <c r="S235">
        <f>_xlfn.XLOOKUP($A235,'EA-Fortescue_SDExport'!$A:$A,'EA-Fortescue_SDExport'!S:S)</f>
        <v>0</v>
      </c>
      <c r="T235">
        <f>_xlfn.XLOOKUP($A235,'EA-Fortescue_SDExport'!$A:$A,'EA-Fortescue_SDExport'!T:T)</f>
        <v>0</v>
      </c>
      <c r="U235">
        <f>_xlfn.XLOOKUP($A235,'EA-Fortescue_SDExport'!$A:$A,'EA-Fortescue_SDExport'!U:U)</f>
        <v>45929.922476851854</v>
      </c>
      <c r="V235">
        <f>_xlfn.XLOOKUP($A235,'EA-Fortescue_SDExport'!$A:$A,'EA-Fortescue_SDExport'!V:V)</f>
        <v>46077.99322916667</v>
      </c>
      <c r="W235">
        <f>_xlfn.XLOOKUP($A235,'EA-Fortescue_SDExport'!$A:$A,'EA-Fortescue_SDExport'!W:W)</f>
        <v>0</v>
      </c>
      <c r="X235">
        <f>_xlfn.XLOOKUP($A235,'EA-Fortescue_SDExport'!$A:$A,'EA-Fortescue_SDExport'!X:X)</f>
        <v>0</v>
      </c>
      <c r="Y235">
        <f>_xlfn.XLOOKUP($A235,'EA-Fortescue_SDExport'!$A:$A,'EA-Fortescue_SDExport'!Y:Y)</f>
        <v>0</v>
      </c>
      <c r="Z235" t="str">
        <f>_xlfn.XLOOKUP($A235,'EA-Fortescue_SDExport'!$A:$A,'EA-Fortescue_SDExport'!Z:Z)</f>
        <v>SysML1.4::InterfaceBlock</v>
      </c>
      <c r="AA235" t="str">
        <f>_xlfn.XLOOKUP($A235,InterfaceRegister!$A:$A,InterfaceRegister!B:B)</f>
        <v>Solomon Mine Hub: Substation (33kV)|005OP-0000-017 Ignition</v>
      </c>
      <c r="AB235" t="str">
        <f>_xlfn.XLOOKUP($A235,InterfaceRegister!$A:$A,InterfaceRegister!C:C)</f>
        <v/>
      </c>
      <c r="AC235" t="str">
        <f>_xlfn.XLOOKUP($A235,InterfaceRegister!$A:$A,InterfaceRegister!D:D)</f>
        <v/>
      </c>
      <c r="AD235" t="str">
        <f>_xlfn.XLOOKUP($A235,InterfaceRegister!$A:$A,InterfaceRegister!E:E)</f>
        <v>Project - Project Interface</v>
      </c>
      <c r="AE235" t="str">
        <f>_xlfn.XLOOKUP($A235,InterfaceRegister!$A:$A,InterfaceRegister!F:F)</f>
        <v>Technical-Electrical</v>
      </c>
      <c r="AF235" t="str">
        <f>_xlfn.XLOOKUP($A235,InterfaceRegister!$A:$A,InterfaceRegister!L:L)</f>
        <v>This interface connects the Solomon 33kV substation to Ignition SCADA so operators can monitor its condition, alarms, and switching states.</v>
      </c>
      <c r="AG235" t="str">
        <f>_xlfn.XLOOKUP($A235,InterfaceRegister!$A:$A,InterfaceRegister!M:M)</f>
        <v>HIGH</v>
      </c>
      <c r="AH235" t="str">
        <f>_xlfn.XLOOKUP($A235,InterfaceRegister!$A:$A,InterfaceRegister!O:O)</f>
        <v>Data Flow:_x000D_
33 kV Substation (854DC-1521-0001) -&gt; Ignition SCADA (005OP-0000-017), transmitting breaker and isolator status, busbar configuration, transformer loading, feeder status, voltage and current measurements, protection relay indications, alarms, and fault events to provide real-time operational visibility of the 33 kV network._x000D_
Control Flow:_x000D_
Ignition SCADA -&gt; 33 kV Substation, issuing remote switching commands, breaker open/close instructions, reset signals, and load transfer commands to enable safe isolation, alarm response, and coordinated network operations.</v>
      </c>
      <c r="AI235" t="str">
        <f>_xlfn.XLOOKUP($A235,InterfaceRegister!$A:$A,InterfaceRegister!N:N)</f>
        <v>The criticality level is HIGH because substations are essential parts of the HV network, and SCADA visibility is vital for safe electrical operations, quick fault isolation, and maintaining stable power supplies. Without this interface, operators lose real-time awareness of substation conditions, which raises the risk of prolonged outages or unsafe handling of electrical faults.</v>
      </c>
      <c r="AJ235" t="str">
        <f>_xlfn.XLOOKUP($A235,'EA-Fortescue_SDExport'!$A:$A,'EA-Fortescue_SDExport'!AX:AX)</f>
        <v>CSV9FF0C5FD</v>
      </c>
      <c r="AK235">
        <f>_xlfn.XLOOKUP($A235,'EA-Fortescue_SDExport'!$A:$A,'EA-Fortescue_SDExport'!AY:AY)</f>
        <v>0</v>
      </c>
    </row>
    <row r="236" spans="1:37" x14ac:dyDescent="0.25">
      <c r="A236" t="str">
        <v>DGS-I_0235</v>
      </c>
      <c r="B236" t="str">
        <f>_xlfn.XLOOKUP($A236,'EA-Fortescue_SDExport'!$A:$A,'EA-Fortescue_SDExport'!B:B)</f>
        <v>Class</v>
      </c>
      <c r="C236" t="str">
        <f>_xlfn.XLOOKUP($A236,'EA-Fortescue_SDExport'!$A:$A,'EA-Fortescue_SDExport'!C:C)</f>
        <v>{8318C774-9390-4a35-9823-EC4F8C864BE4}</v>
      </c>
      <c r="D236" t="str">
        <f>_xlfn.LET(_xlpm.result, _xlfn.XLOOKUP($A236, InterfaceRegister!$A:$A, InterfaceRegister!P:P), IF(_xlpm.result=0, "", _xlpm.result))</f>
        <v/>
      </c>
      <c r="E236">
        <f>_xlfn.XLOOKUP($A236,'EA-Fortescue_SDExport'!$A:$A,'EA-Fortescue_SDExport'!E:E)</f>
        <v>1</v>
      </c>
      <c r="F236">
        <f>_xlfn.XLOOKUP($A236,'EA-Fortescue_SDExport'!$A:$A,'EA-Fortescue_SDExport'!F:F)</f>
        <v>1</v>
      </c>
      <c r="G236">
        <f>_xlfn.XLOOKUP($A236,'EA-Fortescue_SDExport'!$A:$A,'EA-Fortescue_SDExport'!G:G)</f>
        <v>0</v>
      </c>
      <c r="H236" t="str">
        <f>_xlfn.XLOOKUP($A236,'EA-Fortescue_SDExport'!$A:$A,'EA-Fortescue_SDExport'!H:H)</f>
        <v>InterfaceBlock</v>
      </c>
      <c r="I236" t="str">
        <f>_xlfn.XLOOKUP($A236,'EA-Fortescue_SDExport'!$A:$A,'EA-Fortescue_SDExport'!I:I)</f>
        <v>SysML1.4::InterfaceBlock</v>
      </c>
      <c r="J236" t="str">
        <f>_xlfn.XLOOKUP($A236,'EA-Fortescue_SDExport'!$A:$A,'EA-Fortescue_SDExport'!J:J)</f>
        <v>Java</v>
      </c>
      <c r="K236" t="str">
        <f>_xlfn.XLOOKUP($A236,'EA-Fortescue_SDExport'!$A:$A,'EA-Fortescue_SDExport'!K:K)</f>
        <v>Admin</v>
      </c>
      <c r="L236" t="str">
        <f>_xlfn.XLOOKUP($A236,'EA-Fortescue_SDExport'!$A:$A,'EA-Fortescue_SDExport'!L:L)</f>
        <v>Public</v>
      </c>
      <c r="M236">
        <f>_xlfn.XLOOKUP($A236,'EA-Fortescue_SDExport'!$A:$A,'EA-Fortescue_SDExport'!M:M)</f>
        <v>0</v>
      </c>
      <c r="N236" t="str">
        <f>_xlfn.XLOOKUP($A236,InterfaceRegister!$A:$A,InterfaceRegister!K:K)</f>
        <v>Proposed</v>
      </c>
      <c r="O236">
        <f>_xlfn.XLOOKUP($A236,'EA-Fortescue_SDExport'!$A:$A,'EA-Fortescue_SDExport'!O:O)</f>
        <v>1</v>
      </c>
      <c r="P236">
        <f>_xlfn.XLOOKUP($A236,'EA-Fortescue_SDExport'!$A:$A,'EA-Fortescue_SDExport'!P:P)</f>
        <v>0</v>
      </c>
      <c r="Q236">
        <f>_xlfn.XLOOKUP($A236,'EA-Fortescue_SDExport'!$A:$A,'EA-Fortescue_SDExport'!Q:Q)</f>
        <v>0</v>
      </c>
      <c r="R236">
        <f>_xlfn.XLOOKUP($A236,'EA-Fortescue_SDExport'!$A:$A,'EA-Fortescue_SDExport'!R:R)</f>
        <v>0</v>
      </c>
      <c r="S236">
        <f>_xlfn.XLOOKUP($A236,'EA-Fortescue_SDExport'!$A:$A,'EA-Fortescue_SDExport'!S:S)</f>
        <v>0</v>
      </c>
      <c r="T236">
        <f>_xlfn.XLOOKUP($A236,'EA-Fortescue_SDExport'!$A:$A,'EA-Fortescue_SDExport'!T:T)</f>
        <v>0</v>
      </c>
      <c r="U236">
        <f>_xlfn.XLOOKUP($A236,'EA-Fortescue_SDExport'!$A:$A,'EA-Fortescue_SDExport'!U:U)</f>
        <v>45972.758553240739</v>
      </c>
      <c r="V236">
        <f>_xlfn.XLOOKUP($A236,'EA-Fortescue_SDExport'!$A:$A,'EA-Fortescue_SDExport'!V:V)</f>
        <v>46002.004999999997</v>
      </c>
      <c r="W236">
        <f>_xlfn.XLOOKUP($A236,'EA-Fortescue_SDExport'!$A:$A,'EA-Fortescue_SDExport'!W:W)</f>
        <v>0</v>
      </c>
      <c r="X236">
        <f>_xlfn.XLOOKUP($A236,'EA-Fortescue_SDExport'!$A:$A,'EA-Fortescue_SDExport'!X:X)</f>
        <v>0</v>
      </c>
      <c r="Y236">
        <f>_xlfn.XLOOKUP($A236,'EA-Fortescue_SDExport'!$A:$A,'EA-Fortescue_SDExport'!Y:Y)</f>
        <v>0</v>
      </c>
      <c r="Z236" t="str">
        <f>_xlfn.XLOOKUP($A236,'EA-Fortescue_SDExport'!$A:$A,'EA-Fortescue_SDExport'!Z:Z)</f>
        <v>SysML1.4::InterfaceBlock</v>
      </c>
      <c r="AA236" t="str">
        <f>_xlfn.XLOOKUP($A236,InterfaceRegister!$A:$A,InterfaceRegister!B:B)</f>
        <v>Solomon Mine Hub: Field Switches|Solomon Mine Hub: Sub Kiosks</v>
      </c>
      <c r="AB236" t="str">
        <f>_xlfn.XLOOKUP($A236,InterfaceRegister!$A:$A,InterfaceRegister!C:C)</f>
        <v/>
      </c>
      <c r="AC236" t="str">
        <f>_xlfn.XLOOKUP($A236,InterfaceRegister!$A:$A,InterfaceRegister!D:D)</f>
        <v/>
      </c>
      <c r="AD236" t="str">
        <f>_xlfn.XLOOKUP($A236,InterfaceRegister!$A:$A,InterfaceRegister!E:E)</f>
        <v>System - System Interface</v>
      </c>
      <c r="AE236" t="str">
        <f>_xlfn.XLOOKUP($A236,InterfaceRegister!$A:$A,InterfaceRegister!F:F)</f>
        <v/>
      </c>
      <c r="AF236" t="str">
        <f>_xlfn.XLOOKUP($A236,InterfaceRegister!$A:$A,InterfaceRegister!L:L)</f>
        <v/>
      </c>
      <c r="AG236" t="str">
        <f>_xlfn.XLOOKUP($A236,InterfaceRegister!$A:$A,InterfaceRegister!M:M)</f>
        <v/>
      </c>
      <c r="AH236" t="str">
        <f>_xlfn.XLOOKUP($A236,InterfaceRegister!$A:$A,InterfaceRegister!O:O)</f>
        <v/>
      </c>
      <c r="AI236" t="str">
        <f>_xlfn.XLOOKUP($A236,InterfaceRegister!$A:$A,InterfaceRegister!N:N)</f>
        <v/>
      </c>
      <c r="AJ236" t="str">
        <f>_xlfn.XLOOKUP($A236,'EA-Fortescue_SDExport'!$A:$A,'EA-Fortescue_SDExport'!AX:AX)</f>
        <v>CSV18C64EA6</v>
      </c>
      <c r="AK236">
        <f>_xlfn.XLOOKUP($A236,'EA-Fortescue_SDExport'!$A:$A,'EA-Fortescue_SDExport'!AY:AY)</f>
        <v>0</v>
      </c>
    </row>
    <row r="237" spans="1:37" x14ac:dyDescent="0.25">
      <c r="A237" t="str">
        <v>DGS-I_0236</v>
      </c>
      <c r="B237" t="str">
        <f>_xlfn.XLOOKUP($A237,'EA-Fortescue_SDExport'!$A:$A,'EA-Fortescue_SDExport'!B:B)</f>
        <v>Class</v>
      </c>
      <c r="C237" t="str">
        <f>_xlfn.XLOOKUP($A237,'EA-Fortescue_SDExport'!$A:$A,'EA-Fortescue_SDExport'!C:C)</f>
        <v>{6CDAA65B-2946-4be2-965D-C2AF364F42E5}</v>
      </c>
      <c r="D237" t="str">
        <f>_xlfn.LET(_xlpm.result, _xlfn.XLOOKUP($A237, InterfaceRegister!$A:$A, InterfaceRegister!P:P), IF(_xlpm.result=0, "", _xlpm.result))</f>
        <v>From DGS-I_0157 (interface with generic Sub- Kiosk): SCADA Review 30/10/2025:Green substation (in pit sub). 33/6.6kv. Delete, part of substations. To be confirmed._x000D_
05/12/2025: Deleted due to previous comment.</v>
      </c>
      <c r="E237">
        <f>_xlfn.XLOOKUP($A237,'EA-Fortescue_SDExport'!$A:$A,'EA-Fortescue_SDExport'!E:E)</f>
        <v>1</v>
      </c>
      <c r="F237">
        <f>_xlfn.XLOOKUP($A237,'EA-Fortescue_SDExport'!$A:$A,'EA-Fortescue_SDExport'!F:F)</f>
        <v>1</v>
      </c>
      <c r="G237">
        <f>_xlfn.XLOOKUP($A237,'EA-Fortescue_SDExport'!$A:$A,'EA-Fortescue_SDExport'!G:G)</f>
        <v>0</v>
      </c>
      <c r="H237" t="str">
        <f>_xlfn.XLOOKUP($A237,'EA-Fortescue_SDExport'!$A:$A,'EA-Fortescue_SDExport'!H:H)</f>
        <v>InterfaceBlock</v>
      </c>
      <c r="I237" t="str">
        <f>_xlfn.XLOOKUP($A237,'EA-Fortescue_SDExport'!$A:$A,'EA-Fortescue_SDExport'!I:I)</f>
        <v>SysML1.4::InterfaceBlock</v>
      </c>
      <c r="J237" t="str">
        <f>_xlfn.XLOOKUP($A237,'EA-Fortescue_SDExport'!$A:$A,'EA-Fortescue_SDExport'!J:J)</f>
        <v>Java</v>
      </c>
      <c r="K237" t="str">
        <f>_xlfn.XLOOKUP($A237,'EA-Fortescue_SDExport'!$A:$A,'EA-Fortescue_SDExport'!K:K)</f>
        <v>Admin</v>
      </c>
      <c r="L237" t="str">
        <f>_xlfn.XLOOKUP($A237,'EA-Fortescue_SDExport'!$A:$A,'EA-Fortescue_SDExport'!L:L)</f>
        <v>Public</v>
      </c>
      <c r="M237">
        <f>_xlfn.XLOOKUP($A237,'EA-Fortescue_SDExport'!$A:$A,'EA-Fortescue_SDExport'!M:M)</f>
        <v>0</v>
      </c>
      <c r="N237" t="str">
        <f>_xlfn.XLOOKUP($A237,InterfaceRegister!$A:$A,InterfaceRegister!K:K)</f>
        <v>Deleted</v>
      </c>
      <c r="O237">
        <f>_xlfn.XLOOKUP($A237,'EA-Fortescue_SDExport'!$A:$A,'EA-Fortescue_SDExport'!O:O)</f>
        <v>1</v>
      </c>
      <c r="P237">
        <f>_xlfn.XLOOKUP($A237,'EA-Fortescue_SDExport'!$A:$A,'EA-Fortescue_SDExport'!P:P)</f>
        <v>0</v>
      </c>
      <c r="Q237">
        <f>_xlfn.XLOOKUP($A237,'EA-Fortescue_SDExport'!$A:$A,'EA-Fortescue_SDExport'!Q:Q)</f>
        <v>0</v>
      </c>
      <c r="R237">
        <f>_xlfn.XLOOKUP($A237,'EA-Fortescue_SDExport'!$A:$A,'EA-Fortescue_SDExport'!R:R)</f>
        <v>0</v>
      </c>
      <c r="S237">
        <f>_xlfn.XLOOKUP($A237,'EA-Fortescue_SDExport'!$A:$A,'EA-Fortescue_SDExport'!S:S)</f>
        <v>0</v>
      </c>
      <c r="T237">
        <f>_xlfn.XLOOKUP($A237,'EA-Fortescue_SDExport'!$A:$A,'EA-Fortescue_SDExport'!T:T)</f>
        <v>0</v>
      </c>
      <c r="U237">
        <f>_xlfn.XLOOKUP($A237,'EA-Fortescue_SDExport'!$A:$A,'EA-Fortescue_SDExport'!U:U)</f>
        <v>45972.758611111109</v>
      </c>
      <c r="V237">
        <f>_xlfn.XLOOKUP($A237,'EA-Fortescue_SDExport'!$A:$A,'EA-Fortescue_SDExport'!V:V)</f>
        <v>46002.058796296296</v>
      </c>
      <c r="W237">
        <f>_xlfn.XLOOKUP($A237,'EA-Fortescue_SDExport'!$A:$A,'EA-Fortescue_SDExport'!W:W)</f>
        <v>0</v>
      </c>
      <c r="X237">
        <f>_xlfn.XLOOKUP($A237,'EA-Fortescue_SDExport'!$A:$A,'EA-Fortescue_SDExport'!X:X)</f>
        <v>0</v>
      </c>
      <c r="Y237">
        <f>_xlfn.XLOOKUP($A237,'EA-Fortescue_SDExport'!$A:$A,'EA-Fortescue_SDExport'!Y:Y)</f>
        <v>0</v>
      </c>
      <c r="Z237" t="str">
        <f>_xlfn.XLOOKUP($A237,'EA-Fortescue_SDExport'!$A:$A,'EA-Fortescue_SDExport'!Z:Z)</f>
        <v>SysML1.4::InterfaceBlock</v>
      </c>
      <c r="AA237" t="str">
        <f>_xlfn.XLOOKUP($A237,InterfaceRegister!$A:$A,InterfaceRegister!B:B)</f>
        <v>Solomon Mine Hub: Sub Kiosks|005OP-0000-017 Ignition</v>
      </c>
      <c r="AB237" t="str">
        <f>_xlfn.XLOOKUP($A237,InterfaceRegister!$A:$A,InterfaceRegister!C:C)</f>
        <v/>
      </c>
      <c r="AC237" t="str">
        <f>_xlfn.XLOOKUP($A237,InterfaceRegister!$A:$A,InterfaceRegister!D:D)</f>
        <v/>
      </c>
      <c r="AD237" t="str">
        <f>_xlfn.XLOOKUP($A237,InterfaceRegister!$A:$A,InterfaceRegister!E:E)</f>
        <v>System - Project Interface</v>
      </c>
      <c r="AE237" t="str">
        <f>_xlfn.XLOOKUP($A237,InterfaceRegister!$A:$A,InterfaceRegister!F:F)</f>
        <v/>
      </c>
      <c r="AF237" t="str">
        <f>_xlfn.XLOOKUP($A237,InterfaceRegister!$A:$A,InterfaceRegister!L:L)</f>
        <v>This interface allows Ignition SCADA to monitor and control the sub kiosks at Solomon, giving access to breaker states, alarms, and electrical measurements.</v>
      </c>
      <c r="AG237" t="str">
        <f>_xlfn.XLOOKUP($A237,InterfaceRegister!$A:$A,InterfaceRegister!M:M)</f>
        <v>HIGH</v>
      </c>
      <c r="AH237" t="str">
        <f>_xlfn.XLOOKUP($A237,InterfaceRegister!$A:$A,InterfaceRegister!O:O)</f>
        <v/>
      </c>
      <c r="AI237" t="str">
        <f>_xlfn.XLOOKUP($A237,InterfaceRegister!$A:$A,InterfaceRegister!N:N)</f>
        <v>The criticality level is HIGH because loss of SCADA connectivity can hamper the ability to detect and respond to electrical issues, potentially resulting in unsafe conditions or prolonged downtime. The sub kiosks form part of the essential electrical distribution system, and SCADA visibility is required for safe switching and coordination during faults.</v>
      </c>
      <c r="AJ237" t="str">
        <f>_xlfn.XLOOKUP($A237,'EA-Fortescue_SDExport'!$A:$A,'EA-Fortescue_SDExport'!AX:AX)</f>
        <v>CSV1DA363BD</v>
      </c>
      <c r="AK237">
        <f>_xlfn.XLOOKUP($A237,'EA-Fortescue_SDExport'!$A:$A,'EA-Fortescue_SDExport'!AY:AY)</f>
        <v>0</v>
      </c>
    </row>
    <row r="238" spans="1:37" x14ac:dyDescent="0.25">
      <c r="A238" t="str">
        <v>DGS-I_0237</v>
      </c>
      <c r="B238" t="str">
        <f>_xlfn.XLOOKUP($A238,'EA-Fortescue_SDExport'!$A:$A,'EA-Fortescue_SDExport'!B:B)</f>
        <v>Class</v>
      </c>
      <c r="C238" t="str">
        <f>_xlfn.XLOOKUP($A238,'EA-Fortescue_SDExport'!$A:$A,'EA-Fortescue_SDExport'!C:C)</f>
        <v>{4F3F8C75-0DA5-4fa6-B71A-FA524EE1EB00}</v>
      </c>
      <c r="D238" t="str">
        <f>_xlfn.LET(_xlpm.result, _xlfn.XLOOKUP($A238, InterfaceRegister!$A:$A, InterfaceRegister!P:P), IF(_xlpm.result=0, "", _xlpm.result))</f>
        <v>From DGS-I_0153 (interface with generic Field Switches): LMS Review 30/10/2025: PLC in a field switch OPC/UA._x000D_
Status for SCADA tags, circuit breaker statuses, temp data. _x000D_
_x000D_
Two way (control as well for HV Switching)._x000D_
_x000D_
SCADA Review 30/10/2025: Similar interface and functionality to GSS._x000D_
NH 20/02/2026: Fields updated: Interface Type, Interface Flow.</v>
      </c>
      <c r="E238">
        <f>_xlfn.XLOOKUP($A238,'EA-Fortescue_SDExport'!$A:$A,'EA-Fortescue_SDExport'!E:E)</f>
        <v>1</v>
      </c>
      <c r="F238">
        <f>_xlfn.XLOOKUP($A238,'EA-Fortescue_SDExport'!$A:$A,'EA-Fortescue_SDExport'!F:F)</f>
        <v>1</v>
      </c>
      <c r="G238">
        <f>_xlfn.XLOOKUP($A238,'EA-Fortescue_SDExport'!$A:$A,'EA-Fortescue_SDExport'!G:G)</f>
        <v>0</v>
      </c>
      <c r="H238" t="str">
        <f>_xlfn.XLOOKUP($A238,'EA-Fortescue_SDExport'!$A:$A,'EA-Fortescue_SDExport'!H:H)</f>
        <v>InterfaceBlock</v>
      </c>
      <c r="I238" t="str">
        <f>_xlfn.XLOOKUP($A238,'EA-Fortescue_SDExport'!$A:$A,'EA-Fortescue_SDExport'!I:I)</f>
        <v>SysML1.4::InterfaceBlock</v>
      </c>
      <c r="J238" t="str">
        <f>_xlfn.XLOOKUP($A238,'EA-Fortescue_SDExport'!$A:$A,'EA-Fortescue_SDExport'!J:J)</f>
        <v>Java</v>
      </c>
      <c r="K238" t="str">
        <f>_xlfn.XLOOKUP($A238,'EA-Fortescue_SDExport'!$A:$A,'EA-Fortescue_SDExport'!K:K)</f>
        <v>Admin</v>
      </c>
      <c r="L238" t="str">
        <f>_xlfn.XLOOKUP($A238,'EA-Fortescue_SDExport'!$A:$A,'EA-Fortescue_SDExport'!L:L)</f>
        <v>Public</v>
      </c>
      <c r="M238">
        <f>_xlfn.XLOOKUP($A238,'EA-Fortescue_SDExport'!$A:$A,'EA-Fortescue_SDExport'!M:M)</f>
        <v>0</v>
      </c>
      <c r="N238" t="str">
        <f>_xlfn.XLOOKUP($A238,InterfaceRegister!$A:$A,InterfaceRegister!K:K)</f>
        <v>Proposed</v>
      </c>
      <c r="O238">
        <f>_xlfn.XLOOKUP($A238,'EA-Fortescue_SDExport'!$A:$A,'EA-Fortescue_SDExport'!O:O)</f>
        <v>1</v>
      </c>
      <c r="P238">
        <f>_xlfn.XLOOKUP($A238,'EA-Fortescue_SDExport'!$A:$A,'EA-Fortescue_SDExport'!P:P)</f>
        <v>0</v>
      </c>
      <c r="Q238">
        <f>_xlfn.XLOOKUP($A238,'EA-Fortescue_SDExport'!$A:$A,'EA-Fortescue_SDExport'!Q:Q)</f>
        <v>0</v>
      </c>
      <c r="R238">
        <f>_xlfn.XLOOKUP($A238,'EA-Fortescue_SDExport'!$A:$A,'EA-Fortescue_SDExport'!R:R)</f>
        <v>0</v>
      </c>
      <c r="S238">
        <f>_xlfn.XLOOKUP($A238,'EA-Fortescue_SDExport'!$A:$A,'EA-Fortescue_SDExport'!S:S)</f>
        <v>0</v>
      </c>
      <c r="T238">
        <f>_xlfn.XLOOKUP($A238,'EA-Fortescue_SDExport'!$A:$A,'EA-Fortescue_SDExport'!T:T)</f>
        <v>0</v>
      </c>
      <c r="U238">
        <f>_xlfn.XLOOKUP($A238,'EA-Fortescue_SDExport'!$A:$A,'EA-Fortescue_SDExport'!U:U)</f>
        <v>45972.763726851852</v>
      </c>
      <c r="V238">
        <f>_xlfn.XLOOKUP($A238,'EA-Fortescue_SDExport'!$A:$A,'EA-Fortescue_SDExport'!V:V)</f>
        <v>46077.993217592593</v>
      </c>
      <c r="W238">
        <f>_xlfn.XLOOKUP($A238,'EA-Fortescue_SDExport'!$A:$A,'EA-Fortescue_SDExport'!W:W)</f>
        <v>0</v>
      </c>
      <c r="X238">
        <f>_xlfn.XLOOKUP($A238,'EA-Fortescue_SDExport'!$A:$A,'EA-Fortescue_SDExport'!X:X)</f>
        <v>0</v>
      </c>
      <c r="Y238">
        <f>_xlfn.XLOOKUP($A238,'EA-Fortescue_SDExport'!$A:$A,'EA-Fortescue_SDExport'!Y:Y)</f>
        <v>0</v>
      </c>
      <c r="Z238" t="str">
        <f>_xlfn.XLOOKUP($A238,'EA-Fortescue_SDExport'!$A:$A,'EA-Fortescue_SDExport'!Z:Z)</f>
        <v>SysML1.4::InterfaceBlock</v>
      </c>
      <c r="AA238" t="str">
        <f>_xlfn.XLOOKUP($A238,InterfaceRegister!$A:$A,InterfaceRegister!B:B)</f>
        <v>Solomon Mine Hub: Field Switches|005OP-0000-017 Ignition</v>
      </c>
      <c r="AB238" t="str">
        <f>_xlfn.XLOOKUP($A238,InterfaceRegister!$A:$A,InterfaceRegister!C:C)</f>
        <v/>
      </c>
      <c r="AC238" t="str">
        <f>_xlfn.XLOOKUP($A238,InterfaceRegister!$A:$A,InterfaceRegister!D:D)</f>
        <v/>
      </c>
      <c r="AD238" t="str">
        <f>_xlfn.XLOOKUP($A238,InterfaceRegister!$A:$A,InterfaceRegister!E:E)</f>
        <v>System - Project Interface</v>
      </c>
      <c r="AE238" t="str">
        <f>_xlfn.XLOOKUP($A238,InterfaceRegister!$A:$A,InterfaceRegister!F:F)</f>
        <v>Technical-Electrical</v>
      </c>
      <c r="AF238" t="str">
        <f>_xlfn.XLOOKUP($A238,InterfaceRegister!$A:$A,InterfaceRegister!L:L)</f>
        <v>This interface provides Ignition SCADA with live status and control of field switches at the Solomon Hub, enabling operators to remotely isolate faults, reroute power, and maintain system stability.</v>
      </c>
      <c r="AG238" t="str">
        <f>_xlfn.XLOOKUP($A238,InterfaceRegister!$A:$A,InterfaceRegister!M:M)</f>
        <v>HIGH</v>
      </c>
      <c r="AH238" t="str">
        <f>_xlfn.XLOOKUP($A238,InterfaceRegister!$A:$A,InterfaceRegister!O:O)</f>
        <v>Data Flow:_x000D_
Field Switches (850DC-1522) -&gt; Ignition SCADA (005OP-0000-017), transmitting switch position (open/closed), load current, voltage presence, protection indications, alarms, and fault status to provide real-time visibility of distribution network topology and condition._x000D_
Control Flow:_x000D_
Ignition SCADA -&gt; Field Switches, issuing remote open/close commands, isolation instructions, reset signals, and reconfiguration commands to enable safe fault isolation, load transfer, and network stabilisation.</v>
      </c>
      <c r="AI238" t="str">
        <f>_xlfn.XLOOKUP($A238,InterfaceRegister!$A:$A,InterfaceRegister!N:N)</f>
        <v>The criticality level is HIGH because field switches are essential for protecting equipment and maintaining the safety and stability of the power network. Losing this interface may impair the ability to safely isolate equipment and respond to electrical events, increasing the risk of outages or unsafe work conditions.</v>
      </c>
      <c r="AJ238" t="str">
        <f>_xlfn.XLOOKUP($A238,'EA-Fortescue_SDExport'!$A:$A,'EA-Fortescue_SDExport'!AX:AX)</f>
        <v>CSV8584BE3D</v>
      </c>
      <c r="AK238">
        <f>_xlfn.XLOOKUP($A238,'EA-Fortescue_SDExport'!$A:$A,'EA-Fortescue_SDExport'!AY:AY)</f>
        <v>0</v>
      </c>
    </row>
    <row r="239" spans="1:37" x14ac:dyDescent="0.25">
      <c r="A239" t="str">
        <v>DGS-I_0238</v>
      </c>
      <c r="B239" t="str">
        <f>_xlfn.XLOOKUP($A239,'EA-Fortescue_SDExport'!$A:$A,'EA-Fortescue_SDExport'!B:B)</f>
        <v>Class</v>
      </c>
      <c r="C239" t="str">
        <f>_xlfn.XLOOKUP($A239,'EA-Fortescue_SDExport'!$A:$A,'EA-Fortescue_SDExport'!C:C)</f>
        <v>{8F2A8CF3-BDDD-4723-8E27-4F2DBA9D0403}</v>
      </c>
      <c r="D239" t="str">
        <f>_xlfn.LET(_xlpm.result, _xlfn.XLOOKUP($A239, InterfaceRegister!$A:$A, InterfaceRegister!P:P), IF(_xlpm.result=0, "", _xlpm.result))</f>
        <v/>
      </c>
      <c r="E239">
        <f>_xlfn.XLOOKUP($A239,'EA-Fortescue_SDExport'!$A:$A,'EA-Fortescue_SDExport'!E:E)</f>
        <v>1</v>
      </c>
      <c r="F239">
        <f>_xlfn.XLOOKUP($A239,'EA-Fortescue_SDExport'!$A:$A,'EA-Fortescue_SDExport'!F:F)</f>
        <v>1</v>
      </c>
      <c r="G239">
        <f>_xlfn.XLOOKUP($A239,'EA-Fortescue_SDExport'!$A:$A,'EA-Fortescue_SDExport'!G:G)</f>
        <v>0</v>
      </c>
      <c r="H239" t="str">
        <f>_xlfn.XLOOKUP($A239,'EA-Fortescue_SDExport'!$A:$A,'EA-Fortescue_SDExport'!H:H)</f>
        <v>InterfaceBlock</v>
      </c>
      <c r="I239" t="str">
        <f>_xlfn.XLOOKUP($A239,'EA-Fortescue_SDExport'!$A:$A,'EA-Fortescue_SDExport'!I:I)</f>
        <v>SysML1.4::InterfaceBlock</v>
      </c>
      <c r="J239" t="str">
        <f>_xlfn.XLOOKUP($A239,'EA-Fortescue_SDExport'!$A:$A,'EA-Fortescue_SDExport'!J:J)</f>
        <v>Java</v>
      </c>
      <c r="K239" t="str">
        <f>_xlfn.XLOOKUP($A239,'EA-Fortescue_SDExport'!$A:$A,'EA-Fortescue_SDExport'!K:K)</f>
        <v>Admin</v>
      </c>
      <c r="L239" t="str">
        <f>_xlfn.XLOOKUP($A239,'EA-Fortescue_SDExport'!$A:$A,'EA-Fortescue_SDExport'!L:L)</f>
        <v>Public</v>
      </c>
      <c r="M239">
        <f>_xlfn.XLOOKUP($A239,'EA-Fortescue_SDExport'!$A:$A,'EA-Fortescue_SDExport'!M:M)</f>
        <v>0</v>
      </c>
      <c r="N239" t="str">
        <f>_xlfn.XLOOKUP($A239,InterfaceRegister!$A:$A,InterfaceRegister!K:K)</f>
        <v>Proposed</v>
      </c>
      <c r="O239">
        <f>_xlfn.XLOOKUP($A239,'EA-Fortescue_SDExport'!$A:$A,'EA-Fortescue_SDExport'!O:O)</f>
        <v>1</v>
      </c>
      <c r="P239">
        <f>_xlfn.XLOOKUP($A239,'EA-Fortescue_SDExport'!$A:$A,'EA-Fortescue_SDExport'!P:P)</f>
        <v>0</v>
      </c>
      <c r="Q239">
        <f>_xlfn.XLOOKUP($A239,'EA-Fortescue_SDExport'!$A:$A,'EA-Fortescue_SDExport'!Q:Q)</f>
        <v>0</v>
      </c>
      <c r="R239">
        <f>_xlfn.XLOOKUP($A239,'EA-Fortescue_SDExport'!$A:$A,'EA-Fortescue_SDExport'!R:R)</f>
        <v>0</v>
      </c>
      <c r="S239">
        <f>_xlfn.XLOOKUP($A239,'EA-Fortescue_SDExport'!$A:$A,'EA-Fortescue_SDExport'!S:S)</f>
        <v>0</v>
      </c>
      <c r="T239">
        <f>_xlfn.XLOOKUP($A239,'EA-Fortescue_SDExport'!$A:$A,'EA-Fortescue_SDExport'!T:T)</f>
        <v>0</v>
      </c>
      <c r="U239">
        <f>_xlfn.XLOOKUP($A239,'EA-Fortescue_SDExport'!$A:$A,'EA-Fortescue_SDExport'!U:U)</f>
        <v>45972.804166666669</v>
      </c>
      <c r="V239">
        <f>_xlfn.XLOOKUP($A239,'EA-Fortescue_SDExport'!$A:$A,'EA-Fortescue_SDExport'!V:V)</f>
        <v>46032.649004629631</v>
      </c>
      <c r="W239">
        <f>_xlfn.XLOOKUP($A239,'EA-Fortescue_SDExport'!$A:$A,'EA-Fortescue_SDExport'!W:W)</f>
        <v>0</v>
      </c>
      <c r="X239">
        <f>_xlfn.XLOOKUP($A239,'EA-Fortescue_SDExport'!$A:$A,'EA-Fortescue_SDExport'!X:X)</f>
        <v>0</v>
      </c>
      <c r="Y239">
        <f>_xlfn.XLOOKUP($A239,'EA-Fortescue_SDExport'!$A:$A,'EA-Fortescue_SDExport'!Y:Y)</f>
        <v>0</v>
      </c>
      <c r="Z239" t="str">
        <f>_xlfn.XLOOKUP($A239,'EA-Fortescue_SDExport'!$A:$A,'EA-Fortescue_SDExport'!Z:Z)</f>
        <v>SysML1.4::InterfaceBlock</v>
      </c>
      <c r="AA239" t="str">
        <f>_xlfn.XLOOKUP($A239,InterfaceRegister!$A:$A,InterfaceRegister!B:B)</f>
        <v>854DC-5670-0001-0001 AC Solar Inverter|854DC-5680-0001 Battery Energy Storage Systems (BESS)</v>
      </c>
      <c r="AB239" t="str">
        <f>_xlfn.XLOOKUP($A239,InterfaceRegister!$A:$A,InterfaceRegister!C:C)</f>
        <v/>
      </c>
      <c r="AC239" t="str">
        <f>_xlfn.XLOOKUP($A239,InterfaceRegister!$A:$A,InterfaceRegister!D:D)</f>
        <v/>
      </c>
      <c r="AD239" t="str">
        <f>_xlfn.XLOOKUP($A239,InterfaceRegister!$A:$A,InterfaceRegister!E:E)</f>
        <v>Project - Subsystem Interface</v>
      </c>
      <c r="AE239" t="str">
        <f>_xlfn.XLOOKUP($A239,InterfaceRegister!$A:$A,InterfaceRegister!F:F)</f>
        <v/>
      </c>
      <c r="AF239" t="str">
        <f>_xlfn.XLOOKUP($A239,InterfaceRegister!$A:$A,InterfaceRegister!L:L)</f>
        <v/>
      </c>
      <c r="AG239" t="str">
        <f>_xlfn.XLOOKUP($A239,InterfaceRegister!$A:$A,InterfaceRegister!M:M)</f>
        <v/>
      </c>
      <c r="AH239" t="str">
        <f>_xlfn.XLOOKUP($A239,InterfaceRegister!$A:$A,InterfaceRegister!O:O)</f>
        <v/>
      </c>
      <c r="AI239" t="str">
        <f>_xlfn.XLOOKUP($A239,InterfaceRegister!$A:$A,InterfaceRegister!N:N)</f>
        <v/>
      </c>
      <c r="AJ239" t="str">
        <f>_xlfn.XLOOKUP($A239,'EA-Fortescue_SDExport'!$A:$A,'EA-Fortescue_SDExport'!AX:AX)</f>
        <v>CSVE268C7B3</v>
      </c>
      <c r="AK239">
        <f>_xlfn.XLOOKUP($A239,'EA-Fortescue_SDExport'!$A:$A,'EA-Fortescue_SDExport'!AY:AY)</f>
        <v>0</v>
      </c>
    </row>
    <row r="240" spans="1:37" x14ac:dyDescent="0.25">
      <c r="A240" t="str">
        <v>DGS-I_0239</v>
      </c>
      <c r="B240" t="str">
        <f>_xlfn.XLOOKUP($A240,'EA-Fortescue_SDExport'!$A:$A,'EA-Fortescue_SDExport'!B:B)</f>
        <v>Class</v>
      </c>
      <c r="C240" t="str">
        <f>_xlfn.XLOOKUP($A240,'EA-Fortescue_SDExport'!$A:$A,'EA-Fortescue_SDExport'!C:C)</f>
        <v>{5927CFE5-9D17-4b05-A29D-5C41320B905B}</v>
      </c>
      <c r="D240" t="str">
        <f>_xlfn.LET(_xlpm.result, _xlfn.XLOOKUP($A240, InterfaceRegister!$A:$A, InterfaceRegister!P:P), IF(_xlpm.result=0, "", _xlpm.result))</f>
        <v/>
      </c>
      <c r="E240">
        <f>_xlfn.XLOOKUP($A240,'EA-Fortescue_SDExport'!$A:$A,'EA-Fortescue_SDExport'!E:E)</f>
        <v>1</v>
      </c>
      <c r="F240">
        <f>_xlfn.XLOOKUP($A240,'EA-Fortescue_SDExport'!$A:$A,'EA-Fortescue_SDExport'!F:F)</f>
        <v>1</v>
      </c>
      <c r="G240">
        <f>_xlfn.XLOOKUP($A240,'EA-Fortescue_SDExport'!$A:$A,'EA-Fortescue_SDExport'!G:G)</f>
        <v>0</v>
      </c>
      <c r="H240" t="str">
        <f>_xlfn.XLOOKUP($A240,'EA-Fortescue_SDExport'!$A:$A,'EA-Fortescue_SDExport'!H:H)</f>
        <v>InterfaceBlock</v>
      </c>
      <c r="I240" t="str">
        <f>_xlfn.XLOOKUP($A240,'EA-Fortescue_SDExport'!$A:$A,'EA-Fortescue_SDExport'!I:I)</f>
        <v>SysML1.4::InterfaceBlock</v>
      </c>
      <c r="J240" t="str">
        <f>_xlfn.XLOOKUP($A240,'EA-Fortescue_SDExport'!$A:$A,'EA-Fortescue_SDExport'!J:J)</f>
        <v>Java</v>
      </c>
      <c r="K240" t="str">
        <f>_xlfn.XLOOKUP($A240,'EA-Fortescue_SDExport'!$A:$A,'EA-Fortescue_SDExport'!K:K)</f>
        <v>Admin</v>
      </c>
      <c r="L240" t="str">
        <f>_xlfn.XLOOKUP($A240,'EA-Fortescue_SDExport'!$A:$A,'EA-Fortescue_SDExport'!L:L)</f>
        <v>Public</v>
      </c>
      <c r="M240">
        <f>_xlfn.XLOOKUP($A240,'EA-Fortescue_SDExport'!$A:$A,'EA-Fortescue_SDExport'!M:M)</f>
        <v>0</v>
      </c>
      <c r="N240" t="str">
        <f>_xlfn.XLOOKUP($A240,InterfaceRegister!$A:$A,InterfaceRegister!K:K)</f>
        <v>Proposed</v>
      </c>
      <c r="O240">
        <f>_xlfn.XLOOKUP($A240,'EA-Fortescue_SDExport'!$A:$A,'EA-Fortescue_SDExport'!O:O)</f>
        <v>1</v>
      </c>
      <c r="P240">
        <f>_xlfn.XLOOKUP($A240,'EA-Fortescue_SDExport'!$A:$A,'EA-Fortescue_SDExport'!P:P)</f>
        <v>0</v>
      </c>
      <c r="Q240">
        <f>_xlfn.XLOOKUP($A240,'EA-Fortescue_SDExport'!$A:$A,'EA-Fortescue_SDExport'!Q:Q)</f>
        <v>0</v>
      </c>
      <c r="R240">
        <f>_xlfn.XLOOKUP($A240,'EA-Fortescue_SDExport'!$A:$A,'EA-Fortescue_SDExport'!R:R)</f>
        <v>0</v>
      </c>
      <c r="S240">
        <f>_xlfn.XLOOKUP($A240,'EA-Fortescue_SDExport'!$A:$A,'EA-Fortescue_SDExport'!S:S)</f>
        <v>0</v>
      </c>
      <c r="T240">
        <f>_xlfn.XLOOKUP($A240,'EA-Fortescue_SDExport'!$A:$A,'EA-Fortescue_SDExport'!T:T)</f>
        <v>0</v>
      </c>
      <c r="U240">
        <f>_xlfn.XLOOKUP($A240,'EA-Fortescue_SDExport'!$A:$A,'EA-Fortescue_SDExport'!U:U)</f>
        <v>45924.510405092595</v>
      </c>
      <c r="V240">
        <f>_xlfn.XLOOKUP($A240,'EA-Fortescue_SDExport'!$A:$A,'EA-Fortescue_SDExport'!V:V)</f>
        <v>46002.004999999997</v>
      </c>
      <c r="W240">
        <f>_xlfn.XLOOKUP($A240,'EA-Fortescue_SDExport'!$A:$A,'EA-Fortescue_SDExport'!W:W)</f>
        <v>0</v>
      </c>
      <c r="X240">
        <f>_xlfn.XLOOKUP($A240,'EA-Fortescue_SDExport'!$A:$A,'EA-Fortescue_SDExport'!X:X)</f>
        <v>0</v>
      </c>
      <c r="Y240">
        <f>_xlfn.XLOOKUP($A240,'EA-Fortescue_SDExport'!$A:$A,'EA-Fortescue_SDExport'!Y:Y)</f>
        <v>0</v>
      </c>
      <c r="Z240" t="str">
        <f>_xlfn.XLOOKUP($A240,'EA-Fortescue_SDExport'!$A:$A,'EA-Fortescue_SDExport'!Z:Z)</f>
        <v>SysML1.4::InterfaceBlock</v>
      </c>
      <c r="AA240" t="str">
        <f>_xlfn.XLOOKUP($A240,InterfaceRegister!$A:$A,InterfaceRegister!B:B)</f>
        <v>Solomon Mine Hub: AC Solar Inverter|Solomon Mine Hub: Solar Photovoltaic (PV) Farms</v>
      </c>
      <c r="AB240" t="str">
        <f>_xlfn.XLOOKUP($A240,InterfaceRegister!$A:$A,InterfaceRegister!C:C)</f>
        <v/>
      </c>
      <c r="AC240" t="str">
        <f>_xlfn.XLOOKUP($A240,InterfaceRegister!$A:$A,InterfaceRegister!D:D)</f>
        <v/>
      </c>
      <c r="AD240" t="str">
        <f>_xlfn.XLOOKUP($A240,InterfaceRegister!$A:$A,InterfaceRegister!E:E)</f>
        <v>Project - Subsystem Interface</v>
      </c>
      <c r="AE240" t="str">
        <f>_xlfn.XLOOKUP($A240,InterfaceRegister!$A:$A,InterfaceRegister!F:F)</f>
        <v/>
      </c>
      <c r="AF240" t="str">
        <f>_xlfn.XLOOKUP($A240,InterfaceRegister!$A:$A,InterfaceRegister!L:L)</f>
        <v/>
      </c>
      <c r="AG240" t="str">
        <f>_xlfn.XLOOKUP($A240,InterfaceRegister!$A:$A,InterfaceRegister!M:M)</f>
        <v/>
      </c>
      <c r="AH240" t="str">
        <f>_xlfn.XLOOKUP($A240,InterfaceRegister!$A:$A,InterfaceRegister!O:O)</f>
        <v/>
      </c>
      <c r="AI240" t="str">
        <f>_xlfn.XLOOKUP($A240,InterfaceRegister!$A:$A,InterfaceRegister!N:N)</f>
        <v/>
      </c>
      <c r="AJ240" t="str">
        <f>_xlfn.XLOOKUP($A240,'EA-Fortescue_SDExport'!$A:$A,'EA-Fortescue_SDExport'!AX:AX)</f>
        <v>CSVCD11644C</v>
      </c>
      <c r="AK240">
        <f>_xlfn.XLOOKUP($A240,'EA-Fortescue_SDExport'!$A:$A,'EA-Fortescue_SDExport'!AY:AY)</f>
        <v>0</v>
      </c>
    </row>
    <row r="241" spans="1:37" x14ac:dyDescent="0.25">
      <c r="A241" t="str">
        <v>DGS-I_0240</v>
      </c>
      <c r="B241" t="str">
        <f>_xlfn.XLOOKUP($A241,'EA-Fortescue_SDExport'!$A:$A,'EA-Fortescue_SDExport'!B:B)</f>
        <v>Class</v>
      </c>
      <c r="C241" t="str">
        <f>_xlfn.XLOOKUP($A241,'EA-Fortescue_SDExport'!$A:$A,'EA-Fortescue_SDExport'!C:C)</f>
        <v>{0B186B24-F3D4-49e0-9C7C-017672690464}</v>
      </c>
      <c r="D241" t="str">
        <f>_xlfn.LET(_xlpm.result, _xlfn.XLOOKUP($A241, InterfaceRegister!$A:$A, InterfaceRegister!P:P), IF(_xlpm.result=0, "", _xlpm.result))</f>
        <v/>
      </c>
      <c r="E241">
        <f>_xlfn.XLOOKUP($A241,'EA-Fortescue_SDExport'!$A:$A,'EA-Fortescue_SDExport'!E:E)</f>
        <v>1</v>
      </c>
      <c r="F241">
        <f>_xlfn.XLOOKUP($A241,'EA-Fortescue_SDExport'!$A:$A,'EA-Fortescue_SDExport'!F:F)</f>
        <v>1</v>
      </c>
      <c r="G241">
        <f>_xlfn.XLOOKUP($A241,'EA-Fortescue_SDExport'!$A:$A,'EA-Fortescue_SDExport'!G:G)</f>
        <v>0</v>
      </c>
      <c r="H241" t="str">
        <f>_xlfn.XLOOKUP($A241,'EA-Fortescue_SDExport'!$A:$A,'EA-Fortescue_SDExport'!H:H)</f>
        <v>InterfaceBlock</v>
      </c>
      <c r="I241" t="str">
        <f>_xlfn.XLOOKUP($A241,'EA-Fortescue_SDExport'!$A:$A,'EA-Fortescue_SDExport'!I:I)</f>
        <v>SysML1.4::InterfaceBlock</v>
      </c>
      <c r="J241" t="str">
        <f>_xlfn.XLOOKUP($A241,'EA-Fortescue_SDExport'!$A:$A,'EA-Fortescue_SDExport'!J:J)</f>
        <v>Java</v>
      </c>
      <c r="K241" t="str">
        <f>_xlfn.XLOOKUP($A241,'EA-Fortescue_SDExport'!$A:$A,'EA-Fortescue_SDExport'!K:K)</f>
        <v>Admin</v>
      </c>
      <c r="L241" t="str">
        <f>_xlfn.XLOOKUP($A241,'EA-Fortescue_SDExport'!$A:$A,'EA-Fortescue_SDExport'!L:L)</f>
        <v>Public</v>
      </c>
      <c r="M241">
        <f>_xlfn.XLOOKUP($A241,'EA-Fortescue_SDExport'!$A:$A,'EA-Fortescue_SDExport'!M:M)</f>
        <v>0</v>
      </c>
      <c r="N241" t="str">
        <f>_xlfn.XLOOKUP($A241,InterfaceRegister!$A:$A,InterfaceRegister!K:K)</f>
        <v>Proposed</v>
      </c>
      <c r="O241">
        <f>_xlfn.XLOOKUP($A241,'EA-Fortescue_SDExport'!$A:$A,'EA-Fortescue_SDExport'!O:O)</f>
        <v>1</v>
      </c>
      <c r="P241">
        <f>_xlfn.XLOOKUP($A241,'EA-Fortescue_SDExport'!$A:$A,'EA-Fortescue_SDExport'!P:P)</f>
        <v>0</v>
      </c>
      <c r="Q241">
        <f>_xlfn.XLOOKUP($A241,'EA-Fortescue_SDExport'!$A:$A,'EA-Fortescue_SDExport'!Q:Q)</f>
        <v>0</v>
      </c>
      <c r="R241">
        <f>_xlfn.XLOOKUP($A241,'EA-Fortescue_SDExport'!$A:$A,'EA-Fortescue_SDExport'!R:R)</f>
        <v>0</v>
      </c>
      <c r="S241">
        <f>_xlfn.XLOOKUP($A241,'EA-Fortescue_SDExport'!$A:$A,'EA-Fortescue_SDExport'!S:S)</f>
        <v>0</v>
      </c>
      <c r="T241">
        <f>_xlfn.XLOOKUP($A241,'EA-Fortescue_SDExport'!$A:$A,'EA-Fortescue_SDExport'!T:T)</f>
        <v>0</v>
      </c>
      <c r="U241">
        <f>_xlfn.XLOOKUP($A241,'EA-Fortescue_SDExport'!$A:$A,'EA-Fortescue_SDExport'!U:U)</f>
        <v>45932.625671296293</v>
      </c>
      <c r="V241">
        <f>_xlfn.XLOOKUP($A241,'EA-Fortescue_SDExport'!$A:$A,'EA-Fortescue_SDExport'!V:V)</f>
        <v>46002.004965277774</v>
      </c>
      <c r="W241">
        <f>_xlfn.XLOOKUP($A241,'EA-Fortescue_SDExport'!$A:$A,'EA-Fortescue_SDExport'!W:W)</f>
        <v>0</v>
      </c>
      <c r="X241">
        <f>_xlfn.XLOOKUP($A241,'EA-Fortescue_SDExport'!$A:$A,'EA-Fortescue_SDExport'!X:X)</f>
        <v>0</v>
      </c>
      <c r="Y241">
        <f>_xlfn.XLOOKUP($A241,'EA-Fortescue_SDExport'!$A:$A,'EA-Fortescue_SDExport'!Y:Y)</f>
        <v>0</v>
      </c>
      <c r="Z241" t="str">
        <f>_xlfn.XLOOKUP($A241,'EA-Fortescue_SDExport'!$A:$A,'EA-Fortescue_SDExport'!Z:Z)</f>
        <v>SysML1.4::InterfaceBlock</v>
      </c>
      <c r="AA241" t="str">
        <f>_xlfn.XLOOKUP($A241,InterfaceRegister!$A:$A,InterfaceRegister!B:B)</f>
        <v>Solomon Mine Hub: Solar Photovoltaic (PV) Farms|855DC-1543-008 Monarch</v>
      </c>
      <c r="AB241" t="str">
        <f>_xlfn.XLOOKUP($A241,InterfaceRegister!$A:$A,InterfaceRegister!C:C)</f>
        <v/>
      </c>
      <c r="AC241" t="str">
        <f>_xlfn.XLOOKUP($A241,InterfaceRegister!$A:$A,InterfaceRegister!D:D)</f>
        <v/>
      </c>
      <c r="AD241" t="str">
        <f>_xlfn.XLOOKUP($A241,InterfaceRegister!$A:$A,InterfaceRegister!E:E)</f>
        <v>Project - Project Interface</v>
      </c>
      <c r="AE241" t="str">
        <f>_xlfn.XLOOKUP($A241,InterfaceRegister!$A:$A,InterfaceRegister!F:F)</f>
        <v/>
      </c>
      <c r="AF241" t="str">
        <f>_xlfn.XLOOKUP($A241,InterfaceRegister!$A:$A,InterfaceRegister!L:L)</f>
        <v/>
      </c>
      <c r="AG241" t="str">
        <f>_xlfn.XLOOKUP($A241,InterfaceRegister!$A:$A,InterfaceRegister!M:M)</f>
        <v/>
      </c>
      <c r="AH241" t="str">
        <f>_xlfn.XLOOKUP($A241,InterfaceRegister!$A:$A,InterfaceRegister!O:O)</f>
        <v/>
      </c>
      <c r="AI241" t="str">
        <f>_xlfn.XLOOKUP($A241,InterfaceRegister!$A:$A,InterfaceRegister!N:N)</f>
        <v/>
      </c>
      <c r="AJ241" t="str">
        <f>_xlfn.XLOOKUP($A241,'EA-Fortescue_SDExport'!$A:$A,'EA-Fortescue_SDExport'!AX:AX)</f>
        <v>CSVE1DA532F</v>
      </c>
      <c r="AK241">
        <f>_xlfn.XLOOKUP($A241,'EA-Fortescue_SDExport'!$A:$A,'EA-Fortescue_SDExport'!AY:AY)</f>
        <v>0</v>
      </c>
    </row>
    <row r="242" spans="1:37" x14ac:dyDescent="0.25">
      <c r="A242" t="str">
        <v>DGS-I_0241</v>
      </c>
      <c r="B242" t="str">
        <f>_xlfn.XLOOKUP($A242,'EA-Fortescue_SDExport'!$A:$A,'EA-Fortescue_SDExport'!B:B)</f>
        <v>Class</v>
      </c>
      <c r="C242" t="str">
        <f>_xlfn.XLOOKUP($A242,'EA-Fortescue_SDExport'!$A:$A,'EA-Fortescue_SDExport'!C:C)</f>
        <v>{0AC9E401-8EB1-4bdd-BA53-DC7F427D888C}</v>
      </c>
      <c r="D242" t="str">
        <f>_xlfn.LET(_xlpm.result, _xlfn.XLOOKUP($A242, InterfaceRegister!$A:$A, InterfaceRegister!P:P), IF(_xlpm.result=0, "", _xlpm.result))</f>
        <v/>
      </c>
      <c r="E242">
        <f>_xlfn.XLOOKUP($A242,'EA-Fortescue_SDExport'!$A:$A,'EA-Fortescue_SDExport'!E:E)</f>
        <v>1</v>
      </c>
      <c r="F242">
        <f>_xlfn.XLOOKUP($A242,'EA-Fortescue_SDExport'!$A:$A,'EA-Fortescue_SDExport'!F:F)</f>
        <v>1</v>
      </c>
      <c r="G242">
        <f>_xlfn.XLOOKUP($A242,'EA-Fortescue_SDExport'!$A:$A,'EA-Fortescue_SDExport'!G:G)</f>
        <v>0</v>
      </c>
      <c r="H242" t="str">
        <f>_xlfn.XLOOKUP($A242,'EA-Fortescue_SDExport'!$A:$A,'EA-Fortescue_SDExport'!H:H)</f>
        <v>InterfaceBlock</v>
      </c>
      <c r="I242" t="str">
        <f>_xlfn.XLOOKUP($A242,'EA-Fortescue_SDExport'!$A:$A,'EA-Fortescue_SDExport'!I:I)</f>
        <v>SysML1.4::InterfaceBlock</v>
      </c>
      <c r="J242" t="str">
        <f>_xlfn.XLOOKUP($A242,'EA-Fortescue_SDExport'!$A:$A,'EA-Fortescue_SDExport'!J:J)</f>
        <v>Java</v>
      </c>
      <c r="K242" t="str">
        <f>_xlfn.XLOOKUP($A242,'EA-Fortescue_SDExport'!$A:$A,'EA-Fortescue_SDExport'!K:K)</f>
        <v>Admin</v>
      </c>
      <c r="L242" t="str">
        <f>_xlfn.XLOOKUP($A242,'EA-Fortescue_SDExport'!$A:$A,'EA-Fortescue_SDExport'!L:L)</f>
        <v>Public</v>
      </c>
      <c r="M242">
        <f>_xlfn.XLOOKUP($A242,'EA-Fortescue_SDExport'!$A:$A,'EA-Fortescue_SDExport'!M:M)</f>
        <v>0</v>
      </c>
      <c r="N242" t="str">
        <f>_xlfn.XLOOKUP($A242,InterfaceRegister!$A:$A,InterfaceRegister!K:K)</f>
        <v>Proposed</v>
      </c>
      <c r="O242">
        <f>_xlfn.XLOOKUP($A242,'EA-Fortescue_SDExport'!$A:$A,'EA-Fortescue_SDExport'!O:O)</f>
        <v>1</v>
      </c>
      <c r="P242">
        <f>_xlfn.XLOOKUP($A242,'EA-Fortescue_SDExport'!$A:$A,'EA-Fortescue_SDExport'!P:P)</f>
        <v>0</v>
      </c>
      <c r="Q242">
        <f>_xlfn.XLOOKUP($A242,'EA-Fortescue_SDExport'!$A:$A,'EA-Fortescue_SDExport'!Q:Q)</f>
        <v>0</v>
      </c>
      <c r="R242">
        <f>_xlfn.XLOOKUP($A242,'EA-Fortescue_SDExport'!$A:$A,'EA-Fortescue_SDExport'!R:R)</f>
        <v>0</v>
      </c>
      <c r="S242">
        <f>_xlfn.XLOOKUP($A242,'EA-Fortescue_SDExport'!$A:$A,'EA-Fortescue_SDExport'!S:S)</f>
        <v>0</v>
      </c>
      <c r="T242">
        <f>_xlfn.XLOOKUP($A242,'EA-Fortescue_SDExport'!$A:$A,'EA-Fortescue_SDExport'!T:T)</f>
        <v>0</v>
      </c>
      <c r="U242">
        <f>_xlfn.XLOOKUP($A242,'EA-Fortescue_SDExport'!$A:$A,'EA-Fortescue_SDExport'!U:U)</f>
        <v>45972.827731481484</v>
      </c>
      <c r="V242">
        <f>_xlfn.XLOOKUP($A242,'EA-Fortescue_SDExport'!$A:$A,'EA-Fortescue_SDExport'!V:V)</f>
        <v>46002.004988425928</v>
      </c>
      <c r="W242">
        <f>_xlfn.XLOOKUP($A242,'EA-Fortescue_SDExport'!$A:$A,'EA-Fortescue_SDExport'!W:W)</f>
        <v>0</v>
      </c>
      <c r="X242">
        <f>_xlfn.XLOOKUP($A242,'EA-Fortescue_SDExport'!$A:$A,'EA-Fortescue_SDExport'!X:X)</f>
        <v>0</v>
      </c>
      <c r="Y242">
        <f>_xlfn.XLOOKUP($A242,'EA-Fortescue_SDExport'!$A:$A,'EA-Fortescue_SDExport'!Y:Y)</f>
        <v>0</v>
      </c>
      <c r="Z242" t="str">
        <f>_xlfn.XLOOKUP($A242,'EA-Fortescue_SDExport'!$A:$A,'EA-Fortescue_SDExport'!Z:Z)</f>
        <v>SysML1.4::InterfaceBlock</v>
      </c>
      <c r="AA242" t="str">
        <f>_xlfn.XLOOKUP($A242,InterfaceRegister!$A:$A,InterfaceRegister!B:B)</f>
        <v>Solomon Mine Hub: Battery Energy Storage Systems (BESS) - AC|855DC-1543-008 Monarch</v>
      </c>
      <c r="AB242" t="str">
        <f>_xlfn.XLOOKUP($A242,InterfaceRegister!$A:$A,InterfaceRegister!C:C)</f>
        <v/>
      </c>
      <c r="AC242" t="str">
        <f>_xlfn.XLOOKUP($A242,InterfaceRegister!$A:$A,InterfaceRegister!D:D)</f>
        <v/>
      </c>
      <c r="AD242" t="str">
        <f>_xlfn.XLOOKUP($A242,InterfaceRegister!$A:$A,InterfaceRegister!E:E)</f>
        <v>Project - Project Interface</v>
      </c>
      <c r="AE242" t="str">
        <f>_xlfn.XLOOKUP($A242,InterfaceRegister!$A:$A,InterfaceRegister!F:F)</f>
        <v/>
      </c>
      <c r="AF242" t="str">
        <f>_xlfn.XLOOKUP($A242,InterfaceRegister!$A:$A,InterfaceRegister!L:L)</f>
        <v/>
      </c>
      <c r="AG242" t="str">
        <f>_xlfn.XLOOKUP($A242,InterfaceRegister!$A:$A,InterfaceRegister!M:M)</f>
        <v/>
      </c>
      <c r="AH242" t="str">
        <f>_xlfn.XLOOKUP($A242,InterfaceRegister!$A:$A,InterfaceRegister!O:O)</f>
        <v/>
      </c>
      <c r="AI242" t="str">
        <f>_xlfn.XLOOKUP($A242,InterfaceRegister!$A:$A,InterfaceRegister!N:N)</f>
        <v/>
      </c>
      <c r="AJ242" t="str">
        <f>_xlfn.XLOOKUP($A242,'EA-Fortescue_SDExport'!$A:$A,'EA-Fortescue_SDExport'!AX:AX)</f>
        <v>CSVBACB793F</v>
      </c>
      <c r="AK242">
        <f>_xlfn.XLOOKUP($A242,'EA-Fortescue_SDExport'!$A:$A,'EA-Fortescue_SDExport'!AY:AY)</f>
        <v>0</v>
      </c>
    </row>
    <row r="243" spans="1:37" x14ac:dyDescent="0.25">
      <c r="A243" t="str">
        <v>DGS-I_0242</v>
      </c>
      <c r="B243" t="str">
        <f>_xlfn.XLOOKUP($A243,'EA-Fortescue_SDExport'!$A:$A,'EA-Fortescue_SDExport'!B:B)</f>
        <v>Class</v>
      </c>
      <c r="C243" t="str">
        <f>_xlfn.XLOOKUP($A243,'EA-Fortescue_SDExport'!$A:$A,'EA-Fortescue_SDExport'!C:C)</f>
        <v>{D80F78D5-1680-4ce2-88FE-B34B80D445E3}</v>
      </c>
      <c r="D243" t="str">
        <f>_xlfn.LET(_xlpm.result, _xlfn.XLOOKUP($A243, InterfaceRegister!$A:$A, InterfaceRegister!P:P), IF(_xlpm.result=0, "", _xlpm.result))</f>
        <v>SBS-WBS Mapping 02/01/2026: For simplicity of System Architecture Project level to group BESS together (no reference to AC or DC).  Battery Energy Storage Systems (BESS) - DC removed. Interface deleted.</v>
      </c>
      <c r="E243">
        <f>_xlfn.XLOOKUP($A243,'EA-Fortescue_SDExport'!$A:$A,'EA-Fortescue_SDExport'!E:E)</f>
        <v>1</v>
      </c>
      <c r="F243">
        <f>_xlfn.XLOOKUP($A243,'EA-Fortescue_SDExport'!$A:$A,'EA-Fortescue_SDExport'!F:F)</f>
        <v>1</v>
      </c>
      <c r="G243">
        <f>_xlfn.XLOOKUP($A243,'EA-Fortescue_SDExport'!$A:$A,'EA-Fortescue_SDExport'!G:G)</f>
        <v>0</v>
      </c>
      <c r="H243" t="str">
        <f>_xlfn.XLOOKUP($A243,'EA-Fortescue_SDExport'!$A:$A,'EA-Fortescue_SDExport'!H:H)</f>
        <v>InterfaceBlock</v>
      </c>
      <c r="I243" t="str">
        <f>_xlfn.XLOOKUP($A243,'EA-Fortescue_SDExport'!$A:$A,'EA-Fortescue_SDExport'!I:I)</f>
        <v>SysML1.4::InterfaceBlock</v>
      </c>
      <c r="J243" t="str">
        <f>_xlfn.XLOOKUP($A243,'EA-Fortescue_SDExport'!$A:$A,'EA-Fortescue_SDExport'!J:J)</f>
        <v>Java</v>
      </c>
      <c r="K243" t="str">
        <f>_xlfn.XLOOKUP($A243,'EA-Fortescue_SDExport'!$A:$A,'EA-Fortescue_SDExport'!K:K)</f>
        <v>Admin</v>
      </c>
      <c r="L243" t="str">
        <f>_xlfn.XLOOKUP($A243,'EA-Fortescue_SDExport'!$A:$A,'EA-Fortescue_SDExport'!L:L)</f>
        <v>Public</v>
      </c>
      <c r="M243">
        <f>_xlfn.XLOOKUP($A243,'EA-Fortescue_SDExport'!$A:$A,'EA-Fortescue_SDExport'!M:M)</f>
        <v>0</v>
      </c>
      <c r="N243" t="str">
        <f>_xlfn.XLOOKUP($A243,InterfaceRegister!$A:$A,InterfaceRegister!K:K)</f>
        <v>Deleted</v>
      </c>
      <c r="O243">
        <f>_xlfn.XLOOKUP($A243,'EA-Fortescue_SDExport'!$A:$A,'EA-Fortescue_SDExport'!O:O)</f>
        <v>1</v>
      </c>
      <c r="P243">
        <f>_xlfn.XLOOKUP($A243,'EA-Fortescue_SDExport'!$A:$A,'EA-Fortescue_SDExport'!P:P)</f>
        <v>0</v>
      </c>
      <c r="Q243">
        <f>_xlfn.XLOOKUP($A243,'EA-Fortescue_SDExport'!$A:$A,'EA-Fortescue_SDExport'!Q:Q)</f>
        <v>0</v>
      </c>
      <c r="R243">
        <f>_xlfn.XLOOKUP($A243,'EA-Fortescue_SDExport'!$A:$A,'EA-Fortescue_SDExport'!R:R)</f>
        <v>0</v>
      </c>
      <c r="S243">
        <f>_xlfn.XLOOKUP($A243,'EA-Fortescue_SDExport'!$A:$A,'EA-Fortescue_SDExport'!S:S)</f>
        <v>0</v>
      </c>
      <c r="T243">
        <f>_xlfn.XLOOKUP($A243,'EA-Fortescue_SDExport'!$A:$A,'EA-Fortescue_SDExport'!T:T)</f>
        <v>0</v>
      </c>
      <c r="U243">
        <f>_xlfn.XLOOKUP($A243,'EA-Fortescue_SDExport'!$A:$A,'EA-Fortescue_SDExport'!U:U)</f>
        <v>45972.827777777777</v>
      </c>
      <c r="V243">
        <f>_xlfn.XLOOKUP($A243,'EA-Fortescue_SDExport'!$A:$A,'EA-Fortescue_SDExport'!V:V)</f>
        <v>46036.916898148149</v>
      </c>
      <c r="W243">
        <f>_xlfn.XLOOKUP($A243,'EA-Fortescue_SDExport'!$A:$A,'EA-Fortescue_SDExport'!W:W)</f>
        <v>0</v>
      </c>
      <c r="X243">
        <f>_xlfn.XLOOKUP($A243,'EA-Fortescue_SDExport'!$A:$A,'EA-Fortescue_SDExport'!X:X)</f>
        <v>0</v>
      </c>
      <c r="Y243">
        <f>_xlfn.XLOOKUP($A243,'EA-Fortescue_SDExport'!$A:$A,'EA-Fortescue_SDExport'!Y:Y)</f>
        <v>0</v>
      </c>
      <c r="Z243" t="str">
        <f>_xlfn.XLOOKUP($A243,'EA-Fortescue_SDExport'!$A:$A,'EA-Fortescue_SDExport'!Z:Z)</f>
        <v>SysML1.4::InterfaceBlock</v>
      </c>
      <c r="AA243" t="str">
        <f>_xlfn.XLOOKUP($A243,InterfaceRegister!$A:$A,InterfaceRegister!B:B)</f>
        <v>Solomon Mine Hub: Battery Energy Storage Systems (BESS) - DC|855DC-1543-008 Monarch</v>
      </c>
      <c r="AB243" t="str">
        <f>_xlfn.XLOOKUP($A243,InterfaceRegister!$A:$A,InterfaceRegister!C:C)</f>
        <v/>
      </c>
      <c r="AC243" t="str">
        <f>_xlfn.XLOOKUP($A243,InterfaceRegister!$A:$A,InterfaceRegister!D:D)</f>
        <v/>
      </c>
      <c r="AD243" t="str">
        <f>_xlfn.XLOOKUP($A243,InterfaceRegister!$A:$A,InterfaceRegister!E:E)</f>
        <v>Project - Project Interface</v>
      </c>
      <c r="AE243" t="str">
        <f>_xlfn.XLOOKUP($A243,InterfaceRegister!$A:$A,InterfaceRegister!F:F)</f>
        <v/>
      </c>
      <c r="AF243" t="str">
        <f>_xlfn.XLOOKUP($A243,InterfaceRegister!$A:$A,InterfaceRegister!L:L)</f>
        <v/>
      </c>
      <c r="AG243" t="str">
        <f>_xlfn.XLOOKUP($A243,InterfaceRegister!$A:$A,InterfaceRegister!M:M)</f>
        <v/>
      </c>
      <c r="AH243" t="str">
        <f>_xlfn.XLOOKUP($A243,InterfaceRegister!$A:$A,InterfaceRegister!O:O)</f>
        <v/>
      </c>
      <c r="AI243" t="str">
        <f>_xlfn.XLOOKUP($A243,InterfaceRegister!$A:$A,InterfaceRegister!N:N)</f>
        <v/>
      </c>
      <c r="AJ243" t="str">
        <f>_xlfn.XLOOKUP($A243,'EA-Fortescue_SDExport'!$A:$A,'EA-Fortescue_SDExport'!AX:AX)</f>
        <v>CSVC1F18389</v>
      </c>
      <c r="AK243">
        <f>_xlfn.XLOOKUP($A243,'EA-Fortescue_SDExport'!$A:$A,'EA-Fortescue_SDExport'!AY:AY)</f>
        <v>0</v>
      </c>
    </row>
    <row r="244" spans="1:37" x14ac:dyDescent="0.25">
      <c r="A244" t="str">
        <v>DGS-I_0243</v>
      </c>
      <c r="B244" t="str">
        <f>_xlfn.XLOOKUP($A244,'EA-Fortescue_SDExport'!$A:$A,'EA-Fortescue_SDExport'!B:B)</f>
        <v>Class</v>
      </c>
      <c r="C244" t="str">
        <f>_xlfn.XLOOKUP($A244,'EA-Fortescue_SDExport'!$A:$A,'EA-Fortescue_SDExport'!C:C)</f>
        <v>{E2BEE526-8CCD-4afc-A68B-9784D12B3ED9}</v>
      </c>
      <c r="D244" t="str">
        <f>_xlfn.LET(_xlpm.result, _xlfn.XLOOKUP($A244, InterfaceRegister!$A:$A, InterfaceRegister!P:P), IF(_xlpm.result=0, "", _xlpm.result))</f>
        <v/>
      </c>
      <c r="E244">
        <f>_xlfn.XLOOKUP($A244,'EA-Fortescue_SDExport'!$A:$A,'EA-Fortescue_SDExport'!E:E)</f>
        <v>1</v>
      </c>
      <c r="F244">
        <f>_xlfn.XLOOKUP($A244,'EA-Fortescue_SDExport'!$A:$A,'EA-Fortescue_SDExport'!F:F)</f>
        <v>1</v>
      </c>
      <c r="G244">
        <f>_xlfn.XLOOKUP($A244,'EA-Fortescue_SDExport'!$A:$A,'EA-Fortescue_SDExport'!G:G)</f>
        <v>0</v>
      </c>
      <c r="H244" t="str">
        <f>_xlfn.XLOOKUP($A244,'EA-Fortescue_SDExport'!$A:$A,'EA-Fortescue_SDExport'!H:H)</f>
        <v>InterfaceBlock</v>
      </c>
      <c r="I244" t="str">
        <f>_xlfn.XLOOKUP($A244,'EA-Fortescue_SDExport'!$A:$A,'EA-Fortescue_SDExport'!I:I)</f>
        <v>SysML1.4::InterfaceBlock</v>
      </c>
      <c r="J244" t="str">
        <f>_xlfn.XLOOKUP($A244,'EA-Fortescue_SDExport'!$A:$A,'EA-Fortescue_SDExport'!J:J)</f>
        <v>Java</v>
      </c>
      <c r="K244" t="str">
        <f>_xlfn.XLOOKUP($A244,'EA-Fortescue_SDExport'!$A:$A,'EA-Fortescue_SDExport'!K:K)</f>
        <v>Admin</v>
      </c>
      <c r="L244" t="str">
        <f>_xlfn.XLOOKUP($A244,'EA-Fortescue_SDExport'!$A:$A,'EA-Fortescue_SDExport'!L:L)</f>
        <v>Public</v>
      </c>
      <c r="M244">
        <f>_xlfn.XLOOKUP($A244,'EA-Fortescue_SDExport'!$A:$A,'EA-Fortescue_SDExport'!M:M)</f>
        <v>0</v>
      </c>
      <c r="N244" t="str">
        <f>_xlfn.XLOOKUP($A244,InterfaceRegister!$A:$A,InterfaceRegister!K:K)</f>
        <v>Proposed</v>
      </c>
      <c r="O244">
        <f>_xlfn.XLOOKUP($A244,'EA-Fortescue_SDExport'!$A:$A,'EA-Fortescue_SDExport'!O:O)</f>
        <v>1</v>
      </c>
      <c r="P244">
        <f>_xlfn.XLOOKUP($A244,'EA-Fortescue_SDExport'!$A:$A,'EA-Fortescue_SDExport'!P:P)</f>
        <v>0</v>
      </c>
      <c r="Q244">
        <f>_xlfn.XLOOKUP($A244,'EA-Fortescue_SDExport'!$A:$A,'EA-Fortescue_SDExport'!Q:Q)</f>
        <v>0</v>
      </c>
      <c r="R244">
        <f>_xlfn.XLOOKUP($A244,'EA-Fortescue_SDExport'!$A:$A,'EA-Fortescue_SDExport'!R:R)</f>
        <v>0</v>
      </c>
      <c r="S244">
        <f>_xlfn.XLOOKUP($A244,'EA-Fortescue_SDExport'!$A:$A,'EA-Fortescue_SDExport'!S:S)</f>
        <v>0</v>
      </c>
      <c r="T244">
        <f>_xlfn.XLOOKUP($A244,'EA-Fortescue_SDExport'!$A:$A,'EA-Fortescue_SDExport'!T:T)</f>
        <v>0</v>
      </c>
      <c r="U244">
        <f>_xlfn.XLOOKUP($A244,'EA-Fortescue_SDExport'!$A:$A,'EA-Fortescue_SDExport'!U:U)</f>
        <v>45972.827824074076</v>
      </c>
      <c r="V244">
        <f>_xlfn.XLOOKUP($A244,'EA-Fortescue_SDExport'!$A:$A,'EA-Fortescue_SDExport'!V:V)</f>
        <v>46002.004988425928</v>
      </c>
      <c r="W244">
        <f>_xlfn.XLOOKUP($A244,'EA-Fortescue_SDExport'!$A:$A,'EA-Fortescue_SDExport'!W:W)</f>
        <v>0</v>
      </c>
      <c r="X244">
        <f>_xlfn.XLOOKUP($A244,'EA-Fortescue_SDExport'!$A:$A,'EA-Fortescue_SDExport'!X:X)</f>
        <v>0</v>
      </c>
      <c r="Y244">
        <f>_xlfn.XLOOKUP($A244,'EA-Fortescue_SDExport'!$A:$A,'EA-Fortescue_SDExport'!Y:Y)</f>
        <v>0</v>
      </c>
      <c r="Z244" t="str">
        <f>_xlfn.XLOOKUP($A244,'EA-Fortescue_SDExport'!$A:$A,'EA-Fortescue_SDExport'!Z:Z)</f>
        <v>SysML1.4::InterfaceBlock</v>
      </c>
      <c r="AA244" t="str">
        <f>_xlfn.XLOOKUP($A244,InterfaceRegister!$A:$A,InterfaceRegister!B:B)</f>
        <v>Solomon Mine Hub: Mobile Battery Bank|855DC-1543-008 Monarch</v>
      </c>
      <c r="AB244" t="str">
        <f>_xlfn.XLOOKUP($A244,InterfaceRegister!$A:$A,InterfaceRegister!C:C)</f>
        <v/>
      </c>
      <c r="AC244" t="str">
        <f>_xlfn.XLOOKUP($A244,InterfaceRegister!$A:$A,InterfaceRegister!D:D)</f>
        <v/>
      </c>
      <c r="AD244" t="str">
        <f>_xlfn.XLOOKUP($A244,InterfaceRegister!$A:$A,InterfaceRegister!E:E)</f>
        <v>Project - Project Interface</v>
      </c>
      <c r="AE244" t="str">
        <f>_xlfn.XLOOKUP($A244,InterfaceRegister!$A:$A,InterfaceRegister!F:F)</f>
        <v/>
      </c>
      <c r="AF244" t="str">
        <f>_xlfn.XLOOKUP($A244,InterfaceRegister!$A:$A,InterfaceRegister!L:L)</f>
        <v/>
      </c>
      <c r="AG244" t="str">
        <f>_xlfn.XLOOKUP($A244,InterfaceRegister!$A:$A,InterfaceRegister!M:M)</f>
        <v/>
      </c>
      <c r="AH244" t="str">
        <f>_xlfn.XLOOKUP($A244,InterfaceRegister!$A:$A,InterfaceRegister!O:O)</f>
        <v/>
      </c>
      <c r="AI244" t="str">
        <f>_xlfn.XLOOKUP($A244,InterfaceRegister!$A:$A,InterfaceRegister!N:N)</f>
        <v/>
      </c>
      <c r="AJ244" t="str">
        <f>_xlfn.XLOOKUP($A244,'EA-Fortescue_SDExport'!$A:$A,'EA-Fortescue_SDExport'!AX:AX)</f>
        <v>CSV3D13C575</v>
      </c>
      <c r="AK244">
        <f>_xlfn.XLOOKUP($A244,'EA-Fortescue_SDExport'!$A:$A,'EA-Fortescue_SDExport'!AY:AY)</f>
        <v>0</v>
      </c>
    </row>
    <row r="245" spans="1:37" x14ac:dyDescent="0.25">
      <c r="A245" t="str">
        <v>DGS-I_0244</v>
      </c>
      <c r="B245" t="str">
        <f>_xlfn.XLOOKUP($A245,'EA-Fortescue_SDExport'!$A:$A,'EA-Fortescue_SDExport'!B:B)</f>
        <v>Class</v>
      </c>
      <c r="C245" t="str">
        <f>_xlfn.XLOOKUP($A245,'EA-Fortescue_SDExport'!$A:$A,'EA-Fortescue_SDExport'!C:C)</f>
        <v>{EA0E9068-7328-4fac-9C76-4A0C3B9DC9BB}</v>
      </c>
      <c r="D245" t="str">
        <f>_xlfn.LET(_xlpm.result, _xlfn.XLOOKUP($A245, InterfaceRegister!$A:$A, InterfaceRegister!P:P), IF(_xlpm.result=0, "", _xlpm.result))</f>
        <v/>
      </c>
      <c r="E245">
        <f>_xlfn.XLOOKUP($A245,'EA-Fortescue_SDExport'!$A:$A,'EA-Fortescue_SDExport'!E:E)</f>
        <v>1</v>
      </c>
      <c r="F245">
        <f>_xlfn.XLOOKUP($A245,'EA-Fortescue_SDExport'!$A:$A,'EA-Fortescue_SDExport'!F:F)</f>
        <v>1</v>
      </c>
      <c r="G245">
        <f>_xlfn.XLOOKUP($A245,'EA-Fortescue_SDExport'!$A:$A,'EA-Fortescue_SDExport'!G:G)</f>
        <v>0</v>
      </c>
      <c r="H245" t="str">
        <f>_xlfn.XLOOKUP($A245,'EA-Fortescue_SDExport'!$A:$A,'EA-Fortescue_SDExport'!H:H)</f>
        <v>InterfaceBlock</v>
      </c>
      <c r="I245" t="str">
        <f>_xlfn.XLOOKUP($A245,'EA-Fortescue_SDExport'!$A:$A,'EA-Fortescue_SDExport'!I:I)</f>
        <v>SysML1.4::InterfaceBlock</v>
      </c>
      <c r="J245" t="str">
        <f>_xlfn.XLOOKUP($A245,'EA-Fortescue_SDExport'!$A:$A,'EA-Fortescue_SDExport'!J:J)</f>
        <v>Java</v>
      </c>
      <c r="K245" t="str">
        <f>_xlfn.XLOOKUP($A245,'EA-Fortescue_SDExport'!$A:$A,'EA-Fortescue_SDExport'!K:K)</f>
        <v>Admin</v>
      </c>
      <c r="L245" t="str">
        <f>_xlfn.XLOOKUP($A245,'EA-Fortescue_SDExport'!$A:$A,'EA-Fortescue_SDExport'!L:L)</f>
        <v>Public</v>
      </c>
      <c r="M245">
        <f>_xlfn.XLOOKUP($A245,'EA-Fortescue_SDExport'!$A:$A,'EA-Fortescue_SDExport'!M:M)</f>
        <v>0</v>
      </c>
      <c r="N245" t="str">
        <f>_xlfn.XLOOKUP($A245,InterfaceRegister!$A:$A,InterfaceRegister!K:K)</f>
        <v>Proposed</v>
      </c>
      <c r="O245">
        <f>_xlfn.XLOOKUP($A245,'EA-Fortescue_SDExport'!$A:$A,'EA-Fortescue_SDExport'!O:O)</f>
        <v>1</v>
      </c>
      <c r="P245">
        <f>_xlfn.XLOOKUP($A245,'EA-Fortescue_SDExport'!$A:$A,'EA-Fortescue_SDExport'!P:P)</f>
        <v>0</v>
      </c>
      <c r="Q245">
        <f>_xlfn.XLOOKUP($A245,'EA-Fortescue_SDExport'!$A:$A,'EA-Fortescue_SDExport'!Q:Q)</f>
        <v>0</v>
      </c>
      <c r="R245">
        <f>_xlfn.XLOOKUP($A245,'EA-Fortescue_SDExport'!$A:$A,'EA-Fortescue_SDExport'!R:R)</f>
        <v>0</v>
      </c>
      <c r="S245">
        <f>_xlfn.XLOOKUP($A245,'EA-Fortescue_SDExport'!$A:$A,'EA-Fortescue_SDExport'!S:S)</f>
        <v>0</v>
      </c>
      <c r="T245">
        <f>_xlfn.XLOOKUP($A245,'EA-Fortescue_SDExport'!$A:$A,'EA-Fortescue_SDExport'!T:T)</f>
        <v>0</v>
      </c>
      <c r="U245">
        <f>_xlfn.XLOOKUP($A245,'EA-Fortescue_SDExport'!$A:$A,'EA-Fortescue_SDExport'!U:U)</f>
        <v>45972.827881944446</v>
      </c>
      <c r="V245">
        <f>_xlfn.XLOOKUP($A245,'EA-Fortescue_SDExport'!$A:$A,'EA-Fortescue_SDExport'!V:V)</f>
        <v>46002.004942129628</v>
      </c>
      <c r="W245">
        <f>_xlfn.XLOOKUP($A245,'EA-Fortescue_SDExport'!$A:$A,'EA-Fortescue_SDExport'!W:W)</f>
        <v>0</v>
      </c>
      <c r="X245">
        <f>_xlfn.XLOOKUP($A245,'EA-Fortescue_SDExport'!$A:$A,'EA-Fortescue_SDExport'!X:X)</f>
        <v>0</v>
      </c>
      <c r="Y245">
        <f>_xlfn.XLOOKUP($A245,'EA-Fortescue_SDExport'!$A:$A,'EA-Fortescue_SDExport'!Y:Y)</f>
        <v>0</v>
      </c>
      <c r="Z245" t="str">
        <f>_xlfn.XLOOKUP($A245,'EA-Fortescue_SDExport'!$A:$A,'EA-Fortescue_SDExport'!Z:Z)</f>
        <v>SysML1.4::InterfaceBlock</v>
      </c>
      <c r="AA245" t="str">
        <f>_xlfn.XLOOKUP($A245,InterfaceRegister!$A:$A,InterfaceRegister!B:B)</f>
        <v>Solomon Mine Hub: Battery Energy Storage Systems (BESS) - AC|Solomon Mine Hub: Substation (132kV)</v>
      </c>
      <c r="AB245" t="str">
        <f>_xlfn.XLOOKUP($A245,InterfaceRegister!$A:$A,InterfaceRegister!C:C)</f>
        <v/>
      </c>
      <c r="AC245" t="str">
        <f>_xlfn.XLOOKUP($A245,InterfaceRegister!$A:$A,InterfaceRegister!D:D)</f>
        <v/>
      </c>
      <c r="AD245" t="str">
        <f>_xlfn.XLOOKUP($A245,InterfaceRegister!$A:$A,InterfaceRegister!E:E)</f>
        <v>Project - Project Interface</v>
      </c>
      <c r="AE245" t="str">
        <f>_xlfn.XLOOKUP($A245,InterfaceRegister!$A:$A,InterfaceRegister!F:F)</f>
        <v/>
      </c>
      <c r="AF245" t="str">
        <f>_xlfn.XLOOKUP($A245,InterfaceRegister!$A:$A,InterfaceRegister!L:L)</f>
        <v/>
      </c>
      <c r="AG245" t="str">
        <f>_xlfn.XLOOKUP($A245,InterfaceRegister!$A:$A,InterfaceRegister!M:M)</f>
        <v/>
      </c>
      <c r="AH245" t="str">
        <f>_xlfn.XLOOKUP($A245,InterfaceRegister!$A:$A,InterfaceRegister!O:O)</f>
        <v/>
      </c>
      <c r="AI245" t="str">
        <f>_xlfn.XLOOKUP($A245,InterfaceRegister!$A:$A,InterfaceRegister!N:N)</f>
        <v/>
      </c>
      <c r="AJ245" t="str">
        <f>_xlfn.XLOOKUP($A245,'EA-Fortescue_SDExport'!$A:$A,'EA-Fortescue_SDExport'!AX:AX)</f>
        <v>CSV5FFBE7D6</v>
      </c>
      <c r="AK245">
        <f>_xlfn.XLOOKUP($A245,'EA-Fortescue_SDExport'!$A:$A,'EA-Fortescue_SDExport'!AY:AY)</f>
        <v>0</v>
      </c>
    </row>
    <row r="246" spans="1:37" x14ac:dyDescent="0.25">
      <c r="A246" t="str">
        <v>DGS-I_0245</v>
      </c>
      <c r="B246" t="str">
        <f>_xlfn.XLOOKUP($A246,'EA-Fortescue_SDExport'!$A:$A,'EA-Fortescue_SDExport'!B:B)</f>
        <v>Class</v>
      </c>
      <c r="C246" t="str">
        <f>_xlfn.XLOOKUP($A246,'EA-Fortescue_SDExport'!$A:$A,'EA-Fortescue_SDExport'!C:C)</f>
        <v>{8B58AE3A-C285-40d2-B4E0-A67FBDC70677}</v>
      </c>
      <c r="D246" t="str">
        <f>_xlfn.LET(_xlpm.result, _xlfn.XLOOKUP($A246,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46">
        <f>_xlfn.XLOOKUP($A246,'EA-Fortescue_SDExport'!$A:$A,'EA-Fortescue_SDExport'!E:E)</f>
        <v>1</v>
      </c>
      <c r="F246">
        <f>_xlfn.XLOOKUP($A246,'EA-Fortescue_SDExport'!$A:$A,'EA-Fortescue_SDExport'!F:F)</f>
        <v>1</v>
      </c>
      <c r="G246">
        <f>_xlfn.XLOOKUP($A246,'EA-Fortescue_SDExport'!$A:$A,'EA-Fortescue_SDExport'!G:G)</f>
        <v>0</v>
      </c>
      <c r="H246" t="str">
        <f>_xlfn.XLOOKUP($A246,'EA-Fortescue_SDExport'!$A:$A,'EA-Fortescue_SDExport'!H:H)</f>
        <v>InterfaceBlock</v>
      </c>
      <c r="I246" t="str">
        <f>_xlfn.XLOOKUP($A246,'EA-Fortescue_SDExport'!$A:$A,'EA-Fortescue_SDExport'!I:I)</f>
        <v>SysML1.4::InterfaceBlock</v>
      </c>
      <c r="J246" t="str">
        <f>_xlfn.XLOOKUP($A246,'EA-Fortescue_SDExport'!$A:$A,'EA-Fortescue_SDExport'!J:J)</f>
        <v>Java</v>
      </c>
      <c r="K246" t="str">
        <f>_xlfn.XLOOKUP($A246,'EA-Fortescue_SDExport'!$A:$A,'EA-Fortescue_SDExport'!K:K)</f>
        <v>Admin</v>
      </c>
      <c r="L246" t="str">
        <f>_xlfn.XLOOKUP($A246,'EA-Fortescue_SDExport'!$A:$A,'EA-Fortescue_SDExport'!L:L)</f>
        <v>Public</v>
      </c>
      <c r="M246">
        <f>_xlfn.XLOOKUP($A246,'EA-Fortescue_SDExport'!$A:$A,'EA-Fortescue_SDExport'!M:M)</f>
        <v>0</v>
      </c>
      <c r="N246" t="str">
        <f>_xlfn.XLOOKUP($A246,InterfaceRegister!$A:$A,InterfaceRegister!K:K)</f>
        <v>Proposed</v>
      </c>
      <c r="O246">
        <f>_xlfn.XLOOKUP($A246,'EA-Fortescue_SDExport'!$A:$A,'EA-Fortescue_SDExport'!O:O)</f>
        <v>1</v>
      </c>
      <c r="P246">
        <f>_xlfn.XLOOKUP($A246,'EA-Fortescue_SDExport'!$A:$A,'EA-Fortescue_SDExport'!P:P)</f>
        <v>0</v>
      </c>
      <c r="Q246">
        <f>_xlfn.XLOOKUP($A246,'EA-Fortescue_SDExport'!$A:$A,'EA-Fortescue_SDExport'!Q:Q)</f>
        <v>0</v>
      </c>
      <c r="R246">
        <f>_xlfn.XLOOKUP($A246,'EA-Fortescue_SDExport'!$A:$A,'EA-Fortescue_SDExport'!R:R)</f>
        <v>0</v>
      </c>
      <c r="S246">
        <f>_xlfn.XLOOKUP($A246,'EA-Fortescue_SDExport'!$A:$A,'EA-Fortescue_SDExport'!S:S)</f>
        <v>0</v>
      </c>
      <c r="T246">
        <f>_xlfn.XLOOKUP($A246,'EA-Fortescue_SDExport'!$A:$A,'EA-Fortescue_SDExport'!T:T)</f>
        <v>0</v>
      </c>
      <c r="U246">
        <f>_xlfn.XLOOKUP($A246,'EA-Fortescue_SDExport'!$A:$A,'EA-Fortescue_SDExport'!U:U)</f>
        <v>45972.827939814815</v>
      </c>
      <c r="V246">
        <f>_xlfn.XLOOKUP($A246,'EA-Fortescue_SDExport'!$A:$A,'EA-Fortescue_SDExport'!V:V)</f>
        <v>46050.698634259257</v>
      </c>
      <c r="W246">
        <f>_xlfn.XLOOKUP($A246,'EA-Fortescue_SDExport'!$A:$A,'EA-Fortescue_SDExport'!W:W)</f>
        <v>0</v>
      </c>
      <c r="X246">
        <f>_xlfn.XLOOKUP($A246,'EA-Fortescue_SDExport'!$A:$A,'EA-Fortescue_SDExport'!X:X)</f>
        <v>0</v>
      </c>
      <c r="Y246">
        <f>_xlfn.XLOOKUP($A246,'EA-Fortescue_SDExport'!$A:$A,'EA-Fortescue_SDExport'!Y:Y)</f>
        <v>0</v>
      </c>
      <c r="Z246" t="str">
        <f>_xlfn.XLOOKUP($A246,'EA-Fortescue_SDExport'!$A:$A,'EA-Fortescue_SDExport'!Z:Z)</f>
        <v>SysML1.4::InterfaceBlock</v>
      </c>
      <c r="AA246" t="str">
        <f>_xlfn.XLOOKUP($A246,InterfaceRegister!$A:$A,InterfaceRegister!B:B)</f>
        <v>Solomon Mine Hub: Battery Energy Storage Systems (BESS) - AC|855DC-1543-PPC Pit Power Capacity Planning Tool - Capacity Check</v>
      </c>
      <c r="AB246" t="str">
        <f>_xlfn.XLOOKUP($A246,InterfaceRegister!$A:$A,InterfaceRegister!C:C)</f>
        <v/>
      </c>
      <c r="AC246" t="str">
        <f>_xlfn.XLOOKUP($A246,InterfaceRegister!$A:$A,InterfaceRegister!D:D)</f>
        <v/>
      </c>
      <c r="AD246" t="str">
        <f>_xlfn.XLOOKUP($A246,InterfaceRegister!$A:$A,InterfaceRegister!E:E)</f>
        <v>Project - Project Interface</v>
      </c>
      <c r="AE246" t="str">
        <f>_xlfn.XLOOKUP($A246,InterfaceRegister!$A:$A,InterfaceRegister!F:F)</f>
        <v/>
      </c>
      <c r="AF246" t="str">
        <f>_xlfn.XLOOKUP($A246,InterfaceRegister!$A:$A,InterfaceRegister!L:L)</f>
        <v/>
      </c>
      <c r="AG246" t="str">
        <f>_xlfn.XLOOKUP($A246,InterfaceRegister!$A:$A,InterfaceRegister!M:M)</f>
        <v/>
      </c>
      <c r="AH246" t="str">
        <f>_xlfn.XLOOKUP($A246,InterfaceRegister!$A:$A,InterfaceRegister!O:O)</f>
        <v/>
      </c>
      <c r="AI246" t="str">
        <f>_xlfn.XLOOKUP($A246,InterfaceRegister!$A:$A,InterfaceRegister!N:N)</f>
        <v/>
      </c>
      <c r="AJ246" t="str">
        <f>_xlfn.XLOOKUP($A246,'EA-Fortescue_SDExport'!$A:$A,'EA-Fortescue_SDExport'!AX:AX)</f>
        <v>CSV1B24283C</v>
      </c>
      <c r="AK246">
        <f>_xlfn.XLOOKUP($A246,'EA-Fortescue_SDExport'!$A:$A,'EA-Fortescue_SDExport'!AY:AY)</f>
        <v>0</v>
      </c>
    </row>
    <row r="247" spans="1:37" x14ac:dyDescent="0.25">
      <c r="A247" t="str">
        <v>DGS-I_0246</v>
      </c>
      <c r="B247" t="str">
        <f>_xlfn.XLOOKUP($A247,'EA-Fortescue_SDExport'!$A:$A,'EA-Fortescue_SDExport'!B:B)</f>
        <v>Class</v>
      </c>
      <c r="C247" t="str">
        <f>_xlfn.XLOOKUP($A247,'EA-Fortescue_SDExport'!$A:$A,'EA-Fortescue_SDExport'!C:C)</f>
        <v>{BE024873-B6F1-4342-B04C-6D28B30A9FD9}</v>
      </c>
      <c r="D247" t="str">
        <f>_xlfn.LET(_xlpm.result, _xlfn.XLOOKUP($A247,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47">
        <f>_xlfn.XLOOKUP($A247,'EA-Fortescue_SDExport'!$A:$A,'EA-Fortescue_SDExport'!E:E)</f>
        <v>1</v>
      </c>
      <c r="F247">
        <f>_xlfn.XLOOKUP($A247,'EA-Fortescue_SDExport'!$A:$A,'EA-Fortescue_SDExport'!F:F)</f>
        <v>1</v>
      </c>
      <c r="G247">
        <f>_xlfn.XLOOKUP($A247,'EA-Fortescue_SDExport'!$A:$A,'EA-Fortescue_SDExport'!G:G)</f>
        <v>0</v>
      </c>
      <c r="H247" t="str">
        <f>_xlfn.XLOOKUP($A247,'EA-Fortescue_SDExport'!$A:$A,'EA-Fortescue_SDExport'!H:H)</f>
        <v>InterfaceBlock</v>
      </c>
      <c r="I247" t="str">
        <f>_xlfn.XLOOKUP($A247,'EA-Fortescue_SDExport'!$A:$A,'EA-Fortescue_SDExport'!I:I)</f>
        <v>SysML1.4::InterfaceBlock</v>
      </c>
      <c r="J247" t="str">
        <f>_xlfn.XLOOKUP($A247,'EA-Fortescue_SDExport'!$A:$A,'EA-Fortescue_SDExport'!J:J)</f>
        <v>Java</v>
      </c>
      <c r="K247" t="str">
        <f>_xlfn.XLOOKUP($A247,'EA-Fortescue_SDExport'!$A:$A,'EA-Fortescue_SDExport'!K:K)</f>
        <v>Admin</v>
      </c>
      <c r="L247" t="str">
        <f>_xlfn.XLOOKUP($A247,'EA-Fortescue_SDExport'!$A:$A,'EA-Fortescue_SDExport'!L:L)</f>
        <v>Public</v>
      </c>
      <c r="M247">
        <f>_xlfn.XLOOKUP($A247,'EA-Fortescue_SDExport'!$A:$A,'EA-Fortescue_SDExport'!M:M)</f>
        <v>0</v>
      </c>
      <c r="N247" t="str">
        <f>_xlfn.XLOOKUP($A247,InterfaceRegister!$A:$A,InterfaceRegister!K:K)</f>
        <v>Proposed</v>
      </c>
      <c r="O247">
        <f>_xlfn.XLOOKUP($A247,'EA-Fortescue_SDExport'!$A:$A,'EA-Fortescue_SDExport'!O:O)</f>
        <v>1</v>
      </c>
      <c r="P247">
        <f>_xlfn.XLOOKUP($A247,'EA-Fortescue_SDExport'!$A:$A,'EA-Fortescue_SDExport'!P:P)</f>
        <v>0</v>
      </c>
      <c r="Q247">
        <f>_xlfn.XLOOKUP($A247,'EA-Fortescue_SDExport'!$A:$A,'EA-Fortescue_SDExport'!Q:Q)</f>
        <v>0</v>
      </c>
      <c r="R247">
        <f>_xlfn.XLOOKUP($A247,'EA-Fortescue_SDExport'!$A:$A,'EA-Fortescue_SDExport'!R:R)</f>
        <v>0</v>
      </c>
      <c r="S247">
        <f>_xlfn.XLOOKUP($A247,'EA-Fortescue_SDExport'!$A:$A,'EA-Fortescue_SDExport'!S:S)</f>
        <v>0</v>
      </c>
      <c r="T247">
        <f>_xlfn.XLOOKUP($A247,'EA-Fortescue_SDExport'!$A:$A,'EA-Fortescue_SDExport'!T:T)</f>
        <v>0</v>
      </c>
      <c r="U247">
        <f>_xlfn.XLOOKUP($A247,'EA-Fortescue_SDExport'!$A:$A,'EA-Fortescue_SDExport'!U:U)</f>
        <v>45972.827986111108</v>
      </c>
      <c r="V247">
        <f>_xlfn.XLOOKUP($A247,'EA-Fortescue_SDExport'!$A:$A,'EA-Fortescue_SDExport'!V:V)</f>
        <v>46050.689745370371</v>
      </c>
      <c r="W247">
        <f>_xlfn.XLOOKUP($A247,'EA-Fortescue_SDExport'!$A:$A,'EA-Fortescue_SDExport'!W:W)</f>
        <v>0</v>
      </c>
      <c r="X247">
        <f>_xlfn.XLOOKUP($A247,'EA-Fortescue_SDExport'!$A:$A,'EA-Fortescue_SDExport'!X:X)</f>
        <v>0</v>
      </c>
      <c r="Y247">
        <f>_xlfn.XLOOKUP($A247,'EA-Fortescue_SDExport'!$A:$A,'EA-Fortescue_SDExport'!Y:Y)</f>
        <v>0</v>
      </c>
      <c r="Z247" t="str">
        <f>_xlfn.XLOOKUP($A247,'EA-Fortescue_SDExport'!$A:$A,'EA-Fortescue_SDExport'!Z:Z)</f>
        <v>SysML1.4::InterfaceBlock</v>
      </c>
      <c r="AA247" t="str">
        <f>_xlfn.XLOOKUP($A247,InterfaceRegister!$A:$A,InterfaceRegister!B:B)</f>
        <v>Solomon Mine Hub: Mobile Battery Bank|855DC-1543-PPC Pit Power Capacity Planning Tool - Capacity Check</v>
      </c>
      <c r="AB247" t="str">
        <f>_xlfn.XLOOKUP($A247,InterfaceRegister!$A:$A,InterfaceRegister!C:C)</f>
        <v/>
      </c>
      <c r="AC247" t="str">
        <f>_xlfn.XLOOKUP($A247,InterfaceRegister!$A:$A,InterfaceRegister!D:D)</f>
        <v/>
      </c>
      <c r="AD247" t="str">
        <f>_xlfn.XLOOKUP($A247,InterfaceRegister!$A:$A,InterfaceRegister!E:E)</f>
        <v>Project - Project Interface</v>
      </c>
      <c r="AE247" t="str">
        <f>_xlfn.XLOOKUP($A247,InterfaceRegister!$A:$A,InterfaceRegister!F:F)</f>
        <v/>
      </c>
      <c r="AF247" t="str">
        <f>_xlfn.XLOOKUP($A247,InterfaceRegister!$A:$A,InterfaceRegister!L:L)</f>
        <v/>
      </c>
      <c r="AG247" t="str">
        <f>_xlfn.XLOOKUP($A247,InterfaceRegister!$A:$A,InterfaceRegister!M:M)</f>
        <v/>
      </c>
      <c r="AH247" t="str">
        <f>_xlfn.XLOOKUP($A247,InterfaceRegister!$A:$A,InterfaceRegister!O:O)</f>
        <v/>
      </c>
      <c r="AI247" t="str">
        <f>_xlfn.XLOOKUP($A247,InterfaceRegister!$A:$A,InterfaceRegister!N:N)</f>
        <v/>
      </c>
      <c r="AJ247" t="str">
        <f>_xlfn.XLOOKUP($A247,'EA-Fortescue_SDExport'!$A:$A,'EA-Fortescue_SDExport'!AX:AX)</f>
        <v>CSV07AC3A77</v>
      </c>
      <c r="AK247">
        <f>_xlfn.XLOOKUP($A247,'EA-Fortescue_SDExport'!$A:$A,'EA-Fortescue_SDExport'!AY:AY)</f>
        <v>0</v>
      </c>
    </row>
    <row r="248" spans="1:37" x14ac:dyDescent="0.25">
      <c r="A248" t="str">
        <v>DGS-I_0247</v>
      </c>
      <c r="B248" t="str">
        <f>_xlfn.XLOOKUP($A248,'EA-Fortescue_SDExport'!$A:$A,'EA-Fortescue_SDExport'!B:B)</f>
        <v>Class</v>
      </c>
      <c r="C248" t="str">
        <f>_xlfn.XLOOKUP($A248,'EA-Fortescue_SDExport'!$A:$A,'EA-Fortescue_SDExport'!C:C)</f>
        <v>{F86AEA70-F74F-4364-9E36-A6821BE4C81D}</v>
      </c>
      <c r="D248" t="str">
        <f>_xlfn.LET(_xlpm.result, _xlfn.XLOOKUP($A248,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48">
        <f>_xlfn.XLOOKUP($A248,'EA-Fortescue_SDExport'!$A:$A,'EA-Fortescue_SDExport'!E:E)</f>
        <v>1</v>
      </c>
      <c r="F248">
        <f>_xlfn.XLOOKUP($A248,'EA-Fortescue_SDExport'!$A:$A,'EA-Fortescue_SDExport'!F:F)</f>
        <v>1</v>
      </c>
      <c r="G248">
        <f>_xlfn.XLOOKUP($A248,'EA-Fortescue_SDExport'!$A:$A,'EA-Fortescue_SDExport'!G:G)</f>
        <v>0</v>
      </c>
      <c r="H248" t="str">
        <f>_xlfn.XLOOKUP($A248,'EA-Fortescue_SDExport'!$A:$A,'EA-Fortescue_SDExport'!H:H)</f>
        <v>InterfaceBlock</v>
      </c>
      <c r="I248" t="str">
        <f>_xlfn.XLOOKUP($A248,'EA-Fortescue_SDExport'!$A:$A,'EA-Fortescue_SDExport'!I:I)</f>
        <v>SysML1.4::InterfaceBlock</v>
      </c>
      <c r="J248" t="str">
        <f>_xlfn.XLOOKUP($A248,'EA-Fortescue_SDExport'!$A:$A,'EA-Fortescue_SDExport'!J:J)</f>
        <v>Java</v>
      </c>
      <c r="K248" t="str">
        <f>_xlfn.XLOOKUP($A248,'EA-Fortescue_SDExport'!$A:$A,'EA-Fortescue_SDExport'!K:K)</f>
        <v>Admin</v>
      </c>
      <c r="L248" t="str">
        <f>_xlfn.XLOOKUP($A248,'EA-Fortescue_SDExport'!$A:$A,'EA-Fortescue_SDExport'!L:L)</f>
        <v>Public</v>
      </c>
      <c r="M248">
        <f>_xlfn.XLOOKUP($A248,'EA-Fortescue_SDExport'!$A:$A,'EA-Fortescue_SDExport'!M:M)</f>
        <v>0</v>
      </c>
      <c r="N248" t="str">
        <f>_xlfn.XLOOKUP($A248,InterfaceRegister!$A:$A,InterfaceRegister!K:K)</f>
        <v>Proposed</v>
      </c>
      <c r="O248">
        <f>_xlfn.XLOOKUP($A248,'EA-Fortescue_SDExport'!$A:$A,'EA-Fortescue_SDExport'!O:O)</f>
        <v>1</v>
      </c>
      <c r="P248">
        <f>_xlfn.XLOOKUP($A248,'EA-Fortescue_SDExport'!$A:$A,'EA-Fortescue_SDExport'!P:P)</f>
        <v>0</v>
      </c>
      <c r="Q248">
        <f>_xlfn.XLOOKUP($A248,'EA-Fortescue_SDExport'!$A:$A,'EA-Fortescue_SDExport'!Q:Q)</f>
        <v>0</v>
      </c>
      <c r="R248">
        <f>_xlfn.XLOOKUP($A248,'EA-Fortescue_SDExport'!$A:$A,'EA-Fortescue_SDExport'!R:R)</f>
        <v>0</v>
      </c>
      <c r="S248">
        <f>_xlfn.XLOOKUP($A248,'EA-Fortescue_SDExport'!$A:$A,'EA-Fortescue_SDExport'!S:S)</f>
        <v>0</v>
      </c>
      <c r="T248">
        <f>_xlfn.XLOOKUP($A248,'EA-Fortescue_SDExport'!$A:$A,'EA-Fortescue_SDExport'!T:T)</f>
        <v>0</v>
      </c>
      <c r="U248">
        <f>_xlfn.XLOOKUP($A248,'EA-Fortescue_SDExport'!$A:$A,'EA-Fortescue_SDExport'!U:U)</f>
        <v>45972.828032407408</v>
      </c>
      <c r="V248">
        <f>_xlfn.XLOOKUP($A248,'EA-Fortescue_SDExport'!$A:$A,'EA-Fortescue_SDExport'!V:V)</f>
        <v>46050.689872685187</v>
      </c>
      <c r="W248">
        <f>_xlfn.XLOOKUP($A248,'EA-Fortescue_SDExport'!$A:$A,'EA-Fortescue_SDExport'!W:W)</f>
        <v>0</v>
      </c>
      <c r="X248">
        <f>_xlfn.XLOOKUP($A248,'EA-Fortescue_SDExport'!$A:$A,'EA-Fortescue_SDExport'!X:X)</f>
        <v>0</v>
      </c>
      <c r="Y248">
        <f>_xlfn.XLOOKUP($A248,'EA-Fortescue_SDExport'!$A:$A,'EA-Fortescue_SDExport'!Y:Y)</f>
        <v>0</v>
      </c>
      <c r="Z248" t="str">
        <f>_xlfn.XLOOKUP($A248,'EA-Fortescue_SDExport'!$A:$A,'EA-Fortescue_SDExport'!Z:Z)</f>
        <v>SysML1.4::InterfaceBlock</v>
      </c>
      <c r="AA248" t="str">
        <f>_xlfn.XLOOKUP($A248,InterfaceRegister!$A:$A,InterfaceRegister!B:B)</f>
        <v>Solomon Mine Hub: Battery Energy Storage Systems (BESS) - DC|855DC-1543-PPC Pit Power Capacity Planning Tool - Capacity Check</v>
      </c>
      <c r="AB248" t="str">
        <f>_xlfn.XLOOKUP($A248,InterfaceRegister!$A:$A,InterfaceRegister!C:C)</f>
        <v/>
      </c>
      <c r="AC248" t="str">
        <f>_xlfn.XLOOKUP($A248,InterfaceRegister!$A:$A,InterfaceRegister!D:D)</f>
        <v/>
      </c>
      <c r="AD248" t="str">
        <f>_xlfn.XLOOKUP($A248,InterfaceRegister!$A:$A,InterfaceRegister!E:E)</f>
        <v>Project - Project Interface</v>
      </c>
      <c r="AE248" t="str">
        <f>_xlfn.XLOOKUP($A248,InterfaceRegister!$A:$A,InterfaceRegister!F:F)</f>
        <v/>
      </c>
      <c r="AF248" t="str">
        <f>_xlfn.XLOOKUP($A248,InterfaceRegister!$A:$A,InterfaceRegister!L:L)</f>
        <v/>
      </c>
      <c r="AG248" t="str">
        <f>_xlfn.XLOOKUP($A248,InterfaceRegister!$A:$A,InterfaceRegister!M:M)</f>
        <v/>
      </c>
      <c r="AH248" t="str">
        <f>_xlfn.XLOOKUP($A248,InterfaceRegister!$A:$A,InterfaceRegister!O:O)</f>
        <v/>
      </c>
      <c r="AI248" t="str">
        <f>_xlfn.XLOOKUP($A248,InterfaceRegister!$A:$A,InterfaceRegister!N:N)</f>
        <v/>
      </c>
      <c r="AJ248" t="str">
        <f>_xlfn.XLOOKUP($A248,'EA-Fortescue_SDExport'!$A:$A,'EA-Fortescue_SDExport'!AX:AX)</f>
        <v>CSVD52D45F0</v>
      </c>
      <c r="AK248">
        <f>_xlfn.XLOOKUP($A248,'EA-Fortescue_SDExport'!$A:$A,'EA-Fortescue_SDExport'!AY:AY)</f>
        <v>0</v>
      </c>
    </row>
    <row r="249" spans="1:37" x14ac:dyDescent="0.25">
      <c r="A249" t="str">
        <v>DGS-I_0248</v>
      </c>
      <c r="B249" t="str">
        <f>_xlfn.XLOOKUP($A249,'EA-Fortescue_SDExport'!$A:$A,'EA-Fortescue_SDExport'!B:B)</f>
        <v>Class</v>
      </c>
      <c r="C249" t="str">
        <f>_xlfn.XLOOKUP($A249,'EA-Fortescue_SDExport'!$A:$A,'EA-Fortescue_SDExport'!C:C)</f>
        <v>{51376727-05F0-4a2d-B109-3524CD66AB49}</v>
      </c>
      <c r="D249" t="str">
        <f>_xlfn.LET(_xlpm.result, _xlfn.XLOOKUP($A249,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49">
        <f>_xlfn.XLOOKUP($A249,'EA-Fortescue_SDExport'!$A:$A,'EA-Fortescue_SDExport'!E:E)</f>
        <v>1</v>
      </c>
      <c r="F249">
        <f>_xlfn.XLOOKUP($A249,'EA-Fortescue_SDExport'!$A:$A,'EA-Fortescue_SDExport'!F:F)</f>
        <v>1</v>
      </c>
      <c r="G249">
        <f>_xlfn.XLOOKUP($A249,'EA-Fortescue_SDExport'!$A:$A,'EA-Fortescue_SDExport'!G:G)</f>
        <v>0</v>
      </c>
      <c r="H249" t="str">
        <f>_xlfn.XLOOKUP($A249,'EA-Fortescue_SDExport'!$A:$A,'EA-Fortescue_SDExport'!H:H)</f>
        <v>InterfaceBlock</v>
      </c>
      <c r="I249" t="str">
        <f>_xlfn.XLOOKUP($A249,'EA-Fortescue_SDExport'!$A:$A,'EA-Fortescue_SDExport'!I:I)</f>
        <v>SysML1.4::InterfaceBlock</v>
      </c>
      <c r="J249" t="str">
        <f>_xlfn.XLOOKUP($A249,'EA-Fortescue_SDExport'!$A:$A,'EA-Fortescue_SDExport'!J:J)</f>
        <v>Java</v>
      </c>
      <c r="K249" t="str">
        <f>_xlfn.XLOOKUP($A249,'EA-Fortescue_SDExport'!$A:$A,'EA-Fortescue_SDExport'!K:K)</f>
        <v>Admin</v>
      </c>
      <c r="L249" t="str">
        <f>_xlfn.XLOOKUP($A249,'EA-Fortescue_SDExport'!$A:$A,'EA-Fortescue_SDExport'!L:L)</f>
        <v>Public</v>
      </c>
      <c r="M249">
        <f>_xlfn.XLOOKUP($A249,'EA-Fortescue_SDExport'!$A:$A,'EA-Fortescue_SDExport'!M:M)</f>
        <v>0</v>
      </c>
      <c r="N249" t="str">
        <f>_xlfn.XLOOKUP($A249,InterfaceRegister!$A:$A,InterfaceRegister!K:K)</f>
        <v>Proposed</v>
      </c>
      <c r="O249">
        <f>_xlfn.XLOOKUP($A249,'EA-Fortescue_SDExport'!$A:$A,'EA-Fortescue_SDExport'!O:O)</f>
        <v>1</v>
      </c>
      <c r="P249">
        <f>_xlfn.XLOOKUP($A249,'EA-Fortescue_SDExport'!$A:$A,'EA-Fortescue_SDExport'!P:P)</f>
        <v>0</v>
      </c>
      <c r="Q249">
        <f>_xlfn.XLOOKUP($A249,'EA-Fortescue_SDExport'!$A:$A,'EA-Fortescue_SDExport'!Q:Q)</f>
        <v>0</v>
      </c>
      <c r="R249">
        <f>_xlfn.XLOOKUP($A249,'EA-Fortescue_SDExport'!$A:$A,'EA-Fortescue_SDExport'!R:R)</f>
        <v>0</v>
      </c>
      <c r="S249">
        <f>_xlfn.XLOOKUP($A249,'EA-Fortescue_SDExport'!$A:$A,'EA-Fortescue_SDExport'!S:S)</f>
        <v>0</v>
      </c>
      <c r="T249">
        <f>_xlfn.XLOOKUP($A249,'EA-Fortescue_SDExport'!$A:$A,'EA-Fortescue_SDExport'!T:T)</f>
        <v>0</v>
      </c>
      <c r="U249">
        <f>_xlfn.XLOOKUP($A249,'EA-Fortescue_SDExport'!$A:$A,'EA-Fortescue_SDExport'!U:U)</f>
        <v>45972.828090277777</v>
      </c>
      <c r="V249">
        <f>_xlfn.XLOOKUP($A249,'EA-Fortescue_SDExport'!$A:$A,'EA-Fortescue_SDExport'!V:V)</f>
        <v>46051.101747685185</v>
      </c>
      <c r="W249">
        <f>_xlfn.XLOOKUP($A249,'EA-Fortescue_SDExport'!$A:$A,'EA-Fortescue_SDExport'!W:W)</f>
        <v>0</v>
      </c>
      <c r="X249">
        <f>_xlfn.XLOOKUP($A249,'EA-Fortescue_SDExport'!$A:$A,'EA-Fortescue_SDExport'!X:X)</f>
        <v>0</v>
      </c>
      <c r="Y249">
        <f>_xlfn.XLOOKUP($A249,'EA-Fortescue_SDExport'!$A:$A,'EA-Fortescue_SDExport'!Y:Y)</f>
        <v>0</v>
      </c>
      <c r="Z249" t="str">
        <f>_xlfn.XLOOKUP($A249,'EA-Fortescue_SDExport'!$A:$A,'EA-Fortescue_SDExport'!Z:Z)</f>
        <v>SysML1.4::InterfaceBlock</v>
      </c>
      <c r="AA249" t="str">
        <f>_xlfn.XLOOKUP($A249,InterfaceRegister!$A:$A,InterfaceRegister!B:B)</f>
        <v>855DC-1543-PPC Pit Power Capacity Planning Tool - Capacity Check|Solomon Mine Hub: Substation (220kV)</v>
      </c>
      <c r="AB249" t="str">
        <f>_xlfn.XLOOKUP($A249,InterfaceRegister!$A:$A,InterfaceRegister!C:C)</f>
        <v/>
      </c>
      <c r="AC249" t="str">
        <f>_xlfn.XLOOKUP($A249,InterfaceRegister!$A:$A,InterfaceRegister!D:D)</f>
        <v/>
      </c>
      <c r="AD249" t="str">
        <f>_xlfn.XLOOKUP($A249,InterfaceRegister!$A:$A,InterfaceRegister!E:E)</f>
        <v>Project - Project Interface</v>
      </c>
      <c r="AE249" t="str">
        <f>_xlfn.XLOOKUP($A249,InterfaceRegister!$A:$A,InterfaceRegister!F:F)</f>
        <v/>
      </c>
      <c r="AF249" t="str">
        <f>_xlfn.XLOOKUP($A249,InterfaceRegister!$A:$A,InterfaceRegister!L:L)</f>
        <v/>
      </c>
      <c r="AG249" t="str">
        <f>_xlfn.XLOOKUP($A249,InterfaceRegister!$A:$A,InterfaceRegister!M:M)</f>
        <v/>
      </c>
      <c r="AH249" t="str">
        <f>_xlfn.XLOOKUP($A249,InterfaceRegister!$A:$A,InterfaceRegister!O:O)</f>
        <v/>
      </c>
      <c r="AI249" t="str">
        <f>_xlfn.XLOOKUP($A249,InterfaceRegister!$A:$A,InterfaceRegister!N:N)</f>
        <v/>
      </c>
      <c r="AJ249" t="str">
        <f>_xlfn.XLOOKUP($A249,'EA-Fortescue_SDExport'!$A:$A,'EA-Fortescue_SDExport'!AX:AX)</f>
        <v>CSV8D8F2087</v>
      </c>
      <c r="AK249">
        <f>_xlfn.XLOOKUP($A249,'EA-Fortescue_SDExport'!$A:$A,'EA-Fortescue_SDExport'!AY:AY)</f>
        <v>0</v>
      </c>
    </row>
    <row r="250" spans="1:37" x14ac:dyDescent="0.25">
      <c r="A250" t="str">
        <v>DGS-I_0249</v>
      </c>
      <c r="B250" t="str">
        <f>_xlfn.XLOOKUP($A250,'EA-Fortescue_SDExport'!$A:$A,'EA-Fortescue_SDExport'!B:B)</f>
        <v>Class</v>
      </c>
      <c r="C250" t="str">
        <f>_xlfn.XLOOKUP($A250,'EA-Fortescue_SDExport'!$A:$A,'EA-Fortescue_SDExport'!C:C)</f>
        <v>{CA364C50-640F-4afe-AAE4-ACBF14BDFCEA}</v>
      </c>
      <c r="D250" t="str">
        <f>_xlfn.LET(_xlpm.result, _xlfn.XLOOKUP($A250,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50">
        <f>_xlfn.XLOOKUP($A250,'EA-Fortescue_SDExport'!$A:$A,'EA-Fortescue_SDExport'!E:E)</f>
        <v>1</v>
      </c>
      <c r="F250">
        <f>_xlfn.XLOOKUP($A250,'EA-Fortescue_SDExport'!$A:$A,'EA-Fortescue_SDExport'!F:F)</f>
        <v>1</v>
      </c>
      <c r="G250">
        <f>_xlfn.XLOOKUP($A250,'EA-Fortescue_SDExport'!$A:$A,'EA-Fortescue_SDExport'!G:G)</f>
        <v>0</v>
      </c>
      <c r="H250" t="str">
        <f>_xlfn.XLOOKUP($A250,'EA-Fortescue_SDExport'!$A:$A,'EA-Fortescue_SDExport'!H:H)</f>
        <v>InterfaceBlock</v>
      </c>
      <c r="I250" t="str">
        <f>_xlfn.XLOOKUP($A250,'EA-Fortescue_SDExport'!$A:$A,'EA-Fortescue_SDExport'!I:I)</f>
        <v>SysML1.4::InterfaceBlock</v>
      </c>
      <c r="J250" t="str">
        <f>_xlfn.XLOOKUP($A250,'EA-Fortescue_SDExport'!$A:$A,'EA-Fortescue_SDExport'!J:J)</f>
        <v>Java</v>
      </c>
      <c r="K250" t="str">
        <f>_xlfn.XLOOKUP($A250,'EA-Fortescue_SDExport'!$A:$A,'EA-Fortescue_SDExport'!K:K)</f>
        <v>Admin</v>
      </c>
      <c r="L250" t="str">
        <f>_xlfn.XLOOKUP($A250,'EA-Fortescue_SDExport'!$A:$A,'EA-Fortescue_SDExport'!L:L)</f>
        <v>Public</v>
      </c>
      <c r="M250">
        <f>_xlfn.XLOOKUP($A250,'EA-Fortescue_SDExport'!$A:$A,'EA-Fortescue_SDExport'!M:M)</f>
        <v>0</v>
      </c>
      <c r="N250" t="str">
        <f>_xlfn.XLOOKUP($A250,InterfaceRegister!$A:$A,InterfaceRegister!K:K)</f>
        <v>Proposed</v>
      </c>
      <c r="O250">
        <f>_xlfn.XLOOKUP($A250,'EA-Fortescue_SDExport'!$A:$A,'EA-Fortescue_SDExport'!O:O)</f>
        <v>1</v>
      </c>
      <c r="P250">
        <f>_xlfn.XLOOKUP($A250,'EA-Fortescue_SDExport'!$A:$A,'EA-Fortescue_SDExport'!P:P)</f>
        <v>0</v>
      </c>
      <c r="Q250">
        <f>_xlfn.XLOOKUP($A250,'EA-Fortescue_SDExport'!$A:$A,'EA-Fortescue_SDExport'!Q:Q)</f>
        <v>0</v>
      </c>
      <c r="R250">
        <f>_xlfn.XLOOKUP($A250,'EA-Fortescue_SDExport'!$A:$A,'EA-Fortescue_SDExport'!R:R)</f>
        <v>0</v>
      </c>
      <c r="S250">
        <f>_xlfn.XLOOKUP($A250,'EA-Fortescue_SDExport'!$A:$A,'EA-Fortescue_SDExport'!S:S)</f>
        <v>0</v>
      </c>
      <c r="T250">
        <f>_xlfn.XLOOKUP($A250,'EA-Fortescue_SDExport'!$A:$A,'EA-Fortescue_SDExport'!T:T)</f>
        <v>0</v>
      </c>
      <c r="U250">
        <f>_xlfn.XLOOKUP($A250,'EA-Fortescue_SDExport'!$A:$A,'EA-Fortescue_SDExport'!U:U)</f>
        <v>45972.828125</v>
      </c>
      <c r="V250">
        <f>_xlfn.XLOOKUP($A250,'EA-Fortescue_SDExport'!$A:$A,'EA-Fortescue_SDExport'!V:V)</f>
        <v>46050.69017361111</v>
      </c>
      <c r="W250">
        <f>_xlfn.XLOOKUP($A250,'EA-Fortescue_SDExport'!$A:$A,'EA-Fortescue_SDExport'!W:W)</f>
        <v>0</v>
      </c>
      <c r="X250">
        <f>_xlfn.XLOOKUP($A250,'EA-Fortescue_SDExport'!$A:$A,'EA-Fortescue_SDExport'!X:X)</f>
        <v>0</v>
      </c>
      <c r="Y250">
        <f>_xlfn.XLOOKUP($A250,'EA-Fortescue_SDExport'!$A:$A,'EA-Fortescue_SDExport'!Y:Y)</f>
        <v>0</v>
      </c>
      <c r="Z250" t="str">
        <f>_xlfn.XLOOKUP($A250,'EA-Fortescue_SDExport'!$A:$A,'EA-Fortescue_SDExport'!Z:Z)</f>
        <v>SysML1.4::InterfaceBlock</v>
      </c>
      <c r="AA250" t="str">
        <f>_xlfn.XLOOKUP($A250,InterfaceRegister!$A:$A,InterfaceRegister!B:B)</f>
        <v>Solomon Mine Hub: Substation (33kV)|855DC-1543-PPC Pit Power Capacity Planning Tool - Capacity Check</v>
      </c>
      <c r="AB250" t="str">
        <f>_xlfn.XLOOKUP($A250,InterfaceRegister!$A:$A,InterfaceRegister!C:C)</f>
        <v/>
      </c>
      <c r="AC250" t="str">
        <f>_xlfn.XLOOKUP($A250,InterfaceRegister!$A:$A,InterfaceRegister!D:D)</f>
        <v/>
      </c>
      <c r="AD250" t="str">
        <f>_xlfn.XLOOKUP($A250,InterfaceRegister!$A:$A,InterfaceRegister!E:E)</f>
        <v>Project - Project Interface</v>
      </c>
      <c r="AE250" t="str">
        <f>_xlfn.XLOOKUP($A250,InterfaceRegister!$A:$A,InterfaceRegister!F:F)</f>
        <v/>
      </c>
      <c r="AF250" t="str">
        <f>_xlfn.XLOOKUP($A250,InterfaceRegister!$A:$A,InterfaceRegister!L:L)</f>
        <v/>
      </c>
      <c r="AG250" t="str">
        <f>_xlfn.XLOOKUP($A250,InterfaceRegister!$A:$A,InterfaceRegister!M:M)</f>
        <v/>
      </c>
      <c r="AH250" t="str">
        <f>_xlfn.XLOOKUP($A250,InterfaceRegister!$A:$A,InterfaceRegister!O:O)</f>
        <v/>
      </c>
      <c r="AI250" t="str">
        <f>_xlfn.XLOOKUP($A250,InterfaceRegister!$A:$A,InterfaceRegister!N:N)</f>
        <v/>
      </c>
      <c r="AJ250" t="str">
        <f>_xlfn.XLOOKUP($A250,'EA-Fortescue_SDExport'!$A:$A,'EA-Fortescue_SDExport'!AX:AX)</f>
        <v>CSV4CA562BA</v>
      </c>
      <c r="AK250">
        <f>_xlfn.XLOOKUP($A250,'EA-Fortescue_SDExport'!$A:$A,'EA-Fortescue_SDExport'!AY:AY)</f>
        <v>0</v>
      </c>
    </row>
    <row r="251" spans="1:37" x14ac:dyDescent="0.25">
      <c r="A251" t="str">
        <v>DGS-I_0250</v>
      </c>
      <c r="B251" t="str">
        <f>_xlfn.XLOOKUP($A251,'EA-Fortescue_SDExport'!$A:$A,'EA-Fortescue_SDExport'!B:B)</f>
        <v>Class</v>
      </c>
      <c r="C251" t="str">
        <f>_xlfn.XLOOKUP($A251,'EA-Fortescue_SDExport'!$A:$A,'EA-Fortescue_SDExport'!C:C)</f>
        <v>{C140DFA0-16C9-4f44-BEE1-5E72D9781F32}</v>
      </c>
      <c r="D251" t="str">
        <f>_xlfn.LET(_xlpm.result, _xlfn.XLOOKUP($A251, InterfaceRegister!$A:$A, InterfaceRegister!P:P), IF(_xlpm.result=0, "", _xlpm.result))</f>
        <v/>
      </c>
      <c r="E251">
        <f>_xlfn.XLOOKUP($A251,'EA-Fortescue_SDExport'!$A:$A,'EA-Fortescue_SDExport'!E:E)</f>
        <v>1</v>
      </c>
      <c r="F251">
        <f>_xlfn.XLOOKUP($A251,'EA-Fortescue_SDExport'!$A:$A,'EA-Fortescue_SDExport'!F:F)</f>
        <v>1</v>
      </c>
      <c r="G251">
        <f>_xlfn.XLOOKUP($A251,'EA-Fortescue_SDExport'!$A:$A,'EA-Fortescue_SDExport'!G:G)</f>
        <v>0</v>
      </c>
      <c r="H251" t="str">
        <f>_xlfn.XLOOKUP($A251,'EA-Fortescue_SDExport'!$A:$A,'EA-Fortescue_SDExport'!H:H)</f>
        <v>InterfaceBlock</v>
      </c>
      <c r="I251" t="str">
        <f>_xlfn.XLOOKUP($A251,'EA-Fortescue_SDExport'!$A:$A,'EA-Fortescue_SDExport'!I:I)</f>
        <v>SysML1.4::InterfaceBlock</v>
      </c>
      <c r="J251" t="str">
        <f>_xlfn.XLOOKUP($A251,'EA-Fortescue_SDExport'!$A:$A,'EA-Fortescue_SDExport'!J:J)</f>
        <v>Java</v>
      </c>
      <c r="K251" t="str">
        <f>_xlfn.XLOOKUP($A251,'EA-Fortescue_SDExport'!$A:$A,'EA-Fortescue_SDExport'!K:K)</f>
        <v>Admin</v>
      </c>
      <c r="L251" t="str">
        <f>_xlfn.XLOOKUP($A251,'EA-Fortescue_SDExport'!$A:$A,'EA-Fortescue_SDExport'!L:L)</f>
        <v>Public</v>
      </c>
      <c r="M251">
        <f>_xlfn.XLOOKUP($A251,'EA-Fortescue_SDExport'!$A:$A,'EA-Fortescue_SDExport'!M:M)</f>
        <v>0</v>
      </c>
      <c r="N251" t="str">
        <f>_xlfn.XLOOKUP($A251,InterfaceRegister!$A:$A,InterfaceRegister!K:K)</f>
        <v>Proposed</v>
      </c>
      <c r="O251">
        <f>_xlfn.XLOOKUP($A251,'EA-Fortescue_SDExport'!$A:$A,'EA-Fortescue_SDExport'!O:O)</f>
        <v>1</v>
      </c>
      <c r="P251">
        <f>_xlfn.XLOOKUP($A251,'EA-Fortescue_SDExport'!$A:$A,'EA-Fortescue_SDExport'!P:P)</f>
        <v>0</v>
      </c>
      <c r="Q251">
        <f>_xlfn.XLOOKUP($A251,'EA-Fortescue_SDExport'!$A:$A,'EA-Fortescue_SDExport'!Q:Q)</f>
        <v>0</v>
      </c>
      <c r="R251">
        <f>_xlfn.XLOOKUP($A251,'EA-Fortescue_SDExport'!$A:$A,'EA-Fortescue_SDExport'!R:R)</f>
        <v>0</v>
      </c>
      <c r="S251">
        <f>_xlfn.XLOOKUP($A251,'EA-Fortescue_SDExport'!$A:$A,'EA-Fortescue_SDExport'!S:S)</f>
        <v>0</v>
      </c>
      <c r="T251">
        <f>_xlfn.XLOOKUP($A251,'EA-Fortescue_SDExport'!$A:$A,'EA-Fortescue_SDExport'!T:T)</f>
        <v>0</v>
      </c>
      <c r="U251">
        <f>_xlfn.XLOOKUP($A251,'EA-Fortescue_SDExport'!$A:$A,'EA-Fortescue_SDExport'!U:U)</f>
        <v>45924.510393518518</v>
      </c>
      <c r="V251">
        <f>_xlfn.XLOOKUP($A251,'EA-Fortescue_SDExport'!$A:$A,'EA-Fortescue_SDExport'!V:V)</f>
        <v>46002.004988425928</v>
      </c>
      <c r="W251">
        <f>_xlfn.XLOOKUP($A251,'EA-Fortescue_SDExport'!$A:$A,'EA-Fortescue_SDExport'!W:W)</f>
        <v>0</v>
      </c>
      <c r="X251">
        <f>_xlfn.XLOOKUP($A251,'EA-Fortescue_SDExport'!$A:$A,'EA-Fortescue_SDExport'!X:X)</f>
        <v>0</v>
      </c>
      <c r="Y251">
        <f>_xlfn.XLOOKUP($A251,'EA-Fortescue_SDExport'!$A:$A,'EA-Fortescue_SDExport'!Y:Y)</f>
        <v>0</v>
      </c>
      <c r="Z251" t="str">
        <f>_xlfn.XLOOKUP($A251,'EA-Fortescue_SDExport'!$A:$A,'EA-Fortescue_SDExport'!Z:Z)</f>
        <v>SysML1.4::InterfaceBlock</v>
      </c>
      <c r="AA251" t="str">
        <f>_xlfn.XLOOKUP($A251,InterfaceRegister!$A:$A,InterfaceRegister!B:B)</f>
        <v>Solomon Mine Hub: Solar Photovoltaic (PV) Farms|Solomon Mine Hub: Substation (220kV)</v>
      </c>
      <c r="AB251" t="str">
        <f>_xlfn.XLOOKUP($A251,InterfaceRegister!$A:$A,InterfaceRegister!C:C)</f>
        <v/>
      </c>
      <c r="AC251" t="str">
        <f>_xlfn.XLOOKUP($A251,InterfaceRegister!$A:$A,InterfaceRegister!D:D)</f>
        <v/>
      </c>
      <c r="AD251" t="str">
        <f>_xlfn.XLOOKUP($A251,InterfaceRegister!$A:$A,InterfaceRegister!E:E)</f>
        <v>Project - Project Interface</v>
      </c>
      <c r="AE251" t="str">
        <f>_xlfn.XLOOKUP($A251,InterfaceRegister!$A:$A,InterfaceRegister!F:F)</f>
        <v/>
      </c>
      <c r="AF251" t="str">
        <f>_xlfn.XLOOKUP($A251,InterfaceRegister!$A:$A,InterfaceRegister!L:L)</f>
        <v/>
      </c>
      <c r="AG251" t="str">
        <f>_xlfn.XLOOKUP($A251,InterfaceRegister!$A:$A,InterfaceRegister!M:M)</f>
        <v/>
      </c>
      <c r="AH251" t="str">
        <f>_xlfn.XLOOKUP($A251,InterfaceRegister!$A:$A,InterfaceRegister!O:O)</f>
        <v/>
      </c>
      <c r="AI251" t="str">
        <f>_xlfn.XLOOKUP($A251,InterfaceRegister!$A:$A,InterfaceRegister!N:N)</f>
        <v/>
      </c>
      <c r="AJ251" t="str">
        <f>_xlfn.XLOOKUP($A251,'EA-Fortescue_SDExport'!$A:$A,'EA-Fortescue_SDExport'!AX:AX)</f>
        <v>CSV2D5E834D</v>
      </c>
      <c r="AK251">
        <f>_xlfn.XLOOKUP($A251,'EA-Fortescue_SDExport'!$A:$A,'EA-Fortescue_SDExport'!AY:AY)</f>
        <v>0</v>
      </c>
    </row>
    <row r="252" spans="1:37" x14ac:dyDescent="0.25">
      <c r="A252" t="str">
        <v>DGS-I_0251</v>
      </c>
      <c r="B252" t="str">
        <f>_xlfn.XLOOKUP($A252,'EA-Fortescue_SDExport'!$A:$A,'EA-Fortescue_SDExport'!B:B)</f>
        <v>Class</v>
      </c>
      <c r="C252" t="str">
        <f>_xlfn.XLOOKUP($A252,'EA-Fortescue_SDExport'!$A:$A,'EA-Fortescue_SDExport'!C:C)</f>
        <v>{EFC2B413-C822-43d8-94EF-6E710E42F393}</v>
      </c>
      <c r="D252" t="str">
        <f>_xlfn.LET(_xlpm.result, _xlfn.XLOOKUP($A252, InterfaceRegister!$A:$A, InterfaceRegister!P:P), IF(_xlpm.result=0, "", _xlpm.result))</f>
        <v/>
      </c>
      <c r="E252">
        <f>_xlfn.XLOOKUP($A252,'EA-Fortescue_SDExport'!$A:$A,'EA-Fortescue_SDExport'!E:E)</f>
        <v>1</v>
      </c>
      <c r="F252">
        <f>_xlfn.XLOOKUP($A252,'EA-Fortescue_SDExport'!$A:$A,'EA-Fortescue_SDExport'!F:F)</f>
        <v>1</v>
      </c>
      <c r="G252">
        <f>_xlfn.XLOOKUP($A252,'EA-Fortescue_SDExport'!$A:$A,'EA-Fortescue_SDExport'!G:G)</f>
        <v>0</v>
      </c>
      <c r="H252" t="str">
        <f>_xlfn.XLOOKUP($A252,'EA-Fortescue_SDExport'!$A:$A,'EA-Fortescue_SDExport'!H:H)</f>
        <v>InterfaceBlock</v>
      </c>
      <c r="I252" t="str">
        <f>_xlfn.XLOOKUP($A252,'EA-Fortescue_SDExport'!$A:$A,'EA-Fortescue_SDExport'!I:I)</f>
        <v>SysML1.4::InterfaceBlock</v>
      </c>
      <c r="J252" t="str">
        <f>_xlfn.XLOOKUP($A252,'EA-Fortescue_SDExport'!$A:$A,'EA-Fortescue_SDExport'!J:J)</f>
        <v>Java</v>
      </c>
      <c r="K252" t="str">
        <f>_xlfn.XLOOKUP($A252,'EA-Fortescue_SDExport'!$A:$A,'EA-Fortescue_SDExport'!K:K)</f>
        <v>Admin</v>
      </c>
      <c r="L252" t="str">
        <f>_xlfn.XLOOKUP($A252,'EA-Fortescue_SDExport'!$A:$A,'EA-Fortescue_SDExport'!L:L)</f>
        <v>Public</v>
      </c>
      <c r="M252">
        <f>_xlfn.XLOOKUP($A252,'EA-Fortescue_SDExport'!$A:$A,'EA-Fortescue_SDExport'!M:M)</f>
        <v>0</v>
      </c>
      <c r="N252" t="str">
        <f>_xlfn.XLOOKUP($A252,InterfaceRegister!$A:$A,InterfaceRegister!K:K)</f>
        <v>Proposed</v>
      </c>
      <c r="O252">
        <f>_xlfn.XLOOKUP($A252,'EA-Fortescue_SDExport'!$A:$A,'EA-Fortescue_SDExport'!O:O)</f>
        <v>1</v>
      </c>
      <c r="P252">
        <f>_xlfn.XLOOKUP($A252,'EA-Fortescue_SDExport'!$A:$A,'EA-Fortescue_SDExport'!P:P)</f>
        <v>0</v>
      </c>
      <c r="Q252">
        <f>_xlfn.XLOOKUP($A252,'EA-Fortescue_SDExport'!$A:$A,'EA-Fortescue_SDExport'!Q:Q)</f>
        <v>0</v>
      </c>
      <c r="R252">
        <f>_xlfn.XLOOKUP($A252,'EA-Fortescue_SDExport'!$A:$A,'EA-Fortescue_SDExport'!R:R)</f>
        <v>0</v>
      </c>
      <c r="S252">
        <f>_xlfn.XLOOKUP($A252,'EA-Fortescue_SDExport'!$A:$A,'EA-Fortescue_SDExport'!S:S)</f>
        <v>0</v>
      </c>
      <c r="T252">
        <f>_xlfn.XLOOKUP($A252,'EA-Fortescue_SDExport'!$A:$A,'EA-Fortescue_SDExport'!T:T)</f>
        <v>0</v>
      </c>
      <c r="U252">
        <f>_xlfn.XLOOKUP($A252,'EA-Fortescue_SDExport'!$A:$A,'EA-Fortescue_SDExport'!U:U)</f>
        <v>45926.658275462964</v>
      </c>
      <c r="V252">
        <f>_xlfn.XLOOKUP($A252,'EA-Fortescue_SDExport'!$A:$A,'EA-Fortescue_SDExport'!V:V)</f>
        <v>46002.004965277774</v>
      </c>
      <c r="W252">
        <f>_xlfn.XLOOKUP($A252,'EA-Fortescue_SDExport'!$A:$A,'EA-Fortescue_SDExport'!W:W)</f>
        <v>0</v>
      </c>
      <c r="X252">
        <f>_xlfn.XLOOKUP($A252,'EA-Fortescue_SDExport'!$A:$A,'EA-Fortescue_SDExport'!X:X)</f>
        <v>0</v>
      </c>
      <c r="Y252">
        <f>_xlfn.XLOOKUP($A252,'EA-Fortescue_SDExport'!$A:$A,'EA-Fortescue_SDExport'!Y:Y)</f>
        <v>0</v>
      </c>
      <c r="Z252" t="str">
        <f>_xlfn.XLOOKUP($A252,'EA-Fortescue_SDExport'!$A:$A,'EA-Fortescue_SDExport'!Z:Z)</f>
        <v>SysML1.4::InterfaceBlock</v>
      </c>
      <c r="AA252" t="str">
        <f>_xlfn.XLOOKUP($A252,InterfaceRegister!$A:$A,InterfaceRegister!B:B)</f>
        <v>Solomon Mine Hub: Battery Energy Storage Systems (BESS) - AC|Solomon Mine Hub: Substation (220kV)</v>
      </c>
      <c r="AB252" t="str">
        <f>_xlfn.XLOOKUP($A252,InterfaceRegister!$A:$A,InterfaceRegister!C:C)</f>
        <v/>
      </c>
      <c r="AC252" t="str">
        <f>_xlfn.XLOOKUP($A252,InterfaceRegister!$A:$A,InterfaceRegister!D:D)</f>
        <v/>
      </c>
      <c r="AD252" t="str">
        <f>_xlfn.XLOOKUP($A252,InterfaceRegister!$A:$A,InterfaceRegister!E:E)</f>
        <v>Project - Project Interface</v>
      </c>
      <c r="AE252" t="str">
        <f>_xlfn.XLOOKUP($A252,InterfaceRegister!$A:$A,InterfaceRegister!F:F)</f>
        <v/>
      </c>
      <c r="AF252" t="str">
        <f>_xlfn.XLOOKUP($A252,InterfaceRegister!$A:$A,InterfaceRegister!L:L)</f>
        <v/>
      </c>
      <c r="AG252" t="str">
        <f>_xlfn.XLOOKUP($A252,InterfaceRegister!$A:$A,InterfaceRegister!M:M)</f>
        <v/>
      </c>
      <c r="AH252" t="str">
        <f>_xlfn.XLOOKUP($A252,InterfaceRegister!$A:$A,InterfaceRegister!O:O)</f>
        <v/>
      </c>
      <c r="AI252" t="str">
        <f>_xlfn.XLOOKUP($A252,InterfaceRegister!$A:$A,InterfaceRegister!N:N)</f>
        <v/>
      </c>
      <c r="AJ252" t="str">
        <f>_xlfn.XLOOKUP($A252,'EA-Fortescue_SDExport'!$A:$A,'EA-Fortescue_SDExport'!AX:AX)</f>
        <v>CSV24D82D82</v>
      </c>
      <c r="AK252">
        <f>_xlfn.XLOOKUP($A252,'EA-Fortescue_SDExport'!$A:$A,'EA-Fortescue_SDExport'!AY:AY)</f>
        <v>0</v>
      </c>
    </row>
    <row r="253" spans="1:37" x14ac:dyDescent="0.25">
      <c r="A253" t="str">
        <v>DGS-I_0252</v>
      </c>
      <c r="B253" t="str">
        <f>_xlfn.XLOOKUP($A253,'EA-Fortescue_SDExport'!$A:$A,'EA-Fortescue_SDExport'!B:B)</f>
        <v>Class</v>
      </c>
      <c r="C253" t="str">
        <f>_xlfn.XLOOKUP($A253,'EA-Fortescue_SDExport'!$A:$A,'EA-Fortescue_SDExport'!C:C)</f>
        <v>{2404D719-A1A1-4793-8280-6E258B384BE4}</v>
      </c>
      <c r="D253" t="str">
        <f>_xlfn.LET(_xlpm.result, _xlfn.XLOOKUP($A253, InterfaceRegister!$A:$A, InterfaceRegister!P:P), IF(_xlpm.result=0, "", _xlpm.result))</f>
        <v/>
      </c>
      <c r="E253">
        <f>_xlfn.XLOOKUP($A253,'EA-Fortescue_SDExport'!$A:$A,'EA-Fortescue_SDExport'!E:E)</f>
        <v>1</v>
      </c>
      <c r="F253">
        <f>_xlfn.XLOOKUP($A253,'EA-Fortescue_SDExport'!$A:$A,'EA-Fortescue_SDExport'!F:F)</f>
        <v>1</v>
      </c>
      <c r="G253">
        <f>_xlfn.XLOOKUP($A253,'EA-Fortescue_SDExport'!$A:$A,'EA-Fortescue_SDExport'!G:G)</f>
        <v>0</v>
      </c>
      <c r="H253" t="str">
        <f>_xlfn.XLOOKUP($A253,'EA-Fortescue_SDExport'!$A:$A,'EA-Fortescue_SDExport'!H:H)</f>
        <v>InterfaceBlock</v>
      </c>
      <c r="I253" t="str">
        <f>_xlfn.XLOOKUP($A253,'EA-Fortescue_SDExport'!$A:$A,'EA-Fortescue_SDExport'!I:I)</f>
        <v>SysML1.4::InterfaceBlock</v>
      </c>
      <c r="J253" t="str">
        <f>_xlfn.XLOOKUP($A253,'EA-Fortescue_SDExport'!$A:$A,'EA-Fortescue_SDExport'!J:J)</f>
        <v>Java</v>
      </c>
      <c r="K253" t="str">
        <f>_xlfn.XLOOKUP($A253,'EA-Fortescue_SDExport'!$A:$A,'EA-Fortescue_SDExport'!K:K)</f>
        <v>Admin</v>
      </c>
      <c r="L253" t="str">
        <f>_xlfn.XLOOKUP($A253,'EA-Fortescue_SDExport'!$A:$A,'EA-Fortescue_SDExport'!L:L)</f>
        <v>Public</v>
      </c>
      <c r="M253">
        <f>_xlfn.XLOOKUP($A253,'EA-Fortescue_SDExport'!$A:$A,'EA-Fortescue_SDExport'!M:M)</f>
        <v>0</v>
      </c>
      <c r="N253" t="str">
        <f>_xlfn.XLOOKUP($A253,InterfaceRegister!$A:$A,InterfaceRegister!K:K)</f>
        <v>Proposed</v>
      </c>
      <c r="O253">
        <f>_xlfn.XLOOKUP($A253,'EA-Fortescue_SDExport'!$A:$A,'EA-Fortescue_SDExport'!O:O)</f>
        <v>1</v>
      </c>
      <c r="P253">
        <f>_xlfn.XLOOKUP($A253,'EA-Fortescue_SDExport'!$A:$A,'EA-Fortescue_SDExport'!P:P)</f>
        <v>0</v>
      </c>
      <c r="Q253">
        <f>_xlfn.XLOOKUP($A253,'EA-Fortescue_SDExport'!$A:$A,'EA-Fortescue_SDExport'!Q:Q)</f>
        <v>0</v>
      </c>
      <c r="R253">
        <f>_xlfn.XLOOKUP($A253,'EA-Fortescue_SDExport'!$A:$A,'EA-Fortescue_SDExport'!R:R)</f>
        <v>0</v>
      </c>
      <c r="S253">
        <f>_xlfn.XLOOKUP($A253,'EA-Fortescue_SDExport'!$A:$A,'EA-Fortescue_SDExport'!S:S)</f>
        <v>0</v>
      </c>
      <c r="T253">
        <f>_xlfn.XLOOKUP($A253,'EA-Fortescue_SDExport'!$A:$A,'EA-Fortescue_SDExport'!T:T)</f>
        <v>0</v>
      </c>
      <c r="U253">
        <f>_xlfn.XLOOKUP($A253,'EA-Fortescue_SDExport'!$A:$A,'EA-Fortescue_SDExport'!U:U)</f>
        <v>45926.658321759256</v>
      </c>
      <c r="V253">
        <f>_xlfn.XLOOKUP($A253,'EA-Fortescue_SDExport'!$A:$A,'EA-Fortescue_SDExport'!V:V)</f>
        <v>46002.004942129628</v>
      </c>
      <c r="W253">
        <f>_xlfn.XLOOKUP($A253,'EA-Fortescue_SDExport'!$A:$A,'EA-Fortescue_SDExport'!W:W)</f>
        <v>0</v>
      </c>
      <c r="X253">
        <f>_xlfn.XLOOKUP($A253,'EA-Fortescue_SDExport'!$A:$A,'EA-Fortescue_SDExport'!X:X)</f>
        <v>0</v>
      </c>
      <c r="Y253">
        <f>_xlfn.XLOOKUP($A253,'EA-Fortescue_SDExport'!$A:$A,'EA-Fortescue_SDExport'!Y:Y)</f>
        <v>0</v>
      </c>
      <c r="Z253" t="str">
        <f>_xlfn.XLOOKUP($A253,'EA-Fortescue_SDExport'!$A:$A,'EA-Fortescue_SDExport'!Z:Z)</f>
        <v>SysML1.4::InterfaceBlock</v>
      </c>
      <c r="AA253" t="str">
        <f>_xlfn.XLOOKUP($A253,InterfaceRegister!$A:$A,InterfaceRegister!B:B)</f>
        <v>Solomon Mine Hub: Substation (33kV)|Solomon Mine Hub: Mobile Battery Bank</v>
      </c>
      <c r="AB253" t="str">
        <f>_xlfn.XLOOKUP($A253,InterfaceRegister!$A:$A,InterfaceRegister!C:C)</f>
        <v/>
      </c>
      <c r="AC253" t="str">
        <f>_xlfn.XLOOKUP($A253,InterfaceRegister!$A:$A,InterfaceRegister!D:D)</f>
        <v/>
      </c>
      <c r="AD253" t="str">
        <f>_xlfn.XLOOKUP($A253,InterfaceRegister!$A:$A,InterfaceRegister!E:E)</f>
        <v>Project - Project Interface</v>
      </c>
      <c r="AE253" t="str">
        <f>_xlfn.XLOOKUP($A253,InterfaceRegister!$A:$A,InterfaceRegister!F:F)</f>
        <v/>
      </c>
      <c r="AF253" t="str">
        <f>_xlfn.XLOOKUP($A253,InterfaceRegister!$A:$A,InterfaceRegister!L:L)</f>
        <v/>
      </c>
      <c r="AG253" t="str">
        <f>_xlfn.XLOOKUP($A253,InterfaceRegister!$A:$A,InterfaceRegister!M:M)</f>
        <v/>
      </c>
      <c r="AH253" t="str">
        <f>_xlfn.XLOOKUP($A253,InterfaceRegister!$A:$A,InterfaceRegister!O:O)</f>
        <v/>
      </c>
      <c r="AI253" t="str">
        <f>_xlfn.XLOOKUP($A253,InterfaceRegister!$A:$A,InterfaceRegister!N:N)</f>
        <v/>
      </c>
      <c r="AJ253" t="str">
        <f>_xlfn.XLOOKUP($A253,'EA-Fortescue_SDExport'!$A:$A,'EA-Fortescue_SDExport'!AX:AX)</f>
        <v>CSVF1F245FC</v>
      </c>
      <c r="AK253">
        <f>_xlfn.XLOOKUP($A253,'EA-Fortescue_SDExport'!$A:$A,'EA-Fortescue_SDExport'!AY:AY)</f>
        <v>0</v>
      </c>
    </row>
    <row r="254" spans="1:37" x14ac:dyDescent="0.25">
      <c r="A254" t="str">
        <v>DGS-I_0253</v>
      </c>
      <c r="B254" t="str">
        <f>_xlfn.XLOOKUP($A254,'EA-Fortescue_SDExport'!$A:$A,'EA-Fortescue_SDExport'!B:B)</f>
        <v>Class</v>
      </c>
      <c r="C254" t="str">
        <f>_xlfn.XLOOKUP($A254,'EA-Fortescue_SDExport'!$A:$A,'EA-Fortescue_SDExport'!C:C)</f>
        <v>{8BC778E2-CF09-491a-BB3A-C5872AAC0FF5}</v>
      </c>
      <c r="D254" t="str">
        <f>_xlfn.LET(_xlpm.result, _xlfn.XLOOKUP($A254,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54">
        <f>_xlfn.XLOOKUP($A254,'EA-Fortescue_SDExport'!$A:$A,'EA-Fortescue_SDExport'!E:E)</f>
        <v>1</v>
      </c>
      <c r="F254">
        <f>_xlfn.XLOOKUP($A254,'EA-Fortescue_SDExport'!$A:$A,'EA-Fortescue_SDExport'!F:F)</f>
        <v>1</v>
      </c>
      <c r="G254">
        <f>_xlfn.XLOOKUP($A254,'EA-Fortescue_SDExport'!$A:$A,'EA-Fortescue_SDExport'!G:G)</f>
        <v>0</v>
      </c>
      <c r="H254" t="str">
        <f>_xlfn.XLOOKUP($A254,'EA-Fortescue_SDExport'!$A:$A,'EA-Fortescue_SDExport'!H:H)</f>
        <v>InterfaceBlock</v>
      </c>
      <c r="I254" t="str">
        <f>_xlfn.XLOOKUP($A254,'EA-Fortescue_SDExport'!$A:$A,'EA-Fortescue_SDExport'!I:I)</f>
        <v>SysML1.4::InterfaceBlock</v>
      </c>
      <c r="J254" t="str">
        <f>_xlfn.XLOOKUP($A254,'EA-Fortescue_SDExport'!$A:$A,'EA-Fortescue_SDExport'!J:J)</f>
        <v>Java</v>
      </c>
      <c r="K254" t="str">
        <f>_xlfn.XLOOKUP($A254,'EA-Fortescue_SDExport'!$A:$A,'EA-Fortescue_SDExport'!K:K)</f>
        <v>Admin</v>
      </c>
      <c r="L254" t="str">
        <f>_xlfn.XLOOKUP($A254,'EA-Fortescue_SDExport'!$A:$A,'EA-Fortescue_SDExport'!L:L)</f>
        <v>Public</v>
      </c>
      <c r="M254">
        <f>_xlfn.XLOOKUP($A254,'EA-Fortescue_SDExport'!$A:$A,'EA-Fortescue_SDExport'!M:M)</f>
        <v>0</v>
      </c>
      <c r="N254" t="str">
        <f>_xlfn.XLOOKUP($A254,InterfaceRegister!$A:$A,InterfaceRegister!K:K)</f>
        <v>Proposed</v>
      </c>
      <c r="O254">
        <f>_xlfn.XLOOKUP($A254,'EA-Fortescue_SDExport'!$A:$A,'EA-Fortescue_SDExport'!O:O)</f>
        <v>1</v>
      </c>
      <c r="P254">
        <f>_xlfn.XLOOKUP($A254,'EA-Fortescue_SDExport'!$A:$A,'EA-Fortescue_SDExport'!P:P)</f>
        <v>0</v>
      </c>
      <c r="Q254">
        <f>_xlfn.XLOOKUP($A254,'EA-Fortescue_SDExport'!$A:$A,'EA-Fortescue_SDExport'!Q:Q)</f>
        <v>0</v>
      </c>
      <c r="R254">
        <f>_xlfn.XLOOKUP($A254,'EA-Fortescue_SDExport'!$A:$A,'EA-Fortescue_SDExport'!R:R)</f>
        <v>0</v>
      </c>
      <c r="S254">
        <f>_xlfn.XLOOKUP($A254,'EA-Fortescue_SDExport'!$A:$A,'EA-Fortescue_SDExport'!S:S)</f>
        <v>0</v>
      </c>
      <c r="T254">
        <f>_xlfn.XLOOKUP($A254,'EA-Fortescue_SDExport'!$A:$A,'EA-Fortescue_SDExport'!T:T)</f>
        <v>0</v>
      </c>
      <c r="U254">
        <f>_xlfn.XLOOKUP($A254,'EA-Fortescue_SDExport'!$A:$A,'EA-Fortescue_SDExport'!U:U)</f>
        <v>45972.901284722226</v>
      </c>
      <c r="V254">
        <f>_xlfn.XLOOKUP($A254,'EA-Fortescue_SDExport'!$A:$A,'EA-Fortescue_SDExport'!V:V)</f>
        <v>46050.69027777778</v>
      </c>
      <c r="W254">
        <f>_xlfn.XLOOKUP($A254,'EA-Fortescue_SDExport'!$A:$A,'EA-Fortescue_SDExport'!W:W)</f>
        <v>0</v>
      </c>
      <c r="X254">
        <f>_xlfn.XLOOKUP($A254,'EA-Fortescue_SDExport'!$A:$A,'EA-Fortescue_SDExport'!X:X)</f>
        <v>0</v>
      </c>
      <c r="Y254">
        <f>_xlfn.XLOOKUP($A254,'EA-Fortescue_SDExport'!$A:$A,'EA-Fortescue_SDExport'!Y:Y)</f>
        <v>0</v>
      </c>
      <c r="Z254" t="str">
        <f>_xlfn.XLOOKUP($A254,'EA-Fortescue_SDExport'!$A:$A,'EA-Fortescue_SDExport'!Z:Z)</f>
        <v>SysML1.4::InterfaceBlock</v>
      </c>
      <c r="AA254" t="str">
        <f>_xlfn.XLOOKUP($A254,InterfaceRegister!$A:$A,InterfaceRegister!B:B)</f>
        <v>Solomon Mine Hub: Field Switches|855DC-1543-PPC Pit Power Capacity Planning Tool - Capacity Check</v>
      </c>
      <c r="AB254" t="str">
        <f>_xlfn.XLOOKUP($A254,InterfaceRegister!$A:$A,InterfaceRegister!C:C)</f>
        <v/>
      </c>
      <c r="AC254" t="str">
        <f>_xlfn.XLOOKUP($A254,InterfaceRegister!$A:$A,InterfaceRegister!D:D)</f>
        <v/>
      </c>
      <c r="AD254" t="str">
        <f>_xlfn.XLOOKUP($A254,InterfaceRegister!$A:$A,InterfaceRegister!E:E)</f>
        <v>System - Project Interface</v>
      </c>
      <c r="AE254" t="str">
        <f>_xlfn.XLOOKUP($A254,InterfaceRegister!$A:$A,InterfaceRegister!F:F)</f>
        <v/>
      </c>
      <c r="AF254" t="str">
        <f>_xlfn.XLOOKUP($A254,InterfaceRegister!$A:$A,InterfaceRegister!L:L)</f>
        <v/>
      </c>
      <c r="AG254" t="str">
        <f>_xlfn.XLOOKUP($A254,InterfaceRegister!$A:$A,InterfaceRegister!M:M)</f>
        <v/>
      </c>
      <c r="AH254" t="str">
        <f>_xlfn.XLOOKUP($A254,InterfaceRegister!$A:$A,InterfaceRegister!O:O)</f>
        <v/>
      </c>
      <c r="AI254" t="str">
        <f>_xlfn.XLOOKUP($A254,InterfaceRegister!$A:$A,InterfaceRegister!N:N)</f>
        <v/>
      </c>
      <c r="AJ254" t="str">
        <f>_xlfn.XLOOKUP($A254,'EA-Fortescue_SDExport'!$A:$A,'EA-Fortescue_SDExport'!AX:AX)</f>
        <v>CSVC4CB2DD4</v>
      </c>
      <c r="AK254">
        <f>_xlfn.XLOOKUP($A254,'EA-Fortescue_SDExport'!$A:$A,'EA-Fortescue_SDExport'!AY:AY)</f>
        <v>0</v>
      </c>
    </row>
    <row r="255" spans="1:37" x14ac:dyDescent="0.25">
      <c r="A255" t="str">
        <v>DGS-I_0254</v>
      </c>
      <c r="B255" t="str">
        <f>_xlfn.XLOOKUP($A255,'EA-Fortescue_SDExport'!$A:$A,'EA-Fortescue_SDExport'!B:B)</f>
        <v>Class</v>
      </c>
      <c r="C255" t="str">
        <f>_xlfn.XLOOKUP($A255,'EA-Fortescue_SDExport'!$A:$A,'EA-Fortescue_SDExport'!C:C)</f>
        <v>{D3EE8AAA-21E8-41e5-B74D-3CAC23FA6133}</v>
      </c>
      <c r="D255" t="str">
        <f>_xlfn.LET(_xlpm.result, _xlfn.XLOOKUP($A255,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55">
        <f>_xlfn.XLOOKUP($A255,'EA-Fortescue_SDExport'!$A:$A,'EA-Fortescue_SDExport'!E:E)</f>
        <v>1</v>
      </c>
      <c r="F255">
        <f>_xlfn.XLOOKUP($A255,'EA-Fortescue_SDExport'!$A:$A,'EA-Fortescue_SDExport'!F:F)</f>
        <v>1</v>
      </c>
      <c r="G255">
        <f>_xlfn.XLOOKUP($A255,'EA-Fortescue_SDExport'!$A:$A,'EA-Fortescue_SDExport'!G:G)</f>
        <v>0</v>
      </c>
      <c r="H255" t="str">
        <f>_xlfn.XLOOKUP($A255,'EA-Fortescue_SDExport'!$A:$A,'EA-Fortescue_SDExport'!H:H)</f>
        <v>InterfaceBlock</v>
      </c>
      <c r="I255" t="str">
        <f>_xlfn.XLOOKUP($A255,'EA-Fortescue_SDExport'!$A:$A,'EA-Fortescue_SDExport'!I:I)</f>
        <v>SysML1.4::InterfaceBlock</v>
      </c>
      <c r="J255" t="str">
        <f>_xlfn.XLOOKUP($A255,'EA-Fortescue_SDExport'!$A:$A,'EA-Fortescue_SDExport'!J:J)</f>
        <v>Java</v>
      </c>
      <c r="K255" t="str">
        <f>_xlfn.XLOOKUP($A255,'EA-Fortescue_SDExport'!$A:$A,'EA-Fortescue_SDExport'!K:K)</f>
        <v>Admin</v>
      </c>
      <c r="L255" t="str">
        <f>_xlfn.XLOOKUP($A255,'EA-Fortescue_SDExport'!$A:$A,'EA-Fortescue_SDExport'!L:L)</f>
        <v>Public</v>
      </c>
      <c r="M255">
        <f>_xlfn.XLOOKUP($A255,'EA-Fortescue_SDExport'!$A:$A,'EA-Fortescue_SDExport'!M:M)</f>
        <v>0</v>
      </c>
      <c r="N255" t="str">
        <f>_xlfn.XLOOKUP($A255,InterfaceRegister!$A:$A,InterfaceRegister!K:K)</f>
        <v>Proposed</v>
      </c>
      <c r="O255">
        <f>_xlfn.XLOOKUP($A255,'EA-Fortescue_SDExport'!$A:$A,'EA-Fortescue_SDExport'!O:O)</f>
        <v>1</v>
      </c>
      <c r="P255">
        <f>_xlfn.XLOOKUP($A255,'EA-Fortescue_SDExport'!$A:$A,'EA-Fortescue_SDExport'!P:P)</f>
        <v>0</v>
      </c>
      <c r="Q255">
        <f>_xlfn.XLOOKUP($A255,'EA-Fortescue_SDExport'!$A:$A,'EA-Fortescue_SDExport'!Q:Q)</f>
        <v>0</v>
      </c>
      <c r="R255">
        <f>_xlfn.XLOOKUP($A255,'EA-Fortescue_SDExport'!$A:$A,'EA-Fortescue_SDExport'!R:R)</f>
        <v>0</v>
      </c>
      <c r="S255">
        <f>_xlfn.XLOOKUP($A255,'EA-Fortescue_SDExport'!$A:$A,'EA-Fortescue_SDExport'!S:S)</f>
        <v>0</v>
      </c>
      <c r="T255">
        <f>_xlfn.XLOOKUP($A255,'EA-Fortescue_SDExport'!$A:$A,'EA-Fortescue_SDExport'!T:T)</f>
        <v>0</v>
      </c>
      <c r="U255">
        <f>_xlfn.XLOOKUP($A255,'EA-Fortescue_SDExport'!$A:$A,'EA-Fortescue_SDExport'!U:U)</f>
        <v>45972.901504629626</v>
      </c>
      <c r="V255">
        <f>_xlfn.XLOOKUP($A255,'EA-Fortescue_SDExport'!$A:$A,'EA-Fortescue_SDExport'!V:V)</f>
        <v>46050.690462962964</v>
      </c>
      <c r="W255">
        <f>_xlfn.XLOOKUP($A255,'EA-Fortescue_SDExport'!$A:$A,'EA-Fortescue_SDExport'!W:W)</f>
        <v>0</v>
      </c>
      <c r="X255">
        <f>_xlfn.XLOOKUP($A255,'EA-Fortescue_SDExport'!$A:$A,'EA-Fortescue_SDExport'!X:X)</f>
        <v>0</v>
      </c>
      <c r="Y255">
        <f>_xlfn.XLOOKUP($A255,'EA-Fortescue_SDExport'!$A:$A,'EA-Fortescue_SDExport'!Y:Y)</f>
        <v>0</v>
      </c>
      <c r="Z255" t="str">
        <f>_xlfn.XLOOKUP($A255,'EA-Fortescue_SDExport'!$A:$A,'EA-Fortescue_SDExport'!Z:Z)</f>
        <v>SysML1.4::InterfaceBlock</v>
      </c>
      <c r="AA255" t="str">
        <f>_xlfn.XLOOKUP($A255,InterfaceRegister!$A:$A,InterfaceRegister!B:B)</f>
        <v>855DC-1543-PPC Pit Power Capacity Planning Tool - Capacity Check|Solomon Mine Hub: Substation (132kV)</v>
      </c>
      <c r="AB255" t="str">
        <f>_xlfn.XLOOKUP($A255,InterfaceRegister!$A:$A,InterfaceRegister!C:C)</f>
        <v/>
      </c>
      <c r="AC255" t="str">
        <f>_xlfn.XLOOKUP($A255,InterfaceRegister!$A:$A,InterfaceRegister!D:D)</f>
        <v/>
      </c>
      <c r="AD255" t="str">
        <f>_xlfn.XLOOKUP($A255,InterfaceRegister!$A:$A,InterfaceRegister!E:E)</f>
        <v>Project - Project Interface</v>
      </c>
      <c r="AE255" t="str">
        <f>_xlfn.XLOOKUP($A255,InterfaceRegister!$A:$A,InterfaceRegister!F:F)</f>
        <v/>
      </c>
      <c r="AF255" t="str">
        <f>_xlfn.XLOOKUP($A255,InterfaceRegister!$A:$A,InterfaceRegister!L:L)</f>
        <v/>
      </c>
      <c r="AG255" t="str">
        <f>_xlfn.XLOOKUP($A255,InterfaceRegister!$A:$A,InterfaceRegister!M:M)</f>
        <v/>
      </c>
      <c r="AH255" t="str">
        <f>_xlfn.XLOOKUP($A255,InterfaceRegister!$A:$A,InterfaceRegister!O:O)</f>
        <v/>
      </c>
      <c r="AI255" t="str">
        <f>_xlfn.XLOOKUP($A255,InterfaceRegister!$A:$A,InterfaceRegister!N:N)</f>
        <v/>
      </c>
      <c r="AJ255" t="str">
        <f>_xlfn.XLOOKUP($A255,'EA-Fortescue_SDExport'!$A:$A,'EA-Fortescue_SDExport'!AX:AX)</f>
        <v>CSV26A3A30F</v>
      </c>
      <c r="AK255">
        <f>_xlfn.XLOOKUP($A255,'EA-Fortescue_SDExport'!$A:$A,'EA-Fortescue_SDExport'!AY:AY)</f>
        <v>0</v>
      </c>
    </row>
    <row r="256" spans="1:37" x14ac:dyDescent="0.25">
      <c r="A256" t="str">
        <v>DGS-I_0255</v>
      </c>
      <c r="B256" t="str">
        <f>_xlfn.XLOOKUP($A256,'EA-Fortescue_SDExport'!$A:$A,'EA-Fortescue_SDExport'!B:B)</f>
        <v>Class</v>
      </c>
      <c r="C256" t="str">
        <f>_xlfn.XLOOKUP($A256,'EA-Fortescue_SDExport'!$A:$A,'EA-Fortescue_SDExport'!C:C)</f>
        <v>{5A589B8B-72AF-4939-8C06-2CF66156591B}</v>
      </c>
      <c r="D256" t="str">
        <f>_xlfn.LET(_xlpm.result, _xlfn.XLOOKUP($A256,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56">
        <f>_xlfn.XLOOKUP($A256,'EA-Fortescue_SDExport'!$A:$A,'EA-Fortescue_SDExport'!E:E)</f>
        <v>1</v>
      </c>
      <c r="F256">
        <f>_xlfn.XLOOKUP($A256,'EA-Fortescue_SDExport'!$A:$A,'EA-Fortescue_SDExport'!F:F)</f>
        <v>1</v>
      </c>
      <c r="G256">
        <f>_xlfn.XLOOKUP($A256,'EA-Fortescue_SDExport'!$A:$A,'EA-Fortescue_SDExport'!G:G)</f>
        <v>0</v>
      </c>
      <c r="H256" t="str">
        <f>_xlfn.XLOOKUP($A256,'EA-Fortescue_SDExport'!$A:$A,'EA-Fortescue_SDExport'!H:H)</f>
        <v>InterfaceBlock</v>
      </c>
      <c r="I256" t="str">
        <f>_xlfn.XLOOKUP($A256,'EA-Fortescue_SDExport'!$A:$A,'EA-Fortescue_SDExport'!I:I)</f>
        <v>SysML1.4::InterfaceBlock</v>
      </c>
      <c r="J256" t="str">
        <f>_xlfn.XLOOKUP($A256,'EA-Fortescue_SDExport'!$A:$A,'EA-Fortescue_SDExport'!J:J)</f>
        <v>Java</v>
      </c>
      <c r="K256" t="str">
        <f>_xlfn.XLOOKUP($A256,'EA-Fortescue_SDExport'!$A:$A,'EA-Fortescue_SDExport'!K:K)</f>
        <v>Admin</v>
      </c>
      <c r="L256" t="str">
        <f>_xlfn.XLOOKUP($A256,'EA-Fortescue_SDExport'!$A:$A,'EA-Fortescue_SDExport'!L:L)</f>
        <v>Public</v>
      </c>
      <c r="M256">
        <f>_xlfn.XLOOKUP($A256,'EA-Fortescue_SDExport'!$A:$A,'EA-Fortescue_SDExport'!M:M)</f>
        <v>0</v>
      </c>
      <c r="N256" t="str">
        <f>_xlfn.XLOOKUP($A256,InterfaceRegister!$A:$A,InterfaceRegister!K:K)</f>
        <v>Proposed</v>
      </c>
      <c r="O256">
        <f>_xlfn.XLOOKUP($A256,'EA-Fortescue_SDExport'!$A:$A,'EA-Fortescue_SDExport'!O:O)</f>
        <v>1</v>
      </c>
      <c r="P256">
        <f>_xlfn.XLOOKUP($A256,'EA-Fortescue_SDExport'!$A:$A,'EA-Fortescue_SDExport'!P:P)</f>
        <v>0</v>
      </c>
      <c r="Q256">
        <f>_xlfn.XLOOKUP($A256,'EA-Fortescue_SDExport'!$A:$A,'EA-Fortescue_SDExport'!Q:Q)</f>
        <v>0</v>
      </c>
      <c r="R256">
        <f>_xlfn.XLOOKUP($A256,'EA-Fortescue_SDExport'!$A:$A,'EA-Fortescue_SDExport'!R:R)</f>
        <v>0</v>
      </c>
      <c r="S256">
        <f>_xlfn.XLOOKUP($A256,'EA-Fortescue_SDExport'!$A:$A,'EA-Fortescue_SDExport'!S:S)</f>
        <v>0</v>
      </c>
      <c r="T256">
        <f>_xlfn.XLOOKUP($A256,'EA-Fortescue_SDExport'!$A:$A,'EA-Fortescue_SDExport'!T:T)</f>
        <v>0</v>
      </c>
      <c r="U256">
        <f>_xlfn.XLOOKUP($A256,'EA-Fortescue_SDExport'!$A:$A,'EA-Fortescue_SDExport'!U:U)</f>
        <v>45972.901562500003</v>
      </c>
      <c r="V256">
        <f>_xlfn.XLOOKUP($A256,'EA-Fortescue_SDExport'!$A:$A,'EA-Fortescue_SDExport'!V:V)</f>
        <v>46050.69059027778</v>
      </c>
      <c r="W256">
        <f>_xlfn.XLOOKUP($A256,'EA-Fortescue_SDExport'!$A:$A,'EA-Fortescue_SDExport'!W:W)</f>
        <v>0</v>
      </c>
      <c r="X256">
        <f>_xlfn.XLOOKUP($A256,'EA-Fortescue_SDExport'!$A:$A,'EA-Fortescue_SDExport'!X:X)</f>
        <v>0</v>
      </c>
      <c r="Y256">
        <f>_xlfn.XLOOKUP($A256,'EA-Fortescue_SDExport'!$A:$A,'EA-Fortescue_SDExport'!Y:Y)</f>
        <v>0</v>
      </c>
      <c r="Z256" t="str">
        <f>_xlfn.XLOOKUP($A256,'EA-Fortescue_SDExport'!$A:$A,'EA-Fortescue_SDExport'!Z:Z)</f>
        <v>SysML1.4::InterfaceBlock</v>
      </c>
      <c r="AA256" t="str">
        <f>_xlfn.XLOOKUP($A256,InterfaceRegister!$A:$A,InterfaceRegister!B:B)</f>
        <v>Solomon Mine Hub: Substation (11kV)|855DC-1543-PPC Pit Power Capacity Planning Tool - Capacity Check</v>
      </c>
      <c r="AB256" t="str">
        <f>_xlfn.XLOOKUP($A256,InterfaceRegister!$A:$A,InterfaceRegister!C:C)</f>
        <v/>
      </c>
      <c r="AC256" t="str">
        <f>_xlfn.XLOOKUP($A256,InterfaceRegister!$A:$A,InterfaceRegister!D:D)</f>
        <v/>
      </c>
      <c r="AD256" t="str">
        <f>_xlfn.XLOOKUP($A256,InterfaceRegister!$A:$A,InterfaceRegister!E:E)</f>
        <v>Project - Project Interface</v>
      </c>
      <c r="AE256" t="str">
        <f>_xlfn.XLOOKUP($A256,InterfaceRegister!$A:$A,InterfaceRegister!F:F)</f>
        <v/>
      </c>
      <c r="AF256" t="str">
        <f>_xlfn.XLOOKUP($A256,InterfaceRegister!$A:$A,InterfaceRegister!L:L)</f>
        <v/>
      </c>
      <c r="AG256" t="str">
        <f>_xlfn.XLOOKUP($A256,InterfaceRegister!$A:$A,InterfaceRegister!M:M)</f>
        <v/>
      </c>
      <c r="AH256" t="str">
        <f>_xlfn.XLOOKUP($A256,InterfaceRegister!$A:$A,InterfaceRegister!O:O)</f>
        <v/>
      </c>
      <c r="AI256" t="str">
        <f>_xlfn.XLOOKUP($A256,InterfaceRegister!$A:$A,InterfaceRegister!N:N)</f>
        <v/>
      </c>
      <c r="AJ256" t="str">
        <f>_xlfn.XLOOKUP($A256,'EA-Fortescue_SDExport'!$A:$A,'EA-Fortescue_SDExport'!AX:AX)</f>
        <v>CSVE718CD00</v>
      </c>
      <c r="AK256">
        <f>_xlfn.XLOOKUP($A256,'EA-Fortescue_SDExport'!$A:$A,'EA-Fortescue_SDExport'!AY:AY)</f>
        <v>0</v>
      </c>
    </row>
    <row r="257" spans="1:37" x14ac:dyDescent="0.25">
      <c r="A257" t="str">
        <v>DGS-I_0256</v>
      </c>
      <c r="B257" t="str">
        <f>_xlfn.XLOOKUP($A257,'EA-Fortescue_SDExport'!$A:$A,'EA-Fortescue_SDExport'!B:B)</f>
        <v>Class</v>
      </c>
      <c r="C257" t="str">
        <f>_xlfn.XLOOKUP($A257,'EA-Fortescue_SDExport'!$A:$A,'EA-Fortescue_SDExport'!C:C)</f>
        <v>{CFB8AD54-7DBC-4efd-944D-8BCE986C4E74}</v>
      </c>
      <c r="D257" t="str">
        <f>_xlfn.LET(_xlpm.result, _xlfn.XLOOKUP($A257,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57">
        <f>_xlfn.XLOOKUP($A257,'EA-Fortescue_SDExport'!$A:$A,'EA-Fortescue_SDExport'!E:E)</f>
        <v>1</v>
      </c>
      <c r="F257">
        <f>_xlfn.XLOOKUP($A257,'EA-Fortescue_SDExport'!$A:$A,'EA-Fortescue_SDExport'!F:F)</f>
        <v>1</v>
      </c>
      <c r="G257">
        <f>_xlfn.XLOOKUP($A257,'EA-Fortescue_SDExport'!$A:$A,'EA-Fortescue_SDExport'!G:G)</f>
        <v>0</v>
      </c>
      <c r="H257" t="str">
        <f>_xlfn.XLOOKUP($A257,'EA-Fortescue_SDExport'!$A:$A,'EA-Fortescue_SDExport'!H:H)</f>
        <v>InterfaceBlock</v>
      </c>
      <c r="I257" t="str">
        <f>_xlfn.XLOOKUP($A257,'EA-Fortescue_SDExport'!$A:$A,'EA-Fortescue_SDExport'!I:I)</f>
        <v>SysML1.4::InterfaceBlock</v>
      </c>
      <c r="J257" t="str">
        <f>_xlfn.XLOOKUP($A257,'EA-Fortescue_SDExport'!$A:$A,'EA-Fortescue_SDExport'!J:J)</f>
        <v>Java</v>
      </c>
      <c r="K257" t="str">
        <f>_xlfn.XLOOKUP($A257,'EA-Fortescue_SDExport'!$A:$A,'EA-Fortescue_SDExport'!K:K)</f>
        <v>Admin</v>
      </c>
      <c r="L257" t="str">
        <f>_xlfn.XLOOKUP($A257,'EA-Fortescue_SDExport'!$A:$A,'EA-Fortescue_SDExport'!L:L)</f>
        <v>Public</v>
      </c>
      <c r="M257">
        <f>_xlfn.XLOOKUP($A257,'EA-Fortescue_SDExport'!$A:$A,'EA-Fortescue_SDExport'!M:M)</f>
        <v>0</v>
      </c>
      <c r="N257" t="str">
        <f>_xlfn.XLOOKUP($A257,InterfaceRegister!$A:$A,InterfaceRegister!K:K)</f>
        <v>Proposed</v>
      </c>
      <c r="O257">
        <f>_xlfn.XLOOKUP($A257,'EA-Fortescue_SDExport'!$A:$A,'EA-Fortescue_SDExport'!O:O)</f>
        <v>1</v>
      </c>
      <c r="P257">
        <f>_xlfn.XLOOKUP($A257,'EA-Fortescue_SDExport'!$A:$A,'EA-Fortescue_SDExport'!P:P)</f>
        <v>0</v>
      </c>
      <c r="Q257">
        <f>_xlfn.XLOOKUP($A257,'EA-Fortescue_SDExport'!$A:$A,'EA-Fortescue_SDExport'!Q:Q)</f>
        <v>0</v>
      </c>
      <c r="R257">
        <f>_xlfn.XLOOKUP($A257,'EA-Fortescue_SDExport'!$A:$A,'EA-Fortescue_SDExport'!R:R)</f>
        <v>0</v>
      </c>
      <c r="S257">
        <f>_xlfn.XLOOKUP($A257,'EA-Fortescue_SDExport'!$A:$A,'EA-Fortescue_SDExport'!S:S)</f>
        <v>0</v>
      </c>
      <c r="T257">
        <f>_xlfn.XLOOKUP($A257,'EA-Fortescue_SDExport'!$A:$A,'EA-Fortescue_SDExport'!T:T)</f>
        <v>0</v>
      </c>
      <c r="U257">
        <f>_xlfn.XLOOKUP($A257,'EA-Fortescue_SDExport'!$A:$A,'EA-Fortescue_SDExport'!U:U)</f>
        <v>45972.94226851852</v>
      </c>
      <c r="V257">
        <f>_xlfn.XLOOKUP($A257,'EA-Fortescue_SDExport'!$A:$A,'EA-Fortescue_SDExport'!V:V)</f>
        <v>46050.690729166665</v>
      </c>
      <c r="W257">
        <f>_xlfn.XLOOKUP($A257,'EA-Fortescue_SDExport'!$A:$A,'EA-Fortescue_SDExport'!W:W)</f>
        <v>0</v>
      </c>
      <c r="X257">
        <f>_xlfn.XLOOKUP($A257,'EA-Fortescue_SDExport'!$A:$A,'EA-Fortescue_SDExport'!X:X)</f>
        <v>0</v>
      </c>
      <c r="Y257">
        <f>_xlfn.XLOOKUP($A257,'EA-Fortescue_SDExport'!$A:$A,'EA-Fortescue_SDExport'!Y:Y)</f>
        <v>0</v>
      </c>
      <c r="Z257" t="str">
        <f>_xlfn.XLOOKUP($A257,'EA-Fortescue_SDExport'!$A:$A,'EA-Fortescue_SDExport'!Z:Z)</f>
        <v>SysML1.4::InterfaceBlock</v>
      </c>
      <c r="AA257" t="str">
        <f>_xlfn.XLOOKUP($A257,InterfaceRegister!$A:$A,InterfaceRegister!B:B)</f>
        <v>Solomon Mine Hub: Sub Kiosks|855DC-1543-PPC Pit Power Capacity Planning Tool - Capacity Check</v>
      </c>
      <c r="AB257" t="str">
        <f>_xlfn.XLOOKUP($A257,InterfaceRegister!$A:$A,InterfaceRegister!C:C)</f>
        <v/>
      </c>
      <c r="AC257" t="str">
        <f>_xlfn.XLOOKUP($A257,InterfaceRegister!$A:$A,InterfaceRegister!D:D)</f>
        <v/>
      </c>
      <c r="AD257" t="str">
        <f>_xlfn.XLOOKUP($A257,InterfaceRegister!$A:$A,InterfaceRegister!E:E)</f>
        <v>System - Project Interface</v>
      </c>
      <c r="AE257" t="str">
        <f>_xlfn.XLOOKUP($A257,InterfaceRegister!$A:$A,InterfaceRegister!F:F)</f>
        <v/>
      </c>
      <c r="AF257" t="str">
        <f>_xlfn.XLOOKUP($A257,InterfaceRegister!$A:$A,InterfaceRegister!L:L)</f>
        <v/>
      </c>
      <c r="AG257" t="str">
        <f>_xlfn.XLOOKUP($A257,InterfaceRegister!$A:$A,InterfaceRegister!M:M)</f>
        <v/>
      </c>
      <c r="AH257" t="str">
        <f>_xlfn.XLOOKUP($A257,InterfaceRegister!$A:$A,InterfaceRegister!O:O)</f>
        <v/>
      </c>
      <c r="AI257" t="str">
        <f>_xlfn.XLOOKUP($A257,InterfaceRegister!$A:$A,InterfaceRegister!N:N)</f>
        <v/>
      </c>
      <c r="AJ257" t="str">
        <f>_xlfn.XLOOKUP($A257,'EA-Fortescue_SDExport'!$A:$A,'EA-Fortescue_SDExport'!AX:AX)</f>
        <v>CSV06B98F7A</v>
      </c>
      <c r="AK257">
        <f>_xlfn.XLOOKUP($A257,'EA-Fortescue_SDExport'!$A:$A,'EA-Fortescue_SDExport'!AY:AY)</f>
        <v>0</v>
      </c>
    </row>
    <row r="258" spans="1:37" x14ac:dyDescent="0.25">
      <c r="A258" t="str">
        <v>DGS-I_0257</v>
      </c>
      <c r="B258" t="str">
        <f>_xlfn.XLOOKUP($A258,'EA-Fortescue_SDExport'!$A:$A,'EA-Fortescue_SDExport'!B:B)</f>
        <v>Class</v>
      </c>
      <c r="C258" t="str">
        <f>_xlfn.XLOOKUP($A258,'EA-Fortescue_SDExport'!$A:$A,'EA-Fortescue_SDExport'!C:C)</f>
        <v>{F85E25F7-CAE1-4985-99DF-D43C8528029E}</v>
      </c>
      <c r="D258" t="str">
        <f>_xlfn.LET(_xlpm.result, _xlfn.XLOOKUP($A258, InterfaceRegister!$A:$A, InterfaceRegister!P:P), IF(_xlpm.result=0, "", _xlpm.result))</f>
        <v/>
      </c>
      <c r="E258">
        <f>_xlfn.XLOOKUP($A258,'EA-Fortescue_SDExport'!$A:$A,'EA-Fortescue_SDExport'!E:E)</f>
        <v>1</v>
      </c>
      <c r="F258">
        <f>_xlfn.XLOOKUP($A258,'EA-Fortescue_SDExport'!$A:$A,'EA-Fortescue_SDExport'!F:F)</f>
        <v>1</v>
      </c>
      <c r="G258">
        <f>_xlfn.XLOOKUP($A258,'EA-Fortescue_SDExport'!$A:$A,'EA-Fortescue_SDExport'!G:G)</f>
        <v>0</v>
      </c>
      <c r="H258" t="str">
        <f>_xlfn.XLOOKUP($A258,'EA-Fortescue_SDExport'!$A:$A,'EA-Fortescue_SDExport'!H:H)</f>
        <v>InterfaceBlock</v>
      </c>
      <c r="I258" t="str">
        <f>_xlfn.XLOOKUP($A258,'EA-Fortescue_SDExport'!$A:$A,'EA-Fortescue_SDExport'!I:I)</f>
        <v>SysML1.4::InterfaceBlock</v>
      </c>
      <c r="J258" t="str">
        <f>_xlfn.XLOOKUP($A258,'EA-Fortescue_SDExport'!$A:$A,'EA-Fortescue_SDExport'!J:J)</f>
        <v>Java</v>
      </c>
      <c r="K258" t="str">
        <f>_xlfn.XLOOKUP($A258,'EA-Fortescue_SDExport'!$A:$A,'EA-Fortescue_SDExport'!K:K)</f>
        <v>Admin</v>
      </c>
      <c r="L258" t="str">
        <f>_xlfn.XLOOKUP($A258,'EA-Fortescue_SDExport'!$A:$A,'EA-Fortescue_SDExport'!L:L)</f>
        <v>Public</v>
      </c>
      <c r="M258">
        <f>_xlfn.XLOOKUP($A258,'EA-Fortescue_SDExport'!$A:$A,'EA-Fortescue_SDExport'!M:M)</f>
        <v>0</v>
      </c>
      <c r="N258" t="str">
        <f>_xlfn.XLOOKUP($A258,InterfaceRegister!$A:$A,InterfaceRegister!K:K)</f>
        <v>Proposed</v>
      </c>
      <c r="O258">
        <f>_xlfn.XLOOKUP($A258,'EA-Fortescue_SDExport'!$A:$A,'EA-Fortescue_SDExport'!O:O)</f>
        <v>1</v>
      </c>
      <c r="P258">
        <f>_xlfn.XLOOKUP($A258,'EA-Fortescue_SDExport'!$A:$A,'EA-Fortescue_SDExport'!P:P)</f>
        <v>0</v>
      </c>
      <c r="Q258">
        <f>_xlfn.XLOOKUP($A258,'EA-Fortescue_SDExport'!$A:$A,'EA-Fortescue_SDExport'!Q:Q)</f>
        <v>0</v>
      </c>
      <c r="R258">
        <f>_xlfn.XLOOKUP($A258,'EA-Fortescue_SDExport'!$A:$A,'EA-Fortescue_SDExport'!R:R)</f>
        <v>0</v>
      </c>
      <c r="S258">
        <f>_xlfn.XLOOKUP($A258,'EA-Fortescue_SDExport'!$A:$A,'EA-Fortescue_SDExport'!S:S)</f>
        <v>0</v>
      </c>
      <c r="T258">
        <f>_xlfn.XLOOKUP($A258,'EA-Fortescue_SDExport'!$A:$A,'EA-Fortescue_SDExport'!T:T)</f>
        <v>0</v>
      </c>
      <c r="U258">
        <f>_xlfn.XLOOKUP($A258,'EA-Fortescue_SDExport'!$A:$A,'EA-Fortescue_SDExport'!U:U)</f>
        <v>45972.942337962966</v>
      </c>
      <c r="V258">
        <f>_xlfn.XLOOKUP($A258,'EA-Fortescue_SDExport'!$A:$A,'EA-Fortescue_SDExport'!V:V)</f>
        <v>46002.004988425928</v>
      </c>
      <c r="W258">
        <f>_xlfn.XLOOKUP($A258,'EA-Fortescue_SDExport'!$A:$A,'EA-Fortescue_SDExport'!W:W)</f>
        <v>0</v>
      </c>
      <c r="X258">
        <f>_xlfn.XLOOKUP($A258,'EA-Fortescue_SDExport'!$A:$A,'EA-Fortescue_SDExport'!X:X)</f>
        <v>0</v>
      </c>
      <c r="Y258">
        <f>_xlfn.XLOOKUP($A258,'EA-Fortescue_SDExport'!$A:$A,'EA-Fortescue_SDExport'!Y:Y)</f>
        <v>0</v>
      </c>
      <c r="Z258" t="str">
        <f>_xlfn.XLOOKUP($A258,'EA-Fortescue_SDExport'!$A:$A,'EA-Fortescue_SDExport'!Z:Z)</f>
        <v>SysML1.4::InterfaceBlock</v>
      </c>
      <c r="AA258" t="str">
        <f>_xlfn.XLOOKUP($A258,InterfaceRegister!$A:$A,InterfaceRegister!B:B)</f>
        <v>Solomon Mine Hub: Sub Kiosks|Solomon Mine Hub: CCTV</v>
      </c>
      <c r="AB258" t="str">
        <f>_xlfn.XLOOKUP($A258,InterfaceRegister!$A:$A,InterfaceRegister!C:C)</f>
        <v/>
      </c>
      <c r="AC258" t="str">
        <f>_xlfn.XLOOKUP($A258,InterfaceRegister!$A:$A,InterfaceRegister!D:D)</f>
        <v/>
      </c>
      <c r="AD258" t="str">
        <f>_xlfn.XLOOKUP($A258,InterfaceRegister!$A:$A,InterfaceRegister!E:E)</f>
        <v>System - System Interface</v>
      </c>
      <c r="AE258" t="str">
        <f>_xlfn.XLOOKUP($A258,InterfaceRegister!$A:$A,InterfaceRegister!F:F)</f>
        <v/>
      </c>
      <c r="AF258" t="str">
        <f>_xlfn.XLOOKUP($A258,InterfaceRegister!$A:$A,InterfaceRegister!L:L)</f>
        <v/>
      </c>
      <c r="AG258" t="str">
        <f>_xlfn.XLOOKUP($A258,InterfaceRegister!$A:$A,InterfaceRegister!M:M)</f>
        <v/>
      </c>
      <c r="AH258" t="str">
        <f>_xlfn.XLOOKUP($A258,InterfaceRegister!$A:$A,InterfaceRegister!O:O)</f>
        <v/>
      </c>
      <c r="AI258" t="str">
        <f>_xlfn.XLOOKUP($A258,InterfaceRegister!$A:$A,InterfaceRegister!N:N)</f>
        <v/>
      </c>
      <c r="AJ258" t="str">
        <f>_xlfn.XLOOKUP($A258,'EA-Fortescue_SDExport'!$A:$A,'EA-Fortescue_SDExport'!AX:AX)</f>
        <v>CSVE75B2150</v>
      </c>
      <c r="AK258">
        <f>_xlfn.XLOOKUP($A258,'EA-Fortescue_SDExport'!$A:$A,'EA-Fortescue_SDExport'!AY:AY)</f>
        <v>0</v>
      </c>
    </row>
    <row r="259" spans="1:37" x14ac:dyDescent="0.25">
      <c r="A259" t="str">
        <v>DGS-I_0258</v>
      </c>
      <c r="B259" t="str">
        <f>_xlfn.XLOOKUP($A259,'EA-Fortescue_SDExport'!$A:$A,'EA-Fortescue_SDExport'!B:B)</f>
        <v>Class</v>
      </c>
      <c r="C259" t="str">
        <f>_xlfn.XLOOKUP($A259,'EA-Fortescue_SDExport'!$A:$A,'EA-Fortescue_SDExport'!C:C)</f>
        <v>{1E5FA4F2-55FA-4cb8-9880-21C62FFA5427}</v>
      </c>
      <c r="D259" t="str">
        <f>_xlfn.LET(_xlpm.result, _xlfn.XLOOKUP($A259, InterfaceRegister!$A:$A, InterfaceRegister!P:P), IF(_xlpm.result=0, "", _xlpm.result))</f>
        <v/>
      </c>
      <c r="E259">
        <f>_xlfn.XLOOKUP($A259,'EA-Fortescue_SDExport'!$A:$A,'EA-Fortescue_SDExport'!E:E)</f>
        <v>1</v>
      </c>
      <c r="F259">
        <f>_xlfn.XLOOKUP($A259,'EA-Fortescue_SDExport'!$A:$A,'EA-Fortescue_SDExport'!F:F)</f>
        <v>1</v>
      </c>
      <c r="G259">
        <f>_xlfn.XLOOKUP($A259,'EA-Fortescue_SDExport'!$A:$A,'EA-Fortescue_SDExport'!G:G)</f>
        <v>0</v>
      </c>
      <c r="H259" t="str">
        <f>_xlfn.XLOOKUP($A259,'EA-Fortescue_SDExport'!$A:$A,'EA-Fortescue_SDExport'!H:H)</f>
        <v>InterfaceBlock</v>
      </c>
      <c r="I259" t="str">
        <f>_xlfn.XLOOKUP($A259,'EA-Fortescue_SDExport'!$A:$A,'EA-Fortescue_SDExport'!I:I)</f>
        <v>SysML1.4::InterfaceBlock</v>
      </c>
      <c r="J259" t="str">
        <f>_xlfn.XLOOKUP($A259,'EA-Fortescue_SDExport'!$A:$A,'EA-Fortescue_SDExport'!J:J)</f>
        <v>Java</v>
      </c>
      <c r="K259" t="str">
        <f>_xlfn.XLOOKUP($A259,'EA-Fortescue_SDExport'!$A:$A,'EA-Fortescue_SDExport'!K:K)</f>
        <v>Admin</v>
      </c>
      <c r="L259" t="str">
        <f>_xlfn.XLOOKUP($A259,'EA-Fortescue_SDExport'!$A:$A,'EA-Fortescue_SDExport'!L:L)</f>
        <v>Public</v>
      </c>
      <c r="M259">
        <f>_xlfn.XLOOKUP($A259,'EA-Fortescue_SDExport'!$A:$A,'EA-Fortescue_SDExport'!M:M)</f>
        <v>0</v>
      </c>
      <c r="N259" t="str">
        <f>_xlfn.XLOOKUP($A259,InterfaceRegister!$A:$A,InterfaceRegister!K:K)</f>
        <v>Proposed</v>
      </c>
      <c r="O259">
        <f>_xlfn.XLOOKUP($A259,'EA-Fortescue_SDExport'!$A:$A,'EA-Fortescue_SDExport'!O:O)</f>
        <v>1</v>
      </c>
      <c r="P259">
        <f>_xlfn.XLOOKUP($A259,'EA-Fortescue_SDExport'!$A:$A,'EA-Fortescue_SDExport'!P:P)</f>
        <v>0</v>
      </c>
      <c r="Q259">
        <f>_xlfn.XLOOKUP($A259,'EA-Fortescue_SDExport'!$A:$A,'EA-Fortescue_SDExport'!Q:Q)</f>
        <v>0</v>
      </c>
      <c r="R259">
        <f>_xlfn.XLOOKUP($A259,'EA-Fortescue_SDExport'!$A:$A,'EA-Fortescue_SDExport'!R:R)</f>
        <v>0</v>
      </c>
      <c r="S259">
        <f>_xlfn.XLOOKUP($A259,'EA-Fortescue_SDExport'!$A:$A,'EA-Fortescue_SDExport'!S:S)</f>
        <v>0</v>
      </c>
      <c r="T259">
        <f>_xlfn.XLOOKUP($A259,'EA-Fortescue_SDExport'!$A:$A,'EA-Fortescue_SDExport'!T:T)</f>
        <v>0</v>
      </c>
      <c r="U259">
        <f>_xlfn.XLOOKUP($A259,'EA-Fortescue_SDExport'!$A:$A,'EA-Fortescue_SDExport'!U:U)</f>
        <v>45972.942384259259</v>
      </c>
      <c r="V259">
        <f>_xlfn.XLOOKUP($A259,'EA-Fortescue_SDExport'!$A:$A,'EA-Fortescue_SDExport'!V:V)</f>
        <v>46002.004988425928</v>
      </c>
      <c r="W259">
        <f>_xlfn.XLOOKUP($A259,'EA-Fortescue_SDExport'!$A:$A,'EA-Fortescue_SDExport'!W:W)</f>
        <v>0</v>
      </c>
      <c r="X259">
        <f>_xlfn.XLOOKUP($A259,'EA-Fortescue_SDExport'!$A:$A,'EA-Fortescue_SDExport'!X:X)</f>
        <v>0</v>
      </c>
      <c r="Y259">
        <f>_xlfn.XLOOKUP($A259,'EA-Fortescue_SDExport'!$A:$A,'EA-Fortescue_SDExport'!Y:Y)</f>
        <v>0</v>
      </c>
      <c r="Z259" t="str">
        <f>_xlfn.XLOOKUP($A259,'EA-Fortescue_SDExport'!$A:$A,'EA-Fortescue_SDExport'!Z:Z)</f>
        <v>SysML1.4::InterfaceBlock</v>
      </c>
      <c r="AA259" t="str">
        <f>_xlfn.XLOOKUP($A259,InterfaceRegister!$A:$A,InterfaceRegister!B:B)</f>
        <v>Solomon Mine Hub: Sub Kiosks|Solomon Mine Hub: Trailing Cable</v>
      </c>
      <c r="AB259" t="str">
        <f>_xlfn.XLOOKUP($A259,InterfaceRegister!$A:$A,InterfaceRegister!C:C)</f>
        <v/>
      </c>
      <c r="AC259" t="str">
        <f>_xlfn.XLOOKUP($A259,InterfaceRegister!$A:$A,InterfaceRegister!D:D)</f>
        <v/>
      </c>
      <c r="AD259" t="str">
        <f>_xlfn.XLOOKUP($A259,InterfaceRegister!$A:$A,InterfaceRegister!E:E)</f>
        <v>System - System Interface</v>
      </c>
      <c r="AE259" t="str">
        <f>_xlfn.XLOOKUP($A259,InterfaceRegister!$A:$A,InterfaceRegister!F:F)</f>
        <v/>
      </c>
      <c r="AF259" t="str">
        <f>_xlfn.XLOOKUP($A259,InterfaceRegister!$A:$A,InterfaceRegister!L:L)</f>
        <v/>
      </c>
      <c r="AG259" t="str">
        <f>_xlfn.XLOOKUP($A259,InterfaceRegister!$A:$A,InterfaceRegister!M:M)</f>
        <v/>
      </c>
      <c r="AH259" t="str">
        <f>_xlfn.XLOOKUP($A259,InterfaceRegister!$A:$A,InterfaceRegister!O:O)</f>
        <v/>
      </c>
      <c r="AI259" t="str">
        <f>_xlfn.XLOOKUP($A259,InterfaceRegister!$A:$A,InterfaceRegister!N:N)</f>
        <v/>
      </c>
      <c r="AJ259" t="str">
        <f>_xlfn.XLOOKUP($A259,'EA-Fortescue_SDExport'!$A:$A,'EA-Fortescue_SDExport'!AX:AX)</f>
        <v>CSVEDC303B8</v>
      </c>
      <c r="AK259">
        <f>_xlfn.XLOOKUP($A259,'EA-Fortescue_SDExport'!$A:$A,'EA-Fortescue_SDExport'!AY:AY)</f>
        <v>0</v>
      </c>
    </row>
    <row r="260" spans="1:37" x14ac:dyDescent="0.25">
      <c r="A260" t="str">
        <v>DGS-I_0259</v>
      </c>
      <c r="B260" t="str">
        <f>_xlfn.XLOOKUP($A260,'EA-Fortescue_SDExport'!$A:$A,'EA-Fortescue_SDExport'!B:B)</f>
        <v>Class</v>
      </c>
      <c r="C260" t="str">
        <f>_xlfn.XLOOKUP($A260,'EA-Fortescue_SDExport'!$A:$A,'EA-Fortescue_SDExport'!C:C)</f>
        <v>{58DEEE4A-AA8F-4bbe-B930-11D734E59E9A}</v>
      </c>
      <c r="D260" t="str">
        <f>_xlfn.LET(_xlpm.result, _xlfn.XLOOKUP($A260, InterfaceRegister!$A:$A, InterfaceRegister!P:P), IF(_xlpm.result=0, "", _xlpm.result))</f>
        <v/>
      </c>
      <c r="E260">
        <f>_xlfn.XLOOKUP($A260,'EA-Fortescue_SDExport'!$A:$A,'EA-Fortescue_SDExport'!E:E)</f>
        <v>1</v>
      </c>
      <c r="F260">
        <f>_xlfn.XLOOKUP($A260,'EA-Fortescue_SDExport'!$A:$A,'EA-Fortescue_SDExport'!F:F)</f>
        <v>1</v>
      </c>
      <c r="G260">
        <f>_xlfn.XLOOKUP($A260,'EA-Fortescue_SDExport'!$A:$A,'EA-Fortescue_SDExport'!G:G)</f>
        <v>0</v>
      </c>
      <c r="H260" t="str">
        <f>_xlfn.XLOOKUP($A260,'EA-Fortescue_SDExport'!$A:$A,'EA-Fortescue_SDExport'!H:H)</f>
        <v>InterfaceBlock</v>
      </c>
      <c r="I260" t="str">
        <f>_xlfn.XLOOKUP($A260,'EA-Fortescue_SDExport'!$A:$A,'EA-Fortescue_SDExport'!I:I)</f>
        <v>SysML1.4::InterfaceBlock</v>
      </c>
      <c r="J260" t="str">
        <f>_xlfn.XLOOKUP($A260,'EA-Fortescue_SDExport'!$A:$A,'EA-Fortescue_SDExport'!J:J)</f>
        <v>Java</v>
      </c>
      <c r="K260" t="str">
        <f>_xlfn.XLOOKUP($A260,'EA-Fortescue_SDExport'!$A:$A,'EA-Fortescue_SDExport'!K:K)</f>
        <v>Admin</v>
      </c>
      <c r="L260" t="str">
        <f>_xlfn.XLOOKUP($A260,'EA-Fortescue_SDExport'!$A:$A,'EA-Fortescue_SDExport'!L:L)</f>
        <v>Public</v>
      </c>
      <c r="M260">
        <f>_xlfn.XLOOKUP($A260,'EA-Fortescue_SDExport'!$A:$A,'EA-Fortescue_SDExport'!M:M)</f>
        <v>0</v>
      </c>
      <c r="N260" t="str">
        <f>_xlfn.XLOOKUP($A260,InterfaceRegister!$A:$A,InterfaceRegister!K:K)</f>
        <v>Proposed</v>
      </c>
      <c r="O260">
        <f>_xlfn.XLOOKUP($A260,'EA-Fortescue_SDExport'!$A:$A,'EA-Fortescue_SDExport'!O:O)</f>
        <v>1</v>
      </c>
      <c r="P260">
        <f>_xlfn.XLOOKUP($A260,'EA-Fortescue_SDExport'!$A:$A,'EA-Fortescue_SDExport'!P:P)</f>
        <v>0</v>
      </c>
      <c r="Q260">
        <f>_xlfn.XLOOKUP($A260,'EA-Fortescue_SDExport'!$A:$A,'EA-Fortescue_SDExport'!Q:Q)</f>
        <v>0</v>
      </c>
      <c r="R260">
        <f>_xlfn.XLOOKUP($A260,'EA-Fortescue_SDExport'!$A:$A,'EA-Fortescue_SDExport'!R:R)</f>
        <v>0</v>
      </c>
      <c r="S260">
        <f>_xlfn.XLOOKUP($A260,'EA-Fortescue_SDExport'!$A:$A,'EA-Fortescue_SDExport'!S:S)</f>
        <v>0</v>
      </c>
      <c r="T260">
        <f>_xlfn.XLOOKUP($A260,'EA-Fortescue_SDExport'!$A:$A,'EA-Fortescue_SDExport'!T:T)</f>
        <v>0</v>
      </c>
      <c r="U260">
        <f>_xlfn.XLOOKUP($A260,'EA-Fortescue_SDExport'!$A:$A,'EA-Fortescue_SDExport'!U:U)</f>
        <v>45972.942430555559</v>
      </c>
      <c r="V260">
        <f>_xlfn.XLOOKUP($A260,'EA-Fortescue_SDExport'!$A:$A,'EA-Fortescue_SDExport'!V:V)</f>
        <v>46002.004942129628</v>
      </c>
      <c r="W260">
        <f>_xlfn.XLOOKUP($A260,'EA-Fortescue_SDExport'!$A:$A,'EA-Fortescue_SDExport'!W:W)</f>
        <v>0</v>
      </c>
      <c r="X260">
        <f>_xlfn.XLOOKUP($A260,'EA-Fortescue_SDExport'!$A:$A,'EA-Fortescue_SDExport'!X:X)</f>
        <v>0</v>
      </c>
      <c r="Y260">
        <f>_xlfn.XLOOKUP($A260,'EA-Fortescue_SDExport'!$A:$A,'EA-Fortescue_SDExport'!Y:Y)</f>
        <v>0</v>
      </c>
      <c r="Z260" t="str">
        <f>_xlfn.XLOOKUP($A260,'EA-Fortescue_SDExport'!$A:$A,'EA-Fortescue_SDExport'!Z:Z)</f>
        <v>SysML1.4::InterfaceBlock</v>
      </c>
      <c r="AA260" t="str">
        <f>_xlfn.XLOOKUP($A260,InterfaceRegister!$A:$A,InterfaceRegister!B:B)</f>
        <v>Solomon Mine Hub: CCTV|Solomon Mine Hub: AC1</v>
      </c>
      <c r="AB260" t="str">
        <f>_xlfn.XLOOKUP($A260,InterfaceRegister!$A:$A,InterfaceRegister!C:C)</f>
        <v/>
      </c>
      <c r="AC260" t="str">
        <f>_xlfn.XLOOKUP($A260,InterfaceRegister!$A:$A,InterfaceRegister!D:D)</f>
        <v/>
      </c>
      <c r="AD260" t="str">
        <f>_xlfn.XLOOKUP($A260,InterfaceRegister!$A:$A,InterfaceRegister!E:E)</f>
        <v>System - Subsystem Interface</v>
      </c>
      <c r="AE260" t="str">
        <f>_xlfn.XLOOKUP($A260,InterfaceRegister!$A:$A,InterfaceRegister!F:F)</f>
        <v/>
      </c>
      <c r="AF260" t="str">
        <f>_xlfn.XLOOKUP($A260,InterfaceRegister!$A:$A,InterfaceRegister!L:L)</f>
        <v/>
      </c>
      <c r="AG260" t="str">
        <f>_xlfn.XLOOKUP($A260,InterfaceRegister!$A:$A,InterfaceRegister!M:M)</f>
        <v/>
      </c>
      <c r="AH260" t="str">
        <f>_xlfn.XLOOKUP($A260,InterfaceRegister!$A:$A,InterfaceRegister!O:O)</f>
        <v/>
      </c>
      <c r="AI260" t="str">
        <f>_xlfn.XLOOKUP($A260,InterfaceRegister!$A:$A,InterfaceRegister!N:N)</f>
        <v/>
      </c>
      <c r="AJ260" t="str">
        <f>_xlfn.XLOOKUP($A260,'EA-Fortescue_SDExport'!$A:$A,'EA-Fortescue_SDExport'!AX:AX)</f>
        <v>CSVB564A6DE</v>
      </c>
      <c r="AK260">
        <f>_xlfn.XLOOKUP($A260,'EA-Fortescue_SDExport'!$A:$A,'EA-Fortescue_SDExport'!AY:AY)</f>
        <v>0</v>
      </c>
    </row>
    <row r="261" spans="1:37" x14ac:dyDescent="0.25">
      <c r="A261" t="str">
        <v>DGS-I_0260</v>
      </c>
      <c r="B261" t="str">
        <f>_xlfn.XLOOKUP($A261,'EA-Fortescue_SDExport'!$A:$A,'EA-Fortescue_SDExport'!B:B)</f>
        <v>Class</v>
      </c>
      <c r="C261" t="str">
        <f>_xlfn.XLOOKUP($A261,'EA-Fortescue_SDExport'!$A:$A,'EA-Fortescue_SDExport'!C:C)</f>
        <v>{C80EEDD1-8455-4753-BC04-DFF56850BD1A}</v>
      </c>
      <c r="D261" t="str">
        <f>_xlfn.LET(_xlpm.result, _xlfn.XLOOKUP($A261, InterfaceRegister!$A:$A, InterfaceRegister!P:P), IF(_xlpm.result=0, "", _xlpm.result))</f>
        <v/>
      </c>
      <c r="E261">
        <f>_xlfn.XLOOKUP($A261,'EA-Fortescue_SDExport'!$A:$A,'EA-Fortescue_SDExport'!E:E)</f>
        <v>1</v>
      </c>
      <c r="F261">
        <f>_xlfn.XLOOKUP($A261,'EA-Fortescue_SDExport'!$A:$A,'EA-Fortescue_SDExport'!F:F)</f>
        <v>1</v>
      </c>
      <c r="G261">
        <f>_xlfn.XLOOKUP($A261,'EA-Fortescue_SDExport'!$A:$A,'EA-Fortescue_SDExport'!G:G)</f>
        <v>0</v>
      </c>
      <c r="H261" t="str">
        <f>_xlfn.XLOOKUP($A261,'EA-Fortescue_SDExport'!$A:$A,'EA-Fortescue_SDExport'!H:H)</f>
        <v>InterfaceBlock</v>
      </c>
      <c r="I261" t="str">
        <f>_xlfn.XLOOKUP($A261,'EA-Fortescue_SDExport'!$A:$A,'EA-Fortescue_SDExport'!I:I)</f>
        <v>SysML1.4::InterfaceBlock</v>
      </c>
      <c r="J261" t="str">
        <f>_xlfn.XLOOKUP($A261,'EA-Fortescue_SDExport'!$A:$A,'EA-Fortescue_SDExport'!J:J)</f>
        <v>Java</v>
      </c>
      <c r="K261" t="str">
        <f>_xlfn.XLOOKUP($A261,'EA-Fortescue_SDExport'!$A:$A,'EA-Fortescue_SDExport'!K:K)</f>
        <v>Admin</v>
      </c>
      <c r="L261" t="str">
        <f>_xlfn.XLOOKUP($A261,'EA-Fortescue_SDExport'!$A:$A,'EA-Fortescue_SDExport'!L:L)</f>
        <v>Public</v>
      </c>
      <c r="M261">
        <f>_xlfn.XLOOKUP($A261,'EA-Fortescue_SDExport'!$A:$A,'EA-Fortescue_SDExport'!M:M)</f>
        <v>0</v>
      </c>
      <c r="N261" t="str">
        <f>_xlfn.XLOOKUP($A261,InterfaceRegister!$A:$A,InterfaceRegister!K:K)</f>
        <v>Proposed</v>
      </c>
      <c r="O261">
        <f>_xlfn.XLOOKUP($A261,'EA-Fortescue_SDExport'!$A:$A,'EA-Fortescue_SDExport'!O:O)</f>
        <v>1</v>
      </c>
      <c r="P261">
        <f>_xlfn.XLOOKUP($A261,'EA-Fortescue_SDExport'!$A:$A,'EA-Fortescue_SDExport'!P:P)</f>
        <v>0</v>
      </c>
      <c r="Q261">
        <f>_xlfn.XLOOKUP($A261,'EA-Fortescue_SDExport'!$A:$A,'EA-Fortescue_SDExport'!Q:Q)</f>
        <v>0</v>
      </c>
      <c r="R261">
        <f>_xlfn.XLOOKUP($A261,'EA-Fortescue_SDExport'!$A:$A,'EA-Fortescue_SDExport'!R:R)</f>
        <v>0</v>
      </c>
      <c r="S261">
        <f>_xlfn.XLOOKUP($A261,'EA-Fortescue_SDExport'!$A:$A,'EA-Fortescue_SDExport'!S:S)</f>
        <v>0</v>
      </c>
      <c r="T261">
        <f>_xlfn.XLOOKUP($A261,'EA-Fortescue_SDExport'!$A:$A,'EA-Fortescue_SDExport'!T:T)</f>
        <v>0</v>
      </c>
      <c r="U261">
        <f>_xlfn.XLOOKUP($A261,'EA-Fortescue_SDExport'!$A:$A,'EA-Fortescue_SDExport'!U:U)</f>
        <v>45972.942488425928</v>
      </c>
      <c r="V261">
        <f>_xlfn.XLOOKUP($A261,'EA-Fortescue_SDExport'!$A:$A,'EA-Fortescue_SDExport'!V:V)</f>
        <v>46002.004988425928</v>
      </c>
      <c r="W261">
        <f>_xlfn.XLOOKUP($A261,'EA-Fortescue_SDExport'!$A:$A,'EA-Fortescue_SDExport'!W:W)</f>
        <v>0</v>
      </c>
      <c r="X261">
        <f>_xlfn.XLOOKUP($A261,'EA-Fortescue_SDExport'!$A:$A,'EA-Fortescue_SDExport'!X:X)</f>
        <v>0</v>
      </c>
      <c r="Y261">
        <f>_xlfn.XLOOKUP($A261,'EA-Fortescue_SDExport'!$A:$A,'EA-Fortescue_SDExport'!Y:Y)</f>
        <v>0</v>
      </c>
      <c r="Z261" t="str">
        <f>_xlfn.XLOOKUP($A261,'EA-Fortescue_SDExport'!$A:$A,'EA-Fortescue_SDExport'!Z:Z)</f>
        <v>SysML1.4::InterfaceBlock</v>
      </c>
      <c r="AA261" t="str">
        <f>_xlfn.XLOOKUP($A261,InterfaceRegister!$A:$A,InterfaceRegister!B:B)</f>
        <v>Solomon Mine Hub: Trailing Cable|Solomon Mine Hub: Dewatering Pumps</v>
      </c>
      <c r="AB261" t="str">
        <f>_xlfn.XLOOKUP($A261,InterfaceRegister!$A:$A,InterfaceRegister!C:C)</f>
        <v/>
      </c>
      <c r="AC261" t="str">
        <f>_xlfn.XLOOKUP($A261,InterfaceRegister!$A:$A,InterfaceRegister!D:D)</f>
        <v/>
      </c>
      <c r="AD261" t="str">
        <f>_xlfn.XLOOKUP($A261,InterfaceRegister!$A:$A,InterfaceRegister!E:E)</f>
        <v>System - System Interface</v>
      </c>
      <c r="AE261" t="str">
        <f>_xlfn.XLOOKUP($A261,InterfaceRegister!$A:$A,InterfaceRegister!F:F)</f>
        <v/>
      </c>
      <c r="AF261" t="str">
        <f>_xlfn.XLOOKUP($A261,InterfaceRegister!$A:$A,InterfaceRegister!L:L)</f>
        <v/>
      </c>
      <c r="AG261" t="str">
        <f>_xlfn.XLOOKUP($A261,InterfaceRegister!$A:$A,InterfaceRegister!M:M)</f>
        <v/>
      </c>
      <c r="AH261" t="str">
        <f>_xlfn.XLOOKUP($A261,InterfaceRegister!$A:$A,InterfaceRegister!O:O)</f>
        <v/>
      </c>
      <c r="AI261" t="str">
        <f>_xlfn.XLOOKUP($A261,InterfaceRegister!$A:$A,InterfaceRegister!N:N)</f>
        <v/>
      </c>
      <c r="AJ261" t="str">
        <f>_xlfn.XLOOKUP($A261,'EA-Fortescue_SDExport'!$A:$A,'EA-Fortescue_SDExport'!AX:AX)</f>
        <v>CSV9BF5CA95</v>
      </c>
      <c r="AK261">
        <f>_xlfn.XLOOKUP($A261,'EA-Fortescue_SDExport'!$A:$A,'EA-Fortescue_SDExport'!AY:AY)</f>
        <v>0</v>
      </c>
    </row>
    <row r="262" spans="1:37" x14ac:dyDescent="0.25">
      <c r="A262" t="str">
        <v>DGS-I_0261</v>
      </c>
      <c r="B262" t="str">
        <f>_xlfn.XLOOKUP($A262,'EA-Fortescue_SDExport'!$A:$A,'EA-Fortescue_SDExport'!B:B)</f>
        <v>Class</v>
      </c>
      <c r="C262" t="str">
        <f>_xlfn.XLOOKUP($A262,'EA-Fortescue_SDExport'!$A:$A,'EA-Fortescue_SDExport'!C:C)</f>
        <v>{41D2FE7D-E1E3-4b87-B4A8-5F429D8A5043}</v>
      </c>
      <c r="D262" t="str">
        <f>_xlfn.LET(_xlpm.result, _xlfn.XLOOKUP($A262,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62">
        <f>_xlfn.XLOOKUP($A262,'EA-Fortescue_SDExport'!$A:$A,'EA-Fortescue_SDExport'!E:E)</f>
        <v>1</v>
      </c>
      <c r="F262">
        <f>_xlfn.XLOOKUP($A262,'EA-Fortescue_SDExport'!$A:$A,'EA-Fortescue_SDExport'!F:F)</f>
        <v>1</v>
      </c>
      <c r="G262">
        <f>_xlfn.XLOOKUP($A262,'EA-Fortescue_SDExport'!$A:$A,'EA-Fortescue_SDExport'!G:G)</f>
        <v>0</v>
      </c>
      <c r="H262" t="str">
        <f>_xlfn.XLOOKUP($A262,'EA-Fortescue_SDExport'!$A:$A,'EA-Fortescue_SDExport'!H:H)</f>
        <v>InterfaceBlock</v>
      </c>
      <c r="I262" t="str">
        <f>_xlfn.XLOOKUP($A262,'EA-Fortescue_SDExport'!$A:$A,'EA-Fortescue_SDExport'!I:I)</f>
        <v>SysML1.4::InterfaceBlock</v>
      </c>
      <c r="J262" t="str">
        <f>_xlfn.XLOOKUP($A262,'EA-Fortescue_SDExport'!$A:$A,'EA-Fortescue_SDExport'!J:J)</f>
        <v>Java</v>
      </c>
      <c r="K262" t="str">
        <f>_xlfn.XLOOKUP($A262,'EA-Fortescue_SDExport'!$A:$A,'EA-Fortescue_SDExport'!K:K)</f>
        <v>Admin</v>
      </c>
      <c r="L262" t="str">
        <f>_xlfn.XLOOKUP($A262,'EA-Fortescue_SDExport'!$A:$A,'EA-Fortescue_SDExport'!L:L)</f>
        <v>Public</v>
      </c>
      <c r="M262">
        <f>_xlfn.XLOOKUP($A262,'EA-Fortescue_SDExport'!$A:$A,'EA-Fortescue_SDExport'!M:M)</f>
        <v>0</v>
      </c>
      <c r="N262" t="str">
        <f>_xlfn.XLOOKUP($A262,InterfaceRegister!$A:$A,InterfaceRegister!K:K)</f>
        <v>Proposed</v>
      </c>
      <c r="O262">
        <f>_xlfn.XLOOKUP($A262,'EA-Fortescue_SDExport'!$A:$A,'EA-Fortescue_SDExport'!O:O)</f>
        <v>1</v>
      </c>
      <c r="P262">
        <f>_xlfn.XLOOKUP($A262,'EA-Fortescue_SDExport'!$A:$A,'EA-Fortescue_SDExport'!P:P)</f>
        <v>0</v>
      </c>
      <c r="Q262">
        <f>_xlfn.XLOOKUP($A262,'EA-Fortescue_SDExport'!$A:$A,'EA-Fortescue_SDExport'!Q:Q)</f>
        <v>0</v>
      </c>
      <c r="R262">
        <f>_xlfn.XLOOKUP($A262,'EA-Fortescue_SDExport'!$A:$A,'EA-Fortescue_SDExport'!R:R)</f>
        <v>0</v>
      </c>
      <c r="S262">
        <f>_xlfn.XLOOKUP($A262,'EA-Fortescue_SDExport'!$A:$A,'EA-Fortescue_SDExport'!S:S)</f>
        <v>0</v>
      </c>
      <c r="T262">
        <f>_xlfn.XLOOKUP($A262,'EA-Fortescue_SDExport'!$A:$A,'EA-Fortescue_SDExport'!T:T)</f>
        <v>0</v>
      </c>
      <c r="U262">
        <f>_xlfn.XLOOKUP($A262,'EA-Fortescue_SDExport'!$A:$A,'EA-Fortescue_SDExport'!U:U)</f>
        <v>45972.942546296297</v>
      </c>
      <c r="V262">
        <f>_xlfn.XLOOKUP($A262,'EA-Fortescue_SDExport'!$A:$A,'EA-Fortescue_SDExport'!V:V)</f>
        <v>46050.690868055557</v>
      </c>
      <c r="W262">
        <f>_xlfn.XLOOKUP($A262,'EA-Fortescue_SDExport'!$A:$A,'EA-Fortescue_SDExport'!W:W)</f>
        <v>0</v>
      </c>
      <c r="X262">
        <f>_xlfn.XLOOKUP($A262,'EA-Fortescue_SDExport'!$A:$A,'EA-Fortescue_SDExport'!X:X)</f>
        <v>0</v>
      </c>
      <c r="Y262">
        <f>_xlfn.XLOOKUP($A262,'EA-Fortescue_SDExport'!$A:$A,'EA-Fortescue_SDExport'!Y:Y)</f>
        <v>0</v>
      </c>
      <c r="Z262" t="str">
        <f>_xlfn.XLOOKUP($A262,'EA-Fortescue_SDExport'!$A:$A,'EA-Fortescue_SDExport'!Z:Z)</f>
        <v>SysML1.4::InterfaceBlock</v>
      </c>
      <c r="AA262" t="str">
        <f>_xlfn.XLOOKUP($A262,InterfaceRegister!$A:$A,InterfaceRegister!B:B)</f>
        <v>Solomon Mine Hub: Dewatering Pumps|855DC-1543-PPC Pit Power Capacity Planning Tool - Capacity Check</v>
      </c>
      <c r="AB262" t="str">
        <f>_xlfn.XLOOKUP($A262,InterfaceRegister!$A:$A,InterfaceRegister!C:C)</f>
        <v/>
      </c>
      <c r="AC262" t="str">
        <f>_xlfn.XLOOKUP($A262,InterfaceRegister!$A:$A,InterfaceRegister!D:D)</f>
        <v/>
      </c>
      <c r="AD262" t="str">
        <f>_xlfn.XLOOKUP($A262,InterfaceRegister!$A:$A,InterfaceRegister!E:E)</f>
        <v>System - Project Interface</v>
      </c>
      <c r="AE262" t="str">
        <f>_xlfn.XLOOKUP($A262,InterfaceRegister!$A:$A,InterfaceRegister!F:F)</f>
        <v/>
      </c>
      <c r="AF262" t="str">
        <f>_xlfn.XLOOKUP($A262,InterfaceRegister!$A:$A,InterfaceRegister!L:L)</f>
        <v/>
      </c>
      <c r="AG262" t="str">
        <f>_xlfn.XLOOKUP($A262,InterfaceRegister!$A:$A,InterfaceRegister!M:M)</f>
        <v/>
      </c>
      <c r="AH262" t="str">
        <f>_xlfn.XLOOKUP($A262,InterfaceRegister!$A:$A,InterfaceRegister!O:O)</f>
        <v/>
      </c>
      <c r="AI262" t="str">
        <f>_xlfn.XLOOKUP($A262,InterfaceRegister!$A:$A,InterfaceRegister!N:N)</f>
        <v/>
      </c>
      <c r="AJ262" t="str">
        <f>_xlfn.XLOOKUP($A262,'EA-Fortescue_SDExport'!$A:$A,'EA-Fortescue_SDExport'!AX:AX)</f>
        <v>CSV94B2E93D</v>
      </c>
      <c r="AK262">
        <f>_xlfn.XLOOKUP($A262,'EA-Fortescue_SDExport'!$A:$A,'EA-Fortescue_SDExport'!AY:AY)</f>
        <v>0</v>
      </c>
    </row>
    <row r="263" spans="1:37" x14ac:dyDescent="0.25">
      <c r="A263" t="str">
        <v>DGS-I_0262</v>
      </c>
      <c r="B263" t="str">
        <f>_xlfn.XLOOKUP($A263,'EA-Fortescue_SDExport'!$A:$A,'EA-Fortescue_SDExport'!B:B)</f>
        <v>Class</v>
      </c>
      <c r="C263" t="str">
        <f>_xlfn.XLOOKUP($A263,'EA-Fortescue_SDExport'!$A:$A,'EA-Fortescue_SDExport'!C:C)</f>
        <v>{0C532F36-97CA-439d-B301-BD069858029B}</v>
      </c>
      <c r="D263" t="str">
        <f>_xlfn.LET(_xlpm.result, _xlfn.XLOOKUP($A263, InterfaceRegister!$A:$A, InterfaceRegister!P:P), IF(_xlpm.result=0, "", _xlpm.result))</f>
        <v/>
      </c>
      <c r="E263">
        <f>_xlfn.XLOOKUP($A263,'EA-Fortescue_SDExport'!$A:$A,'EA-Fortescue_SDExport'!E:E)</f>
        <v>1</v>
      </c>
      <c r="F263">
        <f>_xlfn.XLOOKUP($A263,'EA-Fortescue_SDExport'!$A:$A,'EA-Fortescue_SDExport'!F:F)</f>
        <v>1</v>
      </c>
      <c r="G263">
        <f>_xlfn.XLOOKUP($A263,'EA-Fortescue_SDExport'!$A:$A,'EA-Fortescue_SDExport'!G:G)</f>
        <v>0</v>
      </c>
      <c r="H263" t="str">
        <f>_xlfn.XLOOKUP($A263,'EA-Fortescue_SDExport'!$A:$A,'EA-Fortescue_SDExport'!H:H)</f>
        <v>InterfaceBlock</v>
      </c>
      <c r="I263" t="str">
        <f>_xlfn.XLOOKUP($A263,'EA-Fortescue_SDExport'!$A:$A,'EA-Fortescue_SDExport'!I:I)</f>
        <v>SysML1.4::InterfaceBlock</v>
      </c>
      <c r="J263" t="str">
        <f>_xlfn.XLOOKUP($A263,'EA-Fortescue_SDExport'!$A:$A,'EA-Fortescue_SDExport'!J:J)</f>
        <v>Java</v>
      </c>
      <c r="K263" t="str">
        <f>_xlfn.XLOOKUP($A263,'EA-Fortescue_SDExport'!$A:$A,'EA-Fortescue_SDExport'!K:K)</f>
        <v>Admin</v>
      </c>
      <c r="L263" t="str">
        <f>_xlfn.XLOOKUP($A263,'EA-Fortescue_SDExport'!$A:$A,'EA-Fortescue_SDExport'!L:L)</f>
        <v>Public</v>
      </c>
      <c r="M263">
        <f>_xlfn.XLOOKUP($A263,'EA-Fortescue_SDExport'!$A:$A,'EA-Fortescue_SDExport'!M:M)</f>
        <v>0</v>
      </c>
      <c r="N263" t="str">
        <f>_xlfn.XLOOKUP($A263,InterfaceRegister!$A:$A,InterfaceRegister!K:K)</f>
        <v>Proposed</v>
      </c>
      <c r="O263">
        <f>_xlfn.XLOOKUP($A263,'EA-Fortescue_SDExport'!$A:$A,'EA-Fortescue_SDExport'!O:O)</f>
        <v>1</v>
      </c>
      <c r="P263">
        <f>_xlfn.XLOOKUP($A263,'EA-Fortescue_SDExport'!$A:$A,'EA-Fortescue_SDExport'!P:P)</f>
        <v>0</v>
      </c>
      <c r="Q263">
        <f>_xlfn.XLOOKUP($A263,'EA-Fortescue_SDExport'!$A:$A,'EA-Fortescue_SDExport'!Q:Q)</f>
        <v>0</v>
      </c>
      <c r="R263">
        <f>_xlfn.XLOOKUP($A263,'EA-Fortescue_SDExport'!$A:$A,'EA-Fortescue_SDExport'!R:R)</f>
        <v>0</v>
      </c>
      <c r="S263">
        <f>_xlfn.XLOOKUP($A263,'EA-Fortescue_SDExport'!$A:$A,'EA-Fortescue_SDExport'!S:S)</f>
        <v>0</v>
      </c>
      <c r="T263">
        <f>_xlfn.XLOOKUP($A263,'EA-Fortescue_SDExport'!$A:$A,'EA-Fortescue_SDExport'!T:T)</f>
        <v>0</v>
      </c>
      <c r="U263">
        <f>_xlfn.XLOOKUP($A263,'EA-Fortescue_SDExport'!$A:$A,'EA-Fortescue_SDExport'!U:U)</f>
        <v>45972.963090277779</v>
      </c>
      <c r="V263">
        <f>_xlfn.XLOOKUP($A263,'EA-Fortescue_SDExport'!$A:$A,'EA-Fortescue_SDExport'!V:V)</f>
        <v>46002.004988425928</v>
      </c>
      <c r="W263">
        <f>_xlfn.XLOOKUP($A263,'EA-Fortescue_SDExport'!$A:$A,'EA-Fortescue_SDExport'!W:W)</f>
        <v>0</v>
      </c>
      <c r="X263">
        <f>_xlfn.XLOOKUP($A263,'EA-Fortescue_SDExport'!$A:$A,'EA-Fortescue_SDExport'!X:X)</f>
        <v>0</v>
      </c>
      <c r="Y263">
        <f>_xlfn.XLOOKUP($A263,'EA-Fortescue_SDExport'!$A:$A,'EA-Fortescue_SDExport'!Y:Y)</f>
        <v>0</v>
      </c>
      <c r="Z263" t="str">
        <f>_xlfn.XLOOKUP($A263,'EA-Fortescue_SDExport'!$A:$A,'EA-Fortescue_SDExport'!Z:Z)</f>
        <v>SysML1.4::InterfaceBlock</v>
      </c>
      <c r="AA263" t="str">
        <f>_xlfn.XLOOKUP($A263,InterfaceRegister!$A:$A,InterfaceRegister!B:B)</f>
        <v>Solomon Mine Hub: Drill Rig|Solomon Mine Hub: Trailing Cable</v>
      </c>
      <c r="AB263" t="str">
        <f>_xlfn.XLOOKUP($A263,InterfaceRegister!$A:$A,InterfaceRegister!C:C)</f>
        <v/>
      </c>
      <c r="AC263" t="str">
        <f>_xlfn.XLOOKUP($A263,InterfaceRegister!$A:$A,InterfaceRegister!D:D)</f>
        <v/>
      </c>
      <c r="AD263" t="str">
        <f>_xlfn.XLOOKUP($A263,InterfaceRegister!$A:$A,InterfaceRegister!E:E)</f>
        <v>System - System Interface</v>
      </c>
      <c r="AE263" t="str">
        <f>_xlfn.XLOOKUP($A263,InterfaceRegister!$A:$A,InterfaceRegister!F:F)</f>
        <v/>
      </c>
      <c r="AF263" t="str">
        <f>_xlfn.XLOOKUP($A263,InterfaceRegister!$A:$A,InterfaceRegister!L:L)</f>
        <v/>
      </c>
      <c r="AG263" t="str">
        <f>_xlfn.XLOOKUP($A263,InterfaceRegister!$A:$A,InterfaceRegister!M:M)</f>
        <v/>
      </c>
      <c r="AH263" t="str">
        <f>_xlfn.XLOOKUP($A263,InterfaceRegister!$A:$A,InterfaceRegister!O:O)</f>
        <v/>
      </c>
      <c r="AI263" t="str">
        <f>_xlfn.XLOOKUP($A263,InterfaceRegister!$A:$A,InterfaceRegister!N:N)</f>
        <v/>
      </c>
      <c r="AJ263" t="str">
        <f>_xlfn.XLOOKUP($A263,'EA-Fortescue_SDExport'!$A:$A,'EA-Fortescue_SDExport'!AX:AX)</f>
        <v>CSV0C9ACD0F</v>
      </c>
      <c r="AK263">
        <f>_xlfn.XLOOKUP($A263,'EA-Fortescue_SDExport'!$A:$A,'EA-Fortescue_SDExport'!AY:AY)</f>
        <v>0</v>
      </c>
    </row>
    <row r="264" spans="1:37" x14ac:dyDescent="0.25">
      <c r="A264" t="str">
        <v>DGS-I_0263</v>
      </c>
      <c r="B264" t="str">
        <f>_xlfn.XLOOKUP($A264,'EA-Fortescue_SDExport'!$A:$A,'EA-Fortescue_SDExport'!B:B)</f>
        <v>Class</v>
      </c>
      <c r="C264" t="str">
        <f>_xlfn.XLOOKUP($A264,'EA-Fortescue_SDExport'!$A:$A,'EA-Fortescue_SDExport'!C:C)</f>
        <v>{C7065BDB-FD4F-4bab-8CF8-A58C06ED3F9C}</v>
      </c>
      <c r="D264" t="str">
        <f>_xlfn.LET(_xlpm.result, _xlfn.XLOOKUP($A264, InterfaceRegister!$A:$A, InterfaceRegister!P:P), IF(_xlpm.result=0, "", _xlpm.result))</f>
        <v/>
      </c>
      <c r="E264">
        <f>_xlfn.XLOOKUP($A264,'EA-Fortescue_SDExport'!$A:$A,'EA-Fortescue_SDExport'!E:E)</f>
        <v>1</v>
      </c>
      <c r="F264">
        <f>_xlfn.XLOOKUP($A264,'EA-Fortescue_SDExport'!$A:$A,'EA-Fortescue_SDExport'!F:F)</f>
        <v>1</v>
      </c>
      <c r="G264">
        <f>_xlfn.XLOOKUP($A264,'EA-Fortescue_SDExport'!$A:$A,'EA-Fortescue_SDExport'!G:G)</f>
        <v>0</v>
      </c>
      <c r="H264" t="str">
        <f>_xlfn.XLOOKUP($A264,'EA-Fortescue_SDExport'!$A:$A,'EA-Fortescue_SDExport'!H:H)</f>
        <v>InterfaceBlock</v>
      </c>
      <c r="I264" t="str">
        <f>_xlfn.XLOOKUP($A264,'EA-Fortescue_SDExport'!$A:$A,'EA-Fortescue_SDExport'!I:I)</f>
        <v>SysML1.4::InterfaceBlock</v>
      </c>
      <c r="J264" t="str">
        <f>_xlfn.XLOOKUP($A264,'EA-Fortescue_SDExport'!$A:$A,'EA-Fortescue_SDExport'!J:J)</f>
        <v>Java</v>
      </c>
      <c r="K264" t="str">
        <f>_xlfn.XLOOKUP($A264,'EA-Fortescue_SDExport'!$A:$A,'EA-Fortescue_SDExport'!K:K)</f>
        <v>Admin</v>
      </c>
      <c r="L264" t="str">
        <f>_xlfn.XLOOKUP($A264,'EA-Fortescue_SDExport'!$A:$A,'EA-Fortescue_SDExport'!L:L)</f>
        <v>Public</v>
      </c>
      <c r="M264">
        <f>_xlfn.XLOOKUP($A264,'EA-Fortescue_SDExport'!$A:$A,'EA-Fortescue_SDExport'!M:M)</f>
        <v>0</v>
      </c>
      <c r="N264" t="str">
        <f>_xlfn.XLOOKUP($A264,InterfaceRegister!$A:$A,InterfaceRegister!K:K)</f>
        <v>Proposed</v>
      </c>
      <c r="O264">
        <f>_xlfn.XLOOKUP($A264,'EA-Fortescue_SDExport'!$A:$A,'EA-Fortescue_SDExport'!O:O)</f>
        <v>1</v>
      </c>
      <c r="P264">
        <f>_xlfn.XLOOKUP($A264,'EA-Fortescue_SDExport'!$A:$A,'EA-Fortescue_SDExport'!P:P)</f>
        <v>0</v>
      </c>
      <c r="Q264">
        <f>_xlfn.XLOOKUP($A264,'EA-Fortescue_SDExport'!$A:$A,'EA-Fortescue_SDExport'!Q:Q)</f>
        <v>0</v>
      </c>
      <c r="R264">
        <f>_xlfn.XLOOKUP($A264,'EA-Fortescue_SDExport'!$A:$A,'EA-Fortescue_SDExport'!R:R)</f>
        <v>0</v>
      </c>
      <c r="S264">
        <f>_xlfn.XLOOKUP($A264,'EA-Fortescue_SDExport'!$A:$A,'EA-Fortescue_SDExport'!S:S)</f>
        <v>0</v>
      </c>
      <c r="T264">
        <f>_xlfn.XLOOKUP($A264,'EA-Fortescue_SDExport'!$A:$A,'EA-Fortescue_SDExport'!T:T)</f>
        <v>0</v>
      </c>
      <c r="U264">
        <f>_xlfn.XLOOKUP($A264,'EA-Fortescue_SDExport'!$A:$A,'EA-Fortescue_SDExport'!U:U)</f>
        <v>45972.963136574072</v>
      </c>
      <c r="V264">
        <f>_xlfn.XLOOKUP($A264,'EA-Fortescue_SDExport'!$A:$A,'EA-Fortescue_SDExport'!V:V)</f>
        <v>46002.004953703705</v>
      </c>
      <c r="W264">
        <f>_xlfn.XLOOKUP($A264,'EA-Fortescue_SDExport'!$A:$A,'EA-Fortescue_SDExport'!W:W)</f>
        <v>0</v>
      </c>
      <c r="X264">
        <f>_xlfn.XLOOKUP($A264,'EA-Fortescue_SDExport'!$A:$A,'EA-Fortescue_SDExport'!X:X)</f>
        <v>0</v>
      </c>
      <c r="Y264">
        <f>_xlfn.XLOOKUP($A264,'EA-Fortescue_SDExport'!$A:$A,'EA-Fortescue_SDExport'!Y:Y)</f>
        <v>0</v>
      </c>
      <c r="Z264" t="str">
        <f>_xlfn.XLOOKUP($A264,'EA-Fortescue_SDExport'!$A:$A,'EA-Fortescue_SDExport'!Z:Z)</f>
        <v>SysML1.4::InterfaceBlock</v>
      </c>
      <c r="AA264" t="str">
        <f>_xlfn.XLOOKUP($A264,InterfaceRegister!$A:$A,InterfaceRegister!B:B)</f>
        <v>Solomon Mine Hub: Trailing Cable|Solomon Mine Hub: Excavator [&gt;110t]</v>
      </c>
      <c r="AB264" t="str">
        <f>_xlfn.XLOOKUP($A264,InterfaceRegister!$A:$A,InterfaceRegister!C:C)</f>
        <v/>
      </c>
      <c r="AC264" t="str">
        <f>_xlfn.XLOOKUP($A264,InterfaceRegister!$A:$A,InterfaceRegister!D:D)</f>
        <v/>
      </c>
      <c r="AD264" t="str">
        <f>_xlfn.XLOOKUP($A264,InterfaceRegister!$A:$A,InterfaceRegister!E:E)</f>
        <v>System - System Interface</v>
      </c>
      <c r="AE264" t="str">
        <f>_xlfn.XLOOKUP($A264,InterfaceRegister!$A:$A,InterfaceRegister!F:F)</f>
        <v/>
      </c>
      <c r="AF264" t="str">
        <f>_xlfn.XLOOKUP($A264,InterfaceRegister!$A:$A,InterfaceRegister!L:L)</f>
        <v/>
      </c>
      <c r="AG264" t="str">
        <f>_xlfn.XLOOKUP($A264,InterfaceRegister!$A:$A,InterfaceRegister!M:M)</f>
        <v/>
      </c>
      <c r="AH264" t="str">
        <f>_xlfn.XLOOKUP($A264,InterfaceRegister!$A:$A,InterfaceRegister!O:O)</f>
        <v/>
      </c>
      <c r="AI264" t="str">
        <f>_xlfn.XLOOKUP($A264,InterfaceRegister!$A:$A,InterfaceRegister!N:N)</f>
        <v/>
      </c>
      <c r="AJ264" t="str">
        <f>_xlfn.XLOOKUP($A264,'EA-Fortescue_SDExport'!$A:$A,'EA-Fortescue_SDExport'!AX:AX)</f>
        <v>CSV7DE191A8</v>
      </c>
      <c r="AK264">
        <f>_xlfn.XLOOKUP($A264,'EA-Fortescue_SDExport'!$A:$A,'EA-Fortescue_SDExport'!AY:AY)</f>
        <v>0</v>
      </c>
    </row>
    <row r="265" spans="1:37" x14ac:dyDescent="0.25">
      <c r="A265" t="str">
        <v>DGS-I_0264</v>
      </c>
      <c r="B265" t="str">
        <f>_xlfn.XLOOKUP($A265,'EA-Fortescue_SDExport'!$A:$A,'EA-Fortescue_SDExport'!B:B)</f>
        <v>Class</v>
      </c>
      <c r="C265" t="str">
        <f>_xlfn.XLOOKUP($A265,'EA-Fortescue_SDExport'!$A:$A,'EA-Fortescue_SDExport'!C:C)</f>
        <v>{5771C96F-9D53-4127-8DB1-1BFEBAFEFBF7}</v>
      </c>
      <c r="D265" t="str">
        <f>_xlfn.LET(_xlpm.result, _xlfn.XLOOKUP($A265, InterfaceRegister!$A:$A, InterfaceRegister!P:P), IF(_xlpm.result=0, "", _xlpm.result))</f>
        <v/>
      </c>
      <c r="E265">
        <f>_xlfn.XLOOKUP($A265,'EA-Fortescue_SDExport'!$A:$A,'EA-Fortescue_SDExport'!E:E)</f>
        <v>1</v>
      </c>
      <c r="F265">
        <f>_xlfn.XLOOKUP($A265,'EA-Fortescue_SDExport'!$A:$A,'EA-Fortescue_SDExport'!F:F)</f>
        <v>1</v>
      </c>
      <c r="G265">
        <f>_xlfn.XLOOKUP($A265,'EA-Fortescue_SDExport'!$A:$A,'EA-Fortescue_SDExport'!G:G)</f>
        <v>0</v>
      </c>
      <c r="H265" t="str">
        <f>_xlfn.XLOOKUP($A265,'EA-Fortescue_SDExport'!$A:$A,'EA-Fortescue_SDExport'!H:H)</f>
        <v>InterfaceBlock</v>
      </c>
      <c r="I265" t="str">
        <f>_xlfn.XLOOKUP($A265,'EA-Fortescue_SDExport'!$A:$A,'EA-Fortescue_SDExport'!I:I)</f>
        <v>SysML1.4::InterfaceBlock</v>
      </c>
      <c r="J265" t="str">
        <f>_xlfn.XLOOKUP($A265,'EA-Fortescue_SDExport'!$A:$A,'EA-Fortescue_SDExport'!J:J)</f>
        <v>Java</v>
      </c>
      <c r="K265" t="str">
        <f>_xlfn.XLOOKUP($A265,'EA-Fortescue_SDExport'!$A:$A,'EA-Fortescue_SDExport'!K:K)</f>
        <v>Admin</v>
      </c>
      <c r="L265" t="str">
        <f>_xlfn.XLOOKUP($A265,'EA-Fortescue_SDExport'!$A:$A,'EA-Fortescue_SDExport'!L:L)</f>
        <v>Public</v>
      </c>
      <c r="M265">
        <f>_xlfn.XLOOKUP($A265,'EA-Fortescue_SDExport'!$A:$A,'EA-Fortescue_SDExport'!M:M)</f>
        <v>0</v>
      </c>
      <c r="N265" t="str">
        <f>_xlfn.XLOOKUP($A265,InterfaceRegister!$A:$A,InterfaceRegister!K:K)</f>
        <v>Proposed</v>
      </c>
      <c r="O265">
        <f>_xlfn.XLOOKUP($A265,'EA-Fortescue_SDExport'!$A:$A,'EA-Fortescue_SDExport'!O:O)</f>
        <v>1</v>
      </c>
      <c r="P265">
        <f>_xlfn.XLOOKUP($A265,'EA-Fortescue_SDExport'!$A:$A,'EA-Fortescue_SDExport'!P:P)</f>
        <v>0</v>
      </c>
      <c r="Q265">
        <f>_xlfn.XLOOKUP($A265,'EA-Fortescue_SDExport'!$A:$A,'EA-Fortescue_SDExport'!Q:Q)</f>
        <v>0</v>
      </c>
      <c r="R265">
        <f>_xlfn.XLOOKUP($A265,'EA-Fortescue_SDExport'!$A:$A,'EA-Fortescue_SDExport'!R:R)</f>
        <v>0</v>
      </c>
      <c r="S265">
        <f>_xlfn.XLOOKUP($A265,'EA-Fortescue_SDExport'!$A:$A,'EA-Fortescue_SDExport'!S:S)</f>
        <v>0</v>
      </c>
      <c r="T265">
        <f>_xlfn.XLOOKUP($A265,'EA-Fortescue_SDExport'!$A:$A,'EA-Fortescue_SDExport'!T:T)</f>
        <v>0</v>
      </c>
      <c r="U265">
        <f>_xlfn.XLOOKUP($A265,'EA-Fortescue_SDExport'!$A:$A,'EA-Fortescue_SDExport'!U:U)</f>
        <v>45972.963194444441</v>
      </c>
      <c r="V265">
        <f>_xlfn.XLOOKUP($A265,'EA-Fortescue_SDExport'!$A:$A,'EA-Fortescue_SDExport'!V:V)</f>
        <v>46002.004965277774</v>
      </c>
      <c r="W265">
        <f>_xlfn.XLOOKUP($A265,'EA-Fortescue_SDExport'!$A:$A,'EA-Fortescue_SDExport'!W:W)</f>
        <v>0</v>
      </c>
      <c r="X265">
        <f>_xlfn.XLOOKUP($A265,'EA-Fortescue_SDExport'!$A:$A,'EA-Fortescue_SDExport'!X:X)</f>
        <v>0</v>
      </c>
      <c r="Y265">
        <f>_xlfn.XLOOKUP($A265,'EA-Fortescue_SDExport'!$A:$A,'EA-Fortescue_SDExport'!Y:Y)</f>
        <v>0</v>
      </c>
      <c r="Z265" t="str">
        <f>_xlfn.XLOOKUP($A265,'EA-Fortescue_SDExport'!$A:$A,'EA-Fortescue_SDExport'!Z:Z)</f>
        <v>SysML1.4::InterfaceBlock</v>
      </c>
      <c r="AA265" t="str">
        <f>_xlfn.XLOOKUP($A265,InterfaceRegister!$A:$A,InterfaceRegister!B:B)</f>
        <v>Solomon Mine Hub: Trailing Cable|Solomon Mine Hub: HME Chargers</v>
      </c>
      <c r="AB265" t="str">
        <f>_xlfn.XLOOKUP($A265,InterfaceRegister!$A:$A,InterfaceRegister!C:C)</f>
        <v/>
      </c>
      <c r="AC265" t="str">
        <f>_xlfn.XLOOKUP($A265,InterfaceRegister!$A:$A,InterfaceRegister!D:D)</f>
        <v/>
      </c>
      <c r="AD265" t="str">
        <f>_xlfn.XLOOKUP($A265,InterfaceRegister!$A:$A,InterfaceRegister!E:E)</f>
        <v>System - Project Interface</v>
      </c>
      <c r="AE265" t="str">
        <f>_xlfn.XLOOKUP($A265,InterfaceRegister!$A:$A,InterfaceRegister!F:F)</f>
        <v/>
      </c>
      <c r="AF265" t="str">
        <f>_xlfn.XLOOKUP($A265,InterfaceRegister!$A:$A,InterfaceRegister!L:L)</f>
        <v/>
      </c>
      <c r="AG265" t="str">
        <f>_xlfn.XLOOKUP($A265,InterfaceRegister!$A:$A,InterfaceRegister!M:M)</f>
        <v/>
      </c>
      <c r="AH265" t="str">
        <f>_xlfn.XLOOKUP($A265,InterfaceRegister!$A:$A,InterfaceRegister!O:O)</f>
        <v/>
      </c>
      <c r="AI265" t="str">
        <f>_xlfn.XLOOKUP($A265,InterfaceRegister!$A:$A,InterfaceRegister!N:N)</f>
        <v/>
      </c>
      <c r="AJ265" t="str">
        <f>_xlfn.XLOOKUP($A265,'EA-Fortescue_SDExport'!$A:$A,'EA-Fortescue_SDExport'!AX:AX)</f>
        <v>CSV89DF6B07</v>
      </c>
      <c r="AK265">
        <f>_xlfn.XLOOKUP($A265,'EA-Fortescue_SDExport'!$A:$A,'EA-Fortescue_SDExport'!AY:AY)</f>
        <v>0</v>
      </c>
    </row>
    <row r="266" spans="1:37" x14ac:dyDescent="0.25">
      <c r="A266" t="str">
        <v>DGS-I_0265</v>
      </c>
      <c r="B266" t="str">
        <f>_xlfn.XLOOKUP($A266,'EA-Fortescue_SDExport'!$A:$A,'EA-Fortescue_SDExport'!B:B)</f>
        <v>Class</v>
      </c>
      <c r="C266" t="str">
        <f>_xlfn.XLOOKUP($A266,'EA-Fortescue_SDExport'!$A:$A,'EA-Fortescue_SDExport'!C:C)</f>
        <v>{B3E72958-D2F4-45bc-B8F0-A8DC2AE722A2}</v>
      </c>
      <c r="D266" t="str">
        <f>_xlfn.LET(_xlpm.result, _xlfn.XLOOKUP($A266, InterfaceRegister!$A:$A, InterfaceRegister!P:P), IF(_xlpm.result=0, "", _xlpm.result))</f>
        <v/>
      </c>
      <c r="E266">
        <f>_xlfn.XLOOKUP($A266,'EA-Fortescue_SDExport'!$A:$A,'EA-Fortescue_SDExport'!E:E)</f>
        <v>1</v>
      </c>
      <c r="F266">
        <f>_xlfn.XLOOKUP($A266,'EA-Fortescue_SDExport'!$A:$A,'EA-Fortescue_SDExport'!F:F)</f>
        <v>1</v>
      </c>
      <c r="G266">
        <f>_xlfn.XLOOKUP($A266,'EA-Fortescue_SDExport'!$A:$A,'EA-Fortescue_SDExport'!G:G)</f>
        <v>0</v>
      </c>
      <c r="H266" t="str">
        <f>_xlfn.XLOOKUP($A266,'EA-Fortescue_SDExport'!$A:$A,'EA-Fortescue_SDExport'!H:H)</f>
        <v>InterfaceBlock</v>
      </c>
      <c r="I266" t="str">
        <f>_xlfn.XLOOKUP($A266,'EA-Fortescue_SDExport'!$A:$A,'EA-Fortescue_SDExport'!I:I)</f>
        <v>SysML1.4::InterfaceBlock</v>
      </c>
      <c r="J266" t="str">
        <f>_xlfn.XLOOKUP($A266,'EA-Fortescue_SDExport'!$A:$A,'EA-Fortescue_SDExport'!J:J)</f>
        <v>Java</v>
      </c>
      <c r="K266" t="str">
        <f>_xlfn.XLOOKUP($A266,'EA-Fortescue_SDExport'!$A:$A,'EA-Fortescue_SDExport'!K:K)</f>
        <v>Admin</v>
      </c>
      <c r="L266" t="str">
        <f>_xlfn.XLOOKUP($A266,'EA-Fortescue_SDExport'!$A:$A,'EA-Fortescue_SDExport'!L:L)</f>
        <v>Public</v>
      </c>
      <c r="M266">
        <f>_xlfn.XLOOKUP($A266,'EA-Fortescue_SDExport'!$A:$A,'EA-Fortescue_SDExport'!M:M)</f>
        <v>0</v>
      </c>
      <c r="N266" t="str">
        <f>_xlfn.XLOOKUP($A266,InterfaceRegister!$A:$A,InterfaceRegister!K:K)</f>
        <v>Proposed</v>
      </c>
      <c r="O266">
        <f>_xlfn.XLOOKUP($A266,'EA-Fortescue_SDExport'!$A:$A,'EA-Fortescue_SDExport'!O:O)</f>
        <v>1</v>
      </c>
      <c r="P266">
        <f>_xlfn.XLOOKUP($A266,'EA-Fortescue_SDExport'!$A:$A,'EA-Fortescue_SDExport'!P:P)</f>
        <v>0</v>
      </c>
      <c r="Q266">
        <f>_xlfn.XLOOKUP($A266,'EA-Fortescue_SDExport'!$A:$A,'EA-Fortescue_SDExport'!Q:Q)</f>
        <v>0</v>
      </c>
      <c r="R266">
        <f>_xlfn.XLOOKUP($A266,'EA-Fortescue_SDExport'!$A:$A,'EA-Fortescue_SDExport'!R:R)</f>
        <v>0</v>
      </c>
      <c r="S266">
        <f>_xlfn.XLOOKUP($A266,'EA-Fortescue_SDExport'!$A:$A,'EA-Fortescue_SDExport'!S:S)</f>
        <v>0</v>
      </c>
      <c r="T266">
        <f>_xlfn.XLOOKUP($A266,'EA-Fortescue_SDExport'!$A:$A,'EA-Fortescue_SDExport'!T:T)</f>
        <v>0</v>
      </c>
      <c r="U266">
        <f>_xlfn.XLOOKUP($A266,'EA-Fortescue_SDExport'!$A:$A,'EA-Fortescue_SDExport'!U:U)</f>
        <v>45972.963240740741</v>
      </c>
      <c r="V266">
        <f>_xlfn.XLOOKUP($A266,'EA-Fortescue_SDExport'!$A:$A,'EA-Fortescue_SDExport'!V:V)</f>
        <v>46002.004953703705</v>
      </c>
      <c r="W266">
        <f>_xlfn.XLOOKUP($A266,'EA-Fortescue_SDExport'!$A:$A,'EA-Fortescue_SDExport'!W:W)</f>
        <v>0</v>
      </c>
      <c r="X266">
        <f>_xlfn.XLOOKUP($A266,'EA-Fortescue_SDExport'!$A:$A,'EA-Fortescue_SDExport'!X:X)</f>
        <v>0</v>
      </c>
      <c r="Y266">
        <f>_xlfn.XLOOKUP($A266,'EA-Fortescue_SDExport'!$A:$A,'EA-Fortescue_SDExport'!Y:Y)</f>
        <v>0</v>
      </c>
      <c r="Z266" t="str">
        <f>_xlfn.XLOOKUP($A266,'EA-Fortescue_SDExport'!$A:$A,'EA-Fortescue_SDExport'!Z:Z)</f>
        <v>SysML1.4::InterfaceBlock</v>
      </c>
      <c r="AA266" t="str">
        <f>_xlfn.XLOOKUP($A266,InterfaceRegister!$A:$A,InterfaceRegister!B:B)</f>
        <v>Solomon Mine Hub: Trailing Cable|Solomon Mine Hub: HME Auxilary Chargers</v>
      </c>
      <c r="AB266" t="str">
        <f>_xlfn.XLOOKUP($A266,InterfaceRegister!$A:$A,InterfaceRegister!C:C)</f>
        <v/>
      </c>
      <c r="AC266" t="str">
        <f>_xlfn.XLOOKUP($A266,InterfaceRegister!$A:$A,InterfaceRegister!D:D)</f>
        <v/>
      </c>
      <c r="AD266" t="str">
        <f>_xlfn.XLOOKUP($A266,InterfaceRegister!$A:$A,InterfaceRegister!E:E)</f>
        <v>System - Project Interface</v>
      </c>
      <c r="AE266" t="str">
        <f>_xlfn.XLOOKUP($A266,InterfaceRegister!$A:$A,InterfaceRegister!F:F)</f>
        <v/>
      </c>
      <c r="AF266" t="str">
        <f>_xlfn.XLOOKUP($A266,InterfaceRegister!$A:$A,InterfaceRegister!L:L)</f>
        <v/>
      </c>
      <c r="AG266" t="str">
        <f>_xlfn.XLOOKUP($A266,InterfaceRegister!$A:$A,InterfaceRegister!M:M)</f>
        <v/>
      </c>
      <c r="AH266" t="str">
        <f>_xlfn.XLOOKUP($A266,InterfaceRegister!$A:$A,InterfaceRegister!O:O)</f>
        <v/>
      </c>
      <c r="AI266" t="str">
        <f>_xlfn.XLOOKUP($A266,InterfaceRegister!$A:$A,InterfaceRegister!N:N)</f>
        <v/>
      </c>
      <c r="AJ266" t="str">
        <f>_xlfn.XLOOKUP($A266,'EA-Fortescue_SDExport'!$A:$A,'EA-Fortescue_SDExport'!AX:AX)</f>
        <v>CSV79FB240B</v>
      </c>
      <c r="AK266">
        <f>_xlfn.XLOOKUP($A266,'EA-Fortescue_SDExport'!$A:$A,'EA-Fortescue_SDExport'!AY:AY)</f>
        <v>0</v>
      </c>
    </row>
    <row r="267" spans="1:37" x14ac:dyDescent="0.25">
      <c r="A267" t="str">
        <v>DGS-I_0266</v>
      </c>
      <c r="B267" t="str">
        <f>_xlfn.XLOOKUP($A267,'EA-Fortescue_SDExport'!$A:$A,'EA-Fortescue_SDExport'!B:B)</f>
        <v>Class</v>
      </c>
      <c r="C267" t="str">
        <f>_xlfn.XLOOKUP($A267,'EA-Fortescue_SDExport'!$A:$A,'EA-Fortescue_SDExport'!C:C)</f>
        <v>{85BB2853-41EB-4a30-92DC-1B6AFF41D666}</v>
      </c>
      <c r="D267" t="str">
        <f>_xlfn.LET(_xlpm.result, _xlfn.XLOOKUP($A267, InterfaceRegister!$A:$A, InterfaceRegister!P:P), IF(_xlpm.result=0, "", _xlpm.result))</f>
        <v/>
      </c>
      <c r="E267">
        <f>_xlfn.XLOOKUP($A267,'EA-Fortescue_SDExport'!$A:$A,'EA-Fortescue_SDExport'!E:E)</f>
        <v>1</v>
      </c>
      <c r="F267">
        <f>_xlfn.XLOOKUP($A267,'EA-Fortescue_SDExport'!$A:$A,'EA-Fortescue_SDExport'!F:F)</f>
        <v>1</v>
      </c>
      <c r="G267">
        <f>_xlfn.XLOOKUP($A267,'EA-Fortescue_SDExport'!$A:$A,'EA-Fortescue_SDExport'!G:G)</f>
        <v>0</v>
      </c>
      <c r="H267" t="str">
        <f>_xlfn.XLOOKUP($A267,'EA-Fortescue_SDExport'!$A:$A,'EA-Fortescue_SDExport'!H:H)</f>
        <v>InterfaceBlock</v>
      </c>
      <c r="I267" t="str">
        <f>_xlfn.XLOOKUP($A267,'EA-Fortescue_SDExport'!$A:$A,'EA-Fortescue_SDExport'!I:I)</f>
        <v>SysML1.4::InterfaceBlock</v>
      </c>
      <c r="J267" t="str">
        <f>_xlfn.XLOOKUP($A267,'EA-Fortescue_SDExport'!$A:$A,'EA-Fortescue_SDExport'!J:J)</f>
        <v>Java</v>
      </c>
      <c r="K267" t="str">
        <f>_xlfn.XLOOKUP($A267,'EA-Fortescue_SDExport'!$A:$A,'EA-Fortescue_SDExport'!K:K)</f>
        <v>Admin</v>
      </c>
      <c r="L267" t="str">
        <f>_xlfn.XLOOKUP($A267,'EA-Fortescue_SDExport'!$A:$A,'EA-Fortescue_SDExport'!L:L)</f>
        <v>Public</v>
      </c>
      <c r="M267">
        <f>_xlfn.XLOOKUP($A267,'EA-Fortescue_SDExport'!$A:$A,'EA-Fortescue_SDExport'!M:M)</f>
        <v>0</v>
      </c>
      <c r="N267" t="str">
        <f>_xlfn.XLOOKUP($A267,InterfaceRegister!$A:$A,InterfaceRegister!K:K)</f>
        <v>Proposed</v>
      </c>
      <c r="O267">
        <f>_xlfn.XLOOKUP($A267,'EA-Fortescue_SDExport'!$A:$A,'EA-Fortescue_SDExport'!O:O)</f>
        <v>1</v>
      </c>
      <c r="P267">
        <f>_xlfn.XLOOKUP($A267,'EA-Fortescue_SDExport'!$A:$A,'EA-Fortescue_SDExport'!P:P)</f>
        <v>0</v>
      </c>
      <c r="Q267">
        <f>_xlfn.XLOOKUP($A267,'EA-Fortescue_SDExport'!$A:$A,'EA-Fortescue_SDExport'!Q:Q)</f>
        <v>0</v>
      </c>
      <c r="R267">
        <f>_xlfn.XLOOKUP($A267,'EA-Fortescue_SDExport'!$A:$A,'EA-Fortescue_SDExport'!R:R)</f>
        <v>0</v>
      </c>
      <c r="S267">
        <f>_xlfn.XLOOKUP($A267,'EA-Fortescue_SDExport'!$A:$A,'EA-Fortescue_SDExport'!S:S)</f>
        <v>0</v>
      </c>
      <c r="T267">
        <f>_xlfn.XLOOKUP($A267,'EA-Fortescue_SDExport'!$A:$A,'EA-Fortescue_SDExport'!T:T)</f>
        <v>0</v>
      </c>
      <c r="U267">
        <f>_xlfn.XLOOKUP($A267,'EA-Fortescue_SDExport'!$A:$A,'EA-Fortescue_SDExport'!U:U)</f>
        <v>45972.963275462964</v>
      </c>
      <c r="V267">
        <f>_xlfn.XLOOKUP($A267,'EA-Fortescue_SDExport'!$A:$A,'EA-Fortescue_SDExport'!V:V)</f>
        <v>46002.004976851851</v>
      </c>
      <c r="W267">
        <f>_xlfn.XLOOKUP($A267,'EA-Fortescue_SDExport'!$A:$A,'EA-Fortescue_SDExport'!W:W)</f>
        <v>0</v>
      </c>
      <c r="X267">
        <f>_xlfn.XLOOKUP($A267,'EA-Fortescue_SDExport'!$A:$A,'EA-Fortescue_SDExport'!X:X)</f>
        <v>0</v>
      </c>
      <c r="Y267">
        <f>_xlfn.XLOOKUP($A267,'EA-Fortescue_SDExport'!$A:$A,'EA-Fortescue_SDExport'!Y:Y)</f>
        <v>0</v>
      </c>
      <c r="Z267" t="str">
        <f>_xlfn.XLOOKUP($A267,'EA-Fortescue_SDExport'!$A:$A,'EA-Fortescue_SDExport'!Z:Z)</f>
        <v>SysML1.4::InterfaceBlock</v>
      </c>
      <c r="AA267" t="str">
        <f>_xlfn.XLOOKUP($A267,InterfaceRegister!$A:$A,InterfaceRegister!B:B)</f>
        <v>Solomon Mine Hub: Trailing Cable|Solomon Mine Hub: LME / SME Chargers</v>
      </c>
      <c r="AB267" t="str">
        <f>_xlfn.XLOOKUP($A267,InterfaceRegister!$A:$A,InterfaceRegister!C:C)</f>
        <v/>
      </c>
      <c r="AC267" t="str">
        <f>_xlfn.XLOOKUP($A267,InterfaceRegister!$A:$A,InterfaceRegister!D:D)</f>
        <v/>
      </c>
      <c r="AD267" t="str">
        <f>_xlfn.XLOOKUP($A267,InterfaceRegister!$A:$A,InterfaceRegister!E:E)</f>
        <v>System - Project Interface</v>
      </c>
      <c r="AE267" t="str">
        <f>_xlfn.XLOOKUP($A267,InterfaceRegister!$A:$A,InterfaceRegister!F:F)</f>
        <v/>
      </c>
      <c r="AF267" t="str">
        <f>_xlfn.XLOOKUP($A267,InterfaceRegister!$A:$A,InterfaceRegister!L:L)</f>
        <v/>
      </c>
      <c r="AG267" t="str">
        <f>_xlfn.XLOOKUP($A267,InterfaceRegister!$A:$A,InterfaceRegister!M:M)</f>
        <v/>
      </c>
      <c r="AH267" t="str">
        <f>_xlfn.XLOOKUP($A267,InterfaceRegister!$A:$A,InterfaceRegister!O:O)</f>
        <v/>
      </c>
      <c r="AI267" t="str">
        <f>_xlfn.XLOOKUP($A267,InterfaceRegister!$A:$A,InterfaceRegister!N:N)</f>
        <v/>
      </c>
      <c r="AJ267" t="str">
        <f>_xlfn.XLOOKUP($A267,'EA-Fortescue_SDExport'!$A:$A,'EA-Fortescue_SDExport'!AX:AX)</f>
        <v>CSV7F5F1E6A</v>
      </c>
      <c r="AK267">
        <f>_xlfn.XLOOKUP($A267,'EA-Fortescue_SDExport'!$A:$A,'EA-Fortescue_SDExport'!AY:AY)</f>
        <v>0</v>
      </c>
    </row>
    <row r="268" spans="1:37" x14ac:dyDescent="0.25">
      <c r="A268" t="str">
        <v>DGS-I_0267</v>
      </c>
      <c r="B268" t="str">
        <f>_xlfn.XLOOKUP($A268,'EA-Fortescue_SDExport'!$A:$A,'EA-Fortescue_SDExport'!B:B)</f>
        <v>Class</v>
      </c>
      <c r="C268" t="str">
        <f>_xlfn.XLOOKUP($A268,'EA-Fortescue_SDExport'!$A:$A,'EA-Fortescue_SDExport'!C:C)</f>
        <v>{9344D606-B361-4456-A208-0B506E0FFD67}</v>
      </c>
      <c r="D268" t="str">
        <f>_xlfn.LET(_xlpm.result, _xlfn.XLOOKUP($A268, InterfaceRegister!$A:$A, InterfaceRegister!P:P), IF(_xlpm.result=0, "", _xlpm.result))</f>
        <v>From DGS-I_0154 (interface with generic HME Chargers): LMS Review 30/10/2025: Trending data from chargers, diagnostics. OPC/UA_x000D_
NH 20/02/2026: Fields updated: Interface Type, Interface Flow.</v>
      </c>
      <c r="E268">
        <f>_xlfn.XLOOKUP($A268,'EA-Fortescue_SDExport'!$A:$A,'EA-Fortescue_SDExport'!E:E)</f>
        <v>1</v>
      </c>
      <c r="F268">
        <f>_xlfn.XLOOKUP($A268,'EA-Fortescue_SDExport'!$A:$A,'EA-Fortescue_SDExport'!F:F)</f>
        <v>1</v>
      </c>
      <c r="G268">
        <f>_xlfn.XLOOKUP($A268,'EA-Fortescue_SDExport'!$A:$A,'EA-Fortescue_SDExport'!G:G)</f>
        <v>0</v>
      </c>
      <c r="H268" t="str">
        <f>_xlfn.XLOOKUP($A268,'EA-Fortescue_SDExport'!$A:$A,'EA-Fortescue_SDExport'!H:H)</f>
        <v>InterfaceBlock</v>
      </c>
      <c r="I268" t="str">
        <f>_xlfn.XLOOKUP($A268,'EA-Fortescue_SDExport'!$A:$A,'EA-Fortescue_SDExport'!I:I)</f>
        <v>SysML1.4::InterfaceBlock</v>
      </c>
      <c r="J268" t="str">
        <f>_xlfn.XLOOKUP($A268,'EA-Fortescue_SDExport'!$A:$A,'EA-Fortescue_SDExport'!J:J)</f>
        <v>Java</v>
      </c>
      <c r="K268" t="str">
        <f>_xlfn.XLOOKUP($A268,'EA-Fortescue_SDExport'!$A:$A,'EA-Fortescue_SDExport'!K:K)</f>
        <v>Admin</v>
      </c>
      <c r="L268" t="str">
        <f>_xlfn.XLOOKUP($A268,'EA-Fortescue_SDExport'!$A:$A,'EA-Fortescue_SDExport'!L:L)</f>
        <v>Public</v>
      </c>
      <c r="M268">
        <f>_xlfn.XLOOKUP($A268,'EA-Fortescue_SDExport'!$A:$A,'EA-Fortescue_SDExport'!M:M)</f>
        <v>0</v>
      </c>
      <c r="N268" t="str">
        <f>_xlfn.XLOOKUP($A268,InterfaceRegister!$A:$A,InterfaceRegister!K:K)</f>
        <v>Proposed</v>
      </c>
      <c r="O268">
        <f>_xlfn.XLOOKUP($A268,'EA-Fortescue_SDExport'!$A:$A,'EA-Fortescue_SDExport'!O:O)</f>
        <v>1</v>
      </c>
      <c r="P268">
        <f>_xlfn.XLOOKUP($A268,'EA-Fortescue_SDExport'!$A:$A,'EA-Fortescue_SDExport'!P:P)</f>
        <v>0</v>
      </c>
      <c r="Q268">
        <f>_xlfn.XLOOKUP($A268,'EA-Fortescue_SDExport'!$A:$A,'EA-Fortescue_SDExport'!Q:Q)</f>
        <v>0</v>
      </c>
      <c r="R268">
        <f>_xlfn.XLOOKUP($A268,'EA-Fortescue_SDExport'!$A:$A,'EA-Fortescue_SDExport'!R:R)</f>
        <v>0</v>
      </c>
      <c r="S268">
        <f>_xlfn.XLOOKUP($A268,'EA-Fortescue_SDExport'!$A:$A,'EA-Fortescue_SDExport'!S:S)</f>
        <v>0</v>
      </c>
      <c r="T268">
        <f>_xlfn.XLOOKUP($A268,'EA-Fortescue_SDExport'!$A:$A,'EA-Fortescue_SDExport'!T:T)</f>
        <v>0</v>
      </c>
      <c r="U268">
        <f>_xlfn.XLOOKUP($A268,'EA-Fortescue_SDExport'!$A:$A,'EA-Fortescue_SDExport'!U:U)</f>
        <v>45972.963321759256</v>
      </c>
      <c r="V268">
        <f>_xlfn.XLOOKUP($A268,'EA-Fortescue_SDExport'!$A:$A,'EA-Fortescue_SDExport'!V:V)</f>
        <v>46077.993217592593</v>
      </c>
      <c r="W268">
        <f>_xlfn.XLOOKUP($A268,'EA-Fortescue_SDExport'!$A:$A,'EA-Fortescue_SDExport'!W:W)</f>
        <v>0</v>
      </c>
      <c r="X268">
        <f>_xlfn.XLOOKUP($A268,'EA-Fortescue_SDExport'!$A:$A,'EA-Fortescue_SDExport'!X:X)</f>
        <v>0</v>
      </c>
      <c r="Y268">
        <f>_xlfn.XLOOKUP($A268,'EA-Fortescue_SDExport'!$A:$A,'EA-Fortescue_SDExport'!Y:Y)</f>
        <v>0</v>
      </c>
      <c r="Z268" t="str">
        <f>_xlfn.XLOOKUP($A268,'EA-Fortescue_SDExport'!$A:$A,'EA-Fortescue_SDExport'!Z:Z)</f>
        <v>SysML1.4::InterfaceBlock</v>
      </c>
      <c r="AA268" t="str">
        <f>_xlfn.XLOOKUP($A268,InterfaceRegister!$A:$A,InterfaceRegister!B:B)</f>
        <v>005OP-0000-017-002 Fire SCADA|Solomon Mine Hub: SW1+AP1</v>
      </c>
      <c r="AB268" t="str">
        <f>_xlfn.XLOOKUP($A268,InterfaceRegister!$A:$A,InterfaceRegister!C:C)</f>
        <v/>
      </c>
      <c r="AC268" t="str">
        <f>_xlfn.XLOOKUP($A268,InterfaceRegister!$A:$A,InterfaceRegister!D:D)</f>
        <v/>
      </c>
      <c r="AD268" t="str">
        <f>_xlfn.XLOOKUP($A268,InterfaceRegister!$A:$A,InterfaceRegister!E:E)</f>
        <v>Subsystem - Subsystem Interface</v>
      </c>
      <c r="AE268" t="str">
        <f>_xlfn.XLOOKUP($A268,InterfaceRegister!$A:$A,InterfaceRegister!F:F)</f>
        <v>Technical-Data/Software</v>
      </c>
      <c r="AF268" t="str">
        <f>_xlfn.XLOOKUP($A268,InterfaceRegister!$A:$A,InterfaceRegister!L:L)</f>
        <v>This interface passes fire alarms, suppression events, and emergency isolation commands from Fire SCADA to the SW1+AP1 switchroom at the Solomon Hub.</v>
      </c>
      <c r="AG268" t="str">
        <f>_xlfn.XLOOKUP($A268,InterfaceRegister!$A:$A,InterfaceRegister!M:M)</f>
        <v>HIGH</v>
      </c>
      <c r="AH268" t="str">
        <f>_xlfn.XLOOKUP($A268,InterfaceRegister!$A:$A,InterfaceRegister!O:O)</f>
        <v>Data Flow:_x000D_
Fire SCADA (005OP-0000-017 Ignition) -&gt; SW1+AP1 Switchroom Systems, transmitting fire alarms, suppression activation status, zone detection signals, smoke/heat alarms, and emergency isolation commands to initiate protective actions within the high-voltage switchroom._x000D_
Control / Interlock Response:_x000D_
SW1+AP1 Switchroom Systems -&gt; Local Electrical Infrastructure, executing automatic breaker trips, circuit isolation, ventilation shutdown, suppression release confirmation, and safety interlocks in response to validated fire events to protect personnel and equipment.</v>
      </c>
      <c r="AI268" t="str">
        <f>_xlfn.XLOOKUP($A268,InterfaceRegister!$A:$A,InterfaceRegister!N:N)</f>
        <v>The criticality level is HIGH because switchrooms contain high-voltage equipment and must respond immediately to fire conditions to prevent electrical faults, equipment damage, or danger to personnel. Without fire-system signals, the switchroom may fail to isolate circuits or activate emergency procedures during a fire event, creating significant safety and operational risks.</v>
      </c>
      <c r="AJ268" t="str">
        <f>_xlfn.XLOOKUP($A268,'EA-Fortescue_SDExport'!$A:$A,'EA-Fortescue_SDExport'!AX:AX)</f>
        <v>CSV5AF46F00</v>
      </c>
      <c r="AK268">
        <f>_xlfn.XLOOKUP($A268,'EA-Fortescue_SDExport'!$A:$A,'EA-Fortescue_SDExport'!AY:AY)</f>
        <v>0</v>
      </c>
    </row>
    <row r="269" spans="1:37" x14ac:dyDescent="0.25">
      <c r="A269" t="str">
        <v>DGS-I_0268</v>
      </c>
      <c r="B269" t="str">
        <f>_xlfn.XLOOKUP($A269,'EA-Fortescue_SDExport'!$A:$A,'EA-Fortescue_SDExport'!B:B)</f>
        <v>Class</v>
      </c>
      <c r="C269" t="str">
        <f>_xlfn.XLOOKUP($A269,'EA-Fortescue_SDExport'!$A:$A,'EA-Fortescue_SDExport'!C:C)</f>
        <v>{0F0A633F-88E5-4f9b-883C-B2E1C54900F2}</v>
      </c>
      <c r="D269" t="str">
        <f>_xlfn.LET(_xlpm.result, _xlfn.XLOOKUP($A269, InterfaceRegister!$A:$A, InterfaceRegister!P:P), IF(_xlpm.result=0, "", _xlpm.result))</f>
        <v/>
      </c>
      <c r="E269">
        <f>_xlfn.XLOOKUP($A269,'EA-Fortescue_SDExport'!$A:$A,'EA-Fortescue_SDExport'!E:E)</f>
        <v>1</v>
      </c>
      <c r="F269">
        <f>_xlfn.XLOOKUP($A269,'EA-Fortescue_SDExport'!$A:$A,'EA-Fortescue_SDExport'!F:F)</f>
        <v>1</v>
      </c>
      <c r="G269">
        <f>_xlfn.XLOOKUP($A269,'EA-Fortescue_SDExport'!$A:$A,'EA-Fortescue_SDExport'!G:G)</f>
        <v>0</v>
      </c>
      <c r="H269" t="str">
        <f>_xlfn.XLOOKUP($A269,'EA-Fortescue_SDExport'!$A:$A,'EA-Fortescue_SDExport'!H:H)</f>
        <v>InterfaceBlock</v>
      </c>
      <c r="I269" t="str">
        <f>_xlfn.XLOOKUP($A269,'EA-Fortescue_SDExport'!$A:$A,'EA-Fortescue_SDExport'!I:I)</f>
        <v>SysML1.4::InterfaceBlock</v>
      </c>
      <c r="J269" t="str">
        <f>_xlfn.XLOOKUP($A269,'EA-Fortescue_SDExport'!$A:$A,'EA-Fortescue_SDExport'!J:J)</f>
        <v>Java</v>
      </c>
      <c r="K269" t="str">
        <f>_xlfn.XLOOKUP($A269,'EA-Fortescue_SDExport'!$A:$A,'EA-Fortescue_SDExport'!K:K)</f>
        <v>Admin</v>
      </c>
      <c r="L269" t="str">
        <f>_xlfn.XLOOKUP($A269,'EA-Fortescue_SDExport'!$A:$A,'EA-Fortescue_SDExport'!L:L)</f>
        <v>Public</v>
      </c>
      <c r="M269">
        <f>_xlfn.XLOOKUP($A269,'EA-Fortescue_SDExport'!$A:$A,'EA-Fortescue_SDExport'!M:M)</f>
        <v>0</v>
      </c>
      <c r="N269" t="str">
        <f>_xlfn.XLOOKUP($A269,InterfaceRegister!$A:$A,InterfaceRegister!K:K)</f>
        <v>Proposed</v>
      </c>
      <c r="O269">
        <f>_xlfn.XLOOKUP($A269,'EA-Fortescue_SDExport'!$A:$A,'EA-Fortescue_SDExport'!O:O)</f>
        <v>1</v>
      </c>
      <c r="P269">
        <f>_xlfn.XLOOKUP($A269,'EA-Fortescue_SDExport'!$A:$A,'EA-Fortescue_SDExport'!P:P)</f>
        <v>0</v>
      </c>
      <c r="Q269">
        <f>_xlfn.XLOOKUP($A269,'EA-Fortescue_SDExport'!$A:$A,'EA-Fortescue_SDExport'!Q:Q)</f>
        <v>0</v>
      </c>
      <c r="R269">
        <f>_xlfn.XLOOKUP($A269,'EA-Fortescue_SDExport'!$A:$A,'EA-Fortescue_SDExport'!R:R)</f>
        <v>0</v>
      </c>
      <c r="S269">
        <f>_xlfn.XLOOKUP($A269,'EA-Fortescue_SDExport'!$A:$A,'EA-Fortescue_SDExport'!S:S)</f>
        <v>0</v>
      </c>
      <c r="T269">
        <f>_xlfn.XLOOKUP($A269,'EA-Fortescue_SDExport'!$A:$A,'EA-Fortescue_SDExport'!T:T)</f>
        <v>0</v>
      </c>
      <c r="U269">
        <f>_xlfn.XLOOKUP($A269,'EA-Fortescue_SDExport'!$A:$A,'EA-Fortescue_SDExport'!U:U)</f>
        <v>45972.963368055556</v>
      </c>
      <c r="V269">
        <f>_xlfn.XLOOKUP($A269,'EA-Fortescue_SDExport'!$A:$A,'EA-Fortescue_SDExport'!V:V)</f>
        <v>46002.004999999997</v>
      </c>
      <c r="W269">
        <f>_xlfn.XLOOKUP($A269,'EA-Fortescue_SDExport'!$A:$A,'EA-Fortescue_SDExport'!W:W)</f>
        <v>0</v>
      </c>
      <c r="X269">
        <f>_xlfn.XLOOKUP($A269,'EA-Fortescue_SDExport'!$A:$A,'EA-Fortescue_SDExport'!X:X)</f>
        <v>0</v>
      </c>
      <c r="Y269">
        <f>_xlfn.XLOOKUP($A269,'EA-Fortescue_SDExport'!$A:$A,'EA-Fortescue_SDExport'!Y:Y)</f>
        <v>0</v>
      </c>
      <c r="Z269" t="str">
        <f>_xlfn.XLOOKUP($A269,'EA-Fortescue_SDExport'!$A:$A,'EA-Fortescue_SDExport'!Z:Z)</f>
        <v>SysML1.4::InterfaceBlock</v>
      </c>
      <c r="AA269" t="str">
        <f>_xlfn.XLOOKUP($A269,InterfaceRegister!$A:$A,InterfaceRegister!B:B)</f>
        <v>Solomon Mine Hub: Haulage|859DC-1410-001-002 HaulX Control (Autonomous Haulage System)</v>
      </c>
      <c r="AB269" t="str">
        <f>_xlfn.XLOOKUP($A269,InterfaceRegister!$A:$A,InterfaceRegister!C:C)</f>
        <v/>
      </c>
      <c r="AC269" t="str">
        <f>_xlfn.XLOOKUP($A269,InterfaceRegister!$A:$A,InterfaceRegister!D:D)</f>
        <v/>
      </c>
      <c r="AD269" t="str">
        <f>_xlfn.XLOOKUP($A269,InterfaceRegister!$A:$A,InterfaceRegister!E:E)</f>
        <v>System - Subsystem Interface</v>
      </c>
      <c r="AE269" t="str">
        <f>_xlfn.XLOOKUP($A269,InterfaceRegister!$A:$A,InterfaceRegister!F:F)</f>
        <v/>
      </c>
      <c r="AF269" t="str">
        <f>_xlfn.XLOOKUP($A269,InterfaceRegister!$A:$A,InterfaceRegister!L:L)</f>
        <v/>
      </c>
      <c r="AG269" t="str">
        <f>_xlfn.XLOOKUP($A269,InterfaceRegister!$A:$A,InterfaceRegister!M:M)</f>
        <v/>
      </c>
      <c r="AH269" t="str">
        <f>_xlfn.XLOOKUP($A269,InterfaceRegister!$A:$A,InterfaceRegister!O:O)</f>
        <v/>
      </c>
      <c r="AI269" t="str">
        <f>_xlfn.XLOOKUP($A269,InterfaceRegister!$A:$A,InterfaceRegister!N:N)</f>
        <v/>
      </c>
      <c r="AJ269" t="str">
        <f>_xlfn.XLOOKUP($A269,'EA-Fortescue_SDExport'!$A:$A,'EA-Fortescue_SDExport'!AX:AX)</f>
        <v>CSV68AD7778</v>
      </c>
      <c r="AK269">
        <f>_xlfn.XLOOKUP($A269,'EA-Fortescue_SDExport'!$A:$A,'EA-Fortescue_SDExport'!AY:AY)</f>
        <v>0</v>
      </c>
    </row>
    <row r="270" spans="1:37" x14ac:dyDescent="0.25">
      <c r="A270" t="str">
        <v>DGS-I_0269</v>
      </c>
      <c r="B270" t="str">
        <f>_xlfn.XLOOKUP($A270,'EA-Fortescue_SDExport'!$A:$A,'EA-Fortescue_SDExport'!B:B)</f>
        <v>Class</v>
      </c>
      <c r="C270" t="str">
        <f>_xlfn.XLOOKUP($A270,'EA-Fortescue_SDExport'!$A:$A,'EA-Fortescue_SDExport'!C:C)</f>
        <v>{1B8DA7EA-CEFC-4891-9FAE-CDCF91504B89}</v>
      </c>
      <c r="D270" t="str">
        <f>_xlfn.LET(_xlpm.result, _xlfn.XLOOKUP($A270, InterfaceRegister!$A:$A, InterfaceRegister!P:P), IF(_xlpm.result=0, "", _xlpm.result))</f>
        <v/>
      </c>
      <c r="E270">
        <f>_xlfn.XLOOKUP($A270,'EA-Fortescue_SDExport'!$A:$A,'EA-Fortescue_SDExport'!E:E)</f>
        <v>1</v>
      </c>
      <c r="F270">
        <f>_xlfn.XLOOKUP($A270,'EA-Fortescue_SDExport'!$A:$A,'EA-Fortescue_SDExport'!F:F)</f>
        <v>1</v>
      </c>
      <c r="G270">
        <f>_xlfn.XLOOKUP($A270,'EA-Fortescue_SDExport'!$A:$A,'EA-Fortescue_SDExport'!G:G)</f>
        <v>0</v>
      </c>
      <c r="H270" t="str">
        <f>_xlfn.XLOOKUP($A270,'EA-Fortescue_SDExport'!$A:$A,'EA-Fortescue_SDExport'!H:H)</f>
        <v>InterfaceBlock</v>
      </c>
      <c r="I270" t="str">
        <f>_xlfn.XLOOKUP($A270,'EA-Fortescue_SDExport'!$A:$A,'EA-Fortescue_SDExport'!I:I)</f>
        <v>SysML1.4::InterfaceBlock</v>
      </c>
      <c r="J270" t="str">
        <f>_xlfn.XLOOKUP($A270,'EA-Fortescue_SDExport'!$A:$A,'EA-Fortescue_SDExport'!J:J)</f>
        <v>Java</v>
      </c>
      <c r="K270" t="str">
        <f>_xlfn.XLOOKUP($A270,'EA-Fortescue_SDExport'!$A:$A,'EA-Fortescue_SDExport'!K:K)</f>
        <v>Admin</v>
      </c>
      <c r="L270" t="str">
        <f>_xlfn.XLOOKUP($A270,'EA-Fortescue_SDExport'!$A:$A,'EA-Fortescue_SDExport'!L:L)</f>
        <v>Public</v>
      </c>
      <c r="M270">
        <f>_xlfn.XLOOKUP($A270,'EA-Fortescue_SDExport'!$A:$A,'EA-Fortescue_SDExport'!M:M)</f>
        <v>0</v>
      </c>
      <c r="N270" t="str">
        <f>_xlfn.XLOOKUP($A270,InterfaceRegister!$A:$A,InterfaceRegister!K:K)</f>
        <v>Proposed</v>
      </c>
      <c r="O270">
        <f>_xlfn.XLOOKUP($A270,'EA-Fortescue_SDExport'!$A:$A,'EA-Fortescue_SDExport'!O:O)</f>
        <v>1</v>
      </c>
      <c r="P270">
        <f>_xlfn.XLOOKUP($A270,'EA-Fortescue_SDExport'!$A:$A,'EA-Fortescue_SDExport'!P:P)</f>
        <v>0</v>
      </c>
      <c r="Q270">
        <f>_xlfn.XLOOKUP($A270,'EA-Fortescue_SDExport'!$A:$A,'EA-Fortescue_SDExport'!Q:Q)</f>
        <v>0</v>
      </c>
      <c r="R270">
        <f>_xlfn.XLOOKUP($A270,'EA-Fortescue_SDExport'!$A:$A,'EA-Fortescue_SDExport'!R:R)</f>
        <v>0</v>
      </c>
      <c r="S270">
        <f>_xlfn.XLOOKUP($A270,'EA-Fortescue_SDExport'!$A:$A,'EA-Fortescue_SDExport'!S:S)</f>
        <v>0</v>
      </c>
      <c r="T270">
        <f>_xlfn.XLOOKUP($A270,'EA-Fortescue_SDExport'!$A:$A,'EA-Fortescue_SDExport'!T:T)</f>
        <v>0</v>
      </c>
      <c r="U270">
        <f>_xlfn.XLOOKUP($A270,'EA-Fortescue_SDExport'!$A:$A,'EA-Fortescue_SDExport'!U:U)</f>
        <v>45972.963414351849</v>
      </c>
      <c r="V270">
        <f>_xlfn.XLOOKUP($A270,'EA-Fortescue_SDExport'!$A:$A,'EA-Fortescue_SDExport'!V:V)</f>
        <v>46002.004976851851</v>
      </c>
      <c r="W270">
        <f>_xlfn.XLOOKUP($A270,'EA-Fortescue_SDExport'!$A:$A,'EA-Fortescue_SDExport'!W:W)</f>
        <v>0</v>
      </c>
      <c r="X270">
        <f>_xlfn.XLOOKUP($A270,'EA-Fortescue_SDExport'!$A:$A,'EA-Fortescue_SDExport'!X:X)</f>
        <v>0</v>
      </c>
      <c r="Y270">
        <f>_xlfn.XLOOKUP($A270,'EA-Fortescue_SDExport'!$A:$A,'EA-Fortescue_SDExport'!Y:Y)</f>
        <v>0</v>
      </c>
      <c r="Z270" t="str">
        <f>_xlfn.XLOOKUP($A270,'EA-Fortescue_SDExport'!$A:$A,'EA-Fortescue_SDExport'!Z:Z)</f>
        <v>SysML1.4::InterfaceBlock</v>
      </c>
      <c r="AA270" t="str">
        <f>_xlfn.XLOOKUP($A270,InterfaceRegister!$A:$A,InterfaceRegister!B:B)</f>
        <v>851DC-1592 Haulage|859DC-1410-001-001 HaulX Dispatch (Fleet Management System (FMS))</v>
      </c>
      <c r="AB270" t="str">
        <f>_xlfn.XLOOKUP($A270,InterfaceRegister!$A:$A,InterfaceRegister!C:C)</f>
        <v/>
      </c>
      <c r="AC270" t="str">
        <f>_xlfn.XLOOKUP($A270,InterfaceRegister!$A:$A,InterfaceRegister!D:D)</f>
        <v/>
      </c>
      <c r="AD270" t="str">
        <f>_xlfn.XLOOKUP($A270,InterfaceRegister!$A:$A,InterfaceRegister!E:E)</f>
        <v>System - Subsystem Interface</v>
      </c>
      <c r="AE270" t="str">
        <f>_xlfn.XLOOKUP($A270,InterfaceRegister!$A:$A,InterfaceRegister!F:F)</f>
        <v>Technical-Data/Software</v>
      </c>
      <c r="AF270" t="str">
        <f>_xlfn.XLOOKUP($A270,InterfaceRegister!$A:$A,InterfaceRegister!L:L)</f>
        <v>This interface allows Haulage to exchange operational parameters, routing intentions, and fleet-level decisions with HaulX Dispatch to ensure that trucks are dispatched effectively and aligned with production needs.</v>
      </c>
      <c r="AG270" t="str">
        <f>_xlfn.XLOOKUP($A270,InterfaceRegister!$A:$A,InterfaceRegister!M:M)</f>
        <v>HIGH</v>
      </c>
      <c r="AH270" t="str">
        <f>_xlfn.XLOOKUP($A270,InterfaceRegister!$A:$A,InterfaceRegister!O:O)</f>
        <v>Data Flow:_x000D_
Haulage System (851DC-1592) -&gt; HaulX Dispatch (859DC-1410-001), transmitting production targets, routing intentions, assignment rules, fleet priorities, and operational constraints to align dispatch logic with mine plans._x000D_
HaulX Dispatch -&gt; Haulage System, providing truck allocations, task execution status, mission progress, queue states, cycle performance metrics, and exception notifications to maintain coordination and production visibility._x000D_
Control Flow:_x000D_
HaulX Dispatch issues assignment and routing instructions to Heavy Mobile Equipment (HME), ensuring autonomous or assisted haulage movements comply with production schedules and traffic management logic.</v>
      </c>
      <c r="AI270" t="str">
        <f>_xlfn.XLOOKUP($A270,InterfaceRegister!$A:$A,InterfaceRegister!N:N)</f>
        <v>The criticality level is HIGH because dispatch is a vital operational system. Losing this interface disrupts haul assignment flows and production coordination, causing haulage operations to slow down or become fragmented.</v>
      </c>
      <c r="AJ270" t="str">
        <f>_xlfn.XLOOKUP($A270,'EA-Fortescue_SDExport'!$A:$A,'EA-Fortescue_SDExport'!AX:AX)</f>
        <v>CSV1D720D80</v>
      </c>
      <c r="AK270">
        <f>_xlfn.XLOOKUP($A270,'EA-Fortescue_SDExport'!$A:$A,'EA-Fortescue_SDExport'!AY:AY)</f>
        <v>0</v>
      </c>
    </row>
    <row r="271" spans="1:37" x14ac:dyDescent="0.25">
      <c r="A271" t="str">
        <v>DGS-I_0270</v>
      </c>
      <c r="B271" t="str">
        <f>_xlfn.XLOOKUP($A271,'EA-Fortescue_SDExport'!$A:$A,'EA-Fortescue_SDExport'!B:B)</f>
        <v>Class</v>
      </c>
      <c r="C271" t="str">
        <f>_xlfn.XLOOKUP($A271,'EA-Fortescue_SDExport'!$A:$A,'EA-Fortescue_SDExport'!C:C)</f>
        <v>{4F858472-528A-44e1-B40F-F889F41A9479}</v>
      </c>
      <c r="D271" t="str">
        <f>_xlfn.LET(_xlpm.result, _xlfn.XLOOKUP($A271, InterfaceRegister!$A:$A, InterfaceRegister!P:P), IF(_xlpm.result=0, "", _xlpm.result))</f>
        <v/>
      </c>
      <c r="E271">
        <f>_xlfn.XLOOKUP($A271,'EA-Fortescue_SDExport'!$A:$A,'EA-Fortescue_SDExport'!E:E)</f>
        <v>1</v>
      </c>
      <c r="F271">
        <f>_xlfn.XLOOKUP($A271,'EA-Fortescue_SDExport'!$A:$A,'EA-Fortescue_SDExport'!F:F)</f>
        <v>1</v>
      </c>
      <c r="G271">
        <f>_xlfn.XLOOKUP($A271,'EA-Fortescue_SDExport'!$A:$A,'EA-Fortescue_SDExport'!G:G)</f>
        <v>0</v>
      </c>
      <c r="H271" t="str">
        <f>_xlfn.XLOOKUP($A271,'EA-Fortescue_SDExport'!$A:$A,'EA-Fortescue_SDExport'!H:H)</f>
        <v>InterfaceBlock</v>
      </c>
      <c r="I271" t="str">
        <f>_xlfn.XLOOKUP($A271,'EA-Fortescue_SDExport'!$A:$A,'EA-Fortescue_SDExport'!I:I)</f>
        <v>SysML1.4::InterfaceBlock</v>
      </c>
      <c r="J271" t="str">
        <f>_xlfn.XLOOKUP($A271,'EA-Fortescue_SDExport'!$A:$A,'EA-Fortescue_SDExport'!J:J)</f>
        <v>Java</v>
      </c>
      <c r="K271" t="str">
        <f>_xlfn.XLOOKUP($A271,'EA-Fortescue_SDExport'!$A:$A,'EA-Fortescue_SDExport'!K:K)</f>
        <v>Admin</v>
      </c>
      <c r="L271" t="str">
        <f>_xlfn.XLOOKUP($A271,'EA-Fortescue_SDExport'!$A:$A,'EA-Fortescue_SDExport'!L:L)</f>
        <v>Public</v>
      </c>
      <c r="M271">
        <f>_xlfn.XLOOKUP($A271,'EA-Fortescue_SDExport'!$A:$A,'EA-Fortescue_SDExport'!M:M)</f>
        <v>0</v>
      </c>
      <c r="N271" t="str">
        <f>_xlfn.XLOOKUP($A271,InterfaceRegister!$A:$A,InterfaceRegister!K:K)</f>
        <v>Proposed</v>
      </c>
      <c r="O271">
        <f>_xlfn.XLOOKUP($A271,'EA-Fortescue_SDExport'!$A:$A,'EA-Fortescue_SDExport'!O:O)</f>
        <v>1</v>
      </c>
      <c r="P271">
        <f>_xlfn.XLOOKUP($A271,'EA-Fortescue_SDExport'!$A:$A,'EA-Fortescue_SDExport'!P:P)</f>
        <v>0</v>
      </c>
      <c r="Q271">
        <f>_xlfn.XLOOKUP($A271,'EA-Fortescue_SDExport'!$A:$A,'EA-Fortescue_SDExport'!Q:Q)</f>
        <v>0</v>
      </c>
      <c r="R271">
        <f>_xlfn.XLOOKUP($A271,'EA-Fortescue_SDExport'!$A:$A,'EA-Fortescue_SDExport'!R:R)</f>
        <v>0</v>
      </c>
      <c r="S271">
        <f>_xlfn.XLOOKUP($A271,'EA-Fortescue_SDExport'!$A:$A,'EA-Fortescue_SDExport'!S:S)</f>
        <v>0</v>
      </c>
      <c r="T271">
        <f>_xlfn.XLOOKUP($A271,'EA-Fortescue_SDExport'!$A:$A,'EA-Fortescue_SDExport'!T:T)</f>
        <v>0</v>
      </c>
      <c r="U271">
        <f>_xlfn.XLOOKUP($A271,'EA-Fortescue_SDExport'!$A:$A,'EA-Fortescue_SDExport'!U:U)</f>
        <v>45973.60560185185</v>
      </c>
      <c r="V271">
        <f>_xlfn.XLOOKUP($A271,'EA-Fortescue_SDExport'!$A:$A,'EA-Fortescue_SDExport'!V:V)</f>
        <v>46002.004965277774</v>
      </c>
      <c r="W271">
        <f>_xlfn.XLOOKUP($A271,'EA-Fortescue_SDExport'!$A:$A,'EA-Fortescue_SDExport'!W:W)</f>
        <v>0</v>
      </c>
      <c r="X271">
        <f>_xlfn.XLOOKUP($A271,'EA-Fortescue_SDExport'!$A:$A,'EA-Fortescue_SDExport'!X:X)</f>
        <v>0</v>
      </c>
      <c r="Y271">
        <f>_xlfn.XLOOKUP($A271,'EA-Fortescue_SDExport'!$A:$A,'EA-Fortescue_SDExport'!Y:Y)</f>
        <v>0</v>
      </c>
      <c r="Z271" t="str">
        <f>_xlfn.XLOOKUP($A271,'EA-Fortescue_SDExport'!$A:$A,'EA-Fortescue_SDExport'!Z:Z)</f>
        <v>SysML1.4::InterfaceBlock</v>
      </c>
      <c r="AA271" t="str">
        <f>_xlfn.XLOOKUP($A271,InterfaceRegister!$A:$A,InterfaceRegister!B:B)</f>
        <v>859DC-1410-001-001 HaulX Dispatch (Fleet Management System (FMS))|Solomon Mine Hub: Haulage</v>
      </c>
      <c r="AB271" t="str">
        <f>_xlfn.XLOOKUP($A271,InterfaceRegister!$A:$A,InterfaceRegister!C:C)</f>
        <v/>
      </c>
      <c r="AC271" t="str">
        <f>_xlfn.XLOOKUP($A271,InterfaceRegister!$A:$A,InterfaceRegister!D:D)</f>
        <v/>
      </c>
      <c r="AD271" t="str">
        <f>_xlfn.XLOOKUP($A271,InterfaceRegister!$A:$A,InterfaceRegister!E:E)</f>
        <v>System - Subsystem Interface</v>
      </c>
      <c r="AE271" t="str">
        <f>_xlfn.XLOOKUP($A271,InterfaceRegister!$A:$A,InterfaceRegister!F:F)</f>
        <v/>
      </c>
      <c r="AF271" t="str">
        <f>_xlfn.XLOOKUP($A271,InterfaceRegister!$A:$A,InterfaceRegister!L:L)</f>
        <v/>
      </c>
      <c r="AG271" t="str">
        <f>_xlfn.XLOOKUP($A271,InterfaceRegister!$A:$A,InterfaceRegister!M:M)</f>
        <v/>
      </c>
      <c r="AH271" t="str">
        <f>_xlfn.XLOOKUP($A271,InterfaceRegister!$A:$A,InterfaceRegister!O:O)</f>
        <v/>
      </c>
      <c r="AI271" t="str">
        <f>_xlfn.XLOOKUP($A271,InterfaceRegister!$A:$A,InterfaceRegister!N:N)</f>
        <v/>
      </c>
      <c r="AJ271" t="str">
        <f>_xlfn.XLOOKUP($A271,'EA-Fortescue_SDExport'!$A:$A,'EA-Fortescue_SDExport'!AX:AX)</f>
        <v>CSV30EAA634</v>
      </c>
      <c r="AK271">
        <f>_xlfn.XLOOKUP($A271,'EA-Fortescue_SDExport'!$A:$A,'EA-Fortescue_SDExport'!AY:AY)</f>
        <v>0</v>
      </c>
    </row>
    <row r="272" spans="1:37" x14ac:dyDescent="0.25">
      <c r="A272" t="str">
        <v>DGS-I_0271</v>
      </c>
      <c r="B272" t="str">
        <f>_xlfn.XLOOKUP($A272,'EA-Fortescue_SDExport'!$A:$A,'EA-Fortescue_SDExport'!B:B)</f>
        <v>Class</v>
      </c>
      <c r="C272" t="str">
        <f>_xlfn.XLOOKUP($A272,'EA-Fortescue_SDExport'!$A:$A,'EA-Fortescue_SDExport'!C:C)</f>
        <v>{6D6AA2F2-E312-477f-9250-A90A797CDBF2}</v>
      </c>
      <c r="D272" t="str">
        <f>_xlfn.LET(_xlpm.result, _xlfn.XLOOKUP($A272, InterfaceRegister!$A:$A, InterfaceRegister!P:P), IF(_xlpm.result=0, "", _xlpm.result))</f>
        <v/>
      </c>
      <c r="E272">
        <f>_xlfn.XLOOKUP($A272,'EA-Fortescue_SDExport'!$A:$A,'EA-Fortescue_SDExport'!E:E)</f>
        <v>1</v>
      </c>
      <c r="F272">
        <f>_xlfn.XLOOKUP($A272,'EA-Fortescue_SDExport'!$A:$A,'EA-Fortescue_SDExport'!F:F)</f>
        <v>1</v>
      </c>
      <c r="G272">
        <f>_xlfn.XLOOKUP($A272,'EA-Fortescue_SDExport'!$A:$A,'EA-Fortescue_SDExport'!G:G)</f>
        <v>0</v>
      </c>
      <c r="H272" t="str">
        <f>_xlfn.XLOOKUP($A272,'EA-Fortescue_SDExport'!$A:$A,'EA-Fortescue_SDExport'!H:H)</f>
        <v>InterfaceBlock</v>
      </c>
      <c r="I272" t="str">
        <f>_xlfn.XLOOKUP($A272,'EA-Fortescue_SDExport'!$A:$A,'EA-Fortescue_SDExport'!I:I)</f>
        <v>SysML1.4::InterfaceBlock</v>
      </c>
      <c r="J272" t="str">
        <f>_xlfn.XLOOKUP($A272,'EA-Fortescue_SDExport'!$A:$A,'EA-Fortescue_SDExport'!J:J)</f>
        <v>Java</v>
      </c>
      <c r="K272" t="str">
        <f>_xlfn.XLOOKUP($A272,'EA-Fortescue_SDExport'!$A:$A,'EA-Fortescue_SDExport'!K:K)</f>
        <v>Admin</v>
      </c>
      <c r="L272" t="str">
        <f>_xlfn.XLOOKUP($A272,'EA-Fortescue_SDExport'!$A:$A,'EA-Fortescue_SDExport'!L:L)</f>
        <v>Public</v>
      </c>
      <c r="M272">
        <f>_xlfn.XLOOKUP($A272,'EA-Fortescue_SDExport'!$A:$A,'EA-Fortescue_SDExport'!M:M)</f>
        <v>0</v>
      </c>
      <c r="N272" t="str">
        <f>_xlfn.XLOOKUP($A272,InterfaceRegister!$A:$A,InterfaceRegister!K:K)</f>
        <v>Proposed</v>
      </c>
      <c r="O272">
        <f>_xlfn.XLOOKUP($A272,'EA-Fortescue_SDExport'!$A:$A,'EA-Fortescue_SDExport'!O:O)</f>
        <v>1</v>
      </c>
      <c r="P272">
        <f>_xlfn.XLOOKUP($A272,'EA-Fortescue_SDExport'!$A:$A,'EA-Fortescue_SDExport'!P:P)</f>
        <v>0</v>
      </c>
      <c r="Q272">
        <f>_xlfn.XLOOKUP($A272,'EA-Fortescue_SDExport'!$A:$A,'EA-Fortescue_SDExport'!Q:Q)</f>
        <v>0</v>
      </c>
      <c r="R272">
        <f>_xlfn.XLOOKUP($A272,'EA-Fortescue_SDExport'!$A:$A,'EA-Fortescue_SDExport'!R:R)</f>
        <v>0</v>
      </c>
      <c r="S272">
        <f>_xlfn.XLOOKUP($A272,'EA-Fortescue_SDExport'!$A:$A,'EA-Fortescue_SDExport'!S:S)</f>
        <v>0</v>
      </c>
      <c r="T272">
        <f>_xlfn.XLOOKUP($A272,'EA-Fortescue_SDExport'!$A:$A,'EA-Fortescue_SDExport'!T:T)</f>
        <v>0</v>
      </c>
      <c r="U272">
        <f>_xlfn.XLOOKUP($A272,'EA-Fortescue_SDExport'!$A:$A,'EA-Fortescue_SDExport'!U:U)</f>
        <v>45973.605879629627</v>
      </c>
      <c r="V272">
        <f>_xlfn.XLOOKUP($A272,'EA-Fortescue_SDExport'!$A:$A,'EA-Fortescue_SDExport'!V:V)</f>
        <v>46002.004988425928</v>
      </c>
      <c r="W272">
        <f>_xlfn.XLOOKUP($A272,'EA-Fortescue_SDExport'!$A:$A,'EA-Fortescue_SDExport'!W:W)</f>
        <v>0</v>
      </c>
      <c r="X272">
        <f>_xlfn.XLOOKUP($A272,'EA-Fortescue_SDExport'!$A:$A,'EA-Fortescue_SDExport'!X:X)</f>
        <v>0</v>
      </c>
      <c r="Y272">
        <f>_xlfn.XLOOKUP($A272,'EA-Fortescue_SDExport'!$A:$A,'EA-Fortescue_SDExport'!Y:Y)</f>
        <v>0</v>
      </c>
      <c r="Z272" t="str">
        <f>_xlfn.XLOOKUP($A272,'EA-Fortescue_SDExport'!$A:$A,'EA-Fortescue_SDExport'!Z:Z)</f>
        <v>SysML1.4::InterfaceBlock</v>
      </c>
      <c r="AA272" t="str">
        <f>_xlfn.XLOOKUP($A272,InterfaceRegister!$A:$A,InterfaceRegister!B:B)</f>
        <v>859DC-1410-001-003 HaulX Precision (High Precision Machine Guidance)|Solomon Mine Hub: Drill Rig</v>
      </c>
      <c r="AB272" t="str">
        <f>_xlfn.XLOOKUP($A272,InterfaceRegister!$A:$A,InterfaceRegister!C:C)</f>
        <v/>
      </c>
      <c r="AC272" t="str">
        <f>_xlfn.XLOOKUP($A272,InterfaceRegister!$A:$A,InterfaceRegister!D:D)</f>
        <v/>
      </c>
      <c r="AD272" t="str">
        <f>_xlfn.XLOOKUP($A272,InterfaceRegister!$A:$A,InterfaceRegister!E:E)</f>
        <v>System - Subsystem Interface</v>
      </c>
      <c r="AE272" t="str">
        <f>_xlfn.XLOOKUP($A272,InterfaceRegister!$A:$A,InterfaceRegister!F:F)</f>
        <v/>
      </c>
      <c r="AF272" t="str">
        <f>_xlfn.XLOOKUP($A272,InterfaceRegister!$A:$A,InterfaceRegister!L:L)</f>
        <v/>
      </c>
      <c r="AG272" t="str">
        <f>_xlfn.XLOOKUP($A272,InterfaceRegister!$A:$A,InterfaceRegister!M:M)</f>
        <v/>
      </c>
      <c r="AH272" t="str">
        <f>_xlfn.XLOOKUP($A272,InterfaceRegister!$A:$A,InterfaceRegister!O:O)</f>
        <v/>
      </c>
      <c r="AI272" t="str">
        <f>_xlfn.XLOOKUP($A272,InterfaceRegister!$A:$A,InterfaceRegister!N:N)</f>
        <v/>
      </c>
      <c r="AJ272" t="str">
        <f>_xlfn.XLOOKUP($A272,'EA-Fortescue_SDExport'!$A:$A,'EA-Fortescue_SDExport'!AX:AX)</f>
        <v>CSVA61BD36A</v>
      </c>
      <c r="AK272">
        <f>_xlfn.XLOOKUP($A272,'EA-Fortescue_SDExport'!$A:$A,'EA-Fortescue_SDExport'!AY:AY)</f>
        <v>0</v>
      </c>
    </row>
    <row r="273" spans="1:37" x14ac:dyDescent="0.25">
      <c r="A273" t="str">
        <v>DGS-I_0272</v>
      </c>
      <c r="B273" t="str">
        <f>_xlfn.XLOOKUP($A273,'EA-Fortescue_SDExport'!$A:$A,'EA-Fortescue_SDExport'!B:B)</f>
        <v>Class</v>
      </c>
      <c r="C273" t="str">
        <f>_xlfn.XLOOKUP($A273,'EA-Fortescue_SDExport'!$A:$A,'EA-Fortescue_SDExport'!C:C)</f>
        <v>{BA9227BA-2F29-4f5c-AB1F-F0D38E437FEF}</v>
      </c>
      <c r="D273" t="str">
        <f>_xlfn.LET(_xlpm.result, _xlfn.XLOOKUP($A273, InterfaceRegister!$A:$A, InterfaceRegister!P:P), IF(_xlpm.result=0, "", _xlpm.result))</f>
        <v/>
      </c>
      <c r="E273">
        <f>_xlfn.XLOOKUP($A273,'EA-Fortescue_SDExport'!$A:$A,'EA-Fortescue_SDExport'!E:E)</f>
        <v>1</v>
      </c>
      <c r="F273">
        <f>_xlfn.XLOOKUP($A273,'EA-Fortescue_SDExport'!$A:$A,'EA-Fortescue_SDExport'!F:F)</f>
        <v>1</v>
      </c>
      <c r="G273">
        <f>_xlfn.XLOOKUP($A273,'EA-Fortescue_SDExport'!$A:$A,'EA-Fortescue_SDExport'!G:G)</f>
        <v>0</v>
      </c>
      <c r="H273" t="str">
        <f>_xlfn.XLOOKUP($A273,'EA-Fortescue_SDExport'!$A:$A,'EA-Fortescue_SDExport'!H:H)</f>
        <v>InterfaceBlock</v>
      </c>
      <c r="I273" t="str">
        <f>_xlfn.XLOOKUP($A273,'EA-Fortescue_SDExport'!$A:$A,'EA-Fortescue_SDExport'!I:I)</f>
        <v>SysML1.4::InterfaceBlock</v>
      </c>
      <c r="J273" t="str">
        <f>_xlfn.XLOOKUP($A273,'EA-Fortescue_SDExport'!$A:$A,'EA-Fortescue_SDExport'!J:J)</f>
        <v>Java</v>
      </c>
      <c r="K273" t="str">
        <f>_xlfn.XLOOKUP($A273,'EA-Fortescue_SDExport'!$A:$A,'EA-Fortescue_SDExport'!K:K)</f>
        <v>Admin</v>
      </c>
      <c r="L273" t="str">
        <f>_xlfn.XLOOKUP($A273,'EA-Fortescue_SDExport'!$A:$A,'EA-Fortescue_SDExport'!L:L)</f>
        <v>Public</v>
      </c>
      <c r="M273">
        <f>_xlfn.XLOOKUP($A273,'EA-Fortescue_SDExport'!$A:$A,'EA-Fortescue_SDExport'!M:M)</f>
        <v>0</v>
      </c>
      <c r="N273" t="str">
        <f>_xlfn.XLOOKUP($A273,InterfaceRegister!$A:$A,InterfaceRegister!K:K)</f>
        <v>Proposed</v>
      </c>
      <c r="O273">
        <f>_xlfn.XLOOKUP($A273,'EA-Fortescue_SDExport'!$A:$A,'EA-Fortescue_SDExport'!O:O)</f>
        <v>1</v>
      </c>
      <c r="P273">
        <f>_xlfn.XLOOKUP($A273,'EA-Fortescue_SDExport'!$A:$A,'EA-Fortescue_SDExport'!P:P)</f>
        <v>0</v>
      </c>
      <c r="Q273">
        <f>_xlfn.XLOOKUP($A273,'EA-Fortescue_SDExport'!$A:$A,'EA-Fortescue_SDExport'!Q:Q)</f>
        <v>0</v>
      </c>
      <c r="R273">
        <f>_xlfn.XLOOKUP($A273,'EA-Fortescue_SDExport'!$A:$A,'EA-Fortescue_SDExport'!R:R)</f>
        <v>0</v>
      </c>
      <c r="S273">
        <f>_xlfn.XLOOKUP($A273,'EA-Fortescue_SDExport'!$A:$A,'EA-Fortescue_SDExport'!S:S)</f>
        <v>0</v>
      </c>
      <c r="T273">
        <f>_xlfn.XLOOKUP($A273,'EA-Fortescue_SDExport'!$A:$A,'EA-Fortescue_SDExport'!T:T)</f>
        <v>0</v>
      </c>
      <c r="U273">
        <f>_xlfn.XLOOKUP($A273,'EA-Fortescue_SDExport'!$A:$A,'EA-Fortescue_SDExport'!U:U)</f>
        <v>45973.605925925927</v>
      </c>
      <c r="V273">
        <f>_xlfn.XLOOKUP($A273,'EA-Fortescue_SDExport'!$A:$A,'EA-Fortescue_SDExport'!V:V)</f>
        <v>46002.004965277774</v>
      </c>
      <c r="W273">
        <f>_xlfn.XLOOKUP($A273,'EA-Fortescue_SDExport'!$A:$A,'EA-Fortescue_SDExport'!W:W)</f>
        <v>0</v>
      </c>
      <c r="X273">
        <f>_xlfn.XLOOKUP($A273,'EA-Fortescue_SDExport'!$A:$A,'EA-Fortescue_SDExport'!X:X)</f>
        <v>0</v>
      </c>
      <c r="Y273">
        <f>_xlfn.XLOOKUP($A273,'EA-Fortescue_SDExport'!$A:$A,'EA-Fortescue_SDExport'!Y:Y)</f>
        <v>0</v>
      </c>
      <c r="Z273" t="str">
        <f>_xlfn.XLOOKUP($A273,'EA-Fortescue_SDExport'!$A:$A,'EA-Fortescue_SDExport'!Z:Z)</f>
        <v>SysML1.4::InterfaceBlock</v>
      </c>
      <c r="AA273" t="str">
        <f>_xlfn.XLOOKUP($A273,InterfaceRegister!$A:$A,InterfaceRegister!B:B)</f>
        <v>859DC-1410-001-003 HaulX Precision (High Precision Machine Guidance)|Solomon Mine Hub: Heavy Mobile Equipment (HME)</v>
      </c>
      <c r="AB273" t="str">
        <f>_xlfn.XLOOKUP($A273,InterfaceRegister!$A:$A,InterfaceRegister!C:C)</f>
        <v/>
      </c>
      <c r="AC273" t="str">
        <f>_xlfn.XLOOKUP($A273,InterfaceRegister!$A:$A,InterfaceRegister!D:D)</f>
        <v/>
      </c>
      <c r="AD273" t="str">
        <f>_xlfn.XLOOKUP($A273,InterfaceRegister!$A:$A,InterfaceRegister!E:E)</f>
        <v>Program - Subsystem Interface</v>
      </c>
      <c r="AE273" t="str">
        <f>_xlfn.XLOOKUP($A273,InterfaceRegister!$A:$A,InterfaceRegister!F:F)</f>
        <v/>
      </c>
      <c r="AF273" t="str">
        <f>_xlfn.XLOOKUP($A273,InterfaceRegister!$A:$A,InterfaceRegister!L:L)</f>
        <v/>
      </c>
      <c r="AG273" t="str">
        <f>_xlfn.XLOOKUP($A273,InterfaceRegister!$A:$A,InterfaceRegister!M:M)</f>
        <v/>
      </c>
      <c r="AH273" t="str">
        <f>_xlfn.XLOOKUP($A273,InterfaceRegister!$A:$A,InterfaceRegister!O:O)</f>
        <v/>
      </c>
      <c r="AI273" t="str">
        <f>_xlfn.XLOOKUP($A273,InterfaceRegister!$A:$A,InterfaceRegister!N:N)</f>
        <v/>
      </c>
      <c r="AJ273" t="str">
        <f>_xlfn.XLOOKUP($A273,'EA-Fortescue_SDExport'!$A:$A,'EA-Fortescue_SDExport'!AX:AX)</f>
        <v>CSV405E7C43</v>
      </c>
      <c r="AK273">
        <f>_xlfn.XLOOKUP($A273,'EA-Fortescue_SDExport'!$A:$A,'EA-Fortescue_SDExport'!AY:AY)</f>
        <v>0</v>
      </c>
    </row>
    <row r="274" spans="1:37" x14ac:dyDescent="0.25">
      <c r="A274" t="str">
        <v>DGS-I_0273</v>
      </c>
      <c r="B274" t="str">
        <f>_xlfn.XLOOKUP($A274,'EA-Fortescue_SDExport'!$A:$A,'EA-Fortescue_SDExport'!B:B)</f>
        <v>Class</v>
      </c>
      <c r="C274" t="str">
        <f>_xlfn.XLOOKUP($A274,'EA-Fortescue_SDExport'!$A:$A,'EA-Fortescue_SDExport'!C:C)</f>
        <v>{27E9978E-64A4-4a4c-87A6-F55733F8C9E3}</v>
      </c>
      <c r="D274" t="str">
        <f>_xlfn.LET(_xlpm.result, _xlfn.XLOOKUP($A274, InterfaceRegister!$A:$A, InterfaceRegister!P:P), IF(_xlpm.result=0, "", _xlpm.result))</f>
        <v/>
      </c>
      <c r="E274">
        <f>_xlfn.XLOOKUP($A274,'EA-Fortescue_SDExport'!$A:$A,'EA-Fortescue_SDExport'!E:E)</f>
        <v>1</v>
      </c>
      <c r="F274">
        <f>_xlfn.XLOOKUP($A274,'EA-Fortescue_SDExport'!$A:$A,'EA-Fortescue_SDExport'!F:F)</f>
        <v>1</v>
      </c>
      <c r="G274">
        <f>_xlfn.XLOOKUP($A274,'EA-Fortescue_SDExport'!$A:$A,'EA-Fortescue_SDExport'!G:G)</f>
        <v>0</v>
      </c>
      <c r="H274" t="str">
        <f>_xlfn.XLOOKUP($A274,'EA-Fortescue_SDExport'!$A:$A,'EA-Fortescue_SDExport'!H:H)</f>
        <v>InterfaceBlock</v>
      </c>
      <c r="I274" t="str">
        <f>_xlfn.XLOOKUP($A274,'EA-Fortescue_SDExport'!$A:$A,'EA-Fortescue_SDExport'!I:I)</f>
        <v>SysML1.4::InterfaceBlock</v>
      </c>
      <c r="J274" t="str">
        <f>_xlfn.XLOOKUP($A274,'EA-Fortescue_SDExport'!$A:$A,'EA-Fortescue_SDExport'!J:J)</f>
        <v>Java</v>
      </c>
      <c r="K274" t="str">
        <f>_xlfn.XLOOKUP($A274,'EA-Fortescue_SDExport'!$A:$A,'EA-Fortescue_SDExport'!K:K)</f>
        <v>Admin</v>
      </c>
      <c r="L274" t="str">
        <f>_xlfn.XLOOKUP($A274,'EA-Fortescue_SDExport'!$A:$A,'EA-Fortescue_SDExport'!L:L)</f>
        <v>Public</v>
      </c>
      <c r="M274">
        <f>_xlfn.XLOOKUP($A274,'EA-Fortescue_SDExport'!$A:$A,'EA-Fortescue_SDExport'!M:M)</f>
        <v>0</v>
      </c>
      <c r="N274" t="str">
        <f>_xlfn.XLOOKUP($A274,InterfaceRegister!$A:$A,InterfaceRegister!K:K)</f>
        <v>Proposed</v>
      </c>
      <c r="O274">
        <f>_xlfn.XLOOKUP($A274,'EA-Fortescue_SDExport'!$A:$A,'EA-Fortescue_SDExport'!O:O)</f>
        <v>1</v>
      </c>
      <c r="P274">
        <f>_xlfn.XLOOKUP($A274,'EA-Fortescue_SDExport'!$A:$A,'EA-Fortescue_SDExport'!P:P)</f>
        <v>0</v>
      </c>
      <c r="Q274">
        <f>_xlfn.XLOOKUP($A274,'EA-Fortescue_SDExport'!$A:$A,'EA-Fortescue_SDExport'!Q:Q)</f>
        <v>0</v>
      </c>
      <c r="R274">
        <f>_xlfn.XLOOKUP($A274,'EA-Fortescue_SDExport'!$A:$A,'EA-Fortescue_SDExport'!R:R)</f>
        <v>0</v>
      </c>
      <c r="S274">
        <f>_xlfn.XLOOKUP($A274,'EA-Fortescue_SDExport'!$A:$A,'EA-Fortescue_SDExport'!S:S)</f>
        <v>0</v>
      </c>
      <c r="T274">
        <f>_xlfn.XLOOKUP($A274,'EA-Fortescue_SDExport'!$A:$A,'EA-Fortescue_SDExport'!T:T)</f>
        <v>0</v>
      </c>
      <c r="U274">
        <f>_xlfn.XLOOKUP($A274,'EA-Fortescue_SDExport'!$A:$A,'EA-Fortescue_SDExport'!U:U)</f>
        <v>45973.60596064815</v>
      </c>
      <c r="V274">
        <f>_xlfn.XLOOKUP($A274,'EA-Fortescue_SDExport'!$A:$A,'EA-Fortescue_SDExport'!V:V)</f>
        <v>46002.004953703705</v>
      </c>
      <c r="W274">
        <f>_xlfn.XLOOKUP($A274,'EA-Fortescue_SDExport'!$A:$A,'EA-Fortescue_SDExport'!W:W)</f>
        <v>0</v>
      </c>
      <c r="X274">
        <f>_xlfn.XLOOKUP($A274,'EA-Fortescue_SDExport'!$A:$A,'EA-Fortescue_SDExport'!X:X)</f>
        <v>0</v>
      </c>
      <c r="Y274">
        <f>_xlfn.XLOOKUP($A274,'EA-Fortescue_SDExport'!$A:$A,'EA-Fortescue_SDExport'!Y:Y)</f>
        <v>0</v>
      </c>
      <c r="Z274" t="str">
        <f>_xlfn.XLOOKUP($A274,'EA-Fortescue_SDExport'!$A:$A,'EA-Fortescue_SDExport'!Z:Z)</f>
        <v>SysML1.4::InterfaceBlock</v>
      </c>
      <c r="AA274" t="str">
        <f>_xlfn.XLOOKUP($A274,InterfaceRegister!$A:$A,InterfaceRegister!B:B)</f>
        <v>Solomon Mine Hub: Heavy Mobile Equipment (HME)|859DC-1410-001-004 HaulX Shield (Collision Avoidance System)</v>
      </c>
      <c r="AB274" t="str">
        <f>_xlfn.XLOOKUP($A274,InterfaceRegister!$A:$A,InterfaceRegister!C:C)</f>
        <v/>
      </c>
      <c r="AC274" t="str">
        <f>_xlfn.XLOOKUP($A274,InterfaceRegister!$A:$A,InterfaceRegister!D:D)</f>
        <v/>
      </c>
      <c r="AD274" t="str">
        <f>_xlfn.XLOOKUP($A274,InterfaceRegister!$A:$A,InterfaceRegister!E:E)</f>
        <v>Program - Subsystem Interface</v>
      </c>
      <c r="AE274" t="str">
        <f>_xlfn.XLOOKUP($A274,InterfaceRegister!$A:$A,InterfaceRegister!F:F)</f>
        <v/>
      </c>
      <c r="AF274" t="str">
        <f>_xlfn.XLOOKUP($A274,InterfaceRegister!$A:$A,InterfaceRegister!L:L)</f>
        <v/>
      </c>
      <c r="AG274" t="str">
        <f>_xlfn.XLOOKUP($A274,InterfaceRegister!$A:$A,InterfaceRegister!M:M)</f>
        <v/>
      </c>
      <c r="AH274" t="str">
        <f>_xlfn.XLOOKUP($A274,InterfaceRegister!$A:$A,InterfaceRegister!O:O)</f>
        <v/>
      </c>
      <c r="AI274" t="str">
        <f>_xlfn.XLOOKUP($A274,InterfaceRegister!$A:$A,InterfaceRegister!N:N)</f>
        <v/>
      </c>
      <c r="AJ274" t="str">
        <f>_xlfn.XLOOKUP($A274,'EA-Fortescue_SDExport'!$A:$A,'EA-Fortescue_SDExport'!AX:AX)</f>
        <v>CSV2314188B</v>
      </c>
      <c r="AK274">
        <f>_xlfn.XLOOKUP($A274,'EA-Fortescue_SDExport'!$A:$A,'EA-Fortescue_SDExport'!AY:AY)</f>
        <v>0</v>
      </c>
    </row>
    <row r="275" spans="1:37" x14ac:dyDescent="0.25">
      <c r="A275" t="str">
        <v>DGS-I_0274</v>
      </c>
      <c r="B275" t="str">
        <f>_xlfn.XLOOKUP($A275,'EA-Fortescue_SDExport'!$A:$A,'EA-Fortescue_SDExport'!B:B)</f>
        <v>Class</v>
      </c>
      <c r="C275" t="str">
        <f>_xlfn.XLOOKUP($A275,'EA-Fortescue_SDExport'!$A:$A,'EA-Fortescue_SDExport'!C:C)</f>
        <v>{34274D53-D84F-4066-BD90-5352C1F3C081}</v>
      </c>
      <c r="D275" t="str">
        <f>_xlfn.LET(_xlpm.result, _xlfn.XLOOKUP($A275, InterfaceRegister!$A:$A, InterfaceRegister!P:P), IF(_xlpm.result=0, "", _xlpm.result))</f>
        <v/>
      </c>
      <c r="E275">
        <f>_xlfn.XLOOKUP($A275,'EA-Fortescue_SDExport'!$A:$A,'EA-Fortescue_SDExport'!E:E)</f>
        <v>1</v>
      </c>
      <c r="F275">
        <f>_xlfn.XLOOKUP($A275,'EA-Fortescue_SDExport'!$A:$A,'EA-Fortescue_SDExport'!F:F)</f>
        <v>1</v>
      </c>
      <c r="G275">
        <f>_xlfn.XLOOKUP($A275,'EA-Fortescue_SDExport'!$A:$A,'EA-Fortescue_SDExport'!G:G)</f>
        <v>0</v>
      </c>
      <c r="H275" t="str">
        <f>_xlfn.XLOOKUP($A275,'EA-Fortescue_SDExport'!$A:$A,'EA-Fortescue_SDExport'!H:H)</f>
        <v>InterfaceBlock</v>
      </c>
      <c r="I275" t="str">
        <f>_xlfn.XLOOKUP($A275,'EA-Fortescue_SDExport'!$A:$A,'EA-Fortescue_SDExport'!I:I)</f>
        <v>SysML1.4::InterfaceBlock</v>
      </c>
      <c r="J275" t="str">
        <f>_xlfn.XLOOKUP($A275,'EA-Fortescue_SDExport'!$A:$A,'EA-Fortescue_SDExport'!J:J)</f>
        <v>Java</v>
      </c>
      <c r="K275" t="str">
        <f>_xlfn.XLOOKUP($A275,'EA-Fortescue_SDExport'!$A:$A,'EA-Fortescue_SDExport'!K:K)</f>
        <v>Admin</v>
      </c>
      <c r="L275" t="str">
        <f>_xlfn.XLOOKUP($A275,'EA-Fortescue_SDExport'!$A:$A,'EA-Fortescue_SDExport'!L:L)</f>
        <v>Public</v>
      </c>
      <c r="M275">
        <f>_xlfn.XLOOKUP($A275,'EA-Fortescue_SDExport'!$A:$A,'EA-Fortescue_SDExport'!M:M)</f>
        <v>0</v>
      </c>
      <c r="N275" t="str">
        <f>_xlfn.XLOOKUP($A275,InterfaceRegister!$A:$A,InterfaceRegister!K:K)</f>
        <v>Proposed</v>
      </c>
      <c r="O275">
        <f>_xlfn.XLOOKUP($A275,'EA-Fortescue_SDExport'!$A:$A,'EA-Fortescue_SDExport'!O:O)</f>
        <v>1</v>
      </c>
      <c r="P275">
        <f>_xlfn.XLOOKUP($A275,'EA-Fortescue_SDExport'!$A:$A,'EA-Fortescue_SDExport'!P:P)</f>
        <v>0</v>
      </c>
      <c r="Q275">
        <f>_xlfn.XLOOKUP($A275,'EA-Fortescue_SDExport'!$A:$A,'EA-Fortescue_SDExport'!Q:Q)</f>
        <v>0</v>
      </c>
      <c r="R275">
        <f>_xlfn.XLOOKUP($A275,'EA-Fortescue_SDExport'!$A:$A,'EA-Fortescue_SDExport'!R:R)</f>
        <v>0</v>
      </c>
      <c r="S275">
        <f>_xlfn.XLOOKUP($A275,'EA-Fortescue_SDExport'!$A:$A,'EA-Fortescue_SDExport'!S:S)</f>
        <v>0</v>
      </c>
      <c r="T275">
        <f>_xlfn.XLOOKUP($A275,'EA-Fortescue_SDExport'!$A:$A,'EA-Fortescue_SDExport'!T:T)</f>
        <v>0</v>
      </c>
      <c r="U275">
        <f>_xlfn.XLOOKUP($A275,'EA-Fortescue_SDExport'!$A:$A,'EA-Fortescue_SDExport'!U:U)</f>
        <v>45973.60601851852</v>
      </c>
      <c r="V275">
        <f>_xlfn.XLOOKUP($A275,'EA-Fortescue_SDExport'!$A:$A,'EA-Fortescue_SDExport'!V:V)</f>
        <v>46002.004953703705</v>
      </c>
      <c r="W275">
        <f>_xlfn.XLOOKUP($A275,'EA-Fortescue_SDExport'!$A:$A,'EA-Fortescue_SDExport'!W:W)</f>
        <v>0</v>
      </c>
      <c r="X275">
        <f>_xlfn.XLOOKUP($A275,'EA-Fortescue_SDExport'!$A:$A,'EA-Fortescue_SDExport'!X:X)</f>
        <v>0</v>
      </c>
      <c r="Y275">
        <f>_xlfn.XLOOKUP($A275,'EA-Fortescue_SDExport'!$A:$A,'EA-Fortescue_SDExport'!Y:Y)</f>
        <v>0</v>
      </c>
      <c r="Z275" t="str">
        <f>_xlfn.XLOOKUP($A275,'EA-Fortescue_SDExport'!$A:$A,'EA-Fortescue_SDExport'!Z:Z)</f>
        <v>SysML1.4::InterfaceBlock</v>
      </c>
      <c r="AA275" t="str">
        <f>_xlfn.XLOOKUP($A275,InterfaceRegister!$A:$A,InterfaceRegister!B:B)</f>
        <v>Solomon Mine Hub: Support Mobile Equipment (SME)|859DC-1410-001-004 HaulX Shield (Collision Avoidance System)</v>
      </c>
      <c r="AB275" t="str">
        <f>_xlfn.XLOOKUP($A275,InterfaceRegister!$A:$A,InterfaceRegister!C:C)</f>
        <v/>
      </c>
      <c r="AC275" t="str">
        <f>_xlfn.XLOOKUP($A275,InterfaceRegister!$A:$A,InterfaceRegister!D:D)</f>
        <v/>
      </c>
      <c r="AD275" t="str">
        <f>_xlfn.XLOOKUP($A275,InterfaceRegister!$A:$A,InterfaceRegister!E:E)</f>
        <v>Program - Subsystem Interface</v>
      </c>
      <c r="AE275" t="str">
        <f>_xlfn.XLOOKUP($A275,InterfaceRegister!$A:$A,InterfaceRegister!F:F)</f>
        <v/>
      </c>
      <c r="AF275" t="str">
        <f>_xlfn.XLOOKUP($A275,InterfaceRegister!$A:$A,InterfaceRegister!L:L)</f>
        <v/>
      </c>
      <c r="AG275" t="str">
        <f>_xlfn.XLOOKUP($A275,InterfaceRegister!$A:$A,InterfaceRegister!M:M)</f>
        <v/>
      </c>
      <c r="AH275" t="str">
        <f>_xlfn.XLOOKUP($A275,InterfaceRegister!$A:$A,InterfaceRegister!O:O)</f>
        <v/>
      </c>
      <c r="AI275" t="str">
        <f>_xlfn.XLOOKUP($A275,InterfaceRegister!$A:$A,InterfaceRegister!N:N)</f>
        <v/>
      </c>
      <c r="AJ275" t="str">
        <f>_xlfn.XLOOKUP($A275,'EA-Fortescue_SDExport'!$A:$A,'EA-Fortescue_SDExport'!AX:AX)</f>
        <v>CSV4D52FDFD</v>
      </c>
      <c r="AK275">
        <f>_xlfn.XLOOKUP($A275,'EA-Fortescue_SDExport'!$A:$A,'EA-Fortescue_SDExport'!AY:AY)</f>
        <v>0</v>
      </c>
    </row>
    <row r="276" spans="1:37" x14ac:dyDescent="0.25">
      <c r="A276" t="str">
        <v>DGS-I_0275</v>
      </c>
      <c r="B276" t="str">
        <f>_xlfn.XLOOKUP($A276,'EA-Fortescue_SDExport'!$A:$A,'EA-Fortescue_SDExport'!B:B)</f>
        <v>Class</v>
      </c>
      <c r="C276" t="str">
        <f>_xlfn.XLOOKUP($A276,'EA-Fortescue_SDExport'!$A:$A,'EA-Fortescue_SDExport'!C:C)</f>
        <v>{8339924B-64E6-43ee-A2F6-C5958CBAA454}</v>
      </c>
      <c r="D276" t="str">
        <f>_xlfn.LET(_xlpm.result, _xlfn.XLOOKUP($A276, InterfaceRegister!$A:$A, InterfaceRegister!P:P), IF(_xlpm.result=0, "", _xlpm.result))</f>
        <v>SBS-WBS Mapping 02/01/2026: Delete LME &amp;amp; Merge LME &amp;amp; SME to combined Program Level - Interface deleted.</v>
      </c>
      <c r="E276">
        <f>_xlfn.XLOOKUP($A276,'EA-Fortescue_SDExport'!$A:$A,'EA-Fortescue_SDExport'!E:E)</f>
        <v>1</v>
      </c>
      <c r="F276">
        <f>_xlfn.XLOOKUP($A276,'EA-Fortescue_SDExport'!$A:$A,'EA-Fortescue_SDExport'!F:F)</f>
        <v>1</v>
      </c>
      <c r="G276">
        <f>_xlfn.XLOOKUP($A276,'EA-Fortescue_SDExport'!$A:$A,'EA-Fortescue_SDExport'!G:G)</f>
        <v>0</v>
      </c>
      <c r="H276" t="str">
        <f>_xlfn.XLOOKUP($A276,'EA-Fortescue_SDExport'!$A:$A,'EA-Fortescue_SDExport'!H:H)</f>
        <v>InterfaceBlock</v>
      </c>
      <c r="I276" t="str">
        <f>_xlfn.XLOOKUP($A276,'EA-Fortescue_SDExport'!$A:$A,'EA-Fortescue_SDExport'!I:I)</f>
        <v>SysML1.4::InterfaceBlock</v>
      </c>
      <c r="J276" t="str">
        <f>_xlfn.XLOOKUP($A276,'EA-Fortescue_SDExport'!$A:$A,'EA-Fortescue_SDExport'!J:J)</f>
        <v>Java</v>
      </c>
      <c r="K276" t="str">
        <f>_xlfn.XLOOKUP($A276,'EA-Fortescue_SDExport'!$A:$A,'EA-Fortescue_SDExport'!K:K)</f>
        <v>Admin</v>
      </c>
      <c r="L276" t="str">
        <f>_xlfn.XLOOKUP($A276,'EA-Fortescue_SDExport'!$A:$A,'EA-Fortescue_SDExport'!L:L)</f>
        <v>Public</v>
      </c>
      <c r="M276">
        <f>_xlfn.XLOOKUP($A276,'EA-Fortescue_SDExport'!$A:$A,'EA-Fortescue_SDExport'!M:M)</f>
        <v>0</v>
      </c>
      <c r="N276" t="str">
        <f>_xlfn.XLOOKUP($A276,InterfaceRegister!$A:$A,InterfaceRegister!K:K)</f>
        <v>Deleted</v>
      </c>
      <c r="O276">
        <f>_xlfn.XLOOKUP($A276,'EA-Fortescue_SDExport'!$A:$A,'EA-Fortescue_SDExport'!O:O)</f>
        <v>1</v>
      </c>
      <c r="P276">
        <f>_xlfn.XLOOKUP($A276,'EA-Fortescue_SDExport'!$A:$A,'EA-Fortescue_SDExport'!P:P)</f>
        <v>0</v>
      </c>
      <c r="Q276">
        <f>_xlfn.XLOOKUP($A276,'EA-Fortescue_SDExport'!$A:$A,'EA-Fortescue_SDExport'!Q:Q)</f>
        <v>0</v>
      </c>
      <c r="R276">
        <f>_xlfn.XLOOKUP($A276,'EA-Fortescue_SDExport'!$A:$A,'EA-Fortescue_SDExport'!R:R)</f>
        <v>0</v>
      </c>
      <c r="S276">
        <f>_xlfn.XLOOKUP($A276,'EA-Fortescue_SDExport'!$A:$A,'EA-Fortescue_SDExport'!S:S)</f>
        <v>0</v>
      </c>
      <c r="T276">
        <f>_xlfn.XLOOKUP($A276,'EA-Fortescue_SDExport'!$A:$A,'EA-Fortescue_SDExport'!T:T)</f>
        <v>0</v>
      </c>
      <c r="U276">
        <f>_xlfn.XLOOKUP($A276,'EA-Fortescue_SDExport'!$A:$A,'EA-Fortescue_SDExport'!U:U)</f>
        <v>45973.606064814812</v>
      </c>
      <c r="V276">
        <f>_xlfn.XLOOKUP($A276,'EA-Fortescue_SDExport'!$A:$A,'EA-Fortescue_SDExport'!V:V)</f>
        <v>46036.916122685187</v>
      </c>
      <c r="W276">
        <f>_xlfn.XLOOKUP($A276,'EA-Fortescue_SDExport'!$A:$A,'EA-Fortescue_SDExport'!W:W)</f>
        <v>0</v>
      </c>
      <c r="X276">
        <f>_xlfn.XLOOKUP($A276,'EA-Fortescue_SDExport'!$A:$A,'EA-Fortescue_SDExport'!X:X)</f>
        <v>0</v>
      </c>
      <c r="Y276">
        <f>_xlfn.XLOOKUP($A276,'EA-Fortescue_SDExport'!$A:$A,'EA-Fortescue_SDExport'!Y:Y)</f>
        <v>0</v>
      </c>
      <c r="Z276" t="str">
        <f>_xlfn.XLOOKUP($A276,'EA-Fortescue_SDExport'!$A:$A,'EA-Fortescue_SDExport'!Z:Z)</f>
        <v>SysML1.4::InterfaceBlock</v>
      </c>
      <c r="AA276" t="str">
        <f>_xlfn.XLOOKUP($A276,InterfaceRegister!$A:$A,InterfaceRegister!B:B)</f>
        <v>Solomon Mine Hub: Light Mobile Equipment (LME)|859DC-1410-001-004 HaulX Shield (Collision Avoidance System)</v>
      </c>
      <c r="AB276" t="str">
        <f>_xlfn.XLOOKUP($A276,InterfaceRegister!$A:$A,InterfaceRegister!C:C)</f>
        <v/>
      </c>
      <c r="AC276" t="str">
        <f>_xlfn.XLOOKUP($A276,InterfaceRegister!$A:$A,InterfaceRegister!D:D)</f>
        <v/>
      </c>
      <c r="AD276" t="str">
        <f>_xlfn.XLOOKUP($A276,InterfaceRegister!$A:$A,InterfaceRegister!E:E)</f>
        <v>Program - Subsystem Interface</v>
      </c>
      <c r="AE276" t="str">
        <f>_xlfn.XLOOKUP($A276,InterfaceRegister!$A:$A,InterfaceRegister!F:F)</f>
        <v/>
      </c>
      <c r="AF276" t="str">
        <f>_xlfn.XLOOKUP($A276,InterfaceRegister!$A:$A,InterfaceRegister!L:L)</f>
        <v/>
      </c>
      <c r="AG276" t="str">
        <f>_xlfn.XLOOKUP($A276,InterfaceRegister!$A:$A,InterfaceRegister!M:M)</f>
        <v/>
      </c>
      <c r="AH276" t="str">
        <f>_xlfn.XLOOKUP($A276,InterfaceRegister!$A:$A,InterfaceRegister!O:O)</f>
        <v/>
      </c>
      <c r="AI276" t="str">
        <f>_xlfn.XLOOKUP($A276,InterfaceRegister!$A:$A,InterfaceRegister!N:N)</f>
        <v/>
      </c>
      <c r="AJ276" t="str">
        <f>_xlfn.XLOOKUP($A276,'EA-Fortescue_SDExport'!$A:$A,'EA-Fortescue_SDExport'!AX:AX)</f>
        <v>CSVC30FACAE</v>
      </c>
      <c r="AK276">
        <f>_xlfn.XLOOKUP($A276,'EA-Fortescue_SDExport'!$A:$A,'EA-Fortescue_SDExport'!AY:AY)</f>
        <v>0</v>
      </c>
    </row>
    <row r="277" spans="1:37" x14ac:dyDescent="0.25">
      <c r="A277" t="str">
        <v>DGS-I_0276</v>
      </c>
      <c r="B277" t="str">
        <f>_xlfn.XLOOKUP($A277,'EA-Fortescue_SDExport'!$A:$A,'EA-Fortescue_SDExport'!B:B)</f>
        <v>Class</v>
      </c>
      <c r="C277" t="str">
        <f>_xlfn.XLOOKUP($A277,'EA-Fortescue_SDExport'!$A:$A,'EA-Fortescue_SDExport'!C:C)</f>
        <v>{A81B06D8-24A6-4cc8-8986-367003BA3B09}</v>
      </c>
      <c r="D277" t="str">
        <f>_xlfn.LET(_xlpm.result, _xlfn.XLOOKUP($A277,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77">
        <f>_xlfn.XLOOKUP($A277,'EA-Fortescue_SDExport'!$A:$A,'EA-Fortescue_SDExport'!E:E)</f>
        <v>1</v>
      </c>
      <c r="F277">
        <f>_xlfn.XLOOKUP($A277,'EA-Fortescue_SDExport'!$A:$A,'EA-Fortescue_SDExport'!F:F)</f>
        <v>1</v>
      </c>
      <c r="G277">
        <f>_xlfn.XLOOKUP($A277,'EA-Fortescue_SDExport'!$A:$A,'EA-Fortescue_SDExport'!G:G)</f>
        <v>0</v>
      </c>
      <c r="H277" t="str">
        <f>_xlfn.XLOOKUP($A277,'EA-Fortescue_SDExport'!$A:$A,'EA-Fortescue_SDExport'!H:H)</f>
        <v>InterfaceBlock</v>
      </c>
      <c r="I277" t="str">
        <f>_xlfn.XLOOKUP($A277,'EA-Fortescue_SDExport'!$A:$A,'EA-Fortescue_SDExport'!I:I)</f>
        <v>SysML1.4::InterfaceBlock</v>
      </c>
      <c r="J277" t="str">
        <f>_xlfn.XLOOKUP($A277,'EA-Fortescue_SDExport'!$A:$A,'EA-Fortescue_SDExport'!J:J)</f>
        <v>Java</v>
      </c>
      <c r="K277" t="str">
        <f>_xlfn.XLOOKUP($A277,'EA-Fortescue_SDExport'!$A:$A,'EA-Fortescue_SDExport'!K:K)</f>
        <v>Admin</v>
      </c>
      <c r="L277" t="str">
        <f>_xlfn.XLOOKUP($A277,'EA-Fortescue_SDExport'!$A:$A,'EA-Fortescue_SDExport'!L:L)</f>
        <v>Public</v>
      </c>
      <c r="M277">
        <f>_xlfn.XLOOKUP($A277,'EA-Fortescue_SDExport'!$A:$A,'EA-Fortescue_SDExport'!M:M)</f>
        <v>0</v>
      </c>
      <c r="N277" t="str">
        <f>_xlfn.XLOOKUP($A277,InterfaceRegister!$A:$A,InterfaceRegister!K:K)</f>
        <v>Proposed</v>
      </c>
      <c r="O277">
        <f>_xlfn.XLOOKUP($A277,'EA-Fortescue_SDExport'!$A:$A,'EA-Fortescue_SDExport'!O:O)</f>
        <v>1</v>
      </c>
      <c r="P277">
        <f>_xlfn.XLOOKUP($A277,'EA-Fortescue_SDExport'!$A:$A,'EA-Fortescue_SDExport'!P:P)</f>
        <v>0</v>
      </c>
      <c r="Q277">
        <f>_xlfn.XLOOKUP($A277,'EA-Fortescue_SDExport'!$A:$A,'EA-Fortescue_SDExport'!Q:Q)</f>
        <v>0</v>
      </c>
      <c r="R277">
        <f>_xlfn.XLOOKUP($A277,'EA-Fortescue_SDExport'!$A:$A,'EA-Fortescue_SDExport'!R:R)</f>
        <v>0</v>
      </c>
      <c r="S277">
        <f>_xlfn.XLOOKUP($A277,'EA-Fortescue_SDExport'!$A:$A,'EA-Fortescue_SDExport'!S:S)</f>
        <v>0</v>
      </c>
      <c r="T277">
        <f>_xlfn.XLOOKUP($A277,'EA-Fortescue_SDExport'!$A:$A,'EA-Fortescue_SDExport'!T:T)</f>
        <v>0</v>
      </c>
      <c r="U277">
        <f>_xlfn.XLOOKUP($A277,'EA-Fortescue_SDExport'!$A:$A,'EA-Fortescue_SDExport'!U:U)</f>
        <v>45973.606099537035</v>
      </c>
      <c r="V277">
        <f>_xlfn.XLOOKUP($A277,'EA-Fortescue_SDExport'!$A:$A,'EA-Fortescue_SDExport'!V:V)</f>
        <v>46050.690972222219</v>
      </c>
      <c r="W277">
        <f>_xlfn.XLOOKUP($A277,'EA-Fortescue_SDExport'!$A:$A,'EA-Fortescue_SDExport'!W:W)</f>
        <v>0</v>
      </c>
      <c r="X277">
        <f>_xlfn.XLOOKUP($A277,'EA-Fortescue_SDExport'!$A:$A,'EA-Fortescue_SDExport'!X:X)</f>
        <v>0</v>
      </c>
      <c r="Y277">
        <f>_xlfn.XLOOKUP($A277,'EA-Fortescue_SDExport'!$A:$A,'EA-Fortescue_SDExport'!Y:Y)</f>
        <v>0</v>
      </c>
      <c r="Z277" t="str">
        <f>_xlfn.XLOOKUP($A277,'EA-Fortescue_SDExport'!$A:$A,'EA-Fortescue_SDExport'!Z:Z)</f>
        <v>SysML1.4::InterfaceBlock</v>
      </c>
      <c r="AA277" t="str">
        <f>_xlfn.XLOOKUP($A277,InterfaceRegister!$A:$A,InterfaceRegister!B:B)</f>
        <v>855DC-1543-PPC Pit Power Capacity Planning Tool - Capacity Check|Solomon Mine Hub: Heavy Mobile Equipment (HME)</v>
      </c>
      <c r="AB277" t="str">
        <f>_xlfn.XLOOKUP($A277,InterfaceRegister!$A:$A,InterfaceRegister!C:C)</f>
        <v/>
      </c>
      <c r="AC277" t="str">
        <f>_xlfn.XLOOKUP($A277,InterfaceRegister!$A:$A,InterfaceRegister!D:D)</f>
        <v/>
      </c>
      <c r="AD277" t="str">
        <f>_xlfn.XLOOKUP($A277,InterfaceRegister!$A:$A,InterfaceRegister!E:E)</f>
        <v>Program - Project Interface</v>
      </c>
      <c r="AE277" t="str">
        <f>_xlfn.XLOOKUP($A277,InterfaceRegister!$A:$A,InterfaceRegister!F:F)</f>
        <v/>
      </c>
      <c r="AF277" t="str">
        <f>_xlfn.XLOOKUP($A277,InterfaceRegister!$A:$A,InterfaceRegister!L:L)</f>
        <v/>
      </c>
      <c r="AG277" t="str">
        <f>_xlfn.XLOOKUP($A277,InterfaceRegister!$A:$A,InterfaceRegister!M:M)</f>
        <v/>
      </c>
      <c r="AH277" t="str">
        <f>_xlfn.XLOOKUP($A277,InterfaceRegister!$A:$A,InterfaceRegister!O:O)</f>
        <v/>
      </c>
      <c r="AI277" t="str">
        <f>_xlfn.XLOOKUP($A277,InterfaceRegister!$A:$A,InterfaceRegister!N:N)</f>
        <v/>
      </c>
      <c r="AJ277" t="str">
        <f>_xlfn.XLOOKUP($A277,'EA-Fortescue_SDExport'!$A:$A,'EA-Fortescue_SDExport'!AX:AX)</f>
        <v>CSV949F4726</v>
      </c>
      <c r="AK277">
        <f>_xlfn.XLOOKUP($A277,'EA-Fortescue_SDExport'!$A:$A,'EA-Fortescue_SDExport'!AY:AY)</f>
        <v>0</v>
      </c>
    </row>
    <row r="278" spans="1:37" x14ac:dyDescent="0.25">
      <c r="A278" t="str">
        <v>DGS-I_0277</v>
      </c>
      <c r="B278" t="str">
        <f>_xlfn.XLOOKUP($A278,'EA-Fortescue_SDExport'!$A:$A,'EA-Fortescue_SDExport'!B:B)</f>
        <v>Class</v>
      </c>
      <c r="C278" t="str">
        <f>_xlfn.XLOOKUP($A278,'EA-Fortescue_SDExport'!$A:$A,'EA-Fortescue_SDExport'!C:C)</f>
        <v>{6A389A1E-D725-4cd1-9EF7-FF6EB38B5234}</v>
      </c>
      <c r="D278" t="str">
        <f>_xlfn.LET(_xlpm.result, _xlfn.XLOOKUP($A278,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78">
        <f>_xlfn.XLOOKUP($A278,'EA-Fortescue_SDExport'!$A:$A,'EA-Fortescue_SDExport'!E:E)</f>
        <v>1</v>
      </c>
      <c r="F278">
        <f>_xlfn.XLOOKUP($A278,'EA-Fortescue_SDExport'!$A:$A,'EA-Fortescue_SDExport'!F:F)</f>
        <v>1</v>
      </c>
      <c r="G278">
        <f>_xlfn.XLOOKUP($A278,'EA-Fortescue_SDExport'!$A:$A,'EA-Fortescue_SDExport'!G:G)</f>
        <v>0</v>
      </c>
      <c r="H278" t="str">
        <f>_xlfn.XLOOKUP($A278,'EA-Fortescue_SDExport'!$A:$A,'EA-Fortescue_SDExport'!H:H)</f>
        <v>InterfaceBlock</v>
      </c>
      <c r="I278" t="str">
        <f>_xlfn.XLOOKUP($A278,'EA-Fortescue_SDExport'!$A:$A,'EA-Fortescue_SDExport'!I:I)</f>
        <v>SysML1.4::InterfaceBlock</v>
      </c>
      <c r="J278" t="str">
        <f>_xlfn.XLOOKUP($A278,'EA-Fortescue_SDExport'!$A:$A,'EA-Fortescue_SDExport'!J:J)</f>
        <v>Java</v>
      </c>
      <c r="K278" t="str">
        <f>_xlfn.XLOOKUP($A278,'EA-Fortescue_SDExport'!$A:$A,'EA-Fortescue_SDExport'!K:K)</f>
        <v>Admin</v>
      </c>
      <c r="L278" t="str">
        <f>_xlfn.XLOOKUP($A278,'EA-Fortescue_SDExport'!$A:$A,'EA-Fortescue_SDExport'!L:L)</f>
        <v>Public</v>
      </c>
      <c r="M278">
        <f>_xlfn.XLOOKUP($A278,'EA-Fortescue_SDExport'!$A:$A,'EA-Fortescue_SDExport'!M:M)</f>
        <v>0</v>
      </c>
      <c r="N278" t="str">
        <f>_xlfn.XLOOKUP($A278,InterfaceRegister!$A:$A,InterfaceRegister!K:K)</f>
        <v>Proposed</v>
      </c>
      <c r="O278">
        <f>_xlfn.XLOOKUP($A278,'EA-Fortescue_SDExport'!$A:$A,'EA-Fortescue_SDExport'!O:O)</f>
        <v>1</v>
      </c>
      <c r="P278">
        <f>_xlfn.XLOOKUP($A278,'EA-Fortescue_SDExport'!$A:$A,'EA-Fortescue_SDExport'!P:P)</f>
        <v>0</v>
      </c>
      <c r="Q278">
        <f>_xlfn.XLOOKUP($A278,'EA-Fortescue_SDExport'!$A:$A,'EA-Fortescue_SDExport'!Q:Q)</f>
        <v>0</v>
      </c>
      <c r="R278">
        <f>_xlfn.XLOOKUP($A278,'EA-Fortescue_SDExport'!$A:$A,'EA-Fortescue_SDExport'!R:R)</f>
        <v>0</v>
      </c>
      <c r="S278">
        <f>_xlfn.XLOOKUP($A278,'EA-Fortescue_SDExport'!$A:$A,'EA-Fortescue_SDExport'!S:S)</f>
        <v>0</v>
      </c>
      <c r="T278">
        <f>_xlfn.XLOOKUP($A278,'EA-Fortescue_SDExport'!$A:$A,'EA-Fortescue_SDExport'!T:T)</f>
        <v>0</v>
      </c>
      <c r="U278">
        <f>_xlfn.XLOOKUP($A278,'EA-Fortescue_SDExport'!$A:$A,'EA-Fortescue_SDExport'!U:U)</f>
        <v>45973.606157407405</v>
      </c>
      <c r="V278">
        <f>_xlfn.XLOOKUP($A278,'EA-Fortescue_SDExport'!$A:$A,'EA-Fortescue_SDExport'!V:V)</f>
        <v>46050.691122685188</v>
      </c>
      <c r="W278">
        <f>_xlfn.XLOOKUP($A278,'EA-Fortescue_SDExport'!$A:$A,'EA-Fortescue_SDExport'!W:W)</f>
        <v>0</v>
      </c>
      <c r="X278">
        <f>_xlfn.XLOOKUP($A278,'EA-Fortescue_SDExport'!$A:$A,'EA-Fortescue_SDExport'!X:X)</f>
        <v>0</v>
      </c>
      <c r="Y278">
        <f>_xlfn.XLOOKUP($A278,'EA-Fortescue_SDExport'!$A:$A,'EA-Fortescue_SDExport'!Y:Y)</f>
        <v>0</v>
      </c>
      <c r="Z278" t="str">
        <f>_xlfn.XLOOKUP($A278,'EA-Fortescue_SDExport'!$A:$A,'EA-Fortescue_SDExport'!Z:Z)</f>
        <v>SysML1.4::InterfaceBlock</v>
      </c>
      <c r="AA278" t="str">
        <f>_xlfn.XLOOKUP($A278,InterfaceRegister!$A:$A,InterfaceRegister!B:B)</f>
        <v>855DC-1543-PPC Pit Power Capacity Planning Tool - Capacity Check|Solomon Mine Hub: Support Mobile Equipment (SME)</v>
      </c>
      <c r="AB278" t="str">
        <f>_xlfn.XLOOKUP($A278,InterfaceRegister!$A:$A,InterfaceRegister!C:C)</f>
        <v/>
      </c>
      <c r="AC278" t="str">
        <f>_xlfn.XLOOKUP($A278,InterfaceRegister!$A:$A,InterfaceRegister!D:D)</f>
        <v/>
      </c>
      <c r="AD278" t="str">
        <f>_xlfn.XLOOKUP($A278,InterfaceRegister!$A:$A,InterfaceRegister!E:E)</f>
        <v>Program - Project Interface</v>
      </c>
      <c r="AE278" t="str">
        <f>_xlfn.XLOOKUP($A278,InterfaceRegister!$A:$A,InterfaceRegister!F:F)</f>
        <v/>
      </c>
      <c r="AF278" t="str">
        <f>_xlfn.XLOOKUP($A278,InterfaceRegister!$A:$A,InterfaceRegister!L:L)</f>
        <v/>
      </c>
      <c r="AG278" t="str">
        <f>_xlfn.XLOOKUP($A278,InterfaceRegister!$A:$A,InterfaceRegister!M:M)</f>
        <v/>
      </c>
      <c r="AH278" t="str">
        <f>_xlfn.XLOOKUP($A278,InterfaceRegister!$A:$A,InterfaceRegister!O:O)</f>
        <v/>
      </c>
      <c r="AI278" t="str">
        <f>_xlfn.XLOOKUP($A278,InterfaceRegister!$A:$A,InterfaceRegister!N:N)</f>
        <v/>
      </c>
      <c r="AJ278" t="str">
        <f>_xlfn.XLOOKUP($A278,'EA-Fortescue_SDExport'!$A:$A,'EA-Fortescue_SDExport'!AX:AX)</f>
        <v>CSV5A807ABF</v>
      </c>
      <c r="AK278">
        <f>_xlfn.XLOOKUP($A278,'EA-Fortescue_SDExport'!$A:$A,'EA-Fortescue_SDExport'!AY:AY)</f>
        <v>0</v>
      </c>
    </row>
    <row r="279" spans="1:37" x14ac:dyDescent="0.25">
      <c r="A279" t="str">
        <v>DGS-I_0278</v>
      </c>
      <c r="B279" t="str">
        <f>_xlfn.XLOOKUP($A279,'EA-Fortescue_SDExport'!$A:$A,'EA-Fortescue_SDExport'!B:B)</f>
        <v>Class</v>
      </c>
      <c r="C279" t="str">
        <f>_xlfn.XLOOKUP($A279,'EA-Fortescue_SDExport'!$A:$A,'EA-Fortescue_SDExport'!C:C)</f>
        <v>{F4C2D98D-4B8E-40aa-AEB5-137E9A4E7DCC}</v>
      </c>
      <c r="D279" t="str">
        <f>_xlfn.LET(_xlpm.result, _xlfn.XLOOKUP($A279,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79">
        <f>_xlfn.XLOOKUP($A279,'EA-Fortescue_SDExport'!$A:$A,'EA-Fortescue_SDExport'!E:E)</f>
        <v>1</v>
      </c>
      <c r="F279">
        <f>_xlfn.XLOOKUP($A279,'EA-Fortescue_SDExport'!$A:$A,'EA-Fortescue_SDExport'!F:F)</f>
        <v>1</v>
      </c>
      <c r="G279">
        <f>_xlfn.XLOOKUP($A279,'EA-Fortescue_SDExport'!$A:$A,'EA-Fortescue_SDExport'!G:G)</f>
        <v>0</v>
      </c>
      <c r="H279" t="str">
        <f>_xlfn.XLOOKUP($A279,'EA-Fortescue_SDExport'!$A:$A,'EA-Fortescue_SDExport'!H:H)</f>
        <v>InterfaceBlock</v>
      </c>
      <c r="I279" t="str">
        <f>_xlfn.XLOOKUP($A279,'EA-Fortescue_SDExport'!$A:$A,'EA-Fortescue_SDExport'!I:I)</f>
        <v>SysML1.4::InterfaceBlock</v>
      </c>
      <c r="J279" t="str">
        <f>_xlfn.XLOOKUP($A279,'EA-Fortescue_SDExport'!$A:$A,'EA-Fortescue_SDExport'!J:J)</f>
        <v>Java</v>
      </c>
      <c r="K279" t="str">
        <f>_xlfn.XLOOKUP($A279,'EA-Fortescue_SDExport'!$A:$A,'EA-Fortescue_SDExport'!K:K)</f>
        <v>Admin</v>
      </c>
      <c r="L279" t="str">
        <f>_xlfn.XLOOKUP($A279,'EA-Fortescue_SDExport'!$A:$A,'EA-Fortescue_SDExport'!L:L)</f>
        <v>Public</v>
      </c>
      <c r="M279">
        <f>_xlfn.XLOOKUP($A279,'EA-Fortescue_SDExport'!$A:$A,'EA-Fortescue_SDExport'!M:M)</f>
        <v>0</v>
      </c>
      <c r="N279" t="str">
        <f>_xlfn.XLOOKUP($A279,InterfaceRegister!$A:$A,InterfaceRegister!K:K)</f>
        <v>Proposed</v>
      </c>
      <c r="O279">
        <f>_xlfn.XLOOKUP($A279,'EA-Fortescue_SDExport'!$A:$A,'EA-Fortescue_SDExport'!O:O)</f>
        <v>1</v>
      </c>
      <c r="P279">
        <f>_xlfn.XLOOKUP($A279,'EA-Fortescue_SDExport'!$A:$A,'EA-Fortescue_SDExport'!P:P)</f>
        <v>0</v>
      </c>
      <c r="Q279">
        <f>_xlfn.XLOOKUP($A279,'EA-Fortescue_SDExport'!$A:$A,'EA-Fortescue_SDExport'!Q:Q)</f>
        <v>0</v>
      </c>
      <c r="R279">
        <f>_xlfn.XLOOKUP($A279,'EA-Fortescue_SDExport'!$A:$A,'EA-Fortescue_SDExport'!R:R)</f>
        <v>0</v>
      </c>
      <c r="S279">
        <f>_xlfn.XLOOKUP($A279,'EA-Fortescue_SDExport'!$A:$A,'EA-Fortescue_SDExport'!S:S)</f>
        <v>0</v>
      </c>
      <c r="T279">
        <f>_xlfn.XLOOKUP($A279,'EA-Fortescue_SDExport'!$A:$A,'EA-Fortescue_SDExport'!T:T)</f>
        <v>0</v>
      </c>
      <c r="U279">
        <f>_xlfn.XLOOKUP($A279,'EA-Fortescue_SDExport'!$A:$A,'EA-Fortescue_SDExport'!U:U)</f>
        <v>45973.606203703705</v>
      </c>
      <c r="V279">
        <f>_xlfn.XLOOKUP($A279,'EA-Fortescue_SDExport'!$A:$A,'EA-Fortescue_SDExport'!V:V)</f>
        <v>46050.691250000003</v>
      </c>
      <c r="W279">
        <f>_xlfn.XLOOKUP($A279,'EA-Fortescue_SDExport'!$A:$A,'EA-Fortescue_SDExport'!W:W)</f>
        <v>0</v>
      </c>
      <c r="X279">
        <f>_xlfn.XLOOKUP($A279,'EA-Fortescue_SDExport'!$A:$A,'EA-Fortescue_SDExport'!X:X)</f>
        <v>0</v>
      </c>
      <c r="Y279">
        <f>_xlfn.XLOOKUP($A279,'EA-Fortescue_SDExport'!$A:$A,'EA-Fortescue_SDExport'!Y:Y)</f>
        <v>0</v>
      </c>
      <c r="Z279" t="str">
        <f>_xlfn.XLOOKUP($A279,'EA-Fortescue_SDExport'!$A:$A,'EA-Fortescue_SDExport'!Z:Z)</f>
        <v>SysML1.4::InterfaceBlock</v>
      </c>
      <c r="AA279" t="str">
        <f>_xlfn.XLOOKUP($A279,InterfaceRegister!$A:$A,InterfaceRegister!B:B)</f>
        <v>855DC-1543-PPC Pit Power Capacity Planning Tool - Capacity Check|Solomon Mine Hub: Light Mobile Equipment (LME)</v>
      </c>
      <c r="AB279" t="str">
        <f>_xlfn.XLOOKUP($A279,InterfaceRegister!$A:$A,InterfaceRegister!C:C)</f>
        <v/>
      </c>
      <c r="AC279" t="str">
        <f>_xlfn.XLOOKUP($A279,InterfaceRegister!$A:$A,InterfaceRegister!D:D)</f>
        <v/>
      </c>
      <c r="AD279" t="str">
        <f>_xlfn.XLOOKUP($A279,InterfaceRegister!$A:$A,InterfaceRegister!E:E)</f>
        <v>Program - Project Interface</v>
      </c>
      <c r="AE279" t="str">
        <f>_xlfn.XLOOKUP($A279,InterfaceRegister!$A:$A,InterfaceRegister!F:F)</f>
        <v/>
      </c>
      <c r="AF279" t="str">
        <f>_xlfn.XLOOKUP($A279,InterfaceRegister!$A:$A,InterfaceRegister!L:L)</f>
        <v/>
      </c>
      <c r="AG279" t="str">
        <f>_xlfn.XLOOKUP($A279,InterfaceRegister!$A:$A,InterfaceRegister!M:M)</f>
        <v/>
      </c>
      <c r="AH279" t="str">
        <f>_xlfn.XLOOKUP($A279,InterfaceRegister!$A:$A,InterfaceRegister!O:O)</f>
        <v/>
      </c>
      <c r="AI279" t="str">
        <f>_xlfn.XLOOKUP($A279,InterfaceRegister!$A:$A,InterfaceRegister!N:N)</f>
        <v/>
      </c>
      <c r="AJ279" t="str">
        <f>_xlfn.XLOOKUP($A279,'EA-Fortescue_SDExport'!$A:$A,'EA-Fortescue_SDExport'!AX:AX)</f>
        <v>CSV0AD0AEDB</v>
      </c>
      <c r="AK279">
        <f>_xlfn.XLOOKUP($A279,'EA-Fortescue_SDExport'!$A:$A,'EA-Fortescue_SDExport'!AY:AY)</f>
        <v>0</v>
      </c>
    </row>
    <row r="280" spans="1:37" x14ac:dyDescent="0.25">
      <c r="A280" t="str">
        <v>DGS-I_0279</v>
      </c>
      <c r="B280" t="str">
        <f>_xlfn.XLOOKUP($A280,'EA-Fortescue_SDExport'!$A:$A,'EA-Fortescue_SDExport'!B:B)</f>
        <v>Class</v>
      </c>
      <c r="C280" t="str">
        <f>_xlfn.XLOOKUP($A280,'EA-Fortescue_SDExport'!$A:$A,'EA-Fortescue_SDExport'!C:C)</f>
        <v>{3166BFA4-4E13-40dc-9617-F390A8DDD90C}</v>
      </c>
      <c r="D280" t="str">
        <f>_xlfn.LET(_xlpm.result, _xlfn.XLOOKUP($A280,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80">
        <f>_xlfn.XLOOKUP($A280,'EA-Fortescue_SDExport'!$A:$A,'EA-Fortescue_SDExport'!E:E)</f>
        <v>1</v>
      </c>
      <c r="F280">
        <f>_xlfn.XLOOKUP($A280,'EA-Fortescue_SDExport'!$A:$A,'EA-Fortescue_SDExport'!F:F)</f>
        <v>1</v>
      </c>
      <c r="G280">
        <f>_xlfn.XLOOKUP($A280,'EA-Fortescue_SDExport'!$A:$A,'EA-Fortescue_SDExport'!G:G)</f>
        <v>0</v>
      </c>
      <c r="H280" t="str">
        <f>_xlfn.XLOOKUP($A280,'EA-Fortescue_SDExport'!$A:$A,'EA-Fortescue_SDExport'!H:H)</f>
        <v>InterfaceBlock</v>
      </c>
      <c r="I280" t="str">
        <f>_xlfn.XLOOKUP($A280,'EA-Fortescue_SDExport'!$A:$A,'EA-Fortescue_SDExport'!I:I)</f>
        <v>SysML1.4::InterfaceBlock</v>
      </c>
      <c r="J280" t="str">
        <f>_xlfn.XLOOKUP($A280,'EA-Fortescue_SDExport'!$A:$A,'EA-Fortescue_SDExport'!J:J)</f>
        <v>Java</v>
      </c>
      <c r="K280" t="str">
        <f>_xlfn.XLOOKUP($A280,'EA-Fortescue_SDExport'!$A:$A,'EA-Fortescue_SDExport'!K:K)</f>
        <v>Admin</v>
      </c>
      <c r="L280" t="str">
        <f>_xlfn.XLOOKUP($A280,'EA-Fortescue_SDExport'!$A:$A,'EA-Fortescue_SDExport'!L:L)</f>
        <v>Public</v>
      </c>
      <c r="M280">
        <f>_xlfn.XLOOKUP($A280,'EA-Fortescue_SDExport'!$A:$A,'EA-Fortescue_SDExport'!M:M)</f>
        <v>0</v>
      </c>
      <c r="N280" t="str">
        <f>_xlfn.XLOOKUP($A280,InterfaceRegister!$A:$A,InterfaceRegister!K:K)</f>
        <v>Proposed</v>
      </c>
      <c r="O280">
        <f>_xlfn.XLOOKUP($A280,'EA-Fortescue_SDExport'!$A:$A,'EA-Fortescue_SDExport'!O:O)</f>
        <v>1</v>
      </c>
      <c r="P280">
        <f>_xlfn.XLOOKUP($A280,'EA-Fortescue_SDExport'!$A:$A,'EA-Fortescue_SDExport'!P:P)</f>
        <v>0</v>
      </c>
      <c r="Q280">
        <f>_xlfn.XLOOKUP($A280,'EA-Fortescue_SDExport'!$A:$A,'EA-Fortescue_SDExport'!Q:Q)</f>
        <v>0</v>
      </c>
      <c r="R280">
        <f>_xlfn.XLOOKUP($A280,'EA-Fortescue_SDExport'!$A:$A,'EA-Fortescue_SDExport'!R:R)</f>
        <v>0</v>
      </c>
      <c r="S280">
        <f>_xlfn.XLOOKUP($A280,'EA-Fortescue_SDExport'!$A:$A,'EA-Fortescue_SDExport'!S:S)</f>
        <v>0</v>
      </c>
      <c r="T280">
        <f>_xlfn.XLOOKUP($A280,'EA-Fortescue_SDExport'!$A:$A,'EA-Fortescue_SDExport'!T:T)</f>
        <v>0</v>
      </c>
      <c r="U280">
        <f>_xlfn.XLOOKUP($A280,'EA-Fortescue_SDExport'!$A:$A,'EA-Fortescue_SDExport'!U:U)</f>
        <v>45973.606238425928</v>
      </c>
      <c r="V280">
        <f>_xlfn.XLOOKUP($A280,'EA-Fortescue_SDExport'!$A:$A,'EA-Fortescue_SDExport'!V:V)</f>
        <v>46050.691747685189</v>
      </c>
      <c r="W280">
        <f>_xlfn.XLOOKUP($A280,'EA-Fortescue_SDExport'!$A:$A,'EA-Fortescue_SDExport'!W:W)</f>
        <v>0</v>
      </c>
      <c r="X280">
        <f>_xlfn.XLOOKUP($A280,'EA-Fortescue_SDExport'!$A:$A,'EA-Fortescue_SDExport'!X:X)</f>
        <v>0</v>
      </c>
      <c r="Y280">
        <f>_xlfn.XLOOKUP($A280,'EA-Fortescue_SDExport'!$A:$A,'EA-Fortescue_SDExport'!Y:Y)</f>
        <v>0</v>
      </c>
      <c r="Z280" t="str">
        <f>_xlfn.XLOOKUP($A280,'EA-Fortescue_SDExport'!$A:$A,'EA-Fortescue_SDExport'!Z:Z)</f>
        <v>SysML1.4::InterfaceBlock</v>
      </c>
      <c r="AA280" t="str">
        <f>_xlfn.XLOOKUP($A280,InterfaceRegister!$A:$A,InterfaceRegister!B:B)</f>
        <v>855DC-1543-PPC Pit Power Capacity Planning Tool - Capacity Check|Solomon Mine Hub: Drill Rig</v>
      </c>
      <c r="AB280" t="str">
        <f>_xlfn.XLOOKUP($A280,InterfaceRegister!$A:$A,InterfaceRegister!C:C)</f>
        <v/>
      </c>
      <c r="AC280" t="str">
        <f>_xlfn.XLOOKUP($A280,InterfaceRegister!$A:$A,InterfaceRegister!D:D)</f>
        <v/>
      </c>
      <c r="AD280" t="str">
        <f>_xlfn.XLOOKUP($A280,InterfaceRegister!$A:$A,InterfaceRegister!E:E)</f>
        <v>System - Project Interface</v>
      </c>
      <c r="AE280" t="str">
        <f>_xlfn.XLOOKUP($A280,InterfaceRegister!$A:$A,InterfaceRegister!F:F)</f>
        <v/>
      </c>
      <c r="AF280" t="str">
        <f>_xlfn.XLOOKUP($A280,InterfaceRegister!$A:$A,InterfaceRegister!L:L)</f>
        <v/>
      </c>
      <c r="AG280" t="str">
        <f>_xlfn.XLOOKUP($A280,InterfaceRegister!$A:$A,InterfaceRegister!M:M)</f>
        <v/>
      </c>
      <c r="AH280" t="str">
        <f>_xlfn.XLOOKUP($A280,InterfaceRegister!$A:$A,InterfaceRegister!O:O)</f>
        <v/>
      </c>
      <c r="AI280" t="str">
        <f>_xlfn.XLOOKUP($A280,InterfaceRegister!$A:$A,InterfaceRegister!N:N)</f>
        <v/>
      </c>
      <c r="AJ280" t="str">
        <f>_xlfn.XLOOKUP($A280,'EA-Fortescue_SDExport'!$A:$A,'EA-Fortescue_SDExport'!AX:AX)</f>
        <v>CSV0C79F6C5</v>
      </c>
      <c r="AK280">
        <f>_xlfn.XLOOKUP($A280,'EA-Fortescue_SDExport'!$A:$A,'EA-Fortescue_SDExport'!AY:AY)</f>
        <v>0</v>
      </c>
    </row>
    <row r="281" spans="1:37" x14ac:dyDescent="0.25">
      <c r="A281" t="str">
        <v>DGS-I_0280</v>
      </c>
      <c r="B281" t="str">
        <f>_xlfn.XLOOKUP($A281,'EA-Fortescue_SDExport'!$A:$A,'EA-Fortescue_SDExport'!B:B)</f>
        <v>Class</v>
      </c>
      <c r="C281" t="str">
        <f>_xlfn.XLOOKUP($A281,'EA-Fortescue_SDExport'!$A:$A,'EA-Fortescue_SDExport'!C:C)</f>
        <v>{DC3CA999-4624-4284-86B0-FCFD5755091A}</v>
      </c>
      <c r="D281" t="str">
        <f>_xlfn.LET(_xlpm.result, _xlfn.XLOOKUP($A281, InterfaceRegister!$A:$A, InterfaceRegister!P:P), IF(_xlpm.result=0, "", _xlpm.result))</f>
        <v/>
      </c>
      <c r="E281">
        <f>_xlfn.XLOOKUP($A281,'EA-Fortescue_SDExport'!$A:$A,'EA-Fortescue_SDExport'!E:E)</f>
        <v>1</v>
      </c>
      <c r="F281">
        <f>_xlfn.XLOOKUP($A281,'EA-Fortescue_SDExport'!$A:$A,'EA-Fortescue_SDExport'!F:F)</f>
        <v>1</v>
      </c>
      <c r="G281">
        <f>_xlfn.XLOOKUP($A281,'EA-Fortescue_SDExport'!$A:$A,'EA-Fortescue_SDExport'!G:G)</f>
        <v>0</v>
      </c>
      <c r="H281" t="str">
        <f>_xlfn.XLOOKUP($A281,'EA-Fortescue_SDExport'!$A:$A,'EA-Fortescue_SDExport'!H:H)</f>
        <v>InterfaceBlock</v>
      </c>
      <c r="I281" t="str">
        <f>_xlfn.XLOOKUP($A281,'EA-Fortescue_SDExport'!$A:$A,'EA-Fortescue_SDExport'!I:I)</f>
        <v>SysML1.4::InterfaceBlock</v>
      </c>
      <c r="J281" t="str">
        <f>_xlfn.XLOOKUP($A281,'EA-Fortescue_SDExport'!$A:$A,'EA-Fortescue_SDExport'!J:J)</f>
        <v>Java</v>
      </c>
      <c r="K281" t="str">
        <f>_xlfn.XLOOKUP($A281,'EA-Fortescue_SDExport'!$A:$A,'EA-Fortescue_SDExport'!K:K)</f>
        <v>Admin</v>
      </c>
      <c r="L281" t="str">
        <f>_xlfn.XLOOKUP($A281,'EA-Fortescue_SDExport'!$A:$A,'EA-Fortescue_SDExport'!L:L)</f>
        <v>Public</v>
      </c>
      <c r="M281">
        <f>_xlfn.XLOOKUP($A281,'EA-Fortescue_SDExport'!$A:$A,'EA-Fortescue_SDExport'!M:M)</f>
        <v>0</v>
      </c>
      <c r="N281" t="str">
        <f>_xlfn.XLOOKUP($A281,InterfaceRegister!$A:$A,InterfaceRegister!K:K)</f>
        <v>Proposed</v>
      </c>
      <c r="O281">
        <f>_xlfn.XLOOKUP($A281,'EA-Fortescue_SDExport'!$A:$A,'EA-Fortescue_SDExport'!O:O)</f>
        <v>1</v>
      </c>
      <c r="P281">
        <f>_xlfn.XLOOKUP($A281,'EA-Fortescue_SDExport'!$A:$A,'EA-Fortescue_SDExport'!P:P)</f>
        <v>0</v>
      </c>
      <c r="Q281">
        <f>_xlfn.XLOOKUP($A281,'EA-Fortescue_SDExport'!$A:$A,'EA-Fortescue_SDExport'!Q:Q)</f>
        <v>0</v>
      </c>
      <c r="R281">
        <f>_xlfn.XLOOKUP($A281,'EA-Fortescue_SDExport'!$A:$A,'EA-Fortescue_SDExport'!R:R)</f>
        <v>0</v>
      </c>
      <c r="S281">
        <f>_xlfn.XLOOKUP($A281,'EA-Fortescue_SDExport'!$A:$A,'EA-Fortescue_SDExport'!S:S)</f>
        <v>0</v>
      </c>
      <c r="T281">
        <f>_xlfn.XLOOKUP($A281,'EA-Fortescue_SDExport'!$A:$A,'EA-Fortescue_SDExport'!T:T)</f>
        <v>0</v>
      </c>
      <c r="U281">
        <f>_xlfn.XLOOKUP($A281,'EA-Fortescue_SDExport'!$A:$A,'EA-Fortescue_SDExport'!U:U)</f>
        <v>45973.632523148146</v>
      </c>
      <c r="V281">
        <f>_xlfn.XLOOKUP($A281,'EA-Fortescue_SDExport'!$A:$A,'EA-Fortescue_SDExport'!V:V)</f>
        <v>46002.004930555559</v>
      </c>
      <c r="W281">
        <f>_xlfn.XLOOKUP($A281,'EA-Fortescue_SDExport'!$A:$A,'EA-Fortescue_SDExport'!W:W)</f>
        <v>0</v>
      </c>
      <c r="X281">
        <f>_xlfn.XLOOKUP($A281,'EA-Fortescue_SDExport'!$A:$A,'EA-Fortescue_SDExport'!X:X)</f>
        <v>0</v>
      </c>
      <c r="Y281">
        <f>_xlfn.XLOOKUP($A281,'EA-Fortescue_SDExport'!$A:$A,'EA-Fortescue_SDExport'!Y:Y)</f>
        <v>0</v>
      </c>
      <c r="Z281" t="str">
        <f>_xlfn.XLOOKUP($A281,'EA-Fortescue_SDExport'!$A:$A,'EA-Fortescue_SDExport'!Z:Z)</f>
        <v>SysML1.4::InterfaceBlock</v>
      </c>
      <c r="AA281" t="str">
        <f>_xlfn.XLOOKUP($A281,InterfaceRegister!$A:$A,InterfaceRegister!B:B)</f>
        <v>Solomon Mine Hub: AC1|Solomon Mine Hub: Haulage</v>
      </c>
      <c r="AB281" t="str">
        <f>_xlfn.XLOOKUP($A281,InterfaceRegister!$A:$A,InterfaceRegister!C:C)</f>
        <v/>
      </c>
      <c r="AC281" t="str">
        <f>_xlfn.XLOOKUP($A281,InterfaceRegister!$A:$A,InterfaceRegister!D:D)</f>
        <v/>
      </c>
      <c r="AD281" t="str">
        <f>_xlfn.XLOOKUP($A281,InterfaceRegister!$A:$A,InterfaceRegister!E:E)</f>
        <v>System - Subsystem Interface</v>
      </c>
      <c r="AE281" t="str">
        <f>_xlfn.XLOOKUP($A281,InterfaceRegister!$A:$A,InterfaceRegister!F:F)</f>
        <v/>
      </c>
      <c r="AF281" t="str">
        <f>_xlfn.XLOOKUP($A281,InterfaceRegister!$A:$A,InterfaceRegister!L:L)</f>
        <v/>
      </c>
      <c r="AG281" t="str">
        <f>_xlfn.XLOOKUP($A281,InterfaceRegister!$A:$A,InterfaceRegister!M:M)</f>
        <v/>
      </c>
      <c r="AH281" t="str">
        <f>_xlfn.XLOOKUP($A281,InterfaceRegister!$A:$A,InterfaceRegister!O:O)</f>
        <v/>
      </c>
      <c r="AI281" t="str">
        <f>_xlfn.XLOOKUP($A281,InterfaceRegister!$A:$A,InterfaceRegister!N:N)</f>
        <v/>
      </c>
      <c r="AJ281" t="str">
        <f>_xlfn.XLOOKUP($A281,'EA-Fortescue_SDExport'!$A:$A,'EA-Fortescue_SDExport'!AX:AX)</f>
        <v>CSV0DAA214E</v>
      </c>
      <c r="AK281">
        <f>_xlfn.XLOOKUP($A281,'EA-Fortescue_SDExport'!$A:$A,'EA-Fortescue_SDExport'!AY:AY)</f>
        <v>0</v>
      </c>
    </row>
    <row r="282" spans="1:37" x14ac:dyDescent="0.25">
      <c r="A282" t="str">
        <v>DGS-I_0281</v>
      </c>
      <c r="B282" t="str">
        <f>_xlfn.XLOOKUP($A282,'EA-Fortescue_SDExport'!$A:$A,'EA-Fortescue_SDExport'!B:B)</f>
        <v>Class</v>
      </c>
      <c r="C282" t="str">
        <f>_xlfn.XLOOKUP($A282,'EA-Fortescue_SDExport'!$A:$A,'EA-Fortescue_SDExport'!C:C)</f>
        <v>{51031384-335E-4891-BE5A-9379CCA72C2C}</v>
      </c>
      <c r="D282" t="str">
        <f>_xlfn.LET(_xlpm.result, _xlfn.XLOOKUP($A282, InterfaceRegister!$A:$A, InterfaceRegister!P:P), IF(_xlpm.result=0, "", _xlpm.result))</f>
        <v/>
      </c>
      <c r="E282">
        <f>_xlfn.XLOOKUP($A282,'EA-Fortescue_SDExport'!$A:$A,'EA-Fortescue_SDExport'!E:E)</f>
        <v>1</v>
      </c>
      <c r="F282">
        <f>_xlfn.XLOOKUP($A282,'EA-Fortescue_SDExport'!$A:$A,'EA-Fortescue_SDExport'!F:F)</f>
        <v>1</v>
      </c>
      <c r="G282">
        <f>_xlfn.XLOOKUP($A282,'EA-Fortescue_SDExport'!$A:$A,'EA-Fortescue_SDExport'!G:G)</f>
        <v>0</v>
      </c>
      <c r="H282" t="str">
        <f>_xlfn.XLOOKUP($A282,'EA-Fortescue_SDExport'!$A:$A,'EA-Fortescue_SDExport'!H:H)</f>
        <v>InterfaceBlock</v>
      </c>
      <c r="I282" t="str">
        <f>_xlfn.XLOOKUP($A282,'EA-Fortescue_SDExport'!$A:$A,'EA-Fortescue_SDExport'!I:I)</f>
        <v>SysML1.4::InterfaceBlock</v>
      </c>
      <c r="J282" t="str">
        <f>_xlfn.XLOOKUP($A282,'EA-Fortescue_SDExport'!$A:$A,'EA-Fortescue_SDExport'!J:J)</f>
        <v>Java</v>
      </c>
      <c r="K282" t="str">
        <f>_xlfn.XLOOKUP($A282,'EA-Fortescue_SDExport'!$A:$A,'EA-Fortescue_SDExport'!K:K)</f>
        <v>Admin</v>
      </c>
      <c r="L282" t="str">
        <f>_xlfn.XLOOKUP($A282,'EA-Fortescue_SDExport'!$A:$A,'EA-Fortescue_SDExport'!L:L)</f>
        <v>Public</v>
      </c>
      <c r="M282">
        <f>_xlfn.XLOOKUP($A282,'EA-Fortescue_SDExport'!$A:$A,'EA-Fortescue_SDExport'!M:M)</f>
        <v>0</v>
      </c>
      <c r="N282" t="str">
        <f>_xlfn.XLOOKUP($A282,InterfaceRegister!$A:$A,InterfaceRegister!K:K)</f>
        <v>Proposed</v>
      </c>
      <c r="O282">
        <f>_xlfn.XLOOKUP($A282,'EA-Fortescue_SDExport'!$A:$A,'EA-Fortescue_SDExport'!O:O)</f>
        <v>1</v>
      </c>
      <c r="P282">
        <f>_xlfn.XLOOKUP($A282,'EA-Fortescue_SDExport'!$A:$A,'EA-Fortescue_SDExport'!P:P)</f>
        <v>0</v>
      </c>
      <c r="Q282">
        <f>_xlfn.XLOOKUP($A282,'EA-Fortescue_SDExport'!$A:$A,'EA-Fortescue_SDExport'!Q:Q)</f>
        <v>0</v>
      </c>
      <c r="R282">
        <f>_xlfn.XLOOKUP($A282,'EA-Fortescue_SDExport'!$A:$A,'EA-Fortescue_SDExport'!R:R)</f>
        <v>0</v>
      </c>
      <c r="S282">
        <f>_xlfn.XLOOKUP($A282,'EA-Fortescue_SDExport'!$A:$A,'EA-Fortescue_SDExport'!S:S)</f>
        <v>0</v>
      </c>
      <c r="T282">
        <f>_xlfn.XLOOKUP($A282,'EA-Fortescue_SDExport'!$A:$A,'EA-Fortescue_SDExport'!T:T)</f>
        <v>0</v>
      </c>
      <c r="U282">
        <f>_xlfn.XLOOKUP($A282,'EA-Fortescue_SDExport'!$A:$A,'EA-Fortescue_SDExport'!U:U)</f>
        <v>45973.632557870369</v>
      </c>
      <c r="V282">
        <f>_xlfn.XLOOKUP($A282,'EA-Fortescue_SDExport'!$A:$A,'EA-Fortescue_SDExport'!V:V)</f>
        <v>46002.004976851851</v>
      </c>
      <c r="W282">
        <f>_xlfn.XLOOKUP($A282,'EA-Fortescue_SDExport'!$A:$A,'EA-Fortescue_SDExport'!W:W)</f>
        <v>0</v>
      </c>
      <c r="X282">
        <f>_xlfn.XLOOKUP($A282,'EA-Fortescue_SDExport'!$A:$A,'EA-Fortescue_SDExport'!X:X)</f>
        <v>0</v>
      </c>
      <c r="Y282">
        <f>_xlfn.XLOOKUP($A282,'EA-Fortescue_SDExport'!$A:$A,'EA-Fortescue_SDExport'!Y:Y)</f>
        <v>0</v>
      </c>
      <c r="Z282" t="str">
        <f>_xlfn.XLOOKUP($A282,'EA-Fortescue_SDExport'!$A:$A,'EA-Fortescue_SDExport'!Z:Z)</f>
        <v>SysML1.4::InterfaceBlock</v>
      </c>
      <c r="AA282" t="str">
        <f>_xlfn.XLOOKUP($A282,InterfaceRegister!$A:$A,InterfaceRegister!B:B)</f>
        <v>Solomon Mine Hub: Heavy Mobile Equipment (HME)|Solomon Mine Hub: HME Chargers</v>
      </c>
      <c r="AB282" t="str">
        <f>_xlfn.XLOOKUP($A282,InterfaceRegister!$A:$A,InterfaceRegister!C:C)</f>
        <v/>
      </c>
      <c r="AC282" t="str">
        <f>_xlfn.XLOOKUP($A282,InterfaceRegister!$A:$A,InterfaceRegister!D:D)</f>
        <v/>
      </c>
      <c r="AD282" t="str">
        <f>_xlfn.XLOOKUP($A282,InterfaceRegister!$A:$A,InterfaceRegister!E:E)</f>
        <v>Program - Project Interface</v>
      </c>
      <c r="AE282" t="str">
        <f>_xlfn.XLOOKUP($A282,InterfaceRegister!$A:$A,InterfaceRegister!F:F)</f>
        <v/>
      </c>
      <c r="AF282" t="str">
        <f>_xlfn.XLOOKUP($A282,InterfaceRegister!$A:$A,InterfaceRegister!L:L)</f>
        <v/>
      </c>
      <c r="AG282" t="str">
        <f>_xlfn.XLOOKUP($A282,InterfaceRegister!$A:$A,InterfaceRegister!M:M)</f>
        <v/>
      </c>
      <c r="AH282" t="str">
        <f>_xlfn.XLOOKUP($A282,InterfaceRegister!$A:$A,InterfaceRegister!O:O)</f>
        <v/>
      </c>
      <c r="AI282" t="str">
        <f>_xlfn.XLOOKUP($A282,InterfaceRegister!$A:$A,InterfaceRegister!N:N)</f>
        <v/>
      </c>
      <c r="AJ282" t="str">
        <f>_xlfn.XLOOKUP($A282,'EA-Fortescue_SDExport'!$A:$A,'EA-Fortescue_SDExport'!AX:AX)</f>
        <v>CSV7396F894</v>
      </c>
      <c r="AK282">
        <f>_xlfn.XLOOKUP($A282,'EA-Fortescue_SDExport'!$A:$A,'EA-Fortescue_SDExport'!AY:AY)</f>
        <v>0</v>
      </c>
    </row>
    <row r="283" spans="1:37" x14ac:dyDescent="0.25">
      <c r="A283" t="str">
        <v>DGS-I_0282</v>
      </c>
      <c r="B283" t="str">
        <f>_xlfn.XLOOKUP($A283,'EA-Fortescue_SDExport'!$A:$A,'EA-Fortescue_SDExport'!B:B)</f>
        <v>Class</v>
      </c>
      <c r="C283" t="str">
        <f>_xlfn.XLOOKUP($A283,'EA-Fortescue_SDExport'!$A:$A,'EA-Fortescue_SDExport'!C:C)</f>
        <v>{3D08006A-38ED-40a2-952E-C89EEB04EC32}</v>
      </c>
      <c r="D283" t="str">
        <f>_xlfn.LET(_xlpm.result, _xlfn.XLOOKUP($A283, InterfaceRegister!$A:$A, InterfaceRegister!P:P), IF(_xlpm.result=0, "", _xlpm.result))</f>
        <v/>
      </c>
      <c r="E283">
        <f>_xlfn.XLOOKUP($A283,'EA-Fortescue_SDExport'!$A:$A,'EA-Fortescue_SDExport'!E:E)</f>
        <v>1</v>
      </c>
      <c r="F283">
        <f>_xlfn.XLOOKUP($A283,'EA-Fortescue_SDExport'!$A:$A,'EA-Fortescue_SDExport'!F:F)</f>
        <v>1</v>
      </c>
      <c r="G283">
        <f>_xlfn.XLOOKUP($A283,'EA-Fortescue_SDExport'!$A:$A,'EA-Fortescue_SDExport'!G:G)</f>
        <v>0</v>
      </c>
      <c r="H283" t="str">
        <f>_xlfn.XLOOKUP($A283,'EA-Fortescue_SDExport'!$A:$A,'EA-Fortescue_SDExport'!H:H)</f>
        <v>InterfaceBlock</v>
      </c>
      <c r="I283" t="str">
        <f>_xlfn.XLOOKUP($A283,'EA-Fortescue_SDExport'!$A:$A,'EA-Fortescue_SDExport'!I:I)</f>
        <v>SysML1.4::InterfaceBlock</v>
      </c>
      <c r="J283" t="str">
        <f>_xlfn.XLOOKUP($A283,'EA-Fortescue_SDExport'!$A:$A,'EA-Fortescue_SDExport'!J:J)</f>
        <v>Java</v>
      </c>
      <c r="K283" t="str">
        <f>_xlfn.XLOOKUP($A283,'EA-Fortescue_SDExport'!$A:$A,'EA-Fortescue_SDExport'!K:K)</f>
        <v>Admin</v>
      </c>
      <c r="L283" t="str">
        <f>_xlfn.XLOOKUP($A283,'EA-Fortescue_SDExport'!$A:$A,'EA-Fortescue_SDExport'!L:L)</f>
        <v>Public</v>
      </c>
      <c r="M283">
        <f>_xlfn.XLOOKUP($A283,'EA-Fortescue_SDExport'!$A:$A,'EA-Fortescue_SDExport'!M:M)</f>
        <v>0</v>
      </c>
      <c r="N283" t="str">
        <f>_xlfn.XLOOKUP($A283,InterfaceRegister!$A:$A,InterfaceRegister!K:K)</f>
        <v>Proposed</v>
      </c>
      <c r="O283">
        <f>_xlfn.XLOOKUP($A283,'EA-Fortescue_SDExport'!$A:$A,'EA-Fortescue_SDExport'!O:O)</f>
        <v>1</v>
      </c>
      <c r="P283">
        <f>_xlfn.XLOOKUP($A283,'EA-Fortescue_SDExport'!$A:$A,'EA-Fortescue_SDExport'!P:P)</f>
        <v>0</v>
      </c>
      <c r="Q283">
        <f>_xlfn.XLOOKUP($A283,'EA-Fortescue_SDExport'!$A:$A,'EA-Fortescue_SDExport'!Q:Q)</f>
        <v>0</v>
      </c>
      <c r="R283">
        <f>_xlfn.XLOOKUP($A283,'EA-Fortescue_SDExport'!$A:$A,'EA-Fortescue_SDExport'!R:R)</f>
        <v>0</v>
      </c>
      <c r="S283">
        <f>_xlfn.XLOOKUP($A283,'EA-Fortescue_SDExport'!$A:$A,'EA-Fortescue_SDExport'!S:S)</f>
        <v>0</v>
      </c>
      <c r="T283">
        <f>_xlfn.XLOOKUP($A283,'EA-Fortescue_SDExport'!$A:$A,'EA-Fortescue_SDExport'!T:T)</f>
        <v>0</v>
      </c>
      <c r="U283">
        <f>_xlfn.XLOOKUP($A283,'EA-Fortescue_SDExport'!$A:$A,'EA-Fortescue_SDExport'!U:U)</f>
        <v>45973.632719907408</v>
      </c>
      <c r="V283">
        <f>_xlfn.XLOOKUP($A283,'EA-Fortescue_SDExport'!$A:$A,'EA-Fortescue_SDExport'!V:V)</f>
        <v>46002.004999999997</v>
      </c>
      <c r="W283">
        <f>_xlfn.XLOOKUP($A283,'EA-Fortescue_SDExport'!$A:$A,'EA-Fortescue_SDExport'!W:W)</f>
        <v>0</v>
      </c>
      <c r="X283">
        <f>_xlfn.XLOOKUP($A283,'EA-Fortescue_SDExport'!$A:$A,'EA-Fortescue_SDExport'!X:X)</f>
        <v>0</v>
      </c>
      <c r="Y283">
        <f>_xlfn.XLOOKUP($A283,'EA-Fortescue_SDExport'!$A:$A,'EA-Fortescue_SDExport'!Y:Y)</f>
        <v>0</v>
      </c>
      <c r="Z283" t="str">
        <f>_xlfn.XLOOKUP($A283,'EA-Fortescue_SDExport'!$A:$A,'EA-Fortescue_SDExport'!Z:Z)</f>
        <v>SysML1.4::InterfaceBlock</v>
      </c>
      <c r="AA283" t="str">
        <f>_xlfn.XLOOKUP($A283,InterfaceRegister!$A:$A,InterfaceRegister!B:B)</f>
        <v>Solomon Mine Hub: Support Mobile Equipment (SME)|Solomon Mine Hub: HME Auxilary Chargers</v>
      </c>
      <c r="AB283" t="str">
        <f>_xlfn.XLOOKUP($A283,InterfaceRegister!$A:$A,InterfaceRegister!C:C)</f>
        <v/>
      </c>
      <c r="AC283" t="str">
        <f>_xlfn.XLOOKUP($A283,InterfaceRegister!$A:$A,InterfaceRegister!D:D)</f>
        <v/>
      </c>
      <c r="AD283" t="str">
        <f>_xlfn.XLOOKUP($A283,InterfaceRegister!$A:$A,InterfaceRegister!E:E)</f>
        <v>Program - Project Interface</v>
      </c>
      <c r="AE283" t="str">
        <f>_xlfn.XLOOKUP($A283,InterfaceRegister!$A:$A,InterfaceRegister!F:F)</f>
        <v/>
      </c>
      <c r="AF283" t="str">
        <f>_xlfn.XLOOKUP($A283,InterfaceRegister!$A:$A,InterfaceRegister!L:L)</f>
        <v/>
      </c>
      <c r="AG283" t="str">
        <f>_xlfn.XLOOKUP($A283,InterfaceRegister!$A:$A,InterfaceRegister!M:M)</f>
        <v/>
      </c>
      <c r="AH283" t="str">
        <f>_xlfn.XLOOKUP($A283,InterfaceRegister!$A:$A,InterfaceRegister!O:O)</f>
        <v/>
      </c>
      <c r="AI283" t="str">
        <f>_xlfn.XLOOKUP($A283,InterfaceRegister!$A:$A,InterfaceRegister!N:N)</f>
        <v/>
      </c>
      <c r="AJ283" t="str">
        <f>_xlfn.XLOOKUP($A283,'EA-Fortescue_SDExport'!$A:$A,'EA-Fortescue_SDExport'!AX:AX)</f>
        <v>CSV3F4C4509</v>
      </c>
      <c r="AK283">
        <f>_xlfn.XLOOKUP($A283,'EA-Fortescue_SDExport'!$A:$A,'EA-Fortescue_SDExport'!AY:AY)</f>
        <v>0</v>
      </c>
    </row>
    <row r="284" spans="1:37" x14ac:dyDescent="0.25">
      <c r="A284" t="str">
        <v>DGS-I_0283</v>
      </c>
      <c r="B284" t="str">
        <f>_xlfn.XLOOKUP($A284,'EA-Fortescue_SDExport'!$A:$A,'EA-Fortescue_SDExport'!B:B)</f>
        <v>Class</v>
      </c>
      <c r="C284" t="str">
        <f>_xlfn.XLOOKUP($A284,'EA-Fortescue_SDExport'!$A:$A,'EA-Fortescue_SDExport'!C:C)</f>
        <v>{E365E36E-4DC6-413f-A1F6-A73F8DE1AC62}</v>
      </c>
      <c r="D284" t="str">
        <f>_xlfn.LET(_xlpm.result, _xlfn.XLOOKUP($A284, InterfaceRegister!$A:$A, InterfaceRegister!P:P), IF(_xlpm.result=0, "", _xlpm.result))</f>
        <v>SBS-WBS Mapping 02/01/2026: Delete LME &amp;amp; Merge LME &amp;amp; SME to combined Program Level - Interface deleted.</v>
      </c>
      <c r="E284">
        <f>_xlfn.XLOOKUP($A284,'EA-Fortescue_SDExport'!$A:$A,'EA-Fortescue_SDExport'!E:E)</f>
        <v>1</v>
      </c>
      <c r="F284">
        <f>_xlfn.XLOOKUP($A284,'EA-Fortescue_SDExport'!$A:$A,'EA-Fortescue_SDExport'!F:F)</f>
        <v>1</v>
      </c>
      <c r="G284">
        <f>_xlfn.XLOOKUP($A284,'EA-Fortescue_SDExport'!$A:$A,'EA-Fortescue_SDExport'!G:G)</f>
        <v>0</v>
      </c>
      <c r="H284" t="str">
        <f>_xlfn.XLOOKUP($A284,'EA-Fortescue_SDExport'!$A:$A,'EA-Fortescue_SDExport'!H:H)</f>
        <v>InterfaceBlock</v>
      </c>
      <c r="I284" t="str">
        <f>_xlfn.XLOOKUP($A284,'EA-Fortescue_SDExport'!$A:$A,'EA-Fortescue_SDExport'!I:I)</f>
        <v>SysML1.4::InterfaceBlock</v>
      </c>
      <c r="J284" t="str">
        <f>_xlfn.XLOOKUP($A284,'EA-Fortescue_SDExport'!$A:$A,'EA-Fortescue_SDExport'!J:J)</f>
        <v>Java</v>
      </c>
      <c r="K284" t="str">
        <f>_xlfn.XLOOKUP($A284,'EA-Fortescue_SDExport'!$A:$A,'EA-Fortescue_SDExport'!K:K)</f>
        <v>Admin</v>
      </c>
      <c r="L284" t="str">
        <f>_xlfn.XLOOKUP($A284,'EA-Fortescue_SDExport'!$A:$A,'EA-Fortescue_SDExport'!L:L)</f>
        <v>Public</v>
      </c>
      <c r="M284">
        <f>_xlfn.XLOOKUP($A284,'EA-Fortescue_SDExport'!$A:$A,'EA-Fortescue_SDExport'!M:M)</f>
        <v>0</v>
      </c>
      <c r="N284" t="str">
        <f>_xlfn.XLOOKUP($A284,InterfaceRegister!$A:$A,InterfaceRegister!K:K)</f>
        <v>Deleted</v>
      </c>
      <c r="O284">
        <f>_xlfn.XLOOKUP($A284,'EA-Fortescue_SDExport'!$A:$A,'EA-Fortescue_SDExport'!O:O)</f>
        <v>1</v>
      </c>
      <c r="P284">
        <f>_xlfn.XLOOKUP($A284,'EA-Fortescue_SDExport'!$A:$A,'EA-Fortescue_SDExport'!P:P)</f>
        <v>0</v>
      </c>
      <c r="Q284">
        <f>_xlfn.XLOOKUP($A284,'EA-Fortescue_SDExport'!$A:$A,'EA-Fortescue_SDExport'!Q:Q)</f>
        <v>0</v>
      </c>
      <c r="R284">
        <f>_xlfn.XLOOKUP($A284,'EA-Fortescue_SDExport'!$A:$A,'EA-Fortescue_SDExport'!R:R)</f>
        <v>0</v>
      </c>
      <c r="S284">
        <f>_xlfn.XLOOKUP($A284,'EA-Fortescue_SDExport'!$A:$A,'EA-Fortescue_SDExport'!S:S)</f>
        <v>0</v>
      </c>
      <c r="T284">
        <f>_xlfn.XLOOKUP($A284,'EA-Fortescue_SDExport'!$A:$A,'EA-Fortescue_SDExport'!T:T)</f>
        <v>0</v>
      </c>
      <c r="U284">
        <f>_xlfn.XLOOKUP($A284,'EA-Fortescue_SDExport'!$A:$A,'EA-Fortescue_SDExport'!U:U)</f>
        <v>45973.632754629631</v>
      </c>
      <c r="V284">
        <f>_xlfn.XLOOKUP($A284,'EA-Fortescue_SDExport'!$A:$A,'EA-Fortescue_SDExport'!V:V)</f>
        <v>46036.914479166669</v>
      </c>
      <c r="W284">
        <f>_xlfn.XLOOKUP($A284,'EA-Fortescue_SDExport'!$A:$A,'EA-Fortescue_SDExport'!W:W)</f>
        <v>0</v>
      </c>
      <c r="X284">
        <f>_xlfn.XLOOKUP($A284,'EA-Fortescue_SDExport'!$A:$A,'EA-Fortescue_SDExport'!X:X)</f>
        <v>0</v>
      </c>
      <c r="Y284">
        <f>_xlfn.XLOOKUP($A284,'EA-Fortescue_SDExport'!$A:$A,'EA-Fortescue_SDExport'!Y:Y)</f>
        <v>0</v>
      </c>
      <c r="Z284" t="str">
        <f>_xlfn.XLOOKUP($A284,'EA-Fortescue_SDExport'!$A:$A,'EA-Fortescue_SDExport'!Z:Z)</f>
        <v>SysML1.4::InterfaceBlock</v>
      </c>
      <c r="AA284" t="str">
        <f>_xlfn.XLOOKUP($A284,InterfaceRegister!$A:$A,InterfaceRegister!B:B)</f>
        <v>Solomon Mine Hub: Light Mobile Equipment (LME)|Solomon Mine Hub: LME / SME Chargers</v>
      </c>
      <c r="AB284" t="str">
        <f>_xlfn.XLOOKUP($A284,InterfaceRegister!$A:$A,InterfaceRegister!C:C)</f>
        <v/>
      </c>
      <c r="AC284" t="str">
        <f>_xlfn.XLOOKUP($A284,InterfaceRegister!$A:$A,InterfaceRegister!D:D)</f>
        <v/>
      </c>
      <c r="AD284" t="str">
        <f>_xlfn.XLOOKUP($A284,InterfaceRegister!$A:$A,InterfaceRegister!E:E)</f>
        <v>Program - Project Interface</v>
      </c>
      <c r="AE284" t="str">
        <f>_xlfn.XLOOKUP($A284,InterfaceRegister!$A:$A,InterfaceRegister!F:F)</f>
        <v/>
      </c>
      <c r="AF284" t="str">
        <f>_xlfn.XLOOKUP($A284,InterfaceRegister!$A:$A,InterfaceRegister!L:L)</f>
        <v/>
      </c>
      <c r="AG284" t="str">
        <f>_xlfn.XLOOKUP($A284,InterfaceRegister!$A:$A,InterfaceRegister!M:M)</f>
        <v/>
      </c>
      <c r="AH284" t="str">
        <f>_xlfn.XLOOKUP($A284,InterfaceRegister!$A:$A,InterfaceRegister!O:O)</f>
        <v/>
      </c>
      <c r="AI284" t="str">
        <f>_xlfn.XLOOKUP($A284,InterfaceRegister!$A:$A,InterfaceRegister!N:N)</f>
        <v/>
      </c>
      <c r="AJ284" t="str">
        <f>_xlfn.XLOOKUP($A284,'EA-Fortescue_SDExport'!$A:$A,'EA-Fortescue_SDExport'!AX:AX)</f>
        <v>CSV129AA8B1</v>
      </c>
      <c r="AK284">
        <f>_xlfn.XLOOKUP($A284,'EA-Fortescue_SDExport'!$A:$A,'EA-Fortescue_SDExport'!AY:AY)</f>
        <v>0</v>
      </c>
    </row>
    <row r="285" spans="1:37" x14ac:dyDescent="0.25">
      <c r="A285" t="str">
        <v>DGS-I_0284</v>
      </c>
      <c r="B285" t="str">
        <f>_xlfn.XLOOKUP($A285,'EA-Fortescue_SDExport'!$A:$A,'EA-Fortescue_SDExport'!B:B)</f>
        <v>Class</v>
      </c>
      <c r="C285" t="str">
        <f>_xlfn.XLOOKUP($A285,'EA-Fortescue_SDExport'!$A:$A,'EA-Fortescue_SDExport'!C:C)</f>
        <v>{41090570-2796-465b-AA8C-8ECFA84DE128}</v>
      </c>
      <c r="D285" t="str">
        <f>_xlfn.LET(_xlpm.result, _xlfn.XLOOKUP($A285, InterfaceRegister!$A:$A, InterfaceRegister!P:P), IF(_xlpm.result=0, "", _xlpm.result))</f>
        <v>From DGS-I_0175 (interface with generic AC1): CSMS Review 30/10/2025: Speak OCPP to a vCharm Edge._x000D_
State, current voltage, car plugged in?_x000D_
Getting back charge auth, charge rate profiles. set charge rate._x000D_
Depending on charger the charger, potentially phoning home to manufacturers cloud.</v>
      </c>
      <c r="E285">
        <f>_xlfn.XLOOKUP($A285,'EA-Fortescue_SDExport'!$A:$A,'EA-Fortescue_SDExport'!E:E)</f>
        <v>1</v>
      </c>
      <c r="F285">
        <f>_xlfn.XLOOKUP($A285,'EA-Fortescue_SDExport'!$A:$A,'EA-Fortescue_SDExport'!F:F)</f>
        <v>1</v>
      </c>
      <c r="G285">
        <f>_xlfn.XLOOKUP($A285,'EA-Fortescue_SDExport'!$A:$A,'EA-Fortescue_SDExport'!G:G)</f>
        <v>0</v>
      </c>
      <c r="H285" t="str">
        <f>_xlfn.XLOOKUP($A285,'EA-Fortescue_SDExport'!$A:$A,'EA-Fortescue_SDExport'!H:H)</f>
        <v>InterfaceBlock</v>
      </c>
      <c r="I285" t="str">
        <f>_xlfn.XLOOKUP($A285,'EA-Fortescue_SDExport'!$A:$A,'EA-Fortescue_SDExport'!I:I)</f>
        <v>SysML1.4::InterfaceBlock</v>
      </c>
      <c r="J285" t="str">
        <f>_xlfn.XLOOKUP($A285,'EA-Fortescue_SDExport'!$A:$A,'EA-Fortescue_SDExport'!J:J)</f>
        <v>Java</v>
      </c>
      <c r="K285" t="str">
        <f>_xlfn.XLOOKUP($A285,'EA-Fortescue_SDExport'!$A:$A,'EA-Fortescue_SDExport'!K:K)</f>
        <v>Admin</v>
      </c>
      <c r="L285" t="str">
        <f>_xlfn.XLOOKUP($A285,'EA-Fortescue_SDExport'!$A:$A,'EA-Fortescue_SDExport'!L:L)</f>
        <v>Public</v>
      </c>
      <c r="M285">
        <f>_xlfn.XLOOKUP($A285,'EA-Fortescue_SDExport'!$A:$A,'EA-Fortescue_SDExport'!M:M)</f>
        <v>0</v>
      </c>
      <c r="N285" t="str">
        <f>_xlfn.XLOOKUP($A285,InterfaceRegister!$A:$A,InterfaceRegister!K:K)</f>
        <v>Proposed</v>
      </c>
      <c r="O285">
        <f>_xlfn.XLOOKUP($A285,'EA-Fortescue_SDExport'!$A:$A,'EA-Fortescue_SDExport'!O:O)</f>
        <v>1</v>
      </c>
      <c r="P285">
        <f>_xlfn.XLOOKUP($A285,'EA-Fortescue_SDExport'!$A:$A,'EA-Fortescue_SDExport'!P:P)</f>
        <v>0</v>
      </c>
      <c r="Q285">
        <f>_xlfn.XLOOKUP($A285,'EA-Fortescue_SDExport'!$A:$A,'EA-Fortescue_SDExport'!Q:Q)</f>
        <v>0</v>
      </c>
      <c r="R285">
        <f>_xlfn.XLOOKUP($A285,'EA-Fortescue_SDExport'!$A:$A,'EA-Fortescue_SDExport'!R:R)</f>
        <v>0</v>
      </c>
      <c r="S285">
        <f>_xlfn.XLOOKUP($A285,'EA-Fortescue_SDExport'!$A:$A,'EA-Fortescue_SDExport'!S:S)</f>
        <v>0</v>
      </c>
      <c r="T285">
        <f>_xlfn.XLOOKUP($A285,'EA-Fortescue_SDExport'!$A:$A,'EA-Fortescue_SDExport'!T:T)</f>
        <v>0</v>
      </c>
      <c r="U285">
        <f>_xlfn.XLOOKUP($A285,'EA-Fortescue_SDExport'!$A:$A,'EA-Fortescue_SDExport'!U:U)</f>
        <v>45973.6328125</v>
      </c>
      <c r="V285">
        <f>_xlfn.XLOOKUP($A285,'EA-Fortescue_SDExport'!$A:$A,'EA-Fortescue_SDExport'!V:V)</f>
        <v>46002.004965277774</v>
      </c>
      <c r="W285">
        <f>_xlfn.XLOOKUP($A285,'EA-Fortescue_SDExport'!$A:$A,'EA-Fortescue_SDExport'!W:W)</f>
        <v>0</v>
      </c>
      <c r="X285">
        <f>_xlfn.XLOOKUP($A285,'EA-Fortescue_SDExport'!$A:$A,'EA-Fortescue_SDExport'!X:X)</f>
        <v>0</v>
      </c>
      <c r="Y285">
        <f>_xlfn.XLOOKUP($A285,'EA-Fortescue_SDExport'!$A:$A,'EA-Fortescue_SDExport'!Y:Y)</f>
        <v>0</v>
      </c>
      <c r="Z285" t="str">
        <f>_xlfn.XLOOKUP($A285,'EA-Fortescue_SDExport'!$A:$A,'EA-Fortescue_SDExport'!Z:Z)</f>
        <v>SysML1.4::InterfaceBlock</v>
      </c>
      <c r="AA285" t="str">
        <f>_xlfn.XLOOKUP($A285,InterfaceRegister!$A:$A,InterfaceRegister!B:B)</f>
        <v>855DC-1542-CSM-002 vCharM.Edge|Solomon Mine Hub: AC1</v>
      </c>
      <c r="AB285" t="str">
        <f>_xlfn.XLOOKUP($A285,InterfaceRegister!$A:$A,InterfaceRegister!C:C)</f>
        <v/>
      </c>
      <c r="AC285" t="str">
        <f>_xlfn.XLOOKUP($A285,InterfaceRegister!$A:$A,InterfaceRegister!D:D)</f>
        <v/>
      </c>
      <c r="AD285" t="str">
        <f>_xlfn.XLOOKUP($A285,InterfaceRegister!$A:$A,InterfaceRegister!E:E)</f>
        <v>Subsystem - Subsystem Interface</v>
      </c>
      <c r="AE285" t="str">
        <f>_xlfn.XLOOKUP($A285,InterfaceRegister!$A:$A,InterfaceRegister!F:F)</f>
        <v>Technical-Data/Software</v>
      </c>
      <c r="AF285" t="str">
        <f>_xlfn.XLOOKUP($A285,InterfaceRegister!$A:$A,InterfaceRegister!L:L)</f>
        <v>This interface connects vCharM.Edge to the AC1 automated charging system at the Solomon Mine Hub, providing the real-time control signals and charger status required for automated plug-in and charging operations.</v>
      </c>
      <c r="AG285" t="str">
        <f>_xlfn.XLOOKUP($A285,InterfaceRegister!$A:$A,InterfaceRegister!M:M)</f>
        <v>HIGH</v>
      </c>
      <c r="AH285" t="str">
        <f>_xlfn.XLOOKUP($A285,InterfaceRegister!$A:$A,InterfaceRegister!O:O)</f>
        <v>Data Flow:_x000D_
vCharM.Edge / CSMS (855DC-1542) -&gt; AC1 Automated Charging System (850DC-1512-0001), transmitting charger availability, energisation status, authorisation signals, load limits, fault states, and interlock confirmations required for automated plug-in and charging initiation._x000D_
AC1 Automated Charging System -&gt; vCharM.Edge / CSMS, returning charger status, connection state, charging progress, power draw, alarms, and exception conditions to support real-time monitoring and load coordination._x000D_
Control Flow:_x000D_
vCharM.Edge issues start/stop commands, charging setpoints, authorisation approvals, and load management instructions to AC1 units to ensure safe, coordinated, high-power charging operations.</v>
      </c>
      <c r="AI285" t="str">
        <f>_xlfn.XLOOKUP($A285,InterfaceRegister!$A:$A,InterfaceRegister!N:N)</f>
        <v>The criticality level is HIGH because the AC1 system relies on accurate, live data from vCharM.Edge to safely start and manage high-power automated charging. Failure could prevent automated charging from beginning, force trucks into manual charging procedures, or create electrical safety hazards during automated connection.</v>
      </c>
      <c r="AJ285" t="str">
        <f>_xlfn.XLOOKUP($A285,'EA-Fortescue_SDExport'!$A:$A,'EA-Fortescue_SDExport'!AX:AX)</f>
        <v>CSVD7A60107</v>
      </c>
      <c r="AK285">
        <f>_xlfn.XLOOKUP($A285,'EA-Fortescue_SDExport'!$A:$A,'EA-Fortescue_SDExport'!AY:AY)</f>
        <v>0</v>
      </c>
    </row>
    <row r="286" spans="1:37" x14ac:dyDescent="0.25">
      <c r="A286" t="str">
        <v>DGS-I_0285</v>
      </c>
      <c r="B286" t="str">
        <f>_xlfn.XLOOKUP($A286,'EA-Fortescue_SDExport'!$A:$A,'EA-Fortescue_SDExport'!B:B)</f>
        <v>Class</v>
      </c>
      <c r="C286" t="str">
        <f>_xlfn.XLOOKUP($A286,'EA-Fortescue_SDExport'!$A:$A,'EA-Fortescue_SDExport'!C:C)</f>
        <v>{8A7A35B4-5657-4ffe-AE74-902D415C02C9}</v>
      </c>
      <c r="D286" t="str">
        <f>_xlfn.LET(_xlpm.result, _xlfn.XLOOKUP($A286, InterfaceRegister!$A:$A, InterfaceRegister!P:P), IF(_xlpm.result=0, "", _xlpm.result))</f>
        <v>From DGS-I_0176 (interface with generic AC1): CSMS Review 30/10/2025: Standard OCPP Comms between (Open Charge Point Protocol).</v>
      </c>
      <c r="E286">
        <f>_xlfn.XLOOKUP($A286,'EA-Fortescue_SDExport'!$A:$A,'EA-Fortescue_SDExport'!E:E)</f>
        <v>1</v>
      </c>
      <c r="F286">
        <f>_xlfn.XLOOKUP($A286,'EA-Fortescue_SDExport'!$A:$A,'EA-Fortescue_SDExport'!F:F)</f>
        <v>1</v>
      </c>
      <c r="G286">
        <f>_xlfn.XLOOKUP($A286,'EA-Fortescue_SDExport'!$A:$A,'EA-Fortescue_SDExport'!G:G)</f>
        <v>0</v>
      </c>
      <c r="H286" t="str">
        <f>_xlfn.XLOOKUP($A286,'EA-Fortescue_SDExport'!$A:$A,'EA-Fortescue_SDExport'!H:H)</f>
        <v>InterfaceBlock</v>
      </c>
      <c r="I286" t="str">
        <f>_xlfn.XLOOKUP($A286,'EA-Fortescue_SDExport'!$A:$A,'EA-Fortescue_SDExport'!I:I)</f>
        <v>SysML1.4::InterfaceBlock</v>
      </c>
      <c r="J286" t="str">
        <f>_xlfn.XLOOKUP($A286,'EA-Fortescue_SDExport'!$A:$A,'EA-Fortescue_SDExport'!J:J)</f>
        <v>Java</v>
      </c>
      <c r="K286" t="str">
        <f>_xlfn.XLOOKUP($A286,'EA-Fortescue_SDExport'!$A:$A,'EA-Fortescue_SDExport'!K:K)</f>
        <v>Admin</v>
      </c>
      <c r="L286" t="str">
        <f>_xlfn.XLOOKUP($A286,'EA-Fortescue_SDExport'!$A:$A,'EA-Fortescue_SDExport'!L:L)</f>
        <v>Public</v>
      </c>
      <c r="M286">
        <f>_xlfn.XLOOKUP($A286,'EA-Fortescue_SDExport'!$A:$A,'EA-Fortescue_SDExport'!M:M)</f>
        <v>0</v>
      </c>
      <c r="N286" t="str">
        <f>_xlfn.XLOOKUP($A286,InterfaceRegister!$A:$A,InterfaceRegister!K:K)</f>
        <v>Proposed</v>
      </c>
      <c r="O286">
        <f>_xlfn.XLOOKUP($A286,'EA-Fortescue_SDExport'!$A:$A,'EA-Fortescue_SDExport'!O:O)</f>
        <v>1</v>
      </c>
      <c r="P286">
        <f>_xlfn.XLOOKUP($A286,'EA-Fortescue_SDExport'!$A:$A,'EA-Fortescue_SDExport'!P:P)</f>
        <v>0</v>
      </c>
      <c r="Q286">
        <f>_xlfn.XLOOKUP($A286,'EA-Fortescue_SDExport'!$A:$A,'EA-Fortescue_SDExport'!Q:Q)</f>
        <v>0</v>
      </c>
      <c r="R286">
        <f>_xlfn.XLOOKUP($A286,'EA-Fortescue_SDExport'!$A:$A,'EA-Fortescue_SDExport'!R:R)</f>
        <v>0</v>
      </c>
      <c r="S286">
        <f>_xlfn.XLOOKUP($A286,'EA-Fortescue_SDExport'!$A:$A,'EA-Fortescue_SDExport'!S:S)</f>
        <v>0</v>
      </c>
      <c r="T286">
        <f>_xlfn.XLOOKUP($A286,'EA-Fortescue_SDExport'!$A:$A,'EA-Fortescue_SDExport'!T:T)</f>
        <v>0</v>
      </c>
      <c r="U286">
        <f>_xlfn.XLOOKUP($A286,'EA-Fortescue_SDExport'!$A:$A,'EA-Fortescue_SDExport'!U:U)</f>
        <v>45973.632847222223</v>
      </c>
      <c r="V286">
        <f>_xlfn.XLOOKUP($A286,'EA-Fortescue_SDExport'!$A:$A,'EA-Fortescue_SDExport'!V:V)</f>
        <v>46002.004930555559</v>
      </c>
      <c r="W286">
        <f>_xlfn.XLOOKUP($A286,'EA-Fortescue_SDExport'!$A:$A,'EA-Fortescue_SDExport'!W:W)</f>
        <v>0</v>
      </c>
      <c r="X286">
        <f>_xlfn.XLOOKUP($A286,'EA-Fortescue_SDExport'!$A:$A,'EA-Fortescue_SDExport'!X:X)</f>
        <v>0</v>
      </c>
      <c r="Y286">
        <f>_xlfn.XLOOKUP($A286,'EA-Fortescue_SDExport'!$A:$A,'EA-Fortescue_SDExport'!Y:Y)</f>
        <v>0</v>
      </c>
      <c r="Z286" t="str">
        <f>_xlfn.XLOOKUP($A286,'EA-Fortescue_SDExport'!$A:$A,'EA-Fortescue_SDExport'!Z:Z)</f>
        <v>SysML1.4::InterfaceBlock</v>
      </c>
      <c r="AA286" t="str">
        <f>_xlfn.XLOOKUP($A286,InterfaceRegister!$A:$A,InterfaceRegister!B:B)</f>
        <v>855DC-1542-CSM-001 vCharM by Vector|Solomon Mine Hub: AC1</v>
      </c>
      <c r="AB286" t="str">
        <f>_xlfn.XLOOKUP($A286,InterfaceRegister!$A:$A,InterfaceRegister!C:C)</f>
        <v/>
      </c>
      <c r="AC286" t="str">
        <f>_xlfn.XLOOKUP($A286,InterfaceRegister!$A:$A,InterfaceRegister!D:D)</f>
        <v/>
      </c>
      <c r="AD286" t="str">
        <f>_xlfn.XLOOKUP($A286,InterfaceRegister!$A:$A,InterfaceRegister!E:E)</f>
        <v>Subsystem - Subsystem Interface</v>
      </c>
      <c r="AE286" t="str">
        <f>_xlfn.XLOOKUP($A286,InterfaceRegister!$A:$A,InterfaceRegister!F:F)</f>
        <v>Technical-Data/Software</v>
      </c>
      <c r="AF286" t="str">
        <f>_xlfn.XLOOKUP($A286,InterfaceRegister!$A:$A,InterfaceRegister!L:L)</f>
        <v>This interface allows vCharM to coordinate with the AC1 automated charging hardware at Solomon, controlling charger readiness, authorisation, and energy delivery to haul trucks.</v>
      </c>
      <c r="AG286" t="str">
        <f>_xlfn.XLOOKUP($A286,InterfaceRegister!$A:$A,InterfaceRegister!M:M)</f>
        <v>HIGH</v>
      </c>
      <c r="AH286" t="str">
        <f>_xlfn.XLOOKUP($A286,InterfaceRegister!$A:$A,InterfaceRegister!O:O)</f>
        <v>Data Flow:_x000D_
vCharM / CSMS (855DC-1542) -&gt; AC1 Automated Charging Hardware (850DC-1512-0001), transmitting charger readiness status, authorisation signals, energisation commands, load limits, charging setpoints, and safety interlock conditions required to initiate and control automated charging cycles._x000D_
AC1 Automated Charging Hardware -&gt; vCharM / CSMS, returning connection status, dock confirmation, charging progress, real-time power draw, fault states, alarms, and completion notifications to enable monitoring and coordinated load management._x000D_
Control Flow:_x000D_
vCharM issues start/stop commands, charging profiles, authorisation approvals, and dynamic load control instructions to ensure safe energisation and controlled high-power energy delivery to haul trucks.</v>
      </c>
      <c r="AI286" t="str">
        <f>_xlfn.XLOOKUP($A286,InterfaceRegister!$A:$A,InterfaceRegister!N:N)</f>
        <v>The criticality level is HIGH because the AC1 system requires correct instructions from vCharM to dock, energise, and manage charging cycles safely. Incorrect or missing data can result in failed automated charging sequences, production losses, or unsafe electrical states affecting critical equipment.</v>
      </c>
      <c r="AJ286" t="str">
        <f>_xlfn.XLOOKUP($A286,'EA-Fortescue_SDExport'!$A:$A,'EA-Fortescue_SDExport'!AX:AX)</f>
        <v>CSVFE668CE8</v>
      </c>
      <c r="AK286">
        <f>_xlfn.XLOOKUP($A286,'EA-Fortescue_SDExport'!$A:$A,'EA-Fortescue_SDExport'!AY:AY)</f>
        <v>0</v>
      </c>
    </row>
    <row r="287" spans="1:37" x14ac:dyDescent="0.25">
      <c r="A287" t="str">
        <v>DGS-I_0286</v>
      </c>
      <c r="B287" t="str">
        <f>_xlfn.XLOOKUP($A287,'EA-Fortescue_SDExport'!$A:$A,'EA-Fortescue_SDExport'!B:B)</f>
        <v>Class</v>
      </c>
      <c r="C287" t="str">
        <f>_xlfn.XLOOKUP($A287,'EA-Fortescue_SDExport'!$A:$A,'EA-Fortescue_SDExport'!C:C)</f>
        <v>{34827602-4A06-448d-B621-771F98AD6C37}</v>
      </c>
      <c r="D287" t="str">
        <f>_xlfn.LET(_xlpm.result, _xlfn.XLOOKUP($A287,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87">
        <f>_xlfn.XLOOKUP($A287,'EA-Fortescue_SDExport'!$A:$A,'EA-Fortescue_SDExport'!E:E)</f>
        <v>1</v>
      </c>
      <c r="F287">
        <f>_xlfn.XLOOKUP($A287,'EA-Fortescue_SDExport'!$A:$A,'EA-Fortescue_SDExport'!F:F)</f>
        <v>1</v>
      </c>
      <c r="G287">
        <f>_xlfn.XLOOKUP($A287,'EA-Fortescue_SDExport'!$A:$A,'EA-Fortescue_SDExport'!G:G)</f>
        <v>0</v>
      </c>
      <c r="H287" t="str">
        <f>_xlfn.XLOOKUP($A287,'EA-Fortescue_SDExport'!$A:$A,'EA-Fortescue_SDExport'!H:H)</f>
        <v>InterfaceBlock</v>
      </c>
      <c r="I287" t="str">
        <f>_xlfn.XLOOKUP($A287,'EA-Fortescue_SDExport'!$A:$A,'EA-Fortescue_SDExport'!I:I)</f>
        <v>SysML1.4::InterfaceBlock</v>
      </c>
      <c r="J287" t="str">
        <f>_xlfn.XLOOKUP($A287,'EA-Fortescue_SDExport'!$A:$A,'EA-Fortescue_SDExport'!J:J)</f>
        <v>Java</v>
      </c>
      <c r="K287" t="str">
        <f>_xlfn.XLOOKUP($A287,'EA-Fortescue_SDExport'!$A:$A,'EA-Fortescue_SDExport'!K:K)</f>
        <v>Admin</v>
      </c>
      <c r="L287" t="str">
        <f>_xlfn.XLOOKUP($A287,'EA-Fortescue_SDExport'!$A:$A,'EA-Fortescue_SDExport'!L:L)</f>
        <v>Public</v>
      </c>
      <c r="M287">
        <f>_xlfn.XLOOKUP($A287,'EA-Fortescue_SDExport'!$A:$A,'EA-Fortescue_SDExport'!M:M)</f>
        <v>0</v>
      </c>
      <c r="N287" t="str">
        <f>_xlfn.XLOOKUP($A287,InterfaceRegister!$A:$A,InterfaceRegister!K:K)</f>
        <v>Proposed</v>
      </c>
      <c r="O287">
        <f>_xlfn.XLOOKUP($A287,'EA-Fortescue_SDExport'!$A:$A,'EA-Fortescue_SDExport'!O:O)</f>
        <v>1</v>
      </c>
      <c r="P287">
        <f>_xlfn.XLOOKUP($A287,'EA-Fortescue_SDExport'!$A:$A,'EA-Fortescue_SDExport'!P:P)</f>
        <v>0</v>
      </c>
      <c r="Q287">
        <f>_xlfn.XLOOKUP($A287,'EA-Fortescue_SDExport'!$A:$A,'EA-Fortescue_SDExport'!Q:Q)</f>
        <v>0</v>
      </c>
      <c r="R287">
        <f>_xlfn.XLOOKUP($A287,'EA-Fortescue_SDExport'!$A:$A,'EA-Fortescue_SDExport'!R:R)</f>
        <v>0</v>
      </c>
      <c r="S287">
        <f>_xlfn.XLOOKUP($A287,'EA-Fortescue_SDExport'!$A:$A,'EA-Fortescue_SDExport'!S:S)</f>
        <v>0</v>
      </c>
      <c r="T287">
        <f>_xlfn.XLOOKUP($A287,'EA-Fortescue_SDExport'!$A:$A,'EA-Fortescue_SDExport'!T:T)</f>
        <v>0</v>
      </c>
      <c r="U287">
        <f>_xlfn.XLOOKUP($A287,'EA-Fortescue_SDExport'!$A:$A,'EA-Fortescue_SDExport'!U:U)</f>
        <v>45973.632893518516</v>
      </c>
      <c r="V287">
        <f>_xlfn.XLOOKUP($A287,'EA-Fortescue_SDExport'!$A:$A,'EA-Fortescue_SDExport'!V:V)</f>
        <v>46050.691863425927</v>
      </c>
      <c r="W287">
        <f>_xlfn.XLOOKUP($A287,'EA-Fortescue_SDExport'!$A:$A,'EA-Fortescue_SDExport'!W:W)</f>
        <v>0</v>
      </c>
      <c r="X287">
        <f>_xlfn.XLOOKUP($A287,'EA-Fortescue_SDExport'!$A:$A,'EA-Fortescue_SDExport'!X:X)</f>
        <v>0</v>
      </c>
      <c r="Y287">
        <f>_xlfn.XLOOKUP($A287,'EA-Fortescue_SDExport'!$A:$A,'EA-Fortescue_SDExport'!Y:Y)</f>
        <v>0</v>
      </c>
      <c r="Z287" t="str">
        <f>_xlfn.XLOOKUP($A287,'EA-Fortescue_SDExport'!$A:$A,'EA-Fortescue_SDExport'!Z:Z)</f>
        <v>SysML1.4::InterfaceBlock</v>
      </c>
      <c r="AA287" t="str">
        <f>_xlfn.XLOOKUP($A287,InterfaceRegister!$A:$A,InterfaceRegister!B:B)</f>
        <v>Solomon Mine Hub: Chargers|855DC-1543-PPC Pit Power Capacity Planning Tool - Capacity Check</v>
      </c>
      <c r="AB287" t="str">
        <f>_xlfn.XLOOKUP($A287,InterfaceRegister!$A:$A,InterfaceRegister!C:C)</f>
        <v/>
      </c>
      <c r="AC287" t="str">
        <f>_xlfn.XLOOKUP($A287,InterfaceRegister!$A:$A,InterfaceRegister!D:D)</f>
        <v/>
      </c>
      <c r="AD287" t="str">
        <f>_xlfn.XLOOKUP($A287,InterfaceRegister!$A:$A,InterfaceRegister!E:E)</f>
        <v>System - Project Interface</v>
      </c>
      <c r="AE287" t="str">
        <f>_xlfn.XLOOKUP($A287,InterfaceRegister!$A:$A,InterfaceRegister!F:F)</f>
        <v/>
      </c>
      <c r="AF287" t="str">
        <f>_xlfn.XLOOKUP($A287,InterfaceRegister!$A:$A,InterfaceRegister!L:L)</f>
        <v/>
      </c>
      <c r="AG287" t="str">
        <f>_xlfn.XLOOKUP($A287,InterfaceRegister!$A:$A,InterfaceRegister!M:M)</f>
        <v/>
      </c>
      <c r="AH287" t="str">
        <f>_xlfn.XLOOKUP($A287,InterfaceRegister!$A:$A,InterfaceRegister!O:O)</f>
        <v/>
      </c>
      <c r="AI287" t="str">
        <f>_xlfn.XLOOKUP($A287,InterfaceRegister!$A:$A,InterfaceRegister!N:N)</f>
        <v/>
      </c>
      <c r="AJ287" t="str">
        <f>_xlfn.XLOOKUP($A287,'EA-Fortescue_SDExport'!$A:$A,'EA-Fortescue_SDExport'!AX:AX)</f>
        <v>CSVE9A96065</v>
      </c>
      <c r="AK287">
        <f>_xlfn.XLOOKUP($A287,'EA-Fortescue_SDExport'!$A:$A,'EA-Fortescue_SDExport'!AY:AY)</f>
        <v>0</v>
      </c>
    </row>
    <row r="288" spans="1:37" x14ac:dyDescent="0.25">
      <c r="A288" t="str">
        <v>DGS-I_0287</v>
      </c>
      <c r="B288" t="str">
        <f>_xlfn.XLOOKUP($A288,'EA-Fortescue_SDExport'!$A:$A,'EA-Fortescue_SDExport'!B:B)</f>
        <v>Class</v>
      </c>
      <c r="C288" t="str">
        <f>_xlfn.XLOOKUP($A288,'EA-Fortescue_SDExport'!$A:$A,'EA-Fortescue_SDExport'!C:C)</f>
        <v>{30B4E53E-D55B-451c-B3BD-A132FE0FC46A}</v>
      </c>
      <c r="D288" t="str">
        <f>_xlfn.LET(_xlpm.result, _xlfn.XLOOKUP($A288, InterfaceRegister!$A:$A, InterfaceRegister!P:P), IF(_xlpm.result=0, "", _xlpm.result))</f>
        <v/>
      </c>
      <c r="E288">
        <f>_xlfn.XLOOKUP($A288,'EA-Fortescue_SDExport'!$A:$A,'EA-Fortescue_SDExport'!E:E)</f>
        <v>1</v>
      </c>
      <c r="F288">
        <f>_xlfn.XLOOKUP($A288,'EA-Fortescue_SDExport'!$A:$A,'EA-Fortescue_SDExport'!F:F)</f>
        <v>1</v>
      </c>
      <c r="G288">
        <f>_xlfn.XLOOKUP($A288,'EA-Fortescue_SDExport'!$A:$A,'EA-Fortescue_SDExport'!G:G)</f>
        <v>0</v>
      </c>
      <c r="H288" t="str">
        <f>_xlfn.XLOOKUP($A288,'EA-Fortescue_SDExport'!$A:$A,'EA-Fortescue_SDExport'!H:H)</f>
        <v>InterfaceBlock</v>
      </c>
      <c r="I288" t="str">
        <f>_xlfn.XLOOKUP($A288,'EA-Fortescue_SDExport'!$A:$A,'EA-Fortescue_SDExport'!I:I)</f>
        <v>SysML1.4::InterfaceBlock</v>
      </c>
      <c r="J288" t="str">
        <f>_xlfn.XLOOKUP($A288,'EA-Fortescue_SDExport'!$A:$A,'EA-Fortescue_SDExport'!J:J)</f>
        <v>Java</v>
      </c>
      <c r="K288" t="str">
        <f>_xlfn.XLOOKUP($A288,'EA-Fortescue_SDExport'!$A:$A,'EA-Fortescue_SDExport'!K:K)</f>
        <v>Admin</v>
      </c>
      <c r="L288" t="str">
        <f>_xlfn.XLOOKUP($A288,'EA-Fortescue_SDExport'!$A:$A,'EA-Fortescue_SDExport'!L:L)</f>
        <v>Public</v>
      </c>
      <c r="M288">
        <f>_xlfn.XLOOKUP($A288,'EA-Fortescue_SDExport'!$A:$A,'EA-Fortescue_SDExport'!M:M)</f>
        <v>0</v>
      </c>
      <c r="N288" t="str">
        <f>_xlfn.XLOOKUP($A288,InterfaceRegister!$A:$A,InterfaceRegister!K:K)</f>
        <v>Proposed</v>
      </c>
      <c r="O288">
        <f>_xlfn.XLOOKUP($A288,'EA-Fortescue_SDExport'!$A:$A,'EA-Fortescue_SDExport'!O:O)</f>
        <v>1</v>
      </c>
      <c r="P288">
        <f>_xlfn.XLOOKUP($A288,'EA-Fortescue_SDExport'!$A:$A,'EA-Fortescue_SDExport'!P:P)</f>
        <v>0</v>
      </c>
      <c r="Q288">
        <f>_xlfn.XLOOKUP($A288,'EA-Fortescue_SDExport'!$A:$A,'EA-Fortescue_SDExport'!Q:Q)</f>
        <v>0</v>
      </c>
      <c r="R288">
        <f>_xlfn.XLOOKUP($A288,'EA-Fortescue_SDExport'!$A:$A,'EA-Fortescue_SDExport'!R:R)</f>
        <v>0</v>
      </c>
      <c r="S288">
        <f>_xlfn.XLOOKUP($A288,'EA-Fortescue_SDExport'!$A:$A,'EA-Fortescue_SDExport'!S:S)</f>
        <v>0</v>
      </c>
      <c r="T288">
        <f>_xlfn.XLOOKUP($A288,'EA-Fortescue_SDExport'!$A:$A,'EA-Fortescue_SDExport'!T:T)</f>
        <v>0</v>
      </c>
      <c r="U288">
        <f>_xlfn.XLOOKUP($A288,'EA-Fortescue_SDExport'!$A:$A,'EA-Fortescue_SDExport'!U:U)</f>
        <v>45973.632951388892</v>
      </c>
      <c r="V288">
        <f>_xlfn.XLOOKUP($A288,'EA-Fortescue_SDExport'!$A:$A,'EA-Fortescue_SDExport'!V:V)</f>
        <v>46002.004988425928</v>
      </c>
      <c r="W288">
        <f>_xlfn.XLOOKUP($A288,'EA-Fortescue_SDExport'!$A:$A,'EA-Fortescue_SDExport'!W:W)</f>
        <v>0</v>
      </c>
      <c r="X288">
        <f>_xlfn.XLOOKUP($A288,'EA-Fortescue_SDExport'!$A:$A,'EA-Fortescue_SDExport'!X:X)</f>
        <v>0</v>
      </c>
      <c r="Y288">
        <f>_xlfn.XLOOKUP($A288,'EA-Fortescue_SDExport'!$A:$A,'EA-Fortescue_SDExport'!Y:Y)</f>
        <v>0</v>
      </c>
      <c r="Z288" t="str">
        <f>_xlfn.XLOOKUP($A288,'EA-Fortescue_SDExport'!$A:$A,'EA-Fortescue_SDExport'!Z:Z)</f>
        <v>SysML1.4::InterfaceBlock</v>
      </c>
      <c r="AA288" t="str">
        <f>_xlfn.XLOOKUP($A288,InterfaceRegister!$A:$A,InterfaceRegister!B:B)</f>
        <v>Solomon Mine Hub: Run of Mine (ROM)|Solomon Mine Hub: Primary Crusher</v>
      </c>
      <c r="AB288" t="str">
        <f>_xlfn.XLOOKUP($A288,InterfaceRegister!$A:$A,InterfaceRegister!C:C)</f>
        <v/>
      </c>
      <c r="AC288" t="str">
        <f>_xlfn.XLOOKUP($A288,InterfaceRegister!$A:$A,InterfaceRegister!D:D)</f>
        <v/>
      </c>
      <c r="AD288" t="str">
        <f>_xlfn.XLOOKUP($A288,InterfaceRegister!$A:$A,InterfaceRegister!E:E)</f>
        <v>System - System Interface</v>
      </c>
      <c r="AE288" t="str">
        <f>_xlfn.XLOOKUP($A288,InterfaceRegister!$A:$A,InterfaceRegister!F:F)</f>
        <v/>
      </c>
      <c r="AF288" t="str">
        <f>_xlfn.XLOOKUP($A288,InterfaceRegister!$A:$A,InterfaceRegister!L:L)</f>
        <v/>
      </c>
      <c r="AG288" t="str">
        <f>_xlfn.XLOOKUP($A288,InterfaceRegister!$A:$A,InterfaceRegister!M:M)</f>
        <v/>
      </c>
      <c r="AH288" t="str">
        <f>_xlfn.XLOOKUP($A288,InterfaceRegister!$A:$A,InterfaceRegister!O:O)</f>
        <v/>
      </c>
      <c r="AI288" t="str">
        <f>_xlfn.XLOOKUP($A288,InterfaceRegister!$A:$A,InterfaceRegister!N:N)</f>
        <v/>
      </c>
      <c r="AJ288" t="str">
        <f>_xlfn.XLOOKUP($A288,'EA-Fortescue_SDExport'!$A:$A,'EA-Fortescue_SDExport'!AX:AX)</f>
        <v>CSVF2B35A88</v>
      </c>
      <c r="AK288">
        <f>_xlfn.XLOOKUP($A288,'EA-Fortescue_SDExport'!$A:$A,'EA-Fortescue_SDExport'!AY:AY)</f>
        <v>0</v>
      </c>
    </row>
    <row r="289" spans="1:37" x14ac:dyDescent="0.25">
      <c r="A289" t="str">
        <v>DGS-I_0288</v>
      </c>
      <c r="B289" t="str">
        <f>_xlfn.XLOOKUP($A289,'EA-Fortescue_SDExport'!$A:$A,'EA-Fortescue_SDExport'!B:B)</f>
        <v>Class</v>
      </c>
      <c r="C289" t="str">
        <f>_xlfn.XLOOKUP($A289,'EA-Fortescue_SDExport'!$A:$A,'EA-Fortescue_SDExport'!C:C)</f>
        <v>{AE11BE70-0E27-4a2f-96BE-55E96D19BCE8}</v>
      </c>
      <c r="D289" t="str">
        <f>_xlfn.LET(_xlpm.result, _xlfn.XLOOKUP($A289, InterfaceRegister!$A:$A, InterfaceRegister!P:P), IF(_xlpm.result=0, "", _xlpm.result))</f>
        <v/>
      </c>
      <c r="E289">
        <f>_xlfn.XLOOKUP($A289,'EA-Fortescue_SDExport'!$A:$A,'EA-Fortescue_SDExport'!E:E)</f>
        <v>1</v>
      </c>
      <c r="F289">
        <f>_xlfn.XLOOKUP($A289,'EA-Fortescue_SDExport'!$A:$A,'EA-Fortescue_SDExport'!F:F)</f>
        <v>1</v>
      </c>
      <c r="G289">
        <f>_xlfn.XLOOKUP($A289,'EA-Fortescue_SDExport'!$A:$A,'EA-Fortescue_SDExport'!G:G)</f>
        <v>0</v>
      </c>
      <c r="H289" t="str">
        <f>_xlfn.XLOOKUP($A289,'EA-Fortescue_SDExport'!$A:$A,'EA-Fortescue_SDExport'!H:H)</f>
        <v>InterfaceBlock</v>
      </c>
      <c r="I289" t="str">
        <f>_xlfn.XLOOKUP($A289,'EA-Fortescue_SDExport'!$A:$A,'EA-Fortescue_SDExport'!I:I)</f>
        <v>SysML1.4::InterfaceBlock</v>
      </c>
      <c r="J289" t="str">
        <f>_xlfn.XLOOKUP($A289,'EA-Fortescue_SDExport'!$A:$A,'EA-Fortescue_SDExport'!J:J)</f>
        <v>Java</v>
      </c>
      <c r="K289" t="str">
        <f>_xlfn.XLOOKUP($A289,'EA-Fortescue_SDExport'!$A:$A,'EA-Fortescue_SDExport'!K:K)</f>
        <v>Admin</v>
      </c>
      <c r="L289" t="str">
        <f>_xlfn.XLOOKUP($A289,'EA-Fortescue_SDExport'!$A:$A,'EA-Fortescue_SDExport'!L:L)</f>
        <v>Public</v>
      </c>
      <c r="M289">
        <f>_xlfn.XLOOKUP($A289,'EA-Fortescue_SDExport'!$A:$A,'EA-Fortescue_SDExport'!M:M)</f>
        <v>0</v>
      </c>
      <c r="N289" t="str">
        <f>_xlfn.XLOOKUP($A289,InterfaceRegister!$A:$A,InterfaceRegister!K:K)</f>
        <v>Proposed</v>
      </c>
      <c r="O289">
        <f>_xlfn.XLOOKUP($A289,'EA-Fortescue_SDExport'!$A:$A,'EA-Fortescue_SDExport'!O:O)</f>
        <v>1</v>
      </c>
      <c r="P289">
        <f>_xlfn.XLOOKUP($A289,'EA-Fortescue_SDExport'!$A:$A,'EA-Fortescue_SDExport'!P:P)</f>
        <v>0</v>
      </c>
      <c r="Q289">
        <f>_xlfn.XLOOKUP($A289,'EA-Fortescue_SDExport'!$A:$A,'EA-Fortescue_SDExport'!Q:Q)</f>
        <v>0</v>
      </c>
      <c r="R289">
        <f>_xlfn.XLOOKUP($A289,'EA-Fortescue_SDExport'!$A:$A,'EA-Fortescue_SDExport'!R:R)</f>
        <v>0</v>
      </c>
      <c r="S289">
        <f>_xlfn.XLOOKUP($A289,'EA-Fortescue_SDExport'!$A:$A,'EA-Fortescue_SDExport'!S:S)</f>
        <v>0</v>
      </c>
      <c r="T289">
        <f>_xlfn.XLOOKUP($A289,'EA-Fortescue_SDExport'!$A:$A,'EA-Fortescue_SDExport'!T:T)</f>
        <v>0</v>
      </c>
      <c r="U289">
        <f>_xlfn.XLOOKUP($A289,'EA-Fortescue_SDExport'!$A:$A,'EA-Fortescue_SDExport'!U:U)</f>
        <v>45973.632986111108</v>
      </c>
      <c r="V289">
        <f>_xlfn.XLOOKUP($A289,'EA-Fortescue_SDExport'!$A:$A,'EA-Fortescue_SDExport'!V:V)</f>
        <v>46002.004953703705</v>
      </c>
      <c r="W289">
        <f>_xlfn.XLOOKUP($A289,'EA-Fortescue_SDExport'!$A:$A,'EA-Fortescue_SDExport'!W:W)</f>
        <v>0</v>
      </c>
      <c r="X289">
        <f>_xlfn.XLOOKUP($A289,'EA-Fortescue_SDExport'!$A:$A,'EA-Fortescue_SDExport'!X:X)</f>
        <v>0</v>
      </c>
      <c r="Y289">
        <f>_xlfn.XLOOKUP($A289,'EA-Fortescue_SDExport'!$A:$A,'EA-Fortescue_SDExport'!Y:Y)</f>
        <v>0</v>
      </c>
      <c r="Z289" t="str">
        <f>_xlfn.XLOOKUP($A289,'EA-Fortescue_SDExport'!$A:$A,'EA-Fortescue_SDExport'!Z:Z)</f>
        <v>SysML1.4::InterfaceBlock</v>
      </c>
      <c r="AA289" t="str">
        <f>_xlfn.XLOOKUP($A289,InterfaceRegister!$A:$A,InterfaceRegister!B:B)</f>
        <v>Solomon Mine Hub: Primary Crusher|Solomon Mine Hub: Coarse Ore Stockpile (COS)</v>
      </c>
      <c r="AB289" t="str">
        <f>_xlfn.XLOOKUP($A289,InterfaceRegister!$A:$A,InterfaceRegister!C:C)</f>
        <v/>
      </c>
      <c r="AC289" t="str">
        <f>_xlfn.XLOOKUP($A289,InterfaceRegister!$A:$A,InterfaceRegister!D:D)</f>
        <v/>
      </c>
      <c r="AD289" t="str">
        <f>_xlfn.XLOOKUP($A289,InterfaceRegister!$A:$A,InterfaceRegister!E:E)</f>
        <v>System - System Interface</v>
      </c>
      <c r="AE289" t="str">
        <f>_xlfn.XLOOKUP($A289,InterfaceRegister!$A:$A,InterfaceRegister!F:F)</f>
        <v/>
      </c>
      <c r="AF289" t="str">
        <f>_xlfn.XLOOKUP($A289,InterfaceRegister!$A:$A,InterfaceRegister!L:L)</f>
        <v/>
      </c>
      <c r="AG289" t="str">
        <f>_xlfn.XLOOKUP($A289,InterfaceRegister!$A:$A,InterfaceRegister!M:M)</f>
        <v/>
      </c>
      <c r="AH289" t="str">
        <f>_xlfn.XLOOKUP($A289,InterfaceRegister!$A:$A,InterfaceRegister!O:O)</f>
        <v/>
      </c>
      <c r="AI289" t="str">
        <f>_xlfn.XLOOKUP($A289,InterfaceRegister!$A:$A,InterfaceRegister!N:N)</f>
        <v/>
      </c>
      <c r="AJ289" t="str">
        <f>_xlfn.XLOOKUP($A289,'EA-Fortescue_SDExport'!$A:$A,'EA-Fortescue_SDExport'!AX:AX)</f>
        <v>CSVE1D4B0C2</v>
      </c>
      <c r="AK289">
        <f>_xlfn.XLOOKUP($A289,'EA-Fortescue_SDExport'!$A:$A,'EA-Fortescue_SDExport'!AY:AY)</f>
        <v>0</v>
      </c>
    </row>
    <row r="290" spans="1:37" x14ac:dyDescent="0.25">
      <c r="A290" t="str">
        <v>DGS-I_0289</v>
      </c>
      <c r="B290" t="str">
        <f>_xlfn.XLOOKUP($A290,'EA-Fortescue_SDExport'!$A:$A,'EA-Fortescue_SDExport'!B:B)</f>
        <v>Class</v>
      </c>
      <c r="C290" t="str">
        <f>_xlfn.XLOOKUP($A290,'EA-Fortescue_SDExport'!$A:$A,'EA-Fortescue_SDExport'!C:C)</f>
        <v>{8D791135-E11B-4363-8405-F957875BB841}</v>
      </c>
      <c r="D290" t="str">
        <f>_xlfn.LET(_xlpm.result, _xlfn.XLOOKUP($A290, InterfaceRegister!$A:$A, InterfaceRegister!P:P), IF(_xlpm.result=0, "", _xlpm.result))</f>
        <v/>
      </c>
      <c r="E290">
        <f>_xlfn.XLOOKUP($A290,'EA-Fortescue_SDExport'!$A:$A,'EA-Fortescue_SDExport'!E:E)</f>
        <v>1</v>
      </c>
      <c r="F290">
        <f>_xlfn.XLOOKUP($A290,'EA-Fortescue_SDExport'!$A:$A,'EA-Fortescue_SDExport'!F:F)</f>
        <v>1</v>
      </c>
      <c r="G290">
        <f>_xlfn.XLOOKUP($A290,'EA-Fortescue_SDExport'!$A:$A,'EA-Fortescue_SDExport'!G:G)</f>
        <v>0</v>
      </c>
      <c r="H290" t="str">
        <f>_xlfn.XLOOKUP($A290,'EA-Fortescue_SDExport'!$A:$A,'EA-Fortescue_SDExport'!H:H)</f>
        <v>InterfaceBlock</v>
      </c>
      <c r="I290" t="str">
        <f>_xlfn.XLOOKUP($A290,'EA-Fortescue_SDExport'!$A:$A,'EA-Fortescue_SDExport'!I:I)</f>
        <v>SysML1.4::InterfaceBlock</v>
      </c>
      <c r="J290" t="str">
        <f>_xlfn.XLOOKUP($A290,'EA-Fortescue_SDExport'!$A:$A,'EA-Fortescue_SDExport'!J:J)</f>
        <v>Java</v>
      </c>
      <c r="K290" t="str">
        <f>_xlfn.XLOOKUP($A290,'EA-Fortescue_SDExport'!$A:$A,'EA-Fortescue_SDExport'!K:K)</f>
        <v>Admin</v>
      </c>
      <c r="L290" t="str">
        <f>_xlfn.XLOOKUP($A290,'EA-Fortescue_SDExport'!$A:$A,'EA-Fortescue_SDExport'!L:L)</f>
        <v>Public</v>
      </c>
      <c r="M290">
        <f>_xlfn.XLOOKUP($A290,'EA-Fortescue_SDExport'!$A:$A,'EA-Fortescue_SDExport'!M:M)</f>
        <v>0</v>
      </c>
      <c r="N290" t="str">
        <f>_xlfn.XLOOKUP($A290,InterfaceRegister!$A:$A,InterfaceRegister!K:K)</f>
        <v>Proposed</v>
      </c>
      <c r="O290">
        <f>_xlfn.XLOOKUP($A290,'EA-Fortescue_SDExport'!$A:$A,'EA-Fortescue_SDExport'!O:O)</f>
        <v>1</v>
      </c>
      <c r="P290">
        <f>_xlfn.XLOOKUP($A290,'EA-Fortescue_SDExport'!$A:$A,'EA-Fortescue_SDExport'!P:P)</f>
        <v>0</v>
      </c>
      <c r="Q290">
        <f>_xlfn.XLOOKUP($A290,'EA-Fortescue_SDExport'!$A:$A,'EA-Fortescue_SDExport'!Q:Q)</f>
        <v>0</v>
      </c>
      <c r="R290">
        <f>_xlfn.XLOOKUP($A290,'EA-Fortescue_SDExport'!$A:$A,'EA-Fortescue_SDExport'!R:R)</f>
        <v>0</v>
      </c>
      <c r="S290">
        <f>_xlfn.XLOOKUP($A290,'EA-Fortescue_SDExport'!$A:$A,'EA-Fortescue_SDExport'!S:S)</f>
        <v>0</v>
      </c>
      <c r="T290">
        <f>_xlfn.XLOOKUP($A290,'EA-Fortescue_SDExport'!$A:$A,'EA-Fortescue_SDExport'!T:T)</f>
        <v>0</v>
      </c>
      <c r="U290">
        <f>_xlfn.XLOOKUP($A290,'EA-Fortescue_SDExport'!$A:$A,'EA-Fortescue_SDExport'!U:U)</f>
        <v>45973.633032407408</v>
      </c>
      <c r="V290">
        <f>_xlfn.XLOOKUP($A290,'EA-Fortescue_SDExport'!$A:$A,'EA-Fortescue_SDExport'!V:V)</f>
        <v>46002.004999999997</v>
      </c>
      <c r="W290">
        <f>_xlfn.XLOOKUP($A290,'EA-Fortescue_SDExport'!$A:$A,'EA-Fortescue_SDExport'!W:W)</f>
        <v>0</v>
      </c>
      <c r="X290">
        <f>_xlfn.XLOOKUP($A290,'EA-Fortescue_SDExport'!$A:$A,'EA-Fortescue_SDExport'!X:X)</f>
        <v>0</v>
      </c>
      <c r="Y290">
        <f>_xlfn.XLOOKUP($A290,'EA-Fortescue_SDExport'!$A:$A,'EA-Fortescue_SDExport'!Y:Y)</f>
        <v>0</v>
      </c>
      <c r="Z290" t="str">
        <f>_xlfn.XLOOKUP($A290,'EA-Fortescue_SDExport'!$A:$A,'EA-Fortescue_SDExport'!Z:Z)</f>
        <v>SysML1.4::InterfaceBlock</v>
      </c>
      <c r="AA290" t="str">
        <f>_xlfn.XLOOKUP($A290,InterfaceRegister!$A:$A,InterfaceRegister!B:B)</f>
        <v>Solomon Mine Hub: Coarse Ore Stockpile (COS)|Solomon Mine Hub: Ore Processing Facility (OPF)</v>
      </c>
      <c r="AB290" t="str">
        <f>_xlfn.XLOOKUP($A290,InterfaceRegister!$A:$A,InterfaceRegister!C:C)</f>
        <v/>
      </c>
      <c r="AC290" t="str">
        <f>_xlfn.XLOOKUP($A290,InterfaceRegister!$A:$A,InterfaceRegister!D:D)</f>
        <v/>
      </c>
      <c r="AD290" t="str">
        <f>_xlfn.XLOOKUP($A290,InterfaceRegister!$A:$A,InterfaceRegister!E:E)</f>
        <v>System - System Interface</v>
      </c>
      <c r="AE290" t="str">
        <f>_xlfn.XLOOKUP($A290,InterfaceRegister!$A:$A,InterfaceRegister!F:F)</f>
        <v/>
      </c>
      <c r="AF290" t="str">
        <f>_xlfn.XLOOKUP($A290,InterfaceRegister!$A:$A,InterfaceRegister!L:L)</f>
        <v/>
      </c>
      <c r="AG290" t="str">
        <f>_xlfn.XLOOKUP($A290,InterfaceRegister!$A:$A,InterfaceRegister!M:M)</f>
        <v/>
      </c>
      <c r="AH290" t="str">
        <f>_xlfn.XLOOKUP($A290,InterfaceRegister!$A:$A,InterfaceRegister!O:O)</f>
        <v/>
      </c>
      <c r="AI290" t="str">
        <f>_xlfn.XLOOKUP($A290,InterfaceRegister!$A:$A,InterfaceRegister!N:N)</f>
        <v/>
      </c>
      <c r="AJ290" t="str">
        <f>_xlfn.XLOOKUP($A290,'EA-Fortescue_SDExport'!$A:$A,'EA-Fortescue_SDExport'!AX:AX)</f>
        <v>CSVDC2307CE</v>
      </c>
      <c r="AK290">
        <f>_xlfn.XLOOKUP($A290,'EA-Fortescue_SDExport'!$A:$A,'EA-Fortescue_SDExport'!AY:AY)</f>
        <v>0</v>
      </c>
    </row>
    <row r="291" spans="1:37" x14ac:dyDescent="0.25">
      <c r="A291" t="str">
        <v>DGS-I_0290</v>
      </c>
      <c r="B291" t="str">
        <f>_xlfn.XLOOKUP($A291,'EA-Fortescue_SDExport'!$A:$A,'EA-Fortescue_SDExport'!B:B)</f>
        <v>Class</v>
      </c>
      <c r="C291" t="str">
        <f>_xlfn.XLOOKUP($A291,'EA-Fortescue_SDExport'!$A:$A,'EA-Fortescue_SDExport'!C:C)</f>
        <v>{18FD27CF-BE49-4e8b-B9A0-BF059BB921AC}</v>
      </c>
      <c r="D291" t="str">
        <f>_xlfn.LET(_xlpm.result, _xlfn.XLOOKUP($A291, InterfaceRegister!$A:$A, InterfaceRegister!P:P), IF(_xlpm.result=0, "", _xlpm.result))</f>
        <v/>
      </c>
      <c r="E291">
        <f>_xlfn.XLOOKUP($A291,'EA-Fortescue_SDExport'!$A:$A,'EA-Fortescue_SDExport'!E:E)</f>
        <v>1</v>
      </c>
      <c r="F291">
        <f>_xlfn.XLOOKUP($A291,'EA-Fortescue_SDExport'!$A:$A,'EA-Fortescue_SDExport'!F:F)</f>
        <v>1</v>
      </c>
      <c r="G291">
        <f>_xlfn.XLOOKUP($A291,'EA-Fortescue_SDExport'!$A:$A,'EA-Fortescue_SDExport'!G:G)</f>
        <v>0</v>
      </c>
      <c r="H291" t="str">
        <f>_xlfn.XLOOKUP($A291,'EA-Fortescue_SDExport'!$A:$A,'EA-Fortescue_SDExport'!H:H)</f>
        <v>InterfaceBlock</v>
      </c>
      <c r="I291" t="str">
        <f>_xlfn.XLOOKUP($A291,'EA-Fortescue_SDExport'!$A:$A,'EA-Fortescue_SDExport'!I:I)</f>
        <v>SysML1.4::InterfaceBlock</v>
      </c>
      <c r="J291" t="str">
        <f>_xlfn.XLOOKUP($A291,'EA-Fortescue_SDExport'!$A:$A,'EA-Fortescue_SDExport'!J:J)</f>
        <v>Java</v>
      </c>
      <c r="K291" t="str">
        <f>_xlfn.XLOOKUP($A291,'EA-Fortescue_SDExport'!$A:$A,'EA-Fortescue_SDExport'!K:K)</f>
        <v>Admin</v>
      </c>
      <c r="L291" t="str">
        <f>_xlfn.XLOOKUP($A291,'EA-Fortescue_SDExport'!$A:$A,'EA-Fortescue_SDExport'!L:L)</f>
        <v>Public</v>
      </c>
      <c r="M291">
        <f>_xlfn.XLOOKUP($A291,'EA-Fortescue_SDExport'!$A:$A,'EA-Fortescue_SDExport'!M:M)</f>
        <v>0</v>
      </c>
      <c r="N291" t="str">
        <f>_xlfn.XLOOKUP($A291,InterfaceRegister!$A:$A,InterfaceRegister!K:K)</f>
        <v>Proposed</v>
      </c>
      <c r="O291">
        <f>_xlfn.XLOOKUP($A291,'EA-Fortescue_SDExport'!$A:$A,'EA-Fortescue_SDExport'!O:O)</f>
        <v>1</v>
      </c>
      <c r="P291">
        <f>_xlfn.XLOOKUP($A291,'EA-Fortescue_SDExport'!$A:$A,'EA-Fortescue_SDExport'!P:P)</f>
        <v>0</v>
      </c>
      <c r="Q291">
        <f>_xlfn.XLOOKUP($A291,'EA-Fortescue_SDExport'!$A:$A,'EA-Fortescue_SDExport'!Q:Q)</f>
        <v>0</v>
      </c>
      <c r="R291">
        <f>_xlfn.XLOOKUP($A291,'EA-Fortescue_SDExport'!$A:$A,'EA-Fortescue_SDExport'!R:R)</f>
        <v>0</v>
      </c>
      <c r="S291">
        <f>_xlfn.XLOOKUP($A291,'EA-Fortescue_SDExport'!$A:$A,'EA-Fortescue_SDExport'!S:S)</f>
        <v>0</v>
      </c>
      <c r="T291">
        <f>_xlfn.XLOOKUP($A291,'EA-Fortescue_SDExport'!$A:$A,'EA-Fortescue_SDExport'!T:T)</f>
        <v>0</v>
      </c>
      <c r="U291">
        <f>_xlfn.XLOOKUP($A291,'EA-Fortescue_SDExport'!$A:$A,'EA-Fortescue_SDExport'!U:U)</f>
        <v>45973.644490740742</v>
      </c>
      <c r="V291">
        <f>_xlfn.XLOOKUP($A291,'EA-Fortescue_SDExport'!$A:$A,'EA-Fortescue_SDExport'!V:V)</f>
        <v>46002.004953703705</v>
      </c>
      <c r="W291">
        <f>_xlfn.XLOOKUP($A291,'EA-Fortescue_SDExport'!$A:$A,'EA-Fortescue_SDExport'!W:W)</f>
        <v>0</v>
      </c>
      <c r="X291">
        <f>_xlfn.XLOOKUP($A291,'EA-Fortescue_SDExport'!$A:$A,'EA-Fortescue_SDExport'!X:X)</f>
        <v>0</v>
      </c>
      <c r="Y291">
        <f>_xlfn.XLOOKUP($A291,'EA-Fortescue_SDExport'!$A:$A,'EA-Fortescue_SDExport'!Y:Y)</f>
        <v>0</v>
      </c>
      <c r="Z291" t="str">
        <f>_xlfn.XLOOKUP($A291,'EA-Fortescue_SDExport'!$A:$A,'EA-Fortescue_SDExport'!Z:Z)</f>
        <v>SysML1.4::InterfaceBlock</v>
      </c>
      <c r="AA291" t="str">
        <f>_xlfn.XLOOKUP($A291,InterfaceRegister!$A:$A,InterfaceRegister!B:B)</f>
        <v>Solomon Mine Hub: Ore Stockpile|Solomon Mine Hub: Ore Processing Facility (OPF)</v>
      </c>
      <c r="AB291" t="str">
        <f>_xlfn.XLOOKUP($A291,InterfaceRegister!$A:$A,InterfaceRegister!C:C)</f>
        <v/>
      </c>
      <c r="AC291" t="str">
        <f>_xlfn.XLOOKUP($A291,InterfaceRegister!$A:$A,InterfaceRegister!D:D)</f>
        <v/>
      </c>
      <c r="AD291" t="str">
        <f>_xlfn.XLOOKUP($A291,InterfaceRegister!$A:$A,InterfaceRegister!E:E)</f>
        <v>System - System Interface</v>
      </c>
      <c r="AE291" t="str">
        <f>_xlfn.XLOOKUP($A291,InterfaceRegister!$A:$A,InterfaceRegister!F:F)</f>
        <v/>
      </c>
      <c r="AF291" t="str">
        <f>_xlfn.XLOOKUP($A291,InterfaceRegister!$A:$A,InterfaceRegister!L:L)</f>
        <v/>
      </c>
      <c r="AG291" t="str">
        <f>_xlfn.XLOOKUP($A291,InterfaceRegister!$A:$A,InterfaceRegister!M:M)</f>
        <v/>
      </c>
      <c r="AH291" t="str">
        <f>_xlfn.XLOOKUP($A291,InterfaceRegister!$A:$A,InterfaceRegister!O:O)</f>
        <v/>
      </c>
      <c r="AI291" t="str">
        <f>_xlfn.XLOOKUP($A291,InterfaceRegister!$A:$A,InterfaceRegister!N:N)</f>
        <v/>
      </c>
      <c r="AJ291" t="str">
        <f>_xlfn.XLOOKUP($A291,'EA-Fortescue_SDExport'!$A:$A,'EA-Fortescue_SDExport'!AX:AX)</f>
        <v>CSV0718997C</v>
      </c>
      <c r="AK291">
        <f>_xlfn.XLOOKUP($A291,'EA-Fortescue_SDExport'!$A:$A,'EA-Fortescue_SDExport'!AY:AY)</f>
        <v>0</v>
      </c>
    </row>
    <row r="292" spans="1:37" x14ac:dyDescent="0.25">
      <c r="A292" t="str">
        <v>DGS-I_0291</v>
      </c>
      <c r="B292" t="str">
        <f>_xlfn.XLOOKUP($A292,'EA-Fortescue_SDExport'!$A:$A,'EA-Fortescue_SDExport'!B:B)</f>
        <v>Class</v>
      </c>
      <c r="C292" t="str">
        <f>_xlfn.XLOOKUP($A292,'EA-Fortescue_SDExport'!$A:$A,'EA-Fortescue_SDExport'!C:C)</f>
        <v>{AAADC0C2-9BC2-4c8c-A11B-37960C1BFE1B}</v>
      </c>
      <c r="D292" t="str">
        <f>_xlfn.LET(_xlpm.result, _xlfn.XLOOKUP($A292, InterfaceRegister!$A:$A, InterfaceRegister!P:P), IF(_xlpm.result=0, "", _xlpm.result))</f>
        <v/>
      </c>
      <c r="E292">
        <f>_xlfn.XLOOKUP($A292,'EA-Fortescue_SDExport'!$A:$A,'EA-Fortescue_SDExport'!E:E)</f>
        <v>1</v>
      </c>
      <c r="F292">
        <f>_xlfn.XLOOKUP($A292,'EA-Fortescue_SDExport'!$A:$A,'EA-Fortescue_SDExport'!F:F)</f>
        <v>1</v>
      </c>
      <c r="G292">
        <f>_xlfn.XLOOKUP($A292,'EA-Fortescue_SDExport'!$A:$A,'EA-Fortescue_SDExport'!G:G)</f>
        <v>0</v>
      </c>
      <c r="H292" t="str">
        <f>_xlfn.XLOOKUP($A292,'EA-Fortescue_SDExport'!$A:$A,'EA-Fortescue_SDExport'!H:H)</f>
        <v>InterfaceBlock</v>
      </c>
      <c r="I292" t="str">
        <f>_xlfn.XLOOKUP($A292,'EA-Fortescue_SDExport'!$A:$A,'EA-Fortescue_SDExport'!I:I)</f>
        <v>SysML1.4::InterfaceBlock</v>
      </c>
      <c r="J292" t="str">
        <f>_xlfn.XLOOKUP($A292,'EA-Fortescue_SDExport'!$A:$A,'EA-Fortescue_SDExport'!J:J)</f>
        <v>Java</v>
      </c>
      <c r="K292" t="str">
        <f>_xlfn.XLOOKUP($A292,'EA-Fortescue_SDExport'!$A:$A,'EA-Fortescue_SDExport'!K:K)</f>
        <v>Admin</v>
      </c>
      <c r="L292" t="str">
        <f>_xlfn.XLOOKUP($A292,'EA-Fortescue_SDExport'!$A:$A,'EA-Fortescue_SDExport'!L:L)</f>
        <v>Public</v>
      </c>
      <c r="M292">
        <f>_xlfn.XLOOKUP($A292,'EA-Fortescue_SDExport'!$A:$A,'EA-Fortescue_SDExport'!M:M)</f>
        <v>0</v>
      </c>
      <c r="N292" t="str">
        <f>_xlfn.XLOOKUP($A292,InterfaceRegister!$A:$A,InterfaceRegister!K:K)</f>
        <v>Proposed</v>
      </c>
      <c r="O292">
        <f>_xlfn.XLOOKUP($A292,'EA-Fortescue_SDExport'!$A:$A,'EA-Fortescue_SDExport'!O:O)</f>
        <v>1</v>
      </c>
      <c r="P292">
        <f>_xlfn.XLOOKUP($A292,'EA-Fortescue_SDExport'!$A:$A,'EA-Fortescue_SDExport'!P:P)</f>
        <v>0</v>
      </c>
      <c r="Q292">
        <f>_xlfn.XLOOKUP($A292,'EA-Fortescue_SDExport'!$A:$A,'EA-Fortescue_SDExport'!Q:Q)</f>
        <v>0</v>
      </c>
      <c r="R292">
        <f>_xlfn.XLOOKUP($A292,'EA-Fortescue_SDExport'!$A:$A,'EA-Fortescue_SDExport'!R:R)</f>
        <v>0</v>
      </c>
      <c r="S292">
        <f>_xlfn.XLOOKUP($A292,'EA-Fortescue_SDExport'!$A:$A,'EA-Fortescue_SDExport'!S:S)</f>
        <v>0</v>
      </c>
      <c r="T292">
        <f>_xlfn.XLOOKUP($A292,'EA-Fortescue_SDExport'!$A:$A,'EA-Fortescue_SDExport'!T:T)</f>
        <v>0</v>
      </c>
      <c r="U292">
        <f>_xlfn.XLOOKUP($A292,'EA-Fortescue_SDExport'!$A:$A,'EA-Fortescue_SDExport'!U:U)</f>
        <v>45973.644548611112</v>
      </c>
      <c r="V292">
        <f>_xlfn.XLOOKUP($A292,'EA-Fortescue_SDExport'!$A:$A,'EA-Fortescue_SDExport'!V:V)</f>
        <v>46002.004999999997</v>
      </c>
      <c r="W292">
        <f>_xlfn.XLOOKUP($A292,'EA-Fortescue_SDExport'!$A:$A,'EA-Fortescue_SDExport'!W:W)</f>
        <v>0</v>
      </c>
      <c r="X292">
        <f>_xlfn.XLOOKUP($A292,'EA-Fortescue_SDExport'!$A:$A,'EA-Fortescue_SDExport'!X:X)</f>
        <v>0</v>
      </c>
      <c r="Y292">
        <f>_xlfn.XLOOKUP($A292,'EA-Fortescue_SDExport'!$A:$A,'EA-Fortescue_SDExport'!Y:Y)</f>
        <v>0</v>
      </c>
      <c r="Z292" t="str">
        <f>_xlfn.XLOOKUP($A292,'EA-Fortescue_SDExport'!$A:$A,'EA-Fortescue_SDExport'!Z:Z)</f>
        <v>SysML1.4::InterfaceBlock</v>
      </c>
      <c r="AA292" t="str">
        <f>_xlfn.XLOOKUP($A292,InterfaceRegister!$A:$A,InterfaceRegister!B:B)</f>
        <v>Solomon Mine Hub: Ore Stockpile|Solomon Mine Hub: Train Load Out (TLO)</v>
      </c>
      <c r="AB292" t="str">
        <f>_xlfn.XLOOKUP($A292,InterfaceRegister!$A:$A,InterfaceRegister!C:C)</f>
        <v/>
      </c>
      <c r="AC292" t="str">
        <f>_xlfn.XLOOKUP($A292,InterfaceRegister!$A:$A,InterfaceRegister!D:D)</f>
        <v/>
      </c>
      <c r="AD292" t="str">
        <f>_xlfn.XLOOKUP($A292,InterfaceRegister!$A:$A,InterfaceRegister!E:E)</f>
        <v>System - System Interface</v>
      </c>
      <c r="AE292" t="str">
        <f>_xlfn.XLOOKUP($A292,InterfaceRegister!$A:$A,InterfaceRegister!F:F)</f>
        <v/>
      </c>
      <c r="AF292" t="str">
        <f>_xlfn.XLOOKUP($A292,InterfaceRegister!$A:$A,InterfaceRegister!L:L)</f>
        <v/>
      </c>
      <c r="AG292" t="str">
        <f>_xlfn.XLOOKUP($A292,InterfaceRegister!$A:$A,InterfaceRegister!M:M)</f>
        <v/>
      </c>
      <c r="AH292" t="str">
        <f>_xlfn.XLOOKUP($A292,InterfaceRegister!$A:$A,InterfaceRegister!O:O)</f>
        <v/>
      </c>
      <c r="AI292" t="str">
        <f>_xlfn.XLOOKUP($A292,InterfaceRegister!$A:$A,InterfaceRegister!N:N)</f>
        <v/>
      </c>
      <c r="AJ292" t="str">
        <f>_xlfn.XLOOKUP($A292,'EA-Fortescue_SDExport'!$A:$A,'EA-Fortescue_SDExport'!AX:AX)</f>
        <v>CSV939717A5</v>
      </c>
      <c r="AK292">
        <f>_xlfn.XLOOKUP($A292,'EA-Fortescue_SDExport'!$A:$A,'EA-Fortescue_SDExport'!AY:AY)</f>
        <v>0</v>
      </c>
    </row>
    <row r="293" spans="1:37" x14ac:dyDescent="0.25">
      <c r="A293" t="str">
        <v>DGS-I_0292</v>
      </c>
      <c r="B293" t="str">
        <f>_xlfn.XLOOKUP($A293,'EA-Fortescue_SDExport'!$A:$A,'EA-Fortescue_SDExport'!B:B)</f>
        <v>Class</v>
      </c>
      <c r="C293" t="str">
        <f>_xlfn.XLOOKUP($A293,'EA-Fortescue_SDExport'!$A:$A,'EA-Fortescue_SDExport'!C:C)</f>
        <v>{C2FA0D2F-20D9-4e69-9F51-FD2274DB852B}</v>
      </c>
      <c r="D293" t="str">
        <f>_xlfn.LET(_xlpm.result, _xlfn.XLOOKUP($A293, InterfaceRegister!$A:$A, InterfaceRegister!P:P), IF(_xlpm.result=0, "", _xlpm.result))</f>
        <v>From DGS-I_0144 (interface with generic Excavator): LMS Review 30/10/2025: PLC is on the interlock sequence of the Excavator._x000D_
NH 20/02/2026: Fields updated: Interface Type, Interface Flow.</v>
      </c>
      <c r="E293">
        <f>_xlfn.XLOOKUP($A293,'EA-Fortescue_SDExport'!$A:$A,'EA-Fortescue_SDExport'!E:E)</f>
        <v>1</v>
      </c>
      <c r="F293">
        <f>_xlfn.XLOOKUP($A293,'EA-Fortescue_SDExport'!$A:$A,'EA-Fortescue_SDExport'!F:F)</f>
        <v>1</v>
      </c>
      <c r="G293">
        <f>_xlfn.XLOOKUP($A293,'EA-Fortescue_SDExport'!$A:$A,'EA-Fortescue_SDExport'!G:G)</f>
        <v>0</v>
      </c>
      <c r="H293" t="str">
        <f>_xlfn.XLOOKUP($A293,'EA-Fortescue_SDExport'!$A:$A,'EA-Fortescue_SDExport'!H:H)</f>
        <v>InterfaceBlock</v>
      </c>
      <c r="I293" t="str">
        <f>_xlfn.XLOOKUP($A293,'EA-Fortescue_SDExport'!$A:$A,'EA-Fortescue_SDExport'!I:I)</f>
        <v>SysML1.4::InterfaceBlock</v>
      </c>
      <c r="J293" t="str">
        <f>_xlfn.XLOOKUP($A293,'EA-Fortescue_SDExport'!$A:$A,'EA-Fortescue_SDExport'!J:J)</f>
        <v>Java</v>
      </c>
      <c r="K293" t="str">
        <f>_xlfn.XLOOKUP($A293,'EA-Fortescue_SDExport'!$A:$A,'EA-Fortescue_SDExport'!K:K)</f>
        <v>Admin</v>
      </c>
      <c r="L293" t="str">
        <f>_xlfn.XLOOKUP($A293,'EA-Fortescue_SDExport'!$A:$A,'EA-Fortescue_SDExport'!L:L)</f>
        <v>Public</v>
      </c>
      <c r="M293">
        <f>_xlfn.XLOOKUP($A293,'EA-Fortescue_SDExport'!$A:$A,'EA-Fortescue_SDExport'!M:M)</f>
        <v>0</v>
      </c>
      <c r="N293" t="str">
        <f>_xlfn.XLOOKUP($A293,InterfaceRegister!$A:$A,InterfaceRegister!K:K)</f>
        <v>Proposed</v>
      </c>
      <c r="O293">
        <f>_xlfn.XLOOKUP($A293,'EA-Fortescue_SDExport'!$A:$A,'EA-Fortescue_SDExport'!O:O)</f>
        <v>1</v>
      </c>
      <c r="P293">
        <f>_xlfn.XLOOKUP($A293,'EA-Fortescue_SDExport'!$A:$A,'EA-Fortescue_SDExport'!P:P)</f>
        <v>0</v>
      </c>
      <c r="Q293">
        <f>_xlfn.XLOOKUP($A293,'EA-Fortescue_SDExport'!$A:$A,'EA-Fortescue_SDExport'!Q:Q)</f>
        <v>0</v>
      </c>
      <c r="R293">
        <f>_xlfn.XLOOKUP($A293,'EA-Fortescue_SDExport'!$A:$A,'EA-Fortescue_SDExport'!R:R)</f>
        <v>0</v>
      </c>
      <c r="S293">
        <f>_xlfn.XLOOKUP($A293,'EA-Fortescue_SDExport'!$A:$A,'EA-Fortescue_SDExport'!S:S)</f>
        <v>0</v>
      </c>
      <c r="T293">
        <f>_xlfn.XLOOKUP($A293,'EA-Fortescue_SDExport'!$A:$A,'EA-Fortescue_SDExport'!T:T)</f>
        <v>0</v>
      </c>
      <c r="U293">
        <f>_xlfn.XLOOKUP($A293,'EA-Fortescue_SDExport'!$A:$A,'EA-Fortescue_SDExport'!U:U)</f>
        <v>45973.693333333336</v>
      </c>
      <c r="V293">
        <f>_xlfn.XLOOKUP($A293,'EA-Fortescue_SDExport'!$A:$A,'EA-Fortescue_SDExport'!V:V)</f>
        <v>46077.993206018517</v>
      </c>
      <c r="W293">
        <f>_xlfn.XLOOKUP($A293,'EA-Fortescue_SDExport'!$A:$A,'EA-Fortescue_SDExport'!W:W)</f>
        <v>0</v>
      </c>
      <c r="X293">
        <f>_xlfn.XLOOKUP($A293,'EA-Fortescue_SDExport'!$A:$A,'EA-Fortescue_SDExport'!X:X)</f>
        <v>0</v>
      </c>
      <c r="Y293">
        <f>_xlfn.XLOOKUP($A293,'EA-Fortescue_SDExport'!$A:$A,'EA-Fortescue_SDExport'!Y:Y)</f>
        <v>0</v>
      </c>
      <c r="Z293" t="str">
        <f>_xlfn.XLOOKUP($A293,'EA-Fortescue_SDExport'!$A:$A,'EA-Fortescue_SDExport'!Z:Z)</f>
        <v>SysML1.4::InterfaceBlock</v>
      </c>
      <c r="AA293" t="str">
        <f>_xlfn.XLOOKUP($A293,InterfaceRegister!$A:$A,InterfaceRegister!B:B)</f>
        <v>Solomon Mine Hub: Excavator [&gt;110t]|855DC-1542-LMS Load Management System (LMS)</v>
      </c>
      <c r="AB293" t="str">
        <f>_xlfn.XLOOKUP($A293,InterfaceRegister!$A:$A,InterfaceRegister!C:C)</f>
        <v/>
      </c>
      <c r="AC293" t="str">
        <f>_xlfn.XLOOKUP($A293,InterfaceRegister!$A:$A,InterfaceRegister!D:D)</f>
        <v/>
      </c>
      <c r="AD293" t="str">
        <f>_xlfn.XLOOKUP($A293,InterfaceRegister!$A:$A,InterfaceRegister!E:E)</f>
        <v>System - Project Interface</v>
      </c>
      <c r="AE293" t="str">
        <f>_xlfn.XLOOKUP($A293,InterfaceRegister!$A:$A,InterfaceRegister!F:F)</f>
        <v>Technical-Electrical</v>
      </c>
      <c r="AF293" t="str">
        <f>_xlfn.XLOOKUP($A293,InterfaceRegister!$A:$A,InterfaceRegister!L:L)</f>
        <v>This interface connects large excavators at the Solomon Mine Hub to LMS so the machines receive real-time electrical load constraints and power availability information, ensuring operation within safe network limits.</v>
      </c>
      <c r="AG293" t="str">
        <f>_xlfn.XLOOKUP($A293,InterfaceRegister!$A:$A,InterfaceRegister!M:M)</f>
        <v>MEDIUM</v>
      </c>
      <c r="AH293" t="str">
        <f>_xlfn.XLOOKUP($A293,InterfaceRegister!$A:$A,InterfaceRegister!O:O)</f>
        <v>Data Flow: Load Management System (LMS) -&gt; Excavators (&gt;110t) (real-time electrical load limits, available capacity, curtailment signals, network status, overload warnings) to ensure operation within network constraints.</v>
      </c>
      <c r="AI293" t="str">
        <f>_xlfn.XLOOKUP($A293,InterfaceRegister!$A:$A,InterfaceRegister!N:N)</f>
        <v>The criticality level is MEDIUM because the loss of this interface may require operators to reduce auxiliary power use or temporarily limit operations, but excavation and loading can still continue. The interface helps balance heavy electrical load demands, but failure does not prevent excavators from working; it only reduces efficiency and situational awareness.</v>
      </c>
      <c r="AJ293" t="str">
        <f>_xlfn.XLOOKUP($A293,'EA-Fortescue_SDExport'!$A:$A,'EA-Fortescue_SDExport'!AX:AX)</f>
        <v>CSV7F4B72C6</v>
      </c>
      <c r="AK293">
        <f>_xlfn.XLOOKUP($A293,'EA-Fortescue_SDExport'!$A:$A,'EA-Fortescue_SDExport'!AY:AY)</f>
        <v>0</v>
      </c>
    </row>
    <row r="294" spans="1:37" x14ac:dyDescent="0.25">
      <c r="A294" t="str">
        <v>DGS-I_0293</v>
      </c>
      <c r="B294" t="str">
        <f>_xlfn.XLOOKUP($A294,'EA-Fortescue_SDExport'!$A:$A,'EA-Fortescue_SDExport'!B:B)</f>
        <v>Class</v>
      </c>
      <c r="C294" t="str">
        <f>_xlfn.XLOOKUP($A294,'EA-Fortescue_SDExport'!$A:$A,'EA-Fortescue_SDExport'!C:C)</f>
        <v>{F671C94A-E74C-41d4-8BDE-018F5EDAC0EB}</v>
      </c>
      <c r="D294" t="str">
        <f>_xlfn.LET(_xlpm.result, _xlfn.XLOOKUP($A294,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94">
        <f>_xlfn.XLOOKUP($A294,'EA-Fortescue_SDExport'!$A:$A,'EA-Fortescue_SDExport'!E:E)</f>
        <v>1</v>
      </c>
      <c r="F294">
        <f>_xlfn.XLOOKUP($A294,'EA-Fortescue_SDExport'!$A:$A,'EA-Fortescue_SDExport'!F:F)</f>
        <v>1</v>
      </c>
      <c r="G294">
        <f>_xlfn.XLOOKUP($A294,'EA-Fortescue_SDExport'!$A:$A,'EA-Fortescue_SDExport'!G:G)</f>
        <v>0</v>
      </c>
      <c r="H294" t="str">
        <f>_xlfn.XLOOKUP($A294,'EA-Fortescue_SDExport'!$A:$A,'EA-Fortescue_SDExport'!H:H)</f>
        <v>InterfaceBlock</v>
      </c>
      <c r="I294" t="str">
        <f>_xlfn.XLOOKUP($A294,'EA-Fortescue_SDExport'!$A:$A,'EA-Fortescue_SDExport'!I:I)</f>
        <v>SysML1.4::InterfaceBlock</v>
      </c>
      <c r="J294" t="str">
        <f>_xlfn.XLOOKUP($A294,'EA-Fortescue_SDExport'!$A:$A,'EA-Fortescue_SDExport'!J:J)</f>
        <v>Java</v>
      </c>
      <c r="K294" t="str">
        <f>_xlfn.XLOOKUP($A294,'EA-Fortescue_SDExport'!$A:$A,'EA-Fortescue_SDExport'!K:K)</f>
        <v>Admin</v>
      </c>
      <c r="L294" t="str">
        <f>_xlfn.XLOOKUP($A294,'EA-Fortescue_SDExport'!$A:$A,'EA-Fortescue_SDExport'!L:L)</f>
        <v>Public</v>
      </c>
      <c r="M294">
        <f>_xlfn.XLOOKUP($A294,'EA-Fortescue_SDExport'!$A:$A,'EA-Fortescue_SDExport'!M:M)</f>
        <v>0</v>
      </c>
      <c r="N294" t="str">
        <f>_xlfn.XLOOKUP($A294,InterfaceRegister!$A:$A,InterfaceRegister!K:K)</f>
        <v>Proposed</v>
      </c>
      <c r="O294">
        <f>_xlfn.XLOOKUP($A294,'EA-Fortescue_SDExport'!$A:$A,'EA-Fortescue_SDExport'!O:O)</f>
        <v>1</v>
      </c>
      <c r="P294">
        <f>_xlfn.XLOOKUP($A294,'EA-Fortescue_SDExport'!$A:$A,'EA-Fortescue_SDExport'!P:P)</f>
        <v>0</v>
      </c>
      <c r="Q294">
        <f>_xlfn.XLOOKUP($A294,'EA-Fortescue_SDExport'!$A:$A,'EA-Fortescue_SDExport'!Q:Q)</f>
        <v>0</v>
      </c>
      <c r="R294">
        <f>_xlfn.XLOOKUP($A294,'EA-Fortescue_SDExport'!$A:$A,'EA-Fortescue_SDExport'!R:R)</f>
        <v>0</v>
      </c>
      <c r="S294">
        <f>_xlfn.XLOOKUP($A294,'EA-Fortescue_SDExport'!$A:$A,'EA-Fortescue_SDExport'!S:S)</f>
        <v>0</v>
      </c>
      <c r="T294">
        <f>_xlfn.XLOOKUP($A294,'EA-Fortescue_SDExport'!$A:$A,'EA-Fortescue_SDExport'!T:T)</f>
        <v>0</v>
      </c>
      <c r="U294">
        <f>_xlfn.XLOOKUP($A294,'EA-Fortescue_SDExport'!$A:$A,'EA-Fortescue_SDExport'!U:U)</f>
        <v>45973.644629629627</v>
      </c>
      <c r="V294">
        <f>_xlfn.XLOOKUP($A294,'EA-Fortescue_SDExport'!$A:$A,'EA-Fortescue_SDExport'!V:V)</f>
        <v>46050.692025462966</v>
      </c>
      <c r="W294">
        <f>_xlfn.XLOOKUP($A294,'EA-Fortescue_SDExport'!$A:$A,'EA-Fortescue_SDExport'!W:W)</f>
        <v>0</v>
      </c>
      <c r="X294">
        <f>_xlfn.XLOOKUP($A294,'EA-Fortescue_SDExport'!$A:$A,'EA-Fortescue_SDExport'!X:X)</f>
        <v>0</v>
      </c>
      <c r="Y294">
        <f>_xlfn.XLOOKUP($A294,'EA-Fortescue_SDExport'!$A:$A,'EA-Fortescue_SDExport'!Y:Y)</f>
        <v>0</v>
      </c>
      <c r="Z294" t="str">
        <f>_xlfn.XLOOKUP($A294,'EA-Fortescue_SDExport'!$A:$A,'EA-Fortescue_SDExport'!Z:Z)</f>
        <v>SysML1.4::InterfaceBlock</v>
      </c>
      <c r="AA294" t="str">
        <f>_xlfn.XLOOKUP($A294,InterfaceRegister!$A:$A,InterfaceRegister!B:B)</f>
        <v>Solomon Mine Hub: Primary Crusher|855DC-1543-PPC Pit Power Capacity Planning Tool - Capacity Check</v>
      </c>
      <c r="AB294" t="str">
        <f>_xlfn.XLOOKUP($A294,InterfaceRegister!$A:$A,InterfaceRegister!C:C)</f>
        <v/>
      </c>
      <c r="AC294" t="str">
        <f>_xlfn.XLOOKUP($A294,InterfaceRegister!$A:$A,InterfaceRegister!D:D)</f>
        <v/>
      </c>
      <c r="AD294" t="str">
        <f>_xlfn.XLOOKUP($A294,InterfaceRegister!$A:$A,InterfaceRegister!E:E)</f>
        <v>System - Project Interface</v>
      </c>
      <c r="AE294" t="str">
        <f>_xlfn.XLOOKUP($A294,InterfaceRegister!$A:$A,InterfaceRegister!F:F)</f>
        <v/>
      </c>
      <c r="AF294" t="str">
        <f>_xlfn.XLOOKUP($A294,InterfaceRegister!$A:$A,InterfaceRegister!L:L)</f>
        <v/>
      </c>
      <c r="AG294" t="str">
        <f>_xlfn.XLOOKUP($A294,InterfaceRegister!$A:$A,InterfaceRegister!M:M)</f>
        <v/>
      </c>
      <c r="AH294" t="str">
        <f>_xlfn.XLOOKUP($A294,InterfaceRegister!$A:$A,InterfaceRegister!O:O)</f>
        <v/>
      </c>
      <c r="AI294" t="str">
        <f>_xlfn.XLOOKUP($A294,InterfaceRegister!$A:$A,InterfaceRegister!N:N)</f>
        <v/>
      </c>
      <c r="AJ294" t="str">
        <f>_xlfn.XLOOKUP($A294,'EA-Fortescue_SDExport'!$A:$A,'EA-Fortescue_SDExport'!AX:AX)</f>
        <v>CSV8F80FAFE</v>
      </c>
      <c r="AK294">
        <f>_xlfn.XLOOKUP($A294,'EA-Fortescue_SDExport'!$A:$A,'EA-Fortescue_SDExport'!AY:AY)</f>
        <v>0</v>
      </c>
    </row>
    <row r="295" spans="1:37" x14ac:dyDescent="0.25">
      <c r="A295" t="str">
        <v>DGS-I_0294</v>
      </c>
      <c r="B295" t="str">
        <f>_xlfn.XLOOKUP($A295,'EA-Fortescue_SDExport'!$A:$A,'EA-Fortescue_SDExport'!B:B)</f>
        <v>Class</v>
      </c>
      <c r="C295" t="str">
        <f>_xlfn.XLOOKUP($A295,'EA-Fortescue_SDExport'!$A:$A,'EA-Fortescue_SDExport'!C:C)</f>
        <v>{F2811329-F142-4bb0-885C-57340AA11C6A}</v>
      </c>
      <c r="D295" t="str">
        <f>_xlfn.LET(_xlpm.result, _xlfn.XLOOKUP($A295,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95">
        <f>_xlfn.XLOOKUP($A295,'EA-Fortescue_SDExport'!$A:$A,'EA-Fortescue_SDExport'!E:E)</f>
        <v>1</v>
      </c>
      <c r="F295">
        <f>_xlfn.XLOOKUP($A295,'EA-Fortescue_SDExport'!$A:$A,'EA-Fortescue_SDExport'!F:F)</f>
        <v>1</v>
      </c>
      <c r="G295">
        <f>_xlfn.XLOOKUP($A295,'EA-Fortescue_SDExport'!$A:$A,'EA-Fortescue_SDExport'!G:G)</f>
        <v>0</v>
      </c>
      <c r="H295" t="str">
        <f>_xlfn.XLOOKUP($A295,'EA-Fortescue_SDExport'!$A:$A,'EA-Fortescue_SDExport'!H:H)</f>
        <v>InterfaceBlock</v>
      </c>
      <c r="I295" t="str">
        <f>_xlfn.XLOOKUP($A295,'EA-Fortescue_SDExport'!$A:$A,'EA-Fortescue_SDExport'!I:I)</f>
        <v>SysML1.4::InterfaceBlock</v>
      </c>
      <c r="J295" t="str">
        <f>_xlfn.XLOOKUP($A295,'EA-Fortescue_SDExport'!$A:$A,'EA-Fortescue_SDExport'!J:J)</f>
        <v>Java</v>
      </c>
      <c r="K295" t="str">
        <f>_xlfn.XLOOKUP($A295,'EA-Fortescue_SDExport'!$A:$A,'EA-Fortescue_SDExport'!K:K)</f>
        <v>Admin</v>
      </c>
      <c r="L295" t="str">
        <f>_xlfn.XLOOKUP($A295,'EA-Fortescue_SDExport'!$A:$A,'EA-Fortescue_SDExport'!L:L)</f>
        <v>Public</v>
      </c>
      <c r="M295">
        <f>_xlfn.XLOOKUP($A295,'EA-Fortescue_SDExport'!$A:$A,'EA-Fortescue_SDExport'!M:M)</f>
        <v>0</v>
      </c>
      <c r="N295" t="str">
        <f>_xlfn.XLOOKUP($A295,InterfaceRegister!$A:$A,InterfaceRegister!K:K)</f>
        <v>Proposed</v>
      </c>
      <c r="O295">
        <f>_xlfn.XLOOKUP($A295,'EA-Fortescue_SDExport'!$A:$A,'EA-Fortescue_SDExport'!O:O)</f>
        <v>1</v>
      </c>
      <c r="P295">
        <f>_xlfn.XLOOKUP($A295,'EA-Fortescue_SDExport'!$A:$A,'EA-Fortescue_SDExport'!P:P)</f>
        <v>0</v>
      </c>
      <c r="Q295">
        <f>_xlfn.XLOOKUP($A295,'EA-Fortescue_SDExport'!$A:$A,'EA-Fortescue_SDExport'!Q:Q)</f>
        <v>0</v>
      </c>
      <c r="R295">
        <f>_xlfn.XLOOKUP($A295,'EA-Fortescue_SDExport'!$A:$A,'EA-Fortescue_SDExport'!R:R)</f>
        <v>0</v>
      </c>
      <c r="S295">
        <f>_xlfn.XLOOKUP($A295,'EA-Fortescue_SDExport'!$A:$A,'EA-Fortescue_SDExport'!S:S)</f>
        <v>0</v>
      </c>
      <c r="T295">
        <f>_xlfn.XLOOKUP($A295,'EA-Fortescue_SDExport'!$A:$A,'EA-Fortescue_SDExport'!T:T)</f>
        <v>0</v>
      </c>
      <c r="U295">
        <f>_xlfn.XLOOKUP($A295,'EA-Fortescue_SDExport'!$A:$A,'EA-Fortescue_SDExport'!U:U)</f>
        <v>45973.644675925927</v>
      </c>
      <c r="V295">
        <f>_xlfn.XLOOKUP($A295,'EA-Fortescue_SDExport'!$A:$A,'EA-Fortescue_SDExport'!V:V)</f>
        <v>46051.101759259262</v>
      </c>
      <c r="W295">
        <f>_xlfn.XLOOKUP($A295,'EA-Fortescue_SDExport'!$A:$A,'EA-Fortescue_SDExport'!W:W)</f>
        <v>0</v>
      </c>
      <c r="X295">
        <f>_xlfn.XLOOKUP($A295,'EA-Fortescue_SDExport'!$A:$A,'EA-Fortescue_SDExport'!X:X)</f>
        <v>0</v>
      </c>
      <c r="Y295">
        <f>_xlfn.XLOOKUP($A295,'EA-Fortescue_SDExport'!$A:$A,'EA-Fortescue_SDExport'!Y:Y)</f>
        <v>0</v>
      </c>
      <c r="Z295" t="str">
        <f>_xlfn.XLOOKUP($A295,'EA-Fortescue_SDExport'!$A:$A,'EA-Fortescue_SDExport'!Z:Z)</f>
        <v>SysML1.4::InterfaceBlock</v>
      </c>
      <c r="AA295" t="str">
        <f>_xlfn.XLOOKUP($A295,InterfaceRegister!$A:$A,InterfaceRegister!B:B)</f>
        <v>855DC-1543-PPC Pit Power Capacity Planning Tool - Capacity Check|Solomon Mine Hub: Ore Processing Facility (OPF)</v>
      </c>
      <c r="AB295" t="str">
        <f>_xlfn.XLOOKUP($A295,InterfaceRegister!$A:$A,InterfaceRegister!C:C)</f>
        <v/>
      </c>
      <c r="AC295" t="str">
        <f>_xlfn.XLOOKUP($A295,InterfaceRegister!$A:$A,InterfaceRegister!D:D)</f>
        <v/>
      </c>
      <c r="AD295" t="str">
        <f>_xlfn.XLOOKUP($A295,InterfaceRegister!$A:$A,InterfaceRegister!E:E)</f>
        <v>System - Project Interface</v>
      </c>
      <c r="AE295" t="str">
        <f>_xlfn.XLOOKUP($A295,InterfaceRegister!$A:$A,InterfaceRegister!F:F)</f>
        <v/>
      </c>
      <c r="AF295" t="str">
        <f>_xlfn.XLOOKUP($A295,InterfaceRegister!$A:$A,InterfaceRegister!L:L)</f>
        <v/>
      </c>
      <c r="AG295" t="str">
        <f>_xlfn.XLOOKUP($A295,InterfaceRegister!$A:$A,InterfaceRegister!M:M)</f>
        <v/>
      </c>
      <c r="AH295" t="str">
        <f>_xlfn.XLOOKUP($A295,InterfaceRegister!$A:$A,InterfaceRegister!O:O)</f>
        <v/>
      </c>
      <c r="AI295" t="str">
        <f>_xlfn.XLOOKUP($A295,InterfaceRegister!$A:$A,InterfaceRegister!N:N)</f>
        <v/>
      </c>
      <c r="AJ295" t="str">
        <f>_xlfn.XLOOKUP($A295,'EA-Fortescue_SDExport'!$A:$A,'EA-Fortescue_SDExport'!AX:AX)</f>
        <v>CSVC4206E39</v>
      </c>
      <c r="AK295">
        <f>_xlfn.XLOOKUP($A295,'EA-Fortescue_SDExport'!$A:$A,'EA-Fortescue_SDExport'!AY:AY)</f>
        <v>0</v>
      </c>
    </row>
    <row r="296" spans="1:37" x14ac:dyDescent="0.25">
      <c r="A296" t="str">
        <v>DGS-I_0295</v>
      </c>
      <c r="B296" t="str">
        <f>_xlfn.XLOOKUP($A296,'EA-Fortescue_SDExport'!$A:$A,'EA-Fortescue_SDExport'!B:B)</f>
        <v>Class</v>
      </c>
      <c r="C296" t="str">
        <f>_xlfn.XLOOKUP($A296,'EA-Fortescue_SDExport'!$A:$A,'EA-Fortescue_SDExport'!C:C)</f>
        <v>{3595BF70-1AA3-447e-B297-3797CCF34121}</v>
      </c>
      <c r="D296" t="str">
        <f>_xlfn.LET(_xlpm.result, _xlfn.XLOOKUP($A296,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296">
        <f>_xlfn.XLOOKUP($A296,'EA-Fortescue_SDExport'!$A:$A,'EA-Fortescue_SDExport'!E:E)</f>
        <v>1</v>
      </c>
      <c r="F296">
        <f>_xlfn.XLOOKUP($A296,'EA-Fortescue_SDExport'!$A:$A,'EA-Fortescue_SDExport'!F:F)</f>
        <v>1</v>
      </c>
      <c r="G296">
        <f>_xlfn.XLOOKUP($A296,'EA-Fortescue_SDExport'!$A:$A,'EA-Fortescue_SDExport'!G:G)</f>
        <v>0</v>
      </c>
      <c r="H296" t="str">
        <f>_xlfn.XLOOKUP($A296,'EA-Fortescue_SDExport'!$A:$A,'EA-Fortescue_SDExport'!H:H)</f>
        <v>InterfaceBlock</v>
      </c>
      <c r="I296" t="str">
        <f>_xlfn.XLOOKUP($A296,'EA-Fortescue_SDExport'!$A:$A,'EA-Fortescue_SDExport'!I:I)</f>
        <v>SysML1.4::InterfaceBlock</v>
      </c>
      <c r="J296" t="str">
        <f>_xlfn.XLOOKUP($A296,'EA-Fortescue_SDExport'!$A:$A,'EA-Fortescue_SDExport'!J:J)</f>
        <v>Java</v>
      </c>
      <c r="K296" t="str">
        <f>_xlfn.XLOOKUP($A296,'EA-Fortescue_SDExport'!$A:$A,'EA-Fortescue_SDExport'!K:K)</f>
        <v>Admin</v>
      </c>
      <c r="L296" t="str">
        <f>_xlfn.XLOOKUP($A296,'EA-Fortescue_SDExport'!$A:$A,'EA-Fortescue_SDExport'!L:L)</f>
        <v>Public</v>
      </c>
      <c r="M296">
        <f>_xlfn.XLOOKUP($A296,'EA-Fortescue_SDExport'!$A:$A,'EA-Fortescue_SDExport'!M:M)</f>
        <v>0</v>
      </c>
      <c r="N296" t="str">
        <f>_xlfn.XLOOKUP($A296,InterfaceRegister!$A:$A,InterfaceRegister!K:K)</f>
        <v>Proposed</v>
      </c>
      <c r="O296">
        <f>_xlfn.XLOOKUP($A296,'EA-Fortescue_SDExport'!$A:$A,'EA-Fortescue_SDExport'!O:O)</f>
        <v>1</v>
      </c>
      <c r="P296">
        <f>_xlfn.XLOOKUP($A296,'EA-Fortescue_SDExport'!$A:$A,'EA-Fortescue_SDExport'!P:P)</f>
        <v>0</v>
      </c>
      <c r="Q296">
        <f>_xlfn.XLOOKUP($A296,'EA-Fortescue_SDExport'!$A:$A,'EA-Fortescue_SDExport'!Q:Q)</f>
        <v>0</v>
      </c>
      <c r="R296">
        <f>_xlfn.XLOOKUP($A296,'EA-Fortescue_SDExport'!$A:$A,'EA-Fortescue_SDExport'!R:R)</f>
        <v>0</v>
      </c>
      <c r="S296">
        <f>_xlfn.XLOOKUP($A296,'EA-Fortescue_SDExport'!$A:$A,'EA-Fortescue_SDExport'!S:S)</f>
        <v>0</v>
      </c>
      <c r="T296">
        <f>_xlfn.XLOOKUP($A296,'EA-Fortescue_SDExport'!$A:$A,'EA-Fortescue_SDExport'!T:T)</f>
        <v>0</v>
      </c>
      <c r="U296">
        <f>_xlfn.XLOOKUP($A296,'EA-Fortescue_SDExport'!$A:$A,'EA-Fortescue_SDExport'!U:U)</f>
        <v>45973.64472222222</v>
      </c>
      <c r="V296">
        <f>_xlfn.XLOOKUP($A296,'EA-Fortescue_SDExport'!$A:$A,'EA-Fortescue_SDExport'!V:V)</f>
        <v>46051.101747685185</v>
      </c>
      <c r="W296">
        <f>_xlfn.XLOOKUP($A296,'EA-Fortescue_SDExport'!$A:$A,'EA-Fortescue_SDExport'!W:W)</f>
        <v>0</v>
      </c>
      <c r="X296">
        <f>_xlfn.XLOOKUP($A296,'EA-Fortescue_SDExport'!$A:$A,'EA-Fortescue_SDExport'!X:X)</f>
        <v>0</v>
      </c>
      <c r="Y296">
        <f>_xlfn.XLOOKUP($A296,'EA-Fortescue_SDExport'!$A:$A,'EA-Fortescue_SDExport'!Y:Y)</f>
        <v>0</v>
      </c>
      <c r="Z296" t="str">
        <f>_xlfn.XLOOKUP($A296,'EA-Fortescue_SDExport'!$A:$A,'EA-Fortescue_SDExport'!Z:Z)</f>
        <v>SysML1.4::InterfaceBlock</v>
      </c>
      <c r="AA296" t="str">
        <f>_xlfn.XLOOKUP($A296,InterfaceRegister!$A:$A,InterfaceRegister!B:B)</f>
        <v>Solomon Mine Hub: Train Load Out (TLO)|855DC-1543-PPC Pit Power Capacity Planning Tool - Capacity Check</v>
      </c>
      <c r="AB296" t="str">
        <f>_xlfn.XLOOKUP($A296,InterfaceRegister!$A:$A,InterfaceRegister!C:C)</f>
        <v/>
      </c>
      <c r="AC296" t="str">
        <f>_xlfn.XLOOKUP($A296,InterfaceRegister!$A:$A,InterfaceRegister!D:D)</f>
        <v/>
      </c>
      <c r="AD296" t="str">
        <f>_xlfn.XLOOKUP($A296,InterfaceRegister!$A:$A,InterfaceRegister!E:E)</f>
        <v>System - Project Interface</v>
      </c>
      <c r="AE296" t="str">
        <f>_xlfn.XLOOKUP($A296,InterfaceRegister!$A:$A,InterfaceRegister!F:F)</f>
        <v/>
      </c>
      <c r="AF296" t="str">
        <f>_xlfn.XLOOKUP($A296,InterfaceRegister!$A:$A,InterfaceRegister!L:L)</f>
        <v/>
      </c>
      <c r="AG296" t="str">
        <f>_xlfn.XLOOKUP($A296,InterfaceRegister!$A:$A,InterfaceRegister!M:M)</f>
        <v/>
      </c>
      <c r="AH296" t="str">
        <f>_xlfn.XLOOKUP($A296,InterfaceRegister!$A:$A,InterfaceRegister!O:O)</f>
        <v/>
      </c>
      <c r="AI296" t="str">
        <f>_xlfn.XLOOKUP($A296,InterfaceRegister!$A:$A,InterfaceRegister!N:N)</f>
        <v/>
      </c>
      <c r="AJ296" t="str">
        <f>_xlfn.XLOOKUP($A296,'EA-Fortescue_SDExport'!$A:$A,'EA-Fortescue_SDExport'!AX:AX)</f>
        <v>CSVADC052EE</v>
      </c>
      <c r="AK296">
        <f>_xlfn.XLOOKUP($A296,'EA-Fortescue_SDExport'!$A:$A,'EA-Fortescue_SDExport'!AY:AY)</f>
        <v>0</v>
      </c>
    </row>
    <row r="297" spans="1:37" x14ac:dyDescent="0.25">
      <c r="A297" t="str">
        <v>DGS-I_0296</v>
      </c>
      <c r="B297" t="str">
        <f>_xlfn.XLOOKUP($A297,'EA-Fortescue_SDExport'!$A:$A,'EA-Fortescue_SDExport'!B:B)</f>
        <v>Class</v>
      </c>
      <c r="C297" t="str">
        <f>_xlfn.XLOOKUP($A297,'EA-Fortescue_SDExport'!$A:$A,'EA-Fortescue_SDExport'!C:C)</f>
        <v>{1B124738-2734-4813-8683-B4C043822D43}</v>
      </c>
      <c r="D297" t="str">
        <f>_xlfn.LET(_xlpm.result, _xlfn.XLOOKUP($A297, InterfaceRegister!$A:$A, InterfaceRegister!P:P), IF(_xlpm.result=0, "", _xlpm.result))</f>
        <v/>
      </c>
      <c r="E297">
        <f>_xlfn.XLOOKUP($A297,'EA-Fortescue_SDExport'!$A:$A,'EA-Fortescue_SDExport'!E:E)</f>
        <v>1</v>
      </c>
      <c r="F297">
        <f>_xlfn.XLOOKUP($A297,'EA-Fortescue_SDExport'!$A:$A,'EA-Fortescue_SDExport'!F:F)</f>
        <v>1</v>
      </c>
      <c r="G297">
        <f>_xlfn.XLOOKUP($A297,'EA-Fortescue_SDExport'!$A:$A,'EA-Fortescue_SDExport'!G:G)</f>
        <v>0</v>
      </c>
      <c r="H297" t="str">
        <f>_xlfn.XLOOKUP($A297,'EA-Fortescue_SDExport'!$A:$A,'EA-Fortescue_SDExport'!H:H)</f>
        <v>InterfaceBlock</v>
      </c>
      <c r="I297" t="str">
        <f>_xlfn.XLOOKUP($A297,'EA-Fortescue_SDExport'!$A:$A,'EA-Fortescue_SDExport'!I:I)</f>
        <v>SysML1.4::InterfaceBlock</v>
      </c>
      <c r="J297" t="str">
        <f>_xlfn.XLOOKUP($A297,'EA-Fortescue_SDExport'!$A:$A,'EA-Fortescue_SDExport'!J:J)</f>
        <v>Java</v>
      </c>
      <c r="K297" t="str">
        <f>_xlfn.XLOOKUP($A297,'EA-Fortescue_SDExport'!$A:$A,'EA-Fortescue_SDExport'!K:K)</f>
        <v>Admin</v>
      </c>
      <c r="L297" t="str">
        <f>_xlfn.XLOOKUP($A297,'EA-Fortescue_SDExport'!$A:$A,'EA-Fortescue_SDExport'!L:L)</f>
        <v>Public</v>
      </c>
      <c r="M297">
        <f>_xlfn.XLOOKUP($A297,'EA-Fortescue_SDExport'!$A:$A,'EA-Fortescue_SDExport'!M:M)</f>
        <v>0</v>
      </c>
      <c r="N297" t="str">
        <f>_xlfn.XLOOKUP($A297,InterfaceRegister!$A:$A,InterfaceRegister!K:K)</f>
        <v>Proposed</v>
      </c>
      <c r="O297">
        <f>_xlfn.XLOOKUP($A297,'EA-Fortescue_SDExport'!$A:$A,'EA-Fortescue_SDExport'!O:O)</f>
        <v>1</v>
      </c>
      <c r="P297">
        <f>_xlfn.XLOOKUP($A297,'EA-Fortescue_SDExport'!$A:$A,'EA-Fortescue_SDExport'!P:P)</f>
        <v>0</v>
      </c>
      <c r="Q297">
        <f>_xlfn.XLOOKUP($A297,'EA-Fortescue_SDExport'!$A:$A,'EA-Fortescue_SDExport'!Q:Q)</f>
        <v>0</v>
      </c>
      <c r="R297">
        <f>_xlfn.XLOOKUP($A297,'EA-Fortescue_SDExport'!$A:$A,'EA-Fortescue_SDExport'!R:R)</f>
        <v>0</v>
      </c>
      <c r="S297">
        <f>_xlfn.XLOOKUP($A297,'EA-Fortescue_SDExport'!$A:$A,'EA-Fortescue_SDExport'!S:S)</f>
        <v>0</v>
      </c>
      <c r="T297">
        <f>_xlfn.XLOOKUP($A297,'EA-Fortescue_SDExport'!$A:$A,'EA-Fortescue_SDExport'!T:T)</f>
        <v>0</v>
      </c>
      <c r="U297">
        <f>_xlfn.XLOOKUP($A297,'EA-Fortescue_SDExport'!$A:$A,'EA-Fortescue_SDExport'!U:U)</f>
        <v>45975.108599537038</v>
      </c>
      <c r="V297">
        <f>_xlfn.XLOOKUP($A297,'EA-Fortescue_SDExport'!$A:$A,'EA-Fortescue_SDExport'!V:V)</f>
        <v>46002.004953703705</v>
      </c>
      <c r="W297">
        <f>_xlfn.XLOOKUP($A297,'EA-Fortescue_SDExport'!$A:$A,'EA-Fortescue_SDExport'!W:W)</f>
        <v>0</v>
      </c>
      <c r="X297">
        <f>_xlfn.XLOOKUP($A297,'EA-Fortescue_SDExport'!$A:$A,'EA-Fortescue_SDExport'!X:X)</f>
        <v>0</v>
      </c>
      <c r="Y297">
        <f>_xlfn.XLOOKUP($A297,'EA-Fortescue_SDExport'!$A:$A,'EA-Fortescue_SDExport'!Y:Y)</f>
        <v>0</v>
      </c>
      <c r="Z297" t="str">
        <f>_xlfn.XLOOKUP($A297,'EA-Fortescue_SDExport'!$A:$A,'EA-Fortescue_SDExport'!Z:Z)</f>
        <v>SysML1.4::InterfaceBlock</v>
      </c>
      <c r="AA297" t="str">
        <f>_xlfn.XLOOKUP($A297,InterfaceRegister!$A:$A,InterfaceRegister!B:B)</f>
        <v>HV Transmission lines PEC # [W. Hub - SOL]|Eliwana Mine: Substation (33kV)</v>
      </c>
      <c r="AB297" t="str">
        <f>_xlfn.XLOOKUP($A297,InterfaceRegister!$A:$A,InterfaceRegister!C:C)</f>
        <v/>
      </c>
      <c r="AC297" t="str">
        <f>_xlfn.XLOOKUP($A297,InterfaceRegister!$A:$A,InterfaceRegister!D:D)</f>
        <v/>
      </c>
      <c r="AD297" t="str">
        <f>_xlfn.XLOOKUP($A297,InterfaceRegister!$A:$A,InterfaceRegister!E:E)</f>
        <v>System - Project Interface</v>
      </c>
      <c r="AE297" t="str">
        <f>_xlfn.XLOOKUP($A297,InterfaceRegister!$A:$A,InterfaceRegister!F:F)</f>
        <v/>
      </c>
      <c r="AF297" t="str">
        <f>_xlfn.XLOOKUP($A297,InterfaceRegister!$A:$A,InterfaceRegister!L:L)</f>
        <v/>
      </c>
      <c r="AG297" t="str">
        <f>_xlfn.XLOOKUP($A297,InterfaceRegister!$A:$A,InterfaceRegister!M:M)</f>
        <v/>
      </c>
      <c r="AH297" t="str">
        <f>_xlfn.XLOOKUP($A297,InterfaceRegister!$A:$A,InterfaceRegister!O:O)</f>
        <v/>
      </c>
      <c r="AI297" t="str">
        <f>_xlfn.XLOOKUP($A297,InterfaceRegister!$A:$A,InterfaceRegister!N:N)</f>
        <v/>
      </c>
      <c r="AJ297" t="str">
        <f>_xlfn.XLOOKUP($A297,'EA-Fortescue_SDExport'!$A:$A,'EA-Fortescue_SDExport'!AX:AX)</f>
        <v>CSV40F61D00</v>
      </c>
      <c r="AK297">
        <f>_xlfn.XLOOKUP($A297,'EA-Fortescue_SDExport'!$A:$A,'EA-Fortescue_SDExport'!AY:AY)</f>
        <v>0</v>
      </c>
    </row>
    <row r="298" spans="1:37" x14ac:dyDescent="0.25">
      <c r="A298" t="str">
        <v>DGS-I_0297</v>
      </c>
      <c r="B298" t="str">
        <f>_xlfn.XLOOKUP($A298,'EA-Fortescue_SDExport'!$A:$A,'EA-Fortescue_SDExport'!B:B)</f>
        <v>Class</v>
      </c>
      <c r="C298" t="str">
        <f>_xlfn.XLOOKUP($A298,'EA-Fortescue_SDExport'!$A:$A,'EA-Fortescue_SDExport'!C:C)</f>
        <v>{0C9B3F18-D6BC-4257-860E-59AF5C2533E1}</v>
      </c>
      <c r="D298" t="str">
        <f>_xlfn.LET(_xlpm.result, _xlfn.XLOOKUP($A298, InterfaceRegister!$A:$A, InterfaceRegister!P:P), IF(_xlpm.result=0, "", _xlpm.result))</f>
        <v/>
      </c>
      <c r="E298">
        <f>_xlfn.XLOOKUP($A298,'EA-Fortescue_SDExport'!$A:$A,'EA-Fortescue_SDExport'!E:E)</f>
        <v>1</v>
      </c>
      <c r="F298">
        <f>_xlfn.XLOOKUP($A298,'EA-Fortescue_SDExport'!$A:$A,'EA-Fortescue_SDExport'!F:F)</f>
        <v>1</v>
      </c>
      <c r="G298">
        <f>_xlfn.XLOOKUP($A298,'EA-Fortescue_SDExport'!$A:$A,'EA-Fortescue_SDExport'!G:G)</f>
        <v>0</v>
      </c>
      <c r="H298" t="str">
        <f>_xlfn.XLOOKUP($A298,'EA-Fortescue_SDExport'!$A:$A,'EA-Fortescue_SDExport'!H:H)</f>
        <v>InterfaceBlock</v>
      </c>
      <c r="I298" t="str">
        <f>_xlfn.XLOOKUP($A298,'EA-Fortescue_SDExport'!$A:$A,'EA-Fortescue_SDExport'!I:I)</f>
        <v>SysML1.4::InterfaceBlock</v>
      </c>
      <c r="J298" t="str">
        <f>_xlfn.XLOOKUP($A298,'EA-Fortescue_SDExport'!$A:$A,'EA-Fortescue_SDExport'!J:J)</f>
        <v>Java</v>
      </c>
      <c r="K298" t="str">
        <f>_xlfn.XLOOKUP($A298,'EA-Fortescue_SDExport'!$A:$A,'EA-Fortescue_SDExport'!K:K)</f>
        <v>Admin</v>
      </c>
      <c r="L298" t="str">
        <f>_xlfn.XLOOKUP($A298,'EA-Fortescue_SDExport'!$A:$A,'EA-Fortescue_SDExport'!L:L)</f>
        <v>Public</v>
      </c>
      <c r="M298">
        <f>_xlfn.XLOOKUP($A298,'EA-Fortescue_SDExport'!$A:$A,'EA-Fortescue_SDExport'!M:M)</f>
        <v>0</v>
      </c>
      <c r="N298" t="str">
        <f>_xlfn.XLOOKUP($A298,InterfaceRegister!$A:$A,InterfaceRegister!K:K)</f>
        <v>Proposed</v>
      </c>
      <c r="O298">
        <f>_xlfn.XLOOKUP($A298,'EA-Fortescue_SDExport'!$A:$A,'EA-Fortescue_SDExport'!O:O)</f>
        <v>1</v>
      </c>
      <c r="P298">
        <f>_xlfn.XLOOKUP($A298,'EA-Fortescue_SDExport'!$A:$A,'EA-Fortescue_SDExport'!P:P)</f>
        <v>0</v>
      </c>
      <c r="Q298">
        <f>_xlfn.XLOOKUP($A298,'EA-Fortescue_SDExport'!$A:$A,'EA-Fortescue_SDExport'!Q:Q)</f>
        <v>0</v>
      </c>
      <c r="R298">
        <f>_xlfn.XLOOKUP($A298,'EA-Fortescue_SDExport'!$A:$A,'EA-Fortescue_SDExport'!R:R)</f>
        <v>0</v>
      </c>
      <c r="S298">
        <f>_xlfn.XLOOKUP($A298,'EA-Fortescue_SDExport'!$A:$A,'EA-Fortescue_SDExport'!S:S)</f>
        <v>0</v>
      </c>
      <c r="T298">
        <f>_xlfn.XLOOKUP($A298,'EA-Fortescue_SDExport'!$A:$A,'EA-Fortescue_SDExport'!T:T)</f>
        <v>0</v>
      </c>
      <c r="U298">
        <f>_xlfn.XLOOKUP($A298,'EA-Fortescue_SDExport'!$A:$A,'EA-Fortescue_SDExport'!U:U)</f>
        <v>45973.644803240742</v>
      </c>
      <c r="V298">
        <f>_xlfn.XLOOKUP($A298,'EA-Fortescue_SDExport'!$A:$A,'EA-Fortescue_SDExport'!V:V)</f>
        <v>46002.004999999997</v>
      </c>
      <c r="W298">
        <f>_xlfn.XLOOKUP($A298,'EA-Fortescue_SDExport'!$A:$A,'EA-Fortescue_SDExport'!W:W)</f>
        <v>0</v>
      </c>
      <c r="X298">
        <f>_xlfn.XLOOKUP($A298,'EA-Fortescue_SDExport'!$A:$A,'EA-Fortescue_SDExport'!X:X)</f>
        <v>0</v>
      </c>
      <c r="Y298">
        <f>_xlfn.XLOOKUP($A298,'EA-Fortescue_SDExport'!$A:$A,'EA-Fortescue_SDExport'!Y:Y)</f>
        <v>0</v>
      </c>
      <c r="Z298" t="str">
        <f>_xlfn.XLOOKUP($A298,'EA-Fortescue_SDExport'!$A:$A,'EA-Fortescue_SDExport'!Z:Z)</f>
        <v>SysML1.4::InterfaceBlock</v>
      </c>
      <c r="AA298" t="str">
        <f>_xlfn.XLOOKUP($A298,InterfaceRegister!$A:$A,InterfaceRegister!B:B)</f>
        <v>HV Transmission lines PEC # [W. Hub - SOL]|Solomon Mine Hub: Substation (220kV)</v>
      </c>
      <c r="AB298" t="str">
        <f>_xlfn.XLOOKUP($A298,InterfaceRegister!$A:$A,InterfaceRegister!C:C)</f>
        <v/>
      </c>
      <c r="AC298" t="str">
        <f>_xlfn.XLOOKUP($A298,InterfaceRegister!$A:$A,InterfaceRegister!D:D)</f>
        <v/>
      </c>
      <c r="AD298" t="str">
        <f>_xlfn.XLOOKUP($A298,InterfaceRegister!$A:$A,InterfaceRegister!E:E)</f>
        <v>System - Project Interface</v>
      </c>
      <c r="AE298" t="str">
        <f>_xlfn.XLOOKUP($A298,InterfaceRegister!$A:$A,InterfaceRegister!F:F)</f>
        <v/>
      </c>
      <c r="AF298" t="str">
        <f>_xlfn.XLOOKUP($A298,InterfaceRegister!$A:$A,InterfaceRegister!L:L)</f>
        <v/>
      </c>
      <c r="AG298" t="str">
        <f>_xlfn.XLOOKUP($A298,InterfaceRegister!$A:$A,InterfaceRegister!M:M)</f>
        <v/>
      </c>
      <c r="AH298" t="str">
        <f>_xlfn.XLOOKUP($A298,InterfaceRegister!$A:$A,InterfaceRegister!O:O)</f>
        <v/>
      </c>
      <c r="AI298" t="str">
        <f>_xlfn.XLOOKUP($A298,InterfaceRegister!$A:$A,InterfaceRegister!N:N)</f>
        <v/>
      </c>
      <c r="AJ298" t="str">
        <f>_xlfn.XLOOKUP($A298,'EA-Fortescue_SDExport'!$A:$A,'EA-Fortescue_SDExport'!AX:AX)</f>
        <v>CSVC2E78F54</v>
      </c>
      <c r="AK298">
        <f>_xlfn.XLOOKUP($A298,'EA-Fortescue_SDExport'!$A:$A,'EA-Fortescue_SDExport'!AY:AY)</f>
        <v>0</v>
      </c>
    </row>
    <row r="299" spans="1:37" x14ac:dyDescent="0.25">
      <c r="A299" t="str">
        <v>DGS-I_0298</v>
      </c>
      <c r="B299" t="str">
        <f>_xlfn.XLOOKUP($A299,'EA-Fortescue_SDExport'!$A:$A,'EA-Fortescue_SDExport'!B:B)</f>
        <v>Class</v>
      </c>
      <c r="C299" t="str">
        <f>_xlfn.XLOOKUP($A299,'EA-Fortescue_SDExport'!$A:$A,'EA-Fortescue_SDExport'!C:C)</f>
        <v>{B48B78BE-1C0B-4968-B0B6-C73FDC4716D7}</v>
      </c>
      <c r="D299" t="str">
        <f>_xlfn.LET(_xlpm.result, _xlfn.XLOOKUP($A299, InterfaceRegister!$A:$A, InterfaceRegister!P:P), IF(_xlpm.result=0, "", _xlpm.result))</f>
        <v/>
      </c>
      <c r="E299">
        <f>_xlfn.XLOOKUP($A299,'EA-Fortescue_SDExport'!$A:$A,'EA-Fortescue_SDExport'!E:E)</f>
        <v>1</v>
      </c>
      <c r="F299">
        <f>_xlfn.XLOOKUP($A299,'EA-Fortescue_SDExport'!$A:$A,'EA-Fortescue_SDExport'!F:F)</f>
        <v>1</v>
      </c>
      <c r="G299">
        <f>_xlfn.XLOOKUP($A299,'EA-Fortescue_SDExport'!$A:$A,'EA-Fortescue_SDExport'!G:G)</f>
        <v>0</v>
      </c>
      <c r="H299" t="str">
        <f>_xlfn.XLOOKUP($A299,'EA-Fortescue_SDExport'!$A:$A,'EA-Fortescue_SDExport'!H:H)</f>
        <v>InterfaceBlock</v>
      </c>
      <c r="I299" t="str">
        <f>_xlfn.XLOOKUP($A299,'EA-Fortescue_SDExport'!$A:$A,'EA-Fortescue_SDExport'!I:I)</f>
        <v>SysML1.4::InterfaceBlock</v>
      </c>
      <c r="J299" t="str">
        <f>_xlfn.XLOOKUP($A299,'EA-Fortescue_SDExport'!$A:$A,'EA-Fortescue_SDExport'!J:J)</f>
        <v>Java</v>
      </c>
      <c r="K299" t="str">
        <f>_xlfn.XLOOKUP($A299,'EA-Fortescue_SDExport'!$A:$A,'EA-Fortescue_SDExport'!K:K)</f>
        <v>Admin</v>
      </c>
      <c r="L299" t="str">
        <f>_xlfn.XLOOKUP($A299,'EA-Fortescue_SDExport'!$A:$A,'EA-Fortescue_SDExport'!L:L)</f>
        <v>Public</v>
      </c>
      <c r="M299">
        <f>_xlfn.XLOOKUP($A299,'EA-Fortescue_SDExport'!$A:$A,'EA-Fortescue_SDExport'!M:M)</f>
        <v>0</v>
      </c>
      <c r="N299" t="str">
        <f>_xlfn.XLOOKUP($A299,InterfaceRegister!$A:$A,InterfaceRegister!K:K)</f>
        <v>Proposed</v>
      </c>
      <c r="O299">
        <f>_xlfn.XLOOKUP($A299,'EA-Fortescue_SDExport'!$A:$A,'EA-Fortescue_SDExport'!O:O)</f>
        <v>1</v>
      </c>
      <c r="P299">
        <f>_xlfn.XLOOKUP($A299,'EA-Fortescue_SDExport'!$A:$A,'EA-Fortescue_SDExport'!P:P)</f>
        <v>0</v>
      </c>
      <c r="Q299">
        <f>_xlfn.XLOOKUP($A299,'EA-Fortescue_SDExport'!$A:$A,'EA-Fortescue_SDExport'!Q:Q)</f>
        <v>0</v>
      </c>
      <c r="R299">
        <f>_xlfn.XLOOKUP($A299,'EA-Fortescue_SDExport'!$A:$A,'EA-Fortescue_SDExport'!R:R)</f>
        <v>0</v>
      </c>
      <c r="S299">
        <f>_xlfn.XLOOKUP($A299,'EA-Fortescue_SDExport'!$A:$A,'EA-Fortescue_SDExport'!S:S)</f>
        <v>0</v>
      </c>
      <c r="T299">
        <f>_xlfn.XLOOKUP($A299,'EA-Fortescue_SDExport'!$A:$A,'EA-Fortescue_SDExport'!T:T)</f>
        <v>0</v>
      </c>
      <c r="U299">
        <f>_xlfn.XLOOKUP($A299,'EA-Fortescue_SDExport'!$A:$A,'EA-Fortescue_SDExport'!U:U)</f>
        <v>45973.644849537035</v>
      </c>
      <c r="V299">
        <f>_xlfn.XLOOKUP($A299,'EA-Fortescue_SDExport'!$A:$A,'EA-Fortescue_SDExport'!V:V)</f>
        <v>46002.004942129628</v>
      </c>
      <c r="W299">
        <f>_xlfn.XLOOKUP($A299,'EA-Fortescue_SDExport'!$A:$A,'EA-Fortescue_SDExport'!W:W)</f>
        <v>0</v>
      </c>
      <c r="X299">
        <f>_xlfn.XLOOKUP($A299,'EA-Fortescue_SDExport'!$A:$A,'EA-Fortescue_SDExport'!X:X)</f>
        <v>0</v>
      </c>
      <c r="Y299">
        <f>_xlfn.XLOOKUP($A299,'EA-Fortescue_SDExport'!$A:$A,'EA-Fortescue_SDExport'!Y:Y)</f>
        <v>0</v>
      </c>
      <c r="Z299" t="str">
        <f>_xlfn.XLOOKUP($A299,'EA-Fortescue_SDExport'!$A:$A,'EA-Fortescue_SDExport'!Z:Z)</f>
        <v>SysML1.4::InterfaceBlock</v>
      </c>
      <c r="AA299" t="str">
        <f>_xlfn.XLOOKUP($A299,InterfaceRegister!$A:$A,InterfaceRegister!B:B)</f>
        <v>HV Transmission lines PEC # [SOL - LBD]|Solomon Mine Hub: Substation (220kV)</v>
      </c>
      <c r="AB299" t="str">
        <f>_xlfn.XLOOKUP($A299,InterfaceRegister!$A:$A,InterfaceRegister!C:C)</f>
        <v/>
      </c>
      <c r="AC299" t="str">
        <f>_xlfn.XLOOKUP($A299,InterfaceRegister!$A:$A,InterfaceRegister!D:D)</f>
        <v/>
      </c>
      <c r="AD299" t="str">
        <f>_xlfn.XLOOKUP($A299,InterfaceRegister!$A:$A,InterfaceRegister!E:E)</f>
        <v>System - Project Interface</v>
      </c>
      <c r="AE299" t="str">
        <f>_xlfn.XLOOKUP($A299,InterfaceRegister!$A:$A,InterfaceRegister!F:F)</f>
        <v/>
      </c>
      <c r="AF299" t="str">
        <f>_xlfn.XLOOKUP($A299,InterfaceRegister!$A:$A,InterfaceRegister!L:L)</f>
        <v/>
      </c>
      <c r="AG299" t="str">
        <f>_xlfn.XLOOKUP($A299,InterfaceRegister!$A:$A,InterfaceRegister!M:M)</f>
        <v/>
      </c>
      <c r="AH299" t="str">
        <f>_xlfn.XLOOKUP($A299,InterfaceRegister!$A:$A,InterfaceRegister!O:O)</f>
        <v/>
      </c>
      <c r="AI299" t="str">
        <f>_xlfn.XLOOKUP($A299,InterfaceRegister!$A:$A,InterfaceRegister!N:N)</f>
        <v/>
      </c>
      <c r="AJ299" t="str">
        <f>_xlfn.XLOOKUP($A299,'EA-Fortescue_SDExport'!$A:$A,'EA-Fortescue_SDExport'!AX:AX)</f>
        <v>CSVCDD2D4D9</v>
      </c>
      <c r="AK299">
        <f>_xlfn.XLOOKUP($A299,'EA-Fortescue_SDExport'!$A:$A,'EA-Fortescue_SDExport'!AY:AY)</f>
        <v>0</v>
      </c>
    </row>
    <row r="300" spans="1:37" x14ac:dyDescent="0.25">
      <c r="A300" t="str">
        <v>DGS-I_0299</v>
      </c>
      <c r="B300" t="str">
        <f>_xlfn.XLOOKUP($A300,'EA-Fortescue_SDExport'!$A:$A,'EA-Fortescue_SDExport'!B:B)</f>
        <v>Class</v>
      </c>
      <c r="C300" t="str">
        <f>_xlfn.XLOOKUP($A300,'EA-Fortescue_SDExport'!$A:$A,'EA-Fortescue_SDExport'!C:C)</f>
        <v>{24D98F32-A161-4f15-A793-330AC616BE36}</v>
      </c>
      <c r="D300" t="str">
        <f>_xlfn.LET(_xlpm.result, _xlfn.XLOOKUP($A300, InterfaceRegister!$A:$A, InterfaceRegister!P:P), IF(_xlpm.result=0, "", _xlpm.result))</f>
        <v>From DGS-I_0038 (interface with generic Drill Rig): LMS Review 30/10/2025: Planning to connect with Drill rig platform. _x000D_
Unknown platform to interface with. talking directly to the PLC for the first drill. _x000D_
Sam Ward is closer to Drill Rig platform._x000D_
Owner of interface (Green systems Project team)_x000D_
NH 20/02/2026: Fields updated: Interface Type, Interface Flow.</v>
      </c>
      <c r="E300">
        <f>_xlfn.XLOOKUP($A300,'EA-Fortescue_SDExport'!$A:$A,'EA-Fortescue_SDExport'!E:E)</f>
        <v>1</v>
      </c>
      <c r="F300">
        <f>_xlfn.XLOOKUP($A300,'EA-Fortescue_SDExport'!$A:$A,'EA-Fortescue_SDExport'!F:F)</f>
        <v>1</v>
      </c>
      <c r="G300">
        <f>_xlfn.XLOOKUP($A300,'EA-Fortescue_SDExport'!$A:$A,'EA-Fortescue_SDExport'!G:G)</f>
        <v>0</v>
      </c>
      <c r="H300" t="str">
        <f>_xlfn.XLOOKUP($A300,'EA-Fortescue_SDExport'!$A:$A,'EA-Fortescue_SDExport'!H:H)</f>
        <v>InterfaceBlock</v>
      </c>
      <c r="I300" t="str">
        <f>_xlfn.XLOOKUP($A300,'EA-Fortescue_SDExport'!$A:$A,'EA-Fortescue_SDExport'!I:I)</f>
        <v>SysML1.4::InterfaceBlock</v>
      </c>
      <c r="J300" t="str">
        <f>_xlfn.XLOOKUP($A300,'EA-Fortescue_SDExport'!$A:$A,'EA-Fortescue_SDExport'!J:J)</f>
        <v>Java</v>
      </c>
      <c r="K300" t="str">
        <f>_xlfn.XLOOKUP($A300,'EA-Fortescue_SDExport'!$A:$A,'EA-Fortescue_SDExport'!K:K)</f>
        <v>Admin</v>
      </c>
      <c r="L300" t="str">
        <f>_xlfn.XLOOKUP($A300,'EA-Fortescue_SDExport'!$A:$A,'EA-Fortescue_SDExport'!L:L)</f>
        <v>Public</v>
      </c>
      <c r="M300">
        <f>_xlfn.XLOOKUP($A300,'EA-Fortescue_SDExport'!$A:$A,'EA-Fortescue_SDExport'!M:M)</f>
        <v>0</v>
      </c>
      <c r="N300" t="str">
        <f>_xlfn.XLOOKUP($A300,InterfaceRegister!$A:$A,InterfaceRegister!K:K)</f>
        <v>Proposed</v>
      </c>
      <c r="O300">
        <f>_xlfn.XLOOKUP($A300,'EA-Fortescue_SDExport'!$A:$A,'EA-Fortescue_SDExport'!O:O)</f>
        <v>1</v>
      </c>
      <c r="P300">
        <f>_xlfn.XLOOKUP($A300,'EA-Fortescue_SDExport'!$A:$A,'EA-Fortescue_SDExport'!P:P)</f>
        <v>0</v>
      </c>
      <c r="Q300">
        <f>_xlfn.XLOOKUP($A300,'EA-Fortescue_SDExport'!$A:$A,'EA-Fortescue_SDExport'!Q:Q)</f>
        <v>0</v>
      </c>
      <c r="R300">
        <f>_xlfn.XLOOKUP($A300,'EA-Fortescue_SDExport'!$A:$A,'EA-Fortescue_SDExport'!R:R)</f>
        <v>0</v>
      </c>
      <c r="S300">
        <f>_xlfn.XLOOKUP($A300,'EA-Fortescue_SDExport'!$A:$A,'EA-Fortescue_SDExport'!S:S)</f>
        <v>0</v>
      </c>
      <c r="T300">
        <f>_xlfn.XLOOKUP($A300,'EA-Fortescue_SDExport'!$A:$A,'EA-Fortescue_SDExport'!T:T)</f>
        <v>0</v>
      </c>
      <c r="U300">
        <f>_xlfn.XLOOKUP($A300,'EA-Fortescue_SDExport'!$A:$A,'EA-Fortescue_SDExport'!U:U)</f>
        <v>45973.693333333336</v>
      </c>
      <c r="V300">
        <f>_xlfn.XLOOKUP($A300,'EA-Fortescue_SDExport'!$A:$A,'EA-Fortescue_SDExport'!V:V)</f>
        <v>46077.993206018517</v>
      </c>
      <c r="W300">
        <f>_xlfn.XLOOKUP($A300,'EA-Fortescue_SDExport'!$A:$A,'EA-Fortescue_SDExport'!W:W)</f>
        <v>0</v>
      </c>
      <c r="X300">
        <f>_xlfn.XLOOKUP($A300,'EA-Fortescue_SDExport'!$A:$A,'EA-Fortescue_SDExport'!X:X)</f>
        <v>0</v>
      </c>
      <c r="Y300">
        <f>_xlfn.XLOOKUP($A300,'EA-Fortescue_SDExport'!$A:$A,'EA-Fortescue_SDExport'!Y:Y)</f>
        <v>0</v>
      </c>
      <c r="Z300" t="str">
        <f>_xlfn.XLOOKUP($A300,'EA-Fortescue_SDExport'!$A:$A,'EA-Fortescue_SDExport'!Z:Z)</f>
        <v>SysML1.4::InterfaceBlock</v>
      </c>
      <c r="AA300" t="str">
        <f>_xlfn.XLOOKUP($A300,InterfaceRegister!$A:$A,InterfaceRegister!B:B)</f>
        <v>855DC-1542-LMS Load Management System (LMS)|Solomon Mine Hub: Drill Rig</v>
      </c>
      <c r="AB300" t="str">
        <f>_xlfn.XLOOKUP($A300,InterfaceRegister!$A:$A,InterfaceRegister!C:C)</f>
        <v/>
      </c>
      <c r="AC300" t="str">
        <f>_xlfn.XLOOKUP($A300,InterfaceRegister!$A:$A,InterfaceRegister!D:D)</f>
        <v/>
      </c>
      <c r="AD300" t="str">
        <f>_xlfn.XLOOKUP($A300,InterfaceRegister!$A:$A,InterfaceRegister!E:E)</f>
        <v>System - Project Interface</v>
      </c>
      <c r="AE300" t="str">
        <f>_xlfn.XLOOKUP($A300,InterfaceRegister!$A:$A,InterfaceRegister!F:F)</f>
        <v>Technical-Electrical</v>
      </c>
      <c r="AF300" t="str">
        <f>_xlfn.XLOOKUP($A300,InterfaceRegister!$A:$A,InterfaceRegister!L:L)</f>
        <v>This interface provides drill rigs at the Solomon Mine Hub with real-time load limits and power-availability signals from LMS so drilling activities do not exceed electrical capacity.</v>
      </c>
      <c r="AG300" t="str">
        <f>_xlfn.XLOOKUP($A300,InterfaceRegister!$A:$A,InterfaceRegister!M:M)</f>
        <v>MEDIUM</v>
      </c>
      <c r="AH300" t="str">
        <f>_xlfn.XLOOKUP($A300,InterfaceRegister!$A:$A,InterfaceRegister!O:O)</f>
        <v>Data Flow: Load Management System (LMS) -&gt; Drill Rigs (real-time load limits, available electrical capacity, curtailment signals, network status, overload warnings) to ensure drilling operations remain within safe network constraints.</v>
      </c>
      <c r="AI300" t="str">
        <f>_xlfn.XLOOKUP($A300,InterfaceRegister!$A:$A,InterfaceRegister!N:N)</f>
        <v>The criticality level is MEDIUM because, while drilling can continue, it may need to be throttled or paused if power conditions cannot be verified. LMS prevents electrical overloading and helps maintain safe operating conditions for drill rigs; losing the interface reduces safety margins and may cause operational inefficiencies, but not a complete loss of production.</v>
      </c>
      <c r="AJ300" t="str">
        <f>_xlfn.XLOOKUP($A300,'EA-Fortescue_SDExport'!$A:$A,'EA-Fortescue_SDExport'!AX:AX)</f>
        <v>CSVBAF6FB58</v>
      </c>
      <c r="AK300">
        <f>_xlfn.XLOOKUP($A300,'EA-Fortescue_SDExport'!$A:$A,'EA-Fortescue_SDExport'!AY:AY)</f>
        <v>0</v>
      </c>
    </row>
    <row r="301" spans="1:37" x14ac:dyDescent="0.25">
      <c r="A301" t="str">
        <v>DGS-I_0300</v>
      </c>
      <c r="B301" t="str">
        <f>_xlfn.XLOOKUP($A301,'EA-Fortescue_SDExport'!$A:$A,'EA-Fortescue_SDExport'!B:B)</f>
        <v>Class</v>
      </c>
      <c r="C301" t="str">
        <f>_xlfn.XLOOKUP($A301,'EA-Fortescue_SDExport'!$A:$A,'EA-Fortescue_SDExport'!C:C)</f>
        <v>{32AB6244-F4DB-42f4-B09C-029D479B6F3A}</v>
      </c>
      <c r="D301" t="str">
        <f>_xlfn.LET(_xlpm.result, _xlfn.XLOOKUP($A301, InterfaceRegister!$A:$A, InterfaceRegister!P:P), IF(_xlpm.result=0, "", _xlpm.result))</f>
        <v>NH 20/02/2026: Fields updated: Interface Type, Interface Flow.</v>
      </c>
      <c r="E301">
        <f>_xlfn.XLOOKUP($A301,'EA-Fortescue_SDExport'!$A:$A,'EA-Fortescue_SDExport'!E:E)</f>
        <v>1</v>
      </c>
      <c r="F301">
        <f>_xlfn.XLOOKUP($A301,'EA-Fortescue_SDExport'!$A:$A,'EA-Fortescue_SDExport'!F:F)</f>
        <v>1</v>
      </c>
      <c r="G301">
        <f>_xlfn.XLOOKUP($A301,'EA-Fortescue_SDExport'!$A:$A,'EA-Fortescue_SDExport'!G:G)</f>
        <v>0</v>
      </c>
      <c r="H301" t="str">
        <f>_xlfn.XLOOKUP($A301,'EA-Fortescue_SDExport'!$A:$A,'EA-Fortescue_SDExport'!H:H)</f>
        <v>InterfaceBlock</v>
      </c>
      <c r="I301" t="str">
        <f>_xlfn.XLOOKUP($A301,'EA-Fortescue_SDExport'!$A:$A,'EA-Fortescue_SDExport'!I:I)</f>
        <v>SysML1.4::InterfaceBlock</v>
      </c>
      <c r="J301" t="str">
        <f>_xlfn.XLOOKUP($A301,'EA-Fortescue_SDExport'!$A:$A,'EA-Fortescue_SDExport'!J:J)</f>
        <v>Java</v>
      </c>
      <c r="K301" t="str">
        <f>_xlfn.XLOOKUP($A301,'EA-Fortescue_SDExport'!$A:$A,'EA-Fortescue_SDExport'!K:K)</f>
        <v>Admin</v>
      </c>
      <c r="L301" t="str">
        <f>_xlfn.XLOOKUP($A301,'EA-Fortescue_SDExport'!$A:$A,'EA-Fortescue_SDExport'!L:L)</f>
        <v>Public</v>
      </c>
      <c r="M301">
        <f>_xlfn.XLOOKUP($A301,'EA-Fortescue_SDExport'!$A:$A,'EA-Fortescue_SDExport'!M:M)</f>
        <v>0</v>
      </c>
      <c r="N301" t="str">
        <f>_xlfn.XLOOKUP($A301,InterfaceRegister!$A:$A,InterfaceRegister!K:K)</f>
        <v>Proposed</v>
      </c>
      <c r="O301">
        <f>_xlfn.XLOOKUP($A301,'EA-Fortescue_SDExport'!$A:$A,'EA-Fortescue_SDExport'!O:O)</f>
        <v>1</v>
      </c>
      <c r="P301">
        <f>_xlfn.XLOOKUP($A301,'EA-Fortescue_SDExport'!$A:$A,'EA-Fortescue_SDExport'!P:P)</f>
        <v>0</v>
      </c>
      <c r="Q301">
        <f>_xlfn.XLOOKUP($A301,'EA-Fortescue_SDExport'!$A:$A,'EA-Fortescue_SDExport'!Q:Q)</f>
        <v>0</v>
      </c>
      <c r="R301">
        <f>_xlfn.XLOOKUP($A301,'EA-Fortescue_SDExport'!$A:$A,'EA-Fortescue_SDExport'!R:R)</f>
        <v>0</v>
      </c>
      <c r="S301">
        <f>_xlfn.XLOOKUP($A301,'EA-Fortescue_SDExport'!$A:$A,'EA-Fortescue_SDExport'!S:S)</f>
        <v>0</v>
      </c>
      <c r="T301">
        <f>_xlfn.XLOOKUP($A301,'EA-Fortescue_SDExport'!$A:$A,'EA-Fortescue_SDExport'!T:T)</f>
        <v>0</v>
      </c>
      <c r="U301">
        <f>_xlfn.XLOOKUP($A301,'EA-Fortescue_SDExport'!$A:$A,'EA-Fortescue_SDExport'!U:U)</f>
        <v>45973.693333333336</v>
      </c>
      <c r="V301">
        <f>_xlfn.XLOOKUP($A301,'EA-Fortescue_SDExport'!$A:$A,'EA-Fortescue_SDExport'!V:V)</f>
        <v>46077.993217592593</v>
      </c>
      <c r="W301">
        <f>_xlfn.XLOOKUP($A301,'EA-Fortescue_SDExport'!$A:$A,'EA-Fortescue_SDExport'!W:W)</f>
        <v>0</v>
      </c>
      <c r="X301">
        <f>_xlfn.XLOOKUP($A301,'EA-Fortescue_SDExport'!$A:$A,'EA-Fortescue_SDExport'!X:X)</f>
        <v>0</v>
      </c>
      <c r="Y301">
        <f>_xlfn.XLOOKUP($A301,'EA-Fortescue_SDExport'!$A:$A,'EA-Fortescue_SDExport'!Y:Y)</f>
        <v>0</v>
      </c>
      <c r="Z301" t="str">
        <f>_xlfn.XLOOKUP($A301,'EA-Fortescue_SDExport'!$A:$A,'EA-Fortescue_SDExport'!Z:Z)</f>
        <v>SysML1.4::InterfaceBlock</v>
      </c>
      <c r="AA301" t="str">
        <f>_xlfn.XLOOKUP($A301,InterfaceRegister!$A:$A,InterfaceRegister!B:B)</f>
        <v>005OP-0000-017-001 Non-Process Infrastructure (NPI) SCADA|Solomon Mine Hub: AC1</v>
      </c>
      <c r="AB301" t="str">
        <f>_xlfn.XLOOKUP($A301,InterfaceRegister!$A:$A,InterfaceRegister!C:C)</f>
        <v/>
      </c>
      <c r="AC301" t="str">
        <f>_xlfn.XLOOKUP($A301,InterfaceRegister!$A:$A,InterfaceRegister!D:D)</f>
        <v/>
      </c>
      <c r="AD301" t="str">
        <f>_xlfn.XLOOKUP($A301,InterfaceRegister!$A:$A,InterfaceRegister!E:E)</f>
        <v>Subsystem - Subsystem Interface</v>
      </c>
      <c r="AE301" t="str">
        <f>_xlfn.XLOOKUP($A301,InterfaceRegister!$A:$A,InterfaceRegister!F:F)</f>
        <v>Technical-Data/Software</v>
      </c>
      <c r="AF301" t="str">
        <f>_xlfn.XLOOKUP($A301,InterfaceRegister!$A:$A,InterfaceRegister!L:L)</f>
        <v>This interface provides the AC1 automated charging system at Solomon with NPI SCADA data, such as ventilation, building services, and auxiliary facility conditions that must be verified before high-power automated charging occurs.</v>
      </c>
      <c r="AG301" t="str">
        <f>_xlfn.XLOOKUP($A301,InterfaceRegister!$A:$A,InterfaceRegister!M:M)</f>
        <v>MEDIUM</v>
      </c>
      <c r="AH301" t="str">
        <f>_xlfn.XLOOKUP($A301,InterfaceRegister!$A:$A,InterfaceRegister!O:O)</f>
        <v>Data Flow: Ignition (NPI SCADA) -&gt; AC1 Automated Charging System (ventilation status, building services status, auxiliary power availability, environmental conditions, safety interlock status, alarms) to verify facility readiness before high-power automated charging._x000D_
Optional return flow (if applicable): AC1 -&gt; Ignition SCADA (charging state, interlock confirmations, fault notifications, cycle completion status).</v>
      </c>
      <c r="AI301" t="str">
        <f>_xlfn.XLOOKUP($A301,InterfaceRegister!$A:$A,InterfaceRegister!N:N)</f>
        <v>The criticality level is MEDIUM because the loss of this interface may prevent AC1 from completing automated charging cycles or cause it to switch to conservative fallback modes, but manual charging is still possible. NPI conditions affect safe charging procedures, and without this data, AC1 might stop or delay automated sequences to prevent risk.</v>
      </c>
      <c r="AJ301" t="str">
        <f>_xlfn.XLOOKUP($A301,'EA-Fortescue_SDExport'!$A:$A,'EA-Fortescue_SDExport'!AX:AX)</f>
        <v>CSV697758C5</v>
      </c>
      <c r="AK301">
        <f>_xlfn.XLOOKUP($A301,'EA-Fortescue_SDExport'!$A:$A,'EA-Fortescue_SDExport'!AY:AY)</f>
        <v>0</v>
      </c>
    </row>
    <row r="302" spans="1:37" x14ac:dyDescent="0.25">
      <c r="A302" t="str">
        <v>DGS-I_0301</v>
      </c>
      <c r="B302" t="str">
        <f>_xlfn.XLOOKUP($A302,'EA-Fortescue_SDExport'!$A:$A,'EA-Fortescue_SDExport'!B:B)</f>
        <v>Class</v>
      </c>
      <c r="C302" t="str">
        <f>_xlfn.XLOOKUP($A302,'EA-Fortescue_SDExport'!$A:$A,'EA-Fortescue_SDExport'!C:C)</f>
        <v>{9D132406-C1CF-4eaa-B638-7BFA5536B6F9}</v>
      </c>
      <c r="D302" t="str">
        <f>_xlfn.LET(_xlpm.result, _xlfn.XLOOKUP($A302, InterfaceRegister!$A:$A, InterfaceRegister!P:P), IF(_xlpm.result=0, "", _xlpm.result))</f>
        <v/>
      </c>
      <c r="E302">
        <f>_xlfn.XLOOKUP($A302,'EA-Fortescue_SDExport'!$A:$A,'EA-Fortescue_SDExport'!E:E)</f>
        <v>1</v>
      </c>
      <c r="F302">
        <f>_xlfn.XLOOKUP($A302,'EA-Fortescue_SDExport'!$A:$A,'EA-Fortescue_SDExport'!F:F)</f>
        <v>1</v>
      </c>
      <c r="G302">
        <f>_xlfn.XLOOKUP($A302,'EA-Fortescue_SDExport'!$A:$A,'EA-Fortescue_SDExport'!G:G)</f>
        <v>0</v>
      </c>
      <c r="H302" t="str">
        <f>_xlfn.XLOOKUP($A302,'EA-Fortescue_SDExport'!$A:$A,'EA-Fortescue_SDExport'!H:H)</f>
        <v>InterfaceBlock</v>
      </c>
      <c r="I302" t="str">
        <f>_xlfn.XLOOKUP($A302,'EA-Fortescue_SDExport'!$A:$A,'EA-Fortescue_SDExport'!I:I)</f>
        <v>SysML1.4::InterfaceBlock</v>
      </c>
      <c r="J302" t="str">
        <f>_xlfn.XLOOKUP($A302,'EA-Fortescue_SDExport'!$A:$A,'EA-Fortescue_SDExport'!J:J)</f>
        <v>Java</v>
      </c>
      <c r="K302" t="str">
        <f>_xlfn.XLOOKUP($A302,'EA-Fortescue_SDExport'!$A:$A,'EA-Fortescue_SDExport'!K:K)</f>
        <v>Admin</v>
      </c>
      <c r="L302" t="str">
        <f>_xlfn.XLOOKUP($A302,'EA-Fortescue_SDExport'!$A:$A,'EA-Fortescue_SDExport'!L:L)</f>
        <v>Public</v>
      </c>
      <c r="M302">
        <f>_xlfn.XLOOKUP($A302,'EA-Fortescue_SDExport'!$A:$A,'EA-Fortescue_SDExport'!M:M)</f>
        <v>0</v>
      </c>
      <c r="N302" t="str">
        <f>_xlfn.XLOOKUP($A302,InterfaceRegister!$A:$A,InterfaceRegister!K:K)</f>
        <v>Proposed</v>
      </c>
      <c r="O302">
        <f>_xlfn.XLOOKUP($A302,'EA-Fortescue_SDExport'!$A:$A,'EA-Fortescue_SDExport'!O:O)</f>
        <v>1</v>
      </c>
      <c r="P302">
        <f>_xlfn.XLOOKUP($A302,'EA-Fortescue_SDExport'!$A:$A,'EA-Fortescue_SDExport'!P:P)</f>
        <v>0</v>
      </c>
      <c r="Q302">
        <f>_xlfn.XLOOKUP($A302,'EA-Fortescue_SDExport'!$A:$A,'EA-Fortescue_SDExport'!Q:Q)</f>
        <v>0</v>
      </c>
      <c r="R302">
        <f>_xlfn.XLOOKUP($A302,'EA-Fortescue_SDExport'!$A:$A,'EA-Fortescue_SDExport'!R:R)</f>
        <v>0</v>
      </c>
      <c r="S302">
        <f>_xlfn.XLOOKUP($A302,'EA-Fortescue_SDExport'!$A:$A,'EA-Fortescue_SDExport'!S:S)</f>
        <v>0</v>
      </c>
      <c r="T302">
        <f>_xlfn.XLOOKUP($A302,'EA-Fortescue_SDExport'!$A:$A,'EA-Fortescue_SDExport'!T:T)</f>
        <v>0</v>
      </c>
      <c r="U302">
        <f>_xlfn.XLOOKUP($A302,'EA-Fortescue_SDExport'!$A:$A,'EA-Fortescue_SDExport'!U:U)</f>
        <v>45975.108819444446</v>
      </c>
      <c r="V302">
        <f>_xlfn.XLOOKUP($A302,'EA-Fortescue_SDExport'!$A:$A,'EA-Fortescue_SDExport'!V:V)</f>
        <v>46002.004942129628</v>
      </c>
      <c r="W302">
        <f>_xlfn.XLOOKUP($A302,'EA-Fortescue_SDExport'!$A:$A,'EA-Fortescue_SDExport'!W:W)</f>
        <v>0</v>
      </c>
      <c r="X302">
        <f>_xlfn.XLOOKUP($A302,'EA-Fortescue_SDExport'!$A:$A,'EA-Fortescue_SDExport'!X:X)</f>
        <v>0</v>
      </c>
      <c r="Y302">
        <f>_xlfn.XLOOKUP($A302,'EA-Fortescue_SDExport'!$A:$A,'EA-Fortescue_SDExport'!Y:Y)</f>
        <v>0</v>
      </c>
      <c r="Z302" t="str">
        <f>_xlfn.XLOOKUP($A302,'EA-Fortescue_SDExport'!$A:$A,'EA-Fortescue_SDExport'!Z:Z)</f>
        <v>SysML1.4::InterfaceBlock</v>
      </c>
      <c r="AA302" t="str">
        <f>_xlfn.XLOOKUP($A302,InterfaceRegister!$A:$A,InterfaceRegister!B:B)</f>
        <v>HV Transmission lines PEC # [W. Hub - SOL]|Flying Fish Mine: Substation (33kV)</v>
      </c>
      <c r="AB302" t="str">
        <f>_xlfn.XLOOKUP($A302,InterfaceRegister!$A:$A,InterfaceRegister!C:C)</f>
        <v/>
      </c>
      <c r="AC302" t="str">
        <f>_xlfn.XLOOKUP($A302,InterfaceRegister!$A:$A,InterfaceRegister!D:D)</f>
        <v/>
      </c>
      <c r="AD302" t="str">
        <f>_xlfn.XLOOKUP($A302,InterfaceRegister!$A:$A,InterfaceRegister!E:E)</f>
        <v>System - Project Interface</v>
      </c>
      <c r="AE302" t="str">
        <f>_xlfn.XLOOKUP($A302,InterfaceRegister!$A:$A,InterfaceRegister!F:F)</f>
        <v/>
      </c>
      <c r="AF302" t="str">
        <f>_xlfn.XLOOKUP($A302,InterfaceRegister!$A:$A,InterfaceRegister!L:L)</f>
        <v/>
      </c>
      <c r="AG302" t="str">
        <f>_xlfn.XLOOKUP($A302,InterfaceRegister!$A:$A,InterfaceRegister!M:M)</f>
        <v/>
      </c>
      <c r="AH302" t="str">
        <f>_xlfn.XLOOKUP($A302,InterfaceRegister!$A:$A,InterfaceRegister!O:O)</f>
        <v/>
      </c>
      <c r="AI302" t="str">
        <f>_xlfn.XLOOKUP($A302,InterfaceRegister!$A:$A,InterfaceRegister!N:N)</f>
        <v/>
      </c>
      <c r="AJ302" t="str">
        <f>_xlfn.XLOOKUP($A302,'EA-Fortescue_SDExport'!$A:$A,'EA-Fortescue_SDExport'!AX:AX)</f>
        <v>CSV8B67A6DD</v>
      </c>
      <c r="AK302">
        <f>_xlfn.XLOOKUP($A302,'EA-Fortescue_SDExport'!$A:$A,'EA-Fortescue_SDExport'!AY:AY)</f>
        <v>0</v>
      </c>
    </row>
    <row r="303" spans="1:37" x14ac:dyDescent="0.25">
      <c r="A303" t="str">
        <v>DGS-I_0302</v>
      </c>
      <c r="B303" t="str">
        <f>_xlfn.XLOOKUP($A303,'EA-Fortescue_SDExport'!$A:$A,'EA-Fortescue_SDExport'!B:B)</f>
        <v>Class</v>
      </c>
      <c r="C303" t="str">
        <f>_xlfn.XLOOKUP($A303,'EA-Fortescue_SDExport'!$A:$A,'EA-Fortescue_SDExport'!C:C)</f>
        <v>{572088B9-3F3D-4c3c-BAD7-7A08CEA93CC2}</v>
      </c>
      <c r="D303" t="str">
        <f>_xlfn.LET(_xlpm.result, _xlfn.XLOOKUP($A303, InterfaceRegister!$A:$A, InterfaceRegister!P:P), IF(_xlpm.result=0, "", _xlpm.result))</f>
        <v/>
      </c>
      <c r="E303">
        <f>_xlfn.XLOOKUP($A303,'EA-Fortescue_SDExport'!$A:$A,'EA-Fortescue_SDExport'!E:E)</f>
        <v>1</v>
      </c>
      <c r="F303">
        <f>_xlfn.XLOOKUP($A303,'EA-Fortescue_SDExport'!$A:$A,'EA-Fortescue_SDExport'!F:F)</f>
        <v>1</v>
      </c>
      <c r="G303">
        <f>_xlfn.XLOOKUP($A303,'EA-Fortescue_SDExport'!$A:$A,'EA-Fortescue_SDExport'!G:G)</f>
        <v>0</v>
      </c>
      <c r="H303" t="str">
        <f>_xlfn.XLOOKUP($A303,'EA-Fortescue_SDExport'!$A:$A,'EA-Fortescue_SDExport'!H:H)</f>
        <v>InterfaceBlock</v>
      </c>
      <c r="I303" t="str">
        <f>_xlfn.XLOOKUP($A303,'EA-Fortescue_SDExport'!$A:$A,'EA-Fortescue_SDExport'!I:I)</f>
        <v>SysML1.4::InterfaceBlock</v>
      </c>
      <c r="J303" t="str">
        <f>_xlfn.XLOOKUP($A303,'EA-Fortescue_SDExport'!$A:$A,'EA-Fortescue_SDExport'!J:J)</f>
        <v>Java</v>
      </c>
      <c r="K303" t="str">
        <f>_xlfn.XLOOKUP($A303,'EA-Fortescue_SDExport'!$A:$A,'EA-Fortescue_SDExport'!K:K)</f>
        <v>Admin</v>
      </c>
      <c r="L303" t="str">
        <f>_xlfn.XLOOKUP($A303,'EA-Fortescue_SDExport'!$A:$A,'EA-Fortescue_SDExport'!L:L)</f>
        <v>Public</v>
      </c>
      <c r="M303">
        <f>_xlfn.XLOOKUP($A303,'EA-Fortescue_SDExport'!$A:$A,'EA-Fortescue_SDExport'!M:M)</f>
        <v>0</v>
      </c>
      <c r="N303" t="str">
        <f>_xlfn.XLOOKUP($A303,InterfaceRegister!$A:$A,InterfaceRegister!K:K)</f>
        <v>Proposed</v>
      </c>
      <c r="O303">
        <f>_xlfn.XLOOKUP($A303,'EA-Fortescue_SDExport'!$A:$A,'EA-Fortescue_SDExport'!O:O)</f>
        <v>1</v>
      </c>
      <c r="P303">
        <f>_xlfn.XLOOKUP($A303,'EA-Fortescue_SDExport'!$A:$A,'EA-Fortescue_SDExport'!P:P)</f>
        <v>0</v>
      </c>
      <c r="Q303">
        <f>_xlfn.XLOOKUP($A303,'EA-Fortescue_SDExport'!$A:$A,'EA-Fortescue_SDExport'!Q:Q)</f>
        <v>0</v>
      </c>
      <c r="R303">
        <f>_xlfn.XLOOKUP($A303,'EA-Fortescue_SDExport'!$A:$A,'EA-Fortescue_SDExport'!R:R)</f>
        <v>0</v>
      </c>
      <c r="S303">
        <f>_xlfn.XLOOKUP($A303,'EA-Fortescue_SDExport'!$A:$A,'EA-Fortescue_SDExport'!S:S)</f>
        <v>0</v>
      </c>
      <c r="T303">
        <f>_xlfn.XLOOKUP($A303,'EA-Fortescue_SDExport'!$A:$A,'EA-Fortescue_SDExport'!T:T)</f>
        <v>0</v>
      </c>
      <c r="U303">
        <f>_xlfn.XLOOKUP($A303,'EA-Fortescue_SDExport'!$A:$A,'EA-Fortescue_SDExport'!U:U)</f>
        <v>45975.108842592592</v>
      </c>
      <c r="V303">
        <f>_xlfn.XLOOKUP($A303,'EA-Fortescue_SDExport'!$A:$A,'EA-Fortescue_SDExport'!V:V)</f>
        <v>46002.004930555559</v>
      </c>
      <c r="W303">
        <f>_xlfn.XLOOKUP($A303,'EA-Fortescue_SDExport'!$A:$A,'EA-Fortescue_SDExport'!W:W)</f>
        <v>0</v>
      </c>
      <c r="X303">
        <f>_xlfn.XLOOKUP($A303,'EA-Fortescue_SDExport'!$A:$A,'EA-Fortescue_SDExport'!X:X)</f>
        <v>0</v>
      </c>
      <c r="Y303">
        <f>_xlfn.XLOOKUP($A303,'EA-Fortescue_SDExport'!$A:$A,'EA-Fortescue_SDExport'!Y:Y)</f>
        <v>0</v>
      </c>
      <c r="Z303" t="str">
        <f>_xlfn.XLOOKUP($A303,'EA-Fortescue_SDExport'!$A:$A,'EA-Fortescue_SDExport'!Z:Z)</f>
        <v>SysML1.4::InterfaceBlock</v>
      </c>
      <c r="AA303" t="str">
        <f>_xlfn.XLOOKUP($A303,InterfaceRegister!$A:$A,InterfaceRegister!B:B)</f>
        <v>HV Transmission lines PEC # [Iron Bridge - Port]|Iron Bridge Mine: Substation (220kV)</v>
      </c>
      <c r="AB303" t="str">
        <f>_xlfn.XLOOKUP($A303,InterfaceRegister!$A:$A,InterfaceRegister!C:C)</f>
        <v/>
      </c>
      <c r="AC303" t="str">
        <f>_xlfn.XLOOKUP($A303,InterfaceRegister!$A:$A,InterfaceRegister!D:D)</f>
        <v/>
      </c>
      <c r="AD303" t="str">
        <f>_xlfn.XLOOKUP($A303,InterfaceRegister!$A:$A,InterfaceRegister!E:E)</f>
        <v>System - Project Interface</v>
      </c>
      <c r="AE303" t="str">
        <f>_xlfn.XLOOKUP($A303,InterfaceRegister!$A:$A,InterfaceRegister!F:F)</f>
        <v/>
      </c>
      <c r="AF303" t="str">
        <f>_xlfn.XLOOKUP($A303,InterfaceRegister!$A:$A,InterfaceRegister!L:L)</f>
        <v/>
      </c>
      <c r="AG303" t="str">
        <f>_xlfn.XLOOKUP($A303,InterfaceRegister!$A:$A,InterfaceRegister!M:M)</f>
        <v/>
      </c>
      <c r="AH303" t="str">
        <f>_xlfn.XLOOKUP($A303,InterfaceRegister!$A:$A,InterfaceRegister!O:O)</f>
        <v/>
      </c>
      <c r="AI303" t="str">
        <f>_xlfn.XLOOKUP($A303,InterfaceRegister!$A:$A,InterfaceRegister!N:N)</f>
        <v/>
      </c>
      <c r="AJ303" t="str">
        <f>_xlfn.XLOOKUP($A303,'EA-Fortescue_SDExport'!$A:$A,'EA-Fortescue_SDExport'!AX:AX)</f>
        <v>CSVD2C6EAEF</v>
      </c>
      <c r="AK303">
        <f>_xlfn.XLOOKUP($A303,'EA-Fortescue_SDExport'!$A:$A,'EA-Fortescue_SDExport'!AY:AY)</f>
        <v>0</v>
      </c>
    </row>
    <row r="304" spans="1:37" x14ac:dyDescent="0.25">
      <c r="A304" t="str">
        <v>DGS-I_0303</v>
      </c>
      <c r="B304" t="str">
        <f>_xlfn.XLOOKUP($A304,'EA-Fortescue_SDExport'!$A:$A,'EA-Fortescue_SDExport'!B:B)</f>
        <v>Class</v>
      </c>
      <c r="C304" t="str">
        <f>_xlfn.XLOOKUP($A304,'EA-Fortescue_SDExport'!$A:$A,'EA-Fortescue_SDExport'!C:C)</f>
        <v>{7340B381-D4C8-40e1-84D8-EF3B687A1730}</v>
      </c>
      <c r="D304" t="str">
        <f>_xlfn.LET(_xlpm.result, _xlfn.XLOOKUP($A304, InterfaceRegister!$A:$A, InterfaceRegister!P:P), IF(_xlpm.result=0, "", _xlpm.result))</f>
        <v/>
      </c>
      <c r="E304">
        <f>_xlfn.XLOOKUP($A304,'EA-Fortescue_SDExport'!$A:$A,'EA-Fortescue_SDExport'!E:E)</f>
        <v>1</v>
      </c>
      <c r="F304">
        <f>_xlfn.XLOOKUP($A304,'EA-Fortescue_SDExport'!$A:$A,'EA-Fortescue_SDExport'!F:F)</f>
        <v>1</v>
      </c>
      <c r="G304">
        <f>_xlfn.XLOOKUP($A304,'EA-Fortescue_SDExport'!$A:$A,'EA-Fortescue_SDExport'!G:G)</f>
        <v>0</v>
      </c>
      <c r="H304" t="str">
        <f>_xlfn.XLOOKUP($A304,'EA-Fortescue_SDExport'!$A:$A,'EA-Fortescue_SDExport'!H:H)</f>
        <v>InterfaceBlock</v>
      </c>
      <c r="I304" t="str">
        <f>_xlfn.XLOOKUP($A304,'EA-Fortescue_SDExport'!$A:$A,'EA-Fortescue_SDExport'!I:I)</f>
        <v>SysML1.4::InterfaceBlock</v>
      </c>
      <c r="J304" t="str">
        <f>_xlfn.XLOOKUP($A304,'EA-Fortescue_SDExport'!$A:$A,'EA-Fortescue_SDExport'!J:J)</f>
        <v>Java</v>
      </c>
      <c r="K304" t="str">
        <f>_xlfn.XLOOKUP($A304,'EA-Fortescue_SDExport'!$A:$A,'EA-Fortescue_SDExport'!K:K)</f>
        <v>Admin</v>
      </c>
      <c r="L304" t="str">
        <f>_xlfn.XLOOKUP($A304,'EA-Fortescue_SDExport'!$A:$A,'EA-Fortescue_SDExport'!L:L)</f>
        <v>Public</v>
      </c>
      <c r="M304">
        <f>_xlfn.XLOOKUP($A304,'EA-Fortescue_SDExport'!$A:$A,'EA-Fortescue_SDExport'!M:M)</f>
        <v>0</v>
      </c>
      <c r="N304" t="str">
        <f>_xlfn.XLOOKUP($A304,InterfaceRegister!$A:$A,InterfaceRegister!K:K)</f>
        <v>Proposed</v>
      </c>
      <c r="O304">
        <f>_xlfn.XLOOKUP($A304,'EA-Fortescue_SDExport'!$A:$A,'EA-Fortescue_SDExport'!O:O)</f>
        <v>1</v>
      </c>
      <c r="P304">
        <f>_xlfn.XLOOKUP($A304,'EA-Fortescue_SDExport'!$A:$A,'EA-Fortescue_SDExport'!P:P)</f>
        <v>0</v>
      </c>
      <c r="Q304">
        <f>_xlfn.XLOOKUP($A304,'EA-Fortescue_SDExport'!$A:$A,'EA-Fortescue_SDExport'!Q:Q)</f>
        <v>0</v>
      </c>
      <c r="R304">
        <f>_xlfn.XLOOKUP($A304,'EA-Fortescue_SDExport'!$A:$A,'EA-Fortescue_SDExport'!R:R)</f>
        <v>0</v>
      </c>
      <c r="S304">
        <f>_xlfn.XLOOKUP($A304,'EA-Fortescue_SDExport'!$A:$A,'EA-Fortescue_SDExport'!S:S)</f>
        <v>0</v>
      </c>
      <c r="T304">
        <f>_xlfn.XLOOKUP($A304,'EA-Fortescue_SDExport'!$A:$A,'EA-Fortescue_SDExport'!T:T)</f>
        <v>0</v>
      </c>
      <c r="U304">
        <f>_xlfn.XLOOKUP($A304,'EA-Fortescue_SDExport'!$A:$A,'EA-Fortescue_SDExport'!U:U)</f>
        <v>45975.108865740738</v>
      </c>
      <c r="V304">
        <f>_xlfn.XLOOKUP($A304,'EA-Fortescue_SDExport'!$A:$A,'EA-Fortescue_SDExport'!V:V)</f>
        <v>46002.004999999997</v>
      </c>
      <c r="W304">
        <f>_xlfn.XLOOKUP($A304,'EA-Fortescue_SDExport'!$A:$A,'EA-Fortescue_SDExport'!W:W)</f>
        <v>0</v>
      </c>
      <c r="X304">
        <f>_xlfn.XLOOKUP($A304,'EA-Fortescue_SDExport'!$A:$A,'EA-Fortescue_SDExport'!X:X)</f>
        <v>0</v>
      </c>
      <c r="Y304">
        <f>_xlfn.XLOOKUP($A304,'EA-Fortescue_SDExport'!$A:$A,'EA-Fortescue_SDExport'!Y:Y)</f>
        <v>0</v>
      </c>
      <c r="Z304" t="str">
        <f>_xlfn.XLOOKUP($A304,'EA-Fortescue_SDExport'!$A:$A,'EA-Fortescue_SDExport'!Z:Z)</f>
        <v>SysML1.4::InterfaceBlock</v>
      </c>
      <c r="AA304" t="str">
        <f>_xlfn.XLOOKUP($A304,InterfaceRegister!$A:$A,InterfaceRegister!B:B)</f>
        <v>HV Transmission lines PEC # [SOL - LBD]|Lambda Junction (LBD): Substation (220kV)</v>
      </c>
      <c r="AB304" t="str">
        <f>_xlfn.XLOOKUP($A304,InterfaceRegister!$A:$A,InterfaceRegister!C:C)</f>
        <v/>
      </c>
      <c r="AC304" t="str">
        <f>_xlfn.XLOOKUP($A304,InterfaceRegister!$A:$A,InterfaceRegister!D:D)</f>
        <v/>
      </c>
      <c r="AD304" t="str">
        <f>_xlfn.XLOOKUP($A304,InterfaceRegister!$A:$A,InterfaceRegister!E:E)</f>
        <v>System - Project Interface</v>
      </c>
      <c r="AE304" t="str">
        <f>_xlfn.XLOOKUP($A304,InterfaceRegister!$A:$A,InterfaceRegister!F:F)</f>
        <v/>
      </c>
      <c r="AF304" t="str">
        <f>_xlfn.XLOOKUP($A304,InterfaceRegister!$A:$A,InterfaceRegister!L:L)</f>
        <v/>
      </c>
      <c r="AG304" t="str">
        <f>_xlfn.XLOOKUP($A304,InterfaceRegister!$A:$A,InterfaceRegister!M:M)</f>
        <v/>
      </c>
      <c r="AH304" t="str">
        <f>_xlfn.XLOOKUP($A304,InterfaceRegister!$A:$A,InterfaceRegister!O:O)</f>
        <v/>
      </c>
      <c r="AI304" t="str">
        <f>_xlfn.XLOOKUP($A304,InterfaceRegister!$A:$A,InterfaceRegister!N:N)</f>
        <v/>
      </c>
      <c r="AJ304" t="str">
        <f>_xlfn.XLOOKUP($A304,'EA-Fortescue_SDExport'!$A:$A,'EA-Fortescue_SDExport'!AX:AX)</f>
        <v>CSVFC7D8FFD</v>
      </c>
      <c r="AK304">
        <f>_xlfn.XLOOKUP($A304,'EA-Fortescue_SDExport'!$A:$A,'EA-Fortescue_SDExport'!AY:AY)</f>
        <v>0</v>
      </c>
    </row>
    <row r="305" spans="1:37" x14ac:dyDescent="0.25">
      <c r="A305" t="str">
        <v>DGS-I_0304</v>
      </c>
      <c r="B305" t="str">
        <f>_xlfn.XLOOKUP($A305,'EA-Fortescue_SDExport'!$A:$A,'EA-Fortescue_SDExport'!B:B)</f>
        <v>Class</v>
      </c>
      <c r="C305" t="str">
        <f>_xlfn.XLOOKUP($A305,'EA-Fortescue_SDExport'!$A:$A,'EA-Fortescue_SDExport'!C:C)</f>
        <v>{CB907270-807C-47d3-B779-2A151DE134BD}</v>
      </c>
      <c r="D305" t="str">
        <f>_xlfn.LET(_xlpm.result, _xlfn.XLOOKUP($A305, InterfaceRegister!$A:$A, InterfaceRegister!P:P), IF(_xlpm.result=0, "", _xlpm.result))</f>
        <v/>
      </c>
      <c r="E305">
        <f>_xlfn.XLOOKUP($A305,'EA-Fortescue_SDExport'!$A:$A,'EA-Fortescue_SDExport'!E:E)</f>
        <v>1</v>
      </c>
      <c r="F305">
        <f>_xlfn.XLOOKUP($A305,'EA-Fortescue_SDExport'!$A:$A,'EA-Fortescue_SDExport'!F:F)</f>
        <v>1</v>
      </c>
      <c r="G305">
        <f>_xlfn.XLOOKUP($A305,'EA-Fortescue_SDExport'!$A:$A,'EA-Fortescue_SDExport'!G:G)</f>
        <v>0</v>
      </c>
      <c r="H305" t="str">
        <f>_xlfn.XLOOKUP($A305,'EA-Fortescue_SDExport'!$A:$A,'EA-Fortescue_SDExport'!H:H)</f>
        <v>InterfaceBlock</v>
      </c>
      <c r="I305" t="str">
        <f>_xlfn.XLOOKUP($A305,'EA-Fortescue_SDExport'!$A:$A,'EA-Fortescue_SDExport'!I:I)</f>
        <v>SysML1.4::InterfaceBlock</v>
      </c>
      <c r="J305" t="str">
        <f>_xlfn.XLOOKUP($A305,'EA-Fortescue_SDExport'!$A:$A,'EA-Fortescue_SDExport'!J:J)</f>
        <v>Java</v>
      </c>
      <c r="K305" t="str">
        <f>_xlfn.XLOOKUP($A305,'EA-Fortescue_SDExport'!$A:$A,'EA-Fortescue_SDExport'!K:K)</f>
        <v>Admin</v>
      </c>
      <c r="L305" t="str">
        <f>_xlfn.XLOOKUP($A305,'EA-Fortescue_SDExport'!$A:$A,'EA-Fortescue_SDExport'!L:L)</f>
        <v>Public</v>
      </c>
      <c r="M305">
        <f>_xlfn.XLOOKUP($A305,'EA-Fortescue_SDExport'!$A:$A,'EA-Fortescue_SDExport'!M:M)</f>
        <v>0</v>
      </c>
      <c r="N305" t="str">
        <f>_xlfn.XLOOKUP($A305,InterfaceRegister!$A:$A,InterfaceRegister!K:K)</f>
        <v>Proposed</v>
      </c>
      <c r="O305">
        <f>_xlfn.XLOOKUP($A305,'EA-Fortescue_SDExport'!$A:$A,'EA-Fortescue_SDExport'!O:O)</f>
        <v>1</v>
      </c>
      <c r="P305">
        <f>_xlfn.XLOOKUP($A305,'EA-Fortescue_SDExport'!$A:$A,'EA-Fortescue_SDExport'!P:P)</f>
        <v>0</v>
      </c>
      <c r="Q305">
        <f>_xlfn.XLOOKUP($A305,'EA-Fortescue_SDExport'!$A:$A,'EA-Fortescue_SDExport'!Q:Q)</f>
        <v>0</v>
      </c>
      <c r="R305">
        <f>_xlfn.XLOOKUP($A305,'EA-Fortescue_SDExport'!$A:$A,'EA-Fortescue_SDExport'!R:R)</f>
        <v>0</v>
      </c>
      <c r="S305">
        <f>_xlfn.XLOOKUP($A305,'EA-Fortescue_SDExport'!$A:$A,'EA-Fortescue_SDExport'!S:S)</f>
        <v>0</v>
      </c>
      <c r="T305">
        <f>_xlfn.XLOOKUP($A305,'EA-Fortescue_SDExport'!$A:$A,'EA-Fortescue_SDExport'!T:T)</f>
        <v>0</v>
      </c>
      <c r="U305">
        <f>_xlfn.XLOOKUP($A305,'EA-Fortescue_SDExport'!$A:$A,'EA-Fortescue_SDExport'!U:U)</f>
        <v>45975.108877314815</v>
      </c>
      <c r="V305">
        <f>_xlfn.XLOOKUP($A305,'EA-Fortescue_SDExport'!$A:$A,'EA-Fortescue_SDExport'!V:V)</f>
        <v>46002.004942129628</v>
      </c>
      <c r="W305">
        <f>_xlfn.XLOOKUP($A305,'EA-Fortescue_SDExport'!$A:$A,'EA-Fortescue_SDExport'!W:W)</f>
        <v>0</v>
      </c>
      <c r="X305">
        <f>_xlfn.XLOOKUP($A305,'EA-Fortescue_SDExport'!$A:$A,'EA-Fortescue_SDExport'!X:X)</f>
        <v>0</v>
      </c>
      <c r="Y305">
        <f>_xlfn.XLOOKUP($A305,'EA-Fortescue_SDExport'!$A:$A,'EA-Fortescue_SDExport'!Y:Y)</f>
        <v>0</v>
      </c>
      <c r="Z305" t="str">
        <f>_xlfn.XLOOKUP($A305,'EA-Fortescue_SDExport'!$A:$A,'EA-Fortescue_SDExport'!Z:Z)</f>
        <v>SysML1.4::InterfaceBlock</v>
      </c>
      <c r="AA305" t="str">
        <f>_xlfn.XLOOKUP($A305,InterfaceRegister!$A:$A,InterfaceRegister!B:B)</f>
        <v>HV Transmission lines PEC # [LBD - Iron Bridge]|Iron Bridge Mine: Substation (220kV)</v>
      </c>
      <c r="AB305" t="str">
        <f>_xlfn.XLOOKUP($A305,InterfaceRegister!$A:$A,InterfaceRegister!C:C)</f>
        <v/>
      </c>
      <c r="AC305" t="str">
        <f>_xlfn.XLOOKUP($A305,InterfaceRegister!$A:$A,InterfaceRegister!D:D)</f>
        <v/>
      </c>
      <c r="AD305" t="str">
        <f>_xlfn.XLOOKUP($A305,InterfaceRegister!$A:$A,InterfaceRegister!E:E)</f>
        <v>System - Project Interface</v>
      </c>
      <c r="AE305" t="str">
        <f>_xlfn.XLOOKUP($A305,InterfaceRegister!$A:$A,InterfaceRegister!F:F)</f>
        <v/>
      </c>
      <c r="AF305" t="str">
        <f>_xlfn.XLOOKUP($A305,InterfaceRegister!$A:$A,InterfaceRegister!L:L)</f>
        <v/>
      </c>
      <c r="AG305" t="str">
        <f>_xlfn.XLOOKUP($A305,InterfaceRegister!$A:$A,InterfaceRegister!M:M)</f>
        <v/>
      </c>
      <c r="AH305" t="str">
        <f>_xlfn.XLOOKUP($A305,InterfaceRegister!$A:$A,InterfaceRegister!O:O)</f>
        <v/>
      </c>
      <c r="AI305" t="str">
        <f>_xlfn.XLOOKUP($A305,InterfaceRegister!$A:$A,InterfaceRegister!N:N)</f>
        <v/>
      </c>
      <c r="AJ305" t="str">
        <f>_xlfn.XLOOKUP($A305,'EA-Fortescue_SDExport'!$A:$A,'EA-Fortescue_SDExport'!AX:AX)</f>
        <v>CSVA7DBF243</v>
      </c>
      <c r="AK305">
        <f>_xlfn.XLOOKUP($A305,'EA-Fortescue_SDExport'!$A:$A,'EA-Fortescue_SDExport'!AY:AY)</f>
        <v>0</v>
      </c>
    </row>
    <row r="306" spans="1:37" x14ac:dyDescent="0.25">
      <c r="A306" t="str">
        <v>DGS-I_0305</v>
      </c>
      <c r="B306" t="str">
        <f>_xlfn.XLOOKUP($A306,'EA-Fortescue_SDExport'!$A:$A,'EA-Fortescue_SDExport'!B:B)</f>
        <v>Class</v>
      </c>
      <c r="C306" t="str">
        <f>_xlfn.XLOOKUP($A306,'EA-Fortescue_SDExport'!$A:$A,'EA-Fortescue_SDExport'!C:C)</f>
        <v>{8B148887-656C-4338-B2A6-5BC472F597C1}</v>
      </c>
      <c r="D306" t="str">
        <f>_xlfn.LET(_xlpm.result, _xlfn.XLOOKUP($A306, InterfaceRegister!$A:$A, InterfaceRegister!P:P), IF(_xlpm.result=0, "", _xlpm.result))</f>
        <v/>
      </c>
      <c r="E306">
        <f>_xlfn.XLOOKUP($A306,'EA-Fortescue_SDExport'!$A:$A,'EA-Fortescue_SDExport'!E:E)</f>
        <v>1</v>
      </c>
      <c r="F306">
        <f>_xlfn.XLOOKUP($A306,'EA-Fortescue_SDExport'!$A:$A,'EA-Fortescue_SDExport'!F:F)</f>
        <v>1</v>
      </c>
      <c r="G306">
        <f>_xlfn.XLOOKUP($A306,'EA-Fortescue_SDExport'!$A:$A,'EA-Fortescue_SDExport'!G:G)</f>
        <v>0</v>
      </c>
      <c r="H306" t="str">
        <f>_xlfn.XLOOKUP($A306,'EA-Fortescue_SDExport'!$A:$A,'EA-Fortescue_SDExport'!H:H)</f>
        <v>InterfaceBlock</v>
      </c>
      <c r="I306" t="str">
        <f>_xlfn.XLOOKUP($A306,'EA-Fortescue_SDExport'!$A:$A,'EA-Fortescue_SDExport'!I:I)</f>
        <v>SysML1.4::InterfaceBlock</v>
      </c>
      <c r="J306" t="str">
        <f>_xlfn.XLOOKUP($A306,'EA-Fortescue_SDExport'!$A:$A,'EA-Fortescue_SDExport'!J:J)</f>
        <v>Java</v>
      </c>
      <c r="K306" t="str">
        <f>_xlfn.XLOOKUP($A306,'EA-Fortescue_SDExport'!$A:$A,'EA-Fortescue_SDExport'!K:K)</f>
        <v>Admin</v>
      </c>
      <c r="L306" t="str">
        <f>_xlfn.XLOOKUP($A306,'EA-Fortescue_SDExport'!$A:$A,'EA-Fortescue_SDExport'!L:L)</f>
        <v>Public</v>
      </c>
      <c r="M306">
        <f>_xlfn.XLOOKUP($A306,'EA-Fortescue_SDExport'!$A:$A,'EA-Fortescue_SDExport'!M:M)</f>
        <v>0</v>
      </c>
      <c r="N306" t="str">
        <f>_xlfn.XLOOKUP($A306,InterfaceRegister!$A:$A,InterfaceRegister!K:K)</f>
        <v>Proposed</v>
      </c>
      <c r="O306">
        <f>_xlfn.XLOOKUP($A306,'EA-Fortescue_SDExport'!$A:$A,'EA-Fortescue_SDExport'!O:O)</f>
        <v>1</v>
      </c>
      <c r="P306">
        <f>_xlfn.XLOOKUP($A306,'EA-Fortescue_SDExport'!$A:$A,'EA-Fortescue_SDExport'!P:P)</f>
        <v>0</v>
      </c>
      <c r="Q306">
        <f>_xlfn.XLOOKUP($A306,'EA-Fortescue_SDExport'!$A:$A,'EA-Fortescue_SDExport'!Q:Q)</f>
        <v>0</v>
      </c>
      <c r="R306">
        <f>_xlfn.XLOOKUP($A306,'EA-Fortescue_SDExport'!$A:$A,'EA-Fortescue_SDExport'!R:R)</f>
        <v>0</v>
      </c>
      <c r="S306">
        <f>_xlfn.XLOOKUP($A306,'EA-Fortescue_SDExport'!$A:$A,'EA-Fortescue_SDExport'!S:S)</f>
        <v>0</v>
      </c>
      <c r="T306">
        <f>_xlfn.XLOOKUP($A306,'EA-Fortescue_SDExport'!$A:$A,'EA-Fortescue_SDExport'!T:T)</f>
        <v>0</v>
      </c>
      <c r="U306">
        <f>_xlfn.XLOOKUP($A306,'EA-Fortescue_SDExport'!$A:$A,'EA-Fortescue_SDExport'!U:U)</f>
        <v>45975.108900462961</v>
      </c>
      <c r="V306">
        <f>_xlfn.XLOOKUP($A306,'EA-Fortescue_SDExport'!$A:$A,'EA-Fortescue_SDExport'!V:V)</f>
        <v>46002.004942129628</v>
      </c>
      <c r="W306">
        <f>_xlfn.XLOOKUP($A306,'EA-Fortescue_SDExport'!$A:$A,'EA-Fortescue_SDExport'!W:W)</f>
        <v>0</v>
      </c>
      <c r="X306">
        <f>_xlfn.XLOOKUP($A306,'EA-Fortescue_SDExport'!$A:$A,'EA-Fortescue_SDExport'!X:X)</f>
        <v>0</v>
      </c>
      <c r="Y306">
        <f>_xlfn.XLOOKUP($A306,'EA-Fortescue_SDExport'!$A:$A,'EA-Fortescue_SDExport'!Y:Y)</f>
        <v>0</v>
      </c>
      <c r="Z306" t="str">
        <f>_xlfn.XLOOKUP($A306,'EA-Fortescue_SDExport'!$A:$A,'EA-Fortescue_SDExport'!Z:Z)</f>
        <v>SysML1.4::InterfaceBlock</v>
      </c>
      <c r="AA306" t="str">
        <f>_xlfn.XLOOKUP($A306,InterfaceRegister!$A:$A,InterfaceRegister!B:B)</f>
        <v>HV Transmission lines PEC # [Iron Bridge - Port]|Port Hedland: Substation (220kV)</v>
      </c>
      <c r="AB306" t="str">
        <f>_xlfn.XLOOKUP($A306,InterfaceRegister!$A:$A,InterfaceRegister!C:C)</f>
        <v/>
      </c>
      <c r="AC306" t="str">
        <f>_xlfn.XLOOKUP($A306,InterfaceRegister!$A:$A,InterfaceRegister!D:D)</f>
        <v/>
      </c>
      <c r="AD306" t="str">
        <f>_xlfn.XLOOKUP($A306,InterfaceRegister!$A:$A,InterfaceRegister!E:E)</f>
        <v>System - Project Interface</v>
      </c>
      <c r="AE306" t="str">
        <f>_xlfn.XLOOKUP($A306,InterfaceRegister!$A:$A,InterfaceRegister!F:F)</f>
        <v/>
      </c>
      <c r="AF306" t="str">
        <f>_xlfn.XLOOKUP($A306,InterfaceRegister!$A:$A,InterfaceRegister!L:L)</f>
        <v/>
      </c>
      <c r="AG306" t="str">
        <f>_xlfn.XLOOKUP($A306,InterfaceRegister!$A:$A,InterfaceRegister!M:M)</f>
        <v/>
      </c>
      <c r="AH306" t="str">
        <f>_xlfn.XLOOKUP($A306,InterfaceRegister!$A:$A,InterfaceRegister!O:O)</f>
        <v/>
      </c>
      <c r="AI306" t="str">
        <f>_xlfn.XLOOKUP($A306,InterfaceRegister!$A:$A,InterfaceRegister!N:N)</f>
        <v/>
      </c>
      <c r="AJ306" t="str">
        <f>_xlfn.XLOOKUP($A306,'EA-Fortescue_SDExport'!$A:$A,'EA-Fortescue_SDExport'!AX:AX)</f>
        <v>CSV40867A33</v>
      </c>
      <c r="AK306">
        <f>_xlfn.XLOOKUP($A306,'EA-Fortescue_SDExport'!$A:$A,'EA-Fortescue_SDExport'!AY:AY)</f>
        <v>0</v>
      </c>
    </row>
    <row r="307" spans="1:37" x14ac:dyDescent="0.25">
      <c r="A307" t="str">
        <v>DGS-I_0306</v>
      </c>
      <c r="B307" t="str">
        <f>_xlfn.XLOOKUP($A307,'EA-Fortescue_SDExport'!$A:$A,'EA-Fortescue_SDExport'!B:B)</f>
        <v>Class</v>
      </c>
      <c r="C307" t="str">
        <f>_xlfn.XLOOKUP($A307,'EA-Fortescue_SDExport'!$A:$A,'EA-Fortescue_SDExport'!C:C)</f>
        <v>{7B37CEA0-8CF7-4a18-9BE3-9E3EC13A79A7}</v>
      </c>
      <c r="D307" t="str">
        <f>_xlfn.LET(_xlpm.result, _xlfn.XLOOKUP($A307, InterfaceRegister!$A:$A, InterfaceRegister!P:P), IF(_xlpm.result=0, "", _xlpm.result))</f>
        <v/>
      </c>
      <c r="E307">
        <f>_xlfn.XLOOKUP($A307,'EA-Fortescue_SDExport'!$A:$A,'EA-Fortescue_SDExport'!E:E)</f>
        <v>1</v>
      </c>
      <c r="F307">
        <f>_xlfn.XLOOKUP($A307,'EA-Fortescue_SDExport'!$A:$A,'EA-Fortescue_SDExport'!F:F)</f>
        <v>1</v>
      </c>
      <c r="G307">
        <f>_xlfn.XLOOKUP($A307,'EA-Fortescue_SDExport'!$A:$A,'EA-Fortescue_SDExport'!G:G)</f>
        <v>0</v>
      </c>
      <c r="H307" t="str">
        <f>_xlfn.XLOOKUP($A307,'EA-Fortescue_SDExport'!$A:$A,'EA-Fortescue_SDExport'!H:H)</f>
        <v>InterfaceBlock</v>
      </c>
      <c r="I307" t="str">
        <f>_xlfn.XLOOKUP($A307,'EA-Fortescue_SDExport'!$A:$A,'EA-Fortescue_SDExport'!I:I)</f>
        <v>SysML1.4::InterfaceBlock</v>
      </c>
      <c r="J307" t="str">
        <f>_xlfn.XLOOKUP($A307,'EA-Fortescue_SDExport'!$A:$A,'EA-Fortescue_SDExport'!J:J)</f>
        <v>Java</v>
      </c>
      <c r="K307" t="str">
        <f>_xlfn.XLOOKUP($A307,'EA-Fortescue_SDExport'!$A:$A,'EA-Fortescue_SDExport'!K:K)</f>
        <v>Admin</v>
      </c>
      <c r="L307" t="str">
        <f>_xlfn.XLOOKUP($A307,'EA-Fortescue_SDExport'!$A:$A,'EA-Fortescue_SDExport'!L:L)</f>
        <v>Public</v>
      </c>
      <c r="M307">
        <f>_xlfn.XLOOKUP($A307,'EA-Fortescue_SDExport'!$A:$A,'EA-Fortescue_SDExport'!M:M)</f>
        <v>0</v>
      </c>
      <c r="N307" t="str">
        <f>_xlfn.XLOOKUP($A307,InterfaceRegister!$A:$A,InterfaceRegister!K:K)</f>
        <v>Proposed</v>
      </c>
      <c r="O307">
        <f>_xlfn.XLOOKUP($A307,'EA-Fortescue_SDExport'!$A:$A,'EA-Fortescue_SDExport'!O:O)</f>
        <v>1</v>
      </c>
      <c r="P307">
        <f>_xlfn.XLOOKUP($A307,'EA-Fortescue_SDExport'!$A:$A,'EA-Fortescue_SDExport'!P:P)</f>
        <v>0</v>
      </c>
      <c r="Q307">
        <f>_xlfn.XLOOKUP($A307,'EA-Fortescue_SDExport'!$A:$A,'EA-Fortescue_SDExport'!Q:Q)</f>
        <v>0</v>
      </c>
      <c r="R307">
        <f>_xlfn.XLOOKUP($A307,'EA-Fortescue_SDExport'!$A:$A,'EA-Fortescue_SDExport'!R:R)</f>
        <v>0</v>
      </c>
      <c r="S307">
        <f>_xlfn.XLOOKUP($A307,'EA-Fortescue_SDExport'!$A:$A,'EA-Fortescue_SDExport'!S:S)</f>
        <v>0</v>
      </c>
      <c r="T307">
        <f>_xlfn.XLOOKUP($A307,'EA-Fortescue_SDExport'!$A:$A,'EA-Fortescue_SDExport'!T:T)</f>
        <v>0</v>
      </c>
      <c r="U307">
        <f>_xlfn.XLOOKUP($A307,'EA-Fortescue_SDExport'!$A:$A,'EA-Fortescue_SDExport'!U:U)</f>
        <v>45975.108912037038</v>
      </c>
      <c r="V307">
        <f>_xlfn.XLOOKUP($A307,'EA-Fortescue_SDExport'!$A:$A,'EA-Fortescue_SDExport'!V:V)</f>
        <v>46002.004953703705</v>
      </c>
      <c r="W307">
        <f>_xlfn.XLOOKUP($A307,'EA-Fortescue_SDExport'!$A:$A,'EA-Fortescue_SDExport'!W:W)</f>
        <v>0</v>
      </c>
      <c r="X307">
        <f>_xlfn.XLOOKUP($A307,'EA-Fortescue_SDExport'!$A:$A,'EA-Fortescue_SDExport'!X:X)</f>
        <v>0</v>
      </c>
      <c r="Y307">
        <f>_xlfn.XLOOKUP($A307,'EA-Fortescue_SDExport'!$A:$A,'EA-Fortescue_SDExport'!Y:Y)</f>
        <v>0</v>
      </c>
      <c r="Z307" t="str">
        <f>_xlfn.XLOOKUP($A307,'EA-Fortescue_SDExport'!$A:$A,'EA-Fortescue_SDExport'!Z:Z)</f>
        <v>SysML1.4::InterfaceBlock</v>
      </c>
      <c r="AA307" t="str">
        <f>_xlfn.XLOOKUP($A307,InterfaceRegister!$A:$A,InterfaceRegister!B:B)</f>
        <v>HV Transmission lines PEC # [LBD - Iron Bridge]|Lambda Junction (LBD): Substation (220kV)</v>
      </c>
      <c r="AB307" t="str">
        <f>_xlfn.XLOOKUP($A307,InterfaceRegister!$A:$A,InterfaceRegister!C:C)</f>
        <v/>
      </c>
      <c r="AC307" t="str">
        <f>_xlfn.XLOOKUP($A307,InterfaceRegister!$A:$A,InterfaceRegister!D:D)</f>
        <v/>
      </c>
      <c r="AD307" t="str">
        <f>_xlfn.XLOOKUP($A307,InterfaceRegister!$A:$A,InterfaceRegister!E:E)</f>
        <v>System - Project Interface</v>
      </c>
      <c r="AE307" t="str">
        <f>_xlfn.XLOOKUP($A307,InterfaceRegister!$A:$A,InterfaceRegister!F:F)</f>
        <v/>
      </c>
      <c r="AF307" t="str">
        <f>_xlfn.XLOOKUP($A307,InterfaceRegister!$A:$A,InterfaceRegister!L:L)</f>
        <v/>
      </c>
      <c r="AG307" t="str">
        <f>_xlfn.XLOOKUP($A307,InterfaceRegister!$A:$A,InterfaceRegister!M:M)</f>
        <v/>
      </c>
      <c r="AH307" t="str">
        <f>_xlfn.XLOOKUP($A307,InterfaceRegister!$A:$A,InterfaceRegister!O:O)</f>
        <v/>
      </c>
      <c r="AI307" t="str">
        <f>_xlfn.XLOOKUP($A307,InterfaceRegister!$A:$A,InterfaceRegister!N:N)</f>
        <v/>
      </c>
      <c r="AJ307" t="str">
        <f>_xlfn.XLOOKUP($A307,'EA-Fortescue_SDExport'!$A:$A,'EA-Fortescue_SDExport'!AX:AX)</f>
        <v>CSV5CC5395B</v>
      </c>
      <c r="AK307">
        <f>_xlfn.XLOOKUP($A307,'EA-Fortescue_SDExport'!$A:$A,'EA-Fortescue_SDExport'!AY:AY)</f>
        <v>0</v>
      </c>
    </row>
    <row r="308" spans="1:37" x14ac:dyDescent="0.25">
      <c r="A308" t="str">
        <v>DGS-I_0307</v>
      </c>
      <c r="B308" t="str">
        <f>_xlfn.XLOOKUP($A308,'EA-Fortescue_SDExport'!$A:$A,'EA-Fortescue_SDExport'!B:B)</f>
        <v>Class</v>
      </c>
      <c r="C308" t="str">
        <f>_xlfn.XLOOKUP($A308,'EA-Fortescue_SDExport'!$A:$A,'EA-Fortescue_SDExport'!C:C)</f>
        <v>{C39AD777-97D0-4b2c-B33B-69B93A0243EE}</v>
      </c>
      <c r="D308" t="str">
        <f>_xlfn.LET(_xlpm.result, _xlfn.XLOOKUP($A308, InterfaceRegister!$A:$A, InterfaceRegister!P:P), IF(_xlpm.result=0, "", _xlpm.result))</f>
        <v/>
      </c>
      <c r="E308">
        <f>_xlfn.XLOOKUP($A308,'EA-Fortescue_SDExport'!$A:$A,'EA-Fortescue_SDExport'!E:E)</f>
        <v>1</v>
      </c>
      <c r="F308">
        <f>_xlfn.XLOOKUP($A308,'EA-Fortescue_SDExport'!$A:$A,'EA-Fortescue_SDExport'!F:F)</f>
        <v>1</v>
      </c>
      <c r="G308">
        <f>_xlfn.XLOOKUP($A308,'EA-Fortescue_SDExport'!$A:$A,'EA-Fortescue_SDExport'!G:G)</f>
        <v>0</v>
      </c>
      <c r="H308" t="str">
        <f>_xlfn.XLOOKUP($A308,'EA-Fortescue_SDExport'!$A:$A,'EA-Fortescue_SDExport'!H:H)</f>
        <v>InterfaceBlock</v>
      </c>
      <c r="I308" t="str">
        <f>_xlfn.XLOOKUP($A308,'EA-Fortescue_SDExport'!$A:$A,'EA-Fortescue_SDExport'!I:I)</f>
        <v>SysML1.4::InterfaceBlock</v>
      </c>
      <c r="J308" t="str">
        <f>_xlfn.XLOOKUP($A308,'EA-Fortescue_SDExport'!$A:$A,'EA-Fortescue_SDExport'!J:J)</f>
        <v>Java</v>
      </c>
      <c r="K308" t="str">
        <f>_xlfn.XLOOKUP($A308,'EA-Fortescue_SDExport'!$A:$A,'EA-Fortescue_SDExport'!K:K)</f>
        <v>Admin</v>
      </c>
      <c r="L308" t="str">
        <f>_xlfn.XLOOKUP($A308,'EA-Fortescue_SDExport'!$A:$A,'EA-Fortescue_SDExport'!L:L)</f>
        <v>Public</v>
      </c>
      <c r="M308">
        <f>_xlfn.XLOOKUP($A308,'EA-Fortescue_SDExport'!$A:$A,'EA-Fortescue_SDExport'!M:M)</f>
        <v>0</v>
      </c>
      <c r="N308" t="str">
        <f>_xlfn.XLOOKUP($A308,InterfaceRegister!$A:$A,InterfaceRegister!K:K)</f>
        <v>Proposed</v>
      </c>
      <c r="O308">
        <f>_xlfn.XLOOKUP($A308,'EA-Fortescue_SDExport'!$A:$A,'EA-Fortescue_SDExport'!O:O)</f>
        <v>1</v>
      </c>
      <c r="P308">
        <f>_xlfn.XLOOKUP($A308,'EA-Fortescue_SDExport'!$A:$A,'EA-Fortescue_SDExport'!P:P)</f>
        <v>0</v>
      </c>
      <c r="Q308">
        <f>_xlfn.XLOOKUP($A308,'EA-Fortescue_SDExport'!$A:$A,'EA-Fortescue_SDExport'!Q:Q)</f>
        <v>0</v>
      </c>
      <c r="R308">
        <f>_xlfn.XLOOKUP($A308,'EA-Fortescue_SDExport'!$A:$A,'EA-Fortescue_SDExport'!R:R)</f>
        <v>0</v>
      </c>
      <c r="S308">
        <f>_xlfn.XLOOKUP($A308,'EA-Fortescue_SDExport'!$A:$A,'EA-Fortescue_SDExport'!S:S)</f>
        <v>0</v>
      </c>
      <c r="T308">
        <f>_xlfn.XLOOKUP($A308,'EA-Fortescue_SDExport'!$A:$A,'EA-Fortescue_SDExport'!T:T)</f>
        <v>0</v>
      </c>
      <c r="U308">
        <f>_xlfn.XLOOKUP($A308,'EA-Fortescue_SDExport'!$A:$A,'EA-Fortescue_SDExport'!U:U)</f>
        <v>45975.108935185184</v>
      </c>
      <c r="V308">
        <f>_xlfn.XLOOKUP($A308,'EA-Fortescue_SDExport'!$A:$A,'EA-Fortescue_SDExport'!V:V)</f>
        <v>46002.004999999997</v>
      </c>
      <c r="W308">
        <f>_xlfn.XLOOKUP($A308,'EA-Fortescue_SDExport'!$A:$A,'EA-Fortescue_SDExport'!W:W)</f>
        <v>0</v>
      </c>
      <c r="X308">
        <f>_xlfn.XLOOKUP($A308,'EA-Fortescue_SDExport'!$A:$A,'EA-Fortescue_SDExport'!X:X)</f>
        <v>0</v>
      </c>
      <c r="Y308">
        <f>_xlfn.XLOOKUP($A308,'EA-Fortescue_SDExport'!$A:$A,'EA-Fortescue_SDExport'!Y:Y)</f>
        <v>0</v>
      </c>
      <c r="Z308" t="str">
        <f>_xlfn.XLOOKUP($A308,'EA-Fortescue_SDExport'!$A:$A,'EA-Fortescue_SDExport'!Z:Z)</f>
        <v>SysML1.4::InterfaceBlock</v>
      </c>
      <c r="AA308" t="str">
        <f>_xlfn.XLOOKUP($A308,InterfaceRegister!$A:$A,InterfaceRegister!B:B)</f>
        <v>Lambda Junction (LBD): Substation (220kV)|HV Transmission lines PEC # [LBD - CLB]</v>
      </c>
      <c r="AB308" t="str">
        <f>_xlfn.XLOOKUP($A308,InterfaceRegister!$A:$A,InterfaceRegister!C:C)</f>
        <v/>
      </c>
      <c r="AC308" t="str">
        <f>_xlfn.XLOOKUP($A308,InterfaceRegister!$A:$A,InterfaceRegister!D:D)</f>
        <v/>
      </c>
      <c r="AD308" t="str">
        <f>_xlfn.XLOOKUP($A308,InterfaceRegister!$A:$A,InterfaceRegister!E:E)</f>
        <v>System - Project Interface</v>
      </c>
      <c r="AE308" t="str">
        <f>_xlfn.XLOOKUP($A308,InterfaceRegister!$A:$A,InterfaceRegister!F:F)</f>
        <v/>
      </c>
      <c r="AF308" t="str">
        <f>_xlfn.XLOOKUP($A308,InterfaceRegister!$A:$A,InterfaceRegister!L:L)</f>
        <v/>
      </c>
      <c r="AG308" t="str">
        <f>_xlfn.XLOOKUP($A308,InterfaceRegister!$A:$A,InterfaceRegister!M:M)</f>
        <v/>
      </c>
      <c r="AH308" t="str">
        <f>_xlfn.XLOOKUP($A308,InterfaceRegister!$A:$A,InterfaceRegister!O:O)</f>
        <v/>
      </c>
      <c r="AI308" t="str">
        <f>_xlfn.XLOOKUP($A308,InterfaceRegister!$A:$A,InterfaceRegister!N:N)</f>
        <v/>
      </c>
      <c r="AJ308" t="str">
        <f>_xlfn.XLOOKUP($A308,'EA-Fortescue_SDExport'!$A:$A,'EA-Fortescue_SDExport'!AX:AX)</f>
        <v>CSV34FE9637</v>
      </c>
      <c r="AK308">
        <f>_xlfn.XLOOKUP($A308,'EA-Fortescue_SDExport'!$A:$A,'EA-Fortescue_SDExport'!AY:AY)</f>
        <v>0</v>
      </c>
    </row>
    <row r="309" spans="1:37" x14ac:dyDescent="0.25">
      <c r="A309" t="str">
        <v>DGS-I_0308</v>
      </c>
      <c r="B309" t="str">
        <f>_xlfn.XLOOKUP($A309,'EA-Fortescue_SDExport'!$A:$A,'EA-Fortescue_SDExport'!B:B)</f>
        <v>Class</v>
      </c>
      <c r="C309" t="str">
        <f>_xlfn.XLOOKUP($A309,'EA-Fortescue_SDExport'!$A:$A,'EA-Fortescue_SDExport'!C:C)</f>
        <v>{73226786-900A-4adf-B161-A058BC833D65}</v>
      </c>
      <c r="D309" t="str">
        <f>_xlfn.LET(_xlpm.result, _xlfn.XLOOKUP($A309, InterfaceRegister!$A:$A, InterfaceRegister!P:P), IF(_xlpm.result=0, "", _xlpm.result))</f>
        <v/>
      </c>
      <c r="E309">
        <f>_xlfn.XLOOKUP($A309,'EA-Fortescue_SDExport'!$A:$A,'EA-Fortescue_SDExport'!E:E)</f>
        <v>1</v>
      </c>
      <c r="F309">
        <f>_xlfn.XLOOKUP($A309,'EA-Fortescue_SDExport'!$A:$A,'EA-Fortescue_SDExport'!F:F)</f>
        <v>1</v>
      </c>
      <c r="G309">
        <f>_xlfn.XLOOKUP($A309,'EA-Fortescue_SDExport'!$A:$A,'EA-Fortescue_SDExport'!G:G)</f>
        <v>0</v>
      </c>
      <c r="H309" t="str">
        <f>_xlfn.XLOOKUP($A309,'EA-Fortescue_SDExport'!$A:$A,'EA-Fortescue_SDExport'!H:H)</f>
        <v>InterfaceBlock</v>
      </c>
      <c r="I309" t="str">
        <f>_xlfn.XLOOKUP($A309,'EA-Fortescue_SDExport'!$A:$A,'EA-Fortescue_SDExport'!I:I)</f>
        <v>SysML1.4::InterfaceBlock</v>
      </c>
      <c r="J309" t="str">
        <f>_xlfn.XLOOKUP($A309,'EA-Fortescue_SDExport'!$A:$A,'EA-Fortescue_SDExport'!J:J)</f>
        <v>Java</v>
      </c>
      <c r="K309" t="str">
        <f>_xlfn.XLOOKUP($A309,'EA-Fortescue_SDExport'!$A:$A,'EA-Fortescue_SDExport'!K:K)</f>
        <v>Admin</v>
      </c>
      <c r="L309" t="str">
        <f>_xlfn.XLOOKUP($A309,'EA-Fortescue_SDExport'!$A:$A,'EA-Fortescue_SDExport'!L:L)</f>
        <v>Public</v>
      </c>
      <c r="M309">
        <f>_xlfn.XLOOKUP($A309,'EA-Fortescue_SDExport'!$A:$A,'EA-Fortescue_SDExport'!M:M)</f>
        <v>0</v>
      </c>
      <c r="N309" t="str">
        <f>_xlfn.XLOOKUP($A309,InterfaceRegister!$A:$A,InterfaceRegister!K:K)</f>
        <v>Proposed</v>
      </c>
      <c r="O309">
        <f>_xlfn.XLOOKUP($A309,'EA-Fortescue_SDExport'!$A:$A,'EA-Fortescue_SDExport'!O:O)</f>
        <v>1</v>
      </c>
      <c r="P309">
        <f>_xlfn.XLOOKUP($A309,'EA-Fortescue_SDExport'!$A:$A,'EA-Fortescue_SDExport'!P:P)</f>
        <v>0</v>
      </c>
      <c r="Q309">
        <f>_xlfn.XLOOKUP($A309,'EA-Fortescue_SDExport'!$A:$A,'EA-Fortescue_SDExport'!Q:Q)</f>
        <v>0</v>
      </c>
      <c r="R309">
        <f>_xlfn.XLOOKUP($A309,'EA-Fortescue_SDExport'!$A:$A,'EA-Fortescue_SDExport'!R:R)</f>
        <v>0</v>
      </c>
      <c r="S309">
        <f>_xlfn.XLOOKUP($A309,'EA-Fortescue_SDExport'!$A:$A,'EA-Fortescue_SDExport'!S:S)</f>
        <v>0</v>
      </c>
      <c r="T309">
        <f>_xlfn.XLOOKUP($A309,'EA-Fortescue_SDExport'!$A:$A,'EA-Fortescue_SDExport'!T:T)</f>
        <v>0</v>
      </c>
      <c r="U309">
        <f>_xlfn.XLOOKUP($A309,'EA-Fortescue_SDExport'!$A:$A,'EA-Fortescue_SDExport'!U:U)</f>
        <v>45975.108946759261</v>
      </c>
      <c r="V309">
        <f>_xlfn.XLOOKUP($A309,'EA-Fortescue_SDExport'!$A:$A,'EA-Fortescue_SDExport'!V:V)</f>
        <v>46002.004953703705</v>
      </c>
      <c r="W309">
        <f>_xlfn.XLOOKUP($A309,'EA-Fortescue_SDExport'!$A:$A,'EA-Fortescue_SDExport'!W:W)</f>
        <v>0</v>
      </c>
      <c r="X309">
        <f>_xlfn.XLOOKUP($A309,'EA-Fortescue_SDExport'!$A:$A,'EA-Fortescue_SDExport'!X:X)</f>
        <v>0</v>
      </c>
      <c r="Y309">
        <f>_xlfn.XLOOKUP($A309,'EA-Fortescue_SDExport'!$A:$A,'EA-Fortescue_SDExport'!Y:Y)</f>
        <v>0</v>
      </c>
      <c r="Z309" t="str">
        <f>_xlfn.XLOOKUP($A309,'EA-Fortescue_SDExport'!$A:$A,'EA-Fortescue_SDExport'!Z:Z)</f>
        <v>SysML1.4::InterfaceBlock</v>
      </c>
      <c r="AA309" t="str">
        <f>_xlfn.XLOOKUP($A309,InterfaceRegister!$A:$A,InterfaceRegister!B:B)</f>
        <v>HV Transmission lines PEC # [LBD - CLB]|Cloudbreak Mine: Substation (220kV)</v>
      </c>
      <c r="AB309" t="str">
        <f>_xlfn.XLOOKUP($A309,InterfaceRegister!$A:$A,InterfaceRegister!C:C)</f>
        <v/>
      </c>
      <c r="AC309" t="str">
        <f>_xlfn.XLOOKUP($A309,InterfaceRegister!$A:$A,InterfaceRegister!D:D)</f>
        <v/>
      </c>
      <c r="AD309" t="str">
        <f>_xlfn.XLOOKUP($A309,InterfaceRegister!$A:$A,InterfaceRegister!E:E)</f>
        <v>System - Project Interface</v>
      </c>
      <c r="AE309" t="str">
        <f>_xlfn.XLOOKUP($A309,InterfaceRegister!$A:$A,InterfaceRegister!F:F)</f>
        <v/>
      </c>
      <c r="AF309" t="str">
        <f>_xlfn.XLOOKUP($A309,InterfaceRegister!$A:$A,InterfaceRegister!L:L)</f>
        <v/>
      </c>
      <c r="AG309" t="str">
        <f>_xlfn.XLOOKUP($A309,InterfaceRegister!$A:$A,InterfaceRegister!M:M)</f>
        <v/>
      </c>
      <c r="AH309" t="str">
        <f>_xlfn.XLOOKUP($A309,InterfaceRegister!$A:$A,InterfaceRegister!O:O)</f>
        <v/>
      </c>
      <c r="AI309" t="str">
        <f>_xlfn.XLOOKUP($A309,InterfaceRegister!$A:$A,InterfaceRegister!N:N)</f>
        <v/>
      </c>
      <c r="AJ309" t="str">
        <f>_xlfn.XLOOKUP($A309,'EA-Fortescue_SDExport'!$A:$A,'EA-Fortescue_SDExport'!AX:AX)</f>
        <v>CSVBB378768</v>
      </c>
      <c r="AK309">
        <f>_xlfn.XLOOKUP($A309,'EA-Fortescue_SDExport'!$A:$A,'EA-Fortescue_SDExport'!AY:AY)</f>
        <v>0</v>
      </c>
    </row>
    <row r="310" spans="1:37" x14ac:dyDescent="0.25">
      <c r="A310" t="str">
        <v>DGS-I_0309</v>
      </c>
      <c r="B310" t="str">
        <f>_xlfn.XLOOKUP($A310,'EA-Fortescue_SDExport'!$A:$A,'EA-Fortescue_SDExport'!B:B)</f>
        <v>Class</v>
      </c>
      <c r="C310" t="str">
        <f>_xlfn.XLOOKUP($A310,'EA-Fortescue_SDExport'!$A:$A,'EA-Fortescue_SDExport'!C:C)</f>
        <v>{808276CA-E84B-44f9-8EAF-D9835E8512F2}</v>
      </c>
      <c r="D310" t="str">
        <f>_xlfn.LET(_xlpm.result, _xlfn.XLOOKUP($A310, InterfaceRegister!$A:$A, InterfaceRegister!P:P), IF(_xlpm.result=0, "", _xlpm.result))</f>
        <v/>
      </c>
      <c r="E310">
        <f>_xlfn.XLOOKUP($A310,'EA-Fortescue_SDExport'!$A:$A,'EA-Fortescue_SDExport'!E:E)</f>
        <v>1</v>
      </c>
      <c r="F310">
        <f>_xlfn.XLOOKUP($A310,'EA-Fortescue_SDExport'!$A:$A,'EA-Fortescue_SDExport'!F:F)</f>
        <v>1</v>
      </c>
      <c r="G310">
        <f>_xlfn.XLOOKUP($A310,'EA-Fortescue_SDExport'!$A:$A,'EA-Fortescue_SDExport'!G:G)</f>
        <v>0</v>
      </c>
      <c r="H310" t="str">
        <f>_xlfn.XLOOKUP($A310,'EA-Fortescue_SDExport'!$A:$A,'EA-Fortescue_SDExport'!H:H)</f>
        <v>InterfaceBlock</v>
      </c>
      <c r="I310" t="str">
        <f>_xlfn.XLOOKUP($A310,'EA-Fortescue_SDExport'!$A:$A,'EA-Fortescue_SDExport'!I:I)</f>
        <v>SysML1.4::InterfaceBlock</v>
      </c>
      <c r="J310" t="str">
        <f>_xlfn.XLOOKUP($A310,'EA-Fortescue_SDExport'!$A:$A,'EA-Fortescue_SDExport'!J:J)</f>
        <v>Java</v>
      </c>
      <c r="K310" t="str">
        <f>_xlfn.XLOOKUP($A310,'EA-Fortescue_SDExport'!$A:$A,'EA-Fortescue_SDExport'!K:K)</f>
        <v>Admin</v>
      </c>
      <c r="L310" t="str">
        <f>_xlfn.XLOOKUP($A310,'EA-Fortescue_SDExport'!$A:$A,'EA-Fortescue_SDExport'!L:L)</f>
        <v>Public</v>
      </c>
      <c r="M310">
        <f>_xlfn.XLOOKUP($A310,'EA-Fortescue_SDExport'!$A:$A,'EA-Fortescue_SDExport'!M:M)</f>
        <v>0</v>
      </c>
      <c r="N310" t="str">
        <f>_xlfn.XLOOKUP($A310,InterfaceRegister!$A:$A,InterfaceRegister!K:K)</f>
        <v>Proposed</v>
      </c>
      <c r="O310">
        <f>_xlfn.XLOOKUP($A310,'EA-Fortescue_SDExport'!$A:$A,'EA-Fortescue_SDExport'!O:O)</f>
        <v>1</v>
      </c>
      <c r="P310">
        <f>_xlfn.XLOOKUP($A310,'EA-Fortescue_SDExport'!$A:$A,'EA-Fortescue_SDExport'!P:P)</f>
        <v>0</v>
      </c>
      <c r="Q310">
        <f>_xlfn.XLOOKUP($A310,'EA-Fortescue_SDExport'!$A:$A,'EA-Fortescue_SDExport'!Q:Q)</f>
        <v>0</v>
      </c>
      <c r="R310">
        <f>_xlfn.XLOOKUP($A310,'EA-Fortescue_SDExport'!$A:$A,'EA-Fortescue_SDExport'!R:R)</f>
        <v>0</v>
      </c>
      <c r="S310">
        <f>_xlfn.XLOOKUP($A310,'EA-Fortescue_SDExport'!$A:$A,'EA-Fortescue_SDExport'!S:S)</f>
        <v>0</v>
      </c>
      <c r="T310">
        <f>_xlfn.XLOOKUP($A310,'EA-Fortescue_SDExport'!$A:$A,'EA-Fortescue_SDExport'!T:T)</f>
        <v>0</v>
      </c>
      <c r="U310">
        <f>_xlfn.XLOOKUP($A310,'EA-Fortescue_SDExport'!$A:$A,'EA-Fortescue_SDExport'!U:U)</f>
        <v>45975.108958333331</v>
      </c>
      <c r="V310">
        <f>_xlfn.XLOOKUP($A310,'EA-Fortescue_SDExport'!$A:$A,'EA-Fortescue_SDExport'!V:V)</f>
        <v>46002.004988425928</v>
      </c>
      <c r="W310">
        <f>_xlfn.XLOOKUP($A310,'EA-Fortescue_SDExport'!$A:$A,'EA-Fortescue_SDExport'!W:W)</f>
        <v>0</v>
      </c>
      <c r="X310">
        <f>_xlfn.XLOOKUP($A310,'EA-Fortescue_SDExport'!$A:$A,'EA-Fortescue_SDExport'!X:X)</f>
        <v>0</v>
      </c>
      <c r="Y310">
        <f>_xlfn.XLOOKUP($A310,'EA-Fortescue_SDExport'!$A:$A,'EA-Fortescue_SDExport'!Y:Y)</f>
        <v>0</v>
      </c>
      <c r="Z310" t="str">
        <f>_xlfn.XLOOKUP($A310,'EA-Fortescue_SDExport'!$A:$A,'EA-Fortescue_SDExport'!Z:Z)</f>
        <v>SysML1.4::InterfaceBlock</v>
      </c>
      <c r="AA310" t="str">
        <f>_xlfn.XLOOKUP($A310,InterfaceRegister!$A:$A,InterfaceRegister!B:B)</f>
        <v>HV Transmission lines PEC # [CLB - CCK]|Cloudbreak Mine: Substation (220kV)</v>
      </c>
      <c r="AB310" t="str">
        <f>_xlfn.XLOOKUP($A310,InterfaceRegister!$A:$A,InterfaceRegister!C:C)</f>
        <v/>
      </c>
      <c r="AC310" t="str">
        <f>_xlfn.XLOOKUP($A310,InterfaceRegister!$A:$A,InterfaceRegister!D:D)</f>
        <v/>
      </c>
      <c r="AD310" t="str">
        <f>_xlfn.XLOOKUP($A310,InterfaceRegister!$A:$A,InterfaceRegister!E:E)</f>
        <v>System - Project Interface</v>
      </c>
      <c r="AE310" t="str">
        <f>_xlfn.XLOOKUP($A310,InterfaceRegister!$A:$A,InterfaceRegister!F:F)</f>
        <v/>
      </c>
      <c r="AF310" t="str">
        <f>_xlfn.XLOOKUP($A310,InterfaceRegister!$A:$A,InterfaceRegister!L:L)</f>
        <v/>
      </c>
      <c r="AG310" t="str">
        <f>_xlfn.XLOOKUP($A310,InterfaceRegister!$A:$A,InterfaceRegister!M:M)</f>
        <v/>
      </c>
      <c r="AH310" t="str">
        <f>_xlfn.XLOOKUP($A310,InterfaceRegister!$A:$A,InterfaceRegister!O:O)</f>
        <v/>
      </c>
      <c r="AI310" t="str">
        <f>_xlfn.XLOOKUP($A310,InterfaceRegister!$A:$A,InterfaceRegister!N:N)</f>
        <v/>
      </c>
      <c r="AJ310" t="str">
        <f>_xlfn.XLOOKUP($A310,'EA-Fortescue_SDExport'!$A:$A,'EA-Fortescue_SDExport'!AX:AX)</f>
        <v>CSV177AA798</v>
      </c>
      <c r="AK310">
        <f>_xlfn.XLOOKUP($A310,'EA-Fortescue_SDExport'!$A:$A,'EA-Fortescue_SDExport'!AY:AY)</f>
        <v>0</v>
      </c>
    </row>
    <row r="311" spans="1:37" x14ac:dyDescent="0.25">
      <c r="A311" t="str">
        <v>DGS-I_0310</v>
      </c>
      <c r="B311" t="str">
        <f>_xlfn.XLOOKUP($A311,'EA-Fortescue_SDExport'!$A:$A,'EA-Fortescue_SDExport'!B:B)</f>
        <v>Class</v>
      </c>
      <c r="C311" t="str">
        <f>_xlfn.XLOOKUP($A311,'EA-Fortescue_SDExport'!$A:$A,'EA-Fortescue_SDExport'!C:C)</f>
        <v>{3D7718F6-9890-4b32-B8C3-838258C68353}</v>
      </c>
      <c r="D311" t="str">
        <f>_xlfn.LET(_xlpm.result, _xlfn.XLOOKUP($A311, InterfaceRegister!$A:$A, InterfaceRegister!P:P), IF(_xlpm.result=0, "", _xlpm.result))</f>
        <v/>
      </c>
      <c r="E311">
        <f>_xlfn.XLOOKUP($A311,'EA-Fortescue_SDExport'!$A:$A,'EA-Fortescue_SDExport'!E:E)</f>
        <v>1</v>
      </c>
      <c r="F311">
        <f>_xlfn.XLOOKUP($A311,'EA-Fortescue_SDExport'!$A:$A,'EA-Fortescue_SDExport'!F:F)</f>
        <v>1</v>
      </c>
      <c r="G311">
        <f>_xlfn.XLOOKUP($A311,'EA-Fortescue_SDExport'!$A:$A,'EA-Fortescue_SDExport'!G:G)</f>
        <v>0</v>
      </c>
      <c r="H311" t="str">
        <f>_xlfn.XLOOKUP($A311,'EA-Fortescue_SDExport'!$A:$A,'EA-Fortescue_SDExport'!H:H)</f>
        <v>InterfaceBlock</v>
      </c>
      <c r="I311" t="str">
        <f>_xlfn.XLOOKUP($A311,'EA-Fortescue_SDExport'!$A:$A,'EA-Fortescue_SDExport'!I:I)</f>
        <v>SysML1.4::InterfaceBlock</v>
      </c>
      <c r="J311" t="str">
        <f>_xlfn.XLOOKUP($A311,'EA-Fortescue_SDExport'!$A:$A,'EA-Fortescue_SDExport'!J:J)</f>
        <v>Java</v>
      </c>
      <c r="K311" t="str">
        <f>_xlfn.XLOOKUP($A311,'EA-Fortescue_SDExport'!$A:$A,'EA-Fortescue_SDExport'!K:K)</f>
        <v>Admin</v>
      </c>
      <c r="L311" t="str">
        <f>_xlfn.XLOOKUP($A311,'EA-Fortescue_SDExport'!$A:$A,'EA-Fortescue_SDExport'!L:L)</f>
        <v>Public</v>
      </c>
      <c r="M311">
        <f>_xlfn.XLOOKUP($A311,'EA-Fortescue_SDExport'!$A:$A,'EA-Fortescue_SDExport'!M:M)</f>
        <v>0</v>
      </c>
      <c r="N311" t="str">
        <f>_xlfn.XLOOKUP($A311,InterfaceRegister!$A:$A,InterfaceRegister!K:K)</f>
        <v>Proposed</v>
      </c>
      <c r="O311">
        <f>_xlfn.XLOOKUP($A311,'EA-Fortescue_SDExport'!$A:$A,'EA-Fortescue_SDExport'!O:O)</f>
        <v>1</v>
      </c>
      <c r="P311">
        <f>_xlfn.XLOOKUP($A311,'EA-Fortescue_SDExport'!$A:$A,'EA-Fortescue_SDExport'!P:P)</f>
        <v>0</v>
      </c>
      <c r="Q311">
        <f>_xlfn.XLOOKUP($A311,'EA-Fortescue_SDExport'!$A:$A,'EA-Fortescue_SDExport'!Q:Q)</f>
        <v>0</v>
      </c>
      <c r="R311">
        <f>_xlfn.XLOOKUP($A311,'EA-Fortescue_SDExport'!$A:$A,'EA-Fortescue_SDExport'!R:R)</f>
        <v>0</v>
      </c>
      <c r="S311">
        <f>_xlfn.XLOOKUP($A311,'EA-Fortescue_SDExport'!$A:$A,'EA-Fortescue_SDExport'!S:S)</f>
        <v>0</v>
      </c>
      <c r="T311">
        <f>_xlfn.XLOOKUP($A311,'EA-Fortescue_SDExport'!$A:$A,'EA-Fortescue_SDExport'!T:T)</f>
        <v>0</v>
      </c>
      <c r="U311">
        <f>_xlfn.XLOOKUP($A311,'EA-Fortescue_SDExport'!$A:$A,'EA-Fortescue_SDExport'!U:U)</f>
        <v>45975.109027777777</v>
      </c>
      <c r="V311">
        <f>_xlfn.XLOOKUP($A311,'EA-Fortescue_SDExport'!$A:$A,'EA-Fortescue_SDExport'!V:V)</f>
        <v>46002.004953703705</v>
      </c>
      <c r="W311">
        <f>_xlfn.XLOOKUP($A311,'EA-Fortescue_SDExport'!$A:$A,'EA-Fortescue_SDExport'!W:W)</f>
        <v>0</v>
      </c>
      <c r="X311">
        <f>_xlfn.XLOOKUP($A311,'EA-Fortescue_SDExport'!$A:$A,'EA-Fortescue_SDExport'!X:X)</f>
        <v>0</v>
      </c>
      <c r="Y311">
        <f>_xlfn.XLOOKUP($A311,'EA-Fortescue_SDExport'!$A:$A,'EA-Fortescue_SDExport'!Y:Y)</f>
        <v>0</v>
      </c>
      <c r="Z311" t="str">
        <f>_xlfn.XLOOKUP($A311,'EA-Fortescue_SDExport'!$A:$A,'EA-Fortescue_SDExport'!Z:Z)</f>
        <v>SysML1.4::InterfaceBlock</v>
      </c>
      <c r="AA311" t="str">
        <f>_xlfn.XLOOKUP($A311,InterfaceRegister!$A:$A,InterfaceRegister!B:B)</f>
        <v>HV Transmission lines PEC # [CLB - CCK]|Christmas Creek Mine: Substation (220kV)</v>
      </c>
      <c r="AB311" t="str">
        <f>_xlfn.XLOOKUP($A311,InterfaceRegister!$A:$A,InterfaceRegister!C:C)</f>
        <v/>
      </c>
      <c r="AC311" t="str">
        <f>_xlfn.XLOOKUP($A311,InterfaceRegister!$A:$A,InterfaceRegister!D:D)</f>
        <v/>
      </c>
      <c r="AD311" t="str">
        <f>_xlfn.XLOOKUP($A311,InterfaceRegister!$A:$A,InterfaceRegister!E:E)</f>
        <v>System - Project Interface</v>
      </c>
      <c r="AE311" t="str">
        <f>_xlfn.XLOOKUP($A311,InterfaceRegister!$A:$A,InterfaceRegister!F:F)</f>
        <v/>
      </c>
      <c r="AF311" t="str">
        <f>_xlfn.XLOOKUP($A311,InterfaceRegister!$A:$A,InterfaceRegister!L:L)</f>
        <v/>
      </c>
      <c r="AG311" t="str">
        <f>_xlfn.XLOOKUP($A311,InterfaceRegister!$A:$A,InterfaceRegister!M:M)</f>
        <v/>
      </c>
      <c r="AH311" t="str">
        <f>_xlfn.XLOOKUP($A311,InterfaceRegister!$A:$A,InterfaceRegister!O:O)</f>
        <v/>
      </c>
      <c r="AI311" t="str">
        <f>_xlfn.XLOOKUP($A311,InterfaceRegister!$A:$A,InterfaceRegister!N:N)</f>
        <v/>
      </c>
      <c r="AJ311" t="str">
        <f>_xlfn.XLOOKUP($A311,'EA-Fortescue_SDExport'!$A:$A,'EA-Fortescue_SDExport'!AX:AX)</f>
        <v>CSVFA87FC37</v>
      </c>
      <c r="AK311">
        <f>_xlfn.XLOOKUP($A311,'EA-Fortescue_SDExport'!$A:$A,'EA-Fortescue_SDExport'!AY:AY)</f>
        <v>0</v>
      </c>
    </row>
    <row r="312" spans="1:37" x14ac:dyDescent="0.25">
      <c r="A312" t="str">
        <v>DGS-I_0311</v>
      </c>
      <c r="B312" t="str">
        <f>_xlfn.XLOOKUP($A312,'EA-Fortescue_SDExport'!$A:$A,'EA-Fortescue_SDExport'!B:B)</f>
        <v>Class</v>
      </c>
      <c r="C312" t="str">
        <f>_xlfn.XLOOKUP($A312,'EA-Fortescue_SDExport'!$A:$A,'EA-Fortescue_SDExport'!C:C)</f>
        <v>{5BF0F2AC-63D1-4489-A002-98B9116AEE8D}</v>
      </c>
      <c r="D312" t="str">
        <f>_xlfn.LET(_xlpm.result, _xlfn.XLOOKUP($A312, InterfaceRegister!$A:$A, InterfaceRegister!P:P), IF(_xlpm.result=0, "", _xlpm.result))</f>
        <v/>
      </c>
      <c r="E312">
        <f>_xlfn.XLOOKUP($A312,'EA-Fortescue_SDExport'!$A:$A,'EA-Fortescue_SDExport'!E:E)</f>
        <v>1</v>
      </c>
      <c r="F312">
        <f>_xlfn.XLOOKUP($A312,'EA-Fortescue_SDExport'!$A:$A,'EA-Fortescue_SDExport'!F:F)</f>
        <v>1</v>
      </c>
      <c r="G312">
        <f>_xlfn.XLOOKUP($A312,'EA-Fortescue_SDExport'!$A:$A,'EA-Fortescue_SDExport'!G:G)</f>
        <v>0</v>
      </c>
      <c r="H312" t="str">
        <f>_xlfn.XLOOKUP($A312,'EA-Fortescue_SDExport'!$A:$A,'EA-Fortescue_SDExport'!H:H)</f>
        <v>InterfaceBlock</v>
      </c>
      <c r="I312" t="str">
        <f>_xlfn.XLOOKUP($A312,'EA-Fortescue_SDExport'!$A:$A,'EA-Fortescue_SDExport'!I:I)</f>
        <v>SysML1.4::InterfaceBlock</v>
      </c>
      <c r="J312" t="str">
        <f>_xlfn.XLOOKUP($A312,'EA-Fortescue_SDExport'!$A:$A,'EA-Fortescue_SDExport'!J:J)</f>
        <v>Java</v>
      </c>
      <c r="K312" t="str">
        <f>_xlfn.XLOOKUP($A312,'EA-Fortescue_SDExport'!$A:$A,'EA-Fortescue_SDExport'!K:K)</f>
        <v>Admin</v>
      </c>
      <c r="L312" t="str">
        <f>_xlfn.XLOOKUP($A312,'EA-Fortescue_SDExport'!$A:$A,'EA-Fortescue_SDExport'!L:L)</f>
        <v>Public</v>
      </c>
      <c r="M312">
        <f>_xlfn.XLOOKUP($A312,'EA-Fortescue_SDExport'!$A:$A,'EA-Fortescue_SDExport'!M:M)</f>
        <v>0</v>
      </c>
      <c r="N312" t="str">
        <f>_xlfn.XLOOKUP($A312,InterfaceRegister!$A:$A,InterfaceRegister!K:K)</f>
        <v>Proposed</v>
      </c>
      <c r="O312">
        <f>_xlfn.XLOOKUP($A312,'EA-Fortescue_SDExport'!$A:$A,'EA-Fortescue_SDExport'!O:O)</f>
        <v>1</v>
      </c>
      <c r="P312">
        <f>_xlfn.XLOOKUP($A312,'EA-Fortescue_SDExport'!$A:$A,'EA-Fortescue_SDExport'!P:P)</f>
        <v>0</v>
      </c>
      <c r="Q312">
        <f>_xlfn.XLOOKUP($A312,'EA-Fortescue_SDExport'!$A:$A,'EA-Fortescue_SDExport'!Q:Q)</f>
        <v>0</v>
      </c>
      <c r="R312">
        <f>_xlfn.XLOOKUP($A312,'EA-Fortescue_SDExport'!$A:$A,'EA-Fortescue_SDExport'!R:R)</f>
        <v>0</v>
      </c>
      <c r="S312">
        <f>_xlfn.XLOOKUP($A312,'EA-Fortescue_SDExport'!$A:$A,'EA-Fortescue_SDExport'!S:S)</f>
        <v>0</v>
      </c>
      <c r="T312">
        <f>_xlfn.XLOOKUP($A312,'EA-Fortescue_SDExport'!$A:$A,'EA-Fortescue_SDExport'!T:T)</f>
        <v>0</v>
      </c>
      <c r="U312">
        <f>_xlfn.XLOOKUP($A312,'EA-Fortescue_SDExport'!$A:$A,'EA-Fortescue_SDExport'!U:U)</f>
        <v>45975.130902777775</v>
      </c>
      <c r="V312">
        <f>_xlfn.XLOOKUP($A312,'EA-Fortescue_SDExport'!$A:$A,'EA-Fortescue_SDExport'!V:V)</f>
        <v>46002.004976851851</v>
      </c>
      <c r="W312">
        <f>_xlfn.XLOOKUP($A312,'EA-Fortescue_SDExport'!$A:$A,'EA-Fortescue_SDExport'!W:W)</f>
        <v>0</v>
      </c>
      <c r="X312">
        <f>_xlfn.XLOOKUP($A312,'EA-Fortescue_SDExport'!$A:$A,'EA-Fortescue_SDExport'!X:X)</f>
        <v>0</v>
      </c>
      <c r="Y312">
        <f>_xlfn.XLOOKUP($A312,'EA-Fortescue_SDExport'!$A:$A,'EA-Fortescue_SDExport'!Y:Y)</f>
        <v>0</v>
      </c>
      <c r="Z312" t="str">
        <f>_xlfn.XLOOKUP($A312,'EA-Fortescue_SDExport'!$A:$A,'EA-Fortescue_SDExport'!Z:Z)</f>
        <v>SysML1.4::InterfaceBlock</v>
      </c>
      <c r="AA312" t="str">
        <f>_xlfn.XLOOKUP($A312,InterfaceRegister!$A:$A,InterfaceRegister!B:B)</f>
        <v>HV Transmission lines PEC # [CCK - BDN]|Christmas Creek Mine: Substation (220kV)</v>
      </c>
      <c r="AB312" t="str">
        <f>_xlfn.XLOOKUP($A312,InterfaceRegister!$A:$A,InterfaceRegister!C:C)</f>
        <v/>
      </c>
      <c r="AC312" t="str">
        <f>_xlfn.XLOOKUP($A312,InterfaceRegister!$A:$A,InterfaceRegister!D:D)</f>
        <v/>
      </c>
      <c r="AD312" t="str">
        <f>_xlfn.XLOOKUP($A312,InterfaceRegister!$A:$A,InterfaceRegister!E:E)</f>
        <v>System - Project Interface</v>
      </c>
      <c r="AE312" t="str">
        <f>_xlfn.XLOOKUP($A312,InterfaceRegister!$A:$A,InterfaceRegister!F:F)</f>
        <v/>
      </c>
      <c r="AF312" t="str">
        <f>_xlfn.XLOOKUP($A312,InterfaceRegister!$A:$A,InterfaceRegister!L:L)</f>
        <v/>
      </c>
      <c r="AG312" t="str">
        <f>_xlfn.XLOOKUP($A312,InterfaceRegister!$A:$A,InterfaceRegister!M:M)</f>
        <v/>
      </c>
      <c r="AH312" t="str">
        <f>_xlfn.XLOOKUP($A312,InterfaceRegister!$A:$A,InterfaceRegister!O:O)</f>
        <v/>
      </c>
      <c r="AI312" t="str">
        <f>_xlfn.XLOOKUP($A312,InterfaceRegister!$A:$A,InterfaceRegister!N:N)</f>
        <v/>
      </c>
      <c r="AJ312" t="str">
        <f>_xlfn.XLOOKUP($A312,'EA-Fortescue_SDExport'!$A:$A,'EA-Fortescue_SDExport'!AX:AX)</f>
        <v>CSV86528D49</v>
      </c>
      <c r="AK312">
        <f>_xlfn.XLOOKUP($A312,'EA-Fortescue_SDExport'!$A:$A,'EA-Fortescue_SDExport'!AY:AY)</f>
        <v>0</v>
      </c>
    </row>
    <row r="313" spans="1:37" x14ac:dyDescent="0.25">
      <c r="A313" t="str">
        <v>DGS-I_0312</v>
      </c>
      <c r="B313" t="str">
        <f>_xlfn.XLOOKUP($A313,'EA-Fortescue_SDExport'!$A:$A,'EA-Fortescue_SDExport'!B:B)</f>
        <v>Class</v>
      </c>
      <c r="C313" t="str">
        <f>_xlfn.XLOOKUP($A313,'EA-Fortescue_SDExport'!$A:$A,'EA-Fortescue_SDExport'!C:C)</f>
        <v>{7B0EA603-4161-4ae2-B000-43963CEE8F49}</v>
      </c>
      <c r="D313" t="str">
        <f>_xlfn.LET(_xlpm.result, _xlfn.XLOOKUP($A313, InterfaceRegister!$A:$A, InterfaceRegister!P:P), IF(_xlpm.result=0, "", _xlpm.result))</f>
        <v/>
      </c>
      <c r="E313">
        <f>_xlfn.XLOOKUP($A313,'EA-Fortescue_SDExport'!$A:$A,'EA-Fortescue_SDExport'!E:E)</f>
        <v>1</v>
      </c>
      <c r="F313">
        <f>_xlfn.XLOOKUP($A313,'EA-Fortescue_SDExport'!$A:$A,'EA-Fortescue_SDExport'!F:F)</f>
        <v>1</v>
      </c>
      <c r="G313">
        <f>_xlfn.XLOOKUP($A313,'EA-Fortescue_SDExport'!$A:$A,'EA-Fortescue_SDExport'!G:G)</f>
        <v>0</v>
      </c>
      <c r="H313" t="str">
        <f>_xlfn.XLOOKUP($A313,'EA-Fortescue_SDExport'!$A:$A,'EA-Fortescue_SDExport'!H:H)</f>
        <v>InterfaceBlock</v>
      </c>
      <c r="I313" t="str">
        <f>_xlfn.XLOOKUP($A313,'EA-Fortescue_SDExport'!$A:$A,'EA-Fortescue_SDExport'!I:I)</f>
        <v>SysML1.4::InterfaceBlock</v>
      </c>
      <c r="J313" t="str">
        <f>_xlfn.XLOOKUP($A313,'EA-Fortescue_SDExport'!$A:$A,'EA-Fortescue_SDExport'!J:J)</f>
        <v>Java</v>
      </c>
      <c r="K313" t="str">
        <f>_xlfn.XLOOKUP($A313,'EA-Fortescue_SDExport'!$A:$A,'EA-Fortescue_SDExport'!K:K)</f>
        <v>Admin</v>
      </c>
      <c r="L313" t="str">
        <f>_xlfn.XLOOKUP($A313,'EA-Fortescue_SDExport'!$A:$A,'EA-Fortescue_SDExport'!L:L)</f>
        <v>Public</v>
      </c>
      <c r="M313">
        <f>_xlfn.XLOOKUP($A313,'EA-Fortescue_SDExport'!$A:$A,'EA-Fortescue_SDExport'!M:M)</f>
        <v>0</v>
      </c>
      <c r="N313" t="str">
        <f>_xlfn.XLOOKUP($A313,InterfaceRegister!$A:$A,InterfaceRegister!K:K)</f>
        <v>Proposed</v>
      </c>
      <c r="O313">
        <f>_xlfn.XLOOKUP($A313,'EA-Fortescue_SDExport'!$A:$A,'EA-Fortescue_SDExport'!O:O)</f>
        <v>1</v>
      </c>
      <c r="P313">
        <f>_xlfn.XLOOKUP($A313,'EA-Fortescue_SDExport'!$A:$A,'EA-Fortescue_SDExport'!P:P)</f>
        <v>0</v>
      </c>
      <c r="Q313">
        <f>_xlfn.XLOOKUP($A313,'EA-Fortescue_SDExport'!$A:$A,'EA-Fortescue_SDExport'!Q:Q)</f>
        <v>0</v>
      </c>
      <c r="R313">
        <f>_xlfn.XLOOKUP($A313,'EA-Fortescue_SDExport'!$A:$A,'EA-Fortescue_SDExport'!R:R)</f>
        <v>0</v>
      </c>
      <c r="S313">
        <f>_xlfn.XLOOKUP($A313,'EA-Fortescue_SDExport'!$A:$A,'EA-Fortescue_SDExport'!S:S)</f>
        <v>0</v>
      </c>
      <c r="T313">
        <f>_xlfn.XLOOKUP($A313,'EA-Fortescue_SDExport'!$A:$A,'EA-Fortescue_SDExport'!T:T)</f>
        <v>0</v>
      </c>
      <c r="U313">
        <f>_xlfn.XLOOKUP($A313,'EA-Fortescue_SDExport'!$A:$A,'EA-Fortescue_SDExport'!U:U)</f>
        <v>45975.130925925929</v>
      </c>
      <c r="V313">
        <f>_xlfn.XLOOKUP($A313,'EA-Fortescue_SDExport'!$A:$A,'EA-Fortescue_SDExport'!V:V)</f>
        <v>46002.004988425928</v>
      </c>
      <c r="W313">
        <f>_xlfn.XLOOKUP($A313,'EA-Fortescue_SDExport'!$A:$A,'EA-Fortescue_SDExport'!W:W)</f>
        <v>0</v>
      </c>
      <c r="X313">
        <f>_xlfn.XLOOKUP($A313,'EA-Fortescue_SDExport'!$A:$A,'EA-Fortescue_SDExport'!X:X)</f>
        <v>0</v>
      </c>
      <c r="Y313">
        <f>_xlfn.XLOOKUP($A313,'EA-Fortescue_SDExport'!$A:$A,'EA-Fortescue_SDExport'!Y:Y)</f>
        <v>0</v>
      </c>
      <c r="Z313" t="str">
        <f>_xlfn.XLOOKUP($A313,'EA-Fortescue_SDExport'!$A:$A,'EA-Fortescue_SDExport'!Z:Z)</f>
        <v>SysML1.4::InterfaceBlock</v>
      </c>
      <c r="AA313" t="str">
        <f>_xlfn.XLOOKUP($A313,InterfaceRegister!$A:$A,InterfaceRegister!B:B)</f>
        <v>HV Transmission lines PEC # [CCK - BDN]|Bonney Downs: Substation (220kV)</v>
      </c>
      <c r="AB313" t="str">
        <f>_xlfn.XLOOKUP($A313,InterfaceRegister!$A:$A,InterfaceRegister!C:C)</f>
        <v/>
      </c>
      <c r="AC313" t="str">
        <f>_xlfn.XLOOKUP($A313,InterfaceRegister!$A:$A,InterfaceRegister!D:D)</f>
        <v/>
      </c>
      <c r="AD313" t="str">
        <f>_xlfn.XLOOKUP($A313,InterfaceRegister!$A:$A,InterfaceRegister!E:E)</f>
        <v>System - Project Interface</v>
      </c>
      <c r="AE313" t="str">
        <f>_xlfn.XLOOKUP($A313,InterfaceRegister!$A:$A,InterfaceRegister!F:F)</f>
        <v/>
      </c>
      <c r="AF313" t="str">
        <f>_xlfn.XLOOKUP($A313,InterfaceRegister!$A:$A,InterfaceRegister!L:L)</f>
        <v/>
      </c>
      <c r="AG313" t="str">
        <f>_xlfn.XLOOKUP($A313,InterfaceRegister!$A:$A,InterfaceRegister!M:M)</f>
        <v/>
      </c>
      <c r="AH313" t="str">
        <f>_xlfn.XLOOKUP($A313,InterfaceRegister!$A:$A,InterfaceRegister!O:O)</f>
        <v/>
      </c>
      <c r="AI313" t="str">
        <f>_xlfn.XLOOKUP($A313,InterfaceRegister!$A:$A,InterfaceRegister!N:N)</f>
        <v/>
      </c>
      <c r="AJ313" t="str">
        <f>_xlfn.XLOOKUP($A313,'EA-Fortescue_SDExport'!$A:$A,'EA-Fortescue_SDExport'!AX:AX)</f>
        <v>CSV1D08D642</v>
      </c>
      <c r="AK313">
        <f>_xlfn.XLOOKUP($A313,'EA-Fortescue_SDExport'!$A:$A,'EA-Fortescue_SDExport'!AY:AY)</f>
        <v>0</v>
      </c>
    </row>
    <row r="314" spans="1:37" x14ac:dyDescent="0.25">
      <c r="A314" t="str">
        <v>DGS-I_0313</v>
      </c>
      <c r="B314" t="str">
        <f>_xlfn.XLOOKUP($A314,'EA-Fortescue_SDExport'!$A:$A,'EA-Fortescue_SDExport'!B:B)</f>
        <v>Class</v>
      </c>
      <c r="C314" t="str">
        <f>_xlfn.XLOOKUP($A314,'EA-Fortescue_SDExport'!$A:$A,'EA-Fortescue_SDExport'!C:C)</f>
        <v>{FC68A966-BBC0-417a-92BB-723046A29337}</v>
      </c>
      <c r="D314" t="str">
        <f>_xlfn.LET(_xlpm.result, _xlfn.XLOOKUP($A314, InterfaceRegister!$A:$A, InterfaceRegister!P:P), IF(_xlpm.result=0, "", _xlpm.result))</f>
        <v/>
      </c>
      <c r="E314">
        <f>_xlfn.XLOOKUP($A314,'EA-Fortescue_SDExport'!$A:$A,'EA-Fortescue_SDExport'!E:E)</f>
        <v>1</v>
      </c>
      <c r="F314">
        <f>_xlfn.XLOOKUP($A314,'EA-Fortescue_SDExport'!$A:$A,'EA-Fortescue_SDExport'!F:F)</f>
        <v>1</v>
      </c>
      <c r="G314">
        <f>_xlfn.XLOOKUP($A314,'EA-Fortescue_SDExport'!$A:$A,'EA-Fortescue_SDExport'!G:G)</f>
        <v>0</v>
      </c>
      <c r="H314" t="str">
        <f>_xlfn.XLOOKUP($A314,'EA-Fortescue_SDExport'!$A:$A,'EA-Fortescue_SDExport'!H:H)</f>
        <v>InterfaceBlock</v>
      </c>
      <c r="I314" t="str">
        <f>_xlfn.XLOOKUP($A314,'EA-Fortescue_SDExport'!$A:$A,'EA-Fortescue_SDExport'!I:I)</f>
        <v>SysML1.4::InterfaceBlock</v>
      </c>
      <c r="J314" t="str">
        <f>_xlfn.XLOOKUP($A314,'EA-Fortescue_SDExport'!$A:$A,'EA-Fortescue_SDExport'!J:J)</f>
        <v>Java</v>
      </c>
      <c r="K314" t="str">
        <f>_xlfn.XLOOKUP($A314,'EA-Fortescue_SDExport'!$A:$A,'EA-Fortescue_SDExport'!K:K)</f>
        <v>Admin</v>
      </c>
      <c r="L314" t="str">
        <f>_xlfn.XLOOKUP($A314,'EA-Fortescue_SDExport'!$A:$A,'EA-Fortescue_SDExport'!L:L)</f>
        <v>Public</v>
      </c>
      <c r="M314">
        <f>_xlfn.XLOOKUP($A314,'EA-Fortescue_SDExport'!$A:$A,'EA-Fortescue_SDExport'!M:M)</f>
        <v>0</v>
      </c>
      <c r="N314" t="str">
        <f>_xlfn.XLOOKUP($A314,InterfaceRegister!$A:$A,InterfaceRegister!K:K)</f>
        <v>Proposed</v>
      </c>
      <c r="O314">
        <f>_xlfn.XLOOKUP($A314,'EA-Fortescue_SDExport'!$A:$A,'EA-Fortescue_SDExport'!O:O)</f>
        <v>1</v>
      </c>
      <c r="P314">
        <f>_xlfn.XLOOKUP($A314,'EA-Fortescue_SDExport'!$A:$A,'EA-Fortescue_SDExport'!P:P)</f>
        <v>0</v>
      </c>
      <c r="Q314">
        <f>_xlfn.XLOOKUP($A314,'EA-Fortescue_SDExport'!$A:$A,'EA-Fortescue_SDExport'!Q:Q)</f>
        <v>0</v>
      </c>
      <c r="R314">
        <f>_xlfn.XLOOKUP($A314,'EA-Fortescue_SDExport'!$A:$A,'EA-Fortescue_SDExport'!R:R)</f>
        <v>0</v>
      </c>
      <c r="S314">
        <f>_xlfn.XLOOKUP($A314,'EA-Fortescue_SDExport'!$A:$A,'EA-Fortescue_SDExport'!S:S)</f>
        <v>0</v>
      </c>
      <c r="T314">
        <f>_xlfn.XLOOKUP($A314,'EA-Fortescue_SDExport'!$A:$A,'EA-Fortescue_SDExport'!T:T)</f>
        <v>0</v>
      </c>
      <c r="U314">
        <f>_xlfn.XLOOKUP($A314,'EA-Fortescue_SDExport'!$A:$A,'EA-Fortescue_SDExport'!U:U)</f>
        <v>45975.130949074075</v>
      </c>
      <c r="V314">
        <f>_xlfn.XLOOKUP($A314,'EA-Fortescue_SDExport'!$A:$A,'EA-Fortescue_SDExport'!V:V)</f>
        <v>46002.004976851851</v>
      </c>
      <c r="W314">
        <f>_xlfn.XLOOKUP($A314,'EA-Fortescue_SDExport'!$A:$A,'EA-Fortescue_SDExport'!W:W)</f>
        <v>0</v>
      </c>
      <c r="X314">
        <f>_xlfn.XLOOKUP($A314,'EA-Fortescue_SDExport'!$A:$A,'EA-Fortescue_SDExport'!X:X)</f>
        <v>0</v>
      </c>
      <c r="Y314">
        <f>_xlfn.XLOOKUP($A314,'EA-Fortescue_SDExport'!$A:$A,'EA-Fortescue_SDExport'!Y:Y)</f>
        <v>0</v>
      </c>
      <c r="Z314" t="str">
        <f>_xlfn.XLOOKUP($A314,'EA-Fortescue_SDExport'!$A:$A,'EA-Fortescue_SDExport'!Z:Z)</f>
        <v>SysML1.4::InterfaceBlock</v>
      </c>
      <c r="AA314" t="str">
        <f>_xlfn.XLOOKUP($A314,InterfaceRegister!$A:$A,InterfaceRegister!B:B)</f>
        <v>HV Transmission lines PEC # [NYD - CLB]|Cloudbreak Mine: Substation (220kV)</v>
      </c>
      <c r="AB314" t="str">
        <f>_xlfn.XLOOKUP($A314,InterfaceRegister!$A:$A,InterfaceRegister!C:C)</f>
        <v/>
      </c>
      <c r="AC314" t="str">
        <f>_xlfn.XLOOKUP($A314,InterfaceRegister!$A:$A,InterfaceRegister!D:D)</f>
        <v/>
      </c>
      <c r="AD314" t="str">
        <f>_xlfn.XLOOKUP($A314,InterfaceRegister!$A:$A,InterfaceRegister!E:E)</f>
        <v>System - Project Interface</v>
      </c>
      <c r="AE314" t="str">
        <f>_xlfn.XLOOKUP($A314,InterfaceRegister!$A:$A,InterfaceRegister!F:F)</f>
        <v/>
      </c>
      <c r="AF314" t="str">
        <f>_xlfn.XLOOKUP($A314,InterfaceRegister!$A:$A,InterfaceRegister!L:L)</f>
        <v/>
      </c>
      <c r="AG314" t="str">
        <f>_xlfn.XLOOKUP($A314,InterfaceRegister!$A:$A,InterfaceRegister!M:M)</f>
        <v/>
      </c>
      <c r="AH314" t="str">
        <f>_xlfn.XLOOKUP($A314,InterfaceRegister!$A:$A,InterfaceRegister!O:O)</f>
        <v/>
      </c>
      <c r="AI314" t="str">
        <f>_xlfn.XLOOKUP($A314,InterfaceRegister!$A:$A,InterfaceRegister!N:N)</f>
        <v/>
      </c>
      <c r="AJ314" t="str">
        <f>_xlfn.XLOOKUP($A314,'EA-Fortescue_SDExport'!$A:$A,'EA-Fortescue_SDExport'!AX:AX)</f>
        <v>CSV1865553E</v>
      </c>
      <c r="AK314">
        <f>_xlfn.XLOOKUP($A314,'EA-Fortescue_SDExport'!$A:$A,'EA-Fortescue_SDExport'!AY:AY)</f>
        <v>0</v>
      </c>
    </row>
    <row r="315" spans="1:37" x14ac:dyDescent="0.25">
      <c r="A315" t="str">
        <v>DGS-I_0314</v>
      </c>
      <c r="B315" t="str">
        <f>_xlfn.XLOOKUP($A315,'EA-Fortescue_SDExport'!$A:$A,'EA-Fortescue_SDExport'!B:B)</f>
        <v>Class</v>
      </c>
      <c r="C315" t="str">
        <f>_xlfn.XLOOKUP($A315,'EA-Fortescue_SDExport'!$A:$A,'EA-Fortescue_SDExport'!C:C)</f>
        <v>{F30610B3-DC54-4fe4-A907-2EB74AB3626B}</v>
      </c>
      <c r="D315" t="str">
        <f>_xlfn.LET(_xlpm.result, _xlfn.XLOOKUP($A315, InterfaceRegister!$A:$A, InterfaceRegister!P:P), IF(_xlpm.result=0, "", _xlpm.result))</f>
        <v/>
      </c>
      <c r="E315">
        <f>_xlfn.XLOOKUP($A315,'EA-Fortescue_SDExport'!$A:$A,'EA-Fortescue_SDExport'!E:E)</f>
        <v>1</v>
      </c>
      <c r="F315">
        <f>_xlfn.XLOOKUP($A315,'EA-Fortescue_SDExport'!$A:$A,'EA-Fortescue_SDExport'!F:F)</f>
        <v>1</v>
      </c>
      <c r="G315">
        <f>_xlfn.XLOOKUP($A315,'EA-Fortescue_SDExport'!$A:$A,'EA-Fortescue_SDExport'!G:G)</f>
        <v>0</v>
      </c>
      <c r="H315" t="str">
        <f>_xlfn.XLOOKUP($A315,'EA-Fortescue_SDExport'!$A:$A,'EA-Fortescue_SDExport'!H:H)</f>
        <v>InterfaceBlock</v>
      </c>
      <c r="I315" t="str">
        <f>_xlfn.XLOOKUP($A315,'EA-Fortescue_SDExport'!$A:$A,'EA-Fortescue_SDExport'!I:I)</f>
        <v>SysML1.4::InterfaceBlock</v>
      </c>
      <c r="J315" t="str">
        <f>_xlfn.XLOOKUP($A315,'EA-Fortescue_SDExport'!$A:$A,'EA-Fortescue_SDExport'!J:J)</f>
        <v>Java</v>
      </c>
      <c r="K315" t="str">
        <f>_xlfn.XLOOKUP($A315,'EA-Fortescue_SDExport'!$A:$A,'EA-Fortescue_SDExport'!K:K)</f>
        <v>Admin</v>
      </c>
      <c r="L315" t="str">
        <f>_xlfn.XLOOKUP($A315,'EA-Fortescue_SDExport'!$A:$A,'EA-Fortescue_SDExport'!L:L)</f>
        <v>Public</v>
      </c>
      <c r="M315">
        <f>_xlfn.XLOOKUP($A315,'EA-Fortescue_SDExport'!$A:$A,'EA-Fortescue_SDExport'!M:M)</f>
        <v>0</v>
      </c>
      <c r="N315" t="str">
        <f>_xlfn.XLOOKUP($A315,InterfaceRegister!$A:$A,InterfaceRegister!K:K)</f>
        <v>Proposed</v>
      </c>
      <c r="O315">
        <f>_xlfn.XLOOKUP($A315,'EA-Fortescue_SDExport'!$A:$A,'EA-Fortescue_SDExport'!O:O)</f>
        <v>1</v>
      </c>
      <c r="P315">
        <f>_xlfn.XLOOKUP($A315,'EA-Fortescue_SDExport'!$A:$A,'EA-Fortescue_SDExport'!P:P)</f>
        <v>0</v>
      </c>
      <c r="Q315">
        <f>_xlfn.XLOOKUP($A315,'EA-Fortescue_SDExport'!$A:$A,'EA-Fortescue_SDExport'!Q:Q)</f>
        <v>0</v>
      </c>
      <c r="R315">
        <f>_xlfn.XLOOKUP($A315,'EA-Fortescue_SDExport'!$A:$A,'EA-Fortescue_SDExport'!R:R)</f>
        <v>0</v>
      </c>
      <c r="S315">
        <f>_xlfn.XLOOKUP($A315,'EA-Fortescue_SDExport'!$A:$A,'EA-Fortescue_SDExport'!S:S)</f>
        <v>0</v>
      </c>
      <c r="T315">
        <f>_xlfn.XLOOKUP($A315,'EA-Fortescue_SDExport'!$A:$A,'EA-Fortescue_SDExport'!T:T)</f>
        <v>0</v>
      </c>
      <c r="U315">
        <f>_xlfn.XLOOKUP($A315,'EA-Fortescue_SDExport'!$A:$A,'EA-Fortescue_SDExport'!U:U)</f>
        <v>45975.130960648145</v>
      </c>
      <c r="V315">
        <f>_xlfn.XLOOKUP($A315,'EA-Fortescue_SDExport'!$A:$A,'EA-Fortescue_SDExport'!V:V)</f>
        <v>46002.004965277774</v>
      </c>
      <c r="W315">
        <f>_xlfn.XLOOKUP($A315,'EA-Fortescue_SDExport'!$A:$A,'EA-Fortescue_SDExport'!W:W)</f>
        <v>0</v>
      </c>
      <c r="X315">
        <f>_xlfn.XLOOKUP($A315,'EA-Fortescue_SDExport'!$A:$A,'EA-Fortescue_SDExport'!X:X)</f>
        <v>0</v>
      </c>
      <c r="Y315">
        <f>_xlfn.XLOOKUP($A315,'EA-Fortescue_SDExport'!$A:$A,'EA-Fortescue_SDExport'!Y:Y)</f>
        <v>0</v>
      </c>
      <c r="Z315" t="str">
        <f>_xlfn.XLOOKUP($A315,'EA-Fortescue_SDExport'!$A:$A,'EA-Fortescue_SDExport'!Z:Z)</f>
        <v>SysML1.4::InterfaceBlock</v>
      </c>
      <c r="AA315" t="str">
        <f>_xlfn.XLOOKUP($A315,InterfaceRegister!$A:$A,InterfaceRegister!B:B)</f>
        <v>HV Transmission lines PEC # [NYD - CLB]|Nyidinghu Hub: Substation (33kV)</v>
      </c>
      <c r="AB315" t="str">
        <f>_xlfn.XLOOKUP($A315,InterfaceRegister!$A:$A,InterfaceRegister!C:C)</f>
        <v/>
      </c>
      <c r="AC315" t="str">
        <f>_xlfn.XLOOKUP($A315,InterfaceRegister!$A:$A,InterfaceRegister!D:D)</f>
        <v/>
      </c>
      <c r="AD315" t="str">
        <f>_xlfn.XLOOKUP($A315,InterfaceRegister!$A:$A,InterfaceRegister!E:E)</f>
        <v>System - Project Interface</v>
      </c>
      <c r="AE315" t="str">
        <f>_xlfn.XLOOKUP($A315,InterfaceRegister!$A:$A,InterfaceRegister!F:F)</f>
        <v/>
      </c>
      <c r="AF315" t="str">
        <f>_xlfn.XLOOKUP($A315,InterfaceRegister!$A:$A,InterfaceRegister!L:L)</f>
        <v/>
      </c>
      <c r="AG315" t="str">
        <f>_xlfn.XLOOKUP($A315,InterfaceRegister!$A:$A,InterfaceRegister!M:M)</f>
        <v/>
      </c>
      <c r="AH315" t="str">
        <f>_xlfn.XLOOKUP($A315,InterfaceRegister!$A:$A,InterfaceRegister!O:O)</f>
        <v/>
      </c>
      <c r="AI315" t="str">
        <f>_xlfn.XLOOKUP($A315,InterfaceRegister!$A:$A,InterfaceRegister!N:N)</f>
        <v/>
      </c>
      <c r="AJ315" t="str">
        <f>_xlfn.XLOOKUP($A315,'EA-Fortescue_SDExport'!$A:$A,'EA-Fortescue_SDExport'!AX:AX)</f>
        <v>CSVFAC3697F</v>
      </c>
      <c r="AK315">
        <f>_xlfn.XLOOKUP($A315,'EA-Fortescue_SDExport'!$A:$A,'EA-Fortescue_SDExport'!AY:AY)</f>
        <v>0</v>
      </c>
    </row>
    <row r="316" spans="1:37" x14ac:dyDescent="0.25">
      <c r="A316" t="str">
        <v>DGS-I_0315</v>
      </c>
      <c r="B316" t="str">
        <f>_xlfn.XLOOKUP($A316,'EA-Fortescue_SDExport'!$A:$A,'EA-Fortescue_SDExport'!B:B)</f>
        <v>Class</v>
      </c>
      <c r="C316" t="str">
        <f>_xlfn.XLOOKUP($A316,'EA-Fortescue_SDExport'!$A:$A,'EA-Fortescue_SDExport'!C:C)</f>
        <v>{97FB9251-3146-639F-8823-7913ECC0D6D9}</v>
      </c>
      <c r="D316" t="str">
        <f>_xlfn.LET(_xlpm.result, _xlfn.XLOOKUP($A316, InterfaceRegister!$A:$A, InterfaceRegister!P:P), IF(_xlpm.result=0, "", _xlpm.result))</f>
        <v/>
      </c>
      <c r="E316">
        <f>_xlfn.XLOOKUP($A316,'EA-Fortescue_SDExport'!$A:$A,'EA-Fortescue_SDExport'!E:E)</f>
        <v>1</v>
      </c>
      <c r="F316">
        <f>_xlfn.XLOOKUP($A316,'EA-Fortescue_SDExport'!$A:$A,'EA-Fortescue_SDExport'!F:F)</f>
        <v>1</v>
      </c>
      <c r="G316">
        <f>_xlfn.XLOOKUP($A316,'EA-Fortescue_SDExport'!$A:$A,'EA-Fortescue_SDExport'!G:G)</f>
        <v>0</v>
      </c>
      <c r="H316" t="str">
        <f>_xlfn.XLOOKUP($A316,'EA-Fortescue_SDExport'!$A:$A,'EA-Fortescue_SDExport'!H:H)</f>
        <v>InterfaceBlock</v>
      </c>
      <c r="I316" t="str">
        <f>_xlfn.XLOOKUP($A316,'EA-Fortescue_SDExport'!$A:$A,'EA-Fortescue_SDExport'!I:I)</f>
        <v>SysML1.4::InterfaceBlock</v>
      </c>
      <c r="J316" t="str">
        <f>_xlfn.XLOOKUP($A316,'EA-Fortescue_SDExport'!$A:$A,'EA-Fortescue_SDExport'!J:J)</f>
        <v>Java</v>
      </c>
      <c r="K316" t="str">
        <f>_xlfn.XLOOKUP($A316,'EA-Fortescue_SDExport'!$A:$A,'EA-Fortescue_SDExport'!K:K)</f>
        <v>Admin</v>
      </c>
      <c r="L316" t="str">
        <f>_xlfn.XLOOKUP($A316,'EA-Fortescue_SDExport'!$A:$A,'EA-Fortescue_SDExport'!L:L)</f>
        <v>Public</v>
      </c>
      <c r="M316">
        <f>_xlfn.XLOOKUP($A316,'EA-Fortescue_SDExport'!$A:$A,'EA-Fortescue_SDExport'!M:M)</f>
        <v>0</v>
      </c>
      <c r="N316" t="str">
        <f>_xlfn.XLOOKUP($A316,InterfaceRegister!$A:$A,InterfaceRegister!K:K)</f>
        <v>Proposed</v>
      </c>
      <c r="O316">
        <f>_xlfn.XLOOKUP($A316,'EA-Fortescue_SDExport'!$A:$A,'EA-Fortescue_SDExport'!O:O)</f>
        <v>1</v>
      </c>
      <c r="P316">
        <f>_xlfn.XLOOKUP($A316,'EA-Fortescue_SDExport'!$A:$A,'EA-Fortescue_SDExport'!P:P)</f>
        <v>0</v>
      </c>
      <c r="Q316">
        <f>_xlfn.XLOOKUP($A316,'EA-Fortescue_SDExport'!$A:$A,'EA-Fortescue_SDExport'!Q:Q)</f>
        <v>0</v>
      </c>
      <c r="R316">
        <f>_xlfn.XLOOKUP($A316,'EA-Fortescue_SDExport'!$A:$A,'EA-Fortescue_SDExport'!R:R)</f>
        <v>0</v>
      </c>
      <c r="S316">
        <f>_xlfn.XLOOKUP($A316,'EA-Fortescue_SDExport'!$A:$A,'EA-Fortescue_SDExport'!S:S)</f>
        <v>0</v>
      </c>
      <c r="T316">
        <f>_xlfn.XLOOKUP($A316,'EA-Fortescue_SDExport'!$A:$A,'EA-Fortescue_SDExport'!T:T)</f>
        <v>0</v>
      </c>
      <c r="U316">
        <f>_xlfn.XLOOKUP($A316,'EA-Fortescue_SDExport'!$A:$A,'EA-Fortescue_SDExport'!U:U)</f>
        <v>45980.632962962962</v>
      </c>
      <c r="V316">
        <f>_xlfn.XLOOKUP($A316,'EA-Fortescue_SDExport'!$A:$A,'EA-Fortescue_SDExport'!V:V)</f>
        <v>46002.004988425928</v>
      </c>
      <c r="W316">
        <f>_xlfn.XLOOKUP($A316,'EA-Fortescue_SDExport'!$A:$A,'EA-Fortescue_SDExport'!W:W)</f>
        <v>0</v>
      </c>
      <c r="X316">
        <f>_xlfn.XLOOKUP($A316,'EA-Fortescue_SDExport'!$A:$A,'EA-Fortescue_SDExport'!X:X)</f>
        <v>0</v>
      </c>
      <c r="Y316">
        <f>_xlfn.XLOOKUP($A316,'EA-Fortescue_SDExport'!$A:$A,'EA-Fortescue_SDExport'!Y:Y)</f>
        <v>0</v>
      </c>
      <c r="Z316" t="str">
        <f>_xlfn.XLOOKUP($A316,'EA-Fortescue_SDExport'!$A:$A,'EA-Fortescue_SDExport'!Z:Z)</f>
        <v>SysML1.4::InterfaceBlock</v>
      </c>
      <c r="AA316" t="str">
        <f>_xlfn.XLOOKUP($A316,InterfaceRegister!$A:$A,InterfaceRegister!B:B)</f>
        <v>855DC-1543-008 Monarch|Eliwana Mine: Substation (33kV)</v>
      </c>
      <c r="AB316" t="str">
        <f>_xlfn.XLOOKUP($A316,InterfaceRegister!$A:$A,InterfaceRegister!C:C)</f>
        <v/>
      </c>
      <c r="AC316" t="str">
        <f>_xlfn.XLOOKUP($A316,InterfaceRegister!$A:$A,InterfaceRegister!D:D)</f>
        <v/>
      </c>
      <c r="AD316" t="str">
        <f>_xlfn.XLOOKUP($A316,InterfaceRegister!$A:$A,InterfaceRegister!E:E)</f>
        <v>Project - Project Interface</v>
      </c>
      <c r="AE316" t="str">
        <f>_xlfn.XLOOKUP($A316,InterfaceRegister!$A:$A,InterfaceRegister!F:F)</f>
        <v/>
      </c>
      <c r="AF316" t="str">
        <f>_xlfn.XLOOKUP($A316,InterfaceRegister!$A:$A,InterfaceRegister!L:L)</f>
        <v/>
      </c>
      <c r="AG316" t="str">
        <f>_xlfn.XLOOKUP($A316,InterfaceRegister!$A:$A,InterfaceRegister!M:M)</f>
        <v/>
      </c>
      <c r="AH316" t="str">
        <f>_xlfn.XLOOKUP($A316,InterfaceRegister!$A:$A,InterfaceRegister!O:O)</f>
        <v/>
      </c>
      <c r="AI316" t="str">
        <f>_xlfn.XLOOKUP($A316,InterfaceRegister!$A:$A,InterfaceRegister!N:N)</f>
        <v/>
      </c>
      <c r="AJ316" t="str">
        <f>_xlfn.XLOOKUP($A316,'EA-Fortescue_SDExport'!$A:$A,'EA-Fortescue_SDExport'!AX:AX)</f>
        <v>CSVAE95EDF0</v>
      </c>
      <c r="AK316">
        <f>_xlfn.XLOOKUP($A316,'EA-Fortescue_SDExport'!$A:$A,'EA-Fortescue_SDExport'!AY:AY)</f>
        <v>0</v>
      </c>
    </row>
    <row r="317" spans="1:37" x14ac:dyDescent="0.25">
      <c r="A317" t="str">
        <v>DGS-I_0316</v>
      </c>
      <c r="B317" t="str">
        <f>_xlfn.XLOOKUP($A317,'EA-Fortescue_SDExport'!$A:$A,'EA-Fortescue_SDExport'!B:B)</f>
        <v>Class</v>
      </c>
      <c r="C317" t="str">
        <f>_xlfn.XLOOKUP($A317,'EA-Fortescue_SDExport'!$A:$A,'EA-Fortescue_SDExport'!C:C)</f>
        <v>{CDF3A366-896B-4ab0-BCAC-EF76A2E5E7EB}</v>
      </c>
      <c r="D317" t="str">
        <f>_xlfn.LET(_xlpm.result, _xlfn.XLOOKUP($A317, InterfaceRegister!$A:$A, InterfaceRegister!P:P), IF(_xlpm.result=0, "", _xlpm.result))</f>
        <v/>
      </c>
      <c r="E317">
        <f>_xlfn.XLOOKUP($A317,'EA-Fortescue_SDExport'!$A:$A,'EA-Fortescue_SDExport'!E:E)</f>
        <v>1</v>
      </c>
      <c r="F317">
        <f>_xlfn.XLOOKUP($A317,'EA-Fortescue_SDExport'!$A:$A,'EA-Fortescue_SDExport'!F:F)</f>
        <v>1</v>
      </c>
      <c r="G317">
        <f>_xlfn.XLOOKUP($A317,'EA-Fortescue_SDExport'!$A:$A,'EA-Fortescue_SDExport'!G:G)</f>
        <v>0</v>
      </c>
      <c r="H317" t="str">
        <f>_xlfn.XLOOKUP($A317,'EA-Fortescue_SDExport'!$A:$A,'EA-Fortescue_SDExport'!H:H)</f>
        <v>InterfaceBlock</v>
      </c>
      <c r="I317" t="str">
        <f>_xlfn.XLOOKUP($A317,'EA-Fortescue_SDExport'!$A:$A,'EA-Fortescue_SDExport'!I:I)</f>
        <v>SysML1.4::InterfaceBlock</v>
      </c>
      <c r="J317" t="str">
        <f>_xlfn.XLOOKUP($A317,'EA-Fortescue_SDExport'!$A:$A,'EA-Fortescue_SDExport'!J:J)</f>
        <v>Java</v>
      </c>
      <c r="K317" t="str">
        <f>_xlfn.XLOOKUP($A317,'EA-Fortescue_SDExport'!$A:$A,'EA-Fortescue_SDExport'!K:K)</f>
        <v>Admin</v>
      </c>
      <c r="L317" t="str">
        <f>_xlfn.XLOOKUP($A317,'EA-Fortescue_SDExport'!$A:$A,'EA-Fortescue_SDExport'!L:L)</f>
        <v>Public</v>
      </c>
      <c r="M317">
        <f>_xlfn.XLOOKUP($A317,'EA-Fortescue_SDExport'!$A:$A,'EA-Fortescue_SDExport'!M:M)</f>
        <v>0</v>
      </c>
      <c r="N317" t="str">
        <f>_xlfn.XLOOKUP($A317,InterfaceRegister!$A:$A,InterfaceRegister!K:K)</f>
        <v>Proposed</v>
      </c>
      <c r="O317">
        <f>_xlfn.XLOOKUP($A317,'EA-Fortescue_SDExport'!$A:$A,'EA-Fortescue_SDExport'!O:O)</f>
        <v>1</v>
      </c>
      <c r="P317">
        <f>_xlfn.XLOOKUP($A317,'EA-Fortescue_SDExport'!$A:$A,'EA-Fortescue_SDExport'!P:P)</f>
        <v>0</v>
      </c>
      <c r="Q317">
        <f>_xlfn.XLOOKUP($A317,'EA-Fortescue_SDExport'!$A:$A,'EA-Fortescue_SDExport'!Q:Q)</f>
        <v>0</v>
      </c>
      <c r="R317">
        <f>_xlfn.XLOOKUP($A317,'EA-Fortescue_SDExport'!$A:$A,'EA-Fortescue_SDExport'!R:R)</f>
        <v>0</v>
      </c>
      <c r="S317">
        <f>_xlfn.XLOOKUP($A317,'EA-Fortescue_SDExport'!$A:$A,'EA-Fortescue_SDExport'!S:S)</f>
        <v>0</v>
      </c>
      <c r="T317">
        <f>_xlfn.XLOOKUP($A317,'EA-Fortescue_SDExport'!$A:$A,'EA-Fortescue_SDExport'!T:T)</f>
        <v>0</v>
      </c>
      <c r="U317">
        <f>_xlfn.XLOOKUP($A317,'EA-Fortescue_SDExport'!$A:$A,'EA-Fortescue_SDExport'!U:U)</f>
        <v>45979.743321759262</v>
      </c>
      <c r="V317">
        <f>_xlfn.XLOOKUP($A317,'EA-Fortescue_SDExport'!$A:$A,'EA-Fortescue_SDExport'!V:V)</f>
        <v>46002.004965277774</v>
      </c>
      <c r="W317">
        <f>_xlfn.XLOOKUP($A317,'EA-Fortescue_SDExport'!$A:$A,'EA-Fortescue_SDExport'!W:W)</f>
        <v>0</v>
      </c>
      <c r="X317">
        <f>_xlfn.XLOOKUP($A317,'EA-Fortescue_SDExport'!$A:$A,'EA-Fortescue_SDExport'!X:X)</f>
        <v>0</v>
      </c>
      <c r="Y317">
        <f>_xlfn.XLOOKUP($A317,'EA-Fortescue_SDExport'!$A:$A,'EA-Fortescue_SDExport'!Y:Y)</f>
        <v>0</v>
      </c>
      <c r="Z317" t="str">
        <f>_xlfn.XLOOKUP($A317,'EA-Fortescue_SDExport'!$A:$A,'EA-Fortescue_SDExport'!Z:Z)</f>
        <v>SysML1.4::InterfaceBlock</v>
      </c>
      <c r="AA317" t="str">
        <f>_xlfn.XLOOKUP($A317,InterfaceRegister!$A:$A,InterfaceRegister!B:B)</f>
        <v>855DC-1543-008 Monarch|Flying Fish Mine: Substation (33kV)</v>
      </c>
      <c r="AB317" t="str">
        <f>_xlfn.XLOOKUP($A317,InterfaceRegister!$A:$A,InterfaceRegister!C:C)</f>
        <v/>
      </c>
      <c r="AC317" t="str">
        <f>_xlfn.XLOOKUP($A317,InterfaceRegister!$A:$A,InterfaceRegister!D:D)</f>
        <v/>
      </c>
      <c r="AD317" t="str">
        <f>_xlfn.XLOOKUP($A317,InterfaceRegister!$A:$A,InterfaceRegister!E:E)</f>
        <v>Project - Project Interface</v>
      </c>
      <c r="AE317" t="str">
        <f>_xlfn.XLOOKUP($A317,InterfaceRegister!$A:$A,InterfaceRegister!F:F)</f>
        <v/>
      </c>
      <c r="AF317" t="str">
        <f>_xlfn.XLOOKUP($A317,InterfaceRegister!$A:$A,InterfaceRegister!L:L)</f>
        <v/>
      </c>
      <c r="AG317" t="str">
        <f>_xlfn.XLOOKUP($A317,InterfaceRegister!$A:$A,InterfaceRegister!M:M)</f>
        <v/>
      </c>
      <c r="AH317" t="str">
        <f>_xlfn.XLOOKUP($A317,InterfaceRegister!$A:$A,InterfaceRegister!O:O)</f>
        <v/>
      </c>
      <c r="AI317" t="str">
        <f>_xlfn.XLOOKUP($A317,InterfaceRegister!$A:$A,InterfaceRegister!N:N)</f>
        <v/>
      </c>
      <c r="AJ317" t="str">
        <f>_xlfn.XLOOKUP($A317,'EA-Fortescue_SDExport'!$A:$A,'EA-Fortescue_SDExport'!AX:AX)</f>
        <v>CSV2668037F</v>
      </c>
      <c r="AK317">
        <f>_xlfn.XLOOKUP($A317,'EA-Fortescue_SDExport'!$A:$A,'EA-Fortescue_SDExport'!AY:AY)</f>
        <v>0</v>
      </c>
    </row>
    <row r="318" spans="1:37" x14ac:dyDescent="0.25">
      <c r="A318" t="str">
        <v>DGS-I_0317</v>
      </c>
      <c r="B318" t="str">
        <f>_xlfn.XLOOKUP($A318,'EA-Fortescue_SDExport'!$A:$A,'EA-Fortescue_SDExport'!B:B)</f>
        <v>Class</v>
      </c>
      <c r="C318" t="str">
        <f>_xlfn.XLOOKUP($A318,'EA-Fortescue_SDExport'!$A:$A,'EA-Fortescue_SDExport'!C:C)</f>
        <v>{DCB02BF2-536A-4492-8D93-239E4F196C1F}</v>
      </c>
      <c r="D318" t="str">
        <f>_xlfn.LET(_xlpm.result, _xlfn.XLOOKUP($A318,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318">
        <f>_xlfn.XLOOKUP($A318,'EA-Fortescue_SDExport'!$A:$A,'EA-Fortescue_SDExport'!E:E)</f>
        <v>1</v>
      </c>
      <c r="F318">
        <f>_xlfn.XLOOKUP($A318,'EA-Fortescue_SDExport'!$A:$A,'EA-Fortescue_SDExport'!F:F)</f>
        <v>1</v>
      </c>
      <c r="G318">
        <f>_xlfn.XLOOKUP($A318,'EA-Fortescue_SDExport'!$A:$A,'EA-Fortescue_SDExport'!G:G)</f>
        <v>0</v>
      </c>
      <c r="H318" t="str">
        <f>_xlfn.XLOOKUP($A318,'EA-Fortescue_SDExport'!$A:$A,'EA-Fortescue_SDExport'!H:H)</f>
        <v>InterfaceBlock</v>
      </c>
      <c r="I318" t="str">
        <f>_xlfn.XLOOKUP($A318,'EA-Fortescue_SDExport'!$A:$A,'EA-Fortescue_SDExport'!I:I)</f>
        <v>SysML1.4::InterfaceBlock</v>
      </c>
      <c r="J318" t="str">
        <f>_xlfn.XLOOKUP($A318,'EA-Fortescue_SDExport'!$A:$A,'EA-Fortescue_SDExport'!J:J)</f>
        <v>Java</v>
      </c>
      <c r="K318" t="str">
        <f>_xlfn.XLOOKUP($A318,'EA-Fortescue_SDExport'!$A:$A,'EA-Fortescue_SDExport'!K:K)</f>
        <v>Admin</v>
      </c>
      <c r="L318" t="str">
        <f>_xlfn.XLOOKUP($A318,'EA-Fortescue_SDExport'!$A:$A,'EA-Fortescue_SDExport'!L:L)</f>
        <v>Public</v>
      </c>
      <c r="M318">
        <f>_xlfn.XLOOKUP($A318,'EA-Fortescue_SDExport'!$A:$A,'EA-Fortescue_SDExport'!M:M)</f>
        <v>0</v>
      </c>
      <c r="N318" t="str">
        <f>_xlfn.XLOOKUP($A318,InterfaceRegister!$A:$A,InterfaceRegister!K:K)</f>
        <v>Proposed</v>
      </c>
      <c r="O318">
        <f>_xlfn.XLOOKUP($A318,'EA-Fortescue_SDExport'!$A:$A,'EA-Fortescue_SDExport'!O:O)</f>
        <v>1</v>
      </c>
      <c r="P318">
        <f>_xlfn.XLOOKUP($A318,'EA-Fortescue_SDExport'!$A:$A,'EA-Fortescue_SDExport'!P:P)</f>
        <v>0</v>
      </c>
      <c r="Q318">
        <f>_xlfn.XLOOKUP($A318,'EA-Fortescue_SDExport'!$A:$A,'EA-Fortescue_SDExport'!Q:Q)</f>
        <v>0</v>
      </c>
      <c r="R318">
        <f>_xlfn.XLOOKUP($A318,'EA-Fortescue_SDExport'!$A:$A,'EA-Fortescue_SDExport'!R:R)</f>
        <v>0</v>
      </c>
      <c r="S318">
        <f>_xlfn.XLOOKUP($A318,'EA-Fortescue_SDExport'!$A:$A,'EA-Fortescue_SDExport'!S:S)</f>
        <v>0</v>
      </c>
      <c r="T318">
        <f>_xlfn.XLOOKUP($A318,'EA-Fortescue_SDExport'!$A:$A,'EA-Fortescue_SDExport'!T:T)</f>
        <v>0</v>
      </c>
      <c r="U318">
        <f>_xlfn.XLOOKUP($A318,'EA-Fortescue_SDExport'!$A:$A,'EA-Fortescue_SDExport'!U:U)</f>
        <v>45896.794675925928</v>
      </c>
      <c r="V318">
        <f>_xlfn.XLOOKUP($A318,'EA-Fortescue_SDExport'!$A:$A,'EA-Fortescue_SDExport'!V:V)</f>
        <v>46050.684050925927</v>
      </c>
      <c r="W318">
        <f>_xlfn.XLOOKUP($A318,'EA-Fortescue_SDExport'!$A:$A,'EA-Fortescue_SDExport'!W:W)</f>
        <v>0</v>
      </c>
      <c r="X318">
        <f>_xlfn.XLOOKUP($A318,'EA-Fortescue_SDExport'!$A:$A,'EA-Fortescue_SDExport'!X:X)</f>
        <v>0</v>
      </c>
      <c r="Y318">
        <f>_xlfn.XLOOKUP($A318,'EA-Fortescue_SDExport'!$A:$A,'EA-Fortescue_SDExport'!Y:Y)</f>
        <v>0</v>
      </c>
      <c r="Z318" t="str">
        <f>_xlfn.XLOOKUP($A318,'EA-Fortescue_SDExport'!$A:$A,'EA-Fortescue_SDExport'!Z:Z)</f>
        <v>SysML1.4::InterfaceBlock</v>
      </c>
      <c r="AA318" t="str">
        <f>_xlfn.XLOOKUP($A318,InterfaceRegister!$A:$A,InterfaceRegister!B:B)</f>
        <v>Decarbonisation Site Infrastructure Projects|855DC-1543-PPC Pit Power Capacity Planning Tool - Capacity Check</v>
      </c>
      <c r="AB318" t="str">
        <f>_xlfn.XLOOKUP($A318,InterfaceRegister!$A:$A,InterfaceRegister!C:C)</f>
        <v/>
      </c>
      <c r="AC318" t="str">
        <f>_xlfn.XLOOKUP($A318,InterfaceRegister!$A:$A,InterfaceRegister!D:D)</f>
        <v/>
      </c>
      <c r="AD318" t="str">
        <f>_xlfn.XLOOKUP($A318,InterfaceRegister!$A:$A,InterfaceRegister!E:E)</f>
        <v>Stakeholder - Project Interface</v>
      </c>
      <c r="AE318" t="str">
        <f>_xlfn.XLOOKUP($A318,InterfaceRegister!$A:$A,InterfaceRegister!F:F)</f>
        <v/>
      </c>
      <c r="AF318" t="str">
        <f>_xlfn.XLOOKUP($A318,InterfaceRegister!$A:$A,InterfaceRegister!L:L)</f>
        <v/>
      </c>
      <c r="AG318" t="str">
        <f>_xlfn.XLOOKUP($A318,InterfaceRegister!$A:$A,InterfaceRegister!M:M)</f>
        <v/>
      </c>
      <c r="AH318" t="str">
        <f>_xlfn.XLOOKUP($A318,InterfaceRegister!$A:$A,InterfaceRegister!O:O)</f>
        <v/>
      </c>
      <c r="AI318" t="str">
        <f>_xlfn.XLOOKUP($A318,InterfaceRegister!$A:$A,InterfaceRegister!N:N)</f>
        <v/>
      </c>
      <c r="AJ318" t="str">
        <f>_xlfn.XLOOKUP($A318,'EA-Fortescue_SDExport'!$A:$A,'EA-Fortescue_SDExport'!AX:AX)</f>
        <v>CSVD584F922</v>
      </c>
      <c r="AK318">
        <f>_xlfn.XLOOKUP($A318,'EA-Fortescue_SDExport'!$A:$A,'EA-Fortescue_SDExport'!AY:AY)</f>
        <v>0</v>
      </c>
    </row>
    <row r="319" spans="1:37" x14ac:dyDescent="0.25">
      <c r="A319" t="str">
        <v>DGS-I_0318</v>
      </c>
      <c r="B319" t="str">
        <f>_xlfn.XLOOKUP($A319,'EA-Fortescue_SDExport'!$A:$A,'EA-Fortescue_SDExport'!B:B)</f>
        <v>Class</v>
      </c>
      <c r="C319" t="str">
        <f>_xlfn.XLOOKUP($A319,'EA-Fortescue_SDExport'!$A:$A,'EA-Fortescue_SDExport'!C:C)</f>
        <v>{5F3F4DC5-2D0D-48b4-9C26-A266CB88F00B}</v>
      </c>
      <c r="D319" t="str">
        <f>_xlfn.LET(_xlpm.result, _xlfn.XLOOKUP($A319,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319">
        <f>_xlfn.XLOOKUP($A319,'EA-Fortescue_SDExport'!$A:$A,'EA-Fortescue_SDExport'!E:E)</f>
        <v>1</v>
      </c>
      <c r="F319">
        <f>_xlfn.XLOOKUP($A319,'EA-Fortescue_SDExport'!$A:$A,'EA-Fortescue_SDExport'!F:F)</f>
        <v>1</v>
      </c>
      <c r="G319">
        <f>_xlfn.XLOOKUP($A319,'EA-Fortescue_SDExport'!$A:$A,'EA-Fortescue_SDExport'!G:G)</f>
        <v>0</v>
      </c>
      <c r="H319" t="str">
        <f>_xlfn.XLOOKUP($A319,'EA-Fortescue_SDExport'!$A:$A,'EA-Fortescue_SDExport'!H:H)</f>
        <v>InterfaceBlock</v>
      </c>
      <c r="I319" t="str">
        <f>_xlfn.XLOOKUP($A319,'EA-Fortescue_SDExport'!$A:$A,'EA-Fortescue_SDExport'!I:I)</f>
        <v>SysML1.4::InterfaceBlock</v>
      </c>
      <c r="J319" t="str">
        <f>_xlfn.XLOOKUP($A319,'EA-Fortescue_SDExport'!$A:$A,'EA-Fortescue_SDExport'!J:J)</f>
        <v>Java</v>
      </c>
      <c r="K319" t="str">
        <f>_xlfn.XLOOKUP($A319,'EA-Fortescue_SDExport'!$A:$A,'EA-Fortescue_SDExport'!K:K)</f>
        <v>Admin</v>
      </c>
      <c r="L319" t="str">
        <f>_xlfn.XLOOKUP($A319,'EA-Fortescue_SDExport'!$A:$A,'EA-Fortescue_SDExport'!L:L)</f>
        <v>Public</v>
      </c>
      <c r="M319">
        <f>_xlfn.XLOOKUP($A319,'EA-Fortescue_SDExport'!$A:$A,'EA-Fortescue_SDExport'!M:M)</f>
        <v>0</v>
      </c>
      <c r="N319" t="str">
        <f>_xlfn.XLOOKUP($A319,InterfaceRegister!$A:$A,InterfaceRegister!K:K)</f>
        <v>Proposed</v>
      </c>
      <c r="O319">
        <f>_xlfn.XLOOKUP($A319,'EA-Fortescue_SDExport'!$A:$A,'EA-Fortescue_SDExport'!O:O)</f>
        <v>1</v>
      </c>
      <c r="P319">
        <f>_xlfn.XLOOKUP($A319,'EA-Fortescue_SDExport'!$A:$A,'EA-Fortescue_SDExport'!P:P)</f>
        <v>0</v>
      </c>
      <c r="Q319">
        <f>_xlfn.XLOOKUP($A319,'EA-Fortescue_SDExport'!$A:$A,'EA-Fortescue_SDExport'!Q:Q)</f>
        <v>0</v>
      </c>
      <c r="R319">
        <f>_xlfn.XLOOKUP($A319,'EA-Fortescue_SDExport'!$A:$A,'EA-Fortescue_SDExport'!R:R)</f>
        <v>0</v>
      </c>
      <c r="S319">
        <f>_xlfn.XLOOKUP($A319,'EA-Fortescue_SDExport'!$A:$A,'EA-Fortescue_SDExport'!S:S)</f>
        <v>0</v>
      </c>
      <c r="T319">
        <f>_xlfn.XLOOKUP($A319,'EA-Fortescue_SDExport'!$A:$A,'EA-Fortescue_SDExport'!T:T)</f>
        <v>0</v>
      </c>
      <c r="U319">
        <f>_xlfn.XLOOKUP($A319,'EA-Fortescue_SDExport'!$A:$A,'EA-Fortescue_SDExport'!U:U)</f>
        <v>45896.794571759259</v>
      </c>
      <c r="V319">
        <f>_xlfn.XLOOKUP($A319,'EA-Fortescue_SDExport'!$A:$A,'EA-Fortescue_SDExport'!V:V)</f>
        <v>46050.675868055558</v>
      </c>
      <c r="W319">
        <f>_xlfn.XLOOKUP($A319,'EA-Fortescue_SDExport'!$A:$A,'EA-Fortescue_SDExport'!W:W)</f>
        <v>0</v>
      </c>
      <c r="X319">
        <f>_xlfn.XLOOKUP($A319,'EA-Fortescue_SDExport'!$A:$A,'EA-Fortescue_SDExport'!X:X)</f>
        <v>0</v>
      </c>
      <c r="Y319">
        <f>_xlfn.XLOOKUP($A319,'EA-Fortescue_SDExport'!$A:$A,'EA-Fortescue_SDExport'!Y:Y)</f>
        <v>0</v>
      </c>
      <c r="Z319" t="str">
        <f>_xlfn.XLOOKUP($A319,'EA-Fortescue_SDExport'!$A:$A,'EA-Fortescue_SDExport'!Z:Z)</f>
        <v>SysML1.4::InterfaceBlock</v>
      </c>
      <c r="AA319" t="str">
        <f>_xlfn.XLOOKUP($A319,InterfaceRegister!$A:$A,InterfaceRegister!B:B)</f>
        <v>Decarbonisation Delivery|855DC-1543-PPC Pit Power Capacity Planning Tool - Capacity Check</v>
      </c>
      <c r="AB319" t="str">
        <f>_xlfn.XLOOKUP($A319,InterfaceRegister!$A:$A,InterfaceRegister!C:C)</f>
        <v/>
      </c>
      <c r="AC319" t="str">
        <f>_xlfn.XLOOKUP($A319,InterfaceRegister!$A:$A,InterfaceRegister!D:D)</f>
        <v/>
      </c>
      <c r="AD319" t="str">
        <f>_xlfn.XLOOKUP($A319,InterfaceRegister!$A:$A,InterfaceRegister!E:E)</f>
        <v>Stakeholder - Project Interface</v>
      </c>
      <c r="AE319" t="str">
        <f>_xlfn.XLOOKUP($A319,InterfaceRegister!$A:$A,InterfaceRegister!F:F)</f>
        <v/>
      </c>
      <c r="AF319" t="str">
        <f>_xlfn.XLOOKUP($A319,InterfaceRegister!$A:$A,InterfaceRegister!L:L)</f>
        <v/>
      </c>
      <c r="AG319" t="str">
        <f>_xlfn.XLOOKUP($A319,InterfaceRegister!$A:$A,InterfaceRegister!M:M)</f>
        <v/>
      </c>
      <c r="AH319" t="str">
        <f>_xlfn.XLOOKUP($A319,InterfaceRegister!$A:$A,InterfaceRegister!O:O)</f>
        <v/>
      </c>
      <c r="AI319" t="str">
        <f>_xlfn.XLOOKUP($A319,InterfaceRegister!$A:$A,InterfaceRegister!N:N)</f>
        <v/>
      </c>
      <c r="AJ319" t="str">
        <f>_xlfn.XLOOKUP($A319,'EA-Fortescue_SDExport'!$A:$A,'EA-Fortescue_SDExport'!AX:AX)</f>
        <v>CSVD2655A69</v>
      </c>
      <c r="AK319">
        <f>_xlfn.XLOOKUP($A319,'EA-Fortescue_SDExport'!$A:$A,'EA-Fortescue_SDExport'!AY:AY)</f>
        <v>0</v>
      </c>
    </row>
    <row r="320" spans="1:37" x14ac:dyDescent="0.25">
      <c r="A320" t="str">
        <v>DGS-I_0319</v>
      </c>
      <c r="B320" t="str">
        <f>_xlfn.XLOOKUP($A320,'EA-Fortescue_SDExport'!$A:$A,'EA-Fortescue_SDExport'!B:B)</f>
        <v>Class</v>
      </c>
      <c r="C320" t="str">
        <f>_xlfn.XLOOKUP($A320,'EA-Fortescue_SDExport'!$A:$A,'EA-Fortescue_SDExport'!C:C)</f>
        <v>{85EBDC88-043D-47a2-B048-0E1E41DC4015}</v>
      </c>
      <c r="D320" t="str">
        <f>_xlfn.LET(_xlpm.result, _xlfn.XLOOKUP($A320,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320">
        <f>_xlfn.XLOOKUP($A320,'EA-Fortescue_SDExport'!$A:$A,'EA-Fortescue_SDExport'!E:E)</f>
        <v>1</v>
      </c>
      <c r="F320">
        <f>_xlfn.XLOOKUP($A320,'EA-Fortescue_SDExport'!$A:$A,'EA-Fortescue_SDExport'!F:F)</f>
        <v>1</v>
      </c>
      <c r="G320">
        <f>_xlfn.XLOOKUP($A320,'EA-Fortescue_SDExport'!$A:$A,'EA-Fortescue_SDExport'!G:G)</f>
        <v>0</v>
      </c>
      <c r="H320" t="str">
        <f>_xlfn.XLOOKUP($A320,'EA-Fortescue_SDExport'!$A:$A,'EA-Fortescue_SDExport'!H:H)</f>
        <v>InterfaceBlock</v>
      </c>
      <c r="I320" t="str">
        <f>_xlfn.XLOOKUP($A320,'EA-Fortescue_SDExport'!$A:$A,'EA-Fortescue_SDExport'!I:I)</f>
        <v>SysML1.4::InterfaceBlock</v>
      </c>
      <c r="J320" t="str">
        <f>_xlfn.XLOOKUP($A320,'EA-Fortescue_SDExport'!$A:$A,'EA-Fortescue_SDExport'!J:J)</f>
        <v>Java</v>
      </c>
      <c r="K320" t="str">
        <f>_xlfn.XLOOKUP($A320,'EA-Fortescue_SDExport'!$A:$A,'EA-Fortescue_SDExport'!K:K)</f>
        <v>Admin</v>
      </c>
      <c r="L320" t="str">
        <f>_xlfn.XLOOKUP($A320,'EA-Fortescue_SDExport'!$A:$A,'EA-Fortescue_SDExport'!L:L)</f>
        <v>Public</v>
      </c>
      <c r="M320">
        <f>_xlfn.XLOOKUP($A320,'EA-Fortescue_SDExport'!$A:$A,'EA-Fortescue_SDExport'!M:M)</f>
        <v>0</v>
      </c>
      <c r="N320" t="str">
        <f>_xlfn.XLOOKUP($A320,InterfaceRegister!$A:$A,InterfaceRegister!K:K)</f>
        <v>Proposed</v>
      </c>
      <c r="O320">
        <f>_xlfn.XLOOKUP($A320,'EA-Fortescue_SDExport'!$A:$A,'EA-Fortescue_SDExport'!O:O)</f>
        <v>1</v>
      </c>
      <c r="P320">
        <f>_xlfn.XLOOKUP($A320,'EA-Fortescue_SDExport'!$A:$A,'EA-Fortescue_SDExport'!P:P)</f>
        <v>0</v>
      </c>
      <c r="Q320">
        <f>_xlfn.XLOOKUP($A320,'EA-Fortescue_SDExport'!$A:$A,'EA-Fortescue_SDExport'!Q:Q)</f>
        <v>0</v>
      </c>
      <c r="R320">
        <f>_xlfn.XLOOKUP($A320,'EA-Fortescue_SDExport'!$A:$A,'EA-Fortescue_SDExport'!R:R)</f>
        <v>0</v>
      </c>
      <c r="S320">
        <f>_xlfn.XLOOKUP($A320,'EA-Fortescue_SDExport'!$A:$A,'EA-Fortescue_SDExport'!S:S)</f>
        <v>0</v>
      </c>
      <c r="T320">
        <f>_xlfn.XLOOKUP($A320,'EA-Fortescue_SDExport'!$A:$A,'EA-Fortescue_SDExport'!T:T)</f>
        <v>0</v>
      </c>
      <c r="U320">
        <f>_xlfn.XLOOKUP($A320,'EA-Fortescue_SDExport'!$A:$A,'EA-Fortescue_SDExport'!U:U)</f>
        <v>45978.850694444445</v>
      </c>
      <c r="V320">
        <f>_xlfn.XLOOKUP($A320,'EA-Fortescue_SDExport'!$A:$A,'EA-Fortescue_SDExport'!V:V)</f>
        <v>46050.664756944447</v>
      </c>
      <c r="W320">
        <f>_xlfn.XLOOKUP($A320,'EA-Fortescue_SDExport'!$A:$A,'EA-Fortescue_SDExport'!W:W)</f>
        <v>0</v>
      </c>
      <c r="X320">
        <f>_xlfn.XLOOKUP($A320,'EA-Fortescue_SDExport'!$A:$A,'EA-Fortescue_SDExport'!X:X)</f>
        <v>0</v>
      </c>
      <c r="Y320">
        <f>_xlfn.XLOOKUP($A320,'EA-Fortescue_SDExport'!$A:$A,'EA-Fortescue_SDExport'!Y:Y)</f>
        <v>0</v>
      </c>
      <c r="Z320" t="str">
        <f>_xlfn.XLOOKUP($A320,'EA-Fortescue_SDExport'!$A:$A,'EA-Fortescue_SDExport'!Z:Z)</f>
        <v>SysML1.4::InterfaceBlock</v>
      </c>
      <c r="AA320" t="str">
        <f>_xlfn.XLOOKUP($A320,InterfaceRegister!$A:$A,InterfaceRegister!B:B)</f>
        <v>855DC-1541-PPC Pit Power Capacity Planning Tool - Design Optimisation|Decarbonisation Delivery</v>
      </c>
      <c r="AB320" t="str">
        <f>_xlfn.XLOOKUP($A320,InterfaceRegister!$A:$A,InterfaceRegister!C:C)</f>
        <v/>
      </c>
      <c r="AC320" t="str">
        <f>_xlfn.XLOOKUP($A320,InterfaceRegister!$A:$A,InterfaceRegister!D:D)</f>
        <v/>
      </c>
      <c r="AD320" t="str">
        <f>_xlfn.XLOOKUP($A320,InterfaceRegister!$A:$A,InterfaceRegister!E:E)</f>
        <v>Stakeholder - Project Interface</v>
      </c>
      <c r="AE320" t="str">
        <f>_xlfn.XLOOKUP($A320,InterfaceRegister!$A:$A,InterfaceRegister!F:F)</f>
        <v/>
      </c>
      <c r="AF320" t="str">
        <f>_xlfn.XLOOKUP($A320,InterfaceRegister!$A:$A,InterfaceRegister!L:L)</f>
        <v/>
      </c>
      <c r="AG320" t="str">
        <f>_xlfn.XLOOKUP($A320,InterfaceRegister!$A:$A,InterfaceRegister!M:M)</f>
        <v/>
      </c>
      <c r="AH320" t="str">
        <f>_xlfn.XLOOKUP($A320,InterfaceRegister!$A:$A,InterfaceRegister!O:O)</f>
        <v/>
      </c>
      <c r="AI320" t="str">
        <f>_xlfn.XLOOKUP($A320,InterfaceRegister!$A:$A,InterfaceRegister!N:N)</f>
        <v/>
      </c>
      <c r="AJ320" t="str">
        <f>_xlfn.XLOOKUP($A320,'EA-Fortescue_SDExport'!$A:$A,'EA-Fortescue_SDExport'!AX:AX)</f>
        <v>CSVD8568A3B</v>
      </c>
      <c r="AK320">
        <f>_xlfn.XLOOKUP($A320,'EA-Fortescue_SDExport'!$A:$A,'EA-Fortescue_SDExport'!AY:AY)</f>
        <v>0</v>
      </c>
    </row>
    <row r="321" spans="1:37" x14ac:dyDescent="0.25">
      <c r="A321" t="str">
        <v>DGS-I_0320</v>
      </c>
      <c r="B321" t="str">
        <f>_xlfn.XLOOKUP($A321,'EA-Fortescue_SDExport'!$A:$A,'EA-Fortescue_SDExport'!B:B)</f>
        <v>Class</v>
      </c>
      <c r="C321" t="str">
        <f>_xlfn.XLOOKUP($A321,'EA-Fortescue_SDExport'!$A:$A,'EA-Fortescue_SDExport'!C:C)</f>
        <v>{14AF8345-CC15-4998-BEB8-D20E9DCCFC02}</v>
      </c>
      <c r="D321" t="str">
        <f>_xlfn.LET(_xlpm.result, _xlfn.XLOOKUP($A321,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321">
        <f>_xlfn.XLOOKUP($A321,'EA-Fortescue_SDExport'!$A:$A,'EA-Fortescue_SDExport'!E:E)</f>
        <v>1</v>
      </c>
      <c r="F321">
        <f>_xlfn.XLOOKUP($A321,'EA-Fortescue_SDExport'!$A:$A,'EA-Fortescue_SDExport'!F:F)</f>
        <v>1</v>
      </c>
      <c r="G321">
        <f>_xlfn.XLOOKUP($A321,'EA-Fortescue_SDExport'!$A:$A,'EA-Fortescue_SDExport'!G:G)</f>
        <v>0</v>
      </c>
      <c r="H321" t="str">
        <f>_xlfn.XLOOKUP($A321,'EA-Fortescue_SDExport'!$A:$A,'EA-Fortescue_SDExport'!H:H)</f>
        <v>InterfaceBlock</v>
      </c>
      <c r="I321" t="str">
        <f>_xlfn.XLOOKUP($A321,'EA-Fortescue_SDExport'!$A:$A,'EA-Fortescue_SDExport'!I:I)</f>
        <v>SysML1.4::InterfaceBlock</v>
      </c>
      <c r="J321" t="str">
        <f>_xlfn.XLOOKUP($A321,'EA-Fortescue_SDExport'!$A:$A,'EA-Fortescue_SDExport'!J:J)</f>
        <v>Java</v>
      </c>
      <c r="K321" t="str">
        <f>_xlfn.XLOOKUP($A321,'EA-Fortescue_SDExport'!$A:$A,'EA-Fortescue_SDExport'!K:K)</f>
        <v>Admin</v>
      </c>
      <c r="L321" t="str">
        <f>_xlfn.XLOOKUP($A321,'EA-Fortescue_SDExport'!$A:$A,'EA-Fortescue_SDExport'!L:L)</f>
        <v>Public</v>
      </c>
      <c r="M321">
        <f>_xlfn.XLOOKUP($A321,'EA-Fortescue_SDExport'!$A:$A,'EA-Fortescue_SDExport'!M:M)</f>
        <v>0</v>
      </c>
      <c r="N321" t="str">
        <f>_xlfn.XLOOKUP($A321,InterfaceRegister!$A:$A,InterfaceRegister!K:K)</f>
        <v>Proposed</v>
      </c>
      <c r="O321">
        <f>_xlfn.XLOOKUP($A321,'EA-Fortescue_SDExport'!$A:$A,'EA-Fortescue_SDExport'!O:O)</f>
        <v>1</v>
      </c>
      <c r="P321">
        <f>_xlfn.XLOOKUP($A321,'EA-Fortescue_SDExport'!$A:$A,'EA-Fortescue_SDExport'!P:P)</f>
        <v>0</v>
      </c>
      <c r="Q321">
        <f>_xlfn.XLOOKUP($A321,'EA-Fortescue_SDExport'!$A:$A,'EA-Fortescue_SDExport'!Q:Q)</f>
        <v>0</v>
      </c>
      <c r="R321">
        <f>_xlfn.XLOOKUP($A321,'EA-Fortescue_SDExport'!$A:$A,'EA-Fortescue_SDExport'!R:R)</f>
        <v>0</v>
      </c>
      <c r="S321">
        <f>_xlfn.XLOOKUP($A321,'EA-Fortescue_SDExport'!$A:$A,'EA-Fortescue_SDExport'!S:S)</f>
        <v>0</v>
      </c>
      <c r="T321">
        <f>_xlfn.XLOOKUP($A321,'EA-Fortescue_SDExport'!$A:$A,'EA-Fortescue_SDExport'!T:T)</f>
        <v>0</v>
      </c>
      <c r="U321">
        <f>_xlfn.XLOOKUP($A321,'EA-Fortescue_SDExport'!$A:$A,'EA-Fortescue_SDExport'!U:U)</f>
        <v>45978.853506944448</v>
      </c>
      <c r="V321">
        <f>_xlfn.XLOOKUP($A321,'EA-Fortescue_SDExport'!$A:$A,'EA-Fortescue_SDExport'!V:V)</f>
        <v>46050.664907407408</v>
      </c>
      <c r="W321">
        <f>_xlfn.XLOOKUP($A321,'EA-Fortescue_SDExport'!$A:$A,'EA-Fortescue_SDExport'!W:W)</f>
        <v>0</v>
      </c>
      <c r="X321">
        <f>_xlfn.XLOOKUP($A321,'EA-Fortescue_SDExport'!$A:$A,'EA-Fortescue_SDExport'!X:X)</f>
        <v>0</v>
      </c>
      <c r="Y321">
        <f>_xlfn.XLOOKUP($A321,'EA-Fortescue_SDExport'!$A:$A,'EA-Fortescue_SDExport'!Y:Y)</f>
        <v>0</v>
      </c>
      <c r="Z321" t="str">
        <f>_xlfn.XLOOKUP($A321,'EA-Fortescue_SDExport'!$A:$A,'EA-Fortescue_SDExport'!Z:Z)</f>
        <v>SysML1.4::InterfaceBlock</v>
      </c>
      <c r="AA321" t="str">
        <f>_xlfn.XLOOKUP($A321,InterfaceRegister!$A:$A,InterfaceRegister!B:B)</f>
        <v>855DC-1541-PPC Pit Power Capacity Planning Tool - Design Optimisation|Decarbonisation Site Infrastructure Projects</v>
      </c>
      <c r="AB321" t="str">
        <f>_xlfn.XLOOKUP($A321,InterfaceRegister!$A:$A,InterfaceRegister!C:C)</f>
        <v/>
      </c>
      <c r="AC321" t="str">
        <f>_xlfn.XLOOKUP($A321,InterfaceRegister!$A:$A,InterfaceRegister!D:D)</f>
        <v/>
      </c>
      <c r="AD321" t="str">
        <f>_xlfn.XLOOKUP($A321,InterfaceRegister!$A:$A,InterfaceRegister!E:E)</f>
        <v>Stakeholder - Project Interface</v>
      </c>
      <c r="AE321" t="str">
        <f>_xlfn.XLOOKUP($A321,InterfaceRegister!$A:$A,InterfaceRegister!F:F)</f>
        <v/>
      </c>
      <c r="AF321" t="str">
        <f>_xlfn.XLOOKUP($A321,InterfaceRegister!$A:$A,InterfaceRegister!L:L)</f>
        <v/>
      </c>
      <c r="AG321" t="str">
        <f>_xlfn.XLOOKUP($A321,InterfaceRegister!$A:$A,InterfaceRegister!M:M)</f>
        <v/>
      </c>
      <c r="AH321" t="str">
        <f>_xlfn.XLOOKUP($A321,InterfaceRegister!$A:$A,InterfaceRegister!O:O)</f>
        <v/>
      </c>
      <c r="AI321" t="str">
        <f>_xlfn.XLOOKUP($A321,InterfaceRegister!$A:$A,InterfaceRegister!N:N)</f>
        <v/>
      </c>
      <c r="AJ321" t="str">
        <f>_xlfn.XLOOKUP($A321,'EA-Fortescue_SDExport'!$A:$A,'EA-Fortescue_SDExport'!AX:AX)</f>
        <v>CSVDB4960A1</v>
      </c>
      <c r="AK321">
        <f>_xlfn.XLOOKUP($A321,'EA-Fortescue_SDExport'!$A:$A,'EA-Fortescue_SDExport'!AY:AY)</f>
        <v>0</v>
      </c>
    </row>
    <row r="322" spans="1:37" x14ac:dyDescent="0.25">
      <c r="A322" t="str">
        <v>DGS-I_0321</v>
      </c>
      <c r="B322" t="str">
        <f>_xlfn.XLOOKUP($A322,'EA-Fortescue_SDExport'!$A:$A,'EA-Fortescue_SDExport'!B:B)</f>
        <v>Class</v>
      </c>
      <c r="C322" t="str">
        <f>_xlfn.XLOOKUP($A322,'EA-Fortescue_SDExport'!$A:$A,'EA-Fortescue_SDExport'!C:C)</f>
        <v>{A9A2C758-9329-4930-9BF8-01227720A733}</v>
      </c>
      <c r="D322" t="str">
        <f>_xlfn.LET(_xlpm.result, _xlfn.XLOOKUP($A322, InterfaceRegister!$A:$A, InterfaceRegister!P:P), IF(_xlpm.result=0, "", _xlpm.result))</f>
        <v>NH 20/02/2026: Fields updated: Interface Type, Interface Flow.</v>
      </c>
      <c r="E322">
        <f>_xlfn.XLOOKUP($A322,'EA-Fortescue_SDExport'!$A:$A,'EA-Fortescue_SDExport'!E:E)</f>
        <v>1</v>
      </c>
      <c r="F322">
        <f>_xlfn.XLOOKUP($A322,'EA-Fortescue_SDExport'!$A:$A,'EA-Fortescue_SDExport'!F:F)</f>
        <v>1</v>
      </c>
      <c r="G322">
        <f>_xlfn.XLOOKUP($A322,'EA-Fortescue_SDExport'!$A:$A,'EA-Fortescue_SDExport'!G:G)</f>
        <v>0</v>
      </c>
      <c r="H322" t="str">
        <f>_xlfn.XLOOKUP($A322,'EA-Fortescue_SDExport'!$A:$A,'EA-Fortescue_SDExport'!H:H)</f>
        <v>InterfaceBlock</v>
      </c>
      <c r="I322" t="str">
        <f>_xlfn.XLOOKUP($A322,'EA-Fortescue_SDExport'!$A:$A,'EA-Fortescue_SDExport'!I:I)</f>
        <v>SysML1.4::InterfaceBlock</v>
      </c>
      <c r="J322" t="str">
        <f>_xlfn.XLOOKUP($A322,'EA-Fortescue_SDExport'!$A:$A,'EA-Fortescue_SDExport'!J:J)</f>
        <v>Java</v>
      </c>
      <c r="K322" t="str">
        <f>_xlfn.XLOOKUP($A322,'EA-Fortescue_SDExport'!$A:$A,'EA-Fortescue_SDExport'!K:K)</f>
        <v>Admin</v>
      </c>
      <c r="L322" t="str">
        <f>_xlfn.XLOOKUP($A322,'EA-Fortescue_SDExport'!$A:$A,'EA-Fortescue_SDExport'!L:L)</f>
        <v>Public</v>
      </c>
      <c r="M322">
        <f>_xlfn.XLOOKUP($A322,'EA-Fortescue_SDExport'!$A:$A,'EA-Fortescue_SDExport'!M:M)</f>
        <v>0</v>
      </c>
      <c r="N322" t="str">
        <f>_xlfn.XLOOKUP($A322,InterfaceRegister!$A:$A,InterfaceRegister!K:K)</f>
        <v>Proposed</v>
      </c>
      <c r="O322">
        <f>_xlfn.XLOOKUP($A322,'EA-Fortescue_SDExport'!$A:$A,'EA-Fortescue_SDExport'!O:O)</f>
        <v>1</v>
      </c>
      <c r="P322">
        <f>_xlfn.XLOOKUP($A322,'EA-Fortescue_SDExport'!$A:$A,'EA-Fortescue_SDExport'!P:P)</f>
        <v>0</v>
      </c>
      <c r="Q322">
        <f>_xlfn.XLOOKUP($A322,'EA-Fortescue_SDExport'!$A:$A,'EA-Fortescue_SDExport'!Q:Q)</f>
        <v>0</v>
      </c>
      <c r="R322">
        <f>_xlfn.XLOOKUP($A322,'EA-Fortescue_SDExport'!$A:$A,'EA-Fortescue_SDExport'!R:R)</f>
        <v>0</v>
      </c>
      <c r="S322">
        <f>_xlfn.XLOOKUP($A322,'EA-Fortescue_SDExport'!$A:$A,'EA-Fortescue_SDExport'!S:S)</f>
        <v>0</v>
      </c>
      <c r="T322">
        <f>_xlfn.XLOOKUP($A322,'EA-Fortescue_SDExport'!$A:$A,'EA-Fortescue_SDExport'!T:T)</f>
        <v>0</v>
      </c>
      <c r="U322">
        <f>_xlfn.XLOOKUP($A322,'EA-Fortescue_SDExport'!$A:$A,'EA-Fortescue_SDExport'!U:U)</f>
        <v>45895.913310185184</v>
      </c>
      <c r="V322">
        <f>_xlfn.XLOOKUP($A322,'EA-Fortescue_SDExport'!$A:$A,'EA-Fortescue_SDExport'!V:V)</f>
        <v>46077.99322916667</v>
      </c>
      <c r="W322">
        <f>_xlfn.XLOOKUP($A322,'EA-Fortescue_SDExport'!$A:$A,'EA-Fortescue_SDExport'!W:W)</f>
        <v>0</v>
      </c>
      <c r="X322">
        <f>_xlfn.XLOOKUP($A322,'EA-Fortescue_SDExport'!$A:$A,'EA-Fortescue_SDExport'!X:X)</f>
        <v>0</v>
      </c>
      <c r="Y322">
        <f>_xlfn.XLOOKUP($A322,'EA-Fortescue_SDExport'!$A:$A,'EA-Fortescue_SDExport'!Y:Y)</f>
        <v>0</v>
      </c>
      <c r="Z322" t="str">
        <f>_xlfn.XLOOKUP($A322,'EA-Fortescue_SDExport'!$A:$A,'EA-Fortescue_SDExport'!Z:Z)</f>
        <v>SysML1.4::InterfaceBlock</v>
      </c>
      <c r="AA322" t="str">
        <f>_xlfn.XLOOKUP($A322,InterfaceRegister!$A:$A,InterfaceRegister!B:B)</f>
        <v>859DC-1410-001 HaulX|Mining Operations</v>
      </c>
      <c r="AB322" t="str">
        <f>_xlfn.XLOOKUP($A322,InterfaceRegister!$A:$A,InterfaceRegister!C:C)</f>
        <v/>
      </c>
      <c r="AC322" t="str">
        <f>_xlfn.XLOOKUP($A322,InterfaceRegister!$A:$A,InterfaceRegister!D:D)</f>
        <v/>
      </c>
      <c r="AD322" t="str">
        <f>_xlfn.XLOOKUP($A322,InterfaceRegister!$A:$A,InterfaceRegister!E:E)</f>
        <v>Stakeholder - Project Interface</v>
      </c>
      <c r="AE322" t="str">
        <f>_xlfn.XLOOKUP($A322,InterfaceRegister!$A:$A,InterfaceRegister!F:F)</f>
        <v>Technical-Data/Software</v>
      </c>
      <c r="AF322" t="str">
        <f>_xlfn.XLOOKUP($A322,InterfaceRegister!$A:$A,InterfaceRegister!L:L)</f>
        <v>This interface provides Mining Operations with operational visibility, production insights, and real-time haulage status from HaulX so supervisors can coordinate dig, dump, and fleet priorities.</v>
      </c>
      <c r="AG322" t="str">
        <f>_xlfn.XLOOKUP($A322,InterfaceRegister!$A:$A,InterfaceRegister!M:M)</f>
        <v>MEDIUM</v>
      </c>
      <c r="AH322" t="str">
        <f>_xlfn.XLOOKUP($A322,InterfaceRegister!$A:$A,InterfaceRegister!O:O)</f>
        <v>Data Flow: HaulX -&gt; Mining Operations (real-time haulage status, fleet locations, truck assignments, cycle times, production metrics, priority updates, exceptions/alarms) to support supervisory coordination and decision-making.</v>
      </c>
      <c r="AI322" t="str">
        <f>_xlfn.XLOOKUP($A322,InterfaceRegister!$A:$A,InterfaceRegister!N:N)</f>
        <v>The criticality level is MEDIUM because, while the link is vital for efficient coordination, haulage can continue even if Mining Operations temporarily lose visibility. An outage affects decision-making speed and alignment with production goals, rather than safety or the continuous operation of the haul fleet.</v>
      </c>
      <c r="AJ322" t="str">
        <f>_xlfn.XLOOKUP($A322,'EA-Fortescue_SDExport'!$A:$A,'EA-Fortescue_SDExport'!AX:AX)</f>
        <v>CSVA2ED0456</v>
      </c>
      <c r="AK322">
        <f>_xlfn.XLOOKUP($A322,'EA-Fortescue_SDExport'!$A:$A,'EA-Fortescue_SDExport'!AY:AY)</f>
        <v>0</v>
      </c>
    </row>
    <row r="323" spans="1:37" x14ac:dyDescent="0.25">
      <c r="A323" t="str">
        <v>DGS-I_0322</v>
      </c>
      <c r="B323" t="str">
        <f>_xlfn.XLOOKUP($A323,'EA-Fortescue_SDExport'!$A:$A,'EA-Fortescue_SDExport'!B:B)</f>
        <v>Class</v>
      </c>
      <c r="C323" t="str">
        <f>_xlfn.XLOOKUP($A323,'EA-Fortescue_SDExport'!$A:$A,'EA-Fortescue_SDExport'!C:C)</f>
        <v>{2462E366-03B3-4d08-8DF7-E96C578F1C05}</v>
      </c>
      <c r="D323" t="str">
        <f>_xlfn.LET(_xlpm.result, _xlfn.XLOOKUP($A323, InterfaceRegister!$A:$A, InterfaceRegister!P:P), IF(_xlpm.result=0, "", _xlpm.result))</f>
        <v/>
      </c>
      <c r="E323">
        <f>_xlfn.XLOOKUP($A323,'EA-Fortescue_SDExport'!$A:$A,'EA-Fortescue_SDExport'!E:E)</f>
        <v>1</v>
      </c>
      <c r="F323">
        <f>_xlfn.XLOOKUP($A323,'EA-Fortescue_SDExport'!$A:$A,'EA-Fortescue_SDExport'!F:F)</f>
        <v>1</v>
      </c>
      <c r="G323">
        <f>_xlfn.XLOOKUP($A323,'EA-Fortescue_SDExport'!$A:$A,'EA-Fortescue_SDExport'!G:G)</f>
        <v>0</v>
      </c>
      <c r="H323" t="str">
        <f>_xlfn.XLOOKUP($A323,'EA-Fortescue_SDExport'!$A:$A,'EA-Fortescue_SDExport'!H:H)</f>
        <v>InterfaceBlock</v>
      </c>
      <c r="I323" t="str">
        <f>_xlfn.XLOOKUP($A323,'EA-Fortescue_SDExport'!$A:$A,'EA-Fortescue_SDExport'!I:I)</f>
        <v>SysML1.4::InterfaceBlock</v>
      </c>
      <c r="J323" t="str">
        <f>_xlfn.XLOOKUP($A323,'EA-Fortescue_SDExport'!$A:$A,'EA-Fortescue_SDExport'!J:J)</f>
        <v>Java</v>
      </c>
      <c r="K323" t="str">
        <f>_xlfn.XLOOKUP($A323,'EA-Fortescue_SDExport'!$A:$A,'EA-Fortescue_SDExport'!K:K)</f>
        <v>Admin</v>
      </c>
      <c r="L323" t="str">
        <f>_xlfn.XLOOKUP($A323,'EA-Fortescue_SDExport'!$A:$A,'EA-Fortescue_SDExport'!L:L)</f>
        <v>Public</v>
      </c>
      <c r="M323">
        <f>_xlfn.XLOOKUP($A323,'EA-Fortescue_SDExport'!$A:$A,'EA-Fortescue_SDExport'!M:M)</f>
        <v>0</v>
      </c>
      <c r="N323" t="str">
        <f>_xlfn.XLOOKUP($A323,InterfaceRegister!$A:$A,InterfaceRegister!K:K)</f>
        <v>Proposed</v>
      </c>
      <c r="O323">
        <f>_xlfn.XLOOKUP($A323,'EA-Fortescue_SDExport'!$A:$A,'EA-Fortescue_SDExport'!O:O)</f>
        <v>1</v>
      </c>
      <c r="P323">
        <f>_xlfn.XLOOKUP($A323,'EA-Fortescue_SDExport'!$A:$A,'EA-Fortescue_SDExport'!P:P)</f>
        <v>0</v>
      </c>
      <c r="Q323">
        <f>_xlfn.XLOOKUP($A323,'EA-Fortescue_SDExport'!$A:$A,'EA-Fortescue_SDExport'!Q:Q)</f>
        <v>0</v>
      </c>
      <c r="R323">
        <f>_xlfn.XLOOKUP($A323,'EA-Fortescue_SDExport'!$A:$A,'EA-Fortescue_SDExport'!R:R)</f>
        <v>0</v>
      </c>
      <c r="S323">
        <f>_xlfn.XLOOKUP($A323,'EA-Fortescue_SDExport'!$A:$A,'EA-Fortescue_SDExport'!S:S)</f>
        <v>0</v>
      </c>
      <c r="T323">
        <f>_xlfn.XLOOKUP($A323,'EA-Fortescue_SDExport'!$A:$A,'EA-Fortescue_SDExport'!T:T)</f>
        <v>0</v>
      </c>
      <c r="U323">
        <f>_xlfn.XLOOKUP($A323,'EA-Fortescue_SDExport'!$A:$A,'EA-Fortescue_SDExport'!U:U)</f>
        <v>45895.913611111115</v>
      </c>
      <c r="V323">
        <f>_xlfn.XLOOKUP($A323,'EA-Fortescue_SDExport'!$A:$A,'EA-Fortescue_SDExport'!V:V)</f>
        <v>46002.004965277774</v>
      </c>
      <c r="W323">
        <f>_xlfn.XLOOKUP($A323,'EA-Fortescue_SDExport'!$A:$A,'EA-Fortescue_SDExport'!W:W)</f>
        <v>0</v>
      </c>
      <c r="X323">
        <f>_xlfn.XLOOKUP($A323,'EA-Fortescue_SDExport'!$A:$A,'EA-Fortescue_SDExport'!X:X)</f>
        <v>0</v>
      </c>
      <c r="Y323">
        <f>_xlfn.XLOOKUP($A323,'EA-Fortescue_SDExport'!$A:$A,'EA-Fortescue_SDExport'!Y:Y)</f>
        <v>0</v>
      </c>
      <c r="Z323" t="str">
        <f>_xlfn.XLOOKUP($A323,'EA-Fortescue_SDExport'!$A:$A,'EA-Fortescue_SDExport'!Z:Z)</f>
        <v>SysML1.4::InterfaceBlock</v>
      </c>
      <c r="AA323" t="str">
        <f>_xlfn.XLOOKUP($A323,InterfaceRegister!$A:$A,InterfaceRegister!B:B)</f>
        <v>859DC-1410-001 HaulX|HIVE</v>
      </c>
      <c r="AB323" t="str">
        <f>_xlfn.XLOOKUP($A323,InterfaceRegister!$A:$A,InterfaceRegister!C:C)</f>
        <v/>
      </c>
      <c r="AC323" t="str">
        <f>_xlfn.XLOOKUP($A323,InterfaceRegister!$A:$A,InterfaceRegister!D:D)</f>
        <v/>
      </c>
      <c r="AD323" t="str">
        <f>_xlfn.XLOOKUP($A323,InterfaceRegister!$A:$A,InterfaceRegister!E:E)</f>
        <v>Stakeholder - Project Interface</v>
      </c>
      <c r="AE323" t="str">
        <f>_xlfn.XLOOKUP($A323,InterfaceRegister!$A:$A,InterfaceRegister!F:F)</f>
        <v>Functional-Operational</v>
      </c>
      <c r="AF323" t="str">
        <f>_xlfn.XLOOKUP($A323,InterfaceRegister!$A:$A,InterfaceRegister!L:L)</f>
        <v>This interface allows HaulX to share real-time haulage performance, fleet locations, production status, and operational insights with HIVE so supervisors and planners can monitor fleet behaviour and make informed decisions.</v>
      </c>
      <c r="AG323" t="str">
        <f>_xlfn.XLOOKUP($A323,InterfaceRegister!$A:$A,InterfaceRegister!M:M)</f>
        <v>LOW</v>
      </c>
      <c r="AH323" t="str">
        <f>_xlfn.XLOOKUP($A323,InterfaceRegister!$A:$A,InterfaceRegister!O:O)</f>
        <v>Data Flow:_x000D_
859DC-1410-001 HaulX -&gt; HIVE. This interface allows HaulX to share real-time haulage performance data, fleet locations, production status, and operational insights with the HIVE. This provides supervisors and planners with the necessary visibility to monitor fleet behaviour and make informed decisions._x000D_
Control Flow:_x000D_
This interface is for visibility and decision support rather than direct operational control. In the event of a failure, haulage operations continue as normal, though HIVE users lose live oversight, which reduces coordination efficiency and situational awareness.</v>
      </c>
      <c r="AI323" t="str">
        <f>_xlfn.XLOOKUP($A323,InterfaceRegister!$A:$A,InterfaceRegister!N:N)</f>
        <v>The criticality level is LOW because this interface supports visibility and decision support rather than direct operational control. If the interface fails, haulage continues normally, but HIVE users lose live oversight, reducing coordination efficiency and situational awareness.</v>
      </c>
      <c r="AJ323" t="str">
        <f>_xlfn.XLOOKUP($A323,'EA-Fortescue_SDExport'!$A:$A,'EA-Fortescue_SDExport'!AX:AX)</f>
        <v>CSV9AEDA9A6</v>
      </c>
      <c r="AK323">
        <f>_xlfn.XLOOKUP($A323,'EA-Fortescue_SDExport'!$A:$A,'EA-Fortescue_SDExport'!AY:AY)</f>
        <v>0</v>
      </c>
    </row>
    <row r="324" spans="1:37" x14ac:dyDescent="0.25">
      <c r="A324" t="str">
        <v>DGS-I_0323</v>
      </c>
      <c r="B324" t="str">
        <f>_xlfn.XLOOKUP($A324,'EA-Fortescue_SDExport'!$A:$A,'EA-Fortescue_SDExport'!B:B)</f>
        <v>Class</v>
      </c>
      <c r="C324" t="str">
        <f>_xlfn.XLOOKUP($A324,'EA-Fortescue_SDExport'!$A:$A,'EA-Fortescue_SDExport'!C:C)</f>
        <v>{6AF2C538-AEAE-4433-8E95-A7BB10973AEA}</v>
      </c>
      <c r="D324" t="str">
        <f>_xlfn.LET(_xlpm.result, _xlfn.XLOOKUP($A324, InterfaceRegister!$A:$A, InterfaceRegister!P:P), IF(_xlpm.result=0, "", _xlpm.result))</f>
        <v/>
      </c>
      <c r="E324">
        <f>_xlfn.XLOOKUP($A324,'EA-Fortescue_SDExport'!$A:$A,'EA-Fortescue_SDExport'!E:E)</f>
        <v>1</v>
      </c>
      <c r="F324">
        <f>_xlfn.XLOOKUP($A324,'EA-Fortescue_SDExport'!$A:$A,'EA-Fortescue_SDExport'!F:F)</f>
        <v>1</v>
      </c>
      <c r="G324">
        <f>_xlfn.XLOOKUP($A324,'EA-Fortescue_SDExport'!$A:$A,'EA-Fortescue_SDExport'!G:G)</f>
        <v>0</v>
      </c>
      <c r="H324" t="str">
        <f>_xlfn.XLOOKUP($A324,'EA-Fortescue_SDExport'!$A:$A,'EA-Fortescue_SDExport'!H:H)</f>
        <v>InterfaceBlock</v>
      </c>
      <c r="I324" t="str">
        <f>_xlfn.XLOOKUP($A324,'EA-Fortescue_SDExport'!$A:$A,'EA-Fortescue_SDExport'!I:I)</f>
        <v>SysML1.4::InterfaceBlock</v>
      </c>
      <c r="J324" t="str">
        <f>_xlfn.XLOOKUP($A324,'EA-Fortescue_SDExport'!$A:$A,'EA-Fortescue_SDExport'!J:J)</f>
        <v>Java</v>
      </c>
      <c r="K324" t="str">
        <f>_xlfn.XLOOKUP($A324,'EA-Fortescue_SDExport'!$A:$A,'EA-Fortescue_SDExport'!K:K)</f>
        <v>Admin</v>
      </c>
      <c r="L324" t="str">
        <f>_xlfn.XLOOKUP($A324,'EA-Fortescue_SDExport'!$A:$A,'EA-Fortescue_SDExport'!L:L)</f>
        <v>Public</v>
      </c>
      <c r="M324">
        <f>_xlfn.XLOOKUP($A324,'EA-Fortescue_SDExport'!$A:$A,'EA-Fortescue_SDExport'!M:M)</f>
        <v>0</v>
      </c>
      <c r="N324" t="str">
        <f>_xlfn.XLOOKUP($A324,InterfaceRegister!$A:$A,InterfaceRegister!K:K)</f>
        <v>Proposed</v>
      </c>
      <c r="O324">
        <f>_xlfn.XLOOKUP($A324,'EA-Fortescue_SDExport'!$A:$A,'EA-Fortescue_SDExport'!O:O)</f>
        <v>1</v>
      </c>
      <c r="P324">
        <f>_xlfn.XLOOKUP($A324,'EA-Fortescue_SDExport'!$A:$A,'EA-Fortescue_SDExport'!P:P)</f>
        <v>0</v>
      </c>
      <c r="Q324">
        <f>_xlfn.XLOOKUP($A324,'EA-Fortescue_SDExport'!$A:$A,'EA-Fortescue_SDExport'!Q:Q)</f>
        <v>0</v>
      </c>
      <c r="R324">
        <f>_xlfn.XLOOKUP($A324,'EA-Fortescue_SDExport'!$A:$A,'EA-Fortescue_SDExport'!R:R)</f>
        <v>0</v>
      </c>
      <c r="S324">
        <f>_xlfn.XLOOKUP($A324,'EA-Fortescue_SDExport'!$A:$A,'EA-Fortescue_SDExport'!S:S)</f>
        <v>0</v>
      </c>
      <c r="T324">
        <f>_xlfn.XLOOKUP($A324,'EA-Fortescue_SDExport'!$A:$A,'EA-Fortescue_SDExport'!T:T)</f>
        <v>0</v>
      </c>
      <c r="U324">
        <f>_xlfn.XLOOKUP($A324,'EA-Fortescue_SDExport'!$A:$A,'EA-Fortescue_SDExport'!U:U)</f>
        <v>45895.913842592592</v>
      </c>
      <c r="V324">
        <f>_xlfn.XLOOKUP($A324,'EA-Fortescue_SDExport'!$A:$A,'EA-Fortescue_SDExport'!V:V)</f>
        <v>46002.004999999997</v>
      </c>
      <c r="W324">
        <f>_xlfn.XLOOKUP($A324,'EA-Fortescue_SDExport'!$A:$A,'EA-Fortescue_SDExport'!W:W)</f>
        <v>0</v>
      </c>
      <c r="X324">
        <f>_xlfn.XLOOKUP($A324,'EA-Fortescue_SDExport'!$A:$A,'EA-Fortescue_SDExport'!X:X)</f>
        <v>0</v>
      </c>
      <c r="Y324">
        <f>_xlfn.XLOOKUP($A324,'EA-Fortescue_SDExport'!$A:$A,'EA-Fortescue_SDExport'!Y:Y)</f>
        <v>0</v>
      </c>
      <c r="Z324" t="str">
        <f>_xlfn.XLOOKUP($A324,'EA-Fortescue_SDExport'!$A:$A,'EA-Fortescue_SDExport'!Z:Z)</f>
        <v>SysML1.4::InterfaceBlock</v>
      </c>
      <c r="AA324" t="str">
        <f>_xlfn.XLOOKUP($A324,InterfaceRegister!$A:$A,InterfaceRegister!B:B)</f>
        <v>Operations Planning|859DC-1410-001 HaulX</v>
      </c>
      <c r="AB324" t="str">
        <f>_xlfn.XLOOKUP($A324,InterfaceRegister!$A:$A,InterfaceRegister!C:C)</f>
        <v/>
      </c>
      <c r="AC324" t="str">
        <f>_xlfn.XLOOKUP($A324,InterfaceRegister!$A:$A,InterfaceRegister!D:D)</f>
        <v/>
      </c>
      <c r="AD324" t="str">
        <f>_xlfn.XLOOKUP($A324,InterfaceRegister!$A:$A,InterfaceRegister!E:E)</f>
        <v>Stakeholder - Project Interface</v>
      </c>
      <c r="AE324" t="str">
        <f>_xlfn.XLOOKUP($A324,InterfaceRegister!$A:$A,InterfaceRegister!F:F)</f>
        <v>Functional</v>
      </c>
      <c r="AF324" t="str">
        <f>_xlfn.XLOOKUP($A324,InterfaceRegister!$A:$A,InterfaceRegister!L:L)</f>
        <v>This interface enables Operations Planning to provide HaulX with medium-term production expectations, dig priorities, and operational targets so fleet dispatch aligns with the upcoming plan.</v>
      </c>
      <c r="AG324" t="str">
        <f>_xlfn.XLOOKUP($A324,InterfaceRegister!$A:$A,InterfaceRegister!M:M)</f>
        <v>LOW</v>
      </c>
      <c r="AH324" t="str">
        <f>_xlfn.XLOOKUP($A324,InterfaceRegister!$A:$A,InterfaceRegister!O:O)</f>
        <v>Data Flow:_x000D_
Operations Planning -&gt; 859DC-1410-001 HaulX. This interface enables Operations Planning to provide HaulX with medium-term production expectations, dig priorities, and operational targets so fleet dispatch aligns with the upcoming plan.</v>
      </c>
      <c r="AI324" t="str">
        <f>_xlfn.XLOOKUP($A324,InterfaceRegister!$A:$A,InterfaceRegister!N:N)</f>
        <v>The criticality level is LOW because, while alignment with medium-term production goals will be reduced, dispatching can continue without planning context. Loss of this interface affects planning accuracy and operational efficiency but does not interrupt haulage or create safety risks.</v>
      </c>
      <c r="AJ324" t="str">
        <f>_xlfn.XLOOKUP($A324,'EA-Fortescue_SDExport'!$A:$A,'EA-Fortescue_SDExport'!AX:AX)</f>
        <v>CSVA6C6EFC3</v>
      </c>
      <c r="AK324">
        <f>_xlfn.XLOOKUP($A324,'EA-Fortescue_SDExport'!$A:$A,'EA-Fortescue_SDExport'!AY:AY)</f>
        <v>0</v>
      </c>
    </row>
    <row r="325" spans="1:37" x14ac:dyDescent="0.25">
      <c r="A325" t="str">
        <v>DGS-I_0324</v>
      </c>
      <c r="B325" t="str">
        <f>_xlfn.XLOOKUP($A325,'EA-Fortescue_SDExport'!$A:$A,'EA-Fortescue_SDExport'!B:B)</f>
        <v>Class</v>
      </c>
      <c r="C325" t="str">
        <f>_xlfn.XLOOKUP($A325,'EA-Fortescue_SDExport'!$A:$A,'EA-Fortescue_SDExport'!C:C)</f>
        <v>{BE336FC3-C2C9-429d-807F-CD3589CBF757}</v>
      </c>
      <c r="D325" t="str">
        <f>_xlfn.LET(_xlpm.result, _xlfn.XLOOKUP($A325, InterfaceRegister!$A:$A, InterfaceRegister!P:P), IF(_xlpm.result=0, "", _xlpm.result))</f>
        <v>Interface Review 02/12/2025: Move Pit Power Capacity to retired systems and delete associated interfaces._x000D_
NH 04/12/2025: A.02.08 Pit Power Capacity Planning Tool - Capacity Check is the secondary interface between Green Systems and many physical assets. If it is removed, the physical assets will be removed from the diagrams. _x000D_
SBS-WBS Mapping 01/02/2026: Move Pit Power Capacity to Orphaned/retired Artifact &amp;amp; Hide/remove all interfaces - Interface deleted._x000D_
GSP Context diagram 27/01/2026: Pit Power Capacity Planning and Design to be added back to the system architecture.</v>
      </c>
      <c r="E325">
        <f>_xlfn.XLOOKUP($A325,'EA-Fortescue_SDExport'!$A:$A,'EA-Fortescue_SDExport'!E:E)</f>
        <v>1</v>
      </c>
      <c r="F325">
        <f>_xlfn.XLOOKUP($A325,'EA-Fortescue_SDExport'!$A:$A,'EA-Fortescue_SDExport'!F:F)</f>
        <v>1</v>
      </c>
      <c r="G325">
        <f>_xlfn.XLOOKUP($A325,'EA-Fortescue_SDExport'!$A:$A,'EA-Fortescue_SDExport'!G:G)</f>
        <v>0</v>
      </c>
      <c r="H325" t="str">
        <f>_xlfn.XLOOKUP($A325,'EA-Fortescue_SDExport'!$A:$A,'EA-Fortescue_SDExport'!H:H)</f>
        <v>InterfaceBlock</v>
      </c>
      <c r="I325" t="str">
        <f>_xlfn.XLOOKUP($A325,'EA-Fortescue_SDExport'!$A:$A,'EA-Fortescue_SDExport'!I:I)</f>
        <v>SysML1.4::InterfaceBlock</v>
      </c>
      <c r="J325" t="str">
        <f>_xlfn.XLOOKUP($A325,'EA-Fortescue_SDExport'!$A:$A,'EA-Fortescue_SDExport'!J:J)</f>
        <v>Java</v>
      </c>
      <c r="K325" t="str">
        <f>_xlfn.XLOOKUP($A325,'EA-Fortescue_SDExport'!$A:$A,'EA-Fortescue_SDExport'!K:K)</f>
        <v>Admin</v>
      </c>
      <c r="L325" t="str">
        <f>_xlfn.XLOOKUP($A325,'EA-Fortescue_SDExport'!$A:$A,'EA-Fortescue_SDExport'!L:L)</f>
        <v>Public</v>
      </c>
      <c r="M325">
        <f>_xlfn.XLOOKUP($A325,'EA-Fortescue_SDExport'!$A:$A,'EA-Fortescue_SDExport'!M:M)</f>
        <v>0</v>
      </c>
      <c r="N325" t="str">
        <f>_xlfn.XLOOKUP($A325,InterfaceRegister!$A:$A,InterfaceRegister!K:K)</f>
        <v>Proposed</v>
      </c>
      <c r="O325">
        <f>_xlfn.XLOOKUP($A325,'EA-Fortescue_SDExport'!$A:$A,'EA-Fortescue_SDExport'!O:O)</f>
        <v>1</v>
      </c>
      <c r="P325">
        <f>_xlfn.XLOOKUP($A325,'EA-Fortescue_SDExport'!$A:$A,'EA-Fortescue_SDExport'!P:P)</f>
        <v>0</v>
      </c>
      <c r="Q325">
        <f>_xlfn.XLOOKUP($A325,'EA-Fortescue_SDExport'!$A:$A,'EA-Fortescue_SDExport'!Q:Q)</f>
        <v>0</v>
      </c>
      <c r="R325">
        <f>_xlfn.XLOOKUP($A325,'EA-Fortescue_SDExport'!$A:$A,'EA-Fortescue_SDExport'!R:R)</f>
        <v>0</v>
      </c>
      <c r="S325">
        <f>_xlfn.XLOOKUP($A325,'EA-Fortescue_SDExport'!$A:$A,'EA-Fortescue_SDExport'!S:S)</f>
        <v>0</v>
      </c>
      <c r="T325">
        <f>_xlfn.XLOOKUP($A325,'EA-Fortescue_SDExport'!$A:$A,'EA-Fortescue_SDExport'!T:T)</f>
        <v>0</v>
      </c>
      <c r="U325">
        <f>_xlfn.XLOOKUP($A325,'EA-Fortescue_SDExport'!$A:$A,'EA-Fortescue_SDExport'!U:U)</f>
        <v>45896.793321759258</v>
      </c>
      <c r="V325">
        <f>_xlfn.XLOOKUP($A325,'EA-Fortescue_SDExport'!$A:$A,'EA-Fortescue_SDExport'!V:V)</f>
        <v>46051.10701388889</v>
      </c>
      <c r="W325">
        <f>_xlfn.XLOOKUP($A325,'EA-Fortescue_SDExport'!$A:$A,'EA-Fortescue_SDExport'!W:W)</f>
        <v>0</v>
      </c>
      <c r="X325">
        <f>_xlfn.XLOOKUP($A325,'EA-Fortescue_SDExport'!$A:$A,'EA-Fortescue_SDExport'!X:X)</f>
        <v>0</v>
      </c>
      <c r="Y325">
        <f>_xlfn.XLOOKUP($A325,'EA-Fortescue_SDExport'!$A:$A,'EA-Fortescue_SDExport'!Y:Y)</f>
        <v>0</v>
      </c>
      <c r="Z325" t="str">
        <f>_xlfn.XLOOKUP($A325,'EA-Fortescue_SDExport'!$A:$A,'EA-Fortescue_SDExport'!Z:Z)</f>
        <v>SysML1.4::InterfaceBlock</v>
      </c>
      <c r="AA325" t="str">
        <f>_xlfn.XLOOKUP($A325,InterfaceRegister!$A:$A,InterfaceRegister!B:B)</f>
        <v>Operations Planning|855DC-1541-PPC Pit Power Capacity Planning Tool - Design Optimisation</v>
      </c>
      <c r="AB325" t="str">
        <f>_xlfn.XLOOKUP($A325,InterfaceRegister!$A:$A,InterfaceRegister!C:C)</f>
        <v/>
      </c>
      <c r="AC325" t="str">
        <f>_xlfn.XLOOKUP($A325,InterfaceRegister!$A:$A,InterfaceRegister!D:D)</f>
        <v/>
      </c>
      <c r="AD325" t="str">
        <f>_xlfn.XLOOKUP($A325,InterfaceRegister!$A:$A,InterfaceRegister!E:E)</f>
        <v>Stakeholder - Project Interface</v>
      </c>
      <c r="AE325" t="str">
        <f>_xlfn.XLOOKUP($A325,InterfaceRegister!$A:$A,InterfaceRegister!F:F)</f>
        <v/>
      </c>
      <c r="AF325" t="str">
        <f>_xlfn.XLOOKUP($A325,InterfaceRegister!$A:$A,InterfaceRegister!L:L)</f>
        <v/>
      </c>
      <c r="AG325" t="str">
        <f>_xlfn.XLOOKUP($A325,InterfaceRegister!$A:$A,InterfaceRegister!M:M)</f>
        <v/>
      </c>
      <c r="AH325" t="str">
        <f>_xlfn.XLOOKUP($A325,InterfaceRegister!$A:$A,InterfaceRegister!O:O)</f>
        <v/>
      </c>
      <c r="AI325" t="str">
        <f>_xlfn.XLOOKUP($A325,InterfaceRegister!$A:$A,InterfaceRegister!N:N)</f>
        <v/>
      </c>
      <c r="AJ325" t="str">
        <f>_xlfn.XLOOKUP($A325,'EA-Fortescue_SDExport'!$A:$A,'EA-Fortescue_SDExport'!AX:AX)</f>
        <v>CSV9805F7B0</v>
      </c>
      <c r="AK325">
        <f>_xlfn.XLOOKUP($A325,'EA-Fortescue_SDExport'!$A:$A,'EA-Fortescue_SDExport'!AY:AY)</f>
        <v>0</v>
      </c>
    </row>
    <row r="326" spans="1:37" x14ac:dyDescent="0.25">
      <c r="A326" t="str">
        <v>DGS-I_0325</v>
      </c>
      <c r="B326" t="str">
        <f>_xlfn.XLOOKUP($A326,'EA-Fortescue_SDExport'!$A:$A,'EA-Fortescue_SDExport'!B:B)</f>
        <v>Class</v>
      </c>
      <c r="C326" t="str">
        <f>_xlfn.XLOOKUP($A326,'EA-Fortescue_SDExport'!$A:$A,'EA-Fortescue_SDExport'!C:C)</f>
        <v>{21DF6376-2595-4e9b-9BE6-7EB46015221E}</v>
      </c>
      <c r="D326" t="str">
        <f>_xlfn.LET(_xlpm.result, _xlfn.XLOOKUP($A326, InterfaceRegister!$A:$A, InterfaceRegister!P:P), IF(_xlpm.result=0, "", _xlpm.result))</f>
        <v/>
      </c>
      <c r="E326">
        <f>_xlfn.XLOOKUP($A326,'EA-Fortescue_SDExport'!$A:$A,'EA-Fortescue_SDExport'!E:E)</f>
        <v>1</v>
      </c>
      <c r="F326">
        <f>_xlfn.XLOOKUP($A326,'EA-Fortescue_SDExport'!$A:$A,'EA-Fortescue_SDExport'!F:F)</f>
        <v>1</v>
      </c>
      <c r="G326">
        <f>_xlfn.XLOOKUP($A326,'EA-Fortescue_SDExport'!$A:$A,'EA-Fortescue_SDExport'!G:G)</f>
        <v>0</v>
      </c>
      <c r="H326" t="str">
        <f>_xlfn.XLOOKUP($A326,'EA-Fortescue_SDExport'!$A:$A,'EA-Fortescue_SDExport'!H:H)</f>
        <v>InterfaceBlock</v>
      </c>
      <c r="I326" t="str">
        <f>_xlfn.XLOOKUP($A326,'EA-Fortescue_SDExport'!$A:$A,'EA-Fortescue_SDExport'!I:I)</f>
        <v>SysML1.4::InterfaceBlock</v>
      </c>
      <c r="J326" t="str">
        <f>_xlfn.XLOOKUP($A326,'EA-Fortescue_SDExport'!$A:$A,'EA-Fortescue_SDExport'!J:J)</f>
        <v>Java</v>
      </c>
      <c r="K326" t="str">
        <f>_xlfn.XLOOKUP($A326,'EA-Fortescue_SDExport'!$A:$A,'EA-Fortescue_SDExport'!K:K)</f>
        <v>Admin</v>
      </c>
      <c r="L326" t="str">
        <f>_xlfn.XLOOKUP($A326,'EA-Fortescue_SDExport'!$A:$A,'EA-Fortescue_SDExport'!L:L)</f>
        <v>Public</v>
      </c>
      <c r="M326">
        <f>_xlfn.XLOOKUP($A326,'EA-Fortescue_SDExport'!$A:$A,'EA-Fortescue_SDExport'!M:M)</f>
        <v>0</v>
      </c>
      <c r="N326" t="str">
        <f>_xlfn.XLOOKUP($A326,InterfaceRegister!$A:$A,InterfaceRegister!K:K)</f>
        <v>Proposed</v>
      </c>
      <c r="O326">
        <f>_xlfn.XLOOKUP($A326,'EA-Fortescue_SDExport'!$A:$A,'EA-Fortescue_SDExport'!O:O)</f>
        <v>1</v>
      </c>
      <c r="P326">
        <f>_xlfn.XLOOKUP($A326,'EA-Fortescue_SDExport'!$A:$A,'EA-Fortescue_SDExport'!P:P)</f>
        <v>0</v>
      </c>
      <c r="Q326">
        <f>_xlfn.XLOOKUP($A326,'EA-Fortescue_SDExport'!$A:$A,'EA-Fortescue_SDExport'!Q:Q)</f>
        <v>0</v>
      </c>
      <c r="R326">
        <f>_xlfn.XLOOKUP($A326,'EA-Fortescue_SDExport'!$A:$A,'EA-Fortescue_SDExport'!R:R)</f>
        <v>0</v>
      </c>
      <c r="S326">
        <f>_xlfn.XLOOKUP($A326,'EA-Fortescue_SDExport'!$A:$A,'EA-Fortescue_SDExport'!S:S)</f>
        <v>0</v>
      </c>
      <c r="T326">
        <f>_xlfn.XLOOKUP($A326,'EA-Fortescue_SDExport'!$A:$A,'EA-Fortescue_SDExport'!T:T)</f>
        <v>0</v>
      </c>
      <c r="U326">
        <f>_xlfn.XLOOKUP($A326,'EA-Fortescue_SDExport'!$A:$A,'EA-Fortescue_SDExport'!U:U)</f>
        <v>45987.96802083333</v>
      </c>
      <c r="V326">
        <f>_xlfn.XLOOKUP($A326,'EA-Fortescue_SDExport'!$A:$A,'EA-Fortescue_SDExport'!V:V)</f>
        <v>46002.004942129628</v>
      </c>
      <c r="W326">
        <f>_xlfn.XLOOKUP($A326,'EA-Fortescue_SDExport'!$A:$A,'EA-Fortescue_SDExport'!W:W)</f>
        <v>0</v>
      </c>
      <c r="X326">
        <f>_xlfn.XLOOKUP($A326,'EA-Fortescue_SDExport'!$A:$A,'EA-Fortescue_SDExport'!X:X)</f>
        <v>0</v>
      </c>
      <c r="Y326">
        <f>_xlfn.XLOOKUP($A326,'EA-Fortescue_SDExport'!$A:$A,'EA-Fortescue_SDExport'!Y:Y)</f>
        <v>0</v>
      </c>
      <c r="Z326" t="str">
        <f>_xlfn.XLOOKUP($A326,'EA-Fortescue_SDExport'!$A:$A,'EA-Fortescue_SDExport'!Z:Z)</f>
        <v>SysML1.4::InterfaceBlock</v>
      </c>
      <c r="AA326" t="str">
        <f>_xlfn.XLOOKUP($A326,InterfaceRegister!$A:$A,InterfaceRegister!B:B)</f>
        <v>005OP-0000-005-003 Snowflake (Weather)|855DC-1541-DEL Delphi</v>
      </c>
      <c r="AB326" t="str">
        <f>_xlfn.XLOOKUP($A326,InterfaceRegister!$A:$A,InterfaceRegister!C:C)</f>
        <v>Abby Buters</v>
      </c>
      <c r="AC326" t="str">
        <f>_xlfn.XLOOKUP($A326,InterfaceRegister!$A:$A,InterfaceRegister!D:D)</f>
        <v>Snowflake BAZ TBC</v>
      </c>
      <c r="AD326" t="str">
        <f>_xlfn.XLOOKUP($A326,InterfaceRegister!$A:$A,InterfaceRegister!E:E)</f>
        <v>Project - Subsystem Interface</v>
      </c>
      <c r="AE326" t="str">
        <f>_xlfn.XLOOKUP($A326,InterfaceRegister!$A:$A,InterfaceRegister!F:F)</f>
        <v>Technical-Data/Software</v>
      </c>
      <c r="AF326" t="str">
        <f>_xlfn.XLOOKUP($A326,InterfaceRegister!$A:$A,InterfaceRegister!L:L)</f>
        <v>Weather Actuals - 15-Year Historical Weather Dataset (Snowflake)_x000D_
The purpose of this interface is to provide up to 15 years of historical weather data - including rain, wind, lightning, and other key variables - via Snowflake through the Weather Actuals system. Eclipse uses this long-term dataset to train and validate forecasting models, analyse historical patterns, and support long-term operational and strategic planning.</v>
      </c>
      <c r="AG326" t="str">
        <f>_xlfn.XLOOKUP($A326,InterfaceRegister!$A:$A,InterfaceRegister!M:M)</f>
        <v>HIGH</v>
      </c>
      <c r="AH326" t="str">
        <f>_xlfn.XLOOKUP($A326,InterfaceRegister!$A:$A,InterfaceRegister!O:O)</f>
        <v>Weather Actuals Snowflake dataset -&gt; Delphi/Eclipse Snowflake (uni-directional).</v>
      </c>
      <c r="AI326" t="str">
        <f>_xlfn.XLOOKUP($A326,InterfaceRegister!$A:$A,InterfaceRegister!N:N)</f>
        <v>The criticality level is HIGH because a deep and accurate historical weather record is essential for building reliable forecasting models. Failure compromises long-term operational and strategic planning decisions.</v>
      </c>
      <c r="AJ326" t="str">
        <f>_xlfn.XLOOKUP($A326,'EA-Fortescue_SDExport'!$A:$A,'EA-Fortescue_SDExport'!AX:AX)</f>
        <v>CSV903A2E77</v>
      </c>
      <c r="AK326">
        <f>_xlfn.XLOOKUP($A326,'EA-Fortescue_SDExport'!$A:$A,'EA-Fortescue_SDExport'!AY:AY)</f>
        <v>0</v>
      </c>
    </row>
    <row r="327" spans="1:37" x14ac:dyDescent="0.25">
      <c r="A327" t="str">
        <v>DGS-I_0326</v>
      </c>
      <c r="B327" t="str">
        <f>_xlfn.XLOOKUP($A327,'EA-Fortescue_SDExport'!$A:$A,'EA-Fortescue_SDExport'!B:B)</f>
        <v>Class</v>
      </c>
      <c r="C327" t="str">
        <f>_xlfn.XLOOKUP($A327,'EA-Fortescue_SDExport'!$A:$A,'EA-Fortescue_SDExport'!C:C)</f>
        <v>{C4CBB4FD-A818-4725-83F6-9C3E40830970}</v>
      </c>
      <c r="D327" t="str">
        <f>_xlfn.LET(_xlpm.result, _xlfn.XLOOKUP($A327, InterfaceRegister!$A:$A, InterfaceRegister!P:P), IF(_xlpm.result=0, "", _xlpm.result))</f>
        <v/>
      </c>
      <c r="E327">
        <f>_xlfn.XLOOKUP($A327,'EA-Fortescue_SDExport'!$A:$A,'EA-Fortescue_SDExport'!E:E)</f>
        <v>1</v>
      </c>
      <c r="F327">
        <f>_xlfn.XLOOKUP($A327,'EA-Fortescue_SDExport'!$A:$A,'EA-Fortescue_SDExport'!F:F)</f>
        <v>1</v>
      </c>
      <c r="G327">
        <f>_xlfn.XLOOKUP($A327,'EA-Fortescue_SDExport'!$A:$A,'EA-Fortescue_SDExport'!G:G)</f>
        <v>0</v>
      </c>
      <c r="H327" t="str">
        <f>_xlfn.XLOOKUP($A327,'EA-Fortescue_SDExport'!$A:$A,'EA-Fortescue_SDExport'!H:H)</f>
        <v>InterfaceBlock</v>
      </c>
      <c r="I327" t="str">
        <f>_xlfn.XLOOKUP($A327,'EA-Fortescue_SDExport'!$A:$A,'EA-Fortescue_SDExport'!I:I)</f>
        <v>SysML1.4::InterfaceBlock</v>
      </c>
      <c r="J327" t="str">
        <f>_xlfn.XLOOKUP($A327,'EA-Fortescue_SDExport'!$A:$A,'EA-Fortescue_SDExport'!J:J)</f>
        <v>Java</v>
      </c>
      <c r="K327" t="str">
        <f>_xlfn.XLOOKUP($A327,'EA-Fortescue_SDExport'!$A:$A,'EA-Fortescue_SDExport'!K:K)</f>
        <v>Admin</v>
      </c>
      <c r="L327" t="str">
        <f>_xlfn.XLOOKUP($A327,'EA-Fortescue_SDExport'!$A:$A,'EA-Fortescue_SDExport'!L:L)</f>
        <v>Public</v>
      </c>
      <c r="M327">
        <f>_xlfn.XLOOKUP($A327,'EA-Fortescue_SDExport'!$A:$A,'EA-Fortescue_SDExport'!M:M)</f>
        <v>0</v>
      </c>
      <c r="N327" t="str">
        <f>_xlfn.XLOOKUP($A327,InterfaceRegister!$A:$A,InterfaceRegister!K:K)</f>
        <v>Proposed</v>
      </c>
      <c r="O327">
        <f>_xlfn.XLOOKUP($A327,'EA-Fortescue_SDExport'!$A:$A,'EA-Fortescue_SDExport'!O:O)</f>
        <v>1</v>
      </c>
      <c r="P327">
        <f>_xlfn.XLOOKUP($A327,'EA-Fortescue_SDExport'!$A:$A,'EA-Fortescue_SDExport'!P:P)</f>
        <v>0</v>
      </c>
      <c r="Q327">
        <f>_xlfn.XLOOKUP($A327,'EA-Fortescue_SDExport'!$A:$A,'EA-Fortescue_SDExport'!Q:Q)</f>
        <v>0</v>
      </c>
      <c r="R327">
        <f>_xlfn.XLOOKUP($A327,'EA-Fortescue_SDExport'!$A:$A,'EA-Fortescue_SDExport'!R:R)</f>
        <v>0</v>
      </c>
      <c r="S327">
        <f>_xlfn.XLOOKUP($A327,'EA-Fortescue_SDExport'!$A:$A,'EA-Fortescue_SDExport'!S:S)</f>
        <v>0</v>
      </c>
      <c r="T327">
        <f>_xlfn.XLOOKUP($A327,'EA-Fortescue_SDExport'!$A:$A,'EA-Fortescue_SDExport'!T:T)</f>
        <v>0</v>
      </c>
      <c r="U327">
        <f>_xlfn.XLOOKUP($A327,'EA-Fortescue_SDExport'!$A:$A,'EA-Fortescue_SDExport'!U:U)</f>
        <v>45987.968136574076</v>
      </c>
      <c r="V327">
        <f>_xlfn.XLOOKUP($A327,'EA-Fortescue_SDExport'!$A:$A,'EA-Fortescue_SDExport'!V:V)</f>
        <v>46002.004953703705</v>
      </c>
      <c r="W327">
        <f>_xlfn.XLOOKUP($A327,'EA-Fortescue_SDExport'!$A:$A,'EA-Fortescue_SDExport'!W:W)</f>
        <v>0</v>
      </c>
      <c r="X327">
        <f>_xlfn.XLOOKUP($A327,'EA-Fortescue_SDExport'!$A:$A,'EA-Fortescue_SDExport'!X:X)</f>
        <v>0</v>
      </c>
      <c r="Y327">
        <f>_xlfn.XLOOKUP($A327,'EA-Fortescue_SDExport'!$A:$A,'EA-Fortescue_SDExport'!Y:Y)</f>
        <v>0</v>
      </c>
      <c r="Z327" t="str">
        <f>_xlfn.XLOOKUP($A327,'EA-Fortescue_SDExport'!$A:$A,'EA-Fortescue_SDExport'!Z:Z)</f>
        <v>SysML1.4::InterfaceBlock</v>
      </c>
      <c r="AA327" t="str">
        <f>_xlfn.XLOOKUP($A327,InterfaceRegister!$A:$A,InterfaceRegister!B:B)</f>
        <v>BoM|855DC-1541-DEL Delphi</v>
      </c>
      <c r="AB327" t="str">
        <f>_xlfn.XLOOKUP($A327,InterfaceRegister!$A:$A,InterfaceRegister!C:C)</f>
        <v>Abby Buters</v>
      </c>
      <c r="AC327" t="str">
        <f>_xlfn.XLOOKUP($A327,InterfaceRegister!$A:$A,InterfaceRegister!D:D)</f>
        <v>External Government</v>
      </c>
      <c r="AD327" t="str">
        <f>_xlfn.XLOOKUP($A327,InterfaceRegister!$A:$A,InterfaceRegister!E:E)</f>
        <v>External Software - Project Interface</v>
      </c>
      <c r="AE327" t="str">
        <f>_xlfn.XLOOKUP($A327,InterfaceRegister!$A:$A,InterfaceRegister!F:F)</f>
        <v>Technical-Data/Software</v>
      </c>
      <c r="AF327" t="str">
        <f>_xlfn.XLOOKUP($A327,InterfaceRegister!$A:$A,InterfaceRegister!L:L)</f>
        <v>Delphi data transfer through Snowflake (BOM API)_x000D_
The purpose of this interface is to provide Eclipse with up-to-date Bureau of Meteorology (BOM) weather forecasts and actuals to support the short-term planning cycle (up to 48 hours ahead) and to build long-term planning models from historical data. This weather data includes wind, solar, rain, and lightning. Additionally, Elysia Battery Energy Storage System (BESS) state of charge (SoC) actuals are provided to Delphi to support operational decisions regarding charging, discharging, and curtailment.</v>
      </c>
      <c r="AG327" t="str">
        <f>_xlfn.XLOOKUP($A327,InterfaceRegister!$A:$A,InterfaceRegister!M:M)</f>
        <v>HIGH</v>
      </c>
      <c r="AH327" t="str">
        <f>_xlfn.XLOOKUP($A327,InterfaceRegister!$A:$A,InterfaceRegister!O:O)</f>
        <v>BOM API -&gt; Delphi (ingest/aggregation) -&gt; Delphi Snowflake database -&gt; Eclipse Snowflake database (uni-directional).</v>
      </c>
      <c r="AI327" t="str">
        <f>_xlfn.XLOOKUP($A327,InterfaceRegister!$A:$A,InterfaceRegister!N:N)</f>
        <v>The criticality level is HIGH because failure to receive timely BOM forecast and actual weather data will cause near- and long-term mine plans to be inaccurate, severely compromising planning feasibility.</v>
      </c>
      <c r="AJ327" t="str">
        <f>_xlfn.XLOOKUP($A327,'EA-Fortescue_SDExport'!$A:$A,'EA-Fortescue_SDExport'!AX:AX)</f>
        <v>CSVCBD21F67</v>
      </c>
      <c r="AK327">
        <f>_xlfn.XLOOKUP($A327,'EA-Fortescue_SDExport'!$A:$A,'EA-Fortescue_SDExport'!AY:AY)</f>
        <v>0</v>
      </c>
    </row>
    <row r="328" spans="1:37" x14ac:dyDescent="0.25">
      <c r="A328" t="str">
        <v>DGS-I_0327</v>
      </c>
      <c r="B328" t="str">
        <f>_xlfn.XLOOKUP($A328,'EA-Fortescue_SDExport'!$A:$A,'EA-Fortescue_SDExport'!B:B)</f>
        <v>Class</v>
      </c>
      <c r="C328" t="str">
        <f>_xlfn.XLOOKUP($A328,'EA-Fortescue_SDExport'!$A:$A,'EA-Fortescue_SDExport'!C:C)</f>
        <v>{2F4C6D44-D007-487f-9C09-9B169C995600}</v>
      </c>
      <c r="D328" t="str">
        <f>_xlfn.LET(_xlpm.result, _xlfn.XLOOKUP($A328, InterfaceRegister!$A:$A, InterfaceRegister!P:P), IF(_xlpm.result=0, "", _xlpm.result))</f>
        <v/>
      </c>
      <c r="E328">
        <f>_xlfn.XLOOKUP($A328,'EA-Fortescue_SDExport'!$A:$A,'EA-Fortescue_SDExport'!E:E)</f>
        <v>1</v>
      </c>
      <c r="F328">
        <f>_xlfn.XLOOKUP($A328,'EA-Fortescue_SDExport'!$A:$A,'EA-Fortescue_SDExport'!F:F)</f>
        <v>1</v>
      </c>
      <c r="G328">
        <f>_xlfn.XLOOKUP($A328,'EA-Fortescue_SDExport'!$A:$A,'EA-Fortescue_SDExport'!G:G)</f>
        <v>0</v>
      </c>
      <c r="H328" t="str">
        <f>_xlfn.XLOOKUP($A328,'EA-Fortescue_SDExport'!$A:$A,'EA-Fortescue_SDExport'!H:H)</f>
        <v>InterfaceBlock</v>
      </c>
      <c r="I328" t="str">
        <f>_xlfn.XLOOKUP($A328,'EA-Fortescue_SDExport'!$A:$A,'EA-Fortescue_SDExport'!I:I)</f>
        <v>SysML1.4::InterfaceBlock</v>
      </c>
      <c r="J328" t="str">
        <f>_xlfn.XLOOKUP($A328,'EA-Fortescue_SDExport'!$A:$A,'EA-Fortescue_SDExport'!J:J)</f>
        <v>Java</v>
      </c>
      <c r="K328" t="str">
        <f>_xlfn.XLOOKUP($A328,'EA-Fortescue_SDExport'!$A:$A,'EA-Fortescue_SDExport'!K:K)</f>
        <v>Admin</v>
      </c>
      <c r="L328" t="str">
        <f>_xlfn.XLOOKUP($A328,'EA-Fortescue_SDExport'!$A:$A,'EA-Fortescue_SDExport'!L:L)</f>
        <v>Public</v>
      </c>
      <c r="M328">
        <f>_xlfn.XLOOKUP($A328,'EA-Fortescue_SDExport'!$A:$A,'EA-Fortescue_SDExport'!M:M)</f>
        <v>0</v>
      </c>
      <c r="N328" t="str">
        <f>_xlfn.XLOOKUP($A328,InterfaceRegister!$A:$A,InterfaceRegister!K:K)</f>
        <v>Proposed</v>
      </c>
      <c r="O328">
        <f>_xlfn.XLOOKUP($A328,'EA-Fortescue_SDExport'!$A:$A,'EA-Fortescue_SDExport'!O:O)</f>
        <v>1</v>
      </c>
      <c r="P328">
        <f>_xlfn.XLOOKUP($A328,'EA-Fortescue_SDExport'!$A:$A,'EA-Fortescue_SDExport'!P:P)</f>
        <v>0</v>
      </c>
      <c r="Q328">
        <f>_xlfn.XLOOKUP($A328,'EA-Fortescue_SDExport'!$A:$A,'EA-Fortescue_SDExport'!Q:Q)</f>
        <v>0</v>
      </c>
      <c r="R328">
        <f>_xlfn.XLOOKUP($A328,'EA-Fortescue_SDExport'!$A:$A,'EA-Fortescue_SDExport'!R:R)</f>
        <v>0</v>
      </c>
      <c r="S328">
        <f>_xlfn.XLOOKUP($A328,'EA-Fortescue_SDExport'!$A:$A,'EA-Fortescue_SDExport'!S:S)</f>
        <v>0</v>
      </c>
      <c r="T328">
        <f>_xlfn.XLOOKUP($A328,'EA-Fortescue_SDExport'!$A:$A,'EA-Fortescue_SDExport'!T:T)</f>
        <v>0</v>
      </c>
      <c r="U328">
        <f>_xlfn.XLOOKUP($A328,'EA-Fortescue_SDExport'!$A:$A,'EA-Fortescue_SDExport'!U:U)</f>
        <v>45987.968159722222</v>
      </c>
      <c r="V328">
        <f>_xlfn.XLOOKUP($A328,'EA-Fortescue_SDExport'!$A:$A,'EA-Fortescue_SDExport'!V:V)</f>
        <v>46002.004953703705</v>
      </c>
      <c r="W328">
        <f>_xlfn.XLOOKUP($A328,'EA-Fortescue_SDExport'!$A:$A,'EA-Fortescue_SDExport'!W:W)</f>
        <v>0</v>
      </c>
      <c r="X328">
        <f>_xlfn.XLOOKUP($A328,'EA-Fortescue_SDExport'!$A:$A,'EA-Fortescue_SDExport'!X:X)</f>
        <v>0</v>
      </c>
      <c r="Y328">
        <f>_xlfn.XLOOKUP($A328,'EA-Fortescue_SDExport'!$A:$A,'EA-Fortescue_SDExport'!Y:Y)</f>
        <v>0</v>
      </c>
      <c r="Z328" t="str">
        <f>_xlfn.XLOOKUP($A328,'EA-Fortescue_SDExport'!$A:$A,'EA-Fortescue_SDExport'!Z:Z)</f>
        <v>SysML1.4::InterfaceBlock</v>
      </c>
      <c r="AA328" t="str">
        <f>_xlfn.XLOOKUP($A328,InterfaceRegister!$A:$A,InterfaceRegister!B:B)</f>
        <v>005OP-0000-005-004 Solstice|855DC-1541-DEL Delphi</v>
      </c>
      <c r="AB328" t="str">
        <f>_xlfn.XLOOKUP($A328,InterfaceRegister!$A:$A,InterfaceRegister!C:C)</f>
        <v>Abby Buters</v>
      </c>
      <c r="AC328" t="str">
        <f>_xlfn.XLOOKUP($A328,InterfaceRegister!$A:$A,InterfaceRegister!D:D)</f>
        <v>External Vendor</v>
      </c>
      <c r="AD328" t="str">
        <f>_xlfn.XLOOKUP($A328,InterfaceRegister!$A:$A,InterfaceRegister!E:E)</f>
        <v>Project - Subsystem Interface</v>
      </c>
      <c r="AE328" t="str">
        <f>_xlfn.XLOOKUP($A328,InterfaceRegister!$A:$A,InterfaceRegister!F:F)</f>
        <v>Technical-Data/Software</v>
      </c>
      <c r="AF328" t="str">
        <f>_xlfn.XLOOKUP($A328,InterfaceRegister!$A:$A,InterfaceRegister!L:L)</f>
        <v>Solstice AI - North Star Junction Irradiance Forecasting_x000D_
The purpose of this interface is for Solstice AI to provide high-resolution solar irradiance forecasting for the North Star Junction site to support short-term operational decision-making. These forecasts will specifically help operators to anticipate changes in solar generation, adjust dispatch, and manage Battery Energy Storage System (BESS) behaviour proactively.</v>
      </c>
      <c r="AG328" t="str">
        <f>_xlfn.XLOOKUP($A328,InterfaceRegister!$A:$A,InterfaceRegister!M:M)</f>
        <v>HIGH</v>
      </c>
      <c r="AH328" t="str">
        <f>_xlfn.XLOOKUP($A328,InterfaceRegister!$A:$A,InterfaceRegister!O:O)</f>
        <v>Solstice AI service -&gt; Solstice AI Snowflake dataset -&gt; Delphi/Eclipse Snowflake (uni-directional).</v>
      </c>
      <c r="AI328" t="str">
        <f>_xlfn.XLOOKUP($A328,InterfaceRegister!$A:$A,InterfaceRegister!N:N)</f>
        <v>The criticality level is HIGH because accurate near-term irradiance forecasts are essential for reliable solar output planning and maintaining stability of site operations. Failure risks incorrect dispatch and management of BESS behaviour.</v>
      </c>
      <c r="AJ328" t="str">
        <f>_xlfn.XLOOKUP($A328,'EA-Fortescue_SDExport'!$A:$A,'EA-Fortescue_SDExport'!AX:AX)</f>
        <v>CSVDB6AE5CE</v>
      </c>
      <c r="AK328">
        <f>_xlfn.XLOOKUP($A328,'EA-Fortescue_SDExport'!$A:$A,'EA-Fortescue_SDExport'!AY:AY)</f>
        <v>0</v>
      </c>
    </row>
    <row r="329" spans="1:37" x14ac:dyDescent="0.25">
      <c r="A329" t="str">
        <v>DGS-I_0328</v>
      </c>
      <c r="B329" t="str">
        <f>_xlfn.XLOOKUP($A329,'EA-Fortescue_SDExport'!$A:$A,'EA-Fortescue_SDExport'!B:B)</f>
        <v>Class</v>
      </c>
      <c r="C329" t="str">
        <f>_xlfn.XLOOKUP($A329,'EA-Fortescue_SDExport'!$A:$A,'EA-Fortescue_SDExport'!C:C)</f>
        <v>{81871DF3-819F-44a1-A539-B9C1C62111FE}</v>
      </c>
      <c r="D329" t="str">
        <f>_xlfn.LET(_xlpm.result, _xlfn.XLOOKUP($A329, InterfaceRegister!$A:$A, InterfaceRegister!P:P), IF(_xlpm.result=0, "", _xlpm.result))</f>
        <v>251125 NH: same as DGS-I_0001?</v>
      </c>
      <c r="E329">
        <f>_xlfn.XLOOKUP($A329,'EA-Fortescue_SDExport'!$A:$A,'EA-Fortescue_SDExport'!E:E)</f>
        <v>1</v>
      </c>
      <c r="F329">
        <f>_xlfn.XLOOKUP($A329,'EA-Fortescue_SDExport'!$A:$A,'EA-Fortescue_SDExport'!F:F)</f>
        <v>1</v>
      </c>
      <c r="G329">
        <f>_xlfn.XLOOKUP($A329,'EA-Fortescue_SDExport'!$A:$A,'EA-Fortescue_SDExport'!G:G)</f>
        <v>0</v>
      </c>
      <c r="H329" t="str">
        <f>_xlfn.XLOOKUP($A329,'EA-Fortescue_SDExport'!$A:$A,'EA-Fortescue_SDExport'!H:H)</f>
        <v>InterfaceBlock</v>
      </c>
      <c r="I329" t="str">
        <f>_xlfn.XLOOKUP($A329,'EA-Fortescue_SDExport'!$A:$A,'EA-Fortescue_SDExport'!I:I)</f>
        <v>SysML1.4::InterfaceBlock</v>
      </c>
      <c r="J329" t="str">
        <f>_xlfn.XLOOKUP($A329,'EA-Fortescue_SDExport'!$A:$A,'EA-Fortescue_SDExport'!J:J)</f>
        <v>Java</v>
      </c>
      <c r="K329" t="str">
        <f>_xlfn.XLOOKUP($A329,'EA-Fortescue_SDExport'!$A:$A,'EA-Fortescue_SDExport'!K:K)</f>
        <v>Admin</v>
      </c>
      <c r="L329" t="str">
        <f>_xlfn.XLOOKUP($A329,'EA-Fortescue_SDExport'!$A:$A,'EA-Fortescue_SDExport'!L:L)</f>
        <v>Public</v>
      </c>
      <c r="M329">
        <f>_xlfn.XLOOKUP($A329,'EA-Fortescue_SDExport'!$A:$A,'EA-Fortescue_SDExport'!M:M)</f>
        <v>0</v>
      </c>
      <c r="N329" t="str">
        <f>_xlfn.XLOOKUP($A329,InterfaceRegister!$A:$A,InterfaceRegister!K:K)</f>
        <v>Proposed</v>
      </c>
      <c r="O329">
        <f>_xlfn.XLOOKUP($A329,'EA-Fortescue_SDExport'!$A:$A,'EA-Fortescue_SDExport'!O:O)</f>
        <v>1</v>
      </c>
      <c r="P329">
        <f>_xlfn.XLOOKUP($A329,'EA-Fortescue_SDExport'!$A:$A,'EA-Fortescue_SDExport'!P:P)</f>
        <v>0</v>
      </c>
      <c r="Q329">
        <f>_xlfn.XLOOKUP($A329,'EA-Fortescue_SDExport'!$A:$A,'EA-Fortescue_SDExport'!Q:Q)</f>
        <v>0</v>
      </c>
      <c r="R329">
        <f>_xlfn.XLOOKUP($A329,'EA-Fortescue_SDExport'!$A:$A,'EA-Fortescue_SDExport'!R:R)</f>
        <v>0</v>
      </c>
      <c r="S329">
        <f>_xlfn.XLOOKUP($A329,'EA-Fortescue_SDExport'!$A:$A,'EA-Fortescue_SDExport'!S:S)</f>
        <v>0</v>
      </c>
      <c r="T329">
        <f>_xlfn.XLOOKUP($A329,'EA-Fortescue_SDExport'!$A:$A,'EA-Fortescue_SDExport'!T:T)</f>
        <v>0</v>
      </c>
      <c r="U329">
        <f>_xlfn.XLOOKUP($A329,'EA-Fortescue_SDExport'!$A:$A,'EA-Fortescue_SDExport'!U:U)</f>
        <v>45987.968182870369</v>
      </c>
      <c r="V329">
        <f>_xlfn.XLOOKUP($A329,'EA-Fortescue_SDExport'!$A:$A,'EA-Fortescue_SDExport'!V:V)</f>
        <v>46002.004942129628</v>
      </c>
      <c r="W329">
        <f>_xlfn.XLOOKUP($A329,'EA-Fortescue_SDExport'!$A:$A,'EA-Fortescue_SDExport'!W:W)</f>
        <v>0</v>
      </c>
      <c r="X329">
        <f>_xlfn.XLOOKUP($A329,'EA-Fortescue_SDExport'!$A:$A,'EA-Fortescue_SDExport'!X:X)</f>
        <v>0</v>
      </c>
      <c r="Y329">
        <f>_xlfn.XLOOKUP($A329,'EA-Fortescue_SDExport'!$A:$A,'EA-Fortescue_SDExport'!Y:Y)</f>
        <v>0</v>
      </c>
      <c r="Z329" t="str">
        <f>_xlfn.XLOOKUP($A329,'EA-Fortescue_SDExport'!$A:$A,'EA-Fortescue_SDExport'!Z:Z)</f>
        <v>SysML1.4::InterfaceBlock</v>
      </c>
      <c r="AA329" t="str">
        <f>_xlfn.XLOOKUP($A329,InterfaceRegister!$A:$A,InterfaceRegister!B:B)</f>
        <v>005OP-0000-005-005 Weatherzone|855DC-1541-DEL Delphi</v>
      </c>
      <c r="AB329" t="str">
        <f>_xlfn.XLOOKUP($A329,InterfaceRegister!$A:$A,InterfaceRegister!C:C)</f>
        <v>Abby Buters</v>
      </c>
      <c r="AC329" t="str">
        <f>_xlfn.XLOOKUP($A329,InterfaceRegister!$A:$A,InterfaceRegister!D:D)</f>
        <v>Weatherzone Snowflake BAZ owner</v>
      </c>
      <c r="AD329" t="str">
        <f>_xlfn.XLOOKUP($A329,InterfaceRegister!$A:$A,InterfaceRegister!E:E)</f>
        <v>Project - Subsystem Interface</v>
      </c>
      <c r="AE329" t="str">
        <f>_xlfn.XLOOKUP($A329,InterfaceRegister!$A:$A,InterfaceRegister!F:F)</f>
        <v>Technical-Data/Software</v>
      </c>
      <c r="AF329" t="str">
        <f>_xlfn.XLOOKUP($A329,InterfaceRegister!$A:$A,InterfaceRegister!L:L)</f>
        <v>Weatherzone - Rain &amp; Lightning Forecasting (Snowflake Integration)_x000D_
The purpose of this interface is to allow Delphi to consume near-term rain and lightning forecast data provided by Weatherzone through Snowflake to support operator awareness and short-horizon planning. This information helps operators anticipate weather-driven impacts on operations, producing energy, manage risk, and adjust site activities proactively.</v>
      </c>
      <c r="AG329" t="str">
        <f>_xlfn.XLOOKUP($A329,InterfaceRegister!$A:$A,InterfaceRegister!M:M)</f>
        <v>HIGH</v>
      </c>
      <c r="AH329" t="str">
        <f>_xlfn.XLOOKUP($A329,InterfaceRegister!$A:$A,InterfaceRegister!O:O)</f>
        <v>Weatherzone Snowflake dataset -&gt; Delphi/Eclipse Snowflake (uni-directional).</v>
      </c>
      <c r="AI329" t="str">
        <f>_xlfn.XLOOKUP($A329,InterfaceRegister!$A:$A,InterfaceRegister!N:N)</f>
        <v>The criticality level is HIGH because timely rain and lightning forecasts are essential for maintaining safe and reliable operational planning. Failure risks safety and prevents proactive adjustment of site activities during volatile weather.</v>
      </c>
      <c r="AJ329" t="str">
        <f>_xlfn.XLOOKUP($A329,'EA-Fortescue_SDExport'!$A:$A,'EA-Fortescue_SDExport'!AX:AX)</f>
        <v>CSVE1145658</v>
      </c>
      <c r="AK329">
        <f>_xlfn.XLOOKUP($A329,'EA-Fortescue_SDExport'!$A:$A,'EA-Fortescue_SDExport'!AY:AY)</f>
        <v>0</v>
      </c>
    </row>
    <row r="330" spans="1:37" x14ac:dyDescent="0.25">
      <c r="A330" t="str">
        <v>DGS-I_0329</v>
      </c>
      <c r="B330" t="str">
        <f>_xlfn.XLOOKUP($A330,'EA-Fortescue_SDExport'!$A:$A,'EA-Fortescue_SDExport'!B:B)</f>
        <v>Class</v>
      </c>
      <c r="C330" t="str">
        <f>_xlfn.XLOOKUP($A330,'EA-Fortescue_SDExport'!$A:$A,'EA-Fortescue_SDExport'!C:C)</f>
        <v>{C2887C62-211E-4b1f-B173-9F81D459E711}</v>
      </c>
      <c r="D330" t="str">
        <f>_xlfn.LET(_xlpm.result, _xlfn.XLOOKUP($A330, InterfaceRegister!$A:$A, InterfaceRegister!P:P), IF(_xlpm.result=0, "", _xlpm.result))</f>
        <v/>
      </c>
      <c r="E330">
        <f>_xlfn.XLOOKUP($A330,'EA-Fortescue_SDExport'!$A:$A,'EA-Fortescue_SDExport'!E:E)</f>
        <v>1</v>
      </c>
      <c r="F330">
        <f>_xlfn.XLOOKUP($A330,'EA-Fortescue_SDExport'!$A:$A,'EA-Fortescue_SDExport'!F:F)</f>
        <v>1</v>
      </c>
      <c r="G330">
        <f>_xlfn.XLOOKUP($A330,'EA-Fortescue_SDExport'!$A:$A,'EA-Fortescue_SDExport'!G:G)</f>
        <v>0</v>
      </c>
      <c r="H330" t="str">
        <f>_xlfn.XLOOKUP($A330,'EA-Fortescue_SDExport'!$A:$A,'EA-Fortescue_SDExport'!H:H)</f>
        <v>InterfaceBlock</v>
      </c>
      <c r="I330" t="str">
        <f>_xlfn.XLOOKUP($A330,'EA-Fortescue_SDExport'!$A:$A,'EA-Fortescue_SDExport'!I:I)</f>
        <v>SysML1.4::InterfaceBlock</v>
      </c>
      <c r="J330" t="str">
        <f>_xlfn.XLOOKUP($A330,'EA-Fortescue_SDExport'!$A:$A,'EA-Fortescue_SDExport'!J:J)</f>
        <v>Java</v>
      </c>
      <c r="K330" t="str">
        <f>_xlfn.XLOOKUP($A330,'EA-Fortescue_SDExport'!$A:$A,'EA-Fortescue_SDExport'!K:K)</f>
        <v>Admin</v>
      </c>
      <c r="L330" t="str">
        <f>_xlfn.XLOOKUP($A330,'EA-Fortescue_SDExport'!$A:$A,'EA-Fortescue_SDExport'!L:L)</f>
        <v>Public</v>
      </c>
      <c r="M330">
        <f>_xlfn.XLOOKUP($A330,'EA-Fortescue_SDExport'!$A:$A,'EA-Fortescue_SDExport'!M:M)</f>
        <v>0</v>
      </c>
      <c r="N330" t="str">
        <f>_xlfn.XLOOKUP($A330,InterfaceRegister!$A:$A,InterfaceRegister!K:K)</f>
        <v>Proposed</v>
      </c>
      <c r="O330">
        <f>_xlfn.XLOOKUP($A330,'EA-Fortescue_SDExport'!$A:$A,'EA-Fortescue_SDExport'!O:O)</f>
        <v>1</v>
      </c>
      <c r="P330">
        <f>_xlfn.XLOOKUP($A330,'EA-Fortescue_SDExport'!$A:$A,'EA-Fortescue_SDExport'!P:P)</f>
        <v>0</v>
      </c>
      <c r="Q330">
        <f>_xlfn.XLOOKUP($A330,'EA-Fortescue_SDExport'!$A:$A,'EA-Fortescue_SDExport'!Q:Q)</f>
        <v>0</v>
      </c>
      <c r="R330">
        <f>_xlfn.XLOOKUP($A330,'EA-Fortescue_SDExport'!$A:$A,'EA-Fortescue_SDExport'!R:R)</f>
        <v>0</v>
      </c>
      <c r="S330">
        <f>_xlfn.XLOOKUP($A330,'EA-Fortescue_SDExport'!$A:$A,'EA-Fortescue_SDExport'!S:S)</f>
        <v>0</v>
      </c>
      <c r="T330">
        <f>_xlfn.XLOOKUP($A330,'EA-Fortescue_SDExport'!$A:$A,'EA-Fortescue_SDExport'!T:T)</f>
        <v>0</v>
      </c>
      <c r="U330">
        <f>_xlfn.XLOOKUP($A330,'EA-Fortescue_SDExport'!$A:$A,'EA-Fortescue_SDExport'!U:U)</f>
        <v>45987.968194444446</v>
      </c>
      <c r="V330">
        <f>_xlfn.XLOOKUP($A330,'EA-Fortescue_SDExport'!$A:$A,'EA-Fortescue_SDExport'!V:V)</f>
        <v>46002.004976851851</v>
      </c>
      <c r="W330">
        <f>_xlfn.XLOOKUP($A330,'EA-Fortescue_SDExport'!$A:$A,'EA-Fortescue_SDExport'!W:W)</f>
        <v>0</v>
      </c>
      <c r="X330">
        <f>_xlfn.XLOOKUP($A330,'EA-Fortescue_SDExport'!$A:$A,'EA-Fortescue_SDExport'!X:X)</f>
        <v>0</v>
      </c>
      <c r="Y330">
        <f>_xlfn.XLOOKUP($A330,'EA-Fortescue_SDExport'!$A:$A,'EA-Fortescue_SDExport'!Y:Y)</f>
        <v>0</v>
      </c>
      <c r="Z330" t="str">
        <f>_xlfn.XLOOKUP($A330,'EA-Fortescue_SDExport'!$A:$A,'EA-Fortescue_SDExport'!Z:Z)</f>
        <v>SysML1.4::InterfaceBlock</v>
      </c>
      <c r="AA330" t="str">
        <f>_xlfn.XLOOKUP($A330,InterfaceRegister!$A:$A,InterfaceRegister!B:B)</f>
        <v>005OP-0000-005-006 Atevia (Solar NSJ)|855DC-1541-DEL Delphi</v>
      </c>
      <c r="AB330" t="str">
        <f>_xlfn.XLOOKUP($A330,InterfaceRegister!$A:$A,InterfaceRegister!C:C)</f>
        <v>Abby Buters</v>
      </c>
      <c r="AC330" t="str">
        <f>_xlfn.XLOOKUP($A330,InterfaceRegister!$A:$A,InterfaceRegister!D:D)</f>
        <v>Energy Operations Kareema Ramli</v>
      </c>
      <c r="AD330" t="str">
        <f>_xlfn.XLOOKUP($A330,InterfaceRegister!$A:$A,InterfaceRegister!E:E)</f>
        <v>Project - Subsystem Interface</v>
      </c>
      <c r="AE330" t="str">
        <f>_xlfn.XLOOKUP($A330,InterfaceRegister!$A:$A,InterfaceRegister!F:F)</f>
        <v>Technical-Data/Software</v>
      </c>
      <c r="AF330" t="str">
        <f>_xlfn.XLOOKUP($A330,InterfaceRegister!$A:$A,InterfaceRegister!L:L)</f>
        <v>Atevia PI - North Star Junction Solar Irradiance Actuals_x000D_
The purpose of this interface is for Eclipse to consume real-time and historical irradiance (W/m2) measurements provided by the Atevia PI web API from the North Star Junction solar farm. Eclipse uses this data to understand actual solar resource availability, validate forecast performance, and support short-term operational decisions for solar generation and Battery Energy Storage System (BESS) management.</v>
      </c>
      <c r="AG330" t="str">
        <f>_xlfn.XLOOKUP($A330,InterfaceRegister!$A:$A,InterfaceRegister!M:M)</f>
        <v>HIGH</v>
      </c>
      <c r="AH330" t="str">
        <f>_xlfn.XLOOKUP($A330,InterfaceRegister!$A:$A,InterfaceRegister!O:O)</f>
        <v>Atevia PI Web API -&gt; Delphi ingestion -&gt; Delphi Snowflake (uni-directional).</v>
      </c>
      <c r="AI330" t="str">
        <f>_xlfn.XLOOKUP($A330,InterfaceRegister!$A:$A,InterfaceRegister!N:N)</f>
        <v>The criticality level is HIGH because accurate irradiance actuals are essential for near-term operational awareness, forecast validation, and reliable solar generation planning. Failure can compromise short-term operational decisions.</v>
      </c>
      <c r="AJ330" t="str">
        <f>_xlfn.XLOOKUP($A330,'EA-Fortescue_SDExport'!$A:$A,'EA-Fortescue_SDExport'!AX:AX)</f>
        <v>CSVF6D58862</v>
      </c>
      <c r="AK330">
        <f>_xlfn.XLOOKUP($A330,'EA-Fortescue_SDExport'!$A:$A,'EA-Fortescue_SDExport'!AY:AY)</f>
        <v>0</v>
      </c>
    </row>
    <row r="331" spans="1:37" x14ac:dyDescent="0.25">
      <c r="A331" t="str">
        <v>DGS-I_0330</v>
      </c>
      <c r="B331" t="str">
        <f>_xlfn.XLOOKUP($A331,'EA-Fortescue_SDExport'!$A:$A,'EA-Fortescue_SDExport'!B:B)</f>
        <v>Class</v>
      </c>
      <c r="C331" t="str">
        <f>_xlfn.XLOOKUP($A331,'EA-Fortescue_SDExport'!$A:$A,'EA-Fortescue_SDExport'!C:C)</f>
        <v>{95CA7A0B-EC49-4b9c-AF48-0DBE0BB465CE}</v>
      </c>
      <c r="D331" t="str">
        <f>_xlfn.LET(_xlpm.result, _xlfn.XLOOKUP($A331, InterfaceRegister!$A:$A, InterfaceRegister!P:P), IF(_xlpm.result=0, "", _xlpm.result))</f>
        <v/>
      </c>
      <c r="E331">
        <f>_xlfn.XLOOKUP($A331,'EA-Fortescue_SDExport'!$A:$A,'EA-Fortescue_SDExport'!E:E)</f>
        <v>1</v>
      </c>
      <c r="F331">
        <f>_xlfn.XLOOKUP($A331,'EA-Fortescue_SDExport'!$A:$A,'EA-Fortescue_SDExport'!F:F)</f>
        <v>1</v>
      </c>
      <c r="G331">
        <f>_xlfn.XLOOKUP($A331,'EA-Fortescue_SDExport'!$A:$A,'EA-Fortescue_SDExport'!G:G)</f>
        <v>0</v>
      </c>
      <c r="H331" t="str">
        <f>_xlfn.XLOOKUP($A331,'EA-Fortescue_SDExport'!$A:$A,'EA-Fortescue_SDExport'!H:H)</f>
        <v>InterfaceBlock</v>
      </c>
      <c r="I331" t="str">
        <f>_xlfn.XLOOKUP($A331,'EA-Fortescue_SDExport'!$A:$A,'EA-Fortescue_SDExport'!I:I)</f>
        <v>SysML1.4::InterfaceBlock</v>
      </c>
      <c r="J331" t="str">
        <f>_xlfn.XLOOKUP($A331,'EA-Fortescue_SDExport'!$A:$A,'EA-Fortescue_SDExport'!J:J)</f>
        <v>Java</v>
      </c>
      <c r="K331" t="str">
        <f>_xlfn.XLOOKUP($A331,'EA-Fortescue_SDExport'!$A:$A,'EA-Fortescue_SDExport'!K:K)</f>
        <v>Admin</v>
      </c>
      <c r="L331" t="str">
        <f>_xlfn.XLOOKUP($A331,'EA-Fortescue_SDExport'!$A:$A,'EA-Fortescue_SDExport'!L:L)</f>
        <v>Public</v>
      </c>
      <c r="M331">
        <f>_xlfn.XLOOKUP($A331,'EA-Fortescue_SDExport'!$A:$A,'EA-Fortescue_SDExport'!M:M)</f>
        <v>0</v>
      </c>
      <c r="N331" t="str">
        <f>_xlfn.XLOOKUP($A331,InterfaceRegister!$A:$A,InterfaceRegister!K:K)</f>
        <v>Proposed</v>
      </c>
      <c r="O331">
        <f>_xlfn.XLOOKUP($A331,'EA-Fortescue_SDExport'!$A:$A,'EA-Fortescue_SDExport'!O:O)</f>
        <v>1</v>
      </c>
      <c r="P331">
        <f>_xlfn.XLOOKUP($A331,'EA-Fortescue_SDExport'!$A:$A,'EA-Fortescue_SDExport'!P:P)</f>
        <v>0</v>
      </c>
      <c r="Q331">
        <f>_xlfn.XLOOKUP($A331,'EA-Fortescue_SDExport'!$A:$A,'EA-Fortescue_SDExport'!Q:Q)</f>
        <v>0</v>
      </c>
      <c r="R331">
        <f>_xlfn.XLOOKUP($A331,'EA-Fortescue_SDExport'!$A:$A,'EA-Fortescue_SDExport'!R:R)</f>
        <v>0</v>
      </c>
      <c r="S331">
        <f>_xlfn.XLOOKUP($A331,'EA-Fortescue_SDExport'!$A:$A,'EA-Fortescue_SDExport'!S:S)</f>
        <v>0</v>
      </c>
      <c r="T331">
        <f>_xlfn.XLOOKUP($A331,'EA-Fortescue_SDExport'!$A:$A,'EA-Fortescue_SDExport'!T:T)</f>
        <v>0</v>
      </c>
      <c r="U331">
        <f>_xlfn.XLOOKUP($A331,'EA-Fortescue_SDExport'!$A:$A,'EA-Fortescue_SDExport'!U:U)</f>
        <v>45987.968240740738</v>
      </c>
      <c r="V331">
        <f>_xlfn.XLOOKUP($A331,'EA-Fortescue_SDExport'!$A:$A,'EA-Fortescue_SDExport'!V:V)</f>
        <v>46002.004942129628</v>
      </c>
      <c r="W331">
        <f>_xlfn.XLOOKUP($A331,'EA-Fortescue_SDExport'!$A:$A,'EA-Fortescue_SDExport'!W:W)</f>
        <v>0</v>
      </c>
      <c r="X331">
        <f>_xlfn.XLOOKUP($A331,'EA-Fortescue_SDExport'!$A:$A,'EA-Fortescue_SDExport'!X:X)</f>
        <v>0</v>
      </c>
      <c r="Y331">
        <f>_xlfn.XLOOKUP($A331,'EA-Fortescue_SDExport'!$A:$A,'EA-Fortescue_SDExport'!Y:Y)</f>
        <v>0</v>
      </c>
      <c r="Z331" t="str">
        <f>_xlfn.XLOOKUP($A331,'EA-Fortescue_SDExport'!$A:$A,'EA-Fortescue_SDExport'!Z:Z)</f>
        <v>SysML1.4::InterfaceBlock</v>
      </c>
      <c r="AA331" t="str">
        <f>_xlfn.XLOOKUP($A331,InterfaceRegister!$A:$A,InterfaceRegister!B:B)</f>
        <v>Vaisala|855DC-1541-DEL Delphi</v>
      </c>
      <c r="AB331" t="str">
        <f>_xlfn.XLOOKUP($A331,InterfaceRegister!$A:$A,InterfaceRegister!C:C)</f>
        <v>Abby Buters</v>
      </c>
      <c r="AC331" t="str">
        <f>_xlfn.XLOOKUP($A331,InterfaceRegister!$A:$A,InterfaceRegister!D:D)</f>
        <v>External Vendor</v>
      </c>
      <c r="AD331" t="str">
        <f>_xlfn.XLOOKUP($A331,InterfaceRegister!$A:$A,InterfaceRegister!E:E)</f>
        <v>External Software - Project Interface</v>
      </c>
      <c r="AE331" t="str">
        <f>_xlfn.XLOOKUP($A331,InterfaceRegister!$A:$A,InterfaceRegister!F:F)</f>
        <v>Technical-Data/Software</v>
      </c>
      <c r="AF331" t="str">
        <f>_xlfn.XLOOKUP($A331,InterfaceRegister!$A:$A,InterfaceRegister!L:L)</f>
        <v>Vaisala -Wind Forecast API Integration_x000D_
The purpose of this interface is to allow Delphi to consume the high-resolution wind forecasting provided by Vaisala via API to support short-term operational planning. These forecasts - covering wind speed, direction, and gust information - help operators anticipate generation impacts, manage variability, and adjust site operations proactively.</v>
      </c>
      <c r="AG331" t="str">
        <f>_xlfn.XLOOKUP($A331,InterfaceRegister!$A:$A,InterfaceRegister!M:M)</f>
        <v>HIGH</v>
      </c>
      <c r="AH331" t="str">
        <f>_xlfn.XLOOKUP($A331,InterfaceRegister!$A:$A,InterfaceRegister!O:O)</f>
        <v>Vaisala Wind Forecast API -&gt; Delphi ingest -&gt; Delphi Snowflake (uni-directional).</v>
      </c>
      <c r="AI331" t="str">
        <f>_xlfn.XLOOKUP($A331,InterfaceRegister!$A:$A,InterfaceRegister!N:N)</f>
        <v>The criticality level is HIGH because accurate and timely wind forecasts are essential for maintaining reliable operational planning. Failure risks safety considerations and prevents proactive management of wind-sensitive generation.</v>
      </c>
      <c r="AJ331" t="str">
        <f>_xlfn.XLOOKUP($A331,'EA-Fortescue_SDExport'!$A:$A,'EA-Fortescue_SDExport'!AX:AX)</f>
        <v>CSVAB842596</v>
      </c>
      <c r="AK331">
        <f>_xlfn.XLOOKUP($A331,'EA-Fortescue_SDExport'!$A:$A,'EA-Fortescue_SDExport'!AY:AY)</f>
        <v>0</v>
      </c>
    </row>
    <row r="332" spans="1:37" x14ac:dyDescent="0.25">
      <c r="A332" t="str">
        <v>DGS-I_0331</v>
      </c>
      <c r="B332" t="str">
        <f>_xlfn.XLOOKUP($A332,'EA-Fortescue_SDExport'!$A:$A,'EA-Fortescue_SDExport'!B:B)</f>
        <v>Class</v>
      </c>
      <c r="C332" t="str">
        <f>_xlfn.XLOOKUP($A332,'EA-Fortescue_SDExport'!$A:$A,'EA-Fortescue_SDExport'!C:C)</f>
        <v>{2D95D764-E738-4f23-A55B-8C7A2AD21821}</v>
      </c>
      <c r="D332" t="str">
        <f>_xlfn.LET(_xlpm.result, _xlfn.XLOOKUP($A332, InterfaceRegister!$A:$A, InterfaceRegister!P:P), IF(_xlpm.result=0, "", _xlpm.result))</f>
        <v/>
      </c>
      <c r="E332">
        <f>_xlfn.XLOOKUP($A332,'EA-Fortescue_SDExport'!$A:$A,'EA-Fortescue_SDExport'!E:E)</f>
        <v>1</v>
      </c>
      <c r="F332">
        <f>_xlfn.XLOOKUP($A332,'EA-Fortescue_SDExport'!$A:$A,'EA-Fortescue_SDExport'!F:F)</f>
        <v>1</v>
      </c>
      <c r="G332">
        <f>_xlfn.XLOOKUP($A332,'EA-Fortescue_SDExport'!$A:$A,'EA-Fortescue_SDExport'!G:G)</f>
        <v>0</v>
      </c>
      <c r="H332" t="str">
        <f>_xlfn.XLOOKUP($A332,'EA-Fortescue_SDExport'!$A:$A,'EA-Fortescue_SDExport'!H:H)</f>
        <v>InterfaceBlock</v>
      </c>
      <c r="I332" t="str">
        <f>_xlfn.XLOOKUP($A332,'EA-Fortescue_SDExport'!$A:$A,'EA-Fortescue_SDExport'!I:I)</f>
        <v>SysML1.4::InterfaceBlock</v>
      </c>
      <c r="J332" t="str">
        <f>_xlfn.XLOOKUP($A332,'EA-Fortescue_SDExport'!$A:$A,'EA-Fortescue_SDExport'!J:J)</f>
        <v>Java</v>
      </c>
      <c r="K332" t="str">
        <f>_xlfn.XLOOKUP($A332,'EA-Fortescue_SDExport'!$A:$A,'EA-Fortescue_SDExport'!K:K)</f>
        <v>Admin</v>
      </c>
      <c r="L332" t="str">
        <f>_xlfn.XLOOKUP($A332,'EA-Fortescue_SDExport'!$A:$A,'EA-Fortescue_SDExport'!L:L)</f>
        <v>Public</v>
      </c>
      <c r="M332">
        <f>_xlfn.XLOOKUP($A332,'EA-Fortescue_SDExport'!$A:$A,'EA-Fortescue_SDExport'!M:M)</f>
        <v>0</v>
      </c>
      <c r="N332" t="str">
        <f>_xlfn.XLOOKUP($A332,InterfaceRegister!$A:$A,InterfaceRegister!K:K)</f>
        <v>Proposed</v>
      </c>
      <c r="O332">
        <f>_xlfn.XLOOKUP($A332,'EA-Fortescue_SDExport'!$A:$A,'EA-Fortescue_SDExport'!O:O)</f>
        <v>1</v>
      </c>
      <c r="P332">
        <f>_xlfn.XLOOKUP($A332,'EA-Fortescue_SDExport'!$A:$A,'EA-Fortescue_SDExport'!P:P)</f>
        <v>0</v>
      </c>
      <c r="Q332">
        <f>_xlfn.XLOOKUP($A332,'EA-Fortescue_SDExport'!$A:$A,'EA-Fortescue_SDExport'!Q:Q)</f>
        <v>0</v>
      </c>
      <c r="R332">
        <f>_xlfn.XLOOKUP($A332,'EA-Fortescue_SDExport'!$A:$A,'EA-Fortescue_SDExport'!R:R)</f>
        <v>0</v>
      </c>
      <c r="S332">
        <f>_xlfn.XLOOKUP($A332,'EA-Fortescue_SDExport'!$A:$A,'EA-Fortescue_SDExport'!S:S)</f>
        <v>0</v>
      </c>
      <c r="T332">
        <f>_xlfn.XLOOKUP($A332,'EA-Fortescue_SDExport'!$A:$A,'EA-Fortescue_SDExport'!T:T)</f>
        <v>0</v>
      </c>
      <c r="U332">
        <f>_xlfn.XLOOKUP($A332,'EA-Fortescue_SDExport'!$A:$A,'EA-Fortescue_SDExport'!U:U)</f>
        <v>45987.968263888892</v>
      </c>
      <c r="V332">
        <f>_xlfn.XLOOKUP($A332,'EA-Fortescue_SDExport'!$A:$A,'EA-Fortescue_SDExport'!V:V)</f>
        <v>46002.004930555559</v>
      </c>
      <c r="W332">
        <f>_xlfn.XLOOKUP($A332,'EA-Fortescue_SDExport'!$A:$A,'EA-Fortescue_SDExport'!W:W)</f>
        <v>0</v>
      </c>
      <c r="X332">
        <f>_xlfn.XLOOKUP($A332,'EA-Fortescue_SDExport'!$A:$A,'EA-Fortescue_SDExport'!X:X)</f>
        <v>0</v>
      </c>
      <c r="Y332">
        <f>_xlfn.XLOOKUP($A332,'EA-Fortescue_SDExport'!$A:$A,'EA-Fortescue_SDExport'!Y:Y)</f>
        <v>0</v>
      </c>
      <c r="Z332" t="str">
        <f>_xlfn.XLOOKUP($A332,'EA-Fortescue_SDExport'!$A:$A,'EA-Fortescue_SDExport'!Z:Z)</f>
        <v>SysML1.4::InterfaceBlock</v>
      </c>
      <c r="AA332" t="str">
        <f>_xlfn.XLOOKUP($A332,InterfaceRegister!$A:$A,InterfaceRegister!B:B)</f>
        <v>005OP-0000-005-002 Snowflake (Wind)|855DC-1541-DEL Delphi</v>
      </c>
      <c r="AB332" t="str">
        <f>_xlfn.XLOOKUP($A332,InterfaceRegister!$A:$A,InterfaceRegister!C:C)</f>
        <v>Abby Buters</v>
      </c>
      <c r="AC332" t="str">
        <f>_xlfn.XLOOKUP($A332,InterfaceRegister!$A:$A,InterfaceRegister!D:D)</f>
        <v>Steve Alilovic, Wind engineering team</v>
      </c>
      <c r="AD332" t="str">
        <f>_xlfn.XLOOKUP($A332,InterfaceRegister!$A:$A,InterfaceRegister!E:E)</f>
        <v>Project - Subsystem Interface</v>
      </c>
      <c r="AE332" t="str">
        <f>_xlfn.XLOOKUP($A332,InterfaceRegister!$A:$A,InterfaceRegister!F:F)</f>
        <v>Technical-Data/Software</v>
      </c>
      <c r="AF332" t="str">
        <f>_xlfn.XLOOKUP($A332,InterfaceRegister!$A:$A,InterfaceRegister!L:L)</f>
        <v>Wind Actuals - Field Measurement Data (Multiple Heights)_x000D_
The purpose of this interface is to allow Delphi to collect wind actuals from on-site field instruments, which provide measured wind speeds at multiple heights. Delphi uses this data to validate wind forecasts, support operational decision-making, and improve modelling accuracy for short-term planning.</v>
      </c>
      <c r="AG332" t="str">
        <f>_xlfn.XLOOKUP($A332,InterfaceRegister!$A:$A,InterfaceRegister!M:M)</f>
        <v>HIGH</v>
      </c>
      <c r="AH332" t="str">
        <f>_xlfn.XLOOKUP($A332,InterfaceRegister!$A:$A,InterfaceRegister!O:O)</f>
        <v>Field wind measurement systems -&gt; Wind Actuals Snowflake -&gt; Delphi ingest -&gt; Delphi Snowflake (uni-directional).</v>
      </c>
      <c r="AI332" t="str">
        <f>_xlfn.XLOOKUP($A332,InterfaceRegister!$A:$A,InterfaceRegister!N:N)</f>
        <v>The criticality level is HIGH because accurate multi-height wind measurements are essential for validating forecast models and supporting reliable near-term operational planning. Failure compromises modelling accuracy.</v>
      </c>
      <c r="AJ332" t="str">
        <f>_xlfn.XLOOKUP($A332,'EA-Fortescue_SDExport'!$A:$A,'EA-Fortescue_SDExport'!AX:AX)</f>
        <v>CSVF66DE4DD</v>
      </c>
      <c r="AK332">
        <f>_xlfn.XLOOKUP($A332,'EA-Fortescue_SDExport'!$A:$A,'EA-Fortescue_SDExport'!AY:AY)</f>
        <v>0</v>
      </c>
    </row>
    <row r="333" spans="1:37" x14ac:dyDescent="0.25">
      <c r="A333" t="str">
        <v>DGS-I_0332</v>
      </c>
      <c r="B333" t="str">
        <f>_xlfn.XLOOKUP($A333,'EA-Fortescue_SDExport'!$A:$A,'EA-Fortescue_SDExport'!B:B)</f>
        <v>Class</v>
      </c>
      <c r="C333" t="str">
        <f>_xlfn.XLOOKUP($A333,'EA-Fortescue_SDExport'!$A:$A,'EA-Fortescue_SDExport'!C:C)</f>
        <v>{AFB7927E-4DAE-4f83-84DF-F9BF2D323EB8}</v>
      </c>
      <c r="D333" t="str">
        <f>_xlfn.LET(_xlpm.result, _xlfn.XLOOKUP($A333, InterfaceRegister!$A:$A, InterfaceRegister!P:P), IF(_xlpm.result=0, "", _xlpm.result))</f>
        <v/>
      </c>
      <c r="E333">
        <f>_xlfn.XLOOKUP($A333,'EA-Fortescue_SDExport'!$A:$A,'EA-Fortescue_SDExport'!E:E)</f>
        <v>1</v>
      </c>
      <c r="F333">
        <f>_xlfn.XLOOKUP($A333,'EA-Fortescue_SDExport'!$A:$A,'EA-Fortescue_SDExport'!F:F)</f>
        <v>1</v>
      </c>
      <c r="G333">
        <f>_xlfn.XLOOKUP($A333,'EA-Fortescue_SDExport'!$A:$A,'EA-Fortescue_SDExport'!G:G)</f>
        <v>0</v>
      </c>
      <c r="H333" t="str">
        <f>_xlfn.XLOOKUP($A333,'EA-Fortescue_SDExport'!$A:$A,'EA-Fortescue_SDExport'!H:H)</f>
        <v>InterfaceBlock</v>
      </c>
      <c r="I333" t="str">
        <f>_xlfn.XLOOKUP($A333,'EA-Fortescue_SDExport'!$A:$A,'EA-Fortescue_SDExport'!I:I)</f>
        <v>SysML1.4::InterfaceBlock</v>
      </c>
      <c r="J333" t="str">
        <f>_xlfn.XLOOKUP($A333,'EA-Fortescue_SDExport'!$A:$A,'EA-Fortescue_SDExport'!J:J)</f>
        <v>Java</v>
      </c>
      <c r="K333" t="str">
        <f>_xlfn.XLOOKUP($A333,'EA-Fortescue_SDExport'!$A:$A,'EA-Fortescue_SDExport'!K:K)</f>
        <v>Admin</v>
      </c>
      <c r="L333" t="str">
        <f>_xlfn.XLOOKUP($A333,'EA-Fortescue_SDExport'!$A:$A,'EA-Fortescue_SDExport'!L:L)</f>
        <v>Public</v>
      </c>
      <c r="M333">
        <f>_xlfn.XLOOKUP($A333,'EA-Fortescue_SDExport'!$A:$A,'EA-Fortescue_SDExport'!M:M)</f>
        <v>0</v>
      </c>
      <c r="N333" t="str">
        <f>_xlfn.XLOOKUP($A333,InterfaceRegister!$A:$A,InterfaceRegister!K:K)</f>
        <v>Proposed</v>
      </c>
      <c r="O333">
        <f>_xlfn.XLOOKUP($A333,'EA-Fortescue_SDExport'!$A:$A,'EA-Fortescue_SDExport'!O:O)</f>
        <v>1</v>
      </c>
      <c r="P333">
        <f>_xlfn.XLOOKUP($A333,'EA-Fortescue_SDExport'!$A:$A,'EA-Fortescue_SDExport'!P:P)</f>
        <v>0</v>
      </c>
      <c r="Q333">
        <f>_xlfn.XLOOKUP($A333,'EA-Fortescue_SDExport'!$A:$A,'EA-Fortescue_SDExport'!Q:Q)</f>
        <v>0</v>
      </c>
      <c r="R333">
        <f>_xlfn.XLOOKUP($A333,'EA-Fortescue_SDExport'!$A:$A,'EA-Fortescue_SDExport'!R:R)</f>
        <v>0</v>
      </c>
      <c r="S333">
        <f>_xlfn.XLOOKUP($A333,'EA-Fortescue_SDExport'!$A:$A,'EA-Fortescue_SDExport'!S:S)</f>
        <v>0</v>
      </c>
      <c r="T333">
        <f>_xlfn.XLOOKUP($A333,'EA-Fortescue_SDExport'!$A:$A,'EA-Fortescue_SDExport'!T:T)</f>
        <v>0</v>
      </c>
      <c r="U333">
        <f>_xlfn.XLOOKUP($A333,'EA-Fortescue_SDExport'!$A:$A,'EA-Fortescue_SDExport'!U:U)</f>
        <v>45987.968275462961</v>
      </c>
      <c r="V333">
        <f>_xlfn.XLOOKUP($A333,'EA-Fortescue_SDExport'!$A:$A,'EA-Fortescue_SDExport'!V:V)</f>
        <v>46002.004942129628</v>
      </c>
      <c r="W333">
        <f>_xlfn.XLOOKUP($A333,'EA-Fortescue_SDExport'!$A:$A,'EA-Fortescue_SDExport'!W:W)</f>
        <v>0</v>
      </c>
      <c r="X333">
        <f>_xlfn.XLOOKUP($A333,'EA-Fortescue_SDExport'!$A:$A,'EA-Fortescue_SDExport'!X:X)</f>
        <v>0</v>
      </c>
      <c r="Y333">
        <f>_xlfn.XLOOKUP($A333,'EA-Fortescue_SDExport'!$A:$A,'EA-Fortescue_SDExport'!Y:Y)</f>
        <v>0</v>
      </c>
      <c r="Z333" t="str">
        <f>_xlfn.XLOOKUP($A333,'EA-Fortescue_SDExport'!$A:$A,'EA-Fortescue_SDExport'!Z:Z)</f>
        <v>SysML1.4::InterfaceBlock</v>
      </c>
      <c r="AA333" t="str">
        <f>_xlfn.XLOOKUP($A333,InterfaceRegister!$A:$A,InterfaceRegister!B:B)</f>
        <v>DNV|855DC-1541-DEL Delphi</v>
      </c>
      <c r="AB333" t="str">
        <f>_xlfn.XLOOKUP($A333,InterfaceRegister!$A:$A,InterfaceRegister!C:C)</f>
        <v>Abby Buters</v>
      </c>
      <c r="AC333" t="str">
        <f>_xlfn.XLOOKUP($A333,InterfaceRegister!$A:$A,InterfaceRegister!D:D)</f>
        <v>External Vendor</v>
      </c>
      <c r="AD333" t="str">
        <f>_xlfn.XLOOKUP($A333,InterfaceRegister!$A:$A,InterfaceRegister!E:E)</f>
        <v>External Software - Project Interface</v>
      </c>
      <c r="AE333" t="str">
        <f>_xlfn.XLOOKUP($A333,InterfaceRegister!$A:$A,InterfaceRegister!F:F)</f>
        <v>Technical-Data/Software</v>
      </c>
      <c r="AF333" t="str">
        <f>_xlfn.XLOOKUP($A333,InterfaceRegister!$A:$A,InterfaceRegister!L:L)</f>
        <v>DNV - External Wind Forecast Provider_x000D_
The purpose of this interface is for Delphi to integrate with DNV to receive external wind forecast data in support of short-term and medium-term operational planning. These forecasts include wind speed, direction, and related metrics, enabling comparison against internal forecasts, improving confidence in planning decisions, and informing generation and curtailment strategies._x000D_
Intermediate Elements: Snowflake (storage and distribution of DNV wind forecast data).</v>
      </c>
      <c r="AG333" t="str">
        <f>_xlfn.XLOOKUP($A333,InterfaceRegister!$A:$A,InterfaceRegister!M:M)</f>
        <v>HIGH</v>
      </c>
      <c r="AH333" t="str">
        <f>_xlfn.XLOOKUP($A333,InterfaceRegister!$A:$A,InterfaceRegister!O:O)</f>
        <v>DNV wind forecast feed/API -&gt; Delphi ingest -&gt; Delphi Snowflake (uni-directional).</v>
      </c>
      <c r="AI333" t="str">
        <f>_xlfn.XLOOKUP($A333,InterfaceRegister!$A:$A,InterfaceRegister!N:N)</f>
        <v>The criticality level is HIGH because independent, high-quality wind forecasts are important for validating internal models and reducing forecast risk. Failure impacts the reliability of generation and curtailment strategies.</v>
      </c>
      <c r="AJ333" t="str">
        <f>_xlfn.XLOOKUP($A333,'EA-Fortescue_SDExport'!$A:$A,'EA-Fortescue_SDExport'!AX:AX)</f>
        <v>CSVED3F293A</v>
      </c>
      <c r="AK333">
        <f>_xlfn.XLOOKUP($A333,'EA-Fortescue_SDExport'!$A:$A,'EA-Fortescue_SDExport'!AY:AY)</f>
        <v>0</v>
      </c>
    </row>
    <row r="334" spans="1:37" x14ac:dyDescent="0.25">
      <c r="A334" t="str">
        <v>DGS-I_0333</v>
      </c>
      <c r="B334" t="str">
        <f>_xlfn.XLOOKUP($A334,'EA-Fortescue_SDExport'!$A:$A,'EA-Fortescue_SDExport'!B:B)</f>
        <v>Class</v>
      </c>
      <c r="C334" t="str">
        <f>_xlfn.XLOOKUP($A334,'EA-Fortescue_SDExport'!$A:$A,'EA-Fortescue_SDExport'!C:C)</f>
        <v>{898A79CC-825C-4939-AB03-96203DFC817B}</v>
      </c>
      <c r="D334" t="str">
        <f>_xlfn.LET(_xlpm.result, _xlfn.XLOOKUP($A334, InterfaceRegister!$A:$A, InterfaceRegister!P:P), IF(_xlpm.result=0, "", _xlpm.result))</f>
        <v/>
      </c>
      <c r="E334">
        <f>_xlfn.XLOOKUP($A334,'EA-Fortescue_SDExport'!$A:$A,'EA-Fortescue_SDExport'!E:E)</f>
        <v>1</v>
      </c>
      <c r="F334">
        <f>_xlfn.XLOOKUP($A334,'EA-Fortescue_SDExport'!$A:$A,'EA-Fortescue_SDExport'!F:F)</f>
        <v>1</v>
      </c>
      <c r="G334">
        <f>_xlfn.XLOOKUP($A334,'EA-Fortescue_SDExport'!$A:$A,'EA-Fortescue_SDExport'!G:G)</f>
        <v>0</v>
      </c>
      <c r="H334" t="str">
        <f>_xlfn.XLOOKUP($A334,'EA-Fortescue_SDExport'!$A:$A,'EA-Fortescue_SDExport'!H:H)</f>
        <v>InterfaceBlock</v>
      </c>
      <c r="I334" t="str">
        <f>_xlfn.XLOOKUP($A334,'EA-Fortescue_SDExport'!$A:$A,'EA-Fortescue_SDExport'!I:I)</f>
        <v>SysML1.4::InterfaceBlock</v>
      </c>
      <c r="J334" t="str">
        <f>_xlfn.XLOOKUP($A334,'EA-Fortescue_SDExport'!$A:$A,'EA-Fortescue_SDExport'!J:J)</f>
        <v>Java</v>
      </c>
      <c r="K334" t="str">
        <f>_xlfn.XLOOKUP($A334,'EA-Fortescue_SDExport'!$A:$A,'EA-Fortescue_SDExport'!K:K)</f>
        <v>Admin</v>
      </c>
      <c r="L334" t="str">
        <f>_xlfn.XLOOKUP($A334,'EA-Fortescue_SDExport'!$A:$A,'EA-Fortescue_SDExport'!L:L)</f>
        <v>Public</v>
      </c>
      <c r="M334">
        <f>_xlfn.XLOOKUP($A334,'EA-Fortescue_SDExport'!$A:$A,'EA-Fortescue_SDExport'!M:M)</f>
        <v>0</v>
      </c>
      <c r="N334" t="str">
        <f>_xlfn.XLOOKUP($A334,InterfaceRegister!$A:$A,InterfaceRegister!K:K)</f>
        <v>Proposed</v>
      </c>
      <c r="O334">
        <f>_xlfn.XLOOKUP($A334,'EA-Fortescue_SDExport'!$A:$A,'EA-Fortescue_SDExport'!O:O)</f>
        <v>1</v>
      </c>
      <c r="P334">
        <f>_xlfn.XLOOKUP($A334,'EA-Fortescue_SDExport'!$A:$A,'EA-Fortescue_SDExport'!P:P)</f>
        <v>0</v>
      </c>
      <c r="Q334">
        <f>_xlfn.XLOOKUP($A334,'EA-Fortescue_SDExport'!$A:$A,'EA-Fortescue_SDExport'!Q:Q)</f>
        <v>0</v>
      </c>
      <c r="R334">
        <f>_xlfn.XLOOKUP($A334,'EA-Fortescue_SDExport'!$A:$A,'EA-Fortescue_SDExport'!R:R)</f>
        <v>0</v>
      </c>
      <c r="S334">
        <f>_xlfn.XLOOKUP($A334,'EA-Fortescue_SDExport'!$A:$A,'EA-Fortescue_SDExport'!S:S)</f>
        <v>0</v>
      </c>
      <c r="T334">
        <f>_xlfn.XLOOKUP($A334,'EA-Fortescue_SDExport'!$A:$A,'EA-Fortescue_SDExport'!T:T)</f>
        <v>0</v>
      </c>
      <c r="U334">
        <f>_xlfn.XLOOKUP($A334,'EA-Fortescue_SDExport'!$A:$A,'EA-Fortescue_SDExport'!U:U)</f>
        <v>45987.968298611115</v>
      </c>
      <c r="V334">
        <f>_xlfn.XLOOKUP($A334,'EA-Fortescue_SDExport'!$A:$A,'EA-Fortescue_SDExport'!V:V)</f>
        <v>46002.004965277774</v>
      </c>
      <c r="W334">
        <f>_xlfn.XLOOKUP($A334,'EA-Fortescue_SDExport'!$A:$A,'EA-Fortescue_SDExport'!W:W)</f>
        <v>0</v>
      </c>
      <c r="X334">
        <f>_xlfn.XLOOKUP($A334,'EA-Fortescue_SDExport'!$A:$A,'EA-Fortescue_SDExport'!X:X)</f>
        <v>0</v>
      </c>
      <c r="Y334">
        <f>_xlfn.XLOOKUP($A334,'EA-Fortescue_SDExport'!$A:$A,'EA-Fortescue_SDExport'!Y:Y)</f>
        <v>0</v>
      </c>
      <c r="Z334" t="str">
        <f>_xlfn.XLOOKUP($A334,'EA-Fortescue_SDExport'!$A:$A,'EA-Fortescue_SDExport'!Z:Z)</f>
        <v>SysML1.4::InterfaceBlock</v>
      </c>
      <c r="AA334" t="str">
        <f>_xlfn.XLOOKUP($A334,InterfaceRegister!$A:$A,InterfaceRegister!B:B)</f>
        <v>855DC-1541-DEL Delphi|855DC-1542-009 Elysia</v>
      </c>
      <c r="AB334" t="str">
        <f>_xlfn.XLOOKUP($A334,InterfaceRegister!$A:$A,InterfaceRegister!C:C)</f>
        <v>Abby Buters</v>
      </c>
      <c r="AC334" t="str">
        <f>_xlfn.XLOOKUP($A334,InterfaceRegister!$A:$A,InterfaceRegister!D:D)</f>
        <v>Energy Operations Kareema Ramli</v>
      </c>
      <c r="AD334" t="str">
        <f>_xlfn.XLOOKUP($A334,InterfaceRegister!$A:$A,InterfaceRegister!E:E)</f>
        <v>Project - Project Interface</v>
      </c>
      <c r="AE334" t="str">
        <f>_xlfn.XLOOKUP($A334,InterfaceRegister!$A:$A,InterfaceRegister!F:F)</f>
        <v>Technical-Data/Software</v>
      </c>
      <c r="AF334" t="str">
        <f>_xlfn.XLOOKUP($A334,InterfaceRegister!$A:$A,InterfaceRegister!L:L)</f>
        <v>Elysia BESS -State of Charge Actuals (Atevia Web API)_x000D_
The purpose of this interface is for Delphi to consume the real-time state of charge (SoC) and related battery performance metrics for the BESS via the Atevia Web API used by Energy Operations. These SoC actuals support short-term operational decision-making, including when to charge, discharge, or curtail based on site conditions and energy demand._x000D_
Intermediate Elements: Snowflake (storage and distribution of BESS SoC actuals).</v>
      </c>
      <c r="AG334" t="str">
        <f>_xlfn.XLOOKUP($A334,InterfaceRegister!$A:$A,InterfaceRegister!M:M)</f>
        <v>HIGH</v>
      </c>
      <c r="AH334" t="str">
        <f>_xlfn.XLOOKUP($A334,InterfaceRegister!$A:$A,InterfaceRegister!O:O)</f>
        <v>Atevia Web API (Elysia BESS data) -&gt; Delphi ingest -&gt; Delphi Snowflake (uni-directional).</v>
      </c>
      <c r="AI334" t="str">
        <f>_xlfn.XLOOKUP($A334,InterfaceRegister!$A:$A,InterfaceRegister!N:N)</f>
        <v>The criticality level is HIGH because accurate and timely SoC information is essential for safe and efficient BESS operation, energy optimisation, and maintaining system stability. Failure compromises operational decision-making.</v>
      </c>
      <c r="AJ334" t="str">
        <f>_xlfn.XLOOKUP($A334,'EA-Fortescue_SDExport'!$A:$A,'EA-Fortescue_SDExport'!AX:AX)</f>
        <v>CSV43265D8B</v>
      </c>
      <c r="AK334">
        <f>_xlfn.XLOOKUP($A334,'EA-Fortescue_SDExport'!$A:$A,'EA-Fortescue_SDExport'!AY:AY)</f>
        <v>0</v>
      </c>
    </row>
    <row r="335" spans="1:37" x14ac:dyDescent="0.25">
      <c r="A335" t="str">
        <v>DGS-I_0334</v>
      </c>
      <c r="B335" t="str">
        <f>_xlfn.XLOOKUP($A335,'EA-Fortescue_SDExport'!$A:$A,'EA-Fortescue_SDExport'!B:B)</f>
        <v>Class</v>
      </c>
      <c r="C335" t="str">
        <f>_xlfn.XLOOKUP($A335,'EA-Fortescue_SDExport'!$A:$A,'EA-Fortescue_SDExport'!C:C)</f>
        <v>{34519962-AC27-4cd3-BDEF-F4332EB1CFCE}</v>
      </c>
      <c r="D335" t="str">
        <f>_xlfn.LET(_xlpm.result, _xlfn.XLOOKUP($A335, InterfaceRegister!$A:$A, InterfaceRegister!P:P), IF(_xlpm.result=0, "", _xlpm.result))</f>
        <v>NH 20/02/2026: Fields updated: Interface Criticality Explanation, Interface Flow.</v>
      </c>
      <c r="E335">
        <f>_xlfn.XLOOKUP($A335,'EA-Fortescue_SDExport'!$A:$A,'EA-Fortescue_SDExport'!E:E)</f>
        <v>1</v>
      </c>
      <c r="F335">
        <f>_xlfn.XLOOKUP($A335,'EA-Fortescue_SDExport'!$A:$A,'EA-Fortescue_SDExport'!F:F)</f>
        <v>1</v>
      </c>
      <c r="G335">
        <f>_xlfn.XLOOKUP($A335,'EA-Fortescue_SDExport'!$A:$A,'EA-Fortescue_SDExport'!G:G)</f>
        <v>0</v>
      </c>
      <c r="H335" t="str">
        <f>_xlfn.XLOOKUP($A335,'EA-Fortescue_SDExport'!$A:$A,'EA-Fortescue_SDExport'!H:H)</f>
        <v>InterfaceBlock</v>
      </c>
      <c r="I335" t="str">
        <f>_xlfn.XLOOKUP($A335,'EA-Fortescue_SDExport'!$A:$A,'EA-Fortescue_SDExport'!I:I)</f>
        <v>SysML1.4::InterfaceBlock</v>
      </c>
      <c r="J335" t="str">
        <f>_xlfn.XLOOKUP($A335,'EA-Fortescue_SDExport'!$A:$A,'EA-Fortescue_SDExport'!J:J)</f>
        <v>Java</v>
      </c>
      <c r="K335" t="str">
        <f>_xlfn.XLOOKUP($A335,'EA-Fortescue_SDExport'!$A:$A,'EA-Fortescue_SDExport'!K:K)</f>
        <v>Admin</v>
      </c>
      <c r="L335" t="str">
        <f>_xlfn.XLOOKUP($A335,'EA-Fortescue_SDExport'!$A:$A,'EA-Fortescue_SDExport'!L:L)</f>
        <v>Public</v>
      </c>
      <c r="M335">
        <f>_xlfn.XLOOKUP($A335,'EA-Fortescue_SDExport'!$A:$A,'EA-Fortescue_SDExport'!M:M)</f>
        <v>0</v>
      </c>
      <c r="N335" t="str">
        <f>_xlfn.XLOOKUP($A335,InterfaceRegister!$A:$A,InterfaceRegister!K:K)</f>
        <v>Proposed</v>
      </c>
      <c r="O335">
        <f>_xlfn.XLOOKUP($A335,'EA-Fortescue_SDExport'!$A:$A,'EA-Fortescue_SDExport'!O:O)</f>
        <v>1</v>
      </c>
      <c r="P335">
        <f>_xlfn.XLOOKUP($A335,'EA-Fortescue_SDExport'!$A:$A,'EA-Fortescue_SDExport'!P:P)</f>
        <v>0</v>
      </c>
      <c r="Q335">
        <f>_xlfn.XLOOKUP($A335,'EA-Fortescue_SDExport'!$A:$A,'EA-Fortescue_SDExport'!Q:Q)</f>
        <v>0</v>
      </c>
      <c r="R335">
        <f>_xlfn.XLOOKUP($A335,'EA-Fortescue_SDExport'!$A:$A,'EA-Fortescue_SDExport'!R:R)</f>
        <v>0</v>
      </c>
      <c r="S335">
        <f>_xlfn.XLOOKUP($A335,'EA-Fortescue_SDExport'!$A:$A,'EA-Fortescue_SDExport'!S:S)</f>
        <v>0</v>
      </c>
      <c r="T335">
        <f>_xlfn.XLOOKUP($A335,'EA-Fortescue_SDExport'!$A:$A,'EA-Fortescue_SDExport'!T:T)</f>
        <v>0</v>
      </c>
      <c r="U335">
        <f>_xlfn.XLOOKUP($A335,'EA-Fortescue_SDExport'!$A:$A,'EA-Fortescue_SDExport'!U:U)</f>
        <v>45987.968310185184</v>
      </c>
      <c r="V335">
        <f>_xlfn.XLOOKUP($A335,'EA-Fortescue_SDExport'!$A:$A,'EA-Fortescue_SDExport'!V:V)</f>
        <v>46077.99322916667</v>
      </c>
      <c r="W335">
        <f>_xlfn.XLOOKUP($A335,'EA-Fortescue_SDExport'!$A:$A,'EA-Fortescue_SDExport'!W:W)</f>
        <v>0</v>
      </c>
      <c r="X335">
        <f>_xlfn.XLOOKUP($A335,'EA-Fortescue_SDExport'!$A:$A,'EA-Fortescue_SDExport'!X:X)</f>
        <v>0</v>
      </c>
      <c r="Y335">
        <f>_xlfn.XLOOKUP($A335,'EA-Fortescue_SDExport'!$A:$A,'EA-Fortescue_SDExport'!Y:Y)</f>
        <v>0</v>
      </c>
      <c r="Z335" t="str">
        <f>_xlfn.XLOOKUP($A335,'EA-Fortescue_SDExport'!$A:$A,'EA-Fortescue_SDExport'!Z:Z)</f>
        <v>SysML1.4::InterfaceBlock</v>
      </c>
      <c r="AA335" t="str">
        <f>_xlfn.XLOOKUP($A335,InterfaceRegister!$A:$A,InterfaceRegister!B:B)</f>
        <v>005OP-0000-001 Atlas|855DC-1541-ECL Eclipse</v>
      </c>
      <c r="AB335" t="str">
        <f>_xlfn.XLOOKUP($A335,InterfaceRegister!$A:$A,InterfaceRegister!C:C)</f>
        <v>Abby Buters</v>
      </c>
      <c r="AC335" t="str">
        <f>_xlfn.XLOOKUP($A335,InterfaceRegister!$A:$A,InterfaceRegister!D:D)</f>
        <v>Integrated Planning</v>
      </c>
      <c r="AD335" t="str">
        <f>_xlfn.XLOOKUP($A335,InterfaceRegister!$A:$A,InterfaceRegister!E:E)</f>
        <v>Project - Project Interface</v>
      </c>
      <c r="AE335" t="str">
        <f>_xlfn.XLOOKUP($A335,InterfaceRegister!$A:$A,InterfaceRegister!F:F)</f>
        <v>Technical-Data/Software</v>
      </c>
      <c r="AF335" t="str">
        <f>_xlfn.XLOOKUP($A335,InterfaceRegister!$A:$A,InterfaceRegister!L:L)</f>
        <v>The purpose of this interface is to provide Atlas data via a Snowflake database.</v>
      </c>
      <c r="AG335" t="str">
        <f>_xlfn.XLOOKUP($A335,InterfaceRegister!$A:$A,InterfaceRegister!M:M)</f>
        <v>HIGH</v>
      </c>
      <c r="AH335" t="str">
        <f>_xlfn.XLOOKUP($A335,InterfaceRegister!$A:$A,InterfaceRegister!O:O)</f>
        <v>Data Flow:_x000D_
Atlas (005OP-0000-001) -&gt; Snowflake Data Platform -&gt; Eclipse (855DC-1541-ECL), transmitting structured planning, operational, and production datasets required to support forecasting, optimisation modelling, and long-term scenario analysis._x000D_
Data includes mine plan parameters, production forecasts, resource models, asset constraints, cost assumptions, and other structured inputs required by Eclipse for optimisation processing._x000D_
Control / Query Flow:_x000D_
Eclipse -&gt; Snowflake, executing read/query operations to retrieve validated Atlas datasets for planning runs and scenario simulations. No direct control commands are issued back to Atlas.</v>
      </c>
      <c r="AI335" t="str">
        <f>_xlfn.XLOOKUP($A335,InterfaceRegister!$A:$A,InterfaceRegister!N:N)</f>
        <v>The interface is rated HIGH because Eclipse relies on accurate and current Atlas data to produce valid optimisation and planning outcomes. Incorrect, incomplete, or unavailable data can lead to flawed long-term planning decisions, inaccurate production forecasts, and suboptimal capital or energy strategies. While it may not immediately impact real-time operations, errors at this level can propagate into strategic decision-making, creating significant operational and financial risk.</v>
      </c>
      <c r="AJ335" t="str">
        <f>_xlfn.XLOOKUP($A335,'EA-Fortescue_SDExport'!$A:$A,'EA-Fortescue_SDExport'!AX:AX)</f>
        <v>CSVF9CC077A</v>
      </c>
      <c r="AK335">
        <f>_xlfn.XLOOKUP($A335,'EA-Fortescue_SDExport'!$A:$A,'EA-Fortescue_SDExport'!AY:AY)</f>
        <v>0</v>
      </c>
    </row>
    <row r="336" spans="1:37" x14ac:dyDescent="0.25">
      <c r="A336" t="str">
        <v>DGS-I_0335</v>
      </c>
      <c r="B336" t="str">
        <f>_xlfn.XLOOKUP($A336,'EA-Fortescue_SDExport'!$A:$A,'EA-Fortescue_SDExport'!B:B)</f>
        <v>Class</v>
      </c>
      <c r="C336" t="str">
        <f>_xlfn.XLOOKUP($A336,'EA-Fortescue_SDExport'!$A:$A,'EA-Fortescue_SDExport'!C:C)</f>
        <v>{CD762E74-0AD8-4f39-926A-021A1B4C3077}</v>
      </c>
      <c r="D336" t="str">
        <f>_xlfn.LET(_xlpm.result, _xlfn.XLOOKUP($A336, InterfaceRegister!$A:$A, InterfaceRegister!P:P), IF(_xlpm.result=0, "", _xlpm.result))</f>
        <v/>
      </c>
      <c r="E336">
        <f>_xlfn.XLOOKUP($A336,'EA-Fortescue_SDExport'!$A:$A,'EA-Fortescue_SDExport'!E:E)</f>
        <v>1</v>
      </c>
      <c r="F336">
        <f>_xlfn.XLOOKUP($A336,'EA-Fortescue_SDExport'!$A:$A,'EA-Fortescue_SDExport'!F:F)</f>
        <v>1</v>
      </c>
      <c r="G336">
        <f>_xlfn.XLOOKUP($A336,'EA-Fortescue_SDExport'!$A:$A,'EA-Fortescue_SDExport'!G:G)</f>
        <v>0</v>
      </c>
      <c r="H336" t="str">
        <f>_xlfn.XLOOKUP($A336,'EA-Fortescue_SDExport'!$A:$A,'EA-Fortescue_SDExport'!H:H)</f>
        <v>InterfaceBlock</v>
      </c>
      <c r="I336" t="str">
        <f>_xlfn.XLOOKUP($A336,'EA-Fortescue_SDExport'!$A:$A,'EA-Fortescue_SDExport'!I:I)</f>
        <v>SysML1.4::InterfaceBlock</v>
      </c>
      <c r="J336" t="str">
        <f>_xlfn.XLOOKUP($A336,'EA-Fortescue_SDExport'!$A:$A,'EA-Fortescue_SDExport'!J:J)</f>
        <v>Java</v>
      </c>
      <c r="K336" t="str">
        <f>_xlfn.XLOOKUP($A336,'EA-Fortescue_SDExport'!$A:$A,'EA-Fortescue_SDExport'!K:K)</f>
        <v>Admin</v>
      </c>
      <c r="L336" t="str">
        <f>_xlfn.XLOOKUP($A336,'EA-Fortescue_SDExport'!$A:$A,'EA-Fortescue_SDExport'!L:L)</f>
        <v>Public</v>
      </c>
      <c r="M336">
        <f>_xlfn.XLOOKUP($A336,'EA-Fortescue_SDExport'!$A:$A,'EA-Fortescue_SDExport'!M:M)</f>
        <v>0</v>
      </c>
      <c r="N336" t="str">
        <f>_xlfn.XLOOKUP($A336,InterfaceRegister!$A:$A,InterfaceRegister!K:K)</f>
        <v>Proposed</v>
      </c>
      <c r="O336">
        <f>_xlfn.XLOOKUP($A336,'EA-Fortescue_SDExport'!$A:$A,'EA-Fortescue_SDExport'!O:O)</f>
        <v>1</v>
      </c>
      <c r="P336">
        <f>_xlfn.XLOOKUP($A336,'EA-Fortescue_SDExport'!$A:$A,'EA-Fortescue_SDExport'!P:P)</f>
        <v>0</v>
      </c>
      <c r="Q336">
        <f>_xlfn.XLOOKUP($A336,'EA-Fortescue_SDExport'!$A:$A,'EA-Fortescue_SDExport'!Q:Q)</f>
        <v>0</v>
      </c>
      <c r="R336">
        <f>_xlfn.XLOOKUP($A336,'EA-Fortescue_SDExport'!$A:$A,'EA-Fortescue_SDExport'!R:R)</f>
        <v>0</v>
      </c>
      <c r="S336">
        <f>_xlfn.XLOOKUP($A336,'EA-Fortescue_SDExport'!$A:$A,'EA-Fortescue_SDExport'!S:S)</f>
        <v>0</v>
      </c>
      <c r="T336">
        <f>_xlfn.XLOOKUP($A336,'EA-Fortescue_SDExport'!$A:$A,'EA-Fortescue_SDExport'!T:T)</f>
        <v>0</v>
      </c>
      <c r="U336">
        <f>_xlfn.XLOOKUP($A336,'EA-Fortescue_SDExport'!$A:$A,'EA-Fortescue_SDExport'!U:U)</f>
        <v>45987.968333333331</v>
      </c>
      <c r="V336">
        <f>_xlfn.XLOOKUP($A336,'EA-Fortescue_SDExport'!$A:$A,'EA-Fortescue_SDExport'!V:V)</f>
        <v>46002.004999999997</v>
      </c>
      <c r="W336">
        <f>_xlfn.XLOOKUP($A336,'EA-Fortescue_SDExport'!$A:$A,'EA-Fortescue_SDExport'!W:W)</f>
        <v>0</v>
      </c>
      <c r="X336">
        <f>_xlfn.XLOOKUP($A336,'EA-Fortescue_SDExport'!$A:$A,'EA-Fortescue_SDExport'!X:X)</f>
        <v>0</v>
      </c>
      <c r="Y336">
        <f>_xlfn.XLOOKUP($A336,'EA-Fortescue_SDExport'!$A:$A,'EA-Fortescue_SDExport'!Y:Y)</f>
        <v>0</v>
      </c>
      <c r="Z336" t="str">
        <f>_xlfn.XLOOKUP($A336,'EA-Fortescue_SDExport'!$A:$A,'EA-Fortescue_SDExport'!Z:Z)</f>
        <v>SysML1.4::InterfaceBlock</v>
      </c>
      <c r="AA336" t="str">
        <f>_xlfn.XLOOKUP($A336,InterfaceRegister!$A:$A,InterfaceRegister!B:B)</f>
        <v>855DC-1543-007 MECO|855DC-1541-ECL Eclipse</v>
      </c>
      <c r="AB336" t="str">
        <f>_xlfn.XLOOKUP($A336,InterfaceRegister!$A:$A,InterfaceRegister!C:C)</f>
        <v>Abby Buters</v>
      </c>
      <c r="AC336" t="str">
        <f>_xlfn.XLOOKUP($A336,InterfaceRegister!$A:$A,InterfaceRegister!D:D)</f>
        <v>Energy Operations</v>
      </c>
      <c r="AD336" t="str">
        <f>_xlfn.XLOOKUP($A336,InterfaceRegister!$A:$A,InterfaceRegister!E:E)</f>
        <v>Project - Subsystem Interface</v>
      </c>
      <c r="AE336" t="str">
        <f>_xlfn.XLOOKUP($A336,InterfaceRegister!$A:$A,InterfaceRegister!F:F)</f>
        <v>Technical-Data/Software</v>
      </c>
      <c r="AF336" t="str">
        <f>_xlfn.XLOOKUP($A336,InterfaceRegister!$A:$A,InterfaceRegister!L:L)</f>
        <v>MECO data transfer through Snowflake _x000D_
The purpose of this interface is to facilitate the transfer of MECO data through Snowflake to understand the amount of power required to run the Optimal Power Flow (OPF). Specifically, the data transferred includes OPF Coefficients and upcoming loads necessary for the OPF calculation. Additionally, NPI-related loads are also included in this data transfer._x000D_
Intermediate Elements: Snowflake.</v>
      </c>
      <c r="AG336" t="str">
        <f>_xlfn.XLOOKUP($A336,InterfaceRegister!$A:$A,InterfaceRegister!M:M)</f>
        <v>HIGH</v>
      </c>
      <c r="AH336" t="str">
        <f>_xlfn.XLOOKUP($A336,InterfaceRegister!$A:$A,InterfaceRegister!O:O)</f>
        <v>Uni-directional -&gt; MECO Snowflake database -&gt; Eclipse Snowflake database.</v>
      </c>
      <c r="AI336" t="str">
        <f>_xlfn.XLOOKUP($A336,InterfaceRegister!$A:$A,InterfaceRegister!N:N)</f>
        <v>The criticality level is HIGH because failure to receive timely OPF load data will cause near and long-term mine plans to be inaccurate. This severely compromises planning feasibility and execution.</v>
      </c>
      <c r="AJ336" t="str">
        <f>_xlfn.XLOOKUP($A336,'EA-Fortescue_SDExport'!$A:$A,'EA-Fortescue_SDExport'!AX:AX)</f>
        <v>CSVC801F901</v>
      </c>
      <c r="AK336">
        <f>_xlfn.XLOOKUP($A336,'EA-Fortescue_SDExport'!$A:$A,'EA-Fortescue_SDExport'!AY:AY)</f>
        <v>0</v>
      </c>
    </row>
    <row r="337" spans="1:37" x14ac:dyDescent="0.25">
      <c r="A337" t="str">
        <v>DGS-I_0336</v>
      </c>
      <c r="B337" t="str">
        <f>_xlfn.XLOOKUP($A337,'EA-Fortescue_SDExport'!$A:$A,'EA-Fortescue_SDExport'!B:B)</f>
        <v>Class</v>
      </c>
      <c r="C337" t="str">
        <f>_xlfn.XLOOKUP($A337,'EA-Fortescue_SDExport'!$A:$A,'EA-Fortescue_SDExport'!C:C)</f>
        <v>{999B0C5B-BCD0-4e47-86CE-BA00FA61F5ED}</v>
      </c>
      <c r="D337" t="str">
        <f>_xlfn.LET(_xlpm.result, _xlfn.XLOOKUP($A337, InterfaceRegister!$A:$A, InterfaceRegister!P:P), IF(_xlpm.result=0, "", _xlpm.result))</f>
        <v>SBS-WBS Mapping 02/01/2026: Gas Usage to be removed - Not an identified system. Interface deleted.</v>
      </c>
      <c r="E337">
        <f>_xlfn.XLOOKUP($A337,'EA-Fortescue_SDExport'!$A:$A,'EA-Fortescue_SDExport'!E:E)</f>
        <v>1</v>
      </c>
      <c r="F337">
        <f>_xlfn.XLOOKUP($A337,'EA-Fortescue_SDExport'!$A:$A,'EA-Fortescue_SDExport'!F:F)</f>
        <v>1</v>
      </c>
      <c r="G337">
        <f>_xlfn.XLOOKUP($A337,'EA-Fortescue_SDExport'!$A:$A,'EA-Fortescue_SDExport'!G:G)</f>
        <v>0</v>
      </c>
      <c r="H337" t="str">
        <f>_xlfn.XLOOKUP($A337,'EA-Fortescue_SDExport'!$A:$A,'EA-Fortescue_SDExport'!H:H)</f>
        <v>InterfaceBlock</v>
      </c>
      <c r="I337" t="str">
        <f>_xlfn.XLOOKUP($A337,'EA-Fortescue_SDExport'!$A:$A,'EA-Fortescue_SDExport'!I:I)</f>
        <v>SysML1.4::InterfaceBlock</v>
      </c>
      <c r="J337" t="str">
        <f>_xlfn.XLOOKUP($A337,'EA-Fortescue_SDExport'!$A:$A,'EA-Fortescue_SDExport'!J:J)</f>
        <v>Java</v>
      </c>
      <c r="K337" t="str">
        <f>_xlfn.XLOOKUP($A337,'EA-Fortescue_SDExport'!$A:$A,'EA-Fortescue_SDExport'!K:K)</f>
        <v>Admin</v>
      </c>
      <c r="L337" t="str">
        <f>_xlfn.XLOOKUP($A337,'EA-Fortescue_SDExport'!$A:$A,'EA-Fortescue_SDExport'!L:L)</f>
        <v>Public</v>
      </c>
      <c r="M337">
        <f>_xlfn.XLOOKUP($A337,'EA-Fortescue_SDExport'!$A:$A,'EA-Fortescue_SDExport'!M:M)</f>
        <v>0</v>
      </c>
      <c r="N337" t="str">
        <f>_xlfn.XLOOKUP($A337,InterfaceRegister!$A:$A,InterfaceRegister!K:K)</f>
        <v>Deleted</v>
      </c>
      <c r="O337">
        <f>_xlfn.XLOOKUP($A337,'EA-Fortescue_SDExport'!$A:$A,'EA-Fortescue_SDExport'!O:O)</f>
        <v>1</v>
      </c>
      <c r="P337">
        <f>_xlfn.XLOOKUP($A337,'EA-Fortescue_SDExport'!$A:$A,'EA-Fortescue_SDExport'!P:P)</f>
        <v>0</v>
      </c>
      <c r="Q337">
        <f>_xlfn.XLOOKUP($A337,'EA-Fortescue_SDExport'!$A:$A,'EA-Fortescue_SDExport'!Q:Q)</f>
        <v>0</v>
      </c>
      <c r="R337">
        <f>_xlfn.XLOOKUP($A337,'EA-Fortescue_SDExport'!$A:$A,'EA-Fortescue_SDExport'!R:R)</f>
        <v>0</v>
      </c>
      <c r="S337">
        <f>_xlfn.XLOOKUP($A337,'EA-Fortescue_SDExport'!$A:$A,'EA-Fortescue_SDExport'!S:S)</f>
        <v>0</v>
      </c>
      <c r="T337">
        <f>_xlfn.XLOOKUP($A337,'EA-Fortescue_SDExport'!$A:$A,'EA-Fortescue_SDExport'!T:T)</f>
        <v>0</v>
      </c>
      <c r="U337">
        <f>_xlfn.XLOOKUP($A337,'EA-Fortescue_SDExport'!$A:$A,'EA-Fortescue_SDExport'!U:U)</f>
        <v>45987.968344907407</v>
      </c>
      <c r="V337">
        <f>_xlfn.XLOOKUP($A337,'EA-Fortescue_SDExport'!$A:$A,'EA-Fortescue_SDExport'!V:V)</f>
        <v>46030.0546875</v>
      </c>
      <c r="W337">
        <f>_xlfn.XLOOKUP($A337,'EA-Fortescue_SDExport'!$A:$A,'EA-Fortescue_SDExport'!W:W)</f>
        <v>0</v>
      </c>
      <c r="X337">
        <f>_xlfn.XLOOKUP($A337,'EA-Fortescue_SDExport'!$A:$A,'EA-Fortescue_SDExport'!X:X)</f>
        <v>0</v>
      </c>
      <c r="Y337">
        <f>_xlfn.XLOOKUP($A337,'EA-Fortescue_SDExport'!$A:$A,'EA-Fortescue_SDExport'!Y:Y)</f>
        <v>0</v>
      </c>
      <c r="Z337" t="str">
        <f>_xlfn.XLOOKUP($A337,'EA-Fortescue_SDExport'!$A:$A,'EA-Fortescue_SDExport'!Z:Z)</f>
        <v>SysML1.4::InterfaceBlock</v>
      </c>
      <c r="AA337" t="str">
        <f>_xlfn.XLOOKUP($A337,InterfaceRegister!$A:$A,InterfaceRegister!B:B)</f>
        <v>Archive - 855DC-1544-023 Gas usage|855DC-1541-ECL Eclipse</v>
      </c>
      <c r="AB337" t="str">
        <f>_xlfn.XLOOKUP($A337,InterfaceRegister!$A:$A,InterfaceRegister!C:C)</f>
        <v>Abby Buters</v>
      </c>
      <c r="AC337" t="str">
        <f>_xlfn.XLOOKUP($A337,InterfaceRegister!$A:$A,InterfaceRegister!D:D)</f>
        <v>Energy Operations</v>
      </c>
      <c r="AD337" t="str">
        <f>_xlfn.XLOOKUP($A337,InterfaceRegister!$A:$A,InterfaceRegister!E:E)</f>
        <v>Project - Project Interface</v>
      </c>
      <c r="AE337" t="str">
        <f>_xlfn.XLOOKUP($A337,InterfaceRegister!$A:$A,InterfaceRegister!F:F)</f>
        <v>TBC</v>
      </c>
      <c r="AF337" t="str">
        <f>_xlfn.XLOOKUP($A337,InterfaceRegister!$A:$A,InterfaceRegister!L:L)</f>
        <v>Energy Operations - Gas Usage Data for Forecasting &amp; Future Modelling_x000D_
The purpose of this interface is to enable Energy Operations to provide gas usage data to Eclipse to support the modelling of current and future gas demand. This dataset enables planners to understand how much gas is being consumed, identify usage trends, and forecast future requirements for both operational and strategic planning._x000D_
Intermediate Elements: Snowflake (storage and analysis layer for gas usage data).</v>
      </c>
      <c r="AG337" t="str">
        <f>_xlfn.XLOOKUP($A337,InterfaceRegister!$A:$A,InterfaceRegister!M:M)</f>
        <v>HIGH</v>
      </c>
      <c r="AH337" t="str">
        <f>_xlfn.XLOOKUP($A337,InterfaceRegister!$A:$A,InterfaceRegister!O:O)</f>
        <v>Energy Operations gas usage data -&gt; Eclipse ingest -&gt; Eclipse Snowflake (uni-directional).</v>
      </c>
      <c r="AI337" t="str">
        <f>_xlfn.XLOOKUP($A337,InterfaceRegister!$A:$A,InterfaceRegister!N:N)</f>
        <v>The criticality level is HIGH because accurate gas usage information is essential for forecasting future demand and ensuring adequate supply. Failure compromises long-term energy planning across the site.</v>
      </c>
      <c r="AJ337" t="str">
        <f>_xlfn.XLOOKUP($A337,'EA-Fortescue_SDExport'!$A:$A,'EA-Fortescue_SDExport'!AX:AX)</f>
        <v>CSV6DA3D2FA</v>
      </c>
      <c r="AK337">
        <f>_xlfn.XLOOKUP($A337,'EA-Fortescue_SDExport'!$A:$A,'EA-Fortescue_SDExport'!AY:AY)</f>
        <v>0</v>
      </c>
    </row>
    <row r="338" spans="1:37" x14ac:dyDescent="0.25">
      <c r="A338" t="str">
        <v>DGS-I_0337</v>
      </c>
      <c r="B338" t="str">
        <f>_xlfn.XLOOKUP($A338,'EA-Fortescue_SDExport'!$A:$A,'EA-Fortescue_SDExport'!B:B)</f>
        <v>Class</v>
      </c>
      <c r="C338" t="str">
        <f>_xlfn.XLOOKUP($A338,'EA-Fortescue_SDExport'!$A:$A,'EA-Fortescue_SDExport'!C:C)</f>
        <v>{57EC861B-3412-4191-8C66-AF80BC6A781B}</v>
      </c>
      <c r="D338" t="str">
        <f>_xlfn.LET(_xlpm.result, _xlfn.XLOOKUP($A338, InterfaceRegister!$A:$A, InterfaceRegister!P:P), IF(_xlpm.result=0, "", _xlpm.result))</f>
        <v/>
      </c>
      <c r="E338">
        <f>_xlfn.XLOOKUP($A338,'EA-Fortescue_SDExport'!$A:$A,'EA-Fortescue_SDExport'!E:E)</f>
        <v>1</v>
      </c>
      <c r="F338">
        <f>_xlfn.XLOOKUP($A338,'EA-Fortescue_SDExport'!$A:$A,'EA-Fortescue_SDExport'!F:F)</f>
        <v>1</v>
      </c>
      <c r="G338">
        <f>_xlfn.XLOOKUP($A338,'EA-Fortescue_SDExport'!$A:$A,'EA-Fortescue_SDExport'!G:G)</f>
        <v>0</v>
      </c>
      <c r="H338" t="str">
        <f>_xlfn.XLOOKUP($A338,'EA-Fortescue_SDExport'!$A:$A,'EA-Fortescue_SDExport'!H:H)</f>
        <v>InterfaceBlock</v>
      </c>
      <c r="I338" t="str">
        <f>_xlfn.XLOOKUP($A338,'EA-Fortescue_SDExport'!$A:$A,'EA-Fortescue_SDExport'!I:I)</f>
        <v>SysML1.4::InterfaceBlock</v>
      </c>
      <c r="J338" t="str">
        <f>_xlfn.XLOOKUP($A338,'EA-Fortescue_SDExport'!$A:$A,'EA-Fortescue_SDExport'!J:J)</f>
        <v>Java</v>
      </c>
      <c r="K338" t="str">
        <f>_xlfn.XLOOKUP($A338,'EA-Fortescue_SDExport'!$A:$A,'EA-Fortescue_SDExport'!K:K)</f>
        <v>Admin</v>
      </c>
      <c r="L338" t="str">
        <f>_xlfn.XLOOKUP($A338,'EA-Fortescue_SDExport'!$A:$A,'EA-Fortescue_SDExport'!L:L)</f>
        <v>Public</v>
      </c>
      <c r="M338">
        <f>_xlfn.XLOOKUP($A338,'EA-Fortescue_SDExport'!$A:$A,'EA-Fortescue_SDExport'!M:M)</f>
        <v>0</v>
      </c>
      <c r="N338" t="str">
        <f>_xlfn.XLOOKUP($A338,InterfaceRegister!$A:$A,InterfaceRegister!K:K)</f>
        <v>Proposed</v>
      </c>
      <c r="O338">
        <f>_xlfn.XLOOKUP($A338,'EA-Fortescue_SDExport'!$A:$A,'EA-Fortescue_SDExport'!O:O)</f>
        <v>1</v>
      </c>
      <c r="P338">
        <f>_xlfn.XLOOKUP($A338,'EA-Fortescue_SDExport'!$A:$A,'EA-Fortescue_SDExport'!P:P)</f>
        <v>0</v>
      </c>
      <c r="Q338">
        <f>_xlfn.XLOOKUP($A338,'EA-Fortescue_SDExport'!$A:$A,'EA-Fortescue_SDExport'!Q:Q)</f>
        <v>0</v>
      </c>
      <c r="R338">
        <f>_xlfn.XLOOKUP($A338,'EA-Fortescue_SDExport'!$A:$A,'EA-Fortescue_SDExport'!R:R)</f>
        <v>0</v>
      </c>
      <c r="S338">
        <f>_xlfn.XLOOKUP($A338,'EA-Fortescue_SDExport'!$A:$A,'EA-Fortescue_SDExport'!S:S)</f>
        <v>0</v>
      </c>
      <c r="T338">
        <f>_xlfn.XLOOKUP($A338,'EA-Fortescue_SDExport'!$A:$A,'EA-Fortescue_SDExport'!T:T)</f>
        <v>0</v>
      </c>
      <c r="U338">
        <f>_xlfn.XLOOKUP($A338,'EA-Fortescue_SDExport'!$A:$A,'EA-Fortescue_SDExport'!U:U)</f>
        <v>45987.968356481484</v>
      </c>
      <c r="V338">
        <f>_xlfn.XLOOKUP($A338,'EA-Fortescue_SDExport'!$A:$A,'EA-Fortescue_SDExport'!V:V)</f>
        <v>46002.004999999997</v>
      </c>
      <c r="W338">
        <f>_xlfn.XLOOKUP($A338,'EA-Fortescue_SDExport'!$A:$A,'EA-Fortescue_SDExport'!W:W)</f>
        <v>0</v>
      </c>
      <c r="X338">
        <f>_xlfn.XLOOKUP($A338,'EA-Fortescue_SDExport'!$A:$A,'EA-Fortescue_SDExport'!X:X)</f>
        <v>0</v>
      </c>
      <c r="Y338">
        <f>_xlfn.XLOOKUP($A338,'EA-Fortescue_SDExport'!$A:$A,'EA-Fortescue_SDExport'!Y:Y)</f>
        <v>0</v>
      </c>
      <c r="Z338" t="str">
        <f>_xlfn.XLOOKUP($A338,'EA-Fortescue_SDExport'!$A:$A,'EA-Fortescue_SDExport'!Z:Z)</f>
        <v>SysML1.4::InterfaceBlock</v>
      </c>
      <c r="AA338" t="str">
        <f>_xlfn.XLOOKUP($A338,InterfaceRegister!$A:$A,InterfaceRegister!B:B)</f>
        <v>005OP-0000-007 Shuthub|855DC-1541-ECL Eclipse</v>
      </c>
      <c r="AB338" t="str">
        <f>_xlfn.XLOOKUP($A338,InterfaceRegister!$A:$A,InterfaceRegister!C:C)</f>
        <v>Abby Buters</v>
      </c>
      <c r="AC338" t="str">
        <f>_xlfn.XLOOKUP($A338,InterfaceRegister!$A:$A,InterfaceRegister!D:D)</f>
        <v>Mining Operations</v>
      </c>
      <c r="AD338" t="str">
        <f>_xlfn.XLOOKUP($A338,InterfaceRegister!$A:$A,InterfaceRegister!E:E)</f>
        <v>Project - Project Interface</v>
      </c>
      <c r="AE338" t="str">
        <f>_xlfn.XLOOKUP($A338,InterfaceRegister!$A:$A,InterfaceRegister!F:F)</f>
        <v>Technical-Data/Software</v>
      </c>
      <c r="AF338" t="str">
        <f>_xlfn.XLOOKUP($A338,InterfaceRegister!$A:$A,InterfaceRegister!L:L)</f>
        <v>Mining Operations - Site Shutdown Calendar Data_x000D_
The purpose of this interface is to allow Eclipse to receive shutdown calendar data from Mining Operations so that planners can accurately account for site-wide shutdowns, maintenance windows, and operational restrictions. This information ensures that forecasting, energy planning, and production modelling accurately reflect periods when generation, access, or equipment availability is reduced or halted._x000D_
Intermediate Elements: Snowflake (storage and query layer for shutdown calendar events).</v>
      </c>
      <c r="AG338" t="str">
        <f>_xlfn.XLOOKUP($A338,InterfaceRegister!$A:$A,InterfaceRegister!M:M)</f>
        <v>HIGH</v>
      </c>
      <c r="AH338" t="str">
        <f>_xlfn.XLOOKUP($A338,InterfaceRegister!$A:$A,InterfaceRegister!O:O)</f>
        <v>Mining Operations shutdown calendar -&gt; Eclipse ingest -&gt; Eclipse Snowflake (uni-directional).</v>
      </c>
      <c r="AI338" t="str">
        <f>_xlfn.XLOOKUP($A338,InterfaceRegister!$A:$A,InterfaceRegister!N:N)</f>
        <v>The criticality level is HIGH because accurate shutdown schedules are essential for realistic planning and production modelling. Failure leads to overestimation of production and misalignment with actual site availability.</v>
      </c>
      <c r="AJ338" t="str">
        <f>_xlfn.XLOOKUP($A338,'EA-Fortescue_SDExport'!$A:$A,'EA-Fortescue_SDExport'!AX:AX)</f>
        <v>CSV4C7D84C7</v>
      </c>
      <c r="AK338">
        <f>_xlfn.XLOOKUP($A338,'EA-Fortescue_SDExport'!$A:$A,'EA-Fortescue_SDExport'!AY:AY)</f>
        <v>0</v>
      </c>
    </row>
    <row r="339" spans="1:37" x14ac:dyDescent="0.25">
      <c r="A339" t="str">
        <v>DGS-I_0338</v>
      </c>
      <c r="B339" t="str">
        <f>_xlfn.XLOOKUP($A339,'EA-Fortescue_SDExport'!$A:$A,'EA-Fortescue_SDExport'!B:B)</f>
        <v>Class</v>
      </c>
      <c r="C339" t="str">
        <f>_xlfn.XLOOKUP($A339,'EA-Fortescue_SDExport'!$A:$A,'EA-Fortescue_SDExport'!C:C)</f>
        <v>{1F26BEED-9969-408b-BE52-7E94841B721D}</v>
      </c>
      <c r="D339" t="str">
        <f>_xlfn.LET(_xlpm.result, _xlfn.XLOOKUP($A339, InterfaceRegister!$A:$A, InterfaceRegister!P:P), IF(_xlpm.result=0, "", _xlpm.result))</f>
        <v>NH 25/02/2026: Fields updated:Interface Type</v>
      </c>
      <c r="E339">
        <f>_xlfn.XLOOKUP($A339,'EA-Fortescue_SDExport'!$A:$A,'EA-Fortescue_SDExport'!E:E)</f>
        <v>1</v>
      </c>
      <c r="F339">
        <f>_xlfn.XLOOKUP($A339,'EA-Fortescue_SDExport'!$A:$A,'EA-Fortescue_SDExport'!F:F)</f>
        <v>1</v>
      </c>
      <c r="G339">
        <f>_xlfn.XLOOKUP($A339,'EA-Fortescue_SDExport'!$A:$A,'EA-Fortescue_SDExport'!G:G)</f>
        <v>0</v>
      </c>
      <c r="H339" t="str">
        <f>_xlfn.XLOOKUP($A339,'EA-Fortescue_SDExport'!$A:$A,'EA-Fortescue_SDExport'!H:H)</f>
        <v>InterfaceBlock</v>
      </c>
      <c r="I339" t="str">
        <f>_xlfn.XLOOKUP($A339,'EA-Fortescue_SDExport'!$A:$A,'EA-Fortescue_SDExport'!I:I)</f>
        <v>SysML1.4::InterfaceBlock</v>
      </c>
      <c r="J339" t="str">
        <f>_xlfn.XLOOKUP($A339,'EA-Fortescue_SDExport'!$A:$A,'EA-Fortescue_SDExport'!J:J)</f>
        <v>Java</v>
      </c>
      <c r="K339" t="str">
        <f>_xlfn.XLOOKUP($A339,'EA-Fortescue_SDExport'!$A:$A,'EA-Fortescue_SDExport'!K:K)</f>
        <v>Admin</v>
      </c>
      <c r="L339" t="str">
        <f>_xlfn.XLOOKUP($A339,'EA-Fortescue_SDExport'!$A:$A,'EA-Fortescue_SDExport'!L:L)</f>
        <v>Public</v>
      </c>
      <c r="M339">
        <f>_xlfn.XLOOKUP($A339,'EA-Fortescue_SDExport'!$A:$A,'EA-Fortescue_SDExport'!M:M)</f>
        <v>0</v>
      </c>
      <c r="N339" t="str">
        <f>_xlfn.XLOOKUP($A339,InterfaceRegister!$A:$A,InterfaceRegister!K:K)</f>
        <v>Proposed</v>
      </c>
      <c r="O339">
        <f>_xlfn.XLOOKUP($A339,'EA-Fortescue_SDExport'!$A:$A,'EA-Fortescue_SDExport'!O:O)</f>
        <v>1</v>
      </c>
      <c r="P339">
        <f>_xlfn.XLOOKUP($A339,'EA-Fortescue_SDExport'!$A:$A,'EA-Fortescue_SDExport'!P:P)</f>
        <v>0</v>
      </c>
      <c r="Q339">
        <f>_xlfn.XLOOKUP($A339,'EA-Fortescue_SDExport'!$A:$A,'EA-Fortescue_SDExport'!Q:Q)</f>
        <v>0</v>
      </c>
      <c r="R339">
        <f>_xlfn.XLOOKUP($A339,'EA-Fortescue_SDExport'!$A:$A,'EA-Fortescue_SDExport'!R:R)</f>
        <v>0</v>
      </c>
      <c r="S339">
        <f>_xlfn.XLOOKUP($A339,'EA-Fortescue_SDExport'!$A:$A,'EA-Fortescue_SDExport'!S:S)</f>
        <v>0</v>
      </c>
      <c r="T339">
        <f>_xlfn.XLOOKUP($A339,'EA-Fortescue_SDExport'!$A:$A,'EA-Fortescue_SDExport'!T:T)</f>
        <v>0</v>
      </c>
      <c r="U339">
        <f>_xlfn.XLOOKUP($A339,'EA-Fortescue_SDExport'!$A:$A,'EA-Fortescue_SDExport'!U:U)</f>
        <v>45989.652222222219</v>
      </c>
      <c r="V339">
        <f>_xlfn.XLOOKUP($A339,'EA-Fortescue_SDExport'!$A:$A,'EA-Fortescue_SDExport'!V:V)</f>
        <v>46077.993217592593</v>
      </c>
      <c r="W339">
        <f>_xlfn.XLOOKUP($A339,'EA-Fortescue_SDExport'!$A:$A,'EA-Fortescue_SDExport'!W:W)</f>
        <v>0</v>
      </c>
      <c r="X339">
        <f>_xlfn.XLOOKUP($A339,'EA-Fortescue_SDExport'!$A:$A,'EA-Fortescue_SDExport'!X:X)</f>
        <v>0</v>
      </c>
      <c r="Y339">
        <f>_xlfn.XLOOKUP($A339,'EA-Fortescue_SDExport'!$A:$A,'EA-Fortescue_SDExport'!Y:Y)</f>
        <v>0</v>
      </c>
      <c r="Z339" t="str">
        <f>_xlfn.XLOOKUP($A339,'EA-Fortescue_SDExport'!$A:$A,'EA-Fortescue_SDExport'!Z:Z)</f>
        <v>SysML1.4::InterfaceBlock</v>
      </c>
      <c r="AA339" t="str">
        <f>_xlfn.XLOOKUP($A339,InterfaceRegister!$A:$A,InterfaceRegister!B:B)</f>
        <v>855DC-1542-CSM-001 vCharM by Vector|855DC-1542-LMS Load Management System (LMS)</v>
      </c>
      <c r="AB339" t="str">
        <f>_xlfn.XLOOKUP($A339,InterfaceRegister!$A:$A,InterfaceRegister!C:C)</f>
        <v>Sam Hedgcock</v>
      </c>
      <c r="AC339" t="str">
        <f>_xlfn.XLOOKUP($A339,InterfaceRegister!$A:$A,InterfaceRegister!D:D)</f>
        <v>Glen Carruthers</v>
      </c>
      <c r="AD339" t="str">
        <f>_xlfn.XLOOKUP($A339,InterfaceRegister!$A:$A,InterfaceRegister!E:E)</f>
        <v>Project - Subsystem Interface</v>
      </c>
      <c r="AE339" t="str">
        <f>_xlfn.XLOOKUP($A339,InterfaceRegister!$A:$A,InterfaceRegister!F:F)</f>
        <v>Technical-Data/Software</v>
      </c>
      <c r="AF339" t="str">
        <f>_xlfn.XLOOKUP($A339,InterfaceRegister!$A:$A,InterfaceRegister!L:L)</f>
        <v>Load Management System - PLC-Controlled Integration with vCharm Vector (Charging Station Management System)_x000D_
The purpose of this interface is to allow the load management system, which uses PLCs to control and coordinate electrical loads on site, to integrate with the vCharm Vector Charging Station Management System to ensure safe and efficient distribution of available power. This integration manages EV and equipment charging demand by balancing charging schedules with real-time site load conditions and operational priorities._x000D_
Intermediate Elements: PLCs, Load Management System, vCharm Vector Charging Station Management System.</v>
      </c>
      <c r="AG339" t="str">
        <f>_xlfn.XLOOKUP($A339,InterfaceRegister!$A:$A,InterfaceRegister!M:M)</f>
        <v>HIGH</v>
      </c>
      <c r="AH339" t="str">
        <f>_xlfn.XLOOKUP($A339,InterfaceRegister!$A:$A,InterfaceRegister!O:O)</f>
        <v>PLCs (load controllers) -&gt; Load Management System -&gt; vCharm Vector (charging management) -&gt; Operational systems.</v>
      </c>
      <c r="AI339" t="str">
        <f>_xlfn.XLOOKUP($A339,InterfaceRegister!$A:$A,InterfaceRegister!N:N)</f>
        <v>The criticality level is HIGH because accurate coordination between PLC-controlled loads and the charging system is essential for avoiding overloads and maintaining power stability. Failure risks production delays by disrupting vehicle charging when required.</v>
      </c>
      <c r="AJ339" t="str">
        <f>_xlfn.XLOOKUP($A339,'EA-Fortescue_SDExport'!$A:$A,'EA-Fortescue_SDExport'!AX:AX)</f>
        <v>CSV4096E1C3</v>
      </c>
      <c r="AK339">
        <f>_xlfn.XLOOKUP($A339,'EA-Fortescue_SDExport'!$A:$A,'EA-Fortescue_SDExport'!AY:AY)</f>
        <v>0</v>
      </c>
    </row>
    <row r="340" spans="1:37" x14ac:dyDescent="0.25">
      <c r="A340" t="str">
        <v>DGS-I_0339</v>
      </c>
      <c r="B340" t="str">
        <f>_xlfn.XLOOKUP($A340,'EA-Fortescue_SDExport'!$A:$A,'EA-Fortescue_SDExport'!B:B)</f>
        <v>Class</v>
      </c>
      <c r="C340" t="str">
        <f>_xlfn.XLOOKUP($A340,'EA-Fortescue_SDExport'!$A:$A,'EA-Fortescue_SDExport'!C:C)</f>
        <v>{3D114949-7B50-4519-9E64-6CF0E16DD649}</v>
      </c>
      <c r="D340" t="str">
        <f>_xlfn.LET(_xlpm.result, _xlfn.XLOOKUP($A340, InterfaceRegister!$A:$A, InterfaceRegister!P:P), IF(_xlpm.result=0, "", _xlpm.result))</f>
        <v>Meeting Remarks 02/12/2025: A degree of redundancy may be required, with the option to revert to the Google Maps API view. The existing interface can still be used in this fallback mode. If ArcGIS becomes unavailable, operations will shift to the Google Maps API view to maintain continuity.</v>
      </c>
      <c r="E340">
        <f>_xlfn.XLOOKUP($A340,'EA-Fortescue_SDExport'!$A:$A,'EA-Fortescue_SDExport'!E:E)</f>
        <v>1</v>
      </c>
      <c r="F340">
        <f>_xlfn.XLOOKUP($A340,'EA-Fortescue_SDExport'!$A:$A,'EA-Fortescue_SDExport'!F:F)</f>
        <v>1</v>
      </c>
      <c r="G340">
        <f>_xlfn.XLOOKUP($A340,'EA-Fortescue_SDExport'!$A:$A,'EA-Fortescue_SDExport'!G:G)</f>
        <v>0</v>
      </c>
      <c r="H340" t="str">
        <f>_xlfn.XLOOKUP($A340,'EA-Fortescue_SDExport'!$A:$A,'EA-Fortescue_SDExport'!H:H)</f>
        <v>InterfaceBlock</v>
      </c>
      <c r="I340" t="str">
        <f>_xlfn.XLOOKUP($A340,'EA-Fortescue_SDExport'!$A:$A,'EA-Fortescue_SDExport'!I:I)</f>
        <v>SysML1.4::InterfaceBlock</v>
      </c>
      <c r="J340" t="str">
        <f>_xlfn.XLOOKUP($A340,'EA-Fortescue_SDExport'!$A:$A,'EA-Fortescue_SDExport'!J:J)</f>
        <v>Java</v>
      </c>
      <c r="K340" t="str">
        <f>_xlfn.XLOOKUP($A340,'EA-Fortescue_SDExport'!$A:$A,'EA-Fortescue_SDExport'!K:K)</f>
        <v>Admin</v>
      </c>
      <c r="L340" t="str">
        <f>_xlfn.XLOOKUP($A340,'EA-Fortescue_SDExport'!$A:$A,'EA-Fortescue_SDExport'!L:L)</f>
        <v>Public</v>
      </c>
      <c r="M340">
        <f>_xlfn.XLOOKUP($A340,'EA-Fortescue_SDExport'!$A:$A,'EA-Fortescue_SDExport'!M:M)</f>
        <v>0</v>
      </c>
      <c r="N340" t="str">
        <f>_xlfn.XLOOKUP($A340,InterfaceRegister!$A:$A,InterfaceRegister!K:K)</f>
        <v>Proposed</v>
      </c>
      <c r="O340">
        <f>_xlfn.XLOOKUP($A340,'EA-Fortescue_SDExport'!$A:$A,'EA-Fortescue_SDExport'!O:O)</f>
        <v>1</v>
      </c>
      <c r="P340">
        <f>_xlfn.XLOOKUP($A340,'EA-Fortescue_SDExport'!$A:$A,'EA-Fortescue_SDExport'!P:P)</f>
        <v>0</v>
      </c>
      <c r="Q340">
        <f>_xlfn.XLOOKUP($A340,'EA-Fortescue_SDExport'!$A:$A,'EA-Fortescue_SDExport'!Q:Q)</f>
        <v>0</v>
      </c>
      <c r="R340">
        <f>_xlfn.XLOOKUP($A340,'EA-Fortescue_SDExport'!$A:$A,'EA-Fortescue_SDExport'!R:R)</f>
        <v>0</v>
      </c>
      <c r="S340">
        <f>_xlfn.XLOOKUP($A340,'EA-Fortescue_SDExport'!$A:$A,'EA-Fortescue_SDExport'!S:S)</f>
        <v>0</v>
      </c>
      <c r="T340">
        <f>_xlfn.XLOOKUP($A340,'EA-Fortescue_SDExport'!$A:$A,'EA-Fortescue_SDExport'!T:T)</f>
        <v>0</v>
      </c>
      <c r="U340">
        <f>_xlfn.XLOOKUP($A340,'EA-Fortescue_SDExport'!$A:$A,'EA-Fortescue_SDExport'!U:U)</f>
        <v>45994.49591435185</v>
      </c>
      <c r="V340">
        <f>_xlfn.XLOOKUP($A340,'EA-Fortescue_SDExport'!$A:$A,'EA-Fortescue_SDExport'!V:V)</f>
        <v>46002.004953703705</v>
      </c>
      <c r="W340">
        <f>_xlfn.XLOOKUP($A340,'EA-Fortescue_SDExport'!$A:$A,'EA-Fortescue_SDExport'!W:W)</f>
        <v>0</v>
      </c>
      <c r="X340">
        <f>_xlfn.XLOOKUP($A340,'EA-Fortescue_SDExport'!$A:$A,'EA-Fortescue_SDExport'!X:X)</f>
        <v>0</v>
      </c>
      <c r="Y340">
        <f>_xlfn.XLOOKUP($A340,'EA-Fortescue_SDExport'!$A:$A,'EA-Fortescue_SDExport'!Y:Y)</f>
        <v>0</v>
      </c>
      <c r="Z340" t="str">
        <f>_xlfn.XLOOKUP($A340,'EA-Fortescue_SDExport'!$A:$A,'EA-Fortescue_SDExport'!Z:Z)</f>
        <v>SysML1.4::InterfaceBlock</v>
      </c>
      <c r="AA340" t="str">
        <f>_xlfn.XLOOKUP($A340,InterfaceRegister!$A:$A,InterfaceRegister!B:B)</f>
        <v>005OP-0000-011 Fortescue Maps (ArcGIS) Geographical Information System (GIS)|855DC-1541-LIV LiveWire</v>
      </c>
      <c r="AB340" t="str">
        <f>_xlfn.XLOOKUP($A340,InterfaceRegister!$A:$A,InterfaceRegister!C:C)</f>
        <v>Abby Buters</v>
      </c>
      <c r="AC340" t="str">
        <f>_xlfn.XLOOKUP($A340,InterfaceRegister!$A:$A,InterfaceRegister!D:D)</f>
        <v>Alex Weston</v>
      </c>
      <c r="AD340" t="str">
        <f>_xlfn.XLOOKUP($A340,InterfaceRegister!$A:$A,InterfaceRegister!E:E)</f>
        <v>Project - Project Interface</v>
      </c>
      <c r="AE340" t="str">
        <f>_xlfn.XLOOKUP($A340,InterfaceRegister!$A:$A,InterfaceRegister!F:F)</f>
        <v>Technical-Data/Software</v>
      </c>
      <c r="AF340" t="str">
        <f>_xlfn.XLOOKUP($A340,InterfaceRegister!$A:$A,InterfaceRegister!L:L)</f>
        <v>LiveWire -&gt; Fortescue Maps (GIS) - ArcGIS Token &amp; Map Tile Integration_x000D_
The purpose of this interface is to facilitate LiveWire's integration with Fortescue Maps (ArcGIS) to provide geospatial visualisations such as network layouts, cable paths, equipment locations, and pit spatial data. The UI requires secure access to ArcGIS map tiles, which is managed through token-based authentication handled by the LiveWire backend._x000D_
Intermediate Elements: LiveWire backend (token broker), ArcGIS API (Fortescue Maps), and LiveWire UI map viewer.</v>
      </c>
      <c r="AG340" t="str">
        <f>_xlfn.XLOOKUP($A340,InterfaceRegister!$A:$A,InterfaceRegister!M:M)</f>
        <v>HIGH</v>
      </c>
      <c r="AH340" t="str">
        <f>_xlfn.XLOOKUP($A340,InterfaceRegister!$A:$A,InterfaceRegister!O:O)</f>
        <v>Data Flow (HTTP Requests):_x000D_
_x000D_
LiveWire UI requests an ArcGIS access token from the LiveWire API._x000D_
_x000D_
LiveWire backend acquires a valid token from the ArcGIS API and returns it to the UI._x000D_
_x000D_
UI requests ArcGIS map tiles (TileLayer) directly from the ArcGIS API using this token until expiry._x000D_
_x000D_
When the token expires, the UI requests a refreshed token from the LiveWire API.</v>
      </c>
      <c r="AI340" t="str">
        <f>_xlfn.XLOOKUP($A340,InterfaceRegister!$A:$A,InterfaceRegister!N:N)</f>
        <v>The criticality level is HIGH because reliable map tile access is essential for accurate spatial awareness, visualising network infrastructure, and supporting operational safety and planning within LiveWire. Failure may cause immediate loss of positional context for all cable assets and prevent safe, coordinated field operations.</v>
      </c>
      <c r="AJ340" t="str">
        <f>_xlfn.XLOOKUP($A340,'EA-Fortescue_SDExport'!$A:$A,'EA-Fortescue_SDExport'!AX:AX)</f>
        <v>CSV8F3A4884</v>
      </c>
      <c r="AK340">
        <f>_xlfn.XLOOKUP($A340,'EA-Fortescue_SDExport'!$A:$A,'EA-Fortescue_SDExport'!AY:AY)</f>
        <v>0</v>
      </c>
    </row>
    <row r="341" spans="1:37" x14ac:dyDescent="0.25">
      <c r="A341" t="str">
        <v>DGS-I_0340</v>
      </c>
      <c r="B341" t="str">
        <f>_xlfn.XLOOKUP($A341,'EA-Fortescue_SDExport'!$A:$A,'EA-Fortescue_SDExport'!B:B)</f>
        <v>Class</v>
      </c>
      <c r="C341" t="str">
        <f>_xlfn.XLOOKUP($A341,'EA-Fortescue_SDExport'!$A:$A,'EA-Fortescue_SDExport'!C:C)</f>
        <v>{4A5B6E0C-434E-4513-9F2F-014CEAB98668}</v>
      </c>
      <c r="D341" t="str">
        <f>_xlfn.LET(_xlpm.result, _xlfn.XLOOKUP($A341, InterfaceRegister!$A:$A, InterfaceRegister!P:P), IF(_xlpm.result=0, "", _xlpm.result))</f>
        <v>Meeting Remarks 02/12/2025: There is an emerging idea for LiveWire to expose cable run information back into MineStar and HaulX, enabling cross-system checks and balances. A hazard assessment will be required for this part of the process, particularly for any workflow in which a person is responsible for approving the ingestion and use of data exchanged between the systems.</v>
      </c>
      <c r="E341">
        <f>_xlfn.XLOOKUP($A341,'EA-Fortescue_SDExport'!$A:$A,'EA-Fortescue_SDExport'!E:E)</f>
        <v>1</v>
      </c>
      <c r="F341">
        <f>_xlfn.XLOOKUP($A341,'EA-Fortescue_SDExport'!$A:$A,'EA-Fortescue_SDExport'!F:F)</f>
        <v>1</v>
      </c>
      <c r="G341">
        <f>_xlfn.XLOOKUP($A341,'EA-Fortescue_SDExport'!$A:$A,'EA-Fortescue_SDExport'!G:G)</f>
        <v>0</v>
      </c>
      <c r="H341" t="str">
        <f>_xlfn.XLOOKUP($A341,'EA-Fortescue_SDExport'!$A:$A,'EA-Fortescue_SDExport'!H:H)</f>
        <v>InterfaceBlock</v>
      </c>
      <c r="I341" t="str">
        <f>_xlfn.XLOOKUP($A341,'EA-Fortescue_SDExport'!$A:$A,'EA-Fortescue_SDExport'!I:I)</f>
        <v>SysML1.4::InterfaceBlock</v>
      </c>
      <c r="J341" t="str">
        <f>_xlfn.XLOOKUP($A341,'EA-Fortescue_SDExport'!$A:$A,'EA-Fortescue_SDExport'!J:J)</f>
        <v>Java</v>
      </c>
      <c r="K341" t="str">
        <f>_xlfn.XLOOKUP($A341,'EA-Fortescue_SDExport'!$A:$A,'EA-Fortescue_SDExport'!K:K)</f>
        <v>Admin</v>
      </c>
      <c r="L341" t="str">
        <f>_xlfn.XLOOKUP($A341,'EA-Fortescue_SDExport'!$A:$A,'EA-Fortescue_SDExport'!L:L)</f>
        <v>Public</v>
      </c>
      <c r="M341">
        <f>_xlfn.XLOOKUP($A341,'EA-Fortescue_SDExport'!$A:$A,'EA-Fortescue_SDExport'!M:M)</f>
        <v>0</v>
      </c>
      <c r="N341" t="str">
        <f>_xlfn.XLOOKUP($A341,InterfaceRegister!$A:$A,InterfaceRegister!K:K)</f>
        <v>Proposed</v>
      </c>
      <c r="O341">
        <f>_xlfn.XLOOKUP($A341,'EA-Fortescue_SDExport'!$A:$A,'EA-Fortescue_SDExport'!O:O)</f>
        <v>1</v>
      </c>
      <c r="P341">
        <f>_xlfn.XLOOKUP($A341,'EA-Fortescue_SDExport'!$A:$A,'EA-Fortescue_SDExport'!P:P)</f>
        <v>0</v>
      </c>
      <c r="Q341">
        <f>_xlfn.XLOOKUP($A341,'EA-Fortescue_SDExport'!$A:$A,'EA-Fortescue_SDExport'!Q:Q)</f>
        <v>0</v>
      </c>
      <c r="R341">
        <f>_xlfn.XLOOKUP($A341,'EA-Fortescue_SDExport'!$A:$A,'EA-Fortescue_SDExport'!R:R)</f>
        <v>0</v>
      </c>
      <c r="S341">
        <f>_xlfn.XLOOKUP($A341,'EA-Fortescue_SDExport'!$A:$A,'EA-Fortescue_SDExport'!S:S)</f>
        <v>0</v>
      </c>
      <c r="T341">
        <f>_xlfn.XLOOKUP($A341,'EA-Fortescue_SDExport'!$A:$A,'EA-Fortescue_SDExport'!T:T)</f>
        <v>0</v>
      </c>
      <c r="U341">
        <f>_xlfn.XLOOKUP($A341,'EA-Fortescue_SDExport'!$A:$A,'EA-Fortescue_SDExport'!U:U)</f>
        <v>45994.495995370373</v>
      </c>
      <c r="V341">
        <f>_xlfn.XLOOKUP($A341,'EA-Fortescue_SDExport'!$A:$A,'EA-Fortescue_SDExport'!V:V)</f>
        <v>46002.004942129628</v>
      </c>
      <c r="W341">
        <f>_xlfn.XLOOKUP($A341,'EA-Fortescue_SDExport'!$A:$A,'EA-Fortescue_SDExport'!W:W)</f>
        <v>0</v>
      </c>
      <c r="X341">
        <f>_xlfn.XLOOKUP($A341,'EA-Fortescue_SDExport'!$A:$A,'EA-Fortescue_SDExport'!X:X)</f>
        <v>0</v>
      </c>
      <c r="Y341">
        <f>_xlfn.XLOOKUP($A341,'EA-Fortescue_SDExport'!$A:$A,'EA-Fortescue_SDExport'!Y:Y)</f>
        <v>0</v>
      </c>
      <c r="Z341" t="str">
        <f>_xlfn.XLOOKUP($A341,'EA-Fortescue_SDExport'!$A:$A,'EA-Fortescue_SDExport'!Z:Z)</f>
        <v>SysML1.4::InterfaceBlock</v>
      </c>
      <c r="AA341" t="str">
        <f>_xlfn.XLOOKUP($A341,InterfaceRegister!$A:$A,InterfaceRegister!B:B)</f>
        <v>859DC-1410-001 HaulX|855DC-1541-LIV LiveWire</v>
      </c>
      <c r="AB341" t="str">
        <f>_xlfn.XLOOKUP($A341,InterfaceRegister!$A:$A,InterfaceRegister!C:C)</f>
        <v>Abby Buters</v>
      </c>
      <c r="AC341" t="str">
        <f>_xlfn.XLOOKUP($A341,InterfaceRegister!$A:$A,InterfaceRegister!D:D)</f>
        <v>Michael Chambers (Technical)</v>
      </c>
      <c r="AD341" t="str">
        <f>_xlfn.XLOOKUP($A341,InterfaceRegister!$A:$A,InterfaceRegister!E:E)</f>
        <v>Project - Project Interface</v>
      </c>
      <c r="AE341" t="str">
        <f>_xlfn.XLOOKUP($A341,InterfaceRegister!$A:$A,InterfaceRegister!F:F)</f>
        <v>Technical-Data/Software</v>
      </c>
      <c r="AF341" t="str">
        <f>_xlfn.XLOOKUP($A341,InterfaceRegister!$A:$A,InterfaceRegister!L:L)</f>
        <v>LiveWire -&gt; HaulX - Asset Position &amp; Exclusion Zone Data (Snowflake Integration)_x000D_
The purpose of this interface is for LiveWire to consume the real-time asset position data and defined exclusion zones provided by HaulX, the autonomous driving system, which supports operational safety and spatial awareness. If HaulX exposes these datasets through Snowflake, LiveWire can use them to display live autonomous vehicle locations and identify restricted areas, thereby supporting safe cable routing, switching operations, and field planning._x000D_
Intermediate Elements: HaulX Snowflake shared dataset, LiveWire spatial layer, GIS map overlays.</v>
      </c>
      <c r="AG341" t="str">
        <f>_xlfn.XLOOKUP($A341,InterfaceRegister!$A:$A,InterfaceRegister!M:M)</f>
        <v>MEDIUM</v>
      </c>
      <c r="AH341" t="str">
        <f>_xlfn.XLOOKUP($A341,InterfaceRegister!$A:$A,InterfaceRegister!O:O)</f>
        <v>Data Flow:_x000D_
HaulX Snowflake table/view (asset positions, exclusion zones) -&gt; LiveWire ingest -&gt; LiveWire geospatial visualisation.</v>
      </c>
      <c r="AI341" t="str">
        <f>_xlfn.XLOOKUP($A341,InterfaceRegister!$A:$A,InterfaceRegister!N:N)</f>
        <v>The criticality level is MEDIUM because accurate vehicle positions and exclusion zones are essential for field safety and preventing conflicts. Failure may degrade reliable situational awareness, but it is not immediately production-critical.</v>
      </c>
      <c r="AJ341" t="str">
        <f>_xlfn.XLOOKUP($A341,'EA-Fortescue_SDExport'!$A:$A,'EA-Fortescue_SDExport'!AX:AX)</f>
        <v>CSV086895EF</v>
      </c>
      <c r="AK341">
        <f>_xlfn.XLOOKUP($A341,'EA-Fortescue_SDExport'!$A:$A,'EA-Fortescue_SDExport'!AY:AY)</f>
        <v>0</v>
      </c>
    </row>
    <row r="342" spans="1:37" x14ac:dyDescent="0.25">
      <c r="A342" t="str">
        <v>DGS-I_0341</v>
      </c>
      <c r="B342" t="str">
        <f>_xlfn.XLOOKUP($A342,'EA-Fortescue_SDExport'!$A:$A,'EA-Fortescue_SDExport'!B:B)</f>
        <v>Class</v>
      </c>
      <c r="C342" t="str">
        <f>_xlfn.XLOOKUP($A342,'EA-Fortescue_SDExport'!$A:$A,'EA-Fortescue_SDExport'!C:C)</f>
        <v>{B25AEEE6-5AD9-4b71-B0F3-31C9935194C0}</v>
      </c>
      <c r="D342" t="str">
        <f>_xlfn.LET(_xlpm.result, _xlfn.XLOOKUP($A342, InterfaceRegister!$A:$A, InterfaceRegister!P:P), IF(_xlpm.result=0, "", _xlpm.result))</f>
        <v>Meeting Remarks 02/12/2025: GPS sensors will be mounted on the cable couplers to enable accurate cable location tracking. Chance will also assess options for installing GPS units on the supporting cable infrastructure, including towers and in-pit switch locations._x000D_
If the system becomes unavailable, the fallback process will be to update cable locations manually in LiveWire. LiveWire will also support fault diagnosis by indicating whether a specific gateway, sensor, or an entire site has gone offline._x000D_
NH 25/02/2026: Fields updated:Interface Type</v>
      </c>
      <c r="E342">
        <f>_xlfn.XLOOKUP($A342,'EA-Fortescue_SDExport'!$A:$A,'EA-Fortescue_SDExport'!E:E)</f>
        <v>1</v>
      </c>
      <c r="F342">
        <f>_xlfn.XLOOKUP($A342,'EA-Fortescue_SDExport'!$A:$A,'EA-Fortescue_SDExport'!F:F)</f>
        <v>1</v>
      </c>
      <c r="G342">
        <f>_xlfn.XLOOKUP($A342,'EA-Fortescue_SDExport'!$A:$A,'EA-Fortescue_SDExport'!G:G)</f>
        <v>0</v>
      </c>
      <c r="H342" t="str">
        <f>_xlfn.XLOOKUP($A342,'EA-Fortescue_SDExport'!$A:$A,'EA-Fortescue_SDExport'!H:H)</f>
        <v>InterfaceBlock</v>
      </c>
      <c r="I342" t="str">
        <f>_xlfn.XLOOKUP($A342,'EA-Fortescue_SDExport'!$A:$A,'EA-Fortescue_SDExport'!I:I)</f>
        <v>SysML1.4::InterfaceBlock</v>
      </c>
      <c r="J342" t="str">
        <f>_xlfn.XLOOKUP($A342,'EA-Fortescue_SDExport'!$A:$A,'EA-Fortescue_SDExport'!J:J)</f>
        <v>Java</v>
      </c>
      <c r="K342" t="str">
        <f>_xlfn.XLOOKUP($A342,'EA-Fortescue_SDExport'!$A:$A,'EA-Fortescue_SDExport'!K:K)</f>
        <v>Admin</v>
      </c>
      <c r="L342" t="str">
        <f>_xlfn.XLOOKUP($A342,'EA-Fortescue_SDExport'!$A:$A,'EA-Fortescue_SDExport'!L:L)</f>
        <v>Public</v>
      </c>
      <c r="M342">
        <f>_xlfn.XLOOKUP($A342,'EA-Fortescue_SDExport'!$A:$A,'EA-Fortescue_SDExport'!M:M)</f>
        <v>0</v>
      </c>
      <c r="N342" t="str">
        <f>_xlfn.XLOOKUP($A342,InterfaceRegister!$A:$A,InterfaceRegister!K:K)</f>
        <v>Proposed</v>
      </c>
      <c r="O342">
        <f>_xlfn.XLOOKUP($A342,'EA-Fortescue_SDExport'!$A:$A,'EA-Fortescue_SDExport'!O:O)</f>
        <v>1</v>
      </c>
      <c r="P342">
        <f>_xlfn.XLOOKUP($A342,'EA-Fortescue_SDExport'!$A:$A,'EA-Fortescue_SDExport'!P:P)</f>
        <v>0</v>
      </c>
      <c r="Q342">
        <f>_xlfn.XLOOKUP($A342,'EA-Fortescue_SDExport'!$A:$A,'EA-Fortescue_SDExport'!Q:Q)</f>
        <v>0</v>
      </c>
      <c r="R342">
        <f>_xlfn.XLOOKUP($A342,'EA-Fortescue_SDExport'!$A:$A,'EA-Fortescue_SDExport'!R:R)</f>
        <v>0</v>
      </c>
      <c r="S342">
        <f>_xlfn.XLOOKUP($A342,'EA-Fortescue_SDExport'!$A:$A,'EA-Fortescue_SDExport'!S:S)</f>
        <v>0</v>
      </c>
      <c r="T342">
        <f>_xlfn.XLOOKUP($A342,'EA-Fortescue_SDExport'!$A:$A,'EA-Fortescue_SDExport'!T:T)</f>
        <v>0</v>
      </c>
      <c r="U342">
        <f>_xlfn.XLOOKUP($A342,'EA-Fortescue_SDExport'!$A:$A,'EA-Fortescue_SDExport'!U:U)</f>
        <v>45994.496053240742</v>
      </c>
      <c r="V342">
        <f>_xlfn.XLOOKUP($A342,'EA-Fortescue_SDExport'!$A:$A,'EA-Fortescue_SDExport'!V:V)</f>
        <v>46077.993217592593</v>
      </c>
      <c r="W342">
        <f>_xlfn.XLOOKUP($A342,'EA-Fortescue_SDExport'!$A:$A,'EA-Fortescue_SDExport'!W:W)</f>
        <v>0</v>
      </c>
      <c r="X342">
        <f>_xlfn.XLOOKUP($A342,'EA-Fortescue_SDExport'!$A:$A,'EA-Fortescue_SDExport'!X:X)</f>
        <v>0</v>
      </c>
      <c r="Y342">
        <f>_xlfn.XLOOKUP($A342,'EA-Fortescue_SDExport'!$A:$A,'EA-Fortescue_SDExport'!Y:Y)</f>
        <v>0</v>
      </c>
      <c r="Z342" t="str">
        <f>_xlfn.XLOOKUP($A342,'EA-Fortescue_SDExport'!$A:$A,'EA-Fortescue_SDExport'!Z:Z)</f>
        <v>SysML1.4::InterfaceBlock</v>
      </c>
      <c r="AA342" t="str">
        <f>_xlfn.XLOOKUP($A342,InterfaceRegister!$A:$A,InterfaceRegister!B:B)</f>
        <v>850DC-1520-0004 Cable Coupler GPS Sensors (LORA)|855DC-1541-LIV LiveWire</v>
      </c>
      <c r="AB342" t="str">
        <f>_xlfn.XLOOKUP($A342,InterfaceRegister!$A:$A,InterfaceRegister!C:C)</f>
        <v>Abby Buters</v>
      </c>
      <c r="AC342" t="str">
        <f>_xlfn.XLOOKUP($A342,InterfaceRegister!$A:$A,InterfaceRegister!D:D)</f>
        <v>Nicolas Alberto</v>
      </c>
      <c r="AD342" t="str">
        <f>_xlfn.XLOOKUP($A342,InterfaceRegister!$A:$A,InterfaceRegister!E:E)</f>
        <v>Project - Project Interface</v>
      </c>
      <c r="AE342" t="str">
        <f>_xlfn.XLOOKUP($A342,InterfaceRegister!$A:$A,InterfaceRegister!F:F)</f>
        <v>Technical-Data/Software</v>
      </c>
      <c r="AF342" t="str">
        <f>_xlfn.XLOOKUP($A342,InterfaceRegister!$A:$A,InterfaceRegister!L:L)</f>
        <v>GPS Sensors &lt;-&gt; LiveWire - Cable Coupler &amp; Infrastructure Location Tracking_x000D_
The purpose of this interface is to use GPS sensors, mounted on cable couplers and potentially on key assets such as towers, in-pit switches, and other cable infrastructure, to provide accurate real-time location tracking. LiveWire consumes this GPS data to maintain an up-to-date spatial view of cable positions across the site. If GPS sensors fail or communications drop, operators can manually update cable locations directly in LiveWire. LiveWire will also assist in diagnosing failure modes by identifying whether a specific gateway, sensor, or wider network segment has gone offline._x000D_
Intermediate Elements: GPS sensor hardware, telemetry/gateway network, LiveWire ingest service, and LiveWire spatial map.</v>
      </c>
      <c r="AG342" t="str">
        <f>_xlfn.XLOOKUP($A342,InterfaceRegister!$A:$A,InterfaceRegister!M:M)</f>
        <v>HIGH</v>
      </c>
      <c r="AH342" t="str">
        <f>_xlfn.XLOOKUP($A342,InterfaceRegister!$A:$A,InterfaceRegister!O:O)</f>
        <v>Data Flow:_x000D_
GPS sensors (couplers, infra, switches) -&gt; Gateway/telemetry layer -&gt; LiveWire ingest -&gt; LiveWire geospatial visualisation._x000D_
Fallback: manual location updates in LiveWire UI.</v>
      </c>
      <c r="AI342" t="str">
        <f>_xlfn.XLOOKUP($A342,InterfaceRegister!$A:$A,InterfaceRegister!N:N)</f>
        <v>The criticality level is HIGH because accurate cable location tracking is essential for safe pit operations, avoiding cable strikes, and supporting switching operations. Failure compromises safety and rapid fault detection.</v>
      </c>
      <c r="AJ342" t="str">
        <f>_xlfn.XLOOKUP($A342,'EA-Fortescue_SDExport'!$A:$A,'EA-Fortescue_SDExport'!AX:AX)</f>
        <v>CSV0BC79DE8</v>
      </c>
      <c r="AK342">
        <f>_xlfn.XLOOKUP($A342,'EA-Fortescue_SDExport'!$A:$A,'EA-Fortescue_SDExport'!AY:AY)</f>
        <v>0</v>
      </c>
    </row>
    <row r="343" spans="1:37" x14ac:dyDescent="0.25">
      <c r="A343" t="str">
        <v>DGS-I_0342</v>
      </c>
      <c r="B343" t="str">
        <f>_xlfn.XLOOKUP($A343,'EA-Fortescue_SDExport'!$A:$A,'EA-Fortescue_SDExport'!B:B)</f>
        <v>Class</v>
      </c>
      <c r="C343" t="str">
        <f>_xlfn.XLOOKUP($A343,'EA-Fortescue_SDExport'!$A:$A,'EA-Fortescue_SDExport'!C:C)</f>
        <v>{F83242B6-8DA3-4518-835A-D5337DC6327A}</v>
      </c>
      <c r="D343" t="str">
        <f>_xlfn.LET(_xlpm.result, _xlfn.XLOOKUP($A343, InterfaceRegister!$A:$A, InterfaceRegister!P:P), IF(_xlpm.result=0, "", _xlpm.result))</f>
        <v>Meeting Remarks 02/12/2025: A potential safety risk arises from MineStar rather than LiveWire, as vehicles may be notified of a no-go zone._x000D_
For the time being, the team has pivoted to focus on MineStar, including extracting the cable layer data from MineStar, integrating exclusion zones, working with available APIs, and connecting to the Snowflake databases._x000D_
Improved visibility of the cavity is required, as the surface crust is not strong enough to safely support personnel._x000D_
_x000D_
NH 04/12/2025: Note MineStar was archived as a result of the comment 'Archive - N/A for current SA' from DGS_SBS-WBS_Comparison_20251001(JV2025.10.06). MineStar is now reinstated, and DGS-I_0342 was created between it and LiveWire.</v>
      </c>
      <c r="E343">
        <f>_xlfn.XLOOKUP($A343,'EA-Fortescue_SDExport'!$A:$A,'EA-Fortescue_SDExport'!E:E)</f>
        <v>1</v>
      </c>
      <c r="F343">
        <f>_xlfn.XLOOKUP($A343,'EA-Fortescue_SDExport'!$A:$A,'EA-Fortescue_SDExport'!F:F)</f>
        <v>1</v>
      </c>
      <c r="G343">
        <f>_xlfn.XLOOKUP($A343,'EA-Fortescue_SDExport'!$A:$A,'EA-Fortescue_SDExport'!G:G)</f>
        <v>0</v>
      </c>
      <c r="H343" t="str">
        <f>_xlfn.XLOOKUP($A343,'EA-Fortescue_SDExport'!$A:$A,'EA-Fortescue_SDExport'!H:H)</f>
        <v>InterfaceBlock</v>
      </c>
      <c r="I343" t="str">
        <f>_xlfn.XLOOKUP($A343,'EA-Fortescue_SDExport'!$A:$A,'EA-Fortescue_SDExport'!I:I)</f>
        <v>SysML1.4::InterfaceBlock</v>
      </c>
      <c r="J343" t="str">
        <f>_xlfn.XLOOKUP($A343,'EA-Fortescue_SDExport'!$A:$A,'EA-Fortescue_SDExport'!J:J)</f>
        <v>Java</v>
      </c>
      <c r="K343" t="str">
        <f>_xlfn.XLOOKUP($A343,'EA-Fortescue_SDExport'!$A:$A,'EA-Fortescue_SDExport'!K:K)</f>
        <v>Admin</v>
      </c>
      <c r="L343" t="str">
        <f>_xlfn.XLOOKUP($A343,'EA-Fortescue_SDExport'!$A:$A,'EA-Fortescue_SDExport'!L:L)</f>
        <v>Public</v>
      </c>
      <c r="M343">
        <f>_xlfn.XLOOKUP($A343,'EA-Fortescue_SDExport'!$A:$A,'EA-Fortescue_SDExport'!M:M)</f>
        <v>0</v>
      </c>
      <c r="N343" t="str">
        <f>_xlfn.XLOOKUP($A343,InterfaceRegister!$A:$A,InterfaceRegister!K:K)</f>
        <v>Proposed</v>
      </c>
      <c r="O343">
        <f>_xlfn.XLOOKUP($A343,'EA-Fortescue_SDExport'!$A:$A,'EA-Fortescue_SDExport'!O:O)</f>
        <v>1</v>
      </c>
      <c r="P343">
        <f>_xlfn.XLOOKUP($A343,'EA-Fortescue_SDExport'!$A:$A,'EA-Fortescue_SDExport'!P:P)</f>
        <v>0</v>
      </c>
      <c r="Q343">
        <f>_xlfn.XLOOKUP($A343,'EA-Fortescue_SDExport'!$A:$A,'EA-Fortescue_SDExport'!Q:Q)</f>
        <v>0</v>
      </c>
      <c r="R343">
        <f>_xlfn.XLOOKUP($A343,'EA-Fortescue_SDExport'!$A:$A,'EA-Fortescue_SDExport'!R:R)</f>
        <v>0</v>
      </c>
      <c r="S343">
        <f>_xlfn.XLOOKUP($A343,'EA-Fortescue_SDExport'!$A:$A,'EA-Fortescue_SDExport'!S:S)</f>
        <v>0</v>
      </c>
      <c r="T343">
        <f>_xlfn.XLOOKUP($A343,'EA-Fortescue_SDExport'!$A:$A,'EA-Fortescue_SDExport'!T:T)</f>
        <v>0</v>
      </c>
      <c r="U343">
        <f>_xlfn.XLOOKUP($A343,'EA-Fortescue_SDExport'!$A:$A,'EA-Fortescue_SDExport'!U:U)</f>
        <v>45994.496087962965</v>
      </c>
      <c r="V343">
        <f>_xlfn.XLOOKUP($A343,'EA-Fortescue_SDExport'!$A:$A,'EA-Fortescue_SDExport'!V:V)</f>
        <v>46002.004976851851</v>
      </c>
      <c r="W343">
        <f>_xlfn.XLOOKUP($A343,'EA-Fortescue_SDExport'!$A:$A,'EA-Fortescue_SDExport'!W:W)</f>
        <v>0</v>
      </c>
      <c r="X343">
        <f>_xlfn.XLOOKUP($A343,'EA-Fortescue_SDExport'!$A:$A,'EA-Fortescue_SDExport'!X:X)</f>
        <v>0</v>
      </c>
      <c r="Y343">
        <f>_xlfn.XLOOKUP($A343,'EA-Fortescue_SDExport'!$A:$A,'EA-Fortescue_SDExport'!Y:Y)</f>
        <v>0</v>
      </c>
      <c r="Z343" t="str">
        <f>_xlfn.XLOOKUP($A343,'EA-Fortescue_SDExport'!$A:$A,'EA-Fortescue_SDExport'!Z:Z)</f>
        <v>SysML1.4::InterfaceBlock</v>
      </c>
      <c r="AA343" t="str">
        <f>_xlfn.XLOOKUP($A343,InterfaceRegister!$A:$A,InterfaceRegister!B:B)</f>
        <v>005OP-0000-008 MineStar|855DC-1541-LIV LiveWire</v>
      </c>
      <c r="AB343" t="str">
        <f>_xlfn.XLOOKUP($A343,InterfaceRegister!$A:$A,InterfaceRegister!C:C)</f>
        <v>Abby Buters</v>
      </c>
      <c r="AC343" t="str">
        <f>_xlfn.XLOOKUP($A343,InterfaceRegister!$A:$A,InterfaceRegister!D:D)</f>
        <v>Michael Chambers (Technical)</v>
      </c>
      <c r="AD343" t="str">
        <f>_xlfn.XLOOKUP($A343,InterfaceRegister!$A:$A,InterfaceRegister!E:E)</f>
        <v>Project - Project Interface</v>
      </c>
      <c r="AE343" t="str">
        <f>_xlfn.XLOOKUP($A343,InterfaceRegister!$A:$A,InterfaceRegister!F:F)</f>
        <v>Technical-Data/Software</v>
      </c>
      <c r="AF343" t="str">
        <f>_xlfn.XLOOKUP($A343,InterfaceRegister!$A:$A,InterfaceRegister!L:L)</f>
        <v>LiveWire &lt;-&gt; MineStar - Cable Layers, Exclusion Zones &amp; Cavity Visibility_x000D_
The purpose of this interface is to integrate LiveWire with MineStar to access cable layer data, exclusion zones, and geospatial safety information, specifically concerning areas like cavity or surface instability areas where ground crust may not support personnel. This data provides operators and planners with accurate spatial awareness, thereby improving safety when routing cables, planning field work, and managing electrical infrastructure around active mining areas._x000D_
Intermediate Elements: MineStar API, MineStar Snowflake database, LiveWire spatial and safety visualisation layers.</v>
      </c>
      <c r="AG343" t="str">
        <f>_xlfn.XLOOKUP($A343,InterfaceRegister!$A:$A,InterfaceRegister!M:M)</f>
        <v>HIGH</v>
      </c>
      <c r="AH343" t="str">
        <f>_xlfn.XLOOKUP($A343,InterfaceRegister!$A:$A,InterfaceRegister!O:O)</f>
        <v>Data Flow:_x000D_
MineStar APIs / Snowflake datasets (cable layers, exclusion zones, cavity/surface integrity data) -&gt; LiveWire ingest -&gt; LiveWire geospatial visualisation.</v>
      </c>
      <c r="AI343" t="str">
        <f>_xlfn.XLOOKUP($A343,InterfaceRegister!$A:$A,InterfaceRegister!N:N)</f>
        <v>The criticality level is HIGH because reliable MineStar data is essential for ensuring cables are routed safely and maintaining exclusion zone compliance. Failure risks serious safety incidents and the need for major operational replanning.</v>
      </c>
      <c r="AJ343" t="str">
        <f>_xlfn.XLOOKUP($A343,'EA-Fortescue_SDExport'!$A:$A,'EA-Fortescue_SDExport'!AX:AX)</f>
        <v>CSV5F538587</v>
      </c>
      <c r="AK343">
        <f>_xlfn.XLOOKUP($A343,'EA-Fortescue_SDExport'!$A:$A,'EA-Fortescue_SDExport'!AY:AY)</f>
        <v>0</v>
      </c>
    </row>
    <row r="344" spans="1:37" x14ac:dyDescent="0.25">
      <c r="A344" t="str">
        <v>DGS-I_0343</v>
      </c>
      <c r="B344" t="str">
        <f>_xlfn.XLOOKUP($A344,'EA-Fortescue_SDExport'!$A:$A,'EA-Fortescue_SDExport'!B:B)</f>
        <v>Class</v>
      </c>
      <c r="C344" t="str">
        <f>_xlfn.XLOOKUP($A344,'EA-Fortescue_SDExport'!$A:$A,'EA-Fortescue_SDExport'!C:C)</f>
        <v>{BE991419-B895-4c58-B0B9-F071B6FD1CC2}</v>
      </c>
      <c r="D344" t="str">
        <f>_xlfn.LET(_xlpm.result, _xlfn.XLOOKUP($A344, InterfaceRegister!$A:$A, InterfaceRegister!P:P), IF(_xlpm.result=0, "", _xlpm.result))</f>
        <v/>
      </c>
      <c r="E344">
        <f>_xlfn.XLOOKUP($A344,'EA-Fortescue_SDExport'!$A:$A,'EA-Fortescue_SDExport'!E:E)</f>
        <v>1</v>
      </c>
      <c r="F344">
        <f>_xlfn.XLOOKUP($A344,'EA-Fortescue_SDExport'!$A:$A,'EA-Fortescue_SDExport'!F:F)</f>
        <v>1</v>
      </c>
      <c r="G344">
        <f>_xlfn.XLOOKUP($A344,'EA-Fortescue_SDExport'!$A:$A,'EA-Fortescue_SDExport'!G:G)</f>
        <v>0</v>
      </c>
      <c r="H344" t="str">
        <f>_xlfn.XLOOKUP($A344,'EA-Fortescue_SDExport'!$A:$A,'EA-Fortescue_SDExport'!H:H)</f>
        <v>InterfaceBlock</v>
      </c>
      <c r="I344" t="str">
        <f>_xlfn.XLOOKUP($A344,'EA-Fortescue_SDExport'!$A:$A,'EA-Fortescue_SDExport'!I:I)</f>
        <v>SysML1.4::InterfaceBlock</v>
      </c>
      <c r="J344" t="str">
        <f>_xlfn.XLOOKUP($A344,'EA-Fortescue_SDExport'!$A:$A,'EA-Fortescue_SDExport'!J:J)</f>
        <v>Java</v>
      </c>
      <c r="K344" t="str">
        <f>_xlfn.XLOOKUP($A344,'EA-Fortescue_SDExport'!$A:$A,'EA-Fortescue_SDExport'!K:K)</f>
        <v>Admin</v>
      </c>
      <c r="L344" t="str">
        <f>_xlfn.XLOOKUP($A344,'EA-Fortescue_SDExport'!$A:$A,'EA-Fortescue_SDExport'!L:L)</f>
        <v>Public</v>
      </c>
      <c r="M344">
        <f>_xlfn.XLOOKUP($A344,'EA-Fortescue_SDExport'!$A:$A,'EA-Fortescue_SDExport'!M:M)</f>
        <v>0</v>
      </c>
      <c r="N344" t="str">
        <f>_xlfn.XLOOKUP($A344,InterfaceRegister!$A:$A,InterfaceRegister!K:K)</f>
        <v>Proposed</v>
      </c>
      <c r="O344">
        <f>_xlfn.XLOOKUP($A344,'EA-Fortescue_SDExport'!$A:$A,'EA-Fortescue_SDExport'!O:O)</f>
        <v>1</v>
      </c>
      <c r="P344">
        <f>_xlfn.XLOOKUP($A344,'EA-Fortescue_SDExport'!$A:$A,'EA-Fortescue_SDExport'!P:P)</f>
        <v>0</v>
      </c>
      <c r="Q344">
        <f>_xlfn.XLOOKUP($A344,'EA-Fortescue_SDExport'!$A:$A,'EA-Fortescue_SDExport'!Q:Q)</f>
        <v>0</v>
      </c>
      <c r="R344">
        <f>_xlfn.XLOOKUP($A344,'EA-Fortescue_SDExport'!$A:$A,'EA-Fortescue_SDExport'!R:R)</f>
        <v>0</v>
      </c>
      <c r="S344">
        <f>_xlfn.XLOOKUP($A344,'EA-Fortescue_SDExport'!$A:$A,'EA-Fortescue_SDExport'!S:S)</f>
        <v>0</v>
      </c>
      <c r="T344">
        <f>_xlfn.XLOOKUP($A344,'EA-Fortescue_SDExport'!$A:$A,'EA-Fortescue_SDExport'!T:T)</f>
        <v>0</v>
      </c>
      <c r="U344">
        <f>_xlfn.XLOOKUP($A344,'EA-Fortescue_SDExport'!$A:$A,'EA-Fortescue_SDExport'!U:U)</f>
        <v>46000.902187500003</v>
      </c>
      <c r="V344">
        <f>_xlfn.XLOOKUP($A344,'EA-Fortescue_SDExport'!$A:$A,'EA-Fortescue_SDExport'!V:V)</f>
        <v>46002.032951388886</v>
      </c>
      <c r="W344">
        <f>_xlfn.XLOOKUP($A344,'EA-Fortescue_SDExport'!$A:$A,'EA-Fortescue_SDExport'!W:W)</f>
        <v>0</v>
      </c>
      <c r="X344">
        <f>_xlfn.XLOOKUP($A344,'EA-Fortescue_SDExport'!$A:$A,'EA-Fortescue_SDExport'!X:X)</f>
        <v>0</v>
      </c>
      <c r="Y344">
        <f>_xlfn.XLOOKUP($A344,'EA-Fortescue_SDExport'!$A:$A,'EA-Fortescue_SDExport'!Y:Y)</f>
        <v>0</v>
      </c>
      <c r="Z344" t="str">
        <f>_xlfn.XLOOKUP($A344,'EA-Fortescue_SDExport'!$A:$A,'EA-Fortescue_SDExport'!Z:Z)</f>
        <v>SysML1.4::InterfaceBlock</v>
      </c>
      <c r="AA344" t="str">
        <f>_xlfn.XLOOKUP($A344,InterfaceRegister!$A:$A,InterfaceRegister!B:B)</f>
        <v>005OP-0000-013 Cimplicity|855DC-1541-DEL Delphi</v>
      </c>
      <c r="AB344" t="str">
        <f>_xlfn.XLOOKUP($A344,InterfaceRegister!$A:$A,InterfaceRegister!C:C)</f>
        <v/>
      </c>
      <c r="AC344" t="str">
        <f>_xlfn.XLOOKUP($A344,InterfaceRegister!$A:$A,InterfaceRegister!D:D)</f>
        <v/>
      </c>
      <c r="AD344" t="str">
        <f>_xlfn.XLOOKUP($A344,InterfaceRegister!$A:$A,InterfaceRegister!E:E)</f>
        <v>Project - Project Interface</v>
      </c>
      <c r="AE344" t="str">
        <f>_xlfn.XLOOKUP($A344,InterfaceRegister!$A:$A,InterfaceRegister!F:F)</f>
        <v>Technical-Data/Software</v>
      </c>
      <c r="AF344" t="str">
        <f>_xlfn.XLOOKUP($A344,InterfaceRegister!$A:$A,InterfaceRegister!L:L)</f>
        <v>This interface provides real-time operational data from fixed plant control systems for calculating actual loads.</v>
      </c>
      <c r="AG344" t="str">
        <f>_xlfn.XLOOKUP($A344,InterfaceRegister!$A:$A,InterfaceRegister!M:M)</f>
        <v>HIGH</v>
      </c>
      <c r="AH344" t="str">
        <f>_xlfn.XLOOKUP($A344,InterfaceRegister!$A:$A,InterfaceRegister!O:O)</f>
        <v>Data Flow:_x000D_
Simplicity (005OP-0000-013) -&gt; Delphi (855DC-1541-DEL) / Planning &amp; Forecast Systems (855DC-1541), transmitting real-time fixed plant operational data including active load measurements, feeder currents, equipment status, power consumption, process demand, alarms, and availability signals used for calculating actual site electrical loads._x000D_
Data supports load monitoring, curtailment decisions, constraint modelling, and short-term operational optimisation._x000D_
Control / Query Flow:_x000D_
Planning &amp; Forecast Systems -&gt; Simplicity (read/query only), retrieving validated operational data for load calculations and forecasting. No direct control commands are issued to plant control systems via this interface.</v>
      </c>
      <c r="AI344" t="str">
        <f>_xlfn.XLOOKUP($A344,InterfaceRegister!$A:$A,InterfaceRegister!N:N)</f>
        <v>The criticality level is HIGH because failure prevents accurate real-time load assessment, which is essential for load curtailment and control decisions. Failure risks serious safety incidents and the need for major operational replanning.</v>
      </c>
      <c r="AJ344" t="str">
        <f>_xlfn.XLOOKUP($A344,'EA-Fortescue_SDExport'!$A:$A,'EA-Fortescue_SDExport'!AX:AX)</f>
        <v>CSV548EEBF1</v>
      </c>
      <c r="AK344">
        <f>_xlfn.XLOOKUP($A344,'EA-Fortescue_SDExport'!$A:$A,'EA-Fortescue_SDExport'!AY:AY)</f>
        <v>0</v>
      </c>
    </row>
    <row r="345" spans="1:37" x14ac:dyDescent="0.25">
      <c r="A345" t="str">
        <v>DGS-I_0344</v>
      </c>
      <c r="B345" t="str">
        <f>_xlfn.XLOOKUP($A345,'EA-Fortescue_SDExport'!$A:$A,'EA-Fortescue_SDExport'!B:B)</f>
        <v>Class</v>
      </c>
      <c r="C345" t="str">
        <f>_xlfn.XLOOKUP($A345,'EA-Fortescue_SDExport'!$A:$A,'EA-Fortescue_SDExport'!C:C)</f>
        <v>{DC863863-852D-4aa4-9408-FF844C660587}</v>
      </c>
      <c r="D345" t="str">
        <f>_xlfn.LET(_xlpm.result, _xlfn.XLOOKUP($A345, InterfaceRegister!$A:$A, InterfaceRegister!P:P), IF(_xlpm.result=0, "", _xlpm.result))</f>
        <v>NH 20/02/2026: Fields updated: Interface Criticality Explanation, Interface Flow.</v>
      </c>
      <c r="E345">
        <f>_xlfn.XLOOKUP($A345,'EA-Fortescue_SDExport'!$A:$A,'EA-Fortescue_SDExport'!E:E)</f>
        <v>1</v>
      </c>
      <c r="F345">
        <f>_xlfn.XLOOKUP($A345,'EA-Fortescue_SDExport'!$A:$A,'EA-Fortescue_SDExport'!F:F)</f>
        <v>1</v>
      </c>
      <c r="G345">
        <f>_xlfn.XLOOKUP($A345,'EA-Fortescue_SDExport'!$A:$A,'EA-Fortescue_SDExport'!G:G)</f>
        <v>0</v>
      </c>
      <c r="H345" t="str">
        <f>_xlfn.XLOOKUP($A345,'EA-Fortescue_SDExport'!$A:$A,'EA-Fortescue_SDExport'!H:H)</f>
        <v>InterfaceBlock</v>
      </c>
      <c r="I345" t="str">
        <f>_xlfn.XLOOKUP($A345,'EA-Fortescue_SDExport'!$A:$A,'EA-Fortescue_SDExport'!I:I)</f>
        <v>SysML1.4::InterfaceBlock</v>
      </c>
      <c r="J345" t="str">
        <f>_xlfn.XLOOKUP($A345,'EA-Fortescue_SDExport'!$A:$A,'EA-Fortescue_SDExport'!J:J)</f>
        <v>Java</v>
      </c>
      <c r="K345" t="str">
        <f>_xlfn.XLOOKUP($A345,'EA-Fortescue_SDExport'!$A:$A,'EA-Fortescue_SDExport'!K:K)</f>
        <v>Admin</v>
      </c>
      <c r="L345" t="str">
        <f>_xlfn.XLOOKUP($A345,'EA-Fortescue_SDExport'!$A:$A,'EA-Fortescue_SDExport'!L:L)</f>
        <v>Public</v>
      </c>
      <c r="M345">
        <f>_xlfn.XLOOKUP($A345,'EA-Fortescue_SDExport'!$A:$A,'EA-Fortescue_SDExport'!M:M)</f>
        <v>0</v>
      </c>
      <c r="N345" t="str">
        <f>_xlfn.XLOOKUP($A345,InterfaceRegister!$A:$A,InterfaceRegister!K:K)</f>
        <v>Proposed</v>
      </c>
      <c r="O345">
        <f>_xlfn.XLOOKUP($A345,'EA-Fortescue_SDExport'!$A:$A,'EA-Fortescue_SDExport'!O:O)</f>
        <v>1</v>
      </c>
      <c r="P345">
        <f>_xlfn.XLOOKUP($A345,'EA-Fortescue_SDExport'!$A:$A,'EA-Fortescue_SDExport'!P:P)</f>
        <v>0</v>
      </c>
      <c r="Q345">
        <f>_xlfn.XLOOKUP($A345,'EA-Fortescue_SDExport'!$A:$A,'EA-Fortescue_SDExport'!Q:Q)</f>
        <v>0</v>
      </c>
      <c r="R345">
        <f>_xlfn.XLOOKUP($A345,'EA-Fortescue_SDExport'!$A:$A,'EA-Fortescue_SDExport'!R:R)</f>
        <v>0</v>
      </c>
      <c r="S345">
        <f>_xlfn.XLOOKUP($A345,'EA-Fortescue_SDExport'!$A:$A,'EA-Fortescue_SDExport'!S:S)</f>
        <v>0</v>
      </c>
      <c r="T345">
        <f>_xlfn.XLOOKUP($A345,'EA-Fortescue_SDExport'!$A:$A,'EA-Fortescue_SDExport'!T:T)</f>
        <v>0</v>
      </c>
      <c r="U345">
        <f>_xlfn.XLOOKUP($A345,'EA-Fortescue_SDExport'!$A:$A,'EA-Fortescue_SDExport'!U:U)</f>
        <v>46000.902314814812</v>
      </c>
      <c r="V345">
        <f>_xlfn.XLOOKUP($A345,'EA-Fortescue_SDExport'!$A:$A,'EA-Fortescue_SDExport'!V:V)</f>
        <v>46077.993217592593</v>
      </c>
      <c r="W345">
        <f>_xlfn.XLOOKUP($A345,'EA-Fortescue_SDExport'!$A:$A,'EA-Fortescue_SDExport'!W:W)</f>
        <v>0</v>
      </c>
      <c r="X345">
        <f>_xlfn.XLOOKUP($A345,'EA-Fortescue_SDExport'!$A:$A,'EA-Fortescue_SDExport'!X:X)</f>
        <v>0</v>
      </c>
      <c r="Y345">
        <f>_xlfn.XLOOKUP($A345,'EA-Fortescue_SDExport'!$A:$A,'EA-Fortescue_SDExport'!Y:Y)</f>
        <v>0</v>
      </c>
      <c r="Z345" t="str">
        <f>_xlfn.XLOOKUP($A345,'EA-Fortescue_SDExport'!$A:$A,'EA-Fortescue_SDExport'!Z:Z)</f>
        <v>SysML1.4::InterfaceBlock</v>
      </c>
      <c r="AA345" t="str">
        <f>_xlfn.XLOOKUP($A345,InterfaceRegister!$A:$A,InterfaceRegister!B:B)</f>
        <v>005OP-0000-017 Ignition|855DC-1541-DEL Delphi</v>
      </c>
      <c r="AB345" t="str">
        <f>_xlfn.XLOOKUP($A345,InterfaceRegister!$A:$A,InterfaceRegister!C:C)</f>
        <v/>
      </c>
      <c r="AC345" t="str">
        <f>_xlfn.XLOOKUP($A345,InterfaceRegister!$A:$A,InterfaceRegister!D:D)</f>
        <v/>
      </c>
      <c r="AD345" t="str">
        <f>_xlfn.XLOOKUP($A345,InterfaceRegister!$A:$A,InterfaceRegister!E:E)</f>
        <v>Project - Project Interface</v>
      </c>
      <c r="AE345" t="str">
        <f>_xlfn.XLOOKUP($A345,InterfaceRegister!$A:$A,InterfaceRegister!F:F)</f>
        <v>Technical-Data/Software</v>
      </c>
      <c r="AF345" t="str">
        <f>_xlfn.XLOOKUP($A345,InterfaceRegister!$A:$A,InterfaceRegister!L:L)</f>
        <v>This interface supplies operational data for ground-truth load for plan/forecast vs. actual load calculations.</v>
      </c>
      <c r="AG345" t="str">
        <f>_xlfn.XLOOKUP($A345,InterfaceRegister!$A:$A,InterfaceRegister!M:M)</f>
        <v>HIGH</v>
      </c>
      <c r="AH345" t="str">
        <f>_xlfn.XLOOKUP($A345,InterfaceRegister!$A:$A,InterfaceRegister!O:O)</f>
        <v>Data Flow:_x000D_
Ignition (005OP-0000-017) -&gt; Delphi (855DC-1541-DEL) / Planning &amp; Forecast Systems (855DC-1541), transmitting operational electrical data including feeder loads, equipment status, breaker states, alarms, and real-time demand measurements to provide ground-truth inputs for plan-versus-actual load reconciliation and forecasting accuracy._x000D_
Data supports validation of forecast models, load balancing analysis, curtailment planning, and operational performance assessment._x000D_
Control / Query Flow:_x000D_
Planning &amp; Forecast Systems -&gt; Ignition (read/query only), retrieving validated operational data for analytical processing. No direct control commands are issued to field equipment through this interface.</v>
      </c>
      <c r="AI345" t="str">
        <f>_xlfn.XLOOKUP($A345,InterfaceRegister!$A:$A,InterfaceRegister!N:N)</f>
        <v>This interface is rated HIGH because it provides the authoritative operational load data required to maintain an accurate view of total system demand. Loss, delay, or corruption of this data undermines the integrity of load calculations and forecasting models, increasing the risk of overload conditions, incorrect dispatch or curtailment decisions, and potential safety incidents. Reliable ground-truth data is essential for maintaining power system stability and operational assurance.</v>
      </c>
      <c r="AJ345" t="str">
        <f>_xlfn.XLOOKUP($A345,'EA-Fortescue_SDExport'!$A:$A,'EA-Fortescue_SDExport'!AX:AX)</f>
        <v>CSV811E519F</v>
      </c>
      <c r="AK345">
        <f>_xlfn.XLOOKUP($A345,'EA-Fortescue_SDExport'!$A:$A,'EA-Fortescue_SDExport'!AY:AY)</f>
        <v>0</v>
      </c>
    </row>
    <row r="346" spans="1:37" x14ac:dyDescent="0.25">
      <c r="A346" t="str">
        <v>DGS-I_0345</v>
      </c>
      <c r="B346" t="str">
        <f>_xlfn.XLOOKUP($A346,'EA-Fortescue_SDExport'!$A:$A,'EA-Fortescue_SDExport'!B:B)</f>
        <v>Class</v>
      </c>
      <c r="C346" t="str">
        <f>_xlfn.XLOOKUP($A346,'EA-Fortescue_SDExport'!$A:$A,'EA-Fortescue_SDExport'!C:C)</f>
        <v>{834DB857-9A17-403f-A6FE-BB19614841D1}</v>
      </c>
      <c r="D346" t="str">
        <f>_xlfn.LET(_xlpm.result, _xlfn.XLOOKUP($A346, InterfaceRegister!$A:$A, InterfaceRegister!P:P), IF(_xlpm.result=0, "", _xlpm.result))</f>
        <v>NH 20/02/2026: Fields updated: Interface Criticality Explanation, Interface Flow.</v>
      </c>
      <c r="E346">
        <f>_xlfn.XLOOKUP($A346,'EA-Fortescue_SDExport'!$A:$A,'EA-Fortescue_SDExport'!E:E)</f>
        <v>1</v>
      </c>
      <c r="F346">
        <f>_xlfn.XLOOKUP($A346,'EA-Fortescue_SDExport'!$A:$A,'EA-Fortescue_SDExport'!F:F)</f>
        <v>1</v>
      </c>
      <c r="G346">
        <f>_xlfn.XLOOKUP($A346,'EA-Fortescue_SDExport'!$A:$A,'EA-Fortescue_SDExport'!G:G)</f>
        <v>0</v>
      </c>
      <c r="H346" t="str">
        <f>_xlfn.XLOOKUP($A346,'EA-Fortescue_SDExport'!$A:$A,'EA-Fortescue_SDExport'!H:H)</f>
        <v>InterfaceBlock</v>
      </c>
      <c r="I346" t="str">
        <f>_xlfn.XLOOKUP($A346,'EA-Fortescue_SDExport'!$A:$A,'EA-Fortescue_SDExport'!I:I)</f>
        <v>SysML1.4::InterfaceBlock</v>
      </c>
      <c r="J346" t="str">
        <f>_xlfn.XLOOKUP($A346,'EA-Fortescue_SDExport'!$A:$A,'EA-Fortescue_SDExport'!J:J)</f>
        <v>Java</v>
      </c>
      <c r="K346" t="str">
        <f>_xlfn.XLOOKUP($A346,'EA-Fortescue_SDExport'!$A:$A,'EA-Fortescue_SDExport'!K:K)</f>
        <v>Admin</v>
      </c>
      <c r="L346" t="str">
        <f>_xlfn.XLOOKUP($A346,'EA-Fortescue_SDExport'!$A:$A,'EA-Fortescue_SDExport'!L:L)</f>
        <v>Public</v>
      </c>
      <c r="M346">
        <f>_xlfn.XLOOKUP($A346,'EA-Fortescue_SDExport'!$A:$A,'EA-Fortescue_SDExport'!M:M)</f>
        <v>0</v>
      </c>
      <c r="N346" t="str">
        <f>_xlfn.XLOOKUP($A346,InterfaceRegister!$A:$A,InterfaceRegister!K:K)</f>
        <v>Proposed</v>
      </c>
      <c r="O346">
        <f>_xlfn.XLOOKUP($A346,'EA-Fortescue_SDExport'!$A:$A,'EA-Fortescue_SDExport'!O:O)</f>
        <v>1</v>
      </c>
      <c r="P346">
        <f>_xlfn.XLOOKUP($A346,'EA-Fortescue_SDExport'!$A:$A,'EA-Fortescue_SDExport'!P:P)</f>
        <v>0</v>
      </c>
      <c r="Q346">
        <f>_xlfn.XLOOKUP($A346,'EA-Fortescue_SDExport'!$A:$A,'EA-Fortescue_SDExport'!Q:Q)</f>
        <v>0</v>
      </c>
      <c r="R346">
        <f>_xlfn.XLOOKUP($A346,'EA-Fortescue_SDExport'!$A:$A,'EA-Fortescue_SDExport'!R:R)</f>
        <v>0</v>
      </c>
      <c r="S346">
        <f>_xlfn.XLOOKUP($A346,'EA-Fortescue_SDExport'!$A:$A,'EA-Fortescue_SDExport'!S:S)</f>
        <v>0</v>
      </c>
      <c r="T346">
        <f>_xlfn.XLOOKUP($A346,'EA-Fortescue_SDExport'!$A:$A,'EA-Fortescue_SDExport'!T:T)</f>
        <v>0</v>
      </c>
      <c r="U346">
        <f>_xlfn.XLOOKUP($A346,'EA-Fortescue_SDExport'!$A:$A,'EA-Fortescue_SDExport'!U:U)</f>
        <v>46000.902256944442</v>
      </c>
      <c r="V346">
        <f>_xlfn.XLOOKUP($A346,'EA-Fortescue_SDExport'!$A:$A,'EA-Fortescue_SDExport'!V:V)</f>
        <v>46077.993217592593</v>
      </c>
      <c r="W346">
        <f>_xlfn.XLOOKUP($A346,'EA-Fortescue_SDExport'!$A:$A,'EA-Fortescue_SDExport'!W:W)</f>
        <v>0</v>
      </c>
      <c r="X346">
        <f>_xlfn.XLOOKUP($A346,'EA-Fortescue_SDExport'!$A:$A,'EA-Fortescue_SDExport'!X:X)</f>
        <v>0</v>
      </c>
      <c r="Y346">
        <f>_xlfn.XLOOKUP($A346,'EA-Fortescue_SDExport'!$A:$A,'EA-Fortescue_SDExport'!Y:Y)</f>
        <v>0</v>
      </c>
      <c r="Z346" t="str">
        <f>_xlfn.XLOOKUP($A346,'EA-Fortescue_SDExport'!$A:$A,'EA-Fortescue_SDExport'!Z:Z)</f>
        <v>SysML1.4::InterfaceBlock</v>
      </c>
      <c r="AA346" t="str">
        <f>_xlfn.XLOOKUP($A346,InterfaceRegister!$A:$A,InterfaceRegister!B:B)</f>
        <v>005OP-0000-006 Snowflake (General)|855DC-1541-DEL Delphi</v>
      </c>
      <c r="AB346" t="str">
        <f>_xlfn.XLOOKUP($A346,InterfaceRegister!$A:$A,InterfaceRegister!C:C)</f>
        <v/>
      </c>
      <c r="AC346" t="str">
        <f>_xlfn.XLOOKUP($A346,InterfaceRegister!$A:$A,InterfaceRegister!D:D)</f>
        <v/>
      </c>
      <c r="AD346" t="str">
        <f>_xlfn.XLOOKUP($A346,InterfaceRegister!$A:$A,InterfaceRegister!E:E)</f>
        <v>Project - Project Interface</v>
      </c>
      <c r="AE346" t="str">
        <f>_xlfn.XLOOKUP($A346,InterfaceRegister!$A:$A,InterfaceRegister!F:F)</f>
        <v>Technical-Data/Software</v>
      </c>
      <c r="AF346" t="str">
        <f>_xlfn.XLOOKUP($A346,InterfaceRegister!$A:$A,InterfaceRegister!L:L)</f>
        <v>This interface collects general actuals and historical data residing in Snowflake. Snowflake provides a 'time travel' function, which is from 1 day (default) up to a maximum of 90 days.</v>
      </c>
      <c r="AG346" t="str">
        <f>_xlfn.XLOOKUP($A346,InterfaceRegister!$A:$A,InterfaceRegister!M:M)</f>
        <v>HIGH</v>
      </c>
      <c r="AH346" t="str">
        <f>_xlfn.XLOOKUP($A346,InterfaceRegister!$A:$A,InterfaceRegister!O:O)</f>
        <v>Data Flow:_x000D_
Snowflake (005OP-0000-006 General) -&gt; Delphi (855DC-1541-DEL) / Planning &amp; Forecast Systems (855DC-1541), transmitting general actuals and historical datasets including load history, generation output, asset performance metrics, operational events, and forecast reference data._x000D_
Snowflake provides time-travel capability (default 1 day, configurable up to 90 days) to enable retrieval of historical data snapshots for reconciliation, back-testing, and scenario analysis._x000D_
Control / Query Flow:_x000D_
Delphi / Planning Systems -&gt; Snowflake (read/query only), executing structured queries to retrieve validated actuals and historical data for short-term forecasting, trend analysis, and model calibration. No operational control is issued via this interface.</v>
      </c>
      <c r="AI346" t="str">
        <f>_xlfn.XLOOKUP($A346,InterfaceRegister!$A:$A,InterfaceRegister!N:N)</f>
        <v>This interface is rated HIGH because accurate historical and actual data underpins short-term forecasting, model validation, and operational planning accuracy. Loss or corruption of this data materially degrades forecast reliability, increasing the risk of incorrect generation dispatch, inefficient curtailment decisions, and potential instability in power management. Reliable historical data is essential for maintaining confidence in optimisation and planning outputs.</v>
      </c>
      <c r="AJ346" t="str">
        <f>_xlfn.XLOOKUP($A346,'EA-Fortescue_SDExport'!$A:$A,'EA-Fortescue_SDExport'!AX:AX)</f>
        <v>CSV2FAA7301</v>
      </c>
      <c r="AK346">
        <f>_xlfn.XLOOKUP($A346,'EA-Fortescue_SDExport'!$A:$A,'EA-Fortescue_SDExport'!AY:AY)</f>
        <v>0</v>
      </c>
    </row>
    <row r="347" spans="1:37" x14ac:dyDescent="0.25">
      <c r="A347" t="str">
        <v>DGS-I_0346</v>
      </c>
      <c r="B347" t="str">
        <f>_xlfn.XLOOKUP($A347,'EA-Fortescue_SDExport'!$A:$A,'EA-Fortescue_SDExport'!B:B)</f>
        <v>Class</v>
      </c>
      <c r="C347" t="str">
        <f>_xlfn.XLOOKUP($A347,'EA-Fortescue_SDExport'!$A:$A,'EA-Fortescue_SDExport'!C:C)</f>
        <v>{0025A673-4FB5-4a47-A721-7448D2262F4B}</v>
      </c>
      <c r="D347" t="str">
        <f>_xlfn.LET(_xlpm.result, _xlfn.XLOOKUP($A347, InterfaceRegister!$A:$A, InterfaceRegister!P:P), IF(_xlpm.result=0, "", _xlpm.result))</f>
        <v>Delphi Requirements Review 19/01/2026: Retire OrePath and replace/link to HaulX.</v>
      </c>
      <c r="E347">
        <f>_xlfn.XLOOKUP($A347,'EA-Fortescue_SDExport'!$A:$A,'EA-Fortescue_SDExport'!E:E)</f>
        <v>1</v>
      </c>
      <c r="F347">
        <f>_xlfn.XLOOKUP($A347,'EA-Fortescue_SDExport'!$A:$A,'EA-Fortescue_SDExport'!F:F)</f>
        <v>1</v>
      </c>
      <c r="G347">
        <f>_xlfn.XLOOKUP($A347,'EA-Fortescue_SDExport'!$A:$A,'EA-Fortescue_SDExport'!G:G)</f>
        <v>0</v>
      </c>
      <c r="H347" t="str">
        <f>_xlfn.XLOOKUP($A347,'EA-Fortescue_SDExport'!$A:$A,'EA-Fortescue_SDExport'!H:H)</f>
        <v>InterfaceBlock</v>
      </c>
      <c r="I347" t="str">
        <f>_xlfn.XLOOKUP($A347,'EA-Fortescue_SDExport'!$A:$A,'EA-Fortescue_SDExport'!I:I)</f>
        <v>SysML1.4::InterfaceBlock</v>
      </c>
      <c r="J347" t="str">
        <f>_xlfn.XLOOKUP($A347,'EA-Fortescue_SDExport'!$A:$A,'EA-Fortescue_SDExport'!J:J)</f>
        <v>Java</v>
      </c>
      <c r="K347" t="str">
        <f>_xlfn.XLOOKUP($A347,'EA-Fortescue_SDExport'!$A:$A,'EA-Fortescue_SDExport'!K:K)</f>
        <v>Admin</v>
      </c>
      <c r="L347" t="str">
        <f>_xlfn.XLOOKUP($A347,'EA-Fortescue_SDExport'!$A:$A,'EA-Fortescue_SDExport'!L:L)</f>
        <v>Public</v>
      </c>
      <c r="M347">
        <f>_xlfn.XLOOKUP($A347,'EA-Fortescue_SDExport'!$A:$A,'EA-Fortescue_SDExport'!M:M)</f>
        <v>0</v>
      </c>
      <c r="N347" t="str">
        <f>_xlfn.XLOOKUP($A347,InterfaceRegister!$A:$A,InterfaceRegister!K:K)</f>
        <v>Deleted</v>
      </c>
      <c r="O347">
        <f>_xlfn.XLOOKUP($A347,'EA-Fortescue_SDExport'!$A:$A,'EA-Fortescue_SDExport'!O:O)</f>
        <v>1</v>
      </c>
      <c r="P347">
        <f>_xlfn.XLOOKUP($A347,'EA-Fortescue_SDExport'!$A:$A,'EA-Fortescue_SDExport'!P:P)</f>
        <v>0</v>
      </c>
      <c r="Q347">
        <f>_xlfn.XLOOKUP($A347,'EA-Fortescue_SDExport'!$A:$A,'EA-Fortescue_SDExport'!Q:Q)</f>
        <v>0</v>
      </c>
      <c r="R347">
        <f>_xlfn.XLOOKUP($A347,'EA-Fortescue_SDExport'!$A:$A,'EA-Fortescue_SDExport'!R:R)</f>
        <v>0</v>
      </c>
      <c r="S347">
        <f>_xlfn.XLOOKUP($A347,'EA-Fortescue_SDExport'!$A:$A,'EA-Fortescue_SDExport'!S:S)</f>
        <v>0</v>
      </c>
      <c r="T347">
        <f>_xlfn.XLOOKUP($A347,'EA-Fortescue_SDExport'!$A:$A,'EA-Fortescue_SDExport'!T:T)</f>
        <v>0</v>
      </c>
      <c r="U347">
        <f>_xlfn.XLOOKUP($A347,'EA-Fortescue_SDExport'!$A:$A,'EA-Fortescue_SDExport'!U:U)</f>
        <v>46000.902349537035</v>
      </c>
      <c r="V347">
        <f>_xlfn.XLOOKUP($A347,'EA-Fortescue_SDExport'!$A:$A,'EA-Fortescue_SDExport'!V:V)</f>
        <v>46043.909918981481</v>
      </c>
      <c r="W347">
        <f>_xlfn.XLOOKUP($A347,'EA-Fortescue_SDExport'!$A:$A,'EA-Fortescue_SDExport'!W:W)</f>
        <v>0</v>
      </c>
      <c r="X347">
        <f>_xlfn.XLOOKUP($A347,'EA-Fortescue_SDExport'!$A:$A,'EA-Fortescue_SDExport'!X:X)</f>
        <v>0</v>
      </c>
      <c r="Y347">
        <f>_xlfn.XLOOKUP($A347,'EA-Fortescue_SDExport'!$A:$A,'EA-Fortescue_SDExport'!Y:Y)</f>
        <v>0</v>
      </c>
      <c r="Z347" t="str">
        <f>_xlfn.XLOOKUP($A347,'EA-Fortescue_SDExport'!$A:$A,'EA-Fortescue_SDExport'!Z:Z)</f>
        <v>SysML1.4::InterfaceBlock</v>
      </c>
      <c r="AA347" t="str">
        <f>_xlfn.XLOOKUP($A347,InterfaceRegister!$A:$A,InterfaceRegister!B:B)</f>
        <v>Archive - 005OP-0000-009 OrePath|855DC-1541-DEL Delphi</v>
      </c>
      <c r="AB347" t="str">
        <f>_xlfn.XLOOKUP($A347,InterfaceRegister!$A:$A,InterfaceRegister!C:C)</f>
        <v/>
      </c>
      <c r="AC347" t="str">
        <f>_xlfn.XLOOKUP($A347,InterfaceRegister!$A:$A,InterfaceRegister!D:D)</f>
        <v/>
      </c>
      <c r="AD347" t="str">
        <f>_xlfn.XLOOKUP($A347,InterfaceRegister!$A:$A,InterfaceRegister!E:E)</f>
        <v>Project - Project Interface</v>
      </c>
      <c r="AE347" t="str">
        <f>_xlfn.XLOOKUP($A347,InterfaceRegister!$A:$A,InterfaceRegister!F:F)</f>
        <v>Technical-Data/Software</v>
      </c>
      <c r="AF347" t="str">
        <f>_xlfn.XLOOKUP($A347,InterfaceRegister!$A:$A,InterfaceRegister!L:L)</f>
        <v>This interface supplies data for calculating HME load profiles (fleet simulations).</v>
      </c>
      <c r="AG347" t="str">
        <f>_xlfn.XLOOKUP($A347,InterfaceRegister!$A:$A,InterfaceRegister!M:M)</f>
        <v>MEDIUM</v>
      </c>
      <c r="AH347" t="str">
        <f>_xlfn.XLOOKUP($A347,InterfaceRegister!$A:$A,InterfaceRegister!O:O)</f>
        <v/>
      </c>
      <c r="AI347" t="str">
        <f>_xlfn.XLOOKUP($A347,InterfaceRegister!$A:$A,InterfaceRegister!N:N)</f>
        <v>The criticality level is MEDIUM because failure means Eclipse cannot run energy feasibility checks, and Mine Controllers cannot manage curtailment, directly preventing Mission Success. While serious, failure does not immediately risk a major safety incident.</v>
      </c>
      <c r="AJ347" t="str">
        <f>_xlfn.XLOOKUP($A347,'EA-Fortescue_SDExport'!$A:$A,'EA-Fortescue_SDExport'!AX:AX)</f>
        <v>CSVE16B6BDB</v>
      </c>
      <c r="AK347">
        <f>_xlfn.XLOOKUP($A347,'EA-Fortescue_SDExport'!$A:$A,'EA-Fortescue_SDExport'!AY:AY)</f>
        <v>0</v>
      </c>
    </row>
    <row r="348" spans="1:37" x14ac:dyDescent="0.25">
      <c r="A348" t="str">
        <v>DGS-I_0347</v>
      </c>
      <c r="B348" t="str">
        <f>_xlfn.XLOOKUP($A348,'EA-Fortescue_SDExport'!$A:$A,'EA-Fortescue_SDExport'!B:B)</f>
        <v>Class</v>
      </c>
      <c r="C348" t="str">
        <f>_xlfn.XLOOKUP($A348,'EA-Fortescue_SDExport'!$A:$A,'EA-Fortescue_SDExport'!C:C)</f>
        <v>{3D3BAFCE-C803-42be-9CCD-29F803C59AC0}</v>
      </c>
      <c r="D348" t="str">
        <f>_xlfn.LET(_xlpm.result, _xlfn.XLOOKUP($A348, InterfaceRegister!$A:$A, InterfaceRegister!P:P), IF(_xlpm.result=0, "", _xlpm.result))</f>
        <v/>
      </c>
      <c r="E348">
        <f>_xlfn.XLOOKUP($A348,'EA-Fortescue_SDExport'!$A:$A,'EA-Fortescue_SDExport'!E:E)</f>
        <v>1</v>
      </c>
      <c r="F348">
        <f>_xlfn.XLOOKUP($A348,'EA-Fortescue_SDExport'!$A:$A,'EA-Fortescue_SDExport'!F:F)</f>
        <v>1</v>
      </c>
      <c r="G348">
        <f>_xlfn.XLOOKUP($A348,'EA-Fortescue_SDExport'!$A:$A,'EA-Fortescue_SDExport'!G:G)</f>
        <v>0</v>
      </c>
      <c r="H348" t="str">
        <f>_xlfn.XLOOKUP($A348,'EA-Fortescue_SDExport'!$A:$A,'EA-Fortescue_SDExport'!H:H)</f>
        <v>InterfaceBlock</v>
      </c>
      <c r="I348" t="str">
        <f>_xlfn.XLOOKUP($A348,'EA-Fortescue_SDExport'!$A:$A,'EA-Fortescue_SDExport'!I:I)</f>
        <v>SysML1.4::InterfaceBlock</v>
      </c>
      <c r="J348" t="str">
        <f>_xlfn.XLOOKUP($A348,'EA-Fortescue_SDExport'!$A:$A,'EA-Fortescue_SDExport'!J:J)</f>
        <v>Java</v>
      </c>
      <c r="K348" t="str">
        <f>_xlfn.XLOOKUP($A348,'EA-Fortescue_SDExport'!$A:$A,'EA-Fortescue_SDExport'!K:K)</f>
        <v>Admin</v>
      </c>
      <c r="L348" t="str">
        <f>_xlfn.XLOOKUP($A348,'EA-Fortescue_SDExport'!$A:$A,'EA-Fortescue_SDExport'!L:L)</f>
        <v>Public</v>
      </c>
      <c r="M348">
        <f>_xlfn.XLOOKUP($A348,'EA-Fortescue_SDExport'!$A:$A,'EA-Fortescue_SDExport'!M:M)</f>
        <v>0</v>
      </c>
      <c r="N348" t="str">
        <f>_xlfn.XLOOKUP($A348,InterfaceRegister!$A:$A,InterfaceRegister!K:K)</f>
        <v>Proposed</v>
      </c>
      <c r="O348">
        <f>_xlfn.XLOOKUP($A348,'EA-Fortescue_SDExport'!$A:$A,'EA-Fortescue_SDExport'!O:O)</f>
        <v>1</v>
      </c>
      <c r="P348">
        <f>_xlfn.XLOOKUP($A348,'EA-Fortescue_SDExport'!$A:$A,'EA-Fortescue_SDExport'!P:P)</f>
        <v>0</v>
      </c>
      <c r="Q348">
        <f>_xlfn.XLOOKUP($A348,'EA-Fortescue_SDExport'!$A:$A,'EA-Fortescue_SDExport'!Q:Q)</f>
        <v>0</v>
      </c>
      <c r="R348">
        <f>_xlfn.XLOOKUP($A348,'EA-Fortescue_SDExport'!$A:$A,'EA-Fortescue_SDExport'!R:R)</f>
        <v>0</v>
      </c>
      <c r="S348">
        <f>_xlfn.XLOOKUP($A348,'EA-Fortescue_SDExport'!$A:$A,'EA-Fortescue_SDExport'!S:S)</f>
        <v>0</v>
      </c>
      <c r="T348">
        <f>_xlfn.XLOOKUP($A348,'EA-Fortescue_SDExport'!$A:$A,'EA-Fortescue_SDExport'!T:T)</f>
        <v>0</v>
      </c>
      <c r="U348">
        <f>_xlfn.XLOOKUP($A348,'EA-Fortescue_SDExport'!$A:$A,'EA-Fortescue_SDExport'!U:U)</f>
        <v>46000.902361111112</v>
      </c>
      <c r="V348">
        <f>_xlfn.XLOOKUP($A348,'EA-Fortescue_SDExport'!$A:$A,'EA-Fortescue_SDExport'!V:V)</f>
        <v>46002.032962962963</v>
      </c>
      <c r="W348">
        <f>_xlfn.XLOOKUP($A348,'EA-Fortescue_SDExport'!$A:$A,'EA-Fortescue_SDExport'!W:W)</f>
        <v>0</v>
      </c>
      <c r="X348">
        <f>_xlfn.XLOOKUP($A348,'EA-Fortescue_SDExport'!$A:$A,'EA-Fortescue_SDExport'!X:X)</f>
        <v>0</v>
      </c>
      <c r="Y348">
        <f>_xlfn.XLOOKUP($A348,'EA-Fortescue_SDExport'!$A:$A,'EA-Fortescue_SDExport'!Y:Y)</f>
        <v>0</v>
      </c>
      <c r="Z348" t="str">
        <f>_xlfn.XLOOKUP($A348,'EA-Fortescue_SDExport'!$A:$A,'EA-Fortescue_SDExport'!Z:Z)</f>
        <v>SysML1.4::InterfaceBlock</v>
      </c>
      <c r="AA348" t="str">
        <f>_xlfn.XLOOKUP($A348,InterfaceRegister!$A:$A,InterfaceRegister!B:B)</f>
        <v>005OP-0000-006 Snowflake (General)|855DC-1541-ECL-001 Eclipse Planning</v>
      </c>
      <c r="AB348" t="str">
        <f>_xlfn.XLOOKUP($A348,InterfaceRegister!$A:$A,InterfaceRegister!C:C)</f>
        <v/>
      </c>
      <c r="AC348" t="str">
        <f>_xlfn.XLOOKUP($A348,InterfaceRegister!$A:$A,InterfaceRegister!D:D)</f>
        <v/>
      </c>
      <c r="AD348" t="str">
        <f>_xlfn.XLOOKUP($A348,InterfaceRegister!$A:$A,InterfaceRegister!E:E)</f>
        <v>Project - Subsystem Interface</v>
      </c>
      <c r="AE348" t="str">
        <f>_xlfn.XLOOKUP($A348,InterfaceRegister!$A:$A,InterfaceRegister!F:F)</f>
        <v>Technical-Data/Software</v>
      </c>
      <c r="AF348" t="str">
        <f>_xlfn.XLOOKUP($A348,InterfaceRegister!$A:$A,InterfaceRegister!L:L)</f>
        <v>This interface supplies aggregated results warehoused in Snowflake, making them available for consumption by other applications and reporting users.</v>
      </c>
      <c r="AG348" t="str">
        <f>_xlfn.XLOOKUP($A348,InterfaceRegister!$A:$A,InterfaceRegister!M:M)</f>
        <v>LOW</v>
      </c>
      <c r="AH348" t="str">
        <f>_xlfn.XLOOKUP($A348,InterfaceRegister!$A:$A,InterfaceRegister!O:O)</f>
        <v>Data Flow:_x000D_
005OP-0000-006 Snowflake (General) -&gt; 855DC-1541-ECL Eclipse. This interface supplies aggregated results warehoused in Snowflake, making them available for consumption by other applications and reporting users.</v>
      </c>
      <c r="AI348" t="str">
        <f>_xlfn.XLOOKUP($A348,InterfaceRegister!$A:$A,InterfaceRegister!N:N)</f>
        <v>The criticality level is LOW because failure impacts the ability of external teams to perform secondary analysis but has no measurable immediate impact on planning or control functions.</v>
      </c>
      <c r="AJ348" t="str">
        <f>_xlfn.XLOOKUP($A348,'EA-Fortescue_SDExport'!$A:$A,'EA-Fortescue_SDExport'!AX:AX)</f>
        <v>CSVEE62CE7C</v>
      </c>
      <c r="AK348">
        <f>_xlfn.XLOOKUP($A348,'EA-Fortescue_SDExport'!$A:$A,'EA-Fortescue_SDExport'!AY:AY)</f>
        <v>0</v>
      </c>
    </row>
    <row r="349" spans="1:37" x14ac:dyDescent="0.25">
      <c r="A349" t="str">
        <v>DGS-I_0348</v>
      </c>
      <c r="B349" t="str">
        <f>_xlfn.XLOOKUP($A349,'EA-Fortescue_SDExport'!$A:$A,'EA-Fortescue_SDExport'!B:B)</f>
        <v>Class</v>
      </c>
      <c r="C349" t="str">
        <f>_xlfn.XLOOKUP($A349,'EA-Fortescue_SDExport'!$A:$A,'EA-Fortescue_SDExport'!C:C)</f>
        <v>{2CD5322F-3A97-4b96-81F5-307072B76134}</v>
      </c>
      <c r="D349" t="str">
        <f>_xlfn.LET(_xlpm.result, _xlfn.XLOOKUP($A349, InterfaceRegister!$A:$A, InterfaceRegister!P:P), IF(_xlpm.result=0, "", _xlpm.result))</f>
        <v/>
      </c>
      <c r="E349">
        <f>_xlfn.XLOOKUP($A349,'EA-Fortescue_SDExport'!$A:$A,'EA-Fortescue_SDExport'!E:E)</f>
        <v>1</v>
      </c>
      <c r="F349">
        <f>_xlfn.XLOOKUP($A349,'EA-Fortescue_SDExport'!$A:$A,'EA-Fortescue_SDExport'!F:F)</f>
        <v>1</v>
      </c>
      <c r="G349">
        <f>_xlfn.XLOOKUP($A349,'EA-Fortescue_SDExport'!$A:$A,'EA-Fortescue_SDExport'!G:G)</f>
        <v>0</v>
      </c>
      <c r="H349" t="str">
        <f>_xlfn.XLOOKUP($A349,'EA-Fortescue_SDExport'!$A:$A,'EA-Fortescue_SDExport'!H:H)</f>
        <v>InterfaceBlock</v>
      </c>
      <c r="I349" t="str">
        <f>_xlfn.XLOOKUP($A349,'EA-Fortescue_SDExport'!$A:$A,'EA-Fortescue_SDExport'!I:I)</f>
        <v>SysML1.4::InterfaceBlock</v>
      </c>
      <c r="J349" t="str">
        <f>_xlfn.XLOOKUP($A349,'EA-Fortescue_SDExport'!$A:$A,'EA-Fortescue_SDExport'!J:J)</f>
        <v>Java</v>
      </c>
      <c r="K349" t="str">
        <f>_xlfn.XLOOKUP($A349,'EA-Fortescue_SDExport'!$A:$A,'EA-Fortescue_SDExport'!K:K)</f>
        <v>Admin</v>
      </c>
      <c r="L349" t="str">
        <f>_xlfn.XLOOKUP($A349,'EA-Fortescue_SDExport'!$A:$A,'EA-Fortescue_SDExport'!L:L)</f>
        <v>Public</v>
      </c>
      <c r="M349">
        <f>_xlfn.XLOOKUP($A349,'EA-Fortescue_SDExport'!$A:$A,'EA-Fortescue_SDExport'!M:M)</f>
        <v>0</v>
      </c>
      <c r="N349" t="str">
        <f>_xlfn.XLOOKUP($A349,InterfaceRegister!$A:$A,InterfaceRegister!K:K)</f>
        <v>Proposed</v>
      </c>
      <c r="O349">
        <f>_xlfn.XLOOKUP($A349,'EA-Fortescue_SDExport'!$A:$A,'EA-Fortescue_SDExport'!O:O)</f>
        <v>1</v>
      </c>
      <c r="P349">
        <f>_xlfn.XLOOKUP($A349,'EA-Fortescue_SDExport'!$A:$A,'EA-Fortescue_SDExport'!P:P)</f>
        <v>0</v>
      </c>
      <c r="Q349">
        <f>_xlfn.XLOOKUP($A349,'EA-Fortescue_SDExport'!$A:$A,'EA-Fortescue_SDExport'!Q:Q)</f>
        <v>0</v>
      </c>
      <c r="R349">
        <f>_xlfn.XLOOKUP($A349,'EA-Fortescue_SDExport'!$A:$A,'EA-Fortescue_SDExport'!R:R)</f>
        <v>0</v>
      </c>
      <c r="S349">
        <f>_xlfn.XLOOKUP($A349,'EA-Fortescue_SDExport'!$A:$A,'EA-Fortescue_SDExport'!S:S)</f>
        <v>0</v>
      </c>
      <c r="T349">
        <f>_xlfn.XLOOKUP($A349,'EA-Fortescue_SDExport'!$A:$A,'EA-Fortescue_SDExport'!T:T)</f>
        <v>0</v>
      </c>
      <c r="U349">
        <f>_xlfn.XLOOKUP($A349,'EA-Fortescue_SDExport'!$A:$A,'EA-Fortescue_SDExport'!U:U)</f>
        <v>46000.902499999997</v>
      </c>
      <c r="V349">
        <f>_xlfn.XLOOKUP($A349,'EA-Fortescue_SDExport'!$A:$A,'EA-Fortescue_SDExport'!V:V)</f>
        <v>46002.03297453704</v>
      </c>
      <c r="W349">
        <f>_xlfn.XLOOKUP($A349,'EA-Fortescue_SDExport'!$A:$A,'EA-Fortescue_SDExport'!W:W)</f>
        <v>0</v>
      </c>
      <c r="X349">
        <f>_xlfn.XLOOKUP($A349,'EA-Fortescue_SDExport'!$A:$A,'EA-Fortescue_SDExport'!X:X)</f>
        <v>0</v>
      </c>
      <c r="Y349">
        <f>_xlfn.XLOOKUP($A349,'EA-Fortescue_SDExport'!$A:$A,'EA-Fortescue_SDExport'!Y:Y)</f>
        <v>0</v>
      </c>
      <c r="Z349" t="str">
        <f>_xlfn.XLOOKUP($A349,'EA-Fortescue_SDExport'!$A:$A,'EA-Fortescue_SDExport'!Z:Z)</f>
        <v>SysML1.4::InterfaceBlock</v>
      </c>
      <c r="AA349" t="str">
        <f>_xlfn.XLOOKUP($A349,InterfaceRegister!$A:$A,InterfaceRegister!B:B)</f>
        <v>005OP-0000-010 10YP &amp; LOM Tool|855DC-1541-ECL-001 Eclipse Planning</v>
      </c>
      <c r="AB349" t="str">
        <f>_xlfn.XLOOKUP($A349,InterfaceRegister!$A:$A,InterfaceRegister!C:C)</f>
        <v/>
      </c>
      <c r="AC349" t="str">
        <f>_xlfn.XLOOKUP($A349,InterfaceRegister!$A:$A,InterfaceRegister!D:D)</f>
        <v/>
      </c>
      <c r="AD349" t="str">
        <f>_xlfn.XLOOKUP($A349,InterfaceRegister!$A:$A,InterfaceRegister!E:E)</f>
        <v>Project - Subsystem Interface</v>
      </c>
      <c r="AE349" t="str">
        <f>_xlfn.XLOOKUP($A349,InterfaceRegister!$A:$A,InterfaceRegister!F:F)</f>
        <v>Technical-Data/Software</v>
      </c>
      <c r="AF349" t="str">
        <f>_xlfn.XLOOKUP($A349,InterfaceRegister!$A:$A,InterfaceRegister!L:L)</f>
        <v>This interface sources the 10-Year long-term mine plan from a local file when running the long-term horizon scenario.</v>
      </c>
      <c r="AG349" t="str">
        <f>_xlfn.XLOOKUP($A349,InterfaceRegister!$A:$A,InterfaceRegister!M:M)</f>
        <v>MEDIUM</v>
      </c>
      <c r="AH349" t="str">
        <f>_xlfn.XLOOKUP($A349,InterfaceRegister!$A:$A,InterfaceRegister!O:O)</f>
        <v>Data Flow: 10YP &amp; LOM Tool -&gt; Planning and Forecast Systems (ECL Eclipse) (10-year mine plan data, production forecasts, resource schedules, long-term haulage volumes, strategic assumptions) sourced from local files for long-horizon scenario modelling.</v>
      </c>
      <c r="AI349" t="str">
        <f>_xlfn.XLOOKUP($A349,InterfaceRegister!$A:$A,InterfaceRegister!N:N)</f>
        <v>The criticality level is MEDIUM because its failure primarily impacts strategic studies, not the immediate reliability of the system, forcing planners to use outdated data. While serious for long-term strategic planning, failure does not immediately risk a major safety incident.</v>
      </c>
      <c r="AJ349" t="str">
        <f>_xlfn.XLOOKUP($A349,'EA-Fortescue_SDExport'!$A:$A,'EA-Fortescue_SDExport'!AX:AX)</f>
        <v>CSV37C78ADC</v>
      </c>
      <c r="AK349">
        <f>_xlfn.XLOOKUP($A349,'EA-Fortescue_SDExport'!$A:$A,'EA-Fortescue_SDExport'!AY:AY)</f>
        <v>0</v>
      </c>
    </row>
    <row r="350" spans="1:37" x14ac:dyDescent="0.25">
      <c r="A350" t="str">
        <v>DGS-I_0349</v>
      </c>
      <c r="B350" t="str">
        <f>_xlfn.XLOOKUP($A350,'EA-Fortescue_SDExport'!$A:$A,'EA-Fortescue_SDExport'!B:B)</f>
        <v>Class</v>
      </c>
      <c r="C350" t="str">
        <f>_xlfn.XLOOKUP($A350,'EA-Fortescue_SDExport'!$A:$A,'EA-Fortescue_SDExport'!C:C)</f>
        <v>{6D269113-6B67-4a26-AB2E-EB196608598F}</v>
      </c>
      <c r="D350" t="str">
        <f>_xlfn.LET(_xlpm.result, _xlfn.XLOOKUP($A350, InterfaceRegister!$A:$A, InterfaceRegister!P:P), IF(_xlpm.result=0, "", _xlpm.result))</f>
        <v>NH 20/02/2026: Fields updated: Interface Criticality Explanation, Interface Flow.</v>
      </c>
      <c r="E350">
        <f>_xlfn.XLOOKUP($A350,'EA-Fortescue_SDExport'!$A:$A,'EA-Fortescue_SDExport'!E:E)</f>
        <v>1</v>
      </c>
      <c r="F350">
        <f>_xlfn.XLOOKUP($A350,'EA-Fortescue_SDExport'!$A:$A,'EA-Fortescue_SDExport'!F:F)</f>
        <v>1</v>
      </c>
      <c r="G350">
        <f>_xlfn.XLOOKUP($A350,'EA-Fortescue_SDExport'!$A:$A,'EA-Fortescue_SDExport'!G:G)</f>
        <v>0</v>
      </c>
      <c r="H350" t="str">
        <f>_xlfn.XLOOKUP($A350,'EA-Fortescue_SDExport'!$A:$A,'EA-Fortescue_SDExport'!H:H)</f>
        <v>InterfaceBlock</v>
      </c>
      <c r="I350" t="str">
        <f>_xlfn.XLOOKUP($A350,'EA-Fortescue_SDExport'!$A:$A,'EA-Fortescue_SDExport'!I:I)</f>
        <v>SysML1.4::InterfaceBlock</v>
      </c>
      <c r="J350" t="str">
        <f>_xlfn.XLOOKUP($A350,'EA-Fortescue_SDExport'!$A:$A,'EA-Fortescue_SDExport'!J:J)</f>
        <v>Java</v>
      </c>
      <c r="K350" t="str">
        <f>_xlfn.XLOOKUP($A350,'EA-Fortescue_SDExport'!$A:$A,'EA-Fortescue_SDExport'!K:K)</f>
        <v>Admin</v>
      </c>
      <c r="L350" t="str">
        <f>_xlfn.XLOOKUP($A350,'EA-Fortescue_SDExport'!$A:$A,'EA-Fortescue_SDExport'!L:L)</f>
        <v>Public</v>
      </c>
      <c r="M350">
        <f>_xlfn.XLOOKUP($A350,'EA-Fortescue_SDExport'!$A:$A,'EA-Fortescue_SDExport'!M:M)</f>
        <v>0</v>
      </c>
      <c r="N350" t="str">
        <f>_xlfn.XLOOKUP($A350,InterfaceRegister!$A:$A,InterfaceRegister!K:K)</f>
        <v>Proposed</v>
      </c>
      <c r="O350">
        <f>_xlfn.XLOOKUP($A350,'EA-Fortescue_SDExport'!$A:$A,'EA-Fortescue_SDExport'!O:O)</f>
        <v>1</v>
      </c>
      <c r="P350">
        <f>_xlfn.XLOOKUP($A350,'EA-Fortescue_SDExport'!$A:$A,'EA-Fortescue_SDExport'!P:P)</f>
        <v>0</v>
      </c>
      <c r="Q350">
        <f>_xlfn.XLOOKUP($A350,'EA-Fortescue_SDExport'!$A:$A,'EA-Fortescue_SDExport'!Q:Q)</f>
        <v>0</v>
      </c>
      <c r="R350">
        <f>_xlfn.XLOOKUP($A350,'EA-Fortescue_SDExport'!$A:$A,'EA-Fortescue_SDExport'!R:R)</f>
        <v>0</v>
      </c>
      <c r="S350">
        <f>_xlfn.XLOOKUP($A350,'EA-Fortescue_SDExport'!$A:$A,'EA-Fortescue_SDExport'!S:S)</f>
        <v>0</v>
      </c>
      <c r="T350">
        <f>_xlfn.XLOOKUP($A350,'EA-Fortescue_SDExport'!$A:$A,'EA-Fortescue_SDExport'!T:T)</f>
        <v>0</v>
      </c>
      <c r="U350">
        <f>_xlfn.XLOOKUP($A350,'EA-Fortescue_SDExport'!$A:$A,'EA-Fortescue_SDExport'!U:U)</f>
        <v>46001.052523148152</v>
      </c>
      <c r="V350">
        <f>_xlfn.XLOOKUP($A350,'EA-Fortescue_SDExport'!$A:$A,'EA-Fortescue_SDExport'!V:V)</f>
        <v>46077.993206018517</v>
      </c>
      <c r="W350">
        <f>_xlfn.XLOOKUP($A350,'EA-Fortescue_SDExport'!$A:$A,'EA-Fortescue_SDExport'!W:W)</f>
        <v>0</v>
      </c>
      <c r="X350">
        <f>_xlfn.XLOOKUP($A350,'EA-Fortescue_SDExport'!$A:$A,'EA-Fortescue_SDExport'!X:X)</f>
        <v>0</v>
      </c>
      <c r="Y350">
        <f>_xlfn.XLOOKUP($A350,'EA-Fortescue_SDExport'!$A:$A,'EA-Fortescue_SDExport'!Y:Y)</f>
        <v>0</v>
      </c>
      <c r="Z350" t="str">
        <f>_xlfn.XLOOKUP($A350,'EA-Fortescue_SDExport'!$A:$A,'EA-Fortescue_SDExport'!Z:Z)</f>
        <v>SysML1.4::InterfaceBlock</v>
      </c>
      <c r="AA350" t="str">
        <f>_xlfn.XLOOKUP($A350,InterfaceRegister!$A:$A,InterfaceRegister!B:B)</f>
        <v>005OP-0000-005-001 Weather data|855DC-1541-ECL-001 Eclipse Planning</v>
      </c>
      <c r="AB350" t="str">
        <f>_xlfn.XLOOKUP($A350,InterfaceRegister!$A:$A,InterfaceRegister!C:C)</f>
        <v/>
      </c>
      <c r="AC350" t="str">
        <f>_xlfn.XLOOKUP($A350,InterfaceRegister!$A:$A,InterfaceRegister!D:D)</f>
        <v/>
      </c>
      <c r="AD350" t="str">
        <f>_xlfn.XLOOKUP($A350,InterfaceRegister!$A:$A,InterfaceRegister!E:E)</f>
        <v>Subsystem - Subsystem Interface</v>
      </c>
      <c r="AE350" t="str">
        <f>_xlfn.XLOOKUP($A350,InterfaceRegister!$A:$A,InterfaceRegister!F:F)</f>
        <v>Technical-Data/Software</v>
      </c>
      <c r="AF350" t="str">
        <f>_xlfn.XLOOKUP($A350,InterfaceRegister!$A:$A,InterfaceRegister!L:L)</f>
        <v>This interface sources synthesised weather data (wind, solar) as capacity factors (CFs). This time-series data is used to generate the hourly renewable generation profiles for Sienna.</v>
      </c>
      <c r="AG350" t="str">
        <f>_xlfn.XLOOKUP($A350,InterfaceRegister!$A:$A,InterfaceRegister!M:M)</f>
        <v>HIGH</v>
      </c>
      <c r="AH350" t="str">
        <f>_xlfn.XLOOKUP($A350,InterfaceRegister!$A:$A,InterfaceRegister!O:O)</f>
        <v>Data Flow:_x000D_
Weather Forecasting System (005OP-0000-005) -&gt; Eclipse (855DC-1541-ECL), transmitting synthesised time-series weather data including wind speed, solar irradiance, temperature, and derived capacity factors (CFs)._x000D_
These datasets are used to generate hourly renewable generation profiles (e.g. wind and solar) for optimisation modelling, dispatch simulation, and scenario analysis within Eclipse._x000D_
Control / Query Flow:_x000D_
Eclipse -&gt; Weather Data Source (read/query only), retrieving validated forecast and historical weather datasets for model execution. No operational control commands are issued through this interface.</v>
      </c>
      <c r="AI350" t="str">
        <f>_xlfn.XLOOKUP($A350,InterfaceRegister!$A:$A,InterfaceRegister!N:N)</f>
        <v>This interface is rated HIGH because weather-derived capacity factors form the foundational input for renewable generation modelling. Loss, delay, or inaccuracy in this data prevents the optimisation model from correctly representing renewable variability and uncertainty. This undermines dispatch planning, reserve calculations, and curtailment strategies, increasing the risk of instability, inefficient generation decisions, and potential safety impacts arising from misaligned supply-demand forecasts.</v>
      </c>
      <c r="AJ350" t="str">
        <f>_xlfn.XLOOKUP($A350,'EA-Fortescue_SDExport'!$A:$A,'EA-Fortescue_SDExport'!AX:AX)</f>
        <v>CSV7E419D28</v>
      </c>
      <c r="AK350">
        <f>_xlfn.XLOOKUP($A350,'EA-Fortescue_SDExport'!$A:$A,'EA-Fortescue_SDExport'!AY:AY)</f>
        <v>0</v>
      </c>
    </row>
    <row r="351" spans="1:37" x14ac:dyDescent="0.25">
      <c r="A351" t="str">
        <v>DGS-I_0350</v>
      </c>
      <c r="B351" t="str">
        <f>_xlfn.XLOOKUP($A351,'EA-Fortescue_SDExport'!$A:$A,'EA-Fortescue_SDExport'!B:B)</f>
        <v>Class</v>
      </c>
      <c r="C351" t="str">
        <f>_xlfn.XLOOKUP($A351,'EA-Fortescue_SDExport'!$A:$A,'EA-Fortescue_SDExport'!C:C)</f>
        <v>{46C72D7E-5F10-49d0-89A2-0A96A11AA7BB}</v>
      </c>
      <c r="D351" t="str">
        <f>_xlfn.LET(_xlpm.result, _xlfn.XLOOKUP($A351, InterfaceRegister!$A:$A, InterfaceRegister!P:P), IF(_xlpm.result=0, "", _xlpm.result))</f>
        <v/>
      </c>
      <c r="E351">
        <f>_xlfn.XLOOKUP($A351,'EA-Fortescue_SDExport'!$A:$A,'EA-Fortescue_SDExport'!E:E)</f>
        <v>1</v>
      </c>
      <c r="F351">
        <f>_xlfn.XLOOKUP($A351,'EA-Fortescue_SDExport'!$A:$A,'EA-Fortescue_SDExport'!F:F)</f>
        <v>1</v>
      </c>
      <c r="G351">
        <f>_xlfn.XLOOKUP($A351,'EA-Fortescue_SDExport'!$A:$A,'EA-Fortescue_SDExport'!G:G)</f>
        <v>0</v>
      </c>
      <c r="H351" t="str">
        <f>_xlfn.XLOOKUP($A351,'EA-Fortescue_SDExport'!$A:$A,'EA-Fortescue_SDExport'!H:H)</f>
        <v>InterfaceBlock</v>
      </c>
      <c r="I351" t="str">
        <f>_xlfn.XLOOKUP($A351,'EA-Fortescue_SDExport'!$A:$A,'EA-Fortescue_SDExport'!I:I)</f>
        <v>SysML1.4::InterfaceBlock</v>
      </c>
      <c r="J351" t="str">
        <f>_xlfn.XLOOKUP($A351,'EA-Fortescue_SDExport'!$A:$A,'EA-Fortescue_SDExport'!J:J)</f>
        <v>Java</v>
      </c>
      <c r="K351" t="str">
        <f>_xlfn.XLOOKUP($A351,'EA-Fortescue_SDExport'!$A:$A,'EA-Fortescue_SDExport'!K:K)</f>
        <v>Admin</v>
      </c>
      <c r="L351" t="str">
        <f>_xlfn.XLOOKUP($A351,'EA-Fortescue_SDExport'!$A:$A,'EA-Fortescue_SDExport'!L:L)</f>
        <v>Public</v>
      </c>
      <c r="M351">
        <f>_xlfn.XLOOKUP($A351,'EA-Fortescue_SDExport'!$A:$A,'EA-Fortescue_SDExport'!M:M)</f>
        <v>0</v>
      </c>
      <c r="N351" t="str">
        <f>_xlfn.XLOOKUP($A351,InterfaceRegister!$A:$A,InterfaceRegister!K:K)</f>
        <v>Proposed</v>
      </c>
      <c r="O351">
        <f>_xlfn.XLOOKUP($A351,'EA-Fortescue_SDExport'!$A:$A,'EA-Fortescue_SDExport'!O:O)</f>
        <v>1</v>
      </c>
      <c r="P351">
        <f>_xlfn.XLOOKUP($A351,'EA-Fortescue_SDExport'!$A:$A,'EA-Fortescue_SDExport'!P:P)</f>
        <v>0</v>
      </c>
      <c r="Q351">
        <f>_xlfn.XLOOKUP($A351,'EA-Fortescue_SDExport'!$A:$A,'EA-Fortescue_SDExport'!Q:Q)</f>
        <v>0</v>
      </c>
      <c r="R351">
        <f>_xlfn.XLOOKUP($A351,'EA-Fortescue_SDExport'!$A:$A,'EA-Fortescue_SDExport'!R:R)</f>
        <v>0</v>
      </c>
      <c r="S351">
        <f>_xlfn.XLOOKUP($A351,'EA-Fortescue_SDExport'!$A:$A,'EA-Fortescue_SDExport'!S:S)</f>
        <v>0</v>
      </c>
      <c r="T351">
        <f>_xlfn.XLOOKUP($A351,'EA-Fortescue_SDExport'!$A:$A,'EA-Fortescue_SDExport'!T:T)</f>
        <v>0</v>
      </c>
      <c r="U351">
        <f>_xlfn.XLOOKUP($A351,'EA-Fortescue_SDExport'!$A:$A,'EA-Fortescue_SDExport'!U:U)</f>
        <v>46000.902384259258</v>
      </c>
      <c r="V351">
        <f>_xlfn.XLOOKUP($A351,'EA-Fortescue_SDExport'!$A:$A,'EA-Fortescue_SDExport'!V:V)</f>
        <v>46002.032951388886</v>
      </c>
      <c r="W351">
        <f>_xlfn.XLOOKUP($A351,'EA-Fortescue_SDExport'!$A:$A,'EA-Fortescue_SDExport'!W:W)</f>
        <v>0</v>
      </c>
      <c r="X351">
        <f>_xlfn.XLOOKUP($A351,'EA-Fortescue_SDExport'!$A:$A,'EA-Fortescue_SDExport'!X:X)</f>
        <v>0</v>
      </c>
      <c r="Y351">
        <f>_xlfn.XLOOKUP($A351,'EA-Fortescue_SDExport'!$A:$A,'EA-Fortescue_SDExport'!Y:Y)</f>
        <v>0</v>
      </c>
      <c r="Z351" t="str">
        <f>_xlfn.XLOOKUP($A351,'EA-Fortescue_SDExport'!$A:$A,'EA-Fortescue_SDExport'!Z:Z)</f>
        <v>SysML1.4::InterfaceBlock</v>
      </c>
      <c r="AA351" t="str">
        <f>_xlfn.XLOOKUP($A351,InterfaceRegister!$A:$A,InterfaceRegister!B:B)</f>
        <v>855DC-1541-LIV LiveWire|855DC-1543-008 Monarch</v>
      </c>
      <c r="AB351" t="str">
        <f>_xlfn.XLOOKUP($A351,InterfaceRegister!$A:$A,InterfaceRegister!C:C)</f>
        <v/>
      </c>
      <c r="AC351" t="str">
        <f>_xlfn.XLOOKUP($A351,InterfaceRegister!$A:$A,InterfaceRegister!D:D)</f>
        <v/>
      </c>
      <c r="AD351" t="str">
        <f>_xlfn.XLOOKUP($A351,InterfaceRegister!$A:$A,InterfaceRegister!E:E)</f>
        <v>Project - Project Interface</v>
      </c>
      <c r="AE351" t="str">
        <f>_xlfn.XLOOKUP($A351,InterfaceRegister!$A:$A,InterfaceRegister!F:F)</f>
        <v>Technical-Data/Software</v>
      </c>
      <c r="AF351" t="str">
        <f>_xlfn.XLOOKUP($A351,InterfaceRegister!$A:$A,InterfaceRegister!L:L)</f>
        <v>This interface provides data on Overhead Lines before substations for visualisation and context on the map interface.</v>
      </c>
      <c r="AG351" t="str">
        <f>_xlfn.XLOOKUP($A351,InterfaceRegister!$A:$A,InterfaceRegister!M:M)</f>
        <v>LOW</v>
      </c>
      <c r="AH351" t="str">
        <f>_xlfn.XLOOKUP($A351,InterfaceRegister!$A:$A,InterfaceRegister!O:O)</f>
        <v>Data Flow:_x000D_
855DC-1541-LIV LiveWire -&gt; 855DC-1543-008 Monarch. This interface provides data on Overhead Lines before substations for visualisation and context on the map interface.</v>
      </c>
      <c r="AI351" t="str">
        <f>_xlfn.XLOOKUP($A351,InterfaceRegister!$A:$A,InterfaceRegister!N:N)</f>
        <v>The criticality level is LOW because it supports visualisation and contextual awareness, but does not impact core cable planning or safety functions directly.</v>
      </c>
      <c r="AJ351" t="str">
        <f>_xlfn.XLOOKUP($A351,'EA-Fortescue_SDExport'!$A:$A,'EA-Fortescue_SDExport'!AX:AX)</f>
        <v>CSV00D8631B</v>
      </c>
      <c r="AK351">
        <f>_xlfn.XLOOKUP($A351,'EA-Fortescue_SDExport'!$A:$A,'EA-Fortescue_SDExport'!AY:AY)</f>
        <v>0</v>
      </c>
    </row>
    <row r="352" spans="1:37" x14ac:dyDescent="0.25">
      <c r="A352" t="str">
        <v>DGS-I_0351</v>
      </c>
      <c r="B352" t="str">
        <f>_xlfn.XLOOKUP($A352,'EA-Fortescue_SDExport'!$A:$A,'EA-Fortescue_SDExport'!B:B)</f>
        <v>Class</v>
      </c>
      <c r="C352" t="str">
        <f>_xlfn.XLOOKUP($A352,'EA-Fortescue_SDExport'!$A:$A,'EA-Fortescue_SDExport'!C:C)</f>
        <v>{5876A29B-5C3B-4745-9612-4216706E7E47}</v>
      </c>
      <c r="D352" t="str">
        <f>_xlfn.LET(_xlpm.result, _xlfn.XLOOKUP($A352, InterfaceRegister!$A:$A, InterfaceRegister!P:P), IF(_xlpm.result=0, "", _xlpm.result))</f>
        <v/>
      </c>
      <c r="E352">
        <f>_xlfn.XLOOKUP($A352,'EA-Fortescue_SDExport'!$A:$A,'EA-Fortescue_SDExport'!E:E)</f>
        <v>1</v>
      </c>
      <c r="F352">
        <f>_xlfn.XLOOKUP($A352,'EA-Fortescue_SDExport'!$A:$A,'EA-Fortescue_SDExport'!F:F)</f>
        <v>1</v>
      </c>
      <c r="G352">
        <f>_xlfn.XLOOKUP($A352,'EA-Fortescue_SDExport'!$A:$A,'EA-Fortescue_SDExport'!G:G)</f>
        <v>0</v>
      </c>
      <c r="H352" t="str">
        <f>_xlfn.XLOOKUP($A352,'EA-Fortescue_SDExport'!$A:$A,'EA-Fortescue_SDExport'!H:H)</f>
        <v>InterfaceBlock</v>
      </c>
      <c r="I352" t="str">
        <f>_xlfn.XLOOKUP($A352,'EA-Fortescue_SDExport'!$A:$A,'EA-Fortescue_SDExport'!I:I)</f>
        <v>SysML1.4::InterfaceBlock</v>
      </c>
      <c r="J352" t="str">
        <f>_xlfn.XLOOKUP($A352,'EA-Fortescue_SDExport'!$A:$A,'EA-Fortescue_SDExport'!J:J)</f>
        <v>Java</v>
      </c>
      <c r="K352" t="str">
        <f>_xlfn.XLOOKUP($A352,'EA-Fortescue_SDExport'!$A:$A,'EA-Fortescue_SDExport'!K:K)</f>
        <v>Admin</v>
      </c>
      <c r="L352" t="str">
        <f>_xlfn.XLOOKUP($A352,'EA-Fortescue_SDExport'!$A:$A,'EA-Fortescue_SDExport'!L:L)</f>
        <v>Public</v>
      </c>
      <c r="M352">
        <f>_xlfn.XLOOKUP($A352,'EA-Fortescue_SDExport'!$A:$A,'EA-Fortescue_SDExport'!M:M)</f>
        <v>0</v>
      </c>
      <c r="N352" t="str">
        <f>_xlfn.XLOOKUP($A352,InterfaceRegister!$A:$A,InterfaceRegister!K:K)</f>
        <v>Proposed</v>
      </c>
      <c r="O352">
        <f>_xlfn.XLOOKUP($A352,'EA-Fortescue_SDExport'!$A:$A,'EA-Fortescue_SDExport'!O:O)</f>
        <v>1</v>
      </c>
      <c r="P352">
        <f>_xlfn.XLOOKUP($A352,'EA-Fortescue_SDExport'!$A:$A,'EA-Fortescue_SDExport'!P:P)</f>
        <v>0</v>
      </c>
      <c r="Q352">
        <f>_xlfn.XLOOKUP($A352,'EA-Fortescue_SDExport'!$A:$A,'EA-Fortescue_SDExport'!Q:Q)</f>
        <v>0</v>
      </c>
      <c r="R352">
        <f>_xlfn.XLOOKUP($A352,'EA-Fortescue_SDExport'!$A:$A,'EA-Fortescue_SDExport'!R:R)</f>
        <v>0</v>
      </c>
      <c r="S352">
        <f>_xlfn.XLOOKUP($A352,'EA-Fortescue_SDExport'!$A:$A,'EA-Fortescue_SDExport'!S:S)</f>
        <v>0</v>
      </c>
      <c r="T352">
        <f>_xlfn.XLOOKUP($A352,'EA-Fortescue_SDExport'!$A:$A,'EA-Fortescue_SDExport'!T:T)</f>
        <v>0</v>
      </c>
      <c r="U352">
        <f>_xlfn.XLOOKUP($A352,'EA-Fortescue_SDExport'!$A:$A,'EA-Fortescue_SDExport'!U:U)</f>
        <v>46000.902615740742</v>
      </c>
      <c r="V352">
        <f>_xlfn.XLOOKUP($A352,'EA-Fortescue_SDExport'!$A:$A,'EA-Fortescue_SDExport'!V:V)</f>
        <v>46002.03297453704</v>
      </c>
      <c r="W352">
        <f>_xlfn.XLOOKUP($A352,'EA-Fortescue_SDExport'!$A:$A,'EA-Fortescue_SDExport'!W:W)</f>
        <v>0</v>
      </c>
      <c r="X352">
        <f>_xlfn.XLOOKUP($A352,'EA-Fortescue_SDExport'!$A:$A,'EA-Fortescue_SDExport'!X:X)</f>
        <v>0</v>
      </c>
      <c r="Y352">
        <f>_xlfn.XLOOKUP($A352,'EA-Fortescue_SDExport'!$A:$A,'EA-Fortescue_SDExport'!Y:Y)</f>
        <v>0</v>
      </c>
      <c r="Z352" t="str">
        <f>_xlfn.XLOOKUP($A352,'EA-Fortescue_SDExport'!$A:$A,'EA-Fortescue_SDExport'!Z:Z)</f>
        <v>SysML1.4::InterfaceBlock</v>
      </c>
      <c r="AA352" t="str">
        <f>_xlfn.XLOOKUP($A352,InterfaceRegister!$A:$A,InterfaceRegister!B:B)</f>
        <v>005OP-0000-006 Snowflake (General)|855DC-1541-LIV LiveWire</v>
      </c>
      <c r="AB352" t="str">
        <f>_xlfn.XLOOKUP($A352,InterfaceRegister!$A:$A,InterfaceRegister!C:C)</f>
        <v/>
      </c>
      <c r="AC352" t="str">
        <f>_xlfn.XLOOKUP($A352,InterfaceRegister!$A:$A,InterfaceRegister!D:D)</f>
        <v/>
      </c>
      <c r="AD352" t="str">
        <f>_xlfn.XLOOKUP($A352,InterfaceRegister!$A:$A,InterfaceRegister!E:E)</f>
        <v>Project - Project Interface</v>
      </c>
      <c r="AE352" t="str">
        <f>_xlfn.XLOOKUP($A352,InterfaceRegister!$A:$A,InterfaceRegister!F:F)</f>
        <v>Technical-Data/Software</v>
      </c>
      <c r="AF352" t="str">
        <f>_xlfn.XLOOKUP($A352,InterfaceRegister!$A:$A,InterfaceRegister!L:L)</f>
        <v>This interface exposes the entire Livewire database via HVR replication to Snowflake, enabling downstream reporting and view creation.</v>
      </c>
      <c r="AG352" t="str">
        <f>_xlfn.XLOOKUP($A352,InterfaceRegister!$A:$A,InterfaceRegister!M:M)</f>
        <v>LOW</v>
      </c>
      <c r="AH352" t="str">
        <f>_xlfn.XLOOKUP($A352,InterfaceRegister!$A:$A,InterfaceRegister!O:O)</f>
        <v>Data Flow:_x000D_
855DC-1541-LIV LiveWire -&gt; 005OP-0000-006 Snowflake (General). This interface exposes the entire Livewire database via HVR replication to Snowflake, enabling downstream reporting and view creation.</v>
      </c>
      <c r="AI352" t="str">
        <f>_xlfn.XLOOKUP($A352,InterfaceRegister!$A:$A,InterfaceRegister!N:N)</f>
        <v>The criticality level is LOW because failure impacts external analytics but does not halt the operation or management of cabled assets.</v>
      </c>
      <c r="AJ352" t="str">
        <f>_xlfn.XLOOKUP($A352,'EA-Fortescue_SDExport'!$A:$A,'EA-Fortescue_SDExport'!AX:AX)</f>
        <v>CSV5ACE71F0</v>
      </c>
      <c r="AK352">
        <f>_xlfn.XLOOKUP($A352,'EA-Fortescue_SDExport'!$A:$A,'EA-Fortescue_SDExport'!AY:AY)</f>
        <v>0</v>
      </c>
    </row>
    <row r="353" spans="1:37" x14ac:dyDescent="0.25">
      <c r="A353" t="str">
        <v>DGS-I_0352</v>
      </c>
      <c r="B353" t="str">
        <f>_xlfn.XLOOKUP($A353,'EA-Fortescue_SDExport'!$A:$A,'EA-Fortescue_SDExport'!B:B)</f>
        <v>Class</v>
      </c>
      <c r="C353" t="str">
        <f>_xlfn.XLOOKUP($A353,'EA-Fortescue_SDExport'!$A:$A,'EA-Fortescue_SDExport'!C:C)</f>
        <v>{A2B53E07-476E-4ad3-8834-76E73163BC1A}</v>
      </c>
      <c r="D353" t="str">
        <f>_xlfn.LET(_xlpm.result, _xlfn.XLOOKUP($A353, InterfaceRegister!$A:$A, InterfaceRegister!P:P), IF(_xlpm.result=0, "", _xlpm.result))</f>
        <v>DocStack-SAComparison_Delphi 18/02/2026: APS and ATS to be combined - Interface now with 005OP-0000-004-002 Alastri Production Scheduler (APS) / Alastri Tactical Scheduler (ATS)</v>
      </c>
      <c r="E353">
        <f>_xlfn.XLOOKUP($A353,'EA-Fortescue_SDExport'!$A:$A,'EA-Fortescue_SDExport'!E:E)</f>
        <v>1</v>
      </c>
      <c r="F353">
        <f>_xlfn.XLOOKUP($A353,'EA-Fortescue_SDExport'!$A:$A,'EA-Fortescue_SDExport'!F:F)</f>
        <v>1</v>
      </c>
      <c r="G353">
        <f>_xlfn.XLOOKUP($A353,'EA-Fortescue_SDExport'!$A:$A,'EA-Fortescue_SDExport'!G:G)</f>
        <v>0</v>
      </c>
      <c r="H353" t="str">
        <f>_xlfn.XLOOKUP($A353,'EA-Fortescue_SDExport'!$A:$A,'EA-Fortescue_SDExport'!H:H)</f>
        <v>InterfaceBlock</v>
      </c>
      <c r="I353" t="str">
        <f>_xlfn.XLOOKUP($A353,'EA-Fortescue_SDExport'!$A:$A,'EA-Fortescue_SDExport'!I:I)</f>
        <v>SysML1.4::InterfaceBlock</v>
      </c>
      <c r="J353" t="str">
        <f>_xlfn.XLOOKUP($A353,'EA-Fortescue_SDExport'!$A:$A,'EA-Fortescue_SDExport'!J:J)</f>
        <v>Java</v>
      </c>
      <c r="K353" t="str">
        <f>_xlfn.XLOOKUP($A353,'EA-Fortescue_SDExport'!$A:$A,'EA-Fortescue_SDExport'!K:K)</f>
        <v>Admin</v>
      </c>
      <c r="L353" t="str">
        <f>_xlfn.XLOOKUP($A353,'EA-Fortescue_SDExport'!$A:$A,'EA-Fortescue_SDExport'!L:L)</f>
        <v>Public</v>
      </c>
      <c r="M353">
        <f>_xlfn.XLOOKUP($A353,'EA-Fortescue_SDExport'!$A:$A,'EA-Fortescue_SDExport'!M:M)</f>
        <v>0</v>
      </c>
      <c r="N353" t="str">
        <f>_xlfn.XLOOKUP($A353,InterfaceRegister!$A:$A,InterfaceRegister!K:K)</f>
        <v>Proposed</v>
      </c>
      <c r="O353">
        <f>_xlfn.XLOOKUP($A353,'EA-Fortescue_SDExport'!$A:$A,'EA-Fortescue_SDExport'!O:O)</f>
        <v>1</v>
      </c>
      <c r="P353">
        <f>_xlfn.XLOOKUP($A353,'EA-Fortescue_SDExport'!$A:$A,'EA-Fortescue_SDExport'!P:P)</f>
        <v>0</v>
      </c>
      <c r="Q353">
        <f>_xlfn.XLOOKUP($A353,'EA-Fortescue_SDExport'!$A:$A,'EA-Fortescue_SDExport'!Q:Q)</f>
        <v>0</v>
      </c>
      <c r="R353">
        <f>_xlfn.XLOOKUP($A353,'EA-Fortescue_SDExport'!$A:$A,'EA-Fortescue_SDExport'!R:R)</f>
        <v>0</v>
      </c>
      <c r="S353">
        <f>_xlfn.XLOOKUP($A353,'EA-Fortescue_SDExport'!$A:$A,'EA-Fortescue_SDExport'!S:S)</f>
        <v>0</v>
      </c>
      <c r="T353">
        <f>_xlfn.XLOOKUP($A353,'EA-Fortescue_SDExport'!$A:$A,'EA-Fortescue_SDExport'!T:T)</f>
        <v>0</v>
      </c>
      <c r="U353">
        <f>_xlfn.XLOOKUP($A353,'EA-Fortescue_SDExport'!$A:$A,'EA-Fortescue_SDExport'!U:U)</f>
        <v>46000.902557870373</v>
      </c>
      <c r="V353">
        <f>_xlfn.XLOOKUP($A353,'EA-Fortescue_SDExport'!$A:$A,'EA-Fortescue_SDExport'!V:V)</f>
        <v>46071.946562500001</v>
      </c>
      <c r="W353">
        <f>_xlfn.XLOOKUP($A353,'EA-Fortescue_SDExport'!$A:$A,'EA-Fortescue_SDExport'!W:W)</f>
        <v>0</v>
      </c>
      <c r="X353">
        <f>_xlfn.XLOOKUP($A353,'EA-Fortescue_SDExport'!$A:$A,'EA-Fortescue_SDExport'!X:X)</f>
        <v>0</v>
      </c>
      <c r="Y353">
        <f>_xlfn.XLOOKUP($A353,'EA-Fortescue_SDExport'!$A:$A,'EA-Fortescue_SDExport'!Y:Y)</f>
        <v>0</v>
      </c>
      <c r="Z353" t="str">
        <f>_xlfn.XLOOKUP($A353,'EA-Fortescue_SDExport'!$A:$A,'EA-Fortescue_SDExport'!Z:Z)</f>
        <v>SysML1.4::InterfaceBlock</v>
      </c>
      <c r="AA353" t="str">
        <f>_xlfn.XLOOKUP($A353,InterfaceRegister!$A:$A,InterfaceRegister!B:B)</f>
        <v>005OP-0000-010 10YP &amp; LOM Tool|005OP-0000-004-002 Alastri Production Scheduler (APS) / Alastri Tactical Scheduler (ATS)</v>
      </c>
      <c r="AB353" t="str">
        <f>_xlfn.XLOOKUP($A353,InterfaceRegister!$A:$A,InterfaceRegister!C:C)</f>
        <v/>
      </c>
      <c r="AC353" t="str">
        <f>_xlfn.XLOOKUP($A353,InterfaceRegister!$A:$A,InterfaceRegister!D:D)</f>
        <v/>
      </c>
      <c r="AD353" t="str">
        <f>_xlfn.XLOOKUP($A353,InterfaceRegister!$A:$A,InterfaceRegister!E:E)</f>
        <v>Project - Subsystem Interface</v>
      </c>
      <c r="AE353" t="str">
        <f>_xlfn.XLOOKUP($A353,InterfaceRegister!$A:$A,InterfaceRegister!F:F)</f>
        <v>Technical-Data/Software</v>
      </c>
      <c r="AF353" t="str">
        <f>_xlfn.XLOOKUP($A353,InterfaceRegister!$A:$A,InterfaceRegister!L:L)</f>
        <v/>
      </c>
      <c r="AG353" t="str">
        <f>_xlfn.XLOOKUP($A353,InterfaceRegister!$A:$A,InterfaceRegister!M:M)</f>
        <v/>
      </c>
      <c r="AH353" t="str">
        <f>_xlfn.XLOOKUP($A353,InterfaceRegister!$A:$A,InterfaceRegister!O:O)</f>
        <v/>
      </c>
      <c r="AI353" t="str">
        <f>_xlfn.XLOOKUP($A353,InterfaceRegister!$A:$A,InterfaceRegister!N:N)</f>
        <v/>
      </c>
      <c r="AJ353" t="str">
        <f>_xlfn.XLOOKUP($A353,'EA-Fortescue_SDExport'!$A:$A,'EA-Fortescue_SDExport'!AX:AX)</f>
        <v>CSV5520FF12</v>
      </c>
      <c r="AK353">
        <f>_xlfn.XLOOKUP($A353,'EA-Fortescue_SDExport'!$A:$A,'EA-Fortescue_SDExport'!AY:AY)</f>
        <v>0</v>
      </c>
    </row>
    <row r="354" spans="1:37" x14ac:dyDescent="0.25">
      <c r="A354" t="str">
        <v>DGS-I_0353</v>
      </c>
      <c r="B354" t="str">
        <f>_xlfn.XLOOKUP($A354,'EA-Fortescue_SDExport'!$A:$A,'EA-Fortescue_SDExport'!B:B)</f>
        <v>Class</v>
      </c>
      <c r="C354" t="str">
        <f>_xlfn.XLOOKUP($A354,'EA-Fortescue_SDExport'!$A:$A,'EA-Fortescue_SDExport'!C:C)</f>
        <v>{1312C190-9235-4411-A9AA-5099181D0144}</v>
      </c>
      <c r="D354" t="str">
        <f>_xlfn.LET(_xlpm.result, _xlfn.XLOOKUP($A354, InterfaceRegister!$A:$A, InterfaceRegister!P:P), IF(_xlpm.result=0, "", _xlpm.result))</f>
        <v/>
      </c>
      <c r="E354">
        <f>_xlfn.XLOOKUP($A354,'EA-Fortescue_SDExport'!$A:$A,'EA-Fortescue_SDExport'!E:E)</f>
        <v>1</v>
      </c>
      <c r="F354">
        <f>_xlfn.XLOOKUP($A354,'EA-Fortescue_SDExport'!$A:$A,'EA-Fortescue_SDExport'!F:F)</f>
        <v>1</v>
      </c>
      <c r="G354">
        <f>_xlfn.XLOOKUP($A354,'EA-Fortescue_SDExport'!$A:$A,'EA-Fortescue_SDExport'!G:G)</f>
        <v>0</v>
      </c>
      <c r="H354" t="str">
        <f>_xlfn.XLOOKUP($A354,'EA-Fortescue_SDExport'!$A:$A,'EA-Fortescue_SDExport'!H:H)</f>
        <v>InterfaceBlock</v>
      </c>
      <c r="I354" t="str">
        <f>_xlfn.XLOOKUP($A354,'EA-Fortescue_SDExport'!$A:$A,'EA-Fortescue_SDExport'!I:I)</f>
        <v>SysML1.4::InterfaceBlock</v>
      </c>
      <c r="J354" t="str">
        <f>_xlfn.XLOOKUP($A354,'EA-Fortescue_SDExport'!$A:$A,'EA-Fortescue_SDExport'!J:J)</f>
        <v>Java</v>
      </c>
      <c r="K354" t="str">
        <f>_xlfn.XLOOKUP($A354,'EA-Fortescue_SDExport'!$A:$A,'EA-Fortescue_SDExport'!K:K)</f>
        <v>Admin</v>
      </c>
      <c r="L354" t="str">
        <f>_xlfn.XLOOKUP($A354,'EA-Fortescue_SDExport'!$A:$A,'EA-Fortescue_SDExport'!L:L)</f>
        <v>Public</v>
      </c>
      <c r="M354">
        <f>_xlfn.XLOOKUP($A354,'EA-Fortescue_SDExport'!$A:$A,'EA-Fortescue_SDExport'!M:M)</f>
        <v>0</v>
      </c>
      <c r="N354" t="str">
        <f>_xlfn.XLOOKUP($A354,InterfaceRegister!$A:$A,InterfaceRegister!K:K)</f>
        <v>Proposed</v>
      </c>
      <c r="O354">
        <f>_xlfn.XLOOKUP($A354,'EA-Fortescue_SDExport'!$A:$A,'EA-Fortescue_SDExport'!O:O)</f>
        <v>1</v>
      </c>
      <c r="P354">
        <f>_xlfn.XLOOKUP($A354,'EA-Fortescue_SDExport'!$A:$A,'EA-Fortescue_SDExport'!P:P)</f>
        <v>0</v>
      </c>
      <c r="Q354">
        <f>_xlfn.XLOOKUP($A354,'EA-Fortescue_SDExport'!$A:$A,'EA-Fortescue_SDExport'!Q:Q)</f>
        <v>0</v>
      </c>
      <c r="R354">
        <f>_xlfn.XLOOKUP($A354,'EA-Fortescue_SDExport'!$A:$A,'EA-Fortescue_SDExport'!R:R)</f>
        <v>0</v>
      </c>
      <c r="S354">
        <f>_xlfn.XLOOKUP($A354,'EA-Fortescue_SDExport'!$A:$A,'EA-Fortescue_SDExport'!S:S)</f>
        <v>0</v>
      </c>
      <c r="T354">
        <f>_xlfn.XLOOKUP($A354,'EA-Fortescue_SDExport'!$A:$A,'EA-Fortescue_SDExport'!T:T)</f>
        <v>0</v>
      </c>
      <c r="U354">
        <f>_xlfn.XLOOKUP($A354,'EA-Fortescue_SDExport'!$A:$A,'EA-Fortescue_SDExport'!U:U)</f>
        <v>46000.902442129627</v>
      </c>
      <c r="V354">
        <f>_xlfn.XLOOKUP($A354,'EA-Fortescue_SDExport'!$A:$A,'EA-Fortescue_SDExport'!V:V)</f>
        <v>46002.032939814817</v>
      </c>
      <c r="W354">
        <f>_xlfn.XLOOKUP($A354,'EA-Fortescue_SDExport'!$A:$A,'EA-Fortescue_SDExport'!W:W)</f>
        <v>0</v>
      </c>
      <c r="X354">
        <f>_xlfn.XLOOKUP($A354,'EA-Fortescue_SDExport'!$A:$A,'EA-Fortescue_SDExport'!X:X)</f>
        <v>0</v>
      </c>
      <c r="Y354">
        <f>_xlfn.XLOOKUP($A354,'EA-Fortescue_SDExport'!$A:$A,'EA-Fortescue_SDExport'!Y:Y)</f>
        <v>0</v>
      </c>
      <c r="Z354" t="str">
        <f>_xlfn.XLOOKUP($A354,'EA-Fortescue_SDExport'!$A:$A,'EA-Fortescue_SDExport'!Z:Z)</f>
        <v>SysML1.4::InterfaceBlock</v>
      </c>
      <c r="AA354" t="str">
        <f>_xlfn.XLOOKUP($A354,InterfaceRegister!$A:$A,InterfaceRegister!B:B)</f>
        <v>005OP-0000-001 Atlas|005OP-0000-004-002 Alastri Production Scheduler (APS) / Alastri Tactical Scheduler (ATS)</v>
      </c>
      <c r="AB354" t="str">
        <f>_xlfn.XLOOKUP($A354,InterfaceRegister!$A:$A,InterfaceRegister!C:C)</f>
        <v/>
      </c>
      <c r="AC354" t="str">
        <f>_xlfn.XLOOKUP($A354,InterfaceRegister!$A:$A,InterfaceRegister!D:D)</f>
        <v/>
      </c>
      <c r="AD354" t="str">
        <f>_xlfn.XLOOKUP($A354,InterfaceRegister!$A:$A,InterfaceRegister!E:E)</f>
        <v>Project - Subsystem Interface</v>
      </c>
      <c r="AE354" t="str">
        <f>_xlfn.XLOOKUP($A354,InterfaceRegister!$A:$A,InterfaceRegister!F:F)</f>
        <v>Technical-Data/Software</v>
      </c>
      <c r="AF354" t="str">
        <f>_xlfn.XLOOKUP($A354,InterfaceRegister!$A:$A,InterfaceRegister!L:L)</f>
        <v/>
      </c>
      <c r="AG354" t="str">
        <f>_xlfn.XLOOKUP($A354,InterfaceRegister!$A:$A,InterfaceRegister!M:M)</f>
        <v/>
      </c>
      <c r="AH354" t="str">
        <f>_xlfn.XLOOKUP($A354,InterfaceRegister!$A:$A,InterfaceRegister!O:O)</f>
        <v/>
      </c>
      <c r="AI354" t="str">
        <f>_xlfn.XLOOKUP($A354,InterfaceRegister!$A:$A,InterfaceRegister!N:N)</f>
        <v/>
      </c>
      <c r="AJ354" t="str">
        <f>_xlfn.XLOOKUP($A354,'EA-Fortescue_SDExport'!$A:$A,'EA-Fortescue_SDExport'!AX:AX)</f>
        <v>CSV81121DD8</v>
      </c>
      <c r="AK354">
        <f>_xlfn.XLOOKUP($A354,'EA-Fortescue_SDExport'!$A:$A,'EA-Fortescue_SDExport'!AY:AY)</f>
        <v>0</v>
      </c>
    </row>
    <row r="355" spans="1:37" x14ac:dyDescent="0.25">
      <c r="A355" t="str">
        <v>DGS-I_0354</v>
      </c>
      <c r="B355" t="str">
        <f>_xlfn.XLOOKUP($A355,'EA-Fortescue_SDExport'!$A:$A,'EA-Fortescue_SDExport'!B:B)</f>
        <v>Class</v>
      </c>
      <c r="C355" t="str">
        <f>_xlfn.XLOOKUP($A355,'EA-Fortescue_SDExport'!$A:$A,'EA-Fortescue_SDExport'!C:C)</f>
        <v>{C3F8ED3F-10E3-4d5e-A77C-4ABBB64843A0}</v>
      </c>
      <c r="D355" t="str">
        <f>_xlfn.LET(_xlpm.result, _xlfn.XLOOKUP($A355, InterfaceRegister!$A:$A, InterfaceRegister!P:P), IF(_xlpm.result=0, "", _xlpm.result))</f>
        <v/>
      </c>
      <c r="E355">
        <f>_xlfn.XLOOKUP($A355,'EA-Fortescue_SDExport'!$A:$A,'EA-Fortescue_SDExport'!E:E)</f>
        <v>1</v>
      </c>
      <c r="F355">
        <f>_xlfn.XLOOKUP($A355,'EA-Fortescue_SDExport'!$A:$A,'EA-Fortescue_SDExport'!F:F)</f>
        <v>1</v>
      </c>
      <c r="G355">
        <f>_xlfn.XLOOKUP($A355,'EA-Fortescue_SDExport'!$A:$A,'EA-Fortescue_SDExport'!G:G)</f>
        <v>0</v>
      </c>
      <c r="H355" t="str">
        <f>_xlfn.XLOOKUP($A355,'EA-Fortescue_SDExport'!$A:$A,'EA-Fortescue_SDExport'!H:H)</f>
        <v>InterfaceBlock</v>
      </c>
      <c r="I355" t="str">
        <f>_xlfn.XLOOKUP($A355,'EA-Fortescue_SDExport'!$A:$A,'EA-Fortescue_SDExport'!I:I)</f>
        <v>SysML1.4::InterfaceBlock</v>
      </c>
      <c r="J355" t="str">
        <f>_xlfn.XLOOKUP($A355,'EA-Fortescue_SDExport'!$A:$A,'EA-Fortescue_SDExport'!J:J)</f>
        <v>Java</v>
      </c>
      <c r="K355" t="str">
        <f>_xlfn.XLOOKUP($A355,'EA-Fortescue_SDExport'!$A:$A,'EA-Fortescue_SDExport'!K:K)</f>
        <v>Admin</v>
      </c>
      <c r="L355" t="str">
        <f>_xlfn.XLOOKUP($A355,'EA-Fortescue_SDExport'!$A:$A,'EA-Fortescue_SDExport'!L:L)</f>
        <v>Public</v>
      </c>
      <c r="M355">
        <f>_xlfn.XLOOKUP($A355,'EA-Fortescue_SDExport'!$A:$A,'EA-Fortescue_SDExport'!M:M)</f>
        <v>0</v>
      </c>
      <c r="N355" t="str">
        <f>_xlfn.XLOOKUP($A355,InterfaceRegister!$A:$A,InterfaceRegister!K:K)</f>
        <v>Proposed</v>
      </c>
      <c r="O355">
        <f>_xlfn.XLOOKUP($A355,'EA-Fortescue_SDExport'!$A:$A,'EA-Fortescue_SDExport'!O:O)</f>
        <v>1</v>
      </c>
      <c r="P355">
        <f>_xlfn.XLOOKUP($A355,'EA-Fortescue_SDExport'!$A:$A,'EA-Fortescue_SDExport'!P:P)</f>
        <v>0</v>
      </c>
      <c r="Q355">
        <f>_xlfn.XLOOKUP($A355,'EA-Fortescue_SDExport'!$A:$A,'EA-Fortescue_SDExport'!Q:Q)</f>
        <v>0</v>
      </c>
      <c r="R355">
        <f>_xlfn.XLOOKUP($A355,'EA-Fortescue_SDExport'!$A:$A,'EA-Fortescue_SDExport'!R:R)</f>
        <v>0</v>
      </c>
      <c r="S355">
        <f>_xlfn.XLOOKUP($A355,'EA-Fortescue_SDExport'!$A:$A,'EA-Fortescue_SDExport'!S:S)</f>
        <v>0</v>
      </c>
      <c r="T355">
        <f>_xlfn.XLOOKUP($A355,'EA-Fortescue_SDExport'!$A:$A,'EA-Fortescue_SDExport'!T:T)</f>
        <v>0</v>
      </c>
      <c r="U355">
        <f>_xlfn.XLOOKUP($A355,'EA-Fortescue_SDExport'!$A:$A,'EA-Fortescue_SDExport'!U:U)</f>
        <v>46000.90253472222</v>
      </c>
      <c r="V355">
        <f>_xlfn.XLOOKUP($A355,'EA-Fortescue_SDExport'!$A:$A,'EA-Fortescue_SDExport'!V:V)</f>
        <v>46032.714675925927</v>
      </c>
      <c r="W355">
        <f>_xlfn.XLOOKUP($A355,'EA-Fortescue_SDExport'!$A:$A,'EA-Fortescue_SDExport'!W:W)</f>
        <v>0</v>
      </c>
      <c r="X355">
        <f>_xlfn.XLOOKUP($A355,'EA-Fortescue_SDExport'!$A:$A,'EA-Fortescue_SDExport'!X:X)</f>
        <v>0</v>
      </c>
      <c r="Y355">
        <f>_xlfn.XLOOKUP($A355,'EA-Fortescue_SDExport'!$A:$A,'EA-Fortescue_SDExport'!Y:Y)</f>
        <v>0</v>
      </c>
      <c r="Z355" t="str">
        <f>_xlfn.XLOOKUP($A355,'EA-Fortescue_SDExport'!$A:$A,'EA-Fortescue_SDExport'!Z:Z)</f>
        <v>SysML1.4::InterfaceBlock</v>
      </c>
      <c r="AA355" t="str">
        <f>_xlfn.XLOOKUP($A355,InterfaceRegister!$A:$A,InterfaceRegister!B:B)</f>
        <v>005OP-0000-010 10YP &amp; LOM Tool|005OP-0000-001 Atlas</v>
      </c>
      <c r="AB355" t="str">
        <f>_xlfn.XLOOKUP($A355,InterfaceRegister!$A:$A,InterfaceRegister!C:C)</f>
        <v/>
      </c>
      <c r="AC355" t="str">
        <f>_xlfn.XLOOKUP($A355,InterfaceRegister!$A:$A,InterfaceRegister!D:D)</f>
        <v/>
      </c>
      <c r="AD355" t="str">
        <f>_xlfn.XLOOKUP($A355,InterfaceRegister!$A:$A,InterfaceRegister!E:E)</f>
        <v>Project - Project Interface</v>
      </c>
      <c r="AE355" t="str">
        <f>_xlfn.XLOOKUP($A355,InterfaceRegister!$A:$A,InterfaceRegister!F:F)</f>
        <v>Technical-Data/Software</v>
      </c>
      <c r="AF355" t="str">
        <f>_xlfn.XLOOKUP($A355,InterfaceRegister!$A:$A,InterfaceRegister!L:L)</f>
        <v/>
      </c>
      <c r="AG355" t="str">
        <f>_xlfn.XLOOKUP($A355,InterfaceRegister!$A:$A,InterfaceRegister!M:M)</f>
        <v/>
      </c>
      <c r="AH355" t="str">
        <f>_xlfn.XLOOKUP($A355,InterfaceRegister!$A:$A,InterfaceRegister!O:O)</f>
        <v/>
      </c>
      <c r="AI355" t="str">
        <f>_xlfn.XLOOKUP($A355,InterfaceRegister!$A:$A,InterfaceRegister!N:N)</f>
        <v/>
      </c>
      <c r="AJ355" t="str">
        <f>_xlfn.XLOOKUP($A355,'EA-Fortescue_SDExport'!$A:$A,'EA-Fortescue_SDExport'!AX:AX)</f>
        <v>CSVDCE9C5F9</v>
      </c>
      <c r="AK355">
        <f>_xlfn.XLOOKUP($A355,'EA-Fortescue_SDExport'!$A:$A,'EA-Fortescue_SDExport'!AY:AY)</f>
        <v>0</v>
      </c>
    </row>
    <row r="356" spans="1:37" x14ac:dyDescent="0.25">
      <c r="A356" t="str">
        <v>DGS-I_0355</v>
      </c>
      <c r="B356" t="str">
        <f>_xlfn.XLOOKUP($A356,'EA-Fortescue_SDExport'!$A:$A,'EA-Fortescue_SDExport'!B:B)</f>
        <v>Class</v>
      </c>
      <c r="C356" t="str">
        <f>_xlfn.XLOOKUP($A356,'EA-Fortescue_SDExport'!$A:$A,'EA-Fortescue_SDExport'!C:C)</f>
        <v>{D779FC2F-2F28-4ac2-9EA5-06F687690F1B}</v>
      </c>
      <c r="D356" t="str">
        <f>_xlfn.LET(_xlpm.result, _xlfn.XLOOKUP($A356, InterfaceRegister!$A:$A, InterfaceRegister!P:P), IF(_xlpm.result=0, "", _xlpm.result))</f>
        <v/>
      </c>
      <c r="E356">
        <f>_xlfn.XLOOKUP($A356,'EA-Fortescue_SDExport'!$A:$A,'EA-Fortescue_SDExport'!E:E)</f>
        <v>1</v>
      </c>
      <c r="F356">
        <f>_xlfn.XLOOKUP($A356,'EA-Fortescue_SDExport'!$A:$A,'EA-Fortescue_SDExport'!F:F)</f>
        <v>1</v>
      </c>
      <c r="G356">
        <f>_xlfn.XLOOKUP($A356,'EA-Fortescue_SDExport'!$A:$A,'EA-Fortescue_SDExport'!G:G)</f>
        <v>0</v>
      </c>
      <c r="H356" t="str">
        <f>_xlfn.XLOOKUP($A356,'EA-Fortescue_SDExport'!$A:$A,'EA-Fortescue_SDExport'!H:H)</f>
        <v>InterfaceBlock</v>
      </c>
      <c r="I356" t="str">
        <f>_xlfn.XLOOKUP($A356,'EA-Fortescue_SDExport'!$A:$A,'EA-Fortescue_SDExport'!I:I)</f>
        <v>SysML1.4::InterfaceBlock</v>
      </c>
      <c r="J356" t="str">
        <f>_xlfn.XLOOKUP($A356,'EA-Fortescue_SDExport'!$A:$A,'EA-Fortescue_SDExport'!J:J)</f>
        <v>Java</v>
      </c>
      <c r="K356" t="str">
        <f>_xlfn.XLOOKUP($A356,'EA-Fortescue_SDExport'!$A:$A,'EA-Fortescue_SDExport'!K:K)</f>
        <v>Admin</v>
      </c>
      <c r="L356" t="str">
        <f>_xlfn.XLOOKUP($A356,'EA-Fortescue_SDExport'!$A:$A,'EA-Fortescue_SDExport'!L:L)</f>
        <v>Public</v>
      </c>
      <c r="M356">
        <f>_xlfn.XLOOKUP($A356,'EA-Fortescue_SDExport'!$A:$A,'EA-Fortescue_SDExport'!M:M)</f>
        <v>0</v>
      </c>
      <c r="N356" t="str">
        <f>_xlfn.XLOOKUP($A356,InterfaceRegister!$A:$A,InterfaceRegister!K:K)</f>
        <v>Proposed</v>
      </c>
      <c r="O356">
        <f>_xlfn.XLOOKUP($A356,'EA-Fortescue_SDExport'!$A:$A,'EA-Fortescue_SDExport'!O:O)</f>
        <v>1</v>
      </c>
      <c r="P356">
        <f>_xlfn.XLOOKUP($A356,'EA-Fortescue_SDExport'!$A:$A,'EA-Fortescue_SDExport'!P:P)</f>
        <v>0</v>
      </c>
      <c r="Q356">
        <f>_xlfn.XLOOKUP($A356,'EA-Fortescue_SDExport'!$A:$A,'EA-Fortescue_SDExport'!Q:Q)</f>
        <v>0</v>
      </c>
      <c r="R356">
        <f>_xlfn.XLOOKUP($A356,'EA-Fortescue_SDExport'!$A:$A,'EA-Fortescue_SDExport'!R:R)</f>
        <v>0</v>
      </c>
      <c r="S356">
        <f>_xlfn.XLOOKUP($A356,'EA-Fortescue_SDExport'!$A:$A,'EA-Fortescue_SDExport'!S:S)</f>
        <v>0</v>
      </c>
      <c r="T356">
        <f>_xlfn.XLOOKUP($A356,'EA-Fortescue_SDExport'!$A:$A,'EA-Fortescue_SDExport'!T:T)</f>
        <v>0</v>
      </c>
      <c r="U356">
        <f>_xlfn.XLOOKUP($A356,'EA-Fortescue_SDExport'!$A:$A,'EA-Fortescue_SDExport'!U:U)</f>
        <v>46032.723553240743</v>
      </c>
      <c r="V356">
        <f>_xlfn.XLOOKUP($A356,'EA-Fortescue_SDExport'!$A:$A,'EA-Fortescue_SDExport'!V:V)</f>
        <v>46043.890173611115</v>
      </c>
      <c r="W356">
        <f>_xlfn.XLOOKUP($A356,'EA-Fortescue_SDExport'!$A:$A,'EA-Fortescue_SDExport'!W:W)</f>
        <v>0</v>
      </c>
      <c r="X356">
        <f>_xlfn.XLOOKUP($A356,'EA-Fortescue_SDExport'!$A:$A,'EA-Fortescue_SDExport'!X:X)</f>
        <v>0</v>
      </c>
      <c r="Y356">
        <f>_xlfn.XLOOKUP($A356,'EA-Fortescue_SDExport'!$A:$A,'EA-Fortescue_SDExport'!Y:Y)</f>
        <v>0</v>
      </c>
      <c r="Z356" t="str">
        <f>_xlfn.XLOOKUP($A356,'EA-Fortescue_SDExport'!$A:$A,'EA-Fortescue_SDExport'!Z:Z)</f>
        <v>SysML1.4::InterfaceBlock</v>
      </c>
      <c r="AA356" t="str">
        <f>_xlfn.XLOOKUP($A356,InterfaceRegister!$A:$A,InterfaceRegister!B:B)</f>
        <v>854DC-5690 Energy Generation - Wind|854DC-1521 HV Substations</v>
      </c>
      <c r="AB356" t="str">
        <f>_xlfn.XLOOKUP($A356,InterfaceRegister!$A:$A,InterfaceRegister!C:C)</f>
        <v/>
      </c>
      <c r="AC356" t="str">
        <f>_xlfn.XLOOKUP($A356,InterfaceRegister!$A:$A,InterfaceRegister!D:D)</f>
        <v/>
      </c>
      <c r="AD356" t="str">
        <f>_xlfn.XLOOKUP($A356,InterfaceRegister!$A:$A,InterfaceRegister!E:E)</f>
        <v>System - System Interface</v>
      </c>
      <c r="AE356" t="str">
        <f>_xlfn.XLOOKUP($A356,InterfaceRegister!$A:$A,InterfaceRegister!F:F)</f>
        <v/>
      </c>
      <c r="AF356" t="str">
        <f>_xlfn.XLOOKUP($A356,InterfaceRegister!$A:$A,InterfaceRegister!L:L)</f>
        <v/>
      </c>
      <c r="AG356" t="str">
        <f>_xlfn.XLOOKUP($A356,InterfaceRegister!$A:$A,InterfaceRegister!M:M)</f>
        <v/>
      </c>
      <c r="AH356" t="str">
        <f>_xlfn.XLOOKUP($A356,InterfaceRegister!$A:$A,InterfaceRegister!O:O)</f>
        <v/>
      </c>
      <c r="AI356" t="str">
        <f>_xlfn.XLOOKUP($A356,InterfaceRegister!$A:$A,InterfaceRegister!N:N)</f>
        <v/>
      </c>
      <c r="AJ356" t="str">
        <f>_xlfn.XLOOKUP($A356,'EA-Fortescue_SDExport'!$A:$A,'EA-Fortescue_SDExport'!AX:AX)</f>
        <v>CSVE1FC4D7A</v>
      </c>
      <c r="AK356">
        <f>_xlfn.XLOOKUP($A356,'EA-Fortescue_SDExport'!$A:$A,'EA-Fortescue_SDExport'!AY:AY)</f>
        <v>0</v>
      </c>
    </row>
    <row r="357" spans="1:37" x14ac:dyDescent="0.25">
      <c r="A357" t="str">
        <v>DGS-I_0356</v>
      </c>
      <c r="B357" t="str">
        <f>_xlfn.XLOOKUP($A357,'EA-Fortescue_SDExport'!$A:$A,'EA-Fortescue_SDExport'!B:B)</f>
        <v>Class</v>
      </c>
      <c r="C357" t="str">
        <f>_xlfn.XLOOKUP($A357,'EA-Fortescue_SDExport'!$A:$A,'EA-Fortescue_SDExport'!C:C)</f>
        <v>{0C4E7A0A-385B-4ef4-B022-A6C2E1DE46C6}</v>
      </c>
      <c r="D357" t="str">
        <f>_xlfn.LET(_xlpm.result, _xlfn.XLOOKUP($A357, InterfaceRegister!$A:$A, InterfaceRegister!P:P), IF(_xlpm.result=0, "", _xlpm.result))</f>
        <v>NH 18/02/2026: Fields updated: Interface Type, Interface Description (Interface Purpose), Interface Criticality, Interface Criticality Explanation, Interface Flow._x000D_
NH 25/02/2026: Fields updated:Interface Criticality, Interface Criticality Explanation, Interface Flow</v>
      </c>
      <c r="E357">
        <f>_xlfn.XLOOKUP($A357,'EA-Fortescue_SDExport'!$A:$A,'EA-Fortescue_SDExport'!E:E)</f>
        <v>1</v>
      </c>
      <c r="F357">
        <f>_xlfn.XLOOKUP($A357,'EA-Fortescue_SDExport'!$A:$A,'EA-Fortescue_SDExport'!F:F)</f>
        <v>1</v>
      </c>
      <c r="G357">
        <f>_xlfn.XLOOKUP($A357,'EA-Fortescue_SDExport'!$A:$A,'EA-Fortescue_SDExport'!G:G)</f>
        <v>0</v>
      </c>
      <c r="H357" t="str">
        <f>_xlfn.XLOOKUP($A357,'EA-Fortescue_SDExport'!$A:$A,'EA-Fortescue_SDExport'!H:H)</f>
        <v>InterfaceBlock</v>
      </c>
      <c r="I357" t="str">
        <f>_xlfn.XLOOKUP($A357,'EA-Fortescue_SDExport'!$A:$A,'EA-Fortescue_SDExport'!I:I)</f>
        <v>SysML1.4::InterfaceBlock</v>
      </c>
      <c r="J357" t="str">
        <f>_xlfn.XLOOKUP($A357,'EA-Fortescue_SDExport'!$A:$A,'EA-Fortescue_SDExport'!J:J)</f>
        <v>Java</v>
      </c>
      <c r="K357" t="str">
        <f>_xlfn.XLOOKUP($A357,'EA-Fortescue_SDExport'!$A:$A,'EA-Fortescue_SDExport'!K:K)</f>
        <v>Admin</v>
      </c>
      <c r="L357" t="str">
        <f>_xlfn.XLOOKUP($A357,'EA-Fortescue_SDExport'!$A:$A,'EA-Fortescue_SDExport'!L:L)</f>
        <v>Public</v>
      </c>
      <c r="M357">
        <f>_xlfn.XLOOKUP($A357,'EA-Fortescue_SDExport'!$A:$A,'EA-Fortescue_SDExport'!M:M)</f>
        <v>0</v>
      </c>
      <c r="N357" t="str">
        <f>_xlfn.XLOOKUP($A357,InterfaceRegister!$A:$A,InterfaceRegister!K:K)</f>
        <v>Proposed</v>
      </c>
      <c r="O357">
        <f>_xlfn.XLOOKUP($A357,'EA-Fortescue_SDExport'!$A:$A,'EA-Fortescue_SDExport'!O:O)</f>
        <v>1</v>
      </c>
      <c r="P357">
        <f>_xlfn.XLOOKUP($A357,'EA-Fortescue_SDExport'!$A:$A,'EA-Fortescue_SDExport'!P:P)</f>
        <v>0</v>
      </c>
      <c r="Q357">
        <f>_xlfn.XLOOKUP($A357,'EA-Fortescue_SDExport'!$A:$A,'EA-Fortescue_SDExport'!Q:Q)</f>
        <v>0</v>
      </c>
      <c r="R357">
        <f>_xlfn.XLOOKUP($A357,'EA-Fortescue_SDExport'!$A:$A,'EA-Fortescue_SDExport'!R:R)</f>
        <v>0</v>
      </c>
      <c r="S357">
        <f>_xlfn.XLOOKUP($A357,'EA-Fortescue_SDExport'!$A:$A,'EA-Fortescue_SDExport'!S:S)</f>
        <v>0</v>
      </c>
      <c r="T357">
        <f>_xlfn.XLOOKUP($A357,'EA-Fortescue_SDExport'!$A:$A,'EA-Fortescue_SDExport'!T:T)</f>
        <v>0</v>
      </c>
      <c r="U357">
        <f>_xlfn.XLOOKUP($A357,'EA-Fortescue_SDExport'!$A:$A,'EA-Fortescue_SDExport'!U:U)</f>
        <v>46032.898912037039</v>
      </c>
      <c r="V357">
        <f>_xlfn.XLOOKUP($A357,'EA-Fortescue_SDExport'!$A:$A,'EA-Fortescue_SDExport'!V:V)</f>
        <v>46077.993217592593</v>
      </c>
      <c r="W357">
        <f>_xlfn.XLOOKUP($A357,'EA-Fortescue_SDExport'!$A:$A,'EA-Fortescue_SDExport'!W:W)</f>
        <v>0</v>
      </c>
      <c r="X357">
        <f>_xlfn.XLOOKUP($A357,'EA-Fortescue_SDExport'!$A:$A,'EA-Fortescue_SDExport'!X:X)</f>
        <v>0</v>
      </c>
      <c r="Y357">
        <f>_xlfn.XLOOKUP($A357,'EA-Fortescue_SDExport'!$A:$A,'EA-Fortescue_SDExport'!Y:Y)</f>
        <v>0</v>
      </c>
      <c r="Z357" t="str">
        <f>_xlfn.XLOOKUP($A357,'EA-Fortescue_SDExport'!$A:$A,'EA-Fortescue_SDExport'!Z:Z)</f>
        <v>SysML1.4::InterfaceBlock</v>
      </c>
      <c r="AA357" t="str">
        <f>_xlfn.XLOOKUP($A357,InterfaceRegister!$A:$A,InterfaceRegister!B:B)</f>
        <v>855DC-1542-010 WAMS|855DC-1541-DEL Delphi</v>
      </c>
      <c r="AB357" t="str">
        <f>_xlfn.XLOOKUP($A357,InterfaceRegister!$A:$A,InterfaceRegister!C:C)</f>
        <v/>
      </c>
      <c r="AC357" t="str">
        <f>_xlfn.XLOOKUP($A357,InterfaceRegister!$A:$A,InterfaceRegister!D:D)</f>
        <v/>
      </c>
      <c r="AD357" t="str">
        <f>_xlfn.XLOOKUP($A357,InterfaceRegister!$A:$A,InterfaceRegister!E:E)</f>
        <v>Project - Project Interface</v>
      </c>
      <c r="AE357" t="str">
        <f>_xlfn.XLOOKUP($A357,InterfaceRegister!$A:$A,InterfaceRegister!F:F)</f>
        <v>Technical-Data/Software</v>
      </c>
      <c r="AF357" t="str">
        <f>_xlfn.XLOOKUP($A357,InterfaceRegister!$A:$A,InterfaceRegister!L:L)</f>
        <v>This interface enables the transfer of wide-area power system monitoring data from WAMS to Delphi. WAMS provides high-resolution grid stability measurements, including voltage, frequency, phase angle, oscillation, and other synchrophasor-derived metrics. Delphi ingests this time-aligned operational data for storage, visualisation, analytics, and integration with forecasting and planning systems. The interface supports monitoring and analysis only and does not perform control or protection functions.</v>
      </c>
      <c r="AG357" t="str">
        <f>_xlfn.XLOOKUP($A357,InterfaceRegister!$A:$A,InterfaceRegister!M:M)</f>
        <v>LOW</v>
      </c>
      <c r="AH357" t="str">
        <f>_xlfn.XLOOKUP($A357,InterfaceRegister!$A:$A,InterfaceRegister!O:O)</f>
        <v>WAMS -&gt; Delphi</v>
      </c>
      <c r="AI357" t="str">
        <f>_xlfn.XLOOKUP($A357,InterfaceRegister!$A:$A,InterfaceRegister!N:N)</f>
        <v>The criticality level is LOW because a failure of this interface only affects the transfer of high-resolution monitoring data to Delphi for visualisation, analytics, and planning support. Core power system control, protection, and grid stability are not impacted, and operational teams can continue monitoring and forecasting using alternative sources or delayed data.</v>
      </c>
      <c r="AJ357" t="str">
        <f>_xlfn.XLOOKUP($A357,'EA-Fortescue_SDExport'!$A:$A,'EA-Fortescue_SDExport'!AX:AX)</f>
        <v>CSV4D6C0C87</v>
      </c>
      <c r="AK357">
        <f>_xlfn.XLOOKUP($A357,'EA-Fortescue_SDExport'!$A:$A,'EA-Fortescue_SDExport'!AY:AY)</f>
        <v>0</v>
      </c>
    </row>
    <row r="358" spans="1:37" x14ac:dyDescent="0.25">
      <c r="A358" t="str">
        <v>DGS-I_0357</v>
      </c>
      <c r="B358" t="str">
        <f>_xlfn.XLOOKUP($A358,'EA-Fortescue_SDExport'!$A:$A,'EA-Fortescue_SDExport'!B:B)</f>
        <v>Class</v>
      </c>
      <c r="C358" t="str">
        <f>_xlfn.XLOOKUP($A358,'EA-Fortescue_SDExport'!$A:$A,'EA-Fortescue_SDExport'!C:C)</f>
        <v>{641649D7-4A69-4a92-897E-6431EDDE8F78}</v>
      </c>
      <c r="D358" t="str">
        <f>_xlfn.LET(_xlpm.result, _xlfn.XLOOKUP($A358, InterfaceRegister!$A:$A, InterfaceRegister!P:P), IF(_xlpm.result=0, "", _xlpm.result))</f>
        <v>NH 18/02/2026: Fields updated: Interface Type, Interface Description (Interface Purpose), Interface Criticality, Interface Criticality Explanation, Interface Flow.</v>
      </c>
      <c r="E358">
        <f>_xlfn.XLOOKUP($A358,'EA-Fortescue_SDExport'!$A:$A,'EA-Fortescue_SDExport'!E:E)</f>
        <v>1</v>
      </c>
      <c r="F358">
        <f>_xlfn.XLOOKUP($A358,'EA-Fortescue_SDExport'!$A:$A,'EA-Fortescue_SDExport'!F:F)</f>
        <v>1</v>
      </c>
      <c r="G358">
        <f>_xlfn.XLOOKUP($A358,'EA-Fortescue_SDExport'!$A:$A,'EA-Fortescue_SDExport'!G:G)</f>
        <v>0</v>
      </c>
      <c r="H358" t="str">
        <f>_xlfn.XLOOKUP($A358,'EA-Fortescue_SDExport'!$A:$A,'EA-Fortescue_SDExport'!H:H)</f>
        <v>InterfaceBlock</v>
      </c>
      <c r="I358" t="str">
        <f>_xlfn.XLOOKUP($A358,'EA-Fortescue_SDExport'!$A:$A,'EA-Fortescue_SDExport'!I:I)</f>
        <v>SysML1.4::InterfaceBlock</v>
      </c>
      <c r="J358" t="str">
        <f>_xlfn.XLOOKUP($A358,'EA-Fortescue_SDExport'!$A:$A,'EA-Fortescue_SDExport'!J:J)</f>
        <v>Java</v>
      </c>
      <c r="K358" t="str">
        <f>_xlfn.XLOOKUP($A358,'EA-Fortescue_SDExport'!$A:$A,'EA-Fortescue_SDExport'!K:K)</f>
        <v>Admin</v>
      </c>
      <c r="L358" t="str">
        <f>_xlfn.XLOOKUP($A358,'EA-Fortescue_SDExport'!$A:$A,'EA-Fortescue_SDExport'!L:L)</f>
        <v>Public</v>
      </c>
      <c r="M358">
        <f>_xlfn.XLOOKUP($A358,'EA-Fortescue_SDExport'!$A:$A,'EA-Fortescue_SDExport'!M:M)</f>
        <v>0</v>
      </c>
      <c r="N358" t="str">
        <f>_xlfn.XLOOKUP($A358,InterfaceRegister!$A:$A,InterfaceRegister!K:K)</f>
        <v>Proposed</v>
      </c>
      <c r="O358">
        <f>_xlfn.XLOOKUP($A358,'EA-Fortescue_SDExport'!$A:$A,'EA-Fortescue_SDExport'!O:O)</f>
        <v>1</v>
      </c>
      <c r="P358">
        <f>_xlfn.XLOOKUP($A358,'EA-Fortescue_SDExport'!$A:$A,'EA-Fortescue_SDExport'!P:P)</f>
        <v>0</v>
      </c>
      <c r="Q358">
        <f>_xlfn.XLOOKUP($A358,'EA-Fortescue_SDExport'!$A:$A,'EA-Fortescue_SDExport'!Q:Q)</f>
        <v>0</v>
      </c>
      <c r="R358">
        <f>_xlfn.XLOOKUP($A358,'EA-Fortescue_SDExport'!$A:$A,'EA-Fortescue_SDExport'!R:R)</f>
        <v>0</v>
      </c>
      <c r="S358">
        <f>_xlfn.XLOOKUP($A358,'EA-Fortescue_SDExport'!$A:$A,'EA-Fortescue_SDExport'!S:S)</f>
        <v>0</v>
      </c>
      <c r="T358">
        <f>_xlfn.XLOOKUP($A358,'EA-Fortescue_SDExport'!$A:$A,'EA-Fortescue_SDExport'!T:T)</f>
        <v>0</v>
      </c>
      <c r="U358">
        <f>_xlfn.XLOOKUP($A358,'EA-Fortescue_SDExport'!$A:$A,'EA-Fortescue_SDExport'!U:U)</f>
        <v>46050.904479166667</v>
      </c>
      <c r="V358">
        <f>_xlfn.XLOOKUP($A358,'EA-Fortescue_SDExport'!$A:$A,'EA-Fortescue_SDExport'!V:V)</f>
        <v>46071.948472222219</v>
      </c>
      <c r="W358">
        <f>_xlfn.XLOOKUP($A358,'EA-Fortescue_SDExport'!$A:$A,'EA-Fortescue_SDExport'!W:W)</f>
        <v>0</v>
      </c>
      <c r="X358">
        <f>_xlfn.XLOOKUP($A358,'EA-Fortescue_SDExport'!$A:$A,'EA-Fortescue_SDExport'!X:X)</f>
        <v>0</v>
      </c>
      <c r="Y358">
        <f>_xlfn.XLOOKUP($A358,'EA-Fortescue_SDExport'!$A:$A,'EA-Fortescue_SDExport'!Y:Y)</f>
        <v>0</v>
      </c>
      <c r="Z358" t="str">
        <f>_xlfn.XLOOKUP($A358,'EA-Fortescue_SDExport'!$A:$A,'EA-Fortescue_SDExport'!Z:Z)</f>
        <v>SysML1.4::InterfaceBlock</v>
      </c>
      <c r="AA358" t="str">
        <f>_xlfn.XLOOKUP($A358,InterfaceRegister!$A:$A,InterfaceRegister!B:B)</f>
        <v>855DC-1541-DEL Delphi|855DC-1541-PPC Pit Power Capacity Planning Tool - Design Optimisation</v>
      </c>
      <c r="AB358" t="str">
        <f>_xlfn.XLOOKUP($A358,InterfaceRegister!$A:$A,InterfaceRegister!C:C)</f>
        <v/>
      </c>
      <c r="AC358" t="str">
        <f>_xlfn.XLOOKUP($A358,InterfaceRegister!$A:$A,InterfaceRegister!D:D)</f>
        <v/>
      </c>
      <c r="AD358" t="str">
        <f>_xlfn.XLOOKUP($A358,InterfaceRegister!$A:$A,InterfaceRegister!E:E)</f>
        <v>Project - Project Interface</v>
      </c>
      <c r="AE358" t="str">
        <f>_xlfn.XLOOKUP($A358,InterfaceRegister!$A:$A,InterfaceRegister!F:F)</f>
        <v>Technical-Data/Software</v>
      </c>
      <c r="AF358" t="str">
        <f>_xlfn.XLOOKUP($A358,InterfaceRegister!$A:$A,InterfaceRegister!L:L)</f>
        <v>This interface enables Pit Power Capacity Planning Tool - Design Optimisation to exchange forecast and energy system data with Delphi, Fortescue's forecasting and forecast-governance platform. Delphi provides governed load and generation forecasts, scenario sets, and trust-state context to support energy-aware planning and optimisation within PPCP. The interface ensures planning studies align with the same authoritative forecast logic used in operational scheduling, while preserving traceability and consistency of forecast assumptions.</v>
      </c>
      <c r="AG358" t="str">
        <f>_xlfn.XLOOKUP($A358,InterfaceRegister!$A:$A,InterfaceRegister!M:M)</f>
        <v>MEDIUM</v>
      </c>
      <c r="AH358" t="str">
        <f>_xlfn.XLOOKUP($A358,InterfaceRegister!$A:$A,InterfaceRegister!O:O)</f>
        <v>Delphi -&gt; Pit Power Capacity Planning Tool - Design Optimisation</v>
      </c>
      <c r="AI358" t="str">
        <f>_xlfn.XLOOKUP($A358,InterfaceRegister!$A:$A,InterfaceRegister!N:N)</f>
        <v>The criticality level is MEDIUM because this interface supports energy-aware planning accuracy and alignment with governed forecasts, but it does not affect real-time dispatch, control systems, or safety-critical operations. Failure would reduce planning confidence and consistency but would not interrupt production continuity.</v>
      </c>
      <c r="AJ358" t="str">
        <f>_xlfn.XLOOKUP($A358,'EA-Fortescue_SDExport'!$A:$A,'EA-Fortescue_SDExport'!AX:AX)</f>
        <v>CSV058C7E87</v>
      </c>
      <c r="AK358">
        <f>_xlfn.XLOOKUP($A358,'EA-Fortescue_SDExport'!$A:$A,'EA-Fortescue_SDExport'!AY:AY)</f>
        <v>0</v>
      </c>
    </row>
    <row r="359" spans="1:37" x14ac:dyDescent="0.25">
      <c r="A359" t="str">
        <v>DGS-I_0358</v>
      </c>
      <c r="B359" t="str">
        <f>_xlfn.XLOOKUP($A359,'EA-Fortescue_SDExport'!$A:$A,'EA-Fortescue_SDExport'!B:B)</f>
        <v>Class</v>
      </c>
      <c r="C359" t="str">
        <f>_xlfn.XLOOKUP($A359,'EA-Fortescue_SDExport'!$A:$A,'EA-Fortescue_SDExport'!C:C)</f>
        <v>{B2729CFB-F8F9-4993-9BC4-67658986179D}</v>
      </c>
      <c r="D359" t="str">
        <f>_xlfn.LET(_xlpm.result, _xlfn.XLOOKUP($A359, InterfaceRegister!$A:$A, InterfaceRegister!P:P), IF(_xlpm.result=0, "", _xlpm.result))</f>
        <v>DocStack-SAComparison_SCUC 18/02/2026: Add planning systems to SCUC interface (Just Alastri and ALF). Atlas is more long-term planning and not for SCUC. Interfaces DGS-I_0358 &amp; DGS-I_0359 created.</v>
      </c>
      <c r="E359">
        <f>_xlfn.XLOOKUP($A359,'EA-Fortescue_SDExport'!$A:$A,'EA-Fortescue_SDExport'!E:E)</f>
        <v>1</v>
      </c>
      <c r="F359">
        <f>_xlfn.XLOOKUP($A359,'EA-Fortescue_SDExport'!$A:$A,'EA-Fortescue_SDExport'!F:F)</f>
        <v>1</v>
      </c>
      <c r="G359">
        <f>_xlfn.XLOOKUP($A359,'EA-Fortescue_SDExport'!$A:$A,'EA-Fortescue_SDExport'!G:G)</f>
        <v>0</v>
      </c>
      <c r="H359" t="str">
        <f>_xlfn.XLOOKUP($A359,'EA-Fortescue_SDExport'!$A:$A,'EA-Fortescue_SDExport'!H:H)</f>
        <v>InterfaceBlock</v>
      </c>
      <c r="I359" t="str">
        <f>_xlfn.XLOOKUP($A359,'EA-Fortescue_SDExport'!$A:$A,'EA-Fortescue_SDExport'!I:I)</f>
        <v>SysML1.4::InterfaceBlock</v>
      </c>
      <c r="J359" t="str">
        <f>_xlfn.XLOOKUP($A359,'EA-Fortescue_SDExport'!$A:$A,'EA-Fortescue_SDExport'!J:J)</f>
        <v>Java</v>
      </c>
      <c r="K359" t="str">
        <f>_xlfn.XLOOKUP($A359,'EA-Fortescue_SDExport'!$A:$A,'EA-Fortescue_SDExport'!K:K)</f>
        <v>Admin</v>
      </c>
      <c r="L359" t="str">
        <f>_xlfn.XLOOKUP($A359,'EA-Fortescue_SDExport'!$A:$A,'EA-Fortescue_SDExport'!L:L)</f>
        <v>Public</v>
      </c>
      <c r="M359">
        <f>_xlfn.XLOOKUP($A359,'EA-Fortescue_SDExport'!$A:$A,'EA-Fortescue_SDExport'!M:M)</f>
        <v>0</v>
      </c>
      <c r="N359" t="str">
        <f>_xlfn.XLOOKUP($A359,InterfaceRegister!$A:$A,InterfaceRegister!K:K)</f>
        <v>Proposed</v>
      </c>
      <c r="O359">
        <f>_xlfn.XLOOKUP($A359,'EA-Fortescue_SDExport'!$A:$A,'EA-Fortescue_SDExport'!O:O)</f>
        <v>1</v>
      </c>
      <c r="P359">
        <f>_xlfn.XLOOKUP($A359,'EA-Fortescue_SDExport'!$A:$A,'EA-Fortescue_SDExport'!P:P)</f>
        <v>0</v>
      </c>
      <c r="Q359">
        <f>_xlfn.XLOOKUP($A359,'EA-Fortescue_SDExport'!$A:$A,'EA-Fortescue_SDExport'!Q:Q)</f>
        <v>0</v>
      </c>
      <c r="R359">
        <f>_xlfn.XLOOKUP($A359,'EA-Fortescue_SDExport'!$A:$A,'EA-Fortescue_SDExport'!R:R)</f>
        <v>0</v>
      </c>
      <c r="S359">
        <f>_xlfn.XLOOKUP($A359,'EA-Fortescue_SDExport'!$A:$A,'EA-Fortescue_SDExport'!S:S)</f>
        <v>0</v>
      </c>
      <c r="T359">
        <f>_xlfn.XLOOKUP($A359,'EA-Fortescue_SDExport'!$A:$A,'EA-Fortescue_SDExport'!T:T)</f>
        <v>0</v>
      </c>
      <c r="U359">
        <f>_xlfn.XLOOKUP($A359,'EA-Fortescue_SDExport'!$A:$A,'EA-Fortescue_SDExport'!U:U)</f>
        <v>46071.649837962963</v>
      </c>
      <c r="V359">
        <f>_xlfn.XLOOKUP($A359,'EA-Fortescue_SDExport'!$A:$A,'EA-Fortescue_SDExport'!V:V)</f>
        <v>46071.947546296295</v>
      </c>
      <c r="W359">
        <f>_xlfn.XLOOKUP($A359,'EA-Fortescue_SDExport'!$A:$A,'EA-Fortescue_SDExport'!W:W)</f>
        <v>0</v>
      </c>
      <c r="X359">
        <f>_xlfn.XLOOKUP($A359,'EA-Fortescue_SDExport'!$A:$A,'EA-Fortescue_SDExport'!X:X)</f>
        <v>0</v>
      </c>
      <c r="Y359">
        <f>_xlfn.XLOOKUP($A359,'EA-Fortescue_SDExport'!$A:$A,'EA-Fortescue_SDExport'!Y:Y)</f>
        <v>0</v>
      </c>
      <c r="Z359" t="str">
        <f>_xlfn.XLOOKUP($A359,'EA-Fortescue_SDExport'!$A:$A,'EA-Fortescue_SDExport'!Z:Z)</f>
        <v>SysML1.4::InterfaceBlock</v>
      </c>
      <c r="AA359" t="str">
        <f>_xlfn.XLOOKUP($A359,InterfaceRegister!$A:$A,InterfaceRegister!B:B)</f>
        <v>005OP-0000-002 ALF|855DC-1541-ECL-002 Online Security Constrained Unit Commitment (SCUC)</v>
      </c>
      <c r="AB359" t="str">
        <f>_xlfn.XLOOKUP($A359,InterfaceRegister!$A:$A,InterfaceRegister!C:C)</f>
        <v/>
      </c>
      <c r="AC359" t="str">
        <f>_xlfn.XLOOKUP($A359,InterfaceRegister!$A:$A,InterfaceRegister!D:D)</f>
        <v/>
      </c>
      <c r="AD359" t="str">
        <f>_xlfn.XLOOKUP($A359,InterfaceRegister!$A:$A,InterfaceRegister!E:E)</f>
        <v>Project - Subsystem Interface</v>
      </c>
      <c r="AE359" t="str">
        <f>_xlfn.XLOOKUP($A359,InterfaceRegister!$A:$A,InterfaceRegister!F:F)</f>
        <v>Technical-Data/Software</v>
      </c>
      <c r="AF359" t="str">
        <f>_xlfn.XLOOKUP($A359,InterfaceRegister!$A:$A,InterfaceRegister!L:L)</f>
        <v>This interface enables the transfer of train schedule data originating from ALF to Online Security Constrained Unit Commitment (SCUC). Train movement schedules stored in Snowflake are provided to SCUC to inform short-term operational forecasting, load projections, and power system scheduling decisions across the 72-hour optimisation horizon. The interface supports data exchange only and does not initiate control actions.</v>
      </c>
      <c r="AG359" t="str">
        <f>_xlfn.XLOOKUP($A359,InterfaceRegister!$A:$A,InterfaceRegister!M:M)</f>
        <v>HIGH</v>
      </c>
      <c r="AH359" t="str">
        <f>_xlfn.XLOOKUP($A359,InterfaceRegister!$A:$A,InterfaceRegister!O:O)</f>
        <v>ALF -&gt; Online Security Constrained Unit Commitment (SCUC)</v>
      </c>
      <c r="AI359" t="str">
        <f>_xlfn.XLOOKUP($A359,InterfaceRegister!$A:$A,InterfaceRegister!N:N)</f>
        <v>The criticality is HIGH because train schedules materially influence short-term load forecasts and operational demand profiles used within the risk-aware optimisation process. Inaccurate or missing schedule data could result in misforecasted load, increased SOC reserve breach risk, inefficient gas nominations, or suboptimal commitment decisions affecting grid stability and production continuity.</v>
      </c>
      <c r="AJ359" t="str">
        <f>_xlfn.XLOOKUP($A359,'EA-Fortescue_SDExport'!$A:$A,'EA-Fortescue_SDExport'!AX:AX)</f>
        <v>CSVC2A8D3C9</v>
      </c>
      <c r="AK359">
        <f>_xlfn.XLOOKUP($A359,'EA-Fortescue_SDExport'!$A:$A,'EA-Fortescue_SDExport'!AY:AY)</f>
        <v>0</v>
      </c>
    </row>
    <row r="360" spans="1:37" x14ac:dyDescent="0.25">
      <c r="A360" t="str">
        <v>DGS-I_0359</v>
      </c>
      <c r="B360" t="str">
        <f>_xlfn.XLOOKUP($A360,'EA-Fortescue_SDExport'!$A:$A,'EA-Fortescue_SDExport'!B:B)</f>
        <v>Class</v>
      </c>
      <c r="C360" t="str">
        <f>_xlfn.XLOOKUP($A360,'EA-Fortescue_SDExport'!$A:$A,'EA-Fortescue_SDExport'!C:C)</f>
        <v>{C45E4361-0419-4939-B2CF-23CCD3C7DF81}</v>
      </c>
      <c r="D360" t="str">
        <f>_xlfn.LET(_xlpm.result, _xlfn.XLOOKUP($A360, InterfaceRegister!$A:$A, InterfaceRegister!P:P), IF(_xlpm.result=0, "", _xlpm.result))</f>
        <v>DocStack-SAComparison_SCUC 18/02/2026: Add planning systems to SCUC interface (Just Alastri and ALF). Atlas is more long-term planning and not for SCUC. Interfaces DGS-I_0358 &amp; DGS-I_0359 created._x000D_
NH 25/02/2026: Fields updated:Interface Criticality</v>
      </c>
      <c r="E360">
        <f>_xlfn.XLOOKUP($A360,'EA-Fortescue_SDExport'!$A:$A,'EA-Fortescue_SDExport'!E:E)</f>
        <v>1</v>
      </c>
      <c r="F360">
        <f>_xlfn.XLOOKUP($A360,'EA-Fortescue_SDExport'!$A:$A,'EA-Fortescue_SDExport'!F:F)</f>
        <v>1</v>
      </c>
      <c r="G360">
        <f>_xlfn.XLOOKUP($A360,'EA-Fortescue_SDExport'!$A:$A,'EA-Fortescue_SDExport'!G:G)</f>
        <v>0</v>
      </c>
      <c r="H360" t="str">
        <f>_xlfn.XLOOKUP($A360,'EA-Fortescue_SDExport'!$A:$A,'EA-Fortescue_SDExport'!H:H)</f>
        <v>InterfaceBlock</v>
      </c>
      <c r="I360" t="str">
        <f>_xlfn.XLOOKUP($A360,'EA-Fortescue_SDExport'!$A:$A,'EA-Fortescue_SDExport'!I:I)</f>
        <v>SysML1.4::InterfaceBlock</v>
      </c>
      <c r="J360" t="str">
        <f>_xlfn.XLOOKUP($A360,'EA-Fortescue_SDExport'!$A:$A,'EA-Fortescue_SDExport'!J:J)</f>
        <v>Java</v>
      </c>
      <c r="K360" t="str">
        <f>_xlfn.XLOOKUP($A360,'EA-Fortescue_SDExport'!$A:$A,'EA-Fortescue_SDExport'!K:K)</f>
        <v>Admin</v>
      </c>
      <c r="L360" t="str">
        <f>_xlfn.XLOOKUP($A360,'EA-Fortescue_SDExport'!$A:$A,'EA-Fortescue_SDExport'!L:L)</f>
        <v>Public</v>
      </c>
      <c r="M360">
        <f>_xlfn.XLOOKUP($A360,'EA-Fortescue_SDExport'!$A:$A,'EA-Fortescue_SDExport'!M:M)</f>
        <v>0</v>
      </c>
      <c r="N360" t="str">
        <f>_xlfn.XLOOKUP($A360,InterfaceRegister!$A:$A,InterfaceRegister!K:K)</f>
        <v>Proposed</v>
      </c>
      <c r="O360">
        <f>_xlfn.XLOOKUP($A360,'EA-Fortescue_SDExport'!$A:$A,'EA-Fortescue_SDExport'!O:O)</f>
        <v>1</v>
      </c>
      <c r="P360">
        <f>_xlfn.XLOOKUP($A360,'EA-Fortescue_SDExport'!$A:$A,'EA-Fortescue_SDExport'!P:P)</f>
        <v>0</v>
      </c>
      <c r="Q360">
        <f>_xlfn.XLOOKUP($A360,'EA-Fortescue_SDExport'!$A:$A,'EA-Fortescue_SDExport'!Q:Q)</f>
        <v>0</v>
      </c>
      <c r="R360">
        <f>_xlfn.XLOOKUP($A360,'EA-Fortescue_SDExport'!$A:$A,'EA-Fortescue_SDExport'!R:R)</f>
        <v>0</v>
      </c>
      <c r="S360">
        <f>_xlfn.XLOOKUP($A360,'EA-Fortescue_SDExport'!$A:$A,'EA-Fortescue_SDExport'!S:S)</f>
        <v>0</v>
      </c>
      <c r="T360">
        <f>_xlfn.XLOOKUP($A360,'EA-Fortescue_SDExport'!$A:$A,'EA-Fortescue_SDExport'!T:T)</f>
        <v>0</v>
      </c>
      <c r="U360">
        <f>_xlfn.XLOOKUP($A360,'EA-Fortescue_SDExport'!$A:$A,'EA-Fortescue_SDExport'!U:U)</f>
        <v>46071.674155092594</v>
      </c>
      <c r="V360">
        <f>_xlfn.XLOOKUP($A360,'EA-Fortescue_SDExport'!$A:$A,'EA-Fortescue_SDExport'!V:V)</f>
        <v>46077.993217592593</v>
      </c>
      <c r="W360">
        <f>_xlfn.XLOOKUP($A360,'EA-Fortescue_SDExport'!$A:$A,'EA-Fortescue_SDExport'!W:W)</f>
        <v>0</v>
      </c>
      <c r="X360">
        <f>_xlfn.XLOOKUP($A360,'EA-Fortescue_SDExport'!$A:$A,'EA-Fortescue_SDExport'!X:X)</f>
        <v>0</v>
      </c>
      <c r="Y360">
        <f>_xlfn.XLOOKUP($A360,'EA-Fortescue_SDExport'!$A:$A,'EA-Fortescue_SDExport'!Y:Y)</f>
        <v>0</v>
      </c>
      <c r="Z360" t="str">
        <f>_xlfn.XLOOKUP($A360,'EA-Fortescue_SDExport'!$A:$A,'EA-Fortescue_SDExport'!Z:Z)</f>
        <v>SysML1.4::InterfaceBlock</v>
      </c>
      <c r="AA360" t="str">
        <f>_xlfn.XLOOKUP($A360,InterfaceRegister!$A:$A,InterfaceRegister!B:B)</f>
        <v>855DC-1541-ECL-002 Online Security Constrained Unit Commitment (SCUC)|005OP-0000-004-002 Alastri Production Scheduler (APS) / Alastri Tactical Scheduler (ATS)</v>
      </c>
      <c r="AB360" t="str">
        <f>_xlfn.XLOOKUP($A360,InterfaceRegister!$A:$A,InterfaceRegister!C:C)</f>
        <v/>
      </c>
      <c r="AC360" t="str">
        <f>_xlfn.XLOOKUP($A360,InterfaceRegister!$A:$A,InterfaceRegister!D:D)</f>
        <v/>
      </c>
      <c r="AD360" t="str">
        <f>_xlfn.XLOOKUP($A360,InterfaceRegister!$A:$A,InterfaceRegister!E:E)</f>
        <v>Subsystem - Subsystem Interface</v>
      </c>
      <c r="AE360" t="str">
        <f>_xlfn.XLOOKUP($A360,InterfaceRegister!$A:$A,InterfaceRegister!F:F)</f>
        <v>Technical-Data/Software</v>
      </c>
      <c r="AF360" t="str">
        <f>_xlfn.XLOOKUP($A360,InterfaceRegister!$A:$A,InterfaceRegister!L:L)</f>
        <v>This interface enables bidirectional data exchange between  Online Security Constrained Unit Commitment (SCUC) and Alastri Production Scheduler APS / Alastri Tactical Scheduler ATS. Alastri provides production schedules, haulage plans, mining sequences, and fleet utilisation forecasts that inform load projections, demand response availability, and operational constraints within the 72-hour risk-aware optimisation horizon. SCUC returns operating mode classifications Long - Balanced - Short, demand response trigger points, and power system constraint signals to ensure alignment between energy availability and mining production plans. The interface supports planning and optimisation alignment only and does not directly execute control actions.</v>
      </c>
      <c r="AG360" t="str">
        <f>_xlfn.XLOOKUP($A360,InterfaceRegister!$A:$A,InterfaceRegister!M:M)</f>
        <v>HIGH</v>
      </c>
      <c r="AH360" t="str">
        <f>_xlfn.XLOOKUP($A360,InterfaceRegister!$A:$A,InterfaceRegister!O:O)</f>
        <v>Online Security Constrained Unit Commitment (SCUC) &lt;-&gt; Alastri Production Scheduler APS / Alastri Tactical Scheduler ATS</v>
      </c>
      <c r="AI360" t="str">
        <f>_xlfn.XLOOKUP($A360,InterfaceRegister!$A:$A,InterfaceRegister!N:N)</f>
        <v>The criticality is HIGH because this interface aligns mine production scheduling with power system commitment decisions in a high-renewable, islanded grid environment. Inaccurate or delayed exchange of production schedules or energy constraint signals could result in misaligned haulage demand, increased SOC reserve breach risk, inefficient gas utilisation, or elevated probability of non recoverable load shedding impacting production continuity.</v>
      </c>
      <c r="AJ360" t="str">
        <f>_xlfn.XLOOKUP($A360,'EA-Fortescue_SDExport'!$A:$A,'EA-Fortescue_SDExport'!AX:AX)</f>
        <v>CSV67FFED18</v>
      </c>
      <c r="AK360">
        <f>_xlfn.XLOOKUP($A360,'EA-Fortescue_SDExport'!$A:$A,'EA-Fortescue_SDExport'!AY:AY)</f>
        <v>0</v>
      </c>
    </row>
  </sheetData>
  <autoFilter ref="A1:AK360" xr:uid="{EFAE0F6B-CC89-4122-9CA1-8209639278D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F2DF9-C418-47DA-B869-0E019624B4FD}">
  <dimension ref="A1:V161"/>
  <sheetViews>
    <sheetView workbookViewId="0"/>
  </sheetViews>
  <sheetFormatPr defaultColWidth="8.85546875" defaultRowHeight="15" x14ac:dyDescent="0.25"/>
  <cols>
    <col min="1" max="1" width="81.85546875" bestFit="1" customWidth="1"/>
    <col min="9" max="9" width="40" customWidth="1"/>
    <col min="10" max="10" width="53.85546875" customWidth="1"/>
    <col min="11" max="11" width="62.42578125" customWidth="1"/>
    <col min="12" max="12" width="20.28515625" customWidth="1"/>
    <col min="13" max="13" width="22.85546875" bestFit="1" customWidth="1"/>
    <col min="14" max="15" width="21.42578125" style="30" bestFit="1" customWidth="1"/>
    <col min="16" max="16" width="24.7109375" style="30" bestFit="1" customWidth="1"/>
    <col min="17" max="19" width="9.140625" style="30"/>
  </cols>
  <sheetData>
    <row r="1" spans="1:22" x14ac:dyDescent="0.25">
      <c r="A1" s="19" t="s">
        <v>1120</v>
      </c>
      <c r="B1" s="19" t="s">
        <v>1122</v>
      </c>
      <c r="C1" s="19" t="s">
        <v>1123</v>
      </c>
      <c r="D1" s="19" t="s">
        <v>1127</v>
      </c>
      <c r="E1" s="19" t="s">
        <v>1021</v>
      </c>
      <c r="F1" s="19" t="s">
        <v>1143</v>
      </c>
      <c r="G1" s="19" t="s">
        <v>1144</v>
      </c>
      <c r="H1" s="19" t="s">
        <v>1145</v>
      </c>
      <c r="I1" s="19" t="s">
        <v>1993</v>
      </c>
      <c r="J1" s="19" t="s">
        <v>1146</v>
      </c>
      <c r="K1" s="19" t="s">
        <v>1147</v>
      </c>
      <c r="L1" s="19" t="s">
        <v>1148</v>
      </c>
      <c r="M1" s="19" t="s">
        <v>1149</v>
      </c>
      <c r="N1" s="29" t="s">
        <v>1994</v>
      </c>
      <c r="O1" s="29" t="s">
        <v>1150</v>
      </c>
      <c r="P1" s="29" t="s">
        <v>1152</v>
      </c>
      <c r="Q1" s="29" t="s">
        <v>1151</v>
      </c>
      <c r="R1" s="29" t="s">
        <v>1995</v>
      </c>
      <c r="S1" s="29" t="s">
        <v>1153</v>
      </c>
      <c r="T1" s="19" t="s">
        <v>1996</v>
      </c>
      <c r="U1" s="19" t="s">
        <v>1166</v>
      </c>
      <c r="V1" s="19" t="s">
        <v>1167</v>
      </c>
    </row>
    <row r="2" spans="1:22" x14ac:dyDescent="0.25">
      <c r="A2" t="s">
        <v>1997</v>
      </c>
      <c r="B2" t="s">
        <v>1222</v>
      </c>
      <c r="D2" t="s">
        <v>1171</v>
      </c>
      <c r="E2" t="s">
        <v>50</v>
      </c>
      <c r="F2" t="s">
        <v>45</v>
      </c>
      <c r="G2" t="s">
        <v>86</v>
      </c>
      <c r="I2" t="s">
        <v>1998</v>
      </c>
      <c r="J2" t="s">
        <v>1999</v>
      </c>
      <c r="K2" t="s">
        <v>2000</v>
      </c>
      <c r="L2" t="s">
        <v>1997</v>
      </c>
      <c r="N2" s="30" t="s">
        <v>2001</v>
      </c>
      <c r="O2" s="30" t="s">
        <v>1179</v>
      </c>
      <c r="P2" s="30">
        <v>1542</v>
      </c>
      <c r="Q2" s="30" t="s">
        <v>1984</v>
      </c>
      <c r="R2" s="30" t="s">
        <v>2002</v>
      </c>
      <c r="S2" s="30" t="s">
        <v>2003</v>
      </c>
      <c r="T2" t="s">
        <v>2004</v>
      </c>
      <c r="U2" t="s">
        <v>4074</v>
      </c>
      <c r="V2" t="s">
        <v>4075</v>
      </c>
    </row>
    <row r="3" spans="1:22" x14ac:dyDescent="0.25">
      <c r="A3" t="s">
        <v>2005</v>
      </c>
      <c r="B3" t="s">
        <v>1194</v>
      </c>
      <c r="D3" t="s">
        <v>1171</v>
      </c>
      <c r="E3" t="s">
        <v>50</v>
      </c>
      <c r="F3" t="s">
        <v>315</v>
      </c>
      <c r="I3" t="s">
        <v>1998</v>
      </c>
      <c r="J3" t="s">
        <v>1999</v>
      </c>
      <c r="K3" t="s">
        <v>2011</v>
      </c>
      <c r="L3" t="s">
        <v>2021</v>
      </c>
      <c r="M3" t="s">
        <v>2005</v>
      </c>
      <c r="N3" s="30" t="s">
        <v>2001</v>
      </c>
      <c r="O3" s="30" t="s">
        <v>1179</v>
      </c>
      <c r="P3" s="30">
        <v>1543</v>
      </c>
      <c r="Q3" s="30" t="s">
        <v>2007</v>
      </c>
      <c r="R3" s="30" t="s">
        <v>2002</v>
      </c>
      <c r="S3" s="30" t="s">
        <v>2008</v>
      </c>
      <c r="T3" t="s">
        <v>2009</v>
      </c>
      <c r="U3" t="s">
        <v>4076</v>
      </c>
      <c r="V3" t="s">
        <v>4077</v>
      </c>
    </row>
    <row r="4" spans="1:22" x14ac:dyDescent="0.25">
      <c r="A4" t="s">
        <v>2010</v>
      </c>
      <c r="B4" t="s">
        <v>1191</v>
      </c>
      <c r="D4" t="s">
        <v>1171</v>
      </c>
      <c r="E4" t="s">
        <v>50</v>
      </c>
      <c r="F4" t="s">
        <v>45</v>
      </c>
      <c r="H4" t="s">
        <v>53</v>
      </c>
      <c r="I4" t="s">
        <v>1998</v>
      </c>
      <c r="J4" t="s">
        <v>1999</v>
      </c>
      <c r="K4" t="s">
        <v>2011</v>
      </c>
      <c r="L4" t="s">
        <v>2010</v>
      </c>
      <c r="N4" s="30" t="s">
        <v>2001</v>
      </c>
      <c r="O4" s="30" t="s">
        <v>1179</v>
      </c>
      <c r="P4" s="30">
        <v>1541</v>
      </c>
      <c r="Q4" s="30" t="s">
        <v>2012</v>
      </c>
      <c r="R4" s="30" t="s">
        <v>2002</v>
      </c>
      <c r="S4" s="30" t="s">
        <v>2013</v>
      </c>
      <c r="T4" t="s">
        <v>2014</v>
      </c>
      <c r="U4" t="s">
        <v>4078</v>
      </c>
      <c r="V4" t="s">
        <v>4079</v>
      </c>
    </row>
    <row r="5" spans="1:22" x14ac:dyDescent="0.25">
      <c r="A5" t="s">
        <v>2015</v>
      </c>
      <c r="B5" t="s">
        <v>1186</v>
      </c>
      <c r="D5" t="s">
        <v>1171</v>
      </c>
      <c r="E5" t="s">
        <v>50</v>
      </c>
      <c r="F5" t="s">
        <v>45</v>
      </c>
      <c r="G5" t="s">
        <v>77</v>
      </c>
      <c r="H5" t="s">
        <v>78</v>
      </c>
      <c r="I5" t="s">
        <v>1998</v>
      </c>
      <c r="J5" t="s">
        <v>1999</v>
      </c>
      <c r="K5" t="s">
        <v>2011</v>
      </c>
      <c r="L5" t="s">
        <v>2015</v>
      </c>
      <c r="N5" s="30" t="s">
        <v>2001</v>
      </c>
      <c r="O5" s="30" t="s">
        <v>1179</v>
      </c>
      <c r="P5" s="30">
        <v>1541</v>
      </c>
      <c r="Q5" s="30" t="s">
        <v>1985</v>
      </c>
      <c r="R5" s="30" t="s">
        <v>2002</v>
      </c>
      <c r="S5" s="30" t="s">
        <v>2016</v>
      </c>
      <c r="T5" t="s">
        <v>2017</v>
      </c>
      <c r="U5" t="s">
        <v>4080</v>
      </c>
      <c r="V5" t="s">
        <v>4079</v>
      </c>
    </row>
    <row r="6" spans="1:22" x14ac:dyDescent="0.25">
      <c r="A6" t="s">
        <v>2018</v>
      </c>
      <c r="B6" t="s">
        <v>1226</v>
      </c>
      <c r="D6" t="s">
        <v>1171</v>
      </c>
      <c r="E6" t="s">
        <v>50</v>
      </c>
      <c r="F6" t="s">
        <v>45</v>
      </c>
      <c r="G6" t="s">
        <v>132</v>
      </c>
      <c r="I6" t="s">
        <v>1998</v>
      </c>
      <c r="J6" t="s">
        <v>1999</v>
      </c>
      <c r="K6" t="s">
        <v>2000</v>
      </c>
      <c r="L6" t="s">
        <v>2018</v>
      </c>
      <c r="N6" s="30" t="s">
        <v>2001</v>
      </c>
      <c r="O6" s="30" t="s">
        <v>1179</v>
      </c>
      <c r="P6" s="30">
        <v>1542</v>
      </c>
      <c r="Q6" s="30" t="s">
        <v>1918</v>
      </c>
      <c r="R6" s="30" t="s">
        <v>2002</v>
      </c>
      <c r="S6" s="30" t="s">
        <v>2019</v>
      </c>
      <c r="T6" t="s">
        <v>2020</v>
      </c>
      <c r="U6" t="s">
        <v>4081</v>
      </c>
      <c r="V6" t="s">
        <v>4075</v>
      </c>
    </row>
    <row r="7" spans="1:22" x14ac:dyDescent="0.25">
      <c r="A7" t="s">
        <v>2021</v>
      </c>
      <c r="B7" t="s">
        <v>1187</v>
      </c>
      <c r="D7" t="s">
        <v>1171</v>
      </c>
      <c r="E7" t="s">
        <v>50</v>
      </c>
      <c r="F7" t="s">
        <v>45</v>
      </c>
      <c r="G7" t="s">
        <v>46</v>
      </c>
      <c r="I7" t="s">
        <v>1998</v>
      </c>
      <c r="J7" t="s">
        <v>1999</v>
      </c>
      <c r="K7" t="s">
        <v>2011</v>
      </c>
      <c r="L7" t="s">
        <v>2021</v>
      </c>
      <c r="N7" s="30" t="s">
        <v>2001</v>
      </c>
      <c r="O7" s="30" t="s">
        <v>1179</v>
      </c>
      <c r="P7" s="30">
        <v>1541</v>
      </c>
      <c r="Q7" s="30" t="s">
        <v>1986</v>
      </c>
      <c r="R7" s="30" t="s">
        <v>2002</v>
      </c>
      <c r="S7" s="30" t="s">
        <v>2022</v>
      </c>
      <c r="T7" t="s">
        <v>2023</v>
      </c>
      <c r="U7" t="s">
        <v>4077</v>
      </c>
      <c r="V7" t="s">
        <v>4079</v>
      </c>
    </row>
    <row r="8" spans="1:22" x14ac:dyDescent="0.25">
      <c r="A8" t="s">
        <v>2024</v>
      </c>
      <c r="B8" t="s">
        <v>1227</v>
      </c>
      <c r="D8" t="s">
        <v>1171</v>
      </c>
      <c r="E8" t="s">
        <v>50</v>
      </c>
      <c r="F8" t="s">
        <v>45</v>
      </c>
      <c r="I8" t="s">
        <v>1998</v>
      </c>
      <c r="J8" t="s">
        <v>1999</v>
      </c>
      <c r="K8" t="s">
        <v>2000</v>
      </c>
      <c r="L8" t="s">
        <v>2024</v>
      </c>
      <c r="N8" s="30" t="s">
        <v>2001</v>
      </c>
      <c r="O8" s="30" t="s">
        <v>1179</v>
      </c>
      <c r="P8" s="30">
        <v>1542</v>
      </c>
      <c r="Q8" s="30" t="s">
        <v>2025</v>
      </c>
      <c r="R8" s="30" t="s">
        <v>2002</v>
      </c>
      <c r="S8" s="30" t="s">
        <v>2026</v>
      </c>
      <c r="T8" t="s">
        <v>2027</v>
      </c>
      <c r="U8" t="s">
        <v>4082</v>
      </c>
      <c r="V8" t="s">
        <v>4075</v>
      </c>
    </row>
    <row r="9" spans="1:22" x14ac:dyDescent="0.25">
      <c r="A9" t="s">
        <v>1999</v>
      </c>
      <c r="B9" t="s">
        <v>1177</v>
      </c>
      <c r="D9" t="s">
        <v>1171</v>
      </c>
      <c r="E9" t="s">
        <v>50</v>
      </c>
      <c r="F9" t="s">
        <v>180</v>
      </c>
      <c r="I9" t="s">
        <v>1998</v>
      </c>
      <c r="J9" t="s">
        <v>1999</v>
      </c>
      <c r="N9" s="30" t="s">
        <v>2001</v>
      </c>
      <c r="O9" s="30" t="s">
        <v>1179</v>
      </c>
      <c r="P9" s="30" t="s">
        <v>2002</v>
      </c>
      <c r="Q9" s="30" t="s">
        <v>2002</v>
      </c>
      <c r="R9" s="30" t="s">
        <v>2002</v>
      </c>
      <c r="S9" s="30" t="s">
        <v>1179</v>
      </c>
      <c r="T9" t="s">
        <v>2028</v>
      </c>
      <c r="U9" t="s">
        <v>4083</v>
      </c>
      <c r="V9" t="s">
        <v>4084</v>
      </c>
    </row>
    <row r="10" spans="1:22" x14ac:dyDescent="0.25">
      <c r="A10" t="s">
        <v>2029</v>
      </c>
      <c r="B10" t="s">
        <v>1185</v>
      </c>
      <c r="D10" t="s">
        <v>1171</v>
      </c>
      <c r="E10" t="s">
        <v>50</v>
      </c>
      <c r="F10" t="s">
        <v>315</v>
      </c>
      <c r="I10" t="s">
        <v>1998</v>
      </c>
      <c r="J10" t="s">
        <v>1999</v>
      </c>
      <c r="K10" t="s">
        <v>2011</v>
      </c>
      <c r="L10" t="s">
        <v>2030</v>
      </c>
      <c r="M10" t="s">
        <v>2029</v>
      </c>
      <c r="N10" s="30" t="s">
        <v>2001</v>
      </c>
      <c r="O10" s="30" t="s">
        <v>1179</v>
      </c>
      <c r="P10" s="30">
        <v>1541</v>
      </c>
      <c r="Q10" s="30" t="s">
        <v>2031</v>
      </c>
      <c r="R10" s="30" t="s">
        <v>2032</v>
      </c>
      <c r="S10" s="30" t="s">
        <v>2033</v>
      </c>
      <c r="T10" t="s">
        <v>2034</v>
      </c>
      <c r="U10" t="s">
        <v>4085</v>
      </c>
      <c r="V10" t="s">
        <v>4086</v>
      </c>
    </row>
    <row r="11" spans="1:22" x14ac:dyDescent="0.25">
      <c r="A11" t="s">
        <v>2035</v>
      </c>
      <c r="B11" t="s">
        <v>1195</v>
      </c>
      <c r="D11" t="s">
        <v>1171</v>
      </c>
      <c r="E11" t="s">
        <v>50</v>
      </c>
      <c r="F11" t="s">
        <v>45</v>
      </c>
      <c r="G11" t="s">
        <v>132</v>
      </c>
      <c r="I11" t="s">
        <v>1998</v>
      </c>
      <c r="J11" t="s">
        <v>1999</v>
      </c>
      <c r="K11" t="s">
        <v>2000</v>
      </c>
      <c r="L11" t="s">
        <v>2035</v>
      </c>
      <c r="N11" s="30" t="s">
        <v>2001</v>
      </c>
      <c r="O11" s="30" t="s">
        <v>1179</v>
      </c>
      <c r="P11" s="30">
        <v>1542</v>
      </c>
      <c r="Q11" s="30" t="s">
        <v>2036</v>
      </c>
      <c r="R11" s="30" t="s">
        <v>2002</v>
      </c>
      <c r="S11" s="30" t="s">
        <v>2037</v>
      </c>
      <c r="T11" t="s">
        <v>2038</v>
      </c>
      <c r="U11" t="s">
        <v>4087</v>
      </c>
      <c r="V11" t="s">
        <v>4075</v>
      </c>
    </row>
    <row r="12" spans="1:22" x14ac:dyDescent="0.25">
      <c r="A12" t="s">
        <v>2039</v>
      </c>
      <c r="B12" t="s">
        <v>1184</v>
      </c>
      <c r="D12" t="s">
        <v>1171</v>
      </c>
      <c r="E12" t="s">
        <v>50</v>
      </c>
      <c r="F12" t="s">
        <v>315</v>
      </c>
      <c r="I12" t="s">
        <v>1998</v>
      </c>
      <c r="J12" t="s">
        <v>1999</v>
      </c>
      <c r="K12" t="s">
        <v>2011</v>
      </c>
      <c r="L12" t="s">
        <v>2030</v>
      </c>
      <c r="M12" t="s">
        <v>2039</v>
      </c>
      <c r="N12" s="30" t="s">
        <v>2001</v>
      </c>
      <c r="O12" s="30" t="s">
        <v>1179</v>
      </c>
      <c r="P12" s="30">
        <v>1541</v>
      </c>
      <c r="Q12" s="30" t="s">
        <v>2031</v>
      </c>
      <c r="R12" s="30" t="s">
        <v>2040</v>
      </c>
      <c r="S12" s="30" t="s">
        <v>2041</v>
      </c>
      <c r="T12" t="s">
        <v>2042</v>
      </c>
      <c r="U12" t="s">
        <v>4088</v>
      </c>
      <c r="V12" t="s">
        <v>4086</v>
      </c>
    </row>
    <row r="13" spans="1:22" x14ac:dyDescent="0.25">
      <c r="A13" t="s">
        <v>2030</v>
      </c>
      <c r="B13" t="s">
        <v>1181</v>
      </c>
      <c r="D13" t="s">
        <v>1171</v>
      </c>
      <c r="E13" t="s">
        <v>50</v>
      </c>
      <c r="F13" t="s">
        <v>45</v>
      </c>
      <c r="G13" t="s">
        <v>46</v>
      </c>
      <c r="I13" t="s">
        <v>1998</v>
      </c>
      <c r="J13" t="s">
        <v>1999</v>
      </c>
      <c r="K13" t="s">
        <v>2011</v>
      </c>
      <c r="L13" t="s">
        <v>2030</v>
      </c>
      <c r="N13" s="30" t="s">
        <v>2001</v>
      </c>
      <c r="O13" s="30" t="s">
        <v>1179</v>
      </c>
      <c r="P13" s="30">
        <v>1541</v>
      </c>
      <c r="Q13" s="30" t="s">
        <v>2031</v>
      </c>
      <c r="R13" s="30" t="s">
        <v>2002</v>
      </c>
      <c r="S13" s="30" t="s">
        <v>2043</v>
      </c>
      <c r="T13" t="s">
        <v>2044</v>
      </c>
      <c r="U13" t="s">
        <v>4086</v>
      </c>
      <c r="V13" t="s">
        <v>4079</v>
      </c>
    </row>
    <row r="14" spans="1:22" x14ac:dyDescent="0.25">
      <c r="A14" t="s">
        <v>2045</v>
      </c>
      <c r="B14" t="s">
        <v>1205</v>
      </c>
      <c r="D14" t="s">
        <v>1171</v>
      </c>
      <c r="E14" t="s">
        <v>50</v>
      </c>
      <c r="F14" t="s">
        <v>45</v>
      </c>
      <c r="I14" t="s">
        <v>2046</v>
      </c>
      <c r="J14" t="s">
        <v>2047</v>
      </c>
      <c r="L14" t="s">
        <v>2045</v>
      </c>
      <c r="N14" s="30" t="s">
        <v>2048</v>
      </c>
      <c r="O14" s="30" t="s">
        <v>2049</v>
      </c>
      <c r="P14" s="30" t="s">
        <v>2050</v>
      </c>
      <c r="Q14" s="30" t="s">
        <v>2051</v>
      </c>
      <c r="R14" s="30" t="s">
        <v>2002</v>
      </c>
      <c r="S14" s="30" t="s">
        <v>2052</v>
      </c>
      <c r="T14" t="s">
        <v>2053</v>
      </c>
      <c r="U14" t="s">
        <v>4089</v>
      </c>
      <c r="V14" t="s">
        <v>4090</v>
      </c>
    </row>
    <row r="15" spans="1:22" x14ac:dyDescent="0.25">
      <c r="A15" t="s">
        <v>2054</v>
      </c>
      <c r="B15" t="s">
        <v>1228</v>
      </c>
      <c r="D15" t="s">
        <v>1171</v>
      </c>
      <c r="E15" t="s">
        <v>50</v>
      </c>
      <c r="F15" t="s">
        <v>45</v>
      </c>
      <c r="I15" t="s">
        <v>1998</v>
      </c>
      <c r="J15" t="s">
        <v>1999</v>
      </c>
      <c r="K15" t="s">
        <v>2055</v>
      </c>
      <c r="L15" t="s">
        <v>2054</v>
      </c>
      <c r="N15" s="30" t="s">
        <v>2001</v>
      </c>
      <c r="O15" s="30" t="s">
        <v>1179</v>
      </c>
      <c r="P15" s="30">
        <v>1544</v>
      </c>
      <c r="Q15" s="30" t="s">
        <v>2056</v>
      </c>
      <c r="R15" s="30" t="s">
        <v>2002</v>
      </c>
      <c r="S15" s="30" t="s">
        <v>2057</v>
      </c>
      <c r="T15" t="s">
        <v>2058</v>
      </c>
      <c r="U15" t="s">
        <v>4091</v>
      </c>
      <c r="V15" t="s">
        <v>4092</v>
      </c>
    </row>
    <row r="16" spans="1:22" x14ac:dyDescent="0.25">
      <c r="A16" t="s">
        <v>2059</v>
      </c>
      <c r="B16" t="s">
        <v>1219</v>
      </c>
      <c r="D16" t="s">
        <v>1171</v>
      </c>
      <c r="E16" t="s">
        <v>50</v>
      </c>
      <c r="F16" t="s">
        <v>45</v>
      </c>
      <c r="I16" t="s">
        <v>2046</v>
      </c>
      <c r="J16" t="s">
        <v>2047</v>
      </c>
      <c r="L16" t="s">
        <v>2059</v>
      </c>
      <c r="N16" s="30" t="s">
        <v>2048</v>
      </c>
      <c r="O16" s="30" t="s">
        <v>2049</v>
      </c>
      <c r="P16" s="30" t="s">
        <v>2050</v>
      </c>
      <c r="Q16" s="30" t="s">
        <v>2060</v>
      </c>
      <c r="R16" s="30" t="s">
        <v>2002</v>
      </c>
      <c r="S16" s="30" t="s">
        <v>2061</v>
      </c>
      <c r="T16" t="s">
        <v>2062</v>
      </c>
      <c r="U16" t="s">
        <v>4093</v>
      </c>
      <c r="V16" t="s">
        <v>4090</v>
      </c>
    </row>
    <row r="17" spans="1:22" x14ac:dyDescent="0.25">
      <c r="A17" t="s">
        <v>2063</v>
      </c>
      <c r="B17" t="s">
        <v>1199</v>
      </c>
      <c r="D17" t="s">
        <v>1171</v>
      </c>
      <c r="E17" t="s">
        <v>50</v>
      </c>
      <c r="F17" t="s">
        <v>45</v>
      </c>
      <c r="G17" t="s">
        <v>46</v>
      </c>
      <c r="I17" t="s">
        <v>1998</v>
      </c>
      <c r="J17" t="s">
        <v>1999</v>
      </c>
      <c r="K17" t="s">
        <v>2006</v>
      </c>
      <c r="L17" t="s">
        <v>2063</v>
      </c>
      <c r="N17" s="30" t="s">
        <v>2001</v>
      </c>
      <c r="O17" s="30" t="s">
        <v>1179</v>
      </c>
      <c r="P17" s="30">
        <v>1543</v>
      </c>
      <c r="Q17" s="30" t="s">
        <v>2036</v>
      </c>
      <c r="R17" s="30" t="s">
        <v>2002</v>
      </c>
      <c r="S17" s="30" t="s">
        <v>2064</v>
      </c>
      <c r="T17" t="s">
        <v>2065</v>
      </c>
      <c r="U17" t="s">
        <v>4094</v>
      </c>
      <c r="V17" t="s">
        <v>4095</v>
      </c>
    </row>
    <row r="18" spans="1:22" x14ac:dyDescent="0.25">
      <c r="A18" t="s">
        <v>2066</v>
      </c>
      <c r="B18" t="s">
        <v>1229</v>
      </c>
      <c r="D18" t="s">
        <v>1171</v>
      </c>
      <c r="E18" t="s">
        <v>50</v>
      </c>
      <c r="F18" t="s">
        <v>45</v>
      </c>
      <c r="I18" t="s">
        <v>1998</v>
      </c>
      <c r="J18" t="s">
        <v>1999</v>
      </c>
      <c r="K18" t="s">
        <v>2000</v>
      </c>
      <c r="L18" t="s">
        <v>2066</v>
      </c>
      <c r="N18" s="30" t="s">
        <v>2001</v>
      </c>
      <c r="O18" s="30" t="s">
        <v>1179</v>
      </c>
      <c r="P18" s="30">
        <v>1542</v>
      </c>
      <c r="Q18" s="30" t="s">
        <v>2067</v>
      </c>
      <c r="R18" s="30" t="s">
        <v>2002</v>
      </c>
      <c r="S18" s="30" t="s">
        <v>2068</v>
      </c>
      <c r="T18" t="s">
        <v>2069</v>
      </c>
      <c r="U18" t="s">
        <v>4096</v>
      </c>
      <c r="V18" t="s">
        <v>4075</v>
      </c>
    </row>
    <row r="19" spans="1:22" x14ac:dyDescent="0.25">
      <c r="A19" t="s">
        <v>2070</v>
      </c>
      <c r="B19" t="s">
        <v>1214</v>
      </c>
      <c r="D19" t="s">
        <v>1171</v>
      </c>
      <c r="E19" t="s">
        <v>50</v>
      </c>
      <c r="F19" t="s">
        <v>45</v>
      </c>
      <c r="I19" t="s">
        <v>1998</v>
      </c>
      <c r="J19" t="s">
        <v>2071</v>
      </c>
      <c r="L19" t="s">
        <v>2070</v>
      </c>
      <c r="N19" s="30" t="s">
        <v>2001</v>
      </c>
      <c r="O19" s="30" t="s">
        <v>1991</v>
      </c>
      <c r="P19" s="30">
        <v>1410</v>
      </c>
      <c r="Q19" s="30" t="s">
        <v>2051</v>
      </c>
      <c r="R19" s="30" t="s">
        <v>2002</v>
      </c>
      <c r="S19" s="30" t="s">
        <v>2072</v>
      </c>
      <c r="T19" t="s">
        <v>2073</v>
      </c>
      <c r="U19" t="s">
        <v>4097</v>
      </c>
      <c r="V19" t="s">
        <v>4098</v>
      </c>
    </row>
    <row r="20" spans="1:22" x14ac:dyDescent="0.25">
      <c r="A20" t="s">
        <v>2074</v>
      </c>
      <c r="B20" t="s">
        <v>1193</v>
      </c>
      <c r="D20" t="s">
        <v>1171</v>
      </c>
      <c r="E20" t="s">
        <v>50</v>
      </c>
      <c r="F20" t="s">
        <v>45</v>
      </c>
      <c r="I20" t="s">
        <v>2046</v>
      </c>
      <c r="J20" t="s">
        <v>2047</v>
      </c>
      <c r="L20" t="s">
        <v>2074</v>
      </c>
      <c r="N20" s="30" t="s">
        <v>2048</v>
      </c>
      <c r="O20" s="30" t="s">
        <v>2049</v>
      </c>
      <c r="P20" s="30" t="s">
        <v>2050</v>
      </c>
      <c r="Q20" s="30" t="s">
        <v>2075</v>
      </c>
      <c r="R20" s="30" t="s">
        <v>2002</v>
      </c>
      <c r="S20" s="30" t="s">
        <v>2076</v>
      </c>
      <c r="T20" t="s">
        <v>2077</v>
      </c>
      <c r="U20" t="s">
        <v>4099</v>
      </c>
      <c r="V20" t="s">
        <v>4090</v>
      </c>
    </row>
    <row r="21" spans="1:22" x14ac:dyDescent="0.25">
      <c r="A21" t="s">
        <v>2078</v>
      </c>
      <c r="B21" t="s">
        <v>1232</v>
      </c>
      <c r="D21" t="s">
        <v>1171</v>
      </c>
      <c r="E21" t="s">
        <v>50</v>
      </c>
      <c r="F21" t="s">
        <v>45</v>
      </c>
      <c r="I21" t="s">
        <v>2046</v>
      </c>
      <c r="J21" t="s">
        <v>2047</v>
      </c>
      <c r="L21" t="s">
        <v>2078</v>
      </c>
      <c r="N21" s="30" t="s">
        <v>2048</v>
      </c>
      <c r="O21" s="30" t="s">
        <v>2049</v>
      </c>
      <c r="P21" s="30" t="s">
        <v>2050</v>
      </c>
      <c r="Q21" s="30" t="s">
        <v>1987</v>
      </c>
      <c r="R21" s="30" t="s">
        <v>2002</v>
      </c>
      <c r="S21" s="30" t="s">
        <v>2079</v>
      </c>
      <c r="T21" t="s">
        <v>2080</v>
      </c>
      <c r="U21" t="s">
        <v>4100</v>
      </c>
      <c r="V21" t="s">
        <v>4090</v>
      </c>
    </row>
    <row r="22" spans="1:22" x14ac:dyDescent="0.25">
      <c r="A22" t="s">
        <v>2081</v>
      </c>
      <c r="B22" t="s">
        <v>1233</v>
      </c>
      <c r="D22" t="s">
        <v>1171</v>
      </c>
      <c r="E22" t="s">
        <v>50</v>
      </c>
      <c r="F22" t="s">
        <v>45</v>
      </c>
      <c r="I22" t="s">
        <v>1998</v>
      </c>
      <c r="J22" t="s">
        <v>1999</v>
      </c>
      <c r="K22" t="s">
        <v>2055</v>
      </c>
      <c r="L22" t="s">
        <v>2081</v>
      </c>
      <c r="N22" s="30" t="s">
        <v>2001</v>
      </c>
      <c r="O22" s="30" t="s">
        <v>1179</v>
      </c>
      <c r="P22" s="30">
        <v>1544</v>
      </c>
      <c r="Q22" s="30" t="s">
        <v>2082</v>
      </c>
      <c r="R22" s="30" t="s">
        <v>2002</v>
      </c>
      <c r="S22" s="30" t="s">
        <v>2083</v>
      </c>
      <c r="T22" t="s">
        <v>2084</v>
      </c>
      <c r="U22" t="s">
        <v>4101</v>
      </c>
      <c r="V22" t="s">
        <v>4092</v>
      </c>
    </row>
    <row r="23" spans="1:22" x14ac:dyDescent="0.25">
      <c r="A23" t="s">
        <v>2085</v>
      </c>
      <c r="B23" t="s">
        <v>1220</v>
      </c>
      <c r="D23" t="s">
        <v>1171</v>
      </c>
      <c r="E23" t="s">
        <v>50</v>
      </c>
      <c r="F23" t="s">
        <v>45</v>
      </c>
      <c r="I23" t="s">
        <v>2046</v>
      </c>
      <c r="J23" t="s">
        <v>2047</v>
      </c>
      <c r="L23" t="s">
        <v>2085</v>
      </c>
      <c r="N23" s="30" t="s">
        <v>2048</v>
      </c>
      <c r="O23" s="30" t="s">
        <v>2049</v>
      </c>
      <c r="P23" s="30" t="s">
        <v>2050</v>
      </c>
      <c r="Q23" s="30" t="s">
        <v>2086</v>
      </c>
      <c r="R23" s="30" t="s">
        <v>2002</v>
      </c>
      <c r="S23" s="30" t="s">
        <v>2087</v>
      </c>
      <c r="T23" t="s">
        <v>2088</v>
      </c>
      <c r="U23" t="s">
        <v>4102</v>
      </c>
      <c r="V23" t="s">
        <v>4090</v>
      </c>
    </row>
    <row r="24" spans="1:22" x14ac:dyDescent="0.25">
      <c r="A24" t="s">
        <v>2089</v>
      </c>
      <c r="B24" t="s">
        <v>1692</v>
      </c>
      <c r="D24" t="s">
        <v>1171</v>
      </c>
      <c r="E24" t="s">
        <v>50</v>
      </c>
      <c r="F24" t="s">
        <v>59</v>
      </c>
      <c r="H24" t="s">
        <v>60</v>
      </c>
      <c r="I24" t="s">
        <v>2046</v>
      </c>
      <c r="J24" t="s">
        <v>2090</v>
      </c>
      <c r="K24" t="s">
        <v>2089</v>
      </c>
      <c r="N24" s="30" t="s">
        <v>2048</v>
      </c>
      <c r="O24" s="30" t="s">
        <v>2091</v>
      </c>
      <c r="P24" s="30">
        <v>1800</v>
      </c>
      <c r="Q24" s="30" t="s">
        <v>2002</v>
      </c>
      <c r="R24" s="30" t="s">
        <v>2002</v>
      </c>
      <c r="S24" s="30" t="s">
        <v>2092</v>
      </c>
      <c r="T24" t="s">
        <v>2093</v>
      </c>
      <c r="U24" t="s">
        <v>4103</v>
      </c>
      <c r="V24" t="s">
        <v>4104</v>
      </c>
    </row>
    <row r="25" spans="1:22" x14ac:dyDescent="0.25">
      <c r="A25" t="s">
        <v>2094</v>
      </c>
      <c r="B25" t="s">
        <v>1237</v>
      </c>
      <c r="D25" t="s">
        <v>1171</v>
      </c>
      <c r="E25" t="s">
        <v>50</v>
      </c>
      <c r="F25" t="s">
        <v>45</v>
      </c>
      <c r="I25" t="s">
        <v>2046</v>
      </c>
      <c r="J25" t="s">
        <v>2047</v>
      </c>
      <c r="L25" t="s">
        <v>2094</v>
      </c>
      <c r="N25" s="30" t="s">
        <v>2048</v>
      </c>
      <c r="O25" s="30" t="s">
        <v>2049</v>
      </c>
      <c r="P25" s="30" t="s">
        <v>2050</v>
      </c>
      <c r="Q25" s="30" t="s">
        <v>2095</v>
      </c>
      <c r="R25" s="30" t="s">
        <v>2002</v>
      </c>
      <c r="S25" s="30" t="s">
        <v>2096</v>
      </c>
      <c r="T25" t="s">
        <v>2097</v>
      </c>
      <c r="U25" t="s">
        <v>4105</v>
      </c>
      <c r="V25" t="s">
        <v>4090</v>
      </c>
    </row>
    <row r="26" spans="1:22" x14ac:dyDescent="0.25">
      <c r="A26" t="s">
        <v>2098</v>
      </c>
      <c r="B26" t="s">
        <v>1182</v>
      </c>
      <c r="D26" t="s">
        <v>1171</v>
      </c>
      <c r="E26" t="s">
        <v>50</v>
      </c>
      <c r="F26" t="s">
        <v>315</v>
      </c>
      <c r="I26" t="s">
        <v>1998</v>
      </c>
      <c r="J26" t="s">
        <v>1999</v>
      </c>
      <c r="K26" t="s">
        <v>2011</v>
      </c>
      <c r="L26" t="s">
        <v>2030</v>
      </c>
      <c r="M26" t="s">
        <v>2098</v>
      </c>
      <c r="N26" s="30" t="s">
        <v>2001</v>
      </c>
      <c r="O26" s="30" t="s">
        <v>1179</v>
      </c>
      <c r="P26" s="30">
        <v>1541</v>
      </c>
      <c r="Q26" s="30" t="s">
        <v>2031</v>
      </c>
      <c r="R26" s="30" t="s">
        <v>2099</v>
      </c>
      <c r="S26" s="30" t="s">
        <v>2100</v>
      </c>
      <c r="T26" t="s">
        <v>2101</v>
      </c>
      <c r="U26" t="s">
        <v>4106</v>
      </c>
      <c r="V26" t="s">
        <v>4086</v>
      </c>
    </row>
    <row r="27" spans="1:22" x14ac:dyDescent="0.25">
      <c r="A27" t="s">
        <v>2102</v>
      </c>
      <c r="B27" t="s">
        <v>1183</v>
      </c>
      <c r="D27" t="s">
        <v>1171</v>
      </c>
      <c r="E27" t="s">
        <v>50</v>
      </c>
      <c r="F27" t="s">
        <v>315</v>
      </c>
      <c r="I27" t="s">
        <v>1998</v>
      </c>
      <c r="J27" t="s">
        <v>1999</v>
      </c>
      <c r="K27" t="s">
        <v>2011</v>
      </c>
      <c r="L27" t="s">
        <v>2030</v>
      </c>
      <c r="M27" t="s">
        <v>2102</v>
      </c>
      <c r="N27" s="30" t="s">
        <v>2001</v>
      </c>
      <c r="O27" s="30" t="s">
        <v>1179</v>
      </c>
      <c r="P27" s="30">
        <v>1541</v>
      </c>
      <c r="Q27" s="30" t="s">
        <v>2031</v>
      </c>
      <c r="R27" s="30" t="s">
        <v>2051</v>
      </c>
      <c r="S27" s="30" t="s">
        <v>2103</v>
      </c>
      <c r="T27" t="s">
        <v>2104</v>
      </c>
      <c r="U27" t="s">
        <v>4107</v>
      </c>
      <c r="V27" t="s">
        <v>4086</v>
      </c>
    </row>
    <row r="28" spans="1:22" x14ac:dyDescent="0.25">
      <c r="A28" t="s">
        <v>2108</v>
      </c>
      <c r="B28" t="s">
        <v>1206</v>
      </c>
      <c r="D28" t="s">
        <v>1171</v>
      </c>
      <c r="E28" t="s">
        <v>50</v>
      </c>
      <c r="F28" t="s">
        <v>45</v>
      </c>
      <c r="I28" t="s">
        <v>2046</v>
      </c>
      <c r="J28" t="s">
        <v>2047</v>
      </c>
      <c r="L28" t="s">
        <v>2108</v>
      </c>
      <c r="N28" s="30" t="s">
        <v>2048</v>
      </c>
      <c r="O28" s="30" t="s">
        <v>2049</v>
      </c>
      <c r="P28" s="30" t="s">
        <v>2050</v>
      </c>
      <c r="Q28" s="30" t="s">
        <v>2099</v>
      </c>
      <c r="R28" s="30" t="s">
        <v>2002</v>
      </c>
      <c r="S28" s="30" t="s">
        <v>2109</v>
      </c>
      <c r="T28" t="s">
        <v>2110</v>
      </c>
      <c r="U28" t="s">
        <v>4108</v>
      </c>
      <c r="V28" t="s">
        <v>4090</v>
      </c>
    </row>
    <row r="29" spans="1:22" x14ac:dyDescent="0.25">
      <c r="A29" t="s">
        <v>2111</v>
      </c>
      <c r="B29" t="s">
        <v>1223</v>
      </c>
      <c r="D29" t="s">
        <v>1171</v>
      </c>
      <c r="E29" t="s">
        <v>50</v>
      </c>
      <c r="F29" t="s">
        <v>315</v>
      </c>
      <c r="I29" t="s">
        <v>1998</v>
      </c>
      <c r="J29" t="s">
        <v>1999</v>
      </c>
      <c r="K29" t="s">
        <v>2000</v>
      </c>
      <c r="L29" t="s">
        <v>1997</v>
      </c>
      <c r="M29" t="s">
        <v>2111</v>
      </c>
      <c r="N29" s="30" t="s">
        <v>2001</v>
      </c>
      <c r="O29" s="30" t="s">
        <v>1179</v>
      </c>
      <c r="P29" s="30">
        <v>1542</v>
      </c>
      <c r="Q29" s="30" t="s">
        <v>1984</v>
      </c>
      <c r="R29" s="30" t="s">
        <v>2051</v>
      </c>
      <c r="S29" s="30" t="s">
        <v>2112</v>
      </c>
      <c r="T29" t="s">
        <v>2113</v>
      </c>
      <c r="U29" t="s">
        <v>4109</v>
      </c>
      <c r="V29" t="s">
        <v>4074</v>
      </c>
    </row>
    <row r="30" spans="1:22" x14ac:dyDescent="0.25">
      <c r="A30" t="s">
        <v>2114</v>
      </c>
      <c r="B30" t="s">
        <v>1224</v>
      </c>
      <c r="D30" t="s">
        <v>1171</v>
      </c>
      <c r="E30" t="s">
        <v>50</v>
      </c>
      <c r="F30" t="s">
        <v>315</v>
      </c>
      <c r="I30" t="s">
        <v>1998</v>
      </c>
      <c r="J30" t="s">
        <v>1999</v>
      </c>
      <c r="K30" t="s">
        <v>2000</v>
      </c>
      <c r="L30" t="s">
        <v>1997</v>
      </c>
      <c r="M30" t="s">
        <v>2114</v>
      </c>
      <c r="N30" s="30" t="s">
        <v>2001</v>
      </c>
      <c r="O30" s="30" t="s">
        <v>1179</v>
      </c>
      <c r="P30" s="30">
        <v>1542</v>
      </c>
      <c r="Q30" s="30" t="s">
        <v>1984</v>
      </c>
      <c r="R30" s="30" t="s">
        <v>2099</v>
      </c>
      <c r="S30" s="30" t="s">
        <v>2115</v>
      </c>
      <c r="T30" t="s">
        <v>2116</v>
      </c>
      <c r="U30" t="s">
        <v>4110</v>
      </c>
      <c r="V30" t="s">
        <v>4074</v>
      </c>
    </row>
    <row r="31" spans="1:22" x14ac:dyDescent="0.25">
      <c r="A31" t="s">
        <v>2117</v>
      </c>
      <c r="B31" t="s">
        <v>1714</v>
      </c>
      <c r="D31" t="s">
        <v>1171</v>
      </c>
      <c r="E31" t="s">
        <v>50</v>
      </c>
      <c r="F31" t="s">
        <v>45</v>
      </c>
      <c r="H31" t="s">
        <v>60</v>
      </c>
      <c r="I31" t="s">
        <v>1998</v>
      </c>
      <c r="J31" t="s">
        <v>2118</v>
      </c>
      <c r="K31" t="s">
        <v>2119</v>
      </c>
      <c r="L31" t="s">
        <v>2117</v>
      </c>
      <c r="N31" s="30" t="s">
        <v>2001</v>
      </c>
      <c r="O31" s="30" t="s">
        <v>1988</v>
      </c>
      <c r="P31" s="30">
        <v>1521</v>
      </c>
      <c r="Q31" s="30" t="s">
        <v>2120</v>
      </c>
      <c r="R31" s="30" t="s">
        <v>2002</v>
      </c>
      <c r="S31" s="30" t="s">
        <v>2121</v>
      </c>
      <c r="T31" t="s">
        <v>2122</v>
      </c>
      <c r="U31" t="s">
        <v>4111</v>
      </c>
      <c r="V31" t="s">
        <v>4112</v>
      </c>
    </row>
    <row r="32" spans="1:22" x14ac:dyDescent="0.25">
      <c r="A32" t="s">
        <v>2123</v>
      </c>
      <c r="B32" t="s">
        <v>1715</v>
      </c>
      <c r="D32" t="s">
        <v>1171</v>
      </c>
      <c r="E32" t="s">
        <v>50</v>
      </c>
      <c r="F32" t="s">
        <v>45</v>
      </c>
      <c r="H32" t="s">
        <v>60</v>
      </c>
      <c r="I32" t="s">
        <v>1998</v>
      </c>
      <c r="J32" t="s">
        <v>2118</v>
      </c>
      <c r="K32" t="s">
        <v>2119</v>
      </c>
      <c r="L32" t="s">
        <v>2123</v>
      </c>
      <c r="N32" s="30" t="s">
        <v>2001</v>
      </c>
      <c r="O32" s="30" t="s">
        <v>1988</v>
      </c>
      <c r="P32" s="30">
        <v>1521</v>
      </c>
      <c r="Q32" s="30" t="s">
        <v>2124</v>
      </c>
      <c r="R32" s="30" t="s">
        <v>2002</v>
      </c>
      <c r="S32" s="30" t="s">
        <v>2125</v>
      </c>
      <c r="T32" t="s">
        <v>2126</v>
      </c>
      <c r="U32" t="s">
        <v>4113</v>
      </c>
      <c r="V32" t="s">
        <v>4112</v>
      </c>
    </row>
    <row r="33" spans="1:22" x14ac:dyDescent="0.25">
      <c r="A33" t="s">
        <v>2127</v>
      </c>
      <c r="B33" t="s">
        <v>1704</v>
      </c>
      <c r="D33" t="s">
        <v>1171</v>
      </c>
      <c r="E33" t="s">
        <v>50</v>
      </c>
      <c r="F33" t="s">
        <v>45</v>
      </c>
      <c r="H33" t="s">
        <v>60</v>
      </c>
      <c r="I33" t="s">
        <v>1998</v>
      </c>
      <c r="J33" t="s">
        <v>2128</v>
      </c>
      <c r="K33" t="s">
        <v>2129</v>
      </c>
      <c r="L33" t="s">
        <v>2127</v>
      </c>
      <c r="N33" s="30" t="s">
        <v>2001</v>
      </c>
      <c r="O33" s="30" t="s">
        <v>2130</v>
      </c>
      <c r="P33" s="30">
        <v>1513</v>
      </c>
      <c r="Q33" s="30" t="s">
        <v>2124</v>
      </c>
      <c r="R33" s="30" t="s">
        <v>2002</v>
      </c>
      <c r="S33" s="30" t="s">
        <v>2131</v>
      </c>
      <c r="T33" t="s">
        <v>2132</v>
      </c>
      <c r="U33" t="s">
        <v>4114</v>
      </c>
      <c r="V33" t="s">
        <v>4115</v>
      </c>
    </row>
    <row r="34" spans="1:22" x14ac:dyDescent="0.25">
      <c r="A34" t="s">
        <v>2133</v>
      </c>
      <c r="B34" t="s">
        <v>1238</v>
      </c>
      <c r="D34" t="s">
        <v>1171</v>
      </c>
      <c r="E34" t="s">
        <v>50</v>
      </c>
      <c r="F34" t="s">
        <v>45</v>
      </c>
      <c r="I34" t="s">
        <v>2046</v>
      </c>
      <c r="J34" t="s">
        <v>2047</v>
      </c>
      <c r="L34" t="s">
        <v>2133</v>
      </c>
      <c r="N34" s="30" t="s">
        <v>2048</v>
      </c>
      <c r="O34" s="30" t="s">
        <v>2049</v>
      </c>
      <c r="P34" s="30" t="s">
        <v>2050</v>
      </c>
      <c r="Q34" s="30" t="s">
        <v>2134</v>
      </c>
      <c r="R34" s="30" t="s">
        <v>2002</v>
      </c>
      <c r="S34" s="30" t="s">
        <v>2135</v>
      </c>
      <c r="T34" t="s">
        <v>2136</v>
      </c>
      <c r="U34" t="s">
        <v>4116</v>
      </c>
      <c r="V34" t="s">
        <v>4090</v>
      </c>
    </row>
    <row r="35" spans="1:22" x14ac:dyDescent="0.25">
      <c r="A35" t="s">
        <v>2137</v>
      </c>
      <c r="B35" t="s">
        <v>1200</v>
      </c>
      <c r="D35" t="s">
        <v>1171</v>
      </c>
      <c r="E35" t="s">
        <v>50</v>
      </c>
      <c r="F35" t="s">
        <v>315</v>
      </c>
      <c r="I35" t="s">
        <v>1998</v>
      </c>
      <c r="J35" t="s">
        <v>1999</v>
      </c>
      <c r="K35" t="s">
        <v>2006</v>
      </c>
      <c r="L35" t="s">
        <v>2063</v>
      </c>
      <c r="M35" t="s">
        <v>2137</v>
      </c>
      <c r="N35" s="30" t="s">
        <v>2001</v>
      </c>
      <c r="O35" s="30" t="s">
        <v>1179</v>
      </c>
      <c r="P35" s="30">
        <v>1543</v>
      </c>
      <c r="Q35" s="30" t="s">
        <v>2036</v>
      </c>
      <c r="R35" s="30" t="s">
        <v>2051</v>
      </c>
      <c r="S35" s="30" t="s">
        <v>2138</v>
      </c>
      <c r="T35" t="s">
        <v>2139</v>
      </c>
      <c r="U35" t="s">
        <v>4117</v>
      </c>
      <c r="V35" t="s">
        <v>4094</v>
      </c>
    </row>
    <row r="36" spans="1:22" x14ac:dyDescent="0.25">
      <c r="A36" t="s">
        <v>2140</v>
      </c>
      <c r="B36" t="s">
        <v>1201</v>
      </c>
      <c r="D36" t="s">
        <v>1171</v>
      </c>
      <c r="E36" t="s">
        <v>50</v>
      </c>
      <c r="F36" t="s">
        <v>315</v>
      </c>
      <c r="I36" t="s">
        <v>1998</v>
      </c>
      <c r="J36" t="s">
        <v>1999</v>
      </c>
      <c r="K36" t="s">
        <v>2006</v>
      </c>
      <c r="L36" t="s">
        <v>2063</v>
      </c>
      <c r="M36" t="s">
        <v>2140</v>
      </c>
      <c r="N36" s="30" t="s">
        <v>2001</v>
      </c>
      <c r="O36" s="30" t="s">
        <v>1179</v>
      </c>
      <c r="P36" s="30">
        <v>1543</v>
      </c>
      <c r="Q36" s="30" t="s">
        <v>2036</v>
      </c>
      <c r="R36" s="30" t="s">
        <v>2099</v>
      </c>
      <c r="S36" s="30" t="s">
        <v>2141</v>
      </c>
      <c r="T36" t="s">
        <v>2142</v>
      </c>
      <c r="U36" t="s">
        <v>4118</v>
      </c>
      <c r="V36" t="s">
        <v>4094</v>
      </c>
    </row>
    <row r="37" spans="1:22" x14ac:dyDescent="0.25">
      <c r="A37" t="s">
        <v>2143</v>
      </c>
      <c r="B37" t="s">
        <v>1202</v>
      </c>
      <c r="D37" t="s">
        <v>1171</v>
      </c>
      <c r="E37" t="s">
        <v>50</v>
      </c>
      <c r="F37" t="s">
        <v>315</v>
      </c>
      <c r="I37" t="s">
        <v>1998</v>
      </c>
      <c r="J37" t="s">
        <v>1999</v>
      </c>
      <c r="K37" t="s">
        <v>2006</v>
      </c>
      <c r="L37" t="s">
        <v>2063</v>
      </c>
      <c r="M37" t="s">
        <v>2143</v>
      </c>
      <c r="N37" s="30" t="s">
        <v>2001</v>
      </c>
      <c r="O37" s="30" t="s">
        <v>1179</v>
      </c>
      <c r="P37" s="30">
        <v>1543</v>
      </c>
      <c r="Q37" s="30" t="s">
        <v>2036</v>
      </c>
      <c r="R37" s="30" t="s">
        <v>2040</v>
      </c>
      <c r="S37" s="30" t="s">
        <v>2144</v>
      </c>
      <c r="T37" t="s">
        <v>2145</v>
      </c>
      <c r="U37" t="s">
        <v>4119</v>
      </c>
      <c r="V37" t="s">
        <v>4094</v>
      </c>
    </row>
    <row r="38" spans="1:22" x14ac:dyDescent="0.25">
      <c r="A38" t="s">
        <v>3082</v>
      </c>
      <c r="B38" t="s">
        <v>1211</v>
      </c>
      <c r="D38" t="s">
        <v>1171</v>
      </c>
      <c r="E38" t="s">
        <v>50</v>
      </c>
      <c r="F38" t="s">
        <v>315</v>
      </c>
      <c r="I38" t="s">
        <v>2046</v>
      </c>
      <c r="J38" t="s">
        <v>2047</v>
      </c>
      <c r="L38" t="s">
        <v>2106</v>
      </c>
      <c r="M38" t="s">
        <v>2146</v>
      </c>
      <c r="N38" s="30" t="s">
        <v>2048</v>
      </c>
      <c r="O38" s="30" t="s">
        <v>2049</v>
      </c>
      <c r="P38" s="30" t="s">
        <v>2050</v>
      </c>
      <c r="Q38" s="30" t="s">
        <v>2032</v>
      </c>
      <c r="R38" s="30" t="s">
        <v>2099</v>
      </c>
      <c r="S38" s="30" t="s">
        <v>2147</v>
      </c>
      <c r="T38" t="s">
        <v>2148</v>
      </c>
      <c r="U38" t="s">
        <v>4120</v>
      </c>
      <c r="V38" t="s">
        <v>4121</v>
      </c>
    </row>
    <row r="39" spans="1:22" x14ac:dyDescent="0.25">
      <c r="A39" t="s">
        <v>2149</v>
      </c>
      <c r="B39" t="s">
        <v>1703</v>
      </c>
      <c r="D39" t="s">
        <v>1171</v>
      </c>
      <c r="E39" t="s">
        <v>50</v>
      </c>
      <c r="F39" t="s">
        <v>315</v>
      </c>
      <c r="H39" t="s">
        <v>60</v>
      </c>
      <c r="I39" t="s">
        <v>1998</v>
      </c>
      <c r="J39" t="s">
        <v>2128</v>
      </c>
      <c r="K39" t="s">
        <v>2129</v>
      </c>
      <c r="L39" t="s">
        <v>2150</v>
      </c>
      <c r="M39" t="s">
        <v>2149</v>
      </c>
      <c r="N39" s="30" t="s">
        <v>2001</v>
      </c>
      <c r="O39" s="30" t="s">
        <v>2130</v>
      </c>
      <c r="P39" s="30">
        <v>1512</v>
      </c>
      <c r="Q39" s="30" t="s">
        <v>2120</v>
      </c>
      <c r="R39" s="30" t="s">
        <v>2051</v>
      </c>
      <c r="S39" s="30" t="s">
        <v>2151</v>
      </c>
      <c r="T39" t="s">
        <v>2152</v>
      </c>
      <c r="U39" t="s">
        <v>4122</v>
      </c>
      <c r="V39" t="s">
        <v>4123</v>
      </c>
    </row>
    <row r="40" spans="1:22" x14ac:dyDescent="0.25">
      <c r="A40" t="s">
        <v>2153</v>
      </c>
      <c r="B40" t="s">
        <v>1700</v>
      </c>
      <c r="D40" t="s">
        <v>1171</v>
      </c>
      <c r="E40" t="s">
        <v>50</v>
      </c>
      <c r="F40" t="s">
        <v>315</v>
      </c>
      <c r="H40" t="s">
        <v>60</v>
      </c>
      <c r="I40" t="s">
        <v>1998</v>
      </c>
      <c r="J40" t="s">
        <v>2128</v>
      </c>
      <c r="K40" t="s">
        <v>2129</v>
      </c>
      <c r="L40" t="s">
        <v>2150</v>
      </c>
      <c r="M40" t="s">
        <v>2153</v>
      </c>
      <c r="N40" s="30" t="s">
        <v>2001</v>
      </c>
      <c r="O40" s="30" t="s">
        <v>2130</v>
      </c>
      <c r="P40" s="30">
        <v>1512</v>
      </c>
      <c r="Q40" s="30" t="s">
        <v>2120</v>
      </c>
      <c r="R40" s="30" t="s">
        <v>2099</v>
      </c>
      <c r="S40" s="30" t="s">
        <v>2154</v>
      </c>
      <c r="T40" t="s">
        <v>2155</v>
      </c>
      <c r="U40" t="s">
        <v>4124</v>
      </c>
      <c r="V40" t="s">
        <v>4123</v>
      </c>
    </row>
    <row r="41" spans="1:22" x14ac:dyDescent="0.25">
      <c r="A41" t="s">
        <v>2156</v>
      </c>
      <c r="B41" t="s">
        <v>1701</v>
      </c>
      <c r="D41" t="s">
        <v>1171</v>
      </c>
      <c r="E41" t="s">
        <v>50</v>
      </c>
      <c r="F41" t="s">
        <v>315</v>
      </c>
      <c r="H41" t="s">
        <v>60</v>
      </c>
      <c r="I41" t="s">
        <v>1998</v>
      </c>
      <c r="J41" t="s">
        <v>2128</v>
      </c>
      <c r="K41" t="s">
        <v>2129</v>
      </c>
      <c r="L41" t="s">
        <v>2150</v>
      </c>
      <c r="M41" t="s">
        <v>2156</v>
      </c>
      <c r="N41" s="30" t="s">
        <v>2001</v>
      </c>
      <c r="O41" s="30" t="s">
        <v>2130</v>
      </c>
      <c r="P41" s="30">
        <v>1512</v>
      </c>
      <c r="Q41" s="30" t="s">
        <v>2120</v>
      </c>
      <c r="R41" s="30" t="s">
        <v>2040</v>
      </c>
      <c r="S41" s="30" t="s">
        <v>2157</v>
      </c>
      <c r="T41" t="s">
        <v>2158</v>
      </c>
      <c r="U41" t="s">
        <v>4125</v>
      </c>
      <c r="V41" t="s">
        <v>4123</v>
      </c>
    </row>
    <row r="42" spans="1:22" x14ac:dyDescent="0.25">
      <c r="A42" t="s">
        <v>2159</v>
      </c>
      <c r="B42" t="s">
        <v>1699</v>
      </c>
      <c r="D42" t="s">
        <v>1171</v>
      </c>
      <c r="E42" t="s">
        <v>50</v>
      </c>
      <c r="F42" t="s">
        <v>315</v>
      </c>
      <c r="H42" t="s">
        <v>60</v>
      </c>
      <c r="I42" t="s">
        <v>1998</v>
      </c>
      <c r="J42" t="s">
        <v>2128</v>
      </c>
      <c r="K42" t="s">
        <v>2129</v>
      </c>
      <c r="L42" t="s">
        <v>2150</v>
      </c>
      <c r="M42" t="s">
        <v>2159</v>
      </c>
      <c r="N42" s="30" t="s">
        <v>2001</v>
      </c>
      <c r="O42" s="30" t="s">
        <v>2130</v>
      </c>
      <c r="P42" s="30">
        <v>1512</v>
      </c>
      <c r="Q42" s="30" t="s">
        <v>2120</v>
      </c>
      <c r="R42" s="30" t="s">
        <v>2032</v>
      </c>
      <c r="S42" s="30" t="s">
        <v>2160</v>
      </c>
      <c r="T42" t="s">
        <v>2161</v>
      </c>
      <c r="U42" t="s">
        <v>4126</v>
      </c>
      <c r="V42" t="s">
        <v>4123</v>
      </c>
    </row>
    <row r="43" spans="1:22" x14ac:dyDescent="0.25">
      <c r="A43" t="s">
        <v>2162</v>
      </c>
      <c r="B43" t="s">
        <v>1702</v>
      </c>
      <c r="D43" t="s">
        <v>1171</v>
      </c>
      <c r="E43" t="s">
        <v>50</v>
      </c>
      <c r="F43" t="s">
        <v>315</v>
      </c>
      <c r="H43" t="s">
        <v>60</v>
      </c>
      <c r="I43" t="s">
        <v>1998</v>
      </c>
      <c r="J43" t="s">
        <v>2128</v>
      </c>
      <c r="K43" t="s">
        <v>2129</v>
      </c>
      <c r="L43" t="s">
        <v>2150</v>
      </c>
      <c r="M43" t="s">
        <v>2162</v>
      </c>
      <c r="N43" s="30" t="s">
        <v>2001</v>
      </c>
      <c r="O43" s="30" t="s">
        <v>2130</v>
      </c>
      <c r="P43" s="30">
        <v>1512</v>
      </c>
      <c r="Q43" s="30" t="s">
        <v>2120</v>
      </c>
      <c r="R43" s="30" t="s">
        <v>2012</v>
      </c>
      <c r="S43" s="30" t="s">
        <v>2163</v>
      </c>
      <c r="T43" t="s">
        <v>2164</v>
      </c>
      <c r="U43" t="s">
        <v>4127</v>
      </c>
      <c r="V43" t="s">
        <v>4123</v>
      </c>
    </row>
    <row r="44" spans="1:22" x14ac:dyDescent="0.25">
      <c r="A44" t="s">
        <v>2165</v>
      </c>
      <c r="B44" t="s">
        <v>1215</v>
      </c>
      <c r="D44" t="s">
        <v>1171</v>
      </c>
      <c r="E44" t="s">
        <v>50</v>
      </c>
      <c r="F44" t="s">
        <v>315</v>
      </c>
      <c r="I44" t="s">
        <v>1998</v>
      </c>
      <c r="J44" t="s">
        <v>2071</v>
      </c>
      <c r="L44" t="s">
        <v>2070</v>
      </c>
      <c r="M44" t="s">
        <v>2165</v>
      </c>
      <c r="N44" s="30" t="s">
        <v>2001</v>
      </c>
      <c r="O44" s="30" t="s">
        <v>1991</v>
      </c>
      <c r="P44" s="30">
        <v>1410</v>
      </c>
      <c r="Q44" s="30" t="s">
        <v>2051</v>
      </c>
      <c r="R44" s="30" t="s">
        <v>2051</v>
      </c>
      <c r="S44" s="30" t="s">
        <v>2166</v>
      </c>
      <c r="T44" t="s">
        <v>2167</v>
      </c>
      <c r="U44" t="s">
        <v>4128</v>
      </c>
      <c r="V44" t="s">
        <v>4097</v>
      </c>
    </row>
    <row r="45" spans="1:22" x14ac:dyDescent="0.25">
      <c r="A45" t="s">
        <v>2168</v>
      </c>
      <c r="B45" t="s">
        <v>1217</v>
      </c>
      <c r="D45" t="s">
        <v>1171</v>
      </c>
      <c r="E45" t="s">
        <v>50</v>
      </c>
      <c r="F45" t="s">
        <v>315</v>
      </c>
      <c r="I45" t="s">
        <v>1998</v>
      </c>
      <c r="J45" t="s">
        <v>2071</v>
      </c>
      <c r="L45" t="s">
        <v>2070</v>
      </c>
      <c r="M45" t="s">
        <v>2168</v>
      </c>
      <c r="N45" s="30" t="s">
        <v>2001</v>
      </c>
      <c r="O45" s="30" t="s">
        <v>1991</v>
      </c>
      <c r="P45" s="30">
        <v>1410</v>
      </c>
      <c r="Q45" s="30" t="s">
        <v>2051</v>
      </c>
      <c r="R45" s="30" t="s">
        <v>2040</v>
      </c>
      <c r="S45" s="30" t="s">
        <v>2169</v>
      </c>
      <c r="T45" t="s">
        <v>2170</v>
      </c>
      <c r="U45" t="s">
        <v>4129</v>
      </c>
      <c r="V45" t="s">
        <v>4097</v>
      </c>
    </row>
    <row r="46" spans="1:22" x14ac:dyDescent="0.25">
      <c r="A46" t="s">
        <v>2171</v>
      </c>
      <c r="B46" t="s">
        <v>1216</v>
      </c>
      <c r="D46" t="s">
        <v>1171</v>
      </c>
      <c r="E46" t="s">
        <v>50</v>
      </c>
      <c r="F46" t="s">
        <v>315</v>
      </c>
      <c r="I46" t="s">
        <v>1998</v>
      </c>
      <c r="J46" t="s">
        <v>2071</v>
      </c>
      <c r="L46" t="s">
        <v>2070</v>
      </c>
      <c r="M46" t="s">
        <v>2171</v>
      </c>
      <c r="N46" s="30" t="s">
        <v>2001</v>
      </c>
      <c r="O46" s="30" t="s">
        <v>1991</v>
      </c>
      <c r="P46" s="30">
        <v>1410</v>
      </c>
      <c r="Q46" s="30" t="s">
        <v>2051</v>
      </c>
      <c r="R46" s="30" t="s">
        <v>2099</v>
      </c>
      <c r="S46" s="30" t="s">
        <v>2172</v>
      </c>
      <c r="T46" t="s">
        <v>2173</v>
      </c>
      <c r="U46" t="s">
        <v>4130</v>
      </c>
      <c r="V46" t="s">
        <v>4097</v>
      </c>
    </row>
    <row r="47" spans="1:22" x14ac:dyDescent="0.25">
      <c r="A47" t="s">
        <v>2174</v>
      </c>
      <c r="B47" t="s">
        <v>1218</v>
      </c>
      <c r="D47" t="s">
        <v>1171</v>
      </c>
      <c r="E47" t="s">
        <v>50</v>
      </c>
      <c r="F47" t="s">
        <v>315</v>
      </c>
      <c r="I47" t="s">
        <v>1998</v>
      </c>
      <c r="J47" t="s">
        <v>2071</v>
      </c>
      <c r="L47" t="s">
        <v>2070</v>
      </c>
      <c r="M47" t="s">
        <v>2174</v>
      </c>
      <c r="N47" s="30" t="s">
        <v>2001</v>
      </c>
      <c r="O47" s="30" t="s">
        <v>1991</v>
      </c>
      <c r="P47" s="30">
        <v>1410</v>
      </c>
      <c r="Q47" s="30" t="s">
        <v>2051</v>
      </c>
      <c r="R47" s="30" t="s">
        <v>2032</v>
      </c>
      <c r="S47" s="30" t="s">
        <v>2175</v>
      </c>
      <c r="T47" t="s">
        <v>2176</v>
      </c>
      <c r="U47" t="s">
        <v>4131</v>
      </c>
      <c r="V47" t="s">
        <v>4097</v>
      </c>
    </row>
    <row r="48" spans="1:22" x14ac:dyDescent="0.25">
      <c r="A48" t="s">
        <v>2177</v>
      </c>
      <c r="B48" t="s">
        <v>1197</v>
      </c>
      <c r="D48" t="s">
        <v>1171</v>
      </c>
      <c r="E48" t="s">
        <v>50</v>
      </c>
      <c r="F48" t="s">
        <v>315</v>
      </c>
      <c r="I48" t="s">
        <v>2046</v>
      </c>
      <c r="J48" t="s">
        <v>2047</v>
      </c>
      <c r="L48" t="s">
        <v>2957</v>
      </c>
      <c r="M48" t="s">
        <v>2177</v>
      </c>
      <c r="N48" s="30" t="s">
        <v>2048</v>
      </c>
      <c r="O48" s="30" t="s">
        <v>2049</v>
      </c>
      <c r="P48" s="30" t="s">
        <v>2050</v>
      </c>
      <c r="Q48" s="30" t="s">
        <v>2178</v>
      </c>
      <c r="R48" s="30" t="s">
        <v>2099</v>
      </c>
      <c r="S48" s="30" t="s">
        <v>2179</v>
      </c>
      <c r="T48" t="s">
        <v>2180</v>
      </c>
      <c r="U48" t="s">
        <v>4132</v>
      </c>
      <c r="V48" t="s">
        <v>4133</v>
      </c>
    </row>
    <row r="49" spans="1:22" x14ac:dyDescent="0.25">
      <c r="A49" t="s">
        <v>2181</v>
      </c>
      <c r="B49" t="s">
        <v>1198</v>
      </c>
      <c r="D49" t="s">
        <v>1171</v>
      </c>
      <c r="E49" t="s">
        <v>50</v>
      </c>
      <c r="F49" t="s">
        <v>315</v>
      </c>
      <c r="I49" t="s">
        <v>2046</v>
      </c>
      <c r="J49" t="s">
        <v>2047</v>
      </c>
      <c r="L49" t="s">
        <v>2957</v>
      </c>
      <c r="M49" t="s">
        <v>2181</v>
      </c>
      <c r="N49" s="30" t="s">
        <v>2048</v>
      </c>
      <c r="O49" s="30" t="s">
        <v>2049</v>
      </c>
      <c r="P49" s="30" t="s">
        <v>2050</v>
      </c>
      <c r="Q49" s="30" t="s">
        <v>2178</v>
      </c>
      <c r="R49" s="30" t="s">
        <v>2051</v>
      </c>
      <c r="S49" s="30" t="s">
        <v>2182</v>
      </c>
      <c r="T49" t="s">
        <v>2183</v>
      </c>
      <c r="U49" t="s">
        <v>4134</v>
      </c>
      <c r="V49" t="s">
        <v>4133</v>
      </c>
    </row>
    <row r="50" spans="1:22" x14ac:dyDescent="0.25">
      <c r="A50" t="s">
        <v>2184</v>
      </c>
      <c r="B50" t="s">
        <v>1687</v>
      </c>
      <c r="D50" t="s">
        <v>1171</v>
      </c>
      <c r="E50" t="s">
        <v>50</v>
      </c>
      <c r="F50" t="s">
        <v>59</v>
      </c>
      <c r="H50" t="s">
        <v>60</v>
      </c>
      <c r="I50" t="s">
        <v>2046</v>
      </c>
      <c r="J50" t="s">
        <v>2185</v>
      </c>
      <c r="K50" t="s">
        <v>2184</v>
      </c>
      <c r="N50" s="30" t="s">
        <v>2048</v>
      </c>
      <c r="O50" s="30" t="s">
        <v>2186</v>
      </c>
      <c r="P50" s="30">
        <v>1800</v>
      </c>
      <c r="Q50" s="30" t="s">
        <v>2002</v>
      </c>
      <c r="R50" s="30" t="s">
        <v>2002</v>
      </c>
      <c r="S50" s="30" t="s">
        <v>2187</v>
      </c>
      <c r="T50" t="s">
        <v>2188</v>
      </c>
      <c r="U50" t="s">
        <v>4135</v>
      </c>
      <c r="V50" t="s">
        <v>4136</v>
      </c>
    </row>
    <row r="51" spans="1:22" x14ac:dyDescent="0.25">
      <c r="A51" t="s">
        <v>2957</v>
      </c>
      <c r="B51" t="s">
        <v>1196</v>
      </c>
      <c r="D51" t="s">
        <v>1171</v>
      </c>
      <c r="E51" t="s">
        <v>50</v>
      </c>
      <c r="F51" t="s">
        <v>45</v>
      </c>
      <c r="I51" t="s">
        <v>2046</v>
      </c>
      <c r="J51" t="s">
        <v>2047</v>
      </c>
      <c r="L51" t="s">
        <v>2957</v>
      </c>
      <c r="N51" s="30" t="s">
        <v>2048</v>
      </c>
      <c r="O51" s="30" t="s">
        <v>2049</v>
      </c>
      <c r="P51" s="30" t="s">
        <v>2050</v>
      </c>
      <c r="Q51" s="30" t="s">
        <v>2178</v>
      </c>
      <c r="R51" s="30" t="s">
        <v>2002</v>
      </c>
      <c r="S51" s="30" t="s">
        <v>2189</v>
      </c>
      <c r="T51" t="s">
        <v>2190</v>
      </c>
      <c r="U51" t="s">
        <v>4133</v>
      </c>
      <c r="V51" t="s">
        <v>4090</v>
      </c>
    </row>
    <row r="52" spans="1:22" x14ac:dyDescent="0.25">
      <c r="A52" t="s">
        <v>2958</v>
      </c>
      <c r="B52" t="s">
        <v>1188</v>
      </c>
      <c r="C52" t="s">
        <v>2959</v>
      </c>
      <c r="D52" t="s">
        <v>1171</v>
      </c>
      <c r="E52" t="s">
        <v>50</v>
      </c>
      <c r="F52" t="s">
        <v>45</v>
      </c>
      <c r="H52" t="s">
        <v>80</v>
      </c>
      <c r="I52" t="s">
        <v>1998</v>
      </c>
      <c r="J52" t="s">
        <v>1999</v>
      </c>
      <c r="K52" t="s">
        <v>2011</v>
      </c>
      <c r="L52" t="s">
        <v>2958</v>
      </c>
      <c r="N52" s="30" t="s">
        <v>2001</v>
      </c>
      <c r="O52" s="30" t="s">
        <v>1179</v>
      </c>
      <c r="Q52" s="30" t="s">
        <v>2960</v>
      </c>
      <c r="R52" s="30" t="s">
        <v>2002</v>
      </c>
      <c r="S52" s="30" t="s">
        <v>2961</v>
      </c>
      <c r="T52" t="s">
        <v>3079</v>
      </c>
      <c r="U52" t="s">
        <v>4137</v>
      </c>
      <c r="V52" t="s">
        <v>4079</v>
      </c>
    </row>
    <row r="53" spans="1:22" x14ac:dyDescent="0.25">
      <c r="A53" t="s">
        <v>2962</v>
      </c>
      <c r="B53" t="s">
        <v>1208</v>
      </c>
      <c r="C53" t="s">
        <v>2959</v>
      </c>
      <c r="D53" t="s">
        <v>1171</v>
      </c>
      <c r="E53" t="s">
        <v>50</v>
      </c>
      <c r="F53" t="s">
        <v>45</v>
      </c>
      <c r="G53" t="s">
        <v>77</v>
      </c>
      <c r="H53" t="s">
        <v>80</v>
      </c>
      <c r="I53" t="s">
        <v>1998</v>
      </c>
      <c r="J53" t="s">
        <v>1999</v>
      </c>
      <c r="L53" t="s">
        <v>2962</v>
      </c>
      <c r="N53" s="30" t="s">
        <v>2001</v>
      </c>
      <c r="O53" s="30" t="s">
        <v>1179</v>
      </c>
      <c r="P53" s="30">
        <v>1543</v>
      </c>
      <c r="Q53" s="30" t="s">
        <v>2960</v>
      </c>
      <c r="R53" s="30" t="s">
        <v>2002</v>
      </c>
      <c r="T53" t="s">
        <v>3080</v>
      </c>
      <c r="U53" t="s">
        <v>4138</v>
      </c>
      <c r="V53" t="s">
        <v>4095</v>
      </c>
    </row>
    <row r="54" spans="1:22" x14ac:dyDescent="0.25">
      <c r="A54" t="s">
        <v>2191</v>
      </c>
      <c r="B54" t="s">
        <v>1245</v>
      </c>
      <c r="D54" t="s">
        <v>1171</v>
      </c>
      <c r="E54" t="s">
        <v>1246</v>
      </c>
      <c r="F54" t="s">
        <v>45</v>
      </c>
      <c r="I54" t="s">
        <v>2046</v>
      </c>
      <c r="J54" t="s">
        <v>2047</v>
      </c>
      <c r="L54" t="s">
        <v>2191</v>
      </c>
      <c r="N54" s="30" t="s">
        <v>2048</v>
      </c>
      <c r="O54" s="30" t="s">
        <v>2049</v>
      </c>
      <c r="P54" s="30" t="s">
        <v>2050</v>
      </c>
      <c r="Q54" s="30" t="s">
        <v>2056</v>
      </c>
      <c r="R54" s="30" t="s">
        <v>2002</v>
      </c>
      <c r="S54" s="30" t="s">
        <v>2192</v>
      </c>
      <c r="T54" t="s">
        <v>2193</v>
      </c>
      <c r="U54" t="s">
        <v>4139</v>
      </c>
      <c r="V54" t="s">
        <v>4090</v>
      </c>
    </row>
    <row r="55" spans="1:22" x14ac:dyDescent="0.25">
      <c r="A55" t="s">
        <v>2194</v>
      </c>
      <c r="B55" t="s">
        <v>1207</v>
      </c>
      <c r="D55" t="s">
        <v>1171</v>
      </c>
      <c r="E55" t="s">
        <v>50</v>
      </c>
      <c r="F55" t="s">
        <v>45</v>
      </c>
      <c r="I55" t="s">
        <v>2046</v>
      </c>
      <c r="J55" t="s">
        <v>2047</v>
      </c>
      <c r="L55" t="s">
        <v>2194</v>
      </c>
      <c r="N55" s="30" t="s">
        <v>2048</v>
      </c>
      <c r="O55" s="30" t="s">
        <v>2049</v>
      </c>
      <c r="P55" s="30" t="s">
        <v>2050</v>
      </c>
      <c r="Q55" s="30" t="s">
        <v>2040</v>
      </c>
      <c r="R55" s="30" t="s">
        <v>2002</v>
      </c>
      <c r="S55" s="30" t="s">
        <v>2195</v>
      </c>
      <c r="T55" t="s">
        <v>2196</v>
      </c>
      <c r="U55" t="s">
        <v>4140</v>
      </c>
      <c r="V55" t="s">
        <v>4090</v>
      </c>
    </row>
    <row r="56" spans="1:22" x14ac:dyDescent="0.25">
      <c r="A56" t="s">
        <v>2197</v>
      </c>
      <c r="B56" t="s">
        <v>1225</v>
      </c>
      <c r="D56" t="s">
        <v>1171</v>
      </c>
      <c r="E56" t="s">
        <v>50</v>
      </c>
      <c r="F56" t="s">
        <v>45</v>
      </c>
      <c r="I56" t="s">
        <v>1998</v>
      </c>
      <c r="J56" t="s">
        <v>1999</v>
      </c>
      <c r="K56" t="s">
        <v>2011</v>
      </c>
      <c r="L56" t="s">
        <v>2197</v>
      </c>
      <c r="N56" s="30" t="s">
        <v>2001</v>
      </c>
      <c r="O56" s="30" t="s">
        <v>1179</v>
      </c>
      <c r="P56" s="30">
        <v>1541</v>
      </c>
      <c r="Q56" s="30" t="s">
        <v>2032</v>
      </c>
      <c r="R56" s="30" t="s">
        <v>2002</v>
      </c>
      <c r="S56" s="30" t="s">
        <v>2198</v>
      </c>
      <c r="T56" t="s">
        <v>2199</v>
      </c>
      <c r="U56" t="s">
        <v>4141</v>
      </c>
      <c r="V56" t="s">
        <v>4079</v>
      </c>
    </row>
    <row r="57" spans="1:22" x14ac:dyDescent="0.25">
      <c r="A57" t="s">
        <v>2200</v>
      </c>
      <c r="B57" t="s">
        <v>1764</v>
      </c>
      <c r="D57" t="s">
        <v>1171</v>
      </c>
      <c r="E57" t="s">
        <v>50</v>
      </c>
      <c r="F57" t="s">
        <v>59</v>
      </c>
      <c r="H57" t="s">
        <v>60</v>
      </c>
      <c r="I57" t="s">
        <v>2046</v>
      </c>
      <c r="J57" t="s">
        <v>2090</v>
      </c>
      <c r="K57" t="s">
        <v>2200</v>
      </c>
      <c r="N57" s="30" t="s">
        <v>2048</v>
      </c>
      <c r="O57" s="30" t="s">
        <v>2091</v>
      </c>
      <c r="P57" s="30">
        <v>5612</v>
      </c>
      <c r="Q57" s="30" t="s">
        <v>2002</v>
      </c>
      <c r="R57" s="30" t="s">
        <v>2002</v>
      </c>
      <c r="S57" s="30" t="s">
        <v>2201</v>
      </c>
      <c r="T57" t="s">
        <v>2202</v>
      </c>
      <c r="U57" t="s">
        <v>4142</v>
      </c>
      <c r="V57" t="s">
        <v>4104</v>
      </c>
    </row>
    <row r="58" spans="1:22" x14ac:dyDescent="0.25">
      <c r="A58" t="s">
        <v>2203</v>
      </c>
      <c r="B58" t="s">
        <v>1723</v>
      </c>
      <c r="D58" t="s">
        <v>1171</v>
      </c>
      <c r="E58" t="s">
        <v>50</v>
      </c>
      <c r="F58" t="s">
        <v>45</v>
      </c>
      <c r="H58" t="s">
        <v>60</v>
      </c>
      <c r="I58" t="s">
        <v>1998</v>
      </c>
      <c r="J58" t="s">
        <v>2118</v>
      </c>
      <c r="K58" t="s">
        <v>2204</v>
      </c>
      <c r="L58" t="s">
        <v>2203</v>
      </c>
      <c r="N58" s="30" t="s">
        <v>2001</v>
      </c>
      <c r="O58" s="30" t="s">
        <v>1988</v>
      </c>
      <c r="P58" s="30">
        <v>5680</v>
      </c>
      <c r="Q58" s="30" t="s">
        <v>2205</v>
      </c>
      <c r="R58" s="30" t="s">
        <v>2002</v>
      </c>
      <c r="S58" s="30" t="s">
        <v>2206</v>
      </c>
      <c r="T58" t="s">
        <v>2207</v>
      </c>
      <c r="U58" t="s">
        <v>4143</v>
      </c>
      <c r="V58" t="s">
        <v>4144</v>
      </c>
    </row>
    <row r="59" spans="1:22" x14ac:dyDescent="0.25">
      <c r="A59" t="s">
        <v>2208</v>
      </c>
      <c r="B59" t="s">
        <v>1720</v>
      </c>
      <c r="D59" t="s">
        <v>1171</v>
      </c>
      <c r="E59" t="s">
        <v>50</v>
      </c>
      <c r="F59" t="s">
        <v>45</v>
      </c>
      <c r="H59" t="s">
        <v>60</v>
      </c>
      <c r="I59" t="s">
        <v>1998</v>
      </c>
      <c r="J59" t="s">
        <v>2118</v>
      </c>
      <c r="K59" t="s">
        <v>2204</v>
      </c>
      <c r="L59" t="s">
        <v>2208</v>
      </c>
      <c r="N59" s="30" t="s">
        <v>2001</v>
      </c>
      <c r="O59" s="30" t="s">
        <v>1988</v>
      </c>
      <c r="P59" s="30">
        <v>5680</v>
      </c>
      <c r="Q59" s="30" t="s">
        <v>2120</v>
      </c>
      <c r="R59" s="30" t="s">
        <v>2002</v>
      </c>
      <c r="S59" s="30" t="s">
        <v>2209</v>
      </c>
      <c r="T59" t="s">
        <v>2210</v>
      </c>
      <c r="U59" t="s">
        <v>4145</v>
      </c>
      <c r="V59" t="s">
        <v>4144</v>
      </c>
    </row>
    <row r="60" spans="1:22" x14ac:dyDescent="0.25">
      <c r="A60" t="s">
        <v>2211</v>
      </c>
      <c r="B60" t="s">
        <v>1727</v>
      </c>
      <c r="D60" t="s">
        <v>1171</v>
      </c>
      <c r="E60" t="s">
        <v>50</v>
      </c>
      <c r="F60" t="s">
        <v>45</v>
      </c>
      <c r="H60" t="s">
        <v>60</v>
      </c>
      <c r="I60" t="s">
        <v>1998</v>
      </c>
      <c r="J60" t="s">
        <v>2118</v>
      </c>
      <c r="K60" t="s">
        <v>2212</v>
      </c>
      <c r="L60" t="s">
        <v>2211</v>
      </c>
      <c r="N60" s="30" t="s">
        <v>2001</v>
      </c>
      <c r="O60" s="30" t="s">
        <v>1988</v>
      </c>
      <c r="P60" s="30">
        <v>5690</v>
      </c>
      <c r="Q60" s="30" t="s">
        <v>2120</v>
      </c>
      <c r="R60" s="30" t="s">
        <v>2002</v>
      </c>
      <c r="S60" s="30" t="s">
        <v>2213</v>
      </c>
      <c r="T60" t="s">
        <v>2214</v>
      </c>
      <c r="U60" t="s">
        <v>4146</v>
      </c>
      <c r="V60" t="s">
        <v>4147</v>
      </c>
    </row>
    <row r="61" spans="1:22" x14ac:dyDescent="0.25">
      <c r="A61" t="s">
        <v>2215</v>
      </c>
      <c r="B61" t="s">
        <v>1726</v>
      </c>
      <c r="D61" t="s">
        <v>1171</v>
      </c>
      <c r="E61" t="s">
        <v>50</v>
      </c>
      <c r="F61" t="s">
        <v>45</v>
      </c>
      <c r="H61" t="s">
        <v>60</v>
      </c>
      <c r="I61" t="s">
        <v>1998</v>
      </c>
      <c r="J61" t="s">
        <v>2118</v>
      </c>
      <c r="K61" t="s">
        <v>2216</v>
      </c>
      <c r="L61" t="s">
        <v>2215</v>
      </c>
      <c r="N61" s="30" t="s">
        <v>2001</v>
      </c>
      <c r="O61" s="30" t="s">
        <v>1988</v>
      </c>
      <c r="P61" s="30">
        <v>5670</v>
      </c>
      <c r="Q61" s="30" t="s">
        <v>2120</v>
      </c>
      <c r="R61" s="30" t="s">
        <v>2002</v>
      </c>
      <c r="S61" s="30" t="s">
        <v>2217</v>
      </c>
      <c r="T61" t="s">
        <v>2218</v>
      </c>
      <c r="U61" t="s">
        <v>4148</v>
      </c>
      <c r="V61" t="s">
        <v>4149</v>
      </c>
    </row>
    <row r="62" spans="1:22" x14ac:dyDescent="0.25">
      <c r="A62" t="s">
        <v>2119</v>
      </c>
      <c r="B62" t="s">
        <v>1711</v>
      </c>
      <c r="D62" t="s">
        <v>1171</v>
      </c>
      <c r="E62" t="s">
        <v>50</v>
      </c>
      <c r="F62" t="s">
        <v>59</v>
      </c>
      <c r="H62" t="s">
        <v>60</v>
      </c>
      <c r="I62" t="s">
        <v>1998</v>
      </c>
      <c r="J62" t="s">
        <v>2118</v>
      </c>
      <c r="K62" t="s">
        <v>2119</v>
      </c>
      <c r="N62" s="30" t="s">
        <v>2001</v>
      </c>
      <c r="O62" s="30" t="s">
        <v>1988</v>
      </c>
      <c r="P62" s="30">
        <v>1521</v>
      </c>
      <c r="Q62" s="30" t="s">
        <v>2002</v>
      </c>
      <c r="R62" s="30" t="s">
        <v>2002</v>
      </c>
      <c r="S62" s="30" t="s">
        <v>2219</v>
      </c>
      <c r="T62" t="s">
        <v>2220</v>
      </c>
      <c r="U62" t="s">
        <v>4112</v>
      </c>
      <c r="V62" t="s">
        <v>4150</v>
      </c>
    </row>
    <row r="63" spans="1:22" x14ac:dyDescent="0.25">
      <c r="A63" t="s">
        <v>2221</v>
      </c>
      <c r="B63" t="s">
        <v>1203</v>
      </c>
      <c r="D63" t="s">
        <v>1171</v>
      </c>
      <c r="E63" t="s">
        <v>50</v>
      </c>
      <c r="F63" t="s">
        <v>315</v>
      </c>
      <c r="I63" t="s">
        <v>1998</v>
      </c>
      <c r="J63" t="s">
        <v>1999</v>
      </c>
      <c r="K63" t="s">
        <v>2006</v>
      </c>
      <c r="L63" t="s">
        <v>2063</v>
      </c>
      <c r="M63" t="s">
        <v>2221</v>
      </c>
      <c r="N63" s="30" t="s">
        <v>2001</v>
      </c>
      <c r="O63" s="30" t="s">
        <v>1179</v>
      </c>
      <c r="P63" s="30">
        <v>1543</v>
      </c>
      <c r="Q63" s="30" t="s">
        <v>2036</v>
      </c>
      <c r="R63" s="30" t="s">
        <v>2032</v>
      </c>
      <c r="S63" s="30" t="s">
        <v>2222</v>
      </c>
      <c r="T63" t="s">
        <v>2223</v>
      </c>
      <c r="U63" t="s">
        <v>4151</v>
      </c>
      <c r="V63" t="s">
        <v>4094</v>
      </c>
    </row>
    <row r="64" spans="1:22" x14ac:dyDescent="0.25">
      <c r="A64" t="s">
        <v>2224</v>
      </c>
      <c r="B64" t="s">
        <v>1204</v>
      </c>
      <c r="D64" t="s">
        <v>1171</v>
      </c>
      <c r="E64" t="s">
        <v>50</v>
      </c>
      <c r="F64" t="s">
        <v>315</v>
      </c>
      <c r="I64" t="s">
        <v>1998</v>
      </c>
      <c r="J64" t="s">
        <v>1999</v>
      </c>
      <c r="K64" t="s">
        <v>2006</v>
      </c>
      <c r="L64" t="s">
        <v>2063</v>
      </c>
      <c r="M64" t="s">
        <v>2224</v>
      </c>
      <c r="N64" s="30" t="s">
        <v>2001</v>
      </c>
      <c r="O64" s="30" t="s">
        <v>1179</v>
      </c>
      <c r="P64" s="30">
        <v>1543</v>
      </c>
      <c r="Q64" s="30" t="s">
        <v>2036</v>
      </c>
      <c r="R64" s="30" t="s">
        <v>2012</v>
      </c>
      <c r="S64" s="30" t="s">
        <v>2225</v>
      </c>
      <c r="T64" t="s">
        <v>2226</v>
      </c>
      <c r="U64" t="s">
        <v>4152</v>
      </c>
      <c r="V64" t="s">
        <v>4094</v>
      </c>
    </row>
    <row r="65" spans="1:22" x14ac:dyDescent="0.25">
      <c r="A65" t="s">
        <v>2150</v>
      </c>
      <c r="B65" t="s">
        <v>1698</v>
      </c>
      <c r="D65" t="s">
        <v>1171</v>
      </c>
      <c r="E65" t="s">
        <v>50</v>
      </c>
      <c r="F65" t="s">
        <v>45</v>
      </c>
      <c r="H65" t="s">
        <v>60</v>
      </c>
      <c r="I65" t="s">
        <v>1998</v>
      </c>
      <c r="J65" t="s">
        <v>2128</v>
      </c>
      <c r="K65" t="s">
        <v>2129</v>
      </c>
      <c r="L65" t="s">
        <v>2150</v>
      </c>
      <c r="N65" s="30" t="s">
        <v>2001</v>
      </c>
      <c r="O65" s="30" t="s">
        <v>2130</v>
      </c>
      <c r="P65" s="30">
        <v>1512</v>
      </c>
      <c r="Q65" s="30" t="s">
        <v>2120</v>
      </c>
      <c r="R65" s="30" t="s">
        <v>2002</v>
      </c>
      <c r="S65" s="30" t="s">
        <v>2227</v>
      </c>
      <c r="T65" t="s">
        <v>2228</v>
      </c>
      <c r="U65" t="s">
        <v>4123</v>
      </c>
      <c r="V65" t="s">
        <v>4115</v>
      </c>
    </row>
    <row r="66" spans="1:22" x14ac:dyDescent="0.25">
      <c r="A66" t="s">
        <v>2229</v>
      </c>
      <c r="B66" t="s">
        <v>1716</v>
      </c>
      <c r="D66" t="s">
        <v>1171</v>
      </c>
      <c r="E66" t="s">
        <v>50</v>
      </c>
      <c r="F66" t="s">
        <v>45</v>
      </c>
      <c r="H66" t="s">
        <v>60</v>
      </c>
      <c r="I66" t="s">
        <v>1998</v>
      </c>
      <c r="J66" t="s">
        <v>2118</v>
      </c>
      <c r="K66" t="s">
        <v>2119</v>
      </c>
      <c r="L66" t="s">
        <v>2229</v>
      </c>
      <c r="N66" s="30" t="s">
        <v>2001</v>
      </c>
      <c r="O66" s="30" t="s">
        <v>1988</v>
      </c>
      <c r="P66" s="30">
        <v>1521</v>
      </c>
      <c r="Q66" s="30" t="s">
        <v>2205</v>
      </c>
      <c r="R66" s="30" t="s">
        <v>2002</v>
      </c>
      <c r="S66" s="30" t="s">
        <v>2230</v>
      </c>
      <c r="T66" t="s">
        <v>2231</v>
      </c>
      <c r="U66" t="s">
        <v>4153</v>
      </c>
      <c r="V66" t="s">
        <v>4112</v>
      </c>
    </row>
    <row r="67" spans="1:22" x14ac:dyDescent="0.25">
      <c r="A67" t="s">
        <v>2232</v>
      </c>
      <c r="B67" t="s">
        <v>1717</v>
      </c>
      <c r="D67" t="s">
        <v>1171</v>
      </c>
      <c r="E67" t="s">
        <v>50</v>
      </c>
      <c r="F67" t="s">
        <v>45</v>
      </c>
      <c r="H67" t="s">
        <v>60</v>
      </c>
      <c r="I67" t="s">
        <v>1998</v>
      </c>
      <c r="J67" t="s">
        <v>2118</v>
      </c>
      <c r="K67" t="s">
        <v>2119</v>
      </c>
      <c r="L67" t="s">
        <v>2232</v>
      </c>
      <c r="N67" s="30" t="s">
        <v>2001</v>
      </c>
      <c r="O67" s="30" t="s">
        <v>1988</v>
      </c>
      <c r="P67" s="30">
        <v>1521</v>
      </c>
      <c r="Q67" s="30" t="s">
        <v>2233</v>
      </c>
      <c r="R67" s="30" t="s">
        <v>2002</v>
      </c>
      <c r="S67" s="30" t="s">
        <v>2234</v>
      </c>
      <c r="T67" t="s">
        <v>2235</v>
      </c>
      <c r="U67" t="s">
        <v>4154</v>
      </c>
      <c r="V67" t="s">
        <v>4112</v>
      </c>
    </row>
    <row r="68" spans="1:22" x14ac:dyDescent="0.25">
      <c r="A68" t="s">
        <v>2236</v>
      </c>
      <c r="B68" t="s">
        <v>1713</v>
      </c>
      <c r="D68" t="s">
        <v>1171</v>
      </c>
      <c r="E68" t="s">
        <v>50</v>
      </c>
      <c r="F68" t="s">
        <v>45</v>
      </c>
      <c r="H68" t="s">
        <v>60</v>
      </c>
      <c r="I68" t="s">
        <v>1998</v>
      </c>
      <c r="J68" t="s">
        <v>2118</v>
      </c>
      <c r="K68" t="s">
        <v>2119</v>
      </c>
      <c r="L68" t="s">
        <v>2236</v>
      </c>
      <c r="N68" s="30" t="s">
        <v>2001</v>
      </c>
      <c r="O68" s="30" t="s">
        <v>1988</v>
      </c>
      <c r="P68" s="30">
        <v>1521</v>
      </c>
      <c r="Q68" s="30" t="s">
        <v>2237</v>
      </c>
      <c r="R68" s="30" t="s">
        <v>2002</v>
      </c>
      <c r="S68" s="30" t="s">
        <v>2238</v>
      </c>
      <c r="T68" t="s">
        <v>2239</v>
      </c>
      <c r="U68" t="s">
        <v>4155</v>
      </c>
      <c r="V68" t="s">
        <v>4112</v>
      </c>
    </row>
    <row r="69" spans="1:22" x14ac:dyDescent="0.25">
      <c r="A69" t="s">
        <v>2240</v>
      </c>
      <c r="B69" t="s">
        <v>1712</v>
      </c>
      <c r="D69" t="s">
        <v>1171</v>
      </c>
      <c r="E69" t="s">
        <v>50</v>
      </c>
      <c r="F69" t="s">
        <v>45</v>
      </c>
      <c r="H69" t="s">
        <v>60</v>
      </c>
      <c r="I69" t="s">
        <v>1998</v>
      </c>
      <c r="J69" t="s">
        <v>2118</v>
      </c>
      <c r="K69" t="s">
        <v>2119</v>
      </c>
      <c r="L69" t="s">
        <v>2240</v>
      </c>
      <c r="N69" s="30" t="s">
        <v>2001</v>
      </c>
      <c r="O69" s="30" t="s">
        <v>1988</v>
      </c>
      <c r="P69" s="30">
        <v>1521</v>
      </c>
      <c r="Q69" s="30" t="s">
        <v>2241</v>
      </c>
      <c r="R69" s="30" t="s">
        <v>2002</v>
      </c>
      <c r="S69" s="30" t="s">
        <v>2242</v>
      </c>
      <c r="T69" t="s">
        <v>2243</v>
      </c>
      <c r="U69" t="s">
        <v>4156</v>
      </c>
      <c r="V69" t="s">
        <v>4112</v>
      </c>
    </row>
    <row r="70" spans="1:22" x14ac:dyDescent="0.25">
      <c r="A70" t="s">
        <v>2244</v>
      </c>
      <c r="B70" t="s">
        <v>1722</v>
      </c>
      <c r="D70" t="s">
        <v>1171</v>
      </c>
      <c r="E70" t="s">
        <v>50</v>
      </c>
      <c r="F70" t="s">
        <v>315</v>
      </c>
      <c r="H70" t="s">
        <v>60</v>
      </c>
      <c r="I70" t="s">
        <v>1998</v>
      </c>
      <c r="J70" t="s">
        <v>2118</v>
      </c>
      <c r="K70" t="s">
        <v>2216</v>
      </c>
      <c r="L70" t="s">
        <v>2215</v>
      </c>
      <c r="M70" t="s">
        <v>2244</v>
      </c>
      <c r="N70" s="30" t="s">
        <v>2001</v>
      </c>
      <c r="O70" s="30" t="s">
        <v>1988</v>
      </c>
      <c r="P70" s="30">
        <v>5670</v>
      </c>
      <c r="Q70" s="30" t="s">
        <v>2120</v>
      </c>
      <c r="R70" s="30" t="s">
        <v>2051</v>
      </c>
      <c r="S70" s="30" t="s">
        <v>2245</v>
      </c>
      <c r="T70" t="s">
        <v>2246</v>
      </c>
      <c r="U70" t="s">
        <v>4157</v>
      </c>
      <c r="V70" t="s">
        <v>4148</v>
      </c>
    </row>
    <row r="71" spans="1:22" x14ac:dyDescent="0.25">
      <c r="A71" t="s">
        <v>2247</v>
      </c>
      <c r="B71" t="s">
        <v>1262</v>
      </c>
      <c r="D71" t="s">
        <v>1171</v>
      </c>
      <c r="E71" t="s">
        <v>50</v>
      </c>
      <c r="F71" t="s">
        <v>59</v>
      </c>
      <c r="H71" t="s">
        <v>60</v>
      </c>
      <c r="I71" t="s">
        <v>1998</v>
      </c>
      <c r="J71" t="s">
        <v>2248</v>
      </c>
      <c r="K71" t="s">
        <v>2247</v>
      </c>
      <c r="N71" s="30" t="s">
        <v>2001</v>
      </c>
      <c r="O71" s="30" t="s">
        <v>1261</v>
      </c>
      <c r="P71" s="30">
        <v>1592</v>
      </c>
      <c r="Q71" s="30" t="s">
        <v>2002</v>
      </c>
      <c r="R71" s="30" t="s">
        <v>2002</v>
      </c>
      <c r="S71" s="30" t="s">
        <v>2249</v>
      </c>
      <c r="T71" t="s">
        <v>2250</v>
      </c>
      <c r="U71" t="s">
        <v>4158</v>
      </c>
      <c r="V71" t="s">
        <v>4159</v>
      </c>
    </row>
    <row r="72" spans="1:22" x14ac:dyDescent="0.25">
      <c r="A72" t="s">
        <v>2251</v>
      </c>
      <c r="B72" t="s">
        <v>1279</v>
      </c>
      <c r="D72" t="s">
        <v>1171</v>
      </c>
      <c r="E72" t="s">
        <v>50</v>
      </c>
      <c r="F72" t="s">
        <v>59</v>
      </c>
      <c r="H72" t="s">
        <v>60</v>
      </c>
      <c r="I72" t="s">
        <v>1998</v>
      </c>
      <c r="J72" t="s">
        <v>2252</v>
      </c>
      <c r="K72" t="s">
        <v>2251</v>
      </c>
      <c r="N72" s="30" t="s">
        <v>2001</v>
      </c>
      <c r="O72" s="30" t="s">
        <v>1272</v>
      </c>
      <c r="P72" s="30">
        <v>1585</v>
      </c>
      <c r="Q72" s="30" t="s">
        <v>2002</v>
      </c>
      <c r="R72" s="30" t="s">
        <v>2002</v>
      </c>
      <c r="S72" s="30" t="s">
        <v>2253</v>
      </c>
      <c r="T72" t="s">
        <v>2254</v>
      </c>
      <c r="U72" t="s">
        <v>4160</v>
      </c>
      <c r="V72" t="s">
        <v>4161</v>
      </c>
    </row>
    <row r="73" spans="1:22" x14ac:dyDescent="0.25">
      <c r="A73" t="s">
        <v>2255</v>
      </c>
      <c r="B73" t="s">
        <v>1273</v>
      </c>
      <c r="D73" t="s">
        <v>1171</v>
      </c>
      <c r="E73" t="s">
        <v>50</v>
      </c>
      <c r="F73" t="s">
        <v>59</v>
      </c>
      <c r="H73" t="s">
        <v>60</v>
      </c>
      <c r="I73" t="s">
        <v>1998</v>
      </c>
      <c r="J73" t="s">
        <v>2252</v>
      </c>
      <c r="K73" t="s">
        <v>2255</v>
      </c>
      <c r="N73" s="30" t="s">
        <v>2001</v>
      </c>
      <c r="O73" s="30" t="s">
        <v>1272</v>
      </c>
      <c r="P73" s="30">
        <v>1583</v>
      </c>
      <c r="Q73" s="30" t="s">
        <v>2002</v>
      </c>
      <c r="R73" s="30" t="s">
        <v>2002</v>
      </c>
      <c r="S73" s="30" t="s">
        <v>2256</v>
      </c>
      <c r="T73" t="s">
        <v>2257</v>
      </c>
      <c r="U73" t="s">
        <v>4162</v>
      </c>
      <c r="V73" t="s">
        <v>4161</v>
      </c>
    </row>
    <row r="74" spans="1:22" x14ac:dyDescent="0.25">
      <c r="A74" t="s">
        <v>2258</v>
      </c>
      <c r="B74" t="s">
        <v>1668</v>
      </c>
      <c r="D74" t="s">
        <v>1171</v>
      </c>
      <c r="E74" t="s">
        <v>50</v>
      </c>
      <c r="F74" t="s">
        <v>59</v>
      </c>
      <c r="H74" t="s">
        <v>60</v>
      </c>
      <c r="I74" t="s">
        <v>1998</v>
      </c>
      <c r="J74" t="s">
        <v>2259</v>
      </c>
      <c r="K74" t="s">
        <v>2258</v>
      </c>
      <c r="N74" s="30" t="s">
        <v>2001</v>
      </c>
      <c r="O74" s="30" t="s">
        <v>1667</v>
      </c>
      <c r="P74" s="30">
        <v>1561</v>
      </c>
      <c r="Q74" s="30" t="s">
        <v>2002</v>
      </c>
      <c r="R74" s="30" t="s">
        <v>2002</v>
      </c>
      <c r="S74" s="30" t="s">
        <v>2260</v>
      </c>
      <c r="T74" t="s">
        <v>2261</v>
      </c>
      <c r="U74" t="s">
        <v>4163</v>
      </c>
      <c r="V74" t="s">
        <v>4164</v>
      </c>
    </row>
    <row r="75" spans="1:22" x14ac:dyDescent="0.25">
      <c r="A75" t="s">
        <v>2262</v>
      </c>
      <c r="B75" t="s">
        <v>1705</v>
      </c>
      <c r="D75" t="s">
        <v>1171</v>
      </c>
      <c r="E75" t="s">
        <v>50</v>
      </c>
      <c r="F75" t="s">
        <v>45</v>
      </c>
      <c r="H75" t="s">
        <v>60</v>
      </c>
      <c r="I75" t="s">
        <v>1998</v>
      </c>
      <c r="J75" t="s">
        <v>2128</v>
      </c>
      <c r="K75" t="s">
        <v>2129</v>
      </c>
      <c r="L75" t="s">
        <v>2262</v>
      </c>
      <c r="N75" s="30" t="s">
        <v>2001</v>
      </c>
      <c r="O75" s="30" t="s">
        <v>2130</v>
      </c>
      <c r="P75" s="30">
        <v>1514</v>
      </c>
      <c r="Q75" s="30" t="s">
        <v>2205</v>
      </c>
      <c r="R75" s="30" t="s">
        <v>2002</v>
      </c>
      <c r="S75" s="30" t="s">
        <v>2263</v>
      </c>
      <c r="T75" t="s">
        <v>2264</v>
      </c>
      <c r="U75" t="s">
        <v>4165</v>
      </c>
      <c r="V75" t="s">
        <v>4115</v>
      </c>
    </row>
    <row r="76" spans="1:22" x14ac:dyDescent="0.25">
      <c r="A76" t="s">
        <v>2265</v>
      </c>
      <c r="B76" t="s">
        <v>1718</v>
      </c>
      <c r="D76" t="s">
        <v>1171</v>
      </c>
      <c r="E76" t="s">
        <v>50</v>
      </c>
      <c r="F76" t="s">
        <v>59</v>
      </c>
      <c r="H76" t="s">
        <v>60</v>
      </c>
      <c r="I76" t="s">
        <v>1998</v>
      </c>
      <c r="J76" t="s">
        <v>2118</v>
      </c>
      <c r="K76" t="s">
        <v>2265</v>
      </c>
      <c r="N76" s="30" t="s">
        <v>2001</v>
      </c>
      <c r="O76" s="30" t="s">
        <v>1988</v>
      </c>
      <c r="P76" s="30">
        <v>5660</v>
      </c>
      <c r="Q76" s="30" t="s">
        <v>2002</v>
      </c>
      <c r="R76" s="30" t="s">
        <v>2002</v>
      </c>
      <c r="S76" s="30" t="s">
        <v>2266</v>
      </c>
      <c r="T76" t="s">
        <v>2267</v>
      </c>
      <c r="U76" t="s">
        <v>4166</v>
      </c>
      <c r="V76" t="s">
        <v>4150</v>
      </c>
    </row>
    <row r="77" spans="1:22" x14ac:dyDescent="0.25">
      <c r="A77" t="s">
        <v>2268</v>
      </c>
      <c r="B77" t="s">
        <v>1708</v>
      </c>
      <c r="D77" t="s">
        <v>1171</v>
      </c>
      <c r="E77" t="s">
        <v>50</v>
      </c>
      <c r="F77" t="s">
        <v>59</v>
      </c>
      <c r="H77" t="s">
        <v>60</v>
      </c>
      <c r="I77" t="s">
        <v>1998</v>
      </c>
      <c r="J77" t="s">
        <v>2128</v>
      </c>
      <c r="K77" t="s">
        <v>2268</v>
      </c>
      <c r="N77" s="30" t="s">
        <v>2001</v>
      </c>
      <c r="O77" s="30" t="s">
        <v>2130</v>
      </c>
      <c r="P77" s="30">
        <v>1520</v>
      </c>
      <c r="Q77" s="30" t="s">
        <v>2002</v>
      </c>
      <c r="R77" s="30" t="s">
        <v>2002</v>
      </c>
      <c r="S77" s="30" t="s">
        <v>2269</v>
      </c>
      <c r="T77" t="s">
        <v>2270</v>
      </c>
      <c r="U77" t="s">
        <v>4167</v>
      </c>
      <c r="V77" t="s">
        <v>4168</v>
      </c>
    </row>
    <row r="78" spans="1:22" x14ac:dyDescent="0.25">
      <c r="A78" t="s">
        <v>2271</v>
      </c>
      <c r="B78" t="s">
        <v>1684</v>
      </c>
      <c r="D78" t="s">
        <v>1171</v>
      </c>
      <c r="E78" t="s">
        <v>50</v>
      </c>
      <c r="F78" t="s">
        <v>59</v>
      </c>
      <c r="H78" t="s">
        <v>60</v>
      </c>
      <c r="I78" t="s">
        <v>2046</v>
      </c>
      <c r="J78" t="s">
        <v>2185</v>
      </c>
      <c r="K78" t="s">
        <v>2271</v>
      </c>
      <c r="N78" s="30" t="s">
        <v>2048</v>
      </c>
      <c r="O78" s="30" t="s">
        <v>2186</v>
      </c>
      <c r="P78" s="30">
        <v>2000</v>
      </c>
      <c r="Q78" s="30" t="s">
        <v>2002</v>
      </c>
      <c r="R78" s="30" t="s">
        <v>2002</v>
      </c>
      <c r="S78" s="30" t="s">
        <v>2272</v>
      </c>
      <c r="T78" t="s">
        <v>2273</v>
      </c>
      <c r="U78" t="s">
        <v>4169</v>
      </c>
      <c r="V78" t="s">
        <v>4136</v>
      </c>
    </row>
    <row r="79" spans="1:22" x14ac:dyDescent="0.25">
      <c r="A79" t="s">
        <v>2274</v>
      </c>
      <c r="B79" t="s">
        <v>1724</v>
      </c>
      <c r="D79" t="s">
        <v>1171</v>
      </c>
      <c r="E79" t="s">
        <v>50</v>
      </c>
      <c r="F79" t="s">
        <v>45</v>
      </c>
      <c r="H79" t="s">
        <v>60</v>
      </c>
      <c r="I79" t="s">
        <v>1998</v>
      </c>
      <c r="J79" t="s">
        <v>2118</v>
      </c>
      <c r="K79" t="s">
        <v>2204</v>
      </c>
      <c r="L79" t="s">
        <v>2274</v>
      </c>
      <c r="N79" s="30" t="s">
        <v>2001</v>
      </c>
      <c r="O79" s="30" t="s">
        <v>1988</v>
      </c>
      <c r="P79" s="30">
        <v>5680</v>
      </c>
      <c r="Q79" s="30" t="s">
        <v>2124</v>
      </c>
      <c r="R79" s="30" t="s">
        <v>2002</v>
      </c>
      <c r="S79" s="30" t="s">
        <v>2275</v>
      </c>
      <c r="T79" t="s">
        <v>2276</v>
      </c>
      <c r="U79" t="s">
        <v>4170</v>
      </c>
      <c r="V79" t="s">
        <v>4144</v>
      </c>
    </row>
    <row r="80" spans="1:22" x14ac:dyDescent="0.25">
      <c r="A80" t="s">
        <v>2277</v>
      </c>
      <c r="B80" t="s">
        <v>1759</v>
      </c>
      <c r="D80" t="s">
        <v>1171</v>
      </c>
      <c r="E80" t="s">
        <v>50</v>
      </c>
      <c r="F80" t="s">
        <v>59</v>
      </c>
      <c r="H80" t="s">
        <v>60</v>
      </c>
      <c r="I80" t="s">
        <v>2046</v>
      </c>
      <c r="J80" t="s">
        <v>2090</v>
      </c>
      <c r="K80" t="s">
        <v>2277</v>
      </c>
      <c r="N80" s="30" t="s">
        <v>2048</v>
      </c>
      <c r="O80" s="30" t="s">
        <v>2091</v>
      </c>
      <c r="P80" s="30">
        <v>5611</v>
      </c>
      <c r="Q80" s="30" t="s">
        <v>2002</v>
      </c>
      <c r="R80" s="30" t="s">
        <v>2002</v>
      </c>
      <c r="S80" s="30" t="s">
        <v>2278</v>
      </c>
      <c r="T80" t="s">
        <v>2279</v>
      </c>
      <c r="U80" t="s">
        <v>4171</v>
      </c>
      <c r="V80" t="s">
        <v>4104</v>
      </c>
    </row>
    <row r="81" spans="1:22" x14ac:dyDescent="0.25">
      <c r="A81" t="s">
        <v>2280</v>
      </c>
      <c r="B81" t="s">
        <v>1762</v>
      </c>
      <c r="D81" t="s">
        <v>1171</v>
      </c>
      <c r="E81" t="s">
        <v>50</v>
      </c>
      <c r="F81" t="s">
        <v>45</v>
      </c>
      <c r="H81" t="s">
        <v>60</v>
      </c>
      <c r="I81" t="s">
        <v>2046</v>
      </c>
      <c r="J81" t="s">
        <v>2090</v>
      </c>
      <c r="K81" t="s">
        <v>2277</v>
      </c>
      <c r="L81" t="s">
        <v>2280</v>
      </c>
      <c r="N81" s="30" t="s">
        <v>2048</v>
      </c>
      <c r="O81" s="30" t="s">
        <v>2091</v>
      </c>
      <c r="P81" s="30">
        <v>5611</v>
      </c>
      <c r="Q81" s="30" t="s">
        <v>2051</v>
      </c>
      <c r="R81" s="30" t="s">
        <v>2002</v>
      </c>
      <c r="S81" s="30" t="s">
        <v>2281</v>
      </c>
      <c r="T81" t="s">
        <v>2282</v>
      </c>
      <c r="U81" t="s">
        <v>4172</v>
      </c>
      <c r="V81" t="s">
        <v>4171</v>
      </c>
    </row>
    <row r="82" spans="1:22" x14ac:dyDescent="0.25">
      <c r="A82" t="s">
        <v>2283</v>
      </c>
      <c r="B82" t="s">
        <v>1760</v>
      </c>
      <c r="D82" t="s">
        <v>1171</v>
      </c>
      <c r="E82" t="s">
        <v>50</v>
      </c>
      <c r="F82" t="s">
        <v>45</v>
      </c>
      <c r="H82" t="s">
        <v>60</v>
      </c>
      <c r="I82" t="s">
        <v>2046</v>
      </c>
      <c r="J82" t="s">
        <v>2090</v>
      </c>
      <c r="K82" t="s">
        <v>2277</v>
      </c>
      <c r="L82" t="s">
        <v>2283</v>
      </c>
      <c r="N82" s="30" t="s">
        <v>2048</v>
      </c>
      <c r="O82" s="30" t="s">
        <v>2091</v>
      </c>
      <c r="P82" s="30">
        <v>5611</v>
      </c>
      <c r="Q82" s="30" t="s">
        <v>2040</v>
      </c>
      <c r="R82" s="30" t="s">
        <v>2002</v>
      </c>
      <c r="S82" s="30" t="s">
        <v>2284</v>
      </c>
      <c r="T82" t="s">
        <v>2285</v>
      </c>
      <c r="U82" t="s">
        <v>4173</v>
      </c>
      <c r="V82" t="s">
        <v>4171</v>
      </c>
    </row>
    <row r="83" spans="1:22" x14ac:dyDescent="0.25">
      <c r="A83" t="s">
        <v>2286</v>
      </c>
      <c r="B83" t="s">
        <v>1761</v>
      </c>
      <c r="D83" t="s">
        <v>1171</v>
      </c>
      <c r="E83" t="s">
        <v>50</v>
      </c>
      <c r="F83" t="s">
        <v>45</v>
      </c>
      <c r="H83" t="s">
        <v>60</v>
      </c>
      <c r="I83" t="s">
        <v>2046</v>
      </c>
      <c r="J83" t="s">
        <v>2090</v>
      </c>
      <c r="K83" t="s">
        <v>2277</v>
      </c>
      <c r="L83" t="s">
        <v>2286</v>
      </c>
      <c r="N83" s="30" t="s">
        <v>2048</v>
      </c>
      <c r="O83" s="30" t="s">
        <v>2091</v>
      </c>
      <c r="P83" s="30">
        <v>5611</v>
      </c>
      <c r="Q83" s="30" t="s">
        <v>2099</v>
      </c>
      <c r="R83" s="30" t="s">
        <v>2002</v>
      </c>
      <c r="S83" s="30" t="s">
        <v>2287</v>
      </c>
      <c r="T83" t="s">
        <v>2288</v>
      </c>
      <c r="U83" t="s">
        <v>4174</v>
      </c>
      <c r="V83" t="s">
        <v>4171</v>
      </c>
    </row>
    <row r="84" spans="1:22" x14ac:dyDescent="0.25">
      <c r="A84" t="s">
        <v>2289</v>
      </c>
      <c r="B84" t="s">
        <v>1766</v>
      </c>
      <c r="D84" t="s">
        <v>1171</v>
      </c>
      <c r="E84" t="s">
        <v>50</v>
      </c>
      <c r="F84" t="s">
        <v>59</v>
      </c>
      <c r="H84" t="s">
        <v>60</v>
      </c>
      <c r="I84" t="s">
        <v>2046</v>
      </c>
      <c r="J84" t="s">
        <v>2290</v>
      </c>
      <c r="K84" t="s">
        <v>2289</v>
      </c>
      <c r="N84" s="30" t="s">
        <v>2048</v>
      </c>
      <c r="O84" s="30" t="s">
        <v>2291</v>
      </c>
      <c r="P84" s="30">
        <v>1301</v>
      </c>
      <c r="Q84" s="30" t="s">
        <v>2002</v>
      </c>
      <c r="R84" s="30" t="s">
        <v>2002</v>
      </c>
      <c r="S84" s="30" t="s">
        <v>2292</v>
      </c>
      <c r="T84" t="s">
        <v>2293</v>
      </c>
      <c r="U84" t="s">
        <v>4175</v>
      </c>
      <c r="V84" t="s">
        <v>4176</v>
      </c>
    </row>
    <row r="85" spans="1:22" x14ac:dyDescent="0.25">
      <c r="A85" t="s">
        <v>2294</v>
      </c>
      <c r="B85" t="s">
        <v>1767</v>
      </c>
      <c r="D85" t="s">
        <v>1171</v>
      </c>
      <c r="E85" t="s">
        <v>50</v>
      </c>
      <c r="F85" t="s">
        <v>59</v>
      </c>
      <c r="H85" t="s">
        <v>60</v>
      </c>
      <c r="I85" t="s">
        <v>2046</v>
      </c>
      <c r="J85" t="s">
        <v>2290</v>
      </c>
      <c r="K85" t="s">
        <v>2294</v>
      </c>
      <c r="N85" s="30" t="s">
        <v>2048</v>
      </c>
      <c r="O85" s="30" t="s">
        <v>2291</v>
      </c>
      <c r="P85" s="30">
        <v>1302</v>
      </c>
      <c r="Q85" s="30" t="s">
        <v>2002</v>
      </c>
      <c r="R85" s="30" t="s">
        <v>2002</v>
      </c>
      <c r="S85" s="30" t="s">
        <v>2295</v>
      </c>
      <c r="T85" t="s">
        <v>2296</v>
      </c>
      <c r="U85" t="s">
        <v>4177</v>
      </c>
      <c r="V85" t="s">
        <v>4176</v>
      </c>
    </row>
    <row r="86" spans="1:22" x14ac:dyDescent="0.25">
      <c r="A86" t="s">
        <v>2297</v>
      </c>
      <c r="B86" t="s">
        <v>1763</v>
      </c>
      <c r="D86" t="s">
        <v>1171</v>
      </c>
      <c r="E86" t="s">
        <v>50</v>
      </c>
      <c r="F86" t="s">
        <v>59</v>
      </c>
      <c r="H86" t="s">
        <v>60</v>
      </c>
      <c r="I86" t="s">
        <v>2046</v>
      </c>
      <c r="J86" t="s">
        <v>2185</v>
      </c>
      <c r="K86" t="s">
        <v>2297</v>
      </c>
      <c r="N86" s="30" t="s">
        <v>2048</v>
      </c>
      <c r="O86" s="30" t="s">
        <v>2186</v>
      </c>
      <c r="P86" s="30">
        <v>5700</v>
      </c>
      <c r="Q86" s="30" t="s">
        <v>2002</v>
      </c>
      <c r="R86" s="30" t="s">
        <v>2002</v>
      </c>
      <c r="S86" s="30" t="s">
        <v>2298</v>
      </c>
      <c r="T86" t="s">
        <v>2299</v>
      </c>
      <c r="U86" t="s">
        <v>4178</v>
      </c>
      <c r="V86" t="s">
        <v>4136</v>
      </c>
    </row>
    <row r="87" spans="1:22" x14ac:dyDescent="0.25">
      <c r="A87" t="s">
        <v>2300</v>
      </c>
      <c r="B87" t="s">
        <v>1686</v>
      </c>
      <c r="D87" t="s">
        <v>1171</v>
      </c>
      <c r="E87" t="s">
        <v>50</v>
      </c>
      <c r="F87" t="s">
        <v>59</v>
      </c>
      <c r="H87" t="s">
        <v>60</v>
      </c>
      <c r="I87" t="s">
        <v>2046</v>
      </c>
      <c r="J87" t="s">
        <v>2301</v>
      </c>
      <c r="K87" t="s">
        <v>2300</v>
      </c>
      <c r="N87" s="30" t="s">
        <v>2048</v>
      </c>
      <c r="O87" s="30" t="s">
        <v>2302</v>
      </c>
      <c r="P87" s="30">
        <v>2003</v>
      </c>
      <c r="Q87" s="30" t="s">
        <v>2002</v>
      </c>
      <c r="R87" s="30" t="s">
        <v>2002</v>
      </c>
      <c r="S87" s="30" t="s">
        <v>2303</v>
      </c>
      <c r="T87" t="s">
        <v>2304</v>
      </c>
      <c r="U87" t="s">
        <v>4179</v>
      </c>
      <c r="V87" t="s">
        <v>4180</v>
      </c>
    </row>
    <row r="88" spans="1:22" x14ac:dyDescent="0.25">
      <c r="A88" t="s">
        <v>2305</v>
      </c>
      <c r="B88" t="s">
        <v>1210</v>
      </c>
      <c r="D88" t="s">
        <v>1171</v>
      </c>
      <c r="E88" t="s">
        <v>50</v>
      </c>
      <c r="F88" t="s">
        <v>315</v>
      </c>
      <c r="I88" t="s">
        <v>2046</v>
      </c>
      <c r="J88" t="s">
        <v>2047</v>
      </c>
      <c r="L88" t="s">
        <v>2106</v>
      </c>
      <c r="M88" t="s">
        <v>2305</v>
      </c>
      <c r="N88" s="30" t="s">
        <v>2048</v>
      </c>
      <c r="O88" s="30" t="s">
        <v>2049</v>
      </c>
      <c r="P88" s="30" t="s">
        <v>2050</v>
      </c>
      <c r="Q88" s="30" t="s">
        <v>2032</v>
      </c>
      <c r="R88" s="30" t="s">
        <v>2051</v>
      </c>
      <c r="S88" s="30" t="s">
        <v>2306</v>
      </c>
      <c r="T88" t="s">
        <v>2307</v>
      </c>
      <c r="U88" t="s">
        <v>4181</v>
      </c>
      <c r="V88" t="s">
        <v>4121</v>
      </c>
    </row>
    <row r="89" spans="1:22" x14ac:dyDescent="0.25">
      <c r="A89" t="s">
        <v>2259</v>
      </c>
      <c r="B89" t="s">
        <v>1666</v>
      </c>
      <c r="D89" t="s">
        <v>1171</v>
      </c>
      <c r="E89" t="s">
        <v>50</v>
      </c>
      <c r="F89" t="s">
        <v>180</v>
      </c>
      <c r="H89" t="s">
        <v>60</v>
      </c>
      <c r="I89" t="s">
        <v>1998</v>
      </c>
      <c r="J89" t="s">
        <v>2259</v>
      </c>
      <c r="N89" s="30" t="s">
        <v>2001</v>
      </c>
      <c r="O89" s="30" t="s">
        <v>1667</v>
      </c>
      <c r="P89" s="30" t="s">
        <v>2002</v>
      </c>
      <c r="Q89" s="30" t="s">
        <v>2002</v>
      </c>
      <c r="R89" s="30" t="s">
        <v>2002</v>
      </c>
      <c r="S89" s="30" t="s">
        <v>1667</v>
      </c>
      <c r="T89" t="s">
        <v>2308</v>
      </c>
      <c r="U89" t="s">
        <v>4164</v>
      </c>
      <c r="V89" t="s">
        <v>4084</v>
      </c>
    </row>
    <row r="90" spans="1:22" x14ac:dyDescent="0.25">
      <c r="A90" t="s">
        <v>2301</v>
      </c>
      <c r="B90" t="s">
        <v>1674</v>
      </c>
      <c r="D90" t="s">
        <v>1171</v>
      </c>
      <c r="E90" t="s">
        <v>50</v>
      </c>
      <c r="F90" t="s">
        <v>180</v>
      </c>
      <c r="H90" t="s">
        <v>60</v>
      </c>
      <c r="I90" t="s">
        <v>2046</v>
      </c>
      <c r="J90" t="s">
        <v>2301</v>
      </c>
      <c r="N90" s="30" t="s">
        <v>2048</v>
      </c>
      <c r="O90" s="30" t="s">
        <v>2302</v>
      </c>
      <c r="P90" s="30" t="s">
        <v>2002</v>
      </c>
      <c r="Q90" s="30" t="s">
        <v>2002</v>
      </c>
      <c r="R90" s="30" t="s">
        <v>2002</v>
      </c>
      <c r="S90" s="30" t="s">
        <v>2302</v>
      </c>
      <c r="T90" t="s">
        <v>2309</v>
      </c>
      <c r="U90" t="s">
        <v>4180</v>
      </c>
      <c r="V90" t="s">
        <v>4182</v>
      </c>
    </row>
    <row r="91" spans="1:22" x14ac:dyDescent="0.25">
      <c r="A91" t="s">
        <v>2129</v>
      </c>
      <c r="B91" t="s">
        <v>1697</v>
      </c>
      <c r="D91" t="s">
        <v>1171</v>
      </c>
      <c r="E91" t="s">
        <v>50</v>
      </c>
      <c r="F91" t="s">
        <v>59</v>
      </c>
      <c r="H91" t="s">
        <v>60</v>
      </c>
      <c r="I91" t="s">
        <v>1998</v>
      </c>
      <c r="J91" t="s">
        <v>2128</v>
      </c>
      <c r="K91" t="s">
        <v>2129</v>
      </c>
      <c r="N91" s="30" t="s">
        <v>2001</v>
      </c>
      <c r="O91" s="30" t="s">
        <v>2130</v>
      </c>
      <c r="P91" s="30">
        <v>1510</v>
      </c>
      <c r="Q91" s="30" t="s">
        <v>2002</v>
      </c>
      <c r="R91" s="30" t="s">
        <v>2002</v>
      </c>
      <c r="S91" s="30" t="s">
        <v>2310</v>
      </c>
      <c r="T91" t="s">
        <v>2311</v>
      </c>
      <c r="U91" t="s">
        <v>4115</v>
      </c>
      <c r="V91" t="s">
        <v>4168</v>
      </c>
    </row>
    <row r="92" spans="1:22" x14ac:dyDescent="0.25">
      <c r="A92" t="s">
        <v>2312</v>
      </c>
      <c r="B92" t="s">
        <v>1688</v>
      </c>
      <c r="D92" t="s">
        <v>1171</v>
      </c>
      <c r="E92" t="s">
        <v>50</v>
      </c>
      <c r="F92" t="s">
        <v>59</v>
      </c>
      <c r="H92" t="s">
        <v>60</v>
      </c>
      <c r="I92" t="s">
        <v>2046</v>
      </c>
      <c r="J92" t="s">
        <v>2301</v>
      </c>
      <c r="K92" t="s">
        <v>2312</v>
      </c>
      <c r="N92" s="30" t="s">
        <v>2048</v>
      </c>
      <c r="O92" s="30" t="s">
        <v>2302</v>
      </c>
      <c r="P92" s="30">
        <v>2110</v>
      </c>
      <c r="Q92" s="30" t="s">
        <v>2002</v>
      </c>
      <c r="R92" s="30" t="s">
        <v>2002</v>
      </c>
      <c r="S92" s="30" t="s">
        <v>2313</v>
      </c>
      <c r="T92" t="s">
        <v>2314</v>
      </c>
      <c r="U92" t="s">
        <v>4183</v>
      </c>
      <c r="V92" t="s">
        <v>4180</v>
      </c>
    </row>
    <row r="93" spans="1:22" x14ac:dyDescent="0.25">
      <c r="A93" t="s">
        <v>2315</v>
      </c>
      <c r="B93" t="s">
        <v>1768</v>
      </c>
      <c r="D93" t="s">
        <v>1171</v>
      </c>
      <c r="E93" t="s">
        <v>50</v>
      </c>
      <c r="F93" t="s">
        <v>59</v>
      </c>
      <c r="H93" t="s">
        <v>60</v>
      </c>
      <c r="I93" t="s">
        <v>2046</v>
      </c>
      <c r="J93" t="s">
        <v>2290</v>
      </c>
      <c r="K93" t="s">
        <v>2315</v>
      </c>
      <c r="N93" s="30" t="s">
        <v>2048</v>
      </c>
      <c r="O93" s="30" t="s">
        <v>2291</v>
      </c>
      <c r="P93" s="30">
        <v>1303</v>
      </c>
      <c r="Q93" s="30" t="s">
        <v>2002</v>
      </c>
      <c r="R93" s="30" t="s">
        <v>2002</v>
      </c>
      <c r="S93" s="30" t="s">
        <v>2316</v>
      </c>
      <c r="T93" t="s">
        <v>2317</v>
      </c>
      <c r="U93" t="s">
        <v>4184</v>
      </c>
      <c r="V93" t="s">
        <v>4176</v>
      </c>
    </row>
    <row r="94" spans="1:22" x14ac:dyDescent="0.25">
      <c r="A94" t="s">
        <v>2318</v>
      </c>
      <c r="B94" t="s">
        <v>1675</v>
      </c>
      <c r="D94" t="s">
        <v>1171</v>
      </c>
      <c r="E94" t="s">
        <v>50</v>
      </c>
      <c r="F94" t="s">
        <v>59</v>
      </c>
      <c r="H94" t="s">
        <v>60</v>
      </c>
      <c r="I94" t="s">
        <v>2046</v>
      </c>
      <c r="J94" t="s">
        <v>2301</v>
      </c>
      <c r="K94" t="s">
        <v>2318</v>
      </c>
      <c r="N94" s="30" t="s">
        <v>2048</v>
      </c>
      <c r="O94" s="30" t="s">
        <v>2302</v>
      </c>
      <c r="P94" s="30">
        <v>2001</v>
      </c>
      <c r="Q94" s="30" t="s">
        <v>2002</v>
      </c>
      <c r="R94" s="30" t="s">
        <v>2002</v>
      </c>
      <c r="S94" s="30" t="s">
        <v>2319</v>
      </c>
      <c r="T94" t="s">
        <v>2320</v>
      </c>
      <c r="U94" t="s">
        <v>4185</v>
      </c>
      <c r="V94" t="s">
        <v>4180</v>
      </c>
    </row>
    <row r="95" spans="1:22" x14ac:dyDescent="0.25">
      <c r="A95" t="s">
        <v>2321</v>
      </c>
      <c r="B95" t="s">
        <v>1690</v>
      </c>
      <c r="D95" t="s">
        <v>1171</v>
      </c>
      <c r="E95" t="s">
        <v>50</v>
      </c>
      <c r="F95" t="s">
        <v>59</v>
      </c>
      <c r="H95" t="s">
        <v>60</v>
      </c>
      <c r="I95" t="s">
        <v>2046</v>
      </c>
      <c r="J95" t="s">
        <v>2301</v>
      </c>
      <c r="K95" t="s">
        <v>2321</v>
      </c>
      <c r="N95" s="30" t="s">
        <v>2048</v>
      </c>
      <c r="O95" s="30" t="s">
        <v>2302</v>
      </c>
      <c r="P95" s="30">
        <v>4160</v>
      </c>
      <c r="Q95" s="30" t="s">
        <v>2002</v>
      </c>
      <c r="R95" s="30" t="s">
        <v>2002</v>
      </c>
      <c r="S95" s="30" t="s">
        <v>2322</v>
      </c>
      <c r="T95" t="s">
        <v>2323</v>
      </c>
      <c r="U95" t="s">
        <v>4186</v>
      </c>
      <c r="V95" t="s">
        <v>4180</v>
      </c>
    </row>
    <row r="96" spans="1:22" x14ac:dyDescent="0.25">
      <c r="A96" t="s">
        <v>2324</v>
      </c>
      <c r="B96" t="s">
        <v>1685</v>
      </c>
      <c r="D96" t="s">
        <v>1171</v>
      </c>
      <c r="E96" t="s">
        <v>50</v>
      </c>
      <c r="F96" t="s">
        <v>59</v>
      </c>
      <c r="H96" t="s">
        <v>60</v>
      </c>
      <c r="I96" t="s">
        <v>2046</v>
      </c>
      <c r="J96" t="s">
        <v>2301</v>
      </c>
      <c r="K96" t="s">
        <v>2324</v>
      </c>
      <c r="N96" s="30" t="s">
        <v>2048</v>
      </c>
      <c r="O96" s="30" t="s">
        <v>2302</v>
      </c>
      <c r="P96" s="30">
        <v>2700</v>
      </c>
      <c r="Q96" s="30" t="s">
        <v>2002</v>
      </c>
      <c r="R96" s="30" t="s">
        <v>2002</v>
      </c>
      <c r="S96" s="30" t="s">
        <v>2325</v>
      </c>
      <c r="T96" t="s">
        <v>2326</v>
      </c>
      <c r="U96" t="s">
        <v>4187</v>
      </c>
      <c r="V96" t="s">
        <v>4180</v>
      </c>
    </row>
    <row r="97" spans="1:22" x14ac:dyDescent="0.25">
      <c r="A97" t="s">
        <v>2327</v>
      </c>
      <c r="B97" t="s">
        <v>1689</v>
      </c>
      <c r="D97" t="s">
        <v>1171</v>
      </c>
      <c r="E97" t="s">
        <v>50</v>
      </c>
      <c r="F97" t="s">
        <v>59</v>
      </c>
      <c r="H97" t="s">
        <v>60</v>
      </c>
      <c r="I97" t="s">
        <v>2046</v>
      </c>
      <c r="J97" t="s">
        <v>2301</v>
      </c>
      <c r="K97" t="s">
        <v>2327</v>
      </c>
      <c r="N97" s="30" t="s">
        <v>2048</v>
      </c>
      <c r="O97" s="30" t="s">
        <v>2302</v>
      </c>
      <c r="P97" s="30">
        <v>2920</v>
      </c>
      <c r="Q97" s="30" t="s">
        <v>2002</v>
      </c>
      <c r="R97" s="30" t="s">
        <v>2002</v>
      </c>
      <c r="S97" s="30" t="s">
        <v>2328</v>
      </c>
      <c r="T97" t="s">
        <v>2329</v>
      </c>
      <c r="U97" t="s">
        <v>4188</v>
      </c>
      <c r="V97" t="s">
        <v>4180</v>
      </c>
    </row>
    <row r="98" spans="1:22" x14ac:dyDescent="0.25">
      <c r="A98" t="s">
        <v>2128</v>
      </c>
      <c r="B98" t="s">
        <v>1696</v>
      </c>
      <c r="D98" t="s">
        <v>1171</v>
      </c>
      <c r="E98" t="s">
        <v>50</v>
      </c>
      <c r="F98" t="s">
        <v>180</v>
      </c>
      <c r="H98" t="s">
        <v>60</v>
      </c>
      <c r="I98" t="s">
        <v>1998</v>
      </c>
      <c r="J98" t="s">
        <v>2128</v>
      </c>
      <c r="N98" s="30" t="s">
        <v>2001</v>
      </c>
      <c r="O98" s="30" t="s">
        <v>2130</v>
      </c>
      <c r="P98" s="30" t="s">
        <v>2002</v>
      </c>
      <c r="Q98" s="30" t="s">
        <v>2002</v>
      </c>
      <c r="R98" s="30" t="s">
        <v>2002</v>
      </c>
      <c r="S98" s="30" t="s">
        <v>2130</v>
      </c>
      <c r="T98" t="s">
        <v>2330</v>
      </c>
      <c r="U98" t="s">
        <v>4168</v>
      </c>
      <c r="V98" t="s">
        <v>4084</v>
      </c>
    </row>
    <row r="99" spans="1:22" x14ac:dyDescent="0.25">
      <c r="A99" t="s">
        <v>2290</v>
      </c>
      <c r="B99" t="s">
        <v>1765</v>
      </c>
      <c r="D99" t="s">
        <v>1171</v>
      </c>
      <c r="E99" t="s">
        <v>50</v>
      </c>
      <c r="F99" t="s">
        <v>180</v>
      </c>
      <c r="H99" t="s">
        <v>60</v>
      </c>
      <c r="I99" t="s">
        <v>2046</v>
      </c>
      <c r="J99" t="s">
        <v>2290</v>
      </c>
      <c r="N99" s="30" t="s">
        <v>2048</v>
      </c>
      <c r="O99" s="30" t="s">
        <v>2291</v>
      </c>
      <c r="P99" s="30" t="s">
        <v>2002</v>
      </c>
      <c r="Q99" s="30" t="s">
        <v>2002</v>
      </c>
      <c r="R99" s="30" t="s">
        <v>2002</v>
      </c>
      <c r="S99" s="30" t="s">
        <v>2291</v>
      </c>
      <c r="T99" t="s">
        <v>2331</v>
      </c>
      <c r="U99" t="s">
        <v>4176</v>
      </c>
      <c r="V99" t="s">
        <v>4182</v>
      </c>
    </row>
    <row r="100" spans="1:22" x14ac:dyDescent="0.25">
      <c r="A100" t="s">
        <v>2332</v>
      </c>
      <c r="B100" t="s">
        <v>1706</v>
      </c>
      <c r="D100" t="s">
        <v>1171</v>
      </c>
      <c r="E100" t="s">
        <v>50</v>
      </c>
      <c r="F100" t="s">
        <v>59</v>
      </c>
      <c r="H100" t="s">
        <v>60</v>
      </c>
      <c r="I100" t="s">
        <v>1998</v>
      </c>
      <c r="J100" t="s">
        <v>2128</v>
      </c>
      <c r="K100" t="s">
        <v>2332</v>
      </c>
      <c r="N100" s="30" t="s">
        <v>2001</v>
      </c>
      <c r="O100" s="30" t="s">
        <v>2130</v>
      </c>
      <c r="P100" s="30">
        <v>1522</v>
      </c>
      <c r="Q100" s="30" t="s">
        <v>2002</v>
      </c>
      <c r="R100" s="30" t="s">
        <v>2002</v>
      </c>
      <c r="S100" s="30" t="s">
        <v>2333</v>
      </c>
      <c r="T100" t="s">
        <v>2334</v>
      </c>
      <c r="U100" t="s">
        <v>4189</v>
      </c>
      <c r="V100" t="s">
        <v>4168</v>
      </c>
    </row>
    <row r="101" spans="1:22" x14ac:dyDescent="0.25">
      <c r="A101" t="s">
        <v>2204</v>
      </c>
      <c r="B101" t="s">
        <v>1719</v>
      </c>
      <c r="D101" t="s">
        <v>1171</v>
      </c>
      <c r="E101" t="s">
        <v>50</v>
      </c>
      <c r="F101" t="s">
        <v>59</v>
      </c>
      <c r="H101" t="s">
        <v>60</v>
      </c>
      <c r="I101" t="s">
        <v>1998</v>
      </c>
      <c r="J101" t="s">
        <v>2118</v>
      </c>
      <c r="K101" t="s">
        <v>2204</v>
      </c>
      <c r="N101" s="30" t="s">
        <v>2001</v>
      </c>
      <c r="O101" s="30" t="s">
        <v>1988</v>
      </c>
      <c r="P101" s="30">
        <v>5680</v>
      </c>
      <c r="Q101" s="30" t="s">
        <v>2002</v>
      </c>
      <c r="R101" s="30" t="s">
        <v>2002</v>
      </c>
      <c r="S101" s="30" t="s">
        <v>2335</v>
      </c>
      <c r="T101" t="s">
        <v>2336</v>
      </c>
      <c r="U101" t="s">
        <v>4144</v>
      </c>
      <c r="V101" t="s">
        <v>4150</v>
      </c>
    </row>
    <row r="102" spans="1:22" x14ac:dyDescent="0.25">
      <c r="A102" t="s">
        <v>2337</v>
      </c>
      <c r="B102" t="s">
        <v>1691</v>
      </c>
      <c r="D102" t="s">
        <v>1171</v>
      </c>
      <c r="E102" t="s">
        <v>50</v>
      </c>
      <c r="F102" t="s">
        <v>59</v>
      </c>
      <c r="H102" t="s">
        <v>60</v>
      </c>
      <c r="I102" t="s">
        <v>2046</v>
      </c>
      <c r="J102" t="s">
        <v>2301</v>
      </c>
      <c r="K102" t="s">
        <v>2337</v>
      </c>
      <c r="N102" s="30" t="s">
        <v>2048</v>
      </c>
      <c r="O102" s="30" t="s">
        <v>2302</v>
      </c>
      <c r="P102" s="30">
        <v>3720</v>
      </c>
      <c r="Q102" s="30" t="s">
        <v>2002</v>
      </c>
      <c r="R102" s="30" t="s">
        <v>2002</v>
      </c>
      <c r="S102" s="30" t="s">
        <v>2338</v>
      </c>
      <c r="T102" t="s">
        <v>2339</v>
      </c>
      <c r="U102" t="s">
        <v>4190</v>
      </c>
      <c r="V102" t="s">
        <v>4180</v>
      </c>
    </row>
    <row r="103" spans="1:22" x14ac:dyDescent="0.25">
      <c r="A103" t="s">
        <v>2011</v>
      </c>
      <c r="B103" t="s">
        <v>1180</v>
      </c>
      <c r="D103" t="s">
        <v>1171</v>
      </c>
      <c r="E103" t="s">
        <v>50</v>
      </c>
      <c r="F103" t="s">
        <v>59</v>
      </c>
      <c r="I103" t="s">
        <v>1998</v>
      </c>
      <c r="J103" t="s">
        <v>1999</v>
      </c>
      <c r="K103" t="s">
        <v>2011</v>
      </c>
      <c r="N103" s="30" t="s">
        <v>2001</v>
      </c>
      <c r="O103" s="30" t="s">
        <v>1179</v>
      </c>
      <c r="P103" s="30">
        <v>1541</v>
      </c>
      <c r="Q103" s="30" t="s">
        <v>2002</v>
      </c>
      <c r="R103" s="30" t="s">
        <v>2002</v>
      </c>
      <c r="S103" s="30" t="s">
        <v>2340</v>
      </c>
      <c r="T103" t="s">
        <v>2341</v>
      </c>
      <c r="U103" t="s">
        <v>4079</v>
      </c>
      <c r="V103" t="s">
        <v>4083</v>
      </c>
    </row>
    <row r="104" spans="1:22" x14ac:dyDescent="0.25">
      <c r="A104" t="s">
        <v>1998</v>
      </c>
      <c r="B104" t="s">
        <v>1169</v>
      </c>
      <c r="D104" t="s">
        <v>1171</v>
      </c>
      <c r="E104" t="s">
        <v>50</v>
      </c>
      <c r="F104" t="s">
        <v>1176</v>
      </c>
      <c r="I104" t="s">
        <v>1998</v>
      </c>
      <c r="N104" s="30" t="s">
        <v>2001</v>
      </c>
      <c r="O104" s="30" t="s">
        <v>2002</v>
      </c>
      <c r="P104" s="30" t="s">
        <v>2002</v>
      </c>
      <c r="Q104" s="30" t="s">
        <v>2002</v>
      </c>
      <c r="R104" s="30" t="s">
        <v>2002</v>
      </c>
      <c r="S104" s="30" t="s">
        <v>2002</v>
      </c>
      <c r="T104" t="s">
        <v>2342</v>
      </c>
      <c r="U104" t="s">
        <v>4084</v>
      </c>
    </row>
    <row r="105" spans="1:22" x14ac:dyDescent="0.25">
      <c r="A105" t="s">
        <v>2006</v>
      </c>
      <c r="B105" t="s">
        <v>1192</v>
      </c>
      <c r="D105" t="s">
        <v>1171</v>
      </c>
      <c r="E105" t="s">
        <v>50</v>
      </c>
      <c r="F105" t="s">
        <v>59</v>
      </c>
      <c r="I105" t="s">
        <v>1998</v>
      </c>
      <c r="J105" t="s">
        <v>1999</v>
      </c>
      <c r="K105" t="s">
        <v>2006</v>
      </c>
      <c r="N105" s="30" t="s">
        <v>2001</v>
      </c>
      <c r="O105" s="30" t="s">
        <v>1179</v>
      </c>
      <c r="P105" s="30">
        <v>1543</v>
      </c>
      <c r="Q105" s="30" t="s">
        <v>2002</v>
      </c>
      <c r="R105" s="30" t="s">
        <v>2002</v>
      </c>
      <c r="S105" s="30" t="s">
        <v>2343</v>
      </c>
      <c r="T105" t="s">
        <v>2344</v>
      </c>
      <c r="U105" t="s">
        <v>4095</v>
      </c>
      <c r="V105" t="s">
        <v>4083</v>
      </c>
    </row>
    <row r="106" spans="1:22" x14ac:dyDescent="0.25">
      <c r="A106" t="s">
        <v>2000</v>
      </c>
      <c r="B106" t="s">
        <v>1221</v>
      </c>
      <c r="D106" t="s">
        <v>1171</v>
      </c>
      <c r="E106" t="s">
        <v>50</v>
      </c>
      <c r="F106" t="s">
        <v>59</v>
      </c>
      <c r="I106" t="s">
        <v>1998</v>
      </c>
      <c r="J106" t="s">
        <v>1999</v>
      </c>
      <c r="K106" t="s">
        <v>2000</v>
      </c>
      <c r="N106" s="30" t="s">
        <v>2001</v>
      </c>
      <c r="O106" s="30" t="s">
        <v>1179</v>
      </c>
      <c r="P106" s="30">
        <v>1542</v>
      </c>
      <c r="Q106" s="30" t="s">
        <v>2002</v>
      </c>
      <c r="R106" s="30" t="s">
        <v>2002</v>
      </c>
      <c r="S106" s="30" t="s">
        <v>2345</v>
      </c>
      <c r="T106" t="s">
        <v>2346</v>
      </c>
      <c r="U106" t="s">
        <v>4075</v>
      </c>
      <c r="V106" t="s">
        <v>4083</v>
      </c>
    </row>
    <row r="107" spans="1:22" x14ac:dyDescent="0.25">
      <c r="A107" t="s">
        <v>2106</v>
      </c>
      <c r="B107" t="s">
        <v>1209</v>
      </c>
      <c r="D107" t="s">
        <v>1171</v>
      </c>
      <c r="E107" t="s">
        <v>50</v>
      </c>
      <c r="F107" t="s">
        <v>45</v>
      </c>
      <c r="I107" t="s">
        <v>2046</v>
      </c>
      <c r="J107" t="s">
        <v>2047</v>
      </c>
      <c r="L107" t="s">
        <v>2106</v>
      </c>
      <c r="N107" s="30" t="s">
        <v>2048</v>
      </c>
      <c r="O107" s="30" t="s">
        <v>2049</v>
      </c>
      <c r="P107" s="30" t="s">
        <v>2050</v>
      </c>
      <c r="Q107" s="30" t="s">
        <v>2032</v>
      </c>
      <c r="R107" s="30" t="s">
        <v>2002</v>
      </c>
      <c r="S107" s="30" t="s">
        <v>2347</v>
      </c>
      <c r="T107" t="s">
        <v>2348</v>
      </c>
      <c r="U107" t="s">
        <v>4121</v>
      </c>
      <c r="V107" t="s">
        <v>4090</v>
      </c>
    </row>
    <row r="108" spans="1:22" x14ac:dyDescent="0.25">
      <c r="A108" t="s">
        <v>2349</v>
      </c>
      <c r="B108" t="s">
        <v>1213</v>
      </c>
      <c r="D108" t="s">
        <v>1171</v>
      </c>
      <c r="E108" t="s">
        <v>50</v>
      </c>
      <c r="F108" t="s">
        <v>45</v>
      </c>
      <c r="I108" t="s">
        <v>2046</v>
      </c>
      <c r="J108" t="s">
        <v>2047</v>
      </c>
      <c r="L108" t="s">
        <v>2349</v>
      </c>
      <c r="N108" s="30" t="s">
        <v>2048</v>
      </c>
      <c r="O108" s="30" t="s">
        <v>2049</v>
      </c>
      <c r="P108" s="30" t="s">
        <v>2050</v>
      </c>
      <c r="Q108" s="30" t="s">
        <v>2067</v>
      </c>
      <c r="R108" s="30" t="s">
        <v>2002</v>
      </c>
      <c r="S108" s="30" t="s">
        <v>2350</v>
      </c>
      <c r="T108" t="s">
        <v>2351</v>
      </c>
      <c r="U108" t="s">
        <v>4191</v>
      </c>
      <c r="V108" t="s">
        <v>4090</v>
      </c>
    </row>
    <row r="109" spans="1:22" x14ac:dyDescent="0.25">
      <c r="A109" t="s">
        <v>2055</v>
      </c>
      <c r="B109" t="s">
        <v>1230</v>
      </c>
      <c r="D109" t="s">
        <v>1171</v>
      </c>
      <c r="E109" t="s">
        <v>50</v>
      </c>
      <c r="F109" t="s">
        <v>59</v>
      </c>
      <c r="I109" t="s">
        <v>1998</v>
      </c>
      <c r="J109" t="s">
        <v>1999</v>
      </c>
      <c r="K109" t="s">
        <v>2055</v>
      </c>
      <c r="N109" s="30" t="s">
        <v>2001</v>
      </c>
      <c r="O109" s="30" t="s">
        <v>1179</v>
      </c>
      <c r="P109" s="30">
        <v>1544</v>
      </c>
      <c r="Q109" s="30" t="s">
        <v>2002</v>
      </c>
      <c r="R109" s="30" t="s">
        <v>2002</v>
      </c>
      <c r="S109" s="30" t="s">
        <v>2352</v>
      </c>
      <c r="T109" t="s">
        <v>2353</v>
      </c>
      <c r="U109" t="s">
        <v>4092</v>
      </c>
      <c r="V109" t="s">
        <v>4083</v>
      </c>
    </row>
    <row r="110" spans="1:22" x14ac:dyDescent="0.25">
      <c r="A110" t="s">
        <v>2248</v>
      </c>
      <c r="B110" t="s">
        <v>1260</v>
      </c>
      <c r="D110" t="s">
        <v>1171</v>
      </c>
      <c r="E110" t="s">
        <v>50</v>
      </c>
      <c r="F110" t="s">
        <v>180</v>
      </c>
      <c r="H110" t="s">
        <v>60</v>
      </c>
      <c r="I110" t="s">
        <v>1998</v>
      </c>
      <c r="J110" t="s">
        <v>2248</v>
      </c>
      <c r="N110" s="30" t="s">
        <v>2001</v>
      </c>
      <c r="O110" s="30" t="s">
        <v>1261</v>
      </c>
      <c r="P110" s="30" t="s">
        <v>2002</v>
      </c>
      <c r="Q110" s="30" t="s">
        <v>2002</v>
      </c>
      <c r="R110" s="30" t="s">
        <v>2002</v>
      </c>
      <c r="S110" s="30" t="s">
        <v>1261</v>
      </c>
      <c r="T110" t="s">
        <v>2354</v>
      </c>
      <c r="U110" t="s">
        <v>4159</v>
      </c>
      <c r="V110" t="s">
        <v>4084</v>
      </c>
    </row>
    <row r="111" spans="1:22" x14ac:dyDescent="0.25">
      <c r="A111" t="s">
        <v>2355</v>
      </c>
      <c r="B111" t="s">
        <v>1264</v>
      </c>
      <c r="D111" t="s">
        <v>1171</v>
      </c>
      <c r="E111" t="s">
        <v>50</v>
      </c>
      <c r="F111" t="s">
        <v>59</v>
      </c>
      <c r="H111" t="s">
        <v>60</v>
      </c>
      <c r="I111" t="s">
        <v>1998</v>
      </c>
      <c r="J111" t="s">
        <v>2248</v>
      </c>
      <c r="K111" t="s">
        <v>2355</v>
      </c>
      <c r="N111" s="30" t="s">
        <v>2001</v>
      </c>
      <c r="O111" s="30" t="s">
        <v>1261</v>
      </c>
      <c r="P111" s="30">
        <v>1594</v>
      </c>
      <c r="Q111" s="30" t="s">
        <v>2002</v>
      </c>
      <c r="R111" s="30" t="s">
        <v>2002</v>
      </c>
      <c r="S111" s="30" t="s">
        <v>2356</v>
      </c>
      <c r="T111" t="s">
        <v>2357</v>
      </c>
      <c r="U111" t="s">
        <v>4192</v>
      </c>
      <c r="V111" t="s">
        <v>4159</v>
      </c>
    </row>
    <row r="112" spans="1:22" x14ac:dyDescent="0.25">
      <c r="A112" t="s">
        <v>2252</v>
      </c>
      <c r="B112" t="s">
        <v>1271</v>
      </c>
      <c r="D112" t="s">
        <v>1171</v>
      </c>
      <c r="E112" t="s">
        <v>50</v>
      </c>
      <c r="F112" t="s">
        <v>180</v>
      </c>
      <c r="H112" t="s">
        <v>60</v>
      </c>
      <c r="I112" t="s">
        <v>1998</v>
      </c>
      <c r="J112" t="s">
        <v>2252</v>
      </c>
      <c r="N112" s="30" t="s">
        <v>2001</v>
      </c>
      <c r="O112" s="30" t="s">
        <v>1272</v>
      </c>
      <c r="P112" s="30" t="s">
        <v>2002</v>
      </c>
      <c r="Q112" s="30" t="s">
        <v>2002</v>
      </c>
      <c r="R112" s="30" t="s">
        <v>2002</v>
      </c>
      <c r="S112" s="30" t="s">
        <v>1272</v>
      </c>
      <c r="T112" t="s">
        <v>2358</v>
      </c>
      <c r="U112" t="s">
        <v>4161</v>
      </c>
      <c r="V112" t="s">
        <v>4084</v>
      </c>
    </row>
    <row r="113" spans="1:22" x14ac:dyDescent="0.25">
      <c r="A113" t="s">
        <v>2359</v>
      </c>
      <c r="B113" t="s">
        <v>1263</v>
      </c>
      <c r="D113" t="s">
        <v>1171</v>
      </c>
      <c r="E113" t="s">
        <v>50</v>
      </c>
      <c r="F113" t="s">
        <v>59</v>
      </c>
      <c r="H113" t="s">
        <v>60</v>
      </c>
      <c r="I113" t="s">
        <v>1998</v>
      </c>
      <c r="J113" t="s">
        <v>2248</v>
      </c>
      <c r="K113" t="s">
        <v>2359</v>
      </c>
      <c r="N113" s="30" t="s">
        <v>2001</v>
      </c>
      <c r="O113" s="30" t="s">
        <v>1261</v>
      </c>
      <c r="P113" s="30">
        <v>1591</v>
      </c>
      <c r="Q113" s="30" t="s">
        <v>2002</v>
      </c>
      <c r="R113" s="30" t="s">
        <v>2002</v>
      </c>
      <c r="S113" s="30" t="s">
        <v>2360</v>
      </c>
      <c r="T113" t="s">
        <v>2361</v>
      </c>
      <c r="U113" t="s">
        <v>4193</v>
      </c>
      <c r="V113" t="s">
        <v>4159</v>
      </c>
    </row>
    <row r="114" spans="1:22" x14ac:dyDescent="0.25">
      <c r="A114" t="s">
        <v>2362</v>
      </c>
      <c r="B114" t="s">
        <v>1265</v>
      </c>
      <c r="D114" t="s">
        <v>1171</v>
      </c>
      <c r="E114" t="s">
        <v>50</v>
      </c>
      <c r="F114" t="s">
        <v>59</v>
      </c>
      <c r="H114" t="s">
        <v>60</v>
      </c>
      <c r="I114" t="s">
        <v>1998</v>
      </c>
      <c r="J114" t="s">
        <v>2248</v>
      </c>
      <c r="K114" t="s">
        <v>2362</v>
      </c>
      <c r="N114" s="30" t="s">
        <v>2001</v>
      </c>
      <c r="O114" s="30" t="s">
        <v>1261</v>
      </c>
      <c r="P114" s="30">
        <v>1595</v>
      </c>
      <c r="Q114" s="30" t="s">
        <v>2002</v>
      </c>
      <c r="R114" s="30" t="s">
        <v>2002</v>
      </c>
      <c r="S114" s="30" t="s">
        <v>2363</v>
      </c>
      <c r="T114" t="s">
        <v>2364</v>
      </c>
      <c r="U114" t="s">
        <v>4194</v>
      </c>
      <c r="V114" t="s">
        <v>4159</v>
      </c>
    </row>
    <row r="115" spans="1:22" x14ac:dyDescent="0.25">
      <c r="A115" t="s">
        <v>2365</v>
      </c>
      <c r="B115" t="s">
        <v>1266</v>
      </c>
      <c r="D115" t="s">
        <v>1171</v>
      </c>
      <c r="E115" t="s">
        <v>50</v>
      </c>
      <c r="F115" t="s">
        <v>59</v>
      </c>
      <c r="H115" t="s">
        <v>60</v>
      </c>
      <c r="I115" t="s">
        <v>1998</v>
      </c>
      <c r="J115" t="s">
        <v>2248</v>
      </c>
      <c r="K115" t="s">
        <v>2365</v>
      </c>
      <c r="N115" s="30" t="s">
        <v>2001</v>
      </c>
      <c r="O115" s="30" t="s">
        <v>1261</v>
      </c>
      <c r="P115" s="30">
        <v>1593</v>
      </c>
      <c r="Q115" s="30" t="s">
        <v>2002</v>
      </c>
      <c r="R115" s="30" t="s">
        <v>2002</v>
      </c>
      <c r="S115" s="30" t="s">
        <v>2366</v>
      </c>
      <c r="T115" t="s">
        <v>2367</v>
      </c>
      <c r="U115" t="s">
        <v>4195</v>
      </c>
      <c r="V115" t="s">
        <v>4159</v>
      </c>
    </row>
    <row r="116" spans="1:22" x14ac:dyDescent="0.25">
      <c r="A116" t="s">
        <v>2368</v>
      </c>
      <c r="B116" t="s">
        <v>1267</v>
      </c>
      <c r="D116" t="s">
        <v>1171</v>
      </c>
      <c r="E116" t="s">
        <v>50</v>
      </c>
      <c r="F116" t="s">
        <v>59</v>
      </c>
      <c r="H116" t="s">
        <v>60</v>
      </c>
      <c r="I116" t="s">
        <v>1998</v>
      </c>
      <c r="J116" t="s">
        <v>2248</v>
      </c>
      <c r="K116" t="s">
        <v>2368</v>
      </c>
      <c r="N116" s="30" t="s">
        <v>2001</v>
      </c>
      <c r="O116" s="30" t="s">
        <v>1261</v>
      </c>
      <c r="P116" s="30">
        <v>1596</v>
      </c>
      <c r="Q116" s="30" t="s">
        <v>2002</v>
      </c>
      <c r="R116" s="30" t="s">
        <v>2002</v>
      </c>
      <c r="S116" s="30" t="s">
        <v>2369</v>
      </c>
      <c r="T116" t="s">
        <v>2370</v>
      </c>
      <c r="U116" t="s">
        <v>4196</v>
      </c>
      <c r="V116" t="s">
        <v>4159</v>
      </c>
    </row>
    <row r="117" spans="1:22" x14ac:dyDescent="0.25">
      <c r="A117" t="s">
        <v>2371</v>
      </c>
      <c r="B117" t="s">
        <v>1274</v>
      </c>
      <c r="D117" t="s">
        <v>1171</v>
      </c>
      <c r="E117" t="s">
        <v>50</v>
      </c>
      <c r="F117" t="s">
        <v>59</v>
      </c>
      <c r="H117" t="s">
        <v>60</v>
      </c>
      <c r="I117" t="s">
        <v>1998</v>
      </c>
      <c r="J117" t="s">
        <v>2252</v>
      </c>
      <c r="K117" t="s">
        <v>2371</v>
      </c>
      <c r="N117" s="30" t="s">
        <v>2001</v>
      </c>
      <c r="O117" s="30" t="s">
        <v>1272</v>
      </c>
      <c r="P117" s="30">
        <v>1582</v>
      </c>
      <c r="Q117" s="30" t="s">
        <v>2002</v>
      </c>
      <c r="R117" s="30" t="s">
        <v>2002</v>
      </c>
      <c r="S117" s="30" t="s">
        <v>2372</v>
      </c>
      <c r="T117" t="s">
        <v>2373</v>
      </c>
      <c r="U117" t="s">
        <v>4197</v>
      </c>
      <c r="V117" t="s">
        <v>4161</v>
      </c>
    </row>
    <row r="118" spans="1:22" x14ac:dyDescent="0.25">
      <c r="A118" t="s">
        <v>2374</v>
      </c>
      <c r="B118" t="s">
        <v>1278</v>
      </c>
      <c r="D118" t="s">
        <v>1171</v>
      </c>
      <c r="E118" t="s">
        <v>50</v>
      </c>
      <c r="F118" t="s">
        <v>59</v>
      </c>
      <c r="H118" t="s">
        <v>60</v>
      </c>
      <c r="I118" t="s">
        <v>1998</v>
      </c>
      <c r="J118" t="s">
        <v>2252</v>
      </c>
      <c r="K118" t="s">
        <v>2374</v>
      </c>
      <c r="N118" s="30" t="s">
        <v>2001</v>
      </c>
      <c r="O118" s="30" t="s">
        <v>1272</v>
      </c>
      <c r="P118" s="30">
        <v>1586</v>
      </c>
      <c r="Q118" s="30" t="s">
        <v>2002</v>
      </c>
      <c r="R118" s="30" t="s">
        <v>2002</v>
      </c>
      <c r="S118" s="30" t="s">
        <v>2375</v>
      </c>
      <c r="T118" t="s">
        <v>2376</v>
      </c>
      <c r="U118" t="s">
        <v>4198</v>
      </c>
      <c r="V118" t="s">
        <v>4161</v>
      </c>
    </row>
    <row r="119" spans="1:22" x14ac:dyDescent="0.25">
      <c r="A119" t="s">
        <v>2377</v>
      </c>
      <c r="B119" t="s">
        <v>1277</v>
      </c>
      <c r="D119" t="s">
        <v>1171</v>
      </c>
      <c r="E119" t="s">
        <v>50</v>
      </c>
      <c r="F119" t="s">
        <v>59</v>
      </c>
      <c r="H119" t="s">
        <v>60</v>
      </c>
      <c r="I119" t="s">
        <v>1998</v>
      </c>
      <c r="J119" t="s">
        <v>2252</v>
      </c>
      <c r="K119" t="s">
        <v>2377</v>
      </c>
      <c r="N119" s="30" t="s">
        <v>2001</v>
      </c>
      <c r="O119" s="30" t="s">
        <v>1272</v>
      </c>
      <c r="P119" s="30">
        <v>1587</v>
      </c>
      <c r="Q119" s="30" t="s">
        <v>2002</v>
      </c>
      <c r="R119" s="30" t="s">
        <v>2002</v>
      </c>
      <c r="S119" s="30" t="s">
        <v>2378</v>
      </c>
      <c r="T119" t="s">
        <v>2379</v>
      </c>
      <c r="U119" t="s">
        <v>4199</v>
      </c>
      <c r="V119" t="s">
        <v>4161</v>
      </c>
    </row>
    <row r="120" spans="1:22" x14ac:dyDescent="0.25">
      <c r="A120" t="s">
        <v>2380</v>
      </c>
      <c r="B120" t="s">
        <v>1276</v>
      </c>
      <c r="D120" t="s">
        <v>1171</v>
      </c>
      <c r="E120" t="s">
        <v>50</v>
      </c>
      <c r="F120" t="s">
        <v>59</v>
      </c>
      <c r="H120" t="s">
        <v>60</v>
      </c>
      <c r="I120" t="s">
        <v>1998</v>
      </c>
      <c r="J120" t="s">
        <v>2252</v>
      </c>
      <c r="K120" t="s">
        <v>2380</v>
      </c>
      <c r="N120" s="30" t="s">
        <v>2001</v>
      </c>
      <c r="O120" s="30" t="s">
        <v>1272</v>
      </c>
      <c r="P120" s="30">
        <v>1584</v>
      </c>
      <c r="Q120" s="30" t="s">
        <v>2002</v>
      </c>
      <c r="R120" s="30" t="s">
        <v>2002</v>
      </c>
      <c r="S120" s="30" t="s">
        <v>2381</v>
      </c>
      <c r="T120" t="s">
        <v>2382</v>
      </c>
      <c r="U120" t="s">
        <v>4200</v>
      </c>
      <c r="V120" t="s">
        <v>4161</v>
      </c>
    </row>
    <row r="121" spans="1:22" x14ac:dyDescent="0.25">
      <c r="A121" t="s">
        <v>2383</v>
      </c>
      <c r="B121" t="s">
        <v>1280</v>
      </c>
      <c r="D121" t="s">
        <v>1171</v>
      </c>
      <c r="E121" t="s">
        <v>50</v>
      </c>
      <c r="F121" t="s">
        <v>59</v>
      </c>
      <c r="H121" t="s">
        <v>60</v>
      </c>
      <c r="I121" t="s">
        <v>1998</v>
      </c>
      <c r="J121" t="s">
        <v>2252</v>
      </c>
      <c r="K121" t="s">
        <v>2383</v>
      </c>
      <c r="N121" s="30" t="s">
        <v>2001</v>
      </c>
      <c r="O121" s="30" t="s">
        <v>1272</v>
      </c>
      <c r="P121" s="30">
        <v>1588</v>
      </c>
      <c r="Q121" s="30" t="s">
        <v>2002</v>
      </c>
      <c r="R121" s="30" t="s">
        <v>2002</v>
      </c>
      <c r="S121" s="30" t="s">
        <v>2384</v>
      </c>
      <c r="T121" t="s">
        <v>2385</v>
      </c>
      <c r="U121" t="s">
        <v>4201</v>
      </c>
      <c r="V121" t="s">
        <v>4161</v>
      </c>
    </row>
    <row r="122" spans="1:22" x14ac:dyDescent="0.25">
      <c r="A122" t="s">
        <v>2386</v>
      </c>
      <c r="B122" t="s">
        <v>1275</v>
      </c>
      <c r="D122" t="s">
        <v>1171</v>
      </c>
      <c r="E122" t="s">
        <v>50</v>
      </c>
      <c r="F122" t="s">
        <v>59</v>
      </c>
      <c r="H122" t="s">
        <v>60</v>
      </c>
      <c r="I122" t="s">
        <v>1998</v>
      </c>
      <c r="J122" t="s">
        <v>2252</v>
      </c>
      <c r="K122" t="s">
        <v>2386</v>
      </c>
      <c r="N122" s="30" t="s">
        <v>2001</v>
      </c>
      <c r="O122" s="30" t="s">
        <v>1272</v>
      </c>
      <c r="P122" s="30">
        <v>1581</v>
      </c>
      <c r="Q122" s="30" t="s">
        <v>2002</v>
      </c>
      <c r="R122" s="30" t="s">
        <v>2002</v>
      </c>
      <c r="S122" s="30" t="s">
        <v>2387</v>
      </c>
      <c r="T122" t="s">
        <v>2388</v>
      </c>
      <c r="U122" t="s">
        <v>4202</v>
      </c>
      <c r="V122" t="s">
        <v>4161</v>
      </c>
    </row>
    <row r="123" spans="1:22" x14ac:dyDescent="0.25">
      <c r="A123" t="s">
        <v>2389</v>
      </c>
      <c r="B123" t="s">
        <v>1299</v>
      </c>
      <c r="D123" t="s">
        <v>1171</v>
      </c>
      <c r="E123" t="s">
        <v>50</v>
      </c>
      <c r="F123" t="s">
        <v>59</v>
      </c>
      <c r="H123" t="s">
        <v>60</v>
      </c>
      <c r="I123" t="s">
        <v>1998</v>
      </c>
      <c r="J123" t="s">
        <v>2252</v>
      </c>
      <c r="K123" t="s">
        <v>2389</v>
      </c>
      <c r="N123" s="30" t="s">
        <v>2001</v>
      </c>
      <c r="O123" s="30" t="s">
        <v>1272</v>
      </c>
      <c r="P123" s="30">
        <v>1571</v>
      </c>
      <c r="Q123" s="30" t="s">
        <v>2002</v>
      </c>
      <c r="R123" s="30" t="s">
        <v>2002</v>
      </c>
      <c r="S123" s="30" t="s">
        <v>2390</v>
      </c>
      <c r="T123" t="s">
        <v>2391</v>
      </c>
      <c r="U123" t="s">
        <v>4203</v>
      </c>
      <c r="V123" t="s">
        <v>4161</v>
      </c>
    </row>
    <row r="124" spans="1:22" x14ac:dyDescent="0.25">
      <c r="A124" t="s">
        <v>2392</v>
      </c>
      <c r="B124" t="s">
        <v>1300</v>
      </c>
      <c r="D124" t="s">
        <v>1171</v>
      </c>
      <c r="E124" t="s">
        <v>50</v>
      </c>
      <c r="F124" t="s">
        <v>59</v>
      </c>
      <c r="H124" t="s">
        <v>60</v>
      </c>
      <c r="I124" t="s">
        <v>1998</v>
      </c>
      <c r="J124" t="s">
        <v>2252</v>
      </c>
      <c r="K124" t="s">
        <v>2392</v>
      </c>
      <c r="N124" s="30" t="s">
        <v>2001</v>
      </c>
      <c r="O124" s="30" t="s">
        <v>1272</v>
      </c>
      <c r="P124" s="30">
        <v>1572</v>
      </c>
      <c r="Q124" s="30" t="s">
        <v>2002</v>
      </c>
      <c r="R124" s="30" t="s">
        <v>2002</v>
      </c>
      <c r="S124" s="30" t="s">
        <v>2393</v>
      </c>
      <c r="T124" t="s">
        <v>2394</v>
      </c>
      <c r="U124" t="s">
        <v>4204</v>
      </c>
      <c r="V124" t="s">
        <v>4161</v>
      </c>
    </row>
    <row r="125" spans="1:22" x14ac:dyDescent="0.25">
      <c r="A125" t="s">
        <v>2395</v>
      </c>
      <c r="B125" t="s">
        <v>1303</v>
      </c>
      <c r="D125" t="s">
        <v>1171</v>
      </c>
      <c r="E125" t="s">
        <v>50</v>
      </c>
      <c r="F125" t="s">
        <v>59</v>
      </c>
      <c r="H125" t="s">
        <v>60</v>
      </c>
      <c r="I125" t="s">
        <v>1998</v>
      </c>
      <c r="J125" t="s">
        <v>2252</v>
      </c>
      <c r="K125" t="s">
        <v>2395</v>
      </c>
      <c r="N125" s="30" t="s">
        <v>2001</v>
      </c>
      <c r="O125" s="30" t="s">
        <v>1272</v>
      </c>
      <c r="P125" s="30">
        <v>1575</v>
      </c>
      <c r="Q125" s="30" t="s">
        <v>2002</v>
      </c>
      <c r="R125" s="30" t="s">
        <v>2002</v>
      </c>
      <c r="S125" s="30" t="s">
        <v>2396</v>
      </c>
      <c r="T125" t="s">
        <v>2397</v>
      </c>
      <c r="U125" t="s">
        <v>4205</v>
      </c>
      <c r="V125" t="s">
        <v>4161</v>
      </c>
    </row>
    <row r="126" spans="1:22" x14ac:dyDescent="0.25">
      <c r="A126" t="s">
        <v>2398</v>
      </c>
      <c r="B126" t="s">
        <v>1302</v>
      </c>
      <c r="D126" t="s">
        <v>1171</v>
      </c>
      <c r="E126" t="s">
        <v>50</v>
      </c>
      <c r="F126" t="s">
        <v>59</v>
      </c>
      <c r="H126" t="s">
        <v>60</v>
      </c>
      <c r="I126" t="s">
        <v>1998</v>
      </c>
      <c r="J126" t="s">
        <v>2252</v>
      </c>
      <c r="K126" t="s">
        <v>2398</v>
      </c>
      <c r="N126" s="30" t="s">
        <v>2001</v>
      </c>
      <c r="O126" s="30" t="s">
        <v>1272</v>
      </c>
      <c r="P126" s="30">
        <v>1574</v>
      </c>
      <c r="Q126" s="30" t="s">
        <v>2002</v>
      </c>
      <c r="R126" s="30" t="s">
        <v>2002</v>
      </c>
      <c r="S126" s="30" t="s">
        <v>2399</v>
      </c>
      <c r="T126" t="s">
        <v>2400</v>
      </c>
      <c r="U126" t="s">
        <v>4206</v>
      </c>
      <c r="V126" t="s">
        <v>4161</v>
      </c>
    </row>
    <row r="127" spans="1:22" x14ac:dyDescent="0.25">
      <c r="A127" t="s">
        <v>2401</v>
      </c>
      <c r="B127" t="s">
        <v>1301</v>
      </c>
      <c r="D127" t="s">
        <v>1171</v>
      </c>
      <c r="E127" t="s">
        <v>50</v>
      </c>
      <c r="F127" t="s">
        <v>59</v>
      </c>
      <c r="H127" t="s">
        <v>60</v>
      </c>
      <c r="I127" t="s">
        <v>1998</v>
      </c>
      <c r="J127" t="s">
        <v>2252</v>
      </c>
      <c r="K127" t="s">
        <v>2401</v>
      </c>
      <c r="N127" s="30" t="s">
        <v>2001</v>
      </c>
      <c r="O127" s="30" t="s">
        <v>1272</v>
      </c>
      <c r="P127" s="30">
        <v>1573</v>
      </c>
      <c r="Q127" s="30" t="s">
        <v>2002</v>
      </c>
      <c r="R127" s="30" t="s">
        <v>2002</v>
      </c>
      <c r="S127" s="30" t="s">
        <v>2402</v>
      </c>
      <c r="T127" t="s">
        <v>2403</v>
      </c>
      <c r="U127" t="s">
        <v>4207</v>
      </c>
      <c r="V127" t="s">
        <v>4161</v>
      </c>
    </row>
    <row r="128" spans="1:22" x14ac:dyDescent="0.25">
      <c r="A128" t="s">
        <v>2404</v>
      </c>
      <c r="B128" t="s">
        <v>1679</v>
      </c>
      <c r="D128" t="s">
        <v>1171</v>
      </c>
      <c r="E128" t="s">
        <v>50</v>
      </c>
      <c r="F128" t="s">
        <v>59</v>
      </c>
      <c r="H128" t="s">
        <v>60</v>
      </c>
      <c r="I128" t="s">
        <v>2046</v>
      </c>
      <c r="J128" t="s">
        <v>2301</v>
      </c>
      <c r="K128" t="s">
        <v>2404</v>
      </c>
      <c r="N128" s="30" t="s">
        <v>2048</v>
      </c>
      <c r="O128" s="30" t="s">
        <v>2302</v>
      </c>
      <c r="P128" s="30">
        <v>4000</v>
      </c>
      <c r="Q128" s="30" t="s">
        <v>2002</v>
      </c>
      <c r="R128" s="30" t="s">
        <v>2002</v>
      </c>
      <c r="S128" s="30" t="s">
        <v>2405</v>
      </c>
      <c r="T128" t="s">
        <v>2406</v>
      </c>
      <c r="U128" t="s">
        <v>4208</v>
      </c>
      <c r="V128" t="s">
        <v>4180</v>
      </c>
    </row>
    <row r="129" spans="1:22" x14ac:dyDescent="0.25">
      <c r="A129" t="s">
        <v>2118</v>
      </c>
      <c r="B129" t="s">
        <v>1710</v>
      </c>
      <c r="D129" t="s">
        <v>1171</v>
      </c>
      <c r="E129" t="s">
        <v>50</v>
      </c>
      <c r="F129" t="s">
        <v>180</v>
      </c>
      <c r="H129" t="s">
        <v>60</v>
      </c>
      <c r="I129" t="s">
        <v>1998</v>
      </c>
      <c r="J129" t="s">
        <v>2118</v>
      </c>
      <c r="N129" s="30" t="s">
        <v>2001</v>
      </c>
      <c r="O129" s="30" t="s">
        <v>1988</v>
      </c>
      <c r="P129" s="30" t="s">
        <v>2002</v>
      </c>
      <c r="Q129" s="30" t="s">
        <v>2002</v>
      </c>
      <c r="R129" s="30" t="s">
        <v>2002</v>
      </c>
      <c r="S129" s="30" t="s">
        <v>1988</v>
      </c>
      <c r="T129" t="s">
        <v>2407</v>
      </c>
      <c r="U129" t="s">
        <v>4150</v>
      </c>
      <c r="V129" t="s">
        <v>4084</v>
      </c>
    </row>
    <row r="130" spans="1:22" x14ac:dyDescent="0.25">
      <c r="A130" t="s">
        <v>2408</v>
      </c>
      <c r="B130" t="s">
        <v>1707</v>
      </c>
      <c r="D130" t="s">
        <v>1171</v>
      </c>
      <c r="E130" t="s">
        <v>50</v>
      </c>
      <c r="F130" t="s">
        <v>59</v>
      </c>
      <c r="H130" t="s">
        <v>60</v>
      </c>
      <c r="I130" t="s">
        <v>1998</v>
      </c>
      <c r="J130" t="s">
        <v>2128</v>
      </c>
      <c r="K130" t="s">
        <v>2408</v>
      </c>
      <c r="N130" s="30" t="s">
        <v>2001</v>
      </c>
      <c r="O130" s="30" t="s">
        <v>2130</v>
      </c>
      <c r="P130" s="30">
        <v>1523</v>
      </c>
      <c r="Q130" s="30" t="s">
        <v>2002</v>
      </c>
      <c r="R130" s="30" t="s">
        <v>2002</v>
      </c>
      <c r="S130" s="30" t="s">
        <v>2409</v>
      </c>
      <c r="T130" t="s">
        <v>2410</v>
      </c>
      <c r="U130" t="s">
        <v>4209</v>
      </c>
      <c r="V130" t="s">
        <v>4168</v>
      </c>
    </row>
    <row r="131" spans="1:22" x14ac:dyDescent="0.25">
      <c r="A131" t="s">
        <v>2411</v>
      </c>
      <c r="B131" t="s">
        <v>1745</v>
      </c>
      <c r="D131" t="s">
        <v>1171</v>
      </c>
      <c r="E131" t="s">
        <v>50</v>
      </c>
      <c r="F131" t="s">
        <v>180</v>
      </c>
      <c r="H131" t="s">
        <v>60</v>
      </c>
      <c r="I131" t="s">
        <v>1998</v>
      </c>
      <c r="J131" t="s">
        <v>2411</v>
      </c>
      <c r="N131" s="30" t="s">
        <v>2001</v>
      </c>
      <c r="O131" s="30" t="s">
        <v>1990</v>
      </c>
      <c r="P131" s="30" t="s">
        <v>2002</v>
      </c>
      <c r="Q131" s="30" t="s">
        <v>2002</v>
      </c>
      <c r="R131" s="30" t="s">
        <v>2002</v>
      </c>
      <c r="S131" s="30" t="s">
        <v>1990</v>
      </c>
      <c r="T131" t="s">
        <v>2412</v>
      </c>
      <c r="U131" t="s">
        <v>4210</v>
      </c>
      <c r="V131" t="s">
        <v>4084</v>
      </c>
    </row>
    <row r="132" spans="1:22" x14ac:dyDescent="0.25">
      <c r="A132" t="s">
        <v>2413</v>
      </c>
      <c r="B132" t="s">
        <v>1754</v>
      </c>
      <c r="D132" t="s">
        <v>1171</v>
      </c>
      <c r="E132" t="s">
        <v>50</v>
      </c>
      <c r="F132" t="s">
        <v>180</v>
      </c>
      <c r="H132" t="s">
        <v>60</v>
      </c>
      <c r="I132" t="s">
        <v>1998</v>
      </c>
      <c r="J132" t="s">
        <v>2413</v>
      </c>
      <c r="N132" s="30" t="s">
        <v>2001</v>
      </c>
      <c r="O132" s="30" t="s">
        <v>1989</v>
      </c>
      <c r="P132" s="30" t="s">
        <v>2002</v>
      </c>
      <c r="Q132" s="30" t="s">
        <v>2002</v>
      </c>
      <c r="R132" s="30" t="s">
        <v>2002</v>
      </c>
      <c r="S132" s="30" t="s">
        <v>1989</v>
      </c>
      <c r="T132" t="s">
        <v>2414</v>
      </c>
      <c r="U132" t="s">
        <v>4211</v>
      </c>
      <c r="V132" t="s">
        <v>4084</v>
      </c>
    </row>
    <row r="133" spans="1:22" x14ac:dyDescent="0.25">
      <c r="A133" t="s">
        <v>2415</v>
      </c>
      <c r="B133" t="s">
        <v>1746</v>
      </c>
      <c r="D133" t="s">
        <v>1171</v>
      </c>
      <c r="E133" t="s">
        <v>50</v>
      </c>
      <c r="F133" t="s">
        <v>59</v>
      </c>
      <c r="H133" t="s">
        <v>60</v>
      </c>
      <c r="I133" t="s">
        <v>1998</v>
      </c>
      <c r="J133" t="s">
        <v>2411</v>
      </c>
      <c r="K133" t="s">
        <v>2415</v>
      </c>
      <c r="N133" s="30" t="s">
        <v>2001</v>
      </c>
      <c r="O133" s="30" t="s">
        <v>1990</v>
      </c>
      <c r="P133" s="30">
        <v>1551</v>
      </c>
      <c r="Q133" s="30" t="s">
        <v>2002</v>
      </c>
      <c r="R133" s="30" t="s">
        <v>2002</v>
      </c>
      <c r="S133" s="30" t="s">
        <v>2416</v>
      </c>
      <c r="T133" t="s">
        <v>2417</v>
      </c>
      <c r="U133" t="s">
        <v>4212</v>
      </c>
      <c r="V133" t="s">
        <v>4210</v>
      </c>
    </row>
    <row r="134" spans="1:22" x14ac:dyDescent="0.25">
      <c r="A134" t="s">
        <v>2418</v>
      </c>
      <c r="B134" t="s">
        <v>1755</v>
      </c>
      <c r="D134" t="s">
        <v>1171</v>
      </c>
      <c r="E134" t="s">
        <v>50</v>
      </c>
      <c r="F134" t="s">
        <v>59</v>
      </c>
      <c r="H134" t="s">
        <v>60</v>
      </c>
      <c r="I134" t="s">
        <v>1998</v>
      </c>
      <c r="J134" t="s">
        <v>2413</v>
      </c>
      <c r="K134" t="s">
        <v>2418</v>
      </c>
      <c r="N134" s="30" t="s">
        <v>2001</v>
      </c>
      <c r="O134" s="30" t="s">
        <v>1989</v>
      </c>
      <c r="P134" s="30">
        <v>1568</v>
      </c>
      <c r="Q134" s="30" t="s">
        <v>2002</v>
      </c>
      <c r="R134" s="30" t="s">
        <v>2002</v>
      </c>
      <c r="S134" s="30" t="s">
        <v>2419</v>
      </c>
      <c r="T134" t="s">
        <v>2420</v>
      </c>
      <c r="U134" t="s">
        <v>4213</v>
      </c>
      <c r="V134" t="s">
        <v>4211</v>
      </c>
    </row>
    <row r="135" spans="1:22" x14ac:dyDescent="0.25">
      <c r="A135" t="s">
        <v>2421</v>
      </c>
      <c r="B135" t="s">
        <v>1756</v>
      </c>
      <c r="D135" t="s">
        <v>1171</v>
      </c>
      <c r="E135" t="s">
        <v>50</v>
      </c>
      <c r="F135" t="s">
        <v>59</v>
      </c>
      <c r="H135" t="s">
        <v>60</v>
      </c>
      <c r="I135" t="s">
        <v>1998</v>
      </c>
      <c r="J135" t="s">
        <v>2413</v>
      </c>
      <c r="K135" t="s">
        <v>2421</v>
      </c>
      <c r="N135" s="30" t="s">
        <v>2001</v>
      </c>
      <c r="O135" s="30" t="s">
        <v>1989</v>
      </c>
      <c r="P135" s="30">
        <v>1569</v>
      </c>
      <c r="Q135" s="30" t="s">
        <v>2002</v>
      </c>
      <c r="R135" s="30" t="s">
        <v>2002</v>
      </c>
      <c r="S135" s="30" t="s">
        <v>2422</v>
      </c>
      <c r="T135" t="s">
        <v>2423</v>
      </c>
      <c r="U135" t="s">
        <v>4214</v>
      </c>
      <c r="V135" t="s">
        <v>4211</v>
      </c>
    </row>
    <row r="136" spans="1:22" x14ac:dyDescent="0.25">
      <c r="A136" t="s">
        <v>2424</v>
      </c>
      <c r="B136" t="s">
        <v>1757</v>
      </c>
      <c r="D136" t="s">
        <v>1171</v>
      </c>
      <c r="E136" t="s">
        <v>50</v>
      </c>
      <c r="F136" t="s">
        <v>180</v>
      </c>
      <c r="H136" t="s">
        <v>60</v>
      </c>
      <c r="I136" t="s">
        <v>2046</v>
      </c>
      <c r="J136" t="s">
        <v>2424</v>
      </c>
      <c r="N136" s="30" t="s">
        <v>2048</v>
      </c>
      <c r="O136" s="30" t="s">
        <v>2425</v>
      </c>
      <c r="P136" s="30" t="s">
        <v>2002</v>
      </c>
      <c r="Q136" s="30" t="s">
        <v>2002</v>
      </c>
      <c r="R136" s="30" t="s">
        <v>2002</v>
      </c>
      <c r="S136" s="30" t="s">
        <v>2425</v>
      </c>
      <c r="T136" t="s">
        <v>2426</v>
      </c>
      <c r="U136" t="s">
        <v>4215</v>
      </c>
      <c r="V136" t="s">
        <v>4182</v>
      </c>
    </row>
    <row r="137" spans="1:22" x14ac:dyDescent="0.25">
      <c r="A137" t="s">
        <v>2427</v>
      </c>
      <c r="B137" t="s">
        <v>1758</v>
      </c>
      <c r="D137" t="s">
        <v>1171</v>
      </c>
      <c r="E137" t="s">
        <v>50</v>
      </c>
      <c r="F137" t="s">
        <v>59</v>
      </c>
      <c r="H137" t="s">
        <v>60</v>
      </c>
      <c r="I137" t="s">
        <v>1998</v>
      </c>
      <c r="J137" t="s">
        <v>2259</v>
      </c>
      <c r="K137" t="s">
        <v>2427</v>
      </c>
      <c r="N137" s="30" t="s">
        <v>2001</v>
      </c>
      <c r="O137" s="30" t="s">
        <v>1667</v>
      </c>
      <c r="P137" s="30">
        <v>1562</v>
      </c>
      <c r="Q137" s="30" t="s">
        <v>2002</v>
      </c>
      <c r="R137" s="30" t="s">
        <v>2002</v>
      </c>
      <c r="S137" s="30" t="s">
        <v>2428</v>
      </c>
      <c r="T137" t="s">
        <v>2429</v>
      </c>
      <c r="U137" t="s">
        <v>4216</v>
      </c>
      <c r="V137" t="s">
        <v>4164</v>
      </c>
    </row>
    <row r="138" spans="1:22" x14ac:dyDescent="0.25">
      <c r="A138" t="s">
        <v>2216</v>
      </c>
      <c r="B138" t="s">
        <v>1725</v>
      </c>
      <c r="D138" t="s">
        <v>1171</v>
      </c>
      <c r="E138" t="s">
        <v>50</v>
      </c>
      <c r="F138" t="s">
        <v>59</v>
      </c>
      <c r="H138" t="s">
        <v>60</v>
      </c>
      <c r="I138" t="s">
        <v>1998</v>
      </c>
      <c r="J138" t="s">
        <v>2118</v>
      </c>
      <c r="K138" t="s">
        <v>2216</v>
      </c>
      <c r="N138" s="30" t="s">
        <v>2001</v>
      </c>
      <c r="O138" s="30" t="s">
        <v>1988</v>
      </c>
      <c r="P138" s="30">
        <v>5670</v>
      </c>
      <c r="Q138" s="30" t="s">
        <v>2002</v>
      </c>
      <c r="R138" s="30" t="s">
        <v>2002</v>
      </c>
      <c r="S138" s="30" t="s">
        <v>2430</v>
      </c>
      <c r="T138" t="s">
        <v>2431</v>
      </c>
      <c r="U138" t="s">
        <v>4149</v>
      </c>
      <c r="V138" t="s">
        <v>4150</v>
      </c>
    </row>
    <row r="139" spans="1:22" x14ac:dyDescent="0.25">
      <c r="A139" t="s">
        <v>2432</v>
      </c>
      <c r="B139" t="s">
        <v>1769</v>
      </c>
      <c r="D139" t="s">
        <v>1171</v>
      </c>
      <c r="E139" t="s">
        <v>50</v>
      </c>
      <c r="F139" t="s">
        <v>59</v>
      </c>
      <c r="H139" t="s">
        <v>60</v>
      </c>
      <c r="I139" t="s">
        <v>2046</v>
      </c>
      <c r="J139" t="s">
        <v>2290</v>
      </c>
      <c r="K139" t="s">
        <v>2432</v>
      </c>
      <c r="N139" s="30" t="s">
        <v>2048</v>
      </c>
      <c r="O139" s="30" t="s">
        <v>2291</v>
      </c>
      <c r="P139" s="30">
        <v>1304</v>
      </c>
      <c r="Q139" s="30" t="s">
        <v>2002</v>
      </c>
      <c r="R139" s="30" t="s">
        <v>2002</v>
      </c>
      <c r="S139" s="30" t="s">
        <v>2433</v>
      </c>
      <c r="T139" t="s">
        <v>2434</v>
      </c>
      <c r="U139" t="s">
        <v>4217</v>
      </c>
      <c r="V139" t="s">
        <v>4176</v>
      </c>
    </row>
    <row r="140" spans="1:22" x14ac:dyDescent="0.25">
      <c r="A140" t="s">
        <v>2435</v>
      </c>
      <c r="B140" t="s">
        <v>1239</v>
      </c>
      <c r="D140" t="s">
        <v>1171</v>
      </c>
      <c r="E140" t="s">
        <v>50</v>
      </c>
      <c r="F140" t="s">
        <v>45</v>
      </c>
      <c r="I140" t="s">
        <v>1998</v>
      </c>
      <c r="J140" t="s">
        <v>1999</v>
      </c>
      <c r="K140" t="s">
        <v>2055</v>
      </c>
      <c r="L140" t="s">
        <v>2435</v>
      </c>
      <c r="N140" s="30" t="s">
        <v>2001</v>
      </c>
      <c r="O140" s="30" t="s">
        <v>1179</v>
      </c>
      <c r="P140" s="30">
        <v>1544</v>
      </c>
      <c r="Q140" s="30" t="s">
        <v>2436</v>
      </c>
      <c r="R140" s="30" t="s">
        <v>2002</v>
      </c>
      <c r="S140" s="30" t="s">
        <v>2437</v>
      </c>
      <c r="T140" t="s">
        <v>2438</v>
      </c>
      <c r="U140" t="s">
        <v>4218</v>
      </c>
      <c r="V140" t="s">
        <v>4092</v>
      </c>
    </row>
    <row r="141" spans="1:22" x14ac:dyDescent="0.25">
      <c r="A141" t="s">
        <v>2963</v>
      </c>
      <c r="B141" t="s">
        <v>1240</v>
      </c>
      <c r="D141" t="s">
        <v>1171</v>
      </c>
      <c r="E141" t="s">
        <v>50</v>
      </c>
      <c r="F141" t="s">
        <v>45</v>
      </c>
      <c r="I141" t="s">
        <v>2046</v>
      </c>
      <c r="J141" t="s">
        <v>2047</v>
      </c>
      <c r="L141" t="s">
        <v>2963</v>
      </c>
      <c r="N141" s="30" t="s">
        <v>2048</v>
      </c>
      <c r="O141" s="30" t="s">
        <v>2049</v>
      </c>
      <c r="P141" s="30" t="s">
        <v>2050</v>
      </c>
      <c r="Q141" s="30" t="s">
        <v>2439</v>
      </c>
      <c r="R141" s="30" t="s">
        <v>2002</v>
      </c>
      <c r="S141" s="30" t="s">
        <v>2440</v>
      </c>
      <c r="T141" t="s">
        <v>2441</v>
      </c>
      <c r="U141" t="s">
        <v>4219</v>
      </c>
      <c r="V141" t="s">
        <v>4090</v>
      </c>
    </row>
    <row r="142" spans="1:22" x14ac:dyDescent="0.25">
      <c r="A142" t="s">
        <v>2442</v>
      </c>
      <c r="B142" t="s">
        <v>1242</v>
      </c>
      <c r="D142" t="s">
        <v>1171</v>
      </c>
      <c r="E142" t="s">
        <v>50</v>
      </c>
      <c r="F142" t="s">
        <v>45</v>
      </c>
      <c r="I142" t="s">
        <v>1998</v>
      </c>
      <c r="J142" t="s">
        <v>1999</v>
      </c>
      <c r="K142" t="s">
        <v>2055</v>
      </c>
      <c r="L142" t="s">
        <v>2442</v>
      </c>
      <c r="N142" s="30" t="s">
        <v>2001</v>
      </c>
      <c r="O142" s="30" t="s">
        <v>1179</v>
      </c>
      <c r="P142" s="30">
        <v>1544</v>
      </c>
      <c r="Q142" s="30" t="s">
        <v>2443</v>
      </c>
      <c r="R142" s="30" t="s">
        <v>2002</v>
      </c>
      <c r="S142" s="30" t="s">
        <v>2444</v>
      </c>
      <c r="T142" t="s">
        <v>2445</v>
      </c>
      <c r="U142" t="s">
        <v>4220</v>
      </c>
      <c r="V142" t="s">
        <v>4092</v>
      </c>
    </row>
    <row r="143" spans="1:22" x14ac:dyDescent="0.25">
      <c r="A143" t="s">
        <v>2964</v>
      </c>
      <c r="B143" t="s">
        <v>1253</v>
      </c>
      <c r="D143" t="s">
        <v>1171</v>
      </c>
      <c r="E143" t="s">
        <v>50</v>
      </c>
      <c r="F143" t="s">
        <v>315</v>
      </c>
      <c r="I143" t="s">
        <v>2046</v>
      </c>
      <c r="J143" t="s">
        <v>2047</v>
      </c>
      <c r="L143" t="s">
        <v>2446</v>
      </c>
      <c r="M143" t="s">
        <v>2964</v>
      </c>
      <c r="N143" s="30" t="s">
        <v>2048</v>
      </c>
      <c r="O143" s="30" t="s">
        <v>2049</v>
      </c>
      <c r="P143" s="30" t="s">
        <v>2050</v>
      </c>
      <c r="Q143" s="30" t="s">
        <v>2012</v>
      </c>
      <c r="R143" s="30" t="s">
        <v>2032</v>
      </c>
      <c r="S143" s="30" t="s">
        <v>2447</v>
      </c>
      <c r="T143" t="s">
        <v>2448</v>
      </c>
      <c r="U143" t="s">
        <v>4221</v>
      </c>
      <c r="V143" t="s">
        <v>4222</v>
      </c>
    </row>
    <row r="144" spans="1:22" x14ac:dyDescent="0.25">
      <c r="A144" t="s">
        <v>2449</v>
      </c>
      <c r="B144" t="s">
        <v>1254</v>
      </c>
      <c r="D144" t="s">
        <v>1171</v>
      </c>
      <c r="E144" t="s">
        <v>50</v>
      </c>
      <c r="F144" t="s">
        <v>315</v>
      </c>
      <c r="I144" t="s">
        <v>2046</v>
      </c>
      <c r="J144" t="s">
        <v>2047</v>
      </c>
      <c r="L144" t="s">
        <v>2446</v>
      </c>
      <c r="M144" t="s">
        <v>2449</v>
      </c>
      <c r="N144" s="30" t="s">
        <v>2048</v>
      </c>
      <c r="O144" s="30" t="s">
        <v>2049</v>
      </c>
      <c r="P144" s="30" t="s">
        <v>2050</v>
      </c>
      <c r="Q144" s="30" t="s">
        <v>2012</v>
      </c>
      <c r="R144" s="30" t="s">
        <v>2012</v>
      </c>
      <c r="S144" s="30" t="s">
        <v>2450</v>
      </c>
      <c r="T144" t="s">
        <v>2451</v>
      </c>
      <c r="U144" t="s">
        <v>4223</v>
      </c>
      <c r="V144" t="s">
        <v>4222</v>
      </c>
    </row>
    <row r="145" spans="1:22" x14ac:dyDescent="0.25">
      <c r="A145" t="s">
        <v>2965</v>
      </c>
      <c r="B145" t="s">
        <v>1252</v>
      </c>
      <c r="D145" t="s">
        <v>1171</v>
      </c>
      <c r="E145" t="s">
        <v>50</v>
      </c>
      <c r="F145" t="s">
        <v>315</v>
      </c>
      <c r="I145" t="s">
        <v>2046</v>
      </c>
      <c r="J145" t="s">
        <v>2047</v>
      </c>
      <c r="L145" t="s">
        <v>2446</v>
      </c>
      <c r="M145" t="s">
        <v>2965</v>
      </c>
      <c r="N145" s="30" t="s">
        <v>2048</v>
      </c>
      <c r="O145" s="30" t="s">
        <v>2049</v>
      </c>
      <c r="P145" s="30" t="s">
        <v>2050</v>
      </c>
      <c r="Q145" s="30" t="s">
        <v>2012</v>
      </c>
      <c r="R145" s="30" t="s">
        <v>2040</v>
      </c>
      <c r="S145" s="30" t="s">
        <v>2452</v>
      </c>
      <c r="T145" t="s">
        <v>2453</v>
      </c>
      <c r="U145" t="s">
        <v>4224</v>
      </c>
      <c r="V145" t="s">
        <v>4222</v>
      </c>
    </row>
    <row r="146" spans="1:22" x14ac:dyDescent="0.25">
      <c r="A146" t="s">
        <v>2966</v>
      </c>
      <c r="B146" t="s">
        <v>1255</v>
      </c>
      <c r="D146" t="s">
        <v>1171</v>
      </c>
      <c r="E146" t="s">
        <v>50</v>
      </c>
      <c r="F146" t="s">
        <v>315</v>
      </c>
      <c r="I146" t="s">
        <v>2046</v>
      </c>
      <c r="J146" t="s">
        <v>2047</v>
      </c>
      <c r="L146" t="s">
        <v>2446</v>
      </c>
      <c r="M146" t="s">
        <v>2966</v>
      </c>
      <c r="N146" s="30" t="s">
        <v>2048</v>
      </c>
      <c r="O146" s="30" t="s">
        <v>2049</v>
      </c>
      <c r="P146" s="30" t="s">
        <v>2050</v>
      </c>
      <c r="Q146" s="30" t="s">
        <v>2012</v>
      </c>
      <c r="R146" s="30" t="s">
        <v>2439</v>
      </c>
      <c r="S146" s="30" t="s">
        <v>2454</v>
      </c>
      <c r="T146" t="s">
        <v>2455</v>
      </c>
      <c r="U146" t="s">
        <v>4225</v>
      </c>
      <c r="V146" t="s">
        <v>4222</v>
      </c>
    </row>
    <row r="147" spans="1:22" x14ac:dyDescent="0.25">
      <c r="A147" t="s">
        <v>2967</v>
      </c>
      <c r="B147" t="s">
        <v>1250</v>
      </c>
      <c r="D147" t="s">
        <v>1171</v>
      </c>
      <c r="E147" t="s">
        <v>50</v>
      </c>
      <c r="F147" t="s">
        <v>315</v>
      </c>
      <c r="I147" t="s">
        <v>2046</v>
      </c>
      <c r="J147" t="s">
        <v>2047</v>
      </c>
      <c r="L147" t="s">
        <v>2446</v>
      </c>
      <c r="M147" t="s">
        <v>2967</v>
      </c>
      <c r="N147" s="30" t="s">
        <v>2048</v>
      </c>
      <c r="O147" s="30" t="s">
        <v>2049</v>
      </c>
      <c r="P147" s="30" t="s">
        <v>2050</v>
      </c>
      <c r="Q147" s="30" t="s">
        <v>2012</v>
      </c>
      <c r="R147" s="30" t="s">
        <v>2099</v>
      </c>
      <c r="S147" s="30" t="s">
        <v>2456</v>
      </c>
      <c r="T147" t="s">
        <v>2457</v>
      </c>
      <c r="U147" t="s">
        <v>4226</v>
      </c>
      <c r="V147" t="s">
        <v>4222</v>
      </c>
    </row>
    <row r="148" spans="1:22" x14ac:dyDescent="0.25">
      <c r="A148" t="s">
        <v>2458</v>
      </c>
      <c r="B148" t="s">
        <v>1243</v>
      </c>
      <c r="D148" t="s">
        <v>1171</v>
      </c>
      <c r="E148" t="s">
        <v>50</v>
      </c>
      <c r="F148" t="s">
        <v>45</v>
      </c>
      <c r="I148" t="s">
        <v>2046</v>
      </c>
      <c r="J148" t="s">
        <v>2047</v>
      </c>
      <c r="L148" t="s">
        <v>2458</v>
      </c>
      <c r="N148" s="30" t="s">
        <v>2048</v>
      </c>
      <c r="O148" s="30" t="s">
        <v>2049</v>
      </c>
      <c r="P148" s="30" t="s">
        <v>2050</v>
      </c>
      <c r="Q148" s="30" t="s">
        <v>2007</v>
      </c>
      <c r="R148" s="30" t="s">
        <v>2002</v>
      </c>
      <c r="S148" s="30" t="s">
        <v>2459</v>
      </c>
      <c r="T148" t="s">
        <v>2460</v>
      </c>
      <c r="U148" t="s">
        <v>4227</v>
      </c>
      <c r="V148" t="s">
        <v>4090</v>
      </c>
    </row>
    <row r="149" spans="1:22" x14ac:dyDescent="0.25">
      <c r="A149" t="s">
        <v>2461</v>
      </c>
      <c r="B149" t="s">
        <v>1709</v>
      </c>
      <c r="D149" t="s">
        <v>1171</v>
      </c>
      <c r="E149" t="s">
        <v>50</v>
      </c>
      <c r="F149" t="s">
        <v>45</v>
      </c>
      <c r="H149" t="s">
        <v>60</v>
      </c>
      <c r="I149" t="s">
        <v>1998</v>
      </c>
      <c r="J149" t="s">
        <v>2128</v>
      </c>
      <c r="K149" t="s">
        <v>2268</v>
      </c>
      <c r="L149" t="s">
        <v>2461</v>
      </c>
      <c r="N149" s="30" t="s">
        <v>2001</v>
      </c>
      <c r="O149" s="30" t="s">
        <v>2130</v>
      </c>
      <c r="P149" s="30">
        <v>1520</v>
      </c>
      <c r="Q149" s="30" t="s">
        <v>2233</v>
      </c>
      <c r="R149" s="30" t="s">
        <v>2002</v>
      </c>
      <c r="S149" s="30" t="s">
        <v>2462</v>
      </c>
      <c r="T149" t="s">
        <v>2463</v>
      </c>
      <c r="U149" t="s">
        <v>4228</v>
      </c>
      <c r="V149" t="s">
        <v>4167</v>
      </c>
    </row>
    <row r="150" spans="1:22" x14ac:dyDescent="0.25">
      <c r="A150" t="s">
        <v>2464</v>
      </c>
      <c r="B150" t="s">
        <v>1247</v>
      </c>
      <c r="D150" t="s">
        <v>1171</v>
      </c>
      <c r="E150" t="s">
        <v>1246</v>
      </c>
      <c r="F150" t="s">
        <v>45</v>
      </c>
      <c r="I150" t="s">
        <v>2046</v>
      </c>
      <c r="J150" t="s">
        <v>2047</v>
      </c>
      <c r="L150" t="s">
        <v>2464</v>
      </c>
      <c r="N150" s="30" t="s">
        <v>2048</v>
      </c>
      <c r="O150" s="30" t="s">
        <v>2049</v>
      </c>
      <c r="P150" s="30" t="s">
        <v>2050</v>
      </c>
      <c r="Q150" s="30" t="s">
        <v>2036</v>
      </c>
      <c r="R150" s="30" t="s">
        <v>2002</v>
      </c>
      <c r="S150" s="30" t="s">
        <v>2465</v>
      </c>
      <c r="T150" t="s">
        <v>2466</v>
      </c>
      <c r="U150" t="s">
        <v>4229</v>
      </c>
      <c r="V150" t="s">
        <v>4090</v>
      </c>
    </row>
    <row r="151" spans="1:22" x14ac:dyDescent="0.25">
      <c r="A151" t="s">
        <v>2469</v>
      </c>
      <c r="B151" t="s">
        <v>1241</v>
      </c>
      <c r="D151" t="s">
        <v>1171</v>
      </c>
      <c r="E151" t="s">
        <v>50</v>
      </c>
      <c r="F151" t="s">
        <v>315</v>
      </c>
      <c r="I151" t="s">
        <v>2046</v>
      </c>
      <c r="J151" t="s">
        <v>2047</v>
      </c>
      <c r="L151" t="s">
        <v>2446</v>
      </c>
      <c r="M151" t="s">
        <v>2469</v>
      </c>
      <c r="N151" s="30" t="s">
        <v>2048</v>
      </c>
      <c r="O151" s="30" t="s">
        <v>2049</v>
      </c>
      <c r="P151" s="30" t="s">
        <v>2050</v>
      </c>
      <c r="Q151" s="30" t="s">
        <v>2012</v>
      </c>
      <c r="R151" s="30" t="s">
        <v>2051</v>
      </c>
      <c r="S151" s="30" t="s">
        <v>2470</v>
      </c>
      <c r="T151" t="s">
        <v>2471</v>
      </c>
      <c r="U151" t="s">
        <v>4230</v>
      </c>
      <c r="V151" t="s">
        <v>4222</v>
      </c>
    </row>
    <row r="152" spans="1:22" x14ac:dyDescent="0.25">
      <c r="A152" t="s">
        <v>2446</v>
      </c>
      <c r="B152" t="s">
        <v>1249</v>
      </c>
      <c r="D152" t="s">
        <v>1171</v>
      </c>
      <c r="E152" t="s">
        <v>1246</v>
      </c>
      <c r="F152" t="s">
        <v>45</v>
      </c>
      <c r="I152" t="s">
        <v>2046</v>
      </c>
      <c r="J152" t="s">
        <v>2047</v>
      </c>
      <c r="L152" t="s">
        <v>2446</v>
      </c>
      <c r="N152" s="30" t="s">
        <v>2048</v>
      </c>
      <c r="O152" s="30" t="s">
        <v>2049</v>
      </c>
      <c r="P152" s="30" t="s">
        <v>2050</v>
      </c>
      <c r="Q152" s="30" t="s">
        <v>2012</v>
      </c>
      <c r="R152" s="30" t="s">
        <v>2002</v>
      </c>
      <c r="S152" s="30" t="s">
        <v>2472</v>
      </c>
      <c r="T152" t="s">
        <v>2473</v>
      </c>
      <c r="U152" t="s">
        <v>4222</v>
      </c>
      <c r="V152" t="s">
        <v>4090</v>
      </c>
    </row>
    <row r="153" spans="1:22" x14ac:dyDescent="0.25">
      <c r="A153" t="s">
        <v>2046</v>
      </c>
      <c r="B153" t="s">
        <v>2474</v>
      </c>
      <c r="D153" t="s">
        <v>1171</v>
      </c>
      <c r="E153" t="s">
        <v>50</v>
      </c>
      <c r="F153" t="s">
        <v>1176</v>
      </c>
      <c r="I153" t="s">
        <v>2046</v>
      </c>
      <c r="N153" s="30" t="s">
        <v>2048</v>
      </c>
      <c r="O153" s="30" t="s">
        <v>2002</v>
      </c>
      <c r="P153" s="30" t="s">
        <v>2002</v>
      </c>
      <c r="Q153" s="30" t="s">
        <v>2002</v>
      </c>
      <c r="R153" s="30" t="s">
        <v>2002</v>
      </c>
      <c r="S153" s="30" t="s">
        <v>2002</v>
      </c>
      <c r="U153" t="s">
        <v>4182</v>
      </c>
    </row>
    <row r="154" spans="1:22" x14ac:dyDescent="0.25">
      <c r="A154" t="s">
        <v>2185</v>
      </c>
      <c r="B154" t="s">
        <v>2475</v>
      </c>
      <c r="D154" t="s">
        <v>1171</v>
      </c>
      <c r="E154" t="s">
        <v>50</v>
      </c>
      <c r="F154" t="s">
        <v>180</v>
      </c>
      <c r="H154" t="s">
        <v>60</v>
      </c>
      <c r="I154" t="s">
        <v>2046</v>
      </c>
      <c r="J154" t="s">
        <v>2185</v>
      </c>
      <c r="N154" s="30" t="s">
        <v>2048</v>
      </c>
      <c r="O154" s="30" t="s">
        <v>2186</v>
      </c>
      <c r="P154" s="30" t="s">
        <v>2002</v>
      </c>
      <c r="Q154" s="30" t="s">
        <v>2002</v>
      </c>
      <c r="R154" s="30" t="s">
        <v>2002</v>
      </c>
      <c r="S154" s="30" t="s">
        <v>2186</v>
      </c>
      <c r="U154" t="s">
        <v>4136</v>
      </c>
      <c r="V154" t="s">
        <v>4182</v>
      </c>
    </row>
    <row r="155" spans="1:22" x14ac:dyDescent="0.25">
      <c r="A155" t="s">
        <v>2090</v>
      </c>
      <c r="B155" t="s">
        <v>2476</v>
      </c>
      <c r="D155" t="s">
        <v>1171</v>
      </c>
      <c r="E155" t="s">
        <v>50</v>
      </c>
      <c r="F155" t="s">
        <v>180</v>
      </c>
      <c r="H155" t="s">
        <v>60</v>
      </c>
      <c r="I155" t="s">
        <v>2046</v>
      </c>
      <c r="J155" t="s">
        <v>2090</v>
      </c>
      <c r="N155" s="30" t="s">
        <v>2048</v>
      </c>
      <c r="O155" s="30" t="s">
        <v>2091</v>
      </c>
      <c r="P155" s="30" t="s">
        <v>2002</v>
      </c>
      <c r="Q155" s="30" t="s">
        <v>2002</v>
      </c>
      <c r="R155" s="30" t="s">
        <v>2002</v>
      </c>
      <c r="S155" s="30" t="s">
        <v>2091</v>
      </c>
      <c r="U155" t="s">
        <v>4104</v>
      </c>
      <c r="V155" t="s">
        <v>4182</v>
      </c>
    </row>
    <row r="156" spans="1:22" x14ac:dyDescent="0.25">
      <c r="A156" t="s">
        <v>2047</v>
      </c>
      <c r="B156" t="s">
        <v>2477</v>
      </c>
      <c r="D156" t="s">
        <v>1171</v>
      </c>
      <c r="E156" t="s">
        <v>50</v>
      </c>
      <c r="F156" t="s">
        <v>180</v>
      </c>
      <c r="H156" t="s">
        <v>60</v>
      </c>
      <c r="I156" t="s">
        <v>2046</v>
      </c>
      <c r="J156" t="s">
        <v>2047</v>
      </c>
      <c r="N156" s="30" t="s">
        <v>2048</v>
      </c>
      <c r="O156" s="30" t="s">
        <v>2049</v>
      </c>
      <c r="P156" s="30" t="s">
        <v>2002</v>
      </c>
      <c r="Q156" s="30" t="s">
        <v>2002</v>
      </c>
      <c r="R156" s="30" t="s">
        <v>2002</v>
      </c>
      <c r="S156" s="30" t="s">
        <v>2049</v>
      </c>
      <c r="U156" t="s">
        <v>4090</v>
      </c>
      <c r="V156" t="s">
        <v>4182</v>
      </c>
    </row>
    <row r="157" spans="1:22" x14ac:dyDescent="0.25">
      <c r="A157" t="s">
        <v>2212</v>
      </c>
      <c r="B157" t="s">
        <v>2478</v>
      </c>
      <c r="D157" t="s">
        <v>1171</v>
      </c>
      <c r="E157" t="s">
        <v>50</v>
      </c>
      <c r="F157" t="s">
        <v>59</v>
      </c>
      <c r="H157" t="s">
        <v>60</v>
      </c>
      <c r="I157" t="s">
        <v>1998</v>
      </c>
      <c r="J157" t="s">
        <v>2118</v>
      </c>
      <c r="K157" t="s">
        <v>2212</v>
      </c>
      <c r="N157" s="30" t="s">
        <v>2001</v>
      </c>
      <c r="O157" s="30" t="s">
        <v>1988</v>
      </c>
      <c r="P157" s="30">
        <v>5670</v>
      </c>
      <c r="Q157" s="30" t="s">
        <v>2002</v>
      </c>
      <c r="R157" s="30" t="s">
        <v>2002</v>
      </c>
      <c r="S157" s="30" t="s">
        <v>2430</v>
      </c>
      <c r="T157" t="s">
        <v>2431</v>
      </c>
      <c r="U157" t="s">
        <v>4147</v>
      </c>
      <c r="V157" t="s">
        <v>4150</v>
      </c>
    </row>
    <row r="158" spans="1:22" x14ac:dyDescent="0.25">
      <c r="A158" t="s">
        <v>2071</v>
      </c>
      <c r="B158" t="s">
        <v>2479</v>
      </c>
      <c r="D158" t="s">
        <v>1171</v>
      </c>
      <c r="E158" t="s">
        <v>50</v>
      </c>
      <c r="F158" t="s">
        <v>180</v>
      </c>
      <c r="H158" t="s">
        <v>60</v>
      </c>
      <c r="I158" t="s">
        <v>1998</v>
      </c>
      <c r="J158" t="s">
        <v>2071</v>
      </c>
      <c r="N158" s="30" t="s">
        <v>2001</v>
      </c>
      <c r="O158" s="30" t="s">
        <v>1991</v>
      </c>
      <c r="P158" s="30" t="s">
        <v>2002</v>
      </c>
      <c r="Q158" s="30" t="s">
        <v>2002</v>
      </c>
      <c r="R158" s="30" t="s">
        <v>2002</v>
      </c>
      <c r="S158" s="30" t="s">
        <v>1991</v>
      </c>
      <c r="U158" t="s">
        <v>4098</v>
      </c>
      <c r="V158" t="s">
        <v>4084</v>
      </c>
    </row>
    <row r="159" spans="1:22" x14ac:dyDescent="0.25">
      <c r="A159" t="s">
        <v>3083</v>
      </c>
      <c r="B159" t="s">
        <v>3084</v>
      </c>
      <c r="C159" t="s">
        <v>3200</v>
      </c>
      <c r="D159" t="s">
        <v>1171</v>
      </c>
      <c r="E159" t="s">
        <v>50</v>
      </c>
      <c r="F159" t="s">
        <v>45</v>
      </c>
      <c r="I159" t="s">
        <v>1998</v>
      </c>
      <c r="J159" t="s">
        <v>1999</v>
      </c>
      <c r="K159" t="s">
        <v>2055</v>
      </c>
      <c r="L159" t="s">
        <v>3083</v>
      </c>
      <c r="N159" s="30" t="s">
        <v>2001</v>
      </c>
      <c r="O159" s="30" t="s">
        <v>1179</v>
      </c>
      <c r="P159" s="30">
        <v>1544</v>
      </c>
      <c r="Q159" s="30" t="s">
        <v>2443</v>
      </c>
      <c r="R159" s="30" t="s">
        <v>2002</v>
      </c>
      <c r="S159" s="30" t="s">
        <v>2444</v>
      </c>
      <c r="T159" t="s">
        <v>2445</v>
      </c>
      <c r="U159" t="s">
        <v>4231</v>
      </c>
      <c r="V159" t="s">
        <v>4092</v>
      </c>
    </row>
    <row r="160" spans="1:22" x14ac:dyDescent="0.25">
      <c r="A160" t="s">
        <v>3085</v>
      </c>
      <c r="B160" t="s">
        <v>3086</v>
      </c>
      <c r="C160" t="s">
        <v>3201</v>
      </c>
      <c r="D160" t="s">
        <v>1171</v>
      </c>
      <c r="E160" t="s">
        <v>50</v>
      </c>
      <c r="F160" t="s">
        <v>45</v>
      </c>
      <c r="I160" t="s">
        <v>1998</v>
      </c>
      <c r="J160" t="s">
        <v>1999</v>
      </c>
      <c r="K160" t="s">
        <v>2055</v>
      </c>
      <c r="L160" t="s">
        <v>3085</v>
      </c>
      <c r="N160" s="30" t="s">
        <v>2001</v>
      </c>
      <c r="O160" s="30" t="s">
        <v>1179</v>
      </c>
      <c r="P160" s="30">
        <v>1544</v>
      </c>
      <c r="Q160" s="30" t="s">
        <v>2443</v>
      </c>
      <c r="R160" s="30" t="s">
        <v>2002</v>
      </c>
      <c r="S160" s="30" t="s">
        <v>2444</v>
      </c>
      <c r="T160" t="s">
        <v>2445</v>
      </c>
      <c r="U160" t="s">
        <v>4232</v>
      </c>
      <c r="V160" t="s">
        <v>4092</v>
      </c>
    </row>
    <row r="161" spans="1:22" x14ac:dyDescent="0.25">
      <c r="A161" t="s">
        <v>3087</v>
      </c>
      <c r="B161" t="s">
        <v>3088</v>
      </c>
      <c r="C161" t="s">
        <v>3202</v>
      </c>
      <c r="D161" t="s">
        <v>1171</v>
      </c>
      <c r="E161" t="s">
        <v>50</v>
      </c>
      <c r="F161" t="s">
        <v>45</v>
      </c>
      <c r="I161" t="s">
        <v>1998</v>
      </c>
      <c r="J161" t="s">
        <v>1999</v>
      </c>
      <c r="K161" t="s">
        <v>2055</v>
      </c>
      <c r="L161" t="s">
        <v>3087</v>
      </c>
      <c r="N161" s="30" t="s">
        <v>2001</v>
      </c>
      <c r="O161" s="30" t="s">
        <v>1179</v>
      </c>
      <c r="P161" s="30">
        <v>1544</v>
      </c>
      <c r="Q161" s="30" t="s">
        <v>2443</v>
      </c>
      <c r="R161" s="30" t="s">
        <v>2002</v>
      </c>
      <c r="S161" s="30" t="s">
        <v>2444</v>
      </c>
      <c r="T161" t="s">
        <v>2445</v>
      </c>
      <c r="U161" t="s">
        <v>4233</v>
      </c>
      <c r="V161" t="s">
        <v>4092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61046-7C7A-4A24-A9E1-27501CF49C31}">
  <sheetPr codeName="Sheet12"/>
  <dimension ref="A1:B28"/>
  <sheetViews>
    <sheetView zoomScale="192" workbookViewId="0">
      <pane ySplit="1" topLeftCell="A7" activePane="bottomLeft" state="frozen"/>
      <selection pane="bottomLeft" activeCell="B14" sqref="B14"/>
    </sheetView>
  </sheetViews>
  <sheetFormatPr defaultColWidth="11.42578125" defaultRowHeight="15" x14ac:dyDescent="0.25"/>
  <cols>
    <col min="1" max="1" width="22.140625" customWidth="1"/>
    <col min="2" max="2" width="48.7109375" customWidth="1"/>
  </cols>
  <sheetData>
    <row r="1" spans="1:2" x14ac:dyDescent="0.25">
      <c r="A1" s="19" t="s">
        <v>1892</v>
      </c>
      <c r="B1" s="19" t="s">
        <v>1051</v>
      </c>
    </row>
    <row r="2" spans="1:2" x14ac:dyDescent="0.25">
      <c r="A2" t="s">
        <v>1893</v>
      </c>
    </row>
    <row r="3" spans="1:2" x14ac:dyDescent="0.25">
      <c r="A3" t="s">
        <v>1894</v>
      </c>
      <c r="B3" t="s">
        <v>1895</v>
      </c>
    </row>
    <row r="4" spans="1:2" x14ac:dyDescent="0.25">
      <c r="A4" t="s">
        <v>1896</v>
      </c>
      <c r="B4" t="s">
        <v>1897</v>
      </c>
    </row>
    <row r="5" spans="1:2" x14ac:dyDescent="0.25">
      <c r="A5" t="s">
        <v>1898</v>
      </c>
      <c r="B5" t="s">
        <v>1899</v>
      </c>
    </row>
    <row r="6" spans="1:2" x14ac:dyDescent="0.25">
      <c r="A6" t="s">
        <v>1900</v>
      </c>
      <c r="B6" t="s">
        <v>1901</v>
      </c>
    </row>
    <row r="7" spans="1:2" x14ac:dyDescent="0.25">
      <c r="A7" t="s">
        <v>1902</v>
      </c>
    </row>
    <row r="8" spans="1:2" x14ac:dyDescent="0.25">
      <c r="A8" t="s">
        <v>1903</v>
      </c>
      <c r="B8" t="s">
        <v>1904</v>
      </c>
    </row>
    <row r="9" spans="1:2" x14ac:dyDescent="0.25">
      <c r="A9" t="s">
        <v>1905</v>
      </c>
      <c r="B9" t="s">
        <v>1906</v>
      </c>
    </row>
    <row r="10" spans="1:2" x14ac:dyDescent="0.25">
      <c r="A10" t="s">
        <v>1907</v>
      </c>
      <c r="B10" t="s">
        <v>1908</v>
      </c>
    </row>
    <row r="11" spans="1:2" x14ac:dyDescent="0.25">
      <c r="A11" t="s">
        <v>1909</v>
      </c>
      <c r="B11" t="s">
        <v>1910</v>
      </c>
    </row>
    <row r="12" spans="1:2" x14ac:dyDescent="0.25">
      <c r="A12" t="s">
        <v>1911</v>
      </c>
    </row>
    <row r="13" spans="1:2" x14ac:dyDescent="0.25">
      <c r="A13" t="s">
        <v>1912</v>
      </c>
      <c r="B13" t="s">
        <v>1913</v>
      </c>
    </row>
    <row r="14" spans="1:2" x14ac:dyDescent="0.25">
      <c r="A14" t="s">
        <v>1914</v>
      </c>
      <c r="B14" t="s">
        <v>1915</v>
      </c>
    </row>
    <row r="15" spans="1:2" x14ac:dyDescent="0.25">
      <c r="A15" t="s">
        <v>1916</v>
      </c>
      <c r="B15" t="s">
        <v>1917</v>
      </c>
    </row>
    <row r="16" spans="1:2" x14ac:dyDescent="0.25">
      <c r="A16" t="s">
        <v>1918</v>
      </c>
      <c r="B16" t="s">
        <v>1919</v>
      </c>
    </row>
    <row r="17" spans="1:2" x14ac:dyDescent="0.25">
      <c r="A17" t="s">
        <v>1920</v>
      </c>
    </row>
    <row r="18" spans="1:2" x14ac:dyDescent="0.25">
      <c r="A18" t="s">
        <v>1921</v>
      </c>
      <c r="B18" t="s">
        <v>1922</v>
      </c>
    </row>
    <row r="19" spans="1:2" x14ac:dyDescent="0.25">
      <c r="A19" t="s">
        <v>1923</v>
      </c>
      <c r="B19" t="s">
        <v>1924</v>
      </c>
    </row>
    <row r="20" spans="1:2" x14ac:dyDescent="0.25">
      <c r="A20" t="s">
        <v>1925</v>
      </c>
    </row>
    <row r="21" spans="1:2" x14ac:dyDescent="0.25">
      <c r="A21" t="s">
        <v>1926</v>
      </c>
      <c r="B21" t="s">
        <v>1927</v>
      </c>
    </row>
    <row r="22" spans="1:2" x14ac:dyDescent="0.25">
      <c r="A22" t="s">
        <v>1928</v>
      </c>
      <c r="B22" t="s">
        <v>1929</v>
      </c>
    </row>
    <row r="23" spans="1:2" x14ac:dyDescent="0.25">
      <c r="A23" t="s">
        <v>1930</v>
      </c>
      <c r="B23" t="s">
        <v>1931</v>
      </c>
    </row>
    <row r="24" spans="1:2" x14ac:dyDescent="0.25">
      <c r="A24" t="s">
        <v>1932</v>
      </c>
      <c r="B24" t="s">
        <v>1933</v>
      </c>
    </row>
    <row r="25" spans="1:2" x14ac:dyDescent="0.25">
      <c r="A25" t="s">
        <v>1934</v>
      </c>
      <c r="B25" t="s">
        <v>1935</v>
      </c>
    </row>
    <row r="26" spans="1:2" x14ac:dyDescent="0.25">
      <c r="A26" t="s">
        <v>1936</v>
      </c>
      <c r="B26" t="s">
        <v>1937</v>
      </c>
    </row>
    <row r="27" spans="1:2" x14ac:dyDescent="0.25">
      <c r="A27" t="s">
        <v>1938</v>
      </c>
      <c r="B27" t="s">
        <v>1939</v>
      </c>
    </row>
    <row r="28" spans="1:2" x14ac:dyDescent="0.25">
      <c r="A28" t="s">
        <v>1940</v>
      </c>
      <c r="B28" t="s">
        <v>1941</v>
      </c>
    </row>
  </sheetData>
  <autoFilter ref="A1:B1" xr:uid="{E5261046-7C7A-4A24-A9E1-27501CF49C31}">
    <sortState xmlns:xlrd2="http://schemas.microsoft.com/office/spreadsheetml/2017/richdata2" ref="A2:B28">
      <sortCondition ref="A1"/>
    </sortState>
  </autoFilter>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D5EDB-913C-43F8-BFE9-19AC64A2DA99}">
  <sheetPr codeName="Sheet13"/>
  <dimension ref="A1:M61"/>
  <sheetViews>
    <sheetView workbookViewId="0">
      <selection activeCell="F9" sqref="F9"/>
    </sheetView>
  </sheetViews>
  <sheetFormatPr defaultColWidth="8.85546875" defaultRowHeight="15" x14ac:dyDescent="0.25"/>
  <cols>
    <col min="1" max="1" width="21.140625" bestFit="1" customWidth="1"/>
    <col min="2" max="2" width="31.28515625" bestFit="1" customWidth="1"/>
    <col min="4" max="4" width="32.85546875" bestFit="1" customWidth="1"/>
    <col min="5" max="5" width="23.42578125" customWidth="1"/>
    <col min="9" max="9" width="11.42578125" bestFit="1" customWidth="1"/>
    <col min="10" max="10" width="18.42578125" customWidth="1"/>
    <col min="11" max="11" width="32.42578125" bestFit="1" customWidth="1"/>
    <col min="12" max="12" width="39.42578125" bestFit="1" customWidth="1"/>
    <col min="13" max="13" width="57.42578125" bestFit="1" customWidth="1"/>
  </cols>
  <sheetData>
    <row r="1" spans="1:13" ht="14.25" customHeight="1" x14ac:dyDescent="0.25">
      <c r="A1" s="19" t="s">
        <v>1942</v>
      </c>
      <c r="B1" s="19" t="s">
        <v>7</v>
      </c>
      <c r="D1" s="19" t="s">
        <v>8</v>
      </c>
      <c r="E1" s="27" t="s">
        <v>13</v>
      </c>
      <c r="F1" s="19" t="s">
        <v>15</v>
      </c>
      <c r="H1" s="14" t="s">
        <v>983</v>
      </c>
      <c r="I1" s="19" t="s">
        <v>986</v>
      </c>
      <c r="J1" s="19" t="s">
        <v>1943</v>
      </c>
      <c r="K1" s="19" t="s">
        <v>1944</v>
      </c>
      <c r="L1" s="19" t="s">
        <v>1945</v>
      </c>
      <c r="M1" s="19" t="s">
        <v>1946</v>
      </c>
    </row>
    <row r="2" spans="1:13" x14ac:dyDescent="0.25">
      <c r="A2" t="s">
        <v>1947</v>
      </c>
      <c r="B2" t="s">
        <v>179</v>
      </c>
      <c r="D2" t="str">
        <f>'Interface Types'!B2</f>
        <v>Technical-Physical/Mechanical</v>
      </c>
      <c r="E2" s="28" t="str">
        <f>'Interface Status Defintions'!A2</f>
        <v>Proposed</v>
      </c>
      <c r="F2" t="str">
        <f>Criticality!A5</f>
        <v xml:space="preserve">HIGH </v>
      </c>
      <c r="H2" t="s">
        <v>989</v>
      </c>
      <c r="I2" t="s">
        <v>991</v>
      </c>
      <c r="J2" t="s">
        <v>813</v>
      </c>
      <c r="K2" t="str" cm="1">
        <f t="array" ref="K2:K19">_xlfn.LET(
    _xlpm._list, _xlfn.UNIQUE(_xlfn.VSTACK("N/A", _xlfn._xlws.FILTER('EA-Fortescue_SDExport'!AD:AD, ('EA-Fortescue_SDExport'!AD:AD&lt;&gt;"") * ISERROR(SEARCH("TagValue", 'EA-Fortescue_SDExport'!AD:AD))))),
    _xlfn.SORTBY(_xlpm._list,
        IF(_xlpm._list="N/A", 3, IF(LEFT(_xlpm._list, 2)="Ex", 2, 1)), 1,
        _xlpm._list, 1
    )
)</f>
        <v>001OP Fixed Process Plant</v>
      </c>
      <c r="L2" t="str" cm="1">
        <f t="array" ref="L2:L59">_xlfn.LET(
    _xlpm._list, _xlfn.UNIQUE(_xlfn.VSTACK("N/A", _xlfn._xlws.FILTER('EA-Fortescue_SDExport'!AE:AE, ('EA-Fortescue_SDExport'!AE:AE&lt;&gt;"") * ISERROR(SEARCH("TagValue", 'EA-Fortescue_SDExport'!AE:AE))))),
    _xlfn.SORTBY(_xlpm._list,
        IF(_xlpm._list="N/A", 3, IF(LEFT(_xlpm._list, 2)="Ex", 2, 1)), 1,
        _xlpm._list, 1
    )
)</f>
        <v>001OP-2001 Ore Processing Facility (OPF)</v>
      </c>
      <c r="M2" t="str" cm="1">
        <f t="array" ref="M2:M61">_xlfn.LET(
    _xlpm._list, _xlfn.UNIQUE(_xlfn.VSTACK("N/A", _xlfn._xlws.FILTER('EA-Fortescue_SDExport'!AF:AF, ('EA-Fortescue_SDExport'!AF:AF&lt;&gt;"") * ISERROR(SEARCH("TagValue", 'EA-Fortescue_SDExport'!AF:AF))))),
    _xlfn.SORTBY(_xlpm._list,
        IF(_xlpm._list="N/A", 3, IF(LEFT(_xlpm._list, 2)="Ex", 2, 1)), 1,
        _xlpm._list, 1
    )
)</f>
        <v>003OP-5611-001 GE Turbines</v>
      </c>
    </row>
    <row r="3" spans="1:13" x14ac:dyDescent="0.25">
      <c r="A3" t="s">
        <v>1948</v>
      </c>
      <c r="B3" t="s">
        <v>179</v>
      </c>
      <c r="D3" t="str">
        <f>'Interface Types'!B3</f>
        <v>Technical-Electrical</v>
      </c>
      <c r="E3" s="28" t="str">
        <f>'Interface Status Defintions'!A3</f>
        <v>Confirmed</v>
      </c>
      <c r="F3" t="str">
        <f>Criticality!A7</f>
        <v>MEDIUM</v>
      </c>
      <c r="H3" t="s">
        <v>994</v>
      </c>
      <c r="I3" t="s">
        <v>996</v>
      </c>
      <c r="J3" t="s">
        <v>787</v>
      </c>
      <c r="K3" t="str">
        <v>002OP Non-Process Infrastructure (NPI)</v>
      </c>
      <c r="L3" t="str">
        <v>001OP-2003 Concentrate Handling Facility (CHF)</v>
      </c>
      <c r="M3" t="str">
        <v>003OP-5611-002 Bergen Engines</v>
      </c>
    </row>
    <row r="4" spans="1:13" x14ac:dyDescent="0.25">
      <c r="A4" t="s">
        <v>1949</v>
      </c>
      <c r="B4" t="s">
        <v>369</v>
      </c>
      <c r="D4" t="str">
        <f>'Interface Types'!B4</f>
        <v>Technical-Data/Software</v>
      </c>
      <c r="E4" s="28" t="str">
        <f>'Interface Status Defintions'!A4</f>
        <v>Deleted</v>
      </c>
      <c r="F4" t="str">
        <f>Criticality!A9</f>
        <v>LOW</v>
      </c>
      <c r="I4" t="s">
        <v>999</v>
      </c>
      <c r="J4" t="s">
        <v>803</v>
      </c>
      <c r="K4" t="str">
        <v>003OP Power Generation &amp; Transmission</v>
      </c>
      <c r="L4" t="str">
        <v>001OP-2110 Primary Crusher</v>
      </c>
      <c r="M4" t="str">
        <v>003OP-5611-003 Solar Titan Turbines</v>
      </c>
    </row>
    <row r="5" spans="1:13" x14ac:dyDescent="0.25">
      <c r="A5" t="s">
        <v>1950</v>
      </c>
      <c r="B5" t="s">
        <v>369</v>
      </c>
      <c r="D5" t="str">
        <f>'Interface Types'!B5</f>
        <v>Technical-Thermal</v>
      </c>
      <c r="E5" s="28" t="str">
        <f>'Interface Status Defintions'!A5</f>
        <v>Simplified Interface</v>
      </c>
      <c r="F5" t="str">
        <f>Criticality!A10</f>
        <v>N/A</v>
      </c>
      <c r="J5" t="s">
        <v>809</v>
      </c>
      <c r="K5" t="str">
        <v>004OP Product Storage</v>
      </c>
      <c r="L5" t="str">
        <v>001OP-2700 Material Handling Equipment</v>
      </c>
      <c r="M5" t="str">
        <v>005OP-0000-001 Atlas</v>
      </c>
    </row>
    <row r="6" spans="1:13" x14ac:dyDescent="0.25">
      <c r="A6" t="s">
        <v>1951</v>
      </c>
      <c r="B6" t="s">
        <v>373</v>
      </c>
      <c r="D6" t="str">
        <f>'Interface Types'!B6</f>
        <v>Technical-Fluid/Pneumatic</v>
      </c>
      <c r="J6" t="s">
        <v>821</v>
      </c>
      <c r="K6" t="str">
        <v>005OP IT/OT Systems</v>
      </c>
      <c r="L6" t="str">
        <v>001OP-2920 Train Load Out (TLO)</v>
      </c>
      <c r="M6" t="str">
        <v>005OP-0000-002 ALF</v>
      </c>
    </row>
    <row r="7" spans="1:13" x14ac:dyDescent="0.25">
      <c r="A7" t="s">
        <v>1952</v>
      </c>
      <c r="B7" t="s">
        <v>373</v>
      </c>
      <c r="D7" t="str">
        <f>'Interface Types'!B7</f>
        <v>Functional</v>
      </c>
      <c r="J7" t="s">
        <v>831</v>
      </c>
      <c r="K7" t="str">
        <v>006OP Ancillary/Other</v>
      </c>
      <c r="L7" t="str">
        <v>001OP-3720 Concentrate Pipeline</v>
      </c>
      <c r="M7" t="str">
        <v>005OP-0000-003 FLO</v>
      </c>
    </row>
    <row r="8" spans="1:13" x14ac:dyDescent="0.25">
      <c r="A8" t="s">
        <v>1953</v>
      </c>
      <c r="B8" t="s">
        <v>1954</v>
      </c>
      <c r="D8" t="str">
        <f>'Interface Types'!B8</f>
        <v>Functional-Operational</v>
      </c>
      <c r="J8" t="s">
        <v>839</v>
      </c>
      <c r="K8" t="str">
        <v>850DC Decarb Infrastructure</v>
      </c>
      <c r="L8" t="str">
        <v>001OP-4000 Port Facilities</v>
      </c>
      <c r="M8" t="str">
        <v>005OP-0000-004 Alastri</v>
      </c>
    </row>
    <row r="9" spans="1:13" x14ac:dyDescent="0.25">
      <c r="A9" t="s">
        <v>1955</v>
      </c>
      <c r="B9" t="s">
        <v>1954</v>
      </c>
      <c r="D9" t="str">
        <f>'Interface Types'!B9</f>
        <v>Functional-Environmental</v>
      </c>
      <c r="J9" t="s">
        <v>847</v>
      </c>
      <c r="K9" t="str">
        <v>851DC Heavy Mobile Equipment (HME)</v>
      </c>
      <c r="L9" t="str">
        <v>001OP-4160 Train Unloader (TUL)</v>
      </c>
      <c r="M9" t="str">
        <v>005OP-0000-005 Weather Forecasting</v>
      </c>
    </row>
    <row r="10" spans="1:13" x14ac:dyDescent="0.25">
      <c r="A10" t="s">
        <v>1956</v>
      </c>
      <c r="B10" t="s">
        <v>55</v>
      </c>
      <c r="D10" t="str">
        <f>'Interface Types'!B10</f>
        <v>Project-Contractual/Organisational</v>
      </c>
      <c r="J10" t="s">
        <v>855</v>
      </c>
      <c r="K10" t="str">
        <v>852DC Light Mobile Equipment (LME) &amp; Support Mobile Equipment (SME)</v>
      </c>
      <c r="L10" t="str">
        <v>002OP-1800 CCTV</v>
      </c>
      <c r="M10" t="str">
        <v>005OP-0000-006 Snowflake (General)</v>
      </c>
    </row>
    <row r="11" spans="1:13" x14ac:dyDescent="0.25">
      <c r="A11" t="s">
        <v>1957</v>
      </c>
      <c r="B11" t="s">
        <v>55</v>
      </c>
      <c r="D11" t="str">
        <f>'Interface Types'!B11</f>
        <v>Project-Legacy/External</v>
      </c>
      <c r="J11" t="s">
        <v>632</v>
      </c>
      <c r="K11" t="str">
        <v>853DC Decarb Ancillary</v>
      </c>
      <c r="L11" t="str">
        <v>002OP-2000 Dewatering Pumps</v>
      </c>
      <c r="M11" t="str">
        <v>005OP-0000-007 Shuthub</v>
      </c>
    </row>
    <row r="12" spans="1:13" x14ac:dyDescent="0.25">
      <c r="A12" t="s">
        <v>1958</v>
      </c>
      <c r="B12" t="s">
        <v>39</v>
      </c>
      <c r="D12" t="s">
        <v>1959</v>
      </c>
      <c r="J12" t="s">
        <v>1960</v>
      </c>
      <c r="K12" t="str">
        <v>854DC Green Power</v>
      </c>
      <c r="L12" t="str">
        <v>002OP-5700 Water Supply (West Canning)</v>
      </c>
      <c r="M12" t="str">
        <v>005OP-0000-008 MineStar</v>
      </c>
    </row>
    <row r="13" spans="1:13" x14ac:dyDescent="0.25">
      <c r="A13" t="s">
        <v>1961</v>
      </c>
      <c r="B13" t="s">
        <v>39</v>
      </c>
      <c r="K13" t="str">
        <v>855DC Decarb Green Systems</v>
      </c>
      <c r="L13" t="str">
        <v>003OP-1800 Gas pipeline</v>
      </c>
      <c r="M13" t="str">
        <v>005OP-0000-009 OrePath</v>
      </c>
    </row>
    <row r="14" spans="1:13" x14ac:dyDescent="0.25">
      <c r="A14" t="s">
        <v>1962</v>
      </c>
      <c r="B14" t="s">
        <v>1963</v>
      </c>
      <c r="K14" t="str">
        <v>856DC Green Rail</v>
      </c>
      <c r="L14" t="str">
        <v>003OP-5611 Gas Power Station</v>
      </c>
      <c r="M14" t="str">
        <v>005OP-0000-010 10YP &amp; LOM Tool</v>
      </c>
    </row>
    <row r="15" spans="1:13" x14ac:dyDescent="0.25">
      <c r="A15" t="s">
        <v>1964</v>
      </c>
      <c r="B15" t="s">
        <v>1963</v>
      </c>
      <c r="K15" t="str">
        <v>857DC Green Marine</v>
      </c>
      <c r="L15" t="str">
        <v>003OP-5612 Diesel Generators</v>
      </c>
      <c r="M15" t="str">
        <v>005OP-0000-011 Fortescue Maps (ArcGIS) Geographical Information System (GIS)</v>
      </c>
    </row>
    <row r="16" spans="1:13" x14ac:dyDescent="0.25">
      <c r="A16" t="s">
        <v>1965</v>
      </c>
      <c r="B16" t="s">
        <v>48</v>
      </c>
      <c r="K16" t="str">
        <v>859DC HaulX</v>
      </c>
      <c r="L16" t="str">
        <v>004OP-1301 Run of Mine (ROM)</v>
      </c>
      <c r="M16" t="str">
        <v>005OP-0000-012 SAP</v>
      </c>
    </row>
    <row r="17" spans="1:13" x14ac:dyDescent="0.25">
      <c r="A17" t="s">
        <v>1966</v>
      </c>
      <c r="B17" t="s">
        <v>163</v>
      </c>
      <c r="K17" t="str">
        <v>External Physical Asset</v>
      </c>
      <c r="L17" t="str">
        <v>004OP-1302 Coarse Ore Stockpile (COS)</v>
      </c>
      <c r="M17" t="str">
        <v>005OP-0000-013 Cimplicity</v>
      </c>
    </row>
    <row r="18" spans="1:13" x14ac:dyDescent="0.25">
      <c r="A18" t="s">
        <v>1967</v>
      </c>
      <c r="B18" t="s">
        <v>163</v>
      </c>
      <c r="K18" t="str">
        <v>External Software</v>
      </c>
      <c r="L18" t="str">
        <v>004OP-1303 Train Loadout (TLO) Ore Stockpile</v>
      </c>
      <c r="M18" t="str">
        <v>005OP-0000-014 Talos</v>
      </c>
    </row>
    <row r="19" spans="1:13" x14ac:dyDescent="0.25">
      <c r="A19" t="s">
        <v>1968</v>
      </c>
      <c r="B19" t="s">
        <v>194</v>
      </c>
      <c r="K19" t="str">
        <v>N/A</v>
      </c>
      <c r="L19" t="str">
        <v>004OP-1304 Port Ore Stockpile</v>
      </c>
      <c r="M19" t="str">
        <v>005OP-0000-015 Rail &amp; Port SCADA</v>
      </c>
    </row>
    <row r="20" spans="1:13" x14ac:dyDescent="0.25">
      <c r="A20" t="s">
        <v>1969</v>
      </c>
      <c r="B20" t="s">
        <v>277</v>
      </c>
      <c r="L20" t="str">
        <v>850DC-1510 Chargers</v>
      </c>
      <c r="M20" t="str">
        <v>005OP-0000-016 Nitro</v>
      </c>
    </row>
    <row r="21" spans="1:13" x14ac:dyDescent="0.25">
      <c r="A21" t="s">
        <v>1970</v>
      </c>
      <c r="B21" t="s">
        <v>277</v>
      </c>
      <c r="L21" t="str">
        <v>850DC-1520 Trailing Cable</v>
      </c>
      <c r="M21" t="str">
        <v>005OP-0000-017 Ignition</v>
      </c>
    </row>
    <row r="22" spans="1:13" x14ac:dyDescent="0.25">
      <c r="A22" t="s">
        <v>1971</v>
      </c>
      <c r="B22" t="s">
        <v>312</v>
      </c>
      <c r="L22" t="str">
        <v>850DC-1522 Field Switches</v>
      </c>
      <c r="M22" t="str">
        <v>005OP-0000-BLO Blocksmith</v>
      </c>
    </row>
    <row r="23" spans="1:13" x14ac:dyDescent="0.25">
      <c r="A23" t="s">
        <v>1972</v>
      </c>
      <c r="B23" t="s">
        <v>312</v>
      </c>
      <c r="L23" t="str">
        <v>850DC-1523 Sub Kiosks</v>
      </c>
      <c r="M23" t="str">
        <v>850DC-1512-0001 HME Chargers - Gen1</v>
      </c>
    </row>
    <row r="24" spans="1:13" x14ac:dyDescent="0.25">
      <c r="A24" t="s">
        <v>1973</v>
      </c>
      <c r="B24" t="s">
        <v>320</v>
      </c>
      <c r="L24" t="str">
        <v>851DC-1591 Excavator (&gt;110t)</v>
      </c>
      <c r="M24" t="str">
        <v>850DC-1513-0002 HME Auxilary Chargers</v>
      </c>
    </row>
    <row r="25" spans="1:13" ht="14.25" customHeight="1" x14ac:dyDescent="0.25">
      <c r="A25" t="s">
        <v>1974</v>
      </c>
      <c r="B25" t="s">
        <v>350</v>
      </c>
      <c r="L25" t="str">
        <v>851DC-1592 Haulage</v>
      </c>
      <c r="M25" t="str">
        <v>850DC-1514-0003 LME / SME Chargers</v>
      </c>
    </row>
    <row r="26" spans="1:13" ht="14.25" customHeight="1" x14ac:dyDescent="0.25">
      <c r="A26" t="s">
        <v>1975</v>
      </c>
      <c r="B26" t="s">
        <v>350</v>
      </c>
      <c r="L26" t="str">
        <v>851DC-1593 HME Loader</v>
      </c>
      <c r="M26" t="str">
        <v>850DC-1520-0004 Cable Coupler GPS Sensors (LORA)</v>
      </c>
    </row>
    <row r="27" spans="1:13" x14ac:dyDescent="0.25">
      <c r="A27" t="s">
        <v>1976</v>
      </c>
      <c r="B27" t="s">
        <v>354</v>
      </c>
      <c r="L27" t="str">
        <v>851DC-1594 Dozer ( &gt;40t)</v>
      </c>
      <c r="M27" t="str">
        <v>854DC-1521-0001 Substation (33kV)</v>
      </c>
    </row>
    <row r="28" spans="1:13" x14ac:dyDescent="0.25">
      <c r="A28" t="s">
        <v>1977</v>
      </c>
      <c r="B28" t="s">
        <v>354</v>
      </c>
      <c r="L28" t="str">
        <v>851DC-1595 Grader (&gt;15ft)</v>
      </c>
      <c r="M28" t="str">
        <v>854DC-1521-0002 Substation (66kV)</v>
      </c>
    </row>
    <row r="29" spans="1:13" x14ac:dyDescent="0.25">
      <c r="A29" t="s">
        <v>1978</v>
      </c>
      <c r="B29" t="s">
        <v>622</v>
      </c>
      <c r="L29" t="str">
        <v>851DC-1596 Watercarts</v>
      </c>
      <c r="M29" t="str">
        <v>854DC-1521-0003 Substation (132kV)</v>
      </c>
    </row>
    <row r="30" spans="1:13" x14ac:dyDescent="0.25">
      <c r="A30" t="s">
        <v>1979</v>
      </c>
      <c r="B30" t="s">
        <v>622</v>
      </c>
      <c r="L30" t="str">
        <v>852DC-1571 ATV</v>
      </c>
      <c r="M30" t="str">
        <v>854DC-1521-0004 Substation (220kV)</v>
      </c>
    </row>
    <row r="31" spans="1:13" x14ac:dyDescent="0.25">
      <c r="A31" t="s">
        <v>1980</v>
      </c>
      <c r="B31" t="s">
        <v>468</v>
      </c>
      <c r="L31" t="str">
        <v>852DC-1572 Light Truck (&lt;4.5t)</v>
      </c>
      <c r="M31" t="str">
        <v>854DC-1521-0005 Substation (22kV)</v>
      </c>
    </row>
    <row r="32" spans="1:13" x14ac:dyDescent="0.25">
      <c r="A32" t="s">
        <v>1981</v>
      </c>
      <c r="B32" t="s">
        <v>468</v>
      </c>
      <c r="L32" t="str">
        <v>852DC-1573 LVs</v>
      </c>
      <c r="M32" t="str">
        <v>854DC-1521-0006 Substation (11kV)</v>
      </c>
    </row>
    <row r="33" spans="1:13" x14ac:dyDescent="0.25">
      <c r="A33" t="s">
        <v>1982</v>
      </c>
      <c r="B33" t="s">
        <v>432</v>
      </c>
      <c r="L33" t="str">
        <v>852DC-1574 People Movers (Buses &amp; Coaches)</v>
      </c>
      <c r="M33" t="str">
        <v>854DC-5670-0001 Solar Photovoltaic (PV) Farms</v>
      </c>
    </row>
    <row r="34" spans="1:13" x14ac:dyDescent="0.25">
      <c r="A34" t="s">
        <v>1983</v>
      </c>
      <c r="B34" t="s">
        <v>432</v>
      </c>
      <c r="L34" t="str">
        <v>852DC-1575 ESO Vehicles</v>
      </c>
      <c r="M34" t="str">
        <v>854DC-5680-0001 Battery Energy Storage Systems (BESS)</v>
      </c>
    </row>
    <row r="35" spans="1:13" x14ac:dyDescent="0.25">
      <c r="L35" t="str">
        <v>852DC-1581 Excavators (&lt;110t)</v>
      </c>
      <c r="M35" t="str">
        <v>854DC-5680-0002 Mobile Battery Bank</v>
      </c>
    </row>
    <row r="36" spans="1:13" x14ac:dyDescent="0.25">
      <c r="L36" t="str">
        <v>852DC-1582 Dump Truck (45t)</v>
      </c>
      <c r="M36" t="str">
        <v>854DC-5680-0003 Long Duration Energy Storage</v>
      </c>
    </row>
    <row r="37" spans="1:13" x14ac:dyDescent="0.25">
      <c r="L37" t="str">
        <v>852DC-1583 Dozer (&lt;40t)</v>
      </c>
      <c r="M37" t="str">
        <v>854DC-5690-0001 Wind Farms</v>
      </c>
    </row>
    <row r="38" spans="1:13" x14ac:dyDescent="0.25">
      <c r="L38" t="str">
        <v>852DC-1584 Grader (&lt;15ft)</v>
      </c>
      <c r="M38" t="str">
        <v>855DC-1541-004 ORCA</v>
      </c>
    </row>
    <row r="39" spans="1:13" x14ac:dyDescent="0.25">
      <c r="L39" t="str">
        <v>852DC-1585 SME Loader</v>
      </c>
      <c r="M39" t="str">
        <v>855DC-1541-005 HaulAI</v>
      </c>
    </row>
    <row r="40" spans="1:13" x14ac:dyDescent="0.25">
      <c r="L40" t="str">
        <v>852DC-1586 Roller</v>
      </c>
      <c r="M40" t="str">
        <v>855DC-1541-DEL Delphi</v>
      </c>
    </row>
    <row r="41" spans="1:13" x14ac:dyDescent="0.25">
      <c r="L41" t="str">
        <v>852DC-1587 Prime Movers &amp; Trucks (&gt;4.5t)</v>
      </c>
      <c r="M41" t="str">
        <v>855DC-1541-ECL Eclipse</v>
      </c>
    </row>
    <row r="42" spans="1:13" x14ac:dyDescent="0.25">
      <c r="L42" t="str">
        <v>852DC-1588 Wheel Tractor</v>
      </c>
      <c r="M42" t="str">
        <v>855DC-1541-LIV LiveWire</v>
      </c>
    </row>
    <row r="43" spans="1:13" x14ac:dyDescent="0.25">
      <c r="L43" t="str">
        <v>853DC-1561 Drill Rig</v>
      </c>
      <c r="M43" t="str">
        <v>855DC-1541-PPC Pit Power Capacity Planning Tool - Design Optimisation</v>
      </c>
    </row>
    <row r="44" spans="1:13" x14ac:dyDescent="0.25">
      <c r="L44" t="str">
        <v>853DC-1562 Blasting</v>
      </c>
      <c r="M44" t="str">
        <v>855DC-1542-008 Mine Electrification SCADA</v>
      </c>
    </row>
    <row r="45" spans="1:13" x14ac:dyDescent="0.25">
      <c r="L45" t="str">
        <v>854DC-1521 HV Substations</v>
      </c>
      <c r="M45" t="str">
        <v>855DC-1542-009 Elysia</v>
      </c>
    </row>
    <row r="46" spans="1:13" x14ac:dyDescent="0.25">
      <c r="L46" t="str">
        <v>854DC-5660 HV Transmission lines</v>
      </c>
      <c r="M46" t="str">
        <v>855DC-1542-010 WAMS</v>
      </c>
    </row>
    <row r="47" spans="1:13" x14ac:dyDescent="0.25">
      <c r="L47" t="str">
        <v>854DC-5670 Energy Generation - Solar</v>
      </c>
      <c r="M47" t="str">
        <v>855DC-1542-CSM Charge Station Management System (CSMS)</v>
      </c>
    </row>
    <row r="48" spans="1:13" x14ac:dyDescent="0.25">
      <c r="L48" t="str">
        <v>854DC-5680 Battery Energy Storage System (BESS)</v>
      </c>
      <c r="M48" t="str">
        <v>855DC-1542-LMS Load Management System (LMS)</v>
      </c>
    </row>
    <row r="49" spans="12:13" x14ac:dyDescent="0.25">
      <c r="L49" t="str">
        <v>854DC-5690 Energy Generation - Wind</v>
      </c>
      <c r="M49" t="str">
        <v>855DC-1543-008 Monarch</v>
      </c>
    </row>
    <row r="50" spans="12:13" x14ac:dyDescent="0.25">
      <c r="L50" t="str">
        <v>855DC-1541 Planning and Forecast Systems</v>
      </c>
      <c r="M50" t="str">
        <v>855DC-1543-PPC Pit Power Capacity Planning Tool - Capacity Check</v>
      </c>
    </row>
    <row r="51" spans="12:13" x14ac:dyDescent="0.25">
      <c r="L51" t="str">
        <v>855DC-1542 Control &amp; Monitoring Systems</v>
      </c>
      <c r="M51" t="str">
        <v>855DC-1544-011 Health Monitoring &amp; Analytics</v>
      </c>
    </row>
    <row r="52" spans="12:13" x14ac:dyDescent="0.25">
      <c r="L52" t="str">
        <v>855DC-1543 Existing Systems - Green Enhancement</v>
      </c>
      <c r="M52" t="str">
        <v>855DC-1544-020 BET/DET Model</v>
      </c>
    </row>
    <row r="53" spans="12:13" x14ac:dyDescent="0.25">
      <c r="L53" t="str">
        <v>855DC-1544 Unassigned / TBC</v>
      </c>
      <c r="M53" t="str">
        <v>855DC-1544-021 GAF24</v>
      </c>
    </row>
    <row r="54" spans="12:13" x14ac:dyDescent="0.25">
      <c r="L54" t="str">
        <v>856DC-1551 Locomotive</v>
      </c>
      <c r="M54" t="str">
        <v>855DC-1544-022 Genotech</v>
      </c>
    </row>
    <row r="55" spans="12:13" x14ac:dyDescent="0.25">
      <c r="L55" t="str">
        <v>857DC-1568 Shipping (VLOC)</v>
      </c>
      <c r="M55" t="str">
        <v>855DC-1544-023 Superblock</v>
      </c>
    </row>
    <row r="56" spans="12:13" x14ac:dyDescent="0.25">
      <c r="L56" t="str">
        <v>857DC-1569 Towage</v>
      </c>
      <c r="M56" t="str">
        <v>855DC-1544-024 Demand Response (DR) Playbook</v>
      </c>
    </row>
    <row r="57" spans="12:13" x14ac:dyDescent="0.25">
      <c r="L57" t="str">
        <v>External Physical Asset</v>
      </c>
      <c r="M57" t="str">
        <v>855DC-1544-025 Constraints Library</v>
      </c>
    </row>
    <row r="58" spans="12:13" x14ac:dyDescent="0.25">
      <c r="L58" t="str">
        <v>External Software</v>
      </c>
      <c r="M58" t="str">
        <v>859DC-1410-001 HaulX</v>
      </c>
    </row>
    <row r="59" spans="12:13" x14ac:dyDescent="0.25">
      <c r="L59" t="str">
        <v>N/A</v>
      </c>
      <c r="M59" t="str">
        <v>External Physical Asset</v>
      </c>
    </row>
    <row r="60" spans="12:13" x14ac:dyDescent="0.25">
      <c r="M60" t="str">
        <v>External Software</v>
      </c>
    </row>
    <row r="61" spans="12:13" x14ac:dyDescent="0.25">
      <c r="M61" t="str">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5AD5013E10BE4CBC476B1CF4008087" ma:contentTypeVersion="10" ma:contentTypeDescription="Create a new document." ma:contentTypeScope="" ma:versionID="d6167b47fbe898c3daa720c46ff501a3">
  <xsd:schema xmlns:xsd="http://www.w3.org/2001/XMLSchema" xmlns:xs="http://www.w3.org/2001/XMLSchema" xmlns:p="http://schemas.microsoft.com/office/2006/metadata/properties" xmlns:ns2="ee98542c-c6c8-454b-b5fa-9deeaadb81eb" targetNamespace="http://schemas.microsoft.com/office/2006/metadata/properties" ma:root="true" ma:fieldsID="fe5e865441cb1d239c03f484bc183366" ns2:_="">
    <xsd:import namespace="ee98542c-c6c8-454b-b5fa-9deeaadb81e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98542c-c6c8-454b-b5fa-9deeaadb81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34a0666-d2b1-4e2b-9cd5-d9311ceb0e0c"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e98542c-c6c8-454b-b5fa-9deeaadb81e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FDCE4F0-3B90-4316-93E9-C2EF3C741E90}">
  <ds:schemaRefs>
    <ds:schemaRef ds:uri="http://schemas.microsoft.com/sharepoint/v3/contenttype/forms"/>
  </ds:schemaRefs>
</ds:datastoreItem>
</file>

<file path=customXml/itemProps2.xml><?xml version="1.0" encoding="utf-8"?>
<ds:datastoreItem xmlns:ds="http://schemas.openxmlformats.org/officeDocument/2006/customXml" ds:itemID="{4F4EDFE5-0ED7-4CC4-A1A7-D8B21CFE55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98542c-c6c8-454b-b5fa-9deeaadb81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3A0A97-A7D7-40EB-8073-125ED8808912}">
  <ds:schemaRefs>
    <ds:schemaRef ds:uri="http://www.w3.org/XML/1998/namespace"/>
    <ds:schemaRef ds:uri="http://purl.org/dc/terms/"/>
    <ds:schemaRef ds:uri="http://purl.org/dc/dcmitype/"/>
    <ds:schemaRef ds:uri="http://schemas.openxmlformats.org/package/2006/metadata/core-properties"/>
    <ds:schemaRef ds:uri="http://schemas.microsoft.com/office/2006/metadata/properties"/>
    <ds:schemaRef ds:uri="http://purl.org/dc/elements/1.1/"/>
    <ds:schemaRef ds:uri="http://schemas.microsoft.com/office/2006/documentManagement/types"/>
    <ds:schemaRef ds:uri="http://schemas.microsoft.com/office/infopath/2007/PartnerControls"/>
    <ds:schemaRef ds:uri="ee98542c-c6c8-454b-b5fa-9deeaadb81e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InterfaceRegister</vt:lpstr>
      <vt:lpstr>Revision Notes</vt:lpstr>
      <vt:lpstr>InterfaceRegisterFormulas</vt:lpstr>
      <vt:lpstr>Interface Types</vt:lpstr>
      <vt:lpstr>Interface Status Defintions</vt:lpstr>
      <vt:lpstr>Criticality</vt:lpstr>
      <vt:lpstr>Column Definitions</vt:lpstr>
      <vt:lpstr>EA-Fortescue_SDExport</vt:lpstr>
      <vt:lpstr>EA-ConnectorExport</vt:lpstr>
      <vt:lpstr>EA-Fortescue_InterfacesImport</vt:lpstr>
      <vt:lpstr>EA-Fortescue_SBSExport</vt:lpstr>
      <vt:lpstr>Glossary</vt:lpstr>
      <vt:lpstr>Lookups</vt:lpstr>
      <vt:lpstr>InterfaceCriticality</vt:lpstr>
      <vt:lpstr>InterfaceType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dc:creator>
  <cp:keywords/>
  <dc:description/>
  <cp:lastModifiedBy>Admin</cp:lastModifiedBy>
  <cp:revision/>
  <dcterms:created xsi:type="dcterms:W3CDTF">2025-11-08T08:25:28Z</dcterms:created>
  <dcterms:modified xsi:type="dcterms:W3CDTF">2026-02-25T12:02:56Z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0x010100E55AD5013E10BE4CBC476B1CF4008087</vt:lpwstr>
  </property>
  <property fmtid="{D5CDD505-2E9C-101B-9397-08002B2CF9AE}" pid="4" name="MSIP_Label_4eec1c99-31d3-4e87-859e-7c7f74847519_Enabled">
    <vt:lpwstr>true</vt:lpwstr>
  </property>
  <property fmtid="{D5CDD505-2E9C-101B-9397-08002B2CF9AE}" pid="5" name="MSIP_Label_4eec1c99-31d3-4e87-859e-7c7f74847519_SetDate">
    <vt:lpwstr>2025-12-04T05:24:56Z</vt:lpwstr>
  </property>
  <property fmtid="{D5CDD505-2E9C-101B-9397-08002B2CF9AE}" pid="6" name="MSIP_Label_4eec1c99-31d3-4e87-859e-7c7f74847519_Method">
    <vt:lpwstr>Privileged</vt:lpwstr>
  </property>
  <property fmtid="{D5CDD505-2E9C-101B-9397-08002B2CF9AE}" pid="7" name="MSIP_Label_4eec1c99-31d3-4e87-859e-7c7f74847519_Name">
    <vt:lpwstr>4eec1c99-31d3-4e87-859e-7c7f74847519</vt:lpwstr>
  </property>
  <property fmtid="{D5CDD505-2E9C-101B-9397-08002B2CF9AE}" pid="8" name="MSIP_Label_4eec1c99-31d3-4e87-859e-7c7f74847519_SiteId">
    <vt:lpwstr>143a7396-a856-47d7-8e31-62990b5bacd0</vt:lpwstr>
  </property>
  <property fmtid="{D5CDD505-2E9C-101B-9397-08002B2CF9AE}" pid="9" name="MSIP_Label_4eec1c99-31d3-4e87-859e-7c7f74847519_ActionId">
    <vt:lpwstr>71e638a2-7e5f-4488-befc-7a72868542b3</vt:lpwstr>
  </property>
  <property fmtid="{D5CDD505-2E9C-101B-9397-08002B2CF9AE}" pid="10" name="MSIP_Label_4eec1c99-31d3-4e87-859e-7c7f74847519_ContentBits">
    <vt:lpwstr>0</vt:lpwstr>
  </property>
  <property fmtid="{D5CDD505-2E9C-101B-9397-08002B2CF9AE}" pid="11" name="MSIP_Label_4eec1c99-31d3-4e87-859e-7c7f74847519_Tag">
    <vt:lpwstr>10, 0, 1, 1</vt:lpwstr>
  </property>
</Properties>
</file>